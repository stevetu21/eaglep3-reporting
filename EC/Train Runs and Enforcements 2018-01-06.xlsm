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mcdowell\Documents\GitHub\eaglep3-reporting\EC\"/>
    </mc:Choice>
  </mc:AlternateContent>
  <bookViews>
    <workbookView xWindow="0" yWindow="0" windowWidth="23040" windowHeight="912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</externalReferences>
  <definedNames>
    <definedName name="_xlnm._FilterDatabase" localSheetId="1" hidden="1">Enforcements!$A$6:$AC$15</definedName>
    <definedName name="_xlnm._FilterDatabase" localSheetId="2" hidden="1">'Missing Trips'!$A$2:$J$26</definedName>
    <definedName name="_xlnm._FilterDatabase" localSheetId="0" hidden="1">'Train Runs'!$A$12:$AG$563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Runs'!$A$12:$J$73</definedName>
    <definedName name="dls3logs">Variables!$M$31</definedName>
    <definedName name="enforcements_txt">Variables!$M$27</definedName>
    <definedName name="outputrefinedruntimes">Variables!$M$25</definedName>
    <definedName name="redm_api_key">'Redmine List Values'!$I$1</definedName>
    <definedName name="redm_url">'Redmine List Values'!$I$2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174" i="1" l="1"/>
  <c r="M28" i="3"/>
  <c r="AD28" i="3"/>
  <c r="AB28" i="3"/>
  <c r="Z28" i="3"/>
  <c r="X28" i="3"/>
  <c r="W28" i="3"/>
  <c r="BA28" i="3" s="1"/>
  <c r="V28" i="3"/>
  <c r="AZ28" i="3" s="1"/>
  <c r="U28" i="3"/>
  <c r="T28" i="3"/>
  <c r="S28" i="3"/>
  <c r="R28" i="3"/>
  <c r="Q28" i="3"/>
  <c r="AR28" i="3"/>
  <c r="J28" i="3"/>
  <c r="AN28" i="3" s="1"/>
  <c r="AC28" i="3"/>
  <c r="Y28" i="3"/>
  <c r="X160" i="1"/>
  <c r="X162" i="1"/>
  <c r="K160" i="1"/>
  <c r="L160" i="1"/>
  <c r="M160" i="1"/>
  <c r="N160" i="1" s="1"/>
  <c r="V160" i="1"/>
  <c r="AA160" i="1"/>
  <c r="AB160" i="1"/>
  <c r="AC160" i="1"/>
  <c r="AD160" i="1"/>
  <c r="T160" i="1" s="1"/>
  <c r="AE160" i="1"/>
  <c r="AF160" i="1"/>
  <c r="AH160" i="1"/>
  <c r="AM160" i="1"/>
  <c r="AN160" i="1"/>
  <c r="AO160" i="1"/>
  <c r="K159" i="1"/>
  <c r="L159" i="1"/>
  <c r="M159" i="1"/>
  <c r="N159" i="1" s="1"/>
  <c r="V159" i="1"/>
  <c r="AA159" i="1"/>
  <c r="AB159" i="1"/>
  <c r="AC159" i="1"/>
  <c r="AD159" i="1"/>
  <c r="T159" i="1" s="1"/>
  <c r="AE159" i="1"/>
  <c r="AF159" i="1"/>
  <c r="AH159" i="1"/>
  <c r="AM159" i="1"/>
  <c r="AN159" i="1"/>
  <c r="AO159" i="1"/>
  <c r="K158" i="1"/>
  <c r="L158" i="1"/>
  <c r="M158" i="1"/>
  <c r="N158" i="1"/>
  <c r="V158" i="1"/>
  <c r="AA158" i="1"/>
  <c r="AB158" i="1"/>
  <c r="AC158" i="1"/>
  <c r="AD158" i="1"/>
  <c r="T158" i="1" s="1"/>
  <c r="AE158" i="1"/>
  <c r="AF158" i="1"/>
  <c r="AH158" i="1"/>
  <c r="AM158" i="1"/>
  <c r="AN158" i="1"/>
  <c r="AO158" i="1"/>
  <c r="X144" i="1"/>
  <c r="K143" i="1"/>
  <c r="L143" i="1"/>
  <c r="M143" i="1"/>
  <c r="N143" i="1"/>
  <c r="V143" i="1"/>
  <c r="AA143" i="1"/>
  <c r="AB143" i="1"/>
  <c r="AC143" i="1"/>
  <c r="AD143" i="1"/>
  <c r="T143" i="1" s="1"/>
  <c r="AE143" i="1"/>
  <c r="AF143" i="1"/>
  <c r="AH143" i="1"/>
  <c r="AM143" i="1"/>
  <c r="AN143" i="1"/>
  <c r="AO143" i="1"/>
  <c r="K142" i="1"/>
  <c r="L142" i="1"/>
  <c r="M142" i="1"/>
  <c r="N142" i="1" s="1"/>
  <c r="V142" i="1"/>
  <c r="AA142" i="1"/>
  <c r="AB142" i="1"/>
  <c r="AC142" i="1"/>
  <c r="AD142" i="1"/>
  <c r="T142" i="1" s="1"/>
  <c r="AE142" i="1"/>
  <c r="AF142" i="1"/>
  <c r="AH142" i="1"/>
  <c r="AM142" i="1"/>
  <c r="AN142" i="1"/>
  <c r="AO142" i="1"/>
  <c r="N136" i="1"/>
  <c r="K112" i="1"/>
  <c r="L112" i="1"/>
  <c r="M112" i="1"/>
  <c r="N112" i="1" s="1"/>
  <c r="V112" i="1"/>
  <c r="AA112" i="1"/>
  <c r="AB112" i="1"/>
  <c r="AC112" i="1"/>
  <c r="AD112" i="1"/>
  <c r="T112" i="1" s="1"/>
  <c r="AE112" i="1"/>
  <c r="AF112" i="1"/>
  <c r="AH112" i="1"/>
  <c r="AM112" i="1"/>
  <c r="AN112" i="1"/>
  <c r="AO112" i="1"/>
  <c r="K84" i="1"/>
  <c r="L84" i="1"/>
  <c r="M84" i="1"/>
  <c r="N84" i="1" s="1"/>
  <c r="V84" i="1"/>
  <c r="AA84" i="1"/>
  <c r="AB84" i="1"/>
  <c r="AC84" i="1"/>
  <c r="AD84" i="1"/>
  <c r="T84" i="1" s="1"/>
  <c r="AE84" i="1"/>
  <c r="AF84" i="1"/>
  <c r="AH84" i="1"/>
  <c r="AM84" i="1"/>
  <c r="AN84" i="1"/>
  <c r="AO84" i="1"/>
  <c r="K14" i="1"/>
  <c r="L14" i="1"/>
  <c r="M14" i="1"/>
  <c r="N14" i="1" s="1"/>
  <c r="V14" i="1"/>
  <c r="Y14" i="1"/>
  <c r="Z14" i="1"/>
  <c r="AB14" i="1"/>
  <c r="AC14" i="1"/>
  <c r="AD14" i="1"/>
  <c r="AE14" i="1"/>
  <c r="AF14" i="1"/>
  <c r="AH14" i="1"/>
  <c r="AM14" i="1"/>
  <c r="AN14" i="1"/>
  <c r="AO14" i="1"/>
  <c r="K15" i="1"/>
  <c r="L15" i="1"/>
  <c r="M15" i="1"/>
  <c r="N15" i="1" s="1"/>
  <c r="V15" i="1"/>
  <c r="Y15" i="1"/>
  <c r="Z15" i="1"/>
  <c r="AB15" i="1"/>
  <c r="AC15" i="1"/>
  <c r="AD15" i="1"/>
  <c r="AE15" i="1"/>
  <c r="AF15" i="1"/>
  <c r="AH15" i="1"/>
  <c r="AM15" i="1"/>
  <c r="AN15" i="1"/>
  <c r="AO15" i="1"/>
  <c r="K16" i="1"/>
  <c r="L16" i="1"/>
  <c r="M16" i="1"/>
  <c r="N16" i="1" s="1"/>
  <c r="V16" i="1"/>
  <c r="Y16" i="1"/>
  <c r="Z16" i="1"/>
  <c r="AB16" i="1"/>
  <c r="AC16" i="1"/>
  <c r="AD16" i="1"/>
  <c r="AE16" i="1"/>
  <c r="AF16" i="1"/>
  <c r="AH16" i="1"/>
  <c r="AM16" i="1"/>
  <c r="AN16" i="1"/>
  <c r="AO16" i="1"/>
  <c r="K17" i="1"/>
  <c r="L17" i="1"/>
  <c r="M17" i="1"/>
  <c r="N17" i="1" s="1"/>
  <c r="V17" i="1"/>
  <c r="Y17" i="1"/>
  <c r="Z17" i="1"/>
  <c r="AB17" i="1"/>
  <c r="AC17" i="1"/>
  <c r="AD17" i="1"/>
  <c r="AE17" i="1"/>
  <c r="AF17" i="1"/>
  <c r="AH17" i="1"/>
  <c r="AM17" i="1"/>
  <c r="AN17" i="1"/>
  <c r="AO17" i="1"/>
  <c r="K18" i="1"/>
  <c r="L18" i="1"/>
  <c r="M18" i="1"/>
  <c r="N18" i="1" s="1"/>
  <c r="V18" i="1"/>
  <c r="Y18" i="1"/>
  <c r="Z18" i="1"/>
  <c r="AB18" i="1"/>
  <c r="AC18" i="1"/>
  <c r="AD18" i="1"/>
  <c r="AE18" i="1"/>
  <c r="AF18" i="1"/>
  <c r="AH18" i="1"/>
  <c r="AM18" i="1"/>
  <c r="AN18" i="1"/>
  <c r="AO18" i="1"/>
  <c r="K19" i="1"/>
  <c r="L19" i="1"/>
  <c r="M19" i="1"/>
  <c r="N19" i="1" s="1"/>
  <c r="V19" i="1"/>
  <c r="Y19" i="1"/>
  <c r="Z19" i="1"/>
  <c r="AB19" i="1"/>
  <c r="AC19" i="1"/>
  <c r="AD19" i="1"/>
  <c r="AE19" i="1"/>
  <c r="AF19" i="1"/>
  <c r="AH19" i="1"/>
  <c r="AM19" i="1"/>
  <c r="AN19" i="1"/>
  <c r="AO19" i="1"/>
  <c r="K20" i="1"/>
  <c r="L20" i="1"/>
  <c r="M20" i="1"/>
  <c r="N20" i="1" s="1"/>
  <c r="V20" i="1"/>
  <c r="Y20" i="1"/>
  <c r="Z20" i="1"/>
  <c r="AB20" i="1"/>
  <c r="AC20" i="1"/>
  <c r="AD20" i="1"/>
  <c r="AE20" i="1"/>
  <c r="AF20" i="1"/>
  <c r="AH20" i="1"/>
  <c r="AM20" i="1"/>
  <c r="AN20" i="1"/>
  <c r="AO20" i="1"/>
  <c r="K21" i="1"/>
  <c r="L21" i="1"/>
  <c r="M21" i="1"/>
  <c r="N21" i="1" s="1"/>
  <c r="V21" i="1"/>
  <c r="Y21" i="1"/>
  <c r="Z21" i="1"/>
  <c r="AB21" i="1"/>
  <c r="AC21" i="1"/>
  <c r="AD21" i="1"/>
  <c r="AE21" i="1"/>
  <c r="AF21" i="1"/>
  <c r="AH21" i="1"/>
  <c r="AM21" i="1"/>
  <c r="AN21" i="1"/>
  <c r="AO21" i="1"/>
  <c r="K22" i="1"/>
  <c r="L22" i="1"/>
  <c r="M22" i="1"/>
  <c r="N22" i="1" s="1"/>
  <c r="V22" i="1"/>
  <c r="Y22" i="1"/>
  <c r="Z22" i="1"/>
  <c r="AB22" i="1"/>
  <c r="AC22" i="1"/>
  <c r="AD22" i="1"/>
  <c r="AE22" i="1"/>
  <c r="AF22" i="1"/>
  <c r="AH22" i="1"/>
  <c r="AM22" i="1"/>
  <c r="AN22" i="1"/>
  <c r="AO22" i="1"/>
  <c r="K23" i="1"/>
  <c r="L23" i="1"/>
  <c r="M23" i="1"/>
  <c r="N23" i="1" s="1"/>
  <c r="V23" i="1"/>
  <c r="Y23" i="1"/>
  <c r="Z23" i="1"/>
  <c r="AB23" i="1"/>
  <c r="AC23" i="1"/>
  <c r="AD23" i="1"/>
  <c r="AE23" i="1"/>
  <c r="AF23" i="1"/>
  <c r="AH23" i="1"/>
  <c r="AM23" i="1"/>
  <c r="AN23" i="1"/>
  <c r="AO23" i="1"/>
  <c r="K24" i="1"/>
  <c r="L24" i="1"/>
  <c r="M24" i="1"/>
  <c r="N24" i="1" s="1"/>
  <c r="V24" i="1"/>
  <c r="S25" i="3" s="1"/>
  <c r="Y24" i="1"/>
  <c r="Z24" i="1"/>
  <c r="AB24" i="1"/>
  <c r="AC24" i="1"/>
  <c r="AD24" i="1"/>
  <c r="AE24" i="1"/>
  <c r="AF24" i="1"/>
  <c r="AH24" i="1"/>
  <c r="AM24" i="1"/>
  <c r="AN24" i="1"/>
  <c r="AO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AM25" i="1"/>
  <c r="AN25" i="1"/>
  <c r="AO25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AH26" i="1"/>
  <c r="AM26" i="1"/>
  <c r="AN26" i="1"/>
  <c r="AO26" i="1"/>
  <c r="K27" i="1"/>
  <c r="L27" i="1"/>
  <c r="M27" i="1"/>
  <c r="N27" i="1" s="1"/>
  <c r="V27" i="1"/>
  <c r="Y27" i="1"/>
  <c r="Z27" i="1"/>
  <c r="AB27" i="1"/>
  <c r="AC27" i="1"/>
  <c r="AD27" i="1"/>
  <c r="AE27" i="1"/>
  <c r="AF27" i="1"/>
  <c r="AH27" i="1"/>
  <c r="AM27" i="1"/>
  <c r="AN27" i="1"/>
  <c r="AO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AH28" i="1"/>
  <c r="AM28" i="1"/>
  <c r="AN28" i="1"/>
  <c r="AO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AM29" i="1"/>
  <c r="AN29" i="1"/>
  <c r="AO29" i="1"/>
  <c r="K30" i="1"/>
  <c r="L30" i="1"/>
  <c r="M30" i="1"/>
  <c r="N30" i="1" s="1"/>
  <c r="V30" i="1"/>
  <c r="Y30" i="1"/>
  <c r="Z30" i="1"/>
  <c r="AA30" i="1" s="1"/>
  <c r="AB30" i="1"/>
  <c r="AC30" i="1"/>
  <c r="AD30" i="1"/>
  <c r="AE30" i="1"/>
  <c r="AF30" i="1"/>
  <c r="AH30" i="1"/>
  <c r="AM30" i="1"/>
  <c r="AN30" i="1"/>
  <c r="AO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AH31" i="1"/>
  <c r="AM31" i="1"/>
  <c r="AN31" i="1"/>
  <c r="AO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AH32" i="1"/>
  <c r="AM32" i="1"/>
  <c r="AN32" i="1"/>
  <c r="AO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AM33" i="1"/>
  <c r="AN33" i="1"/>
  <c r="AO33" i="1"/>
  <c r="K34" i="1"/>
  <c r="L34" i="1"/>
  <c r="M34" i="1"/>
  <c r="N34" i="1" s="1"/>
  <c r="V34" i="1"/>
  <c r="Y34" i="1"/>
  <c r="Z34" i="1"/>
  <c r="AA34" i="1" s="1"/>
  <c r="AB34" i="1"/>
  <c r="AC34" i="1"/>
  <c r="AD34" i="1"/>
  <c r="AE34" i="1"/>
  <c r="AF34" i="1"/>
  <c r="AH34" i="1"/>
  <c r="AM34" i="1"/>
  <c r="AN34" i="1"/>
  <c r="AO34" i="1"/>
  <c r="K35" i="1"/>
  <c r="L35" i="1"/>
  <c r="M35" i="1"/>
  <c r="N35" i="1" s="1"/>
  <c r="V35" i="1"/>
  <c r="Y35" i="1"/>
  <c r="Z35" i="1"/>
  <c r="AB35" i="1"/>
  <c r="AC35" i="1"/>
  <c r="AD35" i="1"/>
  <c r="AE35" i="1"/>
  <c r="AF35" i="1"/>
  <c r="AH35" i="1"/>
  <c r="AM35" i="1"/>
  <c r="AN35" i="1"/>
  <c r="AO35" i="1"/>
  <c r="K36" i="1"/>
  <c r="L36" i="1"/>
  <c r="M36" i="1"/>
  <c r="N36" i="1"/>
  <c r="V36" i="1"/>
  <c r="S11" i="3" s="1"/>
  <c r="Y36" i="1"/>
  <c r="Z36" i="1"/>
  <c r="AB36" i="1"/>
  <c r="AC36" i="1"/>
  <c r="AD36" i="1"/>
  <c r="AE36" i="1"/>
  <c r="AF36" i="1"/>
  <c r="AH36" i="1"/>
  <c r="AM36" i="1"/>
  <c r="AN36" i="1"/>
  <c r="AO36" i="1"/>
  <c r="K37" i="1"/>
  <c r="L37" i="1"/>
  <c r="M37" i="1"/>
  <c r="N37" i="1"/>
  <c r="V37" i="1"/>
  <c r="S14" i="3" s="1"/>
  <c r="Y37" i="1"/>
  <c r="Z37" i="1"/>
  <c r="AA37" i="1"/>
  <c r="AB37" i="1"/>
  <c r="AC37" i="1"/>
  <c r="AD37" i="1"/>
  <c r="AE37" i="1"/>
  <c r="R14" i="3" s="1"/>
  <c r="AF37" i="1"/>
  <c r="AH37" i="1"/>
  <c r="AM37" i="1"/>
  <c r="AN37" i="1"/>
  <c r="AO37" i="1"/>
  <c r="K38" i="1"/>
  <c r="L38" i="1"/>
  <c r="M38" i="1"/>
  <c r="N38" i="1" s="1"/>
  <c r="T38" i="1"/>
  <c r="V38" i="1"/>
  <c r="Y38" i="1"/>
  <c r="Z38" i="1"/>
  <c r="AB38" i="1"/>
  <c r="AC38" i="1"/>
  <c r="AD38" i="1"/>
  <c r="AE38" i="1"/>
  <c r="AF38" i="1"/>
  <c r="AH38" i="1"/>
  <c r="AM38" i="1"/>
  <c r="AN38" i="1"/>
  <c r="AO38" i="1"/>
  <c r="K39" i="1"/>
  <c r="L39" i="1"/>
  <c r="M39" i="1"/>
  <c r="N39" i="1" s="1"/>
  <c r="V39" i="1"/>
  <c r="Y39" i="1"/>
  <c r="Z39" i="1"/>
  <c r="AB39" i="1"/>
  <c r="AC39" i="1"/>
  <c r="AD39" i="1"/>
  <c r="AE39" i="1"/>
  <c r="AF39" i="1"/>
  <c r="AH39" i="1"/>
  <c r="AM39" i="1"/>
  <c r="AN39" i="1"/>
  <c r="AO39" i="1"/>
  <c r="K40" i="1"/>
  <c r="L40" i="1"/>
  <c r="M40" i="1"/>
  <c r="N40" i="1"/>
  <c r="V40" i="1"/>
  <c r="Y40" i="1"/>
  <c r="Z40" i="1"/>
  <c r="AB40" i="1"/>
  <c r="AC40" i="1"/>
  <c r="AD40" i="1"/>
  <c r="T40" i="1" s="1"/>
  <c r="AE40" i="1"/>
  <c r="AF40" i="1"/>
  <c r="AH40" i="1"/>
  <c r="AM40" i="1"/>
  <c r="AN40" i="1"/>
  <c r="AO40" i="1"/>
  <c r="K41" i="1"/>
  <c r="L41" i="1"/>
  <c r="M41" i="1"/>
  <c r="V41" i="1"/>
  <c r="Y41" i="1"/>
  <c r="Z41" i="1"/>
  <c r="AB41" i="1"/>
  <c r="AC41" i="1"/>
  <c r="AD41" i="1"/>
  <c r="AE41" i="1"/>
  <c r="AF41" i="1"/>
  <c r="AH41" i="1"/>
  <c r="AM41" i="1"/>
  <c r="AN41" i="1"/>
  <c r="AO41" i="1"/>
  <c r="K42" i="1"/>
  <c r="L42" i="1"/>
  <c r="M42" i="1"/>
  <c r="N42" i="1" s="1"/>
  <c r="V42" i="1"/>
  <c r="Y42" i="1"/>
  <c r="Z42" i="1"/>
  <c r="AB42" i="1"/>
  <c r="AC42" i="1"/>
  <c r="AD42" i="1"/>
  <c r="T42" i="1" s="1"/>
  <c r="AE42" i="1"/>
  <c r="AF42" i="1"/>
  <c r="AH42" i="1"/>
  <c r="AM42" i="1"/>
  <c r="AN42" i="1"/>
  <c r="AO42" i="1"/>
  <c r="K43" i="1"/>
  <c r="L43" i="1"/>
  <c r="M43" i="1"/>
  <c r="N43" i="1"/>
  <c r="V43" i="1"/>
  <c r="Y43" i="1"/>
  <c r="Z43" i="1"/>
  <c r="AB43" i="1"/>
  <c r="AC43" i="1"/>
  <c r="AD43" i="1"/>
  <c r="AE43" i="1"/>
  <c r="AF43" i="1"/>
  <c r="AH43" i="1"/>
  <c r="AM43" i="1"/>
  <c r="AN43" i="1"/>
  <c r="AO43" i="1"/>
  <c r="K44" i="1"/>
  <c r="L44" i="1"/>
  <c r="M44" i="1"/>
  <c r="N44" i="1"/>
  <c r="V44" i="1"/>
  <c r="Y44" i="1"/>
  <c r="Z44" i="1"/>
  <c r="AB44" i="1"/>
  <c r="AC44" i="1"/>
  <c r="AD44" i="1"/>
  <c r="AE44" i="1"/>
  <c r="AF44" i="1"/>
  <c r="AH44" i="1"/>
  <c r="AM44" i="1"/>
  <c r="AN44" i="1"/>
  <c r="AO44" i="1"/>
  <c r="K45" i="1"/>
  <c r="L45" i="1"/>
  <c r="M45" i="1"/>
  <c r="N45" i="1"/>
  <c r="V45" i="1"/>
  <c r="Y45" i="1"/>
  <c r="Z45" i="1"/>
  <c r="AB45" i="1"/>
  <c r="AC45" i="1"/>
  <c r="AD45" i="1"/>
  <c r="AE45" i="1"/>
  <c r="AF45" i="1"/>
  <c r="AH45" i="1"/>
  <c r="AM45" i="1"/>
  <c r="AN45" i="1"/>
  <c r="AO45" i="1"/>
  <c r="K46" i="1"/>
  <c r="L46" i="1"/>
  <c r="M46" i="1"/>
  <c r="N46" i="1"/>
  <c r="V46" i="1"/>
  <c r="S7" i="3" s="1"/>
  <c r="Y46" i="1"/>
  <c r="Z46" i="1"/>
  <c r="AB46" i="1"/>
  <c r="AC46" i="1"/>
  <c r="AD46" i="1"/>
  <c r="AE46" i="1"/>
  <c r="R7" i="3" s="1"/>
  <c r="AF46" i="1"/>
  <c r="AH46" i="1"/>
  <c r="AM46" i="1"/>
  <c r="AN46" i="1"/>
  <c r="AO46" i="1"/>
  <c r="K47" i="1"/>
  <c r="L47" i="1"/>
  <c r="M47" i="1"/>
  <c r="V47" i="1"/>
  <c r="Y47" i="1"/>
  <c r="Z47" i="1"/>
  <c r="AB47" i="1"/>
  <c r="AC47" i="1"/>
  <c r="AD47" i="1"/>
  <c r="AE47" i="1"/>
  <c r="AF47" i="1"/>
  <c r="AH47" i="1"/>
  <c r="AM47" i="1"/>
  <c r="AN47" i="1"/>
  <c r="AO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AH48" i="1"/>
  <c r="AM48" i="1"/>
  <c r="AN48" i="1"/>
  <c r="AO48" i="1"/>
  <c r="K49" i="1"/>
  <c r="L49" i="1"/>
  <c r="M49" i="1"/>
  <c r="N49" i="1" s="1"/>
  <c r="V49" i="1"/>
  <c r="S20" i="3" s="1"/>
  <c r="Y49" i="1"/>
  <c r="Z49" i="1"/>
  <c r="AB49" i="1"/>
  <c r="AC49" i="1"/>
  <c r="AD49" i="1"/>
  <c r="AE49" i="1"/>
  <c r="AF49" i="1"/>
  <c r="AH49" i="1"/>
  <c r="AM49" i="1"/>
  <c r="AN49" i="1"/>
  <c r="AO49" i="1"/>
  <c r="K50" i="1"/>
  <c r="L50" i="1"/>
  <c r="M50" i="1"/>
  <c r="N50" i="1" s="1"/>
  <c r="V50" i="1"/>
  <c r="Y50" i="1"/>
  <c r="Z50" i="1"/>
  <c r="AB50" i="1"/>
  <c r="AC50" i="1"/>
  <c r="AD50" i="1"/>
  <c r="AE50" i="1"/>
  <c r="AF50" i="1"/>
  <c r="AH50" i="1"/>
  <c r="AM50" i="1"/>
  <c r="AN50" i="1"/>
  <c r="AO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AH51" i="1"/>
  <c r="AM51" i="1"/>
  <c r="AN51" i="1"/>
  <c r="AO51" i="1"/>
  <c r="K52" i="1"/>
  <c r="L52" i="1"/>
  <c r="M52" i="1"/>
  <c r="N52" i="1" s="1"/>
  <c r="V52" i="1"/>
  <c r="Y52" i="1"/>
  <c r="Z52" i="1"/>
  <c r="AB52" i="1"/>
  <c r="AC52" i="1"/>
  <c r="AD52" i="1"/>
  <c r="AE52" i="1"/>
  <c r="AF52" i="1"/>
  <c r="AH52" i="1"/>
  <c r="AM52" i="1"/>
  <c r="AN52" i="1"/>
  <c r="AO52" i="1"/>
  <c r="K53" i="1"/>
  <c r="L53" i="1"/>
  <c r="M53" i="1"/>
  <c r="N53" i="1" s="1"/>
  <c r="V53" i="1"/>
  <c r="Y53" i="1"/>
  <c r="Z53" i="1"/>
  <c r="AB53" i="1"/>
  <c r="AC53" i="1"/>
  <c r="AD53" i="1"/>
  <c r="AE53" i="1"/>
  <c r="AF53" i="1"/>
  <c r="AH53" i="1"/>
  <c r="AM53" i="1"/>
  <c r="AN53" i="1"/>
  <c r="AO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AH54" i="1"/>
  <c r="AM54" i="1"/>
  <c r="AN54" i="1"/>
  <c r="AO54" i="1"/>
  <c r="K55" i="1"/>
  <c r="L55" i="1"/>
  <c r="M55" i="1"/>
  <c r="N55" i="1" s="1"/>
  <c r="V55" i="1"/>
  <c r="Y55" i="1"/>
  <c r="Z55" i="1"/>
  <c r="AB55" i="1"/>
  <c r="AC55" i="1"/>
  <c r="AD55" i="1"/>
  <c r="AE55" i="1"/>
  <c r="AF55" i="1"/>
  <c r="AH55" i="1"/>
  <c r="AM55" i="1"/>
  <c r="AN55" i="1"/>
  <c r="AO55" i="1"/>
  <c r="K56" i="1"/>
  <c r="L56" i="1"/>
  <c r="M56" i="1"/>
  <c r="P56" i="1" s="1"/>
  <c r="V56" i="1"/>
  <c r="Y56" i="1"/>
  <c r="Z56" i="1"/>
  <c r="AB56" i="1"/>
  <c r="AC56" i="1"/>
  <c r="AD56" i="1"/>
  <c r="AE56" i="1"/>
  <c r="AF56" i="1"/>
  <c r="AH56" i="1"/>
  <c r="AM56" i="1"/>
  <c r="AN56" i="1"/>
  <c r="AO56" i="1"/>
  <c r="K57" i="1"/>
  <c r="L57" i="1"/>
  <c r="M57" i="1"/>
  <c r="N57" i="1" s="1"/>
  <c r="V57" i="1"/>
  <c r="Y57" i="1"/>
  <c r="Z57" i="1"/>
  <c r="AB57" i="1"/>
  <c r="AC57" i="1"/>
  <c r="AD57" i="1"/>
  <c r="AE57" i="1"/>
  <c r="AF57" i="1"/>
  <c r="AH57" i="1"/>
  <c r="AM57" i="1"/>
  <c r="AN57" i="1"/>
  <c r="AO57" i="1"/>
  <c r="K58" i="1"/>
  <c r="L58" i="1"/>
  <c r="M58" i="1"/>
  <c r="N58" i="1" s="1"/>
  <c r="V58" i="1"/>
  <c r="Y58" i="1"/>
  <c r="Z58" i="1"/>
  <c r="AB58" i="1"/>
  <c r="AC58" i="1"/>
  <c r="AD58" i="1"/>
  <c r="AE58" i="1"/>
  <c r="AF58" i="1"/>
  <c r="AH58" i="1"/>
  <c r="AM58" i="1"/>
  <c r="AN58" i="1"/>
  <c r="AO58" i="1"/>
  <c r="K59" i="1"/>
  <c r="L59" i="1"/>
  <c r="M59" i="1"/>
  <c r="N59" i="1" s="1"/>
  <c r="V59" i="1"/>
  <c r="Y59" i="1"/>
  <c r="Z59" i="1"/>
  <c r="AB59" i="1"/>
  <c r="AC59" i="1"/>
  <c r="AD59" i="1"/>
  <c r="AE59" i="1"/>
  <c r="AF59" i="1"/>
  <c r="AH59" i="1"/>
  <c r="AM59" i="1"/>
  <c r="AN59" i="1"/>
  <c r="AO59" i="1"/>
  <c r="K60" i="1"/>
  <c r="L60" i="1"/>
  <c r="M60" i="1"/>
  <c r="N60" i="1" s="1"/>
  <c r="V60" i="1"/>
  <c r="Y60" i="1"/>
  <c r="Z60" i="1"/>
  <c r="AB60" i="1"/>
  <c r="AC60" i="1"/>
  <c r="AD60" i="1"/>
  <c r="AE60" i="1"/>
  <c r="AF60" i="1"/>
  <c r="AH60" i="1"/>
  <c r="AM60" i="1"/>
  <c r="AN60" i="1"/>
  <c r="AO60" i="1"/>
  <c r="K61" i="1"/>
  <c r="L61" i="1"/>
  <c r="M61" i="1"/>
  <c r="N61" i="1" s="1"/>
  <c r="V61" i="1"/>
  <c r="Y61" i="1"/>
  <c r="Z61" i="1"/>
  <c r="AB61" i="1"/>
  <c r="AC61" i="1"/>
  <c r="AD61" i="1"/>
  <c r="AE61" i="1"/>
  <c r="AF61" i="1"/>
  <c r="AH61" i="1"/>
  <c r="AM61" i="1"/>
  <c r="AN61" i="1"/>
  <c r="AO61" i="1"/>
  <c r="K62" i="1"/>
  <c r="L62" i="1"/>
  <c r="M62" i="1"/>
  <c r="N62" i="1" s="1"/>
  <c r="V62" i="1"/>
  <c r="S17" i="3" s="1"/>
  <c r="Y62" i="1"/>
  <c r="Z62" i="1"/>
  <c r="AA62" i="1" s="1"/>
  <c r="AB62" i="1"/>
  <c r="AC62" i="1"/>
  <c r="AD62" i="1"/>
  <c r="AE62" i="1"/>
  <c r="R17" i="3" s="1"/>
  <c r="AF62" i="1"/>
  <c r="AH62" i="1"/>
  <c r="AM62" i="1"/>
  <c r="AN62" i="1"/>
  <c r="AO62" i="1"/>
  <c r="K63" i="1"/>
  <c r="L63" i="1"/>
  <c r="M63" i="1"/>
  <c r="N63" i="1" s="1"/>
  <c r="V63" i="1"/>
  <c r="Y63" i="1"/>
  <c r="Z63" i="1"/>
  <c r="AB63" i="1"/>
  <c r="AC63" i="1"/>
  <c r="AD63" i="1"/>
  <c r="AE63" i="1"/>
  <c r="AF63" i="1"/>
  <c r="AH63" i="1"/>
  <c r="AM63" i="1"/>
  <c r="AN63" i="1"/>
  <c r="AO63" i="1"/>
  <c r="K64" i="1"/>
  <c r="L64" i="1"/>
  <c r="M64" i="1"/>
  <c r="N64" i="1" s="1"/>
  <c r="V64" i="1"/>
  <c r="Y64" i="1"/>
  <c r="Z64" i="1"/>
  <c r="AA64" i="1" s="1"/>
  <c r="AB64" i="1"/>
  <c r="AC64" i="1"/>
  <c r="AD64" i="1"/>
  <c r="AE64" i="1"/>
  <c r="AF64" i="1"/>
  <c r="AH64" i="1"/>
  <c r="AM64" i="1"/>
  <c r="AN64" i="1"/>
  <c r="AO64" i="1"/>
  <c r="K65" i="1"/>
  <c r="L65" i="1"/>
  <c r="M65" i="1"/>
  <c r="N65" i="1" s="1"/>
  <c r="V65" i="1"/>
  <c r="Y65" i="1"/>
  <c r="Z65" i="1"/>
  <c r="AB65" i="1"/>
  <c r="AC65" i="1"/>
  <c r="AD65" i="1"/>
  <c r="AE65" i="1"/>
  <c r="AF65" i="1"/>
  <c r="AH65" i="1"/>
  <c r="AM65" i="1"/>
  <c r="AN65" i="1"/>
  <c r="AO65" i="1"/>
  <c r="K66" i="1"/>
  <c r="L66" i="1"/>
  <c r="M66" i="1"/>
  <c r="N66" i="1" s="1"/>
  <c r="V66" i="1"/>
  <c r="Y66" i="1"/>
  <c r="Z66" i="1"/>
  <c r="AB66" i="1"/>
  <c r="AC66" i="1"/>
  <c r="AD66" i="1"/>
  <c r="AE66" i="1"/>
  <c r="AF66" i="1"/>
  <c r="AH66" i="1"/>
  <c r="AM66" i="1"/>
  <c r="AN66" i="1"/>
  <c r="AO66" i="1"/>
  <c r="K67" i="1"/>
  <c r="L67" i="1"/>
  <c r="M67" i="1"/>
  <c r="N67" i="1" s="1"/>
  <c r="V67" i="1"/>
  <c r="Y67" i="1"/>
  <c r="Z67" i="1"/>
  <c r="AB67" i="1"/>
  <c r="AC67" i="1"/>
  <c r="AD67" i="1"/>
  <c r="AE67" i="1"/>
  <c r="AF67" i="1"/>
  <c r="AH67" i="1"/>
  <c r="AM67" i="1"/>
  <c r="AN67" i="1"/>
  <c r="AO67" i="1"/>
  <c r="K68" i="1"/>
  <c r="L68" i="1"/>
  <c r="M68" i="1"/>
  <c r="N68" i="1" s="1"/>
  <c r="V68" i="1"/>
  <c r="Y68" i="1"/>
  <c r="Z68" i="1"/>
  <c r="AB68" i="1"/>
  <c r="AC68" i="1"/>
  <c r="AD68" i="1"/>
  <c r="AE68" i="1"/>
  <c r="AF68" i="1"/>
  <c r="AH68" i="1"/>
  <c r="AM68" i="1"/>
  <c r="AN68" i="1"/>
  <c r="AO68" i="1"/>
  <c r="K69" i="1"/>
  <c r="L69" i="1"/>
  <c r="M69" i="1"/>
  <c r="N69" i="1" s="1"/>
  <c r="V69" i="1"/>
  <c r="Y69" i="1"/>
  <c r="AA69" i="1" s="1"/>
  <c r="Z69" i="1"/>
  <c r="AB69" i="1"/>
  <c r="AC69" i="1"/>
  <c r="AD69" i="1"/>
  <c r="AE69" i="1"/>
  <c r="AF69" i="1"/>
  <c r="AH69" i="1"/>
  <c r="AM69" i="1"/>
  <c r="AN69" i="1"/>
  <c r="AO69" i="1"/>
  <c r="K70" i="1"/>
  <c r="L70" i="1"/>
  <c r="M70" i="1"/>
  <c r="N70" i="1" s="1"/>
  <c r="V70" i="1"/>
  <c r="Y70" i="1"/>
  <c r="Z70" i="1"/>
  <c r="AA70" i="1" s="1"/>
  <c r="AB70" i="1"/>
  <c r="AC70" i="1"/>
  <c r="AD70" i="1"/>
  <c r="AE70" i="1"/>
  <c r="AF70" i="1"/>
  <c r="AH70" i="1"/>
  <c r="AM70" i="1"/>
  <c r="AN70" i="1"/>
  <c r="AO70" i="1"/>
  <c r="K71" i="1"/>
  <c r="L71" i="1"/>
  <c r="M71" i="1"/>
  <c r="N71" i="1" s="1"/>
  <c r="V71" i="1"/>
  <c r="Y71" i="1"/>
  <c r="Z71" i="1"/>
  <c r="AB71" i="1"/>
  <c r="AC71" i="1"/>
  <c r="AD71" i="1"/>
  <c r="AE71" i="1"/>
  <c r="AF71" i="1"/>
  <c r="AH71" i="1"/>
  <c r="AM71" i="1"/>
  <c r="AN71" i="1"/>
  <c r="AO71" i="1"/>
  <c r="K72" i="1"/>
  <c r="L72" i="1"/>
  <c r="M72" i="1"/>
  <c r="N72" i="1" s="1"/>
  <c r="V72" i="1"/>
  <c r="Y72" i="1"/>
  <c r="Z72" i="1"/>
  <c r="AA72" i="1" s="1"/>
  <c r="AB72" i="1"/>
  <c r="AC72" i="1"/>
  <c r="AD72" i="1"/>
  <c r="AE72" i="1"/>
  <c r="AF72" i="1"/>
  <c r="AH72" i="1"/>
  <c r="AM72" i="1"/>
  <c r="AN72" i="1"/>
  <c r="AO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AF73" i="1"/>
  <c r="AH73" i="1"/>
  <c r="AM73" i="1"/>
  <c r="AN73" i="1"/>
  <c r="AO73" i="1"/>
  <c r="K74" i="1"/>
  <c r="L74" i="1"/>
  <c r="M74" i="1"/>
  <c r="N74" i="1"/>
  <c r="V74" i="1"/>
  <c r="Y74" i="1"/>
  <c r="Z74" i="1"/>
  <c r="AB74" i="1"/>
  <c r="AC74" i="1"/>
  <c r="AD74" i="1"/>
  <c r="AE74" i="1"/>
  <c r="AF74" i="1"/>
  <c r="AH74" i="1"/>
  <c r="AM74" i="1"/>
  <c r="AN74" i="1"/>
  <c r="AO74" i="1"/>
  <c r="K75" i="1"/>
  <c r="L75" i="1"/>
  <c r="M75" i="1"/>
  <c r="N75" i="1"/>
  <c r="V75" i="1"/>
  <c r="Y75" i="1"/>
  <c r="Z75" i="1"/>
  <c r="AB75" i="1"/>
  <c r="AC75" i="1"/>
  <c r="AD75" i="1"/>
  <c r="T75" i="1" s="1"/>
  <c r="AE75" i="1"/>
  <c r="AF75" i="1"/>
  <c r="AH75" i="1"/>
  <c r="AM75" i="1"/>
  <c r="AN75" i="1"/>
  <c r="AO75" i="1"/>
  <c r="K76" i="1"/>
  <c r="L76" i="1"/>
  <c r="M76" i="1"/>
  <c r="N76" i="1" s="1"/>
  <c r="V76" i="1"/>
  <c r="Y76" i="1"/>
  <c r="Z76" i="1"/>
  <c r="AB76" i="1"/>
  <c r="AC76" i="1"/>
  <c r="AD76" i="1"/>
  <c r="AE76" i="1"/>
  <c r="AF76" i="1"/>
  <c r="AH76" i="1"/>
  <c r="AM76" i="1"/>
  <c r="AN76" i="1"/>
  <c r="AO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AH77" i="1"/>
  <c r="AM77" i="1"/>
  <c r="AN77" i="1"/>
  <c r="AO77" i="1"/>
  <c r="K78" i="1"/>
  <c r="L78" i="1"/>
  <c r="M78" i="1"/>
  <c r="N78" i="1" s="1"/>
  <c r="V78" i="1"/>
  <c r="Y78" i="1"/>
  <c r="Z78" i="1"/>
  <c r="AB78" i="1"/>
  <c r="AC78" i="1"/>
  <c r="AD78" i="1"/>
  <c r="AE78" i="1"/>
  <c r="AF78" i="1"/>
  <c r="AH78" i="1"/>
  <c r="AM78" i="1"/>
  <c r="AN78" i="1"/>
  <c r="AO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AH79" i="1"/>
  <c r="AM79" i="1"/>
  <c r="AN79" i="1"/>
  <c r="AO79" i="1"/>
  <c r="K80" i="1"/>
  <c r="L80" i="1"/>
  <c r="M80" i="1"/>
  <c r="N80" i="1"/>
  <c r="V80" i="1"/>
  <c r="Y80" i="1"/>
  <c r="Z80" i="1"/>
  <c r="AB80" i="1"/>
  <c r="AC80" i="1"/>
  <c r="AD80" i="1"/>
  <c r="AE80" i="1"/>
  <c r="AF80" i="1"/>
  <c r="AH80" i="1"/>
  <c r="AM80" i="1"/>
  <c r="AN80" i="1"/>
  <c r="AO80" i="1"/>
  <c r="K81" i="1"/>
  <c r="L81" i="1"/>
  <c r="M81" i="1"/>
  <c r="N81" i="1"/>
  <c r="V81" i="1"/>
  <c r="Y81" i="1"/>
  <c r="Z81" i="1"/>
  <c r="AA81" i="1"/>
  <c r="AB81" i="1"/>
  <c r="AC81" i="1"/>
  <c r="AD81" i="1"/>
  <c r="T81" i="1" s="1"/>
  <c r="AE81" i="1"/>
  <c r="AF81" i="1"/>
  <c r="AH81" i="1"/>
  <c r="AM81" i="1"/>
  <c r="AN81" i="1"/>
  <c r="AO81" i="1"/>
  <c r="K82" i="1"/>
  <c r="L82" i="1"/>
  <c r="M82" i="1"/>
  <c r="N82" i="1" s="1"/>
  <c r="V82" i="1"/>
  <c r="Y82" i="1"/>
  <c r="Z82" i="1"/>
  <c r="AB82" i="1"/>
  <c r="AC82" i="1"/>
  <c r="AD82" i="1"/>
  <c r="AE82" i="1"/>
  <c r="AF82" i="1"/>
  <c r="AH82" i="1"/>
  <c r="AM82" i="1"/>
  <c r="AN82" i="1"/>
  <c r="AO82" i="1"/>
  <c r="K83" i="1"/>
  <c r="L83" i="1"/>
  <c r="M83" i="1"/>
  <c r="N83" i="1" s="1"/>
  <c r="V83" i="1"/>
  <c r="Y83" i="1"/>
  <c r="Z83" i="1"/>
  <c r="AB83" i="1"/>
  <c r="AC83" i="1"/>
  <c r="AD83" i="1"/>
  <c r="AE83" i="1"/>
  <c r="AF83" i="1"/>
  <c r="AH83" i="1"/>
  <c r="AM83" i="1"/>
  <c r="AN83" i="1"/>
  <c r="AO83" i="1"/>
  <c r="K85" i="1"/>
  <c r="L85" i="1"/>
  <c r="M85" i="1"/>
  <c r="N85" i="1"/>
  <c r="V85" i="1"/>
  <c r="Y85" i="1"/>
  <c r="Z85" i="1"/>
  <c r="AB85" i="1"/>
  <c r="AC85" i="1"/>
  <c r="AD85" i="1"/>
  <c r="X85" i="1" s="1"/>
  <c r="AE85" i="1"/>
  <c r="AF85" i="1"/>
  <c r="AH85" i="1"/>
  <c r="AM85" i="1"/>
  <c r="AN85" i="1"/>
  <c r="AO85" i="1"/>
  <c r="K86" i="1"/>
  <c r="L86" i="1"/>
  <c r="M86" i="1"/>
  <c r="N86" i="1"/>
  <c r="V86" i="1"/>
  <c r="Y86" i="1"/>
  <c r="AA86" i="1" s="1"/>
  <c r="Z86" i="1"/>
  <c r="AB86" i="1"/>
  <c r="AC86" i="1"/>
  <c r="AD86" i="1"/>
  <c r="T86" i="1" s="1"/>
  <c r="AE86" i="1"/>
  <c r="AF86" i="1"/>
  <c r="AH86" i="1"/>
  <c r="AM86" i="1"/>
  <c r="AN86" i="1"/>
  <c r="AO86" i="1"/>
  <c r="K87" i="1"/>
  <c r="L87" i="1"/>
  <c r="M87" i="1"/>
  <c r="N87" i="1" s="1"/>
  <c r="V87" i="1"/>
  <c r="Y87" i="1"/>
  <c r="Z87" i="1"/>
  <c r="AB87" i="1"/>
  <c r="AC87" i="1"/>
  <c r="AD87" i="1"/>
  <c r="AE87" i="1"/>
  <c r="AF87" i="1"/>
  <c r="AH87" i="1"/>
  <c r="AM87" i="1"/>
  <c r="AN87" i="1"/>
  <c r="AO87" i="1"/>
  <c r="K88" i="1"/>
  <c r="L88" i="1"/>
  <c r="M88" i="1"/>
  <c r="N88" i="1" s="1"/>
  <c r="V88" i="1"/>
  <c r="Y88" i="1"/>
  <c r="Z88" i="1"/>
  <c r="AA88" i="1" s="1"/>
  <c r="AB88" i="1"/>
  <c r="AC88" i="1"/>
  <c r="AD88" i="1"/>
  <c r="T88" i="1" s="1"/>
  <c r="AE88" i="1"/>
  <c r="AF88" i="1"/>
  <c r="AH88" i="1"/>
  <c r="AM88" i="1"/>
  <c r="AN88" i="1"/>
  <c r="AO88" i="1"/>
  <c r="K89" i="1"/>
  <c r="L89" i="1"/>
  <c r="M89" i="1"/>
  <c r="N89" i="1" s="1"/>
  <c r="V89" i="1"/>
  <c r="S24" i="3" s="1"/>
  <c r="Y89" i="1"/>
  <c r="Z89" i="1"/>
  <c r="AA89" i="1" s="1"/>
  <c r="AB89" i="1"/>
  <c r="AC89" i="1"/>
  <c r="AD89" i="1"/>
  <c r="AE89" i="1"/>
  <c r="AF89" i="1"/>
  <c r="AH89" i="1"/>
  <c r="AM89" i="1"/>
  <c r="AN89" i="1"/>
  <c r="AO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AF90" i="1"/>
  <c r="AH90" i="1"/>
  <c r="AM90" i="1"/>
  <c r="AN90" i="1"/>
  <c r="AO90" i="1"/>
  <c r="K91" i="1"/>
  <c r="L91" i="1"/>
  <c r="M91" i="1"/>
  <c r="N91" i="1" s="1"/>
  <c r="T91" i="1"/>
  <c r="V91" i="1"/>
  <c r="Y91" i="1"/>
  <c r="Z91" i="1"/>
  <c r="AB91" i="1"/>
  <c r="AC91" i="1"/>
  <c r="AD91" i="1"/>
  <c r="AE91" i="1"/>
  <c r="AF91" i="1"/>
  <c r="AH91" i="1"/>
  <c r="AM91" i="1"/>
  <c r="AN91" i="1"/>
  <c r="AO91" i="1"/>
  <c r="K92" i="1"/>
  <c r="L92" i="1"/>
  <c r="M92" i="1"/>
  <c r="N92" i="1" s="1"/>
  <c r="V92" i="1"/>
  <c r="Y92" i="1"/>
  <c r="Z92" i="1"/>
  <c r="AA92" i="1" s="1"/>
  <c r="AB92" i="1"/>
  <c r="AC92" i="1"/>
  <c r="AD92" i="1"/>
  <c r="T92" i="1" s="1"/>
  <c r="AE92" i="1"/>
  <c r="AF92" i="1"/>
  <c r="AH92" i="1"/>
  <c r="AM92" i="1"/>
  <c r="AN92" i="1"/>
  <c r="AO92" i="1"/>
  <c r="K93" i="1"/>
  <c r="L93" i="1"/>
  <c r="M93" i="1"/>
  <c r="N93" i="1" s="1"/>
  <c r="V93" i="1"/>
  <c r="Y93" i="1"/>
  <c r="Z93" i="1"/>
  <c r="AB93" i="1"/>
  <c r="AC93" i="1"/>
  <c r="AD93" i="1"/>
  <c r="AE93" i="1"/>
  <c r="AF93" i="1"/>
  <c r="AH93" i="1"/>
  <c r="AM93" i="1"/>
  <c r="AN93" i="1"/>
  <c r="AO93" i="1"/>
  <c r="K94" i="1"/>
  <c r="L94" i="1"/>
  <c r="M94" i="1"/>
  <c r="N94" i="1" s="1"/>
  <c r="V94" i="1"/>
  <c r="Y94" i="1"/>
  <c r="Z94" i="1"/>
  <c r="AB94" i="1"/>
  <c r="AC94" i="1"/>
  <c r="AD94" i="1"/>
  <c r="AE94" i="1"/>
  <c r="AF94" i="1"/>
  <c r="AH94" i="1"/>
  <c r="AM94" i="1"/>
  <c r="AN94" i="1"/>
  <c r="AO94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AH95" i="1"/>
  <c r="AM95" i="1"/>
  <c r="AN95" i="1"/>
  <c r="AO95" i="1"/>
  <c r="K163" i="1"/>
  <c r="L163" i="1"/>
  <c r="M163" i="1"/>
  <c r="N163" i="1" s="1"/>
  <c r="V163" i="1"/>
  <c r="Y163" i="1"/>
  <c r="Z163" i="1"/>
  <c r="AB163" i="1"/>
  <c r="AC163" i="1"/>
  <c r="AD163" i="1"/>
  <c r="AE163" i="1"/>
  <c r="AF163" i="1"/>
  <c r="AH96" i="1"/>
  <c r="AM96" i="1"/>
  <c r="AN96" i="1"/>
  <c r="AO96" i="1"/>
  <c r="K164" i="1"/>
  <c r="L164" i="1"/>
  <c r="M164" i="1"/>
  <c r="N164" i="1" s="1"/>
  <c r="V164" i="1"/>
  <c r="Y164" i="1"/>
  <c r="Z164" i="1"/>
  <c r="AB164" i="1"/>
  <c r="AC164" i="1"/>
  <c r="AD164" i="1"/>
  <c r="AE164" i="1"/>
  <c r="AF164" i="1"/>
  <c r="AH97" i="1"/>
  <c r="AM97" i="1"/>
  <c r="AN97" i="1"/>
  <c r="AO97" i="1"/>
  <c r="K165" i="1"/>
  <c r="L165" i="1"/>
  <c r="M165" i="1"/>
  <c r="N165" i="1" s="1"/>
  <c r="V165" i="1"/>
  <c r="S27" i="3" s="1"/>
  <c r="Y165" i="1"/>
  <c r="Z165" i="1"/>
  <c r="AB165" i="1"/>
  <c r="AC165" i="1"/>
  <c r="AD165" i="1"/>
  <c r="T165" i="1" s="1"/>
  <c r="AE165" i="1"/>
  <c r="R27" i="3" s="1"/>
  <c r="AF165" i="1"/>
  <c r="AH98" i="1"/>
  <c r="AM98" i="1"/>
  <c r="AN98" i="1"/>
  <c r="AO98" i="1"/>
  <c r="K166" i="1"/>
  <c r="L166" i="1"/>
  <c r="M166" i="1"/>
  <c r="N166" i="1" s="1"/>
  <c r="V166" i="1"/>
  <c r="Y166" i="1"/>
  <c r="Z166" i="1"/>
  <c r="AB166" i="1"/>
  <c r="AC166" i="1"/>
  <c r="AD166" i="1"/>
  <c r="AE166" i="1"/>
  <c r="AF166" i="1"/>
  <c r="AH99" i="1"/>
  <c r="AM99" i="1"/>
  <c r="AN99" i="1"/>
  <c r="AO99" i="1"/>
  <c r="K167" i="1"/>
  <c r="L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H100" i="1"/>
  <c r="AM100" i="1"/>
  <c r="AN100" i="1"/>
  <c r="AO100" i="1"/>
  <c r="K168" i="1"/>
  <c r="L168" i="1"/>
  <c r="M168" i="1"/>
  <c r="N168" i="1" s="1"/>
  <c r="V168" i="1"/>
  <c r="S29" i="3" s="1"/>
  <c r="Y168" i="1"/>
  <c r="Z168" i="1"/>
  <c r="AB168" i="1"/>
  <c r="AC168" i="1"/>
  <c r="AD168" i="1"/>
  <c r="AE168" i="1"/>
  <c r="R29" i="3" s="1"/>
  <c r="AF168" i="1"/>
  <c r="AH101" i="1"/>
  <c r="AM101" i="1"/>
  <c r="AN101" i="1"/>
  <c r="AO101" i="1"/>
  <c r="K169" i="1"/>
  <c r="L169" i="1"/>
  <c r="M169" i="1"/>
  <c r="N169" i="1" s="1"/>
  <c r="V169" i="1"/>
  <c r="Y169" i="1"/>
  <c r="Z169" i="1"/>
  <c r="AB169" i="1"/>
  <c r="AC169" i="1"/>
  <c r="AD169" i="1"/>
  <c r="X169" i="1" s="1"/>
  <c r="AE169" i="1"/>
  <c r="AF169" i="1"/>
  <c r="AH102" i="1"/>
  <c r="AM102" i="1"/>
  <c r="AN102" i="1"/>
  <c r="AO102" i="1"/>
  <c r="K170" i="1"/>
  <c r="L170" i="1"/>
  <c r="M170" i="1"/>
  <c r="N170" i="1" s="1"/>
  <c r="V170" i="1"/>
  <c r="Y170" i="1"/>
  <c r="Z170" i="1"/>
  <c r="AB170" i="1"/>
  <c r="AC170" i="1"/>
  <c r="AD170" i="1"/>
  <c r="AE170" i="1"/>
  <c r="AF170" i="1"/>
  <c r="AH103" i="1"/>
  <c r="AM103" i="1"/>
  <c r="AN103" i="1"/>
  <c r="AO103" i="1"/>
  <c r="K171" i="1"/>
  <c r="L171" i="1"/>
  <c r="M171" i="1"/>
  <c r="N171" i="1" s="1"/>
  <c r="V171" i="1"/>
  <c r="Y171" i="1"/>
  <c r="AA171" i="1" s="1"/>
  <c r="Z171" i="1"/>
  <c r="AB171" i="1"/>
  <c r="AC171" i="1"/>
  <c r="AD171" i="1"/>
  <c r="X171" i="1" s="1"/>
  <c r="AE171" i="1"/>
  <c r="AF171" i="1"/>
  <c r="AH104" i="1"/>
  <c r="AM104" i="1"/>
  <c r="AN104" i="1"/>
  <c r="AO104" i="1"/>
  <c r="K95" i="1"/>
  <c r="L95" i="1"/>
  <c r="M95" i="1"/>
  <c r="N95" i="1" s="1"/>
  <c r="V95" i="1"/>
  <c r="Y95" i="1"/>
  <c r="Z95" i="1"/>
  <c r="AB95" i="1"/>
  <c r="AC95" i="1"/>
  <c r="AD95" i="1"/>
  <c r="X95" i="1" s="1"/>
  <c r="AE95" i="1"/>
  <c r="AF95" i="1"/>
  <c r="AH105" i="1"/>
  <c r="AM105" i="1"/>
  <c r="AN105" i="1"/>
  <c r="AO105" i="1"/>
  <c r="K172" i="1"/>
  <c r="L172" i="1"/>
  <c r="M172" i="1"/>
  <c r="N172" i="1" s="1"/>
  <c r="V172" i="1"/>
  <c r="Y172" i="1"/>
  <c r="AA172" i="1" s="1"/>
  <c r="Z172" i="1"/>
  <c r="AB172" i="1"/>
  <c r="AC172" i="1"/>
  <c r="AD172" i="1"/>
  <c r="T172" i="1" s="1"/>
  <c r="AE172" i="1"/>
  <c r="AF172" i="1"/>
  <c r="AH106" i="1"/>
  <c r="AM106" i="1"/>
  <c r="AN106" i="1"/>
  <c r="AO106" i="1"/>
  <c r="K173" i="1"/>
  <c r="L173" i="1"/>
  <c r="M173" i="1"/>
  <c r="N173" i="1" s="1"/>
  <c r="V173" i="1"/>
  <c r="Y173" i="1"/>
  <c r="Z173" i="1"/>
  <c r="AB173" i="1"/>
  <c r="AC173" i="1"/>
  <c r="AD173" i="1"/>
  <c r="X173" i="1" s="1"/>
  <c r="AE173" i="1"/>
  <c r="AF173" i="1"/>
  <c r="AH107" i="1"/>
  <c r="AM107" i="1"/>
  <c r="AN107" i="1"/>
  <c r="AO107" i="1"/>
  <c r="K174" i="1"/>
  <c r="L174" i="1"/>
  <c r="M174" i="1"/>
  <c r="V174" i="1"/>
  <c r="Y174" i="1"/>
  <c r="Z174" i="1"/>
  <c r="AA174" i="1" s="1"/>
  <c r="AB174" i="1"/>
  <c r="AC174" i="1"/>
  <c r="AD174" i="1"/>
  <c r="T174" i="1" s="1"/>
  <c r="AE174" i="1"/>
  <c r="AF174" i="1"/>
  <c r="AH108" i="1"/>
  <c r="AM108" i="1"/>
  <c r="AN108" i="1"/>
  <c r="AO108" i="1"/>
  <c r="K175" i="1"/>
  <c r="L175" i="1"/>
  <c r="M175" i="1"/>
  <c r="N175" i="1" s="1"/>
  <c r="V175" i="1"/>
  <c r="Y175" i="1"/>
  <c r="Z175" i="1"/>
  <c r="AB175" i="1"/>
  <c r="AC175" i="1"/>
  <c r="AD175" i="1"/>
  <c r="AE175" i="1"/>
  <c r="AF175" i="1"/>
  <c r="AH109" i="1"/>
  <c r="AM109" i="1"/>
  <c r="AN109" i="1"/>
  <c r="AO109" i="1"/>
  <c r="K176" i="1"/>
  <c r="L176" i="1"/>
  <c r="M176" i="1"/>
  <c r="N176" i="1" s="1"/>
  <c r="V176" i="1"/>
  <c r="S30" i="3" s="1"/>
  <c r="Y176" i="1"/>
  <c r="Z176" i="1"/>
  <c r="AB176" i="1"/>
  <c r="AC176" i="1"/>
  <c r="AD176" i="1"/>
  <c r="AE176" i="1"/>
  <c r="R30" i="3" s="1"/>
  <c r="AF176" i="1"/>
  <c r="AH110" i="1"/>
  <c r="AM110" i="1"/>
  <c r="AN110" i="1"/>
  <c r="AO110" i="1"/>
  <c r="K177" i="1"/>
  <c r="L177" i="1"/>
  <c r="M177" i="1"/>
  <c r="N177" i="1"/>
  <c r="V177" i="1"/>
  <c r="Y177" i="1"/>
  <c r="Z177" i="1"/>
  <c r="AB177" i="1"/>
  <c r="AC177" i="1"/>
  <c r="AD177" i="1"/>
  <c r="X177" i="1" s="1"/>
  <c r="AE177" i="1"/>
  <c r="AF177" i="1"/>
  <c r="AH111" i="1"/>
  <c r="AM111" i="1"/>
  <c r="AN111" i="1"/>
  <c r="AO111" i="1"/>
  <c r="K178" i="1"/>
  <c r="L178" i="1"/>
  <c r="M178" i="1"/>
  <c r="N178" i="1"/>
  <c r="V178" i="1"/>
  <c r="X178" i="1"/>
  <c r="Y178" i="1"/>
  <c r="Z178" i="1"/>
  <c r="AA178" i="1" s="1"/>
  <c r="AB178" i="1"/>
  <c r="AC178" i="1"/>
  <c r="AD178" i="1"/>
  <c r="T178" i="1" s="1"/>
  <c r="AE178" i="1"/>
  <c r="AF178" i="1"/>
  <c r="AH113" i="1"/>
  <c r="AM113" i="1"/>
  <c r="AN113" i="1"/>
  <c r="AO113" i="1"/>
  <c r="K179" i="1"/>
  <c r="L179" i="1"/>
  <c r="M179" i="1"/>
  <c r="N179" i="1" s="1"/>
  <c r="V179" i="1"/>
  <c r="Y179" i="1"/>
  <c r="Z179" i="1"/>
  <c r="AB179" i="1"/>
  <c r="AC179" i="1"/>
  <c r="AD179" i="1"/>
  <c r="AE179" i="1"/>
  <c r="AF179" i="1"/>
  <c r="AH114" i="1"/>
  <c r="AM114" i="1"/>
  <c r="AN114" i="1"/>
  <c r="AO114" i="1"/>
  <c r="K180" i="1"/>
  <c r="L180" i="1"/>
  <c r="M180" i="1"/>
  <c r="N180" i="1" s="1"/>
  <c r="V180" i="1"/>
  <c r="Y180" i="1"/>
  <c r="Z180" i="1"/>
  <c r="AB180" i="1"/>
  <c r="AC180" i="1"/>
  <c r="AD180" i="1"/>
  <c r="AE180" i="1"/>
  <c r="AF180" i="1"/>
  <c r="AH115" i="1"/>
  <c r="AM115" i="1"/>
  <c r="AN115" i="1"/>
  <c r="AO115" i="1"/>
  <c r="K181" i="1"/>
  <c r="L181" i="1"/>
  <c r="M181" i="1"/>
  <c r="N181" i="1" s="1"/>
  <c r="V181" i="1"/>
  <c r="Y181" i="1"/>
  <c r="Z181" i="1"/>
  <c r="AB181" i="1"/>
  <c r="AC181" i="1"/>
  <c r="AD181" i="1"/>
  <c r="X181" i="1" s="1"/>
  <c r="AE181" i="1"/>
  <c r="AF181" i="1"/>
  <c r="AH116" i="1"/>
  <c r="AM116" i="1"/>
  <c r="AN116" i="1"/>
  <c r="AO116" i="1"/>
  <c r="K96" i="1"/>
  <c r="L96" i="1"/>
  <c r="M96" i="1"/>
  <c r="N96" i="1" s="1"/>
  <c r="V96" i="1"/>
  <c r="Y96" i="1"/>
  <c r="Z96" i="1"/>
  <c r="AA96" i="1" s="1"/>
  <c r="AB96" i="1"/>
  <c r="AC96" i="1"/>
  <c r="AD96" i="1"/>
  <c r="AE96" i="1"/>
  <c r="AF96" i="1"/>
  <c r="AH117" i="1"/>
  <c r="AM117" i="1"/>
  <c r="AN117" i="1"/>
  <c r="AO117" i="1"/>
  <c r="K182" i="1"/>
  <c r="L182" i="1"/>
  <c r="M182" i="1"/>
  <c r="N182" i="1" s="1"/>
  <c r="V182" i="1"/>
  <c r="Y182" i="1"/>
  <c r="Z182" i="1"/>
  <c r="AB182" i="1"/>
  <c r="AC182" i="1"/>
  <c r="AD182" i="1"/>
  <c r="AE182" i="1"/>
  <c r="AF182" i="1"/>
  <c r="AH118" i="1"/>
  <c r="AM118" i="1"/>
  <c r="AN118" i="1"/>
  <c r="AO118" i="1"/>
  <c r="K183" i="1"/>
  <c r="L183" i="1"/>
  <c r="M183" i="1"/>
  <c r="N183" i="1" s="1"/>
  <c r="V183" i="1"/>
  <c r="Y183" i="1"/>
  <c r="Z183" i="1"/>
  <c r="AA183" i="1" s="1"/>
  <c r="AB183" i="1"/>
  <c r="AC183" i="1"/>
  <c r="AD183" i="1"/>
  <c r="T183" i="1" s="1"/>
  <c r="AE183" i="1"/>
  <c r="AF183" i="1"/>
  <c r="AH119" i="1"/>
  <c r="AM119" i="1"/>
  <c r="AN119" i="1"/>
  <c r="AO119" i="1"/>
  <c r="K184" i="1"/>
  <c r="L184" i="1"/>
  <c r="M184" i="1"/>
  <c r="N184" i="1" s="1"/>
  <c r="V184" i="1"/>
  <c r="X184" i="1"/>
  <c r="Y184" i="1"/>
  <c r="Z184" i="1"/>
  <c r="AB184" i="1"/>
  <c r="AC184" i="1"/>
  <c r="AD184" i="1"/>
  <c r="T184" i="1" s="1"/>
  <c r="AE184" i="1"/>
  <c r="AF184" i="1"/>
  <c r="AH120" i="1"/>
  <c r="AM120" i="1"/>
  <c r="AN120" i="1"/>
  <c r="AO120" i="1"/>
  <c r="K185" i="1"/>
  <c r="L185" i="1"/>
  <c r="M185" i="1"/>
  <c r="N185" i="1" s="1"/>
  <c r="V185" i="1"/>
  <c r="Y185" i="1"/>
  <c r="Z185" i="1"/>
  <c r="AA185" i="1" s="1"/>
  <c r="AB185" i="1"/>
  <c r="AC185" i="1"/>
  <c r="AD185" i="1"/>
  <c r="T185" i="1" s="1"/>
  <c r="AE185" i="1"/>
  <c r="AF185" i="1"/>
  <c r="AH121" i="1"/>
  <c r="AM121" i="1"/>
  <c r="AN121" i="1"/>
  <c r="AO121" i="1"/>
  <c r="K186" i="1"/>
  <c r="L186" i="1"/>
  <c r="M186" i="1"/>
  <c r="N186" i="1" s="1"/>
  <c r="V186" i="1"/>
  <c r="S31" i="3" s="1"/>
  <c r="Y186" i="1"/>
  <c r="Z186" i="1"/>
  <c r="AA186" i="1" s="1"/>
  <c r="AB186" i="1"/>
  <c r="AC186" i="1"/>
  <c r="AD186" i="1"/>
  <c r="T186" i="1" s="1"/>
  <c r="AE186" i="1"/>
  <c r="R31" i="3" s="1"/>
  <c r="AF186" i="1"/>
  <c r="AH122" i="1"/>
  <c r="AM122" i="1"/>
  <c r="AN122" i="1"/>
  <c r="AO122" i="1"/>
  <c r="K187" i="1"/>
  <c r="L187" i="1"/>
  <c r="M187" i="1"/>
  <c r="N187" i="1" s="1"/>
  <c r="V187" i="1"/>
  <c r="Y187" i="1"/>
  <c r="Z187" i="1"/>
  <c r="AB187" i="1"/>
  <c r="AC187" i="1"/>
  <c r="AD187" i="1"/>
  <c r="X187" i="1" s="1"/>
  <c r="AE187" i="1"/>
  <c r="AF187" i="1"/>
  <c r="AH123" i="1"/>
  <c r="AM123" i="1"/>
  <c r="AN123" i="1"/>
  <c r="AO123" i="1"/>
  <c r="K188" i="1"/>
  <c r="L188" i="1"/>
  <c r="M188" i="1"/>
  <c r="N188" i="1" s="1"/>
  <c r="V188" i="1"/>
  <c r="Y188" i="1"/>
  <c r="Z188" i="1"/>
  <c r="AA188" i="1" s="1"/>
  <c r="AB188" i="1"/>
  <c r="AC188" i="1"/>
  <c r="AD188" i="1"/>
  <c r="AE188" i="1"/>
  <c r="AF188" i="1"/>
  <c r="AH124" i="1"/>
  <c r="AM124" i="1"/>
  <c r="AN124" i="1"/>
  <c r="AO124" i="1"/>
  <c r="K189" i="1"/>
  <c r="L189" i="1"/>
  <c r="M189" i="1"/>
  <c r="N189" i="1" s="1"/>
  <c r="V189" i="1"/>
  <c r="Y189" i="1"/>
  <c r="Z189" i="1"/>
  <c r="AA189" i="1" s="1"/>
  <c r="AB189" i="1"/>
  <c r="AC189" i="1"/>
  <c r="AD189" i="1"/>
  <c r="T189" i="1" s="1"/>
  <c r="AE189" i="1"/>
  <c r="AF189" i="1"/>
  <c r="AH125" i="1"/>
  <c r="AM125" i="1"/>
  <c r="AN125" i="1"/>
  <c r="AO125" i="1"/>
  <c r="K190" i="1"/>
  <c r="L190" i="1"/>
  <c r="M190" i="1"/>
  <c r="N190" i="1" s="1"/>
  <c r="V190" i="1"/>
  <c r="S32" i="3" s="1"/>
  <c r="Y190" i="1"/>
  <c r="Z190" i="1"/>
  <c r="AA190" i="1" s="1"/>
  <c r="AB190" i="1"/>
  <c r="AC190" i="1"/>
  <c r="AD190" i="1"/>
  <c r="X190" i="1" s="1"/>
  <c r="AE190" i="1"/>
  <c r="R32" i="3" s="1"/>
  <c r="AF190" i="1"/>
  <c r="AH126" i="1"/>
  <c r="AM126" i="1"/>
  <c r="AN126" i="1"/>
  <c r="AO126" i="1"/>
  <c r="K191" i="1"/>
  <c r="L191" i="1"/>
  <c r="M191" i="1"/>
  <c r="N191" i="1" s="1"/>
  <c r="V191" i="1"/>
  <c r="Y191" i="1"/>
  <c r="Z191" i="1"/>
  <c r="AA191" i="1" s="1"/>
  <c r="AB191" i="1"/>
  <c r="AC191" i="1"/>
  <c r="AD191" i="1"/>
  <c r="T191" i="1" s="1"/>
  <c r="AE191" i="1"/>
  <c r="AF191" i="1"/>
  <c r="AH127" i="1"/>
  <c r="AM127" i="1"/>
  <c r="AN127" i="1"/>
  <c r="AO127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AF97" i="1"/>
  <c r="AH128" i="1"/>
  <c r="AM128" i="1"/>
  <c r="AN128" i="1"/>
  <c r="AO128" i="1"/>
  <c r="K192" i="1"/>
  <c r="L192" i="1"/>
  <c r="M192" i="1"/>
  <c r="N192" i="1" s="1"/>
  <c r="V192" i="1"/>
  <c r="Y192" i="1"/>
  <c r="Z192" i="1"/>
  <c r="AA192" i="1" s="1"/>
  <c r="AB192" i="1"/>
  <c r="AC192" i="1"/>
  <c r="AD192" i="1"/>
  <c r="T192" i="1" s="1"/>
  <c r="AE192" i="1"/>
  <c r="AF192" i="1"/>
  <c r="AH129" i="1"/>
  <c r="AM129" i="1"/>
  <c r="AN129" i="1"/>
  <c r="AO129" i="1"/>
  <c r="K193" i="1"/>
  <c r="L193" i="1"/>
  <c r="M193" i="1"/>
  <c r="N193" i="1" s="1"/>
  <c r="V193" i="1"/>
  <c r="Y193" i="1"/>
  <c r="Z193" i="1"/>
  <c r="AA193" i="1" s="1"/>
  <c r="AB193" i="1"/>
  <c r="AC193" i="1"/>
  <c r="AD193" i="1"/>
  <c r="T193" i="1" s="1"/>
  <c r="AE193" i="1"/>
  <c r="AF193" i="1"/>
  <c r="AH130" i="1"/>
  <c r="AM130" i="1"/>
  <c r="AN130" i="1"/>
  <c r="AO130" i="1"/>
  <c r="K194" i="1"/>
  <c r="L194" i="1"/>
  <c r="M194" i="1"/>
  <c r="N194" i="1" s="1"/>
  <c r="V194" i="1"/>
  <c r="Y194" i="1"/>
  <c r="Z194" i="1"/>
  <c r="AA194" i="1" s="1"/>
  <c r="AB194" i="1"/>
  <c r="AC194" i="1"/>
  <c r="AD194" i="1"/>
  <c r="AE194" i="1"/>
  <c r="AF194" i="1"/>
  <c r="AH131" i="1"/>
  <c r="AM131" i="1"/>
  <c r="AN131" i="1"/>
  <c r="AO131" i="1"/>
  <c r="K195" i="1"/>
  <c r="L195" i="1"/>
  <c r="M195" i="1"/>
  <c r="N195" i="1" s="1"/>
  <c r="V195" i="1"/>
  <c r="Y195" i="1"/>
  <c r="AA195" i="1" s="1"/>
  <c r="Z195" i="1"/>
  <c r="AB195" i="1"/>
  <c r="AC195" i="1"/>
  <c r="AD195" i="1"/>
  <c r="X195" i="1" s="1"/>
  <c r="AE195" i="1"/>
  <c r="AF195" i="1"/>
  <c r="AH132" i="1"/>
  <c r="AM132" i="1"/>
  <c r="AN132" i="1"/>
  <c r="AO132" i="1"/>
  <c r="K196" i="1"/>
  <c r="L196" i="1"/>
  <c r="M196" i="1"/>
  <c r="N196" i="1" s="1"/>
  <c r="V196" i="1"/>
  <c r="S33" i="3" s="1"/>
  <c r="Y196" i="1"/>
  <c r="Z196" i="1"/>
  <c r="AB196" i="1"/>
  <c r="AC196" i="1"/>
  <c r="AD196" i="1"/>
  <c r="T196" i="1" s="1"/>
  <c r="AE196" i="1"/>
  <c r="R33" i="3" s="1"/>
  <c r="AF196" i="1"/>
  <c r="AH133" i="1"/>
  <c r="AM133" i="1"/>
  <c r="AN133" i="1"/>
  <c r="AO133" i="1"/>
  <c r="K197" i="1"/>
  <c r="L197" i="1"/>
  <c r="M197" i="1"/>
  <c r="N197" i="1"/>
  <c r="V197" i="1"/>
  <c r="Y197" i="1"/>
  <c r="Z197" i="1"/>
  <c r="AB197" i="1"/>
  <c r="AC197" i="1"/>
  <c r="AD197" i="1"/>
  <c r="X197" i="1" s="1"/>
  <c r="AE197" i="1"/>
  <c r="AF197" i="1"/>
  <c r="AH134" i="1"/>
  <c r="AM134" i="1"/>
  <c r="AN134" i="1"/>
  <c r="AO134" i="1"/>
  <c r="K98" i="1"/>
  <c r="L98" i="1"/>
  <c r="M98" i="1"/>
  <c r="N98" i="1" s="1"/>
  <c r="T98" i="1"/>
  <c r="V98" i="1"/>
  <c r="Y98" i="1"/>
  <c r="Z98" i="1"/>
  <c r="AA98" i="1"/>
  <c r="AB98" i="1"/>
  <c r="AC98" i="1"/>
  <c r="AD98" i="1"/>
  <c r="AE98" i="1"/>
  <c r="AF98" i="1"/>
  <c r="AH135" i="1"/>
  <c r="AM135" i="1"/>
  <c r="AN135" i="1"/>
  <c r="AO135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AF99" i="1"/>
  <c r="AH136" i="1"/>
  <c r="AM136" i="1"/>
  <c r="AN136" i="1"/>
  <c r="AO136" i="1"/>
  <c r="K100" i="1"/>
  <c r="L100" i="1"/>
  <c r="M100" i="1"/>
  <c r="N100" i="1" s="1"/>
  <c r="T100" i="1"/>
  <c r="V100" i="1"/>
  <c r="Y100" i="1"/>
  <c r="AA100" i="1" s="1"/>
  <c r="Z100" i="1"/>
  <c r="AB100" i="1"/>
  <c r="AC100" i="1"/>
  <c r="AD100" i="1"/>
  <c r="X101" i="1" s="1"/>
  <c r="AE100" i="1"/>
  <c r="AF100" i="1"/>
  <c r="AH137" i="1"/>
  <c r="AM137" i="1"/>
  <c r="AN137" i="1"/>
  <c r="AO137" i="1"/>
  <c r="K101" i="1"/>
  <c r="L101" i="1"/>
  <c r="M101" i="1"/>
  <c r="N101" i="1" s="1"/>
  <c r="V101" i="1"/>
  <c r="Y101" i="1"/>
  <c r="AA101" i="1" s="1"/>
  <c r="Z101" i="1"/>
  <c r="AB101" i="1"/>
  <c r="AC101" i="1"/>
  <c r="AD101" i="1"/>
  <c r="T101" i="1" s="1"/>
  <c r="AE101" i="1"/>
  <c r="AF101" i="1"/>
  <c r="AH138" i="1"/>
  <c r="AM138" i="1"/>
  <c r="AN138" i="1"/>
  <c r="AO138" i="1"/>
  <c r="K102" i="1"/>
  <c r="L102" i="1"/>
  <c r="M102" i="1"/>
  <c r="N102" i="1" s="1"/>
  <c r="V102" i="1"/>
  <c r="Y102" i="1"/>
  <c r="Z102" i="1"/>
  <c r="AB102" i="1"/>
  <c r="AC102" i="1"/>
  <c r="AD102" i="1"/>
  <c r="AE102" i="1"/>
  <c r="AF102" i="1"/>
  <c r="AH139" i="1"/>
  <c r="AM139" i="1"/>
  <c r="AN139" i="1"/>
  <c r="AO139" i="1"/>
  <c r="K103" i="1"/>
  <c r="L103" i="1"/>
  <c r="M103" i="1"/>
  <c r="N103" i="1" s="1"/>
  <c r="V103" i="1"/>
  <c r="Y103" i="1"/>
  <c r="Z103" i="1"/>
  <c r="AA103" i="1" s="1"/>
  <c r="AB103" i="1"/>
  <c r="AC103" i="1"/>
  <c r="AD103" i="1"/>
  <c r="AE103" i="1"/>
  <c r="AF103" i="1"/>
  <c r="AH140" i="1"/>
  <c r="AM140" i="1"/>
  <c r="AN140" i="1"/>
  <c r="AO140" i="1"/>
  <c r="K104" i="1"/>
  <c r="L104" i="1"/>
  <c r="M104" i="1"/>
  <c r="N104" i="1" s="1"/>
  <c r="V104" i="1"/>
  <c r="Y104" i="1"/>
  <c r="Z104" i="1"/>
  <c r="AA104" i="1" s="1"/>
  <c r="AB104" i="1"/>
  <c r="AC104" i="1"/>
  <c r="AD104" i="1"/>
  <c r="T104" i="1" s="1"/>
  <c r="AE104" i="1"/>
  <c r="AF104" i="1"/>
  <c r="AH141" i="1"/>
  <c r="AM141" i="1"/>
  <c r="AN141" i="1"/>
  <c r="AO141" i="1"/>
  <c r="K211" i="1"/>
  <c r="L211" i="1"/>
  <c r="M211" i="1"/>
  <c r="N211" i="1" s="1"/>
  <c r="V211" i="1"/>
  <c r="Y211" i="1"/>
  <c r="Z211" i="1"/>
  <c r="AA211" i="1" s="1"/>
  <c r="AB211" i="1"/>
  <c r="AC211" i="1"/>
  <c r="AD211" i="1"/>
  <c r="AE211" i="1"/>
  <c r="AF211" i="1"/>
  <c r="AH144" i="1"/>
  <c r="AM144" i="1"/>
  <c r="AN144" i="1"/>
  <c r="AO144" i="1"/>
  <c r="K212" i="1"/>
  <c r="L212" i="1"/>
  <c r="M212" i="1"/>
  <c r="N212" i="1" s="1"/>
  <c r="V212" i="1"/>
  <c r="Y212" i="1"/>
  <c r="Z212" i="1"/>
  <c r="AA212" i="1" s="1"/>
  <c r="AB212" i="1"/>
  <c r="AC212" i="1"/>
  <c r="AD212" i="1"/>
  <c r="T212" i="1" s="1"/>
  <c r="AE212" i="1"/>
  <c r="AF212" i="1"/>
  <c r="AH145" i="1"/>
  <c r="AM145" i="1"/>
  <c r="AN145" i="1"/>
  <c r="AO145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AH146" i="1"/>
  <c r="AM146" i="1"/>
  <c r="AN146" i="1"/>
  <c r="AO146" i="1"/>
  <c r="K106" i="1"/>
  <c r="L106" i="1"/>
  <c r="M106" i="1"/>
  <c r="N106" i="1" s="1"/>
  <c r="T106" i="1"/>
  <c r="V106" i="1"/>
  <c r="Y106" i="1"/>
  <c r="Z106" i="1"/>
  <c r="AB106" i="1"/>
  <c r="AC106" i="1"/>
  <c r="AD106" i="1"/>
  <c r="AE106" i="1"/>
  <c r="AF106" i="1"/>
  <c r="AH147" i="1"/>
  <c r="AM147" i="1"/>
  <c r="AN147" i="1"/>
  <c r="AO147" i="1"/>
  <c r="K107" i="1"/>
  <c r="L107" i="1"/>
  <c r="M107" i="1"/>
  <c r="N107" i="1" s="1"/>
  <c r="V107" i="1"/>
  <c r="X107" i="1"/>
  <c r="Y107" i="1"/>
  <c r="Z107" i="1"/>
  <c r="AB107" i="1"/>
  <c r="AC107" i="1"/>
  <c r="AD107" i="1"/>
  <c r="T107" i="1" s="1"/>
  <c r="AE107" i="1"/>
  <c r="AF107" i="1"/>
  <c r="AH148" i="1"/>
  <c r="AM148" i="1"/>
  <c r="AN148" i="1"/>
  <c r="AO148" i="1"/>
  <c r="K108" i="1"/>
  <c r="L108" i="1"/>
  <c r="M108" i="1"/>
  <c r="N108" i="1" s="1"/>
  <c r="V108" i="1"/>
  <c r="Y108" i="1"/>
  <c r="Z108" i="1"/>
  <c r="AA108" i="1" s="1"/>
  <c r="AB108" i="1"/>
  <c r="AC108" i="1"/>
  <c r="AD108" i="1"/>
  <c r="AE108" i="1"/>
  <c r="AF108" i="1"/>
  <c r="AH149" i="1"/>
  <c r="AM149" i="1"/>
  <c r="AN149" i="1"/>
  <c r="AO149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AH150" i="1"/>
  <c r="AM150" i="1"/>
  <c r="AN150" i="1"/>
  <c r="AO150" i="1"/>
  <c r="K110" i="1"/>
  <c r="L110" i="1"/>
  <c r="M110" i="1"/>
  <c r="N110" i="1" s="1"/>
  <c r="V110" i="1"/>
  <c r="Y110" i="1"/>
  <c r="Z110" i="1"/>
  <c r="AB110" i="1"/>
  <c r="AC110" i="1"/>
  <c r="AD110" i="1"/>
  <c r="AE110" i="1"/>
  <c r="AF110" i="1"/>
  <c r="AH151" i="1"/>
  <c r="AM151" i="1"/>
  <c r="AN151" i="1"/>
  <c r="AO151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AH152" i="1"/>
  <c r="AM152" i="1"/>
  <c r="AN152" i="1"/>
  <c r="AO152" i="1"/>
  <c r="K113" i="1"/>
  <c r="L113" i="1"/>
  <c r="M113" i="1"/>
  <c r="N113" i="1" s="1"/>
  <c r="V113" i="1"/>
  <c r="Y113" i="1"/>
  <c r="AA113" i="1" s="1"/>
  <c r="Z113" i="1"/>
  <c r="AB113" i="1"/>
  <c r="AC113" i="1"/>
  <c r="AD113" i="1"/>
  <c r="AE113" i="1"/>
  <c r="AF113" i="1"/>
  <c r="AH153" i="1"/>
  <c r="AM153" i="1"/>
  <c r="AN153" i="1"/>
  <c r="AO153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AF114" i="1"/>
  <c r="AH154" i="1"/>
  <c r="AM154" i="1"/>
  <c r="AN154" i="1"/>
  <c r="AO154" i="1"/>
  <c r="K115" i="1"/>
  <c r="L115" i="1"/>
  <c r="M115" i="1"/>
  <c r="P115" i="1" s="1"/>
  <c r="V115" i="1"/>
  <c r="S16" i="3" s="1"/>
  <c r="Y115" i="1"/>
  <c r="AA115" i="1" s="1"/>
  <c r="Z115" i="1"/>
  <c r="AB115" i="1"/>
  <c r="AC115" i="1"/>
  <c r="AD115" i="1"/>
  <c r="X115" i="1" s="1"/>
  <c r="AE115" i="1"/>
  <c r="R16" i="3" s="1"/>
  <c r="AF115" i="1"/>
  <c r="AH155" i="1"/>
  <c r="AM155" i="1"/>
  <c r="AN155" i="1"/>
  <c r="AO155" i="1"/>
  <c r="K116" i="1"/>
  <c r="L116" i="1"/>
  <c r="M116" i="1"/>
  <c r="N116" i="1" s="1"/>
  <c r="T116" i="1"/>
  <c r="V116" i="1"/>
  <c r="X116" i="1"/>
  <c r="Y116" i="1"/>
  <c r="Z116" i="1"/>
  <c r="AB116" i="1"/>
  <c r="AC116" i="1"/>
  <c r="AD116" i="1"/>
  <c r="AE116" i="1"/>
  <c r="AF116" i="1"/>
  <c r="AH156" i="1"/>
  <c r="AM156" i="1"/>
  <c r="AN156" i="1"/>
  <c r="AO156" i="1"/>
  <c r="K117" i="1"/>
  <c r="L117" i="1"/>
  <c r="M117" i="1"/>
  <c r="N117" i="1" s="1"/>
  <c r="V117" i="1"/>
  <c r="Y117" i="1"/>
  <c r="AA117" i="1" s="1"/>
  <c r="Z117" i="1"/>
  <c r="AB117" i="1"/>
  <c r="AC117" i="1"/>
  <c r="AD117" i="1"/>
  <c r="T117" i="1" s="1"/>
  <c r="AE117" i="1"/>
  <c r="AF117" i="1"/>
  <c r="AH157" i="1"/>
  <c r="AM157" i="1"/>
  <c r="AN157" i="1"/>
  <c r="AO157" i="1"/>
  <c r="K118" i="1"/>
  <c r="L118" i="1"/>
  <c r="M118" i="1"/>
  <c r="N118" i="1" s="1"/>
  <c r="T118" i="1"/>
  <c r="V118" i="1"/>
  <c r="X118" i="1"/>
  <c r="Y118" i="1"/>
  <c r="Z118" i="1"/>
  <c r="AB118" i="1"/>
  <c r="AC118" i="1"/>
  <c r="AD118" i="1"/>
  <c r="AE118" i="1"/>
  <c r="AF118" i="1"/>
  <c r="AH161" i="1"/>
  <c r="AM161" i="1"/>
  <c r="AN161" i="1"/>
  <c r="AO161" i="1"/>
  <c r="K119" i="1"/>
  <c r="L119" i="1"/>
  <c r="M119" i="1"/>
  <c r="N119" i="1" s="1"/>
  <c r="V119" i="1"/>
  <c r="Y119" i="1"/>
  <c r="AA119" i="1" s="1"/>
  <c r="Z119" i="1"/>
  <c r="AB119" i="1"/>
  <c r="AC119" i="1"/>
  <c r="AD119" i="1"/>
  <c r="X119" i="1" s="1"/>
  <c r="AE119" i="1"/>
  <c r="AF119" i="1"/>
  <c r="AH162" i="1"/>
  <c r="AM162" i="1"/>
  <c r="AN162" i="1"/>
  <c r="AO162" i="1"/>
  <c r="K120" i="1"/>
  <c r="L120" i="1"/>
  <c r="M120" i="1"/>
  <c r="N120" i="1" s="1"/>
  <c r="T120" i="1"/>
  <c r="V120" i="1"/>
  <c r="X120" i="1"/>
  <c r="Y120" i="1"/>
  <c r="Z120" i="1"/>
  <c r="AB120" i="1"/>
  <c r="AC120" i="1"/>
  <c r="AD120" i="1"/>
  <c r="AE120" i="1"/>
  <c r="AF120" i="1"/>
  <c r="AH163" i="1"/>
  <c r="AM163" i="1"/>
  <c r="AN163" i="1"/>
  <c r="AO163" i="1"/>
  <c r="K121" i="1"/>
  <c r="L121" i="1"/>
  <c r="M121" i="1"/>
  <c r="N121" i="1" s="1"/>
  <c r="V121" i="1"/>
  <c r="Y121" i="1"/>
  <c r="AA121" i="1" s="1"/>
  <c r="Z121" i="1"/>
  <c r="AB121" i="1"/>
  <c r="AC121" i="1"/>
  <c r="AD121" i="1"/>
  <c r="T121" i="1" s="1"/>
  <c r="AE121" i="1"/>
  <c r="AF121" i="1"/>
  <c r="AH164" i="1"/>
  <c r="AM164" i="1"/>
  <c r="AN164" i="1"/>
  <c r="AO164" i="1"/>
  <c r="K122" i="1"/>
  <c r="L122" i="1"/>
  <c r="M122" i="1"/>
  <c r="N122" i="1" s="1"/>
  <c r="T122" i="1"/>
  <c r="V122" i="1"/>
  <c r="X122" i="1"/>
  <c r="Y122" i="1"/>
  <c r="Z122" i="1"/>
  <c r="AB122" i="1"/>
  <c r="AC122" i="1"/>
  <c r="AD122" i="1"/>
  <c r="AE122" i="1"/>
  <c r="AF122" i="1"/>
  <c r="AH165" i="1"/>
  <c r="AM165" i="1"/>
  <c r="AN165" i="1"/>
  <c r="AO165" i="1"/>
  <c r="K123" i="1"/>
  <c r="L123" i="1"/>
  <c r="M123" i="1"/>
  <c r="N123" i="1" s="1"/>
  <c r="V123" i="1"/>
  <c r="Y123" i="1"/>
  <c r="AA123" i="1" s="1"/>
  <c r="Z123" i="1"/>
  <c r="AB123" i="1"/>
  <c r="AC123" i="1"/>
  <c r="AD123" i="1"/>
  <c r="X123" i="1" s="1"/>
  <c r="AE123" i="1"/>
  <c r="AF123" i="1"/>
  <c r="AH166" i="1"/>
  <c r="AM166" i="1"/>
  <c r="AN166" i="1"/>
  <c r="AO166" i="1"/>
  <c r="K124" i="1"/>
  <c r="L124" i="1"/>
  <c r="M124" i="1"/>
  <c r="N124" i="1" s="1"/>
  <c r="T124" i="1"/>
  <c r="V124" i="1"/>
  <c r="X124" i="1"/>
  <c r="Y124" i="1"/>
  <c r="Z124" i="1"/>
  <c r="AB124" i="1"/>
  <c r="AC124" i="1"/>
  <c r="AD124" i="1"/>
  <c r="AE124" i="1"/>
  <c r="AF124" i="1"/>
  <c r="AH167" i="1"/>
  <c r="AM167" i="1"/>
  <c r="AN167" i="1"/>
  <c r="AO167" i="1"/>
  <c r="K125" i="1"/>
  <c r="L125" i="1"/>
  <c r="M125" i="1"/>
  <c r="N125" i="1" s="1"/>
  <c r="V125" i="1"/>
  <c r="Y125" i="1"/>
  <c r="AA125" i="1" s="1"/>
  <c r="Z125" i="1"/>
  <c r="AB125" i="1"/>
  <c r="AC125" i="1"/>
  <c r="AD125" i="1"/>
  <c r="T125" i="1" s="1"/>
  <c r="AE125" i="1"/>
  <c r="AF125" i="1"/>
  <c r="AH168" i="1"/>
  <c r="AM168" i="1"/>
  <c r="AN168" i="1"/>
  <c r="AO168" i="1"/>
  <c r="K126" i="1"/>
  <c r="L126" i="1"/>
  <c r="M126" i="1"/>
  <c r="N126" i="1" s="1"/>
  <c r="T126" i="1"/>
  <c r="V126" i="1"/>
  <c r="X126" i="1"/>
  <c r="Y126" i="1"/>
  <c r="Z126" i="1"/>
  <c r="AB126" i="1"/>
  <c r="AC126" i="1"/>
  <c r="AD126" i="1"/>
  <c r="AE126" i="1"/>
  <c r="AF126" i="1"/>
  <c r="AH169" i="1"/>
  <c r="AM169" i="1"/>
  <c r="AN169" i="1"/>
  <c r="AO169" i="1"/>
  <c r="K127" i="1"/>
  <c r="L127" i="1"/>
  <c r="M127" i="1"/>
  <c r="P127" i="1" s="1"/>
  <c r="V127" i="1"/>
  <c r="S22" i="3" s="1"/>
  <c r="Y127" i="1"/>
  <c r="AA127" i="1" s="1"/>
  <c r="Z127" i="1"/>
  <c r="AB127" i="1"/>
  <c r="AC127" i="1"/>
  <c r="AD127" i="1"/>
  <c r="X127" i="1" s="1"/>
  <c r="AE127" i="1"/>
  <c r="R22" i="3" s="1"/>
  <c r="AF127" i="1"/>
  <c r="AH170" i="1"/>
  <c r="AM170" i="1"/>
  <c r="AN170" i="1"/>
  <c r="AO170" i="1"/>
  <c r="K128" i="1"/>
  <c r="L128" i="1"/>
  <c r="M128" i="1"/>
  <c r="N128" i="1" s="1"/>
  <c r="T128" i="1"/>
  <c r="V128" i="1"/>
  <c r="X128" i="1"/>
  <c r="Y128" i="1"/>
  <c r="Z128" i="1"/>
  <c r="AB128" i="1"/>
  <c r="AC128" i="1"/>
  <c r="AD128" i="1"/>
  <c r="AE128" i="1"/>
  <c r="AF128" i="1"/>
  <c r="AH171" i="1"/>
  <c r="AM171" i="1"/>
  <c r="AN171" i="1"/>
  <c r="AO171" i="1"/>
  <c r="K129" i="1"/>
  <c r="L129" i="1"/>
  <c r="M129" i="1"/>
  <c r="N129" i="1" s="1"/>
  <c r="V129" i="1"/>
  <c r="Y129" i="1"/>
  <c r="AA129" i="1" s="1"/>
  <c r="Z129" i="1"/>
  <c r="AB129" i="1"/>
  <c r="AC129" i="1"/>
  <c r="AD129" i="1"/>
  <c r="T129" i="1" s="1"/>
  <c r="AE129" i="1"/>
  <c r="AF129" i="1"/>
  <c r="AH172" i="1"/>
  <c r="AM172" i="1"/>
  <c r="AN172" i="1"/>
  <c r="AO172" i="1"/>
  <c r="K130" i="1"/>
  <c r="L130" i="1"/>
  <c r="M130" i="1"/>
  <c r="N130" i="1" s="1"/>
  <c r="T130" i="1"/>
  <c r="V130" i="1"/>
  <c r="X130" i="1"/>
  <c r="Y130" i="1"/>
  <c r="Z130" i="1"/>
  <c r="AB130" i="1"/>
  <c r="AC130" i="1"/>
  <c r="AD130" i="1"/>
  <c r="AE130" i="1"/>
  <c r="AF130" i="1"/>
  <c r="AH173" i="1"/>
  <c r="AM173" i="1"/>
  <c r="AN173" i="1"/>
  <c r="AO173" i="1"/>
  <c r="K131" i="1"/>
  <c r="L131" i="1"/>
  <c r="M131" i="1"/>
  <c r="N131" i="1" s="1"/>
  <c r="V131" i="1"/>
  <c r="Y131" i="1"/>
  <c r="AA131" i="1" s="1"/>
  <c r="Z131" i="1"/>
  <c r="AB131" i="1"/>
  <c r="AC131" i="1"/>
  <c r="AD131" i="1"/>
  <c r="X131" i="1" s="1"/>
  <c r="AE131" i="1"/>
  <c r="AF131" i="1"/>
  <c r="AH174" i="1"/>
  <c r="AM174" i="1"/>
  <c r="AN174" i="1"/>
  <c r="AO174" i="1"/>
  <c r="K132" i="1"/>
  <c r="L132" i="1"/>
  <c r="M132" i="1"/>
  <c r="N132" i="1" s="1"/>
  <c r="V132" i="1"/>
  <c r="S15" i="3" s="1"/>
  <c r="Y132" i="1"/>
  <c r="Z132" i="1"/>
  <c r="AB132" i="1"/>
  <c r="AC132" i="1"/>
  <c r="AD132" i="1"/>
  <c r="X132" i="1" s="1"/>
  <c r="AE132" i="1"/>
  <c r="R15" i="3" s="1"/>
  <c r="AF132" i="1"/>
  <c r="AH175" i="1"/>
  <c r="AM175" i="1"/>
  <c r="AN175" i="1"/>
  <c r="AO175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AH176" i="1"/>
  <c r="AM176" i="1"/>
  <c r="AN176" i="1"/>
  <c r="AO176" i="1"/>
  <c r="K134" i="1"/>
  <c r="L134" i="1"/>
  <c r="M134" i="1"/>
  <c r="N134" i="1" s="1"/>
  <c r="V134" i="1"/>
  <c r="X134" i="1"/>
  <c r="Y134" i="1"/>
  <c r="Z134" i="1"/>
  <c r="AB134" i="1"/>
  <c r="AC134" i="1"/>
  <c r="AD134" i="1"/>
  <c r="T134" i="1" s="1"/>
  <c r="AE134" i="1"/>
  <c r="AF134" i="1"/>
  <c r="AH177" i="1"/>
  <c r="AM177" i="1"/>
  <c r="AN177" i="1"/>
  <c r="AO177" i="1"/>
  <c r="K135" i="1"/>
  <c r="L135" i="1"/>
  <c r="M135" i="1"/>
  <c r="N135" i="1" s="1"/>
  <c r="V135" i="1"/>
  <c r="Y135" i="1"/>
  <c r="AA135" i="1" s="1"/>
  <c r="Z135" i="1"/>
  <c r="AB135" i="1"/>
  <c r="AC135" i="1"/>
  <c r="AD135" i="1"/>
  <c r="X135" i="1" s="1"/>
  <c r="AE135" i="1"/>
  <c r="AF135" i="1"/>
  <c r="AH178" i="1"/>
  <c r="AM178" i="1"/>
  <c r="AN178" i="1"/>
  <c r="AO178" i="1"/>
  <c r="K136" i="1"/>
  <c r="L136" i="1"/>
  <c r="M136" i="1"/>
  <c r="V136" i="1"/>
  <c r="S19" i="3" s="1"/>
  <c r="Y136" i="1"/>
  <c r="Z136" i="1"/>
  <c r="AB136" i="1"/>
  <c r="AC136" i="1"/>
  <c r="AD136" i="1"/>
  <c r="AE136" i="1"/>
  <c r="R19" i="3" s="1"/>
  <c r="AF136" i="1"/>
  <c r="AH179" i="1"/>
  <c r="AM179" i="1"/>
  <c r="AN179" i="1"/>
  <c r="AO179" i="1"/>
  <c r="K137" i="1"/>
  <c r="L137" i="1"/>
  <c r="M137" i="1"/>
  <c r="V137" i="1"/>
  <c r="Y137" i="1"/>
  <c r="Z137" i="1"/>
  <c r="AB137" i="1"/>
  <c r="AC137" i="1"/>
  <c r="AD137" i="1"/>
  <c r="T137" i="1" s="1"/>
  <c r="AE137" i="1"/>
  <c r="AF137" i="1"/>
  <c r="AH180" i="1"/>
  <c r="AM180" i="1"/>
  <c r="AN180" i="1"/>
  <c r="AO180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AF138" i="1"/>
  <c r="AH181" i="1"/>
  <c r="AM181" i="1"/>
  <c r="AN181" i="1"/>
  <c r="AO181" i="1"/>
  <c r="K139" i="1"/>
  <c r="L139" i="1"/>
  <c r="M139" i="1"/>
  <c r="N139" i="1" s="1"/>
  <c r="V139" i="1"/>
  <c r="S18" i="3" s="1"/>
  <c r="Y139" i="1"/>
  <c r="Z139" i="1"/>
  <c r="AB139" i="1"/>
  <c r="AC139" i="1"/>
  <c r="AD139" i="1"/>
  <c r="AE139" i="1"/>
  <c r="R18" i="3" s="1"/>
  <c r="AF139" i="1"/>
  <c r="AH182" i="1"/>
  <c r="AM182" i="1"/>
  <c r="AN182" i="1"/>
  <c r="AO182" i="1"/>
  <c r="K140" i="1"/>
  <c r="L140" i="1"/>
  <c r="M140" i="1"/>
  <c r="N140" i="1" s="1"/>
  <c r="V140" i="1"/>
  <c r="Y140" i="1"/>
  <c r="Z140" i="1"/>
  <c r="AB140" i="1"/>
  <c r="AC140" i="1"/>
  <c r="AD140" i="1"/>
  <c r="AE140" i="1"/>
  <c r="AF140" i="1"/>
  <c r="AH183" i="1"/>
  <c r="AM183" i="1"/>
  <c r="AN183" i="1"/>
  <c r="AO183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AH184" i="1"/>
  <c r="AM184" i="1"/>
  <c r="AN184" i="1"/>
  <c r="AO184" i="1"/>
  <c r="K144" i="1"/>
  <c r="L144" i="1"/>
  <c r="M144" i="1"/>
  <c r="N144" i="1" s="1"/>
  <c r="V144" i="1"/>
  <c r="Y144" i="1"/>
  <c r="Z144" i="1"/>
  <c r="AB144" i="1"/>
  <c r="AC144" i="1"/>
  <c r="AD144" i="1"/>
  <c r="AE144" i="1"/>
  <c r="AF144" i="1"/>
  <c r="AH185" i="1"/>
  <c r="AM185" i="1"/>
  <c r="AN185" i="1"/>
  <c r="AO185" i="1"/>
  <c r="K145" i="1"/>
  <c r="L145" i="1"/>
  <c r="M145" i="1"/>
  <c r="N145" i="1" s="1"/>
  <c r="V145" i="1"/>
  <c r="Y145" i="1"/>
  <c r="Z145" i="1"/>
  <c r="AB145" i="1"/>
  <c r="AC145" i="1"/>
  <c r="AD145" i="1"/>
  <c r="X145" i="1" s="1"/>
  <c r="AE145" i="1"/>
  <c r="AF145" i="1"/>
  <c r="AH186" i="1"/>
  <c r="AM186" i="1"/>
  <c r="AN186" i="1"/>
  <c r="AO186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AH187" i="1"/>
  <c r="AM187" i="1"/>
  <c r="AN187" i="1"/>
  <c r="AO187" i="1"/>
  <c r="K147" i="1"/>
  <c r="L147" i="1"/>
  <c r="M147" i="1"/>
  <c r="N147" i="1" s="1"/>
  <c r="V147" i="1"/>
  <c r="S26" i="3" s="1"/>
  <c r="Y147" i="1"/>
  <c r="Z147" i="1"/>
  <c r="AA147" i="1" s="1"/>
  <c r="AB147" i="1"/>
  <c r="AC147" i="1"/>
  <c r="AD147" i="1"/>
  <c r="X147" i="1" s="1"/>
  <c r="AE147" i="1"/>
  <c r="R26" i="3" s="1"/>
  <c r="AF147" i="1"/>
  <c r="AH188" i="1"/>
  <c r="AM188" i="1"/>
  <c r="AN188" i="1"/>
  <c r="AO188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AH189" i="1"/>
  <c r="AM189" i="1"/>
  <c r="AN189" i="1"/>
  <c r="AO189" i="1"/>
  <c r="K149" i="1"/>
  <c r="L149" i="1"/>
  <c r="M149" i="1"/>
  <c r="N149" i="1" s="1"/>
  <c r="T149" i="1"/>
  <c r="V149" i="1"/>
  <c r="S10" i="3" s="1"/>
  <c r="Y149" i="1"/>
  <c r="Z149" i="1"/>
  <c r="AB149" i="1"/>
  <c r="AC149" i="1"/>
  <c r="AD149" i="1"/>
  <c r="X149" i="1" s="1"/>
  <c r="AE149" i="1"/>
  <c r="R10" i="3" s="1"/>
  <c r="AF149" i="1"/>
  <c r="AH190" i="1"/>
  <c r="AM190" i="1"/>
  <c r="AN190" i="1"/>
  <c r="AO190" i="1"/>
  <c r="K150" i="1"/>
  <c r="L150" i="1"/>
  <c r="M150" i="1"/>
  <c r="N150" i="1" s="1"/>
  <c r="V150" i="1"/>
  <c r="Y150" i="1"/>
  <c r="Z150" i="1"/>
  <c r="AA150" i="1"/>
  <c r="AB150" i="1"/>
  <c r="AC150" i="1"/>
  <c r="AD150" i="1"/>
  <c r="X150" i="1" s="1"/>
  <c r="AE150" i="1"/>
  <c r="AF150" i="1"/>
  <c r="AH191" i="1"/>
  <c r="AM191" i="1"/>
  <c r="AN191" i="1"/>
  <c r="AO191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AH192" i="1"/>
  <c r="AM192" i="1"/>
  <c r="AN192" i="1"/>
  <c r="AO192" i="1"/>
  <c r="K152" i="1"/>
  <c r="L152" i="1"/>
  <c r="M152" i="1"/>
  <c r="N152" i="1" s="1"/>
  <c r="V152" i="1"/>
  <c r="Y152" i="1"/>
  <c r="Z152" i="1"/>
  <c r="AB152" i="1"/>
  <c r="AC152" i="1"/>
  <c r="AD152" i="1"/>
  <c r="AE152" i="1"/>
  <c r="AF152" i="1"/>
  <c r="AH193" i="1"/>
  <c r="AM193" i="1"/>
  <c r="AN193" i="1"/>
  <c r="AO193" i="1"/>
  <c r="K153" i="1"/>
  <c r="L153" i="1"/>
  <c r="M153" i="1"/>
  <c r="N153" i="1" s="1"/>
  <c r="V153" i="1"/>
  <c r="Y153" i="1"/>
  <c r="Z153" i="1"/>
  <c r="AB153" i="1"/>
  <c r="AC153" i="1"/>
  <c r="AD153" i="1"/>
  <c r="X153" i="1" s="1"/>
  <c r="AE153" i="1"/>
  <c r="R8" i="3" s="1"/>
  <c r="AF153" i="1"/>
  <c r="AH194" i="1"/>
  <c r="AM194" i="1"/>
  <c r="AN194" i="1"/>
  <c r="AO194" i="1"/>
  <c r="K154" i="1"/>
  <c r="L154" i="1"/>
  <c r="M154" i="1"/>
  <c r="N154" i="1" s="1"/>
  <c r="V154" i="1"/>
  <c r="S9" i="3" s="1"/>
  <c r="Y154" i="1"/>
  <c r="Z154" i="1"/>
  <c r="AB154" i="1"/>
  <c r="AC154" i="1"/>
  <c r="AD154" i="1"/>
  <c r="T154" i="1" s="1"/>
  <c r="AE154" i="1"/>
  <c r="R9" i="3" s="1"/>
  <c r="AF154" i="1"/>
  <c r="AH195" i="1"/>
  <c r="AM195" i="1"/>
  <c r="AN195" i="1"/>
  <c r="AO195" i="1"/>
  <c r="K155" i="1"/>
  <c r="L155" i="1"/>
  <c r="M155" i="1"/>
  <c r="N155" i="1" s="1"/>
  <c r="V155" i="1"/>
  <c r="Y155" i="1"/>
  <c r="Z155" i="1"/>
  <c r="AA155" i="1" s="1"/>
  <c r="AB155" i="1"/>
  <c r="AC155" i="1"/>
  <c r="AD155" i="1"/>
  <c r="X155" i="1" s="1"/>
  <c r="AE155" i="1"/>
  <c r="AF155" i="1"/>
  <c r="AH196" i="1"/>
  <c r="AM196" i="1"/>
  <c r="AN196" i="1"/>
  <c r="AO196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AH197" i="1"/>
  <c r="AM197" i="1"/>
  <c r="AN197" i="1"/>
  <c r="AO197" i="1"/>
  <c r="K157" i="1"/>
  <c r="L157" i="1"/>
  <c r="M157" i="1"/>
  <c r="N157" i="1" s="1"/>
  <c r="T157" i="1"/>
  <c r="V157" i="1"/>
  <c r="Y157" i="1"/>
  <c r="Z157" i="1"/>
  <c r="AB157" i="1"/>
  <c r="AC157" i="1"/>
  <c r="AD157" i="1"/>
  <c r="X157" i="1" s="1"/>
  <c r="AE157" i="1"/>
  <c r="AF157" i="1"/>
  <c r="AH198" i="1"/>
  <c r="AM198" i="1"/>
  <c r="AN198" i="1"/>
  <c r="AO198" i="1"/>
  <c r="K161" i="1"/>
  <c r="L161" i="1"/>
  <c r="M161" i="1"/>
  <c r="N161" i="1" s="1"/>
  <c r="V161" i="1"/>
  <c r="Y161" i="1"/>
  <c r="AA161" i="1" s="1"/>
  <c r="Z161" i="1"/>
  <c r="AB161" i="1"/>
  <c r="AC161" i="1"/>
  <c r="AD161" i="1"/>
  <c r="X161" i="1" s="1"/>
  <c r="AE161" i="1"/>
  <c r="AF161" i="1"/>
  <c r="AH199" i="1"/>
  <c r="AM199" i="1"/>
  <c r="AN199" i="1"/>
  <c r="AO199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200" i="1"/>
  <c r="AM200" i="1"/>
  <c r="AN200" i="1"/>
  <c r="AO200" i="1"/>
  <c r="K199" i="1"/>
  <c r="L199" i="1"/>
  <c r="M199" i="1"/>
  <c r="N199" i="1" s="1"/>
  <c r="V199" i="1"/>
  <c r="Y199" i="1"/>
  <c r="Z199" i="1"/>
  <c r="AB199" i="1"/>
  <c r="AC199" i="1"/>
  <c r="AD199" i="1"/>
  <c r="AE199" i="1"/>
  <c r="AF199" i="1"/>
  <c r="AH201" i="1"/>
  <c r="AM201" i="1"/>
  <c r="AN201" i="1"/>
  <c r="AO201" i="1"/>
  <c r="K200" i="1"/>
  <c r="L200" i="1"/>
  <c r="M200" i="1"/>
  <c r="N200" i="1" s="1"/>
  <c r="V200" i="1"/>
  <c r="Y200" i="1"/>
  <c r="Z200" i="1"/>
  <c r="AB200" i="1"/>
  <c r="AC200" i="1"/>
  <c r="AD200" i="1"/>
  <c r="X200" i="1" s="1"/>
  <c r="AE200" i="1"/>
  <c r="AF200" i="1"/>
  <c r="AH202" i="1"/>
  <c r="AM202" i="1"/>
  <c r="AN202" i="1"/>
  <c r="AO202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03" i="1"/>
  <c r="AM203" i="1"/>
  <c r="AN203" i="1"/>
  <c r="AO203" i="1"/>
  <c r="K202" i="1"/>
  <c r="L202" i="1"/>
  <c r="M202" i="1"/>
  <c r="N202" i="1" s="1"/>
  <c r="V202" i="1"/>
  <c r="Y202" i="1"/>
  <c r="Z202" i="1"/>
  <c r="AA202" i="1" s="1"/>
  <c r="AB202" i="1"/>
  <c r="AC202" i="1"/>
  <c r="AD202" i="1"/>
  <c r="X202" i="1" s="1"/>
  <c r="AE202" i="1"/>
  <c r="AF202" i="1"/>
  <c r="AH204" i="1"/>
  <c r="AM204" i="1"/>
  <c r="AN204" i="1"/>
  <c r="AO204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AH205" i="1"/>
  <c r="AM205" i="1"/>
  <c r="AN205" i="1"/>
  <c r="AO205" i="1"/>
  <c r="K204" i="1"/>
  <c r="L204" i="1"/>
  <c r="M204" i="1"/>
  <c r="N204" i="1" s="1"/>
  <c r="T204" i="1"/>
  <c r="V204" i="1"/>
  <c r="Y204" i="1"/>
  <c r="Z204" i="1"/>
  <c r="AB204" i="1"/>
  <c r="AC204" i="1"/>
  <c r="AD204" i="1"/>
  <c r="X204" i="1" s="1"/>
  <c r="AE204" i="1"/>
  <c r="AF204" i="1"/>
  <c r="AH206" i="1"/>
  <c r="AM206" i="1"/>
  <c r="AN206" i="1"/>
  <c r="AO206" i="1"/>
  <c r="K205" i="1"/>
  <c r="L205" i="1"/>
  <c r="M205" i="1"/>
  <c r="N205" i="1" s="1"/>
  <c r="V205" i="1"/>
  <c r="Y205" i="1"/>
  <c r="Z205" i="1"/>
  <c r="AA205" i="1"/>
  <c r="AB205" i="1"/>
  <c r="AC205" i="1"/>
  <c r="AD205" i="1"/>
  <c r="X205" i="1" s="1"/>
  <c r="AE205" i="1"/>
  <c r="AF205" i="1"/>
  <c r="AH207" i="1"/>
  <c r="AM207" i="1"/>
  <c r="AN207" i="1"/>
  <c r="AO207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208" i="1"/>
  <c r="AM208" i="1"/>
  <c r="AN208" i="1"/>
  <c r="AO208" i="1"/>
  <c r="K207" i="1"/>
  <c r="L207" i="1"/>
  <c r="M207" i="1"/>
  <c r="N207" i="1" s="1"/>
  <c r="V207" i="1"/>
  <c r="Y207" i="1"/>
  <c r="Z207" i="1"/>
  <c r="AB207" i="1"/>
  <c r="AC207" i="1"/>
  <c r="AD207" i="1"/>
  <c r="AE207" i="1"/>
  <c r="AF207" i="1"/>
  <c r="AH209" i="1"/>
  <c r="AM209" i="1"/>
  <c r="AN209" i="1"/>
  <c r="AO209" i="1"/>
  <c r="K208" i="1"/>
  <c r="L208" i="1"/>
  <c r="M208" i="1"/>
  <c r="N208" i="1" s="1"/>
  <c r="V208" i="1"/>
  <c r="Y208" i="1"/>
  <c r="Z208" i="1"/>
  <c r="AB208" i="1"/>
  <c r="AC208" i="1"/>
  <c r="AD208" i="1"/>
  <c r="X208" i="1" s="1"/>
  <c r="AE208" i="1"/>
  <c r="AF208" i="1"/>
  <c r="AH210" i="1"/>
  <c r="AM210" i="1"/>
  <c r="AN210" i="1"/>
  <c r="AO210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211" i="1"/>
  <c r="AM211" i="1"/>
  <c r="AN211" i="1"/>
  <c r="AO211" i="1"/>
  <c r="K210" i="1"/>
  <c r="L210" i="1"/>
  <c r="M210" i="1"/>
  <c r="N210" i="1" s="1"/>
  <c r="V210" i="1"/>
  <c r="Y210" i="1"/>
  <c r="Z210" i="1"/>
  <c r="AB210" i="1"/>
  <c r="AC210" i="1"/>
  <c r="AD210" i="1"/>
  <c r="AE210" i="1"/>
  <c r="AF210" i="1"/>
  <c r="AH212" i="1"/>
  <c r="AM212" i="1"/>
  <c r="AN212" i="1"/>
  <c r="AO212" i="1"/>
  <c r="K213" i="1"/>
  <c r="L213" i="1"/>
  <c r="M213" i="1"/>
  <c r="N213" i="1" s="1"/>
  <c r="V213" i="1"/>
  <c r="Y213" i="1"/>
  <c r="AA213" i="1" s="1"/>
  <c r="Z213" i="1"/>
  <c r="AB213" i="1"/>
  <c r="AC213" i="1"/>
  <c r="AD213" i="1"/>
  <c r="T213" i="1" s="1"/>
  <c r="AE213" i="1"/>
  <c r="AF213" i="1"/>
  <c r="AH213" i="1"/>
  <c r="AM213" i="1"/>
  <c r="AN213" i="1"/>
  <c r="AO213" i="1"/>
  <c r="K214" i="1"/>
  <c r="L214" i="1"/>
  <c r="M214" i="1"/>
  <c r="N214" i="1" s="1"/>
  <c r="V214" i="1"/>
  <c r="S34" i="3" s="1"/>
  <c r="Y214" i="1"/>
  <c r="Z214" i="1"/>
  <c r="AB214" i="1"/>
  <c r="AC214" i="1"/>
  <c r="AD214" i="1"/>
  <c r="T214" i="1" s="1"/>
  <c r="AE214" i="1"/>
  <c r="R34" i="3" s="1"/>
  <c r="AF214" i="1"/>
  <c r="AH214" i="1"/>
  <c r="AM214" i="1"/>
  <c r="AN214" i="1"/>
  <c r="AO214" i="1"/>
  <c r="K215" i="1"/>
  <c r="L215" i="1"/>
  <c r="M215" i="1"/>
  <c r="N215" i="1" s="1"/>
  <c r="V215" i="1"/>
  <c r="Y215" i="1"/>
  <c r="Z215" i="1"/>
  <c r="AB215" i="1"/>
  <c r="AC215" i="1"/>
  <c r="AD215" i="1"/>
  <c r="AE215" i="1"/>
  <c r="AF215" i="1"/>
  <c r="AH215" i="1"/>
  <c r="AM215" i="1"/>
  <c r="AN215" i="1"/>
  <c r="AO215" i="1"/>
  <c r="K216" i="1"/>
  <c r="L216" i="1"/>
  <c r="M216" i="1"/>
  <c r="N216" i="1" s="1"/>
  <c r="V216" i="1"/>
  <c r="Y216" i="1"/>
  <c r="Z216" i="1"/>
  <c r="AB216" i="1"/>
  <c r="AC216" i="1"/>
  <c r="AD216" i="1"/>
  <c r="AE216" i="1"/>
  <c r="AF216" i="1"/>
  <c r="AH216" i="1"/>
  <c r="AM216" i="1"/>
  <c r="AN216" i="1"/>
  <c r="AO216" i="1"/>
  <c r="K217" i="1"/>
  <c r="L217" i="1"/>
  <c r="M217" i="1"/>
  <c r="N217" i="1" s="1"/>
  <c r="V217" i="1"/>
  <c r="Y217" i="1"/>
  <c r="Z217" i="1"/>
  <c r="AB217" i="1"/>
  <c r="AC217" i="1"/>
  <c r="AD217" i="1"/>
  <c r="AE217" i="1"/>
  <c r="AF217" i="1"/>
  <c r="AH217" i="1"/>
  <c r="AM217" i="1"/>
  <c r="AN217" i="1"/>
  <c r="AO217" i="1"/>
  <c r="K218" i="1"/>
  <c r="L218" i="1"/>
  <c r="M218" i="1"/>
  <c r="N218" i="1" s="1"/>
  <c r="V218" i="1"/>
  <c r="Y218" i="1"/>
  <c r="AA218" i="1" s="1"/>
  <c r="Z218" i="1"/>
  <c r="AB218" i="1"/>
  <c r="AC218" i="1"/>
  <c r="AD218" i="1"/>
  <c r="AE218" i="1"/>
  <c r="AF218" i="1"/>
  <c r="AH218" i="1"/>
  <c r="AM218" i="1"/>
  <c r="AN218" i="1"/>
  <c r="AO218" i="1"/>
  <c r="K219" i="1"/>
  <c r="L219" i="1"/>
  <c r="M219" i="1"/>
  <c r="N219" i="1" s="1"/>
  <c r="V219" i="1"/>
  <c r="Y219" i="1"/>
  <c r="Z219" i="1"/>
  <c r="AB219" i="1"/>
  <c r="AC219" i="1"/>
  <c r="AD219" i="1"/>
  <c r="AE219" i="1"/>
  <c r="AF219" i="1"/>
  <c r="AH219" i="1"/>
  <c r="AM219" i="1"/>
  <c r="AN219" i="1"/>
  <c r="AO219" i="1"/>
  <c r="K220" i="1"/>
  <c r="L220" i="1"/>
  <c r="M220" i="1"/>
  <c r="N220" i="1" s="1"/>
  <c r="V220" i="1"/>
  <c r="Y220" i="1"/>
  <c r="Z220" i="1"/>
  <c r="AB220" i="1"/>
  <c r="AC220" i="1"/>
  <c r="AD220" i="1"/>
  <c r="AE220" i="1"/>
  <c r="AF220" i="1"/>
  <c r="AH220" i="1"/>
  <c r="AM220" i="1"/>
  <c r="AN220" i="1"/>
  <c r="AO220" i="1"/>
  <c r="K221" i="1"/>
  <c r="L221" i="1"/>
  <c r="M221" i="1"/>
  <c r="N221" i="1" s="1"/>
  <c r="V221" i="1"/>
  <c r="Y221" i="1"/>
  <c r="Z221" i="1"/>
  <c r="AB221" i="1"/>
  <c r="AC221" i="1"/>
  <c r="AD221" i="1"/>
  <c r="AE221" i="1"/>
  <c r="AF221" i="1"/>
  <c r="AH221" i="1"/>
  <c r="AM221" i="1"/>
  <c r="AN221" i="1"/>
  <c r="AO221" i="1"/>
  <c r="K222" i="1"/>
  <c r="L222" i="1"/>
  <c r="M222" i="1"/>
  <c r="N222" i="1" s="1"/>
  <c r="V222" i="1"/>
  <c r="Y222" i="1"/>
  <c r="Z222" i="1"/>
  <c r="AB222" i="1"/>
  <c r="AC222" i="1"/>
  <c r="AD222" i="1"/>
  <c r="AE222" i="1"/>
  <c r="AF222" i="1"/>
  <c r="AH222" i="1"/>
  <c r="AM222" i="1"/>
  <c r="AN222" i="1"/>
  <c r="AO222" i="1"/>
  <c r="M25" i="3"/>
  <c r="R25" i="3"/>
  <c r="U25" i="3"/>
  <c r="T25" i="3" s="1"/>
  <c r="V25" i="3"/>
  <c r="X25" i="3"/>
  <c r="M14" i="3"/>
  <c r="U14" i="3"/>
  <c r="V14" i="3"/>
  <c r="X14" i="3"/>
  <c r="M27" i="3"/>
  <c r="U27" i="3"/>
  <c r="AC27" i="3" s="1"/>
  <c r="V27" i="3"/>
  <c r="X27" i="3"/>
  <c r="M7" i="3"/>
  <c r="U7" i="3"/>
  <c r="T7" i="3" s="1"/>
  <c r="V7" i="3"/>
  <c r="X7" i="3"/>
  <c r="M11" i="3"/>
  <c r="R11" i="3"/>
  <c r="U11" i="3"/>
  <c r="T11" i="3" s="1"/>
  <c r="V11" i="3"/>
  <c r="X11" i="3"/>
  <c r="M20" i="3"/>
  <c r="U20" i="3"/>
  <c r="V20" i="3"/>
  <c r="X20" i="3"/>
  <c r="M12" i="3"/>
  <c r="U12" i="3"/>
  <c r="AC12" i="3" s="1"/>
  <c r="V12" i="3"/>
  <c r="X12" i="3"/>
  <c r="M29" i="3"/>
  <c r="U29" i="3"/>
  <c r="T29" i="3" s="1"/>
  <c r="V29" i="3"/>
  <c r="X29" i="3"/>
  <c r="M34" i="3"/>
  <c r="U34" i="3"/>
  <c r="V34" i="3"/>
  <c r="X34" i="3"/>
  <c r="M17" i="3"/>
  <c r="U17" i="3"/>
  <c r="AC17" i="3" s="1"/>
  <c r="V17" i="3"/>
  <c r="X17" i="3"/>
  <c r="M30" i="3"/>
  <c r="U30" i="3"/>
  <c r="T30" i="3" s="1"/>
  <c r="V30" i="3"/>
  <c r="X30" i="3"/>
  <c r="M24" i="3"/>
  <c r="R24" i="3"/>
  <c r="U24" i="3"/>
  <c r="T24" i="3" s="1"/>
  <c r="V24" i="3"/>
  <c r="X24" i="3"/>
  <c r="M16" i="3"/>
  <c r="U16" i="3"/>
  <c r="AC16" i="3" s="1"/>
  <c r="V16" i="3"/>
  <c r="X16" i="3"/>
  <c r="M23" i="3"/>
  <c r="U23" i="3"/>
  <c r="T23" i="3" s="1"/>
  <c r="V23" i="3"/>
  <c r="X23" i="3"/>
  <c r="M31" i="3"/>
  <c r="U31" i="3"/>
  <c r="T31" i="3" s="1"/>
  <c r="V31" i="3"/>
  <c r="X31" i="3"/>
  <c r="M22" i="3"/>
  <c r="U22" i="3"/>
  <c r="V22" i="3"/>
  <c r="X22" i="3"/>
  <c r="M15" i="3"/>
  <c r="U15" i="3"/>
  <c r="AC15" i="3" s="1"/>
  <c r="V15" i="3"/>
  <c r="X15" i="3"/>
  <c r="M13" i="3"/>
  <c r="U13" i="3"/>
  <c r="T13" i="3" s="1"/>
  <c r="V13" i="3"/>
  <c r="X13" i="3"/>
  <c r="M32" i="3"/>
  <c r="U32" i="3"/>
  <c r="T32" i="3" s="1"/>
  <c r="V32" i="3"/>
  <c r="X32" i="3"/>
  <c r="M19" i="3"/>
  <c r="U19" i="3"/>
  <c r="V19" i="3"/>
  <c r="X19" i="3"/>
  <c r="M18" i="3"/>
  <c r="U18" i="3"/>
  <c r="T18" i="3" s="1"/>
  <c r="V18" i="3"/>
  <c r="X18" i="3"/>
  <c r="M26" i="3"/>
  <c r="U26" i="3"/>
  <c r="T26" i="3" s="1"/>
  <c r="V26" i="3"/>
  <c r="X26" i="3"/>
  <c r="M33" i="3"/>
  <c r="U33" i="3"/>
  <c r="AD33" i="3" s="1"/>
  <c r="V33" i="3"/>
  <c r="X33" i="3"/>
  <c r="M10" i="3"/>
  <c r="U10" i="3"/>
  <c r="AC10" i="3" s="1"/>
  <c r="V10" i="3"/>
  <c r="X10" i="3"/>
  <c r="M9" i="3"/>
  <c r="U9" i="3"/>
  <c r="T9" i="3" s="1"/>
  <c r="V9" i="3"/>
  <c r="X9" i="3"/>
  <c r="M8" i="3"/>
  <c r="S8" i="3"/>
  <c r="U8" i="3"/>
  <c r="T8" i="3" s="1"/>
  <c r="V8" i="3"/>
  <c r="X8" i="3"/>
  <c r="AG160" i="1"/>
  <c r="AG159" i="1"/>
  <c r="AG158" i="1"/>
  <c r="AG143" i="1"/>
  <c r="AG142" i="1"/>
  <c r="AG112" i="1"/>
  <c r="AG84" i="1"/>
  <c r="AG17" i="1"/>
  <c r="AG21" i="1"/>
  <c r="AG25" i="1"/>
  <c r="AG29" i="1"/>
  <c r="AG33" i="1"/>
  <c r="AG37" i="1"/>
  <c r="AG41" i="1"/>
  <c r="AG74" i="1"/>
  <c r="AG78" i="1"/>
  <c r="AG82" i="1"/>
  <c r="AG87" i="1"/>
  <c r="AG91" i="1"/>
  <c r="AG162" i="1"/>
  <c r="AG166" i="1"/>
  <c r="AG170" i="1"/>
  <c r="AG173" i="1"/>
  <c r="AG177" i="1"/>
  <c r="AG181" i="1"/>
  <c r="AG184" i="1"/>
  <c r="AG188" i="1"/>
  <c r="AG97" i="1"/>
  <c r="AG195" i="1"/>
  <c r="AG99" i="1"/>
  <c r="AG103" i="1"/>
  <c r="AG105" i="1"/>
  <c r="AG43" i="1"/>
  <c r="AG51" i="1"/>
  <c r="AG48" i="1"/>
  <c r="AG67" i="1"/>
  <c r="AG62" i="1"/>
  <c r="AG46" i="1"/>
  <c r="AG60" i="1"/>
  <c r="AG50" i="1"/>
  <c r="AG123" i="1"/>
  <c r="AG139" i="1"/>
  <c r="AG157" i="1"/>
  <c r="AG214" i="1"/>
  <c r="AG122" i="1"/>
  <c r="AG138" i="1"/>
  <c r="AG156" i="1"/>
  <c r="AG215" i="1"/>
  <c r="AG113" i="1"/>
  <c r="AG129" i="1"/>
  <c r="AG147" i="1"/>
  <c r="AG202" i="1"/>
  <c r="AG111" i="1"/>
  <c r="AG128" i="1"/>
  <c r="AG146" i="1"/>
  <c r="AG201" i="1"/>
  <c r="AG216" i="1"/>
  <c r="AG14" i="1"/>
  <c r="AG18" i="1"/>
  <c r="AG26" i="1"/>
  <c r="AG30" i="1"/>
  <c r="AG34" i="1"/>
  <c r="AG38" i="1"/>
  <c r="AG75" i="1"/>
  <c r="AG79" i="1"/>
  <c r="AG88" i="1"/>
  <c r="AG92" i="1"/>
  <c r="AG167" i="1"/>
  <c r="AG174" i="1"/>
  <c r="AG96" i="1"/>
  <c r="AG185" i="1"/>
  <c r="AG192" i="1"/>
  <c r="AG100" i="1"/>
  <c r="AG104" i="1"/>
  <c r="AG45" i="1"/>
  <c r="AG58" i="1"/>
  <c r="AG63" i="1"/>
  <c r="AG56" i="1"/>
  <c r="AG110" i="1"/>
  <c r="AG145" i="1"/>
  <c r="AG200" i="1"/>
  <c r="AG126" i="1"/>
  <c r="AG199" i="1"/>
  <c r="AG217" i="1"/>
  <c r="AG133" i="1"/>
  <c r="AG206" i="1"/>
  <c r="AG132" i="1"/>
  <c r="AG205" i="1"/>
  <c r="AG218" i="1"/>
  <c r="AG16" i="1"/>
  <c r="AG20" i="1"/>
  <c r="AG24" i="1"/>
  <c r="AG28" i="1"/>
  <c r="AG32" i="1"/>
  <c r="AG36" i="1"/>
  <c r="AG40" i="1"/>
  <c r="AG73" i="1"/>
  <c r="AG77" i="1"/>
  <c r="AG81" i="1"/>
  <c r="AG86" i="1"/>
  <c r="AG90" i="1"/>
  <c r="AG94" i="1"/>
  <c r="AG165" i="1"/>
  <c r="AG172" i="1"/>
  <c r="AG176" i="1"/>
  <c r="AG180" i="1"/>
  <c r="AG183" i="1"/>
  <c r="AG191" i="1"/>
  <c r="AG194" i="1"/>
  <c r="AG102" i="1"/>
  <c r="AG108" i="1"/>
  <c r="AG57" i="1"/>
  <c r="AG71" i="1"/>
  <c r="AG69" i="1"/>
  <c r="AG119" i="1"/>
  <c r="AG208" i="1"/>
  <c r="AG152" i="1"/>
  <c r="AG125" i="1"/>
  <c r="AG222" i="1"/>
  <c r="AG161" i="1"/>
  <c r="AG22" i="1"/>
  <c r="AG42" i="1"/>
  <c r="AG83" i="1"/>
  <c r="AG163" i="1"/>
  <c r="AG171" i="1"/>
  <c r="AG178" i="1"/>
  <c r="AG189" i="1"/>
  <c r="AG196" i="1"/>
  <c r="AG106" i="1"/>
  <c r="AG53" i="1"/>
  <c r="AG44" i="1"/>
  <c r="AG61" i="1"/>
  <c r="AG127" i="1"/>
  <c r="AG109" i="1"/>
  <c r="AG144" i="1"/>
  <c r="AG117" i="1"/>
  <c r="AG151" i="1"/>
  <c r="AG116" i="1"/>
  <c r="AG150" i="1"/>
  <c r="AG169" i="1"/>
  <c r="AG187" i="1"/>
  <c r="AG98" i="1"/>
  <c r="AG212" i="1"/>
  <c r="AG49" i="1"/>
  <c r="AG54" i="1"/>
  <c r="AG65" i="1"/>
  <c r="AG135" i="1"/>
  <c r="AG118" i="1"/>
  <c r="AG207" i="1"/>
  <c r="AG141" i="1"/>
  <c r="AG140" i="1"/>
  <c r="AG15" i="1"/>
  <c r="AG19" i="1"/>
  <c r="AG23" i="1"/>
  <c r="AG27" i="1"/>
  <c r="AG31" i="1"/>
  <c r="AG35" i="1"/>
  <c r="AG39" i="1"/>
  <c r="AG72" i="1"/>
  <c r="AG76" i="1"/>
  <c r="AG80" i="1"/>
  <c r="AG85" i="1"/>
  <c r="AG89" i="1"/>
  <c r="AG93" i="1"/>
  <c r="AG164" i="1"/>
  <c r="AG168" i="1"/>
  <c r="AG95" i="1"/>
  <c r="AG175" i="1"/>
  <c r="AG179" i="1"/>
  <c r="AG182" i="1"/>
  <c r="AG186" i="1"/>
  <c r="AG190" i="1"/>
  <c r="AG193" i="1"/>
  <c r="AG197" i="1"/>
  <c r="AG101" i="1"/>
  <c r="AG211" i="1"/>
  <c r="AG107" i="1"/>
  <c r="AG47" i="1"/>
  <c r="AG55" i="1"/>
  <c r="AG59" i="1"/>
  <c r="AG52" i="1"/>
  <c r="AG70" i="1"/>
  <c r="AG64" i="1"/>
  <c r="AG68" i="1"/>
  <c r="AG115" i="1"/>
  <c r="AG131" i="1"/>
  <c r="AG149" i="1"/>
  <c r="AG204" i="1"/>
  <c r="AG114" i="1"/>
  <c r="AG130" i="1"/>
  <c r="AG148" i="1"/>
  <c r="AG203" i="1"/>
  <c r="AG219" i="1"/>
  <c r="AG121" i="1"/>
  <c r="AG137" i="1"/>
  <c r="AG155" i="1"/>
  <c r="AG210" i="1"/>
  <c r="AG120" i="1"/>
  <c r="AG136" i="1"/>
  <c r="AG154" i="1"/>
  <c r="AG209" i="1"/>
  <c r="AG220" i="1"/>
  <c r="AG66" i="1"/>
  <c r="AG153" i="1"/>
  <c r="AG134" i="1"/>
  <c r="AG221" i="1"/>
  <c r="AG198" i="1"/>
  <c r="AG124" i="1"/>
  <c r="AG213" i="1"/>
  <c r="W27" i="3"/>
  <c r="W15" i="3"/>
  <c r="W11" i="3"/>
  <c r="W32" i="3"/>
  <c r="W10" i="3"/>
  <c r="W13" i="3"/>
  <c r="W14" i="3"/>
  <c r="W22" i="3"/>
  <c r="W12" i="3"/>
  <c r="W29" i="3"/>
  <c r="W26" i="3"/>
  <c r="W7" i="3"/>
  <c r="W9" i="3"/>
  <c r="W20" i="3"/>
  <c r="W19" i="3"/>
  <c r="W17" i="3"/>
  <c r="W18" i="3"/>
  <c r="W24" i="3"/>
  <c r="W8" i="3"/>
  <c r="W30" i="3"/>
  <c r="W34" i="3"/>
  <c r="W33" i="3"/>
  <c r="W16" i="3"/>
  <c r="W25" i="3"/>
  <c r="W31" i="3"/>
  <c r="W23" i="3"/>
  <c r="AW28" i="3" l="1"/>
  <c r="AV28" i="3"/>
  <c r="T132" i="1"/>
  <c r="U132" i="1" s="1"/>
  <c r="S132" i="1" s="1"/>
  <c r="T113" i="1"/>
  <c r="X113" i="1"/>
  <c r="X114" i="1"/>
  <c r="X108" i="1"/>
  <c r="T108" i="1"/>
  <c r="T94" i="1"/>
  <c r="X94" i="1"/>
  <c r="R20" i="3"/>
  <c r="R12" i="3"/>
  <c r="T176" i="1"/>
  <c r="X176" i="1"/>
  <c r="AY28" i="3"/>
  <c r="BV28" i="3" s="1"/>
  <c r="AA28" i="3"/>
  <c r="AX28" i="3" s="1"/>
  <c r="AH28" i="3"/>
  <c r="AE28" i="3"/>
  <c r="BB28" i="3" s="1"/>
  <c r="AL28" i="3"/>
  <c r="AI28" i="3"/>
  <c r="BF28" i="3" s="1"/>
  <c r="AP28" i="3"/>
  <c r="AM28" i="3"/>
  <c r="AT28" i="3"/>
  <c r="BX28" i="3" s="1"/>
  <c r="AQ28" i="3"/>
  <c r="AU28" i="3"/>
  <c r="AF28" i="3"/>
  <c r="T163" i="1"/>
  <c r="X163" i="1"/>
  <c r="T83" i="1"/>
  <c r="X83" i="1"/>
  <c r="X84" i="1"/>
  <c r="AJ28" i="3"/>
  <c r="BN28" i="3" s="1"/>
  <c r="X188" i="1"/>
  <c r="X103" i="1"/>
  <c r="AG28" i="3"/>
  <c r="AK28" i="3"/>
  <c r="AO28" i="3"/>
  <c r="AS28" i="3"/>
  <c r="BW28" i="3" s="1"/>
  <c r="X210" i="1"/>
  <c r="AA210" i="1"/>
  <c r="T208" i="1"/>
  <c r="U208" i="1" s="1"/>
  <c r="S208" i="1" s="1"/>
  <c r="T200" i="1"/>
  <c r="T153" i="1"/>
  <c r="T145" i="1"/>
  <c r="X140" i="1"/>
  <c r="X136" i="1"/>
  <c r="AA106" i="1"/>
  <c r="AA187" i="1"/>
  <c r="AA181" i="1"/>
  <c r="W181" i="1" s="1"/>
  <c r="X180" i="1"/>
  <c r="AA173" i="1"/>
  <c r="X166" i="1"/>
  <c r="AA90" i="1"/>
  <c r="W90" i="1" s="1"/>
  <c r="X89" i="1"/>
  <c r="AA77" i="1"/>
  <c r="AA54" i="1"/>
  <c r="AA214" i="1"/>
  <c r="AA133" i="1"/>
  <c r="AA102" i="1"/>
  <c r="AA197" i="1"/>
  <c r="AA196" i="1"/>
  <c r="W196" i="1" s="1"/>
  <c r="X194" i="1"/>
  <c r="AA182" i="1"/>
  <c r="X96" i="1"/>
  <c r="AA179" i="1"/>
  <c r="W179" i="1" s="1"/>
  <c r="AA176" i="1"/>
  <c r="AA175" i="1"/>
  <c r="X172" i="1"/>
  <c r="X168" i="1"/>
  <c r="AA165" i="1"/>
  <c r="AA94" i="1"/>
  <c r="AA93" i="1"/>
  <c r="AA83" i="1"/>
  <c r="W83" i="1" s="1"/>
  <c r="AA82" i="1"/>
  <c r="AA75" i="1"/>
  <c r="AA65" i="1"/>
  <c r="AA56" i="1"/>
  <c r="W56" i="1" s="1"/>
  <c r="AA40" i="1"/>
  <c r="U160" i="1"/>
  <c r="S160" i="1" s="1"/>
  <c r="AI160" i="1"/>
  <c r="W160" i="1"/>
  <c r="U159" i="1"/>
  <c r="S159" i="1" s="1"/>
  <c r="AI159" i="1"/>
  <c r="W159" i="1"/>
  <c r="X159" i="1"/>
  <c r="X158" i="1"/>
  <c r="U158" i="1"/>
  <c r="S158" i="1" s="1"/>
  <c r="AI158" i="1"/>
  <c r="W158" i="1"/>
  <c r="S13" i="3"/>
  <c r="R23" i="3"/>
  <c r="R13" i="3"/>
  <c r="AE14" i="3"/>
  <c r="U143" i="1"/>
  <c r="S143" i="1" s="1"/>
  <c r="AI143" i="1"/>
  <c r="W143" i="1"/>
  <c r="X143" i="1"/>
  <c r="AI142" i="1"/>
  <c r="U142" i="1"/>
  <c r="S142" i="1" s="1"/>
  <c r="W142" i="1"/>
  <c r="X142" i="1"/>
  <c r="AE33" i="3"/>
  <c r="AI112" i="1"/>
  <c r="U112" i="1"/>
  <c r="S112" i="1" s="1"/>
  <c r="W112" i="1"/>
  <c r="X112" i="1"/>
  <c r="AD29" i="3"/>
  <c r="U84" i="1"/>
  <c r="S84" i="1" s="1"/>
  <c r="AI84" i="1"/>
  <c r="W84" i="1"/>
  <c r="AD23" i="3"/>
  <c r="S23" i="3"/>
  <c r="T17" i="3"/>
  <c r="S12" i="3"/>
  <c r="T27" i="3"/>
  <c r="AD25" i="3"/>
  <c r="AC29" i="3"/>
  <c r="AE27" i="3"/>
  <c r="AC25" i="3"/>
  <c r="AA180" i="1"/>
  <c r="X175" i="1"/>
  <c r="AA169" i="1"/>
  <c r="AA167" i="1"/>
  <c r="AA166" i="1"/>
  <c r="AA163" i="1"/>
  <c r="W163" i="1" s="1"/>
  <c r="AA162" i="1"/>
  <c r="X88" i="1"/>
  <c r="X79" i="1"/>
  <c r="AA71" i="1"/>
  <c r="W71" i="1" s="1"/>
  <c r="AA66" i="1"/>
  <c r="AA57" i="1"/>
  <c r="AA53" i="1"/>
  <c r="AA33" i="1"/>
  <c r="W33" i="1" s="1"/>
  <c r="AA29" i="1"/>
  <c r="AA25" i="1"/>
  <c r="AA21" i="1"/>
  <c r="AA17" i="1"/>
  <c r="W17" i="1" s="1"/>
  <c r="AA216" i="1"/>
  <c r="AA206" i="1"/>
  <c r="AA201" i="1"/>
  <c r="AA198" i="1"/>
  <c r="W198" i="1" s="1"/>
  <c r="AA154" i="1"/>
  <c r="AA151" i="1"/>
  <c r="AA146" i="1"/>
  <c r="AA141" i="1"/>
  <c r="X139" i="1"/>
  <c r="AA139" i="1"/>
  <c r="X138" i="1"/>
  <c r="AA137" i="1"/>
  <c r="W137" i="1" s="1"/>
  <c r="T115" i="1"/>
  <c r="X111" i="1"/>
  <c r="X110" i="1"/>
  <c r="AA110" i="1"/>
  <c r="W110" i="1" s="1"/>
  <c r="X109" i="1"/>
  <c r="X105" i="1"/>
  <c r="X99" i="1"/>
  <c r="X97" i="1"/>
  <c r="AA26" i="1"/>
  <c r="AA22" i="1"/>
  <c r="AA18" i="1"/>
  <c r="AA220" i="1"/>
  <c r="W220" i="1" s="1"/>
  <c r="AA222" i="1"/>
  <c r="AA221" i="1"/>
  <c r="AA209" i="1"/>
  <c r="X207" i="1"/>
  <c r="AA207" i="1"/>
  <c r="X206" i="1"/>
  <c r="AA203" i="1"/>
  <c r="X201" i="1"/>
  <c r="X199" i="1"/>
  <c r="AA199" i="1"/>
  <c r="X198" i="1"/>
  <c r="AA156" i="1"/>
  <c r="W156" i="1" s="1"/>
  <c r="X154" i="1"/>
  <c r="X152" i="1"/>
  <c r="AA152" i="1"/>
  <c r="X151" i="1"/>
  <c r="AA148" i="1"/>
  <c r="X146" i="1"/>
  <c r="AA144" i="1"/>
  <c r="X141" i="1"/>
  <c r="T136" i="1"/>
  <c r="AA107" i="1"/>
  <c r="X106" i="1"/>
  <c r="X100" i="1"/>
  <c r="X192" i="1"/>
  <c r="X185" i="1"/>
  <c r="X182" i="1"/>
  <c r="AA177" i="1"/>
  <c r="AA95" i="1"/>
  <c r="X170" i="1"/>
  <c r="X167" i="1"/>
  <c r="X164" i="1"/>
  <c r="X93" i="1"/>
  <c r="AA79" i="1"/>
  <c r="AA78" i="1"/>
  <c r="AA68" i="1"/>
  <c r="W68" i="1" s="1"/>
  <c r="AA60" i="1"/>
  <c r="AA39" i="1"/>
  <c r="AA38" i="1"/>
  <c r="X38" i="1"/>
  <c r="AA35" i="1"/>
  <c r="AA31" i="1"/>
  <c r="AA27" i="1"/>
  <c r="AA23" i="1"/>
  <c r="W23" i="1" s="1"/>
  <c r="AA19" i="1"/>
  <c r="AA15" i="1"/>
  <c r="T140" i="1"/>
  <c r="AA105" i="1"/>
  <c r="W105" i="1" s="1"/>
  <c r="X193" i="1"/>
  <c r="AA97" i="1"/>
  <c r="X186" i="1"/>
  <c r="AA184" i="1"/>
  <c r="X174" i="1"/>
  <c r="X165" i="1"/>
  <c r="X87" i="1"/>
  <c r="X75" i="1"/>
  <c r="AA42" i="1"/>
  <c r="AA41" i="1"/>
  <c r="AA32" i="1"/>
  <c r="AA28" i="1"/>
  <c r="AA24" i="1"/>
  <c r="AA20" i="1"/>
  <c r="AA16" i="1"/>
  <c r="T210" i="1"/>
  <c r="X209" i="1"/>
  <c r="AA208" i="1"/>
  <c r="T207" i="1"/>
  <c r="T205" i="1"/>
  <c r="U205" i="1" s="1"/>
  <c r="S205" i="1" s="1"/>
  <c r="X203" i="1"/>
  <c r="T202" i="1"/>
  <c r="AA200" i="1"/>
  <c r="T199" i="1"/>
  <c r="U199" i="1" s="1"/>
  <c r="S199" i="1" s="1"/>
  <c r="T161" i="1"/>
  <c r="X156" i="1"/>
  <c r="T155" i="1"/>
  <c r="AA153" i="1"/>
  <c r="W153" i="1" s="1"/>
  <c r="T152" i="1"/>
  <c r="T150" i="1"/>
  <c r="U150" i="1" s="1"/>
  <c r="S150" i="1" s="1"/>
  <c r="X148" i="1"/>
  <c r="T147" i="1"/>
  <c r="AA145" i="1"/>
  <c r="T144" i="1"/>
  <c r="U144" i="1" s="1"/>
  <c r="S144" i="1" s="1"/>
  <c r="AA140" i="1"/>
  <c r="T139" i="1"/>
  <c r="X137" i="1"/>
  <c r="AA136" i="1"/>
  <c r="T135" i="1"/>
  <c r="X133" i="1"/>
  <c r="AA132" i="1"/>
  <c r="T131" i="1"/>
  <c r="X129" i="1"/>
  <c r="AA128" i="1"/>
  <c r="T127" i="1"/>
  <c r="X125" i="1"/>
  <c r="AA124" i="1"/>
  <c r="T123" i="1"/>
  <c r="X121" i="1"/>
  <c r="AA120" i="1"/>
  <c r="T119" i="1"/>
  <c r="X117" i="1"/>
  <c r="AA116" i="1"/>
  <c r="T110" i="1"/>
  <c r="X211" i="1"/>
  <c r="X102" i="1"/>
  <c r="T102" i="1"/>
  <c r="AA219" i="1"/>
  <c r="AA217" i="1"/>
  <c r="AA215" i="1"/>
  <c r="AA204" i="1"/>
  <c r="AA157" i="1"/>
  <c r="AA149" i="1"/>
  <c r="AA138" i="1"/>
  <c r="W138" i="1" s="1"/>
  <c r="AA134" i="1"/>
  <c r="AA130" i="1"/>
  <c r="AA126" i="1"/>
  <c r="AA122" i="1"/>
  <c r="W122" i="1" s="1"/>
  <c r="AA118" i="1"/>
  <c r="AA111" i="1"/>
  <c r="T211" i="1"/>
  <c r="AA99" i="1"/>
  <c r="T197" i="1"/>
  <c r="T190" i="1"/>
  <c r="T182" i="1"/>
  <c r="T169" i="1"/>
  <c r="U169" i="1" s="1"/>
  <c r="S169" i="1" s="1"/>
  <c r="AA74" i="1"/>
  <c r="AA73" i="1"/>
  <c r="AA59" i="1"/>
  <c r="AA58" i="1"/>
  <c r="W58" i="1" s="1"/>
  <c r="AA36" i="1"/>
  <c r="T103" i="1"/>
  <c r="T195" i="1"/>
  <c r="T188" i="1"/>
  <c r="U188" i="1" s="1"/>
  <c r="S188" i="1" s="1"/>
  <c r="T181" i="1"/>
  <c r="T171" i="1"/>
  <c r="X42" i="1"/>
  <c r="AA14" i="1"/>
  <c r="W14" i="1" s="1"/>
  <c r="AA114" i="1"/>
  <c r="AA109" i="1"/>
  <c r="X212" i="1"/>
  <c r="X98" i="1"/>
  <c r="X191" i="1"/>
  <c r="X183" i="1"/>
  <c r="T96" i="1"/>
  <c r="X179" i="1"/>
  <c r="AA168" i="1"/>
  <c r="AA91" i="1"/>
  <c r="X90" i="1"/>
  <c r="T87" i="1"/>
  <c r="AA85" i="1"/>
  <c r="AA80" i="1"/>
  <c r="AA76" i="1"/>
  <c r="X73" i="1"/>
  <c r="AA63" i="1"/>
  <c r="AA61" i="1"/>
  <c r="AA52" i="1"/>
  <c r="AA51" i="1"/>
  <c r="W51" i="1" s="1"/>
  <c r="AA50" i="1"/>
  <c r="AA49" i="1"/>
  <c r="AA48" i="1"/>
  <c r="AA47" i="1"/>
  <c r="AA46" i="1"/>
  <c r="AA45" i="1"/>
  <c r="AA44" i="1"/>
  <c r="AA43" i="1"/>
  <c r="W43" i="1" s="1"/>
  <c r="X104" i="1"/>
  <c r="X196" i="1"/>
  <c r="T194" i="1"/>
  <c r="X189" i="1"/>
  <c r="T187" i="1"/>
  <c r="T180" i="1"/>
  <c r="T173" i="1"/>
  <c r="AA170" i="1"/>
  <c r="W170" i="1" s="1"/>
  <c r="T166" i="1"/>
  <c r="AA164" i="1"/>
  <c r="X92" i="1"/>
  <c r="X91" i="1"/>
  <c r="AA87" i="1"/>
  <c r="X86" i="1"/>
  <c r="X81" i="1"/>
  <c r="X77" i="1"/>
  <c r="AA67" i="1"/>
  <c r="AA55" i="1"/>
  <c r="AI220" i="1"/>
  <c r="AI218" i="1"/>
  <c r="AI216" i="1"/>
  <c r="U213" i="1"/>
  <c r="S213" i="1" s="1"/>
  <c r="AI213" i="1"/>
  <c r="AI211" i="1"/>
  <c r="U209" i="1"/>
  <c r="S209" i="1" s="1"/>
  <c r="AI207" i="1"/>
  <c r="AI203" i="1"/>
  <c r="U201" i="1"/>
  <c r="S201" i="1" s="1"/>
  <c r="AI199" i="1"/>
  <c r="U161" i="1"/>
  <c r="S161" i="1" s="1"/>
  <c r="AI195" i="1"/>
  <c r="U154" i="1"/>
  <c r="S154" i="1" s="1"/>
  <c r="AI191" i="1"/>
  <c r="AI187" i="1"/>
  <c r="U146" i="1"/>
  <c r="S146" i="1" s="1"/>
  <c r="U140" i="1"/>
  <c r="S140" i="1" s="1"/>
  <c r="AI183" i="1"/>
  <c r="AI179" i="1"/>
  <c r="U136" i="1"/>
  <c r="S136" i="1" s="1"/>
  <c r="AI175" i="1"/>
  <c r="AI171" i="1"/>
  <c r="U128" i="1"/>
  <c r="S128" i="1" s="1"/>
  <c r="AI167" i="1"/>
  <c r="U124" i="1"/>
  <c r="S124" i="1" s="1"/>
  <c r="AI163" i="1"/>
  <c r="U120" i="1"/>
  <c r="S120" i="1" s="1"/>
  <c r="AI156" i="1"/>
  <c r="U116" i="1"/>
  <c r="S116" i="1" s="1"/>
  <c r="AI152" i="1"/>
  <c r="U111" i="1"/>
  <c r="S111" i="1" s="1"/>
  <c r="AI222" i="1"/>
  <c r="AI212" i="1"/>
  <c r="U210" i="1"/>
  <c r="S210" i="1" s="1"/>
  <c r="AI208" i="1"/>
  <c r="U206" i="1"/>
  <c r="S206" i="1" s="1"/>
  <c r="AI204" i="1"/>
  <c r="U202" i="1"/>
  <c r="S202" i="1" s="1"/>
  <c r="AI200" i="1"/>
  <c r="U198" i="1"/>
  <c r="S198" i="1" s="1"/>
  <c r="AI196" i="1"/>
  <c r="U155" i="1"/>
  <c r="S155" i="1" s="1"/>
  <c r="AI192" i="1"/>
  <c r="U151" i="1"/>
  <c r="S151" i="1" s="1"/>
  <c r="AI188" i="1"/>
  <c r="U147" i="1"/>
  <c r="S147" i="1" s="1"/>
  <c r="AI184" i="1"/>
  <c r="U141" i="1"/>
  <c r="S141" i="1" s="1"/>
  <c r="AI180" i="1"/>
  <c r="U137" i="1"/>
  <c r="AI176" i="1"/>
  <c r="U133" i="1"/>
  <c r="S133" i="1" s="1"/>
  <c r="AI172" i="1"/>
  <c r="U129" i="1"/>
  <c r="S129" i="1" s="1"/>
  <c r="AI168" i="1"/>
  <c r="U125" i="1"/>
  <c r="S125" i="1" s="1"/>
  <c r="AI164" i="1"/>
  <c r="U121" i="1"/>
  <c r="S121" i="1" s="1"/>
  <c r="AI157" i="1"/>
  <c r="U117" i="1"/>
  <c r="S117" i="1" s="1"/>
  <c r="AI153" i="1"/>
  <c r="U113" i="1"/>
  <c r="S113" i="1" s="1"/>
  <c r="AI221" i="1"/>
  <c r="AI219" i="1"/>
  <c r="AI217" i="1"/>
  <c r="AI215" i="1"/>
  <c r="U207" i="1"/>
  <c r="S207" i="1" s="1"/>
  <c r="AI209" i="1"/>
  <c r="U203" i="1"/>
  <c r="S203" i="1" s="1"/>
  <c r="AI205" i="1"/>
  <c r="AI201" i="1"/>
  <c r="U156" i="1"/>
  <c r="S156" i="1" s="1"/>
  <c r="AI197" i="1"/>
  <c r="U152" i="1"/>
  <c r="S152" i="1" s="1"/>
  <c r="AI193" i="1"/>
  <c r="U148" i="1"/>
  <c r="S148" i="1" s="1"/>
  <c r="AI189" i="1"/>
  <c r="AI185" i="1"/>
  <c r="AI181" i="1"/>
  <c r="U138" i="1"/>
  <c r="S138" i="1" s="1"/>
  <c r="AI177" i="1"/>
  <c r="U134" i="1"/>
  <c r="S134" i="1" s="1"/>
  <c r="AI173" i="1"/>
  <c r="U130" i="1"/>
  <c r="S130" i="1" s="1"/>
  <c r="AI169" i="1"/>
  <c r="U126" i="1"/>
  <c r="S126" i="1" s="1"/>
  <c r="AI165" i="1"/>
  <c r="U122" i="1"/>
  <c r="S122" i="1" s="1"/>
  <c r="AI161" i="1"/>
  <c r="U118" i="1"/>
  <c r="S118" i="1" s="1"/>
  <c r="AI154" i="1"/>
  <c r="U114" i="1"/>
  <c r="S114" i="1" s="1"/>
  <c r="U109" i="1"/>
  <c r="S109" i="1" s="1"/>
  <c r="AI150" i="1"/>
  <c r="U214" i="1"/>
  <c r="S214" i="1" s="1"/>
  <c r="AI214" i="1"/>
  <c r="AI210" i="1"/>
  <c r="U204" i="1"/>
  <c r="S204" i="1" s="1"/>
  <c r="AI206" i="1"/>
  <c r="U200" i="1"/>
  <c r="S200" i="1" s="1"/>
  <c r="AI202" i="1"/>
  <c r="U157" i="1"/>
  <c r="S157" i="1" s="1"/>
  <c r="AI198" i="1"/>
  <c r="U153" i="1"/>
  <c r="S153" i="1" s="1"/>
  <c r="AI194" i="1"/>
  <c r="U149" i="1"/>
  <c r="S149" i="1" s="1"/>
  <c r="AI190" i="1"/>
  <c r="U145" i="1"/>
  <c r="S145" i="1" s="1"/>
  <c r="AI186" i="1"/>
  <c r="AI182" i="1"/>
  <c r="U139" i="1"/>
  <c r="S139" i="1" s="1"/>
  <c r="AI178" i="1"/>
  <c r="U135" i="1"/>
  <c r="S135" i="1" s="1"/>
  <c r="AI174" i="1"/>
  <c r="U131" i="1"/>
  <c r="S131" i="1" s="1"/>
  <c r="AI170" i="1"/>
  <c r="U127" i="1"/>
  <c r="S127" i="1" s="1"/>
  <c r="AI166" i="1"/>
  <c r="U123" i="1"/>
  <c r="S123" i="1" s="1"/>
  <c r="AI162" i="1"/>
  <c r="U119" i="1"/>
  <c r="S119" i="1" s="1"/>
  <c r="AI155" i="1"/>
  <c r="U115" i="1"/>
  <c r="S115" i="1" s="1"/>
  <c r="AI151" i="1"/>
  <c r="U110" i="1"/>
  <c r="S110" i="1" s="1"/>
  <c r="AI50" i="1"/>
  <c r="AI69" i="1"/>
  <c r="AI68" i="1"/>
  <c r="AI61" i="1"/>
  <c r="AI60" i="1"/>
  <c r="AI65" i="1"/>
  <c r="AI64" i="1"/>
  <c r="AI56" i="1"/>
  <c r="AI46" i="1"/>
  <c r="AI71" i="1"/>
  <c r="AI70" i="1"/>
  <c r="W70" i="1"/>
  <c r="AI63" i="1"/>
  <c r="AI62" i="1"/>
  <c r="W62" i="1"/>
  <c r="AI54" i="1"/>
  <c r="AI52" i="1"/>
  <c r="AI44" i="1"/>
  <c r="AI67" i="1"/>
  <c r="AI66" i="1"/>
  <c r="AI59" i="1"/>
  <c r="AI58" i="1"/>
  <c r="AI48" i="1"/>
  <c r="AI57" i="1"/>
  <c r="AI55" i="1"/>
  <c r="AI53" i="1"/>
  <c r="AI51" i="1"/>
  <c r="AI49" i="1"/>
  <c r="AI47" i="1"/>
  <c r="AI45" i="1"/>
  <c r="AI43" i="1"/>
  <c r="U108" i="1"/>
  <c r="S108" i="1" s="1"/>
  <c r="AI149" i="1"/>
  <c r="U107" i="1"/>
  <c r="S107" i="1" s="1"/>
  <c r="AI148" i="1"/>
  <c r="U106" i="1"/>
  <c r="S106" i="1" s="1"/>
  <c r="AI147" i="1"/>
  <c r="U105" i="1"/>
  <c r="S105" i="1" s="1"/>
  <c r="AI146" i="1"/>
  <c r="U212" i="1"/>
  <c r="S212" i="1" s="1"/>
  <c r="AI145" i="1"/>
  <c r="U211" i="1"/>
  <c r="S211" i="1" s="1"/>
  <c r="AI144" i="1"/>
  <c r="U104" i="1"/>
  <c r="S104" i="1" s="1"/>
  <c r="AI141" i="1"/>
  <c r="U103" i="1"/>
  <c r="S103" i="1" s="1"/>
  <c r="AI140" i="1"/>
  <c r="U102" i="1"/>
  <c r="S102" i="1" s="1"/>
  <c r="AI139" i="1"/>
  <c r="U101" i="1"/>
  <c r="S101" i="1" s="1"/>
  <c r="AI138" i="1"/>
  <c r="U100" i="1"/>
  <c r="S100" i="1" s="1"/>
  <c r="AI137" i="1"/>
  <c r="U99" i="1"/>
  <c r="S99" i="1" s="1"/>
  <c r="AI136" i="1"/>
  <c r="U98" i="1"/>
  <c r="S98" i="1" s="1"/>
  <c r="AI135" i="1"/>
  <c r="U197" i="1"/>
  <c r="S197" i="1" s="1"/>
  <c r="AI134" i="1"/>
  <c r="U196" i="1"/>
  <c r="S196" i="1" s="1"/>
  <c r="AI133" i="1"/>
  <c r="U195" i="1"/>
  <c r="S195" i="1" s="1"/>
  <c r="AI132" i="1"/>
  <c r="U194" i="1"/>
  <c r="S194" i="1" s="1"/>
  <c r="AI131" i="1"/>
  <c r="U193" i="1"/>
  <c r="S193" i="1" s="1"/>
  <c r="AI130" i="1"/>
  <c r="U192" i="1"/>
  <c r="S192" i="1" s="1"/>
  <c r="AI129" i="1"/>
  <c r="U97" i="1"/>
  <c r="S97" i="1" s="1"/>
  <c r="AI128" i="1"/>
  <c r="U191" i="1"/>
  <c r="S191" i="1" s="1"/>
  <c r="AI127" i="1"/>
  <c r="U190" i="1"/>
  <c r="S190" i="1" s="1"/>
  <c r="AI126" i="1"/>
  <c r="U189" i="1"/>
  <c r="S189" i="1" s="1"/>
  <c r="AI125" i="1"/>
  <c r="AI124" i="1"/>
  <c r="U187" i="1"/>
  <c r="S187" i="1" s="1"/>
  <c r="AI123" i="1"/>
  <c r="U186" i="1"/>
  <c r="S186" i="1" s="1"/>
  <c r="AI122" i="1"/>
  <c r="U185" i="1"/>
  <c r="S185" i="1" s="1"/>
  <c r="AI121" i="1"/>
  <c r="U184" i="1"/>
  <c r="S184" i="1" s="1"/>
  <c r="AI120" i="1"/>
  <c r="U183" i="1"/>
  <c r="S183" i="1" s="1"/>
  <c r="AI119" i="1"/>
  <c r="U182" i="1"/>
  <c r="S182" i="1" s="1"/>
  <c r="AI118" i="1"/>
  <c r="U96" i="1"/>
  <c r="S96" i="1" s="1"/>
  <c r="AI117" i="1"/>
  <c r="U181" i="1"/>
  <c r="S181" i="1" s="1"/>
  <c r="AI116" i="1"/>
  <c r="U180" i="1"/>
  <c r="S180" i="1" s="1"/>
  <c r="AI115" i="1"/>
  <c r="AI114" i="1"/>
  <c r="U178" i="1"/>
  <c r="S178" i="1" s="1"/>
  <c r="AI113" i="1"/>
  <c r="AI111" i="1"/>
  <c r="U176" i="1"/>
  <c r="S176" i="1" s="1"/>
  <c r="AI110" i="1"/>
  <c r="AI109" i="1"/>
  <c r="U174" i="1"/>
  <c r="S174" i="1" s="1"/>
  <c r="AI108" i="1"/>
  <c r="U173" i="1"/>
  <c r="S173" i="1" s="1"/>
  <c r="AI107" i="1"/>
  <c r="U172" i="1"/>
  <c r="S172" i="1" s="1"/>
  <c r="AI106" i="1"/>
  <c r="AI105" i="1"/>
  <c r="U171" i="1"/>
  <c r="S171" i="1" s="1"/>
  <c r="AI104" i="1"/>
  <c r="AI103" i="1"/>
  <c r="AI102" i="1"/>
  <c r="AI101" i="1"/>
  <c r="U167" i="1"/>
  <c r="S167" i="1" s="1"/>
  <c r="AI100" i="1"/>
  <c r="U166" i="1"/>
  <c r="S166" i="1" s="1"/>
  <c r="AI99" i="1"/>
  <c r="U165" i="1"/>
  <c r="S165" i="1" s="1"/>
  <c r="AI98" i="1"/>
  <c r="AI97" i="1"/>
  <c r="U163" i="1"/>
  <c r="S163" i="1" s="1"/>
  <c r="AI96" i="1"/>
  <c r="U162" i="1"/>
  <c r="S162" i="1" s="1"/>
  <c r="AI95" i="1"/>
  <c r="U94" i="1"/>
  <c r="S94" i="1" s="1"/>
  <c r="AI94" i="1"/>
  <c r="AI93" i="1"/>
  <c r="U92" i="1"/>
  <c r="S92" i="1" s="1"/>
  <c r="AI92" i="1"/>
  <c r="U91" i="1"/>
  <c r="S91" i="1" s="1"/>
  <c r="AI91" i="1"/>
  <c r="U90" i="1"/>
  <c r="S90" i="1" s="1"/>
  <c r="AI90" i="1"/>
  <c r="AI89" i="1"/>
  <c r="U88" i="1"/>
  <c r="S88" i="1" s="1"/>
  <c r="AI88" i="1"/>
  <c r="U87" i="1"/>
  <c r="S87" i="1" s="1"/>
  <c r="AI87" i="1"/>
  <c r="U86" i="1"/>
  <c r="S86" i="1" s="1"/>
  <c r="AI86" i="1"/>
  <c r="AI85" i="1"/>
  <c r="U83" i="1"/>
  <c r="S83" i="1" s="1"/>
  <c r="AI83" i="1"/>
  <c r="AI82" i="1"/>
  <c r="U81" i="1"/>
  <c r="S81" i="1" s="1"/>
  <c r="AI81" i="1"/>
  <c r="AI80" i="1"/>
  <c r="U79" i="1"/>
  <c r="S79" i="1" s="1"/>
  <c r="AI79" i="1"/>
  <c r="AI78" i="1"/>
  <c r="U77" i="1"/>
  <c r="S77" i="1" s="1"/>
  <c r="AI77" i="1"/>
  <c r="AI76" i="1"/>
  <c r="U75" i="1"/>
  <c r="S75" i="1" s="1"/>
  <c r="AI75" i="1"/>
  <c r="AI74" i="1"/>
  <c r="U73" i="1"/>
  <c r="S73" i="1" s="1"/>
  <c r="AI73" i="1"/>
  <c r="AI72" i="1"/>
  <c r="U42" i="1"/>
  <c r="S42" i="1" s="1"/>
  <c r="AI42" i="1"/>
  <c r="W41" i="1"/>
  <c r="AI41" i="1"/>
  <c r="U40" i="1"/>
  <c r="S40" i="1" s="1"/>
  <c r="AI40" i="1"/>
  <c r="AI39" i="1"/>
  <c r="W39" i="1"/>
  <c r="U38" i="1"/>
  <c r="S38" i="1" s="1"/>
  <c r="AI38" i="1"/>
  <c r="AI37" i="1"/>
  <c r="AI36" i="1"/>
  <c r="AI35" i="1"/>
  <c r="AI34" i="1"/>
  <c r="AI33" i="1"/>
  <c r="AI32" i="1"/>
  <c r="AI31" i="1"/>
  <c r="AI30" i="1"/>
  <c r="AI29" i="1"/>
  <c r="AI28" i="1"/>
  <c r="AI27" i="1"/>
  <c r="AI26" i="1"/>
  <c r="AI25" i="1"/>
  <c r="AI24" i="1"/>
  <c r="AI23" i="1"/>
  <c r="AI22" i="1"/>
  <c r="AI21" i="1"/>
  <c r="AI20" i="1"/>
  <c r="AI19" i="1"/>
  <c r="AI18" i="1"/>
  <c r="AI17" i="1"/>
  <c r="AI16" i="1"/>
  <c r="AI15" i="1"/>
  <c r="AI14" i="1"/>
  <c r="W208" i="1"/>
  <c r="W200" i="1"/>
  <c r="W145" i="1"/>
  <c r="W218" i="1"/>
  <c r="W216" i="1"/>
  <c r="W214" i="1"/>
  <c r="W209" i="1"/>
  <c r="W207" i="1"/>
  <c r="W206" i="1"/>
  <c r="W201" i="1"/>
  <c r="W199" i="1"/>
  <c r="W154" i="1"/>
  <c r="W152" i="1"/>
  <c r="W151" i="1"/>
  <c r="W146" i="1"/>
  <c r="W144" i="1"/>
  <c r="W141" i="1"/>
  <c r="W222" i="1"/>
  <c r="W219" i="1"/>
  <c r="W217" i="1"/>
  <c r="W215" i="1"/>
  <c r="W204" i="1"/>
  <c r="W157" i="1"/>
  <c r="W149" i="1"/>
  <c r="W221" i="1"/>
  <c r="W213" i="1"/>
  <c r="W210" i="1"/>
  <c r="W205" i="1"/>
  <c r="W203" i="1"/>
  <c r="W202" i="1"/>
  <c r="W161" i="1"/>
  <c r="W155" i="1"/>
  <c r="W150" i="1"/>
  <c r="W148" i="1"/>
  <c r="W147" i="1"/>
  <c r="W108" i="1"/>
  <c r="W133" i="1"/>
  <c r="W129" i="1"/>
  <c r="W125" i="1"/>
  <c r="W121" i="1"/>
  <c r="W117" i="1"/>
  <c r="W113" i="1"/>
  <c r="W106" i="1"/>
  <c r="W103" i="1"/>
  <c r="W100" i="1"/>
  <c r="W195" i="1"/>
  <c r="W192" i="1"/>
  <c r="W188" i="1"/>
  <c r="W185" i="1"/>
  <c r="W175" i="1"/>
  <c r="W171" i="1"/>
  <c r="W92" i="1"/>
  <c r="T221" i="1"/>
  <c r="U221" i="1" s="1"/>
  <c r="S221" i="1" s="1"/>
  <c r="X221" i="1"/>
  <c r="T219" i="1"/>
  <c r="U219" i="1" s="1"/>
  <c r="S219" i="1" s="1"/>
  <c r="X219" i="1"/>
  <c r="T217" i="1"/>
  <c r="U217" i="1" s="1"/>
  <c r="S217" i="1" s="1"/>
  <c r="X217" i="1"/>
  <c r="T215" i="1"/>
  <c r="U215" i="1" s="1"/>
  <c r="S215" i="1" s="1"/>
  <c r="X215" i="1"/>
  <c r="W134" i="1"/>
  <c r="W130" i="1"/>
  <c r="W126" i="1"/>
  <c r="W118" i="1"/>
  <c r="W114" i="1"/>
  <c r="W109" i="1"/>
  <c r="W107" i="1"/>
  <c r="W212" i="1"/>
  <c r="W101" i="1"/>
  <c r="W98" i="1"/>
  <c r="W193" i="1"/>
  <c r="W191" i="1"/>
  <c r="W186" i="1"/>
  <c r="W183" i="1"/>
  <c r="W177" i="1"/>
  <c r="W176" i="1"/>
  <c r="W174" i="1"/>
  <c r="W172" i="1"/>
  <c r="W165" i="1"/>
  <c r="W88" i="1"/>
  <c r="W139" i="1"/>
  <c r="W135" i="1"/>
  <c r="W131" i="1"/>
  <c r="W127" i="1"/>
  <c r="W123" i="1"/>
  <c r="W119" i="1"/>
  <c r="W115" i="1"/>
  <c r="W104" i="1"/>
  <c r="W99" i="1"/>
  <c r="W97" i="1"/>
  <c r="W189" i="1"/>
  <c r="W184" i="1"/>
  <c r="W96" i="1"/>
  <c r="W178" i="1"/>
  <c r="W167" i="1"/>
  <c r="W94" i="1"/>
  <c r="T222" i="1"/>
  <c r="U222" i="1" s="1"/>
  <c r="S222" i="1" s="1"/>
  <c r="X222" i="1"/>
  <c r="T220" i="1"/>
  <c r="U220" i="1" s="1"/>
  <c r="S220" i="1" s="1"/>
  <c r="X220" i="1"/>
  <c r="T218" i="1"/>
  <c r="U218" i="1" s="1"/>
  <c r="S218" i="1" s="1"/>
  <c r="X218" i="1"/>
  <c r="T216" i="1"/>
  <c r="U216" i="1" s="1"/>
  <c r="S216" i="1" s="1"/>
  <c r="X216" i="1"/>
  <c r="W140" i="1"/>
  <c r="W136" i="1"/>
  <c r="W132" i="1"/>
  <c r="W128" i="1"/>
  <c r="W124" i="1"/>
  <c r="W120" i="1"/>
  <c r="W116" i="1"/>
  <c r="W111" i="1"/>
  <c r="W211" i="1"/>
  <c r="W102" i="1"/>
  <c r="W197" i="1"/>
  <c r="W194" i="1"/>
  <c r="W190" i="1"/>
  <c r="W187" i="1"/>
  <c r="W182" i="1"/>
  <c r="W180" i="1"/>
  <c r="W169" i="1"/>
  <c r="T170" i="1"/>
  <c r="U170" i="1" s="1"/>
  <c r="S170" i="1" s="1"/>
  <c r="W168" i="1"/>
  <c r="W164" i="1"/>
  <c r="W93" i="1"/>
  <c r="W89" i="1"/>
  <c r="T85" i="1"/>
  <c r="U85" i="1" s="1"/>
  <c r="S85" i="1" s="1"/>
  <c r="T82" i="1"/>
  <c r="U82" i="1" s="1"/>
  <c r="S82" i="1" s="1"/>
  <c r="X82" i="1"/>
  <c r="T80" i="1"/>
  <c r="U80" i="1" s="1"/>
  <c r="S80" i="1" s="1"/>
  <c r="X80" i="1"/>
  <c r="T78" i="1"/>
  <c r="U78" i="1" s="1"/>
  <c r="S78" i="1" s="1"/>
  <c r="X78" i="1"/>
  <c r="T76" i="1"/>
  <c r="U76" i="1" s="1"/>
  <c r="S76" i="1" s="1"/>
  <c r="X76" i="1"/>
  <c r="T74" i="1"/>
  <c r="U74" i="1" s="1"/>
  <c r="S74" i="1" s="1"/>
  <c r="X74" i="1"/>
  <c r="W69" i="1"/>
  <c r="T67" i="1"/>
  <c r="U67" i="1" s="1"/>
  <c r="S67" i="1" s="1"/>
  <c r="X67" i="1"/>
  <c r="W66" i="1"/>
  <c r="W65" i="1"/>
  <c r="W59" i="1"/>
  <c r="T179" i="1"/>
  <c r="U179" i="1" s="1"/>
  <c r="S179" i="1" s="1"/>
  <c r="T95" i="1"/>
  <c r="U95" i="1" s="1"/>
  <c r="S95" i="1" s="1"/>
  <c r="W61" i="1"/>
  <c r="W60" i="1"/>
  <c r="T59" i="1"/>
  <c r="U59" i="1" s="1"/>
  <c r="S59" i="1" s="1"/>
  <c r="X59" i="1"/>
  <c r="W53" i="1"/>
  <c r="T177" i="1"/>
  <c r="U177" i="1" s="1"/>
  <c r="S177" i="1" s="1"/>
  <c r="W95" i="1"/>
  <c r="W166" i="1"/>
  <c r="W162" i="1"/>
  <c r="W91" i="1"/>
  <c r="W87" i="1"/>
  <c r="W72" i="1"/>
  <c r="W64" i="1"/>
  <c r="W55" i="1"/>
  <c r="W54" i="1"/>
  <c r="W45" i="1"/>
  <c r="X214" i="1"/>
  <c r="X213" i="1"/>
  <c r="T175" i="1"/>
  <c r="U175" i="1" s="1"/>
  <c r="S175" i="1" s="1"/>
  <c r="W173" i="1"/>
  <c r="T168" i="1"/>
  <c r="U168" i="1" s="1"/>
  <c r="S168" i="1" s="1"/>
  <c r="T164" i="1"/>
  <c r="U164" i="1" s="1"/>
  <c r="S164" i="1" s="1"/>
  <c r="T93" i="1"/>
  <c r="U93" i="1" s="1"/>
  <c r="S93" i="1" s="1"/>
  <c r="T89" i="1"/>
  <c r="U89" i="1" s="1"/>
  <c r="S89" i="1" s="1"/>
  <c r="W86" i="1"/>
  <c r="W85" i="1"/>
  <c r="W82" i="1"/>
  <c r="W81" i="1"/>
  <c r="W80" i="1"/>
  <c r="W79" i="1"/>
  <c r="W78" i="1"/>
  <c r="W77" i="1"/>
  <c r="W76" i="1"/>
  <c r="W75" i="1"/>
  <c r="W74" i="1"/>
  <c r="W73" i="1"/>
  <c r="T72" i="1"/>
  <c r="U72" i="1" s="1"/>
  <c r="S72" i="1" s="1"/>
  <c r="X72" i="1"/>
  <c r="W67" i="1"/>
  <c r="W63" i="1"/>
  <c r="T55" i="1"/>
  <c r="U55" i="1" s="1"/>
  <c r="S55" i="1" s="1"/>
  <c r="X55" i="1"/>
  <c r="T71" i="1"/>
  <c r="U71" i="1" s="1"/>
  <c r="S71" i="1" s="1"/>
  <c r="X71" i="1"/>
  <c r="T63" i="1"/>
  <c r="U63" i="1" s="1"/>
  <c r="S63" i="1" s="1"/>
  <c r="X63" i="1"/>
  <c r="W57" i="1"/>
  <c r="W49" i="1"/>
  <c r="W36" i="1"/>
  <c r="T69" i="1"/>
  <c r="U69" i="1" s="1"/>
  <c r="S69" i="1" s="1"/>
  <c r="X69" i="1"/>
  <c r="T61" i="1"/>
  <c r="U61" i="1" s="1"/>
  <c r="S61" i="1" s="1"/>
  <c r="X61" i="1"/>
  <c r="T57" i="1"/>
  <c r="U57" i="1" s="1"/>
  <c r="S57" i="1" s="1"/>
  <c r="X57" i="1"/>
  <c r="W47" i="1"/>
  <c r="W37" i="1"/>
  <c r="T36" i="1"/>
  <c r="U36" i="1" s="1"/>
  <c r="S36" i="1" s="1"/>
  <c r="X36" i="1"/>
  <c r="T65" i="1"/>
  <c r="U65" i="1" s="1"/>
  <c r="S65" i="1" s="1"/>
  <c r="X65" i="1"/>
  <c r="W40" i="1"/>
  <c r="W52" i="1"/>
  <c r="W50" i="1"/>
  <c r="W48" i="1"/>
  <c r="W46" i="1"/>
  <c r="W44" i="1"/>
  <c r="X39" i="1"/>
  <c r="T39" i="1"/>
  <c r="U39" i="1" s="1"/>
  <c r="S39" i="1" s="1"/>
  <c r="W35" i="1"/>
  <c r="T70" i="1"/>
  <c r="U70" i="1" s="1"/>
  <c r="S70" i="1" s="1"/>
  <c r="X70" i="1"/>
  <c r="T68" i="1"/>
  <c r="U68" i="1" s="1"/>
  <c r="S68" i="1" s="1"/>
  <c r="X68" i="1"/>
  <c r="T66" i="1"/>
  <c r="U66" i="1" s="1"/>
  <c r="S66" i="1" s="1"/>
  <c r="X66" i="1"/>
  <c r="T64" i="1"/>
  <c r="U64" i="1" s="1"/>
  <c r="S64" i="1" s="1"/>
  <c r="X64" i="1"/>
  <c r="T62" i="1"/>
  <c r="U62" i="1" s="1"/>
  <c r="S62" i="1" s="1"/>
  <c r="X62" i="1"/>
  <c r="T60" i="1"/>
  <c r="U60" i="1" s="1"/>
  <c r="S60" i="1" s="1"/>
  <c r="X60" i="1"/>
  <c r="T58" i="1"/>
  <c r="U58" i="1" s="1"/>
  <c r="S58" i="1" s="1"/>
  <c r="X58" i="1"/>
  <c r="T56" i="1"/>
  <c r="U56" i="1" s="1"/>
  <c r="S56" i="1" s="1"/>
  <c r="X56" i="1"/>
  <c r="T54" i="1"/>
  <c r="U54" i="1" s="1"/>
  <c r="S54" i="1" s="1"/>
  <c r="X54" i="1"/>
  <c r="T52" i="1"/>
  <c r="U52" i="1" s="1"/>
  <c r="S52" i="1" s="1"/>
  <c r="X52" i="1"/>
  <c r="T50" i="1"/>
  <c r="U50" i="1" s="1"/>
  <c r="S50" i="1" s="1"/>
  <c r="X50" i="1"/>
  <c r="T48" i="1"/>
  <c r="U48" i="1" s="1"/>
  <c r="S48" i="1" s="1"/>
  <c r="X48" i="1"/>
  <c r="T46" i="1"/>
  <c r="U46" i="1" s="1"/>
  <c r="S46" i="1" s="1"/>
  <c r="X46" i="1"/>
  <c r="T44" i="1"/>
  <c r="U44" i="1" s="1"/>
  <c r="S44" i="1" s="1"/>
  <c r="X44" i="1"/>
  <c r="X41" i="1"/>
  <c r="T41" i="1"/>
  <c r="U41" i="1" s="1"/>
  <c r="X40" i="1"/>
  <c r="W38" i="1"/>
  <c r="T35" i="1"/>
  <c r="U35" i="1" s="1"/>
  <c r="S35" i="1" s="1"/>
  <c r="X35" i="1"/>
  <c r="T53" i="1"/>
  <c r="U53" i="1" s="1"/>
  <c r="S53" i="1" s="1"/>
  <c r="X53" i="1"/>
  <c r="T51" i="1"/>
  <c r="U51" i="1" s="1"/>
  <c r="S51" i="1" s="1"/>
  <c r="X51" i="1"/>
  <c r="T49" i="1"/>
  <c r="U49" i="1" s="1"/>
  <c r="S49" i="1" s="1"/>
  <c r="X49" i="1"/>
  <c r="T47" i="1"/>
  <c r="U47" i="1" s="1"/>
  <c r="X47" i="1"/>
  <c r="T45" i="1"/>
  <c r="U45" i="1" s="1"/>
  <c r="S45" i="1" s="1"/>
  <c r="X45" i="1"/>
  <c r="T43" i="1"/>
  <c r="U43" i="1" s="1"/>
  <c r="S43" i="1" s="1"/>
  <c r="X43" i="1"/>
  <c r="W42" i="1"/>
  <c r="T37" i="1"/>
  <c r="U37" i="1" s="1"/>
  <c r="S37" i="1" s="1"/>
  <c r="X37" i="1"/>
  <c r="W34" i="1"/>
  <c r="W32" i="1"/>
  <c r="W31" i="1"/>
  <c r="W30" i="1"/>
  <c r="W29" i="1"/>
  <c r="W28" i="1"/>
  <c r="W27" i="1"/>
  <c r="W26" i="1"/>
  <c r="W25" i="1"/>
  <c r="W24" i="1"/>
  <c r="W22" i="1"/>
  <c r="W21" i="1"/>
  <c r="W20" i="1"/>
  <c r="W19" i="1"/>
  <c r="W18" i="1"/>
  <c r="W16" i="1"/>
  <c r="W15" i="1"/>
  <c r="T34" i="1"/>
  <c r="U34" i="1" s="1"/>
  <c r="S34" i="1" s="1"/>
  <c r="X34" i="1"/>
  <c r="T33" i="1"/>
  <c r="U33" i="1" s="1"/>
  <c r="S33" i="1" s="1"/>
  <c r="X33" i="1"/>
  <c r="T32" i="1"/>
  <c r="U32" i="1" s="1"/>
  <c r="S32" i="1" s="1"/>
  <c r="X32" i="1"/>
  <c r="T31" i="1"/>
  <c r="U31" i="1" s="1"/>
  <c r="S31" i="1" s="1"/>
  <c r="X31" i="1"/>
  <c r="T30" i="1"/>
  <c r="U30" i="1" s="1"/>
  <c r="S30" i="1" s="1"/>
  <c r="X30" i="1"/>
  <c r="T29" i="1"/>
  <c r="U29" i="1" s="1"/>
  <c r="S29" i="1" s="1"/>
  <c r="X29" i="1"/>
  <c r="T28" i="1"/>
  <c r="U28" i="1" s="1"/>
  <c r="S28" i="1" s="1"/>
  <c r="X28" i="1"/>
  <c r="T27" i="1"/>
  <c r="U27" i="1" s="1"/>
  <c r="S27" i="1" s="1"/>
  <c r="X27" i="1"/>
  <c r="T26" i="1"/>
  <c r="U26" i="1" s="1"/>
  <c r="S26" i="1" s="1"/>
  <c r="X26" i="1"/>
  <c r="T25" i="1"/>
  <c r="U25" i="1" s="1"/>
  <c r="S25" i="1" s="1"/>
  <c r="X25" i="1"/>
  <c r="T24" i="1"/>
  <c r="U24" i="1" s="1"/>
  <c r="S24" i="1" s="1"/>
  <c r="X24" i="1"/>
  <c r="T23" i="1"/>
  <c r="U23" i="1" s="1"/>
  <c r="S23" i="1" s="1"/>
  <c r="X23" i="1"/>
  <c r="T22" i="1"/>
  <c r="U22" i="1" s="1"/>
  <c r="S22" i="1" s="1"/>
  <c r="X22" i="1"/>
  <c r="T21" i="1"/>
  <c r="U21" i="1" s="1"/>
  <c r="S21" i="1" s="1"/>
  <c r="X21" i="1"/>
  <c r="T20" i="1"/>
  <c r="U20" i="1" s="1"/>
  <c r="S20" i="1" s="1"/>
  <c r="X20" i="1"/>
  <c r="T19" i="1"/>
  <c r="U19" i="1" s="1"/>
  <c r="S19" i="1" s="1"/>
  <c r="X19" i="1"/>
  <c r="T18" i="1"/>
  <c r="U18" i="1" s="1"/>
  <c r="S18" i="1" s="1"/>
  <c r="X18" i="1"/>
  <c r="T17" i="1"/>
  <c r="U17" i="1" s="1"/>
  <c r="S17" i="1" s="1"/>
  <c r="X17" i="1"/>
  <c r="T16" i="1"/>
  <c r="U16" i="1" s="1"/>
  <c r="S16" i="1" s="1"/>
  <c r="X16" i="1"/>
  <c r="T15" i="1"/>
  <c r="U15" i="1" s="1"/>
  <c r="S15" i="1" s="1"/>
  <c r="X15" i="1"/>
  <c r="T14" i="1"/>
  <c r="U14" i="1" s="1"/>
  <c r="S14" i="1" s="1"/>
  <c r="AC26" i="3"/>
  <c r="AD32" i="3"/>
  <c r="T10" i="3"/>
  <c r="AC31" i="3"/>
  <c r="AD26" i="3"/>
  <c r="AD31" i="3"/>
  <c r="AC30" i="3"/>
  <c r="AD13" i="3"/>
  <c r="AD11" i="3"/>
  <c r="AD18" i="3"/>
  <c r="AD15" i="3"/>
  <c r="T15" i="3"/>
  <c r="AE22" i="3"/>
  <c r="AD17" i="3"/>
  <c r="AE11" i="3"/>
  <c r="AD10" i="3"/>
  <c r="AE32" i="3"/>
  <c r="AE26" i="3"/>
  <c r="AE19" i="3"/>
  <c r="AC7" i="3"/>
  <c r="AC9" i="3"/>
  <c r="AC13" i="3"/>
  <c r="AC24" i="3"/>
  <c r="AD19" i="3"/>
  <c r="AE18" i="3"/>
  <c r="AE10" i="3"/>
  <c r="AD9" i="3"/>
  <c r="AE29" i="3"/>
  <c r="AD27" i="3"/>
  <c r="AC32" i="3"/>
  <c r="AC23" i="3"/>
  <c r="AE15" i="3"/>
  <c r="AD14" i="3"/>
  <c r="T12" i="3"/>
  <c r="AC11" i="3"/>
  <c r="AC8" i="3"/>
  <c r="AC18" i="3"/>
  <c r="AE23" i="3"/>
  <c r="AD22" i="3"/>
  <c r="T16" i="3"/>
  <c r="Y9" i="3"/>
  <c r="Y13" i="3"/>
  <c r="Y23" i="3"/>
  <c r="Y30" i="3"/>
  <c r="Y7" i="3"/>
  <c r="Y10" i="3"/>
  <c r="Y8" i="3"/>
  <c r="Y26" i="3"/>
  <c r="Y32" i="3"/>
  <c r="Y31" i="3"/>
  <c r="Y24" i="3"/>
  <c r="Y29" i="3"/>
  <c r="Y11" i="3"/>
  <c r="Y25" i="3"/>
  <c r="Y18" i="3"/>
  <c r="Y15" i="3"/>
  <c r="Y16" i="3"/>
  <c r="Y17" i="3"/>
  <c r="Y12" i="3"/>
  <c r="Y27" i="3"/>
  <c r="Y33" i="3"/>
  <c r="Y19" i="3"/>
  <c r="Y22" i="3"/>
  <c r="Y34" i="3"/>
  <c r="Y20" i="3"/>
  <c r="Y14" i="3"/>
  <c r="T33" i="3"/>
  <c r="AE25" i="3"/>
  <c r="AE17" i="3"/>
  <c r="T34" i="3"/>
  <c r="AD34" i="3"/>
  <c r="AC33" i="3"/>
  <c r="AD30" i="3"/>
  <c r="AC19" i="3"/>
  <c r="AC22" i="3"/>
  <c r="AD24" i="3"/>
  <c r="AD20" i="3"/>
  <c r="AC34" i="3"/>
  <c r="AD16" i="3"/>
  <c r="AC20" i="3"/>
  <c r="AD12" i="3"/>
  <c r="AC14" i="3"/>
  <c r="AD8" i="3"/>
  <c r="AE31" i="3"/>
  <c r="T19" i="3"/>
  <c r="T22" i="3"/>
  <c r="AE13" i="3"/>
  <c r="T20" i="3"/>
  <c r="AE9" i="3"/>
  <c r="T14" i="3"/>
  <c r="AE34" i="3"/>
  <c r="AE30" i="3"/>
  <c r="AE24" i="3"/>
  <c r="AE20" i="3"/>
  <c r="AE16" i="3"/>
  <c r="AE12" i="3"/>
  <c r="AE8" i="3"/>
  <c r="S21" i="3"/>
  <c r="R21" i="3"/>
  <c r="M21" i="3"/>
  <c r="U21" i="3"/>
  <c r="T21" i="3" s="1"/>
  <c r="V21" i="3"/>
  <c r="X21" i="3"/>
  <c r="W21" i="3"/>
  <c r="BJ28" i="3" l="1"/>
  <c r="BL28" i="3"/>
  <c r="BT28" i="3"/>
  <c r="BS28" i="3"/>
  <c r="CP28" i="3" s="1"/>
  <c r="BC28" i="3"/>
  <c r="BP28" i="3"/>
  <c r="CT28" i="3" s="1"/>
  <c r="BO28" i="3"/>
  <c r="CS28" i="3" s="1"/>
  <c r="BH28" i="3"/>
  <c r="BY28" i="3"/>
  <c r="BQ28" i="3"/>
  <c r="CU28" i="3" s="1"/>
  <c r="BI28" i="3"/>
  <c r="CM28" i="3" s="1"/>
  <c r="DQ28" i="3" s="1"/>
  <c r="CC28" i="3"/>
  <c r="CZ28" i="3" s="1"/>
  <c r="BK28" i="3"/>
  <c r="BD28" i="3"/>
  <c r="BU28" i="3"/>
  <c r="BM28" i="3"/>
  <c r="BE28" i="3"/>
  <c r="BG28" i="3"/>
  <c r="BR28" i="3"/>
  <c r="AE21" i="3"/>
  <c r="AD21" i="3"/>
  <c r="AC21" i="3"/>
  <c r="Y21" i="3"/>
  <c r="CG28" i="3" l="1"/>
  <c r="CI28" i="3"/>
  <c r="CO28" i="3"/>
  <c r="CN28" i="3"/>
  <c r="DR28" i="3" s="1"/>
  <c r="CQ28" i="3"/>
  <c r="BZ28" i="3"/>
  <c r="DD28" i="3" s="1"/>
  <c r="DM28" i="3"/>
  <c r="CV28" i="3"/>
  <c r="DS28" i="3" s="1"/>
  <c r="CR28" i="3"/>
  <c r="CK28" i="3"/>
  <c r="CD28" i="3"/>
  <c r="CH28" i="3"/>
  <c r="CA28" i="3"/>
  <c r="CL28" i="3"/>
  <c r="DP28" i="3" s="1"/>
  <c r="CE28" i="3"/>
  <c r="CB28" i="3"/>
  <c r="DF28" i="3" s="1"/>
  <c r="DW28" i="3"/>
  <c r="CF28" i="3"/>
  <c r="DJ28" i="3" s="1"/>
  <c r="EN28" i="3" s="1"/>
  <c r="CJ28" i="3"/>
  <c r="M23" i="5"/>
  <c r="DK28" i="3" l="1"/>
  <c r="EO28" i="3" s="1"/>
  <c r="DN28" i="3"/>
  <c r="DL28" i="3"/>
  <c r="ET28" i="3"/>
  <c r="EJ28" i="3"/>
  <c r="CW28" i="3"/>
  <c r="EA28" i="3" s="1"/>
  <c r="DE28" i="3"/>
  <c r="CX28" i="3"/>
  <c r="DO28" i="3"/>
  <c r="DG28" i="3"/>
  <c r="DC28" i="3"/>
  <c r="EG28" i="3" s="1"/>
  <c r="FK28" i="3" s="1"/>
  <c r="DI28" i="3"/>
  <c r="EM28" i="3" s="1"/>
  <c r="FQ28" i="3" s="1"/>
  <c r="DB28" i="3"/>
  <c r="EP28" i="3"/>
  <c r="CY28" i="3"/>
  <c r="EC28" i="3" s="1"/>
  <c r="EH28" i="3"/>
  <c r="DH28" i="3"/>
  <c r="DA28" i="3"/>
  <c r="V13" i="1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EI28" i="3" l="1"/>
  <c r="DZ28" i="3"/>
  <c r="FD28" i="3" s="1"/>
  <c r="GH28" i="3" s="1"/>
  <c r="FL28" i="3"/>
  <c r="DV28" i="3"/>
  <c r="EZ28" i="3" s="1"/>
  <c r="EL28" i="3"/>
  <c r="FM28" i="3"/>
  <c r="FG28" i="3"/>
  <c r="DT28" i="3"/>
  <c r="EQ28" i="3" s="1"/>
  <c r="EE28" i="3"/>
  <c r="FI28" i="3" s="1"/>
  <c r="DX28" i="3"/>
  <c r="EK28" i="3"/>
  <c r="ED28" i="3"/>
  <c r="EF28" i="3"/>
  <c r="FJ28" i="3" s="1"/>
  <c r="GN28" i="3" s="1"/>
  <c r="DY28" i="3"/>
  <c r="FE28" i="3"/>
  <c r="EB28" i="3"/>
  <c r="FF28" i="3" s="1"/>
  <c r="DU28" i="3"/>
  <c r="EW28" i="3"/>
  <c r="M30" i="5"/>
  <c r="M29" i="5"/>
  <c r="M28" i="5"/>
  <c r="M27" i="5"/>
  <c r="M26" i="5"/>
  <c r="GA28" i="3" l="1"/>
  <c r="EX28" i="3"/>
  <c r="GB28" i="3" s="1"/>
  <c r="GJ28" i="3"/>
  <c r="GI28" i="3"/>
  <c r="HE28" i="3"/>
  <c r="GD28" i="3"/>
  <c r="ES28" i="3"/>
  <c r="FW28" i="3" s="1"/>
  <c r="FB28" i="3"/>
  <c r="GF28" i="3" s="1"/>
  <c r="EU28" i="3"/>
  <c r="EY28" i="3"/>
  <c r="GC28" i="3" s="1"/>
  <c r="ER28" i="3"/>
  <c r="FT28" i="3"/>
  <c r="FN28" i="3"/>
  <c r="FC28" i="3"/>
  <c r="GG28" i="3" s="1"/>
  <c r="HK28" i="3" s="1"/>
  <c r="EV28" i="3"/>
  <c r="FH28" i="3"/>
  <c r="FA28" i="3"/>
  <c r="B3" i="6"/>
  <c r="HF28" i="3" l="1"/>
  <c r="HA28" i="3"/>
  <c r="HG28" i="3"/>
  <c r="FU28" i="3"/>
  <c r="GY28" i="3" s="1"/>
  <c r="IC28" i="3" s="1"/>
  <c r="FP28" i="3"/>
  <c r="GT28" i="3" s="1"/>
  <c r="GX28" i="3"/>
  <c r="IB28" i="3" s="1"/>
  <c r="GQ28" i="3"/>
  <c r="GE28" i="3"/>
  <c r="FX28" i="3"/>
  <c r="FY28" i="3"/>
  <c r="HC28" i="3" s="1"/>
  <c r="FR28" i="3"/>
  <c r="GR28" i="3"/>
  <c r="GK28" i="3"/>
  <c r="FV28" i="3"/>
  <c r="GZ28" i="3" s="1"/>
  <c r="FZ28" i="3"/>
  <c r="HD28" i="3" s="1"/>
  <c r="IH28" i="3" s="1"/>
  <c r="FS28" i="3"/>
  <c r="FO28" i="3"/>
  <c r="F3" i="6"/>
  <c r="B5" i="6"/>
  <c r="HX28" i="3" l="1"/>
  <c r="ID28" i="3"/>
  <c r="GM28" i="3"/>
  <c r="HQ28" i="3" s="1"/>
  <c r="GS28" i="3"/>
  <c r="HW28" i="3" s="1"/>
  <c r="JA28" i="3" s="1"/>
  <c r="HV28" i="3"/>
  <c r="IZ28" i="3" s="1"/>
  <c r="GW28" i="3"/>
  <c r="IA28" i="3" s="1"/>
  <c r="JE28" i="3" s="1"/>
  <c r="GP28" i="3"/>
  <c r="GV28" i="3"/>
  <c r="HZ28" i="3" s="1"/>
  <c r="GO28" i="3"/>
  <c r="HU28" i="3"/>
  <c r="IY28" i="3" s="1"/>
  <c r="HN28" i="3"/>
  <c r="GL28" i="3"/>
  <c r="HO28" i="3"/>
  <c r="IS28" i="3" s="1"/>
  <c r="JW28" i="3" s="1"/>
  <c r="HH28" i="3"/>
  <c r="HB28" i="3"/>
  <c r="GU28" i="3"/>
  <c r="D5" i="6"/>
  <c r="F5" i="6"/>
  <c r="B4" i="6"/>
  <c r="IU28" i="3" l="1"/>
  <c r="HJ28" i="3"/>
  <c r="IN28" i="3" s="1"/>
  <c r="JR28" i="3" s="1"/>
  <c r="HP28" i="3"/>
  <c r="IT28" i="3" s="1"/>
  <c r="JX28" i="3" s="1"/>
  <c r="HY28" i="3"/>
  <c r="HR28" i="3"/>
  <c r="HS28" i="3"/>
  <c r="IW28" i="3" s="1"/>
  <c r="HL28" i="3"/>
  <c r="IL28" i="3"/>
  <c r="JP28" i="3" s="1"/>
  <c r="KT28" i="3" s="1"/>
  <c r="IE28" i="3"/>
  <c r="HT28" i="3"/>
  <c r="IX28" i="3" s="1"/>
  <c r="KB28" i="3" s="1"/>
  <c r="HM28" i="3"/>
  <c r="HI28" i="3"/>
  <c r="IR28" i="3"/>
  <c r="JV28" i="3" s="1"/>
  <c r="IK28" i="3"/>
  <c r="F4" i="6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D4" i="6" s="1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" i="4"/>
  <c r="IM28" i="3" l="1"/>
  <c r="JQ28" i="3"/>
  <c r="KU28" i="3" s="1"/>
  <c r="IG28" i="3"/>
  <c r="JK28" i="3" s="1"/>
  <c r="KO28" i="3" s="1"/>
  <c r="IF28" i="3"/>
  <c r="IQ28" i="3"/>
  <c r="JU28" i="3" s="1"/>
  <c r="KY28" i="3" s="1"/>
  <c r="IJ28" i="3"/>
  <c r="JI28" i="3"/>
  <c r="KM28" i="3" s="1"/>
  <c r="LQ28" i="3" s="1"/>
  <c r="JB28" i="3"/>
  <c r="IV28" i="3"/>
  <c r="IO28" i="3"/>
  <c r="JO28" i="3"/>
  <c r="KS28" i="3" s="1"/>
  <c r="JH28" i="3"/>
  <c r="IP28" i="3"/>
  <c r="JT28" i="3" s="1"/>
  <c r="II28" i="3"/>
  <c r="D3" i="6"/>
  <c r="G261" i="4"/>
  <c r="G262" i="4"/>
  <c r="G263" i="4"/>
  <c r="G264" i="4"/>
  <c r="G265" i="4"/>
  <c r="G266" i="4"/>
  <c r="G267" i="4"/>
  <c r="G268" i="4"/>
  <c r="G269" i="4"/>
  <c r="G270" i="4"/>
  <c r="G271" i="4"/>
  <c r="G272" i="4"/>
  <c r="G273" i="4"/>
  <c r="JJ28" i="3" l="1"/>
  <c r="KN28" i="3" s="1"/>
  <c r="LR28" i="3" s="1"/>
  <c r="JC28" i="3"/>
  <c r="KG28" i="3" s="1"/>
  <c r="LK28" i="3" s="1"/>
  <c r="JD28" i="3"/>
  <c r="KH28" i="3" s="1"/>
  <c r="LL28" i="3" s="1"/>
  <c r="KL28" i="3"/>
  <c r="LP28" i="3" s="1"/>
  <c r="KE28" i="3"/>
  <c r="KF28" i="3"/>
  <c r="LJ28" i="3" s="1"/>
  <c r="MN28" i="3" s="1"/>
  <c r="JY28" i="3"/>
  <c r="JS28" i="3"/>
  <c r="JL28" i="3"/>
  <c r="JM28" i="3"/>
  <c r="KQ28" i="3" s="1"/>
  <c r="JF28" i="3"/>
  <c r="JN28" i="3"/>
  <c r="KR28" i="3" s="1"/>
  <c r="LV28" i="3" s="1"/>
  <c r="JG28" i="3"/>
  <c r="G250" i="4"/>
  <c r="G251" i="4"/>
  <c r="G252" i="4"/>
  <c r="G253" i="4"/>
  <c r="G254" i="4"/>
  <c r="G255" i="4"/>
  <c r="G256" i="4"/>
  <c r="G257" i="4"/>
  <c r="G258" i="4"/>
  <c r="G259" i="4"/>
  <c r="G260" i="4"/>
  <c r="JZ28" i="3" l="1"/>
  <c r="LD28" i="3"/>
  <c r="MH28" i="3" s="1"/>
  <c r="KA28" i="3"/>
  <c r="LE28" i="3" s="1"/>
  <c r="MI28" i="3" s="1"/>
  <c r="MO28" i="3"/>
  <c r="KP28" i="3"/>
  <c r="KI28" i="3"/>
  <c r="LC28" i="3"/>
  <c r="MG28" i="3" s="1"/>
  <c r="NK28" i="3" s="1"/>
  <c r="KV28" i="3"/>
  <c r="KK28" i="3"/>
  <c r="LO28" i="3" s="1"/>
  <c r="MS28" i="3" s="1"/>
  <c r="KD28" i="3"/>
  <c r="KJ28" i="3"/>
  <c r="LN28" i="3" s="1"/>
  <c r="KC28" i="3"/>
  <c r="KW28" i="3"/>
  <c r="LI28" i="3"/>
  <c r="MM28" i="3" s="1"/>
  <c r="LB28" i="3"/>
  <c r="G224" i="4"/>
  <c r="G225" i="4"/>
  <c r="N9" i="3" s="1"/>
  <c r="G226" i="4"/>
  <c r="G227" i="4"/>
  <c r="G228" i="4"/>
  <c r="N8" i="3" s="1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NL28" i="3" l="1"/>
  <c r="MA28" i="3"/>
  <c r="NE28" i="3" s="1"/>
  <c r="OI28" i="3" s="1"/>
  <c r="KX28" i="3"/>
  <c r="MB28" i="3" s="1"/>
  <c r="NF28" i="3" s="1"/>
  <c r="LU28" i="3"/>
  <c r="MY28" i="3" s="1"/>
  <c r="OC28" i="3" s="1"/>
  <c r="LM28" i="3"/>
  <c r="LF28" i="3"/>
  <c r="MF28" i="3"/>
  <c r="NJ28" i="3" s="1"/>
  <c r="LY28" i="3"/>
  <c r="LG28" i="3"/>
  <c r="MK28" i="3" s="1"/>
  <c r="KZ28" i="3"/>
  <c r="LT28" i="3"/>
  <c r="LZ28" i="3"/>
  <c r="ND28" i="3" s="1"/>
  <c r="OH28" i="3" s="1"/>
  <c r="LS28" i="3"/>
  <c r="LH28" i="3"/>
  <c r="ML28" i="3" s="1"/>
  <c r="NP28" i="3" s="1"/>
  <c r="LA28" i="3"/>
  <c r="K13" i="1"/>
  <c r="M13" i="1"/>
  <c r="N13" i="1" s="1"/>
  <c r="Y13" i="1"/>
  <c r="Z13" i="1"/>
  <c r="AB13" i="1"/>
  <c r="AC13" i="1"/>
  <c r="AD13" i="1"/>
  <c r="X14" i="1" s="1"/>
  <c r="AE13" i="1"/>
  <c r="AM13" i="1"/>
  <c r="AG13" i="1"/>
  <c r="MX28" i="3" l="1"/>
  <c r="OB28" i="3" s="1"/>
  <c r="PF28" i="3" s="1"/>
  <c r="MR28" i="3"/>
  <c r="NV28" i="3" s="1"/>
  <c r="OZ28" i="3" s="1"/>
  <c r="MQ28" i="3"/>
  <c r="ME28" i="3"/>
  <c r="NI28" i="3" s="1"/>
  <c r="OM28" i="3" s="1"/>
  <c r="LX28" i="3"/>
  <c r="MW28" i="3"/>
  <c r="OA28" i="3" s="1"/>
  <c r="PE28" i="3" s="1"/>
  <c r="MP28" i="3"/>
  <c r="MD28" i="3"/>
  <c r="NH28" i="3" s="1"/>
  <c r="LW28" i="3"/>
  <c r="MJ28" i="3"/>
  <c r="MC28" i="3"/>
  <c r="NC28" i="3"/>
  <c r="OG28" i="3" s="1"/>
  <c r="MV28" i="3"/>
  <c r="AI13" i="1"/>
  <c r="AA13" i="1"/>
  <c r="W13" i="1" s="1"/>
  <c r="T13" i="1"/>
  <c r="U13" i="1" s="1"/>
  <c r="S13" i="1" s="1"/>
  <c r="X13" i="1"/>
  <c r="NU28" i="3" l="1"/>
  <c r="OY28" i="3" s="1"/>
  <c r="QC28" i="3" s="1"/>
  <c r="NO28" i="3"/>
  <c r="OS28" i="3" s="1"/>
  <c r="PW28" i="3" s="1"/>
  <c r="NN28" i="3"/>
  <c r="NZ28" i="3"/>
  <c r="PD28" i="3" s="1"/>
  <c r="NS28" i="3"/>
  <c r="NG28" i="3"/>
  <c r="MZ28" i="3"/>
  <c r="NT28" i="3"/>
  <c r="OX28" i="3" s="1"/>
  <c r="QB28" i="3" s="1"/>
  <c r="NM28" i="3"/>
  <c r="NA28" i="3"/>
  <c r="OE28" i="3" s="1"/>
  <c r="MT28" i="3"/>
  <c r="NB28" i="3"/>
  <c r="OF28" i="3" s="1"/>
  <c r="PJ28" i="3" s="1"/>
  <c r="MU28" i="3"/>
  <c r="O2" i="3"/>
  <c r="OR28" i="3" l="1"/>
  <c r="PV28" i="3" s="1"/>
  <c r="QZ28" i="3" s="1"/>
  <c r="OL28" i="3"/>
  <c r="PP28" i="3" s="1"/>
  <c r="QT28" i="3" s="1"/>
  <c r="OK28" i="3"/>
  <c r="OD28" i="3"/>
  <c r="NW28" i="3"/>
  <c r="NX28" i="3"/>
  <c r="PB28" i="3" s="1"/>
  <c r="NQ28" i="3"/>
  <c r="OQ28" i="3"/>
  <c r="PU28" i="3" s="1"/>
  <c r="QY28" i="3" s="1"/>
  <c r="OJ28" i="3"/>
  <c r="OW28" i="3"/>
  <c r="QA28" i="3" s="1"/>
  <c r="OP28" i="3"/>
  <c r="NY28" i="3"/>
  <c r="PC28" i="3" s="1"/>
  <c r="QG28" i="3" s="1"/>
  <c r="NR28" i="3"/>
  <c r="AO13" i="1"/>
  <c r="AN13" i="1"/>
  <c r="AD7" i="3"/>
  <c r="PO28" i="3" l="1"/>
  <c r="QS28" i="3" s="1"/>
  <c r="RW28" i="3" s="1"/>
  <c r="PI28" i="3"/>
  <c r="QM28" i="3" s="1"/>
  <c r="RQ28" i="3" s="1"/>
  <c r="PH28" i="3"/>
  <c r="PT28" i="3"/>
  <c r="QX28" i="3" s="1"/>
  <c r="PM28" i="3"/>
  <c r="PA28" i="3"/>
  <c r="OT28" i="3"/>
  <c r="OV28" i="3"/>
  <c r="PZ28" i="3" s="1"/>
  <c r="RD28" i="3" s="1"/>
  <c r="OO28" i="3"/>
  <c r="PN28" i="3"/>
  <c r="QR28" i="3" s="1"/>
  <c r="RV28" i="3" s="1"/>
  <c r="PG28" i="3"/>
  <c r="OU28" i="3"/>
  <c r="PY28" i="3" s="1"/>
  <c r="ON28" i="3"/>
  <c r="AE7" i="3"/>
  <c r="QL28" i="3" l="1"/>
  <c r="RP28" i="3" s="1"/>
  <c r="ST28" i="3" s="1"/>
  <c r="QF28" i="3"/>
  <c r="RJ28" i="3" s="1"/>
  <c r="SN28" i="3" s="1"/>
  <c r="QE28" i="3"/>
  <c r="PR28" i="3"/>
  <c r="QV28" i="3" s="1"/>
  <c r="PK28" i="3"/>
  <c r="PS28" i="3"/>
  <c r="QW28" i="3" s="1"/>
  <c r="SA28" i="3" s="1"/>
  <c r="PL28" i="3"/>
  <c r="PX28" i="3"/>
  <c r="PQ28" i="3"/>
  <c r="QK28" i="3"/>
  <c r="RO28" i="3" s="1"/>
  <c r="SS28" i="3" s="1"/>
  <c r="QD28" i="3"/>
  <c r="QQ28" i="3"/>
  <c r="RU28" i="3" s="1"/>
  <c r="QJ28" i="3"/>
  <c r="B93" i="9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RI28" i="3" l="1"/>
  <c r="SM28" i="3" s="1"/>
  <c r="TQ28" i="3" s="1"/>
  <c r="RC28" i="3"/>
  <c r="SG28" i="3" s="1"/>
  <c r="TK28" i="3" s="1"/>
  <c r="RB28" i="3"/>
  <c r="QU28" i="3"/>
  <c r="QN28" i="3"/>
  <c r="QO28" i="3"/>
  <c r="RS28" i="3" s="1"/>
  <c r="QH28" i="3"/>
  <c r="RN28" i="3"/>
  <c r="SR28" i="3" s="1"/>
  <c r="RG28" i="3"/>
  <c r="QP28" i="3"/>
  <c r="RT28" i="3" s="1"/>
  <c r="SX28" i="3" s="1"/>
  <c r="QI28" i="3"/>
  <c r="RH28" i="3"/>
  <c r="SL28" i="3" s="1"/>
  <c r="TP28" i="3" s="1"/>
  <c r="RA28" i="3"/>
  <c r="C106" i="9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SF28" i="3" l="1"/>
  <c r="TJ28" i="3" s="1"/>
  <c r="UN28" i="3" s="1"/>
  <c r="RY28" i="3"/>
  <c r="RZ28" i="3"/>
  <c r="TD28" i="3" s="1"/>
  <c r="UH28" i="3" s="1"/>
  <c r="SE28" i="3"/>
  <c r="TI28" i="3" s="1"/>
  <c r="UM28" i="3" s="1"/>
  <c r="RX28" i="3"/>
  <c r="RL28" i="3"/>
  <c r="SP28" i="3" s="1"/>
  <c r="RE28" i="3"/>
  <c r="RM28" i="3"/>
  <c r="SQ28" i="3" s="1"/>
  <c r="TU28" i="3" s="1"/>
  <c r="RF28" i="3"/>
  <c r="SK28" i="3"/>
  <c r="TO28" i="3" s="1"/>
  <c r="SD28" i="3"/>
  <c r="RR28" i="3"/>
  <c r="RK28" i="3"/>
  <c r="B87" i="9"/>
  <c r="B88" i="9"/>
  <c r="B89" i="9"/>
  <c r="B90" i="9"/>
  <c r="B91" i="9"/>
  <c r="B92" i="9"/>
  <c r="TC28" i="3" l="1"/>
  <c r="UG28" i="3" s="1"/>
  <c r="VK28" i="3" s="1"/>
  <c r="SV28" i="3"/>
  <c r="SW28" i="3"/>
  <c r="UA28" i="3" s="1"/>
  <c r="VE28" i="3" s="1"/>
  <c r="SO28" i="3"/>
  <c r="SH28" i="3"/>
  <c r="SJ28" i="3"/>
  <c r="TN28" i="3" s="1"/>
  <c r="UR28" i="3" s="1"/>
  <c r="SC28" i="3"/>
  <c r="SI28" i="3"/>
  <c r="TM28" i="3" s="1"/>
  <c r="SB28" i="3"/>
  <c r="TH28" i="3"/>
  <c r="UL28" i="3" s="1"/>
  <c r="TA28" i="3"/>
  <c r="TB28" i="3"/>
  <c r="UF28" i="3" s="1"/>
  <c r="VJ28" i="3" s="1"/>
  <c r="SU28" i="3"/>
  <c r="C88" i="9"/>
  <c r="C92" i="9"/>
  <c r="C93" i="9"/>
  <c r="C90" i="9"/>
  <c r="C89" i="9"/>
  <c r="C91" i="9"/>
  <c r="TZ28" i="3" l="1"/>
  <c r="VD28" i="3" s="1"/>
  <c r="WH28" i="3" s="1"/>
  <c r="TS28" i="3"/>
  <c r="UW28" i="3" s="1"/>
  <c r="WA28" i="3" s="1"/>
  <c r="XE28" i="3" s="1"/>
  <c r="TT28" i="3"/>
  <c r="UX28" i="3" s="1"/>
  <c r="WB28" i="3" s="1"/>
  <c r="UE28" i="3"/>
  <c r="VI28" i="3" s="1"/>
  <c r="TX28" i="3"/>
  <c r="TG28" i="3"/>
  <c r="UK28" i="3" s="1"/>
  <c r="VO28" i="3" s="1"/>
  <c r="SZ28" i="3"/>
  <c r="TY28" i="3"/>
  <c r="VC28" i="3" s="1"/>
  <c r="WG28" i="3" s="1"/>
  <c r="TR28" i="3"/>
  <c r="TF28" i="3"/>
  <c r="UJ28" i="3" s="1"/>
  <c r="SY28" i="3"/>
  <c r="TL28" i="3"/>
  <c r="TE28" i="3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UP28" i="3" l="1"/>
  <c r="VT28" i="3" s="1"/>
  <c r="WX28" i="3" s="1"/>
  <c r="YB28" i="3" s="1"/>
  <c r="UQ28" i="3"/>
  <c r="VU28" i="3" s="1"/>
  <c r="WY28" i="3" s="1"/>
  <c r="UC28" i="3"/>
  <c r="VG28" i="3" s="1"/>
  <c r="TV28" i="3"/>
  <c r="UV28" i="3"/>
  <c r="VZ28" i="3" s="1"/>
  <c r="XD28" i="3" s="1"/>
  <c r="UO28" i="3"/>
  <c r="UI28" i="3"/>
  <c r="UB28" i="3"/>
  <c r="UD28" i="3"/>
  <c r="VH28" i="3" s="1"/>
  <c r="WL28" i="3" s="1"/>
  <c r="TW28" i="3"/>
  <c r="VB28" i="3"/>
  <c r="WF28" i="3" s="1"/>
  <c r="UU28" i="3"/>
  <c r="C86" i="9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VM28" i="3" l="1"/>
  <c r="WQ28" i="3" s="1"/>
  <c r="XU28" i="3" s="1"/>
  <c r="YY28" i="3" s="1"/>
  <c r="VN28" i="3"/>
  <c r="WR28" i="3" s="1"/>
  <c r="XV28" i="3" s="1"/>
  <c r="VA28" i="3"/>
  <c r="WE28" i="3" s="1"/>
  <c r="XI28" i="3" s="1"/>
  <c r="UT28" i="3"/>
  <c r="UZ28" i="3"/>
  <c r="WD28" i="3" s="1"/>
  <c r="US28" i="3"/>
  <c r="VY28" i="3"/>
  <c r="XC28" i="3" s="1"/>
  <c r="VR28" i="3"/>
  <c r="VF28" i="3"/>
  <c r="WJ28" i="3" s="1"/>
  <c r="XN28" i="3" s="1"/>
  <c r="YR28" i="3" s="1"/>
  <c r="UY28" i="3"/>
  <c r="VS28" i="3"/>
  <c r="WW28" i="3" s="1"/>
  <c r="YA28" i="3" s="1"/>
  <c r="VL28" i="3"/>
  <c r="B55" i="9"/>
  <c r="B56" i="9"/>
  <c r="B57" i="9"/>
  <c r="B58" i="9"/>
  <c r="B59" i="9"/>
  <c r="B60" i="9"/>
  <c r="B61" i="9"/>
  <c r="B62" i="9"/>
  <c r="C63" i="9" s="1"/>
  <c r="WK28" i="3" l="1"/>
  <c r="XO28" i="3" s="1"/>
  <c r="YS28" i="3" s="1"/>
  <c r="ZV28" i="3"/>
  <c r="VW28" i="3"/>
  <c r="XA28" i="3" s="1"/>
  <c r="VP28" i="3"/>
  <c r="VX28" i="3"/>
  <c r="XB28" i="3" s="1"/>
  <c r="YF28" i="3" s="1"/>
  <c r="VQ28" i="3"/>
  <c r="WP28" i="3"/>
  <c r="XT28" i="3" s="1"/>
  <c r="YX28" i="3" s="1"/>
  <c r="WI28" i="3"/>
  <c r="WV28" i="3"/>
  <c r="XZ28" i="3" s="1"/>
  <c r="WO28" i="3"/>
  <c r="WC28" i="3"/>
  <c r="XG28" i="3" s="1"/>
  <c r="YK28" i="3" s="1"/>
  <c r="ZO28" i="3" s="1"/>
  <c r="VV28" i="3"/>
  <c r="C61" i="9"/>
  <c r="C57" i="9"/>
  <c r="C59" i="9"/>
  <c r="C62" i="9"/>
  <c r="C60" i="9"/>
  <c r="C58" i="9"/>
  <c r="C56" i="9"/>
  <c r="XH28" i="3" l="1"/>
  <c r="YL28" i="3" s="1"/>
  <c r="ZP28" i="3" s="1"/>
  <c r="AAS28" i="3"/>
  <c r="XS28" i="3"/>
  <c r="YW28" i="3" s="1"/>
  <c r="XL28" i="3"/>
  <c r="WU28" i="3"/>
  <c r="XY28" i="3" s="1"/>
  <c r="ZC28" i="3" s="1"/>
  <c r="WN28" i="3"/>
  <c r="WT28" i="3"/>
  <c r="XX28" i="3" s="1"/>
  <c r="WM28" i="3"/>
  <c r="WZ28" i="3"/>
  <c r="YD28" i="3" s="1"/>
  <c r="ZH28" i="3" s="1"/>
  <c r="AAL28" i="3" s="1"/>
  <c r="WS28" i="3"/>
  <c r="XM28" i="3"/>
  <c r="YQ28" i="3" s="1"/>
  <c r="ZU28" i="3" s="1"/>
  <c r="XF28" i="3"/>
  <c r="B50" i="9"/>
  <c r="B51" i="9"/>
  <c r="B52" i="9"/>
  <c r="B53" i="9"/>
  <c r="B54" i="9"/>
  <c r="YE28" i="3" l="1"/>
  <c r="ZI28" i="3" s="1"/>
  <c r="AAM28" i="3" s="1"/>
  <c r="ABP28" i="3"/>
  <c r="YJ28" i="3"/>
  <c r="ZN28" i="3" s="1"/>
  <c r="AAR28" i="3" s="1"/>
  <c r="YC28" i="3"/>
  <c r="XW28" i="3"/>
  <c r="ZA28" i="3" s="1"/>
  <c r="AAE28" i="3" s="1"/>
  <c r="ABI28" i="3" s="1"/>
  <c r="XP28" i="3"/>
  <c r="XR28" i="3"/>
  <c r="YV28" i="3" s="1"/>
  <c r="ZZ28" i="3" s="1"/>
  <c r="XK28" i="3"/>
  <c r="XQ28" i="3"/>
  <c r="YU28" i="3" s="1"/>
  <c r="XJ28" i="3"/>
  <c r="YP28" i="3"/>
  <c r="ZT28" i="3" s="1"/>
  <c r="YI28" i="3"/>
  <c r="C52" i="9"/>
  <c r="C54" i="9"/>
  <c r="C55" i="9"/>
  <c r="C53" i="9"/>
  <c r="C51" i="9"/>
  <c r="ZB28" i="3" l="1"/>
  <c r="AAF28" i="3" s="1"/>
  <c r="ABJ28" i="3" s="1"/>
  <c r="ACM28" i="3"/>
  <c r="ZG28" i="3"/>
  <c r="AAK28" i="3" s="1"/>
  <c r="ABO28" i="3" s="1"/>
  <c r="YZ28" i="3"/>
  <c r="ZM28" i="3"/>
  <c r="AAQ28" i="3" s="1"/>
  <c r="ZF28" i="3"/>
  <c r="YN28" i="3"/>
  <c r="ZR28" i="3" s="1"/>
  <c r="YG28" i="3"/>
  <c r="YO28" i="3"/>
  <c r="ZS28" i="3" s="1"/>
  <c r="AAW28" i="3" s="1"/>
  <c r="YH28" i="3"/>
  <c r="YT28" i="3"/>
  <c r="ZX28" i="3" s="1"/>
  <c r="ABB28" i="3" s="1"/>
  <c r="ACF28" i="3" s="1"/>
  <c r="YM28" i="3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ZY28" i="3" l="1"/>
  <c r="ABC28" i="3" s="1"/>
  <c r="ACG28" i="3" s="1"/>
  <c r="ADJ28" i="3"/>
  <c r="ZL28" i="3"/>
  <c r="AAP28" i="3" s="1"/>
  <c r="ABT28" i="3" s="1"/>
  <c r="ZE28" i="3"/>
  <c r="AAD28" i="3"/>
  <c r="ABH28" i="3" s="1"/>
  <c r="ACL28" i="3" s="1"/>
  <c r="ZW28" i="3"/>
  <c r="ZQ28" i="3"/>
  <c r="AAU28" i="3" s="1"/>
  <c r="ABY28" i="3" s="1"/>
  <c r="ADC28" i="3" s="1"/>
  <c r="ZJ28" i="3"/>
  <c r="ZK28" i="3"/>
  <c r="AAO28" i="3" s="1"/>
  <c r="ZD28" i="3"/>
  <c r="AAJ28" i="3"/>
  <c r="ABN28" i="3" s="1"/>
  <c r="AAC28" i="3"/>
  <c r="C46" i="9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AAV28" i="3" l="1"/>
  <c r="ABZ28" i="3" s="1"/>
  <c r="ADD28" i="3" s="1"/>
  <c r="AEG28" i="3"/>
  <c r="ABA28" i="3"/>
  <c r="ACE28" i="3" s="1"/>
  <c r="ADI28" i="3" s="1"/>
  <c r="AAT28" i="3"/>
  <c r="ABG28" i="3"/>
  <c r="ACK28" i="3" s="1"/>
  <c r="AAZ28" i="3"/>
  <c r="AAH28" i="3"/>
  <c r="ABL28" i="3" s="1"/>
  <c r="AAA28" i="3"/>
  <c r="AAN28" i="3"/>
  <c r="ABR28" i="3" s="1"/>
  <c r="ACV28" i="3" s="1"/>
  <c r="ADZ28" i="3" s="1"/>
  <c r="AAG28" i="3"/>
  <c r="AAI28" i="3"/>
  <c r="ABM28" i="3" s="1"/>
  <c r="ACQ28" i="3" s="1"/>
  <c r="AAB28" i="3"/>
  <c r="B31" i="9"/>
  <c r="B32" i="9"/>
  <c r="C33" i="9" s="1"/>
  <c r="ABS28" i="3" l="1"/>
  <c r="ACW28" i="3" s="1"/>
  <c r="AEA28" i="3" s="1"/>
  <c r="AFD28" i="3"/>
  <c r="ABK28" i="3"/>
  <c r="ACO28" i="3" s="1"/>
  <c r="ADS28" i="3" s="1"/>
  <c r="AEW28" i="3" s="1"/>
  <c r="ABD28" i="3"/>
  <c r="ABX28" i="3"/>
  <c r="ADB28" i="3" s="1"/>
  <c r="AEF28" i="3" s="1"/>
  <c r="ABQ28" i="3"/>
  <c r="ABE28" i="3"/>
  <c r="ACI28" i="3" s="1"/>
  <c r="AAX28" i="3"/>
  <c r="ABF28" i="3"/>
  <c r="ACJ28" i="3" s="1"/>
  <c r="ADN28" i="3" s="1"/>
  <c r="AAY28" i="3"/>
  <c r="ACD28" i="3"/>
  <c r="ADH28" i="3" s="1"/>
  <c r="ABW28" i="3"/>
  <c r="C32" i="9"/>
  <c r="ACP28" i="3" l="1"/>
  <c r="ADT28" i="3" s="1"/>
  <c r="AEX28" i="3" s="1"/>
  <c r="AGA28" i="3"/>
  <c r="ACH28" i="3"/>
  <c r="ADL28" i="3" s="1"/>
  <c r="AEP28" i="3" s="1"/>
  <c r="AFT28" i="3" s="1"/>
  <c r="ACA28" i="3"/>
  <c r="ADA28" i="3"/>
  <c r="AEE28" i="3" s="1"/>
  <c r="ACT28" i="3"/>
  <c r="ACU28" i="3"/>
  <c r="ADY28" i="3" s="1"/>
  <c r="AFC28" i="3" s="1"/>
  <c r="ACN28" i="3"/>
  <c r="ACC28" i="3"/>
  <c r="ADG28" i="3" s="1"/>
  <c r="AEK28" i="3" s="1"/>
  <c r="ABV28" i="3"/>
  <c r="ACB28" i="3"/>
  <c r="ADF28" i="3" s="1"/>
  <c r="ABU28" i="3"/>
  <c r="G3" i="4"/>
  <c r="G4" i="4"/>
  <c r="G5" i="4"/>
  <c r="G6" i="4"/>
  <c r="G7" i="4"/>
  <c r="G8" i="4"/>
  <c r="G9" i="4"/>
  <c r="G10" i="4"/>
  <c r="G11" i="4"/>
  <c r="N34" i="3" s="1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N25" i="3" s="1"/>
  <c r="G39" i="4"/>
  <c r="G40" i="4"/>
  <c r="G41" i="4"/>
  <c r="G42" i="4"/>
  <c r="G43" i="4"/>
  <c r="G44" i="4"/>
  <c r="G45" i="4"/>
  <c r="G46" i="4"/>
  <c r="G47" i="4"/>
  <c r="N14" i="3" s="1"/>
  <c r="G48" i="4"/>
  <c r="G49" i="4"/>
  <c r="N27" i="3" s="1"/>
  <c r="G50" i="4"/>
  <c r="G51" i="4"/>
  <c r="G52" i="4"/>
  <c r="G53" i="4"/>
  <c r="G54" i="4"/>
  <c r="N11" i="3" s="1"/>
  <c r="G55" i="4"/>
  <c r="G56" i="4"/>
  <c r="G57" i="4"/>
  <c r="N7" i="3" s="1"/>
  <c r="G58" i="4"/>
  <c r="G59" i="4"/>
  <c r="G60" i="4"/>
  <c r="G61" i="4"/>
  <c r="G62" i="4"/>
  <c r="G63" i="4"/>
  <c r="G64" i="4"/>
  <c r="G65" i="4"/>
  <c r="G66" i="4"/>
  <c r="N29" i="3" s="1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N17" i="3" s="1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N30" i="3" s="1"/>
  <c r="G124" i="4"/>
  <c r="G125" i="4"/>
  <c r="G126" i="4"/>
  <c r="G127" i="4"/>
  <c r="G128" i="4"/>
  <c r="N24" i="3" s="1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N21" i="3" s="1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N31" i="3" s="1"/>
  <c r="G178" i="4"/>
  <c r="N22" i="3" s="1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N32" i="3" s="1"/>
  <c r="G198" i="4"/>
  <c r="G199" i="4"/>
  <c r="N19" i="3" s="1"/>
  <c r="G200" i="4"/>
  <c r="G201" i="4"/>
  <c r="G202" i="4"/>
  <c r="G203" i="4"/>
  <c r="G204" i="4"/>
  <c r="G205" i="4"/>
  <c r="G206" i="4"/>
  <c r="N18" i="3" s="1"/>
  <c r="G207" i="4"/>
  <c r="G208" i="4"/>
  <c r="G209" i="4"/>
  <c r="G210" i="4"/>
  <c r="G211" i="4"/>
  <c r="G212" i="4"/>
  <c r="G213" i="4"/>
  <c r="G214" i="4"/>
  <c r="G215" i="4"/>
  <c r="G216" i="4"/>
  <c r="G217" i="4"/>
  <c r="G218" i="4"/>
  <c r="N26" i="3" s="1"/>
  <c r="G219" i="4"/>
  <c r="G220" i="4"/>
  <c r="N33" i="3" s="1"/>
  <c r="G221" i="4"/>
  <c r="N10" i="3" s="1"/>
  <c r="G222" i="4"/>
  <c r="G223" i="4"/>
  <c r="G2" i="4"/>
  <c r="ADM28" i="3" l="1"/>
  <c r="AEQ28" i="3" s="1"/>
  <c r="AFU28" i="3" s="1"/>
  <c r="AGX28" i="3"/>
  <c r="ACY28" i="3"/>
  <c r="AEC28" i="3" s="1"/>
  <c r="ACR28" i="3"/>
  <c r="ADR28" i="3"/>
  <c r="AEV28" i="3" s="1"/>
  <c r="AFZ28" i="3" s="1"/>
  <c r="ADK28" i="3"/>
  <c r="ADE28" i="3"/>
  <c r="AEI28" i="3" s="1"/>
  <c r="AFM28" i="3" s="1"/>
  <c r="AGQ28" i="3" s="1"/>
  <c r="ACX28" i="3"/>
  <c r="ACZ28" i="3"/>
  <c r="AED28" i="3" s="1"/>
  <c r="AFH28" i="3" s="1"/>
  <c r="ACS28" i="3"/>
  <c r="ADX28" i="3"/>
  <c r="AFB28" i="3" s="1"/>
  <c r="ADQ28" i="3"/>
  <c r="N23" i="3"/>
  <c r="N16" i="3"/>
  <c r="N13" i="3"/>
  <c r="N15" i="3"/>
  <c r="N12" i="3"/>
  <c r="N20" i="3"/>
  <c r="L13" i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AEJ28" i="3" l="1"/>
  <c r="AFN28" i="3" s="1"/>
  <c r="AGR28" i="3" s="1"/>
  <c r="AFG28" i="3"/>
  <c r="AGK28" i="3" s="1"/>
  <c r="AHO28" i="3" s="1"/>
  <c r="AHU28" i="3"/>
  <c r="AEB28" i="3"/>
  <c r="AFF28" i="3" s="1"/>
  <c r="AGJ28" i="3" s="1"/>
  <c r="AHN28" i="3" s="1"/>
  <c r="ADU28" i="3"/>
  <c r="AEU28" i="3"/>
  <c r="AFY28" i="3" s="1"/>
  <c r="AEN28" i="3"/>
  <c r="ADV28" i="3"/>
  <c r="AEZ28" i="3" s="1"/>
  <c r="ADO28" i="3"/>
  <c r="AEO28" i="3"/>
  <c r="AFS28" i="3" s="1"/>
  <c r="AGW28" i="3" s="1"/>
  <c r="AEH28" i="3"/>
  <c r="ADW28" i="3"/>
  <c r="AFA28" i="3" s="1"/>
  <c r="AGE28" i="3" s="1"/>
  <c r="ADP28" i="3"/>
  <c r="C26" i="9"/>
  <c r="B1" i="9"/>
  <c r="C1" i="9" s="1"/>
  <c r="C4" i="9"/>
  <c r="C7" i="9"/>
  <c r="C24" i="9"/>
  <c r="C10" i="9"/>
  <c r="C15" i="9"/>
  <c r="C30" i="9"/>
  <c r="C16" i="9"/>
  <c r="C29" i="9"/>
  <c r="C12" i="9"/>
  <c r="C13" i="9"/>
  <c r="AGD28" i="3" l="1"/>
  <c r="AHH28" i="3" s="1"/>
  <c r="AIL28" i="3" s="1"/>
  <c r="AIR28" i="3"/>
  <c r="AES28" i="3"/>
  <c r="AFW28" i="3" s="1"/>
  <c r="AEL28" i="3"/>
  <c r="AFR28" i="3"/>
  <c r="AGV28" i="3" s="1"/>
  <c r="AFK28" i="3"/>
  <c r="AFL28" i="3"/>
  <c r="AGP28" i="3" s="1"/>
  <c r="AHT28" i="3" s="1"/>
  <c r="AFE28" i="3"/>
  <c r="AET28" i="3"/>
  <c r="AFX28" i="3" s="1"/>
  <c r="AHB28" i="3" s="1"/>
  <c r="AEM28" i="3"/>
  <c r="AEY28" i="3"/>
  <c r="AGC28" i="3" s="1"/>
  <c r="AHG28" i="3" s="1"/>
  <c r="AIK28" i="3" s="1"/>
  <c r="AER28" i="3"/>
  <c r="C25" i="9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AHA28" i="3" l="1"/>
  <c r="AIE28" i="3" s="1"/>
  <c r="AJI28" i="3" s="1"/>
  <c r="AJO28" i="3"/>
  <c r="AGO28" i="3"/>
  <c r="AHS28" i="3" s="1"/>
  <c r="AGH28" i="3"/>
  <c r="AFQ28" i="3"/>
  <c r="AGU28" i="3" s="1"/>
  <c r="AHY28" i="3" s="1"/>
  <c r="AFJ28" i="3"/>
  <c r="AGI28" i="3"/>
  <c r="AHM28" i="3" s="1"/>
  <c r="AIQ28" i="3" s="1"/>
  <c r="AGB28" i="3"/>
  <c r="AFP28" i="3"/>
  <c r="AGT28" i="3" s="1"/>
  <c r="AHX28" i="3" s="1"/>
  <c r="AJB28" i="3" s="1"/>
  <c r="AKF28" i="3" s="1"/>
  <c r="AFI28" i="3"/>
  <c r="AFV28" i="3"/>
  <c r="AGZ28" i="3" s="1"/>
  <c r="AID28" i="3" s="1"/>
  <c r="AJH28" i="3" s="1"/>
  <c r="AFO28" i="3"/>
  <c r="AH13" i="1"/>
  <c r="J7" i="1"/>
  <c r="AKL28" i="3" l="1"/>
  <c r="AGM28" i="3"/>
  <c r="AHQ28" i="3" s="1"/>
  <c r="AIU28" i="3" s="1"/>
  <c r="AJY28" i="3" s="1"/>
  <c r="ALC28" i="3" s="1"/>
  <c r="AGF28" i="3"/>
  <c r="AGN28" i="3"/>
  <c r="AHR28" i="3" s="1"/>
  <c r="AIV28" i="3" s="1"/>
  <c r="AGG28" i="3"/>
  <c r="AHL28" i="3"/>
  <c r="AIP28" i="3" s="1"/>
  <c r="AHE28" i="3"/>
  <c r="AGS28" i="3"/>
  <c r="AHW28" i="3" s="1"/>
  <c r="AJA28" i="3" s="1"/>
  <c r="AKE28" i="3" s="1"/>
  <c r="AGL28" i="3"/>
  <c r="AHF28" i="3"/>
  <c r="AIJ28" i="3" s="1"/>
  <c r="AJN28" i="3" s="1"/>
  <c r="AGY28" i="3"/>
  <c r="X6" i="1"/>
  <c r="W6" i="1"/>
  <c r="V6" i="1"/>
  <c r="S6" i="1"/>
  <c r="R2" i="1"/>
  <c r="I2" i="1"/>
  <c r="O6" i="1"/>
  <c r="N6" i="1"/>
  <c r="M6" i="1"/>
  <c r="J6" i="1"/>
  <c r="ALI28" i="3" l="1"/>
  <c r="AHP28" i="3"/>
  <c r="AIT28" i="3" s="1"/>
  <c r="AJX28" i="3" s="1"/>
  <c r="ALB28" i="3" s="1"/>
  <c r="AHI28" i="3"/>
  <c r="AHK28" i="3"/>
  <c r="AIO28" i="3" s="1"/>
  <c r="AJS28" i="3" s="1"/>
  <c r="AHD28" i="3"/>
  <c r="AIC28" i="3"/>
  <c r="AJG28" i="3" s="1"/>
  <c r="AKK28" i="3" s="1"/>
  <c r="AHV28" i="3"/>
  <c r="AII28" i="3"/>
  <c r="AJM28" i="3" s="1"/>
  <c r="AIB28" i="3"/>
  <c r="AHJ28" i="3"/>
  <c r="AIN28" i="3" s="1"/>
  <c r="AJR28" i="3" s="1"/>
  <c r="AKV28" i="3" s="1"/>
  <c r="ALZ28" i="3" s="1"/>
  <c r="AHC28" i="3"/>
  <c r="P3" i="5"/>
  <c r="AMF28" i="3" l="1"/>
  <c r="AIM28" i="3"/>
  <c r="AJQ28" i="3" s="1"/>
  <c r="AKU28" i="3" s="1"/>
  <c r="ALY28" i="3" s="1"/>
  <c r="AIF28" i="3"/>
  <c r="AIG28" i="3"/>
  <c r="AJK28" i="3" s="1"/>
  <c r="AKO28" i="3" s="1"/>
  <c r="ALS28" i="3" s="1"/>
  <c r="AMW28" i="3" s="1"/>
  <c r="AHZ28" i="3"/>
  <c r="AIZ28" i="3"/>
  <c r="AKD28" i="3" s="1"/>
  <c r="ALH28" i="3" s="1"/>
  <c r="AIS28" i="3"/>
  <c r="AIH28" i="3"/>
  <c r="AJL28" i="3" s="1"/>
  <c r="AKP28" i="3" s="1"/>
  <c r="AIA28" i="3"/>
  <c r="AJF28" i="3"/>
  <c r="AKJ28" i="3" s="1"/>
  <c r="AIY28" i="3"/>
  <c r="M18" i="5"/>
  <c r="ANC28" i="3" l="1"/>
  <c r="AJW28" i="3"/>
  <c r="ALA28" i="3" s="1"/>
  <c r="AME28" i="3" s="1"/>
  <c r="AJP28" i="3"/>
  <c r="AJJ28" i="3"/>
  <c r="AKN28" i="3" s="1"/>
  <c r="ALR28" i="3" s="1"/>
  <c r="AMV28" i="3" s="1"/>
  <c r="AJC28" i="3"/>
  <c r="AJE28" i="3"/>
  <c r="AKI28" i="3" s="1"/>
  <c r="ALM28" i="3" s="1"/>
  <c r="AIX28" i="3"/>
  <c r="AKC28" i="3"/>
  <c r="ALG28" i="3" s="1"/>
  <c r="AJV28" i="3"/>
  <c r="AJD28" i="3"/>
  <c r="AKH28" i="3" s="1"/>
  <c r="ALL28" i="3" s="1"/>
  <c r="AMP28" i="3" s="1"/>
  <c r="ANT28" i="3" s="1"/>
  <c r="AIW28" i="3"/>
  <c r="AF13" i="1"/>
  <c r="V5" i="1"/>
  <c r="V8" i="1" s="1"/>
  <c r="ANZ28" i="3" l="1"/>
  <c r="AKG28" i="3"/>
  <c r="ALK28" i="3" s="1"/>
  <c r="AMO28" i="3" s="1"/>
  <c r="ANS28" i="3" s="1"/>
  <c r="AJZ28" i="3"/>
  <c r="AKZ28" i="3"/>
  <c r="AMD28" i="3" s="1"/>
  <c r="AKS28" i="3"/>
  <c r="AKB28" i="3"/>
  <c r="ALF28" i="3" s="1"/>
  <c r="AMJ28" i="3" s="1"/>
  <c r="AJU28" i="3"/>
  <c r="AKT28" i="3"/>
  <c r="ALX28" i="3" s="1"/>
  <c r="ANB28" i="3" s="1"/>
  <c r="AKM28" i="3"/>
  <c r="AKA28" i="3"/>
  <c r="ALE28" i="3" s="1"/>
  <c r="AMI28" i="3" s="1"/>
  <c r="ANM28" i="3" s="1"/>
  <c r="AOQ28" i="3" s="1"/>
  <c r="AJT28" i="3"/>
  <c r="M14" i="5"/>
  <c r="M13" i="5"/>
  <c r="M12" i="5"/>
  <c r="M11" i="5"/>
  <c r="M10" i="5"/>
  <c r="M9" i="5"/>
  <c r="M8" i="5"/>
  <c r="M7" i="5"/>
  <c r="M6" i="5"/>
  <c r="M5" i="5"/>
  <c r="M4" i="5"/>
  <c r="M3" i="5"/>
  <c r="AOW28" i="3" l="1"/>
  <c r="ALD28" i="3"/>
  <c r="AMH28" i="3" s="1"/>
  <c r="ANL28" i="3" s="1"/>
  <c r="AOP28" i="3" s="1"/>
  <c r="AKW28" i="3"/>
  <c r="ALQ28" i="3"/>
  <c r="AMU28" i="3" s="1"/>
  <c r="ANY28" i="3" s="1"/>
  <c r="ALJ28" i="3"/>
  <c r="ALW28" i="3"/>
  <c r="ANA28" i="3" s="1"/>
  <c r="ALP28" i="3"/>
  <c r="AKX28" i="3"/>
  <c r="AMB28" i="3" s="1"/>
  <c r="ANF28" i="3" s="1"/>
  <c r="AOJ28" i="3" s="1"/>
  <c r="APN28" i="3" s="1"/>
  <c r="AKQ28" i="3"/>
  <c r="AKY28" i="3"/>
  <c r="AMC28" i="3" s="1"/>
  <c r="ANG28" i="3" s="1"/>
  <c r="AKR28" i="3"/>
  <c r="O3" i="3"/>
  <c r="APT28" i="3" l="1"/>
  <c r="AMN28" i="3"/>
  <c r="ANR28" i="3" s="1"/>
  <c r="AOV28" i="3" s="1"/>
  <c r="AMG28" i="3"/>
  <c r="ALV28" i="3"/>
  <c r="AMZ28" i="3" s="1"/>
  <c r="AOD28" i="3" s="1"/>
  <c r="ALO28" i="3"/>
  <c r="AMT28" i="3"/>
  <c r="ANX28" i="3" s="1"/>
  <c r="AMM28" i="3"/>
  <c r="AMA28" i="3"/>
  <c r="ANE28" i="3" s="1"/>
  <c r="AOI28" i="3" s="1"/>
  <c r="APM28" i="3" s="1"/>
  <c r="ALT28" i="3"/>
  <c r="ALU28" i="3"/>
  <c r="AMY28" i="3" s="1"/>
  <c r="AOC28" i="3" s="1"/>
  <c r="APG28" i="3" s="1"/>
  <c r="AQK28" i="3" s="1"/>
  <c r="ALN28" i="3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AQQ28" i="3" l="1"/>
  <c r="AMX28" i="3"/>
  <c r="AOB28" i="3" s="1"/>
  <c r="APF28" i="3" s="1"/>
  <c r="AQJ28" i="3" s="1"/>
  <c r="AMQ28" i="3"/>
  <c r="AMS28" i="3"/>
  <c r="ANW28" i="3" s="1"/>
  <c r="APA28" i="3" s="1"/>
  <c r="AML28" i="3"/>
  <c r="AMR28" i="3"/>
  <c r="ANV28" i="3" s="1"/>
  <c r="AOZ28" i="3" s="1"/>
  <c r="AQD28" i="3" s="1"/>
  <c r="ARH28" i="3" s="1"/>
  <c r="AMK28" i="3"/>
  <c r="ANK28" i="3"/>
  <c r="AOO28" i="3" s="1"/>
  <c r="APS28" i="3" s="1"/>
  <c r="AND28" i="3"/>
  <c r="ANQ28" i="3"/>
  <c r="AOU28" i="3" s="1"/>
  <c r="ANJ28" i="3"/>
  <c r="G4" i="6"/>
  <c r="I4" i="6"/>
  <c r="H4" i="6"/>
  <c r="J4" i="6"/>
  <c r="J8" i="1"/>
  <c r="J4" i="1"/>
  <c r="S8" i="1"/>
  <c r="S4" i="1"/>
  <c r="ARN28" i="3" l="1"/>
  <c r="ANP28" i="3"/>
  <c r="AOT28" i="3" s="1"/>
  <c r="APX28" i="3" s="1"/>
  <c r="ANI28" i="3"/>
  <c r="AOH28" i="3"/>
  <c r="APL28" i="3" s="1"/>
  <c r="AQP28" i="3" s="1"/>
  <c r="AOA28" i="3"/>
  <c r="AON28" i="3"/>
  <c r="APR28" i="3" s="1"/>
  <c r="AOG28" i="3"/>
  <c r="ANU28" i="3"/>
  <c r="AOY28" i="3" s="1"/>
  <c r="AQC28" i="3" s="1"/>
  <c r="ARG28" i="3" s="1"/>
  <c r="ASK28" i="3" s="1"/>
  <c r="ANN28" i="3"/>
  <c r="ANO28" i="3"/>
  <c r="AOS28" i="3" s="1"/>
  <c r="APW28" i="3" s="1"/>
  <c r="ARA28" i="3" s="1"/>
  <c r="ASE28" i="3" s="1"/>
  <c r="ANH28" i="3"/>
  <c r="S9" i="1"/>
  <c r="J9" i="1"/>
  <c r="AOL28" i="3" l="1"/>
  <c r="APP28" i="3" s="1"/>
  <c r="AQT28" i="3" s="1"/>
  <c r="ARX28" i="3" s="1"/>
  <c r="ATB28" i="3" s="1"/>
  <c r="AOE28" i="3"/>
  <c r="AOR28" i="3"/>
  <c r="APV28" i="3" s="1"/>
  <c r="AQZ28" i="3" s="1"/>
  <c r="ASD28" i="3" s="1"/>
  <c r="ATH28" i="3" s="1"/>
  <c r="AOK28" i="3"/>
  <c r="APE28" i="3"/>
  <c r="AQI28" i="3" s="1"/>
  <c r="ARM28" i="3" s="1"/>
  <c r="AOX28" i="3"/>
  <c r="APK28" i="3"/>
  <c r="AQO28" i="3" s="1"/>
  <c r="APD28" i="3"/>
  <c r="AOM28" i="3"/>
  <c r="APQ28" i="3" s="1"/>
  <c r="AQU28" i="3" s="1"/>
  <c r="AOF28" i="3"/>
  <c r="S11" i="1"/>
  <c r="A11" i="1"/>
  <c r="AQH28" i="3" l="1"/>
  <c r="ARL28" i="3" s="1"/>
  <c r="AQA28" i="3"/>
  <c r="APO28" i="3"/>
  <c r="AQS28" i="3" s="1"/>
  <c r="ARW28" i="3" s="1"/>
  <c r="ATA28" i="3" s="1"/>
  <c r="AUE28" i="3" s="1"/>
  <c r="APH28" i="3"/>
  <c r="APJ28" i="3"/>
  <c r="AQN28" i="3" s="1"/>
  <c r="ARR28" i="3" s="1"/>
  <c r="APC28" i="3"/>
  <c r="API28" i="3"/>
  <c r="AQM28" i="3" s="1"/>
  <c r="ARQ28" i="3" s="1"/>
  <c r="ASU28" i="3" s="1"/>
  <c r="ATY28" i="3" s="1"/>
  <c r="APB28" i="3"/>
  <c r="AQB28" i="3"/>
  <c r="ARF28" i="3" s="1"/>
  <c r="ASJ28" i="3" s="1"/>
  <c r="APU28" i="3"/>
  <c r="B1" i="6"/>
  <c r="A5" i="3"/>
  <c r="AQG28" i="3" l="1"/>
  <c r="ARK28" i="3" s="1"/>
  <c r="ASO28" i="3" s="1"/>
  <c r="APZ28" i="3"/>
  <c r="AQF28" i="3"/>
  <c r="ARJ28" i="3" s="1"/>
  <c r="ASN28" i="3" s="1"/>
  <c r="ATR28" i="3" s="1"/>
  <c r="AUV28" i="3" s="1"/>
  <c r="APY28" i="3"/>
  <c r="AQY28" i="3"/>
  <c r="ASC28" i="3" s="1"/>
  <c r="ATG28" i="3" s="1"/>
  <c r="AQR28" i="3"/>
  <c r="ARE28" i="3"/>
  <c r="ASI28" i="3" s="1"/>
  <c r="AQX28" i="3"/>
  <c r="AQL28" i="3"/>
  <c r="ARP28" i="3" s="1"/>
  <c r="AST28" i="3" s="1"/>
  <c r="ATX28" i="3" s="1"/>
  <c r="AVB28" i="3" s="1"/>
  <c r="AQE28" i="3"/>
  <c r="I5" i="6"/>
  <c r="G5" i="6"/>
  <c r="H5" i="6"/>
  <c r="J5" i="6"/>
  <c r="ARV28" i="3" l="1"/>
  <c r="ASZ28" i="3" s="1"/>
  <c r="AUD28" i="3" s="1"/>
  <c r="ARO28" i="3"/>
  <c r="ARD28" i="3"/>
  <c r="ASH28" i="3" s="1"/>
  <c r="ATL28" i="3" s="1"/>
  <c r="AQW28" i="3"/>
  <c r="ASB28" i="3"/>
  <c r="ATF28" i="3" s="1"/>
  <c r="ARU28" i="3"/>
  <c r="ARI28" i="3"/>
  <c r="ASM28" i="3" s="1"/>
  <c r="ATQ28" i="3" s="1"/>
  <c r="AUU28" i="3" s="1"/>
  <c r="AVY28" i="3" s="1"/>
  <c r="ARB28" i="3"/>
  <c r="ARC28" i="3"/>
  <c r="ASG28" i="3" s="1"/>
  <c r="ATK28" i="3" s="1"/>
  <c r="AUO28" i="3" s="1"/>
  <c r="AVS28" i="3" s="1"/>
  <c r="AQV28" i="3"/>
  <c r="G3" i="6"/>
  <c r="H3" i="6"/>
  <c r="I3" i="6"/>
  <c r="J3" i="6"/>
  <c r="B6" i="6"/>
  <c r="ASY28" i="3" l="1"/>
  <c r="AUC28" i="3" s="1"/>
  <c r="ASR28" i="3"/>
  <c r="ASS28" i="3"/>
  <c r="ATW28" i="3" s="1"/>
  <c r="AVA28" i="3" s="1"/>
  <c r="ASL28" i="3"/>
  <c r="ASF28" i="3"/>
  <c r="ATJ28" i="3" s="1"/>
  <c r="AUN28" i="3" s="1"/>
  <c r="AVR28" i="3" s="1"/>
  <c r="AWV28" i="3" s="1"/>
  <c r="ARY28" i="3"/>
  <c r="ASA28" i="3"/>
  <c r="ATE28" i="3" s="1"/>
  <c r="AUI28" i="3" s="1"/>
  <c r="ART28" i="3"/>
  <c r="ARZ28" i="3"/>
  <c r="ATD28" i="3" s="1"/>
  <c r="AUH28" i="3" s="1"/>
  <c r="AVL28" i="3" s="1"/>
  <c r="AWP28" i="3" s="1"/>
  <c r="ARS28" i="3"/>
  <c r="F6" i="6"/>
  <c r="D6" i="6"/>
  <c r="H6" i="6"/>
  <c r="J6" i="6"/>
  <c r="G6" i="6"/>
  <c r="I6" i="6"/>
  <c r="B7" i="6"/>
  <c r="ASW28" i="3" l="1"/>
  <c r="AUA28" i="3" s="1"/>
  <c r="AVE28" i="3" s="1"/>
  <c r="AWI28" i="3" s="1"/>
  <c r="AXM28" i="3" s="1"/>
  <c r="ASP28" i="3"/>
  <c r="ASX28" i="3"/>
  <c r="AUB28" i="3" s="1"/>
  <c r="AVF28" i="3" s="1"/>
  <c r="ASQ28" i="3"/>
  <c r="ATC28" i="3"/>
  <c r="AUG28" i="3" s="1"/>
  <c r="AVK28" i="3" s="1"/>
  <c r="AWO28" i="3" s="1"/>
  <c r="AXS28" i="3" s="1"/>
  <c r="ASV28" i="3"/>
  <c r="ATV28" i="3"/>
  <c r="AUZ28" i="3" s="1"/>
  <c r="ATO28" i="3"/>
  <c r="ATP28" i="3"/>
  <c r="AUT28" i="3" s="1"/>
  <c r="AVX28" i="3" s="1"/>
  <c r="ATI28" i="3"/>
  <c r="F7" i="6"/>
  <c r="D7" i="6"/>
  <c r="B8" i="6"/>
  <c r="G7" i="6"/>
  <c r="I7" i="6"/>
  <c r="H7" i="6"/>
  <c r="J7" i="6"/>
  <c r="ATZ28" i="3" l="1"/>
  <c r="AVD28" i="3" s="1"/>
  <c r="AWH28" i="3" s="1"/>
  <c r="AXL28" i="3" s="1"/>
  <c r="AYP28" i="3" s="1"/>
  <c r="ATS28" i="3"/>
  <c r="ATU28" i="3"/>
  <c r="AUY28" i="3" s="1"/>
  <c r="AWC28" i="3" s="1"/>
  <c r="ATN28" i="3"/>
  <c r="AUM28" i="3"/>
  <c r="AVQ28" i="3" s="1"/>
  <c r="AWU28" i="3" s="1"/>
  <c r="AUF28" i="3"/>
  <c r="AUS28" i="3"/>
  <c r="AVW28" i="3" s="1"/>
  <c r="AUL28" i="3"/>
  <c r="ATT28" i="3"/>
  <c r="AUX28" i="3" s="1"/>
  <c r="AWB28" i="3" s="1"/>
  <c r="AXF28" i="3" s="1"/>
  <c r="AYJ28" i="3" s="1"/>
  <c r="ATM28" i="3"/>
  <c r="F8" i="6"/>
  <c r="D8" i="6"/>
  <c r="G8" i="6"/>
  <c r="J8" i="6"/>
  <c r="H8" i="6"/>
  <c r="I8" i="6"/>
  <c r="B9" i="6"/>
  <c r="D9" i="6" s="1"/>
  <c r="AVP28" i="3" l="1"/>
  <c r="AWT28" i="3" s="1"/>
  <c r="AVI28" i="3"/>
  <c r="AUQ28" i="3"/>
  <c r="AVU28" i="3" s="1"/>
  <c r="AWY28" i="3" s="1"/>
  <c r="AYC28" i="3" s="1"/>
  <c r="AZG28" i="3" s="1"/>
  <c r="AUJ28" i="3"/>
  <c r="AVJ28" i="3"/>
  <c r="AWN28" i="3" s="1"/>
  <c r="AXR28" i="3" s="1"/>
  <c r="AVC28" i="3"/>
  <c r="AUW28" i="3"/>
  <c r="AWA28" i="3" s="1"/>
  <c r="AXE28" i="3" s="1"/>
  <c r="AYI28" i="3" s="1"/>
  <c r="AZM28" i="3" s="1"/>
  <c r="AUP28" i="3"/>
  <c r="AUR28" i="3"/>
  <c r="AVV28" i="3" s="1"/>
  <c r="AWZ28" i="3" s="1"/>
  <c r="AUK28" i="3"/>
  <c r="G9" i="6"/>
  <c r="J9" i="6"/>
  <c r="F9" i="6"/>
  <c r="H9" i="6"/>
  <c r="I9" i="6"/>
  <c r="B10" i="6"/>
  <c r="D10" i="6" s="1"/>
  <c r="AWG28" i="3" l="1"/>
  <c r="AXK28" i="3" s="1"/>
  <c r="AYO28" i="3" s="1"/>
  <c r="AVZ28" i="3"/>
  <c r="AVO28" i="3"/>
  <c r="AWS28" i="3" s="1"/>
  <c r="AXW28" i="3" s="1"/>
  <c r="AVH28" i="3"/>
  <c r="AVT28" i="3"/>
  <c r="AWX28" i="3" s="1"/>
  <c r="AYB28" i="3" s="1"/>
  <c r="AZF28" i="3" s="1"/>
  <c r="BAJ28" i="3" s="1"/>
  <c r="AVM28" i="3"/>
  <c r="AWM28" i="3"/>
  <c r="AXQ28" i="3" s="1"/>
  <c r="AWF28" i="3"/>
  <c r="AVN28" i="3"/>
  <c r="AWR28" i="3" s="1"/>
  <c r="AXV28" i="3" s="1"/>
  <c r="AYZ28" i="3" s="1"/>
  <c r="BAD28" i="3" s="1"/>
  <c r="AVG28" i="3"/>
  <c r="B11" i="6"/>
  <c r="D11" i="6" s="1"/>
  <c r="F10" i="6"/>
  <c r="G10" i="6"/>
  <c r="H10" i="6"/>
  <c r="I10" i="6"/>
  <c r="J10" i="6"/>
  <c r="AXJ28" i="3" l="1"/>
  <c r="AYN28" i="3" s="1"/>
  <c r="AXC28" i="3"/>
  <c r="AWQ28" i="3"/>
  <c r="AXU28" i="3" s="1"/>
  <c r="AYY28" i="3" s="1"/>
  <c r="BAC28" i="3" s="1"/>
  <c r="BBG28" i="3" s="1"/>
  <c r="AWJ28" i="3"/>
  <c r="AWK28" i="3"/>
  <c r="AXO28" i="3" s="1"/>
  <c r="AYS28" i="3" s="1"/>
  <c r="AZW28" i="3" s="1"/>
  <c r="BBA28" i="3" s="1"/>
  <c r="AWD28" i="3"/>
  <c r="AXD28" i="3"/>
  <c r="AYH28" i="3" s="1"/>
  <c r="AZL28" i="3" s="1"/>
  <c r="AWW28" i="3"/>
  <c r="AWL28" i="3"/>
  <c r="AXP28" i="3" s="1"/>
  <c r="AYT28" i="3" s="1"/>
  <c r="AWE28" i="3"/>
  <c r="B12" i="6"/>
  <c r="D12" i="6" s="1"/>
  <c r="J11" i="6"/>
  <c r="F11" i="6"/>
  <c r="I11" i="6"/>
  <c r="G11" i="6"/>
  <c r="H11" i="6"/>
  <c r="AXH28" i="3" l="1"/>
  <c r="AYL28" i="3" s="1"/>
  <c r="AZP28" i="3" s="1"/>
  <c r="BAT28" i="3" s="1"/>
  <c r="BBX28" i="3" s="1"/>
  <c r="AXA28" i="3"/>
  <c r="AYA28" i="3"/>
  <c r="AZE28" i="3" s="1"/>
  <c r="BAI28" i="3" s="1"/>
  <c r="AXT28" i="3"/>
  <c r="AYG28" i="3"/>
  <c r="AZK28" i="3" s="1"/>
  <c r="AXZ28" i="3"/>
  <c r="AXI28" i="3"/>
  <c r="AYM28" i="3" s="1"/>
  <c r="AZQ28" i="3" s="1"/>
  <c r="AXB28" i="3"/>
  <c r="AXN28" i="3"/>
  <c r="AYR28" i="3" s="1"/>
  <c r="AZV28" i="3" s="1"/>
  <c r="BAZ28" i="3" s="1"/>
  <c r="BCD28" i="3" s="1"/>
  <c r="AXG28" i="3"/>
  <c r="B13" i="6"/>
  <c r="D13" i="6" s="1"/>
  <c r="G12" i="6"/>
  <c r="H12" i="6"/>
  <c r="F12" i="6"/>
  <c r="I12" i="6"/>
  <c r="J12" i="6"/>
  <c r="AYK28" i="3" l="1"/>
  <c r="AZO28" i="3" s="1"/>
  <c r="BAS28" i="3" s="1"/>
  <c r="BBW28" i="3" s="1"/>
  <c r="BDA28" i="3" s="1"/>
  <c r="AYD28" i="3"/>
  <c r="AZD28" i="3"/>
  <c r="BAH28" i="3" s="1"/>
  <c r="AYW28" i="3"/>
  <c r="AYX28" i="3"/>
  <c r="BAB28" i="3" s="1"/>
  <c r="BBF28" i="3" s="1"/>
  <c r="AYQ28" i="3"/>
  <c r="AYF28" i="3"/>
  <c r="AZJ28" i="3" s="1"/>
  <c r="BAN28" i="3" s="1"/>
  <c r="AXY28" i="3"/>
  <c r="AYE28" i="3"/>
  <c r="AZI28" i="3" s="1"/>
  <c r="BAM28" i="3" s="1"/>
  <c r="BBQ28" i="3" s="1"/>
  <c r="BCU28" i="3" s="1"/>
  <c r="AXX28" i="3"/>
  <c r="G13" i="6"/>
  <c r="I13" i="6"/>
  <c r="J13" i="6"/>
  <c r="F13" i="6"/>
  <c r="H13" i="6"/>
  <c r="B14" i="6"/>
  <c r="D14" i="6" s="1"/>
  <c r="AZH28" i="3" l="1"/>
  <c r="BAL28" i="3" s="1"/>
  <c r="BBP28" i="3" s="1"/>
  <c r="BCT28" i="3" s="1"/>
  <c r="BDX28" i="3" s="1"/>
  <c r="AZA28" i="3"/>
  <c r="BAA28" i="3"/>
  <c r="BBE28" i="3" s="1"/>
  <c r="AZT28" i="3"/>
  <c r="AZU28" i="3"/>
  <c r="BAY28" i="3" s="1"/>
  <c r="BCC28" i="3" s="1"/>
  <c r="AZN28" i="3"/>
  <c r="AZC28" i="3"/>
  <c r="BAG28" i="3" s="1"/>
  <c r="BBK28" i="3" s="1"/>
  <c r="AYV28" i="3"/>
  <c r="AZB28" i="3"/>
  <c r="BAF28" i="3" s="1"/>
  <c r="BBJ28" i="3" s="1"/>
  <c r="BCN28" i="3" s="1"/>
  <c r="BDR28" i="3" s="1"/>
  <c r="AYU28" i="3"/>
  <c r="B15" i="6"/>
  <c r="D15" i="6" s="1"/>
  <c r="J14" i="6"/>
  <c r="F14" i="6"/>
  <c r="H14" i="6"/>
  <c r="G14" i="6"/>
  <c r="I14" i="6"/>
  <c r="BAX28" i="3" l="1"/>
  <c r="BCB28" i="3" s="1"/>
  <c r="BAQ28" i="3"/>
  <c r="BAR28" i="3"/>
  <c r="BBV28" i="3" s="1"/>
  <c r="BCZ28" i="3" s="1"/>
  <c r="BAK28" i="3"/>
  <c r="AZZ28" i="3"/>
  <c r="BBD28" i="3" s="1"/>
  <c r="BCH28" i="3" s="1"/>
  <c r="AZS28" i="3"/>
  <c r="BAE28" i="3"/>
  <c r="BBI28" i="3" s="1"/>
  <c r="BCM28" i="3" s="1"/>
  <c r="BDQ28" i="3" s="1"/>
  <c r="BEU28" i="3" s="1"/>
  <c r="AZX28" i="3"/>
  <c r="AZY28" i="3"/>
  <c r="BBC28" i="3" s="1"/>
  <c r="BCG28" i="3" s="1"/>
  <c r="BDK28" i="3" s="1"/>
  <c r="BEO28" i="3" s="1"/>
  <c r="AZR28" i="3"/>
  <c r="B16" i="6"/>
  <c r="D16" i="6" s="1"/>
  <c r="H15" i="6"/>
  <c r="F15" i="6"/>
  <c r="I15" i="6"/>
  <c r="J15" i="6"/>
  <c r="G15" i="6"/>
  <c r="BAW28" i="3" l="1"/>
  <c r="BCA28" i="3" s="1"/>
  <c r="BDE28" i="3" s="1"/>
  <c r="BAP28" i="3"/>
  <c r="BBU28" i="3"/>
  <c r="BCY28" i="3" s="1"/>
  <c r="BBN28" i="3"/>
  <c r="BAV28" i="3"/>
  <c r="BBZ28" i="3" s="1"/>
  <c r="BDD28" i="3" s="1"/>
  <c r="BEH28" i="3" s="1"/>
  <c r="BFL28" i="3" s="1"/>
  <c r="BAO28" i="3"/>
  <c r="BBB28" i="3"/>
  <c r="BCF28" i="3" s="1"/>
  <c r="BDJ28" i="3" s="1"/>
  <c r="BEN28" i="3" s="1"/>
  <c r="BFR28" i="3" s="1"/>
  <c r="BAU28" i="3"/>
  <c r="BBO28" i="3"/>
  <c r="BCS28" i="3" s="1"/>
  <c r="BDW28" i="3" s="1"/>
  <c r="BBH28" i="3"/>
  <c r="B18" i="6"/>
  <c r="D18" i="6" s="1"/>
  <c r="B17" i="6"/>
  <c r="D17" i="6" s="1"/>
  <c r="G16" i="6"/>
  <c r="H16" i="6"/>
  <c r="F16" i="6"/>
  <c r="I16" i="6"/>
  <c r="J16" i="6"/>
  <c r="BCL28" i="3" l="1"/>
  <c r="BDP28" i="3" s="1"/>
  <c r="BET28" i="3" s="1"/>
  <c r="BCE28" i="3"/>
  <c r="BBT28" i="3"/>
  <c r="BCX28" i="3" s="1"/>
  <c r="BEB28" i="3" s="1"/>
  <c r="BBM28" i="3"/>
  <c r="BBS28" i="3"/>
  <c r="BCW28" i="3" s="1"/>
  <c r="BEA28" i="3" s="1"/>
  <c r="BFE28" i="3" s="1"/>
  <c r="BGI28" i="3" s="1"/>
  <c r="BBL28" i="3"/>
  <c r="BBY28" i="3"/>
  <c r="BDC28" i="3" s="1"/>
  <c r="BEG28" i="3" s="1"/>
  <c r="BFK28" i="3" s="1"/>
  <c r="BGO28" i="3" s="1"/>
  <c r="BBR28" i="3"/>
  <c r="BCR28" i="3"/>
  <c r="BDV28" i="3" s="1"/>
  <c r="BCK28" i="3"/>
  <c r="G17" i="6"/>
  <c r="H17" i="6"/>
  <c r="I17" i="6"/>
  <c r="J17" i="6"/>
  <c r="F17" i="6"/>
  <c r="H18" i="6"/>
  <c r="J18" i="6"/>
  <c r="G18" i="6"/>
  <c r="I18" i="6"/>
  <c r="F18" i="6"/>
  <c r="BCV28" i="3" l="1"/>
  <c r="BDZ28" i="3" s="1"/>
  <c r="BFD28" i="3" s="1"/>
  <c r="BGH28" i="3" s="1"/>
  <c r="BHL28" i="3" s="1"/>
  <c r="BCO28" i="3"/>
  <c r="BCP28" i="3"/>
  <c r="BDT28" i="3" s="1"/>
  <c r="BEX28" i="3" s="1"/>
  <c r="BGB28" i="3" s="1"/>
  <c r="BHF28" i="3" s="1"/>
  <c r="BCI28" i="3"/>
  <c r="BDI28" i="3"/>
  <c r="BEM28" i="3" s="1"/>
  <c r="BFQ28" i="3" s="1"/>
  <c r="BDB28" i="3"/>
  <c r="BDO28" i="3"/>
  <c r="BES28" i="3" s="1"/>
  <c r="BDH28" i="3"/>
  <c r="BCQ28" i="3"/>
  <c r="BDU28" i="3" s="1"/>
  <c r="BEY28" i="3" s="1"/>
  <c r="BCJ28" i="3"/>
  <c r="BEL28" i="3" l="1"/>
  <c r="BFP28" i="3" s="1"/>
  <c r="BEE28" i="3"/>
  <c r="BDN28" i="3"/>
  <c r="BER28" i="3" s="1"/>
  <c r="BFV28" i="3" s="1"/>
  <c r="BDG28" i="3"/>
  <c r="BEF28" i="3"/>
  <c r="BFJ28" i="3" s="1"/>
  <c r="BGN28" i="3" s="1"/>
  <c r="BDY28" i="3"/>
  <c r="BDM28" i="3"/>
  <c r="BEQ28" i="3" s="1"/>
  <c r="BFU28" i="3" s="1"/>
  <c r="BGY28" i="3" s="1"/>
  <c r="BIC28" i="3" s="1"/>
  <c r="BDF28" i="3"/>
  <c r="BDS28" i="3"/>
  <c r="BEW28" i="3" s="1"/>
  <c r="BGA28" i="3" s="1"/>
  <c r="BHE28" i="3" s="1"/>
  <c r="BII28" i="3" s="1"/>
  <c r="BDL28" i="3"/>
  <c r="BEJ28" i="3" l="1"/>
  <c r="BFN28" i="3" s="1"/>
  <c r="BGR28" i="3" s="1"/>
  <c r="BHV28" i="3" s="1"/>
  <c r="BIZ28" i="3" s="1"/>
  <c r="BEC28" i="3"/>
  <c r="BEK28" i="3"/>
  <c r="BFO28" i="3" s="1"/>
  <c r="BGS28" i="3" s="1"/>
  <c r="BED28" i="3"/>
  <c r="BEP28" i="3"/>
  <c r="BFT28" i="3" s="1"/>
  <c r="BGX28" i="3" s="1"/>
  <c r="BIB28" i="3" s="1"/>
  <c r="BJF28" i="3" s="1"/>
  <c r="BEI28" i="3"/>
  <c r="BFC28" i="3"/>
  <c r="BGG28" i="3" s="1"/>
  <c r="BHK28" i="3" s="1"/>
  <c r="BEV28" i="3"/>
  <c r="BFI28" i="3"/>
  <c r="BGM28" i="3" s="1"/>
  <c r="BFB28" i="3"/>
  <c r="BGF28" i="3" l="1"/>
  <c r="BHJ28" i="3" s="1"/>
  <c r="BFY28" i="3"/>
  <c r="BFZ28" i="3"/>
  <c r="BHD28" i="3" s="1"/>
  <c r="BIH28" i="3" s="1"/>
  <c r="BFS28" i="3"/>
  <c r="BFG28" i="3"/>
  <c r="BGK28" i="3" s="1"/>
  <c r="BHO28" i="3" s="1"/>
  <c r="BIS28" i="3" s="1"/>
  <c r="BJW28" i="3" s="1"/>
  <c r="BEZ28" i="3"/>
  <c r="BFM28" i="3"/>
  <c r="BGQ28" i="3" s="1"/>
  <c r="BHU28" i="3" s="1"/>
  <c r="BIY28" i="3" s="1"/>
  <c r="BKC28" i="3" s="1"/>
  <c r="BFF28" i="3"/>
  <c r="BFH28" i="3"/>
  <c r="BGL28" i="3" s="1"/>
  <c r="BHP28" i="3" s="1"/>
  <c r="BFA28" i="3"/>
  <c r="BGD28" i="3" l="1"/>
  <c r="BHH28" i="3" s="1"/>
  <c r="BIL28" i="3" s="1"/>
  <c r="BJP28" i="3" s="1"/>
  <c r="BKT28" i="3" s="1"/>
  <c r="BFW28" i="3"/>
  <c r="BHC28" i="3"/>
  <c r="BIG28" i="3" s="1"/>
  <c r="BGV28" i="3"/>
  <c r="BGW28" i="3"/>
  <c r="BIA28" i="3" s="1"/>
  <c r="BJE28" i="3" s="1"/>
  <c r="BGP28" i="3"/>
  <c r="BGE28" i="3"/>
  <c r="BHI28" i="3" s="1"/>
  <c r="BIM28" i="3" s="1"/>
  <c r="BFX28" i="3"/>
  <c r="BGJ28" i="3"/>
  <c r="BHN28" i="3" s="1"/>
  <c r="BIR28" i="3" s="1"/>
  <c r="BJV28" i="3" s="1"/>
  <c r="BKZ28" i="3" s="1"/>
  <c r="BGC28" i="3"/>
  <c r="BHB28" i="3" l="1"/>
  <c r="BIF28" i="3" s="1"/>
  <c r="BJJ28" i="3" s="1"/>
  <c r="BGU28" i="3"/>
  <c r="BHA28" i="3"/>
  <c r="BIE28" i="3" s="1"/>
  <c r="BJI28" i="3" s="1"/>
  <c r="BKM28" i="3" s="1"/>
  <c r="BLQ28" i="3" s="1"/>
  <c r="BGT28" i="3"/>
  <c r="BHG28" i="3"/>
  <c r="BIK28" i="3" s="1"/>
  <c r="BJO28" i="3" s="1"/>
  <c r="BKS28" i="3" s="1"/>
  <c r="BLW28" i="3" s="1"/>
  <c r="BGZ28" i="3"/>
  <c r="BHT28" i="3"/>
  <c r="BIX28" i="3" s="1"/>
  <c r="BKB28" i="3" s="1"/>
  <c r="BHM28" i="3"/>
  <c r="BHZ28" i="3"/>
  <c r="BJD28" i="3" s="1"/>
  <c r="BHS28" i="3"/>
  <c r="BIW28" i="3" l="1"/>
  <c r="BKA28" i="3" s="1"/>
  <c r="BIP28" i="3"/>
  <c r="BHX28" i="3"/>
  <c r="BJB28" i="3" s="1"/>
  <c r="BKF28" i="3" s="1"/>
  <c r="BLJ28" i="3" s="1"/>
  <c r="BMN28" i="3" s="1"/>
  <c r="BHQ28" i="3"/>
  <c r="BIQ28" i="3"/>
  <c r="BJU28" i="3" s="1"/>
  <c r="BKY28" i="3" s="1"/>
  <c r="BIJ28" i="3"/>
  <c r="BID28" i="3"/>
  <c r="BJH28" i="3" s="1"/>
  <c r="BKL28" i="3" s="1"/>
  <c r="BLP28" i="3" s="1"/>
  <c r="BMT28" i="3" s="1"/>
  <c r="BHW28" i="3"/>
  <c r="BHY28" i="3"/>
  <c r="BJC28" i="3" s="1"/>
  <c r="BKG28" i="3" s="1"/>
  <c r="BHR28" i="3"/>
  <c r="BIV28" i="3" l="1"/>
  <c r="BJZ28" i="3" s="1"/>
  <c r="BLD28" i="3" s="1"/>
  <c r="BIO28" i="3"/>
  <c r="BJN28" i="3"/>
  <c r="BKR28" i="3" s="1"/>
  <c r="BLV28" i="3" s="1"/>
  <c r="BJG28" i="3"/>
  <c r="BIU28" i="3"/>
  <c r="BJY28" i="3" s="1"/>
  <c r="BLC28" i="3" s="1"/>
  <c r="BMG28" i="3" s="1"/>
  <c r="BNK28" i="3" s="1"/>
  <c r="BIN28" i="3"/>
  <c r="BJT28" i="3"/>
  <c r="BKX28" i="3" s="1"/>
  <c r="BJM28" i="3"/>
  <c r="BJA28" i="3"/>
  <c r="BKE28" i="3" s="1"/>
  <c r="BLI28" i="3" s="1"/>
  <c r="BMM28" i="3" s="1"/>
  <c r="BNQ28" i="3" s="1"/>
  <c r="BIT28" i="3"/>
  <c r="BJX28" i="3" l="1"/>
  <c r="BLB28" i="3" s="1"/>
  <c r="BMF28" i="3" s="1"/>
  <c r="BNJ28" i="3" s="1"/>
  <c r="BON28" i="3" s="1"/>
  <c r="BJQ28" i="3"/>
  <c r="BJR28" i="3"/>
  <c r="BKV28" i="3" s="1"/>
  <c r="BLZ28" i="3" s="1"/>
  <c r="BND28" i="3" s="1"/>
  <c r="BOH28" i="3" s="1"/>
  <c r="BJK28" i="3"/>
  <c r="BKQ28" i="3"/>
  <c r="BLU28" i="3" s="1"/>
  <c r="BKJ28" i="3"/>
  <c r="BJS28" i="3"/>
  <c r="BKW28" i="3" s="1"/>
  <c r="BMA28" i="3" s="1"/>
  <c r="BJL28" i="3"/>
  <c r="BKK28" i="3"/>
  <c r="BLO28" i="3" s="1"/>
  <c r="BMS28" i="3" s="1"/>
  <c r="BKD28" i="3"/>
  <c r="BLN28" i="3" l="1"/>
  <c r="BMR28" i="3" s="1"/>
  <c r="BLG28" i="3"/>
  <c r="BLH28" i="3"/>
  <c r="BML28" i="3" s="1"/>
  <c r="BNP28" i="3" s="1"/>
  <c r="BLA28" i="3"/>
  <c r="BKU28" i="3"/>
  <c r="BLY28" i="3" s="1"/>
  <c r="BNC28" i="3" s="1"/>
  <c r="BOG28" i="3" s="1"/>
  <c r="BPK28" i="3" s="1"/>
  <c r="BKN28" i="3"/>
  <c r="BKP28" i="3"/>
  <c r="BLT28" i="3" s="1"/>
  <c r="BMX28" i="3" s="1"/>
  <c r="BKI28" i="3"/>
  <c r="BKO28" i="3"/>
  <c r="BLS28" i="3" s="1"/>
  <c r="BMW28" i="3" s="1"/>
  <c r="BOA28" i="3" s="1"/>
  <c r="BPE28" i="3" s="1"/>
  <c r="BKH28" i="3"/>
  <c r="BLR28" i="3" l="1"/>
  <c r="BMV28" i="3" s="1"/>
  <c r="BNZ28" i="3" s="1"/>
  <c r="BPD28" i="3" s="1"/>
  <c r="BQH28" i="3" s="1"/>
  <c r="BLK28" i="3"/>
  <c r="BLL28" i="3"/>
  <c r="BMP28" i="3" s="1"/>
  <c r="BNT28" i="3" s="1"/>
  <c r="BOX28" i="3" s="1"/>
  <c r="BQB28" i="3" s="1"/>
  <c r="BLE28" i="3"/>
  <c r="BLM28" i="3"/>
  <c r="BMQ28" i="3" s="1"/>
  <c r="BNU28" i="3" s="1"/>
  <c r="BLF28" i="3"/>
  <c r="BMK28" i="3"/>
  <c r="BNO28" i="3" s="1"/>
  <c r="BMD28" i="3"/>
  <c r="BME28" i="3"/>
  <c r="BNI28" i="3" s="1"/>
  <c r="BOM28" i="3" s="1"/>
  <c r="BLX28" i="3"/>
  <c r="BMI28" i="3" l="1"/>
  <c r="BNM28" i="3" s="1"/>
  <c r="BOQ28" i="3" s="1"/>
  <c r="BPU28" i="3" s="1"/>
  <c r="BQY28" i="3" s="1"/>
  <c r="BMB28" i="3"/>
  <c r="BNH28" i="3"/>
  <c r="BOL28" i="3" s="1"/>
  <c r="BNA28" i="3"/>
  <c r="BMO28" i="3"/>
  <c r="BNS28" i="3" s="1"/>
  <c r="BOW28" i="3" s="1"/>
  <c r="BQA28" i="3" s="1"/>
  <c r="BRE28" i="3" s="1"/>
  <c r="BMH28" i="3"/>
  <c r="BNB28" i="3"/>
  <c r="BOF28" i="3" s="1"/>
  <c r="BPJ28" i="3" s="1"/>
  <c r="BMU28" i="3"/>
  <c r="BMJ28" i="3"/>
  <c r="BNN28" i="3" s="1"/>
  <c r="BOR28" i="3" s="1"/>
  <c r="BMC28" i="3"/>
  <c r="BNG28" i="3" l="1"/>
  <c r="BOK28" i="3" s="1"/>
  <c r="BPO28" i="3" s="1"/>
  <c r="BMZ28" i="3"/>
  <c r="BNY28" i="3"/>
  <c r="BPC28" i="3" s="1"/>
  <c r="BQG28" i="3" s="1"/>
  <c r="BNR28" i="3"/>
  <c r="BOE28" i="3"/>
  <c r="BPI28" i="3" s="1"/>
  <c r="BNX28" i="3"/>
  <c r="BNF28" i="3"/>
  <c r="BOJ28" i="3" s="1"/>
  <c r="BPN28" i="3" s="1"/>
  <c r="BQR28" i="3" s="1"/>
  <c r="BRV28" i="3" s="1"/>
  <c r="BMY28" i="3"/>
  <c r="BNL28" i="3"/>
  <c r="BOP28" i="3" s="1"/>
  <c r="BPT28" i="3" s="1"/>
  <c r="BQX28" i="3" s="1"/>
  <c r="BSB28" i="3" s="1"/>
  <c r="BNE28" i="3"/>
  <c r="BPB28" i="3" l="1"/>
  <c r="BQF28" i="3" s="1"/>
  <c r="BOU28" i="3"/>
  <c r="BOI28" i="3"/>
  <c r="BPM28" i="3" s="1"/>
  <c r="BQQ28" i="3" s="1"/>
  <c r="BRU28" i="3" s="1"/>
  <c r="BSY28" i="3" s="1"/>
  <c r="BOB28" i="3"/>
  <c r="BOC28" i="3"/>
  <c r="BPG28" i="3" s="1"/>
  <c r="BQK28" i="3" s="1"/>
  <c r="BRO28" i="3" s="1"/>
  <c r="BSS28" i="3" s="1"/>
  <c r="BNV28" i="3"/>
  <c r="BOD28" i="3"/>
  <c r="BPH28" i="3" s="1"/>
  <c r="BQL28" i="3" s="1"/>
  <c r="BNW28" i="3"/>
  <c r="BOV28" i="3"/>
  <c r="BPZ28" i="3" s="1"/>
  <c r="BRD28" i="3" s="1"/>
  <c r="BOO28" i="3"/>
  <c r="BPA28" i="3" l="1"/>
  <c r="BQE28" i="3" s="1"/>
  <c r="BRI28" i="3" s="1"/>
  <c r="BOT28" i="3"/>
  <c r="BPF28" i="3"/>
  <c r="BQJ28" i="3" s="1"/>
  <c r="BRN28" i="3" s="1"/>
  <c r="BSR28" i="3" s="1"/>
  <c r="BTV28" i="3" s="1"/>
  <c r="BOY28" i="3"/>
  <c r="BPS28" i="3"/>
  <c r="BQW28" i="3" s="1"/>
  <c r="BSA28" i="3" s="1"/>
  <c r="BPL28" i="3"/>
  <c r="BOZ28" i="3"/>
  <c r="BQD28" i="3" s="1"/>
  <c r="BRH28" i="3" s="1"/>
  <c r="BSL28" i="3" s="1"/>
  <c r="BTP28" i="3" s="1"/>
  <c r="BOS28" i="3"/>
  <c r="BPY28" i="3"/>
  <c r="BRC28" i="3" s="1"/>
  <c r="BPR28" i="3"/>
  <c r="BPX28" i="3" l="1"/>
  <c r="BRB28" i="3" s="1"/>
  <c r="BSF28" i="3" s="1"/>
  <c r="BPQ28" i="3"/>
  <c r="BQP28" i="3"/>
  <c r="BRT28" i="3" s="1"/>
  <c r="BSX28" i="3" s="1"/>
  <c r="BQI28" i="3"/>
  <c r="BQV28" i="3"/>
  <c r="BRZ28" i="3" s="1"/>
  <c r="BQO28" i="3"/>
  <c r="BQC28" i="3"/>
  <c r="BRG28" i="3" s="1"/>
  <c r="BSK28" i="3" s="1"/>
  <c r="BTO28" i="3" s="1"/>
  <c r="BUS28" i="3" s="1"/>
  <c r="BPV28" i="3"/>
  <c r="BPW28" i="3"/>
  <c r="BRA28" i="3" s="1"/>
  <c r="BSE28" i="3" s="1"/>
  <c r="BTI28" i="3" s="1"/>
  <c r="BUM28" i="3" s="1"/>
  <c r="BPP28" i="3"/>
  <c r="BQZ28" i="3" l="1"/>
  <c r="BSD28" i="3" s="1"/>
  <c r="BTH28" i="3" s="1"/>
  <c r="BUL28" i="3" s="1"/>
  <c r="BVP28" i="3" s="1"/>
  <c r="BQS28" i="3"/>
  <c r="BQU28" i="3"/>
  <c r="BRY28" i="3" s="1"/>
  <c r="BTC28" i="3" s="1"/>
  <c r="BQN28" i="3"/>
  <c r="BQT28" i="3"/>
  <c r="BRX28" i="3" s="1"/>
  <c r="BTB28" i="3" s="1"/>
  <c r="BUF28" i="3" s="1"/>
  <c r="BVJ28" i="3" s="1"/>
  <c r="BQM28" i="3"/>
  <c r="BRM28" i="3"/>
  <c r="BSQ28" i="3" s="1"/>
  <c r="BTU28" i="3" s="1"/>
  <c r="BRF28" i="3"/>
  <c r="BRS28" i="3"/>
  <c r="BSW28" i="3" s="1"/>
  <c r="BRL28" i="3"/>
  <c r="BSP28" i="3" l="1"/>
  <c r="BTT28" i="3" s="1"/>
  <c r="BSI28" i="3"/>
  <c r="BRR28" i="3"/>
  <c r="BSV28" i="3" s="1"/>
  <c r="BTZ28" i="3" s="1"/>
  <c r="BRK28" i="3"/>
  <c r="BRW28" i="3"/>
  <c r="BTA28" i="3" s="1"/>
  <c r="BUE28" i="3" s="1"/>
  <c r="BVI28" i="3" s="1"/>
  <c r="BWM28" i="3" s="1"/>
  <c r="BRP28" i="3"/>
  <c r="BSJ28" i="3"/>
  <c r="BTN28" i="3" s="1"/>
  <c r="BUR28" i="3" s="1"/>
  <c r="BSC28" i="3"/>
  <c r="BRQ28" i="3"/>
  <c r="BSU28" i="3" s="1"/>
  <c r="BTY28" i="3" s="1"/>
  <c r="BVC28" i="3" s="1"/>
  <c r="BWG28" i="3" s="1"/>
  <c r="BRJ28" i="3"/>
  <c r="BST28" i="3" l="1"/>
  <c r="BTX28" i="3" s="1"/>
  <c r="BVB28" i="3" s="1"/>
  <c r="BWF28" i="3" s="1"/>
  <c r="BXJ28" i="3" s="1"/>
  <c r="BSM28" i="3"/>
  <c r="BSN28" i="3"/>
  <c r="BTR28" i="3" s="1"/>
  <c r="BUV28" i="3" s="1"/>
  <c r="BVZ28" i="3" s="1"/>
  <c r="BXD28" i="3" s="1"/>
  <c r="BSG28" i="3"/>
  <c r="BTM28" i="3"/>
  <c r="BUQ28" i="3" s="1"/>
  <c r="BTF28" i="3"/>
  <c r="BTG28" i="3"/>
  <c r="BUK28" i="3" s="1"/>
  <c r="BVO28" i="3" s="1"/>
  <c r="BSZ28" i="3"/>
  <c r="BSO28" i="3"/>
  <c r="BTS28" i="3" s="1"/>
  <c r="BUW28" i="3" s="1"/>
  <c r="BSH28" i="3"/>
  <c r="BUJ28" i="3" l="1"/>
  <c r="BVN28" i="3" s="1"/>
  <c r="BUC28" i="3"/>
  <c r="BTL28" i="3"/>
  <c r="BUP28" i="3" s="1"/>
  <c r="BVT28" i="3" s="1"/>
  <c r="BTE28" i="3"/>
  <c r="BTK28" i="3"/>
  <c r="BUO28" i="3" s="1"/>
  <c r="BVS28" i="3" s="1"/>
  <c r="BWW28" i="3" s="1"/>
  <c r="BYA28" i="3" s="1"/>
  <c r="BTD28" i="3"/>
  <c r="BUD28" i="3"/>
  <c r="BVH28" i="3" s="1"/>
  <c r="BWL28" i="3" s="1"/>
  <c r="BTW28" i="3"/>
  <c r="BTQ28" i="3"/>
  <c r="BUU28" i="3" s="1"/>
  <c r="BVY28" i="3" s="1"/>
  <c r="BXC28" i="3" s="1"/>
  <c r="BYG28" i="3" s="1"/>
  <c r="BTJ28" i="3"/>
  <c r="BUN28" i="3" l="1"/>
  <c r="BVR28" i="3" s="1"/>
  <c r="BWV28" i="3" s="1"/>
  <c r="BXZ28" i="3" s="1"/>
  <c r="BZD28" i="3" s="1"/>
  <c r="BUG28" i="3"/>
  <c r="BUH28" i="3"/>
  <c r="BVL28" i="3" s="1"/>
  <c r="BWP28" i="3" s="1"/>
  <c r="BXT28" i="3" s="1"/>
  <c r="BYX28" i="3" s="1"/>
  <c r="BUA28" i="3"/>
  <c r="BVG28" i="3"/>
  <c r="BWK28" i="3" s="1"/>
  <c r="BUZ28" i="3"/>
  <c r="BVA28" i="3"/>
  <c r="BWE28" i="3" s="1"/>
  <c r="BXI28" i="3" s="1"/>
  <c r="BUT28" i="3"/>
  <c r="BUI28" i="3"/>
  <c r="BVM28" i="3" s="1"/>
  <c r="BWQ28" i="3" s="1"/>
  <c r="BUB28" i="3"/>
  <c r="BWD28" i="3" l="1"/>
  <c r="BXH28" i="3" s="1"/>
  <c r="BVW28" i="3"/>
  <c r="BVF28" i="3"/>
  <c r="BWJ28" i="3" s="1"/>
  <c r="BXN28" i="3" s="1"/>
  <c r="BUY28" i="3"/>
  <c r="BVE28" i="3"/>
  <c r="BWI28" i="3" s="1"/>
  <c r="BXM28" i="3" s="1"/>
  <c r="BYQ28" i="3" s="1"/>
  <c r="BZU28" i="3" s="1"/>
  <c r="BUX28" i="3"/>
  <c r="BVX28" i="3"/>
  <c r="BXB28" i="3" s="1"/>
  <c r="BYF28" i="3" s="1"/>
  <c r="BVQ28" i="3"/>
  <c r="BVK28" i="3"/>
  <c r="BWO28" i="3" s="1"/>
  <c r="BXS28" i="3" s="1"/>
  <c r="BYW28" i="3" s="1"/>
  <c r="CAA28" i="3" s="1"/>
  <c r="BVD28" i="3"/>
  <c r="BWB28" i="3" l="1"/>
  <c r="BXF28" i="3" s="1"/>
  <c r="BYJ28" i="3" s="1"/>
  <c r="BZN28" i="3" s="1"/>
  <c r="CAR28" i="3" s="1"/>
  <c r="BVU28" i="3"/>
  <c r="BXA28" i="3"/>
  <c r="BYE28" i="3" s="1"/>
  <c r="BWT28" i="3"/>
  <c r="BWH28" i="3"/>
  <c r="BXL28" i="3" s="1"/>
  <c r="BYP28" i="3" s="1"/>
  <c r="BZT28" i="3" s="1"/>
  <c r="CAX28" i="3" s="1"/>
  <c r="BWA28" i="3"/>
  <c r="BWU28" i="3"/>
  <c r="BXY28" i="3" s="1"/>
  <c r="BZC28" i="3" s="1"/>
  <c r="BWN28" i="3"/>
  <c r="BWC28" i="3"/>
  <c r="BXG28" i="3" s="1"/>
  <c r="BYK28" i="3" s="1"/>
  <c r="BVV28" i="3"/>
  <c r="BWZ28" i="3" l="1"/>
  <c r="BYD28" i="3" s="1"/>
  <c r="BZH28" i="3" s="1"/>
  <c r="BWS28" i="3"/>
  <c r="BXE28" i="3"/>
  <c r="BYI28" i="3" s="1"/>
  <c r="BZM28" i="3" s="1"/>
  <c r="CAQ28" i="3" s="1"/>
  <c r="CBU28" i="3" s="1"/>
  <c r="BWX28" i="3"/>
  <c r="BWY28" i="3"/>
  <c r="BYC28" i="3" s="1"/>
  <c r="BZG28" i="3" s="1"/>
  <c r="CAK28" i="3" s="1"/>
  <c r="CBO28" i="3" s="1"/>
  <c r="BWR28" i="3"/>
  <c r="BXX28" i="3"/>
  <c r="BZB28" i="3" s="1"/>
  <c r="BXQ28" i="3"/>
  <c r="BXR28" i="3"/>
  <c r="BYV28" i="3" s="1"/>
  <c r="BZZ28" i="3" s="1"/>
  <c r="BXK28" i="3"/>
  <c r="BXV28" i="3" l="1"/>
  <c r="BYZ28" i="3" s="1"/>
  <c r="CAD28" i="3" s="1"/>
  <c r="CBH28" i="3" s="1"/>
  <c r="CCL28" i="3" s="1"/>
  <c r="BXO28" i="3"/>
  <c r="BYB28" i="3"/>
  <c r="BZF28" i="3" s="1"/>
  <c r="CAJ28" i="3" s="1"/>
  <c r="CBN28" i="3" s="1"/>
  <c r="CCR28" i="3" s="1"/>
  <c r="BXU28" i="3"/>
  <c r="BYU28" i="3"/>
  <c r="BZY28" i="3" s="1"/>
  <c r="BYN28" i="3"/>
  <c r="BXW28" i="3"/>
  <c r="BZA28" i="3" s="1"/>
  <c r="CAE28" i="3" s="1"/>
  <c r="BXP28" i="3"/>
  <c r="BYO28" i="3"/>
  <c r="BZS28" i="3" s="1"/>
  <c r="CAW28" i="3" s="1"/>
  <c r="BYH28" i="3"/>
  <c r="BYT28" i="3" l="1"/>
  <c r="BZX28" i="3" s="1"/>
  <c r="CBB28" i="3" s="1"/>
  <c r="BYM28" i="3"/>
  <c r="BYS28" i="3"/>
  <c r="BZW28" i="3" s="1"/>
  <c r="CBA28" i="3" s="1"/>
  <c r="CCE28" i="3" s="1"/>
  <c r="CDI28" i="3" s="1"/>
  <c r="BYL28" i="3"/>
  <c r="BZL28" i="3"/>
  <c r="CAP28" i="3" s="1"/>
  <c r="CBT28" i="3" s="1"/>
  <c r="BZE28" i="3"/>
  <c r="BZR28" i="3"/>
  <c r="CAV28" i="3" s="1"/>
  <c r="BZK28" i="3"/>
  <c r="BYY28" i="3"/>
  <c r="CAC28" i="3" s="1"/>
  <c r="CBG28" i="3" s="1"/>
  <c r="CCK28" i="3" s="1"/>
  <c r="CDO28" i="3" s="1"/>
  <c r="BYR28" i="3"/>
  <c r="CAO28" i="3" l="1"/>
  <c r="CBS28" i="3" s="1"/>
  <c r="CAH28" i="3"/>
  <c r="BZQ28" i="3"/>
  <c r="CAU28" i="3" s="1"/>
  <c r="CBY28" i="3" s="1"/>
  <c r="BZJ28" i="3"/>
  <c r="BZV28" i="3"/>
  <c r="CAZ28" i="3" s="1"/>
  <c r="CCD28" i="3" s="1"/>
  <c r="CDH28" i="3" s="1"/>
  <c r="CEL28" i="3" s="1"/>
  <c r="BZO28" i="3"/>
  <c r="CAI28" i="3"/>
  <c r="CBM28" i="3" s="1"/>
  <c r="CCQ28" i="3" s="1"/>
  <c r="CAB28" i="3"/>
  <c r="BZP28" i="3"/>
  <c r="CAT28" i="3" s="1"/>
  <c r="CBX28" i="3" s="1"/>
  <c r="CDB28" i="3" s="1"/>
  <c r="CEF28" i="3" s="1"/>
  <c r="BZI28" i="3"/>
  <c r="CAM28" i="3" l="1"/>
  <c r="CBQ28" i="3" s="1"/>
  <c r="CCU28" i="3" s="1"/>
  <c r="CDY28" i="3" s="1"/>
  <c r="CFC28" i="3" s="1"/>
  <c r="CAF28" i="3"/>
  <c r="CAS28" i="3"/>
  <c r="CBW28" i="3" s="1"/>
  <c r="CDA28" i="3" s="1"/>
  <c r="CEE28" i="3" s="1"/>
  <c r="CFI28" i="3" s="1"/>
  <c r="CAL28" i="3"/>
  <c r="CBL28" i="3"/>
  <c r="CCP28" i="3" s="1"/>
  <c r="CBE28" i="3"/>
  <c r="CBF28" i="3"/>
  <c r="CCJ28" i="3" s="1"/>
  <c r="CDN28" i="3" s="1"/>
  <c r="CAY28" i="3"/>
  <c r="CAN28" i="3"/>
  <c r="CBR28" i="3" s="1"/>
  <c r="CCV28" i="3" s="1"/>
  <c r="CAG28" i="3"/>
  <c r="CCI28" i="3" l="1"/>
  <c r="CDM28" i="3" s="1"/>
  <c r="CCB28" i="3"/>
  <c r="CCC28" i="3"/>
  <c r="CDG28" i="3" s="1"/>
  <c r="CEK28" i="3" s="1"/>
  <c r="CBV28" i="3"/>
  <c r="CBK28" i="3"/>
  <c r="CCO28" i="3" s="1"/>
  <c r="CDS28" i="3" s="1"/>
  <c r="CBD28" i="3"/>
  <c r="CBP28" i="3"/>
  <c r="CCT28" i="3" s="1"/>
  <c r="CDX28" i="3" s="1"/>
  <c r="CFB28" i="3" s="1"/>
  <c r="CGF28" i="3" s="1"/>
  <c r="CBI28" i="3"/>
  <c r="CBJ28" i="3"/>
  <c r="CCN28" i="3" s="1"/>
  <c r="CDR28" i="3" s="1"/>
  <c r="CEV28" i="3" s="1"/>
  <c r="CFZ28" i="3" s="1"/>
  <c r="CBC28" i="3"/>
  <c r="CCM28" i="3" l="1"/>
  <c r="CDQ28" i="3" s="1"/>
  <c r="CEU28" i="3" s="1"/>
  <c r="CFY28" i="3" s="1"/>
  <c r="CHC28" i="3" s="1"/>
  <c r="CCF28" i="3"/>
  <c r="CCZ28" i="3"/>
  <c r="CED28" i="3" s="1"/>
  <c r="CFH28" i="3" s="1"/>
  <c r="CCS28" i="3"/>
  <c r="CCG28" i="3"/>
  <c r="CDK28" i="3" s="1"/>
  <c r="CEO28" i="3" s="1"/>
  <c r="CFS28" i="3" s="1"/>
  <c r="CGW28" i="3" s="1"/>
  <c r="CBZ28" i="3"/>
  <c r="CCH28" i="3"/>
  <c r="CDL28" i="3" s="1"/>
  <c r="CEP28" i="3" s="1"/>
  <c r="CCA28" i="3"/>
  <c r="CDF28" i="3"/>
  <c r="CEJ28" i="3" s="1"/>
  <c r="CCY28" i="3"/>
  <c r="CDJ28" i="3" l="1"/>
  <c r="CEN28" i="3" s="1"/>
  <c r="CFR28" i="3" s="1"/>
  <c r="CGV28" i="3" s="1"/>
  <c r="CHZ28" i="3" s="1"/>
  <c r="CDC28" i="3"/>
  <c r="CEC28" i="3"/>
  <c r="CFG28" i="3" s="1"/>
  <c r="CDV28" i="3"/>
  <c r="CDD28" i="3"/>
  <c r="CEH28" i="3" s="1"/>
  <c r="CFL28" i="3" s="1"/>
  <c r="CGP28" i="3" s="1"/>
  <c r="CHT28" i="3" s="1"/>
  <c r="CCW28" i="3"/>
  <c r="CDW28" i="3"/>
  <c r="CFA28" i="3" s="1"/>
  <c r="CGE28" i="3" s="1"/>
  <c r="CDP28" i="3"/>
  <c r="CDE28" i="3"/>
  <c r="CEI28" i="3" s="1"/>
  <c r="CFM28" i="3" s="1"/>
  <c r="CCX28" i="3"/>
  <c r="CET28" i="3" l="1"/>
  <c r="CFX28" i="3" s="1"/>
  <c r="CHB28" i="3" s="1"/>
  <c r="CEM28" i="3"/>
  <c r="CEA28" i="3"/>
  <c r="CFE28" i="3" s="1"/>
  <c r="CGI28" i="3" s="1"/>
  <c r="CHM28" i="3" s="1"/>
  <c r="CIQ28" i="3" s="1"/>
  <c r="CDT28" i="3"/>
  <c r="CEG28" i="3"/>
  <c r="CFK28" i="3" s="1"/>
  <c r="CGO28" i="3" s="1"/>
  <c r="CHS28" i="3" s="1"/>
  <c r="CIW28" i="3" s="1"/>
  <c r="CDZ28" i="3"/>
  <c r="CEB28" i="3"/>
  <c r="CFF28" i="3" s="1"/>
  <c r="CGJ28" i="3" s="1"/>
  <c r="CDU28" i="3"/>
  <c r="CEZ28" i="3"/>
  <c r="CGD28" i="3" s="1"/>
  <c r="CES28" i="3"/>
  <c r="CFQ28" i="3" l="1"/>
  <c r="CGU28" i="3" s="1"/>
  <c r="CHY28" i="3" s="1"/>
  <c r="CFJ28" i="3"/>
  <c r="CFD28" i="3"/>
  <c r="CGH28" i="3" s="1"/>
  <c r="CHL28" i="3" s="1"/>
  <c r="CIP28" i="3" s="1"/>
  <c r="CJT28" i="3" s="1"/>
  <c r="CEW28" i="3"/>
  <c r="CFW28" i="3"/>
  <c r="CHA28" i="3" s="1"/>
  <c r="CFP28" i="3"/>
  <c r="CEY28" i="3"/>
  <c r="CGC28" i="3" s="1"/>
  <c r="CHG28" i="3" s="1"/>
  <c r="CER28" i="3"/>
  <c r="CEX28" i="3"/>
  <c r="CGB28" i="3" s="1"/>
  <c r="CHF28" i="3" s="1"/>
  <c r="CIJ28" i="3" s="1"/>
  <c r="CJN28" i="3" s="1"/>
  <c r="CEQ28" i="3"/>
  <c r="CGT28" i="3" l="1"/>
  <c r="CHX28" i="3" s="1"/>
  <c r="CGM28" i="3"/>
  <c r="CFV28" i="3"/>
  <c r="CGZ28" i="3" s="1"/>
  <c r="CID28" i="3" s="1"/>
  <c r="CFO28" i="3"/>
  <c r="CFU28" i="3"/>
  <c r="CGY28" i="3" s="1"/>
  <c r="CIC28" i="3" s="1"/>
  <c r="CJG28" i="3" s="1"/>
  <c r="CKK28" i="3" s="1"/>
  <c r="CFN28" i="3"/>
  <c r="CGA28" i="3"/>
  <c r="CHE28" i="3" s="1"/>
  <c r="CII28" i="3" s="1"/>
  <c r="CJM28" i="3" s="1"/>
  <c r="CKQ28" i="3" s="1"/>
  <c r="CFT28" i="3"/>
  <c r="CGN28" i="3"/>
  <c r="CHR28" i="3" s="1"/>
  <c r="CIV28" i="3" s="1"/>
  <c r="CGG28" i="3"/>
  <c r="CGR28" i="3" l="1"/>
  <c r="CHV28" i="3" s="1"/>
  <c r="CIZ28" i="3" s="1"/>
  <c r="CKD28" i="3" s="1"/>
  <c r="CLH28" i="3" s="1"/>
  <c r="CGK28" i="3"/>
  <c r="CHQ28" i="3"/>
  <c r="CIU28" i="3" s="1"/>
  <c r="CHJ28" i="3"/>
  <c r="CGX28" i="3"/>
  <c r="CIB28" i="3" s="1"/>
  <c r="CJF28" i="3" s="1"/>
  <c r="CKJ28" i="3" s="1"/>
  <c r="CLN28" i="3" s="1"/>
  <c r="CGQ28" i="3"/>
  <c r="CHK28" i="3"/>
  <c r="CIO28" i="3" s="1"/>
  <c r="CJS28" i="3" s="1"/>
  <c r="CHD28" i="3"/>
  <c r="CGS28" i="3"/>
  <c r="CHW28" i="3" s="1"/>
  <c r="CJA28" i="3" s="1"/>
  <c r="CGL28" i="3"/>
  <c r="CHP28" i="3" l="1"/>
  <c r="CIT28" i="3" s="1"/>
  <c r="CJX28" i="3" s="1"/>
  <c r="CHI28" i="3"/>
  <c r="CHU28" i="3"/>
  <c r="CIY28" i="3" s="1"/>
  <c r="CKC28" i="3" s="1"/>
  <c r="CLG28" i="3" s="1"/>
  <c r="CMK28" i="3" s="1"/>
  <c r="CHN28" i="3"/>
  <c r="CHO28" i="3"/>
  <c r="CIS28" i="3" s="1"/>
  <c r="CJW28" i="3" s="1"/>
  <c r="CLA28" i="3" s="1"/>
  <c r="CME28" i="3" s="1"/>
  <c r="CHH28" i="3"/>
  <c r="CIN28" i="3"/>
  <c r="CJR28" i="3" s="1"/>
  <c r="CIG28" i="3"/>
  <c r="CIH28" i="3"/>
  <c r="CJL28" i="3" s="1"/>
  <c r="CKP28" i="3" s="1"/>
  <c r="CIA28" i="3"/>
  <c r="CIL28" i="3" l="1"/>
  <c r="CJP28" i="3" s="1"/>
  <c r="CKT28" i="3" s="1"/>
  <c r="CLX28" i="3" s="1"/>
  <c r="CNB28" i="3" s="1"/>
  <c r="CIE28" i="3"/>
  <c r="CJK28" i="3"/>
  <c r="CKO28" i="3" s="1"/>
  <c r="CJD28" i="3"/>
  <c r="CIM28" i="3"/>
  <c r="CJQ28" i="3" s="1"/>
  <c r="CKU28" i="3" s="1"/>
  <c r="CIF28" i="3"/>
  <c r="CJE28" i="3"/>
  <c r="CKI28" i="3" s="1"/>
  <c r="CLM28" i="3" s="1"/>
  <c r="CIX28" i="3"/>
  <c r="CIR28" i="3"/>
  <c r="CJV28" i="3" s="1"/>
  <c r="CKZ28" i="3" s="1"/>
  <c r="CMD28" i="3" s="1"/>
  <c r="CNH28" i="3" s="1"/>
  <c r="CIK28" i="3"/>
  <c r="CJJ28" i="3" l="1"/>
  <c r="CKN28" i="3" s="1"/>
  <c r="CLR28" i="3" s="1"/>
  <c r="CJC28" i="3"/>
  <c r="CKB28" i="3"/>
  <c r="CLF28" i="3" s="1"/>
  <c r="CMJ28" i="3" s="1"/>
  <c r="CJU28" i="3"/>
  <c r="CJO28" i="3"/>
  <c r="CKS28" i="3" s="1"/>
  <c r="CLW28" i="3" s="1"/>
  <c r="CNA28" i="3" s="1"/>
  <c r="COE28" i="3" s="1"/>
  <c r="CJH28" i="3"/>
  <c r="CKH28" i="3"/>
  <c r="CLL28" i="3" s="1"/>
  <c r="CKA28" i="3"/>
  <c r="CJI28" i="3"/>
  <c r="CKM28" i="3" s="1"/>
  <c r="CLQ28" i="3" s="1"/>
  <c r="CMU28" i="3" s="1"/>
  <c r="CNY28" i="3" s="1"/>
  <c r="CJB28" i="3"/>
  <c r="CKG28" i="3" l="1"/>
  <c r="CLK28" i="3" s="1"/>
  <c r="CMO28" i="3" s="1"/>
  <c r="CJZ28" i="3"/>
  <c r="CKL28" i="3"/>
  <c r="CLP28" i="3" s="1"/>
  <c r="CMT28" i="3" s="1"/>
  <c r="CNX28" i="3" s="1"/>
  <c r="CPB28" i="3" s="1"/>
  <c r="CKE28" i="3"/>
  <c r="CLE28" i="3"/>
  <c r="CMI28" i="3" s="1"/>
  <c r="CKX28" i="3"/>
  <c r="CKF28" i="3"/>
  <c r="CLJ28" i="3" s="1"/>
  <c r="CMN28" i="3" s="1"/>
  <c r="CNR28" i="3" s="1"/>
  <c r="COV28" i="3" s="1"/>
  <c r="CJY28" i="3"/>
  <c r="CKY28" i="3"/>
  <c r="CMC28" i="3" s="1"/>
  <c r="CNG28" i="3" s="1"/>
  <c r="CKR28" i="3"/>
  <c r="CLC28" i="3" l="1"/>
  <c r="CMG28" i="3" s="1"/>
  <c r="CNK28" i="3" s="1"/>
  <c r="COO28" i="3" s="1"/>
  <c r="CPS28" i="3" s="1"/>
  <c r="CKV28" i="3"/>
  <c r="CMB28" i="3"/>
  <c r="CNF28" i="3" s="1"/>
  <c r="CLU28" i="3"/>
  <c r="CLD28" i="3"/>
  <c r="CMH28" i="3" s="1"/>
  <c r="CNL28" i="3" s="1"/>
  <c r="CKW28" i="3"/>
  <c r="CLV28" i="3"/>
  <c r="CMZ28" i="3" s="1"/>
  <c r="COD28" i="3" s="1"/>
  <c r="CLO28" i="3"/>
  <c r="CLI28" i="3"/>
  <c r="CMM28" i="3" s="1"/>
  <c r="CNQ28" i="3" s="1"/>
  <c r="COU28" i="3" s="1"/>
  <c r="CPY28" i="3" s="1"/>
  <c r="CLB28" i="3"/>
  <c r="CMY28" i="3" l="1"/>
  <c r="COC28" i="3" s="1"/>
  <c r="CMR28" i="3"/>
  <c r="CMS28" i="3"/>
  <c r="CNW28" i="3" s="1"/>
  <c r="CPA28" i="3" s="1"/>
  <c r="CML28" i="3"/>
  <c r="CMF28" i="3"/>
  <c r="CNJ28" i="3" s="1"/>
  <c r="CON28" i="3" s="1"/>
  <c r="CPR28" i="3" s="1"/>
  <c r="CQV28" i="3" s="1"/>
  <c r="CLY28" i="3"/>
  <c r="CMA28" i="3"/>
  <c r="CNE28" i="3" s="1"/>
  <c r="COI28" i="3" s="1"/>
  <c r="CLT28" i="3"/>
  <c r="CLZ28" i="3"/>
  <c r="CND28" i="3" s="1"/>
  <c r="COH28" i="3" s="1"/>
  <c r="CPL28" i="3" s="1"/>
  <c r="CQP28" i="3" s="1"/>
  <c r="CLS28" i="3"/>
  <c r="CMX28" i="3" l="1"/>
  <c r="COB28" i="3" s="1"/>
  <c r="CPF28" i="3" s="1"/>
  <c r="CMQ28" i="3"/>
  <c r="CNV28" i="3"/>
  <c r="COZ28" i="3" s="1"/>
  <c r="CNO28" i="3"/>
  <c r="CNP28" i="3"/>
  <c r="COT28" i="3" s="1"/>
  <c r="CPX28" i="3" s="1"/>
  <c r="CNI28" i="3"/>
  <c r="CMW28" i="3"/>
  <c r="COA28" i="3" s="1"/>
  <c r="CPE28" i="3" s="1"/>
  <c r="CQI28" i="3" s="1"/>
  <c r="CRM28" i="3" s="1"/>
  <c r="CMP28" i="3"/>
  <c r="CNC28" i="3"/>
  <c r="COG28" i="3" s="1"/>
  <c r="CPK28" i="3" s="1"/>
  <c r="CQO28" i="3" s="1"/>
  <c r="CRS28" i="3" s="1"/>
  <c r="CMV28" i="3"/>
  <c r="CNT28" i="3" l="1"/>
  <c r="COX28" i="3" s="1"/>
  <c r="CQB28" i="3" s="1"/>
  <c r="CRF28" i="3" s="1"/>
  <c r="CSJ28" i="3" s="1"/>
  <c r="CNM28" i="3"/>
  <c r="COS28" i="3"/>
  <c r="CPW28" i="3" s="1"/>
  <c r="COL28" i="3"/>
  <c r="CNU28" i="3"/>
  <c r="COY28" i="3" s="1"/>
  <c r="CQC28" i="3" s="1"/>
  <c r="CNN28" i="3"/>
  <c r="CNZ28" i="3"/>
  <c r="CPD28" i="3" s="1"/>
  <c r="CQH28" i="3" s="1"/>
  <c r="CRL28" i="3" s="1"/>
  <c r="CSP28" i="3" s="1"/>
  <c r="CNS28" i="3"/>
  <c r="COM28" i="3"/>
  <c r="CPQ28" i="3" s="1"/>
  <c r="CQU28" i="3" s="1"/>
  <c r="COF28" i="3"/>
  <c r="COR28" i="3" l="1"/>
  <c r="CPV28" i="3" s="1"/>
  <c r="CQZ28" i="3" s="1"/>
  <c r="COK28" i="3"/>
  <c r="CPP28" i="3"/>
  <c r="CQT28" i="3" s="1"/>
  <c r="CPI28" i="3"/>
  <c r="COQ28" i="3"/>
  <c r="CPU28" i="3" s="1"/>
  <c r="CQY28" i="3" s="1"/>
  <c r="CSC28" i="3" s="1"/>
  <c r="CTG28" i="3" s="1"/>
  <c r="COJ28" i="3"/>
  <c r="CPJ28" i="3"/>
  <c r="CQN28" i="3" s="1"/>
  <c r="CRR28" i="3" s="1"/>
  <c r="CPC28" i="3"/>
  <c r="COW28" i="3"/>
  <c r="CQA28" i="3" s="1"/>
  <c r="CRE28" i="3" s="1"/>
  <c r="CSI28" i="3" s="1"/>
  <c r="CTM28" i="3" s="1"/>
  <c r="COP28" i="3"/>
  <c r="CQG28" i="3" l="1"/>
  <c r="CRK28" i="3" s="1"/>
  <c r="CSO28" i="3" s="1"/>
  <c r="CPZ28" i="3"/>
  <c r="CQM28" i="3"/>
  <c r="CRQ28" i="3" s="1"/>
  <c r="CQF28" i="3"/>
  <c r="CPT28" i="3"/>
  <c r="CQX28" i="3" s="1"/>
  <c r="CSB28" i="3" s="1"/>
  <c r="CTF28" i="3" s="1"/>
  <c r="CUJ28" i="3" s="1"/>
  <c r="CPM28" i="3"/>
  <c r="CPN28" i="3"/>
  <c r="CQR28" i="3" s="1"/>
  <c r="CRV28" i="3" s="1"/>
  <c r="CSZ28" i="3" s="1"/>
  <c r="CUD28" i="3" s="1"/>
  <c r="CPG28" i="3"/>
  <c r="CPO28" i="3"/>
  <c r="CQS28" i="3" s="1"/>
  <c r="CRW28" i="3" s="1"/>
  <c r="CPH28" i="3"/>
  <c r="CQK28" i="3" l="1"/>
  <c r="CRO28" i="3" s="1"/>
  <c r="CSS28" i="3" s="1"/>
  <c r="CTW28" i="3" s="1"/>
  <c r="CVA28" i="3" s="1"/>
  <c r="CQD28" i="3"/>
  <c r="CQL28" i="3"/>
  <c r="CRP28" i="3" s="1"/>
  <c r="CST28" i="3" s="1"/>
  <c r="CQE28" i="3"/>
  <c r="CRD28" i="3"/>
  <c r="CSH28" i="3" s="1"/>
  <c r="CTL28" i="3" s="1"/>
  <c r="CQW28" i="3"/>
  <c r="CQQ28" i="3"/>
  <c r="CRU28" i="3" s="1"/>
  <c r="CSY28" i="3" s="1"/>
  <c r="CUC28" i="3" s="1"/>
  <c r="CVG28" i="3" s="1"/>
  <c r="CQJ28" i="3"/>
  <c r="CRJ28" i="3"/>
  <c r="CSN28" i="3" s="1"/>
  <c r="CRC28" i="3"/>
  <c r="CSA28" i="3" l="1"/>
  <c r="CTE28" i="3" s="1"/>
  <c r="CUI28" i="3" s="1"/>
  <c r="CRT28" i="3"/>
  <c r="CSG28" i="3"/>
  <c r="CTK28" i="3" s="1"/>
  <c r="CRZ28" i="3"/>
  <c r="CRN28" i="3"/>
  <c r="CSR28" i="3" s="1"/>
  <c r="CTV28" i="3" s="1"/>
  <c r="CUZ28" i="3" s="1"/>
  <c r="CWD28" i="3" s="1"/>
  <c r="CRG28" i="3"/>
  <c r="CRH28" i="3"/>
  <c r="CSL28" i="3" s="1"/>
  <c r="CTP28" i="3" s="1"/>
  <c r="CUT28" i="3" s="1"/>
  <c r="CVX28" i="3" s="1"/>
  <c r="CRA28" i="3"/>
  <c r="CRI28" i="3"/>
  <c r="CSM28" i="3" s="1"/>
  <c r="CTQ28" i="3" s="1"/>
  <c r="CRB28" i="3"/>
  <c r="CSF28" i="3" l="1"/>
  <c r="CTJ28" i="3" s="1"/>
  <c r="CUN28" i="3" s="1"/>
  <c r="CRY28" i="3"/>
  <c r="CTD28" i="3"/>
  <c r="CUH28" i="3" s="1"/>
  <c r="CSW28" i="3"/>
  <c r="CSE28" i="3"/>
  <c r="CTI28" i="3" s="1"/>
  <c r="CUM28" i="3" s="1"/>
  <c r="CVQ28" i="3" s="1"/>
  <c r="CWU28" i="3" s="1"/>
  <c r="CRX28" i="3"/>
  <c r="CSK28" i="3"/>
  <c r="CTO28" i="3" s="1"/>
  <c r="CUS28" i="3" s="1"/>
  <c r="CVW28" i="3" s="1"/>
  <c r="CXA28" i="3" s="1"/>
  <c r="CSD28" i="3"/>
  <c r="CSX28" i="3"/>
  <c r="CUB28" i="3" s="1"/>
  <c r="CVF28" i="3" s="1"/>
  <c r="CSQ28" i="3"/>
  <c r="CTU28" i="3" l="1"/>
  <c r="CUY28" i="3" s="1"/>
  <c r="CWC28" i="3" s="1"/>
  <c r="CTN28" i="3"/>
  <c r="CTB28" i="3"/>
  <c r="CUF28" i="3" s="1"/>
  <c r="CVJ28" i="3" s="1"/>
  <c r="CWN28" i="3" s="1"/>
  <c r="CXR28" i="3" s="1"/>
  <c r="CSU28" i="3"/>
  <c r="CTC28" i="3"/>
  <c r="CUG28" i="3" s="1"/>
  <c r="CVK28" i="3" s="1"/>
  <c r="CSV28" i="3"/>
  <c r="CTH28" i="3"/>
  <c r="CUL28" i="3" s="1"/>
  <c r="CVP28" i="3" s="1"/>
  <c r="CWT28" i="3" s="1"/>
  <c r="CXX28" i="3" s="1"/>
  <c r="CTA28" i="3"/>
  <c r="CUA28" i="3"/>
  <c r="CVE28" i="3" s="1"/>
  <c r="CTT28" i="3"/>
  <c r="CTZ28" i="3" l="1"/>
  <c r="CVD28" i="3" s="1"/>
  <c r="CWH28" i="3" s="1"/>
  <c r="CTS28" i="3"/>
  <c r="CUR28" i="3"/>
  <c r="CVV28" i="3" s="1"/>
  <c r="CWZ28" i="3" s="1"/>
  <c r="CUK28" i="3"/>
  <c r="CUX28" i="3"/>
  <c r="CWB28" i="3" s="1"/>
  <c r="CUQ28" i="3"/>
  <c r="CTY28" i="3"/>
  <c r="CVC28" i="3" s="1"/>
  <c r="CWG28" i="3" s="1"/>
  <c r="CXK28" i="3" s="1"/>
  <c r="CYO28" i="3" s="1"/>
  <c r="CTR28" i="3"/>
  <c r="CUE28" i="3"/>
  <c r="CVI28" i="3" s="1"/>
  <c r="CWM28" i="3" s="1"/>
  <c r="CXQ28" i="3" s="1"/>
  <c r="CYU28" i="3" s="1"/>
  <c r="CTX28" i="3"/>
  <c r="CVB28" i="3" l="1"/>
  <c r="CWF28" i="3" s="1"/>
  <c r="CXJ28" i="3" s="1"/>
  <c r="CYN28" i="3" s="1"/>
  <c r="CZR28" i="3" s="1"/>
  <c r="CUU28" i="3"/>
  <c r="CUW28" i="3"/>
  <c r="CWA28" i="3" s="1"/>
  <c r="CXE28" i="3" s="1"/>
  <c r="CUP28" i="3"/>
  <c r="CUV28" i="3"/>
  <c r="CVZ28" i="3" s="1"/>
  <c r="CXD28" i="3" s="1"/>
  <c r="CYH28" i="3" s="1"/>
  <c r="CZL28" i="3" s="1"/>
  <c r="CUO28" i="3"/>
  <c r="CVO28" i="3"/>
  <c r="CWS28" i="3" s="1"/>
  <c r="CXW28" i="3" s="1"/>
  <c r="CVH28" i="3"/>
  <c r="CVU28" i="3"/>
  <c r="CWY28" i="3" s="1"/>
  <c r="CVN28" i="3"/>
  <c r="CWL28" i="3" l="1"/>
  <c r="CXP28" i="3" s="1"/>
  <c r="CYT28" i="3" s="1"/>
  <c r="CWE28" i="3"/>
  <c r="CVT28" i="3"/>
  <c r="CWX28" i="3" s="1"/>
  <c r="CYB28" i="3" s="1"/>
  <c r="CVM28" i="3"/>
  <c r="CVS28" i="3"/>
  <c r="CWW28" i="3" s="1"/>
  <c r="CYA28" i="3" s="1"/>
  <c r="CZE28" i="3" s="1"/>
  <c r="DAI28" i="3" s="1"/>
  <c r="CVL28" i="3"/>
  <c r="CWR28" i="3"/>
  <c r="CXV28" i="3" s="1"/>
  <c r="CWK28" i="3"/>
  <c r="CVY28" i="3"/>
  <c r="CXC28" i="3" s="1"/>
  <c r="CYG28" i="3" s="1"/>
  <c r="CZK28" i="3" s="1"/>
  <c r="DAO28" i="3" s="1"/>
  <c r="CVR28" i="3"/>
  <c r="CWP28" i="3" l="1"/>
  <c r="CXT28" i="3" s="1"/>
  <c r="CYX28" i="3" s="1"/>
  <c r="DAB28" i="3" s="1"/>
  <c r="DBF28" i="3" s="1"/>
  <c r="CWI28" i="3"/>
  <c r="CXI28" i="3"/>
  <c r="CYM28" i="3" s="1"/>
  <c r="CZQ28" i="3" s="1"/>
  <c r="CXB28" i="3"/>
  <c r="CXO28" i="3"/>
  <c r="CYS28" i="3" s="1"/>
  <c r="CXH28" i="3"/>
  <c r="CWV28" i="3"/>
  <c r="CXZ28" i="3" s="1"/>
  <c r="CZD28" i="3" s="1"/>
  <c r="DAH28" i="3" s="1"/>
  <c r="DBL28" i="3" s="1"/>
  <c r="CWO28" i="3"/>
  <c r="CWQ28" i="3"/>
  <c r="CXU28" i="3" s="1"/>
  <c r="CYY28" i="3" s="1"/>
  <c r="CWJ28" i="3"/>
  <c r="CXN28" i="3" l="1"/>
  <c r="CYR28" i="3" s="1"/>
  <c r="CZV28" i="3" s="1"/>
  <c r="CXG28" i="3"/>
  <c r="CYL28" i="3"/>
  <c r="CZP28" i="3" s="1"/>
  <c r="CYE28" i="3"/>
  <c r="CXS28" i="3"/>
  <c r="CYW28" i="3" s="1"/>
  <c r="DAA28" i="3" s="1"/>
  <c r="DBE28" i="3" s="1"/>
  <c r="DCI28" i="3" s="1"/>
  <c r="CXL28" i="3"/>
  <c r="CYF28" i="3"/>
  <c r="CZJ28" i="3" s="1"/>
  <c r="DAN28" i="3" s="1"/>
  <c r="CXY28" i="3"/>
  <c r="CXM28" i="3"/>
  <c r="CYQ28" i="3" s="1"/>
  <c r="CZU28" i="3" s="1"/>
  <c r="DAY28" i="3" s="1"/>
  <c r="DCC28" i="3" s="1"/>
  <c r="CXF28" i="3"/>
  <c r="CZC28" i="3" l="1"/>
  <c r="DAG28" i="3" s="1"/>
  <c r="DBK28" i="3" s="1"/>
  <c r="CYV28" i="3"/>
  <c r="CZI28" i="3"/>
  <c r="DAM28" i="3" s="1"/>
  <c r="CZB28" i="3"/>
  <c r="CYK28" i="3"/>
  <c r="CZO28" i="3" s="1"/>
  <c r="DAS28" i="3" s="1"/>
  <c r="CYD28" i="3"/>
  <c r="CYJ28" i="3"/>
  <c r="CZN28" i="3" s="1"/>
  <c r="DAR28" i="3" s="1"/>
  <c r="DBV28" i="3" s="1"/>
  <c r="DCZ28" i="3" s="1"/>
  <c r="CYC28" i="3"/>
  <c r="CYP28" i="3"/>
  <c r="CZT28" i="3" s="1"/>
  <c r="DAX28" i="3" s="1"/>
  <c r="DCB28" i="3" s="1"/>
  <c r="DDF28" i="3" s="1"/>
  <c r="CYI28" i="3"/>
  <c r="CZG28" i="3" l="1"/>
  <c r="DAK28" i="3" s="1"/>
  <c r="DBO28" i="3" s="1"/>
  <c r="DCS28" i="3" s="1"/>
  <c r="DDW28" i="3" s="1"/>
  <c r="CYZ28" i="3"/>
  <c r="CZZ28" i="3"/>
  <c r="DBD28" i="3" s="1"/>
  <c r="DCH28" i="3" s="1"/>
  <c r="CZS28" i="3"/>
  <c r="CZM28" i="3"/>
  <c r="DAQ28" i="3" s="1"/>
  <c r="DBU28" i="3" s="1"/>
  <c r="DCY28" i="3" s="1"/>
  <c r="DEC28" i="3" s="1"/>
  <c r="CZF28" i="3"/>
  <c r="CZH28" i="3"/>
  <c r="DAL28" i="3" s="1"/>
  <c r="DBP28" i="3" s="1"/>
  <c r="CZA28" i="3"/>
  <c r="DAF28" i="3"/>
  <c r="DBJ28" i="3" s="1"/>
  <c r="CZY28" i="3"/>
  <c r="DAD28" i="3" l="1"/>
  <c r="DBH28" i="3" s="1"/>
  <c r="DCL28" i="3" s="1"/>
  <c r="DDP28" i="3" s="1"/>
  <c r="DET28" i="3" s="1"/>
  <c r="CZW28" i="3"/>
  <c r="DBC28" i="3"/>
  <c r="DCG28" i="3" s="1"/>
  <c r="DAV28" i="3"/>
  <c r="DAJ28" i="3"/>
  <c r="DBN28" i="3" s="1"/>
  <c r="DCR28" i="3" s="1"/>
  <c r="DDV28" i="3" s="1"/>
  <c r="DEZ28" i="3" s="1"/>
  <c r="DAC28" i="3"/>
  <c r="DAW28" i="3"/>
  <c r="DCA28" i="3" s="1"/>
  <c r="DDE28" i="3" s="1"/>
  <c r="DAP28" i="3"/>
  <c r="DAE28" i="3"/>
  <c r="DBI28" i="3" s="1"/>
  <c r="DCM28" i="3" s="1"/>
  <c r="CZX28" i="3"/>
  <c r="DBT28" i="3" l="1"/>
  <c r="DCX28" i="3" s="1"/>
  <c r="DEB28" i="3" s="1"/>
  <c r="DBM28" i="3"/>
  <c r="DBG28" i="3"/>
  <c r="DCK28" i="3" s="1"/>
  <c r="DDO28" i="3" s="1"/>
  <c r="DES28" i="3" s="1"/>
  <c r="DFW28" i="3" s="1"/>
  <c r="DAZ28" i="3"/>
  <c r="DBA28" i="3"/>
  <c r="DCE28" i="3" s="1"/>
  <c r="DDI28" i="3" s="1"/>
  <c r="DEM28" i="3" s="1"/>
  <c r="DFQ28" i="3" s="1"/>
  <c r="DAT28" i="3"/>
  <c r="DBB28" i="3"/>
  <c r="DCF28" i="3" s="1"/>
  <c r="DDJ28" i="3" s="1"/>
  <c r="DAU28" i="3"/>
  <c r="DBZ28" i="3"/>
  <c r="DDD28" i="3" s="1"/>
  <c r="DBS28" i="3"/>
  <c r="DCQ28" i="3" l="1"/>
  <c r="DDU28" i="3" s="1"/>
  <c r="DEY28" i="3" s="1"/>
  <c r="DCJ28" i="3"/>
  <c r="DBX28" i="3"/>
  <c r="DDB28" i="3" s="1"/>
  <c r="DEF28" i="3" s="1"/>
  <c r="DFJ28" i="3" s="1"/>
  <c r="DGN28" i="3" s="1"/>
  <c r="DBQ28" i="3"/>
  <c r="DCW28" i="3"/>
  <c r="DEA28" i="3" s="1"/>
  <c r="DCP28" i="3"/>
  <c r="DBY28" i="3"/>
  <c r="DDC28" i="3" s="1"/>
  <c r="DEG28" i="3" s="1"/>
  <c r="DBR28" i="3"/>
  <c r="DCD28" i="3"/>
  <c r="DDH28" i="3" s="1"/>
  <c r="DEL28" i="3" s="1"/>
  <c r="DFP28" i="3" s="1"/>
  <c r="DGT28" i="3" s="1"/>
  <c r="DBW28" i="3"/>
  <c r="DDT28" i="3" l="1"/>
  <c r="DEX28" i="3" s="1"/>
  <c r="DDM28" i="3"/>
  <c r="DCV28" i="3"/>
  <c r="DDZ28" i="3" s="1"/>
  <c r="DFD28" i="3" s="1"/>
  <c r="DCO28" i="3"/>
  <c r="DDA28" i="3"/>
  <c r="DEE28" i="3" s="1"/>
  <c r="DFI28" i="3" s="1"/>
  <c r="DGM28" i="3" s="1"/>
  <c r="DHQ28" i="3" s="1"/>
  <c r="DCT28" i="3"/>
  <c r="DCU28" i="3"/>
  <c r="DDY28" i="3" s="1"/>
  <c r="DFC28" i="3" s="1"/>
  <c r="DGG28" i="3" s="1"/>
  <c r="DHK28" i="3" s="1"/>
  <c r="DCN28" i="3"/>
  <c r="DDN28" i="3"/>
  <c r="DER28" i="3" s="1"/>
  <c r="DFV28" i="3" s="1"/>
  <c r="DDG28" i="3"/>
  <c r="DDX28" i="3" l="1"/>
  <c r="DFB28" i="3" s="1"/>
  <c r="DGF28" i="3" s="1"/>
  <c r="DHJ28" i="3" s="1"/>
  <c r="DIN28" i="3" s="1"/>
  <c r="DDQ28" i="3"/>
  <c r="DEQ28" i="3"/>
  <c r="DFU28" i="3" s="1"/>
  <c r="DEJ28" i="3"/>
  <c r="DDR28" i="3"/>
  <c r="DEV28" i="3" s="1"/>
  <c r="DFZ28" i="3" s="1"/>
  <c r="DHD28" i="3" s="1"/>
  <c r="DIH28" i="3" s="1"/>
  <c r="DDK28" i="3"/>
  <c r="DEK28" i="3"/>
  <c r="DFO28" i="3" s="1"/>
  <c r="DGS28" i="3" s="1"/>
  <c r="DED28" i="3"/>
  <c r="DDS28" i="3"/>
  <c r="DEW28" i="3" s="1"/>
  <c r="DGA28" i="3" s="1"/>
  <c r="DDL28" i="3"/>
  <c r="DEP28" i="3" l="1"/>
  <c r="DFT28" i="3" s="1"/>
  <c r="DGX28" i="3" s="1"/>
  <c r="DEI28" i="3"/>
  <c r="DEO28" i="3"/>
  <c r="DFS28" i="3" s="1"/>
  <c r="DGW28" i="3" s="1"/>
  <c r="DIA28" i="3" s="1"/>
  <c r="DJE28" i="3" s="1"/>
  <c r="DEH28" i="3"/>
  <c r="DEU28" i="3"/>
  <c r="DFY28" i="3" s="1"/>
  <c r="DHC28" i="3" s="1"/>
  <c r="DIG28" i="3" s="1"/>
  <c r="DJK28" i="3" s="1"/>
  <c r="DEN28" i="3"/>
  <c r="DFN28" i="3"/>
  <c r="DGR28" i="3" s="1"/>
  <c r="DFG28" i="3"/>
  <c r="DFH28" i="3"/>
  <c r="DGL28" i="3" s="1"/>
  <c r="DHP28" i="3" s="1"/>
  <c r="DFA28" i="3"/>
  <c r="DFR28" i="3" l="1"/>
  <c r="DGV28" i="3" s="1"/>
  <c r="DHZ28" i="3" s="1"/>
  <c r="DJD28" i="3" s="1"/>
  <c r="DKH28" i="3" s="1"/>
  <c r="DFK28" i="3"/>
  <c r="DGK28" i="3"/>
  <c r="DHO28" i="3" s="1"/>
  <c r="DGD28" i="3"/>
  <c r="DFM28" i="3"/>
  <c r="DGQ28" i="3" s="1"/>
  <c r="DHU28" i="3" s="1"/>
  <c r="DFF28" i="3"/>
  <c r="DGE28" i="3"/>
  <c r="DHI28" i="3" s="1"/>
  <c r="DIM28" i="3" s="1"/>
  <c r="DFX28" i="3"/>
  <c r="DFL28" i="3"/>
  <c r="DGP28" i="3" s="1"/>
  <c r="DHT28" i="3" s="1"/>
  <c r="DIX28" i="3" s="1"/>
  <c r="DKB28" i="3" s="1"/>
  <c r="DFE28" i="3"/>
  <c r="DGJ28" i="3" l="1"/>
  <c r="DHN28" i="3" s="1"/>
  <c r="DIR28" i="3" s="1"/>
  <c r="DGC28" i="3"/>
  <c r="DHB28" i="3"/>
  <c r="DIF28" i="3" s="1"/>
  <c r="DJJ28" i="3" s="1"/>
  <c r="DGU28" i="3"/>
  <c r="DGI28" i="3"/>
  <c r="DHM28" i="3" s="1"/>
  <c r="DIQ28" i="3" s="1"/>
  <c r="DJU28" i="3" s="1"/>
  <c r="DKY28" i="3" s="1"/>
  <c r="DGB28" i="3"/>
  <c r="DHH28" i="3"/>
  <c r="DIL28" i="3" s="1"/>
  <c r="DHA28" i="3"/>
  <c r="DGO28" i="3"/>
  <c r="DHS28" i="3" s="1"/>
  <c r="DIW28" i="3" s="1"/>
  <c r="DKA28" i="3" s="1"/>
  <c r="DLE28" i="3" s="1"/>
  <c r="DGH28" i="3"/>
  <c r="DHG28" i="3" l="1"/>
  <c r="DIK28" i="3" s="1"/>
  <c r="DJO28" i="3" s="1"/>
  <c r="DGZ28" i="3"/>
  <c r="DIE28" i="3"/>
  <c r="DJI28" i="3" s="1"/>
  <c r="DHX28" i="3"/>
  <c r="DHF28" i="3"/>
  <c r="DIJ28" i="3" s="1"/>
  <c r="DJN28" i="3" s="1"/>
  <c r="DKR28" i="3" s="1"/>
  <c r="DLV28" i="3" s="1"/>
  <c r="DGY28" i="3"/>
  <c r="DHL28" i="3"/>
  <c r="DIP28" i="3" s="1"/>
  <c r="DJT28" i="3" s="1"/>
  <c r="DKX28" i="3" s="1"/>
  <c r="DMB28" i="3" s="1"/>
  <c r="DHE28" i="3"/>
  <c r="DHY28" i="3"/>
  <c r="DJC28" i="3" s="1"/>
  <c r="DKG28" i="3" s="1"/>
  <c r="DHR28" i="3"/>
  <c r="DID28" i="3" l="1"/>
  <c r="DJH28" i="3" s="1"/>
  <c r="DKL28" i="3" s="1"/>
  <c r="DHW28" i="3"/>
  <c r="DIV28" i="3"/>
  <c r="DJZ28" i="3" s="1"/>
  <c r="DLD28" i="3" s="1"/>
  <c r="DIO28" i="3"/>
  <c r="DJB28" i="3"/>
  <c r="DKF28" i="3" s="1"/>
  <c r="DIU28" i="3"/>
  <c r="DIC28" i="3"/>
  <c r="DJG28" i="3" s="1"/>
  <c r="DKK28" i="3" s="1"/>
  <c r="DLO28" i="3" s="1"/>
  <c r="DMS28" i="3" s="1"/>
  <c r="DHV28" i="3"/>
  <c r="DII28" i="3"/>
  <c r="DJM28" i="3" s="1"/>
  <c r="DKQ28" i="3" s="1"/>
  <c r="DLU28" i="3" s="1"/>
  <c r="DMY28" i="3" s="1"/>
  <c r="DIB28" i="3"/>
  <c r="DIZ28" i="3" l="1"/>
  <c r="DKD28" i="3" s="1"/>
  <c r="DLH28" i="3" s="1"/>
  <c r="DML28" i="3" s="1"/>
  <c r="DNP28" i="3" s="1"/>
  <c r="DIS28" i="3"/>
  <c r="DJY28" i="3"/>
  <c r="DLC28" i="3" s="1"/>
  <c r="DJR28" i="3"/>
  <c r="DJA28" i="3"/>
  <c r="DKE28" i="3" s="1"/>
  <c r="DLI28" i="3" s="1"/>
  <c r="DIT28" i="3"/>
  <c r="DJF28" i="3"/>
  <c r="DKJ28" i="3" s="1"/>
  <c r="DLN28" i="3" s="1"/>
  <c r="DMR28" i="3" s="1"/>
  <c r="DNV28" i="3" s="1"/>
  <c r="DIY28" i="3"/>
  <c r="DJS28" i="3"/>
  <c r="DKW28" i="3" s="1"/>
  <c r="DMA28" i="3" s="1"/>
  <c r="DJL28" i="3"/>
  <c r="DJW28" i="3" l="1"/>
  <c r="DLA28" i="3" s="1"/>
  <c r="DME28" i="3" s="1"/>
  <c r="DNI28" i="3" s="1"/>
  <c r="DOM28" i="3" s="1"/>
  <c r="DJP28" i="3"/>
  <c r="DKP28" i="3"/>
  <c r="DLT28" i="3" s="1"/>
  <c r="DMX28" i="3" s="1"/>
  <c r="DKI28" i="3"/>
  <c r="DKC28" i="3"/>
  <c r="DLG28" i="3" s="1"/>
  <c r="DMK28" i="3" s="1"/>
  <c r="DNO28" i="3" s="1"/>
  <c r="DOS28" i="3" s="1"/>
  <c r="DJV28" i="3"/>
  <c r="DKV28" i="3"/>
  <c r="DLZ28" i="3" s="1"/>
  <c r="DKO28" i="3"/>
  <c r="DJX28" i="3"/>
  <c r="DLB28" i="3" s="1"/>
  <c r="DMF28" i="3" s="1"/>
  <c r="DJQ28" i="3"/>
  <c r="DKZ28" i="3" l="1"/>
  <c r="DMD28" i="3" s="1"/>
  <c r="DNH28" i="3" s="1"/>
  <c r="DOL28" i="3" s="1"/>
  <c r="DPP28" i="3" s="1"/>
  <c r="DKS28" i="3"/>
  <c r="DKU28" i="3"/>
  <c r="DLY28" i="3" s="1"/>
  <c r="DNC28" i="3" s="1"/>
  <c r="DKN28" i="3"/>
  <c r="DLS28" i="3"/>
  <c r="DMW28" i="3" s="1"/>
  <c r="DLL28" i="3"/>
  <c r="DKT28" i="3"/>
  <c r="DLX28" i="3" s="1"/>
  <c r="DNB28" i="3" s="1"/>
  <c r="DOF28" i="3" s="1"/>
  <c r="DPJ28" i="3" s="1"/>
  <c r="DKM28" i="3"/>
  <c r="DLM28" i="3"/>
  <c r="DMQ28" i="3" s="1"/>
  <c r="DNU28" i="3" s="1"/>
  <c r="DLF28" i="3"/>
  <c r="DLQ28" i="3" l="1"/>
  <c r="DMU28" i="3" s="1"/>
  <c r="DNY28" i="3" s="1"/>
  <c r="DPC28" i="3" s="1"/>
  <c r="DQG28" i="3" s="1"/>
  <c r="DLJ28" i="3"/>
  <c r="DLR28" i="3"/>
  <c r="DMV28" i="3" s="1"/>
  <c r="DNZ28" i="3" s="1"/>
  <c r="DLK28" i="3"/>
  <c r="DLW28" i="3"/>
  <c r="DNA28" i="3" s="1"/>
  <c r="DOE28" i="3" s="1"/>
  <c r="DPI28" i="3" s="1"/>
  <c r="DQM28" i="3" s="1"/>
  <c r="DLP28" i="3"/>
  <c r="DMP28" i="3"/>
  <c r="DNT28" i="3" s="1"/>
  <c r="DMI28" i="3"/>
  <c r="DMJ28" i="3"/>
  <c r="DNN28" i="3" s="1"/>
  <c r="DOR28" i="3" s="1"/>
  <c r="DMC28" i="3"/>
  <c r="DNM28" i="3" l="1"/>
  <c r="DOQ28" i="3" s="1"/>
  <c r="DNF28" i="3"/>
  <c r="DMT28" i="3"/>
  <c r="DNX28" i="3" s="1"/>
  <c r="DPB28" i="3" s="1"/>
  <c r="DQF28" i="3" s="1"/>
  <c r="DRJ28" i="3" s="1"/>
  <c r="DMM28" i="3"/>
  <c r="DMN28" i="3"/>
  <c r="DNR28" i="3" s="1"/>
  <c r="DOV28" i="3" s="1"/>
  <c r="DPZ28" i="3" s="1"/>
  <c r="DRD28" i="3" s="1"/>
  <c r="DMG28" i="3"/>
  <c r="DMO28" i="3"/>
  <c r="DNS28" i="3" s="1"/>
  <c r="DOW28" i="3" s="1"/>
  <c r="DMH28" i="3"/>
  <c r="DNG28" i="3"/>
  <c r="DOK28" i="3" s="1"/>
  <c r="DPO28" i="3" s="1"/>
  <c r="DMZ28" i="3"/>
  <c r="DOD28" i="3" l="1"/>
  <c r="DPH28" i="3" s="1"/>
  <c r="DQL28" i="3" s="1"/>
  <c r="DNW28" i="3"/>
  <c r="DNK28" i="3"/>
  <c r="DOO28" i="3" s="1"/>
  <c r="DPS28" i="3" s="1"/>
  <c r="DQW28" i="3" s="1"/>
  <c r="DSA28" i="3" s="1"/>
  <c r="DND28" i="3"/>
  <c r="DNL28" i="3"/>
  <c r="DOP28" i="3" s="1"/>
  <c r="DPT28" i="3" s="1"/>
  <c r="DNE28" i="3"/>
  <c r="DOJ28" i="3"/>
  <c r="DPN28" i="3" s="1"/>
  <c r="DOC28" i="3"/>
  <c r="DNQ28" i="3"/>
  <c r="DOU28" i="3" s="1"/>
  <c r="DPY28" i="3" s="1"/>
  <c r="DRC28" i="3" s="1"/>
  <c r="DSG28" i="3" s="1"/>
  <c r="DNJ28" i="3"/>
  <c r="DPG28" i="3" l="1"/>
  <c r="DQK28" i="3" s="1"/>
  <c r="DOZ28" i="3"/>
  <c r="DON28" i="3"/>
  <c r="DPR28" i="3" s="1"/>
  <c r="DQV28" i="3" s="1"/>
  <c r="DRZ28" i="3" s="1"/>
  <c r="DTD28" i="3" s="1"/>
  <c r="DOG28" i="3"/>
  <c r="DPA28" i="3"/>
  <c r="DQE28" i="3" s="1"/>
  <c r="DRI28" i="3" s="1"/>
  <c r="DOT28" i="3"/>
  <c r="DOI28" i="3"/>
  <c r="DPM28" i="3" s="1"/>
  <c r="DQQ28" i="3" s="1"/>
  <c r="DOB28" i="3"/>
  <c r="DOH28" i="3"/>
  <c r="DPL28" i="3" s="1"/>
  <c r="DQP28" i="3" s="1"/>
  <c r="DRT28" i="3" s="1"/>
  <c r="DSX28" i="3" s="1"/>
  <c r="DOA28" i="3"/>
  <c r="DPX28" i="3" l="1"/>
  <c r="DRB28" i="3" s="1"/>
  <c r="DSF28" i="3" s="1"/>
  <c r="DPQ28" i="3"/>
  <c r="DPF28" i="3"/>
  <c r="DQJ28" i="3" s="1"/>
  <c r="DRN28" i="3" s="1"/>
  <c r="DOY28" i="3"/>
  <c r="DQD28" i="3"/>
  <c r="DRH28" i="3" s="1"/>
  <c r="DPW28" i="3"/>
  <c r="DPK28" i="3"/>
  <c r="DQO28" i="3" s="1"/>
  <c r="DRS28" i="3" s="1"/>
  <c r="DSW28" i="3" s="1"/>
  <c r="DUA28" i="3" s="1"/>
  <c r="DPD28" i="3"/>
  <c r="DPE28" i="3"/>
  <c r="DQI28" i="3" s="1"/>
  <c r="DRM28" i="3" s="1"/>
  <c r="DSQ28" i="3" s="1"/>
  <c r="DTU28" i="3" s="1"/>
  <c r="DOX28" i="3"/>
  <c r="DQB28" i="3" l="1"/>
  <c r="DRF28" i="3" s="1"/>
  <c r="DSJ28" i="3" s="1"/>
  <c r="DTN28" i="3" s="1"/>
  <c r="DUR28" i="3" s="1"/>
  <c r="DPU28" i="3"/>
  <c r="DQC28" i="3"/>
  <c r="DRG28" i="3" s="1"/>
  <c r="DSK28" i="3" s="1"/>
  <c r="DPV28" i="3"/>
  <c r="DRA28" i="3"/>
  <c r="DSE28" i="3" s="1"/>
  <c r="DQT28" i="3"/>
  <c r="DQU28" i="3"/>
  <c r="DRY28" i="3" s="1"/>
  <c r="DTC28" i="3" s="1"/>
  <c r="DQN28" i="3"/>
  <c r="DQH28" i="3"/>
  <c r="DRL28" i="3" s="1"/>
  <c r="DSP28" i="3" s="1"/>
  <c r="DTT28" i="3" s="1"/>
  <c r="DUX28" i="3" s="1"/>
  <c r="DQA28" i="3"/>
  <c r="DRE28" i="3" l="1"/>
  <c r="DSI28" i="3" s="1"/>
  <c r="DTM28" i="3" s="1"/>
  <c r="DUQ28" i="3" s="1"/>
  <c r="DVU28" i="3" s="1"/>
  <c r="DQX28" i="3"/>
  <c r="DRR28" i="3"/>
  <c r="DSV28" i="3" s="1"/>
  <c r="DTZ28" i="3" s="1"/>
  <c r="DRK28" i="3"/>
  <c r="DQZ28" i="3"/>
  <c r="DSD28" i="3" s="1"/>
  <c r="DTH28" i="3" s="1"/>
  <c r="DQS28" i="3"/>
  <c r="DQY28" i="3"/>
  <c r="DSC28" i="3" s="1"/>
  <c r="DTG28" i="3" s="1"/>
  <c r="DUK28" i="3" s="1"/>
  <c r="DVO28" i="3" s="1"/>
  <c r="DQR28" i="3"/>
  <c r="DRX28" i="3"/>
  <c r="DTB28" i="3" s="1"/>
  <c r="DRQ28" i="3"/>
  <c r="DRV28" i="3" l="1"/>
  <c r="DSZ28" i="3" s="1"/>
  <c r="DUD28" i="3" s="1"/>
  <c r="DVH28" i="3" s="1"/>
  <c r="DWL28" i="3" s="1"/>
  <c r="DRO28" i="3"/>
  <c r="DRW28" i="3"/>
  <c r="DTA28" i="3" s="1"/>
  <c r="DUE28" i="3" s="1"/>
  <c r="DRP28" i="3"/>
  <c r="DSU28" i="3"/>
  <c r="DTY28" i="3" s="1"/>
  <c r="DSN28" i="3"/>
  <c r="DSO28" i="3"/>
  <c r="DTS28" i="3" s="1"/>
  <c r="DUW28" i="3" s="1"/>
  <c r="DSH28" i="3"/>
  <c r="DSB28" i="3"/>
  <c r="DTF28" i="3" s="1"/>
  <c r="DUJ28" i="3" s="1"/>
  <c r="DVN28" i="3" s="1"/>
  <c r="DWR28" i="3" s="1"/>
  <c r="DRU28" i="3"/>
  <c r="DTL28" i="3" l="1"/>
  <c r="DUP28" i="3" s="1"/>
  <c r="DVT28" i="3" s="1"/>
  <c r="DTE28" i="3"/>
  <c r="DST28" i="3"/>
  <c r="DTX28" i="3" s="1"/>
  <c r="DVB28" i="3" s="1"/>
  <c r="DSM28" i="3"/>
  <c r="DSY28" i="3"/>
  <c r="DUC28" i="3" s="1"/>
  <c r="DVG28" i="3" s="1"/>
  <c r="DWK28" i="3" s="1"/>
  <c r="DXO28" i="3" s="1"/>
  <c r="DSR28" i="3"/>
  <c r="DTR28" i="3"/>
  <c r="DUV28" i="3" s="1"/>
  <c r="DTK28" i="3"/>
  <c r="DSS28" i="3"/>
  <c r="DTW28" i="3" s="1"/>
  <c r="DVA28" i="3" s="1"/>
  <c r="DWE28" i="3" s="1"/>
  <c r="DXI28" i="3" s="1"/>
  <c r="DSL28" i="3"/>
  <c r="DTP28" i="3" l="1"/>
  <c r="DUT28" i="3" s="1"/>
  <c r="DVX28" i="3" s="1"/>
  <c r="DXB28" i="3" s="1"/>
  <c r="DYF28" i="3" s="1"/>
  <c r="DTI28" i="3"/>
  <c r="DUI28" i="3"/>
  <c r="DVM28" i="3" s="1"/>
  <c r="DWQ28" i="3" s="1"/>
  <c r="DUB28" i="3"/>
  <c r="DTQ28" i="3"/>
  <c r="DUU28" i="3" s="1"/>
  <c r="DVY28" i="3" s="1"/>
  <c r="DTJ28" i="3"/>
  <c r="DTV28" i="3"/>
  <c r="DUZ28" i="3" s="1"/>
  <c r="DWD28" i="3" s="1"/>
  <c r="DXH28" i="3" s="1"/>
  <c r="DYL28" i="3" s="1"/>
  <c r="DTO28" i="3"/>
  <c r="DUO28" i="3"/>
  <c r="DVS28" i="3" s="1"/>
  <c r="DUH28" i="3"/>
  <c r="DVL28" i="3" l="1"/>
  <c r="DWP28" i="3" s="1"/>
  <c r="DVE28" i="3"/>
  <c r="DUN28" i="3"/>
  <c r="DVR28" i="3" s="1"/>
  <c r="DWV28" i="3" s="1"/>
  <c r="DUG28" i="3"/>
  <c r="DUS28" i="3"/>
  <c r="DVW28" i="3" s="1"/>
  <c r="DXA28" i="3" s="1"/>
  <c r="DYE28" i="3" s="1"/>
  <c r="DZI28" i="3" s="1"/>
  <c r="DUL28" i="3"/>
  <c r="DVF28" i="3"/>
  <c r="DWJ28" i="3" s="1"/>
  <c r="DXN28" i="3" s="1"/>
  <c r="DUY28" i="3"/>
  <c r="DUM28" i="3"/>
  <c r="DVQ28" i="3" s="1"/>
  <c r="DWU28" i="3" s="1"/>
  <c r="DXY28" i="3" s="1"/>
  <c r="DZC28" i="3" s="1"/>
  <c r="DUF28" i="3"/>
  <c r="DVK28" i="3" l="1"/>
  <c r="DWO28" i="3" s="1"/>
  <c r="DXS28" i="3" s="1"/>
  <c r="DVD28" i="3"/>
  <c r="DWI28" i="3"/>
  <c r="DXM28" i="3" s="1"/>
  <c r="DWB28" i="3"/>
  <c r="DVP28" i="3"/>
  <c r="DWT28" i="3" s="1"/>
  <c r="DXX28" i="3" s="1"/>
  <c r="DZB28" i="3" s="1"/>
  <c r="EAF28" i="3" s="1"/>
  <c r="DVI28" i="3"/>
  <c r="DWC28" i="3"/>
  <c r="DXG28" i="3" s="1"/>
  <c r="DYK28" i="3" s="1"/>
  <c r="DVV28" i="3"/>
  <c r="DVJ28" i="3"/>
  <c r="DWN28" i="3" s="1"/>
  <c r="DXR28" i="3" s="1"/>
  <c r="DYV28" i="3" s="1"/>
  <c r="DZZ28" i="3" s="1"/>
  <c r="DVC28" i="3"/>
  <c r="DWZ28" i="3" l="1"/>
  <c r="DYD28" i="3" s="1"/>
  <c r="DZH28" i="3" s="1"/>
  <c r="DWS28" i="3"/>
  <c r="DXF28" i="3"/>
  <c r="DYJ28" i="3" s="1"/>
  <c r="DWY28" i="3"/>
  <c r="DWG28" i="3"/>
  <c r="DXK28" i="3" s="1"/>
  <c r="DYO28" i="3" s="1"/>
  <c r="DZS28" i="3" s="1"/>
  <c r="EAW28" i="3" s="1"/>
  <c r="DVZ28" i="3"/>
  <c r="DWM28" i="3"/>
  <c r="DXQ28" i="3" s="1"/>
  <c r="DYU28" i="3" s="1"/>
  <c r="DZY28" i="3" s="1"/>
  <c r="EBC28" i="3" s="1"/>
  <c r="DWF28" i="3"/>
  <c r="DWH28" i="3"/>
  <c r="DXL28" i="3" s="1"/>
  <c r="DYP28" i="3" s="1"/>
  <c r="DWA28" i="3"/>
  <c r="DYC28" i="3" l="1"/>
  <c r="DZG28" i="3" s="1"/>
  <c r="DXV28" i="3"/>
  <c r="DXE28" i="3"/>
  <c r="DYI28" i="3" s="1"/>
  <c r="DZM28" i="3" s="1"/>
  <c r="DWX28" i="3"/>
  <c r="DXJ28" i="3"/>
  <c r="DYN28" i="3" s="1"/>
  <c r="DZR28" i="3" s="1"/>
  <c r="EAV28" i="3" s="1"/>
  <c r="EBZ28" i="3" s="1"/>
  <c r="DXC28" i="3"/>
  <c r="DXW28" i="3"/>
  <c r="DZA28" i="3" s="1"/>
  <c r="EAE28" i="3" s="1"/>
  <c r="DXP28" i="3"/>
  <c r="DXD28" i="3"/>
  <c r="DYH28" i="3" s="1"/>
  <c r="DZL28" i="3" s="1"/>
  <c r="EAP28" i="3" s="1"/>
  <c r="EBT28" i="3" s="1"/>
  <c r="DWW28" i="3"/>
  <c r="DYA28" i="3" l="1"/>
  <c r="DZE28" i="3" s="1"/>
  <c r="EAI28" i="3" s="1"/>
  <c r="EBM28" i="3" s="1"/>
  <c r="ECQ28" i="3" s="1"/>
  <c r="DXT28" i="3"/>
  <c r="DYT28" i="3"/>
  <c r="DZX28" i="3" s="1"/>
  <c r="EBB28" i="3" s="1"/>
  <c r="DYM28" i="3"/>
  <c r="DYG28" i="3"/>
  <c r="DZK28" i="3" s="1"/>
  <c r="EAO28" i="3" s="1"/>
  <c r="EBS28" i="3" s="1"/>
  <c r="ECW28" i="3" s="1"/>
  <c r="DXZ28" i="3"/>
  <c r="DYZ28" i="3"/>
  <c r="EAD28" i="3" s="1"/>
  <c r="DYS28" i="3"/>
  <c r="DYB28" i="3"/>
  <c r="DZF28" i="3" s="1"/>
  <c r="EAJ28" i="3" s="1"/>
  <c r="DXU28" i="3"/>
  <c r="DYY28" i="3" l="1"/>
  <c r="EAC28" i="3" s="1"/>
  <c r="EBG28" i="3" s="1"/>
  <c r="DYR28" i="3"/>
  <c r="DZW28" i="3"/>
  <c r="EBA28" i="3" s="1"/>
  <c r="DZP28" i="3"/>
  <c r="DYX28" i="3"/>
  <c r="EAB28" i="3" s="1"/>
  <c r="EBF28" i="3" s="1"/>
  <c r="ECJ28" i="3" s="1"/>
  <c r="EDN28" i="3" s="1"/>
  <c r="DYQ28" i="3"/>
  <c r="DZD28" i="3"/>
  <c r="EAH28" i="3" s="1"/>
  <c r="EBL28" i="3" s="1"/>
  <c r="ECP28" i="3" s="1"/>
  <c r="EDT28" i="3" s="1"/>
  <c r="DYW28" i="3"/>
  <c r="DZQ28" i="3"/>
  <c r="EAU28" i="3" s="1"/>
  <c r="EBY28" i="3" s="1"/>
  <c r="DZJ28" i="3"/>
  <c r="EAT28" i="3" l="1"/>
  <c r="EBX28" i="3" s="1"/>
  <c r="EAM28" i="3"/>
  <c r="DZU28" i="3"/>
  <c r="EAY28" i="3" s="1"/>
  <c r="ECC28" i="3" s="1"/>
  <c r="EDG28" i="3" s="1"/>
  <c r="EEK28" i="3" s="1"/>
  <c r="DZN28" i="3"/>
  <c r="DZV28" i="3"/>
  <c r="EAZ28" i="3" s="1"/>
  <c r="ECD28" i="3" s="1"/>
  <c r="DZO28" i="3"/>
  <c r="EAN28" i="3"/>
  <c r="EBR28" i="3" s="1"/>
  <c r="ECV28" i="3" s="1"/>
  <c r="EAG28" i="3"/>
  <c r="EAA28" i="3"/>
  <c r="EBE28" i="3" s="1"/>
  <c r="ECI28" i="3" s="1"/>
  <c r="EDM28" i="3" s="1"/>
  <c r="EEQ28" i="3" s="1"/>
  <c r="DZT28" i="3"/>
  <c r="EBK28" i="3" l="1"/>
  <c r="ECO28" i="3" s="1"/>
  <c r="EDS28" i="3" s="1"/>
  <c r="EBD28" i="3"/>
  <c r="EAR28" i="3"/>
  <c r="EBV28" i="3" s="1"/>
  <c r="ECZ28" i="3" s="1"/>
  <c r="EED28" i="3" s="1"/>
  <c r="EFH28" i="3" s="1"/>
  <c r="EAK28" i="3"/>
  <c r="EBQ28" i="3"/>
  <c r="ECU28" i="3" s="1"/>
  <c r="EBJ28" i="3"/>
  <c r="EAX28" i="3"/>
  <c r="ECB28" i="3" s="1"/>
  <c r="EDF28" i="3" s="1"/>
  <c r="EEJ28" i="3" s="1"/>
  <c r="EFN28" i="3" s="1"/>
  <c r="EAQ28" i="3"/>
  <c r="EAS28" i="3"/>
  <c r="EBW28" i="3" s="1"/>
  <c r="EDA28" i="3" s="1"/>
  <c r="EAL28" i="3"/>
  <c r="EBU28" i="3" l="1"/>
  <c r="ECY28" i="3" s="1"/>
  <c r="EEC28" i="3" s="1"/>
  <c r="EFG28" i="3" s="1"/>
  <c r="EGK28" i="3" s="1"/>
  <c r="EBN28" i="3"/>
  <c r="ECN28" i="3"/>
  <c r="EDR28" i="3" s="1"/>
  <c r="ECG28" i="3"/>
  <c r="ECH28" i="3"/>
  <c r="EDL28" i="3" s="1"/>
  <c r="EEP28" i="3" s="1"/>
  <c r="ECA28" i="3"/>
  <c r="EBP28" i="3"/>
  <c r="ECT28" i="3" s="1"/>
  <c r="EDX28" i="3" s="1"/>
  <c r="EBI28" i="3"/>
  <c r="EBO28" i="3"/>
  <c r="ECS28" i="3" s="1"/>
  <c r="EDW28" i="3" s="1"/>
  <c r="EFA28" i="3" s="1"/>
  <c r="EGE28" i="3" s="1"/>
  <c r="EBH28" i="3"/>
  <c r="ECM28" i="3" l="1"/>
  <c r="EDQ28" i="3" s="1"/>
  <c r="EEU28" i="3" s="1"/>
  <c r="ECF28" i="3"/>
  <c r="EDK28" i="3"/>
  <c r="EEO28" i="3" s="1"/>
  <c r="EDD28" i="3"/>
  <c r="ECL28" i="3"/>
  <c r="EDP28" i="3" s="1"/>
  <c r="EET28" i="3" s="1"/>
  <c r="EFX28" i="3" s="1"/>
  <c r="EHB28" i="3" s="1"/>
  <c r="ECE28" i="3"/>
  <c r="EDE28" i="3"/>
  <c r="EEI28" i="3" s="1"/>
  <c r="EFM28" i="3" s="1"/>
  <c r="ECX28" i="3"/>
  <c r="ECR28" i="3"/>
  <c r="EDV28" i="3" s="1"/>
  <c r="EEZ28" i="3" s="1"/>
  <c r="EGD28" i="3" s="1"/>
  <c r="EHH28" i="3" s="1"/>
  <c r="ECK28" i="3"/>
  <c r="EEB28" i="3" l="1"/>
  <c r="EFF28" i="3" s="1"/>
  <c r="EGJ28" i="3" s="1"/>
  <c r="EDU28" i="3"/>
  <c r="EEH28" i="3"/>
  <c r="EFL28" i="3" s="1"/>
  <c r="EEA28" i="3"/>
  <c r="EDJ28" i="3"/>
  <c r="EEN28" i="3" s="1"/>
  <c r="EFR28" i="3" s="1"/>
  <c r="EDC28" i="3"/>
  <c r="EDO28" i="3"/>
  <c r="EES28" i="3" s="1"/>
  <c r="EFW28" i="3" s="1"/>
  <c r="EHA28" i="3" s="1"/>
  <c r="EIE28" i="3" s="1"/>
  <c r="EDH28" i="3"/>
  <c r="EDI28" i="3"/>
  <c r="EEM28" i="3" s="1"/>
  <c r="EFQ28" i="3" s="1"/>
  <c r="EGU28" i="3" s="1"/>
  <c r="EHY28" i="3" s="1"/>
  <c r="EDB28" i="3"/>
  <c r="EEL28" i="3" l="1"/>
  <c r="EFP28" i="3" s="1"/>
  <c r="EGT28" i="3" s="1"/>
  <c r="EHX28" i="3" s="1"/>
  <c r="EJB28" i="3" s="1"/>
  <c r="EEE28" i="3"/>
  <c r="EEY28" i="3"/>
  <c r="EGC28" i="3" s="1"/>
  <c r="EHG28" i="3" s="1"/>
  <c r="EER28" i="3"/>
  <c r="EEF28" i="3"/>
  <c r="EFJ28" i="3" s="1"/>
  <c r="EGN28" i="3" s="1"/>
  <c r="EHR28" i="3" s="1"/>
  <c r="EIV28" i="3" s="1"/>
  <c r="EDY28" i="3"/>
  <c r="EEG28" i="3"/>
  <c r="EFK28" i="3" s="1"/>
  <c r="EGO28" i="3" s="1"/>
  <c r="EDZ28" i="3"/>
  <c r="EFE28" i="3"/>
  <c r="EGI28" i="3" s="1"/>
  <c r="EEX28" i="3"/>
  <c r="EFI28" i="3" l="1"/>
  <c r="EGM28" i="3" s="1"/>
  <c r="EHQ28" i="3" s="1"/>
  <c r="EIU28" i="3" s="1"/>
  <c r="EJY28" i="3" s="1"/>
  <c r="EFB28" i="3"/>
  <c r="EGB28" i="3"/>
  <c r="EHF28" i="3" s="1"/>
  <c r="EFU28" i="3"/>
  <c r="EFC28" i="3"/>
  <c r="EGG28" i="3" s="1"/>
  <c r="EHK28" i="3" s="1"/>
  <c r="EIO28" i="3" s="1"/>
  <c r="EJS28" i="3" s="1"/>
  <c r="EEV28" i="3"/>
  <c r="EFV28" i="3"/>
  <c r="EGZ28" i="3" s="1"/>
  <c r="EID28" i="3" s="1"/>
  <c r="EFO28" i="3"/>
  <c r="EFD28" i="3"/>
  <c r="EGH28" i="3" s="1"/>
  <c r="EHL28" i="3" s="1"/>
  <c r="EEW28" i="3"/>
  <c r="EGA28" i="3" l="1"/>
  <c r="EHE28" i="3" s="1"/>
  <c r="EII28" i="3" s="1"/>
  <c r="EFT28" i="3"/>
  <c r="EGS28" i="3"/>
  <c r="EHW28" i="3" s="1"/>
  <c r="EJA28" i="3" s="1"/>
  <c r="EGL28" i="3"/>
  <c r="EFZ28" i="3"/>
  <c r="EHD28" i="3" s="1"/>
  <c r="EIH28" i="3" s="1"/>
  <c r="EJL28" i="3" s="1"/>
  <c r="EKP28" i="3" s="1"/>
  <c r="EFS28" i="3"/>
  <c r="EGF28" i="3"/>
  <c r="EHJ28" i="3" s="1"/>
  <c r="EIN28" i="3" s="1"/>
  <c r="EJR28" i="3" s="1"/>
  <c r="EKV28" i="3" s="1"/>
  <c r="EFY28" i="3"/>
  <c r="EGY28" i="3"/>
  <c r="EIC28" i="3" s="1"/>
  <c r="EGR28" i="3"/>
  <c r="EHV28" i="3" l="1"/>
  <c r="EIZ28" i="3" s="1"/>
  <c r="EHO28" i="3"/>
  <c r="EGW28" i="3"/>
  <c r="EIA28" i="3" s="1"/>
  <c r="EJE28" i="3" s="1"/>
  <c r="EKI28" i="3" s="1"/>
  <c r="ELM28" i="3" s="1"/>
  <c r="EGP28" i="3"/>
  <c r="EGX28" i="3"/>
  <c r="EIB28" i="3" s="1"/>
  <c r="EJF28" i="3" s="1"/>
  <c r="EGQ28" i="3"/>
  <c r="EHC28" i="3"/>
  <c r="EIG28" i="3" s="1"/>
  <c r="EJK28" i="3" s="1"/>
  <c r="EKO28" i="3" s="1"/>
  <c r="ELS28" i="3" s="1"/>
  <c r="EGV28" i="3"/>
  <c r="EHP28" i="3"/>
  <c r="EIT28" i="3" s="1"/>
  <c r="EJX28" i="3" s="1"/>
  <c r="EHI28" i="3"/>
  <c r="EHU28" i="3" l="1"/>
  <c r="EIY28" i="3" s="1"/>
  <c r="EKC28" i="3" s="1"/>
  <c r="EHN28" i="3"/>
  <c r="EHZ28" i="3"/>
  <c r="EJD28" i="3" s="1"/>
  <c r="EKH28" i="3" s="1"/>
  <c r="ELL28" i="3" s="1"/>
  <c r="EMP28" i="3" s="1"/>
  <c r="EHS28" i="3"/>
  <c r="EIS28" i="3"/>
  <c r="EJW28" i="3" s="1"/>
  <c r="EIL28" i="3"/>
  <c r="EIM28" i="3"/>
  <c r="EJQ28" i="3" s="1"/>
  <c r="EKU28" i="3" s="1"/>
  <c r="EIF28" i="3"/>
  <c r="EHT28" i="3"/>
  <c r="EIX28" i="3" s="1"/>
  <c r="EKB28" i="3" s="1"/>
  <c r="ELF28" i="3" s="1"/>
  <c r="EMJ28" i="3" s="1"/>
  <c r="EHM28" i="3"/>
  <c r="EIW28" i="3" l="1"/>
  <c r="EKA28" i="3" s="1"/>
  <c r="ELE28" i="3" s="1"/>
  <c r="EMI28" i="3" s="1"/>
  <c r="ENM28" i="3" s="1"/>
  <c r="EIP28" i="3"/>
  <c r="EJJ28" i="3"/>
  <c r="EKN28" i="3" s="1"/>
  <c r="ELR28" i="3" s="1"/>
  <c r="EJC28" i="3"/>
  <c r="EIR28" i="3"/>
  <c r="EJV28" i="3" s="1"/>
  <c r="EKZ28" i="3" s="1"/>
  <c r="EIK28" i="3"/>
  <c r="EIQ28" i="3"/>
  <c r="EJU28" i="3" s="1"/>
  <c r="EKY28" i="3" s="1"/>
  <c r="EMC28" i="3" s="1"/>
  <c r="ENG28" i="3" s="1"/>
  <c r="EIJ28" i="3"/>
  <c r="EJP28" i="3"/>
  <c r="EKT28" i="3" s="1"/>
  <c r="EJI28" i="3"/>
  <c r="EKM28" i="3" l="1"/>
  <c r="ELQ28" i="3" s="1"/>
  <c r="EKF28" i="3"/>
  <c r="EJN28" i="3"/>
  <c r="EKR28" i="3" s="1"/>
  <c r="ELV28" i="3" s="1"/>
  <c r="EMZ28" i="3" s="1"/>
  <c r="EOD28" i="3" s="1"/>
  <c r="EJG28" i="3"/>
  <c r="EJT28" i="3"/>
  <c r="EKX28" i="3" s="1"/>
  <c r="EMB28" i="3" s="1"/>
  <c r="ENF28" i="3" s="1"/>
  <c r="EOJ28" i="3" s="1"/>
  <c r="EJM28" i="3"/>
  <c r="EJO28" i="3"/>
  <c r="EKS28" i="3" s="1"/>
  <c r="ELW28" i="3" s="1"/>
  <c r="EJH28" i="3"/>
  <c r="EKG28" i="3"/>
  <c r="ELK28" i="3" s="1"/>
  <c r="EMO28" i="3" s="1"/>
  <c r="EJZ28" i="3"/>
  <c r="EKQ28" i="3" l="1"/>
  <c r="ELU28" i="3" s="1"/>
  <c r="EMY28" i="3" s="1"/>
  <c r="EOC28" i="3" s="1"/>
  <c r="EPG28" i="3" s="1"/>
  <c r="EKJ28" i="3"/>
  <c r="EKK28" i="3"/>
  <c r="ELO28" i="3" s="1"/>
  <c r="EMS28" i="3" s="1"/>
  <c r="ENW28" i="3" s="1"/>
  <c r="EPA28" i="3" s="1"/>
  <c r="EKD28" i="3"/>
  <c r="EKL28" i="3"/>
  <c r="ELP28" i="3" s="1"/>
  <c r="EMT28" i="3" s="1"/>
  <c r="EKE28" i="3"/>
  <c r="ELJ28" i="3"/>
  <c r="EMN28" i="3" s="1"/>
  <c r="ELC28" i="3"/>
  <c r="ELD28" i="3"/>
  <c r="EMH28" i="3" s="1"/>
  <c r="ENL28" i="3" s="1"/>
  <c r="EKW28" i="3"/>
  <c r="ELI28" i="3" l="1"/>
  <c r="EMM28" i="3" s="1"/>
  <c r="ENQ28" i="3" s="1"/>
  <c r="ELB28" i="3"/>
  <c r="EMG28" i="3"/>
  <c r="ENK28" i="3" s="1"/>
  <c r="ELZ28" i="3"/>
  <c r="ELH28" i="3"/>
  <c r="EML28" i="3" s="1"/>
  <c r="ENP28" i="3" s="1"/>
  <c r="EOT28" i="3" s="1"/>
  <c r="EPX28" i="3" s="1"/>
  <c r="ELA28" i="3"/>
  <c r="ELN28" i="3"/>
  <c r="EMR28" i="3" s="1"/>
  <c r="ENV28" i="3" s="1"/>
  <c r="EOZ28" i="3" s="1"/>
  <c r="EQD28" i="3" s="1"/>
  <c r="ELG28" i="3"/>
  <c r="EMA28" i="3"/>
  <c r="ENE28" i="3" s="1"/>
  <c r="EOI28" i="3" s="1"/>
  <c r="ELT28" i="3"/>
  <c r="EMK28" i="3" l="1"/>
  <c r="ENO28" i="3" s="1"/>
  <c r="EOS28" i="3" s="1"/>
  <c r="EPW28" i="3" s="1"/>
  <c r="ERA28" i="3" s="1"/>
  <c r="EMD28" i="3"/>
  <c r="EMX28" i="3"/>
  <c r="EOB28" i="3" s="1"/>
  <c r="EPF28" i="3" s="1"/>
  <c r="EMQ28" i="3"/>
  <c r="EME28" i="3"/>
  <c r="ENI28" i="3" s="1"/>
  <c r="EOM28" i="3" s="1"/>
  <c r="EPQ28" i="3" s="1"/>
  <c r="EQU28" i="3" s="1"/>
  <c r="ELX28" i="3"/>
  <c r="END28" i="3"/>
  <c r="EOH28" i="3" s="1"/>
  <c r="EMW28" i="3"/>
  <c r="EMF28" i="3"/>
  <c r="ENJ28" i="3" s="1"/>
  <c r="EON28" i="3" s="1"/>
  <c r="ELY28" i="3"/>
  <c r="EOA28" i="3" l="1"/>
  <c r="EPE28" i="3" s="1"/>
  <c r="ENT28" i="3"/>
  <c r="ENU28" i="3"/>
  <c r="EOY28" i="3" s="1"/>
  <c r="EQC28" i="3" s="1"/>
  <c r="ENN28" i="3"/>
  <c r="ENH28" i="3"/>
  <c r="EOL28" i="3" s="1"/>
  <c r="EPP28" i="3" s="1"/>
  <c r="EQT28" i="3" s="1"/>
  <c r="ERX28" i="3" s="1"/>
  <c r="ENA28" i="3"/>
  <c r="ENC28" i="3"/>
  <c r="EOG28" i="3" s="1"/>
  <c r="EPK28" i="3" s="1"/>
  <c r="EMV28" i="3"/>
  <c r="ENB28" i="3"/>
  <c r="EOF28" i="3" s="1"/>
  <c r="EPJ28" i="3" s="1"/>
  <c r="EQN28" i="3" s="1"/>
  <c r="ERR28" i="3" s="1"/>
  <c r="EMU28" i="3"/>
  <c r="EOE28" i="3" l="1"/>
  <c r="EPI28" i="3" s="1"/>
  <c r="EQM28" i="3" s="1"/>
  <c r="ERQ28" i="3" s="1"/>
  <c r="ESU28" i="3" s="1"/>
  <c r="ENX28" i="3"/>
  <c r="EOX28" i="3"/>
  <c r="EQB28" i="3" s="1"/>
  <c r="EOQ28" i="3"/>
  <c r="EOR28" i="3"/>
  <c r="EPV28" i="3" s="1"/>
  <c r="EQZ28" i="3" s="1"/>
  <c r="EOK28" i="3"/>
  <c r="ENY28" i="3"/>
  <c r="EPC28" i="3" s="1"/>
  <c r="EQG28" i="3" s="1"/>
  <c r="ERK28" i="3" s="1"/>
  <c r="ESO28" i="3" s="1"/>
  <c r="ENR28" i="3"/>
  <c r="ENZ28" i="3"/>
  <c r="EPD28" i="3" s="1"/>
  <c r="EQH28" i="3" s="1"/>
  <c r="ENS28" i="3"/>
  <c r="EOV28" i="3" l="1"/>
  <c r="EPZ28" i="3" s="1"/>
  <c r="ERD28" i="3" s="1"/>
  <c r="ESH28" i="3" s="1"/>
  <c r="ETL28" i="3" s="1"/>
  <c r="EOO28" i="3"/>
  <c r="EPU28" i="3"/>
  <c r="EQY28" i="3" s="1"/>
  <c r="EPN28" i="3"/>
  <c r="EOW28" i="3"/>
  <c r="EQA28" i="3" s="1"/>
  <c r="ERE28" i="3" s="1"/>
  <c r="EOP28" i="3"/>
  <c r="EPB28" i="3"/>
  <c r="EQF28" i="3" s="1"/>
  <c r="ERJ28" i="3" s="1"/>
  <c r="ESN28" i="3" s="1"/>
  <c r="ETR28" i="3" s="1"/>
  <c r="EOU28" i="3"/>
  <c r="EPO28" i="3"/>
  <c r="EQS28" i="3" s="1"/>
  <c r="ERW28" i="3" s="1"/>
  <c r="EPH28" i="3"/>
  <c r="EQL28" i="3" l="1"/>
  <c r="ERP28" i="3" s="1"/>
  <c r="EST28" i="3" s="1"/>
  <c r="EQE28" i="3"/>
  <c r="EPT28" i="3"/>
  <c r="EQX28" i="3" s="1"/>
  <c r="ESB28" i="3" s="1"/>
  <c r="EPM28" i="3"/>
  <c r="EPY28" i="3"/>
  <c r="ERC28" i="3" s="1"/>
  <c r="ESG28" i="3" s="1"/>
  <c r="ETK28" i="3" s="1"/>
  <c r="EUO28" i="3" s="1"/>
  <c r="EPR28" i="3"/>
  <c r="EQR28" i="3"/>
  <c r="ERV28" i="3" s="1"/>
  <c r="EQK28" i="3"/>
  <c r="EPS28" i="3"/>
  <c r="EQW28" i="3" s="1"/>
  <c r="ESA28" i="3" s="1"/>
  <c r="ETE28" i="3" s="1"/>
  <c r="EUI28" i="3" s="1"/>
  <c r="EPL28" i="3"/>
  <c r="EQV28" i="3" l="1"/>
  <c r="ERZ28" i="3" s="1"/>
  <c r="ETD28" i="3" s="1"/>
  <c r="EUH28" i="3" s="1"/>
  <c r="EVL28" i="3" s="1"/>
  <c r="EQO28" i="3"/>
  <c r="ERI28" i="3"/>
  <c r="ESM28" i="3" s="1"/>
  <c r="ETQ28" i="3" s="1"/>
  <c r="ERB28" i="3"/>
  <c r="EQP28" i="3"/>
  <c r="ERT28" i="3" s="1"/>
  <c r="ESX28" i="3" s="1"/>
  <c r="EUB28" i="3" s="1"/>
  <c r="EVF28" i="3" s="1"/>
  <c r="EQI28" i="3"/>
  <c r="ERO28" i="3"/>
  <c r="ESS28" i="3" s="1"/>
  <c r="ERH28" i="3"/>
  <c r="EQQ28" i="3"/>
  <c r="ERU28" i="3" s="1"/>
  <c r="ESY28" i="3" s="1"/>
  <c r="EQJ28" i="3"/>
  <c r="ERN28" i="3" l="1"/>
  <c r="ESR28" i="3" s="1"/>
  <c r="ETV28" i="3" s="1"/>
  <c r="ERG28" i="3"/>
  <c r="ERM28" i="3"/>
  <c r="ESQ28" i="3" s="1"/>
  <c r="ETU28" i="3" s="1"/>
  <c r="EUY28" i="3" s="1"/>
  <c r="EWC28" i="3" s="1"/>
  <c r="ERF28" i="3"/>
  <c r="ESF28" i="3"/>
  <c r="ETJ28" i="3" s="1"/>
  <c r="EUN28" i="3" s="1"/>
  <c r="ERY28" i="3"/>
  <c r="ESL28" i="3"/>
  <c r="ETP28" i="3" s="1"/>
  <c r="ESE28" i="3"/>
  <c r="ERS28" i="3"/>
  <c r="ESW28" i="3" s="1"/>
  <c r="EUA28" i="3" s="1"/>
  <c r="EVE28" i="3" s="1"/>
  <c r="EWI28" i="3" s="1"/>
  <c r="ERL28" i="3"/>
  <c r="ETC28" i="3" l="1"/>
  <c r="EUG28" i="3" s="1"/>
  <c r="EVK28" i="3" s="1"/>
  <c r="ESV28" i="3"/>
  <c r="ESK28" i="3"/>
  <c r="ETO28" i="3" s="1"/>
  <c r="EUS28" i="3" s="1"/>
  <c r="ESD28" i="3"/>
  <c r="ESP28" i="3"/>
  <c r="ETT28" i="3" s="1"/>
  <c r="EUX28" i="3" s="1"/>
  <c r="EWB28" i="3" s="1"/>
  <c r="EXF28" i="3" s="1"/>
  <c r="ESI28" i="3"/>
  <c r="ESJ28" i="3"/>
  <c r="ETN28" i="3" s="1"/>
  <c r="EUR28" i="3" s="1"/>
  <c r="EVV28" i="3" s="1"/>
  <c r="EWZ28" i="3" s="1"/>
  <c r="ESC28" i="3"/>
  <c r="ETI28" i="3"/>
  <c r="EUM28" i="3" s="1"/>
  <c r="ETB28" i="3"/>
  <c r="ETM28" i="3" l="1"/>
  <c r="EUQ28" i="3" s="1"/>
  <c r="EVU28" i="3" s="1"/>
  <c r="EWY28" i="3" s="1"/>
  <c r="EYC28" i="3" s="1"/>
  <c r="ETF28" i="3"/>
  <c r="ETZ28" i="3"/>
  <c r="EVD28" i="3" s="1"/>
  <c r="EWH28" i="3" s="1"/>
  <c r="ETS28" i="3"/>
  <c r="ETG28" i="3"/>
  <c r="EUK28" i="3" s="1"/>
  <c r="EVO28" i="3" s="1"/>
  <c r="EWS28" i="3" s="1"/>
  <c r="EXW28" i="3" s="1"/>
  <c r="ESZ28" i="3"/>
  <c r="EUF28" i="3"/>
  <c r="EVJ28" i="3" s="1"/>
  <c r="ETY28" i="3"/>
  <c r="ETH28" i="3"/>
  <c r="EUL28" i="3" s="1"/>
  <c r="EVP28" i="3" s="1"/>
  <c r="ETA28" i="3"/>
  <c r="EUJ28" i="3" l="1"/>
  <c r="EVN28" i="3" s="1"/>
  <c r="EWR28" i="3" s="1"/>
  <c r="EXV28" i="3" s="1"/>
  <c r="EYZ28" i="3" s="1"/>
  <c r="EUC28" i="3"/>
  <c r="EUE28" i="3"/>
  <c r="EVI28" i="3" s="1"/>
  <c r="EWM28" i="3" s="1"/>
  <c r="ETX28" i="3"/>
  <c r="EVC28" i="3"/>
  <c r="EWG28" i="3" s="1"/>
  <c r="EUV28" i="3"/>
  <c r="EUD28" i="3"/>
  <c r="EVH28" i="3" s="1"/>
  <c r="EWL28" i="3" s="1"/>
  <c r="EXP28" i="3" s="1"/>
  <c r="EYT28" i="3" s="1"/>
  <c r="ETW28" i="3"/>
  <c r="EUW28" i="3"/>
  <c r="EWA28" i="3" s="1"/>
  <c r="EXE28" i="3" s="1"/>
  <c r="EUP28" i="3"/>
  <c r="EVZ28" i="3" l="1"/>
  <c r="EXD28" i="3" s="1"/>
  <c r="EVS28" i="3"/>
  <c r="EVB28" i="3"/>
  <c r="EWF28" i="3" s="1"/>
  <c r="EXJ28" i="3" s="1"/>
  <c r="EUU28" i="3"/>
  <c r="EVA28" i="3"/>
  <c r="EWE28" i="3" s="1"/>
  <c r="EXI28" i="3" s="1"/>
  <c r="EYM28" i="3" s="1"/>
  <c r="EZQ28" i="3" s="1"/>
  <c r="EUT28" i="3"/>
  <c r="EVG28" i="3"/>
  <c r="EWK28" i="3" s="1"/>
  <c r="EXO28" i="3" s="1"/>
  <c r="EYS28" i="3" s="1"/>
  <c r="EZW28" i="3" s="1"/>
  <c r="EUZ28" i="3"/>
  <c r="EVT28" i="3"/>
  <c r="EWX28" i="3" s="1"/>
  <c r="EYB28" i="3" s="1"/>
  <c r="EVM28" i="3"/>
  <c r="EVX28" i="3" l="1"/>
  <c r="EXB28" i="3" s="1"/>
  <c r="EYF28" i="3" s="1"/>
  <c r="EZJ28" i="3" s="1"/>
  <c r="FAN28" i="3" s="1"/>
  <c r="EVQ28" i="3"/>
  <c r="EWW28" i="3"/>
  <c r="EYA28" i="3" s="1"/>
  <c r="EWP28" i="3"/>
  <c r="EWD28" i="3"/>
  <c r="EXH28" i="3" s="1"/>
  <c r="EYL28" i="3" s="1"/>
  <c r="EZP28" i="3" s="1"/>
  <c r="FAT28" i="3" s="1"/>
  <c r="EVW28" i="3"/>
  <c r="EWQ28" i="3"/>
  <c r="EXU28" i="3" s="1"/>
  <c r="EYY28" i="3" s="1"/>
  <c r="EWJ28" i="3"/>
  <c r="EVY28" i="3"/>
  <c r="EXC28" i="3" s="1"/>
  <c r="EYG28" i="3" s="1"/>
  <c r="EVR28" i="3"/>
  <c r="EXN28" i="3" l="1"/>
  <c r="EYR28" i="3" s="1"/>
  <c r="EZV28" i="3" s="1"/>
  <c r="EXG28" i="3"/>
  <c r="EWV28" i="3"/>
  <c r="EXZ28" i="3" s="1"/>
  <c r="EZD28" i="3" s="1"/>
  <c r="EWO28" i="3"/>
  <c r="EWU28" i="3"/>
  <c r="EXY28" i="3" s="1"/>
  <c r="EZC28" i="3" s="1"/>
  <c r="FAG28" i="3" s="1"/>
  <c r="FBK28" i="3" s="1"/>
  <c r="EWN28" i="3"/>
  <c r="EXA28" i="3"/>
  <c r="EYE28" i="3" s="1"/>
  <c r="EZI28" i="3" s="1"/>
  <c r="FAM28" i="3" s="1"/>
  <c r="FBQ28" i="3" s="1"/>
  <c r="EWT28" i="3"/>
  <c r="EXT28" i="3"/>
  <c r="EYX28" i="3" s="1"/>
  <c r="EXM28" i="3"/>
  <c r="EXS28" i="3" l="1"/>
  <c r="EYW28" i="3" s="1"/>
  <c r="FAA28" i="3" s="1"/>
  <c r="EXL28" i="3"/>
  <c r="EYK28" i="3"/>
  <c r="EZO28" i="3" s="1"/>
  <c r="FAS28" i="3" s="1"/>
  <c r="EYD28" i="3"/>
  <c r="EXR28" i="3"/>
  <c r="EYV28" i="3" s="1"/>
  <c r="EZZ28" i="3" s="1"/>
  <c r="FBD28" i="3" s="1"/>
  <c r="FCH28" i="3" s="1"/>
  <c r="EXK28" i="3"/>
  <c r="EXX28" i="3"/>
  <c r="EZB28" i="3" s="1"/>
  <c r="FAF28" i="3" s="1"/>
  <c r="FBJ28" i="3" s="1"/>
  <c r="FCN28" i="3" s="1"/>
  <c r="EXQ28" i="3"/>
  <c r="EYQ28" i="3"/>
  <c r="EZU28" i="3" s="1"/>
  <c r="EYJ28" i="3"/>
  <c r="EYU28" i="3" l="1"/>
  <c r="EZY28" i="3" s="1"/>
  <c r="FBC28" i="3" s="1"/>
  <c r="FCG28" i="3" s="1"/>
  <c r="FDK28" i="3" s="1"/>
  <c r="EYN28" i="3"/>
  <c r="EYP28" i="3"/>
  <c r="EZT28" i="3" s="1"/>
  <c r="FAX28" i="3" s="1"/>
  <c r="EYI28" i="3"/>
  <c r="EZH28" i="3"/>
  <c r="FAL28" i="3" s="1"/>
  <c r="FBP28" i="3" s="1"/>
  <c r="EZA28" i="3"/>
  <c r="EZN28" i="3"/>
  <c r="FAR28" i="3" s="1"/>
  <c r="EZG28" i="3"/>
  <c r="EYO28" i="3"/>
  <c r="EZS28" i="3" s="1"/>
  <c r="FAW28" i="3" s="1"/>
  <c r="FCA28" i="3" s="1"/>
  <c r="FDE28" i="3" s="1"/>
  <c r="EYH28" i="3"/>
  <c r="EZL28" i="3" l="1"/>
  <c r="FAP28" i="3" s="1"/>
  <c r="FBT28" i="3" s="1"/>
  <c r="FCX28" i="3" s="1"/>
  <c r="FEB28" i="3" s="1"/>
  <c r="EZE28" i="3"/>
  <c r="FAE28" i="3"/>
  <c r="FBI28" i="3" s="1"/>
  <c r="FCM28" i="3" s="1"/>
  <c r="EZX28" i="3"/>
  <c r="FAK28" i="3"/>
  <c r="FBO28" i="3" s="1"/>
  <c r="FAD28" i="3"/>
  <c r="EZM28" i="3"/>
  <c r="FAQ28" i="3" s="1"/>
  <c r="FBU28" i="3" s="1"/>
  <c r="EZF28" i="3"/>
  <c r="EZR28" i="3"/>
  <c r="FAV28" i="3" s="1"/>
  <c r="FBZ28" i="3" s="1"/>
  <c r="FDD28" i="3" s="1"/>
  <c r="FEH28" i="3" s="1"/>
  <c r="EZK28" i="3"/>
  <c r="FAJ28" i="3" l="1"/>
  <c r="FBN28" i="3" s="1"/>
  <c r="FCR28" i="3" s="1"/>
  <c r="FAC28" i="3"/>
  <c r="FBB28" i="3"/>
  <c r="FCF28" i="3" s="1"/>
  <c r="FDJ28" i="3" s="1"/>
  <c r="FAU28" i="3"/>
  <c r="FAO28" i="3"/>
  <c r="FBS28" i="3" s="1"/>
  <c r="FCW28" i="3" s="1"/>
  <c r="FEA28" i="3" s="1"/>
  <c r="FFE28" i="3" s="1"/>
  <c r="FAH28" i="3"/>
  <c r="FBH28" i="3"/>
  <c r="FCL28" i="3" s="1"/>
  <c r="FBA28" i="3"/>
  <c r="FAI28" i="3"/>
  <c r="FBM28" i="3" s="1"/>
  <c r="FCQ28" i="3" s="1"/>
  <c r="FDU28" i="3" s="1"/>
  <c r="FEY28" i="3" s="1"/>
  <c r="FAB28" i="3"/>
  <c r="FBF28" i="3" l="1"/>
  <c r="FCJ28" i="3" s="1"/>
  <c r="FDN28" i="3" s="1"/>
  <c r="FER28" i="3" s="1"/>
  <c r="FFV28" i="3" s="1"/>
  <c r="FAY28" i="3"/>
  <c r="FBG28" i="3"/>
  <c r="FCK28" i="3" s="1"/>
  <c r="FDO28" i="3" s="1"/>
  <c r="FAZ28" i="3"/>
  <c r="FBY28" i="3"/>
  <c r="FDC28" i="3" s="1"/>
  <c r="FEG28" i="3" s="1"/>
  <c r="FBR28" i="3"/>
  <c r="FBL28" i="3"/>
  <c r="FCP28" i="3" s="1"/>
  <c r="FDT28" i="3" s="1"/>
  <c r="FEX28" i="3" s="1"/>
  <c r="FGB28" i="3" s="1"/>
  <c r="FBE28" i="3"/>
  <c r="FCE28" i="3"/>
  <c r="FDI28" i="3" s="1"/>
  <c r="FBX28" i="3"/>
  <c r="FCV28" i="3" l="1"/>
  <c r="FDZ28" i="3" s="1"/>
  <c r="FFD28" i="3" s="1"/>
  <c r="FCO28" i="3"/>
  <c r="FCI28" i="3"/>
  <c r="FDM28" i="3" s="1"/>
  <c r="FEQ28" i="3" s="1"/>
  <c r="FFU28" i="3" s="1"/>
  <c r="FGY28" i="3" s="1"/>
  <c r="FCB28" i="3"/>
  <c r="FCD28" i="3"/>
  <c r="FDH28" i="3" s="1"/>
  <c r="FEL28" i="3" s="1"/>
  <c r="FBW28" i="3"/>
  <c r="FCC28" i="3"/>
  <c r="FDG28" i="3" s="1"/>
  <c r="FEK28" i="3" s="1"/>
  <c r="FFO28" i="3" s="1"/>
  <c r="FGS28" i="3" s="1"/>
  <c r="FBV28" i="3"/>
  <c r="FDB28" i="3"/>
  <c r="FEF28" i="3" s="1"/>
  <c r="FCU28" i="3"/>
  <c r="FDF28" i="3" l="1"/>
  <c r="FEJ28" i="3" s="1"/>
  <c r="FFN28" i="3" s="1"/>
  <c r="FGR28" i="3" s="1"/>
  <c r="FHV28" i="3" s="1"/>
  <c r="FCY28" i="3"/>
  <c r="FDS28" i="3"/>
  <c r="FEW28" i="3" s="1"/>
  <c r="FGA28" i="3" s="1"/>
  <c r="FDL28" i="3"/>
  <c r="FCZ28" i="3"/>
  <c r="FED28" i="3" s="1"/>
  <c r="FFH28" i="3" s="1"/>
  <c r="FGL28" i="3" s="1"/>
  <c r="FHP28" i="3" s="1"/>
  <c r="FCS28" i="3"/>
  <c r="FDY28" i="3"/>
  <c r="FFC28" i="3" s="1"/>
  <c r="FDR28" i="3"/>
  <c r="FDA28" i="3"/>
  <c r="FEE28" i="3" s="1"/>
  <c r="FFI28" i="3" s="1"/>
  <c r="FCT28" i="3"/>
  <c r="FEV28" i="3" l="1"/>
  <c r="FFZ28" i="3" s="1"/>
  <c r="FEO28" i="3"/>
  <c r="FEC28" i="3"/>
  <c r="FFG28" i="3" s="1"/>
  <c r="FGK28" i="3" s="1"/>
  <c r="FHO28" i="3" s="1"/>
  <c r="FIS28" i="3" s="1"/>
  <c r="FDV28" i="3"/>
  <c r="FDX28" i="3"/>
  <c r="FFB28" i="3" s="1"/>
  <c r="FGF28" i="3" s="1"/>
  <c r="FDQ28" i="3"/>
  <c r="FDW28" i="3"/>
  <c r="FFA28" i="3" s="1"/>
  <c r="FGE28" i="3" s="1"/>
  <c r="FHI28" i="3" s="1"/>
  <c r="FIM28" i="3" s="1"/>
  <c r="FDP28" i="3"/>
  <c r="FEP28" i="3"/>
  <c r="FFT28" i="3" s="1"/>
  <c r="FGX28" i="3" s="1"/>
  <c r="FEI28" i="3"/>
  <c r="FFS28" i="3" l="1"/>
  <c r="FGW28" i="3" s="1"/>
  <c r="FFL28" i="3"/>
  <c r="FFM28" i="3"/>
  <c r="FGQ28" i="3" s="1"/>
  <c r="FHU28" i="3" s="1"/>
  <c r="FFF28" i="3"/>
  <c r="FEU28" i="3"/>
  <c r="FFY28" i="3" s="1"/>
  <c r="FHC28" i="3" s="1"/>
  <c r="FEN28" i="3"/>
  <c r="FEZ28" i="3"/>
  <c r="FGD28" i="3" s="1"/>
  <c r="FHH28" i="3" s="1"/>
  <c r="FIL28" i="3" s="1"/>
  <c r="FJP28" i="3" s="1"/>
  <c r="FES28" i="3"/>
  <c r="FET28" i="3"/>
  <c r="FFX28" i="3" s="1"/>
  <c r="FHB28" i="3" s="1"/>
  <c r="FIF28" i="3" s="1"/>
  <c r="FJJ28" i="3" s="1"/>
  <c r="FEM28" i="3"/>
  <c r="FFW28" i="3" l="1"/>
  <c r="FHA28" i="3" s="1"/>
  <c r="FIE28" i="3" s="1"/>
  <c r="FJI28" i="3" s="1"/>
  <c r="FKM28" i="3" s="1"/>
  <c r="FFP28" i="3"/>
  <c r="FFR28" i="3"/>
  <c r="FGV28" i="3" s="1"/>
  <c r="FHZ28" i="3" s="1"/>
  <c r="FFK28" i="3"/>
  <c r="FGP28" i="3"/>
  <c r="FHT28" i="3" s="1"/>
  <c r="FGI28" i="3"/>
  <c r="FFQ28" i="3"/>
  <c r="FGU28" i="3" s="1"/>
  <c r="FHY28" i="3" s="1"/>
  <c r="FJC28" i="3" s="1"/>
  <c r="FKG28" i="3" s="1"/>
  <c r="FFJ28" i="3"/>
  <c r="FGJ28" i="3"/>
  <c r="FHN28" i="3" s="1"/>
  <c r="FIR28" i="3" s="1"/>
  <c r="FGC28" i="3"/>
  <c r="FHM28" i="3" l="1"/>
  <c r="FIQ28" i="3" s="1"/>
  <c r="FHF28" i="3"/>
  <c r="FHG28" i="3"/>
  <c r="FIK28" i="3" s="1"/>
  <c r="FJO28" i="3" s="1"/>
  <c r="FGZ28" i="3"/>
  <c r="FGN28" i="3"/>
  <c r="FHR28" i="3" s="1"/>
  <c r="FIV28" i="3" s="1"/>
  <c r="FJZ28" i="3" s="1"/>
  <c r="FLD28" i="3" s="1"/>
  <c r="FGG28" i="3"/>
  <c r="FGO28" i="3"/>
  <c r="FHS28" i="3" s="1"/>
  <c r="FIW28" i="3" s="1"/>
  <c r="FGH28" i="3"/>
  <c r="FGT28" i="3"/>
  <c r="FHX28" i="3" s="1"/>
  <c r="FJB28" i="3" s="1"/>
  <c r="FKF28" i="3" s="1"/>
  <c r="FLJ28" i="3" s="1"/>
  <c r="FGM28" i="3"/>
  <c r="FHL28" i="3" l="1"/>
  <c r="FIP28" i="3" s="1"/>
  <c r="FJT28" i="3" s="1"/>
  <c r="FHE28" i="3"/>
  <c r="FIJ28" i="3"/>
  <c r="FJN28" i="3" s="1"/>
  <c r="FIC28" i="3"/>
  <c r="FHQ28" i="3"/>
  <c r="FIU28" i="3" s="1"/>
  <c r="FJY28" i="3" s="1"/>
  <c r="FLC28" i="3" s="1"/>
  <c r="FMG28" i="3" s="1"/>
  <c r="FHJ28" i="3"/>
  <c r="FHK28" i="3"/>
  <c r="FIO28" i="3" s="1"/>
  <c r="FJS28" i="3" s="1"/>
  <c r="FKW28" i="3" s="1"/>
  <c r="FMA28" i="3" s="1"/>
  <c r="FHD28" i="3"/>
  <c r="FID28" i="3"/>
  <c r="FJH28" i="3" s="1"/>
  <c r="FKL28" i="3" s="1"/>
  <c r="FHW28" i="3"/>
  <c r="FII28" i="3" l="1"/>
  <c r="FJM28" i="3" s="1"/>
  <c r="FKQ28" i="3" s="1"/>
  <c r="FIB28" i="3"/>
  <c r="FJA28" i="3"/>
  <c r="FKE28" i="3" s="1"/>
  <c r="FLI28" i="3" s="1"/>
  <c r="FIT28" i="3"/>
  <c r="FIN28" i="3"/>
  <c r="FJR28" i="3" s="1"/>
  <c r="FKV28" i="3" s="1"/>
  <c r="FLZ28" i="3" s="1"/>
  <c r="FND28" i="3" s="1"/>
  <c r="FIG28" i="3"/>
  <c r="FJG28" i="3"/>
  <c r="FKK28" i="3" s="1"/>
  <c r="FIZ28" i="3"/>
  <c r="FIH28" i="3"/>
  <c r="FJL28" i="3" s="1"/>
  <c r="FKP28" i="3" s="1"/>
  <c r="FLT28" i="3" s="1"/>
  <c r="FMX28" i="3" s="1"/>
  <c r="FIA28" i="3"/>
  <c r="FKD28" i="3" l="1"/>
  <c r="FLH28" i="3" s="1"/>
  <c r="FJW28" i="3"/>
  <c r="FJK28" i="3"/>
  <c r="FKO28" i="3" s="1"/>
  <c r="FLS28" i="3" s="1"/>
  <c r="FMW28" i="3" s="1"/>
  <c r="FOA28" i="3" s="1"/>
  <c r="FJD28" i="3"/>
  <c r="FJF28" i="3"/>
  <c r="FKJ28" i="3" s="1"/>
  <c r="FLN28" i="3" s="1"/>
  <c r="FIY28" i="3"/>
  <c r="FJE28" i="3"/>
  <c r="FKI28" i="3" s="1"/>
  <c r="FLM28" i="3" s="1"/>
  <c r="FMQ28" i="3" s="1"/>
  <c r="FNU28" i="3" s="1"/>
  <c r="FIX28" i="3"/>
  <c r="FJX28" i="3"/>
  <c r="FLB28" i="3" s="1"/>
  <c r="FMF28" i="3" s="1"/>
  <c r="FJQ28" i="3"/>
  <c r="FKB28" i="3" l="1"/>
  <c r="FLF28" i="3" s="1"/>
  <c r="FMJ28" i="3" s="1"/>
  <c r="FNN28" i="3" s="1"/>
  <c r="FOR28" i="3" s="1"/>
  <c r="FJU28" i="3"/>
  <c r="FKU28" i="3"/>
  <c r="FLY28" i="3" s="1"/>
  <c r="FNC28" i="3" s="1"/>
  <c r="FKN28" i="3"/>
  <c r="FKC28" i="3"/>
  <c r="FLG28" i="3" s="1"/>
  <c r="FMK28" i="3" s="1"/>
  <c r="FJV28" i="3"/>
  <c r="FLA28" i="3"/>
  <c r="FME28" i="3" s="1"/>
  <c r="FKT28" i="3"/>
  <c r="FKH28" i="3"/>
  <c r="FLL28" i="3" s="1"/>
  <c r="FMP28" i="3" s="1"/>
  <c r="FNT28" i="3" s="1"/>
  <c r="FOX28" i="3" s="1"/>
  <c r="FKA28" i="3"/>
  <c r="FLE28" i="3" l="1"/>
  <c r="FMI28" i="3" s="1"/>
  <c r="FNM28" i="3" s="1"/>
  <c r="FOQ28" i="3" s="1"/>
  <c r="FPU28" i="3" s="1"/>
  <c r="FKX28" i="3"/>
  <c r="FLX28" i="3"/>
  <c r="FNB28" i="3" s="1"/>
  <c r="FLQ28" i="3"/>
  <c r="FLR28" i="3"/>
  <c r="FMV28" i="3" s="1"/>
  <c r="FNZ28" i="3" s="1"/>
  <c r="FLK28" i="3"/>
  <c r="FKY28" i="3"/>
  <c r="FMC28" i="3" s="1"/>
  <c r="FNG28" i="3" s="1"/>
  <c r="FOK28" i="3" s="1"/>
  <c r="FPO28" i="3" s="1"/>
  <c r="FKR28" i="3"/>
  <c r="FKZ28" i="3"/>
  <c r="FMD28" i="3" s="1"/>
  <c r="FNH28" i="3" s="1"/>
  <c r="FKS28" i="3"/>
  <c r="FLV28" i="3" l="1"/>
  <c r="FMZ28" i="3" s="1"/>
  <c r="FOD28" i="3" s="1"/>
  <c r="FPH28" i="3" s="1"/>
  <c r="FQL28" i="3" s="1"/>
  <c r="FLO28" i="3"/>
  <c r="FLW28" i="3"/>
  <c r="FNA28" i="3" s="1"/>
  <c r="FOE28" i="3" s="1"/>
  <c r="FLP28" i="3"/>
  <c r="FMO28" i="3"/>
  <c r="FNS28" i="3" s="1"/>
  <c r="FOW28" i="3" s="1"/>
  <c r="FMH28" i="3"/>
  <c r="FMU28" i="3"/>
  <c r="FNY28" i="3" s="1"/>
  <c r="FMN28" i="3"/>
  <c r="FMB28" i="3"/>
  <c r="FNF28" i="3" s="1"/>
  <c r="FOJ28" i="3" s="1"/>
  <c r="FPN28" i="3" s="1"/>
  <c r="FQR28" i="3" s="1"/>
  <c r="FLU28" i="3"/>
  <c r="FMY28" i="3" l="1"/>
  <c r="FOC28" i="3" s="1"/>
  <c r="FPG28" i="3" s="1"/>
  <c r="FQK28" i="3" s="1"/>
  <c r="FRO28" i="3" s="1"/>
  <c r="FMR28" i="3"/>
  <c r="FNL28" i="3"/>
  <c r="FOP28" i="3" s="1"/>
  <c r="FPT28" i="3" s="1"/>
  <c r="FNE28" i="3"/>
  <c r="FMS28" i="3"/>
  <c r="FNW28" i="3" s="1"/>
  <c r="FPA28" i="3" s="1"/>
  <c r="FQE28" i="3" s="1"/>
  <c r="FRI28" i="3" s="1"/>
  <c r="FML28" i="3"/>
  <c r="FNR28" i="3"/>
  <c r="FOV28" i="3" s="1"/>
  <c r="FNK28" i="3"/>
  <c r="FMT28" i="3"/>
  <c r="FNX28" i="3" s="1"/>
  <c r="FPB28" i="3" s="1"/>
  <c r="FMM28" i="3"/>
  <c r="FNQ28" i="3" l="1"/>
  <c r="FOU28" i="3" s="1"/>
  <c r="FPY28" i="3" s="1"/>
  <c r="FNJ28" i="3"/>
  <c r="FNP28" i="3"/>
  <c r="FOT28" i="3" s="1"/>
  <c r="FPX28" i="3" s="1"/>
  <c r="FRB28" i="3" s="1"/>
  <c r="FSF28" i="3" s="1"/>
  <c r="FNI28" i="3"/>
  <c r="FNV28" i="3"/>
  <c r="FOZ28" i="3" s="1"/>
  <c r="FQD28" i="3" s="1"/>
  <c r="FRH28" i="3" s="1"/>
  <c r="FSL28" i="3" s="1"/>
  <c r="FNO28" i="3"/>
  <c r="FOO28" i="3"/>
  <c r="FPS28" i="3" s="1"/>
  <c r="FOH28" i="3"/>
  <c r="FOI28" i="3"/>
  <c r="FPM28" i="3" s="1"/>
  <c r="FQQ28" i="3" s="1"/>
  <c r="FOB28" i="3"/>
  <c r="FOS28" i="3" l="1"/>
  <c r="FPW28" i="3" s="1"/>
  <c r="FRA28" i="3" s="1"/>
  <c r="FSE28" i="3" s="1"/>
  <c r="FTI28" i="3" s="1"/>
  <c r="FOL28" i="3"/>
  <c r="FPF28" i="3"/>
  <c r="FQJ28" i="3" s="1"/>
  <c r="FRN28" i="3" s="1"/>
  <c r="FOY28" i="3"/>
  <c r="FPL28" i="3"/>
  <c r="FQP28" i="3" s="1"/>
  <c r="FPE28" i="3"/>
  <c r="FOM28" i="3"/>
  <c r="FPQ28" i="3" s="1"/>
  <c r="FQU28" i="3" s="1"/>
  <c r="FRY28" i="3" s="1"/>
  <c r="FTC28" i="3" s="1"/>
  <c r="FOF28" i="3"/>
  <c r="FON28" i="3"/>
  <c r="FPR28" i="3" s="1"/>
  <c r="FQV28" i="3" s="1"/>
  <c r="FOG28" i="3"/>
  <c r="FPJ28" i="3" l="1"/>
  <c r="FQN28" i="3" s="1"/>
  <c r="FRR28" i="3" s="1"/>
  <c r="FSV28" i="3" s="1"/>
  <c r="FTZ28" i="3" s="1"/>
  <c r="FPC28" i="3"/>
  <c r="FPP28" i="3"/>
  <c r="FQT28" i="3" s="1"/>
  <c r="FRX28" i="3" s="1"/>
  <c r="FTB28" i="3" s="1"/>
  <c r="FUF28" i="3" s="1"/>
  <c r="FPI28" i="3"/>
  <c r="FPK28" i="3"/>
  <c r="FQO28" i="3" s="1"/>
  <c r="FRS28" i="3" s="1"/>
  <c r="FPD28" i="3"/>
  <c r="FQI28" i="3"/>
  <c r="FRM28" i="3" s="1"/>
  <c r="FQB28" i="3"/>
  <c r="FQC28" i="3"/>
  <c r="FRG28" i="3" s="1"/>
  <c r="FSK28" i="3" s="1"/>
  <c r="FPV28" i="3"/>
  <c r="FQZ28" i="3" l="1"/>
  <c r="FSD28" i="3" s="1"/>
  <c r="FTH28" i="3" s="1"/>
  <c r="FQS28" i="3"/>
  <c r="FQH28" i="3"/>
  <c r="FRL28" i="3" s="1"/>
  <c r="FSP28" i="3" s="1"/>
  <c r="FQA28" i="3"/>
  <c r="FQM28" i="3"/>
  <c r="FRQ28" i="3" s="1"/>
  <c r="FSU28" i="3" s="1"/>
  <c r="FTY28" i="3" s="1"/>
  <c r="FVC28" i="3" s="1"/>
  <c r="FQF28" i="3"/>
  <c r="FRF28" i="3"/>
  <c r="FSJ28" i="3" s="1"/>
  <c r="FQY28" i="3"/>
  <c r="FQG28" i="3"/>
  <c r="FRK28" i="3" s="1"/>
  <c r="FSO28" i="3" s="1"/>
  <c r="FTS28" i="3" s="1"/>
  <c r="FUW28" i="3" s="1"/>
  <c r="FPZ28" i="3"/>
  <c r="FRJ28" i="3" l="1"/>
  <c r="FSN28" i="3" s="1"/>
  <c r="FTR28" i="3" s="1"/>
  <c r="FUV28" i="3" s="1"/>
  <c r="FVZ28" i="3" s="1"/>
  <c r="FRC28" i="3"/>
  <c r="FRW28" i="3"/>
  <c r="FTA28" i="3" s="1"/>
  <c r="FUE28" i="3" s="1"/>
  <c r="FRP28" i="3"/>
  <c r="FRE28" i="3"/>
  <c r="FSI28" i="3" s="1"/>
  <c r="FTM28" i="3" s="1"/>
  <c r="FQX28" i="3"/>
  <c r="FRD28" i="3"/>
  <c r="FSH28" i="3" s="1"/>
  <c r="FTL28" i="3" s="1"/>
  <c r="FUP28" i="3" s="1"/>
  <c r="FVT28" i="3" s="1"/>
  <c r="FQW28" i="3"/>
  <c r="FSC28" i="3"/>
  <c r="FTG28" i="3" s="1"/>
  <c r="FRV28" i="3"/>
  <c r="FSA28" i="3" l="1"/>
  <c r="FTE28" i="3" s="1"/>
  <c r="FUI28" i="3" s="1"/>
  <c r="FVM28" i="3" s="1"/>
  <c r="FWQ28" i="3" s="1"/>
  <c r="FRT28" i="3"/>
  <c r="FST28" i="3"/>
  <c r="FTX28" i="3" s="1"/>
  <c r="FVB28" i="3" s="1"/>
  <c r="FSM28" i="3"/>
  <c r="FSZ28" i="3"/>
  <c r="FUD28" i="3" s="1"/>
  <c r="FSS28" i="3"/>
  <c r="FSG28" i="3"/>
  <c r="FTK28" i="3" s="1"/>
  <c r="FUO28" i="3" s="1"/>
  <c r="FVS28" i="3" s="1"/>
  <c r="FWW28" i="3" s="1"/>
  <c r="FRZ28" i="3"/>
  <c r="FSB28" i="3"/>
  <c r="FTF28" i="3" s="1"/>
  <c r="FUJ28" i="3" s="1"/>
  <c r="FRU28" i="3"/>
  <c r="FSX28" i="3" l="1"/>
  <c r="FUB28" i="3" s="1"/>
  <c r="FVF28" i="3" s="1"/>
  <c r="FWJ28" i="3" s="1"/>
  <c r="FXN28" i="3" s="1"/>
  <c r="FSQ28" i="3"/>
  <c r="FTQ28" i="3"/>
  <c r="FUU28" i="3" s="1"/>
  <c r="FVY28" i="3" s="1"/>
  <c r="FTJ28" i="3"/>
  <c r="FSY28" i="3"/>
  <c r="FUC28" i="3" s="1"/>
  <c r="FVG28" i="3" s="1"/>
  <c r="FSR28" i="3"/>
  <c r="FTD28" i="3"/>
  <c r="FUH28" i="3" s="1"/>
  <c r="FVL28" i="3" s="1"/>
  <c r="FWP28" i="3" s="1"/>
  <c r="FXT28" i="3" s="1"/>
  <c r="FSW28" i="3"/>
  <c r="FTW28" i="3"/>
  <c r="FVA28" i="3" s="1"/>
  <c r="FTP28" i="3"/>
  <c r="FTV28" i="3" l="1"/>
  <c r="FUZ28" i="3" s="1"/>
  <c r="FWD28" i="3" s="1"/>
  <c r="FTO28" i="3"/>
  <c r="FTU28" i="3"/>
  <c r="FUY28" i="3" s="1"/>
  <c r="FWC28" i="3" s="1"/>
  <c r="FXG28" i="3" s="1"/>
  <c r="FYK28" i="3" s="1"/>
  <c r="FTN28" i="3"/>
  <c r="FUN28" i="3"/>
  <c r="FVR28" i="3" s="1"/>
  <c r="FWV28" i="3" s="1"/>
  <c r="FUG28" i="3"/>
  <c r="FUA28" i="3"/>
  <c r="FVE28" i="3" s="1"/>
  <c r="FWI28" i="3" s="1"/>
  <c r="FXM28" i="3" s="1"/>
  <c r="FYQ28" i="3" s="1"/>
  <c r="FTT28" i="3"/>
  <c r="FUT28" i="3"/>
  <c r="FVX28" i="3" s="1"/>
  <c r="FUM28" i="3"/>
  <c r="FUX28" i="3" l="1"/>
  <c r="FWB28" i="3" s="1"/>
  <c r="FXF28" i="3" s="1"/>
  <c r="FYJ28" i="3" s="1"/>
  <c r="FZN28" i="3" s="1"/>
  <c r="FUQ28" i="3"/>
  <c r="FUR28" i="3"/>
  <c r="FVV28" i="3" s="1"/>
  <c r="FWZ28" i="3" s="1"/>
  <c r="FYD28" i="3" s="1"/>
  <c r="FZH28" i="3" s="1"/>
  <c r="FUK28" i="3"/>
  <c r="FVQ28" i="3"/>
  <c r="FWU28" i="3" s="1"/>
  <c r="FVJ28" i="3"/>
  <c r="FUS28" i="3"/>
  <c r="FVW28" i="3" s="1"/>
  <c r="FXA28" i="3" s="1"/>
  <c r="FUL28" i="3"/>
  <c r="FVK28" i="3"/>
  <c r="FWO28" i="3" s="1"/>
  <c r="FXS28" i="3" s="1"/>
  <c r="FVD28" i="3"/>
  <c r="FWN28" i="3" l="1"/>
  <c r="FXR28" i="3" s="1"/>
  <c r="FWG28" i="3"/>
  <c r="FVP28" i="3"/>
  <c r="FWT28" i="3" s="1"/>
  <c r="FXX28" i="3" s="1"/>
  <c r="FVI28" i="3"/>
  <c r="FWH28" i="3"/>
  <c r="FXL28" i="3" s="1"/>
  <c r="FYP28" i="3" s="1"/>
  <c r="FWA28" i="3"/>
  <c r="FVU28" i="3"/>
  <c r="FWY28" i="3" s="1"/>
  <c r="FYC28" i="3" s="1"/>
  <c r="FZG28" i="3" s="1"/>
  <c r="GAK28" i="3" s="1"/>
  <c r="FVN28" i="3"/>
  <c r="FVO28" i="3"/>
  <c r="FWS28" i="3" s="1"/>
  <c r="FXW28" i="3" s="1"/>
  <c r="FZA28" i="3" s="1"/>
  <c r="GAE28" i="3" s="1"/>
  <c r="FVH28" i="3"/>
  <c r="FXE28" i="3" l="1"/>
  <c r="FYI28" i="3" s="1"/>
  <c r="FZM28" i="3" s="1"/>
  <c r="FWX28" i="3"/>
  <c r="FWR28" i="3"/>
  <c r="FXV28" i="3" s="1"/>
  <c r="FYZ28" i="3" s="1"/>
  <c r="GAD28" i="3" s="1"/>
  <c r="GBH28" i="3" s="1"/>
  <c r="FWK28" i="3"/>
  <c r="FWL28" i="3"/>
  <c r="FXP28" i="3" s="1"/>
  <c r="FYT28" i="3" s="1"/>
  <c r="FZX28" i="3" s="1"/>
  <c r="GBB28" i="3" s="1"/>
  <c r="FWE28" i="3"/>
  <c r="FWM28" i="3"/>
  <c r="FXQ28" i="3" s="1"/>
  <c r="FYU28" i="3" s="1"/>
  <c r="FWF28" i="3"/>
  <c r="FXK28" i="3"/>
  <c r="FYO28" i="3" s="1"/>
  <c r="FXD28" i="3"/>
  <c r="FXJ28" i="3" l="1"/>
  <c r="FYN28" i="3" s="1"/>
  <c r="FZR28" i="3" s="1"/>
  <c r="FXC28" i="3"/>
  <c r="FXO28" i="3"/>
  <c r="FYS28" i="3" s="1"/>
  <c r="FZW28" i="3" s="1"/>
  <c r="GBA28" i="3" s="1"/>
  <c r="GCE28" i="3" s="1"/>
  <c r="FXH28" i="3"/>
  <c r="FYH28" i="3"/>
  <c r="FZL28" i="3" s="1"/>
  <c r="FYA28" i="3"/>
  <c r="FXI28" i="3"/>
  <c r="FYM28" i="3" s="1"/>
  <c r="FZQ28" i="3" s="1"/>
  <c r="GAU28" i="3" s="1"/>
  <c r="GBY28" i="3" s="1"/>
  <c r="FXB28" i="3"/>
  <c r="FYB28" i="3"/>
  <c r="FZF28" i="3" s="1"/>
  <c r="GAJ28" i="3" s="1"/>
  <c r="FXU28" i="3"/>
  <c r="FYY28" i="3" l="1"/>
  <c r="GAC28" i="3" s="1"/>
  <c r="GBG28" i="3" s="1"/>
  <c r="FYR28" i="3"/>
  <c r="FZE28" i="3"/>
  <c r="GAI28" i="3" s="1"/>
  <c r="FYX28" i="3"/>
  <c r="FYG28" i="3"/>
  <c r="FZK28" i="3" s="1"/>
  <c r="GAO28" i="3" s="1"/>
  <c r="FXZ28" i="3"/>
  <c r="FYL28" i="3"/>
  <c r="FZP28" i="3" s="1"/>
  <c r="GAT28" i="3" s="1"/>
  <c r="GBX28" i="3" s="1"/>
  <c r="GDB28" i="3" s="1"/>
  <c r="FYE28" i="3"/>
  <c r="FYF28" i="3"/>
  <c r="FZJ28" i="3" s="1"/>
  <c r="GAN28" i="3" s="1"/>
  <c r="GBR28" i="3" s="1"/>
  <c r="GCV28" i="3" s="1"/>
  <c r="FXY28" i="3"/>
  <c r="FZV28" i="3" l="1"/>
  <c r="GAZ28" i="3" s="1"/>
  <c r="GCD28" i="3" s="1"/>
  <c r="FZO28" i="3"/>
  <c r="FZD28" i="3"/>
  <c r="GAH28" i="3" s="1"/>
  <c r="GBL28" i="3" s="1"/>
  <c r="FYW28" i="3"/>
  <c r="FZI28" i="3"/>
  <c r="GAM28" i="3" s="1"/>
  <c r="GBQ28" i="3" s="1"/>
  <c r="GCU28" i="3" s="1"/>
  <c r="GDY28" i="3" s="1"/>
  <c r="FZB28" i="3"/>
  <c r="FZC28" i="3"/>
  <c r="GAG28" i="3" s="1"/>
  <c r="GBK28" i="3" s="1"/>
  <c r="GCO28" i="3" s="1"/>
  <c r="GDS28" i="3" s="1"/>
  <c r="FYV28" i="3"/>
  <c r="GAB28" i="3"/>
  <c r="GBF28" i="3" s="1"/>
  <c r="FZU28" i="3"/>
  <c r="GAA28" i="3" l="1"/>
  <c r="GBE28" i="3" s="1"/>
  <c r="GCI28" i="3" s="1"/>
  <c r="FZT28" i="3"/>
  <c r="GAY28" i="3"/>
  <c r="GCC28" i="3" s="1"/>
  <c r="GAR28" i="3"/>
  <c r="FZZ28" i="3"/>
  <c r="GBD28" i="3" s="1"/>
  <c r="GCH28" i="3" s="1"/>
  <c r="GDL28" i="3" s="1"/>
  <c r="GEP28" i="3" s="1"/>
  <c r="FZS28" i="3"/>
  <c r="GAF28" i="3"/>
  <c r="GBJ28" i="3" s="1"/>
  <c r="GCN28" i="3" s="1"/>
  <c r="GDR28" i="3" s="1"/>
  <c r="GEV28" i="3" s="1"/>
  <c r="FZY28" i="3"/>
  <c r="GAS28" i="3"/>
  <c r="GBW28" i="3" s="1"/>
  <c r="GDA28" i="3" s="1"/>
  <c r="GAL28" i="3"/>
  <c r="GBC28" i="3" l="1"/>
  <c r="GCG28" i="3" s="1"/>
  <c r="GDK28" i="3" s="1"/>
  <c r="GEO28" i="3" s="1"/>
  <c r="GFS28" i="3" s="1"/>
  <c r="GAV28" i="3"/>
  <c r="GAX28" i="3"/>
  <c r="GCB28" i="3" s="1"/>
  <c r="GDF28" i="3" s="1"/>
  <c r="GAQ28" i="3"/>
  <c r="GBP28" i="3"/>
  <c r="GCT28" i="3" s="1"/>
  <c r="GDX28" i="3" s="1"/>
  <c r="GBI28" i="3"/>
  <c r="GAW28" i="3"/>
  <c r="GCA28" i="3" s="1"/>
  <c r="GDE28" i="3" s="1"/>
  <c r="GEI28" i="3" s="1"/>
  <c r="GFM28" i="3" s="1"/>
  <c r="GAP28" i="3"/>
  <c r="GBV28" i="3"/>
  <c r="GCZ28" i="3" s="1"/>
  <c r="GBO28" i="3"/>
  <c r="GBZ28" i="3" l="1"/>
  <c r="GDD28" i="3" s="1"/>
  <c r="GEH28" i="3" s="1"/>
  <c r="GFL28" i="3" s="1"/>
  <c r="GGP28" i="3" s="1"/>
  <c r="GBS28" i="3"/>
  <c r="GCS28" i="3"/>
  <c r="GDW28" i="3" s="1"/>
  <c r="GCL28" i="3"/>
  <c r="GCM28" i="3"/>
  <c r="GDQ28" i="3" s="1"/>
  <c r="GEU28" i="3" s="1"/>
  <c r="GCF28" i="3"/>
  <c r="GBU28" i="3"/>
  <c r="GCY28" i="3" s="1"/>
  <c r="GEC28" i="3" s="1"/>
  <c r="GBN28" i="3"/>
  <c r="GBT28" i="3"/>
  <c r="GCX28" i="3" s="1"/>
  <c r="GEB28" i="3" s="1"/>
  <c r="GFF28" i="3" s="1"/>
  <c r="GGJ28" i="3" s="1"/>
  <c r="GBM28" i="3"/>
  <c r="GDP28" i="3" l="1"/>
  <c r="GET28" i="3" s="1"/>
  <c r="GDI28" i="3"/>
  <c r="GCR28" i="3"/>
  <c r="GDV28" i="3" s="1"/>
  <c r="GEZ28" i="3" s="1"/>
  <c r="GCK28" i="3"/>
  <c r="GCQ28" i="3"/>
  <c r="GDU28" i="3" s="1"/>
  <c r="GEY28" i="3" s="1"/>
  <c r="GGC28" i="3" s="1"/>
  <c r="GHG28" i="3" s="1"/>
  <c r="GCJ28" i="3"/>
  <c r="GDJ28" i="3"/>
  <c r="GEN28" i="3" s="1"/>
  <c r="GFR28" i="3" s="1"/>
  <c r="GDC28" i="3"/>
  <c r="GCW28" i="3"/>
  <c r="GEA28" i="3" s="1"/>
  <c r="GFE28" i="3" s="1"/>
  <c r="GGI28" i="3" s="1"/>
  <c r="GHM28" i="3" s="1"/>
  <c r="GCP28" i="3"/>
  <c r="GEG28" i="3" l="1"/>
  <c r="GFK28" i="3" s="1"/>
  <c r="GGO28" i="3" s="1"/>
  <c r="GDZ28" i="3"/>
  <c r="GEM28" i="3"/>
  <c r="GFQ28" i="3" s="1"/>
  <c r="GEF28" i="3"/>
  <c r="GDT28" i="3"/>
  <c r="GEX28" i="3" s="1"/>
  <c r="GGB28" i="3" s="1"/>
  <c r="GHF28" i="3" s="1"/>
  <c r="GIJ28" i="3" s="1"/>
  <c r="GDM28" i="3"/>
  <c r="GDO28" i="3"/>
  <c r="GES28" i="3" s="1"/>
  <c r="GFW28" i="3" s="1"/>
  <c r="GDH28" i="3"/>
  <c r="GDN28" i="3"/>
  <c r="GER28" i="3" s="1"/>
  <c r="GFV28" i="3" s="1"/>
  <c r="GGZ28" i="3" s="1"/>
  <c r="GID28" i="3" s="1"/>
  <c r="GDG28" i="3"/>
  <c r="GEL28" i="3" l="1"/>
  <c r="GFP28" i="3" s="1"/>
  <c r="GGT28" i="3" s="1"/>
  <c r="GEE28" i="3"/>
  <c r="GFJ28" i="3"/>
  <c r="GGN28" i="3" s="1"/>
  <c r="GFC28" i="3"/>
  <c r="GEK28" i="3"/>
  <c r="GFO28" i="3" s="1"/>
  <c r="GGS28" i="3" s="1"/>
  <c r="GHW28" i="3" s="1"/>
  <c r="GJA28" i="3" s="1"/>
  <c r="GED28" i="3"/>
  <c r="GEQ28" i="3"/>
  <c r="GFU28" i="3" s="1"/>
  <c r="GGY28" i="3" s="1"/>
  <c r="GIC28" i="3" s="1"/>
  <c r="GJG28" i="3" s="1"/>
  <c r="GEJ28" i="3"/>
  <c r="GFD28" i="3"/>
  <c r="GGH28" i="3" s="1"/>
  <c r="GHL28" i="3" s="1"/>
  <c r="GEW28" i="3"/>
  <c r="GFI28" i="3" l="1"/>
  <c r="GGM28" i="3" s="1"/>
  <c r="GHQ28" i="3" s="1"/>
  <c r="GFB28" i="3"/>
  <c r="GGG28" i="3"/>
  <c r="GHK28" i="3" s="1"/>
  <c r="GFZ28" i="3"/>
  <c r="GFH28" i="3"/>
  <c r="GGL28" i="3" s="1"/>
  <c r="GHP28" i="3" s="1"/>
  <c r="GIT28" i="3" s="1"/>
  <c r="GJX28" i="3" s="1"/>
  <c r="GFA28" i="3"/>
  <c r="GGA28" i="3"/>
  <c r="GHE28" i="3" s="1"/>
  <c r="GII28" i="3" s="1"/>
  <c r="GFT28" i="3"/>
  <c r="GFN28" i="3"/>
  <c r="GGR28" i="3" s="1"/>
  <c r="GHV28" i="3" s="1"/>
  <c r="GIZ28" i="3" s="1"/>
  <c r="GKD28" i="3" s="1"/>
  <c r="GFG28" i="3"/>
  <c r="GGX28" i="3" l="1"/>
  <c r="GIB28" i="3" s="1"/>
  <c r="GJF28" i="3" s="1"/>
  <c r="GGQ28" i="3"/>
  <c r="GHD28" i="3"/>
  <c r="GIH28" i="3" s="1"/>
  <c r="GGW28" i="3"/>
  <c r="GGK28" i="3"/>
  <c r="GHO28" i="3" s="1"/>
  <c r="GIS28" i="3" s="1"/>
  <c r="GJW28" i="3" s="1"/>
  <c r="GLA28" i="3" s="1"/>
  <c r="GGD28" i="3"/>
  <c r="GGE28" i="3"/>
  <c r="GHI28" i="3" s="1"/>
  <c r="GIM28" i="3" s="1"/>
  <c r="GJQ28" i="3" s="1"/>
  <c r="GKU28" i="3" s="1"/>
  <c r="GFX28" i="3"/>
  <c r="GGF28" i="3"/>
  <c r="GHJ28" i="3" s="1"/>
  <c r="GIN28" i="3" s="1"/>
  <c r="GFY28" i="3"/>
  <c r="GHH28" i="3" l="1"/>
  <c r="GIL28" i="3" s="1"/>
  <c r="GJP28" i="3" s="1"/>
  <c r="GKT28" i="3" s="1"/>
  <c r="GLX28" i="3" s="1"/>
  <c r="GHA28" i="3"/>
  <c r="GHB28" i="3"/>
  <c r="GIF28" i="3" s="1"/>
  <c r="GJJ28" i="3" s="1"/>
  <c r="GKN28" i="3" s="1"/>
  <c r="GLR28" i="3" s="1"/>
  <c r="GGU28" i="3"/>
  <c r="GHC28" i="3"/>
  <c r="GIG28" i="3" s="1"/>
  <c r="GJK28" i="3" s="1"/>
  <c r="GGV28" i="3"/>
  <c r="GHU28" i="3"/>
  <c r="GIY28" i="3" s="1"/>
  <c r="GKC28" i="3" s="1"/>
  <c r="GHN28" i="3"/>
  <c r="GIA28" i="3"/>
  <c r="GJE28" i="3" s="1"/>
  <c r="GHT28" i="3"/>
  <c r="GIX28" i="3" l="1"/>
  <c r="GKB28" i="3" s="1"/>
  <c r="GIQ28" i="3"/>
  <c r="GIE28" i="3"/>
  <c r="GJI28" i="3" s="1"/>
  <c r="GKM28" i="3" s="1"/>
  <c r="GLQ28" i="3" s="1"/>
  <c r="GMU28" i="3" s="1"/>
  <c r="GHX28" i="3"/>
  <c r="GIR28" i="3"/>
  <c r="GJV28" i="3" s="1"/>
  <c r="GKZ28" i="3" s="1"/>
  <c r="GIK28" i="3"/>
  <c r="GHZ28" i="3"/>
  <c r="GJD28" i="3" s="1"/>
  <c r="GKH28" i="3" s="1"/>
  <c r="GHS28" i="3"/>
  <c r="GHY28" i="3"/>
  <c r="GJC28" i="3" s="1"/>
  <c r="GKG28" i="3" s="1"/>
  <c r="GLK28" i="3" s="1"/>
  <c r="GMO28" i="3" s="1"/>
  <c r="GHR28" i="3"/>
  <c r="GJB28" i="3" l="1"/>
  <c r="GKF28" i="3" s="1"/>
  <c r="GLJ28" i="3" s="1"/>
  <c r="GMN28" i="3" s="1"/>
  <c r="GNR28" i="3" s="1"/>
  <c r="GIU28" i="3"/>
  <c r="GIW28" i="3"/>
  <c r="GKA28" i="3" s="1"/>
  <c r="GLE28" i="3" s="1"/>
  <c r="GIP28" i="3"/>
  <c r="GJO28" i="3"/>
  <c r="GKS28" i="3" s="1"/>
  <c r="GLW28" i="3" s="1"/>
  <c r="GJH28" i="3"/>
  <c r="GIV28" i="3"/>
  <c r="GJZ28" i="3" s="1"/>
  <c r="GLD28" i="3" s="1"/>
  <c r="GMH28" i="3" s="1"/>
  <c r="GNL28" i="3" s="1"/>
  <c r="GIO28" i="3"/>
  <c r="GJU28" i="3"/>
  <c r="GKY28" i="3" s="1"/>
  <c r="GJN28" i="3"/>
  <c r="GKL28" i="3" l="1"/>
  <c r="GLP28" i="3" s="1"/>
  <c r="GMT28" i="3" s="1"/>
  <c r="GKE28" i="3"/>
  <c r="GJS28" i="3"/>
  <c r="GKW28" i="3" s="1"/>
  <c r="GMA28" i="3" s="1"/>
  <c r="GNE28" i="3" s="1"/>
  <c r="GOI28" i="3" s="1"/>
  <c r="GJL28" i="3"/>
  <c r="GJY28" i="3"/>
  <c r="GLC28" i="3" s="1"/>
  <c r="GMG28" i="3" s="1"/>
  <c r="GNK28" i="3" s="1"/>
  <c r="GOO28" i="3" s="1"/>
  <c r="GJR28" i="3"/>
  <c r="GKR28" i="3"/>
  <c r="GLV28" i="3" s="1"/>
  <c r="GKK28" i="3"/>
  <c r="GJT28" i="3"/>
  <c r="GKX28" i="3" s="1"/>
  <c r="GMB28" i="3" s="1"/>
  <c r="GJM28" i="3"/>
  <c r="GLO28" i="3" l="1"/>
  <c r="GMS28" i="3" s="1"/>
  <c r="GLH28" i="3"/>
  <c r="GLI28" i="3"/>
  <c r="GMM28" i="3" s="1"/>
  <c r="GNQ28" i="3" s="1"/>
  <c r="GLB28" i="3"/>
  <c r="GKP28" i="3"/>
  <c r="GLT28" i="3" s="1"/>
  <c r="GMX28" i="3" s="1"/>
  <c r="GOB28" i="3" s="1"/>
  <c r="GPF28" i="3" s="1"/>
  <c r="GKI28" i="3"/>
  <c r="GKQ28" i="3"/>
  <c r="GLU28" i="3" s="1"/>
  <c r="GMY28" i="3" s="1"/>
  <c r="GKJ28" i="3"/>
  <c r="GKV28" i="3"/>
  <c r="GLZ28" i="3" s="1"/>
  <c r="GND28" i="3" s="1"/>
  <c r="GOH28" i="3" s="1"/>
  <c r="GPL28" i="3" s="1"/>
  <c r="GKO28" i="3"/>
  <c r="GLM28" i="3" l="1"/>
  <c r="GMQ28" i="3" s="1"/>
  <c r="GNU28" i="3" s="1"/>
  <c r="GOY28" i="3" s="1"/>
  <c r="GQC28" i="3" s="1"/>
  <c r="GLF28" i="3"/>
  <c r="GLN28" i="3"/>
  <c r="GMR28" i="3" s="1"/>
  <c r="GNV28" i="3" s="1"/>
  <c r="GLG28" i="3"/>
  <c r="GML28" i="3"/>
  <c r="GNP28" i="3" s="1"/>
  <c r="GME28" i="3"/>
  <c r="GLS28" i="3"/>
  <c r="GMW28" i="3" s="1"/>
  <c r="GOA28" i="3" s="1"/>
  <c r="GPE28" i="3" s="1"/>
  <c r="GQI28" i="3" s="1"/>
  <c r="GLL28" i="3"/>
  <c r="GMF28" i="3"/>
  <c r="GNJ28" i="3" s="1"/>
  <c r="GON28" i="3" s="1"/>
  <c r="GLY28" i="3"/>
  <c r="GMJ28" i="3" l="1"/>
  <c r="GNN28" i="3" s="1"/>
  <c r="GOR28" i="3" s="1"/>
  <c r="GPV28" i="3" s="1"/>
  <c r="GQZ28" i="3" s="1"/>
  <c r="GMC28" i="3"/>
  <c r="GMK28" i="3"/>
  <c r="GNO28" i="3" s="1"/>
  <c r="GOS28" i="3" s="1"/>
  <c r="GMD28" i="3"/>
  <c r="GMP28" i="3"/>
  <c r="GNT28" i="3" s="1"/>
  <c r="GOX28" i="3" s="1"/>
  <c r="GQB28" i="3" s="1"/>
  <c r="GRF28" i="3" s="1"/>
  <c r="GMI28" i="3"/>
  <c r="GNI28" i="3"/>
  <c r="GOM28" i="3" s="1"/>
  <c r="GNB28" i="3"/>
  <c r="GNC28" i="3"/>
  <c r="GOG28" i="3" s="1"/>
  <c r="GPK28" i="3" s="1"/>
  <c r="GMV28" i="3"/>
  <c r="GNZ28" i="3" l="1"/>
  <c r="GPD28" i="3" s="1"/>
  <c r="GQH28" i="3" s="1"/>
  <c r="GNS28" i="3"/>
  <c r="GNG28" i="3"/>
  <c r="GOK28" i="3" s="1"/>
  <c r="GPO28" i="3" s="1"/>
  <c r="GQS28" i="3" s="1"/>
  <c r="GRW28" i="3" s="1"/>
  <c r="GMZ28" i="3"/>
  <c r="GOF28" i="3"/>
  <c r="GPJ28" i="3" s="1"/>
  <c r="GNY28" i="3"/>
  <c r="GNH28" i="3"/>
  <c r="GOL28" i="3" s="1"/>
  <c r="GPP28" i="3" s="1"/>
  <c r="GNA28" i="3"/>
  <c r="GNM28" i="3"/>
  <c r="GOQ28" i="3" s="1"/>
  <c r="GPU28" i="3" s="1"/>
  <c r="GQY28" i="3" s="1"/>
  <c r="GSC28" i="3" s="1"/>
  <c r="GNF28" i="3"/>
  <c r="GOD28" i="3" l="1"/>
  <c r="GPH28" i="3" s="1"/>
  <c r="GQL28" i="3" s="1"/>
  <c r="GRP28" i="3" s="1"/>
  <c r="GST28" i="3" s="1"/>
  <c r="GNW28" i="3"/>
  <c r="GOE28" i="3"/>
  <c r="GPI28" i="3" s="1"/>
  <c r="GQM28" i="3" s="1"/>
  <c r="GNX28" i="3"/>
  <c r="GOW28" i="3"/>
  <c r="GQA28" i="3" s="1"/>
  <c r="GRE28" i="3" s="1"/>
  <c r="GOP28" i="3"/>
  <c r="GOJ28" i="3"/>
  <c r="GPN28" i="3" s="1"/>
  <c r="GQR28" i="3" s="1"/>
  <c r="GRV28" i="3" s="1"/>
  <c r="GSZ28" i="3" s="1"/>
  <c r="GOC28" i="3"/>
  <c r="GPC28" i="3"/>
  <c r="GQG28" i="3" s="1"/>
  <c r="GOV28" i="3"/>
  <c r="GPZ28" i="3" l="1"/>
  <c r="GRD28" i="3" s="1"/>
  <c r="GPS28" i="3"/>
  <c r="GPG28" i="3"/>
  <c r="GQK28" i="3" s="1"/>
  <c r="GRO28" i="3" s="1"/>
  <c r="GSS28" i="3" s="1"/>
  <c r="GTW28" i="3" s="1"/>
  <c r="GOZ28" i="3"/>
  <c r="GPA28" i="3"/>
  <c r="GQE28" i="3" s="1"/>
  <c r="GRI28" i="3" s="1"/>
  <c r="GSM28" i="3" s="1"/>
  <c r="GTQ28" i="3" s="1"/>
  <c r="GOT28" i="3"/>
  <c r="GPT28" i="3"/>
  <c r="GQX28" i="3" s="1"/>
  <c r="GSB28" i="3" s="1"/>
  <c r="GPM28" i="3"/>
  <c r="GPB28" i="3"/>
  <c r="GQF28" i="3" s="1"/>
  <c r="GRJ28" i="3" s="1"/>
  <c r="GOU28" i="3"/>
  <c r="GPX28" i="3" l="1"/>
  <c r="GRB28" i="3" s="1"/>
  <c r="GSF28" i="3" s="1"/>
  <c r="GTJ28" i="3" s="1"/>
  <c r="GUN28" i="3" s="1"/>
  <c r="GPQ28" i="3"/>
  <c r="GQD28" i="3"/>
  <c r="GRH28" i="3" s="1"/>
  <c r="GSL28" i="3" s="1"/>
  <c r="GTP28" i="3" s="1"/>
  <c r="GUT28" i="3" s="1"/>
  <c r="GPW28" i="3"/>
  <c r="GPY28" i="3"/>
  <c r="GRC28" i="3" s="1"/>
  <c r="GSG28" i="3" s="1"/>
  <c r="GPR28" i="3"/>
  <c r="GQQ28" i="3"/>
  <c r="GRU28" i="3" s="1"/>
  <c r="GSY28" i="3" s="1"/>
  <c r="GQJ28" i="3"/>
  <c r="GQW28" i="3"/>
  <c r="GSA28" i="3" s="1"/>
  <c r="GQP28" i="3"/>
  <c r="GRT28" i="3" l="1"/>
  <c r="GSX28" i="3" s="1"/>
  <c r="GRM28" i="3"/>
  <c r="GQV28" i="3"/>
  <c r="GRZ28" i="3" s="1"/>
  <c r="GTD28" i="3" s="1"/>
  <c r="GQO28" i="3"/>
  <c r="GQU28" i="3"/>
  <c r="GRY28" i="3" s="1"/>
  <c r="GTC28" i="3" s="1"/>
  <c r="GUG28" i="3" s="1"/>
  <c r="GVK28" i="3" s="1"/>
  <c r="GQN28" i="3"/>
  <c r="GRN28" i="3"/>
  <c r="GSR28" i="3" s="1"/>
  <c r="GTV28" i="3" s="1"/>
  <c r="GRG28" i="3"/>
  <c r="GRA28" i="3"/>
  <c r="GSE28" i="3" s="1"/>
  <c r="GTI28" i="3" s="1"/>
  <c r="GUM28" i="3" s="1"/>
  <c r="GVQ28" i="3" s="1"/>
  <c r="GQT28" i="3"/>
  <c r="GRR28" i="3" l="1"/>
  <c r="GSV28" i="3" s="1"/>
  <c r="GTZ28" i="3" s="1"/>
  <c r="GVD28" i="3" s="1"/>
  <c r="GWH28" i="3" s="1"/>
  <c r="GRK28" i="3"/>
  <c r="GRX28" i="3"/>
  <c r="GTB28" i="3" s="1"/>
  <c r="GUF28" i="3" s="1"/>
  <c r="GVJ28" i="3" s="1"/>
  <c r="GWN28" i="3" s="1"/>
  <c r="GRQ28" i="3"/>
  <c r="GSK28" i="3"/>
  <c r="GTO28" i="3" s="1"/>
  <c r="GUS28" i="3" s="1"/>
  <c r="GSD28" i="3"/>
  <c r="GRS28" i="3"/>
  <c r="GSW28" i="3" s="1"/>
  <c r="GUA28" i="3" s="1"/>
  <c r="GRL28" i="3"/>
  <c r="GSQ28" i="3"/>
  <c r="GTU28" i="3" s="1"/>
  <c r="GSJ28" i="3"/>
  <c r="GSP28" i="3" l="1"/>
  <c r="GTT28" i="3" s="1"/>
  <c r="GUX28" i="3" s="1"/>
  <c r="GSI28" i="3"/>
  <c r="GSO28" i="3"/>
  <c r="GTS28" i="3" s="1"/>
  <c r="GUW28" i="3" s="1"/>
  <c r="GWA28" i="3" s="1"/>
  <c r="GXE28" i="3" s="1"/>
  <c r="GSH28" i="3"/>
  <c r="GTN28" i="3"/>
  <c r="GUR28" i="3" s="1"/>
  <c r="GTG28" i="3"/>
  <c r="GTH28" i="3"/>
  <c r="GUL28" i="3" s="1"/>
  <c r="GVP28" i="3" s="1"/>
  <c r="GTA28" i="3"/>
  <c r="GSU28" i="3"/>
  <c r="GTY28" i="3" s="1"/>
  <c r="GVC28" i="3" s="1"/>
  <c r="GWG28" i="3" s="1"/>
  <c r="GXK28" i="3" s="1"/>
  <c r="GSN28" i="3"/>
  <c r="GTM28" i="3" l="1"/>
  <c r="GUQ28" i="3" s="1"/>
  <c r="GVU28" i="3" s="1"/>
  <c r="GTF28" i="3"/>
  <c r="GTR28" i="3"/>
  <c r="GUV28" i="3" s="1"/>
  <c r="GVZ28" i="3" s="1"/>
  <c r="GXD28" i="3" s="1"/>
  <c r="GYH28" i="3" s="1"/>
  <c r="GTK28" i="3"/>
  <c r="GUK28" i="3"/>
  <c r="GVO28" i="3" s="1"/>
  <c r="GUD28" i="3"/>
  <c r="GTL28" i="3"/>
  <c r="GUP28" i="3" s="1"/>
  <c r="GVT28" i="3" s="1"/>
  <c r="GWX28" i="3" s="1"/>
  <c r="GYB28" i="3" s="1"/>
  <c r="GTE28" i="3"/>
  <c r="GUE28" i="3"/>
  <c r="GVI28" i="3" s="1"/>
  <c r="GWM28" i="3" s="1"/>
  <c r="GTX28" i="3"/>
  <c r="GVH28" i="3" l="1"/>
  <c r="GWL28" i="3" s="1"/>
  <c r="GVA28" i="3"/>
  <c r="GUJ28" i="3"/>
  <c r="GVN28" i="3" s="1"/>
  <c r="GWR28" i="3" s="1"/>
  <c r="GUC28" i="3"/>
  <c r="GUI28" i="3"/>
  <c r="GVM28" i="3" s="1"/>
  <c r="GWQ28" i="3" s="1"/>
  <c r="GXU28" i="3" s="1"/>
  <c r="GYY28" i="3" s="1"/>
  <c r="GUB28" i="3"/>
  <c r="GVB28" i="3"/>
  <c r="GWF28" i="3" s="1"/>
  <c r="GXJ28" i="3" s="1"/>
  <c r="GUU28" i="3"/>
  <c r="GUO28" i="3"/>
  <c r="GVS28" i="3" s="1"/>
  <c r="GWW28" i="3" s="1"/>
  <c r="GYA28" i="3" s="1"/>
  <c r="GZE28" i="3" s="1"/>
  <c r="GUH28" i="3"/>
  <c r="GVY28" i="3" l="1"/>
  <c r="GXC28" i="3" s="1"/>
  <c r="GYG28" i="3" s="1"/>
  <c r="GVR28" i="3"/>
  <c r="GVF28" i="3"/>
  <c r="GWJ28" i="3" s="1"/>
  <c r="GXN28" i="3" s="1"/>
  <c r="GYR28" i="3" s="1"/>
  <c r="GZV28" i="3" s="1"/>
  <c r="GUY28" i="3"/>
  <c r="GWE28" i="3"/>
  <c r="GXI28" i="3" s="1"/>
  <c r="GVX28" i="3"/>
  <c r="GVG28" i="3"/>
  <c r="GWK28" i="3" s="1"/>
  <c r="GXO28" i="3" s="1"/>
  <c r="GUZ28" i="3"/>
  <c r="GVL28" i="3"/>
  <c r="GWP28" i="3" s="1"/>
  <c r="GXT28" i="3" s="1"/>
  <c r="GYX28" i="3" s="1"/>
  <c r="HAB28" i="3" s="1"/>
  <c r="GVE28" i="3"/>
  <c r="GXB28" i="3" l="1"/>
  <c r="GYF28" i="3" s="1"/>
  <c r="GWU28" i="3"/>
  <c r="GWV28" i="3"/>
  <c r="GXZ28" i="3" s="1"/>
  <c r="GZD28" i="3" s="1"/>
  <c r="GWO28" i="3"/>
  <c r="GWI28" i="3"/>
  <c r="GXM28" i="3" s="1"/>
  <c r="GYQ28" i="3" s="1"/>
  <c r="GZU28" i="3" s="1"/>
  <c r="HAY28" i="3" s="1"/>
  <c r="GWB28" i="3"/>
  <c r="GWD28" i="3"/>
  <c r="GXH28" i="3" s="1"/>
  <c r="GYL28" i="3" s="1"/>
  <c r="GVW28" i="3"/>
  <c r="GWC28" i="3"/>
  <c r="GXG28" i="3" s="1"/>
  <c r="GYK28" i="3" s="1"/>
  <c r="GZO28" i="3" s="1"/>
  <c r="HAS28" i="3" s="1"/>
  <c r="GVV28" i="3"/>
  <c r="GXA28" i="3" l="1"/>
  <c r="GYE28" i="3" s="1"/>
  <c r="GZI28" i="3" s="1"/>
  <c r="GWT28" i="3"/>
  <c r="GXY28" i="3"/>
  <c r="GZC28" i="3" s="1"/>
  <c r="GXR28" i="3"/>
  <c r="GWZ28" i="3"/>
  <c r="GYD28" i="3" s="1"/>
  <c r="GZH28" i="3" s="1"/>
  <c r="HAL28" i="3" s="1"/>
  <c r="HBP28" i="3" s="1"/>
  <c r="GWS28" i="3"/>
  <c r="GXF28" i="3"/>
  <c r="GYJ28" i="3" s="1"/>
  <c r="GZN28" i="3" s="1"/>
  <c r="HAR28" i="3" s="1"/>
  <c r="HBV28" i="3" s="1"/>
  <c r="GWY28" i="3"/>
  <c r="GXS28" i="3"/>
  <c r="GYW28" i="3" s="1"/>
  <c r="HAA28" i="3" s="1"/>
  <c r="GXL28" i="3"/>
  <c r="GYP28" i="3" l="1"/>
  <c r="GZT28" i="3" s="1"/>
  <c r="HAX28" i="3" s="1"/>
  <c r="GYI28" i="3"/>
  <c r="GYV28" i="3"/>
  <c r="GZZ28" i="3" s="1"/>
  <c r="GYO28" i="3"/>
  <c r="GYC28" i="3"/>
  <c r="GZG28" i="3" s="1"/>
  <c r="HAK28" i="3" s="1"/>
  <c r="HBO28" i="3" s="1"/>
  <c r="HCS28" i="3" s="1"/>
  <c r="GXV28" i="3"/>
  <c r="GXW28" i="3"/>
  <c r="GZA28" i="3" s="1"/>
  <c r="HAE28" i="3" s="1"/>
  <c r="HBI28" i="3" s="1"/>
  <c r="HCM28" i="3" s="1"/>
  <c r="GXP28" i="3"/>
  <c r="GXX28" i="3"/>
  <c r="GZB28" i="3" s="1"/>
  <c r="HAF28" i="3" s="1"/>
  <c r="GXQ28" i="3"/>
  <c r="GYT28" i="3" l="1"/>
  <c r="GZX28" i="3" s="1"/>
  <c r="HBB28" i="3" s="1"/>
  <c r="HCF28" i="3" s="1"/>
  <c r="HDJ28" i="3" s="1"/>
  <c r="GYM28" i="3"/>
  <c r="GYZ28" i="3"/>
  <c r="HAD28" i="3" s="1"/>
  <c r="HBH28" i="3" s="1"/>
  <c r="HCL28" i="3" s="1"/>
  <c r="HDP28" i="3" s="1"/>
  <c r="GYS28" i="3"/>
  <c r="GZM28" i="3"/>
  <c r="HAQ28" i="3" s="1"/>
  <c r="HBU28" i="3" s="1"/>
  <c r="GZF28" i="3"/>
  <c r="GYU28" i="3"/>
  <c r="GZY28" i="3" s="1"/>
  <c r="HBC28" i="3" s="1"/>
  <c r="GYN28" i="3"/>
  <c r="GZS28" i="3"/>
  <c r="HAW28" i="3" s="1"/>
  <c r="GZL28" i="3"/>
  <c r="HAP28" i="3" l="1"/>
  <c r="HBT28" i="3" s="1"/>
  <c r="HAI28" i="3"/>
  <c r="GZR28" i="3"/>
  <c r="HAV28" i="3" s="1"/>
  <c r="HBZ28" i="3" s="1"/>
  <c r="GZK28" i="3"/>
  <c r="GZW28" i="3"/>
  <c r="HBA28" i="3" s="1"/>
  <c r="HCE28" i="3" s="1"/>
  <c r="HDI28" i="3" s="1"/>
  <c r="HEM28" i="3" s="1"/>
  <c r="GZP28" i="3"/>
  <c r="HAJ28" i="3"/>
  <c r="HBN28" i="3" s="1"/>
  <c r="HCR28" i="3" s="1"/>
  <c r="HAC28" i="3"/>
  <c r="GZQ28" i="3"/>
  <c r="HAU28" i="3" s="1"/>
  <c r="HBY28" i="3" s="1"/>
  <c r="HDC28" i="3" s="1"/>
  <c r="HEG28" i="3" s="1"/>
  <c r="GZJ28" i="3"/>
  <c r="HAO28" i="3" l="1"/>
  <c r="HBS28" i="3" s="1"/>
  <c r="HCW28" i="3" s="1"/>
  <c r="HAH28" i="3"/>
  <c r="HAN28" i="3"/>
  <c r="HBR28" i="3" s="1"/>
  <c r="HCV28" i="3" s="1"/>
  <c r="HDZ28" i="3" s="1"/>
  <c r="HFD28" i="3" s="1"/>
  <c r="HAG28" i="3"/>
  <c r="HBG28" i="3"/>
  <c r="HCK28" i="3" s="1"/>
  <c r="HDO28" i="3" s="1"/>
  <c r="HAZ28" i="3"/>
  <c r="HBM28" i="3"/>
  <c r="HCQ28" i="3" s="1"/>
  <c r="HBF28" i="3"/>
  <c r="HAT28" i="3"/>
  <c r="HBX28" i="3" s="1"/>
  <c r="HDB28" i="3" s="1"/>
  <c r="HEF28" i="3" s="1"/>
  <c r="HFJ28" i="3" s="1"/>
  <c r="HAM28" i="3"/>
  <c r="HCJ28" i="3" l="1"/>
  <c r="HDN28" i="3" s="1"/>
  <c r="HCC28" i="3"/>
  <c r="HBK28" i="3"/>
  <c r="HCO28" i="3" s="1"/>
  <c r="HDS28" i="3" s="1"/>
  <c r="HEW28" i="3" s="1"/>
  <c r="HGA28" i="3" s="1"/>
  <c r="HBD28" i="3"/>
  <c r="HBL28" i="3"/>
  <c r="HCP28" i="3" s="1"/>
  <c r="HDT28" i="3" s="1"/>
  <c r="HBE28" i="3"/>
  <c r="HBQ28" i="3"/>
  <c r="HCU28" i="3" s="1"/>
  <c r="HDY28" i="3" s="1"/>
  <c r="HFC28" i="3" s="1"/>
  <c r="HGG28" i="3" s="1"/>
  <c r="HBJ28" i="3"/>
  <c r="HCD28" i="3"/>
  <c r="HDH28" i="3" s="1"/>
  <c r="HEL28" i="3" s="1"/>
  <c r="HBW28" i="3"/>
  <c r="HDA28" i="3" l="1"/>
  <c r="HEE28" i="3" s="1"/>
  <c r="HFI28" i="3" s="1"/>
  <c r="HCT28" i="3"/>
  <c r="HCI28" i="3"/>
  <c r="HDM28" i="3" s="1"/>
  <c r="HEQ28" i="3" s="1"/>
  <c r="HCB28" i="3"/>
  <c r="HCN28" i="3"/>
  <c r="HDR28" i="3" s="1"/>
  <c r="HEV28" i="3" s="1"/>
  <c r="HFZ28" i="3" s="1"/>
  <c r="HHD28" i="3" s="1"/>
  <c r="HCG28" i="3"/>
  <c r="HCH28" i="3"/>
  <c r="HDL28" i="3" s="1"/>
  <c r="HEP28" i="3" s="1"/>
  <c r="HFT28" i="3" s="1"/>
  <c r="HGX28" i="3" s="1"/>
  <c r="HCA28" i="3"/>
  <c r="HDG28" i="3"/>
  <c r="HEK28" i="3" s="1"/>
  <c r="HCZ28" i="3"/>
  <c r="HDF28" i="3" l="1"/>
  <c r="HEJ28" i="3" s="1"/>
  <c r="HFN28" i="3" s="1"/>
  <c r="HCY28" i="3"/>
  <c r="HED28" i="3"/>
  <c r="HFH28" i="3" s="1"/>
  <c r="HDW28" i="3"/>
  <c r="HDE28" i="3"/>
  <c r="HEI28" i="3" s="1"/>
  <c r="HFM28" i="3" s="1"/>
  <c r="HGQ28" i="3" s="1"/>
  <c r="HHU28" i="3" s="1"/>
  <c r="HCX28" i="3"/>
  <c r="HDK28" i="3"/>
  <c r="HEO28" i="3" s="1"/>
  <c r="HFS28" i="3" s="1"/>
  <c r="HGW28" i="3" s="1"/>
  <c r="HIA28" i="3" s="1"/>
  <c r="HDD28" i="3"/>
  <c r="HDX28" i="3"/>
  <c r="HFB28" i="3" s="1"/>
  <c r="HGF28" i="3" s="1"/>
  <c r="HDQ28" i="3"/>
  <c r="HEC28" i="3" l="1"/>
  <c r="HFG28" i="3" s="1"/>
  <c r="HGK28" i="3" s="1"/>
  <c r="HDV28" i="3"/>
  <c r="HEB28" i="3"/>
  <c r="HFF28" i="3" s="1"/>
  <c r="HGJ28" i="3" s="1"/>
  <c r="HHN28" i="3" s="1"/>
  <c r="HIR28" i="3" s="1"/>
  <c r="HDU28" i="3"/>
  <c r="HEH28" i="3"/>
  <c r="HFL28" i="3" s="1"/>
  <c r="HGP28" i="3" s="1"/>
  <c r="HHT28" i="3" s="1"/>
  <c r="HIX28" i="3" s="1"/>
  <c r="HEA28" i="3"/>
  <c r="HEU28" i="3"/>
  <c r="HFY28" i="3" s="1"/>
  <c r="HHC28" i="3" s="1"/>
  <c r="HEN28" i="3"/>
  <c r="HFA28" i="3"/>
  <c r="HGE28" i="3" s="1"/>
  <c r="HET28" i="3"/>
  <c r="HFX28" i="3" l="1"/>
  <c r="HHB28" i="3" s="1"/>
  <c r="HFQ28" i="3"/>
  <c r="HEY28" i="3"/>
  <c r="HGC28" i="3" s="1"/>
  <c r="HHG28" i="3" s="1"/>
  <c r="HIK28" i="3" s="1"/>
  <c r="HJO28" i="3" s="1"/>
  <c r="HER28" i="3"/>
  <c r="HFR28" i="3"/>
  <c r="HGV28" i="3" s="1"/>
  <c r="HHZ28" i="3" s="1"/>
  <c r="HFK28" i="3"/>
  <c r="HFE28" i="3"/>
  <c r="HGI28" i="3" s="1"/>
  <c r="HHM28" i="3" s="1"/>
  <c r="HIQ28" i="3" s="1"/>
  <c r="HJU28" i="3" s="1"/>
  <c r="HEX28" i="3"/>
  <c r="HEZ28" i="3"/>
  <c r="HGD28" i="3" s="1"/>
  <c r="HHH28" i="3" s="1"/>
  <c r="HES28" i="3"/>
  <c r="HGU28" i="3" l="1"/>
  <c r="HHY28" i="3" s="1"/>
  <c r="HGN28" i="3"/>
  <c r="HFW28" i="3"/>
  <c r="HHA28" i="3" s="1"/>
  <c r="HIE28" i="3" s="1"/>
  <c r="HFP28" i="3"/>
  <c r="HGO28" i="3"/>
  <c r="HHS28" i="3" s="1"/>
  <c r="HIW28" i="3" s="1"/>
  <c r="HGH28" i="3"/>
  <c r="HFV28" i="3"/>
  <c r="HGZ28" i="3" s="1"/>
  <c r="HID28" i="3" s="1"/>
  <c r="HJH28" i="3" s="1"/>
  <c r="HKL28" i="3" s="1"/>
  <c r="HFO28" i="3"/>
  <c r="HGB28" i="3"/>
  <c r="HHF28" i="3" s="1"/>
  <c r="HIJ28" i="3" s="1"/>
  <c r="HJN28" i="3" s="1"/>
  <c r="HKR28" i="3" s="1"/>
  <c r="HFU28" i="3"/>
  <c r="HGS28" i="3" l="1"/>
  <c r="HHW28" i="3" s="1"/>
  <c r="HJA28" i="3" s="1"/>
  <c r="HKE28" i="3" s="1"/>
  <c r="HLI28" i="3" s="1"/>
  <c r="HGL28" i="3"/>
  <c r="HHL28" i="3"/>
  <c r="HIP28" i="3" s="1"/>
  <c r="HJT28" i="3" s="1"/>
  <c r="HHE28" i="3"/>
  <c r="HHR28" i="3"/>
  <c r="HIV28" i="3" s="1"/>
  <c r="HHK28" i="3"/>
  <c r="HGY28" i="3"/>
  <c r="HIC28" i="3" s="1"/>
  <c r="HJG28" i="3" s="1"/>
  <c r="HKK28" i="3" s="1"/>
  <c r="HLO28" i="3" s="1"/>
  <c r="HGR28" i="3"/>
  <c r="HGT28" i="3"/>
  <c r="HHX28" i="3" s="1"/>
  <c r="HJB28" i="3" s="1"/>
  <c r="HGM28" i="3"/>
  <c r="HIO28" i="3" l="1"/>
  <c r="HJS28" i="3" s="1"/>
  <c r="HIH28" i="3"/>
  <c r="HHV28" i="3"/>
  <c r="HIZ28" i="3" s="1"/>
  <c r="HKD28" i="3" s="1"/>
  <c r="HLH28" i="3" s="1"/>
  <c r="HML28" i="3" s="1"/>
  <c r="HHO28" i="3"/>
  <c r="HII28" i="3"/>
  <c r="HJM28" i="3" s="1"/>
  <c r="HKQ28" i="3" s="1"/>
  <c r="HIB28" i="3"/>
  <c r="HHP28" i="3"/>
  <c r="HIT28" i="3" s="1"/>
  <c r="HJX28" i="3" s="1"/>
  <c r="HLB28" i="3" s="1"/>
  <c r="HMF28" i="3" s="1"/>
  <c r="HHI28" i="3"/>
  <c r="HHQ28" i="3"/>
  <c r="HIU28" i="3" s="1"/>
  <c r="HJY28" i="3" s="1"/>
  <c r="HHJ28" i="3"/>
  <c r="HJL28" i="3" l="1"/>
  <c r="HKP28" i="3" s="1"/>
  <c r="HJE28" i="3"/>
  <c r="HIM28" i="3"/>
  <c r="HJQ28" i="3" s="1"/>
  <c r="HKU28" i="3" s="1"/>
  <c r="HLY28" i="3" s="1"/>
  <c r="HNC28" i="3" s="1"/>
  <c r="HIF28" i="3"/>
  <c r="HIS28" i="3"/>
  <c r="HJW28" i="3" s="1"/>
  <c r="HLA28" i="3" s="1"/>
  <c r="HME28" i="3" s="1"/>
  <c r="HNI28" i="3" s="1"/>
  <c r="HIL28" i="3"/>
  <c r="HIN28" i="3"/>
  <c r="HJR28" i="3" s="1"/>
  <c r="HKV28" i="3" s="1"/>
  <c r="HIG28" i="3"/>
  <c r="HJF28" i="3"/>
  <c r="HKJ28" i="3" s="1"/>
  <c r="HLN28" i="3" s="1"/>
  <c r="HIY28" i="3"/>
  <c r="HJP28" i="3" l="1"/>
  <c r="HKT28" i="3" s="1"/>
  <c r="HLX28" i="3" s="1"/>
  <c r="HNB28" i="3" s="1"/>
  <c r="HOF28" i="3" s="1"/>
  <c r="HJI28" i="3"/>
  <c r="HKC28" i="3"/>
  <c r="HLG28" i="3" s="1"/>
  <c r="HMK28" i="3" s="1"/>
  <c r="HJV28" i="3"/>
  <c r="HKI28" i="3"/>
  <c r="HLM28" i="3" s="1"/>
  <c r="HKB28" i="3"/>
  <c r="HJJ28" i="3"/>
  <c r="HKN28" i="3" s="1"/>
  <c r="HLR28" i="3" s="1"/>
  <c r="HMV28" i="3" s="1"/>
  <c r="HNZ28" i="3" s="1"/>
  <c r="HJC28" i="3"/>
  <c r="HJK28" i="3"/>
  <c r="HKO28" i="3" s="1"/>
  <c r="HLS28" i="3" s="1"/>
  <c r="HJD28" i="3"/>
  <c r="HKG28" i="3" l="1"/>
  <c r="HLK28" i="3" s="1"/>
  <c r="HMO28" i="3" s="1"/>
  <c r="HNS28" i="3" s="1"/>
  <c r="HOW28" i="3" s="1"/>
  <c r="HJZ28" i="3"/>
  <c r="HKZ28" i="3"/>
  <c r="HMD28" i="3" s="1"/>
  <c r="HNH28" i="3" s="1"/>
  <c r="HKS28" i="3"/>
  <c r="HKH28" i="3"/>
  <c r="HLL28" i="3" s="1"/>
  <c r="HMP28" i="3" s="1"/>
  <c r="HKA28" i="3"/>
  <c r="HKM28" i="3"/>
  <c r="HLQ28" i="3" s="1"/>
  <c r="HMU28" i="3" s="1"/>
  <c r="HNY28" i="3" s="1"/>
  <c r="HPC28" i="3" s="1"/>
  <c r="HKF28" i="3"/>
  <c r="HLF28" i="3"/>
  <c r="HMJ28" i="3" s="1"/>
  <c r="HKY28" i="3"/>
  <c r="HLJ28" i="3" l="1"/>
  <c r="HMN28" i="3" s="1"/>
  <c r="HNR28" i="3" s="1"/>
  <c r="HOV28" i="3" s="1"/>
  <c r="HPZ28" i="3" s="1"/>
  <c r="HLC28" i="3"/>
  <c r="HLW28" i="3"/>
  <c r="HNA28" i="3" s="1"/>
  <c r="HOE28" i="3" s="1"/>
  <c r="HLP28" i="3"/>
  <c r="HMC28" i="3"/>
  <c r="HNG28" i="3" s="1"/>
  <c r="HLV28" i="3"/>
  <c r="HLE28" i="3"/>
  <c r="HMI28" i="3" s="1"/>
  <c r="HNM28" i="3" s="1"/>
  <c r="HKX28" i="3"/>
  <c r="HLD28" i="3"/>
  <c r="HMH28" i="3" s="1"/>
  <c r="HNL28" i="3" s="1"/>
  <c r="HOP28" i="3" s="1"/>
  <c r="HPT28" i="3" s="1"/>
  <c r="HKW28" i="3"/>
  <c r="HMB28" i="3" l="1"/>
  <c r="HNF28" i="3" s="1"/>
  <c r="HOJ28" i="3" s="1"/>
  <c r="HLU28" i="3"/>
  <c r="HMT28" i="3"/>
  <c r="HNX28" i="3" s="1"/>
  <c r="HPB28" i="3" s="1"/>
  <c r="HMM28" i="3"/>
  <c r="HMA28" i="3"/>
  <c r="HNE28" i="3" s="1"/>
  <c r="HOI28" i="3" s="1"/>
  <c r="HPM28" i="3" s="1"/>
  <c r="HQQ28" i="3" s="1"/>
  <c r="HLT28" i="3"/>
  <c r="HMZ28" i="3"/>
  <c r="HOD28" i="3" s="1"/>
  <c r="HMS28" i="3"/>
  <c r="HMG28" i="3"/>
  <c r="HNK28" i="3" s="1"/>
  <c r="HOO28" i="3" s="1"/>
  <c r="HPS28" i="3" s="1"/>
  <c r="HQW28" i="3" s="1"/>
  <c r="HLZ28" i="3"/>
  <c r="HMY28" i="3" l="1"/>
  <c r="HOC28" i="3" s="1"/>
  <c r="HPG28" i="3" s="1"/>
  <c r="HMR28" i="3"/>
  <c r="HNQ28" i="3"/>
  <c r="HOU28" i="3" s="1"/>
  <c r="HPY28" i="3" s="1"/>
  <c r="HNJ28" i="3"/>
  <c r="HND28" i="3"/>
  <c r="HOH28" i="3" s="1"/>
  <c r="HPL28" i="3" s="1"/>
  <c r="HQP28" i="3" s="1"/>
  <c r="HRT28" i="3" s="1"/>
  <c r="HMW28" i="3"/>
  <c r="HMX28" i="3"/>
  <c r="HOB28" i="3" s="1"/>
  <c r="HPF28" i="3" s="1"/>
  <c r="HQJ28" i="3" s="1"/>
  <c r="HRN28" i="3" s="1"/>
  <c r="HMQ28" i="3"/>
  <c r="HNW28" i="3"/>
  <c r="HPA28" i="3" s="1"/>
  <c r="HNP28" i="3"/>
  <c r="HNV28" i="3" l="1"/>
  <c r="HOZ28" i="3" s="1"/>
  <c r="HQD28" i="3" s="1"/>
  <c r="HNO28" i="3"/>
  <c r="HNU28" i="3"/>
  <c r="HOY28" i="3" s="1"/>
  <c r="HQC28" i="3" s="1"/>
  <c r="HRG28" i="3" s="1"/>
  <c r="HSK28" i="3" s="1"/>
  <c r="HNN28" i="3"/>
  <c r="HON28" i="3"/>
  <c r="HPR28" i="3" s="1"/>
  <c r="HQV28" i="3" s="1"/>
  <c r="HOG28" i="3"/>
  <c r="HOT28" i="3"/>
  <c r="HPX28" i="3" s="1"/>
  <c r="HOM28" i="3"/>
  <c r="HOA28" i="3"/>
  <c r="HPE28" i="3" s="1"/>
  <c r="HQI28" i="3" s="1"/>
  <c r="HRM28" i="3" s="1"/>
  <c r="HSQ28" i="3" s="1"/>
  <c r="HNT28" i="3"/>
  <c r="HOX28" i="3" l="1"/>
  <c r="HQB28" i="3" s="1"/>
  <c r="HRF28" i="3" s="1"/>
  <c r="HSJ28" i="3" s="1"/>
  <c r="HTN28" i="3" s="1"/>
  <c r="HOQ28" i="3"/>
  <c r="HPK28" i="3"/>
  <c r="HQO28" i="3" s="1"/>
  <c r="HRS28" i="3" s="1"/>
  <c r="HPD28" i="3"/>
  <c r="HOS28" i="3"/>
  <c r="HPW28" i="3" s="1"/>
  <c r="HRA28" i="3" s="1"/>
  <c r="HOL28" i="3"/>
  <c r="HPQ28" i="3"/>
  <c r="HQU28" i="3" s="1"/>
  <c r="HPJ28" i="3"/>
  <c r="HOR28" i="3"/>
  <c r="HPV28" i="3" s="1"/>
  <c r="HQZ28" i="3" s="1"/>
  <c r="HSD28" i="3" s="1"/>
  <c r="HTH28" i="3" s="1"/>
  <c r="HOK28" i="3"/>
  <c r="HQN28" i="3" l="1"/>
  <c r="HRR28" i="3" s="1"/>
  <c r="HQG28" i="3"/>
  <c r="HPP28" i="3"/>
  <c r="HQT28" i="3" s="1"/>
  <c r="HRX28" i="3" s="1"/>
  <c r="HPI28" i="3"/>
  <c r="HPO28" i="3"/>
  <c r="HQS28" i="3" s="1"/>
  <c r="HRW28" i="3" s="1"/>
  <c r="HTA28" i="3" s="1"/>
  <c r="HUE28" i="3" s="1"/>
  <c r="HPH28" i="3"/>
  <c r="HPU28" i="3"/>
  <c r="HQY28" i="3" s="1"/>
  <c r="HSC28" i="3" s="1"/>
  <c r="HTG28" i="3" s="1"/>
  <c r="HUK28" i="3" s="1"/>
  <c r="HPN28" i="3"/>
  <c r="HQH28" i="3"/>
  <c r="HRL28" i="3" s="1"/>
  <c r="HSP28" i="3" s="1"/>
  <c r="HQA28" i="3"/>
  <c r="HQM28" i="3" l="1"/>
  <c r="HRQ28" i="3" s="1"/>
  <c r="HSU28" i="3" s="1"/>
  <c r="HQF28" i="3"/>
  <c r="HRE28" i="3"/>
  <c r="HSI28" i="3" s="1"/>
  <c r="HTM28" i="3" s="1"/>
  <c r="HQX28" i="3"/>
  <c r="HQR28" i="3"/>
  <c r="HRV28" i="3" s="1"/>
  <c r="HSZ28" i="3" s="1"/>
  <c r="HUD28" i="3" s="1"/>
  <c r="HVH28" i="3" s="1"/>
  <c r="HQK28" i="3"/>
  <c r="HQL28" i="3"/>
  <c r="HRP28" i="3" s="1"/>
  <c r="HST28" i="3" s="1"/>
  <c r="HTX28" i="3" s="1"/>
  <c r="HVB28" i="3" s="1"/>
  <c r="HQE28" i="3"/>
  <c r="HRK28" i="3"/>
  <c r="HSO28" i="3" s="1"/>
  <c r="HRD28" i="3"/>
  <c r="HRI28" i="3" l="1"/>
  <c r="HSM28" i="3" s="1"/>
  <c r="HTQ28" i="3" s="1"/>
  <c r="HUU28" i="3" s="1"/>
  <c r="HVY28" i="3" s="1"/>
  <c r="HRB28" i="3"/>
  <c r="HSB28" i="3"/>
  <c r="HTF28" i="3" s="1"/>
  <c r="HUJ28" i="3" s="1"/>
  <c r="HRU28" i="3"/>
  <c r="HRJ28" i="3"/>
  <c r="HSN28" i="3" s="1"/>
  <c r="HTR28" i="3" s="1"/>
  <c r="HRC28" i="3"/>
  <c r="HSH28" i="3"/>
  <c r="HTL28" i="3" s="1"/>
  <c r="HSA28" i="3"/>
  <c r="HRO28" i="3"/>
  <c r="HSS28" i="3" s="1"/>
  <c r="HTW28" i="3" s="1"/>
  <c r="HVA28" i="3" s="1"/>
  <c r="HWE28" i="3" s="1"/>
  <c r="HRH28" i="3"/>
  <c r="HSG28" i="3" l="1"/>
  <c r="HTK28" i="3" s="1"/>
  <c r="HUO28" i="3" s="1"/>
  <c r="HRZ28" i="3"/>
  <c r="HSF28" i="3"/>
  <c r="HTJ28" i="3" s="1"/>
  <c r="HUN28" i="3" s="1"/>
  <c r="HVR28" i="3" s="1"/>
  <c r="HWV28" i="3" s="1"/>
  <c r="HRY28" i="3"/>
  <c r="HSY28" i="3"/>
  <c r="HUC28" i="3" s="1"/>
  <c r="HVG28" i="3" s="1"/>
  <c r="HSR28" i="3"/>
  <c r="HSL28" i="3"/>
  <c r="HTP28" i="3" s="1"/>
  <c r="HUT28" i="3" s="1"/>
  <c r="HVX28" i="3" s="1"/>
  <c r="HXB28" i="3" s="1"/>
  <c r="HSE28" i="3"/>
  <c r="HTE28" i="3"/>
  <c r="HUI28" i="3" s="1"/>
  <c r="HSX28" i="3"/>
  <c r="HTI28" i="3" l="1"/>
  <c r="HUM28" i="3" s="1"/>
  <c r="HVQ28" i="3" s="1"/>
  <c r="HWU28" i="3" s="1"/>
  <c r="HXY28" i="3" s="1"/>
  <c r="HTB28" i="3"/>
  <c r="HTC28" i="3"/>
  <c r="HUG28" i="3" s="1"/>
  <c r="HVK28" i="3" s="1"/>
  <c r="HWO28" i="3" s="1"/>
  <c r="HXS28" i="3" s="1"/>
  <c r="HSV28" i="3"/>
  <c r="HUB28" i="3"/>
  <c r="HVF28" i="3" s="1"/>
  <c r="HTU28" i="3"/>
  <c r="HTD28" i="3"/>
  <c r="HUH28" i="3" s="1"/>
  <c r="HVL28" i="3" s="1"/>
  <c r="HSW28" i="3"/>
  <c r="HTV28" i="3"/>
  <c r="HUZ28" i="3" s="1"/>
  <c r="HWD28" i="3" s="1"/>
  <c r="HTO28" i="3"/>
  <c r="HTZ28" i="3" l="1"/>
  <c r="HVD28" i="3" s="1"/>
  <c r="HWH28" i="3" s="1"/>
  <c r="HXL28" i="3" s="1"/>
  <c r="HYP28" i="3" s="1"/>
  <c r="HTS28" i="3"/>
  <c r="HUA28" i="3"/>
  <c r="HVE28" i="3" s="1"/>
  <c r="HWI28" i="3" s="1"/>
  <c r="HTT28" i="3"/>
  <c r="HUS28" i="3"/>
  <c r="HVW28" i="3" s="1"/>
  <c r="HXA28" i="3" s="1"/>
  <c r="HUL28" i="3"/>
  <c r="HUF28" i="3"/>
  <c r="HVJ28" i="3" s="1"/>
  <c r="HWN28" i="3" s="1"/>
  <c r="HXR28" i="3" s="1"/>
  <c r="HYV28" i="3" s="1"/>
  <c r="HTY28" i="3"/>
  <c r="HUY28" i="3"/>
  <c r="HWC28" i="3" s="1"/>
  <c r="HUR28" i="3"/>
  <c r="HVC28" i="3" l="1"/>
  <c r="HWG28" i="3" s="1"/>
  <c r="HXK28" i="3" s="1"/>
  <c r="HYO28" i="3" s="1"/>
  <c r="HZS28" i="3" s="1"/>
  <c r="HUV28" i="3"/>
  <c r="HVV28" i="3"/>
  <c r="HWZ28" i="3" s="1"/>
  <c r="HVO28" i="3"/>
  <c r="HUX28" i="3"/>
  <c r="HWB28" i="3" s="1"/>
  <c r="HXF28" i="3" s="1"/>
  <c r="HUQ28" i="3"/>
  <c r="HUW28" i="3"/>
  <c r="HWA28" i="3" s="1"/>
  <c r="HXE28" i="3" s="1"/>
  <c r="HYI28" i="3" s="1"/>
  <c r="HZM28" i="3" s="1"/>
  <c r="HUP28" i="3"/>
  <c r="HVP28" i="3"/>
  <c r="HWT28" i="3" s="1"/>
  <c r="HXX28" i="3" s="1"/>
  <c r="HVI28" i="3"/>
  <c r="HVT28" i="3" l="1"/>
  <c r="HWX28" i="3" s="1"/>
  <c r="HYB28" i="3" s="1"/>
  <c r="HZF28" i="3" s="1"/>
  <c r="IAJ28" i="3" s="1"/>
  <c r="HVM28" i="3"/>
  <c r="HWS28" i="3"/>
  <c r="HXW28" i="3" s="1"/>
  <c r="HWL28" i="3"/>
  <c r="HVZ28" i="3"/>
  <c r="HXD28" i="3" s="1"/>
  <c r="HYH28" i="3" s="1"/>
  <c r="HZL28" i="3" s="1"/>
  <c r="IAP28" i="3" s="1"/>
  <c r="HVS28" i="3"/>
  <c r="HWM28" i="3"/>
  <c r="HXQ28" i="3" s="1"/>
  <c r="HYU28" i="3" s="1"/>
  <c r="HWF28" i="3"/>
  <c r="HVU28" i="3"/>
  <c r="HWY28" i="3" s="1"/>
  <c r="HYC28" i="3" s="1"/>
  <c r="HVN28" i="3"/>
  <c r="HXJ28" i="3" l="1"/>
  <c r="HYN28" i="3" s="1"/>
  <c r="HZR28" i="3" s="1"/>
  <c r="HXC28" i="3"/>
  <c r="HWR28" i="3"/>
  <c r="HXV28" i="3" s="1"/>
  <c r="HYZ28" i="3" s="1"/>
  <c r="HWK28" i="3"/>
  <c r="HWW28" i="3"/>
  <c r="HYA28" i="3" s="1"/>
  <c r="HZE28" i="3" s="1"/>
  <c r="IAI28" i="3" s="1"/>
  <c r="IBM28" i="3" s="1"/>
  <c r="HWP28" i="3"/>
  <c r="HXP28" i="3"/>
  <c r="HYT28" i="3" s="1"/>
  <c r="HXI28" i="3"/>
  <c r="HWQ28" i="3"/>
  <c r="HXU28" i="3" s="1"/>
  <c r="HYY28" i="3" s="1"/>
  <c r="IAC28" i="3" s="1"/>
  <c r="IBG28" i="3" s="1"/>
  <c r="HWJ28" i="3"/>
  <c r="HXT28" i="3" l="1"/>
  <c r="HYX28" i="3" s="1"/>
  <c r="IAB28" i="3" s="1"/>
  <c r="IBF28" i="3" s="1"/>
  <c r="ICJ28" i="3" s="1"/>
  <c r="HXM28" i="3"/>
  <c r="HYM28" i="3"/>
  <c r="HZQ28" i="3" s="1"/>
  <c r="HYF28" i="3"/>
  <c r="HXN28" i="3"/>
  <c r="HYR28" i="3" s="1"/>
  <c r="HZV28" i="3" s="1"/>
  <c r="IAZ28" i="3" s="1"/>
  <c r="ICD28" i="3" s="1"/>
  <c r="HXG28" i="3"/>
  <c r="HXO28" i="3"/>
  <c r="HYS28" i="3" s="1"/>
  <c r="HZW28" i="3" s="1"/>
  <c r="HXH28" i="3"/>
  <c r="HYG28" i="3"/>
  <c r="HZK28" i="3" s="1"/>
  <c r="IAO28" i="3" s="1"/>
  <c r="HXZ28" i="3"/>
  <c r="HYK28" i="3" l="1"/>
  <c r="HZO28" i="3" s="1"/>
  <c r="IAS28" i="3" s="1"/>
  <c r="IBW28" i="3" s="1"/>
  <c r="IDA28" i="3" s="1"/>
  <c r="HYD28" i="3"/>
  <c r="HYQ28" i="3"/>
  <c r="HZU28" i="3" s="1"/>
  <c r="IAY28" i="3" s="1"/>
  <c r="ICC28" i="3" s="1"/>
  <c r="IDG28" i="3" s="1"/>
  <c r="HYJ28" i="3"/>
  <c r="HZD28" i="3"/>
  <c r="IAH28" i="3" s="1"/>
  <c r="IBL28" i="3" s="1"/>
  <c r="HYW28" i="3"/>
  <c r="HYL28" i="3"/>
  <c r="HZP28" i="3" s="1"/>
  <c r="IAT28" i="3" s="1"/>
  <c r="HYE28" i="3"/>
  <c r="HZJ28" i="3"/>
  <c r="IAN28" i="3" s="1"/>
  <c r="HZC28" i="3"/>
  <c r="IAG28" i="3" l="1"/>
  <c r="IBK28" i="3" s="1"/>
  <c r="HZZ28" i="3"/>
  <c r="HZN28" i="3"/>
  <c r="IAR28" i="3" s="1"/>
  <c r="IBV28" i="3" s="1"/>
  <c r="ICZ28" i="3" s="1"/>
  <c r="IED28" i="3" s="1"/>
  <c r="HZG28" i="3"/>
  <c r="HZI28" i="3"/>
  <c r="IAM28" i="3" s="1"/>
  <c r="IBQ28" i="3" s="1"/>
  <c r="HZB28" i="3"/>
  <c r="IAA28" i="3"/>
  <c r="IBE28" i="3" s="1"/>
  <c r="ICI28" i="3" s="1"/>
  <c r="HZT28" i="3"/>
  <c r="HZH28" i="3"/>
  <c r="IAL28" i="3" s="1"/>
  <c r="IBP28" i="3" s="1"/>
  <c r="ICT28" i="3" s="1"/>
  <c r="IDX28" i="3" s="1"/>
  <c r="HZA28" i="3"/>
  <c r="IAX28" i="3" l="1"/>
  <c r="ICB28" i="3" s="1"/>
  <c r="IDF28" i="3" s="1"/>
  <c r="IAQ28" i="3"/>
  <c r="IBD28" i="3"/>
  <c r="ICH28" i="3" s="1"/>
  <c r="IAW28" i="3"/>
  <c r="IAE28" i="3"/>
  <c r="IBI28" i="3" s="1"/>
  <c r="ICM28" i="3" s="1"/>
  <c r="IDQ28" i="3" s="1"/>
  <c r="IEU28" i="3" s="1"/>
  <c r="HZX28" i="3"/>
  <c r="IAF28" i="3"/>
  <c r="IBJ28" i="3" s="1"/>
  <c r="ICN28" i="3" s="1"/>
  <c r="HZY28" i="3"/>
  <c r="IAK28" i="3"/>
  <c r="IBO28" i="3" s="1"/>
  <c r="ICS28" i="3" s="1"/>
  <c r="IDW28" i="3" s="1"/>
  <c r="IFA28" i="3" s="1"/>
  <c r="IAD28" i="3"/>
  <c r="IBH28" i="3" l="1"/>
  <c r="ICL28" i="3" s="1"/>
  <c r="IDP28" i="3" s="1"/>
  <c r="IET28" i="3" s="1"/>
  <c r="IFX28" i="3" s="1"/>
  <c r="IBA28" i="3"/>
  <c r="IBC28" i="3"/>
  <c r="ICG28" i="3" s="1"/>
  <c r="IDK28" i="3" s="1"/>
  <c r="IAV28" i="3"/>
  <c r="IBB28" i="3"/>
  <c r="ICF28" i="3" s="1"/>
  <c r="IDJ28" i="3" s="1"/>
  <c r="IEN28" i="3" s="1"/>
  <c r="IFR28" i="3" s="1"/>
  <c r="IAU28" i="3"/>
  <c r="IBU28" i="3"/>
  <c r="ICY28" i="3" s="1"/>
  <c r="IEC28" i="3" s="1"/>
  <c r="IBN28" i="3"/>
  <c r="ICA28" i="3"/>
  <c r="IDE28" i="3" s="1"/>
  <c r="IBT28" i="3"/>
  <c r="IBY28" i="3" l="1"/>
  <c r="IDC28" i="3" s="1"/>
  <c r="IEG28" i="3" s="1"/>
  <c r="IFK28" i="3" s="1"/>
  <c r="IGO28" i="3" s="1"/>
  <c r="IBR28" i="3"/>
  <c r="ICR28" i="3"/>
  <c r="IDV28" i="3" s="1"/>
  <c r="IEZ28" i="3" s="1"/>
  <c r="ICK28" i="3"/>
  <c r="IBZ28" i="3"/>
  <c r="IDD28" i="3" s="1"/>
  <c r="IEH28" i="3" s="1"/>
  <c r="IBS28" i="3"/>
  <c r="ICX28" i="3"/>
  <c r="IEB28" i="3" s="1"/>
  <c r="ICQ28" i="3"/>
  <c r="ICE28" i="3"/>
  <c r="IDI28" i="3" s="1"/>
  <c r="IEM28" i="3" s="1"/>
  <c r="IFQ28" i="3" s="1"/>
  <c r="IGU28" i="3" s="1"/>
  <c r="IBX28" i="3"/>
  <c r="ICW28" i="3" l="1"/>
  <c r="IEA28" i="3" s="1"/>
  <c r="IFE28" i="3" s="1"/>
  <c r="ICP28" i="3"/>
  <c r="IDO28" i="3"/>
  <c r="IES28" i="3" s="1"/>
  <c r="IFW28" i="3" s="1"/>
  <c r="IDH28" i="3"/>
  <c r="IDU28" i="3"/>
  <c r="IEY28" i="3" s="1"/>
  <c r="IDN28" i="3"/>
  <c r="ICV28" i="3"/>
  <c r="IDZ28" i="3" s="1"/>
  <c r="IFD28" i="3" s="1"/>
  <c r="IGH28" i="3" s="1"/>
  <c r="IHL28" i="3" s="1"/>
  <c r="ICO28" i="3"/>
  <c r="IDB28" i="3"/>
  <c r="IEF28" i="3" s="1"/>
  <c r="IFJ28" i="3" s="1"/>
  <c r="IGN28" i="3" s="1"/>
  <c r="IHR28" i="3" s="1"/>
  <c r="ICU28" i="3"/>
  <c r="IDS28" i="3" l="1"/>
  <c r="IEW28" i="3" s="1"/>
  <c r="IGA28" i="3" s="1"/>
  <c r="IHE28" i="3" s="1"/>
  <c r="III28" i="3" s="1"/>
  <c r="IDL28" i="3"/>
  <c r="IEL28" i="3"/>
  <c r="IFP28" i="3" s="1"/>
  <c r="IGT28" i="3" s="1"/>
  <c r="IEE28" i="3"/>
  <c r="IDY28" i="3"/>
  <c r="IFC28" i="3" s="1"/>
  <c r="IGG28" i="3" s="1"/>
  <c r="IHK28" i="3" s="1"/>
  <c r="IIO28" i="3" s="1"/>
  <c r="IDR28" i="3"/>
  <c r="IER28" i="3"/>
  <c r="IFV28" i="3" s="1"/>
  <c r="IEK28" i="3"/>
  <c r="IDT28" i="3"/>
  <c r="IEX28" i="3" s="1"/>
  <c r="IGB28" i="3" s="1"/>
  <c r="IDM28" i="3"/>
  <c r="IEQ28" i="3" l="1"/>
  <c r="IFU28" i="3" s="1"/>
  <c r="IGY28" i="3" s="1"/>
  <c r="IEJ28" i="3"/>
  <c r="IEP28" i="3"/>
  <c r="IFT28" i="3" s="1"/>
  <c r="IGX28" i="3" s="1"/>
  <c r="IIB28" i="3" s="1"/>
  <c r="IJF28" i="3" s="1"/>
  <c r="IEI28" i="3"/>
  <c r="IEV28" i="3"/>
  <c r="IFZ28" i="3" s="1"/>
  <c r="IHD28" i="3" s="1"/>
  <c r="IIH28" i="3" s="1"/>
  <c r="IJL28" i="3" s="1"/>
  <c r="IEO28" i="3"/>
  <c r="IFO28" i="3"/>
  <c r="IGS28" i="3" s="1"/>
  <c r="IFH28" i="3"/>
  <c r="IFI28" i="3"/>
  <c r="IGM28" i="3" s="1"/>
  <c r="IHQ28" i="3" s="1"/>
  <c r="IFB28" i="3"/>
  <c r="IFS28" i="3" l="1"/>
  <c r="IGW28" i="3" s="1"/>
  <c r="IIA28" i="3" s="1"/>
  <c r="IJE28" i="3" s="1"/>
  <c r="IKI28" i="3" s="1"/>
  <c r="IFL28" i="3"/>
  <c r="IGF28" i="3"/>
  <c r="IHJ28" i="3" s="1"/>
  <c r="IIN28" i="3" s="1"/>
  <c r="IFY28" i="3"/>
  <c r="IGL28" i="3"/>
  <c r="IHP28" i="3" s="1"/>
  <c r="IGE28" i="3"/>
  <c r="IFM28" i="3"/>
  <c r="IGQ28" i="3" s="1"/>
  <c r="IHU28" i="3" s="1"/>
  <c r="IIY28" i="3" s="1"/>
  <c r="IKC28" i="3" s="1"/>
  <c r="IFF28" i="3"/>
  <c r="IFN28" i="3"/>
  <c r="IGR28" i="3" s="1"/>
  <c r="IHV28" i="3" s="1"/>
  <c r="IFG28" i="3"/>
  <c r="IHI28" i="3" l="1"/>
  <c r="IIM28" i="3" s="1"/>
  <c r="IHB28" i="3"/>
  <c r="IHC28" i="3"/>
  <c r="IIG28" i="3" s="1"/>
  <c r="IJK28" i="3" s="1"/>
  <c r="IGV28" i="3"/>
  <c r="IGJ28" i="3"/>
  <c r="IHN28" i="3" s="1"/>
  <c r="IIR28" i="3" s="1"/>
  <c r="IJV28" i="3" s="1"/>
  <c r="IKZ28" i="3" s="1"/>
  <c r="IGC28" i="3"/>
  <c r="IGP28" i="3"/>
  <c r="IHT28" i="3" s="1"/>
  <c r="IIX28" i="3" s="1"/>
  <c r="IKB28" i="3" s="1"/>
  <c r="ILF28" i="3" s="1"/>
  <c r="IGI28" i="3"/>
  <c r="IGK28" i="3"/>
  <c r="IHO28" i="3" s="1"/>
  <c r="IIS28" i="3" s="1"/>
  <c r="IGD28" i="3"/>
  <c r="IHM28" i="3" l="1"/>
  <c r="IIQ28" i="3" s="1"/>
  <c r="IJU28" i="3" s="1"/>
  <c r="IKY28" i="3" s="1"/>
  <c r="IMC28" i="3" s="1"/>
  <c r="IHF28" i="3"/>
  <c r="IHG28" i="3"/>
  <c r="IIK28" i="3" s="1"/>
  <c r="IJO28" i="3" s="1"/>
  <c r="IKS28" i="3" s="1"/>
  <c r="ILW28" i="3" s="1"/>
  <c r="IGZ28" i="3"/>
  <c r="IIF28" i="3"/>
  <c r="IJJ28" i="3" s="1"/>
  <c r="IHY28" i="3"/>
  <c r="IHH28" i="3"/>
  <c r="IIL28" i="3" s="1"/>
  <c r="IJP28" i="3" s="1"/>
  <c r="IHA28" i="3"/>
  <c r="IHZ28" i="3"/>
  <c r="IJD28" i="3" s="1"/>
  <c r="IKH28" i="3" s="1"/>
  <c r="IHS28" i="3"/>
  <c r="IIE28" i="3" l="1"/>
  <c r="IJI28" i="3" s="1"/>
  <c r="IKM28" i="3" s="1"/>
  <c r="IHX28" i="3"/>
  <c r="IID28" i="3"/>
  <c r="IJH28" i="3" s="1"/>
  <c r="IKL28" i="3" s="1"/>
  <c r="ILP28" i="3" s="1"/>
  <c r="IMT28" i="3" s="1"/>
  <c r="IHW28" i="3"/>
  <c r="IIJ28" i="3"/>
  <c r="IJN28" i="3" s="1"/>
  <c r="IKR28" i="3" s="1"/>
  <c r="ILV28" i="3" s="1"/>
  <c r="IMZ28" i="3" s="1"/>
  <c r="IIC28" i="3"/>
  <c r="IIW28" i="3"/>
  <c r="IKA28" i="3" s="1"/>
  <c r="ILE28" i="3" s="1"/>
  <c r="IIP28" i="3"/>
  <c r="IJC28" i="3"/>
  <c r="IKG28" i="3" s="1"/>
  <c r="IIV28" i="3"/>
  <c r="IJG28" i="3" l="1"/>
  <c r="IKK28" i="3" s="1"/>
  <c r="ILO28" i="3" s="1"/>
  <c r="IMS28" i="3" s="1"/>
  <c r="INW28" i="3" s="1"/>
  <c r="IIZ28" i="3"/>
  <c r="IJA28" i="3"/>
  <c r="IKE28" i="3" s="1"/>
  <c r="ILI28" i="3" s="1"/>
  <c r="IMM28" i="3" s="1"/>
  <c r="INQ28" i="3" s="1"/>
  <c r="IIT28" i="3"/>
  <c r="IJZ28" i="3"/>
  <c r="ILD28" i="3" s="1"/>
  <c r="IJS28" i="3"/>
  <c r="IJT28" i="3"/>
  <c r="IKX28" i="3" s="1"/>
  <c r="IMB28" i="3" s="1"/>
  <c r="IJM28" i="3"/>
  <c r="IJB28" i="3"/>
  <c r="IKF28" i="3" s="1"/>
  <c r="ILJ28" i="3" s="1"/>
  <c r="IIU28" i="3"/>
  <c r="IKQ28" i="3" l="1"/>
  <c r="ILU28" i="3" s="1"/>
  <c r="IMY28" i="3" s="1"/>
  <c r="IKJ28" i="3"/>
  <c r="IJX28" i="3"/>
  <c r="ILB28" i="3" s="1"/>
  <c r="IMF28" i="3" s="1"/>
  <c r="INJ28" i="3" s="1"/>
  <c r="ION28" i="3" s="1"/>
  <c r="IJQ28" i="3"/>
  <c r="IJY28" i="3"/>
  <c r="ILC28" i="3" s="1"/>
  <c r="IMG28" i="3" s="1"/>
  <c r="IJR28" i="3"/>
  <c r="IKW28" i="3"/>
  <c r="IMA28" i="3" s="1"/>
  <c r="IKP28" i="3"/>
  <c r="IKD28" i="3"/>
  <c r="ILH28" i="3" s="1"/>
  <c r="IML28" i="3" s="1"/>
  <c r="INP28" i="3" s="1"/>
  <c r="IOT28" i="3" s="1"/>
  <c r="IJW28" i="3"/>
  <c r="IKU28" i="3" l="1"/>
  <c r="ILY28" i="3" s="1"/>
  <c r="INC28" i="3" s="1"/>
  <c r="IOG28" i="3" s="1"/>
  <c r="IPK28" i="3" s="1"/>
  <c r="IKN28" i="3"/>
  <c r="IKV28" i="3"/>
  <c r="ILZ28" i="3" s="1"/>
  <c r="IND28" i="3" s="1"/>
  <c r="IKO28" i="3"/>
  <c r="ILA28" i="3"/>
  <c r="IME28" i="3" s="1"/>
  <c r="INI28" i="3" s="1"/>
  <c r="IOM28" i="3" s="1"/>
  <c r="IPQ28" i="3" s="1"/>
  <c r="IKT28" i="3"/>
  <c r="ILT28" i="3"/>
  <c r="IMX28" i="3" s="1"/>
  <c r="ILM28" i="3"/>
  <c r="ILN28" i="3"/>
  <c r="IMR28" i="3" s="1"/>
  <c r="INV28" i="3" s="1"/>
  <c r="ILG28" i="3"/>
  <c r="IMK28" i="3" l="1"/>
  <c r="INO28" i="3" s="1"/>
  <c r="IOS28" i="3" s="1"/>
  <c r="IMD28" i="3"/>
  <c r="ILS28" i="3"/>
  <c r="IMW28" i="3" s="1"/>
  <c r="IOA28" i="3" s="1"/>
  <c r="ILL28" i="3"/>
  <c r="ILR28" i="3"/>
  <c r="IMV28" i="3" s="1"/>
  <c r="INZ28" i="3" s="1"/>
  <c r="IPD28" i="3" s="1"/>
  <c r="IQH28" i="3" s="1"/>
  <c r="ILK28" i="3"/>
  <c r="IMQ28" i="3"/>
  <c r="INU28" i="3" s="1"/>
  <c r="IMJ28" i="3"/>
  <c r="ILX28" i="3"/>
  <c r="INB28" i="3" s="1"/>
  <c r="IOF28" i="3" s="1"/>
  <c r="IPJ28" i="3" s="1"/>
  <c r="IQN28" i="3" s="1"/>
  <c r="ILQ28" i="3"/>
  <c r="INH28" i="3" l="1"/>
  <c r="IOL28" i="3" s="1"/>
  <c r="IPP28" i="3" s="1"/>
  <c r="INA28" i="3"/>
  <c r="INN28" i="3"/>
  <c r="IOR28" i="3" s="1"/>
  <c r="ING28" i="3"/>
  <c r="IMP28" i="3"/>
  <c r="INT28" i="3" s="1"/>
  <c r="IOX28" i="3" s="1"/>
  <c r="IMI28" i="3"/>
  <c r="IMU28" i="3"/>
  <c r="INY28" i="3" s="1"/>
  <c r="IPC28" i="3" s="1"/>
  <c r="IQG28" i="3" s="1"/>
  <c r="IRK28" i="3" s="1"/>
  <c r="IMN28" i="3"/>
  <c r="IMO28" i="3"/>
  <c r="INS28" i="3" s="1"/>
  <c r="IOW28" i="3" s="1"/>
  <c r="IQA28" i="3" s="1"/>
  <c r="IRE28" i="3" s="1"/>
  <c r="IMH28" i="3"/>
  <c r="INL28" i="3" l="1"/>
  <c r="IOP28" i="3" s="1"/>
  <c r="IPT28" i="3" s="1"/>
  <c r="IQX28" i="3" s="1"/>
  <c r="ISB28" i="3" s="1"/>
  <c r="INE28" i="3"/>
  <c r="INM28" i="3"/>
  <c r="IOQ28" i="3" s="1"/>
  <c r="IPU28" i="3" s="1"/>
  <c r="INF28" i="3"/>
  <c r="IOE28" i="3"/>
  <c r="IPI28" i="3" s="1"/>
  <c r="IQM28" i="3" s="1"/>
  <c r="INX28" i="3"/>
  <c r="INR28" i="3"/>
  <c r="IOV28" i="3" s="1"/>
  <c r="IPZ28" i="3" s="1"/>
  <c r="IRD28" i="3" s="1"/>
  <c r="ISH28" i="3" s="1"/>
  <c r="INK28" i="3"/>
  <c r="IOK28" i="3"/>
  <c r="IPO28" i="3" s="1"/>
  <c r="IOD28" i="3"/>
  <c r="IPB28" i="3" l="1"/>
  <c r="IQF28" i="3" s="1"/>
  <c r="IRJ28" i="3" s="1"/>
  <c r="IOU28" i="3"/>
  <c r="IPH28" i="3"/>
  <c r="IQL28" i="3" s="1"/>
  <c r="IPA28" i="3"/>
  <c r="IOJ28" i="3"/>
  <c r="IPN28" i="3" s="1"/>
  <c r="IQR28" i="3" s="1"/>
  <c r="IOC28" i="3"/>
  <c r="IOI28" i="3"/>
  <c r="IPM28" i="3" s="1"/>
  <c r="IQQ28" i="3" s="1"/>
  <c r="IRU28" i="3" s="1"/>
  <c r="ISY28" i="3" s="1"/>
  <c r="IOB28" i="3"/>
  <c r="IOO28" i="3"/>
  <c r="IPS28" i="3" s="1"/>
  <c r="IQW28" i="3" s="1"/>
  <c r="ISA28" i="3" s="1"/>
  <c r="ITE28" i="3" s="1"/>
  <c r="IOH28" i="3"/>
  <c r="IQE28" i="3" l="1"/>
  <c r="IRI28" i="3" s="1"/>
  <c r="IPX28" i="3"/>
  <c r="IPF28" i="3"/>
  <c r="IQJ28" i="3" s="1"/>
  <c r="IRN28" i="3" s="1"/>
  <c r="ISR28" i="3" s="1"/>
  <c r="ITV28" i="3" s="1"/>
  <c r="IOY28" i="3"/>
  <c r="IPL28" i="3"/>
  <c r="IQP28" i="3" s="1"/>
  <c r="IRT28" i="3" s="1"/>
  <c r="ISX28" i="3" s="1"/>
  <c r="IUB28" i="3" s="1"/>
  <c r="IPE28" i="3"/>
  <c r="IPG28" i="3"/>
  <c r="IQK28" i="3" s="1"/>
  <c r="IRO28" i="3" s="1"/>
  <c r="IOZ28" i="3"/>
  <c r="IPY28" i="3"/>
  <c r="IRC28" i="3" s="1"/>
  <c r="ISG28" i="3" s="1"/>
  <c r="IPR28" i="3"/>
  <c r="IRB28" i="3" l="1"/>
  <c r="ISF28" i="3" s="1"/>
  <c r="IQU28" i="3"/>
  <c r="IQV28" i="3"/>
  <c r="IRZ28" i="3" s="1"/>
  <c r="ITD28" i="3" s="1"/>
  <c r="IQO28" i="3"/>
  <c r="IQI28" i="3"/>
  <c r="IRM28" i="3" s="1"/>
  <c r="ISQ28" i="3" s="1"/>
  <c r="ITU28" i="3" s="1"/>
  <c r="IUY28" i="3" s="1"/>
  <c r="IQB28" i="3"/>
  <c r="IQD28" i="3"/>
  <c r="IRH28" i="3" s="1"/>
  <c r="ISL28" i="3" s="1"/>
  <c r="IPW28" i="3"/>
  <c r="IQC28" i="3"/>
  <c r="IRG28" i="3" s="1"/>
  <c r="ISK28" i="3" s="1"/>
  <c r="ITO28" i="3" s="1"/>
  <c r="IUS28" i="3" s="1"/>
  <c r="IPV28" i="3"/>
  <c r="IRF28" i="3" l="1"/>
  <c r="ISJ28" i="3" s="1"/>
  <c r="ITN28" i="3" s="1"/>
  <c r="IUR28" i="3" s="1"/>
  <c r="IVV28" i="3" s="1"/>
  <c r="IQY28" i="3"/>
  <c r="IRY28" i="3"/>
  <c r="ITC28" i="3" s="1"/>
  <c r="IRR28" i="3"/>
  <c r="IRS28" i="3"/>
  <c r="ISW28" i="3" s="1"/>
  <c r="IUA28" i="3" s="1"/>
  <c r="IRL28" i="3"/>
  <c r="IRA28" i="3"/>
  <c r="ISE28" i="3" s="1"/>
  <c r="ITI28" i="3" s="1"/>
  <c r="IQT28" i="3"/>
  <c r="IQZ28" i="3"/>
  <c r="ISD28" i="3" s="1"/>
  <c r="ITH28" i="3" s="1"/>
  <c r="IUL28" i="3" s="1"/>
  <c r="IVP28" i="3" s="1"/>
  <c r="IQS28" i="3"/>
  <c r="IRX28" i="3" l="1"/>
  <c r="ITB28" i="3" s="1"/>
  <c r="IUF28" i="3" s="1"/>
  <c r="IRQ28" i="3"/>
  <c r="ISV28" i="3"/>
  <c r="ITZ28" i="3" s="1"/>
  <c r="ISO28" i="3"/>
  <c r="IRW28" i="3"/>
  <c r="ITA28" i="3" s="1"/>
  <c r="IUE28" i="3" s="1"/>
  <c r="IVI28" i="3" s="1"/>
  <c r="IWM28" i="3" s="1"/>
  <c r="IRP28" i="3"/>
  <c r="ISP28" i="3"/>
  <c r="ITT28" i="3" s="1"/>
  <c r="IUX28" i="3" s="1"/>
  <c r="ISI28" i="3"/>
  <c r="ISC28" i="3"/>
  <c r="ITG28" i="3" s="1"/>
  <c r="IUK28" i="3" s="1"/>
  <c r="IVO28" i="3" s="1"/>
  <c r="IWS28" i="3" s="1"/>
  <c r="IRV28" i="3"/>
  <c r="ITS28" i="3" l="1"/>
  <c r="IUW28" i="3" s="1"/>
  <c r="ITL28" i="3"/>
  <c r="ISZ28" i="3"/>
  <c r="IUD28" i="3" s="1"/>
  <c r="IVH28" i="3" s="1"/>
  <c r="IWL28" i="3" s="1"/>
  <c r="IXP28" i="3" s="1"/>
  <c r="ISS28" i="3"/>
  <c r="ITM28" i="3"/>
  <c r="IUQ28" i="3" s="1"/>
  <c r="IVU28" i="3" s="1"/>
  <c r="ITF28" i="3"/>
  <c r="ISU28" i="3"/>
  <c r="ITY28" i="3" s="1"/>
  <c r="IVC28" i="3" s="1"/>
  <c r="ISN28" i="3"/>
  <c r="IST28" i="3"/>
  <c r="ITX28" i="3" s="1"/>
  <c r="IVB28" i="3" s="1"/>
  <c r="IWF28" i="3" s="1"/>
  <c r="IXJ28" i="3" s="1"/>
  <c r="ISM28" i="3"/>
  <c r="ITR28" i="3" l="1"/>
  <c r="IUV28" i="3" s="1"/>
  <c r="IVZ28" i="3" s="1"/>
  <c r="ITK28" i="3"/>
  <c r="IUJ28" i="3"/>
  <c r="IVN28" i="3" s="1"/>
  <c r="IWR28" i="3" s="1"/>
  <c r="IUC28" i="3"/>
  <c r="IUP28" i="3"/>
  <c r="IVT28" i="3" s="1"/>
  <c r="IUI28" i="3"/>
  <c r="ITQ28" i="3"/>
  <c r="IUU28" i="3" s="1"/>
  <c r="IVY28" i="3" s="1"/>
  <c r="IXC28" i="3" s="1"/>
  <c r="IYG28" i="3" s="1"/>
  <c r="ITJ28" i="3"/>
  <c r="ITW28" i="3"/>
  <c r="IVA28" i="3" s="1"/>
  <c r="IWE28" i="3" s="1"/>
  <c r="IXI28" i="3" s="1"/>
  <c r="IYM28" i="3" s="1"/>
  <c r="ITP28" i="3"/>
  <c r="IVM28" i="3" l="1"/>
  <c r="IWQ28" i="3" s="1"/>
  <c r="IVF28" i="3"/>
  <c r="IUN28" i="3"/>
  <c r="IVR28" i="3" s="1"/>
  <c r="IWV28" i="3" s="1"/>
  <c r="IXZ28" i="3" s="1"/>
  <c r="IZD28" i="3" s="1"/>
  <c r="IUG28" i="3"/>
  <c r="IVG28" i="3"/>
  <c r="IWK28" i="3" s="1"/>
  <c r="IXO28" i="3" s="1"/>
  <c r="IUZ28" i="3"/>
  <c r="IUO28" i="3"/>
  <c r="IVS28" i="3" s="1"/>
  <c r="IWW28" i="3" s="1"/>
  <c r="IUH28" i="3"/>
  <c r="IUT28" i="3"/>
  <c r="IVX28" i="3" s="1"/>
  <c r="IXB28" i="3" s="1"/>
  <c r="IYF28" i="3" s="1"/>
  <c r="IZJ28" i="3" s="1"/>
  <c r="IUM28" i="3"/>
  <c r="IWJ28" i="3" l="1"/>
  <c r="IXN28" i="3" s="1"/>
  <c r="IWC28" i="3"/>
  <c r="IVL28" i="3"/>
  <c r="IWP28" i="3" s="1"/>
  <c r="IXT28" i="3" s="1"/>
  <c r="IVE28" i="3"/>
  <c r="IVK28" i="3"/>
  <c r="IWO28" i="3" s="1"/>
  <c r="IXS28" i="3" s="1"/>
  <c r="IYW28" i="3" s="1"/>
  <c r="JAA28" i="3" s="1"/>
  <c r="IVD28" i="3"/>
  <c r="IVQ28" i="3"/>
  <c r="IWU28" i="3" s="1"/>
  <c r="IXY28" i="3" s="1"/>
  <c r="IZC28" i="3" s="1"/>
  <c r="JAG28" i="3" s="1"/>
  <c r="IVJ28" i="3"/>
  <c r="IWD28" i="3"/>
  <c r="IXH28" i="3" s="1"/>
  <c r="IYL28" i="3" s="1"/>
  <c r="IVW28" i="3"/>
  <c r="IWH28" i="3" l="1"/>
  <c r="IXL28" i="3" s="1"/>
  <c r="IYP28" i="3" s="1"/>
  <c r="IZT28" i="3" s="1"/>
  <c r="JAX28" i="3" s="1"/>
  <c r="IWA28" i="3"/>
  <c r="IXG28" i="3"/>
  <c r="IYK28" i="3" s="1"/>
  <c r="IWZ28" i="3"/>
  <c r="IXA28" i="3"/>
  <c r="IYE28" i="3" s="1"/>
  <c r="IZI28" i="3" s="1"/>
  <c r="IWT28" i="3"/>
  <c r="IWI28" i="3"/>
  <c r="IXM28" i="3" s="1"/>
  <c r="IYQ28" i="3" s="1"/>
  <c r="IWB28" i="3"/>
  <c r="IWN28" i="3"/>
  <c r="IXR28" i="3" s="1"/>
  <c r="IYV28" i="3" s="1"/>
  <c r="IZZ28" i="3" s="1"/>
  <c r="JBD28" i="3" s="1"/>
  <c r="IWG28" i="3"/>
  <c r="IXK28" i="3" l="1"/>
  <c r="IYO28" i="3" s="1"/>
  <c r="IZS28" i="3" s="1"/>
  <c r="JAW28" i="3" s="1"/>
  <c r="JCA28" i="3" s="1"/>
  <c r="IXD28" i="3"/>
  <c r="IXX28" i="3"/>
  <c r="IZB28" i="3" s="1"/>
  <c r="JAF28" i="3" s="1"/>
  <c r="IXQ28" i="3"/>
  <c r="IXE28" i="3"/>
  <c r="IYI28" i="3" s="1"/>
  <c r="IZM28" i="3" s="1"/>
  <c r="JAQ28" i="3" s="1"/>
  <c r="JBU28" i="3" s="1"/>
  <c r="IWX28" i="3"/>
  <c r="IXF28" i="3"/>
  <c r="IYJ28" i="3" s="1"/>
  <c r="IZN28" i="3" s="1"/>
  <c r="IWY28" i="3"/>
  <c r="IYD28" i="3"/>
  <c r="IZH28" i="3" s="1"/>
  <c r="IXW28" i="3"/>
  <c r="IYB28" i="3" l="1"/>
  <c r="IZF28" i="3" s="1"/>
  <c r="JAJ28" i="3" s="1"/>
  <c r="JBN28" i="3" s="1"/>
  <c r="JCR28" i="3" s="1"/>
  <c r="IXU28" i="3"/>
  <c r="IYC28" i="3"/>
  <c r="IZG28" i="3" s="1"/>
  <c r="JAK28" i="3" s="1"/>
  <c r="IXV28" i="3"/>
  <c r="IYU28" i="3"/>
  <c r="IZY28" i="3" s="1"/>
  <c r="JBC28" i="3" s="1"/>
  <c r="IYN28" i="3"/>
  <c r="IYH28" i="3"/>
  <c r="IZL28" i="3" s="1"/>
  <c r="JAP28" i="3" s="1"/>
  <c r="JBT28" i="3" s="1"/>
  <c r="JCX28" i="3" s="1"/>
  <c r="IYA28" i="3"/>
  <c r="IZA28" i="3"/>
  <c r="JAE28" i="3" s="1"/>
  <c r="IYT28" i="3"/>
  <c r="IYY28" i="3" l="1"/>
  <c r="JAC28" i="3" s="1"/>
  <c r="JBG28" i="3" s="1"/>
  <c r="JCK28" i="3" s="1"/>
  <c r="JDO28" i="3" s="1"/>
  <c r="IYR28" i="3"/>
  <c r="IYZ28" i="3"/>
  <c r="JAD28" i="3" s="1"/>
  <c r="JBH28" i="3" s="1"/>
  <c r="IYS28" i="3"/>
  <c r="IZE28" i="3"/>
  <c r="JAI28" i="3" s="1"/>
  <c r="JBM28" i="3" s="1"/>
  <c r="JCQ28" i="3" s="1"/>
  <c r="JDU28" i="3" s="1"/>
  <c r="IYX28" i="3"/>
  <c r="IZX28" i="3"/>
  <c r="JBB28" i="3" s="1"/>
  <c r="IZQ28" i="3"/>
  <c r="IZR28" i="3"/>
  <c r="JAV28" i="3" s="1"/>
  <c r="JBZ28" i="3" s="1"/>
  <c r="IZK28" i="3"/>
  <c r="JAO28" i="3" l="1"/>
  <c r="JBS28" i="3" s="1"/>
  <c r="JCW28" i="3" s="1"/>
  <c r="JAH28" i="3"/>
  <c r="IZV28" i="3"/>
  <c r="JAZ28" i="3" s="1"/>
  <c r="JCD28" i="3" s="1"/>
  <c r="JDH28" i="3" s="1"/>
  <c r="JEL28" i="3" s="1"/>
  <c r="IZO28" i="3"/>
  <c r="JAU28" i="3"/>
  <c r="JBY28" i="3" s="1"/>
  <c r="JAN28" i="3"/>
  <c r="JAB28" i="3"/>
  <c r="JBF28" i="3" s="1"/>
  <c r="JCJ28" i="3" s="1"/>
  <c r="JDN28" i="3" s="1"/>
  <c r="JER28" i="3" s="1"/>
  <c r="IZU28" i="3"/>
  <c r="IZW28" i="3"/>
  <c r="JBA28" i="3" s="1"/>
  <c r="JCE28" i="3" s="1"/>
  <c r="IZP28" i="3"/>
  <c r="JBL28" i="3" l="1"/>
  <c r="JCP28" i="3" s="1"/>
  <c r="JDT28" i="3" s="1"/>
  <c r="JBE28" i="3"/>
  <c r="JAT28" i="3"/>
  <c r="JBX28" i="3" s="1"/>
  <c r="JDB28" i="3" s="1"/>
  <c r="JAM28" i="3"/>
  <c r="JBR28" i="3"/>
  <c r="JCV28" i="3" s="1"/>
  <c r="JBK28" i="3"/>
  <c r="JAS28" i="3"/>
  <c r="JBW28" i="3" s="1"/>
  <c r="JDA28" i="3" s="1"/>
  <c r="JEE28" i="3" s="1"/>
  <c r="JFI28" i="3" s="1"/>
  <c r="JAL28" i="3"/>
  <c r="JAY28" i="3"/>
  <c r="JCC28" i="3" s="1"/>
  <c r="JDG28" i="3" s="1"/>
  <c r="JEK28" i="3" s="1"/>
  <c r="JFO28" i="3" s="1"/>
  <c r="JAR28" i="3"/>
  <c r="JBP28" i="3" l="1"/>
  <c r="JCT28" i="3" s="1"/>
  <c r="JDX28" i="3" s="1"/>
  <c r="JFB28" i="3" s="1"/>
  <c r="JGF28" i="3" s="1"/>
  <c r="JBI28" i="3"/>
  <c r="JCO28" i="3"/>
  <c r="JDS28" i="3" s="1"/>
  <c r="JCH28" i="3"/>
  <c r="JCI28" i="3"/>
  <c r="JDM28" i="3" s="1"/>
  <c r="JEQ28" i="3" s="1"/>
  <c r="JCB28" i="3"/>
  <c r="JBV28" i="3"/>
  <c r="JCZ28" i="3" s="1"/>
  <c r="JED28" i="3" s="1"/>
  <c r="JFH28" i="3" s="1"/>
  <c r="JGL28" i="3" s="1"/>
  <c r="JBO28" i="3"/>
  <c r="JBQ28" i="3"/>
  <c r="JCU28" i="3" s="1"/>
  <c r="JDY28" i="3" s="1"/>
  <c r="JBJ28" i="3"/>
  <c r="JDF28" i="3" l="1"/>
  <c r="JEJ28" i="3" s="1"/>
  <c r="JFN28" i="3" s="1"/>
  <c r="JCY28" i="3"/>
  <c r="JCN28" i="3"/>
  <c r="JDR28" i="3" s="1"/>
  <c r="JEV28" i="3" s="1"/>
  <c r="JCG28" i="3"/>
  <c r="JCS28" i="3"/>
  <c r="JDW28" i="3" s="1"/>
  <c r="JFA28" i="3" s="1"/>
  <c r="JGE28" i="3" s="1"/>
  <c r="JHI28" i="3" s="1"/>
  <c r="JCL28" i="3"/>
  <c r="JDL28" i="3"/>
  <c r="JEP28" i="3" s="1"/>
  <c r="JDE28" i="3"/>
  <c r="JCM28" i="3"/>
  <c r="JDQ28" i="3" s="1"/>
  <c r="JEU28" i="3" s="1"/>
  <c r="JFY28" i="3" s="1"/>
  <c r="JHC28" i="3" s="1"/>
  <c r="JCF28" i="3"/>
  <c r="JEI28" i="3" l="1"/>
  <c r="JFM28" i="3" s="1"/>
  <c r="JEB28" i="3"/>
  <c r="JEC28" i="3"/>
  <c r="JFG28" i="3" s="1"/>
  <c r="JGK28" i="3" s="1"/>
  <c r="JDV28" i="3"/>
  <c r="JDJ28" i="3"/>
  <c r="JEN28" i="3" s="1"/>
  <c r="JFR28" i="3" s="1"/>
  <c r="JGV28" i="3" s="1"/>
  <c r="JHZ28" i="3" s="1"/>
  <c r="JDC28" i="3"/>
  <c r="JDP28" i="3"/>
  <c r="JET28" i="3" s="1"/>
  <c r="JFX28" i="3" s="1"/>
  <c r="JHB28" i="3" s="1"/>
  <c r="JIF28" i="3" s="1"/>
  <c r="JDI28" i="3"/>
  <c r="JDK28" i="3"/>
  <c r="JEO28" i="3" s="1"/>
  <c r="JFS28" i="3" s="1"/>
  <c r="JDD28" i="3"/>
  <c r="JEH28" i="3" l="1"/>
  <c r="JFL28" i="3" s="1"/>
  <c r="JGP28" i="3" s="1"/>
  <c r="JEA28" i="3"/>
  <c r="JEG28" i="3"/>
  <c r="JFK28" i="3" s="1"/>
  <c r="JGO28" i="3" s="1"/>
  <c r="JHS28" i="3" s="1"/>
  <c r="JIW28" i="3" s="1"/>
  <c r="JDZ28" i="3"/>
  <c r="JFF28" i="3"/>
  <c r="JGJ28" i="3" s="1"/>
  <c r="JEY28" i="3"/>
  <c r="JEM28" i="3"/>
  <c r="JFQ28" i="3" s="1"/>
  <c r="JGU28" i="3" s="1"/>
  <c r="JHY28" i="3" s="1"/>
  <c r="JJC28" i="3" s="1"/>
  <c r="JEF28" i="3"/>
  <c r="JEZ28" i="3"/>
  <c r="JGD28" i="3" s="1"/>
  <c r="JHH28" i="3" s="1"/>
  <c r="JES28" i="3"/>
  <c r="JGC28" i="3" l="1"/>
  <c r="JHG28" i="3" s="1"/>
  <c r="JFV28" i="3"/>
  <c r="JFD28" i="3"/>
  <c r="JGH28" i="3" s="1"/>
  <c r="JHL28" i="3" s="1"/>
  <c r="JIP28" i="3" s="1"/>
  <c r="JJT28" i="3" s="1"/>
  <c r="JEW28" i="3"/>
  <c r="JFW28" i="3"/>
  <c r="JHA28" i="3" s="1"/>
  <c r="JIE28" i="3" s="1"/>
  <c r="JFP28" i="3"/>
  <c r="JFJ28" i="3"/>
  <c r="JGN28" i="3" s="1"/>
  <c r="JHR28" i="3" s="1"/>
  <c r="JIV28" i="3" s="1"/>
  <c r="JJZ28" i="3" s="1"/>
  <c r="JFC28" i="3"/>
  <c r="JFE28" i="3"/>
  <c r="JGI28" i="3" s="1"/>
  <c r="JHM28" i="3" s="1"/>
  <c r="JEX28" i="3"/>
  <c r="JGG28" i="3" l="1"/>
  <c r="JHK28" i="3" s="1"/>
  <c r="JIO28" i="3" s="1"/>
  <c r="JJS28" i="3" s="1"/>
  <c r="JKW28" i="3" s="1"/>
  <c r="JFZ28" i="3"/>
  <c r="JGA28" i="3"/>
  <c r="JHE28" i="3" s="1"/>
  <c r="JII28" i="3" s="1"/>
  <c r="JJM28" i="3" s="1"/>
  <c r="JKQ28" i="3" s="1"/>
  <c r="JFT28" i="3"/>
  <c r="JGT28" i="3"/>
  <c r="JHX28" i="3" s="1"/>
  <c r="JJB28" i="3" s="1"/>
  <c r="JGM28" i="3"/>
  <c r="JGZ28" i="3"/>
  <c r="JID28" i="3" s="1"/>
  <c r="JGS28" i="3"/>
  <c r="JGB28" i="3"/>
  <c r="JHF28" i="3" s="1"/>
  <c r="JIJ28" i="3" s="1"/>
  <c r="JFU28" i="3"/>
  <c r="JHD28" i="3" l="1"/>
  <c r="JIH28" i="3" s="1"/>
  <c r="JJL28" i="3" s="1"/>
  <c r="JKP28" i="3" s="1"/>
  <c r="JLT28" i="3" s="1"/>
  <c r="JGW28" i="3"/>
  <c r="JHQ28" i="3"/>
  <c r="JIU28" i="3" s="1"/>
  <c r="JJY28" i="3" s="1"/>
  <c r="JHJ28" i="3"/>
  <c r="JHW28" i="3"/>
  <c r="JJA28" i="3" s="1"/>
  <c r="JHP28" i="3"/>
  <c r="JGY28" i="3"/>
  <c r="JIC28" i="3" s="1"/>
  <c r="JJG28" i="3" s="1"/>
  <c r="JGR28" i="3"/>
  <c r="JGX28" i="3"/>
  <c r="JIB28" i="3" s="1"/>
  <c r="JJF28" i="3" s="1"/>
  <c r="JKJ28" i="3" s="1"/>
  <c r="JLN28" i="3" s="1"/>
  <c r="JGQ28" i="3"/>
  <c r="JIN28" i="3" l="1"/>
  <c r="JJR28" i="3" s="1"/>
  <c r="JKV28" i="3" s="1"/>
  <c r="JIG28" i="3"/>
  <c r="JIA28" i="3"/>
  <c r="JJE28" i="3" s="1"/>
  <c r="JKI28" i="3" s="1"/>
  <c r="JLM28" i="3" s="1"/>
  <c r="JMQ28" i="3" s="1"/>
  <c r="JHT28" i="3"/>
  <c r="JIT28" i="3"/>
  <c r="JJX28" i="3" s="1"/>
  <c r="JIM28" i="3"/>
  <c r="JHV28" i="3"/>
  <c r="JIZ28" i="3" s="1"/>
  <c r="JKD28" i="3" s="1"/>
  <c r="JHO28" i="3"/>
  <c r="JHU28" i="3"/>
  <c r="JIY28" i="3" s="1"/>
  <c r="JKC28" i="3" s="1"/>
  <c r="JLG28" i="3" s="1"/>
  <c r="JMK28" i="3" s="1"/>
  <c r="JHN28" i="3"/>
  <c r="JIX28" i="3" l="1"/>
  <c r="JKB28" i="3" s="1"/>
  <c r="JLF28" i="3" s="1"/>
  <c r="JMJ28" i="3" s="1"/>
  <c r="JNN28" i="3" s="1"/>
  <c r="JIQ28" i="3"/>
  <c r="JIS28" i="3"/>
  <c r="JJW28" i="3" s="1"/>
  <c r="JLA28" i="3" s="1"/>
  <c r="JIL28" i="3"/>
  <c r="JJK28" i="3"/>
  <c r="JKO28" i="3" s="1"/>
  <c r="JLS28" i="3" s="1"/>
  <c r="JJD28" i="3"/>
  <c r="JIR28" i="3"/>
  <c r="JJV28" i="3" s="1"/>
  <c r="JKZ28" i="3" s="1"/>
  <c r="JMD28" i="3" s="1"/>
  <c r="JNH28" i="3" s="1"/>
  <c r="JIK28" i="3"/>
  <c r="JJQ28" i="3"/>
  <c r="JKU28" i="3" s="1"/>
  <c r="JJJ28" i="3"/>
  <c r="JKN28" i="3" l="1"/>
  <c r="JLR28" i="3" s="1"/>
  <c r="JKG28" i="3"/>
  <c r="JJO28" i="3"/>
  <c r="JKS28" i="3" s="1"/>
  <c r="JLW28" i="3" s="1"/>
  <c r="JNA28" i="3" s="1"/>
  <c r="JOE28" i="3" s="1"/>
  <c r="JJH28" i="3"/>
  <c r="JJU28" i="3"/>
  <c r="JKY28" i="3" s="1"/>
  <c r="JMC28" i="3" s="1"/>
  <c r="JNG28" i="3" s="1"/>
  <c r="JOK28" i="3" s="1"/>
  <c r="JJN28" i="3"/>
  <c r="JKH28" i="3"/>
  <c r="JLL28" i="3" s="1"/>
  <c r="JMP28" i="3" s="1"/>
  <c r="JKA28" i="3"/>
  <c r="JJP28" i="3"/>
  <c r="JKT28" i="3" s="1"/>
  <c r="JLX28" i="3" s="1"/>
  <c r="JJI28" i="3"/>
  <c r="JKL28" i="3" l="1"/>
  <c r="JLP28" i="3" s="1"/>
  <c r="JMT28" i="3" s="1"/>
  <c r="JNX28" i="3" s="1"/>
  <c r="JPB28" i="3" s="1"/>
  <c r="JKE28" i="3"/>
  <c r="JKM28" i="3"/>
  <c r="JLQ28" i="3" s="1"/>
  <c r="JMU28" i="3" s="1"/>
  <c r="JKF28" i="3"/>
  <c r="JLE28" i="3"/>
  <c r="JMI28" i="3" s="1"/>
  <c r="JNM28" i="3" s="1"/>
  <c r="JKX28" i="3"/>
  <c r="JLK28" i="3"/>
  <c r="JMO28" i="3" s="1"/>
  <c r="JLD28" i="3"/>
  <c r="JKR28" i="3"/>
  <c r="JLV28" i="3" s="1"/>
  <c r="JMZ28" i="3" s="1"/>
  <c r="JOD28" i="3" s="1"/>
  <c r="JPH28" i="3" s="1"/>
  <c r="JKK28" i="3"/>
  <c r="JMH28" i="3" l="1"/>
  <c r="JNL28" i="3" s="1"/>
  <c r="JMA28" i="3"/>
  <c r="JMB28" i="3"/>
  <c r="JNF28" i="3" s="1"/>
  <c r="JOJ28" i="3" s="1"/>
  <c r="JLU28" i="3"/>
  <c r="JLI28" i="3"/>
  <c r="JMM28" i="3" s="1"/>
  <c r="JNQ28" i="3" s="1"/>
  <c r="JOU28" i="3" s="1"/>
  <c r="JPY28" i="3" s="1"/>
  <c r="JLB28" i="3"/>
  <c r="JLO28" i="3"/>
  <c r="JMS28" i="3" s="1"/>
  <c r="JNW28" i="3" s="1"/>
  <c r="JPA28" i="3" s="1"/>
  <c r="JQE28" i="3" s="1"/>
  <c r="JLH28" i="3"/>
  <c r="JLJ28" i="3"/>
  <c r="JMN28" i="3" s="1"/>
  <c r="JNR28" i="3" s="1"/>
  <c r="JLC28" i="3"/>
  <c r="JMF28" i="3" l="1"/>
  <c r="JNJ28" i="3" s="1"/>
  <c r="JON28" i="3" s="1"/>
  <c r="JPR28" i="3" s="1"/>
  <c r="JQV28" i="3" s="1"/>
  <c r="JLY28" i="3"/>
  <c r="JMG28" i="3"/>
  <c r="JNK28" i="3" s="1"/>
  <c r="JOO28" i="3" s="1"/>
  <c r="JLZ28" i="3"/>
  <c r="JML28" i="3"/>
  <c r="JNP28" i="3" s="1"/>
  <c r="JOT28" i="3" s="1"/>
  <c r="JPX28" i="3" s="1"/>
  <c r="JRB28" i="3" s="1"/>
  <c r="JME28" i="3"/>
  <c r="JMY28" i="3"/>
  <c r="JOC28" i="3" s="1"/>
  <c r="JPG28" i="3" s="1"/>
  <c r="JMR28" i="3"/>
  <c r="JNE28" i="3"/>
  <c r="JOI28" i="3" s="1"/>
  <c r="JMX28" i="3"/>
  <c r="JNV28" i="3" l="1"/>
  <c r="JOZ28" i="3" s="1"/>
  <c r="JQD28" i="3" s="1"/>
  <c r="JNO28" i="3"/>
  <c r="JNC28" i="3"/>
  <c r="JOG28" i="3" s="1"/>
  <c r="JPK28" i="3" s="1"/>
  <c r="JQO28" i="3" s="1"/>
  <c r="JRS28" i="3" s="1"/>
  <c r="JMV28" i="3"/>
  <c r="JOB28" i="3"/>
  <c r="JPF28" i="3" s="1"/>
  <c r="JNU28" i="3"/>
  <c r="JNI28" i="3"/>
  <c r="JOM28" i="3" s="1"/>
  <c r="JPQ28" i="3" s="1"/>
  <c r="JQU28" i="3" s="1"/>
  <c r="JRY28" i="3" s="1"/>
  <c r="JNB28" i="3"/>
  <c r="JND28" i="3"/>
  <c r="JOH28" i="3" s="1"/>
  <c r="JPL28" i="3" s="1"/>
  <c r="JMW28" i="3"/>
  <c r="JNZ28" i="3" l="1"/>
  <c r="JPD28" i="3" s="1"/>
  <c r="JQH28" i="3" s="1"/>
  <c r="JRL28" i="3" s="1"/>
  <c r="JSP28" i="3" s="1"/>
  <c r="JNS28" i="3"/>
  <c r="JOA28" i="3"/>
  <c r="JPE28" i="3" s="1"/>
  <c r="JQI28" i="3" s="1"/>
  <c r="JNT28" i="3"/>
  <c r="JOY28" i="3"/>
  <c r="JQC28" i="3" s="1"/>
  <c r="JOR28" i="3"/>
  <c r="JOS28" i="3"/>
  <c r="JPW28" i="3" s="1"/>
  <c r="JRA28" i="3" s="1"/>
  <c r="JOL28" i="3"/>
  <c r="JOF28" i="3"/>
  <c r="JPJ28" i="3" s="1"/>
  <c r="JQN28" i="3" s="1"/>
  <c r="JRR28" i="3" s="1"/>
  <c r="JSV28" i="3" s="1"/>
  <c r="JNY28" i="3"/>
  <c r="JOX28" i="3" l="1"/>
  <c r="JQB28" i="3" s="1"/>
  <c r="JRF28" i="3" s="1"/>
  <c r="JOQ28" i="3"/>
  <c r="JPP28" i="3"/>
  <c r="JQT28" i="3" s="1"/>
  <c r="JRX28" i="3" s="1"/>
  <c r="JPI28" i="3"/>
  <c r="JPV28" i="3"/>
  <c r="JQZ28" i="3" s="1"/>
  <c r="JPO28" i="3"/>
  <c r="JOW28" i="3"/>
  <c r="JQA28" i="3" s="1"/>
  <c r="JRE28" i="3" s="1"/>
  <c r="JSI28" i="3" s="1"/>
  <c r="JTM28" i="3" s="1"/>
  <c r="JOP28" i="3"/>
  <c r="JPC28" i="3"/>
  <c r="JQG28" i="3" s="1"/>
  <c r="JRK28" i="3" s="1"/>
  <c r="JSO28" i="3" s="1"/>
  <c r="JTS28" i="3" s="1"/>
  <c r="JOV28" i="3"/>
  <c r="JPT28" i="3" l="1"/>
  <c r="JQX28" i="3" s="1"/>
  <c r="JSB28" i="3" s="1"/>
  <c r="JTF28" i="3" s="1"/>
  <c r="JUJ28" i="3" s="1"/>
  <c r="JPM28" i="3"/>
  <c r="JPU28" i="3"/>
  <c r="JQY28" i="3" s="1"/>
  <c r="JSC28" i="3" s="1"/>
  <c r="JPN28" i="3"/>
  <c r="JPZ28" i="3"/>
  <c r="JRD28" i="3" s="1"/>
  <c r="JSH28" i="3" s="1"/>
  <c r="JTL28" i="3" s="1"/>
  <c r="JUP28" i="3" s="1"/>
  <c r="JPS28" i="3"/>
  <c r="JQS28" i="3"/>
  <c r="JRW28" i="3" s="1"/>
  <c r="JQL28" i="3"/>
  <c r="JQM28" i="3"/>
  <c r="JRQ28" i="3" s="1"/>
  <c r="JSU28" i="3" s="1"/>
  <c r="JQF28" i="3"/>
  <c r="JRJ28" i="3" l="1"/>
  <c r="JSN28" i="3" s="1"/>
  <c r="JTR28" i="3" s="1"/>
  <c r="JRC28" i="3"/>
  <c r="JQQ28" i="3"/>
  <c r="JRU28" i="3" s="1"/>
  <c r="JSY28" i="3" s="1"/>
  <c r="JUC28" i="3" s="1"/>
  <c r="JVG28" i="3" s="1"/>
  <c r="JQJ28" i="3"/>
  <c r="JQW28" i="3"/>
  <c r="JSA28" i="3" s="1"/>
  <c r="JTE28" i="3" s="1"/>
  <c r="JUI28" i="3" s="1"/>
  <c r="JVM28" i="3" s="1"/>
  <c r="JQP28" i="3"/>
  <c r="JRP28" i="3"/>
  <c r="JST28" i="3" s="1"/>
  <c r="JRI28" i="3"/>
  <c r="JQR28" i="3"/>
  <c r="JRV28" i="3" s="1"/>
  <c r="JSZ28" i="3" s="1"/>
  <c r="JQK28" i="3"/>
  <c r="JRT28" i="3" l="1"/>
  <c r="JSX28" i="3" s="1"/>
  <c r="JUB28" i="3" s="1"/>
  <c r="JVF28" i="3" s="1"/>
  <c r="JWJ28" i="3" s="1"/>
  <c r="JRM28" i="3"/>
  <c r="JRO28" i="3"/>
  <c r="JSS28" i="3" s="1"/>
  <c r="JTW28" i="3" s="1"/>
  <c r="JRH28" i="3"/>
  <c r="JSM28" i="3"/>
  <c r="JTQ28" i="3" s="1"/>
  <c r="JSF28" i="3"/>
  <c r="JRN28" i="3"/>
  <c r="JSR28" i="3" s="1"/>
  <c r="JTV28" i="3" s="1"/>
  <c r="JUZ28" i="3" s="1"/>
  <c r="JWD28" i="3" s="1"/>
  <c r="JRG28" i="3"/>
  <c r="JSG28" i="3"/>
  <c r="JTK28" i="3" s="1"/>
  <c r="JUO28" i="3" s="1"/>
  <c r="JRZ28" i="3"/>
  <c r="JTJ28" i="3" l="1"/>
  <c r="JUN28" i="3" s="1"/>
  <c r="JTC28" i="3"/>
  <c r="JSL28" i="3"/>
  <c r="JTP28" i="3" s="1"/>
  <c r="JUT28" i="3" s="1"/>
  <c r="JSE28" i="3"/>
  <c r="JSK28" i="3"/>
  <c r="JTO28" i="3" s="1"/>
  <c r="JUS28" i="3" s="1"/>
  <c r="JVW28" i="3" s="1"/>
  <c r="JXA28" i="3" s="1"/>
  <c r="JSD28" i="3"/>
  <c r="JSQ28" i="3"/>
  <c r="JTU28" i="3" s="1"/>
  <c r="JUY28" i="3" s="1"/>
  <c r="JWC28" i="3" s="1"/>
  <c r="JXG28" i="3" s="1"/>
  <c r="JSJ28" i="3"/>
  <c r="JTD28" i="3"/>
  <c r="JUH28" i="3" s="1"/>
  <c r="JVL28" i="3" s="1"/>
  <c r="JSW28" i="3"/>
  <c r="JTH28" i="3" l="1"/>
  <c r="JUL28" i="3" s="1"/>
  <c r="JVP28" i="3" s="1"/>
  <c r="JWT28" i="3" s="1"/>
  <c r="JXX28" i="3" s="1"/>
  <c r="JTA28" i="3"/>
  <c r="JUG28" i="3"/>
  <c r="JVK28" i="3" s="1"/>
  <c r="JTZ28" i="3"/>
  <c r="JTN28" i="3"/>
  <c r="JUR28" i="3" s="1"/>
  <c r="JVV28" i="3" s="1"/>
  <c r="JWZ28" i="3" s="1"/>
  <c r="JYD28" i="3" s="1"/>
  <c r="JTG28" i="3"/>
  <c r="JUA28" i="3"/>
  <c r="JVE28" i="3" s="1"/>
  <c r="JWI28" i="3" s="1"/>
  <c r="JTT28" i="3"/>
  <c r="JTI28" i="3"/>
  <c r="JUM28" i="3" s="1"/>
  <c r="JVQ28" i="3" s="1"/>
  <c r="JTB28" i="3"/>
  <c r="JUX28" i="3" l="1"/>
  <c r="JWB28" i="3" s="1"/>
  <c r="JXF28" i="3" s="1"/>
  <c r="JUQ28" i="3"/>
  <c r="JUF28" i="3"/>
  <c r="JVJ28" i="3" s="1"/>
  <c r="JWN28" i="3" s="1"/>
  <c r="JTY28" i="3"/>
  <c r="JUE28" i="3"/>
  <c r="JVI28" i="3" s="1"/>
  <c r="JWM28" i="3" s="1"/>
  <c r="JXQ28" i="3" s="1"/>
  <c r="JYU28" i="3" s="1"/>
  <c r="JTX28" i="3"/>
  <c r="JUK28" i="3"/>
  <c r="JVO28" i="3" s="1"/>
  <c r="JWS28" i="3" s="1"/>
  <c r="JXW28" i="3" s="1"/>
  <c r="JZA28" i="3" s="1"/>
  <c r="JUD28" i="3"/>
  <c r="JVD28" i="3"/>
  <c r="JWH28" i="3" s="1"/>
  <c r="JUW28" i="3"/>
  <c r="JVC28" i="3" l="1"/>
  <c r="JWG28" i="3" s="1"/>
  <c r="JXK28" i="3" s="1"/>
  <c r="JUV28" i="3"/>
  <c r="JVU28" i="3"/>
  <c r="JWY28" i="3" s="1"/>
  <c r="JYC28" i="3" s="1"/>
  <c r="JVN28" i="3"/>
  <c r="JVB28" i="3"/>
  <c r="JWF28" i="3" s="1"/>
  <c r="JXJ28" i="3" s="1"/>
  <c r="JYN28" i="3" s="1"/>
  <c r="JZR28" i="3" s="1"/>
  <c r="JUU28" i="3"/>
  <c r="JVH28" i="3"/>
  <c r="JWL28" i="3" s="1"/>
  <c r="JXP28" i="3" s="1"/>
  <c r="JYT28" i="3" s="1"/>
  <c r="JZX28" i="3" s="1"/>
  <c r="JVA28" i="3"/>
  <c r="JWA28" i="3"/>
  <c r="JXE28" i="3" s="1"/>
  <c r="JVT28" i="3"/>
  <c r="JWE28" i="3" l="1"/>
  <c r="JXI28" i="3" s="1"/>
  <c r="JYM28" i="3" s="1"/>
  <c r="JZQ28" i="3" s="1"/>
  <c r="KAU28" i="3" s="1"/>
  <c r="JVX28" i="3"/>
  <c r="JVZ28" i="3"/>
  <c r="JXD28" i="3" s="1"/>
  <c r="JYH28" i="3" s="1"/>
  <c r="JVS28" i="3"/>
  <c r="JWR28" i="3"/>
  <c r="JXV28" i="3" s="1"/>
  <c r="JYZ28" i="3" s="1"/>
  <c r="JWK28" i="3"/>
  <c r="JWX28" i="3"/>
  <c r="JYB28" i="3" s="1"/>
  <c r="JWQ28" i="3"/>
  <c r="JVY28" i="3"/>
  <c r="JXC28" i="3" s="1"/>
  <c r="JYG28" i="3" s="1"/>
  <c r="JZK28" i="3" s="1"/>
  <c r="KAO28" i="3" s="1"/>
  <c r="JVR28" i="3"/>
  <c r="JWV28" i="3" l="1"/>
  <c r="JXZ28" i="3" s="1"/>
  <c r="JZD28" i="3" s="1"/>
  <c r="KAH28" i="3" s="1"/>
  <c r="KBL28" i="3" s="1"/>
  <c r="JWO28" i="3"/>
  <c r="JXO28" i="3"/>
  <c r="JYS28" i="3" s="1"/>
  <c r="JZW28" i="3" s="1"/>
  <c r="JXH28" i="3"/>
  <c r="JXU28" i="3"/>
  <c r="JYY28" i="3" s="1"/>
  <c r="JXN28" i="3"/>
  <c r="JWW28" i="3"/>
  <c r="JYA28" i="3" s="1"/>
  <c r="JZE28" i="3" s="1"/>
  <c r="JWP28" i="3"/>
  <c r="JXB28" i="3"/>
  <c r="JYF28" i="3" s="1"/>
  <c r="JZJ28" i="3" s="1"/>
  <c r="KAN28" i="3" s="1"/>
  <c r="KBR28" i="3" s="1"/>
  <c r="JWU28" i="3"/>
  <c r="JXY28" i="3" l="1"/>
  <c r="JZC28" i="3" s="1"/>
  <c r="KAG28" i="3" s="1"/>
  <c r="KBK28" i="3" s="1"/>
  <c r="KCO28" i="3" s="1"/>
  <c r="JXR28" i="3"/>
  <c r="JXS28" i="3"/>
  <c r="JYW28" i="3" s="1"/>
  <c r="KAA28" i="3" s="1"/>
  <c r="KBE28" i="3" s="1"/>
  <c r="KCI28" i="3" s="1"/>
  <c r="JXL28" i="3"/>
  <c r="JYR28" i="3"/>
  <c r="JZV28" i="3" s="1"/>
  <c r="JYK28" i="3"/>
  <c r="JXT28" i="3"/>
  <c r="JYX28" i="3" s="1"/>
  <c r="KAB28" i="3" s="1"/>
  <c r="JXM28" i="3"/>
  <c r="JYL28" i="3"/>
  <c r="JZP28" i="3" s="1"/>
  <c r="KAT28" i="3" s="1"/>
  <c r="JYE28" i="3"/>
  <c r="JYQ28" i="3" l="1"/>
  <c r="JZU28" i="3" s="1"/>
  <c r="KAY28" i="3" s="1"/>
  <c r="JYJ28" i="3"/>
  <c r="JYP28" i="3"/>
  <c r="JZT28" i="3" s="1"/>
  <c r="KAX28" i="3" s="1"/>
  <c r="KCB28" i="3" s="1"/>
  <c r="KDF28" i="3" s="1"/>
  <c r="JYI28" i="3"/>
  <c r="JZI28" i="3"/>
  <c r="KAM28" i="3" s="1"/>
  <c r="KBQ28" i="3" s="1"/>
  <c r="JZB28" i="3"/>
  <c r="JZO28" i="3"/>
  <c r="KAS28" i="3" s="1"/>
  <c r="JZH28" i="3"/>
  <c r="JYV28" i="3"/>
  <c r="JZZ28" i="3" s="1"/>
  <c r="KBD28" i="3" s="1"/>
  <c r="KCH28" i="3" s="1"/>
  <c r="KDL28" i="3" s="1"/>
  <c r="JYO28" i="3"/>
  <c r="JZM28" i="3" l="1"/>
  <c r="KAQ28" i="3" s="1"/>
  <c r="KBU28" i="3" s="1"/>
  <c r="KCY28" i="3" s="1"/>
  <c r="KEC28" i="3" s="1"/>
  <c r="JZF28" i="3"/>
  <c r="JZS28" i="3"/>
  <c r="KAW28" i="3" s="1"/>
  <c r="KCA28" i="3" s="1"/>
  <c r="KDE28" i="3" s="1"/>
  <c r="KEI28" i="3" s="1"/>
  <c r="JZL28" i="3"/>
  <c r="KAF28" i="3"/>
  <c r="KBJ28" i="3" s="1"/>
  <c r="KCN28" i="3" s="1"/>
  <c r="JZY28" i="3"/>
  <c r="JZN28" i="3"/>
  <c r="KAR28" i="3" s="1"/>
  <c r="KBV28" i="3" s="1"/>
  <c r="JZG28" i="3"/>
  <c r="KAL28" i="3"/>
  <c r="KBP28" i="3" s="1"/>
  <c r="KAE28" i="3"/>
  <c r="KAK28" i="3" l="1"/>
  <c r="KBO28" i="3" s="1"/>
  <c r="KCS28" i="3" s="1"/>
  <c r="KAD28" i="3"/>
  <c r="KAP28" i="3"/>
  <c r="KBT28" i="3" s="1"/>
  <c r="KCX28" i="3" s="1"/>
  <c r="KEB28" i="3" s="1"/>
  <c r="KFF28" i="3" s="1"/>
  <c r="KAI28" i="3"/>
  <c r="KBI28" i="3"/>
  <c r="KCM28" i="3" s="1"/>
  <c r="KBB28" i="3"/>
  <c r="KBC28" i="3"/>
  <c r="KCG28" i="3" s="1"/>
  <c r="KDK28" i="3" s="1"/>
  <c r="KAV28" i="3"/>
  <c r="KAJ28" i="3"/>
  <c r="KBN28" i="3" s="1"/>
  <c r="KCR28" i="3" s="1"/>
  <c r="KDV28" i="3" s="1"/>
  <c r="KEZ28" i="3" s="1"/>
  <c r="KAC28" i="3"/>
  <c r="KBG28" i="3" l="1"/>
  <c r="KCK28" i="3" s="1"/>
  <c r="KDO28" i="3" s="1"/>
  <c r="KES28" i="3" s="1"/>
  <c r="KFW28" i="3" s="1"/>
  <c r="KAZ28" i="3"/>
  <c r="KBM28" i="3"/>
  <c r="KCQ28" i="3" s="1"/>
  <c r="KDU28" i="3" s="1"/>
  <c r="KEY28" i="3" s="1"/>
  <c r="KGC28" i="3" s="1"/>
  <c r="KBF28" i="3"/>
  <c r="KBH28" i="3"/>
  <c r="KCL28" i="3" s="1"/>
  <c r="KDP28" i="3" s="1"/>
  <c r="KBA28" i="3"/>
  <c r="KBZ28" i="3"/>
  <c r="KDD28" i="3" s="1"/>
  <c r="KEH28" i="3" s="1"/>
  <c r="KBS28" i="3"/>
  <c r="KCF28" i="3"/>
  <c r="KDJ28" i="3" s="1"/>
  <c r="KBY28" i="3"/>
  <c r="KCJ28" i="3" l="1"/>
  <c r="KDN28" i="3" s="1"/>
  <c r="KER28" i="3" s="1"/>
  <c r="KFV28" i="3" s="1"/>
  <c r="KGZ28" i="3" s="1"/>
  <c r="KCC28" i="3"/>
  <c r="KCE28" i="3"/>
  <c r="KDI28" i="3" s="1"/>
  <c r="KEM28" i="3" s="1"/>
  <c r="KBX28" i="3"/>
  <c r="KCW28" i="3"/>
  <c r="KEA28" i="3" s="1"/>
  <c r="KFE28" i="3" s="1"/>
  <c r="KCP28" i="3"/>
  <c r="KDC28" i="3"/>
  <c r="KEG28" i="3" s="1"/>
  <c r="KCV28" i="3"/>
  <c r="KCD28" i="3"/>
  <c r="KDH28" i="3" s="1"/>
  <c r="KEL28" i="3" s="1"/>
  <c r="KFP28" i="3" s="1"/>
  <c r="KGT28" i="3" s="1"/>
  <c r="KBW28" i="3"/>
  <c r="KDT28" i="3" l="1"/>
  <c r="KEX28" i="3" s="1"/>
  <c r="KGB28" i="3" s="1"/>
  <c r="KDM28" i="3"/>
  <c r="KDB28" i="3"/>
  <c r="KEF28" i="3" s="1"/>
  <c r="KFJ28" i="3" s="1"/>
  <c r="KCU28" i="3"/>
  <c r="KDA28" i="3"/>
  <c r="KEE28" i="3" s="1"/>
  <c r="KFI28" i="3" s="1"/>
  <c r="KGM28" i="3" s="1"/>
  <c r="KHQ28" i="3" s="1"/>
  <c r="KCT28" i="3"/>
  <c r="KDZ28" i="3"/>
  <c r="KFD28" i="3" s="1"/>
  <c r="KDS28" i="3"/>
  <c r="KDG28" i="3"/>
  <c r="KEK28" i="3" s="1"/>
  <c r="KFO28" i="3" s="1"/>
  <c r="KGS28" i="3" s="1"/>
  <c r="KHW28" i="3" s="1"/>
  <c r="KCZ28" i="3"/>
  <c r="KDX28" i="3" l="1"/>
  <c r="KFB28" i="3" s="1"/>
  <c r="KGF28" i="3" s="1"/>
  <c r="KHJ28" i="3" s="1"/>
  <c r="KIN28" i="3" s="1"/>
  <c r="KDQ28" i="3"/>
  <c r="KEW28" i="3"/>
  <c r="KGA28" i="3" s="1"/>
  <c r="KEP28" i="3"/>
  <c r="KEQ28" i="3"/>
  <c r="KFU28" i="3" s="1"/>
  <c r="KGY28" i="3" s="1"/>
  <c r="KEJ28" i="3"/>
  <c r="KDY28" i="3"/>
  <c r="KFC28" i="3" s="1"/>
  <c r="KGG28" i="3" s="1"/>
  <c r="KDR28" i="3"/>
  <c r="KED28" i="3"/>
  <c r="KFH28" i="3" s="1"/>
  <c r="KGL28" i="3" s="1"/>
  <c r="KHP28" i="3" s="1"/>
  <c r="KIT28" i="3" s="1"/>
  <c r="KDW28" i="3"/>
  <c r="KFA28" i="3" l="1"/>
  <c r="KGE28" i="3" s="1"/>
  <c r="KHI28" i="3" s="1"/>
  <c r="KIM28" i="3" s="1"/>
  <c r="KJQ28" i="3" s="1"/>
  <c r="KET28" i="3"/>
  <c r="KFT28" i="3"/>
  <c r="KGX28" i="3" s="1"/>
  <c r="KFM28" i="3"/>
  <c r="KEU28" i="3"/>
  <c r="KFY28" i="3" s="1"/>
  <c r="KHC28" i="3" s="1"/>
  <c r="KIG28" i="3" s="1"/>
  <c r="KJK28" i="3" s="1"/>
  <c r="KEN28" i="3"/>
  <c r="KEV28" i="3"/>
  <c r="KFZ28" i="3" s="1"/>
  <c r="KHD28" i="3" s="1"/>
  <c r="KEO28" i="3"/>
  <c r="KFN28" i="3"/>
  <c r="KGR28" i="3" s="1"/>
  <c r="KHV28" i="3" s="1"/>
  <c r="KFG28" i="3"/>
  <c r="KFR28" i="3" l="1"/>
  <c r="KGV28" i="3" s="1"/>
  <c r="KHZ28" i="3" s="1"/>
  <c r="KJD28" i="3" s="1"/>
  <c r="KKH28" i="3" s="1"/>
  <c r="KFK28" i="3"/>
  <c r="KFX28" i="3"/>
  <c r="KHB28" i="3" s="1"/>
  <c r="KIF28" i="3" s="1"/>
  <c r="KJJ28" i="3" s="1"/>
  <c r="KKN28" i="3" s="1"/>
  <c r="KFQ28" i="3"/>
  <c r="KGK28" i="3"/>
  <c r="KHO28" i="3" s="1"/>
  <c r="KIS28" i="3" s="1"/>
  <c r="KGD28" i="3"/>
  <c r="KFS28" i="3"/>
  <c r="KGW28" i="3" s="1"/>
  <c r="KIA28" i="3" s="1"/>
  <c r="KFL28" i="3"/>
  <c r="KGQ28" i="3"/>
  <c r="KHU28" i="3" s="1"/>
  <c r="KGJ28" i="3"/>
  <c r="KGU28" i="3" l="1"/>
  <c r="KHY28" i="3" s="1"/>
  <c r="KJC28" i="3" s="1"/>
  <c r="KKG28" i="3" s="1"/>
  <c r="KLK28" i="3" s="1"/>
  <c r="KGN28" i="3"/>
  <c r="KHN28" i="3"/>
  <c r="KIR28" i="3" s="1"/>
  <c r="KHG28" i="3"/>
  <c r="KGP28" i="3"/>
  <c r="KHT28" i="3" s="1"/>
  <c r="KIX28" i="3" s="1"/>
  <c r="KGI28" i="3"/>
  <c r="KGO28" i="3"/>
  <c r="KHS28" i="3" s="1"/>
  <c r="KIW28" i="3" s="1"/>
  <c r="KKA28" i="3" s="1"/>
  <c r="KLE28" i="3" s="1"/>
  <c r="KGH28" i="3"/>
  <c r="KHH28" i="3"/>
  <c r="KIL28" i="3" s="1"/>
  <c r="KJP28" i="3" s="1"/>
  <c r="KHA28" i="3"/>
  <c r="KHR28" i="3" l="1"/>
  <c r="KIV28" i="3" s="1"/>
  <c r="KJZ28" i="3" s="1"/>
  <c r="KLD28" i="3" s="1"/>
  <c r="KMH28" i="3" s="1"/>
  <c r="KHK28" i="3"/>
  <c r="KIE28" i="3"/>
  <c r="KJI28" i="3" s="1"/>
  <c r="KKM28" i="3" s="1"/>
  <c r="KHX28" i="3"/>
  <c r="KHL28" i="3"/>
  <c r="KIP28" i="3" s="1"/>
  <c r="KJT28" i="3" s="1"/>
  <c r="KKX28" i="3" s="1"/>
  <c r="KMB28" i="3" s="1"/>
  <c r="KHE28" i="3"/>
  <c r="KIK28" i="3"/>
  <c r="KJO28" i="3" s="1"/>
  <c r="KID28" i="3"/>
  <c r="KHM28" i="3"/>
  <c r="KIQ28" i="3" s="1"/>
  <c r="KJU28" i="3" s="1"/>
  <c r="KHF28" i="3"/>
  <c r="KIJ28" i="3" l="1"/>
  <c r="KJN28" i="3" s="1"/>
  <c r="KKR28" i="3" s="1"/>
  <c r="KIC28" i="3"/>
  <c r="KII28" i="3"/>
  <c r="KJM28" i="3" s="1"/>
  <c r="KKQ28" i="3" s="1"/>
  <c r="KLU28" i="3" s="1"/>
  <c r="KMY28" i="3" s="1"/>
  <c r="KIB28" i="3"/>
  <c r="KIO28" i="3"/>
  <c r="KJS28" i="3" s="1"/>
  <c r="KKW28" i="3" s="1"/>
  <c r="KMA28" i="3" s="1"/>
  <c r="KNE28" i="3" s="1"/>
  <c r="KIH28" i="3"/>
  <c r="KJH28" i="3"/>
  <c r="KKL28" i="3" s="1"/>
  <c r="KJA28" i="3"/>
  <c r="KJB28" i="3"/>
  <c r="KKF28" i="3" s="1"/>
  <c r="KLJ28" i="3" s="1"/>
  <c r="KIU28" i="3"/>
  <c r="KKE28" i="3" l="1"/>
  <c r="KLI28" i="3" s="1"/>
  <c r="KJX28" i="3"/>
  <c r="KJL28" i="3"/>
  <c r="KKP28" i="3" s="1"/>
  <c r="KLT28" i="3" s="1"/>
  <c r="KMX28" i="3" s="1"/>
  <c r="KOB28" i="3" s="1"/>
  <c r="KJE28" i="3"/>
  <c r="KJG28" i="3"/>
  <c r="KKK28" i="3" s="1"/>
  <c r="KLO28" i="3" s="1"/>
  <c r="KIZ28" i="3"/>
  <c r="KJY28" i="3"/>
  <c r="KLC28" i="3" s="1"/>
  <c r="KMG28" i="3" s="1"/>
  <c r="KJR28" i="3"/>
  <c r="KJF28" i="3"/>
  <c r="KKJ28" i="3" s="1"/>
  <c r="KLN28" i="3" s="1"/>
  <c r="KMR28" i="3" s="1"/>
  <c r="KNV28" i="3" s="1"/>
  <c r="KIY28" i="3"/>
  <c r="KLB28" i="3" l="1"/>
  <c r="KMF28" i="3" s="1"/>
  <c r="KKU28" i="3"/>
  <c r="KKI28" i="3"/>
  <c r="KLM28" i="3" s="1"/>
  <c r="KMQ28" i="3" s="1"/>
  <c r="KNU28" i="3" s="1"/>
  <c r="KOY28" i="3" s="1"/>
  <c r="KKB28" i="3"/>
  <c r="KKC28" i="3"/>
  <c r="KLG28" i="3" s="1"/>
  <c r="KMK28" i="3" s="1"/>
  <c r="KNO28" i="3" s="1"/>
  <c r="KOS28" i="3" s="1"/>
  <c r="KJV28" i="3"/>
  <c r="KKD28" i="3"/>
  <c r="KLH28" i="3" s="1"/>
  <c r="KML28" i="3" s="1"/>
  <c r="KJW28" i="3"/>
  <c r="KKV28" i="3"/>
  <c r="KLZ28" i="3" s="1"/>
  <c r="KND28" i="3" s="1"/>
  <c r="KKO28" i="3"/>
  <c r="KLA28" i="3" l="1"/>
  <c r="KME28" i="3" s="1"/>
  <c r="KNI28" i="3" s="1"/>
  <c r="KKT28" i="3"/>
  <c r="KKZ28" i="3"/>
  <c r="KMD28" i="3" s="1"/>
  <c r="KNH28" i="3" s="1"/>
  <c r="KOL28" i="3" s="1"/>
  <c r="KPP28" i="3" s="1"/>
  <c r="KKS28" i="3"/>
  <c r="KLY28" i="3"/>
  <c r="KNC28" i="3" s="1"/>
  <c r="KLR28" i="3"/>
  <c r="KLS28" i="3"/>
  <c r="KMW28" i="3" s="1"/>
  <c r="KOA28" i="3" s="1"/>
  <c r="KLL28" i="3"/>
  <c r="KLF28" i="3"/>
  <c r="KMJ28" i="3" s="1"/>
  <c r="KNN28" i="3" s="1"/>
  <c r="KOR28" i="3" s="1"/>
  <c r="KPV28" i="3" s="1"/>
  <c r="KKY28" i="3"/>
  <c r="KMP28" i="3" l="1"/>
  <c r="KNT28" i="3" s="1"/>
  <c r="KOX28" i="3" s="1"/>
  <c r="KMI28" i="3"/>
  <c r="KLW28" i="3"/>
  <c r="KNA28" i="3" s="1"/>
  <c r="KOE28" i="3" s="1"/>
  <c r="KPI28" i="3" s="1"/>
  <c r="KQM28" i="3" s="1"/>
  <c r="KLP28" i="3"/>
  <c r="KLX28" i="3"/>
  <c r="KNB28" i="3" s="1"/>
  <c r="KOF28" i="3" s="1"/>
  <c r="KLQ28" i="3"/>
  <c r="KMC28" i="3"/>
  <c r="KNG28" i="3" s="1"/>
  <c r="KOK28" i="3" s="1"/>
  <c r="KPO28" i="3" s="1"/>
  <c r="KQS28" i="3" s="1"/>
  <c r="KLV28" i="3"/>
  <c r="KMV28" i="3"/>
  <c r="KNZ28" i="3" s="1"/>
  <c r="KMO28" i="3"/>
  <c r="KNM28" i="3" l="1"/>
  <c r="KOQ28" i="3" s="1"/>
  <c r="KPU28" i="3" s="1"/>
  <c r="KNF28" i="3"/>
  <c r="KMZ28" i="3"/>
  <c r="KOD28" i="3" s="1"/>
  <c r="KPH28" i="3" s="1"/>
  <c r="KQL28" i="3" s="1"/>
  <c r="KRP28" i="3" s="1"/>
  <c r="KMS28" i="3"/>
  <c r="KMT28" i="3"/>
  <c r="KNX28" i="3" s="1"/>
  <c r="KPB28" i="3" s="1"/>
  <c r="KQF28" i="3" s="1"/>
  <c r="KRJ28" i="3" s="1"/>
  <c r="KMM28" i="3"/>
  <c r="KNS28" i="3"/>
  <c r="KOW28" i="3" s="1"/>
  <c r="KNL28" i="3"/>
  <c r="KMU28" i="3"/>
  <c r="KNY28" i="3" s="1"/>
  <c r="KPC28" i="3" s="1"/>
  <c r="KMN28" i="3"/>
  <c r="KNW28" i="3" l="1"/>
  <c r="KPA28" i="3" s="1"/>
  <c r="KQE28" i="3" s="1"/>
  <c r="KRI28" i="3" s="1"/>
  <c r="KSM28" i="3" s="1"/>
  <c r="KNP28" i="3"/>
  <c r="KNR28" i="3"/>
  <c r="KOV28" i="3" s="1"/>
  <c r="KPZ28" i="3" s="1"/>
  <c r="KNK28" i="3"/>
  <c r="KOP28" i="3"/>
  <c r="KPT28" i="3" s="1"/>
  <c r="KOI28" i="3"/>
  <c r="KOJ28" i="3"/>
  <c r="KPN28" i="3" s="1"/>
  <c r="KQR28" i="3" s="1"/>
  <c r="KOC28" i="3"/>
  <c r="KNQ28" i="3"/>
  <c r="KOU28" i="3" s="1"/>
  <c r="KPY28" i="3" s="1"/>
  <c r="KRC28" i="3" s="1"/>
  <c r="KSG28" i="3" s="1"/>
  <c r="KNJ28" i="3"/>
  <c r="KPM28" i="3" l="1"/>
  <c r="KQQ28" i="3" s="1"/>
  <c r="KPF28" i="3"/>
  <c r="KOO28" i="3"/>
  <c r="KPS28" i="3" s="1"/>
  <c r="KQW28" i="3" s="1"/>
  <c r="KOH28" i="3"/>
  <c r="KON28" i="3"/>
  <c r="KPR28" i="3" s="1"/>
  <c r="KQV28" i="3" s="1"/>
  <c r="KRZ28" i="3" s="1"/>
  <c r="KTD28" i="3" s="1"/>
  <c r="KOG28" i="3"/>
  <c r="KPG28" i="3"/>
  <c r="KQK28" i="3" s="1"/>
  <c r="KRO28" i="3" s="1"/>
  <c r="KOZ28" i="3"/>
  <c r="KOT28" i="3"/>
  <c r="KPX28" i="3" s="1"/>
  <c r="KRB28" i="3" s="1"/>
  <c r="KSF28" i="3" s="1"/>
  <c r="KTJ28" i="3" s="1"/>
  <c r="KOM28" i="3"/>
  <c r="KPQ28" i="3" l="1"/>
  <c r="KQU28" i="3" s="1"/>
  <c r="KRY28" i="3" s="1"/>
  <c r="KTC28" i="3" s="1"/>
  <c r="KUG28" i="3" s="1"/>
  <c r="KPJ28" i="3"/>
  <c r="KQD28" i="3"/>
  <c r="KRH28" i="3" s="1"/>
  <c r="KSL28" i="3" s="1"/>
  <c r="KPW28" i="3"/>
  <c r="KPL28" i="3"/>
  <c r="KQP28" i="3" s="1"/>
  <c r="KRT28" i="3" s="1"/>
  <c r="KPE28" i="3"/>
  <c r="KQJ28" i="3"/>
  <c r="KRN28" i="3" s="1"/>
  <c r="KQC28" i="3"/>
  <c r="KPK28" i="3"/>
  <c r="KQO28" i="3" s="1"/>
  <c r="KRS28" i="3" s="1"/>
  <c r="KSW28" i="3" s="1"/>
  <c r="KUA28" i="3" s="1"/>
  <c r="KPD28" i="3"/>
  <c r="KQH28" i="3" l="1"/>
  <c r="KRL28" i="3" s="1"/>
  <c r="KSP28" i="3" s="1"/>
  <c r="KTT28" i="3" s="1"/>
  <c r="KUX28" i="3" s="1"/>
  <c r="KQA28" i="3"/>
  <c r="KRG28" i="3"/>
  <c r="KSK28" i="3" s="1"/>
  <c r="KQZ28" i="3"/>
  <c r="KQN28" i="3"/>
  <c r="KRR28" i="3" s="1"/>
  <c r="KSV28" i="3" s="1"/>
  <c r="KTZ28" i="3" s="1"/>
  <c r="KVD28" i="3" s="1"/>
  <c r="KQG28" i="3"/>
  <c r="KQI28" i="3"/>
  <c r="KRM28" i="3" s="1"/>
  <c r="KSQ28" i="3" s="1"/>
  <c r="KQB28" i="3"/>
  <c r="KRA28" i="3"/>
  <c r="KSE28" i="3" s="1"/>
  <c r="KTI28" i="3" s="1"/>
  <c r="KQT28" i="3"/>
  <c r="KRF28" i="3" l="1"/>
  <c r="KSJ28" i="3" s="1"/>
  <c r="KTN28" i="3" s="1"/>
  <c r="KQY28" i="3"/>
  <c r="KSD28" i="3"/>
  <c r="KTH28" i="3" s="1"/>
  <c r="KRW28" i="3"/>
  <c r="KRX28" i="3"/>
  <c r="KTB28" i="3" s="1"/>
  <c r="KUF28" i="3" s="1"/>
  <c r="KRQ28" i="3"/>
  <c r="KRK28" i="3"/>
  <c r="KSO28" i="3" s="1"/>
  <c r="KTS28" i="3" s="1"/>
  <c r="KUW28" i="3" s="1"/>
  <c r="KWA28" i="3" s="1"/>
  <c r="KRD28" i="3"/>
  <c r="KRE28" i="3"/>
  <c r="KSI28" i="3" s="1"/>
  <c r="KTM28" i="3" s="1"/>
  <c r="KUQ28" i="3" s="1"/>
  <c r="KVU28" i="3" s="1"/>
  <c r="KQX28" i="3"/>
  <c r="KSC28" i="3" l="1"/>
  <c r="KTG28" i="3" s="1"/>
  <c r="KUK28" i="3" s="1"/>
  <c r="KRV28" i="3"/>
  <c r="KTA28" i="3"/>
  <c r="KUE28" i="3" s="1"/>
  <c r="KST28" i="3"/>
  <c r="KSH28" i="3"/>
  <c r="KTL28" i="3" s="1"/>
  <c r="KUP28" i="3" s="1"/>
  <c r="KVT28" i="3" s="1"/>
  <c r="KWX28" i="3" s="1"/>
  <c r="KSA28" i="3"/>
  <c r="KSB28" i="3"/>
  <c r="KTF28" i="3" s="1"/>
  <c r="KUJ28" i="3" s="1"/>
  <c r="KVN28" i="3" s="1"/>
  <c r="KWR28" i="3" s="1"/>
  <c r="KRU28" i="3"/>
  <c r="KSU28" i="3"/>
  <c r="KTY28" i="3" s="1"/>
  <c r="KVC28" i="3" s="1"/>
  <c r="KSN28" i="3"/>
  <c r="KTX28" i="3" l="1"/>
  <c r="KVB28" i="3" s="1"/>
  <c r="KTQ28" i="3"/>
  <c r="KTR28" i="3"/>
  <c r="KUV28" i="3" s="1"/>
  <c r="KVZ28" i="3" s="1"/>
  <c r="KTK28" i="3"/>
  <c r="KSY28" i="3"/>
  <c r="KUC28" i="3" s="1"/>
  <c r="KVG28" i="3" s="1"/>
  <c r="KWK28" i="3" s="1"/>
  <c r="KXO28" i="3" s="1"/>
  <c r="KSR28" i="3"/>
  <c r="KSZ28" i="3"/>
  <c r="KUD28" i="3" s="1"/>
  <c r="KVH28" i="3" s="1"/>
  <c r="KSS28" i="3"/>
  <c r="KTE28" i="3"/>
  <c r="KUI28" i="3" s="1"/>
  <c r="KVM28" i="3" s="1"/>
  <c r="KWQ28" i="3" s="1"/>
  <c r="KXU28" i="3" s="1"/>
  <c r="KSX28" i="3"/>
  <c r="KUU28" i="3" l="1"/>
  <c r="KVY28" i="3" s="1"/>
  <c r="KUN28" i="3"/>
  <c r="KUB28" i="3"/>
  <c r="KVF28" i="3" s="1"/>
  <c r="KWJ28" i="3" s="1"/>
  <c r="KXN28" i="3" s="1"/>
  <c r="KYR28" i="3" s="1"/>
  <c r="KTU28" i="3"/>
  <c r="KTW28" i="3"/>
  <c r="KVA28" i="3" s="1"/>
  <c r="KWE28" i="3" s="1"/>
  <c r="KTP28" i="3"/>
  <c r="KUO28" i="3"/>
  <c r="KVS28" i="3" s="1"/>
  <c r="KWW28" i="3" s="1"/>
  <c r="KUH28" i="3"/>
  <c r="KTV28" i="3"/>
  <c r="KUZ28" i="3" s="1"/>
  <c r="KWD28" i="3" s="1"/>
  <c r="KXH28" i="3" s="1"/>
  <c r="KYL28" i="3" s="1"/>
  <c r="KTO28" i="3"/>
  <c r="KUS28" i="3" l="1"/>
  <c r="KVW28" i="3" s="1"/>
  <c r="KXA28" i="3" s="1"/>
  <c r="KYE28" i="3" s="1"/>
  <c r="KZI28" i="3" s="1"/>
  <c r="KUL28" i="3"/>
  <c r="KUY28" i="3"/>
  <c r="KWC28" i="3" s="1"/>
  <c r="KXG28" i="3" s="1"/>
  <c r="KYK28" i="3" s="1"/>
  <c r="KZO28" i="3" s="1"/>
  <c r="KUR28" i="3"/>
  <c r="KVL28" i="3"/>
  <c r="KWP28" i="3" s="1"/>
  <c r="KXT28" i="3" s="1"/>
  <c r="KVE28" i="3"/>
  <c r="KUT28" i="3"/>
  <c r="KVX28" i="3" s="1"/>
  <c r="KXB28" i="3" s="1"/>
  <c r="KUM28" i="3"/>
  <c r="KVR28" i="3"/>
  <c r="KWV28" i="3" s="1"/>
  <c r="KVK28" i="3"/>
  <c r="KVV28" i="3" l="1"/>
  <c r="KWZ28" i="3" s="1"/>
  <c r="KYD28" i="3" s="1"/>
  <c r="KZH28" i="3" s="1"/>
  <c r="LAL28" i="3" s="1"/>
  <c r="KVO28" i="3"/>
  <c r="KWO28" i="3"/>
  <c r="KXS28" i="3" s="1"/>
  <c r="KWH28" i="3"/>
  <c r="KWI28" i="3"/>
  <c r="KXM28" i="3" s="1"/>
  <c r="KYQ28" i="3" s="1"/>
  <c r="KWB28" i="3"/>
  <c r="KVP28" i="3"/>
  <c r="KWT28" i="3" s="1"/>
  <c r="KXX28" i="3" s="1"/>
  <c r="KZB28" i="3" s="1"/>
  <c r="LAF28" i="3" s="1"/>
  <c r="KVI28" i="3"/>
  <c r="KVQ28" i="3"/>
  <c r="KWU28" i="3" s="1"/>
  <c r="KXY28" i="3" s="1"/>
  <c r="KVJ28" i="3"/>
  <c r="KWS28" i="3" l="1"/>
  <c r="KXW28" i="3" s="1"/>
  <c r="KZA28" i="3" s="1"/>
  <c r="LAE28" i="3" s="1"/>
  <c r="LBI28" i="3" s="1"/>
  <c r="KWL28" i="3"/>
  <c r="KWM28" i="3"/>
  <c r="KXQ28" i="3" s="1"/>
  <c r="KYU28" i="3" s="1"/>
  <c r="KZY28" i="3" s="1"/>
  <c r="LBC28" i="3" s="1"/>
  <c r="KWF28" i="3"/>
  <c r="KXL28" i="3"/>
  <c r="KYP28" i="3" s="1"/>
  <c r="KXE28" i="3"/>
  <c r="KXF28" i="3"/>
  <c r="KYJ28" i="3" s="1"/>
  <c r="KZN28" i="3" s="1"/>
  <c r="KWY28" i="3"/>
  <c r="KWN28" i="3"/>
  <c r="KXR28" i="3" s="1"/>
  <c r="KYV28" i="3" s="1"/>
  <c r="KWG28" i="3"/>
  <c r="KYC28" i="3" l="1"/>
  <c r="KZG28" i="3" s="1"/>
  <c r="LAK28" i="3" s="1"/>
  <c r="KXV28" i="3"/>
  <c r="KXJ28" i="3"/>
  <c r="KYN28" i="3" s="1"/>
  <c r="KZR28" i="3" s="1"/>
  <c r="LAV28" i="3" s="1"/>
  <c r="LBZ28" i="3" s="1"/>
  <c r="KXC28" i="3"/>
  <c r="KYI28" i="3"/>
  <c r="KZM28" i="3" s="1"/>
  <c r="KYB28" i="3"/>
  <c r="KXP28" i="3"/>
  <c r="KYT28" i="3" s="1"/>
  <c r="KZX28" i="3" s="1"/>
  <c r="LBB28" i="3" s="1"/>
  <c r="LCF28" i="3" s="1"/>
  <c r="KXI28" i="3"/>
  <c r="KXK28" i="3"/>
  <c r="KYO28" i="3" s="1"/>
  <c r="KZS28" i="3" s="1"/>
  <c r="KXD28" i="3"/>
  <c r="KYZ28" i="3" l="1"/>
  <c r="LAD28" i="3" s="1"/>
  <c r="LBH28" i="3" s="1"/>
  <c r="KYS28" i="3"/>
  <c r="KZF28" i="3"/>
  <c r="LAJ28" i="3" s="1"/>
  <c r="KYY28" i="3"/>
  <c r="KYM28" i="3"/>
  <c r="KZQ28" i="3" s="1"/>
  <c r="LAU28" i="3" s="1"/>
  <c r="LBY28" i="3" s="1"/>
  <c r="LDC28" i="3" s="1"/>
  <c r="KYF28" i="3"/>
  <c r="KYH28" i="3"/>
  <c r="KZL28" i="3" s="1"/>
  <c r="LAP28" i="3" s="1"/>
  <c r="KYA28" i="3"/>
  <c r="KYG28" i="3"/>
  <c r="KZK28" i="3" s="1"/>
  <c r="LAO28" i="3" s="1"/>
  <c r="LBS28" i="3" s="1"/>
  <c r="LCW28" i="3" s="1"/>
  <c r="KXZ28" i="3"/>
  <c r="KZJ28" i="3" l="1"/>
  <c r="LAN28" i="3" s="1"/>
  <c r="LBR28" i="3" s="1"/>
  <c r="LCV28" i="3" s="1"/>
  <c r="LDZ28" i="3" s="1"/>
  <c r="KZC28" i="3"/>
  <c r="KZE28" i="3"/>
  <c r="LAI28" i="3" s="1"/>
  <c r="LBM28" i="3" s="1"/>
  <c r="KYX28" i="3"/>
  <c r="KZW28" i="3"/>
  <c r="LBA28" i="3" s="1"/>
  <c r="LCE28" i="3" s="1"/>
  <c r="KZP28" i="3"/>
  <c r="KZD28" i="3"/>
  <c r="LAH28" i="3" s="1"/>
  <c r="LBL28" i="3" s="1"/>
  <c r="LCP28" i="3" s="1"/>
  <c r="LDT28" i="3" s="1"/>
  <c r="KYW28" i="3"/>
  <c r="LAC28" i="3"/>
  <c r="LBG28" i="3" s="1"/>
  <c r="KZV28" i="3"/>
  <c r="LAG28" i="3" l="1"/>
  <c r="LBK28" i="3" s="1"/>
  <c r="LCO28" i="3" s="1"/>
  <c r="LDS28" i="3" s="1"/>
  <c r="LEW28" i="3" s="1"/>
  <c r="KZZ28" i="3"/>
  <c r="LAZ28" i="3"/>
  <c r="LCD28" i="3" s="1"/>
  <c r="LAS28" i="3"/>
  <c r="LAA28" i="3"/>
  <c r="LBE28" i="3" s="1"/>
  <c r="LCI28" i="3" s="1"/>
  <c r="LDM28" i="3" s="1"/>
  <c r="LEQ28" i="3" s="1"/>
  <c r="KZT28" i="3"/>
  <c r="LAB28" i="3"/>
  <c r="LBF28" i="3" s="1"/>
  <c r="LCJ28" i="3" s="1"/>
  <c r="KZU28" i="3"/>
  <c r="LAT28" i="3"/>
  <c r="LBX28" i="3" s="1"/>
  <c r="LDB28" i="3" s="1"/>
  <c r="LAM28" i="3"/>
  <c r="LAX28" i="3" l="1"/>
  <c r="LCB28" i="3" s="1"/>
  <c r="LDF28" i="3" s="1"/>
  <c r="LEJ28" i="3" s="1"/>
  <c r="LFN28" i="3" s="1"/>
  <c r="LAQ28" i="3"/>
  <c r="LBD28" i="3"/>
  <c r="LCH28" i="3" s="1"/>
  <c r="LDL28" i="3" s="1"/>
  <c r="LEP28" i="3" s="1"/>
  <c r="LFT28" i="3" s="1"/>
  <c r="LAW28" i="3"/>
  <c r="LBQ28" i="3"/>
  <c r="LCU28" i="3" s="1"/>
  <c r="LDY28" i="3" s="1"/>
  <c r="LBJ28" i="3"/>
  <c r="LAY28" i="3"/>
  <c r="LCC28" i="3" s="1"/>
  <c r="LDG28" i="3" s="1"/>
  <c r="LAR28" i="3"/>
  <c r="LBW28" i="3"/>
  <c r="LDA28" i="3" s="1"/>
  <c r="LBP28" i="3"/>
  <c r="LCN28" i="3" l="1"/>
  <c r="LDR28" i="3" s="1"/>
  <c r="LEV28" i="3" s="1"/>
  <c r="LCG28" i="3"/>
  <c r="LBU28" i="3"/>
  <c r="LCY28" i="3" s="1"/>
  <c r="LEC28" i="3" s="1"/>
  <c r="LFG28" i="3" s="1"/>
  <c r="LGK28" i="3" s="1"/>
  <c r="LBN28" i="3"/>
  <c r="LCT28" i="3"/>
  <c r="LDX28" i="3" s="1"/>
  <c r="LCM28" i="3"/>
  <c r="LCA28" i="3"/>
  <c r="LDE28" i="3" s="1"/>
  <c r="LEI28" i="3" s="1"/>
  <c r="LFM28" i="3" s="1"/>
  <c r="LGQ28" i="3" s="1"/>
  <c r="LBT28" i="3"/>
  <c r="LBV28" i="3"/>
  <c r="LCZ28" i="3" s="1"/>
  <c r="LED28" i="3" s="1"/>
  <c r="LBO28" i="3"/>
  <c r="LCX28" i="3" l="1"/>
  <c r="LEB28" i="3" s="1"/>
  <c r="LFF28" i="3" s="1"/>
  <c r="LGJ28" i="3" s="1"/>
  <c r="LHN28" i="3" s="1"/>
  <c r="LCQ28" i="3"/>
  <c r="LCS28" i="3"/>
  <c r="LDW28" i="3" s="1"/>
  <c r="LFA28" i="3" s="1"/>
  <c r="LCL28" i="3"/>
  <c r="LDQ28" i="3"/>
  <c r="LEU28" i="3" s="1"/>
  <c r="LDJ28" i="3"/>
  <c r="LDK28" i="3"/>
  <c r="LEO28" i="3" s="1"/>
  <c r="LFS28" i="3" s="1"/>
  <c r="LDD28" i="3"/>
  <c r="LCR28" i="3"/>
  <c r="LDV28" i="3" s="1"/>
  <c r="LEZ28" i="3" s="1"/>
  <c r="LGD28" i="3" s="1"/>
  <c r="LHH28" i="3" s="1"/>
  <c r="LCK28" i="3"/>
  <c r="LDO28" i="3" l="1"/>
  <c r="LES28" i="3" s="1"/>
  <c r="LFW28" i="3" s="1"/>
  <c r="LHA28" i="3" s="1"/>
  <c r="LIE28" i="3" s="1"/>
  <c r="LDH28" i="3"/>
  <c r="LEH28" i="3"/>
  <c r="LFL28" i="3" s="1"/>
  <c r="LGP28" i="3" s="1"/>
  <c r="LEA28" i="3"/>
  <c r="LDU28" i="3"/>
  <c r="LEY28" i="3" s="1"/>
  <c r="LGC28" i="3" s="1"/>
  <c r="LHG28" i="3" s="1"/>
  <c r="LIK28" i="3" s="1"/>
  <c r="LDN28" i="3"/>
  <c r="LEN28" i="3"/>
  <c r="LFR28" i="3" s="1"/>
  <c r="LEG28" i="3"/>
  <c r="LDP28" i="3"/>
  <c r="LET28" i="3" s="1"/>
  <c r="LFX28" i="3" s="1"/>
  <c r="LDI28" i="3"/>
  <c r="LFK28" i="3" l="1"/>
  <c r="LGO28" i="3" s="1"/>
  <c r="LFD28" i="3"/>
  <c r="LEM28" i="3"/>
  <c r="LFQ28" i="3" s="1"/>
  <c r="LGU28" i="3" s="1"/>
  <c r="LEF28" i="3"/>
  <c r="LER28" i="3"/>
  <c r="LFV28" i="3" s="1"/>
  <c r="LGZ28" i="3" s="1"/>
  <c r="LID28" i="3" s="1"/>
  <c r="LJH28" i="3" s="1"/>
  <c r="LEK28" i="3"/>
  <c r="LFE28" i="3"/>
  <c r="LGI28" i="3" s="1"/>
  <c r="LHM28" i="3" s="1"/>
  <c r="LEX28" i="3"/>
  <c r="LEL28" i="3"/>
  <c r="LFP28" i="3" s="1"/>
  <c r="LGT28" i="3" s="1"/>
  <c r="LHX28" i="3" s="1"/>
  <c r="LJB28" i="3" s="1"/>
  <c r="LEE28" i="3"/>
  <c r="LFO28" i="3" l="1"/>
  <c r="LGS28" i="3" s="1"/>
  <c r="LHW28" i="3" s="1"/>
  <c r="LJA28" i="3" s="1"/>
  <c r="LKE28" i="3" s="1"/>
  <c r="LFH28" i="3"/>
  <c r="LFI28" i="3"/>
  <c r="LGM28" i="3" s="1"/>
  <c r="LHQ28" i="3" s="1"/>
  <c r="LIU28" i="3" s="1"/>
  <c r="LJY28" i="3" s="1"/>
  <c r="LFB28" i="3"/>
  <c r="LGB28" i="3"/>
  <c r="LHF28" i="3" s="1"/>
  <c r="LIJ28" i="3" s="1"/>
  <c r="LFU28" i="3"/>
  <c r="LFJ28" i="3"/>
  <c r="LGN28" i="3" s="1"/>
  <c r="LHR28" i="3" s="1"/>
  <c r="LFC28" i="3"/>
  <c r="LGH28" i="3"/>
  <c r="LHL28" i="3" s="1"/>
  <c r="LGA28" i="3"/>
  <c r="LGY28" i="3" l="1"/>
  <c r="LIC28" i="3" s="1"/>
  <c r="LJG28" i="3" s="1"/>
  <c r="LGR28" i="3"/>
  <c r="LGL28" i="3"/>
  <c r="LHP28" i="3" s="1"/>
  <c r="LIT28" i="3" s="1"/>
  <c r="LJX28" i="3" s="1"/>
  <c r="LLB28" i="3" s="1"/>
  <c r="LGE28" i="3"/>
  <c r="LHE28" i="3"/>
  <c r="LII28" i="3" s="1"/>
  <c r="LGX28" i="3"/>
  <c r="LGF28" i="3"/>
  <c r="LHJ28" i="3" s="1"/>
  <c r="LIN28" i="3" s="1"/>
  <c r="LJR28" i="3" s="1"/>
  <c r="LKV28" i="3" s="1"/>
  <c r="LFY28" i="3"/>
  <c r="LGG28" i="3"/>
  <c r="LHK28" i="3" s="1"/>
  <c r="LIO28" i="3" s="1"/>
  <c r="LFZ28" i="3"/>
  <c r="LHI28" i="3" l="1"/>
  <c r="LIM28" i="3" s="1"/>
  <c r="LJQ28" i="3" s="1"/>
  <c r="LKU28" i="3" s="1"/>
  <c r="LLY28" i="3" s="1"/>
  <c r="LHB28" i="3"/>
  <c r="LHD28" i="3"/>
  <c r="LIH28" i="3" s="1"/>
  <c r="LJL28" i="3" s="1"/>
  <c r="LGW28" i="3"/>
  <c r="LIB28" i="3"/>
  <c r="LJF28" i="3" s="1"/>
  <c r="LHU28" i="3"/>
  <c r="LHV28" i="3"/>
  <c r="LIZ28" i="3" s="1"/>
  <c r="LKD28" i="3" s="1"/>
  <c r="LHO28" i="3"/>
  <c r="LHC28" i="3"/>
  <c r="LIG28" i="3" s="1"/>
  <c r="LJK28" i="3" s="1"/>
  <c r="LKO28" i="3" s="1"/>
  <c r="LLS28" i="3" s="1"/>
  <c r="LGV28" i="3"/>
  <c r="LIS28" i="3" l="1"/>
  <c r="LJW28" i="3" s="1"/>
  <c r="LLA28" i="3" s="1"/>
  <c r="LIL28" i="3"/>
  <c r="LIY28" i="3"/>
  <c r="LKC28" i="3" s="1"/>
  <c r="LIR28" i="3"/>
  <c r="LIF28" i="3"/>
  <c r="LJJ28" i="3" s="1"/>
  <c r="LKN28" i="3" s="1"/>
  <c r="LLR28" i="3" s="1"/>
  <c r="LMV28" i="3" s="1"/>
  <c r="LHY28" i="3"/>
  <c r="LHZ28" i="3"/>
  <c r="LJD28" i="3" s="1"/>
  <c r="LKH28" i="3" s="1"/>
  <c r="LLL28" i="3" s="1"/>
  <c r="LMP28" i="3" s="1"/>
  <c r="LHS28" i="3"/>
  <c r="LIA28" i="3"/>
  <c r="LJE28" i="3" s="1"/>
  <c r="LKI28" i="3" s="1"/>
  <c r="LHT28" i="3"/>
  <c r="LIW28" i="3" l="1"/>
  <c r="LKA28" i="3" s="1"/>
  <c r="LLE28" i="3" s="1"/>
  <c r="LMI28" i="3" s="1"/>
  <c r="LNM28" i="3" s="1"/>
  <c r="LIP28" i="3"/>
  <c r="LJV28" i="3"/>
  <c r="LKZ28" i="3" s="1"/>
  <c r="LJO28" i="3"/>
  <c r="LJP28" i="3"/>
  <c r="LKT28" i="3" s="1"/>
  <c r="LLX28" i="3" s="1"/>
  <c r="LJI28" i="3"/>
  <c r="LJC28" i="3"/>
  <c r="LKG28" i="3" s="1"/>
  <c r="LLK28" i="3" s="1"/>
  <c r="LMO28" i="3" s="1"/>
  <c r="LNS28" i="3" s="1"/>
  <c r="LIV28" i="3"/>
  <c r="LIX28" i="3"/>
  <c r="LKB28" i="3" s="1"/>
  <c r="LLF28" i="3" s="1"/>
  <c r="LIQ28" i="3"/>
  <c r="LJZ28" i="3" l="1"/>
  <c r="LLD28" i="3" s="1"/>
  <c r="LMH28" i="3" s="1"/>
  <c r="LNL28" i="3" s="1"/>
  <c r="LOP28" i="3" s="1"/>
  <c r="LJS28" i="3"/>
  <c r="LKM28" i="3"/>
  <c r="LLQ28" i="3" s="1"/>
  <c r="LMU28" i="3" s="1"/>
  <c r="LKF28" i="3"/>
  <c r="LJT28" i="3"/>
  <c r="LKX28" i="3" s="1"/>
  <c r="LMB28" i="3" s="1"/>
  <c r="LNF28" i="3" s="1"/>
  <c r="LOJ28" i="3" s="1"/>
  <c r="LJM28" i="3"/>
  <c r="LJU28" i="3"/>
  <c r="LKY28" i="3" s="1"/>
  <c r="LMC28" i="3" s="1"/>
  <c r="LJN28" i="3"/>
  <c r="LKS28" i="3"/>
  <c r="LLW28" i="3" s="1"/>
  <c r="LKL28" i="3"/>
  <c r="LLP28" i="3" l="1"/>
  <c r="LMT28" i="3" s="1"/>
  <c r="LLI28" i="3"/>
  <c r="LLJ28" i="3"/>
  <c r="LMN28" i="3" s="1"/>
  <c r="LNR28" i="3" s="1"/>
  <c r="LLC28" i="3"/>
  <c r="LKR28" i="3"/>
  <c r="LLV28" i="3" s="1"/>
  <c r="LMZ28" i="3" s="1"/>
  <c r="LKK28" i="3"/>
  <c r="LKQ28" i="3"/>
  <c r="LLU28" i="3" s="1"/>
  <c r="LMY28" i="3" s="1"/>
  <c r="LOC28" i="3" s="1"/>
  <c r="LPG28" i="3" s="1"/>
  <c r="LKJ28" i="3"/>
  <c r="LKW28" i="3"/>
  <c r="LMA28" i="3" s="1"/>
  <c r="LNE28" i="3" s="1"/>
  <c r="LOI28" i="3" s="1"/>
  <c r="LPM28" i="3" s="1"/>
  <c r="LKP28" i="3"/>
  <c r="LLT28" i="3" l="1"/>
  <c r="LMX28" i="3" s="1"/>
  <c r="LOB28" i="3" s="1"/>
  <c r="LPF28" i="3" s="1"/>
  <c r="LQJ28" i="3" s="1"/>
  <c r="LLM28" i="3"/>
  <c r="LLO28" i="3"/>
  <c r="LMS28" i="3" s="1"/>
  <c r="LNW28" i="3" s="1"/>
  <c r="LLH28" i="3"/>
  <c r="LMG28" i="3"/>
  <c r="LNK28" i="3" s="1"/>
  <c r="LOO28" i="3" s="1"/>
  <c r="LLZ28" i="3"/>
  <c r="LLN28" i="3"/>
  <c r="LMR28" i="3" s="1"/>
  <c r="LNV28" i="3" s="1"/>
  <c r="LOZ28" i="3" s="1"/>
  <c r="LQD28" i="3" s="1"/>
  <c r="LLG28" i="3"/>
  <c r="LMM28" i="3"/>
  <c r="LNQ28" i="3" s="1"/>
  <c r="LMF28" i="3"/>
  <c r="LMK28" i="3" l="1"/>
  <c r="LNO28" i="3" s="1"/>
  <c r="LOS28" i="3" s="1"/>
  <c r="LPW28" i="3" s="1"/>
  <c r="LRA28" i="3" s="1"/>
  <c r="LMD28" i="3"/>
  <c r="LND28" i="3"/>
  <c r="LOH28" i="3" s="1"/>
  <c r="LPL28" i="3" s="1"/>
  <c r="LMW28" i="3"/>
  <c r="LMQ28" i="3"/>
  <c r="LNU28" i="3" s="1"/>
  <c r="LOY28" i="3" s="1"/>
  <c r="LQC28" i="3" s="1"/>
  <c r="LRG28" i="3" s="1"/>
  <c r="LMJ28" i="3"/>
  <c r="LML28" i="3"/>
  <c r="LNP28" i="3" s="1"/>
  <c r="LOT28" i="3" s="1"/>
  <c r="LME28" i="3"/>
  <c r="LNJ28" i="3"/>
  <c r="LON28" i="3" s="1"/>
  <c r="LNC28" i="3"/>
  <c r="LOG28" i="3" l="1"/>
  <c r="LPK28" i="3" s="1"/>
  <c r="LNZ28" i="3"/>
  <c r="LNN28" i="3"/>
  <c r="LOR28" i="3" s="1"/>
  <c r="LPV28" i="3" s="1"/>
  <c r="LQZ28" i="3" s="1"/>
  <c r="LSD28" i="3" s="1"/>
  <c r="LNG28" i="3"/>
  <c r="LNH28" i="3"/>
  <c r="LOL28" i="3" s="1"/>
  <c r="LPP28" i="3" s="1"/>
  <c r="LQT28" i="3" s="1"/>
  <c r="LRX28" i="3" s="1"/>
  <c r="LNA28" i="3"/>
  <c r="LNI28" i="3"/>
  <c r="LOM28" i="3" s="1"/>
  <c r="LPQ28" i="3" s="1"/>
  <c r="LNB28" i="3"/>
  <c r="LOA28" i="3"/>
  <c r="LPE28" i="3" s="1"/>
  <c r="LQI28" i="3" s="1"/>
  <c r="LNT28" i="3"/>
  <c r="LOF28" i="3" l="1"/>
  <c r="LPJ28" i="3" s="1"/>
  <c r="LQN28" i="3" s="1"/>
  <c r="LNY28" i="3"/>
  <c r="LPD28" i="3"/>
  <c r="LQH28" i="3" s="1"/>
  <c r="LOW28" i="3"/>
  <c r="LOK28" i="3"/>
  <c r="LPO28" i="3" s="1"/>
  <c r="LQS28" i="3" s="1"/>
  <c r="LRW28" i="3" s="1"/>
  <c r="LTA28" i="3" s="1"/>
  <c r="LOD28" i="3"/>
  <c r="LOX28" i="3"/>
  <c r="LQB28" i="3" s="1"/>
  <c r="LRF28" i="3" s="1"/>
  <c r="LOQ28" i="3"/>
  <c r="LOE28" i="3"/>
  <c r="LPI28" i="3" s="1"/>
  <c r="LQM28" i="3" s="1"/>
  <c r="LRQ28" i="3" s="1"/>
  <c r="LSU28" i="3" s="1"/>
  <c r="LNX28" i="3"/>
  <c r="LPU28" i="3" l="1"/>
  <c r="LQY28" i="3" s="1"/>
  <c r="LSC28" i="3" s="1"/>
  <c r="LPN28" i="3"/>
  <c r="LPC28" i="3"/>
  <c r="LQG28" i="3" s="1"/>
  <c r="LRK28" i="3" s="1"/>
  <c r="LOV28" i="3"/>
  <c r="LPB28" i="3"/>
  <c r="LQF28" i="3" s="1"/>
  <c r="LRJ28" i="3" s="1"/>
  <c r="LSN28" i="3" s="1"/>
  <c r="LTR28" i="3" s="1"/>
  <c r="LOU28" i="3"/>
  <c r="LQA28" i="3"/>
  <c r="LRE28" i="3" s="1"/>
  <c r="LPT28" i="3"/>
  <c r="LPH28" i="3"/>
  <c r="LQL28" i="3" s="1"/>
  <c r="LRP28" i="3" s="1"/>
  <c r="LST28" i="3" s="1"/>
  <c r="LTX28" i="3" s="1"/>
  <c r="LPA28" i="3"/>
  <c r="LQE28" i="3" l="1"/>
  <c r="LRI28" i="3" s="1"/>
  <c r="LSM28" i="3" s="1"/>
  <c r="LTQ28" i="3" s="1"/>
  <c r="LUU28" i="3" s="1"/>
  <c r="LPX28" i="3"/>
  <c r="LPZ28" i="3"/>
  <c r="LRD28" i="3" s="1"/>
  <c r="LSH28" i="3" s="1"/>
  <c r="LPS28" i="3"/>
  <c r="LQX28" i="3"/>
  <c r="LSB28" i="3" s="1"/>
  <c r="LQQ28" i="3"/>
  <c r="LQR28" i="3"/>
  <c r="LRV28" i="3" s="1"/>
  <c r="LSZ28" i="3" s="1"/>
  <c r="LQK28" i="3"/>
  <c r="LPY28" i="3"/>
  <c r="LRC28" i="3" s="1"/>
  <c r="LSG28" i="3" s="1"/>
  <c r="LTK28" i="3" s="1"/>
  <c r="LUO28" i="3" s="1"/>
  <c r="LPR28" i="3"/>
  <c r="LQV28" i="3" l="1"/>
  <c r="LRZ28" i="3" s="1"/>
  <c r="LTD28" i="3" s="1"/>
  <c r="LUH28" i="3" s="1"/>
  <c r="LVL28" i="3" s="1"/>
  <c r="LQO28" i="3"/>
  <c r="LRU28" i="3"/>
  <c r="LSY28" i="3" s="1"/>
  <c r="LRN28" i="3"/>
  <c r="LQW28" i="3"/>
  <c r="LSA28" i="3" s="1"/>
  <c r="LTE28" i="3" s="1"/>
  <c r="LQP28" i="3"/>
  <c r="LRO28" i="3"/>
  <c r="LSS28" i="3" s="1"/>
  <c r="LTW28" i="3" s="1"/>
  <c r="LRH28" i="3"/>
  <c r="LRB28" i="3"/>
  <c r="LSF28" i="3" s="1"/>
  <c r="LTJ28" i="3" s="1"/>
  <c r="LUN28" i="3" s="1"/>
  <c r="LVR28" i="3" s="1"/>
  <c r="LQU28" i="3"/>
  <c r="LRY28" i="3" l="1"/>
  <c r="LTC28" i="3" s="1"/>
  <c r="LUG28" i="3" s="1"/>
  <c r="LVK28" i="3" s="1"/>
  <c r="LWO28" i="3" s="1"/>
  <c r="LRR28" i="3"/>
  <c r="LSR28" i="3"/>
  <c r="LTV28" i="3" s="1"/>
  <c r="LSK28" i="3"/>
  <c r="LSL28" i="3"/>
  <c r="LTP28" i="3" s="1"/>
  <c r="LUT28" i="3" s="1"/>
  <c r="LSE28" i="3"/>
  <c r="LRT28" i="3"/>
  <c r="LSX28" i="3" s="1"/>
  <c r="LUB28" i="3" s="1"/>
  <c r="LRM28" i="3"/>
  <c r="LRS28" i="3"/>
  <c r="LSW28" i="3" s="1"/>
  <c r="LUA28" i="3" s="1"/>
  <c r="LVE28" i="3" s="1"/>
  <c r="LWI28" i="3" s="1"/>
  <c r="LRL28" i="3"/>
  <c r="LSP28" i="3" l="1"/>
  <c r="LTT28" i="3" s="1"/>
  <c r="LUX28" i="3" s="1"/>
  <c r="LWB28" i="3" s="1"/>
  <c r="LXF28" i="3" s="1"/>
  <c r="LSI28" i="3"/>
  <c r="LTI28" i="3"/>
  <c r="LUM28" i="3" s="1"/>
  <c r="LVQ28" i="3" s="1"/>
  <c r="LTB28" i="3"/>
  <c r="LSQ28" i="3"/>
  <c r="LTU28" i="3" s="1"/>
  <c r="LUY28" i="3" s="1"/>
  <c r="LSJ28" i="3"/>
  <c r="LTO28" i="3"/>
  <c r="LUS28" i="3" s="1"/>
  <c r="LTH28" i="3"/>
  <c r="LSV28" i="3"/>
  <c r="LTZ28" i="3" s="1"/>
  <c r="LVD28" i="3" s="1"/>
  <c r="LWH28" i="3" s="1"/>
  <c r="LXL28" i="3" s="1"/>
  <c r="LSO28" i="3"/>
  <c r="LTS28" i="3" l="1"/>
  <c r="LUW28" i="3" s="1"/>
  <c r="LWA28" i="3" s="1"/>
  <c r="LXE28" i="3" s="1"/>
  <c r="LYI28" i="3" s="1"/>
  <c r="LTL28" i="3"/>
  <c r="LTM28" i="3"/>
  <c r="LUQ28" i="3" s="1"/>
  <c r="LVU28" i="3" s="1"/>
  <c r="LWY28" i="3" s="1"/>
  <c r="LYC28" i="3" s="1"/>
  <c r="LTF28" i="3"/>
  <c r="LTN28" i="3"/>
  <c r="LUR28" i="3" s="1"/>
  <c r="LVV28" i="3" s="1"/>
  <c r="LTG28" i="3"/>
  <c r="LUL28" i="3"/>
  <c r="LVP28" i="3" s="1"/>
  <c r="LUE28" i="3"/>
  <c r="LUF28" i="3"/>
  <c r="LVJ28" i="3" s="1"/>
  <c r="LWN28" i="3" s="1"/>
  <c r="LTY28" i="3"/>
  <c r="LUK28" i="3" l="1"/>
  <c r="LVO28" i="3" s="1"/>
  <c r="LWS28" i="3" s="1"/>
  <c r="LUD28" i="3"/>
  <c r="LUP28" i="3"/>
  <c r="LVT28" i="3" s="1"/>
  <c r="LWX28" i="3" s="1"/>
  <c r="LYB28" i="3" s="1"/>
  <c r="LZF28" i="3" s="1"/>
  <c r="LUI28" i="3"/>
  <c r="LVI28" i="3"/>
  <c r="LWM28" i="3" s="1"/>
  <c r="LVB28" i="3"/>
  <c r="LUJ28" i="3"/>
  <c r="LVN28" i="3" s="1"/>
  <c r="LWR28" i="3" s="1"/>
  <c r="LXV28" i="3" s="1"/>
  <c r="LYZ28" i="3" s="1"/>
  <c r="LUC28" i="3"/>
  <c r="LVC28" i="3"/>
  <c r="LWG28" i="3" s="1"/>
  <c r="LXK28" i="3" s="1"/>
  <c r="LUV28" i="3"/>
  <c r="LVM28" i="3" l="1"/>
  <c r="LWQ28" i="3" s="1"/>
  <c r="LXU28" i="3" s="1"/>
  <c r="LYY28" i="3" s="1"/>
  <c r="MAC28" i="3" s="1"/>
  <c r="LVF28" i="3"/>
  <c r="LWF28" i="3"/>
  <c r="LXJ28" i="3" s="1"/>
  <c r="LVY28" i="3"/>
  <c r="LVH28" i="3"/>
  <c r="LWL28" i="3" s="1"/>
  <c r="LXP28" i="3" s="1"/>
  <c r="LVA28" i="3"/>
  <c r="LVZ28" i="3"/>
  <c r="LXD28" i="3" s="1"/>
  <c r="LYH28" i="3" s="1"/>
  <c r="LVS28" i="3"/>
  <c r="LVG28" i="3"/>
  <c r="LWK28" i="3" s="1"/>
  <c r="LXO28" i="3" s="1"/>
  <c r="LYS28" i="3" s="1"/>
  <c r="LZW28" i="3" s="1"/>
  <c r="LUZ28" i="3"/>
  <c r="LWD28" i="3" l="1"/>
  <c r="LXH28" i="3" s="1"/>
  <c r="LYL28" i="3" s="1"/>
  <c r="LZP28" i="3" s="1"/>
  <c r="MAT28" i="3" s="1"/>
  <c r="LVW28" i="3"/>
  <c r="LWE28" i="3"/>
  <c r="LXI28" i="3" s="1"/>
  <c r="LYM28" i="3" s="1"/>
  <c r="LVX28" i="3"/>
  <c r="LXC28" i="3"/>
  <c r="LYG28" i="3" s="1"/>
  <c r="LWV28" i="3"/>
  <c r="LWW28" i="3"/>
  <c r="LYA28" i="3" s="1"/>
  <c r="LZE28" i="3" s="1"/>
  <c r="LWP28" i="3"/>
  <c r="LWJ28" i="3"/>
  <c r="LXN28" i="3" s="1"/>
  <c r="LYR28" i="3" s="1"/>
  <c r="LZV28" i="3" s="1"/>
  <c r="MAZ28" i="3" s="1"/>
  <c r="LWC28" i="3"/>
  <c r="LXG28" i="3" l="1"/>
  <c r="LYK28" i="3" s="1"/>
  <c r="LZO28" i="3" s="1"/>
  <c r="MAS28" i="3" s="1"/>
  <c r="MBW28" i="3" s="1"/>
  <c r="LWZ28" i="3"/>
  <c r="LXZ28" i="3"/>
  <c r="LZD28" i="3" s="1"/>
  <c r="LXS28" i="3"/>
  <c r="LXA28" i="3"/>
  <c r="LYE28" i="3" s="1"/>
  <c r="LZI28" i="3" s="1"/>
  <c r="MAM28" i="3" s="1"/>
  <c r="MBQ28" i="3" s="1"/>
  <c r="LWT28" i="3"/>
  <c r="LXT28" i="3"/>
  <c r="LYX28" i="3" s="1"/>
  <c r="MAB28" i="3" s="1"/>
  <c r="LXM28" i="3"/>
  <c r="LXB28" i="3"/>
  <c r="LYF28" i="3" s="1"/>
  <c r="LZJ28" i="3" s="1"/>
  <c r="LWU28" i="3"/>
  <c r="LXX28" i="3" l="1"/>
  <c r="LZB28" i="3" s="1"/>
  <c r="MAF28" i="3" s="1"/>
  <c r="MBJ28" i="3" s="1"/>
  <c r="MCN28" i="3" s="1"/>
  <c r="LXQ28" i="3"/>
  <c r="LYW28" i="3"/>
  <c r="MAA28" i="3" s="1"/>
  <c r="LYP28" i="3"/>
  <c r="LYD28" i="3"/>
  <c r="LZH28" i="3" s="1"/>
  <c r="MAL28" i="3" s="1"/>
  <c r="MBP28" i="3" s="1"/>
  <c r="MCT28" i="3" s="1"/>
  <c r="LXW28" i="3"/>
  <c r="LYQ28" i="3"/>
  <c r="LZU28" i="3" s="1"/>
  <c r="MAY28" i="3" s="1"/>
  <c r="LYJ28" i="3"/>
  <c r="LXY28" i="3"/>
  <c r="LZC28" i="3" s="1"/>
  <c r="MAG28" i="3" s="1"/>
  <c r="LXR28" i="3"/>
  <c r="LYV28" i="3" l="1"/>
  <c r="LZZ28" i="3" s="1"/>
  <c r="MBD28" i="3" s="1"/>
  <c r="LYO28" i="3"/>
  <c r="LZN28" i="3"/>
  <c r="MAR28" i="3" s="1"/>
  <c r="MBV28" i="3" s="1"/>
  <c r="LZG28" i="3"/>
  <c r="LZA28" i="3"/>
  <c r="MAE28" i="3" s="1"/>
  <c r="MBI28" i="3" s="1"/>
  <c r="MCM28" i="3" s="1"/>
  <c r="MDQ28" i="3" s="1"/>
  <c r="LYT28" i="3"/>
  <c r="LYU28" i="3"/>
  <c r="LZY28" i="3" s="1"/>
  <c r="MBC28" i="3" s="1"/>
  <c r="MCG28" i="3" s="1"/>
  <c r="MDK28" i="3" s="1"/>
  <c r="LYN28" i="3"/>
  <c r="LZT28" i="3"/>
  <c r="MAX28" i="3" s="1"/>
  <c r="LZM28" i="3"/>
  <c r="MAK28" i="3" l="1"/>
  <c r="MBO28" i="3" s="1"/>
  <c r="MCS28" i="3" s="1"/>
  <c r="MAD28" i="3"/>
  <c r="LZR28" i="3"/>
  <c r="MAV28" i="3" s="1"/>
  <c r="MBZ28" i="3" s="1"/>
  <c r="MDD28" i="3" s="1"/>
  <c r="MEH28" i="3" s="1"/>
  <c r="LZK28" i="3"/>
  <c r="LZX28" i="3"/>
  <c r="MBB28" i="3" s="1"/>
  <c r="MCF28" i="3" s="1"/>
  <c r="MDJ28" i="3" s="1"/>
  <c r="MEN28" i="3" s="1"/>
  <c r="LZQ28" i="3"/>
  <c r="MAQ28" i="3"/>
  <c r="MBU28" i="3" s="1"/>
  <c r="MAJ28" i="3"/>
  <c r="LZS28" i="3"/>
  <c r="MAW28" i="3" s="1"/>
  <c r="MCA28" i="3" s="1"/>
  <c r="LZL28" i="3"/>
  <c r="MAP28" i="3" l="1"/>
  <c r="MBT28" i="3" s="1"/>
  <c r="MCX28" i="3" s="1"/>
  <c r="MAI28" i="3"/>
  <c r="MAO28" i="3"/>
  <c r="MBS28" i="3" s="1"/>
  <c r="MCW28" i="3" s="1"/>
  <c r="MEA28" i="3" s="1"/>
  <c r="MFE28" i="3" s="1"/>
  <c r="MAH28" i="3"/>
  <c r="MAU28" i="3"/>
  <c r="MBY28" i="3" s="1"/>
  <c r="MDC28" i="3" s="1"/>
  <c r="MEG28" i="3" s="1"/>
  <c r="MFK28" i="3" s="1"/>
  <c r="MAN28" i="3"/>
  <c r="MBH28" i="3"/>
  <c r="MCL28" i="3" s="1"/>
  <c r="MDP28" i="3" s="1"/>
  <c r="MBA28" i="3"/>
  <c r="MBN28" i="3"/>
  <c r="MCR28" i="3" s="1"/>
  <c r="MBG28" i="3"/>
  <c r="MBM28" i="3" l="1"/>
  <c r="MCQ28" i="3" s="1"/>
  <c r="MDU28" i="3" s="1"/>
  <c r="MBF28" i="3"/>
  <c r="MCK28" i="3"/>
  <c r="MDO28" i="3" s="1"/>
  <c r="MCD28" i="3"/>
  <c r="MBR28" i="3"/>
  <c r="MCV28" i="3" s="1"/>
  <c r="MDZ28" i="3" s="1"/>
  <c r="MFD28" i="3" s="1"/>
  <c r="MGH28" i="3" s="1"/>
  <c r="MBK28" i="3"/>
  <c r="MCE28" i="3"/>
  <c r="MDI28" i="3" s="1"/>
  <c r="MEM28" i="3" s="1"/>
  <c r="MBX28" i="3"/>
  <c r="MBL28" i="3"/>
  <c r="MCP28" i="3" s="1"/>
  <c r="MDT28" i="3" s="1"/>
  <c r="MEX28" i="3" s="1"/>
  <c r="MGB28" i="3" s="1"/>
  <c r="MBE28" i="3"/>
  <c r="MCI28" i="3" l="1"/>
  <c r="MDM28" i="3" s="1"/>
  <c r="MEQ28" i="3" s="1"/>
  <c r="MFU28" i="3" s="1"/>
  <c r="MGY28" i="3" s="1"/>
  <c r="MCB28" i="3"/>
  <c r="MDB28" i="3"/>
  <c r="MEF28" i="3" s="1"/>
  <c r="MFJ28" i="3" s="1"/>
  <c r="MCU28" i="3"/>
  <c r="MDH28" i="3"/>
  <c r="MEL28" i="3" s="1"/>
  <c r="MDA28" i="3"/>
  <c r="MCJ28" i="3"/>
  <c r="MDN28" i="3" s="1"/>
  <c r="MER28" i="3" s="1"/>
  <c r="MCC28" i="3"/>
  <c r="MCO28" i="3"/>
  <c r="MDS28" i="3" s="1"/>
  <c r="MEW28" i="3" s="1"/>
  <c r="MGA28" i="3" s="1"/>
  <c r="MHE28" i="3" s="1"/>
  <c r="MCH28" i="3"/>
  <c r="MDL28" i="3" l="1"/>
  <c r="MEP28" i="3" s="1"/>
  <c r="MFT28" i="3" s="1"/>
  <c r="MGX28" i="3" s="1"/>
  <c r="MIB28" i="3" s="1"/>
  <c r="MDE28" i="3"/>
  <c r="MDG28" i="3"/>
  <c r="MEK28" i="3" s="1"/>
  <c r="MFO28" i="3" s="1"/>
  <c r="MCZ28" i="3"/>
  <c r="MDF28" i="3"/>
  <c r="MEJ28" i="3" s="1"/>
  <c r="MFN28" i="3" s="1"/>
  <c r="MGR28" i="3" s="1"/>
  <c r="MHV28" i="3" s="1"/>
  <c r="MCY28" i="3"/>
  <c r="MEE28" i="3"/>
  <c r="MFI28" i="3" s="1"/>
  <c r="MDX28" i="3"/>
  <c r="MDY28" i="3"/>
  <c r="MFC28" i="3" s="1"/>
  <c r="MGG28" i="3" s="1"/>
  <c r="MDR28" i="3"/>
  <c r="MFB28" i="3" l="1"/>
  <c r="MGF28" i="3" s="1"/>
  <c r="MEU28" i="3"/>
  <c r="MEV28" i="3"/>
  <c r="MFZ28" i="3" s="1"/>
  <c r="MHD28" i="3" s="1"/>
  <c r="MEO28" i="3"/>
  <c r="MED28" i="3"/>
  <c r="MFH28" i="3" s="1"/>
  <c r="MGL28" i="3" s="1"/>
  <c r="MDW28" i="3"/>
  <c r="MEI28" i="3"/>
  <c r="MFM28" i="3" s="1"/>
  <c r="MGQ28" i="3" s="1"/>
  <c r="MHU28" i="3" s="1"/>
  <c r="MIY28" i="3" s="1"/>
  <c r="MEB28" i="3"/>
  <c r="MEC28" i="3"/>
  <c r="MFG28" i="3" s="1"/>
  <c r="MGK28" i="3" s="1"/>
  <c r="MHO28" i="3" s="1"/>
  <c r="MIS28" i="3" s="1"/>
  <c r="MDV28" i="3"/>
  <c r="MFF28" i="3" l="1"/>
  <c r="MGJ28" i="3" s="1"/>
  <c r="MHN28" i="3" s="1"/>
  <c r="MIR28" i="3" s="1"/>
  <c r="MJV28" i="3" s="1"/>
  <c r="MEY28" i="3"/>
  <c r="MFS28" i="3"/>
  <c r="MGW28" i="3" s="1"/>
  <c r="MIA28" i="3" s="1"/>
  <c r="MFL28" i="3"/>
  <c r="MFY28" i="3"/>
  <c r="MHC28" i="3" s="1"/>
  <c r="MFR28" i="3"/>
  <c r="MEZ28" i="3"/>
  <c r="MGD28" i="3" s="1"/>
  <c r="MHH28" i="3" s="1"/>
  <c r="MIL28" i="3" s="1"/>
  <c r="MJP28" i="3" s="1"/>
  <c r="MES28" i="3"/>
  <c r="MFA28" i="3"/>
  <c r="MGE28" i="3" s="1"/>
  <c r="MHI28" i="3" s="1"/>
  <c r="MET28" i="3"/>
  <c r="MFW28" i="3" l="1"/>
  <c r="MHA28" i="3" s="1"/>
  <c r="MIE28" i="3" s="1"/>
  <c r="MJI28" i="3" s="1"/>
  <c r="MKM28" i="3" s="1"/>
  <c r="MFP28" i="3"/>
  <c r="MGP28" i="3"/>
  <c r="MHT28" i="3" s="1"/>
  <c r="MIX28" i="3" s="1"/>
  <c r="MGI28" i="3"/>
  <c r="MFX28" i="3"/>
  <c r="MHB28" i="3" s="1"/>
  <c r="MIF28" i="3" s="1"/>
  <c r="MFQ28" i="3"/>
  <c r="MGV28" i="3"/>
  <c r="MHZ28" i="3" s="1"/>
  <c r="MGO28" i="3"/>
  <c r="MGC28" i="3"/>
  <c r="MHG28" i="3" s="1"/>
  <c r="MIK28" i="3" s="1"/>
  <c r="MJO28" i="3" s="1"/>
  <c r="MKS28" i="3" s="1"/>
  <c r="MFV28" i="3"/>
  <c r="MHS28" i="3" l="1"/>
  <c r="MIW28" i="3" s="1"/>
  <c r="MHL28" i="3"/>
  <c r="MGU28" i="3"/>
  <c r="MHY28" i="3" s="1"/>
  <c r="MJC28" i="3" s="1"/>
  <c r="MGN28" i="3"/>
  <c r="MGT28" i="3"/>
  <c r="MHX28" i="3" s="1"/>
  <c r="MJB28" i="3" s="1"/>
  <c r="MKF28" i="3" s="1"/>
  <c r="MLJ28" i="3" s="1"/>
  <c r="MGM28" i="3"/>
  <c r="MGZ28" i="3"/>
  <c r="MID28" i="3" s="1"/>
  <c r="MJH28" i="3" s="1"/>
  <c r="MKL28" i="3" s="1"/>
  <c r="MLP28" i="3" s="1"/>
  <c r="MGS28" i="3"/>
  <c r="MHM28" i="3"/>
  <c r="MIQ28" i="3" s="1"/>
  <c r="MJU28" i="3" s="1"/>
  <c r="MHF28" i="3"/>
  <c r="MHR28" i="3" l="1"/>
  <c r="MIV28" i="3" s="1"/>
  <c r="MJZ28" i="3" s="1"/>
  <c r="MHK28" i="3"/>
  <c r="MIJ28" i="3"/>
  <c r="MJN28" i="3" s="1"/>
  <c r="MKR28" i="3" s="1"/>
  <c r="MIC28" i="3"/>
  <c r="MHQ28" i="3"/>
  <c r="MIU28" i="3" s="1"/>
  <c r="MJY28" i="3" s="1"/>
  <c r="MLC28" i="3" s="1"/>
  <c r="MMG28" i="3" s="1"/>
  <c r="MHJ28" i="3"/>
  <c r="MIP28" i="3"/>
  <c r="MJT28" i="3" s="1"/>
  <c r="MII28" i="3"/>
  <c r="MHW28" i="3"/>
  <c r="MJA28" i="3" s="1"/>
  <c r="MKE28" i="3" s="1"/>
  <c r="MLI28" i="3" s="1"/>
  <c r="MMM28" i="3" s="1"/>
  <c r="MHP28" i="3"/>
  <c r="MJM28" i="3" l="1"/>
  <c r="MKQ28" i="3" s="1"/>
  <c r="MJF28" i="3"/>
  <c r="MJG28" i="3"/>
  <c r="MKK28" i="3" s="1"/>
  <c r="MLO28" i="3" s="1"/>
  <c r="MIZ28" i="3"/>
  <c r="MIN28" i="3"/>
  <c r="MJR28" i="3" s="1"/>
  <c r="MKV28" i="3" s="1"/>
  <c r="MLZ28" i="3" s="1"/>
  <c r="MND28" i="3" s="1"/>
  <c r="MIG28" i="3"/>
  <c r="MIO28" i="3"/>
  <c r="MJS28" i="3" s="1"/>
  <c r="MKW28" i="3" s="1"/>
  <c r="MIH28" i="3"/>
  <c r="MIT28" i="3"/>
  <c r="MJX28" i="3" s="1"/>
  <c r="MLB28" i="3" s="1"/>
  <c r="MMF28" i="3" s="1"/>
  <c r="MNJ28" i="3" s="1"/>
  <c r="MIM28" i="3"/>
  <c r="MJL28" i="3" l="1"/>
  <c r="MKP28" i="3" s="1"/>
  <c r="MLT28" i="3" s="1"/>
  <c r="MJE28" i="3"/>
  <c r="MJQ28" i="3"/>
  <c r="MKU28" i="3" s="1"/>
  <c r="MLY28" i="3" s="1"/>
  <c r="MNC28" i="3" s="1"/>
  <c r="MOG28" i="3" s="1"/>
  <c r="MJJ28" i="3"/>
  <c r="MJK28" i="3"/>
  <c r="MKO28" i="3" s="1"/>
  <c r="MLS28" i="3" s="1"/>
  <c r="MMW28" i="3" s="1"/>
  <c r="MOA28" i="3" s="1"/>
  <c r="MJD28" i="3"/>
  <c r="MKJ28" i="3"/>
  <c r="MLN28" i="3" s="1"/>
  <c r="MKC28" i="3"/>
  <c r="MKD28" i="3"/>
  <c r="MLH28" i="3" s="1"/>
  <c r="MML28" i="3" s="1"/>
  <c r="MJW28" i="3"/>
  <c r="MKN28" i="3" l="1"/>
  <c r="MLR28" i="3" s="1"/>
  <c r="MMV28" i="3" s="1"/>
  <c r="MNZ28" i="3" s="1"/>
  <c r="MPD28" i="3" s="1"/>
  <c r="MKG28" i="3"/>
  <c r="MLA28" i="3"/>
  <c r="MME28" i="3" s="1"/>
  <c r="MNI28" i="3" s="1"/>
  <c r="MKT28" i="3"/>
  <c r="MLG28" i="3"/>
  <c r="MMK28" i="3" s="1"/>
  <c r="MKZ28" i="3"/>
  <c r="MKH28" i="3"/>
  <c r="MLL28" i="3" s="1"/>
  <c r="MMP28" i="3" s="1"/>
  <c r="MNT28" i="3" s="1"/>
  <c r="MOX28" i="3" s="1"/>
  <c r="MKA28" i="3"/>
  <c r="MKI28" i="3"/>
  <c r="MLM28" i="3" s="1"/>
  <c r="MMQ28" i="3" s="1"/>
  <c r="MKB28" i="3"/>
  <c r="MLK28" i="3" l="1"/>
  <c r="MMO28" i="3" s="1"/>
  <c r="MNS28" i="3" s="1"/>
  <c r="MOW28" i="3" s="1"/>
  <c r="MQA28" i="3" s="1"/>
  <c r="MLD28" i="3"/>
  <c r="MLX28" i="3"/>
  <c r="MNB28" i="3" s="1"/>
  <c r="MOF28" i="3" s="1"/>
  <c r="MLQ28" i="3"/>
  <c r="MLE28" i="3"/>
  <c r="MMI28" i="3" s="1"/>
  <c r="MNM28" i="3" s="1"/>
  <c r="MOQ28" i="3" s="1"/>
  <c r="MPU28" i="3" s="1"/>
  <c r="MKX28" i="3"/>
  <c r="MMD28" i="3"/>
  <c r="MNH28" i="3" s="1"/>
  <c r="MLW28" i="3"/>
  <c r="MLF28" i="3"/>
  <c r="MMJ28" i="3" s="1"/>
  <c r="MNN28" i="3" s="1"/>
  <c r="MKY28" i="3"/>
  <c r="MMU28" i="3" l="1"/>
  <c r="MNY28" i="3" s="1"/>
  <c r="MPC28" i="3" s="1"/>
  <c r="MMN28" i="3"/>
  <c r="MMB28" i="3"/>
  <c r="MNF28" i="3" s="1"/>
  <c r="MOJ28" i="3" s="1"/>
  <c r="MPN28" i="3" s="1"/>
  <c r="MQR28" i="3" s="1"/>
  <c r="MLU28" i="3"/>
  <c r="MNA28" i="3"/>
  <c r="MOE28" i="3" s="1"/>
  <c r="MMT28" i="3"/>
  <c r="MMH28" i="3"/>
  <c r="MNL28" i="3" s="1"/>
  <c r="MOP28" i="3" s="1"/>
  <c r="MPT28" i="3" s="1"/>
  <c r="MQX28" i="3" s="1"/>
  <c r="MMA28" i="3"/>
  <c r="MMC28" i="3"/>
  <c r="MNG28" i="3" s="1"/>
  <c r="MOK28" i="3" s="1"/>
  <c r="MLV28" i="3"/>
  <c r="MMZ28" i="3" l="1"/>
  <c r="MOD28" i="3" s="1"/>
  <c r="MPH28" i="3" s="1"/>
  <c r="MMS28" i="3"/>
  <c r="MNX28" i="3"/>
  <c r="MPB28" i="3" s="1"/>
  <c r="MNQ28" i="3"/>
  <c r="MNE28" i="3"/>
  <c r="MOI28" i="3" s="1"/>
  <c r="MPM28" i="3" s="1"/>
  <c r="MQQ28" i="3" s="1"/>
  <c r="MRU28" i="3" s="1"/>
  <c r="MMX28" i="3"/>
  <c r="MNR28" i="3"/>
  <c r="MOV28" i="3" s="1"/>
  <c r="MPZ28" i="3" s="1"/>
  <c r="MNK28" i="3"/>
  <c r="MMY28" i="3"/>
  <c r="MOC28" i="3" s="1"/>
  <c r="MPG28" i="3" s="1"/>
  <c r="MQK28" i="3" s="1"/>
  <c r="MRO28" i="3" s="1"/>
  <c r="MMR28" i="3"/>
  <c r="MOB28" i="3" l="1"/>
  <c r="MPF28" i="3" s="1"/>
  <c r="MQJ28" i="3" s="1"/>
  <c r="MRN28" i="3" s="1"/>
  <c r="MSR28" i="3" s="1"/>
  <c r="MNU28" i="3"/>
  <c r="MOO28" i="3"/>
  <c r="MPS28" i="3" s="1"/>
  <c r="MQW28" i="3" s="1"/>
  <c r="MOH28" i="3"/>
  <c r="MNV28" i="3"/>
  <c r="MOZ28" i="3" s="1"/>
  <c r="MQD28" i="3" s="1"/>
  <c r="MRH28" i="3" s="1"/>
  <c r="MSL28" i="3" s="1"/>
  <c r="MNO28" i="3"/>
  <c r="MOU28" i="3"/>
  <c r="MPY28" i="3" s="1"/>
  <c r="MON28" i="3"/>
  <c r="MNW28" i="3"/>
  <c r="MPA28" i="3" s="1"/>
  <c r="MQE28" i="3" s="1"/>
  <c r="MNP28" i="3"/>
  <c r="MOY28" i="3" l="1"/>
  <c r="MQC28" i="3" s="1"/>
  <c r="MRG28" i="3" s="1"/>
  <c r="MSK28" i="3" s="1"/>
  <c r="MTO28" i="3" s="1"/>
  <c r="MOR28" i="3"/>
  <c r="MPR28" i="3"/>
  <c r="MQV28" i="3" s="1"/>
  <c r="MPK28" i="3"/>
  <c r="MPL28" i="3"/>
  <c r="MQP28" i="3" s="1"/>
  <c r="MRT28" i="3" s="1"/>
  <c r="MPE28" i="3"/>
  <c r="MOT28" i="3"/>
  <c r="MPX28" i="3" s="1"/>
  <c r="MRB28" i="3" s="1"/>
  <c r="MOM28" i="3"/>
  <c r="MOS28" i="3"/>
  <c r="MPW28" i="3" s="1"/>
  <c r="MRA28" i="3" s="1"/>
  <c r="MSE28" i="3" s="1"/>
  <c r="MTI28" i="3" s="1"/>
  <c r="MOL28" i="3"/>
  <c r="MPQ28" i="3" l="1"/>
  <c r="MQU28" i="3" s="1"/>
  <c r="MRY28" i="3" s="1"/>
  <c r="MPJ28" i="3"/>
  <c r="MPV28" i="3"/>
  <c r="MQZ28" i="3" s="1"/>
  <c r="MSD28" i="3" s="1"/>
  <c r="MTH28" i="3" s="1"/>
  <c r="MUL28" i="3" s="1"/>
  <c r="MPO28" i="3"/>
  <c r="MPP28" i="3"/>
  <c r="MQT28" i="3" s="1"/>
  <c r="MRX28" i="3" s="1"/>
  <c r="MTB28" i="3" s="1"/>
  <c r="MUF28" i="3" s="1"/>
  <c r="MPI28" i="3"/>
  <c r="MQI28" i="3"/>
  <c r="MRM28" i="3" s="1"/>
  <c r="MSQ28" i="3" s="1"/>
  <c r="MQB28" i="3"/>
  <c r="MQO28" i="3"/>
  <c r="MRS28" i="3" s="1"/>
  <c r="MQH28" i="3"/>
  <c r="MRF28" i="3" l="1"/>
  <c r="MSJ28" i="3" s="1"/>
  <c r="MTN28" i="3" s="1"/>
  <c r="MQY28" i="3"/>
  <c r="MQN28" i="3"/>
  <c r="MRR28" i="3" s="1"/>
  <c r="MSV28" i="3" s="1"/>
  <c r="MQG28" i="3"/>
  <c r="MRL28" i="3"/>
  <c r="MSP28" i="3" s="1"/>
  <c r="MRE28" i="3"/>
  <c r="MQM28" i="3"/>
  <c r="MRQ28" i="3" s="1"/>
  <c r="MSU28" i="3" s="1"/>
  <c r="MTY28" i="3" s="1"/>
  <c r="MVC28" i="3" s="1"/>
  <c r="MQF28" i="3"/>
  <c r="MQS28" i="3"/>
  <c r="MRW28" i="3" s="1"/>
  <c r="MTA28" i="3" s="1"/>
  <c r="MUE28" i="3" s="1"/>
  <c r="MVI28" i="3" s="1"/>
  <c r="MQL28" i="3"/>
  <c r="MRP28" i="3" l="1"/>
  <c r="MST28" i="3" s="1"/>
  <c r="MTX28" i="3" s="1"/>
  <c r="MVB28" i="3" s="1"/>
  <c r="MWF28" i="3" s="1"/>
  <c r="MRI28" i="3"/>
  <c r="MSI28" i="3"/>
  <c r="MTM28" i="3" s="1"/>
  <c r="MSB28" i="3"/>
  <c r="MRK28" i="3"/>
  <c r="MSO28" i="3" s="1"/>
  <c r="MTS28" i="3" s="1"/>
  <c r="MRD28" i="3"/>
  <c r="MRJ28" i="3"/>
  <c r="MSN28" i="3" s="1"/>
  <c r="MTR28" i="3" s="1"/>
  <c r="MUV28" i="3" s="1"/>
  <c r="MVZ28" i="3" s="1"/>
  <c r="MRC28" i="3"/>
  <c r="MSC28" i="3"/>
  <c r="MTG28" i="3" s="1"/>
  <c r="MUK28" i="3" s="1"/>
  <c r="MRV28" i="3"/>
  <c r="MSZ28" i="3" l="1"/>
  <c r="MUD28" i="3" s="1"/>
  <c r="MVH28" i="3" s="1"/>
  <c r="MSS28" i="3"/>
  <c r="MTF28" i="3"/>
  <c r="MUJ28" i="3" s="1"/>
  <c r="MSY28" i="3"/>
  <c r="MSG28" i="3"/>
  <c r="MTK28" i="3" s="1"/>
  <c r="MUO28" i="3" s="1"/>
  <c r="MVS28" i="3" s="1"/>
  <c r="MWW28" i="3" s="1"/>
  <c r="MRZ28" i="3"/>
  <c r="MSH28" i="3"/>
  <c r="MTL28" i="3" s="1"/>
  <c r="MUP28" i="3" s="1"/>
  <c r="MSA28" i="3"/>
  <c r="MSM28" i="3"/>
  <c r="MTQ28" i="3" s="1"/>
  <c r="MUU28" i="3" s="1"/>
  <c r="MVY28" i="3" s="1"/>
  <c r="MXC28" i="3" s="1"/>
  <c r="MSF28" i="3"/>
  <c r="MTJ28" i="3" l="1"/>
  <c r="MUN28" i="3" s="1"/>
  <c r="MVR28" i="3" s="1"/>
  <c r="MWV28" i="3" s="1"/>
  <c r="MXZ28" i="3" s="1"/>
  <c r="MTC28" i="3"/>
  <c r="MTD28" i="3"/>
  <c r="MUH28" i="3" s="1"/>
  <c r="MVL28" i="3" s="1"/>
  <c r="MWP28" i="3" s="1"/>
  <c r="MXT28" i="3" s="1"/>
  <c r="MSW28" i="3"/>
  <c r="MUC28" i="3"/>
  <c r="MVG28" i="3" s="1"/>
  <c r="MTV28" i="3"/>
  <c r="MTE28" i="3"/>
  <c r="MUI28" i="3" s="1"/>
  <c r="MVM28" i="3" s="1"/>
  <c r="MSX28" i="3"/>
  <c r="MTW28" i="3"/>
  <c r="MVA28" i="3" s="1"/>
  <c r="MWE28" i="3" s="1"/>
  <c r="MTP28" i="3"/>
  <c r="MUZ28" i="3" l="1"/>
  <c r="MWD28" i="3" s="1"/>
  <c r="MUS28" i="3"/>
  <c r="MUG28" i="3"/>
  <c r="MVK28" i="3" s="1"/>
  <c r="MWO28" i="3" s="1"/>
  <c r="MXS28" i="3" s="1"/>
  <c r="MYW28" i="3" s="1"/>
  <c r="MTZ28" i="3"/>
  <c r="MUB28" i="3"/>
  <c r="MVF28" i="3" s="1"/>
  <c r="MWJ28" i="3" s="1"/>
  <c r="MTU28" i="3"/>
  <c r="MUA28" i="3"/>
  <c r="MVE28" i="3" s="1"/>
  <c r="MWI28" i="3" s="1"/>
  <c r="MXM28" i="3" s="1"/>
  <c r="MYQ28" i="3" s="1"/>
  <c r="MTT28" i="3"/>
  <c r="MUT28" i="3"/>
  <c r="MVX28" i="3" s="1"/>
  <c r="MXB28" i="3" s="1"/>
  <c r="MUM28" i="3"/>
  <c r="MVD28" i="3" l="1"/>
  <c r="MWH28" i="3" s="1"/>
  <c r="MXL28" i="3" s="1"/>
  <c r="MYP28" i="3" s="1"/>
  <c r="MZT28" i="3" s="1"/>
  <c r="MUW28" i="3"/>
  <c r="MVQ28" i="3"/>
  <c r="MWU28" i="3" s="1"/>
  <c r="MXY28" i="3" s="1"/>
  <c r="MVJ28" i="3"/>
  <c r="MUY28" i="3"/>
  <c r="MWC28" i="3" s="1"/>
  <c r="MXG28" i="3" s="1"/>
  <c r="MUR28" i="3"/>
  <c r="MVW28" i="3"/>
  <c r="MXA28" i="3" s="1"/>
  <c r="MVP28" i="3"/>
  <c r="MUX28" i="3"/>
  <c r="MWB28" i="3" s="1"/>
  <c r="MXF28" i="3" s="1"/>
  <c r="MYJ28" i="3" s="1"/>
  <c r="MZN28" i="3" s="1"/>
  <c r="MUQ28" i="3"/>
  <c r="MWA28" i="3" l="1"/>
  <c r="MXE28" i="3" s="1"/>
  <c r="MYI28" i="3" s="1"/>
  <c r="MZM28" i="3" s="1"/>
  <c r="NAQ28" i="3" s="1"/>
  <c r="MVT28" i="3"/>
  <c r="MWT28" i="3"/>
  <c r="MXX28" i="3" s="1"/>
  <c r="MWM28" i="3"/>
  <c r="MWN28" i="3"/>
  <c r="MXR28" i="3" s="1"/>
  <c r="MYV28" i="3" s="1"/>
  <c r="MWG28" i="3"/>
  <c r="MVU28" i="3"/>
  <c r="MWY28" i="3" s="1"/>
  <c r="MYC28" i="3" s="1"/>
  <c r="MZG28" i="3" s="1"/>
  <c r="NAK28" i="3" s="1"/>
  <c r="MVN28" i="3"/>
  <c r="MVV28" i="3"/>
  <c r="MWZ28" i="3" s="1"/>
  <c r="MYD28" i="3" s="1"/>
  <c r="MVO28" i="3"/>
  <c r="MWR28" i="3" l="1"/>
  <c r="MXV28" i="3" s="1"/>
  <c r="MYZ28" i="3" s="1"/>
  <c r="NAD28" i="3" s="1"/>
  <c r="NBH28" i="3" s="1"/>
  <c r="MWK28" i="3"/>
  <c r="MWX28" i="3"/>
  <c r="MYB28" i="3" s="1"/>
  <c r="MZF28" i="3" s="1"/>
  <c r="NAJ28" i="3" s="1"/>
  <c r="NBN28" i="3" s="1"/>
  <c r="MWQ28" i="3"/>
  <c r="MWS28" i="3"/>
  <c r="MXW28" i="3" s="1"/>
  <c r="MZA28" i="3" s="1"/>
  <c r="MWL28" i="3"/>
  <c r="MXK28" i="3"/>
  <c r="MYO28" i="3" s="1"/>
  <c r="MZS28" i="3" s="1"/>
  <c r="MXD28" i="3"/>
  <c r="MXQ28" i="3"/>
  <c r="MYU28" i="3" s="1"/>
  <c r="MXJ28" i="3"/>
  <c r="MXO28" i="3" l="1"/>
  <c r="MYS28" i="3" s="1"/>
  <c r="MZW28" i="3" s="1"/>
  <c r="NBA28" i="3" s="1"/>
  <c r="NCE28" i="3" s="1"/>
  <c r="MXH28" i="3"/>
  <c r="MYH28" i="3"/>
  <c r="MZL28" i="3" s="1"/>
  <c r="NAP28" i="3" s="1"/>
  <c r="MYA28" i="3"/>
  <c r="MXU28" i="3"/>
  <c r="MYY28" i="3" s="1"/>
  <c r="NAC28" i="3" s="1"/>
  <c r="NBG28" i="3" s="1"/>
  <c r="NCK28" i="3" s="1"/>
  <c r="MXN28" i="3"/>
  <c r="MYN28" i="3"/>
  <c r="MZR28" i="3" s="1"/>
  <c r="MYG28" i="3"/>
  <c r="MXP28" i="3"/>
  <c r="MYT28" i="3" s="1"/>
  <c r="MZX28" i="3" s="1"/>
  <c r="MXI28" i="3"/>
  <c r="MYM28" i="3" l="1"/>
  <c r="MZQ28" i="3" s="1"/>
  <c r="NAU28" i="3" s="1"/>
  <c r="MYF28" i="3"/>
  <c r="MYR28" i="3"/>
  <c r="MZV28" i="3" s="1"/>
  <c r="NAZ28" i="3" s="1"/>
  <c r="NCD28" i="3" s="1"/>
  <c r="NDH28" i="3" s="1"/>
  <c r="MYK28" i="3"/>
  <c r="MZK28" i="3"/>
  <c r="NAO28" i="3" s="1"/>
  <c r="MZD28" i="3"/>
  <c r="MZE28" i="3"/>
  <c r="NAI28" i="3" s="1"/>
  <c r="NBM28" i="3" s="1"/>
  <c r="MYX28" i="3"/>
  <c r="MYL28" i="3"/>
  <c r="MZP28" i="3" s="1"/>
  <c r="NAT28" i="3" s="1"/>
  <c r="NBX28" i="3" s="1"/>
  <c r="NDB28" i="3" s="1"/>
  <c r="MYE28" i="3"/>
  <c r="MZO28" i="3" l="1"/>
  <c r="NAS28" i="3" s="1"/>
  <c r="NBW28" i="3" s="1"/>
  <c r="NDA28" i="3" s="1"/>
  <c r="NEE28" i="3" s="1"/>
  <c r="MZH28" i="3"/>
  <c r="MZI28" i="3"/>
  <c r="NAM28" i="3" s="1"/>
  <c r="NBQ28" i="3" s="1"/>
  <c r="NCU28" i="3" s="1"/>
  <c r="NDY28" i="3" s="1"/>
  <c r="MZB28" i="3"/>
  <c r="NAH28" i="3"/>
  <c r="NBL28" i="3" s="1"/>
  <c r="NAA28" i="3"/>
  <c r="MZJ28" i="3"/>
  <c r="NAN28" i="3" s="1"/>
  <c r="NBR28" i="3" s="1"/>
  <c r="MZC28" i="3"/>
  <c r="NAB28" i="3"/>
  <c r="NBF28" i="3" s="1"/>
  <c r="NCJ28" i="3" s="1"/>
  <c r="MZU28" i="3"/>
  <c r="NAG28" i="3" l="1"/>
  <c r="NBK28" i="3" s="1"/>
  <c r="NCO28" i="3" s="1"/>
  <c r="MZZ28" i="3"/>
  <c r="NAL28" i="3"/>
  <c r="NBP28" i="3" s="1"/>
  <c r="NCT28" i="3" s="1"/>
  <c r="NDX28" i="3" s="1"/>
  <c r="NFB28" i="3" s="1"/>
  <c r="NAE28" i="3"/>
  <c r="NAY28" i="3"/>
  <c r="NCC28" i="3" s="1"/>
  <c r="NDG28" i="3" s="1"/>
  <c r="NAR28" i="3"/>
  <c r="NBE28" i="3"/>
  <c r="NCI28" i="3" s="1"/>
  <c r="NAX28" i="3"/>
  <c r="NAF28" i="3"/>
  <c r="NBJ28" i="3" s="1"/>
  <c r="NCN28" i="3" s="1"/>
  <c r="NDR28" i="3" s="1"/>
  <c r="NEV28" i="3" s="1"/>
  <c r="MZY28" i="3"/>
  <c r="NBI28" i="3" l="1"/>
  <c r="NCM28" i="3" s="1"/>
  <c r="NDQ28" i="3" s="1"/>
  <c r="NEU28" i="3" s="1"/>
  <c r="NFY28" i="3" s="1"/>
  <c r="NBB28" i="3"/>
  <c r="NBC28" i="3"/>
  <c r="NCG28" i="3" s="1"/>
  <c r="NDK28" i="3" s="1"/>
  <c r="NEO28" i="3" s="1"/>
  <c r="NFS28" i="3" s="1"/>
  <c r="NAV28" i="3"/>
  <c r="NBV28" i="3"/>
  <c r="NCZ28" i="3" s="1"/>
  <c r="NED28" i="3" s="1"/>
  <c r="NBO28" i="3"/>
  <c r="NBD28" i="3"/>
  <c r="NCH28" i="3" s="1"/>
  <c r="NDL28" i="3" s="1"/>
  <c r="NAW28" i="3"/>
  <c r="NCB28" i="3"/>
  <c r="NDF28" i="3" s="1"/>
  <c r="NBU28" i="3"/>
  <c r="NCS28" i="3" l="1"/>
  <c r="NDW28" i="3" s="1"/>
  <c r="NFA28" i="3" s="1"/>
  <c r="NCL28" i="3"/>
  <c r="NCA28" i="3"/>
  <c r="NDE28" i="3" s="1"/>
  <c r="NEI28" i="3" s="1"/>
  <c r="NBT28" i="3"/>
  <c r="NCY28" i="3"/>
  <c r="NEC28" i="3" s="1"/>
  <c r="NCR28" i="3"/>
  <c r="NCF28" i="3"/>
  <c r="NDJ28" i="3" s="1"/>
  <c r="NEN28" i="3" s="1"/>
  <c r="NFR28" i="3" s="1"/>
  <c r="NGV28" i="3" s="1"/>
  <c r="NBY28" i="3"/>
  <c r="NBZ28" i="3"/>
  <c r="NDD28" i="3" s="1"/>
  <c r="NEH28" i="3" s="1"/>
  <c r="NFL28" i="3" s="1"/>
  <c r="NGP28" i="3" s="1"/>
  <c r="NBS28" i="3"/>
  <c r="NCX28" i="3" l="1"/>
  <c r="NEB28" i="3" s="1"/>
  <c r="NFF28" i="3" s="1"/>
  <c r="NCQ28" i="3"/>
  <c r="NDV28" i="3"/>
  <c r="NEZ28" i="3" s="1"/>
  <c r="NDO28" i="3"/>
  <c r="NCW28" i="3"/>
  <c r="NEA28" i="3" s="1"/>
  <c r="NFE28" i="3" s="1"/>
  <c r="NGI28" i="3" s="1"/>
  <c r="NHM28" i="3" s="1"/>
  <c r="NCP28" i="3"/>
  <c r="NDC28" i="3"/>
  <c r="NEG28" i="3" s="1"/>
  <c r="NFK28" i="3" s="1"/>
  <c r="NGO28" i="3" s="1"/>
  <c r="NHS28" i="3" s="1"/>
  <c r="NCV28" i="3"/>
  <c r="NDP28" i="3"/>
  <c r="NET28" i="3" s="1"/>
  <c r="NFX28" i="3" s="1"/>
  <c r="NDI28" i="3"/>
  <c r="NDZ28" i="3" l="1"/>
  <c r="NFD28" i="3" s="1"/>
  <c r="NGH28" i="3" s="1"/>
  <c r="NHL28" i="3" s="1"/>
  <c r="NIP28" i="3" s="1"/>
  <c r="NDS28" i="3"/>
  <c r="NES28" i="3"/>
  <c r="NFW28" i="3" s="1"/>
  <c r="NEL28" i="3"/>
  <c r="NDT28" i="3"/>
  <c r="NEX28" i="3" s="1"/>
  <c r="NGB28" i="3" s="1"/>
  <c r="NHF28" i="3" s="1"/>
  <c r="NIJ28" i="3" s="1"/>
  <c r="NDM28" i="3"/>
  <c r="NEM28" i="3"/>
  <c r="NFQ28" i="3" s="1"/>
  <c r="NGU28" i="3" s="1"/>
  <c r="NEF28" i="3"/>
  <c r="NDU28" i="3"/>
  <c r="NEY28" i="3" s="1"/>
  <c r="NGC28" i="3" s="1"/>
  <c r="NDN28" i="3"/>
  <c r="NFP28" i="3" l="1"/>
  <c r="NGT28" i="3" s="1"/>
  <c r="NFI28" i="3"/>
  <c r="NEW28" i="3"/>
  <c r="NGA28" i="3" s="1"/>
  <c r="NHE28" i="3" s="1"/>
  <c r="NII28" i="3" s="1"/>
  <c r="NJM28" i="3" s="1"/>
  <c r="NEP28" i="3"/>
  <c r="NER28" i="3"/>
  <c r="NFV28" i="3" s="1"/>
  <c r="NGZ28" i="3" s="1"/>
  <c r="NEK28" i="3"/>
  <c r="NFJ28" i="3"/>
  <c r="NGN28" i="3" s="1"/>
  <c r="NHR28" i="3" s="1"/>
  <c r="NFC28" i="3"/>
  <c r="NEQ28" i="3"/>
  <c r="NFU28" i="3" s="1"/>
  <c r="NGY28" i="3" s="1"/>
  <c r="NIC28" i="3" s="1"/>
  <c r="NJG28" i="3" s="1"/>
  <c r="NEJ28" i="3"/>
  <c r="NGG28" i="3" l="1"/>
  <c r="NHK28" i="3" s="1"/>
  <c r="NIO28" i="3" s="1"/>
  <c r="NFZ28" i="3"/>
  <c r="NFT28" i="3"/>
  <c r="NGX28" i="3" s="1"/>
  <c r="NIB28" i="3" s="1"/>
  <c r="NJF28" i="3" s="1"/>
  <c r="NKJ28" i="3" s="1"/>
  <c r="NFM28" i="3"/>
  <c r="NFN28" i="3"/>
  <c r="NGR28" i="3" s="1"/>
  <c r="NHV28" i="3" s="1"/>
  <c r="NIZ28" i="3" s="1"/>
  <c r="NKD28" i="3" s="1"/>
  <c r="NFG28" i="3"/>
  <c r="NFO28" i="3"/>
  <c r="NGS28" i="3" s="1"/>
  <c r="NHW28" i="3" s="1"/>
  <c r="NFH28" i="3"/>
  <c r="NGM28" i="3"/>
  <c r="NHQ28" i="3" s="1"/>
  <c r="NGF28" i="3"/>
  <c r="NHJ28" i="3" l="1"/>
  <c r="NIN28" i="3" s="1"/>
  <c r="NHC28" i="3"/>
  <c r="NGL28" i="3"/>
  <c r="NHP28" i="3" s="1"/>
  <c r="NIT28" i="3" s="1"/>
  <c r="NGE28" i="3"/>
  <c r="NHD28" i="3"/>
  <c r="NIH28" i="3" s="1"/>
  <c r="NJL28" i="3" s="1"/>
  <c r="NGW28" i="3"/>
  <c r="NGK28" i="3"/>
  <c r="NHO28" i="3" s="1"/>
  <c r="NIS28" i="3" s="1"/>
  <c r="NJW28" i="3" s="1"/>
  <c r="NLA28" i="3" s="1"/>
  <c r="NGD28" i="3"/>
  <c r="NGQ28" i="3"/>
  <c r="NHU28" i="3" s="1"/>
  <c r="NIY28" i="3" s="1"/>
  <c r="NKC28" i="3" s="1"/>
  <c r="NLG28" i="3" s="1"/>
  <c r="NGJ28" i="3"/>
  <c r="NHI28" i="3" l="1"/>
  <c r="NIM28" i="3" s="1"/>
  <c r="NJQ28" i="3" s="1"/>
  <c r="NHB28" i="3"/>
  <c r="NIG28" i="3"/>
  <c r="NJK28" i="3" s="1"/>
  <c r="NHZ28" i="3"/>
  <c r="NHH28" i="3"/>
  <c r="NIL28" i="3" s="1"/>
  <c r="NJP28" i="3" s="1"/>
  <c r="NKT28" i="3" s="1"/>
  <c r="NLX28" i="3" s="1"/>
  <c r="NHA28" i="3"/>
  <c r="NIA28" i="3"/>
  <c r="NJE28" i="3" s="1"/>
  <c r="NKI28" i="3" s="1"/>
  <c r="NHT28" i="3"/>
  <c r="NHN28" i="3"/>
  <c r="NIR28" i="3" s="1"/>
  <c r="NJV28" i="3" s="1"/>
  <c r="NKZ28" i="3" s="1"/>
  <c r="NMD28" i="3" s="1"/>
  <c r="NHG28" i="3"/>
  <c r="NIE28" i="3" l="1"/>
  <c r="NJI28" i="3" s="1"/>
  <c r="NKM28" i="3" s="1"/>
  <c r="NLQ28" i="3" s="1"/>
  <c r="NMU28" i="3" s="1"/>
  <c r="NHX28" i="3"/>
  <c r="NIF28" i="3"/>
  <c r="NJJ28" i="3" s="1"/>
  <c r="NKN28" i="3" s="1"/>
  <c r="NHY28" i="3"/>
  <c r="NIK28" i="3"/>
  <c r="NJO28" i="3" s="1"/>
  <c r="NKS28" i="3" s="1"/>
  <c r="NLW28" i="3" s="1"/>
  <c r="NNA28" i="3" s="1"/>
  <c r="NID28" i="3"/>
  <c r="NIX28" i="3"/>
  <c r="NKB28" i="3" s="1"/>
  <c r="NLF28" i="3" s="1"/>
  <c r="NIQ28" i="3"/>
  <c r="NJD28" i="3"/>
  <c r="NKH28" i="3" s="1"/>
  <c r="NIW28" i="3"/>
  <c r="NJB28" i="3" l="1"/>
  <c r="NKF28" i="3" s="1"/>
  <c r="NLJ28" i="3" s="1"/>
  <c r="NMN28" i="3" s="1"/>
  <c r="NNR28" i="3" s="1"/>
  <c r="NIU28" i="3"/>
  <c r="NJC28" i="3"/>
  <c r="NKG28" i="3" s="1"/>
  <c r="NLK28" i="3" s="1"/>
  <c r="NIV28" i="3"/>
  <c r="NKA28" i="3"/>
  <c r="NLE28" i="3" s="1"/>
  <c r="NJT28" i="3"/>
  <c r="NJH28" i="3"/>
  <c r="NKL28" i="3" s="1"/>
  <c r="NLP28" i="3" s="1"/>
  <c r="NMT28" i="3" s="1"/>
  <c r="NNX28" i="3" s="1"/>
  <c r="NJA28" i="3"/>
  <c r="NJU28" i="3"/>
  <c r="NKY28" i="3" s="1"/>
  <c r="NMC28" i="3" s="1"/>
  <c r="NJN28" i="3"/>
  <c r="NKE28" i="3" l="1"/>
  <c r="NLI28" i="3" s="1"/>
  <c r="NMM28" i="3" s="1"/>
  <c r="NNQ28" i="3" s="1"/>
  <c r="NOU28" i="3" s="1"/>
  <c r="NJX28" i="3"/>
  <c r="NJY28" i="3"/>
  <c r="NLC28" i="3" s="1"/>
  <c r="NMG28" i="3" s="1"/>
  <c r="NNK28" i="3" s="1"/>
  <c r="NOO28" i="3" s="1"/>
  <c r="NJR28" i="3"/>
  <c r="NKR28" i="3"/>
  <c r="NLV28" i="3" s="1"/>
  <c r="NMZ28" i="3" s="1"/>
  <c r="NKK28" i="3"/>
  <c r="NKX28" i="3"/>
  <c r="NMB28" i="3" s="1"/>
  <c r="NKQ28" i="3"/>
  <c r="NJZ28" i="3"/>
  <c r="NLD28" i="3" s="1"/>
  <c r="NMH28" i="3" s="1"/>
  <c r="NJS28" i="3"/>
  <c r="NKW28" i="3" l="1"/>
  <c r="NMA28" i="3" s="1"/>
  <c r="NNE28" i="3" s="1"/>
  <c r="NKP28" i="3"/>
  <c r="NKV28" i="3"/>
  <c r="NLZ28" i="3" s="1"/>
  <c r="NND28" i="3" s="1"/>
  <c r="NOH28" i="3" s="1"/>
  <c r="NPL28" i="3" s="1"/>
  <c r="NKO28" i="3"/>
  <c r="NLU28" i="3"/>
  <c r="NMY28" i="3" s="1"/>
  <c r="NLN28" i="3"/>
  <c r="NLO28" i="3"/>
  <c r="NMS28" i="3" s="1"/>
  <c r="NNW28" i="3" s="1"/>
  <c r="NLH28" i="3"/>
  <c r="NLB28" i="3"/>
  <c r="NMF28" i="3" s="1"/>
  <c r="NNJ28" i="3" s="1"/>
  <c r="NON28" i="3" s="1"/>
  <c r="NPR28" i="3" s="1"/>
  <c r="NKU28" i="3"/>
  <c r="NLS28" i="3" l="1"/>
  <c r="NMW28" i="3" s="1"/>
  <c r="NOA28" i="3" s="1"/>
  <c r="NPE28" i="3" s="1"/>
  <c r="NQI28" i="3" s="1"/>
  <c r="NLL28" i="3"/>
  <c r="NLY28" i="3"/>
  <c r="NNC28" i="3" s="1"/>
  <c r="NOG28" i="3" s="1"/>
  <c r="NPK28" i="3" s="1"/>
  <c r="NQO28" i="3" s="1"/>
  <c r="NLR28" i="3"/>
  <c r="NMR28" i="3"/>
  <c r="NNV28" i="3" s="1"/>
  <c r="NMK28" i="3"/>
  <c r="NLT28" i="3"/>
  <c r="NMX28" i="3" s="1"/>
  <c r="NOB28" i="3" s="1"/>
  <c r="NLM28" i="3"/>
  <c r="NML28" i="3"/>
  <c r="NNP28" i="3" s="1"/>
  <c r="NOT28" i="3" s="1"/>
  <c r="NME28" i="3"/>
  <c r="NMV28" i="3" l="1"/>
  <c r="NNZ28" i="3" s="1"/>
  <c r="NPD28" i="3" s="1"/>
  <c r="NQH28" i="3" s="1"/>
  <c r="NRL28" i="3" s="1"/>
  <c r="NMO28" i="3"/>
  <c r="NMQ28" i="3"/>
  <c r="NNU28" i="3" s="1"/>
  <c r="NOY28" i="3" s="1"/>
  <c r="NMJ28" i="3"/>
  <c r="NNO28" i="3"/>
  <c r="NOS28" i="3" s="1"/>
  <c r="NNH28" i="3"/>
  <c r="NMP28" i="3"/>
  <c r="NNT28" i="3" s="1"/>
  <c r="NOX28" i="3" s="1"/>
  <c r="NQB28" i="3" s="1"/>
  <c r="NRF28" i="3" s="1"/>
  <c r="NMI28" i="3"/>
  <c r="NNI28" i="3"/>
  <c r="NOM28" i="3" s="1"/>
  <c r="NPQ28" i="3" s="1"/>
  <c r="NNB28" i="3"/>
  <c r="NNS28" i="3" l="1"/>
  <c r="NOW28" i="3" s="1"/>
  <c r="NQA28" i="3" s="1"/>
  <c r="NRE28" i="3" s="1"/>
  <c r="NSI28" i="3" s="1"/>
  <c r="NNL28" i="3"/>
  <c r="NNM28" i="3"/>
  <c r="NOQ28" i="3" s="1"/>
  <c r="NPU28" i="3" s="1"/>
  <c r="NQY28" i="3" s="1"/>
  <c r="NSC28" i="3" s="1"/>
  <c r="NNF28" i="3"/>
  <c r="NNN28" i="3"/>
  <c r="NOR28" i="3" s="1"/>
  <c r="NPV28" i="3" s="1"/>
  <c r="NNG28" i="3"/>
  <c r="NOL28" i="3"/>
  <c r="NPP28" i="3" s="1"/>
  <c r="NOE28" i="3"/>
  <c r="NOF28" i="3"/>
  <c r="NPJ28" i="3" s="1"/>
  <c r="NQN28" i="3" s="1"/>
  <c r="NNY28" i="3"/>
  <c r="NPC28" i="3" l="1"/>
  <c r="NQG28" i="3" s="1"/>
  <c r="NRK28" i="3" s="1"/>
  <c r="NOV28" i="3"/>
  <c r="NPI28" i="3"/>
  <c r="NQM28" i="3" s="1"/>
  <c r="NPB28" i="3"/>
  <c r="NOK28" i="3"/>
  <c r="NPO28" i="3" s="1"/>
  <c r="NQS28" i="3" s="1"/>
  <c r="NOD28" i="3"/>
  <c r="NOP28" i="3"/>
  <c r="NPT28" i="3" s="1"/>
  <c r="NQX28" i="3" s="1"/>
  <c r="NSB28" i="3" s="1"/>
  <c r="NTF28" i="3" s="1"/>
  <c r="NOI28" i="3"/>
  <c r="NOJ28" i="3"/>
  <c r="NPN28" i="3" s="1"/>
  <c r="NQR28" i="3" s="1"/>
  <c r="NRV28" i="3" s="1"/>
  <c r="NSZ28" i="3" s="1"/>
  <c r="NOC28" i="3"/>
  <c r="NPG28" i="3" l="1"/>
  <c r="NQK28" i="3" s="1"/>
  <c r="NRO28" i="3" s="1"/>
  <c r="NSS28" i="3" s="1"/>
  <c r="NTW28" i="3" s="1"/>
  <c r="NOZ28" i="3"/>
  <c r="NPM28" i="3"/>
  <c r="NQQ28" i="3" s="1"/>
  <c r="NRU28" i="3" s="1"/>
  <c r="NSY28" i="3" s="1"/>
  <c r="NUC28" i="3" s="1"/>
  <c r="NPF28" i="3"/>
  <c r="NQF28" i="3"/>
  <c r="NRJ28" i="3" s="1"/>
  <c r="NPY28" i="3"/>
  <c r="NPZ28" i="3"/>
  <c r="NRD28" i="3" s="1"/>
  <c r="NSH28" i="3" s="1"/>
  <c r="NPS28" i="3"/>
  <c r="NPH28" i="3"/>
  <c r="NQL28" i="3" s="1"/>
  <c r="NRP28" i="3" s="1"/>
  <c r="NPA28" i="3"/>
  <c r="NQW28" i="3" l="1"/>
  <c r="NSA28" i="3" s="1"/>
  <c r="NTE28" i="3" s="1"/>
  <c r="NQP28" i="3"/>
  <c r="NQE28" i="3"/>
  <c r="NRI28" i="3" s="1"/>
  <c r="NSM28" i="3" s="1"/>
  <c r="NPX28" i="3"/>
  <c r="NQD28" i="3"/>
  <c r="NRH28" i="3" s="1"/>
  <c r="NSL28" i="3" s="1"/>
  <c r="NTP28" i="3" s="1"/>
  <c r="NUT28" i="3" s="1"/>
  <c r="NPW28" i="3"/>
  <c r="NRC28" i="3"/>
  <c r="NSG28" i="3" s="1"/>
  <c r="NQV28" i="3"/>
  <c r="NQJ28" i="3"/>
  <c r="NRN28" i="3" s="1"/>
  <c r="NSR28" i="3" s="1"/>
  <c r="NTV28" i="3" s="1"/>
  <c r="NUZ28" i="3" s="1"/>
  <c r="NQC28" i="3"/>
  <c r="NRZ28" i="3" l="1"/>
  <c r="NTD28" i="3" s="1"/>
  <c r="NRS28" i="3"/>
  <c r="NRT28" i="3"/>
  <c r="NSX28" i="3" s="1"/>
  <c r="NUB28" i="3" s="1"/>
  <c r="NRM28" i="3"/>
  <c r="NRG28" i="3"/>
  <c r="NSK28" i="3" s="1"/>
  <c r="NTO28" i="3" s="1"/>
  <c r="NUS28" i="3" s="1"/>
  <c r="NVW28" i="3" s="1"/>
  <c r="NQZ28" i="3"/>
  <c r="NRA28" i="3"/>
  <c r="NSE28" i="3" s="1"/>
  <c r="NTI28" i="3" s="1"/>
  <c r="NUM28" i="3" s="1"/>
  <c r="NVQ28" i="3" s="1"/>
  <c r="NQT28" i="3"/>
  <c r="NRB28" i="3"/>
  <c r="NSF28" i="3" s="1"/>
  <c r="NTJ28" i="3" s="1"/>
  <c r="NQU28" i="3"/>
  <c r="NRX28" i="3" l="1"/>
  <c r="NTB28" i="3" s="1"/>
  <c r="NUF28" i="3" s="1"/>
  <c r="NVJ28" i="3" s="1"/>
  <c r="NWN28" i="3" s="1"/>
  <c r="NRQ28" i="3"/>
  <c r="NSQ28" i="3"/>
  <c r="NTU28" i="3" s="1"/>
  <c r="NUY28" i="3" s="1"/>
  <c r="NSJ28" i="3"/>
  <c r="NSW28" i="3"/>
  <c r="NUA28" i="3" s="1"/>
  <c r="NSP28" i="3"/>
  <c r="NRY28" i="3"/>
  <c r="NTC28" i="3" s="1"/>
  <c r="NUG28" i="3" s="1"/>
  <c r="NRR28" i="3"/>
  <c r="NSD28" i="3"/>
  <c r="NTH28" i="3" s="1"/>
  <c r="NUL28" i="3" s="1"/>
  <c r="NVP28" i="3" s="1"/>
  <c r="NWT28" i="3" s="1"/>
  <c r="NRW28" i="3"/>
  <c r="NTT28" i="3" l="1"/>
  <c r="NUX28" i="3" s="1"/>
  <c r="NTM28" i="3"/>
  <c r="NTA28" i="3"/>
  <c r="NUE28" i="3" s="1"/>
  <c r="NVI28" i="3" s="1"/>
  <c r="NWM28" i="3" s="1"/>
  <c r="NXQ28" i="3" s="1"/>
  <c r="NST28" i="3"/>
  <c r="NSU28" i="3"/>
  <c r="NTY28" i="3" s="1"/>
  <c r="NVC28" i="3" s="1"/>
  <c r="NWG28" i="3" s="1"/>
  <c r="NXK28" i="3" s="1"/>
  <c r="NSN28" i="3"/>
  <c r="NSV28" i="3"/>
  <c r="NTZ28" i="3" s="1"/>
  <c r="NVD28" i="3" s="1"/>
  <c r="NSO28" i="3"/>
  <c r="NTN28" i="3"/>
  <c r="NUR28" i="3" s="1"/>
  <c r="NVV28" i="3" s="1"/>
  <c r="NTG28" i="3"/>
  <c r="NTS28" i="3" l="1"/>
  <c r="NUW28" i="3" s="1"/>
  <c r="NWA28" i="3" s="1"/>
  <c r="NTL28" i="3"/>
  <c r="NUK28" i="3"/>
  <c r="NVO28" i="3" s="1"/>
  <c r="NWS28" i="3" s="1"/>
  <c r="NUD28" i="3"/>
  <c r="NTX28" i="3"/>
  <c r="NVB28" i="3" s="1"/>
  <c r="NWF28" i="3" s="1"/>
  <c r="NXJ28" i="3" s="1"/>
  <c r="NYN28" i="3" s="1"/>
  <c r="NTQ28" i="3"/>
  <c r="NUQ28" i="3"/>
  <c r="NVU28" i="3" s="1"/>
  <c r="NUJ28" i="3"/>
  <c r="NTR28" i="3"/>
  <c r="NUV28" i="3" s="1"/>
  <c r="NVZ28" i="3" s="1"/>
  <c r="NXD28" i="3" s="1"/>
  <c r="NYH28" i="3" s="1"/>
  <c r="NTK28" i="3"/>
  <c r="NUO28" i="3" l="1"/>
  <c r="NVS28" i="3" s="1"/>
  <c r="NWW28" i="3" s="1"/>
  <c r="NYA28" i="3" s="1"/>
  <c r="NZE28" i="3" s="1"/>
  <c r="NUH28" i="3"/>
  <c r="NUP28" i="3"/>
  <c r="NVT28" i="3" s="1"/>
  <c r="NWX28" i="3" s="1"/>
  <c r="NUI28" i="3"/>
  <c r="NVN28" i="3"/>
  <c r="NWR28" i="3" s="1"/>
  <c r="NVG28" i="3"/>
  <c r="NVH28" i="3"/>
  <c r="NWL28" i="3" s="1"/>
  <c r="NXP28" i="3" s="1"/>
  <c r="NVA28" i="3"/>
  <c r="NUU28" i="3"/>
  <c r="NVY28" i="3" s="1"/>
  <c r="NXC28" i="3" s="1"/>
  <c r="NYG28" i="3" s="1"/>
  <c r="NZK28" i="3" s="1"/>
  <c r="NUN28" i="3"/>
  <c r="NVR28" i="3" l="1"/>
  <c r="NWV28" i="3" s="1"/>
  <c r="NXZ28" i="3" s="1"/>
  <c r="NZD28" i="3" s="1"/>
  <c r="OAH28" i="3" s="1"/>
  <c r="NVK28" i="3"/>
  <c r="NWE28" i="3"/>
  <c r="NXI28" i="3" s="1"/>
  <c r="NYM28" i="3" s="1"/>
  <c r="NVX28" i="3"/>
  <c r="NWK28" i="3"/>
  <c r="NXO28" i="3" s="1"/>
  <c r="NWD28" i="3"/>
  <c r="NVM28" i="3"/>
  <c r="NWQ28" i="3" s="1"/>
  <c r="NXU28" i="3" s="1"/>
  <c r="NVF28" i="3"/>
  <c r="NVL28" i="3"/>
  <c r="NWP28" i="3" s="1"/>
  <c r="NXT28" i="3" s="1"/>
  <c r="NYX28" i="3" s="1"/>
  <c r="OAB28" i="3" s="1"/>
  <c r="NVE28" i="3"/>
  <c r="NWJ28" i="3" l="1"/>
  <c r="NXN28" i="3" s="1"/>
  <c r="NYR28" i="3" s="1"/>
  <c r="NWC28" i="3"/>
  <c r="NWI28" i="3"/>
  <c r="NXM28" i="3" s="1"/>
  <c r="NYQ28" i="3" s="1"/>
  <c r="NZU28" i="3" s="1"/>
  <c r="OAY28" i="3" s="1"/>
  <c r="NWB28" i="3"/>
  <c r="NWO28" i="3"/>
  <c r="NXS28" i="3" s="1"/>
  <c r="NYW28" i="3" s="1"/>
  <c r="OAA28" i="3" s="1"/>
  <c r="OBE28" i="3" s="1"/>
  <c r="NWH28" i="3"/>
  <c r="NXH28" i="3"/>
  <c r="NYL28" i="3" s="1"/>
  <c r="NXA28" i="3"/>
  <c r="NXB28" i="3"/>
  <c r="NYF28" i="3" s="1"/>
  <c r="NZJ28" i="3" s="1"/>
  <c r="NWU28" i="3"/>
  <c r="NXG28" i="3" l="1"/>
  <c r="NYK28" i="3" s="1"/>
  <c r="NZO28" i="3" s="1"/>
  <c r="NWZ28" i="3"/>
  <c r="NYE28" i="3"/>
  <c r="NZI28" i="3" s="1"/>
  <c r="NXX28" i="3"/>
  <c r="NXF28" i="3"/>
  <c r="NYJ28" i="3" s="1"/>
  <c r="NZN28" i="3" s="1"/>
  <c r="OAR28" i="3" s="1"/>
  <c r="OBV28" i="3" s="1"/>
  <c r="NWY28" i="3"/>
  <c r="NXY28" i="3"/>
  <c r="NZC28" i="3" s="1"/>
  <c r="OAG28" i="3" s="1"/>
  <c r="NXR28" i="3"/>
  <c r="NXL28" i="3"/>
  <c r="NYP28" i="3" s="1"/>
  <c r="NZT28" i="3" s="1"/>
  <c r="OAX28" i="3" s="1"/>
  <c r="OCB28" i="3" s="1"/>
  <c r="NXE28" i="3"/>
  <c r="NYD28" i="3" l="1"/>
  <c r="NZH28" i="3" s="1"/>
  <c r="OAL28" i="3" s="1"/>
  <c r="NXW28" i="3"/>
  <c r="NYI28" i="3"/>
  <c r="NZM28" i="3" s="1"/>
  <c r="OAQ28" i="3" s="1"/>
  <c r="OBU28" i="3" s="1"/>
  <c r="OCY28" i="3" s="1"/>
  <c r="NYB28" i="3"/>
  <c r="NYV28" i="3"/>
  <c r="NZZ28" i="3" s="1"/>
  <c r="OBD28" i="3" s="1"/>
  <c r="NYO28" i="3"/>
  <c r="NYC28" i="3"/>
  <c r="NZG28" i="3" s="1"/>
  <c r="OAK28" i="3" s="1"/>
  <c r="OBO28" i="3" s="1"/>
  <c r="OCS28" i="3" s="1"/>
  <c r="NXV28" i="3"/>
  <c r="NZB28" i="3"/>
  <c r="OAF28" i="3" s="1"/>
  <c r="NYU28" i="3"/>
  <c r="NZY28" i="3" l="1"/>
  <c r="OBC28" i="3" s="1"/>
  <c r="NZR28" i="3"/>
  <c r="NZA28" i="3"/>
  <c r="OAE28" i="3" s="1"/>
  <c r="OBI28" i="3" s="1"/>
  <c r="NYT28" i="3"/>
  <c r="NZS28" i="3"/>
  <c r="OAW28" i="3" s="1"/>
  <c r="OCA28" i="3" s="1"/>
  <c r="NZL28" i="3"/>
  <c r="NYZ28" i="3"/>
  <c r="OAD28" i="3" s="1"/>
  <c r="OBH28" i="3" s="1"/>
  <c r="OCL28" i="3" s="1"/>
  <c r="ODP28" i="3" s="1"/>
  <c r="NYS28" i="3"/>
  <c r="NZF28" i="3"/>
  <c r="OAJ28" i="3" s="1"/>
  <c r="OBN28" i="3" s="1"/>
  <c r="OCR28" i="3" s="1"/>
  <c r="ODV28" i="3" s="1"/>
  <c r="NYY28" i="3"/>
  <c r="NZW28" i="3" l="1"/>
  <c r="OBA28" i="3" s="1"/>
  <c r="OCE28" i="3" s="1"/>
  <c r="ODI28" i="3" s="1"/>
  <c r="OEM28" i="3" s="1"/>
  <c r="NZP28" i="3"/>
  <c r="OAP28" i="3"/>
  <c r="OBT28" i="3" s="1"/>
  <c r="OCX28" i="3" s="1"/>
  <c r="OAI28" i="3"/>
  <c r="OAC28" i="3"/>
  <c r="OBG28" i="3" s="1"/>
  <c r="OCK28" i="3" s="1"/>
  <c r="ODO28" i="3" s="1"/>
  <c r="OES28" i="3" s="1"/>
  <c r="NZV28" i="3"/>
  <c r="OAV28" i="3"/>
  <c r="OBZ28" i="3" s="1"/>
  <c r="OAO28" i="3"/>
  <c r="NZX28" i="3"/>
  <c r="OBB28" i="3" s="1"/>
  <c r="OCF28" i="3" s="1"/>
  <c r="NZQ28" i="3"/>
  <c r="OBM28" i="3" l="1"/>
  <c r="OCQ28" i="3" s="1"/>
  <c r="ODU28" i="3" s="1"/>
  <c r="OBF28" i="3"/>
  <c r="OBS28" i="3"/>
  <c r="OCW28" i="3" s="1"/>
  <c r="OBL28" i="3"/>
  <c r="OAT28" i="3"/>
  <c r="OBX28" i="3" s="1"/>
  <c r="ODB28" i="3" s="1"/>
  <c r="OEF28" i="3" s="1"/>
  <c r="OFJ28" i="3" s="1"/>
  <c r="OAM28" i="3"/>
  <c r="OAU28" i="3"/>
  <c r="OBY28" i="3" s="1"/>
  <c r="ODC28" i="3" s="1"/>
  <c r="OAN28" i="3"/>
  <c r="OAZ28" i="3"/>
  <c r="OCD28" i="3" s="1"/>
  <c r="ODH28" i="3" s="1"/>
  <c r="OEL28" i="3" s="1"/>
  <c r="OFP28" i="3" s="1"/>
  <c r="OAS28" i="3"/>
  <c r="OCJ28" i="3" l="1"/>
  <c r="ODN28" i="3" s="1"/>
  <c r="OER28" i="3" s="1"/>
  <c r="OCC28" i="3"/>
  <c r="OBR28" i="3"/>
  <c r="OCV28" i="3" s="1"/>
  <c r="ODZ28" i="3" s="1"/>
  <c r="OBK28" i="3"/>
  <c r="OCP28" i="3"/>
  <c r="ODT28" i="3" s="1"/>
  <c r="OCI28" i="3"/>
  <c r="OBW28" i="3"/>
  <c r="ODA28" i="3" s="1"/>
  <c r="OEE28" i="3" s="1"/>
  <c r="OFI28" i="3" s="1"/>
  <c r="OGM28" i="3" s="1"/>
  <c r="OBP28" i="3"/>
  <c r="OBQ28" i="3"/>
  <c r="OCU28" i="3" s="1"/>
  <c r="ODY28" i="3" s="1"/>
  <c r="OFC28" i="3" s="1"/>
  <c r="OGG28" i="3" s="1"/>
  <c r="OBJ28" i="3"/>
  <c r="ODM28" i="3" l="1"/>
  <c r="OEQ28" i="3" s="1"/>
  <c r="ODF28" i="3"/>
  <c r="ODG28" i="3"/>
  <c r="OEK28" i="3" s="1"/>
  <c r="OFO28" i="3" s="1"/>
  <c r="OCZ28" i="3"/>
  <c r="OCN28" i="3"/>
  <c r="ODR28" i="3" s="1"/>
  <c r="OEV28" i="3" s="1"/>
  <c r="OFZ28" i="3" s="1"/>
  <c r="OHD28" i="3" s="1"/>
  <c r="OCG28" i="3"/>
  <c r="OCO28" i="3"/>
  <c r="ODS28" i="3" s="1"/>
  <c r="OEW28" i="3" s="1"/>
  <c r="OCH28" i="3"/>
  <c r="OCT28" i="3"/>
  <c r="ODX28" i="3" s="1"/>
  <c r="OFB28" i="3" s="1"/>
  <c r="OGF28" i="3" s="1"/>
  <c r="OHJ28" i="3" s="1"/>
  <c r="OCM28" i="3"/>
  <c r="ODL28" i="3" l="1"/>
  <c r="OEP28" i="3" s="1"/>
  <c r="OFT28" i="3" s="1"/>
  <c r="ODE28" i="3"/>
  <c r="ODK28" i="3"/>
  <c r="OEO28" i="3" s="1"/>
  <c r="OFS28" i="3" s="1"/>
  <c r="OGW28" i="3" s="1"/>
  <c r="OIA28" i="3" s="1"/>
  <c r="ODD28" i="3"/>
  <c r="OEJ28" i="3"/>
  <c r="OFN28" i="3" s="1"/>
  <c r="OEC28" i="3"/>
  <c r="ODQ28" i="3"/>
  <c r="OEU28" i="3" s="1"/>
  <c r="OFY28" i="3" s="1"/>
  <c r="OHC28" i="3" s="1"/>
  <c r="OIG28" i="3" s="1"/>
  <c r="ODJ28" i="3"/>
  <c r="OED28" i="3"/>
  <c r="OFH28" i="3" s="1"/>
  <c r="OGL28" i="3" s="1"/>
  <c r="ODW28" i="3"/>
  <c r="OFA28" i="3" l="1"/>
  <c r="OGE28" i="3" s="1"/>
  <c r="OHI28" i="3" s="1"/>
  <c r="OET28" i="3"/>
  <c r="OEN28" i="3"/>
  <c r="OFR28" i="3" s="1"/>
  <c r="OGV28" i="3" s="1"/>
  <c r="OHZ28" i="3" s="1"/>
  <c r="OJD28" i="3" s="1"/>
  <c r="OEG28" i="3"/>
  <c r="OEH28" i="3"/>
  <c r="OFL28" i="3" s="1"/>
  <c r="OGP28" i="3" s="1"/>
  <c r="OHT28" i="3" s="1"/>
  <c r="OIX28" i="3" s="1"/>
  <c r="OEA28" i="3"/>
  <c r="OEI28" i="3"/>
  <c r="OFM28" i="3" s="1"/>
  <c r="OGQ28" i="3" s="1"/>
  <c r="OEB28" i="3"/>
  <c r="OFG28" i="3"/>
  <c r="OGK28" i="3" s="1"/>
  <c r="OEZ28" i="3"/>
  <c r="OFK28" i="3" l="1"/>
  <c r="OGO28" i="3" s="1"/>
  <c r="OHS28" i="3" s="1"/>
  <c r="OIW28" i="3" s="1"/>
  <c r="OKA28" i="3" s="1"/>
  <c r="OFD28" i="3"/>
  <c r="OFF28" i="3"/>
  <c r="OGJ28" i="3" s="1"/>
  <c r="OHN28" i="3" s="1"/>
  <c r="OEY28" i="3"/>
  <c r="OGD28" i="3"/>
  <c r="OHH28" i="3" s="1"/>
  <c r="OFW28" i="3"/>
  <c r="OFE28" i="3"/>
  <c r="OGI28" i="3" s="1"/>
  <c r="OHM28" i="3" s="1"/>
  <c r="OIQ28" i="3" s="1"/>
  <c r="OJU28" i="3" s="1"/>
  <c r="OEX28" i="3"/>
  <c r="OFX28" i="3"/>
  <c r="OHB28" i="3" s="1"/>
  <c r="OIF28" i="3" s="1"/>
  <c r="OFQ28" i="3"/>
  <c r="OGH28" i="3" l="1"/>
  <c r="OHL28" i="3" s="1"/>
  <c r="OIP28" i="3" s="1"/>
  <c r="OJT28" i="3" s="1"/>
  <c r="OKX28" i="3" s="1"/>
  <c r="OGA28" i="3"/>
  <c r="OHA28" i="3"/>
  <c r="OIE28" i="3" s="1"/>
  <c r="OGT28" i="3"/>
  <c r="OGB28" i="3"/>
  <c r="OHF28" i="3" s="1"/>
  <c r="OIJ28" i="3" s="1"/>
  <c r="OJN28" i="3" s="1"/>
  <c r="OKR28" i="3" s="1"/>
  <c r="OFU28" i="3"/>
  <c r="OGC28" i="3"/>
  <c r="OHG28" i="3" s="1"/>
  <c r="OIK28" i="3" s="1"/>
  <c r="OFV28" i="3"/>
  <c r="OGU28" i="3"/>
  <c r="OHY28" i="3" s="1"/>
  <c r="OJC28" i="3" s="1"/>
  <c r="OGN28" i="3"/>
  <c r="OHR28" i="3" l="1"/>
  <c r="OIV28" i="3" s="1"/>
  <c r="OJZ28" i="3" s="1"/>
  <c r="OHK28" i="3"/>
  <c r="OGZ28" i="3"/>
  <c r="OID28" i="3" s="1"/>
  <c r="OJH28" i="3" s="1"/>
  <c r="OGS28" i="3"/>
  <c r="OHX28" i="3"/>
  <c r="OJB28" i="3" s="1"/>
  <c r="OHQ28" i="3"/>
  <c r="OHE28" i="3"/>
  <c r="OII28" i="3" s="1"/>
  <c r="OJM28" i="3" s="1"/>
  <c r="OKQ28" i="3" s="1"/>
  <c r="OLU28" i="3" s="1"/>
  <c r="OGX28" i="3"/>
  <c r="OGY28" i="3"/>
  <c r="OIC28" i="3" s="1"/>
  <c r="OJG28" i="3" s="1"/>
  <c r="OKK28" i="3" s="1"/>
  <c r="OLO28" i="3" s="1"/>
  <c r="OGR28" i="3"/>
  <c r="OIU28" i="3" l="1"/>
  <c r="OJY28" i="3" s="1"/>
  <c r="OIN28" i="3"/>
  <c r="OHW28" i="3"/>
  <c r="OJA28" i="3" s="1"/>
  <c r="OKE28" i="3" s="1"/>
  <c r="OHP28" i="3"/>
  <c r="OHV28" i="3"/>
  <c r="OIZ28" i="3" s="1"/>
  <c r="OKD28" i="3" s="1"/>
  <c r="OLH28" i="3" s="1"/>
  <c r="OML28" i="3" s="1"/>
  <c r="OHO28" i="3"/>
  <c r="OIB28" i="3"/>
  <c r="OJF28" i="3" s="1"/>
  <c r="OKJ28" i="3" s="1"/>
  <c r="OLN28" i="3" s="1"/>
  <c r="OMR28" i="3" s="1"/>
  <c r="OHU28" i="3"/>
  <c r="OIO28" i="3"/>
  <c r="OJS28" i="3" s="1"/>
  <c r="OKW28" i="3" s="1"/>
  <c r="OIH28" i="3"/>
  <c r="OIS28" i="3" l="1"/>
  <c r="OJW28" i="3" s="1"/>
  <c r="OLA28" i="3" s="1"/>
  <c r="OME28" i="3" s="1"/>
  <c r="ONI28" i="3" s="1"/>
  <c r="OIL28" i="3"/>
  <c r="OJR28" i="3"/>
  <c r="OKV28" i="3" s="1"/>
  <c r="OJK28" i="3"/>
  <c r="OJL28" i="3"/>
  <c r="OKP28" i="3" s="1"/>
  <c r="OLT28" i="3" s="1"/>
  <c r="OJE28" i="3"/>
  <c r="OIT28" i="3"/>
  <c r="OJX28" i="3" s="1"/>
  <c r="OLB28" i="3" s="1"/>
  <c r="OIM28" i="3"/>
  <c r="OIY28" i="3"/>
  <c r="OKC28" i="3" s="1"/>
  <c r="OLG28" i="3" s="1"/>
  <c r="OMK28" i="3" s="1"/>
  <c r="ONO28" i="3" s="1"/>
  <c r="OIR28" i="3"/>
  <c r="OJQ28" i="3" l="1"/>
  <c r="OKU28" i="3" s="1"/>
  <c r="OLY28" i="3" s="1"/>
  <c r="OJJ28" i="3"/>
  <c r="OJV28" i="3"/>
  <c r="OKZ28" i="3" s="1"/>
  <c r="OMD28" i="3" s="1"/>
  <c r="ONH28" i="3" s="1"/>
  <c r="OOL28" i="3" s="1"/>
  <c r="OJO28" i="3"/>
  <c r="OKI28" i="3"/>
  <c r="OLM28" i="3" s="1"/>
  <c r="OMQ28" i="3" s="1"/>
  <c r="OKB28" i="3"/>
  <c r="OJP28" i="3"/>
  <c r="OKT28" i="3" s="1"/>
  <c r="OLX28" i="3" s="1"/>
  <c r="ONB28" i="3" s="1"/>
  <c r="OOF28" i="3" s="1"/>
  <c r="OJI28" i="3"/>
  <c r="OKO28" i="3"/>
  <c r="OLS28" i="3" s="1"/>
  <c r="OKH28" i="3"/>
  <c r="OLL28" i="3" l="1"/>
  <c r="OMP28" i="3" s="1"/>
  <c r="OLE28" i="3"/>
  <c r="OKM28" i="3"/>
  <c r="OLQ28" i="3" s="1"/>
  <c r="OMU28" i="3" s="1"/>
  <c r="ONY28" i="3" s="1"/>
  <c r="OPC28" i="3" s="1"/>
  <c r="OKF28" i="3"/>
  <c r="OKN28" i="3"/>
  <c r="OLR28" i="3" s="1"/>
  <c r="OMV28" i="3" s="1"/>
  <c r="OKG28" i="3"/>
  <c r="OLF28" i="3"/>
  <c r="OMJ28" i="3" s="1"/>
  <c r="ONN28" i="3" s="1"/>
  <c r="OKY28" i="3"/>
  <c r="OKS28" i="3"/>
  <c r="OLW28" i="3" s="1"/>
  <c r="ONA28" i="3" s="1"/>
  <c r="OOE28" i="3" s="1"/>
  <c r="OPI28" i="3" s="1"/>
  <c r="OKL28" i="3"/>
  <c r="OLP28" i="3" l="1"/>
  <c r="OMT28" i="3" s="1"/>
  <c r="ONX28" i="3" s="1"/>
  <c r="OPB28" i="3" s="1"/>
  <c r="OQF28" i="3" s="1"/>
  <c r="OLI28" i="3"/>
  <c r="OLK28" i="3"/>
  <c r="OMO28" i="3" s="1"/>
  <c r="ONS28" i="3" s="1"/>
  <c r="OLD28" i="3"/>
  <c r="OMC28" i="3"/>
  <c r="ONG28" i="3" s="1"/>
  <c r="OOK28" i="3" s="1"/>
  <c r="OLV28" i="3"/>
  <c r="OLJ28" i="3"/>
  <c r="OMN28" i="3" s="1"/>
  <c r="ONR28" i="3" s="1"/>
  <c r="OOV28" i="3" s="1"/>
  <c r="OPZ28" i="3" s="1"/>
  <c r="OLC28" i="3"/>
  <c r="OMI28" i="3"/>
  <c r="ONM28" i="3" s="1"/>
  <c r="OMB28" i="3"/>
  <c r="OMM28" i="3" l="1"/>
  <c r="ONQ28" i="3" s="1"/>
  <c r="OOU28" i="3" s="1"/>
  <c r="OPY28" i="3" s="1"/>
  <c r="ORC28" i="3" s="1"/>
  <c r="OMF28" i="3"/>
  <c r="OMH28" i="3"/>
  <c r="ONL28" i="3" s="1"/>
  <c r="OOP28" i="3" s="1"/>
  <c r="OMA28" i="3"/>
  <c r="ONF28" i="3"/>
  <c r="OOJ28" i="3" s="1"/>
  <c r="OMY28" i="3"/>
  <c r="OMG28" i="3"/>
  <c r="ONK28" i="3" s="1"/>
  <c r="OOO28" i="3" s="1"/>
  <c r="OPS28" i="3" s="1"/>
  <c r="OQW28" i="3" s="1"/>
  <c r="OLZ28" i="3"/>
  <c r="OMZ28" i="3"/>
  <c r="OOD28" i="3" s="1"/>
  <c r="OPH28" i="3" s="1"/>
  <c r="OMS28" i="3"/>
  <c r="OND28" i="3" l="1"/>
  <c r="OOH28" i="3" s="1"/>
  <c r="OPL28" i="3" s="1"/>
  <c r="OQP28" i="3" s="1"/>
  <c r="ORT28" i="3" s="1"/>
  <c r="OMW28" i="3"/>
  <c r="ONE28" i="3"/>
  <c r="OOI28" i="3" s="1"/>
  <c r="OPM28" i="3" s="1"/>
  <c r="OMX28" i="3"/>
  <c r="ONW28" i="3"/>
  <c r="OPA28" i="3" s="1"/>
  <c r="OQE28" i="3" s="1"/>
  <c r="ONP28" i="3"/>
  <c r="OOC28" i="3"/>
  <c r="OPG28" i="3" s="1"/>
  <c r="ONV28" i="3"/>
  <c r="ONJ28" i="3"/>
  <c r="OON28" i="3" s="1"/>
  <c r="OPR28" i="3" s="1"/>
  <c r="OQV28" i="3" s="1"/>
  <c r="ORZ28" i="3" s="1"/>
  <c r="ONC28" i="3"/>
  <c r="OOZ28" i="3" l="1"/>
  <c r="OQD28" i="3" s="1"/>
  <c r="OOS28" i="3"/>
  <c r="OOG28" i="3"/>
  <c r="OPK28" i="3" s="1"/>
  <c r="OQO28" i="3" s="1"/>
  <c r="ORS28" i="3" s="1"/>
  <c r="OSW28" i="3" s="1"/>
  <c r="ONZ28" i="3"/>
  <c r="OOT28" i="3"/>
  <c r="OPX28" i="3" s="1"/>
  <c r="ORB28" i="3" s="1"/>
  <c r="OOM28" i="3"/>
  <c r="OOA28" i="3"/>
  <c r="OPE28" i="3" s="1"/>
  <c r="OQI28" i="3" s="1"/>
  <c r="ORM28" i="3" s="1"/>
  <c r="OSQ28" i="3" s="1"/>
  <c r="ONT28" i="3"/>
  <c r="OOB28" i="3"/>
  <c r="OPF28" i="3" s="1"/>
  <c r="OQJ28" i="3" s="1"/>
  <c r="ONU28" i="3"/>
  <c r="OOX28" i="3" l="1"/>
  <c r="OQB28" i="3" s="1"/>
  <c r="ORF28" i="3" s="1"/>
  <c r="OSJ28" i="3" s="1"/>
  <c r="OTN28" i="3" s="1"/>
  <c r="OOQ28" i="3"/>
  <c r="OPD28" i="3"/>
  <c r="OQH28" i="3" s="1"/>
  <c r="ORL28" i="3" s="1"/>
  <c r="OSP28" i="3" s="1"/>
  <c r="OTT28" i="3" s="1"/>
  <c r="OOW28" i="3"/>
  <c r="OPW28" i="3"/>
  <c r="ORA28" i="3" s="1"/>
  <c r="OPP28" i="3"/>
  <c r="OOY28" i="3"/>
  <c r="OQC28" i="3" s="1"/>
  <c r="ORG28" i="3" s="1"/>
  <c r="OOR28" i="3"/>
  <c r="OPQ28" i="3"/>
  <c r="OQU28" i="3" s="1"/>
  <c r="ORY28" i="3" s="1"/>
  <c r="OPJ28" i="3"/>
  <c r="OQA28" i="3" l="1"/>
  <c r="ORE28" i="3" s="1"/>
  <c r="OSI28" i="3" s="1"/>
  <c r="OTM28" i="3" s="1"/>
  <c r="OUQ28" i="3" s="1"/>
  <c r="OPT28" i="3"/>
  <c r="OQN28" i="3"/>
  <c r="ORR28" i="3" s="1"/>
  <c r="OSV28" i="3" s="1"/>
  <c r="OQG28" i="3"/>
  <c r="OQT28" i="3"/>
  <c r="ORX28" i="3" s="1"/>
  <c r="OQM28" i="3"/>
  <c r="OPU28" i="3"/>
  <c r="OQY28" i="3" s="1"/>
  <c r="OSC28" i="3" s="1"/>
  <c r="OTG28" i="3" s="1"/>
  <c r="OUK28" i="3" s="1"/>
  <c r="OPN28" i="3"/>
  <c r="OPV28" i="3"/>
  <c r="OQZ28" i="3" s="1"/>
  <c r="OSD28" i="3" s="1"/>
  <c r="OPO28" i="3"/>
  <c r="ORQ28" i="3" l="1"/>
  <c r="OSU28" i="3" s="1"/>
  <c r="ORJ28" i="3"/>
  <c r="OQR28" i="3"/>
  <c r="ORV28" i="3" s="1"/>
  <c r="OSZ28" i="3" s="1"/>
  <c r="OUD28" i="3" s="1"/>
  <c r="OVH28" i="3" s="1"/>
  <c r="OQK28" i="3"/>
  <c r="ORK28" i="3"/>
  <c r="OSO28" i="3" s="1"/>
  <c r="OTS28" i="3" s="1"/>
  <c r="ORD28" i="3"/>
  <c r="OQX28" i="3"/>
  <c r="OSB28" i="3" s="1"/>
  <c r="OTF28" i="3" s="1"/>
  <c r="OUJ28" i="3" s="1"/>
  <c r="OVN28" i="3" s="1"/>
  <c r="OQQ28" i="3"/>
  <c r="OQS28" i="3"/>
  <c r="ORW28" i="3" s="1"/>
  <c r="OTA28" i="3" s="1"/>
  <c r="OQL28" i="3"/>
  <c r="ORU28" i="3" l="1"/>
  <c r="OSY28" i="3" s="1"/>
  <c r="OUC28" i="3" s="1"/>
  <c r="OVG28" i="3" s="1"/>
  <c r="OWK28" i="3" s="1"/>
  <c r="ORN28" i="3"/>
  <c r="OSH28" i="3"/>
  <c r="OTL28" i="3" s="1"/>
  <c r="OUP28" i="3" s="1"/>
  <c r="OSA28" i="3"/>
  <c r="OSN28" i="3"/>
  <c r="OTR28" i="3" s="1"/>
  <c r="OSG28" i="3"/>
  <c r="ORP28" i="3"/>
  <c r="OST28" i="3" s="1"/>
  <c r="OTX28" i="3" s="1"/>
  <c r="ORI28" i="3"/>
  <c r="ORO28" i="3"/>
  <c r="OSS28" i="3" s="1"/>
  <c r="OTW28" i="3" s="1"/>
  <c r="OVA28" i="3" s="1"/>
  <c r="OWE28" i="3" s="1"/>
  <c r="ORH28" i="3"/>
  <c r="OSL28" i="3" l="1"/>
  <c r="OTP28" i="3" s="1"/>
  <c r="OUT28" i="3" s="1"/>
  <c r="OVX28" i="3" s="1"/>
  <c r="OXB28" i="3" s="1"/>
  <c r="OSE28" i="3"/>
  <c r="OTK28" i="3"/>
  <c r="OUO28" i="3" s="1"/>
  <c r="OTD28" i="3"/>
  <c r="OTE28" i="3"/>
  <c r="OUI28" i="3" s="1"/>
  <c r="OVM28" i="3" s="1"/>
  <c r="OSX28" i="3"/>
  <c r="OSM28" i="3"/>
  <c r="OTQ28" i="3" s="1"/>
  <c r="OUU28" i="3" s="1"/>
  <c r="OSF28" i="3"/>
  <c r="OSR28" i="3"/>
  <c r="OTV28" i="3" s="1"/>
  <c r="OUZ28" i="3" s="1"/>
  <c r="OWD28" i="3" s="1"/>
  <c r="OXH28" i="3" s="1"/>
  <c r="OSK28" i="3"/>
  <c r="OTO28" i="3" l="1"/>
  <c r="OUS28" i="3" s="1"/>
  <c r="OVW28" i="3" s="1"/>
  <c r="OXA28" i="3" s="1"/>
  <c r="OYE28" i="3" s="1"/>
  <c r="OTH28" i="3"/>
  <c r="OUB28" i="3"/>
  <c r="OVF28" i="3" s="1"/>
  <c r="OWJ28" i="3" s="1"/>
  <c r="OTU28" i="3"/>
  <c r="OTI28" i="3"/>
  <c r="OUM28" i="3" s="1"/>
  <c r="OVQ28" i="3" s="1"/>
  <c r="OWU28" i="3" s="1"/>
  <c r="OXY28" i="3" s="1"/>
  <c r="OTB28" i="3"/>
  <c r="OTJ28" i="3"/>
  <c r="OUN28" i="3" s="1"/>
  <c r="OVR28" i="3" s="1"/>
  <c r="OTC28" i="3"/>
  <c r="OUH28" i="3"/>
  <c r="OVL28" i="3" s="1"/>
  <c r="OUA28" i="3"/>
  <c r="OUY28" i="3" l="1"/>
  <c r="OWC28" i="3" s="1"/>
  <c r="OXG28" i="3" s="1"/>
  <c r="OUR28" i="3"/>
  <c r="OVE28" i="3"/>
  <c r="OWI28" i="3" s="1"/>
  <c r="OUX28" i="3"/>
  <c r="OUF28" i="3"/>
  <c r="OVJ28" i="3" s="1"/>
  <c r="OWN28" i="3" s="1"/>
  <c r="OXR28" i="3" s="1"/>
  <c r="OYV28" i="3" s="1"/>
  <c r="OTY28" i="3"/>
  <c r="OUL28" i="3"/>
  <c r="OVP28" i="3" s="1"/>
  <c r="OWT28" i="3" s="1"/>
  <c r="OXX28" i="3" s="1"/>
  <c r="OZB28" i="3" s="1"/>
  <c r="OUE28" i="3"/>
  <c r="OUG28" i="3"/>
  <c r="OVK28" i="3" s="1"/>
  <c r="OWO28" i="3" s="1"/>
  <c r="OTZ28" i="3"/>
  <c r="OVD28" i="3" l="1"/>
  <c r="OWH28" i="3" s="1"/>
  <c r="OXL28" i="3" s="1"/>
  <c r="OUW28" i="3"/>
  <c r="OVC28" i="3"/>
  <c r="OWG28" i="3" s="1"/>
  <c r="OXK28" i="3" s="1"/>
  <c r="OYO28" i="3" s="1"/>
  <c r="OZS28" i="3" s="1"/>
  <c r="OUV28" i="3"/>
  <c r="OVI28" i="3"/>
  <c r="OWM28" i="3" s="1"/>
  <c r="OXQ28" i="3" s="1"/>
  <c r="OYU28" i="3" s="1"/>
  <c r="OZY28" i="3" s="1"/>
  <c r="OVB28" i="3"/>
  <c r="OWB28" i="3"/>
  <c r="OXF28" i="3" s="1"/>
  <c r="OVU28" i="3"/>
  <c r="OVV28" i="3"/>
  <c r="OWZ28" i="3" s="1"/>
  <c r="OYD28" i="3" s="1"/>
  <c r="OVO28" i="3"/>
  <c r="OWS28" i="3" l="1"/>
  <c r="OXW28" i="3" s="1"/>
  <c r="OZA28" i="3" s="1"/>
  <c r="OWL28" i="3"/>
  <c r="OWY28" i="3"/>
  <c r="OYC28" i="3" s="1"/>
  <c r="OWR28" i="3"/>
  <c r="OWF28" i="3"/>
  <c r="OXJ28" i="3" s="1"/>
  <c r="OYN28" i="3" s="1"/>
  <c r="OZR28" i="3" s="1"/>
  <c r="PAV28" i="3" s="1"/>
  <c r="OVY28" i="3"/>
  <c r="OWA28" i="3"/>
  <c r="OXE28" i="3" s="1"/>
  <c r="OYI28" i="3" s="1"/>
  <c r="OVT28" i="3"/>
  <c r="OVZ28" i="3"/>
  <c r="OXD28" i="3" s="1"/>
  <c r="OYH28" i="3" s="1"/>
  <c r="OZL28" i="3" s="1"/>
  <c r="PAP28" i="3" s="1"/>
  <c r="OVS28" i="3"/>
  <c r="OXV28" i="3" l="1"/>
  <c r="OYZ28" i="3" s="1"/>
  <c r="OXO28" i="3"/>
  <c r="OXC28" i="3"/>
  <c r="OYG28" i="3" s="1"/>
  <c r="OZK28" i="3" s="1"/>
  <c r="PAO28" i="3" s="1"/>
  <c r="PBS28" i="3" s="1"/>
  <c r="OWV28" i="3"/>
  <c r="OXP28" i="3"/>
  <c r="OYT28" i="3" s="1"/>
  <c r="OZX28" i="3" s="1"/>
  <c r="OXI28" i="3"/>
  <c r="OWW28" i="3"/>
  <c r="OYA28" i="3" s="1"/>
  <c r="OZE28" i="3" s="1"/>
  <c r="PAI28" i="3" s="1"/>
  <c r="PBM28" i="3" s="1"/>
  <c r="OWP28" i="3"/>
  <c r="OWX28" i="3"/>
  <c r="OYB28" i="3" s="1"/>
  <c r="OZF28" i="3" s="1"/>
  <c r="OWQ28" i="3"/>
  <c r="OYS28" i="3" l="1"/>
  <c r="OZW28" i="3" s="1"/>
  <c r="OYL28" i="3"/>
  <c r="OXU28" i="3"/>
  <c r="OYY28" i="3" s="1"/>
  <c r="PAC28" i="3" s="1"/>
  <c r="OXN28" i="3"/>
  <c r="OYM28" i="3"/>
  <c r="OZQ28" i="3" s="1"/>
  <c r="PAU28" i="3" s="1"/>
  <c r="OYF28" i="3"/>
  <c r="OXT28" i="3"/>
  <c r="OYX28" i="3" s="1"/>
  <c r="PAB28" i="3" s="1"/>
  <c r="PBF28" i="3" s="1"/>
  <c r="PCJ28" i="3" s="1"/>
  <c r="OXM28" i="3"/>
  <c r="OXZ28" i="3"/>
  <c r="OZD28" i="3" s="1"/>
  <c r="PAH28" i="3" s="1"/>
  <c r="PBL28" i="3" s="1"/>
  <c r="PCP28" i="3" s="1"/>
  <c r="OXS28" i="3"/>
  <c r="OYQ28" i="3" l="1"/>
  <c r="OZU28" i="3" s="1"/>
  <c r="PAY28" i="3" s="1"/>
  <c r="PCC28" i="3" s="1"/>
  <c r="PDG28" i="3" s="1"/>
  <c r="OYJ28" i="3"/>
  <c r="OZP28" i="3"/>
  <c r="PAT28" i="3" s="1"/>
  <c r="OZI28" i="3"/>
  <c r="OYW28" i="3"/>
  <c r="PAA28" i="3" s="1"/>
  <c r="PBE28" i="3" s="1"/>
  <c r="PCI28" i="3" s="1"/>
  <c r="PDM28" i="3" s="1"/>
  <c r="OYP28" i="3"/>
  <c r="OZJ28" i="3"/>
  <c r="PAN28" i="3" s="1"/>
  <c r="PBR28" i="3" s="1"/>
  <c r="OZC28" i="3"/>
  <c r="OYR28" i="3"/>
  <c r="OZV28" i="3" s="1"/>
  <c r="PAZ28" i="3" s="1"/>
  <c r="OYK28" i="3"/>
  <c r="PAG28" i="3" l="1"/>
  <c r="PBK28" i="3" s="1"/>
  <c r="PCO28" i="3" s="1"/>
  <c r="OZZ28" i="3"/>
  <c r="PAM28" i="3"/>
  <c r="PBQ28" i="3" s="1"/>
  <c r="PAF28" i="3"/>
  <c r="OZO28" i="3"/>
  <c r="PAS28" i="3" s="1"/>
  <c r="PBW28" i="3" s="1"/>
  <c r="OZH28" i="3"/>
  <c r="OZT28" i="3"/>
  <c r="PAX28" i="3" s="1"/>
  <c r="PCB28" i="3" s="1"/>
  <c r="PDF28" i="3" s="1"/>
  <c r="PEJ28" i="3" s="1"/>
  <c r="OZM28" i="3"/>
  <c r="OZN28" i="3"/>
  <c r="PAR28" i="3" s="1"/>
  <c r="PBV28" i="3" s="1"/>
  <c r="PCZ28" i="3" s="1"/>
  <c r="PED28" i="3" s="1"/>
  <c r="OZG28" i="3"/>
  <c r="PAL28" i="3" l="1"/>
  <c r="PBP28" i="3" s="1"/>
  <c r="PCT28" i="3" s="1"/>
  <c r="PAE28" i="3"/>
  <c r="PAQ28" i="3"/>
  <c r="PBU28" i="3" s="1"/>
  <c r="PCY28" i="3" s="1"/>
  <c r="PEC28" i="3" s="1"/>
  <c r="PFG28" i="3" s="1"/>
  <c r="PAJ28" i="3"/>
  <c r="PBD28" i="3"/>
  <c r="PCH28" i="3" s="1"/>
  <c r="PDL28" i="3" s="1"/>
  <c r="PAW28" i="3"/>
  <c r="PBJ28" i="3"/>
  <c r="PCN28" i="3" s="1"/>
  <c r="PBC28" i="3"/>
  <c r="PAK28" i="3"/>
  <c r="PBO28" i="3" s="1"/>
  <c r="PCS28" i="3" s="1"/>
  <c r="PDW28" i="3" s="1"/>
  <c r="PFA28" i="3" s="1"/>
  <c r="PAD28" i="3"/>
  <c r="PCG28" i="3" l="1"/>
  <c r="PDK28" i="3" s="1"/>
  <c r="PBZ28" i="3"/>
  <c r="PCA28" i="3"/>
  <c r="PDE28" i="3" s="1"/>
  <c r="PEI28" i="3" s="1"/>
  <c r="PBT28" i="3"/>
  <c r="PBI28" i="3"/>
  <c r="PCM28" i="3" s="1"/>
  <c r="PDQ28" i="3" s="1"/>
  <c r="PBB28" i="3"/>
  <c r="PBH28" i="3"/>
  <c r="PCL28" i="3" s="1"/>
  <c r="PDP28" i="3" s="1"/>
  <c r="PET28" i="3" s="1"/>
  <c r="PFX28" i="3" s="1"/>
  <c r="PBA28" i="3"/>
  <c r="PBN28" i="3"/>
  <c r="PCR28" i="3" s="1"/>
  <c r="PDV28" i="3" s="1"/>
  <c r="PEZ28" i="3" s="1"/>
  <c r="PGD28" i="3" s="1"/>
  <c r="PBG28" i="3"/>
  <c r="PCE28" i="3" l="1"/>
  <c r="PDI28" i="3" s="1"/>
  <c r="PEM28" i="3" s="1"/>
  <c r="PFQ28" i="3" s="1"/>
  <c r="PGU28" i="3" s="1"/>
  <c r="PBX28" i="3"/>
  <c r="PCF28" i="3"/>
  <c r="PDJ28" i="3" s="1"/>
  <c r="PEN28" i="3" s="1"/>
  <c r="PBY28" i="3"/>
  <c r="PCK28" i="3"/>
  <c r="PDO28" i="3" s="1"/>
  <c r="PES28" i="3" s="1"/>
  <c r="PFW28" i="3" s="1"/>
  <c r="PHA28" i="3" s="1"/>
  <c r="PCD28" i="3"/>
  <c r="PDD28" i="3"/>
  <c r="PEH28" i="3" s="1"/>
  <c r="PCW28" i="3"/>
  <c r="PCX28" i="3"/>
  <c r="PEB28" i="3" s="1"/>
  <c r="PFF28" i="3" s="1"/>
  <c r="PCQ28" i="3"/>
  <c r="PDH28" i="3" l="1"/>
  <c r="PEL28" i="3" s="1"/>
  <c r="PFP28" i="3" s="1"/>
  <c r="PGT28" i="3" s="1"/>
  <c r="PHX28" i="3" s="1"/>
  <c r="PDA28" i="3"/>
  <c r="PDU28" i="3"/>
  <c r="PEY28" i="3" s="1"/>
  <c r="PGC28" i="3" s="1"/>
  <c r="PDN28" i="3"/>
  <c r="PEA28" i="3"/>
  <c r="PFE28" i="3" s="1"/>
  <c r="PDT28" i="3"/>
  <c r="PDB28" i="3"/>
  <c r="PEF28" i="3" s="1"/>
  <c r="PFJ28" i="3" s="1"/>
  <c r="PGN28" i="3" s="1"/>
  <c r="PHR28" i="3" s="1"/>
  <c r="PCU28" i="3"/>
  <c r="PDC28" i="3"/>
  <c r="PEG28" i="3" s="1"/>
  <c r="PFK28" i="3" s="1"/>
  <c r="PCV28" i="3"/>
  <c r="PDY28" i="3" l="1"/>
  <c r="PFC28" i="3" s="1"/>
  <c r="PGG28" i="3" s="1"/>
  <c r="PHK28" i="3" s="1"/>
  <c r="PIO28" i="3" s="1"/>
  <c r="PDR28" i="3"/>
  <c r="PEE28" i="3"/>
  <c r="PFI28" i="3" s="1"/>
  <c r="PGM28" i="3" s="1"/>
  <c r="PHQ28" i="3" s="1"/>
  <c r="PIU28" i="3" s="1"/>
  <c r="PDX28" i="3"/>
  <c r="PER28" i="3"/>
  <c r="PFV28" i="3" s="1"/>
  <c r="PGZ28" i="3" s="1"/>
  <c r="PEK28" i="3"/>
  <c r="PEX28" i="3"/>
  <c r="PGB28" i="3" s="1"/>
  <c r="PEQ28" i="3"/>
  <c r="PDZ28" i="3"/>
  <c r="PFD28" i="3" s="1"/>
  <c r="PGH28" i="3" s="1"/>
  <c r="PDS28" i="3"/>
  <c r="PFU28" i="3" l="1"/>
  <c r="PGY28" i="3" s="1"/>
  <c r="PFN28" i="3"/>
  <c r="PFB28" i="3"/>
  <c r="PGF28" i="3" s="1"/>
  <c r="PHJ28" i="3" s="1"/>
  <c r="PIN28" i="3" s="1"/>
  <c r="PJR28" i="3" s="1"/>
  <c r="PEU28" i="3"/>
  <c r="PEV28" i="3"/>
  <c r="PFZ28" i="3" s="1"/>
  <c r="PHD28" i="3" s="1"/>
  <c r="PIH28" i="3" s="1"/>
  <c r="PJL28" i="3" s="1"/>
  <c r="PEO28" i="3"/>
  <c r="PEW28" i="3"/>
  <c r="PGA28" i="3" s="1"/>
  <c r="PHE28" i="3" s="1"/>
  <c r="PEP28" i="3"/>
  <c r="PFO28" i="3"/>
  <c r="PGS28" i="3" s="1"/>
  <c r="PHW28" i="3" s="1"/>
  <c r="PFH28" i="3"/>
  <c r="PFY28" i="3" l="1"/>
  <c r="PHC28" i="3" s="1"/>
  <c r="PIG28" i="3" s="1"/>
  <c r="PJK28" i="3" s="1"/>
  <c r="PKO28" i="3" s="1"/>
  <c r="PFR28" i="3"/>
  <c r="PGL28" i="3"/>
  <c r="PHP28" i="3" s="1"/>
  <c r="PIT28" i="3" s="1"/>
  <c r="PGE28" i="3"/>
  <c r="PFT28" i="3"/>
  <c r="PGX28" i="3" s="1"/>
  <c r="PIB28" i="3" s="1"/>
  <c r="PFM28" i="3"/>
  <c r="PGR28" i="3"/>
  <c r="PHV28" i="3" s="1"/>
  <c r="PGK28" i="3"/>
  <c r="PFS28" i="3"/>
  <c r="PGW28" i="3" s="1"/>
  <c r="PIA28" i="3" s="1"/>
  <c r="PJE28" i="3" s="1"/>
  <c r="PKI28" i="3" s="1"/>
  <c r="PFL28" i="3"/>
  <c r="PGV28" i="3" l="1"/>
  <c r="PHZ28" i="3" s="1"/>
  <c r="PJD28" i="3" s="1"/>
  <c r="PKH28" i="3" s="1"/>
  <c r="PLL28" i="3" s="1"/>
  <c r="PGO28" i="3"/>
  <c r="PGP28" i="3"/>
  <c r="PHT28" i="3" s="1"/>
  <c r="PIX28" i="3" s="1"/>
  <c r="PKB28" i="3" s="1"/>
  <c r="PLF28" i="3" s="1"/>
  <c r="PGI28" i="3"/>
  <c r="PHO28" i="3"/>
  <c r="PIS28" i="3" s="1"/>
  <c r="PHH28" i="3"/>
  <c r="PHI28" i="3"/>
  <c r="PIM28" i="3" s="1"/>
  <c r="PJQ28" i="3" s="1"/>
  <c r="PHB28" i="3"/>
  <c r="PGQ28" i="3"/>
  <c r="PHU28" i="3" s="1"/>
  <c r="PIY28" i="3" s="1"/>
  <c r="PGJ28" i="3"/>
  <c r="PHM28" i="3" l="1"/>
  <c r="PIQ28" i="3" s="1"/>
  <c r="PJU28" i="3" s="1"/>
  <c r="PKY28" i="3" s="1"/>
  <c r="PMC28" i="3" s="1"/>
  <c r="PHF28" i="3"/>
  <c r="PHS28" i="3"/>
  <c r="PIW28" i="3" s="1"/>
  <c r="PKA28" i="3" s="1"/>
  <c r="PLE28" i="3" s="1"/>
  <c r="PMI28" i="3" s="1"/>
  <c r="PHL28" i="3"/>
  <c r="PIF28" i="3"/>
  <c r="PJJ28" i="3" s="1"/>
  <c r="PKN28" i="3" s="1"/>
  <c r="PHY28" i="3"/>
  <c r="PHN28" i="3"/>
  <c r="PIR28" i="3" s="1"/>
  <c r="PJV28" i="3" s="1"/>
  <c r="PHG28" i="3"/>
  <c r="PIL28" i="3"/>
  <c r="PJP28" i="3" s="1"/>
  <c r="PIE28" i="3"/>
  <c r="PJI28" i="3" l="1"/>
  <c r="PKM28" i="3" s="1"/>
  <c r="PJB28" i="3"/>
  <c r="PJC28" i="3"/>
  <c r="PKG28" i="3" s="1"/>
  <c r="PLK28" i="3" s="1"/>
  <c r="PIV28" i="3"/>
  <c r="PIK28" i="3"/>
  <c r="PJO28" i="3" s="1"/>
  <c r="PKS28" i="3" s="1"/>
  <c r="PID28" i="3"/>
  <c r="PIP28" i="3"/>
  <c r="PJT28" i="3" s="1"/>
  <c r="PKX28" i="3" s="1"/>
  <c r="PMB28" i="3" s="1"/>
  <c r="PNF28" i="3" s="1"/>
  <c r="PII28" i="3"/>
  <c r="PIJ28" i="3"/>
  <c r="PJN28" i="3" s="1"/>
  <c r="PKR28" i="3" s="1"/>
  <c r="PLV28" i="3" s="1"/>
  <c r="PMZ28" i="3" s="1"/>
  <c r="PIC28" i="3"/>
  <c r="PKF28" i="3" l="1"/>
  <c r="PLJ28" i="3" s="1"/>
  <c r="PJY28" i="3"/>
  <c r="PJG28" i="3"/>
  <c r="PKK28" i="3" s="1"/>
  <c r="PLO28" i="3" s="1"/>
  <c r="PMS28" i="3" s="1"/>
  <c r="PNW28" i="3" s="1"/>
  <c r="PIZ28" i="3"/>
  <c r="PJZ28" i="3"/>
  <c r="PLD28" i="3" s="1"/>
  <c r="PMH28" i="3" s="1"/>
  <c r="PJS28" i="3"/>
  <c r="PJH28" i="3"/>
  <c r="PKL28" i="3" s="1"/>
  <c r="PLP28" i="3" s="1"/>
  <c r="PJA28" i="3"/>
  <c r="PJM28" i="3"/>
  <c r="PKQ28" i="3" s="1"/>
  <c r="PLU28" i="3" s="1"/>
  <c r="PMY28" i="3" s="1"/>
  <c r="POC28" i="3" s="1"/>
  <c r="PJF28" i="3"/>
  <c r="PKE28" i="3" l="1"/>
  <c r="PLI28" i="3" s="1"/>
  <c r="PMM28" i="3" s="1"/>
  <c r="PJX28" i="3"/>
  <c r="PKW28" i="3"/>
  <c r="PMA28" i="3" s="1"/>
  <c r="PNE28" i="3" s="1"/>
  <c r="PKP28" i="3"/>
  <c r="PLC28" i="3"/>
  <c r="PMG28" i="3" s="1"/>
  <c r="PKV28" i="3"/>
  <c r="PKJ28" i="3"/>
  <c r="PLN28" i="3" s="1"/>
  <c r="PMR28" i="3" s="1"/>
  <c r="PNV28" i="3" s="1"/>
  <c r="POZ28" i="3" s="1"/>
  <c r="PKC28" i="3"/>
  <c r="PKD28" i="3"/>
  <c r="PLH28" i="3" s="1"/>
  <c r="PML28" i="3" s="1"/>
  <c r="PNP28" i="3" s="1"/>
  <c r="POT28" i="3" s="1"/>
  <c r="PJW28" i="3"/>
  <c r="PLB28" i="3" l="1"/>
  <c r="PMF28" i="3" s="1"/>
  <c r="PNJ28" i="3" s="1"/>
  <c r="PKU28" i="3"/>
  <c r="PLG28" i="3"/>
  <c r="PMK28" i="3" s="1"/>
  <c r="PNO28" i="3" s="1"/>
  <c r="POS28" i="3" s="1"/>
  <c r="PPW28" i="3" s="1"/>
  <c r="PKZ28" i="3"/>
  <c r="PLZ28" i="3"/>
  <c r="PND28" i="3" s="1"/>
  <c r="PLS28" i="3"/>
  <c r="PLA28" i="3"/>
  <c r="PME28" i="3" s="1"/>
  <c r="PNI28" i="3" s="1"/>
  <c r="POM28" i="3" s="1"/>
  <c r="PPQ28" i="3" s="1"/>
  <c r="PKT28" i="3"/>
  <c r="PLT28" i="3"/>
  <c r="PMX28" i="3" s="1"/>
  <c r="POB28" i="3" s="1"/>
  <c r="PLM28" i="3"/>
  <c r="PMW28" i="3" l="1"/>
  <c r="POA28" i="3" s="1"/>
  <c r="PMP28" i="3"/>
  <c r="PLY28" i="3"/>
  <c r="PNC28" i="3" s="1"/>
  <c r="POG28" i="3" s="1"/>
  <c r="PLR28" i="3"/>
  <c r="PMQ28" i="3"/>
  <c r="PNU28" i="3" s="1"/>
  <c r="POY28" i="3" s="1"/>
  <c r="PMJ28" i="3"/>
  <c r="PLX28" i="3"/>
  <c r="PNB28" i="3" s="1"/>
  <c r="POF28" i="3" s="1"/>
  <c r="PPJ28" i="3" s="1"/>
  <c r="PQN28" i="3" s="1"/>
  <c r="PLQ28" i="3"/>
  <c r="PMD28" i="3"/>
  <c r="PNH28" i="3" s="1"/>
  <c r="POL28" i="3" s="1"/>
  <c r="PPP28" i="3" s="1"/>
  <c r="PQT28" i="3" s="1"/>
  <c r="PLW28" i="3"/>
  <c r="PNA28" i="3" l="1"/>
  <c r="POE28" i="3" s="1"/>
  <c r="PPI28" i="3" s="1"/>
  <c r="PQM28" i="3" s="1"/>
  <c r="PRQ28" i="3" s="1"/>
  <c r="PMT28" i="3"/>
  <c r="PNN28" i="3"/>
  <c r="POR28" i="3" s="1"/>
  <c r="PPV28" i="3" s="1"/>
  <c r="PNG28" i="3"/>
  <c r="PMV28" i="3"/>
  <c r="PNZ28" i="3" s="1"/>
  <c r="PPD28" i="3" s="1"/>
  <c r="PMO28" i="3"/>
  <c r="PMU28" i="3"/>
  <c r="PNY28" i="3" s="1"/>
  <c r="PPC28" i="3" s="1"/>
  <c r="PQG28" i="3" s="1"/>
  <c r="PRK28" i="3" s="1"/>
  <c r="PMN28" i="3"/>
  <c r="PNT28" i="3"/>
  <c r="POX28" i="3" s="1"/>
  <c r="PNM28" i="3"/>
  <c r="POQ28" i="3" l="1"/>
  <c r="PPU28" i="3" s="1"/>
  <c r="POJ28" i="3"/>
  <c r="POK28" i="3"/>
  <c r="PPO28" i="3" s="1"/>
  <c r="PQS28" i="3" s="1"/>
  <c r="POD28" i="3"/>
  <c r="PNR28" i="3"/>
  <c r="POV28" i="3" s="1"/>
  <c r="PPZ28" i="3" s="1"/>
  <c r="PRD28" i="3" s="1"/>
  <c r="PSH28" i="3" s="1"/>
  <c r="PNK28" i="3"/>
  <c r="PNS28" i="3"/>
  <c r="POW28" i="3" s="1"/>
  <c r="PQA28" i="3" s="1"/>
  <c r="PNL28" i="3"/>
  <c r="PNX28" i="3"/>
  <c r="PPB28" i="3" s="1"/>
  <c r="PQF28" i="3" s="1"/>
  <c r="PRJ28" i="3" s="1"/>
  <c r="PSN28" i="3" s="1"/>
  <c r="PNQ28" i="3"/>
  <c r="POU28" i="3" l="1"/>
  <c r="PPY28" i="3" s="1"/>
  <c r="PRC28" i="3" s="1"/>
  <c r="PSG28" i="3" s="1"/>
  <c r="PTK28" i="3" s="1"/>
  <c r="PON28" i="3"/>
  <c r="POO28" i="3"/>
  <c r="PPS28" i="3" s="1"/>
  <c r="PQW28" i="3" s="1"/>
  <c r="PSA28" i="3" s="1"/>
  <c r="PTE28" i="3" s="1"/>
  <c r="POH28" i="3"/>
  <c r="PPH28" i="3"/>
  <c r="PQL28" i="3" s="1"/>
  <c r="PRP28" i="3" s="1"/>
  <c r="PPA28" i="3"/>
  <c r="POP28" i="3"/>
  <c r="PPT28" i="3" s="1"/>
  <c r="PQX28" i="3" s="1"/>
  <c r="POI28" i="3"/>
  <c r="PPN28" i="3"/>
  <c r="PQR28" i="3" s="1"/>
  <c r="PPG28" i="3"/>
  <c r="PQK28" i="3" l="1"/>
  <c r="PRO28" i="3" s="1"/>
  <c r="PQD28" i="3"/>
  <c r="PPL28" i="3"/>
  <c r="PQP28" i="3" s="1"/>
  <c r="PRT28" i="3" s="1"/>
  <c r="PSX28" i="3" s="1"/>
  <c r="PUB28" i="3" s="1"/>
  <c r="PPE28" i="3"/>
  <c r="PPM28" i="3"/>
  <c r="PQQ28" i="3" s="1"/>
  <c r="PRU28" i="3" s="1"/>
  <c r="PPF28" i="3"/>
  <c r="PQE28" i="3"/>
  <c r="PRI28" i="3" s="1"/>
  <c r="PSM28" i="3" s="1"/>
  <c r="PPX28" i="3"/>
  <c r="PPR28" i="3"/>
  <c r="PQV28" i="3" s="1"/>
  <c r="PRZ28" i="3" s="1"/>
  <c r="PTD28" i="3" s="1"/>
  <c r="PUH28" i="3" s="1"/>
  <c r="PPK28" i="3"/>
  <c r="PQI28" i="3" l="1"/>
  <c r="PRM28" i="3" s="1"/>
  <c r="PSQ28" i="3" s="1"/>
  <c r="PTU28" i="3" s="1"/>
  <c r="PUY28" i="3" s="1"/>
  <c r="PQB28" i="3"/>
  <c r="PQO28" i="3"/>
  <c r="PRS28" i="3" s="1"/>
  <c r="PSW28" i="3" s="1"/>
  <c r="PUA28" i="3" s="1"/>
  <c r="PVE28" i="3" s="1"/>
  <c r="PQH28" i="3"/>
  <c r="PQJ28" i="3"/>
  <c r="PRN28" i="3" s="1"/>
  <c r="PSR28" i="3" s="1"/>
  <c r="PQC28" i="3"/>
  <c r="PRH28" i="3"/>
  <c r="PSL28" i="3" s="1"/>
  <c r="PRA28" i="3"/>
  <c r="PRB28" i="3"/>
  <c r="PSF28" i="3" s="1"/>
  <c r="PTJ28" i="3" s="1"/>
  <c r="PQU28" i="3"/>
  <c r="PRL28" i="3" l="1"/>
  <c r="PSP28" i="3" s="1"/>
  <c r="PTT28" i="3" s="1"/>
  <c r="PUX28" i="3" s="1"/>
  <c r="PWB28" i="3" s="1"/>
  <c r="PRE28" i="3"/>
  <c r="PSE28" i="3"/>
  <c r="PTI28" i="3" s="1"/>
  <c r="PRX28" i="3"/>
  <c r="PRG28" i="3"/>
  <c r="PSK28" i="3" s="1"/>
  <c r="PTO28" i="3" s="1"/>
  <c r="PQZ28" i="3"/>
  <c r="PRF28" i="3"/>
  <c r="PSJ28" i="3" s="1"/>
  <c r="PTN28" i="3" s="1"/>
  <c r="PUR28" i="3" s="1"/>
  <c r="PVV28" i="3" s="1"/>
  <c r="PQY28" i="3"/>
  <c r="PRY28" i="3"/>
  <c r="PTC28" i="3" s="1"/>
  <c r="PUG28" i="3" s="1"/>
  <c r="PRR28" i="3"/>
  <c r="PSI28" i="3" l="1"/>
  <c r="PTM28" i="3" s="1"/>
  <c r="PUQ28" i="3" s="1"/>
  <c r="PVU28" i="3" s="1"/>
  <c r="PWY28" i="3" s="1"/>
  <c r="PSB28" i="3"/>
  <c r="PSC28" i="3"/>
  <c r="PTG28" i="3" s="1"/>
  <c r="PUK28" i="3" s="1"/>
  <c r="PVO28" i="3" s="1"/>
  <c r="PWS28" i="3" s="1"/>
  <c r="PRV28" i="3"/>
  <c r="PTB28" i="3"/>
  <c r="PUF28" i="3" s="1"/>
  <c r="PSU28" i="3"/>
  <c r="PSD28" i="3"/>
  <c r="PTH28" i="3" s="1"/>
  <c r="PUL28" i="3" s="1"/>
  <c r="PRW28" i="3"/>
  <c r="PSV28" i="3"/>
  <c r="PTZ28" i="3" s="1"/>
  <c r="PVD28" i="3" s="1"/>
  <c r="PSO28" i="3"/>
  <c r="PSZ28" i="3" l="1"/>
  <c r="PUD28" i="3" s="1"/>
  <c r="PVH28" i="3" s="1"/>
  <c r="PWL28" i="3" s="1"/>
  <c r="PXP28" i="3" s="1"/>
  <c r="PSS28" i="3"/>
  <c r="PTS28" i="3"/>
  <c r="PUW28" i="3" s="1"/>
  <c r="PWA28" i="3" s="1"/>
  <c r="PTL28" i="3"/>
  <c r="PTY28" i="3"/>
  <c r="PVC28" i="3" s="1"/>
  <c r="PTR28" i="3"/>
  <c r="PTA28" i="3"/>
  <c r="PUE28" i="3" s="1"/>
  <c r="PVI28" i="3" s="1"/>
  <c r="PST28" i="3"/>
  <c r="PTF28" i="3"/>
  <c r="PUJ28" i="3" s="1"/>
  <c r="PVN28" i="3" s="1"/>
  <c r="PWR28" i="3" s="1"/>
  <c r="PXV28" i="3" s="1"/>
  <c r="PSY28" i="3"/>
  <c r="PTX28" i="3" l="1"/>
  <c r="PVB28" i="3" s="1"/>
  <c r="PWF28" i="3" s="1"/>
  <c r="PTQ28" i="3"/>
  <c r="PUV28" i="3"/>
  <c r="PVZ28" i="3" s="1"/>
  <c r="PUO28" i="3"/>
  <c r="PTW28" i="3"/>
  <c r="PVA28" i="3" s="1"/>
  <c r="PWE28" i="3" s="1"/>
  <c r="PXI28" i="3" s="1"/>
  <c r="PYM28" i="3" s="1"/>
  <c r="PTP28" i="3"/>
  <c r="PUC28" i="3"/>
  <c r="PVG28" i="3" s="1"/>
  <c r="PWK28" i="3" s="1"/>
  <c r="PXO28" i="3" s="1"/>
  <c r="PYS28" i="3" s="1"/>
  <c r="PTV28" i="3"/>
  <c r="PUP28" i="3"/>
  <c r="PVT28" i="3" s="1"/>
  <c r="PWX28" i="3" s="1"/>
  <c r="PUI28" i="3"/>
  <c r="PVM28" i="3" l="1"/>
  <c r="PWQ28" i="3" s="1"/>
  <c r="PXU28" i="3" s="1"/>
  <c r="PVF28" i="3"/>
  <c r="PUU28" i="3"/>
  <c r="PVY28" i="3" s="1"/>
  <c r="PXC28" i="3" s="1"/>
  <c r="PUN28" i="3"/>
  <c r="PUZ28" i="3"/>
  <c r="PWD28" i="3" s="1"/>
  <c r="PXH28" i="3" s="1"/>
  <c r="PYL28" i="3" s="1"/>
  <c r="PZP28" i="3" s="1"/>
  <c r="PUS28" i="3"/>
  <c r="PUT28" i="3"/>
  <c r="PVX28" i="3" s="1"/>
  <c r="PXB28" i="3" s="1"/>
  <c r="PYF28" i="3" s="1"/>
  <c r="PZJ28" i="3" s="1"/>
  <c r="PUM28" i="3"/>
  <c r="PVS28" i="3"/>
  <c r="PWW28" i="3" s="1"/>
  <c r="PVL28" i="3"/>
  <c r="PVQ28" i="3" l="1"/>
  <c r="PWU28" i="3" s="1"/>
  <c r="PXY28" i="3" s="1"/>
  <c r="PZC28" i="3" s="1"/>
  <c r="QAG28" i="3" s="1"/>
  <c r="PVJ28" i="3"/>
  <c r="PVR28" i="3"/>
  <c r="PWV28" i="3" s="1"/>
  <c r="PXZ28" i="3" s="1"/>
  <c r="PVK28" i="3"/>
  <c r="PWJ28" i="3"/>
  <c r="PXN28" i="3" s="1"/>
  <c r="PYR28" i="3" s="1"/>
  <c r="PWC28" i="3"/>
  <c r="PWP28" i="3"/>
  <c r="PXT28" i="3" s="1"/>
  <c r="PWI28" i="3"/>
  <c r="PVW28" i="3"/>
  <c r="PXA28" i="3" s="1"/>
  <c r="PYE28" i="3" s="1"/>
  <c r="PZI28" i="3" s="1"/>
  <c r="QAM28" i="3" s="1"/>
  <c r="PVP28" i="3"/>
  <c r="PXG28" i="3" l="1"/>
  <c r="PYK28" i="3" s="1"/>
  <c r="PZO28" i="3" s="1"/>
  <c r="PWZ28" i="3"/>
  <c r="PXM28" i="3"/>
  <c r="PYQ28" i="3" s="1"/>
  <c r="PXF28" i="3"/>
  <c r="PWN28" i="3"/>
  <c r="PXR28" i="3" s="1"/>
  <c r="PYV28" i="3" s="1"/>
  <c r="PZZ28" i="3" s="1"/>
  <c r="QBD28" i="3" s="1"/>
  <c r="PWG28" i="3"/>
  <c r="PWO28" i="3"/>
  <c r="PXS28" i="3" s="1"/>
  <c r="PYW28" i="3" s="1"/>
  <c r="PWH28" i="3"/>
  <c r="PWT28" i="3"/>
  <c r="PXX28" i="3" s="1"/>
  <c r="PZB28" i="3" s="1"/>
  <c r="QAF28" i="3" s="1"/>
  <c r="QBJ28" i="3" s="1"/>
  <c r="PWM28" i="3"/>
  <c r="PXL28" i="3" l="1"/>
  <c r="PYP28" i="3" s="1"/>
  <c r="PZT28" i="3" s="1"/>
  <c r="PXE28" i="3"/>
  <c r="PYD28" i="3"/>
  <c r="PZH28" i="3" s="1"/>
  <c r="QAL28" i="3" s="1"/>
  <c r="PXW28" i="3"/>
  <c r="PXQ28" i="3"/>
  <c r="PYU28" i="3" s="1"/>
  <c r="PZY28" i="3" s="1"/>
  <c r="QBC28" i="3" s="1"/>
  <c r="QCG28" i="3" s="1"/>
  <c r="PXJ28" i="3"/>
  <c r="PXK28" i="3"/>
  <c r="PYO28" i="3" s="1"/>
  <c r="PZS28" i="3" s="1"/>
  <c r="QAW28" i="3" s="1"/>
  <c r="QCA28" i="3" s="1"/>
  <c r="PXD28" i="3"/>
  <c r="PYJ28" i="3"/>
  <c r="PZN28" i="3" s="1"/>
  <c r="PYC28" i="3"/>
  <c r="PZA28" i="3" l="1"/>
  <c r="QAE28" i="3" s="1"/>
  <c r="QBI28" i="3" s="1"/>
  <c r="PYT28" i="3"/>
  <c r="PZG28" i="3"/>
  <c r="QAK28" i="3" s="1"/>
  <c r="PYZ28" i="3"/>
  <c r="PYH28" i="3"/>
  <c r="PZL28" i="3" s="1"/>
  <c r="QAP28" i="3" s="1"/>
  <c r="QBT28" i="3" s="1"/>
  <c r="QCX28" i="3" s="1"/>
  <c r="PYA28" i="3"/>
  <c r="PYN28" i="3"/>
  <c r="PZR28" i="3" s="1"/>
  <c r="QAV28" i="3" s="1"/>
  <c r="QBZ28" i="3" s="1"/>
  <c r="QDD28" i="3" s="1"/>
  <c r="PYG28" i="3"/>
  <c r="PYI28" i="3"/>
  <c r="PZM28" i="3" s="1"/>
  <c r="QAQ28" i="3" s="1"/>
  <c r="PYB28" i="3"/>
  <c r="PZE28" i="3" l="1"/>
  <c r="QAI28" i="3" s="1"/>
  <c r="QBM28" i="3" s="1"/>
  <c r="QCQ28" i="3" s="1"/>
  <c r="QDU28" i="3" s="1"/>
  <c r="PYX28" i="3"/>
  <c r="PZK28" i="3"/>
  <c r="QAO28" i="3" s="1"/>
  <c r="QBS28" i="3" s="1"/>
  <c r="QCW28" i="3" s="1"/>
  <c r="QEA28" i="3" s="1"/>
  <c r="PZD28" i="3"/>
  <c r="PZX28" i="3"/>
  <c r="QBB28" i="3" s="1"/>
  <c r="QCF28" i="3" s="1"/>
  <c r="PZQ28" i="3"/>
  <c r="PZF28" i="3"/>
  <c r="QAJ28" i="3" s="1"/>
  <c r="QBN28" i="3" s="1"/>
  <c r="PYY28" i="3"/>
  <c r="QAD28" i="3"/>
  <c r="QBH28" i="3" s="1"/>
  <c r="PZW28" i="3"/>
  <c r="QBA28" i="3" l="1"/>
  <c r="QCE28" i="3" s="1"/>
  <c r="QAT28" i="3"/>
  <c r="QAB28" i="3"/>
  <c r="QBF28" i="3" s="1"/>
  <c r="QCJ28" i="3" s="1"/>
  <c r="QDN28" i="3" s="1"/>
  <c r="QER28" i="3" s="1"/>
  <c r="PZU28" i="3"/>
  <c r="QAU28" i="3"/>
  <c r="QBY28" i="3" s="1"/>
  <c r="QDC28" i="3" s="1"/>
  <c r="QAN28" i="3"/>
  <c r="QAC28" i="3"/>
  <c r="QBG28" i="3" s="1"/>
  <c r="QCK28" i="3" s="1"/>
  <c r="PZV28" i="3"/>
  <c r="QAH28" i="3"/>
  <c r="QBL28" i="3" s="1"/>
  <c r="QCP28" i="3" s="1"/>
  <c r="QDT28" i="3" s="1"/>
  <c r="QEX28" i="3" s="1"/>
  <c r="QAA28" i="3"/>
  <c r="QAZ28" i="3" l="1"/>
  <c r="QCD28" i="3" s="1"/>
  <c r="QDH28" i="3" s="1"/>
  <c r="QAS28" i="3"/>
  <c r="QBE28" i="3"/>
  <c r="QCI28" i="3" s="1"/>
  <c r="QDM28" i="3" s="1"/>
  <c r="QEQ28" i="3" s="1"/>
  <c r="QFU28" i="3" s="1"/>
  <c r="QAX28" i="3"/>
  <c r="QBX28" i="3"/>
  <c r="QDB28" i="3" s="1"/>
  <c r="QBQ28" i="3"/>
  <c r="QBR28" i="3"/>
  <c r="QCV28" i="3" s="1"/>
  <c r="QDZ28" i="3" s="1"/>
  <c r="QBK28" i="3"/>
  <c r="QAY28" i="3"/>
  <c r="QCC28" i="3" s="1"/>
  <c r="QDG28" i="3" s="1"/>
  <c r="QEK28" i="3" s="1"/>
  <c r="QFO28" i="3" s="1"/>
  <c r="QAR28" i="3"/>
  <c r="QCB28" i="3" l="1"/>
  <c r="QDF28" i="3" s="1"/>
  <c r="QEJ28" i="3" s="1"/>
  <c r="QFN28" i="3" s="1"/>
  <c r="QGR28" i="3" s="1"/>
  <c r="QBU28" i="3"/>
  <c r="QBW28" i="3"/>
  <c r="QDA28" i="3" s="1"/>
  <c r="QEE28" i="3" s="1"/>
  <c r="QBP28" i="3"/>
  <c r="QCO28" i="3"/>
  <c r="QDS28" i="3" s="1"/>
  <c r="QEW28" i="3" s="1"/>
  <c r="QCH28" i="3"/>
  <c r="QBV28" i="3"/>
  <c r="QCZ28" i="3" s="1"/>
  <c r="QED28" i="3" s="1"/>
  <c r="QFH28" i="3" s="1"/>
  <c r="QGL28" i="3" s="1"/>
  <c r="QBO28" i="3"/>
  <c r="QCU28" i="3"/>
  <c r="QDY28" i="3" s="1"/>
  <c r="QCN28" i="3"/>
  <c r="QCY28" i="3" l="1"/>
  <c r="QEC28" i="3" s="1"/>
  <c r="QFG28" i="3" s="1"/>
  <c r="QGK28" i="3" s="1"/>
  <c r="QHO28" i="3" s="1"/>
  <c r="QCR28" i="3"/>
  <c r="QDR28" i="3"/>
  <c r="QEV28" i="3" s="1"/>
  <c r="QDK28" i="3"/>
  <c r="QCT28" i="3"/>
  <c r="QDX28" i="3" s="1"/>
  <c r="QFB28" i="3" s="1"/>
  <c r="QCM28" i="3"/>
  <c r="QCS28" i="3"/>
  <c r="QDW28" i="3" s="1"/>
  <c r="QFA28" i="3" s="1"/>
  <c r="QGE28" i="3" s="1"/>
  <c r="QHI28" i="3" s="1"/>
  <c r="QCL28" i="3"/>
  <c r="QDL28" i="3"/>
  <c r="QEP28" i="3" s="1"/>
  <c r="QFT28" i="3" s="1"/>
  <c r="QDE28" i="3"/>
  <c r="QEI28" i="3" l="1"/>
  <c r="QFM28" i="3" s="1"/>
  <c r="QGQ28" i="3" s="1"/>
  <c r="QEB28" i="3"/>
  <c r="QDP28" i="3"/>
  <c r="QET28" i="3" s="1"/>
  <c r="QFX28" i="3" s="1"/>
  <c r="QHB28" i="3" s="1"/>
  <c r="QIF28" i="3" s="1"/>
  <c r="QDI28" i="3"/>
  <c r="QDV28" i="3"/>
  <c r="QEZ28" i="3" s="1"/>
  <c r="QGD28" i="3" s="1"/>
  <c r="QHH28" i="3" s="1"/>
  <c r="QIL28" i="3" s="1"/>
  <c r="QDO28" i="3"/>
  <c r="QDQ28" i="3"/>
  <c r="QEU28" i="3" s="1"/>
  <c r="QFY28" i="3" s="1"/>
  <c r="QDJ28" i="3"/>
  <c r="QEO28" i="3"/>
  <c r="QFS28" i="3" s="1"/>
  <c r="QEH28" i="3"/>
  <c r="QES28" i="3" l="1"/>
  <c r="QFW28" i="3" s="1"/>
  <c r="QHA28" i="3" s="1"/>
  <c r="QIE28" i="3" s="1"/>
  <c r="QJI28" i="3" s="1"/>
  <c r="QEL28" i="3"/>
  <c r="QEM28" i="3"/>
  <c r="QFQ28" i="3" s="1"/>
  <c r="QGU28" i="3" s="1"/>
  <c r="QHY28" i="3" s="1"/>
  <c r="QJC28" i="3" s="1"/>
  <c r="QEF28" i="3"/>
  <c r="QFL28" i="3"/>
  <c r="QGP28" i="3" s="1"/>
  <c r="QFE28" i="3"/>
  <c r="QEN28" i="3"/>
  <c r="QFR28" i="3" s="1"/>
  <c r="QGV28" i="3" s="1"/>
  <c r="QEG28" i="3"/>
  <c r="QFF28" i="3"/>
  <c r="QGJ28" i="3" s="1"/>
  <c r="QHN28" i="3" s="1"/>
  <c r="QEY28" i="3"/>
  <c r="QFJ28" i="3" l="1"/>
  <c r="QGN28" i="3" s="1"/>
  <c r="QHR28" i="3" s="1"/>
  <c r="QIV28" i="3" s="1"/>
  <c r="QJZ28" i="3" s="1"/>
  <c r="QFC28" i="3"/>
  <c r="QFK28" i="3"/>
  <c r="QGO28" i="3" s="1"/>
  <c r="QHS28" i="3" s="1"/>
  <c r="QFD28" i="3"/>
  <c r="QGI28" i="3"/>
  <c r="QHM28" i="3" s="1"/>
  <c r="QGB28" i="3"/>
  <c r="QFP28" i="3"/>
  <c r="QGT28" i="3" s="1"/>
  <c r="QHX28" i="3" s="1"/>
  <c r="QJB28" i="3" s="1"/>
  <c r="QKF28" i="3" s="1"/>
  <c r="QFI28" i="3"/>
  <c r="QGC28" i="3"/>
  <c r="QHG28" i="3" s="1"/>
  <c r="QIK28" i="3" s="1"/>
  <c r="QFV28" i="3"/>
  <c r="QGM28" i="3" l="1"/>
  <c r="QHQ28" i="3" s="1"/>
  <c r="QIU28" i="3" s="1"/>
  <c r="QJY28" i="3" s="1"/>
  <c r="QLC28" i="3" s="1"/>
  <c r="QGF28" i="3"/>
  <c r="QGG28" i="3"/>
  <c r="QHK28" i="3" s="1"/>
  <c r="QIO28" i="3" s="1"/>
  <c r="QJS28" i="3" s="1"/>
  <c r="QKW28" i="3" s="1"/>
  <c r="QFZ28" i="3"/>
  <c r="QGZ28" i="3"/>
  <c r="QID28" i="3" s="1"/>
  <c r="QJH28" i="3" s="1"/>
  <c r="QGS28" i="3"/>
  <c r="QHF28" i="3"/>
  <c r="QIJ28" i="3" s="1"/>
  <c r="QGY28" i="3"/>
  <c r="QGH28" i="3"/>
  <c r="QHL28" i="3" s="1"/>
  <c r="QIP28" i="3" s="1"/>
  <c r="QGA28" i="3"/>
  <c r="QHE28" i="3" l="1"/>
  <c r="QII28" i="3" s="1"/>
  <c r="QJM28" i="3" s="1"/>
  <c r="QGX28" i="3"/>
  <c r="QIC28" i="3"/>
  <c r="QJG28" i="3" s="1"/>
  <c r="QHV28" i="3"/>
  <c r="QHD28" i="3"/>
  <c r="QIH28" i="3" s="1"/>
  <c r="QJL28" i="3" s="1"/>
  <c r="QKP28" i="3" s="1"/>
  <c r="QLT28" i="3" s="1"/>
  <c r="QGW28" i="3"/>
  <c r="QHW28" i="3"/>
  <c r="QJA28" i="3" s="1"/>
  <c r="QKE28" i="3" s="1"/>
  <c r="QHP28" i="3"/>
  <c r="QHJ28" i="3"/>
  <c r="QIN28" i="3" s="1"/>
  <c r="QJR28" i="3" s="1"/>
  <c r="QKV28" i="3" s="1"/>
  <c r="QLZ28" i="3" s="1"/>
  <c r="QHC28" i="3"/>
  <c r="QIT28" i="3" l="1"/>
  <c r="QJX28" i="3" s="1"/>
  <c r="QLB28" i="3" s="1"/>
  <c r="QIM28" i="3"/>
  <c r="QIG28" i="3"/>
  <c r="QJK28" i="3" s="1"/>
  <c r="QKO28" i="3" s="1"/>
  <c r="QLS28" i="3" s="1"/>
  <c r="QMW28" i="3" s="1"/>
  <c r="QHZ28" i="3"/>
  <c r="QIZ28" i="3"/>
  <c r="QKD28" i="3" s="1"/>
  <c r="QIS28" i="3"/>
  <c r="QIB28" i="3"/>
  <c r="QJF28" i="3" s="1"/>
  <c r="QKJ28" i="3" s="1"/>
  <c r="QHU28" i="3"/>
  <c r="QIA28" i="3"/>
  <c r="QJE28" i="3" s="1"/>
  <c r="QKI28" i="3" s="1"/>
  <c r="QLM28" i="3" s="1"/>
  <c r="QMQ28" i="3" s="1"/>
  <c r="QHT28" i="3"/>
  <c r="QJW28" i="3" l="1"/>
  <c r="QLA28" i="3" s="1"/>
  <c r="QJP28" i="3"/>
  <c r="QIY28" i="3"/>
  <c r="QKC28" i="3" s="1"/>
  <c r="QLG28" i="3" s="1"/>
  <c r="QIR28" i="3"/>
  <c r="QJQ28" i="3"/>
  <c r="QKU28" i="3" s="1"/>
  <c r="QLY28" i="3" s="1"/>
  <c r="QJJ28" i="3"/>
  <c r="QIX28" i="3"/>
  <c r="QKB28" i="3" s="1"/>
  <c r="QLF28" i="3" s="1"/>
  <c r="QMJ28" i="3" s="1"/>
  <c r="QNN28" i="3" s="1"/>
  <c r="QIQ28" i="3"/>
  <c r="QJD28" i="3"/>
  <c r="QKH28" i="3" s="1"/>
  <c r="QLL28" i="3" s="1"/>
  <c r="QMP28" i="3" s="1"/>
  <c r="QNT28" i="3" s="1"/>
  <c r="QIW28" i="3"/>
  <c r="QJU28" i="3" l="1"/>
  <c r="QKY28" i="3" s="1"/>
  <c r="QMC28" i="3" s="1"/>
  <c r="QNG28" i="3" s="1"/>
  <c r="QOK28" i="3" s="1"/>
  <c r="QJN28" i="3"/>
  <c r="QKA28" i="3"/>
  <c r="QLE28" i="3" s="1"/>
  <c r="QMI28" i="3" s="1"/>
  <c r="QNM28" i="3" s="1"/>
  <c r="QOQ28" i="3" s="1"/>
  <c r="QJT28" i="3"/>
  <c r="QKT28" i="3"/>
  <c r="QLX28" i="3" s="1"/>
  <c r="QKM28" i="3"/>
  <c r="QKN28" i="3"/>
  <c r="QLR28" i="3" s="1"/>
  <c r="QMV28" i="3" s="1"/>
  <c r="QKG28" i="3"/>
  <c r="QJV28" i="3"/>
  <c r="QKZ28" i="3" s="1"/>
  <c r="QMD28" i="3" s="1"/>
  <c r="QJO28" i="3"/>
  <c r="QLK28" i="3" l="1"/>
  <c r="QMO28" i="3" s="1"/>
  <c r="QNS28" i="3" s="1"/>
  <c r="QLD28" i="3"/>
  <c r="QLQ28" i="3"/>
  <c r="QMU28" i="3" s="1"/>
  <c r="QLJ28" i="3"/>
  <c r="QKR28" i="3"/>
  <c r="QLV28" i="3" s="1"/>
  <c r="QMZ28" i="3" s="1"/>
  <c r="QOD28" i="3" s="1"/>
  <c r="QPH28" i="3" s="1"/>
  <c r="QKK28" i="3"/>
  <c r="QKS28" i="3"/>
  <c r="QLW28" i="3" s="1"/>
  <c r="QNA28" i="3" s="1"/>
  <c r="QKL28" i="3"/>
  <c r="QKX28" i="3"/>
  <c r="QMB28" i="3" s="1"/>
  <c r="QNF28" i="3" s="1"/>
  <c r="QOJ28" i="3" s="1"/>
  <c r="QPN28" i="3" s="1"/>
  <c r="QKQ28" i="3"/>
  <c r="QLP28" i="3" l="1"/>
  <c r="QMT28" i="3" s="1"/>
  <c r="QNX28" i="3" s="1"/>
  <c r="QLI28" i="3"/>
  <c r="QMN28" i="3"/>
  <c r="QNR28" i="3" s="1"/>
  <c r="QMG28" i="3"/>
  <c r="QLU28" i="3"/>
  <c r="QMY28" i="3" s="1"/>
  <c r="QOC28" i="3" s="1"/>
  <c r="QPG28" i="3" s="1"/>
  <c r="QQK28" i="3" s="1"/>
  <c r="QLN28" i="3"/>
  <c r="QLO28" i="3"/>
  <c r="QMS28" i="3" s="1"/>
  <c r="QNW28" i="3" s="1"/>
  <c r="QPA28" i="3" s="1"/>
  <c r="QQE28" i="3" s="1"/>
  <c r="QLH28" i="3"/>
  <c r="QMH28" i="3"/>
  <c r="QNL28" i="3" s="1"/>
  <c r="QOP28" i="3" s="1"/>
  <c r="QMA28" i="3"/>
  <c r="QML28" i="3" l="1"/>
  <c r="QNP28" i="3" s="1"/>
  <c r="QOT28" i="3" s="1"/>
  <c r="QPX28" i="3" s="1"/>
  <c r="QRB28" i="3" s="1"/>
  <c r="QME28" i="3"/>
  <c r="QMM28" i="3"/>
  <c r="QNQ28" i="3" s="1"/>
  <c r="QOU28" i="3" s="1"/>
  <c r="QMF28" i="3"/>
  <c r="QNE28" i="3"/>
  <c r="QOI28" i="3" s="1"/>
  <c r="QPM28" i="3" s="1"/>
  <c r="QMX28" i="3"/>
  <c r="QMR28" i="3"/>
  <c r="QNV28" i="3" s="1"/>
  <c r="QOZ28" i="3" s="1"/>
  <c r="QQD28" i="3" s="1"/>
  <c r="QRH28" i="3" s="1"/>
  <c r="QMK28" i="3"/>
  <c r="QNK28" i="3"/>
  <c r="QOO28" i="3" s="1"/>
  <c r="QND28" i="3"/>
  <c r="QNI28" i="3" l="1"/>
  <c r="QOM28" i="3" s="1"/>
  <c r="QPQ28" i="3" s="1"/>
  <c r="QQU28" i="3" s="1"/>
  <c r="QRY28" i="3" s="1"/>
  <c r="QNB28" i="3"/>
  <c r="QOH28" i="3"/>
  <c r="QPL28" i="3" s="1"/>
  <c r="QOA28" i="3"/>
  <c r="QOB28" i="3"/>
  <c r="QPF28" i="3" s="1"/>
  <c r="QQJ28" i="3" s="1"/>
  <c r="QNU28" i="3"/>
  <c r="QNJ28" i="3"/>
  <c r="QON28" i="3" s="1"/>
  <c r="QPR28" i="3" s="1"/>
  <c r="QNC28" i="3"/>
  <c r="QNO28" i="3"/>
  <c r="QOS28" i="3" s="1"/>
  <c r="QPW28" i="3" s="1"/>
  <c r="QRA28" i="3" s="1"/>
  <c r="QSE28" i="3" s="1"/>
  <c r="QNH28" i="3"/>
  <c r="QOG28" i="3" l="1"/>
  <c r="QPK28" i="3" s="1"/>
  <c r="QQO28" i="3" s="1"/>
  <c r="QNZ28" i="3"/>
  <c r="QOY28" i="3"/>
  <c r="QQC28" i="3" s="1"/>
  <c r="QRG28" i="3" s="1"/>
  <c r="QOR28" i="3"/>
  <c r="QOF28" i="3"/>
  <c r="QPJ28" i="3" s="1"/>
  <c r="QQN28" i="3" s="1"/>
  <c r="QRR28" i="3" s="1"/>
  <c r="QSV28" i="3" s="1"/>
  <c r="QNY28" i="3"/>
  <c r="QOL28" i="3"/>
  <c r="QPP28" i="3" s="1"/>
  <c r="QQT28" i="3" s="1"/>
  <c r="QRX28" i="3" s="1"/>
  <c r="QTB28" i="3" s="1"/>
  <c r="QOE28" i="3"/>
  <c r="QPE28" i="3"/>
  <c r="QQI28" i="3" s="1"/>
  <c r="QOX28" i="3"/>
  <c r="QQB28" i="3" l="1"/>
  <c r="QRF28" i="3" s="1"/>
  <c r="QPU28" i="3"/>
  <c r="QPI28" i="3"/>
  <c r="QQM28" i="3" s="1"/>
  <c r="QRQ28" i="3" s="1"/>
  <c r="QSU28" i="3" s="1"/>
  <c r="QTY28" i="3" s="1"/>
  <c r="QPB28" i="3"/>
  <c r="QPV28" i="3"/>
  <c r="QQZ28" i="3" s="1"/>
  <c r="QSD28" i="3" s="1"/>
  <c r="QPO28" i="3"/>
  <c r="QPC28" i="3"/>
  <c r="QQG28" i="3" s="1"/>
  <c r="QRK28" i="3" s="1"/>
  <c r="QSO28" i="3" s="1"/>
  <c r="QTS28" i="3" s="1"/>
  <c r="QOV28" i="3"/>
  <c r="QPD28" i="3"/>
  <c r="QQH28" i="3" s="1"/>
  <c r="QRL28" i="3" s="1"/>
  <c r="QOW28" i="3"/>
  <c r="QQS28" i="3" l="1"/>
  <c r="QRW28" i="3" s="1"/>
  <c r="QTA28" i="3" s="1"/>
  <c r="QQL28" i="3"/>
  <c r="QQY28" i="3"/>
  <c r="QSC28" i="3" s="1"/>
  <c r="QQR28" i="3"/>
  <c r="QQF28" i="3"/>
  <c r="QRJ28" i="3" s="1"/>
  <c r="QSN28" i="3" s="1"/>
  <c r="QTR28" i="3" s="1"/>
  <c r="QUV28" i="3" s="1"/>
  <c r="QPY28" i="3"/>
  <c r="QPZ28" i="3"/>
  <c r="QRD28" i="3" s="1"/>
  <c r="QSH28" i="3" s="1"/>
  <c r="QTL28" i="3" s="1"/>
  <c r="QUP28" i="3" s="1"/>
  <c r="QPS28" i="3"/>
  <c r="QQA28" i="3"/>
  <c r="QRE28" i="3" s="1"/>
  <c r="QSI28" i="3" s="1"/>
  <c r="QPT28" i="3"/>
  <c r="QQW28" i="3" l="1"/>
  <c r="QSA28" i="3" s="1"/>
  <c r="QTE28" i="3" s="1"/>
  <c r="QUI28" i="3" s="1"/>
  <c r="QVM28" i="3" s="1"/>
  <c r="QQP28" i="3"/>
  <c r="QQX28" i="3"/>
  <c r="QSB28" i="3" s="1"/>
  <c r="QTF28" i="3" s="1"/>
  <c r="QQQ28" i="3"/>
  <c r="QRC28" i="3"/>
  <c r="QSG28" i="3" s="1"/>
  <c r="QTK28" i="3" s="1"/>
  <c r="QUO28" i="3" s="1"/>
  <c r="QVS28" i="3" s="1"/>
  <c r="QQV28" i="3"/>
  <c r="QRP28" i="3"/>
  <c r="QST28" i="3" s="1"/>
  <c r="QTX28" i="3" s="1"/>
  <c r="QRI28" i="3"/>
  <c r="QRV28" i="3"/>
  <c r="QSZ28" i="3" s="1"/>
  <c r="QRO28" i="3"/>
  <c r="QSM28" i="3" l="1"/>
  <c r="QTQ28" i="3" s="1"/>
  <c r="QUU28" i="3" s="1"/>
  <c r="QSF28" i="3"/>
  <c r="QRU28" i="3"/>
  <c r="QSY28" i="3" s="1"/>
  <c r="QUC28" i="3" s="1"/>
  <c r="QRN28" i="3"/>
  <c r="QSS28" i="3"/>
  <c r="QTW28" i="3" s="1"/>
  <c r="QSL28" i="3"/>
  <c r="QRZ28" i="3"/>
  <c r="QTD28" i="3" s="1"/>
  <c r="QUH28" i="3" s="1"/>
  <c r="QVL28" i="3" s="1"/>
  <c r="QWP28" i="3" s="1"/>
  <c r="QRS28" i="3"/>
  <c r="QRT28" i="3"/>
  <c r="QSX28" i="3" s="1"/>
  <c r="QUB28" i="3" s="1"/>
  <c r="QVF28" i="3" s="1"/>
  <c r="QWJ28" i="3" s="1"/>
  <c r="QRM28" i="3"/>
  <c r="QSR28" i="3" l="1"/>
  <c r="QTV28" i="3" s="1"/>
  <c r="QUZ28" i="3" s="1"/>
  <c r="QSK28" i="3"/>
  <c r="QTJ28" i="3"/>
  <c r="QUN28" i="3" s="1"/>
  <c r="QVR28" i="3" s="1"/>
  <c r="QTC28" i="3"/>
  <c r="QSW28" i="3"/>
  <c r="QUA28" i="3" s="1"/>
  <c r="QVE28" i="3" s="1"/>
  <c r="QWI28" i="3" s="1"/>
  <c r="QXM28" i="3" s="1"/>
  <c r="QSP28" i="3"/>
  <c r="QTP28" i="3"/>
  <c r="QUT28" i="3" s="1"/>
  <c r="QTI28" i="3"/>
  <c r="QSQ28" i="3"/>
  <c r="QTU28" i="3" s="1"/>
  <c r="QUY28" i="3" s="1"/>
  <c r="QWC28" i="3" s="1"/>
  <c r="QXG28" i="3" s="1"/>
  <c r="QSJ28" i="3"/>
  <c r="QUG28" i="3" l="1"/>
  <c r="QVK28" i="3" s="1"/>
  <c r="QWO28" i="3" s="1"/>
  <c r="QTZ28" i="3"/>
  <c r="QTN28" i="3"/>
  <c r="QUR28" i="3" s="1"/>
  <c r="QVV28" i="3" s="1"/>
  <c r="QWZ28" i="3" s="1"/>
  <c r="QYD28" i="3" s="1"/>
  <c r="QTG28" i="3"/>
  <c r="QUM28" i="3"/>
  <c r="QVQ28" i="3" s="1"/>
  <c r="QUF28" i="3"/>
  <c r="QTO28" i="3"/>
  <c r="QUS28" i="3" s="1"/>
  <c r="QVW28" i="3" s="1"/>
  <c r="QTH28" i="3"/>
  <c r="QTT28" i="3"/>
  <c r="QUX28" i="3" s="1"/>
  <c r="QWB28" i="3" s="1"/>
  <c r="QXF28" i="3" s="1"/>
  <c r="QYJ28" i="3" s="1"/>
  <c r="QTM28" i="3"/>
  <c r="QVJ28" i="3" l="1"/>
  <c r="QWN28" i="3" s="1"/>
  <c r="QVC28" i="3"/>
  <c r="QUL28" i="3"/>
  <c r="QVP28" i="3" s="1"/>
  <c r="QWT28" i="3" s="1"/>
  <c r="QUE28" i="3"/>
  <c r="QUQ28" i="3"/>
  <c r="QVU28" i="3" s="1"/>
  <c r="QWY28" i="3" s="1"/>
  <c r="QYC28" i="3" s="1"/>
  <c r="QZG28" i="3" s="1"/>
  <c r="QUJ28" i="3"/>
  <c r="QVD28" i="3"/>
  <c r="QWH28" i="3" s="1"/>
  <c r="QXL28" i="3" s="1"/>
  <c r="QUW28" i="3"/>
  <c r="QUK28" i="3"/>
  <c r="QVO28" i="3" s="1"/>
  <c r="QWS28" i="3" s="1"/>
  <c r="QXW28" i="3" s="1"/>
  <c r="QZA28" i="3" s="1"/>
  <c r="QUD28" i="3"/>
  <c r="QWG28" i="3" l="1"/>
  <c r="QXK28" i="3" s="1"/>
  <c r="QVZ28" i="3"/>
  <c r="QVN28" i="3"/>
  <c r="QWR28" i="3" s="1"/>
  <c r="QXV28" i="3" s="1"/>
  <c r="QYZ28" i="3" s="1"/>
  <c r="RAD28" i="3" s="1"/>
  <c r="QVG28" i="3"/>
  <c r="QVH28" i="3"/>
  <c r="QWL28" i="3" s="1"/>
  <c r="QXP28" i="3" s="1"/>
  <c r="QYT28" i="3" s="1"/>
  <c r="QZX28" i="3" s="1"/>
  <c r="QVA28" i="3"/>
  <c r="QWA28" i="3"/>
  <c r="QXE28" i="3" s="1"/>
  <c r="QYI28" i="3" s="1"/>
  <c r="QVT28" i="3"/>
  <c r="QVI28" i="3"/>
  <c r="QWM28" i="3" s="1"/>
  <c r="QXQ28" i="3" s="1"/>
  <c r="QVB28" i="3"/>
  <c r="QWX28" i="3" l="1"/>
  <c r="QYB28" i="3" s="1"/>
  <c r="QZF28" i="3" s="1"/>
  <c r="QWQ28" i="3"/>
  <c r="QWK28" i="3"/>
  <c r="QXO28" i="3" s="1"/>
  <c r="QYS28" i="3" s="1"/>
  <c r="QZW28" i="3" s="1"/>
  <c r="RBA28" i="3" s="1"/>
  <c r="QWD28" i="3"/>
  <c r="QWF28" i="3"/>
  <c r="QXJ28" i="3" s="1"/>
  <c r="QYN28" i="3" s="1"/>
  <c r="QVY28" i="3"/>
  <c r="QWE28" i="3"/>
  <c r="QXI28" i="3" s="1"/>
  <c r="QYM28" i="3" s="1"/>
  <c r="QZQ28" i="3" s="1"/>
  <c r="RAU28" i="3" s="1"/>
  <c r="QVX28" i="3"/>
  <c r="QXD28" i="3"/>
  <c r="QYH28" i="3" s="1"/>
  <c r="QWW28" i="3"/>
  <c r="QYA28" i="3" l="1"/>
  <c r="QZE28" i="3" s="1"/>
  <c r="QXT28" i="3"/>
  <c r="QXH28" i="3"/>
  <c r="QYL28" i="3" s="1"/>
  <c r="QZP28" i="3" s="1"/>
  <c r="RAT28" i="3" s="1"/>
  <c r="RBX28" i="3" s="1"/>
  <c r="QXA28" i="3"/>
  <c r="QXB28" i="3"/>
  <c r="QYF28" i="3" s="1"/>
  <c r="QZJ28" i="3" s="1"/>
  <c r="RAN28" i="3" s="1"/>
  <c r="RBR28" i="3" s="1"/>
  <c r="QWU28" i="3"/>
  <c r="QXC28" i="3"/>
  <c r="QYG28" i="3" s="1"/>
  <c r="QZK28" i="3" s="1"/>
  <c r="QWV28" i="3"/>
  <c r="QXU28" i="3"/>
  <c r="QYY28" i="3" s="1"/>
  <c r="RAC28" i="3" s="1"/>
  <c r="QXN28" i="3"/>
  <c r="QYR28" i="3" l="1"/>
  <c r="QZV28" i="3" s="1"/>
  <c r="RAZ28" i="3" s="1"/>
  <c r="QYK28" i="3"/>
  <c r="QXY28" i="3"/>
  <c r="QZC28" i="3" s="1"/>
  <c r="RAG28" i="3" s="1"/>
  <c r="RBK28" i="3" s="1"/>
  <c r="RCO28" i="3" s="1"/>
  <c r="QXR28" i="3"/>
  <c r="QYE28" i="3"/>
  <c r="QZI28" i="3" s="1"/>
  <c r="RAM28" i="3" s="1"/>
  <c r="RBQ28" i="3" s="1"/>
  <c r="RCU28" i="3" s="1"/>
  <c r="QXX28" i="3"/>
  <c r="QXZ28" i="3"/>
  <c r="QZD28" i="3" s="1"/>
  <c r="RAH28" i="3" s="1"/>
  <c r="QXS28" i="3"/>
  <c r="QYX28" i="3"/>
  <c r="RAB28" i="3" s="1"/>
  <c r="QYQ28" i="3"/>
  <c r="QZU28" i="3" l="1"/>
  <c r="RAY28" i="3" s="1"/>
  <c r="QZN28" i="3"/>
  <c r="QYV28" i="3"/>
  <c r="QZZ28" i="3" s="1"/>
  <c r="RBD28" i="3" s="1"/>
  <c r="RCH28" i="3" s="1"/>
  <c r="RDL28" i="3" s="1"/>
  <c r="QYO28" i="3"/>
  <c r="QYW28" i="3"/>
  <c r="RAA28" i="3" s="1"/>
  <c r="RBE28" i="3" s="1"/>
  <c r="QYP28" i="3"/>
  <c r="QZB28" i="3"/>
  <c r="RAF28" i="3" s="1"/>
  <c r="RBJ28" i="3" s="1"/>
  <c r="RCN28" i="3" s="1"/>
  <c r="RDR28" i="3" s="1"/>
  <c r="QYU28" i="3"/>
  <c r="QZO28" i="3"/>
  <c r="RAS28" i="3" s="1"/>
  <c r="RBW28" i="3" s="1"/>
  <c r="QZH28" i="3"/>
  <c r="RAL28" i="3" l="1"/>
  <c r="RBP28" i="3" s="1"/>
  <c r="RCT28" i="3" s="1"/>
  <c r="RAE28" i="3"/>
  <c r="QZT28" i="3"/>
  <c r="RAX28" i="3" s="1"/>
  <c r="RCB28" i="3" s="1"/>
  <c r="QZM28" i="3"/>
  <c r="QZS28" i="3"/>
  <c r="RAW28" i="3" s="1"/>
  <c r="RCA28" i="3" s="1"/>
  <c r="RDE28" i="3" s="1"/>
  <c r="REI28" i="3" s="1"/>
  <c r="QZL28" i="3"/>
  <c r="QZY28" i="3"/>
  <c r="RBC28" i="3" s="1"/>
  <c r="RCG28" i="3" s="1"/>
  <c r="RDK28" i="3" s="1"/>
  <c r="REO28" i="3" s="1"/>
  <c r="QZR28" i="3"/>
  <c r="RAR28" i="3"/>
  <c r="RBV28" i="3" s="1"/>
  <c r="RAK28" i="3"/>
  <c r="RBO28" i="3" l="1"/>
  <c r="RCS28" i="3" s="1"/>
  <c r="RBH28" i="3"/>
  <c r="RAQ28" i="3"/>
  <c r="RBU28" i="3" s="1"/>
  <c r="RCY28" i="3" s="1"/>
  <c r="RAJ28" i="3"/>
  <c r="RAV28" i="3"/>
  <c r="RBZ28" i="3" s="1"/>
  <c r="RDD28" i="3" s="1"/>
  <c r="REH28" i="3" s="1"/>
  <c r="RFL28" i="3" s="1"/>
  <c r="RAO28" i="3"/>
  <c r="RAP28" i="3"/>
  <c r="RBT28" i="3" s="1"/>
  <c r="RCX28" i="3" s="1"/>
  <c r="REB28" i="3" s="1"/>
  <c r="RFF28" i="3" s="1"/>
  <c r="RAI28" i="3"/>
  <c r="RBI28" i="3"/>
  <c r="RCM28" i="3" s="1"/>
  <c r="RDQ28" i="3" s="1"/>
  <c r="RBB28" i="3"/>
  <c r="RCL28" i="3" l="1"/>
  <c r="RDP28" i="3" s="1"/>
  <c r="RCE28" i="3"/>
  <c r="RCF28" i="3"/>
  <c r="RDJ28" i="3" s="1"/>
  <c r="REN28" i="3" s="1"/>
  <c r="RBY28" i="3"/>
  <c r="RBS28" i="3"/>
  <c r="RCW28" i="3" s="1"/>
  <c r="REA28" i="3" s="1"/>
  <c r="RFE28" i="3" s="1"/>
  <c r="RGI28" i="3" s="1"/>
  <c r="RBL28" i="3"/>
  <c r="RBN28" i="3"/>
  <c r="RCR28" i="3" s="1"/>
  <c r="RDV28" i="3" s="1"/>
  <c r="RBG28" i="3"/>
  <c r="RBM28" i="3"/>
  <c r="RCQ28" i="3" s="1"/>
  <c r="RDU28" i="3" s="1"/>
  <c r="REY28" i="3" s="1"/>
  <c r="RGC28" i="3" s="1"/>
  <c r="RBF28" i="3"/>
  <c r="RCJ28" i="3" l="1"/>
  <c r="RDN28" i="3" s="1"/>
  <c r="RER28" i="3" s="1"/>
  <c r="RFV28" i="3" s="1"/>
  <c r="RGZ28" i="3" s="1"/>
  <c r="RCC28" i="3"/>
  <c r="RCK28" i="3"/>
  <c r="RDO28" i="3" s="1"/>
  <c r="RES28" i="3" s="1"/>
  <c r="RCD28" i="3"/>
  <c r="RCP28" i="3"/>
  <c r="RDT28" i="3" s="1"/>
  <c r="REX28" i="3" s="1"/>
  <c r="RGB28" i="3" s="1"/>
  <c r="RHF28" i="3" s="1"/>
  <c r="RCI28" i="3"/>
  <c r="RDI28" i="3"/>
  <c r="REM28" i="3" s="1"/>
  <c r="RDB28" i="3"/>
  <c r="RDC28" i="3"/>
  <c r="REG28" i="3" s="1"/>
  <c r="RFK28" i="3" s="1"/>
  <c r="RCV28" i="3"/>
  <c r="RDM28" i="3" l="1"/>
  <c r="REQ28" i="3" s="1"/>
  <c r="RFU28" i="3" s="1"/>
  <c r="RGY28" i="3" s="1"/>
  <c r="RIC28" i="3" s="1"/>
  <c r="RDF28" i="3"/>
  <c r="RDZ28" i="3"/>
  <c r="RFD28" i="3" s="1"/>
  <c r="RGH28" i="3" s="1"/>
  <c r="RDS28" i="3"/>
  <c r="REF28" i="3"/>
  <c r="RFJ28" i="3" s="1"/>
  <c r="RDY28" i="3"/>
  <c r="RDH28" i="3"/>
  <c r="REL28" i="3" s="1"/>
  <c r="RFP28" i="3" s="1"/>
  <c r="RDA28" i="3"/>
  <c r="RDG28" i="3"/>
  <c r="REK28" i="3" s="1"/>
  <c r="RFO28" i="3" s="1"/>
  <c r="RGS28" i="3" s="1"/>
  <c r="RHW28" i="3" s="1"/>
  <c r="RCZ28" i="3"/>
  <c r="REE28" i="3" l="1"/>
  <c r="RFI28" i="3" s="1"/>
  <c r="RGM28" i="3" s="1"/>
  <c r="RDX28" i="3"/>
  <c r="REJ28" i="3"/>
  <c r="RFN28" i="3" s="1"/>
  <c r="RGR28" i="3" s="1"/>
  <c r="RHV28" i="3" s="1"/>
  <c r="RIZ28" i="3" s="1"/>
  <c r="REC28" i="3"/>
  <c r="RED28" i="3"/>
  <c r="RFH28" i="3" s="1"/>
  <c r="RGL28" i="3" s="1"/>
  <c r="RHP28" i="3" s="1"/>
  <c r="RIT28" i="3" s="1"/>
  <c r="RDW28" i="3"/>
  <c r="RFC28" i="3"/>
  <c r="RGG28" i="3" s="1"/>
  <c r="REV28" i="3"/>
  <c r="REW28" i="3"/>
  <c r="RGA28" i="3" s="1"/>
  <c r="RHE28" i="3" s="1"/>
  <c r="REP28" i="3"/>
  <c r="RFA28" i="3" l="1"/>
  <c r="RGE28" i="3" s="1"/>
  <c r="RHI28" i="3" s="1"/>
  <c r="RIM28" i="3" s="1"/>
  <c r="RJQ28" i="3" s="1"/>
  <c r="RET28" i="3"/>
  <c r="RFB28" i="3"/>
  <c r="RGF28" i="3" s="1"/>
  <c r="RHJ28" i="3" s="1"/>
  <c r="REU28" i="3"/>
  <c r="RFT28" i="3"/>
  <c r="RGX28" i="3" s="1"/>
  <c r="RIB28" i="3" s="1"/>
  <c r="RFM28" i="3"/>
  <c r="RFZ28" i="3"/>
  <c r="RHD28" i="3" s="1"/>
  <c r="RFS28" i="3"/>
  <c r="RFG28" i="3"/>
  <c r="RGK28" i="3" s="1"/>
  <c r="RHO28" i="3" s="1"/>
  <c r="RIS28" i="3" s="1"/>
  <c r="RJW28" i="3" s="1"/>
  <c r="REZ28" i="3"/>
  <c r="RGQ28" i="3" l="1"/>
  <c r="RHU28" i="3" s="1"/>
  <c r="RIY28" i="3" s="1"/>
  <c r="RGJ28" i="3"/>
  <c r="RGD28" i="3"/>
  <c r="RHH28" i="3" s="1"/>
  <c r="RIL28" i="3" s="1"/>
  <c r="RJP28" i="3" s="1"/>
  <c r="RKT28" i="3" s="1"/>
  <c r="RFW28" i="3"/>
  <c r="RGW28" i="3"/>
  <c r="RIA28" i="3" s="1"/>
  <c r="RGP28" i="3"/>
  <c r="RFY28" i="3"/>
  <c r="RHC28" i="3" s="1"/>
  <c r="RIG28" i="3" s="1"/>
  <c r="RFR28" i="3"/>
  <c r="RFX28" i="3"/>
  <c r="RHB28" i="3" s="1"/>
  <c r="RIF28" i="3" s="1"/>
  <c r="RJJ28" i="3" s="1"/>
  <c r="RKN28" i="3" s="1"/>
  <c r="RFQ28" i="3"/>
  <c r="RGV28" i="3" l="1"/>
  <c r="RHZ28" i="3" s="1"/>
  <c r="RJD28" i="3" s="1"/>
  <c r="RGO28" i="3"/>
  <c r="RHN28" i="3"/>
  <c r="RIR28" i="3" s="1"/>
  <c r="RJV28" i="3" s="1"/>
  <c r="RHG28" i="3"/>
  <c r="RGU28" i="3"/>
  <c r="RHY28" i="3" s="1"/>
  <c r="RJC28" i="3" s="1"/>
  <c r="RKG28" i="3" s="1"/>
  <c r="RLK28" i="3" s="1"/>
  <c r="RGN28" i="3"/>
  <c r="RHT28" i="3"/>
  <c r="RIX28" i="3" s="1"/>
  <c r="RHM28" i="3"/>
  <c r="RHA28" i="3"/>
  <c r="RIE28" i="3" s="1"/>
  <c r="RJI28" i="3" s="1"/>
  <c r="RKM28" i="3" s="1"/>
  <c r="RLQ28" i="3" s="1"/>
  <c r="RGT28" i="3"/>
  <c r="RIQ28" i="3" l="1"/>
  <c r="RJU28" i="3" s="1"/>
  <c r="RIJ28" i="3"/>
  <c r="RIK28" i="3"/>
  <c r="RJO28" i="3" s="1"/>
  <c r="RKS28" i="3" s="1"/>
  <c r="RID28" i="3"/>
  <c r="RHS28" i="3"/>
  <c r="RIW28" i="3" s="1"/>
  <c r="RKA28" i="3" s="1"/>
  <c r="RHL28" i="3"/>
  <c r="RHX28" i="3"/>
  <c r="RJB28" i="3" s="1"/>
  <c r="RKF28" i="3" s="1"/>
  <c r="RLJ28" i="3" s="1"/>
  <c r="RMN28" i="3" s="1"/>
  <c r="RHQ28" i="3"/>
  <c r="RHR28" i="3"/>
  <c r="RIV28" i="3" s="1"/>
  <c r="RJZ28" i="3" s="1"/>
  <c r="RLD28" i="3" s="1"/>
  <c r="RMH28" i="3" s="1"/>
  <c r="RHK28" i="3"/>
  <c r="RIU28" i="3" l="1"/>
  <c r="RJY28" i="3" s="1"/>
  <c r="RLC28" i="3" s="1"/>
  <c r="RMG28" i="3" s="1"/>
  <c r="RNK28" i="3" s="1"/>
  <c r="RIN28" i="3"/>
  <c r="RJN28" i="3"/>
  <c r="RKR28" i="3" s="1"/>
  <c r="RJG28" i="3"/>
  <c r="RIO28" i="3"/>
  <c r="RJS28" i="3" s="1"/>
  <c r="RKW28" i="3" s="1"/>
  <c r="RMA28" i="3" s="1"/>
  <c r="RNE28" i="3" s="1"/>
  <c r="RIH28" i="3"/>
  <c r="RIP28" i="3"/>
  <c r="RJT28" i="3" s="1"/>
  <c r="RKX28" i="3" s="1"/>
  <c r="RII28" i="3"/>
  <c r="RJH28" i="3"/>
  <c r="RKL28" i="3" s="1"/>
  <c r="RLP28" i="3" s="1"/>
  <c r="RJA28" i="3"/>
  <c r="RJR28" i="3" l="1"/>
  <c r="RKV28" i="3" s="1"/>
  <c r="RLZ28" i="3" s="1"/>
  <c r="RND28" i="3" s="1"/>
  <c r="ROH28" i="3" s="1"/>
  <c r="RJK28" i="3"/>
  <c r="RKE28" i="3"/>
  <c r="RLI28" i="3" s="1"/>
  <c r="RMM28" i="3" s="1"/>
  <c r="RJX28" i="3"/>
  <c r="RJL28" i="3"/>
  <c r="RKP28" i="3" s="1"/>
  <c r="RLT28" i="3" s="1"/>
  <c r="RMX28" i="3" s="1"/>
  <c r="ROB28" i="3" s="1"/>
  <c r="RJE28" i="3"/>
  <c r="RKK28" i="3"/>
  <c r="RLO28" i="3" s="1"/>
  <c r="RKD28" i="3"/>
  <c r="RJM28" i="3"/>
  <c r="RKQ28" i="3" s="1"/>
  <c r="RLU28" i="3" s="1"/>
  <c r="RJF28" i="3"/>
  <c r="RKO28" i="3" l="1"/>
  <c r="RLS28" i="3" s="1"/>
  <c r="RMW28" i="3" s="1"/>
  <c r="ROA28" i="3" s="1"/>
  <c r="RPE28" i="3" s="1"/>
  <c r="RKH28" i="3"/>
  <c r="RKJ28" i="3"/>
  <c r="RLN28" i="3" s="1"/>
  <c r="RMR28" i="3" s="1"/>
  <c r="RKC28" i="3"/>
  <c r="RLH28" i="3"/>
  <c r="RML28" i="3" s="1"/>
  <c r="RLA28" i="3"/>
  <c r="RKI28" i="3"/>
  <c r="RLM28" i="3" s="1"/>
  <c r="RMQ28" i="3" s="1"/>
  <c r="RNU28" i="3" s="1"/>
  <c r="ROY28" i="3" s="1"/>
  <c r="RKB28" i="3"/>
  <c r="RLB28" i="3"/>
  <c r="RMF28" i="3" s="1"/>
  <c r="RNJ28" i="3" s="1"/>
  <c r="RKU28" i="3"/>
  <c r="RME28" i="3" l="1"/>
  <c r="RNI28" i="3" s="1"/>
  <c r="RLX28" i="3"/>
  <c r="RLY28" i="3"/>
  <c r="RNC28" i="3" s="1"/>
  <c r="ROG28" i="3" s="1"/>
  <c r="RLR28" i="3"/>
  <c r="RLF28" i="3"/>
  <c r="RMJ28" i="3" s="1"/>
  <c r="RNN28" i="3" s="1"/>
  <c r="ROR28" i="3" s="1"/>
  <c r="RPV28" i="3" s="1"/>
  <c r="RKY28" i="3"/>
  <c r="RLG28" i="3"/>
  <c r="RMK28" i="3" s="1"/>
  <c r="RNO28" i="3" s="1"/>
  <c r="RKZ28" i="3"/>
  <c r="RLL28" i="3"/>
  <c r="RMP28" i="3" s="1"/>
  <c r="RNT28" i="3" s="1"/>
  <c r="ROX28" i="3" s="1"/>
  <c r="RQB28" i="3" s="1"/>
  <c r="RLE28" i="3"/>
  <c r="RMD28" i="3" l="1"/>
  <c r="RNH28" i="3" s="1"/>
  <c r="ROL28" i="3" s="1"/>
  <c r="RLW28" i="3"/>
  <c r="RMV28" i="3"/>
  <c r="RNZ28" i="3" s="1"/>
  <c r="RPD28" i="3" s="1"/>
  <c r="RMO28" i="3"/>
  <c r="RNB28" i="3"/>
  <c r="ROF28" i="3" s="1"/>
  <c r="RMU28" i="3"/>
  <c r="RMI28" i="3"/>
  <c r="RNM28" i="3" s="1"/>
  <c r="ROQ28" i="3" s="1"/>
  <c r="RPU28" i="3" s="1"/>
  <c r="RQY28" i="3" s="1"/>
  <c r="RMB28" i="3"/>
  <c r="RMC28" i="3"/>
  <c r="RNG28" i="3" s="1"/>
  <c r="ROK28" i="3" s="1"/>
  <c r="RPO28" i="3" s="1"/>
  <c r="RQS28" i="3" s="1"/>
  <c r="RLV28" i="3"/>
  <c r="RNY28" i="3" l="1"/>
  <c r="RPC28" i="3" s="1"/>
  <c r="RNR28" i="3"/>
  <c r="RMZ28" i="3"/>
  <c r="ROD28" i="3" s="1"/>
  <c r="RPH28" i="3" s="1"/>
  <c r="RQL28" i="3" s="1"/>
  <c r="RRP28" i="3" s="1"/>
  <c r="RMS28" i="3"/>
  <c r="RNF28" i="3"/>
  <c r="ROJ28" i="3" s="1"/>
  <c r="RPN28" i="3" s="1"/>
  <c r="RQR28" i="3" s="1"/>
  <c r="RRV28" i="3" s="1"/>
  <c r="RMY28" i="3"/>
  <c r="RNS28" i="3"/>
  <c r="ROW28" i="3" s="1"/>
  <c r="RQA28" i="3" s="1"/>
  <c r="RNL28" i="3"/>
  <c r="RNA28" i="3"/>
  <c r="ROE28" i="3" s="1"/>
  <c r="RPI28" i="3" s="1"/>
  <c r="RMT28" i="3"/>
  <c r="ROP28" i="3" l="1"/>
  <c r="RPT28" i="3" s="1"/>
  <c r="RQX28" i="3" s="1"/>
  <c r="ROI28" i="3"/>
  <c r="ROV28" i="3"/>
  <c r="RPZ28" i="3" s="1"/>
  <c r="ROO28" i="3"/>
  <c r="RNX28" i="3"/>
  <c r="RPB28" i="3" s="1"/>
  <c r="RQF28" i="3" s="1"/>
  <c r="RNQ28" i="3"/>
  <c r="ROC28" i="3"/>
  <c r="RPG28" i="3" s="1"/>
  <c r="RQK28" i="3" s="1"/>
  <c r="RRO28" i="3" s="1"/>
  <c r="RSS28" i="3" s="1"/>
  <c r="RNV28" i="3"/>
  <c r="RNW28" i="3"/>
  <c r="RPA28" i="3" s="1"/>
  <c r="RQE28" i="3" s="1"/>
  <c r="RRI28" i="3" s="1"/>
  <c r="RSM28" i="3" s="1"/>
  <c r="RNP28" i="3"/>
  <c r="ROZ28" i="3" l="1"/>
  <c r="RQD28" i="3" s="1"/>
  <c r="RRH28" i="3" s="1"/>
  <c r="RSL28" i="3" s="1"/>
  <c r="RTP28" i="3" s="1"/>
  <c r="ROS28" i="3"/>
  <c r="RPM28" i="3"/>
  <c r="RQQ28" i="3" s="1"/>
  <c r="RRU28" i="3" s="1"/>
  <c r="RPF28" i="3"/>
  <c r="ROU28" i="3"/>
  <c r="RPY28" i="3" s="1"/>
  <c r="RRC28" i="3" s="1"/>
  <c r="RON28" i="3"/>
  <c r="ROT28" i="3"/>
  <c r="RPX28" i="3" s="1"/>
  <c r="RRB28" i="3" s="1"/>
  <c r="RSF28" i="3" s="1"/>
  <c r="RTJ28" i="3" s="1"/>
  <c r="ROM28" i="3"/>
  <c r="RPS28" i="3"/>
  <c r="RQW28" i="3" s="1"/>
  <c r="RPL28" i="3"/>
  <c r="RQP28" i="3" l="1"/>
  <c r="RRT28" i="3" s="1"/>
  <c r="RQI28" i="3"/>
  <c r="RPQ28" i="3"/>
  <c r="RQU28" i="3" s="1"/>
  <c r="RRY28" i="3" s="1"/>
  <c r="RTC28" i="3" s="1"/>
  <c r="RUG28" i="3" s="1"/>
  <c r="RPJ28" i="3"/>
  <c r="RQJ28" i="3"/>
  <c r="RRN28" i="3" s="1"/>
  <c r="RSR28" i="3" s="1"/>
  <c r="RQC28" i="3"/>
  <c r="RPW28" i="3"/>
  <c r="RRA28" i="3" s="1"/>
  <c r="RSE28" i="3" s="1"/>
  <c r="RTI28" i="3" s="1"/>
  <c r="RUM28" i="3" s="1"/>
  <c r="RPP28" i="3"/>
  <c r="RPR28" i="3"/>
  <c r="RQV28" i="3" s="1"/>
  <c r="RRZ28" i="3" s="1"/>
  <c r="RPK28" i="3"/>
  <c r="RQO28" i="3" l="1"/>
  <c r="RRS28" i="3" s="1"/>
  <c r="RSW28" i="3" s="1"/>
  <c r="RQH28" i="3"/>
  <c r="RQT28" i="3"/>
  <c r="RRX28" i="3" s="1"/>
  <c r="RTB28" i="3" s="1"/>
  <c r="RUF28" i="3" s="1"/>
  <c r="RVJ28" i="3" s="1"/>
  <c r="RQM28" i="3"/>
  <c r="RQN28" i="3"/>
  <c r="RRR28" i="3" s="1"/>
  <c r="RSV28" i="3" s="1"/>
  <c r="RTZ28" i="3" s="1"/>
  <c r="RVD28" i="3" s="1"/>
  <c r="RQG28" i="3"/>
  <c r="RRM28" i="3"/>
  <c r="RSQ28" i="3" s="1"/>
  <c r="RRF28" i="3"/>
  <c r="RRG28" i="3"/>
  <c r="RSK28" i="3" s="1"/>
  <c r="RTO28" i="3" s="1"/>
  <c r="RQZ28" i="3"/>
  <c r="RSD28" i="3" l="1"/>
  <c r="RTH28" i="3" s="1"/>
  <c r="RUL28" i="3" s="1"/>
  <c r="RRW28" i="3"/>
  <c r="RSJ28" i="3"/>
  <c r="RTN28" i="3" s="1"/>
  <c r="RSC28" i="3"/>
  <c r="RRQ28" i="3"/>
  <c r="RSU28" i="3" s="1"/>
  <c r="RTY28" i="3" s="1"/>
  <c r="RVC28" i="3" s="1"/>
  <c r="RWG28" i="3" s="1"/>
  <c r="RRJ28" i="3"/>
  <c r="RRK28" i="3"/>
  <c r="RSO28" i="3" s="1"/>
  <c r="RTS28" i="3" s="1"/>
  <c r="RUW28" i="3" s="1"/>
  <c r="RWA28" i="3" s="1"/>
  <c r="RRD28" i="3"/>
  <c r="RRL28" i="3"/>
  <c r="RSP28" i="3" s="1"/>
  <c r="RTT28" i="3" s="1"/>
  <c r="RRE28" i="3"/>
  <c r="RTG28" i="3" l="1"/>
  <c r="RUK28" i="3" s="1"/>
  <c r="RSZ28" i="3"/>
  <c r="RSN28" i="3"/>
  <c r="RTR28" i="3" s="1"/>
  <c r="RUV28" i="3" s="1"/>
  <c r="RVZ28" i="3" s="1"/>
  <c r="RXD28" i="3" s="1"/>
  <c r="RSG28" i="3"/>
  <c r="RTA28" i="3"/>
  <c r="RUE28" i="3" s="1"/>
  <c r="RVI28" i="3" s="1"/>
  <c r="RST28" i="3"/>
  <c r="RSI28" i="3"/>
  <c r="RTM28" i="3" s="1"/>
  <c r="RUQ28" i="3" s="1"/>
  <c r="RSB28" i="3"/>
  <c r="RSH28" i="3"/>
  <c r="RTL28" i="3" s="1"/>
  <c r="RUP28" i="3" s="1"/>
  <c r="RVT28" i="3" s="1"/>
  <c r="RWX28" i="3" s="1"/>
  <c r="RSA28" i="3"/>
  <c r="RTF28" i="3" l="1"/>
  <c r="RUJ28" i="3" s="1"/>
  <c r="RVN28" i="3" s="1"/>
  <c r="RSY28" i="3"/>
  <c r="RUD28" i="3"/>
  <c r="RVH28" i="3" s="1"/>
  <c r="RTW28" i="3"/>
  <c r="RTE28" i="3"/>
  <c r="RUI28" i="3" s="1"/>
  <c r="RVM28" i="3" s="1"/>
  <c r="RWQ28" i="3" s="1"/>
  <c r="RXU28" i="3" s="1"/>
  <c r="RSX28" i="3"/>
  <c r="RTX28" i="3"/>
  <c r="RVB28" i="3" s="1"/>
  <c r="RWF28" i="3" s="1"/>
  <c r="RTQ28" i="3"/>
  <c r="RTK28" i="3"/>
  <c r="RUO28" i="3" s="1"/>
  <c r="RVS28" i="3" s="1"/>
  <c r="RWW28" i="3" s="1"/>
  <c r="RYA28" i="3" s="1"/>
  <c r="RTD28" i="3"/>
  <c r="RUH28" i="3" l="1"/>
  <c r="RVL28" i="3" s="1"/>
  <c r="RWP28" i="3" s="1"/>
  <c r="RXT28" i="3" s="1"/>
  <c r="RYX28" i="3" s="1"/>
  <c r="RUA28" i="3"/>
  <c r="RUB28" i="3"/>
  <c r="RVF28" i="3" s="1"/>
  <c r="RWJ28" i="3" s="1"/>
  <c r="RXN28" i="3" s="1"/>
  <c r="RYR28" i="3" s="1"/>
  <c r="RTU28" i="3"/>
  <c r="RUC28" i="3"/>
  <c r="RVG28" i="3" s="1"/>
  <c r="RWK28" i="3" s="1"/>
  <c r="RTV28" i="3"/>
  <c r="RUU28" i="3"/>
  <c r="RVY28" i="3" s="1"/>
  <c r="RXC28" i="3" s="1"/>
  <c r="RUN28" i="3"/>
  <c r="RVA28" i="3"/>
  <c r="RWE28" i="3" s="1"/>
  <c r="RUT28" i="3"/>
  <c r="RVR28" i="3" l="1"/>
  <c r="RWV28" i="3" s="1"/>
  <c r="RXZ28" i="3" s="1"/>
  <c r="RVK28" i="3"/>
  <c r="RVX28" i="3"/>
  <c r="RXB28" i="3" s="1"/>
  <c r="RVQ28" i="3"/>
  <c r="RUZ28" i="3"/>
  <c r="RWD28" i="3" s="1"/>
  <c r="RXH28" i="3" s="1"/>
  <c r="RUS28" i="3"/>
  <c r="RVE28" i="3"/>
  <c r="RWI28" i="3" s="1"/>
  <c r="RXM28" i="3" s="1"/>
  <c r="RYQ28" i="3" s="1"/>
  <c r="RZU28" i="3" s="1"/>
  <c r="RUX28" i="3"/>
  <c r="RUY28" i="3"/>
  <c r="RWC28" i="3" s="1"/>
  <c r="RXG28" i="3" s="1"/>
  <c r="RYK28" i="3" s="1"/>
  <c r="RZO28" i="3" s="1"/>
  <c r="RUR28" i="3"/>
  <c r="RVW28" i="3" l="1"/>
  <c r="RXA28" i="3" s="1"/>
  <c r="RYE28" i="3" s="1"/>
  <c r="RVP28" i="3"/>
  <c r="RWU28" i="3"/>
  <c r="RXY28" i="3" s="1"/>
  <c r="RWN28" i="3"/>
  <c r="RVV28" i="3"/>
  <c r="RWZ28" i="3" s="1"/>
  <c r="RYD28" i="3" s="1"/>
  <c r="RZH28" i="3" s="1"/>
  <c r="SAL28" i="3" s="1"/>
  <c r="RVO28" i="3"/>
  <c r="RWB28" i="3"/>
  <c r="RXF28" i="3" s="1"/>
  <c r="RYJ28" i="3" s="1"/>
  <c r="RZN28" i="3" s="1"/>
  <c r="SAR28" i="3" s="1"/>
  <c r="RVU28" i="3"/>
  <c r="RWO28" i="3"/>
  <c r="RXS28" i="3" s="1"/>
  <c r="RYW28" i="3" s="1"/>
  <c r="RWH28" i="3"/>
  <c r="RXR28" i="3" l="1"/>
  <c r="RYV28" i="3" s="1"/>
  <c r="RXK28" i="3"/>
  <c r="RWY28" i="3"/>
  <c r="RYC28" i="3" s="1"/>
  <c r="RZG28" i="3" s="1"/>
  <c r="SAK28" i="3" s="1"/>
  <c r="SBO28" i="3" s="1"/>
  <c r="RWR28" i="3"/>
  <c r="RWS28" i="3"/>
  <c r="RXW28" i="3" s="1"/>
  <c r="RZA28" i="3" s="1"/>
  <c r="SAE28" i="3" s="1"/>
  <c r="SBI28" i="3" s="1"/>
  <c r="RWL28" i="3"/>
  <c r="RWT28" i="3"/>
  <c r="RXX28" i="3" s="1"/>
  <c r="RZB28" i="3" s="1"/>
  <c r="RWM28" i="3"/>
  <c r="RXL28" i="3"/>
  <c r="RYP28" i="3" s="1"/>
  <c r="RZT28" i="3" s="1"/>
  <c r="RXE28" i="3"/>
  <c r="RXQ28" i="3" l="1"/>
  <c r="RYU28" i="3" s="1"/>
  <c r="RZY28" i="3" s="1"/>
  <c r="RXJ28" i="3"/>
  <c r="RYO28" i="3"/>
  <c r="RZS28" i="3" s="1"/>
  <c r="RYH28" i="3"/>
  <c r="RYI28" i="3"/>
  <c r="RZM28" i="3" s="1"/>
  <c r="SAQ28" i="3" s="1"/>
  <c r="RYB28" i="3"/>
  <c r="RXP28" i="3"/>
  <c r="RYT28" i="3" s="1"/>
  <c r="RZX28" i="3" s="1"/>
  <c r="SBB28" i="3" s="1"/>
  <c r="SCF28" i="3" s="1"/>
  <c r="RXI28" i="3"/>
  <c r="RXV28" i="3"/>
  <c r="RYZ28" i="3" s="1"/>
  <c r="SAD28" i="3" s="1"/>
  <c r="SBH28" i="3" s="1"/>
  <c r="SCL28" i="3" s="1"/>
  <c r="RXO28" i="3"/>
  <c r="RYM28" i="3" l="1"/>
  <c r="RZQ28" i="3" s="1"/>
  <c r="SAU28" i="3" s="1"/>
  <c r="SBY28" i="3" s="1"/>
  <c r="SDC28" i="3" s="1"/>
  <c r="RYF28" i="3"/>
  <c r="RYN28" i="3"/>
  <c r="RZR28" i="3" s="1"/>
  <c r="SAV28" i="3" s="1"/>
  <c r="RYG28" i="3"/>
  <c r="RZF28" i="3"/>
  <c r="SAJ28" i="3" s="1"/>
  <c r="SBN28" i="3" s="1"/>
  <c r="RYY28" i="3"/>
  <c r="RYS28" i="3"/>
  <c r="RZW28" i="3" s="1"/>
  <c r="SBA28" i="3" s="1"/>
  <c r="SCE28" i="3" s="1"/>
  <c r="SDI28" i="3" s="1"/>
  <c r="RYL28" i="3"/>
  <c r="RZL28" i="3"/>
  <c r="SAP28" i="3" s="1"/>
  <c r="RZE28" i="3"/>
  <c r="SAI28" i="3" l="1"/>
  <c r="SBM28" i="3" s="1"/>
  <c r="SAB28" i="3"/>
  <c r="RZP28" i="3"/>
  <c r="SAT28" i="3" s="1"/>
  <c r="SBX28" i="3" s="1"/>
  <c r="SDB28" i="3" s="1"/>
  <c r="SEF28" i="3" s="1"/>
  <c r="RZI28" i="3"/>
  <c r="RZK28" i="3"/>
  <c r="SAO28" i="3" s="1"/>
  <c r="SBS28" i="3" s="1"/>
  <c r="RZD28" i="3"/>
  <c r="RZJ28" i="3"/>
  <c r="SAN28" i="3" s="1"/>
  <c r="SBR28" i="3" s="1"/>
  <c r="SCV28" i="3" s="1"/>
  <c r="SDZ28" i="3" s="1"/>
  <c r="RZC28" i="3"/>
  <c r="SAC28" i="3"/>
  <c r="SBG28" i="3" s="1"/>
  <c r="SCK28" i="3" s="1"/>
  <c r="RZV28" i="3"/>
  <c r="SAZ28" i="3" l="1"/>
  <c r="SCD28" i="3" s="1"/>
  <c r="SDH28" i="3" s="1"/>
  <c r="SAS28" i="3"/>
  <c r="SAG28" i="3"/>
  <c r="SBK28" i="3" s="1"/>
  <c r="SCO28" i="3" s="1"/>
  <c r="SDS28" i="3" s="1"/>
  <c r="SEW28" i="3" s="1"/>
  <c r="RZZ28" i="3"/>
  <c r="SAM28" i="3"/>
  <c r="SBQ28" i="3" s="1"/>
  <c r="SCU28" i="3" s="1"/>
  <c r="SDY28" i="3" s="1"/>
  <c r="SFC28" i="3" s="1"/>
  <c r="SAF28" i="3"/>
  <c r="SBF28" i="3"/>
  <c r="SCJ28" i="3" s="1"/>
  <c r="SAY28" i="3"/>
  <c r="SAH28" i="3"/>
  <c r="SBL28" i="3" s="1"/>
  <c r="SCP28" i="3" s="1"/>
  <c r="SAA28" i="3"/>
  <c r="SBE28" i="3" l="1"/>
  <c r="SCI28" i="3" s="1"/>
  <c r="SDM28" i="3" s="1"/>
  <c r="SAX28" i="3"/>
  <c r="SBD28" i="3"/>
  <c r="SCH28" i="3" s="1"/>
  <c r="SDL28" i="3" s="1"/>
  <c r="SEP28" i="3" s="1"/>
  <c r="SFT28" i="3" s="1"/>
  <c r="SAW28" i="3"/>
  <c r="SBJ28" i="3"/>
  <c r="SCN28" i="3" s="1"/>
  <c r="SDR28" i="3" s="1"/>
  <c r="SEV28" i="3" s="1"/>
  <c r="SFZ28" i="3" s="1"/>
  <c r="SBC28" i="3"/>
  <c r="SBW28" i="3"/>
  <c r="SDA28" i="3" s="1"/>
  <c r="SEE28" i="3" s="1"/>
  <c r="SBP28" i="3"/>
  <c r="SCC28" i="3"/>
  <c r="SDG28" i="3" s="1"/>
  <c r="SBV28" i="3"/>
  <c r="SCB28" i="3" l="1"/>
  <c r="SDF28" i="3" s="1"/>
  <c r="SEJ28" i="3" s="1"/>
  <c r="SBU28" i="3"/>
  <c r="SCT28" i="3"/>
  <c r="SDX28" i="3" s="1"/>
  <c r="SFB28" i="3" s="1"/>
  <c r="SCM28" i="3"/>
  <c r="SCG28" i="3"/>
  <c r="SDK28" i="3" s="1"/>
  <c r="SEO28" i="3" s="1"/>
  <c r="SFS28" i="3" s="1"/>
  <c r="SGW28" i="3" s="1"/>
  <c r="SBZ28" i="3"/>
  <c r="SCZ28" i="3"/>
  <c r="SED28" i="3" s="1"/>
  <c r="SCS28" i="3"/>
  <c r="SCA28" i="3"/>
  <c r="SDE28" i="3" s="1"/>
  <c r="SEI28" i="3" s="1"/>
  <c r="SFM28" i="3" s="1"/>
  <c r="SGQ28" i="3" s="1"/>
  <c r="SBT28" i="3"/>
  <c r="SDQ28" i="3" l="1"/>
  <c r="SEU28" i="3" s="1"/>
  <c r="SFY28" i="3" s="1"/>
  <c r="SDJ28" i="3"/>
  <c r="SDW28" i="3"/>
  <c r="SFA28" i="3" s="1"/>
  <c r="SDP28" i="3"/>
  <c r="SCX28" i="3"/>
  <c r="SEB28" i="3" s="1"/>
  <c r="SFF28" i="3" s="1"/>
  <c r="SGJ28" i="3" s="1"/>
  <c r="SHN28" i="3" s="1"/>
  <c r="SCQ28" i="3"/>
  <c r="SDD28" i="3"/>
  <c r="SEH28" i="3" s="1"/>
  <c r="SFL28" i="3" s="1"/>
  <c r="SGP28" i="3" s="1"/>
  <c r="SHT28" i="3" s="1"/>
  <c r="SCW28" i="3"/>
  <c r="SCY28" i="3"/>
  <c r="SEC28" i="3" s="1"/>
  <c r="SFG28" i="3" s="1"/>
  <c r="SCR28" i="3"/>
  <c r="SDV28" i="3" l="1"/>
  <c r="SEZ28" i="3" s="1"/>
  <c r="SGD28" i="3" s="1"/>
  <c r="SDO28" i="3"/>
  <c r="SET28" i="3"/>
  <c r="SFX28" i="3" s="1"/>
  <c r="SEM28" i="3"/>
  <c r="SEA28" i="3"/>
  <c r="SFE28" i="3" s="1"/>
  <c r="SGI28" i="3" s="1"/>
  <c r="SHM28" i="3" s="1"/>
  <c r="SIQ28" i="3" s="1"/>
  <c r="SDT28" i="3"/>
  <c r="SDU28" i="3"/>
  <c r="SEY28" i="3" s="1"/>
  <c r="SGC28" i="3" s="1"/>
  <c r="SHG28" i="3" s="1"/>
  <c r="SIK28" i="3" s="1"/>
  <c r="SDN28" i="3"/>
  <c r="SEN28" i="3"/>
  <c r="SFR28" i="3" s="1"/>
  <c r="SGV28" i="3" s="1"/>
  <c r="SEG28" i="3"/>
  <c r="SES28" i="3" l="1"/>
  <c r="SFW28" i="3" s="1"/>
  <c r="SHA28" i="3" s="1"/>
  <c r="SEL28" i="3"/>
  <c r="SFK28" i="3"/>
  <c r="SGO28" i="3" s="1"/>
  <c r="SHS28" i="3" s="1"/>
  <c r="SFD28" i="3"/>
  <c r="SEX28" i="3"/>
  <c r="SGB28" i="3" s="1"/>
  <c r="SHF28" i="3" s="1"/>
  <c r="SIJ28" i="3" s="1"/>
  <c r="SJN28" i="3" s="1"/>
  <c r="SEQ28" i="3"/>
  <c r="SFQ28" i="3"/>
  <c r="SGU28" i="3" s="1"/>
  <c r="SFJ28" i="3"/>
  <c r="SER28" i="3"/>
  <c r="SFV28" i="3" s="1"/>
  <c r="SGZ28" i="3" s="1"/>
  <c r="SID28" i="3" s="1"/>
  <c r="SJH28" i="3" s="1"/>
  <c r="SEK28" i="3"/>
  <c r="SFO28" i="3" l="1"/>
  <c r="SGS28" i="3" s="1"/>
  <c r="SHW28" i="3" s="1"/>
  <c r="SJA28" i="3" s="1"/>
  <c r="SKE28" i="3" s="1"/>
  <c r="SFH28" i="3"/>
  <c r="SGN28" i="3"/>
  <c r="SHR28" i="3" s="1"/>
  <c r="SGG28" i="3"/>
  <c r="SFU28" i="3"/>
  <c r="SGY28" i="3" s="1"/>
  <c r="SIC28" i="3" s="1"/>
  <c r="SJG28" i="3" s="1"/>
  <c r="SKK28" i="3" s="1"/>
  <c r="SFN28" i="3"/>
  <c r="SFP28" i="3"/>
  <c r="SGT28" i="3" s="1"/>
  <c r="SHX28" i="3" s="1"/>
  <c r="SFI28" i="3"/>
  <c r="SGH28" i="3"/>
  <c r="SHL28" i="3" s="1"/>
  <c r="SIP28" i="3" s="1"/>
  <c r="SGA28" i="3"/>
  <c r="SGR28" i="3" l="1"/>
  <c r="SHV28" i="3" s="1"/>
  <c r="SIZ28" i="3" s="1"/>
  <c r="SKD28" i="3" s="1"/>
  <c r="SLH28" i="3" s="1"/>
  <c r="SGK28" i="3"/>
  <c r="SGM28" i="3"/>
  <c r="SHQ28" i="3" s="1"/>
  <c r="SIU28" i="3" s="1"/>
  <c r="SGF28" i="3"/>
  <c r="SHK28" i="3"/>
  <c r="SIO28" i="3" s="1"/>
  <c r="SHD28" i="3"/>
  <c r="SGL28" i="3"/>
  <c r="SHP28" i="3" s="1"/>
  <c r="SIT28" i="3" s="1"/>
  <c r="SJX28" i="3" s="1"/>
  <c r="SLB28" i="3" s="1"/>
  <c r="SGE28" i="3"/>
  <c r="SHE28" i="3"/>
  <c r="SII28" i="3" s="1"/>
  <c r="SJM28" i="3" s="1"/>
  <c r="SGX28" i="3"/>
  <c r="SHO28" i="3" l="1"/>
  <c r="SIS28" i="3" s="1"/>
  <c r="SJW28" i="3" s="1"/>
  <c r="SLA28" i="3" s="1"/>
  <c r="SME28" i="3" s="1"/>
  <c r="SHH28" i="3"/>
  <c r="SHI28" i="3"/>
  <c r="SIM28" i="3" s="1"/>
  <c r="SJQ28" i="3" s="1"/>
  <c r="SKU28" i="3" s="1"/>
  <c r="SLY28" i="3" s="1"/>
  <c r="SHB28" i="3"/>
  <c r="SHJ28" i="3"/>
  <c r="SIN28" i="3" s="1"/>
  <c r="SJR28" i="3" s="1"/>
  <c r="SHC28" i="3"/>
  <c r="SIB28" i="3"/>
  <c r="SJF28" i="3" s="1"/>
  <c r="SKJ28" i="3" s="1"/>
  <c r="SHU28" i="3"/>
  <c r="SIH28" i="3"/>
  <c r="SJL28" i="3" s="1"/>
  <c r="SIA28" i="3"/>
  <c r="SJE28" i="3" l="1"/>
  <c r="SKI28" i="3" s="1"/>
  <c r="SIX28" i="3"/>
  <c r="SIG28" i="3"/>
  <c r="SJK28" i="3" s="1"/>
  <c r="SKO28" i="3" s="1"/>
  <c r="SHZ28" i="3"/>
  <c r="SIL28" i="3"/>
  <c r="SJP28" i="3" s="1"/>
  <c r="SKT28" i="3" s="1"/>
  <c r="SLX28" i="3" s="1"/>
  <c r="SNB28" i="3" s="1"/>
  <c r="SIE28" i="3"/>
  <c r="SIY28" i="3"/>
  <c r="SKC28" i="3" s="1"/>
  <c r="SLG28" i="3" s="1"/>
  <c r="SIR28" i="3"/>
  <c r="SIF28" i="3"/>
  <c r="SJJ28" i="3" s="1"/>
  <c r="SKN28" i="3" s="1"/>
  <c r="SLR28" i="3" s="1"/>
  <c r="SMV28" i="3" s="1"/>
  <c r="SHY28" i="3"/>
  <c r="SJI28" i="3" l="1"/>
  <c r="SKM28" i="3" s="1"/>
  <c r="SLQ28" i="3" s="1"/>
  <c r="SMU28" i="3" s="1"/>
  <c r="SNY28" i="3" s="1"/>
  <c r="SJB28" i="3"/>
  <c r="SKB28" i="3"/>
  <c r="SLF28" i="3" s="1"/>
  <c r="SJU28" i="3"/>
  <c r="SJC28" i="3"/>
  <c r="SKG28" i="3" s="1"/>
  <c r="SLK28" i="3" s="1"/>
  <c r="SMO28" i="3" s="1"/>
  <c r="SNS28" i="3" s="1"/>
  <c r="SIV28" i="3"/>
  <c r="SJD28" i="3"/>
  <c r="SKH28" i="3" s="1"/>
  <c r="SLL28" i="3" s="1"/>
  <c r="SIW28" i="3"/>
  <c r="SJV28" i="3"/>
  <c r="SKZ28" i="3" s="1"/>
  <c r="SMD28" i="3" s="1"/>
  <c r="SJO28" i="3"/>
  <c r="SKY28" i="3" l="1"/>
  <c r="SMC28" i="3" s="1"/>
  <c r="SKR28" i="3"/>
  <c r="SKA28" i="3"/>
  <c r="SLE28" i="3" s="1"/>
  <c r="SMI28" i="3" s="1"/>
  <c r="SJT28" i="3"/>
  <c r="SKS28" i="3"/>
  <c r="SLW28" i="3" s="1"/>
  <c r="SNA28" i="3" s="1"/>
  <c r="SKL28" i="3"/>
  <c r="SJZ28" i="3"/>
  <c r="SLD28" i="3" s="1"/>
  <c r="SMH28" i="3" s="1"/>
  <c r="SNL28" i="3" s="1"/>
  <c r="SOP28" i="3" s="1"/>
  <c r="SJS28" i="3"/>
  <c r="SKF28" i="3"/>
  <c r="SLJ28" i="3" s="1"/>
  <c r="SMN28" i="3" s="1"/>
  <c r="SNR28" i="3" s="1"/>
  <c r="SOV28" i="3" s="1"/>
  <c r="SJY28" i="3"/>
  <c r="SKW28" i="3" l="1"/>
  <c r="SMA28" i="3" s="1"/>
  <c r="SNE28" i="3" s="1"/>
  <c r="SOI28" i="3" s="1"/>
  <c r="SPM28" i="3" s="1"/>
  <c r="SKP28" i="3"/>
  <c r="SLV28" i="3"/>
  <c r="SMZ28" i="3" s="1"/>
  <c r="SLO28" i="3"/>
  <c r="SLC28" i="3"/>
  <c r="SMG28" i="3" s="1"/>
  <c r="SNK28" i="3" s="1"/>
  <c r="SOO28" i="3" s="1"/>
  <c r="SPS28" i="3" s="1"/>
  <c r="SKV28" i="3"/>
  <c r="SKX28" i="3"/>
  <c r="SMB28" i="3" s="1"/>
  <c r="SNF28" i="3" s="1"/>
  <c r="SKQ28" i="3"/>
  <c r="SLP28" i="3"/>
  <c r="SMT28" i="3" s="1"/>
  <c r="SNX28" i="3" s="1"/>
  <c r="SLI28" i="3"/>
  <c r="SLU28" i="3" l="1"/>
  <c r="SMY28" i="3" s="1"/>
  <c r="SOC28" i="3" s="1"/>
  <c r="SLN28" i="3"/>
  <c r="SMS28" i="3"/>
  <c r="SNW28" i="3" s="1"/>
  <c r="SML28" i="3"/>
  <c r="SMM28" i="3"/>
  <c r="SNQ28" i="3" s="1"/>
  <c r="SOU28" i="3" s="1"/>
  <c r="SMF28" i="3"/>
  <c r="SLZ28" i="3"/>
  <c r="SND28" i="3" s="1"/>
  <c r="SOH28" i="3" s="1"/>
  <c r="SPL28" i="3" s="1"/>
  <c r="SQP28" i="3" s="1"/>
  <c r="SLS28" i="3"/>
  <c r="SLT28" i="3"/>
  <c r="SMX28" i="3" s="1"/>
  <c r="SOB28" i="3" s="1"/>
  <c r="SPF28" i="3" s="1"/>
  <c r="SQJ28" i="3" s="1"/>
  <c r="SLM28" i="3"/>
  <c r="SNJ28" i="3" l="1"/>
  <c r="SON28" i="3" s="1"/>
  <c r="SPR28" i="3" s="1"/>
  <c r="SNC28" i="3"/>
  <c r="SMR28" i="3"/>
  <c r="SNV28" i="3" s="1"/>
  <c r="SOZ28" i="3" s="1"/>
  <c r="SMK28" i="3"/>
  <c r="SNP28" i="3"/>
  <c r="SOT28" i="3" s="1"/>
  <c r="SNI28" i="3"/>
  <c r="SMQ28" i="3"/>
  <c r="SNU28" i="3" s="1"/>
  <c r="SOY28" i="3" s="1"/>
  <c r="SQC28" i="3" s="1"/>
  <c r="SRG28" i="3" s="1"/>
  <c r="SMJ28" i="3"/>
  <c r="SMW28" i="3"/>
  <c r="SOA28" i="3" s="1"/>
  <c r="SPE28" i="3" s="1"/>
  <c r="SQI28" i="3" s="1"/>
  <c r="SRM28" i="3" s="1"/>
  <c r="SMP28" i="3"/>
  <c r="SOM28" i="3" l="1"/>
  <c r="SPQ28" i="3" s="1"/>
  <c r="SOF28" i="3"/>
  <c r="SOG28" i="3"/>
  <c r="SPK28" i="3" s="1"/>
  <c r="SQO28" i="3" s="1"/>
  <c r="SNZ28" i="3"/>
  <c r="SNT28" i="3"/>
  <c r="SOX28" i="3" s="1"/>
  <c r="SQB28" i="3" s="1"/>
  <c r="SRF28" i="3" s="1"/>
  <c r="SSJ28" i="3" s="1"/>
  <c r="SNM28" i="3"/>
  <c r="SNN28" i="3"/>
  <c r="SOR28" i="3" s="1"/>
  <c r="SPV28" i="3" s="1"/>
  <c r="SQZ28" i="3" s="1"/>
  <c r="SSD28" i="3" s="1"/>
  <c r="SNG28" i="3"/>
  <c r="SNO28" i="3"/>
  <c r="SOS28" i="3" s="1"/>
  <c r="SPW28" i="3" s="1"/>
  <c r="SNH28" i="3"/>
  <c r="SOL28" i="3" l="1"/>
  <c r="SPP28" i="3" s="1"/>
  <c r="SQT28" i="3" s="1"/>
  <c r="SOE28" i="3"/>
  <c r="SOK28" i="3"/>
  <c r="SPO28" i="3" s="1"/>
  <c r="SQS28" i="3" s="1"/>
  <c r="SRW28" i="3" s="1"/>
  <c r="STA28" i="3" s="1"/>
  <c r="SOD28" i="3"/>
  <c r="SPD28" i="3"/>
  <c r="SQH28" i="3" s="1"/>
  <c r="SRL28" i="3" s="1"/>
  <c r="SOW28" i="3"/>
  <c r="SPJ28" i="3"/>
  <c r="SQN28" i="3" s="1"/>
  <c r="SPC28" i="3"/>
  <c r="SOQ28" i="3"/>
  <c r="SPU28" i="3" s="1"/>
  <c r="SQY28" i="3" s="1"/>
  <c r="SSC28" i="3" s="1"/>
  <c r="STG28" i="3" s="1"/>
  <c r="SOJ28" i="3"/>
  <c r="SPN28" i="3" l="1"/>
  <c r="SQR28" i="3" s="1"/>
  <c r="SRV28" i="3" s="1"/>
  <c r="SSZ28" i="3" s="1"/>
  <c r="SUD28" i="3" s="1"/>
  <c r="SPG28" i="3"/>
  <c r="SQA28" i="3"/>
  <c r="SRE28" i="3" s="1"/>
  <c r="SSI28" i="3" s="1"/>
  <c r="SPT28" i="3"/>
  <c r="SPI28" i="3"/>
  <c r="SQM28" i="3" s="1"/>
  <c r="SRQ28" i="3" s="1"/>
  <c r="SPB28" i="3"/>
  <c r="SQG28" i="3"/>
  <c r="SRK28" i="3" s="1"/>
  <c r="SPZ28" i="3"/>
  <c r="SPH28" i="3"/>
  <c r="SQL28" i="3" s="1"/>
  <c r="SRP28" i="3" s="1"/>
  <c r="SST28" i="3" s="1"/>
  <c r="STX28" i="3" s="1"/>
  <c r="SPA28" i="3"/>
  <c r="SQK28" i="3" l="1"/>
  <c r="SRO28" i="3" s="1"/>
  <c r="SSS28" i="3" s="1"/>
  <c r="STW28" i="3" s="1"/>
  <c r="SVA28" i="3" s="1"/>
  <c r="SQD28" i="3"/>
  <c r="SQE28" i="3"/>
  <c r="SRI28" i="3" s="1"/>
  <c r="SSM28" i="3" s="1"/>
  <c r="STQ28" i="3" s="1"/>
  <c r="SUU28" i="3" s="1"/>
  <c r="SPX28" i="3"/>
  <c r="SQX28" i="3"/>
  <c r="SSB28" i="3" s="1"/>
  <c r="STF28" i="3" s="1"/>
  <c r="SQQ28" i="3"/>
  <c r="SQF28" i="3"/>
  <c r="SRJ28" i="3" s="1"/>
  <c r="SSN28" i="3" s="1"/>
  <c r="SPY28" i="3"/>
  <c r="SRD28" i="3"/>
  <c r="SSH28" i="3" s="1"/>
  <c r="SQW28" i="3"/>
  <c r="SRC28" i="3" l="1"/>
  <c r="SSG28" i="3" s="1"/>
  <c r="STK28" i="3" s="1"/>
  <c r="SQV28" i="3"/>
  <c r="SRH28" i="3"/>
  <c r="SSL28" i="3" s="1"/>
  <c r="STP28" i="3" s="1"/>
  <c r="SUT28" i="3" s="1"/>
  <c r="SVX28" i="3" s="1"/>
  <c r="SRA28" i="3"/>
  <c r="SSA28" i="3"/>
  <c r="STE28" i="3" s="1"/>
  <c r="SRT28" i="3"/>
  <c r="SRU28" i="3"/>
  <c r="SSY28" i="3" s="1"/>
  <c r="SUC28" i="3" s="1"/>
  <c r="SRN28" i="3"/>
  <c r="SRB28" i="3"/>
  <c r="SSF28" i="3" s="1"/>
  <c r="STJ28" i="3" s="1"/>
  <c r="SUN28" i="3" s="1"/>
  <c r="SVR28" i="3" s="1"/>
  <c r="SQU28" i="3"/>
  <c r="SSX28" i="3" l="1"/>
  <c r="SUB28" i="3" s="1"/>
  <c r="SSQ28" i="3"/>
  <c r="SRY28" i="3"/>
  <c r="STC28" i="3" s="1"/>
  <c r="SUG28" i="3" s="1"/>
  <c r="SVK28" i="3" s="1"/>
  <c r="SWO28" i="3" s="1"/>
  <c r="SRR28" i="3"/>
  <c r="SSR28" i="3"/>
  <c r="STV28" i="3" s="1"/>
  <c r="SUZ28" i="3" s="1"/>
  <c r="SSK28" i="3"/>
  <c r="SSE28" i="3"/>
  <c r="STI28" i="3" s="1"/>
  <c r="SUM28" i="3" s="1"/>
  <c r="SVQ28" i="3" s="1"/>
  <c r="SWU28" i="3" s="1"/>
  <c r="SRX28" i="3"/>
  <c r="SRZ28" i="3"/>
  <c r="STD28" i="3" s="1"/>
  <c r="SUH28" i="3" s="1"/>
  <c r="SRS28" i="3"/>
  <c r="SSW28" i="3" l="1"/>
  <c r="SUA28" i="3" s="1"/>
  <c r="SVE28" i="3" s="1"/>
  <c r="SSP28" i="3"/>
  <c r="STO28" i="3"/>
  <c r="SUS28" i="3" s="1"/>
  <c r="SVW28" i="3" s="1"/>
  <c r="STH28" i="3"/>
  <c r="STU28" i="3"/>
  <c r="SUY28" i="3" s="1"/>
  <c r="STN28" i="3"/>
  <c r="STB28" i="3"/>
  <c r="SUF28" i="3" s="1"/>
  <c r="SVJ28" i="3" s="1"/>
  <c r="SWN28" i="3" s="1"/>
  <c r="SXR28" i="3" s="1"/>
  <c r="SSU28" i="3"/>
  <c r="SSV28" i="3"/>
  <c r="STZ28" i="3" s="1"/>
  <c r="SVD28" i="3" s="1"/>
  <c r="SWH28" i="3" s="1"/>
  <c r="SXL28" i="3" s="1"/>
  <c r="SSO28" i="3"/>
  <c r="SUR28" i="3" l="1"/>
  <c r="SVV28" i="3" s="1"/>
  <c r="SUK28" i="3"/>
  <c r="STY28" i="3"/>
  <c r="SVC28" i="3" s="1"/>
  <c r="SWG28" i="3" s="1"/>
  <c r="SXK28" i="3" s="1"/>
  <c r="SYO28" i="3" s="1"/>
  <c r="STR28" i="3"/>
  <c r="STT28" i="3"/>
  <c r="SUX28" i="3" s="1"/>
  <c r="SWB28" i="3" s="1"/>
  <c r="STM28" i="3"/>
  <c r="STS28" i="3"/>
  <c r="SUW28" i="3" s="1"/>
  <c r="SWA28" i="3" s="1"/>
  <c r="SXE28" i="3" s="1"/>
  <c r="SYI28" i="3" s="1"/>
  <c r="STL28" i="3"/>
  <c r="SUL28" i="3"/>
  <c r="SVP28" i="3" s="1"/>
  <c r="SWT28" i="3" s="1"/>
  <c r="SUE28" i="3"/>
  <c r="SVI28" i="3" l="1"/>
  <c r="SWM28" i="3" s="1"/>
  <c r="SXQ28" i="3" s="1"/>
  <c r="SVB28" i="3"/>
  <c r="SUP28" i="3"/>
  <c r="SVT28" i="3" s="1"/>
  <c r="SWX28" i="3" s="1"/>
  <c r="SYB28" i="3" s="1"/>
  <c r="SZF28" i="3" s="1"/>
  <c r="SUI28" i="3"/>
  <c r="SVO28" i="3"/>
  <c r="SWS28" i="3" s="1"/>
  <c r="SVH28" i="3"/>
  <c r="SUQ28" i="3"/>
  <c r="SVU28" i="3" s="1"/>
  <c r="SWY28" i="3" s="1"/>
  <c r="SUJ28" i="3"/>
  <c r="SUV28" i="3"/>
  <c r="SVZ28" i="3" s="1"/>
  <c r="SXD28" i="3" s="1"/>
  <c r="SYH28" i="3" s="1"/>
  <c r="SZL28" i="3" s="1"/>
  <c r="SUO28" i="3"/>
  <c r="SWL28" i="3" l="1"/>
  <c r="SXP28" i="3" s="1"/>
  <c r="SWE28" i="3"/>
  <c r="SWF28" i="3"/>
  <c r="SXJ28" i="3" s="1"/>
  <c r="SYN28" i="3" s="1"/>
  <c r="SVY28" i="3"/>
  <c r="SVS28" i="3"/>
  <c r="SWW28" i="3" s="1"/>
  <c r="SYA28" i="3" s="1"/>
  <c r="SZE28" i="3" s="1"/>
  <c r="TAI28" i="3" s="1"/>
  <c r="SVL28" i="3"/>
  <c r="SVN28" i="3"/>
  <c r="SWR28" i="3" s="1"/>
  <c r="SXV28" i="3" s="1"/>
  <c r="SVG28" i="3"/>
  <c r="SVM28" i="3"/>
  <c r="SWQ28" i="3" s="1"/>
  <c r="SXU28" i="3" s="1"/>
  <c r="SYY28" i="3" s="1"/>
  <c r="TAC28" i="3" s="1"/>
  <c r="SVF28" i="3"/>
  <c r="SXI28" i="3" l="1"/>
  <c r="SYM28" i="3" s="1"/>
  <c r="SXB28" i="3"/>
  <c r="SXC28" i="3"/>
  <c r="SYG28" i="3" s="1"/>
  <c r="SZK28" i="3" s="1"/>
  <c r="SWV28" i="3"/>
  <c r="SWK28" i="3"/>
  <c r="SXO28" i="3" s="1"/>
  <c r="SYS28" i="3" s="1"/>
  <c r="SWD28" i="3"/>
  <c r="SWJ28" i="3"/>
  <c r="SXN28" i="3" s="1"/>
  <c r="SYR28" i="3" s="1"/>
  <c r="SZV28" i="3" s="1"/>
  <c r="TAZ28" i="3" s="1"/>
  <c r="SWC28" i="3"/>
  <c r="SWP28" i="3"/>
  <c r="SXT28" i="3" s="1"/>
  <c r="SYX28" i="3" s="1"/>
  <c r="TAB28" i="3" s="1"/>
  <c r="TBF28" i="3" s="1"/>
  <c r="SWI28" i="3"/>
  <c r="SXM28" i="3" l="1"/>
  <c r="SYQ28" i="3" s="1"/>
  <c r="SZU28" i="3" s="1"/>
  <c r="TAY28" i="3" s="1"/>
  <c r="TCC28" i="3" s="1"/>
  <c r="SXF28" i="3"/>
  <c r="SXG28" i="3"/>
  <c r="SYK28" i="3" s="1"/>
  <c r="SZO28" i="3" s="1"/>
  <c r="TAS28" i="3" s="1"/>
  <c r="TBW28" i="3" s="1"/>
  <c r="SWZ28" i="3"/>
  <c r="SYF28" i="3"/>
  <c r="SZJ28" i="3" s="1"/>
  <c r="SXY28" i="3"/>
  <c r="SXZ28" i="3"/>
  <c r="SZD28" i="3" s="1"/>
  <c r="TAH28" i="3" s="1"/>
  <c r="SXS28" i="3"/>
  <c r="SXH28" i="3"/>
  <c r="SYL28" i="3" s="1"/>
  <c r="SZP28" i="3" s="1"/>
  <c r="SXA28" i="3"/>
  <c r="SZC28" i="3" l="1"/>
  <c r="TAG28" i="3" s="1"/>
  <c r="SYV28" i="3"/>
  <c r="SYJ28" i="3"/>
  <c r="SZN28" i="3" s="1"/>
  <c r="TAR28" i="3" s="1"/>
  <c r="TBV28" i="3" s="1"/>
  <c r="TCZ28" i="3" s="1"/>
  <c r="SYC28" i="3"/>
  <c r="SYE28" i="3"/>
  <c r="SZI28" i="3" s="1"/>
  <c r="TAM28" i="3" s="1"/>
  <c r="SXX28" i="3"/>
  <c r="SYW28" i="3"/>
  <c r="TAA28" i="3" s="1"/>
  <c r="TBE28" i="3" s="1"/>
  <c r="SYP28" i="3"/>
  <c r="SYD28" i="3"/>
  <c r="SZH28" i="3" s="1"/>
  <c r="TAL28" i="3" s="1"/>
  <c r="TBP28" i="3" s="1"/>
  <c r="TCT28" i="3" s="1"/>
  <c r="SXW28" i="3"/>
  <c r="SZT28" i="3" l="1"/>
  <c r="TAX28" i="3" s="1"/>
  <c r="TCB28" i="3" s="1"/>
  <c r="SZM28" i="3"/>
  <c r="SZZ28" i="3"/>
  <c r="TBD28" i="3" s="1"/>
  <c r="SZS28" i="3"/>
  <c r="SZA28" i="3"/>
  <c r="TAE28" i="3" s="1"/>
  <c r="TBI28" i="3" s="1"/>
  <c r="TCM28" i="3" s="1"/>
  <c r="TDQ28" i="3" s="1"/>
  <c r="SYT28" i="3"/>
  <c r="SZB28" i="3"/>
  <c r="TAF28" i="3" s="1"/>
  <c r="TBJ28" i="3" s="1"/>
  <c r="SYU28" i="3"/>
  <c r="SZG28" i="3"/>
  <c r="TAK28" i="3" s="1"/>
  <c r="TBO28" i="3" s="1"/>
  <c r="TCS28" i="3" s="1"/>
  <c r="TDW28" i="3" s="1"/>
  <c r="SYZ28" i="3"/>
  <c r="SZX28" i="3" l="1"/>
  <c r="TBB28" i="3" s="1"/>
  <c r="TCF28" i="3" s="1"/>
  <c r="TDJ28" i="3" s="1"/>
  <c r="TEN28" i="3" s="1"/>
  <c r="SZQ28" i="3"/>
  <c r="TAD28" i="3"/>
  <c r="TBH28" i="3" s="1"/>
  <c r="TCL28" i="3" s="1"/>
  <c r="TDP28" i="3" s="1"/>
  <c r="TET28" i="3" s="1"/>
  <c r="SZW28" i="3"/>
  <c r="SZY28" i="3"/>
  <c r="TBC28" i="3" s="1"/>
  <c r="TCG28" i="3" s="1"/>
  <c r="SZR28" i="3"/>
  <c r="TAW28" i="3"/>
  <c r="TCA28" i="3" s="1"/>
  <c r="TAP28" i="3"/>
  <c r="TAQ28" i="3"/>
  <c r="TBU28" i="3" s="1"/>
  <c r="TCY28" i="3" s="1"/>
  <c r="TAJ28" i="3"/>
  <c r="TBT28" i="3" l="1"/>
  <c r="TCX28" i="3" s="1"/>
  <c r="TBM28" i="3"/>
  <c r="TAU28" i="3"/>
  <c r="TBY28" i="3" s="1"/>
  <c r="TDC28" i="3" s="1"/>
  <c r="TEG28" i="3" s="1"/>
  <c r="TFK28" i="3" s="1"/>
  <c r="TAN28" i="3"/>
  <c r="TBN28" i="3"/>
  <c r="TCR28" i="3" s="1"/>
  <c r="TDV28" i="3" s="1"/>
  <c r="TBG28" i="3"/>
  <c r="TAV28" i="3"/>
  <c r="TBZ28" i="3" s="1"/>
  <c r="TDD28" i="3" s="1"/>
  <c r="TAO28" i="3"/>
  <c r="TBA28" i="3"/>
  <c r="TCE28" i="3" s="1"/>
  <c r="TDI28" i="3" s="1"/>
  <c r="TEM28" i="3" s="1"/>
  <c r="TFQ28" i="3" s="1"/>
  <c r="TAT28" i="3"/>
  <c r="TBX28" i="3" l="1"/>
  <c r="TDB28" i="3" s="1"/>
  <c r="TEF28" i="3" s="1"/>
  <c r="TFJ28" i="3" s="1"/>
  <c r="TGN28" i="3" s="1"/>
  <c r="TBQ28" i="3"/>
  <c r="TCK28" i="3"/>
  <c r="TDO28" i="3" s="1"/>
  <c r="TES28" i="3" s="1"/>
  <c r="TCD28" i="3"/>
  <c r="TBR28" i="3"/>
  <c r="TCV28" i="3" s="1"/>
  <c r="TDZ28" i="3" s="1"/>
  <c r="TFD28" i="3" s="1"/>
  <c r="TGH28" i="3" s="1"/>
  <c r="TBK28" i="3"/>
  <c r="TBS28" i="3"/>
  <c r="TCW28" i="3" s="1"/>
  <c r="TEA28" i="3" s="1"/>
  <c r="TBL28" i="3"/>
  <c r="TCQ28" i="3"/>
  <c r="TDU28" i="3" s="1"/>
  <c r="TCJ28" i="3"/>
  <c r="TDN28" i="3" l="1"/>
  <c r="TER28" i="3" s="1"/>
  <c r="TDG28" i="3"/>
  <c r="TDH28" i="3"/>
  <c r="TEL28" i="3" s="1"/>
  <c r="TFP28" i="3" s="1"/>
  <c r="TDA28" i="3"/>
  <c r="TCP28" i="3"/>
  <c r="TDT28" i="3" s="1"/>
  <c r="TEX28" i="3" s="1"/>
  <c r="TCI28" i="3"/>
  <c r="TCO28" i="3"/>
  <c r="TDS28" i="3" s="1"/>
  <c r="TEW28" i="3" s="1"/>
  <c r="TGA28" i="3" s="1"/>
  <c r="THE28" i="3" s="1"/>
  <c r="TCH28" i="3"/>
  <c r="TCU28" i="3"/>
  <c r="TDY28" i="3" s="1"/>
  <c r="TFC28" i="3" s="1"/>
  <c r="TGG28" i="3" s="1"/>
  <c r="THK28" i="3" s="1"/>
  <c r="TCN28" i="3"/>
  <c r="TEK28" i="3" l="1"/>
  <c r="TFO28" i="3" s="1"/>
  <c r="TED28" i="3"/>
  <c r="TDR28" i="3"/>
  <c r="TEV28" i="3" s="1"/>
  <c r="TFZ28" i="3" s="1"/>
  <c r="THD28" i="3" s="1"/>
  <c r="TIH28" i="3" s="1"/>
  <c r="TDK28" i="3"/>
  <c r="TDM28" i="3"/>
  <c r="TEQ28" i="3" s="1"/>
  <c r="TFU28" i="3" s="1"/>
  <c r="TDF28" i="3"/>
  <c r="TEE28" i="3"/>
  <c r="TFI28" i="3" s="1"/>
  <c r="TGM28" i="3" s="1"/>
  <c r="TDX28" i="3"/>
  <c r="TDL28" i="3"/>
  <c r="TEP28" i="3" s="1"/>
  <c r="TFT28" i="3" s="1"/>
  <c r="TGX28" i="3" s="1"/>
  <c r="TIB28" i="3" s="1"/>
  <c r="TDE28" i="3"/>
  <c r="TEI28" i="3" l="1"/>
  <c r="TFM28" i="3" s="1"/>
  <c r="TGQ28" i="3" s="1"/>
  <c r="THU28" i="3" s="1"/>
  <c r="TIY28" i="3" s="1"/>
  <c r="TEB28" i="3"/>
  <c r="TFB28" i="3"/>
  <c r="TGF28" i="3" s="1"/>
  <c r="THJ28" i="3" s="1"/>
  <c r="TEU28" i="3"/>
  <c r="TEJ28" i="3"/>
  <c r="TFN28" i="3" s="1"/>
  <c r="TGR28" i="3" s="1"/>
  <c r="TEC28" i="3"/>
  <c r="TFH28" i="3"/>
  <c r="TGL28" i="3" s="1"/>
  <c r="TFA28" i="3"/>
  <c r="TEO28" i="3"/>
  <c r="TFS28" i="3" s="1"/>
  <c r="TGW28" i="3" s="1"/>
  <c r="TIA28" i="3" s="1"/>
  <c r="TJE28" i="3" s="1"/>
  <c r="TEH28" i="3"/>
  <c r="TFG28" i="3" l="1"/>
  <c r="TGK28" i="3" s="1"/>
  <c r="THO28" i="3" s="1"/>
  <c r="TEZ28" i="3"/>
  <c r="TGE28" i="3"/>
  <c r="THI28" i="3" s="1"/>
  <c r="TFX28" i="3"/>
  <c r="TFY28" i="3"/>
  <c r="THC28" i="3" s="1"/>
  <c r="TIG28" i="3" s="1"/>
  <c r="TFR28" i="3"/>
  <c r="TFF28" i="3"/>
  <c r="TGJ28" i="3" s="1"/>
  <c r="THN28" i="3" s="1"/>
  <c r="TIR28" i="3" s="1"/>
  <c r="TJV28" i="3" s="1"/>
  <c r="TEY28" i="3"/>
  <c r="TFL28" i="3"/>
  <c r="TGP28" i="3" s="1"/>
  <c r="THT28" i="3" s="1"/>
  <c r="TIX28" i="3" s="1"/>
  <c r="TKB28" i="3" s="1"/>
  <c r="TFE28" i="3"/>
  <c r="TGD28" i="3" l="1"/>
  <c r="THH28" i="3" s="1"/>
  <c r="TIL28" i="3" s="1"/>
  <c r="TFW28" i="3"/>
  <c r="TGC28" i="3"/>
  <c r="THG28" i="3" s="1"/>
  <c r="TIK28" i="3" s="1"/>
  <c r="TJO28" i="3" s="1"/>
  <c r="TKS28" i="3" s="1"/>
  <c r="TFV28" i="3"/>
  <c r="THB28" i="3"/>
  <c r="TIF28" i="3" s="1"/>
  <c r="TGU28" i="3"/>
  <c r="TGI28" i="3"/>
  <c r="THM28" i="3" s="1"/>
  <c r="TIQ28" i="3" s="1"/>
  <c r="TJU28" i="3" s="1"/>
  <c r="TKY28" i="3" s="1"/>
  <c r="TGB28" i="3"/>
  <c r="TGV28" i="3"/>
  <c r="THZ28" i="3" s="1"/>
  <c r="TJD28" i="3" s="1"/>
  <c r="TGO28" i="3"/>
  <c r="THS28" i="3" l="1"/>
  <c r="TIW28" i="3" s="1"/>
  <c r="TKA28" i="3" s="1"/>
  <c r="THL28" i="3"/>
  <c r="THY28" i="3"/>
  <c r="TJC28" i="3" s="1"/>
  <c r="THR28" i="3"/>
  <c r="THA28" i="3"/>
  <c r="TIE28" i="3" s="1"/>
  <c r="TJI28" i="3" s="1"/>
  <c r="TGT28" i="3"/>
  <c r="THF28" i="3"/>
  <c r="TIJ28" i="3" s="1"/>
  <c r="TJN28" i="3" s="1"/>
  <c r="TKR28" i="3" s="1"/>
  <c r="TLV28" i="3" s="1"/>
  <c r="TGY28" i="3"/>
  <c r="TGZ28" i="3"/>
  <c r="TID28" i="3" s="1"/>
  <c r="TJH28" i="3" s="1"/>
  <c r="TKL28" i="3" s="1"/>
  <c r="TLP28" i="3" s="1"/>
  <c r="TGS28" i="3"/>
  <c r="THX28" i="3" l="1"/>
  <c r="TJB28" i="3" s="1"/>
  <c r="TKF28" i="3" s="1"/>
  <c r="THQ28" i="3"/>
  <c r="TIP28" i="3"/>
  <c r="TJT28" i="3" s="1"/>
  <c r="TKX28" i="3" s="1"/>
  <c r="TII28" i="3"/>
  <c r="TIV28" i="3"/>
  <c r="TJZ28" i="3" s="1"/>
  <c r="TIO28" i="3"/>
  <c r="THW28" i="3"/>
  <c r="TJA28" i="3" s="1"/>
  <c r="TKE28" i="3" s="1"/>
  <c r="TLI28" i="3" s="1"/>
  <c r="TMM28" i="3" s="1"/>
  <c r="THP28" i="3"/>
  <c r="TIC28" i="3"/>
  <c r="TJG28" i="3" s="1"/>
  <c r="TKK28" i="3" s="1"/>
  <c r="TLO28" i="3" s="1"/>
  <c r="TMS28" i="3" s="1"/>
  <c r="THV28" i="3"/>
  <c r="TIZ28" i="3" l="1"/>
  <c r="TKD28" i="3" s="1"/>
  <c r="TLH28" i="3" s="1"/>
  <c r="TML28" i="3" s="1"/>
  <c r="TNP28" i="3" s="1"/>
  <c r="TIS28" i="3"/>
  <c r="TJS28" i="3"/>
  <c r="TKW28" i="3" s="1"/>
  <c r="TJL28" i="3"/>
  <c r="TIU28" i="3"/>
  <c r="TJY28" i="3" s="1"/>
  <c r="TLC28" i="3" s="1"/>
  <c r="TIN28" i="3"/>
  <c r="TIT28" i="3"/>
  <c r="TJX28" i="3" s="1"/>
  <c r="TLB28" i="3" s="1"/>
  <c r="TMF28" i="3" s="1"/>
  <c r="TNJ28" i="3" s="1"/>
  <c r="TIM28" i="3"/>
  <c r="TJM28" i="3"/>
  <c r="TKQ28" i="3" s="1"/>
  <c r="TLU28" i="3" s="1"/>
  <c r="TJF28" i="3"/>
  <c r="TJQ28" i="3" l="1"/>
  <c r="TKU28" i="3" s="1"/>
  <c r="TLY28" i="3" s="1"/>
  <c r="TNC28" i="3" s="1"/>
  <c r="TOG28" i="3" s="1"/>
  <c r="TJJ28" i="3"/>
  <c r="TJR28" i="3"/>
  <c r="TKV28" i="3" s="1"/>
  <c r="TLZ28" i="3" s="1"/>
  <c r="TJK28" i="3"/>
  <c r="TKJ28" i="3"/>
  <c r="TLN28" i="3" s="1"/>
  <c r="TMR28" i="3" s="1"/>
  <c r="TKC28" i="3"/>
  <c r="TJW28" i="3"/>
  <c r="TLA28" i="3" s="1"/>
  <c r="TME28" i="3" s="1"/>
  <c r="TNI28" i="3" s="1"/>
  <c r="TOM28" i="3" s="1"/>
  <c r="TJP28" i="3"/>
  <c r="TKP28" i="3"/>
  <c r="TLT28" i="3" s="1"/>
  <c r="TKI28" i="3"/>
  <c r="TLG28" i="3" l="1"/>
  <c r="TMK28" i="3" s="1"/>
  <c r="TNO28" i="3" s="1"/>
  <c r="TKZ28" i="3"/>
  <c r="TLM28" i="3"/>
  <c r="TMQ28" i="3" s="1"/>
  <c r="TLF28" i="3"/>
  <c r="TKT28" i="3"/>
  <c r="TLX28" i="3" s="1"/>
  <c r="TNB28" i="3" s="1"/>
  <c r="TOF28" i="3" s="1"/>
  <c r="TPJ28" i="3" s="1"/>
  <c r="TKM28" i="3"/>
  <c r="TKN28" i="3"/>
  <c r="TLR28" i="3" s="1"/>
  <c r="TMV28" i="3" s="1"/>
  <c r="TNZ28" i="3" s="1"/>
  <c r="TPD28" i="3" s="1"/>
  <c r="TKG28" i="3"/>
  <c r="TKO28" i="3"/>
  <c r="TLS28" i="3" s="1"/>
  <c r="TMW28" i="3" s="1"/>
  <c r="TKH28" i="3"/>
  <c r="TMJ28" i="3" l="1"/>
  <c r="TNN28" i="3" s="1"/>
  <c r="TMC28" i="3"/>
  <c r="TLL28" i="3"/>
  <c r="TMP28" i="3" s="1"/>
  <c r="TNT28" i="3" s="1"/>
  <c r="TLE28" i="3"/>
  <c r="TLQ28" i="3"/>
  <c r="TMU28" i="3" s="1"/>
  <c r="TNY28" i="3" s="1"/>
  <c r="TPC28" i="3" s="1"/>
  <c r="TQG28" i="3" s="1"/>
  <c r="TLJ28" i="3"/>
  <c r="TMD28" i="3"/>
  <c r="TNH28" i="3" s="1"/>
  <c r="TOL28" i="3" s="1"/>
  <c r="TLW28" i="3"/>
  <c r="TLK28" i="3"/>
  <c r="TMO28" i="3" s="1"/>
  <c r="TNS28" i="3" s="1"/>
  <c r="TOW28" i="3" s="1"/>
  <c r="TQA28" i="3" s="1"/>
  <c r="TLD28" i="3"/>
  <c r="TMH28" i="3" l="1"/>
  <c r="TNL28" i="3" s="1"/>
  <c r="TOP28" i="3" s="1"/>
  <c r="TPT28" i="3" s="1"/>
  <c r="TQX28" i="3" s="1"/>
  <c r="TMA28" i="3"/>
  <c r="TMN28" i="3"/>
  <c r="TNR28" i="3" s="1"/>
  <c r="TOV28" i="3" s="1"/>
  <c r="TPZ28" i="3" s="1"/>
  <c r="TRD28" i="3" s="1"/>
  <c r="TMG28" i="3"/>
  <c r="TNA28" i="3"/>
  <c r="TOE28" i="3" s="1"/>
  <c r="TPI28" i="3" s="1"/>
  <c r="TMT28" i="3"/>
  <c r="TNG28" i="3"/>
  <c r="TOK28" i="3" s="1"/>
  <c r="TMZ28" i="3"/>
  <c r="TMI28" i="3"/>
  <c r="TNM28" i="3" s="1"/>
  <c r="TOQ28" i="3" s="1"/>
  <c r="TMB28" i="3"/>
  <c r="TOD28" i="3" l="1"/>
  <c r="TPH28" i="3" s="1"/>
  <c r="TNW28" i="3"/>
  <c r="TNF28" i="3"/>
  <c r="TOJ28" i="3" s="1"/>
  <c r="TPN28" i="3" s="1"/>
  <c r="TMY28" i="3"/>
  <c r="TNK28" i="3"/>
  <c r="TOO28" i="3" s="1"/>
  <c r="TPS28" i="3" s="1"/>
  <c r="TQW28" i="3" s="1"/>
  <c r="TSA28" i="3" s="1"/>
  <c r="TND28" i="3"/>
  <c r="TNX28" i="3"/>
  <c r="TPB28" i="3" s="1"/>
  <c r="TQF28" i="3" s="1"/>
  <c r="TNQ28" i="3"/>
  <c r="TNE28" i="3"/>
  <c r="TOI28" i="3" s="1"/>
  <c r="TPM28" i="3" s="1"/>
  <c r="TQQ28" i="3" s="1"/>
  <c r="TRU28" i="3" s="1"/>
  <c r="TMX28" i="3"/>
  <c r="TOU28" i="3" l="1"/>
  <c r="TPY28" i="3" s="1"/>
  <c r="TRC28" i="3" s="1"/>
  <c r="TON28" i="3"/>
  <c r="TOC28" i="3"/>
  <c r="TPG28" i="3" s="1"/>
  <c r="TQK28" i="3" s="1"/>
  <c r="TNV28" i="3"/>
  <c r="TOB28" i="3"/>
  <c r="TPF28" i="3" s="1"/>
  <c r="TQJ28" i="3" s="1"/>
  <c r="TRN28" i="3" s="1"/>
  <c r="TSR28" i="3" s="1"/>
  <c r="TNU28" i="3"/>
  <c r="TOH28" i="3"/>
  <c r="TPL28" i="3" s="1"/>
  <c r="TQP28" i="3" s="1"/>
  <c r="TRT28" i="3" s="1"/>
  <c r="TSX28" i="3" s="1"/>
  <c r="TOA28" i="3"/>
  <c r="TPA28" i="3"/>
  <c r="TQE28" i="3" s="1"/>
  <c r="TOT28" i="3"/>
  <c r="TOZ28" i="3" l="1"/>
  <c r="TQD28" i="3" s="1"/>
  <c r="TRH28" i="3" s="1"/>
  <c r="TOS28" i="3"/>
  <c r="TPE28" i="3"/>
  <c r="TQI28" i="3" s="1"/>
  <c r="TRM28" i="3" s="1"/>
  <c r="TSQ28" i="3" s="1"/>
  <c r="TTU28" i="3" s="1"/>
  <c r="TOX28" i="3"/>
  <c r="TPR28" i="3"/>
  <c r="TQV28" i="3" s="1"/>
  <c r="TRZ28" i="3" s="1"/>
  <c r="TPK28" i="3"/>
  <c r="TPX28" i="3"/>
  <c r="TRB28" i="3" s="1"/>
  <c r="TPQ28" i="3"/>
  <c r="TOY28" i="3"/>
  <c r="TQC28" i="3" s="1"/>
  <c r="TRG28" i="3" s="1"/>
  <c r="TSK28" i="3" s="1"/>
  <c r="TTO28" i="3" s="1"/>
  <c r="TOR28" i="3"/>
  <c r="TQU28" i="3" l="1"/>
  <c r="TRY28" i="3" s="1"/>
  <c r="TQN28" i="3"/>
  <c r="TPW28" i="3"/>
  <c r="TRA28" i="3" s="1"/>
  <c r="TSE28" i="3" s="1"/>
  <c r="TPP28" i="3"/>
  <c r="TPV28" i="3"/>
  <c r="TQZ28" i="3" s="1"/>
  <c r="TSD28" i="3" s="1"/>
  <c r="TTH28" i="3" s="1"/>
  <c r="TUL28" i="3" s="1"/>
  <c r="TPO28" i="3"/>
  <c r="TQO28" i="3"/>
  <c r="TRS28" i="3" s="1"/>
  <c r="TSW28" i="3" s="1"/>
  <c r="TQH28" i="3"/>
  <c r="TQB28" i="3"/>
  <c r="TRF28" i="3" s="1"/>
  <c r="TSJ28" i="3" s="1"/>
  <c r="TTN28" i="3" s="1"/>
  <c r="TUR28" i="3" s="1"/>
  <c r="TPU28" i="3"/>
  <c r="TRR28" i="3" l="1"/>
  <c r="TSV28" i="3" s="1"/>
  <c r="TRK28" i="3"/>
  <c r="TRL28" i="3"/>
  <c r="TSP28" i="3" s="1"/>
  <c r="TTT28" i="3" s="1"/>
  <c r="TRE28" i="3"/>
  <c r="TQT28" i="3"/>
  <c r="TRX28" i="3" s="1"/>
  <c r="TTB28" i="3" s="1"/>
  <c r="TQM28" i="3"/>
  <c r="TQY28" i="3"/>
  <c r="TSC28" i="3" s="1"/>
  <c r="TTG28" i="3" s="1"/>
  <c r="TUK28" i="3" s="1"/>
  <c r="TVO28" i="3" s="1"/>
  <c r="TQR28" i="3"/>
  <c r="TQS28" i="3"/>
  <c r="TRW28" i="3" s="1"/>
  <c r="TTA28" i="3" s="1"/>
  <c r="TUE28" i="3" s="1"/>
  <c r="TVI28" i="3" s="1"/>
  <c r="TQL28" i="3"/>
  <c r="TRP28" i="3" l="1"/>
  <c r="TST28" i="3" s="1"/>
  <c r="TTX28" i="3" s="1"/>
  <c r="TVB28" i="3" s="1"/>
  <c r="TWF28" i="3" s="1"/>
  <c r="TRI28" i="3"/>
  <c r="TRV28" i="3"/>
  <c r="TSZ28" i="3" s="1"/>
  <c r="TUD28" i="3" s="1"/>
  <c r="TVH28" i="3" s="1"/>
  <c r="TWL28" i="3" s="1"/>
  <c r="TRO28" i="3"/>
  <c r="TRQ28" i="3"/>
  <c r="TSU28" i="3" s="1"/>
  <c r="TTY28" i="3" s="1"/>
  <c r="TRJ28" i="3"/>
  <c r="TSI28" i="3"/>
  <c r="TTM28" i="3" s="1"/>
  <c r="TUQ28" i="3" s="1"/>
  <c r="TSB28" i="3"/>
  <c r="TSO28" i="3"/>
  <c r="TTS28" i="3" s="1"/>
  <c r="TSH28" i="3"/>
  <c r="TTF28" i="3" l="1"/>
  <c r="TUJ28" i="3" s="1"/>
  <c r="TVN28" i="3" s="1"/>
  <c r="TSY28" i="3"/>
  <c r="TSS28" i="3"/>
  <c r="TTW28" i="3" s="1"/>
  <c r="TVA28" i="3" s="1"/>
  <c r="TWE28" i="3" s="1"/>
  <c r="TXI28" i="3" s="1"/>
  <c r="TSL28" i="3"/>
  <c r="TTL28" i="3"/>
  <c r="TUP28" i="3" s="1"/>
  <c r="TTE28" i="3"/>
  <c r="TSN28" i="3"/>
  <c r="TTR28" i="3" s="1"/>
  <c r="TUV28" i="3" s="1"/>
  <c r="TSG28" i="3"/>
  <c r="TSM28" i="3"/>
  <c r="TTQ28" i="3" s="1"/>
  <c r="TUU28" i="3" s="1"/>
  <c r="TVY28" i="3" s="1"/>
  <c r="TXC28" i="3" s="1"/>
  <c r="TSF28" i="3"/>
  <c r="TTJ28" i="3" l="1"/>
  <c r="TUN28" i="3" s="1"/>
  <c r="TVR28" i="3" s="1"/>
  <c r="TWV28" i="3" s="1"/>
  <c r="TXZ28" i="3" s="1"/>
  <c r="TTC28" i="3"/>
  <c r="TUC28" i="3"/>
  <c r="TVG28" i="3" s="1"/>
  <c r="TWK28" i="3" s="1"/>
  <c r="TTV28" i="3"/>
  <c r="TTK28" i="3"/>
  <c r="TUO28" i="3" s="1"/>
  <c r="TVS28" i="3" s="1"/>
  <c r="TTD28" i="3"/>
  <c r="TUI28" i="3"/>
  <c r="TVM28" i="3" s="1"/>
  <c r="TUB28" i="3"/>
  <c r="TTP28" i="3"/>
  <c r="TUT28" i="3" s="1"/>
  <c r="TVX28" i="3" s="1"/>
  <c r="TXB28" i="3" s="1"/>
  <c r="TYF28" i="3" s="1"/>
  <c r="TTI28" i="3"/>
  <c r="TVF28" i="3" l="1"/>
  <c r="TWJ28" i="3" s="1"/>
  <c r="TUY28" i="3"/>
  <c r="TUM28" i="3"/>
  <c r="TVQ28" i="3" s="1"/>
  <c r="TWU28" i="3" s="1"/>
  <c r="TXY28" i="3" s="1"/>
  <c r="TZC28" i="3" s="1"/>
  <c r="TUF28" i="3"/>
  <c r="TUZ28" i="3"/>
  <c r="TWD28" i="3" s="1"/>
  <c r="TXH28" i="3" s="1"/>
  <c r="TUS28" i="3"/>
  <c r="TUG28" i="3"/>
  <c r="TVK28" i="3" s="1"/>
  <c r="TWO28" i="3" s="1"/>
  <c r="TXS28" i="3" s="1"/>
  <c r="TYW28" i="3" s="1"/>
  <c r="TTZ28" i="3"/>
  <c r="TUH28" i="3"/>
  <c r="TVL28" i="3" s="1"/>
  <c r="TWP28" i="3" s="1"/>
  <c r="TUA28" i="3"/>
  <c r="TVD28" i="3" l="1"/>
  <c r="TWH28" i="3" s="1"/>
  <c r="TXL28" i="3" s="1"/>
  <c r="TYP28" i="3" s="1"/>
  <c r="TZT28" i="3" s="1"/>
  <c r="TUW28" i="3"/>
  <c r="TWC28" i="3"/>
  <c r="TXG28" i="3" s="1"/>
  <c r="TVV28" i="3"/>
  <c r="TVE28" i="3"/>
  <c r="TWI28" i="3" s="1"/>
  <c r="TXM28" i="3" s="1"/>
  <c r="TUX28" i="3"/>
  <c r="TVW28" i="3"/>
  <c r="TXA28" i="3" s="1"/>
  <c r="TYE28" i="3" s="1"/>
  <c r="TVP28" i="3"/>
  <c r="TVJ28" i="3"/>
  <c r="TWN28" i="3" s="1"/>
  <c r="TXR28" i="3" s="1"/>
  <c r="TYV28" i="3" s="1"/>
  <c r="TZZ28" i="3" s="1"/>
  <c r="TVC28" i="3"/>
  <c r="TWA28" i="3" l="1"/>
  <c r="TXE28" i="3" s="1"/>
  <c r="TYI28" i="3" s="1"/>
  <c r="TZM28" i="3" s="1"/>
  <c r="UAQ28" i="3" s="1"/>
  <c r="TVT28" i="3"/>
  <c r="TWT28" i="3"/>
  <c r="TXX28" i="3" s="1"/>
  <c r="TZB28" i="3" s="1"/>
  <c r="TWM28" i="3"/>
  <c r="TWZ28" i="3"/>
  <c r="TYD28" i="3" s="1"/>
  <c r="TWS28" i="3"/>
  <c r="TWG28" i="3"/>
  <c r="TXK28" i="3" s="1"/>
  <c r="TYO28" i="3" s="1"/>
  <c r="TZS28" i="3" s="1"/>
  <c r="UAW28" i="3" s="1"/>
  <c r="TVZ28" i="3"/>
  <c r="TWB28" i="3"/>
  <c r="TXF28" i="3" s="1"/>
  <c r="TYJ28" i="3" s="1"/>
  <c r="TVU28" i="3"/>
  <c r="TXQ28" i="3" l="1"/>
  <c r="TYU28" i="3" s="1"/>
  <c r="TZY28" i="3" s="1"/>
  <c r="TXJ28" i="3"/>
  <c r="TWY28" i="3"/>
  <c r="TYC28" i="3" s="1"/>
  <c r="TZG28" i="3" s="1"/>
  <c r="TWR28" i="3"/>
  <c r="TXW28" i="3"/>
  <c r="TZA28" i="3" s="1"/>
  <c r="TXP28" i="3"/>
  <c r="TWX28" i="3"/>
  <c r="TYB28" i="3" s="1"/>
  <c r="TZF28" i="3" s="1"/>
  <c r="UAJ28" i="3" s="1"/>
  <c r="UBN28" i="3" s="1"/>
  <c r="TWQ28" i="3"/>
  <c r="TXD28" i="3"/>
  <c r="TYH28" i="3" s="1"/>
  <c r="TZL28" i="3" s="1"/>
  <c r="UAP28" i="3" s="1"/>
  <c r="UBT28" i="3" s="1"/>
  <c r="TWW28" i="3"/>
  <c r="TXU28" i="3" l="1"/>
  <c r="TYY28" i="3" s="1"/>
  <c r="UAC28" i="3" s="1"/>
  <c r="UBG28" i="3" s="1"/>
  <c r="UCK28" i="3" s="1"/>
  <c r="TXN28" i="3"/>
  <c r="TXV28" i="3"/>
  <c r="TYZ28" i="3" s="1"/>
  <c r="UAD28" i="3" s="1"/>
  <c r="TXO28" i="3"/>
  <c r="TYA28" i="3"/>
  <c r="TZE28" i="3" s="1"/>
  <c r="UAI28" i="3" s="1"/>
  <c r="UBM28" i="3" s="1"/>
  <c r="UCQ28" i="3" s="1"/>
  <c r="TXT28" i="3"/>
  <c r="TYN28" i="3"/>
  <c r="TZR28" i="3" s="1"/>
  <c r="UAV28" i="3" s="1"/>
  <c r="TYG28" i="3"/>
  <c r="TYT28" i="3"/>
  <c r="TZX28" i="3" s="1"/>
  <c r="TYM28" i="3"/>
  <c r="TZK28" i="3" l="1"/>
  <c r="UAO28" i="3" s="1"/>
  <c r="UBS28" i="3" s="1"/>
  <c r="TZD28" i="3"/>
  <c r="TYS28" i="3"/>
  <c r="TZW28" i="3" s="1"/>
  <c r="UBA28" i="3" s="1"/>
  <c r="TYL28" i="3"/>
  <c r="TZQ28" i="3"/>
  <c r="UAU28" i="3" s="1"/>
  <c r="TZJ28" i="3"/>
  <c r="TYX28" i="3"/>
  <c r="UAB28" i="3" s="1"/>
  <c r="UBF28" i="3" s="1"/>
  <c r="UCJ28" i="3" s="1"/>
  <c r="UDN28" i="3" s="1"/>
  <c r="TYQ28" i="3"/>
  <c r="TYR28" i="3"/>
  <c r="TZV28" i="3" s="1"/>
  <c r="UAZ28" i="3" s="1"/>
  <c r="UCD28" i="3" s="1"/>
  <c r="UDH28" i="3" s="1"/>
  <c r="TYK28" i="3"/>
  <c r="UAH28" i="3" l="1"/>
  <c r="UBL28" i="3" s="1"/>
  <c r="UCP28" i="3" s="1"/>
  <c r="UAA28" i="3"/>
  <c r="UAN28" i="3"/>
  <c r="UBR28" i="3" s="1"/>
  <c r="UAG28" i="3"/>
  <c r="TZP28" i="3"/>
  <c r="UAT28" i="3" s="1"/>
  <c r="UBX28" i="3" s="1"/>
  <c r="TZI28" i="3"/>
  <c r="TZO28" i="3"/>
  <c r="UAS28" i="3" s="1"/>
  <c r="UBW28" i="3" s="1"/>
  <c r="UDA28" i="3" s="1"/>
  <c r="UEE28" i="3" s="1"/>
  <c r="TZH28" i="3"/>
  <c r="TZU28" i="3"/>
  <c r="UAY28" i="3" s="1"/>
  <c r="UCC28" i="3" s="1"/>
  <c r="UDG28" i="3" s="1"/>
  <c r="UEK28" i="3" s="1"/>
  <c r="TZN28" i="3"/>
  <c r="UAR28" i="3" l="1"/>
  <c r="UBV28" i="3" s="1"/>
  <c r="UCZ28" i="3" s="1"/>
  <c r="UED28" i="3" s="1"/>
  <c r="UFH28" i="3" s="1"/>
  <c r="UAK28" i="3"/>
  <c r="UAM28" i="3"/>
  <c r="UBQ28" i="3" s="1"/>
  <c r="UCU28" i="3" s="1"/>
  <c r="UAF28" i="3"/>
  <c r="UBE28" i="3"/>
  <c r="UCI28" i="3" s="1"/>
  <c r="UDM28" i="3" s="1"/>
  <c r="UAX28" i="3"/>
  <c r="UAL28" i="3"/>
  <c r="UBP28" i="3" s="1"/>
  <c r="UCT28" i="3" s="1"/>
  <c r="UDX28" i="3" s="1"/>
  <c r="UFB28" i="3" s="1"/>
  <c r="UAE28" i="3"/>
  <c r="UBK28" i="3"/>
  <c r="UCO28" i="3" s="1"/>
  <c r="UBD28" i="3"/>
  <c r="UCH28" i="3" l="1"/>
  <c r="UDL28" i="3" s="1"/>
  <c r="UCA28" i="3"/>
  <c r="UBJ28" i="3"/>
  <c r="UCN28" i="3" s="1"/>
  <c r="UDR28" i="3" s="1"/>
  <c r="UBC28" i="3"/>
  <c r="UCB28" i="3"/>
  <c r="UDF28" i="3" s="1"/>
  <c r="UEJ28" i="3" s="1"/>
  <c r="UBU28" i="3"/>
  <c r="UBI28" i="3"/>
  <c r="UCM28" i="3" s="1"/>
  <c r="UDQ28" i="3" s="1"/>
  <c r="UEU28" i="3" s="1"/>
  <c r="UFY28" i="3" s="1"/>
  <c r="UBB28" i="3"/>
  <c r="UBO28" i="3"/>
  <c r="UCS28" i="3" s="1"/>
  <c r="UDW28" i="3" s="1"/>
  <c r="UFA28" i="3" s="1"/>
  <c r="UGE28" i="3" s="1"/>
  <c r="UBH28" i="3"/>
  <c r="UDE28" i="3" l="1"/>
  <c r="UEI28" i="3" s="1"/>
  <c r="UCX28" i="3"/>
  <c r="UCY28" i="3"/>
  <c r="UEC28" i="3" s="1"/>
  <c r="UFG28" i="3" s="1"/>
  <c r="UCR28" i="3"/>
  <c r="UCF28" i="3"/>
  <c r="UDJ28" i="3" s="1"/>
  <c r="UEN28" i="3" s="1"/>
  <c r="UFR28" i="3" s="1"/>
  <c r="UGV28" i="3" s="1"/>
  <c r="UBY28" i="3"/>
  <c r="UCG28" i="3"/>
  <c r="UDK28" i="3" s="1"/>
  <c r="UEO28" i="3" s="1"/>
  <c r="UBZ28" i="3"/>
  <c r="UCL28" i="3"/>
  <c r="UDP28" i="3" s="1"/>
  <c r="UET28" i="3" s="1"/>
  <c r="UFX28" i="3" s="1"/>
  <c r="UHB28" i="3" s="1"/>
  <c r="UCE28" i="3"/>
  <c r="UDD28" i="3" l="1"/>
  <c r="UEH28" i="3" s="1"/>
  <c r="UFL28" i="3" s="1"/>
  <c r="UCW28" i="3"/>
  <c r="UDV28" i="3"/>
  <c r="UEZ28" i="3" s="1"/>
  <c r="UGD28" i="3" s="1"/>
  <c r="UDO28" i="3"/>
  <c r="UDI28" i="3"/>
  <c r="UEM28" i="3" s="1"/>
  <c r="UFQ28" i="3" s="1"/>
  <c r="UGU28" i="3" s="1"/>
  <c r="UHY28" i="3" s="1"/>
  <c r="UDB28" i="3"/>
  <c r="UDC28" i="3"/>
  <c r="UEG28" i="3" s="1"/>
  <c r="UFK28" i="3" s="1"/>
  <c r="UGO28" i="3" s="1"/>
  <c r="UHS28" i="3" s="1"/>
  <c r="UCV28" i="3"/>
  <c r="UEB28" i="3"/>
  <c r="UFF28" i="3" s="1"/>
  <c r="UDU28" i="3"/>
  <c r="UES28" i="3" l="1"/>
  <c r="UFW28" i="3" s="1"/>
  <c r="UHA28" i="3" s="1"/>
  <c r="UEL28" i="3"/>
  <c r="UDZ28" i="3"/>
  <c r="UFD28" i="3" s="1"/>
  <c r="UGH28" i="3" s="1"/>
  <c r="UHL28" i="3" s="1"/>
  <c r="UIP28" i="3" s="1"/>
  <c r="UDS28" i="3"/>
  <c r="UEF28" i="3"/>
  <c r="UFJ28" i="3" s="1"/>
  <c r="UGN28" i="3" s="1"/>
  <c r="UHR28" i="3" s="1"/>
  <c r="UIV28" i="3" s="1"/>
  <c r="UDY28" i="3"/>
  <c r="UEA28" i="3"/>
  <c r="UFE28" i="3" s="1"/>
  <c r="UGI28" i="3" s="1"/>
  <c r="UDT28" i="3"/>
  <c r="UEY28" i="3"/>
  <c r="UGC28" i="3" s="1"/>
  <c r="UER28" i="3"/>
  <c r="UEX28" i="3" l="1"/>
  <c r="UGB28" i="3" s="1"/>
  <c r="UHF28" i="3" s="1"/>
  <c r="UEQ28" i="3"/>
  <c r="UFP28" i="3"/>
  <c r="UGT28" i="3" s="1"/>
  <c r="UHX28" i="3" s="1"/>
  <c r="UFI28" i="3"/>
  <c r="UFV28" i="3"/>
  <c r="UGZ28" i="3" s="1"/>
  <c r="UFO28" i="3"/>
  <c r="UFC28" i="3"/>
  <c r="UGG28" i="3" s="1"/>
  <c r="UHK28" i="3" s="1"/>
  <c r="UIO28" i="3" s="1"/>
  <c r="UJS28" i="3" s="1"/>
  <c r="UEV28" i="3"/>
  <c r="UEW28" i="3"/>
  <c r="UGA28" i="3" s="1"/>
  <c r="UHE28" i="3" s="1"/>
  <c r="UII28" i="3" s="1"/>
  <c r="UJM28" i="3" s="1"/>
  <c r="UEP28" i="3"/>
  <c r="UFZ28" i="3" l="1"/>
  <c r="UHD28" i="3" s="1"/>
  <c r="UIH28" i="3" s="1"/>
  <c r="UJL28" i="3" s="1"/>
  <c r="UKP28" i="3" s="1"/>
  <c r="UFS28" i="3"/>
  <c r="UFU28" i="3"/>
  <c r="UGY28" i="3" s="1"/>
  <c r="UIC28" i="3" s="1"/>
  <c r="UFN28" i="3"/>
  <c r="UFT28" i="3"/>
  <c r="UGX28" i="3" s="1"/>
  <c r="UIB28" i="3" s="1"/>
  <c r="UJF28" i="3" s="1"/>
  <c r="UKJ28" i="3" s="1"/>
  <c r="UFM28" i="3"/>
  <c r="UGS28" i="3"/>
  <c r="UHW28" i="3" s="1"/>
  <c r="UGL28" i="3"/>
  <c r="UGM28" i="3"/>
  <c r="UHQ28" i="3" s="1"/>
  <c r="UIU28" i="3" s="1"/>
  <c r="UGF28" i="3"/>
  <c r="UGQ28" i="3" l="1"/>
  <c r="UHU28" i="3" s="1"/>
  <c r="UIY28" i="3" s="1"/>
  <c r="UKC28" i="3" s="1"/>
  <c r="ULG28" i="3" s="1"/>
  <c r="UGJ28" i="3"/>
  <c r="UHJ28" i="3"/>
  <c r="UIN28" i="3" s="1"/>
  <c r="UJR28" i="3" s="1"/>
  <c r="UHC28" i="3"/>
  <c r="UHP28" i="3"/>
  <c r="UIT28" i="3" s="1"/>
  <c r="UHI28" i="3"/>
  <c r="UGR28" i="3"/>
  <c r="UHV28" i="3" s="1"/>
  <c r="UIZ28" i="3" s="1"/>
  <c r="UGK28" i="3"/>
  <c r="UGW28" i="3"/>
  <c r="UIA28" i="3" s="1"/>
  <c r="UJE28" i="3" s="1"/>
  <c r="UKI28" i="3" s="1"/>
  <c r="ULM28" i="3" s="1"/>
  <c r="UGP28" i="3"/>
  <c r="UHO28" i="3" l="1"/>
  <c r="UIS28" i="3" s="1"/>
  <c r="UJW28" i="3" s="1"/>
  <c r="UHH28" i="3"/>
  <c r="UHN28" i="3"/>
  <c r="UIR28" i="3" s="1"/>
  <c r="UJV28" i="3" s="1"/>
  <c r="UKZ28" i="3" s="1"/>
  <c r="UMD28" i="3" s="1"/>
  <c r="UHG28" i="3"/>
  <c r="UHT28" i="3"/>
  <c r="UIX28" i="3" s="1"/>
  <c r="UKB28" i="3" s="1"/>
  <c r="ULF28" i="3" s="1"/>
  <c r="UMJ28" i="3" s="1"/>
  <c r="UHM28" i="3"/>
  <c r="UIM28" i="3"/>
  <c r="UJQ28" i="3" s="1"/>
  <c r="UIF28" i="3"/>
  <c r="UIG28" i="3"/>
  <c r="UJK28" i="3" s="1"/>
  <c r="UKO28" i="3" s="1"/>
  <c r="UHZ28" i="3"/>
  <c r="UIQ28" i="3" l="1"/>
  <c r="UJU28" i="3" s="1"/>
  <c r="UKY28" i="3" s="1"/>
  <c r="UMC28" i="3" s="1"/>
  <c r="UNG28" i="3" s="1"/>
  <c r="UIJ28" i="3"/>
  <c r="UIL28" i="3"/>
  <c r="UJP28" i="3" s="1"/>
  <c r="UKT28" i="3" s="1"/>
  <c r="UIE28" i="3"/>
  <c r="UJD28" i="3"/>
  <c r="UKH28" i="3" s="1"/>
  <c r="ULL28" i="3" s="1"/>
  <c r="UIW28" i="3"/>
  <c r="UJJ28" i="3"/>
  <c r="UKN28" i="3" s="1"/>
  <c r="UJC28" i="3"/>
  <c r="UIK28" i="3"/>
  <c r="UJO28" i="3" s="1"/>
  <c r="UKS28" i="3" s="1"/>
  <c r="ULW28" i="3" s="1"/>
  <c r="UNA28" i="3" s="1"/>
  <c r="UID28" i="3"/>
  <c r="UKA28" i="3" l="1"/>
  <c r="ULE28" i="3" s="1"/>
  <c r="UMI28" i="3" s="1"/>
  <c r="UJT28" i="3"/>
  <c r="UJH28" i="3"/>
  <c r="UKL28" i="3" s="1"/>
  <c r="ULP28" i="3" s="1"/>
  <c r="UMT28" i="3" s="1"/>
  <c r="UNX28" i="3" s="1"/>
  <c r="UJA28" i="3"/>
  <c r="UKG28" i="3"/>
  <c r="ULK28" i="3" s="1"/>
  <c r="UJZ28" i="3"/>
  <c r="UJI28" i="3"/>
  <c r="UKM28" i="3" s="1"/>
  <c r="ULQ28" i="3" s="1"/>
  <c r="UJB28" i="3"/>
  <c r="UJN28" i="3"/>
  <c r="UKR28" i="3" s="1"/>
  <c r="ULV28" i="3" s="1"/>
  <c r="UMZ28" i="3" s="1"/>
  <c r="UOD28" i="3" s="1"/>
  <c r="UJG28" i="3"/>
  <c r="UKF28" i="3" l="1"/>
  <c r="ULJ28" i="3" s="1"/>
  <c r="UMN28" i="3" s="1"/>
  <c r="UJY28" i="3"/>
  <c r="UKX28" i="3"/>
  <c r="UMB28" i="3" s="1"/>
  <c r="UNF28" i="3" s="1"/>
  <c r="UKQ28" i="3"/>
  <c r="UKK28" i="3"/>
  <c r="ULO28" i="3" s="1"/>
  <c r="UMS28" i="3" s="1"/>
  <c r="UNW28" i="3" s="1"/>
  <c r="UPA28" i="3" s="1"/>
  <c r="UKD28" i="3"/>
  <c r="ULD28" i="3"/>
  <c r="UMH28" i="3" s="1"/>
  <c r="UKW28" i="3"/>
  <c r="UKE28" i="3"/>
  <c r="ULI28" i="3" s="1"/>
  <c r="UMM28" i="3" s="1"/>
  <c r="UNQ28" i="3" s="1"/>
  <c r="UOU28" i="3" s="1"/>
  <c r="UJX28" i="3"/>
  <c r="ULB28" i="3" l="1"/>
  <c r="UMF28" i="3" s="1"/>
  <c r="UNJ28" i="3" s="1"/>
  <c r="UON28" i="3" s="1"/>
  <c r="UPR28" i="3" s="1"/>
  <c r="UKU28" i="3"/>
  <c r="UMA28" i="3"/>
  <c r="UNE28" i="3" s="1"/>
  <c r="ULT28" i="3"/>
  <c r="ULC28" i="3"/>
  <c r="UMG28" i="3" s="1"/>
  <c r="UNK28" i="3" s="1"/>
  <c r="UKV28" i="3"/>
  <c r="ULH28" i="3"/>
  <c r="UML28" i="3" s="1"/>
  <c r="UNP28" i="3" s="1"/>
  <c r="UOT28" i="3" s="1"/>
  <c r="UPX28" i="3" s="1"/>
  <c r="ULA28" i="3"/>
  <c r="ULU28" i="3"/>
  <c r="UMY28" i="3" s="1"/>
  <c r="UOC28" i="3" s="1"/>
  <c r="ULN28" i="3"/>
  <c r="UME28" i="3" l="1"/>
  <c r="UNI28" i="3" s="1"/>
  <c r="UOM28" i="3" s="1"/>
  <c r="UPQ28" i="3" s="1"/>
  <c r="UQU28" i="3" s="1"/>
  <c r="ULX28" i="3"/>
  <c r="ULZ28" i="3"/>
  <c r="UND28" i="3" s="1"/>
  <c r="UOH28" i="3" s="1"/>
  <c r="ULS28" i="3"/>
  <c r="UMR28" i="3"/>
  <c r="UNV28" i="3" s="1"/>
  <c r="UOZ28" i="3" s="1"/>
  <c r="UMK28" i="3"/>
  <c r="ULY28" i="3"/>
  <c r="UNC28" i="3" s="1"/>
  <c r="UOG28" i="3" s="1"/>
  <c r="UPK28" i="3" s="1"/>
  <c r="UQO28" i="3" s="1"/>
  <c r="ULR28" i="3"/>
  <c r="UMX28" i="3"/>
  <c r="UOB28" i="3" s="1"/>
  <c r="UMQ28" i="3"/>
  <c r="UNO28" i="3" l="1"/>
  <c r="UOS28" i="3" s="1"/>
  <c r="UPW28" i="3" s="1"/>
  <c r="UNH28" i="3"/>
  <c r="UNU28" i="3"/>
  <c r="UOY28" i="3" s="1"/>
  <c r="UNN28" i="3"/>
  <c r="UMV28" i="3"/>
  <c r="UNZ28" i="3" s="1"/>
  <c r="UPD28" i="3" s="1"/>
  <c r="UQH28" i="3" s="1"/>
  <c r="URL28" i="3" s="1"/>
  <c r="UMO28" i="3"/>
  <c r="UNB28" i="3"/>
  <c r="UOF28" i="3" s="1"/>
  <c r="UPJ28" i="3" s="1"/>
  <c r="UQN28" i="3" s="1"/>
  <c r="URR28" i="3" s="1"/>
  <c r="UMU28" i="3"/>
  <c r="UMW28" i="3"/>
  <c r="UOA28" i="3" s="1"/>
  <c r="UPE28" i="3" s="1"/>
  <c r="UMP28" i="3"/>
  <c r="UNS28" i="3" l="1"/>
  <c r="UOW28" i="3" s="1"/>
  <c r="UQA28" i="3" s="1"/>
  <c r="URE28" i="3" s="1"/>
  <c r="USI28" i="3" s="1"/>
  <c r="UNL28" i="3"/>
  <c r="UNT28" i="3"/>
  <c r="UOX28" i="3" s="1"/>
  <c r="UQB28" i="3" s="1"/>
  <c r="UNM28" i="3"/>
  <c r="UNY28" i="3"/>
  <c r="UPC28" i="3" s="1"/>
  <c r="UQG28" i="3" s="1"/>
  <c r="URK28" i="3" s="1"/>
  <c r="USO28" i="3" s="1"/>
  <c r="UNR28" i="3"/>
  <c r="UOL28" i="3"/>
  <c r="UPP28" i="3" s="1"/>
  <c r="UQT28" i="3" s="1"/>
  <c r="UOE28" i="3"/>
  <c r="UOR28" i="3"/>
  <c r="UPV28" i="3" s="1"/>
  <c r="UOK28" i="3"/>
  <c r="UOQ28" i="3" l="1"/>
  <c r="UPU28" i="3" s="1"/>
  <c r="UQY28" i="3" s="1"/>
  <c r="UOJ28" i="3"/>
  <c r="UPI28" i="3"/>
  <c r="UQM28" i="3" s="1"/>
  <c r="URQ28" i="3" s="1"/>
  <c r="UPB28" i="3"/>
  <c r="UPO28" i="3"/>
  <c r="UQS28" i="3" s="1"/>
  <c r="UPH28" i="3"/>
  <c r="UOV28" i="3"/>
  <c r="UPZ28" i="3" s="1"/>
  <c r="URD28" i="3" s="1"/>
  <c r="USH28" i="3" s="1"/>
  <c r="UTL28" i="3" s="1"/>
  <c r="UOO28" i="3"/>
  <c r="UOP28" i="3"/>
  <c r="UPT28" i="3" s="1"/>
  <c r="UQX28" i="3" s="1"/>
  <c r="USB28" i="3" s="1"/>
  <c r="UTF28" i="3" s="1"/>
  <c r="UOI28" i="3"/>
  <c r="UPS28" i="3" l="1"/>
  <c r="UQW28" i="3" s="1"/>
  <c r="USA28" i="3" s="1"/>
  <c r="UTE28" i="3" s="1"/>
  <c r="UUI28" i="3" s="1"/>
  <c r="UPL28" i="3"/>
  <c r="UQF28" i="3"/>
  <c r="URJ28" i="3" s="1"/>
  <c r="USN28" i="3" s="1"/>
  <c r="UPY28" i="3"/>
  <c r="UPN28" i="3"/>
  <c r="UQR28" i="3" s="1"/>
  <c r="URV28" i="3" s="1"/>
  <c r="UPG28" i="3"/>
  <c r="UPM28" i="3"/>
  <c r="UQQ28" i="3" s="1"/>
  <c r="URU28" i="3" s="1"/>
  <c r="USY28" i="3" s="1"/>
  <c r="UUC28" i="3" s="1"/>
  <c r="UPF28" i="3"/>
  <c r="UQL28" i="3"/>
  <c r="URP28" i="3" s="1"/>
  <c r="UQE28" i="3"/>
  <c r="UQP28" i="3" l="1"/>
  <c r="URT28" i="3" s="1"/>
  <c r="USX28" i="3" s="1"/>
  <c r="UUB28" i="3" s="1"/>
  <c r="UVF28" i="3" s="1"/>
  <c r="UQI28" i="3"/>
  <c r="URI28" i="3"/>
  <c r="USM28" i="3" s="1"/>
  <c r="URB28" i="3"/>
  <c r="UQK28" i="3"/>
  <c r="URO28" i="3" s="1"/>
  <c r="USS28" i="3" s="1"/>
  <c r="UQD28" i="3"/>
  <c r="UQJ28" i="3"/>
  <c r="URN28" i="3" s="1"/>
  <c r="USR28" i="3" s="1"/>
  <c r="UTV28" i="3" s="1"/>
  <c r="UUZ28" i="3" s="1"/>
  <c r="UQC28" i="3"/>
  <c r="URC28" i="3"/>
  <c r="USG28" i="3" s="1"/>
  <c r="UTK28" i="3" s="1"/>
  <c r="UQV28" i="3"/>
  <c r="USF28" i="3" l="1"/>
  <c r="UTJ28" i="3" s="1"/>
  <c r="URY28" i="3"/>
  <c r="URM28" i="3"/>
  <c r="USQ28" i="3" s="1"/>
  <c r="UTU28" i="3" s="1"/>
  <c r="UUY28" i="3" s="1"/>
  <c r="UWC28" i="3" s="1"/>
  <c r="URF28" i="3"/>
  <c r="URZ28" i="3"/>
  <c r="UTD28" i="3" s="1"/>
  <c r="UUH28" i="3" s="1"/>
  <c r="URS28" i="3"/>
  <c r="URG28" i="3"/>
  <c r="USK28" i="3" s="1"/>
  <c r="UTO28" i="3" s="1"/>
  <c r="UUS28" i="3" s="1"/>
  <c r="UVW28" i="3" s="1"/>
  <c r="UQZ28" i="3"/>
  <c r="URH28" i="3"/>
  <c r="USL28" i="3" s="1"/>
  <c r="UTP28" i="3" s="1"/>
  <c r="URA28" i="3"/>
  <c r="UTC28" i="3" l="1"/>
  <c r="UUG28" i="3" s="1"/>
  <c r="USV28" i="3"/>
  <c r="USD28" i="3"/>
  <c r="UTH28" i="3" s="1"/>
  <c r="UUL28" i="3" s="1"/>
  <c r="UVP28" i="3" s="1"/>
  <c r="UWT28" i="3" s="1"/>
  <c r="URW28" i="3"/>
  <c r="USJ28" i="3"/>
  <c r="UTN28" i="3" s="1"/>
  <c r="UUR28" i="3" s="1"/>
  <c r="UVV28" i="3" s="1"/>
  <c r="UWZ28" i="3" s="1"/>
  <c r="USC28" i="3"/>
  <c r="USE28" i="3"/>
  <c r="UTI28" i="3" s="1"/>
  <c r="UUM28" i="3" s="1"/>
  <c r="URX28" i="3"/>
  <c r="USW28" i="3"/>
  <c r="UUA28" i="3" s="1"/>
  <c r="UVE28" i="3" s="1"/>
  <c r="USP28" i="3"/>
  <c r="UTG28" i="3" l="1"/>
  <c r="UUK28" i="3" s="1"/>
  <c r="UVO28" i="3" s="1"/>
  <c r="UWS28" i="3" s="1"/>
  <c r="UXW28" i="3" s="1"/>
  <c r="USZ28" i="3"/>
  <c r="UTZ28" i="3"/>
  <c r="UVD28" i="3" s="1"/>
  <c r="UTS28" i="3"/>
  <c r="UTT28" i="3"/>
  <c r="UUX28" i="3" s="1"/>
  <c r="UWB28" i="3" s="1"/>
  <c r="UTM28" i="3"/>
  <c r="UTA28" i="3"/>
  <c r="UUE28" i="3" s="1"/>
  <c r="UVI28" i="3" s="1"/>
  <c r="UWM28" i="3" s="1"/>
  <c r="UXQ28" i="3" s="1"/>
  <c r="UST28" i="3"/>
  <c r="UTB28" i="3"/>
  <c r="UUF28" i="3" s="1"/>
  <c r="UVJ28" i="3" s="1"/>
  <c r="USU28" i="3"/>
  <c r="UTX28" i="3" l="1"/>
  <c r="UVB28" i="3" s="1"/>
  <c r="UWF28" i="3" s="1"/>
  <c r="UXJ28" i="3" s="1"/>
  <c r="UYN28" i="3" s="1"/>
  <c r="UTQ28" i="3"/>
  <c r="UUW28" i="3"/>
  <c r="UWA28" i="3" s="1"/>
  <c r="UUP28" i="3"/>
  <c r="UTY28" i="3"/>
  <c r="UVC28" i="3" s="1"/>
  <c r="UWG28" i="3" s="1"/>
  <c r="UTR28" i="3"/>
  <c r="UUD28" i="3"/>
  <c r="UVH28" i="3" s="1"/>
  <c r="UWL28" i="3" s="1"/>
  <c r="UXP28" i="3" s="1"/>
  <c r="UYT28" i="3" s="1"/>
  <c r="UTW28" i="3"/>
  <c r="UUQ28" i="3"/>
  <c r="UVU28" i="3" s="1"/>
  <c r="UWY28" i="3" s="1"/>
  <c r="UUJ28" i="3"/>
  <c r="UUV28" i="3" l="1"/>
  <c r="UVZ28" i="3" s="1"/>
  <c r="UXD28" i="3" s="1"/>
  <c r="UUO28" i="3"/>
  <c r="UVT28" i="3"/>
  <c r="UWX28" i="3" s="1"/>
  <c r="UVM28" i="3"/>
  <c r="UVA28" i="3"/>
  <c r="UWE28" i="3" s="1"/>
  <c r="UXI28" i="3" s="1"/>
  <c r="UYM28" i="3" s="1"/>
  <c r="UZQ28" i="3" s="1"/>
  <c r="UUT28" i="3"/>
  <c r="UUU28" i="3"/>
  <c r="UVY28" i="3" s="1"/>
  <c r="UXC28" i="3" s="1"/>
  <c r="UYG28" i="3" s="1"/>
  <c r="UZK28" i="3" s="1"/>
  <c r="UUN28" i="3"/>
  <c r="UVN28" i="3"/>
  <c r="UWR28" i="3" s="1"/>
  <c r="UXV28" i="3" s="1"/>
  <c r="UVG28" i="3"/>
  <c r="UVS28" i="3" l="1"/>
  <c r="UWW28" i="3" s="1"/>
  <c r="UYA28" i="3" s="1"/>
  <c r="UVL28" i="3"/>
  <c r="UVR28" i="3"/>
  <c r="UWV28" i="3" s="1"/>
  <c r="UXZ28" i="3" s="1"/>
  <c r="UZD28" i="3" s="1"/>
  <c r="VAH28" i="3" s="1"/>
  <c r="UVK28" i="3"/>
  <c r="UWK28" i="3"/>
  <c r="UXO28" i="3" s="1"/>
  <c r="UYS28" i="3" s="1"/>
  <c r="UWD28" i="3"/>
  <c r="UVX28" i="3"/>
  <c r="UXB28" i="3" s="1"/>
  <c r="UYF28" i="3" s="1"/>
  <c r="UZJ28" i="3" s="1"/>
  <c r="VAN28" i="3" s="1"/>
  <c r="UVQ28" i="3"/>
  <c r="UWQ28" i="3"/>
  <c r="UXU28" i="3" s="1"/>
  <c r="UWJ28" i="3"/>
  <c r="UXN28" i="3" l="1"/>
  <c r="UYR28" i="3" s="1"/>
  <c r="UXG28" i="3"/>
  <c r="UWO28" i="3"/>
  <c r="UXS28" i="3" s="1"/>
  <c r="UYW28" i="3" s="1"/>
  <c r="VAA28" i="3" s="1"/>
  <c r="VBE28" i="3" s="1"/>
  <c r="UWH28" i="3"/>
  <c r="UWU28" i="3"/>
  <c r="UXY28" i="3" s="1"/>
  <c r="UZC28" i="3" s="1"/>
  <c r="VAG28" i="3" s="1"/>
  <c r="VBK28" i="3" s="1"/>
  <c r="UWN28" i="3"/>
  <c r="UXH28" i="3"/>
  <c r="UYL28" i="3" s="1"/>
  <c r="UZP28" i="3" s="1"/>
  <c r="UXA28" i="3"/>
  <c r="UWP28" i="3"/>
  <c r="UXT28" i="3" s="1"/>
  <c r="UYX28" i="3" s="1"/>
  <c r="UWI28" i="3"/>
  <c r="UXM28" i="3" l="1"/>
  <c r="UYQ28" i="3" s="1"/>
  <c r="UZU28" i="3" s="1"/>
  <c r="UXF28" i="3"/>
  <c r="UXR28" i="3"/>
  <c r="UYV28" i="3" s="1"/>
  <c r="UZZ28" i="3" s="1"/>
  <c r="VBD28" i="3" s="1"/>
  <c r="VCH28" i="3" s="1"/>
  <c r="UXK28" i="3"/>
  <c r="UXL28" i="3"/>
  <c r="UYP28" i="3" s="1"/>
  <c r="UZT28" i="3" s="1"/>
  <c r="VAX28" i="3" s="1"/>
  <c r="VCB28" i="3" s="1"/>
  <c r="UXE28" i="3"/>
  <c r="UYE28" i="3"/>
  <c r="UZI28" i="3" s="1"/>
  <c r="VAM28" i="3" s="1"/>
  <c r="UXX28" i="3"/>
  <c r="UYK28" i="3"/>
  <c r="UZO28" i="3" s="1"/>
  <c r="UYD28" i="3"/>
  <c r="UZH28" i="3" l="1"/>
  <c r="VAL28" i="3" s="1"/>
  <c r="UZA28" i="3"/>
  <c r="UYO28" i="3"/>
  <c r="UZS28" i="3" s="1"/>
  <c r="VAW28" i="3" s="1"/>
  <c r="VCA28" i="3" s="1"/>
  <c r="VDE28" i="3" s="1"/>
  <c r="UYH28" i="3"/>
  <c r="UZB28" i="3"/>
  <c r="VAF28" i="3" s="1"/>
  <c r="VBJ28" i="3" s="1"/>
  <c r="UYU28" i="3"/>
  <c r="UYI28" i="3"/>
  <c r="UZM28" i="3" s="1"/>
  <c r="VAQ28" i="3" s="1"/>
  <c r="VBU28" i="3" s="1"/>
  <c r="VCY28" i="3" s="1"/>
  <c r="UYB28" i="3"/>
  <c r="UYJ28" i="3"/>
  <c r="UZN28" i="3" s="1"/>
  <c r="VAR28" i="3" s="1"/>
  <c r="UYC28" i="3"/>
  <c r="UZF28" i="3" l="1"/>
  <c r="VAJ28" i="3" s="1"/>
  <c r="VBN28" i="3" s="1"/>
  <c r="VCR28" i="3" s="1"/>
  <c r="VDV28" i="3" s="1"/>
  <c r="UYY28" i="3"/>
  <c r="VAE28" i="3"/>
  <c r="VBI28" i="3" s="1"/>
  <c r="UZX28" i="3"/>
  <c r="UZG28" i="3"/>
  <c r="VAK28" i="3" s="1"/>
  <c r="VBO28" i="3" s="1"/>
  <c r="UYZ28" i="3"/>
  <c r="UZY28" i="3"/>
  <c r="VBC28" i="3" s="1"/>
  <c r="VCG28" i="3" s="1"/>
  <c r="UZR28" i="3"/>
  <c r="UZL28" i="3"/>
  <c r="VAP28" i="3" s="1"/>
  <c r="VBT28" i="3" s="1"/>
  <c r="VCX28" i="3" s="1"/>
  <c r="VEB28" i="3" s="1"/>
  <c r="UZE28" i="3"/>
  <c r="VAV28" i="3" l="1"/>
  <c r="VBZ28" i="3" s="1"/>
  <c r="VDD28" i="3" s="1"/>
  <c r="VAO28" i="3"/>
  <c r="VBB28" i="3"/>
  <c r="VCF28" i="3" s="1"/>
  <c r="VAU28" i="3"/>
  <c r="VAD28" i="3"/>
  <c r="VBH28" i="3" s="1"/>
  <c r="VCL28" i="3" s="1"/>
  <c r="UZW28" i="3"/>
  <c r="VAI28" i="3"/>
  <c r="VBM28" i="3" s="1"/>
  <c r="VCQ28" i="3" s="1"/>
  <c r="VDU28" i="3" s="1"/>
  <c r="VEY28" i="3" s="1"/>
  <c r="VAB28" i="3"/>
  <c r="VAC28" i="3"/>
  <c r="VBG28" i="3" s="1"/>
  <c r="VCK28" i="3" s="1"/>
  <c r="VDO28" i="3" s="1"/>
  <c r="VES28" i="3" s="1"/>
  <c r="UZV28" i="3"/>
  <c r="VBF28" i="3" l="1"/>
  <c r="VCJ28" i="3" s="1"/>
  <c r="VDN28" i="3" s="1"/>
  <c r="VER28" i="3" s="1"/>
  <c r="VFV28" i="3" s="1"/>
  <c r="VAY28" i="3"/>
  <c r="VBS28" i="3"/>
  <c r="VCW28" i="3" s="1"/>
  <c r="VEA28" i="3" s="1"/>
  <c r="VBL28" i="3"/>
  <c r="VAZ28" i="3"/>
  <c r="VCD28" i="3" s="1"/>
  <c r="VDH28" i="3" s="1"/>
  <c r="VEL28" i="3" s="1"/>
  <c r="VFP28" i="3" s="1"/>
  <c r="VAS28" i="3"/>
  <c r="VBA28" i="3"/>
  <c r="VCE28" i="3" s="1"/>
  <c r="VDI28" i="3" s="1"/>
  <c r="VAT28" i="3"/>
  <c r="VBY28" i="3"/>
  <c r="VDC28" i="3" s="1"/>
  <c r="VBR28" i="3"/>
  <c r="VCV28" i="3" l="1"/>
  <c r="VDZ28" i="3" s="1"/>
  <c r="VCO28" i="3"/>
  <c r="VCP28" i="3"/>
  <c r="VDT28" i="3" s="1"/>
  <c r="VEX28" i="3" s="1"/>
  <c r="VCI28" i="3"/>
  <c r="VBX28" i="3"/>
  <c r="VDB28" i="3" s="1"/>
  <c r="VEF28" i="3" s="1"/>
  <c r="VBQ28" i="3"/>
  <c r="VBW28" i="3"/>
  <c r="VDA28" i="3" s="1"/>
  <c r="VEE28" i="3" s="1"/>
  <c r="VFI28" i="3" s="1"/>
  <c r="VGM28" i="3" s="1"/>
  <c r="VBP28" i="3"/>
  <c r="VCC28" i="3"/>
  <c r="VDG28" i="3" s="1"/>
  <c r="VEK28" i="3" s="1"/>
  <c r="VFO28" i="3" s="1"/>
  <c r="VGS28" i="3" s="1"/>
  <c r="VBV28" i="3"/>
  <c r="VDS28" i="3" l="1"/>
  <c r="VEW28" i="3" s="1"/>
  <c r="VDL28" i="3"/>
  <c r="VCZ28" i="3"/>
  <c r="VED28" i="3" s="1"/>
  <c r="VFH28" i="3" s="1"/>
  <c r="VGL28" i="3" s="1"/>
  <c r="VHP28" i="3" s="1"/>
  <c r="VCS28" i="3"/>
  <c r="VCU28" i="3"/>
  <c r="VDY28" i="3" s="1"/>
  <c r="VFC28" i="3" s="1"/>
  <c r="VCN28" i="3"/>
  <c r="VDM28" i="3"/>
  <c r="VEQ28" i="3" s="1"/>
  <c r="VFU28" i="3" s="1"/>
  <c r="VDF28" i="3"/>
  <c r="VCT28" i="3"/>
  <c r="VDX28" i="3" s="1"/>
  <c r="VFB28" i="3" s="1"/>
  <c r="VGF28" i="3" s="1"/>
  <c r="VHJ28" i="3" s="1"/>
  <c r="VCM28" i="3"/>
  <c r="VDQ28" i="3" l="1"/>
  <c r="VEU28" i="3" s="1"/>
  <c r="VFY28" i="3" s="1"/>
  <c r="VHC28" i="3" s="1"/>
  <c r="VIG28" i="3" s="1"/>
  <c r="VDJ28" i="3"/>
  <c r="VEJ28" i="3"/>
  <c r="VFN28" i="3" s="1"/>
  <c r="VGR28" i="3" s="1"/>
  <c r="VEC28" i="3"/>
  <c r="VDR28" i="3"/>
  <c r="VEV28" i="3" s="1"/>
  <c r="VFZ28" i="3" s="1"/>
  <c r="VDK28" i="3"/>
  <c r="VEP28" i="3"/>
  <c r="VFT28" i="3" s="1"/>
  <c r="VEI28" i="3"/>
  <c r="VDW28" i="3"/>
  <c r="VFA28" i="3" s="1"/>
  <c r="VGE28" i="3" s="1"/>
  <c r="VHI28" i="3" s="1"/>
  <c r="VIM28" i="3" s="1"/>
  <c r="VDP28" i="3"/>
  <c r="VEO28" i="3" l="1"/>
  <c r="VFS28" i="3" s="1"/>
  <c r="VGW28" i="3" s="1"/>
  <c r="VEH28" i="3"/>
  <c r="VFG28" i="3"/>
  <c r="VGK28" i="3" s="1"/>
  <c r="VHO28" i="3" s="1"/>
  <c r="VEZ28" i="3"/>
  <c r="VET28" i="3"/>
  <c r="VFX28" i="3" s="1"/>
  <c r="VHB28" i="3" s="1"/>
  <c r="VIF28" i="3" s="1"/>
  <c r="VJJ28" i="3" s="1"/>
  <c r="VEM28" i="3"/>
  <c r="VFM28" i="3"/>
  <c r="VGQ28" i="3" s="1"/>
  <c r="VFF28" i="3"/>
  <c r="VEN28" i="3"/>
  <c r="VFR28" i="3" s="1"/>
  <c r="VGV28" i="3" s="1"/>
  <c r="VHZ28" i="3" s="1"/>
  <c r="VJD28" i="3" s="1"/>
  <c r="VEG28" i="3"/>
  <c r="VFK28" i="3" l="1"/>
  <c r="VGO28" i="3" s="1"/>
  <c r="VHS28" i="3" s="1"/>
  <c r="VIW28" i="3" s="1"/>
  <c r="VKA28" i="3" s="1"/>
  <c r="VFD28" i="3"/>
  <c r="VGJ28" i="3"/>
  <c r="VHN28" i="3" s="1"/>
  <c r="VGC28" i="3"/>
  <c r="VFQ28" i="3"/>
  <c r="VGU28" i="3" s="1"/>
  <c r="VHY28" i="3" s="1"/>
  <c r="VJC28" i="3" s="1"/>
  <c r="VKG28" i="3" s="1"/>
  <c r="VFJ28" i="3"/>
  <c r="VFL28" i="3"/>
  <c r="VGP28" i="3" s="1"/>
  <c r="VHT28" i="3" s="1"/>
  <c r="VFE28" i="3"/>
  <c r="VGD28" i="3"/>
  <c r="VHH28" i="3" s="1"/>
  <c r="VIL28" i="3" s="1"/>
  <c r="VFW28" i="3"/>
  <c r="VGN28" i="3" l="1"/>
  <c r="VHR28" i="3" s="1"/>
  <c r="VIV28" i="3" s="1"/>
  <c r="VJZ28" i="3" s="1"/>
  <c r="VLD28" i="3" s="1"/>
  <c r="VGG28" i="3"/>
  <c r="VHG28" i="3"/>
  <c r="VIK28" i="3" s="1"/>
  <c r="VGZ28" i="3"/>
  <c r="VHA28" i="3"/>
  <c r="VIE28" i="3" s="1"/>
  <c r="VJI28" i="3" s="1"/>
  <c r="VGT28" i="3"/>
  <c r="VGI28" i="3"/>
  <c r="VHM28" i="3" s="1"/>
  <c r="VIQ28" i="3" s="1"/>
  <c r="VGB28" i="3"/>
  <c r="VGH28" i="3"/>
  <c r="VHL28" i="3" s="1"/>
  <c r="VIP28" i="3" s="1"/>
  <c r="VJT28" i="3" s="1"/>
  <c r="VKX28" i="3" s="1"/>
  <c r="VGA28" i="3"/>
  <c r="VHE28" i="3" l="1"/>
  <c r="VII28" i="3" s="1"/>
  <c r="VJM28" i="3" s="1"/>
  <c r="VKQ28" i="3" s="1"/>
  <c r="VLU28" i="3" s="1"/>
  <c r="VGX28" i="3"/>
  <c r="VHF28" i="3"/>
  <c r="VIJ28" i="3" s="1"/>
  <c r="VJN28" i="3" s="1"/>
  <c r="VGY28" i="3"/>
  <c r="VHX28" i="3"/>
  <c r="VJB28" i="3" s="1"/>
  <c r="VKF28" i="3" s="1"/>
  <c r="VHQ28" i="3"/>
  <c r="VHK28" i="3"/>
  <c r="VIO28" i="3" s="1"/>
  <c r="VJS28" i="3" s="1"/>
  <c r="VKW28" i="3" s="1"/>
  <c r="VMA28" i="3" s="1"/>
  <c r="VHD28" i="3"/>
  <c r="VID28" i="3"/>
  <c r="VJH28" i="3" s="1"/>
  <c r="VHW28" i="3"/>
  <c r="VIH28" i="3" l="1"/>
  <c r="VJL28" i="3" s="1"/>
  <c r="VKP28" i="3" s="1"/>
  <c r="VLT28" i="3" s="1"/>
  <c r="VMX28" i="3" s="1"/>
  <c r="VIA28" i="3"/>
  <c r="VIB28" i="3"/>
  <c r="VJF28" i="3" s="1"/>
  <c r="VKJ28" i="3" s="1"/>
  <c r="VLN28" i="3" s="1"/>
  <c r="VMR28" i="3" s="1"/>
  <c r="VHU28" i="3"/>
  <c r="VIU28" i="3"/>
  <c r="VJY28" i="3" s="1"/>
  <c r="VLC28" i="3" s="1"/>
  <c r="VIN28" i="3"/>
  <c r="VIC28" i="3"/>
  <c r="VJG28" i="3" s="1"/>
  <c r="VKK28" i="3" s="1"/>
  <c r="VHV28" i="3"/>
  <c r="VJA28" i="3"/>
  <c r="VKE28" i="3" s="1"/>
  <c r="VIT28" i="3"/>
  <c r="VIZ28" i="3" l="1"/>
  <c r="VKD28" i="3" s="1"/>
  <c r="VLH28" i="3" s="1"/>
  <c r="VIS28" i="3"/>
  <c r="VJX28" i="3"/>
  <c r="VLB28" i="3" s="1"/>
  <c r="VJQ28" i="3"/>
  <c r="VJR28" i="3"/>
  <c r="VKV28" i="3" s="1"/>
  <c r="VLZ28" i="3" s="1"/>
  <c r="VJK28" i="3"/>
  <c r="VJE28" i="3"/>
  <c r="VKI28" i="3" s="1"/>
  <c r="VLM28" i="3" s="1"/>
  <c r="VMQ28" i="3" s="1"/>
  <c r="VNU28" i="3" s="1"/>
  <c r="VIX28" i="3"/>
  <c r="VIY28" i="3"/>
  <c r="VKC28" i="3" s="1"/>
  <c r="VLG28" i="3" s="1"/>
  <c r="VMK28" i="3" s="1"/>
  <c r="VNO28" i="3" s="1"/>
  <c r="VIR28" i="3"/>
  <c r="VKB28" i="3" l="1"/>
  <c r="VLF28" i="3" s="1"/>
  <c r="VMJ28" i="3" s="1"/>
  <c r="VNN28" i="3" s="1"/>
  <c r="VOR28" i="3" s="1"/>
  <c r="VJU28" i="3"/>
  <c r="VJV28" i="3"/>
  <c r="VKZ28" i="3" s="1"/>
  <c r="VMD28" i="3" s="1"/>
  <c r="VNH28" i="3" s="1"/>
  <c r="VOL28" i="3" s="1"/>
  <c r="VJO28" i="3"/>
  <c r="VKO28" i="3"/>
  <c r="VLS28" i="3" s="1"/>
  <c r="VMW28" i="3" s="1"/>
  <c r="VKH28" i="3"/>
  <c r="VKU28" i="3"/>
  <c r="VLY28" i="3" s="1"/>
  <c r="VKN28" i="3"/>
  <c r="VJW28" i="3"/>
  <c r="VLA28" i="3" s="1"/>
  <c r="VME28" i="3" s="1"/>
  <c r="VJP28" i="3"/>
  <c r="VLR28" i="3" l="1"/>
  <c r="VMV28" i="3" s="1"/>
  <c r="VLK28" i="3"/>
  <c r="VLL28" i="3"/>
  <c r="VMP28" i="3" s="1"/>
  <c r="VNT28" i="3" s="1"/>
  <c r="VLE28" i="3"/>
  <c r="VKY28" i="3"/>
  <c r="VMC28" i="3" s="1"/>
  <c r="VNG28" i="3" s="1"/>
  <c r="VOK28" i="3" s="1"/>
  <c r="VPO28" i="3" s="1"/>
  <c r="VKR28" i="3"/>
  <c r="VKT28" i="3"/>
  <c r="VLX28" i="3" s="1"/>
  <c r="VNB28" i="3" s="1"/>
  <c r="VKM28" i="3"/>
  <c r="VKS28" i="3"/>
  <c r="VLW28" i="3" s="1"/>
  <c r="VNA28" i="3" s="1"/>
  <c r="VOE28" i="3" s="1"/>
  <c r="VPI28" i="3" s="1"/>
  <c r="VKL28" i="3"/>
  <c r="VLQ28" i="3" l="1"/>
  <c r="VMU28" i="3" s="1"/>
  <c r="VNY28" i="3" s="1"/>
  <c r="VLJ28" i="3"/>
  <c r="VMI28" i="3"/>
  <c r="VNM28" i="3" s="1"/>
  <c r="VOQ28" i="3" s="1"/>
  <c r="VMB28" i="3"/>
  <c r="VLP28" i="3"/>
  <c r="VMT28" i="3" s="1"/>
  <c r="VNX28" i="3" s="1"/>
  <c r="VPB28" i="3" s="1"/>
  <c r="VQF28" i="3" s="1"/>
  <c r="VLI28" i="3"/>
  <c r="VMO28" i="3"/>
  <c r="VNS28" i="3" s="1"/>
  <c r="VMH28" i="3"/>
  <c r="VLV28" i="3"/>
  <c r="VMZ28" i="3" s="1"/>
  <c r="VOD28" i="3" s="1"/>
  <c r="VPH28" i="3" s="1"/>
  <c r="VQL28" i="3" s="1"/>
  <c r="VLO28" i="3"/>
  <c r="VMN28" i="3" l="1"/>
  <c r="VNR28" i="3" s="1"/>
  <c r="VOV28" i="3" s="1"/>
  <c r="VMG28" i="3"/>
  <c r="VNL28" i="3"/>
  <c r="VOP28" i="3" s="1"/>
  <c r="VNE28" i="3"/>
  <c r="VMM28" i="3"/>
  <c r="VNQ28" i="3" s="1"/>
  <c r="VOU28" i="3" s="1"/>
  <c r="VPY28" i="3" s="1"/>
  <c r="VRC28" i="3" s="1"/>
  <c r="VMF28" i="3"/>
  <c r="VMS28" i="3"/>
  <c r="VNW28" i="3" s="1"/>
  <c r="VPA28" i="3" s="1"/>
  <c r="VQE28" i="3" s="1"/>
  <c r="VRI28" i="3" s="1"/>
  <c r="VML28" i="3"/>
  <c r="VNF28" i="3"/>
  <c r="VOJ28" i="3" s="1"/>
  <c r="VPN28" i="3" s="1"/>
  <c r="VMY28" i="3"/>
  <c r="VNJ28" i="3" l="1"/>
  <c r="VON28" i="3" s="1"/>
  <c r="VPR28" i="3" s="1"/>
  <c r="VQV28" i="3" s="1"/>
  <c r="VRZ28" i="3" s="1"/>
  <c r="VNC28" i="3"/>
  <c r="VOC28" i="3"/>
  <c r="VPG28" i="3" s="1"/>
  <c r="VQK28" i="3" s="1"/>
  <c r="VNV28" i="3"/>
  <c r="VOI28" i="3"/>
  <c r="VPM28" i="3" s="1"/>
  <c r="VOB28" i="3"/>
  <c r="VNP28" i="3"/>
  <c r="VOT28" i="3" s="1"/>
  <c r="VPX28" i="3" s="1"/>
  <c r="VRB28" i="3" s="1"/>
  <c r="VSF28" i="3" s="1"/>
  <c r="VNI28" i="3"/>
  <c r="VNK28" i="3"/>
  <c r="VOO28" i="3" s="1"/>
  <c r="VPS28" i="3" s="1"/>
  <c r="VND28" i="3"/>
  <c r="VOM28" i="3" l="1"/>
  <c r="VPQ28" i="3" s="1"/>
  <c r="VQU28" i="3" s="1"/>
  <c r="VRY28" i="3" s="1"/>
  <c r="VTC28" i="3" s="1"/>
  <c r="VOF28" i="3"/>
  <c r="VOZ28" i="3"/>
  <c r="VQD28" i="3" s="1"/>
  <c r="VRH28" i="3" s="1"/>
  <c r="VOS28" i="3"/>
  <c r="VOG28" i="3"/>
  <c r="VPK28" i="3" s="1"/>
  <c r="VQO28" i="3" s="1"/>
  <c r="VRS28" i="3" s="1"/>
  <c r="VSW28" i="3" s="1"/>
  <c r="VNZ28" i="3"/>
  <c r="VOH28" i="3"/>
  <c r="VPL28" i="3" s="1"/>
  <c r="VQP28" i="3" s="1"/>
  <c r="VOA28" i="3"/>
  <c r="VPF28" i="3"/>
  <c r="VQJ28" i="3" s="1"/>
  <c r="VOY28" i="3"/>
  <c r="VPW28" i="3" l="1"/>
  <c r="VRA28" i="3" s="1"/>
  <c r="VSE28" i="3" s="1"/>
  <c r="VPP28" i="3"/>
  <c r="VQC28" i="3"/>
  <c r="VRG28" i="3" s="1"/>
  <c r="VPV28" i="3"/>
  <c r="VPE28" i="3"/>
  <c r="VQI28" i="3" s="1"/>
  <c r="VRM28" i="3" s="1"/>
  <c r="VOX28" i="3"/>
  <c r="VPD28" i="3"/>
  <c r="VQH28" i="3" s="1"/>
  <c r="VRL28" i="3" s="1"/>
  <c r="VSP28" i="3" s="1"/>
  <c r="VTT28" i="3" s="1"/>
  <c r="VOW28" i="3"/>
  <c r="VPJ28" i="3"/>
  <c r="VQN28" i="3" s="1"/>
  <c r="VRR28" i="3" s="1"/>
  <c r="VSV28" i="3" s="1"/>
  <c r="VTZ28" i="3" s="1"/>
  <c r="VPC28" i="3"/>
  <c r="VQZ28" i="3" l="1"/>
  <c r="VSD28" i="3" s="1"/>
  <c r="VQS28" i="3"/>
  <c r="VQT28" i="3"/>
  <c r="VRX28" i="3" s="1"/>
  <c r="VTB28" i="3" s="1"/>
  <c r="VQM28" i="3"/>
  <c r="VQG28" i="3"/>
  <c r="VRK28" i="3" s="1"/>
  <c r="VSO28" i="3" s="1"/>
  <c r="VTS28" i="3" s="1"/>
  <c r="VUW28" i="3" s="1"/>
  <c r="VPZ28" i="3"/>
  <c r="VQB28" i="3"/>
  <c r="VRF28" i="3" s="1"/>
  <c r="VSJ28" i="3" s="1"/>
  <c r="VPU28" i="3"/>
  <c r="VQA28" i="3"/>
  <c r="VRE28" i="3" s="1"/>
  <c r="VSI28" i="3" s="1"/>
  <c r="VTM28" i="3" s="1"/>
  <c r="VUQ28" i="3" s="1"/>
  <c r="VPT28" i="3"/>
  <c r="VQX28" i="3" l="1"/>
  <c r="VSB28" i="3" s="1"/>
  <c r="VTF28" i="3" s="1"/>
  <c r="VUJ28" i="3" s="1"/>
  <c r="VVN28" i="3" s="1"/>
  <c r="VQQ28" i="3"/>
  <c r="VQY28" i="3"/>
  <c r="VSC28" i="3" s="1"/>
  <c r="VTG28" i="3" s="1"/>
  <c r="VQR28" i="3"/>
  <c r="VRW28" i="3"/>
  <c r="VTA28" i="3" s="1"/>
  <c r="VRP28" i="3"/>
  <c r="VRD28" i="3"/>
  <c r="VSH28" i="3" s="1"/>
  <c r="VTL28" i="3" s="1"/>
  <c r="VUP28" i="3" s="1"/>
  <c r="VVT28" i="3" s="1"/>
  <c r="VQW28" i="3"/>
  <c r="VRQ28" i="3"/>
  <c r="VSU28" i="3" s="1"/>
  <c r="VTY28" i="3" s="1"/>
  <c r="VRJ28" i="3"/>
  <c r="VRV28" i="3" l="1"/>
  <c r="VSZ28" i="3" s="1"/>
  <c r="VUD28" i="3" s="1"/>
  <c r="VRO28" i="3"/>
  <c r="VST28" i="3"/>
  <c r="VTX28" i="3" s="1"/>
  <c r="VSM28" i="3"/>
  <c r="VRU28" i="3"/>
  <c r="VSY28" i="3" s="1"/>
  <c r="VUC28" i="3" s="1"/>
  <c r="VVG28" i="3" s="1"/>
  <c r="VWK28" i="3" s="1"/>
  <c r="VRN28" i="3"/>
  <c r="VSA28" i="3"/>
  <c r="VTE28" i="3" s="1"/>
  <c r="VUI28" i="3" s="1"/>
  <c r="VVM28" i="3" s="1"/>
  <c r="VWQ28" i="3" s="1"/>
  <c r="VRT28" i="3"/>
  <c r="VSN28" i="3"/>
  <c r="VTR28" i="3" s="1"/>
  <c r="VUV28" i="3" s="1"/>
  <c r="VSG28" i="3"/>
  <c r="VSR28" i="3" l="1"/>
  <c r="VTV28" i="3" s="1"/>
  <c r="VUZ28" i="3" s="1"/>
  <c r="VWD28" i="3" s="1"/>
  <c r="VXH28" i="3" s="1"/>
  <c r="VSK28" i="3"/>
  <c r="VSX28" i="3"/>
  <c r="VUB28" i="3" s="1"/>
  <c r="VVF28" i="3" s="1"/>
  <c r="VWJ28" i="3" s="1"/>
  <c r="VXN28" i="3" s="1"/>
  <c r="VSQ28" i="3"/>
  <c r="VTQ28" i="3"/>
  <c r="VUU28" i="3" s="1"/>
  <c r="VTJ28" i="3"/>
  <c r="VTK28" i="3"/>
  <c r="VUO28" i="3" s="1"/>
  <c r="VVS28" i="3" s="1"/>
  <c r="VTD28" i="3"/>
  <c r="VSS28" i="3"/>
  <c r="VTW28" i="3" s="1"/>
  <c r="VVA28" i="3" s="1"/>
  <c r="VSL28" i="3"/>
  <c r="VUN28" i="3" l="1"/>
  <c r="VVR28" i="3" s="1"/>
  <c r="VUG28" i="3"/>
  <c r="VTO28" i="3"/>
  <c r="VUS28" i="3" s="1"/>
  <c r="VVW28" i="3" s="1"/>
  <c r="VXA28" i="3" s="1"/>
  <c r="VYE28" i="3" s="1"/>
  <c r="VTH28" i="3"/>
  <c r="VUH28" i="3"/>
  <c r="VVL28" i="3" s="1"/>
  <c r="VWP28" i="3" s="1"/>
  <c r="VUA28" i="3"/>
  <c r="VTU28" i="3"/>
  <c r="VUY28" i="3" s="1"/>
  <c r="VWC28" i="3" s="1"/>
  <c r="VXG28" i="3" s="1"/>
  <c r="VYK28" i="3" s="1"/>
  <c r="VTN28" i="3"/>
  <c r="VTP28" i="3"/>
  <c r="VUT28" i="3" s="1"/>
  <c r="VVX28" i="3" s="1"/>
  <c r="VTI28" i="3"/>
  <c r="VUM28" i="3" l="1"/>
  <c r="VVQ28" i="3" s="1"/>
  <c r="VWU28" i="3" s="1"/>
  <c r="VUF28" i="3"/>
  <c r="VVK28" i="3"/>
  <c r="VWO28" i="3" s="1"/>
  <c r="VVD28" i="3"/>
  <c r="VUR28" i="3"/>
  <c r="VVV28" i="3" s="1"/>
  <c r="VWZ28" i="3" s="1"/>
  <c r="VYD28" i="3" s="1"/>
  <c r="VZH28" i="3" s="1"/>
  <c r="VUK28" i="3"/>
  <c r="VUL28" i="3"/>
  <c r="VVP28" i="3" s="1"/>
  <c r="VWT28" i="3" s="1"/>
  <c r="VXX28" i="3" s="1"/>
  <c r="VZB28" i="3" s="1"/>
  <c r="VUE28" i="3"/>
  <c r="VVE28" i="3"/>
  <c r="VWI28" i="3" s="1"/>
  <c r="VXM28" i="3" s="1"/>
  <c r="VUX28" i="3"/>
  <c r="VWB28" i="3" l="1"/>
  <c r="VXF28" i="3" s="1"/>
  <c r="VYJ28" i="3" s="1"/>
  <c r="VVU28" i="3"/>
  <c r="VWH28" i="3"/>
  <c r="VXL28" i="3" s="1"/>
  <c r="VWA28" i="3"/>
  <c r="VVJ28" i="3"/>
  <c r="VWN28" i="3" s="1"/>
  <c r="VXR28" i="3" s="1"/>
  <c r="VVC28" i="3"/>
  <c r="VVI28" i="3"/>
  <c r="VWM28" i="3" s="1"/>
  <c r="VXQ28" i="3" s="1"/>
  <c r="VYU28" i="3" s="1"/>
  <c r="VZY28" i="3" s="1"/>
  <c r="VVB28" i="3"/>
  <c r="VVO28" i="3"/>
  <c r="VWS28" i="3" s="1"/>
  <c r="VXW28" i="3" s="1"/>
  <c r="VZA28" i="3" s="1"/>
  <c r="WAE28" i="3" s="1"/>
  <c r="VVH28" i="3"/>
  <c r="VXE28" i="3" l="1"/>
  <c r="VYI28" i="3" s="1"/>
  <c r="VWX28" i="3"/>
  <c r="VWL28" i="3"/>
  <c r="VXP28" i="3" s="1"/>
  <c r="VYT28" i="3" s="1"/>
  <c r="VZX28" i="3" s="1"/>
  <c r="WBB28" i="3" s="1"/>
  <c r="VWE28" i="3"/>
  <c r="VWG28" i="3"/>
  <c r="VXK28" i="3" s="1"/>
  <c r="VYO28" i="3" s="1"/>
  <c r="VVZ28" i="3"/>
  <c r="VWY28" i="3"/>
  <c r="VYC28" i="3" s="1"/>
  <c r="VZG28" i="3" s="1"/>
  <c r="VWR28" i="3"/>
  <c r="VWF28" i="3"/>
  <c r="VXJ28" i="3" s="1"/>
  <c r="VYN28" i="3" s="1"/>
  <c r="VZR28" i="3" s="1"/>
  <c r="WAV28" i="3" s="1"/>
  <c r="VVY28" i="3"/>
  <c r="VYB28" i="3" l="1"/>
  <c r="VZF28" i="3" s="1"/>
  <c r="VXU28" i="3"/>
  <c r="VXD28" i="3"/>
  <c r="VYH28" i="3" s="1"/>
  <c r="VZL28" i="3" s="1"/>
  <c r="VWW28" i="3"/>
  <c r="VXV28" i="3"/>
  <c r="VYZ28" i="3" s="1"/>
  <c r="WAD28" i="3" s="1"/>
  <c r="VXO28" i="3"/>
  <c r="VXC28" i="3"/>
  <c r="VYG28" i="3" s="1"/>
  <c r="VZK28" i="3" s="1"/>
  <c r="WAO28" i="3" s="1"/>
  <c r="WBS28" i="3" s="1"/>
  <c r="VWV28" i="3"/>
  <c r="VXI28" i="3"/>
  <c r="VYM28" i="3" s="1"/>
  <c r="VZQ28" i="3" s="1"/>
  <c r="WAU28" i="3" s="1"/>
  <c r="WBY28" i="3" s="1"/>
  <c r="VXB28" i="3"/>
  <c r="VXZ28" i="3" l="1"/>
  <c r="VZD28" i="3" s="1"/>
  <c r="WAH28" i="3" s="1"/>
  <c r="WBL28" i="3" s="1"/>
  <c r="WCP28" i="3" s="1"/>
  <c r="VXS28" i="3"/>
  <c r="VYF28" i="3"/>
  <c r="VZJ28" i="3" s="1"/>
  <c r="WAN28" i="3" s="1"/>
  <c r="WBR28" i="3" s="1"/>
  <c r="WCV28" i="3" s="1"/>
  <c r="VXY28" i="3"/>
  <c r="VYA28" i="3"/>
  <c r="VZE28" i="3" s="1"/>
  <c r="WAI28" i="3" s="1"/>
  <c r="VXT28" i="3"/>
  <c r="VYS28" i="3"/>
  <c r="VZW28" i="3" s="1"/>
  <c r="WBA28" i="3" s="1"/>
  <c r="VYL28" i="3"/>
  <c r="VYY28" i="3"/>
  <c r="WAC28" i="3" s="1"/>
  <c r="VYR28" i="3"/>
  <c r="VZC28" i="3" l="1"/>
  <c r="WAG28" i="3" s="1"/>
  <c r="WBK28" i="3" s="1"/>
  <c r="WCO28" i="3" s="1"/>
  <c r="WDS28" i="3" s="1"/>
  <c r="VYV28" i="3"/>
  <c r="VZV28" i="3"/>
  <c r="WAZ28" i="3" s="1"/>
  <c r="VZO28" i="3"/>
  <c r="VYX28" i="3"/>
  <c r="WAB28" i="3" s="1"/>
  <c r="WBF28" i="3" s="1"/>
  <c r="VYQ28" i="3"/>
  <c r="VYW28" i="3"/>
  <c r="WAA28" i="3" s="1"/>
  <c r="WBE28" i="3" s="1"/>
  <c r="WCI28" i="3" s="1"/>
  <c r="WDM28" i="3" s="1"/>
  <c r="VYP28" i="3"/>
  <c r="VZP28" i="3"/>
  <c r="WAT28" i="3" s="1"/>
  <c r="WBX28" i="3" s="1"/>
  <c r="VZI28" i="3"/>
  <c r="VZU28" i="3" l="1"/>
  <c r="WAY28" i="3" s="1"/>
  <c r="WCC28" i="3" s="1"/>
  <c r="VZN28" i="3"/>
  <c r="VZT28" i="3"/>
  <c r="WAX28" i="3" s="1"/>
  <c r="WCB28" i="3" s="1"/>
  <c r="WDF28" i="3" s="1"/>
  <c r="WEJ28" i="3" s="1"/>
  <c r="VZM28" i="3"/>
  <c r="VZZ28" i="3"/>
  <c r="WBD28" i="3" s="1"/>
  <c r="WCH28" i="3" s="1"/>
  <c r="WDL28" i="3" s="1"/>
  <c r="WEP28" i="3" s="1"/>
  <c r="VZS28" i="3"/>
  <c r="WAM28" i="3"/>
  <c r="WBQ28" i="3" s="1"/>
  <c r="WCU28" i="3" s="1"/>
  <c r="WAF28" i="3"/>
  <c r="WAS28" i="3"/>
  <c r="WBW28" i="3" s="1"/>
  <c r="WAL28" i="3"/>
  <c r="WAW28" i="3" l="1"/>
  <c r="WCA28" i="3" s="1"/>
  <c r="WDE28" i="3" s="1"/>
  <c r="WEI28" i="3" s="1"/>
  <c r="WFM28" i="3" s="1"/>
  <c r="WAP28" i="3"/>
  <c r="WAQ28" i="3"/>
  <c r="WBU28" i="3" s="1"/>
  <c r="WCY28" i="3" s="1"/>
  <c r="WEC28" i="3" s="1"/>
  <c r="WFG28" i="3" s="1"/>
  <c r="WAJ28" i="3"/>
  <c r="WBP28" i="3"/>
  <c r="WCT28" i="3" s="1"/>
  <c r="WBI28" i="3"/>
  <c r="WBJ28" i="3"/>
  <c r="WCN28" i="3" s="1"/>
  <c r="WDR28" i="3" s="1"/>
  <c r="WBC28" i="3"/>
  <c r="WAR28" i="3"/>
  <c r="WBV28" i="3" s="1"/>
  <c r="WCZ28" i="3" s="1"/>
  <c r="WAK28" i="3"/>
  <c r="WCM28" i="3" l="1"/>
  <c r="WDQ28" i="3" s="1"/>
  <c r="WCF28" i="3"/>
  <c r="WCG28" i="3"/>
  <c r="WDK28" i="3" s="1"/>
  <c r="WEO28" i="3" s="1"/>
  <c r="WBZ28" i="3"/>
  <c r="WBN28" i="3"/>
  <c r="WCR28" i="3" s="1"/>
  <c r="WDV28" i="3" s="1"/>
  <c r="WEZ28" i="3" s="1"/>
  <c r="WGD28" i="3" s="1"/>
  <c r="WBG28" i="3"/>
  <c r="WBT28" i="3"/>
  <c r="WCX28" i="3" s="1"/>
  <c r="WEB28" i="3" s="1"/>
  <c r="WFF28" i="3" s="1"/>
  <c r="WGJ28" i="3" s="1"/>
  <c r="WBM28" i="3"/>
  <c r="WBO28" i="3"/>
  <c r="WCS28" i="3" s="1"/>
  <c r="WDW28" i="3" s="1"/>
  <c r="WBH28" i="3"/>
  <c r="WCQ28" i="3" l="1"/>
  <c r="WDU28" i="3" s="1"/>
  <c r="WEY28" i="3" s="1"/>
  <c r="WGC28" i="3" s="1"/>
  <c r="WHG28" i="3" s="1"/>
  <c r="WCJ28" i="3"/>
  <c r="WDJ28" i="3"/>
  <c r="WEN28" i="3" s="1"/>
  <c r="WDC28" i="3"/>
  <c r="WCL28" i="3"/>
  <c r="WDP28" i="3" s="1"/>
  <c r="WET28" i="3" s="1"/>
  <c r="WCE28" i="3"/>
  <c r="WCK28" i="3"/>
  <c r="WDO28" i="3" s="1"/>
  <c r="WES28" i="3" s="1"/>
  <c r="WFW28" i="3" s="1"/>
  <c r="WHA28" i="3" s="1"/>
  <c r="WCD28" i="3"/>
  <c r="WDD28" i="3"/>
  <c r="WEH28" i="3" s="1"/>
  <c r="WFL28" i="3" s="1"/>
  <c r="WCW28" i="3"/>
  <c r="WEA28" i="3" l="1"/>
  <c r="WFE28" i="3" s="1"/>
  <c r="WGI28" i="3" s="1"/>
  <c r="WDT28" i="3"/>
  <c r="WDI28" i="3"/>
  <c r="WEM28" i="3" s="1"/>
  <c r="WFQ28" i="3" s="1"/>
  <c r="WDB28" i="3"/>
  <c r="WDN28" i="3"/>
  <c r="WER28" i="3" s="1"/>
  <c r="WFV28" i="3" s="1"/>
  <c r="WGZ28" i="3" s="1"/>
  <c r="WID28" i="3" s="1"/>
  <c r="WDG28" i="3"/>
  <c r="WDH28" i="3"/>
  <c r="WEL28" i="3" s="1"/>
  <c r="WFP28" i="3" s="1"/>
  <c r="WGT28" i="3" s="1"/>
  <c r="WHX28" i="3" s="1"/>
  <c r="WDA28" i="3"/>
  <c r="WEG28" i="3"/>
  <c r="WFK28" i="3" s="1"/>
  <c r="WDZ28" i="3"/>
  <c r="WEE28" i="3" l="1"/>
  <c r="WFI28" i="3" s="1"/>
  <c r="WGM28" i="3" s="1"/>
  <c r="WHQ28" i="3" s="1"/>
  <c r="WIU28" i="3" s="1"/>
  <c r="WDX28" i="3"/>
  <c r="WEK28" i="3"/>
  <c r="WFO28" i="3" s="1"/>
  <c r="WGS28" i="3" s="1"/>
  <c r="WHW28" i="3" s="1"/>
  <c r="WJA28" i="3" s="1"/>
  <c r="WED28" i="3"/>
  <c r="WFD28" i="3"/>
  <c r="WGH28" i="3" s="1"/>
  <c r="WEW28" i="3"/>
  <c r="WEX28" i="3"/>
  <c r="WGB28" i="3" s="1"/>
  <c r="WHF28" i="3" s="1"/>
  <c r="WEQ28" i="3"/>
  <c r="WEF28" i="3"/>
  <c r="WFJ28" i="3" s="1"/>
  <c r="WGN28" i="3" s="1"/>
  <c r="WDY28" i="3"/>
  <c r="WFU28" i="3" l="1"/>
  <c r="WGY28" i="3" s="1"/>
  <c r="WIC28" i="3" s="1"/>
  <c r="WFN28" i="3"/>
  <c r="WFC28" i="3"/>
  <c r="WGG28" i="3" s="1"/>
  <c r="WHK28" i="3" s="1"/>
  <c r="WEV28" i="3"/>
  <c r="WFH28" i="3"/>
  <c r="WGL28" i="3" s="1"/>
  <c r="WHP28" i="3" s="1"/>
  <c r="WIT28" i="3" s="1"/>
  <c r="WJX28" i="3" s="1"/>
  <c r="WFA28" i="3"/>
  <c r="WFB28" i="3"/>
  <c r="WGF28" i="3" s="1"/>
  <c r="WHJ28" i="3" s="1"/>
  <c r="WIN28" i="3" s="1"/>
  <c r="WJR28" i="3" s="1"/>
  <c r="WEU28" i="3"/>
  <c r="WGA28" i="3"/>
  <c r="WHE28" i="3" s="1"/>
  <c r="WFT28" i="3"/>
  <c r="WGX28" i="3" l="1"/>
  <c r="WIB28" i="3" s="1"/>
  <c r="WGQ28" i="3"/>
  <c r="WFY28" i="3"/>
  <c r="WHC28" i="3" s="1"/>
  <c r="WIG28" i="3" s="1"/>
  <c r="WJK28" i="3" s="1"/>
  <c r="WKO28" i="3" s="1"/>
  <c r="WFR28" i="3"/>
  <c r="WGR28" i="3"/>
  <c r="WHV28" i="3" s="1"/>
  <c r="WIZ28" i="3" s="1"/>
  <c r="WGK28" i="3"/>
  <c r="WFZ28" i="3"/>
  <c r="WHD28" i="3" s="1"/>
  <c r="WIH28" i="3" s="1"/>
  <c r="WFS28" i="3"/>
  <c r="WGE28" i="3"/>
  <c r="WHI28" i="3" s="1"/>
  <c r="WIM28" i="3" s="1"/>
  <c r="WJQ28" i="3" s="1"/>
  <c r="WKU28" i="3" s="1"/>
  <c r="WFX28" i="3"/>
  <c r="WHO28" i="3" l="1"/>
  <c r="WIS28" i="3" s="1"/>
  <c r="WJW28" i="3" s="1"/>
  <c r="WHH28" i="3"/>
  <c r="WHU28" i="3"/>
  <c r="WIY28" i="3" s="1"/>
  <c r="WHN28" i="3"/>
  <c r="WGV28" i="3"/>
  <c r="WHZ28" i="3" s="1"/>
  <c r="WJD28" i="3" s="1"/>
  <c r="WKH28" i="3" s="1"/>
  <c r="WLL28" i="3" s="1"/>
  <c r="WGO28" i="3"/>
  <c r="WGW28" i="3"/>
  <c r="WIA28" i="3" s="1"/>
  <c r="WJE28" i="3" s="1"/>
  <c r="WGP28" i="3"/>
  <c r="WHB28" i="3"/>
  <c r="WIF28" i="3" s="1"/>
  <c r="WJJ28" i="3" s="1"/>
  <c r="WKN28" i="3" s="1"/>
  <c r="WLR28" i="3" s="1"/>
  <c r="WGU28" i="3"/>
  <c r="WHY28" i="3" l="1"/>
  <c r="WJC28" i="3" s="1"/>
  <c r="WKG28" i="3" s="1"/>
  <c r="WLK28" i="3" s="1"/>
  <c r="WMO28" i="3" s="1"/>
  <c r="WHR28" i="3"/>
  <c r="WHT28" i="3"/>
  <c r="WIX28" i="3" s="1"/>
  <c r="WKB28" i="3" s="1"/>
  <c r="WHM28" i="3"/>
  <c r="WIL28" i="3"/>
  <c r="WJP28" i="3" s="1"/>
  <c r="WKT28" i="3" s="1"/>
  <c r="WIE28" i="3"/>
  <c r="WHS28" i="3"/>
  <c r="WIW28" i="3" s="1"/>
  <c r="WKA28" i="3" s="1"/>
  <c r="WLE28" i="3" s="1"/>
  <c r="WMI28" i="3" s="1"/>
  <c r="WHL28" i="3"/>
  <c r="WIR28" i="3"/>
  <c r="WJV28" i="3" s="1"/>
  <c r="WIK28" i="3"/>
  <c r="WJI28" i="3" l="1"/>
  <c r="WKM28" i="3" s="1"/>
  <c r="WLQ28" i="3" s="1"/>
  <c r="WJB28" i="3"/>
  <c r="WJO28" i="3"/>
  <c r="WKS28" i="3" s="1"/>
  <c r="WJH28" i="3"/>
  <c r="WIQ28" i="3"/>
  <c r="WJU28" i="3" s="1"/>
  <c r="WKY28" i="3" s="1"/>
  <c r="WIJ28" i="3"/>
  <c r="WIV28" i="3"/>
  <c r="WJZ28" i="3" s="1"/>
  <c r="WLD28" i="3" s="1"/>
  <c r="WMH28" i="3" s="1"/>
  <c r="WNL28" i="3" s="1"/>
  <c r="WIO28" i="3"/>
  <c r="WIP28" i="3"/>
  <c r="WJT28" i="3" s="1"/>
  <c r="WKX28" i="3" s="1"/>
  <c r="WMB28" i="3" s="1"/>
  <c r="WNF28" i="3" s="1"/>
  <c r="WII28" i="3"/>
  <c r="WJS28" i="3" l="1"/>
  <c r="WKW28" i="3" s="1"/>
  <c r="WMA28" i="3" s="1"/>
  <c r="WNE28" i="3" s="1"/>
  <c r="WOI28" i="3" s="1"/>
  <c r="WJL28" i="3"/>
  <c r="WKF28" i="3"/>
  <c r="WLJ28" i="3" s="1"/>
  <c r="WMN28" i="3" s="1"/>
  <c r="WJY28" i="3"/>
  <c r="WJM28" i="3"/>
  <c r="WKQ28" i="3" s="1"/>
  <c r="WLU28" i="3" s="1"/>
  <c r="WMY28" i="3" s="1"/>
  <c r="WOC28" i="3" s="1"/>
  <c r="WJF28" i="3"/>
  <c r="WJN28" i="3"/>
  <c r="WKR28" i="3" s="1"/>
  <c r="WLV28" i="3" s="1"/>
  <c r="WJG28" i="3"/>
  <c r="WKL28" i="3"/>
  <c r="WLP28" i="3" s="1"/>
  <c r="WKE28" i="3"/>
  <c r="WKJ28" i="3" l="1"/>
  <c r="WLN28" i="3" s="1"/>
  <c r="WMR28" i="3" s="1"/>
  <c r="WNV28" i="3" s="1"/>
  <c r="WOZ28" i="3" s="1"/>
  <c r="WKC28" i="3"/>
  <c r="WLI28" i="3"/>
  <c r="WMM28" i="3" s="1"/>
  <c r="WLB28" i="3"/>
  <c r="WKK28" i="3"/>
  <c r="WLO28" i="3" s="1"/>
  <c r="WMS28" i="3" s="1"/>
  <c r="WKD28" i="3"/>
  <c r="WLC28" i="3"/>
  <c r="WMG28" i="3" s="1"/>
  <c r="WNK28" i="3" s="1"/>
  <c r="WKV28" i="3"/>
  <c r="WKP28" i="3"/>
  <c r="WLT28" i="3" s="1"/>
  <c r="WMX28" i="3" s="1"/>
  <c r="WOB28" i="3" s="1"/>
  <c r="WPF28" i="3" s="1"/>
  <c r="WKI28" i="3"/>
  <c r="WLZ28" i="3" l="1"/>
  <c r="WND28" i="3" s="1"/>
  <c r="WOH28" i="3" s="1"/>
  <c r="WLS28" i="3"/>
  <c r="WLG28" i="3"/>
  <c r="WMK28" i="3" s="1"/>
  <c r="WNO28" i="3" s="1"/>
  <c r="WOS28" i="3" s="1"/>
  <c r="WPW28" i="3" s="1"/>
  <c r="WKZ28" i="3"/>
  <c r="WLM28" i="3"/>
  <c r="WMQ28" i="3" s="1"/>
  <c r="WNU28" i="3" s="1"/>
  <c r="WOY28" i="3" s="1"/>
  <c r="WQC28" i="3" s="1"/>
  <c r="WLF28" i="3"/>
  <c r="WLH28" i="3"/>
  <c r="WML28" i="3" s="1"/>
  <c r="WNP28" i="3" s="1"/>
  <c r="WLA28" i="3"/>
  <c r="WMF28" i="3"/>
  <c r="WNJ28" i="3" s="1"/>
  <c r="WLY28" i="3"/>
  <c r="WNC28" i="3" l="1"/>
  <c r="WOG28" i="3" s="1"/>
  <c r="WMV28" i="3"/>
  <c r="WMD28" i="3"/>
  <c r="WNH28" i="3" s="1"/>
  <c r="WOL28" i="3" s="1"/>
  <c r="WPP28" i="3" s="1"/>
  <c r="WQT28" i="3" s="1"/>
  <c r="WLW28" i="3"/>
  <c r="WMJ28" i="3"/>
  <c r="WNN28" i="3" s="1"/>
  <c r="WOR28" i="3" s="1"/>
  <c r="WPV28" i="3" s="1"/>
  <c r="WQZ28" i="3" s="1"/>
  <c r="WMC28" i="3"/>
  <c r="WME28" i="3"/>
  <c r="WNI28" i="3" s="1"/>
  <c r="WOM28" i="3" s="1"/>
  <c r="WLX28" i="3"/>
  <c r="WMW28" i="3"/>
  <c r="WOA28" i="3" s="1"/>
  <c r="WPE28" i="3" s="1"/>
  <c r="WMP28" i="3"/>
  <c r="WNB28" i="3" l="1"/>
  <c r="WOF28" i="3" s="1"/>
  <c r="WPJ28" i="3" s="1"/>
  <c r="WMU28" i="3"/>
  <c r="WNG28" i="3"/>
  <c r="WOK28" i="3" s="1"/>
  <c r="WPO28" i="3" s="1"/>
  <c r="WQS28" i="3" s="1"/>
  <c r="WRW28" i="3" s="1"/>
  <c r="WMZ28" i="3"/>
  <c r="WNT28" i="3"/>
  <c r="WOX28" i="3" s="1"/>
  <c r="WQB28" i="3" s="1"/>
  <c r="WNM28" i="3"/>
  <c r="WNA28" i="3"/>
  <c r="WOE28" i="3" s="1"/>
  <c r="WPI28" i="3" s="1"/>
  <c r="WQM28" i="3" s="1"/>
  <c r="WRQ28" i="3" s="1"/>
  <c r="WMT28" i="3"/>
  <c r="WNZ28" i="3"/>
  <c r="WPD28" i="3" s="1"/>
  <c r="WNS28" i="3"/>
  <c r="WOQ28" i="3" l="1"/>
  <c r="WPU28" i="3" s="1"/>
  <c r="WQY28" i="3" s="1"/>
  <c r="WOJ28" i="3"/>
  <c r="WOD28" i="3"/>
  <c r="WPH28" i="3" s="1"/>
  <c r="WQL28" i="3" s="1"/>
  <c r="WRP28" i="3" s="1"/>
  <c r="WST28" i="3" s="1"/>
  <c r="WNW28" i="3"/>
  <c r="WNX28" i="3"/>
  <c r="WPB28" i="3" s="1"/>
  <c r="WQF28" i="3" s="1"/>
  <c r="WRJ28" i="3" s="1"/>
  <c r="WSN28" i="3" s="1"/>
  <c r="WNQ28" i="3"/>
  <c r="WNY28" i="3"/>
  <c r="WPC28" i="3" s="1"/>
  <c r="WQG28" i="3" s="1"/>
  <c r="WNR28" i="3"/>
  <c r="WOW28" i="3"/>
  <c r="WQA28" i="3" s="1"/>
  <c r="WOP28" i="3"/>
  <c r="WPA28" i="3" l="1"/>
  <c r="WQE28" i="3" s="1"/>
  <c r="WRI28" i="3" s="1"/>
  <c r="WSM28" i="3" s="1"/>
  <c r="WTQ28" i="3" s="1"/>
  <c r="WOT28" i="3"/>
  <c r="WOV28" i="3"/>
  <c r="WPZ28" i="3" s="1"/>
  <c r="WRD28" i="3" s="1"/>
  <c r="WOO28" i="3"/>
  <c r="WPT28" i="3"/>
  <c r="WQX28" i="3" s="1"/>
  <c r="WPM28" i="3"/>
  <c r="WOU28" i="3"/>
  <c r="WPY28" i="3" s="1"/>
  <c r="WRC28" i="3" s="1"/>
  <c r="WSG28" i="3" s="1"/>
  <c r="WTK28" i="3" s="1"/>
  <c r="WON28" i="3"/>
  <c r="WPN28" i="3"/>
  <c r="WQR28" i="3" s="1"/>
  <c r="WRV28" i="3" s="1"/>
  <c r="WPG28" i="3"/>
  <c r="WQQ28" i="3" l="1"/>
  <c r="WRU28" i="3" s="1"/>
  <c r="WQJ28" i="3"/>
  <c r="WPR28" i="3"/>
  <c r="WQV28" i="3" s="1"/>
  <c r="WRZ28" i="3" s="1"/>
  <c r="WTD28" i="3" s="1"/>
  <c r="WUH28" i="3" s="1"/>
  <c r="WPK28" i="3"/>
  <c r="WPX28" i="3"/>
  <c r="WRB28" i="3" s="1"/>
  <c r="WSF28" i="3" s="1"/>
  <c r="WTJ28" i="3" s="1"/>
  <c r="WUN28" i="3" s="1"/>
  <c r="WPQ28" i="3"/>
  <c r="WQK28" i="3"/>
  <c r="WRO28" i="3" s="1"/>
  <c r="WSS28" i="3" s="1"/>
  <c r="WQD28" i="3"/>
  <c r="WPS28" i="3"/>
  <c r="WQW28" i="3" s="1"/>
  <c r="WSA28" i="3" s="1"/>
  <c r="WPL28" i="3"/>
  <c r="WRH28" i="3" l="1"/>
  <c r="WSL28" i="3" s="1"/>
  <c r="WTP28" i="3" s="1"/>
  <c r="WRA28" i="3"/>
  <c r="WQP28" i="3"/>
  <c r="WRT28" i="3" s="1"/>
  <c r="WSX28" i="3" s="1"/>
  <c r="WQI28" i="3"/>
  <c r="WRN28" i="3"/>
  <c r="WSR28" i="3" s="1"/>
  <c r="WRG28" i="3"/>
  <c r="WQO28" i="3"/>
  <c r="WRS28" i="3" s="1"/>
  <c r="WSW28" i="3" s="1"/>
  <c r="WUA28" i="3" s="1"/>
  <c r="WVE28" i="3" s="1"/>
  <c r="WQH28" i="3"/>
  <c r="WQU28" i="3"/>
  <c r="WRY28" i="3" s="1"/>
  <c r="WTC28" i="3" s="1"/>
  <c r="WUG28" i="3" s="1"/>
  <c r="WVK28" i="3" s="1"/>
  <c r="WQN28" i="3"/>
  <c r="WRL28" i="3" l="1"/>
  <c r="WSP28" i="3" s="1"/>
  <c r="WTT28" i="3" s="1"/>
  <c r="WUX28" i="3" s="1"/>
  <c r="WWB28" i="3" s="1"/>
  <c r="WRE28" i="3"/>
  <c r="WRR28" i="3"/>
  <c r="WSV28" i="3" s="1"/>
  <c r="WTZ28" i="3" s="1"/>
  <c r="WVD28" i="3" s="1"/>
  <c r="WWH28" i="3" s="1"/>
  <c r="WRK28" i="3"/>
  <c r="WSK28" i="3"/>
  <c r="WTO28" i="3" s="1"/>
  <c r="WSD28" i="3"/>
  <c r="WRM28" i="3"/>
  <c r="WSQ28" i="3" s="1"/>
  <c r="WTU28" i="3" s="1"/>
  <c r="WRF28" i="3"/>
  <c r="WSE28" i="3"/>
  <c r="WTI28" i="3" s="1"/>
  <c r="WUM28" i="3" s="1"/>
  <c r="WRX28" i="3"/>
  <c r="WSO28" i="3" l="1"/>
  <c r="WTS28" i="3" s="1"/>
  <c r="WUW28" i="3" s="1"/>
  <c r="WWA28" i="3" s="1"/>
  <c r="WXE28" i="3" s="1"/>
  <c r="WSH28" i="3"/>
  <c r="WTH28" i="3"/>
  <c r="WUL28" i="3" s="1"/>
  <c r="WTA28" i="3"/>
  <c r="WTB28" i="3"/>
  <c r="WUF28" i="3" s="1"/>
  <c r="WVJ28" i="3" s="1"/>
  <c r="WSU28" i="3"/>
  <c r="WSJ28" i="3"/>
  <c r="WTN28" i="3" s="1"/>
  <c r="WUR28" i="3" s="1"/>
  <c r="WSC28" i="3"/>
  <c r="WSI28" i="3"/>
  <c r="WTM28" i="3" s="1"/>
  <c r="WUQ28" i="3" s="1"/>
  <c r="WVU28" i="3" s="1"/>
  <c r="WWY28" i="3" s="1"/>
  <c r="WSB28" i="3"/>
  <c r="WTF28" i="3" l="1"/>
  <c r="WUJ28" i="3" s="1"/>
  <c r="WVN28" i="3" s="1"/>
  <c r="WWR28" i="3" s="1"/>
  <c r="WXV28" i="3" s="1"/>
  <c r="WSY28" i="3"/>
  <c r="WUE28" i="3"/>
  <c r="WVI28" i="3" s="1"/>
  <c r="WTX28" i="3"/>
  <c r="WTY28" i="3"/>
  <c r="WVC28" i="3" s="1"/>
  <c r="WWG28" i="3" s="1"/>
  <c r="WTR28" i="3"/>
  <c r="WTG28" i="3"/>
  <c r="WUK28" i="3" s="1"/>
  <c r="WVO28" i="3" s="1"/>
  <c r="WSZ28" i="3"/>
  <c r="WTL28" i="3"/>
  <c r="WUP28" i="3" s="1"/>
  <c r="WVT28" i="3" s="1"/>
  <c r="WWX28" i="3" s="1"/>
  <c r="WYB28" i="3" s="1"/>
  <c r="WTE28" i="3"/>
  <c r="WUI28" i="3" l="1"/>
  <c r="WVM28" i="3" s="1"/>
  <c r="WWQ28" i="3" s="1"/>
  <c r="WXU28" i="3" s="1"/>
  <c r="WYY28" i="3" s="1"/>
  <c r="WUB28" i="3"/>
  <c r="WUV28" i="3"/>
  <c r="WVZ28" i="3" s="1"/>
  <c r="WXD28" i="3" s="1"/>
  <c r="WUO28" i="3"/>
  <c r="WUD28" i="3"/>
  <c r="WVH28" i="3" s="1"/>
  <c r="WWL28" i="3" s="1"/>
  <c r="WTW28" i="3"/>
  <c r="WUC28" i="3"/>
  <c r="WVG28" i="3" s="1"/>
  <c r="WWK28" i="3" s="1"/>
  <c r="WXO28" i="3" s="1"/>
  <c r="WYS28" i="3" s="1"/>
  <c r="WTV28" i="3"/>
  <c r="WVB28" i="3"/>
  <c r="WWF28" i="3" s="1"/>
  <c r="WUU28" i="3"/>
  <c r="WVF28" i="3" l="1"/>
  <c r="WWJ28" i="3" s="1"/>
  <c r="WXN28" i="3" s="1"/>
  <c r="WYR28" i="3" s="1"/>
  <c r="WZV28" i="3" s="1"/>
  <c r="WUY28" i="3"/>
  <c r="WUZ28" i="3"/>
  <c r="WWD28" i="3" s="1"/>
  <c r="WXH28" i="3" s="1"/>
  <c r="WYL28" i="3" s="1"/>
  <c r="WZP28" i="3" s="1"/>
  <c r="WUS28" i="3"/>
  <c r="WVS28" i="3"/>
  <c r="WWW28" i="3" s="1"/>
  <c r="WYA28" i="3" s="1"/>
  <c r="WVL28" i="3"/>
  <c r="WVY28" i="3"/>
  <c r="WXC28" i="3" s="1"/>
  <c r="WVR28" i="3"/>
  <c r="WVA28" i="3"/>
  <c r="WWE28" i="3" s="1"/>
  <c r="WXI28" i="3" s="1"/>
  <c r="WUT28" i="3"/>
  <c r="WVX28" i="3" l="1"/>
  <c r="WXB28" i="3" s="1"/>
  <c r="WYF28" i="3" s="1"/>
  <c r="WVQ28" i="3"/>
  <c r="WVW28" i="3"/>
  <c r="WXA28" i="3" s="1"/>
  <c r="WYE28" i="3" s="1"/>
  <c r="WZI28" i="3" s="1"/>
  <c r="XAM28" i="3" s="1"/>
  <c r="WVP28" i="3"/>
  <c r="WWC28" i="3"/>
  <c r="WXG28" i="3" s="1"/>
  <c r="WYK28" i="3" s="1"/>
  <c r="WZO28" i="3" s="1"/>
  <c r="XAS28" i="3" s="1"/>
  <c r="WVV28" i="3"/>
  <c r="WWV28" i="3"/>
  <c r="WXZ28" i="3" s="1"/>
  <c r="WWO28" i="3"/>
  <c r="WWP28" i="3"/>
  <c r="WXT28" i="3" s="1"/>
  <c r="WYX28" i="3" s="1"/>
  <c r="WWI28" i="3"/>
  <c r="WXS28" i="3" l="1"/>
  <c r="WYW28" i="3" s="1"/>
  <c r="WXL28" i="3"/>
  <c r="WXM28" i="3"/>
  <c r="WYQ28" i="3" s="1"/>
  <c r="WZU28" i="3" s="1"/>
  <c r="WXF28" i="3"/>
  <c r="WWU28" i="3"/>
  <c r="WXY28" i="3" s="1"/>
  <c r="WZC28" i="3" s="1"/>
  <c r="WWN28" i="3"/>
  <c r="WWZ28" i="3"/>
  <c r="WYD28" i="3" s="1"/>
  <c r="WZH28" i="3" s="1"/>
  <c r="XAL28" i="3" s="1"/>
  <c r="XBP28" i="3" s="1"/>
  <c r="WWS28" i="3"/>
  <c r="WWT28" i="3"/>
  <c r="WXX28" i="3" s="1"/>
  <c r="WZB28" i="3" s="1"/>
  <c r="XAF28" i="3" s="1"/>
  <c r="XBJ28" i="3" s="1"/>
  <c r="WWM28" i="3"/>
  <c r="WXW28" i="3" l="1"/>
  <c r="WZA28" i="3" s="1"/>
  <c r="XAE28" i="3" s="1"/>
  <c r="XBI28" i="3" s="1"/>
  <c r="XCM28" i="3" s="1"/>
  <c r="WXP28" i="3"/>
  <c r="WYP28" i="3"/>
  <c r="WZT28" i="3" s="1"/>
  <c r="WYI28" i="3"/>
  <c r="WYJ28" i="3"/>
  <c r="WZN28" i="3" s="1"/>
  <c r="XAR28" i="3" s="1"/>
  <c r="WYC28" i="3"/>
  <c r="WXQ28" i="3"/>
  <c r="WYU28" i="3" s="1"/>
  <c r="WZY28" i="3" s="1"/>
  <c r="XBC28" i="3" s="1"/>
  <c r="XCG28" i="3" s="1"/>
  <c r="WXJ28" i="3"/>
  <c r="WXR28" i="3"/>
  <c r="WYV28" i="3" s="1"/>
  <c r="WZZ28" i="3" s="1"/>
  <c r="WXK28" i="3"/>
  <c r="WYO28" i="3" l="1"/>
  <c r="WZS28" i="3" s="1"/>
  <c r="XAW28" i="3" s="1"/>
  <c r="WYH28" i="3"/>
  <c r="WZM28" i="3"/>
  <c r="XAQ28" i="3" s="1"/>
  <c r="WZF28" i="3"/>
  <c r="WZG28" i="3"/>
  <c r="XAK28" i="3" s="1"/>
  <c r="XBO28" i="3" s="1"/>
  <c r="WYZ28" i="3"/>
  <c r="WYN28" i="3"/>
  <c r="WZR28" i="3" s="1"/>
  <c r="XAV28" i="3" s="1"/>
  <c r="XBZ28" i="3" s="1"/>
  <c r="XDD28" i="3" s="1"/>
  <c r="WYG28" i="3"/>
  <c r="WYT28" i="3"/>
  <c r="WZX28" i="3" s="1"/>
  <c r="XBB28" i="3" s="1"/>
  <c r="XCF28" i="3" s="1"/>
  <c r="XDJ28" i="3" s="1"/>
  <c r="WYM28" i="3"/>
  <c r="XAD28" i="3" l="1"/>
  <c r="XBH28" i="3" s="1"/>
  <c r="XCL28" i="3" s="1"/>
  <c r="WZW28" i="3"/>
  <c r="WZK28" i="3"/>
  <c r="XAO28" i="3" s="1"/>
  <c r="XBS28" i="3" s="1"/>
  <c r="XCW28" i="3" s="1"/>
  <c r="XEA28" i="3" s="1"/>
  <c r="WZD28" i="3"/>
  <c r="WZL28" i="3"/>
  <c r="XAP28" i="3" s="1"/>
  <c r="XBT28" i="3" s="1"/>
  <c r="WZE28" i="3"/>
  <c r="WZQ28" i="3"/>
  <c r="XAU28" i="3" s="1"/>
  <c r="XBY28" i="3" s="1"/>
  <c r="XDC28" i="3" s="1"/>
  <c r="XEG28" i="3" s="1"/>
  <c r="WZJ28" i="3"/>
  <c r="XAJ28" i="3"/>
  <c r="XBN28" i="3" s="1"/>
  <c r="XAC28" i="3"/>
  <c r="XBG28" i="3" l="1"/>
  <c r="XCK28" i="3" s="1"/>
  <c r="XAZ28" i="3"/>
  <c r="XBA28" i="3"/>
  <c r="XCE28" i="3" s="1"/>
  <c r="XDI28" i="3" s="1"/>
  <c r="XAT28" i="3"/>
  <c r="XAH28" i="3"/>
  <c r="XBL28" i="3" s="1"/>
  <c r="XCP28" i="3" s="1"/>
  <c r="XDT28" i="3" s="1"/>
  <c r="XEX28" i="3" s="1"/>
  <c r="XAA28" i="3"/>
  <c r="XAN28" i="3"/>
  <c r="XBR28" i="3" s="1"/>
  <c r="XCV28" i="3" s="1"/>
  <c r="XDZ28" i="3" s="1"/>
  <c r="XFD28" i="3" s="1"/>
  <c r="XAG28" i="3"/>
  <c r="XAI28" i="3"/>
  <c r="XBM28" i="3" s="1"/>
  <c r="XCQ28" i="3" s="1"/>
  <c r="XAB28" i="3"/>
  <c r="XBK28" i="3" l="1"/>
  <c r="XCO28" i="3" s="1"/>
  <c r="XDS28" i="3" s="1"/>
  <c r="XEW28" i="3" s="1"/>
  <c r="XBD28" i="3"/>
  <c r="XBF28" i="3"/>
  <c r="XCJ28" i="3" s="1"/>
  <c r="XDN28" i="3" s="1"/>
  <c r="XAY28" i="3"/>
  <c r="XBE28" i="3"/>
  <c r="XCI28" i="3" s="1"/>
  <c r="XDM28" i="3" s="1"/>
  <c r="XEQ28" i="3" s="1"/>
  <c r="XAX28" i="3"/>
  <c r="XCD28" i="3"/>
  <c r="XDH28" i="3" s="1"/>
  <c r="XBW28" i="3"/>
  <c r="XBX28" i="3"/>
  <c r="XDB28" i="3" s="1"/>
  <c r="XEF28" i="3" s="1"/>
  <c r="XBQ28" i="3"/>
  <c r="XCU28" i="3" l="1"/>
  <c r="XDY28" i="3" s="1"/>
  <c r="XFC28" i="3" s="1"/>
  <c r="XCN28" i="3"/>
  <c r="XCB28" i="3"/>
  <c r="XDF28" i="3" s="1"/>
  <c r="XEJ28" i="3" s="1"/>
  <c r="XBU28" i="3"/>
  <c r="XCC28" i="3"/>
  <c r="XDG28" i="3" s="1"/>
  <c r="XEK28" i="3" s="1"/>
  <c r="XBV28" i="3"/>
  <c r="XDA28" i="3"/>
  <c r="XEE28" i="3" s="1"/>
  <c r="XCT28" i="3"/>
  <c r="XCH28" i="3"/>
  <c r="XDL28" i="3" s="1"/>
  <c r="XEP28" i="3" s="1"/>
  <c r="XCA28" i="3"/>
  <c r="XCZ28" i="3" l="1"/>
  <c r="XED28" i="3" s="1"/>
  <c r="XCS28" i="3"/>
  <c r="XDR28" i="3"/>
  <c r="XEV28" i="3" s="1"/>
  <c r="XDK28" i="3"/>
  <c r="XDE28" i="3"/>
  <c r="XEI28" i="3" s="1"/>
  <c r="XCX28" i="3"/>
  <c r="XDX28" i="3"/>
  <c r="XFB28" i="3" s="1"/>
  <c r="XDQ28" i="3"/>
  <c r="XCY28" i="3"/>
  <c r="XEC28" i="3" s="1"/>
  <c r="XCR28" i="3"/>
  <c r="XEU28" i="3" l="1"/>
  <c r="XEN28" i="3"/>
  <c r="XEO28" i="3"/>
  <c r="XEH28" i="3"/>
  <c r="XDV28" i="3"/>
  <c r="XEZ28" i="3" s="1"/>
  <c r="XDO28" i="3"/>
  <c r="XEB28" i="3"/>
  <c r="XDU28" i="3"/>
  <c r="XDW28" i="3"/>
  <c r="XFA28" i="3" s="1"/>
  <c r="XDP28" i="3"/>
  <c r="XET28" i="3" l="1"/>
  <c r="XEM28" i="3"/>
  <c r="XEY28" i="3"/>
  <c r="XER28" i="3"/>
  <c r="XES28" i="3"/>
  <c r="XEL28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<sst xmlns="http://schemas.openxmlformats.org/spreadsheetml/2006/main" count="2765" uniqueCount="1066">
  <si>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</si>
  <si>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</si>
  <si>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</si>
  <si>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</si>
  <si>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</si>
  <si>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</si>
  <si>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</si>
  <si>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</si>
  <si>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</si>
  <si>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</si>
  <si>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</si>
  <si>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</si>
  <si>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</si>
  <si>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</si>
  <si>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</si>
  <si>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</si>
  <si>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</si>
  <si>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</si>
  <si>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</si>
  <si>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</si>
  <si>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</si>
  <si>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</si>
  <si>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</si>
  <si>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</si>
  <si>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</si>
  <si>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</si>
  <si>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</si>
  <si>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</si>
  <si>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</si>
  <si>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</si>
  <si>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</si>
  <si>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</si>
  <si>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</si>
  <si>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</si>
  <si>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</si>
  <si>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</si>
  <si>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</si>
  <si>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</si>
  <si>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</si>
  <si>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</si>
  <si>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</si>
  <si>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</si>
  <si>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</si>
  <si>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</si>
  <si>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</si>
  <si>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</si>
  <si>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</si>
  <si>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</si>
  <si>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</si>
  <si>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</si>
  <si>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</si>
  <si>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</si>
  <si>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</si>
  <si>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</si>
  <si>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</si>
  <si>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</si>
  <si>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</si>
  <si>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</si>
  <si>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</si>
  <si>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</si>
  <si>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</si>
  <si>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</si>
  <si>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</si>
  <si>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</si>
  <si>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</si>
  <si>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</si>
  <si>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</si>
  <si>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</si>
  <si>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</si>
  <si>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</si>
  <si>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</si>
  <si>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</si>
  <si>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</si>
  <si>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</si>
  <si>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</si>
  <si>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</si>
  <si>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</si>
  <si>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</si>
  <si>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</si>
  <si>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</si>
  <si>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</si>
  <si>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</si>
  <si>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</si>
  <si>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</si>
  <si>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</si>
  <si>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</si>
  <si>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</si>
  <si>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</si>
  <si>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</si>
  <si>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</si>
  <si>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</si>
  <si>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</si>
  <si>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</si>
  <si>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</si>
  <si>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</si>
  <si>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</si>
  <si>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</si>
  <si>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</si>
  <si>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</si>
  <si>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</si>
  <si>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</si>
  <si>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</si>
  <si>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</si>
  <si>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</si>
  <si>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</si>
  <si>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</si>
  <si>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</si>
  <si>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</si>
  <si>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</si>
  <si>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</si>
  <si>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</si>
  <si>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</si>
  <si>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</si>
  <si>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</si>
  <si>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</si>
  <si>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</si>
  <si>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</si>
  <si>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</si>
  <si>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</si>
  <si>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</si>
  <si>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</si>
  <si>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</si>
  <si>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</si>
  <si>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</si>
  <si>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</si>
  <si>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</si>
  <si>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</si>
  <si>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</si>
  <si>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</si>
  <si>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</si>
  <si>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</si>
  <si>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</si>
  <si>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</si>
  <si>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</si>
  <si>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</si>
  <si>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</si>
  <si>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</si>
  <si>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</si>
  <si>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</si>
  <si>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</si>
  <si>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</si>
  <si>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</si>
  <si>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</si>
  <si>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</si>
  <si>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</si>
  <si>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</si>
  <si>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</si>
  <si>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</si>
  <si>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</si>
  <si>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</si>
  <si>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</si>
  <si>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</si>
  <si>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</si>
  <si>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</si>
  <si>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</si>
  <si>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</si>
  <si>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</si>
  <si>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</si>
  <si>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</si>
  <si>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</si>
  <si>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</si>
  <si>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</si>
  <si>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</si>
  <si>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</si>
  <si>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</si>
  <si>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</si>
  <si>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</si>
  <si>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</si>
  <si>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</si>
  <si>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</si>
  <si>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</si>
  <si>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</si>
  <si>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</si>
  <si>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</si>
  <si>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</si>
  <si>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</si>
  <si>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</si>
  <si>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</si>
  <si>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</si>
  <si>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</si>
  <si>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</si>
  <si>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</si>
  <si>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</si>
  <si>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</si>
  <si>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</si>
  <si>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Last + First</t>
  </si>
  <si>
    <t>Employee First Name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</si>
  <si>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</si>
  <si>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</si>
  <si>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</si>
  <si>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</si>
  <si>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</si>
  <si>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</si>
  <si>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</si>
  <si>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</si>
  <si>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</si>
  <si>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</si>
  <si>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</si>
  <si>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</si>
  <si>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</si>
  <si>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</si>
  <si>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</si>
  <si>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</si>
  <si>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</si>
  <si>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</si>
  <si>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</si>
  <si>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</si>
  <si>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</si>
  <si>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</si>
  <si>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</si>
  <si>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</si>
  <si>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</si>
  <si>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</si>
  <si>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</si>
  <si>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</si>
  <si>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</si>
  <si>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</si>
  <si>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</si>
  <si>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</si>
  <si>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</si>
  <si>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</si>
  <si>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</si>
  <si>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</si>
  <si>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</si>
  <si>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</si>
  <si>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</si>
  <si>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</si>
  <si>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</si>
  <si>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</si>
  <si>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</si>
  <si>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</si>
  <si>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</si>
  <si>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</si>
  <si>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</si>
  <si>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</si>
  <si>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</si>
  <si>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</si>
  <si>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</si>
  <si>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</si>
  <si>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</si>
  <si>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</si>
  <si>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</si>
  <si>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</si>
  <si>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</si>
  <si>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</si>
  <si>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</si>
  <si>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</si>
  <si>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</si>
  <si>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</si>
  <si>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</si>
  <si>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</si>
  <si>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</si>
  <si>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</si>
  <si>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</si>
  <si>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</si>
  <si>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</si>
  <si>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</si>
  <si>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</si>
  <si>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</si>
  <si>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</si>
  <si>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</si>
  <si>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</si>
  <si>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</si>
  <si>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</si>
  <si>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</si>
  <si>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</si>
  <si>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</si>
  <si>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</si>
  <si>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</si>
  <si>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</si>
  <si>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</si>
  <si>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</si>
  <si>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</si>
  <si>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</si>
  <si>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</si>
  <si>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</si>
  <si>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</si>
  <si>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</si>
  <si>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</si>
  <si>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</si>
  <si>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</si>
  <si>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</si>
  <si>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</si>
  <si>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</si>
  <si>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</si>
  <si>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</si>
  <si>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</si>
  <si>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</si>
  <si>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</si>
  <si>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</si>
  <si>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</si>
  <si>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</si>
  <si>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</si>
  <si>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</si>
  <si>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</si>
  <si>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</si>
  <si>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</si>
  <si>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</si>
  <si>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</si>
  <si>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</si>
  <si>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</si>
  <si>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</si>
  <si>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</si>
  <si>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</si>
  <si>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</si>
  <si>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</si>
  <si>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</si>
  <si>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</si>
  <si>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</si>
  <si>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</si>
  <si>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</si>
  <si>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</si>
  <si>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</si>
  <si>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</si>
  <si>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</si>
  <si>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</si>
  <si>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</si>
  <si>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</si>
  <si>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</si>
  <si>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</si>
  <si>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</si>
  <si>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</si>
  <si>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</si>
  <si>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</si>
  <si>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</si>
  <si>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</si>
  <si>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</si>
  <si>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</si>
  <si>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</si>
  <si>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WCR Redmine cURL</t>
  </si>
  <si>
    <t>27f4683f8c668ceb395ce0223286e38dfe180cf8</t>
  </si>
  <si>
    <t>https://ptcsupport.wabtec.com/issues.json</t>
  </si>
  <si>
    <t>:.+((SYSTEM_STATE.+slice.+state.+changed )|(ment ac)|(multiple cpu faults)|(system.+state.+changed )|(\[timeout)|(PRM\|1\|D)|(kpr)|(kdp)|(train st.+moving)|(\|lc)|(penalty))</t>
  </si>
  <si>
    <t>M - F = 49 trips</t>
  </si>
  <si>
    <t>uvIndex</t>
  </si>
  <si>
    <t>windGust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</si>
  <si>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</si>
  <si>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</si>
  <si>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</si>
  <si>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</si>
  <si>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</si>
  <si>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</si>
  <si>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</si>
  <si>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</si>
  <si>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LOZA</t>
  </si>
  <si>
    <t>FIDEL</t>
  </si>
  <si>
    <t>YORK</t>
  </si>
  <si>
    <t>EDGAR</t>
  </si>
  <si>
    <t>Y</t>
  </si>
  <si>
    <t>Sat - Sun = 36 Trips</t>
  </si>
  <si>
    <t>"Summary View"</t>
  </si>
  <si>
    <t>rtdc.l.rtdc.4055:itc</t>
  </si>
  <si>
    <t>MICHAEL</t>
  </si>
  <si>
    <t>%REDMINEAPIKEY%</t>
  </si>
  <si>
    <t>SIGNAL</t>
  </si>
  <si>
    <t>Signal based authority (5)</t>
  </si>
  <si>
    <t>rtdc.l.rtdc.4008:itc</t>
  </si>
  <si>
    <t>rtdc.l.rtdc.4060:itc</t>
  </si>
  <si>
    <t>LEVIN</t>
  </si>
  <si>
    <t>SCOTT</t>
  </si>
  <si>
    <t>rtdc.l.rtdc.4018:itc</t>
  </si>
  <si>
    <t>rtdc.l.rtdc.4007:itc</t>
  </si>
  <si>
    <t>rtdc.l.rtdc.4017:itc</t>
  </si>
  <si>
    <t>NICHOLSON</t>
  </si>
  <si>
    <t>WESLEY</t>
  </si>
  <si>
    <t>300-20</t>
  </si>
  <si>
    <t>rtdc.l.rtdc.4036:itc</t>
  </si>
  <si>
    <t>rtdc.l.rtdc.4035:itc</t>
  </si>
  <si>
    <t>WILLIAMS</t>
  </si>
  <si>
    <t>THOMPSON</t>
  </si>
  <si>
    <t>rtdc.l.rtdc.4012:itc</t>
  </si>
  <si>
    <t>rtdc.l.rtdc.4011:itc</t>
  </si>
  <si>
    <t>SAFIEF</t>
  </si>
  <si>
    <t>AEIMEN</t>
  </si>
  <si>
    <t>GUZMAN</t>
  </si>
  <si>
    <t>DANNY</t>
  </si>
  <si>
    <t>GUNTHIER</t>
  </si>
  <si>
    <t>ERIC</t>
  </si>
  <si>
    <t>RESPASS</t>
  </si>
  <si>
    <t>AARON</t>
  </si>
  <si>
    <t>MAGEE</t>
  </si>
  <si>
    <t>KENYA</t>
  </si>
  <si>
    <t>ANDREA</t>
  </si>
  <si>
    <t>rtdc.l.rtdc.4062:itc</t>
  </si>
  <si>
    <t>rtdc.l.rtdc.4022:itc</t>
  </si>
  <si>
    <t>rtdc.l.rtdc.4061:itc</t>
  </si>
  <si>
    <t>rtdc.l.rtdc.4029:itc</t>
  </si>
  <si>
    <t>224-31</t>
  </si>
  <si>
    <t>232-31</t>
  </si>
  <si>
    <t>238-31</t>
  </si>
  <si>
    <t>rtdc.l.rtdc.4059:itc</t>
  </si>
  <si>
    <t>rtdc.l.rtdc.4028:itc</t>
  </si>
  <si>
    <t>rtdc.l.rtdc.4030:itc</t>
  </si>
  <si>
    <t>SMITH</t>
  </si>
  <si>
    <t>STAMBAUGH</t>
  </si>
  <si>
    <t>JAMES</t>
  </si>
  <si>
    <t>MOSES</t>
  </si>
  <si>
    <t>BRADLEY</t>
  </si>
  <si>
    <t>214-31</t>
  </si>
  <si>
    <t>839-31</t>
  </si>
  <si>
    <t>301-31</t>
  </si>
  <si>
    <t>216-31</t>
  </si>
  <si>
    <t>906-31</t>
  </si>
  <si>
    <t>221-31</t>
  </si>
  <si>
    <t>218-31</t>
  </si>
  <si>
    <t>841-31</t>
  </si>
  <si>
    <t>303-31</t>
  </si>
  <si>
    <t>223-31</t>
  </si>
  <si>
    <t>220-31</t>
  </si>
  <si>
    <t>840-31</t>
  </si>
  <si>
    <t>305-31</t>
  </si>
  <si>
    <t>222-31</t>
  </si>
  <si>
    <t>843-31</t>
  </si>
  <si>
    <t>225-31</t>
  </si>
  <si>
    <t>842-31</t>
  </si>
  <si>
    <t>227-31</t>
  </si>
  <si>
    <t>229-31</t>
  </si>
  <si>
    <t>226-31</t>
  </si>
  <si>
    <t>845-31</t>
  </si>
  <si>
    <t>231-31</t>
  </si>
  <si>
    <t>228-31</t>
  </si>
  <si>
    <t>844-31</t>
  </si>
  <si>
    <t>233-31</t>
  </si>
  <si>
    <t>230-31</t>
  </si>
  <si>
    <t>847-31</t>
  </si>
  <si>
    <t>235-31</t>
  </si>
  <si>
    <t>846-31</t>
  </si>
  <si>
    <t>237-31</t>
  </si>
  <si>
    <t>234-31</t>
  </si>
  <si>
    <t>849-31</t>
  </si>
  <si>
    <t>239-31</t>
  </si>
  <si>
    <t>236-31</t>
  </si>
  <si>
    <t>908-31</t>
  </si>
  <si>
    <t>241-31</t>
  </si>
  <si>
    <t>240-31</t>
  </si>
  <si>
    <t>243-31</t>
  </si>
  <si>
    <t>313-31</t>
  </si>
  <si>
    <t>242-31</t>
  </si>
  <si>
    <t>307-31</t>
  </si>
  <si>
    <t>244-31</t>
  </si>
  <si>
    <t>309-31</t>
  </si>
  <si>
    <t>311-31</t>
  </si>
  <si>
    <t>rtdc.l.rtdc.4010:itc</t>
  </si>
  <si>
    <t>rtdc.l.rtdc.4049:itc</t>
  </si>
  <si>
    <t>rtdc.l.rtdc.4050:itc</t>
  </si>
  <si>
    <t>AUSTIN</t>
  </si>
  <si>
    <t>rtdc.l.rtdc.4042:itc</t>
  </si>
  <si>
    <t>rtdc.l.rtdc.4052:itc</t>
  </si>
  <si>
    <t>243-08</t>
  </si>
  <si>
    <t>rtdc.l.rtdc.4051:itc</t>
  </si>
  <si>
    <t>LOPES</t>
  </si>
  <si>
    <t>KIMBERLY</t>
  </si>
  <si>
    <t>MCREYNOLDS</t>
  </si>
  <si>
    <t>KYLE</t>
  </si>
  <si>
    <t>240-08</t>
  </si>
  <si>
    <t>313-08</t>
  </si>
  <si>
    <t>242-08</t>
  </si>
  <si>
    <t>307-08</t>
  </si>
  <si>
    <t>244-08</t>
  </si>
  <si>
    <t>309-08</t>
  </si>
  <si>
    <t>311-08</t>
  </si>
  <si>
    <t>ELBAUM</t>
  </si>
  <si>
    <t>MIKE</t>
  </si>
  <si>
    <t>204:196</t>
  </si>
  <si>
    <t>Wi-MAX data drop</t>
  </si>
  <si>
    <t>HAMMOND</t>
  </si>
  <si>
    <t>JUSTYNN</t>
  </si>
  <si>
    <t>311-17</t>
  </si>
  <si>
    <t>313-17</t>
  </si>
  <si>
    <t>204:225</t>
  </si>
  <si>
    <t>rtdc.l.rtdc.4006:itc</t>
  </si>
  <si>
    <t>313-22</t>
  </si>
  <si>
    <t>309-22</t>
  </si>
  <si>
    <t>311-22</t>
  </si>
  <si>
    <t>ANDERS</t>
  </si>
  <si>
    <t>STEVEN</t>
  </si>
  <si>
    <t>rtdc.l.rtdc.4009:itc</t>
  </si>
  <si>
    <t>204:201</t>
  </si>
  <si>
    <t>rtdc.l.rtdc.4044:itc</t>
  </si>
  <si>
    <t>204:205</t>
  </si>
  <si>
    <t>Early Arrival</t>
  </si>
  <si>
    <t>204:517</t>
  </si>
  <si>
    <t>204:233295</t>
  </si>
  <si>
    <t>204:156</t>
  </si>
  <si>
    <t>DAVID</t>
  </si>
  <si>
    <t>204:522</t>
  </si>
  <si>
    <t>204:497</t>
  </si>
  <si>
    <t>204:200</t>
  </si>
  <si>
    <t>204:233278</t>
  </si>
  <si>
    <t>rtdc.l.rtdc.4019:itc</t>
  </si>
  <si>
    <t>rtdc.l.rtdc.4020:itc</t>
  </si>
  <si>
    <t>DAVIDSON</t>
  </si>
  <si>
    <t>246-22</t>
  </si>
  <si>
    <t>204:232977</t>
  </si>
  <si>
    <t>204:489</t>
  </si>
  <si>
    <t>204:214</t>
  </si>
  <si>
    <t>SWITCH UNKNOWN</t>
  </si>
  <si>
    <t>Track device (7)</t>
  </si>
  <si>
    <t>204:209</t>
  </si>
  <si>
    <t>204:480</t>
  </si>
  <si>
    <t>204:508</t>
  </si>
  <si>
    <t>204:500</t>
  </si>
  <si>
    <t>204:535</t>
  </si>
  <si>
    <t>rtdc.l.rtdc.4033:itc</t>
  </si>
  <si>
    <t>rtdc.l.rtdc.4064:itc</t>
  </si>
  <si>
    <t>204:515</t>
  </si>
  <si>
    <t>204:150</t>
  </si>
  <si>
    <t>204:484</t>
  </si>
  <si>
    <t>204:167</t>
  </si>
  <si>
    <t>204:475</t>
  </si>
  <si>
    <t>204:233299</t>
  </si>
  <si>
    <t>204:498</t>
  </si>
  <si>
    <t>204:172</t>
  </si>
  <si>
    <t>204:211</t>
  </si>
  <si>
    <t>204:451</t>
  </si>
  <si>
    <t>204:469</t>
  </si>
  <si>
    <t>204:218</t>
  </si>
  <si>
    <t>rtdc.l.rtdc.4063:itc</t>
  </si>
  <si>
    <t>clear-day</t>
  </si>
  <si>
    <t>Clear</t>
  </si>
  <si>
    <t>clear-night</t>
  </si>
  <si>
    <t>204:242</t>
  </si>
  <si>
    <t>204:233291</t>
  </si>
  <si>
    <t>204:444</t>
  </si>
  <si>
    <t>204:548</t>
  </si>
  <si>
    <t>204:216</t>
  </si>
  <si>
    <t>204:524</t>
  </si>
  <si>
    <t>300:58939</t>
  </si>
  <si>
    <t>300:58630</t>
  </si>
  <si>
    <t>204:511</t>
  </si>
  <si>
    <t>204:232983</t>
  </si>
  <si>
    <t>204:540</t>
  </si>
  <si>
    <t>204:551</t>
  </si>
  <si>
    <t>204:232942</t>
  </si>
  <si>
    <t>rtdc.l.rtdc.4002:itc</t>
  </si>
  <si>
    <t>rtdc.l.rtdc.4034:itc</t>
  </si>
  <si>
    <t>GEBRETEKLE</t>
  </si>
  <si>
    <t>DAGNEW</t>
  </si>
  <si>
    <t>FORTUNATO</t>
  </si>
  <si>
    <t>FRANK</t>
  </si>
  <si>
    <t>NEWELL</t>
  </si>
  <si>
    <t>BRUDER</t>
  </si>
  <si>
    <t>RICHARD</t>
  </si>
  <si>
    <t>HOLCOMB</t>
  </si>
  <si>
    <t>KAMDEN</t>
  </si>
  <si>
    <t>DE LA ROSA</t>
  </si>
  <si>
    <t>ALEX</t>
  </si>
  <si>
    <t>204:152</t>
  </si>
  <si>
    <t>204:232984</t>
  </si>
  <si>
    <t>204:233251</t>
  </si>
  <si>
    <t>204:533</t>
  </si>
  <si>
    <t>204:233021</t>
  </si>
  <si>
    <t>204:457</t>
  </si>
  <si>
    <t>204:233315</t>
  </si>
  <si>
    <t>204:232972</t>
  </si>
  <si>
    <t>204:233340</t>
  </si>
  <si>
    <t>204:438</t>
  </si>
  <si>
    <t>204:231</t>
  </si>
  <si>
    <t>204:504</t>
  </si>
  <si>
    <t>204:437</t>
  </si>
  <si>
    <t>204:482</t>
  </si>
  <si>
    <t>204:539</t>
  </si>
  <si>
    <t>204:189</t>
  </si>
  <si>
    <t>204:233286</t>
  </si>
  <si>
    <t>204:229</t>
  </si>
  <si>
    <t>204:232900</t>
  </si>
  <si>
    <t>204:260</t>
  </si>
  <si>
    <t>204:236</t>
  </si>
  <si>
    <t>204:262</t>
  </si>
  <si>
    <t>204:232960</t>
  </si>
  <si>
    <t>204:513</t>
  </si>
  <si>
    <t>204:254</t>
  </si>
  <si>
    <t>204:446</t>
  </si>
  <si>
    <t>300:58954</t>
  </si>
  <si>
    <t>300:58634</t>
  </si>
  <si>
    <t>300:58623</t>
  </si>
  <si>
    <t>rtdc.l.rtdc.4045:itc</t>
  </si>
  <si>
    <t>rtdc.l.rtdc.4046:itc</t>
  </si>
  <si>
    <t>rtdc.l.rtdc.4015:itc</t>
  </si>
  <si>
    <t>rtdc.l.rtdc.4032:itc</t>
  </si>
  <si>
    <t>rtdc.l.rtdc.4043:itc</t>
  </si>
  <si>
    <t>242-04</t>
  </si>
  <si>
    <t>rtdc.l.rtdc.4056:itc</t>
  </si>
  <si>
    <t>DONTE</t>
  </si>
  <si>
    <t>rtdc.l.rtdc.4031:itc</t>
  </si>
  <si>
    <t>rtdc.l.rtdc.4016:itc</t>
  </si>
  <si>
    <t>BADERTSCHER</t>
  </si>
  <si>
    <t>DIANE</t>
  </si>
  <si>
    <t>WEST</t>
  </si>
  <si>
    <t>BRYAN</t>
  </si>
  <si>
    <t>rtdc.l.rtdc.4054:itc</t>
  </si>
  <si>
    <t>239-04</t>
  </si>
  <si>
    <t>908-04</t>
  </si>
  <si>
    <t>241-04</t>
  </si>
  <si>
    <t>238-04</t>
  </si>
  <si>
    <t>243-04</t>
  </si>
  <si>
    <t>240-04</t>
  </si>
  <si>
    <t>313-04</t>
  </si>
  <si>
    <t>307-04</t>
  </si>
  <si>
    <t>244-04</t>
  </si>
  <si>
    <t>309-04</t>
  </si>
  <si>
    <t>311-04</t>
  </si>
  <si>
    <t>204:232987</t>
  </si>
  <si>
    <t>204:232970</t>
  </si>
  <si>
    <t>204:191</t>
  </si>
  <si>
    <t>204:149</t>
  </si>
  <si>
    <t>204:442</t>
  </si>
  <si>
    <t>204:233289</t>
  </si>
  <si>
    <t>204:232955</t>
  </si>
  <si>
    <t>204:163</t>
  </si>
  <si>
    <t>204:232917</t>
  </si>
  <si>
    <t>204:232996</t>
  </si>
  <si>
    <t>204:233297</t>
  </si>
  <si>
    <t>204:232980</t>
  </si>
  <si>
    <t>204:233280</t>
  </si>
  <si>
    <t>204:488</t>
  </si>
  <si>
    <t>204:233288</t>
  </si>
  <si>
    <t>204:233232</t>
  </si>
  <si>
    <t>204:232945</t>
  </si>
  <si>
    <t>204:203</t>
  </si>
  <si>
    <t>204:233305</t>
  </si>
  <si>
    <t>204:447</t>
  </si>
  <si>
    <t>204:233243</t>
  </si>
  <si>
    <t>204:198</t>
  </si>
  <si>
    <t>204:187</t>
  </si>
  <si>
    <t>204:455</t>
  </si>
  <si>
    <t>204:509</t>
  </si>
  <si>
    <t>204:233336</t>
  </si>
  <si>
    <t>204:233010</t>
  </si>
  <si>
    <t>204:249</t>
  </si>
  <si>
    <t>204:232879</t>
  </si>
  <si>
    <t>204:181</t>
  </si>
  <si>
    <t>204:233317</t>
  </si>
  <si>
    <t>204:234</t>
  </si>
  <si>
    <t>204:520</t>
  </si>
  <si>
    <t>204:233230</t>
  </si>
  <si>
    <t>204:212</t>
  </si>
  <si>
    <t>204:233219</t>
  </si>
  <si>
    <t>204:185</t>
  </si>
  <si>
    <t>204:233338</t>
  </si>
  <si>
    <t>204:542</t>
  </si>
  <si>
    <t>204:232871</t>
  </si>
  <si>
    <t>204:233240</t>
  </si>
  <si>
    <t>204:267</t>
  </si>
  <si>
    <t>204:557</t>
  </si>
  <si>
    <t>204:240</t>
  </si>
  <si>
    <t>204:568</t>
  </si>
  <si>
    <t>204:233261</t>
  </si>
  <si>
    <t>204:571</t>
  </si>
  <si>
    <t>204:1148</t>
  </si>
  <si>
    <t>300:58655</t>
  </si>
  <si>
    <t>300:58986</t>
  </si>
  <si>
    <t>300:58621</t>
  </si>
  <si>
    <t>300:58943</t>
  </si>
  <si>
    <t>300:58624</t>
  </si>
  <si>
    <t>204:459</t>
  </si>
  <si>
    <t>204:460</t>
  </si>
  <si>
    <t>300:28786</t>
  </si>
  <si>
    <t>Onboard en route failure</t>
  </si>
  <si>
    <t>119-06</t>
  </si>
  <si>
    <t>112-06</t>
  </si>
  <si>
    <t>125-06</t>
  </si>
  <si>
    <t>1803-06</t>
  </si>
  <si>
    <t>133-06</t>
  </si>
  <si>
    <t>124-06</t>
  </si>
  <si>
    <t>135-06</t>
  </si>
  <si>
    <t>126-06</t>
  </si>
  <si>
    <t>1806-06</t>
  </si>
  <si>
    <t>rtdc.l.rtdc.4053:itc</t>
  </si>
  <si>
    <t>51-06</t>
  </si>
  <si>
    <t>148-06</t>
  </si>
  <si>
    <t>1814-06</t>
  </si>
  <si>
    <t>175-06</t>
  </si>
  <si>
    <t>182-06</t>
  </si>
  <si>
    <t>201-06</t>
  </si>
  <si>
    <t>1824-06</t>
  </si>
  <si>
    <t>213-06</t>
  </si>
  <si>
    <t>218-06</t>
  </si>
  <si>
    <t>1828-06</t>
  </si>
  <si>
    <t>222-06</t>
  </si>
  <si>
    <t>220-06</t>
  </si>
  <si>
    <t>224-06</t>
  </si>
  <si>
    <t>232-06</t>
  </si>
  <si>
    <t>1834-06</t>
  </si>
  <si>
    <t>234-06</t>
  </si>
  <si>
    <t>239-06</t>
  </si>
  <si>
    <t>238-06</t>
  </si>
  <si>
    <t>245-05</t>
  </si>
  <si>
    <t>242-05</t>
  </si>
  <si>
    <t>244-05</t>
  </si>
  <si>
    <t>307-05</t>
  </si>
  <si>
    <t>309-05</t>
  </si>
  <si>
    <t>246-05</t>
  </si>
  <si>
    <t>311-05</t>
  </si>
  <si>
    <t>313-05</t>
  </si>
  <si>
    <t>300-06</t>
  </si>
  <si>
    <t>LESTER</t>
  </si>
  <si>
    <t>101-06</t>
  </si>
  <si>
    <t>302-06</t>
  </si>
  <si>
    <t>LANGERAK</t>
  </si>
  <si>
    <t>WILLIAM</t>
  </si>
  <si>
    <t>103-06</t>
  </si>
  <si>
    <t>304-06</t>
  </si>
  <si>
    <t>306-06</t>
  </si>
  <si>
    <t>105-06</t>
  </si>
  <si>
    <t>102-06</t>
  </si>
  <si>
    <t>308-06</t>
  </si>
  <si>
    <t>DELGADO</t>
  </si>
  <si>
    <t>DIANAH</t>
  </si>
  <si>
    <t>107-06</t>
  </si>
  <si>
    <t>104-06</t>
  </si>
  <si>
    <t>109-06</t>
  </si>
  <si>
    <t>310-06</t>
  </si>
  <si>
    <t>MACDONALD</t>
  </si>
  <si>
    <t>THOMAS</t>
  </si>
  <si>
    <t>111-06</t>
  </si>
  <si>
    <t>106-06</t>
  </si>
  <si>
    <t>113-06</t>
  </si>
  <si>
    <t>108-06</t>
  </si>
  <si>
    <t>312-06</t>
  </si>
  <si>
    <t>110-06</t>
  </si>
  <si>
    <t>115-06</t>
  </si>
  <si>
    <t>1901-06</t>
  </si>
  <si>
    <t>LAMAR</t>
  </si>
  <si>
    <t>NEKESHA</t>
  </si>
  <si>
    <t>117-06</t>
  </si>
  <si>
    <t>1800-06</t>
  </si>
  <si>
    <t>1801-06</t>
  </si>
  <si>
    <t>116-06</t>
  </si>
  <si>
    <t>121-06</t>
  </si>
  <si>
    <t>114-06</t>
  </si>
  <si>
    <t>123-06</t>
  </si>
  <si>
    <t>1802-06</t>
  </si>
  <si>
    <t>118-06</t>
  </si>
  <si>
    <t>120-06</t>
  </si>
  <si>
    <t>122-06</t>
  </si>
  <si>
    <t>127-06</t>
  </si>
  <si>
    <t>129-06</t>
  </si>
  <si>
    <t>137-06</t>
  </si>
  <si>
    <t>131-06</t>
  </si>
  <si>
    <t>1804-06</t>
  </si>
  <si>
    <t>128-06</t>
  </si>
  <si>
    <t>130-06</t>
  </si>
  <si>
    <t>1805-06</t>
  </si>
  <si>
    <t>132-06</t>
  </si>
  <si>
    <t>134-06</t>
  </si>
  <si>
    <t>139-06</t>
  </si>
  <si>
    <t>136-06</t>
  </si>
  <si>
    <t>141-06</t>
  </si>
  <si>
    <t>143-06</t>
  </si>
  <si>
    <t>1807-06</t>
  </si>
  <si>
    <t>138-06</t>
  </si>
  <si>
    <t>145-06</t>
  </si>
  <si>
    <t>147-06</t>
  </si>
  <si>
    <t>1808-06</t>
  </si>
  <si>
    <t>140-06</t>
  </si>
  <si>
    <t>50-06</t>
  </si>
  <si>
    <t>149-06</t>
  </si>
  <si>
    <t>144-06</t>
  </si>
  <si>
    <t>142-06</t>
  </si>
  <si>
    <t>151-06</t>
  </si>
  <si>
    <t>146-06</t>
  </si>
  <si>
    <t>153-06</t>
  </si>
  <si>
    <t>1809-06</t>
  </si>
  <si>
    <t>150-06</t>
  </si>
  <si>
    <t>1810-06</t>
  </si>
  <si>
    <t>155-06</t>
  </si>
  <si>
    <t>PAGE</t>
  </si>
  <si>
    <t>MARCUS</t>
  </si>
  <si>
    <t>152-06</t>
  </si>
  <si>
    <t>157-06</t>
  </si>
  <si>
    <t>159-06</t>
  </si>
  <si>
    <t>1811-06</t>
  </si>
  <si>
    <t>156-06</t>
  </si>
  <si>
    <t>154-06</t>
  </si>
  <si>
    <t>161-06</t>
  </si>
  <si>
    <t>DAVIS</t>
  </si>
  <si>
    <t>1812-06</t>
  </si>
  <si>
    <t>163-06</t>
  </si>
  <si>
    <t>165-06</t>
  </si>
  <si>
    <t>158-06</t>
  </si>
  <si>
    <t>160-06</t>
  </si>
  <si>
    <t>167-06</t>
  </si>
  <si>
    <t>1813-06</t>
  </si>
  <si>
    <t>164-06</t>
  </si>
  <si>
    <t>162-06</t>
  </si>
  <si>
    <t>169-06</t>
  </si>
  <si>
    <t>GONZALEZ</t>
  </si>
  <si>
    <t>ARMANDO</t>
  </si>
  <si>
    <t>171-06</t>
  </si>
  <si>
    <t>166-06</t>
  </si>
  <si>
    <t>173-06</t>
  </si>
  <si>
    <t>168-06</t>
  </si>
  <si>
    <t>170-06</t>
  </si>
  <si>
    <t>1815-06</t>
  </si>
  <si>
    <t>177-06</t>
  </si>
  <si>
    <t>172-06</t>
  </si>
  <si>
    <t>1816-06</t>
  </si>
  <si>
    <t>179-06</t>
  </si>
  <si>
    <t>181-06</t>
  </si>
  <si>
    <t>174-06</t>
  </si>
  <si>
    <t>183-06</t>
  </si>
  <si>
    <t>178-06</t>
  </si>
  <si>
    <t>176-06</t>
  </si>
  <si>
    <t>1817-06</t>
  </si>
  <si>
    <t>185-06</t>
  </si>
  <si>
    <t>180-06</t>
  </si>
  <si>
    <t>1818-06</t>
  </si>
  <si>
    <t>187-06</t>
  </si>
  <si>
    <t>189-06</t>
  </si>
  <si>
    <t>184-06</t>
  </si>
  <si>
    <t>191-06</t>
  </si>
  <si>
    <t>1819-06</t>
  </si>
  <si>
    <t>186-06</t>
  </si>
  <si>
    <t>193-06</t>
  </si>
  <si>
    <t>188-06</t>
  </si>
  <si>
    <t>195-06</t>
  </si>
  <si>
    <t>1820-06</t>
  </si>
  <si>
    <t>197-06</t>
  </si>
  <si>
    <t>192-06</t>
  </si>
  <si>
    <t>190-06</t>
  </si>
  <si>
    <t>194-06</t>
  </si>
  <si>
    <t>199-06</t>
  </si>
  <si>
    <t>1821-06</t>
  </si>
  <si>
    <t>53-06</t>
  </si>
  <si>
    <t>ROMERO</t>
  </si>
  <si>
    <t>CHAD</t>
  </si>
  <si>
    <t>196-06</t>
  </si>
  <si>
    <t>1822-06</t>
  </si>
  <si>
    <t>203-06</t>
  </si>
  <si>
    <t>198-06</t>
  </si>
  <si>
    <t>205-06</t>
  </si>
  <si>
    <t>207-06</t>
  </si>
  <si>
    <t>200-06</t>
  </si>
  <si>
    <t>1823-06</t>
  </si>
  <si>
    <t>202-06</t>
  </si>
  <si>
    <t>209-06</t>
  </si>
  <si>
    <t>61-06</t>
  </si>
  <si>
    <t>BIRENBAUM</t>
  </si>
  <si>
    <t>204-06</t>
  </si>
  <si>
    <t>206-06</t>
  </si>
  <si>
    <t>211-06</t>
  </si>
  <si>
    <t>208-06</t>
  </si>
  <si>
    <t>rtdc.l.rtdc.4057:itc</t>
  </si>
  <si>
    <t>76-06</t>
  </si>
  <si>
    <t>215-06</t>
  </si>
  <si>
    <t>1825-06</t>
  </si>
  <si>
    <t>210-06</t>
  </si>
  <si>
    <t>217-06</t>
  </si>
  <si>
    <t>212-06</t>
  </si>
  <si>
    <t>219-06</t>
  </si>
  <si>
    <t>1826-06</t>
  </si>
  <si>
    <t>214-06</t>
  </si>
  <si>
    <t>216-06</t>
  </si>
  <si>
    <t>301-06</t>
  </si>
  <si>
    <t>221-06</t>
  </si>
  <si>
    <t>1827-06</t>
  </si>
  <si>
    <t>303-06</t>
  </si>
  <si>
    <t>223-06</t>
  </si>
  <si>
    <t>305-06</t>
  </si>
  <si>
    <t>225-06</t>
  </si>
  <si>
    <t>rtdc.l.rtdc.4058:itc</t>
  </si>
  <si>
    <t>52-06</t>
  </si>
  <si>
    <t>1829-06</t>
  </si>
  <si>
    <t>227-06</t>
  </si>
  <si>
    <t>1830-06</t>
  </si>
  <si>
    <t>226-06</t>
  </si>
  <si>
    <t>229-06</t>
  </si>
  <si>
    <t>1831-06</t>
  </si>
  <si>
    <t>228-06</t>
  </si>
  <si>
    <t>231-06</t>
  </si>
  <si>
    <t>1832-06</t>
  </si>
  <si>
    <t>233-06</t>
  </si>
  <si>
    <t>230-06</t>
  </si>
  <si>
    <t>1833-06</t>
  </si>
  <si>
    <t>235-06</t>
  </si>
  <si>
    <t>237-06</t>
  </si>
  <si>
    <t>1835-06</t>
  </si>
  <si>
    <t>236-06</t>
  </si>
  <si>
    <t>1902-06</t>
  </si>
  <si>
    <t>241-06</t>
  </si>
  <si>
    <t>240-06</t>
  </si>
  <si>
    <t>243-06</t>
  </si>
  <si>
    <t>242-06</t>
  </si>
  <si>
    <t>245-06</t>
  </si>
  <si>
    <t>307-06</t>
  </si>
  <si>
    <t>244-06</t>
  </si>
  <si>
    <t>309-06</t>
  </si>
  <si>
    <t>246-06</t>
  </si>
  <si>
    <t>311-06</t>
  </si>
  <si>
    <t>313-06</t>
  </si>
  <si>
    <t>partly-cloudy-day</t>
  </si>
  <si>
    <t>Partly Cloudy</t>
  </si>
  <si>
    <t>partly-cloudy-night</t>
  </si>
  <si>
    <t>Mostly Cloudy</t>
  </si>
  <si>
    <t>204:761</t>
  </si>
  <si>
    <t>204:584</t>
  </si>
  <si>
    <t>204:233325</t>
  </si>
  <si>
    <t>204:245</t>
  </si>
  <si>
    <t>204:233199</t>
  </si>
  <si>
    <t>204:147</t>
  </si>
  <si>
    <t>204:233011</t>
  </si>
  <si>
    <t>204:136</t>
  </si>
  <si>
    <t>204:528</t>
  </si>
  <si>
    <t>204:233224</t>
  </si>
  <si>
    <t>204:232932</t>
  </si>
  <si>
    <t>204:233213</t>
  </si>
  <si>
    <t>204:232877</t>
  </si>
  <si>
    <t>204:233301</t>
  </si>
  <si>
    <t>204:232967</t>
  </si>
  <si>
    <t>204:233287</t>
  </si>
  <si>
    <t>204:232974</t>
  </si>
  <si>
    <t>204:132</t>
  </si>
  <si>
    <t>204:232940</t>
  </si>
  <si>
    <t>204:233266</t>
  </si>
  <si>
    <t>204:233264</t>
  </si>
  <si>
    <t>204:232881</t>
  </si>
  <si>
    <t>204:232875</t>
  </si>
  <si>
    <t>204:165</t>
  </si>
  <si>
    <t>204:233330</t>
  </si>
  <si>
    <t>204:233001</t>
  </si>
  <si>
    <t>204:232962</t>
  </si>
  <si>
    <t>204:233205</t>
  </si>
  <si>
    <t>204:233225</t>
  </si>
  <si>
    <t>204:232904</t>
  </si>
  <si>
    <t>204:232927</t>
  </si>
  <si>
    <t>204:233204</t>
  </si>
  <si>
    <t>204:232889</t>
  </si>
  <si>
    <t>204:232965</t>
  </si>
  <si>
    <t>204:154</t>
  </si>
  <si>
    <t>204:232963</t>
  </si>
  <si>
    <t>204:440</t>
  </si>
  <si>
    <t>204:233220</t>
  </si>
  <si>
    <t>204:232884</t>
  </si>
  <si>
    <t>204:232990</t>
  </si>
  <si>
    <t>204:233000</t>
  </si>
  <si>
    <t>204:233307</t>
  </si>
  <si>
    <t>204:232992</t>
  </si>
  <si>
    <t>204:233255</t>
  </si>
  <si>
    <t>204:232894</t>
  </si>
  <si>
    <t>204:232921</t>
  </si>
  <si>
    <t>204:529</t>
  </si>
  <si>
    <t>204:233304</t>
  </si>
  <si>
    <t>204:233311</t>
  </si>
  <si>
    <t>204:232988</t>
  </si>
  <si>
    <t>300:58643</t>
  </si>
  <si>
    <t>204:175</t>
  </si>
  <si>
    <t>300:58933</t>
  </si>
  <si>
    <t>204:4615</t>
  </si>
  <si>
    <t>300:58946</t>
  </si>
  <si>
    <t>204:178</t>
  </si>
  <si>
    <t>204:464</t>
  </si>
  <si>
    <t>300:58956</t>
  </si>
  <si>
    <t>300:58651</t>
  </si>
  <si>
    <t>204:4649</t>
  </si>
  <si>
    <t>204:495</t>
  </si>
  <si>
    <t>300:58632</t>
  </si>
  <si>
    <t>204:151</t>
  </si>
  <si>
    <t>300:58944</t>
  </si>
  <si>
    <t>204:4675</t>
  </si>
  <si>
    <t>300:58969</t>
  </si>
  <si>
    <t>204:182</t>
  </si>
  <si>
    <t>300:58980</t>
  </si>
  <si>
    <t>204:276</t>
  </si>
  <si>
    <t>300:58664</t>
  </si>
  <si>
    <t>300:58971</t>
  </si>
  <si>
    <t>300:58967</t>
  </si>
  <si>
    <t>204:4578</t>
  </si>
  <si>
    <t>204:502</t>
  </si>
  <si>
    <t>300:58950</t>
  </si>
  <si>
    <t>300:58641</t>
  </si>
  <si>
    <t>204:471</t>
  </si>
  <si>
    <t>300:58952</t>
  </si>
  <si>
    <t>204:4714</t>
  </si>
  <si>
    <t>204:233319</t>
  </si>
  <si>
    <t>204:176</t>
  </si>
  <si>
    <t>300:58681</t>
  </si>
  <si>
    <t>300:59010</t>
  </si>
  <si>
    <t>300:58688</t>
  </si>
  <si>
    <t>204:4571</t>
  </si>
  <si>
    <t>204:233215</t>
  </si>
  <si>
    <t>204:232890</t>
  </si>
  <si>
    <t>204:232909</t>
  </si>
  <si>
    <t>300:30044</t>
  </si>
  <si>
    <t>300:58672</t>
  </si>
  <si>
    <t>204:478</t>
  </si>
  <si>
    <t>204:233320</t>
  </si>
  <si>
    <t>204:233210</t>
  </si>
  <si>
    <t>204:146182</t>
  </si>
  <si>
    <t>204:232961</t>
  </si>
  <si>
    <t>204:233023</t>
  </si>
  <si>
    <t>204:232950</t>
  </si>
  <si>
    <t>204:233332</t>
  </si>
  <si>
    <t>204:233006</t>
  </si>
  <si>
    <t>204:989</t>
  </si>
  <si>
    <t>204:88431</t>
  </si>
  <si>
    <t>204:232865</t>
  </si>
  <si>
    <t>204:233202</t>
  </si>
  <si>
    <t>204:269</t>
  </si>
  <si>
    <t>204:954</t>
  </si>
  <si>
    <t>204:575</t>
  </si>
  <si>
    <t>204:233246</t>
  </si>
  <si>
    <t>204:232953</t>
  </si>
  <si>
    <t>204:232951</t>
  </si>
  <si>
    <t>204:233200</t>
  </si>
  <si>
    <t>204:232989</t>
  </si>
  <si>
    <t>204:555</t>
  </si>
  <si>
    <t>204:247</t>
  </si>
  <si>
    <t>204:233189</t>
  </si>
  <si>
    <t>204:232874</t>
  </si>
  <si>
    <t>204:293</t>
  </si>
  <si>
    <t>204:531</t>
  </si>
  <si>
    <t>204:233185</t>
  </si>
  <si>
    <t>204:232866</t>
  </si>
  <si>
    <t>204:233195</t>
  </si>
  <si>
    <t>204:232883</t>
  </si>
  <si>
    <t>204:570</t>
  </si>
  <si>
    <t>204:233351</t>
  </si>
  <si>
    <t>204:233030</t>
  </si>
  <si>
    <t>300:23571</t>
  </si>
  <si>
    <t>300:23308</t>
  </si>
  <si>
    <t>300:22773</t>
  </si>
  <si>
    <t>204:271</t>
  </si>
  <si>
    <t>204:1303</t>
  </si>
  <si>
    <t>300:23449</t>
  </si>
  <si>
    <t>300:23297</t>
  </si>
  <si>
    <t>300:23423</t>
  </si>
  <si>
    <t>300:23304</t>
  </si>
  <si>
    <t>300:25128</t>
  </si>
  <si>
    <t>300:23316</t>
  </si>
  <si>
    <t>300:23616</t>
  </si>
  <si>
    <t>300:23625</t>
  </si>
  <si>
    <t>204:3530</t>
  </si>
  <si>
    <t>204:3213</t>
  </si>
  <si>
    <t>204:1164</t>
  </si>
  <si>
    <t>204:1171</t>
  </si>
  <si>
    <t>204:3443</t>
  </si>
  <si>
    <t>204:3108</t>
  </si>
  <si>
    <t>204:309</t>
  </si>
  <si>
    <t>204:3458</t>
  </si>
  <si>
    <t>204:3475</t>
  </si>
  <si>
    <t>204:3762</t>
  </si>
  <si>
    <t>204:1479</t>
  </si>
  <si>
    <t>300:23346</t>
  </si>
  <si>
    <t>204:1158</t>
  </si>
  <si>
    <t>300:23321</t>
  </si>
  <si>
    <t>start /low /b %USERPROFILE%\Documents\GitHub\eaglep3\Utilities\DownloadLogsFromS3.py --loco 4064 --day 2018-01-06</t>
  </si>
  <si>
    <t>start /low /b %USERPROFILE%\Documents\GitHub\eaglep3\Utilities\DownloadLogsFromS3.py --loco 4029 --day 2018-01-06</t>
  </si>
  <si>
    <t>start /low /b %USERPROFILE%\Documents\GitHub\eaglep3\Utilities\DownloadLogsFromS3.py --loco 4031 --day 1969-12-31</t>
  </si>
  <si>
    <t>start /low /b %USERPROFILE%\Documents\GitHub\eaglep3\Utilities\DownloadLogsFromS3.py --loco 4060 --day 2018-01-06</t>
  </si>
  <si>
    <t>start /low /b %USERPROFILE%\Documents\GitHub\eaglep3\Utilities\DownloadLogsFromS3.py --loco 4043 --day 2018-01-06</t>
  </si>
  <si>
    <t>start /low /b %USERPROFILE%\Documents\GitHub\eaglep3\Utilities\DownloadLogsFromS3.py --loco 4055 --day 2018-01-06</t>
  </si>
  <si>
    <t>start /low /b %USERPROFILE%\Documents\GitHub\eaglep3\Utilities\DownloadLogsFromS3.py --loco 4030 --day 2018-01-06</t>
  </si>
  <si>
    <t>start /low /b %USERPROFILE%\Documents\GitHub\eaglep3\Utilities\DownloadLogsFromS3.py --loco 4043 --day 2018-01-07</t>
  </si>
  <si>
    <t>start /low /b %USERPROFILE%\Documents\GitHub\eaglep3\Utilities\DownloadLogsFromS3.py --loco 4064 --day 2018-01-07</t>
  </si>
  <si>
    <t>start /low /b %USERPROFILE%\Documents\GitHub\eaglep3\Utilities\DownloadLogsFromS3.py --loco 4029 --day 2018-01-07</t>
  </si>
  <si>
    <t>start /low /b %USERPROFILE%\Documents\GitHub\eaglep3\Utilities\DownloadLogsFromS3.py --loco 4012 --day 2018-01-06</t>
  </si>
  <si>
    <t>start /low /b %USERPROFILE%\Documents\GitHub\eaglep3\Utilities\DownloadLogsFromS3.py --loco 4018 --day 2018-01-06</t>
  </si>
  <si>
    <t>start /low /b %USERPROFILE%\Documents\GitHub\eaglep3\Utilities\DownloadLogsFromS3.py --loco 4063 --day 2018-01-07</t>
  </si>
  <si>
    <t>start /low /b %USERPROFILE%\Documents\GitHub\eaglep3\Utilities\DownloadLogsFromS3.py --loco 4017 --day 2018-01-06</t>
  </si>
  <si>
    <t>start /low /b %USERPROFILE%\Documents\GitHub\eaglep3\Utilities\DownloadLogsFromS3.py --loco 4056 --day 2018-01-06</t>
  </si>
  <si>
    <t>start /low /b %USERPROFILE%\Documents\GitHub\eaglep3\Utilities\DownloadLogsFromS3.py --loco 4055 --day 2018-01-07</t>
  </si>
  <si>
    <t>LAMAR NEKESHA</t>
  </si>
  <si>
    <t>1802-05</t>
  </si>
  <si>
    <t>Poor GPS under Wewatta St. overpass</t>
  </si>
  <si>
    <t>Operator observed unhealthy xing banner for Holly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</si>
</sst>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52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2" fillId="0" borderId="5" xfId="0" applyNumberFormat="1" applyFont="1" applyFill="1" applyBorder="1" applyAlignment="1">
      <alignment horizontal="center" vertical="center" wrapText="1"/>
    </xf>
    <xf numFmtId="169" fontId="12" fillId="0" borderId="5" xfId="0" applyFont="1" applyFill="1" applyBorder="1" applyAlignment="1">
      <alignment horizontal="center" vertical="center" wrapText="1"/>
    </xf>
    <xf numFmtId="1" fontId="12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/>
    <xf numFmtId="169" fontId="14" fillId="6" borderId="5" xfId="0" applyFont="1" applyFill="1" applyBorder="1" applyAlignment="1">
      <alignment horizontal="center" vertical="center" wrapText="1"/>
    </xf>
    <xf numFmtId="169" fontId="14" fillId="8" borderId="5" xfId="0" applyFont="1" applyFill="1" applyBorder="1" applyAlignment="1">
      <alignment horizontal="center" vertical="center" wrapText="1"/>
    </xf>
    <xf numFmtId="169" fontId="14" fillId="5" borderId="5" xfId="0" applyFont="1" applyFill="1" applyBorder="1"/>
    <xf numFmtId="169" fontId="12" fillId="0" borderId="5" xfId="0" applyNumberFormat="1" applyFont="1" applyFill="1" applyBorder="1" applyAlignment="1">
      <alignment horizontal="center" vertical="center" wrapText="1"/>
    </xf>
    <xf numFmtId="169" fontId="15" fillId="9" borderId="0" xfId="0" applyFont="1" applyFill="1" applyBorder="1" applyAlignment="1">
      <alignment horizontal="center" vertical="center" wrapText="1"/>
    </xf>
    <xf numFmtId="169" fontId="15" fillId="0" borderId="0" xfId="0" applyFont="1" applyBorder="1" applyAlignment="1">
      <alignment horizontal="center" vertical="center" wrapText="1"/>
    </xf>
    <xf numFmtId="169" fontId="13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2" fillId="0" borderId="5" xfId="0" applyNumberFormat="1" applyFont="1" applyFill="1" applyBorder="1" applyAlignment="1">
      <alignment horizontal="center" vertical="center" wrapText="1"/>
    </xf>
    <xf numFmtId="169" fontId="16" fillId="6" borderId="0" xfId="0" applyFont="1" applyFill="1"/>
    <xf numFmtId="169" fontId="17" fillId="0" borderId="0" xfId="0" applyFont="1" applyFill="1"/>
    <xf numFmtId="169" fontId="17" fillId="0" borderId="0" xfId="0" applyFont="1" applyFill="1" applyAlignment="1">
      <alignment horizontal="center" vertical="center"/>
    </xf>
    <xf numFmtId="169" fontId="18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2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5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4" xfId="0" applyNumberFormat="1" applyBorder="1" applyAlignment="1">
      <alignment horizontal="left"/>
    </xf>
    <xf numFmtId="169" fontId="0" fillId="0" borderId="2" xfId="0" applyNumberFormat="1" applyBorder="1" applyAlignment="1">
      <alignment horizontal="left" vertical="center"/>
    </xf>
    <xf numFmtId="169" fontId="0" fillId="0" borderId="4" xfId="0" applyNumberFormat="1" applyBorder="1" applyAlignment="1">
      <alignment horizontal="left" vertical="center"/>
    </xf>
    <xf numFmtId="169" fontId="0" fillId="0" borderId="5" xfId="0" applyNumberFormat="1" applyBorder="1" applyAlignment="1">
      <alignment horizontal="center" vertical="center" wrapText="1"/>
    </xf>
    <xf numFmtId="169" fontId="0" fillId="0" borderId="5" xfId="0" applyNumberFormat="1" applyFill="1" applyBorder="1"/>
    <xf numFmtId="169" fontId="12" fillId="0" borderId="5" xfId="0" applyNumberFormat="1" applyFont="1" applyFill="1" applyBorder="1" applyAlignment="1">
      <alignment horizontal="center" vertical="center" wrapText="1"/>
    </xf>
    <xf numFmtId="169" fontId="0" fillId="0" borderId="5" xfId="0" applyNumberFormat="1" applyFill="1" applyBorder="1" applyAlignment="1"/>
    <xf numFmtId="169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3" fillId="0" borderId="5" xfId="0" applyNumberFormat="1" applyFont="1" applyFill="1" applyBorder="1"/>
    <xf numFmtId="169" fontId="0" fillId="0" borderId="0" xfId="0" applyNumberFormat="1" applyFill="1"/>
    <xf numFmtId="2" fontId="0" fillId="0" borderId="5" xfId="0" applyNumberFormat="1" applyFill="1" applyBorder="1"/>
    <xf numFmtId="169" fontId="1" fillId="0" borderId="5" xfId="0" applyNumberFormat="1" applyFont="1" applyBorder="1" applyAlignment="1">
      <alignment horizontal="left" vertical="center" wrapText="1"/>
    </xf>
    <xf numFmtId="169" fontId="0" fillId="0" borderId="5" xfId="0" applyNumberFormat="1" applyFill="1" applyBorder="1" applyAlignment="1">
      <alignment horizontal="left"/>
    </xf>
    <xf numFmtId="169" fontId="11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2" borderId="0" xfId="0" applyFill="1"/>
    <xf numFmtId="169" fontId="0" fillId="2" borderId="0" xfId="0" applyFill="1" applyBorder="1"/>
    <xf numFmtId="169" fontId="0" fillId="2" borderId="5" xfId="0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0" applyNumberFormat="1" applyFill="1" applyAlignment="1">
      <alignment horizontal="left" wrapText="1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5" fillId="0" borderId="0" xfId="0" applyNumberFormat="1" applyFont="1" applyFill="1"/>
    <xf numFmtId="0" fontId="9" fillId="8" borderId="0" xfId="0" applyNumberFormat="1" applyFont="1" applyFill="1" applyBorder="1" applyAlignment="1">
      <alignment horizontal="center" vertical="center" wrapText="1"/>
    </xf>
    <xf numFmtId="0" fontId="9" fillId="8" borderId="0" xfId="0" applyNumberFormat="1" applyFont="1" applyFill="1" applyBorder="1"/>
    <xf numFmtId="0" fontId="5" fillId="8" borderId="0" xfId="0" applyNumberFormat="1" applyFont="1" applyFill="1"/>
    <xf numFmtId="0" fontId="1" fillId="0" borderId="0" xfId="0" applyNumberFormat="1" applyFont="1"/>
    <xf numFmtId="9" fontId="0" fillId="0" borderId="0" xfId="2" applyNumberFormat="1" applyFont="1"/>
    <xf numFmtId="9" fontId="1" fillId="0" borderId="5" xfId="2" applyNumberFormat="1" applyFont="1" applyBorder="1" applyAlignment="1">
      <alignment horizontal="center" vertical="center" wrapText="1"/>
    </xf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0" fillId="0" borderId="0" xfId="0" applyNumberFormat="1" applyBorder="1"/>
    <xf numFmtId="169" fontId="0" fillId="0" borderId="0" xfId="0"/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5" xfId="0" applyNumberFormat="1" applyFill="1" applyBorder="1" applyAlignment="1">
      <alignment horizontal="left"/>
    </xf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22" fontId="0" fillId="0" borderId="5" xfId="0" applyNumberFormat="1" applyFill="1" applyBorder="1" applyAlignment="1">
      <alignment horizontal="left"/>
    </xf>
    <xf numFmtId="169" fontId="0" fillId="0" borderId="0" xfId="0" applyNumberFormat="1"/>
    <xf numFmtId="169" fontId="9" fillId="0" borderId="0" xfId="0" applyFont="1" applyFill="1"/>
    <xf numFmtId="170" fontId="9" fillId="0" borderId="0" xfId="0" applyNumberFormat="1" applyFont="1" applyFill="1" applyBorder="1" applyAlignment="1">
      <alignment horizontal="left"/>
    </xf>
    <xf numFmtId="1" fontId="9" fillId="0" borderId="0" xfId="0" applyNumberFormat="1" applyFont="1" applyFill="1" applyBorder="1" applyAlignment="1">
      <alignment horizontal="left"/>
    </xf>
    <xf numFmtId="169" fontId="9" fillId="5" borderId="0" xfId="0" applyFont="1" applyFill="1"/>
    <xf numFmtId="169" fontId="9" fillId="6" borderId="0" xfId="0" applyFont="1" applyFill="1"/>
    <xf numFmtId="169" fontId="9" fillId="7" borderId="0" xfId="0" applyFont="1" applyFill="1"/>
    <xf numFmtId="169" fontId="0" fillId="0" borderId="17" xfId="0" applyFill="1" applyBorder="1" applyAlignment="1">
      <alignment horizontal="left"/>
    </xf>
    <xf numFmtId="169" fontId="9" fillId="9" borderId="0" xfId="0" applyFont="1" applyFill="1"/>
    <xf numFmtId="169" fontId="0" fillId="0" borderId="5" xfId="0" applyFill="1" applyBorder="1" applyAlignment="1">
      <alignment vertical="center"/>
    </xf>
    <xf numFmtId="169" fontId="6" fillId="0" borderId="0" xfId="0" applyFont="1"/>
    <xf numFmtId="169" fontId="9" fillId="0" borderId="0" xfId="0" applyFont="1"/>
    <xf numFmtId="169" fontId="0" fillId="0" borderId="5" xfId="0" applyNumberFormat="1" applyFill="1" applyBorder="1"/>
    <xf numFmtId="1" fontId="9" fillId="0" borderId="0" xfId="0" applyNumberFormat="1" applyFont="1" applyFill="1"/>
    <xf numFmtId="169" fontId="0" fillId="0" borderId="0" xfId="0" applyNumberFormat="1" applyFill="1"/>
    <xf numFmtId="169" fontId="0" fillId="0" borderId="5" xfId="0" applyNumberFormat="1" applyFill="1" applyBorder="1" applyAlignment="1">
      <alignment horizontal="left"/>
    </xf>
    <xf numFmtId="0" fontId="0" fillId="0" borderId="5" xfId="0" applyNumberFormat="1" applyFill="1" applyBorder="1"/>
    <xf numFmtId="0" fontId="9" fillId="0" borderId="0" xfId="0" applyNumberFormat="1" applyFont="1" applyFill="1" applyBorder="1"/>
    <xf numFmtId="0" fontId="9" fillId="8" borderId="0" xfId="0" applyNumberFormat="1" applyFont="1" applyFill="1" applyBorder="1"/>
    <xf numFmtId="9" fontId="0" fillId="0" borderId="5" xfId="2" applyNumberFormat="1" applyFont="1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2"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556260</xdr:colOff>
          <xdr:row>2</xdr:row>
          <xdr:rowOff>38100</xdr:rowOff>
        </xdr:from>
        <xdr:to>
          <xdr:col>26</xdr:col>
          <xdr:colOff>464820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350520</xdr:colOff>
          <xdr:row>1</xdr:row>
          <xdr:rowOff>30480</xdr:rowOff>
        </xdr:from>
        <xdr:to>
          <xdr:col>15</xdr:col>
          <xdr:colOff>1150620</xdr:colOff>
          <xdr:row>3</xdr:row>
          <xdr:rowOff>68580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5</xdr:row>
          <xdr:rowOff>45720</xdr:rowOff>
        </xdr:from>
        <xdr:to>
          <xdr:col>0</xdr:col>
          <xdr:colOff>1630680</xdr:colOff>
          <xdr:row>8</xdr:row>
          <xdr:rowOff>68580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83820</xdr:rowOff>
        </xdr:from>
        <xdr:to>
          <xdr:col>0</xdr:col>
          <xdr:colOff>1554480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12</xdr:row>
          <xdr:rowOff>144780</xdr:rowOff>
        </xdr:from>
        <xdr:to>
          <xdr:col>0</xdr:col>
          <xdr:colOff>1546860</xdr:colOff>
          <xdr:row>15</xdr:row>
          <xdr:rowOff>99060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568"/>
  <sheetViews>
    <sheetView tabSelected="1" zoomScaleNormal="100" workbookViewId="0"/>
  </sheetViews>
  <sheetFormatPr defaultRowHeight="14.4" x14ac:dyDescent="0.3"/>
  <cols>
    <col min="1" max="1" width="8" style="34" customWidth="1"/>
    <col min="2" max="2" width="6.109375" style="36" customWidth="1"/>
    <col min="3" max="3" width="13.5546875" style="27" hidden="1" customWidth="1"/>
    <col min="4" max="4" width="16.109375" style="27" hidden="1" customWidth="1"/>
    <col min="5" max="5" width="19.5546875" style="33" hidden="1" customWidth="1"/>
    <col min="6" max="6" width="18.33203125" style="33" customWidth="1"/>
    <col min="7" max="7" width="4.88671875" style="36" hidden="1" customWidth="1"/>
    <col min="8" max="8" width="22.109375" style="33" hidden="1" customWidth="1"/>
    <col min="9" max="9" width="18.5546875" style="33" customWidth="1"/>
    <col min="10" max="10" width="7.33203125" style="36" customWidth="1"/>
    <col min="11" max="11" width="10.44140625" style="27" customWidth="1"/>
    <col min="12" max="12" width="16.33203125" style="168" customWidth="1"/>
    <col min="13" max="13" width="7.44140625" style="35" customWidth="1"/>
    <col min="14" max="14" width="3" style="36" customWidth="1"/>
    <col min="15" max="15" width="3" style="2" customWidth="1"/>
    <col min="16" max="16" width="2.88671875" style="2" customWidth="1"/>
    <col min="17" max="17" width="3.6640625" hidden="1" customWidth="1"/>
    <col min="18" max="18" width="28.44140625" style="160" customWidth="1"/>
    <col min="19" max="19" width="6" style="218" customWidth="1"/>
    <col min="20" max="20" width="3.88671875" style="167" customWidth="1"/>
    <col min="21" max="21" width="5" style="195" customWidth="1"/>
    <col min="22" max="22" width="5.6640625" style="216" customWidth="1"/>
    <col min="23" max="23" width="3.88671875" style="201" customWidth="1"/>
    <col min="24" max="24" width="6.5546875" style="201" customWidth="1"/>
    <col min="25" max="25" width="8.88671875" style="201" customWidth="1"/>
    <col min="26" max="26" width="7.33203125" style="201" customWidth="1"/>
    <col min="27" max="27" width="9.109375" style="201"/>
    <col min="28" max="28" width="10.6640625" style="52" hidden="1" customWidth="1"/>
    <col min="29" max="29" width="9.44140625" style="49" hidden="1" customWidth="1"/>
    <col min="30" max="30" width="7.88671875" style="2" customWidth="1"/>
    <col min="31" max="31" width="4.5546875" style="75" customWidth="1"/>
    <col min="32" max="32" width="6.33203125" style="72" customWidth="1"/>
    <col min="33" max="33" width="3.6640625" style="167" customWidth="1"/>
    <col min="34" max="34" width="5" style="78" customWidth="1"/>
    <col min="35" max="35" width="5.6640625" style="91" customWidth="1"/>
    <col min="36" max="36" width="9.88671875" customWidth="1"/>
    <col min="37" max="37" width="5" customWidth="1"/>
    <col min="38" max="38" width="4.109375" customWidth="1"/>
    <col min="39" max="39" width="9.109375" style="141"/>
    <col min="41" max="41" width="3.6640625" style="167" customWidth="1"/>
  </cols>
  <sheetData>
    <row r="1" spans="1:91" s="20" customFormat="1" ht="15" thickBot="1" x14ac:dyDescent="0.35">
      <c r="A1" s="34"/>
      <c r="B1" s="36"/>
      <c r="C1" s="27"/>
      <c r="D1" s="27"/>
      <c r="E1" s="33"/>
      <c r="F1" s="33"/>
      <c r="G1" s="36"/>
      <c r="H1" s="33"/>
      <c r="I1" s="33" t="s">
        <v>102</v>
      </c>
      <c r="J1" s="36"/>
      <c r="K1" s="27"/>
      <c r="L1" s="168"/>
      <c r="M1" s="35"/>
      <c r="N1" s="36"/>
      <c r="O1" s="2"/>
      <c r="P1" s="2"/>
      <c r="R1" s="159" t="s">
        <v>103</v>
      </c>
      <c r="S1" s="123"/>
      <c r="T1" s="168"/>
      <c r="U1" s="191"/>
      <c r="V1" s="207"/>
      <c r="W1" s="191"/>
      <c r="X1" s="195"/>
      <c r="Y1" s="201"/>
      <c r="Z1" s="201"/>
      <c r="AA1" s="201"/>
      <c r="AB1" s="52"/>
      <c r="AC1" s="49"/>
      <c r="AD1" s="2"/>
      <c r="AE1" s="1"/>
      <c r="AF1" s="1"/>
      <c r="AG1" s="181"/>
      <c r="AH1" s="47"/>
      <c r="AI1" s="1"/>
      <c r="AM1" s="141"/>
      <c r="AO1" s="167"/>
    </row>
    <row r="2" spans="1:91" s="20" customFormat="1" ht="15" thickBot="1" x14ac:dyDescent="0.35">
      <c r="A2" s="34"/>
      <c r="B2" s="36"/>
      <c r="C2" s="27"/>
      <c r="D2" s="27"/>
      <c r="E2" s="33"/>
      <c r="F2" s="33"/>
      <c r="G2" s="36"/>
      <c r="H2" s="33"/>
      <c r="I2" s="57">
        <f>Variables!$A$2</f>
        <v>43106</v>
      </c>
      <c r="J2" s="58"/>
      <c r="K2" s="59"/>
      <c r="L2" s="169"/>
      <c r="M2" s="60" t="s">
        <v>8</v>
      </c>
      <c r="N2" s="61"/>
      <c r="O2" s="62"/>
      <c r="P2" s="2"/>
      <c r="R2" s="57">
        <f>Variables!$A$2</f>
        <v>43106</v>
      </c>
      <c r="S2" s="204"/>
      <c r="T2" s="169"/>
      <c r="U2" s="192"/>
      <c r="V2" s="208" t="s">
        <v>8</v>
      </c>
      <c r="W2" s="209"/>
      <c r="X2" s="198"/>
      <c r="Y2" s="201"/>
      <c r="Z2" s="201"/>
      <c r="AA2" s="201"/>
      <c r="AB2" s="52"/>
      <c r="AC2" s="49"/>
      <c r="AD2" s="2"/>
      <c r="AE2" s="1"/>
      <c r="AF2" s="1"/>
      <c r="AG2" s="181"/>
      <c r="AH2" s="47"/>
      <c r="AI2" s="1"/>
      <c r="AM2" s="141"/>
      <c r="AO2" s="167"/>
    </row>
    <row r="3" spans="1:91" s="20" customFormat="1" ht="15" thickBot="1" x14ac:dyDescent="0.35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170"/>
      <c r="M3" s="37" t="s">
        <v>11</v>
      </c>
      <c r="N3" s="38" t="s">
        <v>12</v>
      </c>
      <c r="O3" s="3" t="s">
        <v>13</v>
      </c>
      <c r="P3" s="2"/>
      <c r="R3" s="161" t="s">
        <v>10</v>
      </c>
      <c r="S3" s="205"/>
      <c r="T3" s="170"/>
      <c r="U3" s="193"/>
      <c r="V3" s="210" t="s">
        <v>11</v>
      </c>
      <c r="W3" s="211" t="s">
        <v>12</v>
      </c>
      <c r="X3" s="199" t="s">
        <v>13</v>
      </c>
      <c r="Y3" s="201"/>
      <c r="Z3" s="201"/>
      <c r="AA3" s="201"/>
      <c r="AB3" s="52"/>
      <c r="AC3" s="49"/>
      <c r="AD3" s="2"/>
      <c r="AE3" s="1"/>
      <c r="AF3" s="1"/>
      <c r="AG3" s="181"/>
      <c r="AH3" s="47"/>
      <c r="AI3" s="1"/>
      <c r="AM3" s="141"/>
      <c r="AO3" s="167"/>
    </row>
    <row r="4" spans="1:91" s="20" customFormat="1" ht="15" thickBot="1" x14ac:dyDescent="0.35">
      <c r="A4" s="34"/>
      <c r="B4" s="36"/>
      <c r="C4" s="27"/>
      <c r="D4" s="27"/>
      <c r="E4" s="33"/>
      <c r="F4" s="159"/>
      <c r="G4" s="36"/>
      <c r="H4" s="33"/>
      <c r="I4" s="66" t="s">
        <v>14</v>
      </c>
      <c r="J4" s="48">
        <f>SUM(J5:J7)</f>
        <v>146</v>
      </c>
      <c r="K4" s="39"/>
      <c r="L4" s="171"/>
      <c r="M4" s="40" t="s">
        <v>15</v>
      </c>
      <c r="N4" s="38" t="s">
        <v>15</v>
      </c>
      <c r="O4" s="3" t="s">
        <v>15</v>
      </c>
      <c r="P4" s="2"/>
      <c r="R4" s="162" t="s">
        <v>14</v>
      </c>
      <c r="S4" s="206">
        <f>SUM(S5:S7)</f>
        <v>36</v>
      </c>
      <c r="T4" s="171"/>
      <c r="U4" s="194"/>
      <c r="V4" s="210" t="s">
        <v>15</v>
      </c>
      <c r="W4" s="211" t="s">
        <v>15</v>
      </c>
      <c r="X4" s="199" t="s">
        <v>15</v>
      </c>
      <c r="Y4" s="201"/>
      <c r="Z4" s="201"/>
      <c r="AA4" s="201"/>
      <c r="AB4" s="52"/>
      <c r="AC4" s="49"/>
      <c r="AD4" s="2"/>
      <c r="AE4" s="1"/>
      <c r="AF4" s="1"/>
      <c r="AG4" s="181"/>
      <c r="AH4" s="47"/>
      <c r="AI4" s="1"/>
      <c r="AM4" s="141"/>
      <c r="AO4" s="167"/>
    </row>
    <row r="5" spans="1:91" s="20" customFormat="1" ht="15" thickBot="1" x14ac:dyDescent="0.35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COUNTIFS($N$13:$N$9611,"&gt;0",$AG$13:$AG$9611,I1)</f>
        <v>143</v>
      </c>
      <c r="K5" s="39"/>
      <c r="L5" s="171"/>
      <c r="M5" s="40">
        <f>AVERAGEIFS($N$13:$N$9611,$AG$13:$AG$9611,I1)</f>
        <v>36.995337994987395</v>
      </c>
      <c r="N5" s="38">
        <f t="array" ref="N5">MIN(IF($AG$13:$AG$9611=I1,IF(ISNUMBER($N$13:$N$9611),IF($N$13:$N$9611&gt;0,$N$13:$N$9611))))</f>
        <v>34.066666667349637</v>
      </c>
      <c r="O5" s="3">
        <f t="array" ref="O5">MAX(IF($AG$13:$AG$9611=I1,IF(ISNUMBER($N$13:$N$9611),IF($N$13:$N$9611&gt;0,$N$13:$N$9611))))</f>
        <v>43.066666665254161</v>
      </c>
      <c r="P5" s="2"/>
      <c r="R5" s="162" t="s">
        <v>17</v>
      </c>
      <c r="S5" s="206">
        <f>COUNTIFS($N$13:$N$9611,"&gt;0",$AG$13:$AG$9611,R1)</f>
        <v>35</v>
      </c>
      <c r="T5" s="171"/>
      <c r="U5" s="194"/>
      <c r="V5" s="210">
        <f>AVERAGEIFS($N$13:$N$9611,$AG$13:$AG$9611,R1)</f>
        <v>12.821904761450631</v>
      </c>
      <c r="W5" s="211">
        <f t="array" ref="W5">MIN(IF($AG$13:$AG$9611=R1,IF(ISNUMBER($N$13:$N$9611),IF($N$13:$N$9611&gt;0,$N$13:$N$9611))))</f>
        <v>9.6833333338145167</v>
      </c>
      <c r="X5" s="199">
        <f t="array" ref="X5">MAX(IF($AG$13:$AG$9611=R1,IF(ISNUMBER($N$13:$N$9611),IF($N$13:$N$9611&gt;0,$N$13:$N$9611))))</f>
        <v>15.549999999348074</v>
      </c>
      <c r="Y5" s="201"/>
      <c r="Z5" s="201"/>
      <c r="AA5" s="201"/>
      <c r="AB5" s="52"/>
      <c r="AC5" s="49"/>
      <c r="AD5" s="2"/>
      <c r="AE5" s="1"/>
      <c r="AF5" s="1"/>
      <c r="AG5" s="181"/>
      <c r="AH5" s="47"/>
      <c r="AI5" s="1"/>
      <c r="AM5" s="141"/>
      <c r="AO5" s="167"/>
    </row>
    <row r="6" spans="1:91" s="20" customFormat="1" ht="15" thickBot="1" x14ac:dyDescent="0.35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COUNT($O$13:$O$369)</f>
        <v>0</v>
      </c>
      <c r="K6" s="39"/>
      <c r="L6" s="171"/>
      <c r="M6" s="40">
        <f>IFERROR(AVERAGE($O$13:$O$369),0)</f>
        <v>0</v>
      </c>
      <c r="N6" s="38">
        <f>MIN($O$13:$O$369)</f>
        <v>0</v>
      </c>
      <c r="O6" s="3">
        <f>MAX($O$13:$O$369)</f>
        <v>0</v>
      </c>
      <c r="P6" s="2"/>
      <c r="R6" s="163" t="s">
        <v>43</v>
      </c>
      <c r="S6" s="206">
        <f>COUNT($O$13:$O$369)</f>
        <v>0</v>
      </c>
      <c r="T6" s="171"/>
      <c r="U6" s="194"/>
      <c r="V6" s="210">
        <f>IFERROR(AVERAGE($O$13:$O$369),0)</f>
        <v>0</v>
      </c>
      <c r="W6" s="211">
        <f>MIN($O$13:$O$369)</f>
        <v>0</v>
      </c>
      <c r="X6" s="199">
        <f>MAX($O$13:$O$369)</f>
        <v>0</v>
      </c>
      <c r="Y6" s="201"/>
      <c r="Z6" s="201"/>
      <c r="AA6" s="201"/>
      <c r="AB6" s="52"/>
      <c r="AC6" s="49"/>
      <c r="AD6" s="2"/>
      <c r="AE6" s="1"/>
      <c r="AF6" s="1"/>
      <c r="AG6" s="181"/>
      <c r="AH6" s="47"/>
      <c r="AI6" s="1"/>
      <c r="AM6" s="141"/>
      <c r="AO6" s="167"/>
    </row>
    <row r="7" spans="1:91" s="20" customFormat="1" ht="15" thickBot="1" x14ac:dyDescent="0.35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COUNTIFS($P$13:$P$9611,"&gt;0",$AG$13:$AG$9611,I1)</f>
        <v>3</v>
      </c>
      <c r="K7" s="39"/>
      <c r="L7" s="171"/>
      <c r="M7" s="38" t="s">
        <v>15</v>
      </c>
      <c r="N7" s="38" t="s">
        <v>15</v>
      </c>
      <c r="O7" s="3" t="s">
        <v>15</v>
      </c>
      <c r="P7" s="2"/>
      <c r="R7" s="164" t="s">
        <v>9</v>
      </c>
      <c r="S7" s="206">
        <f>COUNTIFS($P$13:$P$9611,"&gt;0",$AG$13:$AG$9611,R1)</f>
        <v>1</v>
      </c>
      <c r="T7" s="171"/>
      <c r="U7" s="194"/>
      <c r="V7" s="210" t="s">
        <v>15</v>
      </c>
      <c r="W7" s="211" t="s">
        <v>15</v>
      </c>
      <c r="X7" s="199" t="s">
        <v>15</v>
      </c>
      <c r="Y7" s="201"/>
      <c r="Z7" s="201"/>
      <c r="AA7" s="201"/>
      <c r="AB7" s="52"/>
      <c r="AC7" s="49"/>
      <c r="AD7" s="2"/>
      <c r="AE7" s="1"/>
      <c r="AF7" s="1"/>
      <c r="AG7" s="181"/>
      <c r="AH7" s="47"/>
      <c r="AI7" s="1"/>
      <c r="AM7" s="141"/>
      <c r="AO7" s="167"/>
    </row>
    <row r="8" spans="1:91" s="20" customFormat="1" ht="15" thickBot="1" x14ac:dyDescent="0.35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143</v>
      </c>
      <c r="K8" s="39"/>
      <c r="L8" s="171"/>
      <c r="M8" s="40">
        <f>M5</f>
        <v>36.995337994987395</v>
      </c>
      <c r="N8" s="38">
        <f>N5</f>
        <v>34.066666667349637</v>
      </c>
      <c r="O8" s="3">
        <f>O5</f>
        <v>43.066666665254161</v>
      </c>
      <c r="P8" s="2"/>
      <c r="R8" s="162" t="s">
        <v>16</v>
      </c>
      <c r="S8" s="206">
        <f>S5</f>
        <v>35</v>
      </c>
      <c r="T8" s="171"/>
      <c r="U8" s="194"/>
      <c r="V8" s="210">
        <f>V5</f>
        <v>12.821904761450631</v>
      </c>
      <c r="W8" s="211">
        <f>W5</f>
        <v>9.6833333338145167</v>
      </c>
      <c r="X8" s="199">
        <f>X5</f>
        <v>15.549999999348074</v>
      </c>
      <c r="Y8" s="201"/>
      <c r="Z8" s="201"/>
      <c r="AA8" s="201"/>
      <c r="AB8" s="52"/>
      <c r="AC8" s="49"/>
      <c r="AD8" s="2"/>
      <c r="AE8" s="1"/>
      <c r="AF8" s="1"/>
      <c r="AG8" s="181"/>
      <c r="AH8" s="47"/>
      <c r="AI8" s="1"/>
      <c r="AM8" s="141"/>
      <c r="AO8" s="167"/>
    </row>
    <row r="9" spans="1:91" s="20" customFormat="1" ht="15" thickBot="1" x14ac:dyDescent="0.35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0.97945205479452058</v>
      </c>
      <c r="K9" s="41"/>
      <c r="L9" s="168"/>
      <c r="M9" s="69"/>
      <c r="N9" s="36"/>
      <c r="O9" s="70"/>
      <c r="P9" s="2"/>
      <c r="R9" s="162" t="s">
        <v>19</v>
      </c>
      <c r="S9" s="123">
        <f>S8/S4</f>
        <v>0.97222222222222221</v>
      </c>
      <c r="T9" s="168"/>
      <c r="U9" s="191"/>
      <c r="V9" s="212"/>
      <c r="W9" s="191"/>
      <c r="X9" s="200"/>
      <c r="Y9" s="201"/>
      <c r="Z9" s="201"/>
      <c r="AA9" s="201"/>
      <c r="AB9" s="52"/>
      <c r="AC9" s="49"/>
      <c r="AD9" s="2"/>
      <c r="AE9" s="1"/>
      <c r="AF9" s="1"/>
      <c r="AG9" s="181"/>
      <c r="AH9" s="47"/>
      <c r="AI9" s="1"/>
      <c r="AM9" s="141"/>
      <c r="AO9" s="167"/>
    </row>
    <row r="10" spans="1:91" s="20" customFormat="1" x14ac:dyDescent="0.3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168"/>
      <c r="M10" s="35"/>
      <c r="N10" s="36"/>
      <c r="O10" s="2"/>
      <c r="P10" s="2"/>
      <c r="R10" s="160"/>
      <c r="S10" s="218"/>
      <c r="T10" s="167"/>
      <c r="U10" s="195"/>
      <c r="V10" s="213"/>
      <c r="W10" s="201"/>
      <c r="X10" s="201"/>
      <c r="Y10" s="201"/>
      <c r="Z10" s="201"/>
      <c r="AA10" s="201"/>
      <c r="AB10" s="52"/>
      <c r="AC10" s="49"/>
      <c r="AD10" s="2"/>
      <c r="AE10" s="1"/>
      <c r="AF10" s="1"/>
      <c r="AG10" s="181"/>
      <c r="AH10" s="47"/>
      <c r="AI10" s="1"/>
      <c r="AM10" s="141"/>
      <c r="AO10" s="167"/>
    </row>
    <row r="11" spans="1:91" ht="16.2" thickBot="1" x14ac:dyDescent="0.35">
      <c r="A11" s="250" t="str">
        <f>"Eagle P3 System Performance - "&amp;TEXT(Variables!A2,"yyyy-mm-dd")</f>
        <v>Eagle P3 System Performance - 2018-01-06</v>
      </c>
      <c r="B11" s="250"/>
      <c r="C11" s="250"/>
      <c r="D11" s="250"/>
      <c r="E11" s="250"/>
      <c r="F11" s="250"/>
      <c r="G11" s="250"/>
      <c r="H11" s="250"/>
      <c r="I11" s="250"/>
      <c r="J11" s="250"/>
      <c r="K11" s="250"/>
      <c r="L11" s="250"/>
      <c r="M11" s="250"/>
      <c r="N11" s="250"/>
      <c r="O11" s="250"/>
      <c r="P11" s="250"/>
      <c r="S11" s="218">
        <f>AVERAGE(S13:S137)</f>
        <v>0.99043715846994529</v>
      </c>
      <c r="V11" s="213"/>
      <c r="AE11" s="1"/>
      <c r="AF11" s="1"/>
      <c r="AG11" s="181"/>
      <c r="AH11" s="47"/>
      <c r="AI11" s="1"/>
    </row>
    <row r="12" spans="1:91" s="5" customFormat="1" ht="69" customHeight="1" thickBot="1" x14ac:dyDescent="0.35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83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5" t="s">
        <v>24</v>
      </c>
      <c r="S12" s="219" t="s">
        <v>63</v>
      </c>
      <c r="T12" s="172" t="s">
        <v>64</v>
      </c>
      <c r="U12" s="196" t="s">
        <v>65</v>
      </c>
      <c r="V12" s="214" t="s">
        <v>45</v>
      </c>
      <c r="W12" s="202" t="s">
        <v>23</v>
      </c>
      <c r="X12" s="202" t="s">
        <v>48</v>
      </c>
      <c r="Y12" s="202" t="s">
        <v>20</v>
      </c>
      <c r="Z12" s="202" t="s">
        <v>21</v>
      </c>
      <c r="AA12" s="202" t="s">
        <v>22</v>
      </c>
      <c r="AB12" s="53" t="s">
        <v>39</v>
      </c>
      <c r="AC12" s="50" t="s">
        <v>40</v>
      </c>
      <c r="AD12" s="177" t="s">
        <v>82</v>
      </c>
      <c r="AE12" s="76" t="s">
        <v>89</v>
      </c>
      <c r="AF12" s="73" t="s">
        <v>93</v>
      </c>
      <c r="AG12" s="176" t="s">
        <v>104</v>
      </c>
      <c r="AH12" s="79" t="s">
        <v>106</v>
      </c>
      <c r="AI12" s="95" t="s">
        <v>141</v>
      </c>
      <c r="AJ12" s="46" t="s">
        <v>142</v>
      </c>
      <c r="AK12" s="46" t="s">
        <v>115</v>
      </c>
      <c r="AL12" s="46" t="s">
        <v>143</v>
      </c>
      <c r="AM12" s="142" t="s">
        <v>187</v>
      </c>
      <c r="AN12" s="46" t="s">
        <v>329</v>
      </c>
      <c r="AO12" s="176" t="s">
        <v>350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3">
      <c r="A13" s="32" t="s">
        <v>697</v>
      </c>
      <c r="B13" s="7">
        <v>4018</v>
      </c>
      <c r="C13" s="21" t="s">
        <v>192</v>
      </c>
      <c r="D13" s="21" t="s">
        <v>895</v>
      </c>
      <c r="E13" s="13">
        <v>43106.135405092595</v>
      </c>
      <c r="F13" s="13">
        <v>43106.136608796296</v>
      </c>
      <c r="G13" s="7">
        <v>48</v>
      </c>
      <c r="H13" s="21" t="s">
        <v>612</v>
      </c>
      <c r="I13" s="13">
        <v>43106.163101851853</v>
      </c>
      <c r="J13" s="7">
        <v>0</v>
      </c>
      <c r="K13" s="89" t="str">
        <f>IF(ISEVEN(B13),(B13-1)&amp;"/"&amp;B13,B13&amp;"/"&amp;(B13+1))</f>
        <v>4017/4018</v>
      </c>
      <c r="L13" s="184" t="str">
        <f>VLOOKUP(A13,'Trips&amp;Operators'!$C$1:$G$99911,5,FALSE)</f>
        <v>THOMPSON LESTER</v>
      </c>
      <c r="M13" s="6">
        <f>I13-F13</f>
        <v>2.6493055556784384E-2</v>
      </c>
      <c r="N13" s="7">
        <f>24*60*SUM($M13:$M13)</f>
        <v>38.150000001769513</v>
      </c>
      <c r="O13" s="7"/>
      <c r="P13" s="225"/>
      <c r="Q13" s="22"/>
      <c r="R13" s="166"/>
      <c r="S13" s="249">
        <f>1/IF(AG13="EC",12,1)*SUM(U13:U13)</f>
        <v>1</v>
      </c>
      <c r="T13" s="173" t="str">
        <f>IF(ISEVEN(LEFT(AD13,4)),"Southbound","NorthBound")</f>
        <v>NorthBound</v>
      </c>
      <c r="U13" s="197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215" t="str">
        <f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2018-01-06T02:14:59-0700',mode:absolute,to:'2018-01-06T04:54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3" s="203" t="str">
        <f>IF(AA13&lt;VLOOKUP(AG13,Variables!$AC$3:$AD$8,2,FALSE),"Y","N")</f>
        <v>N</v>
      </c>
      <c r="X13" s="203" t="e">
        <f>VALUE(LEFT(AD13,4))-VALUE(LEFT(AD12,4))</f>
        <v>#VALUE!</v>
      </c>
      <c r="Y13" s="203">
        <f>RIGHT(D13,LEN(D13)-4)/10000</f>
        <v>7.6100000000000001E-2</v>
      </c>
      <c r="Z13" s="203">
        <f>RIGHT(H13,LEN(H13)-4)/10000</f>
        <v>23.329699999999999</v>
      </c>
      <c r="AA13" s="203">
        <f>ABS(Z13-Y13)</f>
        <v>23.253599999999999</v>
      </c>
      <c r="AB13" s="54" t="e">
        <f>VLOOKUP(A13,Enforcements!$C$7:$K$9,8,0)</f>
        <v>#N/A</v>
      </c>
      <c r="AC13" s="51" t="e">
        <f>VLOOKUP(A13,Enforcements!$C$7:$E$9,3,0)</f>
        <v>#N/A</v>
      </c>
      <c r="AD13" s="178">
        <f>VALUE(LEFT(A13,LEN(A13)-3))</f>
        <v>101</v>
      </c>
      <c r="AE13" s="77" t="str">
        <f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s3://rtdc.mdm.uploadarchive.raw/RTDC4018/ "%USERPROFILE%\AppData\Local\Temp\OnboardLogs"\RTDC4018\2018-01-06 --exclude "*" --recursive --include "*20180106*" &amp; "%USERPROFILE%\Documents\GitHub\mrs-test-scripts\Headless Mode &amp; Sideloading\WalkAndUnGZ.bat" "%USERPROFILE%\AppData\Local\Temp\OnboardLogs"\RTDC4018\2018-01-06 &amp; aws s3 cp s3://rtdc.mdm.uploadarchive.raw/RTDC4018/ "%USERPROFILE%\AppData\Local\Temp\OnboardLogs"\RTDC4018\2018-01-07 --exclude "*" --recursive --include "*20180107*" &amp; "%USERPROFILE%\Documents\GitHub\mrs-test-scripts\Headless Mode &amp; Sideloading\WalkAndUnGZ.bat" "%USERPROFILE%\AppData\Local\Temp\OnboardLogs"\RTDC4018\2018-01-07</v>
      </c>
      <c r="AF13" s="74" t="str">
        <f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/stypes="app*4018*20180106*" /stext=" 10:.+((SYSTEM_STATE.+slice.+state.+changed )|(ment ac)|(multiple cpu faults)|(system.+state.+changed )|(\[timeout)|(PRM\|1\|D)|(kpr)|(kdp)|(train st.+moving)|(\|lc)|(penalty))"</v>
      </c>
      <c r="AG13" s="181" t="str">
        <f>DetSubdiv(A13)</f>
        <v>EC</v>
      </c>
      <c r="AH13" s="78" t="str">
        <f t="shared" ref="AH13" si="0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101-06 --locoid 4018 --swversion DE.1.0.9.0 --startMP 204:761 --initTime 2018-01-06T03:14:59 --startdatetime 2018-01-06T03:16:43 --delay 48 --endMP 204:233297 --enddatetime 2018-01-06T03:54:52 --enforcementcount 0 &gt;&gt;%USERPROFILE%\Documents\GitHub\eaglep3-reporting\EC\2018-01-06-refined-times.txt</v>
      </c>
      <c r="AI13" s="96" t="str">
        <f t="shared" ref="AI13" si="1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{"issue":{"subject":"","project_id":79,"tracker_id":40,"status_id":1,"priority_id":2,"assigned_to_id":338,"start_date":"2018-01-06","description":"","custom_fields":[{"id":1,"name":"Subdivision","value":"EC"},{"id":4,"name":"Milepost","value":"23.3297"},{"id":17,"name":"Train ID","value":"101-06"},{"id":16,"name":"Locomotive ID","value":"4018"},{"id":130,"name":"Impact","value":""},{"id":150,"name":"Time of Event (Mountain Time)","value":"03:54:52"},{"id":151,"name":"Denver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" s="20"/>
      <c r="AK13" s="47"/>
      <c r="AL13" s="47"/>
      <c r="AM13" s="141" t="str">
        <f t="shared" ref="AM13" si="2">"start /low /b "&amp;dls3logs&amp;" --loco "&amp;B13&amp;" --day "&amp;TEXT(F13,"YYYY-MM-DD")</f>
        <v>start /low /b %USERPROFILE%\Documents\GitHub\eaglep3\Utilities\DownloadLogsFromS3.py --loco 4018 --day 2018-01-06</v>
      </c>
      <c r="AN13" s="150" t="str">
        <f t="shared" ref="AN13" si="3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10:54:52"},{"id":29,"name":"Sharepoint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67" t="str">
        <f t="shared" ref="AO13" si="4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Message%20ID',Summary),filters:!(),index:'emp_*',interval:auto,query:"&amp;"(query_string:(analyze_wildcard:!t,query:'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2018-01-06T02:14:59-0700',mode:absolute,to:'2018-01-06T04:54:52-0700'))&amp;_a=(columns:!('Message%20ID',Summary),filters:!(),index:'emp_*',interval:auto,query:(query_string:(analyze_wildcard:!t,query:'%22rtdc.l.rtdc.4018%22')),sort:!(Time.ISO8601,asc))</v>
      </c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3">
      <c r="A14" s="229" t="s">
        <v>705</v>
      </c>
      <c r="B14" s="225">
        <v>4017</v>
      </c>
      <c r="C14" s="227" t="s">
        <v>192</v>
      </c>
      <c r="D14" s="227" t="s">
        <v>548</v>
      </c>
      <c r="E14" s="226">
        <v>43106.173472222225</v>
      </c>
      <c r="F14" s="226">
        <v>43106.175370370373</v>
      </c>
      <c r="G14" s="225">
        <v>97</v>
      </c>
      <c r="H14" s="227" t="s">
        <v>512</v>
      </c>
      <c r="I14" s="226">
        <v>43106.20449074074</v>
      </c>
      <c r="J14" s="225">
        <v>0</v>
      </c>
      <c r="K14" s="237" t="str">
        <f>IF(ISEVEN(B14),(B14-1)&amp;"/"&amp;B14,B14&amp;"/"&amp;(B14+1))</f>
        <v>4017/4018</v>
      </c>
      <c r="L14" s="245" t="str">
        <f>VLOOKUP(A14,'Trips&amp;Operators'!$C$1:$G$99911,5,FALSE)</f>
        <v>THOMPSON LESTER</v>
      </c>
      <c r="M14" s="224">
        <f>I14-F14</f>
        <v>2.9120370367309079E-2</v>
      </c>
      <c r="N14" s="225">
        <f>24*60*SUM($M14:$M14)</f>
        <v>41.933333328925073</v>
      </c>
      <c r="O14" s="225"/>
      <c r="P14" s="225"/>
      <c r="Q14" s="228"/>
      <c r="R14" s="242"/>
      <c r="S14" s="249">
        <f>1/IF(AG14="EC",12,1)*SUM(U14:U14)</f>
        <v>1</v>
      </c>
      <c r="T14" s="242" t="str">
        <f>IF(ISEVEN(LEFT(AD14,4)),"Southbound","NorthBound")</f>
        <v>Southbound</v>
      </c>
      <c r="U14" s="246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248" t="str">
        <f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2018-01-06T03:09:48-0700',mode:absolute,to:'2018-01-06T05:54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4" s="247" t="str">
        <f>IF(AA14&lt;VLOOKUP(AG14,Variables!$AC$3:$AD$8,2,FALSE),"Y","N")</f>
        <v>N</v>
      </c>
      <c r="X14" s="247">
        <f>VALUE(LEFT(AD14,4))-VALUE(LEFT(AD13,4))</f>
        <v>1</v>
      </c>
      <c r="Y14" s="247">
        <f>RIGHT(D14,LEN(D14)-4)/10000</f>
        <v>23.298400000000001</v>
      </c>
      <c r="Z14" s="247">
        <f>RIGHT(H14,LEN(H14)-4)/10000</f>
        <v>1.72E-2</v>
      </c>
      <c r="AA14" s="247">
        <f>ABS(Z14-Y14)</f>
        <v>23.281200000000002</v>
      </c>
      <c r="AB14" s="233" t="e">
        <f>VLOOKUP(A14,Enforcements!$C$7:$K$9,8,0)</f>
        <v>#N/A</v>
      </c>
      <c r="AC14" s="232" t="e">
        <f>VLOOKUP(A14,Enforcements!$C$7:$E$9,3,0)</f>
        <v>#N/A</v>
      </c>
      <c r="AD14" s="243">
        <f>VALUE(LEFT(A14,LEN(A14)-3))</f>
        <v>102</v>
      </c>
      <c r="AE14" s="235" t="str">
        <f>"aws s3 cp "&amp;s3_bucket&amp;"/RTDC"&amp;B14&amp;"/ "&amp;search_path&amp;"\RTDC"&amp;B14&amp;"\"&amp;TEXT(F14,"YYYY-MM-DD")&amp;" --exclude ""*"" --recursive --include ""*"&amp;TEXT(F14,"YYYYMMDD")&amp;"*"" &amp; """&amp;walkandungz&amp;""" "&amp;search_path&amp;"\RTDC"&amp;B14&amp;"\"&amp;TEXT(F14,"YYYY-MM-DD")
&amp;" &amp; "&amp;"aws s3 cp "&amp;s3_bucket&amp;"/RTDC"&amp;B14&amp;"/ "&amp;search_path&amp;"\RTDC"&amp;B14&amp;"\"&amp;TEXT(F14+1,"YYYY-MM-DD")&amp;" --exclude ""*"" --recursive --include ""*"&amp;TEXT(F14+1,"YYYYMMDD")&amp;"*"" &amp; """&amp;walkandungz&amp;""" "&amp;search_path&amp;"\RTDC"&amp;B14&amp;"\"&amp;TEXT(F14+1,"YYYY-MM-DD")</f>
        <v>aws s3 cp s3://rtdc.mdm.uploadarchive.raw/RTDC4017/ "%USERPROFILE%\AppData\Local\Temp\OnboardLogs"\RTDC4017\2018-01-06 --exclude "*" --recursive --include "*20180106*" &amp; "%USERPROFILE%\Documents\GitHub\mrs-test-scripts\Headless Mode &amp; Sideloading\WalkAndUnGZ.bat" "%USERPROFILE%\AppData\Local\Temp\OnboardLogs"\RTDC4017\2018-01-06 &amp; aws s3 cp s3://rtdc.mdm.uploadarchive.raw/RTDC4017/ "%USERPROFILE%\AppData\Local\Temp\OnboardLogs"\RTDC4017\2018-01-07 --exclude "*" --recursive --include "*20180107*" &amp; "%USERPROFILE%\Documents\GitHub\mrs-test-scripts\Headless Mode &amp; Sideloading\WalkAndUnGZ.bat" "%USERPROFILE%\AppData\Local\Temp\OnboardLogs"\RTDC4017\2018-01-07</v>
      </c>
      <c r="AF14" s="234" t="str">
        <f>astrogrep_path&amp;" /e /r /s /spath="&amp;search_path&amp;" /stypes=""app*"&amp;B14&amp;"*"&amp;TEXT(I14-utc_offset/24,"YYYYMMDD")&amp;"*"" /stext="" "&amp;TEXT(I14-utc_offset/24,"HH")&amp;search_regexp&amp;""""</f>
        <v>"C:\Program Files (x86)\AstroGrep\AstroGrep.exe" /e /r /s /spath="%USERPROFILE%\AppData\Local\Temp\OnboardLogs" /stypes="app*4017*20180106*" /stext=" 11:.+((SYSTEM_STATE.+slice.+state.+changed )|(ment ac)|(multiple cpu faults)|(system.+state.+changed )|(\[timeout)|(PRM\|1\|D)|(kpr)|(kdp)|(train st.+moving)|(\|lc)|(penalty))"</v>
      </c>
      <c r="AG14" s="244" t="str">
        <f>DetSubdiv(A14)</f>
        <v>EC</v>
      </c>
      <c r="AH14" s="236" t="str">
        <f t="shared" ref="AH14:AH77" si="5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102-06 --locoid 4017 --swversion DE.1.0.9.0 --startMP 204:232984 --initTime 2018-01-06T04:09:48 --startdatetime 2018-01-06T04:12:32 --delay 97 --endMP 204:172 --enddatetime 2018-01-06T04:54:28 --enforcementcount 0 &gt;&gt;%USERPROFILE%\Documents\GitHub\eaglep3-reporting\EC\2018-01-06-refined-times.txt</v>
      </c>
      <c r="AI14" s="238" t="str">
        <f t="shared" ref="AI14:AI77" si="6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{"issue":{"subject":"","project_id":79,"tracker_id":40,"status_id":1,"priority_id":2,"assigned_to_id":338,"start_date":"2018-01-06","description":"","custom_fields":[{"id":1,"name":"Subdivision","value":"EC"},{"id":4,"name":"Milepost","value":"0.0172"},{"id":17,"name":"Train ID","value":"102-06"},{"id":16,"name":"Locomotive ID","value":"4017"},{"id":130,"name":"Impact","value":""},{"id":150,"name":"Time of Event (Mountain Time)","value":"04:54:28"},{"id":151,"name":"Denver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" s="223"/>
      <c r="AK14" s="231"/>
      <c r="AL14" s="231"/>
      <c r="AM14" s="240" t="str">
        <f t="shared" ref="AM14:AM77" si="7">"start /low /b "&amp;dls3logs&amp;" --loco "&amp;B14&amp;" --day "&amp;TEXT(F14,"YYYY-MM-DD")</f>
        <v>start /low /b %USERPROFILE%\Documents\GitHub\eaglep3\Utilities\DownloadLogsFromS3.py --loco 4017 --day 2018-01-06</v>
      </c>
      <c r="AN14" s="241" t="str">
        <f t="shared" ref="AN14:AN77" si="8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11:54:28"},{"id":29,"name":"Sharepoint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 s="230" t="str">
        <f t="shared" ref="AO14:AO77" si="9"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Message%20ID',Summary),filters:!(),index:'emp_*',interval:auto,query:"&amp;"(query_string:(analyze_wildcard:!t,query:'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2018-01-06T03:09:48-0700',mode:absolute,to:'2018-01-06T05:54:28-0700'))&amp;_a=(columns:!('Message%20ID',Summary),filters:!(),index:'emp_*',interval:auto,query:(query_string:(analyze_wildcard:!t,query:'%22rtdc.l.rtdc.4017%22')),sort:!(Time.ISO8601,asc))</v>
      </c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3">
      <c r="A15" s="229" t="s">
        <v>701</v>
      </c>
      <c r="B15" s="225">
        <v>4064</v>
      </c>
      <c r="C15" s="227" t="s">
        <v>192</v>
      </c>
      <c r="D15" s="227" t="s">
        <v>896</v>
      </c>
      <c r="E15" s="226">
        <v>43106.154930555553</v>
      </c>
      <c r="F15" s="226">
        <v>43106.158495370371</v>
      </c>
      <c r="G15" s="225">
        <v>119</v>
      </c>
      <c r="H15" s="227" t="s">
        <v>897</v>
      </c>
      <c r="I15" s="226">
        <v>43106.183668981481</v>
      </c>
      <c r="J15" s="225">
        <v>0</v>
      </c>
      <c r="K15" s="237" t="str">
        <f>IF(ISEVEN(B15),(B15-1)&amp;"/"&amp;B15,B15&amp;"/"&amp;(B15+1))</f>
        <v>4063/4064</v>
      </c>
      <c r="L15" s="245" t="str">
        <f>VLOOKUP(A15,'Trips&amp;Operators'!$C$1:$G$99911,5,FALSE)</f>
        <v>LANGERAK WILLIAM</v>
      </c>
      <c r="M15" s="224">
        <f>I15-F15</f>
        <v>2.5173611109494232E-2</v>
      </c>
      <c r="N15" s="225">
        <f>24*60*SUM($M15:$M15)</f>
        <v>36.249999997671694</v>
      </c>
      <c r="O15" s="225"/>
      <c r="P15" s="225"/>
      <c r="Q15" s="228"/>
      <c r="R15" s="242"/>
      <c r="S15" s="249">
        <f>1/IF(AG15="EC",12,1)*SUM(U15:U15)</f>
        <v>1</v>
      </c>
      <c r="T15" s="242" t="str">
        <f>IF(ISEVEN(LEFT(AD15,4)),"Southbound","NorthBound")</f>
        <v>NorthBound</v>
      </c>
      <c r="U15" s="246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248" t="str">
        <f>"https://d0f6bd738d7f1b3e5a7ca70fe4ff75f0.us-east-1.aws.found.io/app/kibana#/discover/Steve-Slow-Train-Analysis-(2080s-and-2083s)?_g="&amp;"(refreshInterval:(display:Off,pause:!f,section:0,value:0),time:(from:'"&amp;TEXT(E15-1/24,"yyyy-MM-DDThh:mm:ss")&amp;utc_offset&amp;"00"&amp;"',mode:absolute,to:'"&amp;TEXT(I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&amp;"%22')),sort:!(Time.ISO8601,asc))"</f>
        <v>https://d0f6bd738d7f1b3e5a7ca70fe4ff75f0.us-east-1.aws.found.io/app/kibana#/discover/Steve-Slow-Train-Analysis-(2080s-and-2083s)?_g=(refreshInterval:(display:Off,pause:!f,section:0,value:0),time:(from:'2018-01-06T02:43:06-0700',mode:absolute,to:'2018-01-06T05:24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5" s="247" t="str">
        <f>IF(AA15&lt;VLOOKUP(AG15,Variables!$AC$3:$AD$8,2,FALSE),"Y","N")</f>
        <v>N</v>
      </c>
      <c r="X15" s="247">
        <f>VALUE(LEFT(AD15,4))-VALUE(LEFT(AD14,4))</f>
        <v>1</v>
      </c>
      <c r="Y15" s="247">
        <f>RIGHT(D15,LEN(D15)-4)/10000</f>
        <v>5.8400000000000001E-2</v>
      </c>
      <c r="Z15" s="247">
        <f>RIGHT(H15,LEN(H15)-4)/10000</f>
        <v>23.3325</v>
      </c>
      <c r="AA15" s="247">
        <f>ABS(Z15-Y15)</f>
        <v>23.274100000000001</v>
      </c>
      <c r="AB15" s="233" t="e">
        <f>VLOOKUP(A15,Enforcements!$C$7:$K$9,8,0)</f>
        <v>#N/A</v>
      </c>
      <c r="AC15" s="232" t="e">
        <f>VLOOKUP(A15,Enforcements!$C$7:$E$9,3,0)</f>
        <v>#N/A</v>
      </c>
      <c r="AD15" s="243">
        <f>VALUE(LEFT(A15,LEN(A15)-3))</f>
        <v>103</v>
      </c>
      <c r="AE15" s="235" t="str">
        <f>"aws s3 cp "&amp;s3_bucket&amp;"/RTDC"&amp;B15&amp;"/ "&amp;search_path&amp;"\RTDC"&amp;B15&amp;"\"&amp;TEXT(F15,"YYYY-MM-DD")&amp;" --exclude ""*"" --recursive --include ""*"&amp;TEXT(F15,"YYYYMMDD")&amp;"*"" &amp; """&amp;walkandungz&amp;""" "&amp;search_path&amp;"\RTDC"&amp;B15&amp;"\"&amp;TEXT(F15,"YYYY-MM-DD")
&amp;" &amp; "&amp;"aws s3 cp "&amp;s3_bucket&amp;"/RTDC"&amp;B15&amp;"/ "&amp;search_path&amp;"\RTDC"&amp;B15&amp;"\"&amp;TEXT(F15+1,"YYYY-MM-DD")&amp;" --exclude ""*"" --recursive --include ""*"&amp;TEXT(F15+1,"YYYYMMDD")&amp;"*"" &amp; """&amp;walkandungz&amp;""" "&amp;search_path&amp;"\RTDC"&amp;B15&amp;"\"&amp;TEXT(F15+1,"YYYY-MM-DD")</f>
        <v>aws s3 cp s3://rtdc.mdm.uploadarchive.raw/RTDC4064/ "%USERPROFILE%\AppData\Local\Temp\OnboardLogs"\RTDC4064\2018-01-06 --exclude "*" --recursive --include "*20180106*" &amp; "%USERPROFILE%\Documents\GitHub\mrs-test-scripts\Headless Mode &amp; Sideloading\WalkAndUnGZ.bat" "%USERPROFILE%\AppData\Local\Temp\OnboardLogs"\RTDC4064\2018-01-06 &amp; aws s3 cp s3://rtdc.mdm.uploadarchive.raw/RTDC4064/ "%USERPROFILE%\AppData\Local\Temp\OnboardLogs"\RTDC4064\2018-01-07 --exclude "*" --recursive --include "*20180107*" &amp; "%USERPROFILE%\Documents\GitHub\mrs-test-scripts\Headless Mode &amp; Sideloading\WalkAndUnGZ.bat" "%USERPROFILE%\AppData\Local\Temp\OnboardLogs"\RTDC4064\2018-01-07</v>
      </c>
      <c r="AF15" s="234" t="str">
        <f>astrogrep_path&amp;" /e /r /s /spath="&amp;search_path&amp;" /stypes=""app*"&amp;B15&amp;"*"&amp;TEXT(I15-utc_offset/24,"YYYYMMDD")&amp;"*"" /stext="" "&amp;TEXT(I15-utc_offset/24,"HH")&amp;search_regexp&amp;""""</f>
        <v>"C:\Program Files (x86)\AstroGrep\AstroGrep.exe" /e /r /s /spath="%USERPROFILE%\AppData\Local\Temp\OnboardLogs" /stypes="app*4064*20180106*" /stext=" 11:.+((SYSTEM_STATE.+slice.+state.+changed )|(ment ac)|(multiple cpu faults)|(system.+state.+changed )|(\[timeout)|(PRM\|1\|D)|(kpr)|(kdp)|(train st.+moving)|(\|lc)|(penalty))"</v>
      </c>
      <c r="AG15" s="244" t="str">
        <f>DetSubdiv(A15)</f>
        <v>EC</v>
      </c>
      <c r="AH15" s="236" t="str">
        <f t="shared" si="5"/>
        <v>"%USERPROFILE%\Documents\GitHub\eaglep3\Utilities\RefineRTDCRunTimes.py" --tripid 103-06 --locoid 4064 --swversion DE.1.0.9.0 --startMP 204:584 --initTime 2018-01-06T03:43:06 --startdatetime 2018-01-06T03:48:14 --delay 119 --endMP 204:233325 --enddatetime 2018-01-06T04:24:29 --enforcementcount 0 &gt;&gt;%USERPROFILE%\Documents\GitHub\eaglep3-reporting\EC\2018-01-06-refined-times.txt</v>
      </c>
      <c r="AI15" s="238" t="str">
        <f t="shared" si="6"/>
        <v>echo {"issue":{"subject":"","project_id":79,"tracker_id":40,"status_id":1,"priority_id":2,"assigned_to_id":338,"start_date":"2018-01-06","description":"","custom_fields":[{"id":1,"name":"Subdivision","value":"EC"},{"id":4,"name":"Milepost","value":"23.3325"},{"id":17,"name":"Train ID","value":"103-06"},{"id":16,"name":"Locomotive ID","value":"4064"},{"id":130,"name":"Impact","value":""},{"id":150,"name":"Time of Event (Mountain Time)","value":"04:24:29"},{"id":151,"name":"Denver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" s="223"/>
      <c r="AK15" s="231"/>
      <c r="AL15" s="231"/>
      <c r="AM15" s="240" t="str">
        <f t="shared" si="7"/>
        <v>start /low /b %USERPROFILE%\Documents\GitHub\eaglep3\Utilities\DownloadLogsFromS3.py --loco 4064 --day 2018-01-06</v>
      </c>
      <c r="AN15" s="241" t="str">
        <f t="shared" si="8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11:24:29"},{"id":29,"name":"Sharepoint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 s="230" t="str">
        <f t="shared" si="9"/>
        <v>https://d0f6bd738d7f1b3e5a7ca70fe4ff75f0.us-east-1.aws.found.io/app/kibana#/discover/Steve-Slow-Train-Analysis-(2080s-and-2083s)?_g=(refreshInterval:(display:Off,pause:!f,section:0,value:0),time:(from:'2018-01-06T02:43:06-0700',mode:absolute,to:'2018-01-06T05:24:29-0700'))&amp;_a=(columns:!('Message%20ID',Summary),filters:!(),index:'emp_*',interval:auto,query:(query_string:(analyze_wildcard:!t,query:'%22rtdc.l.rtdc.4064%22')),sort:!(Time.ISO8601,asc))</v>
      </c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3">
      <c r="A16" s="229" t="s">
        <v>710</v>
      </c>
      <c r="B16" s="225">
        <v>4063</v>
      </c>
      <c r="C16" s="227" t="s">
        <v>192</v>
      </c>
      <c r="D16" s="227" t="s">
        <v>551</v>
      </c>
      <c r="E16" s="226">
        <v>43106.185034722221</v>
      </c>
      <c r="F16" s="226">
        <v>43106.196018518516</v>
      </c>
      <c r="G16" s="225">
        <v>59</v>
      </c>
      <c r="H16" s="227" t="s">
        <v>898</v>
      </c>
      <c r="I16" s="226">
        <v>43106.223101851851</v>
      </c>
      <c r="J16" s="225">
        <v>0</v>
      </c>
      <c r="K16" s="237" t="str">
        <f>IF(ISEVEN(B16),(B16-1)&amp;"/"&amp;B16,B16&amp;"/"&amp;(B16+1))</f>
        <v>4063/4064</v>
      </c>
      <c r="L16" s="245" t="str">
        <f>VLOOKUP(A16,'Trips&amp;Operators'!$C$1:$G$99911,5,FALSE)</f>
        <v>LANGERAK WILLIAM</v>
      </c>
      <c r="M16" s="224">
        <f>I16-F16</f>
        <v>2.7083333334303461E-2</v>
      </c>
      <c r="N16" s="225">
        <f>24*60*SUM($M16:$M16)</f>
        <v>39.000000001396984</v>
      </c>
      <c r="O16" s="225"/>
      <c r="P16" s="225"/>
      <c r="Q16" s="228"/>
      <c r="R16" s="242"/>
      <c r="S16" s="249">
        <f>1/IF(AG16="EC",12,1)*SUM(U16:U16)</f>
        <v>1</v>
      </c>
      <c r="T16" s="242" t="str">
        <f>IF(ISEVEN(LEFT(AD16,4)),"Southbound","NorthBound")</f>
        <v>Southbound</v>
      </c>
      <c r="U16" s="246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248" t="str">
        <f>"https://d0f6bd738d7f1b3e5a7ca70fe4ff75f0.us-east-1.aws.found.io/app/kibana#/discover/Steve-Slow-Train-Analysis-(2080s-and-2083s)?_g="&amp;"(refreshInterval:(display:Off,pause:!f,section:0,value:0),time:(from:'"&amp;TEXT(E16-1/24,"yyyy-MM-DDThh:mm:ss")&amp;utc_offset&amp;"00"&amp;"',mode:absolute,to:'"&amp;TEXT(I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&amp;"%22')),sort:!(Time.ISO8601,asc))"</f>
        <v>https://d0f6bd738d7f1b3e5a7ca70fe4ff75f0.us-east-1.aws.found.io/app/kibana#/discover/Steve-Slow-Train-Analysis-(2080s-and-2083s)?_g=(refreshInterval:(display:Off,pause:!f,section:0,value:0),time:(from:'2018-01-06T03:26:27-0700',mode:absolute,to:'2018-01-06T06:21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6" s="247" t="str">
        <f>IF(AA16&lt;VLOOKUP(AG16,Variables!$AC$3:$AD$8,2,FALSE),"Y","N")</f>
        <v>N</v>
      </c>
      <c r="X16" s="247">
        <f>VALUE(LEFT(AD16,4))-VALUE(LEFT(AD15,4))</f>
        <v>1</v>
      </c>
      <c r="Y16" s="247">
        <f>RIGHT(D16,LEN(D16)-4)/10000</f>
        <v>23.302099999999999</v>
      </c>
      <c r="Z16" s="247">
        <f>RIGHT(H16,LEN(H16)-4)/10000</f>
        <v>2.4500000000000001E-2</v>
      </c>
      <c r="AA16" s="247">
        <f>ABS(Z16-Y16)</f>
        <v>23.2776</v>
      </c>
      <c r="AB16" s="233" t="e">
        <f>VLOOKUP(A16,Enforcements!$C$7:$K$9,8,0)</f>
        <v>#N/A</v>
      </c>
      <c r="AC16" s="232" t="e">
        <f>VLOOKUP(A16,Enforcements!$C$7:$E$9,3,0)</f>
        <v>#N/A</v>
      </c>
      <c r="AD16" s="243">
        <f>VALUE(LEFT(A16,LEN(A16)-3))</f>
        <v>104</v>
      </c>
      <c r="AE16" s="235" t="str">
        <f>"aws s3 cp "&amp;s3_bucket&amp;"/RTDC"&amp;B16&amp;"/ "&amp;search_path&amp;"\RTDC"&amp;B16&amp;"\"&amp;TEXT(F16,"YYYY-MM-DD")&amp;" --exclude ""*"" --recursive --include ""*"&amp;TEXT(F16,"YYYYMMDD")&amp;"*"" &amp; """&amp;walkandungz&amp;""" "&amp;search_path&amp;"\RTDC"&amp;B16&amp;"\"&amp;TEXT(F16,"YYYY-MM-DD")
&amp;" &amp; "&amp;"aws s3 cp "&amp;s3_bucket&amp;"/RTDC"&amp;B16&amp;"/ "&amp;search_path&amp;"\RTDC"&amp;B16&amp;"\"&amp;TEXT(F16+1,"YYYY-MM-DD")&amp;" --exclude ""*"" --recursive --include ""*"&amp;TEXT(F16+1,"YYYYMMDD")&amp;"*"" &amp; """&amp;walkandungz&amp;""" "&amp;search_path&amp;"\RTDC"&amp;B16&amp;"\"&amp;TEXT(F16+1,"YYYY-MM-DD")</f>
        <v>aws s3 cp s3://rtdc.mdm.uploadarchive.raw/RTDC4063/ "%USERPROFILE%\AppData\Local\Temp\OnboardLogs"\RTDC4063\2018-01-06 --exclude "*" --recursive --include "*20180106*" &amp; "%USERPROFILE%\Documents\GitHub\mrs-test-scripts\Headless Mode &amp; Sideloading\WalkAndUnGZ.bat" "%USERPROFILE%\AppData\Local\Temp\OnboardLogs"\RTDC4063\2018-01-06 &amp; aws s3 cp s3://rtdc.mdm.uploadarchive.raw/RTDC4063/ "%USERPROFILE%\AppData\Local\Temp\OnboardLogs"\RTDC4063\2018-01-07 --exclude "*" --recursive --include "*20180107*" &amp; "%USERPROFILE%\Documents\GitHub\mrs-test-scripts\Headless Mode &amp; Sideloading\WalkAndUnGZ.bat" "%USERPROFILE%\AppData\Local\Temp\OnboardLogs"\RTDC4063\2018-01-07</v>
      </c>
      <c r="AF16" s="234" t="str">
        <f>astrogrep_path&amp;" /e /r /s /spath="&amp;search_path&amp;" /stypes=""app*"&amp;B16&amp;"*"&amp;TEXT(I16-utc_offset/24,"YYYYMMDD")&amp;"*"" /stext="" "&amp;TEXT(I16-utc_offset/24,"HH")&amp;search_regexp&amp;""""</f>
        <v>"C:\Program Files (x86)\AstroGrep\AstroGrep.exe" /e /r /s /spath="%USERPROFILE%\AppData\Local\Temp\OnboardLogs" /stypes="app*4063*20180106*" /stext=" 12:.+((SYSTEM_STATE.+slice.+state.+changed )|(ment ac)|(multiple cpu faults)|(system.+state.+changed )|(\[timeout)|(PRM\|1\|D)|(kpr)|(kdp)|(train st.+moving)|(\|lc)|(penalty))"</v>
      </c>
      <c r="AG16" s="244" t="str">
        <f>DetSubdiv(A16)</f>
        <v>EC</v>
      </c>
      <c r="AH16" s="236" t="str">
        <f t="shared" si="5"/>
        <v>"%USERPROFILE%\Documents\GitHub\eaglep3\Utilities\RefineRTDCRunTimes.py" --tripid 104-06 --locoid 4063 --swversion DE.1.0.9.0 --startMP 204:233021 --initTime 2018-01-06T04:26:27 --startdatetime 2018-01-06T04:42:16 --delay 59 --endMP 204:245 --enddatetime 2018-01-06T05:21:16 --enforcementcount 0 &gt;&gt;%USERPROFILE%\Documents\GitHub\eaglep3-reporting\EC\2018-01-06-refined-times.txt</v>
      </c>
      <c r="AI16" s="238" t="str">
        <f t="shared" si="6"/>
        <v>echo {"issue":{"subject":"","project_id":79,"tracker_id":40,"status_id":1,"priority_id":2,"assigned_to_id":338,"start_date":"2018-01-06","description":"","custom_fields":[{"id":1,"name":"Subdivision","value":"EC"},{"id":4,"name":"Milepost","value":"0.0245"},{"id":17,"name":"Train ID","value":"104-06"},{"id":16,"name":"Locomotive ID","value":"4063"},{"id":130,"name":"Impact","value":""},{"id":150,"name":"Time of Event (Mountain Time)","value":"05:21:16"},{"id":151,"name":"Denver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" s="223"/>
      <c r="AK16" s="231"/>
      <c r="AL16" s="231"/>
      <c r="AM16" s="240" t="str">
        <f t="shared" si="7"/>
        <v>start /low /b %USERPROFILE%\Documents\GitHub\eaglep3\Utilities\DownloadLogsFromS3.py --loco 4063 --day 2018-01-06</v>
      </c>
      <c r="AN16" s="241" t="str">
        <f t="shared" si="8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12:21:16"},{"id":29,"name":"Sharepoint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 s="230" t="str">
        <f t="shared" si="9"/>
        <v>https://d0f6bd738d7f1b3e5a7ca70fe4ff75f0.us-east-1.aws.found.io/app/kibana#/discover/Steve-Slow-Train-Analysis-(2080s-and-2083s)?_g=(refreshInterval:(display:Off,pause:!f,section:0,value:0),time:(from:'2018-01-06T03:26:27-0700',mode:absolute,to:'2018-01-06T06:21:16-0700'))&amp;_a=(columns:!('Message%20ID',Summary),filters:!(),index:'emp_*',interval:auto,query:(query_string:(analyze_wildcard:!t,query:'%22rtdc.l.rtdc.4063%22')),sort:!(Time.ISO8601,asc))</v>
      </c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3">
      <c r="A17" s="229" t="s">
        <v>704</v>
      </c>
      <c r="B17" s="225">
        <v>4030</v>
      </c>
      <c r="C17" s="227" t="s">
        <v>192</v>
      </c>
      <c r="D17" s="227" t="s">
        <v>524</v>
      </c>
      <c r="E17" s="226">
        <v>43106.169398148151</v>
      </c>
      <c r="F17" s="226">
        <v>43106.177245370367</v>
      </c>
      <c r="G17" s="225">
        <v>96</v>
      </c>
      <c r="H17" s="227" t="s">
        <v>899</v>
      </c>
      <c r="I17" s="226">
        <v>43106.201122685183</v>
      </c>
      <c r="J17" s="225">
        <v>0</v>
      </c>
      <c r="K17" s="237" t="str">
        <f>IF(ISEVEN(B17),(B17-1)&amp;"/"&amp;B17,B17&amp;"/"&amp;(B17+1))</f>
        <v>4029/4030</v>
      </c>
      <c r="L17" s="245" t="str">
        <f>VLOOKUP(A17,'Trips&amp;Operators'!$C$1:$G$99911,5,FALSE)</f>
        <v>LOPES KIMBERLY</v>
      </c>
      <c r="M17" s="224">
        <f>I17-F17</f>
        <v>2.3877314815763384E-2</v>
      </c>
      <c r="N17" s="225">
        <f>24*60*SUM($M17:$M17)</f>
        <v>34.383333334699273</v>
      </c>
      <c r="O17" s="225"/>
      <c r="P17" s="225"/>
      <c r="Q17" s="228"/>
      <c r="R17" s="242"/>
      <c r="S17" s="249">
        <f>1/IF(AG17="EC",12,1)*SUM(U17:U17)</f>
        <v>1</v>
      </c>
      <c r="T17" s="242" t="str">
        <f>IF(ISEVEN(LEFT(AD17,4)),"Southbound","NorthBound")</f>
        <v>NorthBound</v>
      </c>
      <c r="U17" s="246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248" t="str">
        <f>"https://d0f6bd738d7f1b3e5a7ca70fe4ff75f0.us-east-1.aws.found.io/app/kibana#/discover/Steve-Slow-Train-Analysis-(2080s-and-2083s)?_g="&amp;"(refreshInterval:(display:Off,pause:!f,section:0,value:0),time:(from:'"&amp;TEXT(E17-1/24,"yyyy-MM-DDThh:mm:ss")&amp;utc_offset&amp;"00"&amp;"',mode:absolute,to:'"&amp;TEXT(I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&amp;"%22')),sort:!(Time.ISO8601,asc))"</f>
        <v>https://d0f6bd738d7f1b3e5a7ca70fe4ff75f0.us-east-1.aws.found.io/app/kibana#/discover/Steve-Slow-Train-Analysis-(2080s-and-2083s)?_g=(refreshInterval:(display:Off,pause:!f,section:0,value:0),time:(from:'2018-01-06T03:03:56-0700',mode:absolute,to:'2018-01-06T05:49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7" s="247" t="str">
        <f>IF(AA17&lt;VLOOKUP(AG17,Variables!$AC$3:$AD$8,2,FALSE),"Y","N")</f>
        <v>N</v>
      </c>
      <c r="X17" s="247">
        <f>VALUE(LEFT(AD17,4))-VALUE(LEFT(AD16,4))</f>
        <v>1</v>
      </c>
      <c r="Y17" s="247">
        <f>RIGHT(D17,LEN(D17)-4)/10000</f>
        <v>5.4800000000000001E-2</v>
      </c>
      <c r="Z17" s="247">
        <f>RIGHT(H17,LEN(H17)-4)/10000</f>
        <v>23.319900000000001</v>
      </c>
      <c r="AA17" s="247">
        <f>ABS(Z17-Y17)</f>
        <v>23.2651</v>
      </c>
      <c r="AB17" s="233" t="e">
        <f>VLOOKUP(A17,Enforcements!$C$7:$K$9,8,0)</f>
        <v>#N/A</v>
      </c>
      <c r="AC17" s="232" t="e">
        <f>VLOOKUP(A17,Enforcements!$C$7:$E$9,3,0)</f>
        <v>#N/A</v>
      </c>
      <c r="AD17" s="243">
        <f>VALUE(LEFT(A17,LEN(A17)-3))</f>
        <v>105</v>
      </c>
      <c r="AE17" s="235" t="str">
        <f>"aws s3 cp "&amp;s3_bucket&amp;"/RTDC"&amp;B17&amp;"/ "&amp;search_path&amp;"\RTDC"&amp;B17&amp;"\"&amp;TEXT(F17,"YYYY-MM-DD")&amp;" --exclude ""*"" --recursive --include ""*"&amp;TEXT(F17,"YYYYMMDD")&amp;"*"" &amp; """&amp;walkandungz&amp;""" "&amp;search_path&amp;"\RTDC"&amp;B17&amp;"\"&amp;TEXT(F17,"YYYY-MM-DD")
&amp;" &amp; "&amp;"aws s3 cp "&amp;s3_bucket&amp;"/RTDC"&amp;B17&amp;"/ "&amp;search_path&amp;"\RTDC"&amp;B17&amp;"\"&amp;TEXT(F17+1,"YYYY-MM-DD")&amp;" --exclude ""*"" --recursive --include ""*"&amp;TEXT(F17+1,"YYYYMMDD")&amp;"*"" &amp; """&amp;walkandungz&amp;""" "&amp;search_path&amp;"\RTDC"&amp;B17&amp;"\"&amp;TEXT(F17+1,"YYYY-MM-DD")</f>
        <v>aws s3 cp s3://rtdc.mdm.uploadarchive.raw/RTDC4030/ "%USERPROFILE%\AppData\Local\Temp\OnboardLogs"\RTDC4030\2018-01-06 --exclude "*" --recursive --include "*20180106*" &amp; "%USERPROFILE%\Documents\GitHub\mrs-test-scripts\Headless Mode &amp; Sideloading\WalkAndUnGZ.bat" "%USERPROFILE%\AppData\Local\Temp\OnboardLogs"\RTDC4030\2018-01-06 &amp; aws s3 cp s3://rtdc.mdm.uploadarchive.raw/RTDC4030/ "%USERPROFILE%\AppData\Local\Temp\OnboardLogs"\RTDC4030\2018-01-07 --exclude "*" --recursive --include "*20180107*" &amp; "%USERPROFILE%\Documents\GitHub\mrs-test-scripts\Headless Mode &amp; Sideloading\WalkAndUnGZ.bat" "%USERPROFILE%\AppData\Local\Temp\OnboardLogs"\RTDC4030\2018-01-07</v>
      </c>
      <c r="AF17" s="234" t="str">
        <f>astrogrep_path&amp;" /e /r /s /spath="&amp;search_path&amp;" /stypes=""app*"&amp;B17&amp;"*"&amp;TEXT(I17-utc_offset/24,"YYYYMMDD")&amp;"*"" /stext="" "&amp;TEXT(I17-utc_offset/24,"HH")&amp;search_regexp&amp;""""</f>
        <v>"C:\Program Files (x86)\AstroGrep\AstroGrep.exe" /e /r /s /spath="%USERPROFILE%\AppData\Local\Temp\OnboardLogs" /stypes="app*4030*20180106*" /stext=" 11:.+((SYSTEM_STATE.+slice.+state.+changed )|(ment ac)|(multiple cpu faults)|(system.+state.+changed )|(\[timeout)|(PRM\|1\|D)|(kpr)|(kdp)|(train st.+moving)|(\|lc)|(penalty))"</v>
      </c>
      <c r="AG17" s="244" t="str">
        <f>DetSubdiv(A17)</f>
        <v>EC</v>
      </c>
      <c r="AH17" s="236" t="str">
        <f t="shared" si="5"/>
        <v>"%USERPROFILE%\Documents\GitHub\eaglep3\Utilities\RefineRTDCRunTimes.py" --tripid 105-06 --locoid 4030 --swversion DE.1.0.9.0 --startMP 204:548 --initTime 2018-01-06T04:03:56 --startdatetime 2018-01-06T04:15:14 --delay 96 --endMP 204:233199 --enddatetime 2018-01-06T04:49:37 --enforcementcount 0 &gt;&gt;%USERPROFILE%\Documents\GitHub\eaglep3-reporting\EC\2018-01-06-refined-times.txt</v>
      </c>
      <c r="AI17" s="238" t="str">
        <f t="shared" si="6"/>
        <v>echo {"issue":{"subject":"","project_id":79,"tracker_id":40,"status_id":1,"priority_id":2,"assigned_to_id":338,"start_date":"2018-01-06","description":"","custom_fields":[{"id":1,"name":"Subdivision","value":"EC"},{"id":4,"name":"Milepost","value":"23.3199"},{"id":17,"name":"Train ID","value":"105-06"},{"id":16,"name":"Locomotive ID","value":"4030"},{"id":130,"name":"Impact","value":""},{"id":150,"name":"Time of Event (Mountain Time)","value":"04:49:37"},{"id":151,"name":"Denver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" s="223"/>
      <c r="AK17" s="231"/>
      <c r="AL17" s="231"/>
      <c r="AM17" s="240" t="str">
        <f t="shared" si="7"/>
        <v>start /low /b %USERPROFILE%\Documents\GitHub\eaglep3\Utilities\DownloadLogsFromS3.py --loco 4030 --day 2018-01-06</v>
      </c>
      <c r="AN17" s="241" t="str">
        <f t="shared" si="8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11:49:37"},{"id":29,"name":"Sharepoint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 s="230" t="str">
        <f t="shared" si="9"/>
        <v>https://d0f6bd738d7f1b3e5a7ca70fe4ff75f0.us-east-1.aws.found.io/app/kibana#/discover/Steve-Slow-Train-Analysis-(2080s-and-2083s)?_g=(refreshInterval:(display:Off,pause:!f,section:0,value:0),time:(from:'2018-01-06T03:03:56-0700',mode:absolute,to:'2018-01-06T05:49:37-0700'))&amp;_a=(columns:!('Message%20ID',Summary),filters:!(),index:'emp_*',interval:auto,query:(query_string:(analyze_wildcard:!t,query:'%22rtdc.l.rtdc.4030%22')),sort:!(Time.ISO8601,asc))</v>
      </c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3">
      <c r="A18" s="229" t="s">
        <v>716</v>
      </c>
      <c r="B18" s="225">
        <v>4029</v>
      </c>
      <c r="C18" s="227" t="s">
        <v>192</v>
      </c>
      <c r="D18" s="227" t="s">
        <v>630</v>
      </c>
      <c r="E18" s="226">
        <v>43106.21471064815</v>
      </c>
      <c r="F18" s="226">
        <v>43106.216898148145</v>
      </c>
      <c r="G18" s="225">
        <v>52</v>
      </c>
      <c r="H18" s="227" t="s">
        <v>477</v>
      </c>
      <c r="I18" s="226">
        <v>43106.2422337963</v>
      </c>
      <c r="J18" s="225">
        <v>0</v>
      </c>
      <c r="K18" s="237" t="str">
        <f>IF(ISEVEN(B18),(B18-1)&amp;"/"&amp;B18,B18&amp;"/"&amp;(B18+1))</f>
        <v>4029/4030</v>
      </c>
      <c r="L18" s="245" t="str">
        <f>VLOOKUP(A18,'Trips&amp;Operators'!$C$1:$G$99911,5,FALSE)</f>
        <v>LOPES KIMBERLY</v>
      </c>
      <c r="M18" s="224">
        <f>I18-F18</f>
        <v>2.5335648155305535E-2</v>
      </c>
      <c r="N18" s="225">
        <f>24*60*SUM($M18:$M18)</f>
        <v>36.48333334363997</v>
      </c>
      <c r="O18" s="225"/>
      <c r="P18" s="225"/>
      <c r="Q18" s="228"/>
      <c r="R18" s="242"/>
      <c r="S18" s="249">
        <f>1/IF(AG18="EC",12,1)*SUM(U18:U18)</f>
        <v>1</v>
      </c>
      <c r="T18" s="242" t="str">
        <f>IF(ISEVEN(LEFT(AD18,4)),"Southbound","NorthBound")</f>
        <v>Southbound</v>
      </c>
      <c r="U18" s="246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248" t="str">
        <f>"https://d0f6bd738d7f1b3e5a7ca70fe4ff75f0.us-east-1.aws.found.io/app/kibana#/discover/Steve-Slow-Train-Analysis-(2080s-and-2083s)?_g="&amp;"(refreshInterval:(display:Off,pause:!f,section:0,value:0),time:(from:'"&amp;TEXT(E18-1/24,"yyyy-MM-DDThh:mm:ss")&amp;utc_offset&amp;"00"&amp;"',mode:absolute,to:'"&amp;TEXT(I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&amp;"%22')),sort:!(Time.ISO8601,asc))"</f>
        <v>https://d0f6bd738d7f1b3e5a7ca70fe4ff75f0.us-east-1.aws.found.io/app/kibana#/discover/Steve-Slow-Train-Analysis-(2080s-and-2083s)?_g=(refreshInterval:(display:Off,pause:!f,section:0,value:0),time:(from:'2018-01-06T04:09:11-0700',mode:absolute,to:'2018-01-06T06:48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8" s="247" t="str">
        <f>IF(AA18&lt;VLOOKUP(AG18,Variables!$AC$3:$AD$8,2,FALSE),"Y","N")</f>
        <v>N</v>
      </c>
      <c r="X18" s="247">
        <f>VALUE(LEFT(AD18,4))-VALUE(LEFT(AD17,4))</f>
        <v>1</v>
      </c>
      <c r="Y18" s="247">
        <f>RIGHT(D18,LEN(D18)-4)/10000</f>
        <v>23.2879</v>
      </c>
      <c r="Z18" s="247">
        <f>RIGHT(H18,LEN(H18)-4)/10000</f>
        <v>2.01E-2</v>
      </c>
      <c r="AA18" s="247">
        <f>ABS(Z18-Y18)</f>
        <v>23.267800000000001</v>
      </c>
      <c r="AB18" s="233" t="e">
        <f>VLOOKUP(A18,Enforcements!$C$7:$K$9,8,0)</f>
        <v>#N/A</v>
      </c>
      <c r="AC18" s="232" t="e">
        <f>VLOOKUP(A18,Enforcements!$C$7:$E$9,3,0)</f>
        <v>#N/A</v>
      </c>
      <c r="AD18" s="243">
        <f>VALUE(LEFT(A18,LEN(A18)-3))</f>
        <v>106</v>
      </c>
      <c r="AE18" s="235" t="str">
        <f>"aws s3 cp "&amp;s3_bucket&amp;"/RTDC"&amp;B18&amp;"/ "&amp;search_path&amp;"\RTDC"&amp;B18&amp;"\"&amp;TEXT(F18,"YYYY-MM-DD")&amp;" --exclude ""*"" --recursive --include ""*"&amp;TEXT(F18,"YYYYMMDD")&amp;"*"" &amp; """&amp;walkandungz&amp;""" "&amp;search_path&amp;"\RTDC"&amp;B18&amp;"\"&amp;TEXT(F18,"YYYY-MM-DD")
&amp;" &amp; "&amp;"aws s3 cp "&amp;s3_bucket&amp;"/RTDC"&amp;B18&amp;"/ "&amp;search_path&amp;"\RTDC"&amp;B18&amp;"\"&amp;TEXT(F18+1,"YYYY-MM-DD")&amp;" --exclude ""*"" --recursive --include ""*"&amp;TEXT(F18+1,"YYYYMMDD")&amp;"*"" &amp; """&amp;walkandungz&amp;""" "&amp;search_path&amp;"\RTDC"&amp;B18&amp;"\"&amp;TEXT(F18+1,"YYYY-MM-DD")</f>
        <v>aws s3 cp s3://rtdc.mdm.uploadarchive.raw/RTDC4029/ "%USERPROFILE%\AppData\Local\Temp\OnboardLogs"\RTDC4029\2018-01-06 --exclude "*" --recursive --include "*20180106*" &amp; "%USERPROFILE%\Documents\GitHub\mrs-test-scripts\Headless Mode &amp; Sideloading\WalkAndUnGZ.bat" "%USERPROFILE%\AppData\Local\Temp\OnboardLogs"\RTDC4029\2018-01-06 &amp; aws s3 cp s3://rtdc.mdm.uploadarchive.raw/RTDC4029/ "%USERPROFILE%\AppData\Local\Temp\OnboardLogs"\RTDC4029\2018-01-07 --exclude "*" --recursive --include "*20180107*" &amp; "%USERPROFILE%\Documents\GitHub\mrs-test-scripts\Headless Mode &amp; Sideloading\WalkAndUnGZ.bat" "%USERPROFILE%\AppData\Local\Temp\OnboardLogs"\RTDC4029\2018-01-07</v>
      </c>
      <c r="AF18" s="234" t="str">
        <f>astrogrep_path&amp;" /e /r /s /spath="&amp;search_path&amp;" /stypes=""app*"&amp;B18&amp;"*"&amp;TEXT(I18-utc_offset/24,"YYYYMMDD")&amp;"*"" /stext="" "&amp;TEXT(I18-utc_offset/24,"HH")&amp;search_regexp&amp;""""</f>
        <v>"C:\Program Files (x86)\AstroGrep\AstroGrep.exe" /e /r /s /spath="%USERPROFILE%\AppData\Local\Temp\OnboardLogs" /stypes="app*4029*20180106*" /stext=" 12:.+((SYSTEM_STATE.+slice.+state.+changed )|(ment ac)|(multiple cpu faults)|(system.+state.+changed )|(\[timeout)|(PRM\|1\|D)|(kpr)|(kdp)|(train st.+moving)|(\|lc)|(penalty))"</v>
      </c>
      <c r="AG18" s="244" t="str">
        <f>DetSubdiv(A18)</f>
        <v>EC</v>
      </c>
      <c r="AH18" s="236" t="str">
        <f t="shared" si="5"/>
        <v>"%USERPROFILE%\Documents\GitHub\eaglep3\Utilities\RefineRTDCRunTimes.py" --tripid 106-06 --locoid 4029 --swversion DE.1.0.9.0 --startMP 204:232879 --initTime 2018-01-06T05:09:11 --startdatetime 2018-01-06T05:12:20 --delay 52 --endMP 204:201 --enddatetime 2018-01-06T05:48:49 --enforcementcount 0 &gt;&gt;%USERPROFILE%\Documents\GitHub\eaglep3-reporting\EC\2018-01-06-refined-times.txt</v>
      </c>
      <c r="AI18" s="238" t="str">
        <f t="shared" si="6"/>
        <v>echo {"issue":{"subject":"","project_id":79,"tracker_id":40,"status_id":1,"priority_id":2,"assigned_to_id":338,"start_date":"2018-01-06","description":"","custom_fields":[{"id":1,"name":"Subdivision","value":"EC"},{"id":4,"name":"Milepost","value":"0.0201"},{"id":17,"name":"Train ID","value":"106-06"},{"id":16,"name":"Locomotive ID","value":"4029"},{"id":130,"name":"Impact","value":""},{"id":150,"name":"Time of Event (Mountain Time)","value":"05:48:49"},{"id":151,"name":"Denver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" s="223"/>
      <c r="AK18" s="231"/>
      <c r="AL18" s="231"/>
      <c r="AM18" s="240" t="str">
        <f t="shared" si="7"/>
        <v>start /low /b %USERPROFILE%\Documents\GitHub\eaglep3\Utilities\DownloadLogsFromS3.py --loco 4029 --day 2018-01-06</v>
      </c>
      <c r="AN18" s="241" t="str">
        <f t="shared" si="8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12:48:49"},{"id":29,"name":"Sharepoint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 s="230" t="str">
        <f t="shared" si="9"/>
        <v>https://d0f6bd738d7f1b3e5a7ca70fe4ff75f0.us-east-1.aws.found.io/app/kibana#/discover/Steve-Slow-Train-Analysis-(2080s-and-2083s)?_g=(refreshInterval:(display:Off,pause:!f,section:0,value:0),time:(from:'2018-01-06T04:09:11-0700',mode:absolute,to:'2018-01-06T06:48:49-0700'))&amp;_a=(columns:!('Message%20ID',Summary),filters:!(),index:'emp_*',interval:auto,query:(query_string:(analyze_wildcard:!t,query:'%22rtdc.l.rtdc.4029%22')),sort:!(Time.ISO8601,asc))</v>
      </c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3">
      <c r="A19" s="229" t="s">
        <v>709</v>
      </c>
      <c r="B19" s="225">
        <v>4012</v>
      </c>
      <c r="C19" s="227" t="s">
        <v>192</v>
      </c>
      <c r="D19" s="227" t="s">
        <v>559</v>
      </c>
      <c r="E19" s="226">
        <v>43106.182685185187</v>
      </c>
      <c r="F19" s="226">
        <v>43106.187673611108</v>
      </c>
      <c r="G19" s="225">
        <v>68</v>
      </c>
      <c r="H19" s="227" t="s">
        <v>627</v>
      </c>
      <c r="I19" s="226">
        <v>43106.214131944442</v>
      </c>
      <c r="J19" s="225">
        <v>0</v>
      </c>
      <c r="K19" s="237" t="str">
        <f>IF(ISEVEN(B19),(B19-1)&amp;"/"&amp;B19,B19&amp;"/"&amp;(B19+1))</f>
        <v>4011/4012</v>
      </c>
      <c r="L19" s="245" t="str">
        <f>VLOOKUP(A19,'Trips&amp;Operators'!$C$1:$G$99911,5,FALSE)</f>
        <v>GEBRETEKLE DAGNEW</v>
      </c>
      <c r="M19" s="224">
        <f>I19-F19</f>
        <v>2.6458333333721384E-2</v>
      </c>
      <c r="N19" s="225">
        <f>24*60*SUM($M19:$M19)</f>
        <v>38.100000000558794</v>
      </c>
      <c r="O19" s="225"/>
      <c r="P19" s="225"/>
      <c r="Q19" s="228"/>
      <c r="R19" s="242"/>
      <c r="S19" s="249">
        <f>1/IF(AG19="EC",12,1)*SUM(U19:U19)</f>
        <v>1</v>
      </c>
      <c r="T19" s="242" t="str">
        <f>IF(ISEVEN(LEFT(AD19,4)),"Southbound","NorthBound")</f>
        <v>NorthBound</v>
      </c>
      <c r="U19" s="246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248" t="str">
        <f>"https://d0f6bd738d7f1b3e5a7ca70fe4ff75f0.us-east-1.aws.found.io/app/kibana#/discover/Steve-Slow-Train-Analysis-(2080s-and-2083s)?_g="&amp;"(refreshInterval:(display:Off,pause:!f,section:0,value:0),time:(from:'"&amp;TEXT(E19-1/24,"yyyy-MM-DDThh:mm:ss")&amp;utc_offset&amp;"00"&amp;"',mode:absolute,to:'"&amp;TEXT(I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&amp;"%22')),sort:!(Time.ISO8601,asc))"</f>
        <v>https://d0f6bd738d7f1b3e5a7ca70fe4ff75f0.us-east-1.aws.found.io/app/kibana#/discover/Steve-Slow-Train-Analysis-(2080s-and-2083s)?_g=(refreshInterval:(display:Off,pause:!f,section:0,value:0),time:(from:'2018-01-06T03:23:04-0700',mode:absolute,to:'2018-01-06T06:08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9" s="247" t="str">
        <f>IF(AA19&lt;VLOOKUP(AG19,Variables!$AC$3:$AD$8,2,FALSE),"Y","N")</f>
        <v>N</v>
      </c>
      <c r="X19" s="247">
        <f>VALUE(LEFT(AD19,4))-VALUE(LEFT(AD18,4))</f>
        <v>1</v>
      </c>
      <c r="Y19" s="247">
        <f>RIGHT(D19,LEN(D19)-4)/10000</f>
        <v>4.3700000000000003E-2</v>
      </c>
      <c r="Z19" s="247">
        <f>RIGHT(H19,LEN(H19)-4)/10000</f>
        <v>23.333600000000001</v>
      </c>
      <c r="AA19" s="247">
        <f>ABS(Z19-Y19)</f>
        <v>23.289899999999999</v>
      </c>
      <c r="AB19" s="233" t="e">
        <f>VLOOKUP(A19,Enforcements!$C$7:$K$9,8,0)</f>
        <v>#N/A</v>
      </c>
      <c r="AC19" s="232" t="e">
        <f>VLOOKUP(A19,Enforcements!$C$7:$E$9,3,0)</f>
        <v>#N/A</v>
      </c>
      <c r="AD19" s="243">
        <f>VALUE(LEFT(A19,LEN(A19)-3))</f>
        <v>107</v>
      </c>
      <c r="AE19" s="235" t="str">
        <f>"aws s3 cp "&amp;s3_bucket&amp;"/RTDC"&amp;B19&amp;"/ "&amp;search_path&amp;"\RTDC"&amp;B19&amp;"\"&amp;TEXT(F19,"YYYY-MM-DD")&amp;" --exclude ""*"" --recursive --include ""*"&amp;TEXT(F19,"YYYYMMDD")&amp;"*"" &amp; """&amp;walkandungz&amp;""" "&amp;search_path&amp;"\RTDC"&amp;B19&amp;"\"&amp;TEXT(F19,"YYYY-MM-DD")
&amp;" &amp; "&amp;"aws s3 cp "&amp;s3_bucket&amp;"/RTDC"&amp;B19&amp;"/ "&amp;search_path&amp;"\RTDC"&amp;B19&amp;"\"&amp;TEXT(F19+1,"YYYY-MM-DD")&amp;" --exclude ""*"" --recursive --include ""*"&amp;TEXT(F19+1,"YYYYMMDD")&amp;"*"" &amp; """&amp;walkandungz&amp;""" "&amp;search_path&amp;"\RTDC"&amp;B19&amp;"\"&amp;TEXT(F19+1,"YYYY-MM-DD")</f>
        <v>aws s3 cp s3://rtdc.mdm.uploadarchive.raw/RTDC4012/ "%USERPROFILE%\AppData\Local\Temp\OnboardLogs"\RTDC4012\2018-01-06 --exclude "*" --recursive --include "*20180106*" &amp; "%USERPROFILE%\Documents\GitHub\mrs-test-scripts\Headless Mode &amp; Sideloading\WalkAndUnGZ.bat" "%USERPROFILE%\AppData\Local\Temp\OnboardLogs"\RTDC4012\2018-01-06 &amp; aws s3 cp s3://rtdc.mdm.uploadarchive.raw/RTDC4012/ "%USERPROFILE%\AppData\Local\Temp\OnboardLogs"\RTDC4012\2018-01-07 --exclude "*" --recursive --include "*20180107*" &amp; "%USERPROFILE%\Documents\GitHub\mrs-test-scripts\Headless Mode &amp; Sideloading\WalkAndUnGZ.bat" "%USERPROFILE%\AppData\Local\Temp\OnboardLogs"\RTDC4012\2018-01-07</v>
      </c>
      <c r="AF19" s="234" t="str">
        <f>astrogrep_path&amp;" /e /r /s /spath="&amp;search_path&amp;" /stypes=""app*"&amp;B19&amp;"*"&amp;TEXT(I19-utc_offset/24,"YYYYMMDD")&amp;"*"" /stext="" "&amp;TEXT(I19-utc_offset/24,"HH")&amp;search_regexp&amp;""""</f>
        <v>"C:\Program Files (x86)\AstroGrep\AstroGrep.exe" /e /r /s /spath="%USERPROFILE%\AppData\Local\Temp\OnboardLogs" /stypes="app*4012*20180106*" /stext=" 12:.+((SYSTEM_STATE.+slice.+state.+changed )|(ment ac)|(multiple cpu faults)|(system.+state.+changed )|(\[timeout)|(PRM\|1\|D)|(kpr)|(kdp)|(train st.+moving)|(\|lc)|(penalty))"</v>
      </c>
      <c r="AG19" s="244" t="str">
        <f>DetSubdiv(A19)</f>
        <v>EC</v>
      </c>
      <c r="AH19" s="236" t="str">
        <f t="shared" si="5"/>
        <v>"%USERPROFILE%\Documents\GitHub\eaglep3\Utilities\RefineRTDCRunTimes.py" --tripid 107-06 --locoid 4012 --swversion DE.1.0.9.0 --startMP 204:437 --initTime 2018-01-06T04:23:04 --startdatetime 2018-01-06T04:30:15 --delay 68 --endMP 204:233336 --enddatetime 2018-01-06T05:08:21 --enforcementcount 0 &gt;&gt;%USERPROFILE%\Documents\GitHub\eaglep3-reporting\EC\2018-01-06-refined-times.txt</v>
      </c>
      <c r="AI19" s="238" t="str">
        <f t="shared" si="6"/>
        <v>echo {"issue":{"subject":"","project_id":79,"tracker_id":40,"status_id":1,"priority_id":2,"assigned_to_id":338,"start_date":"2018-01-06","description":"","custom_fields":[{"id":1,"name":"Subdivision","value":"EC"},{"id":4,"name":"Milepost","value":"23.3336"},{"id":17,"name":"Train ID","value":"107-06"},{"id":16,"name":"Locomotive ID","value":"4012"},{"id":130,"name":"Impact","value":""},{"id":150,"name":"Time of Event (Mountain Time)","value":"05:08:21"},{"id":151,"name":"Denver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" s="223"/>
      <c r="AK19" s="231"/>
      <c r="AL19" s="231"/>
      <c r="AM19" s="240" t="str">
        <f t="shared" si="7"/>
        <v>start /low /b %USERPROFILE%\Documents\GitHub\eaglep3\Utilities\DownloadLogsFromS3.py --loco 4012 --day 2018-01-06</v>
      </c>
      <c r="AN19" s="241" t="str">
        <f t="shared" si="8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12:08:21"},{"id":29,"name":"Sharepoint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 s="230" t="str">
        <f t="shared" si="9"/>
        <v>https://d0f6bd738d7f1b3e5a7ca70fe4ff75f0.us-east-1.aws.found.io/app/kibana#/discover/Steve-Slow-Train-Analysis-(2080s-and-2083s)?_g=(refreshInterval:(display:Off,pause:!f,section:0,value:0),time:(from:'2018-01-06T03:23:04-0700',mode:absolute,to:'2018-01-06T06:08:21-0700'))&amp;_a=(columns:!('Message%20ID',Summary),filters:!(),index:'emp_*',interval:auto,query:(query_string:(analyze_wildcard:!t,query:'%22rtdc.l.rtdc.4012%22')),sort:!(Time.ISO8601,asc))</v>
      </c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3">
      <c r="A20" s="229" t="s">
        <v>718</v>
      </c>
      <c r="B20" s="225">
        <v>4011</v>
      </c>
      <c r="C20" s="227" t="s">
        <v>192</v>
      </c>
      <c r="D20" s="227" t="s">
        <v>628</v>
      </c>
      <c r="E20" s="226">
        <v>43106.215578703705</v>
      </c>
      <c r="F20" s="226">
        <v>43106.227256944447</v>
      </c>
      <c r="G20" s="225">
        <v>60</v>
      </c>
      <c r="H20" s="227" t="s">
        <v>900</v>
      </c>
      <c r="I20" s="226">
        <v>43106.253113425926</v>
      </c>
      <c r="J20" s="225">
        <v>0</v>
      </c>
      <c r="K20" s="237" t="str">
        <f>IF(ISEVEN(B20),(B20-1)&amp;"/"&amp;B20,B20&amp;"/"&amp;(B20+1))</f>
        <v>4011/4012</v>
      </c>
      <c r="L20" s="245" t="str">
        <f>VLOOKUP(A20,'Trips&amp;Operators'!$C$1:$G$99911,5,FALSE)</f>
        <v>GEBRETEKLE DAGNEW</v>
      </c>
      <c r="M20" s="224">
        <f>I20-F20</f>
        <v>2.5856481479422655E-2</v>
      </c>
      <c r="N20" s="225">
        <f>24*60*SUM($M20:$M20)</f>
        <v>37.233333330368623</v>
      </c>
      <c r="O20" s="225"/>
      <c r="P20" s="225"/>
      <c r="Q20" s="228"/>
      <c r="R20" s="242"/>
      <c r="S20" s="249">
        <f>1/IF(AG20="EC",12,1)*SUM(U20:U20)</f>
        <v>1</v>
      </c>
      <c r="T20" s="242" t="str">
        <f>IF(ISEVEN(LEFT(AD20,4)),"Southbound","NorthBound")</f>
        <v>Southbound</v>
      </c>
      <c r="U20" s="246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248" t="str">
        <f>"https://d0f6bd738d7f1b3e5a7ca70fe4ff75f0.us-east-1.aws.found.io/app/kibana#/discover/Steve-Slow-Train-Analysis-(2080s-and-2083s)?_g="&amp;"(refreshInterval:(display:Off,pause:!f,section:0,value:0),time:(from:'"&amp;TEXT(E20-1/24,"yyyy-MM-DDThh:mm:ss")&amp;utc_offset&amp;"00"&amp;"',mode:absolute,to:'"&amp;TEXT(I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&amp;"%22')),sort:!(Time.ISO8601,asc))"</f>
        <v>https://d0f6bd738d7f1b3e5a7ca70fe4ff75f0.us-east-1.aws.found.io/app/kibana#/discover/Steve-Slow-Train-Analysis-(2080s-and-2083s)?_g=(refreshInterval:(display:Off,pause:!f,section:0,value:0),time:(from:'2018-01-06T04:10:26-0700',mode:absolute,to:'2018-01-06T07:04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0" s="247" t="str">
        <f>IF(AA20&lt;VLOOKUP(AG20,Variables!$AC$3:$AD$8,2,FALSE),"Y","N")</f>
        <v>N</v>
      </c>
      <c r="X20" s="247">
        <f>VALUE(LEFT(AD20,4))-VALUE(LEFT(AD19,4))</f>
        <v>1</v>
      </c>
      <c r="Y20" s="247">
        <f>RIGHT(D20,LEN(D20)-4)/10000</f>
        <v>23.300999999999998</v>
      </c>
      <c r="Z20" s="247">
        <f>RIGHT(H20,LEN(H20)-4)/10000</f>
        <v>1.47E-2</v>
      </c>
      <c r="AA20" s="247">
        <f>ABS(Z20-Y20)</f>
        <v>23.286299999999997</v>
      </c>
      <c r="AB20" s="233" t="e">
        <f>VLOOKUP(A20,Enforcements!$C$7:$K$9,8,0)</f>
        <v>#N/A</v>
      </c>
      <c r="AC20" s="232" t="e">
        <f>VLOOKUP(A20,Enforcements!$C$7:$E$9,3,0)</f>
        <v>#N/A</v>
      </c>
      <c r="AD20" s="243">
        <f>VALUE(LEFT(A20,LEN(A20)-3))</f>
        <v>108</v>
      </c>
      <c r="AE20" s="235" t="str">
        <f>"aws s3 cp "&amp;s3_bucket&amp;"/RTDC"&amp;B20&amp;"/ "&amp;search_path&amp;"\RTDC"&amp;B20&amp;"\"&amp;TEXT(F20,"YYYY-MM-DD")&amp;" --exclude ""*"" --recursive --include ""*"&amp;TEXT(F20,"YYYYMMDD")&amp;"*"" &amp; """&amp;walkandungz&amp;""" "&amp;search_path&amp;"\RTDC"&amp;B20&amp;"\"&amp;TEXT(F20,"YYYY-MM-DD")
&amp;" &amp; "&amp;"aws s3 cp "&amp;s3_bucket&amp;"/RTDC"&amp;B20&amp;"/ "&amp;search_path&amp;"\RTDC"&amp;B20&amp;"\"&amp;TEXT(F20+1,"YYYY-MM-DD")&amp;" --exclude ""*"" --recursive --include ""*"&amp;TEXT(F20+1,"YYYYMMDD")&amp;"*"" &amp; """&amp;walkandungz&amp;""" "&amp;search_path&amp;"\RTDC"&amp;B20&amp;"\"&amp;TEXT(F20+1,"YYYY-MM-DD")</f>
        <v>aws s3 cp s3://rtdc.mdm.uploadarchive.raw/RTDC4011/ "%USERPROFILE%\AppData\Local\Temp\OnboardLogs"\RTDC4011\2018-01-06 --exclude "*" --recursive --include "*20180106*" &amp; "%USERPROFILE%\Documents\GitHub\mrs-test-scripts\Headless Mode &amp; Sideloading\WalkAndUnGZ.bat" "%USERPROFILE%\AppData\Local\Temp\OnboardLogs"\RTDC4011\2018-01-06 &amp; aws s3 cp s3://rtdc.mdm.uploadarchive.raw/RTDC4011/ "%USERPROFILE%\AppData\Local\Temp\OnboardLogs"\RTDC4011\2018-01-07 --exclude "*" --recursive --include "*20180107*" &amp; "%USERPROFILE%\Documents\GitHub\mrs-test-scripts\Headless Mode &amp; Sideloading\WalkAndUnGZ.bat" "%USERPROFILE%\AppData\Local\Temp\OnboardLogs"\RTDC4011\2018-01-07</v>
      </c>
      <c r="AF20" s="234" t="str">
        <f>astrogrep_path&amp;" /e /r /s /spath="&amp;search_path&amp;" /stypes=""app*"&amp;B20&amp;"*"&amp;TEXT(I20-utc_offset/24,"YYYYMMDD")&amp;"*"" /stext="" "&amp;TEXT(I20-utc_offset/24,"HH")&amp;search_regexp&amp;""""</f>
        <v>"C:\Program Files (x86)\AstroGrep\AstroGrep.exe" /e /r /s /spath="%USERPROFILE%\AppData\Local\Temp\OnboardLogs" /stypes="app*4011*20180106*" /stext=" 13:.+((SYSTEM_STATE.+slice.+state.+changed )|(ment ac)|(multiple cpu faults)|(system.+state.+changed )|(\[timeout)|(PRM\|1\|D)|(kpr)|(kdp)|(train st.+moving)|(\|lc)|(penalty))"</v>
      </c>
      <c r="AG20" s="244" t="str">
        <f>DetSubdiv(A20)</f>
        <v>EC</v>
      </c>
      <c r="AH20" s="236" t="str">
        <f t="shared" si="5"/>
        <v>"%USERPROFILE%\Documents\GitHub\eaglep3\Utilities\RefineRTDCRunTimes.py" --tripid 108-06 --locoid 4011 --swversion DE.1.0.9.0 --startMP 204:233010 --initTime 2018-01-06T05:10:26 --startdatetime 2018-01-06T05:27:15 --delay 60 --endMP 204:147 --enddatetime 2018-01-06T06:04:29 --enforcementcount 0 &gt;&gt;%USERPROFILE%\Documents\GitHub\eaglep3-reporting\EC\2018-01-06-refined-times.txt</v>
      </c>
      <c r="AI20" s="238" t="str">
        <f t="shared" si="6"/>
        <v>echo {"issue":{"subject":"","project_id":79,"tracker_id":40,"status_id":1,"priority_id":2,"assigned_to_id":338,"start_date":"2018-01-06","description":"","custom_fields":[{"id":1,"name":"Subdivision","value":"EC"},{"id":4,"name":"Milepost","value":"0.0147"},{"id":17,"name":"Train ID","value":"108-06"},{"id":16,"name":"Locomotive ID","value":"4011"},{"id":130,"name":"Impact","value":""},{"id":150,"name":"Time of Event (Mountain Time)","value":"06:04:29"},{"id":151,"name":"Denver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" s="223"/>
      <c r="AK20" s="231"/>
      <c r="AL20" s="231"/>
      <c r="AM20" s="240" t="str">
        <f t="shared" si="7"/>
        <v>start /low /b %USERPROFILE%\Documents\GitHub\eaglep3\Utilities\DownloadLogsFromS3.py --loco 4011 --day 2018-01-06</v>
      </c>
      <c r="AN20" s="241" t="str">
        <f t="shared" si="8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13:04:29"},{"id":29,"name":"Sharepoint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 s="230" t="str">
        <f t="shared" si="9"/>
        <v>https://d0f6bd738d7f1b3e5a7ca70fe4ff75f0.us-east-1.aws.found.io/app/kibana#/discover/Steve-Slow-Train-Analysis-(2080s-and-2083s)?_g=(refreshInterval:(display:Off,pause:!f,section:0,value:0),time:(from:'2018-01-06T04:10:26-0700',mode:absolute,to:'2018-01-06T07:04:29-0700'))&amp;_a=(columns:!('Message%20ID',Summary),filters:!(),index:'emp_*',interval:auto,query:(query_string:(analyze_wildcard:!t,query:'%22rtdc.l.rtdc.4011%22')),sort:!(Time.ISO8601,asc))</v>
      </c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3">
      <c r="A21" s="229" t="s">
        <v>711</v>
      </c>
      <c r="B21" s="225">
        <v>4044</v>
      </c>
      <c r="C21" s="227" t="s">
        <v>192</v>
      </c>
      <c r="D21" s="227" t="s">
        <v>552</v>
      </c>
      <c r="E21" s="226">
        <v>43106.192488425928</v>
      </c>
      <c r="F21" s="226">
        <v>43106.19809027778</v>
      </c>
      <c r="G21" s="225">
        <v>127</v>
      </c>
      <c r="H21" s="227" t="s">
        <v>642</v>
      </c>
      <c r="I21" s="226">
        <v>43106.222916666666</v>
      </c>
      <c r="J21" s="225">
        <v>0</v>
      </c>
      <c r="K21" s="237" t="str">
        <f>IF(ISEVEN(B21),(B21-1)&amp;"/"&amp;B21,B21&amp;"/"&amp;(B21+1))</f>
        <v>4043/4044</v>
      </c>
      <c r="L21" s="245" t="str">
        <f>VLOOKUP(A21,'Trips&amp;Operators'!$C$1:$G$99911,5,FALSE)</f>
        <v>DELGADO DIANAH</v>
      </c>
      <c r="M21" s="224">
        <f>I21-F21</f>
        <v>2.4826388886140194E-2</v>
      </c>
      <c r="N21" s="225">
        <f>24*60*SUM($M21:$M21)</f>
        <v>35.749999996041879</v>
      </c>
      <c r="O21" s="225"/>
      <c r="P21" s="225"/>
      <c r="Q21" s="228"/>
      <c r="R21" s="242"/>
      <c r="S21" s="249">
        <f>1/IF(AG21="EC",12,1)*SUM(U21:U21)</f>
        <v>1</v>
      </c>
      <c r="T21" s="242" t="str">
        <f>IF(ISEVEN(LEFT(AD21,4)),"Southbound","NorthBound")</f>
        <v>NorthBound</v>
      </c>
      <c r="U21" s="246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248" t="str">
        <f>"https://d0f6bd738d7f1b3e5a7ca70fe4ff75f0.us-east-1.aws.found.io/app/kibana#/discover/Steve-Slow-Train-Analysis-(2080s-and-2083s)?_g="&amp;"(refreshInterval:(display:Off,pause:!f,section:0,value:0),time:(from:'"&amp;TEXT(E21-1/24,"yyyy-MM-DDThh:mm:ss")&amp;utc_offset&amp;"00"&amp;"',mode:absolute,to:'"&amp;TEXT(I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&amp;"%22')),sort:!(Time.ISO8601,asc))"</f>
        <v>https://d0f6bd738d7f1b3e5a7ca70fe4ff75f0.us-east-1.aws.found.io/app/kibana#/discover/Steve-Slow-Train-Analysis-(2080s-and-2083s)?_g=(refreshInterval:(display:Off,pause:!f,section:0,value:0),time:(from:'2018-01-06T03:37:11-0700',mode:absolute,to:'2018-01-06T06:21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1" s="247" t="str">
        <f>IF(AA21&lt;VLOOKUP(AG21,Variables!$AC$3:$AD$8,2,FALSE),"Y","N")</f>
        <v>N</v>
      </c>
      <c r="X21" s="247">
        <f>VALUE(LEFT(AD21,4))-VALUE(LEFT(AD20,4))</f>
        <v>1</v>
      </c>
      <c r="Y21" s="247">
        <f>RIGHT(D21,LEN(D21)-4)/10000</f>
        <v>4.5699999999999998E-2</v>
      </c>
      <c r="Z21" s="247">
        <f>RIGHT(H21,LEN(H21)-4)/10000</f>
        <v>23.324000000000002</v>
      </c>
      <c r="AA21" s="247">
        <f>ABS(Z21-Y21)</f>
        <v>23.278300000000002</v>
      </c>
      <c r="AB21" s="233" t="e">
        <f>VLOOKUP(A21,Enforcements!$C$7:$K$9,8,0)</f>
        <v>#N/A</v>
      </c>
      <c r="AC21" s="232" t="e">
        <f>VLOOKUP(A21,Enforcements!$C$7:$E$9,3,0)</f>
        <v>#N/A</v>
      </c>
      <c r="AD21" s="243">
        <f>VALUE(LEFT(A21,LEN(A21)-3))</f>
        <v>109</v>
      </c>
      <c r="AE21" s="235" t="str">
        <f>"aws s3 cp "&amp;s3_bucket&amp;"/RTDC"&amp;B21&amp;"/ "&amp;search_path&amp;"\RTDC"&amp;B21&amp;"\"&amp;TEXT(F21,"YYYY-MM-DD")&amp;" --exclude ""*"" --recursive --include ""*"&amp;TEXT(F21,"YYYYMMDD")&amp;"*"" &amp; """&amp;walkandungz&amp;""" "&amp;search_path&amp;"\RTDC"&amp;B21&amp;"\"&amp;TEXT(F21,"YYYY-MM-DD")
&amp;" &amp; "&amp;"aws s3 cp "&amp;s3_bucket&amp;"/RTDC"&amp;B21&amp;"/ "&amp;search_path&amp;"\RTDC"&amp;B21&amp;"\"&amp;TEXT(F21+1,"YYYY-MM-DD")&amp;" --exclude ""*"" --recursive --include ""*"&amp;TEXT(F21+1,"YYYYMMDD")&amp;"*"" &amp; """&amp;walkandungz&amp;""" "&amp;search_path&amp;"\RTDC"&amp;B21&amp;"\"&amp;TEXT(F21+1,"YYYY-MM-DD")</f>
        <v>aws s3 cp s3://rtdc.mdm.uploadarchive.raw/RTDC4044/ "%USERPROFILE%\AppData\Local\Temp\OnboardLogs"\RTDC4044\2018-01-06 --exclude "*" --recursive --include "*20180106*" &amp; "%USERPROFILE%\Documents\GitHub\mrs-test-scripts\Headless Mode &amp; Sideloading\WalkAndUnGZ.bat" "%USERPROFILE%\AppData\Local\Temp\OnboardLogs"\RTDC4044\2018-01-06 &amp; aws s3 cp s3://rtdc.mdm.uploadarchive.raw/RTDC4044/ "%USERPROFILE%\AppData\Local\Temp\OnboardLogs"\RTDC4044\2018-01-07 --exclude "*" --recursive --include "*20180107*" &amp; "%USERPROFILE%\Documents\GitHub\mrs-test-scripts\Headless Mode &amp; Sideloading\WalkAndUnGZ.bat" "%USERPROFILE%\AppData\Local\Temp\OnboardLogs"\RTDC4044\2018-01-07</v>
      </c>
      <c r="AF21" s="234" t="str">
        <f>astrogrep_path&amp;" /e /r /s /spath="&amp;search_path&amp;" /stypes=""app*"&amp;B21&amp;"*"&amp;TEXT(I21-utc_offset/24,"YYYYMMDD")&amp;"*"" /stext="" "&amp;TEXT(I21-utc_offset/24,"HH")&amp;search_regexp&amp;""""</f>
        <v>"C:\Program Files (x86)\AstroGrep\AstroGrep.exe" /e /r /s /spath="%USERPROFILE%\AppData\Local\Temp\OnboardLogs" /stypes="app*4044*20180106*" /stext=" 12:.+((SYSTEM_STATE.+slice.+state.+changed )|(ment ac)|(multiple cpu faults)|(system.+state.+changed )|(\[timeout)|(PRM\|1\|D)|(kpr)|(kdp)|(train st.+moving)|(\|lc)|(penalty))"</v>
      </c>
      <c r="AG21" s="244" t="str">
        <f>DetSubdiv(A21)</f>
        <v>EC</v>
      </c>
      <c r="AH21" s="236" t="str">
        <f t="shared" si="5"/>
        <v>"%USERPROFILE%\Documents\GitHub\eaglep3\Utilities\RefineRTDCRunTimes.py" --tripid 109-06 --locoid 4044 --swversion DE.1.0.9.0 --startMP 204:457 --initTime 2018-01-06T04:37:11 --startdatetime 2018-01-06T04:45:15 --delay 127 --endMP 204:233240 --enddatetime 2018-01-06T05:21:00 --enforcementcount 0 &gt;&gt;%USERPROFILE%\Documents\GitHub\eaglep3-reporting\EC\2018-01-06-refined-times.txt</v>
      </c>
      <c r="AI21" s="238" t="str">
        <f t="shared" si="6"/>
        <v>echo {"issue":{"subject":"","project_id":79,"tracker_id":40,"status_id":1,"priority_id":2,"assigned_to_id":338,"start_date":"2018-01-06","description":"","custom_fields":[{"id":1,"name":"Subdivision","value":"EC"},{"id":4,"name":"Milepost","value":"23.324"},{"id":17,"name":"Train ID","value":"109-06"},{"id":16,"name":"Locomotive ID","value":"4044"},{"id":130,"name":"Impact","value":""},{"id":150,"name":"Time of Event (Mountain Time)","value":"05:21:00"},{"id":151,"name":"Denver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" s="223"/>
      <c r="AK21" s="231"/>
      <c r="AL21" s="231"/>
      <c r="AM21" s="240" t="str">
        <f t="shared" si="7"/>
        <v>start /low /b %USERPROFILE%\Documents\GitHub\eaglep3\Utilities\DownloadLogsFromS3.py --loco 4044 --day 2018-01-06</v>
      </c>
      <c r="AN21" s="241" t="str">
        <f t="shared" si="8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12:21:00"},{"id":29,"name":"Sharepoint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 s="230" t="str">
        <f t="shared" si="9"/>
        <v>https://d0f6bd738d7f1b3e5a7ca70fe4ff75f0.us-east-1.aws.found.io/app/kibana#/discover/Steve-Slow-Train-Analysis-(2080s-and-2083s)?_g=(refreshInterval:(display:Off,pause:!f,section:0,value:0),time:(from:'2018-01-06T03:37:11-0700',mode:absolute,to:'2018-01-06T06:21:00-0700'))&amp;_a=(columns:!('Message%20ID',Summary),filters:!(),index:'emp_*',interval:auto,query:(query_string:(analyze_wildcard:!t,query:'%22rtdc.l.rtdc.4044%22')),sort:!(Time.ISO8601,asc))</v>
      </c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3">
      <c r="A22" s="229" t="s">
        <v>720</v>
      </c>
      <c r="B22" s="225">
        <v>4043</v>
      </c>
      <c r="C22" s="227" t="s">
        <v>192</v>
      </c>
      <c r="D22" s="227" t="s">
        <v>901</v>
      </c>
      <c r="E22" s="226">
        <v>43106.224189814813</v>
      </c>
      <c r="F22" s="226">
        <v>43106.237916666665</v>
      </c>
      <c r="G22" s="225">
        <v>49</v>
      </c>
      <c r="H22" s="227" t="s">
        <v>902</v>
      </c>
      <c r="I22" s="226">
        <v>43106.263692129629</v>
      </c>
      <c r="J22" s="225">
        <v>0</v>
      </c>
      <c r="K22" s="237" t="str">
        <f>IF(ISEVEN(B22),(B22-1)&amp;"/"&amp;B22,B22&amp;"/"&amp;(B22+1))</f>
        <v>4043/4044</v>
      </c>
      <c r="L22" s="245" t="str">
        <f>VLOOKUP(A22,'Trips&amp;Operators'!$C$1:$G$99911,5,FALSE)</f>
        <v>DELGADO DIANAH</v>
      </c>
      <c r="M22" s="224">
        <f>I22-F22</f>
        <v>2.5775462963792961E-2</v>
      </c>
      <c r="N22" s="225">
        <f>24*60*SUM($M22:$M22)</f>
        <v>37.116666667861864</v>
      </c>
      <c r="O22" s="225"/>
      <c r="P22" s="225"/>
      <c r="Q22" s="228"/>
      <c r="R22" s="242"/>
      <c r="S22" s="249">
        <f>1/IF(AG22="EC",12,1)*SUM(U22:U22)</f>
        <v>1</v>
      </c>
      <c r="T22" s="242" t="str">
        <f>IF(ISEVEN(LEFT(AD22,4)),"Southbound","NorthBound")</f>
        <v>Southbound</v>
      </c>
      <c r="U22" s="246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248" t="str">
        <f>"https://d0f6bd738d7f1b3e5a7ca70fe4ff75f0.us-east-1.aws.found.io/app/kibana#/discover/Steve-Slow-Train-Analysis-(2080s-and-2083s)?_g="&amp;"(refreshInterval:(display:Off,pause:!f,section:0,value:0),time:(from:'"&amp;TEXT(E22-1/24,"yyyy-MM-DDThh:mm:ss")&amp;utc_offset&amp;"00"&amp;"',mode:absolute,to:'"&amp;TEXT(I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&amp;"%22')),sort:!(Time.ISO8601,asc))"</f>
        <v>https://d0f6bd738d7f1b3e5a7ca70fe4ff75f0.us-east-1.aws.found.io/app/kibana#/discover/Steve-Slow-Train-Analysis-(2080s-and-2083s)?_g=(refreshInterval:(display:Off,pause:!f,section:0,value:0),time:(from:'2018-01-06T04:22:50-0700',mode:absolute,to:'2018-01-06T07:19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2" s="247" t="str">
        <f>IF(AA22&lt;VLOOKUP(AG22,Variables!$AC$3:$AD$8,2,FALSE),"Y","N")</f>
        <v>N</v>
      </c>
      <c r="X22" s="247">
        <f>VALUE(LEFT(AD22,4))-VALUE(LEFT(AD21,4))</f>
        <v>1</v>
      </c>
      <c r="Y22" s="247">
        <f>RIGHT(D22,LEN(D22)-4)/10000</f>
        <v>23.301100000000002</v>
      </c>
      <c r="Z22" s="247">
        <f>RIGHT(H22,LEN(H22)-4)/10000</f>
        <v>1.3599999999999999E-2</v>
      </c>
      <c r="AA22" s="247">
        <f>ABS(Z22-Y22)</f>
        <v>23.287500000000001</v>
      </c>
      <c r="AB22" s="233" t="e">
        <f>VLOOKUP(A22,Enforcements!$C$7:$K$9,8,0)</f>
        <v>#N/A</v>
      </c>
      <c r="AC22" s="232" t="e">
        <f>VLOOKUP(A22,Enforcements!$C$7:$E$9,3,0)</f>
        <v>#N/A</v>
      </c>
      <c r="AD22" s="243">
        <f>VALUE(LEFT(A22,LEN(A22)-3))</f>
        <v>110</v>
      </c>
      <c r="AE22" s="235" t="str">
        <f>"aws s3 cp "&amp;s3_bucket&amp;"/RTDC"&amp;B22&amp;"/ "&amp;search_path&amp;"\RTDC"&amp;B22&amp;"\"&amp;TEXT(F22,"YYYY-MM-DD")&amp;" --exclude ""*"" --recursive --include ""*"&amp;TEXT(F22,"YYYYMMDD")&amp;"*"" &amp; """&amp;walkandungz&amp;""" "&amp;search_path&amp;"\RTDC"&amp;B22&amp;"\"&amp;TEXT(F22,"YYYY-MM-DD")
&amp;" &amp; "&amp;"aws s3 cp "&amp;s3_bucket&amp;"/RTDC"&amp;B22&amp;"/ "&amp;search_path&amp;"\RTDC"&amp;B22&amp;"\"&amp;TEXT(F22+1,"YYYY-MM-DD")&amp;" --exclude ""*"" --recursive --include ""*"&amp;TEXT(F22+1,"YYYYMMDD")&amp;"*"" &amp; """&amp;walkandungz&amp;""" "&amp;search_path&amp;"\RTDC"&amp;B22&amp;"\"&amp;TEXT(F22+1,"YYYY-MM-DD")</f>
        <v>aws s3 cp s3://rtdc.mdm.uploadarchive.raw/RTDC4043/ "%USERPROFILE%\AppData\Local\Temp\OnboardLogs"\RTDC4043\2018-01-06 --exclude "*" --recursive --include "*20180106*" &amp; "%USERPROFILE%\Documents\GitHub\mrs-test-scripts\Headless Mode &amp; Sideloading\WalkAndUnGZ.bat" "%USERPROFILE%\AppData\Local\Temp\OnboardLogs"\RTDC4043\2018-01-06 &amp; aws s3 cp s3://rtdc.mdm.uploadarchive.raw/RTDC4043/ "%USERPROFILE%\AppData\Local\Temp\OnboardLogs"\RTDC4043\2018-01-07 --exclude "*" --recursive --include "*20180107*" &amp; "%USERPROFILE%\Documents\GitHub\mrs-test-scripts\Headless Mode &amp; Sideloading\WalkAndUnGZ.bat" "%USERPROFILE%\AppData\Local\Temp\OnboardLogs"\RTDC4043\2018-01-07</v>
      </c>
      <c r="AF22" s="234" t="str">
        <f>astrogrep_path&amp;" /e /r /s /spath="&amp;search_path&amp;" /stypes=""app*"&amp;B22&amp;"*"&amp;TEXT(I22-utc_offset/24,"YYYYMMDD")&amp;"*"" /stext="" "&amp;TEXT(I22-utc_offset/24,"HH")&amp;search_regexp&amp;""""</f>
        <v>"C:\Program Files (x86)\AstroGrep\AstroGrep.exe" /e /r /s /spath="%USERPROFILE%\AppData\Local\Temp\OnboardLogs" /stypes="app*4043*20180106*" /stext=" 13:.+((SYSTEM_STATE.+slice.+state.+changed )|(ment ac)|(multiple cpu faults)|(system.+state.+changed )|(\[timeout)|(PRM\|1\|D)|(kpr)|(kdp)|(train st.+moving)|(\|lc)|(penalty))"</v>
      </c>
      <c r="AG22" s="244" t="str">
        <f>DetSubdiv(A22)</f>
        <v>EC</v>
      </c>
      <c r="AH22" s="236" t="str">
        <f t="shared" si="5"/>
        <v>"%USERPROFILE%\Documents\GitHub\eaglep3\Utilities\RefineRTDCRunTimes.py" --tripid 110-06 --locoid 4043 --swversion DE.1.0.9.0 --startMP 204:233011 --initTime 2018-01-06T05:22:50 --startdatetime 2018-01-06T05:42:36 --delay 49 --endMP 204:136 --enddatetime 2018-01-06T06:19:43 --enforcementcount 0 &gt;&gt;%USERPROFILE%\Documents\GitHub\eaglep3-reporting\EC\2018-01-06-refined-times.txt</v>
      </c>
      <c r="AI22" s="238" t="str">
        <f t="shared" si="6"/>
        <v>echo {"issue":{"subject":"","project_id":79,"tracker_id":40,"status_id":1,"priority_id":2,"assigned_to_id":338,"start_date":"2018-01-06","description":"","custom_fields":[{"id":1,"name":"Subdivision","value":"EC"},{"id":4,"name":"Milepost","value":"0.0136"},{"id":17,"name":"Train ID","value":"110-06"},{"id":16,"name":"Locomotive ID","value":"4043"},{"id":130,"name":"Impact","value":""},{"id":150,"name":"Time of Event (Mountain Time)","value":"06:19:43"},{"id":151,"name":"Denver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" s="223"/>
      <c r="AK22" s="231"/>
      <c r="AL22" s="231"/>
      <c r="AM22" s="240" t="str">
        <f t="shared" si="7"/>
        <v>start /low /b %USERPROFILE%\Documents\GitHub\eaglep3\Utilities\DownloadLogsFromS3.py --loco 4043 --day 2018-01-06</v>
      </c>
      <c r="AN22" s="241" t="str">
        <f t="shared" si="8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13:19:43"},{"id":29,"name":"Sharepoint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 s="230" t="str">
        <f t="shared" si="9"/>
        <v>https://d0f6bd738d7f1b3e5a7ca70fe4ff75f0.us-east-1.aws.found.io/app/kibana#/discover/Steve-Slow-Train-Analysis-(2080s-and-2083s)?_g=(refreshInterval:(display:Off,pause:!f,section:0,value:0),time:(from:'2018-01-06T04:22:50-0700',mode:absolute,to:'2018-01-06T07:19:43-0700'))&amp;_a=(columns:!('Message%20ID',Summary),filters:!(),index:'emp_*',interval:auto,query:(query_string:(analyze_wildcard:!t,query:'%22rtdc.l.rtdc.4043%22')),sort:!(Time.ISO8601,asc))</v>
      </c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3">
      <c r="A23" s="229" t="s">
        <v>715</v>
      </c>
      <c r="B23" s="225">
        <v>4018</v>
      </c>
      <c r="C23" s="227" t="s">
        <v>192</v>
      </c>
      <c r="D23" s="227" t="s">
        <v>515</v>
      </c>
      <c r="E23" s="226">
        <v>43106.206504629627</v>
      </c>
      <c r="F23" s="226">
        <v>43106.209027777775</v>
      </c>
      <c r="G23" s="225">
        <v>56</v>
      </c>
      <c r="H23" s="227" t="s">
        <v>522</v>
      </c>
      <c r="I23" s="226">
        <v>43106.234756944446</v>
      </c>
      <c r="J23" s="225">
        <v>0</v>
      </c>
      <c r="K23" s="237" t="str">
        <f>IF(ISEVEN(B23),(B23-1)&amp;"/"&amp;B23,B23&amp;"/"&amp;(B23+1))</f>
        <v>4017/4018</v>
      </c>
      <c r="L23" s="245" t="str">
        <f>VLOOKUP(A23,'Trips&amp;Operators'!$C$1:$G$99911,5,FALSE)</f>
        <v>THOMPSON LESTER</v>
      </c>
      <c r="M23" s="224">
        <f>I23-F23</f>
        <v>2.5729166671226267E-2</v>
      </c>
      <c r="N23" s="225">
        <f>24*60*SUM($M23:$M23)</f>
        <v>37.050000006565824</v>
      </c>
      <c r="O23" s="225"/>
      <c r="P23" s="225"/>
      <c r="Q23" s="228"/>
      <c r="R23" s="242"/>
      <c r="S23" s="249">
        <f>1/IF(AG23="EC",12,1)*SUM(U23:U23)</f>
        <v>1</v>
      </c>
      <c r="T23" s="242" t="str">
        <f>IF(ISEVEN(LEFT(AD23,4)),"Southbound","NorthBound")</f>
        <v>NorthBound</v>
      </c>
      <c r="U23" s="246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248" t="str">
        <f>"https://d0f6bd738d7f1b3e5a7ca70fe4ff75f0.us-east-1.aws.found.io/app/kibana#/discover/Steve-Slow-Train-Analysis-(2080s-and-2083s)?_g="&amp;"(refreshInterval:(display:Off,pause:!f,section:0,value:0),time:(from:'"&amp;TEXT(E23-1/24,"yyyy-MM-DDThh:mm:ss")&amp;utc_offset&amp;"00"&amp;"',mode:absolute,to:'"&amp;TEXT(I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&amp;"%22')),sort:!(Time.ISO8601,asc))"</f>
        <v>https://d0f6bd738d7f1b3e5a7ca70fe4ff75f0.us-east-1.aws.found.io/app/kibana#/discover/Steve-Slow-Train-Analysis-(2080s-and-2083s)?_g=(refreshInterval:(display:Off,pause:!f,section:0,value:0),time:(from:'2018-01-06T03:57:22-0700',mode:absolute,to:'2018-01-06T06:38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3" s="247" t="str">
        <f>IF(AA23&lt;VLOOKUP(AG23,Variables!$AC$3:$AD$8,2,FALSE),"Y","N")</f>
        <v>N</v>
      </c>
      <c r="X23" s="247">
        <f>VALUE(LEFT(AD23,4))-VALUE(LEFT(AD22,4))</f>
        <v>1</v>
      </c>
      <c r="Y23" s="247">
        <f>RIGHT(D23,LEN(D23)-4)/10000</f>
        <v>4.6899999999999997E-2</v>
      </c>
      <c r="Z23" s="247">
        <f>RIGHT(H23,LEN(H23)-4)/10000</f>
        <v>23.3291</v>
      </c>
      <c r="AA23" s="247">
        <f>ABS(Z23-Y23)</f>
        <v>23.2822</v>
      </c>
      <c r="AB23" s="233" t="e">
        <f>VLOOKUP(A23,Enforcements!$C$7:$K$9,8,0)</f>
        <v>#N/A</v>
      </c>
      <c r="AC23" s="232" t="e">
        <f>VLOOKUP(A23,Enforcements!$C$7:$E$9,3,0)</f>
        <v>#N/A</v>
      </c>
      <c r="AD23" s="243">
        <f>VALUE(LEFT(A23,LEN(A23)-3))</f>
        <v>111</v>
      </c>
      <c r="AE23" s="235" t="str">
        <f>"aws s3 cp "&amp;s3_bucket&amp;"/RTDC"&amp;B23&amp;"/ "&amp;search_path&amp;"\RTDC"&amp;B23&amp;"\"&amp;TEXT(F23,"YYYY-MM-DD")&amp;" --exclude ""*"" --recursive --include ""*"&amp;TEXT(F23,"YYYYMMDD")&amp;"*"" &amp; """&amp;walkandungz&amp;""" "&amp;search_path&amp;"\RTDC"&amp;B23&amp;"\"&amp;TEXT(F23,"YYYY-MM-DD")
&amp;" &amp; "&amp;"aws s3 cp "&amp;s3_bucket&amp;"/RTDC"&amp;B23&amp;"/ "&amp;search_path&amp;"\RTDC"&amp;B23&amp;"\"&amp;TEXT(F23+1,"YYYY-MM-DD")&amp;" --exclude ""*"" --recursive --include ""*"&amp;TEXT(F23+1,"YYYYMMDD")&amp;"*"" &amp; """&amp;walkandungz&amp;""" "&amp;search_path&amp;"\RTDC"&amp;B23&amp;"\"&amp;TEXT(F23+1,"YYYY-MM-DD")</f>
        <v>aws s3 cp s3://rtdc.mdm.uploadarchive.raw/RTDC4018/ "%USERPROFILE%\AppData\Local\Temp\OnboardLogs"\RTDC4018\2018-01-06 --exclude "*" --recursive --include "*20180106*" &amp; "%USERPROFILE%\Documents\GitHub\mrs-test-scripts\Headless Mode &amp; Sideloading\WalkAndUnGZ.bat" "%USERPROFILE%\AppData\Local\Temp\OnboardLogs"\RTDC4018\2018-01-06 &amp; aws s3 cp s3://rtdc.mdm.uploadarchive.raw/RTDC4018/ "%USERPROFILE%\AppData\Local\Temp\OnboardLogs"\RTDC4018\2018-01-07 --exclude "*" --recursive --include "*20180107*" &amp; "%USERPROFILE%\Documents\GitHub\mrs-test-scripts\Headless Mode &amp; Sideloading\WalkAndUnGZ.bat" "%USERPROFILE%\AppData\Local\Temp\OnboardLogs"\RTDC4018\2018-01-07</v>
      </c>
      <c r="AF23" s="234" t="str">
        <f>astrogrep_path&amp;" /e /r /s /spath="&amp;search_path&amp;" /stypes=""app*"&amp;B23&amp;"*"&amp;TEXT(I23-utc_offset/24,"YYYYMMDD")&amp;"*"" /stext="" "&amp;TEXT(I23-utc_offset/24,"HH")&amp;search_regexp&amp;""""</f>
        <v>"C:\Program Files (x86)\AstroGrep\AstroGrep.exe" /e /r /s /spath="%USERPROFILE%\AppData\Local\Temp\OnboardLogs" /stypes="app*4018*20180106*" /stext=" 12:.+((SYSTEM_STATE.+slice.+state.+changed )|(ment ac)|(multiple cpu faults)|(system.+state.+changed )|(\[timeout)|(PRM\|1\|D)|(kpr)|(kdp)|(train st.+moving)|(\|lc)|(penalty))"</v>
      </c>
      <c r="AG23" s="244" t="str">
        <f>DetSubdiv(A23)</f>
        <v>EC</v>
      </c>
      <c r="AH23" s="236" t="str">
        <f t="shared" si="5"/>
        <v>"%USERPROFILE%\Documents\GitHub\eaglep3\Utilities\RefineRTDCRunTimes.py" --tripid 111-06 --locoid 4018 --swversion DE.1.0.9.0 --startMP 204:469 --initTime 2018-01-06T04:57:22 --startdatetime 2018-01-06T05:01:00 --delay 56 --endMP 204:233291 --enddatetime 2018-01-06T05:38:03 --enforcementcount 0 &gt;&gt;%USERPROFILE%\Documents\GitHub\eaglep3-reporting\EC\2018-01-06-refined-times.txt</v>
      </c>
      <c r="AI23" s="238" t="str">
        <f t="shared" si="6"/>
        <v>echo {"issue":{"subject":"","project_id":79,"tracker_id":40,"status_id":1,"priority_id":2,"assigned_to_id":338,"start_date":"2018-01-06","description":"","custom_fields":[{"id":1,"name":"Subdivision","value":"EC"},{"id":4,"name":"Milepost","value":"23.3291"},{"id":17,"name":"Train ID","value":"111-06"},{"id":16,"name":"Locomotive ID","value":"4018"},{"id":130,"name":"Impact","value":""},{"id":150,"name":"Time of Event (Mountain Time)","value":"05:38:03"},{"id":151,"name":"Denver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" s="223"/>
      <c r="AK23" s="231"/>
      <c r="AL23" s="231"/>
      <c r="AM23" s="240" t="str">
        <f t="shared" si="7"/>
        <v>start /low /b %USERPROFILE%\Documents\GitHub\eaglep3\Utilities\DownloadLogsFromS3.py --loco 4018 --day 2018-01-06</v>
      </c>
      <c r="AN23" s="241" t="str">
        <f t="shared" si="8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12:38:03"},{"id":29,"name":"Sharepoint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 s="230" t="str">
        <f t="shared" si="9"/>
        <v>https://d0f6bd738d7f1b3e5a7ca70fe4ff75f0.us-east-1.aws.found.io/app/kibana#/discover/Steve-Slow-Train-Analysis-(2080s-and-2083s)?_g=(refreshInterval:(display:Off,pause:!f,section:0,value:0),time:(from:'2018-01-06T03:57:22-0700',mode:absolute,to:'2018-01-06T06:38:03-0700'))&amp;_a=(columns:!('Message%20ID',Summary),filters:!(),index:'emp_*',interval:auto,query:(query_string:(analyze_wildcard:!t,query:'%22rtdc.l.rtdc.4018%22')),sort:!(Time.ISO8601,asc))</v>
      </c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3">
      <c r="A24" s="229" t="s">
        <v>660</v>
      </c>
      <c r="B24" s="225">
        <v>4017</v>
      </c>
      <c r="C24" s="227" t="s">
        <v>192</v>
      </c>
      <c r="D24" s="227" t="s">
        <v>554</v>
      </c>
      <c r="E24" s="226">
        <v>43106.246539351851</v>
      </c>
      <c r="F24" s="226">
        <v>43106.248379629629</v>
      </c>
      <c r="G24" s="225">
        <v>58</v>
      </c>
      <c r="H24" s="227" t="s">
        <v>631</v>
      </c>
      <c r="I24" s="226">
        <v>43106.27579861111</v>
      </c>
      <c r="J24" s="225">
        <v>0</v>
      </c>
      <c r="K24" s="237" t="str">
        <f>IF(ISEVEN(B24),(B24-1)&amp;"/"&amp;B24,B24&amp;"/"&amp;(B24+1))</f>
        <v>4017/4018</v>
      </c>
      <c r="L24" s="245" t="str">
        <f>VLOOKUP(A24,'Trips&amp;Operators'!$C$1:$G$99911,5,FALSE)</f>
        <v>THOMPSON LESTER</v>
      </c>
      <c r="M24" s="224">
        <f>I24-F24</f>
        <v>2.7418981480877846E-2</v>
      </c>
      <c r="N24" s="225">
        <f>24*60*SUM($M24:$M24)</f>
        <v>39.483333332464099</v>
      </c>
      <c r="O24" s="225"/>
      <c r="P24" s="225"/>
      <c r="Q24" s="228"/>
      <c r="R24" s="242"/>
      <c r="S24" s="249">
        <f>1/IF(AG24="EC",12,1)*SUM(U24:U24)</f>
        <v>1</v>
      </c>
      <c r="T24" s="242" t="str">
        <f>IF(ISEVEN(LEFT(AD24,4)),"Southbound","NorthBound")</f>
        <v>Southbound</v>
      </c>
      <c r="U24" s="246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248" t="str">
        <f>"https://d0f6bd738d7f1b3e5a7ca70fe4ff75f0.us-east-1.aws.found.io/app/kibana#/discover/Steve-Slow-Train-Analysis-(2080s-and-2083s)?_g="&amp;"(refreshInterval:(display:Off,pause:!f,section:0,value:0),time:(from:'"&amp;TEXT(E24-1/24,"yyyy-MM-DDThh:mm:ss")&amp;utc_offset&amp;"00"&amp;"',mode:absolute,to:'"&amp;TEXT(I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&amp;"%22')),sort:!(Time.ISO8601,asc))"</f>
        <v>https://d0f6bd738d7f1b3e5a7ca70fe4ff75f0.us-east-1.aws.found.io/app/kibana#/discover/Steve-Slow-Train-Analysis-(2080s-and-2083s)?_g=(refreshInterval:(display:Off,pause:!f,section:0,value:0),time:(from:'2018-01-06T04:55:01-0700',mode:absolute,to:'2018-01-06T07:37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4" s="247" t="str">
        <f>IF(AA24&lt;VLOOKUP(AG24,Variables!$AC$3:$AD$8,2,FALSE),"Y","N")</f>
        <v>N</v>
      </c>
      <c r="X24" s="247">
        <f>VALUE(LEFT(AD24,4))-VALUE(LEFT(AD23,4))</f>
        <v>1</v>
      </c>
      <c r="Y24" s="247">
        <f>RIGHT(D24,LEN(D24)-4)/10000</f>
        <v>23.2972</v>
      </c>
      <c r="Z24" s="247">
        <f>RIGHT(H24,LEN(H24)-4)/10000</f>
        <v>1.8100000000000002E-2</v>
      </c>
      <c r="AA24" s="247">
        <f>ABS(Z24-Y24)</f>
        <v>23.2791</v>
      </c>
      <c r="AB24" s="233" t="e">
        <f>VLOOKUP(A24,Enforcements!$C$7:$K$9,8,0)</f>
        <v>#N/A</v>
      </c>
      <c r="AC24" s="232" t="e">
        <f>VLOOKUP(A24,Enforcements!$C$7:$E$9,3,0)</f>
        <v>#N/A</v>
      </c>
      <c r="AD24" s="243">
        <f>VALUE(LEFT(A24,LEN(A24)-3))</f>
        <v>112</v>
      </c>
      <c r="AE24" s="235" t="str">
        <f>"aws s3 cp "&amp;s3_bucket&amp;"/RTDC"&amp;B24&amp;"/ "&amp;search_path&amp;"\RTDC"&amp;B24&amp;"\"&amp;TEXT(F24,"YYYY-MM-DD")&amp;" --exclude ""*"" --recursive --include ""*"&amp;TEXT(F24,"YYYYMMDD")&amp;"*"" &amp; """&amp;walkandungz&amp;""" "&amp;search_path&amp;"\RTDC"&amp;B24&amp;"\"&amp;TEXT(F24,"YYYY-MM-DD")
&amp;" &amp; "&amp;"aws s3 cp "&amp;s3_bucket&amp;"/RTDC"&amp;B24&amp;"/ "&amp;search_path&amp;"\RTDC"&amp;B24&amp;"\"&amp;TEXT(F24+1,"YYYY-MM-DD")&amp;" --exclude ""*"" --recursive --include ""*"&amp;TEXT(F24+1,"YYYYMMDD")&amp;"*"" &amp; """&amp;walkandungz&amp;""" "&amp;search_path&amp;"\RTDC"&amp;B24&amp;"\"&amp;TEXT(F24+1,"YYYY-MM-DD")</f>
        <v>aws s3 cp s3://rtdc.mdm.uploadarchive.raw/RTDC4017/ "%USERPROFILE%\AppData\Local\Temp\OnboardLogs"\RTDC4017\2018-01-06 --exclude "*" --recursive --include "*20180106*" &amp; "%USERPROFILE%\Documents\GitHub\mrs-test-scripts\Headless Mode &amp; Sideloading\WalkAndUnGZ.bat" "%USERPROFILE%\AppData\Local\Temp\OnboardLogs"\RTDC4017\2018-01-06 &amp; aws s3 cp s3://rtdc.mdm.uploadarchive.raw/RTDC4017/ "%USERPROFILE%\AppData\Local\Temp\OnboardLogs"\RTDC4017\2018-01-07 --exclude "*" --recursive --include "*20180107*" &amp; "%USERPROFILE%\Documents\GitHub\mrs-test-scripts\Headless Mode &amp; Sideloading\WalkAndUnGZ.bat" "%USERPROFILE%\AppData\Local\Temp\OnboardLogs"\RTDC4017\2018-01-07</v>
      </c>
      <c r="AF24" s="234" t="str">
        <f>astrogrep_path&amp;" /e /r /s /spath="&amp;search_path&amp;" /stypes=""app*"&amp;B24&amp;"*"&amp;TEXT(I24-utc_offset/24,"YYYYMMDD")&amp;"*"" /stext="" "&amp;TEXT(I24-utc_offset/24,"HH")&amp;search_regexp&amp;""""</f>
        <v>"C:\Program Files (x86)\AstroGrep\AstroGrep.exe" /e /r /s /spath="%USERPROFILE%\AppData\Local\Temp\OnboardLogs" /stypes="app*4017*20180106*" /stext=" 13:.+((SYSTEM_STATE.+slice.+state.+changed )|(ment ac)|(multiple cpu faults)|(system.+state.+changed )|(\[timeout)|(PRM\|1\|D)|(kpr)|(kdp)|(train st.+moving)|(\|lc)|(penalty))"</v>
      </c>
      <c r="AG24" s="244" t="str">
        <f>DetSubdiv(A24)</f>
        <v>EC</v>
      </c>
      <c r="AH24" s="236" t="str">
        <f t="shared" si="5"/>
        <v>"%USERPROFILE%\Documents\GitHub\eaglep3\Utilities\RefineRTDCRunTimes.py" --tripid 112-06 --locoid 4017 --swversion DE.1.0.9.0 --startMP 204:232972 --initTime 2018-01-06T05:55:01 --startdatetime 2018-01-06T05:57:40 --delay 58 --endMP 204:181 --enddatetime 2018-01-06T06:37:09 --enforcementcount 0 &gt;&gt;%USERPROFILE%\Documents\GitHub\eaglep3-reporting\EC\2018-01-06-refined-times.txt</v>
      </c>
      <c r="AI24" s="238" t="str">
        <f t="shared" si="6"/>
        <v>echo {"issue":{"subject":"","project_id":79,"tracker_id":40,"status_id":1,"priority_id":2,"assigned_to_id":338,"start_date":"2018-01-06","description":"","custom_fields":[{"id":1,"name":"Subdivision","value":"EC"},{"id":4,"name":"Milepost","value":"0.0181"},{"id":17,"name":"Train ID","value":"112-06"},{"id":16,"name":"Locomotive ID","value":"4017"},{"id":130,"name":"Impact","value":""},{"id":150,"name":"Time of Event (Mountain Time)","value":"06:37:09"},{"id":151,"name":"Denver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" s="223"/>
      <c r="AK24" s="231"/>
      <c r="AL24" s="231"/>
      <c r="AM24" s="240" t="str">
        <f t="shared" si="7"/>
        <v>start /low /b %USERPROFILE%\Documents\GitHub\eaglep3\Utilities\DownloadLogsFromS3.py --loco 4017 --day 2018-01-06</v>
      </c>
      <c r="AN24" s="241" t="str">
        <f t="shared" si="8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13:37:09"},{"id":29,"name":"Sharepoint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 s="230" t="str">
        <f t="shared" si="9"/>
        <v>https://d0f6bd738d7f1b3e5a7ca70fe4ff75f0.us-east-1.aws.found.io/app/kibana#/discover/Steve-Slow-Train-Analysis-(2080s-and-2083s)?_g=(refreshInterval:(display:Off,pause:!f,section:0,value:0),time:(from:'2018-01-06T04:55:01-0700',mode:absolute,to:'2018-01-06T07:37:09-0700'))&amp;_a=(columns:!('Message%20ID',Summary),filters:!(),index:'emp_*',interval:auto,query:(query_string:(analyze_wildcard:!t,query:'%22rtdc.l.rtdc.4017%22')),sort:!(Time.ISO8601,asc))</v>
      </c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3">
      <c r="A25" s="229" t="s">
        <v>717</v>
      </c>
      <c r="B25" s="225">
        <v>4032</v>
      </c>
      <c r="C25" s="227" t="s">
        <v>192</v>
      </c>
      <c r="D25" s="227" t="s">
        <v>903</v>
      </c>
      <c r="E25" s="226">
        <v>43106.214872685188</v>
      </c>
      <c r="F25" s="226">
        <v>43106.219270833331</v>
      </c>
      <c r="G25" s="225">
        <v>91</v>
      </c>
      <c r="H25" s="227" t="s">
        <v>904</v>
      </c>
      <c r="I25" s="226">
        <v>43106.243287037039</v>
      </c>
      <c r="J25" s="225">
        <v>0</v>
      </c>
      <c r="K25" s="237" t="str">
        <f>IF(ISEVEN(B25),(B25-1)&amp;"/"&amp;B25,B25&amp;"/"&amp;(B25+1))</f>
        <v>4031/4032</v>
      </c>
      <c r="L25" s="245" t="str">
        <f>VLOOKUP(A25,'Trips&amp;Operators'!$C$1:$G$99911,5,FALSE)</f>
        <v>MACDONALD THOMAS</v>
      </c>
      <c r="M25" s="224">
        <f>I25-F25</f>
        <v>2.4016203708015382E-2</v>
      </c>
      <c r="N25" s="225">
        <f>24*60*SUM($M25:$M25)</f>
        <v>34.58333333954215</v>
      </c>
      <c r="O25" s="225"/>
      <c r="P25" s="225"/>
      <c r="Q25" s="228"/>
      <c r="R25" s="242"/>
      <c r="S25" s="249">
        <f>1/IF(AG25="EC",12,1)*SUM(U25:U25)</f>
        <v>1</v>
      </c>
      <c r="T25" s="242" t="str">
        <f>IF(ISEVEN(LEFT(AD25,4)),"Southbound","NorthBound")</f>
        <v>NorthBound</v>
      </c>
      <c r="U25" s="246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248" t="str">
        <f>"https://d0f6bd738d7f1b3e5a7ca70fe4ff75f0.us-east-1.aws.found.io/app/kibana#/discover/Steve-Slow-Train-Analysis-(2080s-and-2083s)?_g="&amp;"(refreshInterval:(display:Off,pause:!f,section:0,value:0),time:(from:'"&amp;TEXT(E25-1/24,"yyyy-MM-DDThh:mm:ss")&amp;utc_offset&amp;"00"&amp;"',mode:absolute,to:'"&amp;TEXT(I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&amp;"%22')),sort:!(Time.ISO8601,asc))"</f>
        <v>https://d0f6bd738d7f1b3e5a7ca70fe4ff75f0.us-east-1.aws.found.io/app/kibana#/discover/Steve-Slow-Train-Analysis-(2080s-and-2083s)?_g=(refreshInterval:(display:Off,pause:!f,section:0,value:0),time:(from:'2018-01-06T04:09:25-0700',mode:absolute,to:'2018-01-06T06:50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5" s="247" t="str">
        <f>IF(AA25&lt;VLOOKUP(AG25,Variables!$AC$3:$AD$8,2,FALSE),"Y","N")</f>
        <v>N</v>
      </c>
      <c r="X25" s="247">
        <f>VALUE(LEFT(AD25,4))-VALUE(LEFT(AD24,4))</f>
        <v>1</v>
      </c>
      <c r="Y25" s="247">
        <f>RIGHT(D25,LEN(D25)-4)/10000</f>
        <v>5.28E-2</v>
      </c>
      <c r="Z25" s="247">
        <f>RIGHT(H25,LEN(H25)-4)/10000</f>
        <v>23.322399999999998</v>
      </c>
      <c r="AA25" s="247">
        <f>ABS(Z25-Y25)</f>
        <v>23.269599999999997</v>
      </c>
      <c r="AB25" s="233" t="e">
        <f>VLOOKUP(A25,Enforcements!$C$7:$K$9,8,0)</f>
        <v>#N/A</v>
      </c>
      <c r="AC25" s="232" t="e">
        <f>VLOOKUP(A25,Enforcements!$C$7:$E$9,3,0)</f>
        <v>#N/A</v>
      </c>
      <c r="AD25" s="243">
        <f>VALUE(LEFT(A25,LEN(A25)-3))</f>
        <v>113</v>
      </c>
      <c r="AE25" s="235" t="str">
        <f>"aws s3 cp "&amp;s3_bucket&amp;"/RTDC"&amp;B25&amp;"/ "&amp;search_path&amp;"\RTDC"&amp;B25&amp;"\"&amp;TEXT(F25,"YYYY-MM-DD")&amp;" --exclude ""*"" --recursive --include ""*"&amp;TEXT(F25,"YYYYMMDD")&amp;"*"" &amp; """&amp;walkandungz&amp;""" "&amp;search_path&amp;"\RTDC"&amp;B25&amp;"\"&amp;TEXT(F25,"YYYY-MM-DD")
&amp;" &amp; "&amp;"aws s3 cp "&amp;s3_bucket&amp;"/RTDC"&amp;B25&amp;"/ "&amp;search_path&amp;"\RTDC"&amp;B25&amp;"\"&amp;TEXT(F25+1,"YYYY-MM-DD")&amp;" --exclude ""*"" --recursive --include ""*"&amp;TEXT(F25+1,"YYYYMMDD")&amp;"*"" &amp; """&amp;walkandungz&amp;""" "&amp;search_path&amp;"\RTDC"&amp;B25&amp;"\"&amp;TEXT(F25+1,"YYYY-MM-DD")</f>
        <v>aws s3 cp s3://rtdc.mdm.uploadarchive.raw/RTDC4032/ "%USERPROFILE%\AppData\Local\Temp\OnboardLogs"\RTDC4032\2018-01-06 --exclude "*" --recursive --include "*20180106*" &amp; "%USERPROFILE%\Documents\GitHub\mrs-test-scripts\Headless Mode &amp; Sideloading\WalkAndUnGZ.bat" "%USERPROFILE%\AppData\Local\Temp\OnboardLogs"\RTDC4032\2018-01-06 &amp; aws s3 cp s3://rtdc.mdm.uploadarchive.raw/RTDC4032/ "%USERPROFILE%\AppData\Local\Temp\OnboardLogs"\RTDC4032\2018-01-07 --exclude "*" --recursive --include "*20180107*" &amp; "%USERPROFILE%\Documents\GitHub\mrs-test-scripts\Headless Mode &amp; Sideloading\WalkAndUnGZ.bat" "%USERPROFILE%\AppData\Local\Temp\OnboardLogs"\RTDC4032\2018-01-07</v>
      </c>
      <c r="AF25" s="234" t="str">
        <f>astrogrep_path&amp;" /e /r /s /spath="&amp;search_path&amp;" /stypes=""app*"&amp;B25&amp;"*"&amp;TEXT(I25-utc_offset/24,"YYYYMMDD")&amp;"*"" /stext="" "&amp;TEXT(I25-utc_offset/24,"HH")&amp;search_regexp&amp;""""</f>
        <v>"C:\Program Files (x86)\AstroGrep\AstroGrep.exe" /e /r /s /spath="%USERPROFILE%\AppData\Local\Temp\OnboardLogs" /stypes="app*4032*20180106*" /stext=" 12:.+((SYSTEM_STATE.+slice.+state.+changed )|(ment ac)|(multiple cpu faults)|(system.+state.+changed )|(\[timeout)|(PRM\|1\|D)|(kpr)|(kdp)|(train st.+moving)|(\|lc)|(penalty))"</v>
      </c>
      <c r="AG25" s="244" t="str">
        <f>DetSubdiv(A25)</f>
        <v>EC</v>
      </c>
      <c r="AH25" s="236" t="str">
        <f t="shared" si="5"/>
        <v>"%USERPROFILE%\Documents\GitHub\eaglep3\Utilities\RefineRTDCRunTimes.py" --tripid 113-06 --locoid 4032 --swversion DE.1.0.9.0 --startMP 204:528 --initTime 2018-01-06T05:09:25 --startdatetime 2018-01-06T05:15:45 --delay 91 --endMP 204:233224 --enddatetime 2018-01-06T05:50:20 --enforcementcount 0 &gt;&gt;%USERPROFILE%\Documents\GitHub\eaglep3-reporting\EC\2018-01-06-refined-times.txt</v>
      </c>
      <c r="AI25" s="238" t="str">
        <f t="shared" si="6"/>
        <v>echo {"issue":{"subject":"","project_id":79,"tracker_id":40,"status_id":1,"priority_id":2,"assigned_to_id":338,"start_date":"2018-01-06","description":"","custom_fields":[{"id":1,"name":"Subdivision","value":"EC"},{"id":4,"name":"Milepost","value":"23.3224"},{"id":17,"name":"Train ID","value":"113-06"},{"id":16,"name":"Locomotive ID","value":"4032"},{"id":130,"name":"Impact","value":""},{"id":150,"name":"Time of Event (Mountain Time)","value":"05:50:20"},{"id":151,"name":"Denver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5" s="223"/>
      <c r="AK25" s="231"/>
      <c r="AL25" s="231"/>
      <c r="AM25" s="240" t="str">
        <f t="shared" si="7"/>
        <v>start /low /b %USERPROFILE%\Documents\GitHub\eaglep3\Utilities\DownloadLogsFromS3.py --loco 4032 --day 2018-01-06</v>
      </c>
      <c r="AN25" s="241" t="str">
        <f t="shared" si="8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12:50:20"},{"id":29,"name":"Sharepoint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 s="230" t="str">
        <f t="shared" si="9"/>
        <v>https://d0f6bd738d7f1b3e5a7ca70fe4ff75f0.us-east-1.aws.found.io/app/kibana#/discover/Steve-Slow-Train-Analysis-(2080s-and-2083s)?_g=(refreshInterval:(display:Off,pause:!f,section:0,value:0),time:(from:'2018-01-06T04:09:25-0700',mode:absolute,to:'2018-01-06T06:50:20-0700'))&amp;_a=(columns:!('Message%20ID',Summary),filters:!(),index:'emp_*',interval:auto,query:(query_string:(analyze_wildcard:!t,query:'%22rtdc.l.rtdc.4032%22')),sort:!(Time.ISO8601,asc))</v>
      </c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3">
      <c r="A26" s="229" t="s">
        <v>730</v>
      </c>
      <c r="B26" s="225">
        <v>4031</v>
      </c>
      <c r="C26" s="227" t="s">
        <v>192</v>
      </c>
      <c r="D26" s="227" t="s">
        <v>610</v>
      </c>
      <c r="E26" s="226">
        <v>43106.257789351854</v>
      </c>
      <c r="F26" s="226">
        <v>43106.258877314816</v>
      </c>
      <c r="G26" s="225">
        <v>58</v>
      </c>
      <c r="H26" s="227" t="s">
        <v>498</v>
      </c>
      <c r="I26" s="226">
        <v>43106.284398148149</v>
      </c>
      <c r="J26" s="225">
        <v>0</v>
      </c>
      <c r="K26" s="237" t="str">
        <f>IF(ISEVEN(B26),(B26-1)&amp;"/"&amp;B26,B26&amp;"/"&amp;(B26+1))</f>
        <v>4031/4032</v>
      </c>
      <c r="L26" s="245" t="str">
        <f>VLOOKUP(A26,'Trips&amp;Operators'!$C$1:$G$99911,5,FALSE)</f>
        <v>MACDONALD THOMAS</v>
      </c>
      <c r="M26" s="224">
        <f>I26-F26</f>
        <v>2.5520833332848269E-2</v>
      </c>
      <c r="N26" s="225">
        <f>24*60*SUM($M26:$M26)</f>
        <v>36.749999999301508</v>
      </c>
      <c r="O26" s="225"/>
      <c r="P26" s="225"/>
      <c r="Q26" s="228"/>
      <c r="R26" s="242"/>
      <c r="S26" s="249">
        <f>1/IF(AG26="EC",12,1)*SUM(U26:U26)</f>
        <v>1</v>
      </c>
      <c r="T26" s="242" t="str">
        <f>IF(ISEVEN(LEFT(AD26,4)),"Southbound","NorthBound")</f>
        <v>Southbound</v>
      </c>
      <c r="U26" s="246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248" t="str">
        <f>"https://d0f6bd738d7f1b3e5a7ca70fe4ff75f0.us-east-1.aws.found.io/app/kibana#/discover/Steve-Slow-Train-Analysis-(2080s-and-2083s)?_g="&amp;"(refreshInterval:(display:Off,pause:!f,section:0,value:0),time:(from:'"&amp;TEXT(E26-1/24,"yyyy-MM-DDThh:mm:ss")&amp;utc_offset&amp;"00"&amp;"',mode:absolute,to:'"&amp;TEXT(I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26&amp;"%22')),sort:!(Time.ISO8601,asc))"</f>
        <v>https://d0f6bd738d7f1b3e5a7ca70fe4ff75f0.us-east-1.aws.found.io/app/kibana#/discover/Steve-Slow-Train-Analysis-(2080s-and-2083s)?_g=(refreshInterval:(display:Off,pause:!f,section:0,value:0),time:(from:'2018-01-06T05:11:13-0700',mode:absolute,to:'2018-01-06T07:49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6" s="247" t="str">
        <f>IF(AA26&lt;VLOOKUP(AG26,Variables!$AC$3:$AD$8,2,FALSE),"Y","N")</f>
        <v>N</v>
      </c>
      <c r="X26" s="247">
        <f>VALUE(LEFT(AD26,4))-VALUE(LEFT(AD25,4))</f>
        <v>1</v>
      </c>
      <c r="Y26" s="247">
        <f>RIGHT(D26,LEN(D26)-4)/10000</f>
        <v>23.291699999999999</v>
      </c>
      <c r="Z26" s="247">
        <f>RIGHT(H26,LEN(H26)-4)/10000</f>
        <v>2.0899999999999998E-2</v>
      </c>
      <c r="AA26" s="247">
        <f>ABS(Z26-Y26)</f>
        <v>23.270799999999998</v>
      </c>
      <c r="AB26" s="233" t="e">
        <f>VLOOKUP(A26,Enforcements!$C$7:$K$9,8,0)</f>
        <v>#N/A</v>
      </c>
      <c r="AC26" s="232" t="e">
        <f>VLOOKUP(A26,Enforcements!$C$7:$E$9,3,0)</f>
        <v>#N/A</v>
      </c>
      <c r="AD26" s="243">
        <f>VALUE(LEFT(A26,LEN(A26)-3))</f>
        <v>114</v>
      </c>
      <c r="AE26" s="235" t="str">
        <f>"aws s3 cp "&amp;s3_bucket&amp;"/RTDC"&amp;B26&amp;"/ "&amp;search_path&amp;"\RTDC"&amp;B26&amp;"\"&amp;TEXT(F26,"YYYY-MM-DD")&amp;" --exclude ""*"" --recursive --include ""*"&amp;TEXT(F26,"YYYYMMDD")&amp;"*"" &amp; """&amp;walkandungz&amp;""" "&amp;search_path&amp;"\RTDC"&amp;B26&amp;"\"&amp;TEXT(F26,"YYYY-MM-DD")
&amp;" &amp; "&amp;"aws s3 cp "&amp;s3_bucket&amp;"/RTDC"&amp;B26&amp;"/ "&amp;search_path&amp;"\RTDC"&amp;B26&amp;"\"&amp;TEXT(F26+1,"YYYY-MM-DD")&amp;" --exclude ""*"" --recursive --include ""*"&amp;TEXT(F26+1,"YYYYMMDD")&amp;"*"" &amp; """&amp;walkandungz&amp;""" "&amp;search_path&amp;"\RTDC"&amp;B26&amp;"\"&amp;TEXT(F26+1,"YYYY-MM-DD")</f>
        <v>aws s3 cp s3://rtdc.mdm.uploadarchive.raw/RTDC4031/ "%USERPROFILE%\AppData\Local\Temp\OnboardLogs"\RTDC4031\2018-01-06 --exclude "*" --recursive --include "*20180106*" &amp; "%USERPROFILE%\Documents\GitHub\mrs-test-scripts\Headless Mode &amp; Sideloading\WalkAndUnGZ.bat" "%USERPROFILE%\AppData\Local\Temp\OnboardLogs"\RTDC4031\2018-01-06 &amp; aws s3 cp s3://rtdc.mdm.uploadarchive.raw/RTDC4031/ "%USERPROFILE%\AppData\Local\Temp\OnboardLogs"\RTDC4031\2018-01-07 --exclude "*" --recursive --include "*20180107*" &amp; "%USERPROFILE%\Documents\GitHub\mrs-test-scripts\Headless Mode &amp; Sideloading\WalkAndUnGZ.bat" "%USERPROFILE%\AppData\Local\Temp\OnboardLogs"\RTDC4031\2018-01-07</v>
      </c>
      <c r="AF26" s="234" t="str">
        <f>astrogrep_path&amp;" /e /r /s /spath="&amp;search_path&amp;" /stypes=""app*"&amp;B26&amp;"*"&amp;TEXT(I26-utc_offset/24,"YYYYMMDD")&amp;"*"" /stext="" "&amp;TEXT(I26-utc_offset/24,"HH")&amp;search_regexp&amp;""""</f>
        <v>"C:\Program Files (x86)\AstroGrep\AstroGrep.exe" /e /r /s /spath="%USERPROFILE%\AppData\Local\Temp\OnboardLogs" /stypes="app*4031*20180106*" /stext=" 13:.+((SYSTEM_STATE.+slice.+state.+changed )|(ment ac)|(multiple cpu faults)|(system.+state.+changed )|(\[timeout)|(PRM\|1\|D)|(kpr)|(kdp)|(train st.+moving)|(\|lc)|(penalty))"</v>
      </c>
      <c r="AG26" s="244" t="str">
        <f>DetSubdiv(A26)</f>
        <v>EC</v>
      </c>
      <c r="AH26" s="236" t="str">
        <f t="shared" si="5"/>
        <v>"%USERPROFILE%\Documents\GitHub\eaglep3\Utilities\RefineRTDCRunTimes.py" --tripid 114-06 --locoid 4031 --swversion DE.1.0.9.0 --startMP 204:232917 --initTime 2018-01-06T06:11:13 --startdatetime 2018-01-06T06:12:47 --delay 58 --endMP 204:209 --enddatetime 2018-01-06T06:49:32 --enforcementcount 0 &gt;&gt;%USERPROFILE%\Documents\GitHub\eaglep3-reporting\EC\2018-01-06-refined-times.txt</v>
      </c>
      <c r="AI26" s="238" t="str">
        <f t="shared" si="6"/>
        <v>echo {"issue":{"subject":"","project_id":79,"tracker_id":40,"status_id":1,"priority_id":2,"assigned_to_id":338,"start_date":"2018-01-06","description":"","custom_fields":[{"id":1,"name":"Subdivision","value":"EC"},{"id":4,"name":"Milepost","value":"0.0209"},{"id":17,"name":"Train ID","value":"114-06"},{"id":16,"name":"Locomotive ID","value":"4031"},{"id":130,"name":"Impact","value":""},{"id":150,"name":"Time of Event (Mountain Time)","value":"06:49:32"},{"id":151,"name":"Denver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6" s="223"/>
      <c r="AK26" s="231"/>
      <c r="AL26" s="231"/>
      <c r="AM26" s="240" t="str">
        <f t="shared" si="7"/>
        <v>start /low /b %USERPROFILE%\Documents\GitHub\eaglep3\Utilities\DownloadLogsFromS3.py --loco 4031 --day 2018-01-06</v>
      </c>
      <c r="AN26" s="241" t="str">
        <f t="shared" si="8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13:49:32"},{"id":29,"name":"Sharepoint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 s="230" t="str">
        <f t="shared" si="9"/>
        <v>https://d0f6bd738d7f1b3e5a7ca70fe4ff75f0.us-east-1.aws.found.io/app/kibana#/discover/Steve-Slow-Train-Analysis-(2080s-and-2083s)?_g=(refreshInterval:(display:Off,pause:!f,section:0,value:0),time:(from:'2018-01-06T05:11:13-0700',mode:absolute,to:'2018-01-06T07:49:32-0700'))&amp;_a=(columns:!('Message%20ID',Summary),filters:!(),index:'emp_*',interval:auto,query:(query_string:(analyze_wildcard:!t,query:'%22rtdc.l.rtdc.4031%22')),sort:!(Time.ISO8601,asc))</v>
      </c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3">
      <c r="A27" s="229" t="s">
        <v>721</v>
      </c>
      <c r="B27" s="225">
        <v>4064</v>
      </c>
      <c r="C27" s="227" t="s">
        <v>192</v>
      </c>
      <c r="D27" s="227" t="s">
        <v>646</v>
      </c>
      <c r="E27" s="226">
        <v>43106.224490740744</v>
      </c>
      <c r="F27" s="226">
        <v>43106.229409722226</v>
      </c>
      <c r="G27" s="225">
        <v>55</v>
      </c>
      <c r="H27" s="227" t="s">
        <v>632</v>
      </c>
      <c r="I27" s="226">
        <v>43106.254386574074</v>
      </c>
      <c r="J27" s="225">
        <v>0</v>
      </c>
      <c r="K27" s="237" t="str">
        <f>IF(ISEVEN(B27),(B27-1)&amp;"/"&amp;B27,B27&amp;"/"&amp;(B27+1))</f>
        <v>4063/4064</v>
      </c>
      <c r="L27" s="245" t="str">
        <f>VLOOKUP(A27,'Trips&amp;Operators'!$C$1:$G$99911,5,FALSE)</f>
        <v>LANGERAK WILLIAM</v>
      </c>
      <c r="M27" s="224">
        <f>I27-F27</f>
        <v>2.4976851847895887E-2</v>
      </c>
      <c r="N27" s="225">
        <f>24*60*SUM($M27:$M27)</f>
        <v>35.966666660970077</v>
      </c>
      <c r="O27" s="225"/>
      <c r="P27" s="225"/>
      <c r="Q27" s="228"/>
      <c r="R27" s="242"/>
      <c r="S27" s="249">
        <f>1/IF(AG27="EC",12,1)*SUM(U27:U27)</f>
        <v>1</v>
      </c>
      <c r="T27" s="242" t="str">
        <f>IF(ISEVEN(LEFT(AD27,4)),"Southbound","NorthBound")</f>
        <v>NorthBound</v>
      </c>
      <c r="U27" s="246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248" t="str">
        <f>"https://d0f6bd738d7f1b3e5a7ca70fe4ff75f0.us-east-1.aws.found.io/app/kibana#/discover/Steve-Slow-Train-Analysis-(2080s-and-2083s)?_g="&amp;"(refreshInterval:(display:Off,pause:!f,section:0,value:0),time:(from:'"&amp;TEXT(E27-1/24,"yyyy-MM-DDThh:mm:ss")&amp;utc_offset&amp;"00"&amp;"',mode:absolute,to:'"&amp;TEXT(I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27&amp;"%22')),sort:!(Time.ISO8601,asc))"</f>
        <v>https://d0f6bd738d7f1b3e5a7ca70fe4ff75f0.us-east-1.aws.found.io/app/kibana#/discover/Steve-Slow-Train-Analysis-(2080s-and-2083s)?_g=(refreshInterval:(display:Off,pause:!f,section:0,value:0),time:(from:'2018-01-06T04:23:16-0700',mode:absolute,to:'2018-01-06T07:06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7" s="247" t="str">
        <f>IF(AA27&lt;VLOOKUP(AG27,Variables!$AC$3:$AD$8,2,FALSE),"Y","N")</f>
        <v>N</v>
      </c>
      <c r="X27" s="247">
        <f>VALUE(LEFT(AD27,4))-VALUE(LEFT(AD26,4))</f>
        <v>1</v>
      </c>
      <c r="Y27" s="247">
        <f>RIGHT(D27,LEN(D27)-4)/10000</f>
        <v>5.6800000000000003E-2</v>
      </c>
      <c r="Z27" s="247">
        <f>RIGHT(H27,LEN(H27)-4)/10000</f>
        <v>23.331700000000001</v>
      </c>
      <c r="AA27" s="247">
        <f>ABS(Z27-Y27)</f>
        <v>23.274900000000002</v>
      </c>
      <c r="AB27" s="233" t="e">
        <f>VLOOKUP(A27,Enforcements!$C$7:$K$9,8,0)</f>
        <v>#N/A</v>
      </c>
      <c r="AC27" s="232" t="e">
        <f>VLOOKUP(A27,Enforcements!$C$7:$E$9,3,0)</f>
        <v>#N/A</v>
      </c>
      <c r="AD27" s="243">
        <f>VALUE(LEFT(A27,LEN(A27)-3))</f>
        <v>115</v>
      </c>
      <c r="AE27" s="235" t="str">
        <f>"aws s3 cp "&amp;s3_bucket&amp;"/RTDC"&amp;B27&amp;"/ "&amp;search_path&amp;"\RTDC"&amp;B27&amp;"\"&amp;TEXT(F27,"YYYY-MM-DD")&amp;" --exclude ""*"" --recursive --include ""*"&amp;TEXT(F27,"YYYYMMDD")&amp;"*"" &amp; """&amp;walkandungz&amp;""" "&amp;search_path&amp;"\RTDC"&amp;B27&amp;"\"&amp;TEXT(F27,"YYYY-MM-DD")
&amp;" &amp; "&amp;"aws s3 cp "&amp;s3_bucket&amp;"/RTDC"&amp;B27&amp;"/ "&amp;search_path&amp;"\RTDC"&amp;B27&amp;"\"&amp;TEXT(F27+1,"YYYY-MM-DD")&amp;" --exclude ""*"" --recursive --include ""*"&amp;TEXT(F27+1,"YYYYMMDD")&amp;"*"" &amp; """&amp;walkandungz&amp;""" "&amp;search_path&amp;"\RTDC"&amp;B27&amp;"\"&amp;TEXT(F27+1,"YYYY-MM-DD")</f>
        <v>aws s3 cp s3://rtdc.mdm.uploadarchive.raw/RTDC4064/ "%USERPROFILE%\AppData\Local\Temp\OnboardLogs"\RTDC4064\2018-01-06 --exclude "*" --recursive --include "*20180106*" &amp; "%USERPROFILE%\Documents\GitHub\mrs-test-scripts\Headless Mode &amp; Sideloading\WalkAndUnGZ.bat" "%USERPROFILE%\AppData\Local\Temp\OnboardLogs"\RTDC4064\2018-01-06 &amp; aws s3 cp s3://rtdc.mdm.uploadarchive.raw/RTDC4064/ "%USERPROFILE%\AppData\Local\Temp\OnboardLogs"\RTDC4064\2018-01-07 --exclude "*" --recursive --include "*20180107*" &amp; "%USERPROFILE%\Documents\GitHub\mrs-test-scripts\Headless Mode &amp; Sideloading\WalkAndUnGZ.bat" "%USERPROFILE%\AppData\Local\Temp\OnboardLogs"\RTDC4064\2018-01-07</v>
      </c>
      <c r="AF27" s="234" t="str">
        <f>astrogrep_path&amp;" /e /r /s /spath="&amp;search_path&amp;" /stypes=""app*"&amp;B27&amp;"*"&amp;TEXT(I27-utc_offset/24,"YYYYMMDD")&amp;"*"" /stext="" "&amp;TEXT(I27-utc_offset/24,"HH")&amp;search_regexp&amp;""""</f>
        <v>"C:\Program Files (x86)\AstroGrep\AstroGrep.exe" /e /r /s /spath="%USERPROFILE%\AppData\Local\Temp\OnboardLogs" /stypes="app*4064*20180106*" /stext=" 13:.+((SYSTEM_STATE.+slice.+state.+changed )|(ment ac)|(multiple cpu faults)|(system.+state.+changed )|(\[timeout)|(PRM\|1\|D)|(kpr)|(kdp)|(train st.+moving)|(\|lc)|(penalty))"</v>
      </c>
      <c r="AG27" s="244" t="str">
        <f>DetSubdiv(A27)</f>
        <v>EC</v>
      </c>
      <c r="AH27" s="236" t="str">
        <f t="shared" si="5"/>
        <v>"%USERPROFILE%\Documents\GitHub\eaglep3\Utilities\RefineRTDCRunTimes.py" --tripid 115-06 --locoid 4064 --swversion DE.1.0.9.0 --startMP 204:568 --initTime 2018-01-06T05:23:16 --startdatetime 2018-01-06T05:30:21 --delay 55 --endMP 204:233317 --enddatetime 2018-01-06T06:06:19 --enforcementcount 0 &gt;&gt;%USERPROFILE%\Documents\GitHub\eaglep3-reporting\EC\2018-01-06-refined-times.txt</v>
      </c>
      <c r="AI27" s="238" t="str">
        <f t="shared" si="6"/>
        <v>echo {"issue":{"subject":"","project_id":79,"tracker_id":40,"status_id":1,"priority_id":2,"assigned_to_id":338,"start_date":"2018-01-06","description":"","custom_fields":[{"id":1,"name":"Subdivision","value":"EC"},{"id":4,"name":"Milepost","value":"23.3317"},{"id":17,"name":"Train ID","value":"115-06"},{"id":16,"name":"Locomotive ID","value":"4064"},{"id":130,"name":"Impact","value":""},{"id":150,"name":"Time of Event (Mountain Time)","value":"06:06:19"},{"id":151,"name":"Denver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7" s="223"/>
      <c r="AK27" s="231"/>
      <c r="AL27" s="231"/>
      <c r="AM27" s="240" t="str">
        <f t="shared" si="7"/>
        <v>start /low /b %USERPROFILE%\Documents\GitHub\eaglep3\Utilities\DownloadLogsFromS3.py --loco 4064 --day 2018-01-06</v>
      </c>
      <c r="AN27" s="241" t="str">
        <f t="shared" si="8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13:06:19"},{"id":29,"name":"Sharepoint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 s="230" t="str">
        <f t="shared" si="9"/>
        <v>https://d0f6bd738d7f1b3e5a7ca70fe4ff75f0.us-east-1.aws.found.io/app/kibana#/discover/Steve-Slow-Train-Analysis-(2080s-and-2083s)?_g=(refreshInterval:(display:Off,pause:!f,section:0,value:0),time:(from:'2018-01-06T04:23:16-0700',mode:absolute,to:'2018-01-06T07:06:19-0700'))&amp;_a=(columns:!('Message%20ID',Summary),filters:!(),index:'emp_*',interval:auto,query:(query_string:(analyze_wildcard:!t,query:'%22rtdc.l.rtdc.4064%22')),sort:!(Time.ISO8601,asc))</v>
      </c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3">
      <c r="A28" s="229" t="s">
        <v>728</v>
      </c>
      <c r="B28" s="225">
        <v>4063</v>
      </c>
      <c r="C28" s="227" t="s">
        <v>192</v>
      </c>
      <c r="D28" s="227" t="s">
        <v>602</v>
      </c>
      <c r="E28" s="226">
        <v>43106.25545138889</v>
      </c>
      <c r="F28" s="226">
        <v>43106.268935185188</v>
      </c>
      <c r="G28" s="225">
        <v>67</v>
      </c>
      <c r="H28" s="227" t="s">
        <v>469</v>
      </c>
      <c r="I28" s="226">
        <v>43106.294745370367</v>
      </c>
      <c r="J28" s="225">
        <v>0</v>
      </c>
      <c r="K28" s="237" t="str">
        <f>IF(ISEVEN(B28),(B28-1)&amp;"/"&amp;B28,B28&amp;"/"&amp;(B28+1))</f>
        <v>4063/4064</v>
      </c>
      <c r="L28" s="245" t="str">
        <f>VLOOKUP(A28,'Trips&amp;Operators'!$C$1:$G$99911,5,FALSE)</f>
        <v>LANGERAK WILLIAM</v>
      </c>
      <c r="M28" s="224">
        <f>I28-F28</f>
        <v>2.5810185179580003E-2</v>
      </c>
      <c r="N28" s="225">
        <f>24*60*SUM($M28:$M28)</f>
        <v>37.166666658595204</v>
      </c>
      <c r="O28" s="225"/>
      <c r="P28" s="225"/>
      <c r="Q28" s="228"/>
      <c r="R28" s="242"/>
      <c r="S28" s="249">
        <f>1/IF(AG28="EC",12,1)*SUM(U28:U28)</f>
        <v>1</v>
      </c>
      <c r="T28" s="242" t="str">
        <f>IF(ISEVEN(LEFT(AD28,4)),"Southbound","NorthBound")</f>
        <v>Southbound</v>
      </c>
      <c r="U28" s="246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248" t="str">
        <f>"https://d0f6bd738d7f1b3e5a7ca70fe4ff75f0.us-east-1.aws.found.io/app/kibana#/discover/Steve-Slow-Train-Analysis-(2080s-and-2083s)?_g="&amp;"(refreshInterval:(display:Off,pause:!f,section:0,value:0),time:(from:'"&amp;TEXT(E28-1/24,"yyyy-MM-DDThh:mm:ss")&amp;utc_offset&amp;"00"&amp;"',mode:absolute,to:'"&amp;TEXT(I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28&amp;"%22')),sort:!(Time.ISO8601,asc))"</f>
        <v>https://d0f6bd738d7f1b3e5a7ca70fe4ff75f0.us-east-1.aws.found.io/app/kibana#/discover/Steve-Slow-Train-Analysis-(2080s-and-2083s)?_g=(refreshInterval:(display:Off,pause:!f,section:0,value:0),time:(from:'2018-01-06T05:07:51-0700',mode:absolute,to:'2018-01-06T08:04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8" s="247" t="str">
        <f>IF(AA28&lt;VLOOKUP(AG28,Variables!$AC$3:$AD$8,2,FALSE),"Y","N")</f>
        <v>N</v>
      </c>
      <c r="X28" s="247">
        <f>VALUE(LEFT(AD28,4))-VALUE(LEFT(AD27,4))</f>
        <v>1</v>
      </c>
      <c r="Y28" s="247">
        <f>RIGHT(D28,LEN(D28)-4)/10000</f>
        <v>23.2987</v>
      </c>
      <c r="Z28" s="247">
        <f>RIGHT(H28,LEN(H28)-4)/10000</f>
        <v>2.2499999999999999E-2</v>
      </c>
      <c r="AA28" s="247">
        <f>ABS(Z28-Y28)</f>
        <v>23.276199999999999</v>
      </c>
      <c r="AB28" s="233" t="e">
        <f>VLOOKUP(A28,Enforcements!$C$7:$K$9,8,0)</f>
        <v>#N/A</v>
      </c>
      <c r="AC28" s="232" t="e">
        <f>VLOOKUP(A28,Enforcements!$C$7:$E$9,3,0)</f>
        <v>#N/A</v>
      </c>
      <c r="AD28" s="243">
        <f>VALUE(LEFT(A28,LEN(A28)-3))</f>
        <v>116</v>
      </c>
      <c r="AE28" s="235" t="str">
        <f>"aws s3 cp "&amp;s3_bucket&amp;"/RTDC"&amp;B28&amp;"/ "&amp;search_path&amp;"\RTDC"&amp;B28&amp;"\"&amp;TEXT(F28,"YYYY-MM-DD")&amp;" --exclude ""*"" --recursive --include ""*"&amp;TEXT(F28,"YYYYMMDD")&amp;"*"" &amp; """&amp;walkandungz&amp;""" "&amp;search_path&amp;"\RTDC"&amp;B28&amp;"\"&amp;TEXT(F28,"YYYY-MM-DD")
&amp;" &amp; "&amp;"aws s3 cp "&amp;s3_bucket&amp;"/RTDC"&amp;B28&amp;"/ "&amp;search_path&amp;"\RTDC"&amp;B28&amp;"\"&amp;TEXT(F28+1,"YYYY-MM-DD")&amp;" --exclude ""*"" --recursive --include ""*"&amp;TEXT(F28+1,"YYYYMMDD")&amp;"*"" &amp; """&amp;walkandungz&amp;""" "&amp;search_path&amp;"\RTDC"&amp;B28&amp;"\"&amp;TEXT(F28+1,"YYYY-MM-DD")</f>
        <v>aws s3 cp s3://rtdc.mdm.uploadarchive.raw/RTDC4063/ "%USERPROFILE%\AppData\Local\Temp\OnboardLogs"\RTDC4063\2018-01-06 --exclude "*" --recursive --include "*20180106*" &amp; "%USERPROFILE%\Documents\GitHub\mrs-test-scripts\Headless Mode &amp; Sideloading\WalkAndUnGZ.bat" "%USERPROFILE%\AppData\Local\Temp\OnboardLogs"\RTDC4063\2018-01-06 &amp; aws s3 cp s3://rtdc.mdm.uploadarchive.raw/RTDC4063/ "%USERPROFILE%\AppData\Local\Temp\OnboardLogs"\RTDC4063\2018-01-07 --exclude "*" --recursive --include "*20180107*" &amp; "%USERPROFILE%\Documents\GitHub\mrs-test-scripts\Headless Mode &amp; Sideloading\WalkAndUnGZ.bat" "%USERPROFILE%\AppData\Local\Temp\OnboardLogs"\RTDC4063\2018-01-07</v>
      </c>
      <c r="AF28" s="234" t="str">
        <f>astrogrep_path&amp;" /e /r /s /spath="&amp;search_path&amp;" /stypes=""app*"&amp;B28&amp;"*"&amp;TEXT(I28-utc_offset/24,"YYYYMMDD")&amp;"*"" /stext="" "&amp;TEXT(I28-utc_offset/24,"HH")&amp;search_regexp&amp;""""</f>
        <v>"C:\Program Files (x86)\AstroGrep\AstroGrep.exe" /e /r /s /spath="%USERPROFILE%\AppData\Local\Temp\OnboardLogs" /stypes="app*4063*20180106*" /stext=" 14:.+((SYSTEM_STATE.+slice.+state.+changed )|(ment ac)|(multiple cpu faults)|(system.+state.+changed )|(\[timeout)|(PRM\|1\|D)|(kpr)|(kdp)|(train st.+moving)|(\|lc)|(penalty))"</v>
      </c>
      <c r="AG28" s="244" t="str">
        <f>DetSubdiv(A28)</f>
        <v>EC</v>
      </c>
      <c r="AH28" s="236" t="str">
        <f t="shared" si="5"/>
        <v>"%USERPROFILE%\Documents\GitHub\eaglep3\Utilities\RefineRTDCRunTimes.py" --tripid 116-06 --locoid 4063 --swversion DE.1.0.9.0 --startMP 204:232987 --initTime 2018-01-06T06:07:51 --startdatetime 2018-01-06T06:27:16 --delay 67 --endMP 204:225 --enddatetime 2018-01-06T07:04:26 --enforcementcount 0 &gt;&gt;%USERPROFILE%\Documents\GitHub\eaglep3-reporting\EC\2018-01-06-refined-times.txt</v>
      </c>
      <c r="AI28" s="238" t="str">
        <f t="shared" si="6"/>
        <v>echo {"issue":{"subject":"","project_id":79,"tracker_id":40,"status_id":1,"priority_id":2,"assigned_to_id":338,"start_date":"2018-01-06","description":"","custom_fields":[{"id":1,"name":"Subdivision","value":"EC"},{"id":4,"name":"Milepost","value":"0.0225"},{"id":17,"name":"Train ID","value":"116-06"},{"id":16,"name":"Locomotive ID","value":"4063"},{"id":130,"name":"Impact","value":""},{"id":150,"name":"Time of Event (Mountain Time)","value":"07:04:26"},{"id":151,"name":"Denver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8" s="223"/>
      <c r="AK28" s="231"/>
      <c r="AL28" s="231"/>
      <c r="AM28" s="240" t="str">
        <f t="shared" si="7"/>
        <v>start /low /b %USERPROFILE%\Documents\GitHub\eaglep3\Utilities\DownloadLogsFromS3.py --loco 4063 --day 2018-01-06</v>
      </c>
      <c r="AN28" s="241" t="str">
        <f t="shared" si="8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14:04:26"},{"id":29,"name":"Sharepoint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 s="230" t="str">
        <f t="shared" si="9"/>
        <v>https://d0f6bd738d7f1b3e5a7ca70fe4ff75f0.us-east-1.aws.found.io/app/kibana#/discover/Steve-Slow-Train-Analysis-(2080s-and-2083s)?_g=(refreshInterval:(display:Off,pause:!f,section:0,value:0),time:(from:'2018-01-06T05:07:51-0700',mode:absolute,to:'2018-01-06T08:04:26-0700'))&amp;_a=(columns:!('Message%20ID',Summary),filters:!(),index:'emp_*',interval:auto,query:(query_string:(analyze_wildcard:!t,query:'%22rtdc.l.rtdc.4063%22')),sort:!(Time.ISO8601,asc))</v>
      </c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3">
      <c r="A29" s="229" t="s">
        <v>725</v>
      </c>
      <c r="B29" s="225">
        <v>4060</v>
      </c>
      <c r="C29" s="227" t="s">
        <v>192</v>
      </c>
      <c r="D29" s="227" t="s">
        <v>903</v>
      </c>
      <c r="E29" s="226">
        <v>43106.233807870369</v>
      </c>
      <c r="F29" s="226">
        <v>43106.239803240744</v>
      </c>
      <c r="G29" s="225">
        <v>108</v>
      </c>
      <c r="H29" s="227" t="s">
        <v>549</v>
      </c>
      <c r="I29" s="226">
        <v>43106.263981481483</v>
      </c>
      <c r="J29" s="225">
        <v>0</v>
      </c>
      <c r="K29" s="237" t="str">
        <f>IF(ISEVEN(B29),(B29-1)&amp;"/"&amp;B29,B29&amp;"/"&amp;(B29+1))</f>
        <v>4059/4060</v>
      </c>
      <c r="L29" s="245" t="str">
        <f>VLOOKUP(A29,'Trips&amp;Operators'!$C$1:$G$99911,5,FALSE)</f>
        <v>WILLIAMS DONTE</v>
      </c>
      <c r="M29" s="224">
        <f>I29-F29</f>
        <v>2.417824073927477E-2</v>
      </c>
      <c r="N29" s="225">
        <f>24*60*SUM($M29:$M29)</f>
        <v>34.816666664555669</v>
      </c>
      <c r="O29" s="225"/>
      <c r="P29" s="225"/>
      <c r="Q29" s="228"/>
      <c r="R29" s="242"/>
      <c r="S29" s="249">
        <f>1/IF(AG29="EC",12,1)*SUM(U29:U29)</f>
        <v>1</v>
      </c>
      <c r="T29" s="242" t="str">
        <f>IF(ISEVEN(LEFT(AD29,4)),"Southbound","NorthBound")</f>
        <v>NorthBound</v>
      </c>
      <c r="U29" s="246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248" t="str">
        <f>"https://d0f6bd738d7f1b3e5a7ca70fe4ff75f0.us-east-1.aws.found.io/app/kibana#/discover/Steve-Slow-Train-Analysis-(2080s-and-2083s)?_g="&amp;"(refreshInterval:(display:Off,pause:!f,section:0,value:0),time:(from:'"&amp;TEXT(E29-1/24,"yyyy-MM-DDThh:mm:ss")&amp;utc_offset&amp;"00"&amp;"',mode:absolute,to:'"&amp;TEXT(I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29&amp;"%22')),sort:!(Time.ISO8601,asc))"</f>
        <v>https://d0f6bd738d7f1b3e5a7ca70fe4ff75f0.us-east-1.aws.found.io/app/kibana#/discover/Steve-Slow-Train-Analysis-(2080s-and-2083s)?_g=(refreshInterval:(display:Off,pause:!f,section:0,value:0),time:(from:'2018-01-06T04:36:41-0700',mode:absolute,to:'2018-01-06T07:20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9" s="247" t="str">
        <f>IF(AA29&lt;VLOOKUP(AG29,Variables!$AC$3:$AD$8,2,FALSE),"Y","N")</f>
        <v>N</v>
      </c>
      <c r="X29" s="247">
        <f>VALUE(LEFT(AD29,4))-VALUE(LEFT(AD28,4))</f>
        <v>1</v>
      </c>
      <c r="Y29" s="247">
        <f>RIGHT(D29,LEN(D29)-4)/10000</f>
        <v>5.28E-2</v>
      </c>
      <c r="Z29" s="247">
        <f>RIGHT(H29,LEN(H29)-4)/10000</f>
        <v>23.325099999999999</v>
      </c>
      <c r="AA29" s="247">
        <f>ABS(Z29-Y29)</f>
        <v>23.272299999999998</v>
      </c>
      <c r="AB29" s="233" t="e">
        <f>VLOOKUP(A29,Enforcements!$C$7:$K$9,8,0)</f>
        <v>#N/A</v>
      </c>
      <c r="AC29" s="232" t="e">
        <f>VLOOKUP(A29,Enforcements!$C$7:$E$9,3,0)</f>
        <v>#N/A</v>
      </c>
      <c r="AD29" s="243">
        <f>VALUE(LEFT(A29,LEN(A29)-3))</f>
        <v>117</v>
      </c>
      <c r="AE29" s="235" t="str">
        <f>"aws s3 cp "&amp;s3_bucket&amp;"/RTDC"&amp;B29&amp;"/ "&amp;search_path&amp;"\RTDC"&amp;B29&amp;"\"&amp;TEXT(F29,"YYYY-MM-DD")&amp;" --exclude ""*"" --recursive --include ""*"&amp;TEXT(F29,"YYYYMMDD")&amp;"*"" &amp; """&amp;walkandungz&amp;""" "&amp;search_path&amp;"\RTDC"&amp;B29&amp;"\"&amp;TEXT(F29,"YYYY-MM-DD")
&amp;" &amp; "&amp;"aws s3 cp "&amp;s3_bucket&amp;"/RTDC"&amp;B29&amp;"/ "&amp;search_path&amp;"\RTDC"&amp;B29&amp;"\"&amp;TEXT(F29+1,"YYYY-MM-DD")&amp;" --exclude ""*"" --recursive --include ""*"&amp;TEXT(F29+1,"YYYYMMDD")&amp;"*"" &amp; """&amp;walkandungz&amp;""" "&amp;search_path&amp;"\RTDC"&amp;B29&amp;"\"&amp;TEXT(F29+1,"YYYY-MM-DD")</f>
        <v>aws s3 cp s3://rtdc.mdm.uploadarchive.raw/RTDC4060/ "%USERPROFILE%\AppData\Local\Temp\OnboardLogs"\RTDC4060\2018-01-06 --exclude "*" --recursive --include "*20180106*" &amp; "%USERPROFILE%\Documents\GitHub\mrs-test-scripts\Headless Mode &amp; Sideloading\WalkAndUnGZ.bat" "%USERPROFILE%\AppData\Local\Temp\OnboardLogs"\RTDC4060\2018-01-06 &amp; aws s3 cp s3://rtdc.mdm.uploadarchive.raw/RTDC4060/ "%USERPROFILE%\AppData\Local\Temp\OnboardLogs"\RTDC4060\2018-01-07 --exclude "*" --recursive --include "*20180107*" &amp; "%USERPROFILE%\Documents\GitHub\mrs-test-scripts\Headless Mode &amp; Sideloading\WalkAndUnGZ.bat" "%USERPROFILE%\AppData\Local\Temp\OnboardLogs"\RTDC4060\2018-01-07</v>
      </c>
      <c r="AF29" s="234" t="str">
        <f>astrogrep_path&amp;" /e /r /s /spath="&amp;search_path&amp;" /stypes=""app*"&amp;B29&amp;"*"&amp;TEXT(I29-utc_offset/24,"YYYYMMDD")&amp;"*"" /stext="" "&amp;TEXT(I29-utc_offset/24,"HH")&amp;search_regexp&amp;""""</f>
        <v>"C:\Program Files (x86)\AstroGrep\AstroGrep.exe" /e /r /s /spath="%USERPROFILE%\AppData\Local\Temp\OnboardLogs" /stypes="app*4060*20180106*" /stext=" 13:.+((SYSTEM_STATE.+slice.+state.+changed )|(ment ac)|(multiple cpu faults)|(system.+state.+changed )|(\[timeout)|(PRM\|1\|D)|(kpr)|(kdp)|(train st.+moving)|(\|lc)|(penalty))"</v>
      </c>
      <c r="AG29" s="244" t="str">
        <f>DetSubdiv(A29)</f>
        <v>EC</v>
      </c>
      <c r="AH29" s="236" t="str">
        <f t="shared" si="5"/>
        <v>"%USERPROFILE%\Documents\GitHub\eaglep3\Utilities\RefineRTDCRunTimes.py" --tripid 117-06 --locoid 4060 --swversion DE.1.0.9.0 --startMP 204:528 --initTime 2018-01-06T05:36:41 --startdatetime 2018-01-06T05:45:19 --delay 108 --endMP 204:233251 --enddatetime 2018-01-06T06:20:08 --enforcementcount 0 &gt;&gt;%USERPROFILE%\Documents\GitHub\eaglep3-reporting\EC\2018-01-06-refined-times.txt</v>
      </c>
      <c r="AI29" s="238" t="str">
        <f t="shared" si="6"/>
        <v>echo {"issue":{"subject":"","project_id":79,"tracker_id":40,"status_id":1,"priority_id":2,"assigned_to_id":338,"start_date":"2018-01-06","description":"","custom_fields":[{"id":1,"name":"Subdivision","value":"EC"},{"id":4,"name":"Milepost","value":"23.3251"},{"id":17,"name":"Train ID","value":"117-06"},{"id":16,"name":"Locomotive ID","value":"4060"},{"id":130,"name":"Impact","value":""},{"id":150,"name":"Time of Event (Mountain Time)","value":"06:20:08"},{"id":151,"name":"Denver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9" s="223"/>
      <c r="AK29" s="231"/>
      <c r="AL29" s="231"/>
      <c r="AM29" s="240" t="str">
        <f t="shared" si="7"/>
        <v>start /low /b %USERPROFILE%\Documents\GitHub\eaglep3\Utilities\DownloadLogsFromS3.py --loco 4060 --day 2018-01-06</v>
      </c>
      <c r="AN29" s="241" t="str">
        <f t="shared" si="8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13:20:08"},{"id":29,"name":"Sharepoint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 s="230" t="str">
        <f t="shared" si="9"/>
        <v>https://d0f6bd738d7f1b3e5a7ca70fe4ff75f0.us-east-1.aws.found.io/app/kibana#/discover/Steve-Slow-Train-Analysis-(2080s-and-2083s)?_g=(refreshInterval:(display:Off,pause:!f,section:0,value:0),time:(from:'2018-01-06T04:36:41-0700',mode:absolute,to:'2018-01-06T07:20:08-0700'))&amp;_a=(columns:!('Message%20ID',Summary),filters:!(),index:'emp_*',interval:auto,query:(query_string:(analyze_wildcard:!t,query:'%22rtdc.l.rtdc.4060%22')),sort:!(Time.ISO8601,asc))</v>
      </c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3">
      <c r="A30" s="229" t="s">
        <v>733</v>
      </c>
      <c r="B30" s="225">
        <v>4059</v>
      </c>
      <c r="C30" s="227" t="s">
        <v>192</v>
      </c>
      <c r="D30" s="227" t="s">
        <v>905</v>
      </c>
      <c r="E30" s="226">
        <v>43106.275034722225</v>
      </c>
      <c r="F30" s="226">
        <v>43106.279328703706</v>
      </c>
      <c r="G30" s="225">
        <v>112</v>
      </c>
      <c r="H30" s="227" t="s">
        <v>487</v>
      </c>
      <c r="I30" s="226">
        <v>43106.305902777778</v>
      </c>
      <c r="J30" s="225">
        <v>0</v>
      </c>
      <c r="K30" s="237" t="str">
        <f>IF(ISEVEN(B30),(B30-1)&amp;"/"&amp;B30,B30&amp;"/"&amp;(B30+1))</f>
        <v>4059/4060</v>
      </c>
      <c r="L30" s="245" t="str">
        <f>VLOOKUP(A30,'Trips&amp;Operators'!$C$1:$G$99911,5,FALSE)</f>
        <v>WILLIAMS DONTE</v>
      </c>
      <c r="M30" s="224">
        <f>I30-F30</f>
        <v>2.6574074072414078E-2</v>
      </c>
      <c r="N30" s="225">
        <f>24*60*SUM($M30:$M30)</f>
        <v>38.266666664276272</v>
      </c>
      <c r="O30" s="225"/>
      <c r="P30" s="225"/>
      <c r="Q30" s="228"/>
      <c r="R30" s="242"/>
      <c r="S30" s="249">
        <f>1/IF(AG30="EC",12,1)*SUM(U30:U30)</f>
        <v>1</v>
      </c>
      <c r="T30" s="242" t="str">
        <f>IF(ISEVEN(LEFT(AD30,4)),"Southbound","NorthBound")</f>
        <v>Southbound</v>
      </c>
      <c r="U30" s="246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248" t="str">
        <f>"https://d0f6bd738d7f1b3e5a7ca70fe4ff75f0.us-east-1.aws.found.io/app/kibana#/discover/Steve-Slow-Train-Analysis-(2080s-and-2083s)?_g="&amp;"(refreshInterval:(display:Off,pause:!f,section:0,value:0),time:(from:'"&amp;TEXT(E30-1/24,"yyyy-MM-DDThh:mm:ss")&amp;utc_offset&amp;"00"&amp;"',mode:absolute,to:'"&amp;TEXT(I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30&amp;"%22')),sort:!(Time.ISO8601,asc))"</f>
        <v>https://d0f6bd738d7f1b3e5a7ca70fe4ff75f0.us-east-1.aws.found.io/app/kibana#/discover/Steve-Slow-Train-Analysis-(2080s-and-2083s)?_g=(refreshInterval:(display:Off,pause:!f,section:0,value:0),time:(from:'2018-01-06T05:36:03-0700',mode:absolute,to:'2018-01-06T08:20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30" s="247" t="str">
        <f>IF(AA30&lt;VLOOKUP(AG30,Variables!$AC$3:$AD$8,2,FALSE),"Y","N")</f>
        <v>N</v>
      </c>
      <c r="X30" s="247">
        <f>VALUE(LEFT(AD30,4))-VALUE(LEFT(AD29,4))</f>
        <v>1</v>
      </c>
      <c r="Y30" s="247">
        <f>RIGHT(D30,LEN(D30)-4)/10000</f>
        <v>23.293199999999999</v>
      </c>
      <c r="Z30" s="247">
        <f>RIGHT(H30,LEN(H30)-4)/10000</f>
        <v>0.02</v>
      </c>
      <c r="AA30" s="247">
        <f>ABS(Z30-Y30)</f>
        <v>23.273199999999999</v>
      </c>
      <c r="AB30" s="233" t="e">
        <f>VLOOKUP(A30,Enforcements!$C$7:$K$9,8,0)</f>
        <v>#N/A</v>
      </c>
      <c r="AC30" s="232" t="e">
        <f>VLOOKUP(A30,Enforcements!$C$7:$E$9,3,0)</f>
        <v>#N/A</v>
      </c>
      <c r="AD30" s="243">
        <f>VALUE(LEFT(A30,LEN(A30)-3))</f>
        <v>118</v>
      </c>
      <c r="AE30" s="235" t="str">
        <f>"aws s3 cp "&amp;s3_bucket&amp;"/RTDC"&amp;B30&amp;"/ "&amp;search_path&amp;"\RTDC"&amp;B30&amp;"\"&amp;TEXT(F30,"YYYY-MM-DD")&amp;" --exclude ""*"" --recursive --include ""*"&amp;TEXT(F30,"YYYYMMDD")&amp;"*"" &amp; """&amp;walkandungz&amp;""" "&amp;search_path&amp;"\RTDC"&amp;B30&amp;"\"&amp;TEXT(F30,"YYYY-MM-DD")
&amp;" &amp; "&amp;"aws s3 cp "&amp;s3_bucket&amp;"/RTDC"&amp;B30&amp;"/ "&amp;search_path&amp;"\RTDC"&amp;B30&amp;"\"&amp;TEXT(F30+1,"YYYY-MM-DD")&amp;" --exclude ""*"" --recursive --include ""*"&amp;TEXT(F30+1,"YYYYMMDD")&amp;"*"" &amp; """&amp;walkandungz&amp;""" "&amp;search_path&amp;"\RTDC"&amp;B30&amp;"\"&amp;TEXT(F30+1,"YYYY-MM-DD")</f>
        <v>aws s3 cp s3://rtdc.mdm.uploadarchive.raw/RTDC4059/ "%USERPROFILE%\AppData\Local\Temp\OnboardLogs"\RTDC4059\2018-01-06 --exclude "*" --recursive --include "*20180106*" &amp; "%USERPROFILE%\Documents\GitHub\mrs-test-scripts\Headless Mode &amp; Sideloading\WalkAndUnGZ.bat" "%USERPROFILE%\AppData\Local\Temp\OnboardLogs"\RTDC4059\2018-01-06 &amp; aws s3 cp s3://rtdc.mdm.uploadarchive.raw/RTDC4059/ "%USERPROFILE%\AppData\Local\Temp\OnboardLogs"\RTDC4059\2018-01-07 --exclude "*" --recursive --include "*20180107*" &amp; "%USERPROFILE%\Documents\GitHub\mrs-test-scripts\Headless Mode &amp; Sideloading\WalkAndUnGZ.bat" "%USERPROFILE%\AppData\Local\Temp\OnboardLogs"\RTDC4059\2018-01-07</v>
      </c>
      <c r="AF30" s="234" t="str">
        <f>astrogrep_path&amp;" /e /r /s /spath="&amp;search_path&amp;" /stypes=""app*"&amp;B30&amp;"*"&amp;TEXT(I30-utc_offset/24,"YYYYMMDD")&amp;"*"" /stext="" "&amp;TEXT(I30-utc_offset/24,"HH")&amp;search_regexp&amp;""""</f>
        <v>"C:\Program Files (x86)\AstroGrep\AstroGrep.exe" /e /r /s /spath="%USERPROFILE%\AppData\Local\Temp\OnboardLogs" /stypes="app*4059*20180106*" /stext=" 14:.+((SYSTEM_STATE.+slice.+state.+changed )|(ment ac)|(multiple cpu faults)|(system.+state.+changed )|(\[timeout)|(PRM\|1\|D)|(kpr)|(kdp)|(train st.+moving)|(\|lc)|(penalty))"</v>
      </c>
      <c r="AG30" s="244" t="str">
        <f>DetSubdiv(A30)</f>
        <v>EC</v>
      </c>
      <c r="AH30" s="236" t="str">
        <f t="shared" si="5"/>
        <v>"%USERPROFILE%\Documents\GitHub\eaglep3\Utilities\RefineRTDCRunTimes.py" --tripid 118-06 --locoid 4059 --swversion DE.1.0.9.0 --startMP 204:232932 --initTime 2018-01-06T06:36:03 --startdatetime 2018-01-06T06:42:14 --delay 112 --endMP 204:200 --enddatetime 2018-01-06T07:20:30 --enforcementcount 0 &gt;&gt;%USERPROFILE%\Documents\GitHub\eaglep3-reporting\EC\2018-01-06-refined-times.txt</v>
      </c>
      <c r="AI30" s="238" t="str">
        <f t="shared" si="6"/>
        <v>echo {"issue":{"subject":"","project_id":79,"tracker_id":40,"status_id":1,"priority_id":2,"assigned_to_id":338,"start_date":"2018-01-06","description":"","custom_fields":[{"id":1,"name":"Subdivision","value":"EC"},{"id":4,"name":"Milepost","value":"0.02"},{"id":17,"name":"Train ID","value":"118-06"},{"id":16,"name":"Locomotive ID","value":"4059"},{"id":130,"name":"Impact","value":""},{"id":150,"name":"Time of Event (Mountain Time)","value":"07:20:30"},{"id":151,"name":"Denver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0" s="223"/>
      <c r="AK30" s="231"/>
      <c r="AL30" s="231"/>
      <c r="AM30" s="240" t="str">
        <f t="shared" si="7"/>
        <v>start /low /b %USERPROFILE%\Documents\GitHub\eaglep3\Utilities\DownloadLogsFromS3.py --loco 4059 --day 2018-01-06</v>
      </c>
      <c r="AN30" s="241" t="str">
        <f t="shared" si="8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14:20:30"},{"id":29,"name":"Sharepoint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 s="230" t="str">
        <f t="shared" si="9"/>
        <v>https://d0f6bd738d7f1b3e5a7ca70fe4ff75f0.us-east-1.aws.found.io/app/kibana#/discover/Steve-Slow-Train-Analysis-(2080s-and-2083s)?_g=(refreshInterval:(display:Off,pause:!f,section:0,value:0),time:(from:'2018-01-06T05:36:03-0700',mode:absolute,to:'2018-01-06T08:20:30-0700'))&amp;_a=(columns:!('Message%20ID',Summary),filters:!(),index:'emp_*',interval:auto,query:(query_string:(analyze_wildcard:!t,query:'%22rtdc.l.rtdc.4059%22')),sort:!(Time.ISO8601,asc))</v>
      </c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3">
      <c r="A31" s="229" t="s">
        <v>659</v>
      </c>
      <c r="B31" s="225">
        <v>4030</v>
      </c>
      <c r="C31" s="227" t="s">
        <v>192</v>
      </c>
      <c r="D31" s="227" t="s">
        <v>485</v>
      </c>
      <c r="E31" s="226">
        <v>43106.244016203702</v>
      </c>
      <c r="F31" s="226">
        <v>43106.250196759262</v>
      </c>
      <c r="G31" s="225">
        <v>85</v>
      </c>
      <c r="H31" s="227" t="s">
        <v>906</v>
      </c>
      <c r="I31" s="226">
        <v>43106.275300925925</v>
      </c>
      <c r="J31" s="225">
        <v>0</v>
      </c>
      <c r="K31" s="237" t="str">
        <f>IF(ISEVEN(B31),(B31-1)&amp;"/"&amp;B31,B31&amp;"/"&amp;(B31+1))</f>
        <v>4029/4030</v>
      </c>
      <c r="L31" s="245" t="str">
        <f>VLOOKUP(A31,'Trips&amp;Operators'!$C$1:$G$99911,5,FALSE)</f>
        <v>LOPES KIMBERLY</v>
      </c>
      <c r="M31" s="224">
        <f>I31-F31</f>
        <v>2.5104166663368233E-2</v>
      </c>
      <c r="N31" s="225">
        <f>24*60*SUM($M31:$M31)</f>
        <v>36.149999995250255</v>
      </c>
      <c r="O31" s="225"/>
      <c r="P31" s="225"/>
      <c r="Q31" s="228"/>
      <c r="R31" s="242"/>
      <c r="S31" s="249">
        <f>1/IF(AG31="EC",12,1)*SUM(U31:U31)</f>
        <v>1</v>
      </c>
      <c r="T31" s="242" t="str">
        <f>IF(ISEVEN(LEFT(AD31,4)),"Southbound","NorthBound")</f>
        <v>NorthBound</v>
      </c>
      <c r="U31" s="246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248" t="str">
        <f>"https://d0f6bd738d7f1b3e5a7ca70fe4ff75f0.us-east-1.aws.found.io/app/kibana#/discover/Steve-Slow-Train-Analysis-(2080s-and-2083s)?_g="&amp;"(refreshInterval:(display:Off,pause:!f,section:0,value:0),time:(from:'"&amp;TEXT(E31-1/24,"yyyy-MM-DDThh:mm:ss")&amp;utc_offset&amp;"00"&amp;"',mode:absolute,to:'"&amp;TEXT(I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31&amp;"%22')),sort:!(Time.ISO8601,asc))"</f>
        <v>https://d0f6bd738d7f1b3e5a7ca70fe4ff75f0.us-east-1.aws.found.io/app/kibana#/discover/Steve-Slow-Train-Analysis-(2080s-and-2083s)?_g=(refreshInterval:(display:Off,pause:!f,section:0,value:0),time:(from:'2018-01-06T04:51:23-0700',mode:absolute,to:'2018-01-06T07:36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31" s="247" t="str">
        <f>IF(AA31&lt;VLOOKUP(AG31,Variables!$AC$3:$AD$8,2,FALSE),"Y","N")</f>
        <v>N</v>
      </c>
      <c r="X31" s="247">
        <f>VALUE(LEFT(AD31,4))-VALUE(LEFT(AD30,4))</f>
        <v>1</v>
      </c>
      <c r="Y31" s="247">
        <f>RIGHT(D31,LEN(D31)-4)/10000</f>
        <v>5.2200000000000003E-2</v>
      </c>
      <c r="Z31" s="247">
        <f>RIGHT(H31,LEN(H31)-4)/10000</f>
        <v>23.321300000000001</v>
      </c>
      <c r="AA31" s="247">
        <f>ABS(Z31-Y31)</f>
        <v>23.269100000000002</v>
      </c>
      <c r="AB31" s="233" t="e">
        <f>VLOOKUP(A31,Enforcements!$C$7:$K$9,8,0)</f>
        <v>#N/A</v>
      </c>
      <c r="AC31" s="232" t="e">
        <f>VLOOKUP(A31,Enforcements!$C$7:$E$9,3,0)</f>
        <v>#N/A</v>
      </c>
      <c r="AD31" s="243">
        <f>VALUE(LEFT(A31,LEN(A31)-3))</f>
        <v>119</v>
      </c>
      <c r="AE31" s="235" t="str">
        <f>"aws s3 cp "&amp;s3_bucket&amp;"/RTDC"&amp;B31&amp;"/ "&amp;search_path&amp;"\RTDC"&amp;B31&amp;"\"&amp;TEXT(F31,"YYYY-MM-DD")&amp;" --exclude ""*"" --recursive --include ""*"&amp;TEXT(F31,"YYYYMMDD")&amp;"*"" &amp; """&amp;walkandungz&amp;""" "&amp;search_path&amp;"\RTDC"&amp;B31&amp;"\"&amp;TEXT(F31,"YYYY-MM-DD")
&amp;" &amp; "&amp;"aws s3 cp "&amp;s3_bucket&amp;"/RTDC"&amp;B31&amp;"/ "&amp;search_path&amp;"\RTDC"&amp;B31&amp;"\"&amp;TEXT(F31+1,"YYYY-MM-DD")&amp;" --exclude ""*"" --recursive --include ""*"&amp;TEXT(F31+1,"YYYYMMDD")&amp;"*"" &amp; """&amp;walkandungz&amp;""" "&amp;search_path&amp;"\RTDC"&amp;B31&amp;"\"&amp;TEXT(F31+1,"YYYY-MM-DD")</f>
        <v>aws s3 cp s3://rtdc.mdm.uploadarchive.raw/RTDC4030/ "%USERPROFILE%\AppData\Local\Temp\OnboardLogs"\RTDC4030\2018-01-06 --exclude "*" --recursive --include "*20180106*" &amp; "%USERPROFILE%\Documents\GitHub\mrs-test-scripts\Headless Mode &amp; Sideloading\WalkAndUnGZ.bat" "%USERPROFILE%\AppData\Local\Temp\OnboardLogs"\RTDC4030\2018-01-06 &amp; aws s3 cp s3://rtdc.mdm.uploadarchive.raw/RTDC4030/ "%USERPROFILE%\AppData\Local\Temp\OnboardLogs"\RTDC4030\2018-01-07 --exclude "*" --recursive --include "*20180107*" &amp; "%USERPROFILE%\Documents\GitHub\mrs-test-scripts\Headless Mode &amp; Sideloading\WalkAndUnGZ.bat" "%USERPROFILE%\AppData\Local\Temp\OnboardLogs"\RTDC4030\2018-01-07</v>
      </c>
      <c r="AF31" s="234" t="str">
        <f>astrogrep_path&amp;" /e /r /s /spath="&amp;search_path&amp;" /stypes=""app*"&amp;B31&amp;"*"&amp;TEXT(I31-utc_offset/24,"YYYYMMDD")&amp;"*"" /stext="" "&amp;TEXT(I31-utc_offset/24,"HH")&amp;search_regexp&amp;""""</f>
        <v>"C:\Program Files (x86)\AstroGrep\AstroGrep.exe" /e /r /s /spath="%USERPROFILE%\AppData\Local\Temp\OnboardLogs" /stypes="app*4030*20180106*" /stext=" 13:.+((SYSTEM_STATE.+slice.+state.+changed )|(ment ac)|(multiple cpu faults)|(system.+state.+changed )|(\[timeout)|(PRM\|1\|D)|(kpr)|(kdp)|(train st.+moving)|(\|lc)|(penalty))"</v>
      </c>
      <c r="AG31" s="244" t="str">
        <f>DetSubdiv(A31)</f>
        <v>EC</v>
      </c>
      <c r="AH31" s="236" t="str">
        <f t="shared" si="5"/>
        <v>"%USERPROFILE%\Documents\GitHub\eaglep3\Utilities\RefineRTDCRunTimes.py" --tripid 119-06 --locoid 4030 --swversion DE.1.0.9.0 --startMP 204:522 --initTime 2018-01-06T05:51:23 --startdatetime 2018-01-06T06:00:17 --delay 85 --endMP 204:233213 --enddatetime 2018-01-06T06:36:26 --enforcementcount 0 &gt;&gt;%USERPROFILE%\Documents\GitHub\eaglep3-reporting\EC\2018-01-06-refined-times.txt</v>
      </c>
      <c r="AI31" s="238" t="str">
        <f t="shared" si="6"/>
        <v>echo {"issue":{"subject":"","project_id":79,"tracker_id":40,"status_id":1,"priority_id":2,"assigned_to_id":338,"start_date":"2018-01-06","description":"","custom_fields":[{"id":1,"name":"Subdivision","value":"EC"},{"id":4,"name":"Milepost","value":"23.3213"},{"id":17,"name":"Train ID","value":"119-06"},{"id":16,"name":"Locomotive ID","value":"4030"},{"id":130,"name":"Impact","value":""},{"id":150,"name":"Time of Event (Mountain Time)","value":"06:36:26"},{"id":151,"name":"Denver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1" s="223"/>
      <c r="AK31" s="231"/>
      <c r="AL31" s="231"/>
      <c r="AM31" s="240" t="str">
        <f t="shared" si="7"/>
        <v>start /low /b %USERPROFILE%\Documents\GitHub\eaglep3\Utilities\DownloadLogsFromS3.py --loco 4030 --day 2018-01-06</v>
      </c>
      <c r="AN31" s="241" t="str">
        <f t="shared" si="8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13:36:26"},{"id":29,"name":"Sharepoint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 s="230" t="str">
        <f t="shared" si="9"/>
        <v>https://d0f6bd738d7f1b3e5a7ca70fe4ff75f0.us-east-1.aws.found.io/app/kibana#/discover/Steve-Slow-Train-Analysis-(2080s-and-2083s)?_g=(refreshInterval:(display:Off,pause:!f,section:0,value:0),time:(from:'2018-01-06T04:51:23-0700',mode:absolute,to:'2018-01-06T07:36:26-0700'))&amp;_a=(columns:!('Message%20ID',Summary),filters:!(),index:'emp_*',interval:auto,query:(query_string:(analyze_wildcard:!t,query:'%22rtdc.l.rtdc.4030%22')),sort:!(Time.ISO8601,asc))</v>
      </c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3">
      <c r="A32" s="229" t="s">
        <v>734</v>
      </c>
      <c r="B32" s="225">
        <v>4029</v>
      </c>
      <c r="C32" s="227" t="s">
        <v>192</v>
      </c>
      <c r="D32" s="227" t="s">
        <v>907</v>
      </c>
      <c r="E32" s="226">
        <v>43106.276782407411</v>
      </c>
      <c r="F32" s="226">
        <v>43106.28974537037</v>
      </c>
      <c r="G32" s="225">
        <v>51</v>
      </c>
      <c r="H32" s="227" t="s">
        <v>498</v>
      </c>
      <c r="I32" s="226">
        <v>43106.31554398148</v>
      </c>
      <c r="J32" s="225">
        <v>0</v>
      </c>
      <c r="K32" s="237" t="str">
        <f>IF(ISEVEN(B32),(B32-1)&amp;"/"&amp;B32,B32&amp;"/"&amp;(B32+1))</f>
        <v>4029/4030</v>
      </c>
      <c r="L32" s="245" t="str">
        <f>VLOOKUP(A32,'Trips&amp;Operators'!$C$1:$G$99911,5,FALSE)</f>
        <v>LOPES KIMBERLY</v>
      </c>
      <c r="M32" s="224">
        <f>I32-F32</f>
        <v>2.5798611110076308E-2</v>
      </c>
      <c r="N32" s="225">
        <f>24*60*SUM($M32:$M32)</f>
        <v>37.149999998509884</v>
      </c>
      <c r="O32" s="225"/>
      <c r="P32" s="225"/>
      <c r="Q32" s="228"/>
      <c r="R32" s="242"/>
      <c r="S32" s="249">
        <f>1/IF(AG32="EC",12,1)*SUM(U32:U32)</f>
        <v>1</v>
      </c>
      <c r="T32" s="242" t="str">
        <f>IF(ISEVEN(LEFT(AD32,4)),"Southbound","NorthBound")</f>
        <v>Southbound</v>
      </c>
      <c r="U32" s="246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248" t="str">
        <f>"https://d0f6bd738d7f1b3e5a7ca70fe4ff75f0.us-east-1.aws.found.io/app/kibana#/discover/Steve-Slow-Train-Analysis-(2080s-and-2083s)?_g="&amp;"(refreshInterval:(display:Off,pause:!f,section:0,value:0),time:(from:'"&amp;TEXT(E32-1/24,"yyyy-MM-DDThh:mm:ss")&amp;utc_offset&amp;"00"&amp;"',mode:absolute,to:'"&amp;TEXT(I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32&amp;"%22')),sort:!(Time.ISO8601,asc))"</f>
        <v>https://d0f6bd738d7f1b3e5a7ca70fe4ff75f0.us-east-1.aws.found.io/app/kibana#/discover/Steve-Slow-Train-Analysis-(2080s-and-2083s)?_g=(refreshInterval:(display:Off,pause:!f,section:0,value:0),time:(from:'2018-01-06T05:38:34-0700',mode:absolute,to:'2018-01-06T08:34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32" s="247" t="str">
        <f>IF(AA32&lt;VLOOKUP(AG32,Variables!$AC$3:$AD$8,2,FALSE),"Y","N")</f>
        <v>N</v>
      </c>
      <c r="X32" s="247">
        <f>VALUE(LEFT(AD32,4))-VALUE(LEFT(AD31,4))</f>
        <v>1</v>
      </c>
      <c r="Y32" s="247">
        <f>RIGHT(D32,LEN(D32)-4)/10000</f>
        <v>23.287700000000001</v>
      </c>
      <c r="Z32" s="247">
        <f>RIGHT(H32,LEN(H32)-4)/10000</f>
        <v>2.0899999999999998E-2</v>
      </c>
      <c r="AA32" s="247">
        <f>ABS(Z32-Y32)</f>
        <v>23.2668</v>
      </c>
      <c r="AB32" s="233" t="e">
        <f>VLOOKUP(A32,Enforcements!$C$7:$K$9,8,0)</f>
        <v>#N/A</v>
      </c>
      <c r="AC32" s="232" t="e">
        <f>VLOOKUP(A32,Enforcements!$C$7:$E$9,3,0)</f>
        <v>#N/A</v>
      </c>
      <c r="AD32" s="243">
        <f>VALUE(LEFT(A32,LEN(A32)-3))</f>
        <v>120</v>
      </c>
      <c r="AE32" s="235" t="str">
        <f>"aws s3 cp "&amp;s3_bucket&amp;"/RTDC"&amp;B32&amp;"/ "&amp;search_path&amp;"\RTDC"&amp;B32&amp;"\"&amp;TEXT(F32,"YYYY-MM-DD")&amp;" --exclude ""*"" --recursive --include ""*"&amp;TEXT(F32,"YYYYMMDD")&amp;"*"" &amp; """&amp;walkandungz&amp;""" "&amp;search_path&amp;"\RTDC"&amp;B32&amp;"\"&amp;TEXT(F32,"YYYY-MM-DD")
&amp;" &amp; "&amp;"aws s3 cp "&amp;s3_bucket&amp;"/RTDC"&amp;B32&amp;"/ "&amp;search_path&amp;"\RTDC"&amp;B32&amp;"\"&amp;TEXT(F32+1,"YYYY-MM-DD")&amp;" --exclude ""*"" --recursive --include ""*"&amp;TEXT(F32+1,"YYYYMMDD")&amp;"*"" &amp; """&amp;walkandungz&amp;""" "&amp;search_path&amp;"\RTDC"&amp;B32&amp;"\"&amp;TEXT(F32+1,"YYYY-MM-DD")</f>
        <v>aws s3 cp s3://rtdc.mdm.uploadarchive.raw/RTDC4029/ "%USERPROFILE%\AppData\Local\Temp\OnboardLogs"\RTDC4029\2018-01-06 --exclude "*" --recursive --include "*20180106*" &amp; "%USERPROFILE%\Documents\GitHub\mrs-test-scripts\Headless Mode &amp; Sideloading\WalkAndUnGZ.bat" "%USERPROFILE%\AppData\Local\Temp\OnboardLogs"\RTDC4029\2018-01-06 &amp; aws s3 cp s3://rtdc.mdm.uploadarchive.raw/RTDC4029/ "%USERPROFILE%\AppData\Local\Temp\OnboardLogs"\RTDC4029\2018-01-07 --exclude "*" --recursive --include "*20180107*" &amp; "%USERPROFILE%\Documents\GitHub\mrs-test-scripts\Headless Mode &amp; Sideloading\WalkAndUnGZ.bat" "%USERPROFILE%\AppData\Local\Temp\OnboardLogs"\RTDC4029\2018-01-07</v>
      </c>
      <c r="AF32" s="234" t="str">
        <f>astrogrep_path&amp;" /e /r /s /spath="&amp;search_path&amp;" /stypes=""app*"&amp;B32&amp;"*"&amp;TEXT(I32-utc_offset/24,"YYYYMMDD")&amp;"*"" /stext="" "&amp;TEXT(I32-utc_offset/24,"HH")&amp;search_regexp&amp;""""</f>
        <v>"C:\Program Files (x86)\AstroGrep\AstroGrep.exe" /e /r /s /spath="%USERPROFILE%\AppData\Local\Temp\OnboardLogs" /stypes="app*4029*20180106*" /stext=" 14:.+((SYSTEM_STATE.+slice.+state.+changed )|(ment ac)|(multiple cpu faults)|(system.+state.+changed )|(\[timeout)|(PRM\|1\|D)|(kpr)|(kdp)|(train st.+moving)|(\|lc)|(penalty))"</v>
      </c>
      <c r="AG32" s="244" t="str">
        <f>DetSubdiv(A32)</f>
        <v>EC</v>
      </c>
      <c r="AH32" s="236" t="str">
        <f t="shared" si="5"/>
        <v>"%USERPROFILE%\Documents\GitHub\eaglep3\Utilities\RefineRTDCRunTimes.py" --tripid 120-06 --locoid 4029 --swversion DE.1.0.9.0 --startMP 204:232877 --initTime 2018-01-06T06:38:34 --startdatetime 2018-01-06T06:57:14 --delay 51 --endMP 204:209 --enddatetime 2018-01-06T07:34:23 --enforcementcount 0 &gt;&gt;%USERPROFILE%\Documents\GitHub\eaglep3-reporting\EC\2018-01-06-refined-times.txt</v>
      </c>
      <c r="AI32" s="238" t="str">
        <f t="shared" si="6"/>
        <v>echo {"issue":{"subject":"","project_id":79,"tracker_id":40,"status_id":1,"priority_id":2,"assigned_to_id":338,"start_date":"2018-01-06","description":"","custom_fields":[{"id":1,"name":"Subdivision","value":"EC"},{"id":4,"name":"Milepost","value":"0.0209"},{"id":17,"name":"Train ID","value":"120-06"},{"id":16,"name":"Locomotive ID","value":"4029"},{"id":130,"name":"Impact","value":""},{"id":150,"name":"Time of Event (Mountain Time)","value":"07:34:23"},{"id":151,"name":"Denver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2" s="223"/>
      <c r="AK32" s="231"/>
      <c r="AL32" s="231"/>
      <c r="AM32" s="240" t="str">
        <f t="shared" si="7"/>
        <v>start /low /b %USERPROFILE%\Documents\GitHub\eaglep3\Utilities\DownloadLogsFromS3.py --loco 4029 --day 2018-01-06</v>
      </c>
      <c r="AN32" s="241" t="str">
        <f t="shared" si="8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14:34:23"},{"id":29,"name":"Sharepoint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 s="230" t="str">
        <f t="shared" si="9"/>
        <v>https://d0f6bd738d7f1b3e5a7ca70fe4ff75f0.us-east-1.aws.found.io/app/kibana#/discover/Steve-Slow-Train-Analysis-(2080s-and-2083s)?_g=(refreshInterval:(display:Off,pause:!f,section:0,value:0),time:(from:'2018-01-06T05:38:34-0700',mode:absolute,to:'2018-01-06T08:34:23-0700'))&amp;_a=(columns:!('Message%20ID',Summary),filters:!(),index:'emp_*',interval:auto,query:(query_string:(analyze_wildcard:!t,query:'%22rtdc.l.rtdc.4029%22')),sort:!(Time.ISO8601,asc))</v>
      </c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3">
      <c r="A33" s="229" t="s">
        <v>729</v>
      </c>
      <c r="B33" s="225">
        <v>4012</v>
      </c>
      <c r="C33" s="227" t="s">
        <v>192</v>
      </c>
      <c r="D33" s="227" t="s">
        <v>523</v>
      </c>
      <c r="E33" s="226">
        <v>43106.255856481483</v>
      </c>
      <c r="F33" s="226">
        <v>43106.260625000003</v>
      </c>
      <c r="G33" s="225">
        <v>68</v>
      </c>
      <c r="H33" s="227" t="s">
        <v>908</v>
      </c>
      <c r="I33" s="226">
        <v>43106.28460648148</v>
      </c>
      <c r="J33" s="225">
        <v>0</v>
      </c>
      <c r="K33" s="237" t="str">
        <f>IF(ISEVEN(B33),(B33-1)&amp;"/"&amp;B33,B33&amp;"/"&amp;(B33+1))</f>
        <v>4011/4012</v>
      </c>
      <c r="L33" s="245" t="str">
        <f>VLOOKUP(A33,'Trips&amp;Operators'!$C$1:$G$99911,5,FALSE)</f>
        <v>GEBRETEKLE DAGNEW</v>
      </c>
      <c r="M33" s="224">
        <f>I33-F33</f>
        <v>2.3981481477676425E-2</v>
      </c>
      <c r="N33" s="225">
        <f>24*60*SUM($M33:$M33)</f>
        <v>34.533333327854052</v>
      </c>
      <c r="O33" s="225"/>
      <c r="P33" s="225"/>
      <c r="Q33" s="228"/>
      <c r="R33" s="242"/>
      <c r="S33" s="249">
        <f>1/IF(AG33="EC",12,1)*SUM(U33:U33)</f>
        <v>1</v>
      </c>
      <c r="T33" s="242" t="str">
        <f>IF(ISEVEN(LEFT(AD33,4)),"Southbound","NorthBound")</f>
        <v>NorthBound</v>
      </c>
      <c r="U33" s="246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248" t="str">
        <f>"https://d0f6bd738d7f1b3e5a7ca70fe4ff75f0.us-east-1.aws.found.io/app/kibana#/discover/Steve-Slow-Train-Analysis-(2080s-and-2083s)?_g="&amp;"(refreshInterval:(display:Off,pause:!f,section:0,value:0),time:(from:'"&amp;TEXT(E33-1/24,"yyyy-MM-DDThh:mm:ss")&amp;utc_offset&amp;"00"&amp;"',mode:absolute,to:'"&amp;TEXT(I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33&amp;"%22')),sort:!(Time.ISO8601,asc))"</f>
        <v>https://d0f6bd738d7f1b3e5a7ca70fe4ff75f0.us-east-1.aws.found.io/app/kibana#/discover/Steve-Slow-Train-Analysis-(2080s-and-2083s)?_g=(refreshInterval:(display:Off,pause:!f,section:0,value:0),time:(from:'2018-01-06T05:08:26-0700',mode:absolute,to:'2018-01-06T07:49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33" s="247" t="str">
        <f>IF(AA33&lt;VLOOKUP(AG33,Variables!$AC$3:$AD$8,2,FALSE),"Y","N")</f>
        <v>N</v>
      </c>
      <c r="X33" s="247">
        <f>VALUE(LEFT(AD33,4))-VALUE(LEFT(AD32,4))</f>
        <v>1</v>
      </c>
      <c r="Y33" s="247">
        <f>RIGHT(D33,LEN(D33)-4)/10000</f>
        <v>4.4400000000000002E-2</v>
      </c>
      <c r="Z33" s="247">
        <f>RIGHT(H33,LEN(H33)-4)/10000</f>
        <v>23.330100000000002</v>
      </c>
      <c r="AA33" s="247">
        <f>ABS(Z33-Y33)</f>
        <v>23.285700000000002</v>
      </c>
      <c r="AB33" s="233" t="e">
        <f>VLOOKUP(A33,Enforcements!$C$7:$K$9,8,0)</f>
        <v>#N/A</v>
      </c>
      <c r="AC33" s="232" t="e">
        <f>VLOOKUP(A33,Enforcements!$C$7:$E$9,3,0)</f>
        <v>#N/A</v>
      </c>
      <c r="AD33" s="243">
        <f>VALUE(LEFT(A33,LEN(A33)-3))</f>
        <v>121</v>
      </c>
      <c r="AE33" s="235" t="str">
        <f>"aws s3 cp "&amp;s3_bucket&amp;"/RTDC"&amp;B33&amp;"/ "&amp;search_path&amp;"\RTDC"&amp;B33&amp;"\"&amp;TEXT(F33,"YYYY-MM-DD")&amp;" --exclude ""*"" --recursive --include ""*"&amp;TEXT(F33,"YYYYMMDD")&amp;"*"" &amp; """&amp;walkandungz&amp;""" "&amp;search_path&amp;"\RTDC"&amp;B33&amp;"\"&amp;TEXT(F33,"YYYY-MM-DD")
&amp;" &amp; "&amp;"aws s3 cp "&amp;s3_bucket&amp;"/RTDC"&amp;B33&amp;"/ "&amp;search_path&amp;"\RTDC"&amp;B33&amp;"\"&amp;TEXT(F33+1,"YYYY-MM-DD")&amp;" --exclude ""*"" --recursive --include ""*"&amp;TEXT(F33+1,"YYYYMMDD")&amp;"*"" &amp; """&amp;walkandungz&amp;""" "&amp;search_path&amp;"\RTDC"&amp;B33&amp;"\"&amp;TEXT(F33+1,"YYYY-MM-DD")</f>
        <v>aws s3 cp s3://rtdc.mdm.uploadarchive.raw/RTDC4012/ "%USERPROFILE%\AppData\Local\Temp\OnboardLogs"\RTDC4012\2018-01-06 --exclude "*" --recursive --include "*20180106*" &amp; "%USERPROFILE%\Documents\GitHub\mrs-test-scripts\Headless Mode &amp; Sideloading\WalkAndUnGZ.bat" "%USERPROFILE%\AppData\Local\Temp\OnboardLogs"\RTDC4012\2018-01-06 &amp; aws s3 cp s3://rtdc.mdm.uploadarchive.raw/RTDC4012/ "%USERPROFILE%\AppData\Local\Temp\OnboardLogs"\RTDC4012\2018-01-07 --exclude "*" --recursive --include "*20180107*" &amp; "%USERPROFILE%\Documents\GitHub\mrs-test-scripts\Headless Mode &amp; Sideloading\WalkAndUnGZ.bat" "%USERPROFILE%\AppData\Local\Temp\OnboardLogs"\RTDC4012\2018-01-07</v>
      </c>
      <c r="AF33" s="234" t="str">
        <f>astrogrep_path&amp;" /e /r /s /spath="&amp;search_path&amp;" /stypes=""app*"&amp;B33&amp;"*"&amp;TEXT(I33-utc_offset/24,"YYYYMMDD")&amp;"*"" /stext="" "&amp;TEXT(I33-utc_offset/24,"HH")&amp;search_regexp&amp;""""</f>
        <v>"C:\Program Files (x86)\AstroGrep\AstroGrep.exe" /e /r /s /spath="%USERPROFILE%\AppData\Local\Temp\OnboardLogs" /stypes="app*4012*20180106*" /stext=" 13:.+((SYSTEM_STATE.+slice.+state.+changed )|(ment ac)|(multiple cpu faults)|(system.+state.+changed )|(\[timeout)|(PRM\|1\|D)|(kpr)|(kdp)|(train st.+moving)|(\|lc)|(penalty))"</v>
      </c>
      <c r="AG33" s="244" t="str">
        <f>DetSubdiv(A33)</f>
        <v>EC</v>
      </c>
      <c r="AH33" s="236" t="str">
        <f t="shared" si="5"/>
        <v>"%USERPROFILE%\Documents\GitHub\eaglep3\Utilities\RefineRTDCRunTimes.py" --tripid 121-06 --locoid 4012 --swversion DE.1.0.9.0 --startMP 204:444 --initTime 2018-01-06T06:08:26 --startdatetime 2018-01-06T06:15:18 --delay 68 --endMP 204:233301 --enddatetime 2018-01-06T06:49:50 --enforcementcount 0 &gt;&gt;%USERPROFILE%\Documents\GitHub\eaglep3-reporting\EC\2018-01-06-refined-times.txt</v>
      </c>
      <c r="AI33" s="238" t="str">
        <f t="shared" si="6"/>
        <v>echo {"issue":{"subject":"","project_id":79,"tracker_id":40,"status_id":1,"priority_id":2,"assigned_to_id":338,"start_date":"2018-01-06","description":"","custom_fields":[{"id":1,"name":"Subdivision","value":"EC"},{"id":4,"name":"Milepost","value":"23.3301"},{"id":17,"name":"Train ID","value":"121-06"},{"id":16,"name":"Locomotive ID","value":"4012"},{"id":130,"name":"Impact","value":""},{"id":150,"name":"Time of Event (Mountain Time)","value":"06:49:50"},{"id":151,"name":"Denver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3" s="223"/>
      <c r="AK33" s="231"/>
      <c r="AL33" s="231"/>
      <c r="AM33" s="240" t="str">
        <f t="shared" si="7"/>
        <v>start /low /b %USERPROFILE%\Documents\GitHub\eaglep3\Utilities\DownloadLogsFromS3.py --loco 4012 --day 2018-01-06</v>
      </c>
      <c r="AN33" s="241" t="str">
        <f t="shared" si="8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13:49:50"},{"id":29,"name":"Sharepoint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 s="230" t="str">
        <f t="shared" si="9"/>
        <v>https://d0f6bd738d7f1b3e5a7ca70fe4ff75f0.us-east-1.aws.found.io/app/kibana#/discover/Steve-Slow-Train-Analysis-(2080s-and-2083s)?_g=(refreshInterval:(display:Off,pause:!f,section:0,value:0),time:(from:'2018-01-06T05:08:26-0700',mode:absolute,to:'2018-01-06T07:49:50-0700'))&amp;_a=(columns:!('Message%20ID',Summary),filters:!(),index:'emp_*',interval:auto,query:(query_string:(analyze_wildcard:!t,query:'%22rtdc.l.rtdc.4012%22')),sort:!(Time.ISO8601,asc))</v>
      </c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3">
      <c r="A34" s="229" t="s">
        <v>735</v>
      </c>
      <c r="B34" s="225">
        <v>4011</v>
      </c>
      <c r="C34" s="227" t="s">
        <v>192</v>
      </c>
      <c r="D34" s="227" t="s">
        <v>909</v>
      </c>
      <c r="E34" s="226">
        <v>43106.286076388889</v>
      </c>
      <c r="F34" s="226">
        <v>43106.300219907411</v>
      </c>
      <c r="G34" s="225">
        <v>59</v>
      </c>
      <c r="H34" s="227" t="s">
        <v>508</v>
      </c>
      <c r="I34" s="226">
        <v>43106.326631944445</v>
      </c>
      <c r="J34" s="225">
        <v>0</v>
      </c>
      <c r="K34" s="237" t="str">
        <f>IF(ISEVEN(B34),(B34-1)&amp;"/"&amp;B34,B34&amp;"/"&amp;(B34+1))</f>
        <v>4011/4012</v>
      </c>
      <c r="L34" s="245" t="str">
        <f>VLOOKUP(A34,'Trips&amp;Operators'!$C$1:$G$99911,5,FALSE)</f>
        <v>GEBRETEKLE DAGNEW</v>
      </c>
      <c r="M34" s="224">
        <f>I34-F34</f>
        <v>2.6412037033878732E-2</v>
      </c>
      <c r="N34" s="225">
        <f>24*60*SUM($M34:$M34)</f>
        <v>38.033333328785375</v>
      </c>
      <c r="O34" s="225"/>
      <c r="P34" s="225"/>
      <c r="Q34" s="228"/>
      <c r="R34" s="242"/>
      <c r="S34" s="249">
        <f>1/IF(AG34="EC",12,1)*SUM(U34:U34)</f>
        <v>1</v>
      </c>
      <c r="T34" s="242" t="str">
        <f>IF(ISEVEN(LEFT(AD34,4)),"Southbound","NorthBound")</f>
        <v>Southbound</v>
      </c>
      <c r="U34" s="246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248" t="str">
        <f>"https://d0f6bd738d7f1b3e5a7ca70fe4ff75f0.us-east-1.aws.found.io/app/kibana#/discover/Steve-Slow-Train-Analysis-(2080s-and-2083s)?_g="&amp;"(refreshInterval:(display:Off,pause:!f,section:0,value:0),time:(from:'"&amp;TEXT(E34-1/24,"yyyy-MM-DDThh:mm:ss")&amp;utc_offset&amp;"00"&amp;"',mode:absolute,to:'"&amp;TEXT(I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34&amp;"%22')),sort:!(Time.ISO8601,asc))"</f>
        <v>https://d0f6bd738d7f1b3e5a7ca70fe4ff75f0.us-east-1.aws.found.io/app/kibana#/discover/Steve-Slow-Train-Analysis-(2080s-and-2083s)?_g=(refreshInterval:(display:Off,pause:!f,section:0,value:0),time:(from:'2018-01-06T05:51:57-0700',mode:absolute,to:'2018-01-06T08:50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34" s="247" t="str">
        <f>IF(AA34&lt;VLOOKUP(AG34,Variables!$AC$3:$AD$8,2,FALSE),"Y","N")</f>
        <v>N</v>
      </c>
      <c r="X34" s="247">
        <f>VALUE(LEFT(AD34,4))-VALUE(LEFT(AD33,4))</f>
        <v>1</v>
      </c>
      <c r="Y34" s="247">
        <f>RIGHT(D34,LEN(D34)-4)/10000</f>
        <v>23.296700000000001</v>
      </c>
      <c r="Z34" s="247">
        <f>RIGHT(H34,LEN(H34)-4)/10000</f>
        <v>1.67E-2</v>
      </c>
      <c r="AA34" s="247">
        <f>ABS(Z34-Y34)</f>
        <v>23.28</v>
      </c>
      <c r="AB34" s="233" t="e">
        <f>VLOOKUP(A34,Enforcements!$C$7:$K$9,8,0)</f>
        <v>#N/A</v>
      </c>
      <c r="AC34" s="232" t="e">
        <f>VLOOKUP(A34,Enforcements!$C$7:$E$9,3,0)</f>
        <v>#N/A</v>
      </c>
      <c r="AD34" s="243">
        <f>VALUE(LEFT(A34,LEN(A34)-3))</f>
        <v>122</v>
      </c>
      <c r="AE34" s="235" t="str">
        <f>"aws s3 cp "&amp;s3_bucket&amp;"/RTDC"&amp;B34&amp;"/ "&amp;search_path&amp;"\RTDC"&amp;B34&amp;"\"&amp;TEXT(F34,"YYYY-MM-DD")&amp;" --exclude ""*"" --recursive --include ""*"&amp;TEXT(F34,"YYYYMMDD")&amp;"*"" &amp; """&amp;walkandungz&amp;""" "&amp;search_path&amp;"\RTDC"&amp;B34&amp;"\"&amp;TEXT(F34,"YYYY-MM-DD")
&amp;" &amp; "&amp;"aws s3 cp "&amp;s3_bucket&amp;"/RTDC"&amp;B34&amp;"/ "&amp;search_path&amp;"\RTDC"&amp;B34&amp;"\"&amp;TEXT(F34+1,"YYYY-MM-DD")&amp;" --exclude ""*"" --recursive --include ""*"&amp;TEXT(F34+1,"YYYYMMDD")&amp;"*"" &amp; """&amp;walkandungz&amp;""" "&amp;search_path&amp;"\RTDC"&amp;B34&amp;"\"&amp;TEXT(F34+1,"YYYY-MM-DD")</f>
        <v>aws s3 cp s3://rtdc.mdm.uploadarchive.raw/RTDC4011/ "%USERPROFILE%\AppData\Local\Temp\OnboardLogs"\RTDC4011\2018-01-06 --exclude "*" --recursive --include "*20180106*" &amp; "%USERPROFILE%\Documents\GitHub\mrs-test-scripts\Headless Mode &amp; Sideloading\WalkAndUnGZ.bat" "%USERPROFILE%\AppData\Local\Temp\OnboardLogs"\RTDC4011\2018-01-06 &amp; aws s3 cp s3://rtdc.mdm.uploadarchive.raw/RTDC4011/ "%USERPROFILE%\AppData\Local\Temp\OnboardLogs"\RTDC4011\2018-01-07 --exclude "*" --recursive --include "*20180107*" &amp; "%USERPROFILE%\Documents\GitHub\mrs-test-scripts\Headless Mode &amp; Sideloading\WalkAndUnGZ.bat" "%USERPROFILE%\AppData\Local\Temp\OnboardLogs"\RTDC4011\2018-01-07</v>
      </c>
      <c r="AF34" s="234" t="str">
        <f>astrogrep_path&amp;" /e /r /s /spath="&amp;search_path&amp;" /stypes=""app*"&amp;B34&amp;"*"&amp;TEXT(I34-utc_offset/24,"YYYYMMDD")&amp;"*"" /stext="" "&amp;TEXT(I34-utc_offset/24,"HH")&amp;search_regexp&amp;""""</f>
        <v>"C:\Program Files (x86)\AstroGrep\AstroGrep.exe" /e /r /s /spath="%USERPROFILE%\AppData\Local\Temp\OnboardLogs" /stypes="app*4011*20180106*" /stext=" 14:.+((SYSTEM_STATE.+slice.+state.+changed )|(ment ac)|(multiple cpu faults)|(system.+state.+changed )|(\[timeout)|(PRM\|1\|D)|(kpr)|(kdp)|(train st.+moving)|(\|lc)|(penalty))"</v>
      </c>
      <c r="AG34" s="244" t="str">
        <f>DetSubdiv(A34)</f>
        <v>EC</v>
      </c>
      <c r="AH34" s="236" t="str">
        <f t="shared" si="5"/>
        <v>"%USERPROFILE%\Documents\GitHub\eaglep3\Utilities\RefineRTDCRunTimes.py" --tripid 122-06 --locoid 4011 --swversion DE.1.0.9.0 --startMP 204:232967 --initTime 2018-01-06T06:51:57 --startdatetime 2018-01-06T07:12:19 --delay 59 --endMP 204:167 --enddatetime 2018-01-06T07:50:21 --enforcementcount 0 &gt;&gt;%USERPROFILE%\Documents\GitHub\eaglep3-reporting\EC\2018-01-06-refined-times.txt</v>
      </c>
      <c r="AI34" s="238" t="str">
        <f t="shared" si="6"/>
        <v>echo {"issue":{"subject":"","project_id":79,"tracker_id":40,"status_id":1,"priority_id":2,"assigned_to_id":338,"start_date":"2018-01-06","description":"","custom_fields":[{"id":1,"name":"Subdivision","value":"EC"},{"id":4,"name":"Milepost","value":"0.0167"},{"id":17,"name":"Train ID","value":"122-06"},{"id":16,"name":"Locomotive ID","value":"4011"},{"id":130,"name":"Impact","value":""},{"id":150,"name":"Time of Event (Mountain Time)","value":"07:50:21"},{"id":151,"name":"Denver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4" s="223"/>
      <c r="AK34" s="231"/>
      <c r="AL34" s="231"/>
      <c r="AM34" s="240" t="str">
        <f t="shared" si="7"/>
        <v>start /low /b %USERPROFILE%\Documents\GitHub\eaglep3\Utilities\DownloadLogsFromS3.py --loco 4011 --day 2018-01-06</v>
      </c>
      <c r="AN34" s="241" t="str">
        <f t="shared" si="8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14:50:21"},{"id":29,"name":"Sharepoint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 s="230" t="str">
        <f t="shared" si="9"/>
        <v>https://d0f6bd738d7f1b3e5a7ca70fe4ff75f0.us-east-1.aws.found.io/app/kibana#/discover/Steve-Slow-Train-Analysis-(2080s-and-2083s)?_g=(refreshInterval:(display:Off,pause:!f,section:0,value:0),time:(from:'2018-01-06T05:51:57-0700',mode:absolute,to:'2018-01-06T08:50:21-0700'))&amp;_a=(columns:!('Message%20ID',Summary),filters:!(),index:'emp_*',interval:auto,query:(query_string:(analyze_wildcard:!t,query:'%22rtdc.l.rtdc.4011%22')),sort:!(Time.ISO8601,asc))</v>
      </c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3">
      <c r="A35" s="229" t="s">
        <v>731</v>
      </c>
      <c r="B35" s="225">
        <v>4044</v>
      </c>
      <c r="C35" s="227" t="s">
        <v>192</v>
      </c>
      <c r="D35" s="227" t="s">
        <v>556</v>
      </c>
      <c r="E35" s="226">
        <v>43106.265416666669</v>
      </c>
      <c r="F35" s="226">
        <v>43106.270983796298</v>
      </c>
      <c r="G35" s="225">
        <v>62</v>
      </c>
      <c r="H35" s="227" t="s">
        <v>910</v>
      </c>
      <c r="I35" s="226">
        <v>43106.296886574077</v>
      </c>
      <c r="J35" s="225">
        <v>0</v>
      </c>
      <c r="K35" s="237" t="str">
        <f>IF(ISEVEN(B35),(B35-1)&amp;"/"&amp;B35,B35&amp;"/"&amp;(B35+1))</f>
        <v>4043/4044</v>
      </c>
      <c r="L35" s="245" t="str">
        <f>VLOOKUP(A35,'Trips&amp;Operators'!$C$1:$G$99911,5,FALSE)</f>
        <v>NEWELL JAMES</v>
      </c>
      <c r="M35" s="224">
        <f>I35-F35</f>
        <v>2.5902777779265307E-2</v>
      </c>
      <c r="N35" s="225">
        <f>24*60*SUM($M35:$M35)</f>
        <v>37.300000002142042</v>
      </c>
      <c r="O35" s="225"/>
      <c r="P35" s="225"/>
      <c r="Q35" s="228"/>
      <c r="R35" s="242"/>
      <c r="S35" s="249">
        <f>1/IF(AG35="EC",12,1)*SUM(U35:U35)</f>
        <v>1</v>
      </c>
      <c r="T35" s="242" t="str">
        <f>IF(ISEVEN(LEFT(AD35,4)),"Southbound","NorthBound")</f>
        <v>NorthBound</v>
      </c>
      <c r="U35" s="246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248" t="str">
        <f>"https://d0f6bd738d7f1b3e5a7ca70fe4ff75f0.us-east-1.aws.found.io/app/kibana#/discover/Steve-Slow-Train-Analysis-(2080s-and-2083s)?_g="&amp;"(refreshInterval:(display:Off,pause:!f,section:0,value:0),time:(from:'"&amp;TEXT(E35-1/24,"yyyy-MM-DDThh:mm:ss")&amp;utc_offset&amp;"00"&amp;"',mode:absolute,to:'"&amp;TEXT(I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35&amp;"%22')),sort:!(Time.ISO8601,asc))"</f>
        <v>https://d0f6bd738d7f1b3e5a7ca70fe4ff75f0.us-east-1.aws.found.io/app/kibana#/discover/Steve-Slow-Train-Analysis-(2080s-and-2083s)?_g=(refreshInterval:(display:Off,pause:!f,section:0,value:0),time:(from:'2018-01-06T05:22:12-0700',mode:absolute,to:'2018-01-06T08:07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35" s="247" t="str">
        <f>IF(AA35&lt;VLOOKUP(AG35,Variables!$AC$3:$AD$8,2,FALSE),"Y","N")</f>
        <v>N</v>
      </c>
      <c r="X35" s="247">
        <f>VALUE(LEFT(AD35,4))-VALUE(LEFT(AD34,4))</f>
        <v>1</v>
      </c>
      <c r="Y35" s="247">
        <f>RIGHT(D35,LEN(D35)-4)/10000</f>
        <v>4.3799999999999999E-2</v>
      </c>
      <c r="Z35" s="247">
        <f>RIGHT(H35,LEN(H35)-4)/10000</f>
        <v>23.328700000000001</v>
      </c>
      <c r="AA35" s="247">
        <f>ABS(Z35-Y35)</f>
        <v>23.2849</v>
      </c>
      <c r="AB35" s="233" t="e">
        <f>VLOOKUP(A35,Enforcements!$C$7:$K$9,8,0)</f>
        <v>#N/A</v>
      </c>
      <c r="AC35" s="232" t="e">
        <f>VLOOKUP(A35,Enforcements!$C$7:$E$9,3,0)</f>
        <v>#N/A</v>
      </c>
      <c r="AD35" s="243">
        <f>VALUE(LEFT(A35,LEN(A35)-3))</f>
        <v>123</v>
      </c>
      <c r="AE35" s="235" t="str">
        <f>"aws s3 cp "&amp;s3_bucket&amp;"/RTDC"&amp;B35&amp;"/ "&amp;search_path&amp;"\RTDC"&amp;B35&amp;"\"&amp;TEXT(F35,"YYYY-MM-DD")&amp;" --exclude ""*"" --recursive --include ""*"&amp;TEXT(F35,"YYYYMMDD")&amp;"*"" &amp; """&amp;walkandungz&amp;""" "&amp;search_path&amp;"\RTDC"&amp;B35&amp;"\"&amp;TEXT(F35,"YYYY-MM-DD")
&amp;" &amp; "&amp;"aws s3 cp "&amp;s3_bucket&amp;"/RTDC"&amp;B35&amp;"/ "&amp;search_path&amp;"\RTDC"&amp;B35&amp;"\"&amp;TEXT(F35+1,"YYYY-MM-DD")&amp;" --exclude ""*"" --recursive --include ""*"&amp;TEXT(F35+1,"YYYYMMDD")&amp;"*"" &amp; """&amp;walkandungz&amp;""" "&amp;search_path&amp;"\RTDC"&amp;B35&amp;"\"&amp;TEXT(F35+1,"YYYY-MM-DD")</f>
        <v>aws s3 cp s3://rtdc.mdm.uploadarchive.raw/RTDC4044/ "%USERPROFILE%\AppData\Local\Temp\OnboardLogs"\RTDC4044\2018-01-06 --exclude "*" --recursive --include "*20180106*" &amp; "%USERPROFILE%\Documents\GitHub\mrs-test-scripts\Headless Mode &amp; Sideloading\WalkAndUnGZ.bat" "%USERPROFILE%\AppData\Local\Temp\OnboardLogs"\RTDC4044\2018-01-06 &amp; aws s3 cp s3://rtdc.mdm.uploadarchive.raw/RTDC4044/ "%USERPROFILE%\AppData\Local\Temp\OnboardLogs"\RTDC4044\2018-01-07 --exclude "*" --recursive --include "*20180107*" &amp; "%USERPROFILE%\Documents\GitHub\mrs-test-scripts\Headless Mode &amp; Sideloading\WalkAndUnGZ.bat" "%USERPROFILE%\AppData\Local\Temp\OnboardLogs"\RTDC4044\2018-01-07</v>
      </c>
      <c r="AF35" s="234" t="str">
        <f>astrogrep_path&amp;" /e /r /s /spath="&amp;search_path&amp;" /stypes=""app*"&amp;B35&amp;"*"&amp;TEXT(I35-utc_offset/24,"YYYYMMDD")&amp;"*"" /stext="" "&amp;TEXT(I35-utc_offset/24,"HH")&amp;search_regexp&amp;""""</f>
        <v>"C:\Program Files (x86)\AstroGrep\AstroGrep.exe" /e /r /s /spath="%USERPROFILE%\AppData\Local\Temp\OnboardLogs" /stypes="app*4044*20180106*" /stext=" 14:.+((SYSTEM_STATE.+slice.+state.+changed )|(ment ac)|(multiple cpu faults)|(system.+state.+changed )|(\[timeout)|(PRM\|1\|D)|(kpr)|(kdp)|(train st.+moving)|(\|lc)|(penalty))"</v>
      </c>
      <c r="AG35" s="244" t="str">
        <f>DetSubdiv(A35)</f>
        <v>EC</v>
      </c>
      <c r="AH35" s="236" t="str">
        <f t="shared" si="5"/>
        <v>"%USERPROFILE%\Documents\GitHub\eaglep3\Utilities\RefineRTDCRunTimes.py" --tripid 123-06 --locoid 4044 --swversion DE.1.0.9.0 --startMP 204:438 --initTime 2018-01-06T06:22:12 --startdatetime 2018-01-06T06:30:13 --delay 62 --endMP 204:233287 --enddatetime 2018-01-06T07:07:31 --enforcementcount 0 &gt;&gt;%USERPROFILE%\Documents\GitHub\eaglep3-reporting\EC\2018-01-06-refined-times.txt</v>
      </c>
      <c r="AI35" s="238" t="str">
        <f t="shared" si="6"/>
        <v>echo {"issue":{"subject":"","project_id":79,"tracker_id":40,"status_id":1,"priority_id":2,"assigned_to_id":338,"start_date":"2018-01-06","description":"","custom_fields":[{"id":1,"name":"Subdivision","value":"EC"},{"id":4,"name":"Milepost","value":"23.3287"},{"id":17,"name":"Train ID","value":"123-06"},{"id":16,"name":"Locomotive ID","value":"4044"},{"id":130,"name":"Impact","value":""},{"id":150,"name":"Time of Event (Mountain Time)","value":"07:07:31"},{"id":151,"name":"Denver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5" s="223"/>
      <c r="AK35" s="231"/>
      <c r="AL35" s="231"/>
      <c r="AM35" s="240" t="str">
        <f t="shared" si="7"/>
        <v>start /low /b %USERPROFILE%\Documents\GitHub\eaglep3\Utilities\DownloadLogsFromS3.py --loco 4044 --day 2018-01-06</v>
      </c>
      <c r="AN35" s="241" t="str">
        <f t="shared" si="8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14:07:31"},{"id":29,"name":"Sharepoint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 s="230" t="str">
        <f t="shared" si="9"/>
        <v>https://d0f6bd738d7f1b3e5a7ca70fe4ff75f0.us-east-1.aws.found.io/app/kibana#/discover/Steve-Slow-Train-Analysis-(2080s-and-2083s)?_g=(refreshInterval:(display:Off,pause:!f,section:0,value:0),time:(from:'2018-01-06T05:22:12-0700',mode:absolute,to:'2018-01-06T08:07:31-0700'))&amp;_a=(columns:!('Message%20ID',Summary),filters:!(),index:'emp_*',interval:auto,query:(query_string:(analyze_wildcard:!t,query:'%22rtdc.l.rtdc.4044%22')),sort:!(Time.ISO8601,asc))</v>
      </c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3">
      <c r="A36" s="229" t="s">
        <v>664</v>
      </c>
      <c r="B36" s="225">
        <v>4043</v>
      </c>
      <c r="C36" s="227" t="s">
        <v>192</v>
      </c>
      <c r="D36" s="227" t="s">
        <v>911</v>
      </c>
      <c r="E36" s="226">
        <v>43106.300868055558</v>
      </c>
      <c r="F36" s="226">
        <v>43106.310578703706</v>
      </c>
      <c r="G36" s="225">
        <v>336</v>
      </c>
      <c r="H36" s="227" t="s">
        <v>912</v>
      </c>
      <c r="I36" s="226">
        <v>43106.336342592593</v>
      </c>
      <c r="J36" s="225">
        <v>0</v>
      </c>
      <c r="K36" s="237" t="str">
        <f>IF(ISEVEN(B36),(B36-1)&amp;"/"&amp;B36,B36&amp;"/"&amp;(B36+1))</f>
        <v>4043/4044</v>
      </c>
      <c r="L36" s="245" t="str">
        <f>VLOOKUP(A36,'Trips&amp;Operators'!$C$1:$G$99911,5,FALSE)</f>
        <v>NEWELL JAMES</v>
      </c>
      <c r="M36" s="224">
        <f>I36-F36</f>
        <v>2.5763888887013309E-2</v>
      </c>
      <c r="N36" s="225">
        <f>24*60*SUM($M36:$M36)</f>
        <v>37.099999997299165</v>
      </c>
      <c r="O36" s="225"/>
      <c r="P36" s="225"/>
      <c r="Q36" s="228"/>
      <c r="R36" s="242"/>
      <c r="S36" s="249">
        <f>1/IF(AG36="EC",12,1)*SUM(U36:U36)</f>
        <v>1</v>
      </c>
      <c r="T36" s="242" t="str">
        <f>IF(ISEVEN(LEFT(AD36,4)),"Southbound","NorthBound")</f>
        <v>Southbound</v>
      </c>
      <c r="U36" s="246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248" t="str">
        <f>"https://d0f6bd738d7f1b3e5a7ca70fe4ff75f0.us-east-1.aws.found.io/app/kibana#/discover/Steve-Slow-Train-Analysis-(2080s-and-2083s)?_g="&amp;"(refreshInterval:(display:Off,pause:!f,section:0,value:0),time:(from:'"&amp;TEXT(E36-1/24,"yyyy-MM-DDThh:mm:ss")&amp;utc_offset&amp;"00"&amp;"',mode:absolute,to:'"&amp;TEXT(I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36&amp;"%22')),sort:!(Time.ISO8601,asc))"</f>
        <v>https://d0f6bd738d7f1b3e5a7ca70fe4ff75f0.us-east-1.aws.found.io/app/kibana#/discover/Steve-Slow-Train-Analysis-(2080s-and-2083s)?_g=(refreshInterval:(display:Off,pause:!f,section:0,value:0),time:(from:'2018-01-06T06:13:15-0700',mode:absolute,to:'2018-01-06T09:04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36" s="247" t="str">
        <f>IF(AA36&lt;VLOOKUP(AG36,Variables!$AC$3:$AD$8,2,FALSE),"Y","N")</f>
        <v>N</v>
      </c>
      <c r="X36" s="247">
        <f>VALUE(LEFT(AD36,4))-VALUE(LEFT(AD35,4))</f>
        <v>1</v>
      </c>
      <c r="Y36" s="247">
        <f>RIGHT(D36,LEN(D36)-4)/10000</f>
        <v>23.2974</v>
      </c>
      <c r="Z36" s="247">
        <f>RIGHT(H36,LEN(H36)-4)/10000</f>
        <v>1.32E-2</v>
      </c>
      <c r="AA36" s="247">
        <f>ABS(Z36-Y36)</f>
        <v>23.284199999999998</v>
      </c>
      <c r="AB36" s="233" t="e">
        <f>VLOOKUP(A36,Enforcements!$C$7:$K$9,8,0)</f>
        <v>#N/A</v>
      </c>
      <c r="AC36" s="232" t="e">
        <f>VLOOKUP(A36,Enforcements!$C$7:$E$9,3,0)</f>
        <v>#N/A</v>
      </c>
      <c r="AD36" s="243">
        <f>VALUE(LEFT(A36,LEN(A36)-3))</f>
        <v>124</v>
      </c>
      <c r="AE36" s="235" t="str">
        <f>"aws s3 cp "&amp;s3_bucket&amp;"/RTDC"&amp;B36&amp;"/ "&amp;search_path&amp;"\RTDC"&amp;B36&amp;"\"&amp;TEXT(F36,"YYYY-MM-DD")&amp;" --exclude ""*"" --recursive --include ""*"&amp;TEXT(F36,"YYYYMMDD")&amp;"*"" &amp; """&amp;walkandungz&amp;""" "&amp;search_path&amp;"\RTDC"&amp;B36&amp;"\"&amp;TEXT(F36,"YYYY-MM-DD")
&amp;" &amp; "&amp;"aws s3 cp "&amp;s3_bucket&amp;"/RTDC"&amp;B36&amp;"/ "&amp;search_path&amp;"\RTDC"&amp;B36&amp;"\"&amp;TEXT(F36+1,"YYYY-MM-DD")&amp;" --exclude ""*"" --recursive --include ""*"&amp;TEXT(F36+1,"YYYYMMDD")&amp;"*"" &amp; """&amp;walkandungz&amp;""" "&amp;search_path&amp;"\RTDC"&amp;B36&amp;"\"&amp;TEXT(F36+1,"YYYY-MM-DD")</f>
        <v>aws s3 cp s3://rtdc.mdm.uploadarchive.raw/RTDC4043/ "%USERPROFILE%\AppData\Local\Temp\OnboardLogs"\RTDC4043\2018-01-06 --exclude "*" --recursive --include "*20180106*" &amp; "%USERPROFILE%\Documents\GitHub\mrs-test-scripts\Headless Mode &amp; Sideloading\WalkAndUnGZ.bat" "%USERPROFILE%\AppData\Local\Temp\OnboardLogs"\RTDC4043\2018-01-06 &amp; aws s3 cp s3://rtdc.mdm.uploadarchive.raw/RTDC4043/ "%USERPROFILE%\AppData\Local\Temp\OnboardLogs"\RTDC4043\2018-01-07 --exclude "*" --recursive --include "*20180107*" &amp; "%USERPROFILE%\Documents\GitHub\mrs-test-scripts\Headless Mode &amp; Sideloading\WalkAndUnGZ.bat" "%USERPROFILE%\AppData\Local\Temp\OnboardLogs"\RTDC4043\2018-01-07</v>
      </c>
      <c r="AF36" s="234" t="str">
        <f>astrogrep_path&amp;" /e /r /s /spath="&amp;search_path&amp;" /stypes=""app*"&amp;B36&amp;"*"&amp;TEXT(I36-utc_offset/24,"YYYYMMDD")&amp;"*"" /stext="" "&amp;TEXT(I36-utc_offset/24,"HH")&amp;search_regexp&amp;""""</f>
        <v>"C:\Program Files (x86)\AstroGrep\AstroGrep.exe" /e /r /s /spath="%USERPROFILE%\AppData\Local\Temp\OnboardLogs" /stypes="app*4043*20180106*" /stext=" 15:.+((SYSTEM_STATE.+slice.+state.+changed )|(ment ac)|(multiple cpu faults)|(system.+state.+changed )|(\[timeout)|(PRM\|1\|D)|(kpr)|(kdp)|(train st.+moving)|(\|lc)|(penalty))"</v>
      </c>
      <c r="AG36" s="244" t="str">
        <f>DetSubdiv(A36)</f>
        <v>EC</v>
      </c>
      <c r="AH36" s="236" t="str">
        <f t="shared" si="5"/>
        <v>"%USERPROFILE%\Documents\GitHub\eaglep3\Utilities\RefineRTDCRunTimes.py" --tripid 124-06 --locoid 4043 --swversion DE.1.0.9.0 --startMP 204:232974 --initTime 2018-01-06T07:13:15 --startdatetime 2018-01-06T07:27:14 --delay 336 --endMP 204:132 --enddatetime 2018-01-06T08:04:20 --enforcementcount 0 &gt;&gt;%USERPROFILE%\Documents\GitHub\eaglep3-reporting\EC\2018-01-06-refined-times.txt</v>
      </c>
      <c r="AI36" s="238" t="str">
        <f t="shared" si="6"/>
        <v>echo {"issue":{"subject":"","project_id":79,"tracker_id":40,"status_id":1,"priority_id":2,"assigned_to_id":338,"start_date":"2018-01-06","description":"","custom_fields":[{"id":1,"name":"Subdivision","value":"EC"},{"id":4,"name":"Milepost","value":"0.0132"},{"id":17,"name":"Train ID","value":"124-06"},{"id":16,"name":"Locomotive ID","value":"4043"},{"id":130,"name":"Impact","value":""},{"id":150,"name":"Time of Event (Mountain Time)","value":"08:04:20"},{"id":151,"name":"Denver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6" s="223"/>
      <c r="AK36" s="231"/>
      <c r="AL36" s="231"/>
      <c r="AM36" s="240" t="str">
        <f t="shared" si="7"/>
        <v>start /low /b %USERPROFILE%\Documents\GitHub\eaglep3\Utilities\DownloadLogsFromS3.py --loco 4043 --day 2018-01-06</v>
      </c>
      <c r="AN36" s="241" t="str">
        <f t="shared" si="8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15:04:20"},{"id":29,"name":"Sharepoint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 s="230" t="str">
        <f t="shared" si="9"/>
        <v>https://d0f6bd738d7f1b3e5a7ca70fe4ff75f0.us-east-1.aws.found.io/app/kibana#/discover/Steve-Slow-Train-Analysis-(2080s-and-2083s)?_g=(refreshInterval:(display:Off,pause:!f,section:0,value:0),time:(from:'2018-01-06T06:13:15-0700',mode:absolute,to:'2018-01-06T09:04:20-0700'))&amp;_a=(columns:!('Message%20ID',Summary),filters:!(),index:'emp_*',interval:auto,query:(query_string:(analyze_wildcard:!t,query:'%22rtdc.l.rtdc.4043%22')),sort:!(Time.ISO8601,asc))</v>
      </c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3">
      <c r="A37" s="229" t="s">
        <v>661</v>
      </c>
      <c r="B37" s="225">
        <v>4018</v>
      </c>
      <c r="C37" s="227" t="s">
        <v>192</v>
      </c>
      <c r="D37" s="227" t="s">
        <v>570</v>
      </c>
      <c r="E37" s="226">
        <v>43106.279629629629</v>
      </c>
      <c r="F37" s="226">
        <v>43106.281504629631</v>
      </c>
      <c r="G37" s="225">
        <v>71</v>
      </c>
      <c r="H37" s="227" t="s">
        <v>549</v>
      </c>
      <c r="I37" s="226">
        <v>43106.307106481479</v>
      </c>
      <c r="J37" s="225">
        <v>0</v>
      </c>
      <c r="K37" s="237" t="str">
        <f>IF(ISEVEN(B37),(B37-1)&amp;"/"&amp;B37,B37&amp;"/"&amp;(B37+1))</f>
        <v>4017/4018</v>
      </c>
      <c r="L37" s="245" t="str">
        <f>VLOOKUP(A37,'Trips&amp;Operators'!$C$1:$G$99911,5,FALSE)</f>
        <v>THOMPSON LESTER</v>
      </c>
      <c r="M37" s="224">
        <f>I37-F37</f>
        <v>2.5601851848477963E-2</v>
      </c>
      <c r="N37" s="225">
        <f>24*60*SUM($M37:$M37)</f>
        <v>36.866666661808267</v>
      </c>
      <c r="O37" s="225"/>
      <c r="P37" s="225"/>
      <c r="Q37" s="228"/>
      <c r="R37" s="242"/>
      <c r="S37" s="249">
        <f>1/IF(AG37="EC",12,1)*SUM(U37:U37)</f>
        <v>1</v>
      </c>
      <c r="T37" s="242" t="str">
        <f>IF(ISEVEN(LEFT(AD37,4)),"Southbound","NorthBound")</f>
        <v>NorthBound</v>
      </c>
      <c r="U37" s="246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248" t="str">
        <f>"https://d0f6bd738d7f1b3e5a7ca70fe4ff75f0.us-east-1.aws.found.io/app/kibana#/discover/Steve-Slow-Train-Analysis-(2080s-and-2083s)?_g="&amp;"(refreshInterval:(display:Off,pause:!f,section:0,value:0),time:(from:'"&amp;TEXT(E37-1/24,"yyyy-MM-DDThh:mm:ss")&amp;utc_offset&amp;"00"&amp;"',mode:absolute,to:'"&amp;TEXT(I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37&amp;"%22')),sort:!(Time.ISO8601,asc))"</f>
        <v>https://d0f6bd738d7f1b3e5a7ca70fe4ff75f0.us-east-1.aws.found.io/app/kibana#/discover/Steve-Slow-Train-Analysis-(2080s-and-2083s)?_g=(refreshInterval:(display:Off,pause:!f,section:0,value:0),time:(from:'2018-01-06T05:42:40-0700',mode:absolute,to:'2018-01-06T08:22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37" s="247" t="str">
        <f>IF(AA37&lt;VLOOKUP(AG37,Variables!$AC$3:$AD$8,2,FALSE),"Y","N")</f>
        <v>N</v>
      </c>
      <c r="X37" s="247">
        <f>VALUE(LEFT(AD37,4))-VALUE(LEFT(AD36,4))</f>
        <v>1</v>
      </c>
      <c r="Y37" s="247">
        <f>RIGHT(D37,LEN(D37)-4)/10000</f>
        <v>5.1299999999999998E-2</v>
      </c>
      <c r="Z37" s="247">
        <f>RIGHT(H37,LEN(H37)-4)/10000</f>
        <v>23.325099999999999</v>
      </c>
      <c r="AA37" s="247">
        <f>ABS(Z37-Y37)</f>
        <v>23.273799999999998</v>
      </c>
      <c r="AB37" s="233" t="e">
        <f>VLOOKUP(A37,Enforcements!$C$7:$K$9,8,0)</f>
        <v>#N/A</v>
      </c>
      <c r="AC37" s="232" t="e">
        <f>VLOOKUP(A37,Enforcements!$C$7:$E$9,3,0)</f>
        <v>#N/A</v>
      </c>
      <c r="AD37" s="243">
        <f>VALUE(LEFT(A37,LEN(A37)-3))</f>
        <v>125</v>
      </c>
      <c r="AE37" s="235" t="str">
        <f>"aws s3 cp "&amp;s3_bucket&amp;"/RTDC"&amp;B37&amp;"/ "&amp;search_path&amp;"\RTDC"&amp;B37&amp;"\"&amp;TEXT(F37,"YYYY-MM-DD")&amp;" --exclude ""*"" --recursive --include ""*"&amp;TEXT(F37,"YYYYMMDD")&amp;"*"" &amp; """&amp;walkandungz&amp;""" "&amp;search_path&amp;"\RTDC"&amp;B37&amp;"\"&amp;TEXT(F37,"YYYY-MM-DD")
&amp;" &amp; "&amp;"aws s3 cp "&amp;s3_bucket&amp;"/RTDC"&amp;B37&amp;"/ "&amp;search_path&amp;"\RTDC"&amp;B37&amp;"\"&amp;TEXT(F37+1,"YYYY-MM-DD")&amp;" --exclude ""*"" --recursive --include ""*"&amp;TEXT(F37+1,"YYYYMMDD")&amp;"*"" &amp; """&amp;walkandungz&amp;""" "&amp;search_path&amp;"\RTDC"&amp;B37&amp;"\"&amp;TEXT(F37+1,"YYYY-MM-DD")</f>
        <v>aws s3 cp s3://rtdc.mdm.uploadarchive.raw/RTDC4018/ "%USERPROFILE%\AppData\Local\Temp\OnboardLogs"\RTDC4018\2018-01-06 --exclude "*" --recursive --include "*20180106*" &amp; "%USERPROFILE%\Documents\GitHub\mrs-test-scripts\Headless Mode &amp; Sideloading\WalkAndUnGZ.bat" "%USERPROFILE%\AppData\Local\Temp\OnboardLogs"\RTDC4018\2018-01-06 &amp; aws s3 cp s3://rtdc.mdm.uploadarchive.raw/RTDC4018/ "%USERPROFILE%\AppData\Local\Temp\OnboardLogs"\RTDC4018\2018-01-07 --exclude "*" --recursive --include "*20180107*" &amp; "%USERPROFILE%\Documents\GitHub\mrs-test-scripts\Headless Mode &amp; Sideloading\WalkAndUnGZ.bat" "%USERPROFILE%\AppData\Local\Temp\OnboardLogs"\RTDC4018\2018-01-07</v>
      </c>
      <c r="AF37" s="234" t="str">
        <f>astrogrep_path&amp;" /e /r /s /spath="&amp;search_path&amp;" /stypes=""app*"&amp;B37&amp;"*"&amp;TEXT(I37-utc_offset/24,"YYYYMMDD")&amp;"*"" /stext="" "&amp;TEXT(I37-utc_offset/24,"HH")&amp;search_regexp&amp;""""</f>
        <v>"C:\Program Files (x86)\AstroGrep\AstroGrep.exe" /e /r /s /spath="%USERPROFILE%\AppData\Local\Temp\OnboardLogs" /stypes="app*4018*20180106*" /stext=" 14:.+((SYSTEM_STATE.+slice.+state.+changed )|(ment ac)|(multiple cpu faults)|(system.+state.+changed )|(\[timeout)|(PRM\|1\|D)|(kpr)|(kdp)|(train st.+moving)|(\|lc)|(penalty))"</v>
      </c>
      <c r="AG37" s="244" t="str">
        <f>DetSubdiv(A37)</f>
        <v>EC</v>
      </c>
      <c r="AH37" s="236" t="str">
        <f t="shared" si="5"/>
        <v>"%USERPROFILE%\Documents\GitHub\eaglep3\Utilities\RefineRTDCRunTimes.py" --tripid 125-06 --locoid 4018 --swversion DE.1.0.9.0 --startMP 204:513 --initTime 2018-01-06T06:42:40 --startdatetime 2018-01-06T06:45:22 --delay 71 --endMP 204:233251 --enddatetime 2018-01-06T07:22:14 --enforcementcount 0 &gt;&gt;%USERPROFILE%\Documents\GitHub\eaglep3-reporting\EC\2018-01-06-refined-times.txt</v>
      </c>
      <c r="AI37" s="238" t="str">
        <f t="shared" si="6"/>
        <v>echo {"issue":{"subject":"","project_id":79,"tracker_id":40,"status_id":1,"priority_id":2,"assigned_to_id":338,"start_date":"2018-01-06","description":"","custom_fields":[{"id":1,"name":"Subdivision","value":"EC"},{"id":4,"name":"Milepost","value":"23.3251"},{"id":17,"name":"Train ID","value":"125-06"},{"id":16,"name":"Locomotive ID","value":"4018"},{"id":130,"name":"Impact","value":""},{"id":150,"name":"Time of Event (Mountain Time)","value":"07:22:14"},{"id":151,"name":"Denver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7" s="223"/>
      <c r="AK37" s="231"/>
      <c r="AL37" s="231"/>
      <c r="AM37" s="240" t="str">
        <f t="shared" si="7"/>
        <v>start /low /b %USERPROFILE%\Documents\GitHub\eaglep3\Utilities\DownloadLogsFromS3.py --loco 4018 --day 2018-01-06</v>
      </c>
      <c r="AN37" s="241" t="str">
        <f t="shared" si="8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14:22:14"},{"id":29,"name":"Sharepoint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 s="230" t="str">
        <f t="shared" si="9"/>
        <v>https://d0f6bd738d7f1b3e5a7ca70fe4ff75f0.us-east-1.aws.found.io/app/kibana#/discover/Steve-Slow-Train-Analysis-(2080s-and-2083s)?_g=(refreshInterval:(display:Off,pause:!f,section:0,value:0),time:(from:'2018-01-06T05:42:40-0700',mode:absolute,to:'2018-01-06T08:22:14-0700'))&amp;_a=(columns:!('Message%20ID',Summary),filters:!(),index:'emp_*',interval:auto,query:(query_string:(analyze_wildcard:!t,query:'%22rtdc.l.rtdc.4018%22')),sort:!(Time.ISO8601,asc))</v>
      </c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3">
      <c r="A38" s="229" t="s">
        <v>666</v>
      </c>
      <c r="B38" s="225">
        <v>4017</v>
      </c>
      <c r="C38" s="227" t="s">
        <v>192</v>
      </c>
      <c r="D38" s="227" t="s">
        <v>913</v>
      </c>
      <c r="E38" s="226">
        <v>43106.31962962963</v>
      </c>
      <c r="F38" s="226">
        <v>43106.321157407408</v>
      </c>
      <c r="G38" s="225">
        <v>60</v>
      </c>
      <c r="H38" s="227" t="s">
        <v>624</v>
      </c>
      <c r="I38" s="226">
        <v>43106.347500000003</v>
      </c>
      <c r="J38" s="225">
        <v>0</v>
      </c>
      <c r="K38" s="237" t="str">
        <f>IF(ISEVEN(B38),(B38-1)&amp;"/"&amp;B38,B38&amp;"/"&amp;(B38+1))</f>
        <v>4017/4018</v>
      </c>
      <c r="L38" s="245" t="str">
        <f>VLOOKUP(A38,'Trips&amp;Operators'!$C$1:$G$99911,5,FALSE)</f>
        <v>THOMPSON LESTER</v>
      </c>
      <c r="M38" s="224">
        <f>I38-F38</f>
        <v>2.6342592595028691E-2</v>
      </c>
      <c r="N38" s="225">
        <f>24*60*SUM($M38:$M38)</f>
        <v>37.933333336841315</v>
      </c>
      <c r="O38" s="225"/>
      <c r="P38" s="225"/>
      <c r="Q38" s="228"/>
      <c r="R38" s="242"/>
      <c r="S38" s="249">
        <f>1/IF(AG38="EC",12,1)*SUM(U38:U38)</f>
        <v>1</v>
      </c>
      <c r="T38" s="242" t="str">
        <f>IF(ISEVEN(LEFT(AD38,4)),"Southbound","NorthBound")</f>
        <v>Southbound</v>
      </c>
      <c r="U38" s="246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248" t="str">
        <f>"https://d0f6bd738d7f1b3e5a7ca70fe4ff75f0.us-east-1.aws.found.io/app/kibana#/discover/Steve-Slow-Train-Analysis-(2080s-and-2083s)?_g="&amp;"(refreshInterval:(display:Off,pause:!f,section:0,value:0),time:(from:'"&amp;TEXT(E38-1/24,"yyyy-MM-DDThh:mm:ss")&amp;utc_offset&amp;"00"&amp;"',mode:absolute,to:'"&amp;TEXT(I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38&amp;"%22')),sort:!(Time.ISO8601,asc))"</f>
        <v>https://d0f6bd738d7f1b3e5a7ca70fe4ff75f0.us-east-1.aws.found.io/app/kibana#/discover/Steve-Slow-Train-Analysis-(2080s-and-2083s)?_g=(refreshInterval:(display:Off,pause:!f,section:0,value:0),time:(from:'2018-01-06T06:40:16-0700',mode:absolute,to:'2018-01-06T09:20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38" s="247" t="str">
        <f>IF(AA38&lt;VLOOKUP(AG38,Variables!$AC$3:$AD$8,2,FALSE),"Y","N")</f>
        <v>N</v>
      </c>
      <c r="X38" s="247">
        <f>VALUE(LEFT(AD38,4))-VALUE(LEFT(AD37,4))</f>
        <v>1</v>
      </c>
      <c r="Y38" s="247">
        <f>RIGHT(D38,LEN(D38)-4)/10000</f>
        <v>23.294</v>
      </c>
      <c r="Z38" s="247">
        <f>RIGHT(H38,LEN(H38)-4)/10000</f>
        <v>1.8700000000000001E-2</v>
      </c>
      <c r="AA38" s="247">
        <f>ABS(Z38-Y38)</f>
        <v>23.275300000000001</v>
      </c>
      <c r="AB38" s="233" t="e">
        <f>VLOOKUP(A38,Enforcements!$C$7:$K$9,8,0)</f>
        <v>#N/A</v>
      </c>
      <c r="AC38" s="232" t="e">
        <f>VLOOKUP(A38,Enforcements!$C$7:$E$9,3,0)</f>
        <v>#N/A</v>
      </c>
      <c r="AD38" s="243">
        <f>VALUE(LEFT(A38,LEN(A38)-3))</f>
        <v>126</v>
      </c>
      <c r="AE38" s="235" t="str">
        <f>"aws s3 cp "&amp;s3_bucket&amp;"/RTDC"&amp;B38&amp;"/ "&amp;search_path&amp;"\RTDC"&amp;B38&amp;"\"&amp;TEXT(F38,"YYYY-MM-DD")&amp;" --exclude ""*"" --recursive --include ""*"&amp;TEXT(F38,"YYYYMMDD")&amp;"*"" &amp; """&amp;walkandungz&amp;""" "&amp;search_path&amp;"\RTDC"&amp;B38&amp;"\"&amp;TEXT(F38,"YYYY-MM-DD")
&amp;" &amp; "&amp;"aws s3 cp "&amp;s3_bucket&amp;"/RTDC"&amp;B38&amp;"/ "&amp;search_path&amp;"\RTDC"&amp;B38&amp;"\"&amp;TEXT(F38+1,"YYYY-MM-DD")&amp;" --exclude ""*"" --recursive --include ""*"&amp;TEXT(F38+1,"YYYYMMDD")&amp;"*"" &amp; """&amp;walkandungz&amp;""" "&amp;search_path&amp;"\RTDC"&amp;B38&amp;"\"&amp;TEXT(F38+1,"YYYY-MM-DD")</f>
        <v>aws s3 cp s3://rtdc.mdm.uploadarchive.raw/RTDC4017/ "%USERPROFILE%\AppData\Local\Temp\OnboardLogs"\RTDC4017\2018-01-06 --exclude "*" --recursive --include "*20180106*" &amp; "%USERPROFILE%\Documents\GitHub\mrs-test-scripts\Headless Mode &amp; Sideloading\WalkAndUnGZ.bat" "%USERPROFILE%\AppData\Local\Temp\OnboardLogs"\RTDC4017\2018-01-06 &amp; aws s3 cp s3://rtdc.mdm.uploadarchive.raw/RTDC4017/ "%USERPROFILE%\AppData\Local\Temp\OnboardLogs"\RTDC4017\2018-01-07 --exclude "*" --recursive --include "*20180107*" &amp; "%USERPROFILE%\Documents\GitHub\mrs-test-scripts\Headless Mode &amp; Sideloading\WalkAndUnGZ.bat" "%USERPROFILE%\AppData\Local\Temp\OnboardLogs"\RTDC4017\2018-01-07</v>
      </c>
      <c r="AF38" s="234" t="str">
        <f>astrogrep_path&amp;" /e /r /s /spath="&amp;search_path&amp;" /stypes=""app*"&amp;B38&amp;"*"&amp;TEXT(I38-utc_offset/24,"YYYYMMDD")&amp;"*"" /stext="" "&amp;TEXT(I38-utc_offset/24,"HH")&amp;search_regexp&amp;""""</f>
        <v>"C:\Program Files (x86)\AstroGrep\AstroGrep.exe" /e /r /s /spath="%USERPROFILE%\AppData\Local\Temp\OnboardLogs" /stypes="app*4017*20180106*" /stext=" 15:.+((SYSTEM_STATE.+slice.+state.+changed )|(ment ac)|(multiple cpu faults)|(system.+state.+changed )|(\[timeout)|(PRM\|1\|D)|(kpr)|(kdp)|(train st.+moving)|(\|lc)|(penalty))"</v>
      </c>
      <c r="AG38" s="244" t="str">
        <f>DetSubdiv(A38)</f>
        <v>EC</v>
      </c>
      <c r="AH38" s="236" t="str">
        <f t="shared" si="5"/>
        <v>"%USERPROFILE%\Documents\GitHub\eaglep3\Utilities\RefineRTDCRunTimes.py" --tripid 126-06 --locoid 4017 --swversion DE.1.0.9.0 --startMP 204:232940 --initTime 2018-01-06T07:40:16 --startdatetime 2018-01-06T07:42:28 --delay 60 --endMP 204:187 --enddatetime 2018-01-06T08:20:24 --enforcementcount 0 &gt;&gt;%USERPROFILE%\Documents\GitHub\eaglep3-reporting\EC\2018-01-06-refined-times.txt</v>
      </c>
      <c r="AI38" s="238" t="str">
        <f t="shared" si="6"/>
        <v>echo {"issue":{"subject":"","project_id":79,"tracker_id":40,"status_id":1,"priority_id":2,"assigned_to_id":338,"start_date":"2018-01-06","description":"","custom_fields":[{"id":1,"name":"Subdivision","value":"EC"},{"id":4,"name":"Milepost","value":"0.0187"},{"id":17,"name":"Train ID","value":"126-06"},{"id":16,"name":"Locomotive ID","value":"4017"},{"id":130,"name":"Impact","value":""},{"id":150,"name":"Time of Event (Mountain Time)","value":"08:20:24"},{"id":151,"name":"Denver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8" s="223"/>
      <c r="AK38" s="231"/>
      <c r="AL38" s="231"/>
      <c r="AM38" s="240" t="str">
        <f t="shared" si="7"/>
        <v>start /low /b %USERPROFILE%\Documents\GitHub\eaglep3\Utilities\DownloadLogsFromS3.py --loco 4017 --day 2018-01-06</v>
      </c>
      <c r="AN38" s="241" t="str">
        <f t="shared" si="8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15:20:24"},{"id":29,"name":"Sharepoint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 s="230" t="str">
        <f t="shared" si="9"/>
        <v>https://d0f6bd738d7f1b3e5a7ca70fe4ff75f0.us-east-1.aws.found.io/app/kibana#/discover/Steve-Slow-Train-Analysis-(2080s-and-2083s)?_g=(refreshInterval:(display:Off,pause:!f,section:0,value:0),time:(from:'2018-01-06T06:40:16-0700',mode:absolute,to:'2018-01-06T09:20:24-0700'))&amp;_a=(columns:!('Message%20ID',Summary),filters:!(),index:'emp_*',interval:auto,query:(query_string:(analyze_wildcard:!t,query:'%22rtdc.l.rtdc.4017%22')),sort:!(Time.ISO8601,asc))</v>
      </c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3">
      <c r="A39" s="229" t="s">
        <v>736</v>
      </c>
      <c r="B39" s="225">
        <v>4032</v>
      </c>
      <c r="C39" s="227" t="s">
        <v>192</v>
      </c>
      <c r="D39" s="227" t="s">
        <v>626</v>
      </c>
      <c r="E39" s="226">
        <v>43106.290173611109</v>
      </c>
      <c r="F39" s="226">
        <v>43106.291886574072</v>
      </c>
      <c r="G39" s="225">
        <v>47</v>
      </c>
      <c r="H39" s="227" t="s">
        <v>906</v>
      </c>
      <c r="I39" s="226">
        <v>43106.316296296296</v>
      </c>
      <c r="J39" s="225">
        <v>0</v>
      </c>
      <c r="K39" s="237" t="str">
        <f>IF(ISEVEN(B39),(B39-1)&amp;"/"&amp;B39,B39&amp;"/"&amp;(B39+1))</f>
        <v>4031/4032</v>
      </c>
      <c r="L39" s="245" t="str">
        <f>VLOOKUP(A39,'Trips&amp;Operators'!$C$1:$G$99911,5,FALSE)</f>
        <v>MACDONALD THOMAS</v>
      </c>
      <c r="M39" s="224">
        <f>I39-F39</f>
        <v>2.4409722223936114E-2</v>
      </c>
      <c r="N39" s="225">
        <f>24*60*SUM($M39:$M39)</f>
        <v>35.150000002468005</v>
      </c>
      <c r="O39" s="225"/>
      <c r="P39" s="225"/>
      <c r="Q39" s="228"/>
      <c r="R39" s="242"/>
      <c r="S39" s="249">
        <f>1/IF(AG39="EC",12,1)*SUM(U39:U39)</f>
        <v>1</v>
      </c>
      <c r="T39" s="242" t="str">
        <f>IF(ISEVEN(LEFT(AD39,4)),"Southbound","NorthBound")</f>
        <v>NorthBound</v>
      </c>
      <c r="U39" s="246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248" t="str">
        <f>"https://d0f6bd738d7f1b3e5a7ca70fe4ff75f0.us-east-1.aws.found.io/app/kibana#/discover/Steve-Slow-Train-Analysis-(2080s-and-2083s)?_g="&amp;"(refreshInterval:(display:Off,pause:!f,section:0,value:0),time:(from:'"&amp;TEXT(E39-1/24,"yyyy-MM-DDThh:mm:ss")&amp;utc_offset&amp;"00"&amp;"',mode:absolute,to:'"&amp;TEXT(I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39&amp;"%22')),sort:!(Time.ISO8601,asc))"</f>
        <v>https://d0f6bd738d7f1b3e5a7ca70fe4ff75f0.us-east-1.aws.found.io/app/kibana#/discover/Steve-Slow-Train-Analysis-(2080s-and-2083s)?_g=(refreshInterval:(display:Off,pause:!f,section:0,value:0),time:(from:'2018-01-06T05:57:51-0700',mode:absolute,to:'2018-01-06T08:35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39" s="247" t="str">
        <f>IF(AA39&lt;VLOOKUP(AG39,Variables!$AC$3:$AD$8,2,FALSE),"Y","N")</f>
        <v>N</v>
      </c>
      <c r="X39" s="247">
        <f>VALUE(LEFT(AD39,4))-VALUE(LEFT(AD38,4))</f>
        <v>1</v>
      </c>
      <c r="Y39" s="247">
        <f>RIGHT(D39,LEN(D39)-4)/10000</f>
        <v>5.0900000000000001E-2</v>
      </c>
      <c r="Z39" s="247">
        <f>RIGHT(H39,LEN(H39)-4)/10000</f>
        <v>23.321300000000001</v>
      </c>
      <c r="AA39" s="247">
        <f>ABS(Z39-Y39)</f>
        <v>23.270400000000002</v>
      </c>
      <c r="AB39" s="233" t="e">
        <f>VLOOKUP(A39,Enforcements!$C$7:$K$9,8,0)</f>
        <v>#N/A</v>
      </c>
      <c r="AC39" s="232" t="e">
        <f>VLOOKUP(A39,Enforcements!$C$7:$E$9,3,0)</f>
        <v>#N/A</v>
      </c>
      <c r="AD39" s="243">
        <f>VALUE(LEFT(A39,LEN(A39)-3))</f>
        <v>127</v>
      </c>
      <c r="AE39" s="235" t="str">
        <f>"aws s3 cp "&amp;s3_bucket&amp;"/RTDC"&amp;B39&amp;"/ "&amp;search_path&amp;"\RTDC"&amp;B39&amp;"\"&amp;TEXT(F39,"YYYY-MM-DD")&amp;" --exclude ""*"" --recursive --include ""*"&amp;TEXT(F39,"YYYYMMDD")&amp;"*"" &amp; """&amp;walkandungz&amp;""" "&amp;search_path&amp;"\RTDC"&amp;B39&amp;"\"&amp;TEXT(F39,"YYYY-MM-DD")
&amp;" &amp; "&amp;"aws s3 cp "&amp;s3_bucket&amp;"/RTDC"&amp;B39&amp;"/ "&amp;search_path&amp;"\RTDC"&amp;B39&amp;"\"&amp;TEXT(F39+1,"YYYY-MM-DD")&amp;" --exclude ""*"" --recursive --include ""*"&amp;TEXT(F39+1,"YYYYMMDD")&amp;"*"" &amp; """&amp;walkandungz&amp;""" "&amp;search_path&amp;"\RTDC"&amp;B39&amp;"\"&amp;TEXT(F39+1,"YYYY-MM-DD")</f>
        <v>aws s3 cp s3://rtdc.mdm.uploadarchive.raw/RTDC4032/ "%USERPROFILE%\AppData\Local\Temp\OnboardLogs"\RTDC4032\2018-01-06 --exclude "*" --recursive --include "*20180106*" &amp; "%USERPROFILE%\Documents\GitHub\mrs-test-scripts\Headless Mode &amp; Sideloading\WalkAndUnGZ.bat" "%USERPROFILE%\AppData\Local\Temp\OnboardLogs"\RTDC4032\2018-01-06 &amp; aws s3 cp s3://rtdc.mdm.uploadarchive.raw/RTDC4032/ "%USERPROFILE%\AppData\Local\Temp\OnboardLogs"\RTDC4032\2018-01-07 --exclude "*" --recursive --include "*20180107*" &amp; "%USERPROFILE%\Documents\GitHub\mrs-test-scripts\Headless Mode &amp; Sideloading\WalkAndUnGZ.bat" "%USERPROFILE%\AppData\Local\Temp\OnboardLogs"\RTDC4032\2018-01-07</v>
      </c>
      <c r="AF39" s="234" t="str">
        <f>astrogrep_path&amp;" /e /r /s /spath="&amp;search_path&amp;" /stypes=""app*"&amp;B39&amp;"*"&amp;TEXT(I39-utc_offset/24,"YYYYMMDD")&amp;"*"" /stext="" "&amp;TEXT(I39-utc_offset/24,"HH")&amp;search_regexp&amp;""""</f>
        <v>"C:\Program Files (x86)\AstroGrep\AstroGrep.exe" /e /r /s /spath="%USERPROFILE%\AppData\Local\Temp\OnboardLogs" /stypes="app*4032*20180106*" /stext=" 14:.+((SYSTEM_STATE.+slice.+state.+changed )|(ment ac)|(multiple cpu faults)|(system.+state.+changed )|(\[timeout)|(PRM\|1\|D)|(kpr)|(kdp)|(train st.+moving)|(\|lc)|(penalty))"</v>
      </c>
      <c r="AG39" s="244" t="str">
        <f>DetSubdiv(A39)</f>
        <v>EC</v>
      </c>
      <c r="AH39" s="236" t="str">
        <f t="shared" si="5"/>
        <v>"%USERPROFILE%\Documents\GitHub\eaglep3\Utilities\RefineRTDCRunTimes.py" --tripid 127-06 --locoid 4032 --swversion DE.1.0.9.0 --startMP 204:509 --initTime 2018-01-06T06:57:51 --startdatetime 2018-01-06T07:00:19 --delay 47 --endMP 204:233213 --enddatetime 2018-01-06T07:35:28 --enforcementcount 0 &gt;&gt;%USERPROFILE%\Documents\GitHub\eaglep3-reporting\EC\2018-01-06-refined-times.txt</v>
      </c>
      <c r="AI39" s="238" t="str">
        <f t="shared" si="6"/>
        <v>echo {"issue":{"subject":"","project_id":79,"tracker_id":40,"status_id":1,"priority_id":2,"assigned_to_id":338,"start_date":"2018-01-06","description":"","custom_fields":[{"id":1,"name":"Subdivision","value":"EC"},{"id":4,"name":"Milepost","value":"23.3213"},{"id":17,"name":"Train ID","value":"127-06"},{"id":16,"name":"Locomotive ID","value":"4032"},{"id":130,"name":"Impact","value":""},{"id":150,"name":"Time of Event (Mountain Time)","value":"07:35:28"},{"id":151,"name":"Denver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9" s="223"/>
      <c r="AK39" s="231"/>
      <c r="AL39" s="231"/>
      <c r="AM39" s="240" t="str">
        <f t="shared" si="7"/>
        <v>start /low /b %USERPROFILE%\Documents\GitHub\eaglep3\Utilities\DownloadLogsFromS3.py --loco 4032 --day 2018-01-06</v>
      </c>
      <c r="AN39" s="241" t="str">
        <f t="shared" si="8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14:35:28"},{"id":29,"name":"Sharepoint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 s="230" t="str">
        <f t="shared" si="9"/>
        <v>https://d0f6bd738d7f1b3e5a7ca70fe4ff75f0.us-east-1.aws.found.io/app/kibana#/discover/Steve-Slow-Train-Analysis-(2080s-and-2083s)?_g=(refreshInterval:(display:Off,pause:!f,section:0,value:0),time:(from:'2018-01-06T05:57:51-0700',mode:absolute,to:'2018-01-06T08:35:28-0700'))&amp;_a=(columns:!('Message%20ID',Summary),filters:!(),index:'emp_*',interval:auto,query:(query_string:(analyze_wildcard:!t,query:'%22rtdc.l.rtdc.4032%22')),sort:!(Time.ISO8601,asc))</v>
      </c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3">
      <c r="A40" s="229" t="s">
        <v>741</v>
      </c>
      <c r="B40" s="225">
        <v>4031</v>
      </c>
      <c r="C40" s="227" t="s">
        <v>192</v>
      </c>
      <c r="D40" s="227" t="s">
        <v>565</v>
      </c>
      <c r="E40" s="226">
        <v>43106.319733796299</v>
      </c>
      <c r="F40" s="226">
        <v>43106.33152777778</v>
      </c>
      <c r="G40" s="225">
        <v>50</v>
      </c>
      <c r="H40" s="227" t="s">
        <v>564</v>
      </c>
      <c r="I40" s="226">
        <v>43106.356458333335</v>
      </c>
      <c r="J40" s="225">
        <v>0</v>
      </c>
      <c r="K40" s="237" t="str">
        <f>IF(ISEVEN(B40),(B40-1)&amp;"/"&amp;B40,B40&amp;"/"&amp;(B40+1))</f>
        <v>4031/4032</v>
      </c>
      <c r="L40" s="245" t="str">
        <f>VLOOKUP(A40,'Trips&amp;Operators'!$C$1:$G$99911,5,FALSE)</f>
        <v>MACDONALD THOMAS</v>
      </c>
      <c r="M40" s="224">
        <f>I40-F40</f>
        <v>2.4930555555329192E-2</v>
      </c>
      <c r="N40" s="225">
        <f>24*60*SUM($M40:$M40)</f>
        <v>35.899999999674037</v>
      </c>
      <c r="O40" s="225"/>
      <c r="P40" s="225"/>
      <c r="Q40" s="228"/>
      <c r="R40" s="242"/>
      <c r="S40" s="249">
        <f>1/IF(AG40="EC",12,1)*SUM(U40:U40)</f>
        <v>1</v>
      </c>
      <c r="T40" s="242" t="str">
        <f>IF(ISEVEN(LEFT(AD40,4)),"Southbound","NorthBound")</f>
        <v>Southbound</v>
      </c>
      <c r="U40" s="246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248" t="str">
        <f>"https://d0f6bd738d7f1b3e5a7ca70fe4ff75f0.us-east-1.aws.found.io/app/kibana#/discover/Steve-Slow-Train-Analysis-(2080s-and-2083s)?_g="&amp;"(refreshInterval:(display:Off,pause:!f,section:0,value:0),time:(from:'"&amp;TEXT(E40-1/24,"yyyy-MM-DDThh:mm:ss")&amp;utc_offset&amp;"00"&amp;"',mode:absolute,to:'"&amp;TEXT(I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40&amp;"%22')),sort:!(Time.ISO8601,asc))"</f>
        <v>https://d0f6bd738d7f1b3e5a7ca70fe4ff75f0.us-east-1.aws.found.io/app/kibana#/discover/Steve-Slow-Train-Analysis-(2080s-and-2083s)?_g=(refreshInterval:(display:Off,pause:!f,section:0,value:0),time:(from:'2018-01-06T06:40:25-0700',mode:absolute,to:'2018-01-06T09:33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40" s="247" t="str">
        <f>IF(AA40&lt;VLOOKUP(AG40,Variables!$AC$3:$AD$8,2,FALSE),"Y","N")</f>
        <v>N</v>
      </c>
      <c r="X40" s="247">
        <f>VALUE(LEFT(AD40,4))-VALUE(LEFT(AD39,4))</f>
        <v>1</v>
      </c>
      <c r="Y40" s="247">
        <f>RIGHT(D40,LEN(D40)-4)/10000</f>
        <v>23.29</v>
      </c>
      <c r="Z40" s="247">
        <f>RIGHT(H40,LEN(H40)-4)/10000</f>
        <v>2.29E-2</v>
      </c>
      <c r="AA40" s="247">
        <f>ABS(Z40-Y40)</f>
        <v>23.267099999999999</v>
      </c>
      <c r="AB40" s="233" t="e">
        <f>VLOOKUP(A40,Enforcements!$C$7:$K$9,8,0)</f>
        <v>#N/A</v>
      </c>
      <c r="AC40" s="232" t="e">
        <f>VLOOKUP(A40,Enforcements!$C$7:$E$9,3,0)</f>
        <v>#N/A</v>
      </c>
      <c r="AD40" s="243">
        <f>VALUE(LEFT(A40,LEN(A40)-3))</f>
        <v>128</v>
      </c>
      <c r="AE40" s="235" t="str">
        <f>"aws s3 cp "&amp;s3_bucket&amp;"/RTDC"&amp;B40&amp;"/ "&amp;search_path&amp;"\RTDC"&amp;B40&amp;"\"&amp;TEXT(F40,"YYYY-MM-DD")&amp;" --exclude ""*"" --recursive --include ""*"&amp;TEXT(F40,"YYYYMMDD")&amp;"*"" &amp; """&amp;walkandungz&amp;""" "&amp;search_path&amp;"\RTDC"&amp;B40&amp;"\"&amp;TEXT(F40,"YYYY-MM-DD")
&amp;" &amp; "&amp;"aws s3 cp "&amp;s3_bucket&amp;"/RTDC"&amp;B40&amp;"/ "&amp;search_path&amp;"\RTDC"&amp;B40&amp;"\"&amp;TEXT(F40+1,"YYYY-MM-DD")&amp;" --exclude ""*"" --recursive --include ""*"&amp;TEXT(F40+1,"YYYYMMDD")&amp;"*"" &amp; """&amp;walkandungz&amp;""" "&amp;search_path&amp;"\RTDC"&amp;B40&amp;"\"&amp;TEXT(F40+1,"YYYY-MM-DD")</f>
        <v>aws s3 cp s3://rtdc.mdm.uploadarchive.raw/RTDC4031/ "%USERPROFILE%\AppData\Local\Temp\OnboardLogs"\RTDC4031\2018-01-06 --exclude "*" --recursive --include "*20180106*" &amp; "%USERPROFILE%\Documents\GitHub\mrs-test-scripts\Headless Mode &amp; Sideloading\WalkAndUnGZ.bat" "%USERPROFILE%\AppData\Local\Temp\OnboardLogs"\RTDC4031\2018-01-06 &amp; aws s3 cp s3://rtdc.mdm.uploadarchive.raw/RTDC4031/ "%USERPROFILE%\AppData\Local\Temp\OnboardLogs"\RTDC4031\2018-01-07 --exclude "*" --recursive --include "*20180107*" &amp; "%USERPROFILE%\Documents\GitHub\mrs-test-scripts\Headless Mode &amp; Sideloading\WalkAndUnGZ.bat" "%USERPROFILE%\AppData\Local\Temp\OnboardLogs"\RTDC4031\2018-01-07</v>
      </c>
      <c r="AF40" s="234" t="str">
        <f>astrogrep_path&amp;" /e /r /s /spath="&amp;search_path&amp;" /stypes=""app*"&amp;B40&amp;"*"&amp;TEXT(I40-utc_offset/24,"YYYYMMDD")&amp;"*"" /stext="" "&amp;TEXT(I40-utc_offset/24,"HH")&amp;search_regexp&amp;""""</f>
        <v>"C:\Program Files (x86)\AstroGrep\AstroGrep.exe" /e /r /s /spath="%USERPROFILE%\AppData\Local\Temp\OnboardLogs" /stypes="app*4031*20180106*" /stext=" 15:.+((SYSTEM_STATE.+slice.+state.+changed )|(ment ac)|(multiple cpu faults)|(system.+state.+changed )|(\[timeout)|(PRM\|1\|D)|(kpr)|(kdp)|(train st.+moving)|(\|lc)|(penalty))"</v>
      </c>
      <c r="AG40" s="244" t="str">
        <f>DetSubdiv(A40)</f>
        <v>EC</v>
      </c>
      <c r="AH40" s="236" t="str">
        <f t="shared" si="5"/>
        <v>"%USERPROFILE%\Documents\GitHub\eaglep3\Utilities\RefineRTDCRunTimes.py" --tripid 128-06 --locoid 4031 --swversion DE.1.0.9.0 --startMP 204:232900 --initTime 2018-01-06T07:40:25 --startdatetime 2018-01-06T07:57:24 --delay 50 --endMP 204:229 --enddatetime 2018-01-06T08:33:18 --enforcementcount 0 &gt;&gt;%USERPROFILE%\Documents\GitHub\eaglep3-reporting\EC\2018-01-06-refined-times.txt</v>
      </c>
      <c r="AI40" s="238" t="str">
        <f t="shared" si="6"/>
        <v>echo {"issue":{"subject":"","project_id":79,"tracker_id":40,"status_id":1,"priority_id":2,"assigned_to_id":338,"start_date":"2018-01-06","description":"","custom_fields":[{"id":1,"name":"Subdivision","value":"EC"},{"id":4,"name":"Milepost","value":"0.0229"},{"id":17,"name":"Train ID","value":"128-06"},{"id":16,"name":"Locomotive ID","value":"4031"},{"id":130,"name":"Impact","value":""},{"id":150,"name":"Time of Event (Mountain Time)","value":"08:33:18"},{"id":151,"name":"Denver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0" s="223"/>
      <c r="AK40" s="231"/>
      <c r="AL40" s="231"/>
      <c r="AM40" s="240" t="str">
        <f t="shared" si="7"/>
        <v>start /low /b %USERPROFILE%\Documents\GitHub\eaglep3\Utilities\DownloadLogsFromS3.py --loco 4031 --day 2018-01-06</v>
      </c>
      <c r="AN40" s="241" t="str">
        <f t="shared" si="8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15:33:18"},{"id":29,"name":"Sharepoint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 s="230" t="str">
        <f t="shared" si="9"/>
        <v>https://d0f6bd738d7f1b3e5a7ca70fe4ff75f0.us-east-1.aws.found.io/app/kibana#/discover/Steve-Slow-Train-Analysis-(2080s-and-2083s)?_g=(refreshInterval:(display:Off,pause:!f,section:0,value:0),time:(from:'2018-01-06T06:40:25-0700',mode:absolute,to:'2018-01-06T09:33:18-0700'))&amp;_a=(columns:!('Message%20ID',Summary),filters:!(),index:'emp_*',interval:auto,query:(query_string:(analyze_wildcard:!t,query:'%22rtdc.l.rtdc.4031%22')),sort:!(Time.ISO8601,asc))</v>
      </c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3">
      <c r="A41" s="229" t="s">
        <v>737</v>
      </c>
      <c r="B41" s="225">
        <v>4064</v>
      </c>
      <c r="C41" s="227" t="s">
        <v>192</v>
      </c>
      <c r="D41" s="227" t="s">
        <v>532</v>
      </c>
      <c r="E41" s="226">
        <v>43106.296168981484</v>
      </c>
      <c r="F41" s="226">
        <v>43106.302268518521</v>
      </c>
      <c r="G41" s="225">
        <v>55</v>
      </c>
      <c r="H41" s="227" t="s">
        <v>550</v>
      </c>
      <c r="I41" s="226">
        <v>43106.326354166667</v>
      </c>
      <c r="J41" s="225">
        <v>0</v>
      </c>
      <c r="K41" s="237" t="str">
        <f>IF(ISEVEN(B41),(B41-1)&amp;"/"&amp;B41,B41&amp;"/"&amp;(B41+1))</f>
        <v>4063/4064</v>
      </c>
      <c r="L41" s="245" t="str">
        <f>VLOOKUP(A41,'Trips&amp;Operators'!$C$1:$G$99911,5,FALSE)</f>
        <v>LANGERAK WILLIAM</v>
      </c>
      <c r="M41" s="224">
        <f>I41-F41</f>
        <v>2.4085648146865424E-2</v>
      </c>
      <c r="N41" s="225"/>
      <c r="O41" s="225"/>
      <c r="P41" s="225"/>
      <c r="Q41" s="228"/>
      <c r="R41" s="242"/>
      <c r="S41" s="249"/>
      <c r="T41" s="242" t="str">
        <f>IF(ISEVEN(LEFT(AD41,4)),"Southbound","NorthBound")</f>
        <v>NorthBound</v>
      </c>
      <c r="U41" s="246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0</v>
      </c>
      <c r="V41" s="248" t="str">
        <f>"https://d0f6bd738d7f1b3e5a7ca70fe4ff75f0.us-east-1.aws.found.io/app/kibana#/discover/Steve-Slow-Train-Analysis-(2080s-and-2083s)?_g="&amp;"(refreshInterval:(display:Off,pause:!f,section:0,value:0),time:(from:'"&amp;TEXT(E41-1/24,"yyyy-MM-DDThh:mm:ss")&amp;utc_offset&amp;"00"&amp;"',mode:absolute,to:'"&amp;TEXT(I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41&amp;"%22')),sort:!(Time.ISO8601,asc))"</f>
        <v>https://d0f6bd738d7f1b3e5a7ca70fe4ff75f0.us-east-1.aws.found.io/app/kibana#/discover/Steve-Slow-Train-Analysis-(2080s-and-2083s)?_g=(refreshInterval:(display:Off,pause:!f,section:0,value:0),time:(from:'2018-01-06T06:06:29-0700',mode:absolute,to:'2018-01-06T08:49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41" s="247" t="str">
        <f>IF(AA41&lt;VLOOKUP(AG41,Variables!$AC$3:$AD$8,2,FALSE),"Y","N")</f>
        <v>Y</v>
      </c>
      <c r="X41" s="247">
        <f>VALUE(LEFT(AD41,4))-VALUE(LEFT(AD40,4))</f>
        <v>1</v>
      </c>
      <c r="Y41" s="247">
        <f>RIGHT(D41,LEN(D41)-4)/10000</f>
        <v>5.5100000000000003E-2</v>
      </c>
      <c r="Z41" s="247">
        <f>RIGHT(H41,LEN(H41)-4)/10000</f>
        <v>5.33E-2</v>
      </c>
      <c r="AA41" s="247">
        <f>ABS(Z41-Y41)</f>
        <v>1.800000000000003E-3</v>
      </c>
      <c r="AB41" s="233" t="e">
        <f>VLOOKUP(A41,Enforcements!$C$7:$K$9,8,0)</f>
        <v>#N/A</v>
      </c>
      <c r="AC41" s="232" t="e">
        <f>VLOOKUP(A41,Enforcements!$C$7:$E$9,3,0)</f>
        <v>#N/A</v>
      </c>
      <c r="AD41" s="243">
        <f>VALUE(LEFT(A41,LEN(A41)-3))</f>
        <v>129</v>
      </c>
      <c r="AE41" s="235" t="str">
        <f>"aws s3 cp "&amp;s3_bucket&amp;"/RTDC"&amp;B41&amp;"/ "&amp;search_path&amp;"\RTDC"&amp;B41&amp;"\"&amp;TEXT(F41,"YYYY-MM-DD")&amp;" --exclude ""*"" --recursive --include ""*"&amp;TEXT(F41,"YYYYMMDD")&amp;"*"" &amp; """&amp;walkandungz&amp;""" "&amp;search_path&amp;"\RTDC"&amp;B41&amp;"\"&amp;TEXT(F41,"YYYY-MM-DD")
&amp;" &amp; "&amp;"aws s3 cp "&amp;s3_bucket&amp;"/RTDC"&amp;B41&amp;"/ "&amp;search_path&amp;"\RTDC"&amp;B41&amp;"\"&amp;TEXT(F41+1,"YYYY-MM-DD")&amp;" --exclude ""*"" --recursive --include ""*"&amp;TEXT(F41+1,"YYYYMMDD")&amp;"*"" &amp; """&amp;walkandungz&amp;""" "&amp;search_path&amp;"\RTDC"&amp;B41&amp;"\"&amp;TEXT(F41+1,"YYYY-MM-DD")</f>
        <v>aws s3 cp s3://rtdc.mdm.uploadarchive.raw/RTDC4064/ "%USERPROFILE%\AppData\Local\Temp\OnboardLogs"\RTDC4064\2018-01-06 --exclude "*" --recursive --include "*20180106*" &amp; "%USERPROFILE%\Documents\GitHub\mrs-test-scripts\Headless Mode &amp; Sideloading\WalkAndUnGZ.bat" "%USERPROFILE%\AppData\Local\Temp\OnboardLogs"\RTDC4064\2018-01-06 &amp; aws s3 cp s3://rtdc.mdm.uploadarchive.raw/RTDC4064/ "%USERPROFILE%\AppData\Local\Temp\OnboardLogs"\RTDC4064\2018-01-07 --exclude "*" --recursive --include "*20180107*" &amp; "%USERPROFILE%\Documents\GitHub\mrs-test-scripts\Headless Mode &amp; Sideloading\WalkAndUnGZ.bat" "%USERPROFILE%\AppData\Local\Temp\OnboardLogs"\RTDC4064\2018-01-07</v>
      </c>
      <c r="AF41" s="234" t="str">
        <f>astrogrep_path&amp;" /e /r /s /spath="&amp;search_path&amp;" /stypes=""app*"&amp;B41&amp;"*"&amp;TEXT(I41-utc_offset/24,"YYYYMMDD")&amp;"*"" /stext="" "&amp;TEXT(I41-utc_offset/24,"HH")&amp;search_regexp&amp;""""</f>
        <v>"C:\Program Files (x86)\AstroGrep\AstroGrep.exe" /e /r /s /spath="%USERPROFILE%\AppData\Local\Temp\OnboardLogs" /stypes="app*4064*20180106*" /stext=" 14:.+((SYSTEM_STATE.+slice.+state.+changed )|(ment ac)|(multiple cpu faults)|(system.+state.+changed )|(\[timeout)|(PRM\|1\|D)|(kpr)|(kdp)|(train st.+moving)|(\|lc)|(penalty))"</v>
      </c>
      <c r="AG41" s="244" t="str">
        <f>DetSubdiv(A41)</f>
        <v>EC</v>
      </c>
      <c r="AH41" s="236" t="str">
        <f t="shared" si="5"/>
        <v>"%USERPROFILE%\Documents\GitHub\eaglep3\Utilities\RefineRTDCRunTimes.py" --tripid 129-06 --locoid 4064 --swversion DE.1.0.9.0 --startMP 204:551 --initTime 2018-01-06T07:06:29 --startdatetime 2018-01-06T07:15:16 --delay 55 --endMP 204:533 --enddatetime 2018-01-06T07:49:57 --enforcementcount 0 &gt;&gt;%USERPROFILE%\Documents\GitHub\eaglep3-reporting\EC\2018-01-06-refined-times.txt</v>
      </c>
      <c r="AI41" s="238" t="str">
        <f t="shared" si="6"/>
        <v>echo {"issue":{"subject":"","project_id":79,"tracker_id":40,"status_id":1,"priority_id":2,"assigned_to_id":338,"start_date":"2018-01-06","description":"","custom_fields":[{"id":1,"name":"Subdivision","value":"EC"},{"id":4,"name":"Milepost","value":"0.0533"},{"id":17,"name":"Train ID","value":"129-06"},{"id":16,"name":"Locomotive ID","value":"4064"},{"id":130,"name":"Impact","value":""},{"id":150,"name":"Time of Event (Mountain Time)","value":"07:49:57"},{"id":151,"name":"Denver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1" s="223"/>
      <c r="AK41" s="231"/>
      <c r="AL41" s="231"/>
      <c r="AM41" s="240" t="str">
        <f t="shared" si="7"/>
        <v>start /low /b %USERPROFILE%\Documents\GitHub\eaglep3\Utilities\DownloadLogsFromS3.py --loco 4064 --day 2018-01-06</v>
      </c>
      <c r="AN41" s="241" t="str">
        <f t="shared" si="8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14:49:57"},{"id":29,"name":"Sharepoint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 s="230" t="str">
        <f t="shared" si="9"/>
        <v>https://d0f6bd738d7f1b3e5a7ca70fe4ff75f0.us-east-1.aws.found.io/app/kibana#/discover/Steve-Slow-Train-Analysis-(2080s-and-2083s)?_g=(refreshInterval:(display:Off,pause:!f,section:0,value:0),time:(from:'2018-01-06T06:06:29-0700',mode:absolute,to:'2018-01-06T08:49:57-0700'))&amp;_a=(columns:!('Message%20ID',Summary),filters:!(),index:'emp_*',interval:auto,query:(query_string:(analyze_wildcard:!t,query:'%22rtdc.l.rtdc.4064%22')),sort:!(Time.ISO8601,asc))</v>
      </c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3">
      <c r="A42" s="229" t="s">
        <v>737</v>
      </c>
      <c r="B42" s="225">
        <v>4064</v>
      </c>
      <c r="C42" s="227" t="s">
        <v>192</v>
      </c>
      <c r="D42" s="227" t="s">
        <v>502</v>
      </c>
      <c r="E42" s="226">
        <v>43106.298842592594</v>
      </c>
      <c r="F42" s="226">
        <v>43106.302268518521</v>
      </c>
      <c r="G42" s="225">
        <v>51</v>
      </c>
      <c r="H42" s="227" t="s">
        <v>914</v>
      </c>
      <c r="I42" s="226">
        <v>43106.326354166667</v>
      </c>
      <c r="J42" s="225">
        <v>0</v>
      </c>
      <c r="K42" s="237" t="str">
        <f>IF(ISEVEN(B42),(B42-1)&amp;"/"&amp;B42,B42&amp;"/"&amp;(B42+1))</f>
        <v>4063/4064</v>
      </c>
      <c r="L42" s="245" t="str">
        <f>VLOOKUP(A42,'Trips&amp;Operators'!$C$1:$G$99911,5,FALSE)</f>
        <v>LANGERAK WILLIAM</v>
      </c>
      <c r="M42" s="224">
        <f>I42-F42</f>
        <v>2.4085648146865424E-2</v>
      </c>
      <c r="N42" s="225">
        <f>24*60*SUM($M42:$M42)</f>
        <v>34.68333333148621</v>
      </c>
      <c r="O42" s="225"/>
      <c r="P42" s="225"/>
      <c r="Q42" s="228"/>
      <c r="R42" s="242"/>
      <c r="S42" s="249">
        <f>1/IF(AG42="EC",12,1)*SUM(U42:U42)</f>
        <v>1</v>
      </c>
      <c r="T42" s="242" t="str">
        <f>IF(ISEVEN(LEFT(AD42,4)),"Southbound","NorthBound")</f>
        <v>NorthBound</v>
      </c>
      <c r="U42" s="246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248" t="str">
        <f>"https://d0f6bd738d7f1b3e5a7ca70fe4ff75f0.us-east-1.aws.found.io/app/kibana#/discover/Steve-Slow-Train-Analysis-(2080s-and-2083s)?_g="&amp;"(refreshInterval:(display:Off,pause:!f,section:0,value:0),time:(from:'"&amp;TEXT(E42-1/24,"yyyy-MM-DDThh:mm:ss")&amp;utc_offset&amp;"00"&amp;"',mode:absolute,to:'"&amp;TEXT(I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42&amp;"%22')),sort:!(Time.ISO8601,asc))"</f>
        <v>https://d0f6bd738d7f1b3e5a7ca70fe4ff75f0.us-east-1.aws.found.io/app/kibana#/discover/Steve-Slow-Train-Analysis-(2080s-and-2083s)?_g=(refreshInterval:(display:Off,pause:!f,section:0,value:0),time:(from:'2018-01-06T06:10:20-0700',mode:absolute,to:'2018-01-06T08:49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42" s="247" t="str">
        <f>IF(AA42&lt;VLOOKUP(AG42,Variables!$AC$3:$AD$8,2,FALSE),"Y","N")</f>
        <v>N</v>
      </c>
      <c r="X42" s="247">
        <f>VALUE(LEFT(AD42,4))-VALUE(LEFT(AD41,4))</f>
        <v>0</v>
      </c>
      <c r="Y42" s="247">
        <f>RIGHT(D42,LEN(D42)-4)/10000</f>
        <v>5.3499999999999999E-2</v>
      </c>
      <c r="Z42" s="247">
        <f>RIGHT(H42,LEN(H42)-4)/10000</f>
        <v>23.326599999999999</v>
      </c>
      <c r="AA42" s="247">
        <f>ABS(Z42-Y42)</f>
        <v>23.273099999999999</v>
      </c>
      <c r="AB42" s="233" t="e">
        <f>VLOOKUP(A42,Enforcements!$C$7:$K$9,8,0)</f>
        <v>#N/A</v>
      </c>
      <c r="AC42" s="232" t="e">
        <f>VLOOKUP(A42,Enforcements!$C$7:$E$9,3,0)</f>
        <v>#N/A</v>
      </c>
      <c r="AD42" s="243">
        <f>VALUE(LEFT(A42,LEN(A42)-3))</f>
        <v>129</v>
      </c>
      <c r="AE42" s="235" t="str">
        <f>"aws s3 cp "&amp;s3_bucket&amp;"/RTDC"&amp;B42&amp;"/ "&amp;search_path&amp;"\RTDC"&amp;B42&amp;"\"&amp;TEXT(F42,"YYYY-MM-DD")&amp;" --exclude ""*"" --recursive --include ""*"&amp;TEXT(F42,"YYYYMMDD")&amp;"*"" &amp; """&amp;walkandungz&amp;""" "&amp;search_path&amp;"\RTDC"&amp;B42&amp;"\"&amp;TEXT(F42,"YYYY-MM-DD")
&amp;" &amp; "&amp;"aws s3 cp "&amp;s3_bucket&amp;"/RTDC"&amp;B42&amp;"/ "&amp;search_path&amp;"\RTDC"&amp;B42&amp;"\"&amp;TEXT(F42+1,"YYYY-MM-DD")&amp;" --exclude ""*"" --recursive --include ""*"&amp;TEXT(F42+1,"YYYYMMDD")&amp;"*"" &amp; """&amp;walkandungz&amp;""" "&amp;search_path&amp;"\RTDC"&amp;B42&amp;"\"&amp;TEXT(F42+1,"YYYY-MM-DD")</f>
        <v>aws s3 cp s3://rtdc.mdm.uploadarchive.raw/RTDC4064/ "%USERPROFILE%\AppData\Local\Temp\OnboardLogs"\RTDC4064\2018-01-06 --exclude "*" --recursive --include "*20180106*" &amp; "%USERPROFILE%\Documents\GitHub\mrs-test-scripts\Headless Mode &amp; Sideloading\WalkAndUnGZ.bat" "%USERPROFILE%\AppData\Local\Temp\OnboardLogs"\RTDC4064\2018-01-06 &amp; aws s3 cp s3://rtdc.mdm.uploadarchive.raw/RTDC4064/ "%USERPROFILE%\AppData\Local\Temp\OnboardLogs"\RTDC4064\2018-01-07 --exclude "*" --recursive --include "*20180107*" &amp; "%USERPROFILE%\Documents\GitHub\mrs-test-scripts\Headless Mode &amp; Sideloading\WalkAndUnGZ.bat" "%USERPROFILE%\AppData\Local\Temp\OnboardLogs"\RTDC4064\2018-01-07</v>
      </c>
      <c r="AF42" s="234" t="str">
        <f>astrogrep_path&amp;" /e /r /s /spath="&amp;search_path&amp;" /stypes=""app*"&amp;B42&amp;"*"&amp;TEXT(I42-utc_offset/24,"YYYYMMDD")&amp;"*"" /stext="" "&amp;TEXT(I42-utc_offset/24,"HH")&amp;search_regexp&amp;""""</f>
        <v>"C:\Program Files (x86)\AstroGrep\AstroGrep.exe" /e /r /s /spath="%USERPROFILE%\AppData\Local\Temp\OnboardLogs" /stypes="app*4064*20180106*" /stext=" 14:.+((SYSTEM_STATE.+slice.+state.+changed )|(ment ac)|(multiple cpu faults)|(system.+state.+changed )|(\[timeout)|(PRM\|1\|D)|(kpr)|(kdp)|(train st.+moving)|(\|lc)|(penalty))"</v>
      </c>
      <c r="AG42" s="244" t="str">
        <f>DetSubdiv(A42)</f>
        <v>EC</v>
      </c>
      <c r="AH42" s="236" t="str">
        <f t="shared" si="5"/>
        <v>"%USERPROFILE%\Documents\GitHub\eaglep3\Utilities\RefineRTDCRunTimes.py" --tripid 129-06 --locoid 4064 --swversion DE.1.0.9.0 --startMP 204:535 --initTime 2018-01-06T07:10:20 --startdatetime 2018-01-06T07:15:16 --delay 51 --endMP 204:233266 --enddatetime 2018-01-06T07:49:57 --enforcementcount 0 &gt;&gt;%USERPROFILE%\Documents\GitHub\eaglep3-reporting\EC\2018-01-06-refined-times.txt</v>
      </c>
      <c r="AI42" s="238" t="str">
        <f t="shared" si="6"/>
        <v>echo {"issue":{"subject":"","project_id":79,"tracker_id":40,"status_id":1,"priority_id":2,"assigned_to_id":338,"start_date":"2018-01-06","description":"","custom_fields":[{"id":1,"name":"Subdivision","value":"EC"},{"id":4,"name":"Milepost","value":"23.3266"},{"id":17,"name":"Train ID","value":"129-06"},{"id":16,"name":"Locomotive ID","value":"4064"},{"id":130,"name":"Impact","value":""},{"id":150,"name":"Time of Event (Mountain Time)","value":"07:49:57"},{"id":151,"name":"Denver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2" s="223"/>
      <c r="AK42" s="231"/>
      <c r="AL42" s="231"/>
      <c r="AM42" s="240" t="str">
        <f t="shared" si="7"/>
        <v>start /low /b %USERPROFILE%\Documents\GitHub\eaglep3\Utilities\DownloadLogsFromS3.py --loco 4064 --day 2018-01-06</v>
      </c>
      <c r="AN42" s="241" t="str">
        <f t="shared" si="8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14:49:57"},{"id":29,"name":"Sharepoint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 s="230" t="str">
        <f t="shared" si="9"/>
        <v>https://d0f6bd738d7f1b3e5a7ca70fe4ff75f0.us-east-1.aws.found.io/app/kibana#/discover/Steve-Slow-Train-Analysis-(2080s-and-2083s)?_g=(refreshInterval:(display:Off,pause:!f,section:0,value:0),time:(from:'2018-01-06T06:10:20-0700',mode:absolute,to:'2018-01-06T08:49:57-0700'))&amp;_a=(columns:!('Message%20ID',Summary),filters:!(),index:'emp_*',interval:auto,query:(query_string:(analyze_wildcard:!t,query:'%22rtdc.l.rtdc.4064%22')),sort:!(Time.ISO8601,asc))</v>
      </c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3">
      <c r="A43" s="229" t="s">
        <v>742</v>
      </c>
      <c r="B43" s="225">
        <v>4063</v>
      </c>
      <c r="C43" s="227" t="s">
        <v>192</v>
      </c>
      <c r="D43" s="227" t="s">
        <v>533</v>
      </c>
      <c r="E43" s="226">
        <v>43106.327557870369</v>
      </c>
      <c r="F43" s="226">
        <v>43106.341851851852</v>
      </c>
      <c r="G43" s="225">
        <v>56</v>
      </c>
      <c r="H43" s="227" t="s">
        <v>479</v>
      </c>
      <c r="I43" s="226">
        <v>43106.368425925924</v>
      </c>
      <c r="J43" s="225">
        <v>0</v>
      </c>
      <c r="K43" s="237" t="str">
        <f>IF(ISEVEN(B43),(B43-1)&amp;"/"&amp;B43,B43&amp;"/"&amp;(B43+1))</f>
        <v>4063/4064</v>
      </c>
      <c r="L43" s="245" t="str">
        <f>VLOOKUP(A43,'Trips&amp;Operators'!$C$1:$G$99911,5,FALSE)</f>
        <v>LANGERAK WILLIAM</v>
      </c>
      <c r="M43" s="224">
        <f>I43-F43</f>
        <v>2.6574074072414078E-2</v>
      </c>
      <c r="N43" s="225">
        <f>24*60*SUM($M43:$M43)</f>
        <v>38.266666664276272</v>
      </c>
      <c r="O43" s="225"/>
      <c r="P43" s="225"/>
      <c r="Q43" s="228"/>
      <c r="R43" s="242"/>
      <c r="S43" s="249">
        <f>1/IF(AG43="EC",12,1)*SUM(U43:U43)</f>
        <v>1</v>
      </c>
      <c r="T43" s="242" t="str">
        <f>IF(ISEVEN(LEFT(AD43,4)),"Southbound","NorthBound")</f>
        <v>Southbound</v>
      </c>
      <c r="U43" s="246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248" t="str">
        <f>"https://d0f6bd738d7f1b3e5a7ca70fe4ff75f0.us-east-1.aws.found.io/app/kibana#/discover/Steve-Slow-Train-Analysis-(2080s-and-2083s)?_g="&amp;"(refreshInterval:(display:Off,pause:!f,section:0,value:0),time:(from:'"&amp;TEXT(E43-1/24,"yyyy-MM-DDThh:mm:ss")&amp;utc_offset&amp;"00"&amp;"',mode:absolute,to:'"&amp;TEXT(I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43&amp;"%22')),sort:!(Time.ISO8601,asc))"</f>
        <v>https://d0f6bd738d7f1b3e5a7ca70fe4ff75f0.us-east-1.aws.found.io/app/kibana#/discover/Steve-Slow-Train-Analysis-(2080s-and-2083s)?_g=(refreshInterval:(display:Off,pause:!f,section:0,value:0),time:(from:'2018-01-06T06:51:41-0700',mode:absolute,to:'2018-01-06T09:50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43" s="247" t="str">
        <f>IF(AA43&lt;VLOOKUP(AG43,Variables!$AC$3:$AD$8,2,FALSE),"Y","N")</f>
        <v>N</v>
      </c>
      <c r="X43" s="247">
        <f>VALUE(LEFT(AD43,4))-VALUE(LEFT(AD42,4))</f>
        <v>1</v>
      </c>
      <c r="Y43" s="247">
        <f>RIGHT(D43,LEN(D43)-4)/10000</f>
        <v>23.2942</v>
      </c>
      <c r="Z43" s="247">
        <f>RIGHT(H43,LEN(H43)-4)/10000</f>
        <v>2.0500000000000001E-2</v>
      </c>
      <c r="AA43" s="247">
        <f>ABS(Z43-Y43)</f>
        <v>23.273700000000002</v>
      </c>
      <c r="AB43" s="233" t="e">
        <f>VLOOKUP(A43,Enforcements!$C$7:$K$9,8,0)</f>
        <v>#N/A</v>
      </c>
      <c r="AC43" s="232" t="e">
        <f>VLOOKUP(A43,Enforcements!$C$7:$E$9,3,0)</f>
        <v>#N/A</v>
      </c>
      <c r="AD43" s="243">
        <f>VALUE(LEFT(A43,LEN(A43)-3))</f>
        <v>130</v>
      </c>
      <c r="AE43" s="235" t="str">
        <f>"aws s3 cp "&amp;s3_bucket&amp;"/RTDC"&amp;B43&amp;"/ "&amp;search_path&amp;"\RTDC"&amp;B43&amp;"\"&amp;TEXT(F43,"YYYY-MM-DD")&amp;" --exclude ""*"" --recursive --include ""*"&amp;TEXT(F43,"YYYYMMDD")&amp;"*"" &amp; """&amp;walkandungz&amp;""" "&amp;search_path&amp;"\RTDC"&amp;B43&amp;"\"&amp;TEXT(F43,"YYYY-MM-DD")
&amp;" &amp; "&amp;"aws s3 cp "&amp;s3_bucket&amp;"/RTDC"&amp;B43&amp;"/ "&amp;search_path&amp;"\RTDC"&amp;B43&amp;"\"&amp;TEXT(F43+1,"YYYY-MM-DD")&amp;" --exclude ""*"" --recursive --include ""*"&amp;TEXT(F43+1,"YYYYMMDD")&amp;"*"" &amp; """&amp;walkandungz&amp;""" "&amp;search_path&amp;"\RTDC"&amp;B43&amp;"\"&amp;TEXT(F43+1,"YYYY-MM-DD")</f>
        <v>aws s3 cp s3://rtdc.mdm.uploadarchive.raw/RTDC4063/ "%USERPROFILE%\AppData\Local\Temp\OnboardLogs"\RTDC4063\2018-01-06 --exclude "*" --recursive --include "*20180106*" &amp; "%USERPROFILE%\Documents\GitHub\mrs-test-scripts\Headless Mode &amp; Sideloading\WalkAndUnGZ.bat" "%USERPROFILE%\AppData\Local\Temp\OnboardLogs"\RTDC4063\2018-01-06 &amp; aws s3 cp s3://rtdc.mdm.uploadarchive.raw/RTDC4063/ "%USERPROFILE%\AppData\Local\Temp\OnboardLogs"\RTDC4063\2018-01-07 --exclude "*" --recursive --include "*20180107*" &amp; "%USERPROFILE%\Documents\GitHub\mrs-test-scripts\Headless Mode &amp; Sideloading\WalkAndUnGZ.bat" "%USERPROFILE%\AppData\Local\Temp\OnboardLogs"\RTDC4063\2018-01-07</v>
      </c>
      <c r="AF43" s="234" t="str">
        <f>astrogrep_path&amp;" /e /r /s /spath="&amp;search_path&amp;" /stypes=""app*"&amp;B43&amp;"*"&amp;TEXT(I43-utc_offset/24,"YYYYMMDD")&amp;"*"" /stext="" "&amp;TEXT(I43-utc_offset/24,"HH")&amp;search_regexp&amp;""""</f>
        <v>"C:\Program Files (x86)\AstroGrep\AstroGrep.exe" /e /r /s /spath="%USERPROFILE%\AppData\Local\Temp\OnboardLogs" /stypes="app*4063*20180106*" /stext=" 15:.+((SYSTEM_STATE.+slice.+state.+changed )|(ment ac)|(multiple cpu faults)|(system.+state.+changed )|(\[timeout)|(PRM\|1\|D)|(kpr)|(kdp)|(train st.+moving)|(\|lc)|(penalty))"</v>
      </c>
      <c r="AG43" s="244" t="str">
        <f>DetSubdiv(A43)</f>
        <v>EC</v>
      </c>
      <c r="AH43" s="236" t="str">
        <f t="shared" si="5"/>
        <v>"%USERPROFILE%\Documents\GitHub\eaglep3\Utilities\RefineRTDCRunTimes.py" --tripid 130-06 --locoid 4063 --swversion DE.1.0.9.0 --startMP 204:232942 --initTime 2018-01-06T07:51:41 --startdatetime 2018-01-06T08:12:16 --delay 56 --endMP 204:205 --enddatetime 2018-01-06T08:50:32 --enforcementcount 0 &gt;&gt;%USERPROFILE%\Documents\GitHub\eaglep3-reporting\EC\2018-01-06-refined-times.txt</v>
      </c>
      <c r="AI43" s="238" t="str">
        <f t="shared" si="6"/>
        <v>echo {"issue":{"subject":"","project_id":79,"tracker_id":40,"status_id":1,"priority_id":2,"assigned_to_id":338,"start_date":"2018-01-06","description":"","custom_fields":[{"id":1,"name":"Subdivision","value":"EC"},{"id":4,"name":"Milepost","value":"0.0205"},{"id":17,"name":"Train ID","value":"130-06"},{"id":16,"name":"Locomotive ID","value":"4063"},{"id":130,"name":"Impact","value":""},{"id":150,"name":"Time of Event (Mountain Time)","value":"08:50:32"},{"id":151,"name":"Denver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3" s="223"/>
      <c r="AK43" s="231"/>
      <c r="AL43" s="231"/>
      <c r="AM43" s="240" t="str">
        <f t="shared" si="7"/>
        <v>start /low /b %USERPROFILE%\Documents\GitHub\eaglep3\Utilities\DownloadLogsFromS3.py --loco 4063 --day 2018-01-06</v>
      </c>
      <c r="AN43" s="241" t="str">
        <f t="shared" si="8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15:50:32"},{"id":29,"name":"Sharepoint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 s="230" t="str">
        <f t="shared" si="9"/>
        <v>https://d0f6bd738d7f1b3e5a7ca70fe4ff75f0.us-east-1.aws.found.io/app/kibana#/discover/Steve-Slow-Train-Analysis-(2080s-and-2083s)?_g=(refreshInterval:(display:Off,pause:!f,section:0,value:0),time:(from:'2018-01-06T06:51:41-0700',mode:absolute,to:'2018-01-06T09:50:32-0700'))&amp;_a=(columns:!('Message%20ID',Summary),filters:!(),index:'emp_*',interval:auto,query:(query_string:(analyze_wildcard:!t,query:'%22rtdc.l.rtdc.4063%22')),sort:!(Time.ISO8601,asc))</v>
      </c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3">
      <c r="A44" s="229" t="s">
        <v>739</v>
      </c>
      <c r="B44" s="225">
        <v>4060</v>
      </c>
      <c r="C44" s="227" t="s">
        <v>192</v>
      </c>
      <c r="D44" s="227" t="s">
        <v>526</v>
      </c>
      <c r="E44" s="226">
        <v>43106.307581018518</v>
      </c>
      <c r="F44" s="226">
        <v>43106.312685185185</v>
      </c>
      <c r="G44" s="225">
        <v>86</v>
      </c>
      <c r="H44" s="227" t="s">
        <v>915</v>
      </c>
      <c r="I44" s="226">
        <v>43106.337268518517</v>
      </c>
      <c r="J44" s="225">
        <v>0</v>
      </c>
      <c r="K44" s="237" t="str">
        <f>IF(ISEVEN(B44),(B44-1)&amp;"/"&amp;B44,B44&amp;"/"&amp;(B44+1))</f>
        <v>4059/4060</v>
      </c>
      <c r="L44" s="245" t="str">
        <f>VLOOKUP(A44,'Trips&amp;Operators'!$C$1:$G$99911,5,FALSE)</f>
        <v>WILLIAMS DONTE</v>
      </c>
      <c r="M44" s="224">
        <f>I44-F44</f>
        <v>2.4583333331975155E-2</v>
      </c>
      <c r="N44" s="225">
        <f>24*60*SUM($M44:$M44)</f>
        <v>35.399999998044223</v>
      </c>
      <c r="O44" s="225"/>
      <c r="P44" s="225"/>
      <c r="Q44" s="228"/>
      <c r="R44" s="242"/>
      <c r="S44" s="249">
        <f>1/IF(AG44="EC",12,1)*SUM(U44:U44)</f>
        <v>1</v>
      </c>
      <c r="T44" s="242" t="str">
        <f>IF(ISEVEN(LEFT(AD44,4)),"Southbound","NorthBound")</f>
        <v>NorthBound</v>
      </c>
      <c r="U44" s="246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248" t="str">
        <f>"https://d0f6bd738d7f1b3e5a7ca70fe4ff75f0.us-east-1.aws.found.io/app/kibana#/discover/Steve-Slow-Train-Analysis-(2080s-and-2083s)?_g="&amp;"(refreshInterval:(display:Off,pause:!f,section:0,value:0),time:(from:'"&amp;TEXT(E44-1/24,"yyyy-MM-DDThh:mm:ss")&amp;utc_offset&amp;"00"&amp;"',mode:absolute,to:'"&amp;TEXT(I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44&amp;"%22')),sort:!(Time.ISO8601,asc))"</f>
        <v>https://d0f6bd738d7f1b3e5a7ca70fe4ff75f0.us-east-1.aws.found.io/app/kibana#/discover/Steve-Slow-Train-Analysis-(2080s-and-2083s)?_g=(refreshInterval:(display:Off,pause:!f,section:0,value:0),time:(from:'2018-01-06T06:22:55-0700',mode:absolute,to:'2018-01-06T09:05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44" s="247" t="str">
        <f>IF(AA44&lt;VLOOKUP(AG44,Variables!$AC$3:$AD$8,2,FALSE),"Y","N")</f>
        <v>N</v>
      </c>
      <c r="X44" s="247">
        <f>VALUE(LEFT(AD44,4))-VALUE(LEFT(AD43,4))</f>
        <v>1</v>
      </c>
      <c r="Y44" s="247">
        <f>RIGHT(D44,LEN(D44)-4)/10000</f>
        <v>5.2400000000000002E-2</v>
      </c>
      <c r="Z44" s="247">
        <f>RIGHT(H44,LEN(H44)-4)/10000</f>
        <v>23.3264</v>
      </c>
      <c r="AA44" s="247">
        <f>ABS(Z44-Y44)</f>
        <v>23.274000000000001</v>
      </c>
      <c r="AB44" s="233" t="e">
        <f>VLOOKUP(A44,Enforcements!$C$7:$K$9,8,0)</f>
        <v>#N/A</v>
      </c>
      <c r="AC44" s="232" t="e">
        <f>VLOOKUP(A44,Enforcements!$C$7:$E$9,3,0)</f>
        <v>#N/A</v>
      </c>
      <c r="AD44" s="243">
        <f>VALUE(LEFT(A44,LEN(A44)-3))</f>
        <v>131</v>
      </c>
      <c r="AE44" s="235" t="str">
        <f>"aws s3 cp "&amp;s3_bucket&amp;"/RTDC"&amp;B44&amp;"/ "&amp;search_path&amp;"\RTDC"&amp;B44&amp;"\"&amp;TEXT(F44,"YYYY-MM-DD")&amp;" --exclude ""*"" --recursive --include ""*"&amp;TEXT(F44,"YYYYMMDD")&amp;"*"" &amp; """&amp;walkandungz&amp;""" "&amp;search_path&amp;"\RTDC"&amp;B44&amp;"\"&amp;TEXT(F44,"YYYY-MM-DD")
&amp;" &amp; "&amp;"aws s3 cp "&amp;s3_bucket&amp;"/RTDC"&amp;B44&amp;"/ "&amp;search_path&amp;"\RTDC"&amp;B44&amp;"\"&amp;TEXT(F44+1,"YYYY-MM-DD")&amp;" --exclude ""*"" --recursive --include ""*"&amp;TEXT(F44+1,"YYYYMMDD")&amp;"*"" &amp; """&amp;walkandungz&amp;""" "&amp;search_path&amp;"\RTDC"&amp;B44&amp;"\"&amp;TEXT(F44+1,"YYYY-MM-DD")</f>
        <v>aws s3 cp s3://rtdc.mdm.uploadarchive.raw/RTDC4060/ "%USERPROFILE%\AppData\Local\Temp\OnboardLogs"\RTDC4060\2018-01-06 --exclude "*" --recursive --include "*20180106*" &amp; "%USERPROFILE%\Documents\GitHub\mrs-test-scripts\Headless Mode &amp; Sideloading\WalkAndUnGZ.bat" "%USERPROFILE%\AppData\Local\Temp\OnboardLogs"\RTDC4060\2018-01-06 &amp; aws s3 cp s3://rtdc.mdm.uploadarchive.raw/RTDC4060/ "%USERPROFILE%\AppData\Local\Temp\OnboardLogs"\RTDC4060\2018-01-07 --exclude "*" --recursive --include "*20180107*" &amp; "%USERPROFILE%\Documents\GitHub\mrs-test-scripts\Headless Mode &amp; Sideloading\WalkAndUnGZ.bat" "%USERPROFILE%\AppData\Local\Temp\OnboardLogs"\RTDC4060\2018-01-07</v>
      </c>
      <c r="AF44" s="234" t="str">
        <f>astrogrep_path&amp;" /e /r /s /spath="&amp;search_path&amp;" /stypes=""app*"&amp;B44&amp;"*"&amp;TEXT(I44-utc_offset/24,"YYYYMMDD")&amp;"*"" /stext="" "&amp;TEXT(I44-utc_offset/24,"HH")&amp;search_regexp&amp;""""</f>
        <v>"C:\Program Files (x86)\AstroGrep\AstroGrep.exe" /e /r /s /spath="%USERPROFILE%\AppData\Local\Temp\OnboardLogs" /stypes="app*4060*20180106*" /stext=" 15:.+((SYSTEM_STATE.+slice.+state.+changed )|(ment ac)|(multiple cpu faults)|(system.+state.+changed )|(\[timeout)|(PRM\|1\|D)|(kpr)|(kdp)|(train st.+moving)|(\|lc)|(penalty))"</v>
      </c>
      <c r="AG44" s="244" t="str">
        <f>DetSubdiv(A44)</f>
        <v>EC</v>
      </c>
      <c r="AH44" s="236" t="str">
        <f t="shared" si="5"/>
        <v>"%USERPROFILE%\Documents\GitHub\eaglep3\Utilities\RefineRTDCRunTimes.py" --tripid 131-06 --locoid 4060 --swversion DE.1.0.9.0 --startMP 204:524 --initTime 2018-01-06T07:22:55 --startdatetime 2018-01-06T07:30:16 --delay 86 --endMP 204:233264 --enddatetime 2018-01-06T08:05:40 --enforcementcount 0 &gt;&gt;%USERPROFILE%\Documents\GitHub\eaglep3-reporting\EC\2018-01-06-refined-times.txt</v>
      </c>
      <c r="AI44" s="238" t="str">
        <f t="shared" si="6"/>
        <v>echo {"issue":{"subject":"","project_id":79,"tracker_id":40,"status_id":1,"priority_id":2,"assigned_to_id":338,"start_date":"2018-01-06","description":"","custom_fields":[{"id":1,"name":"Subdivision","value":"EC"},{"id":4,"name":"Milepost","value":"23.3264"},{"id":17,"name":"Train ID","value":"131-06"},{"id":16,"name":"Locomotive ID","value":"4060"},{"id":130,"name":"Impact","value":""},{"id":150,"name":"Time of Event (Mountain Time)","value":"08:05:40"},{"id":151,"name":"Denver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4" s="223"/>
      <c r="AK44" s="231"/>
      <c r="AL44" s="231"/>
      <c r="AM44" s="240" t="str">
        <f t="shared" si="7"/>
        <v>start /low /b %USERPROFILE%\Documents\GitHub\eaglep3\Utilities\DownloadLogsFromS3.py --loco 4060 --day 2018-01-06</v>
      </c>
      <c r="AN44" s="241" t="str">
        <f t="shared" si="8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15:05:40"},{"id":29,"name":"Sharepoint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 s="230" t="str">
        <f t="shared" si="9"/>
        <v>https://d0f6bd738d7f1b3e5a7ca70fe4ff75f0.us-east-1.aws.found.io/app/kibana#/discover/Steve-Slow-Train-Analysis-(2080s-and-2083s)?_g=(refreshInterval:(display:Off,pause:!f,section:0,value:0),time:(from:'2018-01-06T06:22:55-0700',mode:absolute,to:'2018-01-06T09:05:40-0700'))&amp;_a=(columns:!('Message%20ID',Summary),filters:!(),index:'emp_*',interval:auto,query:(query_string:(analyze_wildcard:!t,query:'%22rtdc.l.rtdc.4060%22')),sort:!(Time.ISO8601,asc))</v>
      </c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3">
      <c r="A45" s="229" t="s">
        <v>744</v>
      </c>
      <c r="B45" s="225">
        <v>4059</v>
      </c>
      <c r="C45" s="227" t="s">
        <v>192</v>
      </c>
      <c r="D45" s="227" t="s">
        <v>618</v>
      </c>
      <c r="E45" s="226">
        <v>43106.346909722219</v>
      </c>
      <c r="F45" s="226">
        <v>43106.352546296293</v>
      </c>
      <c r="G45" s="225">
        <v>94</v>
      </c>
      <c r="H45" s="227" t="s">
        <v>477</v>
      </c>
      <c r="I45" s="226">
        <v>43106.379374999997</v>
      </c>
      <c r="J45" s="225">
        <v>0</v>
      </c>
      <c r="K45" s="237" t="str">
        <f>IF(ISEVEN(B45),(B45-1)&amp;"/"&amp;B45,B45&amp;"/"&amp;(B45+1))</f>
        <v>4059/4060</v>
      </c>
      <c r="L45" s="245" t="str">
        <f>VLOOKUP(A45,'Trips&amp;Operators'!$C$1:$G$99911,5,FALSE)</f>
        <v>WILLIAMS DONTE</v>
      </c>
      <c r="M45" s="224">
        <f>I45-F45</f>
        <v>2.6828703703358769E-2</v>
      </c>
      <c r="N45" s="225">
        <f>24*60*SUM($M45:$M45)</f>
        <v>38.633333332836628</v>
      </c>
      <c r="O45" s="225"/>
      <c r="P45" s="225"/>
      <c r="Q45" s="228"/>
      <c r="R45" s="242"/>
      <c r="S45" s="249">
        <f>1/IF(AG45="EC",12,1)*SUM(U45:U45)</f>
        <v>1</v>
      </c>
      <c r="T45" s="242" t="str">
        <f>IF(ISEVEN(LEFT(AD45,4)),"Southbound","NorthBound")</f>
        <v>Southbound</v>
      </c>
      <c r="U45" s="246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248" t="str">
        <f>"https://d0f6bd738d7f1b3e5a7ca70fe4ff75f0.us-east-1.aws.found.io/app/kibana#/discover/Steve-Slow-Train-Analysis-(2080s-and-2083s)?_g="&amp;"(refreshInterval:(display:Off,pause:!f,section:0,value:0),time:(from:'"&amp;TEXT(E45-1/24,"yyyy-MM-DDThh:mm:ss")&amp;utc_offset&amp;"00"&amp;"',mode:absolute,to:'"&amp;TEXT(I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45&amp;"%22')),sort:!(Time.ISO8601,asc))"</f>
        <v>https://d0f6bd738d7f1b3e5a7ca70fe4ff75f0.us-east-1.aws.found.io/app/kibana#/discover/Steve-Slow-Train-Analysis-(2080s-and-2083s)?_g=(refreshInterval:(display:Off,pause:!f,section:0,value:0),time:(from:'2018-01-06T07:19:33-0700',mode:absolute,to:'2018-01-06T10:06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45" s="247" t="str">
        <f>IF(AA45&lt;VLOOKUP(AG45,Variables!$AC$3:$AD$8,2,FALSE),"Y","N")</f>
        <v>N</v>
      </c>
      <c r="X45" s="247">
        <f>VALUE(LEFT(AD45,4))-VALUE(LEFT(AD44,4))</f>
        <v>1</v>
      </c>
      <c r="Y45" s="247">
        <f>RIGHT(D45,LEN(D45)-4)/10000</f>
        <v>23.294499999999999</v>
      </c>
      <c r="Z45" s="247">
        <f>RIGHT(H45,LEN(H45)-4)/10000</f>
        <v>2.01E-2</v>
      </c>
      <c r="AA45" s="247">
        <f>ABS(Z45-Y45)</f>
        <v>23.2744</v>
      </c>
      <c r="AB45" s="233" t="e">
        <f>VLOOKUP(A45,Enforcements!$C$7:$K$9,8,0)</f>
        <v>#N/A</v>
      </c>
      <c r="AC45" s="232" t="e">
        <f>VLOOKUP(A45,Enforcements!$C$7:$E$9,3,0)</f>
        <v>#N/A</v>
      </c>
      <c r="AD45" s="243">
        <f>VALUE(LEFT(A45,LEN(A45)-3))</f>
        <v>132</v>
      </c>
      <c r="AE45" s="235" t="str">
        <f>"aws s3 cp "&amp;s3_bucket&amp;"/RTDC"&amp;B45&amp;"/ "&amp;search_path&amp;"\RTDC"&amp;B45&amp;"\"&amp;TEXT(F45,"YYYY-MM-DD")&amp;" --exclude ""*"" --recursive --include ""*"&amp;TEXT(F45,"YYYYMMDD")&amp;"*"" &amp; """&amp;walkandungz&amp;""" "&amp;search_path&amp;"\RTDC"&amp;B45&amp;"\"&amp;TEXT(F45,"YYYY-MM-DD")
&amp;" &amp; "&amp;"aws s3 cp "&amp;s3_bucket&amp;"/RTDC"&amp;B45&amp;"/ "&amp;search_path&amp;"\RTDC"&amp;B45&amp;"\"&amp;TEXT(F45+1,"YYYY-MM-DD")&amp;" --exclude ""*"" --recursive --include ""*"&amp;TEXT(F45+1,"YYYYMMDD")&amp;"*"" &amp; """&amp;walkandungz&amp;""" "&amp;search_path&amp;"\RTDC"&amp;B45&amp;"\"&amp;TEXT(F45+1,"YYYY-MM-DD")</f>
        <v>aws s3 cp s3://rtdc.mdm.uploadarchive.raw/RTDC4059/ "%USERPROFILE%\AppData\Local\Temp\OnboardLogs"\RTDC4059\2018-01-06 --exclude "*" --recursive --include "*20180106*" &amp; "%USERPROFILE%\Documents\GitHub\mrs-test-scripts\Headless Mode &amp; Sideloading\WalkAndUnGZ.bat" "%USERPROFILE%\AppData\Local\Temp\OnboardLogs"\RTDC4059\2018-01-06 &amp; aws s3 cp s3://rtdc.mdm.uploadarchive.raw/RTDC4059/ "%USERPROFILE%\AppData\Local\Temp\OnboardLogs"\RTDC4059\2018-01-07 --exclude "*" --recursive --include "*20180107*" &amp; "%USERPROFILE%\Documents\GitHub\mrs-test-scripts\Headless Mode &amp; Sideloading\WalkAndUnGZ.bat" "%USERPROFILE%\AppData\Local\Temp\OnboardLogs"\RTDC4059\2018-01-07</v>
      </c>
      <c r="AF45" s="234" t="str">
        <f>astrogrep_path&amp;" /e /r /s /spath="&amp;search_path&amp;" /stypes=""app*"&amp;B45&amp;"*"&amp;TEXT(I45-utc_offset/24,"YYYYMMDD")&amp;"*"" /stext="" "&amp;TEXT(I45-utc_offset/24,"HH")&amp;search_regexp&amp;""""</f>
        <v>"C:\Program Files (x86)\AstroGrep\AstroGrep.exe" /e /r /s /spath="%USERPROFILE%\AppData\Local\Temp\OnboardLogs" /stypes="app*4059*20180106*" /stext=" 16:.+((SYSTEM_STATE.+slice.+state.+changed )|(ment ac)|(multiple cpu faults)|(system.+state.+changed )|(\[timeout)|(PRM\|1\|D)|(kpr)|(kdp)|(train st.+moving)|(\|lc)|(penalty))"</v>
      </c>
      <c r="AG45" s="244" t="str">
        <f>DetSubdiv(A45)</f>
        <v>EC</v>
      </c>
      <c r="AH45" s="236" t="str">
        <f t="shared" si="5"/>
        <v>"%USERPROFILE%\Documents\GitHub\eaglep3\Utilities\RefineRTDCRunTimes.py" --tripid 132-06 --locoid 4059 --swversion DE.1.0.9.0 --startMP 204:232945 --initTime 2018-01-06T08:19:33 --startdatetime 2018-01-06T08:27:40 --delay 94 --endMP 204:201 --enddatetime 2018-01-06T09:06:18 --enforcementcount 0 &gt;&gt;%USERPROFILE%\Documents\GitHub\eaglep3-reporting\EC\2018-01-06-refined-times.txt</v>
      </c>
      <c r="AI45" s="238" t="str">
        <f t="shared" si="6"/>
        <v>echo {"issue":{"subject":"","project_id":79,"tracker_id":40,"status_id":1,"priority_id":2,"assigned_to_id":338,"start_date":"2018-01-06","description":"","custom_fields":[{"id":1,"name":"Subdivision","value":"EC"},{"id":4,"name":"Milepost","value":"0.0201"},{"id":17,"name":"Train ID","value":"132-06"},{"id":16,"name":"Locomotive ID","value":"4059"},{"id":130,"name":"Impact","value":""},{"id":150,"name":"Time of Event (Mountain Time)","value":"09:06:18"},{"id":151,"name":"Denver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5" s="223"/>
      <c r="AK45" s="231"/>
      <c r="AL45" s="231"/>
      <c r="AM45" s="240" t="str">
        <f t="shared" si="7"/>
        <v>start /low /b %USERPROFILE%\Documents\GitHub\eaglep3\Utilities\DownloadLogsFromS3.py --loco 4059 --day 2018-01-06</v>
      </c>
      <c r="AN45" s="241" t="str">
        <f t="shared" si="8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16:06:18"},{"id":29,"name":"Sharepoint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 s="230" t="str">
        <f t="shared" si="9"/>
        <v>https://d0f6bd738d7f1b3e5a7ca70fe4ff75f0.us-east-1.aws.found.io/app/kibana#/discover/Steve-Slow-Train-Analysis-(2080s-and-2083s)?_g=(refreshInterval:(display:Off,pause:!f,section:0,value:0),time:(from:'2018-01-06T07:19:33-0700',mode:absolute,to:'2018-01-06T10:06:18-0700'))&amp;_a=(columns:!('Message%20ID',Summary),filters:!(),index:'emp_*',interval:auto,query:(query_string:(analyze_wildcard:!t,query:'%22rtdc.l.rtdc.4059%22')),sort:!(Time.ISO8601,asc))</v>
      </c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3">
      <c r="A46" s="229" t="s">
        <v>663</v>
      </c>
      <c r="B46" s="225">
        <v>4030</v>
      </c>
      <c r="C46" s="227" t="s">
        <v>192</v>
      </c>
      <c r="D46" s="227" t="s">
        <v>570</v>
      </c>
      <c r="E46" s="226">
        <v>43106.316493055558</v>
      </c>
      <c r="F46" s="226">
        <v>43106.323067129626</v>
      </c>
      <c r="G46" s="225">
        <v>57</v>
      </c>
      <c r="H46" s="227" t="s">
        <v>899</v>
      </c>
      <c r="I46" s="226">
        <v>43106.346724537034</v>
      </c>
      <c r="J46" s="225">
        <v>0</v>
      </c>
      <c r="K46" s="237" t="str">
        <f>IF(ISEVEN(B46),(B46-1)&amp;"/"&amp;B46,B46&amp;"/"&amp;(B46+1))</f>
        <v>4029/4030</v>
      </c>
      <c r="L46" s="245" t="str">
        <f>VLOOKUP(A46,'Trips&amp;Operators'!$C$1:$G$99911,5,FALSE)</f>
        <v>LOPES KIMBERLY</v>
      </c>
      <c r="M46" s="224">
        <f>I46-F46</f>
        <v>2.3657407407881692E-2</v>
      </c>
      <c r="N46" s="225">
        <f>24*60*SUM($M46:$M46)</f>
        <v>34.066666667349637</v>
      </c>
      <c r="O46" s="225"/>
      <c r="P46" s="225"/>
      <c r="Q46" s="228"/>
      <c r="R46" s="242"/>
      <c r="S46" s="249">
        <f>1/IF(AG46="EC",12,1)*SUM(U46:U46)</f>
        <v>1</v>
      </c>
      <c r="T46" s="242" t="str">
        <f>IF(ISEVEN(LEFT(AD46,4)),"Southbound","NorthBound")</f>
        <v>NorthBound</v>
      </c>
      <c r="U46" s="246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248" t="str">
        <f>"https://d0f6bd738d7f1b3e5a7ca70fe4ff75f0.us-east-1.aws.found.io/app/kibana#/discover/Steve-Slow-Train-Analysis-(2080s-and-2083s)?_g="&amp;"(refreshInterval:(display:Off,pause:!f,section:0,value:0),time:(from:'"&amp;TEXT(E46-1/24,"yyyy-MM-DDThh:mm:ss")&amp;utc_offset&amp;"00"&amp;"',mode:absolute,to:'"&amp;TEXT(I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46&amp;"%22')),sort:!(Time.ISO8601,asc))"</f>
        <v>https://d0f6bd738d7f1b3e5a7ca70fe4ff75f0.us-east-1.aws.found.io/app/kibana#/discover/Steve-Slow-Train-Analysis-(2080s-and-2083s)?_g=(refreshInterval:(display:Off,pause:!f,section:0,value:0),time:(from:'2018-01-06T06:35:45-0700',mode:absolute,to:'2018-01-06T09:19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46" s="247" t="str">
        <f>IF(AA46&lt;VLOOKUP(AG46,Variables!$AC$3:$AD$8,2,FALSE),"Y","N")</f>
        <v>N</v>
      </c>
      <c r="X46" s="247">
        <f>VALUE(LEFT(AD46,4))-VALUE(LEFT(AD45,4))</f>
        <v>1</v>
      </c>
      <c r="Y46" s="247">
        <f>RIGHT(D46,LEN(D46)-4)/10000</f>
        <v>5.1299999999999998E-2</v>
      </c>
      <c r="Z46" s="247">
        <f>RIGHT(H46,LEN(H46)-4)/10000</f>
        <v>23.319900000000001</v>
      </c>
      <c r="AA46" s="247">
        <f>ABS(Z46-Y46)</f>
        <v>23.268599999999999</v>
      </c>
      <c r="AB46" s="233" t="str">
        <f>VLOOKUP(A46,Enforcements!$C$7:$K$9,8,0)</f>
        <v>Bulletin (2)</v>
      </c>
      <c r="AC46" s="232" t="str">
        <f>VLOOKUP(A46,Enforcements!$C$7:$E$9,3,0)</f>
        <v>GRADE CROSSING</v>
      </c>
      <c r="AD46" s="243">
        <f>VALUE(LEFT(A46,LEN(A46)-3))</f>
        <v>133</v>
      </c>
      <c r="AE46" s="235" t="str">
        <f>"aws s3 cp "&amp;s3_bucket&amp;"/RTDC"&amp;B46&amp;"/ "&amp;search_path&amp;"\RTDC"&amp;B46&amp;"\"&amp;TEXT(F46,"YYYY-MM-DD")&amp;" --exclude ""*"" --recursive --include ""*"&amp;TEXT(F46,"YYYYMMDD")&amp;"*"" &amp; """&amp;walkandungz&amp;""" "&amp;search_path&amp;"\RTDC"&amp;B46&amp;"\"&amp;TEXT(F46,"YYYY-MM-DD")
&amp;" &amp; "&amp;"aws s3 cp "&amp;s3_bucket&amp;"/RTDC"&amp;B46&amp;"/ "&amp;search_path&amp;"\RTDC"&amp;B46&amp;"\"&amp;TEXT(F46+1,"YYYY-MM-DD")&amp;" --exclude ""*"" --recursive --include ""*"&amp;TEXT(F46+1,"YYYYMMDD")&amp;"*"" &amp; """&amp;walkandungz&amp;""" "&amp;search_path&amp;"\RTDC"&amp;B46&amp;"\"&amp;TEXT(F46+1,"YYYY-MM-DD")</f>
        <v>aws s3 cp s3://rtdc.mdm.uploadarchive.raw/RTDC4030/ "%USERPROFILE%\AppData\Local\Temp\OnboardLogs"\RTDC4030\2018-01-06 --exclude "*" --recursive --include "*20180106*" &amp; "%USERPROFILE%\Documents\GitHub\mrs-test-scripts\Headless Mode &amp; Sideloading\WalkAndUnGZ.bat" "%USERPROFILE%\AppData\Local\Temp\OnboardLogs"\RTDC4030\2018-01-06 &amp; aws s3 cp s3://rtdc.mdm.uploadarchive.raw/RTDC4030/ "%USERPROFILE%\AppData\Local\Temp\OnboardLogs"\RTDC4030\2018-01-07 --exclude "*" --recursive --include "*20180107*" &amp; "%USERPROFILE%\Documents\GitHub\mrs-test-scripts\Headless Mode &amp; Sideloading\WalkAndUnGZ.bat" "%USERPROFILE%\AppData\Local\Temp\OnboardLogs"\RTDC4030\2018-01-07</v>
      </c>
      <c r="AF46" s="234" t="str">
        <f>astrogrep_path&amp;" /e /r /s /spath="&amp;search_path&amp;" /stypes=""app*"&amp;B46&amp;"*"&amp;TEXT(I46-utc_offset/24,"YYYYMMDD")&amp;"*"" /stext="" "&amp;TEXT(I46-utc_offset/24,"HH")&amp;search_regexp&amp;""""</f>
        <v>"C:\Program Files (x86)\AstroGrep\AstroGrep.exe" /e /r /s /spath="%USERPROFILE%\AppData\Local\Temp\OnboardLogs" /stypes="app*4030*20180106*" /stext=" 15:.+((SYSTEM_STATE.+slice.+state.+changed )|(ment ac)|(multiple cpu faults)|(system.+state.+changed )|(\[timeout)|(PRM\|1\|D)|(kpr)|(kdp)|(train st.+moving)|(\|lc)|(penalty))"</v>
      </c>
      <c r="AG46" s="244" t="str">
        <f>DetSubdiv(A46)</f>
        <v>EC</v>
      </c>
      <c r="AH46" s="236" t="str">
        <f t="shared" si="5"/>
        <v>"%USERPROFILE%\Documents\GitHub\eaglep3\Utilities\RefineRTDCRunTimes.py" --tripid 133-06 --locoid 4030 --swversion DE.1.0.9.0 --startMP 204:513 --initTime 2018-01-06T07:35:45 --startdatetime 2018-01-06T07:45:13 --delay 57 --endMP 204:233199 --enddatetime 2018-01-06T08:19:17 --enforcementcount 0 &gt;&gt;%USERPROFILE%\Documents\GitHub\eaglep3-reporting\EC\2018-01-06-refined-times.txt</v>
      </c>
      <c r="AI46" s="238" t="str">
        <f t="shared" si="6"/>
        <v>echo {"issue":{"subject":"","project_id":79,"tracker_id":40,"status_id":1,"priority_id":2,"assigned_to_id":338,"start_date":"2018-01-06","description":"","custom_fields":[{"id":1,"name":"Subdivision","value":"EC"},{"id":4,"name":"Milepost","value":"23.3199"},{"id":17,"name":"Train ID","value":"133-06"},{"id":16,"name":"Locomotive ID","value":"4030"},{"id":130,"name":"Impact","value":""},{"id":150,"name":"Time of Event (Mountain Time)","value":"08:19:17"},{"id":151,"name":"Denver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6" s="223"/>
      <c r="AK46" s="231"/>
      <c r="AL46" s="231"/>
      <c r="AM46" s="240" t="str">
        <f t="shared" si="7"/>
        <v>start /low /b %USERPROFILE%\Documents\GitHub\eaglep3\Utilities\DownloadLogsFromS3.py --loco 4030 --day 2018-01-06</v>
      </c>
      <c r="AN46" s="241" t="str">
        <f t="shared" si="8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15:19:17"},{"id":29,"name":"Sharepoint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 s="230" t="str">
        <f t="shared" si="9"/>
        <v>https://d0f6bd738d7f1b3e5a7ca70fe4ff75f0.us-east-1.aws.found.io/app/kibana#/discover/Steve-Slow-Train-Analysis-(2080s-and-2083s)?_g=(refreshInterval:(display:Off,pause:!f,section:0,value:0),time:(from:'2018-01-06T06:35:45-0700',mode:absolute,to:'2018-01-06T09:19:17-0700'))&amp;_a=(columns:!('Message%20ID',Summary),filters:!(),index:'emp_*',interval:auto,query:(query_string:(analyze_wildcard:!t,query:'%22rtdc.l.rtdc.4030%22')),sort:!(Time.ISO8601,asc))</v>
      </c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3">
      <c r="A47" s="229" t="s">
        <v>745</v>
      </c>
      <c r="B47" s="225">
        <v>4029</v>
      </c>
      <c r="C47" s="227" t="s">
        <v>192</v>
      </c>
      <c r="D47" s="227" t="s">
        <v>916</v>
      </c>
      <c r="E47" s="226">
        <v>43106.34783564815</v>
      </c>
      <c r="F47" s="226">
        <v>43106.362662037034</v>
      </c>
      <c r="G47" s="225">
        <v>51</v>
      </c>
      <c r="H47" s="227" t="s">
        <v>916</v>
      </c>
      <c r="I47" s="226">
        <v>43106.38790509259</v>
      </c>
      <c r="J47" s="225">
        <v>0</v>
      </c>
      <c r="K47" s="237" t="str">
        <f>IF(ISEVEN(B47),(B47-1)&amp;"/"&amp;B47,B47&amp;"/"&amp;(B47+1))</f>
        <v>4029/4030</v>
      </c>
      <c r="L47" s="245" t="str">
        <f>VLOOKUP(A47,'Trips&amp;Operators'!$C$1:$G$99911,5,FALSE)</f>
        <v>LOPES KIMBERLY</v>
      </c>
      <c r="M47" s="224">
        <f>I47-F47</f>
        <v>2.5243055555620231E-2</v>
      </c>
      <c r="N47" s="225"/>
      <c r="O47" s="225"/>
      <c r="P47" s="225"/>
      <c r="Q47" s="228"/>
      <c r="R47" s="242"/>
      <c r="S47" s="249"/>
      <c r="T47" s="242" t="str">
        <f>IF(ISEVEN(LEFT(AD47,4)),"Southbound","NorthBound")</f>
        <v>Southbound</v>
      </c>
      <c r="U47" s="246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0</v>
      </c>
      <c r="V47" s="248" t="str">
        <f>"https://d0f6bd738d7f1b3e5a7ca70fe4ff75f0.us-east-1.aws.found.io/app/kibana#/discover/Steve-Slow-Train-Analysis-(2080s-and-2083s)?_g="&amp;"(refreshInterval:(display:Off,pause:!f,section:0,value:0),time:(from:'"&amp;TEXT(E47-1/24,"yyyy-MM-DDThh:mm:ss")&amp;utc_offset&amp;"00"&amp;"',mode:absolute,to:'"&amp;TEXT(I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47&amp;"%22')),sort:!(Time.ISO8601,asc))"</f>
        <v>https://d0f6bd738d7f1b3e5a7ca70fe4ff75f0.us-east-1.aws.found.io/app/kibana#/discover/Steve-Slow-Train-Analysis-(2080s-and-2083s)?_g=(refreshInterval:(display:Off,pause:!f,section:0,value:0),time:(from:'2018-01-06T07:20:53-0700',mode:absolute,to:'2018-01-06T10:18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47" s="247" t="str">
        <f>IF(AA47&lt;VLOOKUP(AG47,Variables!$AC$3:$AD$8,2,FALSE),"Y","N")</f>
        <v>Y</v>
      </c>
      <c r="X47" s="247">
        <f>VALUE(LEFT(AD47,4))-VALUE(LEFT(AD46,4))</f>
        <v>1</v>
      </c>
      <c r="Y47" s="247">
        <f>RIGHT(D47,LEN(D47)-4)/10000</f>
        <v>23.2881</v>
      </c>
      <c r="Z47" s="247">
        <f>RIGHT(H47,LEN(H47)-4)/10000</f>
        <v>23.2881</v>
      </c>
      <c r="AA47" s="247">
        <f>ABS(Z47-Y47)</f>
        <v>0</v>
      </c>
      <c r="AB47" s="233" t="e">
        <f>VLOOKUP(A47,Enforcements!$C$7:$K$9,8,0)</f>
        <v>#N/A</v>
      </c>
      <c r="AC47" s="232" t="e">
        <f>VLOOKUP(A47,Enforcements!$C$7:$E$9,3,0)</f>
        <v>#N/A</v>
      </c>
      <c r="AD47" s="243">
        <f>VALUE(LEFT(A47,LEN(A47)-3))</f>
        <v>134</v>
      </c>
      <c r="AE47" s="235" t="str">
        <f>"aws s3 cp "&amp;s3_bucket&amp;"/RTDC"&amp;B47&amp;"/ "&amp;search_path&amp;"\RTDC"&amp;B47&amp;"\"&amp;TEXT(F47,"YYYY-MM-DD")&amp;" --exclude ""*"" --recursive --include ""*"&amp;TEXT(F47,"YYYYMMDD")&amp;"*"" &amp; """&amp;walkandungz&amp;""" "&amp;search_path&amp;"\RTDC"&amp;B47&amp;"\"&amp;TEXT(F47,"YYYY-MM-DD")
&amp;" &amp; "&amp;"aws s3 cp "&amp;s3_bucket&amp;"/RTDC"&amp;B47&amp;"/ "&amp;search_path&amp;"\RTDC"&amp;B47&amp;"\"&amp;TEXT(F47+1,"YYYY-MM-DD")&amp;" --exclude ""*"" --recursive --include ""*"&amp;TEXT(F47+1,"YYYYMMDD")&amp;"*"" &amp; """&amp;walkandungz&amp;""" "&amp;search_path&amp;"\RTDC"&amp;B47&amp;"\"&amp;TEXT(F47+1,"YYYY-MM-DD")</f>
        <v>aws s3 cp s3://rtdc.mdm.uploadarchive.raw/RTDC4029/ "%USERPROFILE%\AppData\Local\Temp\OnboardLogs"\RTDC4029\2018-01-06 --exclude "*" --recursive --include "*20180106*" &amp; "%USERPROFILE%\Documents\GitHub\mrs-test-scripts\Headless Mode &amp; Sideloading\WalkAndUnGZ.bat" "%USERPROFILE%\AppData\Local\Temp\OnboardLogs"\RTDC4029\2018-01-06 &amp; aws s3 cp s3://rtdc.mdm.uploadarchive.raw/RTDC4029/ "%USERPROFILE%\AppData\Local\Temp\OnboardLogs"\RTDC4029\2018-01-07 --exclude "*" --recursive --include "*20180107*" &amp; "%USERPROFILE%\Documents\GitHub\mrs-test-scripts\Headless Mode &amp; Sideloading\WalkAndUnGZ.bat" "%USERPROFILE%\AppData\Local\Temp\OnboardLogs"\RTDC4029\2018-01-07</v>
      </c>
      <c r="AF47" s="234" t="str">
        <f>astrogrep_path&amp;" /e /r /s /spath="&amp;search_path&amp;" /stypes=""app*"&amp;B47&amp;"*"&amp;TEXT(I47-utc_offset/24,"YYYYMMDD")&amp;"*"" /stext="" "&amp;TEXT(I47-utc_offset/24,"HH")&amp;search_regexp&amp;""""</f>
        <v>"C:\Program Files (x86)\AstroGrep\AstroGrep.exe" /e /r /s /spath="%USERPROFILE%\AppData\Local\Temp\OnboardLogs" /stypes="app*4029*20180106*" /stext=" 16:.+((SYSTEM_STATE.+slice.+state.+changed )|(ment ac)|(multiple cpu faults)|(system.+state.+changed )|(\[timeout)|(PRM\|1\|D)|(kpr)|(kdp)|(train st.+moving)|(\|lc)|(penalty))"</v>
      </c>
      <c r="AG47" s="244" t="str">
        <f>DetSubdiv(A47)</f>
        <v>EC</v>
      </c>
      <c r="AH47" s="236" t="str">
        <f t="shared" si="5"/>
        <v>"%USERPROFILE%\Documents\GitHub\eaglep3\Utilities\RefineRTDCRunTimes.py" --tripid 134-06 --locoid 4029 --swversion DE.1.0.9.0 --startMP 204:232881 --initTime 2018-01-06T08:20:53 --startdatetime 2018-01-06T08:42:14 --delay 51 --endMP 204:232881 --enddatetime 2018-01-06T09:18:35 --enforcementcount 0 &gt;&gt;%USERPROFILE%\Documents\GitHub\eaglep3-reporting\EC\2018-01-06-refined-times.txt</v>
      </c>
      <c r="AI47" s="238" t="str">
        <f t="shared" si="6"/>
        <v>echo {"issue":{"subject":"","project_id":79,"tracker_id":40,"status_id":1,"priority_id":2,"assigned_to_id":338,"start_date":"2018-01-06","description":"","custom_fields":[{"id":1,"name":"Subdivision","value":"EC"},{"id":4,"name":"Milepost","value":"23.2881"},{"id":17,"name":"Train ID","value":"134-06"},{"id":16,"name":"Locomotive ID","value":"4029"},{"id":130,"name":"Impact","value":""},{"id":150,"name":"Time of Event (Mountain Time)","value":"09:18:35"},{"id":151,"name":"Denver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7" s="223"/>
      <c r="AK47" s="231"/>
      <c r="AL47" s="231"/>
      <c r="AM47" s="240" t="str">
        <f t="shared" si="7"/>
        <v>start /low /b %USERPROFILE%\Documents\GitHub\eaglep3\Utilities\DownloadLogsFromS3.py --loco 4029 --day 2018-01-06</v>
      </c>
      <c r="AN47" s="241" t="str">
        <f t="shared" si="8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16:18:35"},{"id":29,"name":"Sharepoint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 s="230" t="str">
        <f t="shared" si="9"/>
        <v>https://d0f6bd738d7f1b3e5a7ca70fe4ff75f0.us-east-1.aws.found.io/app/kibana#/discover/Steve-Slow-Train-Analysis-(2080s-and-2083s)?_g=(refreshInterval:(display:Off,pause:!f,section:0,value:0),time:(from:'2018-01-06T07:20:53-0700',mode:absolute,to:'2018-01-06T10:18:35-0700'))&amp;_a=(columns:!('Message%20ID',Summary),filters:!(),index:'emp_*',interval:auto,query:(query_string:(analyze_wildcard:!t,query:'%22rtdc.l.rtdc.4029%22')),sort:!(Time.ISO8601,asc))</v>
      </c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3">
      <c r="A48" s="229" t="s">
        <v>745</v>
      </c>
      <c r="B48" s="225">
        <v>4029</v>
      </c>
      <c r="C48" s="227" t="s">
        <v>192</v>
      </c>
      <c r="D48" s="227" t="s">
        <v>917</v>
      </c>
      <c r="E48" s="226">
        <v>43106.360046296293</v>
      </c>
      <c r="F48" s="226">
        <v>43106.362662037034</v>
      </c>
      <c r="G48" s="225">
        <v>51</v>
      </c>
      <c r="H48" s="227" t="s">
        <v>638</v>
      </c>
      <c r="I48" s="226">
        <v>43106.38790509259</v>
      </c>
      <c r="J48" s="225">
        <v>0</v>
      </c>
      <c r="K48" s="237" t="str">
        <f>IF(ISEVEN(B48),(B48-1)&amp;"/"&amp;B48,B48&amp;"/"&amp;(B48+1))</f>
        <v>4029/4030</v>
      </c>
      <c r="L48" s="245" t="str">
        <f>VLOOKUP(A48,'Trips&amp;Operators'!$C$1:$G$99911,5,FALSE)</f>
        <v>LOPES KIMBERLY</v>
      </c>
      <c r="M48" s="224">
        <f>I48-F48</f>
        <v>2.5243055555620231E-2</v>
      </c>
      <c r="N48" s="225">
        <f>24*60*SUM($M48:$M48)</f>
        <v>36.350000000093132</v>
      </c>
      <c r="O48" s="225"/>
      <c r="P48" s="225"/>
      <c r="Q48" s="228"/>
      <c r="R48" s="242"/>
      <c r="S48" s="249">
        <f>1/IF(AG48="EC",12,1)*SUM(U48:U48)</f>
        <v>1</v>
      </c>
      <c r="T48" s="242" t="str">
        <f>IF(ISEVEN(LEFT(AD48,4)),"Southbound","NorthBound")</f>
        <v>Southbound</v>
      </c>
      <c r="U48" s="246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248" t="str">
        <f>"https://d0f6bd738d7f1b3e5a7ca70fe4ff75f0.us-east-1.aws.found.io/app/kibana#/discover/Steve-Slow-Train-Analysis-(2080s-and-2083s)?_g="&amp;"(refreshInterval:(display:Off,pause:!f,section:0,value:0),time:(from:'"&amp;TEXT(E48-1/24,"yyyy-MM-DDThh:mm:ss")&amp;utc_offset&amp;"00"&amp;"',mode:absolute,to:'"&amp;TEXT(I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48&amp;"%22')),sort:!(Time.ISO8601,asc))"</f>
        <v>https://d0f6bd738d7f1b3e5a7ca70fe4ff75f0.us-east-1.aws.found.io/app/kibana#/discover/Steve-Slow-Train-Analysis-(2080s-and-2083s)?_g=(refreshInterval:(display:Off,pause:!f,section:0,value:0),time:(from:'2018-01-06T07:38:28-0700',mode:absolute,to:'2018-01-06T10:18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48" s="247" t="str">
        <f>IF(AA48&lt;VLOOKUP(AG48,Variables!$AC$3:$AD$8,2,FALSE),"Y","N")</f>
        <v>N</v>
      </c>
      <c r="X48" s="247">
        <f>VALUE(LEFT(AD48,4))-VALUE(LEFT(AD47,4))</f>
        <v>0</v>
      </c>
      <c r="Y48" s="247">
        <f>RIGHT(D48,LEN(D48)-4)/10000</f>
        <v>23.287500000000001</v>
      </c>
      <c r="Z48" s="247">
        <f>RIGHT(H48,LEN(H48)-4)/10000</f>
        <v>1.8499999999999999E-2</v>
      </c>
      <c r="AA48" s="247">
        <f>ABS(Z48-Y48)</f>
        <v>23.269000000000002</v>
      </c>
      <c r="AB48" s="233" t="e">
        <f>VLOOKUP(A48,Enforcements!$C$7:$K$9,8,0)</f>
        <v>#N/A</v>
      </c>
      <c r="AC48" s="232" t="e">
        <f>VLOOKUP(A48,Enforcements!$C$7:$E$9,3,0)</f>
        <v>#N/A</v>
      </c>
      <c r="AD48" s="243">
        <f>VALUE(LEFT(A48,LEN(A48)-3))</f>
        <v>134</v>
      </c>
      <c r="AE48" s="235" t="str">
        <f>"aws s3 cp "&amp;s3_bucket&amp;"/RTDC"&amp;B48&amp;"/ "&amp;search_path&amp;"\RTDC"&amp;B48&amp;"\"&amp;TEXT(F48,"YYYY-MM-DD")&amp;" --exclude ""*"" --recursive --include ""*"&amp;TEXT(F48,"YYYYMMDD")&amp;"*"" &amp; """&amp;walkandungz&amp;""" "&amp;search_path&amp;"\RTDC"&amp;B48&amp;"\"&amp;TEXT(F48,"YYYY-MM-DD")
&amp;" &amp; "&amp;"aws s3 cp "&amp;s3_bucket&amp;"/RTDC"&amp;B48&amp;"/ "&amp;search_path&amp;"\RTDC"&amp;B48&amp;"\"&amp;TEXT(F48+1,"YYYY-MM-DD")&amp;" --exclude ""*"" --recursive --include ""*"&amp;TEXT(F48+1,"YYYYMMDD")&amp;"*"" &amp; """&amp;walkandungz&amp;""" "&amp;search_path&amp;"\RTDC"&amp;B48&amp;"\"&amp;TEXT(F48+1,"YYYY-MM-DD")</f>
        <v>aws s3 cp s3://rtdc.mdm.uploadarchive.raw/RTDC4029/ "%USERPROFILE%\AppData\Local\Temp\OnboardLogs"\RTDC4029\2018-01-06 --exclude "*" --recursive --include "*20180106*" &amp; "%USERPROFILE%\Documents\GitHub\mrs-test-scripts\Headless Mode &amp; Sideloading\WalkAndUnGZ.bat" "%USERPROFILE%\AppData\Local\Temp\OnboardLogs"\RTDC4029\2018-01-06 &amp; aws s3 cp s3://rtdc.mdm.uploadarchive.raw/RTDC4029/ "%USERPROFILE%\AppData\Local\Temp\OnboardLogs"\RTDC4029\2018-01-07 --exclude "*" --recursive --include "*20180107*" &amp; "%USERPROFILE%\Documents\GitHub\mrs-test-scripts\Headless Mode &amp; Sideloading\WalkAndUnGZ.bat" "%USERPROFILE%\AppData\Local\Temp\OnboardLogs"\RTDC4029\2018-01-07</v>
      </c>
      <c r="AF48" s="234" t="str">
        <f>astrogrep_path&amp;" /e /r /s /spath="&amp;search_path&amp;" /stypes=""app*"&amp;B48&amp;"*"&amp;TEXT(I48-utc_offset/24,"YYYYMMDD")&amp;"*"" /stext="" "&amp;TEXT(I48-utc_offset/24,"HH")&amp;search_regexp&amp;""""</f>
        <v>"C:\Program Files (x86)\AstroGrep\AstroGrep.exe" /e /r /s /spath="%USERPROFILE%\AppData\Local\Temp\OnboardLogs" /stypes="app*4029*20180106*" /stext=" 16:.+((SYSTEM_STATE.+slice.+state.+changed )|(ment ac)|(multiple cpu faults)|(system.+state.+changed )|(\[timeout)|(PRM\|1\|D)|(kpr)|(kdp)|(train st.+moving)|(\|lc)|(penalty))"</v>
      </c>
      <c r="AG48" s="244" t="str">
        <f>DetSubdiv(A48)</f>
        <v>EC</v>
      </c>
      <c r="AH48" s="236" t="str">
        <f t="shared" si="5"/>
        <v>"%USERPROFILE%\Documents\GitHub\eaglep3\Utilities\RefineRTDCRunTimes.py" --tripid 134-06 --locoid 4029 --swversion DE.1.0.9.0 --startMP 204:232875 --initTime 2018-01-06T08:38:28 --startdatetime 2018-01-06T08:42:14 --delay 51 --endMP 204:185 --enddatetime 2018-01-06T09:18:35 --enforcementcount 0 &gt;&gt;%USERPROFILE%\Documents\GitHub\eaglep3-reporting\EC\2018-01-06-refined-times.txt</v>
      </c>
      <c r="AI48" s="238" t="str">
        <f t="shared" si="6"/>
        <v>echo {"issue":{"subject":"","project_id":79,"tracker_id":40,"status_id":1,"priority_id":2,"assigned_to_id":338,"start_date":"2018-01-06","description":"","custom_fields":[{"id":1,"name":"Subdivision","value":"EC"},{"id":4,"name":"Milepost","value":"0.0185"},{"id":17,"name":"Train ID","value":"134-06"},{"id":16,"name":"Locomotive ID","value":"4029"},{"id":130,"name":"Impact","value":""},{"id":150,"name":"Time of Event (Mountain Time)","value":"09:18:35"},{"id":151,"name":"Denver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8" s="223"/>
      <c r="AK48" s="231"/>
      <c r="AL48" s="231"/>
      <c r="AM48" s="240" t="str">
        <f t="shared" si="7"/>
        <v>start /low /b %USERPROFILE%\Documents\GitHub\eaglep3\Utilities\DownloadLogsFromS3.py --loco 4029 --day 2018-01-06</v>
      </c>
      <c r="AN48" s="241" t="str">
        <f t="shared" si="8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16:18:35"},{"id":29,"name":"Sharepoint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 s="230" t="str">
        <f t="shared" si="9"/>
        <v>https://d0f6bd738d7f1b3e5a7ca70fe4ff75f0.us-east-1.aws.found.io/app/kibana#/discover/Steve-Slow-Train-Analysis-(2080s-and-2083s)?_g=(refreshInterval:(display:Off,pause:!f,section:0,value:0),time:(from:'2018-01-06T07:38:28-0700',mode:absolute,to:'2018-01-06T10:18:35-0700'))&amp;_a=(columns:!('Message%20ID',Summary),filters:!(),index:'emp_*',interval:auto,query:(query_string:(analyze_wildcard:!t,query:'%22rtdc.l.rtdc.4029%22')),sort:!(Time.ISO8601,asc))</v>
      </c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3">
      <c r="A49" s="229" t="s">
        <v>665</v>
      </c>
      <c r="B49" s="225">
        <v>4012</v>
      </c>
      <c r="C49" s="227" t="s">
        <v>192</v>
      </c>
      <c r="D49" s="227" t="s">
        <v>606</v>
      </c>
      <c r="E49" s="226">
        <v>43106.329953703702</v>
      </c>
      <c r="F49" s="226">
        <v>43106.333518518521</v>
      </c>
      <c r="G49" s="225">
        <v>51</v>
      </c>
      <c r="H49" s="227" t="s">
        <v>910</v>
      </c>
      <c r="I49" s="226">
        <v>43106.359537037039</v>
      </c>
      <c r="J49" s="225">
        <v>0</v>
      </c>
      <c r="K49" s="237" t="str">
        <f>IF(ISEVEN(B49),(B49-1)&amp;"/"&amp;B49,B49&amp;"/"&amp;(B49+1))</f>
        <v>4011/4012</v>
      </c>
      <c r="L49" s="245" t="str">
        <f>VLOOKUP(A49,'Trips&amp;Operators'!$C$1:$G$99911,5,FALSE)</f>
        <v>GEBRETEKLE DAGNEW</v>
      </c>
      <c r="M49" s="224">
        <f>I49-F49</f>
        <v>2.6018518517958E-2</v>
      </c>
      <c r="N49" s="225">
        <f>24*60*SUM($M49:$M49)</f>
        <v>37.46666666585952</v>
      </c>
      <c r="O49" s="225"/>
      <c r="P49" s="225"/>
      <c r="Q49" s="228"/>
      <c r="R49" s="242"/>
      <c r="S49" s="249">
        <f>1/IF(AG49="EC",12,1)*SUM(U49:U49)</f>
        <v>1</v>
      </c>
      <c r="T49" s="242" t="str">
        <f>IF(ISEVEN(LEFT(AD49,4)),"Southbound","NorthBound")</f>
        <v>NorthBound</v>
      </c>
      <c r="U49" s="246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248" t="str">
        <f>"https://d0f6bd738d7f1b3e5a7ca70fe4ff75f0.us-east-1.aws.found.io/app/kibana#/discover/Steve-Slow-Train-Analysis-(2080s-and-2083s)?_g="&amp;"(refreshInterval:(display:Off,pause:!f,section:0,value:0),time:(from:'"&amp;TEXT(E49-1/24,"yyyy-MM-DDThh:mm:ss")&amp;utc_offset&amp;"00"&amp;"',mode:absolute,to:'"&amp;TEXT(I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49&amp;"%22')),sort:!(Time.ISO8601,asc))"</f>
        <v>https://d0f6bd738d7f1b3e5a7ca70fe4ff75f0.us-east-1.aws.found.io/app/kibana#/discover/Steve-Slow-Train-Analysis-(2080s-and-2083s)?_g=(refreshInterval:(display:Off,pause:!f,section:0,value:0),time:(from:'2018-01-06T06:55:08-0700',mode:absolute,to:'2018-01-06T09:37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49" s="247" t="str">
        <f>IF(AA49&lt;VLOOKUP(AG49,Variables!$AC$3:$AD$8,2,FALSE),"Y","N")</f>
        <v>N</v>
      </c>
      <c r="X49" s="247">
        <f>VALUE(LEFT(AD49,4))-VALUE(LEFT(AD48,4))</f>
        <v>1</v>
      </c>
      <c r="Y49" s="247">
        <f>RIGHT(D49,LEN(D49)-4)/10000</f>
        <v>4.4200000000000003E-2</v>
      </c>
      <c r="Z49" s="247">
        <f>RIGHT(H49,LEN(H49)-4)/10000</f>
        <v>23.328700000000001</v>
      </c>
      <c r="AA49" s="247">
        <f>ABS(Z49-Y49)</f>
        <v>23.284500000000001</v>
      </c>
      <c r="AB49" s="233" t="e">
        <f>VLOOKUP(A49,Enforcements!$C$7:$K$9,8,0)</f>
        <v>#N/A</v>
      </c>
      <c r="AC49" s="232" t="e">
        <f>VLOOKUP(A49,Enforcements!$C$7:$E$9,3,0)</f>
        <v>#N/A</v>
      </c>
      <c r="AD49" s="243">
        <f>VALUE(LEFT(A49,LEN(A49)-3))</f>
        <v>135</v>
      </c>
      <c r="AE49" s="235" t="str">
        <f>"aws s3 cp "&amp;s3_bucket&amp;"/RTDC"&amp;B49&amp;"/ "&amp;search_path&amp;"\RTDC"&amp;B49&amp;"\"&amp;TEXT(F49,"YYYY-MM-DD")&amp;" --exclude ""*"" --recursive --include ""*"&amp;TEXT(F49,"YYYYMMDD")&amp;"*"" &amp; """&amp;walkandungz&amp;""" "&amp;search_path&amp;"\RTDC"&amp;B49&amp;"\"&amp;TEXT(F49,"YYYY-MM-DD")
&amp;" &amp; "&amp;"aws s3 cp "&amp;s3_bucket&amp;"/RTDC"&amp;B49&amp;"/ "&amp;search_path&amp;"\RTDC"&amp;B49&amp;"\"&amp;TEXT(F49+1,"YYYY-MM-DD")&amp;" --exclude ""*"" --recursive --include ""*"&amp;TEXT(F49+1,"YYYYMMDD")&amp;"*"" &amp; """&amp;walkandungz&amp;""" "&amp;search_path&amp;"\RTDC"&amp;B49&amp;"\"&amp;TEXT(F49+1,"YYYY-MM-DD")</f>
        <v>aws s3 cp s3://rtdc.mdm.uploadarchive.raw/RTDC4012/ "%USERPROFILE%\AppData\Local\Temp\OnboardLogs"\RTDC4012\2018-01-06 --exclude "*" --recursive --include "*20180106*" &amp; "%USERPROFILE%\Documents\GitHub\mrs-test-scripts\Headless Mode &amp; Sideloading\WalkAndUnGZ.bat" "%USERPROFILE%\AppData\Local\Temp\OnboardLogs"\RTDC4012\2018-01-06 &amp; aws s3 cp s3://rtdc.mdm.uploadarchive.raw/RTDC4012/ "%USERPROFILE%\AppData\Local\Temp\OnboardLogs"\RTDC4012\2018-01-07 --exclude "*" --recursive --include "*20180107*" &amp; "%USERPROFILE%\Documents\GitHub\mrs-test-scripts\Headless Mode &amp; Sideloading\WalkAndUnGZ.bat" "%USERPROFILE%\AppData\Local\Temp\OnboardLogs"\RTDC4012\2018-01-07</v>
      </c>
      <c r="AF49" s="234" t="str">
        <f>astrogrep_path&amp;" /e /r /s /spath="&amp;search_path&amp;" /stypes=""app*"&amp;B49&amp;"*"&amp;TEXT(I49-utc_offset/24,"YYYYMMDD")&amp;"*"" /stext="" "&amp;TEXT(I49-utc_offset/24,"HH")&amp;search_regexp&amp;""""</f>
        <v>"C:\Program Files (x86)\AstroGrep\AstroGrep.exe" /e /r /s /spath="%USERPROFILE%\AppData\Local\Temp\OnboardLogs" /stypes="app*4012*20180106*" /stext=" 15:.+((SYSTEM_STATE.+slice.+state.+changed )|(ment ac)|(multiple cpu faults)|(system.+state.+changed )|(\[timeout)|(PRM\|1\|D)|(kpr)|(kdp)|(train st.+moving)|(\|lc)|(penalty))"</v>
      </c>
      <c r="AG49" s="244" t="str">
        <f>DetSubdiv(A49)</f>
        <v>EC</v>
      </c>
      <c r="AH49" s="236" t="str">
        <f t="shared" si="5"/>
        <v>"%USERPROFILE%\Documents\GitHub\eaglep3\Utilities\RefineRTDCRunTimes.py" --tripid 135-06 --locoid 4012 --swversion DE.1.0.9.0 --startMP 204:442 --initTime 2018-01-06T07:55:08 --startdatetime 2018-01-06T08:00:16 --delay 51 --endMP 204:233287 --enddatetime 2018-01-06T08:37:44 --enforcementcount 0 &gt;&gt;%USERPROFILE%\Documents\GitHub\eaglep3-reporting\EC\2018-01-06-refined-times.txt</v>
      </c>
      <c r="AI49" s="238" t="str">
        <f t="shared" si="6"/>
        <v>echo {"issue":{"subject":"","project_id":79,"tracker_id":40,"status_id":1,"priority_id":2,"assigned_to_id":338,"start_date":"2018-01-06","description":"","custom_fields":[{"id":1,"name":"Subdivision","value":"EC"},{"id":4,"name":"Milepost","value":"23.3287"},{"id":17,"name":"Train ID","value":"135-06"},{"id":16,"name":"Locomotive ID","value":"4012"},{"id":130,"name":"Impact","value":""},{"id":150,"name":"Time of Event (Mountain Time)","value":"08:37:44"},{"id":151,"name":"Denver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9" s="223"/>
      <c r="AK49" s="231"/>
      <c r="AL49" s="231"/>
      <c r="AM49" s="240" t="str">
        <f t="shared" si="7"/>
        <v>start /low /b %USERPROFILE%\Documents\GitHub\eaglep3\Utilities\DownloadLogsFromS3.py --loco 4012 --day 2018-01-06</v>
      </c>
      <c r="AN49" s="241" t="str">
        <f t="shared" si="8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15:37:44"},{"id":29,"name":"Sharepoint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 s="230" t="str">
        <f t="shared" si="9"/>
        <v>https://d0f6bd738d7f1b3e5a7ca70fe4ff75f0.us-east-1.aws.found.io/app/kibana#/discover/Steve-Slow-Train-Analysis-(2080s-and-2083s)?_g=(refreshInterval:(display:Off,pause:!f,section:0,value:0),time:(from:'2018-01-06T06:55:08-0700',mode:absolute,to:'2018-01-06T09:37:44-0700'))&amp;_a=(columns:!('Message%20ID',Summary),filters:!(),index:'emp_*',interval:auto,query:(query_string:(analyze_wildcard:!t,query:'%22rtdc.l.rtdc.4012%22')),sort:!(Time.ISO8601,asc))</v>
      </c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3">
      <c r="A50" s="229" t="s">
        <v>747</v>
      </c>
      <c r="B50" s="225">
        <v>4011</v>
      </c>
      <c r="C50" s="227" t="s">
        <v>192</v>
      </c>
      <c r="D50" s="227" t="s">
        <v>603</v>
      </c>
      <c r="E50" s="226">
        <v>43106.362581018519</v>
      </c>
      <c r="F50" s="226">
        <v>43106.373113425929</v>
      </c>
      <c r="G50" s="225">
        <v>55</v>
      </c>
      <c r="H50" s="227" t="s">
        <v>918</v>
      </c>
      <c r="I50" s="226">
        <v>43106.3987037037</v>
      </c>
      <c r="J50" s="225">
        <v>0</v>
      </c>
      <c r="K50" s="237" t="str">
        <f>IF(ISEVEN(B50),(B50-1)&amp;"/"&amp;B50,B50&amp;"/"&amp;(B50+1))</f>
        <v>4011/4012</v>
      </c>
      <c r="L50" s="245" t="str">
        <f>VLOOKUP(A50,'Trips&amp;Operators'!$C$1:$G$99911,5,FALSE)</f>
        <v>GEBRETEKLE DAGNEW</v>
      </c>
      <c r="M50" s="224">
        <f>I50-F50</f>
        <v>2.5590277771698311E-2</v>
      </c>
      <c r="N50" s="225">
        <f>24*60*SUM($M50:$M50)</f>
        <v>36.849999991245568</v>
      </c>
      <c r="O50" s="225"/>
      <c r="P50" s="225"/>
      <c r="Q50" s="228"/>
      <c r="R50" s="242"/>
      <c r="S50" s="249">
        <f>1/IF(AG50="EC",12,1)*SUM(U50:U50)</f>
        <v>1</v>
      </c>
      <c r="T50" s="242" t="str">
        <f>IF(ISEVEN(LEFT(AD50,4)),"Southbound","NorthBound")</f>
        <v>Southbound</v>
      </c>
      <c r="U50" s="246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248" t="str">
        <f>"https://d0f6bd738d7f1b3e5a7ca70fe4ff75f0.us-east-1.aws.found.io/app/kibana#/discover/Steve-Slow-Train-Analysis-(2080s-and-2083s)?_g="&amp;"(refreshInterval:(display:Off,pause:!f,section:0,value:0),time:(from:'"&amp;TEXT(E50-1/24,"yyyy-MM-DDThh:mm:ss")&amp;utc_offset&amp;"00"&amp;"',mode:absolute,to:'"&amp;TEXT(I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50&amp;"%22')),sort:!(Time.ISO8601,asc))"</f>
        <v>https://d0f6bd738d7f1b3e5a7ca70fe4ff75f0.us-east-1.aws.found.io/app/kibana#/discover/Steve-Slow-Train-Analysis-(2080s-and-2083s)?_g=(refreshInterval:(display:Off,pause:!f,section:0,value:0),time:(from:'2018-01-06T07:42:07-0700',mode:absolute,to:'2018-01-06T10:34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50" s="247" t="str">
        <f>IF(AA50&lt;VLOOKUP(AG50,Variables!$AC$3:$AD$8,2,FALSE),"Y","N")</f>
        <v>N</v>
      </c>
      <c r="X50" s="247">
        <f>VALUE(LEFT(AD50,4))-VALUE(LEFT(AD49,4))</f>
        <v>1</v>
      </c>
      <c r="Y50" s="247">
        <f>RIGHT(D50,LEN(D50)-4)/10000</f>
        <v>23.297000000000001</v>
      </c>
      <c r="Z50" s="247">
        <f>RIGHT(H50,LEN(H50)-4)/10000</f>
        <v>1.6500000000000001E-2</v>
      </c>
      <c r="AA50" s="247">
        <f>ABS(Z50-Y50)</f>
        <v>23.2805</v>
      </c>
      <c r="AB50" s="233" t="e">
        <f>VLOOKUP(A50,Enforcements!$C$7:$K$9,8,0)</f>
        <v>#N/A</v>
      </c>
      <c r="AC50" s="232" t="e">
        <f>VLOOKUP(A50,Enforcements!$C$7:$E$9,3,0)</f>
        <v>#N/A</v>
      </c>
      <c r="AD50" s="243">
        <f>VALUE(LEFT(A50,LEN(A50)-3))</f>
        <v>136</v>
      </c>
      <c r="AE50" s="235" t="str">
        <f>"aws s3 cp "&amp;s3_bucket&amp;"/RTDC"&amp;B50&amp;"/ "&amp;search_path&amp;"\RTDC"&amp;B50&amp;"\"&amp;TEXT(F50,"YYYY-MM-DD")&amp;" --exclude ""*"" --recursive --include ""*"&amp;TEXT(F50,"YYYYMMDD")&amp;"*"" &amp; """&amp;walkandungz&amp;""" "&amp;search_path&amp;"\RTDC"&amp;B50&amp;"\"&amp;TEXT(F50,"YYYY-MM-DD")
&amp;" &amp; "&amp;"aws s3 cp "&amp;s3_bucket&amp;"/RTDC"&amp;B50&amp;"/ "&amp;search_path&amp;"\RTDC"&amp;B50&amp;"\"&amp;TEXT(F50+1,"YYYY-MM-DD")&amp;" --exclude ""*"" --recursive --include ""*"&amp;TEXT(F50+1,"YYYYMMDD")&amp;"*"" &amp; """&amp;walkandungz&amp;""" "&amp;search_path&amp;"\RTDC"&amp;B50&amp;"\"&amp;TEXT(F50+1,"YYYY-MM-DD")</f>
        <v>aws s3 cp s3://rtdc.mdm.uploadarchive.raw/RTDC4011/ "%USERPROFILE%\AppData\Local\Temp\OnboardLogs"\RTDC4011\2018-01-06 --exclude "*" --recursive --include "*20180106*" &amp; "%USERPROFILE%\Documents\GitHub\mrs-test-scripts\Headless Mode &amp; Sideloading\WalkAndUnGZ.bat" "%USERPROFILE%\AppData\Local\Temp\OnboardLogs"\RTDC4011\2018-01-06 &amp; aws s3 cp s3://rtdc.mdm.uploadarchive.raw/RTDC4011/ "%USERPROFILE%\AppData\Local\Temp\OnboardLogs"\RTDC4011\2018-01-07 --exclude "*" --recursive --include "*20180107*" &amp; "%USERPROFILE%\Documents\GitHub\mrs-test-scripts\Headless Mode &amp; Sideloading\WalkAndUnGZ.bat" "%USERPROFILE%\AppData\Local\Temp\OnboardLogs"\RTDC4011\2018-01-07</v>
      </c>
      <c r="AF50" s="234" t="str">
        <f>astrogrep_path&amp;" /e /r /s /spath="&amp;search_path&amp;" /stypes=""app*"&amp;B50&amp;"*"&amp;TEXT(I50-utc_offset/24,"YYYYMMDD")&amp;"*"" /stext="" "&amp;TEXT(I50-utc_offset/24,"HH")&amp;search_regexp&amp;""""</f>
        <v>"C:\Program Files (x86)\AstroGrep\AstroGrep.exe" /e /r /s /spath="%USERPROFILE%\AppData\Local\Temp\OnboardLogs" /stypes="app*4011*20180106*" /stext=" 16:.+((SYSTEM_STATE.+slice.+state.+changed )|(ment ac)|(multiple cpu faults)|(system.+state.+changed )|(\[timeout)|(PRM\|1\|D)|(kpr)|(kdp)|(train st.+moving)|(\|lc)|(penalty))"</v>
      </c>
      <c r="AG50" s="244" t="str">
        <f>DetSubdiv(A50)</f>
        <v>EC</v>
      </c>
      <c r="AH50" s="236" t="str">
        <f t="shared" si="5"/>
        <v>"%USERPROFILE%\Documents\GitHub\eaglep3\Utilities\RefineRTDCRunTimes.py" --tripid 136-06 --locoid 4011 --swversion DE.1.0.9.0 --startMP 204:232970 --initTime 2018-01-06T08:42:07 --startdatetime 2018-01-06T08:57:17 --delay 55 --endMP 204:165 --enddatetime 2018-01-06T09:34:08 --enforcementcount 0 &gt;&gt;%USERPROFILE%\Documents\GitHub\eaglep3-reporting\EC\2018-01-06-refined-times.txt</v>
      </c>
      <c r="AI50" s="238" t="str">
        <f t="shared" si="6"/>
        <v>echo {"issue":{"subject":"","project_id":79,"tracker_id":40,"status_id":1,"priority_id":2,"assigned_to_id":338,"start_date":"2018-01-06","description":"","custom_fields":[{"id":1,"name":"Subdivision","value":"EC"},{"id":4,"name":"Milepost","value":"0.0165"},{"id":17,"name":"Train ID","value":"136-06"},{"id":16,"name":"Locomotive ID","value":"4011"},{"id":130,"name":"Impact","value":""},{"id":150,"name":"Time of Event (Mountain Time)","value":"09:34:08"},{"id":151,"name":"Denver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0" s="223"/>
      <c r="AK50" s="231"/>
      <c r="AL50" s="231"/>
      <c r="AM50" s="240" t="str">
        <f t="shared" si="7"/>
        <v>start /low /b %USERPROFILE%\Documents\GitHub\eaglep3\Utilities\DownloadLogsFromS3.py --loco 4011 --day 2018-01-06</v>
      </c>
      <c r="AN50" s="241" t="str">
        <f t="shared" si="8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16:34:08"},{"id":29,"name":"Sharepoint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 s="230" t="str">
        <f t="shared" si="9"/>
        <v>https://d0f6bd738d7f1b3e5a7ca70fe4ff75f0.us-east-1.aws.found.io/app/kibana#/discover/Steve-Slow-Train-Analysis-(2080s-and-2083s)?_g=(refreshInterval:(display:Off,pause:!f,section:0,value:0),time:(from:'2018-01-06T07:42:07-0700',mode:absolute,to:'2018-01-06T10:34:08-0700'))&amp;_a=(columns:!('Message%20ID',Summary),filters:!(),index:'emp_*',interval:auto,query:(query_string:(analyze_wildcard:!t,query:'%22rtdc.l.rtdc.4011%22')),sort:!(Time.ISO8601,asc))</v>
      </c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3">
      <c r="A51" s="229" t="s">
        <v>738</v>
      </c>
      <c r="B51" s="225">
        <v>4044</v>
      </c>
      <c r="C51" s="227" t="s">
        <v>192</v>
      </c>
      <c r="D51" s="227" t="s">
        <v>556</v>
      </c>
      <c r="E51" s="226">
        <v>43106.341354166667</v>
      </c>
      <c r="F51" s="226">
        <v>43106.343935185185</v>
      </c>
      <c r="G51" s="225">
        <v>65</v>
      </c>
      <c r="H51" s="227" t="s">
        <v>919</v>
      </c>
      <c r="I51" s="226">
        <v>43106.367835648147</v>
      </c>
      <c r="J51" s="225">
        <v>0</v>
      </c>
      <c r="K51" s="237" t="str">
        <f>IF(ISEVEN(B51),(B51-1)&amp;"/"&amp;B51,B51&amp;"/"&amp;(B51+1))</f>
        <v>4043/4044</v>
      </c>
      <c r="L51" s="245" t="str">
        <f>VLOOKUP(A51,'Trips&amp;Operators'!$C$1:$G$99911,5,FALSE)</f>
        <v>DELGADO DIANAH</v>
      </c>
      <c r="M51" s="224">
        <f>I51-F51</f>
        <v>2.3900462962046731E-2</v>
      </c>
      <c r="N51" s="225">
        <f>24*60*SUM($M51:$M51)</f>
        <v>34.416666665347293</v>
      </c>
      <c r="O51" s="225"/>
      <c r="P51" s="225"/>
      <c r="Q51" s="228"/>
      <c r="R51" s="242"/>
      <c r="S51" s="249">
        <f>1/IF(AG51="EC",12,1)*SUM(U51:U51)</f>
        <v>1</v>
      </c>
      <c r="T51" s="242" t="str">
        <f>IF(ISEVEN(LEFT(AD51,4)),"Southbound","NorthBound")</f>
        <v>NorthBound</v>
      </c>
      <c r="U51" s="246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248" t="str">
        <f>"https://d0f6bd738d7f1b3e5a7ca70fe4ff75f0.us-east-1.aws.found.io/app/kibana#/discover/Steve-Slow-Train-Analysis-(2080s-and-2083s)?_g="&amp;"(refreshInterval:(display:Off,pause:!f,section:0,value:0),time:(from:'"&amp;TEXT(E51-1/24,"yyyy-MM-DDThh:mm:ss")&amp;utc_offset&amp;"00"&amp;"',mode:absolute,to:'"&amp;TEXT(I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51&amp;"%22')),sort:!(Time.ISO8601,asc))"</f>
        <v>https://d0f6bd738d7f1b3e5a7ca70fe4ff75f0.us-east-1.aws.found.io/app/kibana#/discover/Steve-Slow-Train-Analysis-(2080s-and-2083s)?_g=(refreshInterval:(display:Off,pause:!f,section:0,value:0),time:(from:'2018-01-06T07:11:33-0700',mode:absolute,to:'2018-01-06T09:49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51" s="247" t="str">
        <f>IF(AA51&lt;VLOOKUP(AG51,Variables!$AC$3:$AD$8,2,FALSE),"Y","N")</f>
        <v>N</v>
      </c>
      <c r="X51" s="247">
        <f>VALUE(LEFT(AD51,4))-VALUE(LEFT(AD50,4))</f>
        <v>1</v>
      </c>
      <c r="Y51" s="247">
        <f>RIGHT(D51,LEN(D51)-4)/10000</f>
        <v>4.3799999999999999E-2</v>
      </c>
      <c r="Z51" s="247">
        <f>RIGHT(H51,LEN(H51)-4)/10000</f>
        <v>23.332999999999998</v>
      </c>
      <c r="AA51" s="247">
        <f>ABS(Z51-Y51)</f>
        <v>23.289199999999997</v>
      </c>
      <c r="AB51" s="233" t="e">
        <f>VLOOKUP(A51,Enforcements!$C$7:$K$9,8,0)</f>
        <v>#N/A</v>
      </c>
      <c r="AC51" s="232" t="e">
        <f>VLOOKUP(A51,Enforcements!$C$7:$E$9,3,0)</f>
        <v>#N/A</v>
      </c>
      <c r="AD51" s="243">
        <f>VALUE(LEFT(A51,LEN(A51)-3))</f>
        <v>137</v>
      </c>
      <c r="AE51" s="235" t="str">
        <f>"aws s3 cp "&amp;s3_bucket&amp;"/RTDC"&amp;B51&amp;"/ "&amp;search_path&amp;"\RTDC"&amp;B51&amp;"\"&amp;TEXT(F51,"YYYY-MM-DD")&amp;" --exclude ""*"" --recursive --include ""*"&amp;TEXT(F51,"YYYYMMDD")&amp;"*"" &amp; """&amp;walkandungz&amp;""" "&amp;search_path&amp;"\RTDC"&amp;B51&amp;"\"&amp;TEXT(F51,"YYYY-MM-DD")
&amp;" &amp; "&amp;"aws s3 cp "&amp;s3_bucket&amp;"/RTDC"&amp;B51&amp;"/ "&amp;search_path&amp;"\RTDC"&amp;B51&amp;"\"&amp;TEXT(F51+1,"YYYY-MM-DD")&amp;" --exclude ""*"" --recursive --include ""*"&amp;TEXT(F51+1,"YYYYMMDD")&amp;"*"" &amp; """&amp;walkandungz&amp;""" "&amp;search_path&amp;"\RTDC"&amp;B51&amp;"\"&amp;TEXT(F51+1,"YYYY-MM-DD")</f>
        <v>aws s3 cp s3://rtdc.mdm.uploadarchive.raw/RTDC4044/ "%USERPROFILE%\AppData\Local\Temp\OnboardLogs"\RTDC4044\2018-01-06 --exclude "*" --recursive --include "*20180106*" &amp; "%USERPROFILE%\Documents\GitHub\mrs-test-scripts\Headless Mode &amp; Sideloading\WalkAndUnGZ.bat" "%USERPROFILE%\AppData\Local\Temp\OnboardLogs"\RTDC4044\2018-01-06 &amp; aws s3 cp s3://rtdc.mdm.uploadarchive.raw/RTDC4044/ "%USERPROFILE%\AppData\Local\Temp\OnboardLogs"\RTDC4044\2018-01-07 --exclude "*" --recursive --include "*20180107*" &amp; "%USERPROFILE%\Documents\GitHub\mrs-test-scripts\Headless Mode &amp; Sideloading\WalkAndUnGZ.bat" "%USERPROFILE%\AppData\Local\Temp\OnboardLogs"\RTDC4044\2018-01-07</v>
      </c>
      <c r="AF51" s="234" t="str">
        <f>astrogrep_path&amp;" /e /r /s /spath="&amp;search_path&amp;" /stypes=""app*"&amp;B51&amp;"*"&amp;TEXT(I51-utc_offset/24,"YYYYMMDD")&amp;"*"" /stext="" "&amp;TEXT(I51-utc_offset/24,"HH")&amp;search_regexp&amp;""""</f>
        <v>"C:\Program Files (x86)\AstroGrep\AstroGrep.exe" /e /r /s /spath="%USERPROFILE%\AppData\Local\Temp\OnboardLogs" /stypes="app*4044*20180106*" /stext=" 15:.+((SYSTEM_STATE.+slice.+state.+changed )|(ment ac)|(multiple cpu faults)|(system.+state.+changed )|(\[timeout)|(PRM\|1\|D)|(kpr)|(kdp)|(train st.+moving)|(\|lc)|(penalty))"</v>
      </c>
      <c r="AG51" s="244" t="str">
        <f>DetSubdiv(A51)</f>
        <v>EC</v>
      </c>
      <c r="AH51" s="236" t="str">
        <f t="shared" si="5"/>
        <v>"%USERPROFILE%\Documents\GitHub\eaglep3\Utilities\RefineRTDCRunTimes.py" --tripid 137-06 --locoid 4044 --swversion DE.1.0.9.0 --startMP 204:438 --initTime 2018-01-06T08:11:33 --startdatetime 2018-01-06T08:15:16 --delay 65 --endMP 204:233330 --enddatetime 2018-01-06T08:49:41 --enforcementcount 0 &gt;&gt;%USERPROFILE%\Documents\GitHub\eaglep3-reporting\EC\2018-01-06-refined-times.txt</v>
      </c>
      <c r="AI51" s="238" t="str">
        <f t="shared" si="6"/>
        <v>echo {"issue":{"subject":"","project_id":79,"tracker_id":40,"status_id":1,"priority_id":2,"assigned_to_id":338,"start_date":"2018-01-06","description":"","custom_fields":[{"id":1,"name":"Subdivision","value":"EC"},{"id":4,"name":"Milepost","value":"23.333"},{"id":17,"name":"Train ID","value":"137-06"},{"id":16,"name":"Locomotive ID","value":"4044"},{"id":130,"name":"Impact","value":""},{"id":150,"name":"Time of Event (Mountain Time)","value":"08:49:41"},{"id":151,"name":"Denver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1" s="223"/>
      <c r="AK51" s="231"/>
      <c r="AL51" s="231"/>
      <c r="AM51" s="240" t="str">
        <f t="shared" si="7"/>
        <v>start /low /b %USERPROFILE%\Documents\GitHub\eaglep3\Utilities\DownloadLogsFromS3.py --loco 4044 --day 2018-01-06</v>
      </c>
      <c r="AN51" s="241" t="str">
        <f t="shared" si="8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15:49:41"},{"id":29,"name":"Sharepoint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 s="230" t="str">
        <f t="shared" si="9"/>
        <v>https://d0f6bd738d7f1b3e5a7ca70fe4ff75f0.us-east-1.aws.found.io/app/kibana#/discover/Steve-Slow-Train-Analysis-(2080s-and-2083s)?_g=(refreshInterval:(display:Off,pause:!f,section:0,value:0),time:(from:'2018-01-06T07:11:33-0700',mode:absolute,to:'2018-01-06T09:49:41-0700'))&amp;_a=(columns:!('Message%20ID',Summary),filters:!(),index:'emp_*',interval:auto,query:(query_string:(analyze_wildcard:!t,query:'%22rtdc.l.rtdc.4044%22')),sort:!(Time.ISO8601,asc))</v>
      </c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3">
      <c r="A52" s="229" t="s">
        <v>751</v>
      </c>
      <c r="B52" s="225">
        <v>4043</v>
      </c>
      <c r="C52" s="227" t="s">
        <v>192</v>
      </c>
      <c r="D52" s="227" t="s">
        <v>920</v>
      </c>
      <c r="E52" s="226">
        <v>43106.369930555556</v>
      </c>
      <c r="F52" s="226">
        <v>43106.383530092593</v>
      </c>
      <c r="G52" s="225">
        <v>1027</v>
      </c>
      <c r="H52" s="227" t="s">
        <v>506</v>
      </c>
      <c r="I52" s="226">
        <v>43106.409224537034</v>
      </c>
      <c r="J52" s="225">
        <v>0</v>
      </c>
      <c r="K52" s="237" t="str">
        <f>IF(ISEVEN(B52),(B52-1)&amp;"/"&amp;B52,B52&amp;"/"&amp;(B52+1))</f>
        <v>4043/4044</v>
      </c>
      <c r="L52" s="245" t="str">
        <f>VLOOKUP(A52,'Trips&amp;Operators'!$C$1:$G$99911,5,FALSE)</f>
        <v>DELGADO DIANAH</v>
      </c>
      <c r="M52" s="224">
        <f>I52-F52</f>
        <v>2.569444444088731E-2</v>
      </c>
      <c r="N52" s="225">
        <f>24*60*SUM($M52:$M52)</f>
        <v>36.999999994877726</v>
      </c>
      <c r="O52" s="225"/>
      <c r="P52" s="225"/>
      <c r="Q52" s="228"/>
      <c r="R52" s="242"/>
      <c r="S52" s="249">
        <f>1/IF(AG52="EC",12,1)*SUM(U52:U52)</f>
        <v>1</v>
      </c>
      <c r="T52" s="242" t="str">
        <f>IF(ISEVEN(LEFT(AD52,4)),"Southbound","NorthBound")</f>
        <v>Southbound</v>
      </c>
      <c r="U52" s="246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248" t="str">
        <f>"https://d0f6bd738d7f1b3e5a7ca70fe4ff75f0.us-east-1.aws.found.io/app/kibana#/discover/Steve-Slow-Train-Analysis-(2080s-and-2083s)?_g="&amp;"(refreshInterval:(display:Off,pause:!f,section:0,value:0),time:(from:'"&amp;TEXT(E52-1/24,"yyyy-MM-DDThh:mm:ss")&amp;utc_offset&amp;"00"&amp;"',mode:absolute,to:'"&amp;TEXT(I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52&amp;"%22')),sort:!(Time.ISO8601,asc))"</f>
        <v>https://d0f6bd738d7f1b3e5a7ca70fe4ff75f0.us-east-1.aws.found.io/app/kibana#/discover/Steve-Slow-Train-Analysis-(2080s-and-2083s)?_g=(refreshInterval:(display:Off,pause:!f,section:0,value:0),time:(from:'2018-01-06T07:52:42-0700',mode:absolute,to:'2018-01-06T10:49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52" s="247" t="str">
        <f>IF(AA52&lt;VLOOKUP(AG52,Variables!$AC$3:$AD$8,2,FALSE),"Y","N")</f>
        <v>N</v>
      </c>
      <c r="X52" s="247">
        <f>VALUE(LEFT(AD52,4))-VALUE(LEFT(AD51,4))</f>
        <v>1</v>
      </c>
      <c r="Y52" s="247">
        <f>RIGHT(D52,LEN(D52)-4)/10000</f>
        <v>23.3001</v>
      </c>
      <c r="Z52" s="247">
        <f>RIGHT(H52,LEN(H52)-4)/10000</f>
        <v>1.4999999999999999E-2</v>
      </c>
      <c r="AA52" s="247">
        <f>ABS(Z52-Y52)</f>
        <v>23.2851</v>
      </c>
      <c r="AB52" s="233" t="e">
        <f>VLOOKUP(A52,Enforcements!$C$7:$K$9,8,0)</f>
        <v>#N/A</v>
      </c>
      <c r="AC52" s="232" t="e">
        <f>VLOOKUP(A52,Enforcements!$C$7:$E$9,3,0)</f>
        <v>#N/A</v>
      </c>
      <c r="AD52" s="243">
        <f>VALUE(LEFT(A52,LEN(A52)-3))</f>
        <v>138</v>
      </c>
      <c r="AE52" s="235" t="str">
        <f>"aws s3 cp "&amp;s3_bucket&amp;"/RTDC"&amp;B52&amp;"/ "&amp;search_path&amp;"\RTDC"&amp;B52&amp;"\"&amp;TEXT(F52,"YYYY-MM-DD")&amp;" --exclude ""*"" --recursive --include ""*"&amp;TEXT(F52,"YYYYMMDD")&amp;"*"" &amp; """&amp;walkandungz&amp;""" "&amp;search_path&amp;"\RTDC"&amp;B52&amp;"\"&amp;TEXT(F52,"YYYY-MM-DD")
&amp;" &amp; "&amp;"aws s3 cp "&amp;s3_bucket&amp;"/RTDC"&amp;B52&amp;"/ "&amp;search_path&amp;"\RTDC"&amp;B52&amp;"\"&amp;TEXT(F52+1,"YYYY-MM-DD")&amp;" --exclude ""*"" --recursive --include ""*"&amp;TEXT(F52+1,"YYYYMMDD")&amp;"*"" &amp; """&amp;walkandungz&amp;""" "&amp;search_path&amp;"\RTDC"&amp;B52&amp;"\"&amp;TEXT(F52+1,"YYYY-MM-DD")</f>
        <v>aws s3 cp s3://rtdc.mdm.uploadarchive.raw/RTDC4043/ "%USERPROFILE%\AppData\Local\Temp\OnboardLogs"\RTDC4043\2018-01-06 --exclude "*" --recursive --include "*20180106*" &amp; "%USERPROFILE%\Documents\GitHub\mrs-test-scripts\Headless Mode &amp; Sideloading\WalkAndUnGZ.bat" "%USERPROFILE%\AppData\Local\Temp\OnboardLogs"\RTDC4043\2018-01-06 &amp; aws s3 cp s3://rtdc.mdm.uploadarchive.raw/RTDC4043/ "%USERPROFILE%\AppData\Local\Temp\OnboardLogs"\RTDC4043\2018-01-07 --exclude "*" --recursive --include "*20180107*" &amp; "%USERPROFILE%\Documents\GitHub\mrs-test-scripts\Headless Mode &amp; Sideloading\WalkAndUnGZ.bat" "%USERPROFILE%\AppData\Local\Temp\OnboardLogs"\RTDC4043\2018-01-07</v>
      </c>
      <c r="AF52" s="234" t="str">
        <f>astrogrep_path&amp;" /e /r /s /spath="&amp;search_path&amp;" /stypes=""app*"&amp;B52&amp;"*"&amp;TEXT(I52-utc_offset/24,"YYYYMMDD")&amp;"*"" /stext="" "&amp;TEXT(I52-utc_offset/24,"HH")&amp;search_regexp&amp;""""</f>
        <v>"C:\Program Files (x86)\AstroGrep\AstroGrep.exe" /e /r /s /spath="%USERPROFILE%\AppData\Local\Temp\OnboardLogs" /stypes="app*4043*20180106*" /stext=" 16:.+((SYSTEM_STATE.+slice.+state.+changed )|(ment ac)|(multiple cpu faults)|(system.+state.+changed )|(\[timeout)|(PRM\|1\|D)|(kpr)|(kdp)|(train st.+moving)|(\|lc)|(penalty))"</v>
      </c>
      <c r="AG52" s="244" t="str">
        <f>DetSubdiv(A52)</f>
        <v>EC</v>
      </c>
      <c r="AH52" s="236" t="str">
        <f t="shared" si="5"/>
        <v>"%USERPROFILE%\Documents\GitHub\eaglep3\Utilities\RefineRTDCRunTimes.py" --tripid 138-06 --locoid 4043 --swversion DE.1.0.9.0 --startMP 204:233001 --initTime 2018-01-06T08:52:42 --startdatetime 2018-01-06T09:12:17 --delay 1027 --endMP 204:150 --enddatetime 2018-01-06T09:49:17 --enforcementcount 0 &gt;&gt;%USERPROFILE%\Documents\GitHub\eaglep3-reporting\EC\2018-01-06-refined-times.txt</v>
      </c>
      <c r="AI52" s="238" t="str">
        <f t="shared" si="6"/>
        <v>echo {"issue":{"subject":"","project_id":79,"tracker_id":40,"status_id":1,"priority_id":2,"assigned_to_id":338,"start_date":"2018-01-06","description":"","custom_fields":[{"id":1,"name":"Subdivision","value":"EC"},{"id":4,"name":"Milepost","value":"0.015"},{"id":17,"name":"Train ID","value":"138-06"},{"id":16,"name":"Locomotive ID","value":"4043"},{"id":130,"name":"Impact","value":""},{"id":150,"name":"Time of Event (Mountain Time)","value":"09:49:17"},{"id":151,"name":"Denver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2" s="223"/>
      <c r="AK52" s="231"/>
      <c r="AL52" s="231"/>
      <c r="AM52" s="240" t="str">
        <f t="shared" si="7"/>
        <v>start /low /b %USERPROFILE%\Documents\GitHub\eaglep3\Utilities\DownloadLogsFromS3.py --loco 4043 --day 2018-01-06</v>
      </c>
      <c r="AN52" s="241" t="str">
        <f t="shared" si="8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16:49:17"},{"id":29,"name":"Sharepoint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 s="230" t="str">
        <f t="shared" si="9"/>
        <v>https://d0f6bd738d7f1b3e5a7ca70fe4ff75f0.us-east-1.aws.found.io/app/kibana#/discover/Steve-Slow-Train-Analysis-(2080s-and-2083s)?_g=(refreshInterval:(display:Off,pause:!f,section:0,value:0),time:(from:'2018-01-06T07:52:42-0700',mode:absolute,to:'2018-01-06T10:49:17-0700'))&amp;_a=(columns:!('Message%20ID',Summary),filters:!(),index:'emp_*',interval:auto,query:(query_string:(analyze_wildcard:!t,query:'%22rtdc.l.rtdc.4043%22')),sort:!(Time.ISO8601,asc))</v>
      </c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3">
      <c r="A53" s="229" t="s">
        <v>746</v>
      </c>
      <c r="B53" s="225">
        <v>4018</v>
      </c>
      <c r="C53" s="227" t="s">
        <v>192</v>
      </c>
      <c r="D53" s="227" t="s">
        <v>509</v>
      </c>
      <c r="E53" s="226">
        <v>43106.352708333332</v>
      </c>
      <c r="F53" s="226">
        <v>43106.354618055557</v>
      </c>
      <c r="G53" s="225">
        <v>54</v>
      </c>
      <c r="H53" s="227" t="s">
        <v>488</v>
      </c>
      <c r="I53" s="226">
        <v>43106.380543981482</v>
      </c>
      <c r="J53" s="225">
        <v>0</v>
      </c>
      <c r="K53" s="237" t="str">
        <f>IF(ISEVEN(B53),(B53-1)&amp;"/"&amp;B53,B53&amp;"/"&amp;(B53+1))</f>
        <v>4017/4018</v>
      </c>
      <c r="L53" s="245" t="str">
        <f>VLOOKUP(A53,'Trips&amp;Operators'!$C$1:$G$99911,5,FALSE)</f>
        <v>THOMPSON LESTER</v>
      </c>
      <c r="M53" s="224">
        <f>I53-F53</f>
        <v>2.5925925925548654E-2</v>
      </c>
      <c r="N53" s="225">
        <f>24*60*SUM($M53:$M53)</f>
        <v>37.333333332790062</v>
      </c>
      <c r="O53" s="225"/>
      <c r="P53" s="225"/>
      <c r="Q53" s="228"/>
      <c r="R53" s="242"/>
      <c r="S53" s="249">
        <f>1/IF(AG53="EC",12,1)*SUM(U53:U53)</f>
        <v>1</v>
      </c>
      <c r="T53" s="242" t="str">
        <f>IF(ISEVEN(LEFT(AD53,4)),"Southbound","NorthBound")</f>
        <v>NorthBound</v>
      </c>
      <c r="U53" s="246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248" t="str">
        <f>"https://d0f6bd738d7f1b3e5a7ca70fe4ff75f0.us-east-1.aws.found.io/app/kibana#/discover/Steve-Slow-Train-Analysis-(2080s-and-2083s)?_g="&amp;"(refreshInterval:(display:Off,pause:!f,section:0,value:0),time:(from:'"&amp;TEXT(E53-1/24,"yyyy-MM-DDThh:mm:ss")&amp;utc_offset&amp;"00"&amp;"',mode:absolute,to:'"&amp;TEXT(I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53&amp;"%22')),sort:!(Time.ISO8601,asc))"</f>
        <v>https://d0f6bd738d7f1b3e5a7ca70fe4ff75f0.us-east-1.aws.found.io/app/kibana#/discover/Steve-Slow-Train-Analysis-(2080s-and-2083s)?_g=(refreshInterval:(display:Off,pause:!f,section:0,value:0),time:(from:'2018-01-06T07:27:54-0700',mode:absolute,to:'2018-01-06T10:07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53" s="247" t="str">
        <f>IF(AA53&lt;VLOOKUP(AG53,Variables!$AC$3:$AD$8,2,FALSE),"Y","N")</f>
        <v>N</v>
      </c>
      <c r="X53" s="247">
        <f>VALUE(LEFT(AD53,4))-VALUE(LEFT(AD52,4))</f>
        <v>1</v>
      </c>
      <c r="Y53" s="247">
        <f>RIGHT(D53,LEN(D53)-4)/10000</f>
        <v>4.7500000000000001E-2</v>
      </c>
      <c r="Z53" s="247">
        <f>RIGHT(H53,LEN(H53)-4)/10000</f>
        <v>23.3278</v>
      </c>
      <c r="AA53" s="247">
        <f>ABS(Z53-Y53)</f>
        <v>23.2803</v>
      </c>
      <c r="AB53" s="233" t="e">
        <f>VLOOKUP(A53,Enforcements!$C$7:$K$9,8,0)</f>
        <v>#N/A</v>
      </c>
      <c r="AC53" s="232" t="e">
        <f>VLOOKUP(A53,Enforcements!$C$7:$E$9,3,0)</f>
        <v>#N/A</v>
      </c>
      <c r="AD53" s="243">
        <f>VALUE(LEFT(A53,LEN(A53)-3))</f>
        <v>139</v>
      </c>
      <c r="AE53" s="235" t="str">
        <f>"aws s3 cp "&amp;s3_bucket&amp;"/RTDC"&amp;B53&amp;"/ "&amp;search_path&amp;"\RTDC"&amp;B53&amp;"\"&amp;TEXT(F53,"YYYY-MM-DD")&amp;" --exclude ""*"" --recursive --include ""*"&amp;TEXT(F53,"YYYYMMDD")&amp;"*"" &amp; """&amp;walkandungz&amp;""" "&amp;search_path&amp;"\RTDC"&amp;B53&amp;"\"&amp;TEXT(F53,"YYYY-MM-DD")
&amp;" &amp; "&amp;"aws s3 cp "&amp;s3_bucket&amp;"/RTDC"&amp;B53&amp;"/ "&amp;search_path&amp;"\RTDC"&amp;B53&amp;"\"&amp;TEXT(F53+1,"YYYY-MM-DD")&amp;" --exclude ""*"" --recursive --include ""*"&amp;TEXT(F53+1,"YYYYMMDD")&amp;"*"" &amp; """&amp;walkandungz&amp;""" "&amp;search_path&amp;"\RTDC"&amp;B53&amp;"\"&amp;TEXT(F53+1,"YYYY-MM-DD")</f>
        <v>aws s3 cp s3://rtdc.mdm.uploadarchive.raw/RTDC4018/ "%USERPROFILE%\AppData\Local\Temp\OnboardLogs"\RTDC4018\2018-01-06 --exclude "*" --recursive --include "*20180106*" &amp; "%USERPROFILE%\Documents\GitHub\mrs-test-scripts\Headless Mode &amp; Sideloading\WalkAndUnGZ.bat" "%USERPROFILE%\AppData\Local\Temp\OnboardLogs"\RTDC4018\2018-01-06 &amp; aws s3 cp s3://rtdc.mdm.uploadarchive.raw/RTDC4018/ "%USERPROFILE%\AppData\Local\Temp\OnboardLogs"\RTDC4018\2018-01-07 --exclude "*" --recursive --include "*20180107*" &amp; "%USERPROFILE%\Documents\GitHub\mrs-test-scripts\Headless Mode &amp; Sideloading\WalkAndUnGZ.bat" "%USERPROFILE%\AppData\Local\Temp\OnboardLogs"\RTDC4018\2018-01-07</v>
      </c>
      <c r="AF53" s="234" t="str">
        <f>astrogrep_path&amp;" /e /r /s /spath="&amp;search_path&amp;" /stypes=""app*"&amp;B53&amp;"*"&amp;TEXT(I53-utc_offset/24,"YYYYMMDD")&amp;"*"" /stext="" "&amp;TEXT(I53-utc_offset/24,"HH")&amp;search_regexp&amp;""""</f>
        <v>"C:\Program Files (x86)\AstroGrep\AstroGrep.exe" /e /r /s /spath="%USERPROFILE%\AppData\Local\Temp\OnboardLogs" /stypes="app*4018*20180106*" /stext=" 16:.+((SYSTEM_STATE.+slice.+state.+changed )|(ment ac)|(multiple cpu faults)|(system.+state.+changed )|(\[timeout)|(PRM\|1\|D)|(kpr)|(kdp)|(train st.+moving)|(\|lc)|(penalty))"</v>
      </c>
      <c r="AG53" s="244" t="str">
        <f>DetSubdiv(A53)</f>
        <v>EC</v>
      </c>
      <c r="AH53" s="236" t="str">
        <f t="shared" si="5"/>
        <v>"%USERPROFILE%\Documents\GitHub\eaglep3\Utilities\RefineRTDCRunTimes.py" --tripid 139-06 --locoid 4018 --swversion DE.1.0.9.0 --startMP 204:475 --initTime 2018-01-06T08:27:54 --startdatetime 2018-01-06T08:30:39 --delay 54 --endMP 204:233278 --enddatetime 2018-01-06T09:07:59 --enforcementcount 0 &gt;&gt;%USERPROFILE%\Documents\GitHub\eaglep3-reporting\EC\2018-01-06-refined-times.txt</v>
      </c>
      <c r="AI53" s="238" t="str">
        <f t="shared" si="6"/>
        <v>echo {"issue":{"subject":"","project_id":79,"tracker_id":40,"status_id":1,"priority_id":2,"assigned_to_id":338,"start_date":"2018-01-06","description":"","custom_fields":[{"id":1,"name":"Subdivision","value":"EC"},{"id":4,"name":"Milepost","value":"23.3278"},{"id":17,"name":"Train ID","value":"139-06"},{"id":16,"name":"Locomotive ID","value":"4018"},{"id":130,"name":"Impact","value":""},{"id":150,"name":"Time of Event (Mountain Time)","value":"09:07:59"},{"id":151,"name":"Denver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3" s="223"/>
      <c r="AK53" s="231"/>
      <c r="AL53" s="231"/>
      <c r="AM53" s="240" t="str">
        <f t="shared" si="7"/>
        <v>start /low /b %USERPROFILE%\Documents\GitHub\eaglep3\Utilities\DownloadLogsFromS3.py --loco 4018 --day 2018-01-06</v>
      </c>
      <c r="AN53" s="241" t="str">
        <f t="shared" si="8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16:07:59"},{"id":29,"name":"Sharepoint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 s="230" t="str">
        <f t="shared" si="9"/>
        <v>https://d0f6bd738d7f1b3e5a7ca70fe4ff75f0.us-east-1.aws.found.io/app/kibana#/discover/Steve-Slow-Train-Analysis-(2080s-and-2083s)?_g=(refreshInterval:(display:Off,pause:!f,section:0,value:0),time:(from:'2018-01-06T07:27:54-0700',mode:absolute,to:'2018-01-06T10:07:59-0700'))&amp;_a=(columns:!('Message%20ID',Summary),filters:!(),index:'emp_*',interval:auto,query:(query_string:(analyze_wildcard:!t,query:'%22rtdc.l.rtdc.4018%22')),sort:!(Time.ISO8601,asc))</v>
      </c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3">
      <c r="A54" s="229" t="s">
        <v>755</v>
      </c>
      <c r="B54" s="225">
        <v>4017</v>
      </c>
      <c r="C54" s="227" t="s">
        <v>192</v>
      </c>
      <c r="D54" s="227" t="s">
        <v>921</v>
      </c>
      <c r="E54" s="226">
        <v>43106.392430555556</v>
      </c>
      <c r="F54" s="226">
        <v>43106.394131944442</v>
      </c>
      <c r="G54" s="225">
        <v>46</v>
      </c>
      <c r="H54" s="227" t="s">
        <v>605</v>
      </c>
      <c r="I54" s="226">
        <v>43106.421180555553</v>
      </c>
      <c r="J54" s="225">
        <v>0</v>
      </c>
      <c r="K54" s="237" t="str">
        <f>IF(ISEVEN(B54),(B54-1)&amp;"/"&amp;B54,B54&amp;"/"&amp;(B54+1))</f>
        <v>4017/4018</v>
      </c>
      <c r="L54" s="245" t="str">
        <f>VLOOKUP(A54,'Trips&amp;Operators'!$C$1:$G$99911,5,FALSE)</f>
        <v>THOMPSON LESTER</v>
      </c>
      <c r="M54" s="224">
        <f>I54-F54</f>
        <v>2.7048611111240461E-2</v>
      </c>
      <c r="N54" s="225">
        <f>24*60*SUM($M54:$M54)</f>
        <v>38.950000000186265</v>
      </c>
      <c r="O54" s="225"/>
      <c r="P54" s="225"/>
      <c r="Q54" s="228"/>
      <c r="R54" s="242"/>
      <c r="S54" s="249">
        <f>1/IF(AG54="EC",12,1)*SUM(U54:U54)</f>
        <v>1</v>
      </c>
      <c r="T54" s="242" t="str">
        <f>IF(ISEVEN(LEFT(AD54,4)),"Southbound","NorthBound")</f>
        <v>Southbound</v>
      </c>
      <c r="U54" s="246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248" t="str">
        <f>"https://d0f6bd738d7f1b3e5a7ca70fe4ff75f0.us-east-1.aws.found.io/app/kibana#/discover/Steve-Slow-Train-Analysis-(2080s-and-2083s)?_g="&amp;"(refreshInterval:(display:Off,pause:!f,section:0,value:0),time:(from:'"&amp;TEXT(E54-1/24,"yyyy-MM-DDThh:mm:ss")&amp;utc_offset&amp;"00"&amp;"',mode:absolute,to:'"&amp;TEXT(I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54&amp;"%22')),sort:!(Time.ISO8601,asc))"</f>
        <v>https://d0f6bd738d7f1b3e5a7ca70fe4ff75f0.us-east-1.aws.found.io/app/kibana#/discover/Steve-Slow-Train-Analysis-(2080s-and-2083s)?_g=(refreshInterval:(display:Off,pause:!f,section:0,value:0),time:(from:'2018-01-06T08:25:06-0700',mode:absolute,to:'2018-01-06T11:06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54" s="247" t="str">
        <f>IF(AA54&lt;VLOOKUP(AG54,Variables!$AC$3:$AD$8,2,FALSE),"Y","N")</f>
        <v>N</v>
      </c>
      <c r="X54" s="247">
        <f>VALUE(LEFT(AD54,4))-VALUE(LEFT(AD53,4))</f>
        <v>1</v>
      </c>
      <c r="Y54" s="247">
        <f>RIGHT(D54,LEN(D54)-4)/10000</f>
        <v>23.296199999999999</v>
      </c>
      <c r="Z54" s="247">
        <f>RIGHT(H54,LEN(H54)-4)/10000</f>
        <v>1.49E-2</v>
      </c>
      <c r="AA54" s="247">
        <f>ABS(Z54-Y54)</f>
        <v>23.281299999999998</v>
      </c>
      <c r="AB54" s="233" t="e">
        <f>VLOOKUP(A54,Enforcements!$C$7:$K$9,8,0)</f>
        <v>#N/A</v>
      </c>
      <c r="AC54" s="232" t="e">
        <f>VLOOKUP(A54,Enforcements!$C$7:$E$9,3,0)</f>
        <v>#N/A</v>
      </c>
      <c r="AD54" s="243">
        <f>VALUE(LEFT(A54,LEN(A54)-3))</f>
        <v>140</v>
      </c>
      <c r="AE54" s="235" t="str">
        <f>"aws s3 cp "&amp;s3_bucket&amp;"/RTDC"&amp;B54&amp;"/ "&amp;search_path&amp;"\RTDC"&amp;B54&amp;"\"&amp;TEXT(F54,"YYYY-MM-DD")&amp;" --exclude ""*"" --recursive --include ""*"&amp;TEXT(F54,"YYYYMMDD")&amp;"*"" &amp; """&amp;walkandungz&amp;""" "&amp;search_path&amp;"\RTDC"&amp;B54&amp;"\"&amp;TEXT(F54,"YYYY-MM-DD")
&amp;" &amp; "&amp;"aws s3 cp "&amp;s3_bucket&amp;"/RTDC"&amp;B54&amp;"/ "&amp;search_path&amp;"\RTDC"&amp;B54&amp;"\"&amp;TEXT(F54+1,"YYYY-MM-DD")&amp;" --exclude ""*"" --recursive --include ""*"&amp;TEXT(F54+1,"YYYYMMDD")&amp;"*"" &amp; """&amp;walkandungz&amp;""" "&amp;search_path&amp;"\RTDC"&amp;B54&amp;"\"&amp;TEXT(F54+1,"YYYY-MM-DD")</f>
        <v>aws s3 cp s3://rtdc.mdm.uploadarchive.raw/RTDC4017/ "%USERPROFILE%\AppData\Local\Temp\OnboardLogs"\RTDC4017\2018-01-06 --exclude "*" --recursive --include "*20180106*" &amp; "%USERPROFILE%\Documents\GitHub\mrs-test-scripts\Headless Mode &amp; Sideloading\WalkAndUnGZ.bat" "%USERPROFILE%\AppData\Local\Temp\OnboardLogs"\RTDC4017\2018-01-06 &amp; aws s3 cp s3://rtdc.mdm.uploadarchive.raw/RTDC4017/ "%USERPROFILE%\AppData\Local\Temp\OnboardLogs"\RTDC4017\2018-01-07 --exclude "*" --recursive --include "*20180107*" &amp; "%USERPROFILE%\Documents\GitHub\mrs-test-scripts\Headless Mode &amp; Sideloading\WalkAndUnGZ.bat" "%USERPROFILE%\AppData\Local\Temp\OnboardLogs"\RTDC4017\2018-01-07</v>
      </c>
      <c r="AF54" s="234" t="str">
        <f>astrogrep_path&amp;" /e /r /s /spath="&amp;search_path&amp;" /stypes=""app*"&amp;B54&amp;"*"&amp;TEXT(I54-utc_offset/24,"YYYYMMDD")&amp;"*"" /stext="" "&amp;TEXT(I54-utc_offset/24,"HH")&amp;search_regexp&amp;""""</f>
        <v>"C:\Program Files (x86)\AstroGrep\AstroGrep.exe" /e /r /s /spath="%USERPROFILE%\AppData\Local\Temp\OnboardLogs" /stypes="app*4017*20180106*" /stext=" 17:.+((SYSTEM_STATE.+slice.+state.+changed )|(ment ac)|(multiple cpu faults)|(system.+state.+changed )|(\[timeout)|(PRM\|1\|D)|(kpr)|(kdp)|(train st.+moving)|(\|lc)|(penalty))"</v>
      </c>
      <c r="AG54" s="244" t="str">
        <f>DetSubdiv(A54)</f>
        <v>EC</v>
      </c>
      <c r="AH54" s="236" t="str">
        <f t="shared" si="5"/>
        <v>"%USERPROFILE%\Documents\GitHub\eaglep3\Utilities\RefineRTDCRunTimes.py" --tripid 140-06 --locoid 4017 --swversion DE.1.0.9.0 --startMP 204:232962 --initTime 2018-01-06T09:25:06 --startdatetime 2018-01-06T09:27:33 --delay 46 --endMP 204:149 --enddatetime 2018-01-06T10:06:30 --enforcementcount 0 &gt;&gt;%USERPROFILE%\Documents\GitHub\eaglep3-reporting\EC\2018-01-06-refined-times.txt</v>
      </c>
      <c r="AI54" s="238" t="str">
        <f t="shared" si="6"/>
        <v>echo {"issue":{"subject":"","project_id":79,"tracker_id":40,"status_id":1,"priority_id":2,"assigned_to_id":338,"start_date":"2018-01-06","description":"","custom_fields":[{"id":1,"name":"Subdivision","value":"EC"},{"id":4,"name":"Milepost","value":"0.0149"},{"id":17,"name":"Train ID","value":"140-06"},{"id":16,"name":"Locomotive ID","value":"4017"},{"id":130,"name":"Impact","value":""},{"id":150,"name":"Time of Event (Mountain Time)","value":"10:06:30"},{"id":151,"name":"Denver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4" s="223"/>
      <c r="AK54" s="231"/>
      <c r="AL54" s="231"/>
      <c r="AM54" s="240" t="str">
        <f t="shared" si="7"/>
        <v>start /low /b %USERPROFILE%\Documents\GitHub\eaglep3\Utilities\DownloadLogsFromS3.py --loco 4017 --day 2018-01-06</v>
      </c>
      <c r="AN54" s="241" t="str">
        <f t="shared" si="8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17:06:30"},{"id":29,"name":"Sharepoint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 s="230" t="str">
        <f t="shared" si="9"/>
        <v>https://d0f6bd738d7f1b3e5a7ca70fe4ff75f0.us-east-1.aws.found.io/app/kibana#/discover/Steve-Slow-Train-Analysis-(2080s-and-2083s)?_g=(refreshInterval:(display:Off,pause:!f,section:0,value:0),time:(from:'2018-01-06T08:25:06-0700',mode:absolute,to:'2018-01-06T11:06:30-0700'))&amp;_a=(columns:!('Message%20ID',Summary),filters:!(),index:'emp_*',interval:auto,query:(query_string:(analyze_wildcard:!t,query:'%22rtdc.l.rtdc.4017%22')),sort:!(Time.ISO8601,asc))</v>
      </c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3">
      <c r="A55" s="229" t="s">
        <v>748</v>
      </c>
      <c r="B55" s="225">
        <v>4032</v>
      </c>
      <c r="C55" s="227" t="s">
        <v>192</v>
      </c>
      <c r="D55" s="227" t="s">
        <v>532</v>
      </c>
      <c r="E55" s="226">
        <v>43106.362812500003</v>
      </c>
      <c r="F55" s="226">
        <v>43106.364803240744</v>
      </c>
      <c r="G55" s="225">
        <v>51</v>
      </c>
      <c r="H55" s="227" t="s">
        <v>922</v>
      </c>
      <c r="I55" s="226">
        <v>43106.388483796298</v>
      </c>
      <c r="J55" s="225">
        <v>0</v>
      </c>
      <c r="K55" s="237" t="str">
        <f>IF(ISEVEN(B55),(B55-1)&amp;"/"&amp;B55,B55&amp;"/"&amp;(B55+1))</f>
        <v>4031/4032</v>
      </c>
      <c r="L55" s="245" t="str">
        <f>VLOOKUP(A55,'Trips&amp;Operators'!$C$1:$G$99911,5,FALSE)</f>
        <v>MACDONALD THOMAS</v>
      </c>
      <c r="M55" s="224">
        <f>I55-F55</f>
        <v>2.3680555554165039E-2</v>
      </c>
      <c r="N55" s="225">
        <f>24*60*SUM($M55:$M55)</f>
        <v>34.099999997997656</v>
      </c>
      <c r="O55" s="225"/>
      <c r="P55" s="225"/>
      <c r="Q55" s="228"/>
      <c r="R55" s="242"/>
      <c r="S55" s="249">
        <f>1/IF(AG55="EC",12,1)*SUM(U55:U55)</f>
        <v>1</v>
      </c>
      <c r="T55" s="242" t="str">
        <f>IF(ISEVEN(LEFT(AD55,4)),"Southbound","NorthBound")</f>
        <v>NorthBound</v>
      </c>
      <c r="U55" s="246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248" t="str">
        <f>"https://d0f6bd738d7f1b3e5a7ca70fe4ff75f0.us-east-1.aws.found.io/app/kibana#/discover/Steve-Slow-Train-Analysis-(2080s-and-2083s)?_g="&amp;"(refreshInterval:(display:Off,pause:!f,section:0,value:0),time:(from:'"&amp;TEXT(E55-1/24,"yyyy-MM-DDThh:mm:ss")&amp;utc_offset&amp;"00"&amp;"',mode:absolute,to:'"&amp;TEXT(I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55&amp;"%22')),sort:!(Time.ISO8601,asc))"</f>
        <v>https://d0f6bd738d7f1b3e5a7ca70fe4ff75f0.us-east-1.aws.found.io/app/kibana#/discover/Steve-Slow-Train-Analysis-(2080s-and-2083s)?_g=(refreshInterval:(display:Off,pause:!f,section:0,value:0),time:(from:'2018-01-06T07:42:27-0700',mode:absolute,to:'2018-01-06T10:19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55" s="247" t="str">
        <f>IF(AA55&lt;VLOOKUP(AG55,Variables!$AC$3:$AD$8,2,FALSE),"Y","N")</f>
        <v>N</v>
      </c>
      <c r="X55" s="247">
        <f>VALUE(LEFT(AD55,4))-VALUE(LEFT(AD54,4))</f>
        <v>1</v>
      </c>
      <c r="Y55" s="247">
        <f>RIGHT(D55,LEN(D55)-4)/10000</f>
        <v>5.5100000000000003E-2</v>
      </c>
      <c r="Z55" s="247">
        <f>RIGHT(H55,LEN(H55)-4)/10000</f>
        <v>23.320499999999999</v>
      </c>
      <c r="AA55" s="247">
        <f>ABS(Z55-Y55)</f>
        <v>23.2654</v>
      </c>
      <c r="AB55" s="233" t="e">
        <f>VLOOKUP(A55,Enforcements!$C$7:$K$9,8,0)</f>
        <v>#N/A</v>
      </c>
      <c r="AC55" s="232" t="e">
        <f>VLOOKUP(A55,Enforcements!$C$7:$E$9,3,0)</f>
        <v>#N/A</v>
      </c>
      <c r="AD55" s="243">
        <f>VALUE(LEFT(A55,LEN(A55)-3))</f>
        <v>141</v>
      </c>
      <c r="AE55" s="235" t="str">
        <f>"aws s3 cp "&amp;s3_bucket&amp;"/RTDC"&amp;B55&amp;"/ "&amp;search_path&amp;"\RTDC"&amp;B55&amp;"\"&amp;TEXT(F55,"YYYY-MM-DD")&amp;" --exclude ""*"" --recursive --include ""*"&amp;TEXT(F55,"YYYYMMDD")&amp;"*"" &amp; """&amp;walkandungz&amp;""" "&amp;search_path&amp;"\RTDC"&amp;B55&amp;"\"&amp;TEXT(F55,"YYYY-MM-DD")
&amp;" &amp; "&amp;"aws s3 cp "&amp;s3_bucket&amp;"/RTDC"&amp;B55&amp;"/ "&amp;search_path&amp;"\RTDC"&amp;B55&amp;"\"&amp;TEXT(F55+1,"YYYY-MM-DD")&amp;" --exclude ""*"" --recursive --include ""*"&amp;TEXT(F55+1,"YYYYMMDD")&amp;"*"" &amp; """&amp;walkandungz&amp;""" "&amp;search_path&amp;"\RTDC"&amp;B55&amp;"\"&amp;TEXT(F55+1,"YYYY-MM-DD")</f>
        <v>aws s3 cp s3://rtdc.mdm.uploadarchive.raw/RTDC4032/ "%USERPROFILE%\AppData\Local\Temp\OnboardLogs"\RTDC4032\2018-01-06 --exclude "*" --recursive --include "*20180106*" &amp; "%USERPROFILE%\Documents\GitHub\mrs-test-scripts\Headless Mode &amp; Sideloading\WalkAndUnGZ.bat" "%USERPROFILE%\AppData\Local\Temp\OnboardLogs"\RTDC4032\2018-01-06 &amp; aws s3 cp s3://rtdc.mdm.uploadarchive.raw/RTDC4032/ "%USERPROFILE%\AppData\Local\Temp\OnboardLogs"\RTDC4032\2018-01-07 --exclude "*" --recursive --include "*20180107*" &amp; "%USERPROFILE%\Documents\GitHub\mrs-test-scripts\Headless Mode &amp; Sideloading\WalkAndUnGZ.bat" "%USERPROFILE%\AppData\Local\Temp\OnboardLogs"\RTDC4032\2018-01-07</v>
      </c>
      <c r="AF55" s="234" t="str">
        <f>astrogrep_path&amp;" /e /r /s /spath="&amp;search_path&amp;" /stypes=""app*"&amp;B55&amp;"*"&amp;TEXT(I55-utc_offset/24,"YYYYMMDD")&amp;"*"" /stext="" "&amp;TEXT(I55-utc_offset/24,"HH")&amp;search_regexp&amp;""""</f>
        <v>"C:\Program Files (x86)\AstroGrep\AstroGrep.exe" /e /r /s /spath="%USERPROFILE%\AppData\Local\Temp\OnboardLogs" /stypes="app*4032*20180106*" /stext=" 16:.+((SYSTEM_STATE.+slice.+state.+changed )|(ment ac)|(multiple cpu faults)|(system.+state.+changed )|(\[timeout)|(PRM\|1\|D)|(kpr)|(kdp)|(train st.+moving)|(\|lc)|(penalty))"</v>
      </c>
      <c r="AG55" s="244" t="str">
        <f>DetSubdiv(A55)</f>
        <v>EC</v>
      </c>
      <c r="AH55" s="236" t="str">
        <f t="shared" si="5"/>
        <v>"%USERPROFILE%\Documents\GitHub\eaglep3\Utilities\RefineRTDCRunTimes.py" --tripid 141-06 --locoid 4032 --swversion DE.1.0.9.0 --startMP 204:551 --initTime 2018-01-06T08:42:27 --startdatetime 2018-01-06T08:45:19 --delay 51 --endMP 204:233205 --enddatetime 2018-01-06T09:19:25 --enforcementcount 0 &gt;&gt;%USERPROFILE%\Documents\GitHub\eaglep3-reporting\EC\2018-01-06-refined-times.txt</v>
      </c>
      <c r="AI55" s="238" t="str">
        <f t="shared" si="6"/>
        <v>echo {"issue":{"subject":"","project_id":79,"tracker_id":40,"status_id":1,"priority_id":2,"assigned_to_id":338,"start_date":"2018-01-06","description":"","custom_fields":[{"id":1,"name":"Subdivision","value":"EC"},{"id":4,"name":"Milepost","value":"23.3205"},{"id":17,"name":"Train ID","value":"141-06"},{"id":16,"name":"Locomotive ID","value":"4032"},{"id":130,"name":"Impact","value":""},{"id":150,"name":"Time of Event (Mountain Time)","value":"09:19:25"},{"id":151,"name":"Denver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5" s="223"/>
      <c r="AK55" s="231"/>
      <c r="AL55" s="231"/>
      <c r="AM55" s="240" t="str">
        <f t="shared" si="7"/>
        <v>start /low /b %USERPROFILE%\Documents\GitHub\eaglep3\Utilities\DownloadLogsFromS3.py --loco 4032 --day 2018-01-06</v>
      </c>
      <c r="AN55" s="241" t="str">
        <f t="shared" si="8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16:19:25"},{"id":29,"name":"Sharepoint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 s="230" t="str">
        <f t="shared" si="9"/>
        <v>https://d0f6bd738d7f1b3e5a7ca70fe4ff75f0.us-east-1.aws.found.io/app/kibana#/discover/Steve-Slow-Train-Analysis-(2080s-and-2083s)?_g=(refreshInterval:(display:Off,pause:!f,section:0,value:0),time:(from:'2018-01-06T07:42:27-0700',mode:absolute,to:'2018-01-06T10:19:25-0700'))&amp;_a=(columns:!('Message%20ID',Summary),filters:!(),index:'emp_*',interval:auto,query:(query_string:(analyze_wildcard:!t,query:'%22rtdc.l.rtdc.4032%22')),sort:!(Time.ISO8601,asc))</v>
      </c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3">
      <c r="A56" s="229" t="s">
        <v>759</v>
      </c>
      <c r="B56" s="225">
        <v>4031</v>
      </c>
      <c r="C56" s="227" t="s">
        <v>192</v>
      </c>
      <c r="D56" s="227" t="s">
        <v>641</v>
      </c>
      <c r="E56" s="226">
        <v>43106.402083333334</v>
      </c>
      <c r="F56" s="226">
        <v>43106.404027777775</v>
      </c>
      <c r="G56" s="225">
        <v>62</v>
      </c>
      <c r="H56" s="227" t="s">
        <v>641</v>
      </c>
      <c r="I56" s="226">
        <v>43106.404722222222</v>
      </c>
      <c r="J56" s="225">
        <v>0</v>
      </c>
      <c r="K56" s="237" t="str">
        <f>IF(ISEVEN(B56),(B56-1)&amp;"/"&amp;B56,B56&amp;"/"&amp;(B56+1))</f>
        <v>4031/4032</v>
      </c>
      <c r="L56" s="245" t="str">
        <f>VLOOKUP(A56,'Trips&amp;Operators'!$C$1:$G$99911,5,FALSE)</f>
        <v>MACDONALD THOMAS</v>
      </c>
      <c r="M56" s="224">
        <f>I56-F56</f>
        <v>6.944444467080757E-4</v>
      </c>
      <c r="N56" s="225"/>
      <c r="O56" s="225"/>
      <c r="P56" s="225">
        <f>24*60*SUM($M56:$M56)</f>
        <v>1.000000003259629</v>
      </c>
      <c r="Q56" s="228"/>
      <c r="R56" s="242" t="s">
        <v>658</v>
      </c>
      <c r="S56" s="249">
        <f>1/IF(AG56="EC",12,1)*SUM(U56:U56)</f>
        <v>0</v>
      </c>
      <c r="T56" s="242" t="str">
        <f>IF(ISEVEN(LEFT(AD56,4)),"Southbound","NorthBound")</f>
        <v>Southbound</v>
      </c>
      <c r="U56" s="246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0</v>
      </c>
      <c r="V56" s="248" t="str">
        <f>"https://d0f6bd738d7f1b3e5a7ca70fe4ff75f0.us-east-1.aws.found.io/app/kibana#/discover/Steve-Slow-Train-Analysis-(2080s-and-2083s)?_g="&amp;"(refreshInterval:(display:Off,pause:!f,section:0,value:0),time:(from:'"&amp;TEXT(E56-1/24,"yyyy-MM-DDThh:mm:ss")&amp;utc_offset&amp;"00"&amp;"',mode:absolute,to:'"&amp;TEXT(I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56&amp;"%22')),sort:!(Time.ISO8601,asc))"</f>
        <v>https://d0f6bd738d7f1b3e5a7ca70fe4ff75f0.us-east-1.aws.found.io/app/kibana#/discover/Steve-Slow-Train-Analysis-(2080s-and-2083s)?_g=(refreshInterval:(display:Off,pause:!f,section:0,value:0),time:(from:'2018-01-06T08:39:00-0700',mode:absolute,to:'2018-01-06T10:42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56" s="247" t="str">
        <f>IF(AA56&lt;VLOOKUP(AG56,Variables!$AC$3:$AD$8,2,FALSE),"Y","N")</f>
        <v>Y</v>
      </c>
      <c r="X56" s="247">
        <f>VALUE(LEFT(AD56,4))-VALUE(LEFT(AD55,4))</f>
        <v>1</v>
      </c>
      <c r="Y56" s="247">
        <f>RIGHT(D56,LEN(D56)-4)/10000</f>
        <v>23.287099999999999</v>
      </c>
      <c r="Z56" s="247">
        <f>RIGHT(H56,LEN(H56)-4)/10000</f>
        <v>23.287099999999999</v>
      </c>
      <c r="AA56" s="247">
        <f>ABS(Z56-Y56)</f>
        <v>0</v>
      </c>
      <c r="AB56" s="233" t="e">
        <f>VLOOKUP(A56,Enforcements!$C$7:$K$9,8,0)</f>
        <v>#N/A</v>
      </c>
      <c r="AC56" s="232" t="e">
        <f>VLOOKUP(A56,Enforcements!$C$7:$E$9,3,0)</f>
        <v>#N/A</v>
      </c>
      <c r="AD56" s="243">
        <f>VALUE(LEFT(A56,LEN(A56)-3))</f>
        <v>142</v>
      </c>
      <c r="AE56" s="235" t="str">
        <f>"aws s3 cp "&amp;s3_bucket&amp;"/RTDC"&amp;B56&amp;"/ "&amp;search_path&amp;"\RTDC"&amp;B56&amp;"\"&amp;TEXT(F56,"YYYY-MM-DD")&amp;" --exclude ""*"" --recursive --include ""*"&amp;TEXT(F56,"YYYYMMDD")&amp;"*"" &amp; """&amp;walkandungz&amp;""" "&amp;search_path&amp;"\RTDC"&amp;B56&amp;"\"&amp;TEXT(F56,"YYYY-MM-DD")
&amp;" &amp; "&amp;"aws s3 cp "&amp;s3_bucket&amp;"/RTDC"&amp;B56&amp;"/ "&amp;search_path&amp;"\RTDC"&amp;B56&amp;"\"&amp;TEXT(F56+1,"YYYY-MM-DD")&amp;" --exclude ""*"" --recursive --include ""*"&amp;TEXT(F56+1,"YYYYMMDD")&amp;"*"" &amp; """&amp;walkandungz&amp;""" "&amp;search_path&amp;"\RTDC"&amp;B56&amp;"\"&amp;TEXT(F56+1,"YYYY-MM-DD")</f>
        <v>aws s3 cp s3://rtdc.mdm.uploadarchive.raw/RTDC4031/ "%USERPROFILE%\AppData\Local\Temp\OnboardLogs"\RTDC4031\2018-01-06 --exclude "*" --recursive --include "*20180106*" &amp; "%USERPROFILE%\Documents\GitHub\mrs-test-scripts\Headless Mode &amp; Sideloading\WalkAndUnGZ.bat" "%USERPROFILE%\AppData\Local\Temp\OnboardLogs"\RTDC4031\2018-01-06 &amp; aws s3 cp s3://rtdc.mdm.uploadarchive.raw/RTDC4031/ "%USERPROFILE%\AppData\Local\Temp\OnboardLogs"\RTDC4031\2018-01-07 --exclude "*" --recursive --include "*20180107*" &amp; "%USERPROFILE%\Documents\GitHub\mrs-test-scripts\Headless Mode &amp; Sideloading\WalkAndUnGZ.bat" "%USERPROFILE%\AppData\Local\Temp\OnboardLogs"\RTDC4031\2018-01-07</v>
      </c>
      <c r="AF56" s="234" t="str">
        <f>astrogrep_path&amp;" /e /r /s /spath="&amp;search_path&amp;" /stypes=""app*"&amp;B56&amp;"*"&amp;TEXT(I56-utc_offset/24,"YYYYMMDD")&amp;"*"" /stext="" "&amp;TEXT(I56-utc_offset/24,"HH")&amp;search_regexp&amp;""""</f>
        <v>"C:\Program Files (x86)\AstroGrep\AstroGrep.exe" /e /r /s /spath="%USERPROFILE%\AppData\Local\Temp\OnboardLogs" /stypes="app*4031*20180106*" /stext=" 16:.+((SYSTEM_STATE.+slice.+state.+changed )|(ment ac)|(multiple cpu faults)|(system.+state.+changed )|(\[timeout)|(PRM\|1\|D)|(kpr)|(kdp)|(train st.+moving)|(\|lc)|(penalty))"</v>
      </c>
      <c r="AG56" s="244" t="str">
        <f>DetSubdiv(A56)</f>
        <v>EC</v>
      </c>
      <c r="AH56" s="236" t="str">
        <f t="shared" si="5"/>
        <v>"%USERPROFILE%\Documents\GitHub\eaglep3\Utilities\RefineRTDCRunTimes.py" --tripid 142-06 --locoid 4031 --swversion DE.1.0.9.0 --startMP 204:232871 --initTime 2018-01-06T09:39:00 --startdatetime 2018-01-06T09:41:48 --delay 62 --endMP 204:232871 --enddatetime 2018-01-06T09:42:48 --enforcementcount 0 &gt;&gt;%USERPROFILE%\Documents\GitHub\eaglep3-reporting\EC\2018-01-06-refined-times.txt</v>
      </c>
      <c r="AI56" s="238" t="str">
        <f t="shared" si="6"/>
        <v>echo {"issue":{"subject":"Onboard en route failure","project_id":79,"tracker_id":40,"status_id":1,"priority_id":2,"assigned_to_id":338,"start_date":"2018-01-06","description":"","custom_fields":[{"id":1,"name":"Subdivision","value":"EC"},{"id":4,"name":"Milepost","value":"23.2871"},{"id":17,"name":"Train ID","value":"142-06"},{"id":16,"name":"Locomotive ID","value":"4031"},{"id":130,"name":"Impact","value":""},{"id":150,"name":"Time of Event (Mountain Time)","value":"09:42:48"},{"id":151,"name":"Denver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6" s="223"/>
      <c r="AK56" s="231"/>
      <c r="AL56" s="231"/>
      <c r="AM56" s="240" t="str">
        <f t="shared" si="7"/>
        <v>start /low /b %USERPROFILE%\Documents\GitHub\eaglep3\Utilities\DownloadLogsFromS3.py --loco 4031 --day 2018-01-06</v>
      </c>
      <c r="AN56" s="241" t="str">
        <f t="shared" si="8"/>
        <v>echo {"issue":{"subject":"Onboard en route failure","project_id":30,"tracker_id":4,"status_id":1,"priority_id":1,"assigned_to_id":10,"start_date":"2018-01-06","description":"","custom_fields":[{"id":30,"name":"Category","value":"Issue"},{"id":3,"name":"Functional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16:42:48"},{"id":29,"name":"Sharepoint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 s="230" t="str">
        <f t="shared" si="9"/>
        <v>https://d0f6bd738d7f1b3e5a7ca70fe4ff75f0.us-east-1.aws.found.io/app/kibana#/discover/Steve-Slow-Train-Analysis-(2080s-and-2083s)?_g=(refreshInterval:(display:Off,pause:!f,section:0,value:0),time:(from:'2018-01-06T08:39:00-0700',mode:absolute,to:'2018-01-06T10:42:48-0700'))&amp;_a=(columns:!('Message%20ID',Summary),filters:!(),index:'emp_*',interval:auto,query:(query_string:(analyze_wildcard:!t,query:'%22rtdc.l.rtdc.4031%22')),sort:!(Time.ISO8601,asc))</v>
      </c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3">
      <c r="A57" s="229" t="s">
        <v>749</v>
      </c>
      <c r="B57" s="225">
        <v>4064</v>
      </c>
      <c r="C57" s="227" t="s">
        <v>192</v>
      </c>
      <c r="D57" s="227" t="s">
        <v>486</v>
      </c>
      <c r="E57" s="226">
        <v>43106.369803240741</v>
      </c>
      <c r="F57" s="226">
        <v>43106.375173611108</v>
      </c>
      <c r="G57" s="225">
        <v>51</v>
      </c>
      <c r="H57" s="227" t="s">
        <v>923</v>
      </c>
      <c r="I57" s="226">
        <v>43106.399872685186</v>
      </c>
      <c r="J57" s="225">
        <v>0</v>
      </c>
      <c r="K57" s="237" t="str">
        <f>IF(ISEVEN(B57),(B57-1)&amp;"/"&amp;B57,B57&amp;"/"&amp;(B57+1))</f>
        <v>4063/4064</v>
      </c>
      <c r="L57" s="245" t="str">
        <f>VLOOKUP(A57,'Trips&amp;Operators'!$C$1:$G$99911,5,FALSE)</f>
        <v>LANGERAK WILLIAM</v>
      </c>
      <c r="M57" s="224">
        <f>I57-F57</f>
        <v>2.4699074077943806E-2</v>
      </c>
      <c r="N57" s="225">
        <f>24*60*SUM($M57:$M57)</f>
        <v>35.56666667223908</v>
      </c>
      <c r="O57" s="225"/>
      <c r="P57" s="225"/>
      <c r="Q57" s="228"/>
      <c r="R57" s="242"/>
      <c r="S57" s="249">
        <f>1/IF(AG57="EC",12,1)*SUM(U57:U57)</f>
        <v>1</v>
      </c>
      <c r="T57" s="242" t="str">
        <f>IF(ISEVEN(LEFT(AD57,4)),"Southbound","NorthBound")</f>
        <v>NorthBound</v>
      </c>
      <c r="U57" s="246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248" t="str">
        <f>"https://d0f6bd738d7f1b3e5a7ca70fe4ff75f0.us-east-1.aws.found.io/app/kibana#/discover/Steve-Slow-Train-Analysis-(2080s-and-2083s)?_g="&amp;"(refreshInterval:(display:Off,pause:!f,section:0,value:0),time:(from:'"&amp;TEXT(E57-1/24,"yyyy-MM-DDThh:mm:ss")&amp;utc_offset&amp;"00"&amp;"',mode:absolute,to:'"&amp;TEXT(I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57&amp;"%22')),sort:!(Time.ISO8601,asc))"</f>
        <v>https://d0f6bd738d7f1b3e5a7ca70fe4ff75f0.us-east-1.aws.found.io/app/kibana#/discover/Steve-Slow-Train-Analysis-(2080s-and-2083s)?_g=(refreshInterval:(display:Off,pause:!f,section:0,value:0),time:(from:'2018-01-06T07:52:31-0700',mode:absolute,to:'2018-01-06T10:35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57" s="247" t="str">
        <f>IF(AA57&lt;VLOOKUP(AG57,Variables!$AC$3:$AD$8,2,FALSE),"Y","N")</f>
        <v>N</v>
      </c>
      <c r="X57" s="247">
        <f>VALUE(LEFT(AD57,4))-VALUE(LEFT(AD56,4))</f>
        <v>1</v>
      </c>
      <c r="Y57" s="247">
        <f>RIGHT(D57,LEN(D57)-4)/10000</f>
        <v>4.9700000000000001E-2</v>
      </c>
      <c r="Z57" s="247">
        <f>RIGHT(H57,LEN(H57)-4)/10000</f>
        <v>23.322500000000002</v>
      </c>
      <c r="AA57" s="247">
        <f>ABS(Z57-Y57)</f>
        <v>23.2728</v>
      </c>
      <c r="AB57" s="233" t="e">
        <f>VLOOKUP(A57,Enforcements!$C$7:$K$9,8,0)</f>
        <v>#N/A</v>
      </c>
      <c r="AC57" s="232" t="e">
        <f>VLOOKUP(A57,Enforcements!$C$7:$E$9,3,0)</f>
        <v>#N/A</v>
      </c>
      <c r="AD57" s="243">
        <f>VALUE(LEFT(A57,LEN(A57)-3))</f>
        <v>143</v>
      </c>
      <c r="AE57" s="235" t="str">
        <f>"aws s3 cp "&amp;s3_bucket&amp;"/RTDC"&amp;B57&amp;"/ "&amp;search_path&amp;"\RTDC"&amp;B57&amp;"\"&amp;TEXT(F57,"YYYY-MM-DD")&amp;" --exclude ""*"" --recursive --include ""*"&amp;TEXT(F57,"YYYYMMDD")&amp;"*"" &amp; """&amp;walkandungz&amp;""" "&amp;search_path&amp;"\RTDC"&amp;B57&amp;"\"&amp;TEXT(F57,"YYYY-MM-DD")
&amp;" &amp; "&amp;"aws s3 cp "&amp;s3_bucket&amp;"/RTDC"&amp;B57&amp;"/ "&amp;search_path&amp;"\RTDC"&amp;B57&amp;"\"&amp;TEXT(F57+1,"YYYY-MM-DD")&amp;" --exclude ""*"" --recursive --include ""*"&amp;TEXT(F57+1,"YYYYMMDD")&amp;"*"" &amp; """&amp;walkandungz&amp;""" "&amp;search_path&amp;"\RTDC"&amp;B57&amp;"\"&amp;TEXT(F57+1,"YYYY-MM-DD")</f>
        <v>aws s3 cp s3://rtdc.mdm.uploadarchive.raw/RTDC4064/ "%USERPROFILE%\AppData\Local\Temp\OnboardLogs"\RTDC4064\2018-01-06 --exclude "*" --recursive --include "*20180106*" &amp; "%USERPROFILE%\Documents\GitHub\mrs-test-scripts\Headless Mode &amp; Sideloading\WalkAndUnGZ.bat" "%USERPROFILE%\AppData\Local\Temp\OnboardLogs"\RTDC4064\2018-01-06 &amp; aws s3 cp s3://rtdc.mdm.uploadarchive.raw/RTDC4064/ "%USERPROFILE%\AppData\Local\Temp\OnboardLogs"\RTDC4064\2018-01-07 --exclude "*" --recursive --include "*20180107*" &amp; "%USERPROFILE%\Documents\GitHub\mrs-test-scripts\Headless Mode &amp; Sideloading\WalkAndUnGZ.bat" "%USERPROFILE%\AppData\Local\Temp\OnboardLogs"\RTDC4064\2018-01-07</v>
      </c>
      <c r="AF57" s="234" t="str">
        <f>astrogrep_path&amp;" /e /r /s /spath="&amp;search_path&amp;" /stypes=""app*"&amp;B57&amp;"*"&amp;TEXT(I57-utc_offset/24,"YYYYMMDD")&amp;"*"" /stext="" "&amp;TEXT(I57-utc_offset/24,"HH")&amp;search_regexp&amp;""""</f>
        <v>"C:\Program Files (x86)\AstroGrep\AstroGrep.exe" /e /r /s /spath="%USERPROFILE%\AppData\Local\Temp\OnboardLogs" /stypes="app*4064*20180106*" /stext=" 16:.+((SYSTEM_STATE.+slice.+state.+changed )|(ment ac)|(multiple cpu faults)|(system.+state.+changed )|(\[timeout)|(PRM\|1\|D)|(kpr)|(kdp)|(train st.+moving)|(\|lc)|(penalty))"</v>
      </c>
      <c r="AG57" s="244" t="str">
        <f>DetSubdiv(A57)</f>
        <v>EC</v>
      </c>
      <c r="AH57" s="236" t="str">
        <f t="shared" si="5"/>
        <v>"%USERPROFILE%\Documents\GitHub\eaglep3\Utilities\RefineRTDCRunTimes.py" --tripid 143-06 --locoid 4064 --swversion DE.1.0.9.0 --startMP 204:497 --initTime 2018-01-06T08:52:31 --startdatetime 2018-01-06T09:00:15 --delay 51 --endMP 204:233225 --enddatetime 2018-01-06T09:35:49 --enforcementcount 0 &gt;&gt;%USERPROFILE%\Documents\GitHub\eaglep3-reporting\EC\2018-01-06-refined-times.txt</v>
      </c>
      <c r="AI57" s="238" t="str">
        <f t="shared" si="6"/>
        <v>echo {"issue":{"subject":"","project_id":79,"tracker_id":40,"status_id":1,"priority_id":2,"assigned_to_id":338,"start_date":"2018-01-06","description":"","custom_fields":[{"id":1,"name":"Subdivision","value":"EC"},{"id":4,"name":"Milepost","value":"23.3225"},{"id":17,"name":"Train ID","value":"143-06"},{"id":16,"name":"Locomotive ID","value":"4064"},{"id":130,"name":"Impact","value":""},{"id":150,"name":"Time of Event (Mountain Time)","value":"09:35:49"},{"id":151,"name":"Denver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7" s="223"/>
      <c r="AK57" s="231"/>
      <c r="AL57" s="231"/>
      <c r="AM57" s="240" t="str">
        <f t="shared" si="7"/>
        <v>start /low /b %USERPROFILE%\Documents\GitHub\eaglep3\Utilities\DownloadLogsFromS3.py --loco 4064 --day 2018-01-06</v>
      </c>
      <c r="AN57" s="241" t="str">
        <f t="shared" si="8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16:35:49"},{"id":29,"name":"Sharepoint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 s="230" t="str">
        <f t="shared" si="9"/>
        <v>https://d0f6bd738d7f1b3e5a7ca70fe4ff75f0.us-east-1.aws.found.io/app/kibana#/discover/Steve-Slow-Train-Analysis-(2080s-and-2083s)?_g=(refreshInterval:(display:Off,pause:!f,section:0,value:0),time:(from:'2018-01-06T07:52:31-0700',mode:absolute,to:'2018-01-06T10:35:49-0700'))&amp;_a=(columns:!('Message%20ID',Summary),filters:!(),index:'emp_*',interval:auto,query:(query_string:(analyze_wildcard:!t,query:'%22rtdc.l.rtdc.4064%22')),sort:!(Time.ISO8601,asc))</v>
      </c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3">
      <c r="A58" s="229" t="s">
        <v>758</v>
      </c>
      <c r="B58" s="225">
        <v>4063</v>
      </c>
      <c r="C58" s="227" t="s">
        <v>192</v>
      </c>
      <c r="D58" s="227" t="s">
        <v>924</v>
      </c>
      <c r="E58" s="226">
        <v>43106.401273148149</v>
      </c>
      <c r="F58" s="226">
        <v>43106.414780092593</v>
      </c>
      <c r="G58" s="225">
        <v>53</v>
      </c>
      <c r="H58" s="227" t="s">
        <v>463</v>
      </c>
      <c r="I58" s="226">
        <v>43106.443472222221</v>
      </c>
      <c r="J58" s="225">
        <v>0</v>
      </c>
      <c r="K58" s="237" t="str">
        <f>IF(ISEVEN(B58),(B58-1)&amp;"/"&amp;B58,B58&amp;"/"&amp;(B58+1))</f>
        <v>4063/4064</v>
      </c>
      <c r="L58" s="245" t="str">
        <f>VLOOKUP(A58,'Trips&amp;Operators'!$C$1:$G$99911,5,FALSE)</f>
        <v>LANGERAK WILLIAM</v>
      </c>
      <c r="M58" s="224">
        <f>I58-F58</f>
        <v>2.8692129628325347E-2</v>
      </c>
      <c r="N58" s="225">
        <f>24*60*SUM($M58:$M58)</f>
        <v>41.316666664788499</v>
      </c>
      <c r="O58" s="225"/>
      <c r="P58" s="225"/>
      <c r="Q58" s="228"/>
      <c r="R58" s="242"/>
      <c r="S58" s="249">
        <f>1/IF(AG58="EC",12,1)*SUM(U58:U58)</f>
        <v>1</v>
      </c>
      <c r="T58" s="242" t="str">
        <f>IF(ISEVEN(LEFT(AD58,4)),"Southbound","NorthBound")</f>
        <v>Southbound</v>
      </c>
      <c r="U58" s="246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248" t="str">
        <f>"https://d0f6bd738d7f1b3e5a7ca70fe4ff75f0.us-east-1.aws.found.io/app/kibana#/discover/Steve-Slow-Train-Analysis-(2080s-and-2083s)?_g="&amp;"(refreshInterval:(display:Off,pause:!f,section:0,value:0),time:(from:'"&amp;TEXT(E58-1/24,"yyyy-MM-DDThh:mm:ss")&amp;utc_offset&amp;"00"&amp;"',mode:absolute,to:'"&amp;TEXT(I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58&amp;"%22')),sort:!(Time.ISO8601,asc))"</f>
        <v>https://d0f6bd738d7f1b3e5a7ca70fe4ff75f0.us-east-1.aws.found.io/app/kibana#/discover/Steve-Slow-Train-Analysis-(2080s-and-2083s)?_g=(refreshInterval:(display:Off,pause:!f,section:0,value:0),time:(from:'2018-01-06T08:37:50-0700',mode:absolute,to:'2018-01-06T11:38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58" s="247" t="str">
        <f>IF(AA58&lt;VLOOKUP(AG58,Variables!$AC$3:$AD$8,2,FALSE),"Y","N")</f>
        <v>N</v>
      </c>
      <c r="X58" s="247">
        <f>VALUE(LEFT(AD58,4))-VALUE(LEFT(AD57,4))</f>
        <v>1</v>
      </c>
      <c r="Y58" s="247">
        <f>RIGHT(D58,LEN(D58)-4)/10000</f>
        <v>23.290400000000002</v>
      </c>
      <c r="Z58" s="247">
        <f>RIGHT(H58,LEN(H58)-4)/10000</f>
        <v>1.9599999999999999E-2</v>
      </c>
      <c r="AA58" s="247">
        <f>ABS(Z58-Y58)</f>
        <v>23.270800000000001</v>
      </c>
      <c r="AB58" s="233" t="e">
        <f>VLOOKUP(A58,Enforcements!$C$7:$K$9,8,0)</f>
        <v>#N/A</v>
      </c>
      <c r="AC58" s="232" t="e">
        <f>VLOOKUP(A58,Enforcements!$C$7:$E$9,3,0)</f>
        <v>#N/A</v>
      </c>
      <c r="AD58" s="243">
        <f>VALUE(LEFT(A58,LEN(A58)-3))</f>
        <v>144</v>
      </c>
      <c r="AE58" s="235" t="str">
        <f>"aws s3 cp "&amp;s3_bucket&amp;"/RTDC"&amp;B58&amp;"/ "&amp;search_path&amp;"\RTDC"&amp;B58&amp;"\"&amp;TEXT(F58,"YYYY-MM-DD")&amp;" --exclude ""*"" --recursive --include ""*"&amp;TEXT(F58,"YYYYMMDD")&amp;"*"" &amp; """&amp;walkandungz&amp;""" "&amp;search_path&amp;"\RTDC"&amp;B58&amp;"\"&amp;TEXT(F58,"YYYY-MM-DD")
&amp;" &amp; "&amp;"aws s3 cp "&amp;s3_bucket&amp;"/RTDC"&amp;B58&amp;"/ "&amp;search_path&amp;"\RTDC"&amp;B58&amp;"\"&amp;TEXT(F58+1,"YYYY-MM-DD")&amp;" --exclude ""*"" --recursive --include ""*"&amp;TEXT(F58+1,"YYYYMMDD")&amp;"*"" &amp; """&amp;walkandungz&amp;""" "&amp;search_path&amp;"\RTDC"&amp;B58&amp;"\"&amp;TEXT(F58+1,"YYYY-MM-DD")</f>
        <v>aws s3 cp s3://rtdc.mdm.uploadarchive.raw/RTDC4063/ "%USERPROFILE%\AppData\Local\Temp\OnboardLogs"\RTDC4063\2018-01-06 --exclude "*" --recursive --include "*20180106*" &amp; "%USERPROFILE%\Documents\GitHub\mrs-test-scripts\Headless Mode &amp; Sideloading\WalkAndUnGZ.bat" "%USERPROFILE%\AppData\Local\Temp\OnboardLogs"\RTDC4063\2018-01-06 &amp; aws s3 cp s3://rtdc.mdm.uploadarchive.raw/RTDC4063/ "%USERPROFILE%\AppData\Local\Temp\OnboardLogs"\RTDC4063\2018-01-07 --exclude "*" --recursive --include "*20180107*" &amp; "%USERPROFILE%\Documents\GitHub\mrs-test-scripts\Headless Mode &amp; Sideloading\WalkAndUnGZ.bat" "%USERPROFILE%\AppData\Local\Temp\OnboardLogs"\RTDC4063\2018-01-07</v>
      </c>
      <c r="AF58" s="234" t="str">
        <f>astrogrep_path&amp;" /e /r /s /spath="&amp;search_path&amp;" /stypes=""app*"&amp;B58&amp;"*"&amp;TEXT(I58-utc_offset/24,"YYYYMMDD")&amp;"*"" /stext="" "&amp;TEXT(I58-utc_offset/24,"HH")&amp;search_regexp&amp;""""</f>
        <v>"C:\Program Files (x86)\AstroGrep\AstroGrep.exe" /e /r /s /spath="%USERPROFILE%\AppData\Local\Temp\OnboardLogs" /stypes="app*4063*20180106*" /stext=" 17:.+((SYSTEM_STATE.+slice.+state.+changed )|(ment ac)|(multiple cpu faults)|(system.+state.+changed )|(\[timeout)|(PRM\|1\|D)|(kpr)|(kdp)|(train st.+moving)|(\|lc)|(penalty))"</v>
      </c>
      <c r="AG58" s="244" t="str">
        <f>DetSubdiv(A58)</f>
        <v>EC</v>
      </c>
      <c r="AH58" s="236" t="str">
        <f t="shared" si="5"/>
        <v>"%USERPROFILE%\Documents\GitHub\eaglep3\Utilities\RefineRTDCRunTimes.py" --tripid 144-06 --locoid 4063 --swversion DE.1.0.9.0 --startMP 204:232904 --initTime 2018-01-06T09:37:50 --startdatetime 2018-01-06T09:57:17 --delay 53 --endMP 204:196 --enddatetime 2018-01-06T10:38:36 --enforcementcount 0 &gt;&gt;%USERPROFILE%\Documents\GitHub\eaglep3-reporting\EC\2018-01-06-refined-times.txt</v>
      </c>
      <c r="AI58" s="238" t="str">
        <f t="shared" si="6"/>
        <v>echo {"issue":{"subject":"","project_id":79,"tracker_id":40,"status_id":1,"priority_id":2,"assigned_to_id":338,"start_date":"2018-01-06","description":"","custom_fields":[{"id":1,"name":"Subdivision","value":"EC"},{"id":4,"name":"Milepost","value":"0.0196"},{"id":17,"name":"Train ID","value":"144-06"},{"id":16,"name":"Locomotive ID","value":"4063"},{"id":130,"name":"Impact","value":""},{"id":150,"name":"Time of Event (Mountain Time)","value":"10:38:36"},{"id":151,"name":"Denver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8" s="223"/>
      <c r="AK58" s="231"/>
      <c r="AL58" s="231"/>
      <c r="AM58" s="240" t="str">
        <f t="shared" si="7"/>
        <v>start /low /b %USERPROFILE%\Documents\GitHub\eaglep3\Utilities\DownloadLogsFromS3.py --loco 4063 --day 2018-01-06</v>
      </c>
      <c r="AN58" s="241" t="str">
        <f t="shared" si="8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17:38:36"},{"id":29,"name":"Sharepoint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 s="230" t="str">
        <f t="shared" si="9"/>
        <v>https://d0f6bd738d7f1b3e5a7ca70fe4ff75f0.us-east-1.aws.found.io/app/kibana#/discover/Steve-Slow-Train-Analysis-(2080s-and-2083s)?_g=(refreshInterval:(display:Off,pause:!f,section:0,value:0),time:(from:'2018-01-06T08:37:50-0700',mode:absolute,to:'2018-01-06T11:38:36-0700'))&amp;_a=(columns:!('Message%20ID',Summary),filters:!(),index:'emp_*',interval:auto,query:(query_string:(analyze_wildcard:!t,query:'%22rtdc.l.rtdc.4063%22')),sort:!(Time.ISO8601,asc))</v>
      </c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3">
      <c r="A59" s="229" t="s">
        <v>752</v>
      </c>
      <c r="B59" s="225">
        <v>4060</v>
      </c>
      <c r="C59" s="227" t="s">
        <v>192</v>
      </c>
      <c r="D59" s="227" t="s">
        <v>481</v>
      </c>
      <c r="E59" s="226">
        <v>43106.38077546296</v>
      </c>
      <c r="F59" s="226">
        <v>43106.385601851849</v>
      </c>
      <c r="G59" s="225">
        <v>96</v>
      </c>
      <c r="H59" s="227" t="s">
        <v>635</v>
      </c>
      <c r="I59" s="226">
        <v>43106.410856481481</v>
      </c>
      <c r="J59" s="225">
        <v>0</v>
      </c>
      <c r="K59" s="237" t="str">
        <f>IF(ISEVEN(B59),(B59-1)&amp;"/"&amp;B59,B59&amp;"/"&amp;(B59+1))</f>
        <v>4059/4060</v>
      </c>
      <c r="L59" s="245" t="str">
        <f>VLOOKUP(A59,'Trips&amp;Operators'!$C$1:$G$99911,5,FALSE)</f>
        <v>WILLIAMS DONTE</v>
      </c>
      <c r="M59" s="224">
        <f>I59-F59</f>
        <v>2.5254629632399883E-2</v>
      </c>
      <c r="N59" s="225">
        <f>24*60*SUM($M59:$M59)</f>
        <v>36.366666670655832</v>
      </c>
      <c r="O59" s="225"/>
      <c r="P59" s="225"/>
      <c r="Q59" s="228"/>
      <c r="R59" s="242"/>
      <c r="S59" s="249">
        <f>1/IF(AG59="EC",12,1)*SUM(U59:U59)</f>
        <v>1</v>
      </c>
      <c r="T59" s="242" t="str">
        <f>IF(ISEVEN(LEFT(AD59,4)),"Southbound","NorthBound")</f>
        <v>NorthBound</v>
      </c>
      <c r="U59" s="246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248" t="str">
        <f>"https://d0f6bd738d7f1b3e5a7ca70fe4ff75f0.us-east-1.aws.found.io/app/kibana#/discover/Steve-Slow-Train-Analysis-(2080s-and-2083s)?_g="&amp;"(refreshInterval:(display:Off,pause:!f,section:0,value:0),time:(from:'"&amp;TEXT(E59-1/24,"yyyy-MM-DDThh:mm:ss")&amp;utc_offset&amp;"00"&amp;"',mode:absolute,to:'"&amp;TEXT(I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59&amp;"%22')),sort:!(Time.ISO8601,asc))"</f>
        <v>https://d0f6bd738d7f1b3e5a7ca70fe4ff75f0.us-east-1.aws.found.io/app/kibana#/discover/Steve-Slow-Train-Analysis-(2080s-and-2083s)?_g=(refreshInterval:(display:Off,pause:!f,section:0,value:0),time:(from:'2018-01-06T08:08:19-0700',mode:absolute,to:'2018-01-06T10:51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59" s="247" t="str">
        <f>IF(AA59&lt;VLOOKUP(AG59,Variables!$AC$3:$AD$8,2,FALSE),"Y","N")</f>
        <v>N</v>
      </c>
      <c r="X59" s="247">
        <f>VALUE(LEFT(AD59,4))-VALUE(LEFT(AD58,4))</f>
        <v>1</v>
      </c>
      <c r="Y59" s="247">
        <f>RIGHT(D59,LEN(D59)-4)/10000</f>
        <v>5.1700000000000003E-2</v>
      </c>
      <c r="Z59" s="247">
        <f>RIGHT(H59,LEN(H59)-4)/10000</f>
        <v>23.323</v>
      </c>
      <c r="AA59" s="247">
        <f>ABS(Z59-Y59)</f>
        <v>23.2713</v>
      </c>
      <c r="AB59" s="233" t="e">
        <f>VLOOKUP(A59,Enforcements!$C$7:$K$9,8,0)</f>
        <v>#N/A</v>
      </c>
      <c r="AC59" s="232" t="e">
        <f>VLOOKUP(A59,Enforcements!$C$7:$E$9,3,0)</f>
        <v>#N/A</v>
      </c>
      <c r="AD59" s="243">
        <f>VALUE(LEFT(A59,LEN(A59)-3))</f>
        <v>145</v>
      </c>
      <c r="AE59" s="235" t="str">
        <f>"aws s3 cp "&amp;s3_bucket&amp;"/RTDC"&amp;B59&amp;"/ "&amp;search_path&amp;"\RTDC"&amp;B59&amp;"\"&amp;TEXT(F59,"YYYY-MM-DD")&amp;" --exclude ""*"" --recursive --include ""*"&amp;TEXT(F59,"YYYYMMDD")&amp;"*"" &amp; """&amp;walkandungz&amp;""" "&amp;search_path&amp;"\RTDC"&amp;B59&amp;"\"&amp;TEXT(F59,"YYYY-MM-DD")
&amp;" &amp; "&amp;"aws s3 cp "&amp;s3_bucket&amp;"/RTDC"&amp;B59&amp;"/ "&amp;search_path&amp;"\RTDC"&amp;B59&amp;"\"&amp;TEXT(F59+1,"YYYY-MM-DD")&amp;" --exclude ""*"" --recursive --include ""*"&amp;TEXT(F59+1,"YYYYMMDD")&amp;"*"" &amp; """&amp;walkandungz&amp;""" "&amp;search_path&amp;"\RTDC"&amp;B59&amp;"\"&amp;TEXT(F59+1,"YYYY-MM-DD")</f>
        <v>aws s3 cp s3://rtdc.mdm.uploadarchive.raw/RTDC4060/ "%USERPROFILE%\AppData\Local\Temp\OnboardLogs"\RTDC4060\2018-01-06 --exclude "*" --recursive --include "*20180106*" &amp; "%USERPROFILE%\Documents\GitHub\mrs-test-scripts\Headless Mode &amp; Sideloading\WalkAndUnGZ.bat" "%USERPROFILE%\AppData\Local\Temp\OnboardLogs"\RTDC4060\2018-01-06 &amp; aws s3 cp s3://rtdc.mdm.uploadarchive.raw/RTDC4060/ "%USERPROFILE%\AppData\Local\Temp\OnboardLogs"\RTDC4060\2018-01-07 --exclude "*" --recursive --include "*20180107*" &amp; "%USERPROFILE%\Documents\GitHub\mrs-test-scripts\Headless Mode &amp; Sideloading\WalkAndUnGZ.bat" "%USERPROFILE%\AppData\Local\Temp\OnboardLogs"\RTDC4060\2018-01-07</v>
      </c>
      <c r="AF59" s="234" t="str">
        <f>astrogrep_path&amp;" /e /r /s /spath="&amp;search_path&amp;" /stypes=""app*"&amp;B59&amp;"*"&amp;TEXT(I59-utc_offset/24,"YYYYMMDD")&amp;"*"" /stext="" "&amp;TEXT(I59-utc_offset/24,"HH")&amp;search_regexp&amp;""""</f>
        <v>"C:\Program Files (x86)\AstroGrep\AstroGrep.exe" /e /r /s /spath="%USERPROFILE%\AppData\Local\Temp\OnboardLogs" /stypes="app*4060*20180106*" /stext=" 16:.+((SYSTEM_STATE.+slice.+state.+changed )|(ment ac)|(multiple cpu faults)|(system.+state.+changed )|(\[timeout)|(PRM\|1\|D)|(kpr)|(kdp)|(train st.+moving)|(\|lc)|(penalty))"</v>
      </c>
      <c r="AG59" s="244" t="str">
        <f>DetSubdiv(A59)</f>
        <v>EC</v>
      </c>
      <c r="AH59" s="236" t="str">
        <f t="shared" si="5"/>
        <v>"%USERPROFILE%\Documents\GitHub\eaglep3\Utilities\RefineRTDCRunTimes.py" --tripid 145-06 --locoid 4060 --swversion DE.1.0.9.0 --startMP 204:517 --initTime 2018-01-06T09:08:19 --startdatetime 2018-01-06T09:15:16 --delay 96 --endMP 204:233230 --enddatetime 2018-01-06T09:51:38 --enforcementcount 0 &gt;&gt;%USERPROFILE%\Documents\GitHub\eaglep3-reporting\EC\2018-01-06-refined-times.txt</v>
      </c>
      <c r="AI59" s="238" t="str">
        <f t="shared" si="6"/>
        <v>echo {"issue":{"subject":"","project_id":79,"tracker_id":40,"status_id":1,"priority_id":2,"assigned_to_id":338,"start_date":"2018-01-06","description":"","custom_fields":[{"id":1,"name":"Subdivision","value":"EC"},{"id":4,"name":"Milepost","value":"23.323"},{"id":17,"name":"Train ID","value":"145-06"},{"id":16,"name":"Locomotive ID","value":"4060"},{"id":130,"name":"Impact","value":""},{"id":150,"name":"Time of Event (Mountain Time)","value":"09:51:38"},{"id":151,"name":"Denver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9" s="223"/>
      <c r="AK59" s="231"/>
      <c r="AL59" s="231"/>
      <c r="AM59" s="240" t="str">
        <f t="shared" si="7"/>
        <v>start /low /b %USERPROFILE%\Documents\GitHub\eaglep3\Utilities\DownloadLogsFromS3.py --loco 4060 --day 2018-01-06</v>
      </c>
      <c r="AN59" s="241" t="str">
        <f t="shared" si="8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16:51:38"},{"id":29,"name":"Sharepoint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 s="230" t="str">
        <f t="shared" si="9"/>
        <v>https://d0f6bd738d7f1b3e5a7ca70fe4ff75f0.us-east-1.aws.found.io/app/kibana#/discover/Steve-Slow-Train-Analysis-(2080s-and-2083s)?_g=(refreshInterval:(display:Off,pause:!f,section:0,value:0),time:(from:'2018-01-06T08:08:19-0700',mode:absolute,to:'2018-01-06T10:51:38-0700'))&amp;_a=(columns:!('Message%20ID',Summary),filters:!(),index:'emp_*',interval:auto,query:(query_string:(analyze_wildcard:!t,query:'%22rtdc.l.rtdc.4060%22')),sort:!(Time.ISO8601,asc))</v>
      </c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3">
      <c r="A60" s="229" t="s">
        <v>761</v>
      </c>
      <c r="B60" s="225">
        <v>4059</v>
      </c>
      <c r="C60" s="227" t="s">
        <v>192</v>
      </c>
      <c r="D60" s="227" t="s">
        <v>925</v>
      </c>
      <c r="E60" s="226">
        <v>43106.417939814812</v>
      </c>
      <c r="F60" s="226">
        <v>43106.425543981481</v>
      </c>
      <c r="G60" s="225">
        <v>99</v>
      </c>
      <c r="H60" s="227" t="s">
        <v>495</v>
      </c>
      <c r="I60" s="226">
        <v>43106.451747685183</v>
      </c>
      <c r="J60" s="225">
        <v>0</v>
      </c>
      <c r="K60" s="237" t="str">
        <f>IF(ISEVEN(B60),(B60-1)&amp;"/"&amp;B60,B60&amp;"/"&amp;(B60+1))</f>
        <v>4059/4060</v>
      </c>
      <c r="L60" s="245" t="str">
        <f>VLOOKUP(A60,'Trips&amp;Operators'!$C$1:$G$99911,5,FALSE)</f>
        <v>WILLIAMS DONTE</v>
      </c>
      <c r="M60" s="224">
        <f>I60-F60</f>
        <v>2.6203703702776693E-2</v>
      </c>
      <c r="N60" s="225">
        <f>24*60*SUM($M60:$M60)</f>
        <v>37.733333331998438</v>
      </c>
      <c r="O60" s="225"/>
      <c r="P60" s="225"/>
      <c r="Q60" s="228"/>
      <c r="R60" s="242"/>
      <c r="S60" s="249">
        <f>1/IF(AG60="EC",12,1)*SUM(U60:U60)</f>
        <v>1</v>
      </c>
      <c r="T60" s="242" t="str">
        <f>IF(ISEVEN(LEFT(AD60,4)),"Southbound","NorthBound")</f>
        <v>Southbound</v>
      </c>
      <c r="U60" s="246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248" t="str">
        <f>"https://d0f6bd738d7f1b3e5a7ca70fe4ff75f0.us-east-1.aws.found.io/app/kibana#/discover/Steve-Slow-Train-Analysis-(2080s-and-2083s)?_g="&amp;"(refreshInterval:(display:Off,pause:!f,section:0,value:0),time:(from:'"&amp;TEXT(E60-1/24,"yyyy-MM-DDThh:mm:ss")&amp;utc_offset&amp;"00"&amp;"',mode:absolute,to:'"&amp;TEXT(I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60&amp;"%22')),sort:!(Time.ISO8601,asc))"</f>
        <v>https://d0f6bd738d7f1b3e5a7ca70fe4ff75f0.us-east-1.aws.found.io/app/kibana#/discover/Steve-Slow-Train-Analysis-(2080s-and-2083s)?_g=(refreshInterval:(display:Off,pause:!f,section:0,value:0),time:(from:'2018-01-06T09:01:50-0700',mode:absolute,to:'2018-01-06T11:50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60" s="247" t="str">
        <f>IF(AA60&lt;VLOOKUP(AG60,Variables!$AC$3:$AD$8,2,FALSE),"Y","N")</f>
        <v>N</v>
      </c>
      <c r="X60" s="247">
        <f>VALUE(LEFT(AD60,4))-VALUE(LEFT(AD59,4))</f>
        <v>1</v>
      </c>
      <c r="Y60" s="247">
        <f>RIGHT(D60,LEN(D60)-4)/10000</f>
        <v>23.2927</v>
      </c>
      <c r="Z60" s="247">
        <f>RIGHT(H60,LEN(H60)-4)/10000</f>
        <v>2.1399999999999999E-2</v>
      </c>
      <c r="AA60" s="247">
        <f>ABS(Z60-Y60)</f>
        <v>23.2713</v>
      </c>
      <c r="AB60" s="233" t="e">
        <f>VLOOKUP(A60,Enforcements!$C$7:$K$9,8,0)</f>
        <v>#N/A</v>
      </c>
      <c r="AC60" s="232" t="e">
        <f>VLOOKUP(A60,Enforcements!$C$7:$E$9,3,0)</f>
        <v>#N/A</v>
      </c>
      <c r="AD60" s="243">
        <f>VALUE(LEFT(A60,LEN(A60)-3))</f>
        <v>146</v>
      </c>
      <c r="AE60" s="235" t="str">
        <f>"aws s3 cp "&amp;s3_bucket&amp;"/RTDC"&amp;B60&amp;"/ "&amp;search_path&amp;"\RTDC"&amp;B60&amp;"\"&amp;TEXT(F60,"YYYY-MM-DD")&amp;" --exclude ""*"" --recursive --include ""*"&amp;TEXT(F60,"YYYYMMDD")&amp;"*"" &amp; """&amp;walkandungz&amp;""" "&amp;search_path&amp;"\RTDC"&amp;B60&amp;"\"&amp;TEXT(F60,"YYYY-MM-DD")
&amp;" &amp; "&amp;"aws s3 cp "&amp;s3_bucket&amp;"/RTDC"&amp;B60&amp;"/ "&amp;search_path&amp;"\RTDC"&amp;B60&amp;"\"&amp;TEXT(F60+1,"YYYY-MM-DD")&amp;" --exclude ""*"" --recursive --include ""*"&amp;TEXT(F60+1,"YYYYMMDD")&amp;"*"" &amp; """&amp;walkandungz&amp;""" "&amp;search_path&amp;"\RTDC"&amp;B60&amp;"\"&amp;TEXT(F60+1,"YYYY-MM-DD")</f>
        <v>aws s3 cp s3://rtdc.mdm.uploadarchive.raw/RTDC4059/ "%USERPROFILE%\AppData\Local\Temp\OnboardLogs"\RTDC4059\2018-01-06 --exclude "*" --recursive --include "*20180106*" &amp; "%USERPROFILE%\Documents\GitHub\mrs-test-scripts\Headless Mode &amp; Sideloading\WalkAndUnGZ.bat" "%USERPROFILE%\AppData\Local\Temp\OnboardLogs"\RTDC4059\2018-01-06 &amp; aws s3 cp s3://rtdc.mdm.uploadarchive.raw/RTDC4059/ "%USERPROFILE%\AppData\Local\Temp\OnboardLogs"\RTDC4059\2018-01-07 --exclude "*" --recursive --include "*20180107*" &amp; "%USERPROFILE%\Documents\GitHub\mrs-test-scripts\Headless Mode &amp; Sideloading\WalkAndUnGZ.bat" "%USERPROFILE%\AppData\Local\Temp\OnboardLogs"\RTDC4059\2018-01-07</v>
      </c>
      <c r="AF60" s="234" t="str">
        <f>astrogrep_path&amp;" /e /r /s /spath="&amp;search_path&amp;" /stypes=""app*"&amp;B60&amp;"*"&amp;TEXT(I60-utc_offset/24,"YYYYMMDD")&amp;"*"" /stext="" "&amp;TEXT(I60-utc_offset/24,"HH")&amp;search_regexp&amp;""""</f>
        <v>"C:\Program Files (x86)\AstroGrep\AstroGrep.exe" /e /r /s /spath="%USERPROFILE%\AppData\Local\Temp\OnboardLogs" /stypes="app*4059*20180106*" /stext=" 17:.+((SYSTEM_STATE.+slice.+state.+changed )|(ment ac)|(multiple cpu faults)|(system.+state.+changed )|(\[timeout)|(PRM\|1\|D)|(kpr)|(kdp)|(train st.+moving)|(\|lc)|(penalty))"</v>
      </c>
      <c r="AG60" s="244" t="str">
        <f>DetSubdiv(A60)</f>
        <v>EC</v>
      </c>
      <c r="AH60" s="236" t="str">
        <f t="shared" si="5"/>
        <v>"%USERPROFILE%\Documents\GitHub\eaglep3\Utilities\RefineRTDCRunTimes.py" --tripid 146-06 --locoid 4059 --swversion DE.1.0.9.0 --startMP 204:232927 --initTime 2018-01-06T10:01:50 --startdatetime 2018-01-06T10:12:47 --delay 99 --endMP 204:214 --enddatetime 2018-01-06T10:50:31 --enforcementcount 0 &gt;&gt;%USERPROFILE%\Documents\GitHub\eaglep3-reporting\EC\2018-01-06-refined-times.txt</v>
      </c>
      <c r="AI60" s="238" t="str">
        <f t="shared" si="6"/>
        <v>echo {"issue":{"subject":"","project_id":79,"tracker_id":40,"status_id":1,"priority_id":2,"assigned_to_id":338,"start_date":"2018-01-06","description":"","custom_fields":[{"id":1,"name":"Subdivision","value":"EC"},{"id":4,"name":"Milepost","value":"0.0214"},{"id":17,"name":"Train ID","value":"146-06"},{"id":16,"name":"Locomotive ID","value":"4059"},{"id":130,"name":"Impact","value":""},{"id":150,"name":"Time of Event (Mountain Time)","value":"10:50:31"},{"id":151,"name":"Denver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0" s="223"/>
      <c r="AK60" s="231"/>
      <c r="AL60" s="231"/>
      <c r="AM60" s="240" t="str">
        <f t="shared" si="7"/>
        <v>start /low /b %USERPROFILE%\Documents\GitHub\eaglep3\Utilities\DownloadLogsFromS3.py --loco 4059 --day 2018-01-06</v>
      </c>
      <c r="AN60" s="241" t="str">
        <f t="shared" si="8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17:50:31"},{"id":29,"name":"Sharepoint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 s="230" t="str">
        <f t="shared" si="9"/>
        <v>https://d0f6bd738d7f1b3e5a7ca70fe4ff75f0.us-east-1.aws.found.io/app/kibana#/discover/Steve-Slow-Train-Analysis-(2080s-and-2083s)?_g=(refreshInterval:(display:Off,pause:!f,section:0,value:0),time:(from:'2018-01-06T09:01:50-0700',mode:absolute,to:'2018-01-06T11:50:31-0700'))&amp;_a=(columns:!('Message%20ID',Summary),filters:!(),index:'emp_*',interval:auto,query:(query_string:(analyze_wildcard:!t,query:'%22rtdc.l.rtdc.4059%22')),sort:!(Time.ISO8601,asc))</v>
      </c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3">
      <c r="A61" s="229" t="s">
        <v>753</v>
      </c>
      <c r="B61" s="225">
        <v>4030</v>
      </c>
      <c r="C61" s="227" t="s">
        <v>192</v>
      </c>
      <c r="D61" s="227" t="s">
        <v>486</v>
      </c>
      <c r="E61" s="226">
        <v>43106.389768518522</v>
      </c>
      <c r="F61" s="226">
        <v>43106.395995370367</v>
      </c>
      <c r="G61" s="225">
        <v>50</v>
      </c>
      <c r="H61" s="227" t="s">
        <v>926</v>
      </c>
      <c r="I61" s="226">
        <v>43106.424351851849</v>
      </c>
      <c r="J61" s="225">
        <v>0</v>
      </c>
      <c r="K61" s="237" t="str">
        <f>IF(ISEVEN(B61),(B61-1)&amp;"/"&amp;B61,B61&amp;"/"&amp;(B61+1))</f>
        <v>4029/4030</v>
      </c>
      <c r="L61" s="245" t="str">
        <f>VLOOKUP(A61,'Trips&amp;Operators'!$C$1:$G$99911,5,FALSE)</f>
        <v>LOPES KIMBERLY</v>
      </c>
      <c r="M61" s="224">
        <f>I61-F61</f>
        <v>2.8356481481750961E-2</v>
      </c>
      <c r="N61" s="225">
        <f>24*60*SUM($M61:$M61)</f>
        <v>40.833333333721384</v>
      </c>
      <c r="O61" s="225"/>
      <c r="P61" s="225"/>
      <c r="Q61" s="228"/>
      <c r="R61" s="242"/>
      <c r="S61" s="249">
        <f>1/IF(AG61="EC",12,1)*SUM(U61:U61)</f>
        <v>1</v>
      </c>
      <c r="T61" s="242" t="str">
        <f>IF(ISEVEN(LEFT(AD61,4)),"Southbound","NorthBound")</f>
        <v>NorthBound</v>
      </c>
      <c r="U61" s="246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248" t="str">
        <f>"https://d0f6bd738d7f1b3e5a7ca70fe4ff75f0.us-east-1.aws.found.io/app/kibana#/discover/Steve-Slow-Train-Analysis-(2080s-and-2083s)?_g="&amp;"(refreshInterval:(display:Off,pause:!f,section:0,value:0),time:(from:'"&amp;TEXT(E61-1/24,"yyyy-MM-DDThh:mm:ss")&amp;utc_offset&amp;"00"&amp;"',mode:absolute,to:'"&amp;TEXT(I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61&amp;"%22')),sort:!(Time.ISO8601,asc))"</f>
        <v>https://d0f6bd738d7f1b3e5a7ca70fe4ff75f0.us-east-1.aws.found.io/app/kibana#/discover/Steve-Slow-Train-Analysis-(2080s-and-2083s)?_g=(refreshInterval:(display:Off,pause:!f,section:0,value:0),time:(from:'2018-01-06T08:21:16-0700',mode:absolute,to:'2018-01-06T11:11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61" s="247" t="str">
        <f>IF(AA61&lt;VLOOKUP(AG61,Variables!$AC$3:$AD$8,2,FALSE),"Y","N")</f>
        <v>N</v>
      </c>
      <c r="X61" s="247">
        <f>VALUE(LEFT(AD61,4))-VALUE(LEFT(AD60,4))</f>
        <v>1</v>
      </c>
      <c r="Y61" s="247">
        <f>RIGHT(D61,LEN(D61)-4)/10000</f>
        <v>4.9700000000000001E-2</v>
      </c>
      <c r="Z61" s="247">
        <f>RIGHT(H61,LEN(H61)-4)/10000</f>
        <v>23.320399999999999</v>
      </c>
      <c r="AA61" s="247">
        <f>ABS(Z61-Y61)</f>
        <v>23.270699999999998</v>
      </c>
      <c r="AB61" s="233" t="e">
        <f>VLOOKUP(A61,Enforcements!$C$7:$K$9,8,0)</f>
        <v>#N/A</v>
      </c>
      <c r="AC61" s="232" t="e">
        <f>VLOOKUP(A61,Enforcements!$C$7:$E$9,3,0)</f>
        <v>#N/A</v>
      </c>
      <c r="AD61" s="243">
        <f>VALUE(LEFT(A61,LEN(A61)-3))</f>
        <v>147</v>
      </c>
      <c r="AE61" s="235" t="str">
        <f>"aws s3 cp "&amp;s3_bucket&amp;"/RTDC"&amp;B61&amp;"/ "&amp;search_path&amp;"\RTDC"&amp;B61&amp;"\"&amp;TEXT(F61,"YYYY-MM-DD")&amp;" --exclude ""*"" --recursive --include ""*"&amp;TEXT(F61,"YYYYMMDD")&amp;"*"" &amp; """&amp;walkandungz&amp;""" "&amp;search_path&amp;"\RTDC"&amp;B61&amp;"\"&amp;TEXT(F61,"YYYY-MM-DD")
&amp;" &amp; "&amp;"aws s3 cp "&amp;s3_bucket&amp;"/RTDC"&amp;B61&amp;"/ "&amp;search_path&amp;"\RTDC"&amp;B61&amp;"\"&amp;TEXT(F61+1,"YYYY-MM-DD")&amp;" --exclude ""*"" --recursive --include ""*"&amp;TEXT(F61+1,"YYYYMMDD")&amp;"*"" &amp; """&amp;walkandungz&amp;""" "&amp;search_path&amp;"\RTDC"&amp;B61&amp;"\"&amp;TEXT(F61+1,"YYYY-MM-DD")</f>
        <v>aws s3 cp s3://rtdc.mdm.uploadarchive.raw/RTDC4030/ "%USERPROFILE%\AppData\Local\Temp\OnboardLogs"\RTDC4030\2018-01-06 --exclude "*" --recursive --include "*20180106*" &amp; "%USERPROFILE%\Documents\GitHub\mrs-test-scripts\Headless Mode &amp; Sideloading\WalkAndUnGZ.bat" "%USERPROFILE%\AppData\Local\Temp\OnboardLogs"\RTDC4030\2018-01-06 &amp; aws s3 cp s3://rtdc.mdm.uploadarchive.raw/RTDC4030/ "%USERPROFILE%\AppData\Local\Temp\OnboardLogs"\RTDC4030\2018-01-07 --exclude "*" --recursive --include "*20180107*" &amp; "%USERPROFILE%\Documents\GitHub\mrs-test-scripts\Headless Mode &amp; Sideloading\WalkAndUnGZ.bat" "%USERPROFILE%\AppData\Local\Temp\OnboardLogs"\RTDC4030\2018-01-07</v>
      </c>
      <c r="AF61" s="234" t="str">
        <f>astrogrep_path&amp;" /e /r /s /spath="&amp;search_path&amp;" /stypes=""app*"&amp;B61&amp;"*"&amp;TEXT(I61-utc_offset/24,"YYYYMMDD")&amp;"*"" /stext="" "&amp;TEXT(I61-utc_offset/24,"HH")&amp;search_regexp&amp;""""</f>
        <v>"C:\Program Files (x86)\AstroGrep\AstroGrep.exe" /e /r /s /spath="%USERPROFILE%\AppData\Local\Temp\OnboardLogs" /stypes="app*4030*20180106*" /stext=" 17:.+((SYSTEM_STATE.+slice.+state.+changed )|(ment ac)|(multiple cpu faults)|(system.+state.+changed )|(\[timeout)|(PRM\|1\|D)|(kpr)|(kdp)|(train st.+moving)|(\|lc)|(penalty))"</v>
      </c>
      <c r="AG61" s="244" t="str">
        <f>DetSubdiv(A61)</f>
        <v>EC</v>
      </c>
      <c r="AH61" s="236" t="str">
        <f t="shared" si="5"/>
        <v>"%USERPROFILE%\Documents\GitHub\eaglep3\Utilities\RefineRTDCRunTimes.py" --tripid 147-06 --locoid 4030 --swversion DE.1.0.9.0 --startMP 204:497 --initTime 2018-01-06T09:21:16 --startdatetime 2018-01-06T09:30:14 --delay 50 --endMP 204:233204 --enddatetime 2018-01-06T10:11:04 --enforcementcount 0 &gt;&gt;%USERPROFILE%\Documents\GitHub\eaglep3-reporting\EC\2018-01-06-refined-times.txt</v>
      </c>
      <c r="AI61" s="238" t="str">
        <f t="shared" si="6"/>
        <v>echo {"issue":{"subject":"","project_id":79,"tracker_id":40,"status_id":1,"priority_id":2,"assigned_to_id":338,"start_date":"2018-01-06","description":"","custom_fields":[{"id":1,"name":"Subdivision","value":"EC"},{"id":4,"name":"Milepost","value":"23.3204"},{"id":17,"name":"Train ID","value":"147-06"},{"id":16,"name":"Locomotive ID","value":"4030"},{"id":130,"name":"Impact","value":""},{"id":150,"name":"Time of Event (Mountain Time)","value":"10:11:04"},{"id":151,"name":"Denver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1" s="223"/>
      <c r="AK61" s="231"/>
      <c r="AL61" s="231"/>
      <c r="AM61" s="240" t="str">
        <f t="shared" si="7"/>
        <v>start /low /b %USERPROFILE%\Documents\GitHub\eaglep3\Utilities\DownloadLogsFromS3.py --loco 4030 --day 2018-01-06</v>
      </c>
      <c r="AN61" s="241" t="str">
        <f t="shared" si="8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17:11:04"},{"id":29,"name":"Sharepoint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 s="230" t="str">
        <f t="shared" si="9"/>
        <v>https://d0f6bd738d7f1b3e5a7ca70fe4ff75f0.us-east-1.aws.found.io/app/kibana#/discover/Steve-Slow-Train-Analysis-(2080s-and-2083s)?_g=(refreshInterval:(display:Off,pause:!f,section:0,value:0),time:(from:'2018-01-06T08:21:16-0700',mode:absolute,to:'2018-01-06T11:11:04-0700'))&amp;_a=(columns:!('Message%20ID',Summary),filters:!(),index:'emp_*',interval:auto,query:(query_string:(analyze_wildcard:!t,query:'%22rtdc.l.rtdc.4030%22')),sort:!(Time.ISO8601,asc))</v>
      </c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3">
      <c r="A62" s="229" t="s">
        <v>670</v>
      </c>
      <c r="B62" s="225">
        <v>4029</v>
      </c>
      <c r="C62" s="227" t="s">
        <v>192</v>
      </c>
      <c r="D62" s="227" t="s">
        <v>927</v>
      </c>
      <c r="E62" s="226">
        <v>43106.428310185183</v>
      </c>
      <c r="F62" s="226">
        <v>43106.435578703706</v>
      </c>
      <c r="G62" s="225">
        <v>49</v>
      </c>
      <c r="H62" s="227" t="s">
        <v>513</v>
      </c>
      <c r="I62" s="226">
        <v>43106.460914351854</v>
      </c>
      <c r="J62" s="225">
        <v>0</v>
      </c>
      <c r="K62" s="237" t="str">
        <f>IF(ISEVEN(B62),(B62-1)&amp;"/"&amp;B62,B62&amp;"/"&amp;(B62+1))</f>
        <v>4029/4030</v>
      </c>
      <c r="L62" s="245" t="str">
        <f>VLOOKUP(A62,'Trips&amp;Operators'!$C$1:$G$99911,5,FALSE)</f>
        <v>LOPES KIMBERLY</v>
      </c>
      <c r="M62" s="224">
        <f>I62-F62</f>
        <v>2.5335648148029577E-2</v>
      </c>
      <c r="N62" s="225">
        <f>24*60*SUM($M62:$M62)</f>
        <v>36.483333333162591</v>
      </c>
      <c r="O62" s="225"/>
      <c r="P62" s="225"/>
      <c r="Q62" s="228"/>
      <c r="R62" s="242"/>
      <c r="S62" s="249">
        <f>1/IF(AG62="EC",12,1)*SUM(U62:U62)</f>
        <v>1</v>
      </c>
      <c r="T62" s="242" t="str">
        <f>IF(ISEVEN(LEFT(AD62,4)),"Southbound","NorthBound")</f>
        <v>Southbound</v>
      </c>
      <c r="U62" s="246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248" t="str">
        <f>"https://d0f6bd738d7f1b3e5a7ca70fe4ff75f0.us-east-1.aws.found.io/app/kibana#/discover/Steve-Slow-Train-Analysis-(2080s-and-2083s)?_g="&amp;"(refreshInterval:(display:Off,pause:!f,section:0,value:0),time:(from:'"&amp;TEXT(E62-1/24,"yyyy-MM-DDThh:mm:ss")&amp;utc_offset&amp;"00"&amp;"',mode:absolute,to:'"&amp;TEXT(I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62&amp;"%22')),sort:!(Time.ISO8601,asc))"</f>
        <v>https://d0f6bd738d7f1b3e5a7ca70fe4ff75f0.us-east-1.aws.found.io/app/kibana#/discover/Steve-Slow-Train-Analysis-(2080s-and-2083s)?_g=(refreshInterval:(display:Off,pause:!f,section:0,value:0),time:(from:'2018-01-06T09:16:46-0700',mode:absolute,to:'2018-01-06T12:03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62" s="247" t="str">
        <f>IF(AA62&lt;VLOOKUP(AG62,Variables!$AC$3:$AD$8,2,FALSE),"Y","N")</f>
        <v>N</v>
      </c>
      <c r="X62" s="247">
        <f>VALUE(LEFT(AD62,4))-VALUE(LEFT(AD61,4))</f>
        <v>1</v>
      </c>
      <c r="Y62" s="247">
        <f>RIGHT(D62,LEN(D62)-4)/10000</f>
        <v>23.288900000000002</v>
      </c>
      <c r="Z62" s="247">
        <f>RIGHT(H62,LEN(H62)-4)/10000</f>
        <v>2.1100000000000001E-2</v>
      </c>
      <c r="AA62" s="247">
        <f>ABS(Z62-Y62)</f>
        <v>23.267800000000001</v>
      </c>
      <c r="AB62" s="233" t="e">
        <f>VLOOKUP(A62,Enforcements!$C$7:$K$9,8,0)</f>
        <v>#N/A</v>
      </c>
      <c r="AC62" s="232" t="e">
        <f>VLOOKUP(A62,Enforcements!$C$7:$E$9,3,0)</f>
        <v>#N/A</v>
      </c>
      <c r="AD62" s="243">
        <f>VALUE(LEFT(A62,LEN(A62)-3))</f>
        <v>148</v>
      </c>
      <c r="AE62" s="235" t="str">
        <f>"aws s3 cp "&amp;s3_bucket&amp;"/RTDC"&amp;B62&amp;"/ "&amp;search_path&amp;"\RTDC"&amp;B62&amp;"\"&amp;TEXT(F62,"YYYY-MM-DD")&amp;" --exclude ""*"" --recursive --include ""*"&amp;TEXT(F62,"YYYYMMDD")&amp;"*"" &amp; """&amp;walkandungz&amp;""" "&amp;search_path&amp;"\RTDC"&amp;B62&amp;"\"&amp;TEXT(F62,"YYYY-MM-DD")
&amp;" &amp; "&amp;"aws s3 cp "&amp;s3_bucket&amp;"/RTDC"&amp;B62&amp;"/ "&amp;search_path&amp;"\RTDC"&amp;B62&amp;"\"&amp;TEXT(F62+1,"YYYY-MM-DD")&amp;" --exclude ""*"" --recursive --include ""*"&amp;TEXT(F62+1,"YYYYMMDD")&amp;"*"" &amp; """&amp;walkandungz&amp;""" "&amp;search_path&amp;"\RTDC"&amp;B62&amp;"\"&amp;TEXT(F62+1,"YYYY-MM-DD")</f>
        <v>aws s3 cp s3://rtdc.mdm.uploadarchive.raw/RTDC4029/ "%USERPROFILE%\AppData\Local\Temp\OnboardLogs"\RTDC4029\2018-01-06 --exclude "*" --recursive --include "*20180106*" &amp; "%USERPROFILE%\Documents\GitHub\mrs-test-scripts\Headless Mode &amp; Sideloading\WalkAndUnGZ.bat" "%USERPROFILE%\AppData\Local\Temp\OnboardLogs"\RTDC4029\2018-01-06 &amp; aws s3 cp s3://rtdc.mdm.uploadarchive.raw/RTDC4029/ "%USERPROFILE%\AppData\Local\Temp\OnboardLogs"\RTDC4029\2018-01-07 --exclude "*" --recursive --include "*20180107*" &amp; "%USERPROFILE%\Documents\GitHub\mrs-test-scripts\Headless Mode &amp; Sideloading\WalkAndUnGZ.bat" "%USERPROFILE%\AppData\Local\Temp\OnboardLogs"\RTDC4029\2018-01-07</v>
      </c>
      <c r="AF62" s="234" t="str">
        <f>astrogrep_path&amp;" /e /r /s /spath="&amp;search_path&amp;" /stypes=""app*"&amp;B62&amp;"*"&amp;TEXT(I62-utc_offset/24,"YYYYMMDD")&amp;"*"" /stext="" "&amp;TEXT(I62-utc_offset/24,"HH")&amp;search_regexp&amp;""""</f>
        <v>"C:\Program Files (x86)\AstroGrep\AstroGrep.exe" /e /r /s /spath="%USERPROFILE%\AppData\Local\Temp\OnboardLogs" /stypes="app*4029*20180106*" /stext=" 18:.+((SYSTEM_STATE.+slice.+state.+changed )|(ment ac)|(multiple cpu faults)|(system.+state.+changed )|(\[timeout)|(PRM\|1\|D)|(kpr)|(kdp)|(train st.+moving)|(\|lc)|(penalty))"</v>
      </c>
      <c r="AG62" s="244" t="str">
        <f>DetSubdiv(A62)</f>
        <v>EC</v>
      </c>
      <c r="AH62" s="236" t="str">
        <f t="shared" si="5"/>
        <v>"%USERPROFILE%\Documents\GitHub\eaglep3\Utilities\RefineRTDCRunTimes.py" --tripid 148-06 --locoid 4029 --swversion DE.1.0.9.0 --startMP 204:232889 --initTime 2018-01-06T10:16:46 --startdatetime 2018-01-06T10:27:14 --delay 49 --endMP 204:211 --enddatetime 2018-01-06T11:03:43 --enforcementcount 0 &gt;&gt;%USERPROFILE%\Documents\GitHub\eaglep3-reporting\EC\2018-01-06-refined-times.txt</v>
      </c>
      <c r="AI62" s="238" t="str">
        <f t="shared" si="6"/>
        <v>echo {"issue":{"subject":"","project_id":79,"tracker_id":40,"status_id":1,"priority_id":2,"assigned_to_id":338,"start_date":"2018-01-06","description":"","custom_fields":[{"id":1,"name":"Subdivision","value":"EC"},{"id":4,"name":"Milepost","value":"0.0211"},{"id":17,"name":"Train ID","value":"148-06"},{"id":16,"name":"Locomotive ID","value":"4029"},{"id":130,"name":"Impact","value":""},{"id":150,"name":"Time of Event (Mountain Time)","value":"11:03:43"},{"id":151,"name":"Denver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2" s="223"/>
      <c r="AK62" s="231"/>
      <c r="AL62" s="231"/>
      <c r="AM62" s="240" t="str">
        <f t="shared" si="7"/>
        <v>start /low /b %USERPROFILE%\Documents\GitHub\eaglep3\Utilities\DownloadLogsFromS3.py --loco 4029 --day 2018-01-06</v>
      </c>
      <c r="AN62" s="241" t="str">
        <f t="shared" si="8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18:03:43"},{"id":29,"name":"Sharepoint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 s="230" t="str">
        <f t="shared" si="9"/>
        <v>https://d0f6bd738d7f1b3e5a7ca70fe4ff75f0.us-east-1.aws.found.io/app/kibana#/discover/Steve-Slow-Train-Analysis-(2080s-and-2083s)?_g=(refreshInterval:(display:Off,pause:!f,section:0,value:0),time:(from:'2018-01-06T09:16:46-0700',mode:absolute,to:'2018-01-06T12:03:43-0700'))&amp;_a=(columns:!('Message%20ID',Summary),filters:!(),index:'emp_*',interval:auto,query:(query_string:(analyze_wildcard:!t,query:'%22rtdc.l.rtdc.4029%22')),sort:!(Time.ISO8601,asc))</v>
      </c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3">
      <c r="A63" s="229" t="s">
        <v>757</v>
      </c>
      <c r="B63" s="225">
        <v>4012</v>
      </c>
      <c r="C63" s="227" t="s">
        <v>192</v>
      </c>
      <c r="D63" s="227" t="s">
        <v>514</v>
      </c>
      <c r="E63" s="226">
        <v>43106.40048611111</v>
      </c>
      <c r="F63" s="226">
        <v>43106.406458333331</v>
      </c>
      <c r="G63" s="225">
        <v>56</v>
      </c>
      <c r="H63" s="227" t="s">
        <v>522</v>
      </c>
      <c r="I63" s="226">
        <v>43106.430914351855</v>
      </c>
      <c r="J63" s="225">
        <v>0</v>
      </c>
      <c r="K63" s="237" t="str">
        <f>IF(ISEVEN(B63),(B63-1)&amp;"/"&amp;B63,B63&amp;"/"&amp;(B63+1))</f>
        <v>4011/4012</v>
      </c>
      <c r="L63" s="245" t="str">
        <f>VLOOKUP(A63,'Trips&amp;Operators'!$C$1:$G$99911,5,FALSE)</f>
        <v>GEBRETEKLE DAGNEW</v>
      </c>
      <c r="M63" s="224">
        <f>I63-F63</f>
        <v>2.4456018523778766E-2</v>
      </c>
      <c r="N63" s="225">
        <f>24*60*SUM($M63:$M63)</f>
        <v>35.216666674241424</v>
      </c>
      <c r="O63" s="225"/>
      <c r="P63" s="225"/>
      <c r="Q63" s="228"/>
      <c r="R63" s="242"/>
      <c r="S63" s="249">
        <f>1/IF(AG63="EC",12,1)*SUM(U63:U63)</f>
        <v>1</v>
      </c>
      <c r="T63" s="242" t="str">
        <f>IF(ISEVEN(LEFT(AD63,4)),"Southbound","NorthBound")</f>
        <v>NorthBound</v>
      </c>
      <c r="U63" s="246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248" t="str">
        <f>"https://d0f6bd738d7f1b3e5a7ca70fe4ff75f0.us-east-1.aws.found.io/app/kibana#/discover/Steve-Slow-Train-Analysis-(2080s-and-2083s)?_g="&amp;"(refreshInterval:(display:Off,pause:!f,section:0,value:0),time:(from:'"&amp;TEXT(E63-1/24,"yyyy-MM-DDThh:mm:ss")&amp;utc_offset&amp;"00"&amp;"',mode:absolute,to:'"&amp;TEXT(I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63&amp;"%22')),sort:!(Time.ISO8601,asc))"</f>
        <v>https://d0f6bd738d7f1b3e5a7ca70fe4ff75f0.us-east-1.aws.found.io/app/kibana#/discover/Steve-Slow-Train-Analysis-(2080s-and-2083s)?_g=(refreshInterval:(display:Off,pause:!f,section:0,value:0),time:(from:'2018-01-06T08:36:42-0700',mode:absolute,to:'2018-01-06T11:20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63" s="247" t="str">
        <f>IF(AA63&lt;VLOOKUP(AG63,Variables!$AC$3:$AD$8,2,FALSE),"Y","N")</f>
        <v>N</v>
      </c>
      <c r="X63" s="247">
        <f>VALUE(LEFT(AD63,4))-VALUE(LEFT(AD62,4))</f>
        <v>1</v>
      </c>
      <c r="Y63" s="247">
        <f>RIGHT(D63,LEN(D63)-4)/10000</f>
        <v>4.5100000000000001E-2</v>
      </c>
      <c r="Z63" s="247">
        <f>RIGHT(H63,LEN(H63)-4)/10000</f>
        <v>23.3291</v>
      </c>
      <c r="AA63" s="247">
        <f>ABS(Z63-Y63)</f>
        <v>23.283999999999999</v>
      </c>
      <c r="AB63" s="233" t="e">
        <f>VLOOKUP(A63,Enforcements!$C$7:$K$9,8,0)</f>
        <v>#N/A</v>
      </c>
      <c r="AC63" s="232" t="e">
        <f>VLOOKUP(A63,Enforcements!$C$7:$E$9,3,0)</f>
        <v>#N/A</v>
      </c>
      <c r="AD63" s="243">
        <f>VALUE(LEFT(A63,LEN(A63)-3))</f>
        <v>149</v>
      </c>
      <c r="AE63" s="235" t="str">
        <f>"aws s3 cp "&amp;s3_bucket&amp;"/RTDC"&amp;B63&amp;"/ "&amp;search_path&amp;"\RTDC"&amp;B63&amp;"\"&amp;TEXT(F63,"YYYY-MM-DD")&amp;" --exclude ""*"" --recursive --include ""*"&amp;TEXT(F63,"YYYYMMDD")&amp;"*"" &amp; """&amp;walkandungz&amp;""" "&amp;search_path&amp;"\RTDC"&amp;B63&amp;"\"&amp;TEXT(F63,"YYYY-MM-DD")
&amp;" &amp; "&amp;"aws s3 cp "&amp;s3_bucket&amp;"/RTDC"&amp;B63&amp;"/ "&amp;search_path&amp;"\RTDC"&amp;B63&amp;"\"&amp;TEXT(F63+1,"YYYY-MM-DD")&amp;" --exclude ""*"" --recursive --include ""*"&amp;TEXT(F63+1,"YYYYMMDD")&amp;"*"" &amp; """&amp;walkandungz&amp;""" "&amp;search_path&amp;"\RTDC"&amp;B63&amp;"\"&amp;TEXT(F63+1,"YYYY-MM-DD")</f>
        <v>aws s3 cp s3://rtdc.mdm.uploadarchive.raw/RTDC4012/ "%USERPROFILE%\AppData\Local\Temp\OnboardLogs"\RTDC4012\2018-01-06 --exclude "*" --recursive --include "*20180106*" &amp; "%USERPROFILE%\Documents\GitHub\mrs-test-scripts\Headless Mode &amp; Sideloading\WalkAndUnGZ.bat" "%USERPROFILE%\AppData\Local\Temp\OnboardLogs"\RTDC4012\2018-01-06 &amp; aws s3 cp s3://rtdc.mdm.uploadarchive.raw/RTDC4012/ "%USERPROFILE%\AppData\Local\Temp\OnboardLogs"\RTDC4012\2018-01-07 --exclude "*" --recursive --include "*20180107*" &amp; "%USERPROFILE%\Documents\GitHub\mrs-test-scripts\Headless Mode &amp; Sideloading\WalkAndUnGZ.bat" "%USERPROFILE%\AppData\Local\Temp\OnboardLogs"\RTDC4012\2018-01-07</v>
      </c>
      <c r="AF63" s="234" t="str">
        <f>astrogrep_path&amp;" /e /r /s /spath="&amp;search_path&amp;" /stypes=""app*"&amp;B63&amp;"*"&amp;TEXT(I63-utc_offset/24,"YYYYMMDD")&amp;"*"" /stext="" "&amp;TEXT(I63-utc_offset/24,"HH")&amp;search_regexp&amp;""""</f>
        <v>"C:\Program Files (x86)\AstroGrep\AstroGrep.exe" /e /r /s /spath="%USERPROFILE%\AppData\Local\Temp\OnboardLogs" /stypes="app*4012*20180106*" /stext=" 17:.+((SYSTEM_STATE.+slice.+state.+changed )|(ment ac)|(multiple cpu faults)|(system.+state.+changed )|(\[timeout)|(PRM\|1\|D)|(kpr)|(kdp)|(train st.+moving)|(\|lc)|(penalty))"</v>
      </c>
      <c r="AG63" s="244" t="str">
        <f>DetSubdiv(A63)</f>
        <v>EC</v>
      </c>
      <c r="AH63" s="236" t="str">
        <f t="shared" si="5"/>
        <v>"%USERPROFILE%\Documents\GitHub\eaglep3\Utilities\RefineRTDCRunTimes.py" --tripid 149-06 --locoid 4012 --swversion DE.1.0.9.0 --startMP 204:451 --initTime 2018-01-06T09:36:42 --startdatetime 2018-01-06T09:45:18 --delay 56 --endMP 204:233291 --enddatetime 2018-01-06T10:20:31 --enforcementcount 0 &gt;&gt;%USERPROFILE%\Documents\GitHub\eaglep3-reporting\EC\2018-01-06-refined-times.txt</v>
      </c>
      <c r="AI63" s="238" t="str">
        <f t="shared" si="6"/>
        <v>echo {"issue":{"subject":"","project_id":79,"tracker_id":40,"status_id":1,"priority_id":2,"assigned_to_id":338,"start_date":"2018-01-06","description":"","custom_fields":[{"id":1,"name":"Subdivision","value":"EC"},{"id":4,"name":"Milepost","value":"23.3291"},{"id":17,"name":"Train ID","value":"149-06"},{"id":16,"name":"Locomotive ID","value":"4012"},{"id":130,"name":"Impact","value":""},{"id":150,"name":"Time of Event (Mountain Time)","value":"10:20:31"},{"id":151,"name":"Denver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3" s="223"/>
      <c r="AK63" s="231"/>
      <c r="AL63" s="231"/>
      <c r="AM63" s="240" t="str">
        <f t="shared" si="7"/>
        <v>start /low /b %USERPROFILE%\Documents\GitHub\eaglep3\Utilities\DownloadLogsFromS3.py --loco 4012 --day 2018-01-06</v>
      </c>
      <c r="AN63" s="241" t="str">
        <f t="shared" si="8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17:20:31"},{"id":29,"name":"Sharepoint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 s="230" t="str">
        <f t="shared" si="9"/>
        <v>https://d0f6bd738d7f1b3e5a7ca70fe4ff75f0.us-east-1.aws.found.io/app/kibana#/discover/Steve-Slow-Train-Analysis-(2080s-and-2083s)?_g=(refreshInterval:(display:Off,pause:!f,section:0,value:0),time:(from:'2018-01-06T08:36:42-0700',mode:absolute,to:'2018-01-06T11:20:31-0700'))&amp;_a=(columns:!('Message%20ID',Summary),filters:!(),index:'emp_*',interval:auto,query:(query_string:(analyze_wildcard:!t,query:'%22rtdc.l.rtdc.4012%22')),sort:!(Time.ISO8601,asc))</v>
      </c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3">
      <c r="A64" s="229" t="s">
        <v>764</v>
      </c>
      <c r="B64" s="225">
        <v>4011</v>
      </c>
      <c r="C64" s="227" t="s">
        <v>192</v>
      </c>
      <c r="D64" s="227" t="s">
        <v>928</v>
      </c>
      <c r="E64" s="226">
        <v>43106.433738425927</v>
      </c>
      <c r="F64" s="226">
        <v>43106.446064814816</v>
      </c>
      <c r="G64" s="225">
        <v>50</v>
      </c>
      <c r="H64" s="227" t="s">
        <v>929</v>
      </c>
      <c r="I64" s="226">
        <v>43106.472349537034</v>
      </c>
      <c r="J64" s="225">
        <v>0</v>
      </c>
      <c r="K64" s="237" t="str">
        <f>IF(ISEVEN(B64),(B64-1)&amp;"/"&amp;B64,B64&amp;"/"&amp;(B64+1))</f>
        <v>4011/4012</v>
      </c>
      <c r="L64" s="245" t="str">
        <f>VLOOKUP(A64,'Trips&amp;Operators'!$C$1:$G$99911,5,FALSE)</f>
        <v>GEBRETEKLE DAGNEW</v>
      </c>
      <c r="M64" s="224">
        <f>I64-F64</f>
        <v>2.6284722218406387E-2</v>
      </c>
      <c r="N64" s="225">
        <f>24*60*SUM($M64:$M64)</f>
        <v>37.849999994505197</v>
      </c>
      <c r="O64" s="225"/>
      <c r="P64" s="225"/>
      <c r="Q64" s="228"/>
      <c r="R64" s="242"/>
      <c r="S64" s="249">
        <f>1/IF(AG64="EC",12,1)*SUM(U64:U64)</f>
        <v>1</v>
      </c>
      <c r="T64" s="242" t="str">
        <f>IF(ISEVEN(LEFT(AD64,4)),"Southbound","NorthBound")</f>
        <v>Southbound</v>
      </c>
      <c r="U64" s="246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248" t="str">
        <f>"https://d0f6bd738d7f1b3e5a7ca70fe4ff75f0.us-east-1.aws.found.io/app/kibana#/discover/Steve-Slow-Train-Analysis-(2080s-and-2083s)?_g="&amp;"(refreshInterval:(display:Off,pause:!f,section:0,value:0),time:(from:'"&amp;TEXT(E64-1/24,"yyyy-MM-DDThh:mm:ss")&amp;utc_offset&amp;"00"&amp;"',mode:absolute,to:'"&amp;TEXT(I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64&amp;"%22')),sort:!(Time.ISO8601,asc))"</f>
        <v>https://d0f6bd738d7f1b3e5a7ca70fe4ff75f0.us-east-1.aws.found.io/app/kibana#/discover/Steve-Slow-Train-Analysis-(2080s-and-2083s)?_g=(refreshInterval:(display:Off,pause:!f,section:0,value:0),time:(from:'2018-01-06T09:24:35-0700',mode:absolute,to:'2018-01-06T12:20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64" s="247" t="str">
        <f>IF(AA64&lt;VLOOKUP(AG64,Variables!$AC$3:$AD$8,2,FALSE),"Y","N")</f>
        <v>N</v>
      </c>
      <c r="X64" s="247">
        <f>VALUE(LEFT(AD64,4))-VALUE(LEFT(AD63,4))</f>
        <v>1</v>
      </c>
      <c r="Y64" s="247">
        <f>RIGHT(D64,LEN(D64)-4)/10000</f>
        <v>23.296500000000002</v>
      </c>
      <c r="Z64" s="247">
        <f>RIGHT(H64,LEN(H64)-4)/10000</f>
        <v>1.54E-2</v>
      </c>
      <c r="AA64" s="247">
        <f>ABS(Z64-Y64)</f>
        <v>23.281100000000002</v>
      </c>
      <c r="AB64" s="233" t="e">
        <f>VLOOKUP(A64,Enforcements!$C$7:$K$9,8,0)</f>
        <v>#N/A</v>
      </c>
      <c r="AC64" s="232" t="e">
        <f>VLOOKUP(A64,Enforcements!$C$7:$E$9,3,0)</f>
        <v>#N/A</v>
      </c>
      <c r="AD64" s="243">
        <f>VALUE(LEFT(A64,LEN(A64)-3))</f>
        <v>150</v>
      </c>
      <c r="AE64" s="235" t="str">
        <f>"aws s3 cp "&amp;s3_bucket&amp;"/RTDC"&amp;B64&amp;"/ "&amp;search_path&amp;"\RTDC"&amp;B64&amp;"\"&amp;TEXT(F64,"YYYY-MM-DD")&amp;" --exclude ""*"" --recursive --include ""*"&amp;TEXT(F64,"YYYYMMDD")&amp;"*"" &amp; """&amp;walkandungz&amp;""" "&amp;search_path&amp;"\RTDC"&amp;B64&amp;"\"&amp;TEXT(F64,"YYYY-MM-DD")
&amp;" &amp; "&amp;"aws s3 cp "&amp;s3_bucket&amp;"/RTDC"&amp;B64&amp;"/ "&amp;search_path&amp;"\RTDC"&amp;B64&amp;"\"&amp;TEXT(F64+1,"YYYY-MM-DD")&amp;" --exclude ""*"" --recursive --include ""*"&amp;TEXT(F64+1,"YYYYMMDD")&amp;"*"" &amp; """&amp;walkandungz&amp;""" "&amp;search_path&amp;"\RTDC"&amp;B64&amp;"\"&amp;TEXT(F64+1,"YYYY-MM-DD")</f>
        <v>aws s3 cp s3://rtdc.mdm.uploadarchive.raw/RTDC4011/ "%USERPROFILE%\AppData\Local\Temp\OnboardLogs"\RTDC4011\2018-01-06 --exclude "*" --recursive --include "*20180106*" &amp; "%USERPROFILE%\Documents\GitHub\mrs-test-scripts\Headless Mode &amp; Sideloading\WalkAndUnGZ.bat" "%USERPROFILE%\AppData\Local\Temp\OnboardLogs"\RTDC4011\2018-01-06 &amp; aws s3 cp s3://rtdc.mdm.uploadarchive.raw/RTDC4011/ "%USERPROFILE%\AppData\Local\Temp\OnboardLogs"\RTDC4011\2018-01-07 --exclude "*" --recursive --include "*20180107*" &amp; "%USERPROFILE%\Documents\GitHub\mrs-test-scripts\Headless Mode &amp; Sideloading\WalkAndUnGZ.bat" "%USERPROFILE%\AppData\Local\Temp\OnboardLogs"\RTDC4011\2018-01-07</v>
      </c>
      <c r="AF64" s="234" t="str">
        <f>astrogrep_path&amp;" /e /r /s /spath="&amp;search_path&amp;" /stypes=""app*"&amp;B64&amp;"*"&amp;TEXT(I64-utc_offset/24,"YYYYMMDD")&amp;"*"" /stext="" "&amp;TEXT(I64-utc_offset/24,"HH")&amp;search_regexp&amp;""""</f>
        <v>"C:\Program Files (x86)\AstroGrep\AstroGrep.exe" /e /r /s /spath="%USERPROFILE%\AppData\Local\Temp\OnboardLogs" /stypes="app*4011*20180106*" /stext=" 18:.+((SYSTEM_STATE.+slice.+state.+changed )|(ment ac)|(multiple cpu faults)|(system.+state.+changed )|(\[timeout)|(PRM\|1\|D)|(kpr)|(kdp)|(train st.+moving)|(\|lc)|(penalty))"</v>
      </c>
      <c r="AG64" s="244" t="str">
        <f>DetSubdiv(A64)</f>
        <v>EC</v>
      </c>
      <c r="AH64" s="236" t="str">
        <f t="shared" si="5"/>
        <v>"%USERPROFILE%\Documents\GitHub\eaglep3\Utilities\RefineRTDCRunTimes.py" --tripid 150-06 --locoid 4011 --swversion DE.1.0.9.0 --startMP 204:232965 --initTime 2018-01-06T10:24:35 --startdatetime 2018-01-06T10:42:20 --delay 50 --endMP 204:154 --enddatetime 2018-01-06T11:20:11 --enforcementcount 0 &gt;&gt;%USERPROFILE%\Documents\GitHub\eaglep3-reporting\EC\2018-01-06-refined-times.txt</v>
      </c>
      <c r="AI64" s="238" t="str">
        <f t="shared" si="6"/>
        <v>echo {"issue":{"subject":"","project_id":79,"tracker_id":40,"status_id":1,"priority_id":2,"assigned_to_id":338,"start_date":"2018-01-06","description":"","custom_fields":[{"id":1,"name":"Subdivision","value":"EC"},{"id":4,"name":"Milepost","value":"0.0154"},{"id":17,"name":"Train ID","value":"150-06"},{"id":16,"name":"Locomotive ID","value":"4011"},{"id":130,"name":"Impact","value":""},{"id":150,"name":"Time of Event (Mountain Time)","value":"11:20:11"},{"id":151,"name":"Denver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4" s="223"/>
      <c r="AK64" s="231"/>
      <c r="AL64" s="231"/>
      <c r="AM64" s="240" t="str">
        <f t="shared" si="7"/>
        <v>start /low /b %USERPROFILE%\Documents\GitHub\eaglep3\Utilities\DownloadLogsFromS3.py --loco 4011 --day 2018-01-06</v>
      </c>
      <c r="AN64" s="241" t="str">
        <f t="shared" si="8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18:20:11"},{"id":29,"name":"Sharepoint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 s="230" t="str">
        <f t="shared" si="9"/>
        <v>https://d0f6bd738d7f1b3e5a7ca70fe4ff75f0.us-east-1.aws.found.io/app/kibana#/discover/Steve-Slow-Train-Analysis-(2080s-and-2083s)?_g=(refreshInterval:(display:Off,pause:!f,section:0,value:0),time:(from:'2018-01-06T09:24:35-0700',mode:absolute,to:'2018-01-06T12:20:11-0700'))&amp;_a=(columns:!('Message%20ID',Summary),filters:!(),index:'emp_*',interval:auto,query:(query_string:(analyze_wildcard:!t,query:'%22rtdc.l.rtdc.4011%22')),sort:!(Time.ISO8601,asc))</v>
      </c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3">
      <c r="A65" s="229" t="s">
        <v>760</v>
      </c>
      <c r="B65" s="225">
        <v>4044</v>
      </c>
      <c r="C65" s="227" t="s">
        <v>192</v>
      </c>
      <c r="D65" s="227" t="s">
        <v>621</v>
      </c>
      <c r="E65" s="226">
        <v>43106.40997685185</v>
      </c>
      <c r="F65" s="226">
        <v>43106.416851851849</v>
      </c>
      <c r="G65" s="225">
        <v>56</v>
      </c>
      <c r="H65" s="227" t="s">
        <v>482</v>
      </c>
      <c r="I65" s="226">
        <v>43106.441192129627</v>
      </c>
      <c r="J65" s="225">
        <v>0</v>
      </c>
      <c r="K65" s="237" t="str">
        <f>IF(ISEVEN(B65),(B65-1)&amp;"/"&amp;B65,B65&amp;"/"&amp;(B65+1))</f>
        <v>4043/4044</v>
      </c>
      <c r="L65" s="245" t="str">
        <f>VLOOKUP(A65,'Trips&amp;Operators'!$C$1:$G$99911,5,FALSE)</f>
        <v>DELGADO DIANAH</v>
      </c>
      <c r="M65" s="224">
        <f>I65-F65</f>
        <v>2.4340277777810115E-2</v>
      </c>
      <c r="N65" s="225">
        <f>24*60*SUM($M65:$M65)</f>
        <v>35.050000000046566</v>
      </c>
      <c r="O65" s="225"/>
      <c r="P65" s="225"/>
      <c r="Q65" s="228"/>
      <c r="R65" s="242"/>
      <c r="S65" s="249">
        <f>1/IF(AG65="EC",12,1)*SUM(U65:U65)</f>
        <v>1</v>
      </c>
      <c r="T65" s="242" t="str">
        <f>IF(ISEVEN(LEFT(AD65,4)),"Southbound","NorthBound")</f>
        <v>NorthBound</v>
      </c>
      <c r="U65" s="246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248" t="str">
        <f>"https://d0f6bd738d7f1b3e5a7ca70fe4ff75f0.us-east-1.aws.found.io/app/kibana#/discover/Steve-Slow-Train-Analysis-(2080s-and-2083s)?_g="&amp;"(refreshInterval:(display:Off,pause:!f,section:0,value:0),time:(from:'"&amp;TEXT(E65-1/24,"yyyy-MM-DDThh:mm:ss")&amp;utc_offset&amp;"00"&amp;"',mode:absolute,to:'"&amp;TEXT(I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65&amp;"%22')),sort:!(Time.ISO8601,asc))"</f>
        <v>https://d0f6bd738d7f1b3e5a7ca70fe4ff75f0.us-east-1.aws.found.io/app/kibana#/discover/Steve-Slow-Train-Analysis-(2080s-and-2083s)?_g=(refreshInterval:(display:Off,pause:!f,section:0,value:0),time:(from:'2018-01-06T08:50:22-0700',mode:absolute,to:'2018-01-06T11:35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65" s="247" t="str">
        <f>IF(AA65&lt;VLOOKUP(AG65,Variables!$AC$3:$AD$8,2,FALSE),"Y","N")</f>
        <v>N</v>
      </c>
      <c r="X65" s="247">
        <f>VALUE(LEFT(AD65,4))-VALUE(LEFT(AD64,4))</f>
        <v>1</v>
      </c>
      <c r="Y65" s="247">
        <f>RIGHT(D65,LEN(D65)-4)/10000</f>
        <v>4.4699999999999997E-2</v>
      </c>
      <c r="Z65" s="247">
        <f>RIGHT(H65,LEN(H65)-4)/10000</f>
        <v>23.329499999999999</v>
      </c>
      <c r="AA65" s="247">
        <f>ABS(Z65-Y65)</f>
        <v>23.284800000000001</v>
      </c>
      <c r="AB65" s="233" t="e">
        <f>VLOOKUP(A65,Enforcements!$C$7:$K$9,8,0)</f>
        <v>#N/A</v>
      </c>
      <c r="AC65" s="232" t="e">
        <f>VLOOKUP(A65,Enforcements!$C$7:$E$9,3,0)</f>
        <v>#N/A</v>
      </c>
      <c r="AD65" s="243">
        <f>VALUE(LEFT(A65,LEN(A65)-3))</f>
        <v>151</v>
      </c>
      <c r="AE65" s="235" t="str">
        <f>"aws s3 cp "&amp;s3_bucket&amp;"/RTDC"&amp;B65&amp;"/ "&amp;search_path&amp;"\RTDC"&amp;B65&amp;"\"&amp;TEXT(F65,"YYYY-MM-DD")&amp;" --exclude ""*"" --recursive --include ""*"&amp;TEXT(F65,"YYYYMMDD")&amp;"*"" &amp; """&amp;walkandungz&amp;""" "&amp;search_path&amp;"\RTDC"&amp;B65&amp;"\"&amp;TEXT(F65,"YYYY-MM-DD")
&amp;" &amp; "&amp;"aws s3 cp "&amp;s3_bucket&amp;"/RTDC"&amp;B65&amp;"/ "&amp;search_path&amp;"\RTDC"&amp;B65&amp;"\"&amp;TEXT(F65+1,"YYYY-MM-DD")&amp;" --exclude ""*"" --recursive --include ""*"&amp;TEXT(F65+1,"YYYYMMDD")&amp;"*"" &amp; """&amp;walkandungz&amp;""" "&amp;search_path&amp;"\RTDC"&amp;B65&amp;"\"&amp;TEXT(F65+1,"YYYY-MM-DD")</f>
        <v>aws s3 cp s3://rtdc.mdm.uploadarchive.raw/RTDC4044/ "%USERPROFILE%\AppData\Local\Temp\OnboardLogs"\RTDC4044\2018-01-06 --exclude "*" --recursive --include "*20180106*" &amp; "%USERPROFILE%\Documents\GitHub\mrs-test-scripts\Headless Mode &amp; Sideloading\WalkAndUnGZ.bat" "%USERPROFILE%\AppData\Local\Temp\OnboardLogs"\RTDC4044\2018-01-06 &amp; aws s3 cp s3://rtdc.mdm.uploadarchive.raw/RTDC4044/ "%USERPROFILE%\AppData\Local\Temp\OnboardLogs"\RTDC4044\2018-01-07 --exclude "*" --recursive --include "*20180107*" &amp; "%USERPROFILE%\Documents\GitHub\mrs-test-scripts\Headless Mode &amp; Sideloading\WalkAndUnGZ.bat" "%USERPROFILE%\AppData\Local\Temp\OnboardLogs"\RTDC4044\2018-01-07</v>
      </c>
      <c r="AF65" s="234" t="str">
        <f>astrogrep_path&amp;" /e /r /s /spath="&amp;search_path&amp;" /stypes=""app*"&amp;B65&amp;"*"&amp;TEXT(I65-utc_offset/24,"YYYYMMDD")&amp;"*"" /stext="" "&amp;TEXT(I65-utc_offset/24,"HH")&amp;search_regexp&amp;""""</f>
        <v>"C:\Program Files (x86)\AstroGrep\AstroGrep.exe" /e /r /s /spath="%USERPROFILE%\AppData\Local\Temp\OnboardLogs" /stypes="app*4044*20180106*" /stext=" 17:.+((SYSTEM_STATE.+slice.+state.+changed )|(ment ac)|(multiple cpu faults)|(system.+state.+changed )|(\[timeout)|(PRM\|1\|D)|(kpr)|(kdp)|(train st.+moving)|(\|lc)|(penalty))"</v>
      </c>
      <c r="AG65" s="244" t="str">
        <f>DetSubdiv(A65)</f>
        <v>EC</v>
      </c>
      <c r="AH65" s="236" t="str">
        <f t="shared" si="5"/>
        <v>"%USERPROFILE%\Documents\GitHub\eaglep3\Utilities\RefineRTDCRunTimes.py" --tripid 151-06 --locoid 4044 --swversion DE.1.0.9.0 --startMP 204:447 --initTime 2018-01-06T09:50:22 --startdatetime 2018-01-06T10:00:16 --delay 56 --endMP 204:233295 --enddatetime 2018-01-06T10:35:19 --enforcementcount 0 &gt;&gt;%USERPROFILE%\Documents\GitHub\eaglep3-reporting\EC\2018-01-06-refined-times.txt</v>
      </c>
      <c r="AI65" s="238" t="str">
        <f t="shared" si="6"/>
        <v>echo {"issue":{"subject":"","project_id":79,"tracker_id":40,"status_id":1,"priority_id":2,"assigned_to_id":338,"start_date":"2018-01-06","description":"","custom_fields":[{"id":1,"name":"Subdivision","value":"EC"},{"id":4,"name":"Milepost","value":"23.3295"},{"id":17,"name":"Train ID","value":"151-06"},{"id":16,"name":"Locomotive ID","value":"4044"},{"id":130,"name":"Impact","value":""},{"id":150,"name":"Time of Event (Mountain Time)","value":"10:35:19"},{"id":151,"name":"Denver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5" s="223"/>
      <c r="AK65" s="231"/>
      <c r="AL65" s="231"/>
      <c r="AM65" s="240" t="str">
        <f t="shared" si="7"/>
        <v>start /low /b %USERPROFILE%\Documents\GitHub\eaglep3\Utilities\DownloadLogsFromS3.py --loco 4044 --day 2018-01-06</v>
      </c>
      <c r="AN65" s="241" t="str">
        <f t="shared" si="8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17:35:19"},{"id":29,"name":"Sharepoint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 s="230" t="str">
        <f t="shared" si="9"/>
        <v>https://d0f6bd738d7f1b3e5a7ca70fe4ff75f0.us-east-1.aws.found.io/app/kibana#/discover/Steve-Slow-Train-Analysis-(2080s-and-2083s)?_g=(refreshInterval:(display:Off,pause:!f,section:0,value:0),time:(from:'2018-01-06T08:50:22-0700',mode:absolute,to:'2018-01-06T11:35:19-0700'))&amp;_a=(columns:!('Message%20ID',Summary),filters:!(),index:'emp_*',interval:auto,query:(query_string:(analyze_wildcard:!t,query:'%22rtdc.l.rtdc.4044%22')),sort:!(Time.ISO8601,asc))</v>
      </c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3">
      <c r="A66" s="229" t="s">
        <v>769</v>
      </c>
      <c r="B66" s="225">
        <v>4043</v>
      </c>
      <c r="C66" s="227" t="s">
        <v>192</v>
      </c>
      <c r="D66" s="227" t="s">
        <v>611</v>
      </c>
      <c r="E66" s="226">
        <v>43106.443240740744</v>
      </c>
      <c r="F66" s="226">
        <v>43106.456435185188</v>
      </c>
      <c r="G66" s="225">
        <v>70</v>
      </c>
      <c r="H66" s="227" t="s">
        <v>547</v>
      </c>
      <c r="I66" s="226">
        <v>43106.48133101852</v>
      </c>
      <c r="J66" s="225">
        <v>0</v>
      </c>
      <c r="K66" s="237" t="str">
        <f>IF(ISEVEN(B66),(B66-1)&amp;"/"&amp;B66,B66&amp;"/"&amp;(B66+1))</f>
        <v>4043/4044</v>
      </c>
      <c r="L66" s="245" t="str">
        <f>VLOOKUP(A66,'Trips&amp;Operators'!$C$1:$G$99911,5,FALSE)</f>
        <v>DELGADO DIANAH</v>
      </c>
      <c r="M66" s="224">
        <f>I66-F66</f>
        <v>2.4895833332266193E-2</v>
      </c>
      <c r="N66" s="225">
        <f>24*60*SUM($M66:$M66)</f>
        <v>35.849999998463318</v>
      </c>
      <c r="O66" s="225"/>
      <c r="P66" s="225"/>
      <c r="Q66" s="228"/>
      <c r="R66" s="242"/>
      <c r="S66" s="249">
        <f>1/IF(AG66="EC",12,1)*SUM(U66:U66)</f>
        <v>1</v>
      </c>
      <c r="T66" s="242" t="str">
        <f>IF(ISEVEN(LEFT(AD66,4)),"Southbound","NorthBound")</f>
        <v>Southbound</v>
      </c>
      <c r="U66" s="246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248" t="str">
        <f>"https://d0f6bd738d7f1b3e5a7ca70fe4ff75f0.us-east-1.aws.found.io/app/kibana#/discover/Steve-Slow-Train-Analysis-(2080s-and-2083s)?_g="&amp;"(refreshInterval:(display:Off,pause:!f,section:0,value:0),time:(from:'"&amp;TEXT(E66-1/24,"yyyy-MM-DDThh:mm:ss")&amp;utc_offset&amp;"00"&amp;"',mode:absolute,to:'"&amp;TEXT(I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66&amp;"%22')),sort:!(Time.ISO8601,asc))"</f>
        <v>https://d0f6bd738d7f1b3e5a7ca70fe4ff75f0.us-east-1.aws.found.io/app/kibana#/discover/Steve-Slow-Train-Analysis-(2080s-and-2083s)?_g=(refreshInterval:(display:Off,pause:!f,section:0,value:0),time:(from:'2018-01-06T09:38:16-0700',mode:absolute,to:'2018-01-06T12:33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66" s="247" t="str">
        <f>IF(AA66&lt;VLOOKUP(AG66,Variables!$AC$3:$AD$8,2,FALSE),"Y","N")</f>
        <v>N</v>
      </c>
      <c r="X66" s="247">
        <f>VALUE(LEFT(AD66,4))-VALUE(LEFT(AD65,4))</f>
        <v>1</v>
      </c>
      <c r="Y66" s="247">
        <f>RIGHT(D66,LEN(D66)-4)/10000</f>
        <v>23.299600000000002</v>
      </c>
      <c r="Z66" s="247">
        <f>RIGHT(H66,LEN(H66)-4)/10000</f>
        <v>1.52E-2</v>
      </c>
      <c r="AA66" s="247">
        <f>ABS(Z66-Y66)</f>
        <v>23.284400000000002</v>
      </c>
      <c r="AB66" s="233" t="e">
        <f>VLOOKUP(A66,Enforcements!$C$7:$K$9,8,0)</f>
        <v>#N/A</v>
      </c>
      <c r="AC66" s="232" t="e">
        <f>VLOOKUP(A66,Enforcements!$C$7:$E$9,3,0)</f>
        <v>#N/A</v>
      </c>
      <c r="AD66" s="243">
        <f>VALUE(LEFT(A66,LEN(A66)-3))</f>
        <v>152</v>
      </c>
      <c r="AE66" s="235" t="str">
        <f>"aws s3 cp "&amp;s3_bucket&amp;"/RTDC"&amp;B66&amp;"/ "&amp;search_path&amp;"\RTDC"&amp;B66&amp;"\"&amp;TEXT(F66,"YYYY-MM-DD")&amp;" --exclude ""*"" --recursive --include ""*"&amp;TEXT(F66,"YYYYMMDD")&amp;"*"" &amp; """&amp;walkandungz&amp;""" "&amp;search_path&amp;"\RTDC"&amp;B66&amp;"\"&amp;TEXT(F66,"YYYY-MM-DD")
&amp;" &amp; "&amp;"aws s3 cp "&amp;s3_bucket&amp;"/RTDC"&amp;B66&amp;"/ "&amp;search_path&amp;"\RTDC"&amp;B66&amp;"\"&amp;TEXT(F66+1,"YYYY-MM-DD")&amp;" --exclude ""*"" --recursive --include ""*"&amp;TEXT(F66+1,"YYYYMMDD")&amp;"*"" &amp; """&amp;walkandungz&amp;""" "&amp;search_path&amp;"\RTDC"&amp;B66&amp;"\"&amp;TEXT(F66+1,"YYYY-MM-DD")</f>
        <v>aws s3 cp s3://rtdc.mdm.uploadarchive.raw/RTDC4043/ "%USERPROFILE%\AppData\Local\Temp\OnboardLogs"\RTDC4043\2018-01-06 --exclude "*" --recursive --include "*20180106*" &amp; "%USERPROFILE%\Documents\GitHub\mrs-test-scripts\Headless Mode &amp; Sideloading\WalkAndUnGZ.bat" "%USERPROFILE%\AppData\Local\Temp\OnboardLogs"\RTDC4043\2018-01-06 &amp; aws s3 cp s3://rtdc.mdm.uploadarchive.raw/RTDC4043/ "%USERPROFILE%\AppData\Local\Temp\OnboardLogs"\RTDC4043\2018-01-07 --exclude "*" --recursive --include "*20180107*" &amp; "%USERPROFILE%\Documents\GitHub\mrs-test-scripts\Headless Mode &amp; Sideloading\WalkAndUnGZ.bat" "%USERPROFILE%\AppData\Local\Temp\OnboardLogs"\RTDC4043\2018-01-07</v>
      </c>
      <c r="AF66" s="234" t="str">
        <f>astrogrep_path&amp;" /e /r /s /spath="&amp;search_path&amp;" /stypes=""app*"&amp;B66&amp;"*"&amp;TEXT(I66-utc_offset/24,"YYYYMMDD")&amp;"*"" /stext="" "&amp;TEXT(I66-utc_offset/24,"HH")&amp;search_regexp&amp;""""</f>
        <v>"C:\Program Files (x86)\AstroGrep\AstroGrep.exe" /e /r /s /spath="%USERPROFILE%\AppData\Local\Temp\OnboardLogs" /stypes="app*4043*20180106*" /stext=" 18:.+((SYSTEM_STATE.+slice.+state.+changed )|(ment ac)|(multiple cpu faults)|(system.+state.+changed )|(\[timeout)|(PRM\|1\|D)|(kpr)|(kdp)|(train st.+moving)|(\|lc)|(penalty))"</v>
      </c>
      <c r="AG66" s="244" t="str">
        <f>DetSubdiv(A66)</f>
        <v>EC</v>
      </c>
      <c r="AH66" s="236" t="str">
        <f t="shared" si="5"/>
        <v>"%USERPROFILE%\Documents\GitHub\eaglep3\Utilities\RefineRTDCRunTimes.py" --tripid 152-06 --locoid 4043 --swversion DE.1.0.9.0 --startMP 204:232996 --initTime 2018-01-06T10:38:16 --startdatetime 2018-01-06T10:57:16 --delay 70 --endMP 204:152 --enddatetime 2018-01-06T11:33:07 --enforcementcount 0 &gt;&gt;%USERPROFILE%\Documents\GitHub\eaglep3-reporting\EC\2018-01-06-refined-times.txt</v>
      </c>
      <c r="AI66" s="238" t="str">
        <f t="shared" si="6"/>
        <v>echo {"issue":{"subject":"","project_id":79,"tracker_id":40,"status_id":1,"priority_id":2,"assigned_to_id":338,"start_date":"2018-01-06","description":"","custom_fields":[{"id":1,"name":"Subdivision","value":"EC"},{"id":4,"name":"Milepost","value":"0.0152"},{"id":17,"name":"Train ID","value":"152-06"},{"id":16,"name":"Locomotive ID","value":"4043"},{"id":130,"name":"Impact","value":""},{"id":150,"name":"Time of Event (Mountain Time)","value":"11:33:07"},{"id":151,"name":"Denver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6" s="223"/>
      <c r="AK66" s="231"/>
      <c r="AL66" s="231"/>
      <c r="AM66" s="240" t="str">
        <f t="shared" si="7"/>
        <v>start /low /b %USERPROFILE%\Documents\GitHub\eaglep3\Utilities\DownloadLogsFromS3.py --loco 4043 --day 2018-01-06</v>
      </c>
      <c r="AN66" s="241" t="str">
        <f t="shared" si="8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18:33:07"},{"id":29,"name":"Sharepoint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 s="230" t="str">
        <f t="shared" si="9"/>
        <v>https://d0f6bd738d7f1b3e5a7ca70fe4ff75f0.us-east-1.aws.found.io/app/kibana#/discover/Steve-Slow-Train-Analysis-(2080s-and-2083s)?_g=(refreshInterval:(display:Off,pause:!f,section:0,value:0),time:(from:'2018-01-06T09:38:16-0700',mode:absolute,to:'2018-01-06T12:33:07-0700'))&amp;_a=(columns:!('Message%20ID',Summary),filters:!(),index:'emp_*',interval:auto,query:(query_string:(analyze_wildcard:!t,query:'%22rtdc.l.rtdc.4043%22')),sort:!(Time.ISO8601,asc))</v>
      </c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3">
      <c r="A67" s="229" t="s">
        <v>762</v>
      </c>
      <c r="B67" s="225">
        <v>4034</v>
      </c>
      <c r="C67" s="227" t="s">
        <v>192</v>
      </c>
      <c r="D67" s="227" t="s">
        <v>572</v>
      </c>
      <c r="E67" s="226">
        <v>43106.419675925928</v>
      </c>
      <c r="F67" s="226">
        <v>43106.427256944444</v>
      </c>
      <c r="G67" s="225">
        <v>274</v>
      </c>
      <c r="H67" s="227" t="s">
        <v>915</v>
      </c>
      <c r="I67" s="226">
        <v>43106.452164351853</v>
      </c>
      <c r="J67" s="225">
        <v>0</v>
      </c>
      <c r="K67" s="237" t="str">
        <f>IF(ISEVEN(B67),(B67-1)&amp;"/"&amp;B67,B67&amp;"/"&amp;(B67+1))</f>
        <v>4033/4034</v>
      </c>
      <c r="L67" s="245" t="str">
        <f>VLOOKUP(A67,'Trips&amp;Operators'!$C$1:$G$99911,5,FALSE)</f>
        <v>BADERTSCHER DIANE</v>
      </c>
      <c r="M67" s="224">
        <f>I67-F67</f>
        <v>2.4907407409045845E-2</v>
      </c>
      <c r="N67" s="225">
        <f>24*60*SUM($M67:$M67)</f>
        <v>35.866666669026017</v>
      </c>
      <c r="O67" s="225"/>
      <c r="P67" s="225"/>
      <c r="Q67" s="228"/>
      <c r="R67" s="242"/>
      <c r="S67" s="249">
        <f>1/IF(AG67="EC",12,1)*SUM(U67:U67)</f>
        <v>1</v>
      </c>
      <c r="T67" s="242" t="str">
        <f>IF(ISEVEN(LEFT(AD67,4)),"Southbound","NorthBound")</f>
        <v>NorthBound</v>
      </c>
      <c r="U67" s="246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248" t="str">
        <f>"https://d0f6bd738d7f1b3e5a7ca70fe4ff75f0.us-east-1.aws.found.io/app/kibana#/discover/Steve-Slow-Train-Analysis-(2080s-and-2083s)?_g="&amp;"(refreshInterval:(display:Off,pause:!f,section:0,value:0),time:(from:'"&amp;TEXT(E67-1/24,"yyyy-MM-DDThh:mm:ss")&amp;utc_offset&amp;"00"&amp;"',mode:absolute,to:'"&amp;TEXT(I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67&amp;"%22')),sort:!(Time.ISO8601,asc))"</f>
        <v>https://d0f6bd738d7f1b3e5a7ca70fe4ff75f0.us-east-1.aws.found.io/app/kibana#/discover/Steve-Slow-Train-Analysis-(2080s-and-2083s)?_g=(refreshInterval:(display:Off,pause:!f,section:0,value:0),time:(from:'2018-01-06T09:04:20-0700',mode:absolute,to:'2018-01-06T11:51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67" s="247" t="str">
        <f>IF(AA67&lt;VLOOKUP(AG67,Variables!$AC$3:$AD$8,2,FALSE),"Y","N")</f>
        <v>N</v>
      </c>
      <c r="X67" s="247">
        <f>VALUE(LEFT(AD67,4))-VALUE(LEFT(AD66,4))</f>
        <v>1</v>
      </c>
      <c r="Y67" s="247">
        <f>RIGHT(D67,LEN(D67)-4)/10000</f>
        <v>4.4600000000000001E-2</v>
      </c>
      <c r="Z67" s="247">
        <f>RIGHT(H67,LEN(H67)-4)/10000</f>
        <v>23.3264</v>
      </c>
      <c r="AA67" s="247">
        <f>ABS(Z67-Y67)</f>
        <v>23.2818</v>
      </c>
      <c r="AB67" s="233" t="e">
        <f>VLOOKUP(A67,Enforcements!$C$7:$K$9,8,0)</f>
        <v>#N/A</v>
      </c>
      <c r="AC67" s="232" t="e">
        <f>VLOOKUP(A67,Enforcements!$C$7:$E$9,3,0)</f>
        <v>#N/A</v>
      </c>
      <c r="AD67" s="243">
        <f>VALUE(LEFT(A67,LEN(A67)-3))</f>
        <v>153</v>
      </c>
      <c r="AE67" s="235" t="str">
        <f>"aws s3 cp "&amp;s3_bucket&amp;"/RTDC"&amp;B67&amp;"/ "&amp;search_path&amp;"\RTDC"&amp;B67&amp;"\"&amp;TEXT(F67,"YYYY-MM-DD")&amp;" --exclude ""*"" --recursive --include ""*"&amp;TEXT(F67,"YYYYMMDD")&amp;"*"" &amp; """&amp;walkandungz&amp;""" "&amp;search_path&amp;"\RTDC"&amp;B67&amp;"\"&amp;TEXT(F67,"YYYY-MM-DD")
&amp;" &amp; "&amp;"aws s3 cp "&amp;s3_bucket&amp;"/RTDC"&amp;B67&amp;"/ "&amp;search_path&amp;"\RTDC"&amp;B67&amp;"\"&amp;TEXT(F67+1,"YYYY-MM-DD")&amp;" --exclude ""*"" --recursive --include ""*"&amp;TEXT(F67+1,"YYYYMMDD")&amp;"*"" &amp; """&amp;walkandungz&amp;""" "&amp;search_path&amp;"\RTDC"&amp;B67&amp;"\"&amp;TEXT(F67+1,"YYYY-MM-DD")</f>
        <v>aws s3 cp s3://rtdc.mdm.uploadarchive.raw/RTDC4034/ "%USERPROFILE%\AppData\Local\Temp\OnboardLogs"\RTDC4034\2018-01-06 --exclude "*" --recursive --include "*20180106*" &amp; "%USERPROFILE%\Documents\GitHub\mrs-test-scripts\Headless Mode &amp; Sideloading\WalkAndUnGZ.bat" "%USERPROFILE%\AppData\Local\Temp\OnboardLogs"\RTDC4034\2018-01-06 &amp; aws s3 cp s3://rtdc.mdm.uploadarchive.raw/RTDC4034/ "%USERPROFILE%\AppData\Local\Temp\OnboardLogs"\RTDC4034\2018-01-07 --exclude "*" --recursive --include "*20180107*" &amp; "%USERPROFILE%\Documents\GitHub\mrs-test-scripts\Headless Mode &amp; Sideloading\WalkAndUnGZ.bat" "%USERPROFILE%\AppData\Local\Temp\OnboardLogs"\RTDC4034\2018-01-07</v>
      </c>
      <c r="AF67" s="234" t="str">
        <f>astrogrep_path&amp;" /e /r /s /spath="&amp;search_path&amp;" /stypes=""app*"&amp;B67&amp;"*"&amp;TEXT(I67-utc_offset/24,"YYYYMMDD")&amp;"*"" /stext="" "&amp;TEXT(I67-utc_offset/24,"HH")&amp;search_regexp&amp;""""</f>
        <v>"C:\Program Files (x86)\AstroGrep\AstroGrep.exe" /e /r /s /spath="%USERPROFILE%\AppData\Local\Temp\OnboardLogs" /stypes="app*4034*20180106*" /stext=" 17:.+((SYSTEM_STATE.+slice.+state.+changed )|(ment ac)|(multiple cpu faults)|(system.+state.+changed )|(\[timeout)|(PRM\|1\|D)|(kpr)|(kdp)|(train st.+moving)|(\|lc)|(penalty))"</v>
      </c>
      <c r="AG67" s="244" t="str">
        <f>DetSubdiv(A67)</f>
        <v>EC</v>
      </c>
      <c r="AH67" s="236" t="str">
        <f t="shared" si="5"/>
        <v>"%USERPROFILE%\Documents\GitHub\eaglep3\Utilities\RefineRTDCRunTimes.py" --tripid 153-06 --locoid 4034 --swversion DE.1.0.9.0 --startMP 204:446 --initTime 2018-01-06T10:04:20 --startdatetime 2018-01-06T10:15:15 --delay 274 --endMP 204:233264 --enddatetime 2018-01-06T10:51:07 --enforcementcount 0 &gt;&gt;%USERPROFILE%\Documents\GitHub\eaglep3-reporting\EC\2018-01-06-refined-times.txt</v>
      </c>
      <c r="AI67" s="238" t="str">
        <f t="shared" si="6"/>
        <v>echo {"issue":{"subject":"","project_id":79,"tracker_id":40,"status_id":1,"priority_id":2,"assigned_to_id":338,"start_date":"2018-01-06","description":"","custom_fields":[{"id":1,"name":"Subdivision","value":"EC"},{"id":4,"name":"Milepost","value":"23.3264"},{"id":17,"name":"Train ID","value":"153-06"},{"id":16,"name":"Locomotive ID","value":"4034"},{"id":130,"name":"Impact","value":""},{"id":150,"name":"Time of Event (Mountain Time)","value":"10:51:07"},{"id":151,"name":"Denver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7" s="223"/>
      <c r="AK67" s="231"/>
      <c r="AL67" s="231"/>
      <c r="AM67" s="240" t="str">
        <f t="shared" si="7"/>
        <v>start /low /b %USERPROFILE%\Documents\GitHub\eaglep3\Utilities\DownloadLogsFromS3.py --loco 4034 --day 2018-01-06</v>
      </c>
      <c r="AN67" s="241" t="str">
        <f t="shared" si="8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17:51:07"},{"id":29,"name":"Sharepoint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 s="230" t="str">
        <f t="shared" si="9"/>
        <v>https://d0f6bd738d7f1b3e5a7ca70fe4ff75f0.us-east-1.aws.found.io/app/kibana#/discover/Steve-Slow-Train-Analysis-(2080s-and-2083s)?_g=(refreshInterval:(display:Off,pause:!f,section:0,value:0),time:(from:'2018-01-06T09:04:20-0700',mode:absolute,to:'2018-01-06T11:51:07-0700'))&amp;_a=(columns:!('Message%20ID',Summary),filters:!(),index:'emp_*',interval:auto,query:(query_string:(analyze_wildcard:!t,query:'%22rtdc.l.rtdc.4034%22')),sort:!(Time.ISO8601,asc))</v>
      </c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3">
      <c r="A68" s="229" t="s">
        <v>774</v>
      </c>
      <c r="B68" s="225">
        <v>4033</v>
      </c>
      <c r="C68" s="227" t="s">
        <v>192</v>
      </c>
      <c r="D68" s="227" t="s">
        <v>930</v>
      </c>
      <c r="E68" s="226">
        <v>43106.46166666667</v>
      </c>
      <c r="F68" s="226">
        <v>43106.466874999998</v>
      </c>
      <c r="G68" s="225">
        <v>239</v>
      </c>
      <c r="H68" s="227" t="s">
        <v>619</v>
      </c>
      <c r="I68" s="226">
        <v>43106.494826388887</v>
      </c>
      <c r="J68" s="225">
        <v>0</v>
      </c>
      <c r="K68" s="237" t="str">
        <f>IF(ISEVEN(B68),(B68-1)&amp;"/"&amp;B68,B68&amp;"/"&amp;(B68+1))</f>
        <v>4033/4034</v>
      </c>
      <c r="L68" s="245" t="str">
        <f>VLOOKUP(A68,'Trips&amp;Operators'!$C$1:$G$99911,5,FALSE)</f>
        <v>BADERTSCHER DIANE</v>
      </c>
      <c r="M68" s="224">
        <f>I68-F68</f>
        <v>2.7951388889050577E-2</v>
      </c>
      <c r="N68" s="225">
        <f>24*60*SUM($M68:$M68)</f>
        <v>40.250000000232831</v>
      </c>
      <c r="O68" s="225"/>
      <c r="P68" s="225"/>
      <c r="Q68" s="228"/>
      <c r="R68" s="242"/>
      <c r="S68" s="249">
        <f>1/IF(AG68="EC",12,1)*SUM(U68:U68)</f>
        <v>1</v>
      </c>
      <c r="T68" s="242" t="str">
        <f>IF(ISEVEN(LEFT(AD68,4)),"Southbound","NorthBound")</f>
        <v>Southbound</v>
      </c>
      <c r="U68" s="246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248" t="str">
        <f>"https://d0f6bd738d7f1b3e5a7ca70fe4ff75f0.us-east-1.aws.found.io/app/kibana#/discover/Steve-Slow-Train-Analysis-(2080s-and-2083s)?_g="&amp;"(refreshInterval:(display:Off,pause:!f,section:0,value:0),time:(from:'"&amp;TEXT(E68-1/24,"yyyy-MM-DDThh:mm:ss")&amp;utc_offset&amp;"00"&amp;"',mode:absolute,to:'"&amp;TEXT(I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68&amp;"%22')),sort:!(Time.ISO8601,asc))"</f>
        <v>https://d0f6bd738d7f1b3e5a7ca70fe4ff75f0.us-east-1.aws.found.io/app/kibana#/discover/Steve-Slow-Train-Analysis-(2080s-and-2083s)?_g=(refreshInterval:(display:Off,pause:!f,section:0,value:0),time:(from:'2018-01-06T10:04:48-0700',mode:absolute,to:'2018-01-06T12:52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68" s="247" t="str">
        <f>IF(AA68&lt;VLOOKUP(AG68,Variables!$AC$3:$AD$8,2,FALSE),"Y","N")</f>
        <v>N</v>
      </c>
      <c r="X68" s="247">
        <f>VALUE(LEFT(AD68,4))-VALUE(LEFT(AD67,4))</f>
        <v>1</v>
      </c>
      <c r="Y68" s="247">
        <f>RIGHT(D68,LEN(D68)-4)/10000</f>
        <v>23.296299999999999</v>
      </c>
      <c r="Z68" s="247">
        <f>RIGHT(H68,LEN(H68)-4)/10000</f>
        <v>2.0299999999999999E-2</v>
      </c>
      <c r="AA68" s="247">
        <f>ABS(Z68-Y68)</f>
        <v>23.276</v>
      </c>
      <c r="AB68" s="233" t="e">
        <f>VLOOKUP(A68,Enforcements!$C$7:$K$9,8,0)</f>
        <v>#N/A</v>
      </c>
      <c r="AC68" s="232" t="e">
        <f>VLOOKUP(A68,Enforcements!$C$7:$E$9,3,0)</f>
        <v>#N/A</v>
      </c>
      <c r="AD68" s="243">
        <f>VALUE(LEFT(A68,LEN(A68)-3))</f>
        <v>154</v>
      </c>
      <c r="AE68" s="235" t="str">
        <f>"aws s3 cp "&amp;s3_bucket&amp;"/RTDC"&amp;B68&amp;"/ "&amp;search_path&amp;"\RTDC"&amp;B68&amp;"\"&amp;TEXT(F68,"YYYY-MM-DD")&amp;" --exclude ""*"" --recursive --include ""*"&amp;TEXT(F68,"YYYYMMDD")&amp;"*"" &amp; """&amp;walkandungz&amp;""" "&amp;search_path&amp;"\RTDC"&amp;B68&amp;"\"&amp;TEXT(F68,"YYYY-MM-DD")
&amp;" &amp; "&amp;"aws s3 cp "&amp;s3_bucket&amp;"/RTDC"&amp;B68&amp;"/ "&amp;search_path&amp;"\RTDC"&amp;B68&amp;"\"&amp;TEXT(F68+1,"YYYY-MM-DD")&amp;" --exclude ""*"" --recursive --include ""*"&amp;TEXT(F68+1,"YYYYMMDD")&amp;"*"" &amp; """&amp;walkandungz&amp;""" "&amp;search_path&amp;"\RTDC"&amp;B68&amp;"\"&amp;TEXT(F68+1,"YYYY-MM-DD")</f>
        <v>aws s3 cp s3://rtdc.mdm.uploadarchive.raw/RTDC4033/ "%USERPROFILE%\AppData\Local\Temp\OnboardLogs"\RTDC4033\2018-01-06 --exclude "*" --recursive --include "*20180106*" &amp; "%USERPROFILE%\Documents\GitHub\mrs-test-scripts\Headless Mode &amp; Sideloading\WalkAndUnGZ.bat" "%USERPROFILE%\AppData\Local\Temp\OnboardLogs"\RTDC4033\2018-01-06 &amp; aws s3 cp s3://rtdc.mdm.uploadarchive.raw/RTDC4033/ "%USERPROFILE%\AppData\Local\Temp\OnboardLogs"\RTDC4033\2018-01-07 --exclude "*" --recursive --include "*20180107*" &amp; "%USERPROFILE%\Documents\GitHub\mrs-test-scripts\Headless Mode &amp; Sideloading\WalkAndUnGZ.bat" "%USERPROFILE%\AppData\Local\Temp\OnboardLogs"\RTDC4033\2018-01-07</v>
      </c>
      <c r="AF68" s="234" t="str">
        <f>astrogrep_path&amp;" /e /r /s /spath="&amp;search_path&amp;" /stypes=""app*"&amp;B68&amp;"*"&amp;TEXT(I68-utc_offset/24,"YYYYMMDD")&amp;"*"" /stext="" "&amp;TEXT(I68-utc_offset/24,"HH")&amp;search_regexp&amp;""""</f>
        <v>"C:\Program Files (x86)\AstroGrep\AstroGrep.exe" /e /r /s /spath="%USERPROFILE%\AppData\Local\Temp\OnboardLogs" /stypes="app*4033*20180106*" /stext=" 18:.+((SYSTEM_STATE.+slice.+state.+changed )|(ment ac)|(multiple cpu faults)|(system.+state.+changed )|(\[timeout)|(PRM\|1\|D)|(kpr)|(kdp)|(train st.+moving)|(\|lc)|(penalty))"</v>
      </c>
      <c r="AG68" s="244" t="str">
        <f>DetSubdiv(A68)</f>
        <v>EC</v>
      </c>
      <c r="AH68" s="236" t="str">
        <f t="shared" si="5"/>
        <v>"%USERPROFILE%\Documents\GitHub\eaglep3\Utilities\RefineRTDCRunTimes.py" --tripid 154-06 --locoid 4033 --swversion DE.1.0.9.0 --startMP 204:232963 --initTime 2018-01-06T11:04:48 --startdatetime 2018-01-06T11:12:18 --delay 239 --endMP 204:203 --enddatetime 2018-01-06T11:52:33 --enforcementcount 0 &gt;&gt;%USERPROFILE%\Documents\GitHub\eaglep3-reporting\EC\2018-01-06-refined-times.txt</v>
      </c>
      <c r="AI68" s="238" t="str">
        <f t="shared" si="6"/>
        <v>echo {"issue":{"subject":"","project_id":79,"tracker_id":40,"status_id":1,"priority_id":2,"assigned_to_id":338,"start_date":"2018-01-06","description":"","custom_fields":[{"id":1,"name":"Subdivision","value":"EC"},{"id":4,"name":"Milepost","value":"0.0203"},{"id":17,"name":"Train ID","value":"154-06"},{"id":16,"name":"Locomotive ID","value":"4033"},{"id":130,"name":"Impact","value":""},{"id":150,"name":"Time of Event (Mountain Time)","value":"11:52:33"},{"id":151,"name":"Denver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8" s="223"/>
      <c r="AK68" s="231"/>
      <c r="AL68" s="231"/>
      <c r="AM68" s="240" t="str">
        <f t="shared" si="7"/>
        <v>start /low /b %USERPROFILE%\Documents\GitHub\eaglep3\Utilities\DownloadLogsFromS3.py --loco 4033 --day 2018-01-06</v>
      </c>
      <c r="AN68" s="241" t="str">
        <f t="shared" si="8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18:52:33"},{"id":29,"name":"Sharepoint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 s="230" t="str">
        <f t="shared" si="9"/>
        <v>https://d0f6bd738d7f1b3e5a7ca70fe4ff75f0.us-east-1.aws.found.io/app/kibana#/discover/Steve-Slow-Train-Analysis-(2080s-and-2083s)?_g=(refreshInterval:(display:Off,pause:!f,section:0,value:0),time:(from:'2018-01-06T10:04:48-0700',mode:absolute,to:'2018-01-06T12:52:33-0700'))&amp;_a=(columns:!('Message%20ID',Summary),filters:!(),index:'emp_*',interval:auto,query:(query_string:(analyze_wildcard:!t,query:'%22rtdc.l.rtdc.4033%22')),sort:!(Time.ISO8601,asc))</v>
      </c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3">
      <c r="A69" s="229" t="s">
        <v>766</v>
      </c>
      <c r="B69" s="225">
        <v>4054</v>
      </c>
      <c r="C69" s="227" t="s">
        <v>192</v>
      </c>
      <c r="D69" s="227" t="s">
        <v>931</v>
      </c>
      <c r="E69" s="226">
        <v>43106.434444444443</v>
      </c>
      <c r="F69" s="226">
        <v>43106.437789351854</v>
      </c>
      <c r="G69" s="225">
        <v>75</v>
      </c>
      <c r="H69" s="227" t="s">
        <v>482</v>
      </c>
      <c r="I69" s="226">
        <v>43106.462118055555</v>
      </c>
      <c r="J69" s="225">
        <v>0</v>
      </c>
      <c r="K69" s="237" t="str">
        <f>IF(ISEVEN(B69),(B69-1)&amp;"/"&amp;B69,B69&amp;"/"&amp;(B69+1))</f>
        <v>4053/4054</v>
      </c>
      <c r="L69" s="245" t="str">
        <f>VLOOKUP(A69,'Trips&amp;Operators'!$C$1:$G$99911,5,FALSE)</f>
        <v>PAGE MARCUS</v>
      </c>
      <c r="M69" s="224">
        <f>I69-F69</f>
        <v>2.4328703701030463E-2</v>
      </c>
      <c r="N69" s="225">
        <f>24*60*SUM($M69:$M69)</f>
        <v>35.033333329483867</v>
      </c>
      <c r="O69" s="225"/>
      <c r="P69" s="225"/>
      <c r="Q69" s="228"/>
      <c r="R69" s="242"/>
      <c r="S69" s="249">
        <f>1/IF(AG69="EC",12,1)*SUM(U69:U69)</f>
        <v>1</v>
      </c>
      <c r="T69" s="242" t="str">
        <f>IF(ISEVEN(LEFT(AD69,4)),"Southbound","NorthBound")</f>
        <v>NorthBound</v>
      </c>
      <c r="U69" s="246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248" t="str">
        <f>"https://d0f6bd738d7f1b3e5a7ca70fe4ff75f0.us-east-1.aws.found.io/app/kibana#/discover/Steve-Slow-Train-Analysis-(2080s-and-2083s)?_g="&amp;"(refreshInterval:(display:Off,pause:!f,section:0,value:0),time:(from:'"&amp;TEXT(E69-1/24,"yyyy-MM-DDThh:mm:ss")&amp;utc_offset&amp;"00"&amp;"',mode:absolute,to:'"&amp;TEXT(I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69&amp;"%22')),sort:!(Time.ISO8601,asc))"</f>
        <v>https://d0f6bd738d7f1b3e5a7ca70fe4ff75f0.us-east-1.aws.found.io/app/kibana#/discover/Steve-Slow-Train-Analysis-(2080s-and-2083s)?_g=(refreshInterval:(display:Off,pause:!f,section:0,value:0),time:(from:'2018-01-06T09:25:36-0700',mode:absolute,to:'2018-01-06T12:05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69" s="247" t="str">
        <f>IF(AA69&lt;VLOOKUP(AG69,Variables!$AC$3:$AD$8,2,FALSE),"Y","N")</f>
        <v>N</v>
      </c>
      <c r="X69" s="247">
        <f>VALUE(LEFT(AD69,4))-VALUE(LEFT(AD68,4))</f>
        <v>1</v>
      </c>
      <c r="Y69" s="247">
        <f>RIGHT(D69,LEN(D69)-4)/10000</f>
        <v>4.3999999999999997E-2</v>
      </c>
      <c r="Z69" s="247">
        <f>RIGHT(H69,LEN(H69)-4)/10000</f>
        <v>23.329499999999999</v>
      </c>
      <c r="AA69" s="247">
        <f>ABS(Z69-Y69)</f>
        <v>23.285499999999999</v>
      </c>
      <c r="AB69" s="233" t="e">
        <f>VLOOKUP(A69,Enforcements!$C$7:$K$9,8,0)</f>
        <v>#N/A</v>
      </c>
      <c r="AC69" s="232" t="e">
        <f>VLOOKUP(A69,Enforcements!$C$7:$E$9,3,0)</f>
        <v>#N/A</v>
      </c>
      <c r="AD69" s="243">
        <f>VALUE(LEFT(A69,LEN(A69)-3))</f>
        <v>155</v>
      </c>
      <c r="AE69" s="235" t="str">
        <f>"aws s3 cp "&amp;s3_bucket&amp;"/RTDC"&amp;B69&amp;"/ "&amp;search_path&amp;"\RTDC"&amp;B69&amp;"\"&amp;TEXT(F69,"YYYY-MM-DD")&amp;" --exclude ""*"" --recursive --include ""*"&amp;TEXT(F69,"YYYYMMDD")&amp;"*"" &amp; """&amp;walkandungz&amp;""" "&amp;search_path&amp;"\RTDC"&amp;B69&amp;"\"&amp;TEXT(F69,"YYYY-MM-DD")
&amp;" &amp; "&amp;"aws s3 cp "&amp;s3_bucket&amp;"/RTDC"&amp;B69&amp;"/ "&amp;search_path&amp;"\RTDC"&amp;B69&amp;"\"&amp;TEXT(F69+1,"YYYY-MM-DD")&amp;" --exclude ""*"" --recursive --include ""*"&amp;TEXT(F69+1,"YYYYMMDD")&amp;"*"" &amp; """&amp;walkandungz&amp;""" "&amp;search_path&amp;"\RTDC"&amp;B69&amp;"\"&amp;TEXT(F69+1,"YYYY-MM-DD")</f>
        <v>aws s3 cp s3://rtdc.mdm.uploadarchive.raw/RTDC4054/ "%USERPROFILE%\AppData\Local\Temp\OnboardLogs"\RTDC4054\2018-01-06 --exclude "*" --recursive --include "*20180106*" &amp; "%USERPROFILE%\Documents\GitHub\mrs-test-scripts\Headless Mode &amp; Sideloading\WalkAndUnGZ.bat" "%USERPROFILE%\AppData\Local\Temp\OnboardLogs"\RTDC4054\2018-01-06 &amp; aws s3 cp s3://rtdc.mdm.uploadarchive.raw/RTDC4054/ "%USERPROFILE%\AppData\Local\Temp\OnboardLogs"\RTDC4054\2018-01-07 --exclude "*" --recursive --include "*20180107*" &amp; "%USERPROFILE%\Documents\GitHub\mrs-test-scripts\Headless Mode &amp; Sideloading\WalkAndUnGZ.bat" "%USERPROFILE%\AppData\Local\Temp\OnboardLogs"\RTDC4054\2018-01-07</v>
      </c>
      <c r="AF69" s="234" t="str">
        <f>astrogrep_path&amp;" /e /r /s /spath="&amp;search_path&amp;" /stypes=""app*"&amp;B69&amp;"*"&amp;TEXT(I69-utc_offset/24,"YYYYMMDD")&amp;"*"" /stext="" "&amp;TEXT(I69-utc_offset/24,"HH")&amp;search_regexp&amp;""""</f>
        <v>"C:\Program Files (x86)\AstroGrep\AstroGrep.exe" /e /r /s /spath="%USERPROFILE%\AppData\Local\Temp\OnboardLogs" /stypes="app*4054*20180106*" /stext=" 18:.+((SYSTEM_STATE.+slice.+state.+changed )|(ment ac)|(multiple cpu faults)|(system.+state.+changed )|(\[timeout)|(PRM\|1\|D)|(kpr)|(kdp)|(train st.+moving)|(\|lc)|(penalty))"</v>
      </c>
      <c r="AG69" s="244" t="str">
        <f>DetSubdiv(A69)</f>
        <v>EC</v>
      </c>
      <c r="AH69" s="236" t="str">
        <f t="shared" si="5"/>
        <v>"%USERPROFILE%\Documents\GitHub\eaglep3\Utilities\RefineRTDCRunTimes.py" --tripid 155-06 --locoid 4054 --swversion DE.1.0.9.0 --startMP 204:440 --initTime 2018-01-06T10:25:36 --startdatetime 2018-01-06T10:30:25 --delay 75 --endMP 204:233295 --enddatetime 2018-01-06T11:05:27 --enforcementcount 0 &gt;&gt;%USERPROFILE%\Documents\GitHub\eaglep3-reporting\EC\2018-01-06-refined-times.txt</v>
      </c>
      <c r="AI69" s="238" t="str">
        <f t="shared" si="6"/>
        <v>echo {"issue":{"subject":"","project_id":79,"tracker_id":40,"status_id":1,"priority_id":2,"assigned_to_id":338,"start_date":"2018-01-06","description":"","custom_fields":[{"id":1,"name":"Subdivision","value":"EC"},{"id":4,"name":"Milepost","value":"23.3295"},{"id":17,"name":"Train ID","value":"155-06"},{"id":16,"name":"Locomotive ID","value":"4054"},{"id":130,"name":"Impact","value":""},{"id":150,"name":"Time of Event (Mountain Time)","value":"11:05:27"},{"id":151,"name":"Denver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9" s="223"/>
      <c r="AK69" s="231"/>
      <c r="AL69" s="231"/>
      <c r="AM69" s="240" t="str">
        <f t="shared" si="7"/>
        <v>start /low /b %USERPROFILE%\Documents\GitHub\eaglep3\Utilities\DownloadLogsFromS3.py --loco 4054 --day 2018-01-06</v>
      </c>
      <c r="AN69" s="241" t="str">
        <f t="shared" si="8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18:05:27"},{"id":29,"name":"Sharepoint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 s="230" t="str">
        <f t="shared" si="9"/>
        <v>https://d0f6bd738d7f1b3e5a7ca70fe4ff75f0.us-east-1.aws.found.io/app/kibana#/discover/Steve-Slow-Train-Analysis-(2080s-and-2083s)?_g=(refreshInterval:(display:Off,pause:!f,section:0,value:0),time:(from:'2018-01-06T09:25:36-0700',mode:absolute,to:'2018-01-06T12:05:27-0700'))&amp;_a=(columns:!('Message%20ID',Summary),filters:!(),index:'emp_*',interval:auto,query:(query_string:(analyze_wildcard:!t,query:'%22rtdc.l.rtdc.4054%22')),sort:!(Time.ISO8601,asc))</v>
      </c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3">
      <c r="A70" s="229" t="s">
        <v>773</v>
      </c>
      <c r="B70" s="225">
        <v>4053</v>
      </c>
      <c r="C70" s="227" t="s">
        <v>192</v>
      </c>
      <c r="D70" s="227" t="s">
        <v>911</v>
      </c>
      <c r="E70" s="226">
        <v>43106.465138888889</v>
      </c>
      <c r="F70" s="226">
        <v>43106.477233796293</v>
      </c>
      <c r="G70" s="225">
        <v>82</v>
      </c>
      <c r="H70" s="227" t="s">
        <v>483</v>
      </c>
      <c r="I70" s="226">
        <v>43106.502604166664</v>
      </c>
      <c r="J70" s="225">
        <v>0</v>
      </c>
      <c r="K70" s="237" t="str">
        <f>IF(ISEVEN(B70),(B70-1)&amp;"/"&amp;B70,B70&amp;"/"&amp;(B70+1))</f>
        <v>4053/4054</v>
      </c>
      <c r="L70" s="245" t="str">
        <f>VLOOKUP(A70,'Trips&amp;Operators'!$C$1:$G$99911,5,FALSE)</f>
        <v>PAGE MARCUS</v>
      </c>
      <c r="M70" s="224">
        <f>I70-F70</f>
        <v>2.5370370371092577E-2</v>
      </c>
      <c r="N70" s="225">
        <f>24*60*SUM($M70:$M70)</f>
        <v>36.53333333437331</v>
      </c>
      <c r="O70" s="225"/>
      <c r="P70" s="225"/>
      <c r="Q70" s="228"/>
      <c r="R70" s="242"/>
      <c r="S70" s="249">
        <f>1/IF(AG70="EC",12,1)*SUM(U70:U70)</f>
        <v>1</v>
      </c>
      <c r="T70" s="242" t="str">
        <f>IF(ISEVEN(LEFT(AD70,4)),"Southbound","NorthBound")</f>
        <v>Southbound</v>
      </c>
      <c r="U70" s="246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248" t="str">
        <f>"https://d0f6bd738d7f1b3e5a7ca70fe4ff75f0.us-east-1.aws.found.io/app/kibana#/discover/Steve-Slow-Train-Analysis-(2080s-and-2083s)?_g="&amp;"(refreshInterval:(display:Off,pause:!f,section:0,value:0),time:(from:'"&amp;TEXT(E70-1/24,"yyyy-MM-DDThh:mm:ss")&amp;utc_offset&amp;"00"&amp;"',mode:absolute,to:'"&amp;TEXT(I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70&amp;"%22')),sort:!(Time.ISO8601,asc))"</f>
        <v>https://d0f6bd738d7f1b3e5a7ca70fe4ff75f0.us-east-1.aws.found.io/app/kibana#/discover/Steve-Slow-Train-Analysis-(2080s-and-2083s)?_g=(refreshInterval:(display:Off,pause:!f,section:0,value:0),time:(from:'2018-01-06T10:09:48-0700',mode:absolute,to:'2018-01-06T13:03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70" s="247" t="str">
        <f>IF(AA70&lt;VLOOKUP(AG70,Variables!$AC$3:$AD$8,2,FALSE),"Y","N")</f>
        <v>N</v>
      </c>
      <c r="X70" s="247">
        <f>VALUE(LEFT(AD70,4))-VALUE(LEFT(AD69,4))</f>
        <v>1</v>
      </c>
      <c r="Y70" s="247">
        <f>RIGHT(D70,LEN(D70)-4)/10000</f>
        <v>23.2974</v>
      </c>
      <c r="Z70" s="247">
        <f>RIGHT(H70,LEN(H70)-4)/10000</f>
        <v>1.5599999999999999E-2</v>
      </c>
      <c r="AA70" s="247">
        <f>ABS(Z70-Y70)</f>
        <v>23.2818</v>
      </c>
      <c r="AB70" s="233" t="e">
        <f>VLOOKUP(A70,Enforcements!$C$7:$K$9,8,0)</f>
        <v>#N/A</v>
      </c>
      <c r="AC70" s="232" t="e">
        <f>VLOOKUP(A70,Enforcements!$C$7:$E$9,3,0)</f>
        <v>#N/A</v>
      </c>
      <c r="AD70" s="243">
        <f>VALUE(LEFT(A70,LEN(A70)-3))</f>
        <v>156</v>
      </c>
      <c r="AE70" s="235" t="str">
        <f>"aws s3 cp "&amp;s3_bucket&amp;"/RTDC"&amp;B70&amp;"/ "&amp;search_path&amp;"\RTDC"&amp;B70&amp;"\"&amp;TEXT(F70,"YYYY-MM-DD")&amp;" --exclude ""*"" --recursive --include ""*"&amp;TEXT(F70,"YYYYMMDD")&amp;"*"" &amp; """&amp;walkandungz&amp;""" "&amp;search_path&amp;"\RTDC"&amp;B70&amp;"\"&amp;TEXT(F70,"YYYY-MM-DD")
&amp;" &amp; "&amp;"aws s3 cp "&amp;s3_bucket&amp;"/RTDC"&amp;B70&amp;"/ "&amp;search_path&amp;"\RTDC"&amp;B70&amp;"\"&amp;TEXT(F70+1,"YYYY-MM-DD")&amp;" --exclude ""*"" --recursive --include ""*"&amp;TEXT(F70+1,"YYYYMMDD")&amp;"*"" &amp; """&amp;walkandungz&amp;""" "&amp;search_path&amp;"\RTDC"&amp;B70&amp;"\"&amp;TEXT(F70+1,"YYYY-MM-DD")</f>
        <v>aws s3 cp s3://rtdc.mdm.uploadarchive.raw/RTDC4053/ "%USERPROFILE%\AppData\Local\Temp\OnboardLogs"\RTDC4053\2018-01-06 --exclude "*" --recursive --include "*20180106*" &amp; "%USERPROFILE%\Documents\GitHub\mrs-test-scripts\Headless Mode &amp; Sideloading\WalkAndUnGZ.bat" "%USERPROFILE%\AppData\Local\Temp\OnboardLogs"\RTDC4053\2018-01-06 &amp; aws s3 cp s3://rtdc.mdm.uploadarchive.raw/RTDC4053/ "%USERPROFILE%\AppData\Local\Temp\OnboardLogs"\RTDC4053\2018-01-07 --exclude "*" --recursive --include "*20180107*" &amp; "%USERPROFILE%\Documents\GitHub\mrs-test-scripts\Headless Mode &amp; Sideloading\WalkAndUnGZ.bat" "%USERPROFILE%\AppData\Local\Temp\OnboardLogs"\RTDC4053\2018-01-07</v>
      </c>
      <c r="AF70" s="234" t="str">
        <f>astrogrep_path&amp;" /e /r /s /spath="&amp;search_path&amp;" /stypes=""app*"&amp;B70&amp;"*"&amp;TEXT(I70-utc_offset/24,"YYYYMMDD")&amp;"*"" /stext="" "&amp;TEXT(I70-utc_offset/24,"HH")&amp;search_regexp&amp;""""</f>
        <v>"C:\Program Files (x86)\AstroGrep\AstroGrep.exe" /e /r /s /spath="%USERPROFILE%\AppData\Local\Temp\OnboardLogs" /stypes="app*4053*20180106*" /stext=" 19:.+((SYSTEM_STATE.+slice.+state.+changed )|(ment ac)|(multiple cpu faults)|(system.+state.+changed )|(\[timeout)|(PRM\|1\|D)|(kpr)|(kdp)|(train st.+moving)|(\|lc)|(penalty))"</v>
      </c>
      <c r="AG70" s="244" t="str">
        <f>DetSubdiv(A70)</f>
        <v>EC</v>
      </c>
      <c r="AH70" s="236" t="str">
        <f t="shared" si="5"/>
        <v>"%USERPROFILE%\Documents\GitHub\eaglep3\Utilities\RefineRTDCRunTimes.py" --tripid 156-06 --locoid 4053 --swversion DE.1.0.9.0 --startMP 204:232974 --initTime 2018-01-06T11:09:48 --startdatetime 2018-01-06T11:27:13 --delay 82 --endMP 204:156 --enddatetime 2018-01-06T12:03:45 --enforcementcount 0 &gt;&gt;%USERPROFILE%\Documents\GitHub\eaglep3-reporting\EC\2018-01-06-refined-times.txt</v>
      </c>
      <c r="AI70" s="238" t="str">
        <f t="shared" si="6"/>
        <v>echo {"issue":{"subject":"","project_id":79,"tracker_id":40,"status_id":1,"priority_id":2,"assigned_to_id":338,"start_date":"2018-01-06","description":"","custom_fields":[{"id":1,"name":"Subdivision","value":"EC"},{"id":4,"name":"Milepost","value":"0.0156"},{"id":17,"name":"Train ID","value":"156-06"},{"id":16,"name":"Locomotive ID","value":"4053"},{"id":130,"name":"Impact","value":""},{"id":150,"name":"Time of Event (Mountain Time)","value":"12:03:45"},{"id":151,"name":"Denver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0" s="223"/>
      <c r="AK70" s="231"/>
      <c r="AL70" s="231"/>
      <c r="AM70" s="240" t="str">
        <f t="shared" si="7"/>
        <v>start /low /b %USERPROFILE%\Documents\GitHub\eaglep3\Utilities\DownloadLogsFromS3.py --loco 4053 --day 2018-01-06</v>
      </c>
      <c r="AN70" s="241" t="str">
        <f t="shared" si="8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19:03:45"},{"id":29,"name":"Sharepoint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 s="230" t="str">
        <f t="shared" si="9"/>
        <v>https://d0f6bd738d7f1b3e5a7ca70fe4ff75f0.us-east-1.aws.found.io/app/kibana#/discover/Steve-Slow-Train-Analysis-(2080s-and-2083s)?_g=(refreshInterval:(display:Off,pause:!f,section:0,value:0),time:(from:'2018-01-06T10:09:48-0700',mode:absolute,to:'2018-01-06T13:03:45-0700'))&amp;_a=(columns:!('Message%20ID',Summary),filters:!(),index:'emp_*',interval:auto,query:(query_string:(analyze_wildcard:!t,query:'%22rtdc.l.rtdc.4053%22')),sort:!(Time.ISO8601,asc))</v>
      </c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3">
      <c r="A71" s="229" t="s">
        <v>770</v>
      </c>
      <c r="B71" s="225">
        <v>4064</v>
      </c>
      <c r="C71" s="227" t="s">
        <v>192</v>
      </c>
      <c r="D71" s="227" t="s">
        <v>511</v>
      </c>
      <c r="E71" s="226">
        <v>43106.445277777777</v>
      </c>
      <c r="F71" s="226">
        <v>43106.44809027778</v>
      </c>
      <c r="G71" s="225">
        <v>104</v>
      </c>
      <c r="H71" s="227" t="s">
        <v>932</v>
      </c>
      <c r="I71" s="226">
        <v>43106.472037037034</v>
      </c>
      <c r="J71" s="225">
        <v>0</v>
      </c>
      <c r="K71" s="237" t="str">
        <f>IF(ISEVEN(B71),(B71-1)&amp;"/"&amp;B71,B71&amp;"/"&amp;(B71+1))</f>
        <v>4063/4064</v>
      </c>
      <c r="L71" s="245" t="str">
        <f>VLOOKUP(A71,'Trips&amp;Operators'!$C$1:$G$99911,5,FALSE)</f>
        <v>BRUDER RICHARD</v>
      </c>
      <c r="M71" s="224">
        <f>I71-F71</f>
        <v>2.3946759254613426E-2</v>
      </c>
      <c r="N71" s="225">
        <f>24*60*SUM($M71:$M71)</f>
        <v>34.483333326643333</v>
      </c>
      <c r="O71" s="225"/>
      <c r="P71" s="225"/>
      <c r="Q71" s="228"/>
      <c r="R71" s="242"/>
      <c r="S71" s="249">
        <f>1/IF(AG71="EC",12,1)*SUM(U71:U71)</f>
        <v>1</v>
      </c>
      <c r="T71" s="242" t="str">
        <f>IF(ISEVEN(LEFT(AD71,4)),"Southbound","NorthBound")</f>
        <v>NorthBound</v>
      </c>
      <c r="U71" s="246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248" t="str">
        <f>"https://d0f6bd738d7f1b3e5a7ca70fe4ff75f0.us-east-1.aws.found.io/app/kibana#/discover/Steve-Slow-Train-Analysis-(2080s-and-2083s)?_g="&amp;"(refreshInterval:(display:Off,pause:!f,section:0,value:0),time:(from:'"&amp;TEXT(E71-1/24,"yyyy-MM-DDThh:mm:ss")&amp;utc_offset&amp;"00"&amp;"',mode:absolute,to:'"&amp;TEXT(I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71&amp;"%22')),sort:!(Time.ISO8601,asc))"</f>
        <v>https://d0f6bd738d7f1b3e5a7ca70fe4ff75f0.us-east-1.aws.found.io/app/kibana#/discover/Steve-Slow-Train-Analysis-(2080s-and-2083s)?_g=(refreshInterval:(display:Off,pause:!f,section:0,value:0),time:(from:'2018-01-06T09:41:12-0700',mode:absolute,to:'2018-01-06T12:19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71" s="247" t="str">
        <f>IF(AA71&lt;VLOOKUP(AG71,Variables!$AC$3:$AD$8,2,FALSE),"Y","N")</f>
        <v>N</v>
      </c>
      <c r="X71" s="247">
        <f>VALUE(LEFT(AD71,4))-VALUE(LEFT(AD70,4))</f>
        <v>1</v>
      </c>
      <c r="Y71" s="247">
        <f>RIGHT(D71,LEN(D71)-4)/10000</f>
        <v>4.9799999999999997E-2</v>
      </c>
      <c r="Z71" s="247">
        <f>RIGHT(H71,LEN(H71)-4)/10000</f>
        <v>23.321999999999999</v>
      </c>
      <c r="AA71" s="247">
        <f>ABS(Z71-Y71)</f>
        <v>23.272199999999998</v>
      </c>
      <c r="AB71" s="233" t="e">
        <f>VLOOKUP(A71,Enforcements!$C$7:$K$9,8,0)</f>
        <v>#N/A</v>
      </c>
      <c r="AC71" s="232" t="e">
        <f>VLOOKUP(A71,Enforcements!$C$7:$E$9,3,0)</f>
        <v>#N/A</v>
      </c>
      <c r="AD71" s="243">
        <f>VALUE(LEFT(A71,LEN(A71)-3))</f>
        <v>157</v>
      </c>
      <c r="AE71" s="235" t="str">
        <f>"aws s3 cp "&amp;s3_bucket&amp;"/RTDC"&amp;B71&amp;"/ "&amp;search_path&amp;"\RTDC"&amp;B71&amp;"\"&amp;TEXT(F71,"YYYY-MM-DD")&amp;" --exclude ""*"" --recursive --include ""*"&amp;TEXT(F71,"YYYYMMDD")&amp;"*"" &amp; """&amp;walkandungz&amp;""" "&amp;search_path&amp;"\RTDC"&amp;B71&amp;"\"&amp;TEXT(F71,"YYYY-MM-DD")
&amp;" &amp; "&amp;"aws s3 cp "&amp;s3_bucket&amp;"/RTDC"&amp;B71&amp;"/ "&amp;search_path&amp;"\RTDC"&amp;B71&amp;"\"&amp;TEXT(F71+1,"YYYY-MM-DD")&amp;" --exclude ""*"" --recursive --include ""*"&amp;TEXT(F71+1,"YYYYMMDD")&amp;"*"" &amp; """&amp;walkandungz&amp;""" "&amp;search_path&amp;"\RTDC"&amp;B71&amp;"\"&amp;TEXT(F71+1,"YYYY-MM-DD")</f>
        <v>aws s3 cp s3://rtdc.mdm.uploadarchive.raw/RTDC4064/ "%USERPROFILE%\AppData\Local\Temp\OnboardLogs"\RTDC4064\2018-01-06 --exclude "*" --recursive --include "*20180106*" &amp; "%USERPROFILE%\Documents\GitHub\mrs-test-scripts\Headless Mode &amp; Sideloading\WalkAndUnGZ.bat" "%USERPROFILE%\AppData\Local\Temp\OnboardLogs"\RTDC4064\2018-01-06 &amp; aws s3 cp s3://rtdc.mdm.uploadarchive.raw/RTDC4064/ "%USERPROFILE%\AppData\Local\Temp\OnboardLogs"\RTDC4064\2018-01-07 --exclude "*" --recursive --include "*20180107*" &amp; "%USERPROFILE%\Documents\GitHub\mrs-test-scripts\Headless Mode &amp; Sideloading\WalkAndUnGZ.bat" "%USERPROFILE%\AppData\Local\Temp\OnboardLogs"\RTDC4064\2018-01-07</v>
      </c>
      <c r="AF71" s="234" t="str">
        <f>astrogrep_path&amp;" /e /r /s /spath="&amp;search_path&amp;" /stypes=""app*"&amp;B71&amp;"*"&amp;TEXT(I71-utc_offset/24,"YYYYMMDD")&amp;"*"" /stext="" "&amp;TEXT(I71-utc_offset/24,"HH")&amp;search_regexp&amp;""""</f>
        <v>"C:\Program Files (x86)\AstroGrep\AstroGrep.exe" /e /r /s /spath="%USERPROFILE%\AppData\Local\Temp\OnboardLogs" /stypes="app*4064*20180106*" /stext=" 18:.+((SYSTEM_STATE.+slice.+state.+changed )|(ment ac)|(multiple cpu faults)|(system.+state.+changed )|(\[timeout)|(PRM\|1\|D)|(kpr)|(kdp)|(train st.+moving)|(\|lc)|(penalty))"</v>
      </c>
      <c r="AG71" s="244" t="str">
        <f>DetSubdiv(A71)</f>
        <v>EC</v>
      </c>
      <c r="AH71" s="236" t="str">
        <f t="shared" si="5"/>
        <v>"%USERPROFILE%\Documents\GitHub\eaglep3\Utilities\RefineRTDCRunTimes.py" --tripid 157-06 --locoid 4064 --swversion DE.1.0.9.0 --startMP 204:498 --initTime 2018-01-06T10:41:12 --startdatetime 2018-01-06T10:45:15 --delay 104 --endMP 204:233220 --enddatetime 2018-01-06T11:19:44 --enforcementcount 0 &gt;&gt;%USERPROFILE%\Documents\GitHub\eaglep3-reporting\EC\2018-01-06-refined-times.txt</v>
      </c>
      <c r="AI71" s="238" t="str">
        <f t="shared" si="6"/>
        <v>echo {"issue":{"subject":"","project_id":79,"tracker_id":40,"status_id":1,"priority_id":2,"assigned_to_id":338,"start_date":"2018-01-06","description":"","custom_fields":[{"id":1,"name":"Subdivision","value":"EC"},{"id":4,"name":"Milepost","value":"23.322"},{"id":17,"name":"Train ID","value":"157-06"},{"id":16,"name":"Locomotive ID","value":"4064"},{"id":130,"name":"Impact","value":""},{"id":150,"name":"Time of Event (Mountain Time)","value":"11:19:44"},{"id":151,"name":"Denver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1" s="223"/>
      <c r="AK71" s="231"/>
      <c r="AL71" s="231"/>
      <c r="AM71" s="240" t="str">
        <f t="shared" si="7"/>
        <v>start /low /b %USERPROFILE%\Documents\GitHub\eaglep3\Utilities\DownloadLogsFromS3.py --loco 4064 --day 2018-01-06</v>
      </c>
      <c r="AN71" s="241" t="str">
        <f t="shared" si="8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18:19:44"},{"id":29,"name":"Sharepoint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 s="230" t="str">
        <f t="shared" si="9"/>
        <v>https://d0f6bd738d7f1b3e5a7ca70fe4ff75f0.us-east-1.aws.found.io/app/kibana#/discover/Steve-Slow-Train-Analysis-(2080s-and-2083s)?_g=(refreshInterval:(display:Off,pause:!f,section:0,value:0),time:(from:'2018-01-06T09:41:12-0700',mode:absolute,to:'2018-01-06T12:19:44-0700'))&amp;_a=(columns:!('Message%20ID',Summary),filters:!(),index:'emp_*',interval:auto,query:(query_string:(analyze_wildcard:!t,query:'%22rtdc.l.rtdc.4064%22')),sort:!(Time.ISO8601,asc))</v>
      </c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3">
      <c r="A72" s="229" t="s">
        <v>780</v>
      </c>
      <c r="B72" s="225">
        <v>4063</v>
      </c>
      <c r="C72" s="227" t="s">
        <v>192</v>
      </c>
      <c r="D72" s="227" t="s">
        <v>933</v>
      </c>
      <c r="E72" s="226">
        <v>43106.484224537038</v>
      </c>
      <c r="F72" s="226">
        <v>43106.487685185188</v>
      </c>
      <c r="G72" s="225">
        <v>137</v>
      </c>
      <c r="H72" s="227" t="s">
        <v>898</v>
      </c>
      <c r="I72" s="226">
        <v>43106.513599537036</v>
      </c>
      <c r="J72" s="225">
        <v>0</v>
      </c>
      <c r="K72" s="237" t="str">
        <f>IF(ISEVEN(B72),(B72-1)&amp;"/"&amp;B72,B72&amp;"/"&amp;(B72+1))</f>
        <v>4063/4064</v>
      </c>
      <c r="L72" s="245" t="str">
        <f>VLOOKUP(A72,'Trips&amp;Operators'!$C$1:$G$99911,5,FALSE)</f>
        <v>BRUDER RICHARD</v>
      </c>
      <c r="M72" s="224">
        <f>I72-F72</f>
        <v>2.5914351848769002E-2</v>
      </c>
      <c r="N72" s="225">
        <f>24*60*SUM($M72:$M72)</f>
        <v>37.316666662227362</v>
      </c>
      <c r="O72" s="225"/>
      <c r="P72" s="225"/>
      <c r="Q72" s="228"/>
      <c r="R72" s="242"/>
      <c r="S72" s="249">
        <f>1/IF(AG72="EC",12,1)*SUM(U72:U72)</f>
        <v>1</v>
      </c>
      <c r="T72" s="242" t="str">
        <f>IF(ISEVEN(LEFT(AD72,4)),"Southbound","NorthBound")</f>
        <v>Southbound</v>
      </c>
      <c r="U72" s="246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248" t="str">
        <f>"https://d0f6bd738d7f1b3e5a7ca70fe4ff75f0.us-east-1.aws.found.io/app/kibana#/discover/Steve-Slow-Train-Analysis-(2080s-and-2083s)?_g="&amp;"(refreshInterval:(display:Off,pause:!f,section:0,value:0),time:(from:'"&amp;TEXT(E72-1/24,"yyyy-MM-DDThh:mm:ss")&amp;utc_offset&amp;"00"&amp;"',mode:absolute,to:'"&amp;TEXT(I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72&amp;"%22')),sort:!(Time.ISO8601,asc))"</f>
        <v>https://d0f6bd738d7f1b3e5a7ca70fe4ff75f0.us-east-1.aws.found.io/app/kibana#/discover/Steve-Slow-Train-Analysis-(2080s-and-2083s)?_g=(refreshInterval:(display:Off,pause:!f,section:0,value:0),time:(from:'2018-01-06T10:37:17-0700',mode:absolute,to:'2018-01-06T13:19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72" s="247" t="str">
        <f>IF(AA72&lt;VLOOKUP(AG72,Variables!$AC$3:$AD$8,2,FALSE),"Y","N")</f>
        <v>N</v>
      </c>
      <c r="X72" s="247">
        <f>VALUE(LEFT(AD72,4))-VALUE(LEFT(AD71,4))</f>
        <v>1</v>
      </c>
      <c r="Y72" s="247">
        <f>RIGHT(D72,LEN(D72)-4)/10000</f>
        <v>23.288399999999999</v>
      </c>
      <c r="Z72" s="247">
        <f>RIGHT(H72,LEN(H72)-4)/10000</f>
        <v>2.4500000000000001E-2</v>
      </c>
      <c r="AA72" s="247">
        <f>ABS(Z72-Y72)</f>
        <v>23.2639</v>
      </c>
      <c r="AB72" s="233" t="e">
        <f>VLOOKUP(A72,Enforcements!$C$7:$K$9,8,0)</f>
        <v>#N/A</v>
      </c>
      <c r="AC72" s="232" t="e">
        <f>VLOOKUP(A72,Enforcements!$C$7:$E$9,3,0)</f>
        <v>#N/A</v>
      </c>
      <c r="AD72" s="243">
        <f>VALUE(LEFT(A72,LEN(A72)-3))</f>
        <v>158</v>
      </c>
      <c r="AE72" s="235" t="str">
        <f>"aws s3 cp "&amp;s3_bucket&amp;"/RTDC"&amp;B72&amp;"/ "&amp;search_path&amp;"\RTDC"&amp;B72&amp;"\"&amp;TEXT(F72,"YYYY-MM-DD")&amp;" --exclude ""*"" --recursive --include ""*"&amp;TEXT(F72,"YYYYMMDD")&amp;"*"" &amp; """&amp;walkandungz&amp;""" "&amp;search_path&amp;"\RTDC"&amp;B72&amp;"\"&amp;TEXT(F72,"YYYY-MM-DD")
&amp;" &amp; "&amp;"aws s3 cp "&amp;s3_bucket&amp;"/RTDC"&amp;B72&amp;"/ "&amp;search_path&amp;"\RTDC"&amp;B72&amp;"\"&amp;TEXT(F72+1,"YYYY-MM-DD")&amp;" --exclude ""*"" --recursive --include ""*"&amp;TEXT(F72+1,"YYYYMMDD")&amp;"*"" &amp; """&amp;walkandungz&amp;""" "&amp;search_path&amp;"\RTDC"&amp;B72&amp;"\"&amp;TEXT(F72+1,"YYYY-MM-DD")</f>
        <v>aws s3 cp s3://rtdc.mdm.uploadarchive.raw/RTDC4063/ "%USERPROFILE%\AppData\Local\Temp\OnboardLogs"\RTDC4063\2018-01-06 --exclude "*" --recursive --include "*20180106*" &amp; "%USERPROFILE%\Documents\GitHub\mrs-test-scripts\Headless Mode &amp; Sideloading\WalkAndUnGZ.bat" "%USERPROFILE%\AppData\Local\Temp\OnboardLogs"\RTDC4063\2018-01-06 &amp; aws s3 cp s3://rtdc.mdm.uploadarchive.raw/RTDC4063/ "%USERPROFILE%\AppData\Local\Temp\OnboardLogs"\RTDC4063\2018-01-07 --exclude "*" --recursive --include "*20180107*" &amp; "%USERPROFILE%\Documents\GitHub\mrs-test-scripts\Headless Mode &amp; Sideloading\WalkAndUnGZ.bat" "%USERPROFILE%\AppData\Local\Temp\OnboardLogs"\RTDC4063\2018-01-07</v>
      </c>
      <c r="AF72" s="234" t="str">
        <f>astrogrep_path&amp;" /e /r /s /spath="&amp;search_path&amp;" /stypes=""app*"&amp;B72&amp;"*"&amp;TEXT(I72-utc_offset/24,"YYYYMMDD")&amp;"*"" /stext="" "&amp;TEXT(I72-utc_offset/24,"HH")&amp;search_regexp&amp;""""</f>
        <v>"C:\Program Files (x86)\AstroGrep\AstroGrep.exe" /e /r /s /spath="%USERPROFILE%\AppData\Local\Temp\OnboardLogs" /stypes="app*4063*20180106*" /stext=" 19:.+((SYSTEM_STATE.+slice.+state.+changed )|(ment ac)|(multiple cpu faults)|(system.+state.+changed )|(\[timeout)|(PRM\|1\|D)|(kpr)|(kdp)|(train st.+moving)|(\|lc)|(penalty))"</v>
      </c>
      <c r="AG72" s="244" t="str">
        <f>DetSubdiv(A72)</f>
        <v>EC</v>
      </c>
      <c r="AH72" s="236" t="str">
        <f t="shared" si="5"/>
        <v>"%USERPROFILE%\Documents\GitHub\eaglep3\Utilities\RefineRTDCRunTimes.py" --tripid 158-06 --locoid 4063 --swversion DE.1.0.9.0 --startMP 204:232884 --initTime 2018-01-06T11:37:17 --startdatetime 2018-01-06T11:42:16 --delay 137 --endMP 204:245 --enddatetime 2018-01-06T12:19:35 --enforcementcount 0 &gt;&gt;%USERPROFILE%\Documents\GitHub\eaglep3-reporting\EC\2018-01-06-refined-times.txt</v>
      </c>
      <c r="AI72" s="238" t="str">
        <f t="shared" si="6"/>
        <v>echo {"issue":{"subject":"","project_id":79,"tracker_id":40,"status_id":1,"priority_id":2,"assigned_to_id":338,"start_date":"2018-01-06","description":"","custom_fields":[{"id":1,"name":"Subdivision","value":"EC"},{"id":4,"name":"Milepost","value":"0.0245"},{"id":17,"name":"Train ID","value":"158-06"},{"id":16,"name":"Locomotive ID","value":"4063"},{"id":130,"name":"Impact","value":""},{"id":150,"name":"Time of Event (Mountain Time)","value":"12:19:35"},{"id":151,"name":"Denver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2" s="223"/>
      <c r="AK72" s="231"/>
      <c r="AL72" s="231"/>
      <c r="AM72" s="240" t="str">
        <f t="shared" si="7"/>
        <v>start /low /b %USERPROFILE%\Documents\GitHub\eaglep3\Utilities\DownloadLogsFromS3.py --loco 4063 --day 2018-01-06</v>
      </c>
      <c r="AN72" s="241" t="str">
        <f t="shared" si="8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19:19:35"},{"id":29,"name":"Sharepoint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 s="230" t="str">
        <f t="shared" si="9"/>
        <v>https://d0f6bd738d7f1b3e5a7ca70fe4ff75f0.us-east-1.aws.found.io/app/kibana#/discover/Steve-Slow-Train-Analysis-(2080s-and-2083s)?_g=(refreshInterval:(display:Off,pause:!f,section:0,value:0),time:(from:'2018-01-06T10:37:17-0700',mode:absolute,to:'2018-01-06T13:19:35-0700'))&amp;_a=(columns:!('Message%20ID',Summary),filters:!(),index:'emp_*',interval:auto,query:(query_string:(analyze_wildcard:!t,query:'%22rtdc.l.rtdc.4063%22')),sort:!(Time.ISO8601,asc))</v>
      </c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3">
      <c r="A73" s="229" t="s">
        <v>771</v>
      </c>
      <c r="B73" s="225">
        <v>4060</v>
      </c>
      <c r="C73" s="227" t="s">
        <v>192</v>
      </c>
      <c r="D73" s="227" t="s">
        <v>634</v>
      </c>
      <c r="E73" s="226">
        <v>43106.453425925924</v>
      </c>
      <c r="F73" s="226">
        <v>43106.458541666667</v>
      </c>
      <c r="G73" s="225">
        <v>85</v>
      </c>
      <c r="H73" s="227" t="s">
        <v>647</v>
      </c>
      <c r="I73" s="226">
        <v>43106.483506944445</v>
      </c>
      <c r="J73" s="225">
        <v>0</v>
      </c>
      <c r="K73" s="237" t="str">
        <f>IF(ISEVEN(B73),(B73-1)&amp;"/"&amp;B73,B73&amp;"/"&amp;(B73+1))</f>
        <v>4059/4060</v>
      </c>
      <c r="L73" s="245" t="str">
        <f>VLOOKUP(A73,'Trips&amp;Operators'!$C$1:$G$99911,5,FALSE)</f>
        <v>WILLIAMS DONTE</v>
      </c>
      <c r="M73" s="224">
        <f>I73-F73</f>
        <v>2.4965277778392192E-2</v>
      </c>
      <c r="N73" s="225">
        <f>24*60*SUM($M73:$M73)</f>
        <v>35.950000000884756</v>
      </c>
      <c r="O73" s="225"/>
      <c r="P73" s="225"/>
      <c r="Q73" s="228"/>
      <c r="R73" s="242"/>
      <c r="S73" s="249">
        <f>1/IF(AG73="EC",12,1)*SUM(U73:U73)</f>
        <v>1</v>
      </c>
      <c r="T73" s="242" t="str">
        <f>IF(ISEVEN(LEFT(AD73,4)),"Southbound","NorthBound")</f>
        <v>NorthBound</v>
      </c>
      <c r="U73" s="246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248" t="str">
        <f>"https://d0f6bd738d7f1b3e5a7ca70fe4ff75f0.us-east-1.aws.found.io/app/kibana#/discover/Steve-Slow-Train-Analysis-(2080s-and-2083s)?_g="&amp;"(refreshInterval:(display:Off,pause:!f,section:0,value:0),time:(from:'"&amp;TEXT(E73-1/24,"yyyy-MM-DDThh:mm:ss")&amp;utc_offset&amp;"00"&amp;"',mode:absolute,to:'"&amp;TEXT(I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73&amp;"%22')),sort:!(Time.ISO8601,asc))"</f>
        <v>https://d0f6bd738d7f1b3e5a7ca70fe4ff75f0.us-east-1.aws.found.io/app/kibana#/discover/Steve-Slow-Train-Analysis-(2080s-and-2083s)?_g=(refreshInterval:(display:Off,pause:!f,section:0,value:0),time:(from:'2018-01-06T09:52:56-0700',mode:absolute,to:'2018-01-06T12:36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73" s="247" t="str">
        <f>IF(AA73&lt;VLOOKUP(AG73,Variables!$AC$3:$AD$8,2,FALSE),"Y","N")</f>
        <v>N</v>
      </c>
      <c r="X73" s="247">
        <f>VALUE(LEFT(AD73,4))-VALUE(LEFT(AD72,4))</f>
        <v>1</v>
      </c>
      <c r="Y73" s="247">
        <f>RIGHT(D73,LEN(D73)-4)/10000</f>
        <v>5.1999999999999998E-2</v>
      </c>
      <c r="Z73" s="247">
        <f>RIGHT(H73,LEN(H73)-4)/10000</f>
        <v>23.3261</v>
      </c>
      <c r="AA73" s="247">
        <f>ABS(Z73-Y73)</f>
        <v>23.274100000000001</v>
      </c>
      <c r="AB73" s="233" t="e">
        <f>VLOOKUP(A73,Enforcements!$C$7:$K$9,8,0)</f>
        <v>#N/A</v>
      </c>
      <c r="AC73" s="232" t="e">
        <f>VLOOKUP(A73,Enforcements!$C$7:$E$9,3,0)</f>
        <v>#N/A</v>
      </c>
      <c r="AD73" s="243">
        <f>VALUE(LEFT(A73,LEN(A73)-3))</f>
        <v>159</v>
      </c>
      <c r="AE73" s="235" t="str">
        <f>"aws s3 cp "&amp;s3_bucket&amp;"/RTDC"&amp;B73&amp;"/ "&amp;search_path&amp;"\RTDC"&amp;B73&amp;"\"&amp;TEXT(F73,"YYYY-MM-DD")&amp;" --exclude ""*"" --recursive --include ""*"&amp;TEXT(F73,"YYYYMMDD")&amp;"*"" &amp; """&amp;walkandungz&amp;""" "&amp;search_path&amp;"\RTDC"&amp;B73&amp;"\"&amp;TEXT(F73,"YYYY-MM-DD")
&amp;" &amp; "&amp;"aws s3 cp "&amp;s3_bucket&amp;"/RTDC"&amp;B73&amp;"/ "&amp;search_path&amp;"\RTDC"&amp;B73&amp;"\"&amp;TEXT(F73+1,"YYYY-MM-DD")&amp;" --exclude ""*"" --recursive --include ""*"&amp;TEXT(F73+1,"YYYYMMDD")&amp;"*"" &amp; """&amp;walkandungz&amp;""" "&amp;search_path&amp;"\RTDC"&amp;B73&amp;"\"&amp;TEXT(F73+1,"YYYY-MM-DD")</f>
        <v>aws s3 cp s3://rtdc.mdm.uploadarchive.raw/RTDC4060/ "%USERPROFILE%\AppData\Local\Temp\OnboardLogs"\RTDC4060\2018-01-06 --exclude "*" --recursive --include "*20180106*" &amp; "%USERPROFILE%\Documents\GitHub\mrs-test-scripts\Headless Mode &amp; Sideloading\WalkAndUnGZ.bat" "%USERPROFILE%\AppData\Local\Temp\OnboardLogs"\RTDC4060\2018-01-06 &amp; aws s3 cp s3://rtdc.mdm.uploadarchive.raw/RTDC4060/ "%USERPROFILE%\AppData\Local\Temp\OnboardLogs"\RTDC4060\2018-01-07 --exclude "*" --recursive --include "*20180107*" &amp; "%USERPROFILE%\Documents\GitHub\mrs-test-scripts\Headless Mode &amp; Sideloading\WalkAndUnGZ.bat" "%USERPROFILE%\AppData\Local\Temp\OnboardLogs"\RTDC4060\2018-01-07</v>
      </c>
      <c r="AF73" s="234" t="str">
        <f>astrogrep_path&amp;" /e /r /s /spath="&amp;search_path&amp;" /stypes=""app*"&amp;B73&amp;"*"&amp;TEXT(I73-utc_offset/24,"YYYYMMDD")&amp;"*"" /stext="" "&amp;TEXT(I73-utc_offset/24,"HH")&amp;search_regexp&amp;""""</f>
        <v>"C:\Program Files (x86)\AstroGrep\AstroGrep.exe" /e /r /s /spath="%USERPROFILE%\AppData\Local\Temp\OnboardLogs" /stypes="app*4060*20180106*" /stext=" 18:.+((SYSTEM_STATE.+slice.+state.+changed )|(ment ac)|(multiple cpu faults)|(system.+state.+changed )|(\[timeout)|(PRM\|1\|D)|(kpr)|(kdp)|(train st.+moving)|(\|lc)|(penalty))"</v>
      </c>
      <c r="AG73" s="244" t="str">
        <f>DetSubdiv(A73)</f>
        <v>EC</v>
      </c>
      <c r="AH73" s="236" t="str">
        <f t="shared" si="5"/>
        <v>"%USERPROFILE%\Documents\GitHub\eaglep3\Utilities\RefineRTDCRunTimes.py" --tripid 159-06 --locoid 4060 --swversion DE.1.0.9.0 --startMP 204:520 --initTime 2018-01-06T10:52:56 --startdatetime 2018-01-06T11:00:18 --delay 85 --endMP 204:233261 --enddatetime 2018-01-06T11:36:15 --enforcementcount 0 &gt;&gt;%USERPROFILE%\Documents\GitHub\eaglep3-reporting\EC\2018-01-06-refined-times.txt</v>
      </c>
      <c r="AI73" s="238" t="str">
        <f t="shared" si="6"/>
        <v>echo {"issue":{"subject":"","project_id":79,"tracker_id":40,"status_id":1,"priority_id":2,"assigned_to_id":338,"start_date":"2018-01-06","description":"","custom_fields":[{"id":1,"name":"Subdivision","value":"EC"},{"id":4,"name":"Milepost","value":"23.3261"},{"id":17,"name":"Train ID","value":"159-06"},{"id":16,"name":"Locomotive ID","value":"4060"},{"id":130,"name":"Impact","value":""},{"id":150,"name":"Time of Event (Mountain Time)","value":"11:36:15"},{"id":151,"name":"Denver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3" s="223"/>
      <c r="AK73" s="231"/>
      <c r="AL73" s="231"/>
      <c r="AM73" s="240" t="str">
        <f t="shared" si="7"/>
        <v>start /low /b %USERPROFILE%\Documents\GitHub\eaglep3\Utilities\DownloadLogsFromS3.py --loco 4060 --day 2018-01-06</v>
      </c>
      <c r="AN73" s="241" t="str">
        <f t="shared" si="8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18:36:15"},{"id":29,"name":"Sharepoint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 s="230" t="str">
        <f t="shared" si="9"/>
        <v>https://d0f6bd738d7f1b3e5a7ca70fe4ff75f0.us-east-1.aws.found.io/app/kibana#/discover/Steve-Slow-Train-Analysis-(2080s-and-2083s)?_g=(refreshInterval:(display:Off,pause:!f,section:0,value:0),time:(from:'2018-01-06T09:52:56-0700',mode:absolute,to:'2018-01-06T12:36:15-0700'))&amp;_a=(columns:!('Message%20ID',Summary),filters:!(),index:'emp_*',interval:auto,query:(query_string:(analyze_wildcard:!t,query:'%22rtdc.l.rtdc.4060%22')),sort:!(Time.ISO8601,asc))</v>
      </c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3">
      <c r="A74" s="229" t="s">
        <v>781</v>
      </c>
      <c r="B74" s="225">
        <v>4059</v>
      </c>
      <c r="C74" s="227" t="s">
        <v>192</v>
      </c>
      <c r="D74" s="227" t="s">
        <v>618</v>
      </c>
      <c r="E74" s="226">
        <v>43106.49459490741</v>
      </c>
      <c r="F74" s="226">
        <v>43106.498240740744</v>
      </c>
      <c r="G74" s="225">
        <v>63</v>
      </c>
      <c r="H74" s="227" t="s">
        <v>463</v>
      </c>
      <c r="I74" s="226">
        <v>43106.524212962962</v>
      </c>
      <c r="J74" s="225">
        <v>0</v>
      </c>
      <c r="K74" s="237" t="str">
        <f>IF(ISEVEN(B74),(B74-1)&amp;"/"&amp;B74,B74&amp;"/"&amp;(B74+1))</f>
        <v>4059/4060</v>
      </c>
      <c r="L74" s="245" t="str">
        <f>VLOOKUP(A74,'Trips&amp;Operators'!$C$1:$G$99911,5,FALSE)</f>
        <v>WILLIAMS DONTE</v>
      </c>
      <c r="M74" s="224">
        <f>I74-F74</f>
        <v>2.5972222218115348E-2</v>
      </c>
      <c r="N74" s="225">
        <f>24*60*SUM($M74:$M74)</f>
        <v>37.399999994086102</v>
      </c>
      <c r="O74" s="225"/>
      <c r="P74" s="225"/>
      <c r="Q74" s="228"/>
      <c r="R74" s="242"/>
      <c r="S74" s="249">
        <f>1/IF(AG74="EC",12,1)*SUM(U74:U74)</f>
        <v>1</v>
      </c>
      <c r="T74" s="242" t="str">
        <f>IF(ISEVEN(LEFT(AD74,4)),"Southbound","NorthBound")</f>
        <v>Southbound</v>
      </c>
      <c r="U74" s="246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248" t="str">
        <f>"https://d0f6bd738d7f1b3e5a7ca70fe4ff75f0.us-east-1.aws.found.io/app/kibana#/discover/Steve-Slow-Train-Analysis-(2080s-and-2083s)?_g="&amp;"(refreshInterval:(display:Off,pause:!f,section:0,value:0),time:(from:'"&amp;TEXT(E74-1/24,"yyyy-MM-DDThh:mm:ss")&amp;utc_offset&amp;"00"&amp;"',mode:absolute,to:'"&amp;TEXT(I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74&amp;"%22')),sort:!(Time.ISO8601,asc))"</f>
        <v>https://d0f6bd738d7f1b3e5a7ca70fe4ff75f0.us-east-1.aws.found.io/app/kibana#/discover/Steve-Slow-Train-Analysis-(2080s-and-2083s)?_g=(refreshInterval:(display:Off,pause:!f,section:0,value:0),time:(from:'2018-01-06T10:52:13-0700',mode:absolute,to:'2018-01-06T13:34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74" s="247" t="str">
        <f>IF(AA74&lt;VLOOKUP(AG74,Variables!$AC$3:$AD$8,2,FALSE),"Y","N")</f>
        <v>N</v>
      </c>
      <c r="X74" s="247">
        <f>VALUE(LEFT(AD74,4))-VALUE(LEFT(AD73,4))</f>
        <v>1</v>
      </c>
      <c r="Y74" s="247">
        <f>RIGHT(D74,LEN(D74)-4)/10000</f>
        <v>23.294499999999999</v>
      </c>
      <c r="Z74" s="247">
        <f>RIGHT(H74,LEN(H74)-4)/10000</f>
        <v>1.9599999999999999E-2</v>
      </c>
      <c r="AA74" s="247">
        <f>ABS(Z74-Y74)</f>
        <v>23.274899999999999</v>
      </c>
      <c r="AB74" s="233" t="e">
        <f>VLOOKUP(A74,Enforcements!$C$7:$K$9,8,0)</f>
        <v>#N/A</v>
      </c>
      <c r="AC74" s="232" t="e">
        <f>VLOOKUP(A74,Enforcements!$C$7:$E$9,3,0)</f>
        <v>#N/A</v>
      </c>
      <c r="AD74" s="243">
        <f>VALUE(LEFT(A74,LEN(A74)-3))</f>
        <v>160</v>
      </c>
      <c r="AE74" s="235" t="str">
        <f>"aws s3 cp "&amp;s3_bucket&amp;"/RTDC"&amp;B74&amp;"/ "&amp;search_path&amp;"\RTDC"&amp;B74&amp;"\"&amp;TEXT(F74,"YYYY-MM-DD")&amp;" --exclude ""*"" --recursive --include ""*"&amp;TEXT(F74,"YYYYMMDD")&amp;"*"" &amp; """&amp;walkandungz&amp;""" "&amp;search_path&amp;"\RTDC"&amp;B74&amp;"\"&amp;TEXT(F74,"YYYY-MM-DD")
&amp;" &amp; "&amp;"aws s3 cp "&amp;s3_bucket&amp;"/RTDC"&amp;B74&amp;"/ "&amp;search_path&amp;"\RTDC"&amp;B74&amp;"\"&amp;TEXT(F74+1,"YYYY-MM-DD")&amp;" --exclude ""*"" --recursive --include ""*"&amp;TEXT(F74+1,"YYYYMMDD")&amp;"*"" &amp; """&amp;walkandungz&amp;""" "&amp;search_path&amp;"\RTDC"&amp;B74&amp;"\"&amp;TEXT(F74+1,"YYYY-MM-DD")</f>
        <v>aws s3 cp s3://rtdc.mdm.uploadarchive.raw/RTDC4059/ "%USERPROFILE%\AppData\Local\Temp\OnboardLogs"\RTDC4059\2018-01-06 --exclude "*" --recursive --include "*20180106*" &amp; "%USERPROFILE%\Documents\GitHub\mrs-test-scripts\Headless Mode &amp; Sideloading\WalkAndUnGZ.bat" "%USERPROFILE%\AppData\Local\Temp\OnboardLogs"\RTDC4059\2018-01-06 &amp; aws s3 cp s3://rtdc.mdm.uploadarchive.raw/RTDC4059/ "%USERPROFILE%\AppData\Local\Temp\OnboardLogs"\RTDC4059\2018-01-07 --exclude "*" --recursive --include "*20180107*" &amp; "%USERPROFILE%\Documents\GitHub\mrs-test-scripts\Headless Mode &amp; Sideloading\WalkAndUnGZ.bat" "%USERPROFILE%\AppData\Local\Temp\OnboardLogs"\RTDC4059\2018-01-07</v>
      </c>
      <c r="AF74" s="234" t="str">
        <f>astrogrep_path&amp;" /e /r /s /spath="&amp;search_path&amp;" /stypes=""app*"&amp;B74&amp;"*"&amp;TEXT(I74-utc_offset/24,"YYYYMMDD")&amp;"*"" /stext="" "&amp;TEXT(I74-utc_offset/24,"HH")&amp;search_regexp&amp;""""</f>
        <v>"C:\Program Files (x86)\AstroGrep\AstroGrep.exe" /e /r /s /spath="%USERPROFILE%\AppData\Local\Temp\OnboardLogs" /stypes="app*4059*20180106*" /stext=" 19:.+((SYSTEM_STATE.+slice.+state.+changed )|(ment ac)|(multiple cpu faults)|(system.+state.+changed )|(\[timeout)|(PRM\|1\|D)|(kpr)|(kdp)|(train st.+moving)|(\|lc)|(penalty))"</v>
      </c>
      <c r="AG74" s="244" t="str">
        <f>DetSubdiv(A74)</f>
        <v>EC</v>
      </c>
      <c r="AH74" s="236" t="str">
        <f t="shared" si="5"/>
        <v>"%USERPROFILE%\Documents\GitHub\eaglep3\Utilities\RefineRTDCRunTimes.py" --tripid 160-06 --locoid 4059 --swversion DE.1.0.9.0 --startMP 204:232945 --initTime 2018-01-06T11:52:13 --startdatetime 2018-01-06T11:57:28 --delay 63 --endMP 204:196 --enddatetime 2018-01-06T12:34:52 --enforcementcount 0 &gt;&gt;%USERPROFILE%\Documents\GitHub\eaglep3-reporting\EC\2018-01-06-refined-times.txt</v>
      </c>
      <c r="AI74" s="238" t="str">
        <f t="shared" si="6"/>
        <v>echo {"issue":{"subject":"","project_id":79,"tracker_id":40,"status_id":1,"priority_id":2,"assigned_to_id":338,"start_date":"2018-01-06","description":"","custom_fields":[{"id":1,"name":"Subdivision","value":"EC"},{"id":4,"name":"Milepost","value":"0.0196"},{"id":17,"name":"Train ID","value":"160-06"},{"id":16,"name":"Locomotive ID","value":"4059"},{"id":130,"name":"Impact","value":""},{"id":150,"name":"Time of Event (Mountain Time)","value":"12:34:52"},{"id":151,"name":"Denver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4" s="223"/>
      <c r="AK74" s="231"/>
      <c r="AL74" s="231"/>
      <c r="AM74" s="240" t="str">
        <f t="shared" si="7"/>
        <v>start /low /b %USERPROFILE%\Documents\GitHub\eaglep3\Utilities\DownloadLogsFromS3.py --loco 4059 --day 2018-01-06</v>
      </c>
      <c r="AN74" s="241" t="str">
        <f t="shared" si="8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19:34:52"},{"id":29,"name":"Sharepoint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 s="230" t="str">
        <f t="shared" si="9"/>
        <v>https://d0f6bd738d7f1b3e5a7ca70fe4ff75f0.us-east-1.aws.found.io/app/kibana#/discover/Steve-Slow-Train-Analysis-(2080s-and-2083s)?_g=(refreshInterval:(display:Off,pause:!f,section:0,value:0),time:(from:'2018-01-06T10:52:13-0700',mode:absolute,to:'2018-01-06T13:34:52-0700'))&amp;_a=(columns:!('Message%20ID',Summary),filters:!(),index:'emp_*',interval:auto,query:(query_string:(analyze_wildcard:!t,query:'%22rtdc.l.rtdc.4059%22')),sort:!(Time.ISO8601,asc))</v>
      </c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3">
      <c r="A75" s="229" t="s">
        <v>775</v>
      </c>
      <c r="B75" s="225">
        <v>4030</v>
      </c>
      <c r="C75" s="227" t="s">
        <v>192</v>
      </c>
      <c r="D75" s="227" t="s">
        <v>481</v>
      </c>
      <c r="E75" s="226">
        <v>43106.464212962965</v>
      </c>
      <c r="F75" s="226">
        <v>43106.469097222223</v>
      </c>
      <c r="G75" s="225">
        <v>102</v>
      </c>
      <c r="H75" s="227" t="s">
        <v>510</v>
      </c>
      <c r="I75" s="226">
        <v>43106.494641203702</v>
      </c>
      <c r="J75" s="225">
        <v>0</v>
      </c>
      <c r="K75" s="237" t="str">
        <f>IF(ISEVEN(B75),(B75-1)&amp;"/"&amp;B75,B75&amp;"/"&amp;(B75+1))</f>
        <v>4029/4030</v>
      </c>
      <c r="L75" s="245" t="str">
        <f>VLOOKUP(A75,'Trips&amp;Operators'!$C$1:$G$99911,5,FALSE)</f>
        <v>DAVIS MICHAEL</v>
      </c>
      <c r="M75" s="224">
        <f>I75-F75</f>
        <v>2.5543981479131617E-2</v>
      </c>
      <c r="N75" s="225">
        <f>24*60*SUM($M75:$M75)</f>
        <v>36.783333329949528</v>
      </c>
      <c r="O75" s="225"/>
      <c r="P75" s="225"/>
      <c r="Q75" s="228"/>
      <c r="R75" s="242"/>
      <c r="S75" s="249">
        <f>1/IF(AG75="EC",12,1)*SUM(U75:U75)</f>
        <v>1</v>
      </c>
      <c r="T75" s="242" t="str">
        <f>IF(ISEVEN(LEFT(AD75,4)),"Southbound","NorthBound")</f>
        <v>NorthBound</v>
      </c>
      <c r="U75" s="246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248" t="str">
        <f>"https://d0f6bd738d7f1b3e5a7ca70fe4ff75f0.us-east-1.aws.found.io/app/kibana#/discover/Steve-Slow-Train-Analysis-(2080s-and-2083s)?_g="&amp;"(refreshInterval:(display:Off,pause:!f,section:0,value:0),time:(from:'"&amp;TEXT(E75-1/24,"yyyy-MM-DDThh:mm:ss")&amp;utc_offset&amp;"00"&amp;"',mode:absolute,to:'"&amp;TEXT(I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75&amp;"%22')),sort:!(Time.ISO8601,asc))"</f>
        <v>https://d0f6bd738d7f1b3e5a7ca70fe4ff75f0.us-east-1.aws.found.io/app/kibana#/discover/Steve-Slow-Train-Analysis-(2080s-and-2083s)?_g=(refreshInterval:(display:Off,pause:!f,section:0,value:0),time:(from:'2018-01-06T10:08:28-0700',mode:absolute,to:'2018-01-06T12:52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75" s="247" t="str">
        <f>IF(AA75&lt;VLOOKUP(AG75,Variables!$AC$3:$AD$8,2,FALSE),"Y","N")</f>
        <v>N</v>
      </c>
      <c r="X75" s="247">
        <f>VALUE(LEFT(AD75,4))-VALUE(LEFT(AD74,4))</f>
        <v>1</v>
      </c>
      <c r="Y75" s="247">
        <f>RIGHT(D75,LEN(D75)-4)/10000</f>
        <v>5.1700000000000003E-2</v>
      </c>
      <c r="Z75" s="247">
        <f>RIGHT(H75,LEN(H75)-4)/10000</f>
        <v>23.329899999999999</v>
      </c>
      <c r="AA75" s="247">
        <f>ABS(Z75-Y75)</f>
        <v>23.278199999999998</v>
      </c>
      <c r="AB75" s="233" t="e">
        <f>VLOOKUP(A75,Enforcements!$C$7:$K$9,8,0)</f>
        <v>#N/A</v>
      </c>
      <c r="AC75" s="232" t="e">
        <f>VLOOKUP(A75,Enforcements!$C$7:$E$9,3,0)</f>
        <v>#N/A</v>
      </c>
      <c r="AD75" s="243">
        <f>VALUE(LEFT(A75,LEN(A75)-3))</f>
        <v>161</v>
      </c>
      <c r="AE75" s="235" t="str">
        <f>"aws s3 cp "&amp;s3_bucket&amp;"/RTDC"&amp;B75&amp;"/ "&amp;search_path&amp;"\RTDC"&amp;B75&amp;"\"&amp;TEXT(F75,"YYYY-MM-DD")&amp;" --exclude ""*"" --recursive --include ""*"&amp;TEXT(F75,"YYYYMMDD")&amp;"*"" &amp; """&amp;walkandungz&amp;""" "&amp;search_path&amp;"\RTDC"&amp;B75&amp;"\"&amp;TEXT(F75,"YYYY-MM-DD")
&amp;" &amp; "&amp;"aws s3 cp "&amp;s3_bucket&amp;"/RTDC"&amp;B75&amp;"/ "&amp;search_path&amp;"\RTDC"&amp;B75&amp;"\"&amp;TEXT(F75+1,"YYYY-MM-DD")&amp;" --exclude ""*"" --recursive --include ""*"&amp;TEXT(F75+1,"YYYYMMDD")&amp;"*"" &amp; """&amp;walkandungz&amp;""" "&amp;search_path&amp;"\RTDC"&amp;B75&amp;"\"&amp;TEXT(F75+1,"YYYY-MM-DD")</f>
        <v>aws s3 cp s3://rtdc.mdm.uploadarchive.raw/RTDC4030/ "%USERPROFILE%\AppData\Local\Temp\OnboardLogs"\RTDC4030\2018-01-06 --exclude "*" --recursive --include "*20180106*" &amp; "%USERPROFILE%\Documents\GitHub\mrs-test-scripts\Headless Mode &amp; Sideloading\WalkAndUnGZ.bat" "%USERPROFILE%\AppData\Local\Temp\OnboardLogs"\RTDC4030\2018-01-06 &amp; aws s3 cp s3://rtdc.mdm.uploadarchive.raw/RTDC4030/ "%USERPROFILE%\AppData\Local\Temp\OnboardLogs"\RTDC4030\2018-01-07 --exclude "*" --recursive --include "*20180107*" &amp; "%USERPROFILE%\Documents\GitHub\mrs-test-scripts\Headless Mode &amp; Sideloading\WalkAndUnGZ.bat" "%USERPROFILE%\AppData\Local\Temp\OnboardLogs"\RTDC4030\2018-01-07</v>
      </c>
      <c r="AF75" s="234" t="str">
        <f>astrogrep_path&amp;" /e /r /s /spath="&amp;search_path&amp;" /stypes=""app*"&amp;B75&amp;"*"&amp;TEXT(I75-utc_offset/24,"YYYYMMDD")&amp;"*"" /stext="" "&amp;TEXT(I75-utc_offset/24,"HH")&amp;search_regexp&amp;""""</f>
        <v>"C:\Program Files (x86)\AstroGrep\AstroGrep.exe" /e /r /s /spath="%USERPROFILE%\AppData\Local\Temp\OnboardLogs" /stypes="app*4030*20180106*" /stext=" 18:.+((SYSTEM_STATE.+slice.+state.+changed )|(ment ac)|(multiple cpu faults)|(system.+state.+changed )|(\[timeout)|(PRM\|1\|D)|(kpr)|(kdp)|(train st.+moving)|(\|lc)|(penalty))"</v>
      </c>
      <c r="AG75" s="244" t="str">
        <f>DetSubdiv(A75)</f>
        <v>EC</v>
      </c>
      <c r="AH75" s="236" t="str">
        <f t="shared" si="5"/>
        <v>"%USERPROFILE%\Documents\GitHub\eaglep3\Utilities\RefineRTDCRunTimes.py" --tripid 161-06 --locoid 4030 --swversion DE.1.0.9.0 --startMP 204:517 --initTime 2018-01-06T11:08:28 --startdatetime 2018-01-06T11:15:30 --delay 102 --endMP 204:233299 --enddatetime 2018-01-06T11:52:17 --enforcementcount 0 &gt;&gt;%USERPROFILE%\Documents\GitHub\eaglep3-reporting\EC\2018-01-06-refined-times.txt</v>
      </c>
      <c r="AI75" s="238" t="str">
        <f t="shared" si="6"/>
        <v>echo {"issue":{"subject":"","project_id":79,"tracker_id":40,"status_id":1,"priority_id":2,"assigned_to_id":338,"start_date":"2018-01-06","description":"","custom_fields":[{"id":1,"name":"Subdivision","value":"EC"},{"id":4,"name":"Milepost","value":"23.3299"},{"id":17,"name":"Train ID","value":"161-06"},{"id":16,"name":"Locomotive ID","value":"4030"},{"id":130,"name":"Impact","value":""},{"id":150,"name":"Time of Event (Mountain Time)","value":"11:52:17"},{"id":151,"name":"Denver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5" s="223"/>
      <c r="AK75" s="231"/>
      <c r="AL75" s="231"/>
      <c r="AM75" s="240" t="str">
        <f t="shared" si="7"/>
        <v>start /low /b %USERPROFILE%\Documents\GitHub\eaglep3\Utilities\DownloadLogsFromS3.py --loco 4030 --day 2018-01-06</v>
      </c>
      <c r="AN75" s="241" t="str">
        <f t="shared" si="8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18:52:17"},{"id":29,"name":"Sharepoint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 s="230" t="str">
        <f t="shared" si="9"/>
        <v>https://d0f6bd738d7f1b3e5a7ca70fe4ff75f0.us-east-1.aws.found.io/app/kibana#/discover/Steve-Slow-Train-Analysis-(2080s-and-2083s)?_g=(refreshInterval:(display:Off,pause:!f,section:0,value:0),time:(from:'2018-01-06T10:08:28-0700',mode:absolute,to:'2018-01-06T12:52:17-0700'))&amp;_a=(columns:!('Message%20ID',Summary),filters:!(),index:'emp_*',interval:auto,query:(query_string:(analyze_wildcard:!t,query:'%22rtdc.l.rtdc.4030%22')),sort:!(Time.ISO8601,asc))</v>
      </c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3">
      <c r="A76" s="229" t="s">
        <v>785</v>
      </c>
      <c r="B76" s="225">
        <v>4029</v>
      </c>
      <c r="C76" s="227" t="s">
        <v>192</v>
      </c>
      <c r="D76" s="227" t="s">
        <v>934</v>
      </c>
      <c r="E76" s="226">
        <v>43106.506041666667</v>
      </c>
      <c r="F76" s="226">
        <v>43106.508750000001</v>
      </c>
      <c r="G76" s="225">
        <v>139</v>
      </c>
      <c r="H76" s="227" t="s">
        <v>479</v>
      </c>
      <c r="I76" s="226">
        <v>43106.536504629628</v>
      </c>
      <c r="J76" s="225">
        <v>0</v>
      </c>
      <c r="K76" s="237" t="str">
        <f>IF(ISEVEN(B76),(B76-1)&amp;"/"&amp;B76,B76&amp;"/"&amp;(B76+1))</f>
        <v>4029/4030</v>
      </c>
      <c r="L76" s="245" t="str">
        <f>VLOOKUP(A76,'Trips&amp;Operators'!$C$1:$G$99911,5,FALSE)</f>
        <v>DAVIS MICHAEL</v>
      </c>
      <c r="M76" s="224">
        <f>I76-F76</f>
        <v>2.7754629627452232E-2</v>
      </c>
      <c r="N76" s="225">
        <f>24*60*SUM($M76:$M76)</f>
        <v>39.966666663531214</v>
      </c>
      <c r="O76" s="225"/>
      <c r="P76" s="225"/>
      <c r="Q76" s="228"/>
      <c r="R76" s="242"/>
      <c r="S76" s="249">
        <f>1/IF(AG76="EC",12,1)*SUM(U76:U76)</f>
        <v>1</v>
      </c>
      <c r="T76" s="242" t="str">
        <f>IF(ISEVEN(LEFT(AD76,4)),"Southbound","NorthBound")</f>
        <v>Southbound</v>
      </c>
      <c r="U76" s="246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248" t="str">
        <f>"https://d0f6bd738d7f1b3e5a7ca70fe4ff75f0.us-east-1.aws.found.io/app/kibana#/discover/Steve-Slow-Train-Analysis-(2080s-and-2083s)?_g="&amp;"(refreshInterval:(display:Off,pause:!f,section:0,value:0),time:(from:'"&amp;TEXT(E76-1/24,"yyyy-MM-DDThh:mm:ss")&amp;utc_offset&amp;"00"&amp;"',mode:absolute,to:'"&amp;TEXT(I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76&amp;"%22')),sort:!(Time.ISO8601,asc))"</f>
        <v>https://d0f6bd738d7f1b3e5a7ca70fe4ff75f0.us-east-1.aws.found.io/app/kibana#/discover/Steve-Slow-Train-Analysis-(2080s-and-2083s)?_g=(refreshInterval:(display:Off,pause:!f,section:0,value:0),time:(from:'2018-01-06T11:08:42-0700',mode:absolute,to:'2018-01-06T13:52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76" s="247" t="str">
        <f>IF(AA76&lt;VLOOKUP(AG76,Variables!$AC$3:$AD$8,2,FALSE),"Y","N")</f>
        <v>N</v>
      </c>
      <c r="X76" s="247">
        <f>VALUE(LEFT(AD76,4))-VALUE(LEFT(AD75,4))</f>
        <v>1</v>
      </c>
      <c r="Y76" s="247">
        <f>RIGHT(D76,LEN(D76)-4)/10000</f>
        <v>23.298999999999999</v>
      </c>
      <c r="Z76" s="247">
        <f>RIGHT(H76,LEN(H76)-4)/10000</f>
        <v>2.0500000000000001E-2</v>
      </c>
      <c r="AA76" s="247">
        <f>ABS(Z76-Y76)</f>
        <v>23.278500000000001</v>
      </c>
      <c r="AB76" s="233" t="e">
        <f>VLOOKUP(A76,Enforcements!$C$7:$K$9,8,0)</f>
        <v>#N/A</v>
      </c>
      <c r="AC76" s="232" t="e">
        <f>VLOOKUP(A76,Enforcements!$C$7:$E$9,3,0)</f>
        <v>#N/A</v>
      </c>
      <c r="AD76" s="243">
        <f>VALUE(LEFT(A76,LEN(A76)-3))</f>
        <v>162</v>
      </c>
      <c r="AE76" s="235" t="str">
        <f>"aws s3 cp "&amp;s3_bucket&amp;"/RTDC"&amp;B76&amp;"/ "&amp;search_path&amp;"\RTDC"&amp;B76&amp;"\"&amp;TEXT(F76,"YYYY-MM-DD")&amp;" --exclude ""*"" --recursive --include ""*"&amp;TEXT(F76,"YYYYMMDD")&amp;"*"" &amp; """&amp;walkandungz&amp;""" "&amp;search_path&amp;"\RTDC"&amp;B76&amp;"\"&amp;TEXT(F76,"YYYY-MM-DD")
&amp;" &amp; "&amp;"aws s3 cp "&amp;s3_bucket&amp;"/RTDC"&amp;B76&amp;"/ "&amp;search_path&amp;"\RTDC"&amp;B76&amp;"\"&amp;TEXT(F76+1,"YYYY-MM-DD")&amp;" --exclude ""*"" --recursive --include ""*"&amp;TEXT(F76+1,"YYYYMMDD")&amp;"*"" &amp; """&amp;walkandungz&amp;""" "&amp;search_path&amp;"\RTDC"&amp;B76&amp;"\"&amp;TEXT(F76+1,"YYYY-MM-DD")</f>
        <v>aws s3 cp s3://rtdc.mdm.uploadarchive.raw/RTDC4029/ "%USERPROFILE%\AppData\Local\Temp\OnboardLogs"\RTDC4029\2018-01-06 --exclude "*" --recursive --include "*20180106*" &amp; "%USERPROFILE%\Documents\GitHub\mrs-test-scripts\Headless Mode &amp; Sideloading\WalkAndUnGZ.bat" "%USERPROFILE%\AppData\Local\Temp\OnboardLogs"\RTDC4029\2018-01-06 &amp; aws s3 cp s3://rtdc.mdm.uploadarchive.raw/RTDC4029/ "%USERPROFILE%\AppData\Local\Temp\OnboardLogs"\RTDC4029\2018-01-07 --exclude "*" --recursive --include "*20180107*" &amp; "%USERPROFILE%\Documents\GitHub\mrs-test-scripts\Headless Mode &amp; Sideloading\WalkAndUnGZ.bat" "%USERPROFILE%\AppData\Local\Temp\OnboardLogs"\RTDC4029\2018-01-07</v>
      </c>
      <c r="AF76" s="234" t="str">
        <f>astrogrep_path&amp;" /e /r /s /spath="&amp;search_path&amp;" /stypes=""app*"&amp;B76&amp;"*"&amp;TEXT(I76-utc_offset/24,"YYYYMMDD")&amp;"*"" /stext="" "&amp;TEXT(I76-utc_offset/24,"HH")&amp;search_regexp&amp;""""</f>
        <v>"C:\Program Files (x86)\AstroGrep\AstroGrep.exe" /e /r /s /spath="%USERPROFILE%\AppData\Local\Temp\OnboardLogs" /stypes="app*4029*20180106*" /stext=" 19:.+((SYSTEM_STATE.+slice.+state.+changed )|(ment ac)|(multiple cpu faults)|(system.+state.+changed )|(\[timeout)|(PRM\|1\|D)|(kpr)|(kdp)|(train st.+moving)|(\|lc)|(penalty))"</v>
      </c>
      <c r="AG76" s="244" t="str">
        <f>DetSubdiv(A76)</f>
        <v>EC</v>
      </c>
      <c r="AH76" s="236" t="str">
        <f t="shared" si="5"/>
        <v>"%USERPROFILE%\Documents\GitHub\eaglep3\Utilities\RefineRTDCRunTimes.py" --tripid 162-06 --locoid 4029 --swversion DE.1.0.9.0 --startMP 204:232990 --initTime 2018-01-06T12:08:42 --startdatetime 2018-01-06T12:12:36 --delay 139 --endMP 204:205 --enddatetime 2018-01-06T12:52:34 --enforcementcount 0 &gt;&gt;%USERPROFILE%\Documents\GitHub\eaglep3-reporting\EC\2018-01-06-refined-times.txt</v>
      </c>
      <c r="AI76" s="238" t="str">
        <f t="shared" si="6"/>
        <v>echo {"issue":{"subject":"","project_id":79,"tracker_id":40,"status_id":1,"priority_id":2,"assigned_to_id":338,"start_date":"2018-01-06","description":"","custom_fields":[{"id":1,"name":"Subdivision","value":"EC"},{"id":4,"name":"Milepost","value":"0.0205"},{"id":17,"name":"Train ID","value":"162-06"},{"id":16,"name":"Locomotive ID","value":"4029"},{"id":130,"name":"Impact","value":""},{"id":150,"name":"Time of Event (Mountain Time)","value":"12:52:34"},{"id":151,"name":"Denver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6" s="223"/>
      <c r="AK76" s="231"/>
      <c r="AL76" s="231"/>
      <c r="AM76" s="240" t="str">
        <f t="shared" si="7"/>
        <v>start /low /b %USERPROFILE%\Documents\GitHub\eaglep3\Utilities\DownloadLogsFromS3.py --loco 4029 --day 2018-01-06</v>
      </c>
      <c r="AN76" s="241" t="str">
        <f t="shared" si="8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19:52:34"},{"id":29,"name":"Sharepoint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 s="230" t="str">
        <f t="shared" si="9"/>
        <v>https://d0f6bd738d7f1b3e5a7ca70fe4ff75f0.us-east-1.aws.found.io/app/kibana#/discover/Steve-Slow-Train-Analysis-(2080s-and-2083s)?_g=(refreshInterval:(display:Off,pause:!f,section:0,value:0),time:(from:'2018-01-06T11:08:42-0700',mode:absolute,to:'2018-01-06T13:52:34-0700'))&amp;_a=(columns:!('Message%20ID',Summary),filters:!(),index:'emp_*',interval:auto,query:(query_string:(analyze_wildcard:!t,query:'%22rtdc.l.rtdc.4029%22')),sort:!(Time.ISO8601,asc))</v>
      </c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3">
      <c r="A77" s="229" t="s">
        <v>778</v>
      </c>
      <c r="B77" s="225">
        <v>4012</v>
      </c>
      <c r="C77" s="227" t="s">
        <v>192</v>
      </c>
      <c r="D77" s="227" t="s">
        <v>515</v>
      </c>
      <c r="E77" s="226">
        <v>43106.475092592591</v>
      </c>
      <c r="F77" s="226">
        <v>43106.479421296295</v>
      </c>
      <c r="G77" s="225">
        <v>96</v>
      </c>
      <c r="H77" s="227" t="s">
        <v>555</v>
      </c>
      <c r="I77" s="226">
        <v>43106.504016203704</v>
      </c>
      <c r="J77" s="225">
        <v>0</v>
      </c>
      <c r="K77" s="237" t="str">
        <f>IF(ISEVEN(B77),(B77-1)&amp;"/"&amp;B77,B77&amp;"/"&amp;(B77+1))</f>
        <v>4011/4012</v>
      </c>
      <c r="L77" s="245" t="str">
        <f>VLOOKUP(A77,'Trips&amp;Operators'!$C$1:$G$99911,5,FALSE)</f>
        <v>SAFIEF AEIMEN</v>
      </c>
      <c r="M77" s="224">
        <f>I77-F77</f>
        <v>2.4594907408754807E-2</v>
      </c>
      <c r="N77" s="225">
        <f>24*60*SUM($M77:$M77)</f>
        <v>35.416666668606922</v>
      </c>
      <c r="O77" s="225"/>
      <c r="P77" s="225"/>
      <c r="Q77" s="228"/>
      <c r="R77" s="242"/>
      <c r="S77" s="249">
        <f>1/IF(AG77="EC",12,1)*SUM(U77:U77)</f>
        <v>1</v>
      </c>
      <c r="T77" s="242" t="str">
        <f>IF(ISEVEN(LEFT(AD77,4)),"Southbound","NorthBound")</f>
        <v>NorthBound</v>
      </c>
      <c r="U77" s="246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248" t="str">
        <f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2018-01-06T10:24:08-0700',mode:absolute,to:'2018-01-06T13:05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77" s="247" t="str">
        <f>IF(AA77&lt;VLOOKUP(AG77,Variables!$AC$3:$AD$8,2,FALSE),"Y","N")</f>
        <v>N</v>
      </c>
      <c r="X77" s="247">
        <f>VALUE(LEFT(AD77,4))-VALUE(LEFT(AD76,4))</f>
        <v>1</v>
      </c>
      <c r="Y77" s="247">
        <f>RIGHT(D77,LEN(D77)-4)/10000</f>
        <v>4.6899999999999997E-2</v>
      </c>
      <c r="Z77" s="247">
        <f>RIGHT(H77,LEN(H77)-4)/10000</f>
        <v>23.334</v>
      </c>
      <c r="AA77" s="247">
        <f>ABS(Z77-Y77)</f>
        <v>23.287099999999999</v>
      </c>
      <c r="AB77" s="233" t="e">
        <f>VLOOKUP(A77,Enforcements!$C$7:$K$9,8,0)</f>
        <v>#N/A</v>
      </c>
      <c r="AC77" s="232" t="e">
        <f>VLOOKUP(A77,Enforcements!$C$7:$E$9,3,0)</f>
        <v>#N/A</v>
      </c>
      <c r="AD77" s="243">
        <f>VALUE(LEFT(A77,LEN(A77)-3))</f>
        <v>163</v>
      </c>
      <c r="AE77" s="235" t="str">
        <f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s3://rtdc.mdm.uploadarchive.raw/RTDC4012/ "%USERPROFILE%\AppData\Local\Temp\OnboardLogs"\RTDC4012\2018-01-06 --exclude "*" --recursive --include "*20180106*" &amp; "%USERPROFILE%\Documents\GitHub\mrs-test-scripts\Headless Mode &amp; Sideloading\WalkAndUnGZ.bat" "%USERPROFILE%\AppData\Local\Temp\OnboardLogs"\RTDC4012\2018-01-06 &amp; aws s3 cp s3://rtdc.mdm.uploadarchive.raw/RTDC4012/ "%USERPROFILE%\AppData\Local\Temp\OnboardLogs"\RTDC4012\2018-01-07 --exclude "*" --recursive --include "*20180107*" &amp; "%USERPROFILE%\Documents\GitHub\mrs-test-scripts\Headless Mode &amp; Sideloading\WalkAndUnGZ.bat" "%USERPROFILE%\AppData\Local\Temp\OnboardLogs"\RTDC4012\2018-01-07</v>
      </c>
      <c r="AF77" s="234" t="str">
        <f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/stypes="app*4012*20180106*" /stext=" 19:.+((SYSTEM_STATE.+slice.+state.+changed )|(ment ac)|(multiple cpu faults)|(system.+state.+changed )|(\[timeout)|(PRM\|1\|D)|(kpr)|(kdp)|(train st.+moving)|(\|lc)|(penalty))"</v>
      </c>
      <c r="AG77" s="244" t="str">
        <f>DetSubdiv(A77)</f>
        <v>EC</v>
      </c>
      <c r="AH77" s="236" t="str">
        <f t="shared" si="5"/>
        <v>"%USERPROFILE%\Documents\GitHub\eaglep3\Utilities\RefineRTDCRunTimes.py" --tripid 163-06 --locoid 4012 --swversion DE.1.0.9.0 --startMP 204:469 --initTime 2018-01-06T11:24:08 --startdatetime 2018-01-06T11:30:22 --delay 96 --endMP 204:233340 --enddatetime 2018-01-06T12:05:47 --enforcementcount 0 &gt;&gt;%USERPROFILE%\Documents\GitHub\eaglep3-reporting\EC\2018-01-06-refined-times.txt</v>
      </c>
      <c r="AI77" s="238" t="str">
        <f t="shared" si="6"/>
        <v>echo {"issue":{"subject":"","project_id":79,"tracker_id":40,"status_id":1,"priority_id":2,"assigned_to_id":338,"start_date":"2018-01-06","description":"","custom_fields":[{"id":1,"name":"Subdivision","value":"EC"},{"id":4,"name":"Milepost","value":"23.334"},{"id":17,"name":"Train ID","value":"163-06"},{"id":16,"name":"Locomotive ID","value":"4012"},{"id":130,"name":"Impact","value":""},{"id":150,"name":"Time of Event (Mountain Time)","value":"12:05:47"},{"id":151,"name":"Denver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7" s="223"/>
      <c r="AK77" s="231"/>
      <c r="AL77" s="231"/>
      <c r="AM77" s="240" t="str">
        <f t="shared" si="7"/>
        <v>start /low /b %USERPROFILE%\Documents\GitHub\eaglep3\Utilities\DownloadLogsFromS3.py --loco 4012 --day 2018-01-06</v>
      </c>
      <c r="AN77" s="241" t="str">
        <f t="shared" si="8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19:05:47"},{"id":29,"name":"Sharepoint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 s="230" t="str">
        <f t="shared" si="9"/>
        <v>https://d0f6bd738d7f1b3e5a7ca70fe4ff75f0.us-east-1.aws.found.io/app/kibana#/discover/Steve-Slow-Train-Analysis-(2080s-and-2083s)?_g=(refreshInterval:(display:Off,pause:!f,section:0,value:0),time:(from:'2018-01-06T10:24:08-0700',mode:absolute,to:'2018-01-06T13:05:47-0700'))&amp;_a=(columns:!('Message%20ID',Summary),filters:!(),index:'emp_*',interval:auto,query:(query_string:(analyze_wildcard:!t,query:'%22rtdc.l.rtdc.4012%22')),sort:!(Time.ISO8601,asc))</v>
      </c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3">
      <c r="A78" s="229" t="s">
        <v>784</v>
      </c>
      <c r="B78" s="225">
        <v>4011</v>
      </c>
      <c r="C78" s="227" t="s">
        <v>192</v>
      </c>
      <c r="D78" s="227" t="s">
        <v>935</v>
      </c>
      <c r="E78" s="226">
        <v>43106.505833333336</v>
      </c>
      <c r="F78" s="226">
        <v>43106.518946759257</v>
      </c>
      <c r="G78" s="225">
        <v>152</v>
      </c>
      <c r="H78" s="227" t="s">
        <v>638</v>
      </c>
      <c r="I78" s="226">
        <v>43106.544722222221</v>
      </c>
      <c r="J78" s="225">
        <v>0</v>
      </c>
      <c r="K78" s="237" t="str">
        <f>IF(ISEVEN(B78),(B78-1)&amp;"/"&amp;B78,B78&amp;"/"&amp;(B78+1))</f>
        <v>4011/4012</v>
      </c>
      <c r="L78" s="245" t="str">
        <f>VLOOKUP(A78,'Trips&amp;Operators'!$C$1:$G$99911,5,FALSE)</f>
        <v>SAFIEF AEIMEN</v>
      </c>
      <c r="M78" s="224">
        <f>I78-F78</f>
        <v>2.5775462963792961E-2</v>
      </c>
      <c r="N78" s="225">
        <f>24*60*SUM($M78:$M78)</f>
        <v>37.116666667861864</v>
      </c>
      <c r="O78" s="225"/>
      <c r="P78" s="225"/>
      <c r="Q78" s="228"/>
      <c r="R78" s="242"/>
      <c r="S78" s="249">
        <f>1/IF(AG78="EC",12,1)*SUM(U78:U78)</f>
        <v>1</v>
      </c>
      <c r="T78" s="242" t="str">
        <f>IF(ISEVEN(LEFT(AD78,4)),"Southbound","NorthBound")</f>
        <v>Southbound</v>
      </c>
      <c r="U78" s="246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248" t="str">
        <f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2018-01-06T11:08:24-0700',mode:absolute,to:'2018-01-06T14:04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78" s="247" t="str">
        <f>IF(AA78&lt;VLOOKUP(AG78,Variables!$AC$3:$AD$8,2,FALSE),"Y","N")</f>
        <v>N</v>
      </c>
      <c r="X78" s="247">
        <f>VALUE(LEFT(AD78,4))-VALUE(LEFT(AD77,4))</f>
        <v>1</v>
      </c>
      <c r="Y78" s="247">
        <f>RIGHT(D78,LEN(D78)-4)/10000</f>
        <v>23.3</v>
      </c>
      <c r="Z78" s="247">
        <f>RIGHT(H78,LEN(H78)-4)/10000</f>
        <v>1.8499999999999999E-2</v>
      </c>
      <c r="AA78" s="247">
        <f>ABS(Z78-Y78)</f>
        <v>23.281500000000001</v>
      </c>
      <c r="AB78" s="233" t="e">
        <f>VLOOKUP(A78,Enforcements!$C$7:$K$9,8,0)</f>
        <v>#N/A</v>
      </c>
      <c r="AC78" s="232" t="e">
        <f>VLOOKUP(A78,Enforcements!$C$7:$E$9,3,0)</f>
        <v>#N/A</v>
      </c>
      <c r="AD78" s="243">
        <f>VALUE(LEFT(A78,LEN(A78)-3))</f>
        <v>164</v>
      </c>
      <c r="AE78" s="235" t="str">
        <f>"aws s3 cp "&amp;s3_bucket&amp;"/RTDC"&amp;B78&amp;"/ "&amp;search_path&amp;"\RTDC"&amp;B78&amp;"\"&amp;TEXT(F78,"YYYY-MM-DD")&amp;" --exclude ""*"" --recursive --include ""*"&amp;TEXT(F78,"YYYYMMDD")&amp;"*"" &amp; """&amp;walkandungz&amp;""" "&amp;search_path&amp;"\RTDC"&amp;B78&amp;"\"&amp;TEXT(F78,"YYYY-MM-DD")
&amp;" &amp; "&amp;"aws s3 cp "&amp;s3_bucket&amp;"/RTDC"&amp;B78&amp;"/ "&amp;search_path&amp;"\RTDC"&amp;B78&amp;"\"&amp;TEXT(F78+1,"YYYY-MM-DD")&amp;" --exclude ""*"" --recursive --include ""*"&amp;TEXT(F78+1,"YYYYMMDD")&amp;"*"" &amp; """&amp;walkandungz&amp;""" "&amp;search_path&amp;"\RTDC"&amp;B78&amp;"\"&amp;TEXT(F78+1,"YYYY-MM-DD")</f>
        <v>aws s3 cp s3://rtdc.mdm.uploadarchive.raw/RTDC4011/ "%USERPROFILE%\AppData\Local\Temp\OnboardLogs"\RTDC4011\2018-01-06 --exclude "*" --recursive --include "*20180106*" &amp; "%USERPROFILE%\Documents\GitHub\mrs-test-scripts\Headless Mode &amp; Sideloading\WalkAndUnGZ.bat" "%USERPROFILE%\AppData\Local\Temp\OnboardLogs"\RTDC4011\2018-01-06 &amp; aws s3 cp s3://rtdc.mdm.uploadarchive.raw/RTDC4011/ "%USERPROFILE%\AppData\Local\Temp\OnboardLogs"\RTDC4011\2018-01-07 --exclude "*" --recursive --include "*20180107*" &amp; "%USERPROFILE%\Documents\GitHub\mrs-test-scripts\Headless Mode &amp; Sideloading\WalkAndUnGZ.bat" "%USERPROFILE%\AppData\Local\Temp\OnboardLogs"\RTDC4011\2018-01-07</v>
      </c>
      <c r="AF78" s="234" t="str">
        <f>astrogrep_path&amp;" /e /r /s /spath="&amp;search_path&amp;" /stypes=""app*"&amp;B78&amp;"*"&amp;TEXT(I78-utc_offset/24,"YYYYMMDD")&amp;"*"" /stext="" "&amp;TEXT(I78-utc_offset/24,"HH")&amp;search_regexp&amp;""""</f>
        <v>"C:\Program Files (x86)\AstroGrep\AstroGrep.exe" /e /r /s /spath="%USERPROFILE%\AppData\Local\Temp\OnboardLogs" /stypes="app*4011*20180106*" /stext=" 20:.+((SYSTEM_STATE.+slice.+state.+changed )|(ment ac)|(multiple cpu faults)|(system.+state.+changed )|(\[timeout)|(PRM\|1\|D)|(kpr)|(kdp)|(train st.+moving)|(\|lc)|(penalty))"</v>
      </c>
      <c r="AG78" s="244" t="str">
        <f>DetSubdiv(A78)</f>
        <v>EC</v>
      </c>
      <c r="AH78" s="236" t="str">
        <f t="shared" ref="AH78:AH145" si="10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164-06 --locoid 4011 --swversion DE.1.0.9.0 --startMP 204:233000 --initTime 2018-01-06T12:08:24 --startdatetime 2018-01-06T12:27:17 --delay 152 --endMP 204:185 --enddatetime 2018-01-06T13:04:24 --enforcementcount 0 &gt;&gt;%USERPROFILE%\Documents\GitHub\eaglep3-reporting\EC\2018-01-06-refined-times.txt</v>
      </c>
      <c r="AI78" s="238" t="str">
        <f t="shared" ref="AI78:AI145" si="11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{"issue":{"subject":"","project_id":79,"tracker_id":40,"status_id":1,"priority_id":2,"assigned_to_id":338,"start_date":"2018-01-06","description":"","custom_fields":[{"id":1,"name":"Subdivision","value":"EC"},{"id":4,"name":"Milepost","value":"0.0185"},{"id":17,"name":"Train ID","value":"164-06"},{"id":16,"name":"Locomotive ID","value":"4011"},{"id":130,"name":"Impact","value":""},{"id":150,"name":"Time of Event (Mountain Time)","value":"13:04:24"},{"id":151,"name":"Denver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8" s="223"/>
      <c r="AK78" s="231"/>
      <c r="AL78" s="231"/>
      <c r="AM78" s="240" t="str">
        <f t="shared" ref="AM78:AM145" si="12">"start /low /b "&amp;dls3logs&amp;" --loco "&amp;B78&amp;" --day "&amp;TEXT(F78,"YYYY-MM-DD")</f>
        <v>start /low /b %USERPROFILE%\Documents\GitHub\eaglep3\Utilities\DownloadLogsFromS3.py --loco 4011 --day 2018-01-06</v>
      </c>
      <c r="AN78" s="241" t="str">
        <f t="shared" ref="AN78:AN145" si="13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20:04:24"},{"id":29,"name":"Sharepoint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 s="230" t="str">
        <f t="shared" ref="AO78:AO145" si="14"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Message%20ID',Summary),filters:!(),index:'emp_*',interval:auto,query:"&amp;"(query_string:(analyze_wildcard:!t,query:'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2018-01-06T11:08:24-0700',mode:absolute,to:'2018-01-06T14:04:24-0700'))&amp;_a=(columns:!('Message%20ID',Summary),filters:!(),index:'emp_*',interval:auto,query:(query_string:(analyze_wildcard:!t,query:'%22rtdc.l.rtdc.4011%22')),sort:!(Time.ISO8601,asc))</v>
      </c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3">
      <c r="A79" s="229" t="s">
        <v>779</v>
      </c>
      <c r="B79" s="225">
        <v>4044</v>
      </c>
      <c r="C79" s="227" t="s">
        <v>192</v>
      </c>
      <c r="D79" s="227" t="s">
        <v>559</v>
      </c>
      <c r="E79" s="226">
        <v>43106.482627314814</v>
      </c>
      <c r="F79" s="226">
        <v>43106.489756944444</v>
      </c>
      <c r="G79" s="225">
        <v>82</v>
      </c>
      <c r="H79" s="227" t="s">
        <v>936</v>
      </c>
      <c r="I79" s="226">
        <v>43106.514270833337</v>
      </c>
      <c r="J79" s="225">
        <v>0</v>
      </c>
      <c r="K79" s="237" t="str">
        <f>IF(ISEVEN(B79),(B79-1)&amp;"/"&amp;B79,B79&amp;"/"&amp;(B79+1))</f>
        <v>4043/4044</v>
      </c>
      <c r="L79" s="245" t="str">
        <f>VLOOKUP(A79,'Trips&amp;Operators'!$C$1:$G$99911,5,FALSE)</f>
        <v>GUZMAN DANNY</v>
      </c>
      <c r="M79" s="224">
        <f>I79-F79</f>
        <v>2.4513888893125113E-2</v>
      </c>
      <c r="N79" s="225">
        <f>24*60*SUM($M79:$M79)</f>
        <v>35.300000006100163</v>
      </c>
      <c r="O79" s="225"/>
      <c r="P79" s="225"/>
      <c r="Q79" s="228"/>
      <c r="R79" s="242"/>
      <c r="S79" s="249">
        <f>1/IF(AG79="EC",12,1)*SUM(U79:U79)</f>
        <v>1</v>
      </c>
      <c r="T79" s="242" t="str">
        <f>IF(ISEVEN(LEFT(AD79,4)),"Southbound","NorthBound")</f>
        <v>NorthBound</v>
      </c>
      <c r="U79" s="246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248" t="str">
        <f>"https://d0f6bd738d7f1b3e5a7ca70fe4ff75f0.us-east-1.aws.found.io/app/kibana#/discover/Steve-Slow-Train-Analysis-(2080s-and-2083s)?_g="&amp;"(refreshInterval:(display:Off,pause:!f,section:0,value:0),time:(from:'"&amp;TEXT(E79-1/24,"yyyy-MM-DDThh:mm:ss")&amp;utc_offset&amp;"00"&amp;"',mode:absolute,to:'"&amp;TEXT(I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79&amp;"%22')),sort:!(Time.ISO8601,asc))"</f>
        <v>https://d0f6bd738d7f1b3e5a7ca70fe4ff75f0.us-east-1.aws.found.io/app/kibana#/discover/Steve-Slow-Train-Analysis-(2080s-and-2083s)?_g=(refreshInterval:(display:Off,pause:!f,section:0,value:0),time:(from:'2018-01-06T10:34:59-0700',mode:absolute,to:'2018-01-06T13:20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79" s="247" t="str">
        <f>IF(AA79&lt;VLOOKUP(AG79,Variables!$AC$3:$AD$8,2,FALSE),"Y","N")</f>
        <v>N</v>
      </c>
      <c r="X79" s="247">
        <f>VALUE(LEFT(AD79,4))-VALUE(LEFT(AD78,4))</f>
        <v>1</v>
      </c>
      <c r="Y79" s="247">
        <f>RIGHT(D79,LEN(D79)-4)/10000</f>
        <v>4.3700000000000003E-2</v>
      </c>
      <c r="Z79" s="247">
        <f>RIGHT(H79,LEN(H79)-4)/10000</f>
        <v>23.3307</v>
      </c>
      <c r="AA79" s="247">
        <f>ABS(Z79-Y79)</f>
        <v>23.286999999999999</v>
      </c>
      <c r="AB79" s="233" t="e">
        <f>VLOOKUP(A79,Enforcements!$C$7:$K$9,8,0)</f>
        <v>#N/A</v>
      </c>
      <c r="AC79" s="232" t="e">
        <f>VLOOKUP(A79,Enforcements!$C$7:$E$9,3,0)</f>
        <v>#N/A</v>
      </c>
      <c r="AD79" s="243">
        <f>VALUE(LEFT(A79,LEN(A79)-3))</f>
        <v>165</v>
      </c>
      <c r="AE79" s="235" t="str">
        <f>"aws s3 cp "&amp;s3_bucket&amp;"/RTDC"&amp;B79&amp;"/ "&amp;search_path&amp;"\RTDC"&amp;B79&amp;"\"&amp;TEXT(F79,"YYYY-MM-DD")&amp;" --exclude ""*"" --recursive --include ""*"&amp;TEXT(F79,"YYYYMMDD")&amp;"*"" &amp; """&amp;walkandungz&amp;""" "&amp;search_path&amp;"\RTDC"&amp;B79&amp;"\"&amp;TEXT(F79,"YYYY-MM-DD")
&amp;" &amp; "&amp;"aws s3 cp "&amp;s3_bucket&amp;"/RTDC"&amp;B79&amp;"/ "&amp;search_path&amp;"\RTDC"&amp;B79&amp;"\"&amp;TEXT(F79+1,"YYYY-MM-DD")&amp;" --exclude ""*"" --recursive --include ""*"&amp;TEXT(F79+1,"YYYYMMDD")&amp;"*"" &amp; """&amp;walkandungz&amp;""" "&amp;search_path&amp;"\RTDC"&amp;B79&amp;"\"&amp;TEXT(F79+1,"YYYY-MM-DD")</f>
        <v>aws s3 cp s3://rtdc.mdm.uploadarchive.raw/RTDC4044/ "%USERPROFILE%\AppData\Local\Temp\OnboardLogs"\RTDC4044\2018-01-06 --exclude "*" --recursive --include "*20180106*" &amp; "%USERPROFILE%\Documents\GitHub\mrs-test-scripts\Headless Mode &amp; Sideloading\WalkAndUnGZ.bat" "%USERPROFILE%\AppData\Local\Temp\OnboardLogs"\RTDC4044\2018-01-06 &amp; aws s3 cp s3://rtdc.mdm.uploadarchive.raw/RTDC4044/ "%USERPROFILE%\AppData\Local\Temp\OnboardLogs"\RTDC4044\2018-01-07 --exclude "*" --recursive --include "*20180107*" &amp; "%USERPROFILE%\Documents\GitHub\mrs-test-scripts\Headless Mode &amp; Sideloading\WalkAndUnGZ.bat" "%USERPROFILE%\AppData\Local\Temp\OnboardLogs"\RTDC4044\2018-01-07</v>
      </c>
      <c r="AF79" s="234" t="str">
        <f>astrogrep_path&amp;" /e /r /s /spath="&amp;search_path&amp;" /stypes=""app*"&amp;B79&amp;"*"&amp;TEXT(I79-utc_offset/24,"YYYYMMDD")&amp;"*"" /stext="" "&amp;TEXT(I79-utc_offset/24,"HH")&amp;search_regexp&amp;""""</f>
        <v>"C:\Program Files (x86)\AstroGrep\AstroGrep.exe" /e /r /s /spath="%USERPROFILE%\AppData\Local\Temp\OnboardLogs" /stypes="app*4044*20180106*" /stext=" 19:.+((SYSTEM_STATE.+slice.+state.+changed )|(ment ac)|(multiple cpu faults)|(system.+state.+changed )|(\[timeout)|(PRM\|1\|D)|(kpr)|(kdp)|(train st.+moving)|(\|lc)|(penalty))"</v>
      </c>
      <c r="AG79" s="244" t="str">
        <f>DetSubdiv(A79)</f>
        <v>EC</v>
      </c>
      <c r="AH79" s="236" t="str">
        <f t="shared" si="10"/>
        <v>"%USERPROFILE%\Documents\GitHub\eaglep3\Utilities\RefineRTDCRunTimes.py" --tripid 165-06 --locoid 4044 --swversion DE.1.0.9.0 --startMP 204:437 --initTime 2018-01-06T11:34:59 --startdatetime 2018-01-06T11:45:15 --delay 82 --endMP 204:233307 --enddatetime 2018-01-06T12:20:33 --enforcementcount 0 &gt;&gt;%USERPROFILE%\Documents\GitHub\eaglep3-reporting\EC\2018-01-06-refined-times.txt</v>
      </c>
      <c r="AI79" s="238" t="str">
        <f t="shared" si="11"/>
        <v>echo {"issue":{"subject":"","project_id":79,"tracker_id":40,"status_id":1,"priority_id":2,"assigned_to_id":338,"start_date":"2018-01-06","description":"","custom_fields":[{"id":1,"name":"Subdivision","value":"EC"},{"id":4,"name":"Milepost","value":"23.3307"},{"id":17,"name":"Train ID","value":"165-06"},{"id":16,"name":"Locomotive ID","value":"4044"},{"id":130,"name":"Impact","value":""},{"id":150,"name":"Time of Event (Mountain Time)","value":"12:20:33"},{"id":151,"name":"Denver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9" s="223"/>
      <c r="AK79" s="231"/>
      <c r="AL79" s="231"/>
      <c r="AM79" s="240" t="str">
        <f t="shared" si="12"/>
        <v>start /low /b %USERPROFILE%\Documents\GitHub\eaglep3\Utilities\DownloadLogsFromS3.py --loco 4044 --day 2018-01-06</v>
      </c>
      <c r="AN79" s="241" t="str">
        <f t="shared" si="13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19:20:33"},{"id":29,"name":"Sharepoint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 s="230" t="str">
        <f t="shared" si="14"/>
        <v>https://d0f6bd738d7f1b3e5a7ca70fe4ff75f0.us-east-1.aws.found.io/app/kibana#/discover/Steve-Slow-Train-Analysis-(2080s-and-2083s)?_g=(refreshInterval:(display:Off,pause:!f,section:0,value:0),time:(from:'2018-01-06T10:34:59-0700',mode:absolute,to:'2018-01-06T13:20:33-0700'))&amp;_a=(columns:!('Message%20ID',Summary),filters:!(),index:'emp_*',interval:auto,query:(query_string:(analyze_wildcard:!t,query:'%22rtdc.l.rtdc.4044%22')),sort:!(Time.ISO8601,asc))</v>
      </c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3">
      <c r="A80" s="229" t="s">
        <v>790</v>
      </c>
      <c r="B80" s="225">
        <v>4043</v>
      </c>
      <c r="C80" s="227" t="s">
        <v>192</v>
      </c>
      <c r="D80" s="227" t="s">
        <v>937</v>
      </c>
      <c r="E80" s="226">
        <v>43106.518877314818</v>
      </c>
      <c r="F80" s="226">
        <v>43106.529328703706</v>
      </c>
      <c r="G80" s="225">
        <v>68</v>
      </c>
      <c r="H80" s="227" t="s">
        <v>562</v>
      </c>
      <c r="I80" s="226">
        <v>43106.555381944447</v>
      </c>
      <c r="J80" s="225">
        <v>0</v>
      </c>
      <c r="K80" s="237" t="str">
        <f>IF(ISEVEN(B80),(B80-1)&amp;"/"&amp;B80,B80&amp;"/"&amp;(B80+1))</f>
        <v>4043/4044</v>
      </c>
      <c r="L80" s="245" t="str">
        <f>VLOOKUP(A80,'Trips&amp;Operators'!$C$1:$G$99911,5,FALSE)</f>
        <v>GUZMAN DANNY</v>
      </c>
      <c r="M80" s="224">
        <f>I80-F80</f>
        <v>2.6053240741021E-2</v>
      </c>
      <c r="N80" s="225">
        <f>24*60*SUM($M80:$M80)</f>
        <v>37.51666666707024</v>
      </c>
      <c r="O80" s="225"/>
      <c r="P80" s="225"/>
      <c r="Q80" s="228"/>
      <c r="R80" s="242"/>
      <c r="S80" s="249">
        <f>1/IF(AG80="EC",12,1)*SUM(U80:U80)</f>
        <v>1</v>
      </c>
      <c r="T80" s="242" t="str">
        <f>IF(ISEVEN(LEFT(AD80,4)),"Southbound","NorthBound")</f>
        <v>Southbound</v>
      </c>
      <c r="U80" s="246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248" t="str">
        <f>"https://d0f6bd738d7f1b3e5a7ca70fe4ff75f0.us-east-1.aws.found.io/app/kibana#/discover/Steve-Slow-Train-Analysis-(2080s-and-2083s)?_g="&amp;"(refreshInterval:(display:Off,pause:!f,section:0,value:0),time:(from:'"&amp;TEXT(E80-1/24,"yyyy-MM-DDThh:mm:ss")&amp;utc_offset&amp;"00"&amp;"',mode:absolute,to:'"&amp;TEXT(I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80&amp;"%22')),sort:!(Time.ISO8601,asc))"</f>
        <v>https://d0f6bd738d7f1b3e5a7ca70fe4ff75f0.us-east-1.aws.found.io/app/kibana#/discover/Steve-Slow-Train-Analysis-(2080s-and-2083s)?_g=(refreshInterval:(display:Off,pause:!f,section:0,value:0),time:(from:'2018-01-06T11:27:11-0700',mode:absolute,to:'2018-01-06T14:19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80" s="247" t="str">
        <f>IF(AA80&lt;VLOOKUP(AG80,Variables!$AC$3:$AD$8,2,FALSE),"Y","N")</f>
        <v>N</v>
      </c>
      <c r="X80" s="247">
        <f>VALUE(LEFT(AD80,4))-VALUE(LEFT(AD79,4))</f>
        <v>1</v>
      </c>
      <c r="Y80" s="247">
        <f>RIGHT(D80,LEN(D80)-4)/10000</f>
        <v>23.299199999999999</v>
      </c>
      <c r="Z80" s="247">
        <f>RIGHT(H80,LEN(H80)-4)/10000</f>
        <v>1.89E-2</v>
      </c>
      <c r="AA80" s="247">
        <f>ABS(Z80-Y80)</f>
        <v>23.2803</v>
      </c>
      <c r="AB80" s="233" t="e">
        <f>VLOOKUP(A80,Enforcements!$C$7:$K$9,8,0)</f>
        <v>#N/A</v>
      </c>
      <c r="AC80" s="232" t="e">
        <f>VLOOKUP(A80,Enforcements!$C$7:$E$9,3,0)</f>
        <v>#N/A</v>
      </c>
      <c r="AD80" s="243">
        <f>VALUE(LEFT(A80,LEN(A80)-3))</f>
        <v>166</v>
      </c>
      <c r="AE80" s="235" t="str">
        <f>"aws s3 cp "&amp;s3_bucket&amp;"/RTDC"&amp;B80&amp;"/ "&amp;search_path&amp;"\RTDC"&amp;B80&amp;"\"&amp;TEXT(F80,"YYYY-MM-DD")&amp;" --exclude ""*"" --recursive --include ""*"&amp;TEXT(F80,"YYYYMMDD")&amp;"*"" &amp; """&amp;walkandungz&amp;""" "&amp;search_path&amp;"\RTDC"&amp;B80&amp;"\"&amp;TEXT(F80,"YYYY-MM-DD")
&amp;" &amp; "&amp;"aws s3 cp "&amp;s3_bucket&amp;"/RTDC"&amp;B80&amp;"/ "&amp;search_path&amp;"\RTDC"&amp;B80&amp;"\"&amp;TEXT(F80+1,"YYYY-MM-DD")&amp;" --exclude ""*"" --recursive --include ""*"&amp;TEXT(F80+1,"YYYYMMDD")&amp;"*"" &amp; """&amp;walkandungz&amp;""" "&amp;search_path&amp;"\RTDC"&amp;B80&amp;"\"&amp;TEXT(F80+1,"YYYY-MM-DD")</f>
        <v>aws s3 cp s3://rtdc.mdm.uploadarchive.raw/RTDC4043/ "%USERPROFILE%\AppData\Local\Temp\OnboardLogs"\RTDC4043\2018-01-06 --exclude "*" --recursive --include "*20180106*" &amp; "%USERPROFILE%\Documents\GitHub\mrs-test-scripts\Headless Mode &amp; Sideloading\WalkAndUnGZ.bat" "%USERPROFILE%\AppData\Local\Temp\OnboardLogs"\RTDC4043\2018-01-06 &amp; aws s3 cp s3://rtdc.mdm.uploadarchive.raw/RTDC4043/ "%USERPROFILE%\AppData\Local\Temp\OnboardLogs"\RTDC4043\2018-01-07 --exclude "*" --recursive --include "*20180107*" &amp; "%USERPROFILE%\Documents\GitHub\mrs-test-scripts\Headless Mode &amp; Sideloading\WalkAndUnGZ.bat" "%USERPROFILE%\AppData\Local\Temp\OnboardLogs"\RTDC4043\2018-01-07</v>
      </c>
      <c r="AF80" s="234" t="str">
        <f>astrogrep_path&amp;" /e /r /s /spath="&amp;search_path&amp;" /stypes=""app*"&amp;B80&amp;"*"&amp;TEXT(I80-utc_offset/24,"YYYYMMDD")&amp;"*"" /stext="" "&amp;TEXT(I80-utc_offset/24,"HH")&amp;search_regexp&amp;""""</f>
        <v>"C:\Program Files (x86)\AstroGrep\AstroGrep.exe" /e /r /s /spath="%USERPROFILE%\AppData\Local\Temp\OnboardLogs" /stypes="app*4043*20180106*" /stext=" 20:.+((SYSTEM_STATE.+slice.+state.+changed )|(ment ac)|(multiple cpu faults)|(system.+state.+changed )|(\[timeout)|(PRM\|1\|D)|(kpr)|(kdp)|(train st.+moving)|(\|lc)|(penalty))"</v>
      </c>
      <c r="AG80" s="244" t="str">
        <f>DetSubdiv(A80)</f>
        <v>EC</v>
      </c>
      <c r="AH80" s="236" t="str">
        <f t="shared" si="10"/>
        <v>"%USERPROFILE%\Documents\GitHub\eaglep3\Utilities\RefineRTDCRunTimes.py" --tripid 166-06 --locoid 4043 --swversion DE.1.0.9.0 --startMP 204:232992 --initTime 2018-01-06T12:27:11 --startdatetime 2018-01-06T12:42:14 --delay 68 --endMP 204:189 --enddatetime 2018-01-06T13:19:45 --enforcementcount 0 &gt;&gt;%USERPROFILE%\Documents\GitHub\eaglep3-reporting\EC\2018-01-06-refined-times.txt</v>
      </c>
      <c r="AI80" s="238" t="str">
        <f t="shared" si="11"/>
        <v>echo {"issue":{"subject":"","project_id":79,"tracker_id":40,"status_id":1,"priority_id":2,"assigned_to_id":338,"start_date":"2018-01-06","description":"","custom_fields":[{"id":1,"name":"Subdivision","value":"EC"},{"id":4,"name":"Milepost","value":"0.0189"},{"id":17,"name":"Train ID","value":"166-06"},{"id":16,"name":"Locomotive ID","value":"4043"},{"id":130,"name":"Impact","value":""},{"id":150,"name":"Time of Event (Mountain Time)","value":"13:19:45"},{"id":151,"name":"Denver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0" s="223"/>
      <c r="AK80" s="231"/>
      <c r="AL80" s="231"/>
      <c r="AM80" s="240" t="str">
        <f t="shared" si="12"/>
        <v>start /low /b %USERPROFILE%\Documents\GitHub\eaglep3\Utilities\DownloadLogsFromS3.py --loco 4043 --day 2018-01-06</v>
      </c>
      <c r="AN80" s="241" t="str">
        <f t="shared" si="13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20:19:45"},{"id":29,"name":"Sharepoint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 s="230" t="str">
        <f t="shared" si="14"/>
        <v>https://d0f6bd738d7f1b3e5a7ca70fe4ff75f0.us-east-1.aws.found.io/app/kibana#/discover/Steve-Slow-Train-Analysis-(2080s-and-2083s)?_g=(refreshInterval:(display:Off,pause:!f,section:0,value:0),time:(from:'2018-01-06T11:27:11-0700',mode:absolute,to:'2018-01-06T14:19:45-0700'))&amp;_a=(columns:!('Message%20ID',Summary),filters:!(),index:'emp_*',interval:auto,query:(query_string:(analyze_wildcard:!t,query:'%22rtdc.l.rtdc.4043%22')),sort:!(Time.ISO8601,asc))</v>
      </c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3">
      <c r="A81" s="229" t="s">
        <v>782</v>
      </c>
      <c r="B81" s="225">
        <v>4034</v>
      </c>
      <c r="C81" s="227" t="s">
        <v>192</v>
      </c>
      <c r="D81" s="227" t="s">
        <v>501</v>
      </c>
      <c r="E81" s="226">
        <v>43106.497627314813</v>
      </c>
      <c r="F81" s="226">
        <v>43106.500185185185</v>
      </c>
      <c r="G81" s="225">
        <v>102</v>
      </c>
      <c r="H81" s="227" t="s">
        <v>938</v>
      </c>
      <c r="I81" s="226">
        <v>43106.525810185187</v>
      </c>
      <c r="J81" s="225">
        <v>0</v>
      </c>
      <c r="K81" s="237" t="str">
        <f>IF(ISEVEN(B81),(B81-1)&amp;"/"&amp;B81,B81&amp;"/"&amp;(B81+1))</f>
        <v>4033/4034</v>
      </c>
      <c r="L81" s="245" t="str">
        <f>VLOOKUP(A81,'Trips&amp;Operators'!$C$1:$G$99911,5,FALSE)</f>
        <v>BADERTSCHER DIANE</v>
      </c>
      <c r="M81" s="224">
        <f>I81-F81</f>
        <v>2.5625000002037268E-2</v>
      </c>
      <c r="N81" s="225">
        <f>24*60*SUM($M81:$M81)</f>
        <v>36.900000002933666</v>
      </c>
      <c r="O81" s="225"/>
      <c r="P81" s="225"/>
      <c r="Q81" s="228"/>
      <c r="R81" s="242"/>
      <c r="S81" s="249">
        <f>1/IF(AG81="EC",12,1)*SUM(U81:U81)</f>
        <v>1</v>
      </c>
      <c r="T81" s="242" t="str">
        <f>IF(ISEVEN(LEFT(AD81,4)),"Southbound","NorthBound")</f>
        <v>NorthBound</v>
      </c>
      <c r="U81" s="246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248" t="str">
        <f>"https://d0f6bd738d7f1b3e5a7ca70fe4ff75f0.us-east-1.aws.found.io/app/kibana#/discover/Steve-Slow-Train-Analysis-(2080s-and-2083s)?_g="&amp;"(refreshInterval:(display:Off,pause:!f,section:0,value:0),time:(from:'"&amp;TEXT(E81-1/24,"yyyy-MM-DDThh:mm:ss")&amp;utc_offset&amp;"00"&amp;"',mode:absolute,to:'"&amp;TEXT(I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81&amp;"%22')),sort:!(Time.ISO8601,asc))"</f>
        <v>https://d0f6bd738d7f1b3e5a7ca70fe4ff75f0.us-east-1.aws.found.io/app/kibana#/discover/Steve-Slow-Train-Analysis-(2080s-and-2083s)?_g=(refreshInterval:(display:Off,pause:!f,section:0,value:0),time:(from:'2018-01-06T10:56:35-0700',mode:absolute,to:'2018-01-06T13:37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81" s="247" t="str">
        <f>IF(AA81&lt;VLOOKUP(AG81,Variables!$AC$3:$AD$8,2,FALSE),"Y","N")</f>
        <v>N</v>
      </c>
      <c r="X81" s="247">
        <f>VALUE(LEFT(AD81,4))-VALUE(LEFT(AD80,4))</f>
        <v>1</v>
      </c>
      <c r="Y81" s="247">
        <f>RIGHT(D81,LEN(D81)-4)/10000</f>
        <v>0.05</v>
      </c>
      <c r="Z81" s="247">
        <f>RIGHT(H81,LEN(H81)-4)/10000</f>
        <v>23.325500000000002</v>
      </c>
      <c r="AA81" s="247">
        <f>ABS(Z81-Y81)</f>
        <v>23.275500000000001</v>
      </c>
      <c r="AB81" s="233" t="e">
        <f>VLOOKUP(A81,Enforcements!$C$7:$K$9,8,0)</f>
        <v>#N/A</v>
      </c>
      <c r="AC81" s="232" t="e">
        <f>VLOOKUP(A81,Enforcements!$C$7:$E$9,3,0)</f>
        <v>#N/A</v>
      </c>
      <c r="AD81" s="243">
        <f>VALUE(LEFT(A81,LEN(A81)-3))</f>
        <v>167</v>
      </c>
      <c r="AE81" s="235" t="str">
        <f>"aws s3 cp "&amp;s3_bucket&amp;"/RTDC"&amp;B81&amp;"/ "&amp;search_path&amp;"\RTDC"&amp;B81&amp;"\"&amp;TEXT(F81,"YYYY-MM-DD")&amp;" --exclude ""*"" --recursive --include ""*"&amp;TEXT(F81,"YYYYMMDD")&amp;"*"" &amp; """&amp;walkandungz&amp;""" "&amp;search_path&amp;"\RTDC"&amp;B81&amp;"\"&amp;TEXT(F81,"YYYY-MM-DD")
&amp;" &amp; "&amp;"aws s3 cp "&amp;s3_bucket&amp;"/RTDC"&amp;B81&amp;"/ "&amp;search_path&amp;"\RTDC"&amp;B81&amp;"\"&amp;TEXT(F81+1,"YYYY-MM-DD")&amp;" --exclude ""*"" --recursive --include ""*"&amp;TEXT(F81+1,"YYYYMMDD")&amp;"*"" &amp; """&amp;walkandungz&amp;""" "&amp;search_path&amp;"\RTDC"&amp;B81&amp;"\"&amp;TEXT(F81+1,"YYYY-MM-DD")</f>
        <v>aws s3 cp s3://rtdc.mdm.uploadarchive.raw/RTDC4034/ "%USERPROFILE%\AppData\Local\Temp\OnboardLogs"\RTDC4034\2018-01-06 --exclude "*" --recursive --include "*20180106*" &amp; "%USERPROFILE%\Documents\GitHub\mrs-test-scripts\Headless Mode &amp; Sideloading\WalkAndUnGZ.bat" "%USERPROFILE%\AppData\Local\Temp\OnboardLogs"\RTDC4034\2018-01-06 &amp; aws s3 cp s3://rtdc.mdm.uploadarchive.raw/RTDC4034/ "%USERPROFILE%\AppData\Local\Temp\OnboardLogs"\RTDC4034\2018-01-07 --exclude "*" --recursive --include "*20180107*" &amp; "%USERPROFILE%\Documents\GitHub\mrs-test-scripts\Headless Mode &amp; Sideloading\WalkAndUnGZ.bat" "%USERPROFILE%\AppData\Local\Temp\OnboardLogs"\RTDC4034\2018-01-07</v>
      </c>
      <c r="AF81" s="234" t="str">
        <f>astrogrep_path&amp;" /e /r /s /spath="&amp;search_path&amp;" /stypes=""app*"&amp;B81&amp;"*"&amp;TEXT(I81-utc_offset/24,"YYYYMMDD")&amp;"*"" /stext="" "&amp;TEXT(I81-utc_offset/24,"HH")&amp;search_regexp&amp;""""</f>
        <v>"C:\Program Files (x86)\AstroGrep\AstroGrep.exe" /e /r /s /spath="%USERPROFILE%\AppData\Local\Temp\OnboardLogs" /stypes="app*4034*20180106*" /stext=" 19:.+((SYSTEM_STATE.+slice.+state.+changed )|(ment ac)|(multiple cpu faults)|(system.+state.+changed )|(\[timeout)|(PRM\|1\|D)|(kpr)|(kdp)|(train st.+moving)|(\|lc)|(penalty))"</v>
      </c>
      <c r="AG81" s="244" t="str">
        <f>DetSubdiv(A81)</f>
        <v>EC</v>
      </c>
      <c r="AH81" s="236" t="str">
        <f t="shared" si="10"/>
        <v>"%USERPROFILE%\Documents\GitHub\eaglep3\Utilities\RefineRTDCRunTimes.py" --tripid 167-06 --locoid 4034 --swversion DE.1.0.9.0 --startMP 204:500 --initTime 2018-01-06T11:56:35 --startdatetime 2018-01-06T12:00:16 --delay 102 --endMP 204:233255 --enddatetime 2018-01-06T12:37:10 --enforcementcount 0 &gt;&gt;%USERPROFILE%\Documents\GitHub\eaglep3-reporting\EC\2018-01-06-refined-times.txt</v>
      </c>
      <c r="AI81" s="238" t="str">
        <f t="shared" si="11"/>
        <v>echo {"issue":{"subject":"","project_id":79,"tracker_id":40,"status_id":1,"priority_id":2,"assigned_to_id":338,"start_date":"2018-01-06","description":"","custom_fields":[{"id":1,"name":"Subdivision","value":"EC"},{"id":4,"name":"Milepost","value":"23.3255"},{"id":17,"name":"Train ID","value":"167-06"},{"id":16,"name":"Locomotive ID","value":"4034"},{"id":130,"name":"Impact","value":""},{"id":150,"name":"Time of Event (Mountain Time)","value":"12:37:10"},{"id":151,"name":"Denver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1" s="223"/>
      <c r="AK81" s="231"/>
      <c r="AL81" s="231"/>
      <c r="AM81" s="240" t="str">
        <f t="shared" si="12"/>
        <v>start /low /b %USERPROFILE%\Documents\GitHub\eaglep3\Utilities\DownloadLogsFromS3.py --loco 4034 --day 2018-01-06</v>
      </c>
      <c r="AN81" s="241" t="str">
        <f t="shared" si="13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19:37:10"},{"id":29,"name":"Sharepoint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 s="230" t="str">
        <f t="shared" si="14"/>
        <v>https://d0f6bd738d7f1b3e5a7ca70fe4ff75f0.us-east-1.aws.found.io/app/kibana#/discover/Steve-Slow-Train-Analysis-(2080s-and-2083s)?_g=(refreshInterval:(display:Off,pause:!f,section:0,value:0),time:(from:'2018-01-06T10:56:35-0700',mode:absolute,to:'2018-01-06T13:37:10-0700'))&amp;_a=(columns:!('Message%20ID',Summary),filters:!(),index:'emp_*',interval:auto,query:(query_string:(analyze_wildcard:!t,query:'%22rtdc.l.rtdc.4034%22')),sort:!(Time.ISO8601,asc))</v>
      </c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3">
      <c r="A82" s="229" t="s">
        <v>792</v>
      </c>
      <c r="B82" s="225">
        <v>4033</v>
      </c>
      <c r="C82" s="227" t="s">
        <v>192</v>
      </c>
      <c r="D82" s="227" t="s">
        <v>533</v>
      </c>
      <c r="E82" s="226">
        <v>43106.533391203702</v>
      </c>
      <c r="F82" s="226">
        <v>43106.539803240739</v>
      </c>
      <c r="G82" s="225">
        <v>72</v>
      </c>
      <c r="H82" s="227" t="s">
        <v>513</v>
      </c>
      <c r="I82" s="226">
        <v>43106.566886574074</v>
      </c>
      <c r="J82" s="225">
        <v>0</v>
      </c>
      <c r="K82" s="237" t="str">
        <f>IF(ISEVEN(B82),(B82-1)&amp;"/"&amp;B82,B82&amp;"/"&amp;(B82+1))</f>
        <v>4033/4034</v>
      </c>
      <c r="L82" s="245" t="str">
        <f>VLOOKUP(A82,'Trips&amp;Operators'!$C$1:$G$99911,5,FALSE)</f>
        <v>BADERTSCHER DIANE</v>
      </c>
      <c r="M82" s="224">
        <f>I82-F82</f>
        <v>2.7083333334303461E-2</v>
      </c>
      <c r="N82" s="225">
        <f>24*60*SUM($M82:$M82)</f>
        <v>39.000000001396984</v>
      </c>
      <c r="O82" s="225"/>
      <c r="P82" s="225"/>
      <c r="Q82" s="228"/>
      <c r="R82" s="242"/>
      <c r="S82" s="249">
        <f>1/IF(AG82="EC",12,1)*SUM(U82:U82)</f>
        <v>1</v>
      </c>
      <c r="T82" s="242" t="str">
        <f>IF(ISEVEN(LEFT(AD82,4)),"Southbound","NorthBound")</f>
        <v>Southbound</v>
      </c>
      <c r="U82" s="246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248" t="str">
        <f>"https://d0f6bd738d7f1b3e5a7ca70fe4ff75f0.us-east-1.aws.found.io/app/kibana#/discover/Steve-Slow-Train-Analysis-(2080s-and-2083s)?_g="&amp;"(refreshInterval:(display:Off,pause:!f,section:0,value:0),time:(from:'"&amp;TEXT(E82-1/24,"yyyy-MM-DDThh:mm:ss")&amp;utc_offset&amp;"00"&amp;"',mode:absolute,to:'"&amp;TEXT(I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82&amp;"%22')),sort:!(Time.ISO8601,asc))"</f>
        <v>https://d0f6bd738d7f1b3e5a7ca70fe4ff75f0.us-east-1.aws.found.io/app/kibana#/discover/Steve-Slow-Train-Analysis-(2080s-and-2083s)?_g=(refreshInterval:(display:Off,pause:!f,section:0,value:0),time:(from:'2018-01-06T11:48:05-0700',mode:absolute,to:'2018-01-06T14:36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82" s="247" t="str">
        <f>IF(AA82&lt;VLOOKUP(AG82,Variables!$AC$3:$AD$8,2,FALSE),"Y","N")</f>
        <v>N</v>
      </c>
      <c r="X82" s="247">
        <f>VALUE(LEFT(AD82,4))-VALUE(LEFT(AD81,4))</f>
        <v>1</v>
      </c>
      <c r="Y82" s="247">
        <f>RIGHT(D82,LEN(D82)-4)/10000</f>
        <v>23.2942</v>
      </c>
      <c r="Z82" s="247">
        <f>RIGHT(H82,LEN(H82)-4)/10000</f>
        <v>2.1100000000000001E-2</v>
      </c>
      <c r="AA82" s="247">
        <f>ABS(Z82-Y82)</f>
        <v>23.273099999999999</v>
      </c>
      <c r="AB82" s="233" t="e">
        <f>VLOOKUP(A82,Enforcements!$C$7:$K$9,8,0)</f>
        <v>#N/A</v>
      </c>
      <c r="AC82" s="232" t="e">
        <f>VLOOKUP(A82,Enforcements!$C$7:$E$9,3,0)</f>
        <v>#N/A</v>
      </c>
      <c r="AD82" s="243">
        <f>VALUE(LEFT(A82,LEN(A82)-3))</f>
        <v>168</v>
      </c>
      <c r="AE82" s="235" t="str">
        <f>"aws s3 cp "&amp;s3_bucket&amp;"/RTDC"&amp;B82&amp;"/ "&amp;search_path&amp;"\RTDC"&amp;B82&amp;"\"&amp;TEXT(F82,"YYYY-MM-DD")&amp;" --exclude ""*"" --recursive --include ""*"&amp;TEXT(F82,"YYYYMMDD")&amp;"*"" &amp; """&amp;walkandungz&amp;""" "&amp;search_path&amp;"\RTDC"&amp;B82&amp;"\"&amp;TEXT(F82,"YYYY-MM-DD")
&amp;" &amp; "&amp;"aws s3 cp "&amp;s3_bucket&amp;"/RTDC"&amp;B82&amp;"/ "&amp;search_path&amp;"\RTDC"&amp;B82&amp;"\"&amp;TEXT(F82+1,"YYYY-MM-DD")&amp;" --exclude ""*"" --recursive --include ""*"&amp;TEXT(F82+1,"YYYYMMDD")&amp;"*"" &amp; """&amp;walkandungz&amp;""" "&amp;search_path&amp;"\RTDC"&amp;B82&amp;"\"&amp;TEXT(F82+1,"YYYY-MM-DD")</f>
        <v>aws s3 cp s3://rtdc.mdm.uploadarchive.raw/RTDC4033/ "%USERPROFILE%\AppData\Local\Temp\OnboardLogs"\RTDC4033\2018-01-06 --exclude "*" --recursive --include "*20180106*" &amp; "%USERPROFILE%\Documents\GitHub\mrs-test-scripts\Headless Mode &amp; Sideloading\WalkAndUnGZ.bat" "%USERPROFILE%\AppData\Local\Temp\OnboardLogs"\RTDC4033\2018-01-06 &amp; aws s3 cp s3://rtdc.mdm.uploadarchive.raw/RTDC4033/ "%USERPROFILE%\AppData\Local\Temp\OnboardLogs"\RTDC4033\2018-01-07 --exclude "*" --recursive --include "*20180107*" &amp; "%USERPROFILE%\Documents\GitHub\mrs-test-scripts\Headless Mode &amp; Sideloading\WalkAndUnGZ.bat" "%USERPROFILE%\AppData\Local\Temp\OnboardLogs"\RTDC4033\2018-01-07</v>
      </c>
      <c r="AF82" s="234" t="str">
        <f>astrogrep_path&amp;" /e /r /s /spath="&amp;search_path&amp;" /stypes=""app*"&amp;B82&amp;"*"&amp;TEXT(I82-utc_offset/24,"YYYYMMDD")&amp;"*"" /stext="" "&amp;TEXT(I82-utc_offset/24,"HH")&amp;search_regexp&amp;""""</f>
        <v>"C:\Program Files (x86)\AstroGrep\AstroGrep.exe" /e /r /s /spath="%USERPROFILE%\AppData\Local\Temp\OnboardLogs" /stypes="app*4033*20180106*" /stext=" 20:.+((SYSTEM_STATE.+slice.+state.+changed )|(ment ac)|(multiple cpu faults)|(system.+state.+changed )|(\[timeout)|(PRM\|1\|D)|(kpr)|(kdp)|(train st.+moving)|(\|lc)|(penalty))"</v>
      </c>
      <c r="AG82" s="244" t="str">
        <f>DetSubdiv(A82)</f>
        <v>EC</v>
      </c>
      <c r="AH82" s="236" t="str">
        <f t="shared" si="10"/>
        <v>"%USERPROFILE%\Documents\GitHub\eaglep3\Utilities\RefineRTDCRunTimes.py" --tripid 168-06 --locoid 4033 --swversion DE.1.0.9.0 --startMP 204:232942 --initTime 2018-01-06T12:48:05 --startdatetime 2018-01-06T12:57:19 --delay 72 --endMP 204:211 --enddatetime 2018-01-06T13:36:19 --enforcementcount 0 &gt;&gt;%USERPROFILE%\Documents\GitHub\eaglep3-reporting\EC\2018-01-06-refined-times.txt</v>
      </c>
      <c r="AI82" s="238" t="str">
        <f t="shared" si="11"/>
        <v>echo {"issue":{"subject":"","project_id":79,"tracker_id":40,"status_id":1,"priority_id":2,"assigned_to_id":338,"start_date":"2018-01-06","description":"","custom_fields":[{"id":1,"name":"Subdivision","value":"EC"},{"id":4,"name":"Milepost","value":"0.0211"},{"id":17,"name":"Train ID","value":"168-06"},{"id":16,"name":"Locomotive ID","value":"4033"},{"id":130,"name":"Impact","value":""},{"id":150,"name":"Time of Event (Mountain Time)","value":"13:36:19"},{"id":151,"name":"Denver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2" s="223"/>
      <c r="AK82" s="231"/>
      <c r="AL82" s="231"/>
      <c r="AM82" s="240" t="str">
        <f t="shared" si="12"/>
        <v>start /low /b %USERPROFILE%\Documents\GitHub\eaglep3\Utilities\DownloadLogsFromS3.py --loco 4033 --day 2018-01-06</v>
      </c>
      <c r="AN82" s="241" t="str">
        <f t="shared" si="13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20:36:19"},{"id":29,"name":"Sharepoint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 s="230" t="str">
        <f t="shared" si="14"/>
        <v>https://d0f6bd738d7f1b3e5a7ca70fe4ff75f0.us-east-1.aws.found.io/app/kibana#/discover/Steve-Slow-Train-Analysis-(2080s-and-2083s)?_g=(refreshInterval:(display:Off,pause:!f,section:0,value:0),time:(from:'2018-01-06T11:48:05-0700',mode:absolute,to:'2018-01-06T14:36:19-0700'))&amp;_a=(columns:!('Message%20ID',Summary),filters:!(),index:'emp_*',interval:auto,query:(query_string:(analyze_wildcard:!t,query:'%22rtdc.l.rtdc.4033%22')),sort:!(Time.ISO8601,asc))</v>
      </c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3">
      <c r="A83" s="229" t="s">
        <v>786</v>
      </c>
      <c r="B83" s="225">
        <v>4054</v>
      </c>
      <c r="C83" s="227" t="s">
        <v>192</v>
      </c>
      <c r="D83" s="227" t="s">
        <v>656</v>
      </c>
      <c r="E83" s="226">
        <v>43106.508657407408</v>
      </c>
      <c r="F83" s="226">
        <v>43106.510613425926</v>
      </c>
      <c r="G83" s="225">
        <v>78</v>
      </c>
      <c r="H83" s="227" t="s">
        <v>522</v>
      </c>
      <c r="I83" s="226">
        <v>43106.534675925926</v>
      </c>
      <c r="J83" s="225">
        <v>0</v>
      </c>
      <c r="K83" s="237" t="str">
        <f>IF(ISEVEN(B83),(B83-1)&amp;"/"&amp;B83,B83&amp;"/"&amp;(B83+1))</f>
        <v>4053/4054</v>
      </c>
      <c r="L83" s="245" t="str">
        <f>VLOOKUP(A83,'Trips&amp;Operators'!$C$1:$G$99911,5,FALSE)</f>
        <v>GONZALEZ ARMANDO</v>
      </c>
      <c r="M83" s="224">
        <f>I83-F83</f>
        <v>2.4062500000582077E-2</v>
      </c>
      <c r="N83" s="225">
        <f>24*60*SUM($M83:$M83)</f>
        <v>34.65000000083819</v>
      </c>
      <c r="O83" s="225"/>
      <c r="P83" s="225"/>
      <c r="Q83" s="228"/>
      <c r="R83" s="242"/>
      <c r="S83" s="249">
        <f>1/IF(AG83="EC",12,1)*SUM(U83:U83)</f>
        <v>1</v>
      </c>
      <c r="T83" s="242" t="str">
        <f>IF(ISEVEN(LEFT(AD83,4)),"Southbound","NorthBound")</f>
        <v>NorthBound</v>
      </c>
      <c r="U83" s="246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248" t="str">
        <f>"https://d0f6bd738d7f1b3e5a7ca70fe4ff75f0.us-east-1.aws.found.io/app/kibana#/discover/Steve-Slow-Train-Analysis-(2080s-and-2083s)?_g="&amp;"(refreshInterval:(display:Off,pause:!f,section:0,value:0),time:(from:'"&amp;TEXT(E83-1/24,"yyyy-MM-DDThh:mm:ss")&amp;utc_offset&amp;"00"&amp;"',mode:absolute,to:'"&amp;TEXT(I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83&amp;"%22')),sort:!(Time.ISO8601,asc))"</f>
        <v>https://d0f6bd738d7f1b3e5a7ca70fe4ff75f0.us-east-1.aws.found.io/app/kibana#/discover/Steve-Slow-Train-Analysis-(2080s-and-2083s)?_g=(refreshInterval:(display:Off,pause:!f,section:0,value:0),time:(from:'2018-01-06T11:12:28-0700',mode:absolute,to:'2018-01-06T13:49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83" s="247" t="str">
        <f>IF(AA83&lt;VLOOKUP(AG83,Variables!$AC$3:$AD$8,2,FALSE),"Y","N")</f>
        <v>N</v>
      </c>
      <c r="X83" s="247">
        <f>VALUE(LEFT(AD83,4))-VALUE(LEFT(AD82,4))</f>
        <v>1</v>
      </c>
      <c r="Y83" s="247">
        <f>RIGHT(D83,LEN(D83)-4)/10000</f>
        <v>4.5999999999999999E-2</v>
      </c>
      <c r="Z83" s="247">
        <f>RIGHT(H83,LEN(H83)-4)/10000</f>
        <v>23.3291</v>
      </c>
      <c r="AA83" s="247">
        <f>ABS(Z83-Y83)</f>
        <v>23.283100000000001</v>
      </c>
      <c r="AB83" s="233" t="e">
        <f>VLOOKUP(A83,Enforcements!$C$7:$K$9,8,0)</f>
        <v>#N/A</v>
      </c>
      <c r="AC83" s="232" t="e">
        <f>VLOOKUP(A83,Enforcements!$C$7:$E$9,3,0)</f>
        <v>#N/A</v>
      </c>
      <c r="AD83" s="243">
        <f>VALUE(LEFT(A83,LEN(A83)-3))</f>
        <v>169</v>
      </c>
      <c r="AE83" s="235" t="str">
        <f>"aws s3 cp "&amp;s3_bucket&amp;"/RTDC"&amp;B83&amp;"/ "&amp;search_path&amp;"\RTDC"&amp;B83&amp;"\"&amp;TEXT(F83,"YYYY-MM-DD")&amp;" --exclude ""*"" --recursive --include ""*"&amp;TEXT(F83,"YYYYMMDD")&amp;"*"" &amp; """&amp;walkandungz&amp;""" "&amp;search_path&amp;"\RTDC"&amp;B83&amp;"\"&amp;TEXT(F83,"YYYY-MM-DD")
&amp;" &amp; "&amp;"aws s3 cp "&amp;s3_bucket&amp;"/RTDC"&amp;B83&amp;"/ "&amp;search_path&amp;"\RTDC"&amp;B83&amp;"\"&amp;TEXT(F83+1,"YYYY-MM-DD")&amp;" --exclude ""*"" --recursive --include ""*"&amp;TEXT(F83+1,"YYYYMMDD")&amp;"*"" &amp; """&amp;walkandungz&amp;""" "&amp;search_path&amp;"\RTDC"&amp;B83&amp;"\"&amp;TEXT(F83+1,"YYYY-MM-DD")</f>
        <v>aws s3 cp s3://rtdc.mdm.uploadarchive.raw/RTDC4054/ "%USERPROFILE%\AppData\Local\Temp\OnboardLogs"\RTDC4054\2018-01-06 --exclude "*" --recursive --include "*20180106*" &amp; "%USERPROFILE%\Documents\GitHub\mrs-test-scripts\Headless Mode &amp; Sideloading\WalkAndUnGZ.bat" "%USERPROFILE%\AppData\Local\Temp\OnboardLogs"\RTDC4054\2018-01-06 &amp; aws s3 cp s3://rtdc.mdm.uploadarchive.raw/RTDC4054/ "%USERPROFILE%\AppData\Local\Temp\OnboardLogs"\RTDC4054\2018-01-07 --exclude "*" --recursive --include "*20180107*" &amp; "%USERPROFILE%\Documents\GitHub\mrs-test-scripts\Headless Mode &amp; Sideloading\WalkAndUnGZ.bat" "%USERPROFILE%\AppData\Local\Temp\OnboardLogs"\RTDC4054\2018-01-07</v>
      </c>
      <c r="AF83" s="234" t="str">
        <f>astrogrep_path&amp;" /e /r /s /spath="&amp;search_path&amp;" /stypes=""app*"&amp;B83&amp;"*"&amp;TEXT(I83-utc_offset/24,"YYYYMMDD")&amp;"*"" /stext="" "&amp;TEXT(I83-utc_offset/24,"HH")&amp;search_regexp&amp;""""</f>
        <v>"C:\Program Files (x86)\AstroGrep\AstroGrep.exe" /e /r /s /spath="%USERPROFILE%\AppData\Local\Temp\OnboardLogs" /stypes="app*4054*20180106*" /stext=" 19:.+((SYSTEM_STATE.+slice.+state.+changed )|(ment ac)|(multiple cpu faults)|(system.+state.+changed )|(\[timeout)|(PRM\|1\|D)|(kpr)|(kdp)|(train st.+moving)|(\|lc)|(penalty))"</v>
      </c>
      <c r="AG83" s="244" t="str">
        <f>DetSubdiv(A83)</f>
        <v>EC</v>
      </c>
      <c r="AH83" s="236" t="str">
        <f t="shared" si="10"/>
        <v>"%USERPROFILE%\Documents\GitHub\eaglep3\Utilities\RefineRTDCRunTimes.py" --tripid 169-06 --locoid 4054 --swversion DE.1.0.9.0 --startMP 204:460 --initTime 2018-01-06T12:12:28 --startdatetime 2018-01-06T12:15:17 --delay 78 --endMP 204:233291 --enddatetime 2018-01-06T12:49:56 --enforcementcount 0 &gt;&gt;%USERPROFILE%\Documents\GitHub\eaglep3-reporting\EC\2018-01-06-refined-times.txt</v>
      </c>
      <c r="AI83" s="238" t="str">
        <f t="shared" si="11"/>
        <v>echo {"issue":{"subject":"","project_id":79,"tracker_id":40,"status_id":1,"priority_id":2,"assigned_to_id":338,"start_date":"2018-01-06","description":"","custom_fields":[{"id":1,"name":"Subdivision","value":"EC"},{"id":4,"name":"Milepost","value":"23.3291"},{"id":17,"name":"Train ID","value":"169-06"},{"id":16,"name":"Locomotive ID","value":"4054"},{"id":130,"name":"Impact","value":""},{"id":150,"name":"Time of Event (Mountain Time)","value":"12:49:56"},{"id":151,"name":"Denver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3" s="223"/>
      <c r="AK83" s="231"/>
      <c r="AL83" s="231"/>
      <c r="AM83" s="240" t="str">
        <f t="shared" si="12"/>
        <v>start /low /b %USERPROFILE%\Documents\GitHub\eaglep3\Utilities\DownloadLogsFromS3.py --loco 4054 --day 2018-01-06</v>
      </c>
      <c r="AN83" s="241" t="str">
        <f t="shared" si="13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19:49:56"},{"id":29,"name":"Sharepoint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 s="230" t="str">
        <f t="shared" si="14"/>
        <v>https://d0f6bd738d7f1b3e5a7ca70fe4ff75f0.us-east-1.aws.found.io/app/kibana#/discover/Steve-Slow-Train-Analysis-(2080s-and-2083s)?_g=(refreshInterval:(display:Off,pause:!f,section:0,value:0),time:(from:'2018-01-06T11:12:28-0700',mode:absolute,to:'2018-01-06T13:49:56-0700'))&amp;_a=(columns:!('Message%20ID',Summary),filters:!(),index:'emp_*',interval:auto,query:(query_string:(analyze_wildcard:!t,query:'%22rtdc.l.rtdc.4054%22')),sort:!(Time.ISO8601,asc))</v>
      </c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3">
      <c r="A84" s="229" t="s">
        <v>793</v>
      </c>
      <c r="B84" s="225">
        <v>4053</v>
      </c>
      <c r="C84" s="227" t="s">
        <v>192</v>
      </c>
      <c r="D84" s="227" t="s">
        <v>656</v>
      </c>
      <c r="E84" s="226">
        <v>43106.508657407408</v>
      </c>
      <c r="F84" s="226">
        <v>43106.550173611111</v>
      </c>
      <c r="G84" s="225">
        <v>78</v>
      </c>
      <c r="H84" s="227" t="s">
        <v>522</v>
      </c>
      <c r="I84" s="226">
        <v>43106.576296296298</v>
      </c>
      <c r="J84" s="225">
        <v>0</v>
      </c>
      <c r="K84" s="237" t="str">
        <f>IF(ISEVEN(B84),(B84-1)&amp;"/"&amp;B84,B84&amp;"/"&amp;(B84+1))</f>
        <v>4053/4054</v>
      </c>
      <c r="L84" s="245" t="str">
        <f>VLOOKUP(A84,'Trips&amp;Operators'!$C$1:$G$99911,5,FALSE)</f>
        <v>GONZALEZ ARMANDO</v>
      </c>
      <c r="M84" s="224">
        <f>I84-F84</f>
        <v>2.6122685187146999E-2</v>
      </c>
      <c r="N84" s="225">
        <f>24*60*SUM($M84:$M84)</f>
        <v>37.616666669491678</v>
      </c>
      <c r="O84" s="225"/>
      <c r="P84" s="225"/>
      <c r="Q84" s="228"/>
      <c r="R84" s="242"/>
      <c r="S84" s="249">
        <f>1/IF(AG84="EC",12,1)*SUM(U84:U84)</f>
        <v>1</v>
      </c>
      <c r="T84" s="242" t="str">
        <f>IF(ISEVEN(LEFT(AD84,4)),"Southbound","NorthBound")</f>
        <v>Southbound</v>
      </c>
      <c r="U84" s="246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248" t="str">
        <f>"https://d0f6bd738d7f1b3e5a7ca70fe4ff75f0.us-east-1.aws.found.io/app/kibana#/discover/Steve-Slow-Train-Analysis-(2080s-and-2083s)?_g="&amp;"(refreshInterval:(display:Off,pause:!f,section:0,value:0),time:(from:'"&amp;TEXT(E84-1/24,"yyyy-MM-DDThh:mm:ss")&amp;utc_offset&amp;"00"&amp;"',mode:absolute,to:'"&amp;TEXT(I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84&amp;"%22')),sort:!(Time.ISO8601,asc))"</f>
        <v>https://d0f6bd738d7f1b3e5a7ca70fe4ff75f0.us-east-1.aws.found.io/app/kibana#/discover/Steve-Slow-Train-Analysis-(2080s-and-2083s)?_g=(refreshInterval:(display:Off,pause:!f,section:0,value:0),time:(from:'2018-01-06T11:12:28-0700',mode:absolute,to:'2018-01-06T14:49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84" s="247" t="str">
        <f>IF(AA84&lt;VLOOKUP(AG84,Variables!$AC$3:$AD$8,2,FALSE),"Y","N")</f>
        <v>N</v>
      </c>
      <c r="X84" s="247">
        <f>VALUE(LEFT(AD84,4))-VALUE(LEFT(AD83,4))</f>
        <v>1</v>
      </c>
      <c r="Y84" s="247">
        <v>23.272500000000001</v>
      </c>
      <c r="Z84" s="247">
        <v>2.0299999999999999E-2</v>
      </c>
      <c r="AA84" s="247">
        <f>ABS(Z84-Y84)</f>
        <v>23.252200000000002</v>
      </c>
      <c r="AB84" s="233" t="e">
        <f>VLOOKUP(A84,Enforcements!$C$7:$K$9,8,0)</f>
        <v>#N/A</v>
      </c>
      <c r="AC84" s="232" t="e">
        <f>VLOOKUP(A84,Enforcements!$C$7:$E$9,3,0)</f>
        <v>#N/A</v>
      </c>
      <c r="AD84" s="243">
        <f>VALUE(LEFT(A84,LEN(A84)-3))</f>
        <v>170</v>
      </c>
      <c r="AE84" s="235" t="str">
        <f>"aws s3 cp "&amp;s3_bucket&amp;"/RTDC"&amp;B84&amp;"/ "&amp;search_path&amp;"\RTDC"&amp;B84&amp;"\"&amp;TEXT(F84,"YYYY-MM-DD")&amp;" --exclude ""*"" --recursive --include ""*"&amp;TEXT(F84,"YYYYMMDD")&amp;"*"" &amp; """&amp;walkandungz&amp;""" "&amp;search_path&amp;"\RTDC"&amp;B84&amp;"\"&amp;TEXT(F84,"YYYY-MM-DD")
&amp;" &amp; "&amp;"aws s3 cp "&amp;s3_bucket&amp;"/RTDC"&amp;B84&amp;"/ "&amp;search_path&amp;"\RTDC"&amp;B84&amp;"\"&amp;TEXT(F84+1,"YYYY-MM-DD")&amp;" --exclude ""*"" --recursive --include ""*"&amp;TEXT(F84+1,"YYYYMMDD")&amp;"*"" &amp; """&amp;walkandungz&amp;""" "&amp;search_path&amp;"\RTDC"&amp;B84&amp;"\"&amp;TEXT(F84+1,"YYYY-MM-DD")</f>
        <v>aws s3 cp s3://rtdc.mdm.uploadarchive.raw/RTDC4053/ "%USERPROFILE%\AppData\Local\Temp\OnboardLogs"\RTDC4053\2018-01-06 --exclude "*" --recursive --include "*20180106*" &amp; "%USERPROFILE%\Documents\GitHub\mrs-test-scripts\Headless Mode &amp; Sideloading\WalkAndUnGZ.bat" "%USERPROFILE%\AppData\Local\Temp\OnboardLogs"\RTDC4053\2018-01-06 &amp; aws s3 cp s3://rtdc.mdm.uploadarchive.raw/RTDC4053/ "%USERPROFILE%\AppData\Local\Temp\OnboardLogs"\RTDC4053\2018-01-07 --exclude "*" --recursive --include "*20180107*" &amp; "%USERPROFILE%\Documents\GitHub\mrs-test-scripts\Headless Mode &amp; Sideloading\WalkAndUnGZ.bat" "%USERPROFILE%\AppData\Local\Temp\OnboardLogs"\RTDC4053\2018-01-07</v>
      </c>
      <c r="AF84" s="234" t="str">
        <f>astrogrep_path&amp;" /e /r /s /spath="&amp;search_path&amp;" /stypes=""app*"&amp;B84&amp;"*"&amp;TEXT(I84-utc_offset/24,"YYYYMMDD")&amp;"*"" /stext="" "&amp;TEXT(I84-utc_offset/24,"HH")&amp;search_regexp&amp;""""</f>
        <v>"C:\Program Files (x86)\AstroGrep\AstroGrep.exe" /e /r /s /spath="%USERPROFILE%\AppData\Local\Temp\OnboardLogs" /stypes="app*4053*20180106*" /stext=" 20:.+((SYSTEM_STATE.+slice.+state.+changed )|(ment ac)|(multiple cpu faults)|(system.+state.+changed )|(\[timeout)|(PRM\|1\|D)|(kpr)|(kdp)|(train st.+moving)|(\|lc)|(penalty))"</v>
      </c>
      <c r="AG84" s="244" t="str">
        <f>DetSubdiv(A84)</f>
        <v>EC</v>
      </c>
      <c r="AH84" s="236" t="str">
        <f t="shared" ref="AH84" si="15">refinertdcruntimes&amp;" --tripid "&amp;A84&amp;" --locoid "&amp;B84&amp;" --swversion "&amp;C84&amp;" --startMP "&amp;D84&amp;" --initTime "&amp;TEXT(E84,"yyyy-mm-ddTHH:MM:SS")&amp;" --startdatetime "&amp;TEXT(F84,"yyyy-mm-ddTHH:MM:SS")&amp;" --delay "&amp;G84&amp;" --endMP "&amp;H84&amp;" --enddatetime "&amp;TEXT(I84,"yyyy-mm-ddTHH:MM:SS")&amp;" --enforcementcount "&amp;J84&amp;IF(outputrefinedruntimes," &gt;&gt;"&amp;RefinedRTDCRunTimesOutputFile,"")</f>
        <v>"%USERPROFILE%\Documents\GitHub\eaglep3\Utilities\RefineRTDCRunTimes.py" --tripid 170-06 --locoid 4053 --swversion DE.1.0.9.0 --startMP 204:460 --initTime 2018-01-06T12:12:28 --startdatetime 2018-01-06T13:12:15 --delay 78 --endMP 204:233291 --enddatetime 2018-01-06T13:49:52 --enforcementcount 0 &gt;&gt;%USERPROFILE%\Documents\GitHub\eaglep3-reporting\EC\2018-01-06-refined-times.txt</v>
      </c>
      <c r="AI84" s="238" t="str">
        <f t="shared" ref="AI84" si="16">"echo {""issue"":{""subject"":"""&amp;R84&amp;""",""project_id"":79,""tracker_id"":40,""status_id"":"&amp;redmine_status&amp;",""priority_id"":"&amp;redmine_priority&amp;",""assigned_to_id"":"&amp;redmine_assignee&amp;",""start_date"":"""&amp;TEXT(I84,"YYYY-mm-dd")&amp;""",""description"":"""&amp;AJ84&amp;""",""custom_fields"":[{""id"":1,""name"":""Subdivision"",""value"":"""&amp;AG84&amp;"""},{""id"":4,""name"":""Milepost"",""value"":"""&amp;Z84&amp;"""},{""id"":17,""name"":""Train ID"",""value"":"""&amp;A84&amp;"""},{""id"":16,""name"":""Locomotive ID"",""value"":"""&amp;B84&amp;"""},{""id"":130,""name"":""Impact"",""value"":"""&amp;AK84&amp;"""},{""id"":150,""name"":""Time of Event (Mountain Time)"",""value"":"""&amp;TEXT(I84,"hh:mm:ss")&amp;"""},{""id"":151,""name"":""Denver Issue ID"",""value"":"""&amp;"""},{""id"":178,""name"":""Operational Impact"",""value"":"""&amp;redmine_op_impact&amp;"""},{""id"":179,""name"":""Denver Segment Assigned"",""value"":"""&amp;AL84&amp;"""}]}}"&amp;"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{"issue":{"subject":"","project_id":79,"tracker_id":40,"status_id":1,"priority_id":2,"assigned_to_id":338,"start_date":"2018-01-06","description":"","custom_fields":[{"id":1,"name":"Subdivision","value":"EC"},{"id":4,"name":"Milepost","value":"0.0203"},{"id":17,"name":"Train ID","value":"170-06"},{"id":16,"name":"Locomotive ID","value":"4053"},{"id":130,"name":"Impact","value":""},{"id":150,"name":"Time of Event (Mountain Time)","value":"13:49:52"},{"id":151,"name":"Denver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4" s="223"/>
      <c r="AK84" s="231"/>
      <c r="AL84" s="231"/>
      <c r="AM84" s="240" t="str">
        <f t="shared" ref="AM84" si="17">"start /low /b "&amp;dls3logs&amp;" --loco "&amp;B84&amp;" --day "&amp;TEXT(F84,"YYYY-MM-DD")</f>
        <v>start /low /b %USERPROFILE%\Documents\GitHub\eaglep3\Utilities\DownloadLogsFromS3.py --loco 4053 --day 2018-01-06</v>
      </c>
      <c r="AN84" s="241" t="str">
        <f t="shared" ref="AN84" si="18">"echo {""issue"":{""subject"":"""&amp;R84&amp;""",""project_id"":30,""tracker_id"":4,""status_id"":"&amp;redmine_status_wcr&amp;",""priority_id"":"&amp;redmine_priority_wcr&amp;",""assigned_to_id"":"&amp;redmine_assignee_wcr&amp;",""start_date"":"""&amp;TEXT(I84-utc_offset/24,"YYYY-mm-dd")&amp;""",""description"":"""&amp;AJ84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ID"",""value"":"""&amp;B84&amp;"""},{""id"":20,""name"":""RR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UTC"",""value"":"""&amp;TEXT(I84-utc_offset/24,"YYYY-MM-DD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20:49:52"},{"id":29,"name":"Sharepoint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 s="230" t="str">
        <f t="shared" ref="AO84" si="19">"https://d0f6bd738d7f1b3e5a7ca70fe4ff75f0.us-east-1.aws.found.io/app/kibana#/discover/Steve-Slow-Train-Analysis-(2080s-and-2083s)?_g="&amp;"(refreshInterval:(display:Off,pause:!f,section:0,value:0),time:(from:'"&amp;TEXT(E84-1/24,"yyyy-MM-DDThh:mm:ss")&amp;utc_offset&amp;"00"&amp;"',mode:absolute,to:'"&amp;TEXT(I84+1/24,"yyyy-MM-DDThh:mm:ss")&amp;utc_offset&amp;"00"&amp;"'))&amp;_a=(columns:!('Message%20ID',Summary),filters:!(),index:'emp_*',interval:auto,query:"&amp;"(query_string:(analyze_wildcard:!t,query:'%22rtdc.l.rtdc."&amp;B84&amp;"%22')),sort:!(Time.ISO8601,asc))"</f>
        <v>https://d0f6bd738d7f1b3e5a7ca70fe4ff75f0.us-east-1.aws.found.io/app/kibana#/discover/Steve-Slow-Train-Analysis-(2080s-and-2083s)?_g=(refreshInterval:(display:Off,pause:!f,section:0,value:0),time:(from:'2018-01-06T11:12:28-0700',mode:absolute,to:'2018-01-06T14:49:52-0700'))&amp;_a=(columns:!('Message%20ID',Summary),filters:!(),index:'emp_*',interval:auto,query:(query_string:(analyze_wildcard:!t,query:'%22rtdc.l.rtdc.4053%22')),sort:!(Time.ISO8601,asc))</v>
      </c>
      <c r="AP84" s="223"/>
      <c r="AQ84" s="223"/>
      <c r="AR84" s="223"/>
      <c r="AS84" s="223"/>
      <c r="AT84" s="223"/>
      <c r="AU84" s="223"/>
      <c r="AV84" s="223"/>
      <c r="AW84" s="223"/>
      <c r="AX84" s="223"/>
      <c r="AY84" s="223"/>
      <c r="AZ84" s="223"/>
      <c r="BA84" s="223"/>
      <c r="BB84" s="223"/>
      <c r="BC84" s="223"/>
      <c r="BD84" s="223"/>
      <c r="BE84" s="223"/>
      <c r="BF84" s="223"/>
      <c r="BG84" s="223"/>
      <c r="BH84" s="223"/>
      <c r="BI84" s="223"/>
      <c r="BJ84" s="223"/>
      <c r="BK84" s="223"/>
      <c r="BL84" s="223"/>
      <c r="BM84" s="223"/>
      <c r="BN84" s="223"/>
      <c r="BO84" s="223"/>
      <c r="BP84" s="223"/>
      <c r="BQ84" s="223"/>
      <c r="BR84" s="223"/>
      <c r="BS84" s="223"/>
      <c r="BT84" s="223"/>
      <c r="BU84" s="223"/>
      <c r="BV84" s="223"/>
      <c r="BW84" s="223"/>
      <c r="BX84" s="223"/>
      <c r="BY84" s="223"/>
      <c r="BZ84" s="223"/>
      <c r="CA84" s="223"/>
      <c r="CB84" s="223"/>
      <c r="CC84" s="223"/>
      <c r="CD84" s="223"/>
      <c r="CE84" s="223"/>
      <c r="CF84" s="223"/>
      <c r="CG84" s="223"/>
      <c r="CH84" s="223"/>
      <c r="CI84" s="223"/>
      <c r="CJ84" s="223"/>
      <c r="CK84" s="223"/>
      <c r="CL84" s="223"/>
      <c r="CM84" s="223"/>
    </row>
    <row r="85" spans="1:91" s="1" customFormat="1" x14ac:dyDescent="0.3">
      <c r="A85" s="229" t="s">
        <v>789</v>
      </c>
      <c r="B85" s="225">
        <v>4064</v>
      </c>
      <c r="C85" s="227" t="s">
        <v>192</v>
      </c>
      <c r="D85" s="227" t="s">
        <v>505</v>
      </c>
      <c r="E85" s="226">
        <v>43106.51767361111</v>
      </c>
      <c r="F85" s="226">
        <v>43106.521006944444</v>
      </c>
      <c r="G85" s="225">
        <v>81</v>
      </c>
      <c r="H85" s="227" t="s">
        <v>637</v>
      </c>
      <c r="I85" s="226">
        <v>43106.545532407406</v>
      </c>
      <c r="J85" s="225">
        <v>0</v>
      </c>
      <c r="K85" s="237" t="str">
        <f>IF(ISEVEN(B85),(B85-1)&amp;"/"&amp;B85,B85&amp;"/"&amp;(B85+1))</f>
        <v>4063/4064</v>
      </c>
      <c r="L85" s="245" t="str">
        <f>VLOOKUP(A85,'Trips&amp;Operators'!$C$1:$G$99911,5,FALSE)</f>
        <v>BRUDER RICHARD</v>
      </c>
      <c r="M85" s="224">
        <f>I85-F85</f>
        <v>2.4525462962628808E-2</v>
      </c>
      <c r="N85" s="225">
        <f>24*60*SUM($M85:$M85)</f>
        <v>35.316666666185483</v>
      </c>
      <c r="O85" s="225"/>
      <c r="P85" s="225"/>
      <c r="Q85" s="228"/>
      <c r="R85" s="242"/>
      <c r="S85" s="249">
        <f>1/IF(AG85="EC",12,1)*SUM(U85:U85)</f>
        <v>1</v>
      </c>
      <c r="T85" s="242" t="str">
        <f>IF(ISEVEN(LEFT(AD85,4)),"Southbound","NorthBound")</f>
        <v>NorthBound</v>
      </c>
      <c r="U85" s="246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248" t="str">
        <f>"https://d0f6bd738d7f1b3e5a7ca70fe4ff75f0.us-east-1.aws.found.io/app/kibana#/discover/Steve-Slow-Train-Analysis-(2080s-and-2083s)?_g="&amp;"(refreshInterval:(display:Off,pause:!f,section:0,value:0),time:(from:'"&amp;TEXT(E85-1/24,"yyyy-MM-DDThh:mm:ss")&amp;utc_offset&amp;"00"&amp;"',mode:absolute,to:'"&amp;TEXT(I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85&amp;"%22')),sort:!(Time.ISO8601,asc))"</f>
        <v>https://d0f6bd738d7f1b3e5a7ca70fe4ff75f0.us-east-1.aws.found.io/app/kibana#/discover/Steve-Slow-Train-Analysis-(2080s-and-2083s)?_g=(refreshInterval:(display:Off,pause:!f,section:0,value:0),time:(from:'2018-01-06T11:25:27-0700',mode:absolute,to:'2018-01-06T14:05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85" s="247" t="str">
        <f>IF(AA85&lt;VLOOKUP(AG85,Variables!$AC$3:$AD$8,2,FALSE),"Y","N")</f>
        <v>N</v>
      </c>
      <c r="X85" s="247">
        <f>VALUE(LEFT(AD85,4))-VALUE(LEFT(AD84,4))</f>
        <v>1</v>
      </c>
      <c r="Y85" s="247">
        <f>RIGHT(D85,LEN(D85)-4)/10000</f>
        <v>5.1499999999999997E-2</v>
      </c>
      <c r="Z85" s="247">
        <f>RIGHT(H85,LEN(H85)-4)/10000</f>
        <v>23.321899999999999</v>
      </c>
      <c r="AA85" s="247">
        <f>ABS(Z85-Y85)</f>
        <v>23.270399999999999</v>
      </c>
      <c r="AB85" s="233" t="e">
        <f>VLOOKUP(A85,Enforcements!$C$7:$K$9,8,0)</f>
        <v>#N/A</v>
      </c>
      <c r="AC85" s="232" t="e">
        <f>VLOOKUP(A85,Enforcements!$C$7:$E$9,3,0)</f>
        <v>#N/A</v>
      </c>
      <c r="AD85" s="243">
        <f>VALUE(LEFT(A85,LEN(A85)-3))</f>
        <v>171</v>
      </c>
      <c r="AE85" s="235" t="str">
        <f>"aws s3 cp "&amp;s3_bucket&amp;"/RTDC"&amp;B85&amp;"/ "&amp;search_path&amp;"\RTDC"&amp;B85&amp;"\"&amp;TEXT(F85,"YYYY-MM-DD")&amp;" --exclude ""*"" --recursive --include ""*"&amp;TEXT(F85,"YYYYMMDD")&amp;"*"" &amp; """&amp;walkandungz&amp;""" "&amp;search_path&amp;"\RTDC"&amp;B85&amp;"\"&amp;TEXT(F85,"YYYY-MM-DD")
&amp;" &amp; "&amp;"aws s3 cp "&amp;s3_bucket&amp;"/RTDC"&amp;B85&amp;"/ "&amp;search_path&amp;"\RTDC"&amp;B85&amp;"\"&amp;TEXT(F85+1,"YYYY-MM-DD")&amp;" --exclude ""*"" --recursive --include ""*"&amp;TEXT(F85+1,"YYYYMMDD")&amp;"*"" &amp; """&amp;walkandungz&amp;""" "&amp;search_path&amp;"\RTDC"&amp;B85&amp;"\"&amp;TEXT(F85+1,"YYYY-MM-DD")</f>
        <v>aws s3 cp s3://rtdc.mdm.uploadarchive.raw/RTDC4064/ "%USERPROFILE%\AppData\Local\Temp\OnboardLogs"\RTDC4064\2018-01-06 --exclude "*" --recursive --include "*20180106*" &amp; "%USERPROFILE%\Documents\GitHub\mrs-test-scripts\Headless Mode &amp; Sideloading\WalkAndUnGZ.bat" "%USERPROFILE%\AppData\Local\Temp\OnboardLogs"\RTDC4064\2018-01-06 &amp; aws s3 cp s3://rtdc.mdm.uploadarchive.raw/RTDC4064/ "%USERPROFILE%\AppData\Local\Temp\OnboardLogs"\RTDC4064\2018-01-07 --exclude "*" --recursive --include "*20180107*" &amp; "%USERPROFILE%\Documents\GitHub\mrs-test-scripts\Headless Mode &amp; Sideloading\WalkAndUnGZ.bat" "%USERPROFILE%\AppData\Local\Temp\OnboardLogs"\RTDC4064\2018-01-07</v>
      </c>
      <c r="AF85" s="234" t="str">
        <f>astrogrep_path&amp;" /e /r /s /spath="&amp;search_path&amp;" /stypes=""app*"&amp;B85&amp;"*"&amp;TEXT(I85-utc_offset/24,"YYYYMMDD")&amp;"*"" /stext="" "&amp;TEXT(I85-utc_offset/24,"HH")&amp;search_regexp&amp;""""</f>
        <v>"C:\Program Files (x86)\AstroGrep\AstroGrep.exe" /e /r /s /spath="%USERPROFILE%\AppData\Local\Temp\OnboardLogs" /stypes="app*4064*20180106*" /stext=" 20:.+((SYSTEM_STATE.+slice.+state.+changed )|(ment ac)|(multiple cpu faults)|(system.+state.+changed )|(\[timeout)|(PRM\|1\|D)|(kpr)|(kdp)|(train st.+moving)|(\|lc)|(penalty))"</v>
      </c>
      <c r="AG85" s="244" t="str">
        <f>DetSubdiv(A85)</f>
        <v>EC</v>
      </c>
      <c r="AH85" s="236" t="str">
        <f t="shared" si="10"/>
        <v>"%USERPROFILE%\Documents\GitHub\eaglep3\Utilities\RefineRTDCRunTimes.py" --tripid 171-06 --locoid 4064 --swversion DE.1.0.9.0 --startMP 204:515 --initTime 2018-01-06T12:25:27 --startdatetime 2018-01-06T12:30:15 --delay 81 --endMP 204:233219 --enddatetime 2018-01-06T13:05:34 --enforcementcount 0 &gt;&gt;%USERPROFILE%\Documents\GitHub\eaglep3-reporting\EC\2018-01-06-refined-times.txt</v>
      </c>
      <c r="AI85" s="238" t="str">
        <f t="shared" si="11"/>
        <v>echo {"issue":{"subject":"","project_id":79,"tracker_id":40,"status_id":1,"priority_id":2,"assigned_to_id":338,"start_date":"2018-01-06","description":"","custom_fields":[{"id":1,"name":"Subdivision","value":"EC"},{"id":4,"name":"Milepost","value":"23.3219"},{"id":17,"name":"Train ID","value":"171-06"},{"id":16,"name":"Locomotive ID","value":"4064"},{"id":130,"name":"Impact","value":""},{"id":150,"name":"Time of Event (Mountain Time)","value":"13:05:34"},{"id":151,"name":"Denver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5" s="223"/>
      <c r="AK85" s="231"/>
      <c r="AL85" s="231"/>
      <c r="AM85" s="240" t="str">
        <f t="shared" si="12"/>
        <v>start /low /b %USERPROFILE%\Documents\GitHub\eaglep3\Utilities\DownloadLogsFromS3.py --loco 4064 --day 2018-01-06</v>
      </c>
      <c r="AN85" s="241" t="str">
        <f t="shared" si="13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20:05:34"},{"id":29,"name":"Sharepoint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 s="230" t="str">
        <f t="shared" si="14"/>
        <v>https://d0f6bd738d7f1b3e5a7ca70fe4ff75f0.us-east-1.aws.found.io/app/kibana#/discover/Steve-Slow-Train-Analysis-(2080s-and-2083s)?_g=(refreshInterval:(display:Off,pause:!f,section:0,value:0),time:(from:'2018-01-06T11:25:27-0700',mode:absolute,to:'2018-01-06T14:05:34-0700'))&amp;_a=(columns:!('Message%20ID',Summary),filters:!(),index:'emp_*',interval:auto,query:(query_string:(analyze_wildcard:!t,query:'%22rtdc.l.rtdc.4064%22')),sort:!(Time.ISO8601,asc))</v>
      </c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3">
      <c r="A86" s="229" t="s">
        <v>796</v>
      </c>
      <c r="B86" s="225">
        <v>4063</v>
      </c>
      <c r="C86" s="227" t="s">
        <v>192</v>
      </c>
      <c r="D86" s="227" t="s">
        <v>939</v>
      </c>
      <c r="E86" s="226">
        <v>43106.557430555556</v>
      </c>
      <c r="F86" s="226">
        <v>43106.560590277775</v>
      </c>
      <c r="G86" s="225">
        <v>110</v>
      </c>
      <c r="H86" s="227" t="s">
        <v>557</v>
      </c>
      <c r="I86" s="226">
        <v>43106.587488425925</v>
      </c>
      <c r="J86" s="225">
        <v>0</v>
      </c>
      <c r="K86" s="237" t="str">
        <f>IF(ISEVEN(B86),(B86-1)&amp;"/"&amp;B86,B86&amp;"/"&amp;(B86+1))</f>
        <v>4063/4064</v>
      </c>
      <c r="L86" s="245" t="str">
        <f>VLOOKUP(A86,'Trips&amp;Operators'!$C$1:$G$99911,5,FALSE)</f>
        <v>BRUDER RICHARD</v>
      </c>
      <c r="M86" s="224">
        <f>I86-F86</f>
        <v>2.6898148149484769E-2</v>
      </c>
      <c r="N86" s="225">
        <f>24*60*SUM($M86:$M86)</f>
        <v>38.733333335258067</v>
      </c>
      <c r="O86" s="225"/>
      <c r="P86" s="225"/>
      <c r="Q86" s="228"/>
      <c r="R86" s="242"/>
      <c r="S86" s="249">
        <f>1/IF(AG86="EC",12,1)*SUM(U86:U86)</f>
        <v>1</v>
      </c>
      <c r="T86" s="242" t="str">
        <f>IF(ISEVEN(LEFT(AD86,4)),"Southbound","NorthBound")</f>
        <v>Southbound</v>
      </c>
      <c r="U86" s="246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248" t="str">
        <f>"https://d0f6bd738d7f1b3e5a7ca70fe4ff75f0.us-east-1.aws.found.io/app/kibana#/discover/Steve-Slow-Train-Analysis-(2080s-and-2083s)?_g="&amp;"(refreshInterval:(display:Off,pause:!f,section:0,value:0),time:(from:'"&amp;TEXT(E86-1/24,"yyyy-MM-DDThh:mm:ss")&amp;utc_offset&amp;"00"&amp;"',mode:absolute,to:'"&amp;TEXT(I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86&amp;"%22')),sort:!(Time.ISO8601,asc))"</f>
        <v>https://d0f6bd738d7f1b3e5a7ca70fe4ff75f0.us-east-1.aws.found.io/app/kibana#/discover/Steve-Slow-Train-Analysis-(2080s-and-2083s)?_g=(refreshInterval:(display:Off,pause:!f,section:0,value:0),time:(from:'2018-01-06T12:22:42-0700',mode:absolute,to:'2018-01-06T15:05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86" s="247" t="str">
        <f>IF(AA86&lt;VLOOKUP(AG86,Variables!$AC$3:$AD$8,2,FALSE),"Y","N")</f>
        <v>N</v>
      </c>
      <c r="X86" s="247">
        <f>VALUE(LEFT(AD86,4))-VALUE(LEFT(AD85,4))</f>
        <v>1</v>
      </c>
      <c r="Y86" s="247">
        <f>RIGHT(D86,LEN(D86)-4)/10000</f>
        <v>23.289400000000001</v>
      </c>
      <c r="Z86" s="247">
        <f>RIGHT(H86,LEN(H86)-4)/10000</f>
        <v>2.3099999999999999E-2</v>
      </c>
      <c r="AA86" s="247">
        <f>ABS(Z86-Y86)</f>
        <v>23.266300000000001</v>
      </c>
      <c r="AB86" s="233" t="e">
        <f>VLOOKUP(A86,Enforcements!$C$7:$K$9,8,0)</f>
        <v>#N/A</v>
      </c>
      <c r="AC86" s="232" t="e">
        <f>VLOOKUP(A86,Enforcements!$C$7:$E$9,3,0)</f>
        <v>#N/A</v>
      </c>
      <c r="AD86" s="243">
        <f>VALUE(LEFT(A86,LEN(A86)-3))</f>
        <v>172</v>
      </c>
      <c r="AE86" s="235" t="str">
        <f>"aws s3 cp "&amp;s3_bucket&amp;"/RTDC"&amp;B86&amp;"/ "&amp;search_path&amp;"\RTDC"&amp;B86&amp;"\"&amp;TEXT(F86,"YYYY-MM-DD")&amp;" --exclude ""*"" --recursive --include ""*"&amp;TEXT(F86,"YYYYMMDD")&amp;"*"" &amp; """&amp;walkandungz&amp;""" "&amp;search_path&amp;"\RTDC"&amp;B86&amp;"\"&amp;TEXT(F86,"YYYY-MM-DD")
&amp;" &amp; "&amp;"aws s3 cp "&amp;s3_bucket&amp;"/RTDC"&amp;B86&amp;"/ "&amp;search_path&amp;"\RTDC"&amp;B86&amp;"\"&amp;TEXT(F86+1,"YYYY-MM-DD")&amp;" --exclude ""*"" --recursive --include ""*"&amp;TEXT(F86+1,"YYYYMMDD")&amp;"*"" &amp; """&amp;walkandungz&amp;""" "&amp;search_path&amp;"\RTDC"&amp;B86&amp;"\"&amp;TEXT(F86+1,"YYYY-MM-DD")</f>
        <v>aws s3 cp s3://rtdc.mdm.uploadarchive.raw/RTDC4063/ "%USERPROFILE%\AppData\Local\Temp\OnboardLogs"\RTDC4063\2018-01-06 --exclude "*" --recursive --include "*20180106*" &amp; "%USERPROFILE%\Documents\GitHub\mrs-test-scripts\Headless Mode &amp; Sideloading\WalkAndUnGZ.bat" "%USERPROFILE%\AppData\Local\Temp\OnboardLogs"\RTDC4063\2018-01-06 &amp; aws s3 cp s3://rtdc.mdm.uploadarchive.raw/RTDC4063/ "%USERPROFILE%\AppData\Local\Temp\OnboardLogs"\RTDC4063\2018-01-07 --exclude "*" --recursive --include "*20180107*" &amp; "%USERPROFILE%\Documents\GitHub\mrs-test-scripts\Headless Mode &amp; Sideloading\WalkAndUnGZ.bat" "%USERPROFILE%\AppData\Local\Temp\OnboardLogs"\RTDC4063\2018-01-07</v>
      </c>
      <c r="AF86" s="234" t="str">
        <f>astrogrep_path&amp;" /e /r /s /spath="&amp;search_path&amp;" /stypes=""app*"&amp;B86&amp;"*"&amp;TEXT(I86-utc_offset/24,"YYYYMMDD")&amp;"*"" /stext="" "&amp;TEXT(I86-utc_offset/24,"HH")&amp;search_regexp&amp;""""</f>
        <v>"C:\Program Files (x86)\AstroGrep\AstroGrep.exe" /e /r /s /spath="%USERPROFILE%\AppData\Local\Temp\OnboardLogs" /stypes="app*4063*20180106*" /stext=" 21:.+((SYSTEM_STATE.+slice.+state.+changed )|(ment ac)|(multiple cpu faults)|(system.+state.+changed )|(\[timeout)|(PRM\|1\|D)|(kpr)|(kdp)|(train st.+moving)|(\|lc)|(penalty))"</v>
      </c>
      <c r="AG86" s="244" t="str">
        <f>DetSubdiv(A86)</f>
        <v>EC</v>
      </c>
      <c r="AH86" s="236" t="str">
        <f t="shared" si="10"/>
        <v>"%USERPROFILE%\Documents\GitHub\eaglep3\Utilities\RefineRTDCRunTimes.py" --tripid 172-06 --locoid 4063 --swversion DE.1.0.9.0 --startMP 204:232894 --initTime 2018-01-06T13:22:42 --startdatetime 2018-01-06T13:27:15 --delay 110 --endMP 204:231 --enddatetime 2018-01-06T14:05:59 --enforcementcount 0 &gt;&gt;%USERPROFILE%\Documents\GitHub\eaglep3-reporting\EC\2018-01-06-refined-times.txt</v>
      </c>
      <c r="AI86" s="238" t="str">
        <f t="shared" si="11"/>
        <v>echo {"issue":{"subject":"","project_id":79,"tracker_id":40,"status_id":1,"priority_id":2,"assigned_to_id":338,"start_date":"2018-01-06","description":"","custom_fields":[{"id":1,"name":"Subdivision","value":"EC"},{"id":4,"name":"Milepost","value":"0.0231"},{"id":17,"name":"Train ID","value":"172-06"},{"id":16,"name":"Locomotive ID","value":"4063"},{"id":130,"name":"Impact","value":""},{"id":150,"name":"Time of Event (Mountain Time)","value":"14:05:59"},{"id":151,"name":"Denver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6" s="223"/>
      <c r="AK86" s="231"/>
      <c r="AL86" s="231"/>
      <c r="AM86" s="240" t="str">
        <f t="shared" si="12"/>
        <v>start /low /b %USERPROFILE%\Documents\GitHub\eaglep3\Utilities\DownloadLogsFromS3.py --loco 4063 --day 2018-01-06</v>
      </c>
      <c r="AN86" s="241" t="str">
        <f t="shared" si="13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21:05:59"},{"id":29,"name":"Sharepoint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 s="230" t="str">
        <f t="shared" si="14"/>
        <v>https://d0f6bd738d7f1b3e5a7ca70fe4ff75f0.us-east-1.aws.found.io/app/kibana#/discover/Steve-Slow-Train-Analysis-(2080s-and-2083s)?_g=(refreshInterval:(display:Off,pause:!f,section:0,value:0),time:(from:'2018-01-06T12:22:42-0700',mode:absolute,to:'2018-01-06T15:05:59-0700'))&amp;_a=(columns:!('Message%20ID',Summary),filters:!(),index:'emp_*',interval:auto,query:(query_string:(analyze_wildcard:!t,query:'%22rtdc.l.rtdc.4063%22')),sort:!(Time.ISO8601,asc))</v>
      </c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3">
      <c r="A87" s="229" t="s">
        <v>791</v>
      </c>
      <c r="B87" s="225">
        <v>4060</v>
      </c>
      <c r="C87" s="227" t="s">
        <v>192</v>
      </c>
      <c r="D87" s="227" t="s">
        <v>558</v>
      </c>
      <c r="E87" s="226">
        <v>43106.528437499997</v>
      </c>
      <c r="F87" s="226">
        <v>43106.531527777777</v>
      </c>
      <c r="G87" s="225">
        <v>75</v>
      </c>
      <c r="H87" s="227" t="s">
        <v>622</v>
      </c>
      <c r="I87" s="226">
        <v>43106.555243055554</v>
      </c>
      <c r="J87" s="225">
        <v>0</v>
      </c>
      <c r="K87" s="237" t="str">
        <f>IF(ISEVEN(B87),(B87-1)&amp;"/"&amp;B87,B87&amp;"/"&amp;(B87+1))</f>
        <v>4059/4060</v>
      </c>
      <c r="L87" s="245" t="str">
        <f>VLOOKUP(A87,'Trips&amp;Operators'!$C$1:$G$99911,5,FALSE)</f>
        <v>HOLCOMB KAMDEN</v>
      </c>
      <c r="M87" s="224">
        <f>I87-F87</f>
        <v>2.3715277777228039E-2</v>
      </c>
      <c r="N87" s="225">
        <f>24*60*SUM($M87:$M87)</f>
        <v>34.149999999208376</v>
      </c>
      <c r="O87" s="225"/>
      <c r="P87" s="225"/>
      <c r="Q87" s="228"/>
      <c r="R87" s="242"/>
      <c r="S87" s="249">
        <f>1/IF(AG87="EC",12,1)*SUM(U87:U87)</f>
        <v>1</v>
      </c>
      <c r="T87" s="242" t="str">
        <f>IF(ISEVEN(LEFT(AD87,4)),"Southbound","NorthBound")</f>
        <v>NorthBound</v>
      </c>
      <c r="U87" s="246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248" t="str">
        <f>"https://d0f6bd738d7f1b3e5a7ca70fe4ff75f0.us-east-1.aws.found.io/app/kibana#/discover/Steve-Slow-Train-Analysis-(2080s-and-2083s)?_g="&amp;"(refreshInterval:(display:Off,pause:!f,section:0,value:0),time:(from:'"&amp;TEXT(E87-1/24,"yyyy-MM-DDThh:mm:ss")&amp;utc_offset&amp;"00"&amp;"',mode:absolute,to:'"&amp;TEXT(I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87&amp;"%22')),sort:!(Time.ISO8601,asc))"</f>
        <v>https://d0f6bd738d7f1b3e5a7ca70fe4ff75f0.us-east-1.aws.found.io/app/kibana#/discover/Steve-Slow-Train-Analysis-(2080s-and-2083s)?_g=(refreshInterval:(display:Off,pause:!f,section:0,value:0),time:(from:'2018-01-06T11:40:57-0700',mode:absolute,to:'2018-01-06T14:19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87" s="247" t="str">
        <f>IF(AA87&lt;VLOOKUP(AG87,Variables!$AC$3:$AD$8,2,FALSE),"Y","N")</f>
        <v>N</v>
      </c>
      <c r="X87" s="247">
        <f>VALUE(LEFT(AD87,4))-VALUE(LEFT(AD86,4))</f>
        <v>1</v>
      </c>
      <c r="Y87" s="247">
        <f>RIGHT(D87,LEN(D87)-4)/10000</f>
        <v>5.04E-2</v>
      </c>
      <c r="Z87" s="247">
        <f>RIGHT(H87,LEN(H87)-4)/10000</f>
        <v>23.324300000000001</v>
      </c>
      <c r="AA87" s="247">
        <f>ABS(Z87-Y87)</f>
        <v>23.273900000000001</v>
      </c>
      <c r="AB87" s="233" t="e">
        <f>VLOOKUP(A87,Enforcements!$C$7:$K$9,8,0)</f>
        <v>#N/A</v>
      </c>
      <c r="AC87" s="232" t="e">
        <f>VLOOKUP(A87,Enforcements!$C$7:$E$9,3,0)</f>
        <v>#N/A</v>
      </c>
      <c r="AD87" s="243">
        <f>VALUE(LEFT(A87,LEN(A87)-3))</f>
        <v>173</v>
      </c>
      <c r="AE87" s="235" t="str">
        <f>"aws s3 cp "&amp;s3_bucket&amp;"/RTDC"&amp;B87&amp;"/ "&amp;search_path&amp;"\RTDC"&amp;B87&amp;"\"&amp;TEXT(F87,"YYYY-MM-DD")&amp;" --exclude ""*"" --recursive --include ""*"&amp;TEXT(F87,"YYYYMMDD")&amp;"*"" &amp; """&amp;walkandungz&amp;""" "&amp;search_path&amp;"\RTDC"&amp;B87&amp;"\"&amp;TEXT(F87,"YYYY-MM-DD")
&amp;" &amp; "&amp;"aws s3 cp "&amp;s3_bucket&amp;"/RTDC"&amp;B87&amp;"/ "&amp;search_path&amp;"\RTDC"&amp;B87&amp;"\"&amp;TEXT(F87+1,"YYYY-MM-DD")&amp;" --exclude ""*"" --recursive --include ""*"&amp;TEXT(F87+1,"YYYYMMDD")&amp;"*"" &amp; """&amp;walkandungz&amp;""" "&amp;search_path&amp;"\RTDC"&amp;B87&amp;"\"&amp;TEXT(F87+1,"YYYY-MM-DD")</f>
        <v>aws s3 cp s3://rtdc.mdm.uploadarchive.raw/RTDC4060/ "%USERPROFILE%\AppData\Local\Temp\OnboardLogs"\RTDC4060\2018-01-06 --exclude "*" --recursive --include "*20180106*" &amp; "%USERPROFILE%\Documents\GitHub\mrs-test-scripts\Headless Mode &amp; Sideloading\WalkAndUnGZ.bat" "%USERPROFILE%\AppData\Local\Temp\OnboardLogs"\RTDC4060\2018-01-06 &amp; aws s3 cp s3://rtdc.mdm.uploadarchive.raw/RTDC4060/ "%USERPROFILE%\AppData\Local\Temp\OnboardLogs"\RTDC4060\2018-01-07 --exclude "*" --recursive --include "*20180107*" &amp; "%USERPROFILE%\Documents\GitHub\mrs-test-scripts\Headless Mode &amp; Sideloading\WalkAndUnGZ.bat" "%USERPROFILE%\AppData\Local\Temp\OnboardLogs"\RTDC4060\2018-01-07</v>
      </c>
      <c r="AF87" s="234" t="str">
        <f>astrogrep_path&amp;" /e /r /s /spath="&amp;search_path&amp;" /stypes=""app*"&amp;B87&amp;"*"&amp;TEXT(I87-utc_offset/24,"YYYYMMDD")&amp;"*"" /stext="" "&amp;TEXT(I87-utc_offset/24,"HH")&amp;search_regexp&amp;""""</f>
        <v>"C:\Program Files (x86)\AstroGrep\AstroGrep.exe" /e /r /s /spath="%USERPROFILE%\AppData\Local\Temp\OnboardLogs" /stypes="app*4060*20180106*" /stext=" 20:.+((SYSTEM_STATE.+slice.+state.+changed )|(ment ac)|(multiple cpu faults)|(system.+state.+changed )|(\[timeout)|(PRM\|1\|D)|(kpr)|(kdp)|(train st.+moving)|(\|lc)|(penalty))"</v>
      </c>
      <c r="AG87" s="244" t="str">
        <f>DetSubdiv(A87)</f>
        <v>EC</v>
      </c>
      <c r="AH87" s="236" t="str">
        <f t="shared" si="10"/>
        <v>"%USERPROFILE%\Documents\GitHub\eaglep3\Utilities\RefineRTDCRunTimes.py" --tripid 173-06 --locoid 4060 --swversion DE.1.0.9.0 --startMP 204:504 --initTime 2018-01-06T12:40:57 --startdatetime 2018-01-06T12:45:24 --delay 75 --endMP 204:233243 --enddatetime 2018-01-06T13:19:33 --enforcementcount 0 &gt;&gt;%USERPROFILE%\Documents\GitHub\eaglep3-reporting\EC\2018-01-06-refined-times.txt</v>
      </c>
      <c r="AI87" s="238" t="str">
        <f t="shared" si="11"/>
        <v>echo {"issue":{"subject":"","project_id":79,"tracker_id":40,"status_id":1,"priority_id":2,"assigned_to_id":338,"start_date":"2018-01-06","description":"","custom_fields":[{"id":1,"name":"Subdivision","value":"EC"},{"id":4,"name":"Milepost","value":"23.3243"},{"id":17,"name":"Train ID","value":"173-06"},{"id":16,"name":"Locomotive ID","value":"4060"},{"id":130,"name":"Impact","value":""},{"id":150,"name":"Time of Event (Mountain Time)","value":"13:19:33"},{"id":151,"name":"Denver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7" s="223"/>
      <c r="AK87" s="231"/>
      <c r="AL87" s="231"/>
      <c r="AM87" s="240" t="str">
        <f t="shared" si="12"/>
        <v>start /low /b %USERPROFILE%\Documents\GitHub\eaglep3\Utilities\DownloadLogsFromS3.py --loco 4060 --day 2018-01-06</v>
      </c>
      <c r="AN87" s="241" t="str">
        <f t="shared" si="13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20:19:33"},{"id":29,"name":"Sharepoint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 s="230" t="str">
        <f t="shared" si="14"/>
        <v>https://d0f6bd738d7f1b3e5a7ca70fe4ff75f0.us-east-1.aws.found.io/app/kibana#/discover/Steve-Slow-Train-Analysis-(2080s-and-2083s)?_g=(refreshInterval:(display:Off,pause:!f,section:0,value:0),time:(from:'2018-01-06T11:40:57-0700',mode:absolute,to:'2018-01-06T14:19:33-0700'))&amp;_a=(columns:!('Message%20ID',Summary),filters:!(),index:'emp_*',interval:auto,query:(query_string:(analyze_wildcard:!t,query:'%22rtdc.l.rtdc.4060%22')),sort:!(Time.ISO8601,asc))</v>
      </c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3">
      <c r="A88" s="229" t="s">
        <v>800</v>
      </c>
      <c r="B88" s="225">
        <v>4059</v>
      </c>
      <c r="C88" s="227" t="s">
        <v>192</v>
      </c>
      <c r="D88" s="227" t="s">
        <v>940</v>
      </c>
      <c r="E88" s="226">
        <v>43106.569652777776</v>
      </c>
      <c r="F88" s="226">
        <v>43106.571087962962</v>
      </c>
      <c r="G88" s="225">
        <v>58</v>
      </c>
      <c r="H88" s="227" t="s">
        <v>463</v>
      </c>
      <c r="I88" s="226">
        <v>43106.596817129626</v>
      </c>
      <c r="J88" s="225">
        <v>0</v>
      </c>
      <c r="K88" s="237" t="str">
        <f>IF(ISEVEN(B88),(B88-1)&amp;"/"&amp;B88,B88&amp;"/"&amp;(B88+1))</f>
        <v>4059/4060</v>
      </c>
      <c r="L88" s="245" t="str">
        <f>VLOOKUP(A88,'Trips&amp;Operators'!$C$1:$G$99911,5,FALSE)</f>
        <v>HOLCOMB KAMDEN</v>
      </c>
      <c r="M88" s="224">
        <f>I88-F88</f>
        <v>2.5729166663950309E-2</v>
      </c>
      <c r="N88" s="225">
        <f>24*60*SUM($M88:$M88)</f>
        <v>37.049999996088445</v>
      </c>
      <c r="O88" s="225"/>
      <c r="P88" s="225"/>
      <c r="Q88" s="228"/>
      <c r="R88" s="242"/>
      <c r="S88" s="249">
        <f>1/IF(AG88="EC",12,1)*SUM(U88:U88)</f>
        <v>1</v>
      </c>
      <c r="T88" s="242" t="str">
        <f>IF(ISEVEN(LEFT(AD88,4)),"Southbound","NorthBound")</f>
        <v>Southbound</v>
      </c>
      <c r="U88" s="246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248" t="str">
        <f>"https://d0f6bd738d7f1b3e5a7ca70fe4ff75f0.us-east-1.aws.found.io/app/kibana#/discover/Steve-Slow-Train-Analysis-(2080s-and-2083s)?_g="&amp;"(refreshInterval:(display:Off,pause:!f,section:0,value:0),time:(from:'"&amp;TEXT(E88-1/24,"yyyy-MM-DDThh:mm:ss")&amp;utc_offset&amp;"00"&amp;"',mode:absolute,to:'"&amp;TEXT(I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88&amp;"%22')),sort:!(Time.ISO8601,asc))"</f>
        <v>https://d0f6bd738d7f1b3e5a7ca70fe4ff75f0.us-east-1.aws.found.io/app/kibana#/discover/Steve-Slow-Train-Analysis-(2080s-and-2083s)?_g=(refreshInterval:(display:Off,pause:!f,section:0,value:0),time:(from:'2018-01-06T12:40:18-0700',mode:absolute,to:'2018-01-06T15:19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88" s="247" t="str">
        <f>IF(AA88&lt;VLOOKUP(AG88,Variables!$AC$3:$AD$8,2,FALSE),"Y","N")</f>
        <v>N</v>
      </c>
      <c r="X88" s="247">
        <f>VALUE(LEFT(AD88,4))-VALUE(LEFT(AD87,4))</f>
        <v>1</v>
      </c>
      <c r="Y88" s="247">
        <f>RIGHT(D88,LEN(D88)-4)/10000</f>
        <v>23.292100000000001</v>
      </c>
      <c r="Z88" s="247">
        <f>RIGHT(H88,LEN(H88)-4)/10000</f>
        <v>1.9599999999999999E-2</v>
      </c>
      <c r="AA88" s="247">
        <f>ABS(Z88-Y88)</f>
        <v>23.272500000000001</v>
      </c>
      <c r="AB88" s="233" t="e">
        <f>VLOOKUP(A88,Enforcements!$C$7:$K$9,8,0)</f>
        <v>#N/A</v>
      </c>
      <c r="AC88" s="232" t="e">
        <f>VLOOKUP(A88,Enforcements!$C$7:$E$9,3,0)</f>
        <v>#N/A</v>
      </c>
      <c r="AD88" s="243">
        <f>VALUE(LEFT(A88,LEN(A88)-3))</f>
        <v>174</v>
      </c>
      <c r="AE88" s="235" t="str">
        <f>"aws s3 cp "&amp;s3_bucket&amp;"/RTDC"&amp;B88&amp;"/ "&amp;search_path&amp;"\RTDC"&amp;B88&amp;"\"&amp;TEXT(F88,"YYYY-MM-DD")&amp;" --exclude ""*"" --recursive --include ""*"&amp;TEXT(F88,"YYYYMMDD")&amp;"*"" &amp; """&amp;walkandungz&amp;""" "&amp;search_path&amp;"\RTDC"&amp;B88&amp;"\"&amp;TEXT(F88,"YYYY-MM-DD")
&amp;" &amp; "&amp;"aws s3 cp "&amp;s3_bucket&amp;"/RTDC"&amp;B88&amp;"/ "&amp;search_path&amp;"\RTDC"&amp;B88&amp;"\"&amp;TEXT(F88+1,"YYYY-MM-DD")&amp;" --exclude ""*"" --recursive --include ""*"&amp;TEXT(F88+1,"YYYYMMDD")&amp;"*"" &amp; """&amp;walkandungz&amp;""" "&amp;search_path&amp;"\RTDC"&amp;B88&amp;"\"&amp;TEXT(F88+1,"YYYY-MM-DD")</f>
        <v>aws s3 cp s3://rtdc.mdm.uploadarchive.raw/RTDC4059/ "%USERPROFILE%\AppData\Local\Temp\OnboardLogs"\RTDC4059\2018-01-06 --exclude "*" --recursive --include "*20180106*" &amp; "%USERPROFILE%\Documents\GitHub\mrs-test-scripts\Headless Mode &amp; Sideloading\WalkAndUnGZ.bat" "%USERPROFILE%\AppData\Local\Temp\OnboardLogs"\RTDC4059\2018-01-06 &amp; aws s3 cp s3://rtdc.mdm.uploadarchive.raw/RTDC4059/ "%USERPROFILE%\AppData\Local\Temp\OnboardLogs"\RTDC4059\2018-01-07 --exclude "*" --recursive --include "*20180107*" &amp; "%USERPROFILE%\Documents\GitHub\mrs-test-scripts\Headless Mode &amp; Sideloading\WalkAndUnGZ.bat" "%USERPROFILE%\AppData\Local\Temp\OnboardLogs"\RTDC4059\2018-01-07</v>
      </c>
      <c r="AF88" s="234" t="str">
        <f>astrogrep_path&amp;" /e /r /s /spath="&amp;search_path&amp;" /stypes=""app*"&amp;B88&amp;"*"&amp;TEXT(I88-utc_offset/24,"YYYYMMDD")&amp;"*"" /stext="" "&amp;TEXT(I88-utc_offset/24,"HH")&amp;search_regexp&amp;""""</f>
        <v>"C:\Program Files (x86)\AstroGrep\AstroGrep.exe" /e /r /s /spath="%USERPROFILE%\AppData\Local\Temp\OnboardLogs" /stypes="app*4059*20180106*" /stext=" 21:.+((SYSTEM_STATE.+slice.+state.+changed )|(ment ac)|(multiple cpu faults)|(system.+state.+changed )|(\[timeout)|(PRM\|1\|D)|(kpr)|(kdp)|(train st.+moving)|(\|lc)|(penalty))"</v>
      </c>
      <c r="AG88" s="244" t="str">
        <f>DetSubdiv(A88)</f>
        <v>EC</v>
      </c>
      <c r="AH88" s="236" t="str">
        <f t="shared" si="10"/>
        <v>"%USERPROFILE%\Documents\GitHub\eaglep3\Utilities\RefineRTDCRunTimes.py" --tripid 174-06 --locoid 4059 --swversion DE.1.0.9.0 --startMP 204:232921 --initTime 2018-01-06T13:40:18 --startdatetime 2018-01-06T13:42:22 --delay 58 --endMP 204:196 --enddatetime 2018-01-06T14:19:25 --enforcementcount 0 &gt;&gt;%USERPROFILE%\Documents\GitHub\eaglep3-reporting\EC\2018-01-06-refined-times.txt</v>
      </c>
      <c r="AI88" s="238" t="str">
        <f t="shared" si="11"/>
        <v>echo {"issue":{"subject":"","project_id":79,"tracker_id":40,"status_id":1,"priority_id":2,"assigned_to_id":338,"start_date":"2018-01-06","description":"","custom_fields":[{"id":1,"name":"Subdivision","value":"EC"},{"id":4,"name":"Milepost","value":"0.0196"},{"id":17,"name":"Train ID","value":"174-06"},{"id":16,"name":"Locomotive ID","value":"4059"},{"id":130,"name":"Impact","value":""},{"id":150,"name":"Time of Event (Mountain Time)","value":"14:19:25"},{"id":151,"name":"Denver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8" s="223"/>
      <c r="AK88" s="231"/>
      <c r="AL88" s="231"/>
      <c r="AM88" s="240" t="str">
        <f t="shared" si="12"/>
        <v>start /low /b %USERPROFILE%\Documents\GitHub\eaglep3\Utilities\DownloadLogsFromS3.py --loco 4059 --day 2018-01-06</v>
      </c>
      <c r="AN88" s="241" t="str">
        <f t="shared" si="13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21:19:25"},{"id":29,"name":"Sharepoint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 s="230" t="str">
        <f t="shared" si="14"/>
        <v>https://d0f6bd738d7f1b3e5a7ca70fe4ff75f0.us-east-1.aws.found.io/app/kibana#/discover/Steve-Slow-Train-Analysis-(2080s-and-2083s)?_g=(refreshInterval:(display:Off,pause:!f,section:0,value:0),time:(from:'2018-01-06T12:40:18-0700',mode:absolute,to:'2018-01-06T15:19:25-0700'))&amp;_a=(columns:!('Message%20ID',Summary),filters:!(),index:'emp_*',interval:auto,query:(query_string:(analyze_wildcard:!t,query:'%22rtdc.l.rtdc.4059%22')),sort:!(Time.ISO8601,asc))</v>
      </c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3">
      <c r="A89" s="229" t="s">
        <v>672</v>
      </c>
      <c r="B89" s="225">
        <v>4030</v>
      </c>
      <c r="C89" s="227" t="s">
        <v>192</v>
      </c>
      <c r="D89" s="227" t="s">
        <v>941</v>
      </c>
      <c r="E89" s="226">
        <v>43106.540243055555</v>
      </c>
      <c r="F89" s="226">
        <v>43106.542662037034</v>
      </c>
      <c r="G89" s="225">
        <v>55</v>
      </c>
      <c r="H89" s="227" t="s">
        <v>942</v>
      </c>
      <c r="I89" s="226">
        <v>43106.569664351853</v>
      </c>
      <c r="J89" s="225">
        <v>0</v>
      </c>
      <c r="K89" s="237" t="str">
        <f>IF(ISEVEN(B89),(B89-1)&amp;"/"&amp;B89,B89&amp;"/"&amp;(B89+1))</f>
        <v>4029/4030</v>
      </c>
      <c r="L89" s="245" t="str">
        <f>VLOOKUP(A89,'Trips&amp;Operators'!$C$1:$G$99911,5,FALSE)</f>
        <v>DAVIS MICHAEL</v>
      </c>
      <c r="M89" s="224">
        <f>I89-F89</f>
        <v>2.7002314818673767E-2</v>
      </c>
      <c r="N89" s="225">
        <f>24*60*SUM($M89:$M89)</f>
        <v>38.883333338890225</v>
      </c>
      <c r="O89" s="225"/>
      <c r="P89" s="225"/>
      <c r="Q89" s="228"/>
      <c r="R89" s="242"/>
      <c r="S89" s="249">
        <f>1/IF(AG89="EC",12,1)*SUM(U89:U89)</f>
        <v>1</v>
      </c>
      <c r="T89" s="242" t="str">
        <f>IF(ISEVEN(LEFT(AD89,4)),"Southbound","NorthBound")</f>
        <v>NorthBound</v>
      </c>
      <c r="U89" s="246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248" t="str">
        <f>"https://d0f6bd738d7f1b3e5a7ca70fe4ff75f0.us-east-1.aws.found.io/app/kibana#/discover/Steve-Slow-Train-Analysis-(2080s-and-2083s)?_g="&amp;"(refreshInterval:(display:Off,pause:!f,section:0,value:0),time:(from:'"&amp;TEXT(E89-1/24,"yyyy-MM-DDThh:mm:ss")&amp;utc_offset&amp;"00"&amp;"',mode:absolute,to:'"&amp;TEXT(I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89&amp;"%22')),sort:!(Time.ISO8601,asc))"</f>
        <v>https://d0f6bd738d7f1b3e5a7ca70fe4ff75f0.us-east-1.aws.found.io/app/kibana#/discover/Steve-Slow-Train-Analysis-(2080s-and-2083s)?_g=(refreshInterval:(display:Off,pause:!f,section:0,value:0),time:(from:'2018-01-06T11:57:57-0700',mode:absolute,to:'2018-01-06T14:40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89" s="247" t="str">
        <f>IF(AA89&lt;VLOOKUP(AG89,Variables!$AC$3:$AD$8,2,FALSE),"Y","N")</f>
        <v>N</v>
      </c>
      <c r="X89" s="247">
        <f>VALUE(LEFT(AD89,4))-VALUE(LEFT(AD88,4))</f>
        <v>1</v>
      </c>
      <c r="Y89" s="247">
        <f>RIGHT(D89,LEN(D89)-4)/10000</f>
        <v>5.2900000000000003E-2</v>
      </c>
      <c r="Z89" s="247">
        <f>RIGHT(H89,LEN(H89)-4)/10000</f>
        <v>23.330400000000001</v>
      </c>
      <c r="AA89" s="247">
        <f>ABS(Z89-Y89)</f>
        <v>23.2775</v>
      </c>
      <c r="AB89" s="233" t="e">
        <f>VLOOKUP(A89,Enforcements!$C$7:$K$9,8,0)</f>
        <v>#N/A</v>
      </c>
      <c r="AC89" s="232" t="e">
        <f>VLOOKUP(A89,Enforcements!$C$7:$E$9,3,0)</f>
        <v>#N/A</v>
      </c>
      <c r="AD89" s="243">
        <f>VALUE(LEFT(A89,LEN(A89)-3))</f>
        <v>175</v>
      </c>
      <c r="AE89" s="235" t="str">
        <f>"aws s3 cp "&amp;s3_bucket&amp;"/RTDC"&amp;B89&amp;"/ "&amp;search_path&amp;"\RTDC"&amp;B89&amp;"\"&amp;TEXT(F89,"YYYY-MM-DD")&amp;" --exclude ""*"" --recursive --include ""*"&amp;TEXT(F89,"YYYYMMDD")&amp;"*"" &amp; """&amp;walkandungz&amp;""" "&amp;search_path&amp;"\RTDC"&amp;B89&amp;"\"&amp;TEXT(F89,"YYYY-MM-DD")
&amp;" &amp; "&amp;"aws s3 cp "&amp;s3_bucket&amp;"/RTDC"&amp;B89&amp;"/ "&amp;search_path&amp;"\RTDC"&amp;B89&amp;"\"&amp;TEXT(F89+1,"YYYY-MM-DD")&amp;" --exclude ""*"" --recursive --include ""*"&amp;TEXT(F89+1,"YYYYMMDD")&amp;"*"" &amp; """&amp;walkandungz&amp;""" "&amp;search_path&amp;"\RTDC"&amp;B89&amp;"\"&amp;TEXT(F89+1,"YYYY-MM-DD")</f>
        <v>aws s3 cp s3://rtdc.mdm.uploadarchive.raw/RTDC4030/ "%USERPROFILE%\AppData\Local\Temp\OnboardLogs"\RTDC4030\2018-01-06 --exclude "*" --recursive --include "*20180106*" &amp; "%USERPROFILE%\Documents\GitHub\mrs-test-scripts\Headless Mode &amp; Sideloading\WalkAndUnGZ.bat" "%USERPROFILE%\AppData\Local\Temp\OnboardLogs"\RTDC4030\2018-01-06 &amp; aws s3 cp s3://rtdc.mdm.uploadarchive.raw/RTDC4030/ "%USERPROFILE%\AppData\Local\Temp\OnboardLogs"\RTDC4030\2018-01-07 --exclude "*" --recursive --include "*20180107*" &amp; "%USERPROFILE%\Documents\GitHub\mrs-test-scripts\Headless Mode &amp; Sideloading\WalkAndUnGZ.bat" "%USERPROFILE%\AppData\Local\Temp\OnboardLogs"\RTDC4030\2018-01-07</v>
      </c>
      <c r="AF89" s="234" t="str">
        <f>astrogrep_path&amp;" /e /r /s /spath="&amp;search_path&amp;" /stypes=""app*"&amp;B89&amp;"*"&amp;TEXT(I89-utc_offset/24,"YYYYMMDD")&amp;"*"" /stext="" "&amp;TEXT(I89-utc_offset/24,"HH")&amp;search_regexp&amp;""""</f>
        <v>"C:\Program Files (x86)\AstroGrep\AstroGrep.exe" /e /r /s /spath="%USERPROFILE%\AppData\Local\Temp\OnboardLogs" /stypes="app*4030*20180106*" /stext=" 20:.+((SYSTEM_STATE.+slice.+state.+changed )|(ment ac)|(multiple cpu faults)|(system.+state.+changed )|(\[timeout)|(PRM\|1\|D)|(kpr)|(kdp)|(train st.+moving)|(\|lc)|(penalty))"</v>
      </c>
      <c r="AG89" s="244" t="str">
        <f>DetSubdiv(A89)</f>
        <v>EC</v>
      </c>
      <c r="AH89" s="236" t="str">
        <f t="shared" si="10"/>
        <v>"%USERPROFILE%\Documents\GitHub\eaglep3\Utilities\RefineRTDCRunTimes.py" --tripid 175-06 --locoid 4030 --swversion DE.1.0.9.0 --startMP 204:529 --initTime 2018-01-06T12:57:57 --startdatetime 2018-01-06T13:01:26 --delay 55 --endMP 204:233304 --enddatetime 2018-01-06T13:40:19 --enforcementcount 0 &gt;&gt;%USERPROFILE%\Documents\GitHub\eaglep3-reporting\EC\2018-01-06-refined-times.txt</v>
      </c>
      <c r="AI89" s="238" t="str">
        <f t="shared" si="11"/>
        <v>echo {"issue":{"subject":"","project_id":79,"tracker_id":40,"status_id":1,"priority_id":2,"assigned_to_id":338,"start_date":"2018-01-06","description":"","custom_fields":[{"id":1,"name":"Subdivision","value":"EC"},{"id":4,"name":"Milepost","value":"23.3304"},{"id":17,"name":"Train ID","value":"175-06"},{"id":16,"name":"Locomotive ID","value":"4030"},{"id":130,"name":"Impact","value":""},{"id":150,"name":"Time of Event (Mountain Time)","value":"13:40:19"},{"id":151,"name":"Denver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9" s="223"/>
      <c r="AK89" s="231"/>
      <c r="AL89" s="231"/>
      <c r="AM89" s="240" t="str">
        <f t="shared" si="12"/>
        <v>start /low /b %USERPROFILE%\Documents\GitHub\eaglep3\Utilities\DownloadLogsFromS3.py --loco 4030 --day 2018-01-06</v>
      </c>
      <c r="AN89" s="241" t="str">
        <f t="shared" si="13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20:40:19"},{"id":29,"name":"Sharepoint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 s="230" t="str">
        <f t="shared" si="14"/>
        <v>https://d0f6bd738d7f1b3e5a7ca70fe4ff75f0.us-east-1.aws.found.io/app/kibana#/discover/Steve-Slow-Train-Analysis-(2080s-and-2083s)?_g=(refreshInterval:(display:Off,pause:!f,section:0,value:0),time:(from:'2018-01-06T11:57:57-0700',mode:absolute,to:'2018-01-06T14:40:19-0700'))&amp;_a=(columns:!('Message%20ID',Summary),filters:!(),index:'emp_*',interval:auto,query:(query_string:(analyze_wildcard:!t,query:'%22rtdc.l.rtdc.4030%22')),sort:!(Time.ISO8601,asc))</v>
      </c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3">
      <c r="A90" s="229" t="s">
        <v>803</v>
      </c>
      <c r="B90" s="225">
        <v>4029</v>
      </c>
      <c r="C90" s="227" t="s">
        <v>192</v>
      </c>
      <c r="D90" s="227" t="s">
        <v>602</v>
      </c>
      <c r="E90" s="226">
        <v>43106.578622685185</v>
      </c>
      <c r="F90" s="226">
        <v>43106.581782407404</v>
      </c>
      <c r="G90" s="225">
        <v>76</v>
      </c>
      <c r="H90" s="227" t="s">
        <v>636</v>
      </c>
      <c r="I90" s="226">
        <v>43106.608877314815</v>
      </c>
      <c r="J90" s="225">
        <v>0</v>
      </c>
      <c r="K90" s="237" t="str">
        <f>IF(ISEVEN(B90),(B90-1)&amp;"/"&amp;B90,B90&amp;"/"&amp;(B90+1))</f>
        <v>4029/4030</v>
      </c>
      <c r="L90" s="245" t="str">
        <f>VLOOKUP(A90,'Trips&amp;Operators'!$C$1:$G$99911,5,FALSE)</f>
        <v>DAVIS MICHAEL</v>
      </c>
      <c r="M90" s="224">
        <f>I90-F90</f>
        <v>2.7094907411083113E-2</v>
      </c>
      <c r="N90" s="225">
        <f>24*60*SUM($M90:$M90)</f>
        <v>39.016666671959683</v>
      </c>
      <c r="O90" s="225"/>
      <c r="P90" s="225"/>
      <c r="Q90" s="228"/>
      <c r="R90" s="242"/>
      <c r="S90" s="249">
        <f>1/IF(AG90="EC",12,1)*SUM(U90:U90)</f>
        <v>1</v>
      </c>
      <c r="T90" s="242" t="str">
        <f>IF(ISEVEN(LEFT(AD90,4)),"Southbound","NorthBound")</f>
        <v>Southbound</v>
      </c>
      <c r="U90" s="246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248" t="str">
        <f>"https://d0f6bd738d7f1b3e5a7ca70fe4ff75f0.us-east-1.aws.found.io/app/kibana#/discover/Steve-Slow-Train-Analysis-(2080s-and-2083s)?_g="&amp;"(refreshInterval:(display:Off,pause:!f,section:0,value:0),time:(from:'"&amp;TEXT(E90-1/24,"yyyy-MM-DDThh:mm:ss")&amp;utc_offset&amp;"00"&amp;"',mode:absolute,to:'"&amp;TEXT(I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90&amp;"%22')),sort:!(Time.ISO8601,asc))"</f>
        <v>https://d0f6bd738d7f1b3e5a7ca70fe4ff75f0.us-east-1.aws.found.io/app/kibana#/discover/Steve-Slow-Train-Analysis-(2080s-and-2083s)?_g=(refreshInterval:(display:Off,pause:!f,section:0,value:0),time:(from:'2018-01-06T12:53:13-0700',mode:absolute,to:'2018-01-06T15:36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90" s="247" t="str">
        <f>IF(AA90&lt;VLOOKUP(AG90,Variables!$AC$3:$AD$8,2,FALSE),"Y","N")</f>
        <v>N</v>
      </c>
      <c r="X90" s="247">
        <f>VALUE(LEFT(AD90,4))-VALUE(LEFT(AD89,4))</f>
        <v>1</v>
      </c>
      <c r="Y90" s="247">
        <f>RIGHT(D90,LEN(D90)-4)/10000</f>
        <v>23.2987</v>
      </c>
      <c r="Z90" s="247">
        <f>RIGHT(H90,LEN(H90)-4)/10000</f>
        <v>2.12E-2</v>
      </c>
      <c r="AA90" s="247">
        <f>ABS(Z90-Y90)</f>
        <v>23.2775</v>
      </c>
      <c r="AB90" s="233" t="e">
        <f>VLOOKUP(A90,Enforcements!$C$7:$K$9,8,0)</f>
        <v>#N/A</v>
      </c>
      <c r="AC90" s="232" t="e">
        <f>VLOOKUP(A90,Enforcements!$C$7:$E$9,3,0)</f>
        <v>#N/A</v>
      </c>
      <c r="AD90" s="243">
        <f>VALUE(LEFT(A90,LEN(A90)-3))</f>
        <v>176</v>
      </c>
      <c r="AE90" s="235" t="str">
        <f>"aws s3 cp "&amp;s3_bucket&amp;"/RTDC"&amp;B90&amp;"/ "&amp;search_path&amp;"\RTDC"&amp;B90&amp;"\"&amp;TEXT(F90,"YYYY-MM-DD")&amp;" --exclude ""*"" --recursive --include ""*"&amp;TEXT(F90,"YYYYMMDD")&amp;"*"" &amp; """&amp;walkandungz&amp;""" "&amp;search_path&amp;"\RTDC"&amp;B90&amp;"\"&amp;TEXT(F90,"YYYY-MM-DD")
&amp;" &amp; "&amp;"aws s3 cp "&amp;s3_bucket&amp;"/RTDC"&amp;B90&amp;"/ "&amp;search_path&amp;"\RTDC"&amp;B90&amp;"\"&amp;TEXT(F90+1,"YYYY-MM-DD")&amp;" --exclude ""*"" --recursive --include ""*"&amp;TEXT(F90+1,"YYYYMMDD")&amp;"*"" &amp; """&amp;walkandungz&amp;""" "&amp;search_path&amp;"\RTDC"&amp;B90&amp;"\"&amp;TEXT(F90+1,"YYYY-MM-DD")</f>
        <v>aws s3 cp s3://rtdc.mdm.uploadarchive.raw/RTDC4029/ "%USERPROFILE%\AppData\Local\Temp\OnboardLogs"\RTDC4029\2018-01-06 --exclude "*" --recursive --include "*20180106*" &amp; "%USERPROFILE%\Documents\GitHub\mrs-test-scripts\Headless Mode &amp; Sideloading\WalkAndUnGZ.bat" "%USERPROFILE%\AppData\Local\Temp\OnboardLogs"\RTDC4029\2018-01-06 &amp; aws s3 cp s3://rtdc.mdm.uploadarchive.raw/RTDC4029/ "%USERPROFILE%\AppData\Local\Temp\OnboardLogs"\RTDC4029\2018-01-07 --exclude "*" --recursive --include "*20180107*" &amp; "%USERPROFILE%\Documents\GitHub\mrs-test-scripts\Headless Mode &amp; Sideloading\WalkAndUnGZ.bat" "%USERPROFILE%\AppData\Local\Temp\OnboardLogs"\RTDC4029\2018-01-07</v>
      </c>
      <c r="AF90" s="234" t="str">
        <f>astrogrep_path&amp;" /e /r /s /spath="&amp;search_path&amp;" /stypes=""app*"&amp;B90&amp;"*"&amp;TEXT(I90-utc_offset/24,"YYYYMMDD")&amp;"*"" /stext="" "&amp;TEXT(I90-utc_offset/24,"HH")&amp;search_regexp&amp;""""</f>
        <v>"C:\Program Files (x86)\AstroGrep\AstroGrep.exe" /e /r /s /spath="%USERPROFILE%\AppData\Local\Temp\OnboardLogs" /stypes="app*4029*20180106*" /stext=" 21:.+((SYSTEM_STATE.+slice.+state.+changed )|(ment ac)|(multiple cpu faults)|(system.+state.+changed )|(\[timeout)|(PRM\|1\|D)|(kpr)|(kdp)|(train st.+moving)|(\|lc)|(penalty))"</v>
      </c>
      <c r="AG90" s="244" t="str">
        <f>DetSubdiv(A90)</f>
        <v>EC</v>
      </c>
      <c r="AH90" s="236" t="str">
        <f t="shared" si="10"/>
        <v>"%USERPROFILE%\Documents\GitHub\eaglep3\Utilities\RefineRTDCRunTimes.py" --tripid 176-06 --locoid 4029 --swversion DE.1.0.9.0 --startMP 204:232987 --initTime 2018-01-06T13:53:13 --startdatetime 2018-01-06T13:57:46 --delay 76 --endMP 204:212 --enddatetime 2018-01-06T14:36:47 --enforcementcount 0 &gt;&gt;%USERPROFILE%\Documents\GitHub\eaglep3-reporting\EC\2018-01-06-refined-times.txt</v>
      </c>
      <c r="AI90" s="238" t="str">
        <f t="shared" si="11"/>
        <v>echo {"issue":{"subject":"","project_id":79,"tracker_id":40,"status_id":1,"priority_id":2,"assigned_to_id":338,"start_date":"2018-01-06","description":"","custom_fields":[{"id":1,"name":"Subdivision","value":"EC"},{"id":4,"name":"Milepost","value":"0.0212"},{"id":17,"name":"Train ID","value":"176-06"},{"id":16,"name":"Locomotive ID","value":"4029"},{"id":130,"name":"Impact","value":""},{"id":150,"name":"Time of Event (Mountain Time)","value":"14:36:47"},{"id":151,"name":"Denver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0" s="223"/>
      <c r="AK90" s="231"/>
      <c r="AL90" s="231"/>
      <c r="AM90" s="240" t="str">
        <f t="shared" si="12"/>
        <v>start /low /b %USERPROFILE%\Documents\GitHub\eaglep3\Utilities\DownloadLogsFromS3.py --loco 4029 --day 2018-01-06</v>
      </c>
      <c r="AN90" s="241" t="str">
        <f t="shared" si="13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21:36:47"},{"id":29,"name":"Sharepoint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 s="230" t="str">
        <f t="shared" si="14"/>
        <v>https://d0f6bd738d7f1b3e5a7ca70fe4ff75f0.us-east-1.aws.found.io/app/kibana#/discover/Steve-Slow-Train-Analysis-(2080s-and-2083s)?_g=(refreshInterval:(display:Off,pause:!f,section:0,value:0),time:(from:'2018-01-06T12:53:13-0700',mode:absolute,to:'2018-01-06T15:36:47-0700'))&amp;_a=(columns:!('Message%20ID',Summary),filters:!(),index:'emp_*',interval:auto,query:(query_string:(analyze_wildcard:!t,query:'%22rtdc.l.rtdc.4029%22')),sort:!(Time.ISO8601,asc))</v>
      </c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3">
      <c r="A91" s="229" t="s">
        <v>795</v>
      </c>
      <c r="B91" s="225">
        <v>4012</v>
      </c>
      <c r="C91" s="227" t="s">
        <v>192</v>
      </c>
      <c r="D91" s="227" t="s">
        <v>499</v>
      </c>
      <c r="E91" s="226">
        <v>43106.548946759256</v>
      </c>
      <c r="F91" s="226">
        <v>43106.552256944444</v>
      </c>
      <c r="G91" s="225">
        <v>76</v>
      </c>
      <c r="H91" s="227" t="s">
        <v>943</v>
      </c>
      <c r="I91" s="226">
        <v>43106.576435185183</v>
      </c>
      <c r="J91" s="225">
        <v>0</v>
      </c>
      <c r="K91" s="237" t="str">
        <f>IF(ISEVEN(B91),(B91-1)&amp;"/"&amp;B91,B91&amp;"/"&amp;(B91+1))</f>
        <v>4011/4012</v>
      </c>
      <c r="L91" s="245" t="str">
        <f>VLOOKUP(A91,'Trips&amp;Operators'!$C$1:$G$99911,5,FALSE)</f>
        <v>SAFIEF AEIMEN</v>
      </c>
      <c r="M91" s="224">
        <f>I91-F91</f>
        <v>2.417824073927477E-2</v>
      </c>
      <c r="N91" s="225">
        <f>24*60*SUM($M91:$M91)</f>
        <v>34.816666664555669</v>
      </c>
      <c r="O91" s="225"/>
      <c r="P91" s="225"/>
      <c r="Q91" s="228"/>
      <c r="R91" s="242"/>
      <c r="S91" s="249">
        <f>1/IF(AG91="EC",12,1)*SUM(U91:U91)</f>
        <v>1</v>
      </c>
      <c r="T91" s="242" t="str">
        <f>IF(ISEVEN(LEFT(AD91,4)),"Southbound","NorthBound")</f>
        <v>NorthBound</v>
      </c>
      <c r="U91" s="246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248" t="str">
        <f>"https://d0f6bd738d7f1b3e5a7ca70fe4ff75f0.us-east-1.aws.found.io/app/kibana#/discover/Steve-Slow-Train-Analysis-(2080s-and-2083s)?_g="&amp;"(refreshInterval:(display:Off,pause:!f,section:0,value:0),time:(from:'"&amp;TEXT(E91-1/24,"yyyy-MM-DDThh:mm:ss")&amp;utc_offset&amp;"00"&amp;"',mode:absolute,to:'"&amp;TEXT(I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91&amp;"%22')),sort:!(Time.ISO8601,asc))"</f>
        <v>https://d0f6bd738d7f1b3e5a7ca70fe4ff75f0.us-east-1.aws.found.io/app/kibana#/discover/Steve-Slow-Train-Analysis-(2080s-and-2083s)?_g=(refreshInterval:(display:Off,pause:!f,section:0,value:0),time:(from:'2018-01-06T12:10:29-0700',mode:absolute,to:'2018-01-06T14:50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91" s="247" t="str">
        <f>IF(AA91&lt;VLOOKUP(AG91,Variables!$AC$3:$AD$8,2,FALSE),"Y","N")</f>
        <v>N</v>
      </c>
      <c r="X91" s="247">
        <f>VALUE(LEFT(AD91,4))-VALUE(LEFT(AD90,4))</f>
        <v>1</v>
      </c>
      <c r="Y91" s="247">
        <f>RIGHT(D91,LEN(D91)-4)/10000</f>
        <v>4.8000000000000001E-2</v>
      </c>
      <c r="Z91" s="247">
        <f>RIGHT(H91,LEN(H91)-4)/10000</f>
        <v>23.331099999999999</v>
      </c>
      <c r="AA91" s="247">
        <f>ABS(Z91-Y91)</f>
        <v>23.283100000000001</v>
      </c>
      <c r="AB91" s="233" t="e">
        <f>VLOOKUP(A91,Enforcements!$C$7:$K$9,8,0)</f>
        <v>#N/A</v>
      </c>
      <c r="AC91" s="232" t="e">
        <f>VLOOKUP(A91,Enforcements!$C$7:$E$9,3,0)</f>
        <v>#N/A</v>
      </c>
      <c r="AD91" s="243">
        <f>VALUE(LEFT(A91,LEN(A91)-3))</f>
        <v>177</v>
      </c>
      <c r="AE91" s="235" t="str">
        <f>"aws s3 cp "&amp;s3_bucket&amp;"/RTDC"&amp;B91&amp;"/ "&amp;search_path&amp;"\RTDC"&amp;B91&amp;"\"&amp;TEXT(F91,"YYYY-MM-DD")&amp;" --exclude ""*"" --recursive --include ""*"&amp;TEXT(F91,"YYYYMMDD")&amp;"*"" &amp; """&amp;walkandungz&amp;""" "&amp;search_path&amp;"\RTDC"&amp;B91&amp;"\"&amp;TEXT(F91,"YYYY-MM-DD")
&amp;" &amp; "&amp;"aws s3 cp "&amp;s3_bucket&amp;"/RTDC"&amp;B91&amp;"/ "&amp;search_path&amp;"\RTDC"&amp;B91&amp;"\"&amp;TEXT(F91+1,"YYYY-MM-DD")&amp;" --exclude ""*"" --recursive --include ""*"&amp;TEXT(F91+1,"YYYYMMDD")&amp;"*"" &amp; """&amp;walkandungz&amp;""" "&amp;search_path&amp;"\RTDC"&amp;B91&amp;"\"&amp;TEXT(F91+1,"YYYY-MM-DD")</f>
        <v>aws s3 cp s3://rtdc.mdm.uploadarchive.raw/RTDC4012/ "%USERPROFILE%\AppData\Local\Temp\OnboardLogs"\RTDC4012\2018-01-06 --exclude "*" --recursive --include "*20180106*" &amp; "%USERPROFILE%\Documents\GitHub\mrs-test-scripts\Headless Mode &amp; Sideloading\WalkAndUnGZ.bat" "%USERPROFILE%\AppData\Local\Temp\OnboardLogs"\RTDC4012\2018-01-06 &amp; aws s3 cp s3://rtdc.mdm.uploadarchive.raw/RTDC4012/ "%USERPROFILE%\AppData\Local\Temp\OnboardLogs"\RTDC4012\2018-01-07 --exclude "*" --recursive --include "*20180107*" &amp; "%USERPROFILE%\Documents\GitHub\mrs-test-scripts\Headless Mode &amp; Sideloading\WalkAndUnGZ.bat" "%USERPROFILE%\AppData\Local\Temp\OnboardLogs"\RTDC4012\2018-01-07</v>
      </c>
      <c r="AF91" s="234" t="str">
        <f>astrogrep_path&amp;" /e /r /s /spath="&amp;search_path&amp;" /stypes=""app*"&amp;B91&amp;"*"&amp;TEXT(I91-utc_offset/24,"YYYYMMDD")&amp;"*"" /stext="" "&amp;TEXT(I91-utc_offset/24,"HH")&amp;search_regexp&amp;""""</f>
        <v>"C:\Program Files (x86)\AstroGrep\AstroGrep.exe" /e /r /s /spath="%USERPROFILE%\AppData\Local\Temp\OnboardLogs" /stypes="app*4012*20180106*" /stext=" 20:.+((SYSTEM_STATE.+slice.+state.+changed )|(ment ac)|(multiple cpu faults)|(system.+state.+changed )|(\[timeout)|(PRM\|1\|D)|(kpr)|(kdp)|(train st.+moving)|(\|lc)|(penalty))"</v>
      </c>
      <c r="AG91" s="244" t="str">
        <f>DetSubdiv(A91)</f>
        <v>EC</v>
      </c>
      <c r="AH91" s="236" t="str">
        <f t="shared" si="10"/>
        <v>"%USERPROFILE%\Documents\GitHub\eaglep3\Utilities\RefineRTDCRunTimes.py" --tripid 177-06 --locoid 4012 --swversion DE.1.0.9.0 --startMP 204:480 --initTime 2018-01-06T13:10:29 --startdatetime 2018-01-06T13:15:15 --delay 76 --endMP 204:233311 --enddatetime 2018-01-06T13:50:04 --enforcementcount 0 &gt;&gt;%USERPROFILE%\Documents\GitHub\eaglep3-reporting\EC\2018-01-06-refined-times.txt</v>
      </c>
      <c r="AI91" s="238" t="str">
        <f t="shared" si="11"/>
        <v>echo {"issue":{"subject":"","project_id":79,"tracker_id":40,"status_id":1,"priority_id":2,"assigned_to_id":338,"start_date":"2018-01-06","description":"","custom_fields":[{"id":1,"name":"Subdivision","value":"EC"},{"id":4,"name":"Milepost","value":"23.3311"},{"id":17,"name":"Train ID","value":"177-06"},{"id":16,"name":"Locomotive ID","value":"4012"},{"id":130,"name":"Impact","value":""},{"id":150,"name":"Time of Event (Mountain Time)","value":"13:50:04"},{"id":151,"name":"Denver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1" s="223"/>
      <c r="AK91" s="231"/>
      <c r="AL91" s="231"/>
      <c r="AM91" s="240" t="str">
        <f t="shared" si="12"/>
        <v>start /low /b %USERPROFILE%\Documents\GitHub\eaglep3\Utilities\DownloadLogsFromS3.py --loco 4012 --day 2018-01-06</v>
      </c>
      <c r="AN91" s="241" t="str">
        <f t="shared" si="13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20:50:04"},{"id":29,"name":"Sharepoint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 s="230" t="str">
        <f t="shared" si="14"/>
        <v>https://d0f6bd738d7f1b3e5a7ca70fe4ff75f0.us-east-1.aws.found.io/app/kibana#/discover/Steve-Slow-Train-Analysis-(2080s-and-2083s)?_g=(refreshInterval:(display:Off,pause:!f,section:0,value:0),time:(from:'2018-01-06T12:10:29-0700',mode:absolute,to:'2018-01-06T14:50:04-0700'))&amp;_a=(columns:!('Message%20ID',Summary),filters:!(),index:'emp_*',interval:auto,query:(query_string:(analyze_wildcard:!t,query:'%22rtdc.l.rtdc.4012%22')),sort:!(Time.ISO8601,asc))</v>
      </c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3">
      <c r="A92" s="229" t="s">
        <v>802</v>
      </c>
      <c r="B92" s="225">
        <v>4011</v>
      </c>
      <c r="C92" s="227" t="s">
        <v>192</v>
      </c>
      <c r="D92" s="227" t="s">
        <v>944</v>
      </c>
      <c r="E92" s="226">
        <v>43106.578287037039</v>
      </c>
      <c r="F92" s="226">
        <v>43106.591851851852</v>
      </c>
      <c r="G92" s="225">
        <v>86</v>
      </c>
      <c r="H92" s="227" t="s">
        <v>623</v>
      </c>
      <c r="I92" s="226">
        <v>43106.618483796294</v>
      </c>
      <c r="J92" s="225">
        <v>0</v>
      </c>
      <c r="K92" s="237" t="str">
        <f>IF(ISEVEN(B92),(B92-1)&amp;"/"&amp;B92,B92&amp;"/"&amp;(B92+1))</f>
        <v>4011/4012</v>
      </c>
      <c r="L92" s="245" t="str">
        <f>VLOOKUP(A92,'Trips&amp;Operators'!$C$1:$G$99911,5,FALSE)</f>
        <v>SAFIEF AEIMEN</v>
      </c>
      <c r="M92" s="224">
        <f>I92-F92</f>
        <v>2.6631944441760425E-2</v>
      </c>
      <c r="N92" s="225">
        <f>24*60*SUM($M92:$M92)</f>
        <v>38.349999996135011</v>
      </c>
      <c r="O92" s="225"/>
      <c r="P92" s="225"/>
      <c r="Q92" s="228"/>
      <c r="R92" s="242"/>
      <c r="S92" s="249">
        <f>1/IF(AG92="EC",12,1)*SUM(U92:U92)</f>
        <v>1</v>
      </c>
      <c r="T92" s="242" t="str">
        <f>IF(ISEVEN(LEFT(AD92,4)),"Southbound","NorthBound")</f>
        <v>Southbound</v>
      </c>
      <c r="U92" s="246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248" t="str">
        <f>"https://d0f6bd738d7f1b3e5a7ca70fe4ff75f0.us-east-1.aws.found.io/app/kibana#/discover/Steve-Slow-Train-Analysis-(2080s-and-2083s)?_g="&amp;"(refreshInterval:(display:Off,pause:!f,section:0,value:0),time:(from:'"&amp;TEXT(E92-1/24,"yyyy-MM-DDThh:mm:ss")&amp;utc_offset&amp;"00"&amp;"',mode:absolute,to:'"&amp;TEXT(I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92&amp;"%22')),sort:!(Time.ISO8601,asc))"</f>
        <v>https://d0f6bd738d7f1b3e5a7ca70fe4ff75f0.us-east-1.aws.found.io/app/kibana#/discover/Steve-Slow-Train-Analysis-(2080s-and-2083s)?_g=(refreshInterval:(display:Off,pause:!f,section:0,value:0),time:(from:'2018-01-06T12:52:44-0700',mode:absolute,to:'2018-01-06T15:50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92" s="247" t="str">
        <f>IF(AA92&lt;VLOOKUP(AG92,Variables!$AC$3:$AD$8,2,FALSE),"Y","N")</f>
        <v>N</v>
      </c>
      <c r="X92" s="247">
        <f>VALUE(LEFT(AD92,4))-VALUE(LEFT(AD91,4))</f>
        <v>1</v>
      </c>
      <c r="Y92" s="247">
        <f>RIGHT(D92,LEN(D92)-4)/10000</f>
        <v>23.2988</v>
      </c>
      <c r="Z92" s="247">
        <f>RIGHT(H92,LEN(H92)-4)/10000</f>
        <v>1.9800000000000002E-2</v>
      </c>
      <c r="AA92" s="247">
        <f>ABS(Z92-Y92)</f>
        <v>23.279</v>
      </c>
      <c r="AB92" s="233" t="e">
        <f>VLOOKUP(A92,Enforcements!$C$7:$K$9,8,0)</f>
        <v>#N/A</v>
      </c>
      <c r="AC92" s="232" t="e">
        <f>VLOOKUP(A92,Enforcements!$C$7:$E$9,3,0)</f>
        <v>#N/A</v>
      </c>
      <c r="AD92" s="243">
        <f>VALUE(LEFT(A92,LEN(A92)-3))</f>
        <v>178</v>
      </c>
      <c r="AE92" s="235" t="str">
        <f>"aws s3 cp "&amp;s3_bucket&amp;"/RTDC"&amp;B92&amp;"/ "&amp;search_path&amp;"\RTDC"&amp;B92&amp;"\"&amp;TEXT(F92,"YYYY-MM-DD")&amp;" --exclude ""*"" --recursive --include ""*"&amp;TEXT(F92,"YYYYMMDD")&amp;"*"" &amp; """&amp;walkandungz&amp;""" "&amp;search_path&amp;"\RTDC"&amp;B92&amp;"\"&amp;TEXT(F92,"YYYY-MM-DD")
&amp;" &amp; "&amp;"aws s3 cp "&amp;s3_bucket&amp;"/RTDC"&amp;B92&amp;"/ "&amp;search_path&amp;"\RTDC"&amp;B92&amp;"\"&amp;TEXT(F92+1,"YYYY-MM-DD")&amp;" --exclude ""*"" --recursive --include ""*"&amp;TEXT(F92+1,"YYYYMMDD")&amp;"*"" &amp; """&amp;walkandungz&amp;""" "&amp;search_path&amp;"\RTDC"&amp;B92&amp;"\"&amp;TEXT(F92+1,"YYYY-MM-DD")</f>
        <v>aws s3 cp s3://rtdc.mdm.uploadarchive.raw/RTDC4011/ "%USERPROFILE%\AppData\Local\Temp\OnboardLogs"\RTDC4011\2018-01-06 --exclude "*" --recursive --include "*20180106*" &amp; "%USERPROFILE%\Documents\GitHub\mrs-test-scripts\Headless Mode &amp; Sideloading\WalkAndUnGZ.bat" "%USERPROFILE%\AppData\Local\Temp\OnboardLogs"\RTDC4011\2018-01-06 &amp; aws s3 cp s3://rtdc.mdm.uploadarchive.raw/RTDC4011/ "%USERPROFILE%\AppData\Local\Temp\OnboardLogs"\RTDC4011\2018-01-07 --exclude "*" --recursive --include "*20180107*" &amp; "%USERPROFILE%\Documents\GitHub\mrs-test-scripts\Headless Mode &amp; Sideloading\WalkAndUnGZ.bat" "%USERPROFILE%\AppData\Local\Temp\OnboardLogs"\RTDC4011\2018-01-07</v>
      </c>
      <c r="AF92" s="234" t="str">
        <f>astrogrep_path&amp;" /e /r /s /spath="&amp;search_path&amp;" /stypes=""app*"&amp;B92&amp;"*"&amp;TEXT(I92-utc_offset/24,"YYYYMMDD")&amp;"*"" /stext="" "&amp;TEXT(I92-utc_offset/24,"HH")&amp;search_regexp&amp;""""</f>
        <v>"C:\Program Files (x86)\AstroGrep\AstroGrep.exe" /e /r /s /spath="%USERPROFILE%\AppData\Local\Temp\OnboardLogs" /stypes="app*4011*20180106*" /stext=" 21:.+((SYSTEM_STATE.+slice.+state.+changed )|(ment ac)|(multiple cpu faults)|(system.+state.+changed )|(\[timeout)|(PRM\|1\|D)|(kpr)|(kdp)|(train st.+moving)|(\|lc)|(penalty))"</v>
      </c>
      <c r="AG92" s="244" t="str">
        <f>DetSubdiv(A92)</f>
        <v>EC</v>
      </c>
      <c r="AH92" s="236" t="str">
        <f t="shared" si="10"/>
        <v>"%USERPROFILE%\Documents\GitHub\eaglep3\Utilities\RefineRTDCRunTimes.py" --tripid 178-06 --locoid 4011 --swversion DE.1.0.9.0 --startMP 204:232988 --initTime 2018-01-06T13:52:44 --startdatetime 2018-01-06T14:12:16 --delay 86 --endMP 204:198 --enddatetime 2018-01-06T14:50:37 --enforcementcount 0 &gt;&gt;%USERPROFILE%\Documents\GitHub\eaglep3-reporting\EC\2018-01-06-refined-times.txt</v>
      </c>
      <c r="AI92" s="238" t="str">
        <f t="shared" si="11"/>
        <v>echo {"issue":{"subject":"","project_id":79,"tracker_id":40,"status_id":1,"priority_id":2,"assigned_to_id":338,"start_date":"2018-01-06","description":"","custom_fields":[{"id":1,"name":"Subdivision","value":"EC"},{"id":4,"name":"Milepost","value":"0.0198"},{"id":17,"name":"Train ID","value":"178-06"},{"id":16,"name":"Locomotive ID","value":"4011"},{"id":130,"name":"Impact","value":""},{"id":150,"name":"Time of Event (Mountain Time)","value":"14:50:37"},{"id":151,"name":"Denver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2" s="223"/>
      <c r="AK92" s="231"/>
      <c r="AL92" s="231"/>
      <c r="AM92" s="240" t="str">
        <f t="shared" si="12"/>
        <v>start /low /b %USERPROFILE%\Documents\GitHub\eaglep3\Utilities\DownloadLogsFromS3.py --loco 4011 --day 2018-01-06</v>
      </c>
      <c r="AN92" s="241" t="str">
        <f t="shared" si="13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21:50:37"},{"id":29,"name":"Sharepoint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 s="230" t="str">
        <f t="shared" si="14"/>
        <v>https://d0f6bd738d7f1b3e5a7ca70fe4ff75f0.us-east-1.aws.found.io/app/kibana#/discover/Steve-Slow-Train-Analysis-(2080s-and-2083s)?_g=(refreshInterval:(display:Off,pause:!f,section:0,value:0),time:(from:'2018-01-06T12:52:44-0700',mode:absolute,to:'2018-01-06T15:50:37-0700'))&amp;_a=(columns:!('Message%20ID',Summary),filters:!(),index:'emp_*',interval:auto,query:(query_string:(analyze_wildcard:!t,query:'%22rtdc.l.rtdc.4011%22')),sort:!(Time.ISO8601,asc))</v>
      </c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3">
      <c r="A93" s="229" t="s">
        <v>798</v>
      </c>
      <c r="B93" s="225">
        <v>4044</v>
      </c>
      <c r="C93" s="227" t="s">
        <v>192</v>
      </c>
      <c r="D93" s="227" t="s">
        <v>511</v>
      </c>
      <c r="E93" s="226">
        <v>43106.559374999997</v>
      </c>
      <c r="F93" s="226">
        <v>43106.562685185185</v>
      </c>
      <c r="G93" s="225">
        <v>50</v>
      </c>
      <c r="H93" s="227" t="s">
        <v>942</v>
      </c>
      <c r="I93" s="226">
        <v>43106.587916666664</v>
      </c>
      <c r="J93" s="225">
        <v>0</v>
      </c>
      <c r="K93" s="237" t="str">
        <f>IF(ISEVEN(B93),(B93-1)&amp;"/"&amp;B93,B93&amp;"/"&amp;(B93+1))</f>
        <v>4043/4044</v>
      </c>
      <c r="L93" s="245" t="str">
        <f>VLOOKUP(A93,'Trips&amp;Operators'!$C$1:$G$99911,5,FALSE)</f>
        <v>GUZMAN DANNY</v>
      </c>
      <c r="M93" s="224">
        <f>I93-F93</f>
        <v>2.5231481478840578E-2</v>
      </c>
      <c r="N93" s="225">
        <f>24*60*SUM($M93:$M93)</f>
        <v>36.333333329530433</v>
      </c>
      <c r="O93" s="225"/>
      <c r="P93" s="225"/>
      <c r="Q93" s="228"/>
      <c r="R93" s="242"/>
      <c r="S93" s="249">
        <f>1/IF(AG93="EC",12,1)*SUM(U93:U93)</f>
        <v>1</v>
      </c>
      <c r="T93" s="242" t="str">
        <f>IF(ISEVEN(LEFT(AD93,4)),"Southbound","NorthBound")</f>
        <v>NorthBound</v>
      </c>
      <c r="U93" s="246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248" t="str">
        <f>"https://d0f6bd738d7f1b3e5a7ca70fe4ff75f0.us-east-1.aws.found.io/app/kibana#/discover/Steve-Slow-Train-Analysis-(2080s-and-2083s)?_g="&amp;"(refreshInterval:(display:Off,pause:!f,section:0,value:0),time:(from:'"&amp;TEXT(E93-1/24,"yyyy-MM-DDThh:mm:ss")&amp;utc_offset&amp;"00"&amp;"',mode:absolute,to:'"&amp;TEXT(I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93&amp;"%22')),sort:!(Time.ISO8601,asc))"</f>
        <v>https://d0f6bd738d7f1b3e5a7ca70fe4ff75f0.us-east-1.aws.found.io/app/kibana#/discover/Steve-Slow-Train-Analysis-(2080s-and-2083s)?_g=(refreshInterval:(display:Off,pause:!f,section:0,value:0),time:(from:'2018-01-06T12:25:30-0700',mode:absolute,to:'2018-01-06T15:06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93" s="247" t="str">
        <f>IF(AA93&lt;VLOOKUP(AG93,Variables!$AC$3:$AD$8,2,FALSE),"Y","N")</f>
        <v>N</v>
      </c>
      <c r="X93" s="247">
        <f>VALUE(LEFT(AD93,4))-VALUE(LEFT(AD92,4))</f>
        <v>1</v>
      </c>
      <c r="Y93" s="247">
        <f>RIGHT(D93,LEN(D93)-4)/10000</f>
        <v>4.9799999999999997E-2</v>
      </c>
      <c r="Z93" s="247">
        <f>RIGHT(H93,LEN(H93)-4)/10000</f>
        <v>23.330400000000001</v>
      </c>
      <c r="AA93" s="247">
        <f>ABS(Z93-Y93)</f>
        <v>23.2806</v>
      </c>
      <c r="AB93" s="233" t="e">
        <f>VLOOKUP(A93,Enforcements!$C$7:$K$9,8,0)</f>
        <v>#N/A</v>
      </c>
      <c r="AC93" s="232" t="e">
        <f>VLOOKUP(A93,Enforcements!$C$7:$E$9,3,0)</f>
        <v>#N/A</v>
      </c>
      <c r="AD93" s="243">
        <f>VALUE(LEFT(A93,LEN(A93)-3))</f>
        <v>179</v>
      </c>
      <c r="AE93" s="235" t="str">
        <f>"aws s3 cp "&amp;s3_bucket&amp;"/RTDC"&amp;B93&amp;"/ "&amp;search_path&amp;"\RTDC"&amp;B93&amp;"\"&amp;TEXT(F93,"YYYY-MM-DD")&amp;" --exclude ""*"" --recursive --include ""*"&amp;TEXT(F93,"YYYYMMDD")&amp;"*"" &amp; """&amp;walkandungz&amp;""" "&amp;search_path&amp;"\RTDC"&amp;B93&amp;"\"&amp;TEXT(F93,"YYYY-MM-DD")
&amp;" &amp; "&amp;"aws s3 cp "&amp;s3_bucket&amp;"/RTDC"&amp;B93&amp;"/ "&amp;search_path&amp;"\RTDC"&amp;B93&amp;"\"&amp;TEXT(F93+1,"YYYY-MM-DD")&amp;" --exclude ""*"" --recursive --include ""*"&amp;TEXT(F93+1,"YYYYMMDD")&amp;"*"" &amp; """&amp;walkandungz&amp;""" "&amp;search_path&amp;"\RTDC"&amp;B93&amp;"\"&amp;TEXT(F93+1,"YYYY-MM-DD")</f>
        <v>aws s3 cp s3://rtdc.mdm.uploadarchive.raw/RTDC4044/ "%USERPROFILE%\AppData\Local\Temp\OnboardLogs"\RTDC4044\2018-01-06 --exclude "*" --recursive --include "*20180106*" &amp; "%USERPROFILE%\Documents\GitHub\mrs-test-scripts\Headless Mode &amp; Sideloading\WalkAndUnGZ.bat" "%USERPROFILE%\AppData\Local\Temp\OnboardLogs"\RTDC4044\2018-01-06 &amp; aws s3 cp s3://rtdc.mdm.uploadarchive.raw/RTDC4044/ "%USERPROFILE%\AppData\Local\Temp\OnboardLogs"\RTDC4044\2018-01-07 --exclude "*" --recursive --include "*20180107*" &amp; "%USERPROFILE%\Documents\GitHub\mrs-test-scripts\Headless Mode &amp; Sideloading\WalkAndUnGZ.bat" "%USERPROFILE%\AppData\Local\Temp\OnboardLogs"\RTDC4044\2018-01-07</v>
      </c>
      <c r="AF93" s="234" t="str">
        <f>astrogrep_path&amp;" /e /r /s /spath="&amp;search_path&amp;" /stypes=""app*"&amp;B93&amp;"*"&amp;TEXT(I93-utc_offset/24,"YYYYMMDD")&amp;"*"" /stext="" "&amp;TEXT(I93-utc_offset/24,"HH")&amp;search_regexp&amp;""""</f>
        <v>"C:\Program Files (x86)\AstroGrep\AstroGrep.exe" /e /r /s /spath="%USERPROFILE%\AppData\Local\Temp\OnboardLogs" /stypes="app*4044*20180106*" /stext=" 21:.+((SYSTEM_STATE.+slice.+state.+changed )|(ment ac)|(multiple cpu faults)|(system.+state.+changed )|(\[timeout)|(PRM\|1\|D)|(kpr)|(kdp)|(train st.+moving)|(\|lc)|(penalty))"</v>
      </c>
      <c r="AG93" s="244" t="str">
        <f>DetSubdiv(A93)</f>
        <v>EC</v>
      </c>
      <c r="AH93" s="236" t="str">
        <f t="shared" si="10"/>
        <v>"%USERPROFILE%\Documents\GitHub\eaglep3\Utilities\RefineRTDCRunTimes.py" --tripid 179-06 --locoid 4044 --swversion DE.1.0.9.0 --startMP 204:498 --initTime 2018-01-06T13:25:30 --startdatetime 2018-01-06T13:30:16 --delay 50 --endMP 204:233304 --enddatetime 2018-01-06T14:06:36 --enforcementcount 0 &gt;&gt;%USERPROFILE%\Documents\GitHub\eaglep3-reporting\EC\2018-01-06-refined-times.txt</v>
      </c>
      <c r="AI93" s="238" t="str">
        <f t="shared" si="11"/>
        <v>echo {"issue":{"subject":"","project_id":79,"tracker_id":40,"status_id":1,"priority_id":2,"assigned_to_id":338,"start_date":"2018-01-06","description":"","custom_fields":[{"id":1,"name":"Subdivision","value":"EC"},{"id":4,"name":"Milepost","value":"23.3304"},{"id":17,"name":"Train ID","value":"179-06"},{"id":16,"name":"Locomotive ID","value":"4044"},{"id":130,"name":"Impact","value":""},{"id":150,"name":"Time of Event (Mountain Time)","value":"14:06:36"},{"id":151,"name":"Denver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3" s="223"/>
      <c r="AK93" s="231"/>
      <c r="AL93" s="231"/>
      <c r="AM93" s="240" t="str">
        <f t="shared" si="12"/>
        <v>start /low /b %USERPROFILE%\Documents\GitHub\eaglep3\Utilities\DownloadLogsFromS3.py --loco 4044 --day 2018-01-06</v>
      </c>
      <c r="AN93" s="241" t="str">
        <f t="shared" si="13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21:06:36"},{"id":29,"name":"Sharepoint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 s="230" t="str">
        <f t="shared" si="14"/>
        <v>https://d0f6bd738d7f1b3e5a7ca70fe4ff75f0.us-east-1.aws.found.io/app/kibana#/discover/Steve-Slow-Train-Analysis-(2080s-and-2083s)?_g=(refreshInterval:(display:Off,pause:!f,section:0,value:0),time:(from:'2018-01-06T12:25:30-0700',mode:absolute,to:'2018-01-06T15:06:36-0700'))&amp;_a=(columns:!('Message%20ID',Summary),filters:!(),index:'emp_*',interval:auto,query:(query_string:(analyze_wildcard:!t,query:'%22rtdc.l.rtdc.4044%22')),sort:!(Time.ISO8601,asc))</v>
      </c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3">
      <c r="A94" s="229" t="s">
        <v>806</v>
      </c>
      <c r="B94" s="225">
        <v>4043</v>
      </c>
      <c r="C94" s="227" t="s">
        <v>192</v>
      </c>
      <c r="D94" s="227" t="s">
        <v>530</v>
      </c>
      <c r="E94" s="226">
        <v>43106.594687500001</v>
      </c>
      <c r="F94" s="226">
        <v>43106.602256944447</v>
      </c>
      <c r="G94" s="225">
        <v>52</v>
      </c>
      <c r="H94" s="227" t="s">
        <v>477</v>
      </c>
      <c r="I94" s="226">
        <v>43106.627997685187</v>
      </c>
      <c r="J94" s="225">
        <v>0</v>
      </c>
      <c r="K94" s="237" t="str">
        <f>IF(ISEVEN(B94),(B94-1)&amp;"/"&amp;B94,B94&amp;"/"&amp;(B94+1))</f>
        <v>4043/4044</v>
      </c>
      <c r="L94" s="245" t="str">
        <f>VLOOKUP(A94,'Trips&amp;Operators'!$C$1:$G$99911,5,FALSE)</f>
        <v>GUZMAN DANNY</v>
      </c>
      <c r="M94" s="224">
        <f>I94-F94</f>
        <v>2.5740740740729962E-2</v>
      </c>
      <c r="N94" s="225">
        <f>24*60*SUM($M94:$M94)</f>
        <v>37.066666666651145</v>
      </c>
      <c r="O94" s="225"/>
      <c r="P94" s="225"/>
      <c r="Q94" s="228"/>
      <c r="R94" s="242"/>
      <c r="S94" s="249">
        <f>1/IF(AG94="EC",12,1)*SUM(U94:U94)</f>
        <v>1</v>
      </c>
      <c r="T94" s="242" t="str">
        <f>IF(ISEVEN(LEFT(AD94,4)),"Southbound","NorthBound")</f>
        <v>Southbound</v>
      </c>
      <c r="U94" s="246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248" t="str">
        <f>"https://d0f6bd738d7f1b3e5a7ca70fe4ff75f0.us-east-1.aws.found.io/app/kibana#/discover/Steve-Slow-Train-Analysis-(2080s-and-2083s)?_g="&amp;"(refreshInterval:(display:Off,pause:!f,section:0,value:0),time:(from:'"&amp;TEXT(E94-1/24,"yyyy-MM-DDThh:mm:ss")&amp;utc_offset&amp;"00"&amp;"',mode:absolute,to:'"&amp;TEXT(I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94&amp;"%22')),sort:!(Time.ISO8601,asc))"</f>
        <v>https://d0f6bd738d7f1b3e5a7ca70fe4ff75f0.us-east-1.aws.found.io/app/kibana#/discover/Steve-Slow-Train-Analysis-(2080s-and-2083s)?_g=(refreshInterval:(display:Off,pause:!f,section:0,value:0),time:(from:'2018-01-06T13:16:21-0700',mode:absolute,to:'2018-01-06T16:04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94" s="247" t="str">
        <f>IF(AA94&lt;VLOOKUP(AG94,Variables!$AC$3:$AD$8,2,FALSE),"Y","N")</f>
        <v>N</v>
      </c>
      <c r="X94" s="247">
        <f>VALUE(LEFT(AD94,4))-VALUE(LEFT(AD93,4))</f>
        <v>1</v>
      </c>
      <c r="Y94" s="247">
        <f>RIGHT(D94,LEN(D94)-4)/10000</f>
        <v>23.298300000000001</v>
      </c>
      <c r="Z94" s="247">
        <f>RIGHT(H94,LEN(H94)-4)/10000</f>
        <v>2.01E-2</v>
      </c>
      <c r="AA94" s="247">
        <f>ABS(Z94-Y94)</f>
        <v>23.278200000000002</v>
      </c>
      <c r="AB94" s="233" t="e">
        <f>VLOOKUP(A94,Enforcements!$C$7:$K$9,8,0)</f>
        <v>#N/A</v>
      </c>
      <c r="AC94" s="232" t="e">
        <f>VLOOKUP(A94,Enforcements!$C$7:$E$9,3,0)</f>
        <v>#N/A</v>
      </c>
      <c r="AD94" s="243">
        <f>VALUE(LEFT(A94,LEN(A94)-3))</f>
        <v>180</v>
      </c>
      <c r="AE94" s="235" t="str">
        <f>"aws s3 cp "&amp;s3_bucket&amp;"/RTDC"&amp;B94&amp;"/ "&amp;search_path&amp;"\RTDC"&amp;B94&amp;"\"&amp;TEXT(F94,"YYYY-MM-DD")&amp;" --exclude ""*"" --recursive --include ""*"&amp;TEXT(F94,"YYYYMMDD")&amp;"*"" &amp; """&amp;walkandungz&amp;""" "&amp;search_path&amp;"\RTDC"&amp;B94&amp;"\"&amp;TEXT(F94,"YYYY-MM-DD")
&amp;" &amp; "&amp;"aws s3 cp "&amp;s3_bucket&amp;"/RTDC"&amp;B94&amp;"/ "&amp;search_path&amp;"\RTDC"&amp;B94&amp;"\"&amp;TEXT(F94+1,"YYYY-MM-DD")&amp;" --exclude ""*"" --recursive --include ""*"&amp;TEXT(F94+1,"YYYYMMDD")&amp;"*"" &amp; """&amp;walkandungz&amp;""" "&amp;search_path&amp;"\RTDC"&amp;B94&amp;"\"&amp;TEXT(F94+1,"YYYY-MM-DD")</f>
        <v>aws s3 cp s3://rtdc.mdm.uploadarchive.raw/RTDC4043/ "%USERPROFILE%\AppData\Local\Temp\OnboardLogs"\RTDC4043\2018-01-06 --exclude "*" --recursive --include "*20180106*" &amp; "%USERPROFILE%\Documents\GitHub\mrs-test-scripts\Headless Mode &amp; Sideloading\WalkAndUnGZ.bat" "%USERPROFILE%\AppData\Local\Temp\OnboardLogs"\RTDC4043\2018-01-06 &amp; aws s3 cp s3://rtdc.mdm.uploadarchive.raw/RTDC4043/ "%USERPROFILE%\AppData\Local\Temp\OnboardLogs"\RTDC4043\2018-01-07 --exclude "*" --recursive --include "*20180107*" &amp; "%USERPROFILE%\Documents\GitHub\mrs-test-scripts\Headless Mode &amp; Sideloading\WalkAndUnGZ.bat" "%USERPROFILE%\AppData\Local\Temp\OnboardLogs"\RTDC4043\2018-01-07</v>
      </c>
      <c r="AF94" s="234" t="str">
        <f>astrogrep_path&amp;" /e /r /s /spath="&amp;search_path&amp;" /stypes=""app*"&amp;B94&amp;"*"&amp;TEXT(I94-utc_offset/24,"YYYYMMDD")&amp;"*"" /stext="" "&amp;TEXT(I94-utc_offset/24,"HH")&amp;search_regexp&amp;""""</f>
        <v>"C:\Program Files (x86)\AstroGrep\AstroGrep.exe" /e /r /s /spath="%USERPROFILE%\AppData\Local\Temp\OnboardLogs" /stypes="app*4043*20180106*" /stext=" 22:.+((SYSTEM_STATE.+slice.+state.+changed )|(ment ac)|(multiple cpu faults)|(system.+state.+changed )|(\[timeout)|(PRM\|1\|D)|(kpr)|(kdp)|(train st.+moving)|(\|lc)|(penalty))"</v>
      </c>
      <c r="AG94" s="244" t="str">
        <f>DetSubdiv(A94)</f>
        <v>EC</v>
      </c>
      <c r="AH94" s="236" t="str">
        <f t="shared" si="10"/>
        <v>"%USERPROFILE%\Documents\GitHub\eaglep3\Utilities\RefineRTDCRunTimes.py" --tripid 180-06 --locoid 4043 --swversion DE.1.0.9.0 --startMP 204:232983 --initTime 2018-01-06T14:16:21 --startdatetime 2018-01-06T14:27:15 --delay 52 --endMP 204:201 --enddatetime 2018-01-06T15:04:19 --enforcementcount 0 &gt;&gt;%USERPROFILE%\Documents\GitHub\eaglep3-reporting\EC\2018-01-06-refined-times.txt</v>
      </c>
      <c r="AI94" s="238" t="str">
        <f t="shared" si="11"/>
        <v>echo {"issue":{"subject":"","project_id":79,"tracker_id":40,"status_id":1,"priority_id":2,"assigned_to_id":338,"start_date":"2018-01-06","description":"","custom_fields":[{"id":1,"name":"Subdivision","value":"EC"},{"id":4,"name":"Milepost","value":"0.0201"},{"id":17,"name":"Train ID","value":"180-06"},{"id":16,"name":"Locomotive ID","value":"4043"},{"id":130,"name":"Impact","value":""},{"id":150,"name":"Time of Event (Mountain Time)","value":"15:04:19"},{"id":151,"name":"Denver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4" s="223"/>
      <c r="AK94" s="231"/>
      <c r="AL94" s="231"/>
      <c r="AM94" s="240" t="str">
        <f t="shared" si="12"/>
        <v>start /low /b %USERPROFILE%\Documents\GitHub\eaglep3\Utilities\DownloadLogsFromS3.py --loco 4043 --day 2018-01-06</v>
      </c>
      <c r="AN94" s="241" t="str">
        <f t="shared" si="13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22:04:19"},{"id":29,"name":"Sharepoint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 s="230" t="str">
        <f t="shared" si="14"/>
        <v>https://d0f6bd738d7f1b3e5a7ca70fe4ff75f0.us-east-1.aws.found.io/app/kibana#/discover/Steve-Slow-Train-Analysis-(2080s-and-2083s)?_g=(refreshInterval:(display:Off,pause:!f,section:0,value:0),time:(from:'2018-01-06T13:16:21-0700',mode:absolute,to:'2018-01-06T16:04:19-0700'))&amp;_a=(columns:!('Message%20ID',Summary),filters:!(),index:'emp_*',interval:auto,query:(query_string:(analyze_wildcard:!t,query:'%22rtdc.l.rtdc.4043%22')),sort:!(Time.ISO8601,asc))</v>
      </c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3">
      <c r="A95" s="229" t="s">
        <v>799</v>
      </c>
      <c r="B95" s="225">
        <v>4034</v>
      </c>
      <c r="C95" s="227" t="s">
        <v>192</v>
      </c>
      <c r="D95" s="227" t="s">
        <v>955</v>
      </c>
      <c r="E95" s="226">
        <v>43106.569236111114</v>
      </c>
      <c r="F95" s="226">
        <v>43106.573194444441</v>
      </c>
      <c r="G95" s="225">
        <v>64</v>
      </c>
      <c r="H95" s="227" t="s">
        <v>622</v>
      </c>
      <c r="I95" s="226">
        <v>43106.597928240742</v>
      </c>
      <c r="J95" s="225">
        <v>0</v>
      </c>
      <c r="K95" s="237" t="str">
        <f>IF(ISEVEN(B95),(B95-1)&amp;"/"&amp;B95,B95&amp;"/"&amp;(B95+1))</f>
        <v>4033/4034</v>
      </c>
      <c r="L95" s="245" t="str">
        <f>VLOOKUP(A95,'Trips&amp;Operators'!$C$1:$G$99911,5,FALSE)</f>
        <v>BADERTSCHER DIANE</v>
      </c>
      <c r="M95" s="224">
        <f>I95-F95</f>
        <v>2.4733796301006805E-2</v>
      </c>
      <c r="N95" s="225">
        <f>24*60*SUM($M95:$M95)</f>
        <v>35.616666673449799</v>
      </c>
      <c r="O95" s="225"/>
      <c r="P95" s="225"/>
      <c r="Q95" s="228"/>
      <c r="R95" s="242"/>
      <c r="S95" s="249">
        <f>1/IF(AG95="EC",12,1)*SUM(U95:U95)</f>
        <v>1</v>
      </c>
      <c r="T95" s="242" t="str">
        <f>IF(ISEVEN(LEFT(AD95,4)),"Southbound","NorthBound")</f>
        <v>NorthBound</v>
      </c>
      <c r="U95" s="246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248" t="str">
        <f>"https://d0f6bd738d7f1b3e5a7ca70fe4ff75f0.us-east-1.aws.found.io/app/kibana#/discover/Steve-Slow-Train-Analysis-(2080s-and-2083s)?_g="&amp;"(refreshInterval:(display:Off,pause:!f,section:0,value:0),time:(from:'"&amp;TEXT(E95-1/24,"yyyy-MM-DDThh:mm:ss")&amp;utc_offset&amp;"00"&amp;"',mode:absolute,to:'"&amp;TEXT(I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95&amp;"%22')),sort:!(Time.ISO8601,asc))"</f>
        <v>https://d0f6bd738d7f1b3e5a7ca70fe4ff75f0.us-east-1.aws.found.io/app/kibana#/discover/Steve-Slow-Train-Analysis-(2080s-and-2083s)?_g=(refreshInterval:(display:Off,pause:!f,section:0,value:0),time:(from:'2018-01-06T12:39:42-0700',mode:absolute,to:'2018-01-06T15:21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95" s="247" t="str">
        <f>IF(AA95&lt;VLOOKUP(AG95,Variables!$AC$3:$AD$8,2,FALSE),"Y","N")</f>
        <v>N</v>
      </c>
      <c r="X95" s="247">
        <f>VALUE(LEFT(AD95,4))-VALUE(LEFT(AD94,4))</f>
        <v>1</v>
      </c>
      <c r="Y95" s="247">
        <f>RIGHT(D95,LEN(D95)-4)/10000</f>
        <v>4.9500000000000002E-2</v>
      </c>
      <c r="Z95" s="247">
        <f>RIGHT(H95,LEN(H95)-4)/10000</f>
        <v>23.324300000000001</v>
      </c>
      <c r="AA95" s="247">
        <f>ABS(Z95-Y95)</f>
        <v>23.274800000000003</v>
      </c>
      <c r="AB95" s="233" t="e">
        <f>VLOOKUP(A95,Enforcements!$C$7:$K$9,8,0)</f>
        <v>#N/A</v>
      </c>
      <c r="AC95" s="232" t="e">
        <f>VLOOKUP(A95,Enforcements!$C$7:$E$9,3,0)</f>
        <v>#N/A</v>
      </c>
      <c r="AD95" s="243">
        <f>VALUE(LEFT(A95,LEN(A95)-3))</f>
        <v>181</v>
      </c>
      <c r="AE95" s="235" t="str">
        <f>"aws s3 cp "&amp;s3_bucket&amp;"/RTDC"&amp;B95&amp;"/ "&amp;search_path&amp;"\RTDC"&amp;B95&amp;"\"&amp;TEXT(F95,"YYYY-MM-DD")&amp;" --exclude ""*"" --recursive --include ""*"&amp;TEXT(F95,"YYYYMMDD")&amp;"*"" &amp; """&amp;walkandungz&amp;""" "&amp;search_path&amp;"\RTDC"&amp;B95&amp;"\"&amp;TEXT(F95,"YYYY-MM-DD")
&amp;" &amp; "&amp;"aws s3 cp "&amp;s3_bucket&amp;"/RTDC"&amp;B95&amp;"/ "&amp;search_path&amp;"\RTDC"&amp;B95&amp;"\"&amp;TEXT(F95+1,"YYYY-MM-DD")&amp;" --exclude ""*"" --recursive --include ""*"&amp;TEXT(F95+1,"YYYYMMDD")&amp;"*"" &amp; """&amp;walkandungz&amp;""" "&amp;search_path&amp;"\RTDC"&amp;B95&amp;"\"&amp;TEXT(F95+1,"YYYY-MM-DD")</f>
        <v>aws s3 cp s3://rtdc.mdm.uploadarchive.raw/RTDC4034/ "%USERPROFILE%\AppData\Local\Temp\OnboardLogs"\RTDC4034\2018-01-06 --exclude "*" --recursive --include "*20180106*" &amp; "%USERPROFILE%\Documents\GitHub\mrs-test-scripts\Headless Mode &amp; Sideloading\WalkAndUnGZ.bat" "%USERPROFILE%\AppData\Local\Temp\OnboardLogs"\RTDC4034\2018-01-06 &amp; aws s3 cp s3://rtdc.mdm.uploadarchive.raw/RTDC4034/ "%USERPROFILE%\AppData\Local\Temp\OnboardLogs"\RTDC4034\2018-01-07 --exclude "*" --recursive --include "*20180107*" &amp; "%USERPROFILE%\Documents\GitHub\mrs-test-scripts\Headless Mode &amp; Sideloading\WalkAndUnGZ.bat" "%USERPROFILE%\AppData\Local\Temp\OnboardLogs"\RTDC4034\2018-01-07</v>
      </c>
      <c r="AF95" s="234" t="str">
        <f>astrogrep_path&amp;" /e /r /s /spath="&amp;search_path&amp;" /stypes=""app*"&amp;B95&amp;"*"&amp;TEXT(I95-utc_offset/24,"YYYYMMDD")&amp;"*"" /stext="" "&amp;TEXT(I95-utc_offset/24,"HH")&amp;search_regexp&amp;""""</f>
        <v>"C:\Program Files (x86)\AstroGrep\AstroGrep.exe" /e /r /s /spath="%USERPROFILE%\AppData\Local\Temp\OnboardLogs" /stypes="app*4034*20180106*" /stext=" 21:.+((SYSTEM_STATE.+slice.+state.+changed )|(ment ac)|(multiple cpu faults)|(system.+state.+changed )|(\[timeout)|(PRM\|1\|D)|(kpr)|(kdp)|(train st.+moving)|(\|lc)|(penalty))"</v>
      </c>
      <c r="AG95" s="244" t="str">
        <f>DetSubdiv(A95)</f>
        <v>EC</v>
      </c>
      <c r="AH95" s="236" t="str">
        <f t="shared" si="10"/>
        <v>"%USERPROFILE%\Documents\GitHub\eaglep3\Utilities\RefineRTDCRunTimes.py" --tripid 181-06 --locoid 4034 --swversion DE.1.0.9.0 --startMP 204:495 --initTime 2018-01-06T13:39:42 --startdatetime 2018-01-06T13:45:24 --delay 64 --endMP 204:233243 --enddatetime 2018-01-06T14:21:01 --enforcementcount 0 &gt;&gt;%USERPROFILE%\Documents\GitHub\eaglep3-reporting\EC\2018-01-06-refined-times.txt</v>
      </c>
      <c r="AI95" s="238" t="str">
        <f t="shared" si="11"/>
        <v>echo {"issue":{"subject":"","project_id":79,"tracker_id":40,"status_id":1,"priority_id":2,"assigned_to_id":338,"start_date":"2018-01-06","description":"","custom_fields":[{"id":1,"name":"Subdivision","value":"EC"},{"id":4,"name":"Milepost","value":"23.3243"},{"id":17,"name":"Train ID","value":"181-06"},{"id":16,"name":"Locomotive ID","value":"4034"},{"id":130,"name":"Impact","value":""},{"id":150,"name":"Time of Event (Mountain Time)","value":"14:21:01"},{"id":151,"name":"Denver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5" s="223"/>
      <c r="AK95" s="231"/>
      <c r="AL95" s="231"/>
      <c r="AM95" s="240" t="str">
        <f t="shared" si="12"/>
        <v>start /low /b %USERPROFILE%\Documents\GitHub\eaglep3\Utilities\DownloadLogsFromS3.py --loco 4034 --day 2018-01-06</v>
      </c>
      <c r="AN95" s="241" t="str">
        <f t="shared" si="13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21:21:01"},{"id":29,"name":"Sharepoint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 s="230" t="str">
        <f t="shared" si="14"/>
        <v>https://d0f6bd738d7f1b3e5a7ca70fe4ff75f0.us-east-1.aws.found.io/app/kibana#/discover/Steve-Slow-Train-Analysis-(2080s-and-2083s)?_g=(refreshInterval:(display:Off,pause:!f,section:0,value:0),time:(from:'2018-01-06T12:39:42-0700',mode:absolute,to:'2018-01-06T15:21:01-0700'))&amp;_a=(columns:!('Message%20ID',Summary),filters:!(),index:'emp_*',interval:auto,query:(query_string:(analyze_wildcard:!t,query:'%22rtdc.l.rtdc.4034%22')),sort:!(Time.ISO8601,asc))</v>
      </c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3">
      <c r="A96" s="229" t="s">
        <v>673</v>
      </c>
      <c r="B96" s="225">
        <v>4033</v>
      </c>
      <c r="C96" s="227" t="s">
        <v>192</v>
      </c>
      <c r="D96" s="227" t="s">
        <v>905</v>
      </c>
      <c r="E96" s="226">
        <v>43106.605613425927</v>
      </c>
      <c r="F96" s="226">
        <v>43106.612685185188</v>
      </c>
      <c r="G96" s="225">
        <v>147</v>
      </c>
      <c r="H96" s="227" t="s">
        <v>963</v>
      </c>
      <c r="I96" s="226">
        <v>43106.640057870369</v>
      </c>
      <c r="J96" s="225">
        <v>0</v>
      </c>
      <c r="K96" s="237" t="str">
        <f>IF(ISEVEN(B96),(B96-1)&amp;"/"&amp;B96,B96&amp;"/"&amp;(B96+1))</f>
        <v>4033/4034</v>
      </c>
      <c r="L96" s="245" t="str">
        <f>VLOOKUP(A96,'Trips&amp;Operators'!$C$1:$G$99911,5,FALSE)</f>
        <v>BADERTSCHER DIANE</v>
      </c>
      <c r="M96" s="224">
        <f>I96-F96</f>
        <v>2.7372685181035195E-2</v>
      </c>
      <c r="N96" s="225">
        <f>24*60*SUM($M96:$M96)</f>
        <v>39.41666666069068</v>
      </c>
      <c r="O96" s="225"/>
      <c r="P96" s="225"/>
      <c r="Q96" s="228"/>
      <c r="R96" s="242"/>
      <c r="S96" s="249">
        <f>1/IF(AG96="EC",12,1)*SUM(U96:U96)</f>
        <v>1</v>
      </c>
      <c r="T96" s="242" t="str">
        <f>IF(ISEVEN(LEFT(AD96,4)),"Southbound","NorthBound")</f>
        <v>Southbound</v>
      </c>
      <c r="U96" s="246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248" t="str">
        <f>"https://d0f6bd738d7f1b3e5a7ca70fe4ff75f0.us-east-1.aws.found.io/app/kibana#/discover/Steve-Slow-Train-Analysis-(2080s-and-2083s)?_g="&amp;"(refreshInterval:(display:Off,pause:!f,section:0,value:0),time:(from:'"&amp;TEXT(E96-1/24,"yyyy-MM-DDThh:mm:ss")&amp;utc_offset&amp;"00"&amp;"',mode:absolute,to:'"&amp;TEXT(I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96&amp;"%22')),sort:!(Time.ISO8601,asc))"</f>
        <v>https://d0f6bd738d7f1b3e5a7ca70fe4ff75f0.us-east-1.aws.found.io/app/kibana#/discover/Steve-Slow-Train-Analysis-(2080s-and-2083s)?_g=(refreshInterval:(display:Off,pause:!f,section:0,value:0),time:(from:'2018-01-06T13:32:05-0700',mode:absolute,to:'2018-01-06T16:21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96" s="247" t="str">
        <f>IF(AA96&lt;VLOOKUP(AG96,Variables!$AC$3:$AD$8,2,FALSE),"Y","N")</f>
        <v>N</v>
      </c>
      <c r="X96" s="247">
        <f>VALUE(LEFT(AD96,4))-VALUE(LEFT(AD95,4))</f>
        <v>1</v>
      </c>
      <c r="Y96" s="247">
        <f>RIGHT(D96,LEN(D96)-4)/10000</f>
        <v>23.293199999999999</v>
      </c>
      <c r="Z96" s="247">
        <f>RIGHT(H96,LEN(H96)-4)/10000</f>
        <v>2.76E-2</v>
      </c>
      <c r="AA96" s="247">
        <f>ABS(Z96-Y96)</f>
        <v>23.265599999999999</v>
      </c>
      <c r="AB96" s="233" t="e">
        <f>VLOOKUP(A96,Enforcements!$C$7:$K$9,8,0)</f>
        <v>#N/A</v>
      </c>
      <c r="AC96" s="232" t="e">
        <f>VLOOKUP(A96,Enforcements!$C$7:$E$9,3,0)</f>
        <v>#N/A</v>
      </c>
      <c r="AD96" s="243">
        <f>VALUE(LEFT(A96,LEN(A96)-3))</f>
        <v>182</v>
      </c>
      <c r="AE96" s="235" t="str">
        <f>"aws s3 cp "&amp;s3_bucket&amp;"/RTDC"&amp;B96&amp;"/ "&amp;search_path&amp;"\RTDC"&amp;B96&amp;"\"&amp;TEXT(F96,"YYYY-MM-DD")&amp;" --exclude ""*"" --recursive --include ""*"&amp;TEXT(F96,"YYYYMMDD")&amp;"*"" &amp; """&amp;walkandungz&amp;""" "&amp;search_path&amp;"\RTDC"&amp;B96&amp;"\"&amp;TEXT(F96,"YYYY-MM-DD")
&amp;" &amp; "&amp;"aws s3 cp "&amp;s3_bucket&amp;"/RTDC"&amp;B96&amp;"/ "&amp;search_path&amp;"\RTDC"&amp;B96&amp;"\"&amp;TEXT(F96+1,"YYYY-MM-DD")&amp;" --exclude ""*"" --recursive --include ""*"&amp;TEXT(F96+1,"YYYYMMDD")&amp;"*"" &amp; """&amp;walkandungz&amp;""" "&amp;search_path&amp;"\RTDC"&amp;B96&amp;"\"&amp;TEXT(F96+1,"YYYY-MM-DD")</f>
        <v>aws s3 cp s3://rtdc.mdm.uploadarchive.raw/RTDC4033/ "%USERPROFILE%\AppData\Local\Temp\OnboardLogs"\RTDC4033\2018-01-06 --exclude "*" --recursive --include "*20180106*" &amp; "%USERPROFILE%\Documents\GitHub\mrs-test-scripts\Headless Mode &amp; Sideloading\WalkAndUnGZ.bat" "%USERPROFILE%\AppData\Local\Temp\OnboardLogs"\RTDC4033\2018-01-06 &amp; aws s3 cp s3://rtdc.mdm.uploadarchive.raw/RTDC4033/ "%USERPROFILE%\AppData\Local\Temp\OnboardLogs"\RTDC4033\2018-01-07 --exclude "*" --recursive --include "*20180107*" &amp; "%USERPROFILE%\Documents\GitHub\mrs-test-scripts\Headless Mode &amp; Sideloading\WalkAndUnGZ.bat" "%USERPROFILE%\AppData\Local\Temp\OnboardLogs"\RTDC4033\2018-01-07</v>
      </c>
      <c r="AF96" s="234" t="str">
        <f>astrogrep_path&amp;" /e /r /s /spath="&amp;search_path&amp;" /stypes=""app*"&amp;B96&amp;"*"&amp;TEXT(I96-utc_offset/24,"YYYYMMDD")&amp;"*"" /stext="" "&amp;TEXT(I96-utc_offset/24,"HH")&amp;search_regexp&amp;""""</f>
        <v>"C:\Program Files (x86)\AstroGrep\AstroGrep.exe" /e /r /s /spath="%USERPROFILE%\AppData\Local\Temp\OnboardLogs" /stypes="app*4033*20180106*" /stext=" 22:.+((SYSTEM_STATE.+slice.+state.+changed )|(ment ac)|(multiple cpu faults)|(system.+state.+changed )|(\[timeout)|(PRM\|1\|D)|(kpr)|(kdp)|(train st.+moving)|(\|lc)|(penalty))"</v>
      </c>
      <c r="AG96" s="244" t="str">
        <f>DetSubdiv(A96)</f>
        <v>EC</v>
      </c>
      <c r="AH96" s="236" t="str">
        <f t="shared" si="10"/>
        <v>"%USERPROFILE%\Documents\GitHub\eaglep3\Utilities\RefineRTDCRunTimes.py" --tripid 182-06 --locoid 4033 --swversion DE.1.0.9.0 --startMP 204:232932 --initTime 2018-01-06T14:32:05 --startdatetime 2018-01-06T14:42:16 --delay 147 --endMP 204:276 --enddatetime 2018-01-06T15:21:41 --enforcementcount 0 &gt;&gt;%USERPROFILE%\Documents\GitHub\eaglep3-reporting\EC\2018-01-06-refined-times.txt</v>
      </c>
      <c r="AI96" s="238" t="str">
        <f t="shared" si="11"/>
        <v>echo {"issue":{"subject":"","project_id":79,"tracker_id":40,"status_id":1,"priority_id":2,"assigned_to_id":338,"start_date":"2018-01-06","description":"","custom_fields":[{"id":1,"name":"Subdivision","value":"EC"},{"id":4,"name":"Milepost","value":"0.0276"},{"id":17,"name":"Train ID","value":"182-06"},{"id":16,"name":"Locomotive ID","value":"4033"},{"id":130,"name":"Impact","value":""},{"id":150,"name":"Time of Event (Mountain Time)","value":"15:21:41"},{"id":151,"name":"Denver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6" s="223"/>
      <c r="AK96" s="231"/>
      <c r="AL96" s="231"/>
      <c r="AM96" s="240" t="str">
        <f t="shared" si="12"/>
        <v>start /low /b %USERPROFILE%\Documents\GitHub\eaglep3\Utilities\DownloadLogsFromS3.py --loco 4033 --day 2018-01-06</v>
      </c>
      <c r="AN96" s="241" t="str">
        <f t="shared" si="13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22:21:41"},{"id":29,"name":"Sharepoint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 s="230" t="str">
        <f t="shared" si="14"/>
        <v>https://d0f6bd738d7f1b3e5a7ca70fe4ff75f0.us-east-1.aws.found.io/app/kibana#/discover/Steve-Slow-Train-Analysis-(2080s-and-2083s)?_g=(refreshInterval:(display:Off,pause:!f,section:0,value:0),time:(from:'2018-01-06T13:32:05-0700',mode:absolute,to:'2018-01-06T16:21:41-0700'))&amp;_a=(columns:!('Message%20ID',Summary),filters:!(),index:'emp_*',interval:auto,query:(query_string:(analyze_wildcard:!t,query:'%22rtdc.l.rtdc.4033%22')),sort:!(Time.ISO8601,asc))</v>
      </c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3">
      <c r="A97" s="229" t="s">
        <v>801</v>
      </c>
      <c r="B97" s="225">
        <v>4054</v>
      </c>
      <c r="C97" s="227" t="s">
        <v>192</v>
      </c>
      <c r="D97" s="227" t="s">
        <v>500</v>
      </c>
      <c r="E97" s="226">
        <v>43106.578159722223</v>
      </c>
      <c r="F97" s="226">
        <v>43106.583518518521</v>
      </c>
      <c r="G97" s="225">
        <v>53</v>
      </c>
      <c r="H97" s="227" t="s">
        <v>974</v>
      </c>
      <c r="I97" s="226">
        <v>43106.607812499999</v>
      </c>
      <c r="J97" s="225">
        <v>0</v>
      </c>
      <c r="K97" s="237" t="str">
        <f>IF(ISEVEN(B97),(B97-1)&amp;"/"&amp;B97,B97&amp;"/"&amp;(B97+1))</f>
        <v>4053/4054</v>
      </c>
      <c r="L97" s="245" t="str">
        <f>VLOOKUP(A97,'Trips&amp;Operators'!$C$1:$G$99911,5,FALSE)</f>
        <v>GONZALEZ ARMANDO</v>
      </c>
      <c r="M97" s="224">
        <f>I97-F97</f>
        <v>2.4293981477967463E-2</v>
      </c>
      <c r="N97" s="225">
        <f>24*60*SUM($M97:$M97)</f>
        <v>34.983333328273147</v>
      </c>
      <c r="O97" s="225"/>
      <c r="P97" s="225"/>
      <c r="Q97" s="228"/>
      <c r="R97" s="242"/>
      <c r="S97" s="249">
        <f>1/IF(AG97="EC",12,1)*SUM(U97:U97)</f>
        <v>1</v>
      </c>
      <c r="T97" s="242" t="str">
        <f>IF(ISEVEN(LEFT(AD97,4)),"Southbound","NorthBound")</f>
        <v>NorthBound</v>
      </c>
      <c r="U97" s="246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248" t="str">
        <f>"https://d0f6bd738d7f1b3e5a7ca70fe4ff75f0.us-east-1.aws.found.io/app/kibana#/discover/Steve-Slow-Train-Analysis-(2080s-and-2083s)?_g="&amp;"(refreshInterval:(display:Off,pause:!f,section:0,value:0),time:(from:'"&amp;TEXT(E97-1/24,"yyyy-MM-DDThh:mm:ss")&amp;utc_offset&amp;"00"&amp;"',mode:absolute,to:'"&amp;TEXT(I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97&amp;"%22')),sort:!(Time.ISO8601,asc))"</f>
        <v>https://d0f6bd738d7f1b3e5a7ca70fe4ff75f0.us-east-1.aws.found.io/app/kibana#/discover/Steve-Slow-Train-Analysis-(2080s-and-2083s)?_g=(refreshInterval:(display:Off,pause:!f,section:0,value:0),time:(from:'2018-01-06T12:52:33-0700',mode:absolute,to:'2018-01-06T15:35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97" s="247" t="str">
        <f>IF(AA97&lt;VLOOKUP(AG97,Variables!$AC$3:$AD$8,2,FALSE),"Y","N")</f>
        <v>N</v>
      </c>
      <c r="X97" s="247">
        <f>VALUE(LEFT(AD97,4))-VALUE(LEFT(AD96,4))</f>
        <v>1</v>
      </c>
      <c r="Y97" s="247">
        <f>RIGHT(D97,LEN(D97)-4)/10000</f>
        <v>5.0799999999999998E-2</v>
      </c>
      <c r="Z97" s="247">
        <f>RIGHT(H97,LEN(H97)-4)/10000</f>
        <v>23.331900000000001</v>
      </c>
      <c r="AA97" s="247">
        <f>ABS(Z97-Y97)</f>
        <v>23.281100000000002</v>
      </c>
      <c r="AB97" s="233" t="e">
        <f>VLOOKUP(A97,Enforcements!$C$7:$K$9,8,0)</f>
        <v>#N/A</v>
      </c>
      <c r="AC97" s="232" t="e">
        <f>VLOOKUP(A97,Enforcements!$C$7:$E$9,3,0)</f>
        <v>#N/A</v>
      </c>
      <c r="AD97" s="243">
        <f>VALUE(LEFT(A97,LEN(A97)-3))</f>
        <v>183</v>
      </c>
      <c r="AE97" s="235" t="str">
        <f>"aws s3 cp "&amp;s3_bucket&amp;"/RTDC"&amp;B97&amp;"/ "&amp;search_path&amp;"\RTDC"&amp;B97&amp;"\"&amp;TEXT(F97,"YYYY-MM-DD")&amp;" --exclude ""*"" --recursive --include ""*"&amp;TEXT(F97,"YYYYMMDD")&amp;"*"" &amp; """&amp;walkandungz&amp;""" "&amp;search_path&amp;"\RTDC"&amp;B97&amp;"\"&amp;TEXT(F97,"YYYY-MM-DD")
&amp;" &amp; "&amp;"aws s3 cp "&amp;s3_bucket&amp;"/RTDC"&amp;B97&amp;"/ "&amp;search_path&amp;"\RTDC"&amp;B97&amp;"\"&amp;TEXT(F97+1,"YYYY-MM-DD")&amp;" --exclude ""*"" --recursive --include ""*"&amp;TEXT(F97+1,"YYYYMMDD")&amp;"*"" &amp; """&amp;walkandungz&amp;""" "&amp;search_path&amp;"\RTDC"&amp;B97&amp;"\"&amp;TEXT(F97+1,"YYYY-MM-DD")</f>
        <v>aws s3 cp s3://rtdc.mdm.uploadarchive.raw/RTDC4054/ "%USERPROFILE%\AppData\Local\Temp\OnboardLogs"\RTDC4054\2018-01-06 --exclude "*" --recursive --include "*20180106*" &amp; "%USERPROFILE%\Documents\GitHub\mrs-test-scripts\Headless Mode &amp; Sideloading\WalkAndUnGZ.bat" "%USERPROFILE%\AppData\Local\Temp\OnboardLogs"\RTDC4054\2018-01-06 &amp; aws s3 cp s3://rtdc.mdm.uploadarchive.raw/RTDC4054/ "%USERPROFILE%\AppData\Local\Temp\OnboardLogs"\RTDC4054\2018-01-07 --exclude "*" --recursive --include "*20180107*" &amp; "%USERPROFILE%\Documents\GitHub\mrs-test-scripts\Headless Mode &amp; Sideloading\WalkAndUnGZ.bat" "%USERPROFILE%\AppData\Local\Temp\OnboardLogs"\RTDC4054\2018-01-07</v>
      </c>
      <c r="AF97" s="234" t="str">
        <f>astrogrep_path&amp;" /e /r /s /spath="&amp;search_path&amp;" /stypes=""app*"&amp;B97&amp;"*"&amp;TEXT(I97-utc_offset/24,"YYYYMMDD")&amp;"*"" /stext="" "&amp;TEXT(I97-utc_offset/24,"HH")&amp;search_regexp&amp;""""</f>
        <v>"C:\Program Files (x86)\AstroGrep\AstroGrep.exe" /e /r /s /spath="%USERPROFILE%\AppData\Local\Temp\OnboardLogs" /stypes="app*4054*20180106*" /stext=" 21:.+((SYSTEM_STATE.+slice.+state.+changed )|(ment ac)|(multiple cpu faults)|(system.+state.+changed )|(\[timeout)|(PRM\|1\|D)|(kpr)|(kdp)|(train st.+moving)|(\|lc)|(penalty))"</v>
      </c>
      <c r="AG97" s="244" t="str">
        <f>DetSubdiv(A97)</f>
        <v>EC</v>
      </c>
      <c r="AH97" s="236" t="str">
        <f t="shared" si="10"/>
        <v>"%USERPROFILE%\Documents\GitHub\eaglep3\Utilities\RefineRTDCRunTimes.py" --tripid 183-06 --locoid 4054 --swversion DE.1.0.9.0 --startMP 204:508 --initTime 2018-01-06T13:52:33 --startdatetime 2018-01-06T14:00:16 --delay 53 --endMP 204:233319 --enddatetime 2018-01-06T14:35:15 --enforcementcount 0 &gt;&gt;%USERPROFILE%\Documents\GitHub\eaglep3-reporting\EC\2018-01-06-refined-times.txt</v>
      </c>
      <c r="AI97" s="238" t="str">
        <f t="shared" si="11"/>
        <v>echo {"issue":{"subject":"","project_id":79,"tracker_id":40,"status_id":1,"priority_id":2,"assigned_to_id":338,"start_date":"2018-01-06","description":"","custom_fields":[{"id":1,"name":"Subdivision","value":"EC"},{"id":4,"name":"Milepost","value":"23.3319"},{"id":17,"name":"Train ID","value":"183-06"},{"id":16,"name":"Locomotive ID","value":"4054"},{"id":130,"name":"Impact","value":""},{"id":150,"name":"Time of Event (Mountain Time)","value":"14:35:15"},{"id":151,"name":"Denver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7" s="223"/>
      <c r="AK97" s="231"/>
      <c r="AL97" s="231"/>
      <c r="AM97" s="240" t="str">
        <f t="shared" si="12"/>
        <v>start /low /b %USERPROFILE%\Documents\GitHub\eaglep3\Utilities\DownloadLogsFromS3.py --loco 4054 --day 2018-01-06</v>
      </c>
      <c r="AN97" s="241" t="str">
        <f t="shared" si="13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21:35:15"},{"id":29,"name":"Sharepoint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 s="230" t="str">
        <f t="shared" si="14"/>
        <v>https://d0f6bd738d7f1b3e5a7ca70fe4ff75f0.us-east-1.aws.found.io/app/kibana#/discover/Steve-Slow-Train-Analysis-(2080s-and-2083s)?_g=(refreshInterval:(display:Off,pause:!f,section:0,value:0),time:(from:'2018-01-06T12:52:33-0700',mode:absolute,to:'2018-01-06T15:35:15-0700'))&amp;_a=(columns:!('Message%20ID',Summary),filters:!(),index:'emp_*',interval:auto,query:(query_string:(analyze_wildcard:!t,query:'%22rtdc.l.rtdc.4054%22')),sort:!(Time.ISO8601,asc))</v>
      </c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1" customFormat="1" x14ac:dyDescent="0.3">
      <c r="A98" s="229" t="s">
        <v>810</v>
      </c>
      <c r="B98" s="225">
        <v>4053</v>
      </c>
      <c r="C98" s="227" t="s">
        <v>192</v>
      </c>
      <c r="D98" s="227" t="s">
        <v>628</v>
      </c>
      <c r="E98" s="226">
        <v>43106.617222222223</v>
      </c>
      <c r="F98" s="226">
        <v>43106.623090277775</v>
      </c>
      <c r="G98" s="225">
        <v>54</v>
      </c>
      <c r="H98" s="227" t="s">
        <v>479</v>
      </c>
      <c r="I98" s="226">
        <v>43106.648715277777</v>
      </c>
      <c r="J98" s="225">
        <v>0</v>
      </c>
      <c r="K98" s="237" t="str">
        <f>IF(ISEVEN(B98),(B98-1)&amp;"/"&amp;B98,B98&amp;"/"&amp;(B98+1))</f>
        <v>4053/4054</v>
      </c>
      <c r="L98" s="245" t="str">
        <f>VLOOKUP(A98,'Trips&amp;Operators'!$C$1:$G$99911,5,FALSE)</f>
        <v>GONZALEZ ARMANDO</v>
      </c>
      <c r="M98" s="224">
        <f>I98-F98</f>
        <v>2.5625000002037268E-2</v>
      </c>
      <c r="N98" s="225">
        <f>24*60*SUM($M98:$M98)</f>
        <v>36.900000002933666</v>
      </c>
      <c r="O98" s="225"/>
      <c r="P98" s="225"/>
      <c r="Q98" s="228"/>
      <c r="R98" s="242"/>
      <c r="S98" s="249">
        <f>1/IF(AG98="EC",12,1)*SUM(U98:U98)</f>
        <v>1</v>
      </c>
      <c r="T98" s="242" t="str">
        <f>IF(ISEVEN(LEFT(AD98,4)),"Southbound","NorthBound")</f>
        <v>Southbound</v>
      </c>
      <c r="U98" s="246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248" t="str">
        <f>"https://d0f6bd738d7f1b3e5a7ca70fe4ff75f0.us-east-1.aws.found.io/app/kibana#/discover/Steve-Slow-Train-Analysis-(2080s-and-2083s)?_g="&amp;"(refreshInterval:(display:Off,pause:!f,section:0,value:0),time:(from:'"&amp;TEXT(E98-1/24,"yyyy-MM-DDThh:mm:ss")&amp;utc_offset&amp;"00"&amp;"',mode:absolute,to:'"&amp;TEXT(I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98&amp;"%22')),sort:!(Time.ISO8601,asc))"</f>
        <v>https://d0f6bd738d7f1b3e5a7ca70fe4ff75f0.us-east-1.aws.found.io/app/kibana#/discover/Steve-Slow-Train-Analysis-(2080s-and-2083s)?_g=(refreshInterval:(display:Off,pause:!f,section:0,value:0),time:(from:'2018-01-06T13:48:48-0700',mode:absolute,to:'2018-01-06T16:34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98" s="247" t="str">
        <f>IF(AA98&lt;VLOOKUP(AG98,Variables!$AC$3:$AD$8,2,FALSE),"Y","N")</f>
        <v>N</v>
      </c>
      <c r="X98" s="247">
        <f>VALUE(LEFT(AD98,4))-VALUE(LEFT(AD97,4))</f>
        <v>1</v>
      </c>
      <c r="Y98" s="247">
        <f>RIGHT(D98,LEN(D98)-4)/10000</f>
        <v>23.300999999999998</v>
      </c>
      <c r="Z98" s="247">
        <f>RIGHT(H98,LEN(H98)-4)/10000</f>
        <v>2.0500000000000001E-2</v>
      </c>
      <c r="AA98" s="247">
        <f>ABS(Z98-Y98)</f>
        <v>23.2805</v>
      </c>
      <c r="AB98" s="233" t="e">
        <f>VLOOKUP(A98,Enforcements!$C$7:$K$9,8,0)</f>
        <v>#N/A</v>
      </c>
      <c r="AC98" s="232" t="e">
        <f>VLOOKUP(A98,Enforcements!$C$7:$E$9,3,0)</f>
        <v>#N/A</v>
      </c>
      <c r="AD98" s="243">
        <f>VALUE(LEFT(A98,LEN(A98)-3))</f>
        <v>184</v>
      </c>
      <c r="AE98" s="235" t="str">
        <f>"aws s3 cp "&amp;s3_bucket&amp;"/RTDC"&amp;B98&amp;"/ "&amp;search_path&amp;"\RTDC"&amp;B98&amp;"\"&amp;TEXT(F98,"YYYY-MM-DD")&amp;" --exclude ""*"" --recursive --include ""*"&amp;TEXT(F98,"YYYYMMDD")&amp;"*"" &amp; """&amp;walkandungz&amp;""" "&amp;search_path&amp;"\RTDC"&amp;B98&amp;"\"&amp;TEXT(F98,"YYYY-MM-DD")
&amp;" &amp; "&amp;"aws s3 cp "&amp;s3_bucket&amp;"/RTDC"&amp;B98&amp;"/ "&amp;search_path&amp;"\RTDC"&amp;B98&amp;"\"&amp;TEXT(F98+1,"YYYY-MM-DD")&amp;" --exclude ""*"" --recursive --include ""*"&amp;TEXT(F98+1,"YYYYMMDD")&amp;"*"" &amp; """&amp;walkandungz&amp;""" "&amp;search_path&amp;"\RTDC"&amp;B98&amp;"\"&amp;TEXT(F98+1,"YYYY-MM-DD")</f>
        <v>aws s3 cp s3://rtdc.mdm.uploadarchive.raw/RTDC4053/ "%USERPROFILE%\AppData\Local\Temp\OnboardLogs"\RTDC4053\2018-01-06 --exclude "*" --recursive --include "*20180106*" &amp; "%USERPROFILE%\Documents\GitHub\mrs-test-scripts\Headless Mode &amp; Sideloading\WalkAndUnGZ.bat" "%USERPROFILE%\AppData\Local\Temp\OnboardLogs"\RTDC4053\2018-01-06 &amp; aws s3 cp s3://rtdc.mdm.uploadarchive.raw/RTDC4053/ "%USERPROFILE%\AppData\Local\Temp\OnboardLogs"\RTDC4053\2018-01-07 --exclude "*" --recursive --include "*20180107*" &amp; "%USERPROFILE%\Documents\GitHub\mrs-test-scripts\Headless Mode &amp; Sideloading\WalkAndUnGZ.bat" "%USERPROFILE%\AppData\Local\Temp\OnboardLogs"\RTDC4053\2018-01-07</v>
      </c>
      <c r="AF98" s="234" t="str">
        <f>astrogrep_path&amp;" /e /r /s /spath="&amp;search_path&amp;" /stypes=""app*"&amp;B98&amp;"*"&amp;TEXT(I98-utc_offset/24,"YYYYMMDD")&amp;"*"" /stext="" "&amp;TEXT(I98-utc_offset/24,"HH")&amp;search_regexp&amp;""""</f>
        <v>"C:\Program Files (x86)\AstroGrep\AstroGrep.exe" /e /r /s /spath="%USERPROFILE%\AppData\Local\Temp\OnboardLogs" /stypes="app*4053*20180106*" /stext=" 22:.+((SYSTEM_STATE.+slice.+state.+changed )|(ment ac)|(multiple cpu faults)|(system.+state.+changed )|(\[timeout)|(PRM\|1\|D)|(kpr)|(kdp)|(train st.+moving)|(\|lc)|(penalty))"</v>
      </c>
      <c r="AG98" s="244" t="str">
        <f>DetSubdiv(A98)</f>
        <v>EC</v>
      </c>
      <c r="AH98" s="236" t="str">
        <f t="shared" si="10"/>
        <v>"%USERPROFILE%\Documents\GitHub\eaglep3\Utilities\RefineRTDCRunTimes.py" --tripid 184-06 --locoid 4053 --swversion DE.1.0.9.0 --startMP 204:233010 --initTime 2018-01-06T14:48:48 --startdatetime 2018-01-06T14:57:15 --delay 54 --endMP 204:205 --enddatetime 2018-01-06T15:34:09 --enforcementcount 0 &gt;&gt;%USERPROFILE%\Documents\GitHub\eaglep3-reporting\EC\2018-01-06-refined-times.txt</v>
      </c>
      <c r="AI98" s="238" t="str">
        <f t="shared" si="11"/>
        <v>echo {"issue":{"subject":"","project_id":79,"tracker_id":40,"status_id":1,"priority_id":2,"assigned_to_id":338,"start_date":"2018-01-06","description":"","custom_fields":[{"id":1,"name":"Subdivision","value":"EC"},{"id":4,"name":"Milepost","value":"0.0205"},{"id":17,"name":"Train ID","value":"184-06"},{"id":16,"name":"Locomotive ID","value":"4053"},{"id":130,"name":"Impact","value":""},{"id":150,"name":"Time of Event (Mountain Time)","value":"15:34:09"},{"id":151,"name":"Denver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8" s="223"/>
      <c r="AK98" s="231"/>
      <c r="AL98" s="231"/>
      <c r="AM98" s="240" t="str">
        <f t="shared" si="12"/>
        <v>start /low /b %USERPROFILE%\Documents\GitHub\eaglep3\Utilities\DownloadLogsFromS3.py --loco 4053 --day 2018-01-06</v>
      </c>
      <c r="AN98" s="241" t="str">
        <f t="shared" si="13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22:34:09"},{"id":29,"name":"Sharepoint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 s="230" t="str">
        <f t="shared" si="14"/>
        <v>https://d0f6bd738d7f1b3e5a7ca70fe4ff75f0.us-east-1.aws.found.io/app/kibana#/discover/Steve-Slow-Train-Analysis-(2080s-and-2083s)?_g=(refreshInterval:(display:Off,pause:!f,section:0,value:0),time:(from:'2018-01-06T13:48:48-0700',mode:absolute,to:'2018-01-06T16:34:09-0700'))&amp;_a=(columns:!('Message%20ID',Summary),filters:!(),index:'emp_*',interval:auto,query:(query_string:(analyze_wildcard:!t,query:'%22rtdc.l.rtdc.4053%22')),sort:!(Time.ISO8601,asc))</v>
      </c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1" customFormat="1" x14ac:dyDescent="0.3">
      <c r="A99" s="229" t="s">
        <v>805</v>
      </c>
      <c r="B99" s="225">
        <v>4064</v>
      </c>
      <c r="C99" s="227" t="s">
        <v>192</v>
      </c>
      <c r="D99" s="227" t="s">
        <v>561</v>
      </c>
      <c r="E99" s="226">
        <v>43106.590428240743</v>
      </c>
      <c r="F99" s="226">
        <v>43106.593923611108</v>
      </c>
      <c r="G99" s="225">
        <v>55</v>
      </c>
      <c r="H99" s="227" t="s">
        <v>980</v>
      </c>
      <c r="I99" s="226">
        <v>43106.618738425925</v>
      </c>
      <c r="J99" s="225">
        <v>0</v>
      </c>
      <c r="K99" s="237" t="str">
        <f>IF(ISEVEN(B99),(B99-1)&amp;"/"&amp;B99,B99&amp;"/"&amp;(B99+1))</f>
        <v>4063/4064</v>
      </c>
      <c r="L99" s="245" t="str">
        <f>VLOOKUP(A99,'Trips&amp;Operators'!$C$1:$G$99911,5,FALSE)</f>
        <v>BRUDER RICHARD</v>
      </c>
      <c r="M99" s="224">
        <f>I99-F99</f>
        <v>2.4814814816636499E-2</v>
      </c>
      <c r="N99" s="225">
        <f>24*60*SUM($M99:$M99)</f>
        <v>35.733333335956559</v>
      </c>
      <c r="O99" s="225"/>
      <c r="P99" s="225"/>
      <c r="Q99" s="228"/>
      <c r="R99" s="242"/>
      <c r="S99" s="249">
        <f>1/IF(AG99="EC",12,1)*SUM(U99:U99)</f>
        <v>1</v>
      </c>
      <c r="T99" s="242" t="str">
        <f>IF(ISEVEN(LEFT(AD99,4)),"Southbound","NorthBound")</f>
        <v>NorthBound</v>
      </c>
      <c r="U99" s="246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248" t="str">
        <f>"https://d0f6bd738d7f1b3e5a7ca70fe4ff75f0.us-east-1.aws.found.io/app/kibana#/discover/Steve-Slow-Train-Analysis-(2080s-and-2083s)?_g="&amp;"(refreshInterval:(display:Off,pause:!f,section:0,value:0),time:(from:'"&amp;TEXT(E99-1/24,"yyyy-MM-DDThh:mm:ss")&amp;utc_offset&amp;"00"&amp;"',mode:absolute,to:'"&amp;TEXT(I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99&amp;"%22')),sort:!(Time.ISO8601,asc))"</f>
        <v>https://d0f6bd738d7f1b3e5a7ca70fe4ff75f0.us-east-1.aws.found.io/app/kibana#/discover/Steve-Slow-Train-Analysis-(2080s-and-2083s)?_g=(refreshInterval:(display:Off,pause:!f,section:0,value:0),time:(from:'2018-01-06T13:10:13-0700',mode:absolute,to:'2018-01-06T15:50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99" s="247" t="str">
        <f>IF(AA99&lt;VLOOKUP(AG99,Variables!$AC$3:$AD$8,2,FALSE),"Y","N")</f>
        <v>N</v>
      </c>
      <c r="X99" s="247">
        <f>VALUE(LEFT(AD99,4))-VALUE(LEFT(AD98,4))</f>
        <v>1</v>
      </c>
      <c r="Y99" s="247">
        <f>RIGHT(D99,LEN(D99)-4)/10000</f>
        <v>5.3900000000000003E-2</v>
      </c>
      <c r="Z99" s="247">
        <f>RIGHT(H99,LEN(H99)-4)/10000</f>
        <v>23.3215</v>
      </c>
      <c r="AA99" s="247">
        <f>ABS(Z99-Y99)</f>
        <v>23.267600000000002</v>
      </c>
      <c r="AB99" s="233" t="e">
        <f>VLOOKUP(A99,Enforcements!$C$7:$K$9,8,0)</f>
        <v>#N/A</v>
      </c>
      <c r="AC99" s="232" t="e">
        <f>VLOOKUP(A99,Enforcements!$C$7:$E$9,3,0)</f>
        <v>#N/A</v>
      </c>
      <c r="AD99" s="243">
        <f>VALUE(LEFT(A99,LEN(A99)-3))</f>
        <v>185</v>
      </c>
      <c r="AE99" s="235" t="str">
        <f>"aws s3 cp "&amp;s3_bucket&amp;"/RTDC"&amp;B99&amp;"/ "&amp;search_path&amp;"\RTDC"&amp;B99&amp;"\"&amp;TEXT(F99,"YYYY-MM-DD")&amp;" --exclude ""*"" --recursive --include ""*"&amp;TEXT(F99,"YYYYMMDD")&amp;"*"" &amp; """&amp;walkandungz&amp;""" "&amp;search_path&amp;"\RTDC"&amp;B99&amp;"\"&amp;TEXT(F99,"YYYY-MM-DD")
&amp;" &amp; "&amp;"aws s3 cp "&amp;s3_bucket&amp;"/RTDC"&amp;B99&amp;"/ "&amp;search_path&amp;"\RTDC"&amp;B99&amp;"\"&amp;TEXT(F99+1,"YYYY-MM-DD")&amp;" --exclude ""*"" --recursive --include ""*"&amp;TEXT(F99+1,"YYYYMMDD")&amp;"*"" &amp; """&amp;walkandungz&amp;""" "&amp;search_path&amp;"\RTDC"&amp;B99&amp;"\"&amp;TEXT(F99+1,"YYYY-MM-DD")</f>
        <v>aws s3 cp s3://rtdc.mdm.uploadarchive.raw/RTDC4064/ "%USERPROFILE%\AppData\Local\Temp\OnboardLogs"\RTDC4064\2018-01-06 --exclude "*" --recursive --include "*20180106*" &amp; "%USERPROFILE%\Documents\GitHub\mrs-test-scripts\Headless Mode &amp; Sideloading\WalkAndUnGZ.bat" "%USERPROFILE%\AppData\Local\Temp\OnboardLogs"\RTDC4064\2018-01-06 &amp; aws s3 cp s3://rtdc.mdm.uploadarchive.raw/RTDC4064/ "%USERPROFILE%\AppData\Local\Temp\OnboardLogs"\RTDC4064\2018-01-07 --exclude "*" --recursive --include "*20180107*" &amp; "%USERPROFILE%\Documents\GitHub\mrs-test-scripts\Headless Mode &amp; Sideloading\WalkAndUnGZ.bat" "%USERPROFILE%\AppData\Local\Temp\OnboardLogs"\RTDC4064\2018-01-07</v>
      </c>
      <c r="AF99" s="234" t="str">
        <f>astrogrep_path&amp;" /e /r /s /spath="&amp;search_path&amp;" /stypes=""app*"&amp;B99&amp;"*"&amp;TEXT(I99-utc_offset/24,"YYYYMMDD")&amp;"*"" /stext="" "&amp;TEXT(I99-utc_offset/24,"HH")&amp;search_regexp&amp;""""</f>
        <v>"C:\Program Files (x86)\AstroGrep\AstroGrep.exe" /e /r /s /spath="%USERPROFILE%\AppData\Local\Temp\OnboardLogs" /stypes="app*4064*20180106*" /stext=" 21:.+((SYSTEM_STATE.+slice.+state.+changed )|(ment ac)|(multiple cpu faults)|(system.+state.+changed )|(\[timeout)|(PRM\|1\|D)|(kpr)|(kdp)|(train st.+moving)|(\|lc)|(penalty))"</v>
      </c>
      <c r="AG99" s="244" t="str">
        <f>DetSubdiv(A99)</f>
        <v>EC</v>
      </c>
      <c r="AH99" s="236" t="str">
        <f t="shared" si="10"/>
        <v>"%USERPROFILE%\Documents\GitHub\eaglep3\Utilities\RefineRTDCRunTimes.py" --tripid 185-06 --locoid 4064 --swversion DE.1.0.9.0 --startMP 204:539 --initTime 2018-01-06T14:10:13 --startdatetime 2018-01-06T14:15:15 --delay 55 --endMP 204:233215 --enddatetime 2018-01-06T14:50:59 --enforcementcount 0 &gt;&gt;%USERPROFILE%\Documents\GitHub\eaglep3-reporting\EC\2018-01-06-refined-times.txt</v>
      </c>
      <c r="AI99" s="238" t="str">
        <f t="shared" si="11"/>
        <v>echo {"issue":{"subject":"","project_id":79,"tracker_id":40,"status_id":1,"priority_id":2,"assigned_to_id":338,"start_date":"2018-01-06","description":"","custom_fields":[{"id":1,"name":"Subdivision","value":"EC"},{"id":4,"name":"Milepost","value":"23.3215"},{"id":17,"name":"Train ID","value":"185-06"},{"id":16,"name":"Locomotive ID","value":"4064"},{"id":130,"name":"Impact","value":""},{"id":150,"name":"Time of Event (Mountain Time)","value":"14:50:59"},{"id":151,"name":"Denver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9" s="223"/>
      <c r="AK99" s="231"/>
      <c r="AL99" s="231"/>
      <c r="AM99" s="240" t="str">
        <f t="shared" si="12"/>
        <v>start /low /b %USERPROFILE%\Documents\GitHub\eaglep3\Utilities\DownloadLogsFromS3.py --loco 4064 --day 2018-01-06</v>
      </c>
      <c r="AN99" s="241" t="str">
        <f t="shared" si="13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21:50:59"},{"id":29,"name":"Sharepoint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 s="230" t="str">
        <f t="shared" si="14"/>
        <v>https://d0f6bd738d7f1b3e5a7ca70fe4ff75f0.us-east-1.aws.found.io/app/kibana#/discover/Steve-Slow-Train-Analysis-(2080s-and-2083s)?_g=(refreshInterval:(display:Off,pause:!f,section:0,value:0),time:(from:'2018-01-06T13:10:13-0700',mode:absolute,to:'2018-01-06T15:50:59-0700'))&amp;_a=(columns:!('Message%20ID',Summary),filters:!(),index:'emp_*',interval:auto,query:(query_string:(analyze_wildcard:!t,query:'%22rtdc.l.rtdc.4064%22')),sort:!(Time.ISO8601,asc))</v>
      </c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1" customFormat="1" x14ac:dyDescent="0.3">
      <c r="A100" s="229" t="s">
        <v>813</v>
      </c>
      <c r="B100" s="225">
        <v>4063</v>
      </c>
      <c r="C100" s="227" t="s">
        <v>192</v>
      </c>
      <c r="D100" s="227" t="s">
        <v>981</v>
      </c>
      <c r="E100" s="226">
        <v>43106.629953703705</v>
      </c>
      <c r="F100" s="226">
        <v>43106.633506944447</v>
      </c>
      <c r="G100" s="225">
        <v>69</v>
      </c>
      <c r="H100" s="227" t="s">
        <v>516</v>
      </c>
      <c r="I100" s="226">
        <v>43106.659085648149</v>
      </c>
      <c r="J100" s="225">
        <v>0</v>
      </c>
      <c r="K100" s="237" t="str">
        <f>IF(ISEVEN(B100),(B100-1)&amp;"/"&amp;B100,B100&amp;"/"&amp;(B100+1))</f>
        <v>4063/4064</v>
      </c>
      <c r="L100" s="245" t="str">
        <f>VLOOKUP(A100,'Trips&amp;Operators'!$C$1:$G$99911,5,FALSE)</f>
        <v>BRUDER RICHARD</v>
      </c>
      <c r="M100" s="224">
        <f>I100-F100</f>
        <v>2.5578703702194616E-2</v>
      </c>
      <c r="N100" s="225">
        <f>24*60*SUM($M100:$M100)</f>
        <v>36.833333331160247</v>
      </c>
      <c r="O100" s="225"/>
      <c r="P100" s="225"/>
      <c r="Q100" s="228"/>
      <c r="R100" s="242"/>
      <c r="S100" s="249">
        <f>1/IF(AG100="EC",12,1)*SUM(U100:U100)</f>
        <v>1</v>
      </c>
      <c r="T100" s="242" t="str">
        <f>IF(ISEVEN(LEFT(AD100,4)),"Southbound","NorthBound")</f>
        <v>Southbound</v>
      </c>
      <c r="U100" s="246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248" t="str">
        <f>"https://d0f6bd738d7f1b3e5a7ca70fe4ff75f0.us-east-1.aws.found.io/app/kibana#/discover/Steve-Slow-Train-Analysis-(2080s-and-2083s)?_g="&amp;"(refreshInterval:(display:Off,pause:!f,section:0,value:0),time:(from:'"&amp;TEXT(E100-1/24,"yyyy-MM-DDThh:mm:ss")&amp;utc_offset&amp;"00"&amp;"',mode:absolute,to:'"&amp;TEXT(I100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100&amp;"%22')),sort:!(Time.ISO8601,asc))"</f>
        <v>https://d0f6bd738d7f1b3e5a7ca70fe4ff75f0.us-east-1.aws.found.io/app/kibana#/discover/Steve-Slow-Train-Analysis-(2080s-and-2083s)?_g=(refreshInterval:(display:Off,pause:!f,section:0,value:0),time:(from:'2018-01-06T14:07:08-0700',mode:absolute,to:'2018-01-06T16:49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00" s="247" t="str">
        <f>IF(AA100&lt;VLOOKUP(AG100,Variables!$AC$3:$AD$8,2,FALSE),"Y","N")</f>
        <v>N</v>
      </c>
      <c r="X100" s="247">
        <f>VALUE(LEFT(AD100,4))-VALUE(LEFT(AD99,4))</f>
        <v>1</v>
      </c>
      <c r="Y100" s="247">
        <f>RIGHT(D100,LEN(D100)-4)/10000</f>
        <v>23.289000000000001</v>
      </c>
      <c r="Z100" s="247">
        <f>RIGHT(H100,LEN(H100)-4)/10000</f>
        <v>2.18E-2</v>
      </c>
      <c r="AA100" s="247">
        <f>ABS(Z100-Y100)</f>
        <v>23.267200000000003</v>
      </c>
      <c r="AB100" s="233" t="e">
        <f>VLOOKUP(A100,Enforcements!$C$7:$K$9,8,0)</f>
        <v>#N/A</v>
      </c>
      <c r="AC100" s="232" t="e">
        <f>VLOOKUP(A100,Enforcements!$C$7:$E$9,3,0)</f>
        <v>#N/A</v>
      </c>
      <c r="AD100" s="243">
        <f>VALUE(LEFT(A100,LEN(A100)-3))</f>
        <v>186</v>
      </c>
      <c r="AE100" s="235" t="str">
        <f>"aws s3 cp "&amp;s3_bucket&amp;"/RTDC"&amp;B100&amp;"/ "&amp;search_path&amp;"\RTDC"&amp;B100&amp;"\"&amp;TEXT(F100,"YYYY-MM-DD")&amp;" --exclude ""*"" --recursive --include ""*"&amp;TEXT(F100,"YYYYMMDD")&amp;"*"" &amp; """&amp;walkandungz&amp;""" "&amp;search_path&amp;"\RTDC"&amp;B100&amp;"\"&amp;TEXT(F100,"YYYY-MM-DD")
&amp;" &amp; "&amp;"aws s3 cp "&amp;s3_bucket&amp;"/RTDC"&amp;B100&amp;"/ "&amp;search_path&amp;"\RTDC"&amp;B100&amp;"\"&amp;TEXT(F100+1,"YYYY-MM-DD")&amp;" --exclude ""*"" --recursive --include ""*"&amp;TEXT(F100+1,"YYYYMMDD")&amp;"*"" &amp; """&amp;walkandungz&amp;""" "&amp;search_path&amp;"\RTDC"&amp;B100&amp;"\"&amp;TEXT(F100+1,"YYYY-MM-DD")</f>
        <v>aws s3 cp s3://rtdc.mdm.uploadarchive.raw/RTDC4063/ "%USERPROFILE%\AppData\Local\Temp\OnboardLogs"\RTDC4063\2018-01-06 --exclude "*" --recursive --include "*20180106*" &amp; "%USERPROFILE%\Documents\GitHub\mrs-test-scripts\Headless Mode &amp; Sideloading\WalkAndUnGZ.bat" "%USERPROFILE%\AppData\Local\Temp\OnboardLogs"\RTDC4063\2018-01-06 &amp; aws s3 cp s3://rtdc.mdm.uploadarchive.raw/RTDC4063/ "%USERPROFILE%\AppData\Local\Temp\OnboardLogs"\RTDC4063\2018-01-07 --exclude "*" --recursive --include "*20180107*" &amp; "%USERPROFILE%\Documents\GitHub\mrs-test-scripts\Headless Mode &amp; Sideloading\WalkAndUnGZ.bat" "%USERPROFILE%\AppData\Local\Temp\OnboardLogs"\RTDC4063\2018-01-07</v>
      </c>
      <c r="AF100" s="234" t="str">
        <f>astrogrep_path&amp;" /e /r /s /spath="&amp;search_path&amp;" /stypes=""app*"&amp;B100&amp;"*"&amp;TEXT(I100-utc_offset/24,"YYYYMMDD")&amp;"*"" /stext="" "&amp;TEXT(I100-utc_offset/24,"HH")&amp;search_regexp&amp;""""</f>
        <v>"C:\Program Files (x86)\AstroGrep\AstroGrep.exe" /e /r /s /spath="%USERPROFILE%\AppData\Local\Temp\OnboardLogs" /stypes="app*4063*20180106*" /stext=" 22:.+((SYSTEM_STATE.+slice.+state.+changed )|(ment ac)|(multiple cpu faults)|(system.+state.+changed )|(\[timeout)|(PRM\|1\|D)|(kpr)|(kdp)|(train st.+moving)|(\|lc)|(penalty))"</v>
      </c>
      <c r="AG100" s="244" t="str">
        <f>DetSubdiv(A100)</f>
        <v>EC</v>
      </c>
      <c r="AH100" s="236" t="str">
        <f t="shared" si="10"/>
        <v>"%USERPROFILE%\Documents\GitHub\eaglep3\Utilities\RefineRTDCRunTimes.py" --tripid 186-06 --locoid 4063 --swversion DE.1.0.9.0 --startMP 204:232890 --initTime 2018-01-06T15:07:08 --startdatetime 2018-01-06T15:12:15 --delay 69 --endMP 204:218 --enddatetime 2018-01-06T15:49:05 --enforcementcount 0 &gt;&gt;%USERPROFILE%\Documents\GitHub\eaglep3-reporting\EC\2018-01-06-refined-times.txt</v>
      </c>
      <c r="AI100" s="238" t="str">
        <f t="shared" si="11"/>
        <v>echo {"issue":{"subject":"","project_id":79,"tracker_id":40,"status_id":1,"priority_id":2,"assigned_to_id":338,"start_date":"2018-01-06","description":"","custom_fields":[{"id":1,"name":"Subdivision","value":"EC"},{"id":4,"name":"Milepost","value":"0.0218"},{"id":17,"name":"Train ID","value":"186-06"},{"id":16,"name":"Locomotive ID","value":"4063"},{"id":130,"name":"Impact","value":""},{"id":150,"name":"Time of Event (Mountain Time)","value":"15:49:05"},{"id":151,"name":"Denver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0" s="223"/>
      <c r="AK100" s="231"/>
      <c r="AL100" s="231"/>
      <c r="AM100" s="240" t="str">
        <f t="shared" si="12"/>
        <v>start /low /b %USERPROFILE%\Documents\GitHub\eaglep3\Utilities\DownloadLogsFromS3.py --loco 4063 --day 2018-01-06</v>
      </c>
      <c r="AN100" s="241" t="str">
        <f t="shared" si="13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22:49:05"},{"id":29,"name":"Sharepoint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 s="230" t="str">
        <f t="shared" si="14"/>
        <v>https://d0f6bd738d7f1b3e5a7ca70fe4ff75f0.us-east-1.aws.found.io/app/kibana#/discover/Steve-Slow-Train-Analysis-(2080s-and-2083s)?_g=(refreshInterval:(display:Off,pause:!f,section:0,value:0),time:(from:'2018-01-06T14:07:08-0700',mode:absolute,to:'2018-01-06T16:49:05-0700'))&amp;_a=(columns:!('Message%20ID',Summary),filters:!(),index:'emp_*',interval:auto,query:(query_string:(analyze_wildcard:!t,query:'%22rtdc.l.rtdc.4063%22')),sort:!(Time.ISO8601,asc))</v>
      </c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1" customFormat="1" x14ac:dyDescent="0.3">
      <c r="A101" s="229" t="s">
        <v>808</v>
      </c>
      <c r="B101" s="225">
        <v>4060</v>
      </c>
      <c r="C101" s="227" t="s">
        <v>192</v>
      </c>
      <c r="D101" s="227" t="s">
        <v>570</v>
      </c>
      <c r="E101" s="226">
        <v>43106.60193287037</v>
      </c>
      <c r="F101" s="226">
        <v>43106.604398148149</v>
      </c>
      <c r="G101" s="225">
        <v>60</v>
      </c>
      <c r="H101" s="227" t="s">
        <v>617</v>
      </c>
      <c r="I101" s="226">
        <v>43106.628055555557</v>
      </c>
      <c r="J101" s="225">
        <v>0</v>
      </c>
      <c r="K101" s="237" t="str">
        <f>IF(ISEVEN(B101),(B101-1)&amp;"/"&amp;B101,B101&amp;"/"&amp;(B101+1))</f>
        <v>4059/4060</v>
      </c>
      <c r="L101" s="245" t="str">
        <f>VLOOKUP(A101,'Trips&amp;Operators'!$C$1:$G$99911,5,FALSE)</f>
        <v>HOLCOMB KAMDEN</v>
      </c>
      <c r="M101" s="224">
        <f>I101-F101</f>
        <v>2.3657407407881692E-2</v>
      </c>
      <c r="N101" s="225">
        <f>24*60*SUM($M101:$M101)</f>
        <v>34.066666667349637</v>
      </c>
      <c r="O101" s="225"/>
      <c r="P101" s="225"/>
      <c r="Q101" s="228"/>
      <c r="R101" s="242"/>
      <c r="S101" s="249">
        <f>1/IF(AG101="EC",12,1)*SUM(U101:U101)</f>
        <v>1</v>
      </c>
      <c r="T101" s="242" t="str">
        <f>IF(ISEVEN(LEFT(AD101,4)),"Southbound","NorthBound")</f>
        <v>NorthBound</v>
      </c>
      <c r="U101" s="246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248" t="str">
        <f>"https://d0f6bd738d7f1b3e5a7ca70fe4ff75f0.us-east-1.aws.found.io/app/kibana#/discover/Steve-Slow-Train-Analysis-(2080s-and-2083s)?_g="&amp;"(refreshInterval:(display:Off,pause:!f,section:0,value:0),time:(from:'"&amp;TEXT(E101-1/24,"yyyy-MM-DDThh:mm:ss")&amp;utc_offset&amp;"00"&amp;"',mode:absolute,to:'"&amp;TEXT(I101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101&amp;"%22')),sort:!(Time.ISO8601,asc))"</f>
        <v>https://d0f6bd738d7f1b3e5a7ca70fe4ff75f0.us-east-1.aws.found.io/app/kibana#/discover/Steve-Slow-Train-Analysis-(2080s-and-2083s)?_g=(refreshInterval:(display:Off,pause:!f,section:0,value:0),time:(from:'2018-01-06T13:26:47-0700',mode:absolute,to:'2018-01-06T16:04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01" s="247" t="str">
        <f>IF(AA101&lt;VLOOKUP(AG101,Variables!$AC$3:$AD$8,2,FALSE),"Y","N")</f>
        <v>N</v>
      </c>
      <c r="X101" s="247">
        <f>VALUE(LEFT(AD101,4))-VALUE(LEFT(AD100,4))</f>
        <v>1</v>
      </c>
      <c r="Y101" s="247">
        <f>RIGHT(D101,LEN(D101)-4)/10000</f>
        <v>5.1299999999999998E-2</v>
      </c>
      <c r="Z101" s="247">
        <f>RIGHT(H101,LEN(H101)-4)/10000</f>
        <v>23.3232</v>
      </c>
      <c r="AA101" s="247">
        <f>ABS(Z101-Y101)</f>
        <v>23.271899999999999</v>
      </c>
      <c r="AB101" s="233" t="e">
        <f>VLOOKUP(A101,Enforcements!$C$7:$K$9,8,0)</f>
        <v>#N/A</v>
      </c>
      <c r="AC101" s="232" t="e">
        <f>VLOOKUP(A101,Enforcements!$C$7:$E$9,3,0)</f>
        <v>#N/A</v>
      </c>
      <c r="AD101" s="243">
        <f>VALUE(LEFT(A101,LEN(A101)-3))</f>
        <v>187</v>
      </c>
      <c r="AE101" s="235" t="str">
        <f>"aws s3 cp "&amp;s3_bucket&amp;"/RTDC"&amp;B101&amp;"/ "&amp;search_path&amp;"\RTDC"&amp;B101&amp;"\"&amp;TEXT(F101,"YYYY-MM-DD")&amp;" --exclude ""*"" --recursive --include ""*"&amp;TEXT(F101,"YYYYMMDD")&amp;"*"" &amp; """&amp;walkandungz&amp;""" "&amp;search_path&amp;"\RTDC"&amp;B101&amp;"\"&amp;TEXT(F101,"YYYY-MM-DD")
&amp;" &amp; "&amp;"aws s3 cp "&amp;s3_bucket&amp;"/RTDC"&amp;B101&amp;"/ "&amp;search_path&amp;"\RTDC"&amp;B101&amp;"\"&amp;TEXT(F101+1,"YYYY-MM-DD")&amp;" --exclude ""*"" --recursive --include ""*"&amp;TEXT(F101+1,"YYYYMMDD")&amp;"*"" &amp; """&amp;walkandungz&amp;""" "&amp;search_path&amp;"\RTDC"&amp;B101&amp;"\"&amp;TEXT(F101+1,"YYYY-MM-DD")</f>
        <v>aws s3 cp s3://rtdc.mdm.uploadarchive.raw/RTDC4060/ "%USERPROFILE%\AppData\Local\Temp\OnboardLogs"\RTDC4060\2018-01-06 --exclude "*" --recursive --include "*20180106*" &amp; "%USERPROFILE%\Documents\GitHub\mrs-test-scripts\Headless Mode &amp; Sideloading\WalkAndUnGZ.bat" "%USERPROFILE%\AppData\Local\Temp\OnboardLogs"\RTDC4060\2018-01-06 &amp; aws s3 cp s3://rtdc.mdm.uploadarchive.raw/RTDC4060/ "%USERPROFILE%\AppData\Local\Temp\OnboardLogs"\RTDC4060\2018-01-07 --exclude "*" --recursive --include "*20180107*" &amp; "%USERPROFILE%\Documents\GitHub\mrs-test-scripts\Headless Mode &amp; Sideloading\WalkAndUnGZ.bat" "%USERPROFILE%\AppData\Local\Temp\OnboardLogs"\RTDC4060\2018-01-07</v>
      </c>
      <c r="AF101" s="234" t="str">
        <f>astrogrep_path&amp;" /e /r /s /spath="&amp;search_path&amp;" /stypes=""app*"&amp;B101&amp;"*"&amp;TEXT(I101-utc_offset/24,"YYYYMMDD")&amp;"*"" /stext="" "&amp;TEXT(I101-utc_offset/24,"HH")&amp;search_regexp&amp;""""</f>
        <v>"C:\Program Files (x86)\AstroGrep\AstroGrep.exe" /e /r /s /spath="%USERPROFILE%\AppData\Local\Temp\OnboardLogs" /stypes="app*4060*20180106*" /stext=" 22:.+((SYSTEM_STATE.+slice.+state.+changed )|(ment ac)|(multiple cpu faults)|(system.+state.+changed )|(\[timeout)|(PRM\|1\|D)|(kpr)|(kdp)|(train st.+moving)|(\|lc)|(penalty))"</v>
      </c>
      <c r="AG101" s="244" t="str">
        <f>DetSubdiv(A101)</f>
        <v>EC</v>
      </c>
      <c r="AH101" s="236" t="str">
        <f t="shared" si="10"/>
        <v>"%USERPROFILE%\Documents\GitHub\eaglep3\Utilities\RefineRTDCRunTimes.py" --tripid 187-06 --locoid 4060 --swversion DE.1.0.9.0 --startMP 204:513 --initTime 2018-01-06T14:26:47 --startdatetime 2018-01-06T14:30:20 --delay 60 --endMP 204:233232 --enddatetime 2018-01-06T15:04:24 --enforcementcount 0 &gt;&gt;%USERPROFILE%\Documents\GitHub\eaglep3-reporting\EC\2018-01-06-refined-times.txt</v>
      </c>
      <c r="AI101" s="238" t="str">
        <f t="shared" si="11"/>
        <v>echo {"issue":{"subject":"","project_id":79,"tracker_id":40,"status_id":1,"priority_id":2,"assigned_to_id":338,"start_date":"2018-01-06","description":"","custom_fields":[{"id":1,"name":"Subdivision","value":"EC"},{"id":4,"name":"Milepost","value":"23.3232"},{"id":17,"name":"Train ID","value":"187-06"},{"id":16,"name":"Locomotive ID","value":"4060"},{"id":130,"name":"Impact","value":""},{"id":150,"name":"Time of Event (Mountain Time)","value":"15:04:24"},{"id":151,"name":"Denver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1" s="223"/>
      <c r="AK101" s="231"/>
      <c r="AL101" s="231"/>
      <c r="AM101" s="240" t="str">
        <f t="shared" si="12"/>
        <v>start /low /b %USERPROFILE%\Documents\GitHub\eaglep3\Utilities\DownloadLogsFromS3.py --loco 4060 --day 2018-01-06</v>
      </c>
      <c r="AN101" s="241" t="str">
        <f t="shared" si="13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22:04:24"},{"id":29,"name":"Sharepoint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 s="230" t="str">
        <f t="shared" si="14"/>
        <v>https://d0f6bd738d7f1b3e5a7ca70fe4ff75f0.us-east-1.aws.found.io/app/kibana#/discover/Steve-Slow-Train-Analysis-(2080s-and-2083s)?_g=(refreshInterval:(display:Off,pause:!f,section:0,value:0),time:(from:'2018-01-06T13:26:47-0700',mode:absolute,to:'2018-01-06T16:04:24-0700'))&amp;_a=(columns:!('Message%20ID',Summary),filters:!(),index:'emp_*',interval:auto,query:(query_string:(analyze_wildcard:!t,query:'%22rtdc.l.rtdc.4060%22')),sort:!(Time.ISO8601,asc))</v>
      </c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1" customFormat="1" x14ac:dyDescent="0.3">
      <c r="A102" s="229" t="s">
        <v>815</v>
      </c>
      <c r="B102" s="225">
        <v>4059</v>
      </c>
      <c r="C102" s="227" t="s">
        <v>192</v>
      </c>
      <c r="D102" s="227" t="s">
        <v>982</v>
      </c>
      <c r="E102" s="226">
        <v>43106.641446759262</v>
      </c>
      <c r="F102" s="226">
        <v>43106.644143518519</v>
      </c>
      <c r="G102" s="225">
        <v>66</v>
      </c>
      <c r="H102" s="227" t="s">
        <v>477</v>
      </c>
      <c r="I102" s="226">
        <v>43106.668946759259</v>
      </c>
      <c r="J102" s="225">
        <v>0</v>
      </c>
      <c r="K102" s="237" t="str">
        <f>IF(ISEVEN(B102),(B102-1)&amp;"/"&amp;B102,B102&amp;"/"&amp;(B102+1))</f>
        <v>4059/4060</v>
      </c>
      <c r="L102" s="245" t="str">
        <f>VLOOKUP(A102,'Trips&amp;Operators'!$C$1:$G$99911,5,FALSE)</f>
        <v>HOLCOMB KAMDEN</v>
      </c>
      <c r="M102" s="224">
        <f>I102-F102</f>
        <v>2.4803240739856847E-2</v>
      </c>
      <c r="N102" s="225">
        <f>24*60*SUM($M102:$M102)</f>
        <v>35.716666665393859</v>
      </c>
      <c r="O102" s="225"/>
      <c r="P102" s="225"/>
      <c r="Q102" s="228"/>
      <c r="R102" s="242"/>
      <c r="S102" s="249">
        <f>1/IF(AG102="EC",12,1)*SUM(U102:U102)</f>
        <v>1</v>
      </c>
      <c r="T102" s="242" t="str">
        <f>IF(ISEVEN(LEFT(AD102,4)),"Southbound","NorthBound")</f>
        <v>Southbound</v>
      </c>
      <c r="U102" s="246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248" t="str">
        <f>"https://d0f6bd738d7f1b3e5a7ca70fe4ff75f0.us-east-1.aws.found.io/app/kibana#/discover/Steve-Slow-Train-Analysis-(2080s-and-2083s)?_g="&amp;"(refreshInterval:(display:Off,pause:!f,section:0,value:0),time:(from:'"&amp;TEXT(E102-1/24,"yyyy-MM-DDThh:mm:ss")&amp;utc_offset&amp;"00"&amp;"',mode:absolute,to:'"&amp;TEXT(I102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102&amp;"%22')),sort:!(Time.ISO8601,asc))"</f>
        <v>https://d0f6bd738d7f1b3e5a7ca70fe4ff75f0.us-east-1.aws.found.io/app/kibana#/discover/Steve-Slow-Train-Analysis-(2080s-and-2083s)?_g=(refreshInterval:(display:Off,pause:!f,section:0,value:0),time:(from:'2018-01-06T14:23:41-0700',mode:absolute,to:'2018-01-06T17:03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02" s="247" t="str">
        <f>IF(AA102&lt;VLOOKUP(AG102,Variables!$AC$3:$AD$8,2,FALSE),"Y","N")</f>
        <v>N</v>
      </c>
      <c r="X102" s="247">
        <f>VALUE(LEFT(AD102,4))-VALUE(LEFT(AD101,4))</f>
        <v>1</v>
      </c>
      <c r="Y102" s="247">
        <f>RIGHT(D102,LEN(D102)-4)/10000</f>
        <v>23.290900000000001</v>
      </c>
      <c r="Z102" s="247">
        <f>RIGHT(H102,LEN(H102)-4)/10000</f>
        <v>2.01E-2</v>
      </c>
      <c r="AA102" s="247">
        <f>ABS(Z102-Y102)</f>
        <v>23.270800000000001</v>
      </c>
      <c r="AB102" s="233" t="e">
        <f>VLOOKUP(A102,Enforcements!$C$7:$K$9,8,0)</f>
        <v>#N/A</v>
      </c>
      <c r="AC102" s="232" t="e">
        <f>VLOOKUP(A102,Enforcements!$C$7:$E$9,3,0)</f>
        <v>#N/A</v>
      </c>
      <c r="AD102" s="243">
        <f>VALUE(LEFT(A102,LEN(A102)-3))</f>
        <v>188</v>
      </c>
      <c r="AE102" s="235" t="str">
        <f>"aws s3 cp "&amp;s3_bucket&amp;"/RTDC"&amp;B102&amp;"/ "&amp;search_path&amp;"\RTDC"&amp;B102&amp;"\"&amp;TEXT(F102,"YYYY-MM-DD")&amp;" --exclude ""*"" --recursive --include ""*"&amp;TEXT(F102,"YYYYMMDD")&amp;"*"" &amp; """&amp;walkandungz&amp;""" "&amp;search_path&amp;"\RTDC"&amp;B102&amp;"\"&amp;TEXT(F102,"YYYY-MM-DD")
&amp;" &amp; "&amp;"aws s3 cp "&amp;s3_bucket&amp;"/RTDC"&amp;B102&amp;"/ "&amp;search_path&amp;"\RTDC"&amp;B102&amp;"\"&amp;TEXT(F102+1,"YYYY-MM-DD")&amp;" --exclude ""*"" --recursive --include ""*"&amp;TEXT(F102+1,"YYYYMMDD")&amp;"*"" &amp; """&amp;walkandungz&amp;""" "&amp;search_path&amp;"\RTDC"&amp;B102&amp;"\"&amp;TEXT(F102+1,"YYYY-MM-DD")</f>
        <v>aws s3 cp s3://rtdc.mdm.uploadarchive.raw/RTDC4059/ "%USERPROFILE%\AppData\Local\Temp\OnboardLogs"\RTDC4059\2018-01-06 --exclude "*" --recursive --include "*20180106*" &amp; "%USERPROFILE%\Documents\GitHub\mrs-test-scripts\Headless Mode &amp; Sideloading\WalkAndUnGZ.bat" "%USERPROFILE%\AppData\Local\Temp\OnboardLogs"\RTDC4059\2018-01-06 &amp; aws s3 cp s3://rtdc.mdm.uploadarchive.raw/RTDC4059/ "%USERPROFILE%\AppData\Local\Temp\OnboardLogs"\RTDC4059\2018-01-07 --exclude "*" --recursive --include "*20180107*" &amp; "%USERPROFILE%\Documents\GitHub\mrs-test-scripts\Headless Mode &amp; Sideloading\WalkAndUnGZ.bat" "%USERPROFILE%\AppData\Local\Temp\OnboardLogs"\RTDC4059\2018-01-07</v>
      </c>
      <c r="AF102" s="234" t="str">
        <f>astrogrep_path&amp;" /e /r /s /spath="&amp;search_path&amp;" /stypes=""app*"&amp;B102&amp;"*"&amp;TEXT(I102-utc_offset/24,"YYYYMMDD")&amp;"*"" /stext="" "&amp;TEXT(I102-utc_offset/24,"HH")&amp;search_regexp&amp;""""</f>
        <v>"C:\Program Files (x86)\AstroGrep\AstroGrep.exe" /e /r /s /spath="%USERPROFILE%\AppData\Local\Temp\OnboardLogs" /stypes="app*4059*20180106*" /stext=" 23:.+((SYSTEM_STATE.+slice.+state.+changed )|(ment ac)|(multiple cpu faults)|(system.+state.+changed )|(\[timeout)|(PRM\|1\|D)|(kpr)|(kdp)|(train st.+moving)|(\|lc)|(penalty))"</v>
      </c>
      <c r="AG102" s="244" t="str">
        <f>DetSubdiv(A102)</f>
        <v>EC</v>
      </c>
      <c r="AH102" s="236" t="str">
        <f t="shared" si="10"/>
        <v>"%USERPROFILE%\Documents\GitHub\eaglep3\Utilities\RefineRTDCRunTimes.py" --tripid 188-06 --locoid 4059 --swversion DE.1.0.9.0 --startMP 204:232909 --initTime 2018-01-06T15:23:41 --startdatetime 2018-01-06T15:27:34 --delay 66 --endMP 204:201 --enddatetime 2018-01-06T16:03:17 --enforcementcount 0 &gt;&gt;%USERPROFILE%\Documents\GitHub\eaglep3-reporting\EC\2018-01-06-refined-times.txt</v>
      </c>
      <c r="AI102" s="238" t="str">
        <f t="shared" si="11"/>
        <v>echo {"issue":{"subject":"","project_id":79,"tracker_id":40,"status_id":1,"priority_id":2,"assigned_to_id":338,"start_date":"2018-01-06","description":"","custom_fields":[{"id":1,"name":"Subdivision","value":"EC"},{"id":4,"name":"Milepost","value":"0.0201"},{"id":17,"name":"Train ID","value":"188-06"},{"id":16,"name":"Locomotive ID","value":"4059"},{"id":130,"name":"Impact","value":""},{"id":150,"name":"Time of Event (Mountain Time)","value":"16:03:17"},{"id":151,"name":"Denver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2" s="223"/>
      <c r="AK102" s="231"/>
      <c r="AL102" s="231"/>
      <c r="AM102" s="240" t="str">
        <f t="shared" si="12"/>
        <v>start /low /b %USERPROFILE%\Documents\GitHub\eaglep3\Utilities\DownloadLogsFromS3.py --loco 4059 --day 2018-01-06</v>
      </c>
      <c r="AN102" s="241" t="str">
        <f t="shared" si="13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23:03:17"},{"id":29,"name":"Sharepoint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 s="230" t="str">
        <f t="shared" si="14"/>
        <v>https://d0f6bd738d7f1b3e5a7ca70fe4ff75f0.us-east-1.aws.found.io/app/kibana#/discover/Steve-Slow-Train-Analysis-(2080s-and-2083s)?_g=(refreshInterval:(display:Off,pause:!f,section:0,value:0),time:(from:'2018-01-06T14:23:41-0700',mode:absolute,to:'2018-01-06T17:03:17-0700'))&amp;_a=(columns:!('Message%20ID',Summary),filters:!(),index:'emp_*',interval:auto,query:(query_string:(analyze_wildcard:!t,query:'%22rtdc.l.rtdc.4059%22')),sort:!(Time.ISO8601,asc))</v>
      </c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3">
      <c r="A103" s="229" t="s">
        <v>809</v>
      </c>
      <c r="B103" s="225">
        <v>4030</v>
      </c>
      <c r="C103" s="227" t="s">
        <v>192</v>
      </c>
      <c r="D103" s="227" t="s">
        <v>626</v>
      </c>
      <c r="E103" s="226">
        <v>43106.612870370373</v>
      </c>
      <c r="F103" s="226">
        <v>43106.615011574075</v>
      </c>
      <c r="G103" s="225">
        <v>106</v>
      </c>
      <c r="H103" s="227" t="s">
        <v>563</v>
      </c>
      <c r="I103" s="226">
        <v>43106.641168981485</v>
      </c>
      <c r="J103" s="225">
        <v>0</v>
      </c>
      <c r="K103" s="237" t="str">
        <f>IF(ISEVEN(B103),(B103-1)&amp;"/"&amp;B103,B103&amp;"/"&amp;(B103+1))</f>
        <v>4029/4030</v>
      </c>
      <c r="L103" s="245" t="str">
        <f>VLOOKUP(A103,'Trips&amp;Operators'!$C$1:$G$99911,5,FALSE)</f>
        <v>DAVIS MICHAEL</v>
      </c>
      <c r="M103" s="224">
        <f>I103-F103</f>
        <v>2.6157407410209998E-2</v>
      </c>
      <c r="N103" s="225">
        <f>24*60*SUM($M103:$M103)</f>
        <v>37.666666670702398</v>
      </c>
      <c r="O103" s="225"/>
      <c r="P103" s="225"/>
      <c r="Q103" s="228"/>
      <c r="R103" s="242"/>
      <c r="S103" s="249">
        <f>1/IF(AG103="EC",12,1)*SUM(U103:U103)</f>
        <v>1</v>
      </c>
      <c r="T103" s="242" t="str">
        <f>IF(ISEVEN(LEFT(AD103,4)),"Southbound","NorthBound")</f>
        <v>NorthBound</v>
      </c>
      <c r="U103" s="246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248" t="str">
        <f>"https://d0f6bd738d7f1b3e5a7ca70fe4ff75f0.us-east-1.aws.found.io/app/kibana#/discover/Steve-Slow-Train-Analysis-(2080s-and-2083s)?_g="&amp;"(refreshInterval:(display:Off,pause:!f,section:0,value:0),time:(from:'"&amp;TEXT(E103-1/24,"yyyy-MM-DDThh:mm:ss")&amp;utc_offset&amp;"00"&amp;"',mode:absolute,to:'"&amp;TEXT(I103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103&amp;"%22')),sort:!(Time.ISO8601,asc))"</f>
        <v>https://d0f6bd738d7f1b3e5a7ca70fe4ff75f0.us-east-1.aws.found.io/app/kibana#/discover/Steve-Slow-Train-Analysis-(2080s-and-2083s)?_g=(refreshInterval:(display:Off,pause:!f,section:0,value:0),time:(from:'2018-01-06T13:42:32-0700',mode:absolute,to:'2018-01-06T16:23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03" s="247" t="str">
        <f>IF(AA103&lt;VLOOKUP(AG103,Variables!$AC$3:$AD$8,2,FALSE),"Y","N")</f>
        <v>N</v>
      </c>
      <c r="X103" s="247">
        <f>VALUE(LEFT(AD103,4))-VALUE(LEFT(AD102,4))</f>
        <v>1</v>
      </c>
      <c r="Y103" s="247">
        <f>RIGHT(D103,LEN(D103)-4)/10000</f>
        <v>5.0900000000000001E-2</v>
      </c>
      <c r="Z103" s="247">
        <f>RIGHT(H103,LEN(H103)-4)/10000</f>
        <v>23.328600000000002</v>
      </c>
      <c r="AA103" s="247">
        <f>ABS(Z103-Y103)</f>
        <v>23.277700000000003</v>
      </c>
      <c r="AB103" s="233" t="e">
        <f>VLOOKUP(A103,Enforcements!$C$7:$K$9,8,0)</f>
        <v>#N/A</v>
      </c>
      <c r="AC103" s="232" t="e">
        <f>VLOOKUP(A103,Enforcements!$C$7:$E$9,3,0)</f>
        <v>#N/A</v>
      </c>
      <c r="AD103" s="243">
        <f>VALUE(LEFT(A103,LEN(A103)-3))</f>
        <v>189</v>
      </c>
      <c r="AE103" s="235" t="str">
        <f>"aws s3 cp "&amp;s3_bucket&amp;"/RTDC"&amp;B103&amp;"/ "&amp;search_path&amp;"\RTDC"&amp;B103&amp;"\"&amp;TEXT(F103,"YYYY-MM-DD")&amp;" --exclude ""*"" --recursive --include ""*"&amp;TEXT(F103,"YYYYMMDD")&amp;"*"" &amp; """&amp;walkandungz&amp;""" "&amp;search_path&amp;"\RTDC"&amp;B103&amp;"\"&amp;TEXT(F103,"YYYY-MM-DD")
&amp;" &amp; "&amp;"aws s3 cp "&amp;s3_bucket&amp;"/RTDC"&amp;B103&amp;"/ "&amp;search_path&amp;"\RTDC"&amp;B103&amp;"\"&amp;TEXT(F103+1,"YYYY-MM-DD")&amp;" --exclude ""*"" --recursive --include ""*"&amp;TEXT(F103+1,"YYYYMMDD")&amp;"*"" &amp; """&amp;walkandungz&amp;""" "&amp;search_path&amp;"\RTDC"&amp;B103&amp;"\"&amp;TEXT(F103+1,"YYYY-MM-DD")</f>
        <v>aws s3 cp s3://rtdc.mdm.uploadarchive.raw/RTDC4030/ "%USERPROFILE%\AppData\Local\Temp\OnboardLogs"\RTDC4030\2018-01-06 --exclude "*" --recursive --include "*20180106*" &amp; "%USERPROFILE%\Documents\GitHub\mrs-test-scripts\Headless Mode &amp; Sideloading\WalkAndUnGZ.bat" "%USERPROFILE%\AppData\Local\Temp\OnboardLogs"\RTDC4030\2018-01-06 &amp; aws s3 cp s3://rtdc.mdm.uploadarchive.raw/RTDC4030/ "%USERPROFILE%\AppData\Local\Temp\OnboardLogs"\RTDC4030\2018-01-07 --exclude "*" --recursive --include "*20180107*" &amp; "%USERPROFILE%\Documents\GitHub\mrs-test-scripts\Headless Mode &amp; Sideloading\WalkAndUnGZ.bat" "%USERPROFILE%\AppData\Local\Temp\OnboardLogs"\RTDC4030\2018-01-07</v>
      </c>
      <c r="AF103" s="234" t="str">
        <f>astrogrep_path&amp;" /e /r /s /spath="&amp;search_path&amp;" /stypes=""app*"&amp;B103&amp;"*"&amp;TEXT(I103-utc_offset/24,"YYYYMMDD")&amp;"*"" /stext="" "&amp;TEXT(I103-utc_offset/24,"HH")&amp;search_regexp&amp;""""</f>
        <v>"C:\Program Files (x86)\AstroGrep\AstroGrep.exe" /e /r /s /spath="%USERPROFILE%\AppData\Local\Temp\OnboardLogs" /stypes="app*4030*20180106*" /stext=" 22:.+((SYSTEM_STATE.+slice.+state.+changed )|(ment ac)|(multiple cpu faults)|(system.+state.+changed )|(\[timeout)|(PRM\|1\|D)|(kpr)|(kdp)|(train st.+moving)|(\|lc)|(penalty))"</v>
      </c>
      <c r="AG103" s="244" t="str">
        <f>DetSubdiv(A103)</f>
        <v>EC</v>
      </c>
      <c r="AH103" s="236" t="str">
        <f t="shared" si="10"/>
        <v>"%USERPROFILE%\Documents\GitHub\eaglep3\Utilities\RefineRTDCRunTimes.py" --tripid 189-06 --locoid 4030 --swversion DE.1.0.9.0 --startMP 204:509 --initTime 2018-01-06T14:42:32 --startdatetime 2018-01-06T14:45:37 --delay 106 --endMP 204:233286 --enddatetime 2018-01-06T15:23:17 --enforcementcount 0 &gt;&gt;%USERPROFILE%\Documents\GitHub\eaglep3-reporting\EC\2018-01-06-refined-times.txt</v>
      </c>
      <c r="AI103" s="238" t="str">
        <f t="shared" si="11"/>
        <v>echo {"issue":{"subject":"","project_id":79,"tracker_id":40,"status_id":1,"priority_id":2,"assigned_to_id":338,"start_date":"2018-01-06","description":"","custom_fields":[{"id":1,"name":"Subdivision","value":"EC"},{"id":4,"name":"Milepost","value":"23.3286"},{"id":17,"name":"Train ID","value":"189-06"},{"id":16,"name":"Locomotive ID","value":"4030"},{"id":130,"name":"Impact","value":""},{"id":150,"name":"Time of Event (Mountain Time)","value":"15:23:17"},{"id":151,"name":"Denver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3" s="223"/>
      <c r="AK103" s="231"/>
      <c r="AL103" s="231"/>
      <c r="AM103" s="240" t="str">
        <f t="shared" si="12"/>
        <v>start /low /b %USERPROFILE%\Documents\GitHub\eaglep3\Utilities\DownloadLogsFromS3.py --loco 4030 --day 2018-01-06</v>
      </c>
      <c r="AN103" s="241" t="str">
        <f t="shared" si="13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22:23:17"},{"id":29,"name":"Sharepoint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 s="230" t="str">
        <f t="shared" si="14"/>
        <v>https://d0f6bd738d7f1b3e5a7ca70fe4ff75f0.us-east-1.aws.found.io/app/kibana#/discover/Steve-Slow-Train-Analysis-(2080s-and-2083s)?_g=(refreshInterval:(display:Off,pause:!f,section:0,value:0),time:(from:'2018-01-06T13:42:32-0700',mode:absolute,to:'2018-01-06T16:23:17-0700'))&amp;_a=(columns:!('Message%20ID',Summary),filters:!(),index:'emp_*',interval:auto,query:(query_string:(analyze_wildcard:!t,query:'%22rtdc.l.rtdc.4030%22')),sort:!(Time.ISO8601,asc))</v>
      </c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3">
      <c r="A104" s="229" t="s">
        <v>820</v>
      </c>
      <c r="B104" s="225">
        <v>4029</v>
      </c>
      <c r="C104" s="227" t="s">
        <v>192</v>
      </c>
      <c r="D104" s="227" t="s">
        <v>934</v>
      </c>
      <c r="E104" s="226">
        <v>43106.653020833335</v>
      </c>
      <c r="F104" s="226">
        <v>43106.654756944445</v>
      </c>
      <c r="G104" s="225">
        <v>59</v>
      </c>
      <c r="H104" s="227" t="s">
        <v>495</v>
      </c>
      <c r="I104" s="226">
        <v>43106.682650462964</v>
      </c>
      <c r="J104" s="225">
        <v>0</v>
      </c>
      <c r="K104" s="237" t="str">
        <f>IF(ISEVEN(B104),(B104-1)&amp;"/"&amp;B104,B104&amp;"/"&amp;(B104+1))</f>
        <v>4029/4030</v>
      </c>
      <c r="L104" s="245" t="str">
        <f>VLOOKUP(A104,'Trips&amp;Operators'!$C$1:$G$99911,5,FALSE)</f>
        <v>DAVIS MICHAEL</v>
      </c>
      <c r="M104" s="224">
        <f>I104-F104</f>
        <v>2.789351851970423E-2</v>
      </c>
      <c r="N104" s="225">
        <f>24*60*SUM($M104:$M104)</f>
        <v>40.166666668374091</v>
      </c>
      <c r="O104" s="225"/>
      <c r="P104" s="225"/>
      <c r="Q104" s="228"/>
      <c r="R104" s="242"/>
      <c r="S104" s="249">
        <f>1/IF(AG104="EC",12,1)*SUM(U104:U104)</f>
        <v>1</v>
      </c>
      <c r="T104" s="242" t="str">
        <f>IF(ISEVEN(LEFT(AD104,4)),"Southbound","NorthBound")</f>
        <v>Southbound</v>
      </c>
      <c r="U104" s="246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248" t="str">
        <f>"https://d0f6bd738d7f1b3e5a7ca70fe4ff75f0.us-east-1.aws.found.io/app/kibana#/discover/Steve-Slow-Train-Analysis-(2080s-and-2083s)?_g="&amp;"(refreshInterval:(display:Off,pause:!f,section:0,value:0),time:(from:'"&amp;TEXT(E104-1/24,"yyyy-MM-DDThh:mm:ss")&amp;utc_offset&amp;"00"&amp;"',mode:absolute,to:'"&amp;TEXT(I104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104&amp;"%22')),sort:!(Time.ISO8601,asc))"</f>
        <v>https://d0f6bd738d7f1b3e5a7ca70fe4ff75f0.us-east-1.aws.found.io/app/kibana#/discover/Steve-Slow-Train-Analysis-(2080s-and-2083s)?_g=(refreshInterval:(display:Off,pause:!f,section:0,value:0),time:(from:'2018-01-06T14:40:21-0700',mode:absolute,to:'2018-01-06T17:23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04" s="247" t="str">
        <f>IF(AA104&lt;VLOOKUP(AG104,Variables!$AC$3:$AD$8,2,FALSE),"Y","N")</f>
        <v>N</v>
      </c>
      <c r="X104" s="247">
        <f>VALUE(LEFT(AD104,4))-VALUE(LEFT(AD103,4))</f>
        <v>1</v>
      </c>
      <c r="Y104" s="247">
        <f>RIGHT(D104,LEN(D104)-4)/10000</f>
        <v>23.298999999999999</v>
      </c>
      <c r="Z104" s="247">
        <f>RIGHT(H104,LEN(H104)-4)/10000</f>
        <v>2.1399999999999999E-2</v>
      </c>
      <c r="AA104" s="247">
        <f>ABS(Z104-Y104)</f>
        <v>23.2776</v>
      </c>
      <c r="AB104" s="233" t="e">
        <f>VLOOKUP(A104,Enforcements!$C$7:$K$9,8,0)</f>
        <v>#N/A</v>
      </c>
      <c r="AC104" s="232" t="e">
        <f>VLOOKUP(A104,Enforcements!$C$7:$E$9,3,0)</f>
        <v>#N/A</v>
      </c>
      <c r="AD104" s="243">
        <f>VALUE(LEFT(A104,LEN(A104)-3))</f>
        <v>190</v>
      </c>
      <c r="AE104" s="235" t="str">
        <f>"aws s3 cp "&amp;s3_bucket&amp;"/RTDC"&amp;B104&amp;"/ "&amp;search_path&amp;"\RTDC"&amp;B104&amp;"\"&amp;TEXT(F104,"YYYY-MM-DD")&amp;" --exclude ""*"" --recursive --include ""*"&amp;TEXT(F104,"YYYYMMDD")&amp;"*"" &amp; """&amp;walkandungz&amp;""" "&amp;search_path&amp;"\RTDC"&amp;B104&amp;"\"&amp;TEXT(F104,"YYYY-MM-DD")
&amp;" &amp; "&amp;"aws s3 cp "&amp;s3_bucket&amp;"/RTDC"&amp;B104&amp;"/ "&amp;search_path&amp;"\RTDC"&amp;B104&amp;"\"&amp;TEXT(F104+1,"YYYY-MM-DD")&amp;" --exclude ""*"" --recursive --include ""*"&amp;TEXT(F104+1,"YYYYMMDD")&amp;"*"" &amp; """&amp;walkandungz&amp;""" "&amp;search_path&amp;"\RTDC"&amp;B104&amp;"\"&amp;TEXT(F104+1,"YYYY-MM-DD")</f>
        <v>aws s3 cp s3://rtdc.mdm.uploadarchive.raw/RTDC4029/ "%USERPROFILE%\AppData\Local\Temp\OnboardLogs"\RTDC4029\2018-01-06 --exclude "*" --recursive --include "*20180106*" &amp; "%USERPROFILE%\Documents\GitHub\mrs-test-scripts\Headless Mode &amp; Sideloading\WalkAndUnGZ.bat" "%USERPROFILE%\AppData\Local\Temp\OnboardLogs"\RTDC4029\2018-01-06 &amp; aws s3 cp s3://rtdc.mdm.uploadarchive.raw/RTDC4029/ "%USERPROFILE%\AppData\Local\Temp\OnboardLogs"\RTDC4029\2018-01-07 --exclude "*" --recursive --include "*20180107*" &amp; "%USERPROFILE%\Documents\GitHub\mrs-test-scripts\Headless Mode &amp; Sideloading\WalkAndUnGZ.bat" "%USERPROFILE%\AppData\Local\Temp\OnboardLogs"\RTDC4029\2018-01-07</v>
      </c>
      <c r="AF104" s="234" t="str">
        <f>astrogrep_path&amp;" /e /r /s /spath="&amp;search_path&amp;" /stypes=""app*"&amp;B104&amp;"*"&amp;TEXT(I104-utc_offset/24,"YYYYMMDD")&amp;"*"" /stext="" "&amp;TEXT(I104-utc_offset/24,"HH")&amp;search_regexp&amp;""""</f>
        <v>"C:\Program Files (x86)\AstroGrep\AstroGrep.exe" /e /r /s /spath="%USERPROFILE%\AppData\Local\Temp\OnboardLogs" /stypes="app*4029*20180106*" /stext=" 23:.+((SYSTEM_STATE.+slice.+state.+changed )|(ment ac)|(multiple cpu faults)|(system.+state.+changed )|(\[timeout)|(PRM\|1\|D)|(kpr)|(kdp)|(train st.+moving)|(\|lc)|(penalty))"</v>
      </c>
      <c r="AG104" s="244" t="str">
        <f>DetSubdiv(A104)</f>
        <v>EC</v>
      </c>
      <c r="AH104" s="236" t="str">
        <f t="shared" si="10"/>
        <v>"%USERPROFILE%\Documents\GitHub\eaglep3\Utilities\RefineRTDCRunTimes.py" --tripid 190-06 --locoid 4029 --swversion DE.1.0.9.0 --startMP 204:232990 --initTime 2018-01-06T15:40:21 --startdatetime 2018-01-06T15:42:51 --delay 59 --endMP 204:214 --enddatetime 2018-01-06T16:23:01 --enforcementcount 0 &gt;&gt;%USERPROFILE%\Documents\GitHub\eaglep3-reporting\EC\2018-01-06-refined-times.txt</v>
      </c>
      <c r="AI104" s="238" t="str">
        <f t="shared" si="11"/>
        <v>echo {"issue":{"subject":"","project_id":79,"tracker_id":40,"status_id":1,"priority_id":2,"assigned_to_id":338,"start_date":"2018-01-06","description":"","custom_fields":[{"id":1,"name":"Subdivision","value":"EC"},{"id":4,"name":"Milepost","value":"0.0214"},{"id":17,"name":"Train ID","value":"190-06"},{"id":16,"name":"Locomotive ID","value":"4029"},{"id":130,"name":"Impact","value":""},{"id":150,"name":"Time of Event (Mountain Time)","value":"16:23:01"},{"id":151,"name":"Denver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4" s="223"/>
      <c r="AK104" s="231"/>
      <c r="AL104" s="231"/>
      <c r="AM104" s="240" t="str">
        <f t="shared" si="12"/>
        <v>start /low /b %USERPROFILE%\Documents\GitHub\eaglep3\Utilities\DownloadLogsFromS3.py --loco 4029 --day 2018-01-06</v>
      </c>
      <c r="AN104" s="241" t="str">
        <f t="shared" si="13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23:23:01"},{"id":29,"name":"Sharepoint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 s="230" t="str">
        <f t="shared" si="14"/>
        <v>https://d0f6bd738d7f1b3e5a7ca70fe4ff75f0.us-east-1.aws.found.io/app/kibana#/discover/Steve-Slow-Train-Analysis-(2080s-and-2083s)?_g=(refreshInterval:(display:Off,pause:!f,section:0,value:0),time:(from:'2018-01-06T14:40:21-0700',mode:absolute,to:'2018-01-06T17:23:01-0700'))&amp;_a=(columns:!('Message%20ID',Summary),filters:!(),index:'emp_*',interval:auto,query:(query_string:(analyze_wildcard:!t,query:'%22rtdc.l.rtdc.4029%22')),sort:!(Time.ISO8601,asc))</v>
      </c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3">
      <c r="A105" s="229" t="s">
        <v>811</v>
      </c>
      <c r="B105" s="225">
        <v>4012</v>
      </c>
      <c r="C105" s="227" t="s">
        <v>192</v>
      </c>
      <c r="D105" s="227" t="s">
        <v>903</v>
      </c>
      <c r="E105" s="226">
        <v>43106.620752314811</v>
      </c>
      <c r="F105" s="226">
        <v>43106.625243055554</v>
      </c>
      <c r="G105" s="225">
        <v>95</v>
      </c>
      <c r="H105" s="227" t="s">
        <v>632</v>
      </c>
      <c r="I105" s="226">
        <v>43106.649895833332</v>
      </c>
      <c r="J105" s="225">
        <v>0</v>
      </c>
      <c r="K105" s="237" t="str">
        <f>IF(ISEVEN(B105),(B105-1)&amp;"/"&amp;B105,B105&amp;"/"&amp;(B105+1))</f>
        <v>4011/4012</v>
      </c>
      <c r="L105" s="245" t="str">
        <f>VLOOKUP(A105,'Trips&amp;Operators'!$C$1:$G$99911,5,FALSE)</f>
        <v>SAFIEF AEIMEN</v>
      </c>
      <c r="M105" s="224">
        <f>I105-F105</f>
        <v>2.4652777778101154E-2</v>
      </c>
      <c r="N105" s="225">
        <f>24*60*SUM($M105:$M105)</f>
        <v>35.500000000465661</v>
      </c>
      <c r="O105" s="225"/>
      <c r="P105" s="225"/>
      <c r="Q105" s="228"/>
      <c r="R105" s="242"/>
      <c r="S105" s="249">
        <f>1/IF(AG105="EC",12,1)*SUM(U105:U105)</f>
        <v>1</v>
      </c>
      <c r="T105" s="242" t="str">
        <f>IF(ISEVEN(LEFT(AD105,4)),"Southbound","NorthBound")</f>
        <v>NorthBound</v>
      </c>
      <c r="U105" s="246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248" t="str">
        <f>"https://d0f6bd738d7f1b3e5a7ca70fe4ff75f0.us-east-1.aws.found.io/app/kibana#/discover/Steve-Slow-Train-Analysis-(2080s-and-2083s)?_g="&amp;"(refreshInterval:(display:Off,pause:!f,section:0,value:0),time:(from:'"&amp;TEXT(E105-1/24,"yyyy-MM-DDThh:mm:ss")&amp;utc_offset&amp;"00"&amp;"',mode:absolute,to:'"&amp;TEXT(I105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105&amp;"%22')),sort:!(Time.ISO8601,asc))"</f>
        <v>https://d0f6bd738d7f1b3e5a7ca70fe4ff75f0.us-east-1.aws.found.io/app/kibana#/discover/Steve-Slow-Train-Analysis-(2080s-and-2083s)?_g=(refreshInterval:(display:Off,pause:!f,section:0,value:0),time:(from:'2018-01-06T13:53:53-0700',mode:absolute,to:'2018-01-06T16:35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05" s="247" t="str">
        <f>IF(AA105&lt;VLOOKUP(AG105,Variables!$AC$3:$AD$8,2,FALSE),"Y","N")</f>
        <v>N</v>
      </c>
      <c r="X105" s="247">
        <f>VALUE(LEFT(AD105,4))-VALUE(LEFT(AD104,4))</f>
        <v>1</v>
      </c>
      <c r="Y105" s="247">
        <f>RIGHT(D105,LEN(D105)-4)/10000</f>
        <v>5.28E-2</v>
      </c>
      <c r="Z105" s="247">
        <f>RIGHT(H105,LEN(H105)-4)/10000</f>
        <v>23.331700000000001</v>
      </c>
      <c r="AA105" s="247">
        <f>ABS(Z105-Y105)</f>
        <v>23.2789</v>
      </c>
      <c r="AB105" s="233" t="e">
        <f>VLOOKUP(A105,Enforcements!$C$7:$K$9,8,0)</f>
        <v>#N/A</v>
      </c>
      <c r="AC105" s="232" t="e">
        <f>VLOOKUP(A105,Enforcements!$C$7:$E$9,3,0)</f>
        <v>#N/A</v>
      </c>
      <c r="AD105" s="243">
        <f>VALUE(LEFT(A105,LEN(A105)-3))</f>
        <v>191</v>
      </c>
      <c r="AE105" s="235" t="str">
        <f>"aws s3 cp "&amp;s3_bucket&amp;"/RTDC"&amp;B105&amp;"/ "&amp;search_path&amp;"\RTDC"&amp;B105&amp;"\"&amp;TEXT(F105,"YYYY-MM-DD")&amp;" --exclude ""*"" --recursive --include ""*"&amp;TEXT(F105,"YYYYMMDD")&amp;"*"" &amp; """&amp;walkandungz&amp;""" "&amp;search_path&amp;"\RTDC"&amp;B105&amp;"\"&amp;TEXT(F105,"YYYY-MM-DD")
&amp;" &amp; "&amp;"aws s3 cp "&amp;s3_bucket&amp;"/RTDC"&amp;B105&amp;"/ "&amp;search_path&amp;"\RTDC"&amp;B105&amp;"\"&amp;TEXT(F105+1,"YYYY-MM-DD")&amp;" --exclude ""*"" --recursive --include ""*"&amp;TEXT(F105+1,"YYYYMMDD")&amp;"*"" &amp; """&amp;walkandungz&amp;""" "&amp;search_path&amp;"\RTDC"&amp;B105&amp;"\"&amp;TEXT(F105+1,"YYYY-MM-DD")</f>
        <v>aws s3 cp s3://rtdc.mdm.uploadarchive.raw/RTDC4012/ "%USERPROFILE%\AppData\Local\Temp\OnboardLogs"\RTDC4012\2018-01-06 --exclude "*" --recursive --include "*20180106*" &amp; "%USERPROFILE%\Documents\GitHub\mrs-test-scripts\Headless Mode &amp; Sideloading\WalkAndUnGZ.bat" "%USERPROFILE%\AppData\Local\Temp\OnboardLogs"\RTDC4012\2018-01-06 &amp; aws s3 cp s3://rtdc.mdm.uploadarchive.raw/RTDC4012/ "%USERPROFILE%\AppData\Local\Temp\OnboardLogs"\RTDC4012\2018-01-07 --exclude "*" --recursive --include "*20180107*" &amp; "%USERPROFILE%\Documents\GitHub\mrs-test-scripts\Headless Mode &amp; Sideloading\WalkAndUnGZ.bat" "%USERPROFILE%\AppData\Local\Temp\OnboardLogs"\RTDC4012\2018-01-07</v>
      </c>
      <c r="AF105" s="234" t="str">
        <f>astrogrep_path&amp;" /e /r /s /spath="&amp;search_path&amp;" /stypes=""app*"&amp;B105&amp;"*"&amp;TEXT(I105-utc_offset/24,"YYYYMMDD")&amp;"*"" /stext="" "&amp;TEXT(I105-utc_offset/24,"HH")&amp;search_regexp&amp;""""</f>
        <v>"C:\Program Files (x86)\AstroGrep\AstroGrep.exe" /e /r /s /spath="%USERPROFILE%\AppData\Local\Temp\OnboardLogs" /stypes="app*4012*20180106*" /stext=" 22:.+((SYSTEM_STATE.+slice.+state.+changed )|(ment ac)|(multiple cpu faults)|(system.+state.+changed )|(\[timeout)|(PRM\|1\|D)|(kpr)|(kdp)|(train st.+moving)|(\|lc)|(penalty))"</v>
      </c>
      <c r="AG105" s="244" t="str">
        <f>DetSubdiv(A105)</f>
        <v>EC</v>
      </c>
      <c r="AH105" s="236" t="str">
        <f t="shared" si="10"/>
        <v>"%USERPROFILE%\Documents\GitHub\eaglep3\Utilities\RefineRTDCRunTimes.py" --tripid 191-06 --locoid 4012 --swversion DE.1.0.9.0 --startMP 204:528 --initTime 2018-01-06T14:53:53 --startdatetime 2018-01-06T15:00:21 --delay 95 --endMP 204:233317 --enddatetime 2018-01-06T15:35:51 --enforcementcount 0 &gt;&gt;%USERPROFILE%\Documents\GitHub\eaglep3-reporting\EC\2018-01-06-refined-times.txt</v>
      </c>
      <c r="AI105" s="238" t="str">
        <f t="shared" si="11"/>
        <v>echo {"issue":{"subject":"","project_id":79,"tracker_id":40,"status_id":1,"priority_id":2,"assigned_to_id":338,"start_date":"2018-01-06","description":"","custom_fields":[{"id":1,"name":"Subdivision","value":"EC"},{"id":4,"name":"Milepost","value":"23.3317"},{"id":17,"name":"Train ID","value":"191-06"},{"id":16,"name":"Locomotive ID","value":"4012"},{"id":130,"name":"Impact","value":""},{"id":150,"name":"Time of Event (Mountain Time)","value":"15:35:51"},{"id":151,"name":"Denver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5" s="223"/>
      <c r="AK105" s="231"/>
      <c r="AL105" s="231"/>
      <c r="AM105" s="240" t="str">
        <f t="shared" si="12"/>
        <v>start /low /b %USERPROFILE%\Documents\GitHub\eaglep3\Utilities\DownloadLogsFromS3.py --loco 4012 --day 2018-01-06</v>
      </c>
      <c r="AN105" s="241" t="str">
        <f t="shared" si="13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22:35:51"},{"id":29,"name":"Sharepoint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 s="230" t="str">
        <f t="shared" si="14"/>
        <v>https://d0f6bd738d7f1b3e5a7ca70fe4ff75f0.us-east-1.aws.found.io/app/kibana#/discover/Steve-Slow-Train-Analysis-(2080s-and-2083s)?_g=(refreshInterval:(display:Off,pause:!f,section:0,value:0),time:(from:'2018-01-06T13:53:53-0700',mode:absolute,to:'2018-01-06T16:35:51-0700'))&amp;_a=(columns:!('Message%20ID',Summary),filters:!(),index:'emp_*',interval:auto,query:(query_string:(analyze_wildcard:!t,query:'%22rtdc.l.rtdc.4012%22')),sort:!(Time.ISO8601,asc))</v>
      </c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23" customFormat="1" x14ac:dyDescent="0.3">
      <c r="A106" s="229" t="s">
        <v>819</v>
      </c>
      <c r="B106" s="225">
        <v>4011</v>
      </c>
      <c r="C106" s="227" t="s">
        <v>192</v>
      </c>
      <c r="D106" s="227" t="s">
        <v>602</v>
      </c>
      <c r="E106" s="226">
        <v>43106.651539351849</v>
      </c>
      <c r="F106" s="226">
        <v>43106.66479166667</v>
      </c>
      <c r="G106" s="225">
        <v>87</v>
      </c>
      <c r="H106" s="227" t="s">
        <v>623</v>
      </c>
      <c r="I106" s="226">
        <v>43106.690787037034</v>
      </c>
      <c r="J106" s="225">
        <v>0</v>
      </c>
      <c r="K106" s="237" t="str">
        <f>IF(ISEVEN(B106),(B106-1)&amp;"/"&amp;B106,B106&amp;"/"&amp;(B106+1))</f>
        <v>4011/4012</v>
      </c>
      <c r="L106" s="245" t="str">
        <f>VLOOKUP(A106,'Trips&amp;Operators'!$C$1:$G$99911,5,FALSE)</f>
        <v>SAFIEF AEIMEN</v>
      </c>
      <c r="M106" s="224">
        <f>I106-F106</f>
        <v>2.5995370364398696E-2</v>
      </c>
      <c r="N106" s="225">
        <f>24*60*SUM($M106:$M106)</f>
        <v>37.433333324734122</v>
      </c>
      <c r="O106" s="225"/>
      <c r="P106" s="225"/>
      <c r="Q106" s="228"/>
      <c r="R106" s="242"/>
      <c r="S106" s="249">
        <f>1/IF(AG106="EC",12,1)*SUM(U106:U106)</f>
        <v>1</v>
      </c>
      <c r="T106" s="242" t="str">
        <f>IF(ISEVEN(LEFT(AD106,4)),"Southbound","NorthBound")</f>
        <v>Southbound</v>
      </c>
      <c r="U106" s="246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248" t="str">
        <f>"https://d0f6bd738d7f1b3e5a7ca70fe4ff75f0.us-east-1.aws.found.io/app/kibana#/discover/Steve-Slow-Train-Analysis-(2080s-and-2083s)?_g="&amp;"(refreshInterval:(display:Off,pause:!f,section:0,value:0),time:(from:'"&amp;TEXT(E106-1/24,"yyyy-MM-DDThh:mm:ss")&amp;utc_offset&amp;"00"&amp;"',mode:absolute,to:'"&amp;TEXT(I106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106&amp;"%22')),sort:!(Time.ISO8601,asc))"</f>
        <v>https://d0f6bd738d7f1b3e5a7ca70fe4ff75f0.us-east-1.aws.found.io/app/kibana#/discover/Steve-Slow-Train-Analysis-(2080s-and-2083s)?_g=(refreshInterval:(display:Off,pause:!f,section:0,value:0),time:(from:'2018-01-06T14:38:13-0700',mode:absolute,to:'2018-01-06T17:34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06" s="247" t="str">
        <f>IF(AA106&lt;VLOOKUP(AG106,Variables!$AC$3:$AD$8,2,FALSE),"Y","N")</f>
        <v>N</v>
      </c>
      <c r="X106" s="247">
        <f>VALUE(LEFT(AD106,4))-VALUE(LEFT(AD105,4))</f>
        <v>1</v>
      </c>
      <c r="Y106" s="247">
        <f>RIGHT(D106,LEN(D106)-4)/10000</f>
        <v>23.2987</v>
      </c>
      <c r="Z106" s="247">
        <f>RIGHT(H106,LEN(H106)-4)/10000</f>
        <v>1.9800000000000002E-2</v>
      </c>
      <c r="AA106" s="247">
        <f>ABS(Z106-Y106)</f>
        <v>23.2789</v>
      </c>
      <c r="AB106" s="233" t="e">
        <f>VLOOKUP(A106,Enforcements!$C$7:$K$9,8,0)</f>
        <v>#N/A</v>
      </c>
      <c r="AC106" s="232" t="e">
        <f>VLOOKUP(A106,Enforcements!$C$7:$E$9,3,0)</f>
        <v>#N/A</v>
      </c>
      <c r="AD106" s="243">
        <f>VALUE(LEFT(A106,LEN(A106)-3))</f>
        <v>192</v>
      </c>
      <c r="AE106" s="235" t="str">
        <f>"aws s3 cp "&amp;s3_bucket&amp;"/RTDC"&amp;B106&amp;"/ "&amp;search_path&amp;"\RTDC"&amp;B106&amp;"\"&amp;TEXT(F106,"YYYY-MM-DD")&amp;" --exclude ""*"" --recursive --include ""*"&amp;TEXT(F106,"YYYYMMDD")&amp;"*"" &amp; """&amp;walkandungz&amp;""" "&amp;search_path&amp;"\RTDC"&amp;B106&amp;"\"&amp;TEXT(F106,"YYYY-MM-DD")
&amp;" &amp; "&amp;"aws s3 cp "&amp;s3_bucket&amp;"/RTDC"&amp;B106&amp;"/ "&amp;search_path&amp;"\RTDC"&amp;B106&amp;"\"&amp;TEXT(F106+1,"YYYY-MM-DD")&amp;" --exclude ""*"" --recursive --include ""*"&amp;TEXT(F106+1,"YYYYMMDD")&amp;"*"" &amp; """&amp;walkandungz&amp;""" "&amp;search_path&amp;"\RTDC"&amp;B106&amp;"\"&amp;TEXT(F106+1,"YYYY-MM-DD")</f>
        <v>aws s3 cp s3://rtdc.mdm.uploadarchive.raw/RTDC4011/ "%USERPROFILE%\AppData\Local\Temp\OnboardLogs"\RTDC4011\2018-01-06 --exclude "*" --recursive --include "*20180106*" &amp; "%USERPROFILE%\Documents\GitHub\mrs-test-scripts\Headless Mode &amp; Sideloading\WalkAndUnGZ.bat" "%USERPROFILE%\AppData\Local\Temp\OnboardLogs"\RTDC4011\2018-01-06 &amp; aws s3 cp s3://rtdc.mdm.uploadarchive.raw/RTDC4011/ "%USERPROFILE%\AppData\Local\Temp\OnboardLogs"\RTDC4011\2018-01-07 --exclude "*" --recursive --include "*20180107*" &amp; "%USERPROFILE%\Documents\GitHub\mrs-test-scripts\Headless Mode &amp; Sideloading\WalkAndUnGZ.bat" "%USERPROFILE%\AppData\Local\Temp\OnboardLogs"\RTDC4011\2018-01-07</v>
      </c>
      <c r="AF106" s="234" t="str">
        <f>astrogrep_path&amp;" /e /r /s /spath="&amp;search_path&amp;" /stypes=""app*"&amp;B106&amp;"*"&amp;TEXT(I106-utc_offset/24,"YYYYMMDD")&amp;"*"" /stext="" "&amp;TEXT(I106-utc_offset/24,"HH")&amp;search_regexp&amp;""""</f>
        <v>"C:\Program Files (x86)\AstroGrep\AstroGrep.exe" /e /r /s /spath="%USERPROFILE%\AppData\Local\Temp\OnboardLogs" /stypes="app*4011*20180106*" /stext=" 23:.+((SYSTEM_STATE.+slice.+state.+changed )|(ment ac)|(multiple cpu faults)|(system.+state.+changed )|(\[timeout)|(PRM\|1\|D)|(kpr)|(kdp)|(train st.+moving)|(\|lc)|(penalty))"</v>
      </c>
      <c r="AG106" s="244" t="str">
        <f>DetSubdiv(A106)</f>
        <v>EC</v>
      </c>
      <c r="AH106" s="236" t="str">
        <f t="shared" si="10"/>
        <v>"%USERPROFILE%\Documents\GitHub\eaglep3\Utilities\RefineRTDCRunTimes.py" --tripid 192-06 --locoid 4011 --swversion DE.1.0.9.0 --startMP 204:232987 --initTime 2018-01-06T15:38:13 --startdatetime 2018-01-06T15:57:18 --delay 87 --endMP 204:198 --enddatetime 2018-01-06T16:34:44 --enforcementcount 0 &gt;&gt;%USERPROFILE%\Documents\GitHub\eaglep3-reporting\EC\2018-01-06-refined-times.txt</v>
      </c>
      <c r="AI106" s="238" t="str">
        <f t="shared" si="11"/>
        <v>echo {"issue":{"subject":"","project_id":79,"tracker_id":40,"status_id":1,"priority_id":2,"assigned_to_id":338,"start_date":"2018-01-06","description":"","custom_fields":[{"id":1,"name":"Subdivision","value":"EC"},{"id":4,"name":"Milepost","value":"0.0198"},{"id":17,"name":"Train ID","value":"192-06"},{"id":16,"name":"Locomotive ID","value":"4011"},{"id":130,"name":"Impact","value":""},{"id":150,"name":"Time of Event (Mountain Time)","value":"16:34:44"},{"id":151,"name":"Denver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6" s="231"/>
      <c r="AL106" s="231"/>
      <c r="AM106" s="240" t="str">
        <f t="shared" si="12"/>
        <v>start /low /b %USERPROFILE%\Documents\GitHub\eaglep3\Utilities\DownloadLogsFromS3.py --loco 4011 --day 2018-01-06</v>
      </c>
      <c r="AN106" s="241" t="str">
        <f t="shared" si="13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23:34:44"},{"id":29,"name":"Sharepoint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 s="230" t="str">
        <f t="shared" si="14"/>
        <v>https://d0f6bd738d7f1b3e5a7ca70fe4ff75f0.us-east-1.aws.found.io/app/kibana#/discover/Steve-Slow-Train-Analysis-(2080s-and-2083s)?_g=(refreshInterval:(display:Off,pause:!f,section:0,value:0),time:(from:'2018-01-06T14:38:13-0700',mode:absolute,to:'2018-01-06T17:34:44-0700'))&amp;_a=(columns:!('Message%20ID',Summary),filters:!(),index:'emp_*',interval:auto,query:(query_string:(analyze_wildcard:!t,query:'%22rtdc.l.rtdc.4011%22')),sort:!(Time.ISO8601,asc))</v>
      </c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3">
      <c r="A107" s="229" t="s">
        <v>814</v>
      </c>
      <c r="B107" s="225">
        <v>4044</v>
      </c>
      <c r="C107" s="227" t="s">
        <v>192</v>
      </c>
      <c r="D107" s="227" t="s">
        <v>985</v>
      </c>
      <c r="E107" s="226">
        <v>43106.631979166668</v>
      </c>
      <c r="F107" s="226">
        <v>43106.63559027778</v>
      </c>
      <c r="G107" s="225">
        <v>53</v>
      </c>
      <c r="H107" s="227" t="s">
        <v>620</v>
      </c>
      <c r="I107" s="226">
        <v>43106.661006944443</v>
      </c>
      <c r="J107" s="225">
        <v>0</v>
      </c>
      <c r="K107" s="237" t="str">
        <f>IF(ISEVEN(B107),(B107-1)&amp;"/"&amp;B107,B107&amp;"/"&amp;(B107+1))</f>
        <v>4043/4044</v>
      </c>
      <c r="L107" s="245" t="str">
        <f>VLOOKUP(A107,'Trips&amp;Operators'!$C$1:$G$99911,5,FALSE)</f>
        <v>GUZMAN DANNY</v>
      </c>
      <c r="M107" s="224">
        <f>I107-F107</f>
        <v>2.5416666663659271E-2</v>
      </c>
      <c r="N107" s="225">
        <f>24*60*SUM($M107:$M107)</f>
        <v>36.59999999566935</v>
      </c>
      <c r="O107" s="225"/>
      <c r="P107" s="225"/>
      <c r="Q107" s="228"/>
      <c r="R107" s="242"/>
      <c r="S107" s="249">
        <f>1/IF(AG107="EC",12,1)*SUM(U107:U107)</f>
        <v>1</v>
      </c>
      <c r="T107" s="242" t="str">
        <f>IF(ISEVEN(LEFT(AD107,4)),"Southbound","NorthBound")</f>
        <v>NorthBound</v>
      </c>
      <c r="U107" s="246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248" t="str">
        <f>"https://d0f6bd738d7f1b3e5a7ca70fe4ff75f0.us-east-1.aws.found.io/app/kibana#/discover/Steve-Slow-Train-Analysis-(2080s-and-2083s)?_g="&amp;"(refreshInterval:(display:Off,pause:!f,section:0,value:0),time:(from:'"&amp;TEXT(E107-1/24,"yyyy-MM-DDThh:mm:ss")&amp;utc_offset&amp;"00"&amp;"',mode:absolute,to:'"&amp;TEXT(I107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107&amp;"%22')),sort:!(Time.ISO8601,asc))"</f>
        <v>https://d0f6bd738d7f1b3e5a7ca70fe4ff75f0.us-east-1.aws.found.io/app/kibana#/discover/Steve-Slow-Train-Analysis-(2080s-and-2083s)?_g=(refreshInterval:(display:Off,pause:!f,section:0,value:0),time:(from:'2018-01-06T14:10:03-0700',mode:absolute,to:'2018-01-06T16:51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07" s="247" t="str">
        <f>IF(AA107&lt;VLOOKUP(AG107,Variables!$AC$3:$AD$8,2,FALSE),"Y","N")</f>
        <v>N</v>
      </c>
      <c r="X107" s="247">
        <f>VALUE(LEFT(AD107,4))-VALUE(LEFT(AD106,4))</f>
        <v>1</v>
      </c>
      <c r="Y107" s="247">
        <f>RIGHT(D107,LEN(D107)-4)/10000</f>
        <v>4.7800000000000002E-2</v>
      </c>
      <c r="Z107" s="247">
        <f>RIGHT(H107,LEN(H107)-4)/10000</f>
        <v>23.330500000000001</v>
      </c>
      <c r="AA107" s="247">
        <f>ABS(Z107-Y107)</f>
        <v>23.282700000000002</v>
      </c>
      <c r="AB107" s="233" t="e">
        <f>VLOOKUP(A107,Enforcements!$C$7:$K$9,8,0)</f>
        <v>#N/A</v>
      </c>
      <c r="AC107" s="232" t="e">
        <f>VLOOKUP(A107,Enforcements!$C$7:$E$9,3,0)</f>
        <v>#N/A</v>
      </c>
      <c r="AD107" s="243">
        <f>VALUE(LEFT(A107,LEN(A107)-3))</f>
        <v>193</v>
      </c>
      <c r="AE107" s="235" t="str">
        <f>"aws s3 cp "&amp;s3_bucket&amp;"/RTDC"&amp;B107&amp;"/ "&amp;search_path&amp;"\RTDC"&amp;B107&amp;"\"&amp;TEXT(F107,"YYYY-MM-DD")&amp;" --exclude ""*"" --recursive --include ""*"&amp;TEXT(F107,"YYYYMMDD")&amp;"*"" &amp; """&amp;walkandungz&amp;""" "&amp;search_path&amp;"\RTDC"&amp;B107&amp;"\"&amp;TEXT(F107,"YYYY-MM-DD")
&amp;" &amp; "&amp;"aws s3 cp "&amp;s3_bucket&amp;"/RTDC"&amp;B107&amp;"/ "&amp;search_path&amp;"\RTDC"&amp;B107&amp;"\"&amp;TEXT(F107+1,"YYYY-MM-DD")&amp;" --exclude ""*"" --recursive --include ""*"&amp;TEXT(F107+1,"YYYYMMDD")&amp;"*"" &amp; """&amp;walkandungz&amp;""" "&amp;search_path&amp;"\RTDC"&amp;B107&amp;"\"&amp;TEXT(F107+1,"YYYY-MM-DD")</f>
        <v>aws s3 cp s3://rtdc.mdm.uploadarchive.raw/RTDC4044/ "%USERPROFILE%\AppData\Local\Temp\OnboardLogs"\RTDC4044\2018-01-06 --exclude "*" --recursive --include "*20180106*" &amp; "%USERPROFILE%\Documents\GitHub\mrs-test-scripts\Headless Mode &amp; Sideloading\WalkAndUnGZ.bat" "%USERPROFILE%\AppData\Local\Temp\OnboardLogs"\RTDC4044\2018-01-06 &amp; aws s3 cp s3://rtdc.mdm.uploadarchive.raw/RTDC4044/ "%USERPROFILE%\AppData\Local\Temp\OnboardLogs"\RTDC4044\2018-01-07 --exclude "*" --recursive --include "*20180107*" &amp; "%USERPROFILE%\Documents\GitHub\mrs-test-scripts\Headless Mode &amp; Sideloading\WalkAndUnGZ.bat" "%USERPROFILE%\AppData\Local\Temp\OnboardLogs"\RTDC4044\2018-01-07</v>
      </c>
      <c r="AF107" s="234" t="str">
        <f>astrogrep_path&amp;" /e /r /s /spath="&amp;search_path&amp;" /stypes=""app*"&amp;B107&amp;"*"&amp;TEXT(I107-utc_offset/24,"YYYYMMDD")&amp;"*"" /stext="" "&amp;TEXT(I107-utc_offset/24,"HH")&amp;search_regexp&amp;""""</f>
        <v>"C:\Program Files (x86)\AstroGrep\AstroGrep.exe" /e /r /s /spath="%USERPROFILE%\AppData\Local\Temp\OnboardLogs" /stypes="app*4044*20180106*" /stext=" 22:.+((SYSTEM_STATE.+slice.+state.+changed )|(ment ac)|(multiple cpu faults)|(system.+state.+changed )|(\[timeout)|(PRM\|1\|D)|(kpr)|(kdp)|(train st.+moving)|(\|lc)|(penalty))"</v>
      </c>
      <c r="AG107" s="244" t="str">
        <f>DetSubdiv(A107)</f>
        <v>EC</v>
      </c>
      <c r="AH107" s="236" t="str">
        <f t="shared" si="10"/>
        <v>"%USERPROFILE%\Documents\GitHub\eaglep3\Utilities\RefineRTDCRunTimes.py" --tripid 193-06 --locoid 4044 --swversion DE.1.0.9.0 --startMP 204:478 --initTime 2018-01-06T15:10:03 --startdatetime 2018-01-06T15:15:15 --delay 53 --endMP 204:233305 --enddatetime 2018-01-06T15:51:51 --enforcementcount 0 &gt;&gt;%USERPROFILE%\Documents\GitHub\eaglep3-reporting\EC\2018-01-06-refined-times.txt</v>
      </c>
      <c r="AI107" s="238" t="str">
        <f t="shared" si="11"/>
        <v>echo {"issue":{"subject":"","project_id":79,"tracker_id":40,"status_id":1,"priority_id":2,"assigned_to_id":338,"start_date":"2018-01-06","description":"","custom_fields":[{"id":1,"name":"Subdivision","value":"EC"},{"id":4,"name":"Milepost","value":"23.3305"},{"id":17,"name":"Train ID","value":"193-06"},{"id":16,"name":"Locomotive ID","value":"4044"},{"id":130,"name":"Impact","value":""},{"id":150,"name":"Time of Event (Mountain Time)","value":"15:51:51"},{"id":151,"name":"Denver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7" s="223"/>
      <c r="AK107" s="231"/>
      <c r="AL107" s="231"/>
      <c r="AM107" s="240" t="str">
        <f t="shared" si="12"/>
        <v>start /low /b %USERPROFILE%\Documents\GitHub\eaglep3\Utilities\DownloadLogsFromS3.py --loco 4044 --day 2018-01-06</v>
      </c>
      <c r="AN107" s="241" t="str">
        <f t="shared" si="13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22:51:51"},{"id":29,"name":"Sharepoint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 s="230" t="str">
        <f t="shared" si="14"/>
        <v>https://d0f6bd738d7f1b3e5a7ca70fe4ff75f0.us-east-1.aws.found.io/app/kibana#/discover/Steve-Slow-Train-Analysis-(2080s-and-2083s)?_g=(refreshInterval:(display:Off,pause:!f,section:0,value:0),time:(from:'2018-01-06T14:10:03-0700',mode:absolute,to:'2018-01-06T16:51:51-0700'))&amp;_a=(columns:!('Message%20ID',Summary),filters:!(),index:'emp_*',interval:auto,query:(query_string:(analyze_wildcard:!t,query:'%22rtdc.l.rtdc.4044%22')),sort:!(Time.ISO8601,asc))</v>
      </c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3">
      <c r="A108" s="229" t="s">
        <v>821</v>
      </c>
      <c r="B108" s="225">
        <v>4043</v>
      </c>
      <c r="C108" s="227" t="s">
        <v>192</v>
      </c>
      <c r="D108" s="227" t="s">
        <v>901</v>
      </c>
      <c r="E108" s="226">
        <v>43106.663182870368</v>
      </c>
      <c r="F108" s="226">
        <v>43106.675162037034</v>
      </c>
      <c r="G108" s="225">
        <v>58</v>
      </c>
      <c r="H108" s="227" t="s">
        <v>568</v>
      </c>
      <c r="I108" s="226">
        <v>43106.700428240743</v>
      </c>
      <c r="J108" s="225">
        <v>0</v>
      </c>
      <c r="K108" s="237" t="str">
        <f>IF(ISEVEN(B108),(B108-1)&amp;"/"&amp;B108,B108&amp;"/"&amp;(B108+1))</f>
        <v>4043/4044</v>
      </c>
      <c r="L108" s="245" t="str">
        <f>VLOOKUP(A108,'Trips&amp;Operators'!$C$1:$G$99911,5,FALSE)</f>
        <v>GUZMAN DANNY</v>
      </c>
      <c r="M108" s="224">
        <f>I108-F108</f>
        <v>2.5266203709179536E-2</v>
      </c>
      <c r="N108" s="225">
        <f>24*60*SUM($M108:$M108)</f>
        <v>36.383333341218531</v>
      </c>
      <c r="O108" s="225"/>
      <c r="P108" s="225"/>
      <c r="Q108" s="228"/>
      <c r="R108" s="242"/>
      <c r="S108" s="249">
        <f>1/IF(AG108="EC",12,1)*SUM(U108:U108)</f>
        <v>1</v>
      </c>
      <c r="T108" s="242" t="str">
        <f>IF(ISEVEN(LEFT(AD108,4)),"Southbound","NorthBound")</f>
        <v>Southbound</v>
      </c>
      <c r="U108" s="246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248" t="str">
        <f>"https://d0f6bd738d7f1b3e5a7ca70fe4ff75f0.us-east-1.aws.found.io/app/kibana#/discover/Steve-Slow-Train-Analysis-(2080s-and-2083s)?_g="&amp;"(refreshInterval:(display:Off,pause:!f,section:0,value:0),time:(from:'"&amp;TEXT(E108-1/24,"yyyy-MM-DDThh:mm:ss")&amp;utc_offset&amp;"00"&amp;"',mode:absolute,to:'"&amp;TEXT(I108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108&amp;"%22')),sort:!(Time.ISO8601,asc))"</f>
        <v>https://d0f6bd738d7f1b3e5a7ca70fe4ff75f0.us-east-1.aws.found.io/app/kibana#/discover/Steve-Slow-Train-Analysis-(2080s-and-2083s)?_g=(refreshInterval:(display:Off,pause:!f,section:0,value:0),time:(from:'2018-01-06T14:54:59-0700',mode:absolute,to:'2018-01-06T17:48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08" s="247" t="str">
        <f>IF(AA108&lt;VLOOKUP(AG108,Variables!$AC$3:$AD$8,2,FALSE),"Y","N")</f>
        <v>N</v>
      </c>
      <c r="X108" s="247">
        <f>VALUE(LEFT(AD108,4))-VALUE(LEFT(AD107,4))</f>
        <v>1</v>
      </c>
      <c r="Y108" s="247">
        <f>RIGHT(D108,LEN(D108)-4)/10000</f>
        <v>23.301100000000002</v>
      </c>
      <c r="Z108" s="247">
        <f>RIGHT(H108,LEN(H108)-4)/10000</f>
        <v>2.6200000000000001E-2</v>
      </c>
      <c r="AA108" s="247">
        <f>ABS(Z108-Y108)</f>
        <v>23.274900000000002</v>
      </c>
      <c r="AB108" s="233" t="e">
        <f>VLOOKUP(A108,Enforcements!$C$7:$K$9,8,0)</f>
        <v>#N/A</v>
      </c>
      <c r="AC108" s="232" t="e">
        <f>VLOOKUP(A108,Enforcements!$C$7:$E$9,3,0)</f>
        <v>#N/A</v>
      </c>
      <c r="AD108" s="243">
        <f>VALUE(LEFT(A108,LEN(A108)-3))</f>
        <v>194</v>
      </c>
      <c r="AE108" s="235" t="str">
        <f>"aws s3 cp "&amp;s3_bucket&amp;"/RTDC"&amp;B108&amp;"/ "&amp;search_path&amp;"\RTDC"&amp;B108&amp;"\"&amp;TEXT(F108,"YYYY-MM-DD")&amp;" --exclude ""*"" --recursive --include ""*"&amp;TEXT(F108,"YYYYMMDD")&amp;"*"" &amp; """&amp;walkandungz&amp;""" "&amp;search_path&amp;"\RTDC"&amp;B108&amp;"\"&amp;TEXT(F108,"YYYY-MM-DD")
&amp;" &amp; "&amp;"aws s3 cp "&amp;s3_bucket&amp;"/RTDC"&amp;B108&amp;"/ "&amp;search_path&amp;"\RTDC"&amp;B108&amp;"\"&amp;TEXT(F108+1,"YYYY-MM-DD")&amp;" --exclude ""*"" --recursive --include ""*"&amp;TEXT(F108+1,"YYYYMMDD")&amp;"*"" &amp; """&amp;walkandungz&amp;""" "&amp;search_path&amp;"\RTDC"&amp;B108&amp;"\"&amp;TEXT(F108+1,"YYYY-MM-DD")</f>
        <v>aws s3 cp s3://rtdc.mdm.uploadarchive.raw/RTDC4043/ "%USERPROFILE%\AppData\Local\Temp\OnboardLogs"\RTDC4043\2018-01-06 --exclude "*" --recursive --include "*20180106*" &amp; "%USERPROFILE%\Documents\GitHub\mrs-test-scripts\Headless Mode &amp; Sideloading\WalkAndUnGZ.bat" "%USERPROFILE%\AppData\Local\Temp\OnboardLogs"\RTDC4043\2018-01-06 &amp; aws s3 cp s3://rtdc.mdm.uploadarchive.raw/RTDC4043/ "%USERPROFILE%\AppData\Local\Temp\OnboardLogs"\RTDC4043\2018-01-07 --exclude "*" --recursive --include "*20180107*" &amp; "%USERPROFILE%\Documents\GitHub\mrs-test-scripts\Headless Mode &amp; Sideloading\WalkAndUnGZ.bat" "%USERPROFILE%\AppData\Local\Temp\OnboardLogs"\RTDC4043\2018-01-07</v>
      </c>
      <c r="AF108" s="234" t="str">
        <f>astrogrep_path&amp;" /e /r /s /spath="&amp;search_path&amp;" /stypes=""app*"&amp;B108&amp;"*"&amp;TEXT(I108-utc_offset/24,"YYYYMMDD")&amp;"*"" /stext="" "&amp;TEXT(I108-utc_offset/24,"HH")&amp;search_regexp&amp;""""</f>
        <v>"C:\Program Files (x86)\AstroGrep\AstroGrep.exe" /e /r /s /spath="%USERPROFILE%\AppData\Local\Temp\OnboardLogs" /stypes="app*4043*20180106*" /stext=" 23:.+((SYSTEM_STATE.+slice.+state.+changed )|(ment ac)|(multiple cpu faults)|(system.+state.+changed )|(\[timeout)|(PRM\|1\|D)|(kpr)|(kdp)|(train st.+moving)|(\|lc)|(penalty))"</v>
      </c>
      <c r="AG108" s="244" t="str">
        <f>DetSubdiv(A108)</f>
        <v>EC</v>
      </c>
      <c r="AH108" s="236" t="str">
        <f t="shared" si="10"/>
        <v>"%USERPROFILE%\Documents\GitHub\eaglep3\Utilities\RefineRTDCRunTimes.py" --tripid 194-06 --locoid 4043 --swversion DE.1.0.9.0 --startMP 204:233011 --initTime 2018-01-06T15:54:59 --startdatetime 2018-01-06T16:12:14 --delay 58 --endMP 204:262 --enddatetime 2018-01-06T16:48:37 --enforcementcount 0 &gt;&gt;%USERPROFILE%\Documents\GitHub\eaglep3-reporting\EC\2018-01-06-refined-times.txt</v>
      </c>
      <c r="AI108" s="238" t="str">
        <f t="shared" si="11"/>
        <v>echo {"issue":{"subject":"","project_id":79,"tracker_id":40,"status_id":1,"priority_id":2,"assigned_to_id":338,"start_date":"2018-01-06","description":"","custom_fields":[{"id":1,"name":"Subdivision","value":"EC"},{"id":4,"name":"Milepost","value":"0.0262"},{"id":17,"name":"Train ID","value":"194-06"},{"id":16,"name":"Locomotive ID","value":"4043"},{"id":130,"name":"Impact","value":""},{"id":150,"name":"Time of Event (Mountain Time)","value":"16:48:37"},{"id":151,"name":"Denver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8" s="223"/>
      <c r="AK108" s="231"/>
      <c r="AL108" s="231"/>
      <c r="AM108" s="240" t="str">
        <f t="shared" si="12"/>
        <v>start /low /b %USERPROFILE%\Documents\GitHub\eaglep3\Utilities\DownloadLogsFromS3.py --loco 4043 --day 2018-01-06</v>
      </c>
      <c r="AN108" s="241" t="str">
        <f t="shared" si="13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23:48:37"},{"id":29,"name":"Sharepoint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 s="230" t="str">
        <f t="shared" si="14"/>
        <v>https://d0f6bd738d7f1b3e5a7ca70fe4ff75f0.us-east-1.aws.found.io/app/kibana#/discover/Steve-Slow-Train-Analysis-(2080s-and-2083s)?_g=(refreshInterval:(display:Off,pause:!f,section:0,value:0),time:(from:'2018-01-06T14:54:59-0700',mode:absolute,to:'2018-01-06T17:48:37-0700'))&amp;_a=(columns:!('Message%20ID',Summary),filters:!(),index:'emp_*',interval:auto,query:(query_string:(analyze_wildcard:!t,query:'%22rtdc.l.rtdc.4043%22')),sort:!(Time.ISO8601,asc))</v>
      </c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23" customFormat="1" x14ac:dyDescent="0.3">
      <c r="A109" s="229" t="s">
        <v>816</v>
      </c>
      <c r="B109" s="225">
        <v>4034</v>
      </c>
      <c r="C109" s="227" t="s">
        <v>192</v>
      </c>
      <c r="D109" s="227" t="s">
        <v>648</v>
      </c>
      <c r="E109" s="226">
        <v>43106.64162037037</v>
      </c>
      <c r="F109" s="226">
        <v>43106.646111111113</v>
      </c>
      <c r="G109" s="225">
        <v>101</v>
      </c>
      <c r="H109" s="227" t="s">
        <v>607</v>
      </c>
      <c r="I109" s="226">
        <v>43106.671388888892</v>
      </c>
      <c r="J109" s="225">
        <v>0</v>
      </c>
      <c r="K109" s="237" t="str">
        <f>IF(ISEVEN(B109),(B109-1)&amp;"/"&amp;B109,B109&amp;"/"&amp;(B109+1))</f>
        <v>4033/4034</v>
      </c>
      <c r="L109" s="245" t="str">
        <f>VLOOKUP(A109,'Trips&amp;Operators'!$C$1:$G$99911,5,FALSE)</f>
        <v>MOSES BRADLEY</v>
      </c>
      <c r="M109" s="224">
        <f>I109-F109</f>
        <v>2.527777777868323E-2</v>
      </c>
      <c r="N109" s="225">
        <f>24*60*SUM($M109:$M109)</f>
        <v>36.400000001303852</v>
      </c>
      <c r="O109" s="225"/>
      <c r="P109" s="225"/>
      <c r="Q109" s="228"/>
      <c r="R109" s="242"/>
      <c r="S109" s="249">
        <f>1/IF(AG109="EC",12,1)*SUM(U109:U109)</f>
        <v>1</v>
      </c>
      <c r="T109" s="242" t="str">
        <f>IF(ISEVEN(LEFT(AD109,4)),"Southbound","NorthBound")</f>
        <v>NorthBound</v>
      </c>
      <c r="U109" s="246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248" t="str">
        <f>"https://d0f6bd738d7f1b3e5a7ca70fe4ff75f0.us-east-1.aws.found.io/app/kibana#/discover/Steve-Slow-Train-Analysis-(2080s-and-2083s)?_g="&amp;"(refreshInterval:(display:Off,pause:!f,section:0,value:0),time:(from:'"&amp;TEXT(E109-1/24,"yyyy-MM-DDThh:mm:ss")&amp;utc_offset&amp;"00"&amp;"',mode:absolute,to:'"&amp;TEXT(I109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109&amp;"%22')),sort:!(Time.ISO8601,asc))"</f>
        <v>https://d0f6bd738d7f1b3e5a7ca70fe4ff75f0.us-east-1.aws.found.io/app/kibana#/discover/Steve-Slow-Train-Analysis-(2080s-and-2083s)?_g=(refreshInterval:(display:Off,pause:!f,section:0,value:0),time:(from:'2018-01-06T14:23:56-0700',mode:absolute,to:'2018-01-06T17:06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109" s="247" t="str">
        <f>IF(AA109&lt;VLOOKUP(AG109,Variables!$AC$3:$AD$8,2,FALSE),"Y","N")</f>
        <v>N</v>
      </c>
      <c r="X109" s="247">
        <f>VALUE(LEFT(AD109,4))-VALUE(LEFT(AD108,4))</f>
        <v>1</v>
      </c>
      <c r="Y109" s="247">
        <f>RIGHT(D109,LEN(D109)-4)/10000</f>
        <v>5.7099999999999998E-2</v>
      </c>
      <c r="Z109" s="247">
        <f>RIGHT(H109,LEN(H109)-4)/10000</f>
        <v>23.328900000000001</v>
      </c>
      <c r="AA109" s="247">
        <f>ABS(Z109-Y109)</f>
        <v>23.271800000000002</v>
      </c>
      <c r="AB109" s="233" t="e">
        <f>VLOOKUP(A109,Enforcements!$C$7:$K$9,8,0)</f>
        <v>#N/A</v>
      </c>
      <c r="AC109" s="232" t="e">
        <f>VLOOKUP(A109,Enforcements!$C$7:$E$9,3,0)</f>
        <v>#N/A</v>
      </c>
      <c r="AD109" s="243">
        <f>VALUE(LEFT(A109,LEN(A109)-3))</f>
        <v>195</v>
      </c>
      <c r="AE109" s="235" t="str">
        <f>"aws s3 cp "&amp;s3_bucket&amp;"/RTDC"&amp;B109&amp;"/ "&amp;search_path&amp;"\RTDC"&amp;B109&amp;"\"&amp;TEXT(F109,"YYYY-MM-DD")&amp;" --exclude ""*"" --recursive --include ""*"&amp;TEXT(F109,"YYYYMMDD")&amp;"*"" &amp; """&amp;walkandungz&amp;""" "&amp;search_path&amp;"\RTDC"&amp;B109&amp;"\"&amp;TEXT(F109,"YYYY-MM-DD")
&amp;" &amp; "&amp;"aws s3 cp "&amp;s3_bucket&amp;"/RTDC"&amp;B109&amp;"/ "&amp;search_path&amp;"\RTDC"&amp;B109&amp;"\"&amp;TEXT(F109+1,"YYYY-MM-DD")&amp;" --exclude ""*"" --recursive --include ""*"&amp;TEXT(F109+1,"YYYYMMDD")&amp;"*"" &amp; """&amp;walkandungz&amp;""" "&amp;search_path&amp;"\RTDC"&amp;B109&amp;"\"&amp;TEXT(F109+1,"YYYY-MM-DD")</f>
        <v>aws s3 cp s3://rtdc.mdm.uploadarchive.raw/RTDC4034/ "%USERPROFILE%\AppData\Local\Temp\OnboardLogs"\RTDC4034\2018-01-06 --exclude "*" --recursive --include "*20180106*" &amp; "%USERPROFILE%\Documents\GitHub\mrs-test-scripts\Headless Mode &amp; Sideloading\WalkAndUnGZ.bat" "%USERPROFILE%\AppData\Local\Temp\OnboardLogs"\RTDC4034\2018-01-06 &amp; aws s3 cp s3://rtdc.mdm.uploadarchive.raw/RTDC4034/ "%USERPROFILE%\AppData\Local\Temp\OnboardLogs"\RTDC4034\2018-01-07 --exclude "*" --recursive --include "*20180107*" &amp; "%USERPROFILE%\Documents\GitHub\mrs-test-scripts\Headless Mode &amp; Sideloading\WalkAndUnGZ.bat" "%USERPROFILE%\AppData\Local\Temp\OnboardLogs"\RTDC4034\2018-01-07</v>
      </c>
      <c r="AF109" s="234" t="str">
        <f>astrogrep_path&amp;" /e /r /s /spath="&amp;search_path&amp;" /stypes=""app*"&amp;B109&amp;"*"&amp;TEXT(I109-utc_offset/24,"YYYYMMDD")&amp;"*"" /stext="" "&amp;TEXT(I109-utc_offset/24,"HH")&amp;search_regexp&amp;""""</f>
        <v>"C:\Program Files (x86)\AstroGrep\AstroGrep.exe" /e /r /s /spath="%USERPROFILE%\AppData\Local\Temp\OnboardLogs" /stypes="app*4034*20180106*" /stext=" 23:.+((SYSTEM_STATE.+slice.+state.+changed )|(ment ac)|(multiple cpu faults)|(system.+state.+changed )|(\[timeout)|(PRM\|1\|D)|(kpr)|(kdp)|(train st.+moving)|(\|lc)|(penalty))"</v>
      </c>
      <c r="AG109" s="244" t="str">
        <f>DetSubdiv(A109)</f>
        <v>EC</v>
      </c>
      <c r="AH109" s="236" t="str">
        <f t="shared" si="10"/>
        <v>"%USERPROFILE%\Documents\GitHub\eaglep3\Utilities\RefineRTDCRunTimes.py" --tripid 195-06 --locoid 4034 --swversion DE.1.0.9.0 --startMP 204:571 --initTime 2018-01-06T15:23:56 --startdatetime 2018-01-06T15:30:24 --delay 101 --endMP 204:233289 --enddatetime 2018-01-06T16:06:48 --enforcementcount 0 &gt;&gt;%USERPROFILE%\Documents\GitHub\eaglep3-reporting\EC\2018-01-06-refined-times.txt</v>
      </c>
      <c r="AI109" s="238" t="str">
        <f t="shared" si="11"/>
        <v>echo {"issue":{"subject":"","project_id":79,"tracker_id":40,"status_id":1,"priority_id":2,"assigned_to_id":338,"start_date":"2018-01-06","description":"","custom_fields":[{"id":1,"name":"Subdivision","value":"EC"},{"id":4,"name":"Milepost","value":"23.3289"},{"id":17,"name":"Train ID","value":"195-06"},{"id":16,"name":"Locomotive ID","value":"4034"},{"id":130,"name":"Impact","value":""},{"id":150,"name":"Time of Event (Mountain Time)","value":"16:06:48"},{"id":151,"name":"Denver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9" s="231"/>
      <c r="AL109" s="231"/>
      <c r="AM109" s="240" t="str">
        <f t="shared" si="12"/>
        <v>start /low /b %USERPROFILE%\Documents\GitHub\eaglep3\Utilities\DownloadLogsFromS3.py --loco 4034 --day 2018-01-06</v>
      </c>
      <c r="AN109" s="241" t="str">
        <f t="shared" si="13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23:06:48"},{"id":29,"name":"Sharepoint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 s="230" t="str">
        <f t="shared" si="14"/>
        <v>https://d0f6bd738d7f1b3e5a7ca70fe4ff75f0.us-east-1.aws.found.io/app/kibana#/discover/Steve-Slow-Train-Analysis-(2080s-and-2083s)?_g=(refreshInterval:(display:Off,pause:!f,section:0,value:0),time:(from:'2018-01-06T14:23:56-0700',mode:absolute,to:'2018-01-06T17:06:48-0700'))&amp;_a=(columns:!('Message%20ID',Summary),filters:!(),index:'emp_*',interval:auto,query:(query_string:(analyze_wildcard:!t,query:'%22rtdc.l.rtdc.4034%22')),sort:!(Time.ISO8601,asc))</v>
      </c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3">
      <c r="A110" s="229" t="s">
        <v>827</v>
      </c>
      <c r="B110" s="225">
        <v>4033</v>
      </c>
      <c r="C110" s="227" t="s">
        <v>192</v>
      </c>
      <c r="D110" s="227" t="s">
        <v>554</v>
      </c>
      <c r="E110" s="226">
        <v>43106.681307870371</v>
      </c>
      <c r="F110" s="226">
        <v>43106.685671296298</v>
      </c>
      <c r="G110" s="225">
        <v>83</v>
      </c>
      <c r="H110" s="227" t="s">
        <v>525</v>
      </c>
      <c r="I110" s="226">
        <v>43106.712372685186</v>
      </c>
      <c r="J110" s="225">
        <v>0</v>
      </c>
      <c r="K110" s="237" t="str">
        <f>IF(ISEVEN(B110),(B110-1)&amp;"/"&amp;B110,B110&amp;"/"&amp;(B110+1))</f>
        <v>4033/4034</v>
      </c>
      <c r="L110" s="245" t="str">
        <f>VLOOKUP(A110,'Trips&amp;Operators'!$C$1:$G$99911,5,FALSE)</f>
        <v>MOSES BRADLEY</v>
      </c>
      <c r="M110" s="224">
        <f>I110-F110</f>
        <v>2.6701388887886424E-2</v>
      </c>
      <c r="N110" s="225">
        <f>24*60*SUM($M110:$M110)</f>
        <v>38.44999999855645</v>
      </c>
      <c r="O110" s="225"/>
      <c r="P110" s="225"/>
      <c r="Q110" s="228"/>
      <c r="R110" s="242"/>
      <c r="S110" s="249">
        <f>1/IF(AG110="EC",12,1)*SUM(U110:U110)</f>
        <v>1</v>
      </c>
      <c r="T110" s="242" t="str">
        <f>IF(ISEVEN(LEFT(AD110,4)),"Southbound","NorthBound")</f>
        <v>Southbound</v>
      </c>
      <c r="U110" s="246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248" t="str">
        <f>"https://d0f6bd738d7f1b3e5a7ca70fe4ff75f0.us-east-1.aws.found.io/app/kibana#/discover/Steve-Slow-Train-Analysis-(2080s-and-2083s)?_g="&amp;"(refreshInterval:(display:Off,pause:!f,section:0,value:0),time:(from:'"&amp;TEXT(E110-1/24,"yyyy-MM-DDThh:mm:ss")&amp;utc_offset&amp;"00"&amp;"',mode:absolute,to:'"&amp;TEXT(I110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110&amp;"%22')),sort:!(Time.ISO8601,asc))"</f>
        <v>https://d0f6bd738d7f1b3e5a7ca70fe4ff75f0.us-east-1.aws.found.io/app/kibana#/discover/Steve-Slow-Train-Analysis-(2080s-and-2083s)?_g=(refreshInterval:(display:Off,pause:!f,section:0,value:0),time:(from:'2018-01-06T15:21:05-0700',mode:absolute,to:'2018-01-06T18:05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110" s="247" t="str">
        <f>IF(AA110&lt;VLOOKUP(AG110,Variables!$AC$3:$AD$8,2,FALSE),"Y","N")</f>
        <v>N</v>
      </c>
      <c r="X110" s="247">
        <f>VALUE(LEFT(AD110,4))-VALUE(LEFT(AD109,4))</f>
        <v>1</v>
      </c>
      <c r="Y110" s="247">
        <f>RIGHT(D110,LEN(D110)-4)/10000</f>
        <v>23.2972</v>
      </c>
      <c r="Z110" s="247">
        <f>RIGHT(H110,LEN(H110)-4)/10000</f>
        <v>2.1600000000000001E-2</v>
      </c>
      <c r="AA110" s="247">
        <f>ABS(Z110-Y110)</f>
        <v>23.275600000000001</v>
      </c>
      <c r="AB110" s="233" t="e">
        <f>VLOOKUP(A110,Enforcements!$C$7:$K$9,8,0)</f>
        <v>#N/A</v>
      </c>
      <c r="AC110" s="232" t="e">
        <f>VLOOKUP(A110,Enforcements!$C$7:$E$9,3,0)</f>
        <v>#N/A</v>
      </c>
      <c r="AD110" s="243">
        <f>VALUE(LEFT(A110,LEN(A110)-3))</f>
        <v>196</v>
      </c>
      <c r="AE110" s="235" t="str">
        <f>"aws s3 cp "&amp;s3_bucket&amp;"/RTDC"&amp;B110&amp;"/ "&amp;search_path&amp;"\RTDC"&amp;B110&amp;"\"&amp;TEXT(F110,"YYYY-MM-DD")&amp;" --exclude ""*"" --recursive --include ""*"&amp;TEXT(F110,"YYYYMMDD")&amp;"*"" &amp; """&amp;walkandungz&amp;""" "&amp;search_path&amp;"\RTDC"&amp;B110&amp;"\"&amp;TEXT(F110,"YYYY-MM-DD")
&amp;" &amp; "&amp;"aws s3 cp "&amp;s3_bucket&amp;"/RTDC"&amp;B110&amp;"/ "&amp;search_path&amp;"\RTDC"&amp;B110&amp;"\"&amp;TEXT(F110+1,"YYYY-MM-DD")&amp;" --exclude ""*"" --recursive --include ""*"&amp;TEXT(F110+1,"YYYYMMDD")&amp;"*"" &amp; """&amp;walkandungz&amp;""" "&amp;search_path&amp;"\RTDC"&amp;B110&amp;"\"&amp;TEXT(F110+1,"YYYY-MM-DD")</f>
        <v>aws s3 cp s3://rtdc.mdm.uploadarchive.raw/RTDC4033/ "%USERPROFILE%\AppData\Local\Temp\OnboardLogs"\RTDC4033\2018-01-06 --exclude "*" --recursive --include "*20180106*" &amp; "%USERPROFILE%\Documents\GitHub\mrs-test-scripts\Headless Mode &amp; Sideloading\WalkAndUnGZ.bat" "%USERPROFILE%\AppData\Local\Temp\OnboardLogs"\RTDC4033\2018-01-06 &amp; aws s3 cp s3://rtdc.mdm.uploadarchive.raw/RTDC4033/ "%USERPROFILE%\AppData\Local\Temp\OnboardLogs"\RTDC4033\2018-01-07 --exclude "*" --recursive --include "*20180107*" &amp; "%USERPROFILE%\Documents\GitHub\mrs-test-scripts\Headless Mode &amp; Sideloading\WalkAndUnGZ.bat" "%USERPROFILE%\AppData\Local\Temp\OnboardLogs"\RTDC4033\2018-01-07</v>
      </c>
      <c r="AF110" s="234" t="str">
        <f>astrogrep_path&amp;" /e /r /s /spath="&amp;search_path&amp;" /stypes=""app*"&amp;B110&amp;"*"&amp;TEXT(I110-utc_offset/24,"YYYYMMDD")&amp;"*"" /stext="" "&amp;TEXT(I110-utc_offset/24,"HH")&amp;search_regexp&amp;""""</f>
        <v>"C:\Program Files (x86)\AstroGrep\AstroGrep.exe" /e /r /s /spath="%USERPROFILE%\AppData\Local\Temp\OnboardLogs" /stypes="app*4033*20180107*" /stext=" 00:.+((SYSTEM_STATE.+slice.+state.+changed )|(ment ac)|(multiple cpu faults)|(system.+state.+changed )|(\[timeout)|(PRM\|1\|D)|(kpr)|(kdp)|(train st.+moving)|(\|lc)|(penalty))"</v>
      </c>
      <c r="AG110" s="244" t="str">
        <f>DetSubdiv(A110)</f>
        <v>EC</v>
      </c>
      <c r="AH110" s="236" t="str">
        <f t="shared" si="10"/>
        <v>"%USERPROFILE%\Documents\GitHub\eaglep3\Utilities\RefineRTDCRunTimes.py" --tripid 196-06 --locoid 4033 --swversion DE.1.0.9.0 --startMP 204:232972 --initTime 2018-01-06T16:21:05 --startdatetime 2018-01-06T16:27:22 --delay 83 --endMP 204:216 --enddatetime 2018-01-06T17:05:49 --enforcementcount 0 &gt;&gt;%USERPROFILE%\Documents\GitHub\eaglep3-reporting\EC\2018-01-06-refined-times.txt</v>
      </c>
      <c r="AI110" s="238" t="str">
        <f t="shared" si="11"/>
        <v>echo {"issue":{"subject":"","project_id":79,"tracker_id":40,"status_id":1,"priority_id":2,"assigned_to_id":338,"start_date":"2018-01-06","description":"","custom_fields":[{"id":1,"name":"Subdivision","value":"EC"},{"id":4,"name":"Milepost","value":"0.0216"},{"id":17,"name":"Train ID","value":"196-06"},{"id":16,"name":"Locomotive ID","value":"4033"},{"id":130,"name":"Impact","value":""},{"id":150,"name":"Time of Event (Mountain Time)","value":"17:05:49"},{"id":151,"name":"Denver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0" s="223"/>
      <c r="AK110" s="231"/>
      <c r="AL110" s="231"/>
      <c r="AM110" s="240" t="str">
        <f t="shared" si="12"/>
        <v>start /low /b %USERPROFILE%\Documents\GitHub\eaglep3\Utilities\DownloadLogsFromS3.py --loco 4033 --day 2018-01-06</v>
      </c>
      <c r="AN110" s="241" t="str">
        <f t="shared" si="13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00:05:49"},{"id":29,"name":"Sharepoint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 s="230" t="str">
        <f t="shared" si="14"/>
        <v>https://d0f6bd738d7f1b3e5a7ca70fe4ff75f0.us-east-1.aws.found.io/app/kibana#/discover/Steve-Slow-Train-Analysis-(2080s-and-2083s)?_g=(refreshInterval:(display:Off,pause:!f,section:0,value:0),time:(from:'2018-01-06T15:21:05-0700',mode:absolute,to:'2018-01-06T18:05:49-0700'))&amp;_a=(columns:!('Message%20ID',Summary),filters:!(),index:'emp_*',interval:auto,query:(query_string:(analyze_wildcard:!t,query:'%22rtdc.l.rtdc.4033%22')),sort:!(Time.ISO8601,asc))</v>
      </c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3">
      <c r="A111" s="229" t="s">
        <v>818</v>
      </c>
      <c r="B111" s="225">
        <v>4054</v>
      </c>
      <c r="C111" s="227" t="s">
        <v>192</v>
      </c>
      <c r="D111" s="227" t="s">
        <v>968</v>
      </c>
      <c r="E111" s="226">
        <v>43106.650416666664</v>
      </c>
      <c r="F111" s="226">
        <v>43106.656527777777</v>
      </c>
      <c r="G111" s="225">
        <v>61</v>
      </c>
      <c r="H111" s="227" t="s">
        <v>986</v>
      </c>
      <c r="I111" s="226">
        <v>43106.681238425925</v>
      </c>
      <c r="J111" s="225">
        <v>0</v>
      </c>
      <c r="K111" s="237" t="str">
        <f>IF(ISEVEN(B111),(B111-1)&amp;"/"&amp;B111,B111&amp;"/"&amp;(B111+1))</f>
        <v>4053/4054</v>
      </c>
      <c r="L111" s="245" t="str">
        <f>VLOOKUP(A111,'Trips&amp;Operators'!$C$1:$G$99911,5,FALSE)</f>
        <v>GONZALEZ ARMANDO</v>
      </c>
      <c r="M111" s="224">
        <f>I111-F111</f>
        <v>2.47106481474475E-2</v>
      </c>
      <c r="N111" s="225">
        <f>24*60*SUM($M111:$M111)</f>
        <v>35.583333332324401</v>
      </c>
      <c r="O111" s="225"/>
      <c r="P111" s="225"/>
      <c r="Q111" s="228"/>
      <c r="R111" s="242"/>
      <c r="S111" s="249">
        <f>1/IF(AG111="EC",12,1)*SUM(U111:U111)</f>
        <v>1</v>
      </c>
      <c r="T111" s="242" t="str">
        <f>IF(ISEVEN(LEFT(AD111,4)),"Southbound","NorthBound")</f>
        <v>NorthBound</v>
      </c>
      <c r="U111" s="246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248" t="str">
        <f>"https://d0f6bd738d7f1b3e5a7ca70fe4ff75f0.us-east-1.aws.found.io/app/kibana#/discover/Steve-Slow-Train-Analysis-(2080s-and-2083s)?_g="&amp;"(refreshInterval:(display:Off,pause:!f,section:0,value:0),time:(from:'"&amp;TEXT(E111-1/24,"yyyy-MM-DDThh:mm:ss")&amp;utc_offset&amp;"00"&amp;"',mode:absolute,to:'"&amp;TEXT(I111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111&amp;"%22')),sort:!(Time.ISO8601,asc))"</f>
        <v>https://d0f6bd738d7f1b3e5a7ca70fe4ff75f0.us-east-1.aws.found.io/app/kibana#/discover/Steve-Slow-Train-Analysis-(2080s-and-2083s)?_g=(refreshInterval:(display:Off,pause:!f,section:0,value:0),time:(from:'2018-01-06T14:36:36-0700',mode:absolute,to:'2018-01-06T17:20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11" s="247" t="str">
        <f>IF(AA111&lt;VLOOKUP(AG111,Variables!$AC$3:$AD$8,2,FALSE),"Y","N")</f>
        <v>N</v>
      </c>
      <c r="X111" s="247">
        <f>VALUE(LEFT(AD111,4))-VALUE(LEFT(AD110,4))</f>
        <v>1</v>
      </c>
      <c r="Y111" s="247">
        <f>RIGHT(D111,LEN(D111)-4)/10000</f>
        <v>5.0200000000000002E-2</v>
      </c>
      <c r="Z111" s="247">
        <f>RIGHT(H111,LEN(H111)-4)/10000</f>
        <v>23.332000000000001</v>
      </c>
      <c r="AA111" s="247">
        <f>ABS(Z111-Y111)</f>
        <v>23.2818</v>
      </c>
      <c r="AB111" s="233" t="e">
        <f>VLOOKUP(A111,Enforcements!$C$7:$K$9,8,0)</f>
        <v>#N/A</v>
      </c>
      <c r="AC111" s="232" t="e">
        <f>VLOOKUP(A111,Enforcements!$C$7:$E$9,3,0)</f>
        <v>#N/A</v>
      </c>
      <c r="AD111" s="243">
        <f>VALUE(LEFT(A111,LEN(A111)-3))</f>
        <v>197</v>
      </c>
      <c r="AE111" s="235" t="str">
        <f>"aws s3 cp "&amp;s3_bucket&amp;"/RTDC"&amp;B111&amp;"/ "&amp;search_path&amp;"\RTDC"&amp;B111&amp;"\"&amp;TEXT(F111,"YYYY-MM-DD")&amp;" --exclude ""*"" --recursive --include ""*"&amp;TEXT(F111,"YYYYMMDD")&amp;"*"" &amp; """&amp;walkandungz&amp;""" "&amp;search_path&amp;"\RTDC"&amp;B111&amp;"\"&amp;TEXT(F111,"YYYY-MM-DD")
&amp;" &amp; "&amp;"aws s3 cp "&amp;s3_bucket&amp;"/RTDC"&amp;B111&amp;"/ "&amp;search_path&amp;"\RTDC"&amp;B111&amp;"\"&amp;TEXT(F111+1,"YYYY-MM-DD")&amp;" --exclude ""*"" --recursive --include ""*"&amp;TEXT(F111+1,"YYYYMMDD")&amp;"*"" &amp; """&amp;walkandungz&amp;""" "&amp;search_path&amp;"\RTDC"&amp;B111&amp;"\"&amp;TEXT(F111+1,"YYYY-MM-DD")</f>
        <v>aws s3 cp s3://rtdc.mdm.uploadarchive.raw/RTDC4054/ "%USERPROFILE%\AppData\Local\Temp\OnboardLogs"\RTDC4054\2018-01-06 --exclude "*" --recursive --include "*20180106*" &amp; "%USERPROFILE%\Documents\GitHub\mrs-test-scripts\Headless Mode &amp; Sideloading\WalkAndUnGZ.bat" "%USERPROFILE%\AppData\Local\Temp\OnboardLogs"\RTDC4054\2018-01-06 &amp; aws s3 cp s3://rtdc.mdm.uploadarchive.raw/RTDC4054/ "%USERPROFILE%\AppData\Local\Temp\OnboardLogs"\RTDC4054\2018-01-07 --exclude "*" --recursive --include "*20180107*" &amp; "%USERPROFILE%\Documents\GitHub\mrs-test-scripts\Headless Mode &amp; Sideloading\WalkAndUnGZ.bat" "%USERPROFILE%\AppData\Local\Temp\OnboardLogs"\RTDC4054\2018-01-07</v>
      </c>
      <c r="AF111" s="234" t="str">
        <f>astrogrep_path&amp;" /e /r /s /spath="&amp;search_path&amp;" /stypes=""app*"&amp;B111&amp;"*"&amp;TEXT(I111-utc_offset/24,"YYYYMMDD")&amp;"*"" /stext="" "&amp;TEXT(I111-utc_offset/24,"HH")&amp;search_regexp&amp;""""</f>
        <v>"C:\Program Files (x86)\AstroGrep\AstroGrep.exe" /e /r /s /spath="%USERPROFILE%\AppData\Local\Temp\OnboardLogs" /stypes="app*4054*20180106*" /stext=" 23:.+((SYSTEM_STATE.+slice.+state.+changed )|(ment ac)|(multiple cpu faults)|(system.+state.+changed )|(\[timeout)|(PRM\|1\|D)|(kpr)|(kdp)|(train st.+moving)|(\|lc)|(penalty))"</v>
      </c>
      <c r="AG111" s="244" t="str">
        <f>DetSubdiv(A111)</f>
        <v>EC</v>
      </c>
      <c r="AH111" s="236" t="str">
        <f t="shared" si="10"/>
        <v>"%USERPROFILE%\Documents\GitHub\eaglep3\Utilities\RefineRTDCRunTimes.py" --tripid 197-06 --locoid 4054 --swversion DE.1.0.9.0 --startMP 204:502 --initTime 2018-01-06T15:36:36 --startdatetime 2018-01-06T15:45:24 --delay 61 --endMP 204:233320 --enddatetime 2018-01-06T16:20:59 --enforcementcount 0 &gt;&gt;%USERPROFILE%\Documents\GitHub\eaglep3-reporting\EC\2018-01-06-refined-times.txt</v>
      </c>
      <c r="AI111" s="238" t="str">
        <f t="shared" si="11"/>
        <v>echo {"issue":{"subject":"","project_id":79,"tracker_id":40,"status_id":1,"priority_id":2,"assigned_to_id":338,"start_date":"2018-01-06","description":"","custom_fields":[{"id":1,"name":"Subdivision","value":"EC"},{"id":4,"name":"Milepost","value":"23.332"},{"id":17,"name":"Train ID","value":"197-06"},{"id":16,"name":"Locomotive ID","value":"4054"},{"id":130,"name":"Impact","value":""},{"id":150,"name":"Time of Event (Mountain Time)","value":"16:20:59"},{"id":151,"name":"Denver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1" s="223"/>
      <c r="AK111" s="231"/>
      <c r="AL111" s="231"/>
      <c r="AM111" s="240" t="str">
        <f t="shared" si="12"/>
        <v>start /low /b %USERPROFILE%\Documents\GitHub\eaglep3\Utilities\DownloadLogsFromS3.py --loco 4054 --day 2018-01-06</v>
      </c>
      <c r="AN111" s="241" t="str">
        <f t="shared" si="13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23:20:59"},{"id":29,"name":"Sharepoint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 s="230" t="str">
        <f t="shared" si="14"/>
        <v>https://d0f6bd738d7f1b3e5a7ca70fe4ff75f0.us-east-1.aws.found.io/app/kibana#/discover/Steve-Slow-Train-Analysis-(2080s-and-2083s)?_g=(refreshInterval:(display:Off,pause:!f,section:0,value:0),time:(from:'2018-01-06T14:36:36-0700',mode:absolute,to:'2018-01-06T17:20:59-0700'))&amp;_a=(columns:!('Message%20ID',Summary),filters:!(),index:'emp_*',interval:auto,query:(query_string:(analyze_wildcard:!t,query:'%22rtdc.l.rtdc.4054%22')),sort:!(Time.ISO8601,asc))</v>
      </c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23" customFormat="1" x14ac:dyDescent="0.3">
      <c r="A112" s="229" t="s">
        <v>830</v>
      </c>
      <c r="B112" s="225">
        <v>4053</v>
      </c>
      <c r="C112" s="227" t="s">
        <v>192</v>
      </c>
      <c r="D112" s="227" t="s">
        <v>968</v>
      </c>
      <c r="E112" s="226">
        <v>43106.650416666664</v>
      </c>
      <c r="F112" s="226">
        <v>43106.69599537037</v>
      </c>
      <c r="G112" s="225">
        <v>61</v>
      </c>
      <c r="H112" s="227" t="s">
        <v>986</v>
      </c>
      <c r="I112" s="226">
        <v>43106.721886574072</v>
      </c>
      <c r="J112" s="225">
        <v>0</v>
      </c>
      <c r="K112" s="237" t="str">
        <f>IF(ISEVEN(B112),(B112-1)&amp;"/"&amp;B112,B112&amp;"/"&amp;(B112+1))</f>
        <v>4053/4054</v>
      </c>
      <c r="L112" s="245" t="str">
        <f>VLOOKUP(A112,'Trips&amp;Operators'!$C$1:$G$99911,5,FALSE)</f>
        <v>GONZALEZ ARMANDO</v>
      </c>
      <c r="M112" s="224">
        <f>I112-F112</f>
        <v>2.5891203702485655E-2</v>
      </c>
      <c r="N112" s="225">
        <f>24*60*SUM($M112:$M112)</f>
        <v>37.283333331579342</v>
      </c>
      <c r="O112" s="225"/>
      <c r="P112" s="225"/>
      <c r="Q112" s="228"/>
      <c r="R112" s="242"/>
      <c r="S112" s="249">
        <f>1/IF(AG112="EC",12,1)*SUM(U112:U112)</f>
        <v>1</v>
      </c>
      <c r="T112" s="242" t="str">
        <f>IF(ISEVEN(LEFT(AD112,4)),"Southbound","NorthBound")</f>
        <v>Southbound</v>
      </c>
      <c r="U112" s="246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248" t="str">
        <f>"https://d0f6bd738d7f1b3e5a7ca70fe4ff75f0.us-east-1.aws.found.io/app/kibana#/discover/Steve-Slow-Train-Analysis-(2080s-and-2083s)?_g="&amp;"(refreshInterval:(display:Off,pause:!f,section:0,value:0),time:(from:'"&amp;TEXT(E112-1/24,"yyyy-MM-DDThh:mm:ss")&amp;utc_offset&amp;"00"&amp;"',mode:absolute,to:'"&amp;TEXT(I112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112&amp;"%22')),sort:!(Time.ISO8601,asc))"</f>
        <v>https://d0f6bd738d7f1b3e5a7ca70fe4ff75f0.us-east-1.aws.found.io/app/kibana#/discover/Steve-Slow-Train-Analysis-(2080s-and-2083s)?_g=(refreshInterval:(display:Off,pause:!f,section:0,value:0),time:(from:'2018-01-06T14:36:36-0700',mode:absolute,to:'2018-01-06T18:19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12" s="247" t="str">
        <f>IF(AA112&lt;VLOOKUP(AG112,Variables!$AC$3:$AD$8,2,FALSE),"Y","N")</f>
        <v>N</v>
      </c>
      <c r="X112" s="247">
        <f>VALUE(LEFT(AD112,4))-VALUE(LEFT(AD111,4))</f>
        <v>1</v>
      </c>
      <c r="Y112" s="247">
        <v>23.274799999999999</v>
      </c>
      <c r="Z112" s="247">
        <v>2.12E-2</v>
      </c>
      <c r="AA112" s="247">
        <f>ABS(Z112-Y112)</f>
        <v>23.253599999999999</v>
      </c>
      <c r="AB112" s="233" t="e">
        <f>VLOOKUP(A112,Enforcements!$C$7:$K$9,8,0)</f>
        <v>#N/A</v>
      </c>
      <c r="AC112" s="232" t="e">
        <f>VLOOKUP(A112,Enforcements!$C$7:$E$9,3,0)</f>
        <v>#N/A</v>
      </c>
      <c r="AD112" s="243">
        <f>VALUE(LEFT(A112,LEN(A112)-3))</f>
        <v>198</v>
      </c>
      <c r="AE112" s="235" t="str">
        <f>"aws s3 cp "&amp;s3_bucket&amp;"/RTDC"&amp;B112&amp;"/ "&amp;search_path&amp;"\RTDC"&amp;B112&amp;"\"&amp;TEXT(F112,"YYYY-MM-DD")&amp;" --exclude ""*"" --recursive --include ""*"&amp;TEXT(F112,"YYYYMMDD")&amp;"*"" &amp; """&amp;walkandungz&amp;""" "&amp;search_path&amp;"\RTDC"&amp;B112&amp;"\"&amp;TEXT(F112,"YYYY-MM-DD")
&amp;" &amp; "&amp;"aws s3 cp "&amp;s3_bucket&amp;"/RTDC"&amp;B112&amp;"/ "&amp;search_path&amp;"\RTDC"&amp;B112&amp;"\"&amp;TEXT(F112+1,"YYYY-MM-DD")&amp;" --exclude ""*"" --recursive --include ""*"&amp;TEXT(F112+1,"YYYYMMDD")&amp;"*"" &amp; """&amp;walkandungz&amp;""" "&amp;search_path&amp;"\RTDC"&amp;B112&amp;"\"&amp;TEXT(F112+1,"YYYY-MM-DD")</f>
        <v>aws s3 cp s3://rtdc.mdm.uploadarchive.raw/RTDC4053/ "%USERPROFILE%\AppData\Local\Temp\OnboardLogs"\RTDC4053\2018-01-06 --exclude "*" --recursive --include "*20180106*" &amp; "%USERPROFILE%\Documents\GitHub\mrs-test-scripts\Headless Mode &amp; Sideloading\WalkAndUnGZ.bat" "%USERPROFILE%\AppData\Local\Temp\OnboardLogs"\RTDC4053\2018-01-06 &amp; aws s3 cp s3://rtdc.mdm.uploadarchive.raw/RTDC4053/ "%USERPROFILE%\AppData\Local\Temp\OnboardLogs"\RTDC4053\2018-01-07 --exclude "*" --recursive --include "*20180107*" &amp; "%USERPROFILE%\Documents\GitHub\mrs-test-scripts\Headless Mode &amp; Sideloading\WalkAndUnGZ.bat" "%USERPROFILE%\AppData\Local\Temp\OnboardLogs"\RTDC4053\2018-01-07</v>
      </c>
      <c r="AF112" s="234" t="str">
        <f>astrogrep_path&amp;" /e /r /s /spath="&amp;search_path&amp;" /stypes=""app*"&amp;B112&amp;"*"&amp;TEXT(I112-utc_offset/24,"YYYYMMDD")&amp;"*"" /stext="" "&amp;TEXT(I112-utc_offset/24,"HH")&amp;search_regexp&amp;""""</f>
        <v>"C:\Program Files (x86)\AstroGrep\AstroGrep.exe" /e /r /s /spath="%USERPROFILE%\AppData\Local\Temp\OnboardLogs" /stypes="app*4053*20180107*" /stext=" 00:.+((SYSTEM_STATE.+slice.+state.+changed )|(ment ac)|(multiple cpu faults)|(system.+state.+changed )|(\[timeout)|(PRM\|1\|D)|(kpr)|(kdp)|(train st.+moving)|(\|lc)|(penalty))"</v>
      </c>
      <c r="AG112" s="244" t="str">
        <f>DetSubdiv(A112)</f>
        <v>EC</v>
      </c>
      <c r="AH112" s="236" t="str">
        <f t="shared" ref="AH112" si="20">refinertdcruntimes&amp;" --tripid "&amp;A112&amp;" --locoid "&amp;B112&amp;" --swversion "&amp;C112&amp;" --startMP "&amp;D112&amp;" --initTime "&amp;TEXT(E112,"yyyy-mm-ddTHH:MM:SS")&amp;" --startdatetime "&amp;TEXT(F112,"yyyy-mm-ddTHH:MM:SS")&amp;" --delay "&amp;G112&amp;" --endMP "&amp;H112&amp;" --enddatetime "&amp;TEXT(I112,"yyyy-mm-ddTHH:MM:SS")&amp;" --enforcementcount "&amp;J112&amp;IF(outputrefinedruntimes," &gt;&gt;"&amp;RefinedRTDCRunTimesOutputFile,"")</f>
        <v>"%USERPROFILE%\Documents\GitHub\eaglep3\Utilities\RefineRTDCRunTimes.py" --tripid 198-06 --locoid 4053 --swversion DE.1.0.9.0 --startMP 204:502 --initTime 2018-01-06T15:36:36 --startdatetime 2018-01-06T16:42:14 --delay 61 --endMP 204:233320 --enddatetime 2018-01-06T17:19:31 --enforcementcount 0 &gt;&gt;%USERPROFILE%\Documents\GitHub\eaglep3-reporting\EC\2018-01-06-refined-times.txt</v>
      </c>
      <c r="AI112" s="238" t="str">
        <f t="shared" ref="AI112" si="21">"echo {""issue"":{""subject"":"""&amp;R112&amp;""",""project_id"":79,""tracker_id"":40,""status_id"":"&amp;redmine_status&amp;",""priority_id"":"&amp;redmine_priority&amp;",""assigned_to_id"":"&amp;redmine_assignee&amp;",""start_date"":"""&amp;TEXT(I112,"YYYY-mm-dd")&amp;""",""description"":"""&amp;AJ112&amp;""",""custom_fields"":[{""id"":1,""name"":""Subdivision"",""value"":"""&amp;AG112&amp;"""},{""id"":4,""name"":""Milepost"",""value"":"""&amp;Z112&amp;"""},{""id"":17,""name"":""Train ID"",""value"":"""&amp;A112&amp;"""},{""id"":16,""name"":""Locomotive ID"",""value"":"""&amp;B112&amp;"""},{""id"":130,""name"":""Impact"",""value"":"""&amp;AK112&amp;"""},{""id"":150,""name"":""Time of Event (Mountain Time)"",""value"":"""&amp;TEXT(I112,"hh:mm:ss")&amp;"""},{""id"":151,""name"":""Denver Issue ID"",""value"":"""&amp;"""},{""id"":178,""name"":""Operational Impact"",""value"":"""&amp;redmine_op_impact&amp;"""},{""id"":179,""name"":""Denver Segment Assigned"",""value"":"""&amp;AL112&amp;"""}]}}"&amp;"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{"issue":{"subject":"","project_id":79,"tracker_id":40,"status_id":1,"priority_id":2,"assigned_to_id":338,"start_date":"2018-01-06","description":"","custom_fields":[{"id":1,"name":"Subdivision","value":"EC"},{"id":4,"name":"Milepost","value":"0.0212"},{"id":17,"name":"Train ID","value":"198-06"},{"id":16,"name":"Locomotive ID","value":"4053"},{"id":130,"name":"Impact","value":""},{"id":150,"name":"Time of Event (Mountain Time)","value":"17:19:31"},{"id":151,"name":"Denver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2" s="231"/>
      <c r="AL112" s="231"/>
      <c r="AM112" s="240" t="str">
        <f t="shared" ref="AM112" si="22">"start /low /b "&amp;dls3logs&amp;" --loco "&amp;B112&amp;" --day "&amp;TEXT(F112,"YYYY-MM-DD")</f>
        <v>start /low /b %USERPROFILE%\Documents\GitHub\eaglep3\Utilities\DownloadLogsFromS3.py --loco 4053 --day 2018-01-06</v>
      </c>
      <c r="AN112" s="241" t="str">
        <f t="shared" ref="AN112" si="23">"echo {""issue"":{""subject"":"""&amp;R112&amp;""",""project_id"":30,""tracker_id"":4,""status_id"":"&amp;redmine_status_wcr&amp;",""priority_id"":"&amp;redmine_priority_wcr&amp;",""assigned_to_id"":"&amp;redmine_assignee_wcr&amp;",""start_date"":"""&amp;TEXT(I112-utc_offset/24,"YYYY-mm-dd")&amp;""",""description"":"""&amp;AJ112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ID"",""value"":"""&amp;B112&amp;"""},{""id"":20,""name"":""RR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UTC"",""value"":"""&amp;TEXT(I112-utc_offset/24,"YYYY-MM-DD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00:19:31"},{"id":29,"name":"Sharepoint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 s="230" t="str">
        <f t="shared" ref="AO112" si="24">"https://d0f6bd738d7f1b3e5a7ca70fe4ff75f0.us-east-1.aws.found.io/app/kibana#/discover/Steve-Slow-Train-Analysis-(2080s-and-2083s)?_g="&amp;"(refreshInterval:(display:Off,pause:!f,section:0,value:0),time:(from:'"&amp;TEXT(E112-1/24,"yyyy-MM-DDThh:mm:ss")&amp;utc_offset&amp;"00"&amp;"',mode:absolute,to:'"&amp;TEXT(I112+1/24,"yyyy-MM-DDThh:mm:ss")&amp;utc_offset&amp;"00"&amp;"'))&amp;_a=(columns:!('Message%20ID',Summary),filters:!(),index:'emp_*',interval:auto,query:"&amp;"(query_string:(analyze_wildcard:!t,query:'%22rtdc.l.rtdc."&amp;B112&amp;"%22')),sort:!(Time.ISO8601,asc))"</f>
        <v>https://d0f6bd738d7f1b3e5a7ca70fe4ff75f0.us-east-1.aws.found.io/app/kibana#/discover/Steve-Slow-Train-Analysis-(2080s-and-2083s)?_g=(refreshInterval:(display:Off,pause:!f,section:0,value:0),time:(from:'2018-01-06T14:36:36-0700',mode:absolute,to:'2018-01-06T18:19:31-0700'))&amp;_a=(columns:!('Message%20ID',Summary),filters:!(),index:'emp_*',interval:auto,query:(query_string:(analyze_wildcard:!t,query:'%22rtdc.l.rtdc.4053%22')),sort:!(Time.ISO8601,asc))</v>
      </c>
    </row>
    <row r="113" spans="1:91" s="20" customFormat="1" x14ac:dyDescent="0.3">
      <c r="A113" s="229" t="s">
        <v>822</v>
      </c>
      <c r="B113" s="225">
        <v>4064</v>
      </c>
      <c r="C113" s="227" t="s">
        <v>192</v>
      </c>
      <c r="D113" s="227" t="s">
        <v>550</v>
      </c>
      <c r="E113" s="226">
        <v>43106.663275462961</v>
      </c>
      <c r="F113" s="226">
        <v>43106.666863425926</v>
      </c>
      <c r="G113" s="225">
        <v>61</v>
      </c>
      <c r="H113" s="227" t="s">
        <v>987</v>
      </c>
      <c r="I113" s="226">
        <v>43106.691099537034</v>
      </c>
      <c r="J113" s="225">
        <v>0</v>
      </c>
      <c r="K113" s="237" t="str">
        <f>IF(ISEVEN(B113),(B113-1)&amp;"/"&amp;B113,B113&amp;"/"&amp;(B113+1))</f>
        <v>4063/4064</v>
      </c>
      <c r="L113" s="245" t="str">
        <f>VLOOKUP(A113,'Trips&amp;Operators'!$C$1:$G$99911,5,FALSE)</f>
        <v>BRUDER RICHARD</v>
      </c>
      <c r="M113" s="224">
        <f>I113-F113</f>
        <v>2.4236111108621117E-2</v>
      </c>
      <c r="N113" s="225">
        <f>24*60*SUM($M113:$M113)</f>
        <v>34.899999996414408</v>
      </c>
      <c r="O113" s="225"/>
      <c r="P113" s="225"/>
      <c r="Q113" s="228"/>
      <c r="R113" s="242"/>
      <c r="S113" s="249">
        <f>1/IF(AG113="EC",12,1)*SUM(U113:U113)</f>
        <v>1</v>
      </c>
      <c r="T113" s="242" t="str">
        <f>IF(ISEVEN(LEFT(AD113,4)),"Southbound","NorthBound")</f>
        <v>NorthBound</v>
      </c>
      <c r="U113" s="246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248" t="str">
        <f>"https://d0f6bd738d7f1b3e5a7ca70fe4ff75f0.us-east-1.aws.found.io/app/kibana#/discover/Steve-Slow-Train-Analysis-(2080s-and-2083s)?_g="&amp;"(refreshInterval:(display:Off,pause:!f,section:0,value:0),time:(from:'"&amp;TEXT(E113-1/24,"yyyy-MM-DDThh:mm:ss")&amp;utc_offset&amp;"00"&amp;"',mode:absolute,to:'"&amp;TEXT(I113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113&amp;"%22')),sort:!(Time.ISO8601,asc))"</f>
        <v>https://d0f6bd738d7f1b3e5a7ca70fe4ff75f0.us-east-1.aws.found.io/app/kibana#/discover/Steve-Slow-Train-Analysis-(2080s-and-2083s)?_g=(refreshInterval:(display:Off,pause:!f,section:0,value:0),time:(from:'2018-01-06T14:55:07-0700',mode:absolute,to:'2018-01-06T17:35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13" s="247" t="str">
        <f>IF(AA113&lt;VLOOKUP(AG113,Variables!$AC$3:$AD$8,2,FALSE),"Y","N")</f>
        <v>N</v>
      </c>
      <c r="X113" s="247">
        <f t="shared" ref="X113:X114" si="25">VALUE(LEFT(AD113,4))-VALUE(LEFT(AD112,4))</f>
        <v>1</v>
      </c>
      <c r="Y113" s="247">
        <f>RIGHT(D113,LEN(D113)-4)/10000</f>
        <v>5.33E-2</v>
      </c>
      <c r="Z113" s="247">
        <f>RIGHT(H113,LEN(H113)-4)/10000</f>
        <v>23.321000000000002</v>
      </c>
      <c r="AA113" s="247">
        <f>ABS(Z113-Y113)</f>
        <v>23.267700000000001</v>
      </c>
      <c r="AB113" s="233" t="e">
        <f>VLOOKUP(A113,Enforcements!$C$7:$K$9,8,0)</f>
        <v>#N/A</v>
      </c>
      <c r="AC113" s="232" t="e">
        <f>VLOOKUP(A113,Enforcements!$C$7:$E$9,3,0)</f>
        <v>#N/A</v>
      </c>
      <c r="AD113" s="243">
        <f>VALUE(LEFT(A113,LEN(A113)-3))</f>
        <v>199</v>
      </c>
      <c r="AE113" s="235" t="str">
        <f>"aws s3 cp "&amp;s3_bucket&amp;"/RTDC"&amp;B113&amp;"/ "&amp;search_path&amp;"\RTDC"&amp;B113&amp;"\"&amp;TEXT(F113,"YYYY-MM-DD")&amp;" --exclude ""*"" --recursive --include ""*"&amp;TEXT(F113,"YYYYMMDD")&amp;"*"" &amp; """&amp;walkandungz&amp;""" "&amp;search_path&amp;"\RTDC"&amp;B113&amp;"\"&amp;TEXT(F113,"YYYY-MM-DD")
&amp;" &amp; "&amp;"aws s3 cp "&amp;s3_bucket&amp;"/RTDC"&amp;B113&amp;"/ "&amp;search_path&amp;"\RTDC"&amp;B113&amp;"\"&amp;TEXT(F113+1,"YYYY-MM-DD")&amp;" --exclude ""*"" --recursive --include ""*"&amp;TEXT(F113+1,"YYYYMMDD")&amp;"*"" &amp; """&amp;walkandungz&amp;""" "&amp;search_path&amp;"\RTDC"&amp;B113&amp;"\"&amp;TEXT(F113+1,"YYYY-MM-DD")</f>
        <v>aws s3 cp s3://rtdc.mdm.uploadarchive.raw/RTDC4064/ "%USERPROFILE%\AppData\Local\Temp\OnboardLogs"\RTDC4064\2018-01-06 --exclude "*" --recursive --include "*20180106*" &amp; "%USERPROFILE%\Documents\GitHub\mrs-test-scripts\Headless Mode &amp; Sideloading\WalkAndUnGZ.bat" "%USERPROFILE%\AppData\Local\Temp\OnboardLogs"\RTDC4064\2018-01-06 &amp; aws s3 cp s3://rtdc.mdm.uploadarchive.raw/RTDC4064/ "%USERPROFILE%\AppData\Local\Temp\OnboardLogs"\RTDC4064\2018-01-07 --exclude "*" --recursive --include "*20180107*" &amp; "%USERPROFILE%\Documents\GitHub\mrs-test-scripts\Headless Mode &amp; Sideloading\WalkAndUnGZ.bat" "%USERPROFILE%\AppData\Local\Temp\OnboardLogs"\RTDC4064\2018-01-07</v>
      </c>
      <c r="AF113" s="234" t="str">
        <f>astrogrep_path&amp;" /e /r /s /spath="&amp;search_path&amp;" /stypes=""app*"&amp;B113&amp;"*"&amp;TEXT(I113-utc_offset/24,"YYYYMMDD")&amp;"*"" /stext="" "&amp;TEXT(I113-utc_offset/24,"HH")&amp;search_regexp&amp;""""</f>
        <v>"C:\Program Files (x86)\AstroGrep\AstroGrep.exe" /e /r /s /spath="%USERPROFILE%\AppData\Local\Temp\OnboardLogs" /stypes="app*4064*20180106*" /stext=" 23:.+((SYSTEM_STATE.+slice.+state.+changed )|(ment ac)|(multiple cpu faults)|(system.+state.+changed )|(\[timeout)|(PRM\|1\|D)|(kpr)|(kdp)|(train st.+moving)|(\|lc)|(penalty))"</v>
      </c>
      <c r="AG113" s="244" t="str">
        <f>DetSubdiv(A113)</f>
        <v>EC</v>
      </c>
      <c r="AH113" s="236" t="str">
        <f t="shared" si="10"/>
        <v>"%USERPROFILE%\Documents\GitHub\eaglep3\Utilities\RefineRTDCRunTimes.py" --tripid 199-06 --locoid 4064 --swversion DE.1.0.9.0 --startMP 204:533 --initTime 2018-01-06T15:55:07 --startdatetime 2018-01-06T16:00:17 --delay 61 --endMP 204:233210 --enddatetime 2018-01-06T16:35:11 --enforcementcount 0 &gt;&gt;%USERPROFILE%\Documents\GitHub\eaglep3-reporting\EC\2018-01-06-refined-times.txt</v>
      </c>
      <c r="AI113" s="238" t="str">
        <f t="shared" si="11"/>
        <v>echo {"issue":{"subject":"","project_id":79,"tracker_id":40,"status_id":1,"priority_id":2,"assigned_to_id":338,"start_date":"2018-01-06","description":"","custom_fields":[{"id":1,"name":"Subdivision","value":"EC"},{"id":4,"name":"Milepost","value":"23.321"},{"id":17,"name":"Train ID","value":"199-06"},{"id":16,"name":"Locomotive ID","value":"4064"},{"id":130,"name":"Impact","value":""},{"id":150,"name":"Time of Event (Mountain Time)","value":"16:35:11"},{"id":151,"name":"Denver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3" s="223"/>
      <c r="AK113" s="231"/>
      <c r="AL113" s="231"/>
      <c r="AM113" s="240" t="str">
        <f t="shared" si="12"/>
        <v>start /low /b %USERPROFILE%\Documents\GitHub\eaglep3\Utilities\DownloadLogsFromS3.py --loco 4064 --day 2018-01-06</v>
      </c>
      <c r="AN113" s="241" t="str">
        <f t="shared" si="13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23:35:11"},{"id":29,"name":"Sharepoint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 s="230" t="str">
        <f t="shared" si="14"/>
        <v>https://d0f6bd738d7f1b3e5a7ca70fe4ff75f0.us-east-1.aws.found.io/app/kibana#/discover/Steve-Slow-Train-Analysis-(2080s-and-2083s)?_g=(refreshInterval:(display:Off,pause:!f,section:0,value:0),time:(from:'2018-01-06T14:55:07-0700',mode:absolute,to:'2018-01-06T17:35:11-0700'))&amp;_a=(columns:!('Message%20ID',Summary),filters:!(),index:'emp_*',interval:auto,query:(query_string:(analyze_wildcard:!t,query:'%22rtdc.l.rtdc.4064%22')),sort:!(Time.ISO8601,asc))</v>
      </c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3">
      <c r="A114" s="229" t="s">
        <v>833</v>
      </c>
      <c r="B114" s="225">
        <v>4063</v>
      </c>
      <c r="C114" s="227" t="s">
        <v>192</v>
      </c>
      <c r="D114" s="227" t="s">
        <v>565</v>
      </c>
      <c r="E114" s="226">
        <v>43106.702870370369</v>
      </c>
      <c r="F114" s="226">
        <v>43106.706435185188</v>
      </c>
      <c r="G114" s="225">
        <v>57</v>
      </c>
      <c r="H114" s="227" t="s">
        <v>479</v>
      </c>
      <c r="I114" s="226">
        <v>43106.732037037036</v>
      </c>
      <c r="J114" s="225">
        <v>0</v>
      </c>
      <c r="K114" s="237" t="str">
        <f>IF(ISEVEN(B114),(B114-1)&amp;"/"&amp;B114,B114&amp;"/"&amp;(B114+1))</f>
        <v>4063/4064</v>
      </c>
      <c r="L114" s="245" t="str">
        <f>VLOOKUP(A114,'Trips&amp;Operators'!$C$1:$G$99911,5,FALSE)</f>
        <v>BRUDER RICHARD</v>
      </c>
      <c r="M114" s="224">
        <f>I114-F114</f>
        <v>2.5601851848477963E-2</v>
      </c>
      <c r="N114" s="225">
        <f>24*60*SUM($M114:$M114)</f>
        <v>36.866666661808267</v>
      </c>
      <c r="O114" s="225"/>
      <c r="P114" s="225"/>
      <c r="Q114" s="228"/>
      <c r="R114" s="242"/>
      <c r="S114" s="249">
        <f>1/IF(AG114="EC",12,1)*SUM(U114:U114)</f>
        <v>1</v>
      </c>
      <c r="T114" s="242" t="str">
        <f>IF(ISEVEN(LEFT(AD114,4)),"Southbound","NorthBound")</f>
        <v>Southbound</v>
      </c>
      <c r="U114" s="246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248" t="str">
        <f>"https://d0f6bd738d7f1b3e5a7ca70fe4ff75f0.us-east-1.aws.found.io/app/kibana#/discover/Steve-Slow-Train-Analysis-(2080s-and-2083s)?_g="&amp;"(refreshInterval:(display:Off,pause:!f,section:0,value:0),time:(from:'"&amp;TEXT(E114-1/24,"yyyy-MM-DDThh:mm:ss")&amp;utc_offset&amp;"00"&amp;"',mode:absolute,to:'"&amp;TEXT(I114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114&amp;"%22')),sort:!(Time.ISO8601,asc))"</f>
        <v>https://d0f6bd738d7f1b3e5a7ca70fe4ff75f0.us-east-1.aws.found.io/app/kibana#/discover/Steve-Slow-Train-Analysis-(2080s-and-2083s)?_g=(refreshInterval:(display:Off,pause:!f,section:0,value:0),time:(from:'2018-01-06T15:52:08-0700',mode:absolute,to:'2018-01-06T18:34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14" s="247" t="str">
        <f>IF(AA114&lt;VLOOKUP(AG114,Variables!$AC$3:$AD$8,2,FALSE),"Y","N")</f>
        <v>N</v>
      </c>
      <c r="X114" s="247">
        <f t="shared" si="25"/>
        <v>1</v>
      </c>
      <c r="Y114" s="247">
        <f>RIGHT(D114,LEN(D114)-4)/10000</f>
        <v>23.29</v>
      </c>
      <c r="Z114" s="247">
        <f>RIGHT(H114,LEN(H114)-4)/10000</f>
        <v>2.0500000000000001E-2</v>
      </c>
      <c r="AA114" s="247">
        <f>ABS(Z114-Y114)</f>
        <v>23.269500000000001</v>
      </c>
      <c r="AB114" s="233" t="e">
        <f>VLOOKUP(A114,Enforcements!$C$7:$K$9,8,0)</f>
        <v>#N/A</v>
      </c>
      <c r="AC114" s="232" t="e">
        <f>VLOOKUP(A114,Enforcements!$C$7:$E$9,3,0)</f>
        <v>#N/A</v>
      </c>
      <c r="AD114" s="243">
        <f>VALUE(LEFT(A114,LEN(A114)-3))</f>
        <v>200</v>
      </c>
      <c r="AE114" s="235" t="str">
        <f>"aws s3 cp "&amp;s3_bucket&amp;"/RTDC"&amp;B114&amp;"/ "&amp;search_path&amp;"\RTDC"&amp;B114&amp;"\"&amp;TEXT(F114,"YYYY-MM-DD")&amp;" --exclude ""*"" --recursive --include ""*"&amp;TEXT(F114,"YYYYMMDD")&amp;"*"" &amp; """&amp;walkandungz&amp;""" "&amp;search_path&amp;"\RTDC"&amp;B114&amp;"\"&amp;TEXT(F114,"YYYY-MM-DD")
&amp;" &amp; "&amp;"aws s3 cp "&amp;s3_bucket&amp;"/RTDC"&amp;B114&amp;"/ "&amp;search_path&amp;"\RTDC"&amp;B114&amp;"\"&amp;TEXT(F114+1,"YYYY-MM-DD")&amp;" --exclude ""*"" --recursive --include ""*"&amp;TEXT(F114+1,"YYYYMMDD")&amp;"*"" &amp; """&amp;walkandungz&amp;""" "&amp;search_path&amp;"\RTDC"&amp;B114&amp;"\"&amp;TEXT(F114+1,"YYYY-MM-DD")</f>
        <v>aws s3 cp s3://rtdc.mdm.uploadarchive.raw/RTDC4063/ "%USERPROFILE%\AppData\Local\Temp\OnboardLogs"\RTDC4063\2018-01-06 --exclude "*" --recursive --include "*20180106*" &amp; "%USERPROFILE%\Documents\GitHub\mrs-test-scripts\Headless Mode &amp; Sideloading\WalkAndUnGZ.bat" "%USERPROFILE%\AppData\Local\Temp\OnboardLogs"\RTDC4063\2018-01-06 &amp; aws s3 cp s3://rtdc.mdm.uploadarchive.raw/RTDC4063/ "%USERPROFILE%\AppData\Local\Temp\OnboardLogs"\RTDC4063\2018-01-07 --exclude "*" --recursive --include "*20180107*" &amp; "%USERPROFILE%\Documents\GitHub\mrs-test-scripts\Headless Mode &amp; Sideloading\WalkAndUnGZ.bat" "%USERPROFILE%\AppData\Local\Temp\OnboardLogs"\RTDC4063\2018-01-07</v>
      </c>
      <c r="AF114" s="234" t="str">
        <f>astrogrep_path&amp;" /e /r /s /spath="&amp;search_path&amp;" /stypes=""app*"&amp;B114&amp;"*"&amp;TEXT(I114-utc_offset/24,"YYYYMMDD")&amp;"*"" /stext="" "&amp;TEXT(I114-utc_offset/24,"HH")&amp;search_regexp&amp;""""</f>
        <v>"C:\Program Files (x86)\AstroGrep\AstroGrep.exe" /e /r /s /spath="%USERPROFILE%\AppData\Local\Temp\OnboardLogs" /stypes="app*4063*20180107*" /stext=" 00:.+((SYSTEM_STATE.+slice.+state.+changed )|(ment ac)|(multiple cpu faults)|(system.+state.+changed )|(\[timeout)|(PRM\|1\|D)|(kpr)|(kdp)|(train st.+moving)|(\|lc)|(penalty))"</v>
      </c>
      <c r="AG114" s="244" t="str">
        <f>DetSubdiv(A114)</f>
        <v>EC</v>
      </c>
      <c r="AH114" s="236" t="str">
        <f t="shared" si="10"/>
        <v>"%USERPROFILE%\Documents\GitHub\eaglep3\Utilities\RefineRTDCRunTimes.py" --tripid 200-06 --locoid 4063 --swversion DE.1.0.9.0 --startMP 204:232900 --initTime 2018-01-06T16:52:08 --startdatetime 2018-01-06T16:57:16 --delay 57 --endMP 204:205 --enddatetime 2018-01-06T17:34:08 --enforcementcount 0 &gt;&gt;%USERPROFILE%\Documents\GitHub\eaglep3-reporting\EC\2018-01-06-refined-times.txt</v>
      </c>
      <c r="AI114" s="238" t="str">
        <f t="shared" si="11"/>
        <v>echo {"issue":{"subject":"","project_id":79,"tracker_id":40,"status_id":1,"priority_id":2,"assigned_to_id":338,"start_date":"2018-01-06","description":"","custom_fields":[{"id":1,"name":"Subdivision","value":"EC"},{"id":4,"name":"Milepost","value":"0.0205"},{"id":17,"name":"Train ID","value":"200-06"},{"id":16,"name":"Locomotive ID","value":"4063"},{"id":130,"name":"Impact","value":""},{"id":150,"name":"Time of Event (Mountain Time)","value":"17:34:08"},{"id":151,"name":"Denver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4" s="223"/>
      <c r="AK114" s="231"/>
      <c r="AL114" s="231"/>
      <c r="AM114" s="240" t="str">
        <f t="shared" si="12"/>
        <v>start /low /b %USERPROFILE%\Documents\GitHub\eaglep3\Utilities\DownloadLogsFromS3.py --loco 4063 --day 2018-01-06</v>
      </c>
      <c r="AN114" s="241" t="str">
        <f t="shared" si="13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00:34:08"},{"id":29,"name":"Sharepoint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 s="230" t="str">
        <f t="shared" si="14"/>
        <v>https://d0f6bd738d7f1b3e5a7ca70fe4ff75f0.us-east-1.aws.found.io/app/kibana#/discover/Steve-Slow-Train-Analysis-(2080s-and-2083s)?_g=(refreshInterval:(display:Off,pause:!f,section:0,value:0),time:(from:'2018-01-06T15:52:08-0700',mode:absolute,to:'2018-01-06T18:34:08-0700'))&amp;_a=(columns:!('Message%20ID',Summary),filters:!(),index:'emp_*',interval:auto,query:(query_string:(analyze_wildcard:!t,query:'%22rtdc.l.rtdc.4063%22')),sort:!(Time.ISO8601,asc))</v>
      </c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3">
      <c r="A115" s="229" t="s">
        <v>674</v>
      </c>
      <c r="B115" s="225">
        <v>4060</v>
      </c>
      <c r="C115" s="227" t="s">
        <v>192</v>
      </c>
      <c r="D115" s="227" t="s">
        <v>558</v>
      </c>
      <c r="E115" s="226">
        <v>43106.671863425923</v>
      </c>
      <c r="F115" s="226">
        <v>43106.67759259259</v>
      </c>
      <c r="G115" s="225">
        <v>105</v>
      </c>
      <c r="H115" s="227" t="s">
        <v>988</v>
      </c>
      <c r="I115" s="226">
        <v>43106.694386574076</v>
      </c>
      <c r="J115" s="225">
        <v>0</v>
      </c>
      <c r="K115" s="237" t="str">
        <f>IF(ISEVEN(B115),(B115-1)&amp;"/"&amp;B115,B115&amp;"/"&amp;(B115+1))</f>
        <v>4059/4060</v>
      </c>
      <c r="L115" s="245" t="str">
        <f>VLOOKUP(A115,'Trips&amp;Operators'!$C$1:$G$99911,5,FALSE)</f>
        <v>HOLCOMB KAMDEN</v>
      </c>
      <c r="M115" s="224">
        <f>I115-F115</f>
        <v>1.6793981485534459E-2</v>
      </c>
      <c r="N115" s="225"/>
      <c r="O115" s="225"/>
      <c r="P115" s="225">
        <f>24*60*SUM($M115:$M115)</f>
        <v>24.183333339169621</v>
      </c>
      <c r="Q115" s="228"/>
      <c r="R115" s="242" t="s">
        <v>464</v>
      </c>
      <c r="S115" s="249">
        <f>1/IF(AG115="EC",12,1)*SUM(U115:U115)</f>
        <v>1</v>
      </c>
      <c r="T115" s="242" t="str">
        <f>IF(ISEVEN(LEFT(AD115,4)),"Southbound","NorthBound")</f>
        <v>NorthBound</v>
      </c>
      <c r="U115" s="246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248" t="str">
        <f>"https://d0f6bd738d7f1b3e5a7ca70fe4ff75f0.us-east-1.aws.found.io/app/kibana#/discover/Steve-Slow-Train-Analysis-(2080s-and-2083s)?_g="&amp;"(refreshInterval:(display:Off,pause:!f,section:0,value:0),time:(from:'"&amp;TEXT(E115-1/24,"yyyy-MM-DDThh:mm:ss")&amp;utc_offset&amp;"00"&amp;"',mode:absolute,to:'"&amp;TEXT(I115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115&amp;"%22')),sort:!(Time.ISO8601,asc))"</f>
        <v>https://d0f6bd738d7f1b3e5a7ca70fe4ff75f0.us-east-1.aws.found.io/app/kibana#/discover/Steve-Slow-Train-Analysis-(2080s-and-2083s)?_g=(refreshInterval:(display:Off,pause:!f,section:0,value:0),time:(from:'2018-01-06T15:07:29-0700',mode:absolute,to:'2018-01-06T17:39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15" s="247" t="str">
        <f>IF(AA115&lt;VLOOKUP(AG115,Variables!$AC$3:$AD$8,2,FALSE),"Y","N")</f>
        <v>Y</v>
      </c>
      <c r="X115" s="247">
        <f>VALUE(LEFT(AD115,4))-VALUE(LEFT(AD114,4))</f>
        <v>1</v>
      </c>
      <c r="Y115" s="247">
        <f>RIGHT(D115,LEN(D115)-4)/10000</f>
        <v>5.04E-2</v>
      </c>
      <c r="Z115" s="247">
        <f>RIGHT(H115,LEN(H115)-4)/10000</f>
        <v>14.6182</v>
      </c>
      <c r="AA115" s="247">
        <f>ABS(Z115-Y115)</f>
        <v>14.5678</v>
      </c>
      <c r="AB115" s="233" t="e">
        <f>VLOOKUP(A115,Enforcements!$C$7:$K$9,8,0)</f>
        <v>#N/A</v>
      </c>
      <c r="AC115" s="232" t="e">
        <f>VLOOKUP(A115,Enforcements!$C$7:$E$9,3,0)</f>
        <v>#N/A</v>
      </c>
      <c r="AD115" s="243">
        <f>VALUE(LEFT(A115,LEN(A115)-3))</f>
        <v>201</v>
      </c>
      <c r="AE115" s="235" t="str">
        <f>"aws s3 cp "&amp;s3_bucket&amp;"/RTDC"&amp;B115&amp;"/ "&amp;search_path&amp;"\RTDC"&amp;B115&amp;"\"&amp;TEXT(F115,"YYYY-MM-DD")&amp;" --exclude ""*"" --recursive --include ""*"&amp;TEXT(F115,"YYYYMMDD")&amp;"*"" &amp; """&amp;walkandungz&amp;""" "&amp;search_path&amp;"\RTDC"&amp;B115&amp;"\"&amp;TEXT(F115,"YYYY-MM-DD")
&amp;" &amp; "&amp;"aws s3 cp "&amp;s3_bucket&amp;"/RTDC"&amp;B115&amp;"/ "&amp;search_path&amp;"\RTDC"&amp;B115&amp;"\"&amp;TEXT(F115+1,"YYYY-MM-DD")&amp;" --exclude ""*"" --recursive --include ""*"&amp;TEXT(F115+1,"YYYYMMDD")&amp;"*"" &amp; """&amp;walkandungz&amp;""" "&amp;search_path&amp;"\RTDC"&amp;B115&amp;"\"&amp;TEXT(F115+1,"YYYY-MM-DD")</f>
        <v>aws s3 cp s3://rtdc.mdm.uploadarchive.raw/RTDC4060/ "%USERPROFILE%\AppData\Local\Temp\OnboardLogs"\RTDC4060\2018-01-06 --exclude "*" --recursive --include "*20180106*" &amp; "%USERPROFILE%\Documents\GitHub\mrs-test-scripts\Headless Mode &amp; Sideloading\WalkAndUnGZ.bat" "%USERPROFILE%\AppData\Local\Temp\OnboardLogs"\RTDC4060\2018-01-06 &amp; aws s3 cp s3://rtdc.mdm.uploadarchive.raw/RTDC4060/ "%USERPROFILE%\AppData\Local\Temp\OnboardLogs"\RTDC4060\2018-01-07 --exclude "*" --recursive --include "*20180107*" &amp; "%USERPROFILE%\Documents\GitHub\mrs-test-scripts\Headless Mode &amp; Sideloading\WalkAndUnGZ.bat" "%USERPROFILE%\AppData\Local\Temp\OnboardLogs"\RTDC4060\2018-01-07</v>
      </c>
      <c r="AF115" s="234" t="str">
        <f>astrogrep_path&amp;" /e /r /s /spath="&amp;search_path&amp;" /stypes=""app*"&amp;B115&amp;"*"&amp;TEXT(I115-utc_offset/24,"YYYYMMDD")&amp;"*"" /stext="" "&amp;TEXT(I115-utc_offset/24,"HH")&amp;search_regexp&amp;""""</f>
        <v>"C:\Program Files (x86)\AstroGrep\AstroGrep.exe" /e /r /s /spath="%USERPROFILE%\AppData\Local\Temp\OnboardLogs" /stypes="app*4060*20180106*" /stext=" 23:.+((SYSTEM_STATE.+slice.+state.+changed )|(ment ac)|(multiple cpu faults)|(system.+state.+changed )|(\[timeout)|(PRM\|1\|D)|(kpr)|(kdp)|(train st.+moving)|(\|lc)|(penalty))"</v>
      </c>
      <c r="AG115" s="244" t="str">
        <f>DetSubdiv(A115)</f>
        <v>EC</v>
      </c>
      <c r="AH115" s="236" t="str">
        <f t="shared" si="10"/>
        <v>"%USERPROFILE%\Documents\GitHub\eaglep3\Utilities\RefineRTDCRunTimes.py" --tripid 201-06 --locoid 4060 --swversion DE.1.0.9.0 --startMP 204:504 --initTime 2018-01-06T16:07:29 --startdatetime 2018-01-06T16:15:44 --delay 105 --endMP 204:146182 --enddatetime 2018-01-06T16:39:55 --enforcementcount 0 &gt;&gt;%USERPROFILE%\Documents\GitHub\eaglep3-reporting\EC\2018-01-06-refined-times.txt</v>
      </c>
      <c r="AI115" s="238" t="str">
        <f t="shared" si="11"/>
        <v>echo {"issue":{"subject":"Wi-MAX data drop","project_id":79,"tracker_id":40,"status_id":1,"priority_id":2,"assigned_to_id":338,"start_date":"2018-01-06","description":"","custom_fields":[{"id":1,"name":"Subdivision","value":"EC"},{"id":4,"name":"Milepost","value":"14.6182"},{"id":17,"name":"Train ID","value":"201-06"},{"id":16,"name":"Locomotive ID","value":"4060"},{"id":130,"name":"Impact","value":""},{"id":150,"name":"Time of Event (Mountain Time)","value":"16:39:55"},{"id":151,"name":"Denver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5" s="223"/>
      <c r="AK115" s="231"/>
      <c r="AL115" s="231"/>
      <c r="AM115" s="240" t="str">
        <f t="shared" si="12"/>
        <v>start /low /b %USERPROFILE%\Documents\GitHub\eaglep3\Utilities\DownloadLogsFromS3.py --loco 4060 --day 2018-01-06</v>
      </c>
      <c r="AN115" s="241" t="str">
        <f t="shared" si="13"/>
        <v>echo {"issue":{"subject":"Wi-MAX data drop","project_id":30,"tracker_id":4,"status_id":1,"priority_id":1,"assigned_to_id":10,"start_date":"2018-01-06","description":"","custom_fields":[{"id":30,"name":"Category","value":"Issue"},{"id":3,"name":"Functional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23:39:55"},{"id":29,"name":"Sharepoint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 s="230" t="str">
        <f t="shared" si="14"/>
        <v>https://d0f6bd738d7f1b3e5a7ca70fe4ff75f0.us-east-1.aws.found.io/app/kibana#/discover/Steve-Slow-Train-Analysis-(2080s-and-2083s)?_g=(refreshInterval:(display:Off,pause:!f,section:0,value:0),time:(from:'2018-01-06T15:07:29-0700',mode:absolute,to:'2018-01-06T17:39:55-0700'))&amp;_a=(columns:!('Message%20ID',Summary),filters:!(),index:'emp_*',interval:auto,query:(query_string:(analyze_wildcard:!t,query:'%22rtdc.l.rtdc.4060%22')),sort:!(Time.ISO8601,asc))</v>
      </c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3">
      <c r="A116" s="229" t="s">
        <v>835</v>
      </c>
      <c r="B116" s="225">
        <v>4059</v>
      </c>
      <c r="C116" s="227" t="s">
        <v>192</v>
      </c>
      <c r="D116" s="227" t="s">
        <v>981</v>
      </c>
      <c r="E116" s="226">
        <v>43106.714421296296</v>
      </c>
      <c r="F116" s="226">
        <v>43106.716863425929</v>
      </c>
      <c r="G116" s="225">
        <v>48</v>
      </c>
      <c r="H116" s="227" t="s">
        <v>636</v>
      </c>
      <c r="I116" s="226">
        <v>43106.741759259261</v>
      </c>
      <c r="J116" s="225">
        <v>0</v>
      </c>
      <c r="K116" s="237" t="str">
        <f>IF(ISEVEN(B116),(B116-1)&amp;"/"&amp;B116,B116&amp;"/"&amp;(B116+1))</f>
        <v>4059/4060</v>
      </c>
      <c r="L116" s="245" t="str">
        <f>VLOOKUP(A116,'Trips&amp;Operators'!$C$1:$G$99911,5,FALSE)</f>
        <v>HOLCOMB KAMDEN</v>
      </c>
      <c r="M116" s="224">
        <f>I116-F116</f>
        <v>2.4895833332266193E-2</v>
      </c>
      <c r="N116" s="225">
        <f>24*60*SUM($M116:$M116)</f>
        <v>35.849999998463318</v>
      </c>
      <c r="O116" s="225"/>
      <c r="P116" s="225"/>
      <c r="Q116" s="228"/>
      <c r="R116" s="242"/>
      <c r="S116" s="249">
        <f>1/IF(AG116="EC",12,1)*SUM(U116:U116)</f>
        <v>1</v>
      </c>
      <c r="T116" s="242" t="str">
        <f>IF(ISEVEN(LEFT(AD116,4)),"Southbound","NorthBound")</f>
        <v>Southbound</v>
      </c>
      <c r="U116" s="246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248" t="str">
        <f>"https://d0f6bd738d7f1b3e5a7ca70fe4ff75f0.us-east-1.aws.found.io/app/kibana#/discover/Steve-Slow-Train-Analysis-(2080s-and-2083s)?_g="&amp;"(refreshInterval:(display:Off,pause:!f,section:0,value:0),time:(from:'"&amp;TEXT(E116-1/24,"yyyy-MM-DDThh:mm:ss")&amp;utc_offset&amp;"00"&amp;"',mode:absolute,to:'"&amp;TEXT(I116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116&amp;"%22')),sort:!(Time.ISO8601,asc))"</f>
        <v>https://d0f6bd738d7f1b3e5a7ca70fe4ff75f0.us-east-1.aws.found.io/app/kibana#/discover/Steve-Slow-Train-Analysis-(2080s-and-2083s)?_g=(refreshInterval:(display:Off,pause:!f,section:0,value:0),time:(from:'2018-01-06T16:08:46-0700',mode:absolute,to:'2018-01-06T18:48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16" s="247" t="str">
        <f>IF(AA116&lt;VLOOKUP(AG116,Variables!$AC$3:$AD$8,2,FALSE),"Y","N")</f>
        <v>N</v>
      </c>
      <c r="X116" s="247">
        <f>VALUE(LEFT(AD116,4))-VALUE(LEFT(AD115,4))</f>
        <v>1</v>
      </c>
      <c r="Y116" s="247">
        <f>RIGHT(D116,LEN(D116)-4)/10000</f>
        <v>23.289000000000001</v>
      </c>
      <c r="Z116" s="247">
        <f>RIGHT(H116,LEN(H116)-4)/10000</f>
        <v>2.12E-2</v>
      </c>
      <c r="AA116" s="247">
        <f>ABS(Z116-Y116)</f>
        <v>23.267800000000001</v>
      </c>
      <c r="AB116" s="233" t="e">
        <f>VLOOKUP(A116,Enforcements!$C$7:$K$9,8,0)</f>
        <v>#N/A</v>
      </c>
      <c r="AC116" s="232" t="e">
        <f>VLOOKUP(A116,Enforcements!$C$7:$E$9,3,0)</f>
        <v>#N/A</v>
      </c>
      <c r="AD116" s="243">
        <f>VALUE(LEFT(A116,LEN(A116)-3))</f>
        <v>202</v>
      </c>
      <c r="AE116" s="235" t="str">
        <f>"aws s3 cp "&amp;s3_bucket&amp;"/RTDC"&amp;B116&amp;"/ "&amp;search_path&amp;"\RTDC"&amp;B116&amp;"\"&amp;TEXT(F116,"YYYY-MM-DD")&amp;" --exclude ""*"" --recursive --include ""*"&amp;TEXT(F116,"YYYYMMDD")&amp;"*"" &amp; """&amp;walkandungz&amp;""" "&amp;search_path&amp;"\RTDC"&amp;B116&amp;"\"&amp;TEXT(F116,"YYYY-MM-DD")
&amp;" &amp; "&amp;"aws s3 cp "&amp;s3_bucket&amp;"/RTDC"&amp;B116&amp;"/ "&amp;search_path&amp;"\RTDC"&amp;B116&amp;"\"&amp;TEXT(F116+1,"YYYY-MM-DD")&amp;" --exclude ""*"" --recursive --include ""*"&amp;TEXT(F116+1,"YYYYMMDD")&amp;"*"" &amp; """&amp;walkandungz&amp;""" "&amp;search_path&amp;"\RTDC"&amp;B116&amp;"\"&amp;TEXT(F116+1,"YYYY-MM-DD")</f>
        <v>aws s3 cp s3://rtdc.mdm.uploadarchive.raw/RTDC4059/ "%USERPROFILE%\AppData\Local\Temp\OnboardLogs"\RTDC4059\2018-01-06 --exclude "*" --recursive --include "*20180106*" &amp; "%USERPROFILE%\Documents\GitHub\mrs-test-scripts\Headless Mode &amp; Sideloading\WalkAndUnGZ.bat" "%USERPROFILE%\AppData\Local\Temp\OnboardLogs"\RTDC4059\2018-01-06 &amp; aws s3 cp s3://rtdc.mdm.uploadarchive.raw/RTDC4059/ "%USERPROFILE%\AppData\Local\Temp\OnboardLogs"\RTDC4059\2018-01-07 --exclude "*" --recursive --include "*20180107*" &amp; "%USERPROFILE%\Documents\GitHub\mrs-test-scripts\Headless Mode &amp; Sideloading\WalkAndUnGZ.bat" "%USERPROFILE%\AppData\Local\Temp\OnboardLogs"\RTDC4059\2018-01-07</v>
      </c>
      <c r="AF116" s="234" t="str">
        <f>astrogrep_path&amp;" /e /r /s /spath="&amp;search_path&amp;" /stypes=""app*"&amp;B116&amp;"*"&amp;TEXT(I116-utc_offset/24,"YYYYMMDD")&amp;"*"" /stext="" "&amp;TEXT(I116-utc_offset/24,"HH")&amp;search_regexp&amp;""""</f>
        <v>"C:\Program Files (x86)\AstroGrep\AstroGrep.exe" /e /r /s /spath="%USERPROFILE%\AppData\Local\Temp\OnboardLogs" /stypes="app*4059*20180107*" /stext=" 00:.+((SYSTEM_STATE.+slice.+state.+changed )|(ment ac)|(multiple cpu faults)|(system.+state.+changed )|(\[timeout)|(PRM\|1\|D)|(kpr)|(kdp)|(train st.+moving)|(\|lc)|(penalty))"</v>
      </c>
      <c r="AG116" s="244" t="str">
        <f>DetSubdiv(A116)</f>
        <v>EC</v>
      </c>
      <c r="AH116" s="236" t="str">
        <f t="shared" si="10"/>
        <v>"%USERPROFILE%\Documents\GitHub\eaglep3\Utilities\RefineRTDCRunTimes.py" --tripid 202-06 --locoid 4059 --swversion DE.1.0.9.0 --startMP 204:232890 --initTime 2018-01-06T17:08:46 --startdatetime 2018-01-06T17:12:17 --delay 48 --endMP 204:212 --enddatetime 2018-01-06T17:48:08 --enforcementcount 0 &gt;&gt;%USERPROFILE%\Documents\GitHub\eaglep3-reporting\EC\2018-01-06-refined-times.txt</v>
      </c>
      <c r="AI116" s="238" t="str">
        <f t="shared" si="11"/>
        <v>echo {"issue":{"subject":"","project_id":79,"tracker_id":40,"status_id":1,"priority_id":2,"assigned_to_id":338,"start_date":"2018-01-06","description":"","custom_fields":[{"id":1,"name":"Subdivision","value":"EC"},{"id":4,"name":"Milepost","value":"0.0212"},{"id":17,"name":"Train ID","value":"202-06"},{"id":16,"name":"Locomotive ID","value":"4059"},{"id":130,"name":"Impact","value":""},{"id":150,"name":"Time of Event (Mountain Time)","value":"17:48:08"},{"id":151,"name":"Denver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6" s="223"/>
      <c r="AK116" s="231"/>
      <c r="AL116" s="231"/>
      <c r="AM116" s="240" t="str">
        <f t="shared" si="12"/>
        <v>start /low /b %USERPROFILE%\Documents\GitHub\eaglep3\Utilities\DownloadLogsFromS3.py --loco 4059 --day 2018-01-06</v>
      </c>
      <c r="AN116" s="241" t="str">
        <f t="shared" si="13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00:48:08"},{"id":29,"name":"Sharepoint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 s="230" t="str">
        <f t="shared" si="14"/>
        <v>https://d0f6bd738d7f1b3e5a7ca70fe4ff75f0.us-east-1.aws.found.io/app/kibana#/discover/Steve-Slow-Train-Analysis-(2080s-and-2083s)?_g=(refreshInterval:(display:Off,pause:!f,section:0,value:0),time:(from:'2018-01-06T16:08:46-0700',mode:absolute,to:'2018-01-06T18:48:08-0700'))&amp;_a=(columns:!('Message%20ID',Summary),filters:!(),index:'emp_*',interval:auto,query:(query_string:(analyze_wildcard:!t,query:'%22rtdc.l.rtdc.4059%22')),sort:!(Time.ISO8601,asc))</v>
      </c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23" customFormat="1" x14ac:dyDescent="0.3">
      <c r="A117" s="229" t="s">
        <v>829</v>
      </c>
      <c r="B117" s="225">
        <v>4030</v>
      </c>
      <c r="C117" s="227" t="s">
        <v>192</v>
      </c>
      <c r="D117" s="227" t="s">
        <v>481</v>
      </c>
      <c r="E117" s="226">
        <v>43106.685995370368</v>
      </c>
      <c r="F117" s="226">
        <v>43106.687858796293</v>
      </c>
      <c r="G117" s="225">
        <v>54</v>
      </c>
      <c r="H117" s="227" t="s">
        <v>974</v>
      </c>
      <c r="I117" s="226">
        <v>43106.713958333334</v>
      </c>
      <c r="J117" s="225">
        <v>0</v>
      </c>
      <c r="K117" s="237" t="str">
        <f>IF(ISEVEN(B117),(B117-1)&amp;"/"&amp;B117,B117&amp;"/"&amp;(B117+1))</f>
        <v>4029/4030</v>
      </c>
      <c r="L117" s="245" t="str">
        <f>VLOOKUP(A117,'Trips&amp;Operators'!$C$1:$G$99911,5,FALSE)</f>
        <v>DAVIS MICHAEL</v>
      </c>
      <c r="M117" s="224">
        <f>I117-F117</f>
        <v>2.6099537040863652E-2</v>
      </c>
      <c r="N117" s="225">
        <f>24*60*SUM($M117:$M117)</f>
        <v>37.583333338843659</v>
      </c>
      <c r="O117" s="225"/>
      <c r="P117" s="225"/>
      <c r="Q117" s="228"/>
      <c r="R117" s="242"/>
      <c r="S117" s="249">
        <f>1/IF(AG117="EC",12,1)*SUM(U117:U117)</f>
        <v>1</v>
      </c>
      <c r="T117" s="242" t="str">
        <f>IF(ISEVEN(LEFT(AD117,4)),"Southbound","NorthBound")</f>
        <v>NorthBound</v>
      </c>
      <c r="U117" s="246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248" t="str">
        <f>"https://d0f6bd738d7f1b3e5a7ca70fe4ff75f0.us-east-1.aws.found.io/app/kibana#/discover/Steve-Slow-Train-Analysis-(2080s-and-2083s)?_g="&amp;"(refreshInterval:(display:Off,pause:!f,section:0,value:0),time:(from:'"&amp;TEXT(E117-1/24,"yyyy-MM-DDThh:mm:ss")&amp;utc_offset&amp;"00"&amp;"',mode:absolute,to:'"&amp;TEXT(I117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117&amp;"%22')),sort:!(Time.ISO8601,asc))"</f>
        <v>https://d0f6bd738d7f1b3e5a7ca70fe4ff75f0.us-east-1.aws.found.io/app/kibana#/discover/Steve-Slow-Train-Analysis-(2080s-and-2083s)?_g=(refreshInterval:(display:Off,pause:!f,section:0,value:0),time:(from:'2018-01-06T15:27:50-0700',mode:absolute,to:'2018-01-06T18:08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17" s="247" t="str">
        <f>IF(AA117&lt;VLOOKUP(AG117,Variables!$AC$3:$AD$8,2,FALSE),"Y","N")</f>
        <v>N</v>
      </c>
      <c r="X117" s="247">
        <f>VALUE(LEFT(AD117,4))-VALUE(LEFT(AD116,4))</f>
        <v>1</v>
      </c>
      <c r="Y117" s="247">
        <f>RIGHT(D117,LEN(D117)-4)/10000</f>
        <v>5.1700000000000003E-2</v>
      </c>
      <c r="Z117" s="247">
        <f>RIGHT(H117,LEN(H117)-4)/10000</f>
        <v>23.331900000000001</v>
      </c>
      <c r="AA117" s="247">
        <f>ABS(Z117-Y117)</f>
        <v>23.280200000000001</v>
      </c>
      <c r="AB117" s="233" t="e">
        <f>VLOOKUP(A117,Enforcements!$C$7:$K$9,8,0)</f>
        <v>#N/A</v>
      </c>
      <c r="AC117" s="232" t="e">
        <f>VLOOKUP(A117,Enforcements!$C$7:$E$9,3,0)</f>
        <v>#N/A</v>
      </c>
      <c r="AD117" s="243">
        <f>VALUE(LEFT(A117,LEN(A117)-3))</f>
        <v>203</v>
      </c>
      <c r="AE117" s="235" t="str">
        <f>"aws s3 cp "&amp;s3_bucket&amp;"/RTDC"&amp;B117&amp;"/ "&amp;search_path&amp;"\RTDC"&amp;B117&amp;"\"&amp;TEXT(F117,"YYYY-MM-DD")&amp;" --exclude ""*"" --recursive --include ""*"&amp;TEXT(F117,"YYYYMMDD")&amp;"*"" &amp; """&amp;walkandungz&amp;""" "&amp;search_path&amp;"\RTDC"&amp;B117&amp;"\"&amp;TEXT(F117,"YYYY-MM-DD")
&amp;" &amp; "&amp;"aws s3 cp "&amp;s3_bucket&amp;"/RTDC"&amp;B117&amp;"/ "&amp;search_path&amp;"\RTDC"&amp;B117&amp;"\"&amp;TEXT(F117+1,"YYYY-MM-DD")&amp;" --exclude ""*"" --recursive --include ""*"&amp;TEXT(F117+1,"YYYYMMDD")&amp;"*"" &amp; """&amp;walkandungz&amp;""" "&amp;search_path&amp;"\RTDC"&amp;B117&amp;"\"&amp;TEXT(F117+1,"YYYY-MM-DD")</f>
        <v>aws s3 cp s3://rtdc.mdm.uploadarchive.raw/RTDC4030/ "%USERPROFILE%\AppData\Local\Temp\OnboardLogs"\RTDC4030\2018-01-06 --exclude "*" --recursive --include "*20180106*" &amp; "%USERPROFILE%\Documents\GitHub\mrs-test-scripts\Headless Mode &amp; Sideloading\WalkAndUnGZ.bat" "%USERPROFILE%\AppData\Local\Temp\OnboardLogs"\RTDC4030\2018-01-06 &amp; aws s3 cp s3://rtdc.mdm.uploadarchive.raw/RTDC4030/ "%USERPROFILE%\AppData\Local\Temp\OnboardLogs"\RTDC4030\2018-01-07 --exclude "*" --recursive --include "*20180107*" &amp; "%USERPROFILE%\Documents\GitHub\mrs-test-scripts\Headless Mode &amp; Sideloading\WalkAndUnGZ.bat" "%USERPROFILE%\AppData\Local\Temp\OnboardLogs"\RTDC4030\2018-01-07</v>
      </c>
      <c r="AF117" s="234" t="str">
        <f>astrogrep_path&amp;" /e /r /s /spath="&amp;search_path&amp;" /stypes=""app*"&amp;B117&amp;"*"&amp;TEXT(I117-utc_offset/24,"YYYYMMDD")&amp;"*"" /stext="" "&amp;TEXT(I117-utc_offset/24,"HH")&amp;search_regexp&amp;""""</f>
        <v>"C:\Program Files (x86)\AstroGrep\AstroGrep.exe" /e /r /s /spath="%USERPROFILE%\AppData\Local\Temp\OnboardLogs" /stypes="app*4030*20180107*" /stext=" 00:.+((SYSTEM_STATE.+slice.+state.+changed )|(ment ac)|(multiple cpu faults)|(system.+state.+changed )|(\[timeout)|(PRM\|1\|D)|(kpr)|(kdp)|(train st.+moving)|(\|lc)|(penalty))"</v>
      </c>
      <c r="AG117" s="244" t="str">
        <f>DetSubdiv(A117)</f>
        <v>EC</v>
      </c>
      <c r="AH117" s="236" t="str">
        <f t="shared" si="10"/>
        <v>"%USERPROFILE%\Documents\GitHub\eaglep3\Utilities\RefineRTDCRunTimes.py" --tripid 203-06 --locoid 4030 --swversion DE.1.0.9.0 --startMP 204:517 --initTime 2018-01-06T16:27:50 --startdatetime 2018-01-06T16:30:31 --delay 54 --endMP 204:233319 --enddatetime 2018-01-06T17:08:06 --enforcementcount 0 &gt;&gt;%USERPROFILE%\Documents\GitHub\eaglep3-reporting\EC\2018-01-06-refined-times.txt</v>
      </c>
      <c r="AI117" s="238" t="str">
        <f t="shared" si="11"/>
        <v>echo {"issue":{"subject":"","project_id":79,"tracker_id":40,"status_id":1,"priority_id":2,"assigned_to_id":338,"start_date":"2018-01-06","description":"","custom_fields":[{"id":1,"name":"Subdivision","value":"EC"},{"id":4,"name":"Milepost","value":"23.3319"},{"id":17,"name":"Train ID","value":"203-06"},{"id":16,"name":"Locomotive ID","value":"4030"},{"id":130,"name":"Impact","value":""},{"id":150,"name":"Time of Event (Mountain Time)","value":"17:08:06"},{"id":151,"name":"Denver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7" s="231"/>
      <c r="AL117" s="231"/>
      <c r="AM117" s="240" t="str">
        <f t="shared" si="12"/>
        <v>start /low /b %USERPROFILE%\Documents\GitHub\eaglep3\Utilities\DownloadLogsFromS3.py --loco 4030 --day 2018-01-06</v>
      </c>
      <c r="AN117" s="241" t="str">
        <f t="shared" si="13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00:08:06"},{"id":29,"name":"Sharepoint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 s="230" t="str">
        <f t="shared" si="14"/>
        <v>https://d0f6bd738d7f1b3e5a7ca70fe4ff75f0.us-east-1.aws.found.io/app/kibana#/discover/Steve-Slow-Train-Analysis-(2080s-and-2083s)?_g=(refreshInterval:(display:Off,pause:!f,section:0,value:0),time:(from:'2018-01-06T15:27:50-0700',mode:absolute,to:'2018-01-06T18:08:06-0700'))&amp;_a=(columns:!('Message%20ID',Summary),filters:!(),index:'emp_*',interval:auto,query:(query_string:(analyze_wildcard:!t,query:'%22rtdc.l.rtdc.4030%22')),sort:!(Time.ISO8601,asc))</v>
      </c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23" customFormat="1" x14ac:dyDescent="0.3">
      <c r="A118" s="229" t="s">
        <v>839</v>
      </c>
      <c r="B118" s="225">
        <v>4029</v>
      </c>
      <c r="C118" s="227" t="s">
        <v>192</v>
      </c>
      <c r="D118" s="227" t="s">
        <v>493</v>
      </c>
      <c r="E118" s="226">
        <v>43106.724502314813</v>
      </c>
      <c r="F118" s="226">
        <v>43106.727453703701</v>
      </c>
      <c r="G118" s="225">
        <v>59</v>
      </c>
      <c r="H118" s="227" t="s">
        <v>633</v>
      </c>
      <c r="I118" s="226">
        <v>43106.755601851852</v>
      </c>
      <c r="J118" s="225">
        <v>0</v>
      </c>
      <c r="K118" s="237" t="str">
        <f>IF(ISEVEN(B118),(B118-1)&amp;"/"&amp;B118,B118&amp;"/"&amp;(B118+1))</f>
        <v>4029/4030</v>
      </c>
      <c r="L118" s="245" t="str">
        <f>VLOOKUP(A118,'Trips&amp;Operators'!$C$1:$G$99911,5,FALSE)</f>
        <v>DAVIS MICHAEL</v>
      </c>
      <c r="M118" s="224">
        <f>I118-F118</f>
        <v>2.8148148150648922E-2</v>
      </c>
      <c r="N118" s="225">
        <f>24*60*SUM($M118:$M118)</f>
        <v>40.533333336934447</v>
      </c>
      <c r="O118" s="225"/>
      <c r="P118" s="225"/>
      <c r="Q118" s="228"/>
      <c r="R118" s="242"/>
      <c r="S118" s="249">
        <f>1/IF(AG118="EC",12,1)*SUM(U118:U118)</f>
        <v>1</v>
      </c>
      <c r="T118" s="242" t="str">
        <f>IF(ISEVEN(LEFT(AD118,4)),"Southbound","NorthBound")</f>
        <v>Southbound</v>
      </c>
      <c r="U118" s="246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248" t="str">
        <f>"https://d0f6bd738d7f1b3e5a7ca70fe4ff75f0.us-east-1.aws.found.io/app/kibana#/discover/Steve-Slow-Train-Analysis-(2080s-and-2083s)?_g="&amp;"(refreshInterval:(display:Off,pause:!f,section:0,value:0),time:(from:'"&amp;TEXT(E118-1/24,"yyyy-MM-DDThh:mm:ss")&amp;utc_offset&amp;"00"&amp;"',mode:absolute,to:'"&amp;TEXT(I118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118&amp;"%22')),sort:!(Time.ISO8601,asc))"</f>
        <v>https://d0f6bd738d7f1b3e5a7ca70fe4ff75f0.us-east-1.aws.found.io/app/kibana#/discover/Steve-Slow-Train-Analysis-(2080s-and-2083s)?_g=(refreshInterval:(display:Off,pause:!f,section:0,value:0),time:(from:'2018-01-06T16:23:17-0700',mode:absolute,to:'2018-01-06T19:08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18" s="247" t="str">
        <f>IF(AA118&lt;VLOOKUP(AG118,Variables!$AC$3:$AD$8,2,FALSE),"Y","N")</f>
        <v>N</v>
      </c>
      <c r="X118" s="247">
        <f>VALUE(LEFT(AD118,4))-VALUE(LEFT(AD117,4))</f>
        <v>1</v>
      </c>
      <c r="Y118" s="247">
        <f>RIGHT(D118,LEN(D118)-4)/10000</f>
        <v>23.297699999999999</v>
      </c>
      <c r="Z118" s="247">
        <f>RIGHT(H118,LEN(H118)-4)/10000</f>
        <v>2.3400000000000001E-2</v>
      </c>
      <c r="AA118" s="247">
        <f>ABS(Z118-Y118)</f>
        <v>23.2743</v>
      </c>
      <c r="AB118" s="233" t="e">
        <f>VLOOKUP(A118,Enforcements!$C$7:$K$9,8,0)</f>
        <v>#N/A</v>
      </c>
      <c r="AC118" s="232" t="e">
        <f>VLOOKUP(A118,Enforcements!$C$7:$E$9,3,0)</f>
        <v>#N/A</v>
      </c>
      <c r="AD118" s="243">
        <f>VALUE(LEFT(A118,LEN(A118)-3))</f>
        <v>204</v>
      </c>
      <c r="AE118" s="235" t="str">
        <f>"aws s3 cp "&amp;s3_bucket&amp;"/RTDC"&amp;B118&amp;"/ "&amp;search_path&amp;"\RTDC"&amp;B118&amp;"\"&amp;TEXT(F118,"YYYY-MM-DD")&amp;" --exclude ""*"" --recursive --include ""*"&amp;TEXT(F118,"YYYYMMDD")&amp;"*"" &amp; """&amp;walkandungz&amp;""" "&amp;search_path&amp;"\RTDC"&amp;B118&amp;"\"&amp;TEXT(F118,"YYYY-MM-DD")
&amp;" &amp; "&amp;"aws s3 cp "&amp;s3_bucket&amp;"/RTDC"&amp;B118&amp;"/ "&amp;search_path&amp;"\RTDC"&amp;B118&amp;"\"&amp;TEXT(F118+1,"YYYY-MM-DD")&amp;" --exclude ""*"" --recursive --include ""*"&amp;TEXT(F118+1,"YYYYMMDD")&amp;"*"" &amp; """&amp;walkandungz&amp;""" "&amp;search_path&amp;"\RTDC"&amp;B118&amp;"\"&amp;TEXT(F118+1,"YYYY-MM-DD")</f>
        <v>aws s3 cp s3://rtdc.mdm.uploadarchive.raw/RTDC4029/ "%USERPROFILE%\AppData\Local\Temp\OnboardLogs"\RTDC4029\2018-01-06 --exclude "*" --recursive --include "*20180106*" &amp; "%USERPROFILE%\Documents\GitHub\mrs-test-scripts\Headless Mode &amp; Sideloading\WalkAndUnGZ.bat" "%USERPROFILE%\AppData\Local\Temp\OnboardLogs"\RTDC4029\2018-01-06 &amp; aws s3 cp s3://rtdc.mdm.uploadarchive.raw/RTDC4029/ "%USERPROFILE%\AppData\Local\Temp\OnboardLogs"\RTDC4029\2018-01-07 --exclude "*" --recursive --include "*20180107*" &amp; "%USERPROFILE%\Documents\GitHub\mrs-test-scripts\Headless Mode &amp; Sideloading\WalkAndUnGZ.bat" "%USERPROFILE%\AppData\Local\Temp\OnboardLogs"\RTDC4029\2018-01-07</v>
      </c>
      <c r="AF118" s="234" t="str">
        <f>astrogrep_path&amp;" /e /r /s /spath="&amp;search_path&amp;" /stypes=""app*"&amp;B118&amp;"*"&amp;TEXT(I118-utc_offset/24,"YYYYMMDD")&amp;"*"" /stext="" "&amp;TEXT(I118-utc_offset/24,"HH")&amp;search_regexp&amp;""""</f>
        <v>"C:\Program Files (x86)\AstroGrep\AstroGrep.exe" /e /r /s /spath="%USERPROFILE%\AppData\Local\Temp\OnboardLogs" /stypes="app*4029*20180107*" /stext=" 01:.+((SYSTEM_STATE.+slice.+state.+changed )|(ment ac)|(multiple cpu faults)|(system.+state.+changed )|(\[timeout)|(PRM\|1\|D)|(kpr)|(kdp)|(train st.+moving)|(\|lc)|(penalty))"</v>
      </c>
      <c r="AG118" s="244" t="str">
        <f>DetSubdiv(A118)</f>
        <v>EC</v>
      </c>
      <c r="AH118" s="236" t="str">
        <f t="shared" si="10"/>
        <v>"%USERPROFILE%\Documents\GitHub\eaglep3\Utilities\RefineRTDCRunTimes.py" --tripid 204-06 --locoid 4029 --swversion DE.1.0.9.0 --startMP 204:232977 --initTime 2018-01-06T17:23:17 --startdatetime 2018-01-06T17:27:32 --delay 59 --endMP 204:234 --enddatetime 2018-01-06T18:08:04 --enforcementcount 0 &gt;&gt;%USERPROFILE%\Documents\GitHub\eaglep3-reporting\EC\2018-01-06-refined-times.txt</v>
      </c>
      <c r="AI118" s="238" t="str">
        <f t="shared" si="11"/>
        <v>echo {"issue":{"subject":"","project_id":79,"tracker_id":40,"status_id":1,"priority_id":2,"assigned_to_id":338,"start_date":"2018-01-06","description":"","custom_fields":[{"id":1,"name":"Subdivision","value":"EC"},{"id":4,"name":"Milepost","value":"0.0234"},{"id":17,"name":"Train ID","value":"204-06"},{"id":16,"name":"Locomotive ID","value":"4029"},{"id":130,"name":"Impact","value":""},{"id":150,"name":"Time of Event (Mountain Time)","value":"18:08:04"},{"id":151,"name":"Denver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8" s="231"/>
      <c r="AL118" s="231"/>
      <c r="AM118" s="240" t="str">
        <f t="shared" si="12"/>
        <v>start /low /b %USERPROFILE%\Documents\GitHub\eaglep3\Utilities\DownloadLogsFromS3.py --loco 4029 --day 2018-01-06</v>
      </c>
      <c r="AN118" s="241" t="str">
        <f t="shared" si="13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01:08:04"},{"id":29,"name":"Sharepoint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 s="230" t="str">
        <f t="shared" si="14"/>
        <v>https://d0f6bd738d7f1b3e5a7ca70fe4ff75f0.us-east-1.aws.found.io/app/kibana#/discover/Steve-Slow-Train-Analysis-(2080s-and-2083s)?_g=(refreshInterval:(display:Off,pause:!f,section:0,value:0),time:(from:'2018-01-06T16:23:17-0700',mode:absolute,to:'2018-01-06T19:08:04-0700'))&amp;_a=(columns:!('Message%20ID',Summary),filters:!(),index:'emp_*',interval:auto,query:(query_string:(analyze_wildcard:!t,query:'%22rtdc.l.rtdc.4029%22')),sort:!(Time.ISO8601,asc))</v>
      </c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3">
      <c r="A119" s="229" t="s">
        <v>831</v>
      </c>
      <c r="B119" s="225">
        <v>4012</v>
      </c>
      <c r="C119" s="227" t="s">
        <v>192</v>
      </c>
      <c r="D119" s="227" t="s">
        <v>486</v>
      </c>
      <c r="E119" s="226">
        <v>43106.692361111112</v>
      </c>
      <c r="F119" s="226">
        <v>43106.698182870372</v>
      </c>
      <c r="G119" s="225">
        <v>78</v>
      </c>
      <c r="H119" s="227" t="s">
        <v>616</v>
      </c>
      <c r="I119" s="226">
        <v>43106.723217592589</v>
      </c>
      <c r="J119" s="225">
        <v>0</v>
      </c>
      <c r="K119" s="237" t="str">
        <f>IF(ISEVEN(B119),(B119-1)&amp;"/"&amp;B119,B119&amp;"/"&amp;(B119+1))</f>
        <v>4011/4012</v>
      </c>
      <c r="L119" s="245" t="str">
        <f>VLOOKUP(A119,'Trips&amp;Operators'!$C$1:$G$99911,5,FALSE)</f>
        <v>SAFIEF AEIMEN</v>
      </c>
      <c r="M119" s="224">
        <f>I119-F119</f>
        <v>2.5034722217242233E-2</v>
      </c>
      <c r="N119" s="225">
        <f>24*60*SUM($M119:$M119)</f>
        <v>36.049999992828816</v>
      </c>
      <c r="O119" s="225"/>
      <c r="P119" s="225"/>
      <c r="Q119" s="228"/>
      <c r="R119" s="242"/>
      <c r="S119" s="249">
        <f>1/IF(AG119="EC",12,1)*SUM(U119:U119)</f>
        <v>1</v>
      </c>
      <c r="T119" s="242" t="str">
        <f>IF(ISEVEN(LEFT(AD119,4)),"Southbound","NorthBound")</f>
        <v>NorthBound</v>
      </c>
      <c r="U119" s="246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248" t="str">
        <f>"https://d0f6bd738d7f1b3e5a7ca70fe4ff75f0.us-east-1.aws.found.io/app/kibana#/discover/Steve-Slow-Train-Analysis-(2080s-and-2083s)?_g="&amp;"(refreshInterval:(display:Off,pause:!f,section:0,value:0),time:(from:'"&amp;TEXT(E119-1/24,"yyyy-MM-DDThh:mm:ss")&amp;utc_offset&amp;"00"&amp;"',mode:absolute,to:'"&amp;TEXT(I119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119&amp;"%22')),sort:!(Time.ISO8601,asc))"</f>
        <v>https://d0f6bd738d7f1b3e5a7ca70fe4ff75f0.us-east-1.aws.found.io/app/kibana#/discover/Steve-Slow-Train-Analysis-(2080s-and-2083s)?_g=(refreshInterval:(display:Off,pause:!f,section:0,value:0),time:(from:'2018-01-06T15:37:00-0700',mode:absolute,to:'2018-01-06T18:21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19" s="247" t="str">
        <f>IF(AA119&lt;VLOOKUP(AG119,Variables!$AC$3:$AD$8,2,FALSE),"Y","N")</f>
        <v>N</v>
      </c>
      <c r="X119" s="247">
        <f>VALUE(LEFT(AD119,4))-VALUE(LEFT(AD118,4))</f>
        <v>1</v>
      </c>
      <c r="Y119" s="247">
        <f>RIGHT(D119,LEN(D119)-4)/10000</f>
        <v>4.9700000000000001E-2</v>
      </c>
      <c r="Z119" s="247">
        <f>RIGHT(H119,LEN(H119)-4)/10000</f>
        <v>23.328800000000001</v>
      </c>
      <c r="AA119" s="247">
        <f>ABS(Z119-Y119)</f>
        <v>23.2791</v>
      </c>
      <c r="AB119" s="233" t="e">
        <f>VLOOKUP(A119,Enforcements!$C$7:$K$9,8,0)</f>
        <v>#N/A</v>
      </c>
      <c r="AC119" s="232" t="e">
        <f>VLOOKUP(A119,Enforcements!$C$7:$E$9,3,0)</f>
        <v>#N/A</v>
      </c>
      <c r="AD119" s="243">
        <f>VALUE(LEFT(A119,LEN(A119)-3))</f>
        <v>205</v>
      </c>
      <c r="AE119" s="235" t="str">
        <f>"aws s3 cp "&amp;s3_bucket&amp;"/RTDC"&amp;B119&amp;"/ "&amp;search_path&amp;"\RTDC"&amp;B119&amp;"\"&amp;TEXT(F119,"YYYY-MM-DD")&amp;" --exclude ""*"" --recursive --include ""*"&amp;TEXT(F119,"YYYYMMDD")&amp;"*"" &amp; """&amp;walkandungz&amp;""" "&amp;search_path&amp;"\RTDC"&amp;B119&amp;"\"&amp;TEXT(F119,"YYYY-MM-DD")
&amp;" &amp; "&amp;"aws s3 cp "&amp;s3_bucket&amp;"/RTDC"&amp;B119&amp;"/ "&amp;search_path&amp;"\RTDC"&amp;B119&amp;"\"&amp;TEXT(F119+1,"YYYY-MM-DD")&amp;" --exclude ""*"" --recursive --include ""*"&amp;TEXT(F119+1,"YYYYMMDD")&amp;"*"" &amp; """&amp;walkandungz&amp;""" "&amp;search_path&amp;"\RTDC"&amp;B119&amp;"\"&amp;TEXT(F119+1,"YYYY-MM-DD")</f>
        <v>aws s3 cp s3://rtdc.mdm.uploadarchive.raw/RTDC4012/ "%USERPROFILE%\AppData\Local\Temp\OnboardLogs"\RTDC4012\2018-01-06 --exclude "*" --recursive --include "*20180106*" &amp; "%USERPROFILE%\Documents\GitHub\mrs-test-scripts\Headless Mode &amp; Sideloading\WalkAndUnGZ.bat" "%USERPROFILE%\AppData\Local\Temp\OnboardLogs"\RTDC4012\2018-01-06 &amp; aws s3 cp s3://rtdc.mdm.uploadarchive.raw/RTDC4012/ "%USERPROFILE%\AppData\Local\Temp\OnboardLogs"\RTDC4012\2018-01-07 --exclude "*" --recursive --include "*20180107*" &amp; "%USERPROFILE%\Documents\GitHub\mrs-test-scripts\Headless Mode &amp; Sideloading\WalkAndUnGZ.bat" "%USERPROFILE%\AppData\Local\Temp\OnboardLogs"\RTDC4012\2018-01-07</v>
      </c>
      <c r="AF119" s="234" t="str">
        <f>astrogrep_path&amp;" /e /r /s /spath="&amp;search_path&amp;" /stypes=""app*"&amp;B119&amp;"*"&amp;TEXT(I119-utc_offset/24,"YYYYMMDD")&amp;"*"" /stext="" "&amp;TEXT(I119-utc_offset/24,"HH")&amp;search_regexp&amp;""""</f>
        <v>"C:\Program Files (x86)\AstroGrep\AstroGrep.exe" /e /r /s /spath="%USERPROFILE%\AppData\Local\Temp\OnboardLogs" /stypes="app*4012*20180107*" /stext=" 00:.+((SYSTEM_STATE.+slice.+state.+changed )|(ment ac)|(multiple cpu faults)|(system.+state.+changed )|(\[timeout)|(PRM\|1\|D)|(kpr)|(kdp)|(train st.+moving)|(\|lc)|(penalty))"</v>
      </c>
      <c r="AG119" s="244" t="str">
        <f>DetSubdiv(A119)</f>
        <v>EC</v>
      </c>
      <c r="AH119" s="236" t="str">
        <f t="shared" si="10"/>
        <v>"%USERPROFILE%\Documents\GitHub\eaglep3\Utilities\RefineRTDCRunTimes.py" --tripid 205-06 --locoid 4012 --swversion DE.1.0.9.0 --startMP 204:497 --initTime 2018-01-06T16:37:00 --startdatetime 2018-01-06T16:45:23 --delay 78 --endMP 204:233288 --enddatetime 2018-01-06T17:21:26 --enforcementcount 0 &gt;&gt;%USERPROFILE%\Documents\GitHub\eaglep3-reporting\EC\2018-01-06-refined-times.txt</v>
      </c>
      <c r="AI119" s="238" t="str">
        <f t="shared" si="11"/>
        <v>echo {"issue":{"subject":"","project_id":79,"tracker_id":40,"status_id":1,"priority_id":2,"assigned_to_id":338,"start_date":"2018-01-06","description":"","custom_fields":[{"id":1,"name":"Subdivision","value":"EC"},{"id":4,"name":"Milepost","value":"23.3288"},{"id":17,"name":"Train ID","value":"205-06"},{"id":16,"name":"Locomotive ID","value":"4012"},{"id":130,"name":"Impact","value":""},{"id":150,"name":"Time of Event (Mountain Time)","value":"17:21:26"},{"id":151,"name":"Denver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9" s="223"/>
      <c r="AK119" s="231"/>
      <c r="AL119" s="231"/>
      <c r="AM119" s="240" t="str">
        <f t="shared" si="12"/>
        <v>start /low /b %USERPROFILE%\Documents\GitHub\eaglep3\Utilities\DownloadLogsFromS3.py --loco 4012 --day 2018-01-06</v>
      </c>
      <c r="AN119" s="241" t="str">
        <f t="shared" si="13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00:21:26"},{"id":29,"name":"Sharepoint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 s="230" t="str">
        <f t="shared" si="14"/>
        <v>https://d0f6bd738d7f1b3e5a7ca70fe4ff75f0.us-east-1.aws.found.io/app/kibana#/discover/Steve-Slow-Train-Analysis-(2080s-and-2083s)?_g=(refreshInterval:(display:Off,pause:!f,section:0,value:0),time:(from:'2018-01-06T15:37:00-0700',mode:absolute,to:'2018-01-06T18:21:26-0700'))&amp;_a=(columns:!('Message%20ID',Summary),filters:!(),index:'emp_*',interval:auto,query:(query_string:(analyze_wildcard:!t,query:'%22rtdc.l.rtdc.4012%22')),sort:!(Time.ISO8601,asc))</v>
      </c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23" customFormat="1" x14ac:dyDescent="0.3">
      <c r="A120" s="229" t="s">
        <v>840</v>
      </c>
      <c r="B120" s="225">
        <v>4011</v>
      </c>
      <c r="C120" s="227" t="s">
        <v>192</v>
      </c>
      <c r="D120" s="227" t="s">
        <v>989</v>
      </c>
      <c r="E120" s="226">
        <v>43106.724791666667</v>
      </c>
      <c r="F120" s="226">
        <v>43106.737685185188</v>
      </c>
      <c r="G120" s="225">
        <v>72</v>
      </c>
      <c r="H120" s="227" t="s">
        <v>638</v>
      </c>
      <c r="I120" s="226">
        <v>43106.763831018521</v>
      </c>
      <c r="J120" s="225">
        <v>0</v>
      </c>
      <c r="K120" s="237" t="str">
        <f>IF(ISEVEN(B120),(B120-1)&amp;"/"&amp;B120,B120&amp;"/"&amp;(B120+1))</f>
        <v>4011/4012</v>
      </c>
      <c r="L120" s="245" t="str">
        <f>VLOOKUP(A120,'Trips&amp;Operators'!$C$1:$G$99911,5,FALSE)</f>
        <v>SAFIEF AEIMEN</v>
      </c>
      <c r="M120" s="224">
        <f>I120-F120</f>
        <v>2.6145833333430346E-2</v>
      </c>
      <c r="N120" s="225">
        <f>24*60*SUM($M120:$M120)</f>
        <v>37.650000000139698</v>
      </c>
      <c r="O120" s="225"/>
      <c r="P120" s="225"/>
      <c r="Q120" s="228"/>
      <c r="R120" s="242"/>
      <c r="S120" s="249">
        <f>1/IF(AG120="EC",12,1)*SUM(U120:U120)</f>
        <v>1</v>
      </c>
      <c r="T120" s="242" t="str">
        <f>IF(ISEVEN(LEFT(AD120,4)),"Southbound","NorthBound")</f>
        <v>Southbound</v>
      </c>
      <c r="U120" s="246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248" t="str">
        <f>"https://d0f6bd738d7f1b3e5a7ca70fe4ff75f0.us-east-1.aws.found.io/app/kibana#/discover/Steve-Slow-Train-Analysis-(2080s-and-2083s)?_g="&amp;"(refreshInterval:(display:Off,pause:!f,section:0,value:0),time:(from:'"&amp;TEXT(E120-1/24,"yyyy-MM-DDThh:mm:ss")&amp;utc_offset&amp;"00"&amp;"',mode:absolute,to:'"&amp;TEXT(I120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120&amp;"%22')),sort:!(Time.ISO8601,asc))"</f>
        <v>https://d0f6bd738d7f1b3e5a7ca70fe4ff75f0.us-east-1.aws.found.io/app/kibana#/discover/Steve-Slow-Train-Analysis-(2080s-and-2083s)?_g=(refreshInterval:(display:Off,pause:!f,section:0,value:0),time:(from:'2018-01-06T16:23:42-0700',mode:absolute,to:'2018-01-06T19:19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20" s="247" t="str">
        <f>IF(AA120&lt;VLOOKUP(AG120,Variables!$AC$3:$AD$8,2,FALSE),"Y","N")</f>
        <v>N</v>
      </c>
      <c r="X120" s="247">
        <f>VALUE(LEFT(AD120,4))-VALUE(LEFT(AD119,4))</f>
        <v>1</v>
      </c>
      <c r="Y120" s="247">
        <f>RIGHT(D120,LEN(D120)-4)/10000</f>
        <v>23.296099999999999</v>
      </c>
      <c r="Z120" s="247">
        <f>RIGHT(H120,LEN(H120)-4)/10000</f>
        <v>1.8499999999999999E-2</v>
      </c>
      <c r="AA120" s="247">
        <f>ABS(Z120-Y120)</f>
        <v>23.2776</v>
      </c>
      <c r="AB120" s="233" t="e">
        <f>VLOOKUP(A120,Enforcements!$C$7:$K$9,8,0)</f>
        <v>#N/A</v>
      </c>
      <c r="AC120" s="232" t="e">
        <f>VLOOKUP(A120,Enforcements!$C$7:$E$9,3,0)</f>
        <v>#N/A</v>
      </c>
      <c r="AD120" s="243">
        <f>VALUE(LEFT(A120,LEN(A120)-3))</f>
        <v>206</v>
      </c>
      <c r="AE120" s="235" t="str">
        <f>"aws s3 cp "&amp;s3_bucket&amp;"/RTDC"&amp;B120&amp;"/ "&amp;search_path&amp;"\RTDC"&amp;B120&amp;"\"&amp;TEXT(F120,"YYYY-MM-DD")&amp;" --exclude ""*"" --recursive --include ""*"&amp;TEXT(F120,"YYYYMMDD")&amp;"*"" &amp; """&amp;walkandungz&amp;""" "&amp;search_path&amp;"\RTDC"&amp;B120&amp;"\"&amp;TEXT(F120,"YYYY-MM-DD")
&amp;" &amp; "&amp;"aws s3 cp "&amp;s3_bucket&amp;"/RTDC"&amp;B120&amp;"/ "&amp;search_path&amp;"\RTDC"&amp;B120&amp;"\"&amp;TEXT(F120+1,"YYYY-MM-DD")&amp;" --exclude ""*"" --recursive --include ""*"&amp;TEXT(F120+1,"YYYYMMDD")&amp;"*"" &amp; """&amp;walkandungz&amp;""" "&amp;search_path&amp;"\RTDC"&amp;B120&amp;"\"&amp;TEXT(F120+1,"YYYY-MM-DD")</f>
        <v>aws s3 cp s3://rtdc.mdm.uploadarchive.raw/RTDC4011/ "%USERPROFILE%\AppData\Local\Temp\OnboardLogs"\RTDC4011\2018-01-06 --exclude "*" --recursive --include "*20180106*" &amp; "%USERPROFILE%\Documents\GitHub\mrs-test-scripts\Headless Mode &amp; Sideloading\WalkAndUnGZ.bat" "%USERPROFILE%\AppData\Local\Temp\OnboardLogs"\RTDC4011\2018-01-06 &amp; aws s3 cp s3://rtdc.mdm.uploadarchive.raw/RTDC4011/ "%USERPROFILE%\AppData\Local\Temp\OnboardLogs"\RTDC4011\2018-01-07 --exclude "*" --recursive --include "*20180107*" &amp; "%USERPROFILE%\Documents\GitHub\mrs-test-scripts\Headless Mode &amp; Sideloading\WalkAndUnGZ.bat" "%USERPROFILE%\AppData\Local\Temp\OnboardLogs"\RTDC4011\2018-01-07</v>
      </c>
      <c r="AF120" s="234" t="str">
        <f>astrogrep_path&amp;" /e /r /s /spath="&amp;search_path&amp;" /stypes=""app*"&amp;B120&amp;"*"&amp;TEXT(I120-utc_offset/24,"YYYYMMDD")&amp;"*"" /stext="" "&amp;TEXT(I120-utc_offset/24,"HH")&amp;search_regexp&amp;""""</f>
        <v>"C:\Program Files (x86)\AstroGrep\AstroGrep.exe" /e /r /s /spath="%USERPROFILE%\AppData\Local\Temp\OnboardLogs" /stypes="app*4011*20180107*" /stext=" 01:.+((SYSTEM_STATE.+slice.+state.+changed )|(ment ac)|(multiple cpu faults)|(system.+state.+changed )|(\[timeout)|(PRM\|1\|D)|(kpr)|(kdp)|(train st.+moving)|(\|lc)|(penalty))"</v>
      </c>
      <c r="AG120" s="244" t="str">
        <f>DetSubdiv(A120)</f>
        <v>EC</v>
      </c>
      <c r="AH120" s="236" t="str">
        <f t="shared" si="10"/>
        <v>"%USERPROFILE%\Documents\GitHub\eaglep3\Utilities\RefineRTDCRunTimes.py" --tripid 206-06 --locoid 4011 --swversion DE.1.0.9.0 --startMP 204:232961 --initTime 2018-01-06T17:23:42 --startdatetime 2018-01-06T17:42:16 --delay 72 --endMP 204:185 --enddatetime 2018-01-06T18:19:55 --enforcementcount 0 &gt;&gt;%USERPROFILE%\Documents\GitHub\eaglep3-reporting\EC\2018-01-06-refined-times.txt</v>
      </c>
      <c r="AI120" s="238" t="str">
        <f t="shared" si="11"/>
        <v>echo {"issue":{"subject":"","project_id":79,"tracker_id":40,"status_id":1,"priority_id":2,"assigned_to_id":338,"start_date":"2018-01-06","description":"","custom_fields":[{"id":1,"name":"Subdivision","value":"EC"},{"id":4,"name":"Milepost","value":"0.0185"},{"id":17,"name":"Train ID","value":"206-06"},{"id":16,"name":"Locomotive ID","value":"4011"},{"id":130,"name":"Impact","value":""},{"id":150,"name":"Time of Event (Mountain Time)","value":"18:19:55"},{"id":151,"name":"Denver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0" s="231"/>
      <c r="AL120" s="231"/>
      <c r="AM120" s="240" t="str">
        <f t="shared" si="12"/>
        <v>start /low /b %USERPROFILE%\Documents\GitHub\eaglep3\Utilities\DownloadLogsFromS3.py --loco 4011 --day 2018-01-06</v>
      </c>
      <c r="AN120" s="241" t="str">
        <f t="shared" si="13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01:19:55"},{"id":29,"name":"Sharepoint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 s="230" t="str">
        <f t="shared" si="14"/>
        <v>https://d0f6bd738d7f1b3e5a7ca70fe4ff75f0.us-east-1.aws.found.io/app/kibana#/discover/Steve-Slow-Train-Analysis-(2080s-and-2083s)?_g=(refreshInterval:(display:Off,pause:!f,section:0,value:0),time:(from:'2018-01-06T16:23:42-0700',mode:absolute,to:'2018-01-06T19:19:55-0700'))&amp;_a=(columns:!('Message%20ID',Summary),filters:!(),index:'emp_*',interval:auto,query:(query_string:(analyze_wildcard:!t,query:'%22rtdc.l.rtdc.4011%22')),sort:!(Time.ISO8601,asc))</v>
      </c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23" customFormat="1" x14ac:dyDescent="0.3">
      <c r="A121" s="229" t="s">
        <v>832</v>
      </c>
      <c r="B121" s="225">
        <v>4044</v>
      </c>
      <c r="C121" s="227" t="s">
        <v>192</v>
      </c>
      <c r="D121" s="227" t="s">
        <v>644</v>
      </c>
      <c r="E121" s="226">
        <v>43106.701967592591</v>
      </c>
      <c r="F121" s="226">
        <v>43106.708506944444</v>
      </c>
      <c r="G121" s="225">
        <v>73</v>
      </c>
      <c r="H121" s="227" t="s">
        <v>639</v>
      </c>
      <c r="I121" s="226">
        <v>43106.733738425923</v>
      </c>
      <c r="J121" s="225">
        <v>0</v>
      </c>
      <c r="K121" s="237" t="str">
        <f>IF(ISEVEN(B121),(B121-1)&amp;"/"&amp;B121,B121&amp;"/"&amp;(B121+1))</f>
        <v>4043/4044</v>
      </c>
      <c r="L121" s="245" t="str">
        <f>VLOOKUP(A121,'Trips&amp;Operators'!$C$1:$G$99911,5,FALSE)</f>
        <v>GUZMAN DANNY</v>
      </c>
      <c r="M121" s="224">
        <f>I121-F121</f>
        <v>2.5231481478840578E-2</v>
      </c>
      <c r="N121" s="225">
        <f>24*60*SUM($M121:$M121)</f>
        <v>36.333333329530433</v>
      </c>
      <c r="O121" s="225"/>
      <c r="P121" s="225"/>
      <c r="Q121" s="228"/>
      <c r="R121" s="242"/>
      <c r="S121" s="249">
        <f>1/IF(AG121="EC",12,1)*SUM(U121:U121)</f>
        <v>1</v>
      </c>
      <c r="T121" s="242" t="str">
        <f>IF(ISEVEN(LEFT(AD121,4)),"Southbound","NorthBound")</f>
        <v>NorthBound</v>
      </c>
      <c r="U121" s="246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248" t="str">
        <f>"https://d0f6bd738d7f1b3e5a7ca70fe4ff75f0.us-east-1.aws.found.io/app/kibana#/discover/Steve-Slow-Train-Analysis-(2080s-and-2083s)?_g="&amp;"(refreshInterval:(display:Off,pause:!f,section:0,value:0),time:(from:'"&amp;TEXT(E121-1/24,"yyyy-MM-DDThh:mm:ss")&amp;utc_offset&amp;"00"&amp;"',mode:absolute,to:'"&amp;TEXT(I121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121&amp;"%22')),sort:!(Time.ISO8601,asc))"</f>
        <v>https://d0f6bd738d7f1b3e5a7ca70fe4ff75f0.us-east-1.aws.found.io/app/kibana#/discover/Steve-Slow-Train-Analysis-(2080s-and-2083s)?_g=(refreshInterval:(display:Off,pause:!f,section:0,value:0),time:(from:'2018-01-06T15:50:50-0700',mode:absolute,to:'2018-01-06T18:36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21" s="247" t="str">
        <f>IF(AA121&lt;VLOOKUP(AG121,Variables!$AC$3:$AD$8,2,FALSE),"Y","N")</f>
        <v>N</v>
      </c>
      <c r="X121" s="247">
        <f>VALUE(LEFT(AD121,4))-VALUE(LEFT(AD120,4))</f>
        <v>1</v>
      </c>
      <c r="Y121" s="247">
        <f>RIGHT(D121,LEN(D121)-4)/10000</f>
        <v>5.57E-2</v>
      </c>
      <c r="Z121" s="247">
        <f>RIGHT(H121,LEN(H121)-4)/10000</f>
        <v>23.3338</v>
      </c>
      <c r="AA121" s="247">
        <f>ABS(Z121-Y121)</f>
        <v>23.278099999999998</v>
      </c>
      <c r="AB121" s="233" t="e">
        <f>VLOOKUP(A121,Enforcements!$C$7:$K$9,8,0)</f>
        <v>#N/A</v>
      </c>
      <c r="AC121" s="232" t="e">
        <f>VLOOKUP(A121,Enforcements!$C$7:$E$9,3,0)</f>
        <v>#N/A</v>
      </c>
      <c r="AD121" s="243">
        <f>VALUE(LEFT(A121,LEN(A121)-3))</f>
        <v>207</v>
      </c>
      <c r="AE121" s="235" t="str">
        <f>"aws s3 cp "&amp;s3_bucket&amp;"/RTDC"&amp;B121&amp;"/ "&amp;search_path&amp;"\RTDC"&amp;B121&amp;"\"&amp;TEXT(F121,"YYYY-MM-DD")&amp;" --exclude ""*"" --recursive --include ""*"&amp;TEXT(F121,"YYYYMMDD")&amp;"*"" &amp; """&amp;walkandungz&amp;""" "&amp;search_path&amp;"\RTDC"&amp;B121&amp;"\"&amp;TEXT(F121,"YYYY-MM-DD")
&amp;" &amp; "&amp;"aws s3 cp "&amp;s3_bucket&amp;"/RTDC"&amp;B121&amp;"/ "&amp;search_path&amp;"\RTDC"&amp;B121&amp;"\"&amp;TEXT(F121+1,"YYYY-MM-DD")&amp;" --exclude ""*"" --recursive --include ""*"&amp;TEXT(F121+1,"YYYYMMDD")&amp;"*"" &amp; """&amp;walkandungz&amp;""" "&amp;search_path&amp;"\RTDC"&amp;B121&amp;"\"&amp;TEXT(F121+1,"YYYY-MM-DD")</f>
        <v>aws s3 cp s3://rtdc.mdm.uploadarchive.raw/RTDC4044/ "%USERPROFILE%\AppData\Local\Temp\OnboardLogs"\RTDC4044\2018-01-06 --exclude "*" --recursive --include "*20180106*" &amp; "%USERPROFILE%\Documents\GitHub\mrs-test-scripts\Headless Mode &amp; Sideloading\WalkAndUnGZ.bat" "%USERPROFILE%\AppData\Local\Temp\OnboardLogs"\RTDC4044\2018-01-06 &amp; aws s3 cp s3://rtdc.mdm.uploadarchive.raw/RTDC4044/ "%USERPROFILE%\AppData\Local\Temp\OnboardLogs"\RTDC4044\2018-01-07 --exclude "*" --recursive --include "*20180107*" &amp; "%USERPROFILE%\Documents\GitHub\mrs-test-scripts\Headless Mode &amp; Sideloading\WalkAndUnGZ.bat" "%USERPROFILE%\AppData\Local\Temp\OnboardLogs"\RTDC4044\2018-01-07</v>
      </c>
      <c r="AF121" s="234" t="str">
        <f>astrogrep_path&amp;" /e /r /s /spath="&amp;search_path&amp;" /stypes=""app*"&amp;B121&amp;"*"&amp;TEXT(I121-utc_offset/24,"YYYYMMDD")&amp;"*"" /stext="" "&amp;TEXT(I121-utc_offset/24,"HH")&amp;search_regexp&amp;""""</f>
        <v>"C:\Program Files (x86)\AstroGrep\AstroGrep.exe" /e /r /s /spath="%USERPROFILE%\AppData\Local\Temp\OnboardLogs" /stypes="app*4044*20180107*" /stext=" 00:.+((SYSTEM_STATE.+slice.+state.+changed )|(ment ac)|(multiple cpu faults)|(system.+state.+changed )|(\[timeout)|(PRM\|1\|D)|(kpr)|(kdp)|(train st.+moving)|(\|lc)|(penalty))"</v>
      </c>
      <c r="AG121" s="244" t="str">
        <f>DetSubdiv(A121)</f>
        <v>EC</v>
      </c>
      <c r="AH121" s="236" t="str">
        <f t="shared" si="10"/>
        <v>"%USERPROFILE%\Documents\GitHub\eaglep3\Utilities\RefineRTDCRunTimes.py" --tripid 207-06 --locoid 4044 --swversion DE.1.0.9.0 --startMP 204:557 --initTime 2018-01-06T16:50:50 --startdatetime 2018-01-06T17:00:15 --delay 73 --endMP 204:233338 --enddatetime 2018-01-06T17:36:35 --enforcementcount 0 &gt;&gt;%USERPROFILE%\Documents\GitHub\eaglep3-reporting\EC\2018-01-06-refined-times.txt</v>
      </c>
      <c r="AI121" s="238" t="str">
        <f t="shared" si="11"/>
        <v>echo {"issue":{"subject":"","project_id":79,"tracker_id":40,"status_id":1,"priority_id":2,"assigned_to_id":338,"start_date":"2018-01-06","description":"","custom_fields":[{"id":1,"name":"Subdivision","value":"EC"},{"id":4,"name":"Milepost","value":"23.3338"},{"id":17,"name":"Train ID","value":"207-06"},{"id":16,"name":"Locomotive ID","value":"4044"},{"id":130,"name":"Impact","value":""},{"id":150,"name":"Time of Event (Mountain Time)","value":"17:36:35"},{"id":151,"name":"Denver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1" s="231"/>
      <c r="AL121" s="231"/>
      <c r="AM121" s="240" t="str">
        <f t="shared" si="12"/>
        <v>start /low /b %USERPROFILE%\Documents\GitHub\eaglep3\Utilities\DownloadLogsFromS3.py --loco 4044 --day 2018-01-06</v>
      </c>
      <c r="AN121" s="241" t="str">
        <f t="shared" si="13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00:36:35"},{"id":29,"name":"Sharepoint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 s="230" t="str">
        <f t="shared" si="14"/>
        <v>https://d0f6bd738d7f1b3e5a7ca70fe4ff75f0.us-east-1.aws.found.io/app/kibana#/discover/Steve-Slow-Train-Analysis-(2080s-and-2083s)?_g=(refreshInterval:(display:Off,pause:!f,section:0,value:0),time:(from:'2018-01-06T15:50:50-0700',mode:absolute,to:'2018-01-06T18:36:35-0700'))&amp;_a=(columns:!('Message%20ID',Summary),filters:!(),index:'emp_*',interval:auto,query:(query_string:(analyze_wildcard:!t,query:'%22rtdc.l.rtdc.4044%22')),sort:!(Time.ISO8601,asc))</v>
      </c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23" customFormat="1" x14ac:dyDescent="0.3">
      <c r="A122" s="229" t="s">
        <v>842</v>
      </c>
      <c r="B122" s="225">
        <v>4043</v>
      </c>
      <c r="C122" s="227" t="s">
        <v>192</v>
      </c>
      <c r="D122" s="227" t="s">
        <v>990</v>
      </c>
      <c r="E122" s="226">
        <v>43106.736550925925</v>
      </c>
      <c r="F122" s="226">
        <v>43106.748078703706</v>
      </c>
      <c r="G122" s="225">
        <v>51</v>
      </c>
      <c r="H122" s="227" t="s">
        <v>566</v>
      </c>
      <c r="I122" s="226">
        <v>43106.774641203701</v>
      </c>
      <c r="J122" s="225">
        <v>0</v>
      </c>
      <c r="K122" s="237" t="str">
        <f>IF(ISEVEN(B122),(B122-1)&amp;"/"&amp;B122,B122&amp;"/"&amp;(B122+1))</f>
        <v>4043/4044</v>
      </c>
      <c r="L122" s="245" t="str">
        <f>VLOOKUP(A122,'Trips&amp;Operators'!$C$1:$G$99911,5,FALSE)</f>
        <v>GUZMAN DANNY</v>
      </c>
      <c r="M122" s="224">
        <f>I122-F122</f>
        <v>2.6562499995634425E-2</v>
      </c>
      <c r="N122" s="225">
        <f>24*60*SUM($M122:$M122)</f>
        <v>38.249999993713573</v>
      </c>
      <c r="O122" s="225"/>
      <c r="P122" s="225"/>
      <c r="Q122" s="228"/>
      <c r="R122" s="242"/>
      <c r="S122" s="249">
        <f>1/IF(AG122="EC",12,1)*SUM(U122:U122)</f>
        <v>1</v>
      </c>
      <c r="T122" s="242" t="str">
        <f>IF(ISEVEN(LEFT(AD122,4)),"Southbound","NorthBound")</f>
        <v>Southbound</v>
      </c>
      <c r="U122" s="246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248" t="str">
        <f>"https://d0f6bd738d7f1b3e5a7ca70fe4ff75f0.us-east-1.aws.found.io/app/kibana#/discover/Steve-Slow-Train-Analysis-(2080s-and-2083s)?_g="&amp;"(refreshInterval:(display:Off,pause:!f,section:0,value:0),time:(from:'"&amp;TEXT(E122-1/24,"yyyy-MM-DDThh:mm:ss")&amp;utc_offset&amp;"00"&amp;"',mode:absolute,to:'"&amp;TEXT(I122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122&amp;"%22')),sort:!(Time.ISO8601,asc))"</f>
        <v>https://d0f6bd738d7f1b3e5a7ca70fe4ff75f0.us-east-1.aws.found.io/app/kibana#/discover/Steve-Slow-Train-Analysis-(2080s-and-2083s)?_g=(refreshInterval:(display:Off,pause:!f,section:0,value:0),time:(from:'2018-01-06T16:40:38-0700',mode:absolute,to:'2018-01-06T19:35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22" s="247" t="str">
        <f>IF(AA122&lt;VLOOKUP(AG122,Variables!$AC$3:$AD$8,2,FALSE),"Y","N")</f>
        <v>N</v>
      </c>
      <c r="X122" s="247">
        <f>VALUE(LEFT(AD122,4))-VALUE(LEFT(AD121,4))</f>
        <v>1</v>
      </c>
      <c r="Y122" s="247">
        <f>RIGHT(D122,LEN(D122)-4)/10000</f>
        <v>23.302299999999999</v>
      </c>
      <c r="Z122" s="247">
        <f>RIGHT(H122,LEN(H122)-4)/10000</f>
        <v>2.5999999999999999E-2</v>
      </c>
      <c r="AA122" s="247">
        <f>ABS(Z122-Y122)</f>
        <v>23.276299999999999</v>
      </c>
      <c r="AB122" s="233" t="e">
        <f>VLOOKUP(A122,Enforcements!$C$7:$K$9,8,0)</f>
        <v>#N/A</v>
      </c>
      <c r="AC122" s="232" t="e">
        <f>VLOOKUP(A122,Enforcements!$C$7:$E$9,3,0)</f>
        <v>#N/A</v>
      </c>
      <c r="AD122" s="243">
        <f>VALUE(LEFT(A122,LEN(A122)-3))</f>
        <v>208</v>
      </c>
      <c r="AE122" s="235" t="str">
        <f>"aws s3 cp "&amp;s3_bucket&amp;"/RTDC"&amp;B122&amp;"/ "&amp;search_path&amp;"\RTDC"&amp;B122&amp;"\"&amp;TEXT(F122,"YYYY-MM-DD")&amp;" --exclude ""*"" --recursive --include ""*"&amp;TEXT(F122,"YYYYMMDD")&amp;"*"" &amp; """&amp;walkandungz&amp;""" "&amp;search_path&amp;"\RTDC"&amp;B122&amp;"\"&amp;TEXT(F122,"YYYY-MM-DD")
&amp;" &amp; "&amp;"aws s3 cp "&amp;s3_bucket&amp;"/RTDC"&amp;B122&amp;"/ "&amp;search_path&amp;"\RTDC"&amp;B122&amp;"\"&amp;TEXT(F122+1,"YYYY-MM-DD")&amp;" --exclude ""*"" --recursive --include ""*"&amp;TEXT(F122+1,"YYYYMMDD")&amp;"*"" &amp; """&amp;walkandungz&amp;""" "&amp;search_path&amp;"\RTDC"&amp;B122&amp;"\"&amp;TEXT(F122+1,"YYYY-MM-DD")</f>
        <v>aws s3 cp s3://rtdc.mdm.uploadarchive.raw/RTDC4043/ "%USERPROFILE%\AppData\Local\Temp\OnboardLogs"\RTDC4043\2018-01-06 --exclude "*" --recursive --include "*20180106*" &amp; "%USERPROFILE%\Documents\GitHub\mrs-test-scripts\Headless Mode &amp; Sideloading\WalkAndUnGZ.bat" "%USERPROFILE%\AppData\Local\Temp\OnboardLogs"\RTDC4043\2018-01-06 &amp; aws s3 cp s3://rtdc.mdm.uploadarchive.raw/RTDC4043/ "%USERPROFILE%\AppData\Local\Temp\OnboardLogs"\RTDC4043\2018-01-07 --exclude "*" --recursive --include "*20180107*" &amp; "%USERPROFILE%\Documents\GitHub\mrs-test-scripts\Headless Mode &amp; Sideloading\WalkAndUnGZ.bat" "%USERPROFILE%\AppData\Local\Temp\OnboardLogs"\RTDC4043\2018-01-07</v>
      </c>
      <c r="AF122" s="234" t="str">
        <f>astrogrep_path&amp;" /e /r /s /spath="&amp;search_path&amp;" /stypes=""app*"&amp;B122&amp;"*"&amp;TEXT(I122-utc_offset/24,"YYYYMMDD")&amp;"*"" /stext="" "&amp;TEXT(I122-utc_offset/24,"HH")&amp;search_regexp&amp;""""</f>
        <v>"C:\Program Files (x86)\AstroGrep\AstroGrep.exe" /e /r /s /spath="%USERPROFILE%\AppData\Local\Temp\OnboardLogs" /stypes="app*4043*20180107*" /stext=" 01:.+((SYSTEM_STATE.+slice.+state.+changed )|(ment ac)|(multiple cpu faults)|(system.+state.+changed )|(\[timeout)|(PRM\|1\|D)|(kpr)|(kdp)|(train st.+moving)|(\|lc)|(penalty))"</v>
      </c>
      <c r="AG122" s="244" t="str">
        <f>DetSubdiv(A122)</f>
        <v>EC</v>
      </c>
      <c r="AH122" s="236" t="str">
        <f t="shared" si="10"/>
        <v>"%USERPROFILE%\Documents\GitHub\eaglep3\Utilities\RefineRTDCRunTimes.py" --tripid 208-06 --locoid 4043 --swversion DE.1.0.9.0 --startMP 204:233023 --initTime 2018-01-06T17:40:38 --startdatetime 2018-01-06T17:57:14 --delay 51 --endMP 204:260 --enddatetime 2018-01-06T18:35:29 --enforcementcount 0 &gt;&gt;%USERPROFILE%\Documents\GitHub\eaglep3-reporting\EC\2018-01-06-refined-times.txt</v>
      </c>
      <c r="AI122" s="238" t="str">
        <f t="shared" si="11"/>
        <v>echo {"issue":{"subject":"","project_id":79,"tracker_id":40,"status_id":1,"priority_id":2,"assigned_to_id":338,"start_date":"2018-01-06","description":"","custom_fields":[{"id":1,"name":"Subdivision","value":"EC"},{"id":4,"name":"Milepost","value":"0.026"},{"id":17,"name":"Train ID","value":"208-06"},{"id":16,"name":"Locomotive ID","value":"4043"},{"id":130,"name":"Impact","value":""},{"id":150,"name":"Time of Event (Mountain Time)","value":"18:35:29"},{"id":151,"name":"Denver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2" s="231"/>
      <c r="AL122" s="231"/>
      <c r="AM122" s="240" t="str">
        <f t="shared" si="12"/>
        <v>start /low /b %USERPROFILE%\Documents\GitHub\eaglep3\Utilities\DownloadLogsFromS3.py --loco 4043 --day 2018-01-06</v>
      </c>
      <c r="AN122" s="241" t="str">
        <f t="shared" si="13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01:35:29"},{"id":29,"name":"Sharepoint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 s="230" t="str">
        <f t="shared" si="14"/>
        <v>https://d0f6bd738d7f1b3e5a7ca70fe4ff75f0.us-east-1.aws.found.io/app/kibana#/discover/Steve-Slow-Train-Analysis-(2080s-and-2083s)?_g=(refreshInterval:(display:Off,pause:!f,section:0,value:0),time:(from:'2018-01-06T16:40:38-0700',mode:absolute,to:'2018-01-06T19:35:29-0700'))&amp;_a=(columns:!('Message%20ID',Summary),filters:!(),index:'emp_*',interval:auto,query:(query_string:(analyze_wildcard:!t,query:'%22rtdc.l.rtdc.4043%22')),sort:!(Time.ISO8601,asc))</v>
      </c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23" customFormat="1" x14ac:dyDescent="0.3">
      <c r="A123" s="229" t="s">
        <v>836</v>
      </c>
      <c r="B123" s="225">
        <v>4034</v>
      </c>
      <c r="C123" s="227" t="s">
        <v>192</v>
      </c>
      <c r="D123" s="227" t="s">
        <v>501</v>
      </c>
      <c r="E123" s="226">
        <v>43106.714282407411</v>
      </c>
      <c r="F123" s="226">
        <v>43106.719004629631</v>
      </c>
      <c r="G123" s="225">
        <v>90</v>
      </c>
      <c r="H123" s="227" t="s">
        <v>614</v>
      </c>
      <c r="I123" s="226">
        <v>43106.745115740741</v>
      </c>
      <c r="J123" s="225">
        <v>0</v>
      </c>
      <c r="K123" s="237" t="str">
        <f>IF(ISEVEN(B123),(B123-1)&amp;"/"&amp;B123,B123&amp;"/"&amp;(B123+1))</f>
        <v>4033/4034</v>
      </c>
      <c r="L123" s="245" t="str">
        <f>VLOOKUP(A123,'Trips&amp;Operators'!$C$1:$G$99911,5,FALSE)</f>
        <v>BADERTSCHER DIANE</v>
      </c>
      <c r="M123" s="224">
        <f>I123-F123</f>
        <v>2.6111111110367347E-2</v>
      </c>
      <c r="N123" s="225">
        <f>24*60*SUM($M123:$M123)</f>
        <v>37.599999998928979</v>
      </c>
      <c r="O123" s="225"/>
      <c r="P123" s="225"/>
      <c r="Q123" s="228"/>
      <c r="R123" s="242"/>
      <c r="S123" s="249">
        <f>1/IF(AG123="EC",12,1)*SUM(U123:U123)</f>
        <v>1</v>
      </c>
      <c r="T123" s="242" t="str">
        <f>IF(ISEVEN(LEFT(AD123,4)),"Southbound","NorthBound")</f>
        <v>NorthBound</v>
      </c>
      <c r="U123" s="246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248" t="str">
        <f>"https://d0f6bd738d7f1b3e5a7ca70fe4ff75f0.us-east-1.aws.found.io/app/kibana#/discover/Steve-Slow-Train-Analysis-(2080s-and-2083s)?_g="&amp;"(refreshInterval:(display:Off,pause:!f,section:0,value:0),time:(from:'"&amp;TEXT(E123-1/24,"yyyy-MM-DDThh:mm:ss")&amp;utc_offset&amp;"00"&amp;"',mode:absolute,to:'"&amp;TEXT(I123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123&amp;"%22')),sort:!(Time.ISO8601,asc))"</f>
        <v>https://d0f6bd738d7f1b3e5a7ca70fe4ff75f0.us-east-1.aws.found.io/app/kibana#/discover/Steve-Slow-Train-Analysis-(2080s-and-2083s)?_g=(refreshInterval:(display:Off,pause:!f,section:0,value:0),time:(from:'2018-01-06T16:08:34-0700',mode:absolute,to:'2018-01-06T18:52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123" s="247" t="str">
        <f>IF(AA123&lt;VLOOKUP(AG123,Variables!$AC$3:$AD$8,2,FALSE),"Y","N")</f>
        <v>N</v>
      </c>
      <c r="X123" s="247">
        <f>VALUE(LEFT(AD123,4))-VALUE(LEFT(AD122,4))</f>
        <v>1</v>
      </c>
      <c r="Y123" s="247">
        <f>RIGHT(D123,LEN(D123)-4)/10000</f>
        <v>0.05</v>
      </c>
      <c r="Z123" s="247">
        <f>RIGHT(H123,LEN(H123)-4)/10000</f>
        <v>23.327999999999999</v>
      </c>
      <c r="AA123" s="247">
        <f>ABS(Z123-Y123)</f>
        <v>23.277999999999999</v>
      </c>
      <c r="AB123" s="233" t="e">
        <f>VLOOKUP(A123,Enforcements!$C$7:$K$9,8,0)</f>
        <v>#N/A</v>
      </c>
      <c r="AC123" s="232" t="e">
        <f>VLOOKUP(A123,Enforcements!$C$7:$E$9,3,0)</f>
        <v>#N/A</v>
      </c>
      <c r="AD123" s="243">
        <f>VALUE(LEFT(A123,LEN(A123)-3))</f>
        <v>209</v>
      </c>
      <c r="AE123" s="235" t="str">
        <f>"aws s3 cp "&amp;s3_bucket&amp;"/RTDC"&amp;B123&amp;"/ "&amp;search_path&amp;"\RTDC"&amp;B123&amp;"\"&amp;TEXT(F123,"YYYY-MM-DD")&amp;" --exclude ""*"" --recursive --include ""*"&amp;TEXT(F123,"YYYYMMDD")&amp;"*"" &amp; """&amp;walkandungz&amp;""" "&amp;search_path&amp;"\RTDC"&amp;B123&amp;"\"&amp;TEXT(F123,"YYYY-MM-DD")
&amp;" &amp; "&amp;"aws s3 cp "&amp;s3_bucket&amp;"/RTDC"&amp;B123&amp;"/ "&amp;search_path&amp;"\RTDC"&amp;B123&amp;"\"&amp;TEXT(F123+1,"YYYY-MM-DD")&amp;" --exclude ""*"" --recursive --include ""*"&amp;TEXT(F123+1,"YYYYMMDD")&amp;"*"" &amp; """&amp;walkandungz&amp;""" "&amp;search_path&amp;"\RTDC"&amp;B123&amp;"\"&amp;TEXT(F123+1,"YYYY-MM-DD")</f>
        <v>aws s3 cp s3://rtdc.mdm.uploadarchive.raw/RTDC4034/ "%USERPROFILE%\AppData\Local\Temp\OnboardLogs"\RTDC4034\2018-01-06 --exclude "*" --recursive --include "*20180106*" &amp; "%USERPROFILE%\Documents\GitHub\mrs-test-scripts\Headless Mode &amp; Sideloading\WalkAndUnGZ.bat" "%USERPROFILE%\AppData\Local\Temp\OnboardLogs"\RTDC4034\2018-01-06 &amp; aws s3 cp s3://rtdc.mdm.uploadarchive.raw/RTDC4034/ "%USERPROFILE%\AppData\Local\Temp\OnboardLogs"\RTDC4034\2018-01-07 --exclude "*" --recursive --include "*20180107*" &amp; "%USERPROFILE%\Documents\GitHub\mrs-test-scripts\Headless Mode &amp; Sideloading\WalkAndUnGZ.bat" "%USERPROFILE%\AppData\Local\Temp\OnboardLogs"\RTDC4034\2018-01-07</v>
      </c>
      <c r="AF123" s="234" t="str">
        <f>astrogrep_path&amp;" /e /r /s /spath="&amp;search_path&amp;" /stypes=""app*"&amp;B123&amp;"*"&amp;TEXT(I123-utc_offset/24,"YYYYMMDD")&amp;"*"" /stext="" "&amp;TEXT(I123-utc_offset/24,"HH")&amp;search_regexp&amp;""""</f>
        <v>"C:\Program Files (x86)\AstroGrep\AstroGrep.exe" /e /r /s /spath="%USERPROFILE%\AppData\Local\Temp\OnboardLogs" /stypes="app*4034*20180107*" /stext=" 00:.+((SYSTEM_STATE.+slice.+state.+changed )|(ment ac)|(multiple cpu faults)|(system.+state.+changed )|(\[timeout)|(PRM\|1\|D)|(kpr)|(kdp)|(train st.+moving)|(\|lc)|(penalty))"</v>
      </c>
      <c r="AG123" s="244" t="str">
        <f>DetSubdiv(A123)</f>
        <v>EC</v>
      </c>
      <c r="AH123" s="236" t="str">
        <f t="shared" si="10"/>
        <v>"%USERPROFILE%\Documents\GitHub\eaglep3\Utilities\RefineRTDCRunTimes.py" --tripid 209-06 --locoid 4034 --swversion DE.1.0.9.0 --startMP 204:500 --initTime 2018-01-06T17:08:34 --startdatetime 2018-01-06T17:15:22 --delay 90 --endMP 204:233280 --enddatetime 2018-01-06T17:52:58 --enforcementcount 0 &gt;&gt;%USERPROFILE%\Documents\GitHub\eaglep3-reporting\EC\2018-01-06-refined-times.txt</v>
      </c>
      <c r="AI123" s="238" t="str">
        <f t="shared" si="11"/>
        <v>echo {"issue":{"subject":"","project_id":79,"tracker_id":40,"status_id":1,"priority_id":2,"assigned_to_id":338,"start_date":"2018-01-06","description":"","custom_fields":[{"id":1,"name":"Subdivision","value":"EC"},{"id":4,"name":"Milepost","value":"23.328"},{"id":17,"name":"Train ID","value":"209-06"},{"id":16,"name":"Locomotive ID","value":"4034"},{"id":130,"name":"Impact","value":""},{"id":150,"name":"Time of Event (Mountain Time)","value":"17:52:58"},{"id":151,"name":"Denver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3" s="231"/>
      <c r="AL123" s="231"/>
      <c r="AM123" s="240" t="str">
        <f t="shared" si="12"/>
        <v>start /low /b %USERPROFILE%\Documents\GitHub\eaglep3\Utilities\DownloadLogsFromS3.py --loco 4034 --day 2018-01-06</v>
      </c>
      <c r="AN123" s="241" t="str">
        <f t="shared" si="13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00:52:58"},{"id":29,"name":"Sharepoint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 s="230" t="str">
        <f t="shared" si="14"/>
        <v>https://d0f6bd738d7f1b3e5a7ca70fe4ff75f0.us-east-1.aws.found.io/app/kibana#/discover/Steve-Slow-Train-Analysis-(2080s-and-2083s)?_g=(refreshInterval:(display:Off,pause:!f,section:0,value:0),time:(from:'2018-01-06T16:08:34-0700',mode:absolute,to:'2018-01-06T18:52:58-0700'))&amp;_a=(columns:!('Message%20ID',Summary),filters:!(),index:'emp_*',interval:auto,query:(query_string:(analyze_wildcard:!t,query:'%22rtdc.l.rtdc.4034%22')),sort:!(Time.ISO8601,asc))</v>
      </c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3">
      <c r="A124" s="229" t="s">
        <v>847</v>
      </c>
      <c r="B124" s="225">
        <v>4033</v>
      </c>
      <c r="C124" s="227" t="s">
        <v>192</v>
      </c>
      <c r="D124" s="227" t="s">
        <v>991</v>
      </c>
      <c r="E124" s="226">
        <v>43106.754293981481</v>
      </c>
      <c r="F124" s="226">
        <v>43106.758518518516</v>
      </c>
      <c r="G124" s="225">
        <v>77</v>
      </c>
      <c r="H124" s="227" t="s">
        <v>498</v>
      </c>
      <c r="I124" s="226">
        <v>43106.787766203706</v>
      </c>
      <c r="J124" s="225">
        <v>0</v>
      </c>
      <c r="K124" s="237" t="str">
        <f>IF(ISEVEN(B124),(B124-1)&amp;"/"&amp;B124,B124&amp;"/"&amp;(B124+1))</f>
        <v>4033/4034</v>
      </c>
      <c r="L124" s="245" t="str">
        <f>VLOOKUP(A124,'Trips&amp;Operators'!$C$1:$G$99911,5,FALSE)</f>
        <v>BADERTSCHER DIANE</v>
      </c>
      <c r="M124" s="224">
        <f>I124-F124</f>
        <v>2.9247685190057382E-2</v>
      </c>
      <c r="N124" s="225">
        <f>24*60*SUM($M124:$M124)</f>
        <v>42.11666667368263</v>
      </c>
      <c r="O124" s="225"/>
      <c r="P124" s="225"/>
      <c r="Q124" s="228"/>
      <c r="R124" s="242"/>
      <c r="S124" s="249">
        <f>1/IF(AG124="EC",12,1)*SUM(U124:U124)</f>
        <v>1</v>
      </c>
      <c r="T124" s="242" t="str">
        <f>IF(ISEVEN(LEFT(AD124,4)),"Southbound","NorthBound")</f>
        <v>Southbound</v>
      </c>
      <c r="U124" s="246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248" t="str">
        <f>"https://d0f6bd738d7f1b3e5a7ca70fe4ff75f0.us-east-1.aws.found.io/app/kibana#/discover/Steve-Slow-Train-Analysis-(2080s-and-2083s)?_g="&amp;"(refreshInterval:(display:Off,pause:!f,section:0,value:0),time:(from:'"&amp;TEXT(E124-1/24,"yyyy-MM-DDThh:mm:ss")&amp;utc_offset&amp;"00"&amp;"',mode:absolute,to:'"&amp;TEXT(I124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124&amp;"%22')),sort:!(Time.ISO8601,asc))"</f>
        <v>https://d0f6bd738d7f1b3e5a7ca70fe4ff75f0.us-east-1.aws.found.io/app/kibana#/discover/Steve-Slow-Train-Analysis-(2080s-and-2083s)?_g=(refreshInterval:(display:Off,pause:!f,section:0,value:0),time:(from:'2018-01-06T17:06:11-0700',mode:absolute,to:'2018-01-06T19:54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124" s="247" t="str">
        <f>IF(AA124&lt;VLOOKUP(AG124,Variables!$AC$3:$AD$8,2,FALSE),"Y","N")</f>
        <v>N</v>
      </c>
      <c r="X124" s="247">
        <f>VALUE(LEFT(AD124,4))-VALUE(LEFT(AD123,4))</f>
        <v>1</v>
      </c>
      <c r="Y124" s="247">
        <f>RIGHT(D124,LEN(D124)-4)/10000</f>
        <v>23.295000000000002</v>
      </c>
      <c r="Z124" s="247">
        <f>RIGHT(H124,LEN(H124)-4)/10000</f>
        <v>2.0899999999999998E-2</v>
      </c>
      <c r="AA124" s="247">
        <f>ABS(Z124-Y124)</f>
        <v>23.274100000000001</v>
      </c>
      <c r="AB124" s="233" t="e">
        <f>VLOOKUP(A124,Enforcements!$C$7:$K$9,8,0)</f>
        <v>#N/A</v>
      </c>
      <c r="AC124" s="232" t="e">
        <f>VLOOKUP(A124,Enforcements!$C$7:$E$9,3,0)</f>
        <v>#N/A</v>
      </c>
      <c r="AD124" s="243">
        <f>VALUE(LEFT(A124,LEN(A124)-3))</f>
        <v>210</v>
      </c>
      <c r="AE124" s="235" t="str">
        <f>"aws s3 cp "&amp;s3_bucket&amp;"/RTDC"&amp;B124&amp;"/ "&amp;search_path&amp;"\RTDC"&amp;B124&amp;"\"&amp;TEXT(F124,"YYYY-MM-DD")&amp;" --exclude ""*"" --recursive --include ""*"&amp;TEXT(F124,"YYYYMMDD")&amp;"*"" &amp; """&amp;walkandungz&amp;""" "&amp;search_path&amp;"\RTDC"&amp;B124&amp;"\"&amp;TEXT(F124,"YYYY-MM-DD")
&amp;" &amp; "&amp;"aws s3 cp "&amp;s3_bucket&amp;"/RTDC"&amp;B124&amp;"/ "&amp;search_path&amp;"\RTDC"&amp;B124&amp;"\"&amp;TEXT(F124+1,"YYYY-MM-DD")&amp;" --exclude ""*"" --recursive --include ""*"&amp;TEXT(F124+1,"YYYYMMDD")&amp;"*"" &amp; """&amp;walkandungz&amp;""" "&amp;search_path&amp;"\RTDC"&amp;B124&amp;"\"&amp;TEXT(F124+1,"YYYY-MM-DD")</f>
        <v>aws s3 cp s3://rtdc.mdm.uploadarchive.raw/RTDC4033/ "%USERPROFILE%\AppData\Local\Temp\OnboardLogs"\RTDC4033\2018-01-06 --exclude "*" --recursive --include "*20180106*" &amp; "%USERPROFILE%\Documents\GitHub\mrs-test-scripts\Headless Mode &amp; Sideloading\WalkAndUnGZ.bat" "%USERPROFILE%\AppData\Local\Temp\OnboardLogs"\RTDC4033\2018-01-06 &amp; aws s3 cp s3://rtdc.mdm.uploadarchive.raw/RTDC4033/ "%USERPROFILE%\AppData\Local\Temp\OnboardLogs"\RTDC4033\2018-01-07 --exclude "*" --recursive --include "*20180107*" &amp; "%USERPROFILE%\Documents\GitHub\mrs-test-scripts\Headless Mode &amp; Sideloading\WalkAndUnGZ.bat" "%USERPROFILE%\AppData\Local\Temp\OnboardLogs"\RTDC4033\2018-01-07</v>
      </c>
      <c r="AF124" s="234" t="str">
        <f>astrogrep_path&amp;" /e /r /s /spath="&amp;search_path&amp;" /stypes=""app*"&amp;B124&amp;"*"&amp;TEXT(I124-utc_offset/24,"YYYYMMDD")&amp;"*"" /stext="" "&amp;TEXT(I124-utc_offset/24,"HH")&amp;search_regexp&amp;""""</f>
        <v>"C:\Program Files (x86)\AstroGrep\AstroGrep.exe" /e /r /s /spath="%USERPROFILE%\AppData\Local\Temp\OnboardLogs" /stypes="app*4033*20180107*" /stext=" 01:.+((SYSTEM_STATE.+slice.+state.+changed )|(ment ac)|(multiple cpu faults)|(system.+state.+changed )|(\[timeout)|(PRM\|1\|D)|(kpr)|(kdp)|(train st.+moving)|(\|lc)|(penalty))"</v>
      </c>
      <c r="AG124" s="244" t="str">
        <f>DetSubdiv(A124)</f>
        <v>EC</v>
      </c>
      <c r="AH124" s="236" t="str">
        <f t="shared" si="10"/>
        <v>"%USERPROFILE%\Documents\GitHub\eaglep3\Utilities\RefineRTDCRunTimes.py" --tripid 210-06 --locoid 4033 --swversion DE.1.0.9.0 --startMP 204:232950 --initTime 2018-01-06T18:06:11 --startdatetime 2018-01-06T18:12:16 --delay 77 --endMP 204:209 --enddatetime 2018-01-06T18:54:23 --enforcementcount 0 &gt;&gt;%USERPROFILE%\Documents\GitHub\eaglep3-reporting\EC\2018-01-06-refined-times.txt</v>
      </c>
      <c r="AI124" s="238" t="str">
        <f t="shared" si="11"/>
        <v>echo {"issue":{"subject":"","project_id":79,"tracker_id":40,"status_id":1,"priority_id":2,"assigned_to_id":338,"start_date":"2018-01-06","description":"","custom_fields":[{"id":1,"name":"Subdivision","value":"EC"},{"id":4,"name":"Milepost","value":"0.0209"},{"id":17,"name":"Train ID","value":"210-06"},{"id":16,"name":"Locomotive ID","value":"4033"},{"id":130,"name":"Impact","value":""},{"id":150,"name":"Time of Event (Mountain Time)","value":"18:54:23"},{"id":151,"name":"Denver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4" s="223"/>
      <c r="AK124" s="231"/>
      <c r="AL124" s="231"/>
      <c r="AM124" s="240" t="str">
        <f t="shared" si="12"/>
        <v>start /low /b %USERPROFILE%\Documents\GitHub\eaglep3\Utilities\DownloadLogsFromS3.py --loco 4033 --day 2018-01-06</v>
      </c>
      <c r="AN124" s="241" t="str">
        <f t="shared" si="13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01:54:23"},{"id":29,"name":"Sharepoint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 s="230" t="str">
        <f t="shared" si="14"/>
        <v>https://d0f6bd738d7f1b3e5a7ca70fe4ff75f0.us-east-1.aws.found.io/app/kibana#/discover/Steve-Slow-Train-Analysis-(2080s-and-2083s)?_g=(refreshInterval:(display:Off,pause:!f,section:0,value:0),time:(from:'2018-01-06T17:06:11-0700',mode:absolute,to:'2018-01-06T19:54:23-0700'))&amp;_a=(columns:!('Message%20ID',Summary),filters:!(),index:'emp_*',interval:auto,query:(query_string:(analyze_wildcard:!t,query:'%22rtdc.l.rtdc.4033%22')),sort:!(Time.ISO8601,asc))</v>
      </c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3">
      <c r="A125" s="229" t="s">
        <v>841</v>
      </c>
      <c r="B125" s="225">
        <v>4054</v>
      </c>
      <c r="C125" s="227" t="s">
        <v>192</v>
      </c>
      <c r="D125" s="227" t="s">
        <v>634</v>
      </c>
      <c r="E125" s="226">
        <v>43106.725011574075</v>
      </c>
      <c r="F125" s="226">
        <v>43106.729363425926</v>
      </c>
      <c r="G125" s="225">
        <v>61</v>
      </c>
      <c r="H125" s="227" t="s">
        <v>992</v>
      </c>
      <c r="I125" s="226">
        <v>43106.753587962965</v>
      </c>
      <c r="J125" s="225">
        <v>0</v>
      </c>
      <c r="K125" s="237" t="str">
        <f>IF(ISEVEN(B125),(B125-1)&amp;"/"&amp;B125,B125&amp;"/"&amp;(B125+1))</f>
        <v>4053/4054</v>
      </c>
      <c r="L125" s="245" t="str">
        <f>VLOOKUP(A125,'Trips&amp;Operators'!$C$1:$G$99911,5,FALSE)</f>
        <v>GONZALEZ ARMANDO</v>
      </c>
      <c r="M125" s="224">
        <f>I125-F125</f>
        <v>2.4224537039117422E-2</v>
      </c>
      <c r="N125" s="225">
        <f>24*60*SUM($M125:$M125)</f>
        <v>34.883333336329088</v>
      </c>
      <c r="O125" s="225"/>
      <c r="P125" s="225"/>
      <c r="Q125" s="228"/>
      <c r="R125" s="242"/>
      <c r="S125" s="249">
        <f>1/IF(AG125="EC",12,1)*SUM(U125:U125)</f>
        <v>1</v>
      </c>
      <c r="T125" s="242" t="str">
        <f>IF(ISEVEN(LEFT(AD125,4)),"Southbound","NorthBound")</f>
        <v>NorthBound</v>
      </c>
      <c r="U125" s="246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248" t="str">
        <f>"https://d0f6bd738d7f1b3e5a7ca70fe4ff75f0.us-east-1.aws.found.io/app/kibana#/discover/Steve-Slow-Train-Analysis-(2080s-and-2083s)?_g="&amp;"(refreshInterval:(display:Off,pause:!f,section:0,value:0),time:(from:'"&amp;TEXT(E125-1/24,"yyyy-MM-DDThh:mm:ss")&amp;utc_offset&amp;"00"&amp;"',mode:absolute,to:'"&amp;TEXT(I125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125&amp;"%22')),sort:!(Time.ISO8601,asc))"</f>
        <v>https://d0f6bd738d7f1b3e5a7ca70fe4ff75f0.us-east-1.aws.found.io/app/kibana#/discover/Steve-Slow-Train-Analysis-(2080s-and-2083s)?_g=(refreshInterval:(display:Off,pause:!f,section:0,value:0),time:(from:'2018-01-06T16:24:01-0700',mode:absolute,to:'2018-01-06T19:05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25" s="247" t="str">
        <f>IF(AA125&lt;VLOOKUP(AG125,Variables!$AC$3:$AD$8,2,FALSE),"Y","N")</f>
        <v>N</v>
      </c>
      <c r="X125" s="247">
        <f>VALUE(LEFT(AD125,4))-VALUE(LEFT(AD124,4))</f>
        <v>1</v>
      </c>
      <c r="Y125" s="247">
        <f>RIGHT(D125,LEN(D125)-4)/10000</f>
        <v>5.1999999999999998E-2</v>
      </c>
      <c r="Z125" s="247">
        <f>RIGHT(H125,LEN(H125)-4)/10000</f>
        <v>23.333200000000001</v>
      </c>
      <c r="AA125" s="247">
        <f>ABS(Z125-Y125)</f>
        <v>23.281200000000002</v>
      </c>
      <c r="AB125" s="233" t="e">
        <f>VLOOKUP(A125,Enforcements!$C$7:$K$9,8,0)</f>
        <v>#N/A</v>
      </c>
      <c r="AC125" s="232" t="e">
        <f>VLOOKUP(A125,Enforcements!$C$7:$E$9,3,0)</f>
        <v>#N/A</v>
      </c>
      <c r="AD125" s="243">
        <f>VALUE(LEFT(A125,LEN(A125)-3))</f>
        <v>211</v>
      </c>
      <c r="AE125" s="235" t="str">
        <f>"aws s3 cp "&amp;s3_bucket&amp;"/RTDC"&amp;B125&amp;"/ "&amp;search_path&amp;"\RTDC"&amp;B125&amp;"\"&amp;TEXT(F125,"YYYY-MM-DD")&amp;" --exclude ""*"" --recursive --include ""*"&amp;TEXT(F125,"YYYYMMDD")&amp;"*"" &amp; """&amp;walkandungz&amp;""" "&amp;search_path&amp;"\RTDC"&amp;B125&amp;"\"&amp;TEXT(F125,"YYYY-MM-DD")
&amp;" &amp; "&amp;"aws s3 cp "&amp;s3_bucket&amp;"/RTDC"&amp;B125&amp;"/ "&amp;search_path&amp;"\RTDC"&amp;B125&amp;"\"&amp;TEXT(F125+1,"YYYY-MM-DD")&amp;" --exclude ""*"" --recursive --include ""*"&amp;TEXT(F125+1,"YYYYMMDD")&amp;"*"" &amp; """&amp;walkandungz&amp;""" "&amp;search_path&amp;"\RTDC"&amp;B125&amp;"\"&amp;TEXT(F125+1,"YYYY-MM-DD")</f>
        <v>aws s3 cp s3://rtdc.mdm.uploadarchive.raw/RTDC4054/ "%USERPROFILE%\AppData\Local\Temp\OnboardLogs"\RTDC4054\2018-01-06 --exclude "*" --recursive --include "*20180106*" &amp; "%USERPROFILE%\Documents\GitHub\mrs-test-scripts\Headless Mode &amp; Sideloading\WalkAndUnGZ.bat" "%USERPROFILE%\AppData\Local\Temp\OnboardLogs"\RTDC4054\2018-01-06 &amp; aws s3 cp s3://rtdc.mdm.uploadarchive.raw/RTDC4054/ "%USERPROFILE%\AppData\Local\Temp\OnboardLogs"\RTDC4054\2018-01-07 --exclude "*" --recursive --include "*20180107*" &amp; "%USERPROFILE%\Documents\GitHub\mrs-test-scripts\Headless Mode &amp; Sideloading\WalkAndUnGZ.bat" "%USERPROFILE%\AppData\Local\Temp\OnboardLogs"\RTDC4054\2018-01-07</v>
      </c>
      <c r="AF125" s="234" t="str">
        <f>astrogrep_path&amp;" /e /r /s /spath="&amp;search_path&amp;" /stypes=""app*"&amp;B125&amp;"*"&amp;TEXT(I125-utc_offset/24,"YYYYMMDD")&amp;"*"" /stext="" "&amp;TEXT(I125-utc_offset/24,"HH")&amp;search_regexp&amp;""""</f>
        <v>"C:\Program Files (x86)\AstroGrep\AstroGrep.exe" /e /r /s /spath="%USERPROFILE%\AppData\Local\Temp\OnboardLogs" /stypes="app*4054*20180107*" /stext=" 01:.+((SYSTEM_STATE.+slice.+state.+changed )|(ment ac)|(multiple cpu faults)|(system.+state.+changed )|(\[timeout)|(PRM\|1\|D)|(kpr)|(kdp)|(train st.+moving)|(\|lc)|(penalty))"</v>
      </c>
      <c r="AG125" s="244" t="str">
        <f>DetSubdiv(A125)</f>
        <v>EC</v>
      </c>
      <c r="AH125" s="236" t="str">
        <f t="shared" si="10"/>
        <v>"%USERPROFILE%\Documents\GitHub\eaglep3\Utilities\RefineRTDCRunTimes.py" --tripid 211-06 --locoid 4054 --swversion DE.1.0.9.0 --startMP 204:520 --initTime 2018-01-06T17:24:01 --startdatetime 2018-01-06T17:30:17 --delay 61 --endMP 204:233332 --enddatetime 2018-01-06T18:05:10 --enforcementcount 0 &gt;&gt;%USERPROFILE%\Documents\GitHub\eaglep3-reporting\EC\2018-01-06-refined-times.txt</v>
      </c>
      <c r="AI125" s="238" t="str">
        <f t="shared" si="11"/>
        <v>echo {"issue":{"subject":"","project_id":79,"tracker_id":40,"status_id":1,"priority_id":2,"assigned_to_id":338,"start_date":"2018-01-06","description":"","custom_fields":[{"id":1,"name":"Subdivision","value":"EC"},{"id":4,"name":"Milepost","value":"23.3332"},{"id":17,"name":"Train ID","value":"211-06"},{"id":16,"name":"Locomotive ID","value":"4054"},{"id":130,"name":"Impact","value":""},{"id":150,"name":"Time of Event (Mountain Time)","value":"18:05:10"},{"id":151,"name":"Denver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5" s="223"/>
      <c r="AK125" s="231"/>
      <c r="AL125" s="231"/>
      <c r="AM125" s="240" t="str">
        <f t="shared" si="12"/>
        <v>start /low /b %USERPROFILE%\Documents\GitHub\eaglep3\Utilities\DownloadLogsFromS3.py --loco 4054 --day 2018-01-06</v>
      </c>
      <c r="AN125" s="241" t="str">
        <f t="shared" si="13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01:05:10"},{"id":29,"name":"Sharepoint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 s="230" t="str">
        <f t="shared" si="14"/>
        <v>https://d0f6bd738d7f1b3e5a7ca70fe4ff75f0.us-east-1.aws.found.io/app/kibana#/discover/Steve-Slow-Train-Analysis-(2080s-and-2083s)?_g=(refreshInterval:(display:Off,pause:!f,section:0,value:0),time:(from:'2018-01-06T16:24:01-0700',mode:absolute,to:'2018-01-06T19:05:10-0700'))&amp;_a=(columns:!('Message%20ID',Summary),filters:!(),index:'emp_*',interval:auto,query:(query_string:(analyze_wildcard:!t,query:'%22rtdc.l.rtdc.4054%22')),sort:!(Time.ISO8601,asc))</v>
      </c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23" customFormat="1" x14ac:dyDescent="0.3">
      <c r="A126" s="229" t="s">
        <v>849</v>
      </c>
      <c r="B126" s="225">
        <v>4053</v>
      </c>
      <c r="C126" s="227" t="s">
        <v>192</v>
      </c>
      <c r="D126" s="227" t="s">
        <v>993</v>
      </c>
      <c r="E126" s="226">
        <v>43106.762615740743</v>
      </c>
      <c r="F126" s="226">
        <v>43106.768946759257</v>
      </c>
      <c r="G126" s="225">
        <v>65</v>
      </c>
      <c r="H126" s="227" t="s">
        <v>994</v>
      </c>
      <c r="I126" s="226">
        <v>43106.794641203705</v>
      </c>
      <c r="J126" s="225">
        <v>0</v>
      </c>
      <c r="K126" s="237" t="str">
        <f>IF(ISEVEN(B126),(B126-1)&amp;"/"&amp;B126,B126&amp;"/"&amp;(B126+1))</f>
        <v>4053/4054</v>
      </c>
      <c r="L126" s="245" t="str">
        <f>VLOOKUP(A126,'Trips&amp;Operators'!$C$1:$G$99911,5,FALSE)</f>
        <v>GONZALEZ ARMANDO</v>
      </c>
      <c r="M126" s="224">
        <f>I126-F126</f>
        <v>2.5694444448163267E-2</v>
      </c>
      <c r="N126" s="225">
        <f>24*60*SUM($M126:$M126)</f>
        <v>37.000000005355105</v>
      </c>
      <c r="O126" s="225"/>
      <c r="P126" s="225"/>
      <c r="Q126" s="228"/>
      <c r="R126" s="242"/>
      <c r="S126" s="249">
        <f>1/IF(AG126="EC",12,1)*SUM(U126:U126)</f>
        <v>1</v>
      </c>
      <c r="T126" s="242" t="str">
        <f>IF(ISEVEN(LEFT(AD126,4)),"Southbound","NorthBound")</f>
        <v>Southbound</v>
      </c>
      <c r="U126" s="246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248" t="str">
        <f>"https://d0f6bd738d7f1b3e5a7ca70fe4ff75f0.us-east-1.aws.found.io/app/kibana#/discover/Steve-Slow-Train-Analysis-(2080s-and-2083s)?_g="&amp;"(refreshInterval:(display:Off,pause:!f,section:0,value:0),time:(from:'"&amp;TEXT(E126-1/24,"yyyy-MM-DDThh:mm:ss")&amp;utc_offset&amp;"00"&amp;"',mode:absolute,to:'"&amp;TEXT(I126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126&amp;"%22')),sort:!(Time.ISO8601,asc))"</f>
        <v>https://d0f6bd738d7f1b3e5a7ca70fe4ff75f0.us-east-1.aws.found.io/app/kibana#/discover/Steve-Slow-Train-Analysis-(2080s-and-2083s)?_g=(refreshInterval:(display:Off,pause:!f,section:0,value:0),time:(from:'2018-01-06T17:18:10-0700',mode:absolute,to:'2018-01-06T20:04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26" s="247" t="str">
        <f>IF(AA126&lt;VLOOKUP(AG126,Variables!$AC$3:$AD$8,2,FALSE),"Y","N")</f>
        <v>N</v>
      </c>
      <c r="X126" s="247">
        <f>VALUE(LEFT(AD126,4))-VALUE(LEFT(AD125,4))</f>
        <v>1</v>
      </c>
      <c r="Y126" s="247">
        <f>RIGHT(D126,LEN(D126)-4)/10000</f>
        <v>23.300599999999999</v>
      </c>
      <c r="Z126" s="247">
        <f>RIGHT(H126,LEN(H126)-4)/10000</f>
        <v>9.8900000000000002E-2</v>
      </c>
      <c r="AA126" s="247">
        <f>ABS(Z126-Y126)</f>
        <v>23.201699999999999</v>
      </c>
      <c r="AB126" s="233" t="e">
        <f>VLOOKUP(A126,Enforcements!$C$7:$K$9,8,0)</f>
        <v>#N/A</v>
      </c>
      <c r="AC126" s="232" t="e">
        <f>VLOOKUP(A126,Enforcements!$C$7:$E$9,3,0)</f>
        <v>#N/A</v>
      </c>
      <c r="AD126" s="243">
        <f>VALUE(LEFT(A126,LEN(A126)-3))</f>
        <v>212</v>
      </c>
      <c r="AE126" s="235" t="str">
        <f>"aws s3 cp "&amp;s3_bucket&amp;"/RTDC"&amp;B126&amp;"/ "&amp;search_path&amp;"\RTDC"&amp;B126&amp;"\"&amp;TEXT(F126,"YYYY-MM-DD")&amp;" --exclude ""*"" --recursive --include ""*"&amp;TEXT(F126,"YYYYMMDD")&amp;"*"" &amp; """&amp;walkandungz&amp;""" "&amp;search_path&amp;"\RTDC"&amp;B126&amp;"\"&amp;TEXT(F126,"YYYY-MM-DD")
&amp;" &amp; "&amp;"aws s3 cp "&amp;s3_bucket&amp;"/RTDC"&amp;B126&amp;"/ "&amp;search_path&amp;"\RTDC"&amp;B126&amp;"\"&amp;TEXT(F126+1,"YYYY-MM-DD")&amp;" --exclude ""*"" --recursive --include ""*"&amp;TEXT(F126+1,"YYYYMMDD")&amp;"*"" &amp; """&amp;walkandungz&amp;""" "&amp;search_path&amp;"\RTDC"&amp;B126&amp;"\"&amp;TEXT(F126+1,"YYYY-MM-DD")</f>
        <v>aws s3 cp s3://rtdc.mdm.uploadarchive.raw/RTDC4053/ "%USERPROFILE%\AppData\Local\Temp\OnboardLogs"\RTDC4053\2018-01-06 --exclude "*" --recursive --include "*20180106*" &amp; "%USERPROFILE%\Documents\GitHub\mrs-test-scripts\Headless Mode &amp; Sideloading\WalkAndUnGZ.bat" "%USERPROFILE%\AppData\Local\Temp\OnboardLogs"\RTDC4053\2018-01-06 &amp; aws s3 cp s3://rtdc.mdm.uploadarchive.raw/RTDC4053/ "%USERPROFILE%\AppData\Local\Temp\OnboardLogs"\RTDC4053\2018-01-07 --exclude "*" --recursive --include "*20180107*" &amp; "%USERPROFILE%\Documents\GitHub\mrs-test-scripts\Headless Mode &amp; Sideloading\WalkAndUnGZ.bat" "%USERPROFILE%\AppData\Local\Temp\OnboardLogs"\RTDC4053\2018-01-07</v>
      </c>
      <c r="AF126" s="234" t="str">
        <f>astrogrep_path&amp;" /e /r /s /spath="&amp;search_path&amp;" /stypes=""app*"&amp;B126&amp;"*"&amp;TEXT(I126-utc_offset/24,"YYYYMMDD")&amp;"*"" /stext="" "&amp;TEXT(I126-utc_offset/24,"HH")&amp;search_regexp&amp;""""</f>
        <v>"C:\Program Files (x86)\AstroGrep\AstroGrep.exe" /e /r /s /spath="%USERPROFILE%\AppData\Local\Temp\OnboardLogs" /stypes="app*4053*20180107*" /stext=" 02:.+((SYSTEM_STATE.+slice.+state.+changed )|(ment ac)|(multiple cpu faults)|(system.+state.+changed )|(\[timeout)|(PRM\|1\|D)|(kpr)|(kdp)|(train st.+moving)|(\|lc)|(penalty))"</v>
      </c>
      <c r="AG126" s="244" t="str">
        <f>DetSubdiv(A126)</f>
        <v>EC</v>
      </c>
      <c r="AH126" s="236" t="str">
        <f t="shared" si="10"/>
        <v>"%USERPROFILE%\Documents\GitHub\eaglep3\Utilities\RefineRTDCRunTimes.py" --tripid 212-06 --locoid 4053 --swversion DE.1.0.9.0 --startMP 204:233006 --initTime 2018-01-06T18:18:10 --startdatetime 2018-01-06T18:27:17 --delay 65 --endMP 204:989 --enddatetime 2018-01-06T19:04:17 --enforcementcount 0 &gt;&gt;%USERPROFILE%\Documents\GitHub\eaglep3-reporting\EC\2018-01-06-refined-times.txt</v>
      </c>
      <c r="AI126" s="238" t="str">
        <f t="shared" si="11"/>
        <v>echo {"issue":{"subject":"","project_id":79,"tracker_id":40,"status_id":1,"priority_id":2,"assigned_to_id":338,"start_date":"2018-01-06","description":"","custom_fields":[{"id":1,"name":"Subdivision","value":"EC"},{"id":4,"name":"Milepost","value":"0.0989"},{"id":17,"name":"Train ID","value":"212-06"},{"id":16,"name":"Locomotive ID","value":"4053"},{"id":130,"name":"Impact","value":""},{"id":150,"name":"Time of Event (Mountain Time)","value":"19:04:17"},{"id":151,"name":"Denver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6" s="231"/>
      <c r="AL126" s="231"/>
      <c r="AM126" s="240" t="str">
        <f t="shared" si="12"/>
        <v>start /low /b %USERPROFILE%\Documents\GitHub\eaglep3\Utilities\DownloadLogsFromS3.py --loco 4053 --day 2018-01-06</v>
      </c>
      <c r="AN126" s="241" t="str">
        <f t="shared" si="13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02:04:17"},{"id":29,"name":"Sharepoint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 s="230" t="str">
        <f t="shared" si="14"/>
        <v>https://d0f6bd738d7f1b3e5a7ca70fe4ff75f0.us-east-1.aws.found.io/app/kibana#/discover/Steve-Slow-Train-Analysis-(2080s-and-2083s)?_g=(refreshInterval:(display:Off,pause:!f,section:0,value:0),time:(from:'2018-01-06T17:18:10-0700',mode:absolute,to:'2018-01-06T20:04:17-0700'))&amp;_a=(columns:!('Message%20ID',Summary),filters:!(),index:'emp_*',interval:auto,query:(query_string:(analyze_wildcard:!t,query:'%22rtdc.l.rtdc.4053%22')),sort:!(Time.ISO8601,asc))</v>
      </c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23" customFormat="1" x14ac:dyDescent="0.3">
      <c r="A127" s="229" t="s">
        <v>676</v>
      </c>
      <c r="B127" s="225">
        <v>4064</v>
      </c>
      <c r="C127" s="227" t="s">
        <v>192</v>
      </c>
      <c r="D127" s="227" t="s">
        <v>640</v>
      </c>
      <c r="E127" s="226">
        <v>43106.734270833331</v>
      </c>
      <c r="F127" s="226">
        <v>43106.739768518521</v>
      </c>
      <c r="G127" s="225">
        <v>61</v>
      </c>
      <c r="H127" s="227" t="s">
        <v>995</v>
      </c>
      <c r="I127" s="226">
        <v>43106.75271990741</v>
      </c>
      <c r="J127" s="225">
        <v>0</v>
      </c>
      <c r="K127" s="237" t="str">
        <f>IF(ISEVEN(B127),(B127-1)&amp;"/"&amp;B127,B127&amp;"/"&amp;(B127+1))</f>
        <v>4063/4064</v>
      </c>
      <c r="L127" s="245" t="str">
        <f>VLOOKUP(A127,'Trips&amp;Operators'!$C$1:$G$99911,5,FALSE)</f>
        <v>FORTUNATO FRANK</v>
      </c>
      <c r="M127" s="224">
        <f>I127-F127</f>
        <v>1.2951388889632653E-2</v>
      </c>
      <c r="N127" s="225"/>
      <c r="O127" s="225"/>
      <c r="P127" s="225">
        <f>24*60*SUM($M127:$M127)</f>
        <v>18.650000001071021</v>
      </c>
      <c r="Q127" s="228"/>
      <c r="R127" s="242" t="s">
        <v>464</v>
      </c>
      <c r="S127" s="249">
        <f>1/IF(AG127="EC",12,1)*SUM(U127:U127)</f>
        <v>0.83333333333333326</v>
      </c>
      <c r="T127" s="242" t="str">
        <f>IF(ISEVEN(LEFT(AD127,4)),"Southbound","NorthBound")</f>
        <v>NorthBound</v>
      </c>
      <c r="U127" s="246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10</v>
      </c>
      <c r="V127" s="248" t="str">
        <f>"https://d0f6bd738d7f1b3e5a7ca70fe4ff75f0.us-east-1.aws.found.io/app/kibana#/discover/Steve-Slow-Train-Analysis-(2080s-and-2083s)?_g="&amp;"(refreshInterval:(display:Off,pause:!f,section:0,value:0),time:(from:'"&amp;TEXT(E127-1/24,"yyyy-MM-DDThh:mm:ss")&amp;utc_offset&amp;"00"&amp;"',mode:absolute,to:'"&amp;TEXT(I127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127&amp;"%22')),sort:!(Time.ISO8601,asc))"</f>
        <v>https://d0f6bd738d7f1b3e5a7ca70fe4ff75f0.us-east-1.aws.found.io/app/kibana#/discover/Steve-Slow-Train-Analysis-(2080s-and-2083s)?_g=(refreshInterval:(display:Off,pause:!f,section:0,value:0),time:(from:'2018-01-06T16:37:21-0700',mode:absolute,to:'2018-01-06T19:03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27" s="247" t="str">
        <f>IF(AA127&lt;VLOOKUP(AG127,Variables!$AC$3:$AD$8,2,FALSE),"Y","N")</f>
        <v>Y</v>
      </c>
      <c r="X127" s="247">
        <f>VALUE(LEFT(AD127,4))-VALUE(LEFT(AD126,4))</f>
        <v>1</v>
      </c>
      <c r="Y127" s="247">
        <f>RIGHT(D127,LEN(D127)-4)/10000</f>
        <v>5.4199999999999998E-2</v>
      </c>
      <c r="Z127" s="247">
        <f>RIGHT(H127,LEN(H127)-4)/10000</f>
        <v>8.8430999999999997</v>
      </c>
      <c r="AA127" s="247">
        <f>ABS(Z127-Y127)</f>
        <v>8.7888999999999999</v>
      </c>
      <c r="AB127" s="233" t="e">
        <f>VLOOKUP(A127,Enforcements!$C$7:$K$9,8,0)</f>
        <v>#N/A</v>
      </c>
      <c r="AC127" s="232" t="e">
        <f>VLOOKUP(A127,Enforcements!$C$7:$E$9,3,0)</f>
        <v>#N/A</v>
      </c>
      <c r="AD127" s="243">
        <f>VALUE(LEFT(A127,LEN(A127)-3))</f>
        <v>213</v>
      </c>
      <c r="AE127" s="235" t="str">
        <f>"aws s3 cp "&amp;s3_bucket&amp;"/RTDC"&amp;B127&amp;"/ "&amp;search_path&amp;"\RTDC"&amp;B127&amp;"\"&amp;TEXT(F127,"YYYY-MM-DD")&amp;" --exclude ""*"" --recursive --include ""*"&amp;TEXT(F127,"YYYYMMDD")&amp;"*"" &amp; """&amp;walkandungz&amp;""" "&amp;search_path&amp;"\RTDC"&amp;B127&amp;"\"&amp;TEXT(F127,"YYYY-MM-DD")
&amp;" &amp; "&amp;"aws s3 cp "&amp;s3_bucket&amp;"/RTDC"&amp;B127&amp;"/ "&amp;search_path&amp;"\RTDC"&amp;B127&amp;"\"&amp;TEXT(F127+1,"YYYY-MM-DD")&amp;" --exclude ""*"" --recursive --include ""*"&amp;TEXT(F127+1,"YYYYMMDD")&amp;"*"" &amp; """&amp;walkandungz&amp;""" "&amp;search_path&amp;"\RTDC"&amp;B127&amp;"\"&amp;TEXT(F127+1,"YYYY-MM-DD")</f>
        <v>aws s3 cp s3://rtdc.mdm.uploadarchive.raw/RTDC4064/ "%USERPROFILE%\AppData\Local\Temp\OnboardLogs"\RTDC4064\2018-01-06 --exclude "*" --recursive --include "*20180106*" &amp; "%USERPROFILE%\Documents\GitHub\mrs-test-scripts\Headless Mode &amp; Sideloading\WalkAndUnGZ.bat" "%USERPROFILE%\AppData\Local\Temp\OnboardLogs"\RTDC4064\2018-01-06 &amp; aws s3 cp s3://rtdc.mdm.uploadarchive.raw/RTDC4064/ "%USERPROFILE%\AppData\Local\Temp\OnboardLogs"\RTDC4064\2018-01-07 --exclude "*" --recursive --include "*20180107*" &amp; "%USERPROFILE%\Documents\GitHub\mrs-test-scripts\Headless Mode &amp; Sideloading\WalkAndUnGZ.bat" "%USERPROFILE%\AppData\Local\Temp\OnboardLogs"\RTDC4064\2018-01-07</v>
      </c>
      <c r="AF127" s="234" t="str">
        <f>astrogrep_path&amp;" /e /r /s /spath="&amp;search_path&amp;" /stypes=""app*"&amp;B127&amp;"*"&amp;TEXT(I127-utc_offset/24,"YYYYMMDD")&amp;"*"" /stext="" "&amp;TEXT(I127-utc_offset/24,"HH")&amp;search_regexp&amp;""""</f>
        <v>"C:\Program Files (x86)\AstroGrep\AstroGrep.exe" /e /r /s /spath="%USERPROFILE%\AppData\Local\Temp\OnboardLogs" /stypes="app*4064*20180107*" /stext=" 01:.+((SYSTEM_STATE.+slice.+state.+changed )|(ment ac)|(multiple cpu faults)|(system.+state.+changed )|(\[timeout)|(PRM\|1\|D)|(kpr)|(kdp)|(train st.+moving)|(\|lc)|(penalty))"</v>
      </c>
      <c r="AG127" s="244" t="str">
        <f>DetSubdiv(A127)</f>
        <v>EC</v>
      </c>
      <c r="AH127" s="236" t="str">
        <f t="shared" si="10"/>
        <v>"%USERPROFILE%\Documents\GitHub\eaglep3\Utilities\RefineRTDCRunTimes.py" --tripid 213-06 --locoid 4064 --swversion DE.1.0.9.0 --startMP 204:542 --initTime 2018-01-06T17:37:21 --startdatetime 2018-01-06T17:45:16 --delay 61 --endMP 204:88431 --enddatetime 2018-01-06T18:03:55 --enforcementcount 0 &gt;&gt;%USERPROFILE%\Documents\GitHub\eaglep3-reporting\EC\2018-01-06-refined-times.txt</v>
      </c>
      <c r="AI127" s="238" t="str">
        <f t="shared" si="11"/>
        <v>echo {"issue":{"subject":"Wi-MAX data drop","project_id":79,"tracker_id":40,"status_id":1,"priority_id":2,"assigned_to_id":338,"start_date":"2018-01-06","description":"","custom_fields":[{"id":1,"name":"Subdivision","value":"EC"},{"id":4,"name":"Milepost","value":"8.8431"},{"id":17,"name":"Train ID","value":"213-06"},{"id":16,"name":"Locomotive ID","value":"4064"},{"id":130,"name":"Impact","value":""},{"id":150,"name":"Time of Event (Mountain Time)","value":"18:03:55"},{"id":151,"name":"Denver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7" s="231"/>
      <c r="AL127" s="231"/>
      <c r="AM127" s="240" t="str">
        <f t="shared" si="12"/>
        <v>start /low /b %USERPROFILE%\Documents\GitHub\eaglep3\Utilities\DownloadLogsFromS3.py --loco 4064 --day 2018-01-06</v>
      </c>
      <c r="AN127" s="241" t="str">
        <f t="shared" si="13"/>
        <v>echo {"issue":{"subject":"Wi-MAX data drop","project_id":30,"tracker_id":4,"status_id":1,"priority_id":1,"assigned_to_id":10,"start_date":"2018-01-07","description":"","custom_fields":[{"id":30,"name":"Category","value":"Issue"},{"id":3,"name":"Functional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01:03:55"},{"id":29,"name":"Sharepoint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 s="230" t="str">
        <f t="shared" si="14"/>
        <v>https://d0f6bd738d7f1b3e5a7ca70fe4ff75f0.us-east-1.aws.found.io/app/kibana#/discover/Steve-Slow-Train-Analysis-(2080s-and-2083s)?_g=(refreshInterval:(display:Off,pause:!f,section:0,value:0),time:(from:'2018-01-06T16:37:21-0700',mode:absolute,to:'2018-01-06T19:03:55-0700'))&amp;_a=(columns:!('Message%20ID',Summary),filters:!(),index:'emp_*',interval:auto,query:(query_string:(analyze_wildcard:!t,query:'%22rtdc.l.rtdc.4064%22')),sort:!(Time.ISO8601,asc))</v>
      </c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3">
      <c r="A128" s="229" t="s">
        <v>852</v>
      </c>
      <c r="B128" s="225">
        <v>4063</v>
      </c>
      <c r="C128" s="227" t="s">
        <v>192</v>
      </c>
      <c r="D128" s="227" t="s">
        <v>996</v>
      </c>
      <c r="E128" s="226">
        <v>43106.770451388889</v>
      </c>
      <c r="F128" s="226">
        <v>43106.779317129629</v>
      </c>
      <c r="G128" s="225">
        <v>59</v>
      </c>
      <c r="H128" s="227" t="s">
        <v>498</v>
      </c>
      <c r="I128" s="226">
        <v>43106.805104166669</v>
      </c>
      <c r="J128" s="225">
        <v>0</v>
      </c>
      <c r="K128" s="237" t="str">
        <f>IF(ISEVEN(B128),(B128-1)&amp;"/"&amp;B128,B128&amp;"/"&amp;(B128+1))</f>
        <v>4063/4064</v>
      </c>
      <c r="L128" s="245" t="str">
        <f>VLOOKUP(A128,'Trips&amp;Operators'!$C$1:$G$99911,5,FALSE)</f>
        <v>FORTUNATO FRANK</v>
      </c>
      <c r="M128" s="224">
        <f>I128-F128</f>
        <v>2.5787037040572613E-2</v>
      </c>
      <c r="N128" s="225">
        <f>24*60*SUM($M128:$M128)</f>
        <v>37.133333338424563</v>
      </c>
      <c r="O128" s="225"/>
      <c r="P128" s="225"/>
      <c r="Q128" s="228"/>
      <c r="R128" s="242"/>
      <c r="S128" s="249">
        <f>1/IF(AG128="EC",12,1)*SUM(U128:U128)</f>
        <v>1</v>
      </c>
      <c r="T128" s="242" t="str">
        <f>IF(ISEVEN(LEFT(AD128,4)),"Southbound","NorthBound")</f>
        <v>Southbound</v>
      </c>
      <c r="U128" s="246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248" t="str">
        <f>"https://d0f6bd738d7f1b3e5a7ca70fe4ff75f0.us-east-1.aws.found.io/app/kibana#/discover/Steve-Slow-Train-Analysis-(2080s-and-2083s)?_g="&amp;"(refreshInterval:(display:Off,pause:!f,section:0,value:0),time:(from:'"&amp;TEXT(E128-1/24,"yyyy-MM-DDThh:mm:ss")&amp;utc_offset&amp;"00"&amp;"',mode:absolute,to:'"&amp;TEXT(I128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128&amp;"%22')),sort:!(Time.ISO8601,asc))"</f>
        <v>https://d0f6bd738d7f1b3e5a7ca70fe4ff75f0.us-east-1.aws.found.io/app/kibana#/discover/Steve-Slow-Train-Analysis-(2080s-and-2083s)?_g=(refreshInterval:(display:Off,pause:!f,section:0,value:0),time:(from:'2018-01-06T17:29:27-0700',mode:absolute,to:'2018-01-06T20:19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28" s="247" t="str">
        <f>IF(AA128&lt;VLOOKUP(AG128,Variables!$AC$3:$AD$8,2,FALSE),"Y","N")</f>
        <v>N</v>
      </c>
      <c r="X128" s="247">
        <f>VALUE(LEFT(AD128,4))-VALUE(LEFT(AD127,4))</f>
        <v>1</v>
      </c>
      <c r="Y128" s="247">
        <f>RIGHT(D128,LEN(D128)-4)/10000</f>
        <v>23.2865</v>
      </c>
      <c r="Z128" s="247">
        <f>RIGHT(H128,LEN(H128)-4)/10000</f>
        <v>2.0899999999999998E-2</v>
      </c>
      <c r="AA128" s="247">
        <f>ABS(Z128-Y128)</f>
        <v>23.265599999999999</v>
      </c>
      <c r="AB128" s="233" t="e">
        <f>VLOOKUP(A128,Enforcements!$C$7:$K$9,8,0)</f>
        <v>#N/A</v>
      </c>
      <c r="AC128" s="232" t="e">
        <f>VLOOKUP(A128,Enforcements!$C$7:$E$9,3,0)</f>
        <v>#N/A</v>
      </c>
      <c r="AD128" s="243">
        <f>VALUE(LEFT(A128,LEN(A128)-3))</f>
        <v>214</v>
      </c>
      <c r="AE128" s="235" t="str">
        <f>"aws s3 cp "&amp;s3_bucket&amp;"/RTDC"&amp;B128&amp;"/ "&amp;search_path&amp;"\RTDC"&amp;B128&amp;"\"&amp;TEXT(F128,"YYYY-MM-DD")&amp;" --exclude ""*"" --recursive --include ""*"&amp;TEXT(F128,"YYYYMMDD")&amp;"*"" &amp; """&amp;walkandungz&amp;""" "&amp;search_path&amp;"\RTDC"&amp;B128&amp;"\"&amp;TEXT(F128,"YYYY-MM-DD")
&amp;" &amp; "&amp;"aws s3 cp "&amp;s3_bucket&amp;"/RTDC"&amp;B128&amp;"/ "&amp;search_path&amp;"\RTDC"&amp;B128&amp;"\"&amp;TEXT(F128+1,"YYYY-MM-DD")&amp;" --exclude ""*"" --recursive --include ""*"&amp;TEXT(F128+1,"YYYYMMDD")&amp;"*"" &amp; """&amp;walkandungz&amp;""" "&amp;search_path&amp;"\RTDC"&amp;B128&amp;"\"&amp;TEXT(F128+1,"YYYY-MM-DD")</f>
        <v>aws s3 cp s3://rtdc.mdm.uploadarchive.raw/RTDC4063/ "%USERPROFILE%\AppData\Local\Temp\OnboardLogs"\RTDC4063\2018-01-06 --exclude "*" --recursive --include "*20180106*" &amp; "%USERPROFILE%\Documents\GitHub\mrs-test-scripts\Headless Mode &amp; Sideloading\WalkAndUnGZ.bat" "%USERPROFILE%\AppData\Local\Temp\OnboardLogs"\RTDC4063\2018-01-06 &amp; aws s3 cp s3://rtdc.mdm.uploadarchive.raw/RTDC4063/ "%USERPROFILE%\AppData\Local\Temp\OnboardLogs"\RTDC4063\2018-01-07 --exclude "*" --recursive --include "*20180107*" &amp; "%USERPROFILE%\Documents\GitHub\mrs-test-scripts\Headless Mode &amp; Sideloading\WalkAndUnGZ.bat" "%USERPROFILE%\AppData\Local\Temp\OnboardLogs"\RTDC4063\2018-01-07</v>
      </c>
      <c r="AF128" s="234" t="str">
        <f>astrogrep_path&amp;" /e /r /s /spath="&amp;search_path&amp;" /stypes=""app*"&amp;B128&amp;"*"&amp;TEXT(I128-utc_offset/24,"YYYYMMDD")&amp;"*"" /stext="" "&amp;TEXT(I128-utc_offset/24,"HH")&amp;search_regexp&amp;""""</f>
        <v>"C:\Program Files (x86)\AstroGrep\AstroGrep.exe" /e /r /s /spath="%USERPROFILE%\AppData\Local\Temp\OnboardLogs" /stypes="app*4063*20180107*" /stext=" 02:.+((SYSTEM_STATE.+slice.+state.+changed )|(ment ac)|(multiple cpu faults)|(system.+state.+changed )|(\[timeout)|(PRM\|1\|D)|(kpr)|(kdp)|(train st.+moving)|(\|lc)|(penalty))"</v>
      </c>
      <c r="AG128" s="244" t="str">
        <f>DetSubdiv(A128)</f>
        <v>EC</v>
      </c>
      <c r="AH128" s="236" t="str">
        <f t="shared" si="10"/>
        <v>"%USERPROFILE%\Documents\GitHub\eaglep3\Utilities\RefineRTDCRunTimes.py" --tripid 214-06 --locoid 4063 --swversion DE.1.0.9.0 --startMP 204:232865 --initTime 2018-01-06T18:29:27 --startdatetime 2018-01-06T18:42:13 --delay 59 --endMP 204:209 --enddatetime 2018-01-06T19:19:21 --enforcementcount 0 &gt;&gt;%USERPROFILE%\Documents\GitHub\eaglep3-reporting\EC\2018-01-06-refined-times.txt</v>
      </c>
      <c r="AI128" s="238" t="str">
        <f t="shared" si="11"/>
        <v>echo {"issue":{"subject":"","project_id":79,"tracker_id":40,"status_id":1,"priority_id":2,"assigned_to_id":338,"start_date":"2018-01-06","description":"","custom_fields":[{"id":1,"name":"Subdivision","value":"EC"},{"id":4,"name":"Milepost","value":"0.0209"},{"id":17,"name":"Train ID","value":"214-06"},{"id":16,"name":"Locomotive ID","value":"4063"},{"id":130,"name":"Impact","value":""},{"id":150,"name":"Time of Event (Mountain Time)","value":"19:19:21"},{"id":151,"name":"Denver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8" s="223"/>
      <c r="AK128" s="231"/>
      <c r="AL128" s="231"/>
      <c r="AM128" s="240" t="str">
        <f t="shared" si="12"/>
        <v>start /low /b %USERPROFILE%\Documents\GitHub\eaglep3\Utilities\DownloadLogsFromS3.py --loco 4063 --day 2018-01-06</v>
      </c>
      <c r="AN128" s="241" t="str">
        <f t="shared" si="13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02:19:21"},{"id":29,"name":"Sharepoint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 s="230" t="str">
        <f t="shared" si="14"/>
        <v>https://d0f6bd738d7f1b3e5a7ca70fe4ff75f0.us-east-1.aws.found.io/app/kibana#/discover/Steve-Slow-Train-Analysis-(2080s-and-2083s)?_g=(refreshInterval:(display:Off,pause:!f,section:0,value:0),time:(from:'2018-01-06T17:29:27-0700',mode:absolute,to:'2018-01-06T20:19:21-0700'))&amp;_a=(columns:!('Message%20ID',Summary),filters:!(),index:'emp_*',interval:auto,query:(query_string:(analyze_wildcard:!t,query:'%22rtdc.l.rtdc.4063%22')),sort:!(Time.ISO8601,asc))</v>
      </c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23" customFormat="1" x14ac:dyDescent="0.3">
      <c r="A129" s="229" t="s">
        <v>845</v>
      </c>
      <c r="B129" s="225">
        <v>4060</v>
      </c>
      <c r="C129" s="227" t="s">
        <v>192</v>
      </c>
      <c r="D129" s="227" t="s">
        <v>529</v>
      </c>
      <c r="E129" s="226">
        <v>43106.74895833333</v>
      </c>
      <c r="F129" s="226">
        <v>43106.750381944446</v>
      </c>
      <c r="G129" s="225">
        <v>51</v>
      </c>
      <c r="H129" s="227" t="s">
        <v>997</v>
      </c>
      <c r="I129" s="226">
        <v>43106.774560185186</v>
      </c>
      <c r="J129" s="225">
        <v>0</v>
      </c>
      <c r="K129" s="237" t="str">
        <f>IF(ISEVEN(B129),(B129-1)&amp;"/"&amp;B129,B129&amp;"/"&amp;(B129+1))</f>
        <v>4059/4060</v>
      </c>
      <c r="L129" s="245" t="str">
        <f>VLOOKUP(A129,'Trips&amp;Operators'!$C$1:$G$99911,5,FALSE)</f>
        <v>HOLCOMB KAMDEN</v>
      </c>
      <c r="M129" s="224">
        <f>I129-F129</f>
        <v>2.417824073927477E-2</v>
      </c>
      <c r="N129" s="225">
        <f>24*60*SUM($M129:$M129)</f>
        <v>34.816666664555669</v>
      </c>
      <c r="O129" s="225"/>
      <c r="P129" s="225"/>
      <c r="Q129" s="228"/>
      <c r="R129" s="242"/>
      <c r="S129" s="249">
        <f>1/IF(AG129="EC",12,1)*SUM(U129:U129)</f>
        <v>1</v>
      </c>
      <c r="T129" s="242" t="str">
        <f>IF(ISEVEN(LEFT(AD129,4)),"Southbound","NorthBound")</f>
        <v>NorthBound</v>
      </c>
      <c r="U129" s="246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248" t="str">
        <f>"https://d0f6bd738d7f1b3e5a7ca70fe4ff75f0.us-east-1.aws.found.io/app/kibana#/discover/Steve-Slow-Train-Analysis-(2080s-and-2083s)?_g="&amp;"(refreshInterval:(display:Off,pause:!f,section:0,value:0),time:(from:'"&amp;TEXT(E129-1/24,"yyyy-MM-DDThh:mm:ss")&amp;utc_offset&amp;"00"&amp;"',mode:absolute,to:'"&amp;TEXT(I129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129&amp;"%22')),sort:!(Time.ISO8601,asc))"</f>
        <v>https://d0f6bd738d7f1b3e5a7ca70fe4ff75f0.us-east-1.aws.found.io/app/kibana#/discover/Steve-Slow-Train-Analysis-(2080s-and-2083s)?_g=(refreshInterval:(display:Off,pause:!f,section:0,value:0),time:(from:'2018-01-06T16:58:30-0700',mode:absolute,to:'2018-01-06T19:35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29" s="247" t="str">
        <f>IF(AA129&lt;VLOOKUP(AG129,Variables!$AC$3:$AD$8,2,FALSE),"Y","N")</f>
        <v>N</v>
      </c>
      <c r="X129" s="247">
        <f>VALUE(LEFT(AD129,4))-VALUE(LEFT(AD128,4))</f>
        <v>1</v>
      </c>
      <c r="Y129" s="247">
        <f>RIGHT(D129,LEN(D129)-4)/10000</f>
        <v>5.11E-2</v>
      </c>
      <c r="Z129" s="247">
        <f>RIGHT(H129,LEN(H129)-4)/10000</f>
        <v>23.3202</v>
      </c>
      <c r="AA129" s="247">
        <f>ABS(Z129-Y129)</f>
        <v>23.269099999999998</v>
      </c>
      <c r="AB129" s="233" t="e">
        <f>VLOOKUP(A129,Enforcements!$C$7:$K$9,8,0)</f>
        <v>#N/A</v>
      </c>
      <c r="AC129" s="232" t="e">
        <f>VLOOKUP(A129,Enforcements!$C$7:$E$9,3,0)</f>
        <v>#N/A</v>
      </c>
      <c r="AD129" s="243">
        <f>VALUE(LEFT(A129,LEN(A129)-3))</f>
        <v>215</v>
      </c>
      <c r="AE129" s="235" t="str">
        <f>"aws s3 cp "&amp;s3_bucket&amp;"/RTDC"&amp;B129&amp;"/ "&amp;search_path&amp;"\RTDC"&amp;B129&amp;"\"&amp;TEXT(F129,"YYYY-MM-DD")&amp;" --exclude ""*"" --recursive --include ""*"&amp;TEXT(F129,"YYYYMMDD")&amp;"*"" &amp; """&amp;walkandungz&amp;""" "&amp;search_path&amp;"\RTDC"&amp;B129&amp;"\"&amp;TEXT(F129,"YYYY-MM-DD")
&amp;" &amp; "&amp;"aws s3 cp "&amp;s3_bucket&amp;"/RTDC"&amp;B129&amp;"/ "&amp;search_path&amp;"\RTDC"&amp;B129&amp;"\"&amp;TEXT(F129+1,"YYYY-MM-DD")&amp;" --exclude ""*"" --recursive --include ""*"&amp;TEXT(F129+1,"YYYYMMDD")&amp;"*"" &amp; """&amp;walkandungz&amp;""" "&amp;search_path&amp;"\RTDC"&amp;B129&amp;"\"&amp;TEXT(F129+1,"YYYY-MM-DD")</f>
        <v>aws s3 cp s3://rtdc.mdm.uploadarchive.raw/RTDC4060/ "%USERPROFILE%\AppData\Local\Temp\OnboardLogs"\RTDC4060\2018-01-06 --exclude "*" --recursive --include "*20180106*" &amp; "%USERPROFILE%\Documents\GitHub\mrs-test-scripts\Headless Mode &amp; Sideloading\WalkAndUnGZ.bat" "%USERPROFILE%\AppData\Local\Temp\OnboardLogs"\RTDC4060\2018-01-06 &amp; aws s3 cp s3://rtdc.mdm.uploadarchive.raw/RTDC4060/ "%USERPROFILE%\AppData\Local\Temp\OnboardLogs"\RTDC4060\2018-01-07 --exclude "*" --recursive --include "*20180107*" &amp; "%USERPROFILE%\Documents\GitHub\mrs-test-scripts\Headless Mode &amp; Sideloading\WalkAndUnGZ.bat" "%USERPROFILE%\AppData\Local\Temp\OnboardLogs"\RTDC4060\2018-01-07</v>
      </c>
      <c r="AF129" s="234" t="str">
        <f>astrogrep_path&amp;" /e /r /s /spath="&amp;search_path&amp;" /stypes=""app*"&amp;B129&amp;"*"&amp;TEXT(I129-utc_offset/24,"YYYYMMDD")&amp;"*"" /stext="" "&amp;TEXT(I129-utc_offset/24,"HH")&amp;search_regexp&amp;""""</f>
        <v>"C:\Program Files (x86)\AstroGrep\AstroGrep.exe" /e /r /s /spath="%USERPROFILE%\AppData\Local\Temp\OnboardLogs" /stypes="app*4060*20180107*" /stext=" 01:.+((SYSTEM_STATE.+slice.+state.+changed )|(ment ac)|(multiple cpu faults)|(system.+state.+changed )|(\[timeout)|(PRM\|1\|D)|(kpr)|(kdp)|(train st.+moving)|(\|lc)|(penalty))"</v>
      </c>
      <c r="AG129" s="244" t="str">
        <f>DetSubdiv(A129)</f>
        <v>EC</v>
      </c>
      <c r="AH129" s="236" t="str">
        <f t="shared" si="10"/>
        <v>"%USERPROFILE%\Documents\GitHub\eaglep3\Utilities\RefineRTDCRunTimes.py" --tripid 215-06 --locoid 4060 --swversion DE.1.0.9.0 --startMP 204:511 --initTime 2018-01-06T17:58:30 --startdatetime 2018-01-06T18:00:33 --delay 51 --endMP 204:233202 --enddatetime 2018-01-06T18:35:22 --enforcementcount 0 &gt;&gt;%USERPROFILE%\Documents\GitHub\eaglep3-reporting\EC\2018-01-06-refined-times.txt</v>
      </c>
      <c r="AI129" s="238" t="str">
        <f t="shared" si="11"/>
        <v>echo {"issue":{"subject":"","project_id":79,"tracker_id":40,"status_id":1,"priority_id":2,"assigned_to_id":338,"start_date":"2018-01-06","description":"","custom_fields":[{"id":1,"name":"Subdivision","value":"EC"},{"id":4,"name":"Milepost","value":"23.3202"},{"id":17,"name":"Train ID","value":"215-06"},{"id":16,"name":"Locomotive ID","value":"4060"},{"id":130,"name":"Impact","value":""},{"id":150,"name":"Time of Event (Mountain Time)","value":"18:35:22"},{"id":151,"name":"Denver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9" s="231"/>
      <c r="AL129" s="231"/>
      <c r="AM129" s="240" t="str">
        <f t="shared" si="12"/>
        <v>start /low /b %USERPROFILE%\Documents\GitHub\eaglep3\Utilities\DownloadLogsFromS3.py --loco 4060 --day 2018-01-06</v>
      </c>
      <c r="AN129" s="241" t="str">
        <f t="shared" si="13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01:35:22"},{"id":29,"name":"Sharepoint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 s="230" t="str">
        <f t="shared" si="14"/>
        <v>https://d0f6bd738d7f1b3e5a7ca70fe4ff75f0.us-east-1.aws.found.io/app/kibana#/discover/Steve-Slow-Train-Analysis-(2080s-and-2083s)?_g=(refreshInterval:(display:Off,pause:!f,section:0,value:0),time:(from:'2018-01-06T16:58:30-0700',mode:absolute,to:'2018-01-06T19:35:22-0700'))&amp;_a=(columns:!('Message%20ID',Summary),filters:!(),index:'emp_*',interval:auto,query:(query_string:(analyze_wildcard:!t,query:'%22rtdc.l.rtdc.4060%22')),sort:!(Time.ISO8601,asc))</v>
      </c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23" customFormat="1" x14ac:dyDescent="0.3">
      <c r="A130" s="229" t="s">
        <v>853</v>
      </c>
      <c r="B130" s="225">
        <v>4059</v>
      </c>
      <c r="C130" s="227" t="s">
        <v>192</v>
      </c>
      <c r="D130" s="227" t="s">
        <v>630</v>
      </c>
      <c r="E130" s="226">
        <v>43106.786689814813</v>
      </c>
      <c r="F130" s="226">
        <v>43106.789976851855</v>
      </c>
      <c r="G130" s="225">
        <v>75</v>
      </c>
      <c r="H130" s="227" t="s">
        <v>487</v>
      </c>
      <c r="I130" s="226">
        <v>43106.814930555556</v>
      </c>
      <c r="J130" s="225">
        <v>0</v>
      </c>
      <c r="K130" s="237" t="str">
        <f>IF(ISEVEN(B130),(B130-1)&amp;"/"&amp;B130,B130&amp;"/"&amp;(B130+1))</f>
        <v>4059/4060</v>
      </c>
      <c r="L130" s="245" t="str">
        <f>VLOOKUP(A130,'Trips&amp;Operators'!$C$1:$G$99911,5,FALSE)</f>
        <v>HOLCOMB KAMDEN</v>
      </c>
      <c r="M130" s="224">
        <f>I130-F130</f>
        <v>2.495370370161254E-2</v>
      </c>
      <c r="N130" s="225">
        <f>24*60*SUM($M130:$M130)</f>
        <v>35.933333330322057</v>
      </c>
      <c r="O130" s="225"/>
      <c r="P130" s="225"/>
      <c r="Q130" s="228"/>
      <c r="R130" s="242"/>
      <c r="S130" s="249">
        <f>1/IF(AG130="EC",12,1)*SUM(U130:U130)</f>
        <v>1</v>
      </c>
      <c r="T130" s="242" t="str">
        <f>IF(ISEVEN(LEFT(AD130,4)),"Southbound","NorthBound")</f>
        <v>Southbound</v>
      </c>
      <c r="U130" s="246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248" t="str">
        <f>"https://d0f6bd738d7f1b3e5a7ca70fe4ff75f0.us-east-1.aws.found.io/app/kibana#/discover/Steve-Slow-Train-Analysis-(2080s-and-2083s)?_g="&amp;"(refreshInterval:(display:Off,pause:!f,section:0,value:0),time:(from:'"&amp;TEXT(E130-1/24,"yyyy-MM-DDThh:mm:ss")&amp;utc_offset&amp;"00"&amp;"',mode:absolute,to:'"&amp;TEXT(I130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130&amp;"%22')),sort:!(Time.ISO8601,asc))"</f>
        <v>https://d0f6bd738d7f1b3e5a7ca70fe4ff75f0.us-east-1.aws.found.io/app/kibana#/discover/Steve-Slow-Train-Analysis-(2080s-and-2083s)?_g=(refreshInterval:(display:Off,pause:!f,section:0,value:0),time:(from:'2018-01-06T17:52:50-0700',mode:absolute,to:'2018-01-06T20:33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30" s="247" t="str">
        <f>IF(AA130&lt;VLOOKUP(AG130,Variables!$AC$3:$AD$8,2,FALSE),"Y","N")</f>
        <v>N</v>
      </c>
      <c r="X130" s="247">
        <f>VALUE(LEFT(AD130,4))-VALUE(LEFT(AD129,4))</f>
        <v>1</v>
      </c>
      <c r="Y130" s="247">
        <f>RIGHT(D130,LEN(D130)-4)/10000</f>
        <v>23.2879</v>
      </c>
      <c r="Z130" s="247">
        <f>RIGHT(H130,LEN(H130)-4)/10000</f>
        <v>0.02</v>
      </c>
      <c r="AA130" s="247">
        <f>ABS(Z130-Y130)</f>
        <v>23.267900000000001</v>
      </c>
      <c r="AB130" s="233" t="e">
        <f>VLOOKUP(A130,Enforcements!$C$7:$K$9,8,0)</f>
        <v>#N/A</v>
      </c>
      <c r="AC130" s="232" t="e">
        <f>VLOOKUP(A130,Enforcements!$C$7:$E$9,3,0)</f>
        <v>#N/A</v>
      </c>
      <c r="AD130" s="243">
        <f>VALUE(LEFT(A130,LEN(A130)-3))</f>
        <v>216</v>
      </c>
      <c r="AE130" s="235" t="str">
        <f>"aws s3 cp "&amp;s3_bucket&amp;"/RTDC"&amp;B130&amp;"/ "&amp;search_path&amp;"\RTDC"&amp;B130&amp;"\"&amp;TEXT(F130,"YYYY-MM-DD")&amp;" --exclude ""*"" --recursive --include ""*"&amp;TEXT(F130,"YYYYMMDD")&amp;"*"" &amp; """&amp;walkandungz&amp;""" "&amp;search_path&amp;"\RTDC"&amp;B130&amp;"\"&amp;TEXT(F130,"YYYY-MM-DD")
&amp;" &amp; "&amp;"aws s3 cp "&amp;s3_bucket&amp;"/RTDC"&amp;B130&amp;"/ "&amp;search_path&amp;"\RTDC"&amp;B130&amp;"\"&amp;TEXT(F130+1,"YYYY-MM-DD")&amp;" --exclude ""*"" --recursive --include ""*"&amp;TEXT(F130+1,"YYYYMMDD")&amp;"*"" &amp; """&amp;walkandungz&amp;""" "&amp;search_path&amp;"\RTDC"&amp;B130&amp;"\"&amp;TEXT(F130+1,"YYYY-MM-DD")</f>
        <v>aws s3 cp s3://rtdc.mdm.uploadarchive.raw/RTDC4059/ "%USERPROFILE%\AppData\Local\Temp\OnboardLogs"\RTDC4059\2018-01-06 --exclude "*" --recursive --include "*20180106*" &amp; "%USERPROFILE%\Documents\GitHub\mrs-test-scripts\Headless Mode &amp; Sideloading\WalkAndUnGZ.bat" "%USERPROFILE%\AppData\Local\Temp\OnboardLogs"\RTDC4059\2018-01-06 &amp; aws s3 cp s3://rtdc.mdm.uploadarchive.raw/RTDC4059/ "%USERPROFILE%\AppData\Local\Temp\OnboardLogs"\RTDC4059\2018-01-07 --exclude "*" --recursive --include "*20180107*" &amp; "%USERPROFILE%\Documents\GitHub\mrs-test-scripts\Headless Mode &amp; Sideloading\WalkAndUnGZ.bat" "%USERPROFILE%\AppData\Local\Temp\OnboardLogs"\RTDC4059\2018-01-07</v>
      </c>
      <c r="AF130" s="234" t="str">
        <f>astrogrep_path&amp;" /e /r /s /spath="&amp;search_path&amp;" /stypes=""app*"&amp;B130&amp;"*"&amp;TEXT(I130-utc_offset/24,"YYYYMMDD")&amp;"*"" /stext="" "&amp;TEXT(I130-utc_offset/24,"HH")&amp;search_regexp&amp;""""</f>
        <v>"C:\Program Files (x86)\AstroGrep\AstroGrep.exe" /e /r /s /spath="%USERPROFILE%\AppData\Local\Temp\OnboardLogs" /stypes="app*4059*20180107*" /stext=" 02:.+((SYSTEM_STATE.+slice.+state.+changed )|(ment ac)|(multiple cpu faults)|(system.+state.+changed )|(\[timeout)|(PRM\|1\|D)|(kpr)|(kdp)|(train st.+moving)|(\|lc)|(penalty))"</v>
      </c>
      <c r="AG130" s="244" t="str">
        <f>DetSubdiv(A130)</f>
        <v>EC</v>
      </c>
      <c r="AH130" s="236" t="str">
        <f t="shared" si="10"/>
        <v>"%USERPROFILE%\Documents\GitHub\eaglep3\Utilities\RefineRTDCRunTimes.py" --tripid 216-06 --locoid 4059 --swversion DE.1.0.9.0 --startMP 204:232879 --initTime 2018-01-06T18:52:50 --startdatetime 2018-01-06T18:57:34 --delay 75 --endMP 204:200 --enddatetime 2018-01-06T19:33:30 --enforcementcount 0 &gt;&gt;%USERPROFILE%\Documents\GitHub\eaglep3-reporting\EC\2018-01-06-refined-times.txt</v>
      </c>
      <c r="AI130" s="238" t="str">
        <f t="shared" si="11"/>
        <v>echo {"issue":{"subject":"","project_id":79,"tracker_id":40,"status_id":1,"priority_id":2,"assigned_to_id":338,"start_date":"2018-01-06","description":"","custom_fields":[{"id":1,"name":"Subdivision","value":"EC"},{"id":4,"name":"Milepost","value":"0.02"},{"id":17,"name":"Train ID","value":"216-06"},{"id":16,"name":"Locomotive ID","value":"4059"},{"id":130,"name":"Impact","value":""},{"id":150,"name":"Time of Event (Mountain Time)","value":"19:33:30"},{"id":151,"name":"Denver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0" s="231"/>
      <c r="AL130" s="231"/>
      <c r="AM130" s="240" t="str">
        <f t="shared" si="12"/>
        <v>start /low /b %USERPROFILE%\Documents\GitHub\eaglep3\Utilities\DownloadLogsFromS3.py --loco 4059 --day 2018-01-06</v>
      </c>
      <c r="AN130" s="241" t="str">
        <f t="shared" si="13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02:33:30"},{"id":29,"name":"Sharepoint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 s="230" t="str">
        <f t="shared" si="14"/>
        <v>https://d0f6bd738d7f1b3e5a7ca70fe4ff75f0.us-east-1.aws.found.io/app/kibana#/discover/Steve-Slow-Train-Analysis-(2080s-and-2083s)?_g=(refreshInterval:(display:Off,pause:!f,section:0,value:0),time:(from:'2018-01-06T17:52:50-0700',mode:absolute,to:'2018-01-06T20:33:30-0700'))&amp;_a=(columns:!('Message%20ID',Summary),filters:!(),index:'emp_*',interval:auto,query:(query_string:(analyze_wildcard:!t,query:'%22rtdc.l.rtdc.4059%22')),sort:!(Time.ISO8601,asc))</v>
      </c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23" customFormat="1" x14ac:dyDescent="0.3">
      <c r="A131" s="229" t="s">
        <v>848</v>
      </c>
      <c r="B131" s="225">
        <v>4030</v>
      </c>
      <c r="C131" s="227" t="s">
        <v>192</v>
      </c>
      <c r="D131" s="227" t="s">
        <v>529</v>
      </c>
      <c r="E131" s="226">
        <v>43106.756516203706</v>
      </c>
      <c r="F131" s="226">
        <v>43106.760555555556</v>
      </c>
      <c r="G131" s="225">
        <v>74</v>
      </c>
      <c r="H131" s="227" t="s">
        <v>612</v>
      </c>
      <c r="I131" s="226">
        <v>43106.785162037035</v>
      </c>
      <c r="J131" s="225">
        <v>0</v>
      </c>
      <c r="K131" s="237" t="str">
        <f>IF(ISEVEN(B131),(B131-1)&amp;"/"&amp;B131,B131&amp;"/"&amp;(B131+1))</f>
        <v>4029/4030</v>
      </c>
      <c r="L131" s="245" t="str">
        <f>VLOOKUP(A131,'Trips&amp;Operators'!$C$1:$G$99911,5,FALSE)</f>
        <v>ELBAUM MIKE</v>
      </c>
      <c r="M131" s="224">
        <f>I131-F131</f>
        <v>2.4606481478258502E-2</v>
      </c>
      <c r="N131" s="225">
        <f>24*60*SUM($M131:$M131)</f>
        <v>35.433333328692243</v>
      </c>
      <c r="O131" s="225"/>
      <c r="P131" s="225"/>
      <c r="Q131" s="228"/>
      <c r="R131" s="242"/>
      <c r="S131" s="249">
        <f>1/IF(AG131="EC",12,1)*SUM(U131:U131)</f>
        <v>1</v>
      </c>
      <c r="T131" s="242" t="str">
        <f>IF(ISEVEN(LEFT(AD131,4)),"Southbound","NorthBound")</f>
        <v>NorthBound</v>
      </c>
      <c r="U131" s="246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248" t="str">
        <f>"https://d0f6bd738d7f1b3e5a7ca70fe4ff75f0.us-east-1.aws.found.io/app/kibana#/discover/Steve-Slow-Train-Analysis-(2080s-and-2083s)?_g="&amp;"(refreshInterval:(display:Off,pause:!f,section:0,value:0),time:(from:'"&amp;TEXT(E131-1/24,"yyyy-MM-DDThh:mm:ss")&amp;utc_offset&amp;"00"&amp;"',mode:absolute,to:'"&amp;TEXT(I131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131&amp;"%22')),sort:!(Time.ISO8601,asc))"</f>
        <v>https://d0f6bd738d7f1b3e5a7ca70fe4ff75f0.us-east-1.aws.found.io/app/kibana#/discover/Steve-Slow-Train-Analysis-(2080s-and-2083s)?_g=(refreshInterval:(display:Off,pause:!f,section:0,value:0),time:(from:'2018-01-06T17:09:23-0700',mode:absolute,to:'2018-01-06T19:50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31" s="247" t="str">
        <f>IF(AA131&lt;VLOOKUP(AG131,Variables!$AC$3:$AD$8,2,FALSE),"Y","N")</f>
        <v>N</v>
      </c>
      <c r="X131" s="247">
        <f>VALUE(LEFT(AD131,4))-VALUE(LEFT(AD130,4))</f>
        <v>1</v>
      </c>
      <c r="Y131" s="247">
        <f>RIGHT(D131,LEN(D131)-4)/10000</f>
        <v>5.11E-2</v>
      </c>
      <c r="Z131" s="247">
        <f>RIGHT(H131,LEN(H131)-4)/10000</f>
        <v>23.329699999999999</v>
      </c>
      <c r="AA131" s="247">
        <f>ABS(Z131-Y131)</f>
        <v>23.278599999999997</v>
      </c>
      <c r="AB131" s="233" t="e">
        <f>VLOOKUP(A131,Enforcements!$C$7:$K$9,8,0)</f>
        <v>#N/A</v>
      </c>
      <c r="AC131" s="232" t="e">
        <f>VLOOKUP(A131,Enforcements!$C$7:$E$9,3,0)</f>
        <v>#N/A</v>
      </c>
      <c r="AD131" s="243">
        <f>VALUE(LEFT(A131,LEN(A131)-3))</f>
        <v>217</v>
      </c>
      <c r="AE131" s="235" t="str">
        <f>"aws s3 cp "&amp;s3_bucket&amp;"/RTDC"&amp;B131&amp;"/ "&amp;search_path&amp;"\RTDC"&amp;B131&amp;"\"&amp;TEXT(F131,"YYYY-MM-DD")&amp;" --exclude ""*"" --recursive --include ""*"&amp;TEXT(F131,"YYYYMMDD")&amp;"*"" &amp; """&amp;walkandungz&amp;""" "&amp;search_path&amp;"\RTDC"&amp;B131&amp;"\"&amp;TEXT(F131,"YYYY-MM-DD")
&amp;" &amp; "&amp;"aws s3 cp "&amp;s3_bucket&amp;"/RTDC"&amp;B131&amp;"/ "&amp;search_path&amp;"\RTDC"&amp;B131&amp;"\"&amp;TEXT(F131+1,"YYYY-MM-DD")&amp;" --exclude ""*"" --recursive --include ""*"&amp;TEXT(F131+1,"YYYYMMDD")&amp;"*"" &amp; """&amp;walkandungz&amp;""" "&amp;search_path&amp;"\RTDC"&amp;B131&amp;"\"&amp;TEXT(F131+1,"YYYY-MM-DD")</f>
        <v>aws s3 cp s3://rtdc.mdm.uploadarchive.raw/RTDC4030/ "%USERPROFILE%\AppData\Local\Temp\OnboardLogs"\RTDC4030\2018-01-06 --exclude "*" --recursive --include "*20180106*" &amp; "%USERPROFILE%\Documents\GitHub\mrs-test-scripts\Headless Mode &amp; Sideloading\WalkAndUnGZ.bat" "%USERPROFILE%\AppData\Local\Temp\OnboardLogs"\RTDC4030\2018-01-06 &amp; aws s3 cp s3://rtdc.mdm.uploadarchive.raw/RTDC4030/ "%USERPROFILE%\AppData\Local\Temp\OnboardLogs"\RTDC4030\2018-01-07 --exclude "*" --recursive --include "*20180107*" &amp; "%USERPROFILE%\Documents\GitHub\mrs-test-scripts\Headless Mode &amp; Sideloading\WalkAndUnGZ.bat" "%USERPROFILE%\AppData\Local\Temp\OnboardLogs"\RTDC4030\2018-01-07</v>
      </c>
      <c r="AF131" s="234" t="str">
        <f>astrogrep_path&amp;" /e /r /s /spath="&amp;search_path&amp;" /stypes=""app*"&amp;B131&amp;"*"&amp;TEXT(I131-utc_offset/24,"YYYYMMDD")&amp;"*"" /stext="" "&amp;TEXT(I131-utc_offset/24,"HH")&amp;search_regexp&amp;""""</f>
        <v>"C:\Program Files (x86)\AstroGrep\AstroGrep.exe" /e /r /s /spath="%USERPROFILE%\AppData\Local\Temp\OnboardLogs" /stypes="app*4030*20180107*" /stext=" 01:.+((SYSTEM_STATE.+slice.+state.+changed )|(ment ac)|(multiple cpu faults)|(system.+state.+changed )|(\[timeout)|(PRM\|1\|D)|(kpr)|(kdp)|(train st.+moving)|(\|lc)|(penalty))"</v>
      </c>
      <c r="AG131" s="244" t="str">
        <f>DetSubdiv(A131)</f>
        <v>EC</v>
      </c>
      <c r="AH131" s="236" t="str">
        <f t="shared" si="10"/>
        <v>"%USERPROFILE%\Documents\GitHub\eaglep3\Utilities\RefineRTDCRunTimes.py" --tripid 217-06 --locoid 4030 --swversion DE.1.0.9.0 --startMP 204:511 --initTime 2018-01-06T18:09:23 --startdatetime 2018-01-06T18:15:12 --delay 74 --endMP 204:233297 --enddatetime 2018-01-06T18:50:38 --enforcementcount 0 &gt;&gt;%USERPROFILE%\Documents\GitHub\eaglep3-reporting\EC\2018-01-06-refined-times.txt</v>
      </c>
      <c r="AI131" s="238" t="str">
        <f t="shared" si="11"/>
        <v>echo {"issue":{"subject":"","project_id":79,"tracker_id":40,"status_id":1,"priority_id":2,"assigned_to_id":338,"start_date":"2018-01-06","description":"","custom_fields":[{"id":1,"name":"Subdivision","value":"EC"},{"id":4,"name":"Milepost","value":"23.3297"},{"id":17,"name":"Train ID","value":"217-06"},{"id":16,"name":"Locomotive ID","value":"4030"},{"id":130,"name":"Impact","value":""},{"id":150,"name":"Time of Event (Mountain Time)","value":"18:50:38"},{"id":151,"name":"Denver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1" s="231"/>
      <c r="AL131" s="231"/>
      <c r="AM131" s="240" t="str">
        <f t="shared" si="12"/>
        <v>start /low /b %USERPROFILE%\Documents\GitHub\eaglep3\Utilities\DownloadLogsFromS3.py --loco 4030 --day 2018-01-06</v>
      </c>
      <c r="AN131" s="241" t="str">
        <f t="shared" si="13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01:50:38"},{"id":29,"name":"Sharepoint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 s="230" t="str">
        <f t="shared" si="14"/>
        <v>https://d0f6bd738d7f1b3e5a7ca70fe4ff75f0.us-east-1.aws.found.io/app/kibana#/discover/Steve-Slow-Train-Analysis-(2080s-and-2083s)?_g=(refreshInterval:(display:Off,pause:!f,section:0,value:0),time:(from:'2018-01-06T17:09:23-0700',mode:absolute,to:'2018-01-06T19:50:38-0700'))&amp;_a=(columns:!('Message%20ID',Summary),filters:!(),index:'emp_*',interval:auto,query:(query_string:(analyze_wildcard:!t,query:'%22rtdc.l.rtdc.4030%22')),sort:!(Time.ISO8601,asc))</v>
      </c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23" customFormat="1" x14ac:dyDescent="0.3">
      <c r="A132" s="229" t="s">
        <v>677</v>
      </c>
      <c r="B132" s="225">
        <v>4029</v>
      </c>
      <c r="C132" s="227" t="s">
        <v>192</v>
      </c>
      <c r="D132" s="227" t="s">
        <v>613</v>
      </c>
      <c r="E132" s="226">
        <v>43106.786377314813</v>
      </c>
      <c r="F132" s="226">
        <v>43106.80023148148</v>
      </c>
      <c r="G132" s="225">
        <v>79</v>
      </c>
      <c r="H132" s="227" t="s">
        <v>998</v>
      </c>
      <c r="I132" s="226">
        <v>43106.826215277775</v>
      </c>
      <c r="J132" s="225">
        <v>0</v>
      </c>
      <c r="K132" s="237" t="str">
        <f>IF(ISEVEN(B132),(B132-1)&amp;"/"&amp;B132,B132&amp;"/"&amp;(B132+1))</f>
        <v>4029/4030</v>
      </c>
      <c r="L132" s="245" t="str">
        <f>VLOOKUP(A132,'Trips&amp;Operators'!$C$1:$G$99911,5,FALSE)</f>
        <v>ELBAUM MIKE</v>
      </c>
      <c r="M132" s="224">
        <f>I132-F132</f>
        <v>2.5983796294895001E-2</v>
      </c>
      <c r="N132" s="225">
        <f>24*60*SUM($M132:$M132)</f>
        <v>37.416666664648801</v>
      </c>
      <c r="O132" s="225"/>
      <c r="P132" s="225"/>
      <c r="Q132" s="228"/>
      <c r="R132" s="242"/>
      <c r="S132" s="249">
        <f>1/IF(AG132="EC",12,1)*SUM(U132:U132)</f>
        <v>1</v>
      </c>
      <c r="T132" s="242" t="str">
        <f>IF(ISEVEN(LEFT(AD132,4)),"Southbound","NorthBound")</f>
        <v>Southbound</v>
      </c>
      <c r="U132" s="246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248" t="str">
        <f>"https://d0f6bd738d7f1b3e5a7ca70fe4ff75f0.us-east-1.aws.found.io/app/kibana#/discover/Steve-Slow-Train-Analysis-(2080s-and-2083s)?_g="&amp;"(refreshInterval:(display:Off,pause:!f,section:0,value:0),time:(from:'"&amp;TEXT(E132-1/24,"yyyy-MM-DDThh:mm:ss")&amp;utc_offset&amp;"00"&amp;"',mode:absolute,to:'"&amp;TEXT(I132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132&amp;"%22')),sort:!(Time.ISO8601,asc))"</f>
        <v>https://d0f6bd738d7f1b3e5a7ca70fe4ff75f0.us-east-1.aws.found.io/app/kibana#/discover/Steve-Slow-Train-Analysis-(2080s-and-2083s)?_g=(refreshInterval:(display:Off,pause:!f,section:0,value:0),time:(from:'2018-01-06T17:52:23-0700',mode:absolute,to:'2018-01-06T20:49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32" s="247" t="str">
        <f>IF(AA132&lt;VLOOKUP(AG132,Variables!$AC$3:$AD$8,2,FALSE),"Y","N")</f>
        <v>N</v>
      </c>
      <c r="X132" s="247">
        <f>VALUE(LEFT(AD132,4))-VALUE(LEFT(AD131,4))</f>
        <v>1</v>
      </c>
      <c r="Y132" s="247">
        <f>RIGHT(D132,LEN(D132)-4)/10000</f>
        <v>23.297999999999998</v>
      </c>
      <c r="Z132" s="247">
        <f>RIGHT(H132,LEN(H132)-4)/10000</f>
        <v>2.69E-2</v>
      </c>
      <c r="AA132" s="247">
        <f>ABS(Z132-Y132)</f>
        <v>23.271099999999997</v>
      </c>
      <c r="AB132" s="233" t="e">
        <f>VLOOKUP(A132,Enforcements!$C$7:$K$9,8,0)</f>
        <v>#N/A</v>
      </c>
      <c r="AC132" s="232" t="e">
        <f>VLOOKUP(A132,Enforcements!$C$7:$E$9,3,0)</f>
        <v>#N/A</v>
      </c>
      <c r="AD132" s="243">
        <f>VALUE(LEFT(A132,LEN(A132)-3))</f>
        <v>218</v>
      </c>
      <c r="AE132" s="235" t="str">
        <f>"aws s3 cp "&amp;s3_bucket&amp;"/RTDC"&amp;B132&amp;"/ "&amp;search_path&amp;"\RTDC"&amp;B132&amp;"\"&amp;TEXT(F132,"YYYY-MM-DD")&amp;" --exclude ""*"" --recursive --include ""*"&amp;TEXT(F132,"YYYYMMDD")&amp;"*"" &amp; """&amp;walkandungz&amp;""" "&amp;search_path&amp;"\RTDC"&amp;B132&amp;"\"&amp;TEXT(F132,"YYYY-MM-DD")
&amp;" &amp; "&amp;"aws s3 cp "&amp;s3_bucket&amp;"/RTDC"&amp;B132&amp;"/ "&amp;search_path&amp;"\RTDC"&amp;B132&amp;"\"&amp;TEXT(F132+1,"YYYY-MM-DD")&amp;" --exclude ""*"" --recursive --include ""*"&amp;TEXT(F132+1,"YYYYMMDD")&amp;"*"" &amp; """&amp;walkandungz&amp;""" "&amp;search_path&amp;"\RTDC"&amp;B132&amp;"\"&amp;TEXT(F132+1,"YYYY-MM-DD")</f>
        <v>aws s3 cp s3://rtdc.mdm.uploadarchive.raw/RTDC4029/ "%USERPROFILE%\AppData\Local\Temp\OnboardLogs"\RTDC4029\2018-01-06 --exclude "*" --recursive --include "*20180106*" &amp; "%USERPROFILE%\Documents\GitHub\mrs-test-scripts\Headless Mode &amp; Sideloading\WalkAndUnGZ.bat" "%USERPROFILE%\AppData\Local\Temp\OnboardLogs"\RTDC4029\2018-01-06 &amp; aws s3 cp s3://rtdc.mdm.uploadarchive.raw/RTDC4029/ "%USERPROFILE%\AppData\Local\Temp\OnboardLogs"\RTDC4029\2018-01-07 --exclude "*" --recursive --include "*20180107*" &amp; "%USERPROFILE%\Documents\GitHub\mrs-test-scripts\Headless Mode &amp; Sideloading\WalkAndUnGZ.bat" "%USERPROFILE%\AppData\Local\Temp\OnboardLogs"\RTDC4029\2018-01-07</v>
      </c>
      <c r="AF132" s="234" t="str">
        <f>astrogrep_path&amp;" /e /r /s /spath="&amp;search_path&amp;" /stypes=""app*"&amp;B132&amp;"*"&amp;TEXT(I132-utc_offset/24,"YYYYMMDD")&amp;"*"" /stext="" "&amp;TEXT(I132-utc_offset/24,"HH")&amp;search_regexp&amp;""""</f>
        <v>"C:\Program Files (x86)\AstroGrep\AstroGrep.exe" /e /r /s /spath="%USERPROFILE%\AppData\Local\Temp\OnboardLogs" /stypes="app*4029*20180107*" /stext=" 02:.+((SYSTEM_STATE.+slice.+state.+changed )|(ment ac)|(multiple cpu faults)|(system.+state.+changed )|(\[timeout)|(PRM\|1\|D)|(kpr)|(kdp)|(train st.+moving)|(\|lc)|(penalty))"</v>
      </c>
      <c r="AG132" s="244" t="str">
        <f>DetSubdiv(A132)</f>
        <v>EC</v>
      </c>
      <c r="AH132" s="236" t="str">
        <f t="shared" si="10"/>
        <v>"%USERPROFILE%\Documents\GitHub\eaglep3\Utilities\RefineRTDCRunTimes.py" --tripid 218-06 --locoid 4029 --swversion DE.1.0.9.0 --startMP 204:232980 --initTime 2018-01-06T18:52:23 --startdatetime 2018-01-06T19:12:20 --delay 79 --endMP 204:269 --enddatetime 2018-01-06T19:49:45 --enforcementcount 0 &gt;&gt;%USERPROFILE%\Documents\GitHub\eaglep3-reporting\EC\2018-01-06-refined-times.txt</v>
      </c>
      <c r="AI132" s="238" t="str">
        <f t="shared" si="11"/>
        <v>echo {"issue":{"subject":"","project_id":79,"tracker_id":40,"status_id":1,"priority_id":2,"assigned_to_id":338,"start_date":"2018-01-06","description":"","custom_fields":[{"id":1,"name":"Subdivision","value":"EC"},{"id":4,"name":"Milepost","value":"0.0269"},{"id":17,"name":"Train ID","value":"218-06"},{"id":16,"name":"Locomotive ID","value":"4029"},{"id":130,"name":"Impact","value":""},{"id":150,"name":"Time of Event (Mountain Time)","value":"19:49:45"},{"id":151,"name":"Denver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2" s="231"/>
      <c r="AL132" s="231"/>
      <c r="AM132" s="240" t="str">
        <f t="shared" si="12"/>
        <v>start /low /b %USERPROFILE%\Documents\GitHub\eaglep3\Utilities\DownloadLogsFromS3.py --loco 4029 --day 2018-01-06</v>
      </c>
      <c r="AN132" s="241" t="str">
        <f t="shared" si="13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02:49:45"},{"id":29,"name":"Sharepoint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 s="230" t="str">
        <f t="shared" si="14"/>
        <v>https://d0f6bd738d7f1b3e5a7ca70fe4ff75f0.us-east-1.aws.found.io/app/kibana#/discover/Steve-Slow-Train-Analysis-(2080s-and-2083s)?_g=(refreshInterval:(display:Off,pause:!f,section:0,value:0),time:(from:'2018-01-06T17:52:23-0700',mode:absolute,to:'2018-01-06T20:49:45-0700'))&amp;_a=(columns:!('Message%20ID',Summary),filters:!(),index:'emp_*',interval:auto,query:(query_string:(analyze_wildcard:!t,query:'%22rtdc.l.rtdc.4029%22')),sort:!(Time.ISO8601,asc))</v>
      </c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3">
      <c r="A133" s="229" t="s">
        <v>850</v>
      </c>
      <c r="B133" s="225">
        <v>4012</v>
      </c>
      <c r="C133" s="227" t="s">
        <v>192</v>
      </c>
      <c r="D133" s="227" t="s">
        <v>494</v>
      </c>
      <c r="E133" s="226">
        <v>43106.766979166663</v>
      </c>
      <c r="F133" s="226">
        <v>43106.77103009259</v>
      </c>
      <c r="G133" s="225">
        <v>87</v>
      </c>
      <c r="H133" s="227" t="s">
        <v>997</v>
      </c>
      <c r="I133" s="226">
        <v>43106.795925925922</v>
      </c>
      <c r="J133" s="225">
        <v>0</v>
      </c>
      <c r="K133" s="237" t="str">
        <f>IF(ISEVEN(B133),(B133-1)&amp;"/"&amp;B133,B133&amp;"/"&amp;(B133+1))</f>
        <v>4011/4012</v>
      </c>
      <c r="L133" s="245" t="str">
        <f>VLOOKUP(A133,'Trips&amp;Operators'!$C$1:$G$99911,5,FALSE)</f>
        <v>NICHOLSON WESLEY</v>
      </c>
      <c r="M133" s="224">
        <f>I133-F133</f>
        <v>2.4895833332266193E-2</v>
      </c>
      <c r="N133" s="225">
        <f>24*60*SUM($M133:$M133)</f>
        <v>35.849999998463318</v>
      </c>
      <c r="O133" s="225"/>
      <c r="P133" s="225"/>
      <c r="Q133" s="228"/>
      <c r="R133" s="242"/>
      <c r="S133" s="249">
        <f>1/IF(AG133="EC",12,1)*SUM(U133:U133)</f>
        <v>1</v>
      </c>
      <c r="T133" s="242" t="str">
        <f>IF(ISEVEN(LEFT(AD133,4)),"Southbound","NorthBound")</f>
        <v>NorthBound</v>
      </c>
      <c r="U133" s="246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248" t="str">
        <f>"https://d0f6bd738d7f1b3e5a7ca70fe4ff75f0.us-east-1.aws.found.io/app/kibana#/discover/Steve-Slow-Train-Analysis-(2080s-and-2083s)?_g="&amp;"(refreshInterval:(display:Off,pause:!f,section:0,value:0),time:(from:'"&amp;TEXT(E133-1/24,"yyyy-MM-DDThh:mm:ss")&amp;utc_offset&amp;"00"&amp;"',mode:absolute,to:'"&amp;TEXT(I133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133&amp;"%22')),sort:!(Time.ISO8601,asc))"</f>
        <v>https://d0f6bd738d7f1b3e5a7ca70fe4ff75f0.us-east-1.aws.found.io/app/kibana#/discover/Steve-Slow-Train-Analysis-(2080s-and-2083s)?_g=(refreshInterval:(display:Off,pause:!f,section:0,value:0),time:(from:'2018-01-06T17:24:27-0700',mode:absolute,to:'2018-01-06T20:06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33" s="247" t="str">
        <f>IF(AA133&lt;VLOOKUP(AG133,Variables!$AC$3:$AD$8,2,FALSE),"Y","N")</f>
        <v>N</v>
      </c>
      <c r="X133" s="247">
        <f>VALUE(LEFT(AD133,4))-VALUE(LEFT(AD132,4))</f>
        <v>1</v>
      </c>
      <c r="Y133" s="247">
        <f>RIGHT(D133,LEN(D133)-4)/10000</f>
        <v>4.8899999999999999E-2</v>
      </c>
      <c r="Z133" s="247">
        <f>RIGHT(H133,LEN(H133)-4)/10000</f>
        <v>23.3202</v>
      </c>
      <c r="AA133" s="247">
        <f>ABS(Z133-Y133)</f>
        <v>23.2713</v>
      </c>
      <c r="AB133" s="233" t="e">
        <f>VLOOKUP(A133,Enforcements!$C$7:$K$9,8,0)</f>
        <v>#N/A</v>
      </c>
      <c r="AC133" s="232" t="e">
        <f>VLOOKUP(A133,Enforcements!$C$7:$E$9,3,0)</f>
        <v>#N/A</v>
      </c>
      <c r="AD133" s="243">
        <f>VALUE(LEFT(A133,LEN(A133)-3))</f>
        <v>219</v>
      </c>
      <c r="AE133" s="235" t="str">
        <f>"aws s3 cp "&amp;s3_bucket&amp;"/RTDC"&amp;B133&amp;"/ "&amp;search_path&amp;"\RTDC"&amp;B133&amp;"\"&amp;TEXT(F133,"YYYY-MM-DD")&amp;" --exclude ""*"" --recursive --include ""*"&amp;TEXT(F133,"YYYYMMDD")&amp;"*"" &amp; """&amp;walkandungz&amp;""" "&amp;search_path&amp;"\RTDC"&amp;B133&amp;"\"&amp;TEXT(F133,"YYYY-MM-DD")
&amp;" &amp; "&amp;"aws s3 cp "&amp;s3_bucket&amp;"/RTDC"&amp;B133&amp;"/ "&amp;search_path&amp;"\RTDC"&amp;B133&amp;"\"&amp;TEXT(F133+1,"YYYY-MM-DD")&amp;" --exclude ""*"" --recursive --include ""*"&amp;TEXT(F133+1,"YYYYMMDD")&amp;"*"" &amp; """&amp;walkandungz&amp;""" "&amp;search_path&amp;"\RTDC"&amp;B133&amp;"\"&amp;TEXT(F133+1,"YYYY-MM-DD")</f>
        <v>aws s3 cp s3://rtdc.mdm.uploadarchive.raw/RTDC4012/ "%USERPROFILE%\AppData\Local\Temp\OnboardLogs"\RTDC4012\2018-01-06 --exclude "*" --recursive --include "*20180106*" &amp; "%USERPROFILE%\Documents\GitHub\mrs-test-scripts\Headless Mode &amp; Sideloading\WalkAndUnGZ.bat" "%USERPROFILE%\AppData\Local\Temp\OnboardLogs"\RTDC4012\2018-01-06 &amp; aws s3 cp s3://rtdc.mdm.uploadarchive.raw/RTDC4012/ "%USERPROFILE%\AppData\Local\Temp\OnboardLogs"\RTDC4012\2018-01-07 --exclude "*" --recursive --include "*20180107*" &amp; "%USERPROFILE%\Documents\GitHub\mrs-test-scripts\Headless Mode &amp; Sideloading\WalkAndUnGZ.bat" "%USERPROFILE%\AppData\Local\Temp\OnboardLogs"\RTDC4012\2018-01-07</v>
      </c>
      <c r="AF133" s="234" t="str">
        <f>astrogrep_path&amp;" /e /r /s /spath="&amp;search_path&amp;" /stypes=""app*"&amp;B133&amp;"*"&amp;TEXT(I133-utc_offset/24,"YYYYMMDD")&amp;"*"" /stext="" "&amp;TEXT(I133-utc_offset/24,"HH")&amp;search_regexp&amp;""""</f>
        <v>"C:\Program Files (x86)\AstroGrep\AstroGrep.exe" /e /r /s /spath="%USERPROFILE%\AppData\Local\Temp\OnboardLogs" /stypes="app*4012*20180107*" /stext=" 02:.+((SYSTEM_STATE.+slice.+state.+changed )|(ment ac)|(multiple cpu faults)|(system.+state.+changed )|(\[timeout)|(PRM\|1\|D)|(kpr)|(kdp)|(train st.+moving)|(\|lc)|(penalty))"</v>
      </c>
      <c r="AG133" s="244" t="str">
        <f>DetSubdiv(A133)</f>
        <v>EC</v>
      </c>
      <c r="AH133" s="236" t="str">
        <f t="shared" si="10"/>
        <v>"%USERPROFILE%\Documents\GitHub\eaglep3\Utilities\RefineRTDCRunTimes.py" --tripid 219-06 --locoid 4012 --swversion DE.1.0.9.0 --startMP 204:489 --initTime 2018-01-06T18:24:27 --startdatetime 2018-01-06T18:30:17 --delay 87 --endMP 204:233202 --enddatetime 2018-01-06T19:06:08 --enforcementcount 0 &gt;&gt;%USERPROFILE%\Documents\GitHub\eaglep3-reporting\EC\2018-01-06-refined-times.txt</v>
      </c>
      <c r="AI133" s="238" t="str">
        <f t="shared" si="11"/>
        <v>echo {"issue":{"subject":"","project_id":79,"tracker_id":40,"status_id":1,"priority_id":2,"assigned_to_id":338,"start_date":"2018-01-06","description":"","custom_fields":[{"id":1,"name":"Subdivision","value":"EC"},{"id":4,"name":"Milepost","value":"23.3202"},{"id":17,"name":"Train ID","value":"219-06"},{"id":16,"name":"Locomotive ID","value":"4012"},{"id":130,"name":"Impact","value":""},{"id":150,"name":"Time of Event (Mountain Time)","value":"19:06:08"},{"id":151,"name":"Denver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3" s="223"/>
      <c r="AK133" s="231"/>
      <c r="AL133" s="231"/>
      <c r="AM133" s="240" t="str">
        <f t="shared" si="12"/>
        <v>start /low /b %USERPROFILE%\Documents\GitHub\eaglep3\Utilities\DownloadLogsFromS3.py --loco 4012 --day 2018-01-06</v>
      </c>
      <c r="AN133" s="241" t="str">
        <f t="shared" si="13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02:06:08"},{"id":29,"name":"Sharepoint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 s="230" t="str">
        <f t="shared" si="14"/>
        <v>https://d0f6bd738d7f1b3e5a7ca70fe4ff75f0.us-east-1.aws.found.io/app/kibana#/discover/Steve-Slow-Train-Analysis-(2080s-and-2083s)?_g=(refreshInterval:(display:Off,pause:!f,section:0,value:0),time:(from:'2018-01-06T17:24:27-0700',mode:absolute,to:'2018-01-06T20:06:08-0700'))&amp;_a=(columns:!('Message%20ID',Summary),filters:!(),index:'emp_*',interval:auto,query:(query_string:(analyze_wildcard:!t,query:'%22rtdc.l.rtdc.4012%22')),sort:!(Time.ISO8601,asc))</v>
      </c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3">
      <c r="A134" s="229" t="s">
        <v>680</v>
      </c>
      <c r="B134" s="225">
        <v>4011</v>
      </c>
      <c r="C134" s="227" t="s">
        <v>192</v>
      </c>
      <c r="D134" s="227" t="s">
        <v>917</v>
      </c>
      <c r="E134" s="226">
        <v>43106.798530092594</v>
      </c>
      <c r="F134" s="226">
        <v>43106.810740740744</v>
      </c>
      <c r="G134" s="225">
        <v>86</v>
      </c>
      <c r="H134" s="227" t="s">
        <v>999</v>
      </c>
      <c r="I134" s="226">
        <v>43106.840243055558</v>
      </c>
      <c r="J134" s="225">
        <v>0</v>
      </c>
      <c r="K134" s="237" t="str">
        <f>IF(ISEVEN(B134),(B134-1)&amp;"/"&amp;B134,B134&amp;"/"&amp;(B134+1))</f>
        <v>4011/4012</v>
      </c>
      <c r="L134" s="245" t="str">
        <f>VLOOKUP(A134,'Trips&amp;Operators'!$C$1:$G$99911,5,FALSE)</f>
        <v>NICHOLSON WESLEY</v>
      </c>
      <c r="M134" s="224">
        <f>I134-F134</f>
        <v>2.9502314813726116E-2</v>
      </c>
      <c r="N134" s="225">
        <f>24*60*SUM($M134:$M134)</f>
        <v>42.483333331765607</v>
      </c>
      <c r="O134" s="225"/>
      <c r="P134" s="225"/>
      <c r="Q134" s="228"/>
      <c r="R134" s="242" t="s">
        <v>1065</v>
      </c>
      <c r="S134" s="249">
        <f>1/IF(AG134="EC",12,1)*SUM(U134:U134)</f>
        <v>1</v>
      </c>
      <c r="T134" s="242" t="str">
        <f>IF(ISEVEN(LEFT(AD134,4)),"Southbound","NorthBound")</f>
        <v>Southbound</v>
      </c>
      <c r="U134" s="246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248" t="str">
        <f>"https://d0f6bd738d7f1b3e5a7ca70fe4ff75f0.us-east-1.aws.found.io/app/kibana#/discover/Steve-Slow-Train-Analysis-(2080s-and-2083s)?_g="&amp;"(refreshInterval:(display:Off,pause:!f,section:0,value:0),time:(from:'"&amp;TEXT(E134-1/24,"yyyy-MM-DDThh:mm:ss")&amp;utc_offset&amp;"00"&amp;"',mode:absolute,to:'"&amp;TEXT(I134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134&amp;"%22')),sort:!(Time.ISO8601,asc))"</f>
        <v>https://d0f6bd738d7f1b3e5a7ca70fe4ff75f0.us-east-1.aws.found.io/app/kibana#/discover/Steve-Slow-Train-Analysis-(2080s-and-2083s)?_g=(refreshInterval:(display:Off,pause:!f,section:0,value:0),time:(from:'2018-01-06T18:09:53-0700',mode:absolute,to:'2018-01-06T21:09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34" s="247" t="str">
        <f>IF(AA134&lt;VLOOKUP(AG134,Variables!$AC$3:$AD$8,2,FALSE),"Y","N")</f>
        <v>N</v>
      </c>
      <c r="X134" s="247">
        <f>VALUE(LEFT(AD134,4))-VALUE(LEFT(AD133,4))</f>
        <v>1</v>
      </c>
      <c r="Y134" s="247">
        <f>RIGHT(D134,LEN(D134)-4)/10000</f>
        <v>23.287500000000001</v>
      </c>
      <c r="Z134" s="247">
        <f>RIGHT(H134,LEN(H134)-4)/10000</f>
        <v>9.5399999999999999E-2</v>
      </c>
      <c r="AA134" s="247">
        <f>ABS(Z134-Y134)</f>
        <v>23.1921</v>
      </c>
      <c r="AB134" s="233" t="e">
        <f>VLOOKUP(A134,Enforcements!$C$7:$K$9,8,0)</f>
        <v>#N/A</v>
      </c>
      <c r="AC134" s="232" t="e">
        <f>VLOOKUP(A134,Enforcements!$C$7:$E$9,3,0)</f>
        <v>#N/A</v>
      </c>
      <c r="AD134" s="243">
        <f>VALUE(LEFT(A134,LEN(A134)-3))</f>
        <v>220</v>
      </c>
      <c r="AE134" s="235" t="str">
        <f>"aws s3 cp "&amp;s3_bucket&amp;"/RTDC"&amp;B134&amp;"/ "&amp;search_path&amp;"\RTDC"&amp;B134&amp;"\"&amp;TEXT(F134,"YYYY-MM-DD")&amp;" --exclude ""*"" --recursive --include ""*"&amp;TEXT(F134,"YYYYMMDD")&amp;"*"" &amp; """&amp;walkandungz&amp;""" "&amp;search_path&amp;"\RTDC"&amp;B134&amp;"\"&amp;TEXT(F134,"YYYY-MM-DD")
&amp;" &amp; "&amp;"aws s3 cp "&amp;s3_bucket&amp;"/RTDC"&amp;B134&amp;"/ "&amp;search_path&amp;"\RTDC"&amp;B134&amp;"\"&amp;TEXT(F134+1,"YYYY-MM-DD")&amp;" --exclude ""*"" --recursive --include ""*"&amp;TEXT(F134+1,"YYYYMMDD")&amp;"*"" &amp; """&amp;walkandungz&amp;""" "&amp;search_path&amp;"\RTDC"&amp;B134&amp;"\"&amp;TEXT(F134+1,"YYYY-MM-DD")</f>
        <v>aws s3 cp s3://rtdc.mdm.uploadarchive.raw/RTDC4011/ "%USERPROFILE%\AppData\Local\Temp\OnboardLogs"\RTDC4011\2018-01-06 --exclude "*" --recursive --include "*20180106*" &amp; "%USERPROFILE%\Documents\GitHub\mrs-test-scripts\Headless Mode &amp; Sideloading\WalkAndUnGZ.bat" "%USERPROFILE%\AppData\Local\Temp\OnboardLogs"\RTDC4011\2018-01-06 &amp; aws s3 cp s3://rtdc.mdm.uploadarchive.raw/RTDC4011/ "%USERPROFILE%\AppData\Local\Temp\OnboardLogs"\RTDC4011\2018-01-07 --exclude "*" --recursive --include "*20180107*" &amp; "%USERPROFILE%\Documents\GitHub\mrs-test-scripts\Headless Mode &amp; Sideloading\WalkAndUnGZ.bat" "%USERPROFILE%\AppData\Local\Temp\OnboardLogs"\RTDC4011\2018-01-07</v>
      </c>
      <c r="AF134" s="234" t="str">
        <f>astrogrep_path&amp;" /e /r /s /spath="&amp;search_path&amp;" /stypes=""app*"&amp;B134&amp;"*"&amp;TEXT(I134-utc_offset/24,"YYYYMMDD")&amp;"*"" /stext="" "&amp;TEXT(I134-utc_offset/24,"HH")&amp;search_regexp&amp;""""</f>
        <v>"C:\Program Files (x86)\AstroGrep\AstroGrep.exe" /e /r /s /spath="%USERPROFILE%\AppData\Local\Temp\OnboardLogs" /stypes="app*4011*20180107*" /stext=" 03:.+((SYSTEM_STATE.+slice.+state.+changed )|(ment ac)|(multiple cpu faults)|(system.+state.+changed )|(\[timeout)|(PRM\|1\|D)|(kpr)|(kdp)|(train st.+moving)|(\|lc)|(penalty))"</v>
      </c>
      <c r="AG134" s="244" t="str">
        <f>DetSubdiv(A134)</f>
        <v>EC</v>
      </c>
      <c r="AH134" s="236" t="str">
        <f t="shared" si="10"/>
        <v>"%USERPROFILE%\Documents\GitHub\eaglep3\Utilities\RefineRTDCRunTimes.py" --tripid 220-06 --locoid 4011 --swversion DE.1.0.9.0 --startMP 204:232875 --initTime 2018-01-06T19:09:53 --startdatetime 2018-01-06T19:27:28 --delay 86 --endMP 204:954 --enddatetime 2018-01-06T20:09:57 --enforcementcount 0 &gt;&gt;%USERPROFILE%\Documents\GitHub\eaglep3-reporting\EC\2018-01-06-refined-times.txt</v>
      </c>
      <c r="AI134" s="238" t="str">
        <f t="shared" si="11"/>
        <v>echo {"issue":{"subject":"Operator observed unhealthy xing banner for Holly","project_id":79,"tracker_id":40,"status_id":1,"priority_id":2,"assigned_to_id":338,"start_date":"2018-01-06","description":"","custom_fields":[{"id":1,"name":"Subdivision","value":"EC"},{"id":4,"name":"Milepost","value":"0.0954"},{"id":17,"name":"Train ID","value":"220-06"},{"id":16,"name":"Locomotive ID","value":"4011"},{"id":130,"name":"Impact","value":""},{"id":150,"name":"Time of Event (Mountain Time)","value":"20:09:57"},{"id":151,"name":"Denver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4" s="223"/>
      <c r="AK134" s="231"/>
      <c r="AL134" s="231"/>
      <c r="AM134" s="240" t="str">
        <f t="shared" si="12"/>
        <v>start /low /b %USERPROFILE%\Documents\GitHub\eaglep3\Utilities\DownloadLogsFromS3.py --loco 4011 --day 2018-01-06</v>
      </c>
      <c r="AN134" s="241" t="str">
        <f t="shared" si="13"/>
        <v>echo {"issue":{"subject":"Operator observed unhealthy xing banner for Holly","project_id":30,"tracker_id":4,"status_id":1,"priority_id":1,"assigned_to_id":10,"start_date":"2018-01-07","description":"","custom_fields":[{"id":30,"name":"Category","value":"Issue"},{"id":3,"name":"Functional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03:09:57"},{"id":29,"name":"Sharepoint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 s="230" t="str">
        <f t="shared" si="14"/>
        <v>https://d0f6bd738d7f1b3e5a7ca70fe4ff75f0.us-east-1.aws.found.io/app/kibana#/discover/Steve-Slow-Train-Analysis-(2080s-and-2083s)?_g=(refreshInterval:(display:Off,pause:!f,section:0,value:0),time:(from:'2018-01-06T18:09:53-0700',mode:absolute,to:'2018-01-06T21:09:57-0700'))&amp;_a=(columns:!('Message%20ID',Summary),filters:!(),index:'emp_*',interval:auto,query:(query_string:(analyze_wildcard:!t,query:'%22rtdc.l.rtdc.4011%22')),sort:!(Time.ISO8601,asc))</v>
      </c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23" customFormat="1" x14ac:dyDescent="0.3">
      <c r="A135" s="229" t="s">
        <v>855</v>
      </c>
      <c r="B135" s="225">
        <v>4044</v>
      </c>
      <c r="C135" s="227" t="s">
        <v>192</v>
      </c>
      <c r="D135" s="227" t="s">
        <v>1000</v>
      </c>
      <c r="E135" s="226">
        <v>43106.789629629631</v>
      </c>
      <c r="F135" s="226">
        <v>43106.791932870372</v>
      </c>
      <c r="G135" s="225">
        <v>80</v>
      </c>
      <c r="H135" s="227" t="s">
        <v>1001</v>
      </c>
      <c r="I135" s="226">
        <v>43106.817060185182</v>
      </c>
      <c r="J135" s="225">
        <v>0</v>
      </c>
      <c r="K135" s="237" t="str">
        <f>IF(ISEVEN(B135),(B135-1)&amp;"/"&amp;B135,B135&amp;"/"&amp;(B135+1))</f>
        <v>4043/4044</v>
      </c>
      <c r="L135" s="245" t="str">
        <f>VLOOKUP(A135,'Trips&amp;Operators'!$C$1:$G$99911,5,FALSE)</f>
        <v>ANDERS STEVEN</v>
      </c>
      <c r="M135" s="224">
        <f>I135-F135</f>
        <v>2.512731480965158E-2</v>
      </c>
      <c r="N135" s="225">
        <f>24*60*SUM($M135:$M135)</f>
        <v>36.183333325898275</v>
      </c>
      <c r="O135" s="225"/>
      <c r="P135" s="225"/>
      <c r="Q135" s="228"/>
      <c r="R135" s="242"/>
      <c r="S135" s="249">
        <f>1/IF(AG135="EC",12,1)*SUM(U135:U135)</f>
        <v>1</v>
      </c>
      <c r="T135" s="242" t="str">
        <f>IF(ISEVEN(LEFT(AD135,4)),"Southbound","NorthBound")</f>
        <v>NorthBound</v>
      </c>
      <c r="U135" s="246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248" t="str">
        <f>"https://d0f6bd738d7f1b3e5a7ca70fe4ff75f0.us-east-1.aws.found.io/app/kibana#/discover/Steve-Slow-Train-Analysis-(2080s-and-2083s)?_g="&amp;"(refreshInterval:(display:Off,pause:!f,section:0,value:0),time:(from:'"&amp;TEXT(E135-1/24,"yyyy-MM-DDThh:mm:ss")&amp;utc_offset&amp;"00"&amp;"',mode:absolute,to:'"&amp;TEXT(I135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135&amp;"%22')),sort:!(Time.ISO8601,asc))"</f>
        <v>https://d0f6bd738d7f1b3e5a7ca70fe4ff75f0.us-east-1.aws.found.io/app/kibana#/discover/Steve-Slow-Train-Analysis-(2080s-and-2083s)?_g=(refreshInterval:(display:Off,pause:!f,section:0,value:0),time:(from:'2018-01-06T17:57:04-0700',mode:absolute,to:'2018-01-06T20:36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35" s="247" t="str">
        <f>IF(AA135&lt;VLOOKUP(AG135,Variables!$AC$3:$AD$8,2,FALSE),"Y","N")</f>
        <v>N</v>
      </c>
      <c r="X135" s="247">
        <f>VALUE(LEFT(AD135,4))-VALUE(LEFT(AD134,4))</f>
        <v>1</v>
      </c>
      <c r="Y135" s="247">
        <f>RIGHT(D135,LEN(D135)-4)/10000</f>
        <v>5.7500000000000002E-2</v>
      </c>
      <c r="Z135" s="247">
        <f>RIGHT(H135,LEN(H135)-4)/10000</f>
        <v>23.3246</v>
      </c>
      <c r="AA135" s="247">
        <f>ABS(Z135-Y135)</f>
        <v>23.267099999999999</v>
      </c>
      <c r="AB135" s="233" t="e">
        <f>VLOOKUP(A135,Enforcements!$C$7:$K$9,8,0)</f>
        <v>#N/A</v>
      </c>
      <c r="AC135" s="232" t="e">
        <f>VLOOKUP(A135,Enforcements!$C$7:$E$9,3,0)</f>
        <v>#N/A</v>
      </c>
      <c r="AD135" s="243">
        <f>VALUE(LEFT(A135,LEN(A135)-3))</f>
        <v>221</v>
      </c>
      <c r="AE135" s="235" t="str">
        <f>"aws s3 cp "&amp;s3_bucket&amp;"/RTDC"&amp;B135&amp;"/ "&amp;search_path&amp;"\RTDC"&amp;B135&amp;"\"&amp;TEXT(F135,"YYYY-MM-DD")&amp;" --exclude ""*"" --recursive --include ""*"&amp;TEXT(F135,"YYYYMMDD")&amp;"*"" &amp; """&amp;walkandungz&amp;""" "&amp;search_path&amp;"\RTDC"&amp;B135&amp;"\"&amp;TEXT(F135,"YYYY-MM-DD")
&amp;" &amp; "&amp;"aws s3 cp "&amp;s3_bucket&amp;"/RTDC"&amp;B135&amp;"/ "&amp;search_path&amp;"\RTDC"&amp;B135&amp;"\"&amp;TEXT(F135+1,"YYYY-MM-DD")&amp;" --exclude ""*"" --recursive --include ""*"&amp;TEXT(F135+1,"YYYYMMDD")&amp;"*"" &amp; """&amp;walkandungz&amp;""" "&amp;search_path&amp;"\RTDC"&amp;B135&amp;"\"&amp;TEXT(F135+1,"YYYY-MM-DD")</f>
        <v>aws s3 cp s3://rtdc.mdm.uploadarchive.raw/RTDC4044/ "%USERPROFILE%\AppData\Local\Temp\OnboardLogs"\RTDC4044\2018-01-06 --exclude "*" --recursive --include "*20180106*" &amp; "%USERPROFILE%\Documents\GitHub\mrs-test-scripts\Headless Mode &amp; Sideloading\WalkAndUnGZ.bat" "%USERPROFILE%\AppData\Local\Temp\OnboardLogs"\RTDC4044\2018-01-06 &amp; aws s3 cp s3://rtdc.mdm.uploadarchive.raw/RTDC4044/ "%USERPROFILE%\AppData\Local\Temp\OnboardLogs"\RTDC4044\2018-01-07 --exclude "*" --recursive --include "*20180107*" &amp; "%USERPROFILE%\Documents\GitHub\mrs-test-scripts\Headless Mode &amp; Sideloading\WalkAndUnGZ.bat" "%USERPROFILE%\AppData\Local\Temp\OnboardLogs"\RTDC4044\2018-01-07</v>
      </c>
      <c r="AF135" s="234" t="str">
        <f>astrogrep_path&amp;" /e /r /s /spath="&amp;search_path&amp;" /stypes=""app*"&amp;B135&amp;"*"&amp;TEXT(I135-utc_offset/24,"YYYYMMDD")&amp;"*"" /stext="" "&amp;TEXT(I135-utc_offset/24,"HH")&amp;search_regexp&amp;""""</f>
        <v>"C:\Program Files (x86)\AstroGrep\AstroGrep.exe" /e /r /s /spath="%USERPROFILE%\AppData\Local\Temp\OnboardLogs" /stypes="app*4044*20180107*" /stext=" 02:.+((SYSTEM_STATE.+slice.+state.+changed )|(ment ac)|(multiple cpu faults)|(system.+state.+changed )|(\[timeout)|(PRM\|1\|D)|(kpr)|(kdp)|(train st.+moving)|(\|lc)|(penalty))"</v>
      </c>
      <c r="AG135" s="244" t="str">
        <f>DetSubdiv(A135)</f>
        <v>EC</v>
      </c>
      <c r="AH135" s="236" t="str">
        <f t="shared" si="10"/>
        <v>"%USERPROFILE%\Documents\GitHub\eaglep3\Utilities\RefineRTDCRunTimes.py" --tripid 221-06 --locoid 4044 --swversion DE.1.0.9.0 --startMP 204:575 --initTime 2018-01-06T18:57:04 --startdatetime 2018-01-06T19:00:23 --delay 80 --endMP 204:233246 --enddatetime 2018-01-06T19:36:34 --enforcementcount 0 &gt;&gt;%USERPROFILE%\Documents\GitHub\eaglep3-reporting\EC\2018-01-06-refined-times.txt</v>
      </c>
      <c r="AI135" s="238" t="str">
        <f t="shared" si="11"/>
        <v>echo {"issue":{"subject":"","project_id":79,"tracker_id":40,"status_id":1,"priority_id":2,"assigned_to_id":338,"start_date":"2018-01-06","description":"","custom_fields":[{"id":1,"name":"Subdivision","value":"EC"},{"id":4,"name":"Milepost","value":"23.3246"},{"id":17,"name":"Train ID","value":"221-06"},{"id":16,"name":"Locomotive ID","value":"4044"},{"id":130,"name":"Impact","value":""},{"id":150,"name":"Time of Event (Mountain Time)","value":"19:36:34"},{"id":151,"name":"Denver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5" s="231"/>
      <c r="AL135" s="231"/>
      <c r="AM135" s="240" t="str">
        <f t="shared" si="12"/>
        <v>start /low /b %USERPROFILE%\Documents\GitHub\eaglep3\Utilities\DownloadLogsFromS3.py --loco 4044 --day 2018-01-06</v>
      </c>
      <c r="AN135" s="241" t="str">
        <f t="shared" si="13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02:36:34"},{"id":29,"name":"Sharepoint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 s="230" t="str">
        <f t="shared" si="14"/>
        <v>https://d0f6bd738d7f1b3e5a7ca70fe4ff75f0.us-east-1.aws.found.io/app/kibana#/discover/Steve-Slow-Train-Analysis-(2080s-and-2083s)?_g=(refreshInterval:(display:Off,pause:!f,section:0,value:0),time:(from:'2018-01-06T17:57:04-0700',mode:absolute,to:'2018-01-06T20:36:34-0700'))&amp;_a=(columns:!('Message%20ID',Summary),filters:!(),index:'emp_*',interval:auto,query:(query_string:(analyze_wildcard:!t,query:'%22rtdc.l.rtdc.4044%22')),sort:!(Time.ISO8601,asc))</v>
      </c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23" customFormat="1" x14ac:dyDescent="0.3">
      <c r="A136" s="229" t="s">
        <v>679</v>
      </c>
      <c r="B136" s="225">
        <v>4043</v>
      </c>
      <c r="C136" s="227" t="s">
        <v>192</v>
      </c>
      <c r="D136" s="227" t="s">
        <v>1002</v>
      </c>
      <c r="E136" s="226">
        <v>43106.828969907408</v>
      </c>
      <c r="F136" s="226">
        <v>43106.83152777778</v>
      </c>
      <c r="G136" s="225">
        <v>61</v>
      </c>
      <c r="H136" s="227" t="s">
        <v>495</v>
      </c>
      <c r="I136" s="226">
        <v>43106.859409722223</v>
      </c>
      <c r="J136" s="225">
        <v>0</v>
      </c>
      <c r="K136" s="237" t="str">
        <f>IF(ISEVEN(B136),(B136-1)&amp;"/"&amp;B136,B136&amp;"/"&amp;(B136+1))</f>
        <v>4043/4044</v>
      </c>
      <c r="L136" s="245" t="str">
        <f>VLOOKUP(A136,'Trips&amp;Operators'!$C$1:$G$99911,5,FALSE)</f>
        <v>ANDERS STEVEN</v>
      </c>
      <c r="M136" s="224">
        <f>I136-F136</f>
        <v>2.7881944442924578E-2</v>
      </c>
      <c r="N136" s="225">
        <f>24*60*SUM($M136:$M136)</f>
        <v>40.149999997811392</v>
      </c>
      <c r="O136" s="225"/>
      <c r="P136" s="225"/>
      <c r="Q136" s="228"/>
      <c r="R136" s="242"/>
      <c r="S136" s="249">
        <f>1/IF(AG136="EC",12,1)*SUM(U136:U136)</f>
        <v>1</v>
      </c>
      <c r="T136" s="242" t="str">
        <f>IF(ISEVEN(LEFT(AD136,4)),"Southbound","NorthBound")</f>
        <v>Southbound</v>
      </c>
      <c r="U136" s="246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248" t="str">
        <f>"https://d0f6bd738d7f1b3e5a7ca70fe4ff75f0.us-east-1.aws.found.io/app/kibana#/discover/Steve-Slow-Train-Analysis-(2080s-and-2083s)?_g="&amp;"(refreshInterval:(display:Off,pause:!f,section:0,value:0),time:(from:'"&amp;TEXT(E136-1/24,"yyyy-MM-DDThh:mm:ss")&amp;utc_offset&amp;"00"&amp;"',mode:absolute,to:'"&amp;TEXT(I136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136&amp;"%22')),sort:!(Time.ISO8601,asc))"</f>
        <v>https://d0f6bd738d7f1b3e5a7ca70fe4ff75f0.us-east-1.aws.found.io/app/kibana#/discover/Steve-Slow-Train-Analysis-(2080s-and-2083s)?_g=(refreshInterval:(display:Off,pause:!f,section:0,value:0),time:(from:'2018-01-06T18:53:43-0700',mode:absolute,to:'2018-01-06T21:37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36" s="247" t="str">
        <f>IF(AA136&lt;VLOOKUP(AG136,Variables!$AC$3:$AD$8,2,FALSE),"Y","N")</f>
        <v>N</v>
      </c>
      <c r="X136" s="247">
        <f>VALUE(LEFT(AD136,4))-VALUE(LEFT(AD135,4))</f>
        <v>1</v>
      </c>
      <c r="Y136" s="247">
        <f>RIGHT(D136,LEN(D136)-4)/10000</f>
        <v>23.295300000000001</v>
      </c>
      <c r="Z136" s="247">
        <f>RIGHT(H136,LEN(H136)-4)/10000</f>
        <v>2.1399999999999999E-2</v>
      </c>
      <c r="AA136" s="247">
        <f>ABS(Z136-Y136)</f>
        <v>23.273900000000001</v>
      </c>
      <c r="AB136" s="233" t="e">
        <f>VLOOKUP(A136,Enforcements!$C$7:$K$9,8,0)</f>
        <v>#N/A</v>
      </c>
      <c r="AC136" s="232" t="e">
        <f>VLOOKUP(A136,Enforcements!$C$7:$E$9,3,0)</f>
        <v>#N/A</v>
      </c>
      <c r="AD136" s="243">
        <f>VALUE(LEFT(A136,LEN(A136)-3))</f>
        <v>222</v>
      </c>
      <c r="AE136" s="235" t="str">
        <f>"aws s3 cp "&amp;s3_bucket&amp;"/RTDC"&amp;B136&amp;"/ "&amp;search_path&amp;"\RTDC"&amp;B136&amp;"\"&amp;TEXT(F136,"YYYY-MM-DD")&amp;" --exclude ""*"" --recursive --include ""*"&amp;TEXT(F136,"YYYYMMDD")&amp;"*"" &amp; """&amp;walkandungz&amp;""" "&amp;search_path&amp;"\RTDC"&amp;B136&amp;"\"&amp;TEXT(F136,"YYYY-MM-DD")
&amp;" &amp; "&amp;"aws s3 cp "&amp;s3_bucket&amp;"/RTDC"&amp;B136&amp;"/ "&amp;search_path&amp;"\RTDC"&amp;B136&amp;"\"&amp;TEXT(F136+1,"YYYY-MM-DD")&amp;" --exclude ""*"" --recursive --include ""*"&amp;TEXT(F136+1,"YYYYMMDD")&amp;"*"" &amp; """&amp;walkandungz&amp;""" "&amp;search_path&amp;"\RTDC"&amp;B136&amp;"\"&amp;TEXT(F136+1,"YYYY-MM-DD")</f>
        <v>aws s3 cp s3://rtdc.mdm.uploadarchive.raw/RTDC4043/ "%USERPROFILE%\AppData\Local\Temp\OnboardLogs"\RTDC4043\2018-01-06 --exclude "*" --recursive --include "*20180106*" &amp; "%USERPROFILE%\Documents\GitHub\mrs-test-scripts\Headless Mode &amp; Sideloading\WalkAndUnGZ.bat" "%USERPROFILE%\AppData\Local\Temp\OnboardLogs"\RTDC4043\2018-01-06 &amp; aws s3 cp s3://rtdc.mdm.uploadarchive.raw/RTDC4043/ "%USERPROFILE%\AppData\Local\Temp\OnboardLogs"\RTDC4043\2018-01-07 --exclude "*" --recursive --include "*20180107*" &amp; "%USERPROFILE%\Documents\GitHub\mrs-test-scripts\Headless Mode &amp; Sideloading\WalkAndUnGZ.bat" "%USERPROFILE%\AppData\Local\Temp\OnboardLogs"\RTDC4043\2018-01-07</v>
      </c>
      <c r="AF136" s="234" t="str">
        <f>astrogrep_path&amp;" /e /r /s /spath="&amp;search_path&amp;" /stypes=""app*"&amp;B136&amp;"*"&amp;TEXT(I136-utc_offset/24,"YYYYMMDD")&amp;"*"" /stext="" "&amp;TEXT(I136-utc_offset/24,"HH")&amp;search_regexp&amp;""""</f>
        <v>"C:\Program Files (x86)\AstroGrep\AstroGrep.exe" /e /r /s /spath="%USERPROFILE%\AppData\Local\Temp\OnboardLogs" /stypes="app*4043*20180107*" /stext=" 03:.+((SYSTEM_STATE.+slice.+state.+changed )|(ment ac)|(multiple cpu faults)|(system.+state.+changed )|(\[timeout)|(PRM\|1\|D)|(kpr)|(kdp)|(train st.+moving)|(\|lc)|(penalty))"</v>
      </c>
      <c r="AG136" s="244" t="str">
        <f>DetSubdiv(A136)</f>
        <v>EC</v>
      </c>
      <c r="AH136" s="236" t="str">
        <f t="shared" si="10"/>
        <v>"%USERPROFILE%\Documents\GitHub\eaglep3\Utilities\RefineRTDCRunTimes.py" --tripid 222-06 --locoid 4043 --swversion DE.1.0.9.0 --startMP 204:232953 --initTime 2018-01-06T19:53:43 --startdatetime 2018-01-06T19:57:24 --delay 61 --endMP 204:214 --enddatetime 2018-01-06T20:37:33 --enforcementcount 0 &gt;&gt;%USERPROFILE%\Documents\GitHub\eaglep3-reporting\EC\2018-01-06-refined-times.txt</v>
      </c>
      <c r="AI136" s="238" t="str">
        <f t="shared" si="11"/>
        <v>echo {"issue":{"subject":"","project_id":79,"tracker_id":40,"status_id":1,"priority_id":2,"assigned_to_id":338,"start_date":"2018-01-06","description":"","custom_fields":[{"id":1,"name":"Subdivision","value":"EC"},{"id":4,"name":"Milepost","value":"0.0214"},{"id":17,"name":"Train ID","value":"222-06"},{"id":16,"name":"Locomotive ID","value":"4043"},{"id":130,"name":"Impact","value":""},{"id":150,"name":"Time of Event (Mountain Time)","value":"20:37:33"},{"id":151,"name":"Denver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6" s="231"/>
      <c r="AL136" s="231"/>
      <c r="AM136" s="240" t="str">
        <f t="shared" si="12"/>
        <v>start /low /b %USERPROFILE%\Documents\GitHub\eaglep3\Utilities\DownloadLogsFromS3.py --loco 4043 --day 2018-01-06</v>
      </c>
      <c r="AN136" s="241" t="str">
        <f t="shared" si="13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03:37:33"},{"id":29,"name":"Sharepoint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 s="230" t="str">
        <f t="shared" si="14"/>
        <v>https://d0f6bd738d7f1b3e5a7ca70fe4ff75f0.us-east-1.aws.found.io/app/kibana#/discover/Steve-Slow-Train-Analysis-(2080s-and-2083s)?_g=(refreshInterval:(display:Off,pause:!f,section:0,value:0),time:(from:'2018-01-06T18:53:43-0700',mode:absolute,to:'2018-01-06T21:37:33-0700'))&amp;_a=(columns:!('Message%20ID',Summary),filters:!(),index:'emp_*',interval:auto,query:(query_string:(analyze_wildcard:!t,query:'%22rtdc.l.rtdc.4043%22')),sort:!(Time.ISO8601,asc))</v>
      </c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3">
      <c r="A137" s="229" t="s">
        <v>679</v>
      </c>
      <c r="B137" s="225">
        <v>4043</v>
      </c>
      <c r="C137" s="227" t="s">
        <v>192</v>
      </c>
      <c r="D137" s="227" t="s">
        <v>1003</v>
      </c>
      <c r="E137" s="226">
        <v>43106.822534722225</v>
      </c>
      <c r="F137" s="226">
        <v>43106.83152777778</v>
      </c>
      <c r="G137" s="225">
        <v>59</v>
      </c>
      <c r="H137" s="227" t="s">
        <v>608</v>
      </c>
      <c r="I137" s="226">
        <v>43106.859409722223</v>
      </c>
      <c r="J137" s="225">
        <v>0</v>
      </c>
      <c r="K137" s="237" t="str">
        <f>IF(ISEVEN(B137),(B137-1)&amp;"/"&amp;B137,B137&amp;"/"&amp;(B137+1))</f>
        <v>4043/4044</v>
      </c>
      <c r="L137" s="245" t="str">
        <f>VLOOKUP(A137,'Trips&amp;Operators'!$C$1:$G$99911,5,FALSE)</f>
        <v>ANDERS STEVEN</v>
      </c>
      <c r="M137" s="224">
        <f>I137-F137</f>
        <v>2.7881944442924578E-2</v>
      </c>
      <c r="N137" s="225"/>
      <c r="O137" s="225"/>
      <c r="P137" s="225"/>
      <c r="Q137" s="228"/>
      <c r="R137" s="242"/>
      <c r="S137" s="249"/>
      <c r="T137" s="242" t="str">
        <f>IF(ISEVEN(LEFT(AD137,4)),"Southbound","NorthBound")</f>
        <v>Southbound</v>
      </c>
      <c r="U137" s="246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0</v>
      </c>
      <c r="V137" s="248" t="str">
        <f>"https://d0f6bd738d7f1b3e5a7ca70fe4ff75f0.us-east-1.aws.found.io/app/kibana#/discover/Steve-Slow-Train-Analysis-(2080s-and-2083s)?_g="&amp;"(refreshInterval:(display:Off,pause:!f,section:0,value:0),time:(from:'"&amp;TEXT(E137-1/24,"yyyy-MM-DDThh:mm:ss")&amp;utc_offset&amp;"00"&amp;"',mode:absolute,to:'"&amp;TEXT(I137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137&amp;"%22')),sort:!(Time.ISO8601,asc))"</f>
        <v>https://d0f6bd738d7f1b3e5a7ca70fe4ff75f0.us-east-1.aws.found.io/app/kibana#/discover/Steve-Slow-Train-Analysis-(2080s-and-2083s)?_g=(refreshInterval:(display:Off,pause:!f,section:0,value:0),time:(from:'2018-01-06T18:44:27-0700',mode:absolute,to:'2018-01-06T21:37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37" s="247" t="str">
        <f>IF(AA137&lt;VLOOKUP(AG137,Variables!$AC$3:$AD$8,2,FALSE),"Y","N")</f>
        <v>Y</v>
      </c>
      <c r="X137" s="247">
        <f>VALUE(LEFT(AD137,4))-VALUE(LEFT(AD136,4))</f>
        <v>0</v>
      </c>
      <c r="Y137" s="247">
        <f>RIGHT(D137,LEN(D137)-4)/10000</f>
        <v>23.295100000000001</v>
      </c>
      <c r="Z137" s="247">
        <f>RIGHT(H137,LEN(H137)-4)/10000</f>
        <v>23.295500000000001</v>
      </c>
      <c r="AA137" s="247">
        <f>ABS(Z137-Y137)</f>
        <v>3.9999999999906777E-4</v>
      </c>
      <c r="AB137" s="233" t="e">
        <f>VLOOKUP(A137,Enforcements!$C$7:$K$9,8,0)</f>
        <v>#N/A</v>
      </c>
      <c r="AC137" s="232" t="e">
        <f>VLOOKUP(A137,Enforcements!$C$7:$E$9,3,0)</f>
        <v>#N/A</v>
      </c>
      <c r="AD137" s="243">
        <f>VALUE(LEFT(A137,LEN(A137)-3))</f>
        <v>222</v>
      </c>
      <c r="AE137" s="235" t="str">
        <f>"aws s3 cp "&amp;s3_bucket&amp;"/RTDC"&amp;B137&amp;"/ "&amp;search_path&amp;"\RTDC"&amp;B137&amp;"\"&amp;TEXT(F137,"YYYY-MM-DD")&amp;" --exclude ""*"" --recursive --include ""*"&amp;TEXT(F137,"YYYYMMDD")&amp;"*"" &amp; """&amp;walkandungz&amp;""" "&amp;search_path&amp;"\RTDC"&amp;B137&amp;"\"&amp;TEXT(F137,"YYYY-MM-DD")
&amp;" &amp; "&amp;"aws s3 cp "&amp;s3_bucket&amp;"/RTDC"&amp;B137&amp;"/ "&amp;search_path&amp;"\RTDC"&amp;B137&amp;"\"&amp;TEXT(F137+1,"YYYY-MM-DD")&amp;" --exclude ""*"" --recursive --include ""*"&amp;TEXT(F137+1,"YYYYMMDD")&amp;"*"" &amp; """&amp;walkandungz&amp;""" "&amp;search_path&amp;"\RTDC"&amp;B137&amp;"\"&amp;TEXT(F137+1,"YYYY-MM-DD")</f>
        <v>aws s3 cp s3://rtdc.mdm.uploadarchive.raw/RTDC4043/ "%USERPROFILE%\AppData\Local\Temp\OnboardLogs"\RTDC4043\2018-01-06 --exclude "*" --recursive --include "*20180106*" &amp; "%USERPROFILE%\Documents\GitHub\mrs-test-scripts\Headless Mode &amp; Sideloading\WalkAndUnGZ.bat" "%USERPROFILE%\AppData\Local\Temp\OnboardLogs"\RTDC4043\2018-01-06 &amp; aws s3 cp s3://rtdc.mdm.uploadarchive.raw/RTDC4043/ "%USERPROFILE%\AppData\Local\Temp\OnboardLogs"\RTDC4043\2018-01-07 --exclude "*" --recursive --include "*20180107*" &amp; "%USERPROFILE%\Documents\GitHub\mrs-test-scripts\Headless Mode &amp; Sideloading\WalkAndUnGZ.bat" "%USERPROFILE%\AppData\Local\Temp\OnboardLogs"\RTDC4043\2018-01-07</v>
      </c>
      <c r="AF137" s="234" t="str">
        <f>astrogrep_path&amp;" /e /r /s /spath="&amp;search_path&amp;" /stypes=""app*"&amp;B137&amp;"*"&amp;TEXT(I137-utc_offset/24,"YYYYMMDD")&amp;"*"" /stext="" "&amp;TEXT(I137-utc_offset/24,"HH")&amp;search_regexp&amp;""""</f>
        <v>"C:\Program Files (x86)\AstroGrep\AstroGrep.exe" /e /r /s /spath="%USERPROFILE%\AppData\Local\Temp\OnboardLogs" /stypes="app*4043*20180107*" /stext=" 03:.+((SYSTEM_STATE.+slice.+state.+changed )|(ment ac)|(multiple cpu faults)|(system.+state.+changed )|(\[timeout)|(PRM\|1\|D)|(kpr)|(kdp)|(train st.+moving)|(\|lc)|(penalty))"</v>
      </c>
      <c r="AG137" s="244" t="str">
        <f>DetSubdiv(A137)</f>
        <v>EC</v>
      </c>
      <c r="AH137" s="236" t="str">
        <f t="shared" si="10"/>
        <v>"%USERPROFILE%\Documents\GitHub\eaglep3\Utilities\RefineRTDCRunTimes.py" --tripid 222-06 --locoid 4043 --swversion DE.1.0.9.0 --startMP 204:232951 --initTime 2018-01-06T19:44:27 --startdatetime 2018-01-06T19:57:24 --delay 59 --endMP 204:232955 --enddatetime 2018-01-06T20:37:33 --enforcementcount 0 &gt;&gt;%USERPROFILE%\Documents\GitHub\eaglep3-reporting\EC\2018-01-06-refined-times.txt</v>
      </c>
      <c r="AI137" s="238" t="str">
        <f t="shared" si="11"/>
        <v>echo {"issue":{"subject":"","project_id":79,"tracker_id":40,"status_id":1,"priority_id":2,"assigned_to_id":338,"start_date":"2018-01-06","description":"","custom_fields":[{"id":1,"name":"Subdivision","value":"EC"},{"id":4,"name":"Milepost","value":"23.2955"},{"id":17,"name":"Train ID","value":"222-06"},{"id":16,"name":"Locomotive ID","value":"4043"},{"id":130,"name":"Impact","value":""},{"id":150,"name":"Time of Event (Mountain Time)","value":"20:37:33"},{"id":151,"name":"Denver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7" s="223"/>
      <c r="AK137" s="231"/>
      <c r="AL137" s="231"/>
      <c r="AM137" s="240" t="str">
        <f t="shared" si="12"/>
        <v>start /low /b %USERPROFILE%\Documents\GitHub\eaglep3\Utilities\DownloadLogsFromS3.py --loco 4043 --day 2018-01-06</v>
      </c>
      <c r="AN137" s="241" t="str">
        <f t="shared" si="13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03:37:33"},{"id":29,"name":"Sharepoint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 s="230" t="str">
        <f t="shared" si="14"/>
        <v>https://d0f6bd738d7f1b3e5a7ca70fe4ff75f0.us-east-1.aws.found.io/app/kibana#/discover/Steve-Slow-Train-Analysis-(2080s-and-2083s)?_g=(refreshInterval:(display:Off,pause:!f,section:0,value:0),time:(from:'2018-01-06T18:44:27-0700',mode:absolute,to:'2018-01-06T21:37:33-0700'))&amp;_a=(columns:!('Message%20ID',Summary),filters:!(),index:'emp_*',interval:auto,query:(query_string:(analyze_wildcard:!t,query:'%22rtdc.l.rtdc.4043%22')),sort:!(Time.ISO8601,asc))</v>
      </c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3">
      <c r="A138" s="229" t="s">
        <v>858</v>
      </c>
      <c r="B138" s="225">
        <v>4064</v>
      </c>
      <c r="C138" s="227" t="s">
        <v>192</v>
      </c>
      <c r="D138" s="227" t="s">
        <v>511</v>
      </c>
      <c r="E138" s="226">
        <v>43106.806504629632</v>
      </c>
      <c r="F138" s="226">
        <v>43106.812650462962</v>
      </c>
      <c r="G138" s="225">
        <v>57</v>
      </c>
      <c r="H138" s="227" t="s">
        <v>1004</v>
      </c>
      <c r="I138" s="226">
        <v>43106.837488425925</v>
      </c>
      <c r="J138" s="225">
        <v>0</v>
      </c>
      <c r="K138" s="237" t="str">
        <f>IF(ISEVEN(B138),(B138-1)&amp;"/"&amp;B138,B138&amp;"/"&amp;(B138+1))</f>
        <v>4063/4064</v>
      </c>
      <c r="L138" s="245" t="str">
        <f>VLOOKUP(A138,'Trips&amp;Operators'!$C$1:$G$99911,5,FALSE)</f>
        <v>FORTUNATO FRANK</v>
      </c>
      <c r="M138" s="224">
        <f>I138-F138</f>
        <v>2.4837962962919846E-2</v>
      </c>
      <c r="N138" s="225">
        <f>24*60*SUM($M138:$M138)</f>
        <v>35.766666666604578</v>
      </c>
      <c r="O138" s="225"/>
      <c r="P138" s="225"/>
      <c r="Q138" s="228"/>
      <c r="R138" s="242"/>
      <c r="S138" s="249">
        <f>1/IF(AG138="EC",12,1)*SUM(U138:U138)</f>
        <v>1</v>
      </c>
      <c r="T138" s="242" t="str">
        <f>IF(ISEVEN(LEFT(AD138,4)),"Southbound","NorthBound")</f>
        <v>NorthBound</v>
      </c>
      <c r="U138" s="246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248" t="str">
        <f>"https://d0f6bd738d7f1b3e5a7ca70fe4ff75f0.us-east-1.aws.found.io/app/kibana#/discover/Steve-Slow-Train-Analysis-(2080s-and-2083s)?_g="&amp;"(refreshInterval:(display:Off,pause:!f,section:0,value:0),time:(from:'"&amp;TEXT(E138-1/24,"yyyy-MM-DDThh:mm:ss")&amp;utc_offset&amp;"00"&amp;"',mode:absolute,to:'"&amp;TEXT(I138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138&amp;"%22')),sort:!(Time.ISO8601,asc))"</f>
        <v>https://d0f6bd738d7f1b3e5a7ca70fe4ff75f0.us-east-1.aws.found.io/app/kibana#/discover/Steve-Slow-Train-Analysis-(2080s-and-2083s)?_g=(refreshInterval:(display:Off,pause:!f,section:0,value:0),time:(from:'2018-01-06T18:21:22-0700',mode:absolute,to:'2018-01-06T21:05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38" s="247" t="str">
        <f>IF(AA138&lt;VLOOKUP(AG138,Variables!$AC$3:$AD$8,2,FALSE),"Y","N")</f>
        <v>N</v>
      </c>
      <c r="X138" s="247">
        <f>VALUE(LEFT(AD138,4))-VALUE(LEFT(AD137,4))</f>
        <v>1</v>
      </c>
      <c r="Y138" s="247">
        <f>RIGHT(D138,LEN(D138)-4)/10000</f>
        <v>4.9799999999999997E-2</v>
      </c>
      <c r="Z138" s="247">
        <f>RIGHT(H138,LEN(H138)-4)/10000</f>
        <v>23.32</v>
      </c>
      <c r="AA138" s="247">
        <f>ABS(Z138-Y138)</f>
        <v>23.270199999999999</v>
      </c>
      <c r="AB138" s="233" t="e">
        <f>VLOOKUP(A138,Enforcements!$C$7:$K$9,8,0)</f>
        <v>#N/A</v>
      </c>
      <c r="AC138" s="232" t="e">
        <f>VLOOKUP(A138,Enforcements!$C$7:$E$9,3,0)</f>
        <v>#N/A</v>
      </c>
      <c r="AD138" s="243">
        <f>VALUE(LEFT(A138,LEN(A138)-3))</f>
        <v>223</v>
      </c>
      <c r="AE138" s="235" t="str">
        <f>"aws s3 cp "&amp;s3_bucket&amp;"/RTDC"&amp;B138&amp;"/ "&amp;search_path&amp;"\RTDC"&amp;B138&amp;"\"&amp;TEXT(F138,"YYYY-MM-DD")&amp;" --exclude ""*"" --recursive --include ""*"&amp;TEXT(F138,"YYYYMMDD")&amp;"*"" &amp; """&amp;walkandungz&amp;""" "&amp;search_path&amp;"\RTDC"&amp;B138&amp;"\"&amp;TEXT(F138,"YYYY-MM-DD")
&amp;" &amp; "&amp;"aws s3 cp "&amp;s3_bucket&amp;"/RTDC"&amp;B138&amp;"/ "&amp;search_path&amp;"\RTDC"&amp;B138&amp;"\"&amp;TEXT(F138+1,"YYYY-MM-DD")&amp;" --exclude ""*"" --recursive --include ""*"&amp;TEXT(F138+1,"YYYYMMDD")&amp;"*"" &amp; """&amp;walkandungz&amp;""" "&amp;search_path&amp;"\RTDC"&amp;B138&amp;"\"&amp;TEXT(F138+1,"YYYY-MM-DD")</f>
        <v>aws s3 cp s3://rtdc.mdm.uploadarchive.raw/RTDC4064/ "%USERPROFILE%\AppData\Local\Temp\OnboardLogs"\RTDC4064\2018-01-06 --exclude "*" --recursive --include "*20180106*" &amp; "%USERPROFILE%\Documents\GitHub\mrs-test-scripts\Headless Mode &amp; Sideloading\WalkAndUnGZ.bat" "%USERPROFILE%\AppData\Local\Temp\OnboardLogs"\RTDC4064\2018-01-06 &amp; aws s3 cp s3://rtdc.mdm.uploadarchive.raw/RTDC4064/ "%USERPROFILE%\AppData\Local\Temp\OnboardLogs"\RTDC4064\2018-01-07 --exclude "*" --recursive --include "*20180107*" &amp; "%USERPROFILE%\Documents\GitHub\mrs-test-scripts\Headless Mode &amp; Sideloading\WalkAndUnGZ.bat" "%USERPROFILE%\AppData\Local\Temp\OnboardLogs"\RTDC4064\2018-01-07</v>
      </c>
      <c r="AF138" s="234" t="str">
        <f>astrogrep_path&amp;" /e /r /s /spath="&amp;search_path&amp;" /stypes=""app*"&amp;B138&amp;"*"&amp;TEXT(I138-utc_offset/24,"YYYYMMDD")&amp;"*"" /stext="" "&amp;TEXT(I138-utc_offset/24,"HH")&amp;search_regexp&amp;""""</f>
        <v>"C:\Program Files (x86)\AstroGrep\AstroGrep.exe" /e /r /s /spath="%USERPROFILE%\AppData\Local\Temp\OnboardLogs" /stypes="app*4064*20180107*" /stext=" 03:.+((SYSTEM_STATE.+slice.+state.+changed )|(ment ac)|(multiple cpu faults)|(system.+state.+changed )|(\[timeout)|(PRM\|1\|D)|(kpr)|(kdp)|(train st.+moving)|(\|lc)|(penalty))"</v>
      </c>
      <c r="AG138" s="244" t="str">
        <f>DetSubdiv(A138)</f>
        <v>EC</v>
      </c>
      <c r="AH138" s="236" t="str">
        <f t="shared" si="10"/>
        <v>"%USERPROFILE%\Documents\GitHub\eaglep3\Utilities\RefineRTDCRunTimes.py" --tripid 223-06 --locoid 4064 --swversion DE.1.0.9.0 --startMP 204:498 --initTime 2018-01-06T19:21:22 --startdatetime 2018-01-06T19:30:13 --delay 57 --endMP 204:233200 --enddatetime 2018-01-06T20:05:59 --enforcementcount 0 &gt;&gt;%USERPROFILE%\Documents\GitHub\eaglep3-reporting\EC\2018-01-06-refined-times.txt</v>
      </c>
      <c r="AI138" s="238" t="str">
        <f t="shared" si="11"/>
        <v>echo {"issue":{"subject":"","project_id":79,"tracker_id":40,"status_id":1,"priority_id":2,"assigned_to_id":338,"start_date":"2018-01-06","description":"","custom_fields":[{"id":1,"name":"Subdivision","value":"EC"},{"id":4,"name":"Milepost","value":"23.32"},{"id":17,"name":"Train ID","value":"223-06"},{"id":16,"name":"Locomotive ID","value":"4064"},{"id":130,"name":"Impact","value":""},{"id":150,"name":"Time of Event (Mountain Time)","value":"20:05:59"},{"id":151,"name":"Denver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8" s="223"/>
      <c r="AK138" s="231"/>
      <c r="AL138" s="231"/>
      <c r="AM138" s="240" t="str">
        <f t="shared" si="12"/>
        <v>start /low /b %USERPROFILE%\Documents\GitHub\eaglep3\Utilities\DownloadLogsFromS3.py --loco 4064 --day 2018-01-06</v>
      </c>
      <c r="AN138" s="241" t="str">
        <f t="shared" si="13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03:05:59"},{"id":29,"name":"Sharepoint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 s="230" t="str">
        <f t="shared" si="14"/>
        <v>https://d0f6bd738d7f1b3e5a7ca70fe4ff75f0.us-east-1.aws.found.io/app/kibana#/discover/Steve-Slow-Train-Analysis-(2080s-and-2083s)?_g=(refreshInterval:(display:Off,pause:!f,section:0,value:0),time:(from:'2018-01-06T18:21:22-0700',mode:absolute,to:'2018-01-06T21:05:59-0700'))&amp;_a=(columns:!('Message%20ID',Summary),filters:!(),index:'emp_*',interval:auto,query:(query_string:(analyze_wildcard:!t,query:'%22rtdc.l.rtdc.4064%22')),sort:!(Time.ISO8601,asc))</v>
      </c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3">
      <c r="A139" s="229" t="s">
        <v>681</v>
      </c>
      <c r="B139" s="225">
        <v>4063</v>
      </c>
      <c r="C139" s="227" t="s">
        <v>192</v>
      </c>
      <c r="D139" s="227" t="s">
        <v>916</v>
      </c>
      <c r="E139" s="226">
        <v>43106.838807870372</v>
      </c>
      <c r="F139" s="226">
        <v>43106.852418981478</v>
      </c>
      <c r="G139" s="225">
        <v>48</v>
      </c>
      <c r="H139" s="227" t="s">
        <v>516</v>
      </c>
      <c r="I139" s="226">
        <v>43106.88013888889</v>
      </c>
      <c r="J139" s="225">
        <v>0</v>
      </c>
      <c r="K139" s="237" t="str">
        <f>IF(ISEVEN(B139),(B139-1)&amp;"/"&amp;B139,B139&amp;"/"&amp;(B139+1))</f>
        <v>4063/4064</v>
      </c>
      <c r="L139" s="245" t="str">
        <f>VLOOKUP(A139,'Trips&amp;Operators'!$C$1:$G$99911,5,FALSE)</f>
        <v>FORTUNATO FRANK</v>
      </c>
      <c r="M139" s="224">
        <f>I139-F139</f>
        <v>2.771990741166519E-2</v>
      </c>
      <c r="N139" s="225">
        <f>24*60*SUM($M139:$M139)</f>
        <v>39.916666672797874</v>
      </c>
      <c r="O139" s="225"/>
      <c r="P139" s="225"/>
      <c r="Q139" s="228"/>
      <c r="R139" s="242"/>
      <c r="S139" s="249">
        <f>1/IF(AG139="EC",12,1)*SUM(U139:U139)</f>
        <v>1</v>
      </c>
      <c r="T139" s="242" t="str">
        <f>IF(ISEVEN(LEFT(AD139,4)),"Southbound","NorthBound")</f>
        <v>Southbound</v>
      </c>
      <c r="U139" s="246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248" t="str">
        <f>"https://d0f6bd738d7f1b3e5a7ca70fe4ff75f0.us-east-1.aws.found.io/app/kibana#/discover/Steve-Slow-Train-Analysis-(2080s-and-2083s)?_g="&amp;"(refreshInterval:(display:Off,pause:!f,section:0,value:0),time:(from:'"&amp;TEXT(E139-1/24,"yyyy-MM-DDThh:mm:ss")&amp;utc_offset&amp;"00"&amp;"',mode:absolute,to:'"&amp;TEXT(I139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139&amp;"%22')),sort:!(Time.ISO8601,asc))"</f>
        <v>https://d0f6bd738d7f1b3e5a7ca70fe4ff75f0.us-east-1.aws.found.io/app/kibana#/discover/Steve-Slow-Train-Analysis-(2080s-and-2083s)?_g=(refreshInterval:(display:Off,pause:!f,section:0,value:0),time:(from:'2018-01-06T19:07:53-0700',mode:absolute,to:'2018-01-06T22:07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39" s="247" t="str">
        <f>IF(AA139&lt;VLOOKUP(AG139,Variables!$AC$3:$AD$8,2,FALSE),"Y","N")</f>
        <v>N</v>
      </c>
      <c r="X139" s="247">
        <f>VALUE(LEFT(AD139,4))-VALUE(LEFT(AD138,4))</f>
        <v>1</v>
      </c>
      <c r="Y139" s="247">
        <f>RIGHT(D139,LEN(D139)-4)/10000</f>
        <v>23.2881</v>
      </c>
      <c r="Z139" s="247">
        <f>RIGHT(H139,LEN(H139)-4)/10000</f>
        <v>2.18E-2</v>
      </c>
      <c r="AA139" s="247">
        <f>ABS(Z139-Y139)</f>
        <v>23.266300000000001</v>
      </c>
      <c r="AB139" s="233" t="e">
        <f>VLOOKUP(A139,Enforcements!$C$7:$K$9,8,0)</f>
        <v>#N/A</v>
      </c>
      <c r="AC139" s="232" t="e">
        <f>VLOOKUP(A139,Enforcements!$C$7:$E$9,3,0)</f>
        <v>#N/A</v>
      </c>
      <c r="AD139" s="243">
        <f>VALUE(LEFT(A139,LEN(A139)-3))</f>
        <v>224</v>
      </c>
      <c r="AE139" s="235" t="str">
        <f>"aws s3 cp "&amp;s3_bucket&amp;"/RTDC"&amp;B139&amp;"/ "&amp;search_path&amp;"\RTDC"&amp;B139&amp;"\"&amp;TEXT(F139,"YYYY-MM-DD")&amp;" --exclude ""*"" --recursive --include ""*"&amp;TEXT(F139,"YYYYMMDD")&amp;"*"" &amp; """&amp;walkandungz&amp;""" "&amp;search_path&amp;"\RTDC"&amp;B139&amp;"\"&amp;TEXT(F139,"YYYY-MM-DD")
&amp;" &amp; "&amp;"aws s3 cp "&amp;s3_bucket&amp;"/RTDC"&amp;B139&amp;"/ "&amp;search_path&amp;"\RTDC"&amp;B139&amp;"\"&amp;TEXT(F139+1,"YYYY-MM-DD")&amp;" --exclude ""*"" --recursive --include ""*"&amp;TEXT(F139+1,"YYYYMMDD")&amp;"*"" &amp; """&amp;walkandungz&amp;""" "&amp;search_path&amp;"\RTDC"&amp;B139&amp;"\"&amp;TEXT(F139+1,"YYYY-MM-DD")</f>
        <v>aws s3 cp s3://rtdc.mdm.uploadarchive.raw/RTDC4063/ "%USERPROFILE%\AppData\Local\Temp\OnboardLogs"\RTDC4063\2018-01-06 --exclude "*" --recursive --include "*20180106*" &amp; "%USERPROFILE%\Documents\GitHub\mrs-test-scripts\Headless Mode &amp; Sideloading\WalkAndUnGZ.bat" "%USERPROFILE%\AppData\Local\Temp\OnboardLogs"\RTDC4063\2018-01-06 &amp; aws s3 cp s3://rtdc.mdm.uploadarchive.raw/RTDC4063/ "%USERPROFILE%\AppData\Local\Temp\OnboardLogs"\RTDC4063\2018-01-07 --exclude "*" --recursive --include "*20180107*" &amp; "%USERPROFILE%\Documents\GitHub\mrs-test-scripts\Headless Mode &amp; Sideloading\WalkAndUnGZ.bat" "%USERPROFILE%\AppData\Local\Temp\OnboardLogs"\RTDC4063\2018-01-07</v>
      </c>
      <c r="AF139" s="234" t="str">
        <f>astrogrep_path&amp;" /e /r /s /spath="&amp;search_path&amp;" /stypes=""app*"&amp;B139&amp;"*"&amp;TEXT(I139-utc_offset/24,"YYYYMMDD")&amp;"*"" /stext="" "&amp;TEXT(I139-utc_offset/24,"HH")&amp;search_regexp&amp;""""</f>
        <v>"C:\Program Files (x86)\AstroGrep\AstroGrep.exe" /e /r /s /spath="%USERPROFILE%\AppData\Local\Temp\OnboardLogs" /stypes="app*4063*20180107*" /stext=" 04:.+((SYSTEM_STATE.+slice.+state.+changed )|(ment ac)|(multiple cpu faults)|(system.+state.+changed )|(\[timeout)|(PRM\|1\|D)|(kpr)|(kdp)|(train st.+moving)|(\|lc)|(penalty))"</v>
      </c>
      <c r="AG139" s="244" t="str">
        <f>DetSubdiv(A139)</f>
        <v>EC</v>
      </c>
      <c r="AH139" s="236" t="str">
        <f t="shared" si="10"/>
        <v>"%USERPROFILE%\Documents\GitHub\eaglep3\Utilities\RefineRTDCRunTimes.py" --tripid 224-06 --locoid 4063 --swversion DE.1.0.9.0 --startMP 204:232881 --initTime 2018-01-06T20:07:53 --startdatetime 2018-01-06T20:27:29 --delay 48 --endMP 204:218 --enddatetime 2018-01-06T21:07:24 --enforcementcount 0 &gt;&gt;%USERPROFILE%\Documents\GitHub\eaglep3-reporting\EC\2018-01-06-refined-times.txt</v>
      </c>
      <c r="AI139" s="238" t="str">
        <f t="shared" si="11"/>
        <v>echo {"issue":{"subject":"","project_id":79,"tracker_id":40,"status_id":1,"priority_id":2,"assigned_to_id":338,"start_date":"2018-01-06","description":"","custom_fields":[{"id":1,"name":"Subdivision","value":"EC"},{"id":4,"name":"Milepost","value":"0.0218"},{"id":17,"name":"Train ID","value":"224-06"},{"id":16,"name":"Locomotive ID","value":"4063"},{"id":130,"name":"Impact","value":""},{"id":150,"name":"Time of Event (Mountain Time)","value":"21:07:24"},{"id":151,"name":"Denver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9" s="223"/>
      <c r="AK139" s="231"/>
      <c r="AL139" s="231"/>
      <c r="AM139" s="240" t="str">
        <f t="shared" si="12"/>
        <v>start /low /b %USERPROFILE%\Documents\GitHub\eaglep3\Utilities\DownloadLogsFromS3.py --loco 4063 --day 2018-01-06</v>
      </c>
      <c r="AN139" s="241" t="str">
        <f t="shared" si="13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04:07:24"},{"id":29,"name":"Sharepoint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 s="230" t="str">
        <f t="shared" si="14"/>
        <v>https://d0f6bd738d7f1b3e5a7ca70fe4ff75f0.us-east-1.aws.found.io/app/kibana#/discover/Steve-Slow-Train-Analysis-(2080s-and-2083s)?_g=(refreshInterval:(display:Off,pause:!f,section:0,value:0),time:(from:'2018-01-06T19:07:53-0700',mode:absolute,to:'2018-01-06T22:07:24-0700'))&amp;_a=(columns:!('Message%20ID',Summary),filters:!(),index:'emp_*',interval:auto,query:(query_string:(analyze_wildcard:!t,query:'%22rtdc.l.rtdc.4063%22')),sort:!(Time.ISO8601,asc))</v>
      </c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23" customFormat="1" x14ac:dyDescent="0.3">
      <c r="A140" s="229" t="s">
        <v>860</v>
      </c>
      <c r="B140" s="225">
        <v>4030</v>
      </c>
      <c r="C140" s="227" t="s">
        <v>192</v>
      </c>
      <c r="D140" s="227" t="s">
        <v>896</v>
      </c>
      <c r="E140" s="226">
        <v>43106.827164351853</v>
      </c>
      <c r="F140" s="226">
        <v>43106.833495370367</v>
      </c>
      <c r="G140" s="225">
        <v>77</v>
      </c>
      <c r="H140" s="227" t="s">
        <v>942</v>
      </c>
      <c r="I140" s="226">
        <v>43106.857488425929</v>
      </c>
      <c r="J140" s="225">
        <v>0</v>
      </c>
      <c r="K140" s="237" t="str">
        <f>IF(ISEVEN(B140),(B140-1)&amp;"/"&amp;B140,B140&amp;"/"&amp;(B140+1))</f>
        <v>4029/4030</v>
      </c>
      <c r="L140" s="245" t="str">
        <f>VLOOKUP(A140,'Trips&amp;Operators'!$C$1:$G$99911,5,FALSE)</f>
        <v>ELBAUM MIKE</v>
      </c>
      <c r="M140" s="224">
        <f>I140-F140</f>
        <v>2.3993055561732035E-2</v>
      </c>
      <c r="N140" s="225">
        <f>24*60*SUM($M140:$M140)</f>
        <v>34.550000008894131</v>
      </c>
      <c r="O140" s="225"/>
      <c r="P140" s="225"/>
      <c r="Q140" s="228"/>
      <c r="R140" s="242"/>
      <c r="S140" s="249">
        <f>1/IF(AG140="EC",12,1)*SUM(U140:U140)</f>
        <v>1</v>
      </c>
      <c r="T140" s="242" t="str">
        <f>IF(ISEVEN(LEFT(AD140,4)),"Southbound","NorthBound")</f>
        <v>NorthBound</v>
      </c>
      <c r="U140" s="246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248" t="str">
        <f>"https://d0f6bd738d7f1b3e5a7ca70fe4ff75f0.us-east-1.aws.found.io/app/kibana#/discover/Steve-Slow-Train-Analysis-(2080s-and-2083s)?_g="&amp;"(refreshInterval:(display:Off,pause:!f,section:0,value:0),time:(from:'"&amp;TEXT(E140-1/24,"yyyy-MM-DDThh:mm:ss")&amp;utc_offset&amp;"00"&amp;"',mode:absolute,to:'"&amp;TEXT(I140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140&amp;"%22')),sort:!(Time.ISO8601,asc))"</f>
        <v>https://d0f6bd738d7f1b3e5a7ca70fe4ff75f0.us-east-1.aws.found.io/app/kibana#/discover/Steve-Slow-Train-Analysis-(2080s-and-2083s)?_g=(refreshInterval:(display:Off,pause:!f,section:0,value:0),time:(from:'2018-01-06T18:51:07-0700',mode:absolute,to:'2018-01-06T21:34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40" s="247" t="str">
        <f>IF(AA140&lt;VLOOKUP(AG140,Variables!$AC$3:$AD$8,2,FALSE),"Y","N")</f>
        <v>N</v>
      </c>
      <c r="X140" s="247">
        <f>VALUE(LEFT(AD140,4))-VALUE(LEFT(AD139,4))</f>
        <v>1</v>
      </c>
      <c r="Y140" s="247">
        <f>RIGHT(D140,LEN(D140)-4)/10000</f>
        <v>5.8400000000000001E-2</v>
      </c>
      <c r="Z140" s="247">
        <f>RIGHT(H140,LEN(H140)-4)/10000</f>
        <v>23.330400000000001</v>
      </c>
      <c r="AA140" s="247">
        <f>ABS(Z140-Y140)</f>
        <v>23.272000000000002</v>
      </c>
      <c r="AB140" s="233" t="e">
        <f>VLOOKUP(A140,Enforcements!$C$7:$K$9,8,0)</f>
        <v>#N/A</v>
      </c>
      <c r="AC140" s="232" t="e">
        <f>VLOOKUP(A140,Enforcements!$C$7:$E$9,3,0)</f>
        <v>#N/A</v>
      </c>
      <c r="AD140" s="243">
        <f>VALUE(LEFT(A140,LEN(A140)-3))</f>
        <v>225</v>
      </c>
      <c r="AE140" s="235" t="str">
        <f>"aws s3 cp "&amp;s3_bucket&amp;"/RTDC"&amp;B140&amp;"/ "&amp;search_path&amp;"\RTDC"&amp;B140&amp;"\"&amp;TEXT(F140,"YYYY-MM-DD")&amp;" --exclude ""*"" --recursive --include ""*"&amp;TEXT(F140,"YYYYMMDD")&amp;"*"" &amp; """&amp;walkandungz&amp;""" "&amp;search_path&amp;"\RTDC"&amp;B140&amp;"\"&amp;TEXT(F140,"YYYY-MM-DD")
&amp;" &amp; "&amp;"aws s3 cp "&amp;s3_bucket&amp;"/RTDC"&amp;B140&amp;"/ "&amp;search_path&amp;"\RTDC"&amp;B140&amp;"\"&amp;TEXT(F140+1,"YYYY-MM-DD")&amp;" --exclude ""*"" --recursive --include ""*"&amp;TEXT(F140+1,"YYYYMMDD")&amp;"*"" &amp; """&amp;walkandungz&amp;""" "&amp;search_path&amp;"\RTDC"&amp;B140&amp;"\"&amp;TEXT(F140+1,"YYYY-MM-DD")</f>
        <v>aws s3 cp s3://rtdc.mdm.uploadarchive.raw/RTDC4030/ "%USERPROFILE%\AppData\Local\Temp\OnboardLogs"\RTDC4030\2018-01-06 --exclude "*" --recursive --include "*20180106*" &amp; "%USERPROFILE%\Documents\GitHub\mrs-test-scripts\Headless Mode &amp; Sideloading\WalkAndUnGZ.bat" "%USERPROFILE%\AppData\Local\Temp\OnboardLogs"\RTDC4030\2018-01-06 &amp; aws s3 cp s3://rtdc.mdm.uploadarchive.raw/RTDC4030/ "%USERPROFILE%\AppData\Local\Temp\OnboardLogs"\RTDC4030\2018-01-07 --exclude "*" --recursive --include "*20180107*" &amp; "%USERPROFILE%\Documents\GitHub\mrs-test-scripts\Headless Mode &amp; Sideloading\WalkAndUnGZ.bat" "%USERPROFILE%\AppData\Local\Temp\OnboardLogs"\RTDC4030\2018-01-07</v>
      </c>
      <c r="AF140" s="234" t="str">
        <f>astrogrep_path&amp;" /e /r /s /spath="&amp;search_path&amp;" /stypes=""app*"&amp;B140&amp;"*"&amp;TEXT(I140-utc_offset/24,"YYYYMMDD")&amp;"*"" /stext="" "&amp;TEXT(I140-utc_offset/24,"HH")&amp;search_regexp&amp;""""</f>
        <v>"C:\Program Files (x86)\AstroGrep\AstroGrep.exe" /e /r /s /spath="%USERPROFILE%\AppData\Local\Temp\OnboardLogs" /stypes="app*4030*20180107*" /stext=" 03:.+((SYSTEM_STATE.+slice.+state.+changed )|(ment ac)|(multiple cpu faults)|(system.+state.+changed )|(\[timeout)|(PRM\|1\|D)|(kpr)|(kdp)|(train st.+moving)|(\|lc)|(penalty))"</v>
      </c>
      <c r="AG140" s="244" t="str">
        <f>DetSubdiv(A140)</f>
        <v>EC</v>
      </c>
      <c r="AH140" s="236" t="str">
        <f t="shared" si="10"/>
        <v>"%USERPROFILE%\Documents\GitHub\eaglep3\Utilities\RefineRTDCRunTimes.py" --tripid 225-06 --locoid 4030 --swversion DE.1.0.9.0 --startMP 204:584 --initTime 2018-01-06T19:51:07 --startdatetime 2018-01-06T20:00:14 --delay 77 --endMP 204:233304 --enddatetime 2018-01-06T20:34:47 --enforcementcount 0 &gt;&gt;%USERPROFILE%\Documents\GitHub\eaglep3-reporting\EC\2018-01-06-refined-times.txt</v>
      </c>
      <c r="AI140" s="238" t="str">
        <f t="shared" si="11"/>
        <v>echo {"issue":{"subject":"","project_id":79,"tracker_id":40,"status_id":1,"priority_id":2,"assigned_to_id":338,"start_date":"2018-01-06","description":"","custom_fields":[{"id":1,"name":"Subdivision","value":"EC"},{"id":4,"name":"Milepost","value":"23.3304"},{"id":17,"name":"Train ID","value":"225-06"},{"id":16,"name":"Locomotive ID","value":"4030"},{"id":130,"name":"Impact","value":""},{"id":150,"name":"Time of Event (Mountain Time)","value":"20:34:47"},{"id":151,"name":"Denver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0" s="231"/>
      <c r="AL140" s="231"/>
      <c r="AM140" s="240" t="str">
        <f t="shared" si="12"/>
        <v>start /low /b %USERPROFILE%\Documents\GitHub\eaglep3\Utilities\DownloadLogsFromS3.py --loco 4030 --day 2018-01-06</v>
      </c>
      <c r="AN140" s="241" t="str">
        <f t="shared" si="13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03:34:47"},{"id":29,"name":"Sharepoint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 s="230" t="str">
        <f t="shared" si="14"/>
        <v>https://d0f6bd738d7f1b3e5a7ca70fe4ff75f0.us-east-1.aws.found.io/app/kibana#/discover/Steve-Slow-Train-Analysis-(2080s-and-2083s)?_g=(refreshInterval:(display:Off,pause:!f,section:0,value:0),time:(from:'2018-01-06T18:51:07-0700',mode:absolute,to:'2018-01-06T21:34:47-0700'))&amp;_a=(columns:!('Message%20ID',Summary),filters:!(),index:'emp_*',interval:auto,query:(query_string:(analyze_wildcard:!t,query:'%22rtdc.l.rtdc.4030%22')),sort:!(Time.ISO8601,asc))</v>
      </c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23" customFormat="1" x14ac:dyDescent="0.3">
      <c r="A141" s="229" t="s">
        <v>866</v>
      </c>
      <c r="B141" s="225">
        <v>4029</v>
      </c>
      <c r="C141" s="227" t="s">
        <v>192</v>
      </c>
      <c r="D141" s="227" t="s">
        <v>1005</v>
      </c>
      <c r="E141" s="226">
        <v>43106.858472222222</v>
      </c>
      <c r="F141" s="226">
        <v>43106.873055555552</v>
      </c>
      <c r="G141" s="225">
        <v>70</v>
      </c>
      <c r="H141" s="227" t="s">
        <v>568</v>
      </c>
      <c r="I141" s="226">
        <v>43106.898599537039</v>
      </c>
      <c r="J141" s="225">
        <v>0</v>
      </c>
      <c r="K141" s="237" t="str">
        <f>IF(ISEVEN(B141),(B141-1)&amp;"/"&amp;B141,B141&amp;"/"&amp;(B141+1))</f>
        <v>4029/4030</v>
      </c>
      <c r="L141" s="245" t="str">
        <f>VLOOKUP(A141,'Trips&amp;Operators'!$C$1:$G$99911,5,FALSE)</f>
        <v>ELBAUM MIKE</v>
      </c>
      <c r="M141" s="224">
        <f>I141-F141</f>
        <v>2.5543981486407574E-2</v>
      </c>
      <c r="N141" s="225">
        <f>24*60*SUM($M141:$M141)</f>
        <v>36.783333340426907</v>
      </c>
      <c r="O141" s="225"/>
      <c r="P141" s="225"/>
      <c r="Q141" s="228"/>
      <c r="R141" s="242"/>
      <c r="S141" s="249">
        <f>1/IF(AG141="EC",12,1)*SUM(U141:U141)</f>
        <v>1</v>
      </c>
      <c r="T141" s="242" t="str">
        <f>IF(ISEVEN(LEFT(AD141,4)),"Southbound","NorthBound")</f>
        <v>Southbound</v>
      </c>
      <c r="U141" s="246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248" t="str">
        <f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2018-01-06T19:36:12-0700',mode:absolute,to:'2018-01-06T22:33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41" s="247" t="str">
        <f>IF(AA141&lt;VLOOKUP(AG141,Variables!$AC$3:$AD$8,2,FALSE),"Y","N")</f>
        <v>N</v>
      </c>
      <c r="X141" s="247">
        <f>VALUE(LEFT(AD141,4))-VALUE(LEFT(AD140,4))</f>
        <v>1</v>
      </c>
      <c r="Y141" s="247">
        <f>RIGHT(D141,LEN(D141)-4)/10000</f>
        <v>23.2989</v>
      </c>
      <c r="Z141" s="247">
        <f>RIGHT(H141,LEN(H141)-4)/10000</f>
        <v>2.6200000000000001E-2</v>
      </c>
      <c r="AA141" s="247">
        <f>ABS(Z141-Y141)</f>
        <v>23.2727</v>
      </c>
      <c r="AB141" s="233" t="e">
        <f>VLOOKUP(A141,Enforcements!$C$7:$K$9,8,0)</f>
        <v>#N/A</v>
      </c>
      <c r="AC141" s="232" t="e">
        <f>VLOOKUP(A141,Enforcements!$C$7:$E$9,3,0)</f>
        <v>#N/A</v>
      </c>
      <c r="AD141" s="243">
        <f>VALUE(LEFT(A141,LEN(A141)-3))</f>
        <v>226</v>
      </c>
      <c r="AE141" s="235" t="str">
        <f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s3://rtdc.mdm.uploadarchive.raw/RTDC4029/ "%USERPROFILE%\AppData\Local\Temp\OnboardLogs"\RTDC4029\2018-01-06 --exclude "*" --recursive --include "*20180106*" &amp; "%USERPROFILE%\Documents\GitHub\mrs-test-scripts\Headless Mode &amp; Sideloading\WalkAndUnGZ.bat" "%USERPROFILE%\AppData\Local\Temp\OnboardLogs"\RTDC4029\2018-01-06 &amp; aws s3 cp s3://rtdc.mdm.uploadarchive.raw/RTDC4029/ "%USERPROFILE%\AppData\Local\Temp\OnboardLogs"\RTDC4029\2018-01-07 --exclude "*" --recursive --include "*20180107*" &amp; "%USERPROFILE%\Documents\GitHub\mrs-test-scripts\Headless Mode &amp; Sideloading\WalkAndUnGZ.bat" "%USERPROFILE%\AppData\Local\Temp\OnboardLogs"\RTDC4029\2018-01-07</v>
      </c>
      <c r="AF141" s="234" t="str">
        <f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/stypes="app*4029*20180107*" /stext=" 04:.+((SYSTEM_STATE.+slice.+state.+changed )|(ment ac)|(multiple cpu faults)|(system.+state.+changed )|(\[timeout)|(PRM\|1\|D)|(kpr)|(kdp)|(train st.+moving)|(\|lc)|(penalty))"</v>
      </c>
      <c r="AG141" s="244" t="str">
        <f>DetSubdiv(A141)</f>
        <v>EC</v>
      </c>
      <c r="AH141" s="236" t="str">
        <f t="shared" si="10"/>
        <v>"%USERPROFILE%\Documents\GitHub\eaglep3\Utilities\RefineRTDCRunTimes.py" --tripid 226-06 --locoid 4029 --swversion DE.1.0.9.0 --startMP 204:232989 --initTime 2018-01-06T20:36:12 --startdatetime 2018-01-06T20:57:12 --delay 70 --endMP 204:262 --enddatetime 2018-01-06T21:33:59 --enforcementcount 0 &gt;&gt;%USERPROFILE%\Documents\GitHub\eaglep3-reporting\EC\2018-01-06-refined-times.txt</v>
      </c>
      <c r="AI141" s="238" t="str">
        <f t="shared" si="11"/>
        <v>echo {"issue":{"subject":"","project_id":79,"tracker_id":40,"status_id":1,"priority_id":2,"assigned_to_id":338,"start_date":"2018-01-06","description":"","custom_fields":[{"id":1,"name":"Subdivision","value":"EC"},{"id":4,"name":"Milepost","value":"0.0262"},{"id":17,"name":"Train ID","value":"226-06"},{"id":16,"name":"Locomotive ID","value":"4029"},{"id":130,"name":"Impact","value":""},{"id":150,"name":"Time of Event (Mountain Time)","value":"21:33:59"},{"id":151,"name":"Denver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1" s="231"/>
      <c r="AL141" s="231"/>
      <c r="AM141" s="240" t="str">
        <f t="shared" si="12"/>
        <v>start /low /b %USERPROFILE%\Documents\GitHub\eaglep3\Utilities\DownloadLogsFromS3.py --loco 4029 --day 2018-01-06</v>
      </c>
      <c r="AN141" s="241" t="str">
        <f t="shared" si="13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04:33:59"},{"id":29,"name":"Sharepoint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 s="230" t="str">
        <f t="shared" si="14"/>
        <v>https://d0f6bd738d7f1b3e5a7ca70fe4ff75f0.us-east-1.aws.found.io/app/kibana#/discover/Steve-Slow-Train-Analysis-(2080s-and-2083s)?_g=(refreshInterval:(display:Off,pause:!f,section:0,value:0),time:(from:'2018-01-06T19:36:12-0700',mode:absolute,to:'2018-01-06T22:33:59-0700'))&amp;_a=(columns:!('Message%20ID',Summary),filters:!(),index:'emp_*',interval:auto,query:(query_string:(analyze_wildcard:!t,query:'%22rtdc.l.rtdc.4029%22')),sort:!(Time.ISO8601,asc))</v>
      </c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23" customFormat="1" x14ac:dyDescent="0.3">
      <c r="A142" s="229" t="s">
        <v>864</v>
      </c>
      <c r="B142" s="225">
        <v>4058</v>
      </c>
      <c r="C142" s="227" t="s">
        <v>192</v>
      </c>
      <c r="D142" s="227" t="s">
        <v>1005</v>
      </c>
      <c r="E142" s="226">
        <v>43106.858472222222</v>
      </c>
      <c r="F142" s="226">
        <v>43106.854375000003</v>
      </c>
      <c r="G142" s="225">
        <v>70</v>
      </c>
      <c r="H142" s="227" t="s">
        <v>568</v>
      </c>
      <c r="I142" s="226">
        <v>43106.879479166666</v>
      </c>
      <c r="J142" s="225">
        <v>0</v>
      </c>
      <c r="K142" s="237" t="str">
        <f>IF(ISEVEN(B142),(B142-1)&amp;"/"&amp;B142,B142&amp;"/"&amp;(B142+1))</f>
        <v>4057/4058</v>
      </c>
      <c r="L142" s="245" t="str">
        <f>VLOOKUP(A142,'Trips&amp;Operators'!$C$1:$G$99911,5,FALSE)</f>
        <v>NICHOLSON WESLEY</v>
      </c>
      <c r="M142" s="224">
        <f>I142-F142</f>
        <v>2.5104166663368233E-2</v>
      </c>
      <c r="N142" s="225">
        <f>24*60*SUM($M142:$M142)</f>
        <v>36.149999995250255</v>
      </c>
      <c r="O142" s="225"/>
      <c r="P142" s="225"/>
      <c r="Q142" s="228"/>
      <c r="R142" s="242"/>
      <c r="S142" s="249">
        <f>1/IF(AG142="EC",12,1)*SUM(U142:U142)</f>
        <v>1</v>
      </c>
      <c r="T142" s="242" t="str">
        <f>IF(ISEVEN(LEFT(AD142,4)),"Southbound","NorthBound")</f>
        <v>NorthBound</v>
      </c>
      <c r="U142" s="246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248" t="str">
        <f>"https://d0f6bd738d7f1b3e5a7ca70fe4ff75f0.us-east-1.aws.found.io/app/kibana#/discover/Steve-Slow-Train-Analysis-(2080s-and-2083s)?_g="&amp;"(refreshInterval:(display:Off,pause:!f,section:0,value:0),time:(from:'"&amp;TEXT(E142-1/24,"yyyy-MM-DDThh:mm:ss")&amp;utc_offset&amp;"00"&amp;"',mode:absolute,to:'"&amp;TEXT(I142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142&amp;"%22')),sort:!(Time.ISO8601,asc))"</f>
        <v>https://d0f6bd738d7f1b3e5a7ca70fe4ff75f0.us-east-1.aws.found.io/app/kibana#/discover/Steve-Slow-Train-Analysis-(2080s-and-2083s)?_g=(refreshInterval:(display:Off,pause:!f,section:0,value:0),time:(from:'2018-01-06T19:36:12-0700',mode:absolute,to:'2018-01-06T22:06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42" s="247" t="str">
        <f>IF(AA142&lt;VLOOKUP(AG142,Variables!$AC$3:$AD$8,2,FALSE),"Y","N")</f>
        <v>N</v>
      </c>
      <c r="X142" s="247">
        <f>VALUE(LEFT(AD142,4))-VALUE(LEFT(AD141,4))</f>
        <v>1</v>
      </c>
      <c r="Y142" s="247">
        <v>7.3899999999999993E-2</v>
      </c>
      <c r="Z142" s="247">
        <v>23.321000000000002</v>
      </c>
      <c r="AA142" s="247">
        <f>ABS(Z142-Y142)</f>
        <v>23.247100000000003</v>
      </c>
      <c r="AB142" s="233" t="e">
        <f>VLOOKUP(A142,Enforcements!$C$7:$K$9,8,0)</f>
        <v>#N/A</v>
      </c>
      <c r="AC142" s="232" t="e">
        <f>VLOOKUP(A142,Enforcements!$C$7:$E$9,3,0)</f>
        <v>#N/A</v>
      </c>
      <c r="AD142" s="243">
        <f>VALUE(LEFT(A142,LEN(A142)-3))</f>
        <v>227</v>
      </c>
      <c r="AE142" s="235" t="str">
        <f>"aws s3 cp "&amp;s3_bucket&amp;"/RTDC"&amp;B142&amp;"/ "&amp;search_path&amp;"\RTDC"&amp;B142&amp;"\"&amp;TEXT(F142,"YYYY-MM-DD")&amp;" --exclude ""*"" --recursive --include ""*"&amp;TEXT(F142,"YYYYMMDD")&amp;"*"" &amp; """&amp;walkandungz&amp;""" "&amp;search_path&amp;"\RTDC"&amp;B142&amp;"\"&amp;TEXT(F142,"YYYY-MM-DD")
&amp;" &amp; "&amp;"aws s3 cp "&amp;s3_bucket&amp;"/RTDC"&amp;B142&amp;"/ "&amp;search_path&amp;"\RTDC"&amp;B142&amp;"\"&amp;TEXT(F142+1,"YYYY-MM-DD")&amp;" --exclude ""*"" --recursive --include ""*"&amp;TEXT(F142+1,"YYYYMMDD")&amp;"*"" &amp; """&amp;walkandungz&amp;""" "&amp;search_path&amp;"\RTDC"&amp;B142&amp;"\"&amp;TEXT(F142+1,"YYYY-MM-DD")</f>
        <v>aws s3 cp s3://rtdc.mdm.uploadarchive.raw/RTDC4058/ "%USERPROFILE%\AppData\Local\Temp\OnboardLogs"\RTDC4058\2018-01-06 --exclude "*" --recursive --include "*20180106*" &amp; "%USERPROFILE%\Documents\GitHub\mrs-test-scripts\Headless Mode &amp; Sideloading\WalkAndUnGZ.bat" "%USERPROFILE%\AppData\Local\Temp\OnboardLogs"\RTDC4058\2018-01-06 &amp; aws s3 cp s3://rtdc.mdm.uploadarchive.raw/RTDC4058/ "%USERPROFILE%\AppData\Local\Temp\OnboardLogs"\RTDC4058\2018-01-07 --exclude "*" --recursive --include "*20180107*" &amp; "%USERPROFILE%\Documents\GitHub\mrs-test-scripts\Headless Mode &amp; Sideloading\WalkAndUnGZ.bat" "%USERPROFILE%\AppData\Local\Temp\OnboardLogs"\RTDC4058\2018-01-07</v>
      </c>
      <c r="AF142" s="234" t="str">
        <f>astrogrep_path&amp;" /e /r /s /spath="&amp;search_path&amp;" /stypes=""app*"&amp;B142&amp;"*"&amp;TEXT(I142-utc_offset/24,"YYYYMMDD")&amp;"*"" /stext="" "&amp;TEXT(I142-utc_offset/24,"HH")&amp;search_regexp&amp;""""</f>
        <v>"C:\Program Files (x86)\AstroGrep\AstroGrep.exe" /e /r /s /spath="%USERPROFILE%\AppData\Local\Temp\OnboardLogs" /stypes="app*4058*20180107*" /stext=" 04:.+((SYSTEM_STATE.+slice.+state.+changed )|(ment ac)|(multiple cpu faults)|(system.+state.+changed )|(\[timeout)|(PRM\|1\|D)|(kpr)|(kdp)|(train st.+moving)|(\|lc)|(penalty))"</v>
      </c>
      <c r="AG142" s="244" t="str">
        <f>DetSubdiv(A142)</f>
        <v>EC</v>
      </c>
      <c r="AH142" s="236" t="str">
        <f t="shared" ref="AH142" si="26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227-06 --locoid 4058 --swversion DE.1.0.9.0 --startMP 204:232989 --initTime 2018-01-06T20:36:12 --startdatetime 2018-01-06T20:30:18 --delay 70 --endMP 204:262 --enddatetime 2018-01-06T21:06:27 --enforcementcount 0 &gt;&gt;%USERPROFILE%\Documents\GitHub\eaglep3-reporting\EC\2018-01-06-refined-times.txt</v>
      </c>
      <c r="AI142" s="238" t="str">
        <f t="shared" ref="AI142" si="27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{"issue":{"subject":"","project_id":79,"tracker_id":40,"status_id":1,"priority_id":2,"assigned_to_id":338,"start_date":"2018-01-06","description":"","custom_fields":[{"id":1,"name":"Subdivision","value":"EC"},{"id":4,"name":"Milepost","value":"23.321"},{"id":17,"name":"Train ID","value":"227-06"},{"id":16,"name":"Locomotive ID","value":"4058"},{"id":130,"name":"Impact","value":""},{"id":150,"name":"Time of Event (Mountain Time)","value":"21:06:27"},{"id":151,"name":"Denver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2" s="231"/>
      <c r="AL142" s="231"/>
      <c r="AM142" s="240" t="str">
        <f t="shared" ref="AM142" si="28">"start /low /b "&amp;dls3logs&amp;" --loco "&amp;B142&amp;" --day "&amp;TEXT(F142,"YYYY-MM-DD")</f>
        <v>start /low /b %USERPROFILE%\Documents\GitHub\eaglep3\Utilities\DownloadLogsFromS3.py --loco 4058 --day 2018-01-06</v>
      </c>
      <c r="AN142" s="241" t="str">
        <f t="shared" ref="AN142" si="29">"echo {""issue"":{""subject"":"""&amp;R142&amp;""",""project_id"":30,""tracker_id"":4,""status_id"":"&amp;redmine_status_wcr&amp;",""priority_id"":"&amp;redmine_priority_wcr&amp;",""assigned_to_id"":"&amp;redmine_assignee_wcr&amp;",""start_date"":"""&amp;TEXT(I142-utc_offset/24,"YYYY-mm-dd")&amp;""",""description"":"""&amp;AJ142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04:06:27"},{"id":29,"name":"Sharepoint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 s="230" t="str">
        <f t="shared" ref="AO142" si="30">"https://d0f6bd738d7f1b3e5a7ca70fe4ff75f0.us-east-1.aws.found.io/app/kibana#/discover/Steve-Slow-Train-Analysis-(2080s-and-2083s)?_g="&amp;"(refreshInterval:(display:Off,pause:!f,section:0,value:0),time:(from:'"&amp;TEXT(E142-1/24,"yyyy-MM-DDThh:mm:ss")&amp;utc_offset&amp;"00"&amp;"',mode:absolute,to:'"&amp;TEXT(I142+1/24,"yyyy-MM-DDThh:mm:ss")&amp;utc_offset&amp;"00"&amp;"'))&amp;_a=(columns:!('Message%20ID',Summary),filters:!(),index:'emp_*',interval:auto,query:"&amp;"(query_string:(analyze_wildcard:!t,query:'%22rtdc.l.rtdc."&amp;B142&amp;"%22')),sort:!(Time.ISO8601,asc))"</f>
        <v>https://d0f6bd738d7f1b3e5a7ca70fe4ff75f0.us-east-1.aws.found.io/app/kibana#/discover/Steve-Slow-Train-Analysis-(2080s-and-2083s)?_g=(refreshInterval:(display:Off,pause:!f,section:0,value:0),time:(from:'2018-01-06T19:36:12-0700',mode:absolute,to:'2018-01-06T22:06:27-0700'))&amp;_a=(columns:!('Message%20ID',Summary),filters:!(),index:'emp_*',interval:auto,query:(query_string:(analyze_wildcard:!t,query:'%22rtdc.l.rtdc.4058%22')),sort:!(Time.ISO8601,asc))</v>
      </c>
    </row>
    <row r="143" spans="1:91" s="223" customFormat="1" x14ac:dyDescent="0.3">
      <c r="A143" s="229" t="s">
        <v>869</v>
      </c>
      <c r="B143" s="225">
        <v>4057</v>
      </c>
      <c r="C143" s="227" t="s">
        <v>192</v>
      </c>
      <c r="D143" s="227" t="s">
        <v>1005</v>
      </c>
      <c r="E143" s="226">
        <v>43106.858472222222</v>
      </c>
      <c r="F143" s="226">
        <v>43106.893958333334</v>
      </c>
      <c r="G143" s="225">
        <v>70</v>
      </c>
      <c r="H143" s="227" t="s">
        <v>568</v>
      </c>
      <c r="I143" s="226">
        <v>43106.921122685184</v>
      </c>
      <c r="J143" s="225">
        <v>0</v>
      </c>
      <c r="K143" s="237" t="str">
        <f>IF(ISEVEN(B143),(B143-1)&amp;"/"&amp;B143,B143&amp;"/"&amp;(B143+1))</f>
        <v>4057/4058</v>
      </c>
      <c r="L143" s="245" t="str">
        <f>VLOOKUP(A143,'Trips&amp;Operators'!$C$1:$G$99911,5,FALSE)</f>
        <v>NICHOLSON WESLEY</v>
      </c>
      <c r="M143" s="224">
        <f>I143-F143</f>
        <v>2.7164351849933155E-2</v>
      </c>
      <c r="N143" s="225">
        <f>24*60*SUM($M143:$M143)</f>
        <v>39.116666663903743</v>
      </c>
      <c r="O143" s="225"/>
      <c r="P143" s="225"/>
      <c r="Q143" s="228"/>
      <c r="R143" s="242"/>
      <c r="S143" s="249">
        <f>1/IF(AG143="EC",12,1)*SUM(U143:U143)</f>
        <v>1</v>
      </c>
      <c r="T143" s="242" t="str">
        <f>IF(ISEVEN(LEFT(AD143,4)),"Southbound","NorthBound")</f>
        <v>Southbound</v>
      </c>
      <c r="U143" s="246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248" t="str">
        <f>"https://d0f6bd738d7f1b3e5a7ca70fe4ff75f0.us-east-1.aws.found.io/app/kibana#/discover/Steve-Slow-Train-Analysis-(2080s-and-2083s)?_g="&amp;"(refreshInterval:(display:Off,pause:!f,section:0,value:0),time:(from:'"&amp;TEXT(E143-1/24,"yyyy-MM-DDThh:mm:ss")&amp;utc_offset&amp;"00"&amp;"',mode:absolute,to:'"&amp;TEXT(I143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143&amp;"%22')),sort:!(Time.ISO8601,asc))"</f>
        <v>https://d0f6bd738d7f1b3e5a7ca70fe4ff75f0.us-east-1.aws.found.io/app/kibana#/discover/Steve-Slow-Train-Analysis-(2080s-and-2083s)?_g=(refreshInterval:(display:Off,pause:!f,section:0,value:0),time:(from:'2018-01-06T19:36:12-0700',mode:absolute,to:'2018-01-06T23:06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43" s="247" t="str">
        <f>IF(AA143&lt;VLOOKUP(AG143,Variables!$AC$3:$AD$8,2,FALSE),"Y","N")</f>
        <v>N</v>
      </c>
      <c r="X143" s="247">
        <f>VALUE(LEFT(AD143,4))-VALUE(LEFT(AD142,4))</f>
        <v>1</v>
      </c>
      <c r="Y143" s="247">
        <v>23.265499999999999</v>
      </c>
      <c r="Z143" s="247">
        <v>2.3099999999999999E-2</v>
      </c>
      <c r="AA143" s="247">
        <f>ABS(Z143-Y143)</f>
        <v>23.2424</v>
      </c>
      <c r="AB143" s="233" t="e">
        <f>VLOOKUP(A143,Enforcements!$C$7:$K$9,8,0)</f>
        <v>#N/A</v>
      </c>
      <c r="AC143" s="232" t="e">
        <f>VLOOKUP(A143,Enforcements!$C$7:$E$9,3,0)</f>
        <v>#N/A</v>
      </c>
      <c r="AD143" s="243">
        <f>VALUE(LEFT(A143,LEN(A143)-3))</f>
        <v>228</v>
      </c>
      <c r="AE143" s="235" t="str">
        <f>"aws s3 cp "&amp;s3_bucket&amp;"/RTDC"&amp;B143&amp;"/ "&amp;search_path&amp;"\RTDC"&amp;B143&amp;"\"&amp;TEXT(F143,"YYYY-MM-DD")&amp;" --exclude ""*"" --recursive --include ""*"&amp;TEXT(F143,"YYYYMMDD")&amp;"*"" &amp; """&amp;walkandungz&amp;""" "&amp;search_path&amp;"\RTDC"&amp;B143&amp;"\"&amp;TEXT(F143,"YYYY-MM-DD")
&amp;" &amp; "&amp;"aws s3 cp "&amp;s3_bucket&amp;"/RTDC"&amp;B143&amp;"/ "&amp;search_path&amp;"\RTDC"&amp;B143&amp;"\"&amp;TEXT(F143+1,"YYYY-MM-DD")&amp;" --exclude ""*"" --recursive --include ""*"&amp;TEXT(F143+1,"YYYYMMDD")&amp;"*"" &amp; """&amp;walkandungz&amp;""" "&amp;search_path&amp;"\RTDC"&amp;B143&amp;"\"&amp;TEXT(F143+1,"YYYY-MM-DD")</f>
        <v>aws s3 cp s3://rtdc.mdm.uploadarchive.raw/RTDC4057/ "%USERPROFILE%\AppData\Local\Temp\OnboardLogs"\RTDC4057\2018-01-06 --exclude "*" --recursive --include "*20180106*" &amp; "%USERPROFILE%\Documents\GitHub\mrs-test-scripts\Headless Mode &amp; Sideloading\WalkAndUnGZ.bat" "%USERPROFILE%\AppData\Local\Temp\OnboardLogs"\RTDC4057\2018-01-06 &amp; aws s3 cp s3://rtdc.mdm.uploadarchive.raw/RTDC4057/ "%USERPROFILE%\AppData\Local\Temp\OnboardLogs"\RTDC4057\2018-01-07 --exclude "*" --recursive --include "*20180107*" &amp; "%USERPROFILE%\Documents\GitHub\mrs-test-scripts\Headless Mode &amp; Sideloading\WalkAndUnGZ.bat" "%USERPROFILE%\AppData\Local\Temp\OnboardLogs"\RTDC4057\2018-01-07</v>
      </c>
      <c r="AF143" s="234" t="str">
        <f>astrogrep_path&amp;" /e /r /s /spath="&amp;search_path&amp;" /stypes=""app*"&amp;B143&amp;"*"&amp;TEXT(I143-utc_offset/24,"YYYYMMDD")&amp;"*"" /stext="" "&amp;TEXT(I143-utc_offset/24,"HH")&amp;search_regexp&amp;""""</f>
        <v>"C:\Program Files (x86)\AstroGrep\AstroGrep.exe" /e /r /s /spath="%USERPROFILE%\AppData\Local\Temp\OnboardLogs" /stypes="app*4057*20180107*" /stext=" 05:.+((SYSTEM_STATE.+slice.+state.+changed )|(ment ac)|(multiple cpu faults)|(system.+state.+changed )|(\[timeout)|(PRM\|1\|D)|(kpr)|(kdp)|(train st.+moving)|(\|lc)|(penalty))"</v>
      </c>
      <c r="AG143" s="244" t="str">
        <f>DetSubdiv(A143)</f>
        <v>EC</v>
      </c>
      <c r="AH143" s="236" t="str">
        <f t="shared" ref="AH143" si="31">refinertdcruntimes&amp;" --tripid "&amp;A143&amp;" --locoid "&amp;B143&amp;" --swversion "&amp;C143&amp;" --startMP "&amp;D143&amp;" --initTime "&amp;TEXT(E143,"yyyy-mm-ddTHH:MM:SS")&amp;" --startdatetime "&amp;TEXT(F143,"yyyy-mm-ddTHH:MM:SS")&amp;" --delay "&amp;G143&amp;" --endMP "&amp;H143&amp;" --enddatetime "&amp;TEXT(I143,"yyyy-mm-ddTHH:MM:SS")&amp;" --enforcementcount "&amp;J143&amp;IF(outputrefinedruntimes," &gt;&gt;"&amp;RefinedRTDCRunTimesOutputFile,"")</f>
        <v>"%USERPROFILE%\Documents\GitHub\eaglep3\Utilities\RefineRTDCRunTimes.py" --tripid 228-06 --locoid 4057 --swversion DE.1.0.9.0 --startMP 204:232989 --initTime 2018-01-06T20:36:12 --startdatetime 2018-01-06T21:27:18 --delay 70 --endMP 204:262 --enddatetime 2018-01-06T22:06:25 --enforcementcount 0 &gt;&gt;%USERPROFILE%\Documents\GitHub\eaglep3-reporting\EC\2018-01-06-refined-times.txt</v>
      </c>
      <c r="AI143" s="238" t="str">
        <f t="shared" ref="AI143" si="32">"echo {""issue"":{""subject"":"""&amp;R143&amp;""",""project_id"":79,""tracker_id"":40,""status_id"":"&amp;redmine_status&amp;",""priority_id"":"&amp;redmine_priority&amp;",""assigned_to_id"":"&amp;redmine_assignee&amp;",""start_date"":"""&amp;TEXT(I143,"YYYY-mm-dd")&amp;""",""description"":"""&amp;AJ143&amp;""",""custom_fields"":[{""id"":1,""name"":""Subdivision"",""value"":"""&amp;AG143&amp;"""},{""id"":4,""name"":""Milepost"",""value"":"""&amp;Z143&amp;"""},{""id"":17,""name"":""Train ID"",""value"":"""&amp;A143&amp;"""},{""id"":16,""name"":""Locomotive ID"",""value"":"""&amp;B143&amp;"""},{""id"":130,""name"":""Impact"",""value"":"""&amp;AK143&amp;"""},{""id"":150,""name"":""Time of Event (Mountain Time)"",""value"":"""&amp;TEXT(I143,"hh:mm:ss")&amp;"""},{""id"":151,""name"":""Denver Issue ID"",""value"":"""&amp;"""},{""id"":178,""name"":""Operational Impact"",""value"":"""&amp;redmine_op_impact&amp;"""},{""id"":179,""name"":""Denver Segment Assigned"",""value"":"""&amp;AL143&amp;"""}]}}"&amp;"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{"issue":{"subject":"","project_id":79,"tracker_id":40,"status_id":1,"priority_id":2,"assigned_to_id":338,"start_date":"2018-01-06","description":"","custom_fields":[{"id":1,"name":"Subdivision","value":"EC"},{"id":4,"name":"Milepost","value":"0.0231"},{"id":17,"name":"Train ID","value":"228-06"},{"id":16,"name":"Locomotive ID","value":"4057"},{"id":130,"name":"Impact","value":""},{"id":150,"name":"Time of Event (Mountain Time)","value":"22:06:25"},{"id":151,"name":"Denver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3" s="231"/>
      <c r="AL143" s="231"/>
      <c r="AM143" s="240" t="str">
        <f t="shared" ref="AM143" si="33">"start /low /b "&amp;dls3logs&amp;" --loco "&amp;B143&amp;" --day "&amp;TEXT(F143,"YYYY-MM-DD")</f>
        <v>start /low /b %USERPROFILE%\Documents\GitHub\eaglep3\Utilities\DownloadLogsFromS3.py --loco 4057 --day 2018-01-06</v>
      </c>
      <c r="AN143" s="241" t="str">
        <f t="shared" ref="AN143" si="34">"echo {""issue"":{""subject"":"""&amp;R143&amp;""",""project_id"":30,""tracker_id"":4,""status_id"":"&amp;redmine_status_wcr&amp;",""priority_id"":"&amp;redmine_priority_wcr&amp;",""assigned_to_id"":"&amp;redmine_assignee_wcr&amp;",""start_date"":"""&amp;TEXT(I143-utc_offset/24,"YYYY-mm-dd")&amp;""",""description"":"""&amp;AJ143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05:06:25"},{"id":29,"name":"Sharepoint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 s="230" t="str">
        <f t="shared" ref="AO143" si="35">"https://d0f6bd738d7f1b3e5a7ca70fe4ff75f0.us-east-1.aws.found.io/app/kibana#/discover/Steve-Slow-Train-Analysis-(2080s-and-2083s)?_g="&amp;"(refreshInterval:(display:Off,pause:!f,section:0,value:0),time:(from:'"&amp;TEXT(E143-1/24,"yyyy-MM-DDThh:mm:ss")&amp;utc_offset&amp;"00"&amp;"',mode:absolute,to:'"&amp;TEXT(I143+1/24,"yyyy-MM-DDThh:mm:ss")&amp;utc_offset&amp;"00"&amp;"'))&amp;_a=(columns:!('Message%20ID',Summary),filters:!(),index:'emp_*',interval:auto,query:"&amp;"(query_string:(analyze_wildcard:!t,query:'%22rtdc.l.rtdc."&amp;B143&amp;"%22')),sort:!(Time.ISO8601,asc))"</f>
        <v>https://d0f6bd738d7f1b3e5a7ca70fe4ff75f0.us-east-1.aws.found.io/app/kibana#/discover/Steve-Slow-Train-Analysis-(2080s-and-2083s)?_g=(refreshInterval:(display:Off,pause:!f,section:0,value:0),time:(from:'2018-01-06T19:36:12-0700',mode:absolute,to:'2018-01-06T23:06:25-0700'))&amp;_a=(columns:!('Message%20ID',Summary),filters:!(),index:'emp_*',interval:auto,query:(query_string:(analyze_wildcard:!t,query:'%22rtdc.l.rtdc.4057%22')),sort:!(Time.ISO8601,asc))</v>
      </c>
    </row>
    <row r="144" spans="1:91" s="223" customFormat="1" x14ac:dyDescent="0.3">
      <c r="A144" s="229" t="s">
        <v>867</v>
      </c>
      <c r="B144" s="225">
        <v>4044</v>
      </c>
      <c r="C144" s="227" t="s">
        <v>192</v>
      </c>
      <c r="D144" s="227" t="s">
        <v>1006</v>
      </c>
      <c r="E144" s="226">
        <v>43106.872893518521</v>
      </c>
      <c r="F144" s="226">
        <v>43106.875208333331</v>
      </c>
      <c r="G144" s="225">
        <v>53</v>
      </c>
      <c r="H144" s="227" t="s">
        <v>914</v>
      </c>
      <c r="I144" s="226">
        <v>43106.90048611111</v>
      </c>
      <c r="J144" s="225">
        <v>0</v>
      </c>
      <c r="K144" s="237" t="str">
        <f>IF(ISEVEN(B144),(B144-1)&amp;"/"&amp;B144,B144&amp;"/"&amp;(B144+1))</f>
        <v>4043/4044</v>
      </c>
      <c r="L144" s="245" t="str">
        <f>VLOOKUP(A144,'Trips&amp;Operators'!$C$1:$G$99911,5,FALSE)</f>
        <v>ANDERS STEVEN</v>
      </c>
      <c r="M144" s="224">
        <f>I144-F144</f>
        <v>2.527777777868323E-2</v>
      </c>
      <c r="N144" s="225">
        <f>24*60*SUM($M144:$M144)</f>
        <v>36.400000001303852</v>
      </c>
      <c r="O144" s="225"/>
      <c r="P144" s="225"/>
      <c r="Q144" s="228"/>
      <c r="R144" s="242"/>
      <c r="S144" s="249">
        <f>1/IF(AG144="EC",12,1)*SUM(U144:U144)</f>
        <v>1</v>
      </c>
      <c r="T144" s="242" t="str">
        <f>IF(ISEVEN(LEFT(AD144,4)),"Southbound","NorthBound")</f>
        <v>NorthBound</v>
      </c>
      <c r="U144" s="246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248" t="str">
        <f>"https://d0f6bd738d7f1b3e5a7ca70fe4ff75f0.us-east-1.aws.found.io/app/kibana#/discover/Steve-Slow-Train-Analysis-(2080s-and-2083s)?_g="&amp;"(refreshInterval:(display:Off,pause:!f,section:0,value:0),time:(from:'"&amp;TEXT(E144-1/24,"yyyy-MM-DDThh:mm:ss")&amp;utc_offset&amp;"00"&amp;"',mode:absolute,to:'"&amp;TEXT(I144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144&amp;"%22')),sort:!(Time.ISO8601,asc))"</f>
        <v>https://d0f6bd738d7f1b3e5a7ca70fe4ff75f0.us-east-1.aws.found.io/app/kibana#/discover/Steve-Slow-Train-Analysis-(2080s-and-2083s)?_g=(refreshInterval:(display:Off,pause:!f,section:0,value:0),time:(from:'2018-01-06T19:56:58-0700',mode:absolute,to:'2018-01-06T22:36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44" s="247" t="str">
        <f>IF(AA144&lt;VLOOKUP(AG144,Variables!$AC$3:$AD$8,2,FALSE),"Y","N")</f>
        <v>N</v>
      </c>
      <c r="X144" s="247">
        <f>VALUE(LEFT(AD144,4))-VALUE(LEFT(AD143,4))</f>
        <v>1</v>
      </c>
      <c r="Y144" s="247">
        <f>RIGHT(D144,LEN(D144)-4)/10000</f>
        <v>5.5500000000000001E-2</v>
      </c>
      <c r="Z144" s="247">
        <f>RIGHT(H144,LEN(H144)-4)/10000</f>
        <v>23.326599999999999</v>
      </c>
      <c r="AA144" s="247">
        <f>ABS(Z144-Y144)</f>
        <v>23.271100000000001</v>
      </c>
      <c r="AB144" s="233" t="e">
        <f>VLOOKUP(A144,Enforcements!$C$7:$K$9,8,0)</f>
        <v>#N/A</v>
      </c>
      <c r="AC144" s="232" t="e">
        <f>VLOOKUP(A144,Enforcements!$C$7:$E$9,3,0)</f>
        <v>#N/A</v>
      </c>
      <c r="AD144" s="243">
        <f>VALUE(LEFT(A144,LEN(A144)-3))</f>
        <v>229</v>
      </c>
      <c r="AE144" s="235" t="str">
        <f>"aws s3 cp "&amp;s3_bucket&amp;"/RTDC"&amp;B144&amp;"/ "&amp;search_path&amp;"\RTDC"&amp;B144&amp;"\"&amp;TEXT(F144,"YYYY-MM-DD")&amp;" --exclude ""*"" --recursive --include ""*"&amp;TEXT(F144,"YYYYMMDD")&amp;"*"" &amp; """&amp;walkandungz&amp;""" "&amp;search_path&amp;"\RTDC"&amp;B144&amp;"\"&amp;TEXT(F144,"YYYY-MM-DD")
&amp;" &amp; "&amp;"aws s3 cp "&amp;s3_bucket&amp;"/RTDC"&amp;B144&amp;"/ "&amp;search_path&amp;"\RTDC"&amp;B144&amp;"\"&amp;TEXT(F144+1,"YYYY-MM-DD")&amp;" --exclude ""*"" --recursive --include ""*"&amp;TEXT(F144+1,"YYYYMMDD")&amp;"*"" &amp; """&amp;walkandungz&amp;""" "&amp;search_path&amp;"\RTDC"&amp;B144&amp;"\"&amp;TEXT(F144+1,"YYYY-MM-DD")</f>
        <v>aws s3 cp s3://rtdc.mdm.uploadarchive.raw/RTDC4044/ "%USERPROFILE%\AppData\Local\Temp\OnboardLogs"\RTDC4044\2018-01-06 --exclude "*" --recursive --include "*20180106*" &amp; "%USERPROFILE%\Documents\GitHub\mrs-test-scripts\Headless Mode &amp; Sideloading\WalkAndUnGZ.bat" "%USERPROFILE%\AppData\Local\Temp\OnboardLogs"\RTDC4044\2018-01-06 &amp; aws s3 cp s3://rtdc.mdm.uploadarchive.raw/RTDC4044/ "%USERPROFILE%\AppData\Local\Temp\OnboardLogs"\RTDC4044\2018-01-07 --exclude "*" --recursive --include "*20180107*" &amp; "%USERPROFILE%\Documents\GitHub\mrs-test-scripts\Headless Mode &amp; Sideloading\WalkAndUnGZ.bat" "%USERPROFILE%\AppData\Local\Temp\OnboardLogs"\RTDC4044\2018-01-07</v>
      </c>
      <c r="AF144" s="234" t="str">
        <f>astrogrep_path&amp;" /e /r /s /spath="&amp;search_path&amp;" /stypes=""app*"&amp;B144&amp;"*"&amp;TEXT(I144-utc_offset/24,"YYYYMMDD")&amp;"*"" /stext="" "&amp;TEXT(I144-utc_offset/24,"HH")&amp;search_regexp&amp;""""</f>
        <v>"C:\Program Files (x86)\AstroGrep\AstroGrep.exe" /e /r /s /spath="%USERPROFILE%\AppData\Local\Temp\OnboardLogs" /stypes="app*4044*20180107*" /stext=" 04:.+((SYSTEM_STATE.+slice.+state.+changed )|(ment ac)|(multiple cpu faults)|(system.+state.+changed )|(\[timeout)|(PRM\|1\|D)|(kpr)|(kdp)|(train st.+moving)|(\|lc)|(penalty))"</v>
      </c>
      <c r="AG144" s="244" t="str">
        <f>DetSubdiv(A144)</f>
        <v>EC</v>
      </c>
      <c r="AH144" s="236" t="str">
        <f t="shared" si="10"/>
        <v>"%USERPROFILE%\Documents\GitHub\eaglep3\Utilities\RefineRTDCRunTimes.py" --tripid 229-06 --locoid 4044 --swversion DE.1.0.9.0 --startMP 204:555 --initTime 2018-01-06T20:56:58 --startdatetime 2018-01-06T21:00:18 --delay 53 --endMP 204:233266 --enddatetime 2018-01-06T21:36:42 --enforcementcount 0 &gt;&gt;%USERPROFILE%\Documents\GitHub\eaglep3-reporting\EC\2018-01-06-refined-times.txt</v>
      </c>
      <c r="AI144" s="238" t="str">
        <f t="shared" si="11"/>
        <v>echo {"issue":{"subject":"","project_id":79,"tracker_id":40,"status_id":1,"priority_id":2,"assigned_to_id":338,"start_date":"2018-01-06","description":"","custom_fields":[{"id":1,"name":"Subdivision","value":"EC"},{"id":4,"name":"Milepost","value":"23.3266"},{"id":17,"name":"Train ID","value":"229-06"},{"id":16,"name":"Locomotive ID","value":"4044"},{"id":130,"name":"Impact","value":""},{"id":150,"name":"Time of Event (Mountain Time)","value":"21:36:42"},{"id":151,"name":"Denver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4" s="231"/>
      <c r="AL144" s="231"/>
      <c r="AM144" s="240" t="str">
        <f t="shared" si="12"/>
        <v>start /low /b %USERPROFILE%\Documents\GitHub\eaglep3\Utilities\DownloadLogsFromS3.py --loco 4044 --day 2018-01-06</v>
      </c>
      <c r="AN144" s="241" t="str">
        <f t="shared" si="13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04:36:42"},{"id":29,"name":"Sharepoint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 s="230" t="str">
        <f t="shared" si="14"/>
        <v>https://d0f6bd738d7f1b3e5a7ca70fe4ff75f0.us-east-1.aws.found.io/app/kibana#/discover/Steve-Slow-Train-Analysis-(2080s-and-2083s)?_g=(refreshInterval:(display:Off,pause:!f,section:0,value:0),time:(from:'2018-01-06T19:56:58-0700',mode:absolute,to:'2018-01-06T22:36:42-0700'))&amp;_a=(columns:!('Message%20ID',Summary),filters:!(),index:'emp_*',interval:auto,query:(query_string:(analyze_wildcard:!t,query:'%22rtdc.l.rtdc.4044%22')),sort:!(Time.ISO8601,asc))</v>
      </c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23" customFormat="1" x14ac:dyDescent="0.3">
      <c r="A145" s="229" t="s">
        <v>873</v>
      </c>
      <c r="B145" s="225">
        <v>4043</v>
      </c>
      <c r="C145" s="227" t="s">
        <v>192</v>
      </c>
      <c r="D145" s="227" t="s">
        <v>569</v>
      </c>
      <c r="E145" s="226">
        <v>43106.910393518519</v>
      </c>
      <c r="F145" s="226">
        <v>43106.91505787037</v>
      </c>
      <c r="G145" s="225">
        <v>88</v>
      </c>
      <c r="H145" s="227" t="s">
        <v>1007</v>
      </c>
      <c r="I145" s="226">
        <v>43106.941759259258</v>
      </c>
      <c r="J145" s="225">
        <v>0</v>
      </c>
      <c r="K145" s="237" t="str">
        <f>IF(ISEVEN(B145),(B145-1)&amp;"/"&amp;B145,B145&amp;"/"&amp;(B145+1))</f>
        <v>4043/4044</v>
      </c>
      <c r="L145" s="245" t="str">
        <f>VLOOKUP(A145,'Trips&amp;Operators'!$C$1:$G$99911,5,FALSE)</f>
        <v>ANDERS STEVEN</v>
      </c>
      <c r="M145" s="224">
        <f>I145-F145</f>
        <v>2.6701388887886424E-2</v>
      </c>
      <c r="N145" s="225">
        <f>24*60*SUM($M145:$M145)</f>
        <v>38.44999999855645</v>
      </c>
      <c r="O145" s="225"/>
      <c r="P145" s="225"/>
      <c r="Q145" s="228"/>
      <c r="R145" s="242"/>
      <c r="S145" s="249">
        <f>1/IF(AG145="EC",12,1)*SUM(U145:U145)</f>
        <v>1</v>
      </c>
      <c r="T145" s="242" t="str">
        <f>IF(ISEVEN(LEFT(AD145,4)),"Southbound","NorthBound")</f>
        <v>Southbound</v>
      </c>
      <c r="U145" s="246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248" t="str">
        <f>"https://d0f6bd738d7f1b3e5a7ca70fe4ff75f0.us-east-1.aws.found.io/app/kibana#/discover/Steve-Slow-Train-Analysis-(2080s-and-2083s)?_g="&amp;"(refreshInterval:(display:Off,pause:!f,section:0,value:0),time:(from:'"&amp;TEXT(E145-1/24,"yyyy-MM-DDThh:mm:ss")&amp;utc_offset&amp;"00"&amp;"',mode:absolute,to:'"&amp;TEXT(I145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145&amp;"%22')),sort:!(Time.ISO8601,asc))"</f>
        <v>https://d0f6bd738d7f1b3e5a7ca70fe4ff75f0.us-east-1.aws.found.io/app/kibana#/discover/Steve-Slow-Train-Analysis-(2080s-and-2083s)?_g=(refreshInterval:(display:Off,pause:!f,section:0,value:0),time:(from:'2018-01-06T20:50:58-0700',mode:absolute,to:'2018-01-06T23:36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45" s="247" t="str">
        <f>IF(AA145&lt;VLOOKUP(AG145,Variables!$AC$3:$AD$8,2,FALSE),"Y","N")</f>
        <v>N</v>
      </c>
      <c r="X145" s="247">
        <f>VALUE(LEFT(AD145,4))-VALUE(LEFT(AD144,4))</f>
        <v>1</v>
      </c>
      <c r="Y145" s="247">
        <f>RIGHT(D145,LEN(D145)-4)/10000</f>
        <v>23.295999999999999</v>
      </c>
      <c r="Z145" s="247">
        <f>RIGHT(H145,LEN(H145)-4)/10000</f>
        <v>2.47E-2</v>
      </c>
      <c r="AA145" s="247">
        <f>ABS(Z145-Y145)</f>
        <v>23.2713</v>
      </c>
      <c r="AB145" s="233" t="e">
        <f>VLOOKUP(A145,Enforcements!$C$7:$K$9,8,0)</f>
        <v>#N/A</v>
      </c>
      <c r="AC145" s="232" t="e">
        <f>VLOOKUP(A145,Enforcements!$C$7:$E$9,3,0)</f>
        <v>#N/A</v>
      </c>
      <c r="AD145" s="243">
        <f>VALUE(LEFT(A145,LEN(A145)-3))</f>
        <v>230</v>
      </c>
      <c r="AE145" s="235" t="str">
        <f>"aws s3 cp "&amp;s3_bucket&amp;"/RTDC"&amp;B145&amp;"/ "&amp;search_path&amp;"\RTDC"&amp;B145&amp;"\"&amp;TEXT(F145,"YYYY-MM-DD")&amp;" --exclude ""*"" --recursive --include ""*"&amp;TEXT(F145,"YYYYMMDD")&amp;"*"" &amp; """&amp;walkandungz&amp;""" "&amp;search_path&amp;"\RTDC"&amp;B145&amp;"\"&amp;TEXT(F145,"YYYY-MM-DD")
&amp;" &amp; "&amp;"aws s3 cp "&amp;s3_bucket&amp;"/RTDC"&amp;B145&amp;"/ "&amp;search_path&amp;"\RTDC"&amp;B145&amp;"\"&amp;TEXT(F145+1,"YYYY-MM-DD")&amp;" --exclude ""*"" --recursive --include ""*"&amp;TEXT(F145+1,"YYYYMMDD")&amp;"*"" &amp; """&amp;walkandungz&amp;""" "&amp;search_path&amp;"\RTDC"&amp;B145&amp;"\"&amp;TEXT(F145+1,"YYYY-MM-DD")</f>
        <v>aws s3 cp s3://rtdc.mdm.uploadarchive.raw/RTDC4043/ "%USERPROFILE%\AppData\Local\Temp\OnboardLogs"\RTDC4043\2018-01-06 --exclude "*" --recursive --include "*20180106*" &amp; "%USERPROFILE%\Documents\GitHub\mrs-test-scripts\Headless Mode &amp; Sideloading\WalkAndUnGZ.bat" "%USERPROFILE%\AppData\Local\Temp\OnboardLogs"\RTDC4043\2018-01-06 &amp; aws s3 cp s3://rtdc.mdm.uploadarchive.raw/RTDC4043/ "%USERPROFILE%\AppData\Local\Temp\OnboardLogs"\RTDC4043\2018-01-07 --exclude "*" --recursive --include "*20180107*" &amp; "%USERPROFILE%\Documents\GitHub\mrs-test-scripts\Headless Mode &amp; Sideloading\WalkAndUnGZ.bat" "%USERPROFILE%\AppData\Local\Temp\OnboardLogs"\RTDC4043\2018-01-07</v>
      </c>
      <c r="AF145" s="234" t="str">
        <f>astrogrep_path&amp;" /e /r /s /spath="&amp;search_path&amp;" /stypes=""app*"&amp;B145&amp;"*"&amp;TEXT(I145-utc_offset/24,"YYYYMMDD")&amp;"*"" /stext="" "&amp;TEXT(I145-utc_offset/24,"HH")&amp;search_regexp&amp;""""</f>
        <v>"C:\Program Files (x86)\AstroGrep\AstroGrep.exe" /e /r /s /spath="%USERPROFILE%\AppData\Local\Temp\OnboardLogs" /stypes="app*4043*20180107*" /stext=" 05:.+((SYSTEM_STATE.+slice.+state.+changed )|(ment ac)|(multiple cpu faults)|(system.+state.+changed )|(\[timeout)|(PRM\|1\|D)|(kpr)|(kdp)|(train st.+moving)|(\|lc)|(penalty))"</v>
      </c>
      <c r="AG145" s="244" t="str">
        <f>DetSubdiv(A145)</f>
        <v>EC</v>
      </c>
      <c r="AH145" s="236" t="str">
        <f t="shared" si="10"/>
        <v>"%USERPROFILE%\Documents\GitHub\eaglep3\Utilities\RefineRTDCRunTimes.py" --tripid 230-06 --locoid 4043 --swversion DE.1.0.9.0 --startMP 204:232960 --initTime 2018-01-06T21:50:58 --startdatetime 2018-01-06T21:57:41 --delay 88 --endMP 204:247 --enddatetime 2018-01-06T22:36:08 --enforcementcount 0 &gt;&gt;%USERPROFILE%\Documents\GitHub\eaglep3-reporting\EC\2018-01-06-refined-times.txt</v>
      </c>
      <c r="AI145" s="238" t="str">
        <f t="shared" si="11"/>
        <v>echo {"issue":{"subject":"","project_id":79,"tracker_id":40,"status_id":1,"priority_id":2,"assigned_to_id":338,"start_date":"2018-01-06","description":"","custom_fields":[{"id":1,"name":"Subdivision","value":"EC"},{"id":4,"name":"Milepost","value":"0.0247"},{"id":17,"name":"Train ID","value":"230-06"},{"id":16,"name":"Locomotive ID","value":"4043"},{"id":130,"name":"Impact","value":""},{"id":150,"name":"Time of Event (Mountain Time)","value":"22:36:08"},{"id":151,"name":"Denver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5" s="231"/>
      <c r="AL145" s="231"/>
      <c r="AM145" s="240" t="str">
        <f t="shared" si="12"/>
        <v>start /low /b %USERPROFILE%\Documents\GitHub\eaglep3\Utilities\DownloadLogsFromS3.py --loco 4043 --day 2018-01-06</v>
      </c>
      <c r="AN145" s="241" t="str">
        <f t="shared" si="13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05:36:08"},{"id":29,"name":"Sharepoint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 s="230" t="str">
        <f t="shared" si="14"/>
        <v>https://d0f6bd738d7f1b3e5a7ca70fe4ff75f0.us-east-1.aws.found.io/app/kibana#/discover/Steve-Slow-Train-Analysis-(2080s-and-2083s)?_g=(refreshInterval:(display:Off,pause:!f,section:0,value:0),time:(from:'2018-01-06T20:50:58-0700',mode:absolute,to:'2018-01-06T23:36:08-0700'))&amp;_a=(columns:!('Message%20ID',Summary),filters:!(),index:'emp_*',interval:auto,query:(query_string:(analyze_wildcard:!t,query:'%22rtdc.l.rtdc.4043%22')),sort:!(Time.ISO8601,asc))</v>
      </c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23" customFormat="1" x14ac:dyDescent="0.3">
      <c r="A146" s="229" t="s">
        <v>870</v>
      </c>
      <c r="B146" s="225">
        <v>4064</v>
      </c>
      <c r="C146" s="227" t="s">
        <v>192</v>
      </c>
      <c r="D146" s="227" t="s">
        <v>634</v>
      </c>
      <c r="E146" s="226">
        <v>43106.88826388889</v>
      </c>
      <c r="F146" s="226">
        <v>43106.895983796298</v>
      </c>
      <c r="G146" s="225">
        <v>57</v>
      </c>
      <c r="H146" s="227" t="s">
        <v>1008</v>
      </c>
      <c r="I146" s="226">
        <v>43106.920960648145</v>
      </c>
      <c r="J146" s="225">
        <v>0</v>
      </c>
      <c r="K146" s="237" t="str">
        <f>IF(ISEVEN(B146),(B146-1)&amp;"/"&amp;B146,B146&amp;"/"&amp;(B146+1))</f>
        <v>4063/4064</v>
      </c>
      <c r="L146" s="245" t="str">
        <f>VLOOKUP(A146,'Trips&amp;Operators'!$C$1:$G$99911,5,FALSE)</f>
        <v>FORTUNATO FRANK</v>
      </c>
      <c r="M146" s="224">
        <f>I146-F146</f>
        <v>2.4976851847895887E-2</v>
      </c>
      <c r="N146" s="225">
        <f>24*60*SUM($M146:$M146)</f>
        <v>35.966666660970077</v>
      </c>
      <c r="O146" s="225"/>
      <c r="P146" s="225"/>
      <c r="Q146" s="228"/>
      <c r="R146" s="242"/>
      <c r="S146" s="249">
        <f>1/IF(AG146="EC",12,1)*SUM(U146:U146)</f>
        <v>1</v>
      </c>
      <c r="T146" s="242" t="str">
        <f>IF(ISEVEN(LEFT(AD146,4)),"Southbound","NorthBound")</f>
        <v>NorthBound</v>
      </c>
      <c r="U146" s="246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248" t="str">
        <f>"https://d0f6bd738d7f1b3e5a7ca70fe4ff75f0.us-east-1.aws.found.io/app/kibana#/discover/Steve-Slow-Train-Analysis-(2080s-and-2083s)?_g="&amp;"(refreshInterval:(display:Off,pause:!f,section:0,value:0),time:(from:'"&amp;TEXT(E146-1/24,"yyyy-MM-DDThh:mm:ss")&amp;utc_offset&amp;"00"&amp;"',mode:absolute,to:'"&amp;TEXT(I146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146&amp;"%22')),sort:!(Time.ISO8601,asc))"</f>
        <v>https://d0f6bd738d7f1b3e5a7ca70fe4ff75f0.us-east-1.aws.found.io/app/kibana#/discover/Steve-Slow-Train-Analysis-(2080s-and-2083s)?_g=(refreshInterval:(display:Off,pause:!f,section:0,value:0),time:(from:'2018-01-06T20:19:06-0700',mode:absolute,to:'2018-01-06T23:06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46" s="247" t="str">
        <f>IF(AA146&lt;VLOOKUP(AG146,Variables!$AC$3:$AD$8,2,FALSE),"Y","N")</f>
        <v>N</v>
      </c>
      <c r="X146" s="247">
        <f>VALUE(LEFT(AD146,4))-VALUE(LEFT(AD145,4))</f>
        <v>1</v>
      </c>
      <c r="Y146" s="247">
        <f>RIGHT(D146,LEN(D146)-4)/10000</f>
        <v>5.1999999999999998E-2</v>
      </c>
      <c r="Z146" s="247">
        <f>RIGHT(H146,LEN(H146)-4)/10000</f>
        <v>23.318899999999999</v>
      </c>
      <c r="AA146" s="247">
        <f>ABS(Z146-Y146)</f>
        <v>23.2669</v>
      </c>
      <c r="AB146" s="233" t="e">
        <f>VLOOKUP(A146,Enforcements!$C$7:$K$9,8,0)</f>
        <v>#N/A</v>
      </c>
      <c r="AC146" s="232" t="e">
        <f>VLOOKUP(A146,Enforcements!$C$7:$E$9,3,0)</f>
        <v>#N/A</v>
      </c>
      <c r="AD146" s="243">
        <f>VALUE(LEFT(A146,LEN(A146)-3))</f>
        <v>231</v>
      </c>
      <c r="AE146" s="235" t="str">
        <f>"aws s3 cp "&amp;s3_bucket&amp;"/RTDC"&amp;B146&amp;"/ "&amp;search_path&amp;"\RTDC"&amp;B146&amp;"\"&amp;TEXT(F146,"YYYY-MM-DD")&amp;" --exclude ""*"" --recursive --include ""*"&amp;TEXT(F146,"YYYYMMDD")&amp;"*"" &amp; """&amp;walkandungz&amp;""" "&amp;search_path&amp;"\RTDC"&amp;B146&amp;"\"&amp;TEXT(F146,"YYYY-MM-DD")
&amp;" &amp; "&amp;"aws s3 cp "&amp;s3_bucket&amp;"/RTDC"&amp;B146&amp;"/ "&amp;search_path&amp;"\RTDC"&amp;B146&amp;"\"&amp;TEXT(F146+1,"YYYY-MM-DD")&amp;" --exclude ""*"" --recursive --include ""*"&amp;TEXT(F146+1,"YYYYMMDD")&amp;"*"" &amp; """&amp;walkandungz&amp;""" "&amp;search_path&amp;"\RTDC"&amp;B146&amp;"\"&amp;TEXT(F146+1,"YYYY-MM-DD")</f>
        <v>aws s3 cp s3://rtdc.mdm.uploadarchive.raw/RTDC4064/ "%USERPROFILE%\AppData\Local\Temp\OnboardLogs"\RTDC4064\2018-01-06 --exclude "*" --recursive --include "*20180106*" &amp; "%USERPROFILE%\Documents\GitHub\mrs-test-scripts\Headless Mode &amp; Sideloading\WalkAndUnGZ.bat" "%USERPROFILE%\AppData\Local\Temp\OnboardLogs"\RTDC4064\2018-01-06 &amp; aws s3 cp s3://rtdc.mdm.uploadarchive.raw/RTDC4064/ "%USERPROFILE%\AppData\Local\Temp\OnboardLogs"\RTDC4064\2018-01-07 --exclude "*" --recursive --include "*20180107*" &amp; "%USERPROFILE%\Documents\GitHub\mrs-test-scripts\Headless Mode &amp; Sideloading\WalkAndUnGZ.bat" "%USERPROFILE%\AppData\Local\Temp\OnboardLogs"\RTDC4064\2018-01-07</v>
      </c>
      <c r="AF146" s="234" t="str">
        <f>astrogrep_path&amp;" /e /r /s /spath="&amp;search_path&amp;" /stypes=""app*"&amp;B146&amp;"*"&amp;TEXT(I146-utc_offset/24,"YYYYMMDD")&amp;"*"" /stext="" "&amp;TEXT(I146-utc_offset/24,"HH")&amp;search_regexp&amp;""""</f>
        <v>"C:\Program Files (x86)\AstroGrep\AstroGrep.exe" /e /r /s /spath="%USERPROFILE%\AppData\Local\Temp\OnboardLogs" /stypes="app*4064*20180107*" /stext=" 05:.+((SYSTEM_STATE.+slice.+state.+changed )|(ment ac)|(multiple cpu faults)|(system.+state.+changed )|(\[timeout)|(PRM\|1\|D)|(kpr)|(kdp)|(train st.+moving)|(\|lc)|(penalty))"</v>
      </c>
      <c r="AG146" s="244" t="str">
        <f>DetSubdiv(A146)</f>
        <v>EC</v>
      </c>
      <c r="AH146" s="236" t="str">
        <f t="shared" ref="AH146:AH212" si="36">refinertdcruntimes&amp;" --tripid "&amp;A146&amp;" --locoid "&amp;B146&amp;" --swversion "&amp;C146&amp;" --startMP "&amp;D146&amp;" --initTime "&amp;TEXT(E146,"yyyy-mm-ddTHH:MM:SS")&amp;" --startdatetime "&amp;TEXT(F146,"yyyy-mm-ddTHH:MM:SS")&amp;" --delay "&amp;G146&amp;" --endMP "&amp;H146&amp;" --enddatetime "&amp;TEXT(I146,"yyyy-mm-ddTHH:MM:SS")&amp;" --enforcementcount "&amp;J146&amp;IF(outputrefinedruntimes," &gt;&gt;"&amp;RefinedRTDCRunTimesOutputFile,"")</f>
        <v>"%USERPROFILE%\Documents\GitHub\eaglep3\Utilities\RefineRTDCRunTimes.py" --tripid 231-06 --locoid 4064 --swversion DE.1.0.9.0 --startMP 204:520 --initTime 2018-01-06T21:19:06 --startdatetime 2018-01-06T21:30:13 --delay 57 --endMP 204:233189 --enddatetime 2018-01-06T22:06:11 --enforcementcount 0 &gt;&gt;%USERPROFILE%\Documents\GitHub\eaglep3-reporting\EC\2018-01-06-refined-times.txt</v>
      </c>
      <c r="AI146" s="238" t="str">
        <f t="shared" ref="AI146:AI212" si="37">"echo {""issue"":{""subject"":"""&amp;R146&amp;""",""project_id"":79,""tracker_id"":40,""status_id"":"&amp;redmine_status&amp;",""priority_id"":"&amp;redmine_priority&amp;",""assigned_to_id"":"&amp;redmine_assignee&amp;",""start_date"":"""&amp;TEXT(I146,"YYYY-mm-dd")&amp;""",""description"":"""&amp;AJ146&amp;""",""custom_fields"":[{""id"":1,""name"":""Subdivision"",""value"":"""&amp;AG146&amp;"""},{""id"":4,""name"":""Milepost"",""value"":"""&amp;Z146&amp;"""},{""id"":17,""name"":""Train ID"",""value"":"""&amp;A146&amp;"""},{""id"":16,""name"":""Locomotive ID"",""value"":"""&amp;B146&amp;"""},{""id"":130,""name"":""Impact"",""value"":"""&amp;AK146&amp;"""},{""id"":150,""name"":""Time of Event (Mountain Time)"",""value"":"""&amp;TEXT(I146,"hh:mm:ss")&amp;"""},{""id"":151,""name"":""Denver Issue ID"",""value"":"""&amp;"""},{""id"":178,""name"":""Operational Impact"",""value"":"""&amp;redmine_op_impact&amp;"""},{""id"":179,""name"":""Denver Segment Assigned"",""value"":"""&amp;AL146&amp;"""}]}}"&amp;"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{"issue":{"subject":"","project_id":79,"tracker_id":40,"status_id":1,"priority_id":2,"assigned_to_id":338,"start_date":"2018-01-06","description":"","custom_fields":[{"id":1,"name":"Subdivision","value":"EC"},{"id":4,"name":"Milepost","value":"23.3189"},{"id":17,"name":"Train ID","value":"231-06"},{"id":16,"name":"Locomotive ID","value":"4064"},{"id":130,"name":"Impact","value":""},{"id":150,"name":"Time of Event (Mountain Time)","value":"22:06:11"},{"id":151,"name":"Denver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6" s="231"/>
      <c r="AL146" s="231"/>
      <c r="AM146" s="240" t="str">
        <f t="shared" ref="AM146:AM212" si="38">"start /low /b "&amp;dls3logs&amp;" --loco "&amp;B146&amp;" --day "&amp;TEXT(F146,"YYYY-MM-DD")</f>
        <v>start /low /b %USERPROFILE%\Documents\GitHub\eaglep3\Utilities\DownloadLogsFromS3.py --loco 4064 --day 2018-01-06</v>
      </c>
      <c r="AN146" s="241" t="str">
        <f t="shared" ref="AN146:AN212" si="39">"echo {""issue"":{""subject"":"""&amp;R146&amp;""",""project_id"":30,""tracker_id"":4,""status_id"":"&amp;redmine_status_wcr&amp;",""priority_id"":"&amp;redmine_priority_wcr&amp;",""assigned_to_id"":"&amp;redmine_assignee_wcr&amp;",""start_date"":"""&amp;TEXT(I146-utc_offset/24,"YYYY-mm-dd")&amp;""",""description"":"""&amp;AJ146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05:06:11"},{"id":29,"name":"Sharepoint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 s="230" t="str">
        <f t="shared" ref="AO146:AO212" si="40">"https://d0f6bd738d7f1b3e5a7ca70fe4ff75f0.us-east-1.aws.found.io/app/kibana#/discover/Steve-Slow-Train-Analysis-(2080s-and-2083s)?_g="&amp;"(refreshInterval:(display:Off,pause:!f,section:0,value:0),time:(from:'"&amp;TEXT(E146-1/24,"yyyy-MM-DDThh:mm:ss")&amp;utc_offset&amp;"00"&amp;"',mode:absolute,to:'"&amp;TEXT(I146+1/24,"yyyy-MM-DDThh:mm:ss")&amp;utc_offset&amp;"00"&amp;"'))&amp;_a=(columns:!('Message%20ID',Summary),filters:!(),index:'emp_*',interval:auto,query:"&amp;"(query_string:(analyze_wildcard:!t,query:'%22rtdc.l.rtdc."&amp;B146&amp;"%22')),sort:!(Time.ISO8601,asc))"</f>
        <v>https://d0f6bd738d7f1b3e5a7ca70fe4ff75f0.us-east-1.aws.found.io/app/kibana#/discover/Steve-Slow-Train-Analysis-(2080s-and-2083s)?_g=(refreshInterval:(display:Off,pause:!f,section:0,value:0),time:(from:'2018-01-06T20:19:06-0700',mode:absolute,to:'2018-01-06T23:06:11-0700'))&amp;_a=(columns:!('Message%20ID',Summary),filters:!(),index:'emp_*',interval:auto,query:(query_string:(analyze_wildcard:!t,query:'%22rtdc.l.rtdc.4064%22')),sort:!(Time.ISO8601,asc))</v>
      </c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3">
      <c r="A147" s="229" t="s">
        <v>682</v>
      </c>
      <c r="B147" s="225">
        <v>4063</v>
      </c>
      <c r="C147" s="227" t="s">
        <v>192</v>
      </c>
      <c r="D147" s="227" t="s">
        <v>1009</v>
      </c>
      <c r="E147" s="226">
        <v>43106.922430555554</v>
      </c>
      <c r="F147" s="226">
        <v>43106.935567129629</v>
      </c>
      <c r="G147" s="225">
        <v>54</v>
      </c>
      <c r="H147" s="227" t="s">
        <v>636</v>
      </c>
      <c r="I147" s="226">
        <v>43106.962442129632</v>
      </c>
      <c r="J147" s="225">
        <v>0</v>
      </c>
      <c r="K147" s="237" t="str">
        <f>IF(ISEVEN(B147),(B147-1)&amp;"/"&amp;B147,B147&amp;"/"&amp;(B147+1))</f>
        <v>4063/4064</v>
      </c>
      <c r="L147" s="245" t="str">
        <f>VLOOKUP(A147,'Trips&amp;Operators'!$C$1:$G$99911,5,FALSE)</f>
        <v>FORTUNATO FRANK</v>
      </c>
      <c r="M147" s="224">
        <f>I147-F147</f>
        <v>2.6875000003201421E-2</v>
      </c>
      <c r="N147" s="225">
        <f>24*60*SUM($M147:$M147)</f>
        <v>38.700000004610047</v>
      </c>
      <c r="O147" s="225"/>
      <c r="P147" s="225"/>
      <c r="Q147" s="228"/>
      <c r="R147" s="242"/>
      <c r="S147" s="249">
        <f>1/IF(AG147="EC",12,1)*SUM(U147:U147)</f>
        <v>1</v>
      </c>
      <c r="T147" s="242" t="str">
        <f>IF(ISEVEN(LEFT(AD147,4)),"Southbound","NorthBound")</f>
        <v>Southbound</v>
      </c>
      <c r="U147" s="246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248" t="str">
        <f>"https://d0f6bd738d7f1b3e5a7ca70fe4ff75f0.us-east-1.aws.found.io/app/kibana#/discover/Steve-Slow-Train-Analysis-(2080s-and-2083s)?_g="&amp;"(refreshInterval:(display:Off,pause:!f,section:0,value:0),time:(from:'"&amp;TEXT(E147-1/24,"yyyy-MM-DDThh:mm:ss")&amp;utc_offset&amp;"00"&amp;"',mode:absolute,to:'"&amp;TEXT(I147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147&amp;"%22')),sort:!(Time.ISO8601,asc))"</f>
        <v>https://d0f6bd738d7f1b3e5a7ca70fe4ff75f0.us-east-1.aws.found.io/app/kibana#/discover/Steve-Slow-Train-Analysis-(2080s-and-2083s)?_g=(refreshInterval:(display:Off,pause:!f,section:0,value:0),time:(from:'2018-01-06T21:08:18-0700',mode:absolute,to:'2018-01-07T00:05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47" s="247" t="str">
        <f>IF(AA147&lt;VLOOKUP(AG147,Variables!$AC$3:$AD$8,2,FALSE),"Y","N")</f>
        <v>N</v>
      </c>
      <c r="X147" s="247">
        <f>VALUE(LEFT(AD147,4))-VALUE(LEFT(AD146,4))</f>
        <v>1</v>
      </c>
      <c r="Y147" s="247">
        <f>RIGHT(D147,LEN(D147)-4)/10000</f>
        <v>23.287400000000002</v>
      </c>
      <c r="Z147" s="247">
        <f>RIGHT(H147,LEN(H147)-4)/10000</f>
        <v>2.12E-2</v>
      </c>
      <c r="AA147" s="247">
        <f>ABS(Z147-Y147)</f>
        <v>23.266200000000001</v>
      </c>
      <c r="AB147" s="233" t="e">
        <f>VLOOKUP(A147,Enforcements!$C$7:$K$9,8,0)</f>
        <v>#N/A</v>
      </c>
      <c r="AC147" s="232" t="e">
        <f>VLOOKUP(A147,Enforcements!$C$7:$E$9,3,0)</f>
        <v>#N/A</v>
      </c>
      <c r="AD147" s="243">
        <f>VALUE(LEFT(A147,LEN(A147)-3))</f>
        <v>232</v>
      </c>
      <c r="AE147" s="235" t="str">
        <f>"aws s3 cp "&amp;s3_bucket&amp;"/RTDC"&amp;B147&amp;"/ "&amp;search_path&amp;"\RTDC"&amp;B147&amp;"\"&amp;TEXT(F147,"YYYY-MM-DD")&amp;" --exclude ""*"" --recursive --include ""*"&amp;TEXT(F147,"YYYYMMDD")&amp;"*"" &amp; """&amp;walkandungz&amp;""" "&amp;search_path&amp;"\RTDC"&amp;B147&amp;"\"&amp;TEXT(F147,"YYYY-MM-DD")
&amp;" &amp; "&amp;"aws s3 cp "&amp;s3_bucket&amp;"/RTDC"&amp;B147&amp;"/ "&amp;search_path&amp;"\RTDC"&amp;B147&amp;"\"&amp;TEXT(F147+1,"YYYY-MM-DD")&amp;" --exclude ""*"" --recursive --include ""*"&amp;TEXT(F147+1,"YYYYMMDD")&amp;"*"" &amp; """&amp;walkandungz&amp;""" "&amp;search_path&amp;"\RTDC"&amp;B147&amp;"\"&amp;TEXT(F147+1,"YYYY-MM-DD")</f>
        <v>aws s3 cp s3://rtdc.mdm.uploadarchive.raw/RTDC4063/ "%USERPROFILE%\AppData\Local\Temp\OnboardLogs"\RTDC4063\2018-01-06 --exclude "*" --recursive --include "*20180106*" &amp; "%USERPROFILE%\Documents\GitHub\mrs-test-scripts\Headless Mode &amp; Sideloading\WalkAndUnGZ.bat" "%USERPROFILE%\AppData\Local\Temp\OnboardLogs"\RTDC4063\2018-01-06 &amp; aws s3 cp s3://rtdc.mdm.uploadarchive.raw/RTDC4063/ "%USERPROFILE%\AppData\Local\Temp\OnboardLogs"\RTDC4063\2018-01-07 --exclude "*" --recursive --include "*20180107*" &amp; "%USERPROFILE%\Documents\GitHub\mrs-test-scripts\Headless Mode &amp; Sideloading\WalkAndUnGZ.bat" "%USERPROFILE%\AppData\Local\Temp\OnboardLogs"\RTDC4063\2018-01-07</v>
      </c>
      <c r="AF147" s="234" t="str">
        <f>astrogrep_path&amp;" /e /r /s /spath="&amp;search_path&amp;" /stypes=""app*"&amp;B147&amp;"*"&amp;TEXT(I147-utc_offset/24,"YYYYMMDD")&amp;"*"" /stext="" "&amp;TEXT(I147-utc_offset/24,"HH")&amp;search_regexp&amp;""""</f>
        <v>"C:\Program Files (x86)\AstroGrep\AstroGrep.exe" /e /r /s /spath="%USERPROFILE%\AppData\Local\Temp\OnboardLogs" /stypes="app*4063*20180107*" /stext=" 06:.+((SYSTEM_STATE.+slice.+state.+changed )|(ment ac)|(multiple cpu faults)|(system.+state.+changed )|(\[timeout)|(PRM\|1\|D)|(kpr)|(kdp)|(train st.+moving)|(\|lc)|(penalty))"</v>
      </c>
      <c r="AG147" s="244" t="str">
        <f>DetSubdiv(A147)</f>
        <v>EC</v>
      </c>
      <c r="AH147" s="236" t="str">
        <f t="shared" si="36"/>
        <v>"%USERPROFILE%\Documents\GitHub\eaglep3\Utilities\RefineRTDCRunTimes.py" --tripid 232-06 --locoid 4063 --swversion DE.1.0.9.0 --startMP 204:232874 --initTime 2018-01-06T22:08:18 --startdatetime 2018-01-06T22:27:13 --delay 54 --endMP 204:212 --enddatetime 2018-01-06T23:05:55 --enforcementcount 0 &gt;&gt;%USERPROFILE%\Documents\GitHub\eaglep3-reporting\EC\2018-01-06-refined-times.txt</v>
      </c>
      <c r="AI147" s="238" t="str">
        <f t="shared" si="37"/>
        <v>echo {"issue":{"subject":"","project_id":79,"tracker_id":40,"status_id":1,"priority_id":2,"assigned_to_id":338,"start_date":"2018-01-06","description":"","custom_fields":[{"id":1,"name":"Subdivision","value":"EC"},{"id":4,"name":"Milepost","value":"0.0212"},{"id":17,"name":"Train ID","value":"232-06"},{"id":16,"name":"Locomotive ID","value":"4063"},{"id":130,"name":"Impact","value":""},{"id":150,"name":"Time of Event (Mountain Time)","value":"23:05:55"},{"id":151,"name":"Denver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7" s="223"/>
      <c r="AK147" s="231"/>
      <c r="AL147" s="231"/>
      <c r="AM147" s="240" t="str">
        <f t="shared" si="38"/>
        <v>start /low /b %USERPROFILE%\Documents\GitHub\eaglep3\Utilities\DownloadLogsFromS3.py --loco 4063 --day 2018-01-06</v>
      </c>
      <c r="AN147" s="241" t="str">
        <f t="shared" si="39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06:05:55"},{"id":29,"name":"Sharepoint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 s="230" t="str">
        <f t="shared" si="40"/>
        <v>https://d0f6bd738d7f1b3e5a7ca70fe4ff75f0.us-east-1.aws.found.io/app/kibana#/discover/Steve-Slow-Train-Analysis-(2080s-and-2083s)?_g=(refreshInterval:(display:Off,pause:!f,section:0,value:0),time:(from:'2018-01-06T21:08:18-0700',mode:absolute,to:'2018-01-07T00:05:55-0700'))&amp;_a=(columns:!('Message%20ID',Summary),filters:!(),index:'emp_*',interval:auto,query:(query_string:(analyze_wildcard:!t,query:'%22rtdc.l.rtdc.4063%22')),sort:!(Time.ISO8601,asc))</v>
      </c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23" customFormat="1" x14ac:dyDescent="0.3">
      <c r="A148" s="229" t="s">
        <v>872</v>
      </c>
      <c r="B148" s="225">
        <v>4030</v>
      </c>
      <c r="C148" s="227" t="s">
        <v>192</v>
      </c>
      <c r="D148" s="227" t="s">
        <v>644</v>
      </c>
      <c r="E148" s="226">
        <v>43106.899710648147</v>
      </c>
      <c r="F148" s="226">
        <v>43106.916990740741</v>
      </c>
      <c r="G148" s="225">
        <v>56</v>
      </c>
      <c r="H148" s="227" t="s">
        <v>553</v>
      </c>
      <c r="I148" s="226">
        <v>43106.940798611111</v>
      </c>
      <c r="J148" s="225">
        <v>0</v>
      </c>
      <c r="K148" s="237" t="str">
        <f>IF(ISEVEN(B148),(B148-1)&amp;"/"&amp;B148,B148&amp;"/"&amp;(B148+1))</f>
        <v>4029/4030</v>
      </c>
      <c r="L148" s="245" t="str">
        <f>VLOOKUP(A148,'Trips&amp;Operators'!$C$1:$G$99911,5,FALSE)</f>
        <v>ELBAUM MIKE</v>
      </c>
      <c r="M148" s="224">
        <f>I148-F148</f>
        <v>2.3807870369637385E-2</v>
      </c>
      <c r="N148" s="225">
        <f>24*60*SUM($M148:$M148)</f>
        <v>34.283333332277834</v>
      </c>
      <c r="O148" s="225"/>
      <c r="P148" s="225"/>
      <c r="Q148" s="228"/>
      <c r="R148" s="242"/>
      <c r="S148" s="249">
        <f>1/IF(AG148="EC",12,1)*SUM(U148:U148)</f>
        <v>1</v>
      </c>
      <c r="T148" s="242" t="str">
        <f>IF(ISEVEN(LEFT(AD148,4)),"Southbound","NorthBound")</f>
        <v>NorthBound</v>
      </c>
      <c r="U148" s="246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248" t="str">
        <f>"https://d0f6bd738d7f1b3e5a7ca70fe4ff75f0.us-east-1.aws.found.io/app/kibana#/discover/Steve-Slow-Train-Analysis-(2080s-and-2083s)?_g="&amp;"(refreshInterval:(display:Off,pause:!f,section:0,value:0),time:(from:'"&amp;TEXT(E148-1/24,"yyyy-MM-DDThh:mm:ss")&amp;utc_offset&amp;"00"&amp;"',mode:absolute,to:'"&amp;TEXT(I148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148&amp;"%22')),sort:!(Time.ISO8601,asc))"</f>
        <v>https://d0f6bd738d7f1b3e5a7ca70fe4ff75f0.us-east-1.aws.found.io/app/kibana#/discover/Steve-Slow-Train-Analysis-(2080s-and-2083s)?_g=(refreshInterval:(display:Off,pause:!f,section:0,value:0),time:(from:'2018-01-06T20:35:35-0700',mode:absolute,to:'2018-01-06T23:34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48" s="247" t="str">
        <f>IF(AA148&lt;VLOOKUP(AG148,Variables!$AC$3:$AD$8,2,FALSE),"Y","N")</f>
        <v>N</v>
      </c>
      <c r="X148" s="247">
        <f>VALUE(LEFT(AD148,4))-VALUE(LEFT(AD147,4))</f>
        <v>1</v>
      </c>
      <c r="Y148" s="247">
        <f>RIGHT(D148,LEN(D148)-4)/10000</f>
        <v>5.57E-2</v>
      </c>
      <c r="Z148" s="247">
        <f>RIGHT(H148,LEN(H148)-4)/10000</f>
        <v>23.331499999999998</v>
      </c>
      <c r="AA148" s="247">
        <f>ABS(Z148-Y148)</f>
        <v>23.275799999999997</v>
      </c>
      <c r="AB148" s="233" t="e">
        <f>VLOOKUP(A148,Enforcements!$C$7:$K$9,8,0)</f>
        <v>#N/A</v>
      </c>
      <c r="AC148" s="232" t="e">
        <f>VLOOKUP(A148,Enforcements!$C$7:$E$9,3,0)</f>
        <v>#N/A</v>
      </c>
      <c r="AD148" s="243">
        <f>VALUE(LEFT(A148,LEN(A148)-3))</f>
        <v>233</v>
      </c>
      <c r="AE148" s="235" t="str">
        <f>"aws s3 cp "&amp;s3_bucket&amp;"/RTDC"&amp;B148&amp;"/ "&amp;search_path&amp;"\RTDC"&amp;B148&amp;"\"&amp;TEXT(F148,"YYYY-MM-DD")&amp;" --exclude ""*"" --recursive --include ""*"&amp;TEXT(F148,"YYYYMMDD")&amp;"*"" &amp; """&amp;walkandungz&amp;""" "&amp;search_path&amp;"\RTDC"&amp;B148&amp;"\"&amp;TEXT(F148,"YYYY-MM-DD")
&amp;" &amp; "&amp;"aws s3 cp "&amp;s3_bucket&amp;"/RTDC"&amp;B148&amp;"/ "&amp;search_path&amp;"\RTDC"&amp;B148&amp;"\"&amp;TEXT(F148+1,"YYYY-MM-DD")&amp;" --exclude ""*"" --recursive --include ""*"&amp;TEXT(F148+1,"YYYYMMDD")&amp;"*"" &amp; """&amp;walkandungz&amp;""" "&amp;search_path&amp;"\RTDC"&amp;B148&amp;"\"&amp;TEXT(F148+1,"YYYY-MM-DD")</f>
        <v>aws s3 cp s3://rtdc.mdm.uploadarchive.raw/RTDC4030/ "%USERPROFILE%\AppData\Local\Temp\OnboardLogs"\RTDC4030\2018-01-06 --exclude "*" --recursive --include "*20180106*" &amp; "%USERPROFILE%\Documents\GitHub\mrs-test-scripts\Headless Mode &amp; Sideloading\WalkAndUnGZ.bat" "%USERPROFILE%\AppData\Local\Temp\OnboardLogs"\RTDC4030\2018-01-06 &amp; aws s3 cp s3://rtdc.mdm.uploadarchive.raw/RTDC4030/ "%USERPROFILE%\AppData\Local\Temp\OnboardLogs"\RTDC4030\2018-01-07 --exclude "*" --recursive --include "*20180107*" &amp; "%USERPROFILE%\Documents\GitHub\mrs-test-scripts\Headless Mode &amp; Sideloading\WalkAndUnGZ.bat" "%USERPROFILE%\AppData\Local\Temp\OnboardLogs"\RTDC4030\2018-01-07</v>
      </c>
      <c r="AF148" s="234" t="str">
        <f>astrogrep_path&amp;" /e /r /s /spath="&amp;search_path&amp;" /stypes=""app*"&amp;B148&amp;"*"&amp;TEXT(I148-utc_offset/24,"YYYYMMDD")&amp;"*"" /stext="" "&amp;TEXT(I148-utc_offset/24,"HH")&amp;search_regexp&amp;""""</f>
        <v>"C:\Program Files (x86)\AstroGrep\AstroGrep.exe" /e /r /s /spath="%USERPROFILE%\AppData\Local\Temp\OnboardLogs" /stypes="app*4030*20180107*" /stext=" 05:.+((SYSTEM_STATE.+slice.+state.+changed )|(ment ac)|(multiple cpu faults)|(system.+state.+changed )|(\[timeout)|(PRM\|1\|D)|(kpr)|(kdp)|(train st.+moving)|(\|lc)|(penalty))"</v>
      </c>
      <c r="AG148" s="244" t="str">
        <f>DetSubdiv(A148)</f>
        <v>EC</v>
      </c>
      <c r="AH148" s="236" t="str">
        <f t="shared" si="36"/>
        <v>"%USERPROFILE%\Documents\GitHub\eaglep3\Utilities\RefineRTDCRunTimes.py" --tripid 233-06 --locoid 4030 --swversion DE.1.0.9.0 --startMP 204:557 --initTime 2018-01-06T21:35:35 --startdatetime 2018-01-06T22:00:28 --delay 56 --endMP 204:233315 --enddatetime 2018-01-06T22:34:45 --enforcementcount 0 &gt;&gt;%USERPROFILE%\Documents\GitHub\eaglep3-reporting\EC\2018-01-06-refined-times.txt</v>
      </c>
      <c r="AI148" s="238" t="str">
        <f t="shared" si="37"/>
        <v>echo {"issue":{"subject":"","project_id":79,"tracker_id":40,"status_id":1,"priority_id":2,"assigned_to_id":338,"start_date":"2018-01-06","description":"","custom_fields":[{"id":1,"name":"Subdivision","value":"EC"},{"id":4,"name":"Milepost","value":"23.3315"},{"id":17,"name":"Train ID","value":"233-06"},{"id":16,"name":"Locomotive ID","value":"4030"},{"id":130,"name":"Impact","value":""},{"id":150,"name":"Time of Event (Mountain Time)","value":"22:34:45"},{"id":151,"name":"Denver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8" s="231"/>
      <c r="AL148" s="231"/>
      <c r="AM148" s="240" t="str">
        <f t="shared" si="38"/>
        <v>start /low /b %USERPROFILE%\Documents\GitHub\eaglep3\Utilities\DownloadLogsFromS3.py --loco 4030 --day 2018-01-06</v>
      </c>
      <c r="AN148" s="241" t="str">
        <f t="shared" si="39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05:34:45"},{"id":29,"name":"Sharepoint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 s="230" t="str">
        <f t="shared" si="40"/>
        <v>https://d0f6bd738d7f1b3e5a7ca70fe4ff75f0.us-east-1.aws.found.io/app/kibana#/discover/Steve-Slow-Train-Analysis-(2080s-and-2083s)?_g=(refreshInterval:(display:Off,pause:!f,section:0,value:0),time:(from:'2018-01-06T20:35:35-0700',mode:absolute,to:'2018-01-06T23:34:45-0700'))&amp;_a=(columns:!('Message%20ID',Summary),filters:!(),index:'emp_*',interval:auto,query:(query_string:(analyze_wildcard:!t,query:'%22rtdc.l.rtdc.4030%22')),sort:!(Time.ISO8601,asc))</v>
      </c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23" customFormat="1" x14ac:dyDescent="0.3">
      <c r="A149" s="229" t="s">
        <v>684</v>
      </c>
      <c r="B149" s="225">
        <v>4029</v>
      </c>
      <c r="C149" s="227" t="s">
        <v>192</v>
      </c>
      <c r="D149" s="227" t="s">
        <v>611</v>
      </c>
      <c r="E149" s="226">
        <v>43106.944872685184</v>
      </c>
      <c r="F149" s="226">
        <v>43106.956388888888</v>
      </c>
      <c r="G149" s="225">
        <v>53</v>
      </c>
      <c r="H149" s="227" t="s">
        <v>1010</v>
      </c>
      <c r="I149" s="226">
        <v>43106.981689814813</v>
      </c>
      <c r="J149" s="225">
        <v>0</v>
      </c>
      <c r="K149" s="237" t="str">
        <f>IF(ISEVEN(B149),(B149-1)&amp;"/"&amp;B149,B149&amp;"/"&amp;(B149+1))</f>
        <v>4029/4030</v>
      </c>
      <c r="L149" s="245" t="str">
        <f>VLOOKUP(A149,'Trips&amp;Operators'!$C$1:$G$99911,5,FALSE)</f>
        <v>ELBAUM MIKE</v>
      </c>
      <c r="M149" s="224">
        <f>I149-F149</f>
        <v>2.5300925924966577E-2</v>
      </c>
      <c r="N149" s="225">
        <f>24*60*SUM($M149:$M149)</f>
        <v>36.433333331951872</v>
      </c>
      <c r="O149" s="225"/>
      <c r="P149" s="225"/>
      <c r="Q149" s="228"/>
      <c r="R149" s="242"/>
      <c r="S149" s="249">
        <f>1/IF(AG149="EC",12,1)*SUM(U149:U149)</f>
        <v>1</v>
      </c>
      <c r="T149" s="242" t="str">
        <f>IF(ISEVEN(LEFT(AD149,4)),"Southbound","NorthBound")</f>
        <v>Southbound</v>
      </c>
      <c r="U149" s="246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248" t="str">
        <f>"https://d0f6bd738d7f1b3e5a7ca70fe4ff75f0.us-east-1.aws.found.io/app/kibana#/discover/Steve-Slow-Train-Analysis-(2080s-and-2083s)?_g="&amp;"(refreshInterval:(display:Off,pause:!f,section:0,value:0),time:(from:'"&amp;TEXT(E149-1/24,"yyyy-MM-DDThh:mm:ss")&amp;utc_offset&amp;"00"&amp;"',mode:absolute,to:'"&amp;TEXT(I149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149&amp;"%22')),sort:!(Time.ISO8601,asc))"</f>
        <v>https://d0f6bd738d7f1b3e5a7ca70fe4ff75f0.us-east-1.aws.found.io/app/kibana#/discover/Steve-Slow-Train-Analysis-(2080s-and-2083s)?_g=(refreshInterval:(display:Off,pause:!f,section:0,value:0),time:(from:'2018-01-06T21:40:37-0700',mode:absolute,to:'2018-01-07T00:33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49" s="247" t="str">
        <f>IF(AA149&lt;VLOOKUP(AG149,Variables!$AC$3:$AD$8,2,FALSE),"Y","N")</f>
        <v>N</v>
      </c>
      <c r="X149" s="247">
        <f>VALUE(LEFT(AD149,4))-VALUE(LEFT(AD148,4))</f>
        <v>1</v>
      </c>
      <c r="Y149" s="247">
        <f>RIGHT(D149,LEN(D149)-4)/10000</f>
        <v>23.299600000000002</v>
      </c>
      <c r="Z149" s="247">
        <f>RIGHT(H149,LEN(H149)-4)/10000</f>
        <v>2.93E-2</v>
      </c>
      <c r="AA149" s="247">
        <f>ABS(Z149-Y149)</f>
        <v>23.270300000000002</v>
      </c>
      <c r="AB149" s="233" t="e">
        <f>VLOOKUP(A149,Enforcements!$C$7:$K$9,8,0)</f>
        <v>#N/A</v>
      </c>
      <c r="AC149" s="232" t="e">
        <f>VLOOKUP(A149,Enforcements!$C$7:$E$9,3,0)</f>
        <v>#N/A</v>
      </c>
      <c r="AD149" s="243">
        <f>VALUE(LEFT(A149,LEN(A149)-3))</f>
        <v>234</v>
      </c>
      <c r="AE149" s="235" t="str">
        <f>"aws s3 cp "&amp;s3_bucket&amp;"/RTDC"&amp;B149&amp;"/ "&amp;search_path&amp;"\RTDC"&amp;B149&amp;"\"&amp;TEXT(F149,"YYYY-MM-DD")&amp;" --exclude ""*"" --recursive --include ""*"&amp;TEXT(F149,"YYYYMMDD")&amp;"*"" &amp; """&amp;walkandungz&amp;""" "&amp;search_path&amp;"\RTDC"&amp;B149&amp;"\"&amp;TEXT(F149,"YYYY-MM-DD")
&amp;" &amp; "&amp;"aws s3 cp "&amp;s3_bucket&amp;"/RTDC"&amp;B149&amp;"/ "&amp;search_path&amp;"\RTDC"&amp;B149&amp;"\"&amp;TEXT(F149+1,"YYYY-MM-DD")&amp;" --exclude ""*"" --recursive --include ""*"&amp;TEXT(F149+1,"YYYYMMDD")&amp;"*"" &amp; """&amp;walkandungz&amp;""" "&amp;search_path&amp;"\RTDC"&amp;B149&amp;"\"&amp;TEXT(F149+1,"YYYY-MM-DD")</f>
        <v>aws s3 cp s3://rtdc.mdm.uploadarchive.raw/RTDC4029/ "%USERPROFILE%\AppData\Local\Temp\OnboardLogs"\RTDC4029\2018-01-06 --exclude "*" --recursive --include "*20180106*" &amp; "%USERPROFILE%\Documents\GitHub\mrs-test-scripts\Headless Mode &amp; Sideloading\WalkAndUnGZ.bat" "%USERPROFILE%\AppData\Local\Temp\OnboardLogs"\RTDC4029\2018-01-06 &amp; aws s3 cp s3://rtdc.mdm.uploadarchive.raw/RTDC4029/ "%USERPROFILE%\AppData\Local\Temp\OnboardLogs"\RTDC4029\2018-01-07 --exclude "*" --recursive --include "*20180107*" &amp; "%USERPROFILE%\Documents\GitHub\mrs-test-scripts\Headless Mode &amp; Sideloading\WalkAndUnGZ.bat" "%USERPROFILE%\AppData\Local\Temp\OnboardLogs"\RTDC4029\2018-01-07</v>
      </c>
      <c r="AF149" s="234" t="str">
        <f>astrogrep_path&amp;" /e /r /s /spath="&amp;search_path&amp;" /stypes=""app*"&amp;B149&amp;"*"&amp;TEXT(I149-utc_offset/24,"YYYYMMDD")&amp;"*"" /stext="" "&amp;TEXT(I149-utc_offset/24,"HH")&amp;search_regexp&amp;""""</f>
        <v>"C:\Program Files (x86)\AstroGrep\AstroGrep.exe" /e /r /s /spath="%USERPROFILE%\AppData\Local\Temp\OnboardLogs" /stypes="app*4029*20180107*" /stext=" 06:.+((SYSTEM_STATE.+slice.+state.+changed )|(ment ac)|(multiple cpu faults)|(system.+state.+changed )|(\[timeout)|(PRM\|1\|D)|(kpr)|(kdp)|(train st.+moving)|(\|lc)|(penalty))"</v>
      </c>
      <c r="AG149" s="244" t="str">
        <f>DetSubdiv(A149)</f>
        <v>EC</v>
      </c>
      <c r="AH149" s="236" t="str">
        <f t="shared" si="36"/>
        <v>"%USERPROFILE%\Documents\GitHub\eaglep3\Utilities\RefineRTDCRunTimes.py" --tripid 234-06 --locoid 4029 --swversion DE.1.0.9.0 --startMP 204:232996 --initTime 2018-01-06T22:40:37 --startdatetime 2018-01-06T22:57:12 --delay 53 --endMP 204:293 --enddatetime 2018-01-06T23:33:38 --enforcementcount 0 &gt;&gt;%USERPROFILE%\Documents\GitHub\eaglep3-reporting\EC\2018-01-06-refined-times.txt</v>
      </c>
      <c r="AI149" s="238" t="str">
        <f t="shared" si="37"/>
        <v>echo {"issue":{"subject":"","project_id":79,"tracker_id":40,"status_id":1,"priority_id":2,"assigned_to_id":338,"start_date":"2018-01-06","description":"","custom_fields":[{"id":1,"name":"Subdivision","value":"EC"},{"id":4,"name":"Milepost","value":"0.0293"},{"id":17,"name":"Train ID","value":"234-06"},{"id":16,"name":"Locomotive ID","value":"4029"},{"id":130,"name":"Impact","value":""},{"id":150,"name":"Time of Event (Mountain Time)","value":"23:33:38"},{"id":151,"name":"Denver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9" s="231"/>
      <c r="AL149" s="231"/>
      <c r="AM149" s="240" t="str">
        <f t="shared" si="38"/>
        <v>start /low /b %USERPROFILE%\Documents\GitHub\eaglep3\Utilities\DownloadLogsFromS3.py --loco 4029 --day 2018-01-06</v>
      </c>
      <c r="AN149" s="241" t="str">
        <f t="shared" si="39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06:33:38"},{"id":29,"name":"Sharepoint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 s="230" t="str">
        <f t="shared" si="40"/>
        <v>https://d0f6bd738d7f1b3e5a7ca70fe4ff75f0.us-east-1.aws.found.io/app/kibana#/discover/Steve-Slow-Train-Analysis-(2080s-and-2083s)?_g=(refreshInterval:(display:Off,pause:!f,section:0,value:0),time:(from:'2018-01-06T21:40:37-0700',mode:absolute,to:'2018-01-07T00:33:38-0700'))&amp;_a=(columns:!('Message%20ID',Summary),filters:!(),index:'emp_*',interval:auto,query:(query_string:(analyze_wildcard:!t,query:'%22rtdc.l.rtdc.4029%22')),sort:!(Time.ISO8601,asc))</v>
      </c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3">
      <c r="A150" s="229" t="s">
        <v>875</v>
      </c>
      <c r="B150" s="225">
        <v>4058</v>
      </c>
      <c r="C150" s="227" t="s">
        <v>192</v>
      </c>
      <c r="D150" s="227" t="s">
        <v>1011</v>
      </c>
      <c r="E150" s="226">
        <v>43106.929189814815</v>
      </c>
      <c r="F150" s="226">
        <v>43106.937881944446</v>
      </c>
      <c r="G150" s="225">
        <v>54</v>
      </c>
      <c r="H150" s="227" t="s">
        <v>1012</v>
      </c>
      <c r="I150" s="226">
        <v>43106.962708333333</v>
      </c>
      <c r="J150" s="225">
        <v>0</v>
      </c>
      <c r="K150" s="237" t="str">
        <f>IF(ISEVEN(B150),(B150-1)&amp;"/"&amp;B150,B150&amp;"/"&amp;(B150+1))</f>
        <v>4057/4058</v>
      </c>
      <c r="L150" s="245" t="str">
        <f>VLOOKUP(A150,'Trips&amp;Operators'!$C$1:$G$99911,5,FALSE)</f>
        <v>NICHOLSON WESLEY</v>
      </c>
      <c r="M150" s="224">
        <f>I150-F150</f>
        <v>2.4826388886140194E-2</v>
      </c>
      <c r="N150" s="225">
        <f>24*60*SUM($M150:$M150)</f>
        <v>35.749999996041879</v>
      </c>
      <c r="O150" s="225"/>
      <c r="P150" s="225"/>
      <c r="Q150" s="228"/>
      <c r="R150" s="242"/>
      <c r="S150" s="249">
        <f>1/IF(AG150="EC",12,1)*SUM(U150:U150)</f>
        <v>1</v>
      </c>
      <c r="T150" s="242" t="str">
        <f>IF(ISEVEN(LEFT(AD150,4)),"Southbound","NorthBound")</f>
        <v>NorthBound</v>
      </c>
      <c r="U150" s="246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248" t="str">
        <f>"https://d0f6bd738d7f1b3e5a7ca70fe4ff75f0.us-east-1.aws.found.io/app/kibana#/discover/Steve-Slow-Train-Analysis-(2080s-and-2083s)?_g="&amp;"(refreshInterval:(display:Off,pause:!f,section:0,value:0),time:(from:'"&amp;TEXT(E150-1/24,"yyyy-MM-DDThh:mm:ss")&amp;utc_offset&amp;"00"&amp;"',mode:absolute,to:'"&amp;TEXT(I150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150&amp;"%22')),sort:!(Time.ISO8601,asc))"</f>
        <v>https://d0f6bd738d7f1b3e5a7ca70fe4ff75f0.us-east-1.aws.found.io/app/kibana#/discover/Steve-Slow-Train-Analysis-(2080s-and-2083s)?_g=(refreshInterval:(display:Off,pause:!f,section:0,value:0),time:(from:'2018-01-06T21:18:02-0700',mode:absolute,to:'2018-01-07T00:06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50" s="247" t="str">
        <f>IF(AA150&lt;VLOOKUP(AG150,Variables!$AC$3:$AD$8,2,FALSE),"Y","N")</f>
        <v>N</v>
      </c>
      <c r="X150" s="247">
        <f>VALUE(LEFT(AD150,4))-VALUE(LEFT(AD149,4))</f>
        <v>1</v>
      </c>
      <c r="Y150" s="247">
        <f>RIGHT(D150,LEN(D150)-4)/10000</f>
        <v>5.3100000000000001E-2</v>
      </c>
      <c r="Z150" s="247">
        <f>RIGHT(H150,LEN(H150)-4)/10000</f>
        <v>23.3185</v>
      </c>
      <c r="AA150" s="247">
        <f>ABS(Z150-Y150)</f>
        <v>23.2654</v>
      </c>
      <c r="AB150" s="233" t="e">
        <f>VLOOKUP(A150,Enforcements!$C$7:$K$9,8,0)</f>
        <v>#N/A</v>
      </c>
      <c r="AC150" s="232" t="e">
        <f>VLOOKUP(A150,Enforcements!$C$7:$E$9,3,0)</f>
        <v>#N/A</v>
      </c>
      <c r="AD150" s="243">
        <f>VALUE(LEFT(A150,LEN(A150)-3))</f>
        <v>235</v>
      </c>
      <c r="AE150" s="235" t="str">
        <f>"aws s3 cp "&amp;s3_bucket&amp;"/RTDC"&amp;B150&amp;"/ "&amp;search_path&amp;"\RTDC"&amp;B150&amp;"\"&amp;TEXT(F150,"YYYY-MM-DD")&amp;" --exclude ""*"" --recursive --include ""*"&amp;TEXT(F150,"YYYYMMDD")&amp;"*"" &amp; """&amp;walkandungz&amp;""" "&amp;search_path&amp;"\RTDC"&amp;B150&amp;"\"&amp;TEXT(F150,"YYYY-MM-DD")
&amp;" &amp; "&amp;"aws s3 cp "&amp;s3_bucket&amp;"/RTDC"&amp;B150&amp;"/ "&amp;search_path&amp;"\RTDC"&amp;B150&amp;"\"&amp;TEXT(F150+1,"YYYY-MM-DD")&amp;" --exclude ""*"" --recursive --include ""*"&amp;TEXT(F150+1,"YYYYMMDD")&amp;"*"" &amp; """&amp;walkandungz&amp;""" "&amp;search_path&amp;"\RTDC"&amp;B150&amp;"\"&amp;TEXT(F150+1,"YYYY-MM-DD")</f>
        <v>aws s3 cp s3://rtdc.mdm.uploadarchive.raw/RTDC4058/ "%USERPROFILE%\AppData\Local\Temp\OnboardLogs"\RTDC4058\2018-01-06 --exclude "*" --recursive --include "*20180106*" &amp; "%USERPROFILE%\Documents\GitHub\mrs-test-scripts\Headless Mode &amp; Sideloading\WalkAndUnGZ.bat" "%USERPROFILE%\AppData\Local\Temp\OnboardLogs"\RTDC4058\2018-01-06 &amp; aws s3 cp s3://rtdc.mdm.uploadarchive.raw/RTDC4058/ "%USERPROFILE%\AppData\Local\Temp\OnboardLogs"\RTDC4058\2018-01-07 --exclude "*" --recursive --include "*20180107*" &amp; "%USERPROFILE%\Documents\GitHub\mrs-test-scripts\Headless Mode &amp; Sideloading\WalkAndUnGZ.bat" "%USERPROFILE%\AppData\Local\Temp\OnboardLogs"\RTDC4058\2018-01-07</v>
      </c>
      <c r="AF150" s="234" t="str">
        <f>astrogrep_path&amp;" /e /r /s /spath="&amp;search_path&amp;" /stypes=""app*"&amp;B150&amp;"*"&amp;TEXT(I150-utc_offset/24,"YYYYMMDD")&amp;"*"" /stext="" "&amp;TEXT(I150-utc_offset/24,"HH")&amp;search_regexp&amp;""""</f>
        <v>"C:\Program Files (x86)\AstroGrep\AstroGrep.exe" /e /r /s /spath="%USERPROFILE%\AppData\Local\Temp\OnboardLogs" /stypes="app*4058*20180107*" /stext=" 06:.+((SYSTEM_STATE.+slice.+state.+changed )|(ment ac)|(multiple cpu faults)|(system.+state.+changed )|(\[timeout)|(PRM\|1\|D)|(kpr)|(kdp)|(train st.+moving)|(\|lc)|(penalty))"</v>
      </c>
      <c r="AG150" s="244" t="str">
        <f>DetSubdiv(A150)</f>
        <v>EC</v>
      </c>
      <c r="AH150" s="236" t="str">
        <f t="shared" si="36"/>
        <v>"%USERPROFILE%\Documents\GitHub\eaglep3\Utilities\RefineRTDCRunTimes.py" --tripid 235-06 --locoid 4058 --swversion DE.1.0.9.0 --startMP 204:531 --initTime 2018-01-06T22:18:02 --startdatetime 2018-01-06T22:30:33 --delay 54 --endMP 204:233185 --enddatetime 2018-01-06T23:06:18 --enforcementcount 0 &gt;&gt;%USERPROFILE%\Documents\GitHub\eaglep3-reporting\EC\2018-01-06-refined-times.txt</v>
      </c>
      <c r="AI150" s="238" t="str">
        <f t="shared" si="37"/>
        <v>echo {"issue":{"subject":"","project_id":79,"tracker_id":40,"status_id":1,"priority_id":2,"assigned_to_id":338,"start_date":"2018-01-06","description":"","custom_fields":[{"id":1,"name":"Subdivision","value":"EC"},{"id":4,"name":"Milepost","value":"23.3185"},{"id":17,"name":"Train ID","value":"235-06"},{"id":16,"name":"Locomotive ID","value":"4058"},{"id":130,"name":"Impact","value":""},{"id":150,"name":"Time of Event (Mountain Time)","value":"23:06:18"},{"id":151,"name":"Denver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0" s="223"/>
      <c r="AK150" s="231"/>
      <c r="AL150" s="231"/>
      <c r="AM150" s="240" t="str">
        <f t="shared" si="38"/>
        <v>start /low /b %USERPROFILE%\Documents\GitHub\eaglep3\Utilities\DownloadLogsFromS3.py --loco 4058 --day 2018-01-06</v>
      </c>
      <c r="AN150" s="241" t="str">
        <f t="shared" si="39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06:06:18"},{"id":29,"name":"Sharepoint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 s="230" t="str">
        <f t="shared" si="40"/>
        <v>https://d0f6bd738d7f1b3e5a7ca70fe4ff75f0.us-east-1.aws.found.io/app/kibana#/discover/Steve-Slow-Train-Analysis-(2080s-and-2083s)?_g=(refreshInterval:(display:Off,pause:!f,section:0,value:0),time:(from:'2018-01-06T21:18:02-0700',mode:absolute,to:'2018-01-07T00:06:18-0700'))&amp;_a=(columns:!('Message%20ID',Summary),filters:!(),index:'emp_*',interval:auto,query:(query_string:(analyze_wildcard:!t,query:'%22rtdc.l.rtdc.4058%22')),sort:!(Time.ISO8601,asc))</v>
      </c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3">
      <c r="A151" s="229" t="s">
        <v>878</v>
      </c>
      <c r="B151" s="225">
        <v>4057</v>
      </c>
      <c r="C151" s="227" t="s">
        <v>192</v>
      </c>
      <c r="D151" s="227" t="s">
        <v>1013</v>
      </c>
      <c r="E151" s="226">
        <v>43106.97284722222</v>
      </c>
      <c r="F151" s="226">
        <v>43106.977303240739</v>
      </c>
      <c r="G151" s="225">
        <v>65</v>
      </c>
      <c r="H151" s="227" t="s">
        <v>629</v>
      </c>
      <c r="I151" s="226">
        <v>43107.00439814815</v>
      </c>
      <c r="J151" s="225">
        <v>0</v>
      </c>
      <c r="K151" s="237" t="str">
        <f>IF(ISEVEN(B151),(B151-1)&amp;"/"&amp;B151,B151&amp;"/"&amp;(B151+1))</f>
        <v>4057/4058</v>
      </c>
      <c r="L151" s="245" t="str">
        <f>VLOOKUP(A151,'Trips&amp;Operators'!$C$1:$G$99911,5,FALSE)</f>
        <v>NICHOLSON WESLEY</v>
      </c>
      <c r="M151" s="224">
        <f>I151-F151</f>
        <v>2.7094907411083113E-2</v>
      </c>
      <c r="N151" s="225">
        <f>24*60*SUM($M151:$M151)</f>
        <v>39.016666671959683</v>
      </c>
      <c r="O151" s="225"/>
      <c r="P151" s="225"/>
      <c r="Q151" s="228"/>
      <c r="R151" s="242"/>
      <c r="S151" s="249">
        <f>1/IF(AG151="EC",12,1)*SUM(U151:U151)</f>
        <v>1</v>
      </c>
      <c r="T151" s="242" t="str">
        <f>IF(ISEVEN(LEFT(AD151,4)),"Southbound","NorthBound")</f>
        <v>Southbound</v>
      </c>
      <c r="U151" s="246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248" t="str">
        <f>"https://d0f6bd738d7f1b3e5a7ca70fe4ff75f0.us-east-1.aws.found.io/app/kibana#/discover/Steve-Slow-Train-Analysis-(2080s-and-2083s)?_g="&amp;"(refreshInterval:(display:Off,pause:!f,section:0,value:0),time:(from:'"&amp;TEXT(E151-1/24,"yyyy-MM-DDThh:mm:ss")&amp;utc_offset&amp;"00"&amp;"',mode:absolute,to:'"&amp;TEXT(I151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151&amp;"%22')),sort:!(Time.ISO8601,asc))"</f>
        <v>https://d0f6bd738d7f1b3e5a7ca70fe4ff75f0.us-east-1.aws.found.io/app/kibana#/discover/Steve-Slow-Train-Analysis-(2080s-and-2083s)?_g=(refreshInterval:(display:Off,pause:!f,section:0,value:0),time:(from:'2018-01-06T22:20:54-0700',mode:absolute,to:'2018-01-07T01:06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51" s="247" t="str">
        <f>IF(AA151&lt;VLOOKUP(AG151,Variables!$AC$3:$AD$8,2,FALSE),"Y","N")</f>
        <v>N</v>
      </c>
      <c r="X151" s="247">
        <f>VALUE(LEFT(AD151,4))-VALUE(LEFT(AD150,4))</f>
        <v>1</v>
      </c>
      <c r="Y151" s="247">
        <f>RIGHT(D151,LEN(D151)-4)/10000</f>
        <v>23.2866</v>
      </c>
      <c r="Z151" s="247">
        <f>RIGHT(H151,LEN(H151)-4)/10000</f>
        <v>2.4899999999999999E-2</v>
      </c>
      <c r="AA151" s="247">
        <f>ABS(Z151-Y151)</f>
        <v>23.261700000000001</v>
      </c>
      <c r="AB151" s="233" t="e">
        <f>VLOOKUP(A151,Enforcements!$C$7:$K$9,8,0)</f>
        <v>#N/A</v>
      </c>
      <c r="AC151" s="232" t="e">
        <f>VLOOKUP(A151,Enforcements!$C$7:$E$9,3,0)</f>
        <v>#N/A</v>
      </c>
      <c r="AD151" s="243">
        <f>VALUE(LEFT(A151,LEN(A151)-3))</f>
        <v>236</v>
      </c>
      <c r="AE151" s="235" t="str">
        <f>"aws s3 cp "&amp;s3_bucket&amp;"/RTDC"&amp;B151&amp;"/ "&amp;search_path&amp;"\RTDC"&amp;B151&amp;"\"&amp;TEXT(F151,"YYYY-MM-DD")&amp;" --exclude ""*"" --recursive --include ""*"&amp;TEXT(F151,"YYYYMMDD")&amp;"*"" &amp; """&amp;walkandungz&amp;""" "&amp;search_path&amp;"\RTDC"&amp;B151&amp;"\"&amp;TEXT(F151,"YYYY-MM-DD")
&amp;" &amp; "&amp;"aws s3 cp "&amp;s3_bucket&amp;"/RTDC"&amp;B151&amp;"/ "&amp;search_path&amp;"\RTDC"&amp;B151&amp;"\"&amp;TEXT(F151+1,"YYYY-MM-DD")&amp;" --exclude ""*"" --recursive --include ""*"&amp;TEXT(F151+1,"YYYYMMDD")&amp;"*"" &amp; """&amp;walkandungz&amp;""" "&amp;search_path&amp;"\RTDC"&amp;B151&amp;"\"&amp;TEXT(F151+1,"YYYY-MM-DD")</f>
        <v>aws s3 cp s3://rtdc.mdm.uploadarchive.raw/RTDC4057/ "%USERPROFILE%\AppData\Local\Temp\OnboardLogs"\RTDC4057\2018-01-06 --exclude "*" --recursive --include "*20180106*" &amp; "%USERPROFILE%\Documents\GitHub\mrs-test-scripts\Headless Mode &amp; Sideloading\WalkAndUnGZ.bat" "%USERPROFILE%\AppData\Local\Temp\OnboardLogs"\RTDC4057\2018-01-06 &amp; aws s3 cp s3://rtdc.mdm.uploadarchive.raw/RTDC4057/ "%USERPROFILE%\AppData\Local\Temp\OnboardLogs"\RTDC4057\2018-01-07 --exclude "*" --recursive --include "*20180107*" &amp; "%USERPROFILE%\Documents\GitHub\mrs-test-scripts\Headless Mode &amp; Sideloading\WalkAndUnGZ.bat" "%USERPROFILE%\AppData\Local\Temp\OnboardLogs"\RTDC4057\2018-01-07</v>
      </c>
      <c r="AF151" s="234" t="str">
        <f>astrogrep_path&amp;" /e /r /s /spath="&amp;search_path&amp;" /stypes=""app*"&amp;B151&amp;"*"&amp;TEXT(I151-utc_offset/24,"YYYYMMDD")&amp;"*"" /stext="" "&amp;TEXT(I151-utc_offset/24,"HH")&amp;search_regexp&amp;""""</f>
        <v>"C:\Program Files (x86)\AstroGrep\AstroGrep.exe" /e /r /s /spath="%USERPROFILE%\AppData\Local\Temp\OnboardLogs" /stypes="app*4057*20180107*" /stext=" 07:.+((SYSTEM_STATE.+slice.+state.+changed )|(ment ac)|(multiple cpu faults)|(system.+state.+changed )|(\[timeout)|(PRM\|1\|D)|(kpr)|(kdp)|(train st.+moving)|(\|lc)|(penalty))"</v>
      </c>
      <c r="AG151" s="244" t="str">
        <f>DetSubdiv(A151)</f>
        <v>EC</v>
      </c>
      <c r="AH151" s="236" t="str">
        <f t="shared" si="36"/>
        <v>"%USERPROFILE%\Documents\GitHub\eaglep3\Utilities\RefineRTDCRunTimes.py" --tripid 236-06 --locoid 4057 --swversion DE.1.0.9.0 --startMP 204:232866 --initTime 2018-01-06T23:20:54 --startdatetime 2018-01-06T23:27:19 --delay 65 --endMP 204:249 --enddatetime 2018-01-07T00:06:20 --enforcementcount 0 &gt;&gt;%USERPROFILE%\Documents\GitHub\eaglep3-reporting\EC\2018-01-06-refined-times.txt</v>
      </c>
      <c r="AI151" s="238" t="str">
        <f t="shared" si="37"/>
        <v>echo {"issue":{"subject":"","project_id":79,"tracker_id":40,"status_id":1,"priority_id":2,"assigned_to_id":338,"start_date":"2018-01-07","description":"","custom_fields":[{"id":1,"name":"Subdivision","value":"EC"},{"id":4,"name":"Milepost","value":"0.0249"},{"id":17,"name":"Train ID","value":"236-06"},{"id":16,"name":"Locomotive ID","value":"4057"},{"id":130,"name":"Impact","value":""},{"id":150,"name":"Time of Event (Mountain Time)","value":"00:06:20"},{"id":151,"name":"Denver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1" s="223"/>
      <c r="AK151" s="231"/>
      <c r="AL151" s="231"/>
      <c r="AM151" s="240" t="str">
        <f t="shared" si="38"/>
        <v>start /low /b %USERPROFILE%\Documents\GitHub\eaglep3\Utilities\DownloadLogsFromS3.py --loco 4057 --day 2018-01-06</v>
      </c>
      <c r="AN151" s="241" t="str">
        <f t="shared" si="39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07:06:20"},{"id":29,"name":"Sharepoint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 s="230" t="str">
        <f t="shared" si="40"/>
        <v>https://d0f6bd738d7f1b3e5a7ca70fe4ff75f0.us-east-1.aws.found.io/app/kibana#/discover/Steve-Slow-Train-Analysis-(2080s-and-2083s)?_g=(refreshInterval:(display:Off,pause:!f,section:0,value:0),time:(from:'2018-01-06T22:20:54-0700',mode:absolute,to:'2018-01-07T01:06:20-0700'))&amp;_a=(columns:!('Message%20ID',Summary),filters:!(),index:'emp_*',interval:auto,query:(query_string:(analyze_wildcard:!t,query:'%22rtdc.l.rtdc.4057%22')),sort:!(Time.ISO8601,asc))</v>
      </c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23" customFormat="1" x14ac:dyDescent="0.3">
      <c r="A152" s="229" t="s">
        <v>876</v>
      </c>
      <c r="B152" s="225">
        <v>4044</v>
      </c>
      <c r="C152" s="227" t="s">
        <v>192</v>
      </c>
      <c r="D152" s="227" t="s">
        <v>481</v>
      </c>
      <c r="E152" s="226">
        <v>43106.9528587963</v>
      </c>
      <c r="F152" s="226">
        <v>43106.958599537036</v>
      </c>
      <c r="G152" s="225">
        <v>90</v>
      </c>
      <c r="H152" s="227" t="s">
        <v>488</v>
      </c>
      <c r="I152" s="226">
        <v>43106.983680555553</v>
      </c>
      <c r="J152" s="225">
        <v>0</v>
      </c>
      <c r="K152" s="237" t="str">
        <f>IF(ISEVEN(B152),(B152-1)&amp;"/"&amp;B152,B152&amp;"/"&amp;(B152+1))</f>
        <v>4043/4044</v>
      </c>
      <c r="L152" s="245" t="str">
        <f>VLOOKUP(A152,'Trips&amp;Operators'!$C$1:$G$99911,5,FALSE)</f>
        <v>ANDERS STEVEN</v>
      </c>
      <c r="M152" s="224">
        <f>I152-F152</f>
        <v>2.5081018517084885E-2</v>
      </c>
      <c r="N152" s="225">
        <f>24*60*SUM($M152:$M152)</f>
        <v>36.116666664602235</v>
      </c>
      <c r="O152" s="225"/>
      <c r="P152" s="225"/>
      <c r="Q152" s="228"/>
      <c r="R152" s="242"/>
      <c r="S152" s="249">
        <f>1/IF(AG152="EC",12,1)*SUM(U152:U152)</f>
        <v>1</v>
      </c>
      <c r="T152" s="242" t="str">
        <f>IF(ISEVEN(LEFT(AD152,4)),"Southbound","NorthBound")</f>
        <v>NorthBound</v>
      </c>
      <c r="U152" s="246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248" t="str">
        <f>"https://d0f6bd738d7f1b3e5a7ca70fe4ff75f0.us-east-1.aws.found.io/app/kibana#/discover/Steve-Slow-Train-Analysis-(2080s-and-2083s)?_g="&amp;"(refreshInterval:(display:Off,pause:!f,section:0,value:0),time:(from:'"&amp;TEXT(E152-1/24,"yyyy-MM-DDThh:mm:ss")&amp;utc_offset&amp;"00"&amp;"',mode:absolute,to:'"&amp;TEXT(I152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152&amp;"%22')),sort:!(Time.ISO8601,asc))"</f>
        <v>https://d0f6bd738d7f1b3e5a7ca70fe4ff75f0.us-east-1.aws.found.io/app/kibana#/discover/Steve-Slow-Train-Analysis-(2080s-and-2083s)?_g=(refreshInterval:(display:Off,pause:!f,section:0,value:0),time:(from:'2018-01-06T21:52:07-0700',mode:absolute,to:'2018-01-07T00:36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52" s="247" t="str">
        <f>IF(AA152&lt;VLOOKUP(AG152,Variables!$AC$3:$AD$8,2,FALSE),"Y","N")</f>
        <v>N</v>
      </c>
      <c r="X152" s="247">
        <f>VALUE(LEFT(AD152,4))-VALUE(LEFT(AD151,4))</f>
        <v>1</v>
      </c>
      <c r="Y152" s="247">
        <f>RIGHT(D152,LEN(D152)-4)/10000</f>
        <v>5.1700000000000003E-2</v>
      </c>
      <c r="Z152" s="247">
        <f>RIGHT(H152,LEN(H152)-4)/10000</f>
        <v>23.3278</v>
      </c>
      <c r="AA152" s="247">
        <f>ABS(Z152-Y152)</f>
        <v>23.2761</v>
      </c>
      <c r="AB152" s="233" t="e">
        <f>VLOOKUP(A152,Enforcements!$C$7:$K$9,8,0)</f>
        <v>#N/A</v>
      </c>
      <c r="AC152" s="232" t="e">
        <f>VLOOKUP(A152,Enforcements!$C$7:$E$9,3,0)</f>
        <v>#N/A</v>
      </c>
      <c r="AD152" s="243">
        <f>VALUE(LEFT(A152,LEN(A152)-3))</f>
        <v>237</v>
      </c>
      <c r="AE152" s="235" t="str">
        <f>"aws s3 cp "&amp;s3_bucket&amp;"/RTDC"&amp;B152&amp;"/ "&amp;search_path&amp;"\RTDC"&amp;B152&amp;"\"&amp;TEXT(F152,"YYYY-MM-DD")&amp;" --exclude ""*"" --recursive --include ""*"&amp;TEXT(F152,"YYYYMMDD")&amp;"*"" &amp; """&amp;walkandungz&amp;""" "&amp;search_path&amp;"\RTDC"&amp;B152&amp;"\"&amp;TEXT(F152,"YYYY-MM-DD")
&amp;" &amp; "&amp;"aws s3 cp "&amp;s3_bucket&amp;"/RTDC"&amp;B152&amp;"/ "&amp;search_path&amp;"\RTDC"&amp;B152&amp;"\"&amp;TEXT(F152+1,"YYYY-MM-DD")&amp;" --exclude ""*"" --recursive --include ""*"&amp;TEXT(F152+1,"YYYYMMDD")&amp;"*"" &amp; """&amp;walkandungz&amp;""" "&amp;search_path&amp;"\RTDC"&amp;B152&amp;"\"&amp;TEXT(F152+1,"YYYY-MM-DD")</f>
        <v>aws s3 cp s3://rtdc.mdm.uploadarchive.raw/RTDC4044/ "%USERPROFILE%\AppData\Local\Temp\OnboardLogs"\RTDC4044\2018-01-06 --exclude "*" --recursive --include "*20180106*" &amp; "%USERPROFILE%\Documents\GitHub\mrs-test-scripts\Headless Mode &amp; Sideloading\WalkAndUnGZ.bat" "%USERPROFILE%\AppData\Local\Temp\OnboardLogs"\RTDC4044\2018-01-06 &amp; aws s3 cp s3://rtdc.mdm.uploadarchive.raw/RTDC4044/ "%USERPROFILE%\AppData\Local\Temp\OnboardLogs"\RTDC4044\2018-01-07 --exclude "*" --recursive --include "*20180107*" &amp; "%USERPROFILE%\Documents\GitHub\mrs-test-scripts\Headless Mode &amp; Sideloading\WalkAndUnGZ.bat" "%USERPROFILE%\AppData\Local\Temp\OnboardLogs"\RTDC4044\2018-01-07</v>
      </c>
      <c r="AF152" s="234" t="str">
        <f>astrogrep_path&amp;" /e /r /s /spath="&amp;search_path&amp;" /stypes=""app*"&amp;B152&amp;"*"&amp;TEXT(I152-utc_offset/24,"YYYYMMDD")&amp;"*"" /stext="" "&amp;TEXT(I152-utc_offset/24,"HH")&amp;search_regexp&amp;""""</f>
        <v>"C:\Program Files (x86)\AstroGrep\AstroGrep.exe" /e /r /s /spath="%USERPROFILE%\AppData\Local\Temp\OnboardLogs" /stypes="app*4044*20180107*" /stext=" 06:.+((SYSTEM_STATE.+slice.+state.+changed )|(ment ac)|(multiple cpu faults)|(system.+state.+changed )|(\[timeout)|(PRM\|1\|D)|(kpr)|(kdp)|(train st.+moving)|(\|lc)|(penalty))"</v>
      </c>
      <c r="AG152" s="244" t="str">
        <f>DetSubdiv(A152)</f>
        <v>EC</v>
      </c>
      <c r="AH152" s="236" t="str">
        <f t="shared" si="36"/>
        <v>"%USERPROFILE%\Documents\GitHub\eaglep3\Utilities\RefineRTDCRunTimes.py" --tripid 237-06 --locoid 4044 --swversion DE.1.0.9.0 --startMP 204:517 --initTime 2018-01-06T22:52:07 --startdatetime 2018-01-06T23:00:23 --delay 90 --endMP 204:233278 --enddatetime 2018-01-06T23:36:30 --enforcementcount 0 &gt;&gt;%USERPROFILE%\Documents\GitHub\eaglep3-reporting\EC\2018-01-06-refined-times.txt</v>
      </c>
      <c r="AI152" s="238" t="str">
        <f t="shared" si="37"/>
        <v>echo {"issue":{"subject":"","project_id":79,"tracker_id":40,"status_id":1,"priority_id":2,"assigned_to_id":338,"start_date":"2018-01-06","description":"","custom_fields":[{"id":1,"name":"Subdivision","value":"EC"},{"id":4,"name":"Milepost","value":"23.3278"},{"id":17,"name":"Train ID","value":"237-06"},{"id":16,"name":"Locomotive ID","value":"4044"},{"id":130,"name":"Impact","value":""},{"id":150,"name":"Time of Event (Mountain Time)","value":"23:36:30"},{"id":151,"name":"Denver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2" s="231"/>
      <c r="AL152" s="231"/>
      <c r="AM152" s="240" t="str">
        <f t="shared" si="38"/>
        <v>start /low /b %USERPROFILE%\Documents\GitHub\eaglep3\Utilities\DownloadLogsFromS3.py --loco 4044 --day 2018-01-06</v>
      </c>
      <c r="AN152" s="241" t="str">
        <f t="shared" si="39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06:36:30"},{"id":29,"name":"Sharepoint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 s="230" t="str">
        <f t="shared" si="40"/>
        <v>https://d0f6bd738d7f1b3e5a7ca70fe4ff75f0.us-east-1.aws.found.io/app/kibana#/discover/Steve-Slow-Train-Analysis-(2080s-and-2083s)?_g=(refreshInterval:(display:Off,pause:!f,section:0,value:0),time:(from:'2018-01-06T21:52:07-0700',mode:absolute,to:'2018-01-07T00:36:30-0700'))&amp;_a=(columns:!('Message%20ID',Summary),filters:!(),index:'emp_*',interval:auto,query:(query_string:(analyze_wildcard:!t,query:'%22rtdc.l.rtdc.4044%22')),sort:!(Time.ISO8601,asc))</v>
      </c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3">
      <c r="A153" s="229" t="s">
        <v>686</v>
      </c>
      <c r="B153" s="225">
        <v>4043</v>
      </c>
      <c r="C153" s="227" t="s">
        <v>192</v>
      </c>
      <c r="D153" s="227" t="s">
        <v>991</v>
      </c>
      <c r="E153" s="226">
        <v>43106.99659722222</v>
      </c>
      <c r="F153" s="226">
        <v>43106.998101851852</v>
      </c>
      <c r="G153" s="225">
        <v>53</v>
      </c>
      <c r="H153" s="227" t="s">
        <v>645</v>
      </c>
      <c r="I153" s="226">
        <v>43107.025219907409</v>
      </c>
      <c r="J153" s="225">
        <v>0</v>
      </c>
      <c r="K153" s="237" t="str">
        <f>IF(ISEVEN(B153),(B153-1)&amp;"/"&amp;B153,B153&amp;"/"&amp;(B153+1))</f>
        <v>4043/4044</v>
      </c>
      <c r="L153" s="245" t="str">
        <f>VLOOKUP(A153,'Trips&amp;Operators'!$C$1:$G$99911,5,FALSE)</f>
        <v>ANDERS STEVEN</v>
      </c>
      <c r="M153" s="224">
        <f>I153-F153</f>
        <v>2.7118055557366461E-2</v>
      </c>
      <c r="N153" s="225">
        <f>24*60*SUM($M153:$M153)</f>
        <v>39.050000002607703</v>
      </c>
      <c r="O153" s="225"/>
      <c r="P153" s="225"/>
      <c r="Q153" s="228"/>
      <c r="R153" s="242"/>
      <c r="S153" s="249">
        <f>1/IF(AG153="EC",12,1)*SUM(U153:U153)</f>
        <v>1</v>
      </c>
      <c r="T153" s="242" t="str">
        <f>IF(ISEVEN(LEFT(AD153,4)),"Southbound","NorthBound")</f>
        <v>Southbound</v>
      </c>
      <c r="U153" s="246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248" t="str">
        <f>"https://d0f6bd738d7f1b3e5a7ca70fe4ff75f0.us-east-1.aws.found.io/app/kibana#/discover/Steve-Slow-Train-Analysis-(2080s-and-2083s)?_g="&amp;"(refreshInterval:(display:Off,pause:!f,section:0,value:0),time:(from:'"&amp;TEXT(E153-1/24,"yyyy-MM-DDThh:mm:ss")&amp;utc_offset&amp;"00"&amp;"',mode:absolute,to:'"&amp;TEXT(I153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153&amp;"%22')),sort:!(Time.ISO8601,asc))"</f>
        <v>https://d0f6bd738d7f1b3e5a7ca70fe4ff75f0.us-east-1.aws.found.io/app/kibana#/discover/Steve-Slow-Train-Analysis-(2080s-and-2083s)?_g=(refreshInterval:(display:Off,pause:!f,section:0,value:0),time:(from:'2018-01-06T22:55:06-0700',mode:absolute,to:'2018-01-07T01:36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53" s="247" t="str">
        <f>IF(AA153&lt;VLOOKUP(AG153,Variables!$AC$3:$AD$8,2,FALSE),"Y","N")</f>
        <v>N</v>
      </c>
      <c r="X153" s="247">
        <f>VALUE(LEFT(AD153,4))-VALUE(LEFT(AD152,4))</f>
        <v>1</v>
      </c>
      <c r="Y153" s="247">
        <f>RIGHT(D153,LEN(D153)-4)/10000</f>
        <v>23.295000000000002</v>
      </c>
      <c r="Z153" s="247">
        <f>RIGHT(H153,LEN(H153)-4)/10000</f>
        <v>2.4E-2</v>
      </c>
      <c r="AA153" s="247">
        <f>ABS(Z153-Y153)</f>
        <v>23.271000000000001</v>
      </c>
      <c r="AB153" s="233" t="str">
        <f>VLOOKUP(A153,Enforcements!$C$7:$K$9,8,0)</f>
        <v>Bulletin (2)</v>
      </c>
      <c r="AC153" s="232" t="str">
        <f>VLOOKUP(A153,Enforcements!$C$7:$E$9,3,0)</f>
        <v>GRADE CROSSING</v>
      </c>
      <c r="AD153" s="243">
        <f>VALUE(LEFT(A153,LEN(A153)-3))</f>
        <v>238</v>
      </c>
      <c r="AE153" s="235" t="str">
        <f>"aws s3 cp "&amp;s3_bucket&amp;"/RTDC"&amp;B153&amp;"/ "&amp;search_path&amp;"\RTDC"&amp;B153&amp;"\"&amp;TEXT(F153,"YYYY-MM-DD")&amp;" --exclude ""*"" --recursive --include ""*"&amp;TEXT(F153,"YYYYMMDD")&amp;"*"" &amp; """&amp;walkandungz&amp;""" "&amp;search_path&amp;"\RTDC"&amp;B153&amp;"\"&amp;TEXT(F153,"YYYY-MM-DD")
&amp;" &amp; "&amp;"aws s3 cp "&amp;s3_bucket&amp;"/RTDC"&amp;B153&amp;"/ "&amp;search_path&amp;"\RTDC"&amp;B153&amp;"\"&amp;TEXT(F153+1,"YYYY-MM-DD")&amp;" --exclude ""*"" --recursive --include ""*"&amp;TEXT(F153+1,"YYYYMMDD")&amp;"*"" &amp; """&amp;walkandungz&amp;""" "&amp;search_path&amp;"\RTDC"&amp;B153&amp;"\"&amp;TEXT(F153+1,"YYYY-MM-DD")</f>
        <v>aws s3 cp s3://rtdc.mdm.uploadarchive.raw/RTDC4043/ "%USERPROFILE%\AppData\Local\Temp\OnboardLogs"\RTDC4043\2018-01-06 --exclude "*" --recursive --include "*20180106*" &amp; "%USERPROFILE%\Documents\GitHub\mrs-test-scripts\Headless Mode &amp; Sideloading\WalkAndUnGZ.bat" "%USERPROFILE%\AppData\Local\Temp\OnboardLogs"\RTDC4043\2018-01-06 &amp; aws s3 cp s3://rtdc.mdm.uploadarchive.raw/RTDC4043/ "%USERPROFILE%\AppData\Local\Temp\OnboardLogs"\RTDC4043\2018-01-07 --exclude "*" --recursive --include "*20180107*" &amp; "%USERPROFILE%\Documents\GitHub\mrs-test-scripts\Headless Mode &amp; Sideloading\WalkAndUnGZ.bat" "%USERPROFILE%\AppData\Local\Temp\OnboardLogs"\RTDC4043\2018-01-07</v>
      </c>
      <c r="AF153" s="234" t="str">
        <f>astrogrep_path&amp;" /e /r /s /spath="&amp;search_path&amp;" /stypes=""app*"&amp;B153&amp;"*"&amp;TEXT(I153-utc_offset/24,"YYYYMMDD")&amp;"*"" /stext="" "&amp;TEXT(I153-utc_offset/24,"HH")&amp;search_regexp&amp;""""</f>
        <v>"C:\Program Files (x86)\AstroGrep\AstroGrep.exe" /e /r /s /spath="%USERPROFILE%\AppData\Local\Temp\OnboardLogs" /stypes="app*4043*20180107*" /stext=" 07:.+((SYSTEM_STATE.+slice.+state.+changed )|(ment ac)|(multiple cpu faults)|(system.+state.+changed )|(\[timeout)|(PRM\|1\|D)|(kpr)|(kdp)|(train st.+moving)|(\|lc)|(penalty))"</v>
      </c>
      <c r="AG153" s="244" t="str">
        <f>DetSubdiv(A153)</f>
        <v>EC</v>
      </c>
      <c r="AH153" s="236" t="str">
        <f t="shared" si="36"/>
        <v>"%USERPROFILE%\Documents\GitHub\eaglep3\Utilities\RefineRTDCRunTimes.py" --tripid 238-06 --locoid 4043 --swversion DE.1.0.9.0 --startMP 204:232950 --initTime 2018-01-06T23:55:06 --startdatetime 2018-01-06T23:57:16 --delay 53 --endMP 204:240 --enddatetime 2018-01-07T00:36:19 --enforcementcount 0 &gt;&gt;%USERPROFILE%\Documents\GitHub\eaglep3-reporting\EC\2018-01-06-refined-times.txt</v>
      </c>
      <c r="AI153" s="238" t="str">
        <f t="shared" si="37"/>
        <v>echo {"issue":{"subject":"","project_id":79,"tracker_id":40,"status_id":1,"priority_id":2,"assigned_to_id":338,"start_date":"2018-01-07","description":"","custom_fields":[{"id":1,"name":"Subdivision","value":"EC"},{"id":4,"name":"Milepost","value":"0.024"},{"id":17,"name":"Train ID","value":"238-06"},{"id":16,"name":"Locomotive ID","value":"4043"},{"id":130,"name":"Impact","value":""},{"id":150,"name":"Time of Event (Mountain Time)","value":"00:36:19"},{"id":151,"name":"Denver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3" s="223"/>
      <c r="AK153" s="231"/>
      <c r="AL153" s="231"/>
      <c r="AM153" s="240" t="str">
        <f t="shared" si="38"/>
        <v>start /low /b %USERPROFILE%\Documents\GitHub\eaglep3\Utilities\DownloadLogsFromS3.py --loco 4043 --day 2018-01-06</v>
      </c>
      <c r="AN153" s="241" t="str">
        <f t="shared" si="39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07:36:19"},{"id":29,"name":"Sharepoint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 s="230" t="str">
        <f t="shared" si="40"/>
        <v>https://d0f6bd738d7f1b3e5a7ca70fe4ff75f0.us-east-1.aws.found.io/app/kibana#/discover/Steve-Slow-Train-Analysis-(2080s-and-2083s)?_g=(refreshInterval:(display:Off,pause:!f,section:0,value:0),time:(from:'2018-01-06T22:55:06-0700',mode:absolute,to:'2018-01-07T01:36:19-0700'))&amp;_a=(columns:!('Message%20ID',Summary),filters:!(),index:'emp_*',interval:auto,query:(query_string:(analyze_wildcard:!t,query:'%22rtdc.l.rtdc.4043%22')),sort:!(Time.ISO8601,asc))</v>
      </c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23" customFormat="1" x14ac:dyDescent="0.3">
      <c r="A154" s="229" t="s">
        <v>685</v>
      </c>
      <c r="B154" s="225">
        <v>4064</v>
      </c>
      <c r="C154" s="227" t="s">
        <v>192</v>
      </c>
      <c r="D154" s="227" t="s">
        <v>1011</v>
      </c>
      <c r="E154" s="226">
        <v>43106.97457175926</v>
      </c>
      <c r="F154" s="226">
        <v>43106.979317129626</v>
      </c>
      <c r="G154" s="225">
        <v>50</v>
      </c>
      <c r="H154" s="227" t="s">
        <v>1014</v>
      </c>
      <c r="I154" s="226">
        <v>43107.004675925928</v>
      </c>
      <c r="J154" s="225">
        <v>0</v>
      </c>
      <c r="K154" s="237" t="str">
        <f>IF(ISEVEN(B154),(B154-1)&amp;"/"&amp;B154,B154&amp;"/"&amp;(B154+1))</f>
        <v>4063/4064</v>
      </c>
      <c r="L154" s="245" t="str">
        <f>VLOOKUP(A154,'Trips&amp;Operators'!$C$1:$G$99911,5,FALSE)</f>
        <v>FORTUNATO FRANK</v>
      </c>
      <c r="M154" s="224">
        <f>I154-F154</f>
        <v>2.5358796301588882E-2</v>
      </c>
      <c r="N154" s="225">
        <f>24*60*SUM($M154:$M154)</f>
        <v>36.51666667428799</v>
      </c>
      <c r="O154" s="225"/>
      <c r="P154" s="225"/>
      <c r="Q154" s="228"/>
      <c r="R154" s="242"/>
      <c r="S154" s="249">
        <f>1/IF(AG154="EC",12,1)*SUM(U154:U154)</f>
        <v>1</v>
      </c>
      <c r="T154" s="242" t="str">
        <f>IF(ISEVEN(LEFT(AD154,4)),"Southbound","NorthBound")</f>
        <v>NorthBound</v>
      </c>
      <c r="U154" s="246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248" t="str">
        <f>"https://d0f6bd738d7f1b3e5a7ca70fe4ff75f0.us-east-1.aws.found.io/app/kibana#/discover/Steve-Slow-Train-Analysis-(2080s-and-2083s)?_g="&amp;"(refreshInterval:(display:Off,pause:!f,section:0,value:0),time:(from:'"&amp;TEXT(E154-1/24,"yyyy-MM-DDThh:mm:ss")&amp;utc_offset&amp;"00"&amp;"',mode:absolute,to:'"&amp;TEXT(I154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154&amp;"%22')),sort:!(Time.ISO8601,asc))"</f>
        <v>https://d0f6bd738d7f1b3e5a7ca70fe4ff75f0.us-east-1.aws.found.io/app/kibana#/discover/Steve-Slow-Train-Analysis-(2080s-and-2083s)?_g=(refreshInterval:(display:Off,pause:!f,section:0,value:0),time:(from:'2018-01-06T22:23:23-0700',mode:absolute,to:'2018-01-07T01:06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54" s="247" t="str">
        <f>IF(AA154&lt;VLOOKUP(AG154,Variables!$AC$3:$AD$8,2,FALSE),"Y","N")</f>
        <v>N</v>
      </c>
      <c r="X154" s="247">
        <f>VALUE(LEFT(AD154,4))-VALUE(LEFT(AD153,4))</f>
        <v>1</v>
      </c>
      <c r="Y154" s="247">
        <f>RIGHT(D154,LEN(D154)-4)/10000</f>
        <v>5.3100000000000001E-2</v>
      </c>
      <c r="Z154" s="247">
        <f>RIGHT(H154,LEN(H154)-4)/10000</f>
        <v>23.319500000000001</v>
      </c>
      <c r="AA154" s="247">
        <f>ABS(Z154-Y154)</f>
        <v>23.266400000000001</v>
      </c>
      <c r="AB154" s="233" t="str">
        <f>VLOOKUP(A154,Enforcements!$C$7:$K$9,8,0)</f>
        <v>Bulletin (2)</v>
      </c>
      <c r="AC154" s="232" t="str">
        <f>VLOOKUP(A154,Enforcements!$C$7:$E$9,3,0)</f>
        <v>GRADE CROSSING</v>
      </c>
      <c r="AD154" s="243">
        <f>VALUE(LEFT(A154,LEN(A154)-3))</f>
        <v>239</v>
      </c>
      <c r="AE154" s="235" t="str">
        <f>"aws s3 cp "&amp;s3_bucket&amp;"/RTDC"&amp;B154&amp;"/ "&amp;search_path&amp;"\RTDC"&amp;B154&amp;"\"&amp;TEXT(F154,"YYYY-MM-DD")&amp;" --exclude ""*"" --recursive --include ""*"&amp;TEXT(F154,"YYYYMMDD")&amp;"*"" &amp; """&amp;walkandungz&amp;""" "&amp;search_path&amp;"\RTDC"&amp;B154&amp;"\"&amp;TEXT(F154,"YYYY-MM-DD")
&amp;" &amp; "&amp;"aws s3 cp "&amp;s3_bucket&amp;"/RTDC"&amp;B154&amp;"/ "&amp;search_path&amp;"\RTDC"&amp;B154&amp;"\"&amp;TEXT(F154+1,"YYYY-MM-DD")&amp;" --exclude ""*"" --recursive --include ""*"&amp;TEXT(F154+1,"YYYYMMDD")&amp;"*"" &amp; """&amp;walkandungz&amp;""" "&amp;search_path&amp;"\RTDC"&amp;B154&amp;"\"&amp;TEXT(F154+1,"YYYY-MM-DD")</f>
        <v>aws s3 cp s3://rtdc.mdm.uploadarchive.raw/RTDC4064/ "%USERPROFILE%\AppData\Local\Temp\OnboardLogs"\RTDC4064\2018-01-06 --exclude "*" --recursive --include "*20180106*" &amp; "%USERPROFILE%\Documents\GitHub\mrs-test-scripts\Headless Mode &amp; Sideloading\WalkAndUnGZ.bat" "%USERPROFILE%\AppData\Local\Temp\OnboardLogs"\RTDC4064\2018-01-06 &amp; aws s3 cp s3://rtdc.mdm.uploadarchive.raw/RTDC4064/ "%USERPROFILE%\AppData\Local\Temp\OnboardLogs"\RTDC4064\2018-01-07 --exclude "*" --recursive --include "*20180107*" &amp; "%USERPROFILE%\Documents\GitHub\mrs-test-scripts\Headless Mode &amp; Sideloading\WalkAndUnGZ.bat" "%USERPROFILE%\AppData\Local\Temp\OnboardLogs"\RTDC4064\2018-01-07</v>
      </c>
      <c r="AF154" s="234" t="str">
        <f>astrogrep_path&amp;" /e /r /s /spath="&amp;search_path&amp;" /stypes=""app*"&amp;B154&amp;"*"&amp;TEXT(I154-utc_offset/24,"YYYYMMDD")&amp;"*"" /stext="" "&amp;TEXT(I154-utc_offset/24,"HH")&amp;search_regexp&amp;""""</f>
        <v>"C:\Program Files (x86)\AstroGrep\AstroGrep.exe" /e /r /s /spath="%USERPROFILE%\AppData\Local\Temp\OnboardLogs" /stypes="app*4064*20180107*" /stext=" 07:.+((SYSTEM_STATE.+slice.+state.+changed )|(ment ac)|(multiple cpu faults)|(system.+state.+changed )|(\[timeout)|(PRM\|1\|D)|(kpr)|(kdp)|(train st.+moving)|(\|lc)|(penalty))"</v>
      </c>
      <c r="AG154" s="244" t="str">
        <f>DetSubdiv(A154)</f>
        <v>EC</v>
      </c>
      <c r="AH154" s="236" t="str">
        <f t="shared" si="36"/>
        <v>"%USERPROFILE%\Documents\GitHub\eaglep3\Utilities\RefineRTDCRunTimes.py" --tripid 239-06 --locoid 4064 --swversion DE.1.0.9.0 --startMP 204:531 --initTime 2018-01-06T23:23:23 --startdatetime 2018-01-06T23:30:13 --delay 50 --endMP 204:233195 --enddatetime 2018-01-07T00:06:44 --enforcementcount 0 &gt;&gt;%USERPROFILE%\Documents\GitHub\eaglep3-reporting\EC\2018-01-06-refined-times.txt</v>
      </c>
      <c r="AI154" s="238" t="str">
        <f t="shared" si="37"/>
        <v>echo {"issue":{"subject":"","project_id":79,"tracker_id":40,"status_id":1,"priority_id":2,"assigned_to_id":338,"start_date":"2018-01-07","description":"","custom_fields":[{"id":1,"name":"Subdivision","value":"EC"},{"id":4,"name":"Milepost","value":"23.3195"},{"id":17,"name":"Train ID","value":"239-06"},{"id":16,"name":"Locomotive ID","value":"4064"},{"id":130,"name":"Impact","value":""},{"id":150,"name":"Time of Event (Mountain Time)","value":"00:06:44"},{"id":151,"name":"Denver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4" s="231"/>
      <c r="AL154" s="231"/>
      <c r="AM154" s="240" t="str">
        <f t="shared" si="38"/>
        <v>start /low /b %USERPROFILE%\Documents\GitHub\eaglep3\Utilities\DownloadLogsFromS3.py --loco 4064 --day 2018-01-06</v>
      </c>
      <c r="AN154" s="241" t="str">
        <f t="shared" si="39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07:06:44"},{"id":29,"name":"Sharepoint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 s="230" t="str">
        <f t="shared" si="40"/>
        <v>https://d0f6bd738d7f1b3e5a7ca70fe4ff75f0.us-east-1.aws.found.io/app/kibana#/discover/Steve-Slow-Train-Analysis-(2080s-and-2083s)?_g=(refreshInterval:(display:Off,pause:!f,section:0,value:0),time:(from:'2018-01-06T22:23:23-0700',mode:absolute,to:'2018-01-07T01:06:44-0700'))&amp;_a=(columns:!('Message%20ID',Summary),filters:!(),index:'emp_*',interval:auto,query:(query_string:(analyze_wildcard:!t,query:'%22rtdc.l.rtdc.4064%22')),sort:!(Time.ISO8601,asc))</v>
      </c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3">
      <c r="A155" s="229" t="s">
        <v>881</v>
      </c>
      <c r="B155" s="225">
        <v>4063</v>
      </c>
      <c r="C155" s="227" t="s">
        <v>192</v>
      </c>
      <c r="D155" s="227" t="s">
        <v>1015</v>
      </c>
      <c r="E155" s="226">
        <v>43107.006296296298</v>
      </c>
      <c r="F155" s="226">
        <v>43107.01903935185</v>
      </c>
      <c r="G155" s="225">
        <v>61</v>
      </c>
      <c r="H155" s="227" t="s">
        <v>619</v>
      </c>
      <c r="I155" s="226">
        <v>43107.044456018521</v>
      </c>
      <c r="J155" s="225">
        <v>0</v>
      </c>
      <c r="K155" s="237" t="str">
        <f>IF(ISEVEN(B155),(B155-1)&amp;"/"&amp;B155,B155&amp;"/"&amp;(B155+1))</f>
        <v>4063/4064</v>
      </c>
      <c r="L155" s="245" t="str">
        <f>VLOOKUP(A155,'Trips&amp;Operators'!$C$1:$G$99911,5,FALSE)</f>
        <v>FORTUNATO FRANK</v>
      </c>
      <c r="M155" s="224">
        <f>I155-F155</f>
        <v>2.5416666670935228E-2</v>
      </c>
      <c r="N155" s="225">
        <f>24*60*SUM($M155:$M155)</f>
        <v>36.600000006146729</v>
      </c>
      <c r="O155" s="225"/>
      <c r="P155" s="225"/>
      <c r="Q155" s="228"/>
      <c r="R155" s="242"/>
      <c r="S155" s="249">
        <f>1/IF(AG155="EC",12,1)*SUM(U155:U155)</f>
        <v>1</v>
      </c>
      <c r="T155" s="242" t="str">
        <f>IF(ISEVEN(LEFT(AD155,4)),"Southbound","NorthBound")</f>
        <v>Southbound</v>
      </c>
      <c r="U155" s="246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248" t="str">
        <f>"https://d0f6bd738d7f1b3e5a7ca70fe4ff75f0.us-east-1.aws.found.io/app/kibana#/discover/Steve-Slow-Train-Analysis-(2080s-and-2083s)?_g="&amp;"(refreshInterval:(display:Off,pause:!f,section:0,value:0),time:(from:'"&amp;TEXT(E155-1/24,"yyyy-MM-DDThh:mm:ss")&amp;utc_offset&amp;"00"&amp;"',mode:absolute,to:'"&amp;TEXT(I155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155&amp;"%22')),sort:!(Time.ISO8601,asc))"</f>
        <v>https://d0f6bd738d7f1b3e5a7ca70fe4ff75f0.us-east-1.aws.found.io/app/kibana#/discover/Steve-Slow-Train-Analysis-(2080s-and-2083s)?_g=(refreshInterval:(display:Off,pause:!f,section:0,value:0),time:(from:'2018-01-06T23:09:04-0700',mode:absolute,to:'2018-01-07T02:04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55" s="247" t="str">
        <f>IF(AA155&lt;VLOOKUP(AG155,Variables!$AC$3:$AD$8,2,FALSE),"Y","N")</f>
        <v>N</v>
      </c>
      <c r="X155" s="247">
        <f>VALUE(LEFT(AD155,4))-VALUE(LEFT(AD154,4))</f>
        <v>1</v>
      </c>
      <c r="Y155" s="247">
        <f>RIGHT(D155,LEN(D155)-4)/10000</f>
        <v>23.2883</v>
      </c>
      <c r="Z155" s="247">
        <f>RIGHT(H155,LEN(H155)-4)/10000</f>
        <v>2.0299999999999999E-2</v>
      </c>
      <c r="AA155" s="247">
        <f>ABS(Z155-Y155)</f>
        <v>23.268000000000001</v>
      </c>
      <c r="AB155" s="233" t="e">
        <f>VLOOKUP(A155,Enforcements!$C$7:$K$9,8,0)</f>
        <v>#N/A</v>
      </c>
      <c r="AC155" s="232" t="e">
        <f>VLOOKUP(A155,Enforcements!$C$7:$E$9,3,0)</f>
        <v>#N/A</v>
      </c>
      <c r="AD155" s="243">
        <f>VALUE(LEFT(A155,LEN(A155)-3))</f>
        <v>240</v>
      </c>
      <c r="AE155" s="235" t="str">
        <f>"aws s3 cp "&amp;s3_bucket&amp;"/RTDC"&amp;B155&amp;"/ "&amp;search_path&amp;"\RTDC"&amp;B155&amp;"\"&amp;TEXT(F155,"YYYY-MM-DD")&amp;" --exclude ""*"" --recursive --include ""*"&amp;TEXT(F155,"YYYYMMDD")&amp;"*"" &amp; """&amp;walkandungz&amp;""" "&amp;search_path&amp;"\RTDC"&amp;B155&amp;"\"&amp;TEXT(F155,"YYYY-MM-DD")
&amp;" &amp; "&amp;"aws s3 cp "&amp;s3_bucket&amp;"/RTDC"&amp;B155&amp;"/ "&amp;search_path&amp;"\RTDC"&amp;B155&amp;"\"&amp;TEXT(F155+1,"YYYY-MM-DD")&amp;" --exclude ""*"" --recursive --include ""*"&amp;TEXT(F155+1,"YYYYMMDD")&amp;"*"" &amp; """&amp;walkandungz&amp;""" "&amp;search_path&amp;"\RTDC"&amp;B155&amp;"\"&amp;TEXT(F155+1,"YYYY-MM-DD")</f>
        <v>aws s3 cp s3://rtdc.mdm.uploadarchive.raw/RTDC4063/ "%USERPROFILE%\AppData\Local\Temp\OnboardLogs"\RTDC4063\2018-01-07 --exclude "*" --recursive --include "*20180107*" &amp; "%USERPROFILE%\Documents\GitHub\mrs-test-scripts\Headless Mode &amp; Sideloading\WalkAndUnGZ.bat" "%USERPROFILE%\AppData\Local\Temp\OnboardLogs"\RTDC4063\2018-01-07 &amp; aws s3 cp s3://rtdc.mdm.uploadarchive.raw/RTDC4063/ "%USERPROFILE%\AppData\Local\Temp\OnboardLogs"\RTDC4063\2018-01-08 --exclude "*" --recursive --include "*20180108*" &amp; "%USERPROFILE%\Documents\GitHub\mrs-test-scripts\Headless Mode &amp; Sideloading\WalkAndUnGZ.bat" "%USERPROFILE%\AppData\Local\Temp\OnboardLogs"\RTDC4063\2018-01-08</v>
      </c>
      <c r="AF155" s="234" t="str">
        <f>astrogrep_path&amp;" /e /r /s /spath="&amp;search_path&amp;" /stypes=""app*"&amp;B155&amp;"*"&amp;TEXT(I155-utc_offset/24,"YYYYMMDD")&amp;"*"" /stext="" "&amp;TEXT(I155-utc_offset/24,"HH")&amp;search_regexp&amp;""""</f>
        <v>"C:\Program Files (x86)\AstroGrep\AstroGrep.exe" /e /r /s /spath="%USERPROFILE%\AppData\Local\Temp\OnboardLogs" /stypes="app*4063*20180107*" /stext=" 08:.+((SYSTEM_STATE.+slice.+state.+changed )|(ment ac)|(multiple cpu faults)|(system.+state.+changed )|(\[timeout)|(PRM\|1\|D)|(kpr)|(kdp)|(train st.+moving)|(\|lc)|(penalty))"</v>
      </c>
      <c r="AG155" s="244" t="str">
        <f>DetSubdiv(A155)</f>
        <v>EC</v>
      </c>
      <c r="AH155" s="236" t="str">
        <f t="shared" si="36"/>
        <v>"%USERPROFILE%\Documents\GitHub\eaglep3\Utilities\RefineRTDCRunTimes.py" --tripid 240-06 --locoid 4063 --swversion DE.1.0.9.0 --startMP 204:232883 --initTime 2018-01-07T00:09:04 --startdatetime 2018-01-07T00:27:25 --delay 61 --endMP 204:203 --enddatetime 2018-01-07T01:04:01 --enforcementcount 0 &gt;&gt;%USERPROFILE%\Documents\GitHub\eaglep3-reporting\EC\2018-01-06-refined-times.txt</v>
      </c>
      <c r="AI155" s="238" t="str">
        <f t="shared" si="37"/>
        <v>echo {"issue":{"subject":"","project_id":79,"tracker_id":40,"status_id":1,"priority_id":2,"assigned_to_id":338,"start_date":"2018-01-07","description":"","custom_fields":[{"id":1,"name":"Subdivision","value":"EC"},{"id":4,"name":"Milepost","value":"0.0203"},{"id":17,"name":"Train ID","value":"240-06"},{"id":16,"name":"Locomotive ID","value":"4063"},{"id":130,"name":"Impact","value":""},{"id":150,"name":"Time of Event (Mountain Time)","value":"01:04:01"},{"id":151,"name":"Denver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5" s="223"/>
      <c r="AK155" s="231"/>
      <c r="AL155" s="231"/>
      <c r="AM155" s="240" t="str">
        <f t="shared" si="38"/>
        <v>start /low /b %USERPROFILE%\Documents\GitHub\eaglep3\Utilities\DownloadLogsFromS3.py --loco 4063 --day 2018-01-07</v>
      </c>
      <c r="AN155" s="241" t="str">
        <f t="shared" si="39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08:04:01"},{"id":29,"name":"Sharepoint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 s="230" t="str">
        <f t="shared" si="40"/>
        <v>https://d0f6bd738d7f1b3e5a7ca70fe4ff75f0.us-east-1.aws.found.io/app/kibana#/discover/Steve-Slow-Train-Analysis-(2080s-and-2083s)?_g=(refreshInterval:(display:Off,pause:!f,section:0,value:0),time:(from:'2018-01-06T23:09:04-0700',mode:absolute,to:'2018-01-07T02:04:01-0700'))&amp;_a=(columns:!('Message%20ID',Summary),filters:!(),index:'emp_*',interval:auto,query:(query_string:(analyze_wildcard:!t,query:'%22rtdc.l.rtdc.4063%22')),sort:!(Time.ISO8601,asc))</v>
      </c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23" customFormat="1" x14ac:dyDescent="0.3">
      <c r="A156" s="229" t="s">
        <v>880</v>
      </c>
      <c r="B156" s="225">
        <v>4030</v>
      </c>
      <c r="C156" s="227" t="s">
        <v>192</v>
      </c>
      <c r="D156" s="227" t="s">
        <v>1016</v>
      </c>
      <c r="E156" s="226">
        <v>43106.994826388887</v>
      </c>
      <c r="F156" s="226">
        <v>43107.000150462962</v>
      </c>
      <c r="G156" s="225">
        <v>59</v>
      </c>
      <c r="H156" s="227" t="s">
        <v>1017</v>
      </c>
      <c r="I156" s="226">
        <v>43107.023877314816</v>
      </c>
      <c r="J156" s="225">
        <v>0</v>
      </c>
      <c r="K156" s="237" t="str">
        <f>IF(ISEVEN(B156),(B156-1)&amp;"/"&amp;B156,B156&amp;"/"&amp;(B156+1))</f>
        <v>4029/4030</v>
      </c>
      <c r="L156" s="245" t="str">
        <f>VLOOKUP(A156,'Trips&amp;Operators'!$C$1:$G$99911,5,FALSE)</f>
        <v>ELBAUM MIKE</v>
      </c>
      <c r="M156" s="224">
        <f>I156-F156</f>
        <v>2.3726851854007691E-2</v>
      </c>
      <c r="N156" s="225">
        <f>24*60*SUM($M156:$M156)</f>
        <v>34.166666669771075</v>
      </c>
      <c r="O156" s="225"/>
      <c r="P156" s="225"/>
      <c r="Q156" s="228"/>
      <c r="R156" s="242"/>
      <c r="S156" s="249">
        <f>1/IF(AG156="EC",12,1)*SUM(U156:U156)</f>
        <v>1</v>
      </c>
      <c r="T156" s="242" t="str">
        <f>IF(ISEVEN(LEFT(AD156,4)),"Southbound","NorthBound")</f>
        <v>NorthBound</v>
      </c>
      <c r="U156" s="246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248" t="str">
        <f>"https://d0f6bd738d7f1b3e5a7ca70fe4ff75f0.us-east-1.aws.found.io/app/kibana#/discover/Steve-Slow-Train-Analysis-(2080s-and-2083s)?_g="&amp;"(refreshInterval:(display:Off,pause:!f,section:0,value:0),time:(from:'"&amp;TEXT(E156-1/24,"yyyy-MM-DDThh:mm:ss")&amp;utc_offset&amp;"00"&amp;"',mode:absolute,to:'"&amp;TEXT(I156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156&amp;"%22')),sort:!(Time.ISO8601,asc))"</f>
        <v>https://d0f6bd738d7f1b3e5a7ca70fe4ff75f0.us-east-1.aws.found.io/app/kibana#/discover/Steve-Slow-Train-Analysis-(2080s-and-2083s)?_g=(refreshInterval:(display:Off,pause:!f,section:0,value:0),time:(from:'2018-01-06T22:52:33-0700',mode:absolute,to:'2018-01-07T01:34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56" s="247" t="str">
        <f>IF(AA156&lt;VLOOKUP(AG156,Variables!$AC$3:$AD$8,2,FALSE),"Y","N")</f>
        <v>N</v>
      </c>
      <c r="X156" s="247">
        <f>VALUE(LEFT(AD156,4))-VALUE(LEFT(AD155,4))</f>
        <v>1</v>
      </c>
      <c r="Y156" s="247">
        <f>RIGHT(D156,LEN(D156)-4)/10000</f>
        <v>5.7000000000000002E-2</v>
      </c>
      <c r="Z156" s="247">
        <f>RIGHT(H156,LEN(H156)-4)/10000</f>
        <v>23.335100000000001</v>
      </c>
      <c r="AA156" s="247">
        <f>ABS(Z156-Y156)</f>
        <v>23.278100000000002</v>
      </c>
      <c r="AB156" s="233" t="e">
        <f>VLOOKUP(A156,Enforcements!$C$7:$K$9,8,0)</f>
        <v>#N/A</v>
      </c>
      <c r="AC156" s="232" t="e">
        <f>VLOOKUP(A156,Enforcements!$C$7:$E$9,3,0)</f>
        <v>#N/A</v>
      </c>
      <c r="AD156" s="243">
        <f>VALUE(LEFT(A156,LEN(A156)-3))</f>
        <v>241</v>
      </c>
      <c r="AE156" s="235" t="str">
        <f>"aws s3 cp "&amp;s3_bucket&amp;"/RTDC"&amp;B156&amp;"/ "&amp;search_path&amp;"\RTDC"&amp;B156&amp;"\"&amp;TEXT(F156,"YYYY-MM-DD")&amp;" --exclude ""*"" --recursive --include ""*"&amp;TEXT(F156,"YYYYMMDD")&amp;"*"" &amp; """&amp;walkandungz&amp;""" "&amp;search_path&amp;"\RTDC"&amp;B156&amp;"\"&amp;TEXT(F156,"YYYY-MM-DD")
&amp;" &amp; "&amp;"aws s3 cp "&amp;s3_bucket&amp;"/RTDC"&amp;B156&amp;"/ "&amp;search_path&amp;"\RTDC"&amp;B156&amp;"\"&amp;TEXT(F156+1,"YYYY-MM-DD")&amp;" --exclude ""*"" --recursive --include ""*"&amp;TEXT(F156+1,"YYYYMMDD")&amp;"*"" &amp; """&amp;walkandungz&amp;""" "&amp;search_path&amp;"\RTDC"&amp;B156&amp;"\"&amp;TEXT(F156+1,"YYYY-MM-DD")</f>
        <v>aws s3 cp s3://rtdc.mdm.uploadarchive.raw/RTDC4030/ "%USERPROFILE%\AppData\Local\Temp\OnboardLogs"\RTDC4030\2018-01-07 --exclude "*" --recursive --include "*20180107*" &amp; "%USERPROFILE%\Documents\GitHub\mrs-test-scripts\Headless Mode &amp; Sideloading\WalkAndUnGZ.bat" "%USERPROFILE%\AppData\Local\Temp\OnboardLogs"\RTDC4030\2018-01-07 &amp; aws s3 cp s3://rtdc.mdm.uploadarchive.raw/RTDC4030/ "%USERPROFILE%\AppData\Local\Temp\OnboardLogs"\RTDC4030\2018-01-08 --exclude "*" --recursive --include "*20180108*" &amp; "%USERPROFILE%\Documents\GitHub\mrs-test-scripts\Headless Mode &amp; Sideloading\WalkAndUnGZ.bat" "%USERPROFILE%\AppData\Local\Temp\OnboardLogs"\RTDC4030\2018-01-08</v>
      </c>
      <c r="AF156" s="234" t="str">
        <f>astrogrep_path&amp;" /e /r /s /spath="&amp;search_path&amp;" /stypes=""app*"&amp;B156&amp;"*"&amp;TEXT(I156-utc_offset/24,"YYYYMMDD")&amp;"*"" /stext="" "&amp;TEXT(I156-utc_offset/24,"HH")&amp;search_regexp&amp;""""</f>
        <v>"C:\Program Files (x86)\AstroGrep\AstroGrep.exe" /e /r /s /spath="%USERPROFILE%\AppData\Local\Temp\OnboardLogs" /stypes="app*4030*20180107*" /stext=" 07:.+((SYSTEM_STATE.+slice.+state.+changed )|(ment ac)|(multiple cpu faults)|(system.+state.+changed )|(\[timeout)|(PRM\|1\|D)|(kpr)|(kdp)|(train st.+moving)|(\|lc)|(penalty))"</v>
      </c>
      <c r="AG156" s="244" t="str">
        <f>DetSubdiv(A156)</f>
        <v>EC</v>
      </c>
      <c r="AH156" s="236" t="str">
        <f t="shared" si="36"/>
        <v>"%USERPROFILE%\Documents\GitHub\eaglep3\Utilities\RefineRTDCRunTimes.py" --tripid 241-06 --locoid 4030 --swversion DE.1.0.9.0 --startMP 204:570 --initTime 2018-01-06T23:52:33 --startdatetime 2018-01-07T00:00:13 --delay 59 --endMP 204:233351 --enddatetime 2018-01-07T00:34:23 --enforcementcount 0 &gt;&gt;%USERPROFILE%\Documents\GitHub\eaglep3-reporting\EC\2018-01-06-refined-times.txt</v>
      </c>
      <c r="AI156" s="238" t="str">
        <f t="shared" si="37"/>
        <v>echo {"issue":{"subject":"","project_id":79,"tracker_id":40,"status_id":1,"priority_id":2,"assigned_to_id":338,"start_date":"2018-01-07","description":"","custom_fields":[{"id":1,"name":"Subdivision","value":"EC"},{"id":4,"name":"Milepost","value":"23.3351"},{"id":17,"name":"Train ID","value":"241-06"},{"id":16,"name":"Locomotive ID","value":"4030"},{"id":130,"name":"Impact","value":""},{"id":150,"name":"Time of Event (Mountain Time)","value":"00:34:23"},{"id":151,"name":"Denver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6" s="231"/>
      <c r="AL156" s="231"/>
      <c r="AM156" s="240" t="str">
        <f t="shared" si="38"/>
        <v>start /low /b %USERPROFILE%\Documents\GitHub\eaglep3\Utilities\DownloadLogsFromS3.py --loco 4030 --day 2018-01-07</v>
      </c>
      <c r="AN156" s="241" t="str">
        <f t="shared" si="39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07:34:23"},{"id":29,"name":"Sharepoint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 s="230" t="str">
        <f t="shared" si="40"/>
        <v>https://d0f6bd738d7f1b3e5a7ca70fe4ff75f0.us-east-1.aws.found.io/app/kibana#/discover/Steve-Slow-Train-Analysis-(2080s-and-2083s)?_g=(refreshInterval:(display:Off,pause:!f,section:0,value:0),time:(from:'2018-01-06T22:52:33-0700',mode:absolute,to:'2018-01-07T01:34:23-0700'))&amp;_a=(columns:!('Message%20ID',Summary),filters:!(),index:'emp_*',interval:auto,query:(query_string:(analyze_wildcard:!t,query:'%22rtdc.l.rtdc.4030%22')),sort:!(Time.ISO8601,asc))</v>
      </c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23" customFormat="1" x14ac:dyDescent="0.3">
      <c r="A157" s="229" t="s">
        <v>883</v>
      </c>
      <c r="B157" s="225">
        <v>4029</v>
      </c>
      <c r="C157" s="227" t="s">
        <v>192</v>
      </c>
      <c r="D157" s="227" t="s">
        <v>1018</v>
      </c>
      <c r="E157" s="226">
        <v>43107.027337962965</v>
      </c>
      <c r="F157" s="226">
        <v>43107.039722222224</v>
      </c>
      <c r="G157" s="225">
        <v>50</v>
      </c>
      <c r="H157" s="227" t="s">
        <v>643</v>
      </c>
      <c r="I157" s="226">
        <v>43107.064884259256</v>
      </c>
      <c r="J157" s="225">
        <v>0</v>
      </c>
      <c r="K157" s="237" t="str">
        <f>IF(ISEVEN(B157),(B157-1)&amp;"/"&amp;B157,B157&amp;"/"&amp;(B157+1))</f>
        <v>4029/4030</v>
      </c>
      <c r="L157" s="245" t="str">
        <f>VLOOKUP(A157,'Trips&amp;Operators'!$C$1:$G$99911,5,FALSE)</f>
        <v>ELBAUM MIKE</v>
      </c>
      <c r="M157" s="224">
        <f>I157-F157</f>
        <v>2.5162037032714579E-2</v>
      </c>
      <c r="N157" s="225">
        <f>24*60*SUM($M157:$M157)</f>
        <v>36.233333327108994</v>
      </c>
      <c r="O157" s="225"/>
      <c r="P157" s="225"/>
      <c r="Q157" s="228"/>
      <c r="R157" s="242"/>
      <c r="S157" s="249">
        <f>1/IF(AG157="EC",12,1)*SUM(U157:U157)</f>
        <v>1</v>
      </c>
      <c r="T157" s="242" t="str">
        <f>IF(ISEVEN(LEFT(AD157,4)),"Southbound","NorthBound")</f>
        <v>Southbound</v>
      </c>
      <c r="U157" s="246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248" t="str">
        <f>"https://d0f6bd738d7f1b3e5a7ca70fe4ff75f0.us-east-1.aws.found.io/app/kibana#/discover/Steve-Slow-Train-Analysis-(2080s-and-2083s)?_g="&amp;"(refreshInterval:(display:Off,pause:!f,section:0,value:0),time:(from:'"&amp;TEXT(E157-1/24,"yyyy-MM-DDThh:mm:ss")&amp;utc_offset&amp;"00"&amp;"',mode:absolute,to:'"&amp;TEXT(I157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157&amp;"%22')),sort:!(Time.ISO8601,asc))"</f>
        <v>https://d0f6bd738d7f1b3e5a7ca70fe4ff75f0.us-east-1.aws.found.io/app/kibana#/discover/Steve-Slow-Train-Analysis-(2080s-and-2083s)?_g=(refreshInterval:(display:Off,pause:!f,section:0,value:0),time:(from:'2018-01-06T23:39:22-0700',mode:absolute,to:'2018-01-07T02:33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57" s="247" t="str">
        <f>IF(AA157&lt;VLOOKUP(AG157,Variables!$AC$3:$AD$8,2,FALSE),"Y","N")</f>
        <v>N</v>
      </c>
      <c r="X157" s="247">
        <f>VALUE(LEFT(AD157,4))-VALUE(LEFT(AD156,4))</f>
        <v>1</v>
      </c>
      <c r="Y157" s="247">
        <f>RIGHT(D157,LEN(D157)-4)/10000</f>
        <v>23.303000000000001</v>
      </c>
      <c r="Z157" s="247">
        <f>RIGHT(H157,LEN(H157)-4)/10000</f>
        <v>2.6700000000000002E-2</v>
      </c>
      <c r="AA157" s="247">
        <f>ABS(Z157-Y157)</f>
        <v>23.276299999999999</v>
      </c>
      <c r="AB157" s="233" t="e">
        <f>VLOOKUP(A157,Enforcements!$C$7:$K$9,8,0)</f>
        <v>#N/A</v>
      </c>
      <c r="AC157" s="232" t="e">
        <f>VLOOKUP(A157,Enforcements!$C$7:$E$9,3,0)</f>
        <v>#N/A</v>
      </c>
      <c r="AD157" s="243">
        <f>VALUE(LEFT(A157,LEN(A157)-3))</f>
        <v>242</v>
      </c>
      <c r="AE157" s="235" t="str">
        <f>"aws s3 cp "&amp;s3_bucket&amp;"/RTDC"&amp;B157&amp;"/ "&amp;search_path&amp;"\RTDC"&amp;B157&amp;"\"&amp;TEXT(F157,"YYYY-MM-DD")&amp;" --exclude ""*"" --recursive --include ""*"&amp;TEXT(F157,"YYYYMMDD")&amp;"*"" &amp; """&amp;walkandungz&amp;""" "&amp;search_path&amp;"\RTDC"&amp;B157&amp;"\"&amp;TEXT(F157,"YYYY-MM-DD")
&amp;" &amp; "&amp;"aws s3 cp "&amp;s3_bucket&amp;"/RTDC"&amp;B157&amp;"/ "&amp;search_path&amp;"\RTDC"&amp;B157&amp;"\"&amp;TEXT(F157+1,"YYYY-MM-DD")&amp;" --exclude ""*"" --recursive --include ""*"&amp;TEXT(F157+1,"YYYYMMDD")&amp;"*"" &amp; """&amp;walkandungz&amp;""" "&amp;search_path&amp;"\RTDC"&amp;B157&amp;"\"&amp;TEXT(F157+1,"YYYY-MM-DD")</f>
        <v>aws s3 cp s3://rtdc.mdm.uploadarchive.raw/RTDC4029/ "%USERPROFILE%\AppData\Local\Temp\OnboardLogs"\RTDC4029\2018-01-07 --exclude "*" --recursive --include "*20180107*" &amp; "%USERPROFILE%\Documents\GitHub\mrs-test-scripts\Headless Mode &amp; Sideloading\WalkAndUnGZ.bat" "%USERPROFILE%\AppData\Local\Temp\OnboardLogs"\RTDC4029\2018-01-07 &amp; aws s3 cp s3://rtdc.mdm.uploadarchive.raw/RTDC4029/ "%USERPROFILE%\AppData\Local\Temp\OnboardLogs"\RTDC4029\2018-01-08 --exclude "*" --recursive --include "*20180108*" &amp; "%USERPROFILE%\Documents\GitHub\mrs-test-scripts\Headless Mode &amp; Sideloading\WalkAndUnGZ.bat" "%USERPROFILE%\AppData\Local\Temp\OnboardLogs"\RTDC4029\2018-01-08</v>
      </c>
      <c r="AF157" s="234" t="str">
        <f>astrogrep_path&amp;" /e /r /s /spath="&amp;search_path&amp;" /stypes=""app*"&amp;B157&amp;"*"&amp;TEXT(I157-utc_offset/24,"YYYYMMDD")&amp;"*"" /stext="" "&amp;TEXT(I157-utc_offset/24,"HH")&amp;search_regexp&amp;""""</f>
        <v>"C:\Program Files (x86)\AstroGrep\AstroGrep.exe" /e /r /s /spath="%USERPROFILE%\AppData\Local\Temp\OnboardLogs" /stypes="app*4029*20180107*" /stext=" 08:.+((SYSTEM_STATE.+slice.+state.+changed )|(ment ac)|(multiple cpu faults)|(system.+state.+changed )|(\[timeout)|(PRM\|1\|D)|(kpr)|(kdp)|(train st.+moving)|(\|lc)|(penalty))"</v>
      </c>
      <c r="AG157" s="244" t="str">
        <f>DetSubdiv(A157)</f>
        <v>EC</v>
      </c>
      <c r="AH157" s="236" t="str">
        <f t="shared" si="36"/>
        <v>"%USERPROFILE%\Documents\GitHub\eaglep3\Utilities\RefineRTDCRunTimes.py" --tripid 242-06 --locoid 4029 --swversion DE.1.0.9.0 --startMP 204:233030 --initTime 2018-01-07T00:39:22 --startdatetime 2018-01-07T00:57:12 --delay 50 --endMP 204:267 --enddatetime 2018-01-07T01:33:26 --enforcementcount 0 &gt;&gt;%USERPROFILE%\Documents\GitHub\eaglep3-reporting\EC\2018-01-06-refined-times.txt</v>
      </c>
      <c r="AI157" s="238" t="str">
        <f t="shared" si="37"/>
        <v>echo {"issue":{"subject":"","project_id":79,"tracker_id":40,"status_id":1,"priority_id":2,"assigned_to_id":338,"start_date":"2018-01-07","description":"","custom_fields":[{"id":1,"name":"Subdivision","value":"EC"},{"id":4,"name":"Milepost","value":"0.0267"},{"id":17,"name":"Train ID","value":"242-06"},{"id":16,"name":"Locomotive ID","value":"4029"},{"id":130,"name":"Impact","value":""},{"id":150,"name":"Time of Event (Mountain Time)","value":"01:33:26"},{"id":151,"name":"Denver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7" s="231"/>
      <c r="AL157" s="231"/>
      <c r="AM157" s="240" t="str">
        <f t="shared" si="38"/>
        <v>start /low /b %USERPROFILE%\Documents\GitHub\eaglep3\Utilities\DownloadLogsFromS3.py --loco 4029 --day 2018-01-07</v>
      </c>
      <c r="AN157" s="241" t="str">
        <f t="shared" si="39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08:33:26"},{"id":29,"name":"Sharepoint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 s="230" t="str">
        <f t="shared" si="40"/>
        <v>https://d0f6bd738d7f1b3e5a7ca70fe4ff75f0.us-east-1.aws.found.io/app/kibana#/discover/Steve-Slow-Train-Analysis-(2080s-and-2083s)?_g=(refreshInterval:(display:Off,pause:!f,section:0,value:0),time:(from:'2018-01-06T23:39:22-0700',mode:absolute,to:'2018-01-07T02:33:26-0700'))&amp;_a=(columns:!('Message%20ID',Summary),filters:!(),index:'emp_*',interval:auto,query:(query_string:(analyze_wildcard:!t,query:'%22rtdc.l.rtdc.4029%22')),sort:!(Time.ISO8601,asc))</v>
      </c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23" customFormat="1" x14ac:dyDescent="0.3">
      <c r="A158" s="229" t="s">
        <v>882</v>
      </c>
      <c r="B158" s="225">
        <v>4058</v>
      </c>
      <c r="C158" s="227" t="s">
        <v>192</v>
      </c>
      <c r="D158" s="227" t="s">
        <v>1018</v>
      </c>
      <c r="E158" s="226">
        <v>43107.027337962965</v>
      </c>
      <c r="F158" s="226">
        <v>43107.021053240744</v>
      </c>
      <c r="G158" s="225">
        <v>50</v>
      </c>
      <c r="H158" s="227" t="s">
        <v>643</v>
      </c>
      <c r="I158" s="226">
        <v>43107.046631944446</v>
      </c>
      <c r="J158" s="225">
        <v>0</v>
      </c>
      <c r="K158" s="237" t="str">
        <f>IF(ISEVEN(B158),(B158-1)&amp;"/"&amp;B158,B158&amp;"/"&amp;(B158+1))</f>
        <v>4057/4058</v>
      </c>
      <c r="L158" s="245" t="str">
        <f>VLOOKUP(A158,'Trips&amp;Operators'!$C$1:$G$99911,5,FALSE)</f>
        <v>NICHOLSON WESLEY</v>
      </c>
      <c r="M158" s="224">
        <f>I158-F158</f>
        <v>2.5578703702194616E-2</v>
      </c>
      <c r="N158" s="225">
        <f>24*60*SUM($M158:$M158)</f>
        <v>36.833333331160247</v>
      </c>
      <c r="O158" s="225"/>
      <c r="P158" s="225"/>
      <c r="Q158" s="228"/>
      <c r="R158" s="242"/>
      <c r="S158" s="249">
        <f>1/IF(AG158="EC",12,1)*SUM(U158:U158)</f>
        <v>1</v>
      </c>
      <c r="T158" s="242" t="str">
        <f>IF(ISEVEN(LEFT(AD158,4)),"Southbound","NorthBound")</f>
        <v>NorthBound</v>
      </c>
      <c r="U158" s="246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248" t="str">
        <f>"https://d0f6bd738d7f1b3e5a7ca70fe4ff75f0.us-east-1.aws.found.io/app/kibana#/discover/Steve-Slow-Train-Analysis-(2080s-and-2083s)?_g="&amp;"(refreshInterval:(display:Off,pause:!f,section:0,value:0),time:(from:'"&amp;TEXT(E158-1/24,"yyyy-MM-DDThh:mm:ss")&amp;utc_offset&amp;"00"&amp;"',mode:absolute,to:'"&amp;TEXT(I158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158&amp;"%22')),sort:!(Time.ISO8601,asc))"</f>
        <v>https://d0f6bd738d7f1b3e5a7ca70fe4ff75f0.us-east-1.aws.found.io/app/kibana#/discover/Steve-Slow-Train-Analysis-(2080s-and-2083s)?_g=(refreshInterval:(display:Off,pause:!f,section:0,value:0),time:(from:'2018-01-06T23:39:22-0700',mode:absolute,to:'2018-01-07T02:07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58" s="247" t="str">
        <f>IF(AA158&lt;VLOOKUP(AG158,Variables!$AC$3:$AD$8,2,FALSE),"Y","N")</f>
        <v>N</v>
      </c>
      <c r="X158" s="247">
        <f>VALUE(LEFT(AD158,4))-VALUE(LEFT(AD157,4))</f>
        <v>1</v>
      </c>
      <c r="Y158" s="247">
        <v>7.4300000000000005E-2</v>
      </c>
      <c r="Z158" s="247">
        <v>23.319500000000001</v>
      </c>
      <c r="AA158" s="247">
        <f>ABS(Z158-Y158)</f>
        <v>23.245200000000001</v>
      </c>
      <c r="AB158" s="233" t="e">
        <f>VLOOKUP(A158,Enforcements!$C$7:$K$9,8,0)</f>
        <v>#N/A</v>
      </c>
      <c r="AC158" s="232" t="e">
        <f>VLOOKUP(A158,Enforcements!$C$7:$E$9,3,0)</f>
        <v>#N/A</v>
      </c>
      <c r="AD158" s="243">
        <f>VALUE(LEFT(A158,LEN(A158)-3))</f>
        <v>243</v>
      </c>
      <c r="AE158" s="235" t="str">
        <f>"aws s3 cp "&amp;s3_bucket&amp;"/RTDC"&amp;B158&amp;"/ "&amp;search_path&amp;"\RTDC"&amp;B158&amp;"\"&amp;TEXT(F158,"YYYY-MM-DD")&amp;" --exclude ""*"" --recursive --include ""*"&amp;TEXT(F158,"YYYYMMDD")&amp;"*"" &amp; """&amp;walkandungz&amp;""" "&amp;search_path&amp;"\RTDC"&amp;B158&amp;"\"&amp;TEXT(F158,"YYYY-MM-DD")
&amp;" &amp; "&amp;"aws s3 cp "&amp;s3_bucket&amp;"/RTDC"&amp;B158&amp;"/ "&amp;search_path&amp;"\RTDC"&amp;B158&amp;"\"&amp;TEXT(F158+1,"YYYY-MM-DD")&amp;" --exclude ""*"" --recursive --include ""*"&amp;TEXT(F158+1,"YYYYMMDD")&amp;"*"" &amp; """&amp;walkandungz&amp;""" "&amp;search_path&amp;"\RTDC"&amp;B158&amp;"\"&amp;TEXT(F158+1,"YYYY-MM-DD")</f>
        <v>aws s3 cp s3://rtdc.mdm.uploadarchive.raw/RTDC4058/ "%USERPROFILE%\AppData\Local\Temp\OnboardLogs"\RTDC4058\2018-01-07 --exclude "*" --recursive --include "*20180107*" &amp; "%USERPROFILE%\Documents\GitHub\mrs-test-scripts\Headless Mode &amp; Sideloading\WalkAndUnGZ.bat" "%USERPROFILE%\AppData\Local\Temp\OnboardLogs"\RTDC4058\2018-01-07 &amp; aws s3 cp s3://rtdc.mdm.uploadarchive.raw/RTDC4058/ "%USERPROFILE%\AppData\Local\Temp\OnboardLogs"\RTDC4058\2018-01-08 --exclude "*" --recursive --include "*20180108*" &amp; "%USERPROFILE%\Documents\GitHub\mrs-test-scripts\Headless Mode &amp; Sideloading\WalkAndUnGZ.bat" "%USERPROFILE%\AppData\Local\Temp\OnboardLogs"\RTDC4058\2018-01-08</v>
      </c>
      <c r="AF158" s="234" t="str">
        <f>astrogrep_path&amp;" /e /r /s /spath="&amp;search_path&amp;" /stypes=""app*"&amp;B158&amp;"*"&amp;TEXT(I158-utc_offset/24,"YYYYMMDD")&amp;"*"" /stext="" "&amp;TEXT(I158-utc_offset/24,"HH")&amp;search_regexp&amp;""""</f>
        <v>"C:\Program Files (x86)\AstroGrep\AstroGrep.exe" /e /r /s /spath="%USERPROFILE%\AppData\Local\Temp\OnboardLogs" /stypes="app*4058*20180107*" /stext=" 08:.+((SYSTEM_STATE.+slice.+state.+changed )|(ment ac)|(multiple cpu faults)|(system.+state.+changed )|(\[timeout)|(PRM\|1\|D)|(kpr)|(kdp)|(train st.+moving)|(\|lc)|(penalty))"</v>
      </c>
      <c r="AG158" s="244" t="str">
        <f>DetSubdiv(A158)</f>
        <v>EC</v>
      </c>
      <c r="AH158" s="236" t="str">
        <f t="shared" ref="AH158" si="41">refinertdcruntimes&amp;" --tripid "&amp;A158&amp;" --locoid "&amp;B158&amp;" --swversion "&amp;C158&amp;" --startMP "&amp;D158&amp;" --initTime "&amp;TEXT(E158,"yyyy-mm-ddTHH:MM:SS")&amp;" --startdatetime "&amp;TEXT(F158,"yyyy-mm-ddTHH:MM:SS")&amp;" --delay "&amp;G158&amp;" --endMP "&amp;H158&amp;" --enddatetime "&amp;TEXT(I158,"yyyy-mm-ddTHH:MM:SS")&amp;" --enforcementcount "&amp;J158&amp;IF(outputrefinedruntimes," &gt;&gt;"&amp;RefinedRTDCRunTimesOutputFile,"")</f>
        <v>"%USERPROFILE%\Documents\GitHub\eaglep3\Utilities\RefineRTDCRunTimes.py" --tripid 243-06 --locoid 4058 --swversion DE.1.0.9.0 --startMP 204:233030 --initTime 2018-01-07T00:39:22 --startdatetime 2018-01-07T00:30:19 --delay 50 --endMP 204:267 --enddatetime 2018-01-07T01:07:09 --enforcementcount 0 &gt;&gt;%USERPROFILE%\Documents\GitHub\eaglep3-reporting\EC\2018-01-06-refined-times.txt</v>
      </c>
      <c r="AI158" s="238" t="str">
        <f t="shared" ref="AI158" si="42">"echo {""issue"":{""subject"":"""&amp;R158&amp;""",""project_id"":79,""tracker_id"":40,""status_id"":"&amp;redmine_status&amp;",""priority_id"":"&amp;redmine_priority&amp;",""assigned_to_id"":"&amp;redmine_assignee&amp;",""start_date"":"""&amp;TEXT(I158,"YYYY-mm-dd")&amp;""",""description"":"""&amp;AJ158&amp;""",""custom_fields"":[{""id"":1,""name"":""Subdivision"",""value"":"""&amp;AG158&amp;"""},{""id"":4,""name"":""Milepost"",""value"":"""&amp;Z158&amp;"""},{""id"":17,""name"":""Train ID"",""value"":"""&amp;A158&amp;"""},{""id"":16,""name"":""Locomotive ID"",""value"":"""&amp;B158&amp;"""},{""id"":130,""name"":""Impact"",""value"":"""&amp;AK158&amp;"""},{""id"":150,""name"":""Time of Event (Mountain Time)"",""value"":"""&amp;TEXT(I158,"hh:mm:ss")&amp;"""},{""id"":151,""name"":""Denver Issue ID"",""value"":"""&amp;"""},{""id"":178,""name"":""Operational Impact"",""value"":"""&amp;redmine_op_impact&amp;"""},{""id"":179,""name"":""Denver Segment Assigned"",""value"":"""&amp;AL158&amp;"""}]}}"&amp;"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{"issue":{"subject":"","project_id":79,"tracker_id":40,"status_id":1,"priority_id":2,"assigned_to_id":338,"start_date":"2018-01-07","description":"","custom_fields":[{"id":1,"name":"Subdivision","value":"EC"},{"id":4,"name":"Milepost","value":"23.3195"},{"id":17,"name":"Train ID","value":"243-06"},{"id":16,"name":"Locomotive ID","value":"4058"},{"id":130,"name":"Impact","value":""},{"id":150,"name":"Time of Event (Mountain Time)","value":"01:07:09"},{"id":151,"name":"Denver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8" s="231"/>
      <c r="AL158" s="231"/>
      <c r="AM158" s="240" t="str">
        <f t="shared" ref="AM158" si="43">"start /low /b "&amp;dls3logs&amp;" --loco "&amp;B158&amp;" --day "&amp;TEXT(F158,"YYYY-MM-DD")</f>
        <v>start /low /b %USERPROFILE%\Documents\GitHub\eaglep3\Utilities\DownloadLogsFromS3.py --loco 4058 --day 2018-01-07</v>
      </c>
      <c r="AN158" s="241" t="str">
        <f t="shared" ref="AN158" si="44">"echo {""issue"":{""subject"":"""&amp;R158&amp;""",""project_id"":30,""tracker_id"":4,""status_id"":"&amp;redmine_status_wcr&amp;",""priority_id"":"&amp;redmine_priority_wcr&amp;",""assigned_to_id"":"&amp;redmine_assignee_wcr&amp;",""start_date"":"""&amp;TEXT(I158-utc_offset/24,"YYYY-mm-dd")&amp;""",""description"":"""&amp;AJ158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08:07:09"},{"id":29,"name":"Sharepoint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 s="230" t="str">
        <f t="shared" ref="AO158" si="45">"https://d0f6bd738d7f1b3e5a7ca70fe4ff75f0.us-east-1.aws.found.io/app/kibana#/discover/Steve-Slow-Train-Analysis-(2080s-and-2083s)?_g="&amp;"(refreshInterval:(display:Off,pause:!f,section:0,value:0),time:(from:'"&amp;TEXT(E158-1/24,"yyyy-MM-DDThh:mm:ss")&amp;utc_offset&amp;"00"&amp;"',mode:absolute,to:'"&amp;TEXT(I158+1/24,"yyyy-MM-DDThh:mm:ss")&amp;utc_offset&amp;"00"&amp;"'))&amp;_a=(columns:!('Message%20ID',Summary),filters:!(),index:'emp_*',interval:auto,query:"&amp;"(query_string:(analyze_wildcard:!t,query:'%22rtdc.l.rtdc."&amp;B158&amp;"%22')),sort:!(Time.ISO8601,asc))"</f>
        <v>https://d0f6bd738d7f1b3e5a7ca70fe4ff75f0.us-east-1.aws.found.io/app/kibana#/discover/Steve-Slow-Train-Analysis-(2080s-and-2083s)?_g=(refreshInterval:(display:Off,pause:!f,section:0,value:0),time:(from:'2018-01-06T23:39:22-0700',mode:absolute,to:'2018-01-07T02:07:09-0700'))&amp;_a=(columns:!('Message%20ID',Summary),filters:!(),index:'emp_*',interval:auto,query:(query_string:(analyze_wildcard:!t,query:'%22rtdc.l.rtdc.4058%22')),sort:!(Time.ISO8601,asc))</v>
      </c>
    </row>
    <row r="159" spans="1:91" s="223" customFormat="1" x14ac:dyDescent="0.3">
      <c r="A159" s="229" t="s">
        <v>886</v>
      </c>
      <c r="B159" s="225">
        <v>4057</v>
      </c>
      <c r="C159" s="227" t="s">
        <v>192</v>
      </c>
      <c r="D159" s="227" t="s">
        <v>1018</v>
      </c>
      <c r="E159" s="226">
        <v>43107.027337962965</v>
      </c>
      <c r="F159" s="226">
        <v>43107.060636574075</v>
      </c>
      <c r="G159" s="225">
        <v>50</v>
      </c>
      <c r="H159" s="227" t="s">
        <v>643</v>
      </c>
      <c r="I159" s="226">
        <v>43107.090543981481</v>
      </c>
      <c r="J159" s="225">
        <v>0</v>
      </c>
      <c r="K159" s="237" t="str">
        <f>IF(ISEVEN(B159),(B159-1)&amp;"/"&amp;B159,B159&amp;"/"&amp;(B159+1))</f>
        <v>4057/4058</v>
      </c>
      <c r="L159" s="245" t="str">
        <f>VLOOKUP(A159,'Trips&amp;Operators'!$C$1:$G$99911,5,FALSE)</f>
        <v>NICHOLSON WESLEY</v>
      </c>
      <c r="M159" s="224">
        <f>I159-F159</f>
        <v>2.9907407406426501E-2</v>
      </c>
      <c r="N159" s="225">
        <f>24*60*SUM($M159:$M159)</f>
        <v>43.066666665254161</v>
      </c>
      <c r="O159" s="225"/>
      <c r="P159" s="225"/>
      <c r="Q159" s="228"/>
      <c r="R159" s="242"/>
      <c r="S159" s="249">
        <f>1/IF(AG159="EC",12,1)*SUM(U159:U159)</f>
        <v>1</v>
      </c>
      <c r="T159" s="242" t="str">
        <f>IF(ISEVEN(LEFT(AD159,4)),"Southbound","NorthBound")</f>
        <v>Southbound</v>
      </c>
      <c r="U159" s="246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248" t="str">
        <f>"https://d0f6bd738d7f1b3e5a7ca70fe4ff75f0.us-east-1.aws.found.io/app/kibana#/discover/Steve-Slow-Train-Analysis-(2080s-and-2083s)?_g="&amp;"(refreshInterval:(display:Off,pause:!f,section:0,value:0),time:(from:'"&amp;TEXT(E159-1/24,"yyyy-MM-DDThh:mm:ss")&amp;utc_offset&amp;"00"&amp;"',mode:absolute,to:'"&amp;TEXT(I159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159&amp;"%22')),sort:!(Time.ISO8601,asc))"</f>
        <v>https://d0f6bd738d7f1b3e5a7ca70fe4ff75f0.us-east-1.aws.found.io/app/kibana#/discover/Steve-Slow-Train-Analysis-(2080s-and-2083s)?_g=(refreshInterval:(display:Off,pause:!f,section:0,value:0),time:(from:'2018-01-06T23:39:22-0700',mode:absolute,to:'2018-01-07T03:10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59" s="247" t="str">
        <f>IF(AA159&lt;VLOOKUP(AG159,Variables!$AC$3:$AD$8,2,FALSE),"Y","N")</f>
        <v>N</v>
      </c>
      <c r="X159" s="247">
        <f>VALUE(LEFT(AD159,4))-VALUE(LEFT(AD158,4))</f>
        <v>1</v>
      </c>
      <c r="Y159" s="247">
        <v>23.267299999999999</v>
      </c>
      <c r="Z159" s="247">
        <v>2.3199999999999998E-2</v>
      </c>
      <c r="AA159" s="247">
        <f>ABS(Z159-Y159)</f>
        <v>23.2441</v>
      </c>
      <c r="AB159" s="233" t="e">
        <f>VLOOKUP(A159,Enforcements!$C$7:$K$9,8,0)</f>
        <v>#N/A</v>
      </c>
      <c r="AC159" s="232" t="e">
        <f>VLOOKUP(A159,Enforcements!$C$7:$E$9,3,0)</f>
        <v>#N/A</v>
      </c>
      <c r="AD159" s="243">
        <f>VALUE(LEFT(A159,LEN(A159)-3))</f>
        <v>244</v>
      </c>
      <c r="AE159" s="235" t="str">
        <f>"aws s3 cp "&amp;s3_bucket&amp;"/RTDC"&amp;B159&amp;"/ "&amp;search_path&amp;"\RTDC"&amp;B159&amp;"\"&amp;TEXT(F159,"YYYY-MM-DD")&amp;" --exclude ""*"" --recursive --include ""*"&amp;TEXT(F159,"YYYYMMDD")&amp;"*"" &amp; """&amp;walkandungz&amp;""" "&amp;search_path&amp;"\RTDC"&amp;B159&amp;"\"&amp;TEXT(F159,"YYYY-MM-DD")
&amp;" &amp; "&amp;"aws s3 cp "&amp;s3_bucket&amp;"/RTDC"&amp;B159&amp;"/ "&amp;search_path&amp;"\RTDC"&amp;B159&amp;"\"&amp;TEXT(F159+1,"YYYY-MM-DD")&amp;" --exclude ""*"" --recursive --include ""*"&amp;TEXT(F159+1,"YYYYMMDD")&amp;"*"" &amp; """&amp;walkandungz&amp;""" "&amp;search_path&amp;"\RTDC"&amp;B159&amp;"\"&amp;TEXT(F159+1,"YYYY-MM-DD")</f>
        <v>aws s3 cp s3://rtdc.mdm.uploadarchive.raw/RTDC4057/ "%USERPROFILE%\AppData\Local\Temp\OnboardLogs"\RTDC4057\2018-01-07 --exclude "*" --recursive --include "*20180107*" &amp; "%USERPROFILE%\Documents\GitHub\mrs-test-scripts\Headless Mode &amp; Sideloading\WalkAndUnGZ.bat" "%USERPROFILE%\AppData\Local\Temp\OnboardLogs"\RTDC4057\2018-01-07 &amp; aws s3 cp s3://rtdc.mdm.uploadarchive.raw/RTDC4057/ "%USERPROFILE%\AppData\Local\Temp\OnboardLogs"\RTDC4057\2018-01-08 --exclude "*" --recursive --include "*20180108*" &amp; "%USERPROFILE%\Documents\GitHub\mrs-test-scripts\Headless Mode &amp; Sideloading\WalkAndUnGZ.bat" "%USERPROFILE%\AppData\Local\Temp\OnboardLogs"\RTDC4057\2018-01-08</v>
      </c>
      <c r="AF159" s="234" t="str">
        <f>astrogrep_path&amp;" /e /r /s /spath="&amp;search_path&amp;" /stypes=""app*"&amp;B159&amp;"*"&amp;TEXT(I159-utc_offset/24,"YYYYMMDD")&amp;"*"" /stext="" "&amp;TEXT(I159-utc_offset/24,"HH")&amp;search_regexp&amp;""""</f>
        <v>"C:\Program Files (x86)\AstroGrep\AstroGrep.exe" /e /r /s /spath="%USERPROFILE%\AppData\Local\Temp\OnboardLogs" /stypes="app*4057*20180107*" /stext=" 09:.+((SYSTEM_STATE.+slice.+state.+changed )|(ment ac)|(multiple cpu faults)|(system.+state.+changed )|(\[timeout)|(PRM\|1\|D)|(kpr)|(kdp)|(train st.+moving)|(\|lc)|(penalty))"</v>
      </c>
      <c r="AG159" s="244" t="str">
        <f>DetSubdiv(A159)</f>
        <v>EC</v>
      </c>
      <c r="AH159" s="236" t="str">
        <f t="shared" ref="AH159" si="46">refinertdcruntimes&amp;" --tripid "&amp;A159&amp;" --locoid "&amp;B159&amp;" --swversion "&amp;C159&amp;" --startMP "&amp;D159&amp;" --initTime "&amp;TEXT(E159,"yyyy-mm-ddTHH:MM:SS")&amp;" --startdatetime "&amp;TEXT(F159,"yyyy-mm-ddTHH:MM:SS")&amp;" --delay "&amp;G159&amp;" --endMP "&amp;H159&amp;" --enddatetime "&amp;TEXT(I159,"yyyy-mm-ddTHH:MM:SS")&amp;" --enforcementcount "&amp;J159&amp;IF(outputrefinedruntimes," &gt;&gt;"&amp;RefinedRTDCRunTimesOutputFile,"")</f>
        <v>"%USERPROFILE%\Documents\GitHub\eaglep3\Utilities\RefineRTDCRunTimes.py" --tripid 244-06 --locoid 4057 --swversion DE.1.0.9.0 --startMP 204:233030 --initTime 2018-01-07T00:39:22 --startdatetime 2018-01-07T01:27:19 --delay 50 --endMP 204:267 --enddatetime 2018-01-07T02:10:23 --enforcementcount 0 &gt;&gt;%USERPROFILE%\Documents\GitHub\eaglep3-reporting\EC\2018-01-06-refined-times.txt</v>
      </c>
      <c r="AI159" s="238" t="str">
        <f t="shared" ref="AI159" si="47">"echo {""issue"":{""subject"":"""&amp;R159&amp;""",""project_id"":79,""tracker_id"":40,""status_id"":"&amp;redmine_status&amp;",""priority_id"":"&amp;redmine_priority&amp;",""assigned_to_id"":"&amp;redmine_assignee&amp;",""start_date"":"""&amp;TEXT(I159,"YYYY-mm-dd")&amp;""",""description"":"""&amp;AJ159&amp;""",""custom_fields"":[{""id"":1,""name"":""Subdivision"",""value"":"""&amp;AG159&amp;"""},{""id"":4,""name"":""Milepost"",""value"":"""&amp;Z159&amp;"""},{""id"":17,""name"":""Train ID"",""value"":"""&amp;A159&amp;"""},{""id"":16,""name"":""Locomotive ID"",""value"":"""&amp;B159&amp;"""},{""id"":130,""name"":""Impact"",""value"":"""&amp;AK159&amp;"""},{""id"":150,""name"":""Time of Event (Mountain Time)"",""value"":"""&amp;TEXT(I159,"hh:mm:ss")&amp;"""},{""id"":151,""name"":""Denver Issue ID"",""value"":"""&amp;"""},{""id"":178,""name"":""Operational Impact"",""value"":"""&amp;redmine_op_impact&amp;"""},{""id"":179,""name"":""Denver Segment Assigned"",""value"":"""&amp;AL159&amp;"""}]}}"&amp;"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{"issue":{"subject":"","project_id":79,"tracker_id":40,"status_id":1,"priority_id":2,"assigned_to_id":338,"start_date":"2018-01-07","description":"","custom_fields":[{"id":1,"name":"Subdivision","value":"EC"},{"id":4,"name":"Milepost","value":"0.0232"},{"id":17,"name":"Train ID","value":"244-06"},{"id":16,"name":"Locomotive ID","value":"4057"},{"id":130,"name":"Impact","value":""},{"id":150,"name":"Time of Event (Mountain Time)","value":"02:10:23"},{"id":151,"name":"Denver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9" s="231"/>
      <c r="AL159" s="231"/>
      <c r="AM159" s="240" t="str">
        <f t="shared" ref="AM159" si="48">"start /low /b "&amp;dls3logs&amp;" --loco "&amp;B159&amp;" --day "&amp;TEXT(F159,"YYYY-MM-DD")</f>
        <v>start /low /b %USERPROFILE%\Documents\GitHub\eaglep3\Utilities\DownloadLogsFromS3.py --loco 4057 --day 2018-01-07</v>
      </c>
      <c r="AN159" s="241" t="str">
        <f t="shared" ref="AN159" si="49">"echo {""issue"":{""subject"":"""&amp;R159&amp;""",""project_id"":30,""tracker_id"":4,""status_id"":"&amp;redmine_status_wcr&amp;",""priority_id"":"&amp;redmine_priority_wcr&amp;",""assigned_to_id"":"&amp;redmine_assignee_wcr&amp;",""start_date"":"""&amp;TEXT(I159-utc_offset/24,"YYYY-mm-dd")&amp;""",""description"":"""&amp;AJ159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09:10:23"},{"id":29,"name":"Sharepoint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 s="230" t="str">
        <f t="shared" ref="AO159" si="50">"https://d0f6bd738d7f1b3e5a7ca70fe4ff75f0.us-east-1.aws.found.io/app/kibana#/discover/Steve-Slow-Train-Analysis-(2080s-and-2083s)?_g="&amp;"(refreshInterval:(display:Off,pause:!f,section:0,value:0),time:(from:'"&amp;TEXT(E159-1/24,"yyyy-MM-DDThh:mm:ss")&amp;utc_offset&amp;"00"&amp;"',mode:absolute,to:'"&amp;TEXT(I159+1/24,"yyyy-MM-DDThh:mm:ss")&amp;utc_offset&amp;"00"&amp;"'))&amp;_a=(columns:!('Message%20ID',Summary),filters:!(),index:'emp_*',interval:auto,query:"&amp;"(query_string:(analyze_wildcard:!t,query:'%22rtdc.l.rtdc."&amp;B159&amp;"%22')),sort:!(Time.ISO8601,asc))"</f>
        <v>https://d0f6bd738d7f1b3e5a7ca70fe4ff75f0.us-east-1.aws.found.io/app/kibana#/discover/Steve-Slow-Train-Analysis-(2080s-and-2083s)?_g=(refreshInterval:(display:Off,pause:!f,section:0,value:0),time:(from:'2018-01-06T23:39:22-0700',mode:absolute,to:'2018-01-07T03:10:23-0700'))&amp;_a=(columns:!('Message%20ID',Summary),filters:!(),index:'emp_*',interval:auto,query:(query_string:(analyze_wildcard:!t,query:'%22rtdc.l.rtdc.4057%22')),sort:!(Time.ISO8601,asc))</v>
      </c>
    </row>
    <row r="160" spans="1:91" s="223" customFormat="1" x14ac:dyDescent="0.3">
      <c r="A160" s="229" t="s">
        <v>884</v>
      </c>
      <c r="B160" s="225">
        <v>4044</v>
      </c>
      <c r="C160" s="227" t="s">
        <v>192</v>
      </c>
      <c r="D160" s="227" t="s">
        <v>1018</v>
      </c>
      <c r="E160" s="226">
        <v>43107.027337962965</v>
      </c>
      <c r="F160" s="226">
        <v>43107.041932870372</v>
      </c>
      <c r="G160" s="225">
        <v>50</v>
      </c>
      <c r="H160" s="227" t="s">
        <v>643</v>
      </c>
      <c r="I160" s="226">
        <v>43107.067337962966</v>
      </c>
      <c r="J160" s="225">
        <v>0</v>
      </c>
      <c r="K160" s="237" t="str">
        <f>IF(ISEVEN(B160),(B160-1)&amp;"/"&amp;B160,B160&amp;"/"&amp;(B160+1))</f>
        <v>4043/4044</v>
      </c>
      <c r="L160" s="245" t="str">
        <f>VLOOKUP(A160,'Trips&amp;Operators'!$C$1:$G$99911,5,FALSE)</f>
        <v>ANDERS STEVEN</v>
      </c>
      <c r="M160" s="224">
        <f>I160-F160</f>
        <v>2.5405092594155576E-2</v>
      </c>
      <c r="N160" s="225">
        <f>24*60*SUM($M160:$M160)</f>
        <v>36.58333333558403</v>
      </c>
      <c r="O160" s="225"/>
      <c r="P160" s="225"/>
      <c r="Q160" s="228"/>
      <c r="R160" s="242"/>
      <c r="S160" s="249">
        <f>1/IF(AG160="EC",12,1)*SUM(U160:U160)</f>
        <v>1</v>
      </c>
      <c r="T160" s="242" t="str">
        <f>IF(ISEVEN(LEFT(AD160,4)),"Southbound","NorthBound")</f>
        <v>NorthBound</v>
      </c>
      <c r="U160" s="246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12</v>
      </c>
      <c r="V160" s="248" t="str">
        <f>"https://d0f6bd738d7f1b3e5a7ca70fe4ff75f0.us-east-1.aws.found.io/app/kibana#/discover/Steve-Slow-Train-Analysis-(2080s-and-2083s)?_g="&amp;"(refreshInterval:(display:Off,pause:!f,section:0,value:0),time:(from:'"&amp;TEXT(E160-1/24,"yyyy-MM-DDThh:mm:ss")&amp;utc_offset&amp;"00"&amp;"',mode:absolute,to:'"&amp;TEXT(I160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160&amp;"%22')),sort:!(Time.ISO8601,asc))"</f>
        <v>https://d0f6bd738d7f1b3e5a7ca70fe4ff75f0.us-east-1.aws.found.io/app/kibana#/discover/Steve-Slow-Train-Analysis-(2080s-and-2083s)?_g=(refreshInterval:(display:Off,pause:!f,section:0,value:0),time:(from:'2018-01-06T23:39:22-0700',mode:absolute,to:'2018-01-07T02:36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60" s="247" t="str">
        <f>IF(AA160&lt;VLOOKUP(AG160,Variables!$AC$3:$AD$8,2,FALSE),"Y","N")</f>
        <v>N</v>
      </c>
      <c r="X160" s="247">
        <f t="shared" ref="X160:X163" si="51">VALUE(LEFT(AD160,4))-VALUE(LEFT(AD159,4))</f>
        <v>1</v>
      </c>
      <c r="Y160" s="247">
        <v>7.3400000000000007E-2</v>
      </c>
      <c r="Z160" s="247">
        <v>23.328800000000001</v>
      </c>
      <c r="AA160" s="247">
        <f>ABS(Z160-Y160)</f>
        <v>23.255400000000002</v>
      </c>
      <c r="AB160" s="233" t="e">
        <f>VLOOKUP(A160,Enforcements!$C$7:$K$9,8,0)</f>
        <v>#N/A</v>
      </c>
      <c r="AC160" s="232" t="e">
        <f>VLOOKUP(A160,Enforcements!$C$7:$E$9,3,0)</f>
        <v>#N/A</v>
      </c>
      <c r="AD160" s="243">
        <f>VALUE(LEFT(A160,LEN(A160)-3))</f>
        <v>245</v>
      </c>
      <c r="AE160" s="235" t="str">
        <f>"aws s3 cp "&amp;s3_bucket&amp;"/RTDC"&amp;B160&amp;"/ "&amp;search_path&amp;"\RTDC"&amp;B160&amp;"\"&amp;TEXT(F160,"YYYY-MM-DD")&amp;" --exclude ""*"" --recursive --include ""*"&amp;TEXT(F160,"YYYYMMDD")&amp;"*"" &amp; """&amp;walkandungz&amp;""" "&amp;search_path&amp;"\RTDC"&amp;B160&amp;"\"&amp;TEXT(F160,"YYYY-MM-DD")
&amp;" &amp; "&amp;"aws s3 cp "&amp;s3_bucket&amp;"/RTDC"&amp;B160&amp;"/ "&amp;search_path&amp;"\RTDC"&amp;B160&amp;"\"&amp;TEXT(F160+1,"YYYY-MM-DD")&amp;" --exclude ""*"" --recursive --include ""*"&amp;TEXT(F160+1,"YYYYMMDD")&amp;"*"" &amp; """&amp;walkandungz&amp;""" "&amp;search_path&amp;"\RTDC"&amp;B160&amp;"\"&amp;TEXT(F160+1,"YYYY-MM-DD")</f>
        <v>aws s3 cp s3://rtdc.mdm.uploadarchive.raw/RTDC4044/ "%USERPROFILE%\AppData\Local\Temp\OnboardLogs"\RTDC4044\2018-01-07 --exclude "*" --recursive --include "*20180107*" &amp; "%USERPROFILE%\Documents\GitHub\mrs-test-scripts\Headless Mode &amp; Sideloading\WalkAndUnGZ.bat" "%USERPROFILE%\AppData\Local\Temp\OnboardLogs"\RTDC4044\2018-01-07 &amp; aws s3 cp s3://rtdc.mdm.uploadarchive.raw/RTDC4044/ "%USERPROFILE%\AppData\Local\Temp\OnboardLogs"\RTDC4044\2018-01-08 --exclude "*" --recursive --include "*20180108*" &amp; "%USERPROFILE%\Documents\GitHub\mrs-test-scripts\Headless Mode &amp; Sideloading\WalkAndUnGZ.bat" "%USERPROFILE%\AppData\Local\Temp\OnboardLogs"\RTDC4044\2018-01-08</v>
      </c>
      <c r="AF160" s="234" t="str">
        <f>astrogrep_path&amp;" /e /r /s /spath="&amp;search_path&amp;" /stypes=""app*"&amp;B160&amp;"*"&amp;TEXT(I160-utc_offset/24,"YYYYMMDD")&amp;"*"" /stext="" "&amp;TEXT(I160-utc_offset/24,"HH")&amp;search_regexp&amp;""""</f>
        <v>"C:\Program Files (x86)\AstroGrep\AstroGrep.exe" /e /r /s /spath="%USERPROFILE%\AppData\Local\Temp\OnboardLogs" /stypes="app*4044*20180107*" /stext=" 08:.+((SYSTEM_STATE.+slice.+state.+changed )|(ment ac)|(multiple cpu faults)|(system.+state.+changed )|(\[timeout)|(PRM\|1\|D)|(kpr)|(kdp)|(train st.+moving)|(\|lc)|(penalty))"</v>
      </c>
      <c r="AG160" s="244" t="str">
        <f>DetSubdiv(A160)</f>
        <v>EC</v>
      </c>
      <c r="AH160" s="236" t="str">
        <f t="shared" ref="AH160" si="52">refinertdcruntimes&amp;" --tripid "&amp;A160&amp;" --locoid "&amp;B160&amp;" --swversion "&amp;C160&amp;" --startMP "&amp;D160&amp;" --initTime "&amp;TEXT(E160,"yyyy-mm-ddTHH:MM:SS")&amp;" --startdatetime "&amp;TEXT(F160,"yyyy-mm-ddTHH:MM:SS")&amp;" --delay "&amp;G160&amp;" --endMP "&amp;H160&amp;" --enddatetime "&amp;TEXT(I160,"yyyy-mm-ddTHH:MM:SS")&amp;" --enforcementcount "&amp;J160&amp;IF(outputrefinedruntimes," &gt;&gt;"&amp;RefinedRTDCRunTimesOutputFile,"")</f>
        <v>"%USERPROFILE%\Documents\GitHub\eaglep3\Utilities\RefineRTDCRunTimes.py" --tripid 245-06 --locoid 4044 --swversion DE.1.0.9.0 --startMP 204:233030 --initTime 2018-01-07T00:39:22 --startdatetime 2018-01-07T01:00:23 --delay 50 --endMP 204:267 --enddatetime 2018-01-07T01:36:58 --enforcementcount 0 &gt;&gt;%USERPROFILE%\Documents\GitHub\eaglep3-reporting\EC\2018-01-06-refined-times.txt</v>
      </c>
      <c r="AI160" s="238" t="str">
        <f t="shared" ref="AI160" si="53">"echo {""issue"":{""subject"":"""&amp;R160&amp;""",""project_id"":79,""tracker_id"":40,""status_id"":"&amp;redmine_status&amp;",""priority_id"":"&amp;redmine_priority&amp;",""assigned_to_id"":"&amp;redmine_assignee&amp;",""start_date"":"""&amp;TEXT(I160,"YYYY-mm-dd")&amp;""",""description"":"""&amp;AJ160&amp;""",""custom_fields"":[{""id"":1,""name"":""Subdivision"",""value"":"""&amp;AG160&amp;"""},{""id"":4,""name"":""Milepost"",""value"":"""&amp;Z160&amp;"""},{""id"":17,""name"":""Train ID"",""value"":"""&amp;A160&amp;"""},{""id"":16,""name"":""Locomotive ID"",""value"":"""&amp;B160&amp;"""},{""id"":130,""name"":""Impact"",""value"":"""&amp;AK160&amp;"""},{""id"":150,""name"":""Time of Event (Mountain Time)"",""value"":"""&amp;TEXT(I160,"hh:mm:ss")&amp;"""},{""id"":151,""name"":""Denver Issue ID"",""value"":"""&amp;"""},{""id"":178,""name"":""Operational Impact"",""value"":"""&amp;redmine_op_impact&amp;"""},{""id"":179,""name"":""Denver Segment Assigned"",""value"":"""&amp;AL160&amp;"""}]}}"&amp;"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{"issue":{"subject":"","project_id":79,"tracker_id":40,"status_id":1,"priority_id":2,"assigned_to_id":338,"start_date":"2018-01-07","description":"","custom_fields":[{"id":1,"name":"Subdivision","value":"EC"},{"id":4,"name":"Milepost","value":"23.3288"},{"id":17,"name":"Train ID","value":"245-06"},{"id":16,"name":"Locomotive ID","value":"4044"},{"id":130,"name":"Impact","value":""},{"id":150,"name":"Time of Event (Mountain Time)","value":"01:36:58"},{"id":151,"name":"Denver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0" s="231"/>
      <c r="AL160" s="231"/>
      <c r="AM160" s="240" t="str">
        <f t="shared" ref="AM160" si="54">"start /low /b "&amp;dls3logs&amp;" --loco "&amp;B160&amp;" --day "&amp;TEXT(F160,"YYYY-MM-DD")</f>
        <v>start /low /b %USERPROFILE%\Documents\GitHub\eaglep3\Utilities\DownloadLogsFromS3.py --loco 4044 --day 2018-01-07</v>
      </c>
      <c r="AN160" s="241" t="str">
        <f t="shared" ref="AN160" si="55">"echo {""issue"":{""subject"":"""&amp;R160&amp;""",""project_id"":30,""tracker_id"":4,""status_id"":"&amp;redmine_status_wcr&amp;",""priority_id"":"&amp;redmine_priority_wcr&amp;",""assigned_to_id"":"&amp;redmine_assignee_wcr&amp;",""start_date"":"""&amp;TEXT(I160-utc_offset/24,"YYYY-mm-dd")&amp;""",""description"":"""&amp;AJ160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ID"",""value"":"""&amp;B160&amp;"""},{""id"":20,""name"":""RR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UTC"",""value"":"""&amp;TEXT(I160-utc_offset/24,"YYYY-MM-DD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08:36:58"},{"id":29,"name":"Sharepoint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 s="230" t="str">
        <f t="shared" ref="AO160" si="56">"https://d0f6bd738d7f1b3e5a7ca70fe4ff75f0.us-east-1.aws.found.io/app/kibana#/discover/Steve-Slow-Train-Analysis-(2080s-and-2083s)?_g="&amp;"(refreshInterval:(display:Off,pause:!f,section:0,value:0),time:(from:'"&amp;TEXT(E160-1/24,"yyyy-MM-DDThh:mm:ss")&amp;utc_offset&amp;"00"&amp;"',mode:absolute,to:'"&amp;TEXT(I160+1/24,"yyyy-MM-DDThh:mm:ss")&amp;utc_offset&amp;"00"&amp;"'))&amp;_a=(columns:!('Message%20ID',Summary),filters:!(),index:'emp_*',interval:auto,query:"&amp;"(query_string:(analyze_wildcard:!t,query:'%22rtdc.l.rtdc."&amp;B160&amp;"%22')),sort:!(Time.ISO8601,asc))"</f>
        <v>https://d0f6bd738d7f1b3e5a7ca70fe4ff75f0.us-east-1.aws.found.io/app/kibana#/discover/Steve-Slow-Train-Analysis-(2080s-and-2083s)?_g=(refreshInterval:(display:Off,pause:!f,section:0,value:0),time:(from:'2018-01-06T23:39:22-0700',mode:absolute,to:'2018-01-07T02:36:58-0700'))&amp;_a=(columns:!('Message%20ID',Summary),filters:!(),index:'emp_*',interval:auto,query:(query_string:(analyze_wildcard:!t,query:'%22rtdc.l.rtdc.4044%22')),sort:!(Time.ISO8601,asc))</v>
      </c>
    </row>
    <row r="161" spans="1:91" s="223" customFormat="1" x14ac:dyDescent="0.3">
      <c r="A161" s="229" t="s">
        <v>888</v>
      </c>
      <c r="B161" s="225">
        <v>4043</v>
      </c>
      <c r="C161" s="227" t="s">
        <v>192</v>
      </c>
      <c r="D161" s="227" t="s">
        <v>989</v>
      </c>
      <c r="E161" s="226">
        <v>43107.079189814816</v>
      </c>
      <c r="F161" s="226">
        <v>43107.081435185188</v>
      </c>
      <c r="G161" s="225">
        <v>52</v>
      </c>
      <c r="H161" s="227" t="s">
        <v>571</v>
      </c>
      <c r="I161" s="226">
        <v>43107.111250000002</v>
      </c>
      <c r="J161" s="225">
        <v>0</v>
      </c>
      <c r="K161" s="237" t="str">
        <f>IF(ISEVEN(B161),(B161-1)&amp;"/"&amp;B161,B161&amp;"/"&amp;(B161+1))</f>
        <v>4043/4044</v>
      </c>
      <c r="L161" s="245" t="str">
        <f>VLOOKUP(A161,'Trips&amp;Operators'!$C$1:$G$99911,5,FALSE)</f>
        <v>ANDERS STEVEN</v>
      </c>
      <c r="M161" s="224">
        <f>I161-F161</f>
        <v>2.9814814814017154E-2</v>
      </c>
      <c r="N161" s="225">
        <f>24*60*SUM($M161:$M161)</f>
        <v>42.933333332184702</v>
      </c>
      <c r="O161" s="225"/>
      <c r="P161" s="225"/>
      <c r="Q161" s="228"/>
      <c r="R161" s="242"/>
      <c r="S161" s="249">
        <f>1/IF(AG161="EC",12,1)*SUM(U161:U161)</f>
        <v>1</v>
      </c>
      <c r="T161" s="242" t="str">
        <f>IF(ISEVEN(LEFT(AD161,4)),"Southbound","NorthBound")</f>
        <v>Southbound</v>
      </c>
      <c r="U161" s="246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12</v>
      </c>
      <c r="V161" s="248" t="str">
        <f>"https://d0f6bd738d7f1b3e5a7ca70fe4ff75f0.us-east-1.aws.found.io/app/kibana#/discover/Steve-Slow-Train-Analysis-(2080s-and-2083s)?_g="&amp;"(refreshInterval:(display:Off,pause:!f,section:0,value:0),time:(from:'"&amp;TEXT(E161-1/24,"yyyy-MM-DDThh:mm:ss")&amp;utc_offset&amp;"00"&amp;"',mode:absolute,to:'"&amp;TEXT(I161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161&amp;"%22')),sort:!(Time.ISO8601,asc))"</f>
        <v>https://d0f6bd738d7f1b3e5a7ca70fe4ff75f0.us-east-1.aws.found.io/app/kibana#/discover/Steve-Slow-Train-Analysis-(2080s-and-2083s)?_g=(refreshInterval:(display:Off,pause:!f,section:0,value:0),time:(from:'2018-01-07T00:54:02-0700',mode:absolute,to:'2018-01-07T03:40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61" s="247" t="str">
        <f>IF(AA161&lt;VLOOKUP(AG161,Variables!$AC$3:$AD$8,2,FALSE),"Y","N")</f>
        <v>N</v>
      </c>
      <c r="X161" s="247">
        <f t="shared" si="51"/>
        <v>1</v>
      </c>
      <c r="Y161" s="247">
        <f>RIGHT(D161,LEN(D161)-4)/10000</f>
        <v>23.296099999999999</v>
      </c>
      <c r="Z161" s="247">
        <f>RIGHT(H161,LEN(H161)-4)/10000</f>
        <v>2.5399999999999999E-2</v>
      </c>
      <c r="AA161" s="247">
        <f>ABS(Z161-Y161)</f>
        <v>23.270699999999998</v>
      </c>
      <c r="AB161" s="233" t="e">
        <f>VLOOKUP(A161,Enforcements!$C$7:$K$9,8,0)</f>
        <v>#N/A</v>
      </c>
      <c r="AC161" s="232" t="e">
        <f>VLOOKUP(A161,Enforcements!$C$7:$E$9,3,0)</f>
        <v>#N/A</v>
      </c>
      <c r="AD161" s="243">
        <f>VALUE(LEFT(A161,LEN(A161)-3))</f>
        <v>246</v>
      </c>
      <c r="AE161" s="235" t="str">
        <f>"aws s3 cp "&amp;s3_bucket&amp;"/RTDC"&amp;B161&amp;"/ "&amp;search_path&amp;"\RTDC"&amp;B161&amp;"\"&amp;TEXT(F161,"YYYY-MM-DD")&amp;" --exclude ""*"" --recursive --include ""*"&amp;TEXT(F161,"YYYYMMDD")&amp;"*"" &amp; """&amp;walkandungz&amp;""" "&amp;search_path&amp;"\RTDC"&amp;B161&amp;"\"&amp;TEXT(F161,"YYYY-MM-DD")
&amp;" &amp; "&amp;"aws s3 cp "&amp;s3_bucket&amp;"/RTDC"&amp;B161&amp;"/ "&amp;search_path&amp;"\RTDC"&amp;B161&amp;"\"&amp;TEXT(F161+1,"YYYY-MM-DD")&amp;" --exclude ""*"" --recursive --include ""*"&amp;TEXT(F161+1,"YYYYMMDD")&amp;"*"" &amp; """&amp;walkandungz&amp;""" "&amp;search_path&amp;"\RTDC"&amp;B161&amp;"\"&amp;TEXT(F161+1,"YYYY-MM-DD")</f>
        <v>aws s3 cp s3://rtdc.mdm.uploadarchive.raw/RTDC4043/ "%USERPROFILE%\AppData\Local\Temp\OnboardLogs"\RTDC4043\2018-01-07 --exclude "*" --recursive --include "*20180107*" &amp; "%USERPROFILE%\Documents\GitHub\mrs-test-scripts\Headless Mode &amp; Sideloading\WalkAndUnGZ.bat" "%USERPROFILE%\AppData\Local\Temp\OnboardLogs"\RTDC4043\2018-01-07 &amp; aws s3 cp s3://rtdc.mdm.uploadarchive.raw/RTDC4043/ "%USERPROFILE%\AppData\Local\Temp\OnboardLogs"\RTDC4043\2018-01-08 --exclude "*" --recursive --include "*20180108*" &amp; "%USERPROFILE%\Documents\GitHub\mrs-test-scripts\Headless Mode &amp; Sideloading\WalkAndUnGZ.bat" "%USERPROFILE%\AppData\Local\Temp\OnboardLogs"\RTDC4043\2018-01-08</v>
      </c>
      <c r="AF161" s="234" t="str">
        <f>astrogrep_path&amp;" /e /r /s /spath="&amp;search_path&amp;" /stypes=""app*"&amp;B161&amp;"*"&amp;TEXT(I161-utc_offset/24,"YYYYMMDD")&amp;"*"" /stext="" "&amp;TEXT(I161-utc_offset/24,"HH")&amp;search_regexp&amp;""""</f>
        <v>"C:\Program Files (x86)\AstroGrep\AstroGrep.exe" /e /r /s /spath="%USERPROFILE%\AppData\Local\Temp\OnboardLogs" /stypes="app*4043*20180107*" /stext=" 09:.+((SYSTEM_STATE.+slice.+state.+changed )|(ment ac)|(multiple cpu faults)|(system.+state.+changed )|(\[timeout)|(PRM\|1\|D)|(kpr)|(kdp)|(train st.+moving)|(\|lc)|(penalty))"</v>
      </c>
      <c r="AG161" s="244" t="str">
        <f>DetSubdiv(A161)</f>
        <v>EC</v>
      </c>
      <c r="AH161" s="236" t="str">
        <f t="shared" si="36"/>
        <v>"%USERPROFILE%\Documents\GitHub\eaglep3\Utilities\RefineRTDCRunTimes.py" --tripid 246-06 --locoid 4043 --swversion DE.1.0.9.0 --startMP 204:232961 --initTime 2018-01-07T01:54:02 --startdatetime 2018-01-07T01:57:16 --delay 52 --endMP 204:254 --enddatetime 2018-01-07T02:40:12 --enforcementcount 0 &gt;&gt;%USERPROFILE%\Documents\GitHub\eaglep3-reporting\EC\2018-01-06-refined-times.txt</v>
      </c>
      <c r="AI161" s="238" t="str">
        <f t="shared" si="37"/>
        <v>echo {"issue":{"subject":"","project_id":79,"tracker_id":40,"status_id":1,"priority_id":2,"assigned_to_id":338,"start_date":"2018-01-07","description":"","custom_fields":[{"id":1,"name":"Subdivision","value":"EC"},{"id":4,"name":"Milepost","value":"0.0254"},{"id":17,"name":"Train ID","value":"246-06"},{"id":16,"name":"Locomotive ID","value":"4043"},{"id":130,"name":"Impact","value":""},{"id":150,"name":"Time of Event (Mountain Time)","value":"02:40:12"},{"id":151,"name":"Denver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1" s="231"/>
      <c r="AL161" s="231"/>
      <c r="AM161" s="240" t="str">
        <f t="shared" si="38"/>
        <v>start /low /b %USERPROFILE%\Documents\GitHub\eaglep3\Utilities\DownloadLogsFromS3.py --loco 4043 --day 2018-01-07</v>
      </c>
      <c r="AN161" s="241" t="str">
        <f t="shared" si="39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09:40:12"},{"id":29,"name":"Sharepoint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 s="230" t="str">
        <f t="shared" si="40"/>
        <v>https://d0f6bd738d7f1b3e5a7ca70fe4ff75f0.us-east-1.aws.found.io/app/kibana#/discover/Steve-Slow-Train-Analysis-(2080s-and-2083s)?_g=(refreshInterval:(display:Off,pause:!f,section:0,value:0),time:(from:'2018-01-07T00:54:02-0700',mode:absolute,to:'2018-01-07T03:40:12-0700'))&amp;_a=(columns:!('Message%20ID',Summary),filters:!(),index:'emp_*',interval:auto,query:(query_string:(analyze_wildcard:!t,query:'%22rtdc.l.rtdc.4043%22')),sort:!(Time.ISO8601,asc))</v>
      </c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23" customFormat="1" x14ac:dyDescent="0.3">
      <c r="A162" s="229" t="s">
        <v>726</v>
      </c>
      <c r="B162" s="225">
        <v>4055</v>
      </c>
      <c r="C162" s="227" t="s">
        <v>192</v>
      </c>
      <c r="D162" s="227" t="s">
        <v>945</v>
      </c>
      <c r="E162" s="226">
        <v>43106.235300925924</v>
      </c>
      <c r="F162" s="226">
        <v>43106.236990740741</v>
      </c>
      <c r="G162" s="225">
        <v>71</v>
      </c>
      <c r="H162" s="227" t="s">
        <v>946</v>
      </c>
      <c r="I162" s="226">
        <v>43106.246666666666</v>
      </c>
      <c r="J162" s="225">
        <v>0</v>
      </c>
      <c r="K162" s="237" t="str">
        <f>IF(ISEVEN(B162),(B162-1)&amp;"/"&amp;B162,B162&amp;"/"&amp;(B162+1))</f>
        <v>4055/4056</v>
      </c>
      <c r="L162" s="245" t="str">
        <f>VLOOKUP(A162,'Trips&amp;Operators'!$C$1:$G$99911,5,FALSE)</f>
        <v>LAMAR NEKESHA</v>
      </c>
      <c r="M162" s="224">
        <f>I162-F162</f>
        <v>9.6759259249665774E-3</v>
      </c>
      <c r="N162" s="225">
        <f>24*60*SUM($M162:$M162)</f>
        <v>13.933333331951872</v>
      </c>
      <c r="O162" s="225"/>
      <c r="P162" s="225"/>
      <c r="Q162" s="228"/>
      <c r="R162" s="242"/>
      <c r="S162" s="249">
        <f>1/IF(AG162="EC",12,1)*SUM(U162:U162)</f>
        <v>1</v>
      </c>
      <c r="T162" s="242" t="str">
        <f>IF(ISEVEN(LEFT(AD162,4)),"Southbound","NorthBound")</f>
        <v>Southbound</v>
      </c>
      <c r="U162" s="246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248" t="str">
        <f>"https://d0f6bd738d7f1b3e5a7ca70fe4ff75f0.us-east-1.aws.found.io/app/kibana#/discover/Steve-Slow-Train-Analysis-(2080s-and-2083s)?_g="&amp;"(refreshInterval:(display:Off,pause:!f,section:0,value:0),time:(from:'"&amp;TEXT(E162-1/24,"yyyy-MM-DDThh:mm:ss")&amp;utc_offset&amp;"00"&amp;"',mode:absolute,to:'"&amp;TEXT(I162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162&amp;"%22')),sort:!(Time.ISO8601,asc))"</f>
        <v>https://d0f6bd738d7f1b3e5a7ca70fe4ff75f0.us-east-1.aws.found.io/app/kibana#/discover/Steve-Slow-Train-Analysis-(2080s-and-2083s)?_g=(refreshInterval:(display:Off,pause:!f,section:0,value:0),time:(from:'2018-01-06T04:38:50-0700',mode:absolute,to:'2018-01-06T06:55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62" s="247" t="str">
        <f>IF(AA162&lt;VLOOKUP(AG162,Variables!$AC$3:$AD$8,2,FALSE),"Y","N")</f>
        <v>N</v>
      </c>
      <c r="X162" s="247">
        <f t="shared" si="51"/>
        <v>1554</v>
      </c>
      <c r="Y162" s="247">
        <f>RIGHT(D162,LEN(D162)-4)/10000</f>
        <v>5.8643000000000001</v>
      </c>
      <c r="Z162" s="247">
        <f>RIGHT(H162,LEN(H162)-4)/10000</f>
        <v>1.7500000000000002E-2</v>
      </c>
      <c r="AA162" s="247">
        <f>ABS(Z162-Y162)</f>
        <v>5.8468</v>
      </c>
      <c r="AB162" s="233" t="e">
        <f>VLOOKUP(A162,Enforcements!$C$7:$K$9,8,0)</f>
        <v>#N/A</v>
      </c>
      <c r="AC162" s="232" t="e">
        <f>VLOOKUP(A162,Enforcements!$C$7:$E$9,3,0)</f>
        <v>#N/A</v>
      </c>
      <c r="AD162" s="243">
        <f>VALUE(LEFT(A162,LEN(A162)-3))</f>
        <v>1800</v>
      </c>
      <c r="AE162" s="235" t="str">
        <f>"aws s3 cp "&amp;s3_bucket&amp;"/RTDC"&amp;B162&amp;"/ "&amp;search_path&amp;"\RTDC"&amp;B162&amp;"\"&amp;TEXT(F162,"YYYY-MM-DD")&amp;" --exclude ""*"" --recursive --include ""*"&amp;TEXT(F162,"YYYYMMDD")&amp;"*"" &amp; """&amp;walkandungz&amp;""" "&amp;search_path&amp;"\RTDC"&amp;B162&amp;"\"&amp;TEXT(F162,"YYYY-MM-DD")
&amp;" &amp; "&amp;"aws s3 cp "&amp;s3_bucket&amp;"/RTDC"&amp;B162&amp;"/ "&amp;search_path&amp;"\RTDC"&amp;B162&amp;"\"&amp;TEXT(F162+1,"YYYY-MM-DD")&amp;" --exclude ""*"" --recursive --include ""*"&amp;TEXT(F162+1,"YYYYMMDD")&amp;"*"" &amp; """&amp;walkandungz&amp;""" "&amp;search_path&amp;"\RTDC"&amp;B162&amp;"\"&amp;TEXT(F162+1,"YYYY-MM-DD")</f>
        <v>aws s3 cp s3://rtdc.mdm.uploadarchive.raw/RTDC4055/ "%USERPROFILE%\AppData\Local\Temp\OnboardLogs"\RTDC4055\2018-01-06 --exclude "*" --recursive --include "*20180106*" &amp; "%USERPROFILE%\Documents\GitHub\mrs-test-scripts\Headless Mode &amp; Sideloading\WalkAndUnGZ.bat" "%USERPROFILE%\AppData\Local\Temp\OnboardLogs"\RTDC4055\2018-01-06 &amp; aws s3 cp s3://rtdc.mdm.uploadarchive.raw/RTDC4055/ "%USERPROFILE%\AppData\Local\Temp\OnboardLogs"\RTDC4055\2018-01-07 --exclude "*" --recursive --include "*20180107*" &amp; "%USERPROFILE%\Documents\GitHub\mrs-test-scripts\Headless Mode &amp; Sideloading\WalkAndUnGZ.bat" "%USERPROFILE%\AppData\Local\Temp\OnboardLogs"\RTDC4055\2018-01-07</v>
      </c>
      <c r="AF162" s="234" t="str">
        <f>astrogrep_path&amp;" /e /r /s /spath="&amp;search_path&amp;" /stypes=""app*"&amp;B162&amp;"*"&amp;TEXT(I162-utc_offset/24,"YYYYMMDD")&amp;"*"" /stext="" "&amp;TEXT(I162-utc_offset/24,"HH")&amp;search_regexp&amp;""""</f>
        <v>"C:\Program Files (x86)\AstroGrep\AstroGrep.exe" /e /r /s /spath="%USERPROFILE%\AppData\Local\Temp\OnboardLogs" /stypes="app*4055*20180106*" /stext=" 12:.+((SYSTEM_STATE.+slice.+state.+changed )|(ment ac)|(multiple cpu faults)|(system.+state.+changed )|(\[timeout)|(PRM\|1\|D)|(kpr)|(kdp)|(train st.+moving)|(\|lc)|(penalty))"</v>
      </c>
      <c r="AG162" s="244" t="str">
        <f>DetSubdiv(A162)</f>
        <v>NW</v>
      </c>
      <c r="AH162" s="236" t="str">
        <f t="shared" si="36"/>
        <v>"%USERPROFILE%\Documents\GitHub\eaglep3\Utilities\RefineRTDCRunTimes.py" --tripid 1800-06 --locoid 4055 --swversion DE.1.0.9.0 --startMP 300:58643 --initTime 2018-01-06T05:38:50 --startdatetime 2018-01-06T05:41:16 --delay 71 --endMP 204:175 --enddatetime 2018-01-06T05:55:12 --enforcementcount 0 &gt;&gt;%USERPROFILE%\Documents\GitHub\eaglep3-reporting\EC\2018-01-06-refined-times.txt</v>
      </c>
      <c r="AI162" s="238" t="str">
        <f t="shared" si="37"/>
        <v>echo {"issue":{"subject":"","project_id":79,"tracker_id":40,"status_id":1,"priority_id":2,"assigned_to_id":338,"start_date":"2018-01-06","description":"","custom_fields":[{"id":1,"name":"Subdivision","value":"NW"},{"id":4,"name":"Milepost","value":"0.0175"},{"id":17,"name":"Train ID","value":"1800-06"},{"id":16,"name":"Locomotive ID","value":"4055"},{"id":130,"name":"Impact","value":""},{"id":150,"name":"Time of Event (Mountain Time)","value":"05:55:12"},{"id":151,"name":"Denver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2" s="231"/>
      <c r="AL162" s="231"/>
      <c r="AM162" s="240" t="str">
        <f t="shared" si="38"/>
        <v>start /low /b %USERPROFILE%\Documents\GitHub\eaglep3\Utilities\DownloadLogsFromS3.py --loco 4055 --day 2018-01-06</v>
      </c>
      <c r="AN162" s="241" t="str">
        <f t="shared" si="39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12:55:12"},{"id":29,"name":"Sharepoint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 s="230" t="str">
        <f t="shared" si="40"/>
        <v>https://d0f6bd738d7f1b3e5a7ca70fe4ff75f0.us-east-1.aws.found.io/app/kibana#/discover/Steve-Slow-Train-Analysis-(2080s-and-2083s)?_g=(refreshInterval:(display:Off,pause:!f,section:0,value:0),time:(from:'2018-01-06T04:38:50-0700',mode:absolute,to:'2018-01-06T06:55:12-0700'))&amp;_a=(columns:!('Message%20ID',Summary),filters:!(),index:'emp_*',interval:auto,query:(query_string:(analyze_wildcard:!t,query:'%22rtdc.l.rtdc.4055%22')),sort:!(Time.ISO8601,asc))</v>
      </c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23" customFormat="1" x14ac:dyDescent="0.3">
      <c r="A163" s="229" t="s">
        <v>727</v>
      </c>
      <c r="B163" s="225">
        <v>4056</v>
      </c>
      <c r="C163" s="227" t="s">
        <v>192</v>
      </c>
      <c r="D163" s="227" t="s">
        <v>499</v>
      </c>
      <c r="E163" s="226">
        <v>43106.248287037037</v>
      </c>
      <c r="F163" s="226">
        <v>43106.256493055553</v>
      </c>
      <c r="G163" s="225">
        <v>51</v>
      </c>
      <c r="H163" s="227" t="s">
        <v>947</v>
      </c>
      <c r="I163" s="226">
        <v>43106.266192129631</v>
      </c>
      <c r="J163" s="225">
        <v>0</v>
      </c>
      <c r="K163" s="237" t="str">
        <f>IF(ISEVEN(B163),(B163-1)&amp;"/"&amp;B163,B163&amp;"/"&amp;(B163+1))</f>
        <v>4055/4056</v>
      </c>
      <c r="L163" s="245" t="str">
        <f>VLOOKUP(A163,'Trips&amp;Operators'!$C$1:$G$99911,5,FALSE)</f>
        <v>LAMAR NEKESHA</v>
      </c>
      <c r="M163" s="224">
        <f>I163-F163</f>
        <v>9.6990740785258822E-3</v>
      </c>
      <c r="N163" s="225">
        <f>24*60*SUM($M163:$M163)</f>
        <v>13.96666667307727</v>
      </c>
      <c r="O163" s="225"/>
      <c r="P163" s="225"/>
      <c r="Q163" s="228"/>
      <c r="R163" s="242"/>
      <c r="S163" s="249">
        <f>1/IF(AG163="EC",12,1)*SUM(U163:U163)</f>
        <v>1</v>
      </c>
      <c r="T163" s="242" t="str">
        <f>IF(ISEVEN(LEFT(AD163,4)),"Southbound","NorthBound")</f>
        <v>NorthBound</v>
      </c>
      <c r="U163" s="246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248" t="str">
        <f>"https://d0f6bd738d7f1b3e5a7ca70fe4ff75f0.us-east-1.aws.found.io/app/kibana#/discover/Steve-Slow-Train-Analysis-(2080s-and-2083s)?_g="&amp;"(refreshInterval:(display:Off,pause:!f,section:0,value:0),time:(from:'"&amp;TEXT(E163-1/24,"yyyy-MM-DDThh:mm:ss")&amp;utc_offset&amp;"00"&amp;"',mode:absolute,to:'"&amp;TEXT(I163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163&amp;"%22')),sort:!(Time.ISO8601,asc))"</f>
        <v>https://d0f6bd738d7f1b3e5a7ca70fe4ff75f0.us-east-1.aws.found.io/app/kibana#/discover/Steve-Slow-Train-Analysis-(2080s-and-2083s)?_g=(refreshInterval:(display:Off,pause:!f,section:0,value:0),time:(from:'2018-01-06T04:57:32-0700',mode:absolute,to:'2018-01-06T07:23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63" s="247" t="str">
        <f>IF(AA163&lt;VLOOKUP(AG163,Variables!$AC$3:$AD$8,2,FALSE),"Y","N")</f>
        <v>N</v>
      </c>
      <c r="X163" s="247">
        <f t="shared" si="51"/>
        <v>1</v>
      </c>
      <c r="Y163" s="247">
        <f>RIGHT(D163,LEN(D163)-4)/10000</f>
        <v>4.8000000000000001E-2</v>
      </c>
      <c r="Z163" s="247">
        <f>RIGHT(H163,LEN(H163)-4)/10000</f>
        <v>5.8933</v>
      </c>
      <c r="AA163" s="247">
        <f>ABS(Z163-Y163)</f>
        <v>5.8452999999999999</v>
      </c>
      <c r="AB163" s="233" t="e">
        <f>VLOOKUP(A163,Enforcements!$C$7:$K$9,8,0)</f>
        <v>#N/A</v>
      </c>
      <c r="AC163" s="232" t="e">
        <f>VLOOKUP(A163,Enforcements!$C$7:$E$9,3,0)</f>
        <v>#N/A</v>
      </c>
      <c r="AD163" s="243">
        <f>VALUE(LEFT(A163,LEN(A163)-3))</f>
        <v>1801</v>
      </c>
      <c r="AE163" s="235" t="str">
        <f>"aws s3 cp "&amp;s3_bucket&amp;"/RTDC"&amp;B163&amp;"/ "&amp;search_path&amp;"\RTDC"&amp;B163&amp;"\"&amp;TEXT(F163,"YYYY-MM-DD")&amp;" --exclude ""*"" --recursive --include ""*"&amp;TEXT(F163,"YYYYMMDD")&amp;"*"" &amp; """&amp;walkandungz&amp;""" "&amp;search_path&amp;"\RTDC"&amp;B163&amp;"\"&amp;TEXT(F163,"YYYY-MM-DD")
&amp;" &amp; "&amp;"aws s3 cp "&amp;s3_bucket&amp;"/RTDC"&amp;B163&amp;"/ "&amp;search_path&amp;"\RTDC"&amp;B163&amp;"\"&amp;TEXT(F163+1,"YYYY-MM-DD")&amp;" --exclude ""*"" --recursive --include ""*"&amp;TEXT(F163+1,"YYYYMMDD")&amp;"*"" &amp; """&amp;walkandungz&amp;""" "&amp;search_path&amp;"\RTDC"&amp;B163&amp;"\"&amp;TEXT(F163+1,"YYYY-MM-DD")</f>
        <v>aws s3 cp s3://rtdc.mdm.uploadarchive.raw/RTDC4056/ "%USERPROFILE%\AppData\Local\Temp\OnboardLogs"\RTDC4056\2018-01-06 --exclude "*" --recursive --include "*20180106*" &amp; "%USERPROFILE%\Documents\GitHub\mrs-test-scripts\Headless Mode &amp; Sideloading\WalkAndUnGZ.bat" "%USERPROFILE%\AppData\Local\Temp\OnboardLogs"\RTDC4056\2018-01-06 &amp; aws s3 cp s3://rtdc.mdm.uploadarchive.raw/RTDC4056/ "%USERPROFILE%\AppData\Local\Temp\OnboardLogs"\RTDC4056\2018-01-07 --exclude "*" --recursive --include "*20180107*" &amp; "%USERPROFILE%\Documents\GitHub\mrs-test-scripts\Headless Mode &amp; Sideloading\WalkAndUnGZ.bat" "%USERPROFILE%\AppData\Local\Temp\OnboardLogs"\RTDC4056\2018-01-07</v>
      </c>
      <c r="AF163" s="234" t="str">
        <f>astrogrep_path&amp;" /e /r /s /spath="&amp;search_path&amp;" /stypes=""app*"&amp;B163&amp;"*"&amp;TEXT(I163-utc_offset/24,"YYYYMMDD")&amp;"*"" /stext="" "&amp;TEXT(I163-utc_offset/24,"HH")&amp;search_regexp&amp;""""</f>
        <v>"C:\Program Files (x86)\AstroGrep\AstroGrep.exe" /e /r /s /spath="%USERPROFILE%\AppData\Local\Temp\OnboardLogs" /stypes="app*4056*20180106*" /stext=" 13:.+((SYSTEM_STATE.+slice.+state.+changed )|(ment ac)|(multiple cpu faults)|(system.+state.+changed )|(\[timeout)|(PRM\|1\|D)|(kpr)|(kdp)|(train st.+moving)|(\|lc)|(penalty))"</v>
      </c>
      <c r="AG163" s="244" t="str">
        <f>DetSubdiv(A163)</f>
        <v>NW</v>
      </c>
      <c r="AH163" s="236" t="str">
        <f t="shared" si="36"/>
        <v>"%USERPROFILE%\Documents\GitHub\eaglep3\Utilities\RefineRTDCRunTimes.py" --tripid 1801-06 --locoid 4056 --swversion DE.1.0.9.0 --startMP 204:480 --initTime 2018-01-06T05:57:32 --startdatetime 2018-01-06T06:09:21 --delay 51 --endMP 300:58933 --enddatetime 2018-01-06T06:23:19 --enforcementcount 0 &gt;&gt;%USERPROFILE%\Documents\GitHub\eaglep3-reporting\EC\2018-01-06-refined-times.txt</v>
      </c>
      <c r="AI163" s="238" t="str">
        <f t="shared" si="37"/>
        <v>echo {"issue":{"subject":"","project_id":79,"tracker_id":40,"status_id":1,"priority_id":2,"assigned_to_id":338,"start_date":"2018-01-06","description":"","custom_fields":[{"id":1,"name":"Subdivision","value":"NW"},{"id":4,"name":"Milepost","value":"5.8933"},{"id":17,"name":"Train ID","value":"1801-06"},{"id":16,"name":"Locomotive ID","value":"4056"},{"id":130,"name":"Impact","value":""},{"id":150,"name":"Time of Event (Mountain Time)","value":"06:23:19"},{"id":151,"name":"Denver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3" s="231"/>
      <c r="AL163" s="231"/>
      <c r="AM163" s="240" t="str">
        <f t="shared" si="38"/>
        <v>start /low /b %USERPROFILE%\Documents\GitHub\eaglep3\Utilities\DownloadLogsFromS3.py --loco 4056 --day 2018-01-06</v>
      </c>
      <c r="AN163" s="241" t="str">
        <f t="shared" si="39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13:23:19"},{"id":29,"name":"Sharepoint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 s="230" t="str">
        <f t="shared" si="40"/>
        <v>https://d0f6bd738d7f1b3e5a7ca70fe4ff75f0.us-east-1.aws.found.io/app/kibana#/discover/Steve-Slow-Train-Analysis-(2080s-and-2083s)?_g=(refreshInterval:(display:Off,pause:!f,section:0,value:0),time:(from:'2018-01-06T04:57:32-0700',mode:absolute,to:'2018-01-06T07:23:19-0700'))&amp;_a=(columns:!('Message%20ID',Summary),filters:!(),index:'emp_*',interval:auto,query:(query_string:(analyze_wildcard:!t,query:'%22rtdc.l.rtdc.4056%22')),sort:!(Time.ISO8601,asc))</v>
      </c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23" customFormat="1" x14ac:dyDescent="0.3">
      <c r="A164" s="229" t="s">
        <v>732</v>
      </c>
      <c r="B164" s="225">
        <v>4055</v>
      </c>
      <c r="C164" s="227" t="s">
        <v>192</v>
      </c>
      <c r="D164" s="227" t="s">
        <v>574</v>
      </c>
      <c r="E164" s="226">
        <v>43106.267013888886</v>
      </c>
      <c r="F164" s="226">
        <v>43106.28</v>
      </c>
      <c r="G164" s="225">
        <v>49</v>
      </c>
      <c r="H164" s="227" t="s">
        <v>948</v>
      </c>
      <c r="I164" s="226">
        <v>43106.286886574075</v>
      </c>
      <c r="J164" s="225">
        <v>0</v>
      </c>
      <c r="K164" s="237" t="str">
        <f>IF(ISEVEN(B164),(B164-1)&amp;"/"&amp;B164,B164&amp;"/"&amp;(B164+1))</f>
        <v>4055/4056</v>
      </c>
      <c r="L164" s="245" t="str">
        <f>VLOOKUP(A164,'Trips&amp;Operators'!$C$1:$G$99911,5,FALSE)</f>
        <v>LAMAR NEKESHA</v>
      </c>
      <c r="M164" s="224">
        <f>I164-F164</f>
        <v>6.8865740759065375E-3</v>
      </c>
      <c r="N164" s="225">
        <f>24*60*SUM($M164:$M164)</f>
        <v>9.916666669305414</v>
      </c>
      <c r="O164" s="225"/>
      <c r="P164" s="225"/>
      <c r="Q164" s="228"/>
      <c r="R164" s="242"/>
      <c r="S164" s="249">
        <f>1/IF(AG164="EC",12,1)*SUM(U164:U164)</f>
        <v>1</v>
      </c>
      <c r="T164" s="242" t="str">
        <f>IF(ISEVEN(LEFT(AD164,4)),"Southbound","NorthBound")</f>
        <v>Southbound</v>
      </c>
      <c r="U164" s="246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248" t="str">
        <f>"https://d0f6bd738d7f1b3e5a7ca70fe4ff75f0.us-east-1.aws.found.io/app/kibana#/discover/Steve-Slow-Train-Analysis-(2080s-and-2083s)?_g="&amp;"(refreshInterval:(display:Off,pause:!f,section:0,value:0),time:(from:'"&amp;TEXT(E164-1/24,"yyyy-MM-DDThh:mm:ss")&amp;utc_offset&amp;"00"&amp;"',mode:absolute,to:'"&amp;TEXT(I164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164&amp;"%22')),sort:!(Time.ISO8601,asc))"</f>
        <v>https://d0f6bd738d7f1b3e5a7ca70fe4ff75f0.us-east-1.aws.found.io/app/kibana#/discover/Steve-Slow-Train-Analysis-(2080s-and-2083s)?_g=(refreshInterval:(display:Off,pause:!f,section:0,value:0),time:(from:'2018-01-06T05:24:30-0700',mode:absolute,to:'2018-01-06T07:53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64" s="247" t="str">
        <f>IF(AA164&lt;VLOOKUP(AG164,Variables!$AC$3:$AD$8,2,FALSE),"Y","N")</f>
        <v>Y</v>
      </c>
      <c r="X164" s="247">
        <f>VALUE(LEFT(AD164,4))-VALUE(LEFT(AD163,4))</f>
        <v>1</v>
      </c>
      <c r="Y164" s="247">
        <f>RIGHT(D164,LEN(D164)-4)/10000</f>
        <v>5.8634000000000004</v>
      </c>
      <c r="Z164" s="247">
        <f>RIGHT(H164,LEN(H164)-4)/10000</f>
        <v>0.46150000000000002</v>
      </c>
      <c r="AA164" s="247">
        <f>ABS(Z164-Y164)</f>
        <v>5.4019000000000004</v>
      </c>
      <c r="AB164" s="233" t="e">
        <f>VLOOKUP(A164,Enforcements!$C$7:$K$9,8,0)</f>
        <v>#N/A</v>
      </c>
      <c r="AC164" s="232" t="e">
        <f>VLOOKUP(A164,Enforcements!$C$7:$E$9,3,0)</f>
        <v>#N/A</v>
      </c>
      <c r="AD164" s="243">
        <f>VALUE(LEFT(A164,LEN(A164)-3))</f>
        <v>1802</v>
      </c>
      <c r="AE164" s="235" t="str">
        <f>"aws s3 cp "&amp;s3_bucket&amp;"/RTDC"&amp;B164&amp;"/ "&amp;search_path&amp;"\RTDC"&amp;B164&amp;"\"&amp;TEXT(F164,"YYYY-MM-DD")&amp;" --exclude ""*"" --recursive --include ""*"&amp;TEXT(F164,"YYYYMMDD")&amp;"*"" &amp; """&amp;walkandungz&amp;""" "&amp;search_path&amp;"\RTDC"&amp;B164&amp;"\"&amp;TEXT(F164,"YYYY-MM-DD")
&amp;" &amp; "&amp;"aws s3 cp "&amp;s3_bucket&amp;"/RTDC"&amp;B164&amp;"/ "&amp;search_path&amp;"\RTDC"&amp;B164&amp;"\"&amp;TEXT(F164+1,"YYYY-MM-DD")&amp;" --exclude ""*"" --recursive --include ""*"&amp;TEXT(F164+1,"YYYYMMDD")&amp;"*"" &amp; """&amp;walkandungz&amp;""" "&amp;search_path&amp;"\RTDC"&amp;B164&amp;"\"&amp;TEXT(F164+1,"YYYY-MM-DD")</f>
        <v>aws s3 cp s3://rtdc.mdm.uploadarchive.raw/RTDC4055/ "%USERPROFILE%\AppData\Local\Temp\OnboardLogs"\RTDC4055\2018-01-06 --exclude "*" --recursive --include "*20180106*" &amp; "%USERPROFILE%\Documents\GitHub\mrs-test-scripts\Headless Mode &amp; Sideloading\WalkAndUnGZ.bat" "%USERPROFILE%\AppData\Local\Temp\OnboardLogs"\RTDC4055\2018-01-06 &amp; aws s3 cp s3://rtdc.mdm.uploadarchive.raw/RTDC4055/ "%USERPROFILE%\AppData\Local\Temp\OnboardLogs"\RTDC4055\2018-01-07 --exclude "*" --recursive --include "*20180107*" &amp; "%USERPROFILE%\Documents\GitHub\mrs-test-scripts\Headless Mode &amp; Sideloading\WalkAndUnGZ.bat" "%USERPROFILE%\AppData\Local\Temp\OnboardLogs"\RTDC4055\2018-01-07</v>
      </c>
      <c r="AF164" s="234" t="str">
        <f>astrogrep_path&amp;" /e /r /s /spath="&amp;search_path&amp;" /stypes=""app*"&amp;B164&amp;"*"&amp;TEXT(I164-utc_offset/24,"YYYYMMDD")&amp;"*"" /stext="" "&amp;TEXT(I164-utc_offset/24,"HH")&amp;search_regexp&amp;""""</f>
        <v>"C:\Program Files (x86)\AstroGrep\AstroGrep.exe" /e /r /s /spath="%USERPROFILE%\AppData\Local\Temp\OnboardLogs" /stypes="app*4055*20180106*" /stext=" 13:.+((SYSTEM_STATE.+slice.+state.+changed )|(ment ac)|(multiple cpu faults)|(system.+state.+changed )|(\[timeout)|(PRM\|1\|D)|(kpr)|(kdp)|(train st.+moving)|(\|lc)|(penalty))"</v>
      </c>
      <c r="AG164" s="244" t="str">
        <f>DetSubdiv(A164)</f>
        <v>NW</v>
      </c>
      <c r="AH164" s="236" t="str">
        <f t="shared" si="36"/>
        <v>"%USERPROFILE%\Documents\GitHub\eaglep3\Utilities\RefineRTDCRunTimes.py" --tripid 1802-06 --locoid 4055 --swversion DE.1.0.9.0 --startMP 300:58634 --initTime 2018-01-06T06:24:30 --startdatetime 2018-01-06T06:43:12 --delay 49 --endMP 204:4615 --enddatetime 2018-01-06T06:53:07 --enforcementcount 0 &gt;&gt;%USERPROFILE%\Documents\GitHub\eaglep3-reporting\EC\2018-01-06-refined-times.txt</v>
      </c>
      <c r="AI164" s="238" t="str">
        <f t="shared" si="37"/>
        <v>echo {"issue":{"subject":"","project_id":79,"tracker_id":40,"status_id":1,"priority_id":2,"assigned_to_id":338,"start_date":"2018-01-06","description":"","custom_fields":[{"id":1,"name":"Subdivision","value":"NW"},{"id":4,"name":"Milepost","value":"0.4615"},{"id":17,"name":"Train ID","value":"1802-06"},{"id":16,"name":"Locomotive ID","value":"4055"},{"id":130,"name":"Impact","value":""},{"id":150,"name":"Time of Event (Mountain Time)","value":"06:53:07"},{"id":151,"name":"Denver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4" s="231"/>
      <c r="AL164" s="231"/>
      <c r="AM164" s="240" t="str">
        <f t="shared" si="38"/>
        <v>start /low /b %USERPROFILE%\Documents\GitHub\eaglep3\Utilities\DownloadLogsFromS3.py --loco 4055 --day 2018-01-06</v>
      </c>
      <c r="AN164" s="241" t="str">
        <f t="shared" si="39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13:53:07"},{"id":29,"name":"Sharepoint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 s="230" t="str">
        <f t="shared" si="40"/>
        <v>https://d0f6bd738d7f1b3e5a7ca70fe4ff75f0.us-east-1.aws.found.io/app/kibana#/discover/Steve-Slow-Train-Analysis-(2080s-and-2083s)?_g=(refreshInterval:(display:Off,pause:!f,section:0,value:0),time:(from:'2018-01-06T05:24:30-0700',mode:absolute,to:'2018-01-06T07:53:07-0700'))&amp;_a=(columns:!('Message%20ID',Summary),filters:!(),index:'emp_*',interval:auto,query:(query_string:(analyze_wildcard:!t,query:'%22rtdc.l.rtdc.4055%22')),sort:!(Time.ISO8601,asc))</v>
      </c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3">
      <c r="A165" s="229" t="s">
        <v>662</v>
      </c>
      <c r="B165" s="225">
        <v>4056</v>
      </c>
      <c r="C165" s="227" t="s">
        <v>192</v>
      </c>
      <c r="D165" s="227" t="s">
        <v>514</v>
      </c>
      <c r="E165" s="226">
        <v>43106.290150462963</v>
      </c>
      <c r="F165" s="226">
        <v>43106.298078703701</v>
      </c>
      <c r="G165" s="225">
        <v>48</v>
      </c>
      <c r="H165" s="227" t="s">
        <v>949</v>
      </c>
      <c r="I165" s="226">
        <v>43106.307442129626</v>
      </c>
      <c r="J165" s="225">
        <v>0</v>
      </c>
      <c r="K165" s="237" t="str">
        <f>IF(ISEVEN(B165),(B165-1)&amp;"/"&amp;B165,B165&amp;"/"&amp;(B165+1))</f>
        <v>4055/4056</v>
      </c>
      <c r="L165" s="245" t="str">
        <f>VLOOKUP(A165,'Trips&amp;Operators'!$C$1:$G$99911,5,FALSE)</f>
        <v>LAMAR NEKESHA</v>
      </c>
      <c r="M165" s="224">
        <f>I165-F165</f>
        <v>9.3634259246755391E-3</v>
      </c>
      <c r="N165" s="225">
        <f>24*60*SUM($M165:$M165)</f>
        <v>13.483333331532776</v>
      </c>
      <c r="O165" s="225"/>
      <c r="P165" s="225"/>
      <c r="Q165" s="228"/>
      <c r="R165" s="242"/>
      <c r="S165" s="249">
        <f>1/IF(AG165="EC",12,1)*SUM(U165:U165)</f>
        <v>1</v>
      </c>
      <c r="T165" s="242" t="str">
        <f>IF(ISEVEN(LEFT(AD165,4)),"Southbound","NorthBound")</f>
        <v>NorthBound</v>
      </c>
      <c r="U165" s="246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248" t="str">
        <f>"https://d0f6bd738d7f1b3e5a7ca70fe4ff75f0.us-east-1.aws.found.io/app/kibana#/discover/Steve-Slow-Train-Analysis-(2080s-and-2083s)?_g="&amp;"(refreshInterval:(display:Off,pause:!f,section:0,value:0),time:(from:'"&amp;TEXT(E165-1/24,"yyyy-MM-DDThh:mm:ss")&amp;utc_offset&amp;"00"&amp;"',mode:absolute,to:'"&amp;TEXT(I165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165&amp;"%22')),sort:!(Time.ISO8601,asc))"</f>
        <v>https://d0f6bd738d7f1b3e5a7ca70fe4ff75f0.us-east-1.aws.found.io/app/kibana#/discover/Steve-Slow-Train-Analysis-(2080s-and-2083s)?_g=(refreshInterval:(display:Off,pause:!f,section:0,value:0),time:(from:'2018-01-06T05:57:49-0700',mode:absolute,to:'2018-01-06T08:22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65" s="247" t="str">
        <f>IF(AA165&lt;VLOOKUP(AG165,Variables!$AC$3:$AD$8,2,FALSE),"Y","N")</f>
        <v>N</v>
      </c>
      <c r="X165" s="247">
        <f>VALUE(LEFT(AD165,4))-VALUE(LEFT(AD164,4))</f>
        <v>1</v>
      </c>
      <c r="Y165" s="247">
        <f>RIGHT(D165,LEN(D165)-4)/10000</f>
        <v>4.5100000000000001E-2</v>
      </c>
      <c r="Z165" s="247">
        <f>RIGHT(H165,LEN(H165)-4)/10000</f>
        <v>5.8945999999999996</v>
      </c>
      <c r="AA165" s="247">
        <f>ABS(Z165-Y165)</f>
        <v>5.8494999999999999</v>
      </c>
      <c r="AB165" s="233" t="e">
        <f>VLOOKUP(A165,Enforcements!$C$7:$K$9,8,0)</f>
        <v>#N/A</v>
      </c>
      <c r="AC165" s="232" t="e">
        <f>VLOOKUP(A165,Enforcements!$C$7:$E$9,3,0)</f>
        <v>#N/A</v>
      </c>
      <c r="AD165" s="243">
        <f>VALUE(LEFT(A165,LEN(A165)-3))</f>
        <v>1803</v>
      </c>
      <c r="AE165" s="235" t="str">
        <f>"aws s3 cp "&amp;s3_bucket&amp;"/RTDC"&amp;B165&amp;"/ "&amp;search_path&amp;"\RTDC"&amp;B165&amp;"\"&amp;TEXT(F165,"YYYY-MM-DD")&amp;" --exclude ""*"" --recursive --include ""*"&amp;TEXT(F165,"YYYYMMDD")&amp;"*"" &amp; """&amp;walkandungz&amp;""" "&amp;search_path&amp;"\RTDC"&amp;B165&amp;"\"&amp;TEXT(F165,"YYYY-MM-DD")
&amp;" &amp; "&amp;"aws s3 cp "&amp;s3_bucket&amp;"/RTDC"&amp;B165&amp;"/ "&amp;search_path&amp;"\RTDC"&amp;B165&amp;"\"&amp;TEXT(F165+1,"YYYY-MM-DD")&amp;" --exclude ""*"" --recursive --include ""*"&amp;TEXT(F165+1,"YYYYMMDD")&amp;"*"" &amp; """&amp;walkandungz&amp;""" "&amp;search_path&amp;"\RTDC"&amp;B165&amp;"\"&amp;TEXT(F165+1,"YYYY-MM-DD")</f>
        <v>aws s3 cp s3://rtdc.mdm.uploadarchive.raw/RTDC4056/ "%USERPROFILE%\AppData\Local\Temp\OnboardLogs"\RTDC4056\2018-01-06 --exclude "*" --recursive --include "*20180106*" &amp; "%USERPROFILE%\Documents\GitHub\mrs-test-scripts\Headless Mode &amp; Sideloading\WalkAndUnGZ.bat" "%USERPROFILE%\AppData\Local\Temp\OnboardLogs"\RTDC4056\2018-01-06 &amp; aws s3 cp s3://rtdc.mdm.uploadarchive.raw/RTDC4056/ "%USERPROFILE%\AppData\Local\Temp\OnboardLogs"\RTDC4056\2018-01-07 --exclude "*" --recursive --include "*20180107*" &amp; "%USERPROFILE%\Documents\GitHub\mrs-test-scripts\Headless Mode &amp; Sideloading\WalkAndUnGZ.bat" "%USERPROFILE%\AppData\Local\Temp\OnboardLogs"\RTDC4056\2018-01-07</v>
      </c>
      <c r="AF165" s="234" t="str">
        <f>astrogrep_path&amp;" /e /r /s /spath="&amp;search_path&amp;" /stypes=""app*"&amp;B165&amp;"*"&amp;TEXT(I165-utc_offset/24,"YYYYMMDD")&amp;"*"" /stext="" "&amp;TEXT(I165-utc_offset/24,"HH")&amp;search_regexp&amp;""""</f>
        <v>"C:\Program Files (x86)\AstroGrep\AstroGrep.exe" /e /r /s /spath="%USERPROFILE%\AppData\Local\Temp\OnboardLogs" /stypes="app*4056*20180106*" /stext=" 14:.+((SYSTEM_STATE.+slice.+state.+changed )|(ment ac)|(multiple cpu faults)|(system.+state.+changed )|(\[timeout)|(PRM\|1\|D)|(kpr)|(kdp)|(train st.+moving)|(\|lc)|(penalty))"</v>
      </c>
      <c r="AG165" s="244" t="str">
        <f>DetSubdiv(A165)</f>
        <v>NW</v>
      </c>
      <c r="AH165" s="236" t="str">
        <f t="shared" si="36"/>
        <v>"%USERPROFILE%\Documents\GitHub\eaglep3\Utilities\RefineRTDCRunTimes.py" --tripid 1803-06 --locoid 4056 --swversion DE.1.0.9.0 --startMP 204:451 --initTime 2018-01-06T06:57:49 --startdatetime 2018-01-06T07:09:14 --delay 48 --endMP 300:58946 --enddatetime 2018-01-06T07:22:43 --enforcementcount 0 &gt;&gt;%USERPROFILE%\Documents\GitHub\eaglep3-reporting\EC\2018-01-06-refined-times.txt</v>
      </c>
      <c r="AI165" s="238" t="str">
        <f t="shared" si="37"/>
        <v>echo {"issue":{"subject":"","project_id":79,"tracker_id":40,"status_id":1,"priority_id":2,"assigned_to_id":338,"start_date":"2018-01-06","description":"","custom_fields":[{"id":1,"name":"Subdivision","value":"NW"},{"id":4,"name":"Milepost","value":"5.8946"},{"id":17,"name":"Train ID","value":"1803-06"},{"id":16,"name":"Locomotive ID","value":"4056"},{"id":130,"name":"Impact","value":""},{"id":150,"name":"Time of Event (Mountain Time)","value":"07:22:43"},{"id":151,"name":"Denver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5" s="223"/>
      <c r="AK165" s="231"/>
      <c r="AL165" s="231"/>
      <c r="AM165" s="240" t="str">
        <f t="shared" si="38"/>
        <v>start /low /b %USERPROFILE%\Documents\GitHub\eaglep3\Utilities\DownloadLogsFromS3.py --loco 4056 --day 2018-01-06</v>
      </c>
      <c r="AN165" s="241" t="str">
        <f t="shared" si="39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14:22:43"},{"id":29,"name":"Sharepoint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 s="230" t="str">
        <f t="shared" si="40"/>
        <v>https://d0f6bd738d7f1b3e5a7ca70fe4ff75f0.us-east-1.aws.found.io/app/kibana#/discover/Steve-Slow-Train-Analysis-(2080s-and-2083s)?_g=(refreshInterval:(display:Off,pause:!f,section:0,value:0),time:(from:'2018-01-06T05:57:49-0700',mode:absolute,to:'2018-01-06T08:22:43-0700'))&amp;_a=(columns:!('Message%20ID',Summary),filters:!(),index:'emp_*',interval:auto,query:(query_string:(analyze_wildcard:!t,query:'%22rtdc.l.rtdc.4056%22')),sort:!(Time.ISO8601,asc))</v>
      </c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0" customFormat="1" x14ac:dyDescent="0.3">
      <c r="A166" s="229" t="s">
        <v>740</v>
      </c>
      <c r="B166" s="225">
        <v>4055</v>
      </c>
      <c r="C166" s="227" t="s">
        <v>192</v>
      </c>
      <c r="D166" s="227" t="s">
        <v>652</v>
      </c>
      <c r="E166" s="226">
        <v>43106.308622685188</v>
      </c>
      <c r="F166" s="226">
        <v>43106.321631944447</v>
      </c>
      <c r="G166" s="225">
        <v>53</v>
      </c>
      <c r="H166" s="227" t="s">
        <v>950</v>
      </c>
      <c r="I166" s="226">
        <v>43106.329988425925</v>
      </c>
      <c r="J166" s="225">
        <v>0</v>
      </c>
      <c r="K166" s="237" t="str">
        <f>IF(ISEVEN(B166),(B166-1)&amp;"/"&amp;B166,B166&amp;"/"&amp;(B166+1))</f>
        <v>4055/4056</v>
      </c>
      <c r="L166" s="245" t="str">
        <f>VLOOKUP(A166,'Trips&amp;Operators'!$C$1:$G$99911,5,FALSE)</f>
        <v>LAMAR NEKESHA</v>
      </c>
      <c r="M166" s="224">
        <f>I166-F166</f>
        <v>8.3564814776764251E-3</v>
      </c>
      <c r="N166" s="225">
        <f>24*60*SUM($M166:$M166)</f>
        <v>12.033333327854052</v>
      </c>
      <c r="O166" s="225"/>
      <c r="P166" s="225"/>
      <c r="Q166" s="228"/>
      <c r="R166" s="242"/>
      <c r="S166" s="249">
        <f>1/IF(AG166="EC",12,1)*SUM(U166:U166)</f>
        <v>1</v>
      </c>
      <c r="T166" s="242" t="str">
        <f>IF(ISEVEN(LEFT(AD166,4)),"Southbound","NorthBound")</f>
        <v>Southbound</v>
      </c>
      <c r="U166" s="246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248" t="str">
        <f>"https://d0f6bd738d7f1b3e5a7ca70fe4ff75f0.us-east-1.aws.found.io/app/kibana#/discover/Steve-Slow-Train-Analysis-(2080s-and-2083s)?_g="&amp;"(refreshInterval:(display:Off,pause:!f,section:0,value:0),time:(from:'"&amp;TEXT(E166-1/24,"yyyy-MM-DDThh:mm:ss")&amp;utc_offset&amp;"00"&amp;"',mode:absolute,to:'"&amp;TEXT(I166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166&amp;"%22')),sort:!(Time.ISO8601,asc))"</f>
        <v>https://d0f6bd738d7f1b3e5a7ca70fe4ff75f0.us-east-1.aws.found.io/app/kibana#/discover/Steve-Slow-Train-Analysis-(2080s-and-2083s)?_g=(refreshInterval:(display:Off,pause:!f,section:0,value:0),time:(from:'2018-01-06T06:24:25-0700',mode:absolute,to:'2018-01-06T08:55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66" s="247" t="str">
        <f>IF(AA166&lt;VLOOKUP(AG166,Variables!$AC$3:$AD$8,2,FALSE),"Y","N")</f>
        <v>N</v>
      </c>
      <c r="X166" s="247">
        <f>VALUE(LEFT(AD166,4))-VALUE(LEFT(AD165,4))</f>
        <v>1</v>
      </c>
      <c r="Y166" s="247">
        <f>RIGHT(D166,LEN(D166)-4)/10000</f>
        <v>5.8620999999999999</v>
      </c>
      <c r="Z166" s="247">
        <f>RIGHT(H166,LEN(H166)-4)/10000</f>
        <v>1.78E-2</v>
      </c>
      <c r="AA166" s="247">
        <f>ABS(Z166-Y166)</f>
        <v>5.8442999999999996</v>
      </c>
      <c r="AB166" s="233" t="e">
        <f>VLOOKUP(A166,Enforcements!$C$7:$K$9,8,0)</f>
        <v>#N/A</v>
      </c>
      <c r="AC166" s="232" t="e">
        <f>VLOOKUP(A166,Enforcements!$C$7:$E$9,3,0)</f>
        <v>#N/A</v>
      </c>
      <c r="AD166" s="243">
        <f>VALUE(LEFT(A166,LEN(A166)-3))</f>
        <v>1804</v>
      </c>
      <c r="AE166" s="235" t="str">
        <f>"aws s3 cp "&amp;s3_bucket&amp;"/RTDC"&amp;B166&amp;"/ "&amp;search_path&amp;"\RTDC"&amp;B166&amp;"\"&amp;TEXT(F166,"YYYY-MM-DD")&amp;" --exclude ""*"" --recursive --include ""*"&amp;TEXT(F166,"YYYYMMDD")&amp;"*"" &amp; """&amp;walkandungz&amp;""" "&amp;search_path&amp;"\RTDC"&amp;B166&amp;"\"&amp;TEXT(F166,"YYYY-MM-DD")
&amp;" &amp; "&amp;"aws s3 cp "&amp;s3_bucket&amp;"/RTDC"&amp;B166&amp;"/ "&amp;search_path&amp;"\RTDC"&amp;B166&amp;"\"&amp;TEXT(F166+1,"YYYY-MM-DD")&amp;" --exclude ""*"" --recursive --include ""*"&amp;TEXT(F166+1,"YYYYMMDD")&amp;"*"" &amp; """&amp;walkandungz&amp;""" "&amp;search_path&amp;"\RTDC"&amp;B166&amp;"\"&amp;TEXT(F166+1,"YYYY-MM-DD")</f>
        <v>aws s3 cp s3://rtdc.mdm.uploadarchive.raw/RTDC4055/ "%USERPROFILE%\AppData\Local\Temp\OnboardLogs"\RTDC4055\2018-01-06 --exclude "*" --recursive --include "*20180106*" &amp; "%USERPROFILE%\Documents\GitHub\mrs-test-scripts\Headless Mode &amp; Sideloading\WalkAndUnGZ.bat" "%USERPROFILE%\AppData\Local\Temp\OnboardLogs"\RTDC4055\2018-01-06 &amp; aws s3 cp s3://rtdc.mdm.uploadarchive.raw/RTDC4055/ "%USERPROFILE%\AppData\Local\Temp\OnboardLogs"\RTDC4055\2018-01-07 --exclude "*" --recursive --include "*20180107*" &amp; "%USERPROFILE%\Documents\GitHub\mrs-test-scripts\Headless Mode &amp; Sideloading\WalkAndUnGZ.bat" "%USERPROFILE%\AppData\Local\Temp\OnboardLogs"\RTDC4055\2018-01-07</v>
      </c>
      <c r="AF166" s="234" t="str">
        <f>astrogrep_path&amp;" /e /r /s /spath="&amp;search_path&amp;" /stypes=""app*"&amp;B166&amp;"*"&amp;TEXT(I166-utc_offset/24,"YYYYMMDD")&amp;"*"" /stext="" "&amp;TEXT(I166-utc_offset/24,"HH")&amp;search_regexp&amp;""""</f>
        <v>"C:\Program Files (x86)\AstroGrep\AstroGrep.exe" /e /r /s /spath="%USERPROFILE%\AppData\Local\Temp\OnboardLogs" /stypes="app*4055*20180106*" /stext=" 14:.+((SYSTEM_STATE.+slice.+state.+changed )|(ment ac)|(multiple cpu faults)|(system.+state.+changed )|(\[timeout)|(PRM\|1\|D)|(kpr)|(kdp)|(train st.+moving)|(\|lc)|(penalty))"</v>
      </c>
      <c r="AG166" s="244" t="str">
        <f>DetSubdiv(A166)</f>
        <v>NW</v>
      </c>
      <c r="AH166" s="236" t="str">
        <f t="shared" si="36"/>
        <v>"%USERPROFILE%\Documents\GitHub\eaglep3\Utilities\RefineRTDCRunTimes.py" --tripid 1804-06 --locoid 4055 --swversion DE.1.0.9.0 --startMP 300:58621 --initTime 2018-01-06T07:24:25 --startdatetime 2018-01-06T07:43:09 --delay 53 --endMP 204:178 --enddatetime 2018-01-06T07:55:11 --enforcementcount 0 &gt;&gt;%USERPROFILE%\Documents\GitHub\eaglep3-reporting\EC\2018-01-06-refined-times.txt</v>
      </c>
      <c r="AI166" s="238" t="str">
        <f t="shared" si="37"/>
        <v>echo {"issue":{"subject":"","project_id":79,"tracker_id":40,"status_id":1,"priority_id":2,"assigned_to_id":338,"start_date":"2018-01-06","description":"","custom_fields":[{"id":1,"name":"Subdivision","value":"NW"},{"id":4,"name":"Milepost","value":"0.0178"},{"id":17,"name":"Train ID","value":"1804-06"},{"id":16,"name":"Locomotive ID","value":"4055"},{"id":130,"name":"Impact","value":""},{"id":150,"name":"Time of Event (Mountain Time)","value":"07:55:11"},{"id":151,"name":"Denver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6" s="223"/>
      <c r="AK166" s="231"/>
      <c r="AL166" s="231"/>
      <c r="AM166" s="240" t="str">
        <f t="shared" si="38"/>
        <v>start /low /b %USERPROFILE%\Documents\GitHub\eaglep3\Utilities\DownloadLogsFromS3.py --loco 4055 --day 2018-01-06</v>
      </c>
      <c r="AN166" s="241" t="str">
        <f t="shared" si="39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14:55:11"},{"id":29,"name":"Sharepoint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 s="230" t="str">
        <f t="shared" si="40"/>
        <v>https://d0f6bd738d7f1b3e5a7ca70fe4ff75f0.us-east-1.aws.found.io/app/kibana#/discover/Steve-Slow-Train-Analysis-(2080s-and-2083s)?_g=(refreshInterval:(display:Off,pause:!f,section:0,value:0),time:(from:'2018-01-06T06:24:25-0700',mode:absolute,to:'2018-01-06T08:55:11-0700'))&amp;_a=(columns:!('Message%20ID',Summary),filters:!(),index:'emp_*',interval:auto,query:(query_string:(analyze_wildcard:!t,query:'%22rtdc.l.rtdc.4055%22')),sort:!(Time.ISO8601,asc))</v>
      </c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3">
      <c r="A167" s="229" t="s">
        <v>743</v>
      </c>
      <c r="B167" s="225">
        <v>4056</v>
      </c>
      <c r="C167" s="227" t="s">
        <v>192</v>
      </c>
      <c r="D167" s="227" t="s">
        <v>951</v>
      </c>
      <c r="E167" s="226">
        <v>43106.338784722226</v>
      </c>
      <c r="F167" s="226">
        <v>43106.339965277781</v>
      </c>
      <c r="G167" s="225">
        <v>46</v>
      </c>
      <c r="H167" s="227" t="s">
        <v>952</v>
      </c>
      <c r="I167" s="226">
        <v>43106.349062499998</v>
      </c>
      <c r="J167" s="225">
        <v>0</v>
      </c>
      <c r="K167" s="237" t="str">
        <f>IF(ISEVEN(B167),(B167-1)&amp;"/"&amp;B167,B167&amp;"/"&amp;(B167+1))</f>
        <v>4055/4056</v>
      </c>
      <c r="L167" s="245" t="str">
        <f>VLOOKUP(A167,'Trips&amp;Operators'!$C$1:$G$99911,5,FALSE)</f>
        <v>LAMAR NEKESHA</v>
      </c>
      <c r="M167" s="224">
        <f>I167-F167</f>
        <v>9.0972222169511952E-3</v>
      </c>
      <c r="N167" s="225">
        <f>24*60*SUM($M167:$M167)</f>
        <v>13.099999992409721</v>
      </c>
      <c r="O167" s="225"/>
      <c r="P167" s="225"/>
      <c r="Q167" s="228"/>
      <c r="R167" s="242"/>
      <c r="S167" s="249">
        <f>1/IF(AG167="EC",12,1)*SUM(U167:U167)</f>
        <v>1</v>
      </c>
      <c r="T167" s="242" t="str">
        <f>IF(ISEVEN(LEFT(AD167,4)),"Southbound","NorthBound")</f>
        <v>NorthBound</v>
      </c>
      <c r="U167" s="246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248" t="str">
        <f>"https://d0f6bd738d7f1b3e5a7ca70fe4ff75f0.us-east-1.aws.found.io/app/kibana#/discover/Steve-Slow-Train-Analysis-(2080s-and-2083s)?_g="&amp;"(refreshInterval:(display:Off,pause:!f,section:0,value:0),time:(from:'"&amp;TEXT(E167-1/24,"yyyy-MM-DDThh:mm:ss")&amp;utc_offset&amp;"00"&amp;"',mode:absolute,to:'"&amp;TEXT(I167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167&amp;"%22')),sort:!(Time.ISO8601,asc))"</f>
        <v>https://d0f6bd738d7f1b3e5a7ca70fe4ff75f0.us-east-1.aws.found.io/app/kibana#/discover/Steve-Slow-Train-Analysis-(2080s-and-2083s)?_g=(refreshInterval:(display:Off,pause:!f,section:0,value:0),time:(from:'2018-01-06T07:07:51-0700',mode:absolute,to:'2018-01-06T09:22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67" s="247" t="str">
        <f>IF(AA167&lt;VLOOKUP(AG167,Variables!$AC$3:$AD$8,2,FALSE),"Y","N")</f>
        <v>N</v>
      </c>
      <c r="X167" s="247">
        <f>VALUE(LEFT(AD167,4))-VALUE(LEFT(AD166,4))</f>
        <v>1</v>
      </c>
      <c r="Y167" s="247">
        <f>RIGHT(D167,LEN(D167)-4)/10000</f>
        <v>4.6399999999999997E-2</v>
      </c>
      <c r="Z167" s="247">
        <f>RIGHT(H167,LEN(H167)-4)/10000</f>
        <v>5.8956</v>
      </c>
      <c r="AA167" s="247">
        <f>ABS(Z167-Y167)</f>
        <v>5.8491999999999997</v>
      </c>
      <c r="AB167" s="233" t="e">
        <f>VLOOKUP(A167,Enforcements!$C$7:$K$9,8,0)</f>
        <v>#N/A</v>
      </c>
      <c r="AC167" s="232" t="e">
        <f>VLOOKUP(A167,Enforcements!$C$7:$E$9,3,0)</f>
        <v>#N/A</v>
      </c>
      <c r="AD167" s="243">
        <f>VALUE(LEFT(A167,LEN(A167)-3))</f>
        <v>1805</v>
      </c>
      <c r="AE167" s="235" t="str">
        <f>"aws s3 cp "&amp;s3_bucket&amp;"/RTDC"&amp;B167&amp;"/ "&amp;search_path&amp;"\RTDC"&amp;B167&amp;"\"&amp;TEXT(F167,"YYYY-MM-DD")&amp;" --exclude ""*"" --recursive --include ""*"&amp;TEXT(F167,"YYYYMMDD")&amp;"*"" &amp; """&amp;walkandungz&amp;""" "&amp;search_path&amp;"\RTDC"&amp;B167&amp;"\"&amp;TEXT(F167,"YYYY-MM-DD")
&amp;" &amp; "&amp;"aws s3 cp "&amp;s3_bucket&amp;"/RTDC"&amp;B167&amp;"/ "&amp;search_path&amp;"\RTDC"&amp;B167&amp;"\"&amp;TEXT(F167+1,"YYYY-MM-DD")&amp;" --exclude ""*"" --recursive --include ""*"&amp;TEXT(F167+1,"YYYYMMDD")&amp;"*"" &amp; """&amp;walkandungz&amp;""" "&amp;search_path&amp;"\RTDC"&amp;B167&amp;"\"&amp;TEXT(F167+1,"YYYY-MM-DD")</f>
        <v>aws s3 cp s3://rtdc.mdm.uploadarchive.raw/RTDC4056/ "%USERPROFILE%\AppData\Local\Temp\OnboardLogs"\RTDC4056\2018-01-06 --exclude "*" --recursive --include "*20180106*" &amp; "%USERPROFILE%\Documents\GitHub\mrs-test-scripts\Headless Mode &amp; Sideloading\WalkAndUnGZ.bat" "%USERPROFILE%\AppData\Local\Temp\OnboardLogs"\RTDC4056\2018-01-06 &amp; aws s3 cp s3://rtdc.mdm.uploadarchive.raw/RTDC4056/ "%USERPROFILE%\AppData\Local\Temp\OnboardLogs"\RTDC4056\2018-01-07 --exclude "*" --recursive --include "*20180107*" &amp; "%USERPROFILE%\Documents\GitHub\mrs-test-scripts\Headless Mode &amp; Sideloading\WalkAndUnGZ.bat" "%USERPROFILE%\AppData\Local\Temp\OnboardLogs"\RTDC4056\2018-01-07</v>
      </c>
      <c r="AF167" s="234" t="str">
        <f>astrogrep_path&amp;" /e /r /s /spath="&amp;search_path&amp;" /stypes=""app*"&amp;B167&amp;"*"&amp;TEXT(I167-utc_offset/24,"YYYYMMDD")&amp;"*"" /stext="" "&amp;TEXT(I167-utc_offset/24,"HH")&amp;search_regexp&amp;""""</f>
        <v>"C:\Program Files (x86)\AstroGrep\AstroGrep.exe" /e /r /s /spath="%USERPROFILE%\AppData\Local\Temp\OnboardLogs" /stypes="app*4056*20180106*" /stext=" 15:.+((SYSTEM_STATE.+slice.+state.+changed )|(ment ac)|(multiple cpu faults)|(system.+state.+changed )|(\[timeout)|(PRM\|1\|D)|(kpr)|(kdp)|(train st.+moving)|(\|lc)|(penalty))"</v>
      </c>
      <c r="AG167" s="244" t="str">
        <f>DetSubdiv(A167)</f>
        <v>NW</v>
      </c>
      <c r="AH167" s="236" t="str">
        <f t="shared" si="36"/>
        <v>"%USERPROFILE%\Documents\GitHub\eaglep3\Utilities\RefineRTDCRunTimes.py" --tripid 1805-06 --locoid 4056 --swversion DE.1.0.9.0 --startMP 204:464 --initTime 2018-01-06T08:07:51 --startdatetime 2018-01-06T08:09:33 --delay 46 --endMP 300:58956 --enddatetime 2018-01-06T08:22:39 --enforcementcount 0 &gt;&gt;%USERPROFILE%\Documents\GitHub\eaglep3-reporting\EC\2018-01-06-refined-times.txt</v>
      </c>
      <c r="AI167" s="238" t="str">
        <f t="shared" si="37"/>
        <v>echo {"issue":{"subject":"","project_id":79,"tracker_id":40,"status_id":1,"priority_id":2,"assigned_to_id":338,"start_date":"2018-01-06","description":"","custom_fields":[{"id":1,"name":"Subdivision","value":"NW"},{"id":4,"name":"Milepost","value":"5.8956"},{"id":17,"name":"Train ID","value":"1805-06"},{"id":16,"name":"Locomotive ID","value":"4056"},{"id":130,"name":"Impact","value":""},{"id":150,"name":"Time of Event (Mountain Time)","value":"08:22:39"},{"id":151,"name":"Denver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7" s="223"/>
      <c r="AK167" s="231"/>
      <c r="AL167" s="231"/>
      <c r="AM167" s="240" t="str">
        <f t="shared" si="38"/>
        <v>start /low /b %USERPROFILE%\Documents\GitHub\eaglep3\Utilities\DownloadLogsFromS3.py --loco 4056 --day 2018-01-06</v>
      </c>
      <c r="AN167" s="241" t="str">
        <f t="shared" si="39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15:22:39"},{"id":29,"name":"Sharepoint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 s="230" t="str">
        <f t="shared" si="40"/>
        <v>https://d0f6bd738d7f1b3e5a7ca70fe4ff75f0.us-east-1.aws.found.io/app/kibana#/discover/Steve-Slow-Train-Analysis-(2080s-and-2083s)?_g=(refreshInterval:(display:Off,pause:!f,section:0,value:0),time:(from:'2018-01-06T07:07:51-0700',mode:absolute,to:'2018-01-06T09:22:39-0700'))&amp;_a=(columns:!('Message%20ID',Summary),filters:!(),index:'emp_*',interval:auto,query:(query_string:(analyze_wildcard:!t,query:'%22rtdc.l.rtdc.4056%22')),sort:!(Time.ISO8601,asc))</v>
      </c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23" customFormat="1" x14ac:dyDescent="0.3">
      <c r="A168" s="229" t="s">
        <v>667</v>
      </c>
      <c r="B168" s="225">
        <v>4055</v>
      </c>
      <c r="C168" s="227" t="s">
        <v>192</v>
      </c>
      <c r="D168" s="227" t="s">
        <v>953</v>
      </c>
      <c r="E168" s="226">
        <v>43106.351030092592</v>
      </c>
      <c r="F168" s="226">
        <v>43106.362199074072</v>
      </c>
      <c r="G168" s="225">
        <v>48</v>
      </c>
      <c r="H168" s="227" t="s">
        <v>954</v>
      </c>
      <c r="I168" s="226">
        <v>43106.370115740741</v>
      </c>
      <c r="J168" s="225">
        <v>0</v>
      </c>
      <c r="K168" s="237" t="str">
        <f>IF(ISEVEN(B168),(B168-1)&amp;"/"&amp;B168,B168&amp;"/"&amp;(B168+1))</f>
        <v>4055/4056</v>
      </c>
      <c r="L168" s="245" t="str">
        <f>VLOOKUP(A168,'Trips&amp;Operators'!$C$1:$G$99911,5,FALSE)</f>
        <v>LAMAR NEKESHA</v>
      </c>
      <c r="M168" s="224">
        <f>I168-F168</f>
        <v>7.9166666691889986E-3</v>
      </c>
      <c r="N168" s="225">
        <f>24*60*SUM($M168:$M168)</f>
        <v>11.400000003632158</v>
      </c>
      <c r="O168" s="225"/>
      <c r="P168" s="225"/>
      <c r="Q168" s="228"/>
      <c r="R168" s="242"/>
      <c r="S168" s="249">
        <f>1/IF(AG168="EC",12,1)*SUM(U168:U168)</f>
        <v>1</v>
      </c>
      <c r="T168" s="242" t="str">
        <f>IF(ISEVEN(LEFT(AD168,4)),"Southbound","NorthBound")</f>
        <v>Southbound</v>
      </c>
      <c r="U168" s="246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248" t="str">
        <f>"https://d0f6bd738d7f1b3e5a7ca70fe4ff75f0.us-east-1.aws.found.io/app/kibana#/discover/Steve-Slow-Train-Analysis-(2080s-and-2083s)?_g="&amp;"(refreshInterval:(display:Off,pause:!f,section:0,value:0),time:(from:'"&amp;TEXT(E168-1/24,"yyyy-MM-DDThh:mm:ss")&amp;utc_offset&amp;"00"&amp;"',mode:absolute,to:'"&amp;TEXT(I168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168&amp;"%22')),sort:!(Time.ISO8601,asc))"</f>
        <v>https://d0f6bd738d7f1b3e5a7ca70fe4ff75f0.us-east-1.aws.found.io/app/kibana#/discover/Steve-Slow-Train-Analysis-(2080s-and-2083s)?_g=(refreshInterval:(display:Off,pause:!f,section:0,value:0),time:(from:'2018-01-06T07:25:29-0700',mode:absolute,to:'2018-01-06T09:52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68" s="247" t="str">
        <f>IF(AA168&lt;VLOOKUP(AG168,Variables!$AC$3:$AD$8,2,FALSE),"Y","N")</f>
        <v>Y</v>
      </c>
      <c r="X168" s="247">
        <f>VALUE(LEFT(AD168,4))-VALUE(LEFT(AD167,4))</f>
        <v>1</v>
      </c>
      <c r="Y168" s="247">
        <f>RIGHT(D168,LEN(D168)-4)/10000</f>
        <v>5.8651</v>
      </c>
      <c r="Z168" s="247">
        <f>RIGHT(H168,LEN(H168)-4)/10000</f>
        <v>0.46489999999999998</v>
      </c>
      <c r="AA168" s="247">
        <f>ABS(Z168-Y168)</f>
        <v>5.4001999999999999</v>
      </c>
      <c r="AB168" s="233" t="e">
        <f>VLOOKUP(A168,Enforcements!$C$7:$K$9,8,0)</f>
        <v>#N/A</v>
      </c>
      <c r="AC168" s="232" t="e">
        <f>VLOOKUP(A168,Enforcements!$C$7:$E$9,3,0)</f>
        <v>#N/A</v>
      </c>
      <c r="AD168" s="243">
        <f>VALUE(LEFT(A168,LEN(A168)-3))</f>
        <v>1806</v>
      </c>
      <c r="AE168" s="235" t="str">
        <f>"aws s3 cp "&amp;s3_bucket&amp;"/RTDC"&amp;B168&amp;"/ "&amp;search_path&amp;"\RTDC"&amp;B168&amp;"\"&amp;TEXT(F168,"YYYY-MM-DD")&amp;" --exclude ""*"" --recursive --include ""*"&amp;TEXT(F168,"YYYYMMDD")&amp;"*"" &amp; """&amp;walkandungz&amp;""" "&amp;search_path&amp;"\RTDC"&amp;B168&amp;"\"&amp;TEXT(F168,"YYYY-MM-DD")
&amp;" &amp; "&amp;"aws s3 cp "&amp;s3_bucket&amp;"/RTDC"&amp;B168&amp;"/ "&amp;search_path&amp;"\RTDC"&amp;B168&amp;"\"&amp;TEXT(F168+1,"YYYY-MM-DD")&amp;" --exclude ""*"" --recursive --include ""*"&amp;TEXT(F168+1,"YYYYMMDD")&amp;"*"" &amp; """&amp;walkandungz&amp;""" "&amp;search_path&amp;"\RTDC"&amp;B168&amp;"\"&amp;TEXT(F168+1,"YYYY-MM-DD")</f>
        <v>aws s3 cp s3://rtdc.mdm.uploadarchive.raw/RTDC4055/ "%USERPROFILE%\AppData\Local\Temp\OnboardLogs"\RTDC4055\2018-01-06 --exclude "*" --recursive --include "*20180106*" &amp; "%USERPROFILE%\Documents\GitHub\mrs-test-scripts\Headless Mode &amp; Sideloading\WalkAndUnGZ.bat" "%USERPROFILE%\AppData\Local\Temp\OnboardLogs"\RTDC4055\2018-01-06 &amp; aws s3 cp s3://rtdc.mdm.uploadarchive.raw/RTDC4055/ "%USERPROFILE%\AppData\Local\Temp\OnboardLogs"\RTDC4055\2018-01-07 --exclude "*" --recursive --include "*20180107*" &amp; "%USERPROFILE%\Documents\GitHub\mrs-test-scripts\Headless Mode &amp; Sideloading\WalkAndUnGZ.bat" "%USERPROFILE%\AppData\Local\Temp\OnboardLogs"\RTDC4055\2018-01-07</v>
      </c>
      <c r="AF168" s="234" t="str">
        <f>astrogrep_path&amp;" /e /r /s /spath="&amp;search_path&amp;" /stypes=""app*"&amp;B168&amp;"*"&amp;TEXT(I168-utc_offset/24,"YYYYMMDD")&amp;"*"" /stext="" "&amp;TEXT(I168-utc_offset/24,"HH")&amp;search_regexp&amp;""""</f>
        <v>"C:\Program Files (x86)\AstroGrep\AstroGrep.exe" /e /r /s /spath="%USERPROFILE%\AppData\Local\Temp\OnboardLogs" /stypes="app*4055*20180106*" /stext=" 15:.+((SYSTEM_STATE.+slice.+state.+changed )|(ment ac)|(multiple cpu faults)|(system.+state.+changed )|(\[timeout)|(PRM\|1\|D)|(kpr)|(kdp)|(train st.+moving)|(\|lc)|(penalty))"</v>
      </c>
      <c r="AG168" s="244" t="str">
        <f>DetSubdiv(A168)</f>
        <v>NW</v>
      </c>
      <c r="AH168" s="236" t="str">
        <f t="shared" si="36"/>
        <v>"%USERPROFILE%\Documents\GitHub\eaglep3\Utilities\RefineRTDCRunTimes.py" --tripid 1806-06 --locoid 4055 --swversion DE.1.0.9.0 --startMP 300:58651 --initTime 2018-01-06T08:25:29 --startdatetime 2018-01-06T08:41:34 --delay 48 --endMP 204:4649 --enddatetime 2018-01-06T08:52:58 --enforcementcount 0 &gt;&gt;%USERPROFILE%\Documents\GitHub\eaglep3-reporting\EC\2018-01-06-refined-times.txt</v>
      </c>
      <c r="AI168" s="238" t="str">
        <f t="shared" si="37"/>
        <v>echo {"issue":{"subject":"","project_id":79,"tracker_id":40,"status_id":1,"priority_id":2,"assigned_to_id":338,"start_date":"2018-01-06","description":"","custom_fields":[{"id":1,"name":"Subdivision","value":"NW"},{"id":4,"name":"Milepost","value":"0.4649"},{"id":17,"name":"Train ID","value":"1806-06"},{"id":16,"name":"Locomotive ID","value":"4055"},{"id":130,"name":"Impact","value":""},{"id":150,"name":"Time of Event (Mountain Time)","value":"08:52:58"},{"id":151,"name":"Denver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8" s="231"/>
      <c r="AL168" s="231"/>
      <c r="AM168" s="240" t="str">
        <f t="shared" si="38"/>
        <v>start /low /b %USERPROFILE%\Documents\GitHub\eaglep3\Utilities\DownloadLogsFromS3.py --loco 4055 --day 2018-01-06</v>
      </c>
      <c r="AN168" s="241" t="str">
        <f t="shared" si="39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15:52:58"},{"id":29,"name":"Sharepoint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 s="230" t="str">
        <f t="shared" si="40"/>
        <v>https://d0f6bd738d7f1b3e5a7ca70fe4ff75f0.us-east-1.aws.found.io/app/kibana#/discover/Steve-Slow-Train-Analysis-(2080s-and-2083s)?_g=(refreshInterval:(display:Off,pause:!f,section:0,value:0),time:(from:'2018-01-06T07:25:29-0700',mode:absolute,to:'2018-01-06T09:52:58-0700'))&amp;_a=(columns:!('Message%20ID',Summary),filters:!(),index:'emp_*',interval:auto,query:(query_string:(analyze_wildcard:!t,query:'%22rtdc.l.rtdc.4055%22')),sort:!(Time.ISO8601,asc))</v>
      </c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3">
      <c r="A169" s="229" t="s">
        <v>750</v>
      </c>
      <c r="B169" s="225">
        <v>4056</v>
      </c>
      <c r="C169" s="227" t="s">
        <v>192</v>
      </c>
      <c r="D169" s="227" t="s">
        <v>509</v>
      </c>
      <c r="E169" s="226">
        <v>43106.380474537036</v>
      </c>
      <c r="F169" s="226">
        <v>43106.381585648145</v>
      </c>
      <c r="G169" s="225">
        <v>53</v>
      </c>
      <c r="H169" s="227" t="s">
        <v>653</v>
      </c>
      <c r="I169" s="226">
        <v>43106.3905787037</v>
      </c>
      <c r="J169" s="225">
        <v>0</v>
      </c>
      <c r="K169" s="237" t="str">
        <f>IF(ISEVEN(B169),(B169-1)&amp;"/"&amp;B169,B169&amp;"/"&amp;(B169+1))</f>
        <v>4055/4056</v>
      </c>
      <c r="L169" s="245" t="str">
        <f>VLOOKUP(A169,'Trips&amp;Operators'!$C$1:$G$99911,5,FALSE)</f>
        <v>LAMAR NEKESHA</v>
      </c>
      <c r="M169" s="224">
        <f>I169-F169</f>
        <v>8.9930555550381541E-3</v>
      </c>
      <c r="N169" s="225">
        <f>24*60*SUM($M169:$M169)</f>
        <v>12.949999999254942</v>
      </c>
      <c r="O169" s="225"/>
      <c r="P169" s="225"/>
      <c r="Q169" s="228"/>
      <c r="R169" s="242"/>
      <c r="S169" s="249">
        <f>1/IF(AG169="EC",12,1)*SUM(U169:U169)</f>
        <v>1</v>
      </c>
      <c r="T169" s="242" t="str">
        <f>IF(ISEVEN(LEFT(AD169,4)),"Southbound","NorthBound")</f>
        <v>NorthBound</v>
      </c>
      <c r="U169" s="246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248" t="str">
        <f>"https://d0f6bd738d7f1b3e5a7ca70fe4ff75f0.us-east-1.aws.found.io/app/kibana#/discover/Steve-Slow-Train-Analysis-(2080s-and-2083s)?_g="&amp;"(refreshInterval:(display:Off,pause:!f,section:0,value:0),time:(from:'"&amp;TEXT(E169-1/24,"yyyy-MM-DDThh:mm:ss")&amp;utc_offset&amp;"00"&amp;"',mode:absolute,to:'"&amp;TEXT(I169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169&amp;"%22')),sort:!(Time.ISO8601,asc))"</f>
        <v>https://d0f6bd738d7f1b3e5a7ca70fe4ff75f0.us-east-1.aws.found.io/app/kibana#/discover/Steve-Slow-Train-Analysis-(2080s-and-2083s)?_g=(refreshInterval:(display:Off,pause:!f,section:0,value:0),time:(from:'2018-01-06T08:07:53-0700',mode:absolute,to:'2018-01-06T10:22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69" s="247" t="str">
        <f>IF(AA169&lt;VLOOKUP(AG169,Variables!$AC$3:$AD$8,2,FALSE),"Y","N")</f>
        <v>N</v>
      </c>
      <c r="X169" s="247">
        <f>VALUE(LEFT(AD169,4))-VALUE(LEFT(AD168,4))</f>
        <v>1</v>
      </c>
      <c r="Y169" s="247">
        <f>RIGHT(D169,LEN(D169)-4)/10000</f>
        <v>4.7500000000000001E-2</v>
      </c>
      <c r="Z169" s="247">
        <f>RIGHT(H169,LEN(H169)-4)/10000</f>
        <v>5.8943000000000003</v>
      </c>
      <c r="AA169" s="247">
        <f>ABS(Z169-Y169)</f>
        <v>5.8468</v>
      </c>
      <c r="AB169" s="233" t="e">
        <f>VLOOKUP(A169,Enforcements!$C$7:$K$9,8,0)</f>
        <v>#N/A</v>
      </c>
      <c r="AC169" s="232" t="e">
        <f>VLOOKUP(A169,Enforcements!$C$7:$E$9,3,0)</f>
        <v>#N/A</v>
      </c>
      <c r="AD169" s="243">
        <f>VALUE(LEFT(A169,LEN(A169)-3))</f>
        <v>1807</v>
      </c>
      <c r="AE169" s="235" t="str">
        <f>"aws s3 cp "&amp;s3_bucket&amp;"/RTDC"&amp;B169&amp;"/ "&amp;search_path&amp;"\RTDC"&amp;B169&amp;"\"&amp;TEXT(F169,"YYYY-MM-DD")&amp;" --exclude ""*"" --recursive --include ""*"&amp;TEXT(F169,"YYYYMMDD")&amp;"*"" &amp; """&amp;walkandungz&amp;""" "&amp;search_path&amp;"\RTDC"&amp;B169&amp;"\"&amp;TEXT(F169,"YYYY-MM-DD")
&amp;" &amp; "&amp;"aws s3 cp "&amp;s3_bucket&amp;"/RTDC"&amp;B169&amp;"/ "&amp;search_path&amp;"\RTDC"&amp;B169&amp;"\"&amp;TEXT(F169+1,"YYYY-MM-DD")&amp;" --exclude ""*"" --recursive --include ""*"&amp;TEXT(F169+1,"YYYYMMDD")&amp;"*"" &amp; """&amp;walkandungz&amp;""" "&amp;search_path&amp;"\RTDC"&amp;B169&amp;"\"&amp;TEXT(F169+1,"YYYY-MM-DD")</f>
        <v>aws s3 cp s3://rtdc.mdm.uploadarchive.raw/RTDC4056/ "%USERPROFILE%\AppData\Local\Temp\OnboardLogs"\RTDC4056\2018-01-06 --exclude "*" --recursive --include "*20180106*" &amp; "%USERPROFILE%\Documents\GitHub\mrs-test-scripts\Headless Mode &amp; Sideloading\WalkAndUnGZ.bat" "%USERPROFILE%\AppData\Local\Temp\OnboardLogs"\RTDC4056\2018-01-06 &amp; aws s3 cp s3://rtdc.mdm.uploadarchive.raw/RTDC4056/ "%USERPROFILE%\AppData\Local\Temp\OnboardLogs"\RTDC4056\2018-01-07 --exclude "*" --recursive --include "*20180107*" &amp; "%USERPROFILE%\Documents\GitHub\mrs-test-scripts\Headless Mode &amp; Sideloading\WalkAndUnGZ.bat" "%USERPROFILE%\AppData\Local\Temp\OnboardLogs"\RTDC4056\2018-01-07</v>
      </c>
      <c r="AF169" s="234" t="str">
        <f>astrogrep_path&amp;" /e /r /s /spath="&amp;search_path&amp;" /stypes=""app*"&amp;B169&amp;"*"&amp;TEXT(I169-utc_offset/24,"YYYYMMDD")&amp;"*"" /stext="" "&amp;TEXT(I169-utc_offset/24,"HH")&amp;search_regexp&amp;""""</f>
        <v>"C:\Program Files (x86)\AstroGrep\AstroGrep.exe" /e /r /s /spath="%USERPROFILE%\AppData\Local\Temp\OnboardLogs" /stypes="app*4056*20180106*" /stext=" 16:.+((SYSTEM_STATE.+slice.+state.+changed )|(ment ac)|(multiple cpu faults)|(system.+state.+changed )|(\[timeout)|(PRM\|1\|D)|(kpr)|(kdp)|(train st.+moving)|(\|lc)|(penalty))"</v>
      </c>
      <c r="AG169" s="244" t="str">
        <f>DetSubdiv(A169)</f>
        <v>NW</v>
      </c>
      <c r="AH169" s="236" t="str">
        <f t="shared" si="36"/>
        <v>"%USERPROFILE%\Documents\GitHub\eaglep3\Utilities\RefineRTDCRunTimes.py" --tripid 1807-06 --locoid 4056 --swversion DE.1.0.9.0 --startMP 204:475 --initTime 2018-01-06T09:07:53 --startdatetime 2018-01-06T09:09:29 --delay 53 --endMP 300:58943 --enddatetime 2018-01-06T09:22:26 --enforcementcount 0 &gt;&gt;%USERPROFILE%\Documents\GitHub\eaglep3-reporting\EC\2018-01-06-refined-times.txt</v>
      </c>
      <c r="AI169" s="238" t="str">
        <f t="shared" si="37"/>
        <v>echo {"issue":{"subject":"","project_id":79,"tracker_id":40,"status_id":1,"priority_id":2,"assigned_to_id":338,"start_date":"2018-01-06","description":"","custom_fields":[{"id":1,"name":"Subdivision","value":"NW"},{"id":4,"name":"Milepost","value":"5.8943"},{"id":17,"name":"Train ID","value":"1807-06"},{"id":16,"name":"Locomotive ID","value":"4056"},{"id":130,"name":"Impact","value":""},{"id":150,"name":"Time of Event (Mountain Time)","value":"09:22:26"},{"id":151,"name":"Denver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9" s="223"/>
      <c r="AK169" s="231"/>
      <c r="AL169" s="231"/>
      <c r="AM169" s="240" t="str">
        <f t="shared" si="38"/>
        <v>start /low /b %USERPROFILE%\Documents\GitHub\eaglep3\Utilities\DownloadLogsFromS3.py --loco 4056 --day 2018-01-06</v>
      </c>
      <c r="AN169" s="241" t="str">
        <f t="shared" si="39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16:22:26"},{"id":29,"name":"Sharepoint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 s="230" t="str">
        <f t="shared" si="40"/>
        <v>https://d0f6bd738d7f1b3e5a7ca70fe4ff75f0.us-east-1.aws.found.io/app/kibana#/discover/Steve-Slow-Train-Analysis-(2080s-and-2083s)?_g=(refreshInterval:(display:Off,pause:!f,section:0,value:0),time:(from:'2018-01-06T08:07:53-0700',mode:absolute,to:'2018-01-06T10:22:26-0700'))&amp;_a=(columns:!('Message%20ID',Summary),filters:!(),index:'emp_*',interval:auto,query:(query_string:(analyze_wildcard:!t,query:'%22rtdc.l.rtdc.4056%22')),sort:!(Time.ISO8601,asc))</v>
      </c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23" customFormat="1" x14ac:dyDescent="0.3">
      <c r="A170" s="229" t="s">
        <v>754</v>
      </c>
      <c r="B170" s="225">
        <v>4055</v>
      </c>
      <c r="C170" s="227" t="s">
        <v>192</v>
      </c>
      <c r="D170" s="227" t="s">
        <v>528</v>
      </c>
      <c r="E170" s="226">
        <v>43106.39167824074</v>
      </c>
      <c r="F170" s="226">
        <v>43106.404942129629</v>
      </c>
      <c r="G170" s="225">
        <v>48</v>
      </c>
      <c r="H170" s="227" t="s">
        <v>950</v>
      </c>
      <c r="I170" s="226">
        <v>43106.413530092592</v>
      </c>
      <c r="J170" s="225">
        <v>0</v>
      </c>
      <c r="K170" s="237" t="str">
        <f>IF(ISEVEN(B170),(B170-1)&amp;"/"&amp;B170,B170&amp;"/"&amp;(B170+1))</f>
        <v>4055/4056</v>
      </c>
      <c r="L170" s="245" t="str">
        <f>VLOOKUP(A170,'Trips&amp;Operators'!$C$1:$G$99911,5,FALSE)</f>
        <v>LAMAR NEKESHA</v>
      </c>
      <c r="M170" s="224">
        <f>I170-F170</f>
        <v>8.5879629623377696E-3</v>
      </c>
      <c r="N170" s="225">
        <f>24*60*SUM($M170:$M170)</f>
        <v>12.366666665766388</v>
      </c>
      <c r="O170" s="225"/>
      <c r="P170" s="225"/>
      <c r="Q170" s="228"/>
      <c r="R170" s="242"/>
      <c r="S170" s="249">
        <f>1/IF(AG170="EC",12,1)*SUM(U170:U170)</f>
        <v>1</v>
      </c>
      <c r="T170" s="242" t="str">
        <f>IF(ISEVEN(LEFT(AD170,4)),"Southbound","NorthBound")</f>
        <v>Southbound</v>
      </c>
      <c r="U170" s="246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248" t="str">
        <f>"https://d0f6bd738d7f1b3e5a7ca70fe4ff75f0.us-east-1.aws.found.io/app/kibana#/discover/Steve-Slow-Train-Analysis-(2080s-and-2083s)?_g="&amp;"(refreshInterval:(display:Off,pause:!f,section:0,value:0),time:(from:'"&amp;TEXT(E170-1/24,"yyyy-MM-DDThh:mm:ss")&amp;utc_offset&amp;"00"&amp;"',mode:absolute,to:'"&amp;TEXT(I170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170&amp;"%22')),sort:!(Time.ISO8601,asc))"</f>
        <v>https://d0f6bd738d7f1b3e5a7ca70fe4ff75f0.us-east-1.aws.found.io/app/kibana#/discover/Steve-Slow-Train-Analysis-(2080s-and-2083s)?_g=(refreshInterval:(display:Off,pause:!f,section:0,value:0),time:(from:'2018-01-06T08:24:01-0700',mode:absolute,to:'2018-01-06T10:55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70" s="247" t="str">
        <f>IF(AA170&lt;VLOOKUP(AG170,Variables!$AC$3:$AD$8,2,FALSE),"Y","N")</f>
        <v>N</v>
      </c>
      <c r="X170" s="247">
        <f>VALUE(LEFT(AD170,4))-VALUE(LEFT(AD169,4))</f>
        <v>1</v>
      </c>
      <c r="Y170" s="247">
        <f>RIGHT(D170,LEN(D170)-4)/10000</f>
        <v>5.8630000000000004</v>
      </c>
      <c r="Z170" s="247">
        <f>RIGHT(H170,LEN(H170)-4)/10000</f>
        <v>1.78E-2</v>
      </c>
      <c r="AA170" s="247">
        <f>ABS(Z170-Y170)</f>
        <v>5.8452000000000002</v>
      </c>
      <c r="AB170" s="233" t="e">
        <f>VLOOKUP(A170,Enforcements!$C$7:$K$9,8,0)</f>
        <v>#N/A</v>
      </c>
      <c r="AC170" s="232" t="e">
        <f>VLOOKUP(A170,Enforcements!$C$7:$E$9,3,0)</f>
        <v>#N/A</v>
      </c>
      <c r="AD170" s="243">
        <f>VALUE(LEFT(A170,LEN(A170)-3))</f>
        <v>1808</v>
      </c>
      <c r="AE170" s="235" t="str">
        <f>"aws s3 cp "&amp;s3_bucket&amp;"/RTDC"&amp;B170&amp;"/ "&amp;search_path&amp;"\RTDC"&amp;B170&amp;"\"&amp;TEXT(F170,"YYYY-MM-DD")&amp;" --exclude ""*"" --recursive --include ""*"&amp;TEXT(F170,"YYYYMMDD")&amp;"*"" &amp; """&amp;walkandungz&amp;""" "&amp;search_path&amp;"\RTDC"&amp;B170&amp;"\"&amp;TEXT(F170,"YYYY-MM-DD")
&amp;" &amp; "&amp;"aws s3 cp "&amp;s3_bucket&amp;"/RTDC"&amp;B170&amp;"/ "&amp;search_path&amp;"\RTDC"&amp;B170&amp;"\"&amp;TEXT(F170+1,"YYYY-MM-DD")&amp;" --exclude ""*"" --recursive --include ""*"&amp;TEXT(F170+1,"YYYYMMDD")&amp;"*"" &amp; """&amp;walkandungz&amp;""" "&amp;search_path&amp;"\RTDC"&amp;B170&amp;"\"&amp;TEXT(F170+1,"YYYY-MM-DD")</f>
        <v>aws s3 cp s3://rtdc.mdm.uploadarchive.raw/RTDC4055/ "%USERPROFILE%\AppData\Local\Temp\OnboardLogs"\RTDC4055\2018-01-06 --exclude "*" --recursive --include "*20180106*" &amp; "%USERPROFILE%\Documents\GitHub\mrs-test-scripts\Headless Mode &amp; Sideloading\WalkAndUnGZ.bat" "%USERPROFILE%\AppData\Local\Temp\OnboardLogs"\RTDC4055\2018-01-06 &amp; aws s3 cp s3://rtdc.mdm.uploadarchive.raw/RTDC4055/ "%USERPROFILE%\AppData\Local\Temp\OnboardLogs"\RTDC4055\2018-01-07 --exclude "*" --recursive --include "*20180107*" &amp; "%USERPROFILE%\Documents\GitHub\mrs-test-scripts\Headless Mode &amp; Sideloading\WalkAndUnGZ.bat" "%USERPROFILE%\AppData\Local\Temp\OnboardLogs"\RTDC4055\2018-01-07</v>
      </c>
      <c r="AF170" s="234" t="str">
        <f>astrogrep_path&amp;" /e /r /s /spath="&amp;search_path&amp;" /stypes=""app*"&amp;B170&amp;"*"&amp;TEXT(I170-utc_offset/24,"YYYYMMDD")&amp;"*"" /stext="" "&amp;TEXT(I170-utc_offset/24,"HH")&amp;search_regexp&amp;""""</f>
        <v>"C:\Program Files (x86)\AstroGrep\AstroGrep.exe" /e /r /s /spath="%USERPROFILE%\AppData\Local\Temp\OnboardLogs" /stypes="app*4055*20180106*" /stext=" 16:.+((SYSTEM_STATE.+slice.+state.+changed )|(ment ac)|(multiple cpu faults)|(system.+state.+changed )|(\[timeout)|(PRM\|1\|D)|(kpr)|(kdp)|(train st.+moving)|(\|lc)|(penalty))"</v>
      </c>
      <c r="AG170" s="244" t="str">
        <f>DetSubdiv(A170)</f>
        <v>NW</v>
      </c>
      <c r="AH170" s="236" t="str">
        <f t="shared" si="36"/>
        <v>"%USERPROFILE%\Documents\GitHub\eaglep3\Utilities\RefineRTDCRunTimes.py" --tripid 1808-06 --locoid 4055 --swversion DE.1.0.9.0 --startMP 300:58630 --initTime 2018-01-06T09:24:01 --startdatetime 2018-01-06T09:43:07 --delay 48 --endMP 204:178 --enddatetime 2018-01-06T09:55:29 --enforcementcount 0 &gt;&gt;%USERPROFILE%\Documents\GitHub\eaglep3-reporting\EC\2018-01-06-refined-times.txt</v>
      </c>
      <c r="AI170" s="238" t="str">
        <f t="shared" si="37"/>
        <v>echo {"issue":{"subject":"","project_id":79,"tracker_id":40,"status_id":1,"priority_id":2,"assigned_to_id":338,"start_date":"2018-01-06","description":"","custom_fields":[{"id":1,"name":"Subdivision","value":"NW"},{"id":4,"name":"Milepost","value":"0.0178"},{"id":17,"name":"Train ID","value":"1808-06"},{"id":16,"name":"Locomotive ID","value":"4055"},{"id":130,"name":"Impact","value":""},{"id":150,"name":"Time of Event (Mountain Time)","value":"09:55:29"},{"id":151,"name":"Denver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0" s="231"/>
      <c r="AL170" s="231"/>
      <c r="AM170" s="240" t="str">
        <f t="shared" si="38"/>
        <v>start /low /b %USERPROFILE%\Documents\GitHub\eaglep3\Utilities\DownloadLogsFromS3.py --loco 4055 --day 2018-01-06</v>
      </c>
      <c r="AN170" s="241" t="str">
        <f t="shared" si="39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16:55:29"},{"id":29,"name":"Sharepoint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 s="230" t="str">
        <f t="shared" si="40"/>
        <v>https://d0f6bd738d7f1b3e5a7ca70fe4ff75f0.us-east-1.aws.found.io/app/kibana#/discover/Steve-Slow-Train-Analysis-(2080s-and-2083s)?_g=(refreshInterval:(display:Off,pause:!f,section:0,value:0),time:(from:'2018-01-06T08:24:01-0700',mode:absolute,to:'2018-01-06T10:55:29-0700'))&amp;_a=(columns:!('Message%20ID',Summary),filters:!(),index:'emp_*',interval:auto,query:(query_string:(analyze_wildcard:!t,query:'%22rtdc.l.rtdc.4055%22')),sort:!(Time.ISO8601,asc))</v>
      </c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23" customFormat="1" x14ac:dyDescent="0.3">
      <c r="A171" s="229" t="s">
        <v>763</v>
      </c>
      <c r="B171" s="225">
        <v>4056</v>
      </c>
      <c r="C171" s="227" t="s">
        <v>192</v>
      </c>
      <c r="D171" s="227" t="s">
        <v>955</v>
      </c>
      <c r="E171" s="226">
        <v>43106.422962962963</v>
      </c>
      <c r="F171" s="226">
        <v>43106.42396990741</v>
      </c>
      <c r="G171" s="225">
        <v>47</v>
      </c>
      <c r="H171" s="227" t="s">
        <v>653</v>
      </c>
      <c r="I171" s="226">
        <v>43106.433148148149</v>
      </c>
      <c r="J171" s="225">
        <v>0</v>
      </c>
      <c r="K171" s="237" t="str">
        <f>IF(ISEVEN(B171),(B171-1)&amp;"/"&amp;B171,B171&amp;"/"&amp;(B171+1))</f>
        <v>4055/4056</v>
      </c>
      <c r="L171" s="245" t="str">
        <f>VLOOKUP(A171,'Trips&amp;Operators'!$C$1:$G$99911,5,FALSE)</f>
        <v>LAMAR NEKESHA</v>
      </c>
      <c r="M171" s="224">
        <f>I171-F171</f>
        <v>9.1782407398568466E-3</v>
      </c>
      <c r="N171" s="225">
        <f>24*60*SUM($M171:$M171)</f>
        <v>13.216666665393859</v>
      </c>
      <c r="O171" s="225"/>
      <c r="P171" s="225"/>
      <c r="Q171" s="228"/>
      <c r="R171" s="242"/>
      <c r="S171" s="249">
        <f>1/IF(AG171="EC",12,1)*SUM(U171:U171)</f>
        <v>1</v>
      </c>
      <c r="T171" s="242" t="str">
        <f>IF(ISEVEN(LEFT(AD171,4)),"Southbound","NorthBound")</f>
        <v>NorthBound</v>
      </c>
      <c r="U171" s="246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248" t="str">
        <f>"https://d0f6bd738d7f1b3e5a7ca70fe4ff75f0.us-east-1.aws.found.io/app/kibana#/discover/Steve-Slow-Train-Analysis-(2080s-and-2083s)?_g="&amp;"(refreshInterval:(display:Off,pause:!f,section:0,value:0),time:(from:'"&amp;TEXT(E171-1/24,"yyyy-MM-DDThh:mm:ss")&amp;utc_offset&amp;"00"&amp;"',mode:absolute,to:'"&amp;TEXT(I171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171&amp;"%22')),sort:!(Time.ISO8601,asc))"</f>
        <v>https://d0f6bd738d7f1b3e5a7ca70fe4ff75f0.us-east-1.aws.found.io/app/kibana#/discover/Steve-Slow-Train-Analysis-(2080s-and-2083s)?_g=(refreshInterval:(display:Off,pause:!f,section:0,value:0),time:(from:'2018-01-06T09:09:04-0700',mode:absolute,to:'2018-01-06T11:23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71" s="247" t="str">
        <f>IF(AA171&lt;VLOOKUP(AG171,Variables!$AC$3:$AD$8,2,FALSE),"Y","N")</f>
        <v>N</v>
      </c>
      <c r="X171" s="247">
        <f>VALUE(LEFT(AD171,4))-VALUE(LEFT(AD170,4))</f>
        <v>1</v>
      </c>
      <c r="Y171" s="247">
        <f>RIGHT(D171,LEN(D171)-4)/10000</f>
        <v>4.9500000000000002E-2</v>
      </c>
      <c r="Z171" s="247">
        <f>RIGHT(H171,LEN(H171)-4)/10000</f>
        <v>5.8943000000000003</v>
      </c>
      <c r="AA171" s="247">
        <f>ABS(Z171-Y171)</f>
        <v>5.8448000000000002</v>
      </c>
      <c r="AB171" s="233" t="e">
        <f>VLOOKUP(A171,Enforcements!$C$7:$K$9,8,0)</f>
        <v>#N/A</v>
      </c>
      <c r="AC171" s="232" t="e">
        <f>VLOOKUP(A171,Enforcements!$C$7:$E$9,3,0)</f>
        <v>#N/A</v>
      </c>
      <c r="AD171" s="243">
        <f>VALUE(LEFT(A171,LEN(A171)-3))</f>
        <v>1809</v>
      </c>
      <c r="AE171" s="235" t="str">
        <f>"aws s3 cp "&amp;s3_bucket&amp;"/RTDC"&amp;B171&amp;"/ "&amp;search_path&amp;"\RTDC"&amp;B171&amp;"\"&amp;TEXT(F171,"YYYY-MM-DD")&amp;" --exclude ""*"" --recursive --include ""*"&amp;TEXT(F171,"YYYYMMDD")&amp;"*"" &amp; """&amp;walkandungz&amp;""" "&amp;search_path&amp;"\RTDC"&amp;B171&amp;"\"&amp;TEXT(F171,"YYYY-MM-DD")
&amp;" &amp; "&amp;"aws s3 cp "&amp;s3_bucket&amp;"/RTDC"&amp;B171&amp;"/ "&amp;search_path&amp;"\RTDC"&amp;B171&amp;"\"&amp;TEXT(F171+1,"YYYY-MM-DD")&amp;" --exclude ""*"" --recursive --include ""*"&amp;TEXT(F171+1,"YYYYMMDD")&amp;"*"" &amp; """&amp;walkandungz&amp;""" "&amp;search_path&amp;"\RTDC"&amp;B171&amp;"\"&amp;TEXT(F171+1,"YYYY-MM-DD")</f>
        <v>aws s3 cp s3://rtdc.mdm.uploadarchive.raw/RTDC4056/ "%USERPROFILE%\AppData\Local\Temp\OnboardLogs"\RTDC4056\2018-01-06 --exclude "*" --recursive --include "*20180106*" &amp; "%USERPROFILE%\Documents\GitHub\mrs-test-scripts\Headless Mode &amp; Sideloading\WalkAndUnGZ.bat" "%USERPROFILE%\AppData\Local\Temp\OnboardLogs"\RTDC4056\2018-01-06 &amp; aws s3 cp s3://rtdc.mdm.uploadarchive.raw/RTDC4056/ "%USERPROFILE%\AppData\Local\Temp\OnboardLogs"\RTDC4056\2018-01-07 --exclude "*" --recursive --include "*20180107*" &amp; "%USERPROFILE%\Documents\GitHub\mrs-test-scripts\Headless Mode &amp; Sideloading\WalkAndUnGZ.bat" "%USERPROFILE%\AppData\Local\Temp\OnboardLogs"\RTDC4056\2018-01-07</v>
      </c>
      <c r="AF171" s="234" t="str">
        <f>astrogrep_path&amp;" /e /r /s /spath="&amp;search_path&amp;" /stypes=""app*"&amp;B171&amp;"*"&amp;TEXT(I171-utc_offset/24,"YYYYMMDD")&amp;"*"" /stext="" "&amp;TEXT(I171-utc_offset/24,"HH")&amp;search_regexp&amp;""""</f>
        <v>"C:\Program Files (x86)\AstroGrep\AstroGrep.exe" /e /r /s /spath="%USERPROFILE%\AppData\Local\Temp\OnboardLogs" /stypes="app*4056*20180106*" /stext=" 17:.+((SYSTEM_STATE.+slice.+state.+changed )|(ment ac)|(multiple cpu faults)|(system.+state.+changed )|(\[timeout)|(PRM\|1\|D)|(kpr)|(kdp)|(train st.+moving)|(\|lc)|(penalty))"</v>
      </c>
      <c r="AG171" s="244" t="str">
        <f>DetSubdiv(A171)</f>
        <v>NW</v>
      </c>
      <c r="AH171" s="236" t="str">
        <f t="shared" si="36"/>
        <v>"%USERPROFILE%\Documents\GitHub\eaglep3\Utilities\RefineRTDCRunTimes.py" --tripid 1809-06 --locoid 4056 --swversion DE.1.0.9.0 --startMP 204:495 --initTime 2018-01-06T10:09:04 --startdatetime 2018-01-06T10:10:31 --delay 47 --endMP 300:58943 --enddatetime 2018-01-06T10:23:44 --enforcementcount 0 &gt;&gt;%USERPROFILE%\Documents\GitHub\eaglep3-reporting\EC\2018-01-06-refined-times.txt</v>
      </c>
      <c r="AI171" s="238" t="str">
        <f t="shared" si="37"/>
        <v>echo {"issue":{"subject":"","project_id":79,"tracker_id":40,"status_id":1,"priority_id":2,"assigned_to_id":338,"start_date":"2018-01-06","description":"","custom_fields":[{"id":1,"name":"Subdivision","value":"NW"},{"id":4,"name":"Milepost","value":"5.8943"},{"id":17,"name":"Train ID","value":"1809-06"},{"id":16,"name":"Locomotive ID","value":"4056"},{"id":130,"name":"Impact","value":""},{"id":150,"name":"Time of Event (Mountain Time)","value":"10:23:44"},{"id":151,"name":"Denver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1" s="231"/>
      <c r="AL171" s="231"/>
      <c r="AM171" s="240" t="str">
        <f t="shared" si="38"/>
        <v>start /low /b %USERPROFILE%\Documents\GitHub\eaglep3\Utilities\DownloadLogsFromS3.py --loco 4056 --day 2018-01-06</v>
      </c>
      <c r="AN171" s="241" t="str">
        <f t="shared" si="39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17:23:44"},{"id":29,"name":"Sharepoint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 s="230" t="str">
        <f t="shared" si="40"/>
        <v>https://d0f6bd738d7f1b3e5a7ca70fe4ff75f0.us-east-1.aws.found.io/app/kibana#/discover/Steve-Slow-Train-Analysis-(2080s-and-2083s)?_g=(refreshInterval:(display:Off,pause:!f,section:0,value:0),time:(from:'2018-01-06T09:09:04-0700',mode:absolute,to:'2018-01-06T11:23:44-0700'))&amp;_a=(columns:!('Message%20ID',Summary),filters:!(),index:'emp_*',interval:auto,query:(query_string:(analyze_wildcard:!t,query:'%22rtdc.l.rtdc.4056%22')),sort:!(Time.ISO8601,asc))</v>
      </c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23" customFormat="1" x14ac:dyDescent="0.3">
      <c r="A172" s="229" t="s">
        <v>765</v>
      </c>
      <c r="B172" s="225">
        <v>4055</v>
      </c>
      <c r="C172" s="227" t="s">
        <v>192</v>
      </c>
      <c r="D172" s="227" t="s">
        <v>956</v>
      </c>
      <c r="E172" s="226">
        <v>43106.433900462966</v>
      </c>
      <c r="F172" s="226">
        <v>43106.446736111109</v>
      </c>
      <c r="G172" s="225">
        <v>68</v>
      </c>
      <c r="H172" s="227" t="s">
        <v>957</v>
      </c>
      <c r="I172" s="226">
        <v>43106.455370370371</v>
      </c>
      <c r="J172" s="225">
        <v>0</v>
      </c>
      <c r="K172" s="237" t="str">
        <f>IF(ISEVEN(B172),(B172-1)&amp;"/"&amp;B172,B172&amp;"/"&amp;(B172+1))</f>
        <v>4055/4056</v>
      </c>
      <c r="L172" s="245" t="str">
        <f>VLOOKUP(A172,'Trips&amp;Operators'!$C$1:$G$99911,5,FALSE)</f>
        <v>LAMAR NEKESHA</v>
      </c>
      <c r="M172" s="224">
        <f>I172-F172</f>
        <v>8.6342592621804215E-3</v>
      </c>
      <c r="N172" s="225">
        <f>24*60*SUM($M172:$M172)</f>
        <v>12.433333337539807</v>
      </c>
      <c r="O172" s="225"/>
      <c r="P172" s="225"/>
      <c r="Q172" s="228"/>
      <c r="R172" s="242"/>
      <c r="S172" s="249">
        <f>1/IF(AG172="EC",12,1)*SUM(U172:U172)</f>
        <v>1</v>
      </c>
      <c r="T172" s="242" t="str">
        <f>IF(ISEVEN(LEFT(AD172,4)),"Southbound","NorthBound")</f>
        <v>Southbound</v>
      </c>
      <c r="U172" s="246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248" t="str">
        <f>"https://d0f6bd738d7f1b3e5a7ca70fe4ff75f0.us-east-1.aws.found.io/app/kibana#/discover/Steve-Slow-Train-Analysis-(2080s-and-2083s)?_g="&amp;"(refreshInterval:(display:Off,pause:!f,section:0,value:0),time:(from:'"&amp;TEXT(E172-1/24,"yyyy-MM-DDThh:mm:ss")&amp;utc_offset&amp;"00"&amp;"',mode:absolute,to:'"&amp;TEXT(I172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172&amp;"%22')),sort:!(Time.ISO8601,asc))"</f>
        <v>https://d0f6bd738d7f1b3e5a7ca70fe4ff75f0.us-east-1.aws.found.io/app/kibana#/discover/Steve-Slow-Train-Analysis-(2080s-and-2083s)?_g=(refreshInterval:(display:Off,pause:!f,section:0,value:0),time:(from:'2018-01-06T09:24:49-0700',mode:absolute,to:'2018-01-06T11:55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72" s="247" t="str">
        <f>IF(AA172&lt;VLOOKUP(AG172,Variables!$AC$3:$AD$8,2,FALSE),"Y","N")</f>
        <v>N</v>
      </c>
      <c r="X172" s="247">
        <f>VALUE(LEFT(AD172,4))-VALUE(LEFT(AD171,4))</f>
        <v>1</v>
      </c>
      <c r="Y172" s="247">
        <f>RIGHT(D172,LEN(D172)-4)/10000</f>
        <v>5.8632</v>
      </c>
      <c r="Z172" s="247">
        <f>RIGHT(H172,LEN(H172)-4)/10000</f>
        <v>1.5100000000000001E-2</v>
      </c>
      <c r="AA172" s="247">
        <f>ABS(Z172-Y172)</f>
        <v>5.8480999999999996</v>
      </c>
      <c r="AB172" s="233" t="e">
        <f>VLOOKUP(A172,Enforcements!$C$7:$K$9,8,0)</f>
        <v>#N/A</v>
      </c>
      <c r="AC172" s="232" t="e">
        <f>VLOOKUP(A172,Enforcements!$C$7:$E$9,3,0)</f>
        <v>#N/A</v>
      </c>
      <c r="AD172" s="243">
        <f>VALUE(LEFT(A172,LEN(A172)-3))</f>
        <v>1810</v>
      </c>
      <c r="AE172" s="235" t="str">
        <f>"aws s3 cp "&amp;s3_bucket&amp;"/RTDC"&amp;B172&amp;"/ "&amp;search_path&amp;"\RTDC"&amp;B172&amp;"\"&amp;TEXT(F172,"YYYY-MM-DD")&amp;" --exclude ""*"" --recursive --include ""*"&amp;TEXT(F172,"YYYYMMDD")&amp;"*"" &amp; """&amp;walkandungz&amp;""" "&amp;search_path&amp;"\RTDC"&amp;B172&amp;"\"&amp;TEXT(F172,"YYYY-MM-DD")
&amp;" &amp; "&amp;"aws s3 cp "&amp;s3_bucket&amp;"/RTDC"&amp;B172&amp;"/ "&amp;search_path&amp;"\RTDC"&amp;B172&amp;"\"&amp;TEXT(F172+1,"YYYY-MM-DD")&amp;" --exclude ""*"" --recursive --include ""*"&amp;TEXT(F172+1,"YYYYMMDD")&amp;"*"" &amp; """&amp;walkandungz&amp;""" "&amp;search_path&amp;"\RTDC"&amp;B172&amp;"\"&amp;TEXT(F172+1,"YYYY-MM-DD")</f>
        <v>aws s3 cp s3://rtdc.mdm.uploadarchive.raw/RTDC4055/ "%USERPROFILE%\AppData\Local\Temp\OnboardLogs"\RTDC4055\2018-01-06 --exclude "*" --recursive --include "*20180106*" &amp; "%USERPROFILE%\Documents\GitHub\mrs-test-scripts\Headless Mode &amp; Sideloading\WalkAndUnGZ.bat" "%USERPROFILE%\AppData\Local\Temp\OnboardLogs"\RTDC4055\2018-01-06 &amp; aws s3 cp s3://rtdc.mdm.uploadarchive.raw/RTDC4055/ "%USERPROFILE%\AppData\Local\Temp\OnboardLogs"\RTDC4055\2018-01-07 --exclude "*" --recursive --include "*20180107*" &amp; "%USERPROFILE%\Documents\GitHub\mrs-test-scripts\Headless Mode &amp; Sideloading\WalkAndUnGZ.bat" "%USERPROFILE%\AppData\Local\Temp\OnboardLogs"\RTDC4055\2018-01-07</v>
      </c>
      <c r="AF172" s="234" t="str">
        <f>astrogrep_path&amp;" /e /r /s /spath="&amp;search_path&amp;" /stypes=""app*"&amp;B172&amp;"*"&amp;TEXT(I172-utc_offset/24,"YYYYMMDD")&amp;"*"" /stext="" "&amp;TEXT(I172-utc_offset/24,"HH")&amp;search_regexp&amp;""""</f>
        <v>"C:\Program Files (x86)\AstroGrep\AstroGrep.exe" /e /r /s /spath="%USERPROFILE%\AppData\Local\Temp\OnboardLogs" /stypes="app*4055*20180106*" /stext=" 17:.+((SYSTEM_STATE.+slice.+state.+changed )|(ment ac)|(multiple cpu faults)|(system.+state.+changed )|(\[timeout)|(PRM\|1\|D)|(kpr)|(kdp)|(train st.+moving)|(\|lc)|(penalty))"</v>
      </c>
      <c r="AG172" s="244" t="str">
        <f>DetSubdiv(A172)</f>
        <v>NW</v>
      </c>
      <c r="AH172" s="236" t="str">
        <f t="shared" si="36"/>
        <v>"%USERPROFILE%\Documents\GitHub\eaglep3\Utilities\RefineRTDCRunTimes.py" --tripid 1810-06 --locoid 4055 --swversion DE.1.0.9.0 --startMP 300:58632 --initTime 2018-01-06T10:24:49 --startdatetime 2018-01-06T10:43:18 --delay 68 --endMP 204:151 --enddatetime 2018-01-06T10:55:44 --enforcementcount 0 &gt;&gt;%USERPROFILE%\Documents\GitHub\eaglep3-reporting\EC\2018-01-06-refined-times.txt</v>
      </c>
      <c r="AI172" s="238" t="str">
        <f t="shared" si="37"/>
        <v>echo {"issue":{"subject":"","project_id":79,"tracker_id":40,"status_id":1,"priority_id":2,"assigned_to_id":338,"start_date":"2018-01-06","description":"","custom_fields":[{"id":1,"name":"Subdivision","value":"NW"},{"id":4,"name":"Milepost","value":"0.0151"},{"id":17,"name":"Train ID","value":"1810-06"},{"id":16,"name":"Locomotive ID","value":"4055"},{"id":130,"name":"Impact","value":""},{"id":150,"name":"Time of Event (Mountain Time)","value":"10:55:44"},{"id":151,"name":"Denver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2" s="231"/>
      <c r="AL172" s="231"/>
      <c r="AM172" s="240" t="str">
        <f t="shared" si="38"/>
        <v>start /low /b %USERPROFILE%\Documents\GitHub\eaglep3\Utilities\DownloadLogsFromS3.py --loco 4055 --day 2018-01-06</v>
      </c>
      <c r="AN172" s="241" t="str">
        <f t="shared" si="39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17:55:44"},{"id":29,"name":"Sharepoint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 s="230" t="str">
        <f t="shared" si="40"/>
        <v>https://d0f6bd738d7f1b3e5a7ca70fe4ff75f0.us-east-1.aws.found.io/app/kibana#/discover/Steve-Slow-Train-Analysis-(2080s-and-2083s)?_g=(refreshInterval:(display:Off,pause:!f,section:0,value:0),time:(from:'2018-01-06T09:24:49-0700',mode:absolute,to:'2018-01-06T11:55:44-0700'))&amp;_a=(columns:!('Message%20ID',Summary),filters:!(),index:'emp_*',interval:auto,query:(query_string:(analyze_wildcard:!t,query:'%22rtdc.l.rtdc.4055%22')),sort:!(Time.ISO8601,asc))</v>
      </c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3">
      <c r="A173" s="229" t="s">
        <v>772</v>
      </c>
      <c r="B173" s="225">
        <v>4056</v>
      </c>
      <c r="C173" s="227" t="s">
        <v>192</v>
      </c>
      <c r="D173" s="227" t="s">
        <v>655</v>
      </c>
      <c r="E173" s="226">
        <v>43106.463171296295</v>
      </c>
      <c r="F173" s="226">
        <v>43106.464768518519</v>
      </c>
      <c r="G173" s="225">
        <v>47</v>
      </c>
      <c r="H173" s="227" t="s">
        <v>527</v>
      </c>
      <c r="I173" s="226">
        <v>43106.473935185182</v>
      </c>
      <c r="J173" s="225">
        <v>0</v>
      </c>
      <c r="K173" s="237" t="str">
        <f>IF(ISEVEN(B173),(B173-1)&amp;"/"&amp;B173,B173&amp;"/"&amp;(B173+1))</f>
        <v>4055/4056</v>
      </c>
      <c r="L173" s="245" t="str">
        <f>VLOOKUP(A173,'Trips&amp;Operators'!$C$1:$G$99911,5,FALSE)</f>
        <v>LAMAR NEKESHA</v>
      </c>
      <c r="M173" s="224">
        <f>I173-F173</f>
        <v>9.1666666630771942E-3</v>
      </c>
      <c r="N173" s="225">
        <f>24*60*SUM($M173:$M173)</f>
        <v>13.19999999483116</v>
      </c>
      <c r="O173" s="225"/>
      <c r="P173" s="225"/>
      <c r="Q173" s="228"/>
      <c r="R173" s="242"/>
      <c r="S173" s="249">
        <f>1/IF(AG173="EC",12,1)*SUM(U173:U173)</f>
        <v>1</v>
      </c>
      <c r="T173" s="242" t="str">
        <f>IF(ISEVEN(LEFT(AD173,4)),"Southbound","NorthBound")</f>
        <v>NorthBound</v>
      </c>
      <c r="U173" s="246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248" t="str">
        <f>"https://d0f6bd738d7f1b3e5a7ca70fe4ff75f0.us-east-1.aws.found.io/app/kibana#/discover/Steve-Slow-Train-Analysis-(2080s-and-2083s)?_g="&amp;"(refreshInterval:(display:Off,pause:!f,section:0,value:0),time:(from:'"&amp;TEXT(E173-1/24,"yyyy-MM-DDThh:mm:ss")&amp;utc_offset&amp;"00"&amp;"',mode:absolute,to:'"&amp;TEXT(I173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173&amp;"%22')),sort:!(Time.ISO8601,asc))"</f>
        <v>https://d0f6bd738d7f1b3e5a7ca70fe4ff75f0.us-east-1.aws.found.io/app/kibana#/discover/Steve-Slow-Train-Analysis-(2080s-and-2083s)?_g=(refreshInterval:(display:Off,pause:!f,section:0,value:0),time:(from:'2018-01-06T10:06:58-0700',mode:absolute,to:'2018-01-06T12:22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73" s="247" t="str">
        <f>IF(AA173&lt;VLOOKUP(AG173,Variables!$AC$3:$AD$8,2,FALSE),"Y","N")</f>
        <v>N</v>
      </c>
      <c r="X173" s="247">
        <f>VALUE(LEFT(AD173,4))-VALUE(LEFT(AD172,4))</f>
        <v>1</v>
      </c>
      <c r="Y173" s="247">
        <f>RIGHT(D173,LEN(D173)-4)/10000</f>
        <v>4.5900000000000003E-2</v>
      </c>
      <c r="Z173" s="247">
        <f>RIGHT(H173,LEN(H173)-4)/10000</f>
        <v>5.8939000000000004</v>
      </c>
      <c r="AA173" s="247">
        <f>ABS(Z173-Y173)</f>
        <v>5.8480000000000008</v>
      </c>
      <c r="AB173" s="233" t="e">
        <f>VLOOKUP(A173,Enforcements!$C$7:$K$9,8,0)</f>
        <v>#N/A</v>
      </c>
      <c r="AC173" s="232" t="e">
        <f>VLOOKUP(A173,Enforcements!$C$7:$E$9,3,0)</f>
        <v>#N/A</v>
      </c>
      <c r="AD173" s="243">
        <f>VALUE(LEFT(A173,LEN(A173)-3))</f>
        <v>1811</v>
      </c>
      <c r="AE173" s="235" t="str">
        <f>"aws s3 cp "&amp;s3_bucket&amp;"/RTDC"&amp;B173&amp;"/ "&amp;search_path&amp;"\RTDC"&amp;B173&amp;"\"&amp;TEXT(F173,"YYYY-MM-DD")&amp;" --exclude ""*"" --recursive --include ""*"&amp;TEXT(F173,"YYYYMMDD")&amp;"*"" &amp; """&amp;walkandungz&amp;""" "&amp;search_path&amp;"\RTDC"&amp;B173&amp;"\"&amp;TEXT(F173,"YYYY-MM-DD")
&amp;" &amp; "&amp;"aws s3 cp "&amp;s3_bucket&amp;"/RTDC"&amp;B173&amp;"/ "&amp;search_path&amp;"\RTDC"&amp;B173&amp;"\"&amp;TEXT(F173+1,"YYYY-MM-DD")&amp;" --exclude ""*"" --recursive --include ""*"&amp;TEXT(F173+1,"YYYYMMDD")&amp;"*"" &amp; """&amp;walkandungz&amp;""" "&amp;search_path&amp;"\RTDC"&amp;B173&amp;"\"&amp;TEXT(F173+1,"YYYY-MM-DD")</f>
        <v>aws s3 cp s3://rtdc.mdm.uploadarchive.raw/RTDC4056/ "%USERPROFILE%\AppData\Local\Temp\OnboardLogs"\RTDC4056\2018-01-06 --exclude "*" --recursive --include "*20180106*" &amp; "%USERPROFILE%\Documents\GitHub\mrs-test-scripts\Headless Mode &amp; Sideloading\WalkAndUnGZ.bat" "%USERPROFILE%\AppData\Local\Temp\OnboardLogs"\RTDC4056\2018-01-06 &amp; aws s3 cp s3://rtdc.mdm.uploadarchive.raw/RTDC4056/ "%USERPROFILE%\AppData\Local\Temp\OnboardLogs"\RTDC4056\2018-01-07 --exclude "*" --recursive --include "*20180107*" &amp; "%USERPROFILE%\Documents\GitHub\mrs-test-scripts\Headless Mode &amp; Sideloading\WalkAndUnGZ.bat" "%USERPROFILE%\AppData\Local\Temp\OnboardLogs"\RTDC4056\2018-01-07</v>
      </c>
      <c r="AF173" s="234" t="str">
        <f>astrogrep_path&amp;" /e /r /s /spath="&amp;search_path&amp;" /stypes=""app*"&amp;B173&amp;"*"&amp;TEXT(I173-utc_offset/24,"YYYYMMDD")&amp;"*"" /stext="" "&amp;TEXT(I173-utc_offset/24,"HH")&amp;search_regexp&amp;""""</f>
        <v>"C:\Program Files (x86)\AstroGrep\AstroGrep.exe" /e /r /s /spath="%USERPROFILE%\AppData\Local\Temp\OnboardLogs" /stypes="app*4056*20180106*" /stext=" 18:.+((SYSTEM_STATE.+slice.+state.+changed )|(ment ac)|(multiple cpu faults)|(system.+state.+changed )|(\[timeout)|(PRM\|1\|D)|(kpr)|(kdp)|(train st.+moving)|(\|lc)|(penalty))"</v>
      </c>
      <c r="AG173" s="244" t="str">
        <f>DetSubdiv(A173)</f>
        <v>NW</v>
      </c>
      <c r="AH173" s="236" t="str">
        <f t="shared" si="36"/>
        <v>"%USERPROFILE%\Documents\GitHub\eaglep3\Utilities\RefineRTDCRunTimes.py" --tripid 1811-06 --locoid 4056 --swversion DE.1.0.9.0 --startMP 204:459 --initTime 2018-01-06T11:06:58 --startdatetime 2018-01-06T11:09:16 --delay 47 --endMP 300:58939 --enddatetime 2018-01-06T11:22:28 --enforcementcount 0 &gt;&gt;%USERPROFILE%\Documents\GitHub\eaglep3-reporting\EC\2018-01-06-refined-times.txt</v>
      </c>
      <c r="AI173" s="238" t="str">
        <f t="shared" si="37"/>
        <v>echo {"issue":{"subject":"","project_id":79,"tracker_id":40,"status_id":1,"priority_id":2,"assigned_to_id":338,"start_date":"2018-01-06","description":"","custom_fields":[{"id":1,"name":"Subdivision","value":"NW"},{"id":4,"name":"Milepost","value":"5.8939"},{"id":17,"name":"Train ID","value":"1811-06"},{"id":16,"name":"Locomotive ID","value":"4056"},{"id":130,"name":"Impact","value":""},{"id":150,"name":"Time of Event (Mountain Time)","value":"11:22:28"},{"id":151,"name":"Denver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3" s="223"/>
      <c r="AK173" s="231"/>
      <c r="AL173" s="231"/>
      <c r="AM173" s="240" t="str">
        <f t="shared" si="38"/>
        <v>start /low /b %USERPROFILE%\Documents\GitHub\eaglep3\Utilities\DownloadLogsFromS3.py --loco 4056 --day 2018-01-06</v>
      </c>
      <c r="AN173" s="241" t="str">
        <f t="shared" si="39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18:22:28"},{"id":29,"name":"Sharepoint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 s="230" t="str">
        <f t="shared" si="40"/>
        <v>https://d0f6bd738d7f1b3e5a7ca70fe4ff75f0.us-east-1.aws.found.io/app/kibana#/discover/Steve-Slow-Train-Analysis-(2080s-and-2083s)?_g=(refreshInterval:(display:Off,pause:!f,section:0,value:0),time:(from:'2018-01-06T10:06:58-0700',mode:absolute,to:'2018-01-06T12:22:28-0700'))&amp;_a=(columns:!('Message%20ID',Summary),filters:!(),index:'emp_*',interval:auto,query:(query_string:(analyze_wildcard:!t,query:'%22rtdc.l.rtdc.4056%22')),sort:!(Time.ISO8601,asc))</v>
      </c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23" customFormat="1" x14ac:dyDescent="0.3">
      <c r="A174" s="229" t="s">
        <v>777</v>
      </c>
      <c r="B174" s="225">
        <v>4055</v>
      </c>
      <c r="C174" s="227" t="s">
        <v>192</v>
      </c>
      <c r="D174" s="227" t="s">
        <v>654</v>
      </c>
      <c r="E174" s="226">
        <v>43106.475011574075</v>
      </c>
      <c r="F174" s="226">
        <v>43106.519699074073</v>
      </c>
      <c r="G174" s="225">
        <v>46</v>
      </c>
      <c r="H174" s="227" t="s">
        <v>654</v>
      </c>
      <c r="I174" s="226">
        <v>43106.536770833336</v>
      </c>
      <c r="J174" s="225">
        <v>0</v>
      </c>
      <c r="K174" s="237" t="str">
        <f>IF(ISEVEN(B174),(B174-1)&amp;"/"&amp;B174,B174&amp;"/"&amp;(B174+1))</f>
        <v>4055/4056</v>
      </c>
      <c r="L174" s="245" t="str">
        <f>VLOOKUP(A174,'Trips&amp;Operators'!$C$1:$G$99911,5,FALSE)</f>
        <v>LAMAR NEKESHA</v>
      </c>
      <c r="M174" s="224">
        <f>I174-F174</f>
        <v>1.7071759262762498E-2</v>
      </c>
      <c r="N174" s="225"/>
      <c r="O174" s="225"/>
      <c r="P174" s="225">
        <f>24*60*SUM($M174:$M174)</f>
        <v>24.583333338377997</v>
      </c>
      <c r="Q174" s="228"/>
      <c r="R174" s="242" t="s">
        <v>658</v>
      </c>
      <c r="S174" s="249">
        <f>1/IF(AG174="EC",12,1)*SUM(U174:U174)</f>
        <v>0</v>
      </c>
      <c r="T174" s="242" t="str">
        <f>IF(ISEVEN(LEFT(AD174,4)),"Southbound","NorthBound")</f>
        <v>Southbound</v>
      </c>
      <c r="U174" s="246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0</v>
      </c>
      <c r="V174" s="248" t="str">
        <f>"https://d0f6bd738d7f1b3e5a7ca70fe4ff75f0.us-east-1.aws.found.io/app/kibana#/discover/Steve-Slow-Train-Analysis-(2080s-and-2083s)?_g="&amp;"(refreshInterval:(display:Off,pause:!f,section:0,value:0),time:(from:'"&amp;TEXT(E174-1/24,"yyyy-MM-DDThh:mm:ss")&amp;utc_offset&amp;"00"&amp;"',mode:absolute,to:'"&amp;TEXT(I174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174&amp;"%22')),sort:!(Time.ISO8601,asc))"</f>
        <v>https://d0f6bd738d7f1b3e5a7ca70fe4ff75f0.us-east-1.aws.found.io/app/kibana#/discover/Steve-Slow-Train-Analysis-(2080s-and-2083s)?_g=(refreshInterval:(display:Off,pause:!f,section:0,value:0),time:(from:'2018-01-06T10:24:01-0700',mode:absolute,to:'2018-01-06T13:52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74" s="247" t="str">
        <f>IF(AA174&lt;VLOOKUP(AG174,Variables!$AC$3:$AD$8,2,FALSE),"Y","N")</f>
        <v>Y</v>
      </c>
      <c r="X174" s="247">
        <f>VALUE(LEFT(AD174,4))-VALUE(LEFT(AD173,4))</f>
        <v>1</v>
      </c>
      <c r="Y174" s="247">
        <f>RIGHT(D174,LEN(D174)-4)/10000</f>
        <v>5.8624000000000001</v>
      </c>
      <c r="Z174" s="247">
        <f>RIGHT(H174,LEN(H174)-4)/10000</f>
        <v>5.8624000000000001</v>
      </c>
      <c r="AA174" s="247">
        <f>ABS(Z174-Y174)</f>
        <v>0</v>
      </c>
      <c r="AB174" s="233" t="e">
        <f>VLOOKUP(A174,Enforcements!$C$7:$K$9,8,0)</f>
        <v>#N/A</v>
      </c>
      <c r="AC174" s="232" t="e">
        <f>VLOOKUP(A174,Enforcements!$C$7:$E$9,3,0)</f>
        <v>#N/A</v>
      </c>
      <c r="AD174" s="243">
        <f>VALUE(LEFT(A174,LEN(A174)-3))</f>
        <v>1812</v>
      </c>
      <c r="AE174" s="235" t="str">
        <f>"aws s3 cp "&amp;s3_bucket&amp;"/RTDC"&amp;B174&amp;"/ "&amp;search_path&amp;"\RTDC"&amp;B174&amp;"\"&amp;TEXT(F174,"YYYY-MM-DD")&amp;" --exclude ""*"" --recursive --include ""*"&amp;TEXT(F174,"YYYYMMDD")&amp;"*"" &amp; """&amp;walkandungz&amp;""" "&amp;search_path&amp;"\RTDC"&amp;B174&amp;"\"&amp;TEXT(F174,"YYYY-MM-DD")
&amp;" &amp; "&amp;"aws s3 cp "&amp;s3_bucket&amp;"/RTDC"&amp;B174&amp;"/ "&amp;search_path&amp;"\RTDC"&amp;B174&amp;"\"&amp;TEXT(F174+1,"YYYY-MM-DD")&amp;" --exclude ""*"" --recursive --include ""*"&amp;TEXT(F174+1,"YYYYMMDD")&amp;"*"" &amp; """&amp;walkandungz&amp;""" "&amp;search_path&amp;"\RTDC"&amp;B174&amp;"\"&amp;TEXT(F174+1,"YYYY-MM-DD")</f>
        <v>aws s3 cp s3://rtdc.mdm.uploadarchive.raw/RTDC4055/ "%USERPROFILE%\AppData\Local\Temp\OnboardLogs"\RTDC4055\2018-01-06 --exclude "*" --recursive --include "*20180106*" &amp; "%USERPROFILE%\Documents\GitHub\mrs-test-scripts\Headless Mode &amp; Sideloading\WalkAndUnGZ.bat" "%USERPROFILE%\AppData\Local\Temp\OnboardLogs"\RTDC4055\2018-01-06 &amp; aws s3 cp s3://rtdc.mdm.uploadarchive.raw/RTDC4055/ "%USERPROFILE%\AppData\Local\Temp\OnboardLogs"\RTDC4055\2018-01-07 --exclude "*" --recursive --include "*20180107*" &amp; "%USERPROFILE%\Documents\GitHub\mrs-test-scripts\Headless Mode &amp; Sideloading\WalkAndUnGZ.bat" "%USERPROFILE%\AppData\Local\Temp\OnboardLogs"\RTDC4055\2018-01-07</v>
      </c>
      <c r="AF174" s="234" t="str">
        <f>astrogrep_path&amp;" /e /r /s /spath="&amp;search_path&amp;" /stypes=""app*"&amp;B174&amp;"*"&amp;TEXT(I174-utc_offset/24,"YYYYMMDD")&amp;"*"" /stext="" "&amp;TEXT(I174-utc_offset/24,"HH")&amp;search_regexp&amp;""""</f>
        <v>"C:\Program Files (x86)\AstroGrep\AstroGrep.exe" /e /r /s /spath="%USERPROFILE%\AppData\Local\Temp\OnboardLogs" /stypes="app*4055*20180106*" /stext=" 19:.+((SYSTEM_STATE.+slice.+state.+changed )|(ment ac)|(multiple cpu faults)|(system.+state.+changed )|(\[timeout)|(PRM\|1\|D)|(kpr)|(kdp)|(train st.+moving)|(\|lc)|(penalty))"</v>
      </c>
      <c r="AG174" s="244" t="str">
        <f>DetSubdiv(A174)</f>
        <v>NW</v>
      </c>
      <c r="AH174" s="236" t="str">
        <f t="shared" si="36"/>
        <v>"%USERPROFILE%\Documents\GitHub\eaglep3\Utilities\RefineRTDCRunTimes.py" --tripid 1812-06 --locoid 4055 --swversion DE.1.0.9.0 --startMP 300:58624 --initTime 2018-01-06T11:24:01 --startdatetime 2018-01-06T12:28:22 --delay 46 --endMP 300:58624 --enddatetime 2018-01-06T12:52:57 --enforcementcount 0 &gt;&gt;%USERPROFILE%\Documents\GitHub\eaglep3-reporting\EC\2018-01-06-refined-times.txt</v>
      </c>
      <c r="AI174" s="238" t="str">
        <f t="shared" si="37"/>
        <v>echo {"issue":{"subject":"Onboard en route failure","project_id":79,"tracker_id":40,"status_id":1,"priority_id":2,"assigned_to_id":338,"start_date":"2018-01-06","description":"","custom_fields":[{"id":1,"name":"Subdivision","value":"NW"},{"id":4,"name":"Milepost","value":"5.8624"},{"id":17,"name":"Train ID","value":"1812-06"},{"id":16,"name":"Locomotive ID","value":"4055"},{"id":130,"name":"Impact","value":""},{"id":150,"name":"Time of Event (Mountain Time)","value":"12:52:57"},{"id":151,"name":"Denver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4" s="231"/>
      <c r="AL174" s="231"/>
      <c r="AM174" s="240" t="str">
        <f t="shared" si="38"/>
        <v>start /low /b %USERPROFILE%\Documents\GitHub\eaglep3\Utilities\DownloadLogsFromS3.py --loco 4055 --day 2018-01-06</v>
      </c>
      <c r="AN174" s="241" t="str">
        <f t="shared" si="39"/>
        <v>echo {"issue":{"subject":"Onboard en route failure","project_id":30,"tracker_id":4,"status_id":1,"priority_id":1,"assigned_to_id":10,"start_date":"2018-01-06","description":"","custom_fields":[{"id":30,"name":"Category","value":"Issue"},{"id":3,"name":"Functional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19:52:57"},{"id":29,"name":"Sharepoint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 s="230" t="str">
        <f t="shared" si="40"/>
        <v>https://d0f6bd738d7f1b3e5a7ca70fe4ff75f0.us-east-1.aws.found.io/app/kibana#/discover/Steve-Slow-Train-Analysis-(2080s-and-2083s)?_g=(refreshInterval:(display:Off,pause:!f,section:0,value:0),time:(from:'2018-01-06T10:24:01-0700',mode:absolute,to:'2018-01-06T13:52:57-0700'))&amp;_a=(columns:!('Message%20ID',Summary),filters:!(),index:'emp_*',interval:auto,query:(query_string:(analyze_wildcard:!t,query:'%22rtdc.l.rtdc.4055%22')),sort:!(Time.ISO8601,asc))</v>
      </c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23" customFormat="1" x14ac:dyDescent="0.3">
      <c r="A175" s="229" t="s">
        <v>783</v>
      </c>
      <c r="B175" s="225">
        <v>4056</v>
      </c>
      <c r="C175" s="227" t="s">
        <v>192</v>
      </c>
      <c r="D175" s="227" t="s">
        <v>656</v>
      </c>
      <c r="E175" s="226">
        <v>43106.504016203704</v>
      </c>
      <c r="F175" s="226">
        <v>43106.506527777776</v>
      </c>
      <c r="G175" s="225">
        <v>80</v>
      </c>
      <c r="H175" s="227" t="s">
        <v>958</v>
      </c>
      <c r="I175" s="226">
        <v>43106.516030092593</v>
      </c>
      <c r="J175" s="225">
        <v>0</v>
      </c>
      <c r="K175" s="237" t="str">
        <f>IF(ISEVEN(B175),(B175-1)&amp;"/"&amp;B175,B175&amp;"/"&amp;(B175+1))</f>
        <v>4055/4056</v>
      </c>
      <c r="L175" s="245" t="str">
        <f>VLOOKUP(A175,'Trips&amp;Operators'!$C$1:$G$99911,5,FALSE)</f>
        <v>LAMAR NEKESHA</v>
      </c>
      <c r="M175" s="224">
        <f>I175-F175</f>
        <v>9.5023148169275373E-3</v>
      </c>
      <c r="N175" s="225">
        <f>24*60*SUM($M175:$M175)</f>
        <v>13.683333336375654</v>
      </c>
      <c r="O175" s="225"/>
      <c r="P175" s="225"/>
      <c r="Q175" s="228"/>
      <c r="R175" s="242"/>
      <c r="S175" s="249">
        <f>1/IF(AG175="EC",12,1)*SUM(U175:U175)</f>
        <v>1</v>
      </c>
      <c r="T175" s="242" t="str">
        <f>IF(ISEVEN(LEFT(AD175,4)),"Southbound","NorthBound")</f>
        <v>NorthBound</v>
      </c>
      <c r="U175" s="246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248" t="str">
        <f>"https://d0f6bd738d7f1b3e5a7ca70fe4ff75f0.us-east-1.aws.found.io/app/kibana#/discover/Steve-Slow-Train-Analysis-(2080s-and-2083s)?_g="&amp;"(refreshInterval:(display:Off,pause:!f,section:0,value:0),time:(from:'"&amp;TEXT(E175-1/24,"yyyy-MM-DDThh:mm:ss")&amp;utc_offset&amp;"00"&amp;"',mode:absolute,to:'"&amp;TEXT(I175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175&amp;"%22')),sort:!(Time.ISO8601,asc))"</f>
        <v>https://d0f6bd738d7f1b3e5a7ca70fe4ff75f0.us-east-1.aws.found.io/app/kibana#/discover/Steve-Slow-Train-Analysis-(2080s-and-2083s)?_g=(refreshInterval:(display:Off,pause:!f,section:0,value:0),time:(from:'2018-01-06T11:05:47-0700',mode:absolute,to:'2018-01-06T13:23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75" s="247" t="str">
        <f>IF(AA175&lt;VLOOKUP(AG175,Variables!$AC$3:$AD$8,2,FALSE),"Y","N")</f>
        <v>N</v>
      </c>
      <c r="X175" s="247">
        <f>VALUE(LEFT(AD175,4))-VALUE(LEFT(AD174,4))</f>
        <v>1</v>
      </c>
      <c r="Y175" s="247">
        <f>RIGHT(D175,LEN(D175)-4)/10000</f>
        <v>4.5999999999999999E-2</v>
      </c>
      <c r="Z175" s="247">
        <f>RIGHT(H175,LEN(H175)-4)/10000</f>
        <v>5.8944000000000001</v>
      </c>
      <c r="AA175" s="247">
        <f>ABS(Z175-Y175)</f>
        <v>5.8483999999999998</v>
      </c>
      <c r="AB175" s="233" t="e">
        <f>VLOOKUP(A175,Enforcements!$C$7:$K$9,8,0)</f>
        <v>#N/A</v>
      </c>
      <c r="AC175" s="232" t="e">
        <f>VLOOKUP(A175,Enforcements!$C$7:$E$9,3,0)</f>
        <v>#N/A</v>
      </c>
      <c r="AD175" s="243">
        <f>VALUE(LEFT(A175,LEN(A175)-3))</f>
        <v>1813</v>
      </c>
      <c r="AE175" s="235" t="str">
        <f>"aws s3 cp "&amp;s3_bucket&amp;"/RTDC"&amp;B175&amp;"/ "&amp;search_path&amp;"\RTDC"&amp;B175&amp;"\"&amp;TEXT(F175,"YYYY-MM-DD")&amp;" --exclude ""*"" --recursive --include ""*"&amp;TEXT(F175,"YYYYMMDD")&amp;"*"" &amp; """&amp;walkandungz&amp;""" "&amp;search_path&amp;"\RTDC"&amp;B175&amp;"\"&amp;TEXT(F175,"YYYY-MM-DD")
&amp;" &amp; "&amp;"aws s3 cp "&amp;s3_bucket&amp;"/RTDC"&amp;B175&amp;"/ "&amp;search_path&amp;"\RTDC"&amp;B175&amp;"\"&amp;TEXT(F175+1,"YYYY-MM-DD")&amp;" --exclude ""*"" --recursive --include ""*"&amp;TEXT(F175+1,"YYYYMMDD")&amp;"*"" &amp; """&amp;walkandungz&amp;""" "&amp;search_path&amp;"\RTDC"&amp;B175&amp;"\"&amp;TEXT(F175+1,"YYYY-MM-DD")</f>
        <v>aws s3 cp s3://rtdc.mdm.uploadarchive.raw/RTDC4056/ "%USERPROFILE%\AppData\Local\Temp\OnboardLogs"\RTDC4056\2018-01-06 --exclude "*" --recursive --include "*20180106*" &amp; "%USERPROFILE%\Documents\GitHub\mrs-test-scripts\Headless Mode &amp; Sideloading\WalkAndUnGZ.bat" "%USERPROFILE%\AppData\Local\Temp\OnboardLogs"\RTDC4056\2018-01-06 &amp; aws s3 cp s3://rtdc.mdm.uploadarchive.raw/RTDC4056/ "%USERPROFILE%\AppData\Local\Temp\OnboardLogs"\RTDC4056\2018-01-07 --exclude "*" --recursive --include "*20180107*" &amp; "%USERPROFILE%\Documents\GitHub\mrs-test-scripts\Headless Mode &amp; Sideloading\WalkAndUnGZ.bat" "%USERPROFILE%\AppData\Local\Temp\OnboardLogs"\RTDC4056\2018-01-07</v>
      </c>
      <c r="AF175" s="234" t="str">
        <f>astrogrep_path&amp;" /e /r /s /spath="&amp;search_path&amp;" /stypes=""app*"&amp;B175&amp;"*"&amp;TEXT(I175-utc_offset/24,"YYYYMMDD")&amp;"*"" /stext="" "&amp;TEXT(I175-utc_offset/24,"HH")&amp;search_regexp&amp;""""</f>
        <v>"C:\Program Files (x86)\AstroGrep\AstroGrep.exe" /e /r /s /spath="%USERPROFILE%\AppData\Local\Temp\OnboardLogs" /stypes="app*4056*20180106*" /stext=" 19:.+((SYSTEM_STATE.+slice.+state.+changed )|(ment ac)|(multiple cpu faults)|(system.+state.+changed )|(\[timeout)|(PRM\|1\|D)|(kpr)|(kdp)|(train st.+moving)|(\|lc)|(penalty))"</v>
      </c>
      <c r="AG175" s="244" t="str">
        <f>DetSubdiv(A175)</f>
        <v>NW</v>
      </c>
      <c r="AH175" s="236" t="str">
        <f t="shared" si="36"/>
        <v>"%USERPROFILE%\Documents\GitHub\eaglep3\Utilities\RefineRTDCRunTimes.py" --tripid 1813-06 --locoid 4056 --swversion DE.1.0.9.0 --startMP 204:460 --initTime 2018-01-06T12:05:47 --startdatetime 2018-01-06T12:09:24 --delay 80 --endMP 300:58944 --enddatetime 2018-01-06T12:23:05 --enforcementcount 0 &gt;&gt;%USERPROFILE%\Documents\GitHub\eaglep3-reporting\EC\2018-01-06-refined-times.txt</v>
      </c>
      <c r="AI175" s="238" t="str">
        <f t="shared" si="37"/>
        <v>echo {"issue":{"subject":"","project_id":79,"tracker_id":40,"status_id":1,"priority_id":2,"assigned_to_id":338,"start_date":"2018-01-06","description":"","custom_fields":[{"id":1,"name":"Subdivision","value":"NW"},{"id":4,"name":"Milepost","value":"5.8944"},{"id":17,"name":"Train ID","value":"1813-06"},{"id":16,"name":"Locomotive ID","value":"4056"},{"id":130,"name":"Impact","value":""},{"id":150,"name":"Time of Event (Mountain Time)","value":"12:23:05"},{"id":151,"name":"Denver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5" s="231"/>
      <c r="AL175" s="231"/>
      <c r="AM175" s="240" t="str">
        <f t="shared" si="38"/>
        <v>start /low /b %USERPROFILE%\Documents\GitHub\eaglep3\Utilities\DownloadLogsFromS3.py --loco 4056 --day 2018-01-06</v>
      </c>
      <c r="AN175" s="241" t="str">
        <f t="shared" si="39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19:23:05"},{"id":29,"name":"Sharepoint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 s="230" t="str">
        <f t="shared" si="40"/>
        <v>https://d0f6bd738d7f1b3e5a7ca70fe4ff75f0.us-east-1.aws.found.io/app/kibana#/discover/Steve-Slow-Train-Analysis-(2080s-and-2083s)?_g=(refreshInterval:(display:Off,pause:!f,section:0,value:0),time:(from:'2018-01-06T11:05:47-0700',mode:absolute,to:'2018-01-06T13:23:05-0700'))&amp;_a=(columns:!('Message%20ID',Summary),filters:!(),index:'emp_*',interval:auto,query:(query_string:(analyze_wildcard:!t,query:'%22rtdc.l.rtdc.4056%22')),sort:!(Time.ISO8601,asc))</v>
      </c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23" customFormat="1" x14ac:dyDescent="0.3">
      <c r="A176" s="229" t="s">
        <v>671</v>
      </c>
      <c r="B176" s="225">
        <v>4055</v>
      </c>
      <c r="C176" s="227" t="s">
        <v>192</v>
      </c>
      <c r="D176" s="227" t="s">
        <v>528</v>
      </c>
      <c r="E176" s="226">
        <v>43106.517638888887</v>
      </c>
      <c r="F176" s="226">
        <v>43106.52983796296</v>
      </c>
      <c r="G176" s="225">
        <v>75</v>
      </c>
      <c r="H176" s="227" t="s">
        <v>959</v>
      </c>
      <c r="I176" s="226">
        <v>43106.536770833336</v>
      </c>
      <c r="J176" s="225">
        <v>0</v>
      </c>
      <c r="K176" s="237" t="str">
        <f>IF(ISEVEN(B176),(B176-1)&amp;"/"&amp;B176,B176&amp;"/"&amp;(B176+1))</f>
        <v>4055/4056</v>
      </c>
      <c r="L176" s="245" t="str">
        <f>VLOOKUP(A176,'Trips&amp;Operators'!$C$1:$G$99911,5,FALSE)</f>
        <v>LAMAR NEKESHA</v>
      </c>
      <c r="M176" s="224">
        <f>I176-F176</f>
        <v>6.9328703757491894E-3</v>
      </c>
      <c r="N176" s="225">
        <f>24*60*SUM($M176:$M176)</f>
        <v>9.9833333410788327</v>
      </c>
      <c r="O176" s="225"/>
      <c r="P176" s="225"/>
      <c r="Q176" s="228"/>
      <c r="R176" s="242"/>
      <c r="S176" s="249">
        <f>1/IF(AG176="EC",12,1)*SUM(U176:U176)</f>
        <v>1</v>
      </c>
      <c r="T176" s="242" t="str">
        <f>IF(ISEVEN(LEFT(AD176,4)),"Southbound","NorthBound")</f>
        <v>Southbound</v>
      </c>
      <c r="U176" s="246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248" t="str">
        <f>"https://d0f6bd738d7f1b3e5a7ca70fe4ff75f0.us-east-1.aws.found.io/app/kibana#/discover/Steve-Slow-Train-Analysis-(2080s-and-2083s)?_g="&amp;"(refreshInterval:(display:Off,pause:!f,section:0,value:0),time:(from:'"&amp;TEXT(E176-1/24,"yyyy-MM-DDThh:mm:ss")&amp;utc_offset&amp;"00"&amp;"',mode:absolute,to:'"&amp;TEXT(I176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176&amp;"%22')),sort:!(Time.ISO8601,asc))"</f>
        <v>https://d0f6bd738d7f1b3e5a7ca70fe4ff75f0.us-east-1.aws.found.io/app/kibana#/discover/Steve-Slow-Train-Analysis-(2080s-and-2083s)?_g=(refreshInterval:(display:Off,pause:!f,section:0,value:0),time:(from:'2018-01-06T11:25:24-0700',mode:absolute,to:'2018-01-06T13:52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76" s="247" t="str">
        <f>IF(AA176&lt;VLOOKUP(AG176,Variables!$AC$3:$AD$8,2,FALSE),"Y","N")</f>
        <v>Y</v>
      </c>
      <c r="X176" s="247">
        <f>VALUE(LEFT(AD176,4))-VALUE(LEFT(AD175,4))</f>
        <v>1</v>
      </c>
      <c r="Y176" s="247">
        <f>RIGHT(D176,LEN(D176)-4)/10000</f>
        <v>5.8630000000000004</v>
      </c>
      <c r="Z176" s="247">
        <f>RIGHT(H176,LEN(H176)-4)/10000</f>
        <v>0.46750000000000003</v>
      </c>
      <c r="AA176" s="247">
        <f>ABS(Z176-Y176)</f>
        <v>5.3955000000000002</v>
      </c>
      <c r="AB176" s="233" t="e">
        <f>VLOOKUP(A176,Enforcements!$C$7:$K$9,8,0)</f>
        <v>#N/A</v>
      </c>
      <c r="AC176" s="232" t="e">
        <f>VLOOKUP(A176,Enforcements!$C$7:$E$9,3,0)</f>
        <v>#N/A</v>
      </c>
      <c r="AD176" s="243">
        <f>VALUE(LEFT(A176,LEN(A176)-3))</f>
        <v>1814</v>
      </c>
      <c r="AE176" s="235" t="str">
        <f>"aws s3 cp "&amp;s3_bucket&amp;"/RTDC"&amp;B176&amp;"/ "&amp;search_path&amp;"\RTDC"&amp;B176&amp;"\"&amp;TEXT(F176,"YYYY-MM-DD")&amp;" --exclude ""*"" --recursive --include ""*"&amp;TEXT(F176,"YYYYMMDD")&amp;"*"" &amp; """&amp;walkandungz&amp;""" "&amp;search_path&amp;"\RTDC"&amp;B176&amp;"\"&amp;TEXT(F176,"YYYY-MM-DD")
&amp;" &amp; "&amp;"aws s3 cp "&amp;s3_bucket&amp;"/RTDC"&amp;B176&amp;"/ "&amp;search_path&amp;"\RTDC"&amp;B176&amp;"\"&amp;TEXT(F176+1,"YYYY-MM-DD")&amp;" --exclude ""*"" --recursive --include ""*"&amp;TEXT(F176+1,"YYYYMMDD")&amp;"*"" &amp; """&amp;walkandungz&amp;""" "&amp;search_path&amp;"\RTDC"&amp;B176&amp;"\"&amp;TEXT(F176+1,"YYYY-MM-DD")</f>
        <v>aws s3 cp s3://rtdc.mdm.uploadarchive.raw/RTDC4055/ "%USERPROFILE%\AppData\Local\Temp\OnboardLogs"\RTDC4055\2018-01-06 --exclude "*" --recursive --include "*20180106*" &amp; "%USERPROFILE%\Documents\GitHub\mrs-test-scripts\Headless Mode &amp; Sideloading\WalkAndUnGZ.bat" "%USERPROFILE%\AppData\Local\Temp\OnboardLogs"\RTDC4055\2018-01-06 &amp; aws s3 cp s3://rtdc.mdm.uploadarchive.raw/RTDC4055/ "%USERPROFILE%\AppData\Local\Temp\OnboardLogs"\RTDC4055\2018-01-07 --exclude "*" --recursive --include "*20180107*" &amp; "%USERPROFILE%\Documents\GitHub\mrs-test-scripts\Headless Mode &amp; Sideloading\WalkAndUnGZ.bat" "%USERPROFILE%\AppData\Local\Temp\OnboardLogs"\RTDC4055\2018-01-07</v>
      </c>
      <c r="AF176" s="234" t="str">
        <f>astrogrep_path&amp;" /e /r /s /spath="&amp;search_path&amp;" /stypes=""app*"&amp;B176&amp;"*"&amp;TEXT(I176-utc_offset/24,"YYYYMMDD")&amp;"*"" /stext="" "&amp;TEXT(I176-utc_offset/24,"HH")&amp;search_regexp&amp;""""</f>
        <v>"C:\Program Files (x86)\AstroGrep\AstroGrep.exe" /e /r /s /spath="%USERPROFILE%\AppData\Local\Temp\OnboardLogs" /stypes="app*4055*20180106*" /stext=" 19:.+((SYSTEM_STATE.+slice.+state.+changed )|(ment ac)|(multiple cpu faults)|(system.+state.+changed )|(\[timeout)|(PRM\|1\|D)|(kpr)|(kdp)|(train st.+moving)|(\|lc)|(penalty))"</v>
      </c>
      <c r="AG176" s="244" t="str">
        <f>DetSubdiv(A176)</f>
        <v>NW</v>
      </c>
      <c r="AH176" s="236" t="str">
        <f t="shared" si="36"/>
        <v>"%USERPROFILE%\Documents\GitHub\eaglep3\Utilities\RefineRTDCRunTimes.py" --tripid 1814-06 --locoid 4055 --swversion DE.1.0.9.0 --startMP 300:58630 --initTime 2018-01-06T12:25:24 --startdatetime 2018-01-06T12:42:58 --delay 75 --endMP 204:4675 --enddatetime 2018-01-06T12:52:57 --enforcementcount 0 &gt;&gt;%USERPROFILE%\Documents\GitHub\eaglep3-reporting\EC\2018-01-06-refined-times.txt</v>
      </c>
      <c r="AI176" s="238" t="str">
        <f t="shared" si="37"/>
        <v>echo {"issue":{"subject":"","project_id":79,"tracker_id":40,"status_id":1,"priority_id":2,"assigned_to_id":338,"start_date":"2018-01-06","description":"","custom_fields":[{"id":1,"name":"Subdivision","value":"NW"},{"id":4,"name":"Milepost","value":"0.4675"},{"id":17,"name":"Train ID","value":"1814-06"},{"id":16,"name":"Locomotive ID","value":"4055"},{"id":130,"name":"Impact","value":""},{"id":150,"name":"Time of Event (Mountain Time)","value":"12:52:57"},{"id":151,"name":"Denver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6" s="231"/>
      <c r="AL176" s="231"/>
      <c r="AM176" s="240" t="str">
        <f t="shared" si="38"/>
        <v>start /low /b %USERPROFILE%\Documents\GitHub\eaglep3\Utilities\DownloadLogsFromS3.py --loco 4055 --day 2018-01-06</v>
      </c>
      <c r="AN176" s="241" t="str">
        <f t="shared" si="39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19:52:57"},{"id":29,"name":"Sharepoint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 s="230" t="str">
        <f t="shared" si="40"/>
        <v>https://d0f6bd738d7f1b3e5a7ca70fe4ff75f0.us-east-1.aws.found.io/app/kibana#/discover/Steve-Slow-Train-Analysis-(2080s-and-2083s)?_g=(refreshInterval:(display:Off,pause:!f,section:0,value:0),time:(from:'2018-01-06T11:25:24-0700',mode:absolute,to:'2018-01-06T13:52:57-0700'))&amp;_a=(columns:!('Message%20ID',Summary),filters:!(),index:'emp_*',interval:auto,query:(query_string:(analyze_wildcard:!t,query:'%22rtdc.l.rtdc.4055%22')),sort:!(Time.ISO8601,asc))</v>
      </c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23" customFormat="1" x14ac:dyDescent="0.3">
      <c r="A177" s="229" t="s">
        <v>794</v>
      </c>
      <c r="B177" s="225">
        <v>4056</v>
      </c>
      <c r="C177" s="227" t="s">
        <v>192</v>
      </c>
      <c r="D177" s="227" t="s">
        <v>625</v>
      </c>
      <c r="E177" s="226">
        <v>43106.546840277777</v>
      </c>
      <c r="F177" s="226">
        <v>43106.548101851855</v>
      </c>
      <c r="G177" s="225">
        <v>46</v>
      </c>
      <c r="H177" s="227" t="s">
        <v>960</v>
      </c>
      <c r="I177" s="226">
        <v>43106.557199074072</v>
      </c>
      <c r="J177" s="225">
        <v>0</v>
      </c>
      <c r="K177" s="237" t="str">
        <f>IF(ISEVEN(B177),(B177-1)&amp;"/"&amp;B177,B177&amp;"/"&amp;(B177+1))</f>
        <v>4055/4056</v>
      </c>
      <c r="L177" s="245" t="str">
        <f>VLOOKUP(A177,'Trips&amp;Operators'!$C$1:$G$99911,5,FALSE)</f>
        <v>LAMAR NEKESHA</v>
      </c>
      <c r="M177" s="224">
        <f>I177-F177</f>
        <v>9.0972222169511952E-3</v>
      </c>
      <c r="N177" s="225">
        <f>24*60*SUM($M177:$M177)</f>
        <v>13.099999992409721</v>
      </c>
      <c r="O177" s="225"/>
      <c r="P177" s="225"/>
      <c r="Q177" s="228"/>
      <c r="R177" s="242"/>
      <c r="S177" s="249">
        <f>1/IF(AG177="EC",12,1)*SUM(U177:U177)</f>
        <v>1</v>
      </c>
      <c r="T177" s="242" t="str">
        <f>IF(ISEVEN(LEFT(AD177,4)),"Southbound","NorthBound")</f>
        <v>NorthBound</v>
      </c>
      <c r="U177" s="246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248" t="str">
        <f>"https://d0f6bd738d7f1b3e5a7ca70fe4ff75f0.us-east-1.aws.found.io/app/kibana#/discover/Steve-Slow-Train-Analysis-(2080s-and-2083s)?_g="&amp;"(refreshInterval:(display:Off,pause:!f,section:0,value:0),time:(from:'"&amp;TEXT(E177-1/24,"yyyy-MM-DDThh:mm:ss")&amp;utc_offset&amp;"00"&amp;"',mode:absolute,to:'"&amp;TEXT(I177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177&amp;"%22')),sort:!(Time.ISO8601,asc))"</f>
        <v>https://d0f6bd738d7f1b3e5a7ca70fe4ff75f0.us-east-1.aws.found.io/app/kibana#/discover/Steve-Slow-Train-Analysis-(2080s-and-2083s)?_g=(refreshInterval:(display:Off,pause:!f,section:0,value:0),time:(from:'2018-01-06T12:07:27-0700',mode:absolute,to:'2018-01-06T14:22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77" s="247" t="str">
        <f>IF(AA177&lt;VLOOKUP(AG177,Variables!$AC$3:$AD$8,2,FALSE),"Y","N")</f>
        <v>N</v>
      </c>
      <c r="X177" s="247">
        <f>VALUE(LEFT(AD177,4))-VALUE(LEFT(AD176,4))</f>
        <v>1</v>
      </c>
      <c r="Y177" s="247">
        <f>RIGHT(D177,LEN(D177)-4)/10000</f>
        <v>4.5499999999999999E-2</v>
      </c>
      <c r="Z177" s="247">
        <f>RIGHT(H177,LEN(H177)-4)/10000</f>
        <v>5.8968999999999996</v>
      </c>
      <c r="AA177" s="247">
        <f>ABS(Z177-Y177)</f>
        <v>5.8513999999999999</v>
      </c>
      <c r="AB177" s="233" t="e">
        <f>VLOOKUP(A177,Enforcements!$C$7:$K$9,8,0)</f>
        <v>#N/A</v>
      </c>
      <c r="AC177" s="232" t="e">
        <f>VLOOKUP(A177,Enforcements!$C$7:$E$9,3,0)</f>
        <v>#N/A</v>
      </c>
      <c r="AD177" s="243">
        <f>VALUE(LEFT(A177,LEN(A177)-3))</f>
        <v>1815</v>
      </c>
      <c r="AE177" s="235" t="str">
        <f>"aws s3 cp "&amp;s3_bucket&amp;"/RTDC"&amp;B177&amp;"/ "&amp;search_path&amp;"\RTDC"&amp;B177&amp;"\"&amp;TEXT(F177,"YYYY-MM-DD")&amp;" --exclude ""*"" --recursive --include ""*"&amp;TEXT(F177,"YYYYMMDD")&amp;"*"" &amp; """&amp;walkandungz&amp;""" "&amp;search_path&amp;"\RTDC"&amp;B177&amp;"\"&amp;TEXT(F177,"YYYY-MM-DD")
&amp;" &amp; "&amp;"aws s3 cp "&amp;s3_bucket&amp;"/RTDC"&amp;B177&amp;"/ "&amp;search_path&amp;"\RTDC"&amp;B177&amp;"\"&amp;TEXT(F177+1,"YYYY-MM-DD")&amp;" --exclude ""*"" --recursive --include ""*"&amp;TEXT(F177+1,"YYYYMMDD")&amp;"*"" &amp; """&amp;walkandungz&amp;""" "&amp;search_path&amp;"\RTDC"&amp;B177&amp;"\"&amp;TEXT(F177+1,"YYYY-MM-DD")</f>
        <v>aws s3 cp s3://rtdc.mdm.uploadarchive.raw/RTDC4056/ "%USERPROFILE%\AppData\Local\Temp\OnboardLogs"\RTDC4056\2018-01-06 --exclude "*" --recursive --include "*20180106*" &amp; "%USERPROFILE%\Documents\GitHub\mrs-test-scripts\Headless Mode &amp; Sideloading\WalkAndUnGZ.bat" "%USERPROFILE%\AppData\Local\Temp\OnboardLogs"\RTDC4056\2018-01-06 &amp; aws s3 cp s3://rtdc.mdm.uploadarchive.raw/RTDC4056/ "%USERPROFILE%\AppData\Local\Temp\OnboardLogs"\RTDC4056\2018-01-07 --exclude "*" --recursive --include "*20180107*" &amp; "%USERPROFILE%\Documents\GitHub\mrs-test-scripts\Headless Mode &amp; Sideloading\WalkAndUnGZ.bat" "%USERPROFILE%\AppData\Local\Temp\OnboardLogs"\RTDC4056\2018-01-07</v>
      </c>
      <c r="AF177" s="234" t="str">
        <f>astrogrep_path&amp;" /e /r /s /spath="&amp;search_path&amp;" /stypes=""app*"&amp;B177&amp;"*"&amp;TEXT(I177-utc_offset/24,"YYYYMMDD")&amp;"*"" /stext="" "&amp;TEXT(I177-utc_offset/24,"HH")&amp;search_regexp&amp;""""</f>
        <v>"C:\Program Files (x86)\AstroGrep\AstroGrep.exe" /e /r /s /spath="%USERPROFILE%\AppData\Local\Temp\OnboardLogs" /stypes="app*4056*20180106*" /stext=" 20:.+((SYSTEM_STATE.+slice.+state.+changed )|(ment ac)|(multiple cpu faults)|(system.+state.+changed )|(\[timeout)|(PRM\|1\|D)|(kpr)|(kdp)|(train st.+moving)|(\|lc)|(penalty))"</v>
      </c>
      <c r="AG177" s="244" t="str">
        <f>DetSubdiv(A177)</f>
        <v>NW</v>
      </c>
      <c r="AH177" s="236" t="str">
        <f t="shared" si="36"/>
        <v>"%USERPROFILE%\Documents\GitHub\eaglep3\Utilities\RefineRTDCRunTimes.py" --tripid 1815-06 --locoid 4056 --swversion DE.1.0.9.0 --startMP 204:455 --initTime 2018-01-06T13:07:27 --startdatetime 2018-01-06T13:09:16 --delay 46 --endMP 300:58969 --enddatetime 2018-01-06T13:22:22 --enforcementcount 0 &gt;&gt;%USERPROFILE%\Documents\GitHub\eaglep3-reporting\EC\2018-01-06-refined-times.txt</v>
      </c>
      <c r="AI177" s="238" t="str">
        <f t="shared" si="37"/>
        <v>echo {"issue":{"subject":"","project_id":79,"tracker_id":40,"status_id":1,"priority_id":2,"assigned_to_id":338,"start_date":"2018-01-06","description":"","custom_fields":[{"id":1,"name":"Subdivision","value":"NW"},{"id":4,"name":"Milepost","value":"5.8969"},{"id":17,"name":"Train ID","value":"1815-06"},{"id":16,"name":"Locomotive ID","value":"4056"},{"id":130,"name":"Impact","value":""},{"id":150,"name":"Time of Event (Mountain Time)","value":"13:22:22"},{"id":151,"name":"Denver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77" s="231"/>
      <c r="AL177" s="231"/>
      <c r="AM177" s="240" t="str">
        <f t="shared" si="38"/>
        <v>start /low /b %USERPROFILE%\Documents\GitHub\eaglep3\Utilities\DownloadLogsFromS3.py --loco 4056 --day 2018-01-06</v>
      </c>
      <c r="AN177" s="241" t="str">
        <f t="shared" si="39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20:22:22"},{"id":29,"name":"Sharepoint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 s="230" t="str">
        <f t="shared" si="40"/>
        <v>https://d0f6bd738d7f1b3e5a7ca70fe4ff75f0.us-east-1.aws.found.io/app/kibana#/discover/Steve-Slow-Train-Analysis-(2080s-and-2083s)?_g=(refreshInterval:(display:Off,pause:!f,section:0,value:0),time:(from:'2018-01-06T12:07:27-0700',mode:absolute,to:'2018-01-06T14:22:22-0700'))&amp;_a=(columns:!('Message%20ID',Summary),filters:!(),index:'emp_*',interval:auto,query:(query_string:(analyze_wildcard:!t,query:'%22rtdc.l.rtdc.4056%22')),sort:!(Time.ISO8601,asc))</v>
      </c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0" customFormat="1" x14ac:dyDescent="0.3">
      <c r="A178" s="229" t="s">
        <v>797</v>
      </c>
      <c r="B178" s="225">
        <v>4055</v>
      </c>
      <c r="C178" s="227" t="s">
        <v>192</v>
      </c>
      <c r="D178" s="227" t="s">
        <v>650</v>
      </c>
      <c r="E178" s="226">
        <v>43106.558622685188</v>
      </c>
      <c r="F178" s="226">
        <v>43106.571203703701</v>
      </c>
      <c r="G178" s="225">
        <v>50</v>
      </c>
      <c r="H178" s="227" t="s">
        <v>946</v>
      </c>
      <c r="I178" s="226">
        <v>43106.580474537041</v>
      </c>
      <c r="J178" s="225">
        <v>0</v>
      </c>
      <c r="K178" s="237" t="str">
        <f>IF(ISEVEN(B178),(B178-1)&amp;"/"&amp;B178,B178&amp;"/"&amp;(B178+1))</f>
        <v>4055/4056</v>
      </c>
      <c r="L178" s="245" t="str">
        <f>VLOOKUP(A178,'Trips&amp;Operators'!$C$1:$G$99911,5,FALSE)</f>
        <v>LAMAR NEKESHA</v>
      </c>
      <c r="M178" s="224">
        <f>I178-F178</f>
        <v>9.2708333395421505E-3</v>
      </c>
      <c r="N178" s="225">
        <f>24*60*SUM($M178:$M178)</f>
        <v>13.350000008940697</v>
      </c>
      <c r="O178" s="225"/>
      <c r="P178" s="225"/>
      <c r="Q178" s="228"/>
      <c r="R178" s="242"/>
      <c r="S178" s="249">
        <f>1/IF(AG178="EC",12,1)*SUM(U178:U178)</f>
        <v>1</v>
      </c>
      <c r="T178" s="242" t="str">
        <f>IF(ISEVEN(LEFT(AD178,4)),"Southbound","NorthBound")</f>
        <v>Southbound</v>
      </c>
      <c r="U178" s="246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248" t="str">
        <f>"https://d0f6bd738d7f1b3e5a7ca70fe4ff75f0.us-east-1.aws.found.io/app/kibana#/discover/Steve-Slow-Train-Analysis-(2080s-and-2083s)?_g="&amp;"(refreshInterval:(display:Off,pause:!f,section:0,value:0),time:(from:'"&amp;TEXT(E178-1/24,"yyyy-MM-DDThh:mm:ss")&amp;utc_offset&amp;"00"&amp;"',mode:absolute,to:'"&amp;TEXT(I178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178&amp;"%22')),sort:!(Time.ISO8601,asc))"</f>
        <v>https://d0f6bd738d7f1b3e5a7ca70fe4ff75f0.us-east-1.aws.found.io/app/kibana#/discover/Steve-Slow-Train-Analysis-(2080s-and-2083s)?_g=(refreshInterval:(display:Off,pause:!f,section:0,value:0),time:(from:'2018-01-06T12:24:25-0700',mode:absolute,to:'2018-01-06T14:55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78" s="247" t="str">
        <f>IF(AA178&lt;VLOOKUP(AG178,Variables!$AC$3:$AD$8,2,FALSE),"Y","N")</f>
        <v>N</v>
      </c>
      <c r="X178" s="247">
        <f>VALUE(LEFT(AD178,4))-VALUE(LEFT(AD177,4))</f>
        <v>1</v>
      </c>
      <c r="Y178" s="247">
        <f>RIGHT(D178,LEN(D178)-4)/10000</f>
        <v>5.8654999999999999</v>
      </c>
      <c r="Z178" s="247">
        <f>RIGHT(H178,LEN(H178)-4)/10000</f>
        <v>1.7500000000000002E-2</v>
      </c>
      <c r="AA178" s="247">
        <f>ABS(Z178-Y178)</f>
        <v>5.8479999999999999</v>
      </c>
      <c r="AB178" s="233" t="e">
        <f>VLOOKUP(A178,Enforcements!$C$7:$K$9,8,0)</f>
        <v>#N/A</v>
      </c>
      <c r="AC178" s="232" t="e">
        <f>VLOOKUP(A178,Enforcements!$C$7:$E$9,3,0)</f>
        <v>#N/A</v>
      </c>
      <c r="AD178" s="243">
        <f>VALUE(LEFT(A178,LEN(A178)-3))</f>
        <v>1816</v>
      </c>
      <c r="AE178" s="235" t="str">
        <f>"aws s3 cp "&amp;s3_bucket&amp;"/RTDC"&amp;B178&amp;"/ "&amp;search_path&amp;"\RTDC"&amp;B178&amp;"\"&amp;TEXT(F178,"YYYY-MM-DD")&amp;" --exclude ""*"" --recursive --include ""*"&amp;TEXT(F178,"YYYYMMDD")&amp;"*"" &amp; """&amp;walkandungz&amp;""" "&amp;search_path&amp;"\RTDC"&amp;B178&amp;"\"&amp;TEXT(F178,"YYYY-MM-DD")
&amp;" &amp; "&amp;"aws s3 cp "&amp;s3_bucket&amp;"/RTDC"&amp;B178&amp;"/ "&amp;search_path&amp;"\RTDC"&amp;B178&amp;"\"&amp;TEXT(F178+1,"YYYY-MM-DD")&amp;" --exclude ""*"" --recursive --include ""*"&amp;TEXT(F178+1,"YYYYMMDD")&amp;"*"" &amp; """&amp;walkandungz&amp;""" "&amp;search_path&amp;"\RTDC"&amp;B178&amp;"\"&amp;TEXT(F178+1,"YYYY-MM-DD")</f>
        <v>aws s3 cp s3://rtdc.mdm.uploadarchive.raw/RTDC4055/ "%USERPROFILE%\AppData\Local\Temp\OnboardLogs"\RTDC4055\2018-01-06 --exclude "*" --recursive --include "*20180106*" &amp; "%USERPROFILE%\Documents\GitHub\mrs-test-scripts\Headless Mode &amp; Sideloading\WalkAndUnGZ.bat" "%USERPROFILE%\AppData\Local\Temp\OnboardLogs"\RTDC4055\2018-01-06 &amp; aws s3 cp s3://rtdc.mdm.uploadarchive.raw/RTDC4055/ "%USERPROFILE%\AppData\Local\Temp\OnboardLogs"\RTDC4055\2018-01-07 --exclude "*" --recursive --include "*20180107*" &amp; "%USERPROFILE%\Documents\GitHub\mrs-test-scripts\Headless Mode &amp; Sideloading\WalkAndUnGZ.bat" "%USERPROFILE%\AppData\Local\Temp\OnboardLogs"\RTDC4055\2018-01-07</v>
      </c>
      <c r="AF178" s="234" t="str">
        <f>astrogrep_path&amp;" /e /r /s /spath="&amp;search_path&amp;" /stypes=""app*"&amp;B178&amp;"*"&amp;TEXT(I178-utc_offset/24,"YYYYMMDD")&amp;"*"" /stext="" "&amp;TEXT(I178-utc_offset/24,"HH")&amp;search_regexp&amp;""""</f>
        <v>"C:\Program Files (x86)\AstroGrep\AstroGrep.exe" /e /r /s /spath="%USERPROFILE%\AppData\Local\Temp\OnboardLogs" /stypes="app*4055*20180106*" /stext=" 20:.+((SYSTEM_STATE.+slice.+state.+changed )|(ment ac)|(multiple cpu faults)|(system.+state.+changed )|(\[timeout)|(PRM\|1\|D)|(kpr)|(kdp)|(train st.+moving)|(\|lc)|(penalty))"</v>
      </c>
      <c r="AG178" s="244" t="str">
        <f>DetSubdiv(A178)</f>
        <v>NW</v>
      </c>
      <c r="AH178" s="236" t="str">
        <f t="shared" si="36"/>
        <v>"%USERPROFILE%\Documents\GitHub\eaglep3\Utilities\RefineRTDCRunTimes.py" --tripid 1816-06 --locoid 4055 --swversion DE.1.0.9.0 --startMP 300:58655 --initTime 2018-01-06T13:24:25 --startdatetime 2018-01-06T13:42:32 --delay 50 --endMP 204:175 --enddatetime 2018-01-06T13:55:53 --enforcementcount 0 &gt;&gt;%USERPROFILE%\Documents\GitHub\eaglep3-reporting\EC\2018-01-06-refined-times.txt</v>
      </c>
      <c r="AI178" s="238" t="str">
        <f t="shared" si="37"/>
        <v>echo {"issue":{"subject":"","project_id":79,"tracker_id":40,"status_id":1,"priority_id":2,"assigned_to_id":338,"start_date":"2018-01-06","description":"","custom_fields":[{"id":1,"name":"Subdivision","value":"NW"},{"id":4,"name":"Milepost","value":"0.0175"},{"id":17,"name":"Train ID","value":"1816-06"},{"id":16,"name":"Locomotive ID","value":"4055"},{"id":130,"name":"Impact","value":""},{"id":150,"name":"Time of Event (Mountain Time)","value":"13:55:53"},{"id":151,"name":"Denver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8" s="223"/>
      <c r="AK178" s="231"/>
      <c r="AL178" s="231"/>
      <c r="AM178" s="240" t="str">
        <f t="shared" si="38"/>
        <v>start /low /b %USERPROFILE%\Documents\GitHub\eaglep3\Utilities\DownloadLogsFromS3.py --loco 4055 --day 2018-01-06</v>
      </c>
      <c r="AN178" s="241" t="str">
        <f t="shared" si="39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20:55:53"},{"id":29,"name":"Sharepoint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 s="230" t="str">
        <f t="shared" si="40"/>
        <v>https://d0f6bd738d7f1b3e5a7ca70fe4ff75f0.us-east-1.aws.found.io/app/kibana#/discover/Steve-Slow-Train-Analysis-(2080s-and-2083s)?_g=(refreshInterval:(display:Off,pause:!f,section:0,value:0),time:(from:'2018-01-06T12:24:25-0700',mode:absolute,to:'2018-01-06T14:55:53-0700'))&amp;_a=(columns:!('Message%20ID',Summary),filters:!(),index:'emp_*',interval:auto,query:(query_string:(analyze_wildcard:!t,query:'%22rtdc.l.rtdc.4055%22')),sort:!(Time.ISO8601,asc))</v>
      </c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0" customFormat="1" x14ac:dyDescent="0.3">
      <c r="A179" s="229" t="s">
        <v>804</v>
      </c>
      <c r="B179" s="225">
        <v>4056</v>
      </c>
      <c r="C179" s="227" t="s">
        <v>192</v>
      </c>
      <c r="D179" s="227" t="s">
        <v>655</v>
      </c>
      <c r="E179" s="226">
        <v>43106.584062499998</v>
      </c>
      <c r="F179" s="226">
        <v>43106.589826388888</v>
      </c>
      <c r="G179" s="225">
        <v>71</v>
      </c>
      <c r="H179" s="227" t="s">
        <v>949</v>
      </c>
      <c r="I179" s="226">
        <v>43106.599293981482</v>
      </c>
      <c r="J179" s="225">
        <v>0</v>
      </c>
      <c r="K179" s="237" t="str">
        <f>IF(ISEVEN(B179),(B179-1)&amp;"/"&amp;B179,B179&amp;"/"&amp;(B179+1))</f>
        <v>4055/4056</v>
      </c>
      <c r="L179" s="245" t="str">
        <f>VLOOKUP(A179,'Trips&amp;Operators'!$C$1:$G$99911,5,FALSE)</f>
        <v>SMITH MICHAEL</v>
      </c>
      <c r="M179" s="224">
        <f>I179-F179</f>
        <v>9.4675925938645378E-3</v>
      </c>
      <c r="N179" s="225">
        <f>24*60*SUM($M179:$M179)</f>
        <v>13.633333335164934</v>
      </c>
      <c r="O179" s="225"/>
      <c r="P179" s="225"/>
      <c r="Q179" s="228"/>
      <c r="R179" s="242"/>
      <c r="S179" s="249">
        <f>1/IF(AG179="EC",12,1)*SUM(U179:U179)</f>
        <v>1</v>
      </c>
      <c r="T179" s="242" t="str">
        <f>IF(ISEVEN(LEFT(AD179,4)),"Southbound","NorthBound")</f>
        <v>NorthBound</v>
      </c>
      <c r="U179" s="246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248" t="str">
        <f>"https://d0f6bd738d7f1b3e5a7ca70fe4ff75f0.us-east-1.aws.found.io/app/kibana#/discover/Steve-Slow-Train-Analysis-(2080s-and-2083s)?_g="&amp;"(refreshInterval:(display:Off,pause:!f,section:0,value:0),time:(from:'"&amp;TEXT(E179-1/24,"yyyy-MM-DDThh:mm:ss")&amp;utc_offset&amp;"00"&amp;"',mode:absolute,to:'"&amp;TEXT(I179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179&amp;"%22')),sort:!(Time.ISO8601,asc))"</f>
        <v>https://d0f6bd738d7f1b3e5a7ca70fe4ff75f0.us-east-1.aws.found.io/app/kibana#/discover/Steve-Slow-Train-Analysis-(2080s-and-2083s)?_g=(refreshInterval:(display:Off,pause:!f,section:0,value:0),time:(from:'2018-01-06T13:01:03-0700',mode:absolute,to:'2018-01-06T15:22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79" s="247" t="str">
        <f>IF(AA179&lt;VLOOKUP(AG179,Variables!$AC$3:$AD$8,2,FALSE),"Y","N")</f>
        <v>N</v>
      </c>
      <c r="X179" s="247">
        <f>VALUE(LEFT(AD179,4))-VALUE(LEFT(AD178,4))</f>
        <v>1</v>
      </c>
      <c r="Y179" s="247">
        <f>RIGHT(D179,LEN(D179)-4)/10000</f>
        <v>4.5900000000000003E-2</v>
      </c>
      <c r="Z179" s="247">
        <f>RIGHT(H179,LEN(H179)-4)/10000</f>
        <v>5.8945999999999996</v>
      </c>
      <c r="AA179" s="247">
        <f>ABS(Z179-Y179)</f>
        <v>5.8487</v>
      </c>
      <c r="AB179" s="233" t="e">
        <f>VLOOKUP(A179,Enforcements!$C$7:$K$9,8,0)</f>
        <v>#N/A</v>
      </c>
      <c r="AC179" s="232" t="e">
        <f>VLOOKUP(A179,Enforcements!$C$7:$E$9,3,0)</f>
        <v>#N/A</v>
      </c>
      <c r="AD179" s="243">
        <f>VALUE(LEFT(A179,LEN(A179)-3))</f>
        <v>1817</v>
      </c>
      <c r="AE179" s="235" t="str">
        <f>"aws s3 cp "&amp;s3_bucket&amp;"/RTDC"&amp;B179&amp;"/ "&amp;search_path&amp;"\RTDC"&amp;B179&amp;"\"&amp;TEXT(F179,"YYYY-MM-DD")&amp;" --exclude ""*"" --recursive --include ""*"&amp;TEXT(F179,"YYYYMMDD")&amp;"*"" &amp; """&amp;walkandungz&amp;""" "&amp;search_path&amp;"\RTDC"&amp;B179&amp;"\"&amp;TEXT(F179,"YYYY-MM-DD")
&amp;" &amp; "&amp;"aws s3 cp "&amp;s3_bucket&amp;"/RTDC"&amp;B179&amp;"/ "&amp;search_path&amp;"\RTDC"&amp;B179&amp;"\"&amp;TEXT(F179+1,"YYYY-MM-DD")&amp;" --exclude ""*"" --recursive --include ""*"&amp;TEXT(F179+1,"YYYYMMDD")&amp;"*"" &amp; """&amp;walkandungz&amp;""" "&amp;search_path&amp;"\RTDC"&amp;B179&amp;"\"&amp;TEXT(F179+1,"YYYY-MM-DD")</f>
        <v>aws s3 cp s3://rtdc.mdm.uploadarchive.raw/RTDC4056/ "%USERPROFILE%\AppData\Local\Temp\OnboardLogs"\RTDC4056\2018-01-06 --exclude "*" --recursive --include "*20180106*" &amp; "%USERPROFILE%\Documents\GitHub\mrs-test-scripts\Headless Mode &amp; Sideloading\WalkAndUnGZ.bat" "%USERPROFILE%\AppData\Local\Temp\OnboardLogs"\RTDC4056\2018-01-06 &amp; aws s3 cp s3://rtdc.mdm.uploadarchive.raw/RTDC4056/ "%USERPROFILE%\AppData\Local\Temp\OnboardLogs"\RTDC4056\2018-01-07 --exclude "*" --recursive --include "*20180107*" &amp; "%USERPROFILE%\Documents\GitHub\mrs-test-scripts\Headless Mode &amp; Sideloading\WalkAndUnGZ.bat" "%USERPROFILE%\AppData\Local\Temp\OnboardLogs"\RTDC4056\2018-01-07</v>
      </c>
      <c r="AF179" s="234" t="str">
        <f>astrogrep_path&amp;" /e /r /s /spath="&amp;search_path&amp;" /stypes=""app*"&amp;B179&amp;"*"&amp;TEXT(I179-utc_offset/24,"YYYYMMDD")&amp;"*"" /stext="" "&amp;TEXT(I179-utc_offset/24,"HH")&amp;search_regexp&amp;""""</f>
        <v>"C:\Program Files (x86)\AstroGrep\AstroGrep.exe" /e /r /s /spath="%USERPROFILE%\AppData\Local\Temp\OnboardLogs" /stypes="app*4056*20180106*" /stext=" 21:.+((SYSTEM_STATE.+slice.+state.+changed )|(ment ac)|(multiple cpu faults)|(system.+state.+changed )|(\[timeout)|(PRM\|1\|D)|(kpr)|(kdp)|(train st.+moving)|(\|lc)|(penalty))"</v>
      </c>
      <c r="AG179" s="244" t="str">
        <f>DetSubdiv(A179)</f>
        <v>NW</v>
      </c>
      <c r="AH179" s="236" t="str">
        <f t="shared" si="36"/>
        <v>"%USERPROFILE%\Documents\GitHub\eaglep3\Utilities\RefineRTDCRunTimes.py" --tripid 1817-06 --locoid 4056 --swversion DE.1.0.9.0 --startMP 204:459 --initTime 2018-01-06T14:01:03 --startdatetime 2018-01-06T14:09:21 --delay 71 --endMP 300:58946 --enddatetime 2018-01-06T14:22:59 --enforcementcount 0 &gt;&gt;%USERPROFILE%\Documents\GitHub\eaglep3-reporting\EC\2018-01-06-refined-times.txt</v>
      </c>
      <c r="AI179" s="238" t="str">
        <f t="shared" si="37"/>
        <v>echo {"issue":{"subject":"","project_id":79,"tracker_id":40,"status_id":1,"priority_id":2,"assigned_to_id":338,"start_date":"2018-01-06","description":"","custom_fields":[{"id":1,"name":"Subdivision","value":"NW"},{"id":4,"name":"Milepost","value":"5.8946"},{"id":17,"name":"Train ID","value":"1817-06"},{"id":16,"name":"Locomotive ID","value":"4056"},{"id":130,"name":"Impact","value":""},{"id":150,"name":"Time of Event (Mountain Time)","value":"14:22:59"},{"id":151,"name":"Denver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9" s="223"/>
      <c r="AK179" s="231"/>
      <c r="AL179" s="231"/>
      <c r="AM179" s="240" t="str">
        <f t="shared" si="38"/>
        <v>start /low /b %USERPROFILE%\Documents\GitHub\eaglep3\Utilities\DownloadLogsFromS3.py --loco 4056 --day 2018-01-06</v>
      </c>
      <c r="AN179" s="241" t="str">
        <f t="shared" si="39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21:22:59"},{"id":29,"name":"Sharepoint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 s="230" t="str">
        <f t="shared" si="40"/>
        <v>https://d0f6bd738d7f1b3e5a7ca70fe4ff75f0.us-east-1.aws.found.io/app/kibana#/discover/Steve-Slow-Train-Analysis-(2080s-and-2083s)?_g=(refreshInterval:(display:Off,pause:!f,section:0,value:0),time:(from:'2018-01-06T13:01:03-0700',mode:absolute,to:'2018-01-06T15:22:59-0700'))&amp;_a=(columns:!('Message%20ID',Summary),filters:!(),index:'emp_*',interval:auto,query:(query_string:(analyze_wildcard:!t,query:'%22rtdc.l.rtdc.4056%22')),sort:!(Time.ISO8601,asc))</v>
      </c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0" customFormat="1" x14ac:dyDescent="0.3">
      <c r="A180" s="229" t="s">
        <v>807</v>
      </c>
      <c r="B180" s="225">
        <v>4055</v>
      </c>
      <c r="C180" s="227" t="s">
        <v>192</v>
      </c>
      <c r="D180" s="227" t="s">
        <v>574</v>
      </c>
      <c r="E180" s="226">
        <v>43106.600648148145</v>
      </c>
      <c r="F180" s="226">
        <v>43106.613275462965</v>
      </c>
      <c r="G180" s="225">
        <v>67</v>
      </c>
      <c r="H180" s="227" t="s">
        <v>961</v>
      </c>
      <c r="I180" s="226">
        <v>43106.622511574074</v>
      </c>
      <c r="J180" s="225">
        <v>0</v>
      </c>
      <c r="K180" s="237" t="str">
        <f>IF(ISEVEN(B180),(B180-1)&amp;"/"&amp;B180,B180&amp;"/"&amp;(B180+1))</f>
        <v>4055/4056</v>
      </c>
      <c r="L180" s="245" t="str">
        <f>VLOOKUP(A180,'Trips&amp;Operators'!$C$1:$G$99911,5,FALSE)</f>
        <v>SMITH MICHAEL</v>
      </c>
      <c r="M180" s="224">
        <f>I180-F180</f>
        <v>9.2361111092031933E-3</v>
      </c>
      <c r="N180" s="225">
        <f>24*60*SUM($M180:$M180)</f>
        <v>13.299999997252598</v>
      </c>
      <c r="O180" s="225"/>
      <c r="P180" s="225"/>
      <c r="Q180" s="228"/>
      <c r="R180" s="242"/>
      <c r="S180" s="249">
        <f>1/IF(AG180="EC",12,1)*SUM(U180:U180)</f>
        <v>1</v>
      </c>
      <c r="T180" s="242" t="str">
        <f>IF(ISEVEN(LEFT(AD180,4)),"Southbound","NorthBound")</f>
        <v>Southbound</v>
      </c>
      <c r="U180" s="246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248" t="str">
        <f>"https://d0f6bd738d7f1b3e5a7ca70fe4ff75f0.us-east-1.aws.found.io/app/kibana#/discover/Steve-Slow-Train-Analysis-(2080s-and-2083s)?_g="&amp;"(refreshInterval:(display:Off,pause:!f,section:0,value:0),time:(from:'"&amp;TEXT(E180-1/24,"yyyy-MM-DDThh:mm:ss")&amp;utc_offset&amp;"00"&amp;"',mode:absolute,to:'"&amp;TEXT(I180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180&amp;"%22')),sort:!(Time.ISO8601,asc))"</f>
        <v>https://d0f6bd738d7f1b3e5a7ca70fe4ff75f0.us-east-1.aws.found.io/app/kibana#/discover/Steve-Slow-Train-Analysis-(2080s-and-2083s)?_g=(refreshInterval:(display:Off,pause:!f,section:0,value:0),time:(from:'2018-01-06T13:24:56-0700',mode:absolute,to:'2018-01-06T15:56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80" s="247" t="str">
        <f>IF(AA180&lt;VLOOKUP(AG180,Variables!$AC$3:$AD$8,2,FALSE),"Y","N")</f>
        <v>N</v>
      </c>
      <c r="X180" s="247">
        <f>VALUE(LEFT(AD180,4))-VALUE(LEFT(AD179,4))</f>
        <v>1</v>
      </c>
      <c r="Y180" s="247">
        <f>RIGHT(D180,LEN(D180)-4)/10000</f>
        <v>5.8634000000000004</v>
      </c>
      <c r="Z180" s="247">
        <f>RIGHT(H180,LEN(H180)-4)/10000</f>
        <v>1.8200000000000001E-2</v>
      </c>
      <c r="AA180" s="247">
        <f>ABS(Z180-Y180)</f>
        <v>5.8452000000000002</v>
      </c>
      <c r="AB180" s="233" t="e">
        <f>VLOOKUP(A180,Enforcements!$C$7:$K$9,8,0)</f>
        <v>#N/A</v>
      </c>
      <c r="AC180" s="232" t="e">
        <f>VLOOKUP(A180,Enforcements!$C$7:$E$9,3,0)</f>
        <v>#N/A</v>
      </c>
      <c r="AD180" s="243">
        <f>VALUE(LEFT(A180,LEN(A180)-3))</f>
        <v>1818</v>
      </c>
      <c r="AE180" s="235" t="str">
        <f>"aws s3 cp "&amp;s3_bucket&amp;"/RTDC"&amp;B180&amp;"/ "&amp;search_path&amp;"\RTDC"&amp;B180&amp;"\"&amp;TEXT(F180,"YYYY-MM-DD")&amp;" --exclude ""*"" --recursive --include ""*"&amp;TEXT(F180,"YYYYMMDD")&amp;"*"" &amp; """&amp;walkandungz&amp;""" "&amp;search_path&amp;"\RTDC"&amp;B180&amp;"\"&amp;TEXT(F180,"YYYY-MM-DD")
&amp;" &amp; "&amp;"aws s3 cp "&amp;s3_bucket&amp;"/RTDC"&amp;B180&amp;"/ "&amp;search_path&amp;"\RTDC"&amp;B180&amp;"\"&amp;TEXT(F180+1,"YYYY-MM-DD")&amp;" --exclude ""*"" --recursive --include ""*"&amp;TEXT(F180+1,"YYYYMMDD")&amp;"*"" &amp; """&amp;walkandungz&amp;""" "&amp;search_path&amp;"\RTDC"&amp;B180&amp;"\"&amp;TEXT(F180+1,"YYYY-MM-DD")</f>
        <v>aws s3 cp s3://rtdc.mdm.uploadarchive.raw/RTDC4055/ "%USERPROFILE%\AppData\Local\Temp\OnboardLogs"\RTDC4055\2018-01-06 --exclude "*" --recursive --include "*20180106*" &amp; "%USERPROFILE%\Documents\GitHub\mrs-test-scripts\Headless Mode &amp; Sideloading\WalkAndUnGZ.bat" "%USERPROFILE%\AppData\Local\Temp\OnboardLogs"\RTDC4055\2018-01-06 &amp; aws s3 cp s3://rtdc.mdm.uploadarchive.raw/RTDC4055/ "%USERPROFILE%\AppData\Local\Temp\OnboardLogs"\RTDC4055\2018-01-07 --exclude "*" --recursive --include "*20180107*" &amp; "%USERPROFILE%\Documents\GitHub\mrs-test-scripts\Headless Mode &amp; Sideloading\WalkAndUnGZ.bat" "%USERPROFILE%\AppData\Local\Temp\OnboardLogs"\RTDC4055\2018-01-07</v>
      </c>
      <c r="AF180" s="234" t="str">
        <f>astrogrep_path&amp;" /e /r /s /spath="&amp;search_path&amp;" /stypes=""app*"&amp;B180&amp;"*"&amp;TEXT(I180-utc_offset/24,"YYYYMMDD")&amp;"*"" /stext="" "&amp;TEXT(I180-utc_offset/24,"HH")&amp;search_regexp&amp;""""</f>
        <v>"C:\Program Files (x86)\AstroGrep\AstroGrep.exe" /e /r /s /spath="%USERPROFILE%\AppData\Local\Temp\OnboardLogs" /stypes="app*4055*20180106*" /stext=" 21:.+((SYSTEM_STATE.+slice.+state.+changed )|(ment ac)|(multiple cpu faults)|(system.+state.+changed )|(\[timeout)|(PRM\|1\|D)|(kpr)|(kdp)|(train st.+moving)|(\|lc)|(penalty))"</v>
      </c>
      <c r="AG180" s="244" t="str">
        <f>DetSubdiv(A180)</f>
        <v>NW</v>
      </c>
      <c r="AH180" s="236" t="str">
        <f t="shared" si="36"/>
        <v>"%USERPROFILE%\Documents\GitHub\eaglep3\Utilities\RefineRTDCRunTimes.py" --tripid 1818-06 --locoid 4055 --swversion DE.1.0.9.0 --startMP 300:58634 --initTime 2018-01-06T14:24:56 --startdatetime 2018-01-06T14:43:07 --delay 67 --endMP 204:182 --enddatetime 2018-01-06T14:56:25 --enforcementcount 0 &gt;&gt;%USERPROFILE%\Documents\GitHub\eaglep3-reporting\EC\2018-01-06-refined-times.txt</v>
      </c>
      <c r="AI180" s="238" t="str">
        <f t="shared" si="37"/>
        <v>echo {"issue":{"subject":"","project_id":79,"tracker_id":40,"status_id":1,"priority_id":2,"assigned_to_id":338,"start_date":"2018-01-06","description":"","custom_fields":[{"id":1,"name":"Subdivision","value":"NW"},{"id":4,"name":"Milepost","value":"0.0182"},{"id":17,"name":"Train ID","value":"1818-06"},{"id":16,"name":"Locomotive ID","value":"4055"},{"id":130,"name":"Impact","value":""},{"id":150,"name":"Time of Event (Mountain Time)","value":"14:56:25"},{"id":151,"name":"Denver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0" s="223"/>
      <c r="AK180" s="231"/>
      <c r="AL180" s="231"/>
      <c r="AM180" s="240" t="str">
        <f t="shared" si="38"/>
        <v>start /low /b %USERPROFILE%\Documents\GitHub\eaglep3\Utilities\DownloadLogsFromS3.py --loco 4055 --day 2018-01-06</v>
      </c>
      <c r="AN180" s="241" t="str">
        <f t="shared" si="39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21:56:25"},{"id":29,"name":"Sharepoint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 s="230" t="str">
        <f t="shared" si="40"/>
        <v>https://d0f6bd738d7f1b3e5a7ca70fe4ff75f0.us-east-1.aws.found.io/app/kibana#/discover/Steve-Slow-Train-Analysis-(2080s-and-2083s)?_g=(refreshInterval:(display:Off,pause:!f,section:0,value:0),time:(from:'2018-01-06T13:24:56-0700',mode:absolute,to:'2018-01-06T15:56:25-0700'))&amp;_a=(columns:!('Message%20ID',Summary),filters:!(),index:'emp_*',interval:auto,query:(query_string:(analyze_wildcard:!t,query:'%22rtdc.l.rtdc.4055%22')),sort:!(Time.ISO8601,asc))</v>
      </c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23" customFormat="1" x14ac:dyDescent="0.3">
      <c r="A181" s="229" t="s">
        <v>812</v>
      </c>
      <c r="B181" s="225">
        <v>4056</v>
      </c>
      <c r="C181" s="227" t="s">
        <v>192</v>
      </c>
      <c r="D181" s="227" t="s">
        <v>955</v>
      </c>
      <c r="E181" s="226">
        <v>43106.624861111108</v>
      </c>
      <c r="F181" s="226">
        <v>43106.632581018515</v>
      </c>
      <c r="G181" s="225">
        <v>75</v>
      </c>
      <c r="H181" s="227" t="s">
        <v>962</v>
      </c>
      <c r="I181" s="226">
        <v>43106.641979166663</v>
      </c>
      <c r="J181" s="225">
        <v>0</v>
      </c>
      <c r="K181" s="237" t="str">
        <f>IF(ISEVEN(B181),(B181-1)&amp;"/"&amp;B181,B181&amp;"/"&amp;(B181+1))</f>
        <v>4055/4056</v>
      </c>
      <c r="L181" s="245" t="str">
        <f>VLOOKUP(A181,'Trips&amp;Operators'!$C$1:$G$99911,5,FALSE)</f>
        <v>SMITH MICHAEL</v>
      </c>
      <c r="M181" s="224">
        <f>I181-F181</f>
        <v>9.3981481477385387E-3</v>
      </c>
      <c r="N181" s="225">
        <f>24*60*SUM($M181:$M181)</f>
        <v>13.533333332743496</v>
      </c>
      <c r="O181" s="225"/>
      <c r="P181" s="225"/>
      <c r="Q181" s="228"/>
      <c r="R181" s="242"/>
      <c r="S181" s="249">
        <f>1/IF(AG181="EC",12,1)*SUM(U181:U181)</f>
        <v>1</v>
      </c>
      <c r="T181" s="242" t="str">
        <f>IF(ISEVEN(LEFT(AD181,4)),"Southbound","NorthBound")</f>
        <v>NorthBound</v>
      </c>
      <c r="U181" s="246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248" t="str">
        <f>"https://d0f6bd738d7f1b3e5a7ca70fe4ff75f0.us-east-1.aws.found.io/app/kibana#/discover/Steve-Slow-Train-Analysis-(2080s-and-2083s)?_g="&amp;"(refreshInterval:(display:Off,pause:!f,section:0,value:0),time:(from:'"&amp;TEXT(E181-1/24,"yyyy-MM-DDThh:mm:ss")&amp;utc_offset&amp;"00"&amp;"',mode:absolute,to:'"&amp;TEXT(I181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181&amp;"%22')),sort:!(Time.ISO8601,asc))"</f>
        <v>https://d0f6bd738d7f1b3e5a7ca70fe4ff75f0.us-east-1.aws.found.io/app/kibana#/discover/Steve-Slow-Train-Analysis-(2080s-and-2083s)?_g=(refreshInterval:(display:Off,pause:!f,section:0,value:0),time:(from:'2018-01-06T13:59:48-0700',mode:absolute,to:'2018-01-06T16:24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81" s="247" t="str">
        <f>IF(AA181&lt;VLOOKUP(AG181,Variables!$AC$3:$AD$8,2,FALSE),"Y","N")</f>
        <v>N</v>
      </c>
      <c r="X181" s="247">
        <f>VALUE(LEFT(AD181,4))-VALUE(LEFT(AD180,4))</f>
        <v>1</v>
      </c>
      <c r="Y181" s="247">
        <f>RIGHT(D181,LEN(D181)-4)/10000</f>
        <v>4.9500000000000002E-2</v>
      </c>
      <c r="Z181" s="247">
        <f>RIGHT(H181,LEN(H181)-4)/10000</f>
        <v>5.8979999999999997</v>
      </c>
      <c r="AA181" s="247">
        <f>ABS(Z181-Y181)</f>
        <v>5.8484999999999996</v>
      </c>
      <c r="AB181" s="233" t="e">
        <f>VLOOKUP(A181,Enforcements!$C$7:$K$9,8,0)</f>
        <v>#N/A</v>
      </c>
      <c r="AC181" s="232" t="e">
        <f>VLOOKUP(A181,Enforcements!$C$7:$E$9,3,0)</f>
        <v>#N/A</v>
      </c>
      <c r="AD181" s="243">
        <f>VALUE(LEFT(A181,LEN(A181)-3))</f>
        <v>1819</v>
      </c>
      <c r="AE181" s="235" t="str">
        <f>"aws s3 cp "&amp;s3_bucket&amp;"/RTDC"&amp;B181&amp;"/ "&amp;search_path&amp;"\RTDC"&amp;B181&amp;"\"&amp;TEXT(F181,"YYYY-MM-DD")&amp;" --exclude ""*"" --recursive --include ""*"&amp;TEXT(F181,"YYYYMMDD")&amp;"*"" &amp; """&amp;walkandungz&amp;""" "&amp;search_path&amp;"\RTDC"&amp;B181&amp;"\"&amp;TEXT(F181,"YYYY-MM-DD")
&amp;" &amp; "&amp;"aws s3 cp "&amp;s3_bucket&amp;"/RTDC"&amp;B181&amp;"/ "&amp;search_path&amp;"\RTDC"&amp;B181&amp;"\"&amp;TEXT(F181+1,"YYYY-MM-DD")&amp;" --exclude ""*"" --recursive --include ""*"&amp;TEXT(F181+1,"YYYYMMDD")&amp;"*"" &amp; """&amp;walkandungz&amp;""" "&amp;search_path&amp;"\RTDC"&amp;B181&amp;"\"&amp;TEXT(F181+1,"YYYY-MM-DD")</f>
        <v>aws s3 cp s3://rtdc.mdm.uploadarchive.raw/RTDC4056/ "%USERPROFILE%\AppData\Local\Temp\OnboardLogs"\RTDC4056\2018-01-06 --exclude "*" --recursive --include "*20180106*" &amp; "%USERPROFILE%\Documents\GitHub\mrs-test-scripts\Headless Mode &amp; Sideloading\WalkAndUnGZ.bat" "%USERPROFILE%\AppData\Local\Temp\OnboardLogs"\RTDC4056\2018-01-06 &amp; aws s3 cp s3://rtdc.mdm.uploadarchive.raw/RTDC4056/ "%USERPROFILE%\AppData\Local\Temp\OnboardLogs"\RTDC4056\2018-01-07 --exclude "*" --recursive --include "*20180107*" &amp; "%USERPROFILE%\Documents\GitHub\mrs-test-scripts\Headless Mode &amp; Sideloading\WalkAndUnGZ.bat" "%USERPROFILE%\AppData\Local\Temp\OnboardLogs"\RTDC4056\2018-01-07</v>
      </c>
      <c r="AF181" s="234" t="str">
        <f>astrogrep_path&amp;" /e /r /s /spath="&amp;search_path&amp;" /stypes=""app*"&amp;B181&amp;"*"&amp;TEXT(I181-utc_offset/24,"YYYYMMDD")&amp;"*"" /stext="" "&amp;TEXT(I181-utc_offset/24,"HH")&amp;search_regexp&amp;""""</f>
        <v>"C:\Program Files (x86)\AstroGrep\AstroGrep.exe" /e /r /s /spath="%USERPROFILE%\AppData\Local\Temp\OnboardLogs" /stypes="app*4056*20180106*" /stext=" 22:.+((SYSTEM_STATE.+slice.+state.+changed )|(ment ac)|(multiple cpu faults)|(system.+state.+changed )|(\[timeout)|(PRM\|1\|D)|(kpr)|(kdp)|(train st.+moving)|(\|lc)|(penalty))"</v>
      </c>
      <c r="AG181" s="244" t="str">
        <f>DetSubdiv(A181)</f>
        <v>NW</v>
      </c>
      <c r="AH181" s="236" t="str">
        <f t="shared" si="36"/>
        <v>"%USERPROFILE%\Documents\GitHub\eaglep3\Utilities\RefineRTDCRunTimes.py" --tripid 1819-06 --locoid 4056 --swversion DE.1.0.9.0 --startMP 204:495 --initTime 2018-01-06T14:59:48 --startdatetime 2018-01-06T15:10:55 --delay 75 --endMP 300:58980 --enddatetime 2018-01-06T15:24:27 --enforcementcount 0 &gt;&gt;%USERPROFILE%\Documents\GitHub\eaglep3-reporting\EC\2018-01-06-refined-times.txt</v>
      </c>
      <c r="AI181" s="238" t="str">
        <f t="shared" si="37"/>
        <v>echo {"issue":{"subject":"","project_id":79,"tracker_id":40,"status_id":1,"priority_id":2,"assigned_to_id":338,"start_date":"2018-01-06","description":"","custom_fields":[{"id":1,"name":"Subdivision","value":"NW"},{"id":4,"name":"Milepost","value":"5.898"},{"id":17,"name":"Train ID","value":"1819-06"},{"id":16,"name":"Locomotive ID","value":"4056"},{"id":130,"name":"Impact","value":""},{"id":150,"name":"Time of Event (Mountain Time)","value":"15:24:27"},{"id":151,"name":"Denver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1" s="231"/>
      <c r="AL181" s="231"/>
      <c r="AM181" s="240" t="str">
        <f t="shared" si="38"/>
        <v>start /low /b %USERPROFILE%\Documents\GitHub\eaglep3\Utilities\DownloadLogsFromS3.py --loco 4056 --day 2018-01-06</v>
      </c>
      <c r="AN181" s="241" t="str">
        <f t="shared" si="39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22:24:27"},{"id":29,"name":"Sharepoint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 s="230" t="str">
        <f t="shared" si="40"/>
        <v>https://d0f6bd738d7f1b3e5a7ca70fe4ff75f0.us-east-1.aws.found.io/app/kibana#/discover/Steve-Slow-Train-Analysis-(2080s-and-2083s)?_g=(refreshInterval:(display:Off,pause:!f,section:0,value:0),time:(from:'2018-01-06T13:59:48-0700',mode:absolute,to:'2018-01-06T16:24:27-0700'))&amp;_a=(columns:!('Message%20ID',Summary),filters:!(),index:'emp_*',interval:auto,query:(query_string:(analyze_wildcard:!t,query:'%22rtdc.l.rtdc.4056%22')),sort:!(Time.ISO8601,asc))</v>
      </c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23" customFormat="1" x14ac:dyDescent="0.3">
      <c r="A182" s="229" t="s">
        <v>817</v>
      </c>
      <c r="B182" s="225">
        <v>4055</v>
      </c>
      <c r="C182" s="227" t="s">
        <v>192</v>
      </c>
      <c r="D182" s="227" t="s">
        <v>964</v>
      </c>
      <c r="E182" s="226">
        <v>43106.646180555559</v>
      </c>
      <c r="F182" s="226">
        <v>43106.654918981483</v>
      </c>
      <c r="G182" s="225">
        <v>65</v>
      </c>
      <c r="H182" s="227" t="s">
        <v>604</v>
      </c>
      <c r="I182" s="226">
        <v>43106.664409722223</v>
      </c>
      <c r="J182" s="225">
        <v>0</v>
      </c>
      <c r="K182" s="237" t="str">
        <f>IF(ISEVEN(B182),(B182-1)&amp;"/"&amp;B182,B182&amp;"/"&amp;(B182+1))</f>
        <v>4055/4056</v>
      </c>
      <c r="L182" s="245" t="str">
        <f>VLOOKUP(A182,'Trips&amp;Operators'!$C$1:$G$99911,5,FALSE)</f>
        <v>SMITH MICHAEL</v>
      </c>
      <c r="M182" s="224">
        <f>I182-F182</f>
        <v>9.4907407401478849E-3</v>
      </c>
      <c r="N182" s="225">
        <f>24*60*SUM($M182:$M182)</f>
        <v>13.666666665812954</v>
      </c>
      <c r="O182" s="225"/>
      <c r="P182" s="225"/>
      <c r="Q182" s="228"/>
      <c r="R182" s="242"/>
      <c r="S182" s="249">
        <f>1/IF(AG182="EC",12,1)*SUM(U182:U182)</f>
        <v>1</v>
      </c>
      <c r="T182" s="242" t="str">
        <f>IF(ISEVEN(LEFT(AD182,4)),"Southbound","NorthBound")</f>
        <v>Southbound</v>
      </c>
      <c r="U182" s="246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248" t="str">
        <f>"https://d0f6bd738d7f1b3e5a7ca70fe4ff75f0.us-east-1.aws.found.io/app/kibana#/discover/Steve-Slow-Train-Analysis-(2080s-and-2083s)?_g="&amp;"(refreshInterval:(display:Off,pause:!f,section:0,value:0),time:(from:'"&amp;TEXT(E182-1/24,"yyyy-MM-DDThh:mm:ss")&amp;utc_offset&amp;"00"&amp;"',mode:absolute,to:'"&amp;TEXT(I182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182&amp;"%22')),sort:!(Time.ISO8601,asc))"</f>
        <v>https://d0f6bd738d7f1b3e5a7ca70fe4ff75f0.us-east-1.aws.found.io/app/kibana#/discover/Steve-Slow-Train-Analysis-(2080s-and-2083s)?_g=(refreshInterval:(display:Off,pause:!f,section:0,value:0),time:(from:'2018-01-06T14:30:30-0700',mode:absolute,to:'2018-01-06T16:56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82" s="247" t="str">
        <f>IF(AA182&lt;VLOOKUP(AG182,Variables!$AC$3:$AD$8,2,FALSE),"Y","N")</f>
        <v>N</v>
      </c>
      <c r="X182" s="247">
        <f>VALUE(LEFT(AD182,4))-VALUE(LEFT(AD181,4))</f>
        <v>1</v>
      </c>
      <c r="Y182" s="247">
        <f>RIGHT(D182,LEN(D182)-4)/10000</f>
        <v>5.8663999999999996</v>
      </c>
      <c r="Z182" s="247">
        <f>RIGHT(H182,LEN(H182)-4)/10000</f>
        <v>1.9099999999999999E-2</v>
      </c>
      <c r="AA182" s="247">
        <f>ABS(Z182-Y182)</f>
        <v>5.8472999999999997</v>
      </c>
      <c r="AB182" s="233" t="e">
        <f>VLOOKUP(A182,Enforcements!$C$7:$K$9,8,0)</f>
        <v>#N/A</v>
      </c>
      <c r="AC182" s="232" t="e">
        <f>VLOOKUP(A182,Enforcements!$C$7:$E$9,3,0)</f>
        <v>#N/A</v>
      </c>
      <c r="AD182" s="243">
        <f>VALUE(LEFT(A182,LEN(A182)-3))</f>
        <v>1820</v>
      </c>
      <c r="AE182" s="235" t="str">
        <f>"aws s3 cp "&amp;s3_bucket&amp;"/RTDC"&amp;B182&amp;"/ "&amp;search_path&amp;"\RTDC"&amp;B182&amp;"\"&amp;TEXT(F182,"YYYY-MM-DD")&amp;" --exclude ""*"" --recursive --include ""*"&amp;TEXT(F182,"YYYYMMDD")&amp;"*"" &amp; """&amp;walkandungz&amp;""" "&amp;search_path&amp;"\RTDC"&amp;B182&amp;"\"&amp;TEXT(F182,"YYYY-MM-DD")
&amp;" &amp; "&amp;"aws s3 cp "&amp;s3_bucket&amp;"/RTDC"&amp;B182&amp;"/ "&amp;search_path&amp;"\RTDC"&amp;B182&amp;"\"&amp;TEXT(F182+1,"YYYY-MM-DD")&amp;" --exclude ""*"" --recursive --include ""*"&amp;TEXT(F182+1,"YYYYMMDD")&amp;"*"" &amp; """&amp;walkandungz&amp;""" "&amp;search_path&amp;"\RTDC"&amp;B182&amp;"\"&amp;TEXT(F182+1,"YYYY-MM-DD")</f>
        <v>aws s3 cp s3://rtdc.mdm.uploadarchive.raw/RTDC4055/ "%USERPROFILE%\AppData\Local\Temp\OnboardLogs"\RTDC4055\2018-01-06 --exclude "*" --recursive --include "*20180106*" &amp; "%USERPROFILE%\Documents\GitHub\mrs-test-scripts\Headless Mode &amp; Sideloading\WalkAndUnGZ.bat" "%USERPROFILE%\AppData\Local\Temp\OnboardLogs"\RTDC4055\2018-01-06 &amp; aws s3 cp s3://rtdc.mdm.uploadarchive.raw/RTDC4055/ "%USERPROFILE%\AppData\Local\Temp\OnboardLogs"\RTDC4055\2018-01-07 --exclude "*" --recursive --include "*20180107*" &amp; "%USERPROFILE%\Documents\GitHub\mrs-test-scripts\Headless Mode &amp; Sideloading\WalkAndUnGZ.bat" "%USERPROFILE%\AppData\Local\Temp\OnboardLogs"\RTDC4055\2018-01-07</v>
      </c>
      <c r="AF182" s="234" t="str">
        <f>astrogrep_path&amp;" /e /r /s /spath="&amp;search_path&amp;" /stypes=""app*"&amp;B182&amp;"*"&amp;TEXT(I182-utc_offset/24,"YYYYMMDD")&amp;"*"" /stext="" "&amp;TEXT(I182-utc_offset/24,"HH")&amp;search_regexp&amp;""""</f>
        <v>"C:\Program Files (x86)\AstroGrep\AstroGrep.exe" /e /r /s /spath="%USERPROFILE%\AppData\Local\Temp\OnboardLogs" /stypes="app*4055*20180106*" /stext=" 22:.+((SYSTEM_STATE.+slice.+state.+changed )|(ment ac)|(multiple cpu faults)|(system.+state.+changed )|(\[timeout)|(PRM\|1\|D)|(kpr)|(kdp)|(train st.+moving)|(\|lc)|(penalty))"</v>
      </c>
      <c r="AG182" s="244" t="str">
        <f>DetSubdiv(A182)</f>
        <v>NW</v>
      </c>
      <c r="AH182" s="236" t="str">
        <f t="shared" si="36"/>
        <v>"%USERPROFILE%\Documents\GitHub\eaglep3\Utilities\RefineRTDCRunTimes.py" --tripid 1820-06 --locoid 4055 --swversion DE.1.0.9.0 --startMP 300:58664 --initTime 2018-01-06T15:30:30 --startdatetime 2018-01-06T15:43:05 --delay 65 --endMP 204:191 --enddatetime 2018-01-06T15:56:45 --enforcementcount 0 &gt;&gt;%USERPROFILE%\Documents\GitHub\eaglep3-reporting\EC\2018-01-06-refined-times.txt</v>
      </c>
      <c r="AI182" s="238" t="str">
        <f t="shared" si="37"/>
        <v>echo {"issue":{"subject":"","project_id":79,"tracker_id":40,"status_id":1,"priority_id":2,"assigned_to_id":338,"start_date":"2018-01-06","description":"","custom_fields":[{"id":1,"name":"Subdivision","value":"NW"},{"id":4,"name":"Milepost","value":"0.0191"},{"id":17,"name":"Train ID","value":"1820-06"},{"id":16,"name":"Locomotive ID","value":"4055"},{"id":130,"name":"Impact","value":""},{"id":150,"name":"Time of Event (Mountain Time)","value":"15:56:45"},{"id":151,"name":"Denver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2" s="231"/>
      <c r="AL182" s="231"/>
      <c r="AM182" s="240" t="str">
        <f t="shared" si="38"/>
        <v>start /low /b %USERPROFILE%\Documents\GitHub\eaglep3\Utilities\DownloadLogsFromS3.py --loco 4055 --day 2018-01-06</v>
      </c>
      <c r="AN182" s="241" t="str">
        <f t="shared" si="39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22:56:45"},{"id":29,"name":"Sharepoint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 s="230" t="str">
        <f t="shared" si="40"/>
        <v>https://d0f6bd738d7f1b3e5a7ca70fe4ff75f0.us-east-1.aws.found.io/app/kibana#/discover/Steve-Slow-Train-Analysis-(2080s-and-2083s)?_g=(refreshInterval:(display:Off,pause:!f,section:0,value:0),time:(from:'2018-01-06T14:30:30-0700',mode:absolute,to:'2018-01-06T16:56:45-0700'))&amp;_a=(columns:!('Message%20ID',Summary),filters:!(),index:'emp_*',interval:auto,query:(query_string:(analyze_wildcard:!t,query:'%22rtdc.l.rtdc.4055%22')),sort:!(Time.ISO8601,asc))</v>
      </c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23" customFormat="1" x14ac:dyDescent="0.3">
      <c r="A183" s="229" t="s">
        <v>823</v>
      </c>
      <c r="B183" s="225">
        <v>4056</v>
      </c>
      <c r="C183" s="227" t="s">
        <v>192</v>
      </c>
      <c r="D183" s="227" t="s">
        <v>560</v>
      </c>
      <c r="E183" s="226">
        <v>43106.668912037036</v>
      </c>
      <c r="F183" s="226">
        <v>43106.673159722224</v>
      </c>
      <c r="G183" s="225">
        <v>65</v>
      </c>
      <c r="H183" s="227" t="s">
        <v>965</v>
      </c>
      <c r="I183" s="226">
        <v>43106.682974537034</v>
      </c>
      <c r="J183" s="225">
        <v>0</v>
      </c>
      <c r="K183" s="237" t="str">
        <f>IF(ISEVEN(B183),(B183-1)&amp;"/"&amp;B183,B183&amp;"/"&amp;(B183+1))</f>
        <v>4055/4056</v>
      </c>
      <c r="L183" s="245" t="str">
        <f>VLOOKUP(A183,'Trips&amp;Operators'!$C$1:$G$99911,5,FALSE)</f>
        <v>SMITH MICHAEL</v>
      </c>
      <c r="M183" s="224">
        <f>I183-F183</f>
        <v>9.814814809942618E-3</v>
      </c>
      <c r="N183" s="225">
        <f>24*60*SUM($M183:$M183)</f>
        <v>14.13333332631737</v>
      </c>
      <c r="O183" s="225"/>
      <c r="P183" s="225"/>
      <c r="Q183" s="228"/>
      <c r="R183" s="242"/>
      <c r="S183" s="249">
        <f>1/IF(AG183="EC",12,1)*SUM(U183:U183)</f>
        <v>1</v>
      </c>
      <c r="T183" s="242" t="str">
        <f>IF(ISEVEN(LEFT(AD183,4)),"Southbound","NorthBound")</f>
        <v>NorthBound</v>
      </c>
      <c r="U183" s="246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248" t="str">
        <f>"https://d0f6bd738d7f1b3e5a7ca70fe4ff75f0.us-east-1.aws.found.io/app/kibana#/discover/Steve-Slow-Train-Analysis-(2080s-and-2083s)?_g="&amp;"(refreshInterval:(display:Off,pause:!f,section:0,value:0),time:(from:'"&amp;TEXT(E183-1/24,"yyyy-MM-DDThh:mm:ss")&amp;utc_offset&amp;"00"&amp;"',mode:absolute,to:'"&amp;TEXT(I183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183&amp;"%22')),sort:!(Time.ISO8601,asc))"</f>
        <v>https://d0f6bd738d7f1b3e5a7ca70fe4ff75f0.us-east-1.aws.found.io/app/kibana#/discover/Steve-Slow-Train-Analysis-(2080s-and-2083s)?_g=(refreshInterval:(display:Off,pause:!f,section:0,value:0),time:(from:'2018-01-06T15:03:14-0700',mode:absolute,to:'2018-01-06T17:23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83" s="247" t="str">
        <f>IF(AA183&lt;VLOOKUP(AG183,Variables!$AC$3:$AD$8,2,FALSE),"Y","N")</f>
        <v>N</v>
      </c>
      <c r="X183" s="247">
        <f>VALUE(LEFT(AD183,4))-VALUE(LEFT(AD182,4))</f>
        <v>1</v>
      </c>
      <c r="Y183" s="247">
        <f>RIGHT(D183,LEN(D183)-4)/10000</f>
        <v>4.82E-2</v>
      </c>
      <c r="Z183" s="247">
        <f>RIGHT(H183,LEN(H183)-4)/10000</f>
        <v>5.8971</v>
      </c>
      <c r="AA183" s="247">
        <f>ABS(Z183-Y183)</f>
        <v>5.8489000000000004</v>
      </c>
      <c r="AB183" s="233" t="e">
        <f>VLOOKUP(A183,Enforcements!$C$7:$K$9,8,0)</f>
        <v>#N/A</v>
      </c>
      <c r="AC183" s="232" t="e">
        <f>VLOOKUP(A183,Enforcements!$C$7:$E$9,3,0)</f>
        <v>#N/A</v>
      </c>
      <c r="AD183" s="243">
        <f>VALUE(LEFT(A183,LEN(A183)-3))</f>
        <v>1821</v>
      </c>
      <c r="AE183" s="235" t="str">
        <f>"aws s3 cp "&amp;s3_bucket&amp;"/RTDC"&amp;B183&amp;"/ "&amp;search_path&amp;"\RTDC"&amp;B183&amp;"\"&amp;TEXT(F183,"YYYY-MM-DD")&amp;" --exclude ""*"" --recursive --include ""*"&amp;TEXT(F183,"YYYYMMDD")&amp;"*"" &amp; """&amp;walkandungz&amp;""" "&amp;search_path&amp;"\RTDC"&amp;B183&amp;"\"&amp;TEXT(F183,"YYYY-MM-DD")
&amp;" &amp; "&amp;"aws s3 cp "&amp;s3_bucket&amp;"/RTDC"&amp;B183&amp;"/ "&amp;search_path&amp;"\RTDC"&amp;B183&amp;"\"&amp;TEXT(F183+1,"YYYY-MM-DD")&amp;" --exclude ""*"" --recursive --include ""*"&amp;TEXT(F183+1,"YYYYMMDD")&amp;"*"" &amp; """&amp;walkandungz&amp;""" "&amp;search_path&amp;"\RTDC"&amp;B183&amp;"\"&amp;TEXT(F183+1,"YYYY-MM-DD")</f>
        <v>aws s3 cp s3://rtdc.mdm.uploadarchive.raw/RTDC4056/ "%USERPROFILE%\AppData\Local\Temp\OnboardLogs"\RTDC4056\2018-01-06 --exclude "*" --recursive --include "*20180106*" &amp; "%USERPROFILE%\Documents\GitHub\mrs-test-scripts\Headless Mode &amp; Sideloading\WalkAndUnGZ.bat" "%USERPROFILE%\AppData\Local\Temp\OnboardLogs"\RTDC4056\2018-01-06 &amp; aws s3 cp s3://rtdc.mdm.uploadarchive.raw/RTDC4056/ "%USERPROFILE%\AppData\Local\Temp\OnboardLogs"\RTDC4056\2018-01-07 --exclude "*" --recursive --include "*20180107*" &amp; "%USERPROFILE%\Documents\GitHub\mrs-test-scripts\Headless Mode &amp; Sideloading\WalkAndUnGZ.bat" "%USERPROFILE%\AppData\Local\Temp\OnboardLogs"\RTDC4056\2018-01-07</v>
      </c>
      <c r="AF183" s="234" t="str">
        <f>astrogrep_path&amp;" /e /r /s /spath="&amp;search_path&amp;" /stypes=""app*"&amp;B183&amp;"*"&amp;TEXT(I183-utc_offset/24,"YYYYMMDD")&amp;"*"" /stext="" "&amp;TEXT(I183-utc_offset/24,"HH")&amp;search_regexp&amp;""""</f>
        <v>"C:\Program Files (x86)\AstroGrep\AstroGrep.exe" /e /r /s /spath="%USERPROFILE%\AppData\Local\Temp\OnboardLogs" /stypes="app*4056*20180106*" /stext=" 23:.+((SYSTEM_STATE.+slice.+state.+changed )|(ment ac)|(multiple cpu faults)|(system.+state.+changed )|(\[timeout)|(PRM\|1\|D)|(kpr)|(kdp)|(train st.+moving)|(\|lc)|(penalty))"</v>
      </c>
      <c r="AG183" s="244" t="str">
        <f>DetSubdiv(A183)</f>
        <v>NW</v>
      </c>
      <c r="AH183" s="236" t="str">
        <f t="shared" si="36"/>
        <v>"%USERPROFILE%\Documents\GitHub\eaglep3\Utilities\RefineRTDCRunTimes.py" --tripid 1821-06 --locoid 4056 --swversion DE.1.0.9.0 --startMP 204:482 --initTime 2018-01-06T16:03:14 --startdatetime 2018-01-06T16:09:21 --delay 65 --endMP 300:58971 --enddatetime 2018-01-06T16:23:29 --enforcementcount 0 &gt;&gt;%USERPROFILE%\Documents\GitHub\eaglep3-reporting\EC\2018-01-06-refined-times.txt</v>
      </c>
      <c r="AI183" s="238" t="str">
        <f t="shared" si="37"/>
        <v>echo {"issue":{"subject":"","project_id":79,"tracker_id":40,"status_id":1,"priority_id":2,"assigned_to_id":338,"start_date":"2018-01-06","description":"","custom_fields":[{"id":1,"name":"Subdivision","value":"NW"},{"id":4,"name":"Milepost","value":"5.8971"},{"id":17,"name":"Train ID","value":"1821-06"},{"id":16,"name":"Locomotive ID","value":"4056"},{"id":130,"name":"Impact","value":""},{"id":150,"name":"Time of Event (Mountain Time)","value":"16:23:29"},{"id":151,"name":"Denver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3" s="231"/>
      <c r="AL183" s="231"/>
      <c r="AM183" s="240" t="str">
        <f t="shared" si="38"/>
        <v>start /low /b %USERPROFILE%\Documents\GitHub\eaglep3\Utilities\DownloadLogsFromS3.py --loco 4056 --day 2018-01-06</v>
      </c>
      <c r="AN183" s="241" t="str">
        <f t="shared" si="39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23:23:29"},{"id":29,"name":"Sharepoint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 s="230" t="str">
        <f t="shared" si="40"/>
        <v>https://d0f6bd738d7f1b3e5a7ca70fe4ff75f0.us-east-1.aws.found.io/app/kibana#/discover/Steve-Slow-Train-Analysis-(2080s-and-2083s)?_g=(refreshInterval:(display:Off,pause:!f,section:0,value:0),time:(from:'2018-01-06T15:03:14-0700',mode:absolute,to:'2018-01-06T17:23:29-0700'))&amp;_a=(columns:!('Message%20ID',Summary),filters:!(),index:'emp_*',interval:auto,query:(query_string:(analyze_wildcard:!t,query:'%22rtdc.l.rtdc.4056%22')),sort:!(Time.ISO8601,asc))</v>
      </c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23" customFormat="1" x14ac:dyDescent="0.3">
      <c r="A184" s="229" t="s">
        <v>828</v>
      </c>
      <c r="B184" s="225">
        <v>4055</v>
      </c>
      <c r="C184" s="227" t="s">
        <v>192</v>
      </c>
      <c r="D184" s="227" t="s">
        <v>945</v>
      </c>
      <c r="E184" s="226">
        <v>43106.684236111112</v>
      </c>
      <c r="F184" s="226">
        <v>43106.696539351855</v>
      </c>
      <c r="G184" s="225">
        <v>63</v>
      </c>
      <c r="H184" s="227" t="s">
        <v>479</v>
      </c>
      <c r="I184" s="226">
        <v>43106.704895833333</v>
      </c>
      <c r="J184" s="225">
        <v>0</v>
      </c>
      <c r="K184" s="237" t="str">
        <f>IF(ISEVEN(B184),(B184-1)&amp;"/"&amp;B184,B184&amp;"/"&amp;(B184+1))</f>
        <v>4055/4056</v>
      </c>
      <c r="L184" s="245" t="str">
        <f>VLOOKUP(A184,'Trips&amp;Operators'!$C$1:$G$99911,5,FALSE)</f>
        <v>SMITH MICHAEL</v>
      </c>
      <c r="M184" s="224">
        <f>I184-F184</f>
        <v>8.3564814776764251E-3</v>
      </c>
      <c r="N184" s="225">
        <f>24*60*SUM($M184:$M184)</f>
        <v>12.033333327854052</v>
      </c>
      <c r="O184" s="225"/>
      <c r="P184" s="225"/>
      <c r="Q184" s="228"/>
      <c r="R184" s="242"/>
      <c r="S184" s="249">
        <f>1/IF(AG184="EC",12,1)*SUM(U184:U184)</f>
        <v>1</v>
      </c>
      <c r="T184" s="242" t="str">
        <f>IF(ISEVEN(LEFT(AD184,4)),"Southbound","NorthBound")</f>
        <v>Southbound</v>
      </c>
      <c r="U184" s="246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248" t="str">
        <f>"https://d0f6bd738d7f1b3e5a7ca70fe4ff75f0.us-east-1.aws.found.io/app/kibana#/discover/Steve-Slow-Train-Analysis-(2080s-and-2083s)?_g="&amp;"(refreshInterval:(display:Off,pause:!f,section:0,value:0),time:(from:'"&amp;TEXT(E184-1/24,"yyyy-MM-DDThh:mm:ss")&amp;utc_offset&amp;"00"&amp;"',mode:absolute,to:'"&amp;TEXT(I184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184&amp;"%22')),sort:!(Time.ISO8601,asc))"</f>
        <v>https://d0f6bd738d7f1b3e5a7ca70fe4ff75f0.us-east-1.aws.found.io/app/kibana#/discover/Steve-Slow-Train-Analysis-(2080s-and-2083s)?_g=(refreshInterval:(display:Off,pause:!f,section:0,value:0),time:(from:'2018-01-06T15:25:18-0700',mode:absolute,to:'2018-01-06T17:55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84" s="247" t="str">
        <f>IF(AA184&lt;VLOOKUP(AG184,Variables!$AC$3:$AD$8,2,FALSE),"Y","N")</f>
        <v>N</v>
      </c>
      <c r="X184" s="247">
        <f>VALUE(LEFT(AD184,4))-VALUE(LEFT(AD183,4))</f>
        <v>1</v>
      </c>
      <c r="Y184" s="247">
        <f>RIGHT(D184,LEN(D184)-4)/10000</f>
        <v>5.8643000000000001</v>
      </c>
      <c r="Z184" s="247">
        <f>RIGHT(H184,LEN(H184)-4)/10000</f>
        <v>2.0500000000000001E-2</v>
      </c>
      <c r="AA184" s="247">
        <f>ABS(Z184-Y184)</f>
        <v>5.8437999999999999</v>
      </c>
      <c r="AB184" s="233" t="e">
        <f>VLOOKUP(A184,Enforcements!$C$7:$K$9,8,0)</f>
        <v>#N/A</v>
      </c>
      <c r="AC184" s="232" t="e">
        <f>VLOOKUP(A184,Enforcements!$C$7:$E$9,3,0)</f>
        <v>#N/A</v>
      </c>
      <c r="AD184" s="243">
        <f>VALUE(LEFT(A184,LEN(A184)-3))</f>
        <v>1822</v>
      </c>
      <c r="AE184" s="235" t="str">
        <f>"aws s3 cp "&amp;s3_bucket&amp;"/RTDC"&amp;B184&amp;"/ "&amp;search_path&amp;"\RTDC"&amp;B184&amp;"\"&amp;TEXT(F184,"YYYY-MM-DD")&amp;" --exclude ""*"" --recursive --include ""*"&amp;TEXT(F184,"YYYYMMDD")&amp;"*"" &amp; """&amp;walkandungz&amp;""" "&amp;search_path&amp;"\RTDC"&amp;B184&amp;"\"&amp;TEXT(F184,"YYYY-MM-DD")
&amp;" &amp; "&amp;"aws s3 cp "&amp;s3_bucket&amp;"/RTDC"&amp;B184&amp;"/ "&amp;search_path&amp;"\RTDC"&amp;B184&amp;"\"&amp;TEXT(F184+1,"YYYY-MM-DD")&amp;" --exclude ""*"" --recursive --include ""*"&amp;TEXT(F184+1,"YYYYMMDD")&amp;"*"" &amp; """&amp;walkandungz&amp;""" "&amp;search_path&amp;"\RTDC"&amp;B184&amp;"\"&amp;TEXT(F184+1,"YYYY-MM-DD")</f>
        <v>aws s3 cp s3://rtdc.mdm.uploadarchive.raw/RTDC4055/ "%USERPROFILE%\AppData\Local\Temp\OnboardLogs"\RTDC4055\2018-01-06 --exclude "*" --recursive --include "*20180106*" &amp; "%USERPROFILE%\Documents\GitHub\mrs-test-scripts\Headless Mode &amp; Sideloading\WalkAndUnGZ.bat" "%USERPROFILE%\AppData\Local\Temp\OnboardLogs"\RTDC4055\2018-01-06 &amp; aws s3 cp s3://rtdc.mdm.uploadarchive.raw/RTDC4055/ "%USERPROFILE%\AppData\Local\Temp\OnboardLogs"\RTDC4055\2018-01-07 --exclude "*" --recursive --include "*20180107*" &amp; "%USERPROFILE%\Documents\GitHub\mrs-test-scripts\Headless Mode &amp; Sideloading\WalkAndUnGZ.bat" "%USERPROFILE%\AppData\Local\Temp\OnboardLogs"\RTDC4055\2018-01-07</v>
      </c>
      <c r="AF184" s="234" t="str">
        <f>astrogrep_path&amp;" /e /r /s /spath="&amp;search_path&amp;" /stypes=""app*"&amp;B184&amp;"*"&amp;TEXT(I184-utc_offset/24,"YYYYMMDD")&amp;"*"" /stext="" "&amp;TEXT(I184-utc_offset/24,"HH")&amp;search_regexp&amp;""""</f>
        <v>"C:\Program Files (x86)\AstroGrep\AstroGrep.exe" /e /r /s /spath="%USERPROFILE%\AppData\Local\Temp\OnboardLogs" /stypes="app*4055*20180106*" /stext=" 23:.+((SYSTEM_STATE.+slice.+state.+changed )|(ment ac)|(multiple cpu faults)|(system.+state.+changed )|(\[timeout)|(PRM\|1\|D)|(kpr)|(kdp)|(train st.+moving)|(\|lc)|(penalty))"</v>
      </c>
      <c r="AG184" s="244" t="str">
        <f>DetSubdiv(A184)</f>
        <v>NW</v>
      </c>
      <c r="AH184" s="236" t="str">
        <f t="shared" si="36"/>
        <v>"%USERPROFILE%\Documents\GitHub\eaglep3\Utilities\RefineRTDCRunTimes.py" --tripid 1822-06 --locoid 4055 --swversion DE.1.0.9.0 --startMP 300:58643 --initTime 2018-01-06T16:25:18 --startdatetime 2018-01-06T16:43:01 --delay 63 --endMP 204:205 --enddatetime 2018-01-06T16:55:03 --enforcementcount 0 &gt;&gt;%USERPROFILE%\Documents\GitHub\eaglep3-reporting\EC\2018-01-06-refined-times.txt</v>
      </c>
      <c r="AI184" s="238" t="str">
        <f t="shared" si="37"/>
        <v>echo {"issue":{"subject":"","project_id":79,"tracker_id":40,"status_id":1,"priority_id":2,"assigned_to_id":338,"start_date":"2018-01-06","description":"","custom_fields":[{"id":1,"name":"Subdivision","value":"NW"},{"id":4,"name":"Milepost","value":"0.0205"},{"id":17,"name":"Train ID","value":"1822-06"},{"id":16,"name":"Locomotive ID","value":"4055"},{"id":130,"name":"Impact","value":""},{"id":150,"name":"Time of Event (Mountain Time)","value":"16:55:03"},{"id":151,"name":"Denver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4" s="231"/>
      <c r="AL184" s="231"/>
      <c r="AM184" s="240" t="str">
        <f t="shared" si="38"/>
        <v>start /low /b %USERPROFILE%\Documents\GitHub\eaglep3\Utilities\DownloadLogsFromS3.py --loco 4055 --day 2018-01-06</v>
      </c>
      <c r="AN184" s="241" t="str">
        <f t="shared" si="39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23:55:03"},{"id":29,"name":"Sharepoint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 s="230" t="str">
        <f t="shared" si="40"/>
        <v>https://d0f6bd738d7f1b3e5a7ca70fe4ff75f0.us-east-1.aws.found.io/app/kibana#/discover/Steve-Slow-Train-Analysis-(2080s-and-2083s)?_g=(refreshInterval:(display:Off,pause:!f,section:0,value:0),time:(from:'2018-01-06T15:25:18-0700',mode:absolute,to:'2018-01-06T17:55:03-0700'))&amp;_a=(columns:!('Message%20ID',Summary),filters:!(),index:'emp_*',interval:auto,query:(query_string:(analyze_wildcard:!t,query:'%22rtdc.l.rtdc.4055%22')),sort:!(Time.ISO8601,asc))</v>
      </c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23" customFormat="1" x14ac:dyDescent="0.3">
      <c r="A185" s="229" t="s">
        <v>834</v>
      </c>
      <c r="B185" s="225">
        <v>4056</v>
      </c>
      <c r="C185" s="227" t="s">
        <v>192</v>
      </c>
      <c r="D185" s="227" t="s">
        <v>615</v>
      </c>
      <c r="E185" s="226">
        <v>43106.710300925923</v>
      </c>
      <c r="F185" s="226">
        <v>43106.714803240742</v>
      </c>
      <c r="G185" s="225">
        <v>59</v>
      </c>
      <c r="H185" s="227" t="s">
        <v>966</v>
      </c>
      <c r="I185" s="226">
        <v>43106.724212962959</v>
      </c>
      <c r="J185" s="225">
        <v>0</v>
      </c>
      <c r="K185" s="237" t="str">
        <f>IF(ISEVEN(B185),(B185-1)&amp;"/"&amp;B185,B185&amp;"/"&amp;(B185+1))</f>
        <v>4055/4056</v>
      </c>
      <c r="L185" s="245" t="str">
        <f>VLOOKUP(A185,'Trips&amp;Operators'!$C$1:$G$99911,5,FALSE)</f>
        <v>SMITH MICHAEL</v>
      </c>
      <c r="M185" s="224">
        <f>I185-F185</f>
        <v>9.4097222172422335E-3</v>
      </c>
      <c r="N185" s="225">
        <f>24*60*SUM($M185:$M185)</f>
        <v>13.549999992828816</v>
      </c>
      <c r="O185" s="225"/>
      <c r="P185" s="225"/>
      <c r="Q185" s="228"/>
      <c r="R185" s="242"/>
      <c r="S185" s="249">
        <f>1/IF(AG185="EC",12,1)*SUM(U185:U185)</f>
        <v>1</v>
      </c>
      <c r="T185" s="242" t="str">
        <f>IF(ISEVEN(LEFT(AD185,4)),"Southbound","NorthBound")</f>
        <v>NorthBound</v>
      </c>
      <c r="U185" s="246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248" t="str">
        <f>"https://d0f6bd738d7f1b3e5a7ca70fe4ff75f0.us-east-1.aws.found.io/app/kibana#/discover/Steve-Slow-Train-Analysis-(2080s-and-2083s)?_g="&amp;"(refreshInterval:(display:Off,pause:!f,section:0,value:0),time:(from:'"&amp;TEXT(E185-1/24,"yyyy-MM-DDThh:mm:ss")&amp;utc_offset&amp;"00"&amp;"',mode:absolute,to:'"&amp;TEXT(I185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185&amp;"%22')),sort:!(Time.ISO8601,asc))"</f>
        <v>https://d0f6bd738d7f1b3e5a7ca70fe4ff75f0.us-east-1.aws.found.io/app/kibana#/discover/Steve-Slow-Train-Analysis-(2080s-and-2083s)?_g=(refreshInterval:(display:Off,pause:!f,section:0,value:0),time:(from:'2018-01-06T16:02:50-0700',mode:absolute,to:'2018-01-06T18:22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85" s="247" t="str">
        <f>IF(AA185&lt;VLOOKUP(AG185,Variables!$AC$3:$AD$8,2,FALSE),"Y","N")</f>
        <v>N</v>
      </c>
      <c r="X185" s="247">
        <f>VALUE(LEFT(AD185,4))-VALUE(LEFT(AD184,4))</f>
        <v>1</v>
      </c>
      <c r="Y185" s="247">
        <f>RIGHT(D185,LEN(D185)-4)/10000</f>
        <v>4.8800000000000003E-2</v>
      </c>
      <c r="Z185" s="247">
        <f>RIGHT(H185,LEN(H185)-4)/10000</f>
        <v>5.8967000000000001</v>
      </c>
      <c r="AA185" s="247">
        <f>ABS(Z185-Y185)</f>
        <v>5.8479000000000001</v>
      </c>
      <c r="AB185" s="233" t="e">
        <f>VLOOKUP(A185,Enforcements!$C$7:$K$9,8,0)</f>
        <v>#N/A</v>
      </c>
      <c r="AC185" s="232" t="e">
        <f>VLOOKUP(A185,Enforcements!$C$7:$E$9,3,0)</f>
        <v>#N/A</v>
      </c>
      <c r="AD185" s="243">
        <f>VALUE(LEFT(A185,LEN(A185)-3))</f>
        <v>1823</v>
      </c>
      <c r="AE185" s="235" t="str">
        <f>"aws s3 cp "&amp;s3_bucket&amp;"/RTDC"&amp;B185&amp;"/ "&amp;search_path&amp;"\RTDC"&amp;B185&amp;"\"&amp;TEXT(F185,"YYYY-MM-DD")&amp;" --exclude ""*"" --recursive --include ""*"&amp;TEXT(F185,"YYYYMMDD")&amp;"*"" &amp; """&amp;walkandungz&amp;""" "&amp;search_path&amp;"\RTDC"&amp;B185&amp;"\"&amp;TEXT(F185,"YYYY-MM-DD")
&amp;" &amp; "&amp;"aws s3 cp "&amp;s3_bucket&amp;"/RTDC"&amp;B185&amp;"/ "&amp;search_path&amp;"\RTDC"&amp;B185&amp;"\"&amp;TEXT(F185+1,"YYYY-MM-DD")&amp;" --exclude ""*"" --recursive --include ""*"&amp;TEXT(F185+1,"YYYYMMDD")&amp;"*"" &amp; """&amp;walkandungz&amp;""" "&amp;search_path&amp;"\RTDC"&amp;B185&amp;"\"&amp;TEXT(F185+1,"YYYY-MM-DD")</f>
        <v>aws s3 cp s3://rtdc.mdm.uploadarchive.raw/RTDC4056/ "%USERPROFILE%\AppData\Local\Temp\OnboardLogs"\RTDC4056\2018-01-06 --exclude "*" --recursive --include "*20180106*" &amp; "%USERPROFILE%\Documents\GitHub\mrs-test-scripts\Headless Mode &amp; Sideloading\WalkAndUnGZ.bat" "%USERPROFILE%\AppData\Local\Temp\OnboardLogs"\RTDC4056\2018-01-06 &amp; aws s3 cp s3://rtdc.mdm.uploadarchive.raw/RTDC4056/ "%USERPROFILE%\AppData\Local\Temp\OnboardLogs"\RTDC4056\2018-01-07 --exclude "*" --recursive --include "*20180107*" &amp; "%USERPROFILE%\Documents\GitHub\mrs-test-scripts\Headless Mode &amp; Sideloading\WalkAndUnGZ.bat" "%USERPROFILE%\AppData\Local\Temp\OnboardLogs"\RTDC4056\2018-01-07</v>
      </c>
      <c r="AF185" s="234" t="str">
        <f>astrogrep_path&amp;" /e /r /s /spath="&amp;search_path&amp;" /stypes=""app*"&amp;B185&amp;"*"&amp;TEXT(I185-utc_offset/24,"YYYYMMDD")&amp;"*"" /stext="" "&amp;TEXT(I185-utc_offset/24,"HH")&amp;search_regexp&amp;""""</f>
        <v>"C:\Program Files (x86)\AstroGrep\AstroGrep.exe" /e /r /s /spath="%USERPROFILE%\AppData\Local\Temp\OnboardLogs" /stypes="app*4056*20180107*" /stext=" 00:.+((SYSTEM_STATE.+slice.+state.+changed )|(ment ac)|(multiple cpu faults)|(system.+state.+changed )|(\[timeout)|(PRM\|1\|D)|(kpr)|(kdp)|(train st.+moving)|(\|lc)|(penalty))"</v>
      </c>
      <c r="AG185" s="244" t="str">
        <f>DetSubdiv(A185)</f>
        <v>NW</v>
      </c>
      <c r="AH185" s="236" t="str">
        <f t="shared" si="36"/>
        <v>"%USERPROFILE%\Documents\GitHub\eaglep3\Utilities\RefineRTDCRunTimes.py" --tripid 1823-06 --locoid 4056 --swversion DE.1.0.9.0 --startMP 204:488 --initTime 2018-01-06T17:02:50 --startdatetime 2018-01-06T17:09:19 --delay 59 --endMP 300:58967 --enddatetime 2018-01-06T17:22:52 --enforcementcount 0 &gt;&gt;%USERPROFILE%\Documents\GitHub\eaglep3-reporting\EC\2018-01-06-refined-times.txt</v>
      </c>
      <c r="AI185" s="238" t="str">
        <f t="shared" si="37"/>
        <v>echo {"issue":{"subject":"","project_id":79,"tracker_id":40,"status_id":1,"priority_id":2,"assigned_to_id":338,"start_date":"2018-01-06","description":"","custom_fields":[{"id":1,"name":"Subdivision","value":"NW"},{"id":4,"name":"Milepost","value":"5.8967"},{"id":17,"name":"Train ID","value":"1823-06"},{"id":16,"name":"Locomotive ID","value":"4056"},{"id":130,"name":"Impact","value":""},{"id":150,"name":"Time of Event (Mountain Time)","value":"17:22:52"},{"id":151,"name":"Denver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5" s="231"/>
      <c r="AL185" s="231"/>
      <c r="AM185" s="240" t="str">
        <f t="shared" si="38"/>
        <v>start /low /b %USERPROFILE%\Documents\GitHub\eaglep3\Utilities\DownloadLogsFromS3.py --loco 4056 --day 2018-01-06</v>
      </c>
      <c r="AN185" s="241" t="str">
        <f t="shared" si="39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00:22:52"},{"id":29,"name":"Sharepoint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 s="230" t="str">
        <f t="shared" si="40"/>
        <v>https://d0f6bd738d7f1b3e5a7ca70fe4ff75f0.us-east-1.aws.found.io/app/kibana#/discover/Steve-Slow-Train-Analysis-(2080s-and-2083s)?_g=(refreshInterval:(display:Off,pause:!f,section:0,value:0),time:(from:'2018-01-06T16:02:50-0700',mode:absolute,to:'2018-01-06T18:22:52-0700'))&amp;_a=(columns:!('Message%20ID',Summary),filters:!(),index:'emp_*',interval:auto,query:(query_string:(analyze_wildcard:!t,query:'%22rtdc.l.rtdc.4056%22')),sort:!(Time.ISO8601,asc))</v>
      </c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23" customFormat="1" x14ac:dyDescent="0.3">
      <c r="A186" s="229" t="s">
        <v>675</v>
      </c>
      <c r="B186" s="225">
        <v>4055</v>
      </c>
      <c r="C186" s="227" t="s">
        <v>192</v>
      </c>
      <c r="D186" s="227" t="s">
        <v>650</v>
      </c>
      <c r="E186" s="226">
        <v>43106.725312499999</v>
      </c>
      <c r="F186" s="226">
        <v>43106.738275462965</v>
      </c>
      <c r="G186" s="225">
        <v>66</v>
      </c>
      <c r="H186" s="227" t="s">
        <v>967</v>
      </c>
      <c r="I186" s="226">
        <v>43106.745000000003</v>
      </c>
      <c r="J186" s="225">
        <v>0</v>
      </c>
      <c r="K186" s="237" t="str">
        <f>IF(ISEVEN(B186),(B186-1)&amp;"/"&amp;B186,B186&amp;"/"&amp;(B186+1))</f>
        <v>4055/4056</v>
      </c>
      <c r="L186" s="245" t="str">
        <f>VLOOKUP(A186,'Trips&amp;Operators'!$C$1:$G$99911,5,FALSE)</f>
        <v>SMITH MICHAEL</v>
      </c>
      <c r="M186" s="224">
        <f>I186-F186</f>
        <v>6.7245370373711921E-3</v>
      </c>
      <c r="N186" s="225">
        <f>24*60*SUM($M186:$M186)</f>
        <v>9.6833333338145167</v>
      </c>
      <c r="O186" s="225"/>
      <c r="P186" s="225"/>
      <c r="Q186" s="228"/>
      <c r="R186" s="242"/>
      <c r="S186" s="249">
        <f>1/IF(AG186="EC",12,1)*SUM(U186:U186)</f>
        <v>1</v>
      </c>
      <c r="T186" s="242" t="str">
        <f>IF(ISEVEN(LEFT(AD186,4)),"Southbound","NorthBound")</f>
        <v>Southbound</v>
      </c>
      <c r="U186" s="246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248" t="str">
        <f>"https://d0f6bd738d7f1b3e5a7ca70fe4ff75f0.us-east-1.aws.found.io/app/kibana#/discover/Steve-Slow-Train-Analysis-(2080s-and-2083s)?_g="&amp;"(refreshInterval:(display:Off,pause:!f,section:0,value:0),time:(from:'"&amp;TEXT(E186-1/24,"yyyy-MM-DDThh:mm:ss")&amp;utc_offset&amp;"00"&amp;"',mode:absolute,to:'"&amp;TEXT(I186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186&amp;"%22')),sort:!(Time.ISO8601,asc))"</f>
        <v>https://d0f6bd738d7f1b3e5a7ca70fe4ff75f0.us-east-1.aws.found.io/app/kibana#/discover/Steve-Slow-Train-Analysis-(2080s-and-2083s)?_g=(refreshInterval:(display:Off,pause:!f,section:0,value:0),time:(from:'2018-01-06T16:24:27-0700',mode:absolute,to:'2018-01-06T18:52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86" s="247" t="str">
        <f>IF(AA186&lt;VLOOKUP(AG186,Variables!$AC$3:$AD$8,2,FALSE),"Y","N")</f>
        <v>Y</v>
      </c>
      <c r="X186" s="247">
        <f>VALUE(LEFT(AD186,4))-VALUE(LEFT(AD185,4))</f>
        <v>1</v>
      </c>
      <c r="Y186" s="247">
        <f>RIGHT(D186,LEN(D186)-4)/10000</f>
        <v>5.8654999999999999</v>
      </c>
      <c r="Z186" s="247">
        <f>RIGHT(H186,LEN(H186)-4)/10000</f>
        <v>0.45779999999999998</v>
      </c>
      <c r="AA186" s="247">
        <f>ABS(Z186-Y186)</f>
        <v>5.4077000000000002</v>
      </c>
      <c r="AB186" s="233" t="e">
        <f>VLOOKUP(A186,Enforcements!$C$7:$K$9,8,0)</f>
        <v>#N/A</v>
      </c>
      <c r="AC186" s="232" t="e">
        <f>VLOOKUP(A186,Enforcements!$C$7:$E$9,3,0)</f>
        <v>#N/A</v>
      </c>
      <c r="AD186" s="243">
        <f>VALUE(LEFT(A186,LEN(A186)-3))</f>
        <v>1824</v>
      </c>
      <c r="AE186" s="235" t="str">
        <f>"aws s3 cp "&amp;s3_bucket&amp;"/RTDC"&amp;B186&amp;"/ "&amp;search_path&amp;"\RTDC"&amp;B186&amp;"\"&amp;TEXT(F186,"YYYY-MM-DD")&amp;" --exclude ""*"" --recursive --include ""*"&amp;TEXT(F186,"YYYYMMDD")&amp;"*"" &amp; """&amp;walkandungz&amp;""" "&amp;search_path&amp;"\RTDC"&amp;B186&amp;"\"&amp;TEXT(F186,"YYYY-MM-DD")
&amp;" &amp; "&amp;"aws s3 cp "&amp;s3_bucket&amp;"/RTDC"&amp;B186&amp;"/ "&amp;search_path&amp;"\RTDC"&amp;B186&amp;"\"&amp;TEXT(F186+1,"YYYY-MM-DD")&amp;" --exclude ""*"" --recursive --include ""*"&amp;TEXT(F186+1,"YYYYMMDD")&amp;"*"" &amp; """&amp;walkandungz&amp;""" "&amp;search_path&amp;"\RTDC"&amp;B186&amp;"\"&amp;TEXT(F186+1,"YYYY-MM-DD")</f>
        <v>aws s3 cp s3://rtdc.mdm.uploadarchive.raw/RTDC4055/ "%USERPROFILE%\AppData\Local\Temp\OnboardLogs"\RTDC4055\2018-01-06 --exclude "*" --recursive --include "*20180106*" &amp; "%USERPROFILE%\Documents\GitHub\mrs-test-scripts\Headless Mode &amp; Sideloading\WalkAndUnGZ.bat" "%USERPROFILE%\AppData\Local\Temp\OnboardLogs"\RTDC4055\2018-01-06 &amp; aws s3 cp s3://rtdc.mdm.uploadarchive.raw/RTDC4055/ "%USERPROFILE%\AppData\Local\Temp\OnboardLogs"\RTDC4055\2018-01-07 --exclude "*" --recursive --include "*20180107*" &amp; "%USERPROFILE%\Documents\GitHub\mrs-test-scripts\Headless Mode &amp; Sideloading\WalkAndUnGZ.bat" "%USERPROFILE%\AppData\Local\Temp\OnboardLogs"\RTDC4055\2018-01-07</v>
      </c>
      <c r="AF186" s="234" t="str">
        <f>astrogrep_path&amp;" /e /r /s /spath="&amp;search_path&amp;" /stypes=""app*"&amp;B186&amp;"*"&amp;TEXT(I186-utc_offset/24,"YYYYMMDD")&amp;"*"" /stext="" "&amp;TEXT(I186-utc_offset/24,"HH")&amp;search_regexp&amp;""""</f>
        <v>"C:\Program Files (x86)\AstroGrep\AstroGrep.exe" /e /r /s /spath="%USERPROFILE%\AppData\Local\Temp\OnboardLogs" /stypes="app*4055*20180107*" /stext=" 00:.+((SYSTEM_STATE.+slice.+state.+changed )|(ment ac)|(multiple cpu faults)|(system.+state.+changed )|(\[timeout)|(PRM\|1\|D)|(kpr)|(kdp)|(train st.+moving)|(\|lc)|(penalty))"</v>
      </c>
      <c r="AG186" s="244" t="str">
        <f>DetSubdiv(A186)</f>
        <v>NW</v>
      </c>
      <c r="AH186" s="236" t="str">
        <f t="shared" si="36"/>
        <v>"%USERPROFILE%\Documents\GitHub\eaglep3\Utilities\RefineRTDCRunTimes.py" --tripid 1824-06 --locoid 4055 --swversion DE.1.0.9.0 --startMP 300:58655 --initTime 2018-01-06T17:24:27 --startdatetime 2018-01-06T17:43:07 --delay 66 --endMP 204:4578 --enddatetime 2018-01-06T17:52:48 --enforcementcount 0 &gt;&gt;%USERPROFILE%\Documents\GitHub\eaglep3-reporting\EC\2018-01-06-refined-times.txt</v>
      </c>
      <c r="AI186" s="238" t="str">
        <f t="shared" si="37"/>
        <v>echo {"issue":{"subject":"","project_id":79,"tracker_id":40,"status_id":1,"priority_id":2,"assigned_to_id":338,"start_date":"2018-01-06","description":"","custom_fields":[{"id":1,"name":"Subdivision","value":"NW"},{"id":4,"name":"Milepost","value":"0.4578"},{"id":17,"name":"Train ID","value":"1824-06"},{"id":16,"name":"Locomotive ID","value":"4055"},{"id":130,"name":"Impact","value":""},{"id":150,"name":"Time of Event (Mountain Time)","value":"17:52:48"},{"id":151,"name":"Denver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6" s="231"/>
      <c r="AL186" s="231"/>
      <c r="AM186" s="240" t="str">
        <f t="shared" si="38"/>
        <v>start /low /b %USERPROFILE%\Documents\GitHub\eaglep3\Utilities\DownloadLogsFromS3.py --loco 4055 --day 2018-01-06</v>
      </c>
      <c r="AN186" s="241" t="str">
        <f t="shared" si="39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00:52:48"},{"id":29,"name":"Sharepoint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 s="230" t="str">
        <f t="shared" si="40"/>
        <v>https://d0f6bd738d7f1b3e5a7ca70fe4ff75f0.us-east-1.aws.found.io/app/kibana#/discover/Steve-Slow-Train-Analysis-(2080s-and-2083s)?_g=(refreshInterval:(display:Off,pause:!f,section:0,value:0),time:(from:'2018-01-06T16:24:27-0700',mode:absolute,to:'2018-01-06T18:52:48-0700'))&amp;_a=(columns:!('Message%20ID',Summary),filters:!(),index:'emp_*',interval:auto,query:(query_string:(analyze_wildcard:!t,query:'%22rtdc.l.rtdc.4055%22')),sort:!(Time.ISO8601,asc))</v>
      </c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23" customFormat="1" x14ac:dyDescent="0.3">
      <c r="A187" s="229" t="s">
        <v>846</v>
      </c>
      <c r="B187" s="225">
        <v>4056</v>
      </c>
      <c r="C187" s="227" t="s">
        <v>192</v>
      </c>
      <c r="D187" s="227" t="s">
        <v>968</v>
      </c>
      <c r="E187" s="226">
        <v>43106.751793981479</v>
      </c>
      <c r="F187" s="226">
        <v>43106.756493055553</v>
      </c>
      <c r="G187" s="225">
        <v>58</v>
      </c>
      <c r="H187" s="227" t="s">
        <v>969</v>
      </c>
      <c r="I187" s="226">
        <v>43106.765960648147</v>
      </c>
      <c r="J187" s="225">
        <v>0</v>
      </c>
      <c r="K187" s="237" t="str">
        <f>IF(ISEVEN(B187),(B187-1)&amp;"/"&amp;B187,B187&amp;"/"&amp;(B187+1))</f>
        <v>4055/4056</v>
      </c>
      <c r="L187" s="245" t="str">
        <f>VLOOKUP(A187,'Trips&amp;Operators'!$C$1:$G$99911,5,FALSE)</f>
        <v>SMITH MICHAEL</v>
      </c>
      <c r="M187" s="224">
        <f>I187-F187</f>
        <v>9.4675925938645378E-3</v>
      </c>
      <c r="N187" s="225">
        <f>24*60*SUM($M187:$M187)</f>
        <v>13.633333335164934</v>
      </c>
      <c r="O187" s="225"/>
      <c r="P187" s="225"/>
      <c r="Q187" s="228"/>
      <c r="R187" s="242"/>
      <c r="S187" s="249">
        <f>1/IF(AG187="EC",12,1)*SUM(U187:U187)</f>
        <v>1</v>
      </c>
      <c r="T187" s="242" t="str">
        <f>IF(ISEVEN(LEFT(AD187,4)),"Southbound","NorthBound")</f>
        <v>NorthBound</v>
      </c>
      <c r="U187" s="246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248" t="str">
        <f>"https://d0f6bd738d7f1b3e5a7ca70fe4ff75f0.us-east-1.aws.found.io/app/kibana#/discover/Steve-Slow-Train-Analysis-(2080s-and-2083s)?_g="&amp;"(refreshInterval:(display:Off,pause:!f,section:0,value:0),time:(from:'"&amp;TEXT(E187-1/24,"yyyy-MM-DDThh:mm:ss")&amp;utc_offset&amp;"00"&amp;"',mode:absolute,to:'"&amp;TEXT(I187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187&amp;"%22')),sort:!(Time.ISO8601,asc))"</f>
        <v>https://d0f6bd738d7f1b3e5a7ca70fe4ff75f0.us-east-1.aws.found.io/app/kibana#/discover/Steve-Slow-Train-Analysis-(2080s-and-2083s)?_g=(refreshInterval:(display:Off,pause:!f,section:0,value:0),time:(from:'2018-01-06T17:02:35-0700',mode:absolute,to:'2018-01-06T19:22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87" s="247" t="str">
        <f>IF(AA187&lt;VLOOKUP(AG187,Variables!$AC$3:$AD$8,2,FALSE),"Y","N")</f>
        <v>N</v>
      </c>
      <c r="X187" s="247">
        <f>VALUE(LEFT(AD187,4))-VALUE(LEFT(AD186,4))</f>
        <v>1</v>
      </c>
      <c r="Y187" s="247">
        <f>RIGHT(D187,LEN(D187)-4)/10000</f>
        <v>5.0200000000000002E-2</v>
      </c>
      <c r="Z187" s="247">
        <f>RIGHT(H187,LEN(H187)-4)/10000</f>
        <v>5.8949999999999996</v>
      </c>
      <c r="AA187" s="247">
        <f>ABS(Z187-Y187)</f>
        <v>5.8447999999999993</v>
      </c>
      <c r="AB187" s="233" t="e">
        <f>VLOOKUP(A187,Enforcements!$C$7:$K$9,8,0)</f>
        <v>#N/A</v>
      </c>
      <c r="AC187" s="232" t="e">
        <f>VLOOKUP(A187,Enforcements!$C$7:$E$9,3,0)</f>
        <v>#N/A</v>
      </c>
      <c r="AD187" s="243">
        <f>VALUE(LEFT(A187,LEN(A187)-3))</f>
        <v>1825</v>
      </c>
      <c r="AE187" s="235" t="str">
        <f>"aws s3 cp "&amp;s3_bucket&amp;"/RTDC"&amp;B187&amp;"/ "&amp;search_path&amp;"\RTDC"&amp;B187&amp;"\"&amp;TEXT(F187,"YYYY-MM-DD")&amp;" --exclude ""*"" --recursive --include ""*"&amp;TEXT(F187,"YYYYMMDD")&amp;"*"" &amp; """&amp;walkandungz&amp;""" "&amp;search_path&amp;"\RTDC"&amp;B187&amp;"\"&amp;TEXT(F187,"YYYY-MM-DD")
&amp;" &amp; "&amp;"aws s3 cp "&amp;s3_bucket&amp;"/RTDC"&amp;B187&amp;"/ "&amp;search_path&amp;"\RTDC"&amp;B187&amp;"\"&amp;TEXT(F187+1,"YYYY-MM-DD")&amp;" --exclude ""*"" --recursive --include ""*"&amp;TEXT(F187+1,"YYYYMMDD")&amp;"*"" &amp; """&amp;walkandungz&amp;""" "&amp;search_path&amp;"\RTDC"&amp;B187&amp;"\"&amp;TEXT(F187+1,"YYYY-MM-DD")</f>
        <v>aws s3 cp s3://rtdc.mdm.uploadarchive.raw/RTDC4056/ "%USERPROFILE%\AppData\Local\Temp\OnboardLogs"\RTDC4056\2018-01-06 --exclude "*" --recursive --include "*20180106*" &amp; "%USERPROFILE%\Documents\GitHub\mrs-test-scripts\Headless Mode &amp; Sideloading\WalkAndUnGZ.bat" "%USERPROFILE%\AppData\Local\Temp\OnboardLogs"\RTDC4056\2018-01-06 &amp; aws s3 cp s3://rtdc.mdm.uploadarchive.raw/RTDC4056/ "%USERPROFILE%\AppData\Local\Temp\OnboardLogs"\RTDC4056\2018-01-07 --exclude "*" --recursive --include "*20180107*" &amp; "%USERPROFILE%\Documents\GitHub\mrs-test-scripts\Headless Mode &amp; Sideloading\WalkAndUnGZ.bat" "%USERPROFILE%\AppData\Local\Temp\OnboardLogs"\RTDC4056\2018-01-07</v>
      </c>
      <c r="AF187" s="234" t="str">
        <f>astrogrep_path&amp;" /e /r /s /spath="&amp;search_path&amp;" /stypes=""app*"&amp;B187&amp;"*"&amp;TEXT(I187-utc_offset/24,"YYYYMMDD")&amp;"*"" /stext="" "&amp;TEXT(I187-utc_offset/24,"HH")&amp;search_regexp&amp;""""</f>
        <v>"C:\Program Files (x86)\AstroGrep\AstroGrep.exe" /e /r /s /spath="%USERPROFILE%\AppData\Local\Temp\OnboardLogs" /stypes="app*4056*20180107*" /stext=" 01:.+((SYSTEM_STATE.+slice.+state.+changed )|(ment ac)|(multiple cpu faults)|(system.+state.+changed )|(\[timeout)|(PRM\|1\|D)|(kpr)|(kdp)|(train st.+moving)|(\|lc)|(penalty))"</v>
      </c>
      <c r="AG187" s="244" t="str">
        <f>DetSubdiv(A187)</f>
        <v>NW</v>
      </c>
      <c r="AH187" s="236" t="str">
        <f t="shared" si="36"/>
        <v>"%USERPROFILE%\Documents\GitHub\eaglep3\Utilities\RefineRTDCRunTimes.py" --tripid 1825-06 --locoid 4056 --swversion DE.1.0.9.0 --startMP 204:502 --initTime 2018-01-06T18:02:35 --startdatetime 2018-01-06T18:09:21 --delay 58 --endMP 300:58950 --enddatetime 2018-01-06T18:22:59 --enforcementcount 0 &gt;&gt;%USERPROFILE%\Documents\GitHub\eaglep3-reporting\EC\2018-01-06-refined-times.txt</v>
      </c>
      <c r="AI187" s="238" t="str">
        <f t="shared" si="37"/>
        <v>echo {"issue":{"subject":"","project_id":79,"tracker_id":40,"status_id":1,"priority_id":2,"assigned_to_id":338,"start_date":"2018-01-06","description":"","custom_fields":[{"id":1,"name":"Subdivision","value":"NW"},{"id":4,"name":"Milepost","value":"5.895"},{"id":17,"name":"Train ID","value":"1825-06"},{"id":16,"name":"Locomotive ID","value":"4056"},{"id":130,"name":"Impact","value":""},{"id":150,"name":"Time of Event (Mountain Time)","value":"18:22:59"},{"id":151,"name":"Denver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7" s="231"/>
      <c r="AL187" s="231"/>
      <c r="AM187" s="240" t="str">
        <f t="shared" si="38"/>
        <v>start /low /b %USERPROFILE%\Documents\GitHub\eaglep3\Utilities\DownloadLogsFromS3.py --loco 4056 --day 2018-01-06</v>
      </c>
      <c r="AN187" s="241" t="str">
        <f t="shared" si="39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01:22:59"},{"id":29,"name":"Sharepoint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 s="230" t="str">
        <f t="shared" si="40"/>
        <v>https://d0f6bd738d7f1b3e5a7ca70fe4ff75f0.us-east-1.aws.found.io/app/kibana#/discover/Steve-Slow-Train-Analysis-(2080s-and-2083s)?_g=(refreshInterval:(display:Off,pause:!f,section:0,value:0),time:(from:'2018-01-06T17:02:35-0700',mode:absolute,to:'2018-01-06T19:22:59-0700'))&amp;_a=(columns:!('Message%20ID',Summary),filters:!(),index:'emp_*',interval:auto,query:(query_string:(analyze_wildcard:!t,query:'%22rtdc.l.rtdc.4056%22')),sort:!(Time.ISO8601,asc))</v>
      </c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0" customFormat="1" x14ac:dyDescent="0.3">
      <c r="A188" s="229" t="s">
        <v>851</v>
      </c>
      <c r="B188" s="225">
        <v>4055</v>
      </c>
      <c r="C188" s="227" t="s">
        <v>192</v>
      </c>
      <c r="D188" s="227" t="s">
        <v>970</v>
      </c>
      <c r="E188" s="226">
        <v>43106.767627314817</v>
      </c>
      <c r="F188" s="226">
        <v>43106.779953703706</v>
      </c>
      <c r="G188" s="225">
        <v>69</v>
      </c>
      <c r="H188" s="227" t="s">
        <v>623</v>
      </c>
      <c r="I188" s="226">
        <v>43106.788472222222</v>
      </c>
      <c r="J188" s="225">
        <v>0</v>
      </c>
      <c r="K188" s="237" t="str">
        <f>IF(ISEVEN(B188),(B188-1)&amp;"/"&amp;B188,B188&amp;"/"&amp;(B188+1))</f>
        <v>4055/4056</v>
      </c>
      <c r="L188" s="245" t="str">
        <f>VLOOKUP(A188,'Trips&amp;Operators'!$C$1:$G$99911,5,FALSE)</f>
        <v>SMITH MICHAEL</v>
      </c>
      <c r="M188" s="224">
        <f>I188-F188</f>
        <v>8.5185185162117705E-3</v>
      </c>
      <c r="N188" s="225">
        <f>24*60*SUM($M188:$M188)</f>
        <v>12.266666663344949</v>
      </c>
      <c r="O188" s="225"/>
      <c r="P188" s="225"/>
      <c r="Q188" s="228"/>
      <c r="R188" s="242"/>
      <c r="S188" s="249">
        <f>1/IF(AG188="EC",12,1)*SUM(U188:U188)</f>
        <v>1</v>
      </c>
      <c r="T188" s="242" t="str">
        <f>IF(ISEVEN(LEFT(AD188,4)),"Southbound","NorthBound")</f>
        <v>Southbound</v>
      </c>
      <c r="U188" s="246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248" t="str">
        <f>"https://d0f6bd738d7f1b3e5a7ca70fe4ff75f0.us-east-1.aws.found.io/app/kibana#/discover/Steve-Slow-Train-Analysis-(2080s-and-2083s)?_g="&amp;"(refreshInterval:(display:Off,pause:!f,section:0,value:0),time:(from:'"&amp;TEXT(E188-1/24,"yyyy-MM-DDThh:mm:ss")&amp;utc_offset&amp;"00"&amp;"',mode:absolute,to:'"&amp;TEXT(I188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188&amp;"%22')),sort:!(Time.ISO8601,asc))"</f>
        <v>https://d0f6bd738d7f1b3e5a7ca70fe4ff75f0.us-east-1.aws.found.io/app/kibana#/discover/Steve-Slow-Train-Analysis-(2080s-and-2083s)?_g=(refreshInterval:(display:Off,pause:!f,section:0,value:0),time:(from:'2018-01-06T17:25:23-0700',mode:absolute,to:'2018-01-06T19:55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88" s="247" t="str">
        <f>IF(AA188&lt;VLOOKUP(AG188,Variables!$AC$3:$AD$8,2,FALSE),"Y","N")</f>
        <v>N</v>
      </c>
      <c r="X188" s="247">
        <f>VALUE(LEFT(AD188,4))-VALUE(LEFT(AD187,4))</f>
        <v>1</v>
      </c>
      <c r="Y188" s="247">
        <f>RIGHT(D188,LEN(D188)-4)/10000</f>
        <v>5.8640999999999996</v>
      </c>
      <c r="Z188" s="247">
        <f>RIGHT(H188,LEN(H188)-4)/10000</f>
        <v>1.9800000000000002E-2</v>
      </c>
      <c r="AA188" s="247">
        <f>ABS(Z188-Y188)</f>
        <v>5.8442999999999996</v>
      </c>
      <c r="AB188" s="233" t="e">
        <f>VLOOKUP(A188,Enforcements!$C$7:$K$9,8,0)</f>
        <v>#N/A</v>
      </c>
      <c r="AC188" s="232" t="e">
        <f>VLOOKUP(A188,Enforcements!$C$7:$E$9,3,0)</f>
        <v>#N/A</v>
      </c>
      <c r="AD188" s="243">
        <f>VALUE(LEFT(A188,LEN(A188)-3))</f>
        <v>1826</v>
      </c>
      <c r="AE188" s="235" t="str">
        <f>"aws s3 cp "&amp;s3_bucket&amp;"/RTDC"&amp;B188&amp;"/ "&amp;search_path&amp;"\RTDC"&amp;B188&amp;"\"&amp;TEXT(F188,"YYYY-MM-DD")&amp;" --exclude ""*"" --recursive --include ""*"&amp;TEXT(F188,"YYYYMMDD")&amp;"*"" &amp; """&amp;walkandungz&amp;""" "&amp;search_path&amp;"\RTDC"&amp;B188&amp;"\"&amp;TEXT(F188,"YYYY-MM-DD")
&amp;" &amp; "&amp;"aws s3 cp "&amp;s3_bucket&amp;"/RTDC"&amp;B188&amp;"/ "&amp;search_path&amp;"\RTDC"&amp;B188&amp;"\"&amp;TEXT(F188+1,"YYYY-MM-DD")&amp;" --exclude ""*"" --recursive --include ""*"&amp;TEXT(F188+1,"YYYYMMDD")&amp;"*"" &amp; """&amp;walkandungz&amp;""" "&amp;search_path&amp;"\RTDC"&amp;B188&amp;"\"&amp;TEXT(F188+1,"YYYY-MM-DD")</f>
        <v>aws s3 cp s3://rtdc.mdm.uploadarchive.raw/RTDC4055/ "%USERPROFILE%\AppData\Local\Temp\OnboardLogs"\RTDC4055\2018-01-06 --exclude "*" --recursive --include "*20180106*" &amp; "%USERPROFILE%\Documents\GitHub\mrs-test-scripts\Headless Mode &amp; Sideloading\WalkAndUnGZ.bat" "%USERPROFILE%\AppData\Local\Temp\OnboardLogs"\RTDC4055\2018-01-06 &amp; aws s3 cp s3://rtdc.mdm.uploadarchive.raw/RTDC4055/ "%USERPROFILE%\AppData\Local\Temp\OnboardLogs"\RTDC4055\2018-01-07 --exclude "*" --recursive --include "*20180107*" &amp; "%USERPROFILE%\Documents\GitHub\mrs-test-scripts\Headless Mode &amp; Sideloading\WalkAndUnGZ.bat" "%USERPROFILE%\AppData\Local\Temp\OnboardLogs"\RTDC4055\2018-01-07</v>
      </c>
      <c r="AF188" s="234" t="str">
        <f>astrogrep_path&amp;" /e /r /s /spath="&amp;search_path&amp;" /stypes=""app*"&amp;B188&amp;"*"&amp;TEXT(I188-utc_offset/24,"YYYYMMDD")&amp;"*"" /stext="" "&amp;TEXT(I188-utc_offset/24,"HH")&amp;search_regexp&amp;""""</f>
        <v>"C:\Program Files (x86)\AstroGrep\AstroGrep.exe" /e /r /s /spath="%USERPROFILE%\AppData\Local\Temp\OnboardLogs" /stypes="app*4055*20180107*" /stext=" 01:.+((SYSTEM_STATE.+slice.+state.+changed )|(ment ac)|(multiple cpu faults)|(system.+state.+changed )|(\[timeout)|(PRM\|1\|D)|(kpr)|(kdp)|(train st.+moving)|(\|lc)|(penalty))"</v>
      </c>
      <c r="AG188" s="244" t="str">
        <f>DetSubdiv(A188)</f>
        <v>NW</v>
      </c>
      <c r="AH188" s="236" t="str">
        <f t="shared" si="36"/>
        <v>"%USERPROFILE%\Documents\GitHub\eaglep3\Utilities\RefineRTDCRunTimes.py" --tripid 1826-06 --locoid 4055 --swversion DE.1.0.9.0 --startMP 300:58641 --initTime 2018-01-06T18:25:23 --startdatetime 2018-01-06T18:43:08 --delay 69 --endMP 204:198 --enddatetime 2018-01-06T18:55:24 --enforcementcount 0 &gt;&gt;%USERPROFILE%\Documents\GitHub\eaglep3-reporting\EC\2018-01-06-refined-times.txt</v>
      </c>
      <c r="AI188" s="238" t="str">
        <f t="shared" si="37"/>
        <v>echo {"issue":{"subject":"","project_id":79,"tracker_id":40,"status_id":1,"priority_id":2,"assigned_to_id":338,"start_date":"2018-01-06","description":"","custom_fields":[{"id":1,"name":"Subdivision","value":"NW"},{"id":4,"name":"Milepost","value":"0.0198"},{"id":17,"name":"Train ID","value":"1826-06"},{"id":16,"name":"Locomotive ID","value":"4055"},{"id":130,"name":"Impact","value":""},{"id":150,"name":"Time of Event (Mountain Time)","value":"18:55:24"},{"id":151,"name":"Denver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8" s="223"/>
      <c r="AK188" s="231"/>
      <c r="AL188" s="231"/>
      <c r="AM188" s="240" t="str">
        <f t="shared" si="38"/>
        <v>start /low /b %USERPROFILE%\Documents\GitHub\eaglep3\Utilities\DownloadLogsFromS3.py --loco 4055 --day 2018-01-06</v>
      </c>
      <c r="AN188" s="241" t="str">
        <f t="shared" si="39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01:55:24"},{"id":29,"name":"Sharepoint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 s="230" t="str">
        <f t="shared" si="40"/>
        <v>https://d0f6bd738d7f1b3e5a7ca70fe4ff75f0.us-east-1.aws.found.io/app/kibana#/discover/Steve-Slow-Train-Analysis-(2080s-and-2083s)?_g=(refreshInterval:(display:Off,pause:!f,section:0,value:0),time:(from:'2018-01-06T17:25:23-0700',mode:absolute,to:'2018-01-06T19:55:24-0700'))&amp;_a=(columns:!('Message%20ID',Summary),filters:!(),index:'emp_*',interval:auto,query:(query_string:(analyze_wildcard:!t,query:'%22rtdc.l.rtdc.4055%22')),sort:!(Time.ISO8601,asc))</v>
      </c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23" customFormat="1" x14ac:dyDescent="0.3">
      <c r="A189" s="229" t="s">
        <v>856</v>
      </c>
      <c r="B189" s="225">
        <v>4056</v>
      </c>
      <c r="C189" s="227" t="s">
        <v>192</v>
      </c>
      <c r="D189" s="227" t="s">
        <v>971</v>
      </c>
      <c r="E189" s="226">
        <v>43106.794085648151</v>
      </c>
      <c r="F189" s="226">
        <v>43106.798148148147</v>
      </c>
      <c r="G189" s="225">
        <v>62</v>
      </c>
      <c r="H189" s="227" t="s">
        <v>972</v>
      </c>
      <c r="I189" s="226">
        <v>43106.808946759258</v>
      </c>
      <c r="J189" s="225">
        <v>0</v>
      </c>
      <c r="K189" s="237" t="str">
        <f>IF(ISEVEN(B189),(B189-1)&amp;"/"&amp;B189,B189&amp;"/"&amp;(B189+1))</f>
        <v>4055/4056</v>
      </c>
      <c r="L189" s="245" t="str">
        <f>VLOOKUP(A189,'Trips&amp;Operators'!$C$1:$G$99911,5,FALSE)</f>
        <v>SMITH MICHAEL</v>
      </c>
      <c r="M189" s="224">
        <f>I189-F189</f>
        <v>1.0798611110658385E-2</v>
      </c>
      <c r="N189" s="225">
        <f>24*60*SUM($M189:$M189)</f>
        <v>15.549999999348074</v>
      </c>
      <c r="O189" s="225"/>
      <c r="P189" s="225"/>
      <c r="Q189" s="228"/>
      <c r="R189" s="242"/>
      <c r="S189" s="249">
        <f>1/IF(AG189="EC",12,1)*SUM(U189:U189)</f>
        <v>1</v>
      </c>
      <c r="T189" s="242" t="str">
        <f>IF(ISEVEN(LEFT(AD189,4)),"Southbound","NorthBound")</f>
        <v>NorthBound</v>
      </c>
      <c r="U189" s="246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248" t="str">
        <f>"https://d0f6bd738d7f1b3e5a7ca70fe4ff75f0.us-east-1.aws.found.io/app/kibana#/discover/Steve-Slow-Train-Analysis-(2080s-and-2083s)?_g="&amp;"(refreshInterval:(display:Off,pause:!f,section:0,value:0),time:(from:'"&amp;TEXT(E189-1/24,"yyyy-MM-DDThh:mm:ss")&amp;utc_offset&amp;"00"&amp;"',mode:absolute,to:'"&amp;TEXT(I189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189&amp;"%22')),sort:!(Time.ISO8601,asc))"</f>
        <v>https://d0f6bd738d7f1b3e5a7ca70fe4ff75f0.us-east-1.aws.found.io/app/kibana#/discover/Steve-Slow-Train-Analysis-(2080s-and-2083s)?_g=(refreshInterval:(display:Off,pause:!f,section:0,value:0),time:(from:'2018-01-06T18:03:29-0700',mode:absolute,to:'2018-01-06T20:24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89" s="247" t="str">
        <f>IF(AA189&lt;VLOOKUP(AG189,Variables!$AC$3:$AD$8,2,FALSE),"Y","N")</f>
        <v>N</v>
      </c>
      <c r="X189" s="247">
        <f>VALUE(LEFT(AD189,4))-VALUE(LEFT(AD188,4))</f>
        <v>1</v>
      </c>
      <c r="Y189" s="247">
        <f>RIGHT(D189,LEN(D189)-4)/10000</f>
        <v>4.7100000000000003E-2</v>
      </c>
      <c r="Z189" s="247">
        <f>RIGHT(H189,LEN(H189)-4)/10000</f>
        <v>5.8952</v>
      </c>
      <c r="AA189" s="247">
        <f>ABS(Z189-Y189)</f>
        <v>5.8480999999999996</v>
      </c>
      <c r="AB189" s="233" t="e">
        <f>VLOOKUP(A189,Enforcements!$C$7:$K$9,8,0)</f>
        <v>#N/A</v>
      </c>
      <c r="AC189" s="232" t="e">
        <f>VLOOKUP(A189,Enforcements!$C$7:$E$9,3,0)</f>
        <v>#N/A</v>
      </c>
      <c r="AD189" s="243">
        <f>VALUE(LEFT(A189,LEN(A189)-3))</f>
        <v>1827</v>
      </c>
      <c r="AE189" s="235" t="str">
        <f>"aws s3 cp "&amp;s3_bucket&amp;"/RTDC"&amp;B189&amp;"/ "&amp;search_path&amp;"\RTDC"&amp;B189&amp;"\"&amp;TEXT(F189,"YYYY-MM-DD")&amp;" --exclude ""*"" --recursive --include ""*"&amp;TEXT(F189,"YYYYMMDD")&amp;"*"" &amp; """&amp;walkandungz&amp;""" "&amp;search_path&amp;"\RTDC"&amp;B189&amp;"\"&amp;TEXT(F189,"YYYY-MM-DD")
&amp;" &amp; "&amp;"aws s3 cp "&amp;s3_bucket&amp;"/RTDC"&amp;B189&amp;"/ "&amp;search_path&amp;"\RTDC"&amp;B189&amp;"\"&amp;TEXT(F189+1,"YYYY-MM-DD")&amp;" --exclude ""*"" --recursive --include ""*"&amp;TEXT(F189+1,"YYYYMMDD")&amp;"*"" &amp; """&amp;walkandungz&amp;""" "&amp;search_path&amp;"\RTDC"&amp;B189&amp;"\"&amp;TEXT(F189+1,"YYYY-MM-DD")</f>
        <v>aws s3 cp s3://rtdc.mdm.uploadarchive.raw/RTDC4056/ "%USERPROFILE%\AppData\Local\Temp\OnboardLogs"\RTDC4056\2018-01-06 --exclude "*" --recursive --include "*20180106*" &amp; "%USERPROFILE%\Documents\GitHub\mrs-test-scripts\Headless Mode &amp; Sideloading\WalkAndUnGZ.bat" "%USERPROFILE%\AppData\Local\Temp\OnboardLogs"\RTDC4056\2018-01-06 &amp; aws s3 cp s3://rtdc.mdm.uploadarchive.raw/RTDC4056/ "%USERPROFILE%\AppData\Local\Temp\OnboardLogs"\RTDC4056\2018-01-07 --exclude "*" --recursive --include "*20180107*" &amp; "%USERPROFILE%\Documents\GitHub\mrs-test-scripts\Headless Mode &amp; Sideloading\WalkAndUnGZ.bat" "%USERPROFILE%\AppData\Local\Temp\OnboardLogs"\RTDC4056\2018-01-07</v>
      </c>
      <c r="AF189" s="234" t="str">
        <f>astrogrep_path&amp;" /e /r /s /spath="&amp;search_path&amp;" /stypes=""app*"&amp;B189&amp;"*"&amp;TEXT(I189-utc_offset/24,"YYYYMMDD")&amp;"*"" /stext="" "&amp;TEXT(I189-utc_offset/24,"HH")&amp;search_regexp&amp;""""</f>
        <v>"C:\Program Files (x86)\AstroGrep\AstroGrep.exe" /e /r /s /spath="%USERPROFILE%\AppData\Local\Temp\OnboardLogs" /stypes="app*4056*20180107*" /stext=" 02:.+((SYSTEM_STATE.+slice.+state.+changed )|(ment ac)|(multiple cpu faults)|(system.+state.+changed )|(\[timeout)|(PRM\|1\|D)|(kpr)|(kdp)|(train st.+moving)|(\|lc)|(penalty))"</v>
      </c>
      <c r="AG189" s="244" t="str">
        <f>DetSubdiv(A189)</f>
        <v>NW</v>
      </c>
      <c r="AH189" s="236" t="str">
        <f t="shared" si="36"/>
        <v>"%USERPROFILE%\Documents\GitHub\eaglep3\Utilities\RefineRTDCRunTimes.py" --tripid 1827-06 --locoid 4056 --swversion DE.1.0.9.0 --startMP 204:471 --initTime 2018-01-06T19:03:29 --startdatetime 2018-01-06T19:09:20 --delay 62 --endMP 300:58952 --enddatetime 2018-01-06T19:24:53 --enforcementcount 0 &gt;&gt;%USERPROFILE%\Documents\GitHub\eaglep3-reporting\EC\2018-01-06-refined-times.txt</v>
      </c>
      <c r="AI189" s="238" t="str">
        <f t="shared" si="37"/>
        <v>echo {"issue":{"subject":"","project_id":79,"tracker_id":40,"status_id":1,"priority_id":2,"assigned_to_id":338,"start_date":"2018-01-06","description":"","custom_fields":[{"id":1,"name":"Subdivision","value":"NW"},{"id":4,"name":"Milepost","value":"5.8952"},{"id":17,"name":"Train ID","value":"1827-06"},{"id":16,"name":"Locomotive ID","value":"4056"},{"id":130,"name":"Impact","value":""},{"id":150,"name":"Time of Event (Mountain Time)","value":"19:24:53"},{"id":151,"name":"Denver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9" s="231"/>
      <c r="AL189" s="231"/>
      <c r="AM189" s="240" t="str">
        <f t="shared" si="38"/>
        <v>start /low /b %USERPROFILE%\Documents\GitHub\eaglep3\Utilities\DownloadLogsFromS3.py --loco 4056 --day 2018-01-06</v>
      </c>
      <c r="AN189" s="241" t="str">
        <f t="shared" si="39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02:24:53"},{"id":29,"name":"Sharepoint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 s="230" t="str">
        <f t="shared" si="40"/>
        <v>https://d0f6bd738d7f1b3e5a7ca70fe4ff75f0.us-east-1.aws.found.io/app/kibana#/discover/Steve-Slow-Train-Analysis-(2080s-and-2083s)?_g=(refreshInterval:(display:Off,pause:!f,section:0,value:0),time:(from:'2018-01-06T18:03:29-0700',mode:absolute,to:'2018-01-06T20:24:53-0700'))&amp;_a=(columns:!('Message%20ID',Summary),filters:!(),index:'emp_*',interval:auto,query:(query_string:(analyze_wildcard:!t,query:'%22rtdc.l.rtdc.4056%22')),sort:!(Time.ISO8601,asc))</v>
      </c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0" customFormat="1" x14ac:dyDescent="0.3">
      <c r="A190" s="229" t="s">
        <v>678</v>
      </c>
      <c r="B190" s="225">
        <v>4055</v>
      </c>
      <c r="C190" s="227" t="s">
        <v>192</v>
      </c>
      <c r="D190" s="227" t="s">
        <v>970</v>
      </c>
      <c r="E190" s="226">
        <v>43106.81</v>
      </c>
      <c r="F190" s="226">
        <v>43106.821238425924</v>
      </c>
      <c r="G190" s="225">
        <v>72</v>
      </c>
      <c r="H190" s="227" t="s">
        <v>973</v>
      </c>
      <c r="I190" s="226">
        <v>43106.828449074077</v>
      </c>
      <c r="J190" s="225">
        <v>0</v>
      </c>
      <c r="K190" s="237" t="str">
        <f>IF(ISEVEN(B190),(B190-1)&amp;"/"&amp;B190,B190&amp;"/"&amp;(B190+1))</f>
        <v>4055/4056</v>
      </c>
      <c r="L190" s="245" t="str">
        <f>VLOOKUP(A190,'Trips&amp;Operators'!$C$1:$G$99911,5,FALSE)</f>
        <v>SMITH MICHAEL</v>
      </c>
      <c r="M190" s="224">
        <f>I190-F190</f>
        <v>7.2106481529772282E-3</v>
      </c>
      <c r="N190" s="225">
        <f>24*60*SUM($M190:$M190)</f>
        <v>10.383333340287209</v>
      </c>
      <c r="O190" s="225"/>
      <c r="P190" s="225"/>
      <c r="Q190" s="228"/>
      <c r="R190" s="242"/>
      <c r="S190" s="249">
        <f>1/IF(AG190="EC",12,1)*SUM(U190:U190)</f>
        <v>1</v>
      </c>
      <c r="T190" s="242" t="str">
        <f>IF(ISEVEN(LEFT(AD190,4)),"Southbound","NorthBound")</f>
        <v>Southbound</v>
      </c>
      <c r="U190" s="246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248" t="str">
        <f>"https://d0f6bd738d7f1b3e5a7ca70fe4ff75f0.us-east-1.aws.found.io/app/kibana#/discover/Steve-Slow-Train-Analysis-(2080s-and-2083s)?_g="&amp;"(refreshInterval:(display:Off,pause:!f,section:0,value:0),time:(from:'"&amp;TEXT(E190-1/24,"yyyy-MM-DDThh:mm:ss")&amp;utc_offset&amp;"00"&amp;"',mode:absolute,to:'"&amp;TEXT(I190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190&amp;"%22')),sort:!(Time.ISO8601,asc))"</f>
        <v>https://d0f6bd738d7f1b3e5a7ca70fe4ff75f0.us-east-1.aws.found.io/app/kibana#/discover/Steve-Slow-Train-Analysis-(2080s-and-2083s)?_g=(refreshInterval:(display:Off,pause:!f,section:0,value:0),time:(from:'2018-01-06T18:26:24-0700',mode:absolute,to:'2018-01-06T20:52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90" s="247" t="str">
        <f>IF(AA190&lt;VLOOKUP(AG190,Variables!$AC$3:$AD$8,2,FALSE),"Y","N")</f>
        <v>Y</v>
      </c>
      <c r="X190" s="247">
        <f>VALUE(LEFT(AD190,4))-VALUE(LEFT(AD189,4))</f>
        <v>1</v>
      </c>
      <c r="Y190" s="247">
        <f>RIGHT(D190,LEN(D190)-4)/10000</f>
        <v>5.8640999999999996</v>
      </c>
      <c r="Z190" s="247">
        <f>RIGHT(H190,LEN(H190)-4)/10000</f>
        <v>0.47139999999999999</v>
      </c>
      <c r="AA190" s="247">
        <f>ABS(Z190-Y190)</f>
        <v>5.3926999999999996</v>
      </c>
      <c r="AB190" s="233" t="e">
        <f>VLOOKUP(A190,Enforcements!$C$7:$K$9,8,0)</f>
        <v>#N/A</v>
      </c>
      <c r="AC190" s="232" t="e">
        <f>VLOOKUP(A190,Enforcements!$C$7:$E$9,3,0)</f>
        <v>#N/A</v>
      </c>
      <c r="AD190" s="243">
        <f>VALUE(LEFT(A190,LEN(A190)-3))</f>
        <v>1828</v>
      </c>
      <c r="AE190" s="235" t="str">
        <f>"aws s3 cp "&amp;s3_bucket&amp;"/RTDC"&amp;B190&amp;"/ "&amp;search_path&amp;"\RTDC"&amp;B190&amp;"\"&amp;TEXT(F190,"YYYY-MM-DD")&amp;" --exclude ""*"" --recursive --include ""*"&amp;TEXT(F190,"YYYYMMDD")&amp;"*"" &amp; """&amp;walkandungz&amp;""" "&amp;search_path&amp;"\RTDC"&amp;B190&amp;"\"&amp;TEXT(F190,"YYYY-MM-DD")
&amp;" &amp; "&amp;"aws s3 cp "&amp;s3_bucket&amp;"/RTDC"&amp;B190&amp;"/ "&amp;search_path&amp;"\RTDC"&amp;B190&amp;"\"&amp;TEXT(F190+1,"YYYY-MM-DD")&amp;" --exclude ""*"" --recursive --include ""*"&amp;TEXT(F190+1,"YYYYMMDD")&amp;"*"" &amp; """&amp;walkandungz&amp;""" "&amp;search_path&amp;"\RTDC"&amp;B190&amp;"\"&amp;TEXT(F190+1,"YYYY-MM-DD")</f>
        <v>aws s3 cp s3://rtdc.mdm.uploadarchive.raw/RTDC4055/ "%USERPROFILE%\AppData\Local\Temp\OnboardLogs"\RTDC4055\2018-01-06 --exclude "*" --recursive --include "*20180106*" &amp; "%USERPROFILE%\Documents\GitHub\mrs-test-scripts\Headless Mode &amp; Sideloading\WalkAndUnGZ.bat" "%USERPROFILE%\AppData\Local\Temp\OnboardLogs"\RTDC4055\2018-01-06 &amp; aws s3 cp s3://rtdc.mdm.uploadarchive.raw/RTDC4055/ "%USERPROFILE%\AppData\Local\Temp\OnboardLogs"\RTDC4055\2018-01-07 --exclude "*" --recursive --include "*20180107*" &amp; "%USERPROFILE%\Documents\GitHub\mrs-test-scripts\Headless Mode &amp; Sideloading\WalkAndUnGZ.bat" "%USERPROFILE%\AppData\Local\Temp\OnboardLogs"\RTDC4055\2018-01-07</v>
      </c>
      <c r="AF190" s="234" t="str">
        <f>astrogrep_path&amp;" /e /r /s /spath="&amp;search_path&amp;" /stypes=""app*"&amp;B190&amp;"*"&amp;TEXT(I190-utc_offset/24,"YYYYMMDD")&amp;"*"" /stext="" "&amp;TEXT(I190-utc_offset/24,"HH")&amp;search_regexp&amp;""""</f>
        <v>"C:\Program Files (x86)\AstroGrep\AstroGrep.exe" /e /r /s /spath="%USERPROFILE%\AppData\Local\Temp\OnboardLogs" /stypes="app*4055*20180107*" /stext=" 02:.+((SYSTEM_STATE.+slice.+state.+changed )|(ment ac)|(multiple cpu faults)|(system.+state.+changed )|(\[timeout)|(PRM\|1\|D)|(kpr)|(kdp)|(train st.+moving)|(\|lc)|(penalty))"</v>
      </c>
      <c r="AG190" s="244" t="str">
        <f>DetSubdiv(A190)</f>
        <v>NW</v>
      </c>
      <c r="AH190" s="236" t="str">
        <f t="shared" si="36"/>
        <v>"%USERPROFILE%\Documents\GitHub\eaglep3\Utilities\RefineRTDCRunTimes.py" --tripid 1828-06 --locoid 4055 --swversion DE.1.0.9.0 --startMP 300:58641 --initTime 2018-01-06T19:26:24 --startdatetime 2018-01-06T19:42:35 --delay 72 --endMP 204:4714 --enddatetime 2018-01-06T19:52:58 --enforcementcount 0 &gt;&gt;%USERPROFILE%\Documents\GitHub\eaglep3-reporting\EC\2018-01-06-refined-times.txt</v>
      </c>
      <c r="AI190" s="238" t="str">
        <f t="shared" si="37"/>
        <v>echo {"issue":{"subject":"","project_id":79,"tracker_id":40,"status_id":1,"priority_id":2,"assigned_to_id":338,"start_date":"2018-01-06","description":"","custom_fields":[{"id":1,"name":"Subdivision","value":"NW"},{"id":4,"name":"Milepost","value":"0.4714"},{"id":17,"name":"Train ID","value":"1828-06"},{"id":16,"name":"Locomotive ID","value":"4055"},{"id":130,"name":"Impact","value":""},{"id":150,"name":"Time of Event (Mountain Time)","value":"19:52:58"},{"id":151,"name":"Denver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0" s="223"/>
      <c r="AK190" s="231"/>
      <c r="AL190" s="231"/>
      <c r="AM190" s="240" t="str">
        <f t="shared" si="38"/>
        <v>start /low /b %USERPROFILE%\Documents\GitHub\eaglep3\Utilities\DownloadLogsFromS3.py --loco 4055 --day 2018-01-06</v>
      </c>
      <c r="AN190" s="241" t="str">
        <f t="shared" si="39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02:52:58"},{"id":29,"name":"Sharepoint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 s="230" t="str">
        <f t="shared" si="40"/>
        <v>https://d0f6bd738d7f1b3e5a7ca70fe4ff75f0.us-east-1.aws.found.io/app/kibana#/discover/Steve-Slow-Train-Analysis-(2080s-and-2083s)?_g=(refreshInterval:(display:Off,pause:!f,section:0,value:0),time:(from:'2018-01-06T18:26:24-0700',mode:absolute,to:'2018-01-06T20:52:58-0700'))&amp;_a=(columns:!('Message%20ID',Summary),filters:!(),index:'emp_*',interval:auto,query:(query_string:(analyze_wildcard:!t,query:'%22rtdc.l.rtdc.4055%22')),sort:!(Time.ISO8601,asc))</v>
      </c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0" customFormat="1" x14ac:dyDescent="0.3">
      <c r="A191" s="229" t="s">
        <v>863</v>
      </c>
      <c r="B191" s="225">
        <v>4056</v>
      </c>
      <c r="C191" s="227" t="s">
        <v>192</v>
      </c>
      <c r="D191" s="227" t="s">
        <v>968</v>
      </c>
      <c r="E191" s="226">
        <v>43106.835393518515</v>
      </c>
      <c r="F191" s="226">
        <v>43106.839814814812</v>
      </c>
      <c r="G191" s="225">
        <v>59</v>
      </c>
      <c r="H191" s="227" t="s">
        <v>969</v>
      </c>
      <c r="I191" s="226">
        <v>43106.849479166667</v>
      </c>
      <c r="J191" s="225">
        <v>0</v>
      </c>
      <c r="K191" s="237" t="str">
        <f>IF(ISEVEN(B191),(B191-1)&amp;"/"&amp;B191,B191&amp;"/"&amp;(B191+1))</f>
        <v>4055/4056</v>
      </c>
      <c r="L191" s="245" t="str">
        <f>VLOOKUP(A191,'Trips&amp;Operators'!$C$1:$G$99911,5,FALSE)</f>
        <v>SMITH MICHAEL</v>
      </c>
      <c r="M191" s="224">
        <f>I191-F191</f>
        <v>9.6643518554628827E-3</v>
      </c>
      <c r="N191" s="225">
        <f>24*60*SUM($M191:$M191)</f>
        <v>13.916666671866551</v>
      </c>
      <c r="O191" s="225"/>
      <c r="P191" s="225"/>
      <c r="Q191" s="228"/>
      <c r="R191" s="242"/>
      <c r="S191" s="249">
        <f>1/IF(AG191="EC",12,1)*SUM(U191:U191)</f>
        <v>1</v>
      </c>
      <c r="T191" s="242" t="str">
        <f>IF(ISEVEN(LEFT(AD191,4)),"Southbound","NorthBound")</f>
        <v>NorthBound</v>
      </c>
      <c r="U191" s="246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248" t="str">
        <f>"https://d0f6bd738d7f1b3e5a7ca70fe4ff75f0.us-east-1.aws.found.io/app/kibana#/discover/Steve-Slow-Train-Analysis-(2080s-and-2083s)?_g="&amp;"(refreshInterval:(display:Off,pause:!f,section:0,value:0),time:(from:'"&amp;TEXT(E191-1/24,"yyyy-MM-DDThh:mm:ss")&amp;utc_offset&amp;"00"&amp;"',mode:absolute,to:'"&amp;TEXT(I191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191&amp;"%22')),sort:!(Time.ISO8601,asc))"</f>
        <v>https://d0f6bd738d7f1b3e5a7ca70fe4ff75f0.us-east-1.aws.found.io/app/kibana#/discover/Steve-Slow-Train-Analysis-(2080s-and-2083s)?_g=(refreshInterval:(display:Off,pause:!f,section:0,value:0),time:(from:'2018-01-06T19:02:58-0700',mode:absolute,to:'2018-01-06T21:23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91" s="247" t="str">
        <f>IF(AA191&lt;VLOOKUP(AG191,Variables!$AC$3:$AD$8,2,FALSE),"Y","N")</f>
        <v>N</v>
      </c>
      <c r="X191" s="247">
        <f>VALUE(LEFT(AD191,4))-VALUE(LEFT(AD190,4))</f>
        <v>1</v>
      </c>
      <c r="Y191" s="247">
        <f>RIGHT(D191,LEN(D191)-4)/10000</f>
        <v>5.0200000000000002E-2</v>
      </c>
      <c r="Z191" s="247">
        <f>RIGHT(H191,LEN(H191)-4)/10000</f>
        <v>5.8949999999999996</v>
      </c>
      <c r="AA191" s="247">
        <f>ABS(Z191-Y191)</f>
        <v>5.8447999999999993</v>
      </c>
      <c r="AB191" s="233" t="e">
        <f>VLOOKUP(A191,Enforcements!$C$7:$K$9,8,0)</f>
        <v>#N/A</v>
      </c>
      <c r="AC191" s="232" t="e">
        <f>VLOOKUP(A191,Enforcements!$C$7:$E$9,3,0)</f>
        <v>#N/A</v>
      </c>
      <c r="AD191" s="243">
        <f>VALUE(LEFT(A191,LEN(A191)-3))</f>
        <v>1829</v>
      </c>
      <c r="AE191" s="235" t="str">
        <f>"aws s3 cp "&amp;s3_bucket&amp;"/RTDC"&amp;B191&amp;"/ "&amp;search_path&amp;"\RTDC"&amp;B191&amp;"\"&amp;TEXT(F191,"YYYY-MM-DD")&amp;" --exclude ""*"" --recursive --include ""*"&amp;TEXT(F191,"YYYYMMDD")&amp;"*"" &amp; """&amp;walkandungz&amp;""" "&amp;search_path&amp;"\RTDC"&amp;B191&amp;"\"&amp;TEXT(F191,"YYYY-MM-DD")
&amp;" &amp; "&amp;"aws s3 cp "&amp;s3_bucket&amp;"/RTDC"&amp;B191&amp;"/ "&amp;search_path&amp;"\RTDC"&amp;B191&amp;"\"&amp;TEXT(F191+1,"YYYY-MM-DD")&amp;" --exclude ""*"" --recursive --include ""*"&amp;TEXT(F191+1,"YYYYMMDD")&amp;"*"" &amp; """&amp;walkandungz&amp;""" "&amp;search_path&amp;"\RTDC"&amp;B191&amp;"\"&amp;TEXT(F191+1,"YYYY-MM-DD")</f>
        <v>aws s3 cp s3://rtdc.mdm.uploadarchive.raw/RTDC4056/ "%USERPROFILE%\AppData\Local\Temp\OnboardLogs"\RTDC4056\2018-01-06 --exclude "*" --recursive --include "*20180106*" &amp; "%USERPROFILE%\Documents\GitHub\mrs-test-scripts\Headless Mode &amp; Sideloading\WalkAndUnGZ.bat" "%USERPROFILE%\AppData\Local\Temp\OnboardLogs"\RTDC4056\2018-01-06 &amp; aws s3 cp s3://rtdc.mdm.uploadarchive.raw/RTDC4056/ "%USERPROFILE%\AppData\Local\Temp\OnboardLogs"\RTDC4056\2018-01-07 --exclude "*" --recursive --include "*20180107*" &amp; "%USERPROFILE%\Documents\GitHub\mrs-test-scripts\Headless Mode &amp; Sideloading\WalkAndUnGZ.bat" "%USERPROFILE%\AppData\Local\Temp\OnboardLogs"\RTDC4056\2018-01-07</v>
      </c>
      <c r="AF191" s="234" t="str">
        <f>astrogrep_path&amp;" /e /r /s /spath="&amp;search_path&amp;" /stypes=""app*"&amp;B191&amp;"*"&amp;TEXT(I191-utc_offset/24,"YYYYMMDD")&amp;"*"" /stext="" "&amp;TEXT(I191-utc_offset/24,"HH")&amp;search_regexp&amp;""""</f>
        <v>"C:\Program Files (x86)\AstroGrep\AstroGrep.exe" /e /r /s /spath="%USERPROFILE%\AppData\Local\Temp\OnboardLogs" /stypes="app*4056*20180107*" /stext=" 03:.+((SYSTEM_STATE.+slice.+state.+changed )|(ment ac)|(multiple cpu faults)|(system.+state.+changed )|(\[timeout)|(PRM\|1\|D)|(kpr)|(kdp)|(train st.+moving)|(\|lc)|(penalty))"</v>
      </c>
      <c r="AG191" s="244" t="str">
        <f>DetSubdiv(A191)</f>
        <v>NW</v>
      </c>
      <c r="AH191" s="236" t="str">
        <f t="shared" si="36"/>
        <v>"%USERPROFILE%\Documents\GitHub\eaglep3\Utilities\RefineRTDCRunTimes.py" --tripid 1829-06 --locoid 4056 --swversion DE.1.0.9.0 --startMP 204:502 --initTime 2018-01-06T20:02:58 --startdatetime 2018-01-06T20:09:20 --delay 59 --endMP 300:58950 --enddatetime 2018-01-06T20:23:15 --enforcementcount 0 &gt;&gt;%USERPROFILE%\Documents\GitHub\eaglep3-reporting\EC\2018-01-06-refined-times.txt</v>
      </c>
      <c r="AI191" s="238" t="str">
        <f t="shared" si="37"/>
        <v>echo {"issue":{"subject":"","project_id":79,"tracker_id":40,"status_id":1,"priority_id":2,"assigned_to_id":338,"start_date":"2018-01-06","description":"","custom_fields":[{"id":1,"name":"Subdivision","value":"NW"},{"id":4,"name":"Milepost","value":"5.895"},{"id":17,"name":"Train ID","value":"1829-06"},{"id":16,"name":"Locomotive ID","value":"4056"},{"id":130,"name":"Impact","value":""},{"id":150,"name":"Time of Event (Mountain Time)","value":"20:23:15"},{"id":151,"name":"Denver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1" s="223"/>
      <c r="AK191" s="231"/>
      <c r="AL191" s="231"/>
      <c r="AM191" s="240" t="str">
        <f t="shared" si="38"/>
        <v>start /low /b %USERPROFILE%\Documents\GitHub\eaglep3\Utilities\DownloadLogsFromS3.py --loco 4056 --day 2018-01-06</v>
      </c>
      <c r="AN191" s="241" t="str">
        <f t="shared" si="39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03:23:15"},{"id":29,"name":"Sharepoint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 s="230" t="str">
        <f t="shared" si="40"/>
        <v>https://d0f6bd738d7f1b3e5a7ca70fe4ff75f0.us-east-1.aws.found.io/app/kibana#/discover/Steve-Slow-Train-Analysis-(2080s-and-2083s)?_g=(refreshInterval:(display:Off,pause:!f,section:0,value:0),time:(from:'2018-01-06T19:02:58-0700',mode:absolute,to:'2018-01-06T21:23:15-0700'))&amp;_a=(columns:!('Message%20ID',Summary),filters:!(),index:'emp_*',interval:auto,query:(query_string:(analyze_wildcard:!t,query:'%22rtdc.l.rtdc.4056%22')),sort:!(Time.ISO8601,asc))</v>
      </c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23" customFormat="1" x14ac:dyDescent="0.3">
      <c r="A192" s="229" t="s">
        <v>865</v>
      </c>
      <c r="B192" s="225">
        <v>4055</v>
      </c>
      <c r="C192" s="227" t="s">
        <v>192</v>
      </c>
      <c r="D192" s="227" t="s">
        <v>575</v>
      </c>
      <c r="E192" s="226">
        <v>43106.85119212963</v>
      </c>
      <c r="F192" s="226">
        <v>43106.863298611112</v>
      </c>
      <c r="G192" s="225">
        <v>74</v>
      </c>
      <c r="H192" s="227" t="s">
        <v>975</v>
      </c>
      <c r="I192" s="226">
        <v>43106.872141203705</v>
      </c>
      <c r="J192" s="225">
        <v>0</v>
      </c>
      <c r="K192" s="237" t="str">
        <f>IF(ISEVEN(B192),(B192-1)&amp;"/"&amp;B192,B192&amp;"/"&amp;(B192+1))</f>
        <v>4055/4056</v>
      </c>
      <c r="L192" s="245" t="str">
        <f>VLOOKUP(A192,'Trips&amp;Operators'!$C$1:$G$99911,5,FALSE)</f>
        <v>SMITH MICHAEL</v>
      </c>
      <c r="M192" s="224">
        <f>I192-F192</f>
        <v>8.8425925932824612E-3</v>
      </c>
      <c r="N192" s="225">
        <f>24*60*SUM($M192:$M192)</f>
        <v>12.733333334326744</v>
      </c>
      <c r="O192" s="225"/>
      <c r="P192" s="225"/>
      <c r="Q192" s="228"/>
      <c r="R192" s="242"/>
      <c r="S192" s="249">
        <f>1/IF(AG192="EC",12,1)*SUM(U192:U192)</f>
        <v>1</v>
      </c>
      <c r="T192" s="242" t="str">
        <f>IF(ISEVEN(LEFT(AD192,4)),"Southbound","NorthBound")</f>
        <v>Southbound</v>
      </c>
      <c r="U192" s="246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248" t="str">
        <f>"https://d0f6bd738d7f1b3e5a7ca70fe4ff75f0.us-east-1.aws.found.io/app/kibana#/discover/Steve-Slow-Train-Analysis-(2080s-and-2083s)?_g="&amp;"(refreshInterval:(display:Off,pause:!f,section:0,value:0),time:(from:'"&amp;TEXT(E192-1/24,"yyyy-MM-DDThh:mm:ss")&amp;utc_offset&amp;"00"&amp;"',mode:absolute,to:'"&amp;TEXT(I192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192&amp;"%22')),sort:!(Time.ISO8601,asc))"</f>
        <v>https://d0f6bd738d7f1b3e5a7ca70fe4ff75f0.us-east-1.aws.found.io/app/kibana#/discover/Steve-Slow-Train-Analysis-(2080s-and-2083s)?_g=(refreshInterval:(display:Off,pause:!f,section:0,value:0),time:(from:'2018-01-06T19:25:43-0700',mode:absolute,to:'2018-01-06T21:55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92" s="247" t="str">
        <f>IF(AA192&lt;VLOOKUP(AG192,Variables!$AC$3:$AD$8,2,FALSE),"Y","N")</f>
        <v>N</v>
      </c>
      <c r="X192" s="247">
        <f>VALUE(LEFT(AD192,4))-VALUE(LEFT(AD191,4))</f>
        <v>1</v>
      </c>
      <c r="Y192" s="247">
        <f>RIGHT(D192,LEN(D192)-4)/10000</f>
        <v>5.8623000000000003</v>
      </c>
      <c r="Z192" s="247">
        <f>RIGHT(H192,LEN(H192)-4)/10000</f>
        <v>1.7600000000000001E-2</v>
      </c>
      <c r="AA192" s="247">
        <f>ABS(Z192-Y192)</f>
        <v>5.8447000000000005</v>
      </c>
      <c r="AB192" s="233" t="e">
        <f>VLOOKUP(A192,Enforcements!$C$7:$K$9,8,0)</f>
        <v>#N/A</v>
      </c>
      <c r="AC192" s="232" t="e">
        <f>VLOOKUP(A192,Enforcements!$C$7:$E$9,3,0)</f>
        <v>#N/A</v>
      </c>
      <c r="AD192" s="243">
        <f>VALUE(LEFT(A192,LEN(A192)-3))</f>
        <v>1830</v>
      </c>
      <c r="AE192" s="235" t="str">
        <f>"aws s3 cp "&amp;s3_bucket&amp;"/RTDC"&amp;B192&amp;"/ "&amp;search_path&amp;"\RTDC"&amp;B192&amp;"\"&amp;TEXT(F192,"YYYY-MM-DD")&amp;" --exclude ""*"" --recursive --include ""*"&amp;TEXT(F192,"YYYYMMDD")&amp;"*"" &amp; """&amp;walkandungz&amp;""" "&amp;search_path&amp;"\RTDC"&amp;B192&amp;"\"&amp;TEXT(F192,"YYYY-MM-DD")
&amp;" &amp; "&amp;"aws s3 cp "&amp;s3_bucket&amp;"/RTDC"&amp;B192&amp;"/ "&amp;search_path&amp;"\RTDC"&amp;B192&amp;"\"&amp;TEXT(F192+1,"YYYY-MM-DD")&amp;" --exclude ""*"" --recursive --include ""*"&amp;TEXT(F192+1,"YYYYMMDD")&amp;"*"" &amp; """&amp;walkandungz&amp;""" "&amp;search_path&amp;"\RTDC"&amp;B192&amp;"\"&amp;TEXT(F192+1,"YYYY-MM-DD")</f>
        <v>aws s3 cp s3://rtdc.mdm.uploadarchive.raw/RTDC4055/ "%USERPROFILE%\AppData\Local\Temp\OnboardLogs"\RTDC4055\2018-01-06 --exclude "*" --recursive --include "*20180106*" &amp; "%USERPROFILE%\Documents\GitHub\mrs-test-scripts\Headless Mode &amp; Sideloading\WalkAndUnGZ.bat" "%USERPROFILE%\AppData\Local\Temp\OnboardLogs"\RTDC4055\2018-01-06 &amp; aws s3 cp s3://rtdc.mdm.uploadarchive.raw/RTDC4055/ "%USERPROFILE%\AppData\Local\Temp\OnboardLogs"\RTDC4055\2018-01-07 --exclude "*" --recursive --include "*20180107*" &amp; "%USERPROFILE%\Documents\GitHub\mrs-test-scripts\Headless Mode &amp; Sideloading\WalkAndUnGZ.bat" "%USERPROFILE%\AppData\Local\Temp\OnboardLogs"\RTDC4055\2018-01-07</v>
      </c>
      <c r="AF192" s="234" t="str">
        <f>astrogrep_path&amp;" /e /r /s /spath="&amp;search_path&amp;" /stypes=""app*"&amp;B192&amp;"*"&amp;TEXT(I192-utc_offset/24,"YYYYMMDD")&amp;"*"" /stext="" "&amp;TEXT(I192-utc_offset/24,"HH")&amp;search_regexp&amp;""""</f>
        <v>"C:\Program Files (x86)\AstroGrep\AstroGrep.exe" /e /r /s /spath="%USERPROFILE%\AppData\Local\Temp\OnboardLogs" /stypes="app*4055*20180107*" /stext=" 03:.+((SYSTEM_STATE.+slice.+state.+changed )|(ment ac)|(multiple cpu faults)|(system.+state.+changed )|(\[timeout)|(PRM\|1\|D)|(kpr)|(kdp)|(train st.+moving)|(\|lc)|(penalty))"</v>
      </c>
      <c r="AG192" s="244" t="str">
        <f>DetSubdiv(A192)</f>
        <v>NW</v>
      </c>
      <c r="AH192" s="236" t="str">
        <f t="shared" si="36"/>
        <v>"%USERPROFILE%\Documents\GitHub\eaglep3\Utilities\RefineRTDCRunTimes.py" --tripid 1830-06 --locoid 4055 --swversion DE.1.0.9.0 --startMP 300:58623 --initTime 2018-01-06T20:25:43 --startdatetime 2018-01-06T20:43:09 --delay 74 --endMP 204:176 --enddatetime 2018-01-06T20:55:53 --enforcementcount 0 &gt;&gt;%USERPROFILE%\Documents\GitHub\eaglep3-reporting\EC\2018-01-06-refined-times.txt</v>
      </c>
      <c r="AI192" s="238" t="str">
        <f t="shared" si="37"/>
        <v>echo {"issue":{"subject":"","project_id":79,"tracker_id":40,"status_id":1,"priority_id":2,"assigned_to_id":338,"start_date":"2018-01-06","description":"","custom_fields":[{"id":1,"name":"Subdivision","value":"NW"},{"id":4,"name":"Milepost","value":"0.0176"},{"id":17,"name":"Train ID","value":"1830-06"},{"id":16,"name":"Locomotive ID","value":"4055"},{"id":130,"name":"Impact","value":""},{"id":150,"name":"Time of Event (Mountain Time)","value":"20:55:53"},{"id":151,"name":"Denver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2" s="231"/>
      <c r="AL192" s="231"/>
      <c r="AM192" s="240" t="str">
        <f t="shared" si="38"/>
        <v>start /low /b %USERPROFILE%\Documents\GitHub\eaglep3\Utilities\DownloadLogsFromS3.py --loco 4055 --day 2018-01-06</v>
      </c>
      <c r="AN192" s="241" t="str">
        <f t="shared" si="39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03:55:53"},{"id":29,"name":"Sharepoint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 s="230" t="str">
        <f t="shared" si="40"/>
        <v>https://d0f6bd738d7f1b3e5a7ca70fe4ff75f0.us-east-1.aws.found.io/app/kibana#/discover/Steve-Slow-Train-Analysis-(2080s-and-2083s)?_g=(refreshInterval:(display:Off,pause:!f,section:0,value:0),time:(from:'2018-01-06T19:25:43-0700',mode:absolute,to:'2018-01-06T21:55:53-0700'))&amp;_a=(columns:!('Message%20ID',Summary),filters:!(),index:'emp_*',interval:auto,query:(query_string:(analyze_wildcard:!t,query:'%22rtdc.l.rtdc.4055%22')),sort:!(Time.ISO8601,asc))</v>
      </c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23" customFormat="1" x14ac:dyDescent="0.3">
      <c r="A193" s="229" t="s">
        <v>868</v>
      </c>
      <c r="B193" s="225">
        <v>4056</v>
      </c>
      <c r="C193" s="227" t="s">
        <v>192</v>
      </c>
      <c r="D193" s="227" t="s">
        <v>560</v>
      </c>
      <c r="E193" s="226">
        <v>43106.875173611108</v>
      </c>
      <c r="F193" s="226">
        <v>43106.881458333337</v>
      </c>
      <c r="G193" s="225">
        <v>62</v>
      </c>
      <c r="H193" s="227" t="s">
        <v>651</v>
      </c>
      <c r="I193" s="226">
        <v>43106.89099537037</v>
      </c>
      <c r="J193" s="225">
        <v>0</v>
      </c>
      <c r="K193" s="237" t="str">
        <f>IF(ISEVEN(B193),(B193-1)&amp;"/"&amp;B193,B193&amp;"/"&amp;(B193+1))</f>
        <v>4055/4056</v>
      </c>
      <c r="L193" s="245" t="str">
        <f>VLOOKUP(A193,'Trips&amp;Operators'!$C$1:$G$99911,5,FALSE)</f>
        <v>SMITH MICHAEL</v>
      </c>
      <c r="M193" s="224">
        <f>I193-F193</f>
        <v>9.5370370327145793E-3</v>
      </c>
      <c r="N193" s="225">
        <f>24*60*SUM($M193:$M193)</f>
        <v>13.733333327108994</v>
      </c>
      <c r="O193" s="225"/>
      <c r="P193" s="225"/>
      <c r="Q193" s="228"/>
      <c r="R193" s="242"/>
      <c r="S193" s="249">
        <f>1/IF(AG193="EC",12,1)*SUM(U193:U193)</f>
        <v>1</v>
      </c>
      <c r="T193" s="242" t="str">
        <f>IF(ISEVEN(LEFT(AD193,4)),"Southbound","NorthBound")</f>
        <v>NorthBound</v>
      </c>
      <c r="U193" s="246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248" t="str">
        <f>"https://d0f6bd738d7f1b3e5a7ca70fe4ff75f0.us-east-1.aws.found.io/app/kibana#/discover/Steve-Slow-Train-Analysis-(2080s-and-2083s)?_g="&amp;"(refreshInterval:(display:Off,pause:!f,section:0,value:0),time:(from:'"&amp;TEXT(E193-1/24,"yyyy-MM-DDThh:mm:ss")&amp;utc_offset&amp;"00"&amp;"',mode:absolute,to:'"&amp;TEXT(I193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193&amp;"%22')),sort:!(Time.ISO8601,asc))"</f>
        <v>https://d0f6bd738d7f1b3e5a7ca70fe4ff75f0.us-east-1.aws.found.io/app/kibana#/discover/Steve-Slow-Train-Analysis-(2080s-and-2083s)?_g=(refreshInterval:(display:Off,pause:!f,section:0,value:0),time:(from:'2018-01-06T20:00:15-0700',mode:absolute,to:'2018-01-06T22:23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93" s="247" t="str">
        <f>IF(AA193&lt;VLOOKUP(AG193,Variables!$AC$3:$AD$8,2,FALSE),"Y","N")</f>
        <v>N</v>
      </c>
      <c r="X193" s="247">
        <f>VALUE(LEFT(AD193,4))-VALUE(LEFT(AD192,4))</f>
        <v>1</v>
      </c>
      <c r="Y193" s="247">
        <f>RIGHT(D193,LEN(D193)-4)/10000</f>
        <v>4.82E-2</v>
      </c>
      <c r="Z193" s="247">
        <f>RIGHT(H193,LEN(H193)-4)/10000</f>
        <v>5.8986000000000001</v>
      </c>
      <c r="AA193" s="247">
        <f>ABS(Z193-Y193)</f>
        <v>5.8504000000000005</v>
      </c>
      <c r="AB193" s="233" t="e">
        <f>VLOOKUP(A193,Enforcements!$C$7:$K$9,8,0)</f>
        <v>#N/A</v>
      </c>
      <c r="AC193" s="232" t="e">
        <f>VLOOKUP(A193,Enforcements!$C$7:$E$9,3,0)</f>
        <v>#N/A</v>
      </c>
      <c r="AD193" s="243">
        <f>VALUE(LEFT(A193,LEN(A193)-3))</f>
        <v>1831</v>
      </c>
      <c r="AE193" s="235" t="str">
        <f>"aws s3 cp "&amp;s3_bucket&amp;"/RTDC"&amp;B193&amp;"/ "&amp;search_path&amp;"\RTDC"&amp;B193&amp;"\"&amp;TEXT(F193,"YYYY-MM-DD")&amp;" --exclude ""*"" --recursive --include ""*"&amp;TEXT(F193,"YYYYMMDD")&amp;"*"" &amp; """&amp;walkandungz&amp;""" "&amp;search_path&amp;"\RTDC"&amp;B193&amp;"\"&amp;TEXT(F193,"YYYY-MM-DD")
&amp;" &amp; "&amp;"aws s3 cp "&amp;s3_bucket&amp;"/RTDC"&amp;B193&amp;"/ "&amp;search_path&amp;"\RTDC"&amp;B193&amp;"\"&amp;TEXT(F193+1,"YYYY-MM-DD")&amp;" --exclude ""*"" --recursive --include ""*"&amp;TEXT(F193+1,"YYYYMMDD")&amp;"*"" &amp; """&amp;walkandungz&amp;""" "&amp;search_path&amp;"\RTDC"&amp;B193&amp;"\"&amp;TEXT(F193+1,"YYYY-MM-DD")</f>
        <v>aws s3 cp s3://rtdc.mdm.uploadarchive.raw/RTDC4056/ "%USERPROFILE%\AppData\Local\Temp\OnboardLogs"\RTDC4056\2018-01-06 --exclude "*" --recursive --include "*20180106*" &amp; "%USERPROFILE%\Documents\GitHub\mrs-test-scripts\Headless Mode &amp; Sideloading\WalkAndUnGZ.bat" "%USERPROFILE%\AppData\Local\Temp\OnboardLogs"\RTDC4056\2018-01-06 &amp; aws s3 cp s3://rtdc.mdm.uploadarchive.raw/RTDC4056/ "%USERPROFILE%\AppData\Local\Temp\OnboardLogs"\RTDC4056\2018-01-07 --exclude "*" --recursive --include "*20180107*" &amp; "%USERPROFILE%\Documents\GitHub\mrs-test-scripts\Headless Mode &amp; Sideloading\WalkAndUnGZ.bat" "%USERPROFILE%\AppData\Local\Temp\OnboardLogs"\RTDC4056\2018-01-07</v>
      </c>
      <c r="AF193" s="234" t="str">
        <f>astrogrep_path&amp;" /e /r /s /spath="&amp;search_path&amp;" /stypes=""app*"&amp;B193&amp;"*"&amp;TEXT(I193-utc_offset/24,"YYYYMMDD")&amp;"*"" /stext="" "&amp;TEXT(I193-utc_offset/24,"HH")&amp;search_regexp&amp;""""</f>
        <v>"C:\Program Files (x86)\AstroGrep\AstroGrep.exe" /e /r /s /spath="%USERPROFILE%\AppData\Local\Temp\OnboardLogs" /stypes="app*4056*20180107*" /stext=" 04:.+((SYSTEM_STATE.+slice.+state.+changed )|(ment ac)|(multiple cpu faults)|(system.+state.+changed )|(\[timeout)|(PRM\|1\|D)|(kpr)|(kdp)|(train st.+moving)|(\|lc)|(penalty))"</v>
      </c>
      <c r="AG193" s="244" t="str">
        <f>DetSubdiv(A193)</f>
        <v>NW</v>
      </c>
      <c r="AH193" s="236" t="str">
        <f t="shared" si="36"/>
        <v>"%USERPROFILE%\Documents\GitHub\eaglep3\Utilities\RefineRTDCRunTimes.py" --tripid 1831-06 --locoid 4056 --swversion DE.1.0.9.0 --startMP 204:482 --initTime 2018-01-06T21:00:15 --startdatetime 2018-01-06T21:09:18 --delay 62 --endMP 300:58986 --enddatetime 2018-01-06T21:23:02 --enforcementcount 0 &gt;&gt;%USERPROFILE%\Documents\GitHub\eaglep3-reporting\EC\2018-01-06-refined-times.txt</v>
      </c>
      <c r="AI193" s="238" t="str">
        <f t="shared" si="37"/>
        <v>echo {"issue":{"subject":"","project_id":79,"tracker_id":40,"status_id":1,"priority_id":2,"assigned_to_id":338,"start_date":"2018-01-06","description":"","custom_fields":[{"id":1,"name":"Subdivision","value":"NW"},{"id":4,"name":"Milepost","value":"5.8986"},{"id":17,"name":"Train ID","value":"1831-06"},{"id":16,"name":"Locomotive ID","value":"4056"},{"id":130,"name":"Impact","value":""},{"id":150,"name":"Time of Event (Mountain Time)","value":"21:23:02"},{"id":151,"name":"Denver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3" s="231"/>
      <c r="AL193" s="231"/>
      <c r="AM193" s="240" t="str">
        <f t="shared" si="38"/>
        <v>start /low /b %USERPROFILE%\Documents\GitHub\eaglep3\Utilities\DownloadLogsFromS3.py --loco 4056 --day 2018-01-06</v>
      </c>
      <c r="AN193" s="241" t="str">
        <f t="shared" si="39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04:23:02"},{"id":29,"name":"Sharepoint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 s="230" t="str">
        <f t="shared" si="40"/>
        <v>https://d0f6bd738d7f1b3e5a7ca70fe4ff75f0.us-east-1.aws.found.io/app/kibana#/discover/Steve-Slow-Train-Analysis-(2080s-and-2083s)?_g=(refreshInterval:(display:Off,pause:!f,section:0,value:0),time:(from:'2018-01-06T20:00:15-0700',mode:absolute,to:'2018-01-06T22:23:02-0700'))&amp;_a=(columns:!('Message%20ID',Summary),filters:!(),index:'emp_*',interval:auto,query:(query_string:(analyze_wildcard:!t,query:'%22rtdc.l.rtdc.4056%22')),sort:!(Time.ISO8601,asc))</v>
      </c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23" customFormat="1" x14ac:dyDescent="0.3">
      <c r="A194" s="229" t="s">
        <v>871</v>
      </c>
      <c r="B194" s="225">
        <v>4055</v>
      </c>
      <c r="C194" s="227" t="s">
        <v>192</v>
      </c>
      <c r="D194" s="227" t="s">
        <v>976</v>
      </c>
      <c r="E194" s="226">
        <v>43106.892141203702</v>
      </c>
      <c r="F194" s="226">
        <v>43106.904953703706</v>
      </c>
      <c r="G194" s="225">
        <v>66</v>
      </c>
      <c r="H194" s="227" t="s">
        <v>623</v>
      </c>
      <c r="I194" s="226">
        <v>43106.913715277777</v>
      </c>
      <c r="J194" s="225">
        <v>0</v>
      </c>
      <c r="K194" s="237" t="str">
        <f>IF(ISEVEN(B194),(B194-1)&amp;"/"&amp;B194,B194&amp;"/"&amp;(B194+1))</f>
        <v>4055/4056</v>
      </c>
      <c r="L194" s="245" t="str">
        <f>VLOOKUP(A194,'Trips&amp;Operators'!$C$1:$G$99911,5,FALSE)</f>
        <v>SMITH MICHAEL</v>
      </c>
      <c r="M194" s="224">
        <f>I194-F194</f>
        <v>8.7615740703768097E-3</v>
      </c>
      <c r="N194" s="225">
        <f>24*60*SUM($M194:$M194)</f>
        <v>12.616666661342606</v>
      </c>
      <c r="O194" s="225"/>
      <c r="P194" s="225"/>
      <c r="Q194" s="228"/>
      <c r="R194" s="242"/>
      <c r="S194" s="249">
        <f>1/IF(AG194="EC",12,1)*SUM(U194:U194)</f>
        <v>1</v>
      </c>
      <c r="T194" s="242" t="str">
        <f>IF(ISEVEN(LEFT(AD194,4)),"Southbound","NorthBound")</f>
        <v>Southbound</v>
      </c>
      <c r="U194" s="246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248" t="str">
        <f>"https://d0f6bd738d7f1b3e5a7ca70fe4ff75f0.us-east-1.aws.found.io/app/kibana#/discover/Steve-Slow-Train-Analysis-(2080s-and-2083s)?_g="&amp;"(refreshInterval:(display:Off,pause:!f,section:0,value:0),time:(from:'"&amp;TEXT(E194-1/24,"yyyy-MM-DDThh:mm:ss")&amp;utc_offset&amp;"00"&amp;"',mode:absolute,to:'"&amp;TEXT(I194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194&amp;"%22')),sort:!(Time.ISO8601,asc))"</f>
        <v>https://d0f6bd738d7f1b3e5a7ca70fe4ff75f0.us-east-1.aws.found.io/app/kibana#/discover/Steve-Slow-Train-Analysis-(2080s-and-2083s)?_g=(refreshInterval:(display:Off,pause:!f,section:0,value:0),time:(from:'2018-01-06T20:24:41-0700',mode:absolute,to:'2018-01-06T22:55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94" s="247" t="str">
        <f>IF(AA194&lt;VLOOKUP(AG194,Variables!$AC$3:$AD$8,2,FALSE),"Y","N")</f>
        <v>N</v>
      </c>
      <c r="X194" s="247">
        <f>VALUE(LEFT(AD194,4))-VALUE(LEFT(AD193,4))</f>
        <v>1</v>
      </c>
      <c r="Y194" s="247">
        <f>RIGHT(D194,LEN(D194)-4)/10000</f>
        <v>5.8681000000000001</v>
      </c>
      <c r="Z194" s="247">
        <f>RIGHT(H194,LEN(H194)-4)/10000</f>
        <v>1.9800000000000002E-2</v>
      </c>
      <c r="AA194" s="247">
        <f>ABS(Z194-Y194)</f>
        <v>5.8483000000000001</v>
      </c>
      <c r="AB194" s="233" t="e">
        <f>VLOOKUP(A194,Enforcements!$C$7:$K$9,8,0)</f>
        <v>#N/A</v>
      </c>
      <c r="AC194" s="232" t="e">
        <f>VLOOKUP(A194,Enforcements!$C$7:$E$9,3,0)</f>
        <v>#N/A</v>
      </c>
      <c r="AD194" s="243">
        <f>VALUE(LEFT(A194,LEN(A194)-3))</f>
        <v>1832</v>
      </c>
      <c r="AE194" s="235" t="str">
        <f>"aws s3 cp "&amp;s3_bucket&amp;"/RTDC"&amp;B194&amp;"/ "&amp;search_path&amp;"\RTDC"&amp;B194&amp;"\"&amp;TEXT(F194,"YYYY-MM-DD")&amp;" --exclude ""*"" --recursive --include ""*"&amp;TEXT(F194,"YYYYMMDD")&amp;"*"" &amp; """&amp;walkandungz&amp;""" "&amp;search_path&amp;"\RTDC"&amp;B194&amp;"\"&amp;TEXT(F194,"YYYY-MM-DD")
&amp;" &amp; "&amp;"aws s3 cp "&amp;s3_bucket&amp;"/RTDC"&amp;B194&amp;"/ "&amp;search_path&amp;"\RTDC"&amp;B194&amp;"\"&amp;TEXT(F194+1,"YYYY-MM-DD")&amp;" --exclude ""*"" --recursive --include ""*"&amp;TEXT(F194+1,"YYYYMMDD")&amp;"*"" &amp; """&amp;walkandungz&amp;""" "&amp;search_path&amp;"\RTDC"&amp;B194&amp;"\"&amp;TEXT(F194+1,"YYYY-MM-DD")</f>
        <v>aws s3 cp s3://rtdc.mdm.uploadarchive.raw/RTDC4055/ "%USERPROFILE%\AppData\Local\Temp\OnboardLogs"\RTDC4055\2018-01-06 --exclude "*" --recursive --include "*20180106*" &amp; "%USERPROFILE%\Documents\GitHub\mrs-test-scripts\Headless Mode &amp; Sideloading\WalkAndUnGZ.bat" "%USERPROFILE%\AppData\Local\Temp\OnboardLogs"\RTDC4055\2018-01-06 &amp; aws s3 cp s3://rtdc.mdm.uploadarchive.raw/RTDC4055/ "%USERPROFILE%\AppData\Local\Temp\OnboardLogs"\RTDC4055\2018-01-07 --exclude "*" --recursive --include "*20180107*" &amp; "%USERPROFILE%\Documents\GitHub\mrs-test-scripts\Headless Mode &amp; Sideloading\WalkAndUnGZ.bat" "%USERPROFILE%\AppData\Local\Temp\OnboardLogs"\RTDC4055\2018-01-07</v>
      </c>
      <c r="AF194" s="234" t="str">
        <f>astrogrep_path&amp;" /e /r /s /spath="&amp;search_path&amp;" /stypes=""app*"&amp;B194&amp;"*"&amp;TEXT(I194-utc_offset/24,"YYYYMMDD")&amp;"*"" /stext="" "&amp;TEXT(I194-utc_offset/24,"HH")&amp;search_regexp&amp;""""</f>
        <v>"C:\Program Files (x86)\AstroGrep\AstroGrep.exe" /e /r /s /spath="%USERPROFILE%\AppData\Local\Temp\OnboardLogs" /stypes="app*4055*20180107*" /stext=" 04:.+((SYSTEM_STATE.+slice.+state.+changed )|(ment ac)|(multiple cpu faults)|(system.+state.+changed )|(\[timeout)|(PRM\|1\|D)|(kpr)|(kdp)|(train st.+moving)|(\|lc)|(penalty))"</v>
      </c>
      <c r="AG194" s="244" t="str">
        <f>DetSubdiv(A194)</f>
        <v>NW</v>
      </c>
      <c r="AH194" s="236" t="str">
        <f t="shared" si="36"/>
        <v>"%USERPROFILE%\Documents\GitHub\eaglep3\Utilities\RefineRTDCRunTimes.py" --tripid 1832-06 --locoid 4055 --swversion DE.1.0.9.0 --startMP 300:58681 --initTime 2018-01-06T21:24:41 --startdatetime 2018-01-06T21:43:08 --delay 66 --endMP 204:198 --enddatetime 2018-01-06T21:55:45 --enforcementcount 0 &gt;&gt;%USERPROFILE%\Documents\GitHub\eaglep3-reporting\EC\2018-01-06-refined-times.txt</v>
      </c>
      <c r="AI194" s="238" t="str">
        <f t="shared" si="37"/>
        <v>echo {"issue":{"subject":"","project_id":79,"tracker_id":40,"status_id":1,"priority_id":2,"assigned_to_id":338,"start_date":"2018-01-06","description":"","custom_fields":[{"id":1,"name":"Subdivision","value":"NW"},{"id":4,"name":"Milepost","value":"0.0198"},{"id":17,"name":"Train ID","value":"1832-06"},{"id":16,"name":"Locomotive ID","value":"4055"},{"id":130,"name":"Impact","value":""},{"id":150,"name":"Time of Event (Mountain Time)","value":"21:55:45"},{"id":151,"name":"Denver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4" s="231"/>
      <c r="AL194" s="231"/>
      <c r="AM194" s="240" t="str">
        <f t="shared" si="38"/>
        <v>start /low /b %USERPROFILE%\Documents\GitHub\eaglep3\Utilities\DownloadLogsFromS3.py --loco 4055 --day 2018-01-06</v>
      </c>
      <c r="AN194" s="241" t="str">
        <f t="shared" si="39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04:55:45"},{"id":29,"name":"Sharepoint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 s="230" t="str">
        <f t="shared" si="40"/>
        <v>https://d0f6bd738d7f1b3e5a7ca70fe4ff75f0.us-east-1.aws.found.io/app/kibana#/discover/Steve-Slow-Train-Analysis-(2080s-and-2083s)?_g=(refreshInterval:(display:Off,pause:!f,section:0,value:0),time:(from:'2018-01-06T20:24:41-0700',mode:absolute,to:'2018-01-06T22:55:45-0700'))&amp;_a=(columns:!('Message%20ID',Summary),filters:!(),index:'emp_*',interval:auto,query:(query_string:(analyze_wildcard:!t,query:'%22rtdc.l.rtdc.4055%22')),sort:!(Time.ISO8601,asc))</v>
      </c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0" customFormat="1" x14ac:dyDescent="0.3">
      <c r="A195" s="229" t="s">
        <v>874</v>
      </c>
      <c r="B195" s="225">
        <v>4056</v>
      </c>
      <c r="C195" s="227" t="s">
        <v>192</v>
      </c>
      <c r="D195" s="227" t="s">
        <v>507</v>
      </c>
      <c r="E195" s="226">
        <v>43106.915543981479</v>
      </c>
      <c r="F195" s="226">
        <v>43106.923159722224</v>
      </c>
      <c r="G195" s="225">
        <v>65</v>
      </c>
      <c r="H195" s="227" t="s">
        <v>977</v>
      </c>
      <c r="I195" s="226">
        <v>43106.932638888888</v>
      </c>
      <c r="J195" s="225">
        <v>0</v>
      </c>
      <c r="K195" s="237" t="str">
        <f>IF(ISEVEN(B195),(B195-1)&amp;"/"&amp;B195,B195&amp;"/"&amp;(B195+1))</f>
        <v>4055/4056</v>
      </c>
      <c r="L195" s="245" t="str">
        <f>VLOOKUP(A195,'Trips&amp;Operators'!$C$1:$G$99911,5,FALSE)</f>
        <v>SMITH MICHAEL</v>
      </c>
      <c r="M195" s="224">
        <f>I195-F195</f>
        <v>9.4791666633682325E-3</v>
      </c>
      <c r="N195" s="225">
        <f>24*60*SUM($M195:$M195)</f>
        <v>13.649999995250255</v>
      </c>
      <c r="O195" s="225"/>
      <c r="P195" s="225"/>
      <c r="Q195" s="228"/>
      <c r="R195" s="242"/>
      <c r="S195" s="249">
        <f>1/IF(AG195="EC",12,1)*SUM(U195:U195)</f>
        <v>1</v>
      </c>
      <c r="T195" s="242" t="str">
        <f>IF(ISEVEN(LEFT(AD195,4)),"Southbound","NorthBound")</f>
        <v>NorthBound</v>
      </c>
      <c r="U195" s="246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248" t="str">
        <f>"https://d0f6bd738d7f1b3e5a7ca70fe4ff75f0.us-east-1.aws.found.io/app/kibana#/discover/Steve-Slow-Train-Analysis-(2080s-and-2083s)?_g="&amp;"(refreshInterval:(display:Off,pause:!f,section:0,value:0),time:(from:'"&amp;TEXT(E195-1/24,"yyyy-MM-DDThh:mm:ss")&amp;utc_offset&amp;"00"&amp;"',mode:absolute,to:'"&amp;TEXT(I195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195&amp;"%22')),sort:!(Time.ISO8601,asc))"</f>
        <v>https://d0f6bd738d7f1b3e5a7ca70fe4ff75f0.us-east-1.aws.found.io/app/kibana#/discover/Steve-Slow-Train-Analysis-(2080s-and-2083s)?_g=(refreshInterval:(display:Off,pause:!f,section:0,value:0),time:(from:'2018-01-06T20:58:23-0700',mode:absolute,to:'2018-01-06T23:23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95" s="247" t="str">
        <f>IF(AA195&lt;VLOOKUP(AG195,Variables!$AC$3:$AD$8,2,FALSE),"Y","N")</f>
        <v>N</v>
      </c>
      <c r="X195" s="247">
        <f>VALUE(LEFT(AD195,4))-VALUE(LEFT(AD194,4))</f>
        <v>1</v>
      </c>
      <c r="Y195" s="247">
        <f>RIGHT(D195,LEN(D195)-4)/10000</f>
        <v>4.8399999999999999E-2</v>
      </c>
      <c r="Z195" s="247">
        <f>RIGHT(H195,LEN(H195)-4)/10000</f>
        <v>5.9009999999999998</v>
      </c>
      <c r="AA195" s="247">
        <f>ABS(Z195-Y195)</f>
        <v>5.8525999999999998</v>
      </c>
      <c r="AB195" s="233" t="e">
        <f>VLOOKUP(A195,Enforcements!$C$7:$K$9,8,0)</f>
        <v>#N/A</v>
      </c>
      <c r="AC195" s="232" t="e">
        <f>VLOOKUP(A195,Enforcements!$C$7:$E$9,3,0)</f>
        <v>#N/A</v>
      </c>
      <c r="AD195" s="243">
        <f>VALUE(LEFT(A195,LEN(A195)-3))</f>
        <v>1833</v>
      </c>
      <c r="AE195" s="235" t="str">
        <f>"aws s3 cp "&amp;s3_bucket&amp;"/RTDC"&amp;B195&amp;"/ "&amp;search_path&amp;"\RTDC"&amp;B195&amp;"\"&amp;TEXT(F195,"YYYY-MM-DD")&amp;" --exclude ""*"" --recursive --include ""*"&amp;TEXT(F195,"YYYYMMDD")&amp;"*"" &amp; """&amp;walkandungz&amp;""" "&amp;search_path&amp;"\RTDC"&amp;B195&amp;"\"&amp;TEXT(F195,"YYYY-MM-DD")
&amp;" &amp; "&amp;"aws s3 cp "&amp;s3_bucket&amp;"/RTDC"&amp;B195&amp;"/ "&amp;search_path&amp;"\RTDC"&amp;B195&amp;"\"&amp;TEXT(F195+1,"YYYY-MM-DD")&amp;" --exclude ""*"" --recursive --include ""*"&amp;TEXT(F195+1,"YYYYMMDD")&amp;"*"" &amp; """&amp;walkandungz&amp;""" "&amp;search_path&amp;"\RTDC"&amp;B195&amp;"\"&amp;TEXT(F195+1,"YYYY-MM-DD")</f>
        <v>aws s3 cp s3://rtdc.mdm.uploadarchive.raw/RTDC4056/ "%USERPROFILE%\AppData\Local\Temp\OnboardLogs"\RTDC4056\2018-01-06 --exclude "*" --recursive --include "*20180106*" &amp; "%USERPROFILE%\Documents\GitHub\mrs-test-scripts\Headless Mode &amp; Sideloading\WalkAndUnGZ.bat" "%USERPROFILE%\AppData\Local\Temp\OnboardLogs"\RTDC4056\2018-01-06 &amp; aws s3 cp s3://rtdc.mdm.uploadarchive.raw/RTDC4056/ "%USERPROFILE%\AppData\Local\Temp\OnboardLogs"\RTDC4056\2018-01-07 --exclude "*" --recursive --include "*20180107*" &amp; "%USERPROFILE%\Documents\GitHub\mrs-test-scripts\Headless Mode &amp; Sideloading\WalkAndUnGZ.bat" "%USERPROFILE%\AppData\Local\Temp\OnboardLogs"\RTDC4056\2018-01-07</v>
      </c>
      <c r="AF195" s="234" t="str">
        <f>astrogrep_path&amp;" /e /r /s /spath="&amp;search_path&amp;" /stypes=""app*"&amp;B195&amp;"*"&amp;TEXT(I195-utc_offset/24,"YYYYMMDD")&amp;"*"" /stext="" "&amp;TEXT(I195-utc_offset/24,"HH")&amp;search_regexp&amp;""""</f>
        <v>"C:\Program Files (x86)\AstroGrep\AstroGrep.exe" /e /r /s /spath="%USERPROFILE%\AppData\Local\Temp\OnboardLogs" /stypes="app*4056*20180107*" /stext=" 05:.+((SYSTEM_STATE.+slice.+state.+changed )|(ment ac)|(multiple cpu faults)|(system.+state.+changed )|(\[timeout)|(PRM\|1\|D)|(kpr)|(kdp)|(train st.+moving)|(\|lc)|(penalty))"</v>
      </c>
      <c r="AG195" s="244" t="str">
        <f>DetSubdiv(A195)</f>
        <v>NW</v>
      </c>
      <c r="AH195" s="236" t="str">
        <f t="shared" si="36"/>
        <v>"%USERPROFILE%\Documents\GitHub\eaglep3\Utilities\RefineRTDCRunTimes.py" --tripid 1833-06 --locoid 4056 --swversion DE.1.0.9.0 --startMP 204:484 --initTime 2018-01-06T21:58:23 --startdatetime 2018-01-06T22:09:21 --delay 65 --endMP 300:59010 --enddatetime 2018-01-06T22:23:00 --enforcementcount 0 &gt;&gt;%USERPROFILE%\Documents\GitHub\eaglep3-reporting\EC\2018-01-06-refined-times.txt</v>
      </c>
      <c r="AI195" s="238" t="str">
        <f t="shared" si="37"/>
        <v>echo {"issue":{"subject":"","project_id":79,"tracker_id":40,"status_id":1,"priority_id":2,"assigned_to_id":338,"start_date":"2018-01-06","description":"","custom_fields":[{"id":1,"name":"Subdivision","value":"NW"},{"id":4,"name":"Milepost","value":"5.901"},{"id":17,"name":"Train ID","value":"1833-06"},{"id":16,"name":"Locomotive ID","value":"4056"},{"id":130,"name":"Impact","value":""},{"id":150,"name":"Time of Event (Mountain Time)","value":"22:23:00"},{"id":151,"name":"Denver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5" s="223"/>
      <c r="AK195" s="231"/>
      <c r="AL195" s="231"/>
      <c r="AM195" s="240" t="str">
        <f t="shared" si="38"/>
        <v>start /low /b %USERPROFILE%\Documents\GitHub\eaglep3\Utilities\DownloadLogsFromS3.py --loco 4056 --day 2018-01-06</v>
      </c>
      <c r="AN195" s="241" t="str">
        <f t="shared" si="39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05:23:00"},{"id":29,"name":"Sharepoint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 s="230" t="str">
        <f t="shared" si="40"/>
        <v>https://d0f6bd738d7f1b3e5a7ca70fe4ff75f0.us-east-1.aws.found.io/app/kibana#/discover/Steve-Slow-Train-Analysis-(2080s-and-2083s)?_g=(refreshInterval:(display:Off,pause:!f,section:0,value:0),time:(from:'2018-01-06T20:58:23-0700',mode:absolute,to:'2018-01-06T23:23:00-0700'))&amp;_a=(columns:!('Message%20ID',Summary),filters:!(),index:'emp_*',interval:auto,query:(query_string:(analyze_wildcard:!t,query:'%22rtdc.l.rtdc.4056%22')),sort:!(Time.ISO8601,asc))</v>
      </c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223" customFormat="1" x14ac:dyDescent="0.3">
      <c r="A196" s="229" t="s">
        <v>683</v>
      </c>
      <c r="B196" s="225">
        <v>4055</v>
      </c>
      <c r="C196" s="227" t="s">
        <v>192</v>
      </c>
      <c r="D196" s="227" t="s">
        <v>978</v>
      </c>
      <c r="E196" s="226">
        <v>43106.933877314812</v>
      </c>
      <c r="F196" s="226">
        <v>43106.945925925924</v>
      </c>
      <c r="G196" s="225">
        <v>71</v>
      </c>
      <c r="H196" s="227" t="s">
        <v>979</v>
      </c>
      <c r="I196" s="226">
        <v>43106.953321759262</v>
      </c>
      <c r="J196" s="225">
        <v>0</v>
      </c>
      <c r="K196" s="237" t="str">
        <f>IF(ISEVEN(B196),(B196-1)&amp;"/"&amp;B196,B196&amp;"/"&amp;(B196+1))</f>
        <v>4055/4056</v>
      </c>
      <c r="L196" s="245" t="str">
        <f>VLOOKUP(A196,'Trips&amp;Operators'!$C$1:$G$99911,5,FALSE)</f>
        <v>SMITH MICHAEL</v>
      </c>
      <c r="M196" s="224">
        <f>I196-F196</f>
        <v>7.3958333377959207E-3</v>
      </c>
      <c r="N196" s="225">
        <f>24*60*SUM($M196:$M196)</f>
        <v>10.650000006426126</v>
      </c>
      <c r="O196" s="225"/>
      <c r="P196" s="225"/>
      <c r="Q196" s="228"/>
      <c r="R196" s="242"/>
      <c r="S196" s="249">
        <f>1/IF(AG196="EC",12,1)*SUM(U196:U196)</f>
        <v>1</v>
      </c>
      <c r="T196" s="242" t="str">
        <f>IF(ISEVEN(LEFT(AD196,4)),"Southbound","NorthBound")</f>
        <v>Southbound</v>
      </c>
      <c r="U196" s="246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248" t="str">
        <f>"https://d0f6bd738d7f1b3e5a7ca70fe4ff75f0.us-east-1.aws.found.io/app/kibana#/discover/Steve-Slow-Train-Analysis-(2080s-and-2083s)?_g="&amp;"(refreshInterval:(display:Off,pause:!f,section:0,value:0),time:(from:'"&amp;TEXT(E196-1/24,"yyyy-MM-DDThh:mm:ss")&amp;utc_offset&amp;"00"&amp;"',mode:absolute,to:'"&amp;TEXT(I196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196&amp;"%22')),sort:!(Time.ISO8601,asc))"</f>
        <v>https://d0f6bd738d7f1b3e5a7ca70fe4ff75f0.us-east-1.aws.found.io/app/kibana#/discover/Steve-Slow-Train-Analysis-(2080s-and-2083s)?_g=(refreshInterval:(display:Off,pause:!f,section:0,value:0),time:(from:'2018-01-06T21:24:47-0700',mode:absolute,to:'2018-01-06T23:52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96" s="247" t="str">
        <f>IF(AA196&lt;VLOOKUP(AG196,Variables!$AC$3:$AD$8,2,FALSE),"Y","N")</f>
        <v>Y</v>
      </c>
      <c r="X196" s="247">
        <f>VALUE(LEFT(AD196,4))-VALUE(LEFT(AD195,4))</f>
        <v>1</v>
      </c>
      <c r="Y196" s="247">
        <f>RIGHT(D196,LEN(D196)-4)/10000</f>
        <v>5.8688000000000002</v>
      </c>
      <c r="Z196" s="247">
        <f>RIGHT(H196,LEN(H196)-4)/10000</f>
        <v>0.45710000000000001</v>
      </c>
      <c r="AA196" s="247">
        <f>ABS(Z196-Y196)</f>
        <v>5.4117000000000006</v>
      </c>
      <c r="AB196" s="233" t="e">
        <f>VLOOKUP(A196,Enforcements!$C$7:$K$9,8,0)</f>
        <v>#N/A</v>
      </c>
      <c r="AC196" s="232" t="e">
        <f>VLOOKUP(A196,Enforcements!$C$7:$E$9,3,0)</f>
        <v>#N/A</v>
      </c>
      <c r="AD196" s="243">
        <f>VALUE(LEFT(A196,LEN(A196)-3))</f>
        <v>1834</v>
      </c>
      <c r="AE196" s="235" t="str">
        <f>"aws s3 cp "&amp;s3_bucket&amp;"/RTDC"&amp;B196&amp;"/ "&amp;search_path&amp;"\RTDC"&amp;B196&amp;"\"&amp;TEXT(F196,"YYYY-MM-DD")&amp;" --exclude ""*"" --recursive --include ""*"&amp;TEXT(F196,"YYYYMMDD")&amp;"*"" &amp; """&amp;walkandungz&amp;""" "&amp;search_path&amp;"\RTDC"&amp;B196&amp;"\"&amp;TEXT(F196,"YYYY-MM-DD")
&amp;" &amp; "&amp;"aws s3 cp "&amp;s3_bucket&amp;"/RTDC"&amp;B196&amp;"/ "&amp;search_path&amp;"\RTDC"&amp;B196&amp;"\"&amp;TEXT(F196+1,"YYYY-MM-DD")&amp;" --exclude ""*"" --recursive --include ""*"&amp;TEXT(F196+1,"YYYYMMDD")&amp;"*"" &amp; """&amp;walkandungz&amp;""" "&amp;search_path&amp;"\RTDC"&amp;B196&amp;"\"&amp;TEXT(F196+1,"YYYY-MM-DD")</f>
        <v>aws s3 cp s3://rtdc.mdm.uploadarchive.raw/RTDC4055/ "%USERPROFILE%\AppData\Local\Temp\OnboardLogs"\RTDC4055\2018-01-06 --exclude "*" --recursive --include "*20180106*" &amp; "%USERPROFILE%\Documents\GitHub\mrs-test-scripts\Headless Mode &amp; Sideloading\WalkAndUnGZ.bat" "%USERPROFILE%\AppData\Local\Temp\OnboardLogs"\RTDC4055\2018-01-06 &amp; aws s3 cp s3://rtdc.mdm.uploadarchive.raw/RTDC4055/ "%USERPROFILE%\AppData\Local\Temp\OnboardLogs"\RTDC4055\2018-01-07 --exclude "*" --recursive --include "*20180107*" &amp; "%USERPROFILE%\Documents\GitHub\mrs-test-scripts\Headless Mode &amp; Sideloading\WalkAndUnGZ.bat" "%USERPROFILE%\AppData\Local\Temp\OnboardLogs"\RTDC4055\2018-01-07</v>
      </c>
      <c r="AF196" s="234" t="str">
        <f>astrogrep_path&amp;" /e /r /s /spath="&amp;search_path&amp;" /stypes=""app*"&amp;B196&amp;"*"&amp;TEXT(I196-utc_offset/24,"YYYYMMDD")&amp;"*"" /stext="" "&amp;TEXT(I196-utc_offset/24,"HH")&amp;search_regexp&amp;""""</f>
        <v>"C:\Program Files (x86)\AstroGrep\AstroGrep.exe" /e /r /s /spath="%USERPROFILE%\AppData\Local\Temp\OnboardLogs" /stypes="app*4055*20180107*" /stext=" 05:.+((SYSTEM_STATE.+slice.+state.+changed )|(ment ac)|(multiple cpu faults)|(system.+state.+changed )|(\[timeout)|(PRM\|1\|D)|(kpr)|(kdp)|(train st.+moving)|(\|lc)|(penalty))"</v>
      </c>
      <c r="AG196" s="244" t="str">
        <f>DetSubdiv(A196)</f>
        <v>NW</v>
      </c>
      <c r="AH196" s="236" t="str">
        <f t="shared" si="36"/>
        <v>"%USERPROFILE%\Documents\GitHub\eaglep3\Utilities\RefineRTDCRunTimes.py" --tripid 1834-06 --locoid 4055 --swversion DE.1.0.9.0 --startMP 300:58688 --initTime 2018-01-06T22:24:47 --startdatetime 2018-01-06T22:42:08 --delay 71 --endMP 204:4571 --enddatetime 2018-01-06T22:52:47 --enforcementcount 0 &gt;&gt;%USERPROFILE%\Documents\GitHub\eaglep3-reporting\EC\2018-01-06-refined-times.txt</v>
      </c>
      <c r="AI196" s="238" t="str">
        <f t="shared" si="37"/>
        <v>echo {"issue":{"subject":"","project_id":79,"tracker_id":40,"status_id":1,"priority_id":2,"assigned_to_id":338,"start_date":"2018-01-06","description":"","custom_fields":[{"id":1,"name":"Subdivision","value":"NW"},{"id":4,"name":"Milepost","value":"0.4571"},{"id":17,"name":"Train ID","value":"1834-06"},{"id":16,"name":"Locomotive ID","value":"4055"},{"id":130,"name":"Impact","value":""},{"id":150,"name":"Time of Event (Mountain Time)","value":"22:52:47"},{"id":151,"name":"Denver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6" s="231"/>
      <c r="AL196" s="231"/>
      <c r="AM196" s="240" t="str">
        <f t="shared" si="38"/>
        <v>start /low /b %USERPROFILE%\Documents\GitHub\eaglep3\Utilities\DownloadLogsFromS3.py --loco 4055 --day 2018-01-06</v>
      </c>
      <c r="AN196" s="241" t="str">
        <f t="shared" si="39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05:52:47"},{"id":29,"name":"Sharepoint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 s="230" t="str">
        <f t="shared" si="40"/>
        <v>https://d0f6bd738d7f1b3e5a7ca70fe4ff75f0.us-east-1.aws.found.io/app/kibana#/discover/Steve-Slow-Train-Analysis-(2080s-and-2083s)?_g=(refreshInterval:(display:Off,pause:!f,section:0,value:0),time:(from:'2018-01-06T21:24:47-0700',mode:absolute,to:'2018-01-06T23:52:47-0700'))&amp;_a=(columns:!('Message%20ID',Summary),filters:!(),index:'emp_*',interval:auto,query:(query_string:(analyze_wildcard:!t,query:'%22rtdc.l.rtdc.4055%22')),sort:!(Time.ISO8601,asc))</v>
      </c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s="223" customFormat="1" x14ac:dyDescent="0.3">
      <c r="A197" s="229" t="s">
        <v>877</v>
      </c>
      <c r="B197" s="225">
        <v>4056</v>
      </c>
      <c r="C197" s="227" t="s">
        <v>192</v>
      </c>
      <c r="D197" s="227" t="s">
        <v>558</v>
      </c>
      <c r="E197" s="226">
        <v>43106.957418981481</v>
      </c>
      <c r="F197" s="226">
        <v>43106.964803240742</v>
      </c>
      <c r="G197" s="225">
        <v>61</v>
      </c>
      <c r="H197" s="227" t="s">
        <v>651</v>
      </c>
      <c r="I197" s="226">
        <v>43106.97451388889</v>
      </c>
      <c r="J197" s="225">
        <v>0</v>
      </c>
      <c r="K197" s="237" t="str">
        <f>IF(ISEVEN(B197),(B197-1)&amp;"/"&amp;B197,B197&amp;"/"&amp;(B197+1))</f>
        <v>4055/4056</v>
      </c>
      <c r="L197" s="245" t="str">
        <f>VLOOKUP(A197,'Trips&amp;Operators'!$C$1:$G$99911,5,FALSE)</f>
        <v>SMITH MICHAEL</v>
      </c>
      <c r="M197" s="224">
        <f>I197-F197</f>
        <v>9.710648148029577E-3</v>
      </c>
      <c r="N197" s="225">
        <f>24*60*SUM($M197:$M197)</f>
        <v>13.983333333162591</v>
      </c>
      <c r="O197" s="225"/>
      <c r="P197" s="225"/>
      <c r="Q197" s="228"/>
      <c r="R197" s="242"/>
      <c r="S197" s="249">
        <f>1/IF(AG197="EC",12,1)*SUM(U197:U197)</f>
        <v>1</v>
      </c>
      <c r="T197" s="242" t="str">
        <f>IF(ISEVEN(LEFT(AD197,4)),"Southbound","NorthBound")</f>
        <v>NorthBound</v>
      </c>
      <c r="U197" s="246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248" t="str">
        <f>"https://d0f6bd738d7f1b3e5a7ca70fe4ff75f0.us-east-1.aws.found.io/app/kibana#/discover/Steve-Slow-Train-Analysis-(2080s-and-2083s)?_g="&amp;"(refreshInterval:(display:Off,pause:!f,section:0,value:0),time:(from:'"&amp;TEXT(E197-1/24,"yyyy-MM-DDThh:mm:ss")&amp;utc_offset&amp;"00"&amp;"',mode:absolute,to:'"&amp;TEXT(I197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197&amp;"%22')),sort:!(Time.ISO8601,asc))"</f>
        <v>https://d0f6bd738d7f1b3e5a7ca70fe4ff75f0.us-east-1.aws.found.io/app/kibana#/discover/Steve-Slow-Train-Analysis-(2080s-and-2083s)?_g=(refreshInterval:(display:Off,pause:!f,section:0,value:0),time:(from:'2018-01-06T21:58:41-0700',mode:absolute,to:'2018-01-07T00:23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97" s="247" t="str">
        <f>IF(AA197&lt;VLOOKUP(AG197,Variables!$AC$3:$AD$8,2,FALSE),"Y","N")</f>
        <v>N</v>
      </c>
      <c r="X197" s="247">
        <f>VALUE(LEFT(AD197,4))-VALUE(LEFT(AD196,4))</f>
        <v>1</v>
      </c>
      <c r="Y197" s="247">
        <f>RIGHT(D197,LEN(D197)-4)/10000</f>
        <v>5.04E-2</v>
      </c>
      <c r="Z197" s="247">
        <f>RIGHT(H197,LEN(H197)-4)/10000</f>
        <v>5.8986000000000001</v>
      </c>
      <c r="AA197" s="247">
        <f>ABS(Z197-Y197)</f>
        <v>5.8482000000000003</v>
      </c>
      <c r="AB197" s="233" t="e">
        <f>VLOOKUP(A197,Enforcements!$C$7:$K$9,8,0)</f>
        <v>#N/A</v>
      </c>
      <c r="AC197" s="232" t="e">
        <f>VLOOKUP(A197,Enforcements!$C$7:$E$9,3,0)</f>
        <v>#N/A</v>
      </c>
      <c r="AD197" s="243">
        <f>VALUE(LEFT(A197,LEN(A197)-3))</f>
        <v>1835</v>
      </c>
      <c r="AE197" s="235" t="str">
        <f>"aws s3 cp "&amp;s3_bucket&amp;"/RTDC"&amp;B197&amp;"/ "&amp;search_path&amp;"\RTDC"&amp;B197&amp;"\"&amp;TEXT(F197,"YYYY-MM-DD")&amp;" --exclude ""*"" --recursive --include ""*"&amp;TEXT(F197,"YYYYMMDD")&amp;"*"" &amp; """&amp;walkandungz&amp;""" "&amp;search_path&amp;"\RTDC"&amp;B197&amp;"\"&amp;TEXT(F197,"YYYY-MM-DD")
&amp;" &amp; "&amp;"aws s3 cp "&amp;s3_bucket&amp;"/RTDC"&amp;B197&amp;"/ "&amp;search_path&amp;"\RTDC"&amp;B197&amp;"\"&amp;TEXT(F197+1,"YYYY-MM-DD")&amp;" --exclude ""*"" --recursive --include ""*"&amp;TEXT(F197+1,"YYYYMMDD")&amp;"*"" &amp; """&amp;walkandungz&amp;""" "&amp;search_path&amp;"\RTDC"&amp;B197&amp;"\"&amp;TEXT(F197+1,"YYYY-MM-DD")</f>
        <v>aws s3 cp s3://rtdc.mdm.uploadarchive.raw/RTDC4056/ "%USERPROFILE%\AppData\Local\Temp\OnboardLogs"\RTDC4056\2018-01-06 --exclude "*" --recursive --include "*20180106*" &amp; "%USERPROFILE%\Documents\GitHub\mrs-test-scripts\Headless Mode &amp; Sideloading\WalkAndUnGZ.bat" "%USERPROFILE%\AppData\Local\Temp\OnboardLogs"\RTDC4056\2018-01-06 &amp; aws s3 cp s3://rtdc.mdm.uploadarchive.raw/RTDC4056/ "%USERPROFILE%\AppData\Local\Temp\OnboardLogs"\RTDC4056\2018-01-07 --exclude "*" --recursive --include "*20180107*" &amp; "%USERPROFILE%\Documents\GitHub\mrs-test-scripts\Headless Mode &amp; Sideloading\WalkAndUnGZ.bat" "%USERPROFILE%\AppData\Local\Temp\OnboardLogs"\RTDC4056\2018-01-07</v>
      </c>
      <c r="AF197" s="234" t="str">
        <f>astrogrep_path&amp;" /e /r /s /spath="&amp;search_path&amp;" /stypes=""app*"&amp;B197&amp;"*"&amp;TEXT(I197-utc_offset/24,"YYYYMMDD")&amp;"*"" /stext="" "&amp;TEXT(I197-utc_offset/24,"HH")&amp;search_regexp&amp;""""</f>
        <v>"C:\Program Files (x86)\AstroGrep\AstroGrep.exe" /e /r /s /spath="%USERPROFILE%\AppData\Local\Temp\OnboardLogs" /stypes="app*4056*20180107*" /stext=" 06:.+((SYSTEM_STATE.+slice.+state.+changed )|(ment ac)|(multiple cpu faults)|(system.+state.+changed )|(\[timeout)|(PRM\|1\|D)|(kpr)|(kdp)|(train st.+moving)|(\|lc)|(penalty))"</v>
      </c>
      <c r="AG197" s="244" t="str">
        <f>DetSubdiv(A197)</f>
        <v>NW</v>
      </c>
      <c r="AH197" s="236" t="str">
        <f t="shared" si="36"/>
        <v>"%USERPROFILE%\Documents\GitHub\eaglep3\Utilities\RefineRTDCRunTimes.py" --tripid 1835-06 --locoid 4056 --swversion DE.1.0.9.0 --startMP 204:504 --initTime 2018-01-06T22:58:41 --startdatetime 2018-01-06T23:09:19 --delay 61 --endMP 300:58986 --enddatetime 2018-01-06T23:23:18 --enforcementcount 0 &gt;&gt;%USERPROFILE%\Documents\GitHub\eaglep3-reporting\EC\2018-01-06-refined-times.txt</v>
      </c>
      <c r="AI197" s="238" t="str">
        <f t="shared" si="37"/>
        <v>echo {"issue":{"subject":"","project_id":79,"tracker_id":40,"status_id":1,"priority_id":2,"assigned_to_id":338,"start_date":"2018-01-06","description":"","custom_fields":[{"id":1,"name":"Subdivision","value":"NW"},{"id":4,"name":"Milepost","value":"5.8986"},{"id":17,"name":"Train ID","value":"1835-06"},{"id":16,"name":"Locomotive ID","value":"4056"},{"id":130,"name":"Impact","value":""},{"id":150,"name":"Time of Event (Mountain Time)","value":"23:23:18"},{"id":151,"name":"Denver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97" s="231"/>
      <c r="AL197" s="231"/>
      <c r="AM197" s="240" t="str">
        <f t="shared" si="38"/>
        <v>start /low /b %USERPROFILE%\Documents\GitHub\eaglep3\Utilities\DownloadLogsFromS3.py --loco 4056 --day 2018-01-06</v>
      </c>
      <c r="AN197" s="241" t="str">
        <f t="shared" si="39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06:23:18"},{"id":29,"name":"Sharepoint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 s="230" t="str">
        <f t="shared" si="40"/>
        <v>https://d0f6bd738d7f1b3e5a7ca70fe4ff75f0.us-east-1.aws.found.io/app/kibana#/discover/Steve-Slow-Train-Analysis-(2080s-and-2083s)?_g=(refreshInterval:(display:Off,pause:!f,section:0,value:0),time:(from:'2018-01-06T21:58:41-0700',mode:absolute,to:'2018-01-07T00:23:18-0700'))&amp;_a=(columns:!('Message%20ID',Summary),filters:!(),index:'emp_*',interval:auto,query:(query_string:(analyze_wildcard:!t,query:'%22rtdc.l.rtdc.4056%22')),sort:!(Time.ISO8601,asc))</v>
      </c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s="20" customFormat="1" x14ac:dyDescent="0.3">
      <c r="A198" s="229" t="s">
        <v>695</v>
      </c>
      <c r="B198" s="225">
        <v>4033</v>
      </c>
      <c r="C198" s="227" t="s">
        <v>192</v>
      </c>
      <c r="D198" s="227" t="s">
        <v>1019</v>
      </c>
      <c r="E198" s="226">
        <v>43106.117650462962</v>
      </c>
      <c r="F198" s="226">
        <v>43106.123530092591</v>
      </c>
      <c r="G198" s="225">
        <v>69</v>
      </c>
      <c r="H198" s="227" t="s">
        <v>609</v>
      </c>
      <c r="I198" s="226">
        <v>43106.129374999997</v>
      </c>
      <c r="J198" s="225">
        <v>0</v>
      </c>
      <c r="K198" s="237" t="str">
        <f>IF(ISEVEN(B198),(B198-1)&amp;"/"&amp;B198,B198&amp;"/"&amp;(B198+1))</f>
        <v>4033/4034</v>
      </c>
      <c r="L198" s="245" t="str">
        <f>VLOOKUP(A198,'Trips&amp;Operators'!$C$1:$G$99911,5,FALSE)</f>
        <v>THOMPSON LESTER</v>
      </c>
      <c r="M198" s="224">
        <f>I198-F198</f>
        <v>5.8449074058444239E-3</v>
      </c>
      <c r="N198" s="225">
        <f>24*60*SUM($M198:$M198)</f>
        <v>8.4166666644159704</v>
      </c>
      <c r="O198" s="225"/>
      <c r="P198" s="225"/>
      <c r="Q198" s="228"/>
      <c r="R198" s="242"/>
      <c r="S198" s="249">
        <f>1/IF(AG198="EC",12,1)*SUM(U198:U198)</f>
        <v>1</v>
      </c>
      <c r="T198" s="242" t="str">
        <f>IF(ISEVEN(LEFT(AD198,4)),"Southbound","NorthBound")</f>
        <v>Southbound</v>
      </c>
      <c r="U198" s="246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248" t="str">
        <f>"https://d0f6bd738d7f1b3e5a7ca70fe4ff75f0.us-east-1.aws.found.io/app/kibana#/discover/Steve-Slow-Train-Analysis-(2080s-and-2083s)?_g="&amp;"(refreshInterval:(display:Off,pause:!f,section:0,value:0),time:(from:'"&amp;TEXT(E198-1/24,"yyyy-MM-DDThh:mm:ss")&amp;utc_offset&amp;"00"&amp;"',mode:absolute,to:'"&amp;TEXT(I198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198&amp;"%22')),sort:!(Time.ISO8601,asc))"</f>
        <v>https://d0f6bd738d7f1b3e5a7ca70fe4ff75f0.us-east-1.aws.found.io/app/kibana#/discover/Steve-Slow-Train-Analysis-(2080s-and-2083s)?_g=(refreshInterval:(display:Off,pause:!f,section:0,value:0),time:(from:'2018-01-06T01:49:25-0700',mode:absolute,to:'2018-01-06T04:06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198" s="247" t="str">
        <f>IF(AA198&lt;VLOOKUP(AG198,Variables!$AC$3:$AD$8,2,FALSE),"Y","N")</f>
        <v>Y</v>
      </c>
      <c r="X198" s="247">
        <f>VALUE(LEFT(AD198,4))-VALUE(LEFT(AD197,4))</f>
        <v>-1535</v>
      </c>
      <c r="Y198" s="247">
        <f>RIGHT(D198,LEN(D198)-4)/10000</f>
        <v>2.3571</v>
      </c>
      <c r="Z198" s="247">
        <f>RIGHT(H198,LEN(H198)-4)/10000</f>
        <v>1.6299999999999999E-2</v>
      </c>
      <c r="AA198" s="247">
        <f>ABS(Z198-Y198)</f>
        <v>2.3407999999999998</v>
      </c>
      <c r="AB198" s="233" t="e">
        <f>VLOOKUP(A198,Enforcements!$C$7:$K$9,8,0)</f>
        <v>#N/A</v>
      </c>
      <c r="AC198" s="232" t="e">
        <f>VLOOKUP(A198,Enforcements!$C$7:$E$9,3,0)</f>
        <v>#N/A</v>
      </c>
      <c r="AD198" s="243">
        <f>VALUE(LEFT(A198,LEN(A198)-3))</f>
        <v>300</v>
      </c>
      <c r="AE198" s="235" t="str">
        <f>"aws s3 cp "&amp;s3_bucket&amp;"/RTDC"&amp;B198&amp;"/ "&amp;search_path&amp;"\RTDC"&amp;B198&amp;"\"&amp;TEXT(F198,"YYYY-MM-DD")&amp;" --exclude ""*"" --recursive --include ""*"&amp;TEXT(F198,"YYYYMMDD")&amp;"*"" &amp; """&amp;walkandungz&amp;""" "&amp;search_path&amp;"\RTDC"&amp;B198&amp;"\"&amp;TEXT(F198,"YYYY-MM-DD")
&amp;" &amp; "&amp;"aws s3 cp "&amp;s3_bucket&amp;"/RTDC"&amp;B198&amp;"/ "&amp;search_path&amp;"\RTDC"&amp;B198&amp;"\"&amp;TEXT(F198+1,"YYYY-MM-DD")&amp;" --exclude ""*"" --recursive --include ""*"&amp;TEXT(F198+1,"YYYYMMDD")&amp;"*"" &amp; """&amp;walkandungz&amp;""" "&amp;search_path&amp;"\RTDC"&amp;B198&amp;"\"&amp;TEXT(F198+1,"YYYY-MM-DD")</f>
        <v>aws s3 cp s3://rtdc.mdm.uploadarchive.raw/RTDC4033/ "%USERPROFILE%\AppData\Local\Temp\OnboardLogs"\RTDC4033\2018-01-06 --exclude "*" --recursive --include "*20180106*" &amp; "%USERPROFILE%\Documents\GitHub\mrs-test-scripts\Headless Mode &amp; Sideloading\WalkAndUnGZ.bat" "%USERPROFILE%\AppData\Local\Temp\OnboardLogs"\RTDC4033\2018-01-06 &amp; aws s3 cp s3://rtdc.mdm.uploadarchive.raw/RTDC4033/ "%USERPROFILE%\AppData\Local\Temp\OnboardLogs"\RTDC4033\2018-01-07 --exclude "*" --recursive --include "*20180107*" &amp; "%USERPROFILE%\Documents\GitHub\mrs-test-scripts\Headless Mode &amp; Sideloading\WalkAndUnGZ.bat" "%USERPROFILE%\AppData\Local\Temp\OnboardLogs"\RTDC4033\2018-01-07</v>
      </c>
      <c r="AF198" s="234" t="str">
        <f>astrogrep_path&amp;" /e /r /s /spath="&amp;search_path&amp;" /stypes=""app*"&amp;B198&amp;"*"&amp;TEXT(I198-utc_offset/24,"YYYYMMDD")&amp;"*"" /stext="" "&amp;TEXT(I198-utc_offset/24,"HH")&amp;search_regexp&amp;""""</f>
        <v>"C:\Program Files (x86)\AstroGrep\AstroGrep.exe" /e /r /s /spath="%USERPROFILE%\AppData\Local\Temp\OnboardLogs" /stypes="app*4033*20180106*" /stext=" 10:.+((SYSTEM_STATE.+slice.+state.+changed )|(ment ac)|(multiple cpu faults)|(system.+state.+changed )|(\[timeout)|(PRM\|1\|D)|(kpr)|(kdp)|(train st.+moving)|(\|lc)|(penalty))"</v>
      </c>
      <c r="AG198" s="244" t="str">
        <f>DetSubdiv(A198)</f>
        <v>Other</v>
      </c>
      <c r="AH198" s="236" t="str">
        <f t="shared" si="36"/>
        <v>"%USERPROFILE%\Documents\GitHub\eaglep3\Utilities\RefineRTDCRunTimes.py" --tripid 300-06 --locoid 4033 --swversion DE.1.0.9.0 --startMP 300:23571 --initTime 2018-01-06T02:49:25 --startdatetime 2018-01-06T02:57:53 --delay 69 --endMP 204:163 --enddatetime 2018-01-06T03:06:18 --enforcementcount 0 &gt;&gt;%USERPROFILE%\Documents\GitHub\eaglep3-reporting\EC\2018-01-06-refined-times.txt</v>
      </c>
      <c r="AI198" s="238" t="str">
        <f t="shared" si="37"/>
        <v>echo {"issue":{"subject":"","project_id":79,"tracker_id":40,"status_id":1,"priority_id":2,"assigned_to_id":338,"start_date":"2018-01-06","description":"","custom_fields":[{"id":1,"name":"Subdivision","value":"Other"},{"id":4,"name":"Milepost","value":"0.0163"},{"id":17,"name":"Train ID","value":"300-06"},{"id":16,"name":"Locomotive ID","value":"4033"},{"id":130,"name":"Impact","value":""},{"id":150,"name":"Time of Event (Mountain Time)","value":"03:06:18"},{"id":151,"name":"Denver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8" s="223"/>
      <c r="AK198" s="231"/>
      <c r="AL198" s="231"/>
      <c r="AM198" s="240" t="str">
        <f t="shared" si="38"/>
        <v>start /low /b %USERPROFILE%\Documents\GitHub\eaglep3\Utilities\DownloadLogsFromS3.py --loco 4033 --day 2018-01-06</v>
      </c>
      <c r="AN198" s="241" t="str">
        <f t="shared" si="39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10:06:18"},{"id":29,"name":"Sharepoint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 s="230" t="str">
        <f t="shared" si="40"/>
        <v>https://d0f6bd738d7f1b3e5a7ca70fe4ff75f0.us-east-1.aws.found.io/app/kibana#/discover/Steve-Slow-Train-Analysis-(2080s-and-2083s)?_g=(refreshInterval:(display:Off,pause:!f,section:0,value:0),time:(from:'2018-01-06T01:49:25-0700',mode:absolute,to:'2018-01-06T04:06:18-0700'))&amp;_a=(columns:!('Message%20ID',Summary),filters:!(),index:'emp_*',interval:auto,query:(query_string:(analyze_wildcard:!t,query:'%22rtdc.l.rtdc.4033%22')),sort:!(Time.ISO8601,asc))</v>
      </c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s="20" customFormat="1" x14ac:dyDescent="0.3">
      <c r="A199" s="229" t="s">
        <v>854</v>
      </c>
      <c r="B199" s="225">
        <v>4034</v>
      </c>
      <c r="C199" s="227" t="s">
        <v>192</v>
      </c>
      <c r="D199" s="227" t="s">
        <v>634</v>
      </c>
      <c r="E199" s="226">
        <v>43106.789259259262</v>
      </c>
      <c r="F199" s="226">
        <v>43106.794814814813</v>
      </c>
      <c r="G199" s="225">
        <v>69</v>
      </c>
      <c r="H199" s="227" t="s">
        <v>1020</v>
      </c>
      <c r="I199" s="226">
        <v>43106.801655092589</v>
      </c>
      <c r="J199" s="225">
        <v>0</v>
      </c>
      <c r="K199" s="237" t="str">
        <f>IF(ISEVEN(B199),(B199-1)&amp;"/"&amp;B199,B199&amp;"/"&amp;(B199+1))</f>
        <v>4033/4034</v>
      </c>
      <c r="L199" s="245" t="str">
        <f>VLOOKUP(A199,'Trips&amp;Operators'!$C$1:$G$99911,5,FALSE)</f>
        <v>GUZMAN DANNY</v>
      </c>
      <c r="M199" s="224">
        <f>I199-F199</f>
        <v>6.8402777760638855E-3</v>
      </c>
      <c r="N199" s="225">
        <f>24*60*SUM($M199:$M199)</f>
        <v>9.8499999975319952</v>
      </c>
      <c r="O199" s="225"/>
      <c r="P199" s="225"/>
      <c r="Q199" s="228"/>
      <c r="R199" s="242"/>
      <c r="S199" s="249">
        <f>1/IF(AG199="EC",12,1)*SUM(U199:U199)</f>
        <v>1</v>
      </c>
      <c r="T199" s="242" t="str">
        <f>IF(ISEVEN(LEFT(AD199,4)),"Southbound","NorthBound")</f>
        <v>NorthBound</v>
      </c>
      <c r="U199" s="246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248" t="str">
        <f>"https://d0f6bd738d7f1b3e5a7ca70fe4ff75f0.us-east-1.aws.found.io/app/kibana#/discover/Steve-Slow-Train-Analysis-(2080s-and-2083s)?_g="&amp;"(refreshInterval:(display:Off,pause:!f,section:0,value:0),time:(from:'"&amp;TEXT(E199-1/24,"yyyy-MM-DDThh:mm:ss")&amp;utc_offset&amp;"00"&amp;"',mode:absolute,to:'"&amp;TEXT(I199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199&amp;"%22')),sort:!(Time.ISO8601,asc))"</f>
        <v>https://d0f6bd738d7f1b3e5a7ca70fe4ff75f0.us-east-1.aws.found.io/app/kibana#/discover/Steve-Slow-Train-Analysis-(2080s-and-2083s)?_g=(refreshInterval:(display:Off,pause:!f,section:0,value:0),time:(from:'2018-01-06T17:56:32-0700',mode:absolute,to:'2018-01-06T20:14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199" s="247" t="str">
        <f>IF(AA199&lt;VLOOKUP(AG199,Variables!$AC$3:$AD$8,2,FALSE),"Y","N")</f>
        <v>Y</v>
      </c>
      <c r="X199" s="247">
        <f>VALUE(LEFT(AD199,4))-VALUE(LEFT(AD198,4))</f>
        <v>1</v>
      </c>
      <c r="Y199" s="247">
        <f>RIGHT(D199,LEN(D199)-4)/10000</f>
        <v>5.1999999999999998E-2</v>
      </c>
      <c r="Z199" s="247">
        <f>RIGHT(H199,LEN(H199)-4)/10000</f>
        <v>2.3308</v>
      </c>
      <c r="AA199" s="247">
        <f>ABS(Z199-Y199)</f>
        <v>2.2787999999999999</v>
      </c>
      <c r="AB199" s="233" t="e">
        <f>VLOOKUP(A199,Enforcements!$C$7:$K$9,8,0)</f>
        <v>#N/A</v>
      </c>
      <c r="AC199" s="232" t="e">
        <f>VLOOKUP(A199,Enforcements!$C$7:$E$9,3,0)</f>
        <v>#N/A</v>
      </c>
      <c r="AD199" s="243">
        <f>VALUE(LEFT(A199,LEN(A199)-3))</f>
        <v>301</v>
      </c>
      <c r="AE199" s="235" t="str">
        <f>"aws s3 cp "&amp;s3_bucket&amp;"/RTDC"&amp;B199&amp;"/ "&amp;search_path&amp;"\RTDC"&amp;B199&amp;"\"&amp;TEXT(F199,"YYYY-MM-DD")&amp;" --exclude ""*"" --recursive --include ""*"&amp;TEXT(F199,"YYYYMMDD")&amp;"*"" &amp; """&amp;walkandungz&amp;""" "&amp;search_path&amp;"\RTDC"&amp;B199&amp;"\"&amp;TEXT(F199,"YYYY-MM-DD")
&amp;" &amp; "&amp;"aws s3 cp "&amp;s3_bucket&amp;"/RTDC"&amp;B199&amp;"/ "&amp;search_path&amp;"\RTDC"&amp;B199&amp;"\"&amp;TEXT(F199+1,"YYYY-MM-DD")&amp;" --exclude ""*"" --recursive --include ""*"&amp;TEXT(F199+1,"YYYYMMDD")&amp;"*"" &amp; """&amp;walkandungz&amp;""" "&amp;search_path&amp;"\RTDC"&amp;B199&amp;"\"&amp;TEXT(F199+1,"YYYY-MM-DD")</f>
        <v>aws s3 cp s3://rtdc.mdm.uploadarchive.raw/RTDC4034/ "%USERPROFILE%\AppData\Local\Temp\OnboardLogs"\RTDC4034\2018-01-06 --exclude "*" --recursive --include "*20180106*" &amp; "%USERPROFILE%\Documents\GitHub\mrs-test-scripts\Headless Mode &amp; Sideloading\WalkAndUnGZ.bat" "%USERPROFILE%\AppData\Local\Temp\OnboardLogs"\RTDC4034\2018-01-06 &amp; aws s3 cp s3://rtdc.mdm.uploadarchive.raw/RTDC4034/ "%USERPROFILE%\AppData\Local\Temp\OnboardLogs"\RTDC4034\2018-01-07 --exclude "*" --recursive --include "*20180107*" &amp; "%USERPROFILE%\Documents\GitHub\mrs-test-scripts\Headless Mode &amp; Sideloading\WalkAndUnGZ.bat" "%USERPROFILE%\AppData\Local\Temp\OnboardLogs"\RTDC4034\2018-01-07</v>
      </c>
      <c r="AF199" s="234" t="str">
        <f>astrogrep_path&amp;" /e /r /s /spath="&amp;search_path&amp;" /stypes=""app*"&amp;B199&amp;"*"&amp;TEXT(I199-utc_offset/24,"YYYYMMDD")&amp;"*"" /stext="" "&amp;TEXT(I199-utc_offset/24,"HH")&amp;search_regexp&amp;""""</f>
        <v>"C:\Program Files (x86)\AstroGrep\AstroGrep.exe" /e /r /s /spath="%USERPROFILE%\AppData\Local\Temp\OnboardLogs" /stypes="app*4034*20180107*" /stext=" 02:.+((SYSTEM_STATE.+slice.+state.+changed )|(ment ac)|(multiple cpu faults)|(system.+state.+changed )|(\[timeout)|(PRM\|1\|D)|(kpr)|(kdp)|(train st.+moving)|(\|lc)|(penalty))"</v>
      </c>
      <c r="AG199" s="244" t="str">
        <f>DetSubdiv(A199)</f>
        <v>Other</v>
      </c>
      <c r="AH199" s="236" t="str">
        <f t="shared" si="36"/>
        <v>"%USERPROFILE%\Documents\GitHub\eaglep3\Utilities\RefineRTDCRunTimes.py" --tripid 301-06 --locoid 4034 --swversion DE.1.0.9.0 --startMP 204:520 --initTime 2018-01-06T18:56:32 --startdatetime 2018-01-06T19:04:32 --delay 69 --endMP 300:23308 --enddatetime 2018-01-06T19:14:23 --enforcementcount 0 &gt;&gt;%USERPROFILE%\Documents\GitHub\eaglep3-reporting\EC\2018-01-06-refined-times.txt</v>
      </c>
      <c r="AI199" s="238" t="str">
        <f t="shared" si="37"/>
        <v>echo {"issue":{"subject":"","project_id":79,"tracker_id":40,"status_id":1,"priority_id":2,"assigned_to_id":338,"start_date":"2018-01-06","description":"","custom_fields":[{"id":1,"name":"Subdivision","value":"Other"},{"id":4,"name":"Milepost","value":"2.3308"},{"id":17,"name":"Train ID","value":"301-06"},{"id":16,"name":"Locomotive ID","value":"4034"},{"id":130,"name":"Impact","value":""},{"id":150,"name":"Time of Event (Mountain Time)","value":"19:14:23"},{"id":151,"name":"Denver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9" s="223"/>
      <c r="AK199" s="231"/>
      <c r="AL199" s="231"/>
      <c r="AM199" s="240" t="str">
        <f t="shared" si="38"/>
        <v>start /low /b %USERPROFILE%\Documents\GitHub\eaglep3\Utilities\DownloadLogsFromS3.py --loco 4034 --day 2018-01-06</v>
      </c>
      <c r="AN199" s="241" t="str">
        <f t="shared" si="39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02:14:23"},{"id":29,"name":"Sharepoint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 s="230" t="str">
        <f t="shared" si="40"/>
        <v>https://d0f6bd738d7f1b3e5a7ca70fe4ff75f0.us-east-1.aws.found.io/app/kibana#/discover/Steve-Slow-Train-Analysis-(2080s-and-2083s)?_g=(refreshInterval:(display:Off,pause:!f,section:0,value:0),time:(from:'2018-01-06T17:56:32-0700',mode:absolute,to:'2018-01-06T20:14:23-0700'))&amp;_a=(columns:!('Message%20ID',Summary),filters:!(),index:'emp_*',interval:auto,query:(query_string:(analyze_wildcard:!t,query:'%22rtdc.l.rtdc.4034%22')),sort:!(Time.ISO8601,asc))</v>
      </c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s="223" customFormat="1" x14ac:dyDescent="0.3">
      <c r="A200" s="229" t="s">
        <v>698</v>
      </c>
      <c r="B200" s="225">
        <v>4063</v>
      </c>
      <c r="C200" s="227" t="s">
        <v>192</v>
      </c>
      <c r="D200" s="227" t="s">
        <v>1021</v>
      </c>
      <c r="E200" s="226">
        <v>43106.145173611112</v>
      </c>
      <c r="F200" s="226">
        <v>43106.149942129632</v>
      </c>
      <c r="G200" s="225">
        <v>56</v>
      </c>
      <c r="H200" s="227" t="s">
        <v>1022</v>
      </c>
      <c r="I200" s="226">
        <v>43106.15415509259</v>
      </c>
      <c r="J200" s="225">
        <v>0</v>
      </c>
      <c r="K200" s="237" t="str">
        <f>IF(ISEVEN(B200),(B200-1)&amp;"/"&amp;B200,B200&amp;"/"&amp;(B200+1))</f>
        <v>4063/4064</v>
      </c>
      <c r="L200" s="245" t="str">
        <f>VLOOKUP(A200,'Trips&amp;Operators'!$C$1:$G$99911,5,FALSE)</f>
        <v>LANGERAK WILLIAM</v>
      </c>
      <c r="M200" s="224">
        <f>I200-F200</f>
        <v>4.2129629582632333E-3</v>
      </c>
      <c r="N200" s="225">
        <f>24*60*SUM($M200:$M200)</f>
        <v>6.066666659899056</v>
      </c>
      <c r="O200" s="225"/>
      <c r="P200" s="225"/>
      <c r="Q200" s="228"/>
      <c r="R200" s="242"/>
      <c r="S200" s="249">
        <f>1/IF(AG200="EC",12,1)*SUM(U200:U200)</f>
        <v>1</v>
      </c>
      <c r="T200" s="242" t="str">
        <f>IF(ISEVEN(LEFT(AD200,4)),"Southbound","NorthBound")</f>
        <v>Southbound</v>
      </c>
      <c r="U200" s="246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248" t="str">
        <f>"https://d0f6bd738d7f1b3e5a7ca70fe4ff75f0.us-east-1.aws.found.io/app/kibana#/discover/Steve-Slow-Train-Analysis-(2080s-and-2083s)?_g="&amp;"(refreshInterval:(display:Off,pause:!f,section:0,value:0),time:(from:'"&amp;TEXT(E200-1/24,"yyyy-MM-DDThh:mm:ss")&amp;utc_offset&amp;"00"&amp;"',mode:absolute,to:'"&amp;TEXT(I200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200&amp;"%22')),sort:!(Time.ISO8601,asc))"</f>
        <v>https://d0f6bd738d7f1b3e5a7ca70fe4ff75f0.us-east-1.aws.found.io/app/kibana#/discover/Steve-Slow-Train-Analysis-(2080s-and-2083s)?_g=(refreshInterval:(display:Off,pause:!f,section:0,value:0),time:(from:'2018-01-06T02:29:03-0700',mode:absolute,to:'2018-01-06T04:41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00" s="247" t="str">
        <f>IF(AA200&lt;VLOOKUP(AG200,Variables!$AC$3:$AD$8,2,FALSE),"Y","N")</f>
        <v>Y</v>
      </c>
      <c r="X200" s="247">
        <f>VALUE(LEFT(AD200,4))-VALUE(LEFT(AD199,4))</f>
        <v>1</v>
      </c>
      <c r="Y200" s="247">
        <f>RIGHT(D200,LEN(D200)-4)/10000</f>
        <v>2.2772999999999999</v>
      </c>
      <c r="Z200" s="247">
        <f>RIGHT(H200,LEN(H200)-4)/10000</f>
        <v>2.7099999999999999E-2</v>
      </c>
      <c r="AA200" s="247">
        <f>ABS(Z200-Y200)</f>
        <v>2.2502</v>
      </c>
      <c r="AB200" s="233" t="e">
        <f>VLOOKUP(A200,Enforcements!$C$7:$K$9,8,0)</f>
        <v>#N/A</v>
      </c>
      <c r="AC200" s="232" t="e">
        <f>VLOOKUP(A200,Enforcements!$C$7:$E$9,3,0)</f>
        <v>#N/A</v>
      </c>
      <c r="AD200" s="243">
        <f>VALUE(LEFT(A200,LEN(A200)-3))</f>
        <v>302</v>
      </c>
      <c r="AE200" s="235" t="str">
        <f>"aws s3 cp "&amp;s3_bucket&amp;"/RTDC"&amp;B200&amp;"/ "&amp;search_path&amp;"\RTDC"&amp;B200&amp;"\"&amp;TEXT(F200,"YYYY-MM-DD")&amp;" --exclude ""*"" --recursive --include ""*"&amp;TEXT(F200,"YYYYMMDD")&amp;"*"" &amp; """&amp;walkandungz&amp;""" "&amp;search_path&amp;"\RTDC"&amp;B200&amp;"\"&amp;TEXT(F200,"YYYY-MM-DD")
&amp;" &amp; "&amp;"aws s3 cp "&amp;s3_bucket&amp;"/RTDC"&amp;B200&amp;"/ "&amp;search_path&amp;"\RTDC"&amp;B200&amp;"\"&amp;TEXT(F200+1,"YYYY-MM-DD")&amp;" --exclude ""*"" --recursive --include ""*"&amp;TEXT(F200+1,"YYYYMMDD")&amp;"*"" &amp; """&amp;walkandungz&amp;""" "&amp;search_path&amp;"\RTDC"&amp;B200&amp;"\"&amp;TEXT(F200+1,"YYYY-MM-DD")</f>
        <v>aws s3 cp s3://rtdc.mdm.uploadarchive.raw/RTDC4063/ "%USERPROFILE%\AppData\Local\Temp\OnboardLogs"\RTDC4063\2018-01-06 --exclude "*" --recursive --include "*20180106*" &amp; "%USERPROFILE%\Documents\GitHub\mrs-test-scripts\Headless Mode &amp; Sideloading\WalkAndUnGZ.bat" "%USERPROFILE%\AppData\Local\Temp\OnboardLogs"\RTDC4063\2018-01-06 &amp; aws s3 cp s3://rtdc.mdm.uploadarchive.raw/RTDC4063/ "%USERPROFILE%\AppData\Local\Temp\OnboardLogs"\RTDC4063\2018-01-07 --exclude "*" --recursive --include "*20180107*" &amp; "%USERPROFILE%\Documents\GitHub\mrs-test-scripts\Headless Mode &amp; Sideloading\WalkAndUnGZ.bat" "%USERPROFILE%\AppData\Local\Temp\OnboardLogs"\RTDC4063\2018-01-07</v>
      </c>
      <c r="AF200" s="234" t="str">
        <f>astrogrep_path&amp;" /e /r /s /spath="&amp;search_path&amp;" /stypes=""app*"&amp;B200&amp;"*"&amp;TEXT(I200-utc_offset/24,"YYYYMMDD")&amp;"*"" /stext="" "&amp;TEXT(I200-utc_offset/24,"HH")&amp;search_regexp&amp;""""</f>
        <v>"C:\Program Files (x86)\AstroGrep\AstroGrep.exe" /e /r /s /spath="%USERPROFILE%\AppData\Local\Temp\OnboardLogs" /stypes="app*4063*20180106*" /stext=" 10:.+((SYSTEM_STATE.+slice.+state.+changed )|(ment ac)|(multiple cpu faults)|(system.+state.+changed )|(\[timeout)|(PRM\|1\|D)|(kpr)|(kdp)|(train st.+moving)|(\|lc)|(penalty))"</v>
      </c>
      <c r="AG200" s="244" t="str">
        <f>DetSubdiv(A200)</f>
        <v>Other</v>
      </c>
      <c r="AH200" s="236" t="str">
        <f t="shared" si="36"/>
        <v>"%USERPROFILE%\Documents\GitHub\eaglep3\Utilities\RefineRTDCRunTimes.py" --tripid 302-06 --locoid 4063 --swversion DE.1.0.9.0 --startMP 300:22773 --initTime 2018-01-06T03:29:03 --startdatetime 2018-01-06T03:35:55 --delay 56 --endMP 204:271 --enddatetime 2018-01-06T03:41:59 --enforcementcount 0 &gt;&gt;%USERPROFILE%\Documents\GitHub\eaglep3-reporting\EC\2018-01-06-refined-times.txt</v>
      </c>
      <c r="AI200" s="238" t="str">
        <f t="shared" si="37"/>
        <v>echo {"issue":{"subject":"","project_id":79,"tracker_id":40,"status_id":1,"priority_id":2,"assigned_to_id":338,"start_date":"2018-01-06","description":"","custom_fields":[{"id":1,"name":"Subdivision","value":"Other"},{"id":4,"name":"Milepost","value":"0.0271"},{"id":17,"name":"Train ID","value":"302-06"},{"id":16,"name":"Locomotive ID","value":"4063"},{"id":130,"name":"Impact","value":""},{"id":150,"name":"Time of Event (Mountain Time)","value":"03:41:59"},{"id":151,"name":"Denver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0" s="231"/>
      <c r="AL200" s="231"/>
      <c r="AM200" s="240" t="str">
        <f t="shared" si="38"/>
        <v>start /low /b %USERPROFILE%\Documents\GitHub\eaglep3\Utilities\DownloadLogsFromS3.py --loco 4063 --day 2018-01-06</v>
      </c>
      <c r="AN200" s="241" t="str">
        <f t="shared" si="39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10:41:59"},{"id":29,"name":"Sharepoint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 s="230" t="str">
        <f t="shared" si="40"/>
        <v>https://d0f6bd738d7f1b3e5a7ca70fe4ff75f0.us-east-1.aws.found.io/app/kibana#/discover/Steve-Slow-Train-Analysis-(2080s-and-2083s)?_g=(refreshInterval:(display:Off,pause:!f,section:0,value:0),time:(from:'2018-01-06T02:29:03-0700',mode:absolute,to:'2018-01-06T04:41:59-0700'))&amp;_a=(columns:!('Message%20ID',Summary),filters:!(),index:'emp_*',interval:auto,query:(query_string:(analyze_wildcard:!t,query:'%22rtdc.l.rtdc.4063%22')),sort:!(Time.ISO8601,asc))</v>
      </c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s="20" customFormat="1" x14ac:dyDescent="0.3">
      <c r="A201" s="229" t="s">
        <v>857</v>
      </c>
      <c r="B201" s="225">
        <v>4054</v>
      </c>
      <c r="C201" s="227" t="s">
        <v>192</v>
      </c>
      <c r="D201" s="227" t="s">
        <v>1023</v>
      </c>
      <c r="E201" s="226">
        <v>43106.796956018516</v>
      </c>
      <c r="F201" s="226">
        <v>43106.799907407411</v>
      </c>
      <c r="G201" s="225">
        <v>81</v>
      </c>
      <c r="H201" s="227" t="s">
        <v>1020</v>
      </c>
      <c r="I201" s="226">
        <v>43106.806134259263</v>
      </c>
      <c r="J201" s="225">
        <v>0</v>
      </c>
      <c r="K201" s="237" t="str">
        <f>IF(ISEVEN(B201),(B201-1)&amp;"/"&amp;B201,B201&amp;"/"&amp;(B201+1))</f>
        <v>4053/4054</v>
      </c>
      <c r="L201" s="245" t="str">
        <f>VLOOKUP(A201,'Trips&amp;Operators'!$C$1:$G$99911,5,FALSE)</f>
        <v>GONZALEZ ARMANDO</v>
      </c>
      <c r="M201" s="224">
        <f>I201-F201</f>
        <v>6.2268518522614613E-3</v>
      </c>
      <c r="N201" s="225">
        <f>24*60*SUM($M201:$M201)</f>
        <v>8.9666666672565043</v>
      </c>
      <c r="O201" s="225"/>
      <c r="P201" s="225"/>
      <c r="Q201" s="228"/>
      <c r="R201" s="242"/>
      <c r="S201" s="249">
        <f>1/IF(AG201="EC",12,1)*SUM(U201:U201)</f>
        <v>1</v>
      </c>
      <c r="T201" s="242" t="str">
        <f>IF(ISEVEN(LEFT(AD201,4)),"Southbound","NorthBound")</f>
        <v>NorthBound</v>
      </c>
      <c r="U201" s="246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248" t="str">
        <f>"https://d0f6bd738d7f1b3e5a7ca70fe4ff75f0.us-east-1.aws.found.io/app/kibana#/discover/Steve-Slow-Train-Analysis-(2080s-and-2083s)?_g="&amp;"(refreshInterval:(display:Off,pause:!f,section:0,value:0),time:(from:'"&amp;TEXT(E201-1/24,"yyyy-MM-DDThh:mm:ss")&amp;utc_offset&amp;"00"&amp;"',mode:absolute,to:'"&amp;TEXT(I201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201&amp;"%22')),sort:!(Time.ISO8601,asc))"</f>
        <v>https://d0f6bd738d7f1b3e5a7ca70fe4ff75f0.us-east-1.aws.found.io/app/kibana#/discover/Steve-Slow-Train-Analysis-(2080s-and-2083s)?_g=(refreshInterval:(display:Off,pause:!f,section:0,value:0),time:(from:'2018-01-06T18:07:37-0700',mode:absolute,to:'2018-01-06T20:20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01" s="247" t="str">
        <f>IF(AA201&lt;VLOOKUP(AG201,Variables!$AC$3:$AD$8,2,FALSE),"Y","N")</f>
        <v>Y</v>
      </c>
      <c r="X201" s="247">
        <f>VALUE(LEFT(AD201,4))-VALUE(LEFT(AD200,4))</f>
        <v>1</v>
      </c>
      <c r="Y201" s="247">
        <f>RIGHT(D201,LEN(D201)-4)/10000</f>
        <v>0.1303</v>
      </c>
      <c r="Z201" s="247">
        <f>RIGHT(H201,LEN(H201)-4)/10000</f>
        <v>2.3308</v>
      </c>
      <c r="AA201" s="247">
        <f>ABS(Z201-Y201)</f>
        <v>2.2004999999999999</v>
      </c>
      <c r="AB201" s="233" t="e">
        <f>VLOOKUP(A201,Enforcements!$C$7:$K$9,8,0)</f>
        <v>#N/A</v>
      </c>
      <c r="AC201" s="232" t="e">
        <f>VLOOKUP(A201,Enforcements!$C$7:$E$9,3,0)</f>
        <v>#N/A</v>
      </c>
      <c r="AD201" s="243">
        <f>VALUE(LEFT(A201,LEN(A201)-3))</f>
        <v>303</v>
      </c>
      <c r="AE201" s="235" t="str">
        <f>"aws s3 cp "&amp;s3_bucket&amp;"/RTDC"&amp;B201&amp;"/ "&amp;search_path&amp;"\RTDC"&amp;B201&amp;"\"&amp;TEXT(F201,"YYYY-MM-DD")&amp;" --exclude ""*"" --recursive --include ""*"&amp;TEXT(F201,"YYYYMMDD")&amp;"*"" &amp; """&amp;walkandungz&amp;""" "&amp;search_path&amp;"\RTDC"&amp;B201&amp;"\"&amp;TEXT(F201,"YYYY-MM-DD")
&amp;" &amp; "&amp;"aws s3 cp "&amp;s3_bucket&amp;"/RTDC"&amp;B201&amp;"/ "&amp;search_path&amp;"\RTDC"&amp;B201&amp;"\"&amp;TEXT(F201+1,"YYYY-MM-DD")&amp;" --exclude ""*"" --recursive --include ""*"&amp;TEXT(F201+1,"YYYYMMDD")&amp;"*"" &amp; """&amp;walkandungz&amp;""" "&amp;search_path&amp;"\RTDC"&amp;B201&amp;"\"&amp;TEXT(F201+1,"YYYY-MM-DD")</f>
        <v>aws s3 cp s3://rtdc.mdm.uploadarchive.raw/RTDC4054/ "%USERPROFILE%\AppData\Local\Temp\OnboardLogs"\RTDC4054\2018-01-06 --exclude "*" --recursive --include "*20180106*" &amp; "%USERPROFILE%\Documents\GitHub\mrs-test-scripts\Headless Mode &amp; Sideloading\WalkAndUnGZ.bat" "%USERPROFILE%\AppData\Local\Temp\OnboardLogs"\RTDC4054\2018-01-06 &amp; aws s3 cp s3://rtdc.mdm.uploadarchive.raw/RTDC4054/ "%USERPROFILE%\AppData\Local\Temp\OnboardLogs"\RTDC4054\2018-01-07 --exclude "*" --recursive --include "*20180107*" &amp; "%USERPROFILE%\Documents\GitHub\mrs-test-scripts\Headless Mode &amp; Sideloading\WalkAndUnGZ.bat" "%USERPROFILE%\AppData\Local\Temp\OnboardLogs"\RTDC4054\2018-01-07</v>
      </c>
      <c r="AF201" s="234" t="str">
        <f>astrogrep_path&amp;" /e /r /s /spath="&amp;search_path&amp;" /stypes=""app*"&amp;B201&amp;"*"&amp;TEXT(I201-utc_offset/24,"YYYYMMDD")&amp;"*"" /stext="" "&amp;TEXT(I201-utc_offset/24,"HH")&amp;search_regexp&amp;""""</f>
        <v>"C:\Program Files (x86)\AstroGrep\AstroGrep.exe" /e /r /s /spath="%USERPROFILE%\AppData\Local\Temp\OnboardLogs" /stypes="app*4054*20180107*" /stext=" 02:.+((SYSTEM_STATE.+slice.+state.+changed )|(ment ac)|(multiple cpu faults)|(system.+state.+changed )|(\[timeout)|(PRM\|1\|D)|(kpr)|(kdp)|(train st.+moving)|(\|lc)|(penalty))"</v>
      </c>
      <c r="AG201" s="244" t="str">
        <f>DetSubdiv(A201)</f>
        <v>Other</v>
      </c>
      <c r="AH201" s="236" t="str">
        <f t="shared" si="36"/>
        <v>"%USERPROFILE%\Documents\GitHub\eaglep3\Utilities\RefineRTDCRunTimes.py" --tripid 303-06 --locoid 4054 --swversion DE.1.0.9.0 --startMP 204:1303 --initTime 2018-01-06T19:07:37 --startdatetime 2018-01-06T19:11:52 --delay 81 --endMP 300:23308 --enddatetime 2018-01-06T19:20:50 --enforcementcount 0 &gt;&gt;%USERPROFILE%\Documents\GitHub\eaglep3-reporting\EC\2018-01-06-refined-times.txt</v>
      </c>
      <c r="AI201" s="238" t="str">
        <f t="shared" si="37"/>
        <v>echo {"issue":{"subject":"","project_id":79,"tracker_id":40,"status_id":1,"priority_id":2,"assigned_to_id":338,"start_date":"2018-01-06","description":"","custom_fields":[{"id":1,"name":"Subdivision","value":"Other"},{"id":4,"name":"Milepost","value":"2.3308"},{"id":17,"name":"Train ID","value":"303-06"},{"id":16,"name":"Locomotive ID","value":"4054"},{"id":130,"name":"Impact","value":""},{"id":150,"name":"Time of Event (Mountain Time)","value":"19:20:50"},{"id":151,"name":"Denver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1" s="223"/>
      <c r="AK201" s="231"/>
      <c r="AL201" s="231"/>
      <c r="AM201" s="240" t="str">
        <f t="shared" si="38"/>
        <v>start /low /b %USERPROFILE%\Documents\GitHub\eaglep3\Utilities\DownloadLogsFromS3.py --loco 4054 --day 2018-01-06</v>
      </c>
      <c r="AN201" s="241" t="str">
        <f t="shared" si="39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02:20:50"},{"id":29,"name":"Sharepoint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 s="230" t="str">
        <f t="shared" si="40"/>
        <v>https://d0f6bd738d7f1b3e5a7ca70fe4ff75f0.us-east-1.aws.found.io/app/kibana#/discover/Steve-Slow-Train-Analysis-(2080s-and-2083s)?_g=(refreshInterval:(display:Off,pause:!f,section:0,value:0),time:(from:'2018-01-06T18:07:37-0700',mode:absolute,to:'2018-01-06T20:20:50-0700'))&amp;_a=(columns:!('Message%20ID',Summary),filters:!(),index:'emp_*',interval:auto,query:(query_string:(analyze_wildcard:!t,query:'%22rtdc.l.rtdc.4054%22')),sort:!(Time.ISO8601,asc))</v>
      </c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s="223" customFormat="1" x14ac:dyDescent="0.3">
      <c r="A202" s="229" t="s">
        <v>702</v>
      </c>
      <c r="B202" s="225">
        <v>4029</v>
      </c>
      <c r="C202" s="227" t="s">
        <v>192</v>
      </c>
      <c r="D202" s="227" t="s">
        <v>1024</v>
      </c>
      <c r="E202" s="226">
        <v>43106.156909722224</v>
      </c>
      <c r="F202" s="226">
        <v>43106.161249999997</v>
      </c>
      <c r="G202" s="225">
        <v>113</v>
      </c>
      <c r="H202" s="227" t="s">
        <v>564</v>
      </c>
      <c r="I202" s="226">
        <v>43106.166539351849</v>
      </c>
      <c r="J202" s="225">
        <v>0</v>
      </c>
      <c r="K202" s="237" t="str">
        <f>IF(ISEVEN(B202),(B202-1)&amp;"/"&amp;B202,B202&amp;"/"&amp;(B202+1))</f>
        <v>4029/4030</v>
      </c>
      <c r="L202" s="245" t="str">
        <f>VLOOKUP(A202,'Trips&amp;Operators'!$C$1:$G$99911,5,FALSE)</f>
        <v>LOPES KIMBERLY</v>
      </c>
      <c r="M202" s="224">
        <f>I202-F202</f>
        <v>5.2893518513883464E-3</v>
      </c>
      <c r="N202" s="225">
        <f>24*60*SUM($M202:$M202)</f>
        <v>7.6166666659992188</v>
      </c>
      <c r="O202" s="225"/>
      <c r="P202" s="225"/>
      <c r="Q202" s="228"/>
      <c r="R202" s="242"/>
      <c r="S202" s="249">
        <f>1/IF(AG202="EC",12,1)*SUM(U202:U202)</f>
        <v>1</v>
      </c>
      <c r="T202" s="242" t="str">
        <f>IF(ISEVEN(LEFT(AD202,4)),"Southbound","NorthBound")</f>
        <v>Southbound</v>
      </c>
      <c r="U202" s="246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248" t="str">
        <f>"https://d0f6bd738d7f1b3e5a7ca70fe4ff75f0.us-east-1.aws.found.io/app/kibana#/discover/Steve-Slow-Train-Analysis-(2080s-and-2083s)?_g="&amp;"(refreshInterval:(display:Off,pause:!f,section:0,value:0),time:(from:'"&amp;TEXT(E202-1/24,"yyyy-MM-DDThh:mm:ss")&amp;utc_offset&amp;"00"&amp;"',mode:absolute,to:'"&amp;TEXT(I202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202&amp;"%22')),sort:!(Time.ISO8601,asc))"</f>
        <v>https://d0f6bd738d7f1b3e5a7ca70fe4ff75f0.us-east-1.aws.found.io/app/kibana#/discover/Steve-Slow-Train-Analysis-(2080s-and-2083s)?_g=(refreshInterval:(display:Off,pause:!f,section:0,value:0),time:(from:'2018-01-06T02:45:57-0700',mode:absolute,to:'2018-01-06T04:59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02" s="247" t="str">
        <f>IF(AA202&lt;VLOOKUP(AG202,Variables!$AC$3:$AD$8,2,FALSE),"Y","N")</f>
        <v>Y</v>
      </c>
      <c r="X202" s="247">
        <f>VALUE(LEFT(AD202,4))-VALUE(LEFT(AD201,4))</f>
        <v>1</v>
      </c>
      <c r="Y202" s="247">
        <f>RIGHT(D202,LEN(D202)-4)/10000</f>
        <v>2.3449</v>
      </c>
      <c r="Z202" s="247">
        <f>RIGHT(H202,LEN(H202)-4)/10000</f>
        <v>2.29E-2</v>
      </c>
      <c r="AA202" s="247">
        <f>ABS(Z202-Y202)</f>
        <v>2.3220000000000001</v>
      </c>
      <c r="AB202" s="233" t="e">
        <f>VLOOKUP(A202,Enforcements!$C$7:$K$9,8,0)</f>
        <v>#N/A</v>
      </c>
      <c r="AC202" s="232" t="e">
        <f>VLOOKUP(A202,Enforcements!$C$7:$E$9,3,0)</f>
        <v>#N/A</v>
      </c>
      <c r="AD202" s="243">
        <f>VALUE(LEFT(A202,LEN(A202)-3))</f>
        <v>304</v>
      </c>
      <c r="AE202" s="235" t="str">
        <f>"aws s3 cp "&amp;s3_bucket&amp;"/RTDC"&amp;B202&amp;"/ "&amp;search_path&amp;"\RTDC"&amp;B202&amp;"\"&amp;TEXT(F202,"YYYY-MM-DD")&amp;" --exclude ""*"" --recursive --include ""*"&amp;TEXT(F202,"YYYYMMDD")&amp;"*"" &amp; """&amp;walkandungz&amp;""" "&amp;search_path&amp;"\RTDC"&amp;B202&amp;"\"&amp;TEXT(F202,"YYYY-MM-DD")
&amp;" &amp; "&amp;"aws s3 cp "&amp;s3_bucket&amp;"/RTDC"&amp;B202&amp;"/ "&amp;search_path&amp;"\RTDC"&amp;B202&amp;"\"&amp;TEXT(F202+1,"YYYY-MM-DD")&amp;" --exclude ""*"" --recursive --include ""*"&amp;TEXT(F202+1,"YYYYMMDD")&amp;"*"" &amp; """&amp;walkandungz&amp;""" "&amp;search_path&amp;"\RTDC"&amp;B202&amp;"\"&amp;TEXT(F202+1,"YYYY-MM-DD")</f>
        <v>aws s3 cp s3://rtdc.mdm.uploadarchive.raw/RTDC4029/ "%USERPROFILE%\AppData\Local\Temp\OnboardLogs"\RTDC4029\2018-01-06 --exclude "*" --recursive --include "*20180106*" &amp; "%USERPROFILE%\Documents\GitHub\mrs-test-scripts\Headless Mode &amp; Sideloading\WalkAndUnGZ.bat" "%USERPROFILE%\AppData\Local\Temp\OnboardLogs"\RTDC4029\2018-01-06 &amp; aws s3 cp s3://rtdc.mdm.uploadarchive.raw/RTDC4029/ "%USERPROFILE%\AppData\Local\Temp\OnboardLogs"\RTDC4029\2018-01-07 --exclude "*" --recursive --include "*20180107*" &amp; "%USERPROFILE%\Documents\GitHub\mrs-test-scripts\Headless Mode &amp; Sideloading\WalkAndUnGZ.bat" "%USERPROFILE%\AppData\Local\Temp\OnboardLogs"\RTDC4029\2018-01-07</v>
      </c>
      <c r="AF202" s="234" t="str">
        <f>astrogrep_path&amp;" /e /r /s /spath="&amp;search_path&amp;" /stypes=""app*"&amp;B202&amp;"*"&amp;TEXT(I202-utc_offset/24,"YYYYMMDD")&amp;"*"" /stext="" "&amp;TEXT(I202-utc_offset/24,"HH")&amp;search_regexp&amp;""""</f>
        <v>"C:\Program Files (x86)\AstroGrep\AstroGrep.exe" /e /r /s /spath="%USERPROFILE%\AppData\Local\Temp\OnboardLogs" /stypes="app*4029*20180106*" /stext=" 10:.+((SYSTEM_STATE.+slice.+state.+changed )|(ment ac)|(multiple cpu faults)|(system.+state.+changed )|(\[timeout)|(PRM\|1\|D)|(kpr)|(kdp)|(train st.+moving)|(\|lc)|(penalty))"</v>
      </c>
      <c r="AG202" s="244" t="str">
        <f>DetSubdiv(A202)</f>
        <v>Other</v>
      </c>
      <c r="AH202" s="236" t="str">
        <f t="shared" si="36"/>
        <v>"%USERPROFILE%\Documents\GitHub\eaglep3\Utilities\RefineRTDCRunTimes.py" --tripid 304-06 --locoid 4029 --swversion DE.1.0.9.0 --startMP 300:23449 --initTime 2018-01-06T03:45:57 --startdatetime 2018-01-06T03:52:12 --delay 113 --endMP 204:229 --enddatetime 2018-01-06T03:59:49 --enforcementcount 0 &gt;&gt;%USERPROFILE%\Documents\GitHub\eaglep3-reporting\EC\2018-01-06-refined-times.txt</v>
      </c>
      <c r="AI202" s="238" t="str">
        <f t="shared" si="37"/>
        <v>echo {"issue":{"subject":"","project_id":79,"tracker_id":40,"status_id":1,"priority_id":2,"assigned_to_id":338,"start_date":"2018-01-06","description":"","custom_fields":[{"id":1,"name":"Subdivision","value":"Other"},{"id":4,"name":"Milepost","value":"0.0229"},{"id":17,"name":"Train ID","value":"304-06"},{"id":16,"name":"Locomotive ID","value":"4029"},{"id":130,"name":"Impact","value":""},{"id":150,"name":"Time of Event (Mountain Time)","value":"03:59:49"},{"id":151,"name":"Denver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2" s="231"/>
      <c r="AL202" s="231"/>
      <c r="AM202" s="240" t="str">
        <f t="shared" si="38"/>
        <v>start /low /b %USERPROFILE%\Documents\GitHub\eaglep3\Utilities\DownloadLogsFromS3.py --loco 4029 --day 2018-01-06</v>
      </c>
      <c r="AN202" s="241" t="str">
        <f t="shared" si="39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10:59:49"},{"id":29,"name":"Sharepoint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 s="230" t="str">
        <f t="shared" si="40"/>
        <v>https://d0f6bd738d7f1b3e5a7ca70fe4ff75f0.us-east-1.aws.found.io/app/kibana#/discover/Steve-Slow-Train-Analysis-(2080s-and-2083s)?_g=(refreshInterval:(display:Off,pause:!f,section:0,value:0),time:(from:'2018-01-06T02:45:57-0700',mode:absolute,to:'2018-01-06T04:59:49-0700'))&amp;_a=(columns:!('Message%20ID',Summary),filters:!(),index:'emp_*',interval:auto,query:(query_string:(analyze_wildcard:!t,query:'%22rtdc.l.rtdc.4029%22')),sort:!(Time.ISO8601,asc))</v>
      </c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s="223" customFormat="1" x14ac:dyDescent="0.3">
      <c r="A203" s="229" t="s">
        <v>859</v>
      </c>
      <c r="B203" s="225">
        <v>4060</v>
      </c>
      <c r="C203" s="227" t="s">
        <v>192</v>
      </c>
      <c r="D203" s="227" t="s">
        <v>486</v>
      </c>
      <c r="E203" s="226">
        <v>43106.819050925929</v>
      </c>
      <c r="F203" s="226">
        <v>43106.820451388892</v>
      </c>
      <c r="G203" s="225">
        <v>50</v>
      </c>
      <c r="H203" s="227" t="s">
        <v>1025</v>
      </c>
      <c r="I203" s="226">
        <v>43106.826469907406</v>
      </c>
      <c r="J203" s="225">
        <v>0</v>
      </c>
      <c r="K203" s="237" t="str">
        <f>IF(ISEVEN(B203),(B203-1)&amp;"/"&amp;B203,B203&amp;"/"&amp;(B203+1))</f>
        <v>4059/4060</v>
      </c>
      <c r="L203" s="245" t="str">
        <f>VLOOKUP(A203,'Trips&amp;Operators'!$C$1:$G$99911,5,FALSE)</f>
        <v>HOLCOMB KAMDEN</v>
      </c>
      <c r="M203" s="224">
        <f>I203-F203</f>
        <v>6.018518513883464E-3</v>
      </c>
      <c r="N203" s="225">
        <f>24*60*SUM($M203:$M203)</f>
        <v>8.6666666599921882</v>
      </c>
      <c r="O203" s="225"/>
      <c r="P203" s="225"/>
      <c r="Q203" s="228"/>
      <c r="R203" s="242"/>
      <c r="S203" s="249">
        <f>1/IF(AG203="EC",12,1)*SUM(U203:U203)</f>
        <v>1</v>
      </c>
      <c r="T203" s="242" t="str">
        <f>IF(ISEVEN(LEFT(AD203,4)),"Southbound","NorthBound")</f>
        <v>NorthBound</v>
      </c>
      <c r="U203" s="246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248" t="str">
        <f>"https://d0f6bd738d7f1b3e5a7ca70fe4ff75f0.us-east-1.aws.found.io/app/kibana#/discover/Steve-Slow-Train-Analysis-(2080s-and-2083s)?_g="&amp;"(refreshInterval:(display:Off,pause:!f,section:0,value:0),time:(from:'"&amp;TEXT(E203-1/24,"yyyy-MM-DDThh:mm:ss")&amp;utc_offset&amp;"00"&amp;"',mode:absolute,to:'"&amp;TEXT(I203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203&amp;"%22')),sort:!(Time.ISO8601,asc))"</f>
        <v>https://d0f6bd738d7f1b3e5a7ca70fe4ff75f0.us-east-1.aws.found.io/app/kibana#/discover/Steve-Slow-Train-Analysis-(2080s-and-2083s)?_g=(refreshInterval:(display:Off,pause:!f,section:0,value:0),time:(from:'2018-01-06T18:39:26-0700',mode:absolute,to:'2018-01-06T20:50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03" s="247" t="str">
        <f>IF(AA203&lt;VLOOKUP(AG203,Variables!$AC$3:$AD$8,2,FALSE),"Y","N")</f>
        <v>Y</v>
      </c>
      <c r="X203" s="247">
        <f>VALUE(LEFT(AD203,4))-VALUE(LEFT(AD202,4))</f>
        <v>1</v>
      </c>
      <c r="Y203" s="247">
        <f>RIGHT(D203,LEN(D203)-4)/10000</f>
        <v>4.9700000000000001E-2</v>
      </c>
      <c r="Z203" s="247">
        <f>RIGHT(H203,LEN(H203)-4)/10000</f>
        <v>2.3296999999999999</v>
      </c>
      <c r="AA203" s="247">
        <f>ABS(Z203-Y203)</f>
        <v>2.2799999999999998</v>
      </c>
      <c r="AB203" s="233" t="e">
        <f>VLOOKUP(A203,Enforcements!$C$7:$K$9,8,0)</f>
        <v>#N/A</v>
      </c>
      <c r="AC203" s="232" t="e">
        <f>VLOOKUP(A203,Enforcements!$C$7:$E$9,3,0)</f>
        <v>#N/A</v>
      </c>
      <c r="AD203" s="243">
        <f>VALUE(LEFT(A203,LEN(A203)-3))</f>
        <v>305</v>
      </c>
      <c r="AE203" s="235" t="str">
        <f>"aws s3 cp "&amp;s3_bucket&amp;"/RTDC"&amp;B203&amp;"/ "&amp;search_path&amp;"\RTDC"&amp;B203&amp;"\"&amp;TEXT(F203,"YYYY-MM-DD")&amp;" --exclude ""*"" --recursive --include ""*"&amp;TEXT(F203,"YYYYMMDD")&amp;"*"" &amp; """&amp;walkandungz&amp;""" "&amp;search_path&amp;"\RTDC"&amp;B203&amp;"\"&amp;TEXT(F203,"YYYY-MM-DD")
&amp;" &amp; "&amp;"aws s3 cp "&amp;s3_bucket&amp;"/RTDC"&amp;B203&amp;"/ "&amp;search_path&amp;"\RTDC"&amp;B203&amp;"\"&amp;TEXT(F203+1,"YYYY-MM-DD")&amp;" --exclude ""*"" --recursive --include ""*"&amp;TEXT(F203+1,"YYYYMMDD")&amp;"*"" &amp; """&amp;walkandungz&amp;""" "&amp;search_path&amp;"\RTDC"&amp;B203&amp;"\"&amp;TEXT(F203+1,"YYYY-MM-DD")</f>
        <v>aws s3 cp s3://rtdc.mdm.uploadarchive.raw/RTDC4060/ "%USERPROFILE%\AppData\Local\Temp\OnboardLogs"\RTDC4060\2018-01-06 --exclude "*" --recursive --include "*20180106*" &amp; "%USERPROFILE%\Documents\GitHub\mrs-test-scripts\Headless Mode &amp; Sideloading\WalkAndUnGZ.bat" "%USERPROFILE%\AppData\Local\Temp\OnboardLogs"\RTDC4060\2018-01-06 &amp; aws s3 cp s3://rtdc.mdm.uploadarchive.raw/RTDC4060/ "%USERPROFILE%\AppData\Local\Temp\OnboardLogs"\RTDC4060\2018-01-07 --exclude "*" --recursive --include "*20180107*" &amp; "%USERPROFILE%\Documents\GitHub\mrs-test-scripts\Headless Mode &amp; Sideloading\WalkAndUnGZ.bat" "%USERPROFILE%\AppData\Local\Temp\OnboardLogs"\RTDC4060\2018-01-07</v>
      </c>
      <c r="AF203" s="234" t="str">
        <f>astrogrep_path&amp;" /e /r /s /spath="&amp;search_path&amp;" /stypes=""app*"&amp;B203&amp;"*"&amp;TEXT(I203-utc_offset/24,"YYYYMMDD")&amp;"*"" /stext="" "&amp;TEXT(I203-utc_offset/24,"HH")&amp;search_regexp&amp;""""</f>
        <v>"C:\Program Files (x86)\AstroGrep\AstroGrep.exe" /e /r /s /spath="%USERPROFILE%\AppData\Local\Temp\OnboardLogs" /stypes="app*4060*20180107*" /stext=" 02:.+((SYSTEM_STATE.+slice.+state.+changed )|(ment ac)|(multiple cpu faults)|(system.+state.+changed )|(\[timeout)|(PRM\|1\|D)|(kpr)|(kdp)|(train st.+moving)|(\|lc)|(penalty))"</v>
      </c>
      <c r="AG203" s="244" t="str">
        <f>DetSubdiv(A203)</f>
        <v>Other</v>
      </c>
      <c r="AH203" s="236" t="str">
        <f t="shared" si="36"/>
        <v>"%USERPROFILE%\Documents\GitHub\eaglep3\Utilities\RefineRTDCRunTimes.py" --tripid 305-06 --locoid 4060 --swversion DE.1.0.9.0 --startMP 204:497 --initTime 2018-01-06T19:39:26 --startdatetime 2018-01-06T19:41:27 --delay 50 --endMP 300:23297 --enddatetime 2018-01-06T19:50:07 --enforcementcount 0 &gt;&gt;%USERPROFILE%\Documents\GitHub\eaglep3-reporting\EC\2018-01-06-refined-times.txt</v>
      </c>
      <c r="AI203" s="238" t="str">
        <f t="shared" si="37"/>
        <v>echo {"issue":{"subject":"","project_id":79,"tracker_id":40,"status_id":1,"priority_id":2,"assigned_to_id":338,"start_date":"2018-01-06","description":"","custom_fields":[{"id":1,"name":"Subdivision","value":"Other"},{"id":4,"name":"Milepost","value":"2.3297"},{"id":17,"name":"Train ID","value":"305-06"},{"id":16,"name":"Locomotive ID","value":"4060"},{"id":130,"name":"Impact","value":""},{"id":150,"name":"Time of Event (Mountain Time)","value":"19:50:07"},{"id":151,"name":"Denver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3" s="231"/>
      <c r="AL203" s="231"/>
      <c r="AM203" s="240" t="str">
        <f t="shared" si="38"/>
        <v>start /low /b %USERPROFILE%\Documents\GitHub\eaglep3\Utilities\DownloadLogsFromS3.py --loco 4060 --day 2018-01-06</v>
      </c>
      <c r="AN203" s="241" t="str">
        <f t="shared" si="39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02:50:07"},{"id":29,"name":"Sharepoint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 s="230" t="str">
        <f t="shared" si="40"/>
        <v>https://d0f6bd738d7f1b3e5a7ca70fe4ff75f0.us-east-1.aws.found.io/app/kibana#/discover/Steve-Slow-Train-Analysis-(2080s-and-2083s)?_g=(refreshInterval:(display:Off,pause:!f,section:0,value:0),time:(from:'2018-01-06T18:39:26-0700',mode:absolute,to:'2018-01-06T20:50:07-0700'))&amp;_a=(columns:!('Message%20ID',Summary),filters:!(),index:'emp_*',interval:auto,query:(query_string:(analyze_wildcard:!t,query:'%22rtdc.l.rtdc.4060%22')),sort:!(Time.ISO8601,asc))</v>
      </c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s="223" customFormat="1" x14ac:dyDescent="0.3">
      <c r="A204" s="229" t="s">
        <v>703</v>
      </c>
      <c r="B204" s="225">
        <v>4011</v>
      </c>
      <c r="C204" s="227" t="s">
        <v>192</v>
      </c>
      <c r="D204" s="227" t="s">
        <v>1026</v>
      </c>
      <c r="E204" s="226">
        <v>43106.168703703705</v>
      </c>
      <c r="F204" s="226">
        <v>43106.174178240741</v>
      </c>
      <c r="G204" s="225">
        <v>117</v>
      </c>
      <c r="H204" s="227" t="s">
        <v>605</v>
      </c>
      <c r="I204" s="226">
        <v>43106.180150462962</v>
      </c>
      <c r="J204" s="225">
        <v>0</v>
      </c>
      <c r="K204" s="237" t="str">
        <f>IF(ISEVEN(B204),(B204-1)&amp;"/"&amp;B204,B204&amp;"/"&amp;(B204+1))</f>
        <v>4011/4012</v>
      </c>
      <c r="L204" s="245" t="str">
        <f>VLOOKUP(A204,'Trips&amp;Operators'!$C$1:$G$99911,5,FALSE)</f>
        <v>GEBRETEKLE DAGNEW</v>
      </c>
      <c r="M204" s="224">
        <f>I204-F204</f>
        <v>5.9722222213167697E-3</v>
      </c>
      <c r="N204" s="225">
        <f>24*60*SUM($M204:$M204)</f>
        <v>8.5999999986961484</v>
      </c>
      <c r="O204" s="225"/>
      <c r="P204" s="225"/>
      <c r="Q204" s="228"/>
      <c r="R204" s="242"/>
      <c r="S204" s="249">
        <f>1/IF(AG204="EC",12,1)*SUM(U204:U204)</f>
        <v>1</v>
      </c>
      <c r="T204" s="242" t="str">
        <f>IF(ISEVEN(LEFT(AD204,4)),"Southbound","NorthBound")</f>
        <v>Southbound</v>
      </c>
      <c r="U204" s="246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248" t="str">
        <f>"https://d0f6bd738d7f1b3e5a7ca70fe4ff75f0.us-east-1.aws.found.io/app/kibana#/discover/Steve-Slow-Train-Analysis-(2080s-and-2083s)?_g="&amp;"(refreshInterval:(display:Off,pause:!f,section:0,value:0),time:(from:'"&amp;TEXT(E204-1/24,"yyyy-MM-DDThh:mm:ss")&amp;utc_offset&amp;"00"&amp;"',mode:absolute,to:'"&amp;TEXT(I204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204&amp;"%22')),sort:!(Time.ISO8601,asc))"</f>
        <v>https://d0f6bd738d7f1b3e5a7ca70fe4ff75f0.us-east-1.aws.found.io/app/kibana#/discover/Steve-Slow-Train-Analysis-(2080s-and-2083s)?_g=(refreshInterval:(display:Off,pause:!f,section:0,value:0),time:(from:'2018-01-06T03:02:56-0700',mode:absolute,to:'2018-01-06T05:19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04" s="247" t="str">
        <f>IF(AA204&lt;VLOOKUP(AG204,Variables!$AC$3:$AD$8,2,FALSE),"Y","N")</f>
        <v>Y</v>
      </c>
      <c r="X204" s="247">
        <f>VALUE(LEFT(AD204,4))-VALUE(LEFT(AD203,4))</f>
        <v>1</v>
      </c>
      <c r="Y204" s="247">
        <f>RIGHT(D204,LEN(D204)-4)/10000</f>
        <v>2.3422999999999998</v>
      </c>
      <c r="Z204" s="247">
        <f>RIGHT(H204,LEN(H204)-4)/10000</f>
        <v>1.49E-2</v>
      </c>
      <c r="AA204" s="247">
        <f>ABS(Z204-Y204)</f>
        <v>2.3273999999999999</v>
      </c>
      <c r="AB204" s="233" t="e">
        <f>VLOOKUP(A204,Enforcements!$C$7:$K$9,8,0)</f>
        <v>#N/A</v>
      </c>
      <c r="AC204" s="232" t="e">
        <f>VLOOKUP(A204,Enforcements!$C$7:$E$9,3,0)</f>
        <v>#N/A</v>
      </c>
      <c r="AD204" s="243">
        <f>VALUE(LEFT(A204,LEN(A204)-3))</f>
        <v>306</v>
      </c>
      <c r="AE204" s="235" t="str">
        <f>"aws s3 cp "&amp;s3_bucket&amp;"/RTDC"&amp;B204&amp;"/ "&amp;search_path&amp;"\RTDC"&amp;B204&amp;"\"&amp;TEXT(F204,"YYYY-MM-DD")&amp;" --exclude ""*"" --recursive --include ""*"&amp;TEXT(F204,"YYYYMMDD")&amp;"*"" &amp; """&amp;walkandungz&amp;""" "&amp;search_path&amp;"\RTDC"&amp;B204&amp;"\"&amp;TEXT(F204,"YYYY-MM-DD")
&amp;" &amp; "&amp;"aws s3 cp "&amp;s3_bucket&amp;"/RTDC"&amp;B204&amp;"/ "&amp;search_path&amp;"\RTDC"&amp;B204&amp;"\"&amp;TEXT(F204+1,"YYYY-MM-DD")&amp;" --exclude ""*"" --recursive --include ""*"&amp;TEXT(F204+1,"YYYYMMDD")&amp;"*"" &amp; """&amp;walkandungz&amp;""" "&amp;search_path&amp;"\RTDC"&amp;B204&amp;"\"&amp;TEXT(F204+1,"YYYY-MM-DD")</f>
        <v>aws s3 cp s3://rtdc.mdm.uploadarchive.raw/RTDC4011/ "%USERPROFILE%\AppData\Local\Temp\OnboardLogs"\RTDC4011\2018-01-06 --exclude "*" --recursive --include "*20180106*" &amp; "%USERPROFILE%\Documents\GitHub\mrs-test-scripts\Headless Mode &amp; Sideloading\WalkAndUnGZ.bat" "%USERPROFILE%\AppData\Local\Temp\OnboardLogs"\RTDC4011\2018-01-06 &amp; aws s3 cp s3://rtdc.mdm.uploadarchive.raw/RTDC4011/ "%USERPROFILE%\AppData\Local\Temp\OnboardLogs"\RTDC4011\2018-01-07 --exclude "*" --recursive --include "*20180107*" &amp; "%USERPROFILE%\Documents\GitHub\mrs-test-scripts\Headless Mode &amp; Sideloading\WalkAndUnGZ.bat" "%USERPROFILE%\AppData\Local\Temp\OnboardLogs"\RTDC4011\2018-01-07</v>
      </c>
      <c r="AF204" s="234" t="str">
        <f>astrogrep_path&amp;" /e /r /s /spath="&amp;search_path&amp;" /stypes=""app*"&amp;B204&amp;"*"&amp;TEXT(I204-utc_offset/24,"YYYYMMDD")&amp;"*"" /stext="" "&amp;TEXT(I204-utc_offset/24,"HH")&amp;search_regexp&amp;""""</f>
        <v>"C:\Program Files (x86)\AstroGrep\AstroGrep.exe" /e /r /s /spath="%USERPROFILE%\AppData\Local\Temp\OnboardLogs" /stypes="app*4011*20180106*" /stext=" 11:.+((SYSTEM_STATE.+slice.+state.+changed )|(ment ac)|(multiple cpu faults)|(system.+state.+changed )|(\[timeout)|(PRM\|1\|D)|(kpr)|(kdp)|(train st.+moving)|(\|lc)|(penalty))"</v>
      </c>
      <c r="AG204" s="244" t="str">
        <f>DetSubdiv(A204)</f>
        <v>Other</v>
      </c>
      <c r="AH204" s="236" t="str">
        <f t="shared" si="36"/>
        <v>"%USERPROFILE%\Documents\GitHub\eaglep3\Utilities\RefineRTDCRunTimes.py" --tripid 306-06 --locoid 4011 --swversion DE.1.0.9.0 --startMP 300:23423 --initTime 2018-01-06T04:02:56 --startdatetime 2018-01-06T04:10:49 --delay 117 --endMP 204:149 --enddatetime 2018-01-06T04:19:25 --enforcementcount 0 &gt;&gt;%USERPROFILE%\Documents\GitHub\eaglep3-reporting\EC\2018-01-06-refined-times.txt</v>
      </c>
      <c r="AI204" s="238" t="str">
        <f t="shared" si="37"/>
        <v>echo {"issue":{"subject":"","project_id":79,"tracker_id":40,"status_id":1,"priority_id":2,"assigned_to_id":338,"start_date":"2018-01-06","description":"","custom_fields":[{"id":1,"name":"Subdivision","value":"Other"},{"id":4,"name":"Milepost","value":"0.0149"},{"id":17,"name":"Train ID","value":"306-06"},{"id":16,"name":"Locomotive ID","value":"4011"},{"id":130,"name":"Impact","value":""},{"id":150,"name":"Time of Event (Mountain Time)","value":"04:19:25"},{"id":151,"name":"Denver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4" s="231"/>
      <c r="AL204" s="231"/>
      <c r="AM204" s="240" t="str">
        <f t="shared" si="38"/>
        <v>start /low /b %USERPROFILE%\Documents\GitHub\eaglep3\Utilities\DownloadLogsFromS3.py --loco 4011 --day 2018-01-06</v>
      </c>
      <c r="AN204" s="241" t="str">
        <f t="shared" si="39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11:19:25"},{"id":29,"name":"Sharepoint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 s="230" t="str">
        <f t="shared" si="40"/>
        <v>https://d0f6bd738d7f1b3e5a7ca70fe4ff75f0.us-east-1.aws.found.io/app/kibana#/discover/Steve-Slow-Train-Analysis-(2080s-and-2083s)?_g=(refreshInterval:(display:Off,pause:!f,section:0,value:0),time:(from:'2018-01-06T03:02:56-0700',mode:absolute,to:'2018-01-06T05:19:25-0700'))&amp;_a=(columns:!('Message%20ID',Summary),filters:!(),index:'emp_*',interval:auto,query:(query_string:(analyze_wildcard:!t,query:'%22rtdc.l.rtdc.4011%22')),sort:!(Time.ISO8601,asc))</v>
      </c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s="223" customFormat="1" x14ac:dyDescent="0.3">
      <c r="A205" s="229" t="s">
        <v>885</v>
      </c>
      <c r="B205" s="225">
        <v>4064</v>
      </c>
      <c r="C205" s="227" t="s">
        <v>192</v>
      </c>
      <c r="D205" s="227" t="s">
        <v>634</v>
      </c>
      <c r="E205" s="226">
        <v>43107.046180555553</v>
      </c>
      <c r="F205" s="226">
        <v>43107.048344907409</v>
      </c>
      <c r="G205" s="225">
        <v>49</v>
      </c>
      <c r="H205" s="227" t="s">
        <v>1027</v>
      </c>
      <c r="I205" s="226">
        <v>43107.057905092595</v>
      </c>
      <c r="J205" s="225">
        <v>0</v>
      </c>
      <c r="K205" s="237" t="str">
        <f>IF(ISEVEN(B205),(B205-1)&amp;"/"&amp;B205,B205&amp;"/"&amp;(B205+1))</f>
        <v>4063/4064</v>
      </c>
      <c r="L205" s="245" t="str">
        <f>VLOOKUP(A205,'Trips&amp;Operators'!$C$1:$G$99911,5,FALSE)</f>
        <v>FORTUNATO FRANK</v>
      </c>
      <c r="M205" s="224">
        <f>I205-F205</f>
        <v>9.560185186273884E-3</v>
      </c>
      <c r="N205" s="225">
        <f>24*60*SUM($M205:$M205)</f>
        <v>13.766666668234393</v>
      </c>
      <c r="O205" s="225"/>
      <c r="P205" s="225"/>
      <c r="Q205" s="228"/>
      <c r="R205" s="242"/>
      <c r="S205" s="249">
        <f>1/IF(AG205="EC",12,1)*SUM(U205:U205)</f>
        <v>1</v>
      </c>
      <c r="T205" s="242" t="str">
        <f>IF(ISEVEN(LEFT(AD205,4)),"Southbound","NorthBound")</f>
        <v>NorthBound</v>
      </c>
      <c r="U205" s="246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248" t="str">
        <f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2018-01-07T00:06:30-0700',mode:absolute,to:'2018-01-07T02:23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05" s="247" t="str">
        <f>IF(AA205&lt;VLOOKUP(AG205,Variables!$AC$3:$AD$8,2,FALSE),"Y","N")</f>
        <v>Y</v>
      </c>
      <c r="X205" s="247">
        <f>VALUE(LEFT(AD205,4))-VALUE(LEFT(AD204,4))</f>
        <v>1</v>
      </c>
      <c r="Y205" s="247">
        <f>RIGHT(D205,LEN(D205)-4)/10000</f>
        <v>5.1999999999999998E-2</v>
      </c>
      <c r="Z205" s="247">
        <f>RIGHT(H205,LEN(H205)-4)/10000</f>
        <v>2.3304</v>
      </c>
      <c r="AA205" s="247">
        <f>ABS(Z205-Y205)</f>
        <v>2.2784</v>
      </c>
      <c r="AB205" s="233" t="e">
        <f>VLOOKUP(A205,Enforcements!$C$7:$K$9,8,0)</f>
        <v>#N/A</v>
      </c>
      <c r="AC205" s="232" t="e">
        <f>VLOOKUP(A205,Enforcements!$C$7:$E$9,3,0)</f>
        <v>#N/A</v>
      </c>
      <c r="AD205" s="243">
        <f>VALUE(LEFT(A205,LEN(A205)-3))</f>
        <v>307</v>
      </c>
      <c r="AE205" s="235" t="str">
        <f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s3://rtdc.mdm.uploadarchive.raw/RTDC4064/ "%USERPROFILE%\AppData\Local\Temp\OnboardLogs"\RTDC4064\2018-01-07 --exclude "*" --recursive --include "*20180107*" &amp; "%USERPROFILE%\Documents\GitHub\mrs-test-scripts\Headless Mode &amp; Sideloading\WalkAndUnGZ.bat" "%USERPROFILE%\AppData\Local\Temp\OnboardLogs"\RTDC4064\2018-01-07 &amp; aws s3 cp s3://rtdc.mdm.uploadarchive.raw/RTDC4064/ "%USERPROFILE%\AppData\Local\Temp\OnboardLogs"\RTDC4064\2018-01-08 --exclude "*" --recursive --include "*20180108*" &amp; "%USERPROFILE%\Documents\GitHub\mrs-test-scripts\Headless Mode &amp; Sideloading\WalkAndUnGZ.bat" "%USERPROFILE%\AppData\Local\Temp\OnboardLogs"\RTDC4064\2018-01-08</v>
      </c>
      <c r="AF205" s="234" t="str">
        <f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/stypes="app*4064*20180107*" /stext=" 08:.+((SYSTEM_STATE.+slice.+state.+changed )|(ment ac)|(multiple cpu faults)|(system.+state.+changed )|(\[timeout)|(PRM\|1\|D)|(kpr)|(kdp)|(train st.+moving)|(\|lc)|(penalty))"</v>
      </c>
      <c r="AG205" s="244" t="str">
        <f>DetSubdiv(A205)</f>
        <v>Other</v>
      </c>
      <c r="AH205" s="236" t="str">
        <f t="shared" si="36"/>
        <v>"%USERPROFILE%\Documents\GitHub\eaglep3\Utilities\RefineRTDCRunTimes.py" --tripid 307-06 --locoid 4064 --swversion DE.1.0.9.0 --startMP 204:520 --initTime 2018-01-07T01:06:30 --startdatetime 2018-01-07T01:09:37 --delay 49 --endMP 300:23304 --enddatetime 2018-01-07T01:23:23 --enforcementcount 0 &gt;&gt;%USERPROFILE%\Documents\GitHub\eaglep3-reporting\EC\2018-01-06-refined-times.txt</v>
      </c>
      <c r="AI205" s="238" t="str">
        <f t="shared" si="37"/>
        <v>echo {"issue":{"subject":"","project_id":79,"tracker_id":40,"status_id":1,"priority_id":2,"assigned_to_id":338,"start_date":"2018-01-07","description":"","custom_fields":[{"id":1,"name":"Subdivision","value":"Other"},{"id":4,"name":"Milepost","value":"2.3304"},{"id":17,"name":"Train ID","value":"307-06"},{"id":16,"name":"Locomotive ID","value":"4064"},{"id":130,"name":"Impact","value":""},{"id":150,"name":"Time of Event (Mountain Time)","value":"01:23:23"},{"id":151,"name":"Denver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5" s="231"/>
      <c r="AL205" s="231"/>
      <c r="AM205" s="240" t="str">
        <f t="shared" si="38"/>
        <v>start /low /b %USERPROFILE%\Documents\GitHub\eaglep3\Utilities\DownloadLogsFromS3.py --loco 4064 --day 2018-01-07</v>
      </c>
      <c r="AN205" s="241" t="str">
        <f t="shared" si="39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08:23:23"},{"id":29,"name":"Sharepoint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 s="230" t="str">
        <f t="shared" si="40"/>
        <v>https://d0f6bd738d7f1b3e5a7ca70fe4ff75f0.us-east-1.aws.found.io/app/kibana#/discover/Steve-Slow-Train-Analysis-(2080s-and-2083s)?_g=(refreshInterval:(display:Off,pause:!f,section:0,value:0),time:(from:'2018-01-07T00:06:30-0700',mode:absolute,to:'2018-01-07T02:23:23-0700'))&amp;_a=(columns:!('Message%20ID',Summary),filters:!(),index:'emp_*',interval:auto,query:(query_string:(analyze_wildcard:!t,query:'%22rtdc.l.rtdc.4064%22')),sort:!(Time.ISO8601,asc))</v>
      </c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s="223" customFormat="1" x14ac:dyDescent="0.3">
      <c r="A206" s="229" t="s">
        <v>706</v>
      </c>
      <c r="B206" s="225">
        <v>4043</v>
      </c>
      <c r="C206" s="227" t="s">
        <v>192</v>
      </c>
      <c r="D206" s="227" t="s">
        <v>1028</v>
      </c>
      <c r="E206" s="226">
        <v>43106.180775462963</v>
      </c>
      <c r="F206" s="226">
        <v>43106.183587962965</v>
      </c>
      <c r="G206" s="225">
        <v>68</v>
      </c>
      <c r="H206" s="227" t="s">
        <v>900</v>
      </c>
      <c r="I206" s="226">
        <v>43106.190868055557</v>
      </c>
      <c r="J206" s="225">
        <v>0</v>
      </c>
      <c r="K206" s="237" t="str">
        <f>IF(ISEVEN(B206),(B206-1)&amp;"/"&amp;B206,B206&amp;"/"&amp;(B206+1))</f>
        <v>4043/4044</v>
      </c>
      <c r="L206" s="245" t="str">
        <f>VLOOKUP(A206,'Trips&amp;Operators'!$C$1:$G$99911,5,FALSE)</f>
        <v>DELGADO DIANAH</v>
      </c>
      <c r="M206" s="224">
        <f>I206-F206</f>
        <v>7.2800925918272696E-3</v>
      </c>
      <c r="N206" s="225">
        <f>24*60*SUM($M206:$M206)</f>
        <v>10.483333332231268</v>
      </c>
      <c r="O206" s="225"/>
      <c r="P206" s="225"/>
      <c r="Q206" s="228"/>
      <c r="R206" s="242"/>
      <c r="S206" s="249">
        <f>1/IF(AG206="EC",12,1)*SUM(U206:U206)</f>
        <v>1</v>
      </c>
      <c r="T206" s="242" t="str">
        <f>IF(ISEVEN(LEFT(AD206,4)),"Southbound","NorthBound")</f>
        <v>Southbound</v>
      </c>
      <c r="U206" s="246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248" t="str">
        <f>"https://d0f6bd738d7f1b3e5a7ca70fe4ff75f0.us-east-1.aws.found.io/app/kibana#/discover/Steve-Slow-Train-Analysis-(2080s-and-2083s)?_g="&amp;"(refreshInterval:(display:Off,pause:!f,section:0,value:0),time:(from:'"&amp;TEXT(E206-1/24,"yyyy-MM-DDThh:mm:ss")&amp;utc_offset&amp;"00"&amp;"',mode:absolute,to:'"&amp;TEXT(I206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206&amp;"%22')),sort:!(Time.ISO8601,asc))"</f>
        <v>https://d0f6bd738d7f1b3e5a7ca70fe4ff75f0.us-east-1.aws.found.io/app/kibana#/discover/Steve-Slow-Train-Analysis-(2080s-and-2083s)?_g=(refreshInterval:(display:Off,pause:!f,section:0,value:0),time:(from:'2018-01-06T03:20:19-0700',mode:absolute,to:'2018-01-06T05:34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06" s="247" t="str">
        <f>IF(AA206&lt;VLOOKUP(AG206,Variables!$AC$3:$AD$8,2,FALSE),"Y","N")</f>
        <v>Y</v>
      </c>
      <c r="X206" s="247">
        <f>VALUE(LEFT(AD206,4))-VALUE(LEFT(AD205,4))</f>
        <v>1</v>
      </c>
      <c r="Y206" s="247">
        <f>RIGHT(D206,LEN(D206)-4)/10000</f>
        <v>2.5127999999999999</v>
      </c>
      <c r="Z206" s="247">
        <f>RIGHT(H206,LEN(H206)-4)/10000</f>
        <v>1.47E-2</v>
      </c>
      <c r="AA206" s="247">
        <f>ABS(Z206-Y206)</f>
        <v>2.4981</v>
      </c>
      <c r="AB206" s="233" t="e">
        <f>VLOOKUP(A206,Enforcements!$C$7:$K$9,8,0)</f>
        <v>#N/A</v>
      </c>
      <c r="AC206" s="232" t="e">
        <f>VLOOKUP(A206,Enforcements!$C$7:$E$9,3,0)</f>
        <v>#N/A</v>
      </c>
      <c r="AD206" s="243">
        <f>VALUE(LEFT(A206,LEN(A206)-3))</f>
        <v>308</v>
      </c>
      <c r="AE206" s="235" t="str">
        <f>"aws s3 cp "&amp;s3_bucket&amp;"/RTDC"&amp;B206&amp;"/ "&amp;search_path&amp;"\RTDC"&amp;B206&amp;"\"&amp;TEXT(F206,"YYYY-MM-DD")&amp;" --exclude ""*"" --recursive --include ""*"&amp;TEXT(F206,"YYYYMMDD")&amp;"*"" &amp; """&amp;walkandungz&amp;""" "&amp;search_path&amp;"\RTDC"&amp;B206&amp;"\"&amp;TEXT(F206,"YYYY-MM-DD")
&amp;" &amp; "&amp;"aws s3 cp "&amp;s3_bucket&amp;"/RTDC"&amp;B206&amp;"/ "&amp;search_path&amp;"\RTDC"&amp;B206&amp;"\"&amp;TEXT(F206+1,"YYYY-MM-DD")&amp;" --exclude ""*"" --recursive --include ""*"&amp;TEXT(F206+1,"YYYYMMDD")&amp;"*"" &amp; """&amp;walkandungz&amp;""" "&amp;search_path&amp;"\RTDC"&amp;B206&amp;"\"&amp;TEXT(F206+1,"YYYY-MM-DD")</f>
        <v>aws s3 cp s3://rtdc.mdm.uploadarchive.raw/RTDC4043/ "%USERPROFILE%\AppData\Local\Temp\OnboardLogs"\RTDC4043\2018-01-06 --exclude "*" --recursive --include "*20180106*" &amp; "%USERPROFILE%\Documents\GitHub\mrs-test-scripts\Headless Mode &amp; Sideloading\WalkAndUnGZ.bat" "%USERPROFILE%\AppData\Local\Temp\OnboardLogs"\RTDC4043\2018-01-06 &amp; aws s3 cp s3://rtdc.mdm.uploadarchive.raw/RTDC4043/ "%USERPROFILE%\AppData\Local\Temp\OnboardLogs"\RTDC4043\2018-01-07 --exclude "*" --recursive --include "*20180107*" &amp; "%USERPROFILE%\Documents\GitHub\mrs-test-scripts\Headless Mode &amp; Sideloading\WalkAndUnGZ.bat" "%USERPROFILE%\AppData\Local\Temp\OnboardLogs"\RTDC4043\2018-01-07</v>
      </c>
      <c r="AF206" s="234" t="str">
        <f>astrogrep_path&amp;" /e /r /s /spath="&amp;search_path&amp;" /stypes=""app*"&amp;B206&amp;"*"&amp;TEXT(I206-utc_offset/24,"YYYYMMDD")&amp;"*"" /stext="" "&amp;TEXT(I206-utc_offset/24,"HH")&amp;search_regexp&amp;""""</f>
        <v>"C:\Program Files (x86)\AstroGrep\AstroGrep.exe" /e /r /s /spath="%USERPROFILE%\AppData\Local\Temp\OnboardLogs" /stypes="app*4043*20180106*" /stext=" 11:.+((SYSTEM_STATE.+slice.+state.+changed )|(ment ac)|(multiple cpu faults)|(system.+state.+changed )|(\[timeout)|(PRM\|1\|D)|(kpr)|(kdp)|(train st.+moving)|(\|lc)|(penalty))"</v>
      </c>
      <c r="AG206" s="244" t="str">
        <f>DetSubdiv(A206)</f>
        <v>Other</v>
      </c>
      <c r="AH206" s="236" t="str">
        <f t="shared" si="36"/>
        <v>"%USERPROFILE%\Documents\GitHub\eaglep3\Utilities\RefineRTDCRunTimes.py" --tripid 308-06 --locoid 4043 --swversion DE.1.0.9.0 --startMP 300:25128 --initTime 2018-01-06T04:20:19 --startdatetime 2018-01-06T04:24:22 --delay 68 --endMP 204:147 --enddatetime 2018-01-06T04:34:51 --enforcementcount 0 &gt;&gt;%USERPROFILE%\Documents\GitHub\eaglep3-reporting\EC\2018-01-06-refined-times.txt</v>
      </c>
      <c r="AI206" s="238" t="str">
        <f t="shared" si="37"/>
        <v>echo {"issue":{"subject":"","project_id":79,"tracker_id":40,"status_id":1,"priority_id":2,"assigned_to_id":338,"start_date":"2018-01-06","description":"","custom_fields":[{"id":1,"name":"Subdivision","value":"Other"},{"id":4,"name":"Milepost","value":"0.0147"},{"id":17,"name":"Train ID","value":"308-06"},{"id":16,"name":"Locomotive ID","value":"4043"},{"id":130,"name":"Impact","value":""},{"id":150,"name":"Time of Event (Mountain Time)","value":"04:34:51"},{"id":151,"name":"Denver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6" s="231"/>
      <c r="AL206" s="231"/>
      <c r="AM206" s="240" t="str">
        <f t="shared" si="38"/>
        <v>start /low /b %USERPROFILE%\Documents\GitHub\eaglep3\Utilities\DownloadLogsFromS3.py --loco 4043 --day 2018-01-06</v>
      </c>
      <c r="AN206" s="241" t="str">
        <f t="shared" si="39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11:34:51"},{"id":29,"name":"Sharepoint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 s="230" t="str">
        <f t="shared" si="40"/>
        <v>https://d0f6bd738d7f1b3e5a7ca70fe4ff75f0.us-east-1.aws.found.io/app/kibana#/discover/Steve-Slow-Train-Analysis-(2080s-and-2083s)?_g=(refreshInterval:(display:Off,pause:!f,section:0,value:0),time:(from:'2018-01-06T03:20:19-0700',mode:absolute,to:'2018-01-06T05:34:51-0700'))&amp;_a=(columns:!('Message%20ID',Summary),filters:!(),index:'emp_*',interval:auto,query:(query_string:(analyze_wildcard:!t,query:'%22rtdc.l.rtdc.4043%22')),sort:!(Time.ISO8601,asc))</v>
      </c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s="223" customFormat="1" x14ac:dyDescent="0.3">
      <c r="A207" s="229" t="s">
        <v>887</v>
      </c>
      <c r="B207" s="225">
        <v>4030</v>
      </c>
      <c r="C207" s="227" t="s">
        <v>192</v>
      </c>
      <c r="D207" s="227" t="s">
        <v>646</v>
      </c>
      <c r="E207" s="226">
        <v>43107.065706018519</v>
      </c>
      <c r="F207" s="226">
        <v>43107.067430555559</v>
      </c>
      <c r="G207" s="225">
        <v>76</v>
      </c>
      <c r="H207" s="227" t="s">
        <v>1029</v>
      </c>
      <c r="I207" s="226">
        <v>43107.074918981481</v>
      </c>
      <c r="J207" s="225">
        <v>0</v>
      </c>
      <c r="K207" s="237" t="str">
        <f>IF(ISEVEN(B207),(B207-1)&amp;"/"&amp;B207,B207&amp;"/"&amp;(B207+1))</f>
        <v>4029/4030</v>
      </c>
      <c r="L207" s="245" t="str">
        <f>VLOOKUP(A207,'Trips&amp;Operators'!$C$1:$G$99911,5,FALSE)</f>
        <v>ELBAUM MIKE</v>
      </c>
      <c r="M207" s="224">
        <f>I207-F207</f>
        <v>7.4884259229293093E-3</v>
      </c>
      <c r="N207" s="225">
        <f>24*60*SUM($M207:$M207)</f>
        <v>10.783333329018205</v>
      </c>
      <c r="O207" s="225"/>
      <c r="P207" s="225"/>
      <c r="Q207" s="228"/>
      <c r="R207" s="242"/>
      <c r="S207" s="249">
        <f>1/IF(AG207="EC",12,1)*SUM(U207:U207)</f>
        <v>1</v>
      </c>
      <c r="T207" s="242" t="str">
        <f>IF(ISEVEN(LEFT(AD207,4)),"Southbound","NorthBound")</f>
        <v>NorthBound</v>
      </c>
      <c r="U207" s="246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248" t="str">
        <f>"https://d0f6bd738d7f1b3e5a7ca70fe4ff75f0.us-east-1.aws.found.io/app/kibana#/discover/Steve-Slow-Train-Analysis-(2080s-and-2083s)?_g="&amp;"(refreshInterval:(display:Off,pause:!f,section:0,value:0),time:(from:'"&amp;TEXT(E207-1/24,"yyyy-MM-DDThh:mm:ss")&amp;utc_offset&amp;"00"&amp;"',mode:absolute,to:'"&amp;TEXT(I207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207&amp;"%22')),sort:!(Time.ISO8601,asc))"</f>
        <v>https://d0f6bd738d7f1b3e5a7ca70fe4ff75f0.us-east-1.aws.found.io/app/kibana#/discover/Steve-Slow-Train-Analysis-(2080s-and-2083s)?_g=(refreshInterval:(display:Off,pause:!f,section:0,value:0),time:(from:'2018-01-07T00:34:37-0700',mode:absolute,to:'2018-01-07T02:47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07" s="247" t="str">
        <f>IF(AA207&lt;VLOOKUP(AG207,Variables!$AC$3:$AD$8,2,FALSE),"Y","N")</f>
        <v>Y</v>
      </c>
      <c r="X207" s="247">
        <f>VALUE(LEFT(AD207,4))-VALUE(LEFT(AD206,4))</f>
        <v>1</v>
      </c>
      <c r="Y207" s="247">
        <f>RIGHT(D207,LEN(D207)-4)/10000</f>
        <v>5.6800000000000003E-2</v>
      </c>
      <c r="Z207" s="247">
        <f>RIGHT(H207,LEN(H207)-4)/10000</f>
        <v>2.3315999999999999</v>
      </c>
      <c r="AA207" s="247">
        <f>ABS(Z207-Y207)</f>
        <v>2.2747999999999999</v>
      </c>
      <c r="AB207" s="233" t="e">
        <f>VLOOKUP(A207,Enforcements!$C$7:$K$9,8,0)</f>
        <v>#N/A</v>
      </c>
      <c r="AC207" s="232" t="e">
        <f>VLOOKUP(A207,Enforcements!$C$7:$E$9,3,0)</f>
        <v>#N/A</v>
      </c>
      <c r="AD207" s="243">
        <f>VALUE(LEFT(A207,LEN(A207)-3))</f>
        <v>309</v>
      </c>
      <c r="AE207" s="235" t="str">
        <f>"aws s3 cp "&amp;s3_bucket&amp;"/RTDC"&amp;B207&amp;"/ "&amp;search_path&amp;"\RTDC"&amp;B207&amp;"\"&amp;TEXT(F207,"YYYY-MM-DD")&amp;" --exclude ""*"" --recursive --include ""*"&amp;TEXT(F207,"YYYYMMDD")&amp;"*"" &amp; """&amp;walkandungz&amp;""" "&amp;search_path&amp;"\RTDC"&amp;B207&amp;"\"&amp;TEXT(F207,"YYYY-MM-DD")
&amp;" &amp; "&amp;"aws s3 cp "&amp;s3_bucket&amp;"/RTDC"&amp;B207&amp;"/ "&amp;search_path&amp;"\RTDC"&amp;B207&amp;"\"&amp;TEXT(F207+1,"YYYY-MM-DD")&amp;" --exclude ""*"" --recursive --include ""*"&amp;TEXT(F207+1,"YYYYMMDD")&amp;"*"" &amp; """&amp;walkandungz&amp;""" "&amp;search_path&amp;"\RTDC"&amp;B207&amp;"\"&amp;TEXT(F207+1,"YYYY-MM-DD")</f>
        <v>aws s3 cp s3://rtdc.mdm.uploadarchive.raw/RTDC4030/ "%USERPROFILE%\AppData\Local\Temp\OnboardLogs"\RTDC4030\2018-01-07 --exclude "*" --recursive --include "*20180107*" &amp; "%USERPROFILE%\Documents\GitHub\mrs-test-scripts\Headless Mode &amp; Sideloading\WalkAndUnGZ.bat" "%USERPROFILE%\AppData\Local\Temp\OnboardLogs"\RTDC4030\2018-01-07 &amp; aws s3 cp s3://rtdc.mdm.uploadarchive.raw/RTDC4030/ "%USERPROFILE%\AppData\Local\Temp\OnboardLogs"\RTDC4030\2018-01-08 --exclude "*" --recursive --include "*20180108*" &amp; "%USERPROFILE%\Documents\GitHub\mrs-test-scripts\Headless Mode &amp; Sideloading\WalkAndUnGZ.bat" "%USERPROFILE%\AppData\Local\Temp\OnboardLogs"\RTDC4030\2018-01-08</v>
      </c>
      <c r="AF207" s="234" t="str">
        <f>astrogrep_path&amp;" /e /r /s /spath="&amp;search_path&amp;" /stypes=""app*"&amp;B207&amp;"*"&amp;TEXT(I207-utc_offset/24,"YYYYMMDD")&amp;"*"" /stext="" "&amp;TEXT(I207-utc_offset/24,"HH")&amp;search_regexp&amp;""""</f>
        <v>"C:\Program Files (x86)\AstroGrep\AstroGrep.exe" /e /r /s /spath="%USERPROFILE%\AppData\Local\Temp\OnboardLogs" /stypes="app*4030*20180107*" /stext=" 08:.+((SYSTEM_STATE.+slice.+state.+changed )|(ment ac)|(multiple cpu faults)|(system.+state.+changed )|(\[timeout)|(PRM\|1\|D)|(kpr)|(kdp)|(train st.+moving)|(\|lc)|(penalty))"</v>
      </c>
      <c r="AG207" s="244" t="str">
        <f>DetSubdiv(A207)</f>
        <v>Other</v>
      </c>
      <c r="AH207" s="236" t="str">
        <f t="shared" si="36"/>
        <v>"%USERPROFILE%\Documents\GitHub\eaglep3\Utilities\RefineRTDCRunTimes.py" --tripid 309-06 --locoid 4030 --swversion DE.1.0.9.0 --startMP 204:568 --initTime 2018-01-07T01:34:37 --startdatetime 2018-01-07T01:37:06 --delay 76 --endMP 300:23316 --enddatetime 2018-01-07T01:47:53 --enforcementcount 0 &gt;&gt;%USERPROFILE%\Documents\GitHub\eaglep3-reporting\EC\2018-01-06-refined-times.txt</v>
      </c>
      <c r="AI207" s="238" t="str">
        <f t="shared" si="37"/>
        <v>echo {"issue":{"subject":"","project_id":79,"tracker_id":40,"status_id":1,"priority_id":2,"assigned_to_id":338,"start_date":"2018-01-07","description":"","custom_fields":[{"id":1,"name":"Subdivision","value":"Other"},{"id":4,"name":"Milepost","value":"2.3316"},{"id":17,"name":"Train ID","value":"309-06"},{"id":16,"name":"Locomotive ID","value":"4030"},{"id":130,"name":"Impact","value":""},{"id":150,"name":"Time of Event (Mountain Time)","value":"01:47:53"},{"id":151,"name":"Denver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7" s="231"/>
      <c r="AL207" s="231"/>
      <c r="AM207" s="240" t="str">
        <f t="shared" si="38"/>
        <v>start /low /b %USERPROFILE%\Documents\GitHub\eaglep3\Utilities\DownloadLogsFromS3.py --loco 4030 --day 2018-01-07</v>
      </c>
      <c r="AN207" s="241" t="str">
        <f t="shared" si="39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08:47:53"},{"id":29,"name":"Sharepoint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 s="230" t="str">
        <f t="shared" si="40"/>
        <v>https://d0f6bd738d7f1b3e5a7ca70fe4ff75f0.us-east-1.aws.found.io/app/kibana#/discover/Steve-Slow-Train-Analysis-(2080s-and-2083s)?_g=(refreshInterval:(display:Off,pause:!f,section:0,value:0),time:(from:'2018-01-07T00:34:37-0700',mode:absolute,to:'2018-01-07T02:47:53-0700'))&amp;_a=(columns:!('Message%20ID',Summary),filters:!(),index:'emp_*',interval:auto,query:(query_string:(analyze_wildcard:!t,query:'%22rtdc.l.rtdc.4030%22')),sort:!(Time.ISO8601,asc))</v>
      </c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:91" s="223" customFormat="1" x14ac:dyDescent="0.3">
      <c r="A208" s="229" t="s">
        <v>712</v>
      </c>
      <c r="B208" s="225">
        <v>4031</v>
      </c>
      <c r="C208" s="227" t="s">
        <v>192</v>
      </c>
      <c r="D208" s="227" t="s">
        <v>1030</v>
      </c>
      <c r="E208" s="226">
        <v>43106.201423611114</v>
      </c>
      <c r="F208" s="226">
        <v>43106.203831018516</v>
      </c>
      <c r="G208" s="225">
        <v>113</v>
      </c>
      <c r="H208" s="227" t="s">
        <v>567</v>
      </c>
      <c r="I208" s="226">
        <v>43106.208715277775</v>
      </c>
      <c r="J208" s="225">
        <v>0</v>
      </c>
      <c r="K208" s="237" t="str">
        <f>IF(ISEVEN(B208),(B208-1)&amp;"/"&amp;B208,B208&amp;"/"&amp;(B208+1))</f>
        <v>4031/4032</v>
      </c>
      <c r="L208" s="245" t="str">
        <f>VLOOKUP(A208,'Trips&amp;Operators'!$C$1:$G$99911,5,FALSE)</f>
        <v>MACDONALD THOMAS</v>
      </c>
      <c r="M208" s="224">
        <f>I208-F208</f>
        <v>4.8842592586879618E-3</v>
      </c>
      <c r="N208" s="225">
        <f>24*60*SUM($M208:$M208)</f>
        <v>7.0333333325106651</v>
      </c>
      <c r="O208" s="225"/>
      <c r="P208" s="225"/>
      <c r="Q208" s="228"/>
      <c r="R208" s="242"/>
      <c r="S208" s="249">
        <f>1/IF(AG208="EC",12,1)*SUM(U208:U208)</f>
        <v>1</v>
      </c>
      <c r="T208" s="242" t="str">
        <f>IF(ISEVEN(LEFT(AD208,4)),"Southbound","NorthBound")</f>
        <v>Southbound</v>
      </c>
      <c r="U208" s="246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248" t="str">
        <f>"https://d0f6bd738d7f1b3e5a7ca70fe4ff75f0.us-east-1.aws.found.io/app/kibana#/discover/Steve-Slow-Train-Analysis-(2080s-and-2083s)?_g="&amp;"(refreshInterval:(display:Off,pause:!f,section:0,value:0),time:(from:'"&amp;TEXT(E208-1/24,"yyyy-MM-DDThh:mm:ss")&amp;utc_offset&amp;"00"&amp;"',mode:absolute,to:'"&amp;TEXT(I208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208&amp;"%22')),sort:!(Time.ISO8601,asc))"</f>
        <v>https://d0f6bd738d7f1b3e5a7ca70fe4ff75f0.us-east-1.aws.found.io/app/kibana#/discover/Steve-Slow-Train-Analysis-(2080s-and-2083s)?_g=(refreshInterval:(display:Off,pause:!f,section:0,value:0),time:(from:'2018-01-06T03:50:03-0700',mode:absolute,to:'2018-01-06T06:00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08" s="247" t="str">
        <f>IF(AA208&lt;VLOOKUP(AG208,Variables!$AC$3:$AD$8,2,FALSE),"Y","N")</f>
        <v>Y</v>
      </c>
      <c r="X208" s="247">
        <f>VALUE(LEFT(AD208,4))-VALUE(LEFT(AD207,4))</f>
        <v>1</v>
      </c>
      <c r="Y208" s="247">
        <f>RIGHT(D208,LEN(D208)-4)/10000</f>
        <v>2.3616000000000001</v>
      </c>
      <c r="Z208" s="247">
        <f>RIGHT(H208,LEN(H208)-4)/10000</f>
        <v>2.3599999999999999E-2</v>
      </c>
      <c r="AA208" s="247">
        <f>ABS(Z208-Y208)</f>
        <v>2.3380000000000001</v>
      </c>
      <c r="AB208" s="233" t="e">
        <f>VLOOKUP(A208,Enforcements!$C$7:$K$9,8,0)</f>
        <v>#N/A</v>
      </c>
      <c r="AC208" s="232" t="e">
        <f>VLOOKUP(A208,Enforcements!$C$7:$E$9,3,0)</f>
        <v>#N/A</v>
      </c>
      <c r="AD208" s="243">
        <f>VALUE(LEFT(A208,LEN(A208)-3))</f>
        <v>310</v>
      </c>
      <c r="AE208" s="235" t="str">
        <f>"aws s3 cp "&amp;s3_bucket&amp;"/RTDC"&amp;B208&amp;"/ "&amp;search_path&amp;"\RTDC"&amp;B208&amp;"\"&amp;TEXT(F208,"YYYY-MM-DD")&amp;" --exclude ""*"" --recursive --include ""*"&amp;TEXT(F208,"YYYYMMDD")&amp;"*"" &amp; """&amp;walkandungz&amp;""" "&amp;search_path&amp;"\RTDC"&amp;B208&amp;"\"&amp;TEXT(F208,"YYYY-MM-DD")
&amp;" &amp; "&amp;"aws s3 cp "&amp;s3_bucket&amp;"/RTDC"&amp;B208&amp;"/ "&amp;search_path&amp;"\RTDC"&amp;B208&amp;"\"&amp;TEXT(F208+1,"YYYY-MM-DD")&amp;" --exclude ""*"" --recursive --include ""*"&amp;TEXT(F208+1,"YYYYMMDD")&amp;"*"" &amp; """&amp;walkandungz&amp;""" "&amp;search_path&amp;"\RTDC"&amp;B208&amp;"\"&amp;TEXT(F208+1,"YYYY-MM-DD")</f>
        <v>aws s3 cp s3://rtdc.mdm.uploadarchive.raw/RTDC4031/ "%USERPROFILE%\AppData\Local\Temp\OnboardLogs"\RTDC4031\2018-01-06 --exclude "*" --recursive --include "*20180106*" &amp; "%USERPROFILE%\Documents\GitHub\mrs-test-scripts\Headless Mode &amp; Sideloading\WalkAndUnGZ.bat" "%USERPROFILE%\AppData\Local\Temp\OnboardLogs"\RTDC4031\2018-01-06 &amp; aws s3 cp s3://rtdc.mdm.uploadarchive.raw/RTDC4031/ "%USERPROFILE%\AppData\Local\Temp\OnboardLogs"\RTDC4031\2018-01-07 --exclude "*" --recursive --include "*20180107*" &amp; "%USERPROFILE%\Documents\GitHub\mrs-test-scripts\Headless Mode &amp; Sideloading\WalkAndUnGZ.bat" "%USERPROFILE%\AppData\Local\Temp\OnboardLogs"\RTDC4031\2018-01-07</v>
      </c>
      <c r="AF208" s="234" t="str">
        <f>astrogrep_path&amp;" /e /r /s /spath="&amp;search_path&amp;" /stypes=""app*"&amp;B208&amp;"*"&amp;TEXT(I208-utc_offset/24,"YYYYMMDD")&amp;"*"" /stext="" "&amp;TEXT(I208-utc_offset/24,"HH")&amp;search_regexp&amp;""""</f>
        <v>"C:\Program Files (x86)\AstroGrep\AstroGrep.exe" /e /r /s /spath="%USERPROFILE%\AppData\Local\Temp\OnboardLogs" /stypes="app*4031*20180106*" /stext=" 12:.+((SYSTEM_STATE.+slice.+state.+changed )|(ment ac)|(multiple cpu faults)|(system.+state.+changed )|(\[timeout)|(PRM\|1\|D)|(kpr)|(kdp)|(train st.+moving)|(\|lc)|(penalty))"</v>
      </c>
      <c r="AG208" s="244" t="str">
        <f>DetSubdiv(A208)</f>
        <v>Other</v>
      </c>
      <c r="AH208" s="236" t="str">
        <f t="shared" si="36"/>
        <v>"%USERPROFILE%\Documents\GitHub\eaglep3\Utilities\RefineRTDCRunTimes.py" --tripid 310-06 --locoid 4031 --swversion DE.1.0.9.0 --startMP 300:23616 --initTime 2018-01-06T04:50:03 --startdatetime 2018-01-06T04:53:31 --delay 113 --endMP 204:236 --enddatetime 2018-01-06T05:00:33 --enforcementcount 0 &gt;&gt;%USERPROFILE%\Documents\GitHub\eaglep3-reporting\EC\2018-01-06-refined-times.txt</v>
      </c>
      <c r="AI208" s="238" t="str">
        <f t="shared" si="37"/>
        <v>echo {"issue":{"subject":"","project_id":79,"tracker_id":40,"status_id":1,"priority_id":2,"assigned_to_id":338,"start_date":"2018-01-06","description":"","custom_fields":[{"id":1,"name":"Subdivision","value":"Other"},{"id":4,"name":"Milepost","value":"0.0236"},{"id":17,"name":"Train ID","value":"310-06"},{"id":16,"name":"Locomotive ID","value":"4031"},{"id":130,"name":"Impact","value":""},{"id":150,"name":"Time of Event (Mountain Time)","value":"05:00:33"},{"id":151,"name":"Denver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8" s="231"/>
      <c r="AL208" s="231"/>
      <c r="AM208" s="240" t="str">
        <f t="shared" si="38"/>
        <v>start /low /b %USERPROFILE%\Documents\GitHub\eaglep3\Utilities\DownloadLogsFromS3.py --loco 4031 --day 2018-01-06</v>
      </c>
      <c r="AN208" s="241" t="str">
        <f t="shared" si="39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12:00:33"},{"id":29,"name":"Sharepoint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 s="230" t="str">
        <f t="shared" si="40"/>
        <v>https://d0f6bd738d7f1b3e5a7ca70fe4ff75f0.us-east-1.aws.found.io/app/kibana#/discover/Steve-Slow-Train-Analysis-(2080s-and-2083s)?_g=(refreshInterval:(display:Off,pause:!f,section:0,value:0),time:(from:'2018-01-06T03:50:03-0700',mode:absolute,to:'2018-01-06T06:00:33-0700'))&amp;_a=(columns:!('Message%20ID',Summary),filters:!(),index:'emp_*',interval:auto,query:(query_string:(analyze_wildcard:!t,query:'%22rtdc.l.rtdc.4031%22')),sort:!(Time.ISO8601,asc))</v>
      </c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s="223" customFormat="1" x14ac:dyDescent="0.3">
      <c r="A209" s="229" t="s">
        <v>889</v>
      </c>
      <c r="B209" s="225">
        <v>4058</v>
      </c>
      <c r="C209" s="227" t="s">
        <v>192</v>
      </c>
      <c r="D209" s="227" t="s">
        <v>531</v>
      </c>
      <c r="E209" s="226">
        <v>43107.092789351853</v>
      </c>
      <c r="F209" s="226">
        <v>43107.094224537039</v>
      </c>
      <c r="G209" s="225">
        <v>57</v>
      </c>
      <c r="H209" s="227" t="s">
        <v>1027</v>
      </c>
      <c r="I209" s="226">
        <v>43107.105324074073</v>
      </c>
      <c r="J209" s="225">
        <v>0</v>
      </c>
      <c r="K209" s="237" t="str">
        <f>IF(ISEVEN(B209),(B209-1)&amp;"/"&amp;B209,B209&amp;"/"&amp;(B209+1))</f>
        <v>4057/4058</v>
      </c>
      <c r="L209" s="245" t="str">
        <f>VLOOKUP(A209,'Trips&amp;Operators'!$C$1:$G$99911,5,FALSE)</f>
        <v>NICHOLSON WESLEY</v>
      </c>
      <c r="M209" s="224">
        <f>I209-F209</f>
        <v>1.1099537034169771E-2</v>
      </c>
      <c r="N209" s="225">
        <f>24*60*SUM($M209:$M209)</f>
        <v>15.98333332920447</v>
      </c>
      <c r="O209" s="225"/>
      <c r="P209" s="225"/>
      <c r="Q209" s="228"/>
      <c r="R209" s="242"/>
      <c r="S209" s="249">
        <f>1/IF(AG209="EC",12,1)*SUM(U209:U209)</f>
        <v>1</v>
      </c>
      <c r="T209" s="242" t="str">
        <f>IF(ISEVEN(LEFT(AD209,4)),"Southbound","NorthBound")</f>
        <v>NorthBound</v>
      </c>
      <c r="U209" s="246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248" t="str">
        <f>"https://d0f6bd738d7f1b3e5a7ca70fe4ff75f0.us-east-1.aws.found.io/app/kibana#/discover/Steve-Slow-Train-Analysis-(2080s-and-2083s)?_g="&amp;"(refreshInterval:(display:Off,pause:!f,section:0,value:0),time:(from:'"&amp;TEXT(E209-1/24,"yyyy-MM-DDThh:mm:ss")&amp;utc_offset&amp;"00"&amp;"',mode:absolute,to:'"&amp;TEXT(I209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209&amp;"%22')),sort:!(Time.ISO8601,asc))"</f>
        <v>https://d0f6bd738d7f1b3e5a7ca70fe4ff75f0.us-east-1.aws.found.io/app/kibana#/discover/Steve-Slow-Train-Analysis-(2080s-and-2083s)?_g=(refreshInterval:(display:Off,pause:!f,section:0,value:0),time:(from:'2018-01-07T01:13:37-0700',mode:absolute,to:'2018-01-07T03:31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09" s="247" t="str">
        <f>IF(AA209&lt;VLOOKUP(AG209,Variables!$AC$3:$AD$8,2,FALSE),"Y","N")</f>
        <v>Y</v>
      </c>
      <c r="X209" s="247">
        <f>VALUE(LEFT(AD209,4))-VALUE(LEFT(AD208,4))</f>
        <v>1</v>
      </c>
      <c r="Y209" s="247">
        <f>RIGHT(D209,LEN(D209)-4)/10000</f>
        <v>5.3999999999999999E-2</v>
      </c>
      <c r="Z209" s="247">
        <f>RIGHT(H209,LEN(H209)-4)/10000</f>
        <v>2.3304</v>
      </c>
      <c r="AA209" s="247">
        <f>ABS(Z209-Y209)</f>
        <v>2.2764000000000002</v>
      </c>
      <c r="AB209" s="233" t="e">
        <f>VLOOKUP(A209,Enforcements!$C$7:$K$9,8,0)</f>
        <v>#N/A</v>
      </c>
      <c r="AC209" s="232" t="e">
        <f>VLOOKUP(A209,Enforcements!$C$7:$E$9,3,0)</f>
        <v>#N/A</v>
      </c>
      <c r="AD209" s="243">
        <f>VALUE(LEFT(A209,LEN(A209)-3))</f>
        <v>311</v>
      </c>
      <c r="AE209" s="235" t="str">
        <f>"aws s3 cp "&amp;s3_bucket&amp;"/RTDC"&amp;B209&amp;"/ "&amp;search_path&amp;"\RTDC"&amp;B209&amp;"\"&amp;TEXT(F209,"YYYY-MM-DD")&amp;" --exclude ""*"" --recursive --include ""*"&amp;TEXT(F209,"YYYYMMDD")&amp;"*"" &amp; """&amp;walkandungz&amp;""" "&amp;search_path&amp;"\RTDC"&amp;B209&amp;"\"&amp;TEXT(F209,"YYYY-MM-DD")
&amp;" &amp; "&amp;"aws s3 cp "&amp;s3_bucket&amp;"/RTDC"&amp;B209&amp;"/ "&amp;search_path&amp;"\RTDC"&amp;B209&amp;"\"&amp;TEXT(F209+1,"YYYY-MM-DD")&amp;" --exclude ""*"" --recursive --include ""*"&amp;TEXT(F209+1,"YYYYMMDD")&amp;"*"" &amp; """&amp;walkandungz&amp;""" "&amp;search_path&amp;"\RTDC"&amp;B209&amp;"\"&amp;TEXT(F209+1,"YYYY-MM-DD")</f>
        <v>aws s3 cp s3://rtdc.mdm.uploadarchive.raw/RTDC4058/ "%USERPROFILE%\AppData\Local\Temp\OnboardLogs"\RTDC4058\2018-01-07 --exclude "*" --recursive --include "*20180107*" &amp; "%USERPROFILE%\Documents\GitHub\mrs-test-scripts\Headless Mode &amp; Sideloading\WalkAndUnGZ.bat" "%USERPROFILE%\AppData\Local\Temp\OnboardLogs"\RTDC4058\2018-01-07 &amp; aws s3 cp s3://rtdc.mdm.uploadarchive.raw/RTDC4058/ "%USERPROFILE%\AppData\Local\Temp\OnboardLogs"\RTDC4058\2018-01-08 --exclude "*" --recursive --include "*20180108*" &amp; "%USERPROFILE%\Documents\GitHub\mrs-test-scripts\Headless Mode &amp; Sideloading\WalkAndUnGZ.bat" "%USERPROFILE%\AppData\Local\Temp\OnboardLogs"\RTDC4058\2018-01-08</v>
      </c>
      <c r="AF209" s="234" t="str">
        <f>astrogrep_path&amp;" /e /r /s /spath="&amp;search_path&amp;" /stypes=""app*"&amp;B209&amp;"*"&amp;TEXT(I209-utc_offset/24,"YYYYMMDD")&amp;"*"" /stext="" "&amp;TEXT(I209-utc_offset/24,"HH")&amp;search_regexp&amp;""""</f>
        <v>"C:\Program Files (x86)\AstroGrep\AstroGrep.exe" /e /r /s /spath="%USERPROFILE%\AppData\Local\Temp\OnboardLogs" /stypes="app*4058*20180107*" /stext=" 09:.+((SYSTEM_STATE.+slice.+state.+changed )|(ment ac)|(multiple cpu faults)|(system.+state.+changed )|(\[timeout)|(PRM\|1\|D)|(kpr)|(kdp)|(train st.+moving)|(\|lc)|(penalty))"</v>
      </c>
      <c r="AG209" s="244" t="str">
        <f>DetSubdiv(A209)</f>
        <v>Other</v>
      </c>
      <c r="AH209" s="236" t="str">
        <f t="shared" si="36"/>
        <v>"%USERPROFILE%\Documents\GitHub\eaglep3\Utilities\RefineRTDCRunTimes.py" --tripid 311-06 --locoid 4058 --swversion DE.1.0.9.0 --startMP 204:540 --initTime 2018-01-07T02:13:37 --startdatetime 2018-01-07T02:15:41 --delay 57 --endMP 300:23304 --enddatetime 2018-01-07T02:31:40 --enforcementcount 0 &gt;&gt;%USERPROFILE%\Documents\GitHub\eaglep3-reporting\EC\2018-01-06-refined-times.txt</v>
      </c>
      <c r="AI209" s="238" t="str">
        <f t="shared" si="37"/>
        <v>echo {"issue":{"subject":"","project_id":79,"tracker_id":40,"status_id":1,"priority_id":2,"assigned_to_id":338,"start_date":"2018-01-07","description":"","custom_fields":[{"id":1,"name":"Subdivision","value":"Other"},{"id":4,"name":"Milepost","value":"2.3304"},{"id":17,"name":"Train ID","value":"311-06"},{"id":16,"name":"Locomotive ID","value":"4058"},{"id":130,"name":"Impact","value":""},{"id":150,"name":"Time of Event (Mountain Time)","value":"02:31:40"},{"id":151,"name":"Denver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09" s="231"/>
      <c r="AL209" s="231"/>
      <c r="AM209" s="240" t="str">
        <f t="shared" si="38"/>
        <v>start /low /b %USERPROFILE%\Documents\GitHub\eaglep3\Utilities\DownloadLogsFromS3.py --loco 4058 --day 2018-01-07</v>
      </c>
      <c r="AN209" s="241" t="str">
        <f t="shared" si="39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09:31:40"},{"id":29,"name":"Sharepoint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 s="230" t="str">
        <f t="shared" si="40"/>
        <v>https://d0f6bd738d7f1b3e5a7ca70fe4ff75f0.us-east-1.aws.found.io/app/kibana#/discover/Steve-Slow-Train-Analysis-(2080s-and-2083s)?_g=(refreshInterval:(display:Off,pause:!f,section:0,value:0),time:(from:'2018-01-07T01:13:37-0700',mode:absolute,to:'2018-01-07T03:31:40-0700'))&amp;_a=(columns:!('Message%20ID',Summary),filters:!(),index:'emp_*',interval:auto,query:(query_string:(analyze_wildcard:!t,query:'%22rtdc.l.rtdc.4058%22')),sort:!(Time.ISO8601,asc))</v>
      </c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s="20" customFormat="1" x14ac:dyDescent="0.3">
      <c r="A210" s="229" t="s">
        <v>719</v>
      </c>
      <c r="B210" s="225">
        <v>4059</v>
      </c>
      <c r="C210" s="227" t="s">
        <v>192</v>
      </c>
      <c r="D210" s="227" t="s">
        <v>1031</v>
      </c>
      <c r="E210" s="226">
        <v>43106.216608796298</v>
      </c>
      <c r="F210" s="226">
        <v>43106.220775462964</v>
      </c>
      <c r="G210" s="225">
        <v>137</v>
      </c>
      <c r="H210" s="227" t="s">
        <v>521</v>
      </c>
      <c r="I210" s="226">
        <v>43106.226423611108</v>
      </c>
      <c r="J210" s="225">
        <v>0</v>
      </c>
      <c r="K210" s="237" t="str">
        <f>IF(ISEVEN(B210),(B210-1)&amp;"/"&amp;B210,B210&amp;"/"&amp;(B210+1))</f>
        <v>4059/4060</v>
      </c>
      <c r="L210" s="245" t="str">
        <f>VLOOKUP(A210,'Trips&amp;Operators'!$C$1:$G$99911,5,FALSE)</f>
        <v>WILLIAMS DONTE</v>
      </c>
      <c r="M210" s="224">
        <f>I210-F210</f>
        <v>5.648148144246079E-3</v>
      </c>
      <c r="N210" s="225">
        <f>24*60*SUM($M210:$M210)</f>
        <v>8.1333333277143538</v>
      </c>
      <c r="O210" s="225"/>
      <c r="P210" s="225"/>
      <c r="Q210" s="228"/>
      <c r="R210" s="242"/>
      <c r="S210" s="249">
        <f>1/IF(AG210="EC",12,1)*SUM(U210:U210)</f>
        <v>1</v>
      </c>
      <c r="T210" s="242" t="str">
        <f>IF(ISEVEN(LEFT(AD210,4)),"Southbound","NorthBound")</f>
        <v>Southbound</v>
      </c>
      <c r="U210" s="246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248" t="str">
        <f>"https://d0f6bd738d7f1b3e5a7ca70fe4ff75f0.us-east-1.aws.found.io/app/kibana#/discover/Steve-Slow-Train-Analysis-(2080s-and-2083s)?_g="&amp;"(refreshInterval:(display:Off,pause:!f,section:0,value:0),time:(from:'"&amp;TEXT(E210-1/24,"yyyy-MM-DDThh:mm:ss")&amp;utc_offset&amp;"00"&amp;"',mode:absolute,to:'"&amp;TEXT(I210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210&amp;"%22')),sort:!(Time.ISO8601,asc))"</f>
        <v>https://d0f6bd738d7f1b3e5a7ca70fe4ff75f0.us-east-1.aws.found.io/app/kibana#/discover/Steve-Slow-Train-Analysis-(2080s-and-2083s)?_g=(refreshInterval:(display:Off,pause:!f,section:0,value:0),time:(from:'2018-01-06T04:11:55-0700',mode:absolute,to:'2018-01-06T06:26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10" s="247" t="str">
        <f>IF(AA210&lt;VLOOKUP(AG210,Variables!$AC$3:$AD$8,2,FALSE),"Y","N")</f>
        <v>Y</v>
      </c>
      <c r="X210" s="247">
        <f>VALUE(LEFT(AD210,4))-VALUE(LEFT(AD209,4))</f>
        <v>1</v>
      </c>
      <c r="Y210" s="247">
        <f>RIGHT(D210,LEN(D210)-4)/10000</f>
        <v>2.3624999999999998</v>
      </c>
      <c r="Z210" s="247">
        <f>RIGHT(H210,LEN(H210)-4)/10000</f>
        <v>2.4199999999999999E-2</v>
      </c>
      <c r="AA210" s="247">
        <f>ABS(Z210-Y210)</f>
        <v>2.3382999999999998</v>
      </c>
      <c r="AB210" s="233" t="e">
        <f>VLOOKUP(A210,Enforcements!$C$7:$K$9,8,0)</f>
        <v>#N/A</v>
      </c>
      <c r="AC210" s="232" t="e">
        <f>VLOOKUP(A210,Enforcements!$C$7:$E$9,3,0)</f>
        <v>#N/A</v>
      </c>
      <c r="AD210" s="243">
        <f>VALUE(LEFT(A210,LEN(A210)-3))</f>
        <v>312</v>
      </c>
      <c r="AE210" s="235" t="str">
        <f>"aws s3 cp "&amp;s3_bucket&amp;"/RTDC"&amp;B210&amp;"/ "&amp;search_path&amp;"\RTDC"&amp;B210&amp;"\"&amp;TEXT(F210,"YYYY-MM-DD")&amp;" --exclude ""*"" --recursive --include ""*"&amp;TEXT(F210,"YYYYMMDD")&amp;"*"" &amp; """&amp;walkandungz&amp;""" "&amp;search_path&amp;"\RTDC"&amp;B210&amp;"\"&amp;TEXT(F210,"YYYY-MM-DD")
&amp;" &amp; "&amp;"aws s3 cp "&amp;s3_bucket&amp;"/RTDC"&amp;B210&amp;"/ "&amp;search_path&amp;"\RTDC"&amp;B210&amp;"\"&amp;TEXT(F210+1,"YYYY-MM-DD")&amp;" --exclude ""*"" --recursive --include ""*"&amp;TEXT(F210+1,"YYYYMMDD")&amp;"*"" &amp; """&amp;walkandungz&amp;""" "&amp;search_path&amp;"\RTDC"&amp;B210&amp;"\"&amp;TEXT(F210+1,"YYYY-MM-DD")</f>
        <v>aws s3 cp s3://rtdc.mdm.uploadarchive.raw/RTDC4059/ "%USERPROFILE%\AppData\Local\Temp\OnboardLogs"\RTDC4059\2018-01-06 --exclude "*" --recursive --include "*20180106*" &amp; "%USERPROFILE%\Documents\GitHub\mrs-test-scripts\Headless Mode &amp; Sideloading\WalkAndUnGZ.bat" "%USERPROFILE%\AppData\Local\Temp\OnboardLogs"\RTDC4059\2018-01-06 &amp; aws s3 cp s3://rtdc.mdm.uploadarchive.raw/RTDC4059/ "%USERPROFILE%\AppData\Local\Temp\OnboardLogs"\RTDC4059\2018-01-07 --exclude "*" --recursive --include "*20180107*" &amp; "%USERPROFILE%\Documents\GitHub\mrs-test-scripts\Headless Mode &amp; Sideloading\WalkAndUnGZ.bat" "%USERPROFILE%\AppData\Local\Temp\OnboardLogs"\RTDC4059\2018-01-07</v>
      </c>
      <c r="AF210" s="234" t="str">
        <f>astrogrep_path&amp;" /e /r /s /spath="&amp;search_path&amp;" /stypes=""app*"&amp;B210&amp;"*"&amp;TEXT(I210-utc_offset/24,"YYYYMMDD")&amp;"*"" /stext="" "&amp;TEXT(I210-utc_offset/24,"HH")&amp;search_regexp&amp;""""</f>
        <v>"C:\Program Files (x86)\AstroGrep\AstroGrep.exe" /e /r /s /spath="%USERPROFILE%\AppData\Local\Temp\OnboardLogs" /stypes="app*4059*20180106*" /stext=" 12:.+((SYSTEM_STATE.+slice.+state.+changed )|(ment ac)|(multiple cpu faults)|(system.+state.+changed )|(\[timeout)|(PRM\|1\|D)|(kpr)|(kdp)|(train st.+moving)|(\|lc)|(penalty))"</v>
      </c>
      <c r="AG210" s="244" t="str">
        <f>DetSubdiv(A210)</f>
        <v>Other</v>
      </c>
      <c r="AH210" s="236" t="str">
        <f t="shared" si="36"/>
        <v>"%USERPROFILE%\Documents\GitHub\eaglep3\Utilities\RefineRTDCRunTimes.py" --tripid 312-06 --locoid 4059 --swversion DE.1.0.9.0 --startMP 300:23625 --initTime 2018-01-06T05:11:55 --startdatetime 2018-01-06T05:17:55 --delay 137 --endMP 204:242 --enddatetime 2018-01-06T05:26:03 --enforcementcount 0 &gt;&gt;%USERPROFILE%\Documents\GitHub\eaglep3-reporting\EC\2018-01-06-refined-times.txt</v>
      </c>
      <c r="AI210" s="238" t="str">
        <f t="shared" si="37"/>
        <v>echo {"issue":{"subject":"","project_id":79,"tracker_id":40,"status_id":1,"priority_id":2,"assigned_to_id":338,"start_date":"2018-01-06","description":"","custom_fields":[{"id":1,"name":"Subdivision","value":"Other"},{"id":4,"name":"Milepost","value":"0.0242"},{"id":17,"name":"Train ID","value":"312-06"},{"id":16,"name":"Locomotive ID","value":"4059"},{"id":130,"name":"Impact","value":""},{"id":150,"name":"Time of Event (Mountain Time)","value":"05:26:03"},{"id":151,"name":"Denver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0" s="223"/>
      <c r="AK210" s="231"/>
      <c r="AL210" s="231"/>
      <c r="AM210" s="240" t="str">
        <f t="shared" si="38"/>
        <v>start /low /b %USERPROFILE%\Documents\GitHub\eaglep3\Utilities\DownloadLogsFromS3.py --loco 4059 --day 2018-01-06</v>
      </c>
      <c r="AN210" s="241" t="str">
        <f t="shared" si="39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12:26:03"},{"id":29,"name":"Sharepoint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 s="230" t="str">
        <f t="shared" si="40"/>
        <v>https://d0f6bd738d7f1b3e5a7ca70fe4ff75f0.us-east-1.aws.found.io/app/kibana#/discover/Steve-Slow-Train-Analysis-(2080s-and-2083s)?_g=(refreshInterval:(display:Off,pause:!f,section:0,value:0),time:(from:'2018-01-06T04:11:55-0700',mode:absolute,to:'2018-01-06T06:26:03-0700'))&amp;_a=(columns:!('Message%20ID',Summary),filters:!(),index:'emp_*',interval:auto,query:(query_string:(analyze_wildcard:!t,query:'%22rtdc.l.rtdc.4059%22')),sort:!(Time.ISO8601,asc))</v>
      </c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s="223" customFormat="1" x14ac:dyDescent="0.3">
      <c r="A211" s="229" t="s">
        <v>722</v>
      </c>
      <c r="B211" s="225">
        <v>4056</v>
      </c>
      <c r="C211" s="227" t="s">
        <v>192</v>
      </c>
      <c r="D211" s="227" t="s">
        <v>983</v>
      </c>
      <c r="E211" s="226">
        <v>43106.224108796298</v>
      </c>
      <c r="F211" s="226">
        <v>43106.228784722225</v>
      </c>
      <c r="G211" s="225">
        <v>125</v>
      </c>
      <c r="H211" s="227" t="s">
        <v>573</v>
      </c>
      <c r="I211" s="226">
        <v>43106.233622685184</v>
      </c>
      <c r="J211" s="225">
        <v>0</v>
      </c>
      <c r="K211" s="237" t="str">
        <f>IF(ISEVEN(B211),(B211-1)&amp;"/"&amp;B211,B211&amp;"/"&amp;(B211+1))</f>
        <v>4055/4056</v>
      </c>
      <c r="L211" s="245" t="str">
        <f>VLOOKUP(A211,'Trips&amp;Operators'!$C$1:$G$99911,5,FALSE)</f>
        <v>LAMAR NEKESHA</v>
      </c>
      <c r="M211" s="224">
        <f>I211-F211</f>
        <v>4.8379629588453099E-3</v>
      </c>
      <c r="N211" s="225">
        <f>24*60*SUM($M211:$M211)</f>
        <v>6.9666666607372463</v>
      </c>
      <c r="O211" s="225"/>
      <c r="P211" s="225"/>
      <c r="Q211" s="228"/>
      <c r="R211" s="242"/>
      <c r="S211" s="249">
        <f>1/IF(AG211="EC",12,1)*SUM(U211:U211)</f>
        <v>0</v>
      </c>
      <c r="T211" s="242" t="str">
        <f>IF(ISEVEN(LEFT(AD211,4)),"Southbound","NorthBound")</f>
        <v>NorthBound</v>
      </c>
      <c r="U211" s="246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248" t="str">
        <f>"https://d0f6bd738d7f1b3e5a7ca70fe4ff75f0.us-east-1.aws.found.io/app/kibana#/discover/Steve-Slow-Train-Analysis-(2080s-and-2083s)?_g="&amp;"(refreshInterval:(display:Off,pause:!f,section:0,value:0),time:(from:'"&amp;TEXT(E211-1/24,"yyyy-MM-DDThh:mm:ss")&amp;utc_offset&amp;"00"&amp;"',mode:absolute,to:'"&amp;TEXT(I211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211&amp;"%22')),sort:!(Time.ISO8601,asc))"</f>
        <v>https://d0f6bd738d7f1b3e5a7ca70fe4ff75f0.us-east-1.aws.found.io/app/kibana#/discover/Steve-Slow-Train-Analysis-(2080s-and-2083s)?_g=(refreshInterval:(display:Off,pause:!f,section:0,value:0),time:(from:'2018-01-06T04:22:43-0700',mode:absolute,to:'2018-01-06T06:36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11" s="247" t="str">
        <f>IF(AA211&lt;VLOOKUP(AG211,Variables!$AC$3:$AD$8,2,FALSE),"Y","N")</f>
        <v>Y</v>
      </c>
      <c r="X211" s="247">
        <f>VALUE(LEFT(AD211,4))-VALUE(LEFT(AD210,4))</f>
        <v>1589</v>
      </c>
      <c r="Y211" s="247">
        <f>RIGHT(D211,LEN(D211)-4)/10000</f>
        <v>3.0044</v>
      </c>
      <c r="Z211" s="247">
        <f>RIGHT(H211,LEN(H211)-4)/10000</f>
        <v>5.8954000000000004</v>
      </c>
      <c r="AA211" s="247">
        <f>ABS(Z211-Y211)</f>
        <v>2.8910000000000005</v>
      </c>
      <c r="AB211" s="233" t="e">
        <f>VLOOKUP(A211,Enforcements!$C$7:$K$9,8,0)</f>
        <v>#N/A</v>
      </c>
      <c r="AC211" s="232" t="e">
        <f>VLOOKUP(A211,Enforcements!$C$7:$E$9,3,0)</f>
        <v>#N/A</v>
      </c>
      <c r="AD211" s="243">
        <f>VALUE(LEFT(A211,LEN(A211)-3))</f>
        <v>1901</v>
      </c>
      <c r="AE211" s="235" t="str">
        <f>"aws s3 cp "&amp;s3_bucket&amp;"/RTDC"&amp;B211&amp;"/ "&amp;search_path&amp;"\RTDC"&amp;B211&amp;"\"&amp;TEXT(F211,"YYYY-MM-DD")&amp;" --exclude ""*"" --recursive --include ""*"&amp;TEXT(F211,"YYYYMMDD")&amp;"*"" &amp; """&amp;walkandungz&amp;""" "&amp;search_path&amp;"\RTDC"&amp;B211&amp;"\"&amp;TEXT(F211,"YYYY-MM-DD")
&amp;" &amp; "&amp;"aws s3 cp "&amp;s3_bucket&amp;"/RTDC"&amp;B211&amp;"/ "&amp;search_path&amp;"\RTDC"&amp;B211&amp;"\"&amp;TEXT(F211+1,"YYYY-MM-DD")&amp;" --exclude ""*"" --recursive --include ""*"&amp;TEXT(F211+1,"YYYYMMDD")&amp;"*"" &amp; """&amp;walkandungz&amp;""" "&amp;search_path&amp;"\RTDC"&amp;B211&amp;"\"&amp;TEXT(F211+1,"YYYY-MM-DD")</f>
        <v>aws s3 cp s3://rtdc.mdm.uploadarchive.raw/RTDC4056/ "%USERPROFILE%\AppData\Local\Temp\OnboardLogs"\RTDC4056\2018-01-06 --exclude "*" --recursive --include "*20180106*" &amp; "%USERPROFILE%\Documents\GitHub\mrs-test-scripts\Headless Mode &amp; Sideloading\WalkAndUnGZ.bat" "%USERPROFILE%\AppData\Local\Temp\OnboardLogs"\RTDC4056\2018-01-06 &amp; aws s3 cp s3://rtdc.mdm.uploadarchive.raw/RTDC4056/ "%USERPROFILE%\AppData\Local\Temp\OnboardLogs"\RTDC4056\2018-01-07 --exclude "*" --recursive --include "*20180107*" &amp; "%USERPROFILE%\Documents\GitHub\mrs-test-scripts\Headless Mode &amp; Sideloading\WalkAndUnGZ.bat" "%USERPROFILE%\AppData\Local\Temp\OnboardLogs"\RTDC4056\2018-01-07</v>
      </c>
      <c r="AF211" s="234" t="str">
        <f>astrogrep_path&amp;" /e /r /s /spath="&amp;search_path&amp;" /stypes=""app*"&amp;B211&amp;"*"&amp;TEXT(I211-utc_offset/24,"YYYYMMDD")&amp;"*"" /stext="" "&amp;TEXT(I211-utc_offset/24,"HH")&amp;search_regexp&amp;""""</f>
        <v>"C:\Program Files (x86)\AstroGrep\AstroGrep.exe" /e /r /s /spath="%USERPROFILE%\AppData\Local\Temp\OnboardLogs" /stypes="app*4056*20180106*" /stext=" 12:.+((SYSTEM_STATE.+slice.+state.+changed )|(ment ac)|(multiple cpu faults)|(system.+state.+changed )|(\[timeout)|(PRM\|1\|D)|(kpr)|(kdp)|(train st.+moving)|(\|lc)|(penalty))"</v>
      </c>
      <c r="AG211" s="244" t="str">
        <f>DetSubdiv(A211)</f>
        <v>Other</v>
      </c>
      <c r="AH211" s="236" t="str">
        <f t="shared" si="36"/>
        <v>"%USERPROFILE%\Documents\GitHub\eaglep3\Utilities\RefineRTDCRunTimes.py" --tripid 1901-06 --locoid 4056 --swversion DE.1.0.9.0 --startMP 300:30044 --initTime 2018-01-06T05:22:43 --startdatetime 2018-01-06T05:29:27 --delay 125 --endMP 300:58954 --enddatetime 2018-01-06T05:36:25 --enforcementcount 0 &gt;&gt;%USERPROFILE%\Documents\GitHub\eaglep3-reporting\EC\2018-01-06-refined-times.txt</v>
      </c>
      <c r="AI211" s="238" t="str">
        <f t="shared" si="37"/>
        <v>echo {"issue":{"subject":"","project_id":79,"tracker_id":40,"status_id":1,"priority_id":2,"assigned_to_id":338,"start_date":"2018-01-06","description":"","custom_fields":[{"id":1,"name":"Subdivision","value":"Other"},{"id":4,"name":"Milepost","value":"5.8954"},{"id":17,"name":"Train ID","value":"1901-06"},{"id":16,"name":"Locomotive ID","value":"4056"},{"id":130,"name":"Impact","value":""},{"id":150,"name":"Time of Event (Mountain Time)","value":"05:36:25"},{"id":151,"name":"Denver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1" s="231"/>
      <c r="AL211" s="231"/>
      <c r="AM211" s="240" t="str">
        <f t="shared" si="38"/>
        <v>start /low /b %USERPROFILE%\Documents\GitHub\eaglep3\Utilities\DownloadLogsFromS3.py --loco 4056 --day 2018-01-06</v>
      </c>
      <c r="AN211" s="241" t="str">
        <f t="shared" si="39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12:36:25"},{"id":29,"name":"Sharepoint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 s="230" t="str">
        <f t="shared" si="40"/>
        <v>https://d0f6bd738d7f1b3e5a7ca70fe4ff75f0.us-east-1.aws.found.io/app/kibana#/discover/Steve-Slow-Train-Analysis-(2080s-and-2083s)?_g=(refreshInterval:(display:Off,pause:!f,section:0,value:0),time:(from:'2018-01-06T04:22:43-0700',mode:absolute,to:'2018-01-06T06:36:25-0700'))&amp;_a=(columns:!('Message%20ID',Summary),filters:!(),index:'emp_*',interval:auto,query:(query_string:(analyze_wildcard:!t,query:'%22rtdc.l.rtdc.4056%22')),sort:!(Time.ISO8601,asc))</v>
      </c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s="223" customFormat="1" x14ac:dyDescent="0.3">
      <c r="A212" s="229" t="s">
        <v>879</v>
      </c>
      <c r="B212" s="225">
        <v>4055</v>
      </c>
      <c r="C212" s="227" t="s">
        <v>192</v>
      </c>
      <c r="D212" s="227" t="s">
        <v>984</v>
      </c>
      <c r="E212" s="226">
        <v>43106.975995370369</v>
      </c>
      <c r="F212" s="226">
        <v>43106.977627314816</v>
      </c>
      <c r="G212" s="225">
        <v>54</v>
      </c>
      <c r="H212" s="227" t="s">
        <v>657</v>
      </c>
      <c r="I212" s="226">
        <v>43106.985937500001</v>
      </c>
      <c r="J212" s="225">
        <v>0</v>
      </c>
      <c r="K212" s="237" t="str">
        <f>IF(ISEVEN(B212),(B212-1)&amp;"/"&amp;B212,B212&amp;"/"&amp;(B212+1))</f>
        <v>4055/4056</v>
      </c>
      <c r="L212" s="245" t="str">
        <f>VLOOKUP(A212,'Trips&amp;Operators'!$C$1:$G$99911,5,FALSE)</f>
        <v>SMITH MICHAEL</v>
      </c>
      <c r="M212" s="224">
        <f>I212-F212</f>
        <v>8.3101851851097308E-3</v>
      </c>
      <c r="N212" s="225">
        <f>24*60*SUM($M212:$M212)</f>
        <v>11.966666666558012</v>
      </c>
      <c r="O212" s="225"/>
      <c r="P212" s="225"/>
      <c r="Q212" s="228"/>
      <c r="R212" s="242"/>
      <c r="S212" s="249">
        <f>1/IF(AG212="EC",12,1)*SUM(U212:U212)</f>
        <v>0</v>
      </c>
      <c r="T212" s="242" t="str">
        <f>IF(ISEVEN(LEFT(AD212,4)),"Southbound","NorthBound")</f>
        <v>Southbound</v>
      </c>
      <c r="U212" s="246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248" t="str">
        <f>"https://d0f6bd738d7f1b3e5a7ca70fe4ff75f0.us-east-1.aws.found.io/app/kibana#/discover/Steve-Slow-Train-Analysis-(2080s-and-2083s)?_g="&amp;"(refreshInterval:(display:Off,pause:!f,section:0,value:0),time:(from:'"&amp;TEXT(E212-1/24,"yyyy-MM-DDThh:mm:ss")&amp;utc_offset&amp;"00"&amp;"',mode:absolute,to:'"&amp;TEXT(I212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212&amp;"%22')),sort:!(Time.ISO8601,asc))"</f>
        <v>https://d0f6bd738d7f1b3e5a7ca70fe4ff75f0.us-east-1.aws.found.io/app/kibana#/discover/Steve-Slow-Train-Analysis-(2080s-and-2083s)?_g=(refreshInterval:(display:Off,pause:!f,section:0,value:0),time:(from:'2018-01-06T22:25:26-0700',mode:absolute,to:'2018-01-07T00:39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12" s="247" t="str">
        <f>IF(AA212&lt;VLOOKUP(AG212,Variables!$AC$3:$AD$8,2,FALSE),"Y","N")</f>
        <v>Y</v>
      </c>
      <c r="X212" s="247">
        <f>VALUE(LEFT(AD212,4))-VALUE(LEFT(AD211,4))</f>
        <v>1</v>
      </c>
      <c r="Y212" s="247">
        <f>RIGHT(D212,LEN(D212)-4)/10000</f>
        <v>5.8672000000000004</v>
      </c>
      <c r="Z212" s="247">
        <f>RIGHT(H212,LEN(H212)-4)/10000</f>
        <v>2.8786</v>
      </c>
      <c r="AA212" s="247">
        <f>ABS(Z212-Y212)</f>
        <v>2.9886000000000004</v>
      </c>
      <c r="AB212" s="233" t="e">
        <f>VLOOKUP(A212,Enforcements!$C$7:$K$9,8,0)</f>
        <v>#N/A</v>
      </c>
      <c r="AC212" s="232" t="e">
        <f>VLOOKUP(A212,Enforcements!$C$7:$E$9,3,0)</f>
        <v>#N/A</v>
      </c>
      <c r="AD212" s="243">
        <f>VALUE(LEFT(A212,LEN(A212)-3))</f>
        <v>1902</v>
      </c>
      <c r="AE212" s="235" t="str">
        <f>"aws s3 cp "&amp;s3_bucket&amp;"/RTDC"&amp;B212&amp;"/ "&amp;search_path&amp;"\RTDC"&amp;B212&amp;"\"&amp;TEXT(F212,"YYYY-MM-DD")&amp;" --exclude ""*"" --recursive --include ""*"&amp;TEXT(F212,"YYYYMMDD")&amp;"*"" &amp; """&amp;walkandungz&amp;""" "&amp;search_path&amp;"\RTDC"&amp;B212&amp;"\"&amp;TEXT(F212,"YYYY-MM-DD")
&amp;" &amp; "&amp;"aws s3 cp "&amp;s3_bucket&amp;"/RTDC"&amp;B212&amp;"/ "&amp;search_path&amp;"\RTDC"&amp;B212&amp;"\"&amp;TEXT(F212+1,"YYYY-MM-DD")&amp;" --exclude ""*"" --recursive --include ""*"&amp;TEXT(F212+1,"YYYYMMDD")&amp;"*"" &amp; """&amp;walkandungz&amp;""" "&amp;search_path&amp;"\RTDC"&amp;B212&amp;"\"&amp;TEXT(F212+1,"YYYY-MM-DD")</f>
        <v>aws s3 cp s3://rtdc.mdm.uploadarchive.raw/RTDC4055/ "%USERPROFILE%\AppData\Local\Temp\OnboardLogs"\RTDC4055\2018-01-06 --exclude "*" --recursive --include "*20180106*" &amp; "%USERPROFILE%\Documents\GitHub\mrs-test-scripts\Headless Mode &amp; Sideloading\WalkAndUnGZ.bat" "%USERPROFILE%\AppData\Local\Temp\OnboardLogs"\RTDC4055\2018-01-06 &amp; aws s3 cp s3://rtdc.mdm.uploadarchive.raw/RTDC4055/ "%USERPROFILE%\AppData\Local\Temp\OnboardLogs"\RTDC4055\2018-01-07 --exclude "*" --recursive --include "*20180107*" &amp; "%USERPROFILE%\Documents\GitHub\mrs-test-scripts\Headless Mode &amp; Sideloading\WalkAndUnGZ.bat" "%USERPROFILE%\AppData\Local\Temp\OnboardLogs"\RTDC4055\2018-01-07</v>
      </c>
      <c r="AF212" s="234" t="str">
        <f>astrogrep_path&amp;" /e /r /s /spath="&amp;search_path&amp;" /stypes=""app*"&amp;B212&amp;"*"&amp;TEXT(I212-utc_offset/24,"YYYYMMDD")&amp;"*"" /stext="" "&amp;TEXT(I212-utc_offset/24,"HH")&amp;search_regexp&amp;""""</f>
        <v>"C:\Program Files (x86)\AstroGrep\AstroGrep.exe" /e /r /s /spath="%USERPROFILE%\AppData\Local\Temp\OnboardLogs" /stypes="app*4055*20180107*" /stext=" 06:.+((SYSTEM_STATE.+slice.+state.+changed )|(ment ac)|(multiple cpu faults)|(system.+state.+changed )|(\[timeout)|(PRM\|1\|D)|(kpr)|(kdp)|(train st.+moving)|(\|lc)|(penalty))"</v>
      </c>
      <c r="AG212" s="244" t="str">
        <f>DetSubdiv(A212)</f>
        <v>Other</v>
      </c>
      <c r="AH212" s="236" t="str">
        <f t="shared" si="36"/>
        <v>"%USERPROFILE%\Documents\GitHub\eaglep3\Utilities\RefineRTDCRunTimes.py" --tripid 1902-06 --locoid 4055 --swversion DE.1.0.9.0 --startMP 300:58672 --initTime 2018-01-06T23:25:26 --startdatetime 2018-01-06T23:27:47 --delay 54 --endMP 300:28786 --enddatetime 2018-01-06T23:39:45 --enforcementcount 0 &gt;&gt;%USERPROFILE%\Documents\GitHub\eaglep3-reporting\EC\2018-01-06-refined-times.txt</v>
      </c>
      <c r="AI212" s="238" t="str">
        <f t="shared" si="37"/>
        <v>echo {"issue":{"subject":"","project_id":79,"tracker_id":40,"status_id":1,"priority_id":2,"assigned_to_id":338,"start_date":"2018-01-06","description":"","custom_fields":[{"id":1,"name":"Subdivision","value":"Other"},{"id":4,"name":"Milepost","value":"2.8786"},{"id":17,"name":"Train ID","value":"1902-06"},{"id":16,"name":"Locomotive ID","value":"4055"},{"id":130,"name":"Impact","value":""},{"id":150,"name":"Time of Event (Mountain Time)","value":"23:39:45"},{"id":151,"name":"Denver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2" s="231"/>
      <c r="AL212" s="231"/>
      <c r="AM212" s="240" t="str">
        <f t="shared" si="38"/>
        <v>start /low /b %USERPROFILE%\Documents\GitHub\eaglep3\Utilities\DownloadLogsFromS3.py --loco 4055 --day 2018-01-06</v>
      </c>
      <c r="AN212" s="241" t="str">
        <f t="shared" si="39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06:39:45"},{"id":29,"name":"Sharepoint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 s="230" t="str">
        <f t="shared" si="40"/>
        <v>https://d0f6bd738d7f1b3e5a7ca70fe4ff75f0.us-east-1.aws.found.io/app/kibana#/discover/Steve-Slow-Train-Analysis-(2080s-and-2083s)?_g=(refreshInterval:(display:Off,pause:!f,section:0,value:0),time:(from:'2018-01-06T22:25:26-0700',mode:absolute,to:'2018-01-07T00:39:45-0700'))&amp;_a=(columns:!('Message%20ID',Summary),filters:!(),index:'emp_*',interval:auto,query:(query_string:(analyze_wildcard:!t,query:'%22rtdc.l.rtdc.4055%22')),sort:!(Time.ISO8601,asc))</v>
      </c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s="223" customFormat="1" x14ac:dyDescent="0.3">
      <c r="A213" s="229" t="s">
        <v>756</v>
      </c>
      <c r="B213" s="225">
        <v>4034</v>
      </c>
      <c r="C213" s="227" t="s">
        <v>192</v>
      </c>
      <c r="D213" s="227" t="s">
        <v>572</v>
      </c>
      <c r="E213" s="226">
        <v>43106.405787037038</v>
      </c>
      <c r="F213" s="226">
        <v>43106.466874999998</v>
      </c>
      <c r="G213" s="225">
        <v>45</v>
      </c>
      <c r="H213" s="227" t="s">
        <v>915</v>
      </c>
      <c r="I213" s="226">
        <v>43106.494826388887</v>
      </c>
      <c r="J213" s="225">
        <v>0</v>
      </c>
      <c r="K213" s="237" t="str">
        <f>IF(ISEVEN(B213),(B213-1)&amp;"/"&amp;B213,B213&amp;"/"&amp;(B213+1))</f>
        <v>4033/4034</v>
      </c>
      <c r="L213" s="245" t="str">
        <f>VLOOKUP(A213,'Trips&amp;Operators'!$C$1:$G$99911,5,FALSE)</f>
        <v>DE LA ROSA ALEX</v>
      </c>
      <c r="M213" s="224">
        <f>I213-F213</f>
        <v>2.7951388889050577E-2</v>
      </c>
      <c r="N213" s="225">
        <f>24*60*SUM($M213:$M213)</f>
        <v>40.250000000232831</v>
      </c>
      <c r="O213" s="225"/>
      <c r="P213" s="225"/>
      <c r="Q213" s="228"/>
      <c r="R213" s="242"/>
      <c r="S213" s="249">
        <f>1/IF(AG213="EC",12,1)*SUM(U213:U213)</f>
        <v>0</v>
      </c>
      <c r="T213" s="242" t="str">
        <f>IF(ISEVEN(LEFT(AD213,4)),"Southbound","NorthBound")</f>
        <v>Southbound</v>
      </c>
      <c r="U213" s="246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248" t="str">
        <f>"https://d0f6bd738d7f1b3e5a7ca70fe4ff75f0.us-east-1.aws.found.io/app/kibana#/discover/Steve-Slow-Train-Analysis-(2080s-and-2083s)?_g="&amp;"(refreshInterval:(display:Off,pause:!f,section:0,value:0),time:(from:'"&amp;TEXT(E213-1/24,"yyyy-MM-DDThh:mm:ss")&amp;utc_offset&amp;"00"&amp;"',mode:absolute,to:'"&amp;TEXT(I213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213&amp;"%22')),sort:!(Time.ISO8601,asc))"</f>
        <v>https://d0f6bd738d7f1b3e5a7ca70fe4ff75f0.us-east-1.aws.found.io/app/kibana#/discover/Steve-Slow-Train-Analysis-(2080s-and-2083s)?_g=(refreshInterval:(display:Off,pause:!f,section:0,value:0),time:(from:'2018-01-06T08:44:20-0700',mode:absolute,to:'2018-01-06T12:52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213" s="247" t="str">
        <f>IF(AA213&lt;VLOOKUP(AG213,Variables!$AC$3:$AD$8,2,FALSE),"Y","N")</f>
        <v>Y</v>
      </c>
      <c r="X213" s="247">
        <f>VALUE(LEFT(AD213,4))-VALUE(LEFT(AD212,4))</f>
        <v>-1852</v>
      </c>
      <c r="Y213" s="247">
        <f>RIGHT(D213,LEN(D213)-4)/10000</f>
        <v>4.4600000000000001E-2</v>
      </c>
      <c r="Z213" s="247">
        <f>RIGHT(H213,LEN(H213)-4)/10000</f>
        <v>23.3264</v>
      </c>
      <c r="AA213" s="247">
        <f>ABS(Z213-Y213)</f>
        <v>23.2818</v>
      </c>
      <c r="AB213" s="233" t="e">
        <f>VLOOKUP(A213,Enforcements!$C$7:$K$9,8,0)</f>
        <v>#N/A</v>
      </c>
      <c r="AC213" s="232" t="e">
        <f>VLOOKUP(A213,Enforcements!$C$7:$E$9,3,0)</f>
        <v>#N/A</v>
      </c>
      <c r="AD213" s="243">
        <f>VALUE(LEFT(A213,LEN(A213)-3))</f>
        <v>50</v>
      </c>
      <c r="AE213" s="235" t="str">
        <f>"aws s3 cp "&amp;s3_bucket&amp;"/RTDC"&amp;B213&amp;"/ "&amp;search_path&amp;"\RTDC"&amp;B213&amp;"\"&amp;TEXT(F213,"YYYY-MM-DD")&amp;" --exclude ""*"" --recursive --include ""*"&amp;TEXT(F213,"YYYYMMDD")&amp;"*"" &amp; """&amp;walkandungz&amp;""" "&amp;search_path&amp;"\RTDC"&amp;B213&amp;"\"&amp;TEXT(F213,"YYYY-MM-DD")
&amp;" &amp; "&amp;"aws s3 cp "&amp;s3_bucket&amp;"/RTDC"&amp;B213&amp;"/ "&amp;search_path&amp;"\RTDC"&amp;B213&amp;"\"&amp;TEXT(F213+1,"YYYY-MM-DD")&amp;" --exclude ""*"" --recursive --include ""*"&amp;TEXT(F213+1,"YYYYMMDD")&amp;"*"" &amp; """&amp;walkandungz&amp;""" "&amp;search_path&amp;"\RTDC"&amp;B213&amp;"\"&amp;TEXT(F213+1,"YYYY-MM-DD")</f>
        <v>aws s3 cp s3://rtdc.mdm.uploadarchive.raw/RTDC4034/ "%USERPROFILE%\AppData\Local\Temp\OnboardLogs"\RTDC4034\2018-01-06 --exclude "*" --recursive --include "*20180106*" &amp; "%USERPROFILE%\Documents\GitHub\mrs-test-scripts\Headless Mode &amp; Sideloading\WalkAndUnGZ.bat" "%USERPROFILE%\AppData\Local\Temp\OnboardLogs"\RTDC4034\2018-01-06 &amp; aws s3 cp s3://rtdc.mdm.uploadarchive.raw/RTDC4034/ "%USERPROFILE%\AppData\Local\Temp\OnboardLogs"\RTDC4034\2018-01-07 --exclude "*" --recursive --include "*20180107*" &amp; "%USERPROFILE%\Documents\GitHub\mrs-test-scripts\Headless Mode &amp; Sideloading\WalkAndUnGZ.bat" "%USERPROFILE%\AppData\Local\Temp\OnboardLogs"\RTDC4034\2018-01-07</v>
      </c>
      <c r="AF213" s="234" t="str">
        <f>astrogrep_path&amp;" /e /r /s /spath="&amp;search_path&amp;" /stypes=""app*"&amp;B213&amp;"*"&amp;TEXT(I213-utc_offset/24,"YYYYMMDD")&amp;"*"" /stext="" "&amp;TEXT(I213-utc_offset/24,"HH")&amp;search_regexp&amp;""""</f>
        <v>"C:\Program Files (x86)\AstroGrep\AstroGrep.exe" /e /r /s /spath="%USERPROFILE%\AppData\Local\Temp\OnboardLogs" /stypes="app*4034*20180106*" /stext=" 18:.+((SYSTEM_STATE.+slice.+state.+changed )|(ment ac)|(multiple cpu faults)|(system.+state.+changed )|(\[timeout)|(PRM\|1\|D)|(kpr)|(kdp)|(train st.+moving)|(\|lc)|(penalty))"</v>
      </c>
      <c r="AG213" s="244" t="str">
        <f>DetSubdiv(A213)</f>
        <v>Shuttle/Test</v>
      </c>
      <c r="AH213" s="236" t="str">
        <f t="shared" ref="AH213:AH222" si="57">refinertdcruntimes&amp;" --tripid "&amp;A213&amp;" --locoid "&amp;B213&amp;" --swversion "&amp;C213&amp;" --startMP "&amp;D213&amp;" --initTime "&amp;TEXT(E213,"yyyy-mm-ddTHH:MM:SS")&amp;" --startdatetime "&amp;TEXT(F213,"yyyy-mm-ddTHH:MM:SS")&amp;" --delay "&amp;G213&amp;" --endMP "&amp;H213&amp;" --enddatetime "&amp;TEXT(I213,"yyyy-mm-ddTHH:MM:SS")&amp;" --enforcementcount "&amp;J213&amp;IF(outputrefinedruntimes," &gt;&gt;"&amp;RefinedRTDCRunTimesOutputFile,"")</f>
        <v>"%USERPROFILE%\Documents\GitHub\eaglep3\Utilities\RefineRTDCRunTimes.py" --tripid 50-06 --locoid 4034 --swversion DE.1.0.9.0 --startMP 204:446 --initTime 2018-01-06T09:44:20 --startdatetime 2018-01-06T11:12:18 --delay 45 --endMP 204:233264 --enddatetime 2018-01-06T11:52:33 --enforcementcount 0 &gt;&gt;%USERPROFILE%\Documents\GitHub\eaglep3-reporting\EC\2018-01-06-refined-times.txt</v>
      </c>
      <c r="AI213" s="238" t="str">
        <f t="shared" ref="AI213:AI222" si="58">"echo {""issue"":{""subject"":"""&amp;R213&amp;""",""project_id"":79,""tracker_id"":40,""status_id"":"&amp;redmine_status&amp;",""priority_id"":"&amp;redmine_priority&amp;",""assigned_to_id"":"&amp;redmine_assignee&amp;",""start_date"":"""&amp;TEXT(I213,"YYYY-mm-dd")&amp;""",""description"":"""&amp;AJ213&amp;""",""custom_fields"":[{""id"":1,""name"":""Subdivision"",""value"":"""&amp;AG213&amp;"""},{""id"":4,""name"":""Milepost"",""value"":"""&amp;Z213&amp;"""},{""id"":17,""name"":""Train ID"",""value"":"""&amp;A213&amp;"""},{""id"":16,""name"":""Locomotive ID"",""value"":"""&amp;B213&amp;"""},{""id"":130,""name"":""Impact"",""value"":"""&amp;AK213&amp;"""},{""id"":150,""name"":""Time of Event (Mountain Time)"",""value"":"""&amp;TEXT(I213,"hh:mm:ss")&amp;"""},{""id"":151,""name"":""Denver Issue ID"",""value"":"""&amp;"""},{""id"":178,""name"":""Operational Impact"",""value"":"""&amp;redmine_op_impact&amp;"""},{""id"":179,""name"":""Denver Segment Assigned"",""value"":"""&amp;AL213&amp;"""}]}}"&amp;"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-06","description":"","custom_fields":[{"id":1,"name":"Subdivision","value":"Shuttle/Test"},{"id":4,"name":"Milepost","value":"23.3264"},{"id":17,"name":"Train ID","value":"50-06"},{"id":16,"name":"Locomotive ID","value":"4034"},{"id":130,"name":"Impact","value":""},{"id":150,"name":"Time of Event (Mountain Time)","value":"11:52:33"},{"id":151,"name":"Denver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3" s="231"/>
      <c r="AL213" s="231"/>
      <c r="AM213" s="240" t="str">
        <f t="shared" ref="AM213:AM222" si="59">"start /low /b "&amp;dls3logs&amp;" --loco "&amp;B213&amp;" --day "&amp;TEXT(F213,"YYYY-MM-DD")</f>
        <v>start /low /b %USERPROFILE%\Documents\GitHub\eaglep3\Utilities\DownloadLogsFromS3.py --loco 4034 --day 2018-01-06</v>
      </c>
      <c r="AN213" s="241" t="str">
        <f t="shared" ref="AN213:AN222" si="60">"echo {""issue"":{""subject"":"""&amp;R213&amp;""",""project_id"":30,""tracker_id"":4,""status_id"":"&amp;redmine_status_wcr&amp;",""priority_id"":"&amp;redmine_priority_wcr&amp;",""assigned_to_id"":"&amp;redmine_assignee_wcr&amp;",""start_date"":"""&amp;TEXT(I213-utc_offset/24,"YYYY-mm-dd")&amp;""",""description"":"""&amp;AJ213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18:52:33"},{"id":29,"name":"Sharepoint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 s="230" t="str">
        <f t="shared" ref="AO213:AO222" si="61">"https://d0f6bd738d7f1b3e5a7ca70fe4ff75f0.us-east-1.aws.found.io/app/kibana#/discover/Steve-Slow-Train-Analysis-(2080s-and-2083s)?_g="&amp;"(refreshInterval:(display:Off,pause:!f,section:0,value:0),time:(from:'"&amp;TEXT(E213-1/24,"yyyy-MM-DDThh:mm:ss")&amp;utc_offset&amp;"00"&amp;"',mode:absolute,to:'"&amp;TEXT(I213+1/24,"yyyy-MM-DDThh:mm:ss")&amp;utc_offset&amp;"00"&amp;"'))&amp;_a=(columns:!('Message%20ID',Summary),filters:!(),index:'emp_*',interval:auto,query:"&amp;"(query_string:(analyze_wildcard:!t,query:'%22rtdc.l.rtdc."&amp;B213&amp;"%22')),sort:!(Time.ISO8601,asc))"</f>
        <v>https://d0f6bd738d7f1b3e5a7ca70fe4ff75f0.us-east-1.aws.found.io/app/kibana#/discover/Steve-Slow-Train-Analysis-(2080s-and-2083s)?_g=(refreshInterval:(display:Off,pause:!f,section:0,value:0),time:(from:'2018-01-06T08:44:20-0700',mode:absolute,to:'2018-01-06T12:52:33-0700'))&amp;_a=(columns:!('Message%20ID',Summary),filters:!(),index:'emp_*',interval:auto,query:(query_string:(analyze_wildcard:!t,query:'%22rtdc.l.rtdc.4034%22')),sort:!(Time.ISO8601,asc))</v>
      </c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s="223" customFormat="1" x14ac:dyDescent="0.3">
      <c r="A214" s="229" t="s">
        <v>669</v>
      </c>
      <c r="B214" s="225">
        <v>4034</v>
      </c>
      <c r="C214" s="227" t="s">
        <v>192</v>
      </c>
      <c r="D214" s="227" t="s">
        <v>572</v>
      </c>
      <c r="E214" s="226">
        <v>43106.131909722222</v>
      </c>
      <c r="F214" s="226">
        <v>43106.142384259256</v>
      </c>
      <c r="G214" s="225">
        <v>71</v>
      </c>
      <c r="H214" s="227" t="s">
        <v>1032</v>
      </c>
      <c r="I214" s="226">
        <v>43106.143692129626</v>
      </c>
      <c r="J214" s="225">
        <v>0</v>
      </c>
      <c r="K214" s="237" t="str">
        <f>IF(ISEVEN(B214),(B214-1)&amp;"/"&amp;B214,B214&amp;"/"&amp;(B214+1))</f>
        <v>4033/4034</v>
      </c>
      <c r="L214" s="245" t="str">
        <f>VLOOKUP(A214,'Trips&amp;Operators'!$C$1:$G$99911,5,FALSE)</f>
        <v>DE LA ROSA ALEX</v>
      </c>
      <c r="M214" s="224">
        <f>I214-F214</f>
        <v>1.3078703705104999E-3</v>
      </c>
      <c r="N214" s="225">
        <f>24*60*SUM($M214:$M214)</f>
        <v>1.8833333335351199</v>
      </c>
      <c r="O214" s="225"/>
      <c r="P214" s="225"/>
      <c r="Q214" s="228"/>
      <c r="R214" s="242"/>
      <c r="S214" s="249">
        <f>1/IF(AG214="EC",12,1)*SUM(U214:U214)</f>
        <v>0</v>
      </c>
      <c r="T214" s="242" t="str">
        <f>IF(ISEVEN(LEFT(AD214,4)),"Southbound","NorthBound")</f>
        <v>NorthBound</v>
      </c>
      <c r="U214" s="246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248" t="str">
        <f>"https://d0f6bd738d7f1b3e5a7ca70fe4ff75f0.us-east-1.aws.found.io/app/kibana#/discover/Steve-Slow-Train-Analysis-(2080s-and-2083s)?_g="&amp;"(refreshInterval:(display:Off,pause:!f,section:0,value:0),time:(from:'"&amp;TEXT(E214-1/24,"yyyy-MM-DDThh:mm:ss")&amp;utc_offset&amp;"00"&amp;"',mode:absolute,to:'"&amp;TEXT(I214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214&amp;"%22')),sort:!(Time.ISO8601,asc))"</f>
        <v>https://d0f6bd738d7f1b3e5a7ca70fe4ff75f0.us-east-1.aws.found.io/app/kibana#/discover/Steve-Slow-Train-Analysis-(2080s-and-2083s)?_g=(refreshInterval:(display:Off,pause:!f,section:0,value:0),time:(from:'2018-01-06T02:09:57-0700',mode:absolute,to:'2018-01-06T04:26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W214" s="247" t="str">
        <f>IF(AA214&lt;VLOOKUP(AG214,Variables!$AC$3:$AD$8,2,FALSE),"Y","N")</f>
        <v>Y</v>
      </c>
      <c r="X214" s="247">
        <f>VALUE(LEFT(AD214,4))-VALUE(LEFT(AD213,4))</f>
        <v>1</v>
      </c>
      <c r="Y214" s="247">
        <f>RIGHT(D214,LEN(D214)-4)/10000</f>
        <v>4.4600000000000001E-2</v>
      </c>
      <c r="Z214" s="247">
        <f>RIGHT(H214,LEN(H214)-4)/10000</f>
        <v>0.35299999999999998</v>
      </c>
      <c r="AA214" s="247">
        <f>ABS(Z214-Y214)</f>
        <v>0.30840000000000001</v>
      </c>
      <c r="AB214" s="233" t="e">
        <f>VLOOKUP(A214,Enforcements!$C$7:$K$9,8,0)</f>
        <v>#N/A</v>
      </c>
      <c r="AC214" s="232" t="e">
        <f>VLOOKUP(A214,Enforcements!$C$7:$E$9,3,0)</f>
        <v>#N/A</v>
      </c>
      <c r="AD214" s="243">
        <f>VALUE(LEFT(A214,LEN(A214)-3))</f>
        <v>51</v>
      </c>
      <c r="AE214" s="235" t="str">
        <f>"aws s3 cp "&amp;s3_bucket&amp;"/RTDC"&amp;B214&amp;"/ "&amp;search_path&amp;"\RTDC"&amp;B214&amp;"\"&amp;TEXT(F214,"YYYY-MM-DD")&amp;" --exclude ""*"" --recursive --include ""*"&amp;TEXT(F214,"YYYYMMDD")&amp;"*"" &amp; """&amp;walkandungz&amp;""" "&amp;search_path&amp;"\RTDC"&amp;B214&amp;"\"&amp;TEXT(F214,"YYYY-MM-DD")
&amp;" &amp; "&amp;"aws s3 cp "&amp;s3_bucket&amp;"/RTDC"&amp;B214&amp;"/ "&amp;search_path&amp;"\RTDC"&amp;B214&amp;"\"&amp;TEXT(F214+1,"YYYY-MM-DD")&amp;" --exclude ""*"" --recursive --include ""*"&amp;TEXT(F214+1,"YYYYMMDD")&amp;"*"" &amp; """&amp;walkandungz&amp;""" "&amp;search_path&amp;"\RTDC"&amp;B214&amp;"\"&amp;TEXT(F214+1,"YYYY-MM-DD")</f>
        <v>aws s3 cp s3://rtdc.mdm.uploadarchive.raw/RTDC4034/ "%USERPROFILE%\AppData\Local\Temp\OnboardLogs"\RTDC4034\2018-01-06 --exclude "*" --recursive --include "*20180106*" &amp; "%USERPROFILE%\Documents\GitHub\mrs-test-scripts\Headless Mode &amp; Sideloading\WalkAndUnGZ.bat" "%USERPROFILE%\AppData\Local\Temp\OnboardLogs"\RTDC4034\2018-01-06 &amp; aws s3 cp s3://rtdc.mdm.uploadarchive.raw/RTDC4034/ "%USERPROFILE%\AppData\Local\Temp\OnboardLogs"\RTDC4034\2018-01-07 --exclude "*" --recursive --include "*20180107*" &amp; "%USERPROFILE%\Documents\GitHub\mrs-test-scripts\Headless Mode &amp; Sideloading\WalkAndUnGZ.bat" "%USERPROFILE%\AppData\Local\Temp\OnboardLogs"\RTDC4034\2018-01-07</v>
      </c>
      <c r="AF214" s="234" t="str">
        <f>astrogrep_path&amp;" /e /r /s /spath="&amp;search_path&amp;" /stypes=""app*"&amp;B214&amp;"*"&amp;TEXT(I214-utc_offset/24,"YYYYMMDD")&amp;"*"" /stext="" "&amp;TEXT(I214-utc_offset/24,"HH")&amp;search_regexp&amp;""""</f>
        <v>"C:\Program Files (x86)\AstroGrep\AstroGrep.exe" /e /r /s /spath="%USERPROFILE%\AppData\Local\Temp\OnboardLogs" /stypes="app*4034*20180106*" /stext=" 10:.+((SYSTEM_STATE.+slice.+state.+changed )|(ment ac)|(multiple cpu faults)|(system.+state.+changed )|(\[timeout)|(PRM\|1\|D)|(kpr)|(kdp)|(train st.+moving)|(\|lc)|(penalty))"</v>
      </c>
      <c r="AG214" s="244" t="str">
        <f>DetSubdiv(A214)</f>
        <v>Shuttle/Test</v>
      </c>
      <c r="AH214" s="236" t="str">
        <f t="shared" si="57"/>
        <v>"%USERPROFILE%\Documents\GitHub\eaglep3\Utilities\RefineRTDCRunTimes.py" --tripid 51-06 --locoid 4034 --swversion DE.1.0.9.0 --startMP 204:446 --initTime 2018-01-06T03:09:57 --startdatetime 2018-01-06T03:25:02 --delay 71 --endMP 204:3530 --enddatetime 2018-01-06T03:26:55 --enforcementcount 0 &gt;&gt;%USERPROFILE%\Documents\GitHub\eaglep3-reporting\EC\2018-01-06-refined-times.txt</v>
      </c>
      <c r="AI214" s="238" t="str">
        <f t="shared" si="58"/>
        <v>echo {"issue":{"subject":"","project_id":79,"tracker_id":40,"status_id":1,"priority_id":2,"assigned_to_id":338,"start_date":"2018-01-06","description":"","custom_fields":[{"id":1,"name":"Subdivision","value":"Shuttle/Test"},{"id":4,"name":"Milepost","value":"0.353"},{"id":17,"name":"Train ID","value":"51-06"},{"id":16,"name":"Locomotive ID","value":"4034"},{"id":130,"name":"Impact","value":""},{"id":150,"name":"Time of Event (Mountain Time)","value":"03:26:55"},{"id":151,"name":"Denver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4" s="231"/>
      <c r="AL214" s="231"/>
      <c r="AM214" s="240" t="str">
        <f t="shared" si="59"/>
        <v>start /low /b %USERPROFILE%\Documents\GitHub\eaglep3\Utilities\DownloadLogsFromS3.py --loco 4034 --day 2018-01-06</v>
      </c>
      <c r="AN214" s="241" t="str">
        <f t="shared" si="60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ID","value":"4034"},{"id":20,"name":"RR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10:26:55"},{"id":29,"name":"Sharepoint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 s="230" t="str">
        <f t="shared" si="61"/>
        <v>https://d0f6bd738d7f1b3e5a7ca70fe4ff75f0.us-east-1.aws.found.io/app/kibana#/discover/Steve-Slow-Train-Analysis-(2080s-and-2083s)?_g=(refreshInterval:(display:Off,pause:!f,section:0,value:0),time:(from:'2018-01-06T02:09:57-0700',mode:absolute,to:'2018-01-06T04:26:55-0700'))&amp;_a=(columns:!('Message%20ID',Summary),filters:!(),index:'emp_*',interval:auto,query:(query_string:(analyze_wildcard:!t,query:'%22rtdc.l.rtdc.4034%22')),sort:!(Time.ISO8601,asc))</v>
      </c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s="223" customFormat="1" x14ac:dyDescent="0.3">
      <c r="A215" s="229" t="s">
        <v>669</v>
      </c>
      <c r="B215" s="225">
        <v>4033</v>
      </c>
      <c r="C215" s="227" t="s">
        <v>192</v>
      </c>
      <c r="D215" s="227" t="s">
        <v>1033</v>
      </c>
      <c r="E215" s="226">
        <v>43106.140717592592</v>
      </c>
      <c r="F215" s="226">
        <v>43106.142384259256</v>
      </c>
      <c r="G215" s="225">
        <v>77</v>
      </c>
      <c r="H215" s="227" t="s">
        <v>1034</v>
      </c>
      <c r="I215" s="226">
        <v>43106.143692129626</v>
      </c>
      <c r="J215" s="225">
        <v>0</v>
      </c>
      <c r="K215" s="237" t="str">
        <f>IF(ISEVEN(B215),(B215-1)&amp;"/"&amp;B215,B215&amp;"/"&amp;(B215+1))</f>
        <v>4033/4034</v>
      </c>
      <c r="L215" s="245" t="str">
        <f>VLOOKUP(A215,'Trips&amp;Operators'!$C$1:$G$99911,5,FALSE)</f>
        <v>DE LA ROSA ALEX</v>
      </c>
      <c r="M215" s="224">
        <f>I215-F215</f>
        <v>1.3078703705104999E-3</v>
      </c>
      <c r="N215" s="225">
        <f>24*60*SUM($M215:$M215)</f>
        <v>1.8833333335351199</v>
      </c>
      <c r="O215" s="225"/>
      <c r="P215" s="225"/>
      <c r="Q215" s="228"/>
      <c r="R215" s="242"/>
      <c r="S215" s="249">
        <f>1/IF(AG215="EC",12,1)*SUM(U215:U215)</f>
        <v>0</v>
      </c>
      <c r="T215" s="242" t="str">
        <f>IF(ISEVEN(LEFT(AD215,4)),"Southbound","NorthBound")</f>
        <v>NorthBound</v>
      </c>
      <c r="U215" s="246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248" t="str">
        <f>"https://d0f6bd738d7f1b3e5a7ca70fe4ff75f0.us-east-1.aws.found.io/app/kibana#/discover/Steve-Slow-Train-Analysis-(2080s-and-2083s)?_g="&amp;"(refreshInterval:(display:Off,pause:!f,section:0,value:0),time:(from:'"&amp;TEXT(E215-1/24,"yyyy-MM-DDThh:mm:ss")&amp;utc_offset&amp;"00"&amp;"',mode:absolute,to:'"&amp;TEXT(I215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215&amp;"%22')),sort:!(Time.ISO8601,asc))"</f>
        <v>https://d0f6bd738d7f1b3e5a7ca70fe4ff75f0.us-east-1.aws.found.io/app/kibana#/discover/Steve-Slow-Train-Analysis-(2080s-and-2083s)?_g=(refreshInterval:(display:Off,pause:!f,section:0,value:0),time:(from:'2018-01-06T02:22:38-0700',mode:absolute,to:'2018-01-06T04:26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4033%22')),sort:!(Time.ISO8601,asc))</v>
      </c>
      <c r="W215" s="247" t="str">
        <f>IF(AA215&lt;VLOOKUP(AG215,Variables!$AC$3:$AD$8,2,FALSE),"Y","N")</f>
        <v>Y</v>
      </c>
      <c r="X215" s="247">
        <f>VALUE(LEFT(AD215,4))-VALUE(LEFT(AD214,4))</f>
        <v>0</v>
      </c>
      <c r="Y215" s="247">
        <f>RIGHT(D215,LEN(D215)-4)/10000</f>
        <v>0.32129999999999997</v>
      </c>
      <c r="Z215" s="247">
        <f>RIGHT(H215,LEN(H215)-4)/10000</f>
        <v>0.1164</v>
      </c>
      <c r="AA215" s="247">
        <f>ABS(Z215-Y215)</f>
        <v>0.20489999999999997</v>
      </c>
      <c r="AB215" s="233" t="e">
        <f>VLOOKUP(A215,Enforcements!$C$7:$K$9,8,0)</f>
        <v>#N/A</v>
      </c>
      <c r="AC215" s="232" t="e">
        <f>VLOOKUP(A215,Enforcements!$C$7:$E$9,3,0)</f>
        <v>#N/A</v>
      </c>
      <c r="AD215" s="243">
        <f>VALUE(LEFT(A215,LEN(A215)-3))</f>
        <v>51</v>
      </c>
      <c r="AE215" s="235" t="str">
        <f>"aws s3 cp "&amp;s3_bucket&amp;"/RTDC"&amp;B215&amp;"/ "&amp;search_path&amp;"\RTDC"&amp;B215&amp;"\"&amp;TEXT(F215,"YYYY-MM-DD")&amp;" --exclude ""*"" --recursive --include ""*"&amp;TEXT(F215,"YYYYMMDD")&amp;"*"" &amp; """&amp;walkandungz&amp;""" "&amp;search_path&amp;"\RTDC"&amp;B215&amp;"\"&amp;TEXT(F215,"YYYY-MM-DD")
&amp;" &amp; "&amp;"aws s3 cp "&amp;s3_bucket&amp;"/RTDC"&amp;B215&amp;"/ "&amp;search_path&amp;"\RTDC"&amp;B215&amp;"\"&amp;TEXT(F215+1,"YYYY-MM-DD")&amp;" --exclude ""*"" --recursive --include ""*"&amp;TEXT(F215+1,"YYYYMMDD")&amp;"*"" &amp; """&amp;walkandungz&amp;""" "&amp;search_path&amp;"\RTDC"&amp;B215&amp;"\"&amp;TEXT(F215+1,"YYYY-MM-DD")</f>
        <v>aws s3 cp s3://rtdc.mdm.uploadarchive.raw/RTDC4033/ "%USERPROFILE%\AppData\Local\Temp\OnboardLogs"\RTDC4033\2018-01-06 --exclude "*" --recursive --include "*20180106*" &amp; "%USERPROFILE%\Documents\GitHub\mrs-test-scripts\Headless Mode &amp; Sideloading\WalkAndUnGZ.bat" "%USERPROFILE%\AppData\Local\Temp\OnboardLogs"\RTDC4033\2018-01-06 &amp; aws s3 cp s3://rtdc.mdm.uploadarchive.raw/RTDC4033/ "%USERPROFILE%\AppData\Local\Temp\OnboardLogs"\RTDC4033\2018-01-07 --exclude "*" --recursive --include "*20180107*" &amp; "%USERPROFILE%\Documents\GitHub\mrs-test-scripts\Headless Mode &amp; Sideloading\WalkAndUnGZ.bat" "%USERPROFILE%\AppData\Local\Temp\OnboardLogs"\RTDC4033\2018-01-07</v>
      </c>
      <c r="AF215" s="234" t="str">
        <f>astrogrep_path&amp;" /e /r /s /spath="&amp;search_path&amp;" /stypes=""app*"&amp;B215&amp;"*"&amp;TEXT(I215-utc_offset/24,"YYYYMMDD")&amp;"*"" /stext="" "&amp;TEXT(I215-utc_offset/24,"HH")&amp;search_regexp&amp;""""</f>
        <v>"C:\Program Files (x86)\AstroGrep\AstroGrep.exe" /e /r /s /spath="%USERPROFILE%\AppData\Local\Temp\OnboardLogs" /stypes="app*4033*20180106*" /stext=" 10:.+((SYSTEM_STATE.+slice.+state.+changed )|(ment ac)|(multiple cpu faults)|(system.+state.+changed )|(\[timeout)|(PRM\|1\|D)|(kpr)|(kdp)|(train st.+moving)|(\|lc)|(penalty))"</v>
      </c>
      <c r="AG215" s="244" t="str">
        <f>DetSubdiv(A215)</f>
        <v>Shuttle/Test</v>
      </c>
      <c r="AH215" s="236" t="str">
        <f t="shared" si="57"/>
        <v>"%USERPROFILE%\Documents\GitHub\eaglep3\Utilities\RefineRTDCRunTimes.py" --tripid 51-06 --locoid 4033 --swversion DE.1.0.9.0 --startMP 204:3213 --initTime 2018-01-06T03:22:38 --startdatetime 2018-01-06T03:25:02 --delay 77 --endMP 204:1164 --enddatetime 2018-01-06T03:26:55 --enforcementcount 0 &gt;&gt;%USERPROFILE%\Documents\GitHub\eaglep3-reporting\EC\2018-01-06-refined-times.txt</v>
      </c>
      <c r="AI215" s="238" t="str">
        <f t="shared" si="58"/>
        <v>echo {"issue":{"subject":"","project_id":79,"tracker_id":40,"status_id":1,"priority_id":2,"assigned_to_id":338,"start_date":"2018-01-06","description":"","custom_fields":[{"id":1,"name":"Subdivision","value":"Shuttle/Test"},{"id":4,"name":"Milepost","value":"0.1164"},{"id":17,"name":"Train ID","value":"51-06"},{"id":16,"name":"Locomotive ID","value":"4033"},{"id":130,"name":"Impact","value":""},{"id":150,"name":"Time of Event (Mountain Time)","value":"03:26:55"},{"id":151,"name":"Denver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5" s="231"/>
      <c r="AL215" s="231"/>
      <c r="AM215" s="240" t="str">
        <f t="shared" si="59"/>
        <v>start /low /b %USERPROFILE%\Documents\GitHub\eaglep3\Utilities\DownloadLogsFromS3.py --loco 4033 --day 2018-01-06</v>
      </c>
      <c r="AN215" s="241" t="str">
        <f t="shared" si="60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ID","value":"4033"},{"id":20,"name":"RR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10:26:55"},{"id":29,"name":"Sharepoint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 s="230" t="str">
        <f t="shared" si="61"/>
        <v>https://d0f6bd738d7f1b3e5a7ca70fe4ff75f0.us-east-1.aws.found.io/app/kibana#/discover/Steve-Slow-Train-Analysis-(2080s-and-2083s)?_g=(refreshInterval:(display:Off,pause:!f,section:0,value:0),time:(from:'2018-01-06T02:22:38-0700',mode:absolute,to:'2018-01-06T04:26:55-0700'))&amp;_a=(columns:!('Message%20ID',Summary),filters:!(),index:'emp_*',interval:auto,query:(query_string:(analyze_wildcard:!t,query:'%22rtdc.l.rtdc.4033%22')),sort:!(Time.ISO8601,asc))</v>
      </c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:91" s="20" customFormat="1" x14ac:dyDescent="0.3">
      <c r="A216" s="229" t="s">
        <v>669</v>
      </c>
      <c r="B216" s="225">
        <v>4054</v>
      </c>
      <c r="C216" s="227" t="s">
        <v>192</v>
      </c>
      <c r="D216" s="227" t="s">
        <v>1035</v>
      </c>
      <c r="E216" s="226">
        <v>43106.419629629629</v>
      </c>
      <c r="F216" s="226">
        <v>43106.443483796298</v>
      </c>
      <c r="G216" s="225">
        <v>159</v>
      </c>
      <c r="H216" s="227" t="s">
        <v>1036</v>
      </c>
      <c r="I216" s="226">
        <v>43106.444328703707</v>
      </c>
      <c r="J216" s="225">
        <v>0</v>
      </c>
      <c r="K216" s="237" t="str">
        <f>IF(ISEVEN(B216),(B216-1)&amp;"/"&amp;B216,B216&amp;"/"&amp;(B216+1))</f>
        <v>4053/4054</v>
      </c>
      <c r="L216" s="245" t="str">
        <f>VLOOKUP(A216,'Trips&amp;Operators'!$C$1:$G$99911,5,FALSE)</f>
        <v>DE LA ROSA ALEX</v>
      </c>
      <c r="M216" s="224">
        <f>I216-F216</f>
        <v>8.4490740846376866E-4</v>
      </c>
      <c r="N216" s="225">
        <f>24*60*SUM($M216:$M216)</f>
        <v>1.2166666681878269</v>
      </c>
      <c r="O216" s="225"/>
      <c r="P216" s="225"/>
      <c r="Q216" s="228"/>
      <c r="R216" s="242"/>
      <c r="S216" s="249">
        <f>1/IF(AG216="EC",12,1)*SUM(U216:U216)</f>
        <v>0</v>
      </c>
      <c r="T216" s="242" t="str">
        <f>IF(ISEVEN(LEFT(AD216,4)),"Southbound","NorthBound")</f>
        <v>NorthBound</v>
      </c>
      <c r="U216" s="246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248" t="str">
        <f>"https://d0f6bd738d7f1b3e5a7ca70fe4ff75f0.us-east-1.aws.found.io/app/kibana#/discover/Steve-Slow-Train-Analysis-(2080s-and-2083s)?_g="&amp;"(refreshInterval:(display:Off,pause:!f,section:0,value:0),time:(from:'"&amp;TEXT(E216-1/24,"yyyy-MM-DDThh:mm:ss")&amp;utc_offset&amp;"00"&amp;"',mode:absolute,to:'"&amp;TEXT(I216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216&amp;"%22')),sort:!(Time.ISO8601,asc))"</f>
        <v>https://d0f6bd738d7f1b3e5a7ca70fe4ff75f0.us-east-1.aws.found.io/app/kibana#/discover/Steve-Slow-Train-Analysis-(2080s-and-2083s)?_g=(refreshInterval:(display:Off,pause:!f,section:0,value:0),time:(from:'2018-01-06T09:04:16-0700',mode:absolute,to:'2018-01-06T11:39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16" s="247" t="str">
        <f>IF(AA216&lt;VLOOKUP(AG216,Variables!$AC$3:$AD$8,2,FALSE),"Y","N")</f>
        <v>Y</v>
      </c>
      <c r="X216" s="247">
        <f>VALUE(LEFT(AD216,4))-VALUE(LEFT(AD215,4))</f>
        <v>0</v>
      </c>
      <c r="Y216" s="247">
        <f>RIGHT(D216,LEN(D216)-4)/10000</f>
        <v>0.1171</v>
      </c>
      <c r="Z216" s="247">
        <f>RIGHT(H216,LEN(H216)-4)/10000</f>
        <v>0.34429999999999999</v>
      </c>
      <c r="AA216" s="247">
        <f>ABS(Z216-Y216)</f>
        <v>0.22720000000000001</v>
      </c>
      <c r="AB216" s="233" t="e">
        <f>VLOOKUP(A216,Enforcements!$C$7:$K$9,8,0)</f>
        <v>#N/A</v>
      </c>
      <c r="AC216" s="232" t="e">
        <f>VLOOKUP(A216,Enforcements!$C$7:$E$9,3,0)</f>
        <v>#N/A</v>
      </c>
      <c r="AD216" s="243">
        <f>VALUE(LEFT(A216,LEN(A216)-3))</f>
        <v>51</v>
      </c>
      <c r="AE216" s="235" t="str">
        <f>"aws s3 cp "&amp;s3_bucket&amp;"/RTDC"&amp;B216&amp;"/ "&amp;search_path&amp;"\RTDC"&amp;B216&amp;"\"&amp;TEXT(F216,"YYYY-MM-DD")&amp;" --exclude ""*"" --recursive --include ""*"&amp;TEXT(F216,"YYYYMMDD")&amp;"*"" &amp; """&amp;walkandungz&amp;""" "&amp;search_path&amp;"\RTDC"&amp;B216&amp;"\"&amp;TEXT(F216,"YYYY-MM-DD")
&amp;" &amp; "&amp;"aws s3 cp "&amp;s3_bucket&amp;"/RTDC"&amp;B216&amp;"/ "&amp;search_path&amp;"\RTDC"&amp;B216&amp;"\"&amp;TEXT(F216+1,"YYYY-MM-DD")&amp;" --exclude ""*"" --recursive --include ""*"&amp;TEXT(F216+1,"YYYYMMDD")&amp;"*"" &amp; """&amp;walkandungz&amp;""" "&amp;search_path&amp;"\RTDC"&amp;B216&amp;"\"&amp;TEXT(F216+1,"YYYY-MM-DD")</f>
        <v>aws s3 cp s3://rtdc.mdm.uploadarchive.raw/RTDC4054/ "%USERPROFILE%\AppData\Local\Temp\OnboardLogs"\RTDC4054\2018-01-06 --exclude "*" --recursive --include "*20180106*" &amp; "%USERPROFILE%\Documents\GitHub\mrs-test-scripts\Headless Mode &amp; Sideloading\WalkAndUnGZ.bat" "%USERPROFILE%\AppData\Local\Temp\OnboardLogs"\RTDC4054\2018-01-06 &amp; aws s3 cp s3://rtdc.mdm.uploadarchive.raw/RTDC4054/ "%USERPROFILE%\AppData\Local\Temp\OnboardLogs"\RTDC4054\2018-01-07 --exclude "*" --recursive --include "*20180107*" &amp; "%USERPROFILE%\Documents\GitHub\mrs-test-scripts\Headless Mode &amp; Sideloading\WalkAndUnGZ.bat" "%USERPROFILE%\AppData\Local\Temp\OnboardLogs"\RTDC4054\2018-01-07</v>
      </c>
      <c r="AF216" s="234" t="str">
        <f>astrogrep_path&amp;" /e /r /s /spath="&amp;search_path&amp;" /stypes=""app*"&amp;B216&amp;"*"&amp;TEXT(I216-utc_offset/24,"YYYYMMDD")&amp;"*"" /stext="" "&amp;TEXT(I216-utc_offset/24,"HH")&amp;search_regexp&amp;""""</f>
        <v>"C:\Program Files (x86)\AstroGrep\AstroGrep.exe" /e /r /s /spath="%USERPROFILE%\AppData\Local\Temp\OnboardLogs" /stypes="app*4054*20180106*" /stext=" 17:.+((SYSTEM_STATE.+slice.+state.+changed )|(ment ac)|(multiple cpu faults)|(system.+state.+changed )|(\[timeout)|(PRM\|1\|D)|(kpr)|(kdp)|(train st.+moving)|(\|lc)|(penalty))"</v>
      </c>
      <c r="AG216" s="244" t="str">
        <f>DetSubdiv(A216)</f>
        <v>Shuttle/Test</v>
      </c>
      <c r="AH216" s="236" t="str">
        <f t="shared" si="57"/>
        <v>"%USERPROFILE%\Documents\GitHub\eaglep3\Utilities\RefineRTDCRunTimes.py" --tripid 51-06 --locoid 4054 --swversion DE.1.0.9.0 --startMP 204:1171 --initTime 2018-01-06T10:04:16 --startdatetime 2018-01-06T10:38:37 --delay 159 --endMP 204:3443 --enddatetime 2018-01-06T10:39:50 --enforcementcount 0 &gt;&gt;%USERPROFILE%\Documents\GitHub\eaglep3-reporting\EC\2018-01-06-refined-times.txt</v>
      </c>
      <c r="AI216" s="238" t="str">
        <f t="shared" si="58"/>
        <v>echo {"issue":{"subject":"","project_id":79,"tracker_id":40,"status_id":1,"priority_id":2,"assigned_to_id":338,"start_date":"2018-01-06","description":"","custom_fields":[{"id":1,"name":"Subdivision","value":"Shuttle/Test"},{"id":4,"name":"Milepost","value":"0.3443"},{"id":17,"name":"Train ID","value":"51-06"},{"id":16,"name":"Locomotive ID","value":"4054"},{"id":130,"name":"Impact","value":""},{"id":150,"name":"Time of Event (Mountain Time)","value":"10:39:50"},{"id":151,"name":"Denver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6" s="223"/>
      <c r="AK216" s="231"/>
      <c r="AL216" s="231"/>
      <c r="AM216" s="240" t="str">
        <f t="shared" si="59"/>
        <v>start /low /b %USERPROFILE%\Documents\GitHub\eaglep3\Utilities\DownloadLogsFromS3.py --loco 4054 --day 2018-01-06</v>
      </c>
      <c r="AN216" s="241" t="str">
        <f t="shared" si="60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17:39:50"},{"id":29,"name":"Sharepoint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 s="230" t="str">
        <f t="shared" si="61"/>
        <v>https://d0f6bd738d7f1b3e5a7ca70fe4ff75f0.us-east-1.aws.found.io/app/kibana#/discover/Steve-Slow-Train-Analysis-(2080s-and-2083s)?_g=(refreshInterval:(display:Off,pause:!f,section:0,value:0),time:(from:'2018-01-06T09:04:16-0700',mode:absolute,to:'2018-01-06T11:39:50-0700'))&amp;_a=(columns:!('Message%20ID',Summary),filters:!(),index:'emp_*',interval:auto,query:(query_string:(analyze_wildcard:!t,query:'%22rtdc.l.rtdc.4054%22')),sort:!(Time.ISO8601,asc))</v>
      </c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s="20" customFormat="1" x14ac:dyDescent="0.3">
      <c r="A217" s="229" t="s">
        <v>669</v>
      </c>
      <c r="B217" s="225">
        <v>4053</v>
      </c>
      <c r="C217" s="227" t="s">
        <v>192</v>
      </c>
      <c r="D217" s="227" t="s">
        <v>1037</v>
      </c>
      <c r="E217" s="226">
        <v>43106.428252314814</v>
      </c>
      <c r="F217" s="226">
        <v>43106.443483796298</v>
      </c>
      <c r="G217" s="225">
        <v>52</v>
      </c>
      <c r="H217" s="227" t="s">
        <v>609</v>
      </c>
      <c r="I217" s="226">
        <v>43106.444328703707</v>
      </c>
      <c r="J217" s="225">
        <v>0</v>
      </c>
      <c r="K217" s="237" t="str">
        <f>IF(ISEVEN(B217),(B217-1)&amp;"/"&amp;B217,B217&amp;"/"&amp;(B217+1))</f>
        <v>4053/4054</v>
      </c>
      <c r="L217" s="245" t="str">
        <f>VLOOKUP(A217,'Trips&amp;Operators'!$C$1:$G$99911,5,FALSE)</f>
        <v>DE LA ROSA ALEX</v>
      </c>
      <c r="M217" s="224">
        <f>I217-F217</f>
        <v>8.4490740846376866E-4</v>
      </c>
      <c r="N217" s="225">
        <f>24*60*SUM($M217:$M217)</f>
        <v>1.2166666681878269</v>
      </c>
      <c r="O217" s="225"/>
      <c r="P217" s="225"/>
      <c r="Q217" s="228"/>
      <c r="R217" s="242"/>
      <c r="S217" s="249">
        <f>1/IF(AG217="EC",12,1)*SUM(U217:U217)</f>
        <v>0</v>
      </c>
      <c r="T217" s="242" t="str">
        <f>IF(ISEVEN(LEFT(AD217,4)),"Southbound","NorthBound")</f>
        <v>NorthBound</v>
      </c>
      <c r="U217" s="246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248" t="str">
        <f>"https://d0f6bd738d7f1b3e5a7ca70fe4ff75f0.us-east-1.aws.found.io/app/kibana#/discover/Steve-Slow-Train-Analysis-(2080s-and-2083s)?_g="&amp;"(refreshInterval:(display:Off,pause:!f,section:0,value:0),time:(from:'"&amp;TEXT(E217-1/24,"yyyy-MM-DDThh:mm:ss")&amp;utc_offset&amp;"00"&amp;"',mode:absolute,to:'"&amp;TEXT(I217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217&amp;"%22')),sort:!(Time.ISO8601,asc))"</f>
        <v>https://d0f6bd738d7f1b3e5a7ca70fe4ff75f0.us-east-1.aws.found.io/app/kibana#/discover/Steve-Slow-Train-Analysis-(2080s-and-2083s)?_g=(refreshInterval:(display:Off,pause:!f,section:0,value:0),time:(from:'2018-01-06T09:16:41-0700',mode:absolute,to:'2018-01-06T11:39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17" s="247" t="str">
        <f>IF(AA217&lt;VLOOKUP(AG217,Variables!$AC$3:$AD$8,2,FALSE),"Y","N")</f>
        <v>Y</v>
      </c>
      <c r="X217" s="247">
        <f>VALUE(LEFT(AD217,4))-VALUE(LEFT(AD216,4))</f>
        <v>0</v>
      </c>
      <c r="Y217" s="247">
        <f>RIGHT(D217,LEN(D217)-4)/10000</f>
        <v>0.31080000000000002</v>
      </c>
      <c r="Z217" s="247">
        <f>RIGHT(H217,LEN(H217)-4)/10000</f>
        <v>1.6299999999999999E-2</v>
      </c>
      <c r="AA217" s="247">
        <f>ABS(Z217-Y217)</f>
        <v>0.29450000000000004</v>
      </c>
      <c r="AB217" s="233" t="e">
        <f>VLOOKUP(A217,Enforcements!$C$7:$K$9,8,0)</f>
        <v>#N/A</v>
      </c>
      <c r="AC217" s="232" t="e">
        <f>VLOOKUP(A217,Enforcements!$C$7:$E$9,3,0)</f>
        <v>#N/A</v>
      </c>
      <c r="AD217" s="243">
        <f>VALUE(LEFT(A217,LEN(A217)-3))</f>
        <v>51</v>
      </c>
      <c r="AE217" s="235" t="str">
        <f>"aws s3 cp "&amp;s3_bucket&amp;"/RTDC"&amp;B217&amp;"/ "&amp;search_path&amp;"\RTDC"&amp;B217&amp;"\"&amp;TEXT(F217,"YYYY-MM-DD")&amp;" --exclude ""*"" --recursive --include ""*"&amp;TEXT(F217,"YYYYMMDD")&amp;"*"" &amp; """&amp;walkandungz&amp;""" "&amp;search_path&amp;"\RTDC"&amp;B217&amp;"\"&amp;TEXT(F217,"YYYY-MM-DD")
&amp;" &amp; "&amp;"aws s3 cp "&amp;s3_bucket&amp;"/RTDC"&amp;B217&amp;"/ "&amp;search_path&amp;"\RTDC"&amp;B217&amp;"\"&amp;TEXT(F217+1,"YYYY-MM-DD")&amp;" --exclude ""*"" --recursive --include ""*"&amp;TEXT(F217+1,"YYYYMMDD")&amp;"*"" &amp; """&amp;walkandungz&amp;""" "&amp;search_path&amp;"\RTDC"&amp;B217&amp;"\"&amp;TEXT(F217+1,"YYYY-MM-DD")</f>
        <v>aws s3 cp s3://rtdc.mdm.uploadarchive.raw/RTDC4053/ "%USERPROFILE%\AppData\Local\Temp\OnboardLogs"\RTDC4053\2018-01-06 --exclude "*" --recursive --include "*20180106*" &amp; "%USERPROFILE%\Documents\GitHub\mrs-test-scripts\Headless Mode &amp; Sideloading\WalkAndUnGZ.bat" "%USERPROFILE%\AppData\Local\Temp\OnboardLogs"\RTDC4053\2018-01-06 &amp; aws s3 cp s3://rtdc.mdm.uploadarchive.raw/RTDC4053/ "%USERPROFILE%\AppData\Local\Temp\OnboardLogs"\RTDC4053\2018-01-07 --exclude "*" --recursive --include "*20180107*" &amp; "%USERPROFILE%\Documents\GitHub\mrs-test-scripts\Headless Mode &amp; Sideloading\WalkAndUnGZ.bat" "%USERPROFILE%\AppData\Local\Temp\OnboardLogs"\RTDC4053\2018-01-07</v>
      </c>
      <c r="AF217" s="234" t="str">
        <f>astrogrep_path&amp;" /e /r /s /spath="&amp;search_path&amp;" /stypes=""app*"&amp;B217&amp;"*"&amp;TEXT(I217-utc_offset/24,"YYYYMMDD")&amp;"*"" /stext="" "&amp;TEXT(I217-utc_offset/24,"HH")&amp;search_regexp&amp;""""</f>
        <v>"C:\Program Files (x86)\AstroGrep\AstroGrep.exe" /e /r /s /spath="%USERPROFILE%\AppData\Local\Temp\OnboardLogs" /stypes="app*4053*20180106*" /stext=" 17:.+((SYSTEM_STATE.+slice.+state.+changed )|(ment ac)|(multiple cpu faults)|(system.+state.+changed )|(\[timeout)|(PRM\|1\|D)|(kpr)|(kdp)|(train st.+moving)|(\|lc)|(penalty))"</v>
      </c>
      <c r="AG217" s="244" t="str">
        <f>DetSubdiv(A217)</f>
        <v>Shuttle/Test</v>
      </c>
      <c r="AH217" s="236" t="str">
        <f t="shared" si="57"/>
        <v>"%USERPROFILE%\Documents\GitHub\eaglep3\Utilities\RefineRTDCRunTimes.py" --tripid 51-06 --locoid 4053 --swversion DE.1.0.9.0 --startMP 204:3108 --initTime 2018-01-06T10:16:41 --startdatetime 2018-01-06T10:38:37 --delay 52 --endMP 204:163 --enddatetime 2018-01-06T10:39:50 --enforcementcount 0 &gt;&gt;%USERPROFILE%\Documents\GitHub\eaglep3-reporting\EC\2018-01-06-refined-times.txt</v>
      </c>
      <c r="AI217" s="238" t="str">
        <f t="shared" si="58"/>
        <v>echo {"issue":{"subject":"","project_id":79,"tracker_id":40,"status_id":1,"priority_id":2,"assigned_to_id":338,"start_date":"2018-01-06","description":"","custom_fields":[{"id":1,"name":"Subdivision","value":"Shuttle/Test"},{"id":4,"name":"Milepost","value":"0.0163"},{"id":17,"name":"Train ID","value":"51-06"},{"id":16,"name":"Locomotive ID","value":"4053"},{"id":130,"name":"Impact","value":""},{"id":150,"name":"Time of Event (Mountain Time)","value":"10:39:50"},{"id":151,"name":"Denver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7" s="223"/>
      <c r="AK217" s="231"/>
      <c r="AL217" s="231"/>
      <c r="AM217" s="240" t="str">
        <f t="shared" si="59"/>
        <v>start /low /b %USERPROFILE%\Documents\GitHub\eaglep3\Utilities\DownloadLogsFromS3.py --loco 4053 --day 2018-01-06</v>
      </c>
      <c r="AN217" s="241" t="str">
        <f t="shared" si="60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17:39:50"},{"id":29,"name":"Sharepoint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 s="230" t="str">
        <f t="shared" si="61"/>
        <v>https://d0f6bd738d7f1b3e5a7ca70fe4ff75f0.us-east-1.aws.found.io/app/kibana#/discover/Steve-Slow-Train-Analysis-(2080s-and-2083s)?_g=(refreshInterval:(display:Off,pause:!f,section:0,value:0),time:(from:'2018-01-06T09:16:41-0700',mode:absolute,to:'2018-01-06T11:39:50-0700'))&amp;_a=(columns:!('Message%20ID',Summary),filters:!(),index:'emp_*',interval:auto,query:(query_string:(analyze_wildcard:!t,query:'%22rtdc.l.rtdc.4053%22')),sort:!(Time.ISO8601,asc))</v>
      </c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s="223" customFormat="1" x14ac:dyDescent="0.3">
      <c r="A218" s="229" t="s">
        <v>669</v>
      </c>
      <c r="B218" s="225">
        <v>4018</v>
      </c>
      <c r="C218" s="227" t="s">
        <v>192</v>
      </c>
      <c r="D218" s="227" t="s">
        <v>1038</v>
      </c>
      <c r="E218" s="226">
        <v>43106.441053240742</v>
      </c>
      <c r="F218" s="226">
        <v>43106.443483796298</v>
      </c>
      <c r="G218" s="225">
        <v>63</v>
      </c>
      <c r="H218" s="227" t="s">
        <v>1039</v>
      </c>
      <c r="I218" s="226">
        <v>43106.444328703707</v>
      </c>
      <c r="J218" s="225">
        <v>0</v>
      </c>
      <c r="K218" s="237" t="str">
        <f>IF(ISEVEN(B218),(B218-1)&amp;"/"&amp;B218,B218&amp;"/"&amp;(B218+1))</f>
        <v>4017/4018</v>
      </c>
      <c r="L218" s="245" t="str">
        <f>VLOOKUP(A218,'Trips&amp;Operators'!$C$1:$G$99911,5,FALSE)</f>
        <v>DE LA ROSA ALEX</v>
      </c>
      <c r="M218" s="224">
        <f>I218-F218</f>
        <v>8.4490740846376866E-4</v>
      </c>
      <c r="N218" s="225">
        <f>24*60*SUM($M218:$M218)</f>
        <v>1.2166666681878269</v>
      </c>
      <c r="O218" s="225"/>
      <c r="P218" s="225"/>
      <c r="Q218" s="228"/>
      <c r="R218" s="242"/>
      <c r="S218" s="249">
        <f>1/IF(AG218="EC",12,1)*SUM(U218:U218)</f>
        <v>0</v>
      </c>
      <c r="T218" s="242" t="str">
        <f>IF(ISEVEN(LEFT(AD218,4)),"Southbound","NorthBound")</f>
        <v>NorthBound</v>
      </c>
      <c r="U218" s="246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248" t="str">
        <f>"https://d0f6bd738d7f1b3e5a7ca70fe4ff75f0.us-east-1.aws.found.io/app/kibana#/discover/Steve-Slow-Train-Analysis-(2080s-and-2083s)?_g="&amp;"(refreshInterval:(display:Off,pause:!f,section:0,value:0),time:(from:'"&amp;TEXT(E218-1/24,"yyyy-MM-DDThh:mm:ss")&amp;utc_offset&amp;"00"&amp;"',mode:absolute,to:'"&amp;TEXT(I218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218&amp;"%22')),sort:!(Time.ISO8601,asc))"</f>
        <v>https://d0f6bd738d7f1b3e5a7ca70fe4ff75f0.us-east-1.aws.found.io/app/kibana#/discover/Steve-Slow-Train-Analysis-(2080s-and-2083s)?_g=(refreshInterval:(display:Off,pause:!f,section:0,value:0),time:(from:'2018-01-06T09:35:07-0700',mode:absolute,to:'2018-01-06T11:39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18" s="247" t="str">
        <f>IF(AA218&lt;VLOOKUP(AG218,Variables!$AC$3:$AD$8,2,FALSE),"Y","N")</f>
        <v>Y</v>
      </c>
      <c r="X218" s="247">
        <f>VALUE(LEFT(AD218,4))-VALUE(LEFT(AD217,4))</f>
        <v>0</v>
      </c>
      <c r="Y218" s="247">
        <f>RIGHT(D218,LEN(D218)-4)/10000</f>
        <v>3.09E-2</v>
      </c>
      <c r="Z218" s="247">
        <f>RIGHT(H218,LEN(H218)-4)/10000</f>
        <v>0.3458</v>
      </c>
      <c r="AA218" s="247">
        <f>ABS(Z218-Y218)</f>
        <v>0.31490000000000001</v>
      </c>
      <c r="AB218" s="233" t="e">
        <f>VLOOKUP(A218,Enforcements!$C$7:$K$9,8,0)</f>
        <v>#N/A</v>
      </c>
      <c r="AC218" s="232" t="e">
        <f>VLOOKUP(A218,Enforcements!$C$7:$E$9,3,0)</f>
        <v>#N/A</v>
      </c>
      <c r="AD218" s="243">
        <f>VALUE(LEFT(A218,LEN(A218)-3))</f>
        <v>51</v>
      </c>
      <c r="AE218" s="235" t="str">
        <f>"aws s3 cp "&amp;s3_bucket&amp;"/RTDC"&amp;B218&amp;"/ "&amp;search_path&amp;"\RTDC"&amp;B218&amp;"\"&amp;TEXT(F218,"YYYY-MM-DD")&amp;" --exclude ""*"" --recursive --include ""*"&amp;TEXT(F218,"YYYYMMDD")&amp;"*"" &amp; """&amp;walkandungz&amp;""" "&amp;search_path&amp;"\RTDC"&amp;B218&amp;"\"&amp;TEXT(F218,"YYYY-MM-DD")
&amp;" &amp; "&amp;"aws s3 cp "&amp;s3_bucket&amp;"/RTDC"&amp;B218&amp;"/ "&amp;search_path&amp;"\RTDC"&amp;B218&amp;"\"&amp;TEXT(F218+1,"YYYY-MM-DD")&amp;" --exclude ""*"" --recursive --include ""*"&amp;TEXT(F218+1,"YYYYMMDD")&amp;"*"" &amp; """&amp;walkandungz&amp;""" "&amp;search_path&amp;"\RTDC"&amp;B218&amp;"\"&amp;TEXT(F218+1,"YYYY-MM-DD")</f>
        <v>aws s3 cp s3://rtdc.mdm.uploadarchive.raw/RTDC4018/ "%USERPROFILE%\AppData\Local\Temp\OnboardLogs"\RTDC4018\2018-01-06 --exclude "*" --recursive --include "*20180106*" &amp; "%USERPROFILE%\Documents\GitHub\mrs-test-scripts\Headless Mode &amp; Sideloading\WalkAndUnGZ.bat" "%USERPROFILE%\AppData\Local\Temp\OnboardLogs"\RTDC4018\2018-01-06 &amp; aws s3 cp s3://rtdc.mdm.uploadarchive.raw/RTDC4018/ "%USERPROFILE%\AppData\Local\Temp\OnboardLogs"\RTDC4018\2018-01-07 --exclude "*" --recursive --include "*20180107*" &amp; "%USERPROFILE%\Documents\GitHub\mrs-test-scripts\Headless Mode &amp; Sideloading\WalkAndUnGZ.bat" "%USERPROFILE%\AppData\Local\Temp\OnboardLogs"\RTDC4018\2018-01-07</v>
      </c>
      <c r="AF218" s="234" t="str">
        <f>astrogrep_path&amp;" /e /r /s /spath="&amp;search_path&amp;" /stypes=""app*"&amp;B218&amp;"*"&amp;TEXT(I218-utc_offset/24,"YYYYMMDD")&amp;"*"" /stext="" "&amp;TEXT(I218-utc_offset/24,"HH")&amp;search_regexp&amp;""""</f>
        <v>"C:\Program Files (x86)\AstroGrep\AstroGrep.exe" /e /r /s /spath="%USERPROFILE%\AppData\Local\Temp\OnboardLogs" /stypes="app*4018*20180106*" /stext=" 17:.+((SYSTEM_STATE.+slice.+state.+changed )|(ment ac)|(multiple cpu faults)|(system.+state.+changed )|(\[timeout)|(PRM\|1\|D)|(kpr)|(kdp)|(train st.+moving)|(\|lc)|(penalty))"</v>
      </c>
      <c r="AG218" s="244" t="str">
        <f>DetSubdiv(A218)</f>
        <v>Shuttle/Test</v>
      </c>
      <c r="AH218" s="236" t="str">
        <f t="shared" si="57"/>
        <v>"%USERPROFILE%\Documents\GitHub\eaglep3\Utilities\RefineRTDCRunTimes.py" --tripid 51-06 --locoid 4018 --swversion DE.1.0.9.0 --startMP 204:309 --initTime 2018-01-06T10:35:07 --startdatetime 2018-01-06T10:38:37 --delay 63 --endMP 204:3458 --enddatetime 2018-01-06T10:39:50 --enforcementcount 0 &gt;&gt;%USERPROFILE%\Documents\GitHub\eaglep3-reporting\EC\2018-01-06-refined-times.txt</v>
      </c>
      <c r="AI218" s="238" t="str">
        <f t="shared" si="58"/>
        <v>echo {"issue":{"subject":"","project_id":79,"tracker_id":40,"status_id":1,"priority_id":2,"assigned_to_id":338,"start_date":"2018-01-06","description":"","custom_fields":[{"id":1,"name":"Subdivision","value":"Shuttle/Test"},{"id":4,"name":"Milepost","value":"0.3458"},{"id":17,"name":"Train ID","value":"51-06"},{"id":16,"name":"Locomotive ID","value":"4018"},{"id":130,"name":"Impact","value":""},{"id":150,"name":"Time of Event (Mountain Time)","value":"10:39:50"},{"id":151,"name":"Denver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8" s="231"/>
      <c r="AL218" s="231"/>
      <c r="AM218" s="240" t="str">
        <f t="shared" si="59"/>
        <v>start /low /b %USERPROFILE%\Documents\GitHub\eaglep3\Utilities\DownloadLogsFromS3.py --loco 4018 --day 2018-01-06</v>
      </c>
      <c r="AN218" s="241" t="str">
        <f t="shared" si="60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17:39:50"},{"id":29,"name":"Sharepoint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 s="230" t="str">
        <f t="shared" si="61"/>
        <v>https://d0f6bd738d7f1b3e5a7ca70fe4ff75f0.us-east-1.aws.found.io/app/kibana#/discover/Steve-Slow-Train-Analysis-(2080s-and-2083s)?_g=(refreshInterval:(display:Off,pause:!f,section:0,value:0),time:(from:'2018-01-06T09:35:07-0700',mode:absolute,to:'2018-01-06T11:39:50-0700'))&amp;_a=(columns:!('Message%20ID',Summary),filters:!(),index:'emp_*',interval:auto,query:(query_string:(analyze_wildcard:!t,query:'%22rtdc.l.rtdc.4018%22')),sort:!(Time.ISO8601,asc))</v>
      </c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s="223" customFormat="1" x14ac:dyDescent="0.3">
      <c r="A219" s="229" t="s">
        <v>862</v>
      </c>
      <c r="B219" s="225">
        <v>4057</v>
      </c>
      <c r="C219" s="227" t="s">
        <v>192</v>
      </c>
      <c r="D219" s="227" t="s">
        <v>1040</v>
      </c>
      <c r="E219" s="226">
        <v>43106.833101851851</v>
      </c>
      <c r="F219" s="226">
        <v>43106.834837962961</v>
      </c>
      <c r="G219" s="225">
        <v>84</v>
      </c>
      <c r="H219" s="227" t="s">
        <v>567</v>
      </c>
      <c r="I219" s="226">
        <v>43106.836018518516</v>
      </c>
      <c r="J219" s="225">
        <v>0</v>
      </c>
      <c r="K219" s="237" t="str">
        <f>IF(ISEVEN(B219),(B219-1)&amp;"/"&amp;B219,B219&amp;"/"&amp;(B219+1))</f>
        <v>4057/4058</v>
      </c>
      <c r="L219" s="245" t="str">
        <f>VLOOKUP(A219,'Trips&amp;Operators'!$C$1:$G$99911,5,FALSE)</f>
        <v>HAMMOND JUSTYNN</v>
      </c>
      <c r="M219" s="224">
        <f>I219-F219</f>
        <v>1.1805555550381541E-3</v>
      </c>
      <c r="N219" s="225">
        <f>24*60*SUM($M219:$M219)</f>
        <v>1.6999999992549419</v>
      </c>
      <c r="O219" s="225"/>
      <c r="P219" s="225"/>
      <c r="Q219" s="228"/>
      <c r="R219" s="242"/>
      <c r="S219" s="249">
        <f>1/IF(AG219="EC",12,1)*SUM(U219:U219)</f>
        <v>0</v>
      </c>
      <c r="T219" s="242" t="str">
        <f>IF(ISEVEN(LEFT(AD219,4)),"Southbound","NorthBound")</f>
        <v>Southbound</v>
      </c>
      <c r="U219" s="246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248" t="str">
        <f>"https://d0f6bd738d7f1b3e5a7ca70fe4ff75f0.us-east-1.aws.found.io/app/kibana#/discover/Steve-Slow-Train-Analysis-(2080s-and-2083s)?_g="&amp;"(refreshInterval:(display:Off,pause:!f,section:0,value:0),time:(from:'"&amp;TEXT(E219-1/24,"yyyy-MM-DDThh:mm:ss")&amp;utc_offset&amp;"00"&amp;"',mode:absolute,to:'"&amp;TEXT(I219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219&amp;"%22')),sort:!(Time.ISO8601,asc))"</f>
        <v>https://d0f6bd738d7f1b3e5a7ca70fe4ff75f0.us-east-1.aws.found.io/app/kibana#/discover/Steve-Slow-Train-Analysis-(2080s-and-2083s)?_g=(refreshInterval:(display:Off,pause:!f,section:0,value:0),time:(from:'2018-01-06T18:59:40-0700',mode:absolute,to:'2018-01-06T21:03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19" s="247" t="str">
        <f>IF(AA219&lt;VLOOKUP(AG219,Variables!$AC$3:$AD$8,2,FALSE),"Y","N")</f>
        <v>Y</v>
      </c>
      <c r="X219" s="247">
        <f>VALUE(LEFT(AD219,4))-VALUE(LEFT(AD218,4))</f>
        <v>1</v>
      </c>
      <c r="Y219" s="247">
        <f>RIGHT(D219,LEN(D219)-4)/10000</f>
        <v>0.34749999999999998</v>
      </c>
      <c r="Z219" s="247">
        <f>RIGHT(H219,LEN(H219)-4)/10000</f>
        <v>2.3599999999999999E-2</v>
      </c>
      <c r="AA219" s="247">
        <f>ABS(Z219-Y219)</f>
        <v>0.32389999999999997</v>
      </c>
      <c r="AB219" s="233" t="e">
        <f>VLOOKUP(A219,Enforcements!$C$7:$K$9,8,0)</f>
        <v>#N/A</v>
      </c>
      <c r="AC219" s="232" t="e">
        <f>VLOOKUP(A219,Enforcements!$C$7:$E$9,3,0)</f>
        <v>#N/A</v>
      </c>
      <c r="AD219" s="243">
        <f>VALUE(LEFT(A219,LEN(A219)-3))</f>
        <v>52</v>
      </c>
      <c r="AE219" s="235" t="str">
        <f>"aws s3 cp "&amp;s3_bucket&amp;"/RTDC"&amp;B219&amp;"/ "&amp;search_path&amp;"\RTDC"&amp;B219&amp;"\"&amp;TEXT(F219,"YYYY-MM-DD")&amp;" --exclude ""*"" --recursive --include ""*"&amp;TEXT(F219,"YYYYMMDD")&amp;"*"" &amp; """&amp;walkandungz&amp;""" "&amp;search_path&amp;"\RTDC"&amp;B219&amp;"\"&amp;TEXT(F219,"YYYY-MM-DD")
&amp;" &amp; "&amp;"aws s3 cp "&amp;s3_bucket&amp;"/RTDC"&amp;B219&amp;"/ "&amp;search_path&amp;"\RTDC"&amp;B219&amp;"\"&amp;TEXT(F219+1,"YYYY-MM-DD")&amp;" --exclude ""*"" --recursive --include ""*"&amp;TEXT(F219+1,"YYYYMMDD")&amp;"*"" &amp; """&amp;walkandungz&amp;""" "&amp;search_path&amp;"\RTDC"&amp;B219&amp;"\"&amp;TEXT(F219+1,"YYYY-MM-DD")</f>
        <v>aws s3 cp s3://rtdc.mdm.uploadarchive.raw/RTDC4057/ "%USERPROFILE%\AppData\Local\Temp\OnboardLogs"\RTDC4057\2018-01-06 --exclude "*" --recursive --include "*20180106*" &amp; "%USERPROFILE%\Documents\GitHub\mrs-test-scripts\Headless Mode &amp; Sideloading\WalkAndUnGZ.bat" "%USERPROFILE%\AppData\Local\Temp\OnboardLogs"\RTDC4057\2018-01-06 &amp; aws s3 cp s3://rtdc.mdm.uploadarchive.raw/RTDC4057/ "%USERPROFILE%\AppData\Local\Temp\OnboardLogs"\RTDC4057\2018-01-07 --exclude "*" --recursive --include "*20180107*" &amp; "%USERPROFILE%\Documents\GitHub\mrs-test-scripts\Headless Mode &amp; Sideloading\WalkAndUnGZ.bat" "%USERPROFILE%\AppData\Local\Temp\OnboardLogs"\RTDC4057\2018-01-07</v>
      </c>
      <c r="AF219" s="234" t="str">
        <f>astrogrep_path&amp;" /e /r /s /spath="&amp;search_path&amp;" /stypes=""app*"&amp;B219&amp;"*"&amp;TEXT(I219-utc_offset/24,"YYYYMMDD")&amp;"*"" /stext="" "&amp;TEXT(I219-utc_offset/24,"HH")&amp;search_regexp&amp;""""</f>
        <v>"C:\Program Files (x86)\AstroGrep\AstroGrep.exe" /e /r /s /spath="%USERPROFILE%\AppData\Local\Temp\OnboardLogs" /stypes="app*4057*20180107*" /stext=" 03:.+((SYSTEM_STATE.+slice.+state.+changed )|(ment ac)|(multiple cpu faults)|(system.+state.+changed )|(\[timeout)|(PRM\|1\|D)|(kpr)|(kdp)|(train st.+moving)|(\|lc)|(penalty))"</v>
      </c>
      <c r="AG219" s="244" t="str">
        <f>DetSubdiv(A219)</f>
        <v>Shuttle/Test</v>
      </c>
      <c r="AH219" s="236" t="str">
        <f t="shared" si="57"/>
        <v>"%USERPROFILE%\Documents\GitHub\eaglep3\Utilities\RefineRTDCRunTimes.py" --tripid 52-06 --locoid 4057 --swversion DE.1.0.9.0 --startMP 204:3475 --initTime 2018-01-06T19:59:40 --startdatetime 2018-01-06T20:02:10 --delay 84 --endMP 204:236 --enddatetime 2018-01-06T20:03:52 --enforcementcount 0 &gt;&gt;%USERPROFILE%\Documents\GitHub\eaglep3-reporting\EC\2018-01-06-refined-times.txt</v>
      </c>
      <c r="AI219" s="238" t="str">
        <f t="shared" si="58"/>
        <v>echo {"issue":{"subject":"","project_id":79,"tracker_id":40,"status_id":1,"priority_id":2,"assigned_to_id":338,"start_date":"2018-01-06","description":"","custom_fields":[{"id":1,"name":"Subdivision","value":"Shuttle/Test"},{"id":4,"name":"Milepost","value":"0.0236"},{"id":17,"name":"Train ID","value":"52-06"},{"id":16,"name":"Locomotive ID","value":"4057"},{"id":130,"name":"Impact","value":""},{"id":150,"name":"Time of Event (Mountain Time)","value":"20:03:52"},{"id":151,"name":"Denver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19" s="231"/>
      <c r="AL219" s="231"/>
      <c r="AM219" s="240" t="str">
        <f t="shared" si="59"/>
        <v>start /low /b %USERPROFILE%\Documents\GitHub\eaglep3\Utilities\DownloadLogsFromS3.py --loco 4057 --day 2018-01-06</v>
      </c>
      <c r="AN219" s="241" t="str">
        <f t="shared" si="60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03:03:52"},{"id":29,"name":"Sharepoint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 s="230" t="str">
        <f t="shared" si="61"/>
        <v>https://d0f6bd738d7f1b3e5a7ca70fe4ff75f0.us-east-1.aws.found.io/app/kibana#/discover/Steve-Slow-Train-Analysis-(2080s-and-2083s)?_g=(refreshInterval:(display:Off,pause:!f,section:0,value:0),time:(from:'2018-01-06T18:59:40-0700',mode:absolute,to:'2018-01-06T21:03:52-0700'))&amp;_a=(columns:!('Message%20ID',Summary),filters:!(),index:'emp_*',interval:auto,query:(query_string:(analyze_wildcard:!t,query:'%22rtdc.l.rtdc.4057%22')),sort:!(Time.ISO8601,asc))</v>
      </c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s="20" customFormat="1" x14ac:dyDescent="0.3">
      <c r="A220" s="229" t="s">
        <v>862</v>
      </c>
      <c r="B220" s="225">
        <v>4058</v>
      </c>
      <c r="C220" s="227" t="s">
        <v>192</v>
      </c>
      <c r="D220" s="227" t="s">
        <v>649</v>
      </c>
      <c r="E220" s="226">
        <v>43106.829317129632</v>
      </c>
      <c r="F220" s="226">
        <v>43106.834837962961</v>
      </c>
      <c r="G220" s="225">
        <v>70</v>
      </c>
      <c r="H220" s="227" t="s">
        <v>1041</v>
      </c>
      <c r="I220" s="226">
        <v>43106.836018518516</v>
      </c>
      <c r="J220" s="225">
        <v>0</v>
      </c>
      <c r="K220" s="237" t="str">
        <f>IF(ISEVEN(B220),(B220-1)&amp;"/"&amp;B220,B220&amp;"/"&amp;(B220+1))</f>
        <v>4057/4058</v>
      </c>
      <c r="L220" s="245" t="str">
        <f>VLOOKUP(A220,'Trips&amp;Operators'!$C$1:$G$99911,5,FALSE)</f>
        <v>HAMMOND JUSTYNN</v>
      </c>
      <c r="M220" s="224">
        <f>I220-F220</f>
        <v>1.1805555550381541E-3</v>
      </c>
      <c r="N220" s="225">
        <f>24*60*SUM($M220:$M220)</f>
        <v>1.6999999992549419</v>
      </c>
      <c r="O220" s="225"/>
      <c r="P220" s="225"/>
      <c r="Q220" s="228"/>
      <c r="R220" s="242"/>
      <c r="S220" s="249">
        <f>1/IF(AG220="EC",12,1)*SUM(U220:U220)</f>
        <v>0</v>
      </c>
      <c r="T220" s="242" t="str">
        <f>IF(ISEVEN(LEFT(AD220,4)),"Southbound","NorthBound")</f>
        <v>Southbound</v>
      </c>
      <c r="U220" s="246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248" t="str">
        <f>"https://d0f6bd738d7f1b3e5a7ca70fe4ff75f0.us-east-1.aws.found.io/app/kibana#/discover/Steve-Slow-Train-Analysis-(2080s-and-2083s)?_g="&amp;"(refreshInterval:(display:Off,pause:!f,section:0,value:0),time:(from:'"&amp;TEXT(E220-1/24,"yyyy-MM-DDThh:mm:ss")&amp;utc_offset&amp;"00"&amp;"',mode:absolute,to:'"&amp;TEXT(I220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220&amp;"%22')),sort:!(Time.ISO8601,asc))"</f>
        <v>https://d0f6bd738d7f1b3e5a7ca70fe4ff75f0.us-east-1.aws.found.io/app/kibana#/discover/Steve-Slow-Train-Analysis-(2080s-and-2083s)?_g=(refreshInterval:(display:Off,pause:!f,section:0,value:0),time:(from:'2018-01-06T18:54:13-0700',mode:absolute,to:'2018-01-06T21:03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20" s="247" t="str">
        <f>IF(AA220&lt;VLOOKUP(AG220,Variables!$AC$3:$AD$8,2,FALSE),"Y","N")</f>
        <v>Y</v>
      </c>
      <c r="X220" s="247">
        <f>VALUE(LEFT(AD220,4))-VALUE(LEFT(AD219,4))</f>
        <v>0</v>
      </c>
      <c r="Y220" s="247">
        <f>RIGHT(D220,LEN(D220)-4)/10000</f>
        <v>0.1148</v>
      </c>
      <c r="Z220" s="247">
        <f>RIGHT(H220,LEN(H220)-4)/10000</f>
        <v>0.37619999999999998</v>
      </c>
      <c r="AA220" s="247">
        <f>ABS(Z220-Y220)</f>
        <v>0.26139999999999997</v>
      </c>
      <c r="AB220" s="233" t="e">
        <f>VLOOKUP(A220,Enforcements!$C$7:$K$9,8,0)</f>
        <v>#N/A</v>
      </c>
      <c r="AC220" s="232" t="e">
        <f>VLOOKUP(A220,Enforcements!$C$7:$E$9,3,0)</f>
        <v>#N/A</v>
      </c>
      <c r="AD220" s="243">
        <f>VALUE(LEFT(A220,LEN(A220)-3))</f>
        <v>52</v>
      </c>
      <c r="AE220" s="235" t="str">
        <f>"aws s3 cp "&amp;s3_bucket&amp;"/RTDC"&amp;B220&amp;"/ "&amp;search_path&amp;"\RTDC"&amp;B220&amp;"\"&amp;TEXT(F220,"YYYY-MM-DD")&amp;" --exclude ""*"" --recursive --include ""*"&amp;TEXT(F220,"YYYYMMDD")&amp;"*"" &amp; """&amp;walkandungz&amp;""" "&amp;search_path&amp;"\RTDC"&amp;B220&amp;"\"&amp;TEXT(F220,"YYYY-MM-DD")
&amp;" &amp; "&amp;"aws s3 cp "&amp;s3_bucket&amp;"/RTDC"&amp;B220&amp;"/ "&amp;search_path&amp;"\RTDC"&amp;B220&amp;"\"&amp;TEXT(F220+1,"YYYY-MM-DD")&amp;" --exclude ""*"" --recursive --include ""*"&amp;TEXT(F220+1,"YYYYMMDD")&amp;"*"" &amp; """&amp;walkandungz&amp;""" "&amp;search_path&amp;"\RTDC"&amp;B220&amp;"\"&amp;TEXT(F220+1,"YYYY-MM-DD")</f>
        <v>aws s3 cp s3://rtdc.mdm.uploadarchive.raw/RTDC4058/ "%USERPROFILE%\AppData\Local\Temp\OnboardLogs"\RTDC4058\2018-01-06 --exclude "*" --recursive --include "*20180106*" &amp; "%USERPROFILE%\Documents\GitHub\mrs-test-scripts\Headless Mode &amp; Sideloading\WalkAndUnGZ.bat" "%USERPROFILE%\AppData\Local\Temp\OnboardLogs"\RTDC4058\2018-01-06 &amp; aws s3 cp s3://rtdc.mdm.uploadarchive.raw/RTDC4058/ "%USERPROFILE%\AppData\Local\Temp\OnboardLogs"\RTDC4058\2018-01-07 --exclude "*" --recursive --include "*20180107*" &amp; "%USERPROFILE%\Documents\GitHub\mrs-test-scripts\Headless Mode &amp; Sideloading\WalkAndUnGZ.bat" "%USERPROFILE%\AppData\Local\Temp\OnboardLogs"\RTDC4058\2018-01-07</v>
      </c>
      <c r="AF220" s="234" t="str">
        <f>astrogrep_path&amp;" /e /r /s /spath="&amp;search_path&amp;" /stypes=""app*"&amp;B220&amp;"*"&amp;TEXT(I220-utc_offset/24,"YYYYMMDD")&amp;"*"" /stext="" "&amp;TEXT(I220-utc_offset/24,"HH")&amp;search_regexp&amp;""""</f>
        <v>"C:\Program Files (x86)\AstroGrep\AstroGrep.exe" /e /r /s /spath="%USERPROFILE%\AppData\Local\Temp\OnboardLogs" /stypes="app*4058*20180107*" /stext=" 03:.+((SYSTEM_STATE.+slice.+state.+changed )|(ment ac)|(multiple cpu faults)|(system.+state.+changed )|(\[timeout)|(PRM\|1\|D)|(kpr)|(kdp)|(train st.+moving)|(\|lc)|(penalty))"</v>
      </c>
      <c r="AG220" s="244" t="str">
        <f>DetSubdiv(A220)</f>
        <v>Shuttle/Test</v>
      </c>
      <c r="AH220" s="236" t="str">
        <f t="shared" si="57"/>
        <v>"%USERPROFILE%\Documents\GitHub\eaglep3\Utilities\RefineRTDCRunTimes.py" --tripid 52-06 --locoid 4058 --swversion DE.1.0.9.0 --startMP 204:1148 --initTime 2018-01-06T19:54:13 --startdatetime 2018-01-06T20:02:10 --delay 70 --endMP 204:3762 --enddatetime 2018-01-06T20:03:52 --enforcementcount 0 &gt;&gt;%USERPROFILE%\Documents\GitHub\eaglep3-reporting\EC\2018-01-06-refined-times.txt</v>
      </c>
      <c r="AI220" s="238" t="str">
        <f t="shared" si="58"/>
        <v>echo {"issue":{"subject":"","project_id":79,"tracker_id":40,"status_id":1,"priority_id":2,"assigned_to_id":338,"start_date":"2018-01-06","description":"","custom_fields":[{"id":1,"name":"Subdivision","value":"Shuttle/Test"},{"id":4,"name":"Milepost","value":"0.3762"},{"id":17,"name":"Train ID","value":"52-06"},{"id":16,"name":"Locomotive ID","value":"4058"},{"id":130,"name":"Impact","value":""},{"id":150,"name":"Time of Event (Mountain Time)","value":"20:03:52"},{"id":151,"name":"Denver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0" s="223"/>
      <c r="AK220" s="231"/>
      <c r="AL220" s="231"/>
      <c r="AM220" s="240" t="str">
        <f t="shared" si="59"/>
        <v>start /low /b %USERPROFILE%\Documents\GitHub\eaglep3\Utilities\DownloadLogsFromS3.py --loco 4058 --day 2018-01-06</v>
      </c>
      <c r="AN220" s="241" t="str">
        <f t="shared" si="60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03:03:52"},{"id":29,"name":"Sharepoint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 s="230" t="str">
        <f t="shared" si="61"/>
        <v>https://d0f6bd738d7f1b3e5a7ca70fe4ff75f0.us-east-1.aws.found.io/app/kibana#/discover/Steve-Slow-Train-Analysis-(2080s-and-2083s)?_g=(refreshInterval:(display:Off,pause:!f,section:0,value:0),time:(from:'2018-01-06T18:54:13-0700',mode:absolute,to:'2018-01-06T21:03:52-0700'))&amp;_a=(columns:!('Message%20ID',Summary),filters:!(),index:'emp_*',interval:auto,query:(query_string:(analyze_wildcard:!t,query:'%22rtdc.l.rtdc.4058%22')),sort:!(Time.ISO8601,asc))</v>
      </c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s="20" customFormat="1" x14ac:dyDescent="0.3">
      <c r="A221" s="229" t="s">
        <v>824</v>
      </c>
      <c r="B221" s="225">
        <v>4018</v>
      </c>
      <c r="C221" s="227" t="s">
        <v>192</v>
      </c>
      <c r="D221" s="227" t="s">
        <v>1042</v>
      </c>
      <c r="E221" s="226">
        <v>43106.669085648151</v>
      </c>
      <c r="F221" s="226">
        <v>43106.683692129627</v>
      </c>
      <c r="G221" s="225">
        <v>151</v>
      </c>
      <c r="H221" s="227" t="s">
        <v>1043</v>
      </c>
      <c r="I221" s="226">
        <v>43106.68949074074</v>
      </c>
      <c r="J221" s="225">
        <v>0</v>
      </c>
      <c r="K221" s="237" t="str">
        <f>IF(ISEVEN(B221),(B221-1)&amp;"/"&amp;B221,B221&amp;"/"&amp;(B221+1))</f>
        <v>4017/4018</v>
      </c>
      <c r="L221" s="245" t="str">
        <f>VLOOKUP(A221,'Trips&amp;Operators'!$C$1:$G$99911,5,FALSE)</f>
        <v>ROMERO CHAD</v>
      </c>
      <c r="M221" s="224">
        <f>I221-F221</f>
        <v>5.7986111132777296E-3</v>
      </c>
      <c r="N221" s="225">
        <f>24*60*SUM($M221:$M221)</f>
        <v>8.3500000031199306</v>
      </c>
      <c r="O221" s="225"/>
      <c r="P221" s="225"/>
      <c r="Q221" s="228"/>
      <c r="R221" s="242"/>
      <c r="S221" s="249">
        <f>1/IF(AG221="EC",12,1)*SUM(U221:U221)</f>
        <v>1</v>
      </c>
      <c r="T221" s="242" t="str">
        <f>IF(ISEVEN(LEFT(AD221,4)),"Southbound","NorthBound")</f>
        <v>NorthBound</v>
      </c>
      <c r="U221" s="246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248" t="str">
        <f>"https://d0f6bd738d7f1b3e5a7ca70fe4ff75f0.us-east-1.aws.found.io/app/kibana#/discover/Steve-Slow-Train-Analysis-(2080s-and-2083s)?_g="&amp;"(refreshInterval:(display:Off,pause:!f,section:0,value:0),time:(from:'"&amp;TEXT(E221-1/24,"yyyy-MM-DDThh:mm:ss")&amp;utc_offset&amp;"00"&amp;"',mode:absolute,to:'"&amp;TEXT(I221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221&amp;"%22')),sort:!(Time.ISO8601,asc))"</f>
        <v>https://d0f6bd738d7f1b3e5a7ca70fe4ff75f0.us-east-1.aws.found.io/app/kibana#/discover/Steve-Slow-Train-Analysis-(2080s-and-2083s)?_g=(refreshInterval:(display:Off,pause:!f,section:0,value:0),time:(from:'2018-01-06T15:03:29-0700',mode:absolute,to:'2018-01-06T17:32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21" s="247" t="str">
        <f>IF(AA221&lt;VLOOKUP(AG221,Variables!$AC$3:$AD$8,2,FALSE),"Y","N")</f>
        <v>Y</v>
      </c>
      <c r="X221" s="247">
        <f>VALUE(LEFT(AD221,4))-VALUE(LEFT(AD220,4))</f>
        <v>1</v>
      </c>
      <c r="Y221" s="247">
        <f>RIGHT(D221,LEN(D221)-4)/10000</f>
        <v>0.1479</v>
      </c>
      <c r="Z221" s="247">
        <f>RIGHT(H221,LEN(H221)-4)/10000</f>
        <v>2.3346</v>
      </c>
      <c r="AA221" s="247">
        <f>ABS(Z221-Y221)</f>
        <v>2.1867000000000001</v>
      </c>
      <c r="AB221" s="233" t="e">
        <f>VLOOKUP(A221,Enforcements!$C$7:$K$9,8,0)</f>
        <v>#N/A</v>
      </c>
      <c r="AC221" s="232" t="e">
        <f>VLOOKUP(A221,Enforcements!$C$7:$E$9,3,0)</f>
        <v>#N/A</v>
      </c>
      <c r="AD221" s="243">
        <f>VALUE(LEFT(A221,LEN(A221)-3))</f>
        <v>53</v>
      </c>
      <c r="AE221" s="235" t="str">
        <f>"aws s3 cp "&amp;s3_bucket&amp;"/RTDC"&amp;B221&amp;"/ "&amp;search_path&amp;"\RTDC"&amp;B221&amp;"\"&amp;TEXT(F221,"YYYY-MM-DD")&amp;" --exclude ""*"" --recursive --include ""*"&amp;TEXT(F221,"YYYYMMDD")&amp;"*"" &amp; """&amp;walkandungz&amp;""" "&amp;search_path&amp;"\RTDC"&amp;B221&amp;"\"&amp;TEXT(F221,"YYYY-MM-DD")
&amp;" &amp; "&amp;"aws s3 cp "&amp;s3_bucket&amp;"/RTDC"&amp;B221&amp;"/ "&amp;search_path&amp;"\RTDC"&amp;B221&amp;"\"&amp;TEXT(F221+1,"YYYY-MM-DD")&amp;" --exclude ""*"" --recursive --include ""*"&amp;TEXT(F221+1,"YYYYMMDD")&amp;"*"" &amp; """&amp;walkandungz&amp;""" "&amp;search_path&amp;"\RTDC"&amp;B221&amp;"\"&amp;TEXT(F221+1,"YYYY-MM-DD")</f>
        <v>aws s3 cp s3://rtdc.mdm.uploadarchive.raw/RTDC4018/ "%USERPROFILE%\AppData\Local\Temp\OnboardLogs"\RTDC4018\2018-01-06 --exclude "*" --recursive --include "*20180106*" &amp; "%USERPROFILE%\Documents\GitHub\mrs-test-scripts\Headless Mode &amp; Sideloading\WalkAndUnGZ.bat" "%USERPROFILE%\AppData\Local\Temp\OnboardLogs"\RTDC4018\2018-01-06 &amp; aws s3 cp s3://rtdc.mdm.uploadarchive.raw/RTDC4018/ "%USERPROFILE%\AppData\Local\Temp\OnboardLogs"\RTDC4018\2018-01-07 --exclude "*" --recursive --include "*20180107*" &amp; "%USERPROFILE%\Documents\GitHub\mrs-test-scripts\Headless Mode &amp; Sideloading\WalkAndUnGZ.bat" "%USERPROFILE%\AppData\Local\Temp\OnboardLogs"\RTDC4018\2018-01-07</v>
      </c>
      <c r="AF221" s="234" t="str">
        <f>astrogrep_path&amp;" /e /r /s /spath="&amp;search_path&amp;" /stypes=""app*"&amp;B221&amp;"*"&amp;TEXT(I221-utc_offset/24,"YYYYMMDD")&amp;"*"" /stext="" "&amp;TEXT(I221-utc_offset/24,"HH")&amp;search_regexp&amp;""""</f>
        <v>"C:\Program Files (x86)\AstroGrep\AstroGrep.exe" /e /r /s /spath="%USERPROFILE%\AppData\Local\Temp\OnboardLogs" /stypes="app*4018*20180106*" /stext=" 23:.+((SYSTEM_STATE.+slice.+state.+changed )|(ment ac)|(multiple cpu faults)|(system.+state.+changed )|(\[timeout)|(PRM\|1\|D)|(kpr)|(kdp)|(train st.+moving)|(\|lc)|(penalty))"</v>
      </c>
      <c r="AG221" s="244" t="str">
        <f>DetSubdiv(A221)</f>
        <v>Shuttle/Test</v>
      </c>
      <c r="AH221" s="236" t="str">
        <f t="shared" si="57"/>
        <v>"%USERPROFILE%\Documents\GitHub\eaglep3\Utilities\RefineRTDCRunTimes.py" --tripid 53-06 --locoid 4018 --swversion DE.1.0.9.0 --startMP 204:1479 --initTime 2018-01-06T16:03:29 --startdatetime 2018-01-06T16:24:31 --delay 151 --endMP 300:23346 --enddatetime 2018-01-06T16:32:52 --enforcementcount 0 &gt;&gt;%USERPROFILE%\Documents\GitHub\eaglep3-reporting\EC\2018-01-06-refined-times.txt</v>
      </c>
      <c r="AI221" s="238" t="str">
        <f t="shared" si="58"/>
        <v>echo {"issue":{"subject":"","project_id":79,"tracker_id":40,"status_id":1,"priority_id":2,"assigned_to_id":338,"start_date":"2018-01-06","description":"","custom_fields":[{"id":1,"name":"Subdivision","value":"Shuttle/Test"},{"id":4,"name":"Milepost","value":"2.3346"},{"id":17,"name":"Train ID","value":"53-06"},{"id":16,"name":"Locomotive ID","value":"4018"},{"id":130,"name":"Impact","value":""},{"id":150,"name":"Time of Event (Mountain Time)","value":"16:32:52"},{"id":151,"name":"Denver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1" s="223"/>
      <c r="AK221" s="231"/>
      <c r="AL221" s="231"/>
      <c r="AM221" s="240" t="str">
        <f t="shared" si="59"/>
        <v>start /low /b %USERPROFILE%\Documents\GitHub\eaglep3\Utilities\DownloadLogsFromS3.py --loco 4018 --day 2018-01-06</v>
      </c>
      <c r="AN221" s="241" t="str">
        <f t="shared" si="60"/>
        <v>echo {"issue":{"subject":"","project_id":30,"tracker_id":4,"status_id":1,"priority_id":1,"assigned_to_id":10,"start_date":"2018-01-06","description":"","custom_fields":[{"id":30,"name":"Category","value":"Issue"},{"id":3,"name":"Functional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UTC","value":"2018-01-06 23:32:52"},{"id":29,"name":"Sharepoint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 s="230" t="str">
        <f t="shared" si="61"/>
        <v>https://d0f6bd738d7f1b3e5a7ca70fe4ff75f0.us-east-1.aws.found.io/app/kibana#/discover/Steve-Slow-Train-Analysis-(2080s-and-2083s)?_g=(refreshInterval:(display:Off,pause:!f,section:0,value:0),time:(from:'2018-01-06T15:03:29-0700',mode:absolute,to:'2018-01-06T17:32:52-0700'))&amp;_a=(columns:!('Message%20ID',Summary),filters:!(),index:'emp_*',interval:auto,query:(query_string:(analyze_wildcard:!t,query:'%22rtdc.l.rtdc.4018%22')),sort:!(Time.ISO8601,asc))</v>
      </c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s="223" customFormat="1" x14ac:dyDescent="0.3">
      <c r="A222" s="229" t="s">
        <v>837</v>
      </c>
      <c r="B222" s="225">
        <v>4032</v>
      </c>
      <c r="C222" s="227" t="s">
        <v>192</v>
      </c>
      <c r="D222" s="227" t="s">
        <v>1044</v>
      </c>
      <c r="E222" s="226">
        <v>43106.719351851854</v>
      </c>
      <c r="F222" s="226">
        <v>43106.731157407405</v>
      </c>
      <c r="G222" s="225">
        <v>64</v>
      </c>
      <c r="H222" s="227" t="s">
        <v>1045</v>
      </c>
      <c r="I222" s="226">
        <v>43106.737662037034</v>
      </c>
      <c r="J222" s="225">
        <v>0</v>
      </c>
      <c r="K222" s="237" t="str">
        <f>IF(ISEVEN(B222),(B222-1)&amp;"/"&amp;B222,B222&amp;"/"&amp;(B222+1))</f>
        <v>4031/4032</v>
      </c>
      <c r="L222" s="245" t="str">
        <f>VLOOKUP(A222,'Trips&amp;Operators'!$C$1:$G$99911,5,FALSE)</f>
        <v>BIRENBAUM THOMAS</v>
      </c>
      <c r="M222" s="224">
        <f>I222-F222</f>
        <v>6.5046296294895001E-3</v>
      </c>
      <c r="N222" s="225">
        <f>24*60*SUM($M222:$M222)</f>
        <v>9.3666666664648801</v>
      </c>
      <c r="O222" s="225"/>
      <c r="P222" s="225"/>
      <c r="Q222" s="228"/>
      <c r="R222" s="242"/>
      <c r="S222" s="249">
        <f>1/IF(AG222="EC",12,1)*SUM(U222:U222)</f>
        <v>1</v>
      </c>
      <c r="T222" s="242" t="str">
        <f>IF(ISEVEN(LEFT(AD222,4)),"Southbound","NorthBound")</f>
        <v>NorthBound</v>
      </c>
      <c r="U222" s="246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248" t="str">
        <f>"https://d0f6bd738d7f1b3e5a7ca70fe4ff75f0.us-east-1.aws.found.io/app/kibana#/discover/Steve-Slow-Train-Analysis-(2080s-and-2083s)?_g="&amp;"(refreshInterval:(display:Off,pause:!f,section:0,value:0),time:(from:'"&amp;TEXT(E222-1/24,"yyyy-MM-DDThh:mm:ss")&amp;utc_offset&amp;"00"&amp;"',mode:absolute,to:'"&amp;TEXT(I222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222&amp;"%22')),sort:!(Time.ISO8601,asc))"</f>
        <v>https://d0f6bd738d7f1b3e5a7ca70fe4ff75f0.us-east-1.aws.found.io/app/kibana#/discover/Steve-Slow-Train-Analysis-(2080s-and-2083s)?_g=(refreshInterval:(display:Off,pause:!f,section:0,value:0),time:(from:'2018-01-06T16:15:52-0700',mode:absolute,to:'2018-01-06T18:42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22" s="247" t="str">
        <f>IF(AA222&lt;VLOOKUP(AG222,Variables!$AC$3:$AD$8,2,FALSE),"Y","N")</f>
        <v>Y</v>
      </c>
      <c r="X222" s="247">
        <f>VALUE(LEFT(AD222,4))-VALUE(LEFT(AD221,4))</f>
        <v>8</v>
      </c>
      <c r="Y222" s="247">
        <f>RIGHT(D222,LEN(D222)-4)/10000</f>
        <v>0.1158</v>
      </c>
      <c r="Z222" s="247">
        <f>RIGHT(H222,LEN(H222)-4)/10000</f>
        <v>2.3321000000000001</v>
      </c>
      <c r="AA222" s="247">
        <f>ABS(Z222-Y222)</f>
        <v>2.2162999999999999</v>
      </c>
      <c r="AB222" s="233" t="e">
        <f>VLOOKUP(A222,Enforcements!$C$7:$K$9,8,0)</f>
        <v>#N/A</v>
      </c>
      <c r="AC222" s="232" t="e">
        <f>VLOOKUP(A222,Enforcements!$C$7:$E$9,3,0)</f>
        <v>#N/A</v>
      </c>
      <c r="AD222" s="243">
        <f>VALUE(LEFT(A222,LEN(A222)-3))</f>
        <v>61</v>
      </c>
      <c r="AE222" s="235" t="str">
        <f>"aws s3 cp "&amp;s3_bucket&amp;"/RTDC"&amp;B222&amp;"/ "&amp;search_path&amp;"\RTDC"&amp;B222&amp;"\"&amp;TEXT(F222,"YYYY-MM-DD")&amp;" --exclude ""*"" --recursive --include ""*"&amp;TEXT(F222,"YYYYMMDD")&amp;"*"" &amp; """&amp;walkandungz&amp;""" "&amp;search_path&amp;"\RTDC"&amp;B222&amp;"\"&amp;TEXT(F222,"YYYY-MM-DD")
&amp;" &amp; "&amp;"aws s3 cp "&amp;s3_bucket&amp;"/RTDC"&amp;B222&amp;"/ "&amp;search_path&amp;"\RTDC"&amp;B222&amp;"\"&amp;TEXT(F222+1,"YYYY-MM-DD")&amp;" --exclude ""*"" --recursive --include ""*"&amp;TEXT(F222+1,"YYYYMMDD")&amp;"*"" &amp; """&amp;walkandungz&amp;""" "&amp;search_path&amp;"\RTDC"&amp;B222&amp;"\"&amp;TEXT(F222+1,"YYYY-MM-DD")</f>
        <v>aws s3 cp s3://rtdc.mdm.uploadarchive.raw/RTDC4032/ "%USERPROFILE%\AppData\Local\Temp\OnboardLogs"\RTDC4032\2018-01-06 --exclude "*" --recursive --include "*20180106*" &amp; "%USERPROFILE%\Documents\GitHub\mrs-test-scripts\Headless Mode &amp; Sideloading\WalkAndUnGZ.bat" "%USERPROFILE%\AppData\Local\Temp\OnboardLogs"\RTDC4032\2018-01-06 &amp; aws s3 cp s3://rtdc.mdm.uploadarchive.raw/RTDC4032/ "%USERPROFILE%\AppData\Local\Temp\OnboardLogs"\RTDC4032\2018-01-07 --exclude "*" --recursive --include "*20180107*" &amp; "%USERPROFILE%\Documents\GitHub\mrs-test-scripts\Headless Mode &amp; Sideloading\WalkAndUnGZ.bat" "%USERPROFILE%\AppData\Local\Temp\OnboardLogs"\RTDC4032\2018-01-07</v>
      </c>
      <c r="AF222" s="234" t="str">
        <f>astrogrep_path&amp;" /e /r /s /spath="&amp;search_path&amp;" /stypes=""app*"&amp;B222&amp;"*"&amp;TEXT(I222-utc_offset/24,"YYYYMMDD")&amp;"*"" /stext="" "&amp;TEXT(I222-utc_offset/24,"HH")&amp;search_regexp&amp;""""</f>
        <v>"C:\Program Files (x86)\AstroGrep\AstroGrep.exe" /e /r /s /spath="%USERPROFILE%\AppData\Local\Temp\OnboardLogs" /stypes="app*4032*20180107*" /stext=" 00:.+((SYSTEM_STATE.+slice.+state.+changed )|(ment ac)|(multiple cpu faults)|(system.+state.+changed )|(\[timeout)|(PRM\|1\|D)|(kpr)|(kdp)|(train st.+moving)|(\|lc)|(penalty))"</v>
      </c>
      <c r="AG222" s="244" t="str">
        <f>DetSubdiv(A222)</f>
        <v>Shuttle/Test</v>
      </c>
      <c r="AH222" s="236" t="str">
        <f t="shared" si="57"/>
        <v>"%USERPROFILE%\Documents\GitHub\eaglep3\Utilities\RefineRTDCRunTimes.py" --tripid 61-06 --locoid 4032 --swversion DE.1.0.9.0 --startMP 204:1158 --initTime 2018-01-06T17:15:52 --startdatetime 2018-01-06T17:32:52 --delay 64 --endMP 300:23321 --enddatetime 2018-01-06T17:42:14 --enforcementcount 0 &gt;&gt;%USERPROFILE%\Documents\GitHub\eaglep3-reporting\EC\2018-01-06-refined-times.txt</v>
      </c>
      <c r="AI222" s="238" t="str">
        <f t="shared" si="58"/>
        <v>echo {"issue":{"subject":"","project_id":79,"tracker_id":40,"status_id":1,"priority_id":2,"assigned_to_id":338,"start_date":"2018-01-06","description":"","custom_fields":[{"id":1,"name":"Subdivision","value":"Shuttle/Test"},{"id":4,"name":"Milepost","value":"2.3321"},{"id":17,"name":"Train ID","value":"61-06"},{"id":16,"name":"Locomotive ID","value":"4032"},{"id":130,"name":"Impact","value":""},{"id":150,"name":"Time of Event (Mountain Time)","value":"17:42:14"},{"id":151,"name":"Denver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222" s="231"/>
      <c r="AL222" s="231"/>
      <c r="AM222" s="240" t="str">
        <f t="shared" si="59"/>
        <v>start /low /b %USERPROFILE%\Documents\GitHub\eaglep3\Utilities\DownloadLogsFromS3.py --loco 4032 --day 2018-01-06</v>
      </c>
      <c r="AN222" s="241" t="str">
        <f t="shared" si="60"/>
        <v>echo {"issue":{"subject":"","project_id":30,"tracker_id":4,"status_id":1,"priority_id":1,"assigned_to_id":10,"start_date":"2018-01-07","description":"","custom_fields":[{"id":30,"name":"Category","value":"Issue"},{"id":3,"name":"Functional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UTC","value":"2018-01-07 00:42:14"},{"id":29,"name":"Sharepoint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 s="230" t="str">
        <f t="shared" si="61"/>
        <v>https://d0f6bd738d7f1b3e5a7ca70fe4ff75f0.us-east-1.aws.found.io/app/kibana#/discover/Steve-Slow-Train-Analysis-(2080s-and-2083s)?_g=(refreshInterval:(display:Off,pause:!f,section:0,value:0),time:(from:'2018-01-06T16:15:52-0700',mode:absolute,to:'2018-01-06T18:42:14-0700'))&amp;_a=(columns:!('Message%20ID',Summary),filters:!(),index:'emp_*',interval:auto,query:(query_string:(analyze_wildcard:!t,query:'%22rtdc.l.rtdc.4032%22')),sort:!(Time.ISO8601,asc))</v>
      </c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s="223" customFormat="1" x14ac:dyDescent="0.3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:91" s="223" customFormat="1" x14ac:dyDescent="0.3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:91" s="20" customFormat="1" x14ac:dyDescent="0.3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:91" s="223" customFormat="1" x14ac:dyDescent="0.3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:91" s="20" customFormat="1" x14ac:dyDescent="0.3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:91" s="20" customFormat="1" x14ac:dyDescent="0.3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:91" s="223" customFormat="1" x14ac:dyDescent="0.3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</row>
    <row r="230" spans="1:91" s="20" customFormat="1" x14ac:dyDescent="0.3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</row>
    <row r="231" spans="1:91" s="223" customFormat="1" x14ac:dyDescent="0.3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:91" s="20" customFormat="1" x14ac:dyDescent="0.3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:91" s="20" customFormat="1" x14ac:dyDescent="0.3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:91" s="223" customFormat="1" x14ac:dyDescent="0.3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</row>
    <row r="235" spans="1:91" s="20" customFormat="1" x14ac:dyDescent="0.3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</row>
    <row r="236" spans="1:91" s="20" customFormat="1" x14ac:dyDescent="0.3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:91" s="20" customFormat="1" x14ac:dyDescent="0.3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</row>
    <row r="238" spans="1:91" s="20" customFormat="1" x14ac:dyDescent="0.3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:91" s="223" customFormat="1" x14ac:dyDescent="0.3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:91" s="20" customFormat="1" x14ac:dyDescent="0.3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</row>
    <row r="241" spans="1:91" s="20" customFormat="1" x14ac:dyDescent="0.3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</row>
    <row r="242" spans="1:91" s="20" customFormat="1" x14ac:dyDescent="0.3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</row>
    <row r="243" spans="1:91" s="223" customFormat="1" x14ac:dyDescent="0.3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</row>
    <row r="244" spans="1:91" s="20" customFormat="1" x14ac:dyDescent="0.3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:91" s="223" customFormat="1" x14ac:dyDescent="0.3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</row>
    <row r="246" spans="1:91" s="20" customFormat="1" x14ac:dyDescent="0.3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</row>
    <row r="247" spans="1:91" s="223" customFormat="1" x14ac:dyDescent="0.3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</row>
    <row r="248" spans="1:91" s="20" customFormat="1" x14ac:dyDescent="0.3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</row>
    <row r="249" spans="1:91" s="20" customFormat="1" x14ac:dyDescent="0.3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</row>
    <row r="250" spans="1:91" s="223" customFormat="1" x14ac:dyDescent="0.3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</row>
    <row r="251" spans="1:91" s="20" customFormat="1" x14ac:dyDescent="0.3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</row>
    <row r="252" spans="1:91" s="223" customFormat="1" x14ac:dyDescent="0.3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</row>
    <row r="253" spans="1:91" s="20" customFormat="1" x14ac:dyDescent="0.3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</row>
    <row r="254" spans="1:91" s="223" customFormat="1" x14ac:dyDescent="0.3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</row>
    <row r="255" spans="1:91" s="20" customFormat="1" x14ac:dyDescent="0.3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</row>
    <row r="256" spans="1:91" s="20" customFormat="1" x14ac:dyDescent="0.3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</row>
    <row r="257" spans="1:91" s="20" customFormat="1" x14ac:dyDescent="0.3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</row>
    <row r="258" spans="1:91" s="20" customFormat="1" x14ac:dyDescent="0.3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</row>
    <row r="259" spans="1:91" s="20" customFormat="1" x14ac:dyDescent="0.3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</row>
    <row r="260" spans="1:91" s="20" customFormat="1" x14ac:dyDescent="0.3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</row>
    <row r="261" spans="1:91" s="20" customFormat="1" x14ac:dyDescent="0.3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</row>
    <row r="262" spans="1:91" s="20" customFormat="1" x14ac:dyDescent="0.3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</row>
    <row r="263" spans="1:91" s="20" customFormat="1" x14ac:dyDescent="0.3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</row>
    <row r="264" spans="1:91" s="20" customFormat="1" x14ac:dyDescent="0.3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</row>
    <row r="265" spans="1:91" s="20" customFormat="1" x14ac:dyDescent="0.3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</row>
    <row r="266" spans="1:91" s="20" customFormat="1" x14ac:dyDescent="0.3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</row>
    <row r="267" spans="1:91" s="20" customFormat="1" x14ac:dyDescent="0.3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</row>
    <row r="268" spans="1:91" s="20" customFormat="1" x14ac:dyDescent="0.3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</row>
    <row r="269" spans="1:91" s="20" customFormat="1" x14ac:dyDescent="0.3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</row>
    <row r="270" spans="1:91" s="20" customFormat="1" x14ac:dyDescent="0.3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</row>
    <row r="271" spans="1:91" s="20" customFormat="1" x14ac:dyDescent="0.3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</row>
    <row r="272" spans="1:91" s="20" customFormat="1" x14ac:dyDescent="0.3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</row>
    <row r="273" spans="1:91" s="20" customFormat="1" x14ac:dyDescent="0.3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</row>
    <row r="274" spans="1:91" s="20" customFormat="1" x14ac:dyDescent="0.3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</row>
    <row r="275" spans="1:91" s="20" customFormat="1" x14ac:dyDescent="0.3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</row>
    <row r="276" spans="1:91" s="20" customFormat="1" x14ac:dyDescent="0.3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</row>
    <row r="277" spans="1:91" s="20" customFormat="1" x14ac:dyDescent="0.3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</row>
    <row r="278" spans="1:91" s="20" customFormat="1" x14ac:dyDescent="0.3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</row>
    <row r="279" spans="1:91" s="20" customFormat="1" x14ac:dyDescent="0.3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</row>
    <row r="280" spans="1:91" s="20" customFormat="1" x14ac:dyDescent="0.3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</row>
    <row r="281" spans="1:91" s="20" customFormat="1" x14ac:dyDescent="0.3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</row>
    <row r="282" spans="1:91" s="20" customFormat="1" x14ac:dyDescent="0.3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</row>
    <row r="283" spans="1:91" s="223" customFormat="1" x14ac:dyDescent="0.3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</row>
    <row r="284" spans="1:91" s="20" customFormat="1" x14ac:dyDescent="0.3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</row>
    <row r="285" spans="1:91" s="20" customFormat="1" x14ac:dyDescent="0.3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</row>
    <row r="286" spans="1:91" s="20" customFormat="1" x14ac:dyDescent="0.3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</row>
    <row r="287" spans="1:91" s="20" customFormat="1" x14ac:dyDescent="0.3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</row>
    <row r="288" spans="1:91" s="223" customFormat="1" x14ac:dyDescent="0.3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</row>
    <row r="289" spans="1:91" s="20" customFormat="1" x14ac:dyDescent="0.3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</row>
    <row r="290" spans="1:91" s="20" customFormat="1" x14ac:dyDescent="0.3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</row>
    <row r="291" spans="1:91" s="20" customFormat="1" x14ac:dyDescent="0.3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</row>
    <row r="292" spans="1:91" s="20" customFormat="1" x14ac:dyDescent="0.3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</row>
    <row r="293" spans="1:91" s="20" customFormat="1" x14ac:dyDescent="0.3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</row>
    <row r="294" spans="1:91" s="20" customFormat="1" x14ac:dyDescent="0.3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</row>
    <row r="295" spans="1:91" s="20" customFormat="1" x14ac:dyDescent="0.3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</row>
    <row r="296" spans="1:91" s="20" customFormat="1" x14ac:dyDescent="0.3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</row>
    <row r="297" spans="1:91" s="20" customFormat="1" x14ac:dyDescent="0.3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</row>
    <row r="298" spans="1:91" s="20" customFormat="1" x14ac:dyDescent="0.3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</row>
    <row r="299" spans="1:91" s="20" customFormat="1" x14ac:dyDescent="0.3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</row>
    <row r="300" spans="1:91" s="20" customFormat="1" x14ac:dyDescent="0.3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</row>
    <row r="301" spans="1:91" s="20" customFormat="1" x14ac:dyDescent="0.3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</row>
    <row r="302" spans="1:91" s="20" customFormat="1" x14ac:dyDescent="0.3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</row>
    <row r="303" spans="1:91" s="20" customFormat="1" x14ac:dyDescent="0.3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</row>
    <row r="304" spans="1:91" s="20" customFormat="1" x14ac:dyDescent="0.3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</row>
    <row r="305" spans="1:91" s="20" customFormat="1" x14ac:dyDescent="0.3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</row>
    <row r="306" spans="1:91" s="20" customFormat="1" x14ac:dyDescent="0.3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</row>
    <row r="307" spans="1:91" s="20" customFormat="1" x14ac:dyDescent="0.3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</row>
    <row r="308" spans="1:91" s="20" customFormat="1" x14ac:dyDescent="0.3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</row>
    <row r="309" spans="1:91" s="20" customFormat="1" x14ac:dyDescent="0.3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</row>
    <row r="310" spans="1:91" s="20" customFormat="1" x14ac:dyDescent="0.3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</row>
    <row r="311" spans="1:91" s="20" customFormat="1" x14ac:dyDescent="0.3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</row>
    <row r="312" spans="1:91" s="20" customFormat="1" x14ac:dyDescent="0.3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</row>
    <row r="313" spans="1:91" s="20" customFormat="1" x14ac:dyDescent="0.3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</row>
    <row r="314" spans="1:91" s="20" customFormat="1" x14ac:dyDescent="0.3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</row>
    <row r="315" spans="1:91" s="20" customFormat="1" x14ac:dyDescent="0.3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</row>
    <row r="316" spans="1:91" s="20" customFormat="1" x14ac:dyDescent="0.3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</row>
    <row r="317" spans="1:91" s="20" customFormat="1" x14ac:dyDescent="0.3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</row>
    <row r="318" spans="1:91" s="20" customFormat="1" x14ac:dyDescent="0.3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</row>
    <row r="319" spans="1:91" s="20" customFormat="1" x14ac:dyDescent="0.3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</row>
    <row r="320" spans="1:91" s="20" customFormat="1" x14ac:dyDescent="0.3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</row>
    <row r="321" spans="1:91" s="20" customFormat="1" x14ac:dyDescent="0.3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</row>
    <row r="322" spans="1:91" s="20" customFormat="1" x14ac:dyDescent="0.3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</row>
    <row r="323" spans="1:91" s="20" customFormat="1" x14ac:dyDescent="0.3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</row>
    <row r="324" spans="1:91" s="20" customFormat="1" x14ac:dyDescent="0.3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</row>
    <row r="325" spans="1:91" s="20" customFormat="1" x14ac:dyDescent="0.3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</row>
    <row r="326" spans="1:91" s="20" customFormat="1" x14ac:dyDescent="0.3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</row>
    <row r="327" spans="1:91" s="20" customFormat="1" x14ac:dyDescent="0.3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</row>
    <row r="328" spans="1:91" s="20" customFormat="1" x14ac:dyDescent="0.3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</row>
    <row r="329" spans="1:91" s="20" customFormat="1" x14ac:dyDescent="0.3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</row>
    <row r="330" spans="1:91" s="20" customFormat="1" x14ac:dyDescent="0.3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</row>
    <row r="331" spans="1:91" s="20" customFormat="1" x14ac:dyDescent="0.3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</row>
    <row r="332" spans="1:91" s="20" customFormat="1" x14ac:dyDescent="0.3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</row>
    <row r="333" spans="1:91" s="20" customFormat="1" x14ac:dyDescent="0.3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</row>
    <row r="334" spans="1:91" s="20" customFormat="1" x14ac:dyDescent="0.3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</row>
    <row r="335" spans="1:91" s="20" customFormat="1" x14ac:dyDescent="0.3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</row>
    <row r="336" spans="1:91" s="20" customFormat="1" x14ac:dyDescent="0.3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</row>
    <row r="337" spans="1:91" s="20" customFormat="1" x14ac:dyDescent="0.3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</row>
    <row r="338" spans="1:91" s="20" customFormat="1" x14ac:dyDescent="0.3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</row>
    <row r="339" spans="1:91" s="20" customFormat="1" x14ac:dyDescent="0.3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</row>
    <row r="340" spans="1:91" s="20" customFormat="1" x14ac:dyDescent="0.3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</row>
    <row r="341" spans="1:91" s="20" customFormat="1" x14ac:dyDescent="0.3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</row>
    <row r="342" spans="1:91" s="20" customFormat="1" x14ac:dyDescent="0.3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</row>
    <row r="343" spans="1:91" s="20" customFormat="1" x14ac:dyDescent="0.3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</row>
    <row r="344" spans="1:91" s="20" customFormat="1" x14ac:dyDescent="0.3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</row>
    <row r="345" spans="1:91" s="20" customFormat="1" x14ac:dyDescent="0.3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</row>
    <row r="346" spans="1:91" s="20" customFormat="1" x14ac:dyDescent="0.3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</row>
    <row r="347" spans="1:91" s="20" customFormat="1" x14ac:dyDescent="0.3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</row>
    <row r="348" spans="1:91" s="20" customFormat="1" x14ac:dyDescent="0.3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</row>
    <row r="349" spans="1:91" s="20" customFormat="1" x14ac:dyDescent="0.3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</row>
    <row r="350" spans="1:91" s="20" customFormat="1" x14ac:dyDescent="0.3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</row>
    <row r="351" spans="1:91" s="20" customFormat="1" x14ac:dyDescent="0.3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</row>
    <row r="352" spans="1:91" s="20" customFormat="1" x14ac:dyDescent="0.3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</row>
    <row r="353" spans="1:91" s="20" customFormat="1" x14ac:dyDescent="0.3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</row>
    <row r="354" spans="1:91" s="20" customFormat="1" x14ac:dyDescent="0.3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</row>
    <row r="355" spans="1:91" s="20" customFormat="1" x14ac:dyDescent="0.3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</row>
    <row r="356" spans="1:91" s="20" customFormat="1" x14ac:dyDescent="0.3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</row>
    <row r="357" spans="1:91" s="20" customFormat="1" x14ac:dyDescent="0.3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</row>
    <row r="358" spans="1:91" s="20" customFormat="1" x14ac:dyDescent="0.3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</row>
    <row r="359" spans="1:91" s="20" customFormat="1" x14ac:dyDescent="0.3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</row>
    <row r="360" spans="1:91" s="20" customFormat="1" x14ac:dyDescent="0.3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</row>
    <row r="361" spans="1:91" s="20" customFormat="1" x14ac:dyDescent="0.3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</row>
    <row r="362" spans="1:91" s="20" customFormat="1" x14ac:dyDescent="0.3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</row>
    <row r="363" spans="1:91" s="20" customFormat="1" x14ac:dyDescent="0.3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</row>
    <row r="364" spans="1:91" s="20" customFormat="1" x14ac:dyDescent="0.3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</row>
    <row r="365" spans="1:91" s="20" customFormat="1" x14ac:dyDescent="0.3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</row>
    <row r="366" spans="1:91" s="20" customFormat="1" x14ac:dyDescent="0.3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</row>
    <row r="367" spans="1:91" s="20" customFormat="1" x14ac:dyDescent="0.3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</row>
    <row r="368" spans="1:91" s="20" customFormat="1" x14ac:dyDescent="0.3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</row>
    <row r="369" spans="1:91" s="20" customFormat="1" x14ac:dyDescent="0.3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</row>
    <row r="370" spans="1:91" s="20" customFormat="1" x14ac:dyDescent="0.3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</row>
    <row r="371" spans="1:91" s="20" customFormat="1" x14ac:dyDescent="0.3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</row>
    <row r="372" spans="1:91" s="20" customFormat="1" x14ac:dyDescent="0.3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</row>
    <row r="373" spans="1:91" s="20" customFormat="1" x14ac:dyDescent="0.3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</row>
    <row r="374" spans="1:91" s="20" customFormat="1" x14ac:dyDescent="0.3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</row>
    <row r="375" spans="1:91" s="20" customFormat="1" x14ac:dyDescent="0.3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</row>
    <row r="376" spans="1:91" s="20" customFormat="1" x14ac:dyDescent="0.3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</row>
    <row r="377" spans="1:91" s="20" customFormat="1" x14ac:dyDescent="0.3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</row>
    <row r="378" spans="1:91" s="20" customFormat="1" x14ac:dyDescent="0.3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</row>
    <row r="379" spans="1:91" s="20" customFormat="1" x14ac:dyDescent="0.3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</row>
    <row r="380" spans="1:91" s="20" customFormat="1" x14ac:dyDescent="0.3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</row>
    <row r="381" spans="1:91" s="20" customFormat="1" x14ac:dyDescent="0.3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</row>
    <row r="382" spans="1:91" s="20" customFormat="1" x14ac:dyDescent="0.3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</row>
    <row r="383" spans="1:91" s="20" customFormat="1" x14ac:dyDescent="0.3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</row>
    <row r="384" spans="1:91" s="20" customFormat="1" x14ac:dyDescent="0.3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</row>
    <row r="385" spans="1:91" s="20" customFormat="1" x14ac:dyDescent="0.3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</row>
    <row r="386" spans="1:91" s="20" customFormat="1" x14ac:dyDescent="0.3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</row>
    <row r="387" spans="1:91" s="20" customFormat="1" x14ac:dyDescent="0.3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</row>
    <row r="388" spans="1:91" s="20" customFormat="1" x14ac:dyDescent="0.3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</row>
    <row r="389" spans="1:91" s="20" customFormat="1" x14ac:dyDescent="0.3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</row>
    <row r="390" spans="1:91" s="20" customFormat="1" x14ac:dyDescent="0.3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</row>
    <row r="391" spans="1:91" s="20" customFormat="1" x14ac:dyDescent="0.3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</row>
    <row r="392" spans="1:91" s="20" customFormat="1" x14ac:dyDescent="0.3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</row>
    <row r="393" spans="1:91" s="20" customFormat="1" x14ac:dyDescent="0.3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</row>
    <row r="394" spans="1:91" s="20" customFormat="1" x14ac:dyDescent="0.3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</row>
    <row r="395" spans="1:91" s="20" customFormat="1" x14ac:dyDescent="0.3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</row>
    <row r="396" spans="1:91" s="20" customFormat="1" x14ac:dyDescent="0.3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</row>
    <row r="397" spans="1:91" s="20" customFormat="1" x14ac:dyDescent="0.3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</row>
    <row r="398" spans="1:91" s="20" customFormat="1" x14ac:dyDescent="0.3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</row>
    <row r="399" spans="1:91" s="20" customFormat="1" x14ac:dyDescent="0.3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</row>
    <row r="400" spans="1:91" s="20" customFormat="1" x14ac:dyDescent="0.3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</row>
    <row r="401" spans="1:91" s="20" customFormat="1" x14ac:dyDescent="0.3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</row>
    <row r="402" spans="1:91" s="20" customFormat="1" x14ac:dyDescent="0.3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</row>
    <row r="403" spans="1:91" s="20" customFormat="1" x14ac:dyDescent="0.3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</row>
    <row r="404" spans="1:91" s="20" customFormat="1" x14ac:dyDescent="0.3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</row>
    <row r="405" spans="1:91" s="20" customFormat="1" x14ac:dyDescent="0.3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</row>
    <row r="406" spans="1:91" s="20" customFormat="1" x14ac:dyDescent="0.3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</row>
    <row r="407" spans="1:91" s="20" customFormat="1" x14ac:dyDescent="0.3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</row>
    <row r="408" spans="1:91" s="20" customFormat="1" x14ac:dyDescent="0.3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</row>
    <row r="409" spans="1:91" s="20" customFormat="1" x14ac:dyDescent="0.3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</row>
    <row r="410" spans="1:91" s="20" customFormat="1" x14ac:dyDescent="0.3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</row>
    <row r="411" spans="1:91" s="20" customFormat="1" x14ac:dyDescent="0.3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</row>
    <row r="412" spans="1:91" s="20" customFormat="1" x14ac:dyDescent="0.3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</row>
    <row r="413" spans="1:91" s="20" customFormat="1" x14ac:dyDescent="0.3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</row>
    <row r="414" spans="1:91" s="20" customFormat="1" x14ac:dyDescent="0.3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</row>
    <row r="415" spans="1:91" s="20" customFormat="1" x14ac:dyDescent="0.3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</row>
    <row r="416" spans="1:91" s="20" customFormat="1" x14ac:dyDescent="0.3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</row>
    <row r="417" spans="1:91" s="20" customFormat="1" x14ac:dyDescent="0.3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</row>
    <row r="418" spans="1:91" s="20" customFormat="1" x14ac:dyDescent="0.3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</row>
    <row r="419" spans="1:91" s="20" customFormat="1" x14ac:dyDescent="0.3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</row>
    <row r="420" spans="1:91" s="20" customFormat="1" x14ac:dyDescent="0.3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</row>
    <row r="421" spans="1:91" s="20" customFormat="1" x14ac:dyDescent="0.3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</row>
    <row r="422" spans="1:91" s="20" customFormat="1" x14ac:dyDescent="0.3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</row>
    <row r="423" spans="1:91" s="20" customFormat="1" x14ac:dyDescent="0.3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</row>
    <row r="424" spans="1:91" s="20" customFormat="1" x14ac:dyDescent="0.3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</row>
    <row r="425" spans="1:91" s="20" customFormat="1" x14ac:dyDescent="0.3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</row>
    <row r="426" spans="1:91" s="20" customFormat="1" x14ac:dyDescent="0.3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</row>
    <row r="427" spans="1:91" s="20" customFormat="1" x14ac:dyDescent="0.3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</row>
    <row r="428" spans="1:91" s="20" customFormat="1" x14ac:dyDescent="0.3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</row>
    <row r="429" spans="1:91" s="20" customFormat="1" x14ac:dyDescent="0.3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</row>
    <row r="430" spans="1:91" s="20" customFormat="1" x14ac:dyDescent="0.3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</row>
    <row r="431" spans="1:91" s="20" customFormat="1" x14ac:dyDescent="0.3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</row>
    <row r="432" spans="1:91" s="20" customFormat="1" x14ac:dyDescent="0.3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</row>
    <row r="433" spans="1:91" s="20" customFormat="1" x14ac:dyDescent="0.3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</row>
    <row r="434" spans="1:91" s="20" customFormat="1" x14ac:dyDescent="0.3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</row>
    <row r="435" spans="1:91" s="20" customFormat="1" x14ac:dyDescent="0.3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</row>
    <row r="436" spans="1:91" s="20" customFormat="1" x14ac:dyDescent="0.3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</row>
    <row r="437" spans="1:91" s="20" customFormat="1" x14ac:dyDescent="0.3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</row>
    <row r="438" spans="1:91" s="20" customFormat="1" x14ac:dyDescent="0.3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</row>
    <row r="439" spans="1:91" s="20" customFormat="1" x14ac:dyDescent="0.3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</row>
    <row r="440" spans="1:91" s="20" customFormat="1" x14ac:dyDescent="0.3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</row>
    <row r="441" spans="1:91" s="20" customFormat="1" x14ac:dyDescent="0.3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</row>
    <row r="442" spans="1:91" s="20" customFormat="1" x14ac:dyDescent="0.3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</row>
    <row r="443" spans="1:91" s="20" customFormat="1" x14ac:dyDescent="0.3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</row>
    <row r="444" spans="1:91" s="20" customFormat="1" x14ac:dyDescent="0.3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</row>
    <row r="445" spans="1:91" s="20" customFormat="1" x14ac:dyDescent="0.3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</row>
    <row r="446" spans="1:91" s="20" customFormat="1" x14ac:dyDescent="0.3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</row>
    <row r="447" spans="1:91" s="20" customFormat="1" x14ac:dyDescent="0.3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</row>
    <row r="448" spans="1:91" s="20" customFormat="1" x14ac:dyDescent="0.3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</row>
    <row r="449" spans="1:91" s="20" customFormat="1" x14ac:dyDescent="0.3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</row>
    <row r="450" spans="1:91" s="20" customFormat="1" x14ac:dyDescent="0.3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</row>
    <row r="451" spans="1:91" x14ac:dyDescent="0.3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M451"/>
      <c r="AO451"/>
    </row>
    <row r="452" spans="1:91" s="20" customFormat="1" x14ac:dyDescent="0.3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</row>
    <row r="453" spans="1:91" s="20" customFormat="1" x14ac:dyDescent="0.3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</row>
    <row r="454" spans="1:91" s="20" customFormat="1" x14ac:dyDescent="0.3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</row>
    <row r="455" spans="1:91" s="20" customFormat="1" x14ac:dyDescent="0.3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</row>
    <row r="456" spans="1:91" s="20" customFormat="1" x14ac:dyDescent="0.3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</row>
    <row r="457" spans="1:91" x14ac:dyDescent="0.3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M457"/>
      <c r="AO457"/>
    </row>
    <row r="458" spans="1:91" x14ac:dyDescent="0.3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M458"/>
      <c r="AO458"/>
    </row>
    <row r="459" spans="1:91" s="20" customFormat="1" x14ac:dyDescent="0.3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</row>
    <row r="460" spans="1:91" s="20" customFormat="1" x14ac:dyDescent="0.3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</row>
    <row r="461" spans="1:91" s="20" customFormat="1" x14ac:dyDescent="0.3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</row>
    <row r="462" spans="1:91" s="20" customFormat="1" x14ac:dyDescent="0.3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</row>
    <row r="463" spans="1:91" s="20" customFormat="1" x14ac:dyDescent="0.3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</row>
    <row r="464" spans="1:91" s="20" customFormat="1" x14ac:dyDescent="0.3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</row>
    <row r="465" spans="1:91" x14ac:dyDescent="0.3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M465"/>
      <c r="AO465"/>
    </row>
    <row r="466" spans="1:91" s="20" customFormat="1" x14ac:dyDescent="0.3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</row>
    <row r="467" spans="1:91" x14ac:dyDescent="0.3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M467"/>
      <c r="AO467"/>
    </row>
    <row r="468" spans="1:91" s="20" customFormat="1" x14ac:dyDescent="0.3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</row>
    <row r="469" spans="1:91" x14ac:dyDescent="0.3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M469"/>
      <c r="AO469"/>
    </row>
    <row r="470" spans="1:91" s="20" customFormat="1" x14ac:dyDescent="0.3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</row>
    <row r="471" spans="1:91" x14ac:dyDescent="0.3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M471"/>
      <c r="AO471"/>
    </row>
    <row r="472" spans="1:91" s="20" customFormat="1" x14ac:dyDescent="0.3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</row>
    <row r="473" spans="1:91" s="20" customFormat="1" x14ac:dyDescent="0.3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</row>
    <row r="474" spans="1:91" x14ac:dyDescent="0.3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M474"/>
      <c r="AO474"/>
    </row>
    <row r="475" spans="1:91" s="20" customFormat="1" x14ac:dyDescent="0.3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</row>
    <row r="476" spans="1:91" x14ac:dyDescent="0.3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M476"/>
      <c r="AO476"/>
    </row>
    <row r="477" spans="1:91" s="20" customFormat="1" x14ac:dyDescent="0.3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</row>
    <row r="478" spans="1:91" s="20" customFormat="1" x14ac:dyDescent="0.3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</row>
    <row r="479" spans="1:91" s="20" customFormat="1" x14ac:dyDescent="0.3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</row>
    <row r="480" spans="1:91" x14ac:dyDescent="0.3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M480"/>
      <c r="AO480"/>
    </row>
    <row r="481" spans="1:91" s="20" customFormat="1" x14ac:dyDescent="0.3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</row>
    <row r="482" spans="1:91" s="20" customFormat="1" x14ac:dyDescent="0.3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</row>
    <row r="483" spans="1:91" s="20" customFormat="1" x14ac:dyDescent="0.3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</row>
    <row r="484" spans="1:91" x14ac:dyDescent="0.3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M484"/>
      <c r="AO484"/>
    </row>
    <row r="485" spans="1:91" s="20" customFormat="1" x14ac:dyDescent="0.3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</row>
    <row r="486" spans="1:91" s="20" customFormat="1" x14ac:dyDescent="0.3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</row>
    <row r="487" spans="1:91" s="20" customFormat="1" x14ac:dyDescent="0.3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</row>
    <row r="488" spans="1:91" s="20" customFormat="1" x14ac:dyDescent="0.3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</row>
    <row r="489" spans="1:91" x14ac:dyDescent="0.3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M489"/>
      <c r="AO489"/>
    </row>
    <row r="490" spans="1:91" x14ac:dyDescent="0.3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M490"/>
      <c r="AO490"/>
    </row>
    <row r="491" spans="1:91" s="20" customFormat="1" x14ac:dyDescent="0.3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</row>
    <row r="492" spans="1:91" x14ac:dyDescent="0.3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M492"/>
      <c r="AO492"/>
    </row>
    <row r="493" spans="1:91" s="20" customFormat="1" x14ac:dyDescent="0.3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</row>
    <row r="494" spans="1:91" s="20" customFormat="1" x14ac:dyDescent="0.3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</row>
    <row r="495" spans="1:91" s="20" customFormat="1" x14ac:dyDescent="0.3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</row>
    <row r="496" spans="1:91" x14ac:dyDescent="0.3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M496"/>
      <c r="AO496"/>
    </row>
    <row r="497" spans="1:91" x14ac:dyDescent="0.3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M497"/>
      <c r="AO497"/>
    </row>
    <row r="498" spans="1:91" x14ac:dyDescent="0.3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M498"/>
      <c r="AO498"/>
    </row>
    <row r="499" spans="1:91" s="20" customFormat="1" x14ac:dyDescent="0.3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</row>
    <row r="500" spans="1:91" x14ac:dyDescent="0.3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M500"/>
      <c r="AO500"/>
    </row>
    <row r="501" spans="1:91" x14ac:dyDescent="0.3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M501"/>
      <c r="AO501"/>
    </row>
    <row r="502" spans="1:91" x14ac:dyDescent="0.3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M502"/>
      <c r="AO502"/>
    </row>
    <row r="503" spans="1:91" x14ac:dyDescent="0.3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M503"/>
      <c r="AO503"/>
    </row>
    <row r="504" spans="1:91" x14ac:dyDescent="0.3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M504"/>
      <c r="AO504"/>
    </row>
    <row r="505" spans="1:91" s="20" customFormat="1" x14ac:dyDescent="0.3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J505"/>
      <c r="AK505"/>
      <c r="AL505"/>
      <c r="AM505"/>
      <c r="AN505"/>
      <c r="AO505"/>
      <c r="AP505"/>
      <c r="AQ505"/>
      <c r="AR505"/>
      <c r="AS505"/>
      <c r="AT505"/>
      <c r="AU505"/>
      <c r="AV505"/>
      <c r="AW505"/>
      <c r="AX505"/>
      <c r="AY505"/>
      <c r="AZ505"/>
      <c r="BA505"/>
      <c r="BB505"/>
      <c r="BC505"/>
      <c r="BD505"/>
      <c r="BE505"/>
      <c r="BF505"/>
      <c r="BG505"/>
      <c r="BH505"/>
      <c r="BI505"/>
      <c r="BJ505"/>
      <c r="BK505"/>
      <c r="BL505"/>
      <c r="BM505"/>
      <c r="BN505"/>
      <c r="BO505"/>
      <c r="BP505"/>
      <c r="BQ505"/>
      <c r="BR505"/>
      <c r="BS505"/>
      <c r="BT505"/>
      <c r="BU505"/>
      <c r="BV505"/>
      <c r="BW505"/>
      <c r="BX505"/>
      <c r="BY505"/>
      <c r="BZ505"/>
      <c r="CA505"/>
      <c r="CB505"/>
      <c r="CC505"/>
      <c r="CD505"/>
      <c r="CE505"/>
      <c r="CF505"/>
      <c r="CG505"/>
      <c r="CH505"/>
      <c r="CI505"/>
      <c r="CJ505"/>
      <c r="CK505"/>
      <c r="CL505"/>
      <c r="CM505"/>
    </row>
    <row r="506" spans="1:91" s="20" customFormat="1" x14ac:dyDescent="0.3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J506"/>
      <c r="AK506"/>
      <c r="AL506"/>
      <c r="AM506"/>
      <c r="AN506"/>
      <c r="AO506"/>
      <c r="AP506"/>
      <c r="AQ506"/>
      <c r="AR506"/>
      <c r="AS506"/>
      <c r="AT506"/>
      <c r="AU506"/>
      <c r="AV506"/>
      <c r="AW506"/>
      <c r="AX506"/>
      <c r="AY506"/>
      <c r="AZ506"/>
      <c r="BA506"/>
      <c r="BB506"/>
      <c r="BC506"/>
      <c r="BD506"/>
      <c r="BE506"/>
      <c r="BF506"/>
      <c r="BG506"/>
      <c r="BH506"/>
      <c r="BI506"/>
      <c r="BJ506"/>
      <c r="BK506"/>
      <c r="BL506"/>
      <c r="BM506"/>
      <c r="BN506"/>
      <c r="BO506"/>
      <c r="BP506"/>
      <c r="BQ506"/>
      <c r="BR506"/>
      <c r="BS506"/>
      <c r="BT506"/>
      <c r="BU506"/>
      <c r="BV506"/>
      <c r="BW506"/>
      <c r="BX506"/>
      <c r="BY506"/>
      <c r="BZ506"/>
      <c r="CA506"/>
      <c r="CB506"/>
      <c r="CC506"/>
      <c r="CD506"/>
      <c r="CE506"/>
      <c r="CF506"/>
      <c r="CG506"/>
      <c r="CH506"/>
      <c r="CI506"/>
      <c r="CJ506"/>
      <c r="CK506"/>
      <c r="CL506"/>
      <c r="CM506"/>
    </row>
    <row r="507" spans="1:91" x14ac:dyDescent="0.3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M507"/>
      <c r="AO507"/>
    </row>
    <row r="508" spans="1:91" x14ac:dyDescent="0.3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M508"/>
      <c r="AO508"/>
    </row>
    <row r="509" spans="1:91" s="20" customFormat="1" x14ac:dyDescent="0.3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J509"/>
      <c r="AK509"/>
      <c r="AL509"/>
      <c r="AM509"/>
      <c r="AN509"/>
      <c r="AO509"/>
      <c r="AP509"/>
      <c r="AQ509"/>
      <c r="AR509"/>
      <c r="AS509"/>
      <c r="AT509"/>
      <c r="AU509"/>
      <c r="AV509"/>
      <c r="AW509"/>
      <c r="AX509"/>
      <c r="AY509"/>
      <c r="AZ509"/>
      <c r="BA509"/>
      <c r="BB509"/>
      <c r="BC509"/>
      <c r="BD509"/>
      <c r="BE509"/>
      <c r="BF509"/>
      <c r="BG509"/>
      <c r="BH509"/>
      <c r="BI509"/>
      <c r="BJ509"/>
      <c r="BK509"/>
      <c r="BL509"/>
      <c r="BM509"/>
      <c r="BN509"/>
      <c r="BO509"/>
      <c r="BP509"/>
      <c r="BQ509"/>
      <c r="BR509"/>
      <c r="BS509"/>
      <c r="BT509"/>
      <c r="BU509"/>
      <c r="BV509"/>
      <c r="BW509"/>
      <c r="BX509"/>
      <c r="BY509"/>
      <c r="BZ509"/>
      <c r="CA509"/>
      <c r="CB509"/>
      <c r="CC509"/>
      <c r="CD509"/>
      <c r="CE509"/>
      <c r="CF509"/>
      <c r="CG509"/>
      <c r="CH509"/>
      <c r="CI509"/>
      <c r="CJ509"/>
      <c r="CK509"/>
      <c r="CL509"/>
      <c r="CM509"/>
    </row>
    <row r="510" spans="1:91" x14ac:dyDescent="0.3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M510"/>
      <c r="AO510"/>
    </row>
    <row r="511" spans="1:91" x14ac:dyDescent="0.3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M511"/>
      <c r="AO511"/>
    </row>
    <row r="512" spans="1:91" x14ac:dyDescent="0.3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M512"/>
      <c r="AO512"/>
    </row>
    <row r="513" spans="1:91" x14ac:dyDescent="0.3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M513"/>
      <c r="AO513"/>
    </row>
    <row r="514" spans="1:91" x14ac:dyDescent="0.3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M514"/>
      <c r="AO514"/>
    </row>
    <row r="515" spans="1:91" x14ac:dyDescent="0.3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M515"/>
      <c r="AO515"/>
    </row>
    <row r="516" spans="1:91" x14ac:dyDescent="0.3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M516"/>
      <c r="AO516"/>
    </row>
    <row r="517" spans="1:91" x14ac:dyDescent="0.3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M517"/>
      <c r="AO517"/>
    </row>
    <row r="518" spans="1:91" x14ac:dyDescent="0.3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M518"/>
      <c r="AO518"/>
    </row>
    <row r="519" spans="1:91" x14ac:dyDescent="0.3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M519"/>
      <c r="AO519"/>
    </row>
    <row r="520" spans="1:91" s="20" customFormat="1" x14ac:dyDescent="0.3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J520"/>
      <c r="AK520"/>
      <c r="AL520"/>
      <c r="AM520"/>
      <c r="AN520"/>
      <c r="AO520"/>
      <c r="AP520"/>
      <c r="AQ520"/>
      <c r="AR520"/>
      <c r="AS520"/>
      <c r="AT520"/>
      <c r="AU520"/>
      <c r="AV520"/>
      <c r="AW520"/>
      <c r="AX520"/>
      <c r="AY520"/>
      <c r="AZ520"/>
      <c r="BA520"/>
      <c r="BB520"/>
      <c r="BC520"/>
      <c r="BD520"/>
      <c r="BE520"/>
      <c r="BF520"/>
      <c r="BG520"/>
      <c r="BH520"/>
      <c r="BI520"/>
      <c r="BJ520"/>
      <c r="BK520"/>
      <c r="BL520"/>
      <c r="BM520"/>
      <c r="BN520"/>
      <c r="BO520"/>
      <c r="BP520"/>
      <c r="BQ520"/>
      <c r="BR520"/>
      <c r="BS520"/>
      <c r="BT520"/>
      <c r="BU520"/>
      <c r="BV520"/>
      <c r="BW520"/>
      <c r="BX520"/>
      <c r="BY520"/>
      <c r="BZ520"/>
      <c r="CA520"/>
      <c r="CB520"/>
      <c r="CC520"/>
      <c r="CD520"/>
      <c r="CE520"/>
      <c r="CF520"/>
      <c r="CG520"/>
      <c r="CH520"/>
      <c r="CI520"/>
      <c r="CJ520"/>
      <c r="CK520"/>
      <c r="CL520"/>
      <c r="CM520"/>
    </row>
    <row r="521" spans="1:91" x14ac:dyDescent="0.3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M521"/>
      <c r="AO521"/>
    </row>
    <row r="522" spans="1:91" x14ac:dyDescent="0.3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M522"/>
      <c r="AO522"/>
    </row>
    <row r="523" spans="1:91" x14ac:dyDescent="0.3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M523"/>
      <c r="AO523"/>
    </row>
    <row r="524" spans="1:91" x14ac:dyDescent="0.3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M524"/>
      <c r="AO524"/>
    </row>
    <row r="525" spans="1:91" x14ac:dyDescent="0.3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M525"/>
      <c r="AO525"/>
    </row>
    <row r="526" spans="1:91" s="20" customFormat="1" x14ac:dyDescent="0.3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J526"/>
      <c r="AK526"/>
      <c r="AL526"/>
      <c r="AM526"/>
      <c r="AN526"/>
      <c r="AO526"/>
      <c r="AP526"/>
      <c r="AQ526"/>
      <c r="AR526"/>
      <c r="AS526"/>
      <c r="AT526"/>
      <c r="AU526"/>
      <c r="AV526"/>
      <c r="AW526"/>
      <c r="AX526"/>
      <c r="AY526"/>
      <c r="AZ526"/>
      <c r="BA526"/>
      <c r="BB526"/>
      <c r="BC526"/>
      <c r="BD526"/>
      <c r="BE526"/>
      <c r="BF526"/>
      <c r="BG526"/>
      <c r="BH526"/>
      <c r="BI526"/>
      <c r="BJ526"/>
      <c r="BK526"/>
      <c r="BL526"/>
      <c r="BM526"/>
      <c r="BN526"/>
      <c r="BO526"/>
      <c r="BP526"/>
      <c r="BQ526"/>
      <c r="BR526"/>
      <c r="BS526"/>
      <c r="BT526"/>
      <c r="BU526"/>
      <c r="BV526"/>
      <c r="BW526"/>
      <c r="BX526"/>
      <c r="BY526"/>
      <c r="BZ526"/>
      <c r="CA526"/>
      <c r="CB526"/>
      <c r="CC526"/>
      <c r="CD526"/>
      <c r="CE526"/>
      <c r="CF526"/>
      <c r="CG526"/>
      <c r="CH526"/>
      <c r="CI526"/>
      <c r="CJ526"/>
      <c r="CK526"/>
      <c r="CL526"/>
      <c r="CM526"/>
    </row>
    <row r="527" spans="1:91" x14ac:dyDescent="0.3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M527"/>
      <c r="AO527"/>
    </row>
    <row r="528" spans="1:91" x14ac:dyDescent="0.3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M528"/>
      <c r="AO528"/>
    </row>
    <row r="529" spans="1:91" x14ac:dyDescent="0.3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M529"/>
      <c r="AO529"/>
    </row>
    <row r="530" spans="1:91" x14ac:dyDescent="0.3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M530"/>
      <c r="AO530"/>
    </row>
    <row r="531" spans="1:91" x14ac:dyDescent="0.3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M531"/>
      <c r="AO531"/>
    </row>
    <row r="532" spans="1:91" x14ac:dyDescent="0.3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M532"/>
      <c r="AO532"/>
    </row>
    <row r="533" spans="1:91" x14ac:dyDescent="0.3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M533"/>
      <c r="AO533"/>
    </row>
    <row r="534" spans="1:91" x14ac:dyDescent="0.3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M534"/>
      <c r="AO534"/>
    </row>
    <row r="535" spans="1:91" x14ac:dyDescent="0.3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M535"/>
      <c r="AO535"/>
    </row>
    <row r="536" spans="1:91" x14ac:dyDescent="0.3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M536"/>
      <c r="AO536"/>
    </row>
    <row r="537" spans="1:91" x14ac:dyDescent="0.3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M537"/>
      <c r="AO537"/>
    </row>
    <row r="538" spans="1:91" x14ac:dyDescent="0.3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  <c r="AM538"/>
      <c r="AO538"/>
    </row>
    <row r="539" spans="1:91" x14ac:dyDescent="0.3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  <c r="AM539"/>
      <c r="AO539"/>
    </row>
    <row r="540" spans="1:91" x14ac:dyDescent="0.3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  <c r="AM540"/>
      <c r="AO540"/>
    </row>
    <row r="541" spans="1:91" x14ac:dyDescent="0.3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  <c r="AM541"/>
      <c r="AO541"/>
    </row>
    <row r="542" spans="1:91" x14ac:dyDescent="0.3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  <c r="AM542"/>
      <c r="AO542"/>
    </row>
    <row r="543" spans="1:91" s="20" customFormat="1" x14ac:dyDescent="0.3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  <c r="AH543"/>
      <c r="AI543"/>
      <c r="AJ543"/>
      <c r="AK543"/>
      <c r="AL543"/>
      <c r="AM543"/>
      <c r="AN543"/>
      <c r="AO543"/>
      <c r="AP543"/>
      <c r="AQ543"/>
      <c r="AR543"/>
      <c r="AS543"/>
      <c r="AT543"/>
      <c r="AU543"/>
      <c r="AV543"/>
      <c r="AW543"/>
      <c r="AX543"/>
      <c r="AY543"/>
      <c r="AZ543"/>
      <c r="BA543"/>
      <c r="BB543"/>
      <c r="BC543"/>
      <c r="BD543"/>
      <c r="BE543"/>
      <c r="BF543"/>
      <c r="BG543"/>
      <c r="BH543"/>
      <c r="BI543"/>
      <c r="BJ543"/>
      <c r="BK543"/>
      <c r="BL543"/>
      <c r="BM543"/>
      <c r="BN543"/>
      <c r="BO543"/>
      <c r="BP543"/>
      <c r="BQ543"/>
      <c r="BR543"/>
      <c r="BS543"/>
      <c r="BT543"/>
      <c r="BU543"/>
      <c r="BV543"/>
      <c r="BW543"/>
      <c r="BX543"/>
      <c r="BY543"/>
      <c r="BZ543"/>
      <c r="CA543"/>
      <c r="CB543"/>
      <c r="CC543"/>
      <c r="CD543"/>
      <c r="CE543"/>
      <c r="CF543"/>
      <c r="CG543"/>
      <c r="CH543"/>
      <c r="CI543"/>
      <c r="CJ543"/>
      <c r="CK543"/>
      <c r="CL543"/>
      <c r="CM543"/>
    </row>
    <row r="544" spans="1:91" x14ac:dyDescent="0.3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  <c r="AH544"/>
      <c r="AI544"/>
      <c r="AM544"/>
      <c r="AO544"/>
    </row>
    <row r="545" spans="1:91" x14ac:dyDescent="0.3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  <c r="AM545"/>
      <c r="AO545"/>
    </row>
    <row r="546" spans="1:91" x14ac:dyDescent="0.3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  <c r="AH546"/>
      <c r="AI546"/>
      <c r="AM546"/>
      <c r="AO546"/>
    </row>
    <row r="547" spans="1:91" s="20" customFormat="1" x14ac:dyDescent="0.3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  <c r="AH547"/>
      <c r="AI547"/>
      <c r="AJ547"/>
      <c r="AK547"/>
      <c r="AL547"/>
      <c r="AM547"/>
      <c r="AN547"/>
      <c r="AO547"/>
      <c r="AP547"/>
      <c r="AQ547"/>
      <c r="AR547"/>
      <c r="AS547"/>
      <c r="AT547"/>
      <c r="AU547"/>
      <c r="AV547"/>
      <c r="AW547"/>
      <c r="AX547"/>
      <c r="AY547"/>
      <c r="AZ547"/>
      <c r="BA547"/>
      <c r="BB547"/>
      <c r="BC547"/>
      <c r="BD547"/>
      <c r="BE547"/>
      <c r="BF547"/>
      <c r="BG547"/>
      <c r="BH547"/>
      <c r="BI547"/>
      <c r="BJ547"/>
      <c r="BK547"/>
      <c r="BL547"/>
      <c r="BM547"/>
      <c r="BN547"/>
      <c r="BO547"/>
      <c r="BP547"/>
      <c r="BQ547"/>
      <c r="BR547"/>
      <c r="BS547"/>
      <c r="BT547"/>
      <c r="BU547"/>
      <c r="BV547"/>
      <c r="BW547"/>
      <c r="BX547"/>
      <c r="BY547"/>
      <c r="BZ547"/>
      <c r="CA547"/>
      <c r="CB547"/>
      <c r="CC547"/>
      <c r="CD547"/>
      <c r="CE547"/>
      <c r="CF547"/>
      <c r="CG547"/>
      <c r="CH547"/>
      <c r="CI547"/>
      <c r="CJ547"/>
      <c r="CK547"/>
      <c r="CL547"/>
      <c r="CM547"/>
    </row>
    <row r="548" spans="1:91" x14ac:dyDescent="0.3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  <c r="AH548"/>
      <c r="AI548"/>
      <c r="AM548"/>
      <c r="AO548"/>
    </row>
    <row r="549" spans="1:91" x14ac:dyDescent="0.3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  <c r="AH549"/>
      <c r="AI549"/>
      <c r="AM549"/>
      <c r="AO549"/>
    </row>
    <row r="550" spans="1:91" x14ac:dyDescent="0.3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  <c r="AH550"/>
      <c r="AI550"/>
      <c r="AM550"/>
      <c r="AO550"/>
    </row>
    <row r="551" spans="1:91" x14ac:dyDescent="0.3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  <c r="AH551"/>
      <c r="AI551"/>
      <c r="AM551"/>
      <c r="AO551"/>
    </row>
    <row r="552" spans="1:91" x14ac:dyDescent="0.3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  <c r="AH552"/>
      <c r="AI552"/>
      <c r="AM552"/>
      <c r="AO552"/>
    </row>
    <row r="553" spans="1:91" x14ac:dyDescent="0.3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  <c r="AH553"/>
      <c r="AI553"/>
      <c r="AM553"/>
      <c r="AO553"/>
    </row>
    <row r="554" spans="1:91" x14ac:dyDescent="0.3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  <c r="AH554"/>
      <c r="AI554"/>
      <c r="AM554"/>
      <c r="AO554"/>
    </row>
    <row r="555" spans="1:91" x14ac:dyDescent="0.3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  <c r="AH555"/>
      <c r="AI555"/>
      <c r="AM555"/>
      <c r="AO555"/>
    </row>
    <row r="556" spans="1:91" x14ac:dyDescent="0.3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  <c r="AH556"/>
      <c r="AI556"/>
      <c r="AM556"/>
      <c r="AO556"/>
    </row>
    <row r="557" spans="1:91" x14ac:dyDescent="0.3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  <c r="AH557"/>
      <c r="AI557"/>
      <c r="AM557"/>
      <c r="AO557"/>
    </row>
    <row r="558" spans="1:91" x14ac:dyDescent="0.3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  <c r="AH558"/>
      <c r="AI558"/>
      <c r="AM558"/>
      <c r="AO558"/>
    </row>
    <row r="559" spans="1:91" x14ac:dyDescent="0.3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  <c r="AH559"/>
      <c r="AI559"/>
      <c r="AM559"/>
      <c r="AO559"/>
    </row>
    <row r="560" spans="1:91" x14ac:dyDescent="0.3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  <c r="AH560"/>
      <c r="AI560"/>
      <c r="AM560"/>
      <c r="AO560"/>
    </row>
    <row r="561" spans="1:41" x14ac:dyDescent="0.3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  <c r="AH561"/>
      <c r="AI561"/>
      <c r="AM561"/>
      <c r="AO561"/>
    </row>
    <row r="562" spans="1:41" x14ac:dyDescent="0.3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  <c r="AH562"/>
      <c r="AI562"/>
      <c r="AM562"/>
      <c r="AO562"/>
    </row>
    <row r="563" spans="1:41" x14ac:dyDescent="0.3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  <c r="AH563"/>
      <c r="AI563"/>
      <c r="AM563"/>
      <c r="AO563"/>
    </row>
    <row r="564" spans="1:41" x14ac:dyDescent="0.3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  <c r="AH564"/>
      <c r="AI564"/>
      <c r="AM564"/>
      <c r="AO564"/>
    </row>
    <row r="565" spans="1:41" x14ac:dyDescent="0.3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  <c r="AH565"/>
      <c r="AI565"/>
      <c r="AM565"/>
      <c r="AO565"/>
    </row>
    <row r="566" spans="1:41" x14ac:dyDescent="0.3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  <c r="AH566"/>
      <c r="AI566"/>
      <c r="AM566"/>
      <c r="AO566"/>
    </row>
    <row r="567" spans="1:41" x14ac:dyDescent="0.3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  <c r="AH567"/>
      <c r="AI567"/>
      <c r="AM567"/>
      <c r="AO567"/>
    </row>
    <row r="568" spans="1:41" x14ac:dyDescent="0.3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  <c r="AH568"/>
      <c r="AI568"/>
      <c r="AM568"/>
      <c r="AO568"/>
    </row>
  </sheetData>
  <autoFilter ref="A12:AG563">
    <sortState ref="A13:AG563">
      <sortCondition ref="AG13:AG222"/>
      <sortCondition ref="AD13:AD222"/>
    </sortState>
  </autoFilter>
  <sortState ref="A13:AN468">
    <sortCondition ref="AG13:AG468"/>
    <sortCondition ref="AD13:AD468"/>
  </sortState>
  <mergeCells count="1">
    <mergeCell ref="A11:P11"/>
  </mergeCells>
  <conditionalFormatting sqref="W11:W12 W569:X1048576 W13:X222">
    <cfRule type="cellIs" dxfId="11" priority="479" operator="equal">
      <formula>"Y"</formula>
    </cfRule>
  </conditionalFormatting>
  <conditionalFormatting sqref="X569:X1048576 X13:X222">
    <cfRule type="cellIs" dxfId="10" priority="462" operator="greaterThan">
      <formula>1</formula>
    </cfRule>
  </conditionalFormatting>
  <conditionalFormatting sqref="X569:X1048576 X12:X222">
    <cfRule type="cellIs" dxfId="9" priority="459" operator="equal">
      <formula>0</formula>
    </cfRule>
  </conditionalFormatting>
  <conditionalFormatting sqref="A13:S222">
    <cfRule type="expression" dxfId="8" priority="453" stopIfTrue="1">
      <formula>$P13&gt;0</formula>
    </cfRule>
    <cfRule type="expression" dxfId="7" priority="454" stopIfTrue="1">
      <formula>$O13&gt;0</formula>
    </cfRule>
  </conditionalFormatting>
  <pageMargins left="0.7" right="0.7" top="0.75" bottom="0.75" header="0.3" footer="0.3"/>
  <pageSetup scale="1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DailyMorningStuff_Runs">
                <anchor moveWithCells="1" sizeWithCells="1">
                  <from>
                    <xdr:col>24</xdr:col>
                    <xdr:colOff>556260</xdr:colOff>
                    <xdr:row>2</xdr:row>
                    <xdr:rowOff>38100</xdr:rowOff>
                  </from>
                  <to>
                    <xdr:col>26</xdr:col>
                    <xdr:colOff>464820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55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A13:S222</xm:sqref>
        </x14:conditionalFormatting>
        <x14:conditionalFormatting xmlns:xm="http://schemas.microsoft.com/office/excel/2006/main">
          <x14:cfRule type="expression" priority="138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A13:S222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AK13:AK222</xm:sqref>
        </x14:dataValidation>
        <x14:dataValidation type="list" allowBlank="1" showInputMessage="1" showErrorMessage="1">
          <x14:formula1>
            <xm:f>'Redmine List Values'!$C$2:$C$15</xm:f>
          </x14:formula1>
          <xm:sqref>AL13:AL222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XFD34"/>
  <sheetViews>
    <sheetView topLeftCell="A5" zoomScaleNormal="100" workbookViewId="0">
      <selection activeCell="T22" sqref="T22"/>
    </sheetView>
  </sheetViews>
  <sheetFormatPr defaultRowHeight="14.4" x14ac:dyDescent="0.3"/>
  <cols>
    <col min="1" max="1" width="18.33203125" style="8" bestFit="1" customWidth="1"/>
    <col min="2" max="2" width="13.88671875" customWidth="1"/>
    <col min="3" max="3" width="7" customWidth="1"/>
    <col min="4" max="4" width="12.88671875" style="113" customWidth="1"/>
    <col min="5" max="5" width="29.44140625" style="113" customWidth="1"/>
    <col min="6" max="6" width="5.6640625" style="113" customWidth="1"/>
    <col min="7" max="7" width="5.88671875" style="113" customWidth="1"/>
    <col min="8" max="8" width="7.88671875" style="113" customWidth="1"/>
    <col min="9" max="9" width="9" style="113" customWidth="1"/>
    <col min="10" max="10" width="11.5546875" style="113" hidden="1" customWidth="1"/>
    <col min="11" max="11" width="9.109375" style="113" customWidth="1"/>
    <col min="12" max="12" width="4.88671875" style="113" customWidth="1"/>
    <col min="13" max="13" width="7.88671875" style="2" customWidth="1"/>
    <col min="14" max="14" width="16" style="112" customWidth="1"/>
    <col min="15" max="15" width="4.44140625" style="167" customWidth="1"/>
    <col min="16" max="16" width="30.44140625" style="113" customWidth="1"/>
    <col min="17" max="17" width="5" hidden="1" customWidth="1"/>
    <col min="18" max="18" width="5.5546875" style="75" customWidth="1"/>
    <col min="19" max="19" width="5.5546875" style="82" customWidth="1"/>
    <col min="20" max="20" width="6" style="72" customWidth="1"/>
    <col min="21" max="21" width="5.109375" customWidth="1"/>
    <col min="22" max="22" width="18.5546875" style="43" customWidth="1"/>
    <col min="23" max="23" width="5.33203125" customWidth="1"/>
    <col min="24" max="24" width="6.5546875" style="2" hidden="1" customWidth="1"/>
    <col min="25" max="25" width="5" customWidth="1"/>
    <col min="26" max="26" width="5" style="156" customWidth="1"/>
    <col min="27" max="27" width="5.33203125" customWidth="1"/>
    <col min="28" max="28" width="5.5546875" customWidth="1"/>
    <col min="29" max="29" width="5.33203125" style="115" customWidth="1"/>
    <col min="30" max="30" width="6.6640625" customWidth="1"/>
    <col min="31" max="31" width="9.109375" style="141"/>
  </cols>
  <sheetData>
    <row r="1" spans="1:32" s="20" customFormat="1" ht="15" hidden="1" thickBot="1" x14ac:dyDescent="0.35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67"/>
      <c r="P1" s="113"/>
      <c r="R1" s="75"/>
      <c r="S1" s="82"/>
      <c r="T1" s="72"/>
      <c r="V1" s="43"/>
      <c r="X1" s="2"/>
      <c r="Z1" s="156"/>
      <c r="AC1" s="115"/>
      <c r="AE1" s="141"/>
    </row>
    <row r="2" spans="1:32" s="20" customFormat="1" x14ac:dyDescent="0.3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20">
        <f>COUNTIF($O$7:$O$114,"=Y")</f>
        <v>13</v>
      </c>
      <c r="P2" s="110"/>
      <c r="R2" s="75"/>
      <c r="S2" s="82"/>
      <c r="T2" s="72"/>
      <c r="V2" s="43"/>
      <c r="X2" s="2"/>
      <c r="Z2" s="156"/>
      <c r="AC2" s="116"/>
      <c r="AE2" s="141"/>
    </row>
    <row r="3" spans="1:32" s="20" customFormat="1" ht="15" thickBot="1" x14ac:dyDescent="0.35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21">
        <f>COUNTA($O$7:$O$114)-O2</f>
        <v>15</v>
      </c>
      <c r="P3" s="110"/>
      <c r="R3" s="75"/>
      <c r="S3" s="82"/>
      <c r="T3" s="72"/>
      <c r="V3" s="43"/>
      <c r="X3" s="2"/>
      <c r="Z3" s="156"/>
      <c r="AC3" s="116"/>
      <c r="AE3" s="141"/>
    </row>
    <row r="4" spans="1:32" s="20" customFormat="1" x14ac:dyDescent="0.3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95"/>
      <c r="P4" s="113"/>
      <c r="R4" s="75"/>
      <c r="S4" s="82"/>
      <c r="T4" s="72"/>
      <c r="V4" s="43"/>
      <c r="X4" s="2"/>
      <c r="Z4" s="156"/>
      <c r="AC4" s="116"/>
      <c r="AE4" s="141"/>
    </row>
    <row r="5" spans="1:32" s="10" customFormat="1" ht="15" customHeight="1" x14ac:dyDescent="0.3">
      <c r="A5" s="250" t="str">
        <f>"Eagle P3 Braking Events - "&amp;TEXT(Variables!$A$2,"YYYY-mm-dd")</f>
        <v>Eagle P3 Braking Events - 2018-01-06</v>
      </c>
      <c r="B5" s="250"/>
      <c r="C5" s="250"/>
      <c r="D5" s="250"/>
      <c r="E5" s="250"/>
      <c r="F5" s="250"/>
      <c r="G5" s="250"/>
      <c r="H5" s="250"/>
      <c r="I5" s="250"/>
      <c r="J5" s="250"/>
      <c r="K5" s="250"/>
      <c r="L5" s="250"/>
      <c r="M5" s="250"/>
      <c r="N5" s="250"/>
      <c r="O5" s="250"/>
      <c r="P5" s="128"/>
      <c r="R5" s="80"/>
      <c r="S5" s="83"/>
      <c r="T5" s="85"/>
      <c r="V5" s="44"/>
      <c r="X5" s="179"/>
      <c r="AC5" s="117"/>
      <c r="AE5" s="143"/>
    </row>
    <row r="6" spans="1:32" s="107" customFormat="1" ht="69.75" customHeight="1" x14ac:dyDescent="0.25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147</v>
      </c>
      <c r="J6" s="114" t="s">
        <v>30</v>
      </c>
      <c r="K6" s="114" t="s">
        <v>29</v>
      </c>
      <c r="L6" s="114" t="s">
        <v>28</v>
      </c>
      <c r="M6" s="99" t="s">
        <v>148</v>
      </c>
      <c r="N6" s="129" t="s">
        <v>47</v>
      </c>
      <c r="O6" s="174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343</v>
      </c>
      <c r="X6" s="180" t="s">
        <v>336</v>
      </c>
      <c r="Y6" s="105" t="s">
        <v>141</v>
      </c>
      <c r="Z6" s="157" t="s">
        <v>142</v>
      </c>
      <c r="AA6" s="106" t="s">
        <v>115</v>
      </c>
      <c r="AB6" s="106" t="s">
        <v>143</v>
      </c>
      <c r="AC6" s="118" t="s">
        <v>167</v>
      </c>
      <c r="AD6" s="107" t="s">
        <v>182</v>
      </c>
      <c r="AE6" s="142" t="s">
        <v>187</v>
      </c>
    </row>
    <row r="7" spans="1:32" s="1" customFormat="1" x14ac:dyDescent="0.3">
      <c r="A7" s="31">
        <v>43106.327986111108</v>
      </c>
      <c r="B7" s="30" t="s">
        <v>392</v>
      </c>
      <c r="C7" s="30" t="s">
        <v>663</v>
      </c>
      <c r="D7" s="30" t="s">
        <v>49</v>
      </c>
      <c r="E7" s="30" t="s">
        <v>183</v>
      </c>
      <c r="F7" s="42">
        <v>0</v>
      </c>
      <c r="G7" s="42">
        <v>198</v>
      </c>
      <c r="H7" s="42">
        <v>30734</v>
      </c>
      <c r="I7" s="42">
        <v>30927</v>
      </c>
      <c r="J7" s="30" t="s">
        <v>184</v>
      </c>
      <c r="K7" s="42">
        <v>30830</v>
      </c>
      <c r="L7" s="131" t="s">
        <v>50</v>
      </c>
      <c r="M7" s="132">
        <f>CONVERT((I7-K7)/10000,"mi","ft")*IF(L7="Increasing Mileposts (1)",-1,1)</f>
        <v>-51.216000000000001</v>
      </c>
      <c r="N7" s="133" t="str">
        <f>VLOOKUP(C7,'Trips&amp;Operators'!$C$1:$G$99911,5,FALSE)</f>
        <v>LOPES KIMBERLY</v>
      </c>
      <c r="O7" s="175" t="s">
        <v>178</v>
      </c>
      <c r="P7" s="239" t="s">
        <v>480</v>
      </c>
      <c r="Q7" s="30"/>
      <c r="R7" s="81" t="str">
        <f>VLOOKUP(C7,'Train Runs'!$A$13:$AE$10222,31,0)</f>
        <v>aws s3 cp s3://rtdc.mdm.uploadarchive.raw/RTDC4030/ "%USERPROFILE%\AppData\Local\Temp\OnboardLogs"\RTDC4030\2018-01-06 --exclude "*" --recursive --include "*20180106*" &amp; "%USERPROFILE%\Documents\GitHub\mrs-test-scripts\Headless Mode &amp; Sideloading\WalkAndUnGZ.bat" "%USERPROFILE%\AppData\Local\Temp\OnboardLogs"\RTDC4030\2018-01-06 &amp; aws s3 cp s3://rtdc.mdm.uploadarchive.raw/RTDC4030/ "%USERPROFILE%\AppData\Local\Temp\OnboardLogs"\RTDC4030\2018-01-07 --exclude "*" --recursive --include "*20180107*" &amp; "%USERPROFILE%\Documents\GitHub\mrs-test-scripts\Headless Mode &amp; Sideloading\WalkAndUnGZ.bat" "%USERPROFILE%\AppData\Local\Temp\OnboardLogs"\RTDC4030\2018-01-07</v>
      </c>
      <c r="S7" s="84" t="str">
        <f>VLOOKUP(C7,'Train Runs'!$A$13:$AE$10222,22,0)</f>
        <v>https://d0f6bd738d7f1b3e5a7ca70fe4ff75f0.us-east-1.aws.found.io/app/kibana#/discover/Steve-Slow-Train-Analysis-(2080s-and-2083s)?_g=(refreshInterval:(display:Off,pause:!f,section:0,value:0),time:(from:'2018-01-06T06:35:45-0700',mode:absolute,to:'2018-01-06T09:19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7" s="86" t="str">
        <f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/stypes="*4030*201801061*" /stext=" 14:.+((SYSTEM_STATE.+slice.+state.+changed )|(ment ac)|(multiple cpu faults)|(system.+state.+changed )|(\[timeout)|(PRM\|1\|D)|(kpr)|(kdp)|(train st.+moving)|(\|lc)|(penalty))"</v>
      </c>
      <c r="U7" s="9" t="str">
        <f>MID(B7,13,4)</f>
        <v>4030</v>
      </c>
      <c r="V7" s="31">
        <f>A7-utc_offset/24</f>
        <v>43106.619652777772</v>
      </c>
      <c r="W7" s="45" t="str">
        <f>DetSubdiv(C7)</f>
        <v>EC</v>
      </c>
      <c r="X7" s="22">
        <f>VALUE(LEFT(C7,LEN(C7)-3))</f>
        <v>133</v>
      </c>
      <c r="Y7" s="96" t="str">
        <f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Arrival","project_id":79,"tracker_id":40,"status_id":1,"priority_id":2,"assigned_to_id":338,"start_date":"2018-01-06","description":"","custom_fields":[{"id":1,"name":"Subdivision","value":"EC"},{"id":4,"name":"Milepost","value":"3.083"},{"id":17,"name":"Train ID","value":"133-06"},{"id":16,"name":"Locomotive ID","value":"4030"},{"id":130,"name":"Impact","value":""},{"id":150,"name":"Time of Event (Mountain Time)","value":"07:52:18"},{"id":151,"name":"Denver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7" s="158"/>
      <c r="AA7" s="47"/>
      <c r="AB7" s="47"/>
      <c r="AC7" s="115" t="str">
        <f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/c/Users/stu/AppData/Local/Temp/OnboardLogs/RTDC4030 --include="*4030*201801061*"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"%USERPROFILE%\AppData\Local\Temp\OnboardLogs"\RTDC4030\*4030*201801061* &gt;&gt; 2018-01-06-SliceDisagreementCheck.txt</v>
      </c>
      <c r="AE7" s="144" t="str">
        <f t="shared" ref="AE7" si="0">"start /low /b "&amp;dls3logs&amp;" --loco "&amp;U7&amp;" --day "&amp;TEXT(V7,"YYYY-MM-DD")</f>
        <v>start /low /b %USERPROFILE%\Documents\GitHub\eaglep3\Utilities\DownloadLogsFromS3.py --loco 4030 --day 2018-01-06</v>
      </c>
    </row>
    <row r="8" spans="1:32" s="1" customFormat="1" x14ac:dyDescent="0.3">
      <c r="A8" s="31">
        <v>43107.018692129626</v>
      </c>
      <c r="B8" s="30" t="s">
        <v>580</v>
      </c>
      <c r="C8" s="30" t="s">
        <v>686</v>
      </c>
      <c r="D8" s="30" t="s">
        <v>49</v>
      </c>
      <c r="E8" s="30" t="s">
        <v>183</v>
      </c>
      <c r="F8" s="42">
        <v>0</v>
      </c>
      <c r="G8" s="42">
        <v>138</v>
      </c>
      <c r="H8" s="42">
        <v>30993</v>
      </c>
      <c r="I8" s="42">
        <v>30919</v>
      </c>
      <c r="J8" s="30" t="s">
        <v>184</v>
      </c>
      <c r="K8" s="42">
        <v>30970</v>
      </c>
      <c r="L8" s="131" t="s">
        <v>51</v>
      </c>
      <c r="M8" s="132">
        <f>CONVERT((I8-K8)/10000,"mi","ft")*IF(L8="Increasing Mileposts (1)",-1,1)</f>
        <v>-26.928000000000001</v>
      </c>
      <c r="N8" s="133" t="str">
        <f>VLOOKUP(C8,'Trips&amp;Operators'!$C$1:$G$99911,5,FALSE)</f>
        <v>ANDERS STEVEN</v>
      </c>
      <c r="O8" s="175" t="s">
        <v>178</v>
      </c>
      <c r="P8" s="239" t="s">
        <v>480</v>
      </c>
      <c r="Q8" s="30"/>
      <c r="R8" s="81" t="str">
        <f>VLOOKUP(C8,'Train Runs'!$A$13:$AE$10222,31,0)</f>
        <v>aws s3 cp s3://rtdc.mdm.uploadarchive.raw/RTDC4043/ "%USERPROFILE%\AppData\Local\Temp\OnboardLogs"\RTDC4043\2018-01-06 --exclude "*" --recursive --include "*20180106*" &amp; "%USERPROFILE%\Documents\GitHub\mrs-test-scripts\Headless Mode &amp; Sideloading\WalkAndUnGZ.bat" "%USERPROFILE%\AppData\Local\Temp\OnboardLogs"\RTDC4043\2018-01-06 &amp; aws s3 cp s3://rtdc.mdm.uploadarchive.raw/RTDC4043/ "%USERPROFILE%\AppData\Local\Temp\OnboardLogs"\RTDC4043\2018-01-07 --exclude "*" --recursive --include "*20180107*" &amp; "%USERPROFILE%\Documents\GitHub\mrs-test-scripts\Headless Mode &amp; Sideloading\WalkAndUnGZ.bat" "%USERPROFILE%\AppData\Local\Temp\OnboardLogs"\RTDC4043\2018-01-07</v>
      </c>
      <c r="S8" s="84" t="str">
        <f>VLOOKUP(C8,'Train Runs'!$A$13:$AE$10222,22,0)</f>
        <v>https://d0f6bd738d7f1b3e5a7ca70fe4ff75f0.us-east-1.aws.found.io/app/kibana#/discover/Steve-Slow-Train-Analysis-(2080s-and-2083s)?_g=(refreshInterval:(display:Off,pause:!f,section:0,value:0),time:(from:'2018-01-06T22:55:06-0700',mode:absolute,to:'2018-01-07T01:36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8" s="86" t="str">
        <f>astrogrep_path&amp;" /e /r /s /spath="&amp;search_path&amp;" /stypes=""*"&amp;U8&amp;"*"&amp;TEXT(A8-utc_offset/24,"YYYYMMDD")&amp;LEFT(TEXT(A8-utc_offset/24,"HH"),1)&amp;"*"" /stext="" "&amp;TEXT(A8-utc_offset/24,"HH")&amp;search_regexp&amp;""""</f>
        <v>"C:\Program Files (x86)\AstroGrep\AstroGrep.exe" /e /r /s /spath="%USERPROFILE%\AppData\Local\Temp\OnboardLogs" /stypes="*4043*201801070*" /stext=" 07:.+((SYSTEM_STATE.+slice.+state.+changed )|(ment ac)|(multiple cpu faults)|(system.+state.+changed )|(\[timeout)|(PRM\|1\|D)|(kpr)|(kdp)|(train st.+moving)|(\|lc)|(penalty))"</v>
      </c>
      <c r="U8" s="9" t="str">
        <f>MID(B8,13,4)</f>
        <v>4043</v>
      </c>
      <c r="V8" s="31">
        <f>A8-utc_offset/24</f>
        <v>43107.310358796291</v>
      </c>
      <c r="W8" s="45" t="str">
        <f>DetSubdiv(C8)</f>
        <v>EC</v>
      </c>
      <c r="X8" s="228">
        <f>VALUE(LEFT(C8,LEN(C8)-3))</f>
        <v>238</v>
      </c>
      <c r="Y8" s="238" t="str">
        <f>"echo {""issue"":{""subject"":"""&amp;P8&amp;""",""project_id"":79,""tracker_id"":40,""status_id"":"&amp;redmine_status&amp;",""priority_id"":"&amp;redmine_priority&amp;",""assigned_to_id"":"&amp;redmine_assignee&amp;",""start_date"":"""&amp;TEXT(A8,"YYYY-mm-dd")&amp;""",""description"":"""&amp;Z8&amp;""",""custom_fields"":[{""id"":1,""name"":""Subdivision"",""value"":"""&amp;W8&amp;"""},{""id"":4,""name"":""Milepost"",""value"":"""&amp;K8/10000&amp;"""},{""id"":17,""name"":""Train ID"",""value"":"""&amp;C8&amp;"""},{""id"":16,""name"":""Locomotive ID"",""value"":"""&amp;U8&amp;"""},{""id"":130,""name"":""Impact"",""value"":"""&amp;AA8&amp;"""},{""id"":150,""name"":""Time of Event (Mountain Time)"",""value"":"""&amp;TEXT(A8,"hh:mm:ss")&amp;"""},{""id"":151,""name"":""Denver Issue ID"",""value"":"""&amp;"""},{""id"":178,""name"":""Operational Impact"",""value"":"""&amp;redmine_op_impact&amp;"""},{""id"":179,""name"":""Denver Segment Assigned"",""value"":"""&amp;AB8&amp;"""}]}}"&amp;"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Arrival","project_id":79,"tracker_id":40,"status_id":1,"priority_id":2,"assigned_to_id":338,"start_date":"2018-01-07","description":"","custom_fields":[{"id":1,"name":"Subdivision","value":"EC"},{"id":4,"name":"Milepost","value":"3.097"},{"id":17,"name":"Train ID","value":"238-06"},{"id":16,"name":"Locomotive ID","value":"4043"},{"id":130,"name":"Impact","value":""},{"id":150,"name":"Time of Event (Mountain Time)","value":"00:26:55"},{"id":151,"name":"Denver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8" s="158"/>
      <c r="AA8" s="231"/>
      <c r="AB8" s="231"/>
      <c r="AC8" s="115" t="str">
        <f>"grep -hrE -A400 ""Enforcement Action"" "&amp;"/c/Users/stu/AppData/Local/Temp/OnboardLogs"&amp;"/RTDC"&amp;U8&amp;" --include=""*"&amp;U8&amp;"*"&amp;TEXT(A8-utc_offset/24,"YYYYMMDD")&amp;LEFT(TEXT(A8-utc_offset/24,"HH"),1)&amp;"*"" | grep -E ""((Enforcement Ac)|(PRM))"" -"</f>
        <v>grep -hrE -A400 "Enforcement Action" /c/Users/stu/AppData/Local/Temp/OnboardLogs/RTDC4043 --include="*4043*201801070*"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"%USERPROFILE%\AppData\Local\Temp\OnboardLogs"\RTDC4043\*4043*201801070* &gt;&gt; 2018-01-06-SliceDisagreementCheck.txt</v>
      </c>
      <c r="AE8" s="144" t="str">
        <f t="shared" ref="AE8:AE34" si="1">"start /low /b "&amp;dls3logs&amp;" --loco "&amp;U8&amp;" --day "&amp;TEXT(V8,"YYYY-MM-DD")</f>
        <v>start /low /b %USERPROFILE%\Documents\GitHub\eaglep3\Utilities\DownloadLogsFromS3.py --loco 4043 --day 2018-01-07</v>
      </c>
    </row>
    <row r="9" spans="1:32" s="1" customFormat="1" x14ac:dyDescent="0.3">
      <c r="A9" s="31">
        <v>43106.985023148147</v>
      </c>
      <c r="B9" s="30" t="s">
        <v>504</v>
      </c>
      <c r="C9" s="30" t="s">
        <v>685</v>
      </c>
      <c r="D9" s="30" t="s">
        <v>49</v>
      </c>
      <c r="E9" s="30" t="s">
        <v>183</v>
      </c>
      <c r="F9" s="42">
        <v>310</v>
      </c>
      <c r="G9" s="42">
        <v>372</v>
      </c>
      <c r="H9" s="42">
        <v>31510</v>
      </c>
      <c r="I9" s="42">
        <v>32392</v>
      </c>
      <c r="J9" s="30" t="s">
        <v>184</v>
      </c>
      <c r="K9" s="42">
        <v>33137</v>
      </c>
      <c r="L9" s="131" t="s">
        <v>50</v>
      </c>
      <c r="M9" s="132">
        <f>CONVERT((I9-K9)/10000,"mi","ft")*IF(L9="Increasing Mileposts (1)",-1,1)</f>
        <v>393.36</v>
      </c>
      <c r="N9" s="133" t="str">
        <f>VLOOKUP(C9,'Trips&amp;Operators'!$C$1:$G$99911,5,FALSE)</f>
        <v>FORTUNATO FRANK</v>
      </c>
      <c r="O9" s="175" t="s">
        <v>178</v>
      </c>
      <c r="P9" s="239" t="s">
        <v>480</v>
      </c>
      <c r="Q9" s="30"/>
      <c r="R9" s="81" t="str">
        <f>VLOOKUP(C9,'Train Runs'!$A$13:$AE$10222,31,0)</f>
        <v>aws s3 cp s3://rtdc.mdm.uploadarchive.raw/RTDC4064/ "%USERPROFILE%\AppData\Local\Temp\OnboardLogs"\RTDC4064\2018-01-06 --exclude "*" --recursive --include "*20180106*" &amp; "%USERPROFILE%\Documents\GitHub\mrs-test-scripts\Headless Mode &amp; Sideloading\WalkAndUnGZ.bat" "%USERPROFILE%\AppData\Local\Temp\OnboardLogs"\RTDC4064\2018-01-06 &amp; aws s3 cp s3://rtdc.mdm.uploadarchive.raw/RTDC4064/ "%USERPROFILE%\AppData\Local\Temp\OnboardLogs"\RTDC4064\2018-01-07 --exclude "*" --recursive --include "*20180107*" &amp; "%USERPROFILE%\Documents\GitHub\mrs-test-scripts\Headless Mode &amp; Sideloading\WalkAndUnGZ.bat" "%USERPROFILE%\AppData\Local\Temp\OnboardLogs"\RTDC4064\2018-01-07</v>
      </c>
      <c r="S9" s="84" t="str">
        <f>VLOOKUP(C9,'Train Runs'!$A$13:$AE$10222,22,0)</f>
        <v>https://d0f6bd738d7f1b3e5a7ca70fe4ff75f0.us-east-1.aws.found.io/app/kibana#/discover/Steve-Slow-Train-Analysis-(2080s-and-2083s)?_g=(refreshInterval:(display:Off,pause:!f,section:0,value:0),time:(from:'2018-01-06T22:23:23-0700',mode:absolute,to:'2018-01-07T01:06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T9" s="86" t="str">
        <f>astrogrep_path&amp;" /e /r /s /spath="&amp;search_path&amp;" /stypes=""*"&amp;U9&amp;"*"&amp;TEXT(A9-utc_offset/24,"YYYYMMDD")&amp;LEFT(TEXT(A9-utc_offset/24,"HH"),1)&amp;"*"" /stext="" "&amp;TEXT(A9-utc_offset/24,"HH")&amp;search_regexp&amp;""""</f>
        <v>"C:\Program Files (x86)\AstroGrep\AstroGrep.exe" /e /r /s /spath="%USERPROFILE%\AppData\Local\Temp\OnboardLogs" /stypes="*4064*201801070*" /stext=" 06:.+((SYSTEM_STATE.+slice.+state.+changed )|(ment ac)|(multiple cpu faults)|(system.+state.+changed )|(\[timeout)|(PRM\|1\|D)|(kpr)|(kdp)|(train st.+moving)|(\|lc)|(penalty))"</v>
      </c>
      <c r="U9" s="9" t="str">
        <f>MID(B9,13,4)</f>
        <v>4064</v>
      </c>
      <c r="V9" s="31">
        <f>A9-utc_offset/24</f>
        <v>43107.276689814811</v>
      </c>
      <c r="W9" s="45" t="str">
        <f>DetSubdiv(C9)</f>
        <v>EC</v>
      </c>
      <c r="X9" s="228">
        <f>VALUE(LEFT(C9,LEN(C9)-3))</f>
        <v>239</v>
      </c>
      <c r="Y9" s="238" t="str">
        <f>"echo {""issue"":{""subject"":"""&amp;P9&amp;""",""project_id"":79,""tracker_id"":40,""status_id"":"&amp;redmine_status&amp;",""priority_id"":"&amp;redmine_priority&amp;",""assigned_to_id"":"&amp;redmine_assignee&amp;",""start_date"":"""&amp;TEXT(A9,"YYYY-mm-dd")&amp;""",""description"":"""&amp;Z9&amp;""",""custom_fields"":[{""id"":1,""name"":""Subdivision"",""value"":"""&amp;W9&amp;"""},{""id"":4,""name"":""Milepost"",""value"":"""&amp;K9/10000&amp;"""},{""id"":17,""name"":""Train ID"",""value"":"""&amp;C9&amp;"""},{""id"":16,""name"":""Locomotive ID"",""value"":"""&amp;U9&amp;"""},{""id"":130,""name"":""Impact"",""value"":"""&amp;AA9&amp;"""},{""id"":150,""name"":""Time of Event (Mountain Time)"",""value"":"""&amp;TEXT(A9,"hh:mm:ss")&amp;"""},{""id"":151,""name"":""Denver Issue ID"",""value"":"""&amp;"""},{""id"":178,""name"":""Operational Impact"",""value"":"""&amp;redmine_op_impact&amp;"""},{""id"":179,""name"":""Denver Segment Assigned"",""value"":"""&amp;AB9&amp;"""}]}}"&amp;"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Arrival","project_id":79,"tracker_id":40,"status_id":1,"priority_id":2,"assigned_to_id":338,"start_date":"2018-01-06","description":"","custom_fields":[{"id":1,"name":"Subdivision","value":"EC"},{"id":4,"name":"Milepost","value":"3.3137"},{"id":17,"name":"Train ID","value":"239-06"},{"id":16,"name":"Locomotive ID","value":"4064"},{"id":130,"name":"Impact","value":""},{"id":150,"name":"Time of Event (Mountain Time)","value":"23:38:26"},{"id":151,"name":"Denver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9" s="158"/>
      <c r="AA9" s="231"/>
      <c r="AB9" s="231"/>
      <c r="AC9" s="115" t="str">
        <f>"grep -hrE -A400 ""Enforcement Action"" "&amp;"/c/Users/stu/AppData/Local/Temp/OnboardLogs"&amp;"/RTDC"&amp;U9&amp;" --include=""*"&amp;U9&amp;"*"&amp;TEXT(A9-utc_offset/24,"YYYYMMDD")&amp;LEFT(TEXT(A9-utc_offset/24,"HH"),1)&amp;"*"" | grep -E ""((Enforcement Ac)|(PRM))"" -"</f>
        <v>grep -hrE -A400 "Enforcement Action" /c/Users/stu/AppData/Local/Temp/OnboardLogs/RTDC4064 --include="*4064*201801070*"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"%USERPROFILE%\AppData\Local\Temp\OnboardLogs"\RTDC4064\*4064*201801070* &gt;&gt; 2018-01-06-SliceDisagreementCheck.txt</v>
      </c>
      <c r="AE9" s="144" t="str">
        <f t="shared" si="1"/>
        <v>start /low /b %USERPROFILE%\Documents\GitHub\eaglep3\Utilities\DownloadLogsFromS3.py --loco 4064 --day 2018-01-07</v>
      </c>
    </row>
    <row r="10" spans="1:32" x14ac:dyDescent="0.3">
      <c r="A10" s="31">
        <v>43106.975254629629</v>
      </c>
      <c r="B10" s="30" t="s">
        <v>386</v>
      </c>
      <c r="C10" s="30" t="s">
        <v>684</v>
      </c>
      <c r="D10" s="30" t="s">
        <v>49</v>
      </c>
      <c r="E10" s="30" t="s">
        <v>183</v>
      </c>
      <c r="F10" s="42">
        <v>270</v>
      </c>
      <c r="G10" s="42">
        <v>329</v>
      </c>
      <c r="H10" s="42">
        <v>35965</v>
      </c>
      <c r="I10" s="42">
        <v>35261</v>
      </c>
      <c r="J10" s="30" t="s">
        <v>184</v>
      </c>
      <c r="K10" s="42">
        <v>33257</v>
      </c>
      <c r="L10" s="131" t="s">
        <v>51</v>
      </c>
      <c r="M10" s="132">
        <f>CONVERT((I10-K10)/10000,"mi","ft")*IF(L10="Increasing Mileposts (1)",-1,1)</f>
        <v>1058.1120000000001</v>
      </c>
      <c r="N10" s="133" t="str">
        <f>VLOOKUP(C10,'Trips&amp;Operators'!$C$1:$G$99911,5,FALSE)</f>
        <v>ELBAUM MIKE</v>
      </c>
      <c r="O10" s="175" t="s">
        <v>178</v>
      </c>
      <c r="P10" s="239" t="s">
        <v>480</v>
      </c>
      <c r="Q10" s="30"/>
      <c r="R10" s="81" t="str">
        <f>VLOOKUP(C10,'Train Runs'!$A$13:$AE$10222,31,0)</f>
        <v>aws s3 cp s3://rtdc.mdm.uploadarchive.raw/RTDC4029/ "%USERPROFILE%\AppData\Local\Temp\OnboardLogs"\RTDC4029\2018-01-06 --exclude "*" --recursive --include "*20180106*" &amp; "%USERPROFILE%\Documents\GitHub\mrs-test-scripts\Headless Mode &amp; Sideloading\WalkAndUnGZ.bat" "%USERPROFILE%\AppData\Local\Temp\OnboardLogs"\RTDC4029\2018-01-06 &amp; aws s3 cp s3://rtdc.mdm.uploadarchive.raw/RTDC4029/ "%USERPROFILE%\AppData\Local\Temp\OnboardLogs"\RTDC4029\2018-01-07 --exclude "*" --recursive --include "*20180107*" &amp; "%USERPROFILE%\Documents\GitHub\mrs-test-scripts\Headless Mode &amp; Sideloading\WalkAndUnGZ.bat" "%USERPROFILE%\AppData\Local\Temp\OnboardLogs"\RTDC4029\2018-01-07</v>
      </c>
      <c r="S10" s="84" t="str">
        <f>VLOOKUP(C10,'Train Runs'!$A$13:$AE$10222,22,0)</f>
        <v>https://d0f6bd738d7f1b3e5a7ca70fe4ff75f0.us-east-1.aws.found.io/app/kibana#/discover/Steve-Slow-Train-Analysis-(2080s-and-2083s)?_g=(refreshInterval:(display:Off,pause:!f,section:0,value:0),time:(from:'2018-01-06T21:40:37-0700',mode:absolute,to:'2018-01-07T00:33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10" s="86" t="str">
        <f>astrogrep_path&amp;" /e /r /s /spath="&amp;search_path&amp;" /stypes=""*"&amp;U10&amp;"*"&amp;TEXT(A10-utc_offset/24,"YYYYMMDD")&amp;LEFT(TEXT(A10-utc_offset/24,"HH"),1)&amp;"*"" /stext="" "&amp;TEXT(A10-utc_offset/24,"HH")&amp;search_regexp&amp;""""</f>
        <v>"C:\Program Files (x86)\AstroGrep\AstroGrep.exe" /e /r /s /spath="%USERPROFILE%\AppData\Local\Temp\OnboardLogs" /stypes="*4029*201801070*" /stext=" 06:.+((SYSTEM_STATE.+slice.+state.+changed )|(ment ac)|(multiple cpu faults)|(system.+state.+changed )|(\[timeout)|(PRM\|1\|D)|(kpr)|(kdp)|(train st.+moving)|(\|lc)|(penalty))"</v>
      </c>
      <c r="U10" s="9" t="str">
        <f>MID(B10,13,4)</f>
        <v>4029</v>
      </c>
      <c r="V10" s="31">
        <f>A10-utc_offset/24</f>
        <v>43107.266921296294</v>
      </c>
      <c r="W10" s="45" t="str">
        <f>DetSubdiv(C10)</f>
        <v>EC</v>
      </c>
      <c r="X10" s="228">
        <f>VALUE(LEFT(C10,LEN(C10)-3))</f>
        <v>234</v>
      </c>
      <c r="Y10" s="238" t="str">
        <f>"echo {""issue"":{""subject"":"""&amp;P10&amp;""",""project_id"":79,""tracker_id"":40,""status_id"":"&amp;redmine_status&amp;",""priority_id"":"&amp;redmine_priority&amp;",""assigned_to_id"":"&amp;redmine_assignee&amp;",""start_date"":"""&amp;TEXT(A10,"YYYY-mm-dd")&amp;""",""description"":"""&amp;Z10&amp;""",""custom_fields"":[{""id"":1,""name"":""Subdivision"",""value"":"""&amp;W10&amp;"""},{""id"":4,""name"":""Milepost"",""value"":"""&amp;K10/10000&amp;"""},{""id"":17,""name"":""Train ID"",""value"":"""&amp;C10&amp;"""},{""id"":16,""name"":""Locomotive ID"",""value"":"""&amp;U10&amp;"""},{""id"":130,""name"":""Impact"",""value"":"""&amp;AA10&amp;"""},{""id"":150,""name"":""Time of Event (Mountain Time)"",""value"":"""&amp;TEXT(A10,"hh:mm:ss")&amp;"""},{""id"":151,""name"":""Denver Issue ID"",""value"":"""&amp;"""},{""id"":178,""name"":""Operational Impact"",""value"":"""&amp;redmine_op_impact&amp;"""},{""id"":179,""name"":""Denver Segment Assigned"",""value"":"""&amp;AB10&amp;"""}]}}"&amp;"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Arrival","project_id":79,"tracker_id":40,"status_id":1,"priority_id":2,"assigned_to_id":338,"start_date":"2018-01-06","description":"","custom_fields":[{"id":1,"name":"Subdivision","value":"EC"},{"id":4,"name":"Milepost","value":"3.3257"},{"id":17,"name":"Train ID","value":"234-06"},{"id":16,"name":"Locomotive ID","value":"4029"},{"id":130,"name":"Impact","value":""},{"id":150,"name":"Time of Event (Mountain Time)","value":"23:24:22"},{"id":151,"name":"Denver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0" s="158"/>
      <c r="AA10" s="231"/>
      <c r="AB10" s="231"/>
      <c r="AC10" s="115" t="str">
        <f>"grep -hrE -A400 ""Enforcement Action"" "&amp;"/c/Users/stu/AppData/Local/Temp/OnboardLogs"&amp;"/RTDC"&amp;U10&amp;" --include=""*"&amp;U10&amp;"*"&amp;TEXT(A10-utc_offset/24,"YYYYMMDD")&amp;LEFT(TEXT(A10-utc_offset/24,"HH"),1)&amp;"*"" | grep -E ""((Enforcement Ac)|(PRM))"" -"</f>
        <v>grep -hrE -A400 "Enforcement Action" /c/Users/stu/AppData/Local/Temp/OnboardLogs/RTDC4029 --include="*4029*201801070*"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"%USERPROFILE%\AppData\Local\Temp\OnboardLogs"\RTDC4029\*4029*201801070* &gt;&gt; 2018-01-06-SliceDisagreementCheck.txt</v>
      </c>
      <c r="AE10" s="144" t="str">
        <f t="shared" si="1"/>
        <v>start /low /b %USERPROFILE%\Documents\GitHub\eaglep3\Utilities\DownloadLogsFromS3.py --loco 4029 --day 2018-01-07</v>
      </c>
      <c r="AF10" s="1"/>
    </row>
    <row r="11" spans="1:32" x14ac:dyDescent="0.3">
      <c r="A11" s="31">
        <v>43106.328275462962</v>
      </c>
      <c r="B11" s="30" t="s">
        <v>580</v>
      </c>
      <c r="C11" s="30" t="s">
        <v>664</v>
      </c>
      <c r="D11" s="30" t="s">
        <v>49</v>
      </c>
      <c r="E11" s="30" t="s">
        <v>183</v>
      </c>
      <c r="F11" s="42">
        <v>0</v>
      </c>
      <c r="G11" s="42">
        <v>526</v>
      </c>
      <c r="H11" s="42">
        <v>43356</v>
      </c>
      <c r="I11" s="42">
        <v>42068</v>
      </c>
      <c r="J11" s="30" t="s">
        <v>184</v>
      </c>
      <c r="K11" s="42">
        <v>42961</v>
      </c>
      <c r="L11" s="131" t="s">
        <v>51</v>
      </c>
      <c r="M11" s="132">
        <f>CONVERT((I11-K11)/10000,"mi","ft")*IF(L11="Increasing Mileposts (1)",-1,1)</f>
        <v>-471.50400000000002</v>
      </c>
      <c r="N11" s="133" t="str">
        <f>VLOOKUP(C11,'Trips&amp;Operators'!$C$1:$G$99911,5,FALSE)</f>
        <v>NEWELL JAMES</v>
      </c>
      <c r="O11" s="175" t="s">
        <v>178</v>
      </c>
      <c r="P11" s="239" t="s">
        <v>480</v>
      </c>
      <c r="Q11" s="30"/>
      <c r="R11" s="81" t="str">
        <f>VLOOKUP(C11,'Train Runs'!$A$13:$AE$10222,31,0)</f>
        <v>aws s3 cp s3://rtdc.mdm.uploadarchive.raw/RTDC4043/ "%USERPROFILE%\AppData\Local\Temp\OnboardLogs"\RTDC4043\2018-01-06 --exclude "*" --recursive --include "*20180106*" &amp; "%USERPROFILE%\Documents\GitHub\mrs-test-scripts\Headless Mode &amp; Sideloading\WalkAndUnGZ.bat" "%USERPROFILE%\AppData\Local\Temp\OnboardLogs"\RTDC4043\2018-01-06 &amp; aws s3 cp s3://rtdc.mdm.uploadarchive.raw/RTDC4043/ "%USERPROFILE%\AppData\Local\Temp\OnboardLogs"\RTDC4043\2018-01-07 --exclude "*" --recursive --include "*20180107*" &amp; "%USERPROFILE%\Documents\GitHub\mrs-test-scripts\Headless Mode &amp; Sideloading\WalkAndUnGZ.bat" "%USERPROFILE%\AppData\Local\Temp\OnboardLogs"\RTDC4043\2018-01-07</v>
      </c>
      <c r="S11" s="84" t="str">
        <f>VLOOKUP(C11,'Train Runs'!$A$13:$AE$10222,22,0)</f>
        <v>https://d0f6bd738d7f1b3e5a7ca70fe4ff75f0.us-east-1.aws.found.io/app/kibana#/discover/Steve-Slow-Train-Analysis-(2080s-and-2083s)?_g=(refreshInterval:(display:Off,pause:!f,section:0,value:0),time:(from:'2018-01-06T06:13:15-0700',mode:absolute,to:'2018-01-06T09:04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11" s="86" t="str">
        <f>astrogrep_path&amp;" /e /r /s /spath="&amp;search_path&amp;" /stypes=""*"&amp;U11&amp;"*"&amp;TEXT(A11-utc_offset/24,"YYYYMMDD")&amp;LEFT(TEXT(A11-utc_offset/24,"HH"),1)&amp;"*"" /stext="" "&amp;TEXT(A11-utc_offset/24,"HH")&amp;search_regexp&amp;""""</f>
        <v>"C:\Program Files (x86)\AstroGrep\AstroGrep.exe" /e /r /s /spath="%USERPROFILE%\AppData\Local\Temp\OnboardLogs" /stypes="*4043*201801061*" /stext=" 14:.+((SYSTEM_STATE.+slice.+state.+changed )|(ment ac)|(multiple cpu faults)|(system.+state.+changed )|(\[timeout)|(PRM\|1\|D)|(kpr)|(kdp)|(train st.+moving)|(\|lc)|(penalty))"</v>
      </c>
      <c r="U11" s="9" t="str">
        <f>MID(B11,13,4)</f>
        <v>4043</v>
      </c>
      <c r="V11" s="31">
        <f>A11-utc_offset/24</f>
        <v>43106.619942129626</v>
      </c>
      <c r="W11" s="45" t="str">
        <f>DetSubdiv(C11)</f>
        <v>EC</v>
      </c>
      <c r="X11" s="228">
        <f>VALUE(LEFT(C11,LEN(C11)-3))</f>
        <v>124</v>
      </c>
      <c r="Y11" s="238" t="str">
        <f>"echo {""issue"":{""subject"":"""&amp;P11&amp;""",""project_id"":79,""tracker_id"":40,""status_id"":"&amp;redmine_status&amp;",""priority_id"":"&amp;redmine_priority&amp;",""assigned_to_id"":"&amp;redmine_assignee&amp;",""start_date"":"""&amp;TEXT(A11,"YYYY-mm-dd")&amp;""",""description"":"""&amp;Z11&amp;""",""custom_fields"":[{""id"":1,""name"":""Subdivision"",""value"":"""&amp;W11&amp;"""},{""id"":4,""name"":""Milepost"",""value"":"""&amp;K11/10000&amp;"""},{""id"":17,""name"":""Train ID"",""value"":"""&amp;C11&amp;"""},{""id"":16,""name"":""Locomotive ID"",""value"":"""&amp;U11&amp;"""},{""id"":130,""name"":""Impact"",""value"":"""&amp;AA11&amp;"""},{""id"":150,""name"":""Time of Event (Mountain Time)"",""value"":"""&amp;TEXT(A11,"hh:mm:ss")&amp;"""},{""id"":151,""name"":""Denver Issue ID"",""value"":"""&amp;"""},{""id"":178,""name"":""Operational Impact"",""value"":"""&amp;redmine_op_impact&amp;"""},{""id"":179,""name"":""Denver Segment Assigned"",""value"":"""&amp;AB11&amp;"""}]}}"&amp;"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Arrival","project_id":79,"tracker_id":40,"status_id":1,"priority_id":2,"assigned_to_id":338,"start_date":"2018-01-06","description":"","custom_fields":[{"id":1,"name":"Subdivision","value":"EC"},{"id":4,"name":"Milepost","value":"4.2961"},{"id":17,"name":"Train ID","value":"124-06"},{"id":16,"name":"Locomotive ID","value":"4043"},{"id":130,"name":"Impact","value":""},{"id":150,"name":"Time of Event (Mountain Time)","value":"07:52:43"},{"id":151,"name":"Denver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1" s="158"/>
      <c r="AA11" s="231"/>
      <c r="AB11" s="231"/>
      <c r="AC11" s="115" t="str">
        <f>"grep -hrE -A400 ""Enforcement Action"" "&amp;"/c/Users/stu/AppData/Local/Temp/OnboardLogs"&amp;"/RTDC"&amp;U11&amp;" --include=""*"&amp;U11&amp;"*"&amp;TEXT(A11-utc_offset/24,"YYYYMMDD")&amp;LEFT(TEXT(A11-utc_offset/24,"HH"),1)&amp;"*"" | grep -E ""((Enforcement Ac)|(PRM))"" -"</f>
        <v>grep -hrE -A400 "Enforcement Action" /c/Users/stu/AppData/Local/Temp/OnboardLogs/RTDC4043 --include="*4043*201801061*"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"%USERPROFILE%\AppData\Local\Temp\OnboardLogs"\RTDC4043\*4043*201801061* &gt;&gt; 2018-01-06-SliceDisagreementCheck.txt</v>
      </c>
      <c r="AE11" s="144" t="str">
        <f t="shared" si="1"/>
        <v>start /low /b %USERPROFILE%\Documents\GitHub\eaglep3\Utilities\DownloadLogsFromS3.py --loco 4043 --day 2018-01-06</v>
      </c>
      <c r="AF11" s="1"/>
    </row>
    <row r="12" spans="1:32" x14ac:dyDescent="0.3">
      <c r="A12" s="31">
        <v>43106.343506944446</v>
      </c>
      <c r="B12" s="30" t="s">
        <v>370</v>
      </c>
      <c r="C12" s="30" t="s">
        <v>665</v>
      </c>
      <c r="D12" s="30" t="s">
        <v>49</v>
      </c>
      <c r="E12" s="30" t="s">
        <v>183</v>
      </c>
      <c r="F12" s="42">
        <v>0</v>
      </c>
      <c r="G12" s="42">
        <v>384</v>
      </c>
      <c r="H12" s="42">
        <v>62683</v>
      </c>
      <c r="I12" s="42">
        <v>63403</v>
      </c>
      <c r="J12" s="30" t="s">
        <v>184</v>
      </c>
      <c r="K12" s="42">
        <v>63069</v>
      </c>
      <c r="L12" s="131" t="s">
        <v>50</v>
      </c>
      <c r="M12" s="132">
        <f>CONVERT((I12-K12)/10000,"mi","ft")*IF(L12="Increasing Mileposts (1)",-1,1)</f>
        <v>-176.352</v>
      </c>
      <c r="N12" s="133" t="str">
        <f>VLOOKUP(C12,'Trips&amp;Operators'!$C$1:$G$99911,5,FALSE)</f>
        <v>GEBRETEKLE DAGNEW</v>
      </c>
      <c r="O12" s="175" t="s">
        <v>178</v>
      </c>
      <c r="P12" s="239" t="s">
        <v>480</v>
      </c>
      <c r="Q12" s="30"/>
      <c r="R12" s="81" t="str">
        <f>VLOOKUP(C12,'Train Runs'!$A$13:$AE$10222,31,0)</f>
        <v>aws s3 cp s3://rtdc.mdm.uploadarchive.raw/RTDC4012/ "%USERPROFILE%\AppData\Local\Temp\OnboardLogs"\RTDC4012\2018-01-06 --exclude "*" --recursive --include "*20180106*" &amp; "%USERPROFILE%\Documents\GitHub\mrs-test-scripts\Headless Mode &amp; Sideloading\WalkAndUnGZ.bat" "%USERPROFILE%\AppData\Local\Temp\OnboardLogs"\RTDC4012\2018-01-06 &amp; aws s3 cp s3://rtdc.mdm.uploadarchive.raw/RTDC4012/ "%USERPROFILE%\AppData\Local\Temp\OnboardLogs"\RTDC4012\2018-01-07 --exclude "*" --recursive --include "*20180107*" &amp; "%USERPROFILE%\Documents\GitHub\mrs-test-scripts\Headless Mode &amp; Sideloading\WalkAndUnGZ.bat" "%USERPROFILE%\AppData\Local\Temp\OnboardLogs"\RTDC4012\2018-01-07</v>
      </c>
      <c r="S12" s="84" t="str">
        <f>VLOOKUP(C12,'Train Runs'!$A$13:$AE$10222,22,0)</f>
        <v>https://d0f6bd738d7f1b3e5a7ca70fe4ff75f0.us-east-1.aws.found.io/app/kibana#/discover/Steve-Slow-Train-Analysis-(2080s-and-2083s)?_g=(refreshInterval:(display:Off,pause:!f,section:0,value:0),time:(from:'2018-01-06T06:55:08-0700',mode:absolute,to:'2018-01-06T09:37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12" s="86" t="str">
        <f>astrogrep_path&amp;" /e /r /s /spath="&amp;search_path&amp;" /stypes=""*"&amp;U12&amp;"*"&amp;TEXT(A12-utc_offset/24,"YYYYMMDD")&amp;LEFT(TEXT(A12-utc_offset/24,"HH"),1)&amp;"*"" /stext="" "&amp;TEXT(A12-utc_offset/24,"HH")&amp;search_regexp&amp;""""</f>
        <v>"C:\Program Files (x86)\AstroGrep\AstroGrep.exe" /e /r /s /spath="%USERPROFILE%\AppData\Local\Temp\OnboardLogs" /stypes="*4012*201801061*" /stext=" 15:.+((SYSTEM_STATE.+slice.+state.+changed )|(ment ac)|(multiple cpu faults)|(system.+state.+changed )|(\[timeout)|(PRM\|1\|D)|(kpr)|(kdp)|(train st.+moving)|(\|lc)|(penalty))"</v>
      </c>
      <c r="U12" s="9" t="str">
        <f>MID(B12,13,4)</f>
        <v>4012</v>
      </c>
      <c r="V12" s="31">
        <f>A12-utc_offset/24</f>
        <v>43106.63517361111</v>
      </c>
      <c r="W12" s="45" t="str">
        <f>DetSubdiv(C12)</f>
        <v>EC</v>
      </c>
      <c r="X12" s="228">
        <f>VALUE(LEFT(C12,LEN(C12)-3))</f>
        <v>135</v>
      </c>
      <c r="Y12" s="238" t="str">
        <f>"echo {""issue"":{""subject"":"""&amp;P12&amp;""",""project_id"":79,""tracker_id"":40,""status_id"":"&amp;redmine_status&amp;",""priority_id"":"&amp;redmine_priority&amp;",""assigned_to_id"":"&amp;redmine_assignee&amp;",""start_date"":"""&amp;TEXT(A12,"YYYY-mm-dd")&amp;""",""description"":"""&amp;Z12&amp;""",""custom_fields"":[{""id"":1,""name"":""Subdivision"",""value"":"""&amp;W12&amp;"""},{""id"":4,""name"":""Milepost"",""value"":"""&amp;K12/10000&amp;"""},{""id"":17,""name"":""Train ID"",""value"":"""&amp;C12&amp;"""},{""id"":16,""name"":""Locomotive ID"",""value"":"""&amp;U12&amp;"""},{""id"":130,""name"":""Impact"",""value"":"""&amp;AA12&amp;"""},{""id"":150,""name"":""Time of Event (Mountain Time)"",""value"":"""&amp;TEXT(A12,"hh:mm:ss")&amp;"""},{""id"":151,""name"":""Denver Issue ID"",""value"":"""&amp;"""},{""id"":178,""name"":""Operational Impact"",""value"":"""&amp;redmine_op_impact&amp;"""},{""id"":179,""name"":""Denver Segment Assigned"",""value"":"""&amp;AB12&amp;"""}]}}"&amp;"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Arrival","project_id":79,"tracker_id":40,"status_id":1,"priority_id":2,"assigned_to_id":338,"start_date":"2018-01-06","description":"","custom_fields":[{"id":1,"name":"Subdivision","value":"EC"},{"id":4,"name":"Milepost","value":"6.3069"},{"id":17,"name":"Train ID","value":"135-06"},{"id":16,"name":"Locomotive ID","value":"4012"},{"id":130,"name":"Impact","value":""},{"id":150,"name":"Time of Event (Mountain Time)","value":"08:14:39"},{"id":151,"name":"Denver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2" s="158"/>
      <c r="AA12" s="231"/>
      <c r="AB12" s="231"/>
      <c r="AC12" s="115" t="str">
        <f>"grep -hrE -A400 ""Enforcement Action"" "&amp;"/c/Users/stu/AppData/Local/Temp/OnboardLogs"&amp;"/RTDC"&amp;U12&amp;" --include=""*"&amp;U12&amp;"*"&amp;TEXT(A12-utc_offset/24,"YYYYMMDD")&amp;LEFT(TEXT(A12-utc_offset/24,"HH"),1)&amp;"*"" | grep -E ""((Enforcement Ac)|(PRM))"" -"</f>
        <v>grep -hrE -A400 "Enforcement Action" /c/Users/stu/AppData/Local/Temp/OnboardLogs/RTDC4012 --include="*4012*201801061*"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"%USERPROFILE%\AppData\Local\Temp\OnboardLogs"\RTDC4012\*4012*201801061* &gt;&gt; 2018-01-06-SliceDisagreementCheck.txt</v>
      </c>
      <c r="AE12" s="144" t="str">
        <f t="shared" si="1"/>
        <v>start /low /b %USERPROFILE%\Documents\GitHub\eaglep3\Utilities\DownloadLogsFromS3.py --loco 4012 --day 2018-01-06</v>
      </c>
      <c r="AF12" s="1"/>
    </row>
    <row r="13" spans="1:32" x14ac:dyDescent="0.3">
      <c r="A13" s="31">
        <v>43106.815300925926</v>
      </c>
      <c r="B13" s="30" t="s">
        <v>386</v>
      </c>
      <c r="C13" s="30" t="s">
        <v>677</v>
      </c>
      <c r="D13" s="30" t="s">
        <v>49</v>
      </c>
      <c r="E13" s="30" t="s">
        <v>183</v>
      </c>
      <c r="F13" s="42">
        <v>0</v>
      </c>
      <c r="G13" s="42">
        <v>664</v>
      </c>
      <c r="H13" s="42">
        <v>66979</v>
      </c>
      <c r="I13" s="42">
        <v>64746</v>
      </c>
      <c r="J13" s="30" t="s">
        <v>184</v>
      </c>
      <c r="K13" s="42">
        <v>63309</v>
      </c>
      <c r="L13" s="131" t="s">
        <v>51</v>
      </c>
      <c r="M13" s="132">
        <f>CONVERT((I13-K13)/10000,"mi","ft")*IF(L13="Increasing Mileposts (1)",-1,1)</f>
        <v>758.73599999999999</v>
      </c>
      <c r="N13" s="133" t="str">
        <f>VLOOKUP(C13,'Trips&amp;Operators'!$C$1:$G$99911,5,FALSE)</f>
        <v>ELBAUM MIKE</v>
      </c>
      <c r="O13" s="175" t="s">
        <v>178</v>
      </c>
      <c r="P13" s="239" t="s">
        <v>480</v>
      </c>
      <c r="Q13" s="30"/>
      <c r="R13" s="81" t="str">
        <f>VLOOKUP(C13,'Train Runs'!$A$13:$AE$10222,31,0)</f>
        <v>aws s3 cp s3://rtdc.mdm.uploadarchive.raw/RTDC4029/ "%USERPROFILE%\AppData\Local\Temp\OnboardLogs"\RTDC4029\2018-01-06 --exclude "*" --recursive --include "*20180106*" &amp; "%USERPROFILE%\Documents\GitHub\mrs-test-scripts\Headless Mode &amp; Sideloading\WalkAndUnGZ.bat" "%USERPROFILE%\AppData\Local\Temp\OnboardLogs"\RTDC4029\2018-01-06 &amp; aws s3 cp s3://rtdc.mdm.uploadarchive.raw/RTDC4029/ "%USERPROFILE%\AppData\Local\Temp\OnboardLogs"\RTDC4029\2018-01-07 --exclude "*" --recursive --include "*20180107*" &amp; "%USERPROFILE%\Documents\GitHub\mrs-test-scripts\Headless Mode &amp; Sideloading\WalkAndUnGZ.bat" "%USERPROFILE%\AppData\Local\Temp\OnboardLogs"\RTDC4029\2018-01-07</v>
      </c>
      <c r="S13" s="84" t="str">
        <f>VLOOKUP(C13,'Train Runs'!$A$13:$AE$10222,22,0)</f>
        <v>https://d0f6bd738d7f1b3e5a7ca70fe4ff75f0.us-east-1.aws.found.io/app/kibana#/discover/Steve-Slow-Train-Analysis-(2080s-and-2083s)?_g=(refreshInterval:(display:Off,pause:!f,section:0,value:0),time:(from:'2018-01-06T17:52:23-0700',mode:absolute,to:'2018-01-06T20:49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13" s="86" t="str">
        <f>astrogrep_path&amp;" /e /r /s /spath="&amp;search_path&amp;" /stypes=""*"&amp;U13&amp;"*"&amp;TEXT(A13-utc_offset/24,"YYYYMMDD")&amp;LEFT(TEXT(A13-utc_offset/24,"HH"),1)&amp;"*"" /stext="" "&amp;TEXT(A13-utc_offset/24,"HH")&amp;search_regexp&amp;""""</f>
        <v>"C:\Program Files (x86)\AstroGrep\AstroGrep.exe" /e /r /s /spath="%USERPROFILE%\AppData\Local\Temp\OnboardLogs" /stypes="*4029*201801070*" /stext=" 02:.+((SYSTEM_STATE.+slice.+state.+changed )|(ment ac)|(multiple cpu faults)|(system.+state.+changed )|(\[timeout)|(PRM\|1\|D)|(kpr)|(kdp)|(train st.+moving)|(\|lc)|(penalty))"</v>
      </c>
      <c r="U13" s="9" t="str">
        <f>MID(B13,13,4)</f>
        <v>4029</v>
      </c>
      <c r="V13" s="31">
        <f>A13-utc_offset/24</f>
        <v>43107.10696759259</v>
      </c>
      <c r="W13" s="45" t="str">
        <f>DetSubdiv(C13)</f>
        <v>EC</v>
      </c>
      <c r="X13" s="228">
        <f>VALUE(LEFT(C13,LEN(C13)-3))</f>
        <v>218</v>
      </c>
      <c r="Y13" s="238" t="str">
        <f>"echo {""issue"":{""subject"":"""&amp;P13&amp;""",""project_id"":79,""tracker_id"":40,""status_id"":"&amp;redmine_status&amp;",""priority_id"":"&amp;redmine_priority&amp;",""assigned_to_id"":"&amp;redmine_assignee&amp;",""start_date"":"""&amp;TEXT(A13,"YYYY-mm-dd")&amp;""",""description"":"""&amp;Z13&amp;""",""custom_fields"":[{""id"":1,""name"":""Subdivision"",""value"":"""&amp;W13&amp;"""},{""id"":4,""name"":""Milepost"",""value"":"""&amp;K13/10000&amp;"""},{""id"":17,""name"":""Train ID"",""value"":"""&amp;C13&amp;"""},{""id"":16,""name"":""Locomotive ID"",""value"":"""&amp;U13&amp;"""},{""id"":130,""name"":""Impact"",""value"":"""&amp;AA13&amp;"""},{""id"":150,""name"":""Time of Event (Mountain Time)"",""value"":"""&amp;TEXT(A13,"hh:mm:ss")&amp;"""},{""id"":151,""name"":""Denver Issue ID"",""value"":"""&amp;"""},{""id"":178,""name"":""Operational Impact"",""value"":"""&amp;redmine_op_impact&amp;"""},{""id"":179,""name"":""Denver Segment Assigned"",""value"":"""&amp;AB13&amp;"""}]}}"&amp;"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Arrival","project_id":79,"tracker_id":40,"status_id":1,"priority_id":2,"assigned_to_id":338,"start_date":"2018-01-06","description":"","custom_fields":[{"id":1,"name":"Subdivision","value":"EC"},{"id":4,"name":"Milepost","value":"6.3309"},{"id":17,"name":"Train ID","value":"218-06"},{"id":16,"name":"Locomotive ID","value":"4029"},{"id":130,"name":"Impact","value":""},{"id":150,"name":"Time of Event (Mountain Time)","value":"19:34:02"},{"id":151,"name":"Denver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3" s="158"/>
      <c r="AA13" s="231"/>
      <c r="AB13" s="231"/>
      <c r="AC13" s="115" t="str">
        <f>"grep -hrE -A400 ""Enforcement Action"" "&amp;"/c/Users/stu/AppData/Local/Temp/OnboardLogs"&amp;"/RTDC"&amp;U13&amp;" --include=""*"&amp;U13&amp;"*"&amp;TEXT(A13-utc_offset/24,"YYYYMMDD")&amp;LEFT(TEXT(A13-utc_offset/24,"HH"),1)&amp;"*"" | grep -E ""((Enforcement Ac)|(PRM))"" -"</f>
        <v>grep -hrE -A400 "Enforcement Action" /c/Users/stu/AppData/Local/Temp/OnboardLogs/RTDC4029 --include="*4029*201801070*"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"%USERPROFILE%\AppData\Local\Temp\OnboardLogs"\RTDC4029\*4029*201801070* &gt;&gt; 2018-01-06-SliceDisagreementCheck.txt</v>
      </c>
      <c r="AE13" s="144" t="str">
        <f t="shared" si="1"/>
        <v>start /low /b %USERPROFILE%\Documents\GitHub\eaglep3\Utilities\DownloadLogsFromS3.py --loco 4029 --day 2018-01-07</v>
      </c>
      <c r="AF13" s="1"/>
    </row>
    <row r="14" spans="1:32" x14ac:dyDescent="0.3">
      <c r="A14" s="31">
        <v>43106.295983796299</v>
      </c>
      <c r="B14" s="30" t="s">
        <v>360</v>
      </c>
      <c r="C14" s="30" t="s">
        <v>661</v>
      </c>
      <c r="D14" s="30" t="s">
        <v>49</v>
      </c>
      <c r="E14" s="30" t="s">
        <v>183</v>
      </c>
      <c r="F14" s="42">
        <v>750</v>
      </c>
      <c r="G14" s="42">
        <v>801</v>
      </c>
      <c r="H14" s="42">
        <v>108889</v>
      </c>
      <c r="I14" s="42">
        <v>112304</v>
      </c>
      <c r="J14" s="30" t="s">
        <v>184</v>
      </c>
      <c r="K14" s="42">
        <v>108954</v>
      </c>
      <c r="L14" s="131" t="s">
        <v>50</v>
      </c>
      <c r="M14" s="132">
        <f>CONVERT((I14-K14)/10000,"mi","ft")*IF(L14="Increasing Mileposts (1)",-1,1)</f>
        <v>-1768.8</v>
      </c>
      <c r="N14" s="133" t="str">
        <f>VLOOKUP(C14,'Trips&amp;Operators'!$C$1:$G$99911,5,FALSE)</f>
        <v>THOMPSON LESTER</v>
      </c>
      <c r="O14" s="175" t="s">
        <v>178</v>
      </c>
      <c r="P14" s="239" t="s">
        <v>480</v>
      </c>
      <c r="Q14" s="30"/>
      <c r="R14" s="81" t="str">
        <f>VLOOKUP(C14,'Train Runs'!$A$13:$AE$10222,31,0)</f>
        <v>aws s3 cp s3://rtdc.mdm.uploadarchive.raw/RTDC4018/ "%USERPROFILE%\AppData\Local\Temp\OnboardLogs"\RTDC4018\2018-01-06 --exclude "*" --recursive --include "*20180106*" &amp; "%USERPROFILE%\Documents\GitHub\mrs-test-scripts\Headless Mode &amp; Sideloading\WalkAndUnGZ.bat" "%USERPROFILE%\AppData\Local\Temp\OnboardLogs"\RTDC4018\2018-01-06 &amp; aws s3 cp s3://rtdc.mdm.uploadarchive.raw/RTDC4018/ "%USERPROFILE%\AppData\Local\Temp\OnboardLogs"\RTDC4018\2018-01-07 --exclude "*" --recursive --include "*20180107*" &amp; "%USERPROFILE%\Documents\GitHub\mrs-test-scripts\Headless Mode &amp; Sideloading\WalkAndUnGZ.bat" "%USERPROFILE%\AppData\Local\Temp\OnboardLogs"\RTDC4018\2018-01-07</v>
      </c>
      <c r="S14" s="84" t="str">
        <f>VLOOKUP(C14,'Train Runs'!$A$13:$AE$10222,22,0)</f>
        <v>https://d0f6bd738d7f1b3e5a7ca70fe4ff75f0.us-east-1.aws.found.io/app/kibana#/discover/Steve-Slow-Train-Analysis-(2080s-and-2083s)?_g=(refreshInterval:(display:Off,pause:!f,section:0,value:0),time:(from:'2018-01-06T05:42:40-0700',mode:absolute,to:'2018-01-06T08:22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14" s="86" t="str">
        <f>astrogrep_path&amp;" /e /r /s /spath="&amp;search_path&amp;" /stypes=""*"&amp;U14&amp;"*"&amp;TEXT(A14-utc_offset/24,"YYYYMMDD")&amp;LEFT(TEXT(A14-utc_offset/24,"HH"),1)&amp;"*"" /stext="" "&amp;TEXT(A14-utc_offset/24,"HH")&amp;search_regexp&amp;""""</f>
        <v>"C:\Program Files (x86)\AstroGrep\AstroGrep.exe" /e /r /s /spath="%USERPROFILE%\AppData\Local\Temp\OnboardLogs" /stypes="*4018*201801061*" /stext=" 14:.+((SYSTEM_STATE.+slice.+state.+changed )|(ment ac)|(multiple cpu faults)|(system.+state.+changed )|(\[timeout)|(PRM\|1\|D)|(kpr)|(kdp)|(train st.+moving)|(\|lc)|(penalty))"</v>
      </c>
      <c r="U14" s="9" t="str">
        <f>MID(B14,13,4)</f>
        <v>4018</v>
      </c>
      <c r="V14" s="31">
        <f>A14-utc_offset/24</f>
        <v>43106.587650462963</v>
      </c>
      <c r="W14" s="45" t="str">
        <f>DetSubdiv(C14)</f>
        <v>EC</v>
      </c>
      <c r="X14" s="228">
        <f>VALUE(LEFT(C14,LEN(C14)-3))</f>
        <v>125</v>
      </c>
      <c r="Y14" s="238" t="str">
        <f>"echo {""issue"":{""subject"":"""&amp;P14&amp;""",""project_id"":79,""tracker_id"":40,""status_id"":"&amp;redmine_status&amp;",""priority_id"":"&amp;redmine_priority&amp;",""assigned_to_id"":"&amp;redmine_assignee&amp;",""start_date"":"""&amp;TEXT(A14,"YYYY-mm-dd")&amp;""",""description"":"""&amp;Z14&amp;""",""custom_fields"":[{""id"":1,""name"":""Subdivision"",""value"":"""&amp;W14&amp;"""},{""id"":4,""name"":""Milepost"",""value"":"""&amp;K14/10000&amp;"""},{""id"":17,""name"":""Train ID"",""value"":"""&amp;C14&amp;"""},{""id"":16,""name"":""Locomotive ID"",""value"":"""&amp;U14&amp;"""},{""id"":130,""name"":""Impact"",""value"":"""&amp;AA14&amp;"""},{""id"":150,""name"":""Time of Event (Mountain Time)"",""value"":"""&amp;TEXT(A14,"hh:mm:ss")&amp;"""},{""id"":151,""name"":""Denver Issue ID"",""value"":"""&amp;"""},{""id"":178,""name"":""Operational Impact"",""value"":"""&amp;redmine_op_impact&amp;"""},{""id"":179,""name"":""Denver Segment Assigned"",""value"":"""&amp;AB14&amp;"""}]}}"&amp;"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Arrival","project_id":79,"tracker_id":40,"status_id":1,"priority_id":2,"assigned_to_id":338,"start_date":"2018-01-06","description":"","custom_fields":[{"id":1,"name":"Subdivision","value":"EC"},{"id":4,"name":"Milepost","value":"10.8954"},{"id":17,"name":"Train ID","value":"125-06"},{"id":16,"name":"Locomotive ID","value":"4018"},{"id":130,"name":"Impact","value":""},{"id":150,"name":"Time of Event (Mountain Time)","value":"07:06:13"},{"id":151,"name":"Denver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4" s="158"/>
      <c r="AA14" s="231"/>
      <c r="AB14" s="231"/>
      <c r="AC14" s="115" t="str">
        <f>"grep -hrE -A400 ""Enforcement Action"" "&amp;"/c/Users/stu/AppData/Local/Temp/OnboardLogs"&amp;"/RTDC"&amp;U14&amp;" --include=""*"&amp;U14&amp;"*"&amp;TEXT(A14-utc_offset/24,"YYYYMMDD")&amp;LEFT(TEXT(A14-utc_offset/24,"HH"),1)&amp;"*"" | grep -E ""((Enforcement Ac)|(PRM))"" -"</f>
        <v>grep -hrE -A400 "Enforcement Action" /c/Users/stu/AppData/Local/Temp/OnboardLogs/RTDC4018 --include="*4018*201801061*"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"%USERPROFILE%\AppData\Local\Temp\OnboardLogs"\RTDC4018\*4018*201801061* &gt;&gt; 2018-01-06-SliceDisagreementCheck.txt</v>
      </c>
      <c r="AE14" s="144" t="str">
        <f t="shared" si="1"/>
        <v>start /low /b %USERPROFILE%\Documents\GitHub\eaglep3\Utilities\DownloadLogsFromS3.py --loco 4018 --day 2018-01-06</v>
      </c>
      <c r="AF14" s="1"/>
    </row>
    <row r="15" spans="1:32" x14ac:dyDescent="0.3">
      <c r="A15" s="31">
        <v>43106.811180555553</v>
      </c>
      <c r="B15" s="30" t="s">
        <v>386</v>
      </c>
      <c r="C15" s="30" t="s">
        <v>677</v>
      </c>
      <c r="D15" s="30" t="s">
        <v>49</v>
      </c>
      <c r="E15" s="30" t="s">
        <v>183</v>
      </c>
      <c r="F15" s="42">
        <v>350</v>
      </c>
      <c r="G15" s="42">
        <v>420</v>
      </c>
      <c r="H15" s="42">
        <v>110145</v>
      </c>
      <c r="I15" s="42">
        <v>108737</v>
      </c>
      <c r="J15" s="30" t="s">
        <v>184</v>
      </c>
      <c r="K15" s="42">
        <v>109135</v>
      </c>
      <c r="L15" s="131" t="s">
        <v>51</v>
      </c>
      <c r="M15" s="132">
        <f>CONVERT((I15-K15)/10000,"mi","ft")*IF(L15="Increasing Mileposts (1)",-1,1)</f>
        <v>-210.14400000000001</v>
      </c>
      <c r="N15" s="133" t="str">
        <f>VLOOKUP(C15,'Trips&amp;Operators'!$C$1:$G$99911,5,FALSE)</f>
        <v>ELBAUM MIKE</v>
      </c>
      <c r="O15" s="175" t="s">
        <v>178</v>
      </c>
      <c r="P15" s="239" t="s">
        <v>480</v>
      </c>
      <c r="Q15" s="30"/>
      <c r="R15" s="81" t="str">
        <f>VLOOKUP(C15,'Train Runs'!$A$13:$AE$10222,31,0)</f>
        <v>aws s3 cp s3://rtdc.mdm.uploadarchive.raw/RTDC4029/ "%USERPROFILE%\AppData\Local\Temp\OnboardLogs"\RTDC4029\2018-01-06 --exclude "*" --recursive --include "*20180106*" &amp; "%USERPROFILE%\Documents\GitHub\mrs-test-scripts\Headless Mode &amp; Sideloading\WalkAndUnGZ.bat" "%USERPROFILE%\AppData\Local\Temp\OnboardLogs"\RTDC4029\2018-01-06 &amp; aws s3 cp s3://rtdc.mdm.uploadarchive.raw/RTDC4029/ "%USERPROFILE%\AppData\Local\Temp\OnboardLogs"\RTDC4029\2018-01-07 --exclude "*" --recursive --include "*20180107*" &amp; "%USERPROFILE%\Documents\GitHub\mrs-test-scripts\Headless Mode &amp; Sideloading\WalkAndUnGZ.bat" "%USERPROFILE%\AppData\Local\Temp\OnboardLogs"\RTDC4029\2018-01-07</v>
      </c>
      <c r="S15" s="84" t="str">
        <f>VLOOKUP(C15,'Train Runs'!$A$13:$AE$10222,22,0)</f>
        <v>https://d0f6bd738d7f1b3e5a7ca70fe4ff75f0.us-east-1.aws.found.io/app/kibana#/discover/Steve-Slow-Train-Analysis-(2080s-and-2083s)?_g=(refreshInterval:(display:Off,pause:!f,section:0,value:0),time:(from:'2018-01-06T17:52:23-0700',mode:absolute,to:'2018-01-06T20:49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15" s="86" t="str">
        <f>astrogrep_path&amp;" /e /r /s /spath="&amp;search_path&amp;" /stypes=""*"&amp;U15&amp;"*"&amp;TEXT(A15-utc_offset/24,"YYYYMMDD")&amp;LEFT(TEXT(A15-utc_offset/24,"HH"),1)&amp;"*"" /stext="" "&amp;TEXT(A15-utc_offset/24,"HH")&amp;search_regexp&amp;""""</f>
        <v>"C:\Program Files (x86)\AstroGrep\AstroGrep.exe" /e /r /s /spath="%USERPROFILE%\AppData\Local\Temp\OnboardLogs" /stypes="*4029*201801070*" /stext=" 02:.+((SYSTEM_STATE.+slice.+state.+changed )|(ment ac)|(multiple cpu faults)|(system.+state.+changed )|(\[timeout)|(PRM\|1\|D)|(kpr)|(kdp)|(train st.+moving)|(\|lc)|(penalty))"</v>
      </c>
      <c r="U15" s="9" t="str">
        <f>MID(B15,13,4)</f>
        <v>4029</v>
      </c>
      <c r="V15" s="31">
        <f>A15-utc_offset/24</f>
        <v>43107.102847222217</v>
      </c>
      <c r="W15" s="45" t="str">
        <f>DetSubdiv(C15)</f>
        <v>EC</v>
      </c>
      <c r="X15" s="228">
        <f>VALUE(LEFT(C15,LEN(C15)-3))</f>
        <v>218</v>
      </c>
      <c r="Y15" s="238" t="str">
        <f>"echo {""issue"":{""subject"":"""&amp;P15&amp;""",""project_id"":79,""tracker_id"":40,""status_id"":"&amp;redmine_status&amp;",""priority_id"":"&amp;redmine_priority&amp;",""assigned_to_id"":"&amp;redmine_assignee&amp;",""start_date"":"""&amp;TEXT(A15,"YYYY-mm-dd")&amp;""",""description"":"""&amp;Z15&amp;""",""custom_fields"":[{""id"":1,""name"":""Subdivision"",""value"":"""&amp;W15&amp;"""},{""id"":4,""name"":""Milepost"",""value"":"""&amp;K15/10000&amp;"""},{""id"":17,""name"":""Train ID"",""value"":"""&amp;C15&amp;"""},{""id"":16,""name"":""Locomotive ID"",""value"":"""&amp;U15&amp;"""},{""id"":130,""name"":""Impact"",""value"":"""&amp;AA15&amp;"""},{""id"":150,""name"":""Time of Event (Mountain Time)"",""value"":"""&amp;TEXT(A15,"hh:mm:ss")&amp;"""},{""id"":151,""name"":""Denver Issue ID"",""value"":"""&amp;"""},{""id"":178,""name"":""Operational Impact"",""value"":"""&amp;redmine_op_impact&amp;"""},{""id"":179,""name"":""Denver Segment Assigned"",""value"":"""&amp;AB15&amp;"""}]}}"&amp;"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Arrival","project_id":79,"tracker_id":40,"status_id":1,"priority_id":2,"assigned_to_id":338,"start_date":"2018-01-06","description":"","custom_fields":[{"id":1,"name":"Subdivision","value":"EC"},{"id":4,"name":"Milepost","value":"10.9135"},{"id":17,"name":"Train ID","value":"218-06"},{"id":16,"name":"Locomotive ID","value":"4029"},{"id":130,"name":"Impact","value":""},{"id":150,"name":"Time of Event (Mountain Time)","value":"19:28:06"},{"id":151,"name":"Denver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5" s="158"/>
      <c r="AA15" s="231"/>
      <c r="AB15" s="231"/>
      <c r="AC15" s="115" t="str">
        <f>"grep -hrE -A400 ""Enforcement Action"" "&amp;"/c/Users/stu/AppData/Local/Temp/OnboardLogs"&amp;"/RTDC"&amp;U15&amp;" --include=""*"&amp;U15&amp;"*"&amp;TEXT(A15-utc_offset/24,"YYYYMMDD")&amp;LEFT(TEXT(A15-utc_offset/24,"HH"),1)&amp;"*"" | grep -E ""((Enforcement Ac)|(PRM))"" -"</f>
        <v>grep -hrE -A400 "Enforcement Action" /c/Users/stu/AppData/Local/Temp/OnboardLogs/RTDC4029 --include="*4029*201801070*"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"%USERPROFILE%\AppData\Local\Temp\OnboardLogs"\RTDC4029\*4029*201801070* &gt;&gt; 2018-01-06-SliceDisagreementCheck.txt</v>
      </c>
      <c r="AE15" s="144" t="str">
        <f t="shared" si="1"/>
        <v>start /low /b %USERPROFILE%\Documents\GitHub\eaglep3\Utilities\DownloadLogsFromS3.py --loco 4029 --day 2018-01-07</v>
      </c>
      <c r="AF15" s="1"/>
    </row>
    <row r="16" spans="1:32" x14ac:dyDescent="0.3">
      <c r="A16" s="31">
        <v>43106.681087962963</v>
      </c>
      <c r="B16" s="30" t="s">
        <v>357</v>
      </c>
      <c r="C16" s="30" t="s">
        <v>674</v>
      </c>
      <c r="D16" s="30" t="s">
        <v>95</v>
      </c>
      <c r="E16" s="30" t="s">
        <v>190</v>
      </c>
      <c r="F16" s="42">
        <v>300</v>
      </c>
      <c r="G16" s="42">
        <v>350</v>
      </c>
      <c r="H16" s="42">
        <v>21009</v>
      </c>
      <c r="I16" s="42">
        <v>21980</v>
      </c>
      <c r="J16" s="30" t="s">
        <v>191</v>
      </c>
      <c r="K16" s="42">
        <v>20338</v>
      </c>
      <c r="L16" s="131" t="s">
        <v>50</v>
      </c>
      <c r="M16" s="132">
        <f>CONVERT((I16-K16)/10000,"mi","ft")*IF(L16="Increasing Mileposts (1)",-1,1)</f>
        <v>-866.976</v>
      </c>
      <c r="N16" s="133" t="str">
        <f>VLOOKUP(C16,'Trips&amp;Operators'!$C$1:$G$99911,5,FALSE)</f>
        <v>HOLCOMB KAMDEN</v>
      </c>
      <c r="O16" s="175" t="s">
        <v>178</v>
      </c>
      <c r="P16" s="239"/>
      <c r="Q16" s="30"/>
      <c r="R16" s="81" t="str">
        <f>VLOOKUP(C16,'Train Runs'!$A$13:$AE$10222,31,0)</f>
        <v>aws s3 cp s3://rtdc.mdm.uploadarchive.raw/RTDC4060/ "%USERPROFILE%\AppData\Local\Temp\OnboardLogs"\RTDC4060\2018-01-06 --exclude "*" --recursive --include "*20180106*" &amp; "%USERPROFILE%\Documents\GitHub\mrs-test-scripts\Headless Mode &amp; Sideloading\WalkAndUnGZ.bat" "%USERPROFILE%\AppData\Local\Temp\OnboardLogs"\RTDC4060\2018-01-06 &amp; aws s3 cp s3://rtdc.mdm.uploadarchive.raw/RTDC4060/ "%USERPROFILE%\AppData\Local\Temp\OnboardLogs"\RTDC4060\2018-01-07 --exclude "*" --recursive --include "*20180107*" &amp; "%USERPROFILE%\Documents\GitHub\mrs-test-scripts\Headless Mode &amp; Sideloading\WalkAndUnGZ.bat" "%USERPROFILE%\AppData\Local\Temp\OnboardLogs"\RTDC4060\2018-01-07</v>
      </c>
      <c r="S16" s="84" t="str">
        <f>VLOOKUP(C16,'Train Runs'!$A$13:$AE$10222,22,0)</f>
        <v>https://d0f6bd738d7f1b3e5a7ca70fe4ff75f0.us-east-1.aws.found.io/app/kibana#/discover/Steve-Slow-Train-Analysis-(2080s-and-2083s)?_g=(refreshInterval:(display:Off,pause:!f,section:0,value:0),time:(from:'2018-01-06T15:07:29-0700',mode:absolute,to:'2018-01-06T17:39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T16" s="86" t="str">
        <f>astrogrep_path&amp;" /e /r /s /spath="&amp;search_path&amp;" /stypes=""*"&amp;U16&amp;"*"&amp;TEXT(A16-utc_offset/24,"YYYYMMDD")&amp;LEFT(TEXT(A16-utc_offset/24,"HH"),1)&amp;"*"" /stext="" "&amp;TEXT(A16-utc_offset/24,"HH")&amp;search_regexp&amp;""""</f>
        <v>"C:\Program Files (x86)\AstroGrep\AstroGrep.exe" /e /r /s /spath="%USERPROFILE%\AppData\Local\Temp\OnboardLogs" /stypes="*4060*201801062*" /stext=" 23:.+((SYSTEM_STATE.+slice.+state.+changed )|(ment ac)|(multiple cpu faults)|(system.+state.+changed )|(\[timeout)|(PRM\|1\|D)|(kpr)|(kdp)|(train st.+moving)|(\|lc)|(penalty))"</v>
      </c>
      <c r="U16" s="9" t="str">
        <f>MID(B16,13,4)</f>
        <v>4060</v>
      </c>
      <c r="V16" s="31">
        <f>A16-utc_offset/24</f>
        <v>43106.972754629627</v>
      </c>
      <c r="W16" s="45" t="str">
        <f>DetSubdiv(C16)</f>
        <v>EC</v>
      </c>
      <c r="X16" s="228">
        <f>VALUE(LEFT(C16,LEN(C16)-3))</f>
        <v>201</v>
      </c>
      <c r="Y16" s="238" t="str">
        <f>"echo {""issue"":{""subject"":"""&amp;P16&amp;""",""project_id"":79,""tracker_id"":40,""status_id"":"&amp;redmine_status&amp;",""priority_id"":"&amp;redmine_priority&amp;",""assigned_to_id"":"&amp;redmine_assignee&amp;",""start_date"":"""&amp;TEXT(A16,"YYYY-mm-dd")&amp;""",""description"":"""&amp;Z16&amp;""",""custom_fields"":[{""id"":1,""name"":""Subdivision"",""value"":"""&amp;W16&amp;"""},{""id"":4,""name"":""Milepost"",""value"":"""&amp;K16/10000&amp;"""},{""id"":17,""name"":""Train ID"",""value"":"""&amp;C16&amp;"""},{""id"":16,""name"":""Locomotive ID"",""value"":"""&amp;U16&amp;"""},{""id"":130,""name"":""Impact"",""value"":"""&amp;AA16&amp;"""},{""id"":150,""name"":""Time of Event (Mountain Time)"",""value"":"""&amp;TEXT(A16,"hh:mm:ss")&amp;"""},{""id"":151,""name"":""Denver Issue ID"",""value"":"""&amp;"""},{""id"":178,""name"":""Operational Impact"",""value"":"""&amp;redmine_op_impact&amp;"""},{""id"":179,""name"":""Denver Segment Assigned"",""value"":"""&amp;AB16&amp;"""}]}}"&amp;"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{"issue":{"subject":"","project_id":79,"tracker_id":40,"status_id":1,"priority_id":2,"assigned_to_id":338,"start_date":"2018-01-06","description":"","custom_fields":[{"id":1,"name":"Subdivision","value":"EC"},{"id":4,"name":"Milepost","value":"2.0338"},{"id":17,"name":"Train ID","value":"201-06"},{"id":16,"name":"Locomotive ID","value":"4060"},{"id":130,"name":"Impact","value":""},{"id":150,"name":"Time of Event (Mountain Time)","value":"16:20:46"},{"id":151,"name":"Denver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6" s="158"/>
      <c r="AA16" s="231"/>
      <c r="AB16" s="231"/>
      <c r="AC16" s="115" t="str">
        <f>"grep -hrE -A400 ""Enforcement Action"" "&amp;"/c/Users/stu/AppData/Local/Temp/OnboardLogs"&amp;"/RTDC"&amp;U16&amp;" --include=""*"&amp;U16&amp;"*"&amp;TEXT(A16-utc_offset/24,"YYYYMMDD")&amp;LEFT(TEXT(A16-utc_offset/24,"HH"),1)&amp;"*"" | grep -E ""((Enforcement Ac)|(PRM))"" -"</f>
        <v>grep -hrE -A400 "Enforcement Action" /c/Users/stu/AppData/Local/Temp/OnboardLogs/RTDC4060 --include="*4060*201801062*"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"%USERPROFILE%\AppData\Local\Temp\OnboardLogs"\RTDC4060\*4060*201801062* &gt;&gt; 2018-01-06-SliceDisagreementCheck.txt</v>
      </c>
      <c r="AE16" s="144" t="str">
        <f t="shared" si="1"/>
        <v>start /low /b %USERPROFILE%\Documents\GitHub\eaglep3\Utilities\DownloadLogsFromS3.py --loco 4060 --day 2018-01-06</v>
      </c>
      <c r="AF16" s="1"/>
    </row>
    <row r="17" spans="1:16384" x14ac:dyDescent="0.3">
      <c r="A17" s="31">
        <v>43106.456689814811</v>
      </c>
      <c r="B17" s="30" t="s">
        <v>386</v>
      </c>
      <c r="C17" s="30" t="s">
        <v>670</v>
      </c>
      <c r="D17" s="30" t="s">
        <v>49</v>
      </c>
      <c r="E17" s="30" t="s">
        <v>190</v>
      </c>
      <c r="F17" s="42">
        <v>300</v>
      </c>
      <c r="G17" s="42">
        <v>395</v>
      </c>
      <c r="H17" s="42">
        <v>22664</v>
      </c>
      <c r="I17" s="42">
        <v>21707</v>
      </c>
      <c r="J17" s="30" t="s">
        <v>191</v>
      </c>
      <c r="K17" s="42">
        <v>21848</v>
      </c>
      <c r="L17" s="131" t="s">
        <v>51</v>
      </c>
      <c r="M17" s="132">
        <f>CONVERT((I17-K17)/10000,"mi","ft")*IF(L17="Increasing Mileposts (1)",-1,1)</f>
        <v>-74.447999999999993</v>
      </c>
      <c r="N17" s="133" t="str">
        <f>VLOOKUP(C17,'Trips&amp;Operators'!$C$1:$G$99911,5,FALSE)</f>
        <v>LOPES KIMBERLY</v>
      </c>
      <c r="O17" s="175" t="s">
        <v>178</v>
      </c>
      <c r="P17" s="239"/>
      <c r="Q17" s="30"/>
      <c r="R17" s="81" t="str">
        <f>VLOOKUP(C17,'Train Runs'!$A$13:$AE$10222,31,0)</f>
        <v>aws s3 cp s3://rtdc.mdm.uploadarchive.raw/RTDC4029/ "%USERPROFILE%\AppData\Local\Temp\OnboardLogs"\RTDC4029\2018-01-06 --exclude "*" --recursive --include "*20180106*" &amp; "%USERPROFILE%\Documents\GitHub\mrs-test-scripts\Headless Mode &amp; Sideloading\WalkAndUnGZ.bat" "%USERPROFILE%\AppData\Local\Temp\OnboardLogs"\RTDC4029\2018-01-06 &amp; aws s3 cp s3://rtdc.mdm.uploadarchive.raw/RTDC4029/ "%USERPROFILE%\AppData\Local\Temp\OnboardLogs"\RTDC4029\2018-01-07 --exclude "*" --recursive --include "*20180107*" &amp; "%USERPROFILE%\Documents\GitHub\mrs-test-scripts\Headless Mode &amp; Sideloading\WalkAndUnGZ.bat" "%USERPROFILE%\AppData\Local\Temp\OnboardLogs"\RTDC4029\2018-01-07</v>
      </c>
      <c r="S17" s="84" t="str">
        <f>VLOOKUP(C17,'Train Runs'!$A$13:$AE$10222,22,0)</f>
        <v>https://d0f6bd738d7f1b3e5a7ca70fe4ff75f0.us-east-1.aws.found.io/app/kibana#/discover/Steve-Slow-Train-Analysis-(2080s-and-2083s)?_g=(refreshInterval:(display:Off,pause:!f,section:0,value:0),time:(from:'2018-01-06T09:16:46-0700',mode:absolute,to:'2018-01-06T12:03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17" s="86" t="str">
        <f>astrogrep_path&amp;" /e /r /s /spath="&amp;search_path&amp;" /stypes=""*"&amp;U17&amp;"*"&amp;TEXT(A17-utc_offset/24,"YYYYMMDD")&amp;LEFT(TEXT(A17-utc_offset/24,"HH"),1)&amp;"*"" /stext="" "&amp;TEXT(A17-utc_offset/24,"HH")&amp;search_regexp&amp;""""</f>
        <v>"C:\Program Files (x86)\AstroGrep\AstroGrep.exe" /e /r /s /spath="%USERPROFILE%\AppData\Local\Temp\OnboardLogs" /stypes="*4029*201801061*" /stext=" 17:.+((SYSTEM_STATE.+slice.+state.+changed )|(ment ac)|(multiple cpu faults)|(system.+state.+changed )|(\[timeout)|(PRM\|1\|D)|(kpr)|(kdp)|(train st.+moving)|(\|lc)|(penalty))"</v>
      </c>
      <c r="U17" s="9" t="str">
        <f>MID(B17,13,4)</f>
        <v>4029</v>
      </c>
      <c r="V17" s="31">
        <f>A17-utc_offset/24</f>
        <v>43106.748356481476</v>
      </c>
      <c r="W17" s="45" t="str">
        <f>DetSubdiv(C17)</f>
        <v>EC</v>
      </c>
      <c r="X17" s="228">
        <f>VALUE(LEFT(C17,LEN(C17)-3))</f>
        <v>148</v>
      </c>
      <c r="Y17" s="238" t="str">
        <f>"echo {""issue"":{""subject"":"""&amp;P17&amp;""",""project_id"":79,""tracker_id"":40,""status_id"":"&amp;redmine_status&amp;",""priority_id"":"&amp;redmine_priority&amp;",""assigned_to_id"":"&amp;redmine_assignee&amp;",""start_date"":"""&amp;TEXT(A17,"YYYY-mm-dd")&amp;""",""description"":"""&amp;Z17&amp;""",""custom_fields"":[{""id"":1,""name"":""Subdivision"",""value"":"""&amp;W17&amp;"""},{""id"":4,""name"":""Milepost"",""value"":"""&amp;K17/10000&amp;"""},{""id"":17,""name"":""Train ID"",""value"":"""&amp;C17&amp;"""},{""id"":16,""name"":""Locomotive ID"",""value"":"""&amp;U17&amp;"""},{""id"":130,""name"":""Impact"",""value"":"""&amp;AA17&amp;"""},{""id"":150,""name"":""Time of Event (Mountain Time)"",""value"":"""&amp;TEXT(A17,"hh:mm:ss")&amp;"""},{""id"":151,""name"":""Denver Issue ID"",""value"":"""&amp;"""},{""id"":178,""name"":""Operational Impact"",""value"":"""&amp;redmine_op_impact&amp;"""},{""id"":179,""name"":""Denver Segment Assigned"",""value"":"""&amp;AB17&amp;"""}]}}"&amp;"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{"issue":{"subject":"","project_id":79,"tracker_id":40,"status_id":1,"priority_id":2,"assigned_to_id":338,"start_date":"2018-01-06","description":"","custom_fields":[{"id":1,"name":"Subdivision","value":"EC"},{"id":4,"name":"Milepost","value":"2.1848"},{"id":17,"name":"Train ID","value":"148-06"},{"id":16,"name":"Locomotive ID","value":"4029"},{"id":130,"name":"Impact","value":""},{"id":150,"name":"Time of Event (Mountain Time)","value":"10:57:38"},{"id":151,"name":"Denver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7" s="158"/>
      <c r="AA17" s="231"/>
      <c r="AB17" s="231"/>
      <c r="AC17" s="115" t="str">
        <f>"grep -hrE -A400 ""Enforcement Action"" "&amp;"/c/Users/stu/AppData/Local/Temp/OnboardLogs"&amp;"/RTDC"&amp;U17&amp;" --include=""*"&amp;U17&amp;"*"&amp;TEXT(A17-utc_offset/24,"YYYYMMDD")&amp;LEFT(TEXT(A17-utc_offset/24,"HH"),1)&amp;"*"" | grep -E ""((Enforcement Ac)|(PRM))"" -"</f>
        <v>grep -hrE -A400 "Enforcement Action" /c/Users/stu/AppData/Local/Temp/OnboardLogs/RTDC4029 --include="*4029*201801061*"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"%USERPROFILE%\AppData\Local\Temp\OnboardLogs"\RTDC4029\*4029*201801061* &gt;&gt; 2018-01-06-SliceDisagreementCheck.txt</v>
      </c>
      <c r="AE17" s="144" t="str">
        <f t="shared" si="1"/>
        <v>start /low /b %USERPROFILE%\Documents\GitHub\eaglep3\Utilities\DownloadLogsFromS3.py --loco 4029 --day 2018-01-06</v>
      </c>
      <c r="AF17" s="1"/>
    </row>
    <row r="18" spans="1:16384" x14ac:dyDescent="0.3">
      <c r="A18" s="31">
        <v>43106.863182870373</v>
      </c>
      <c r="B18" s="30" t="s">
        <v>517</v>
      </c>
      <c r="C18" s="30" t="s">
        <v>681</v>
      </c>
      <c r="D18" s="30" t="s">
        <v>49</v>
      </c>
      <c r="E18" s="30" t="s">
        <v>190</v>
      </c>
      <c r="F18" s="42">
        <v>400</v>
      </c>
      <c r="G18" s="42">
        <v>489</v>
      </c>
      <c r="H18" s="42">
        <v>120946</v>
      </c>
      <c r="I18" s="42">
        <v>119387</v>
      </c>
      <c r="J18" s="30" t="s">
        <v>191</v>
      </c>
      <c r="K18" s="42">
        <v>119716</v>
      </c>
      <c r="L18" s="131" t="s">
        <v>51</v>
      </c>
      <c r="M18" s="132">
        <f>CONVERT((I18-K18)/10000,"mi","ft")*IF(L18="Increasing Mileposts (1)",-1,1)</f>
        <v>-173.71199999999999</v>
      </c>
      <c r="N18" s="133" t="str">
        <f>VLOOKUP(C18,'Trips&amp;Operators'!$C$1:$G$99911,5,FALSE)</f>
        <v>FORTUNATO FRANK</v>
      </c>
      <c r="O18" s="175" t="s">
        <v>178</v>
      </c>
      <c r="P18" s="239"/>
      <c r="Q18" s="30"/>
      <c r="R18" s="81" t="str">
        <f>VLOOKUP(C18,'Train Runs'!$A$13:$AE$10222,31,0)</f>
        <v>aws s3 cp s3://rtdc.mdm.uploadarchive.raw/RTDC4063/ "%USERPROFILE%\AppData\Local\Temp\OnboardLogs"\RTDC4063\2018-01-06 --exclude "*" --recursive --include "*20180106*" &amp; "%USERPROFILE%\Documents\GitHub\mrs-test-scripts\Headless Mode &amp; Sideloading\WalkAndUnGZ.bat" "%USERPROFILE%\AppData\Local\Temp\OnboardLogs"\RTDC4063\2018-01-06 &amp; aws s3 cp s3://rtdc.mdm.uploadarchive.raw/RTDC4063/ "%USERPROFILE%\AppData\Local\Temp\OnboardLogs"\RTDC4063\2018-01-07 --exclude "*" --recursive --include "*20180107*" &amp; "%USERPROFILE%\Documents\GitHub\mrs-test-scripts\Headless Mode &amp; Sideloading\WalkAndUnGZ.bat" "%USERPROFILE%\AppData\Local\Temp\OnboardLogs"\RTDC4063\2018-01-07</v>
      </c>
      <c r="S18" s="84" t="str">
        <f>VLOOKUP(C18,'Train Runs'!$A$13:$AE$10222,22,0)</f>
        <v>https://d0f6bd738d7f1b3e5a7ca70fe4ff75f0.us-east-1.aws.found.io/app/kibana#/discover/Steve-Slow-Train-Analysis-(2080s-and-2083s)?_g=(refreshInterval:(display:Off,pause:!f,section:0,value:0),time:(from:'2018-01-06T19:07:53-0700',mode:absolute,to:'2018-01-06T22:07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18" s="86" t="str">
        <f>astrogrep_path&amp;" /e /r /s /spath="&amp;search_path&amp;" /stypes=""*"&amp;U18&amp;"*"&amp;TEXT(A18-utc_offset/24,"YYYYMMDD")&amp;LEFT(TEXT(A18-utc_offset/24,"HH"),1)&amp;"*"" /stext="" "&amp;TEXT(A18-utc_offset/24,"HH")&amp;search_regexp&amp;""""</f>
        <v>"C:\Program Files (x86)\AstroGrep\AstroGrep.exe" /e /r /s /spath="%USERPROFILE%\AppData\Local\Temp\OnboardLogs" /stypes="*4063*201801070*" /stext=" 03:.+((SYSTEM_STATE.+slice.+state.+changed )|(ment ac)|(multiple cpu faults)|(system.+state.+changed )|(\[timeout)|(PRM\|1\|D)|(kpr)|(kdp)|(train st.+moving)|(\|lc)|(penalty))"</v>
      </c>
      <c r="U18" s="9" t="str">
        <f>MID(B18,13,4)</f>
        <v>4063</v>
      </c>
      <c r="V18" s="31">
        <f>A18-utc_offset/24</f>
        <v>43107.154849537037</v>
      </c>
      <c r="W18" s="45" t="str">
        <f>DetSubdiv(C18)</f>
        <v>EC</v>
      </c>
      <c r="X18" s="228">
        <f>VALUE(LEFT(C18,LEN(C18)-3))</f>
        <v>224</v>
      </c>
      <c r="Y18" s="238" t="str">
        <f>"echo {""issue"":{""subject"":"""&amp;P18&amp;""",""project_id"":79,""tracker_id"":40,""status_id"":"&amp;redmine_status&amp;",""priority_id"":"&amp;redmine_priority&amp;",""assigned_to_id"":"&amp;redmine_assignee&amp;",""start_date"":"""&amp;TEXT(A18,"YYYY-mm-dd")&amp;""",""description"":"""&amp;Z18&amp;""",""custom_fields"":[{""id"":1,""name"":""Subdivision"",""value"":"""&amp;W18&amp;"""},{""id"":4,""name"":""Milepost"",""value"":"""&amp;K18/10000&amp;"""},{""id"":17,""name"":""Train ID"",""value"":"""&amp;C18&amp;"""},{""id"":16,""name"":""Locomotive ID"",""value"":"""&amp;U18&amp;"""},{""id"":130,""name"":""Impact"",""value"":"""&amp;AA18&amp;"""},{""id"":150,""name"":""Time of Event (Mountain Time)"",""value"":"""&amp;TEXT(A18,"hh:mm:ss")&amp;"""},{""id"":151,""name"":""Denver Issue ID"",""value"":"""&amp;"""},{""id"":178,""name"":""Operational Impact"",""value"":"""&amp;redmine_op_impact&amp;"""},{""id"":179,""name"":""Denver Segment Assigned"",""value"":"""&amp;AB18&amp;"""}]}}"&amp;"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{"issue":{"subject":"","project_id":79,"tracker_id":40,"status_id":1,"priority_id":2,"assigned_to_id":338,"start_date":"2018-01-06","description":"","custom_fields":[{"id":1,"name":"Subdivision","value":"EC"},{"id":4,"name":"Milepost","value":"11.9716"},{"id":17,"name":"Train ID","value":"224-06"},{"id":16,"name":"Locomotive ID","value":"4063"},{"id":130,"name":"Impact","value":""},{"id":150,"name":"Time of Event (Mountain Time)","value":"20:42:59"},{"id":151,"name":"Denver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8" s="158"/>
      <c r="AA18" s="231"/>
      <c r="AB18" s="231"/>
      <c r="AC18" s="115" t="str">
        <f>"grep -hrE -A400 ""Enforcement Action"" "&amp;"/c/Users/stu/AppData/Local/Temp/OnboardLogs"&amp;"/RTDC"&amp;U18&amp;" --include=""*"&amp;U18&amp;"*"&amp;TEXT(A18-utc_offset/24,"YYYYMMDD")&amp;LEFT(TEXT(A18-utc_offset/24,"HH"),1)&amp;"*"" | grep -E ""((Enforcement Ac)|(PRM))"" -"</f>
        <v>grep -hrE -A400 "Enforcement Action" /c/Users/stu/AppData/Local/Temp/OnboardLogs/RTDC4063 --include="*4063*201801070*"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"%USERPROFILE%\AppData\Local\Temp\OnboardLogs"\RTDC4063\*4063*201801070* &gt;&gt; 2018-01-06-SliceDisagreementCheck.txt</v>
      </c>
      <c r="AE18" s="144" t="str">
        <f t="shared" si="1"/>
        <v>start /low /b %USERPROFILE%\Documents\GitHub\eaglep3\Utilities\DownloadLogsFromS3.py --loco 4063 --day 2018-01-07</v>
      </c>
      <c r="AF18" s="1"/>
    </row>
    <row r="19" spans="1:16384" x14ac:dyDescent="0.3">
      <c r="A19" s="31">
        <v>43106.836238425924</v>
      </c>
      <c r="B19" s="30" t="s">
        <v>580</v>
      </c>
      <c r="C19" s="30" t="s">
        <v>679</v>
      </c>
      <c r="D19" s="30" t="s">
        <v>95</v>
      </c>
      <c r="E19" s="30" t="s">
        <v>190</v>
      </c>
      <c r="F19" s="42">
        <v>600</v>
      </c>
      <c r="G19" s="42">
        <v>652</v>
      </c>
      <c r="H19" s="42">
        <v>184413</v>
      </c>
      <c r="I19" s="42">
        <v>181534</v>
      </c>
      <c r="J19" s="30" t="s">
        <v>191</v>
      </c>
      <c r="K19" s="42">
        <v>191104</v>
      </c>
      <c r="L19" s="131" t="s">
        <v>51</v>
      </c>
      <c r="M19" s="132">
        <f>CONVERT((I19-K19)/10000,"mi","ft")*IF(L19="Increasing Mileposts (1)",-1,1)</f>
        <v>-5052.96</v>
      </c>
      <c r="N19" s="133" t="str">
        <f>VLOOKUP(C19,'Trips&amp;Operators'!$C$1:$G$99911,5,FALSE)</f>
        <v>ANDERS STEVEN</v>
      </c>
      <c r="O19" s="175" t="s">
        <v>178</v>
      </c>
      <c r="P19" s="239"/>
      <c r="Q19" s="30"/>
      <c r="R19" s="81" t="str">
        <f>VLOOKUP(C19,'Train Runs'!$A$13:$AE$10222,31,0)</f>
        <v>aws s3 cp s3://rtdc.mdm.uploadarchive.raw/RTDC4043/ "%USERPROFILE%\AppData\Local\Temp\OnboardLogs"\RTDC4043\2018-01-06 --exclude "*" --recursive --include "*20180106*" &amp; "%USERPROFILE%\Documents\GitHub\mrs-test-scripts\Headless Mode &amp; Sideloading\WalkAndUnGZ.bat" "%USERPROFILE%\AppData\Local\Temp\OnboardLogs"\RTDC4043\2018-01-06 &amp; aws s3 cp s3://rtdc.mdm.uploadarchive.raw/RTDC4043/ "%USERPROFILE%\AppData\Local\Temp\OnboardLogs"\RTDC4043\2018-01-07 --exclude "*" --recursive --include "*20180107*" &amp; "%USERPROFILE%\Documents\GitHub\mrs-test-scripts\Headless Mode &amp; Sideloading\WalkAndUnGZ.bat" "%USERPROFILE%\AppData\Local\Temp\OnboardLogs"\RTDC4043\2018-01-07</v>
      </c>
      <c r="S19" s="84" t="str">
        <f>VLOOKUP(C19,'Train Runs'!$A$13:$AE$10222,22,0)</f>
        <v>https://d0f6bd738d7f1b3e5a7ca70fe4ff75f0.us-east-1.aws.found.io/app/kibana#/discover/Steve-Slow-Train-Analysis-(2080s-and-2083s)?_g=(refreshInterval:(display:Off,pause:!f,section:0,value:0),time:(from:'2018-01-06T18:53:43-0700',mode:absolute,to:'2018-01-06T21:37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19" s="86" t="str">
        <f>astrogrep_path&amp;" /e /r /s /spath="&amp;search_path&amp;" /stypes=""*"&amp;U19&amp;"*"&amp;TEXT(A19-utc_offset/24,"YYYYMMDD")&amp;LEFT(TEXT(A19-utc_offset/24,"HH"),1)&amp;"*"" /stext="" "&amp;TEXT(A19-utc_offset/24,"HH")&amp;search_regexp&amp;""""</f>
        <v>"C:\Program Files (x86)\AstroGrep\AstroGrep.exe" /e /r /s /spath="%USERPROFILE%\AppData\Local\Temp\OnboardLogs" /stypes="*4043*201801070*" /stext=" 03:.+((SYSTEM_STATE.+slice.+state.+changed )|(ment ac)|(multiple cpu faults)|(system.+state.+changed )|(\[timeout)|(PRM\|1\|D)|(kpr)|(kdp)|(train st.+moving)|(\|lc)|(penalty))"</v>
      </c>
      <c r="U19" s="9" t="str">
        <f>MID(B19,13,4)</f>
        <v>4043</v>
      </c>
      <c r="V19" s="31">
        <f>A19-utc_offset/24</f>
        <v>43107.127905092588</v>
      </c>
      <c r="W19" s="45" t="str">
        <f>DetSubdiv(C19)</f>
        <v>EC</v>
      </c>
      <c r="X19" s="228">
        <f>VALUE(LEFT(C19,LEN(C19)-3))</f>
        <v>222</v>
      </c>
      <c r="Y19" s="238" t="str">
        <f>"echo {""issue"":{""subject"":"""&amp;P19&amp;""",""project_id"":79,""tracker_id"":40,""status_id"":"&amp;redmine_status&amp;",""priority_id"":"&amp;redmine_priority&amp;",""assigned_to_id"":"&amp;redmine_assignee&amp;",""start_date"":"""&amp;TEXT(A19,"YYYY-mm-dd")&amp;""",""description"":"""&amp;Z19&amp;""",""custom_fields"":[{""id"":1,""name"":""Subdivision"",""value"":"""&amp;W19&amp;"""},{""id"":4,""name"":""Milepost"",""value"":"""&amp;K19/10000&amp;"""},{""id"":17,""name"":""Train ID"",""value"":"""&amp;C19&amp;"""},{""id"":16,""name"":""Locomotive ID"",""value"":"""&amp;U19&amp;"""},{""id"":130,""name"":""Impact"",""value"":"""&amp;AA19&amp;"""},{""id"":150,""name"":""Time of Event (Mountain Time)"",""value"":"""&amp;TEXT(A19,"hh:mm:ss")&amp;"""},{""id"":151,""name"":""Denver Issue ID"",""value"":"""&amp;"""},{""id"":178,""name"":""Operational Impact"",""value"":"""&amp;redmine_op_impact&amp;"""},{""id"":179,""name"":""Denver Segment Assigned"",""value"":"""&amp;AB19&amp;"""}]}}"&amp;"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{"issue":{"subject":"","project_id":79,"tracker_id":40,"status_id":1,"priority_id":2,"assigned_to_id":338,"start_date":"2018-01-06","description":"","custom_fields":[{"id":1,"name":"Subdivision","value":"EC"},{"id":4,"name":"Milepost","value":"19.1104"},{"id":17,"name":"Train ID","value":"222-06"},{"id":16,"name":"Locomotive ID","value":"4043"},{"id":130,"name":"Impact","value":""},{"id":150,"name":"Time of Event (Mountain Time)","value":"20:04:11"},{"id":151,"name":"Denver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9" s="158"/>
      <c r="AA19" s="231"/>
      <c r="AB19" s="231"/>
      <c r="AC19" s="115" t="str">
        <f>"grep -hrE -A400 ""Enforcement Action"" "&amp;"/c/Users/stu/AppData/Local/Temp/OnboardLogs"&amp;"/RTDC"&amp;U19&amp;" --include=""*"&amp;U19&amp;"*"&amp;TEXT(A19-utc_offset/24,"YYYYMMDD")&amp;LEFT(TEXT(A19-utc_offset/24,"HH"),1)&amp;"*"" | grep -E ""((Enforcement Ac)|(PRM))"" -"</f>
        <v>grep -hrE -A400 "Enforcement Action" /c/Users/stu/AppData/Local/Temp/OnboardLogs/RTDC4043 --include="*4043*201801070*"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"%USERPROFILE%\AppData\Local\Temp\OnboardLogs"\RTDC4043\*4043*201801070* &gt;&gt; 2018-01-06-SliceDisagreementCheck.txt</v>
      </c>
      <c r="AE19" s="144" t="str">
        <f t="shared" si="1"/>
        <v>start /low /b %USERPROFILE%\Documents\GitHub\eaglep3\Utilities\DownloadLogsFromS3.py --loco 4043 --day 2018-01-07</v>
      </c>
      <c r="AF19" s="1"/>
    </row>
    <row r="20" spans="1:16384" x14ac:dyDescent="0.3">
      <c r="A20" s="31">
        <v>43106.340844907405</v>
      </c>
      <c r="B20" s="30" t="s">
        <v>370</v>
      </c>
      <c r="C20" s="30" t="s">
        <v>665</v>
      </c>
      <c r="D20" s="30" t="s">
        <v>49</v>
      </c>
      <c r="E20" s="30" t="s">
        <v>354</v>
      </c>
      <c r="F20" s="42">
        <v>0</v>
      </c>
      <c r="G20" s="42">
        <v>456</v>
      </c>
      <c r="H20" s="42">
        <v>40541</v>
      </c>
      <c r="I20" s="42">
        <v>42070</v>
      </c>
      <c r="J20" s="30" t="s">
        <v>355</v>
      </c>
      <c r="K20" s="42">
        <v>43651</v>
      </c>
      <c r="L20" s="131" t="s">
        <v>50</v>
      </c>
      <c r="M20" s="132">
        <f>CONVERT((I20-K20)/10000,"mi","ft")*IF(L20="Increasing Mileposts (1)",-1,1)</f>
        <v>834.76800000000003</v>
      </c>
      <c r="N20" s="133" t="str">
        <f>VLOOKUP(C20,'Trips&amp;Operators'!$C$1:$G$99911,5,FALSE)</f>
        <v>GEBRETEKLE DAGNEW</v>
      </c>
      <c r="O20" s="175" t="s">
        <v>348</v>
      </c>
      <c r="P20" s="239" t="s">
        <v>464</v>
      </c>
      <c r="Q20" s="30"/>
      <c r="R20" s="81" t="str">
        <f>VLOOKUP(C20,'Train Runs'!$A$13:$AE$10222,31,0)</f>
        <v>aws s3 cp s3://rtdc.mdm.uploadarchive.raw/RTDC4012/ "%USERPROFILE%\AppData\Local\Temp\OnboardLogs"\RTDC4012\2018-01-06 --exclude "*" --recursive --include "*20180106*" &amp; "%USERPROFILE%\Documents\GitHub\mrs-test-scripts\Headless Mode &amp; Sideloading\WalkAndUnGZ.bat" "%USERPROFILE%\AppData\Local\Temp\OnboardLogs"\RTDC4012\2018-01-06 &amp; aws s3 cp s3://rtdc.mdm.uploadarchive.raw/RTDC4012/ "%USERPROFILE%\AppData\Local\Temp\OnboardLogs"\RTDC4012\2018-01-07 --exclude "*" --recursive --include "*20180107*" &amp; "%USERPROFILE%\Documents\GitHub\mrs-test-scripts\Headless Mode &amp; Sideloading\WalkAndUnGZ.bat" "%USERPROFILE%\AppData\Local\Temp\OnboardLogs"\RTDC4012\2018-01-07</v>
      </c>
      <c r="S20" s="84" t="str">
        <f>VLOOKUP(C20,'Train Runs'!$A$13:$AE$10222,22,0)</f>
        <v>https://d0f6bd738d7f1b3e5a7ca70fe4ff75f0.us-east-1.aws.found.io/app/kibana#/discover/Steve-Slow-Train-Analysis-(2080s-and-2083s)?_g=(refreshInterval:(display:Off,pause:!f,section:0,value:0),time:(from:'2018-01-06T06:55:08-0700',mode:absolute,to:'2018-01-06T09:37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20" s="86" t="str">
        <f>astrogrep_path&amp;" /e /r /s /spath="&amp;search_path&amp;" /stypes=""*"&amp;U20&amp;"*"&amp;TEXT(A20-utc_offset/24,"YYYYMMDD")&amp;LEFT(TEXT(A20-utc_offset/24,"HH"),1)&amp;"*"" /stext="" "&amp;TEXT(A20-utc_offset/24,"HH")&amp;search_regexp&amp;""""</f>
        <v>"C:\Program Files (x86)\AstroGrep\AstroGrep.exe" /e /r /s /spath="%USERPROFILE%\AppData\Local\Temp\OnboardLogs" /stypes="*4012*201801061*" /stext=" 15:.+((SYSTEM_STATE.+slice.+state.+changed )|(ment ac)|(multiple cpu faults)|(system.+state.+changed )|(\[timeout)|(PRM\|1\|D)|(kpr)|(kdp)|(train st.+moving)|(\|lc)|(penalty))"</v>
      </c>
      <c r="U20" s="9" t="str">
        <f>MID(B20,13,4)</f>
        <v>4012</v>
      </c>
      <c r="V20" s="31">
        <f>A20-utc_offset/24</f>
        <v>43106.632511574069</v>
      </c>
      <c r="W20" s="45" t="str">
        <f>DetSubdiv(C20)</f>
        <v>EC</v>
      </c>
      <c r="X20" s="228">
        <f>VALUE(LEFT(C20,LEN(C20)-3))</f>
        <v>135</v>
      </c>
      <c r="Y20" s="238" t="str">
        <f>"echo {""issue"":{""subject"":"""&amp;P20&amp;""",""project_id"":79,""tracker_id"":40,""status_id"":"&amp;redmine_status&amp;",""priority_id"":"&amp;redmine_priority&amp;",""assigned_to_id"":"&amp;redmine_assignee&amp;",""start_date"":"""&amp;TEXT(A20,"YYYY-mm-dd")&amp;""",""description"":"""&amp;Z20&amp;""",""custom_fields"":[{""id"":1,""name"":""Subdivision"",""value"":"""&amp;W20&amp;"""},{""id"":4,""name"":""Milepost"",""value"":"""&amp;K20/10000&amp;"""},{""id"":17,""name"":""Train ID"",""value"":"""&amp;C20&amp;"""},{""id"":16,""name"":""Locomotive ID"",""value"":"""&amp;U20&amp;"""},{""id"":130,""name"":""Impact"",""value"":"""&amp;AA20&amp;"""},{""id"":150,""name"":""Time of Event (Mountain Time)"",""value"":"""&amp;TEXT(A20,"hh:mm:ss")&amp;"""},{""id"":151,""name"":""Denver Issue ID"",""value"":"""&amp;"""},{""id"":178,""name"":""Operational Impact"",""value"":"""&amp;redmine_op_impact&amp;"""},{""id"":179,""name"":""Denver Segment Assigned"",""value"":"""&amp;AB20&amp;"""}]}}"&amp;"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drop","project_id":79,"tracker_id":40,"status_id":1,"priority_id":2,"assigned_to_id":338,"start_date":"2018-01-06","description":"","custom_fields":[{"id":1,"name":"Subdivision","value":"EC"},{"id":4,"name":"Milepost","value":"4.3651"},{"id":17,"name":"Train ID","value":"135-06"},{"id":16,"name":"Locomotive ID","value":"4012"},{"id":130,"name":"Impact","value":""},{"id":150,"name":"Time of Event (Mountain Time)","value":"08:10:49"},{"id":151,"name":"Denver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0" s="158"/>
      <c r="AA20" s="231"/>
      <c r="AB20" s="231"/>
      <c r="AC20" s="115" t="str">
        <f>"grep -hrE -A400 ""Enforcement Action"" "&amp;"/c/Users/stu/AppData/Local/Temp/OnboardLogs"&amp;"/RTDC"&amp;U20&amp;" --include=""*"&amp;U20&amp;"*"&amp;TEXT(A20-utc_offset/24,"YYYYMMDD")&amp;LEFT(TEXT(A20-utc_offset/24,"HH"),1)&amp;"*"" | grep -E ""((Enforcement Ac)|(PRM))"" -"</f>
        <v>grep -hrE -A400 "Enforcement Action" /c/Users/stu/AppData/Local/Temp/OnboardLogs/RTDC4012 --include="*4012*201801061*"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"%USERPROFILE%\AppData\Local\Temp\OnboardLogs"\RTDC4012\*4012*201801061* &gt;&gt; 2018-01-06-SliceDisagreementCheck.txt</v>
      </c>
      <c r="AE20" s="144" t="str">
        <f t="shared" si="1"/>
        <v>start /low /b %USERPROFILE%\Documents\GitHub\eaglep3\Utilities\DownloadLogsFromS3.py --loco 4012 --day 2018-01-06</v>
      </c>
      <c r="AF20" s="1"/>
    </row>
    <row r="21" spans="1:16384" x14ac:dyDescent="0.3">
      <c r="A21" s="31">
        <v>43106.261006944442</v>
      </c>
      <c r="B21" s="30" t="s">
        <v>392</v>
      </c>
      <c r="C21" s="30" t="s">
        <v>659</v>
      </c>
      <c r="D21" s="30" t="s">
        <v>49</v>
      </c>
      <c r="E21" s="30" t="s">
        <v>354</v>
      </c>
      <c r="F21" s="42">
        <v>0</v>
      </c>
      <c r="G21" s="42">
        <v>773</v>
      </c>
      <c r="H21" s="42">
        <v>81351</v>
      </c>
      <c r="I21" s="42">
        <v>84734</v>
      </c>
      <c r="J21" s="30" t="s">
        <v>355</v>
      </c>
      <c r="K21" s="42">
        <v>81738</v>
      </c>
      <c r="L21" s="131" t="s">
        <v>50</v>
      </c>
      <c r="M21" s="132">
        <f>CONVERT((I21-K21)/10000,"mi","ft")*IF(L21="Increasing Mileposts (1)",-1,1)</f>
        <v>-1581.8879999999999</v>
      </c>
      <c r="N21" s="133" t="str">
        <f>VLOOKUP(C21,'Trips&amp;Operators'!$C$1:$G$99911,5,FALSE)</f>
        <v>LOPES KIMBERLY</v>
      </c>
      <c r="O21" s="175" t="s">
        <v>348</v>
      </c>
      <c r="P21" s="239" t="s">
        <v>464</v>
      </c>
      <c r="Q21" s="30"/>
      <c r="R21" s="81" t="str">
        <f>VLOOKUP(C21,'Train Runs'!$A$13:$AE$10222,31,0)</f>
        <v>aws s3 cp s3://rtdc.mdm.uploadarchive.raw/RTDC4030/ "%USERPROFILE%\AppData\Local\Temp\OnboardLogs"\RTDC4030\2018-01-06 --exclude "*" --recursive --include "*20180106*" &amp; "%USERPROFILE%\Documents\GitHub\mrs-test-scripts\Headless Mode &amp; Sideloading\WalkAndUnGZ.bat" "%USERPROFILE%\AppData\Local\Temp\OnboardLogs"\RTDC4030\2018-01-06 &amp; aws s3 cp s3://rtdc.mdm.uploadarchive.raw/RTDC4030/ "%USERPROFILE%\AppData\Local\Temp\OnboardLogs"\RTDC4030\2018-01-07 --exclude "*" --recursive --include "*20180107*" &amp; "%USERPROFILE%\Documents\GitHub\mrs-test-scripts\Headless Mode &amp; Sideloading\WalkAndUnGZ.bat" "%USERPROFILE%\AppData\Local\Temp\OnboardLogs"\RTDC4030\2018-01-07</v>
      </c>
      <c r="S21" s="84" t="str">
        <f>VLOOKUP(C21,'Train Runs'!$A$13:$AE$10222,22,0)</f>
        <v>https://d0f6bd738d7f1b3e5a7ca70fe4ff75f0.us-east-1.aws.found.io/app/kibana#/discover/Steve-Slow-Train-Analysis-(2080s-and-2083s)?_g=(refreshInterval:(display:Off,pause:!f,section:0,value:0),time:(from:'2018-01-06T04:51:23-0700',mode:absolute,to:'2018-01-06T07:36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21" s="86" t="str">
        <f>astrogrep_path&amp;" /e /r /s /spath="&amp;search_path&amp;" /stypes=""*"&amp;U21&amp;"*"&amp;TEXT(A21-utc_offset/24,"YYYYMMDD")&amp;LEFT(TEXT(A21-utc_offset/24,"HH"),1)&amp;"*"" /stext="" "&amp;TEXT(A21-utc_offset/24,"HH")&amp;search_regexp&amp;""""</f>
        <v>"C:\Program Files (x86)\AstroGrep\AstroGrep.exe" /e /r /s /spath="%USERPROFILE%\AppData\Local\Temp\OnboardLogs" /stypes="*4030*201801061*" /stext=" 13:.+((SYSTEM_STATE.+slice.+state.+changed )|(ment ac)|(multiple cpu faults)|(system.+state.+changed )|(\[timeout)|(PRM\|1\|D)|(kpr)|(kdp)|(train st.+moving)|(\|lc)|(penalty))"</v>
      </c>
      <c r="U21" s="9" t="str">
        <f>MID(B21,13,4)</f>
        <v>4030</v>
      </c>
      <c r="V21" s="31">
        <f>A21-utc_offset/24</f>
        <v>43106.552673611106</v>
      </c>
      <c r="W21" s="45" t="str">
        <f>DetSubdiv(C21)</f>
        <v>EC</v>
      </c>
      <c r="X21" s="228">
        <f>VALUE(LEFT(C21,LEN(C21)-3))</f>
        <v>119</v>
      </c>
      <c r="Y21" s="238" t="str">
        <f>"echo {""issue"":{""subject"":"""&amp;P21&amp;""",""project_id"":79,""tracker_id"":40,""status_id"":"&amp;redmine_status&amp;",""priority_id"":"&amp;redmine_priority&amp;",""assigned_to_id"":"&amp;redmine_assignee&amp;",""start_date"":"""&amp;TEXT(A21,"YYYY-mm-dd")&amp;""",""description"":"""&amp;Z21&amp;""",""custom_fields"":[{""id"":1,""name"":""Subdivision"",""value"":"""&amp;W21&amp;"""},{""id"":4,""name"":""Milepost"",""value"":"""&amp;K21/10000&amp;"""},{""id"":17,""name"":""Train ID"",""value"":"""&amp;C21&amp;"""},{""id"":16,""name"":""Locomotive ID"",""value"":"""&amp;U21&amp;"""},{""id"":130,""name"":""Impact"",""value"":"""&amp;AA21&amp;"""},{""id"":150,""name"":""Time of Event (Mountain Time)"",""value"":"""&amp;TEXT(A21,"hh:mm:ss")&amp;"""},{""id"":151,""name"":""Denver Issue ID"",""value"":"""&amp;"""},{""id"":178,""name"":""Operational Impact"",""value"":"""&amp;redmine_op_impact&amp;"""},{""id"":179,""name"":""Denver Segment Assigned"",""value"":"""&amp;AB21&amp;"""}]}}"&amp;"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drop","project_id":79,"tracker_id":40,"status_id":1,"priority_id":2,"assigned_to_id":338,"start_date":"2018-01-06","description":"","custom_fields":[{"id":1,"name":"Subdivision","value":"EC"},{"id":4,"name":"Milepost","value":"8.1738"},{"id":17,"name":"Train ID","value":"119-06"},{"id":16,"name":"Locomotive ID","value":"4030"},{"id":130,"name":"Impact","value":""},{"id":150,"name":"Time of Event (Mountain Time)","value":"06:15:51"},{"id":151,"name":"Denver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1" s="158"/>
      <c r="AA21" s="231"/>
      <c r="AB21" s="231"/>
      <c r="AC21" s="115" t="str">
        <f>"grep -hrE -A400 ""Enforcement Action"" "&amp;"/c/Users/stu/AppData/Local/Temp/OnboardLogs"&amp;"/RTDC"&amp;U21&amp;" --include=""*"&amp;U21&amp;"*"&amp;TEXT(A21-utc_offset/24,"YYYYMMDD")&amp;LEFT(TEXT(A21-utc_offset/24,"HH"),1)&amp;"*"" | grep -E ""((Enforcement Ac)|(PRM))"" -"</f>
        <v>grep -hrE -A400 "Enforcement Action" /c/Users/stu/AppData/Local/Temp/OnboardLogs/RTDC4030 --include="*4030*201801061*"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"%USERPROFILE%\AppData\Local\Temp\OnboardLogs"\RTDC4030\*4030*201801061* &gt;&gt; 2018-01-06-SliceDisagreementCheck.txt</v>
      </c>
      <c r="AE21" s="144" t="str">
        <f t="shared" si="1"/>
        <v>start /low /b %USERPROFILE%\Documents\GitHub\eaglep3\Utilities\DownloadLogsFromS3.py --loco 4030 --day 2018-01-06</v>
      </c>
      <c r="AF21" s="1"/>
    </row>
    <row r="22" spans="1:16384" x14ac:dyDescent="0.3">
      <c r="A22" s="31">
        <v>43106.75271990741</v>
      </c>
      <c r="B22" s="30" t="s">
        <v>504</v>
      </c>
      <c r="C22" s="30" t="s">
        <v>676</v>
      </c>
      <c r="D22" s="30" t="s">
        <v>49</v>
      </c>
      <c r="E22" s="30" t="s">
        <v>354</v>
      </c>
      <c r="F22" s="42">
        <v>0</v>
      </c>
      <c r="G22" s="42">
        <v>264</v>
      </c>
      <c r="H22" s="42">
        <v>87568</v>
      </c>
      <c r="I22" s="42">
        <v>88455</v>
      </c>
      <c r="J22" s="30" t="s">
        <v>355</v>
      </c>
      <c r="K22" s="42">
        <v>87889</v>
      </c>
      <c r="L22" s="131" t="s">
        <v>50</v>
      </c>
      <c r="M22" s="132">
        <f>CONVERT((I22-K22)/10000,"mi","ft")*IF(L22="Increasing Mileposts (1)",-1,1)</f>
        <v>-298.84800000000001</v>
      </c>
      <c r="N22" s="133" t="str">
        <f>VLOOKUP(C22,'Trips&amp;Operators'!$C$1:$G$99911,5,FALSE)</f>
        <v>FORTUNATO FRANK</v>
      </c>
      <c r="O22" s="175" t="s">
        <v>348</v>
      </c>
      <c r="P22" s="239" t="s">
        <v>464</v>
      </c>
      <c r="Q22" s="30"/>
      <c r="R22" s="81" t="str">
        <f>VLOOKUP(C22,'Train Runs'!$A$13:$AE$10222,31,0)</f>
        <v>aws s3 cp s3://rtdc.mdm.uploadarchive.raw/RTDC4064/ "%USERPROFILE%\AppData\Local\Temp\OnboardLogs"\RTDC4064\2018-01-06 --exclude "*" --recursive --include "*20180106*" &amp; "%USERPROFILE%\Documents\GitHub\mrs-test-scripts\Headless Mode &amp; Sideloading\WalkAndUnGZ.bat" "%USERPROFILE%\AppData\Local\Temp\OnboardLogs"\RTDC4064\2018-01-06 &amp; aws s3 cp s3://rtdc.mdm.uploadarchive.raw/RTDC4064/ "%USERPROFILE%\AppData\Local\Temp\OnboardLogs"\RTDC4064\2018-01-07 --exclude "*" --recursive --include "*20180107*" &amp; "%USERPROFILE%\Documents\GitHub\mrs-test-scripts\Headless Mode &amp; Sideloading\WalkAndUnGZ.bat" "%USERPROFILE%\AppData\Local\Temp\OnboardLogs"\RTDC4064\2018-01-07</v>
      </c>
      <c r="S22" s="84" t="str">
        <f>VLOOKUP(C22,'Train Runs'!$A$13:$AE$10222,22,0)</f>
        <v>https://d0f6bd738d7f1b3e5a7ca70fe4ff75f0.us-east-1.aws.found.io/app/kibana#/discover/Steve-Slow-Train-Analysis-(2080s-and-2083s)?_g=(refreshInterval:(display:Off,pause:!f,section:0,value:0),time:(from:'2018-01-06T16:37:21-0700',mode:absolute,to:'2018-01-06T19:03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T22" s="86" t="str">
        <f>astrogrep_path&amp;" /e /r /s /spath="&amp;search_path&amp;" /stypes=""*"&amp;U22&amp;"*"&amp;TEXT(A22-utc_offset/24,"YYYYMMDD")&amp;LEFT(TEXT(A22-utc_offset/24,"HH"),1)&amp;"*"" /stext="" "&amp;TEXT(A22-utc_offset/24,"HH")&amp;search_regexp&amp;""""</f>
        <v>"C:\Program Files (x86)\AstroGrep\AstroGrep.exe" /e /r /s /spath="%USERPROFILE%\AppData\Local\Temp\OnboardLogs" /stypes="*4064*201801070*" /stext=" 01:.+((SYSTEM_STATE.+slice.+state.+changed )|(ment ac)|(multiple cpu faults)|(system.+state.+changed )|(\[timeout)|(PRM\|1\|D)|(kpr)|(kdp)|(train st.+moving)|(\|lc)|(penalty))"</v>
      </c>
      <c r="U22" s="9" t="str">
        <f>MID(B22,13,4)</f>
        <v>4064</v>
      </c>
      <c r="V22" s="31">
        <f>A22-utc_offset/24</f>
        <v>43107.044386574074</v>
      </c>
      <c r="W22" s="45" t="str">
        <f>DetSubdiv(C22)</f>
        <v>EC</v>
      </c>
      <c r="X22" s="228">
        <f>VALUE(LEFT(C22,LEN(C22)-3))</f>
        <v>213</v>
      </c>
      <c r="Y22" s="238" t="str">
        <f>"echo {""issue"":{""subject"":"""&amp;P22&amp;""",""project_id"":79,""tracker_id"":40,""status_id"":"&amp;redmine_status&amp;",""priority_id"":"&amp;redmine_priority&amp;",""assigned_to_id"":"&amp;redmine_assignee&amp;",""start_date"":"""&amp;TEXT(A22,"YYYY-mm-dd")&amp;""",""description"":"""&amp;Z22&amp;""",""custom_fields"":[{""id"":1,""name"":""Subdivision"",""value"":"""&amp;W22&amp;"""},{""id"":4,""name"":""Milepost"",""value"":"""&amp;K22/10000&amp;"""},{""id"":17,""name"":""Train ID"",""value"":"""&amp;C22&amp;"""},{""id"":16,""name"":""Locomotive ID"",""value"":"""&amp;U22&amp;"""},{""id"":130,""name"":""Impact"",""value"":"""&amp;AA22&amp;"""},{""id"":150,""name"":""Time of Event (Mountain Time)"",""value"":"""&amp;TEXT(A22,"hh:mm:ss")&amp;"""},{""id"":151,""name"":""Denver Issue ID"",""value"":"""&amp;"""},{""id"":178,""name"":""Operational Impact"",""value"":"""&amp;redmine_op_impact&amp;"""},{""id"":179,""name"":""Denver Segment Assigned"",""value"":"""&amp;AB22&amp;"""}]}}"&amp;"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drop","project_id":79,"tracker_id":40,"status_id":1,"priority_id":2,"assigned_to_id":338,"start_date":"2018-01-06","description":"","custom_fields":[{"id":1,"name":"Subdivision","value":"EC"},{"id":4,"name":"Milepost","value":"8.7889"},{"id":17,"name":"Train ID","value":"213-06"},{"id":16,"name":"Locomotive ID","value":"4064"},{"id":130,"name":"Impact","value":""},{"id":150,"name":"Time of Event (Mountain Time)","value":"18:03:55"},{"id":151,"name":"Denver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2" s="158"/>
      <c r="AA22" s="231"/>
      <c r="AB22" s="231"/>
      <c r="AC22" s="115" t="str">
        <f>"grep -hrE -A400 ""Enforcement Action"" "&amp;"/c/Users/stu/AppData/Local/Temp/OnboardLogs"&amp;"/RTDC"&amp;U22&amp;" --include=""*"&amp;U22&amp;"*"&amp;TEXT(A22-utc_offset/24,"YYYYMMDD")&amp;LEFT(TEXT(A22-utc_offset/24,"HH"),1)&amp;"*"" | grep -E ""((Enforcement Ac)|(PRM))"" -"</f>
        <v>grep -hrE -A400 "Enforcement Action" /c/Users/stu/AppData/Local/Temp/OnboardLogs/RTDC4064 --include="*4064*201801070*"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"%USERPROFILE%\AppData\Local\Temp\OnboardLogs"\RTDC4064\*4064*201801070* &gt;&gt; 2018-01-06-SliceDisagreementCheck.txt</v>
      </c>
      <c r="AE22" s="144" t="str">
        <f t="shared" si="1"/>
        <v>start /low /b %USERPROFILE%\Documents\GitHub\eaglep3\Utilities\DownloadLogsFromS3.py --loco 4064 --day 2018-01-07</v>
      </c>
      <c r="AF22" s="1"/>
    </row>
    <row r="23" spans="1:16384" x14ac:dyDescent="0.3">
      <c r="A23" s="31">
        <v>43106.694374999999</v>
      </c>
      <c r="B23" s="30" t="s">
        <v>357</v>
      </c>
      <c r="C23" s="30" t="s">
        <v>674</v>
      </c>
      <c r="D23" s="30" t="s">
        <v>49</v>
      </c>
      <c r="E23" s="30" t="s">
        <v>354</v>
      </c>
      <c r="F23" s="42">
        <v>0</v>
      </c>
      <c r="G23" s="42">
        <v>812</v>
      </c>
      <c r="H23" s="42">
        <v>141766</v>
      </c>
      <c r="I23" s="42">
        <v>146216</v>
      </c>
      <c r="J23" s="30" t="s">
        <v>355</v>
      </c>
      <c r="K23" s="42">
        <v>144300</v>
      </c>
      <c r="L23" s="131" t="s">
        <v>50</v>
      </c>
      <c r="M23" s="132">
        <f>CONVERT((I23-K23)/10000,"mi","ft")*IF(L23="Increasing Mileposts (1)",-1,1)</f>
        <v>-1011.648</v>
      </c>
      <c r="N23" s="133" t="str">
        <f>VLOOKUP(C23,'Trips&amp;Operators'!$C$1:$G$99911,5,FALSE)</f>
        <v>HOLCOMB KAMDEN</v>
      </c>
      <c r="O23" s="175" t="s">
        <v>348</v>
      </c>
      <c r="P23" s="239" t="s">
        <v>464</v>
      </c>
      <c r="Q23" s="30"/>
      <c r="R23" s="81" t="str">
        <f>VLOOKUP(C23,'Train Runs'!$A$13:$AE$10222,31,0)</f>
        <v>aws s3 cp s3://rtdc.mdm.uploadarchive.raw/RTDC4060/ "%USERPROFILE%\AppData\Local\Temp\OnboardLogs"\RTDC4060\2018-01-06 --exclude "*" --recursive --include "*20180106*" &amp; "%USERPROFILE%\Documents\GitHub\mrs-test-scripts\Headless Mode &amp; Sideloading\WalkAndUnGZ.bat" "%USERPROFILE%\AppData\Local\Temp\OnboardLogs"\RTDC4060\2018-01-06 &amp; aws s3 cp s3://rtdc.mdm.uploadarchive.raw/RTDC4060/ "%USERPROFILE%\AppData\Local\Temp\OnboardLogs"\RTDC4060\2018-01-07 --exclude "*" --recursive --include "*20180107*" &amp; "%USERPROFILE%\Documents\GitHub\mrs-test-scripts\Headless Mode &amp; Sideloading\WalkAndUnGZ.bat" "%USERPROFILE%\AppData\Local\Temp\OnboardLogs"\RTDC4060\2018-01-07</v>
      </c>
      <c r="S23" s="84" t="str">
        <f>VLOOKUP(C23,'Train Runs'!$A$13:$AE$10222,22,0)</f>
        <v>https://d0f6bd738d7f1b3e5a7ca70fe4ff75f0.us-east-1.aws.found.io/app/kibana#/discover/Steve-Slow-Train-Analysis-(2080s-and-2083s)?_g=(refreshInterval:(display:Off,pause:!f,section:0,value:0),time:(from:'2018-01-06T15:07:29-0700',mode:absolute,to:'2018-01-06T17:39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T23" s="86" t="str">
        <f>astrogrep_path&amp;" /e /r /s /spath="&amp;search_path&amp;" /stypes=""*"&amp;U23&amp;"*"&amp;TEXT(A23-utc_offset/24,"YYYYMMDD")&amp;LEFT(TEXT(A23-utc_offset/24,"HH"),1)&amp;"*"" /stext="" "&amp;TEXT(A23-utc_offset/24,"HH")&amp;search_regexp&amp;""""</f>
        <v>"C:\Program Files (x86)\AstroGrep\AstroGrep.exe" /e /r /s /spath="%USERPROFILE%\AppData\Local\Temp\OnboardLogs" /stypes="*4060*201801062*" /stext=" 23:.+((SYSTEM_STATE.+slice.+state.+changed )|(ment ac)|(multiple cpu faults)|(system.+state.+changed )|(\[timeout)|(PRM\|1\|D)|(kpr)|(kdp)|(train st.+moving)|(\|lc)|(penalty))"</v>
      </c>
      <c r="U23" s="9" t="str">
        <f>MID(B23,13,4)</f>
        <v>4060</v>
      </c>
      <c r="V23" s="31">
        <f>A23-utc_offset/24</f>
        <v>43106.986041666663</v>
      </c>
      <c r="W23" s="45" t="str">
        <f>DetSubdiv(C23)</f>
        <v>EC</v>
      </c>
      <c r="X23" s="228">
        <f>VALUE(LEFT(C23,LEN(C23)-3))</f>
        <v>201</v>
      </c>
      <c r="Y23" s="238" t="str">
        <f>"echo {""issue"":{""subject"":"""&amp;P23&amp;""",""project_id"":79,""tracker_id"":40,""status_id"":"&amp;redmine_status&amp;",""priority_id"":"&amp;redmine_priority&amp;",""assigned_to_id"":"&amp;redmine_assignee&amp;",""start_date"":"""&amp;TEXT(A23,"YYYY-mm-dd")&amp;""",""description"":"""&amp;Z23&amp;""",""custom_fields"":[{""id"":1,""name"":""Subdivision"",""value"":"""&amp;W23&amp;"""},{""id"":4,""name"":""Milepost"",""value"":"""&amp;K23/10000&amp;"""},{""id"":17,""name"":""Train ID"",""value"":"""&amp;C23&amp;"""},{""id"":16,""name"":""Locomotive ID"",""value"":"""&amp;U23&amp;"""},{""id"":130,""name"":""Impact"",""value"":"""&amp;AA23&amp;"""},{""id"":150,""name"":""Time of Event (Mountain Time)"",""value"":"""&amp;TEXT(A23,"hh:mm:ss")&amp;"""},{""id"":151,""name"":""Denver Issue ID"",""value"":"""&amp;"""},{""id"":178,""name"":""Operational Impact"",""value"":"""&amp;redmine_op_impact&amp;"""},{""id"":179,""name"":""Denver Segment Assigned"",""value"":"""&amp;AB23&amp;"""}]}}"&amp;"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drop","project_id":79,"tracker_id":40,"status_id":1,"priority_id":2,"assigned_to_id":338,"start_date":"2018-01-06","description":"","custom_fields":[{"id":1,"name":"Subdivision","value":"EC"},{"id":4,"name":"Milepost","value":"14.43"},{"id":17,"name":"Train ID","value":"201-06"},{"id":16,"name":"Locomotive ID","value":"4060"},{"id":130,"name":"Impact","value":""},{"id":150,"name":"Time of Event (Mountain Time)","value":"16:39:54"},{"id":151,"name":"Denver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3" s="158"/>
      <c r="AA23" s="231"/>
      <c r="AB23" s="231"/>
      <c r="AC23" s="115" t="str">
        <f>"grep -hrE -A400 ""Enforcement Action"" "&amp;"/c/Users/stu/AppData/Local/Temp/OnboardLogs"&amp;"/RTDC"&amp;U23&amp;" --include=""*"&amp;U23&amp;"*"&amp;TEXT(A23-utc_offset/24,"YYYYMMDD")&amp;LEFT(TEXT(A23-utc_offset/24,"HH"),1)&amp;"*"" | grep -E ""((Enforcement Ac)|(PRM))"" -"</f>
        <v>grep -hrE -A400 "Enforcement Action" /c/Users/stu/AppData/Local/Temp/OnboardLogs/RTDC4060 --include="*4060*201801062*"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"%USERPROFILE%\AppData\Local\Temp\OnboardLogs"\RTDC4060\*4060*201801062* &gt;&gt; 2018-01-06-SliceDisagreementCheck.txt</v>
      </c>
      <c r="AE23" s="144" t="str">
        <f t="shared" si="1"/>
        <v>start /low /b %USERPROFILE%\Documents\GitHub\eaglep3\Utilities\DownloadLogsFromS3.py --loco 4060 --day 2018-01-06</v>
      </c>
      <c r="AF23" s="1"/>
    </row>
    <row r="24" spans="1:16384" x14ac:dyDescent="0.3">
      <c r="A24" s="31">
        <v>43106.561122685183</v>
      </c>
      <c r="B24" s="30" t="s">
        <v>392</v>
      </c>
      <c r="C24" s="30" t="s">
        <v>672</v>
      </c>
      <c r="D24" s="30" t="s">
        <v>49</v>
      </c>
      <c r="E24" s="30" t="s">
        <v>354</v>
      </c>
      <c r="F24" s="42">
        <v>0</v>
      </c>
      <c r="G24" s="42">
        <v>775</v>
      </c>
      <c r="H24" s="42">
        <v>146104</v>
      </c>
      <c r="I24" s="42">
        <v>149426</v>
      </c>
      <c r="J24" s="30" t="s">
        <v>355</v>
      </c>
      <c r="K24" s="42">
        <v>149694</v>
      </c>
      <c r="L24" s="131" t="s">
        <v>50</v>
      </c>
      <c r="M24" s="132">
        <f>CONVERT((I24-K24)/10000,"mi","ft")*IF(L24="Increasing Mileposts (1)",-1,1)</f>
        <v>141.50399999999999</v>
      </c>
      <c r="N24" s="133" t="str">
        <f>VLOOKUP(C24,'Trips&amp;Operators'!$C$1:$G$99911,5,FALSE)</f>
        <v>DAVIS MICHAEL</v>
      </c>
      <c r="O24" s="175" t="s">
        <v>348</v>
      </c>
      <c r="P24" s="239" t="s">
        <v>464</v>
      </c>
      <c r="Q24" s="30"/>
      <c r="R24" s="81" t="str">
        <f>VLOOKUP(C24,'Train Runs'!$A$13:$AE$10222,31,0)</f>
        <v>aws s3 cp s3://rtdc.mdm.uploadarchive.raw/RTDC4030/ "%USERPROFILE%\AppData\Local\Temp\OnboardLogs"\RTDC4030\2018-01-06 --exclude "*" --recursive --include "*20180106*" &amp; "%USERPROFILE%\Documents\GitHub\mrs-test-scripts\Headless Mode &amp; Sideloading\WalkAndUnGZ.bat" "%USERPROFILE%\AppData\Local\Temp\OnboardLogs"\RTDC4030\2018-01-06 &amp; aws s3 cp s3://rtdc.mdm.uploadarchive.raw/RTDC4030/ "%USERPROFILE%\AppData\Local\Temp\OnboardLogs"\RTDC4030\2018-01-07 --exclude "*" --recursive --include "*20180107*" &amp; "%USERPROFILE%\Documents\GitHub\mrs-test-scripts\Headless Mode &amp; Sideloading\WalkAndUnGZ.bat" "%USERPROFILE%\AppData\Local\Temp\OnboardLogs"\RTDC4030\2018-01-07</v>
      </c>
      <c r="S24" s="84" t="str">
        <f>VLOOKUP(C24,'Train Runs'!$A$13:$AE$10222,22,0)</f>
        <v>https://d0f6bd738d7f1b3e5a7ca70fe4ff75f0.us-east-1.aws.found.io/app/kibana#/discover/Steve-Slow-Train-Analysis-(2080s-and-2083s)?_g=(refreshInterval:(display:Off,pause:!f,section:0,value:0),time:(from:'2018-01-06T11:57:57-0700',mode:absolute,to:'2018-01-06T14:40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24" s="86" t="str">
        <f>astrogrep_path&amp;" /e /r /s /spath="&amp;search_path&amp;" /stypes=""*"&amp;U24&amp;"*"&amp;TEXT(A24-utc_offset/24,"YYYYMMDD")&amp;LEFT(TEXT(A24-utc_offset/24,"HH"),1)&amp;"*"" /stext="" "&amp;TEXT(A24-utc_offset/24,"HH")&amp;search_regexp&amp;""""</f>
        <v>"C:\Program Files (x86)\AstroGrep\AstroGrep.exe" /e /r /s /spath="%USERPROFILE%\AppData\Local\Temp\OnboardLogs" /stypes="*4030*201801062*" /stext=" 20:.+((SYSTEM_STATE.+slice.+state.+changed )|(ment ac)|(multiple cpu faults)|(system.+state.+changed )|(\[timeout)|(PRM\|1\|D)|(kpr)|(kdp)|(train st.+moving)|(\|lc)|(penalty))"</v>
      </c>
      <c r="U24" s="9" t="str">
        <f>MID(B24,13,4)</f>
        <v>4030</v>
      </c>
      <c r="V24" s="31">
        <f>A24-utc_offset/24</f>
        <v>43106.852789351848</v>
      </c>
      <c r="W24" s="45" t="str">
        <f>DetSubdiv(C24)</f>
        <v>EC</v>
      </c>
      <c r="X24" s="228">
        <f>VALUE(LEFT(C24,LEN(C24)-3))</f>
        <v>175</v>
      </c>
      <c r="Y24" s="238" t="str">
        <f>"echo {""issue"":{""subject"":"""&amp;P24&amp;""",""project_id"":79,""tracker_id"":40,""status_id"":"&amp;redmine_status&amp;",""priority_id"":"&amp;redmine_priority&amp;",""assigned_to_id"":"&amp;redmine_assignee&amp;",""start_date"":"""&amp;TEXT(A24,"YYYY-mm-dd")&amp;""",""description"":"""&amp;Z24&amp;""",""custom_fields"":[{""id"":1,""name"":""Subdivision"",""value"":"""&amp;W24&amp;"""},{""id"":4,""name"":""Milepost"",""value"":"""&amp;K24/10000&amp;"""},{""id"":17,""name"":""Train ID"",""value"":"""&amp;C24&amp;"""},{""id"":16,""name"":""Locomotive ID"",""value"":"""&amp;U24&amp;"""},{""id"":130,""name"":""Impact"",""value"":"""&amp;AA24&amp;"""},{""id"":150,""name"":""Time of Event (Mountain Time)"",""value"":"""&amp;TEXT(A24,"hh:mm:ss")&amp;"""},{""id"":151,""name"":""Denver Issue ID"",""value"":"""&amp;"""},{""id"":178,""name"":""Operational Impact"",""value"":"""&amp;redmine_op_impact&amp;"""},{""id"":179,""name"":""Denver Segment Assigned"",""value"":"""&amp;AB24&amp;"""}]}}"&amp;"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drop","project_id":79,"tracker_id":40,"status_id":1,"priority_id":2,"assigned_to_id":338,"start_date":"2018-01-06","description":"","custom_fields":[{"id":1,"name":"Subdivision","value":"EC"},{"id":4,"name":"Milepost","value":"14.9694"},{"id":17,"name":"Train ID","value":"175-06"},{"id":16,"name":"Locomotive ID","value":"4030"},{"id":130,"name":"Impact","value":""},{"id":150,"name":"Time of Event (Mountain Time)","value":"13:28:01"},{"id":151,"name":"Denver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4" s="158"/>
      <c r="AA24" s="231"/>
      <c r="AB24" s="231"/>
      <c r="AC24" s="115" t="str">
        <f>"grep -hrE -A400 ""Enforcement Action"" "&amp;"/c/Users/stu/AppData/Local/Temp/OnboardLogs"&amp;"/RTDC"&amp;U24&amp;" --include=""*"&amp;U24&amp;"*"&amp;TEXT(A24-utc_offset/24,"YYYYMMDD")&amp;LEFT(TEXT(A24-utc_offset/24,"HH"),1)&amp;"*"" | grep -E ""((Enforcement Ac)|(PRM))"" -"</f>
        <v>grep -hrE -A400 "Enforcement Action" /c/Users/stu/AppData/Local/Temp/OnboardLogs/RTDC4030 --include="*4030*201801062*"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"%USERPROFILE%\AppData\Local\Temp\OnboardLogs"\RTDC4030\*4030*201801062* &gt;&gt; 2018-01-06-SliceDisagreementCheck.txt</v>
      </c>
      <c r="AE24" s="144" t="str">
        <f t="shared" si="1"/>
        <v>start /low /b %USERPROFILE%\Documents\GitHub\eaglep3\Utilities\DownloadLogsFromS3.py --loco 4030 --day 2018-01-06</v>
      </c>
      <c r="AF24" s="1"/>
    </row>
    <row r="25" spans="1:16384" x14ac:dyDescent="0.3">
      <c r="A25" s="31">
        <v>43106.272291666668</v>
      </c>
      <c r="B25" s="30" t="s">
        <v>362</v>
      </c>
      <c r="C25" s="30" t="s">
        <v>660</v>
      </c>
      <c r="D25" s="30" t="s">
        <v>49</v>
      </c>
      <c r="E25" s="30" t="s">
        <v>496</v>
      </c>
      <c r="F25" s="42">
        <v>0</v>
      </c>
      <c r="G25" s="42">
        <v>435</v>
      </c>
      <c r="H25" s="42">
        <v>13650</v>
      </c>
      <c r="I25" s="42">
        <v>12633</v>
      </c>
      <c r="J25" s="30" t="s">
        <v>497</v>
      </c>
      <c r="K25" s="42">
        <v>11880</v>
      </c>
      <c r="L25" s="131" t="s">
        <v>51</v>
      </c>
      <c r="M25" s="132">
        <f>CONVERT((I25-K25)/10000,"mi","ft")*IF(L25="Increasing Mileposts (1)",-1,1)</f>
        <v>397.584</v>
      </c>
      <c r="N25" s="133" t="str">
        <f>VLOOKUP(C25,'Trips&amp;Operators'!$C$1:$G$99911,5,FALSE)</f>
        <v>THOMPSON LESTER</v>
      </c>
      <c r="O25" s="175" t="s">
        <v>348</v>
      </c>
      <c r="P25" s="239" t="s">
        <v>464</v>
      </c>
      <c r="Q25" s="30"/>
      <c r="R25" s="81" t="str">
        <f>VLOOKUP(C25,'Train Runs'!$A$13:$AE$10222,31,0)</f>
        <v>aws s3 cp s3://rtdc.mdm.uploadarchive.raw/RTDC4017/ "%USERPROFILE%\AppData\Local\Temp\OnboardLogs"\RTDC4017\2018-01-06 --exclude "*" --recursive --include "*20180106*" &amp; "%USERPROFILE%\Documents\GitHub\mrs-test-scripts\Headless Mode &amp; Sideloading\WalkAndUnGZ.bat" "%USERPROFILE%\AppData\Local\Temp\OnboardLogs"\RTDC4017\2018-01-06 &amp; aws s3 cp s3://rtdc.mdm.uploadarchive.raw/RTDC4017/ "%USERPROFILE%\AppData\Local\Temp\OnboardLogs"\RTDC4017\2018-01-07 --exclude "*" --recursive --include "*20180107*" &amp; "%USERPROFILE%\Documents\GitHub\mrs-test-scripts\Headless Mode &amp; Sideloading\WalkAndUnGZ.bat" "%USERPROFILE%\AppData\Local\Temp\OnboardLogs"\RTDC4017\2018-01-07</v>
      </c>
      <c r="S25" s="84" t="str">
        <f>VLOOKUP(C25,'Train Runs'!$A$13:$AE$10222,22,0)</f>
        <v>https://d0f6bd738d7f1b3e5a7ca70fe4ff75f0.us-east-1.aws.found.io/app/kibana#/discover/Steve-Slow-Train-Analysis-(2080s-and-2083s)?_g=(refreshInterval:(display:Off,pause:!f,section:0,value:0),time:(from:'2018-01-06T04:55:01-0700',mode:absolute,to:'2018-01-06T07:37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25" s="86" t="str">
        <f>astrogrep_path&amp;" /e /r /s /spath="&amp;search_path&amp;" /stypes=""*"&amp;U25&amp;"*"&amp;TEXT(A25-utc_offset/24,"YYYYMMDD")&amp;LEFT(TEXT(A25-utc_offset/24,"HH"),1)&amp;"*"" /stext="" "&amp;TEXT(A25-utc_offset/24,"HH")&amp;search_regexp&amp;""""</f>
        <v>"C:\Program Files (x86)\AstroGrep\AstroGrep.exe" /e /r /s /spath="%USERPROFILE%\AppData\Local\Temp\OnboardLogs" /stypes="*4017*201801061*" /stext=" 13:.+((SYSTEM_STATE.+slice.+state.+changed )|(ment ac)|(multiple cpu faults)|(system.+state.+changed )|(\[timeout)|(PRM\|1\|D)|(kpr)|(kdp)|(train st.+moving)|(\|lc)|(penalty))"</v>
      </c>
      <c r="U25" s="9" t="str">
        <f>MID(B25,13,4)</f>
        <v>4017</v>
      </c>
      <c r="V25" s="31">
        <f>A25-utc_offset/24</f>
        <v>43106.563958333332</v>
      </c>
      <c r="W25" s="45" t="str">
        <f>DetSubdiv(C25)</f>
        <v>EC</v>
      </c>
      <c r="X25" s="228">
        <f>VALUE(LEFT(C25,LEN(C25)-3))</f>
        <v>112</v>
      </c>
      <c r="Y25" s="238" t="str">
        <f>"echo {""issue"":{""subject"":"""&amp;P25&amp;""",""project_id"":79,""tracker_id"":40,""status_id"":"&amp;redmine_status&amp;",""priority_id"":"&amp;redmine_priority&amp;",""assigned_to_id"":"&amp;redmine_assignee&amp;",""start_date"":"""&amp;TEXT(A25,"YYYY-mm-dd")&amp;""",""description"":"""&amp;Z25&amp;""",""custom_fields"":[{""id"":1,""name"":""Subdivision"",""value"":"""&amp;W25&amp;"""},{""id"":4,""name"":""Milepost"",""value"":"""&amp;K25/10000&amp;"""},{""id"":17,""name"":""Train ID"",""value"":"""&amp;C25&amp;"""},{""id"":16,""name"":""Locomotive ID"",""value"":"""&amp;U25&amp;"""},{""id"":130,""name"":""Impact"",""value"":"""&amp;AA25&amp;"""},{""id"":150,""name"":""Time of Event (Mountain Time)"",""value"":"""&amp;TEXT(A25,"hh:mm:ss")&amp;"""},{""id"":151,""name"":""Denver Issue ID"",""value"":"""&amp;"""},{""id"":178,""name"":""Operational Impact"",""value"":"""&amp;redmine_op_impact&amp;"""},{""id"":179,""name"":""Denver Segment Assigned"",""value"":"""&amp;AB25&amp;"""}]}}"&amp;"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drop","project_id":79,"tracker_id":40,"status_id":1,"priority_id":2,"assigned_to_id":338,"start_date":"2018-01-06","description":"","custom_fields":[{"id":1,"name":"Subdivision","value":"EC"},{"id":4,"name":"Milepost","value":"1.188"},{"id":17,"name":"Train ID","value":"112-06"},{"id":16,"name":"Locomotive ID","value":"4017"},{"id":130,"name":"Impact","value":""},{"id":150,"name":"Time of Event (Mountain Time)","value":"06:32:06"},{"id":151,"name":"Denver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5" s="158"/>
      <c r="AA25" s="231"/>
      <c r="AB25" s="231"/>
      <c r="AC25" s="115" t="str">
        <f>"grep -hrE -A400 ""Enforcement Action"" "&amp;"/c/Users/stu/AppData/Local/Temp/OnboardLogs"&amp;"/RTDC"&amp;U25&amp;" --include=""*"&amp;U25&amp;"*"&amp;TEXT(A25-utc_offset/24,"YYYYMMDD")&amp;LEFT(TEXT(A25-utc_offset/24,"HH"),1)&amp;"*"" | grep -E ""((Enforcement Ac)|(PRM))"" -"</f>
        <v>grep -hrE -A400 "Enforcement Action" /c/Users/stu/AppData/Local/Temp/OnboardLogs/RTDC4017 --include="*4017*201801061*"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"%USERPROFILE%\AppData\Local\Temp\OnboardLogs"\RTDC4017\*4017*201801061* &gt;&gt; 2018-01-06-SliceDisagreementCheck.txt</v>
      </c>
      <c r="AE25" s="144" t="str">
        <f t="shared" si="1"/>
        <v>start /low /b %USERPROFILE%\Documents\GitHub\eaglep3\Utilities\DownloadLogsFromS3.py --loco 4017 --day 2018-01-06</v>
      </c>
      <c r="AF25" s="1"/>
    </row>
    <row r="26" spans="1:16384" x14ac:dyDescent="0.3">
      <c r="A26" s="31">
        <v>43106.950659722221</v>
      </c>
      <c r="B26" s="30" t="s">
        <v>517</v>
      </c>
      <c r="C26" s="30" t="s">
        <v>682</v>
      </c>
      <c r="D26" s="30" t="s">
        <v>49</v>
      </c>
      <c r="E26" s="30" t="s">
        <v>496</v>
      </c>
      <c r="F26" s="42">
        <v>0</v>
      </c>
      <c r="G26" s="42">
        <v>763</v>
      </c>
      <c r="H26" s="42">
        <v>75119</v>
      </c>
      <c r="I26" s="42">
        <v>71284</v>
      </c>
      <c r="J26" s="30" t="s">
        <v>497</v>
      </c>
      <c r="K26" s="42">
        <v>69363</v>
      </c>
      <c r="L26" s="131" t="s">
        <v>51</v>
      </c>
      <c r="M26" s="132">
        <f>CONVERT((I26-K26)/10000,"mi","ft")*IF(L26="Increasing Mileposts (1)",-1,1)</f>
        <v>1014.288</v>
      </c>
      <c r="N26" s="133" t="str">
        <f>VLOOKUP(C26,'Trips&amp;Operators'!$C$1:$G$99911,5,FALSE)</f>
        <v>FORTUNATO FRANK</v>
      </c>
      <c r="O26" s="175" t="s">
        <v>348</v>
      </c>
      <c r="P26" s="239" t="s">
        <v>464</v>
      </c>
      <c r="Q26" s="30"/>
      <c r="R26" s="81" t="str">
        <f>VLOOKUP(C26,'Train Runs'!$A$13:$AE$10222,31,0)</f>
        <v>aws s3 cp s3://rtdc.mdm.uploadarchive.raw/RTDC4063/ "%USERPROFILE%\AppData\Local\Temp\OnboardLogs"\RTDC4063\2018-01-06 --exclude "*" --recursive --include "*20180106*" &amp; "%USERPROFILE%\Documents\GitHub\mrs-test-scripts\Headless Mode &amp; Sideloading\WalkAndUnGZ.bat" "%USERPROFILE%\AppData\Local\Temp\OnboardLogs"\RTDC4063\2018-01-06 &amp; aws s3 cp s3://rtdc.mdm.uploadarchive.raw/RTDC4063/ "%USERPROFILE%\AppData\Local\Temp\OnboardLogs"\RTDC4063\2018-01-07 --exclude "*" --recursive --include "*20180107*" &amp; "%USERPROFILE%\Documents\GitHub\mrs-test-scripts\Headless Mode &amp; Sideloading\WalkAndUnGZ.bat" "%USERPROFILE%\AppData\Local\Temp\OnboardLogs"\RTDC4063\2018-01-07</v>
      </c>
      <c r="S26" s="84" t="str">
        <f>VLOOKUP(C26,'Train Runs'!$A$13:$AE$10222,22,0)</f>
        <v>https://d0f6bd738d7f1b3e5a7ca70fe4ff75f0.us-east-1.aws.found.io/app/kibana#/discover/Steve-Slow-Train-Analysis-(2080s-and-2083s)?_g=(refreshInterval:(display:Off,pause:!f,section:0,value:0),time:(from:'2018-01-06T21:08:18-0700',mode:absolute,to:'2018-01-07T00:05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26" s="86" t="str">
        <f>astrogrep_path&amp;" /e /r /s /spath="&amp;search_path&amp;" /stypes=""*"&amp;U26&amp;"*"&amp;TEXT(A26-utc_offset/24,"YYYYMMDD")&amp;LEFT(TEXT(A26-utc_offset/24,"HH"),1)&amp;"*"" /stext="" "&amp;TEXT(A26-utc_offset/24,"HH")&amp;search_regexp&amp;""""</f>
        <v>"C:\Program Files (x86)\AstroGrep\AstroGrep.exe" /e /r /s /spath="%USERPROFILE%\AppData\Local\Temp\OnboardLogs" /stypes="*4063*201801070*" /stext=" 05:.+((SYSTEM_STATE.+slice.+state.+changed )|(ment ac)|(multiple cpu faults)|(system.+state.+changed )|(\[timeout)|(PRM\|1\|D)|(kpr)|(kdp)|(train st.+moving)|(\|lc)|(penalty))"</v>
      </c>
      <c r="U26" s="9" t="str">
        <f>MID(B26,13,4)</f>
        <v>4063</v>
      </c>
      <c r="V26" s="31">
        <f>A26-utc_offset/24</f>
        <v>43107.242326388885</v>
      </c>
      <c r="W26" s="45" t="str">
        <f>DetSubdiv(C26)</f>
        <v>EC</v>
      </c>
      <c r="X26" s="228">
        <f>VALUE(LEFT(C26,LEN(C26)-3))</f>
        <v>232</v>
      </c>
      <c r="Y26" s="238" t="str">
        <f>"echo {""issue"":{""subject"":"""&amp;P26&amp;""",""project_id"":79,""tracker_id"":40,""status_id"":"&amp;redmine_status&amp;",""priority_id"":"&amp;redmine_priority&amp;",""assigned_to_id"":"&amp;redmine_assignee&amp;",""start_date"":"""&amp;TEXT(A26,"YYYY-mm-dd")&amp;""",""description"":"""&amp;Z26&amp;""",""custom_fields"":[{""id"":1,""name"":""Subdivision"",""value"":"""&amp;W26&amp;"""},{""id"":4,""name"":""Milepost"",""value"":"""&amp;K26/10000&amp;"""},{""id"":17,""name"":""Train ID"",""value"":"""&amp;C26&amp;"""},{""id"":16,""name"":""Locomotive ID"",""value"":"""&amp;U26&amp;"""},{""id"":130,""name"":""Impact"",""value"":"""&amp;AA26&amp;"""},{""id"":150,""name"":""Time of Event (Mountain Time)"",""value"":"""&amp;TEXT(A26,"hh:mm:ss")&amp;"""},{""id"":151,""name"":""Denver Issue ID"",""value"":"""&amp;"""},{""id"":178,""name"":""Operational Impact"",""value"":"""&amp;redmine_op_impact&amp;"""},{""id"":179,""name"":""Denver Segment Assigned"",""value"":"""&amp;AB26&amp;"""}]}}"&amp;" | curl --insecure -X POST -H ""Content-Type: application/json"" -H ""X-Redmine-API-Key: "&amp;redm_api_key&amp;""" "&amp;redm_url&amp;" --data @-"</f>
        <v>echo {"issue":{"subject":"Wi-MAX data drop","project_id":79,"tracker_id":40,"status_id":1,"priority_id":2,"assigned_to_id":338,"start_date":"2018-01-06","description":"","custom_fields":[{"id":1,"name":"Subdivision","value":"EC"},{"id":4,"name":"Milepost","value":"6.9363"},{"id":17,"name":"Train ID","value":"232-06"},{"id":16,"name":"Locomotive ID","value":"4063"},{"id":130,"name":"Impact","value":""},{"id":150,"name":"Time of Event (Mountain Time)","value":"22:48:57"},{"id":151,"name":"Denver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6" s="158"/>
      <c r="AA26" s="231"/>
      <c r="AB26" s="231"/>
      <c r="AC26" s="115" t="str">
        <f>"grep -hrE -A400 ""Enforcement Action"" "&amp;"/c/Users/stu/AppData/Local/Temp/OnboardLogs"&amp;"/RTDC"&amp;U26&amp;" --include=""*"&amp;U26&amp;"*"&amp;TEXT(A26-utc_offset/24,"YYYYMMDD")&amp;LEFT(TEXT(A26-utc_offset/24,"HH"),1)&amp;"*"" | grep -E ""((Enforcement Ac)|(PRM))"" -"</f>
        <v>grep -hrE -A400 "Enforcement Action" /c/Users/stu/AppData/Local/Temp/OnboardLogs/RTDC4063 --include="*4063*201801070*"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"%USERPROFILE%\AppData\Local\Temp\OnboardLogs"\RTDC4063\*4063*201801070* &gt;&gt; 2018-01-06-SliceDisagreementCheck.txt</v>
      </c>
      <c r="AE26" s="144" t="str">
        <f t="shared" si="1"/>
        <v>start /low /b %USERPROFILE%\Documents\GitHub\eaglep3\Utilities\DownloadLogsFromS3.py --loco 4063 --day 2018-01-07</v>
      </c>
      <c r="AF26" s="1"/>
    </row>
    <row r="27" spans="1:16384" x14ac:dyDescent="0.3">
      <c r="A27" s="31">
        <v>43106.300474537034</v>
      </c>
      <c r="B27" s="30" t="s">
        <v>582</v>
      </c>
      <c r="C27" s="30" t="s">
        <v>662</v>
      </c>
      <c r="D27" s="30" t="s">
        <v>49</v>
      </c>
      <c r="E27" s="30" t="s">
        <v>183</v>
      </c>
      <c r="F27" s="42">
        <v>360</v>
      </c>
      <c r="G27" s="42">
        <v>423</v>
      </c>
      <c r="H27" s="42">
        <v>10595</v>
      </c>
      <c r="I27" s="42">
        <v>11805</v>
      </c>
      <c r="J27" s="30" t="s">
        <v>184</v>
      </c>
      <c r="K27" s="42">
        <v>10716</v>
      </c>
      <c r="L27" s="131" t="s">
        <v>50</v>
      </c>
      <c r="M27" s="132">
        <f>CONVERT((I27-K27)/10000,"mi","ft")*IF(L27="Increasing Mileposts (1)",-1,1)</f>
        <v>-574.99199999999996</v>
      </c>
      <c r="N27" s="133" t="str">
        <f>VLOOKUP(C27,'Trips&amp;Operators'!$C$1:$G$99911,5,FALSE)</f>
        <v>LAMAR NEKESHA</v>
      </c>
      <c r="O27" s="175" t="s">
        <v>178</v>
      </c>
      <c r="P27" s="239" t="s">
        <v>480</v>
      </c>
      <c r="Q27" s="30"/>
      <c r="R27" s="81" t="str">
        <f>VLOOKUP(C27,'Train Runs'!$A$13:$AE$10222,31,0)</f>
        <v>aws s3 cp s3://rtdc.mdm.uploadarchive.raw/RTDC4056/ "%USERPROFILE%\AppData\Local\Temp\OnboardLogs"\RTDC4056\2018-01-06 --exclude "*" --recursive --include "*20180106*" &amp; "%USERPROFILE%\Documents\GitHub\mrs-test-scripts\Headless Mode &amp; Sideloading\WalkAndUnGZ.bat" "%USERPROFILE%\AppData\Local\Temp\OnboardLogs"\RTDC4056\2018-01-06 &amp; aws s3 cp s3://rtdc.mdm.uploadarchive.raw/RTDC4056/ "%USERPROFILE%\AppData\Local\Temp\OnboardLogs"\RTDC4056\2018-01-07 --exclude "*" --recursive --include "*20180107*" &amp; "%USERPROFILE%\Documents\GitHub\mrs-test-scripts\Headless Mode &amp; Sideloading\WalkAndUnGZ.bat" "%USERPROFILE%\AppData\Local\Temp\OnboardLogs"\RTDC4056\2018-01-07</v>
      </c>
      <c r="S27" s="84" t="str">
        <f>VLOOKUP(C27,'Train Runs'!$A$13:$AE$10222,22,0)</f>
        <v>https://d0f6bd738d7f1b3e5a7ca70fe4ff75f0.us-east-1.aws.found.io/app/kibana#/discover/Steve-Slow-Train-Analysis-(2080s-and-2083s)?_g=(refreshInterval:(display:Off,pause:!f,section:0,value:0),time:(from:'2018-01-06T05:57:49-0700',mode:absolute,to:'2018-01-06T08:22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T27" s="86" t="str">
        <f>astrogrep_path&amp;" /e /r /s /spath="&amp;search_path&amp;" /stypes=""*"&amp;U27&amp;"*"&amp;TEXT(A27-utc_offset/24,"YYYYMMDD")&amp;LEFT(TEXT(A27-utc_offset/24,"HH"),1)&amp;"*"" /stext="" "&amp;TEXT(A27-utc_offset/24,"HH")&amp;search_regexp&amp;""""</f>
        <v>"C:\Program Files (x86)\AstroGrep\AstroGrep.exe" /e /r /s /spath="%USERPROFILE%\AppData\Local\Temp\OnboardLogs" /stypes="*4056*201801061*" /stext=" 14:.+((SYSTEM_STATE.+slice.+state.+changed )|(ment ac)|(multiple cpu faults)|(system.+state.+changed )|(\[timeout)|(PRM\|1\|D)|(kpr)|(kdp)|(train st.+moving)|(\|lc)|(penalty))"</v>
      </c>
      <c r="U27" s="9" t="str">
        <f>MID(B27,13,4)</f>
        <v>4056</v>
      </c>
      <c r="V27" s="31">
        <f>A27-utc_offset/24</f>
        <v>43106.592141203699</v>
      </c>
      <c r="W27" s="45" t="str">
        <f>DetSubdiv(C27)</f>
        <v>NW</v>
      </c>
      <c r="X27" s="228">
        <f>VALUE(LEFT(C27,LEN(C27)-3))</f>
        <v>1803</v>
      </c>
      <c r="Y27" s="238" t="str">
        <f>"echo {""issue"":{""subject"":"""&amp;P27&amp;""",""project_id"":79,""tracker_id"":40,""status_id"":"&amp;redmine_status&amp;",""priority_id"":"&amp;redmine_priority&amp;",""assigned_to_id"":"&amp;redmine_assignee&amp;",""start_date"":"""&amp;TEXT(A27,"YYYY-mm-dd")&amp;""",""description"":"""&amp;Z27&amp;""",""custom_fields"":[{""id"":1,""name"":""Subdivision"",""value"":"""&amp;W27&amp;"""},{""id"":4,""name"":""Milepost"",""value"":"""&amp;K27/10000&amp;"""},{""id"":17,""name"":""Train ID"",""value"":"""&amp;C27&amp;"""},{""id"":16,""name"":""Locomotive ID"",""value"":"""&amp;U27&amp;"""},{""id"":130,""name"":""Impact"",""value"":"""&amp;AA27&amp;"""},{""id"":150,""name"":""Time of Event (Mountain Time)"",""value"":"""&amp;TEXT(A27,"hh:mm:ss")&amp;"""},{""id"":151,""name"":""Denver Issue ID"",""value"":"""&amp;"""},{""id"":178,""name"":""Operational Impact"",""value"":"""&amp;redmine_op_impact&amp;"""},{""id"":179,""name"":""Denver Segment Assigned"",""value"":"""&amp;AB27&amp;"""}]}}"&amp;"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Arrival","project_id":79,"tracker_id":40,"status_id":1,"priority_id":2,"assigned_to_id":338,"start_date":"2018-01-06","description":"","custom_fields":[{"id":1,"name":"Subdivision","value":"NW"},{"id":4,"name":"Milepost","value":"1.0716"},{"id":17,"name":"Train ID","value":"1803-06"},{"id":16,"name":"Locomotive ID","value":"4056"},{"id":130,"name":"Impact","value":""},{"id":150,"name":"Time of Event (Mountain Time)","value":"07:12:41"},{"id":151,"name":"Denver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7" s="158"/>
      <c r="AA27" s="231"/>
      <c r="AB27" s="231"/>
      <c r="AC27" s="115" t="str">
        <f>"grep -hrE -A400 ""Enforcement Action"" "&amp;"/c/Users/stu/AppData/Local/Temp/OnboardLogs"&amp;"/RTDC"&amp;U27&amp;" --include=""*"&amp;U27&amp;"*"&amp;TEXT(A27-utc_offset/24,"YYYYMMDD")&amp;LEFT(TEXT(A27-utc_offset/24,"HH"),1)&amp;"*"" | grep -E ""((Enforcement Ac)|(PRM))"" -"</f>
        <v>grep -hrE -A400 "Enforcement Action" /c/Users/stu/AppData/Local/Temp/OnboardLogs/RTDC4056 --include="*4056*201801061*"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"%USERPROFILE%\AppData\Local\Temp\OnboardLogs"\RTDC4056\*4056*201801061* &gt;&gt; 2018-01-06-SliceDisagreementCheck.txt</v>
      </c>
      <c r="AE27" s="144" t="str">
        <f t="shared" si="1"/>
        <v>start /low /b %USERPROFILE%\Documents\GitHub\eaglep3\Utilities\DownloadLogsFromS3.py --loco 4056 --day 2018-01-06</v>
      </c>
      <c r="AF27" s="1"/>
    </row>
    <row r="28" spans="1:16384" s="223" customFormat="1" x14ac:dyDescent="0.3">
      <c r="A28" s="31">
        <v>43106.578553240739</v>
      </c>
      <c r="B28" s="30" t="s">
        <v>351</v>
      </c>
      <c r="C28" s="30" t="s">
        <v>1063</v>
      </c>
      <c r="D28" s="30" t="s">
        <v>49</v>
      </c>
      <c r="E28" s="30" t="s">
        <v>354</v>
      </c>
      <c r="F28" s="42">
        <v>0</v>
      </c>
      <c r="G28" s="42">
        <v>69</v>
      </c>
      <c r="H28" s="42">
        <v>4802</v>
      </c>
      <c r="I28" s="42">
        <v>4710</v>
      </c>
      <c r="J28" s="234" t="e">
        <f>astrogrep_path&amp;" /e /r /s /spath="&amp;search_path&amp;" /stypes=""app*"&amp;#REF!&amp;"*"&amp;TEXT(#REF!-utc_offset/24,"YYYYMMDD")&amp;"*"" /stext="" "&amp;TEXT(#REF!-utc_offset/24,"HH")&amp;search_regexp&amp;""""</f>
        <v>#REF!</v>
      </c>
      <c r="K28" s="42">
        <v>4798</v>
      </c>
      <c r="L28" s="131" t="s">
        <v>51</v>
      </c>
      <c r="M28" s="132">
        <f>CONVERT((I28-K28)/10000,"mi","ft")*IF(L28="Increasing Mileposts (1)",-1,1)</f>
        <v>-46.463999999999999</v>
      </c>
      <c r="N28" s="133" t="s">
        <v>1062</v>
      </c>
      <c r="O28" s="175" t="s">
        <v>348</v>
      </c>
      <c r="P28" s="239" t="s">
        <v>1064</v>
      </c>
      <c r="Q28" s="234" t="e">
        <f>astrogrep_path&amp;" /e /r /s /spath="&amp;search_path&amp;" /stypes=""app*"&amp;#REF!&amp;"*"&amp;TEXT(#REF!-utc_offset/24,"YYYYMMDD")&amp;"*"" /stext="" "&amp;TEXT(#REF!-utc_offset/24,"HH")&amp;search_regexp&amp;""""</f>
        <v>#REF!</v>
      </c>
      <c r="R28" s="234" t="e">
        <f>astrogrep_path&amp;" /e /r /s /spath="&amp;search_path&amp;" /stypes=""app*"&amp;#REF!&amp;"*"&amp;TEXT(#REF!-utc_offset/24,"YYYYMMDD")&amp;"*"" /stext="" "&amp;TEXT(#REF!-utc_offset/24,"HH")&amp;search_regexp&amp;""""</f>
        <v>#REF!</v>
      </c>
      <c r="S28" s="234" t="e">
        <f>astrogrep_path&amp;" /e /r /s /spath="&amp;search_path&amp;" /stypes=""app*"&amp;#REF!&amp;"*"&amp;TEXT(#REF!-utc_offset/24,"YYYYMMDD")&amp;"*"" /stext="" "&amp;TEXT(#REF!-utc_offset/24,"HH")&amp;search_regexp&amp;""""</f>
        <v>#REF!</v>
      </c>
      <c r="T28" s="234" t="e">
        <f>astrogrep_path&amp;" /e /r /s /spath="&amp;search_path&amp;" /stypes=""app*"&amp;#REF!&amp;"*"&amp;TEXT(#REF!-utc_offset/24,"YYYYMMDD")&amp;"*"" /stext="" "&amp;TEXT(#REF!-utc_offset/24,"HH")&amp;search_regexp&amp;""""</f>
        <v>#REF!</v>
      </c>
      <c r="U28" s="234" t="e">
        <f>astrogrep_path&amp;" /e /r /s /spath="&amp;search_path&amp;" /stypes=""app*"&amp;#REF!&amp;"*"&amp;TEXT(#REF!-utc_offset/24,"YYYYMMDD")&amp;"*"" /stext="" "&amp;TEXT(#REF!-utc_offset/24,"HH")&amp;search_regexp&amp;""""</f>
        <v>#REF!</v>
      </c>
      <c r="V28" s="234" t="e">
        <f>astrogrep_path&amp;" /e /r /s /spath="&amp;search_path&amp;" /stypes=""app*"&amp;#REF!&amp;"*"&amp;TEXT(#REF!-utc_offset/24,"YYYYMMDD")&amp;"*"" /stext="" "&amp;TEXT(#REF!-utc_offset/24,"HH")&amp;search_regexp&amp;""""</f>
        <v>#REF!</v>
      </c>
      <c r="W28" s="234" t="e">
        <f>astrogrep_path&amp;" /e /r /s /spath="&amp;search_path&amp;" /stypes=""app*"&amp;#REF!&amp;"*"&amp;TEXT(#REF!-utc_offset/24,"YYYYMMDD")&amp;"*"" /stext="" "&amp;TEXT(#REF!-utc_offset/24,"HH")&amp;search_regexp&amp;""""</f>
        <v>#REF!</v>
      </c>
      <c r="X28" s="234" t="e">
        <f>astrogrep_path&amp;" /e /r /s /spath="&amp;search_path&amp;" /stypes=""app*"&amp;#REF!&amp;"*"&amp;TEXT(A28-utc_offset/24,"YYYYMMDD")&amp;"*"" /stext="" "&amp;TEXT(A28-utc_offset/24,"HH")&amp;search_regexp&amp;""""</f>
        <v>#REF!</v>
      </c>
      <c r="Y28" s="234" t="e">
        <f>astrogrep_path&amp;" /e /r /s /spath="&amp;search_path&amp;" /stypes=""app*"&amp;#REF!&amp;"*"&amp;TEXT(B28-utc_offset/24,"YYYYMMDD")&amp;"*"" /stext="" "&amp;TEXT(B28-utc_offset/24,"HH")&amp;search_regexp&amp;""""</f>
        <v>#REF!</v>
      </c>
      <c r="Z28" s="234" t="e">
        <f>astrogrep_path&amp;" /e /r /s /spath="&amp;search_path&amp;" /stypes=""app*"&amp;#REF!&amp;"*"&amp;TEXT(C28-utc_offset/24,"YYYYMMDD")&amp;"*"" /stext="" "&amp;TEXT(C28-utc_offset/24,"HH")&amp;search_regexp&amp;""""</f>
        <v>#REF!</v>
      </c>
      <c r="AA28" s="234" t="e">
        <f>astrogrep_path&amp;" /e /r /s /spath="&amp;search_path&amp;" /stypes=""app*"&amp;#REF!&amp;"*"&amp;TEXT(D28-utc_offset/24,"YYYYMMDD")&amp;"*"" /stext="" "&amp;TEXT(D28-utc_offset/24,"HH")&amp;search_regexp&amp;""""</f>
        <v>#REF!</v>
      </c>
      <c r="AB28" s="234" t="e">
        <f>astrogrep_path&amp;" /e /r /s /spath="&amp;search_path&amp;" /stypes=""app*"&amp;#REF!&amp;"*"&amp;TEXT(E28-utc_offset/24,"YYYYMMDD")&amp;"*"" /stext="" "&amp;TEXT(E28-utc_offset/24,"HH")&amp;search_regexp&amp;""""</f>
        <v>#REF!</v>
      </c>
      <c r="AC28" s="234" t="e">
        <f>astrogrep_path&amp;" /e /r /s /spath="&amp;search_path&amp;" /stypes=""app*"&amp;#REF!&amp;"*"&amp;TEXT(F28-utc_offset/24,"YYYYMMDD")&amp;"*"" /stext="" "&amp;TEXT(F28-utc_offset/24,"HH")&amp;search_regexp&amp;""""</f>
        <v>#REF!</v>
      </c>
      <c r="AD28" s="234" t="e">
        <f>astrogrep_path&amp;" /e /r /s /spath="&amp;search_path&amp;" /stypes=""app*"&amp;#REF!&amp;"*"&amp;TEXT(G28-utc_offset/24,"YYYYMMDD")&amp;"*"" /stext="" "&amp;TEXT(G28-utc_offset/24,"HH")&amp;search_regexp&amp;""""</f>
        <v>#REF!</v>
      </c>
      <c r="AE28" s="234" t="str">
        <f>astrogrep_path&amp;" /e /r /s /spath="&amp;search_path&amp;" /stypes=""app*"&amp;A28&amp;"*"&amp;TEXT(H28-utc_offset/24,"YYYYMMDD")&amp;"*"" /stext="" "&amp;TEXT(H28-utc_offset/24,"HH")&amp;search_regexp&amp;""""</f>
        <v>"C:\Program Files (x86)\AstroGrep\AstroGrep.exe" /e /r /s /spath="%USERPROFILE%\AppData\Local\Temp\OnboardLogs" /stypes="app*43106.5785532407*19130222*" /stext=" 07:.+((SYSTEM_STATE.+slice.+state.+changed )|(ment ac)|(multiple cpu faults)|(system.+state.+changed )|(\[timeout)|(PRM\|1\|D)|(kpr)|(kdp)|(train st.+moving)|(\|lc)|(penalty))"</v>
      </c>
      <c r="AF28" s="234" t="str">
        <f>astrogrep_path&amp;" /e /r /s /spath="&amp;search_path&amp;" /stypes=""app*"&amp;B28&amp;"*"&amp;TEXT(I28-utc_offset/24,"YYYYMMDD")&amp;"*"" /stext="" "&amp;TEXT(I28-utc_offset/24,"HH")&amp;search_regexp&amp;""""</f>
        <v>"C:\Program Files (x86)\AstroGrep\AstroGrep.exe" /e /r /s /spath="%USERPROFILE%\AppData\Local\Temp\OnboardLogs" /stypes="app*rtdc.l.rtdc.4055:itc*19121122*" /stext=" 07:.+((SYSTEM_STATE.+slice.+state.+changed )|(ment ac)|(multiple cpu faults)|(system.+state.+changed )|(\[timeout)|(PRM\|1\|D)|(kpr)|(kdp)|(train st.+moving)|(\|lc)|(penalty))"</v>
      </c>
      <c r="AG28" s="234" t="e">
        <f>astrogrep_path&amp;" /e /r /s /spath="&amp;search_path&amp;" /stypes=""app*"&amp;C28&amp;"*"&amp;TEXT(J28-utc_offset/24,"YYYYMMDD")&amp;"*"" /stext="" "&amp;TEXT(J28-utc_offset/24,"HH")&amp;search_regexp&amp;""""</f>
        <v>#REF!</v>
      </c>
      <c r="AH28" s="234" t="str">
        <f>astrogrep_path&amp;" /e /r /s /spath="&amp;search_path&amp;" /stypes=""app*"&amp;D28&amp;"*"&amp;TEXT(K28-utc_offset/24,"YYYYMMDD")&amp;"*"" /stext="" "&amp;TEXT(K28-utc_offset/24,"HH")&amp;search_regexp&amp;""""</f>
        <v>"C:\Program Files (x86)\AstroGrep\AstroGrep.exe" /e /r /s /spath="%USERPROFILE%\AppData\Local\Temp\OnboardLogs" /stypes="app*Predictive Enforcement (2)*19130218*" /stext=" 07:.+((SYSTEM_STATE.+slice.+state.+changed )|(ment ac)|(multiple cpu faults)|(system.+state.+changed )|(\[timeout)|(PRM\|1\|D)|(kpr)|(kdp)|(train st.+moving)|(\|lc)|(penalty))"</v>
      </c>
      <c r="AI28" s="234" t="e">
        <f>astrogrep_path&amp;" /e /r /s /spath="&amp;search_path&amp;" /stypes=""app*"&amp;E28&amp;"*"&amp;TEXT(L28-utc_offset/24,"YYYYMMDD")&amp;"*"" /stext="" "&amp;TEXT(L28-utc_offset/24,"HH")&amp;search_regexp&amp;""""</f>
        <v>#VALUE!</v>
      </c>
      <c r="AJ28" s="234" t="e">
        <f>astrogrep_path&amp;" /e /r /s /spath="&amp;search_path&amp;" /stypes=""app*"&amp;F28&amp;"*"&amp;TEXT(M28-utc_offset/24,"YYYYMMDD")&amp;"*"" /stext="" "&amp;TEXT(M28-utc_offset/24,"HH")&amp;search_regexp&amp;""""</f>
        <v>#VALUE!</v>
      </c>
      <c r="AK28" s="234" t="e">
        <f>astrogrep_path&amp;" /e /r /s /spath="&amp;search_path&amp;" /stypes=""app*"&amp;G28&amp;"*"&amp;TEXT(N28-utc_offset/24,"YYYYMMDD")&amp;"*"" /stext="" "&amp;TEXT(N28-utc_offset/24,"HH")&amp;search_regexp&amp;""""</f>
        <v>#VALUE!</v>
      </c>
      <c r="AL28" s="234" t="e">
        <f>astrogrep_path&amp;" /e /r /s /spath="&amp;search_path&amp;" /stypes=""app*"&amp;H28&amp;"*"&amp;TEXT(O28-utc_offset/24,"YYYYMMDD")&amp;"*"" /stext="" "&amp;TEXT(O28-utc_offset/24,"HH")&amp;search_regexp&amp;""""</f>
        <v>#VALUE!</v>
      </c>
      <c r="AM28" s="234" t="e">
        <f>astrogrep_path&amp;" /e /r /s /spath="&amp;search_path&amp;" /stypes=""app*"&amp;I28&amp;"*"&amp;TEXT(P28-utc_offset/24,"YYYYMMDD")&amp;"*"" /stext="" "&amp;TEXT(P28-utc_offset/24,"HH")&amp;search_regexp&amp;""""</f>
        <v>#VALUE!</v>
      </c>
      <c r="AN28" s="234" t="e">
        <f>astrogrep_path&amp;" /e /r /s /spath="&amp;search_path&amp;" /stypes=""app*"&amp;J28&amp;"*"&amp;TEXT(Q28-utc_offset/24,"YYYYMMDD")&amp;"*"" /stext="" "&amp;TEXT(Q28-utc_offset/24,"HH")&amp;search_regexp&amp;""""</f>
        <v>#REF!</v>
      </c>
      <c r="AO28" s="234" t="e">
        <f>astrogrep_path&amp;" /e /r /s /spath="&amp;search_path&amp;" /stypes=""app*"&amp;K28&amp;"*"&amp;TEXT(R28-utc_offset/24,"YYYYMMDD")&amp;"*"" /stext="" "&amp;TEXT(R28-utc_offset/24,"HH")&amp;search_regexp&amp;""""</f>
        <v>#REF!</v>
      </c>
      <c r="AP28" s="234" t="e">
        <f>astrogrep_path&amp;" /e /r /s /spath="&amp;search_path&amp;" /stypes=""app*"&amp;L28&amp;"*"&amp;TEXT(S28-utc_offset/24,"YYYYMMDD")&amp;"*"" /stext="" "&amp;TEXT(S28-utc_offset/24,"HH")&amp;search_regexp&amp;""""</f>
        <v>#REF!</v>
      </c>
      <c r="AQ28" s="234" t="e">
        <f>astrogrep_path&amp;" /e /r /s /spath="&amp;search_path&amp;" /stypes=""app*"&amp;M28&amp;"*"&amp;TEXT(T28-utc_offset/24,"YYYYMMDD")&amp;"*"" /stext="" "&amp;TEXT(T28-utc_offset/24,"HH")&amp;search_regexp&amp;""""</f>
        <v>#REF!</v>
      </c>
      <c r="AR28" s="234" t="e">
        <f>astrogrep_path&amp;" /e /r /s /spath="&amp;search_path&amp;" /stypes=""app*"&amp;N28&amp;"*"&amp;TEXT(U28-utc_offset/24,"YYYYMMDD")&amp;"*"" /stext="" "&amp;TEXT(U28-utc_offset/24,"HH")&amp;search_regexp&amp;""""</f>
        <v>#REF!</v>
      </c>
      <c r="AS28" s="234" t="e">
        <f>astrogrep_path&amp;" /e /r /s /spath="&amp;search_path&amp;" /stypes=""app*"&amp;O28&amp;"*"&amp;TEXT(V28-utc_offset/24,"YYYYMMDD")&amp;"*"" /stext="" "&amp;TEXT(V28-utc_offset/24,"HH")&amp;search_regexp&amp;""""</f>
        <v>#REF!</v>
      </c>
      <c r="AT28" s="234" t="e">
        <f>astrogrep_path&amp;" /e /r /s /spath="&amp;search_path&amp;" /stypes=""app*"&amp;P28&amp;"*"&amp;TEXT(W28-utc_offset/24,"YYYYMMDD")&amp;"*"" /stext="" "&amp;TEXT(W28-utc_offset/24,"HH")&amp;search_regexp&amp;""""</f>
        <v>#REF!</v>
      </c>
      <c r="AU28" s="234" t="e">
        <f>astrogrep_path&amp;" /e /r /s /spath="&amp;search_path&amp;" /stypes=""app*"&amp;Q28&amp;"*"&amp;TEXT(X28-utc_offset/24,"YYYYMMDD")&amp;"*"" /stext="" "&amp;TEXT(X28-utc_offset/24,"HH")&amp;search_regexp&amp;""""</f>
        <v>#REF!</v>
      </c>
      <c r="AV28" s="234" t="e">
        <f>astrogrep_path&amp;" /e /r /s /spath="&amp;search_path&amp;" /stypes=""app*"&amp;R28&amp;"*"&amp;TEXT(Y28-utc_offset/24,"YYYYMMDD")&amp;"*"" /stext="" "&amp;TEXT(Y28-utc_offset/24,"HH")&amp;search_regexp&amp;""""</f>
        <v>#REF!</v>
      </c>
      <c r="AW28" s="234" t="e">
        <f>astrogrep_path&amp;" /e /r /s /spath="&amp;search_path&amp;" /stypes=""app*"&amp;S28&amp;"*"&amp;TEXT(Z28-utc_offset/24,"YYYYMMDD")&amp;"*"" /stext="" "&amp;TEXT(Z28-utc_offset/24,"HH")&amp;search_regexp&amp;""""</f>
        <v>#REF!</v>
      </c>
      <c r="AX28" s="234" t="e">
        <f>astrogrep_path&amp;" /e /r /s /spath="&amp;search_path&amp;" /stypes=""app*"&amp;T28&amp;"*"&amp;TEXT(AA28-utc_offset/24,"YYYYMMDD")&amp;"*"" /stext="" "&amp;TEXT(AA28-utc_offset/24,"HH")&amp;search_regexp&amp;""""</f>
        <v>#REF!</v>
      </c>
      <c r="AY28" s="234" t="e">
        <f>astrogrep_path&amp;" /e /r /s /spath="&amp;search_path&amp;" /stypes=""app*"&amp;U28&amp;"*"&amp;TEXT(AB28-utc_offset/24,"YYYYMMDD")&amp;"*"" /stext="" "&amp;TEXT(AB28-utc_offset/24,"HH")&amp;search_regexp&amp;""""</f>
        <v>#REF!</v>
      </c>
      <c r="AZ28" s="234" t="e">
        <f>astrogrep_path&amp;" /e /r /s /spath="&amp;search_path&amp;" /stypes=""app*"&amp;V28&amp;"*"&amp;TEXT(AC28-utc_offset/24,"YYYYMMDD")&amp;"*"" /stext="" "&amp;TEXT(AC28-utc_offset/24,"HH")&amp;search_regexp&amp;""""</f>
        <v>#REF!</v>
      </c>
      <c r="BA28" s="234" t="e">
        <f>astrogrep_path&amp;" /e /r /s /spath="&amp;search_path&amp;" /stypes=""app*"&amp;W28&amp;"*"&amp;TEXT(AD28-utc_offset/24,"YYYYMMDD")&amp;"*"" /stext="" "&amp;TEXT(AD28-utc_offset/24,"HH")&amp;search_regexp&amp;""""</f>
        <v>#REF!</v>
      </c>
      <c r="BB28" s="234" t="e">
        <f>astrogrep_path&amp;" /e /r /s /spath="&amp;search_path&amp;" /stypes=""app*"&amp;X28&amp;"*"&amp;TEXT(AE28-utc_offset/24,"YYYYMMDD")&amp;"*"" /stext="" "&amp;TEXT(AE28-utc_offset/24,"HH")&amp;search_regexp&amp;""""</f>
        <v>#REF!</v>
      </c>
      <c r="BC28" s="234" t="e">
        <f>astrogrep_path&amp;" /e /r /s /spath="&amp;search_path&amp;" /stypes=""app*"&amp;Y28&amp;"*"&amp;TEXT(AF28-utc_offset/24,"YYYYMMDD")&amp;"*"" /stext="" "&amp;TEXT(AF28-utc_offset/24,"HH")&amp;search_regexp&amp;""""</f>
        <v>#REF!</v>
      </c>
      <c r="BD28" s="234" t="e">
        <f>astrogrep_path&amp;" /e /r /s /spath="&amp;search_path&amp;" /stypes=""app*"&amp;Z28&amp;"*"&amp;TEXT(AG28-utc_offset/24,"YYYYMMDD")&amp;"*"" /stext="" "&amp;TEXT(AG28-utc_offset/24,"HH")&amp;search_regexp&amp;""""</f>
        <v>#REF!</v>
      </c>
      <c r="BE28" s="234" t="e">
        <f>astrogrep_path&amp;" /e /r /s /spath="&amp;search_path&amp;" /stypes=""app*"&amp;AA28&amp;"*"&amp;TEXT(AH28-utc_offset/24,"YYYYMMDD")&amp;"*"" /stext="" "&amp;TEXT(AH28-utc_offset/24,"HH")&amp;search_regexp&amp;""""</f>
        <v>#REF!</v>
      </c>
      <c r="BF28" s="234" t="e">
        <f>astrogrep_path&amp;" /e /r /s /spath="&amp;search_path&amp;" /stypes=""app*"&amp;AB28&amp;"*"&amp;TEXT(AI28-utc_offset/24,"YYYYMMDD")&amp;"*"" /stext="" "&amp;TEXT(AI28-utc_offset/24,"HH")&amp;search_regexp&amp;""""</f>
        <v>#REF!</v>
      </c>
      <c r="BG28" s="234" t="e">
        <f>astrogrep_path&amp;" /e /r /s /spath="&amp;search_path&amp;" /stypes=""app*"&amp;AC28&amp;"*"&amp;TEXT(AJ28-utc_offset/24,"YYYYMMDD")&amp;"*"" /stext="" "&amp;TEXT(AJ28-utc_offset/24,"HH")&amp;search_regexp&amp;""""</f>
        <v>#REF!</v>
      </c>
      <c r="BH28" s="234" t="e">
        <f>astrogrep_path&amp;" /e /r /s /spath="&amp;search_path&amp;" /stypes=""app*"&amp;AD28&amp;"*"&amp;TEXT(AK28-utc_offset/24,"YYYYMMDD")&amp;"*"" /stext="" "&amp;TEXT(AK28-utc_offset/24,"HH")&amp;search_regexp&amp;""""</f>
        <v>#REF!</v>
      </c>
      <c r="BI28" s="234" t="e">
        <f>astrogrep_path&amp;" /e /r /s /spath="&amp;search_path&amp;" /stypes=""app*"&amp;AE28&amp;"*"&amp;TEXT(AL28-utc_offset/24,"YYYYMMDD")&amp;"*"" /stext="" "&amp;TEXT(AL28-utc_offset/24,"HH")&amp;search_regexp&amp;""""</f>
        <v>#VALUE!</v>
      </c>
      <c r="BJ28" s="234" t="e">
        <f>astrogrep_path&amp;" /e /r /s /spath="&amp;search_path&amp;" /stypes=""app*"&amp;AF28&amp;"*"&amp;TEXT(AM28-utc_offset/24,"YYYYMMDD")&amp;"*"" /stext="" "&amp;TEXT(AM28-utc_offset/24,"HH")&amp;search_regexp&amp;""""</f>
        <v>#VALUE!</v>
      </c>
      <c r="BK28" s="234" t="e">
        <f>astrogrep_path&amp;" /e /r /s /spath="&amp;search_path&amp;" /stypes=""app*"&amp;AG28&amp;"*"&amp;TEXT(AN28-utc_offset/24,"YYYYMMDD")&amp;"*"" /stext="" "&amp;TEXT(AN28-utc_offset/24,"HH")&amp;search_regexp&amp;""""</f>
        <v>#REF!</v>
      </c>
      <c r="BL28" s="234" t="e">
        <f>astrogrep_path&amp;" /e /r /s /spath="&amp;search_path&amp;" /stypes=""app*"&amp;AH28&amp;"*"&amp;TEXT(AO28-utc_offset/24,"YYYYMMDD")&amp;"*"" /stext="" "&amp;TEXT(AO28-utc_offset/24,"HH")&amp;search_regexp&amp;""""</f>
        <v>#REF!</v>
      </c>
      <c r="BM28" s="234" t="e">
        <f>astrogrep_path&amp;" /e /r /s /spath="&amp;search_path&amp;" /stypes=""app*"&amp;AI28&amp;"*"&amp;TEXT(AP28-utc_offset/24,"YYYYMMDD")&amp;"*"" /stext="" "&amp;TEXT(AP28-utc_offset/24,"HH")&amp;search_regexp&amp;""""</f>
        <v>#VALUE!</v>
      </c>
      <c r="BN28" s="234" t="e">
        <f>astrogrep_path&amp;" /e /r /s /spath="&amp;search_path&amp;" /stypes=""app*"&amp;AJ28&amp;"*"&amp;TEXT(AQ28-utc_offset/24,"YYYYMMDD")&amp;"*"" /stext="" "&amp;TEXT(AQ28-utc_offset/24,"HH")&amp;search_regexp&amp;""""</f>
        <v>#VALUE!</v>
      </c>
      <c r="BO28" s="234" t="e">
        <f>astrogrep_path&amp;" /e /r /s /spath="&amp;search_path&amp;" /stypes=""app*"&amp;AK28&amp;"*"&amp;TEXT(AR28-utc_offset/24,"YYYYMMDD")&amp;"*"" /stext="" "&amp;TEXT(AR28-utc_offset/24,"HH")&amp;search_regexp&amp;""""</f>
        <v>#VALUE!</v>
      </c>
      <c r="BP28" s="234" t="e">
        <f>astrogrep_path&amp;" /e /r /s /spath="&amp;search_path&amp;" /stypes=""app*"&amp;AL28&amp;"*"&amp;TEXT(AS28-utc_offset/24,"YYYYMMDD")&amp;"*"" /stext="" "&amp;TEXT(AS28-utc_offset/24,"HH")&amp;search_regexp&amp;""""</f>
        <v>#VALUE!</v>
      </c>
      <c r="BQ28" s="234" t="e">
        <f>astrogrep_path&amp;" /e /r /s /spath="&amp;search_path&amp;" /stypes=""app*"&amp;AM28&amp;"*"&amp;TEXT(AT28-utc_offset/24,"YYYYMMDD")&amp;"*"" /stext="" "&amp;TEXT(AT28-utc_offset/24,"HH")&amp;search_regexp&amp;""""</f>
        <v>#VALUE!</v>
      </c>
      <c r="BR28" s="234" t="e">
        <f>astrogrep_path&amp;" /e /r /s /spath="&amp;search_path&amp;" /stypes=""app*"&amp;AN28&amp;"*"&amp;TEXT(AU28-utc_offset/24,"YYYYMMDD")&amp;"*"" /stext="" "&amp;TEXT(AU28-utc_offset/24,"HH")&amp;search_regexp&amp;""""</f>
        <v>#REF!</v>
      </c>
      <c r="BS28" s="234" t="e">
        <f>astrogrep_path&amp;" /e /r /s /spath="&amp;search_path&amp;" /stypes=""app*"&amp;AO28&amp;"*"&amp;TEXT(AV28-utc_offset/24,"YYYYMMDD")&amp;"*"" /stext="" "&amp;TEXT(AV28-utc_offset/24,"HH")&amp;search_regexp&amp;""""</f>
        <v>#REF!</v>
      </c>
      <c r="BT28" s="234" t="e">
        <f>astrogrep_path&amp;" /e /r /s /spath="&amp;search_path&amp;" /stypes=""app*"&amp;AP28&amp;"*"&amp;TEXT(AW28-utc_offset/24,"YYYYMMDD")&amp;"*"" /stext="" "&amp;TEXT(AW28-utc_offset/24,"HH")&amp;search_regexp&amp;""""</f>
        <v>#REF!</v>
      </c>
      <c r="BU28" s="234" t="e">
        <f>astrogrep_path&amp;" /e /r /s /spath="&amp;search_path&amp;" /stypes=""app*"&amp;AQ28&amp;"*"&amp;TEXT(AX28-utc_offset/24,"YYYYMMDD")&amp;"*"" /stext="" "&amp;TEXT(AX28-utc_offset/24,"HH")&amp;search_regexp&amp;""""</f>
        <v>#REF!</v>
      </c>
      <c r="BV28" s="234" t="e">
        <f>astrogrep_path&amp;" /e /r /s /spath="&amp;search_path&amp;" /stypes=""app*"&amp;AR28&amp;"*"&amp;TEXT(AY28-utc_offset/24,"YYYYMMDD")&amp;"*"" /stext="" "&amp;TEXT(AY28-utc_offset/24,"HH")&amp;search_regexp&amp;""""</f>
        <v>#REF!</v>
      </c>
      <c r="BW28" s="234" t="e">
        <f>astrogrep_path&amp;" /e /r /s /spath="&amp;search_path&amp;" /stypes=""app*"&amp;AS28&amp;"*"&amp;TEXT(AZ28-utc_offset/24,"YYYYMMDD")&amp;"*"" /stext="" "&amp;TEXT(AZ28-utc_offset/24,"HH")&amp;search_regexp&amp;""""</f>
        <v>#REF!</v>
      </c>
      <c r="BX28" s="234" t="e">
        <f>astrogrep_path&amp;" /e /r /s /spath="&amp;search_path&amp;" /stypes=""app*"&amp;AT28&amp;"*"&amp;TEXT(BA28-utc_offset/24,"YYYYMMDD")&amp;"*"" /stext="" "&amp;TEXT(BA28-utc_offset/24,"HH")&amp;search_regexp&amp;""""</f>
        <v>#REF!</v>
      </c>
      <c r="BY28" s="234" t="e">
        <f>astrogrep_path&amp;" /e /r /s /spath="&amp;search_path&amp;" /stypes=""app*"&amp;AU28&amp;"*"&amp;TEXT(BB28-utc_offset/24,"YYYYMMDD")&amp;"*"" /stext="" "&amp;TEXT(BB28-utc_offset/24,"HH")&amp;search_regexp&amp;""""</f>
        <v>#REF!</v>
      </c>
      <c r="BZ28" s="234" t="e">
        <f>astrogrep_path&amp;" /e /r /s /spath="&amp;search_path&amp;" /stypes=""app*"&amp;AV28&amp;"*"&amp;TEXT(BC28-utc_offset/24,"YYYYMMDD")&amp;"*"" /stext="" "&amp;TEXT(BC28-utc_offset/24,"HH")&amp;search_regexp&amp;""""</f>
        <v>#REF!</v>
      </c>
      <c r="CA28" s="234" t="e">
        <f>astrogrep_path&amp;" /e /r /s /spath="&amp;search_path&amp;" /stypes=""app*"&amp;AW28&amp;"*"&amp;TEXT(BD28-utc_offset/24,"YYYYMMDD")&amp;"*"" /stext="" "&amp;TEXT(BD28-utc_offset/24,"HH")&amp;search_regexp&amp;""""</f>
        <v>#REF!</v>
      </c>
      <c r="CB28" s="234" t="e">
        <f>astrogrep_path&amp;" /e /r /s /spath="&amp;search_path&amp;" /stypes=""app*"&amp;AX28&amp;"*"&amp;TEXT(BE28-utc_offset/24,"YYYYMMDD")&amp;"*"" /stext="" "&amp;TEXT(BE28-utc_offset/24,"HH")&amp;search_regexp&amp;""""</f>
        <v>#REF!</v>
      </c>
      <c r="CC28" s="234" t="e">
        <f>astrogrep_path&amp;" /e /r /s /spath="&amp;search_path&amp;" /stypes=""app*"&amp;AY28&amp;"*"&amp;TEXT(BF28-utc_offset/24,"YYYYMMDD")&amp;"*"" /stext="" "&amp;TEXT(BF28-utc_offset/24,"HH")&amp;search_regexp&amp;""""</f>
        <v>#REF!</v>
      </c>
      <c r="CD28" s="234" t="e">
        <f>astrogrep_path&amp;" /e /r /s /spath="&amp;search_path&amp;" /stypes=""app*"&amp;AZ28&amp;"*"&amp;TEXT(BG28-utc_offset/24,"YYYYMMDD")&amp;"*"" /stext="" "&amp;TEXT(BG28-utc_offset/24,"HH")&amp;search_regexp&amp;""""</f>
        <v>#REF!</v>
      </c>
      <c r="CE28" s="234" t="e">
        <f>astrogrep_path&amp;" /e /r /s /spath="&amp;search_path&amp;" /stypes=""app*"&amp;BA28&amp;"*"&amp;TEXT(BH28-utc_offset/24,"YYYYMMDD")&amp;"*"" /stext="" "&amp;TEXT(BH28-utc_offset/24,"HH")&amp;search_regexp&amp;""""</f>
        <v>#REF!</v>
      </c>
      <c r="CF28" s="234" t="e">
        <f>astrogrep_path&amp;" /e /r /s /spath="&amp;search_path&amp;" /stypes=""app*"&amp;BB28&amp;"*"&amp;TEXT(BI28-utc_offset/24,"YYYYMMDD")&amp;"*"" /stext="" "&amp;TEXT(BI28-utc_offset/24,"HH")&amp;search_regexp&amp;""""</f>
        <v>#REF!</v>
      </c>
      <c r="CG28" s="234" t="e">
        <f>astrogrep_path&amp;" /e /r /s /spath="&amp;search_path&amp;" /stypes=""app*"&amp;BC28&amp;"*"&amp;TEXT(BJ28-utc_offset/24,"YYYYMMDD")&amp;"*"" /stext="" "&amp;TEXT(BJ28-utc_offset/24,"HH")&amp;search_regexp&amp;""""</f>
        <v>#REF!</v>
      </c>
      <c r="CH28" s="234" t="e">
        <f>astrogrep_path&amp;" /e /r /s /spath="&amp;search_path&amp;" /stypes=""app*"&amp;BD28&amp;"*"&amp;TEXT(BK28-utc_offset/24,"YYYYMMDD")&amp;"*"" /stext="" "&amp;TEXT(BK28-utc_offset/24,"HH")&amp;search_regexp&amp;""""</f>
        <v>#REF!</v>
      </c>
      <c r="CI28" s="234" t="e">
        <f>astrogrep_path&amp;" /e /r /s /spath="&amp;search_path&amp;" /stypes=""app*"&amp;BE28&amp;"*"&amp;TEXT(BL28-utc_offset/24,"YYYYMMDD")&amp;"*"" /stext="" "&amp;TEXT(BL28-utc_offset/24,"HH")&amp;search_regexp&amp;""""</f>
        <v>#REF!</v>
      </c>
      <c r="CJ28" s="234" t="e">
        <f>astrogrep_path&amp;" /e /r /s /spath="&amp;search_path&amp;" /stypes=""app*"&amp;BF28&amp;"*"&amp;TEXT(BM28-utc_offset/24,"YYYYMMDD")&amp;"*"" /stext="" "&amp;TEXT(BM28-utc_offset/24,"HH")&amp;search_regexp&amp;""""</f>
        <v>#REF!</v>
      </c>
      <c r="CK28" s="234" t="e">
        <f>astrogrep_path&amp;" /e /r /s /spath="&amp;search_path&amp;" /stypes=""app*"&amp;BG28&amp;"*"&amp;TEXT(BN28-utc_offset/24,"YYYYMMDD")&amp;"*"" /stext="" "&amp;TEXT(BN28-utc_offset/24,"HH")&amp;search_regexp&amp;""""</f>
        <v>#REF!</v>
      </c>
      <c r="CL28" s="234" t="e">
        <f>astrogrep_path&amp;" /e /r /s /spath="&amp;search_path&amp;" /stypes=""app*"&amp;BH28&amp;"*"&amp;TEXT(BO28-utc_offset/24,"YYYYMMDD")&amp;"*"" /stext="" "&amp;TEXT(BO28-utc_offset/24,"HH")&amp;search_regexp&amp;""""</f>
        <v>#REF!</v>
      </c>
      <c r="CM28" s="234" t="e">
        <f>astrogrep_path&amp;" /e /r /s /spath="&amp;search_path&amp;" /stypes=""app*"&amp;BI28&amp;"*"&amp;TEXT(BP28-utc_offset/24,"YYYYMMDD")&amp;"*"" /stext="" "&amp;TEXT(BP28-utc_offset/24,"HH")&amp;search_regexp&amp;""""</f>
        <v>#VALUE!</v>
      </c>
      <c r="CN28" s="234" t="e">
        <f>astrogrep_path&amp;" /e /r /s /spath="&amp;search_path&amp;" /stypes=""app*"&amp;BJ28&amp;"*"&amp;TEXT(BQ28-utc_offset/24,"YYYYMMDD")&amp;"*"" /stext="" "&amp;TEXT(BQ28-utc_offset/24,"HH")&amp;search_regexp&amp;""""</f>
        <v>#VALUE!</v>
      </c>
      <c r="CO28" s="234" t="e">
        <f>astrogrep_path&amp;" /e /r /s /spath="&amp;search_path&amp;" /stypes=""app*"&amp;BK28&amp;"*"&amp;TEXT(BR28-utc_offset/24,"YYYYMMDD")&amp;"*"" /stext="" "&amp;TEXT(BR28-utc_offset/24,"HH")&amp;search_regexp&amp;""""</f>
        <v>#REF!</v>
      </c>
      <c r="CP28" s="234" t="e">
        <f>astrogrep_path&amp;" /e /r /s /spath="&amp;search_path&amp;" /stypes=""app*"&amp;BL28&amp;"*"&amp;TEXT(BS28-utc_offset/24,"YYYYMMDD")&amp;"*"" /stext="" "&amp;TEXT(BS28-utc_offset/24,"HH")&amp;search_regexp&amp;""""</f>
        <v>#REF!</v>
      </c>
      <c r="CQ28" s="234" t="e">
        <f>astrogrep_path&amp;" /e /r /s /spath="&amp;search_path&amp;" /stypes=""app*"&amp;BM28&amp;"*"&amp;TEXT(BT28-utc_offset/24,"YYYYMMDD")&amp;"*"" /stext="" "&amp;TEXT(BT28-utc_offset/24,"HH")&amp;search_regexp&amp;""""</f>
        <v>#VALUE!</v>
      </c>
      <c r="CR28" s="234" t="e">
        <f>astrogrep_path&amp;" /e /r /s /spath="&amp;search_path&amp;" /stypes=""app*"&amp;BN28&amp;"*"&amp;TEXT(BU28-utc_offset/24,"YYYYMMDD")&amp;"*"" /stext="" "&amp;TEXT(BU28-utc_offset/24,"HH")&amp;search_regexp&amp;""""</f>
        <v>#VALUE!</v>
      </c>
      <c r="CS28" s="234" t="e">
        <f>astrogrep_path&amp;" /e /r /s /spath="&amp;search_path&amp;" /stypes=""app*"&amp;BO28&amp;"*"&amp;TEXT(BV28-utc_offset/24,"YYYYMMDD")&amp;"*"" /stext="" "&amp;TEXT(BV28-utc_offset/24,"HH")&amp;search_regexp&amp;""""</f>
        <v>#VALUE!</v>
      </c>
      <c r="CT28" s="234" t="e">
        <f>astrogrep_path&amp;" /e /r /s /spath="&amp;search_path&amp;" /stypes=""app*"&amp;BP28&amp;"*"&amp;TEXT(BW28-utc_offset/24,"YYYYMMDD")&amp;"*"" /stext="" "&amp;TEXT(BW28-utc_offset/24,"HH")&amp;search_regexp&amp;""""</f>
        <v>#VALUE!</v>
      </c>
      <c r="CU28" s="234" t="e">
        <f>astrogrep_path&amp;" /e /r /s /spath="&amp;search_path&amp;" /stypes=""app*"&amp;BQ28&amp;"*"&amp;TEXT(BX28-utc_offset/24,"YYYYMMDD")&amp;"*"" /stext="" "&amp;TEXT(BX28-utc_offset/24,"HH")&amp;search_regexp&amp;""""</f>
        <v>#VALUE!</v>
      </c>
      <c r="CV28" s="234" t="e">
        <f>astrogrep_path&amp;" /e /r /s /spath="&amp;search_path&amp;" /stypes=""app*"&amp;BR28&amp;"*"&amp;TEXT(BY28-utc_offset/24,"YYYYMMDD")&amp;"*"" /stext="" "&amp;TEXT(BY28-utc_offset/24,"HH")&amp;search_regexp&amp;""""</f>
        <v>#REF!</v>
      </c>
      <c r="CW28" s="234" t="e">
        <f>astrogrep_path&amp;" /e /r /s /spath="&amp;search_path&amp;" /stypes=""app*"&amp;BS28&amp;"*"&amp;TEXT(BZ28-utc_offset/24,"YYYYMMDD")&amp;"*"" /stext="" "&amp;TEXT(BZ28-utc_offset/24,"HH")&amp;search_regexp&amp;""""</f>
        <v>#REF!</v>
      </c>
      <c r="CX28" s="234" t="e">
        <f>astrogrep_path&amp;" /e /r /s /spath="&amp;search_path&amp;" /stypes=""app*"&amp;BT28&amp;"*"&amp;TEXT(CA28-utc_offset/24,"YYYYMMDD")&amp;"*"" /stext="" "&amp;TEXT(CA28-utc_offset/24,"HH")&amp;search_regexp&amp;""""</f>
        <v>#REF!</v>
      </c>
      <c r="CY28" s="234" t="e">
        <f>astrogrep_path&amp;" /e /r /s /spath="&amp;search_path&amp;" /stypes=""app*"&amp;BU28&amp;"*"&amp;TEXT(CB28-utc_offset/24,"YYYYMMDD")&amp;"*"" /stext="" "&amp;TEXT(CB28-utc_offset/24,"HH")&amp;search_regexp&amp;""""</f>
        <v>#REF!</v>
      </c>
      <c r="CZ28" s="234" t="e">
        <f>astrogrep_path&amp;" /e /r /s /spath="&amp;search_path&amp;" /stypes=""app*"&amp;BV28&amp;"*"&amp;TEXT(CC28-utc_offset/24,"YYYYMMDD")&amp;"*"" /stext="" "&amp;TEXT(CC28-utc_offset/24,"HH")&amp;search_regexp&amp;""""</f>
        <v>#REF!</v>
      </c>
      <c r="DA28" s="234" t="e">
        <f>astrogrep_path&amp;" /e /r /s /spath="&amp;search_path&amp;" /stypes=""app*"&amp;BW28&amp;"*"&amp;TEXT(CD28-utc_offset/24,"YYYYMMDD")&amp;"*"" /stext="" "&amp;TEXT(CD28-utc_offset/24,"HH")&amp;search_regexp&amp;""""</f>
        <v>#REF!</v>
      </c>
      <c r="DB28" s="234" t="e">
        <f>astrogrep_path&amp;" /e /r /s /spath="&amp;search_path&amp;" /stypes=""app*"&amp;BX28&amp;"*"&amp;TEXT(CE28-utc_offset/24,"YYYYMMDD")&amp;"*"" /stext="" "&amp;TEXT(CE28-utc_offset/24,"HH")&amp;search_regexp&amp;""""</f>
        <v>#REF!</v>
      </c>
      <c r="DC28" s="234" t="e">
        <f>astrogrep_path&amp;" /e /r /s /spath="&amp;search_path&amp;" /stypes=""app*"&amp;BY28&amp;"*"&amp;TEXT(CF28-utc_offset/24,"YYYYMMDD")&amp;"*"" /stext="" "&amp;TEXT(CF28-utc_offset/24,"HH")&amp;search_regexp&amp;""""</f>
        <v>#REF!</v>
      </c>
      <c r="DD28" s="234" t="e">
        <f>astrogrep_path&amp;" /e /r /s /spath="&amp;search_path&amp;" /stypes=""app*"&amp;BZ28&amp;"*"&amp;TEXT(CG28-utc_offset/24,"YYYYMMDD")&amp;"*"" /stext="" "&amp;TEXT(CG28-utc_offset/24,"HH")&amp;search_regexp&amp;""""</f>
        <v>#REF!</v>
      </c>
      <c r="DE28" s="234" t="e">
        <f>astrogrep_path&amp;" /e /r /s /spath="&amp;search_path&amp;" /stypes=""app*"&amp;CA28&amp;"*"&amp;TEXT(CH28-utc_offset/24,"YYYYMMDD")&amp;"*"" /stext="" "&amp;TEXT(CH28-utc_offset/24,"HH")&amp;search_regexp&amp;""""</f>
        <v>#REF!</v>
      </c>
      <c r="DF28" s="234" t="e">
        <f>astrogrep_path&amp;" /e /r /s /spath="&amp;search_path&amp;" /stypes=""app*"&amp;CB28&amp;"*"&amp;TEXT(CI28-utc_offset/24,"YYYYMMDD")&amp;"*"" /stext="" "&amp;TEXT(CI28-utc_offset/24,"HH")&amp;search_regexp&amp;""""</f>
        <v>#REF!</v>
      </c>
      <c r="DG28" s="234" t="e">
        <f>astrogrep_path&amp;" /e /r /s /spath="&amp;search_path&amp;" /stypes=""app*"&amp;CC28&amp;"*"&amp;TEXT(CJ28-utc_offset/24,"YYYYMMDD")&amp;"*"" /stext="" "&amp;TEXT(CJ28-utc_offset/24,"HH")&amp;search_regexp&amp;""""</f>
        <v>#REF!</v>
      </c>
      <c r="DH28" s="234" t="e">
        <f>astrogrep_path&amp;" /e /r /s /spath="&amp;search_path&amp;" /stypes=""app*"&amp;CD28&amp;"*"&amp;TEXT(CK28-utc_offset/24,"YYYYMMDD")&amp;"*"" /stext="" "&amp;TEXT(CK28-utc_offset/24,"HH")&amp;search_regexp&amp;""""</f>
        <v>#REF!</v>
      </c>
      <c r="DI28" s="234" t="e">
        <f>astrogrep_path&amp;" /e /r /s /spath="&amp;search_path&amp;" /stypes=""app*"&amp;CE28&amp;"*"&amp;TEXT(CL28-utc_offset/24,"YYYYMMDD")&amp;"*"" /stext="" "&amp;TEXT(CL28-utc_offset/24,"HH")&amp;search_regexp&amp;""""</f>
        <v>#REF!</v>
      </c>
      <c r="DJ28" s="234" t="e">
        <f>astrogrep_path&amp;" /e /r /s /spath="&amp;search_path&amp;" /stypes=""app*"&amp;CF28&amp;"*"&amp;TEXT(CM28-utc_offset/24,"YYYYMMDD")&amp;"*"" /stext="" "&amp;TEXT(CM28-utc_offset/24,"HH")&amp;search_regexp&amp;""""</f>
        <v>#REF!</v>
      </c>
      <c r="DK28" s="234" t="e">
        <f>astrogrep_path&amp;" /e /r /s /spath="&amp;search_path&amp;" /stypes=""app*"&amp;CG28&amp;"*"&amp;TEXT(CN28-utc_offset/24,"YYYYMMDD")&amp;"*"" /stext="" "&amp;TEXT(CN28-utc_offset/24,"HH")&amp;search_regexp&amp;""""</f>
        <v>#REF!</v>
      </c>
      <c r="DL28" s="234" t="e">
        <f>astrogrep_path&amp;" /e /r /s /spath="&amp;search_path&amp;" /stypes=""app*"&amp;CH28&amp;"*"&amp;TEXT(CO28-utc_offset/24,"YYYYMMDD")&amp;"*"" /stext="" "&amp;TEXT(CO28-utc_offset/24,"HH")&amp;search_regexp&amp;""""</f>
        <v>#REF!</v>
      </c>
      <c r="DM28" s="234" t="e">
        <f>astrogrep_path&amp;" /e /r /s /spath="&amp;search_path&amp;" /stypes=""app*"&amp;CI28&amp;"*"&amp;TEXT(CP28-utc_offset/24,"YYYYMMDD")&amp;"*"" /stext="" "&amp;TEXT(CP28-utc_offset/24,"HH")&amp;search_regexp&amp;""""</f>
        <v>#REF!</v>
      </c>
      <c r="DN28" s="234" t="e">
        <f>astrogrep_path&amp;" /e /r /s /spath="&amp;search_path&amp;" /stypes=""app*"&amp;CJ28&amp;"*"&amp;TEXT(CQ28-utc_offset/24,"YYYYMMDD")&amp;"*"" /stext="" "&amp;TEXT(CQ28-utc_offset/24,"HH")&amp;search_regexp&amp;""""</f>
        <v>#REF!</v>
      </c>
      <c r="DO28" s="234" t="e">
        <f>astrogrep_path&amp;" /e /r /s /spath="&amp;search_path&amp;" /stypes=""app*"&amp;CK28&amp;"*"&amp;TEXT(CR28-utc_offset/24,"YYYYMMDD")&amp;"*"" /stext="" "&amp;TEXT(CR28-utc_offset/24,"HH")&amp;search_regexp&amp;""""</f>
        <v>#REF!</v>
      </c>
      <c r="DP28" s="234" t="e">
        <f>astrogrep_path&amp;" /e /r /s /spath="&amp;search_path&amp;" /stypes=""app*"&amp;CL28&amp;"*"&amp;TEXT(CS28-utc_offset/24,"YYYYMMDD")&amp;"*"" /stext="" "&amp;TEXT(CS28-utc_offset/24,"HH")&amp;search_regexp&amp;""""</f>
        <v>#REF!</v>
      </c>
      <c r="DQ28" s="234" t="e">
        <f>astrogrep_path&amp;" /e /r /s /spath="&amp;search_path&amp;" /stypes=""app*"&amp;CM28&amp;"*"&amp;TEXT(CT28-utc_offset/24,"YYYYMMDD")&amp;"*"" /stext="" "&amp;TEXT(CT28-utc_offset/24,"HH")&amp;search_regexp&amp;""""</f>
        <v>#VALUE!</v>
      </c>
      <c r="DR28" s="234" t="e">
        <f>astrogrep_path&amp;" /e /r /s /spath="&amp;search_path&amp;" /stypes=""app*"&amp;CN28&amp;"*"&amp;TEXT(CU28-utc_offset/24,"YYYYMMDD")&amp;"*"" /stext="" "&amp;TEXT(CU28-utc_offset/24,"HH")&amp;search_regexp&amp;""""</f>
        <v>#VALUE!</v>
      </c>
      <c r="DS28" s="234" t="e">
        <f>astrogrep_path&amp;" /e /r /s /spath="&amp;search_path&amp;" /stypes=""app*"&amp;CO28&amp;"*"&amp;TEXT(CV28-utc_offset/24,"YYYYMMDD")&amp;"*"" /stext="" "&amp;TEXT(CV28-utc_offset/24,"HH")&amp;search_regexp&amp;""""</f>
        <v>#REF!</v>
      </c>
      <c r="DT28" s="234" t="e">
        <f>astrogrep_path&amp;" /e /r /s /spath="&amp;search_path&amp;" /stypes=""app*"&amp;CP28&amp;"*"&amp;TEXT(CW28-utc_offset/24,"YYYYMMDD")&amp;"*"" /stext="" "&amp;TEXT(CW28-utc_offset/24,"HH")&amp;search_regexp&amp;""""</f>
        <v>#REF!</v>
      </c>
      <c r="DU28" s="234" t="e">
        <f>astrogrep_path&amp;" /e /r /s /spath="&amp;search_path&amp;" /stypes=""app*"&amp;CQ28&amp;"*"&amp;TEXT(CX28-utc_offset/24,"YYYYMMDD")&amp;"*"" /stext="" "&amp;TEXT(CX28-utc_offset/24,"HH")&amp;search_regexp&amp;""""</f>
        <v>#VALUE!</v>
      </c>
      <c r="DV28" s="234" t="e">
        <f>astrogrep_path&amp;" /e /r /s /spath="&amp;search_path&amp;" /stypes=""app*"&amp;CR28&amp;"*"&amp;TEXT(CY28-utc_offset/24,"YYYYMMDD")&amp;"*"" /stext="" "&amp;TEXT(CY28-utc_offset/24,"HH")&amp;search_regexp&amp;""""</f>
        <v>#VALUE!</v>
      </c>
      <c r="DW28" s="234" t="e">
        <f>astrogrep_path&amp;" /e /r /s /spath="&amp;search_path&amp;" /stypes=""app*"&amp;CS28&amp;"*"&amp;TEXT(CZ28-utc_offset/24,"YYYYMMDD")&amp;"*"" /stext="" "&amp;TEXT(CZ28-utc_offset/24,"HH")&amp;search_regexp&amp;""""</f>
        <v>#VALUE!</v>
      </c>
      <c r="DX28" s="234" t="e">
        <f>astrogrep_path&amp;" /e /r /s /spath="&amp;search_path&amp;" /stypes=""app*"&amp;CT28&amp;"*"&amp;TEXT(DA28-utc_offset/24,"YYYYMMDD")&amp;"*"" /stext="" "&amp;TEXT(DA28-utc_offset/24,"HH")&amp;search_regexp&amp;""""</f>
        <v>#VALUE!</v>
      </c>
      <c r="DY28" s="234" t="e">
        <f>astrogrep_path&amp;" /e /r /s /spath="&amp;search_path&amp;" /stypes=""app*"&amp;CU28&amp;"*"&amp;TEXT(DB28-utc_offset/24,"YYYYMMDD")&amp;"*"" /stext="" "&amp;TEXT(DB28-utc_offset/24,"HH")&amp;search_regexp&amp;""""</f>
        <v>#VALUE!</v>
      </c>
      <c r="DZ28" s="234" t="e">
        <f>astrogrep_path&amp;" /e /r /s /spath="&amp;search_path&amp;" /stypes=""app*"&amp;CV28&amp;"*"&amp;TEXT(DC28-utc_offset/24,"YYYYMMDD")&amp;"*"" /stext="" "&amp;TEXT(DC28-utc_offset/24,"HH")&amp;search_regexp&amp;""""</f>
        <v>#REF!</v>
      </c>
      <c r="EA28" s="234" t="e">
        <f>astrogrep_path&amp;" /e /r /s /spath="&amp;search_path&amp;" /stypes=""app*"&amp;CW28&amp;"*"&amp;TEXT(DD28-utc_offset/24,"YYYYMMDD")&amp;"*"" /stext="" "&amp;TEXT(DD28-utc_offset/24,"HH")&amp;search_regexp&amp;""""</f>
        <v>#REF!</v>
      </c>
      <c r="EB28" s="234" t="e">
        <f>astrogrep_path&amp;" /e /r /s /spath="&amp;search_path&amp;" /stypes=""app*"&amp;CX28&amp;"*"&amp;TEXT(DE28-utc_offset/24,"YYYYMMDD")&amp;"*"" /stext="" "&amp;TEXT(DE28-utc_offset/24,"HH")&amp;search_regexp&amp;""""</f>
        <v>#REF!</v>
      </c>
      <c r="EC28" s="234" t="e">
        <f>astrogrep_path&amp;" /e /r /s /spath="&amp;search_path&amp;" /stypes=""app*"&amp;CY28&amp;"*"&amp;TEXT(DF28-utc_offset/24,"YYYYMMDD")&amp;"*"" /stext="" "&amp;TEXT(DF28-utc_offset/24,"HH")&amp;search_regexp&amp;""""</f>
        <v>#REF!</v>
      </c>
      <c r="ED28" s="234" t="e">
        <f>astrogrep_path&amp;" /e /r /s /spath="&amp;search_path&amp;" /stypes=""app*"&amp;CZ28&amp;"*"&amp;TEXT(DG28-utc_offset/24,"YYYYMMDD")&amp;"*"" /stext="" "&amp;TEXT(DG28-utc_offset/24,"HH")&amp;search_regexp&amp;""""</f>
        <v>#REF!</v>
      </c>
      <c r="EE28" s="234" t="e">
        <f>astrogrep_path&amp;" /e /r /s /spath="&amp;search_path&amp;" /stypes=""app*"&amp;DA28&amp;"*"&amp;TEXT(DH28-utc_offset/24,"YYYYMMDD")&amp;"*"" /stext="" "&amp;TEXT(DH28-utc_offset/24,"HH")&amp;search_regexp&amp;""""</f>
        <v>#REF!</v>
      </c>
      <c r="EF28" s="234" t="e">
        <f>astrogrep_path&amp;" /e /r /s /spath="&amp;search_path&amp;" /stypes=""app*"&amp;DB28&amp;"*"&amp;TEXT(DI28-utc_offset/24,"YYYYMMDD")&amp;"*"" /stext="" "&amp;TEXT(DI28-utc_offset/24,"HH")&amp;search_regexp&amp;""""</f>
        <v>#REF!</v>
      </c>
      <c r="EG28" s="234" t="e">
        <f>astrogrep_path&amp;" /e /r /s /spath="&amp;search_path&amp;" /stypes=""app*"&amp;DC28&amp;"*"&amp;TEXT(DJ28-utc_offset/24,"YYYYMMDD")&amp;"*"" /stext="" "&amp;TEXT(DJ28-utc_offset/24,"HH")&amp;search_regexp&amp;""""</f>
        <v>#REF!</v>
      </c>
      <c r="EH28" s="234" t="e">
        <f>astrogrep_path&amp;" /e /r /s /spath="&amp;search_path&amp;" /stypes=""app*"&amp;DD28&amp;"*"&amp;TEXT(DK28-utc_offset/24,"YYYYMMDD")&amp;"*"" /stext="" "&amp;TEXT(DK28-utc_offset/24,"HH")&amp;search_regexp&amp;""""</f>
        <v>#REF!</v>
      </c>
      <c r="EI28" s="234" t="e">
        <f>astrogrep_path&amp;" /e /r /s /spath="&amp;search_path&amp;" /stypes=""app*"&amp;DE28&amp;"*"&amp;TEXT(DL28-utc_offset/24,"YYYYMMDD")&amp;"*"" /stext="" "&amp;TEXT(DL28-utc_offset/24,"HH")&amp;search_regexp&amp;""""</f>
        <v>#REF!</v>
      </c>
      <c r="EJ28" s="234" t="e">
        <f>astrogrep_path&amp;" /e /r /s /spath="&amp;search_path&amp;" /stypes=""app*"&amp;DF28&amp;"*"&amp;TEXT(DM28-utc_offset/24,"YYYYMMDD")&amp;"*"" /stext="" "&amp;TEXT(DM28-utc_offset/24,"HH")&amp;search_regexp&amp;""""</f>
        <v>#REF!</v>
      </c>
      <c r="EK28" s="234" t="e">
        <f>astrogrep_path&amp;" /e /r /s /spath="&amp;search_path&amp;" /stypes=""app*"&amp;DG28&amp;"*"&amp;TEXT(DN28-utc_offset/24,"YYYYMMDD")&amp;"*"" /stext="" "&amp;TEXT(DN28-utc_offset/24,"HH")&amp;search_regexp&amp;""""</f>
        <v>#REF!</v>
      </c>
      <c r="EL28" s="234" t="e">
        <f>astrogrep_path&amp;" /e /r /s /spath="&amp;search_path&amp;" /stypes=""app*"&amp;DH28&amp;"*"&amp;TEXT(DO28-utc_offset/24,"YYYYMMDD")&amp;"*"" /stext="" "&amp;TEXT(DO28-utc_offset/24,"HH")&amp;search_regexp&amp;""""</f>
        <v>#REF!</v>
      </c>
      <c r="EM28" s="234" t="e">
        <f>astrogrep_path&amp;" /e /r /s /spath="&amp;search_path&amp;" /stypes=""app*"&amp;DI28&amp;"*"&amp;TEXT(DP28-utc_offset/24,"YYYYMMDD")&amp;"*"" /stext="" "&amp;TEXT(DP28-utc_offset/24,"HH")&amp;search_regexp&amp;""""</f>
        <v>#REF!</v>
      </c>
      <c r="EN28" s="234" t="e">
        <f>astrogrep_path&amp;" /e /r /s /spath="&amp;search_path&amp;" /stypes=""app*"&amp;DJ28&amp;"*"&amp;TEXT(DQ28-utc_offset/24,"YYYYMMDD")&amp;"*"" /stext="" "&amp;TEXT(DQ28-utc_offset/24,"HH")&amp;search_regexp&amp;""""</f>
        <v>#REF!</v>
      </c>
      <c r="EO28" s="234" t="e">
        <f>astrogrep_path&amp;" /e /r /s /spath="&amp;search_path&amp;" /stypes=""app*"&amp;DK28&amp;"*"&amp;TEXT(DR28-utc_offset/24,"YYYYMMDD")&amp;"*"" /stext="" "&amp;TEXT(DR28-utc_offset/24,"HH")&amp;search_regexp&amp;""""</f>
        <v>#REF!</v>
      </c>
      <c r="EP28" s="234" t="e">
        <f>astrogrep_path&amp;" /e /r /s /spath="&amp;search_path&amp;" /stypes=""app*"&amp;DL28&amp;"*"&amp;TEXT(DS28-utc_offset/24,"YYYYMMDD")&amp;"*"" /stext="" "&amp;TEXT(DS28-utc_offset/24,"HH")&amp;search_regexp&amp;""""</f>
        <v>#REF!</v>
      </c>
      <c r="EQ28" s="234" t="e">
        <f>astrogrep_path&amp;" /e /r /s /spath="&amp;search_path&amp;" /stypes=""app*"&amp;DM28&amp;"*"&amp;TEXT(DT28-utc_offset/24,"YYYYMMDD")&amp;"*"" /stext="" "&amp;TEXT(DT28-utc_offset/24,"HH")&amp;search_regexp&amp;""""</f>
        <v>#REF!</v>
      </c>
      <c r="ER28" s="234" t="e">
        <f>astrogrep_path&amp;" /e /r /s /spath="&amp;search_path&amp;" /stypes=""app*"&amp;DN28&amp;"*"&amp;TEXT(DU28-utc_offset/24,"YYYYMMDD")&amp;"*"" /stext="" "&amp;TEXT(DU28-utc_offset/24,"HH")&amp;search_regexp&amp;""""</f>
        <v>#REF!</v>
      </c>
      <c r="ES28" s="234" t="e">
        <f>astrogrep_path&amp;" /e /r /s /spath="&amp;search_path&amp;" /stypes=""app*"&amp;DO28&amp;"*"&amp;TEXT(DV28-utc_offset/24,"YYYYMMDD")&amp;"*"" /stext="" "&amp;TEXT(DV28-utc_offset/24,"HH")&amp;search_regexp&amp;""""</f>
        <v>#REF!</v>
      </c>
      <c r="ET28" s="234" t="e">
        <f>astrogrep_path&amp;" /e /r /s /spath="&amp;search_path&amp;" /stypes=""app*"&amp;DP28&amp;"*"&amp;TEXT(DW28-utc_offset/24,"YYYYMMDD")&amp;"*"" /stext="" "&amp;TEXT(DW28-utc_offset/24,"HH")&amp;search_regexp&amp;""""</f>
        <v>#REF!</v>
      </c>
      <c r="EU28" s="234" t="e">
        <f>astrogrep_path&amp;" /e /r /s /spath="&amp;search_path&amp;" /stypes=""app*"&amp;DQ28&amp;"*"&amp;TEXT(DX28-utc_offset/24,"YYYYMMDD")&amp;"*"" /stext="" "&amp;TEXT(DX28-utc_offset/24,"HH")&amp;search_regexp&amp;""""</f>
        <v>#VALUE!</v>
      </c>
      <c r="EV28" s="234" t="e">
        <f>astrogrep_path&amp;" /e /r /s /spath="&amp;search_path&amp;" /stypes=""app*"&amp;DR28&amp;"*"&amp;TEXT(DY28-utc_offset/24,"YYYYMMDD")&amp;"*"" /stext="" "&amp;TEXT(DY28-utc_offset/24,"HH")&amp;search_regexp&amp;""""</f>
        <v>#VALUE!</v>
      </c>
      <c r="EW28" s="234" t="e">
        <f>astrogrep_path&amp;" /e /r /s /spath="&amp;search_path&amp;" /stypes=""app*"&amp;DS28&amp;"*"&amp;TEXT(DZ28-utc_offset/24,"YYYYMMDD")&amp;"*"" /stext="" "&amp;TEXT(DZ28-utc_offset/24,"HH")&amp;search_regexp&amp;""""</f>
        <v>#REF!</v>
      </c>
      <c r="EX28" s="234" t="e">
        <f>astrogrep_path&amp;" /e /r /s /spath="&amp;search_path&amp;" /stypes=""app*"&amp;DT28&amp;"*"&amp;TEXT(EA28-utc_offset/24,"YYYYMMDD")&amp;"*"" /stext="" "&amp;TEXT(EA28-utc_offset/24,"HH")&amp;search_regexp&amp;""""</f>
        <v>#REF!</v>
      </c>
      <c r="EY28" s="234" t="e">
        <f>astrogrep_path&amp;" /e /r /s /spath="&amp;search_path&amp;" /stypes=""app*"&amp;DU28&amp;"*"&amp;TEXT(EB28-utc_offset/24,"YYYYMMDD")&amp;"*"" /stext="" "&amp;TEXT(EB28-utc_offset/24,"HH")&amp;search_regexp&amp;""""</f>
        <v>#VALUE!</v>
      </c>
      <c r="EZ28" s="234" t="e">
        <f>astrogrep_path&amp;" /e /r /s /spath="&amp;search_path&amp;" /stypes=""app*"&amp;DV28&amp;"*"&amp;TEXT(EC28-utc_offset/24,"YYYYMMDD")&amp;"*"" /stext="" "&amp;TEXT(EC28-utc_offset/24,"HH")&amp;search_regexp&amp;""""</f>
        <v>#VALUE!</v>
      </c>
      <c r="FA28" s="234" t="e">
        <f>astrogrep_path&amp;" /e /r /s /spath="&amp;search_path&amp;" /stypes=""app*"&amp;DW28&amp;"*"&amp;TEXT(ED28-utc_offset/24,"YYYYMMDD")&amp;"*"" /stext="" "&amp;TEXT(ED28-utc_offset/24,"HH")&amp;search_regexp&amp;""""</f>
        <v>#VALUE!</v>
      </c>
      <c r="FB28" s="234" t="e">
        <f>astrogrep_path&amp;" /e /r /s /spath="&amp;search_path&amp;" /stypes=""app*"&amp;DX28&amp;"*"&amp;TEXT(EE28-utc_offset/24,"YYYYMMDD")&amp;"*"" /stext="" "&amp;TEXT(EE28-utc_offset/24,"HH")&amp;search_regexp&amp;""""</f>
        <v>#VALUE!</v>
      </c>
      <c r="FC28" s="234" t="e">
        <f>astrogrep_path&amp;" /e /r /s /spath="&amp;search_path&amp;" /stypes=""app*"&amp;DY28&amp;"*"&amp;TEXT(EF28-utc_offset/24,"YYYYMMDD")&amp;"*"" /stext="" "&amp;TEXT(EF28-utc_offset/24,"HH")&amp;search_regexp&amp;""""</f>
        <v>#VALUE!</v>
      </c>
      <c r="FD28" s="234" t="e">
        <f>astrogrep_path&amp;" /e /r /s /spath="&amp;search_path&amp;" /stypes=""app*"&amp;DZ28&amp;"*"&amp;TEXT(EG28-utc_offset/24,"YYYYMMDD")&amp;"*"" /stext="" "&amp;TEXT(EG28-utc_offset/24,"HH")&amp;search_regexp&amp;""""</f>
        <v>#REF!</v>
      </c>
      <c r="FE28" s="234" t="e">
        <f>astrogrep_path&amp;" /e /r /s /spath="&amp;search_path&amp;" /stypes=""app*"&amp;EA28&amp;"*"&amp;TEXT(EH28-utc_offset/24,"YYYYMMDD")&amp;"*"" /stext="" "&amp;TEXT(EH28-utc_offset/24,"HH")&amp;search_regexp&amp;""""</f>
        <v>#REF!</v>
      </c>
      <c r="FF28" s="234" t="e">
        <f>astrogrep_path&amp;" /e /r /s /spath="&amp;search_path&amp;" /stypes=""app*"&amp;EB28&amp;"*"&amp;TEXT(EI28-utc_offset/24,"YYYYMMDD")&amp;"*"" /stext="" "&amp;TEXT(EI28-utc_offset/24,"HH")&amp;search_regexp&amp;""""</f>
        <v>#REF!</v>
      </c>
      <c r="FG28" s="234" t="e">
        <f>astrogrep_path&amp;" /e /r /s /spath="&amp;search_path&amp;" /stypes=""app*"&amp;EC28&amp;"*"&amp;TEXT(EJ28-utc_offset/24,"YYYYMMDD")&amp;"*"" /stext="" "&amp;TEXT(EJ28-utc_offset/24,"HH")&amp;search_regexp&amp;""""</f>
        <v>#REF!</v>
      </c>
      <c r="FH28" s="234" t="e">
        <f>astrogrep_path&amp;" /e /r /s /spath="&amp;search_path&amp;" /stypes=""app*"&amp;ED28&amp;"*"&amp;TEXT(EK28-utc_offset/24,"YYYYMMDD")&amp;"*"" /stext="" "&amp;TEXT(EK28-utc_offset/24,"HH")&amp;search_regexp&amp;""""</f>
        <v>#REF!</v>
      </c>
      <c r="FI28" s="234" t="e">
        <f>astrogrep_path&amp;" /e /r /s /spath="&amp;search_path&amp;" /stypes=""app*"&amp;EE28&amp;"*"&amp;TEXT(EL28-utc_offset/24,"YYYYMMDD")&amp;"*"" /stext="" "&amp;TEXT(EL28-utc_offset/24,"HH")&amp;search_regexp&amp;""""</f>
        <v>#REF!</v>
      </c>
      <c r="FJ28" s="234" t="e">
        <f>astrogrep_path&amp;" /e /r /s /spath="&amp;search_path&amp;" /stypes=""app*"&amp;EF28&amp;"*"&amp;TEXT(EM28-utc_offset/24,"YYYYMMDD")&amp;"*"" /stext="" "&amp;TEXT(EM28-utc_offset/24,"HH")&amp;search_regexp&amp;""""</f>
        <v>#REF!</v>
      </c>
      <c r="FK28" s="234" t="e">
        <f>astrogrep_path&amp;" /e /r /s /spath="&amp;search_path&amp;" /stypes=""app*"&amp;EG28&amp;"*"&amp;TEXT(EN28-utc_offset/24,"YYYYMMDD")&amp;"*"" /stext="" "&amp;TEXT(EN28-utc_offset/24,"HH")&amp;search_regexp&amp;""""</f>
        <v>#REF!</v>
      </c>
      <c r="FL28" s="234" t="e">
        <f>astrogrep_path&amp;" /e /r /s /spath="&amp;search_path&amp;" /stypes=""app*"&amp;EH28&amp;"*"&amp;TEXT(EO28-utc_offset/24,"YYYYMMDD")&amp;"*"" /stext="" "&amp;TEXT(EO28-utc_offset/24,"HH")&amp;search_regexp&amp;""""</f>
        <v>#REF!</v>
      </c>
      <c r="FM28" s="234" t="e">
        <f>astrogrep_path&amp;" /e /r /s /spath="&amp;search_path&amp;" /stypes=""app*"&amp;EI28&amp;"*"&amp;TEXT(EP28-utc_offset/24,"YYYYMMDD")&amp;"*"" /stext="" "&amp;TEXT(EP28-utc_offset/24,"HH")&amp;search_regexp&amp;""""</f>
        <v>#REF!</v>
      </c>
      <c r="FN28" s="234" t="e">
        <f>astrogrep_path&amp;" /e /r /s /spath="&amp;search_path&amp;" /stypes=""app*"&amp;EJ28&amp;"*"&amp;TEXT(EQ28-utc_offset/24,"YYYYMMDD")&amp;"*"" /stext="" "&amp;TEXT(EQ28-utc_offset/24,"HH")&amp;search_regexp&amp;""""</f>
        <v>#REF!</v>
      </c>
      <c r="FO28" s="234" t="e">
        <f>astrogrep_path&amp;" /e /r /s /spath="&amp;search_path&amp;" /stypes=""app*"&amp;EK28&amp;"*"&amp;TEXT(ER28-utc_offset/24,"YYYYMMDD")&amp;"*"" /stext="" "&amp;TEXT(ER28-utc_offset/24,"HH")&amp;search_regexp&amp;""""</f>
        <v>#REF!</v>
      </c>
      <c r="FP28" s="234" t="e">
        <f>astrogrep_path&amp;" /e /r /s /spath="&amp;search_path&amp;" /stypes=""app*"&amp;EL28&amp;"*"&amp;TEXT(ES28-utc_offset/24,"YYYYMMDD")&amp;"*"" /stext="" "&amp;TEXT(ES28-utc_offset/24,"HH")&amp;search_regexp&amp;""""</f>
        <v>#REF!</v>
      </c>
      <c r="FQ28" s="234" t="e">
        <f>astrogrep_path&amp;" /e /r /s /spath="&amp;search_path&amp;" /stypes=""app*"&amp;EM28&amp;"*"&amp;TEXT(ET28-utc_offset/24,"YYYYMMDD")&amp;"*"" /stext="" "&amp;TEXT(ET28-utc_offset/24,"HH")&amp;search_regexp&amp;""""</f>
        <v>#REF!</v>
      </c>
      <c r="FR28" s="234" t="e">
        <f>astrogrep_path&amp;" /e /r /s /spath="&amp;search_path&amp;" /stypes=""app*"&amp;EN28&amp;"*"&amp;TEXT(EU28-utc_offset/24,"YYYYMMDD")&amp;"*"" /stext="" "&amp;TEXT(EU28-utc_offset/24,"HH")&amp;search_regexp&amp;""""</f>
        <v>#REF!</v>
      </c>
      <c r="FS28" s="234" t="e">
        <f>astrogrep_path&amp;" /e /r /s /spath="&amp;search_path&amp;" /stypes=""app*"&amp;EO28&amp;"*"&amp;TEXT(EV28-utc_offset/24,"YYYYMMDD")&amp;"*"" /stext="" "&amp;TEXT(EV28-utc_offset/24,"HH")&amp;search_regexp&amp;""""</f>
        <v>#REF!</v>
      </c>
      <c r="FT28" s="234" t="e">
        <f>astrogrep_path&amp;" /e /r /s /spath="&amp;search_path&amp;" /stypes=""app*"&amp;EP28&amp;"*"&amp;TEXT(EW28-utc_offset/24,"YYYYMMDD")&amp;"*"" /stext="" "&amp;TEXT(EW28-utc_offset/24,"HH")&amp;search_regexp&amp;""""</f>
        <v>#REF!</v>
      </c>
      <c r="FU28" s="234" t="e">
        <f>astrogrep_path&amp;" /e /r /s /spath="&amp;search_path&amp;" /stypes=""app*"&amp;EQ28&amp;"*"&amp;TEXT(EX28-utc_offset/24,"YYYYMMDD")&amp;"*"" /stext="" "&amp;TEXT(EX28-utc_offset/24,"HH")&amp;search_regexp&amp;""""</f>
        <v>#REF!</v>
      </c>
      <c r="FV28" s="234" t="e">
        <f>astrogrep_path&amp;" /e /r /s /spath="&amp;search_path&amp;" /stypes=""app*"&amp;ER28&amp;"*"&amp;TEXT(EY28-utc_offset/24,"YYYYMMDD")&amp;"*"" /stext="" "&amp;TEXT(EY28-utc_offset/24,"HH")&amp;search_regexp&amp;""""</f>
        <v>#REF!</v>
      </c>
      <c r="FW28" s="234" t="e">
        <f>astrogrep_path&amp;" /e /r /s /spath="&amp;search_path&amp;" /stypes=""app*"&amp;ES28&amp;"*"&amp;TEXT(EZ28-utc_offset/24,"YYYYMMDD")&amp;"*"" /stext="" "&amp;TEXT(EZ28-utc_offset/24,"HH")&amp;search_regexp&amp;""""</f>
        <v>#REF!</v>
      </c>
      <c r="FX28" s="234" t="e">
        <f>astrogrep_path&amp;" /e /r /s /spath="&amp;search_path&amp;" /stypes=""app*"&amp;ET28&amp;"*"&amp;TEXT(FA28-utc_offset/24,"YYYYMMDD")&amp;"*"" /stext="" "&amp;TEXT(FA28-utc_offset/24,"HH")&amp;search_regexp&amp;""""</f>
        <v>#REF!</v>
      </c>
      <c r="FY28" s="234" t="e">
        <f>astrogrep_path&amp;" /e /r /s /spath="&amp;search_path&amp;" /stypes=""app*"&amp;EU28&amp;"*"&amp;TEXT(FB28-utc_offset/24,"YYYYMMDD")&amp;"*"" /stext="" "&amp;TEXT(FB28-utc_offset/24,"HH")&amp;search_regexp&amp;""""</f>
        <v>#VALUE!</v>
      </c>
      <c r="FZ28" s="234" t="e">
        <f>astrogrep_path&amp;" /e /r /s /spath="&amp;search_path&amp;" /stypes=""app*"&amp;EV28&amp;"*"&amp;TEXT(FC28-utc_offset/24,"YYYYMMDD")&amp;"*"" /stext="" "&amp;TEXT(FC28-utc_offset/24,"HH")&amp;search_regexp&amp;""""</f>
        <v>#VALUE!</v>
      </c>
      <c r="GA28" s="234" t="e">
        <f>astrogrep_path&amp;" /e /r /s /spath="&amp;search_path&amp;" /stypes=""app*"&amp;EW28&amp;"*"&amp;TEXT(FD28-utc_offset/24,"YYYYMMDD")&amp;"*"" /stext="" "&amp;TEXT(FD28-utc_offset/24,"HH")&amp;search_regexp&amp;""""</f>
        <v>#REF!</v>
      </c>
      <c r="GB28" s="234" t="e">
        <f>astrogrep_path&amp;" /e /r /s /spath="&amp;search_path&amp;" /stypes=""app*"&amp;EX28&amp;"*"&amp;TEXT(FE28-utc_offset/24,"YYYYMMDD")&amp;"*"" /stext="" "&amp;TEXT(FE28-utc_offset/24,"HH")&amp;search_regexp&amp;""""</f>
        <v>#REF!</v>
      </c>
      <c r="GC28" s="234" t="e">
        <f>astrogrep_path&amp;" /e /r /s /spath="&amp;search_path&amp;" /stypes=""app*"&amp;EY28&amp;"*"&amp;TEXT(FF28-utc_offset/24,"YYYYMMDD")&amp;"*"" /stext="" "&amp;TEXT(FF28-utc_offset/24,"HH")&amp;search_regexp&amp;""""</f>
        <v>#VALUE!</v>
      </c>
      <c r="GD28" s="234" t="e">
        <f>astrogrep_path&amp;" /e /r /s /spath="&amp;search_path&amp;" /stypes=""app*"&amp;EZ28&amp;"*"&amp;TEXT(FG28-utc_offset/24,"YYYYMMDD")&amp;"*"" /stext="" "&amp;TEXT(FG28-utc_offset/24,"HH")&amp;search_regexp&amp;""""</f>
        <v>#VALUE!</v>
      </c>
      <c r="GE28" s="234" t="e">
        <f>astrogrep_path&amp;" /e /r /s /spath="&amp;search_path&amp;" /stypes=""app*"&amp;FA28&amp;"*"&amp;TEXT(FH28-utc_offset/24,"YYYYMMDD")&amp;"*"" /stext="" "&amp;TEXT(FH28-utc_offset/24,"HH")&amp;search_regexp&amp;""""</f>
        <v>#VALUE!</v>
      </c>
      <c r="GF28" s="234" t="e">
        <f>astrogrep_path&amp;" /e /r /s /spath="&amp;search_path&amp;" /stypes=""app*"&amp;FB28&amp;"*"&amp;TEXT(FI28-utc_offset/24,"YYYYMMDD")&amp;"*"" /stext="" "&amp;TEXT(FI28-utc_offset/24,"HH")&amp;search_regexp&amp;""""</f>
        <v>#VALUE!</v>
      </c>
      <c r="GG28" s="234" t="e">
        <f>astrogrep_path&amp;" /e /r /s /spath="&amp;search_path&amp;" /stypes=""app*"&amp;FC28&amp;"*"&amp;TEXT(FJ28-utc_offset/24,"YYYYMMDD")&amp;"*"" /stext="" "&amp;TEXT(FJ28-utc_offset/24,"HH")&amp;search_regexp&amp;""""</f>
        <v>#VALUE!</v>
      </c>
      <c r="GH28" s="234" t="e">
        <f>astrogrep_path&amp;" /e /r /s /spath="&amp;search_path&amp;" /stypes=""app*"&amp;FD28&amp;"*"&amp;TEXT(FK28-utc_offset/24,"YYYYMMDD")&amp;"*"" /stext="" "&amp;TEXT(FK28-utc_offset/24,"HH")&amp;search_regexp&amp;""""</f>
        <v>#REF!</v>
      </c>
      <c r="GI28" s="234" t="e">
        <f>astrogrep_path&amp;" /e /r /s /spath="&amp;search_path&amp;" /stypes=""app*"&amp;FE28&amp;"*"&amp;TEXT(FL28-utc_offset/24,"YYYYMMDD")&amp;"*"" /stext="" "&amp;TEXT(FL28-utc_offset/24,"HH")&amp;search_regexp&amp;""""</f>
        <v>#REF!</v>
      </c>
      <c r="GJ28" s="234" t="e">
        <f>astrogrep_path&amp;" /e /r /s /spath="&amp;search_path&amp;" /stypes=""app*"&amp;FF28&amp;"*"&amp;TEXT(FM28-utc_offset/24,"YYYYMMDD")&amp;"*"" /stext="" "&amp;TEXT(FM28-utc_offset/24,"HH")&amp;search_regexp&amp;""""</f>
        <v>#REF!</v>
      </c>
      <c r="GK28" s="234" t="e">
        <f>astrogrep_path&amp;" /e /r /s /spath="&amp;search_path&amp;" /stypes=""app*"&amp;FG28&amp;"*"&amp;TEXT(FN28-utc_offset/24,"YYYYMMDD")&amp;"*"" /stext="" "&amp;TEXT(FN28-utc_offset/24,"HH")&amp;search_regexp&amp;""""</f>
        <v>#REF!</v>
      </c>
      <c r="GL28" s="234" t="e">
        <f>astrogrep_path&amp;" /e /r /s /spath="&amp;search_path&amp;" /stypes=""app*"&amp;FH28&amp;"*"&amp;TEXT(FO28-utc_offset/24,"YYYYMMDD")&amp;"*"" /stext="" "&amp;TEXT(FO28-utc_offset/24,"HH")&amp;search_regexp&amp;""""</f>
        <v>#REF!</v>
      </c>
      <c r="GM28" s="234" t="e">
        <f>astrogrep_path&amp;" /e /r /s /spath="&amp;search_path&amp;" /stypes=""app*"&amp;FI28&amp;"*"&amp;TEXT(FP28-utc_offset/24,"YYYYMMDD")&amp;"*"" /stext="" "&amp;TEXT(FP28-utc_offset/24,"HH")&amp;search_regexp&amp;""""</f>
        <v>#REF!</v>
      </c>
      <c r="GN28" s="234" t="e">
        <f>astrogrep_path&amp;" /e /r /s /spath="&amp;search_path&amp;" /stypes=""app*"&amp;FJ28&amp;"*"&amp;TEXT(FQ28-utc_offset/24,"YYYYMMDD")&amp;"*"" /stext="" "&amp;TEXT(FQ28-utc_offset/24,"HH")&amp;search_regexp&amp;""""</f>
        <v>#REF!</v>
      </c>
      <c r="GO28" s="234" t="e">
        <f>astrogrep_path&amp;" /e /r /s /spath="&amp;search_path&amp;" /stypes=""app*"&amp;FK28&amp;"*"&amp;TEXT(FR28-utc_offset/24,"YYYYMMDD")&amp;"*"" /stext="" "&amp;TEXT(FR28-utc_offset/24,"HH")&amp;search_regexp&amp;""""</f>
        <v>#REF!</v>
      </c>
      <c r="GP28" s="234" t="e">
        <f>astrogrep_path&amp;" /e /r /s /spath="&amp;search_path&amp;" /stypes=""app*"&amp;FL28&amp;"*"&amp;TEXT(FS28-utc_offset/24,"YYYYMMDD")&amp;"*"" /stext="" "&amp;TEXT(FS28-utc_offset/24,"HH")&amp;search_regexp&amp;""""</f>
        <v>#REF!</v>
      </c>
      <c r="GQ28" s="234" t="e">
        <f>astrogrep_path&amp;" /e /r /s /spath="&amp;search_path&amp;" /stypes=""app*"&amp;FM28&amp;"*"&amp;TEXT(FT28-utc_offset/24,"YYYYMMDD")&amp;"*"" /stext="" "&amp;TEXT(FT28-utc_offset/24,"HH")&amp;search_regexp&amp;""""</f>
        <v>#REF!</v>
      </c>
      <c r="GR28" s="234" t="e">
        <f>astrogrep_path&amp;" /e /r /s /spath="&amp;search_path&amp;" /stypes=""app*"&amp;FN28&amp;"*"&amp;TEXT(FU28-utc_offset/24,"YYYYMMDD")&amp;"*"" /stext="" "&amp;TEXT(FU28-utc_offset/24,"HH")&amp;search_regexp&amp;""""</f>
        <v>#REF!</v>
      </c>
      <c r="GS28" s="234" t="e">
        <f>astrogrep_path&amp;" /e /r /s /spath="&amp;search_path&amp;" /stypes=""app*"&amp;FO28&amp;"*"&amp;TEXT(FV28-utc_offset/24,"YYYYMMDD")&amp;"*"" /stext="" "&amp;TEXT(FV28-utc_offset/24,"HH")&amp;search_regexp&amp;""""</f>
        <v>#REF!</v>
      </c>
      <c r="GT28" s="234" t="e">
        <f>astrogrep_path&amp;" /e /r /s /spath="&amp;search_path&amp;" /stypes=""app*"&amp;FP28&amp;"*"&amp;TEXT(FW28-utc_offset/24,"YYYYMMDD")&amp;"*"" /stext="" "&amp;TEXT(FW28-utc_offset/24,"HH")&amp;search_regexp&amp;""""</f>
        <v>#REF!</v>
      </c>
      <c r="GU28" s="234" t="e">
        <f>astrogrep_path&amp;" /e /r /s /spath="&amp;search_path&amp;" /stypes=""app*"&amp;FQ28&amp;"*"&amp;TEXT(FX28-utc_offset/24,"YYYYMMDD")&amp;"*"" /stext="" "&amp;TEXT(FX28-utc_offset/24,"HH")&amp;search_regexp&amp;""""</f>
        <v>#REF!</v>
      </c>
      <c r="GV28" s="234" t="e">
        <f>astrogrep_path&amp;" /e /r /s /spath="&amp;search_path&amp;" /stypes=""app*"&amp;FR28&amp;"*"&amp;TEXT(FY28-utc_offset/24,"YYYYMMDD")&amp;"*"" /stext="" "&amp;TEXT(FY28-utc_offset/24,"HH")&amp;search_regexp&amp;""""</f>
        <v>#REF!</v>
      </c>
      <c r="GW28" s="234" t="e">
        <f>astrogrep_path&amp;" /e /r /s /spath="&amp;search_path&amp;" /stypes=""app*"&amp;FS28&amp;"*"&amp;TEXT(FZ28-utc_offset/24,"YYYYMMDD")&amp;"*"" /stext="" "&amp;TEXT(FZ28-utc_offset/24,"HH")&amp;search_regexp&amp;""""</f>
        <v>#REF!</v>
      </c>
      <c r="GX28" s="234" t="e">
        <f>astrogrep_path&amp;" /e /r /s /spath="&amp;search_path&amp;" /stypes=""app*"&amp;FT28&amp;"*"&amp;TEXT(GA28-utc_offset/24,"YYYYMMDD")&amp;"*"" /stext="" "&amp;TEXT(GA28-utc_offset/24,"HH")&amp;search_regexp&amp;""""</f>
        <v>#REF!</v>
      </c>
      <c r="GY28" s="234" t="e">
        <f>astrogrep_path&amp;" /e /r /s /spath="&amp;search_path&amp;" /stypes=""app*"&amp;FU28&amp;"*"&amp;TEXT(GB28-utc_offset/24,"YYYYMMDD")&amp;"*"" /stext="" "&amp;TEXT(GB28-utc_offset/24,"HH")&amp;search_regexp&amp;""""</f>
        <v>#REF!</v>
      </c>
      <c r="GZ28" s="234" t="e">
        <f>astrogrep_path&amp;" /e /r /s /spath="&amp;search_path&amp;" /stypes=""app*"&amp;FV28&amp;"*"&amp;TEXT(GC28-utc_offset/24,"YYYYMMDD")&amp;"*"" /stext="" "&amp;TEXT(GC28-utc_offset/24,"HH")&amp;search_regexp&amp;""""</f>
        <v>#REF!</v>
      </c>
      <c r="HA28" s="234" t="e">
        <f>astrogrep_path&amp;" /e /r /s /spath="&amp;search_path&amp;" /stypes=""app*"&amp;FW28&amp;"*"&amp;TEXT(GD28-utc_offset/24,"YYYYMMDD")&amp;"*"" /stext="" "&amp;TEXT(GD28-utc_offset/24,"HH")&amp;search_regexp&amp;""""</f>
        <v>#REF!</v>
      </c>
      <c r="HB28" s="234" t="e">
        <f>astrogrep_path&amp;" /e /r /s /spath="&amp;search_path&amp;" /stypes=""app*"&amp;FX28&amp;"*"&amp;TEXT(GE28-utc_offset/24,"YYYYMMDD")&amp;"*"" /stext="" "&amp;TEXT(GE28-utc_offset/24,"HH")&amp;search_regexp&amp;""""</f>
        <v>#REF!</v>
      </c>
      <c r="HC28" s="234" t="e">
        <f>astrogrep_path&amp;" /e /r /s /spath="&amp;search_path&amp;" /stypes=""app*"&amp;FY28&amp;"*"&amp;TEXT(GF28-utc_offset/24,"YYYYMMDD")&amp;"*"" /stext="" "&amp;TEXT(GF28-utc_offset/24,"HH")&amp;search_regexp&amp;""""</f>
        <v>#VALUE!</v>
      </c>
      <c r="HD28" s="234" t="e">
        <f>astrogrep_path&amp;" /e /r /s /spath="&amp;search_path&amp;" /stypes=""app*"&amp;FZ28&amp;"*"&amp;TEXT(GG28-utc_offset/24,"YYYYMMDD")&amp;"*"" /stext="" "&amp;TEXT(GG28-utc_offset/24,"HH")&amp;search_regexp&amp;""""</f>
        <v>#VALUE!</v>
      </c>
      <c r="HE28" s="234" t="e">
        <f>astrogrep_path&amp;" /e /r /s /spath="&amp;search_path&amp;" /stypes=""app*"&amp;GA28&amp;"*"&amp;TEXT(GH28-utc_offset/24,"YYYYMMDD")&amp;"*"" /stext="" "&amp;TEXT(GH28-utc_offset/24,"HH")&amp;search_regexp&amp;""""</f>
        <v>#REF!</v>
      </c>
      <c r="HF28" s="234" t="e">
        <f>astrogrep_path&amp;" /e /r /s /spath="&amp;search_path&amp;" /stypes=""app*"&amp;GB28&amp;"*"&amp;TEXT(GI28-utc_offset/24,"YYYYMMDD")&amp;"*"" /stext="" "&amp;TEXT(GI28-utc_offset/24,"HH")&amp;search_regexp&amp;""""</f>
        <v>#REF!</v>
      </c>
      <c r="HG28" s="234" t="e">
        <f>astrogrep_path&amp;" /e /r /s /spath="&amp;search_path&amp;" /stypes=""app*"&amp;GC28&amp;"*"&amp;TEXT(GJ28-utc_offset/24,"YYYYMMDD")&amp;"*"" /stext="" "&amp;TEXT(GJ28-utc_offset/24,"HH")&amp;search_regexp&amp;""""</f>
        <v>#VALUE!</v>
      </c>
      <c r="HH28" s="234" t="e">
        <f>astrogrep_path&amp;" /e /r /s /spath="&amp;search_path&amp;" /stypes=""app*"&amp;GD28&amp;"*"&amp;TEXT(GK28-utc_offset/24,"YYYYMMDD")&amp;"*"" /stext="" "&amp;TEXT(GK28-utc_offset/24,"HH")&amp;search_regexp&amp;""""</f>
        <v>#VALUE!</v>
      </c>
      <c r="HI28" s="234" t="e">
        <f>astrogrep_path&amp;" /e /r /s /spath="&amp;search_path&amp;" /stypes=""app*"&amp;GE28&amp;"*"&amp;TEXT(GL28-utc_offset/24,"YYYYMMDD")&amp;"*"" /stext="" "&amp;TEXT(GL28-utc_offset/24,"HH")&amp;search_regexp&amp;""""</f>
        <v>#VALUE!</v>
      </c>
      <c r="HJ28" s="234" t="e">
        <f>astrogrep_path&amp;" /e /r /s /spath="&amp;search_path&amp;" /stypes=""app*"&amp;GF28&amp;"*"&amp;TEXT(GM28-utc_offset/24,"YYYYMMDD")&amp;"*"" /stext="" "&amp;TEXT(GM28-utc_offset/24,"HH")&amp;search_regexp&amp;""""</f>
        <v>#VALUE!</v>
      </c>
      <c r="HK28" s="234" t="e">
        <f>astrogrep_path&amp;" /e /r /s /spath="&amp;search_path&amp;" /stypes=""app*"&amp;GG28&amp;"*"&amp;TEXT(GN28-utc_offset/24,"YYYYMMDD")&amp;"*"" /stext="" "&amp;TEXT(GN28-utc_offset/24,"HH")&amp;search_regexp&amp;""""</f>
        <v>#VALUE!</v>
      </c>
      <c r="HL28" s="234" t="e">
        <f>astrogrep_path&amp;" /e /r /s /spath="&amp;search_path&amp;" /stypes=""app*"&amp;GH28&amp;"*"&amp;TEXT(GO28-utc_offset/24,"YYYYMMDD")&amp;"*"" /stext="" "&amp;TEXT(GO28-utc_offset/24,"HH")&amp;search_regexp&amp;""""</f>
        <v>#REF!</v>
      </c>
      <c r="HM28" s="234" t="e">
        <f>astrogrep_path&amp;" /e /r /s /spath="&amp;search_path&amp;" /stypes=""app*"&amp;GI28&amp;"*"&amp;TEXT(GP28-utc_offset/24,"YYYYMMDD")&amp;"*"" /stext="" "&amp;TEXT(GP28-utc_offset/24,"HH")&amp;search_regexp&amp;""""</f>
        <v>#REF!</v>
      </c>
      <c r="HN28" s="234" t="e">
        <f>astrogrep_path&amp;" /e /r /s /spath="&amp;search_path&amp;" /stypes=""app*"&amp;GJ28&amp;"*"&amp;TEXT(GQ28-utc_offset/24,"YYYYMMDD")&amp;"*"" /stext="" "&amp;TEXT(GQ28-utc_offset/24,"HH")&amp;search_regexp&amp;""""</f>
        <v>#REF!</v>
      </c>
      <c r="HO28" s="234" t="e">
        <f>astrogrep_path&amp;" /e /r /s /spath="&amp;search_path&amp;" /stypes=""app*"&amp;GK28&amp;"*"&amp;TEXT(GR28-utc_offset/24,"YYYYMMDD")&amp;"*"" /stext="" "&amp;TEXT(GR28-utc_offset/24,"HH")&amp;search_regexp&amp;""""</f>
        <v>#REF!</v>
      </c>
      <c r="HP28" s="234" t="e">
        <f>astrogrep_path&amp;" /e /r /s /spath="&amp;search_path&amp;" /stypes=""app*"&amp;GL28&amp;"*"&amp;TEXT(GS28-utc_offset/24,"YYYYMMDD")&amp;"*"" /stext="" "&amp;TEXT(GS28-utc_offset/24,"HH")&amp;search_regexp&amp;""""</f>
        <v>#REF!</v>
      </c>
      <c r="HQ28" s="234" t="e">
        <f>astrogrep_path&amp;" /e /r /s /spath="&amp;search_path&amp;" /stypes=""app*"&amp;GM28&amp;"*"&amp;TEXT(GT28-utc_offset/24,"YYYYMMDD")&amp;"*"" /stext="" "&amp;TEXT(GT28-utc_offset/24,"HH")&amp;search_regexp&amp;""""</f>
        <v>#REF!</v>
      </c>
      <c r="HR28" s="234" t="e">
        <f>astrogrep_path&amp;" /e /r /s /spath="&amp;search_path&amp;" /stypes=""app*"&amp;GN28&amp;"*"&amp;TEXT(GU28-utc_offset/24,"YYYYMMDD")&amp;"*"" /stext="" "&amp;TEXT(GU28-utc_offset/24,"HH")&amp;search_regexp&amp;""""</f>
        <v>#REF!</v>
      </c>
      <c r="HS28" s="234" t="e">
        <f>astrogrep_path&amp;" /e /r /s /spath="&amp;search_path&amp;" /stypes=""app*"&amp;GO28&amp;"*"&amp;TEXT(GV28-utc_offset/24,"YYYYMMDD")&amp;"*"" /stext="" "&amp;TEXT(GV28-utc_offset/24,"HH")&amp;search_regexp&amp;""""</f>
        <v>#REF!</v>
      </c>
      <c r="HT28" s="234" t="e">
        <f>astrogrep_path&amp;" /e /r /s /spath="&amp;search_path&amp;" /stypes=""app*"&amp;GP28&amp;"*"&amp;TEXT(GW28-utc_offset/24,"YYYYMMDD")&amp;"*"" /stext="" "&amp;TEXT(GW28-utc_offset/24,"HH")&amp;search_regexp&amp;""""</f>
        <v>#REF!</v>
      </c>
      <c r="HU28" s="234" t="e">
        <f>astrogrep_path&amp;" /e /r /s /spath="&amp;search_path&amp;" /stypes=""app*"&amp;GQ28&amp;"*"&amp;TEXT(GX28-utc_offset/24,"YYYYMMDD")&amp;"*"" /stext="" "&amp;TEXT(GX28-utc_offset/24,"HH")&amp;search_regexp&amp;""""</f>
        <v>#REF!</v>
      </c>
      <c r="HV28" s="234" t="e">
        <f>astrogrep_path&amp;" /e /r /s /spath="&amp;search_path&amp;" /stypes=""app*"&amp;GR28&amp;"*"&amp;TEXT(GY28-utc_offset/24,"YYYYMMDD")&amp;"*"" /stext="" "&amp;TEXT(GY28-utc_offset/24,"HH")&amp;search_regexp&amp;""""</f>
        <v>#REF!</v>
      </c>
      <c r="HW28" s="234" t="e">
        <f>astrogrep_path&amp;" /e /r /s /spath="&amp;search_path&amp;" /stypes=""app*"&amp;GS28&amp;"*"&amp;TEXT(GZ28-utc_offset/24,"YYYYMMDD")&amp;"*"" /stext="" "&amp;TEXT(GZ28-utc_offset/24,"HH")&amp;search_regexp&amp;""""</f>
        <v>#REF!</v>
      </c>
      <c r="HX28" s="234" t="e">
        <f>astrogrep_path&amp;" /e /r /s /spath="&amp;search_path&amp;" /stypes=""app*"&amp;GT28&amp;"*"&amp;TEXT(HA28-utc_offset/24,"YYYYMMDD")&amp;"*"" /stext="" "&amp;TEXT(HA28-utc_offset/24,"HH")&amp;search_regexp&amp;""""</f>
        <v>#REF!</v>
      </c>
      <c r="HY28" s="234" t="e">
        <f>astrogrep_path&amp;" /e /r /s /spath="&amp;search_path&amp;" /stypes=""app*"&amp;GU28&amp;"*"&amp;TEXT(HB28-utc_offset/24,"YYYYMMDD")&amp;"*"" /stext="" "&amp;TEXT(HB28-utc_offset/24,"HH")&amp;search_regexp&amp;""""</f>
        <v>#REF!</v>
      </c>
      <c r="HZ28" s="234" t="e">
        <f>astrogrep_path&amp;" /e /r /s /spath="&amp;search_path&amp;" /stypes=""app*"&amp;GV28&amp;"*"&amp;TEXT(HC28-utc_offset/24,"YYYYMMDD")&amp;"*"" /stext="" "&amp;TEXT(HC28-utc_offset/24,"HH")&amp;search_regexp&amp;""""</f>
        <v>#REF!</v>
      </c>
      <c r="IA28" s="234" t="e">
        <f>astrogrep_path&amp;" /e /r /s /spath="&amp;search_path&amp;" /stypes=""app*"&amp;GW28&amp;"*"&amp;TEXT(HD28-utc_offset/24,"YYYYMMDD")&amp;"*"" /stext="" "&amp;TEXT(HD28-utc_offset/24,"HH")&amp;search_regexp&amp;""""</f>
        <v>#REF!</v>
      </c>
      <c r="IB28" s="234" t="e">
        <f>astrogrep_path&amp;" /e /r /s /spath="&amp;search_path&amp;" /stypes=""app*"&amp;GX28&amp;"*"&amp;TEXT(HE28-utc_offset/24,"YYYYMMDD")&amp;"*"" /stext="" "&amp;TEXT(HE28-utc_offset/24,"HH")&amp;search_regexp&amp;""""</f>
        <v>#REF!</v>
      </c>
      <c r="IC28" s="234" t="e">
        <f>astrogrep_path&amp;" /e /r /s /spath="&amp;search_path&amp;" /stypes=""app*"&amp;GY28&amp;"*"&amp;TEXT(HF28-utc_offset/24,"YYYYMMDD")&amp;"*"" /stext="" "&amp;TEXT(HF28-utc_offset/24,"HH")&amp;search_regexp&amp;""""</f>
        <v>#REF!</v>
      </c>
      <c r="ID28" s="234" t="e">
        <f>astrogrep_path&amp;" /e /r /s /spath="&amp;search_path&amp;" /stypes=""app*"&amp;GZ28&amp;"*"&amp;TEXT(HG28-utc_offset/24,"YYYYMMDD")&amp;"*"" /stext="" "&amp;TEXT(HG28-utc_offset/24,"HH")&amp;search_regexp&amp;""""</f>
        <v>#REF!</v>
      </c>
      <c r="IE28" s="234" t="e">
        <f>astrogrep_path&amp;" /e /r /s /spath="&amp;search_path&amp;" /stypes=""app*"&amp;HA28&amp;"*"&amp;TEXT(HH28-utc_offset/24,"YYYYMMDD")&amp;"*"" /stext="" "&amp;TEXT(HH28-utc_offset/24,"HH")&amp;search_regexp&amp;""""</f>
        <v>#REF!</v>
      </c>
      <c r="IF28" s="234" t="e">
        <f>astrogrep_path&amp;" /e /r /s /spath="&amp;search_path&amp;" /stypes=""app*"&amp;HB28&amp;"*"&amp;TEXT(HI28-utc_offset/24,"YYYYMMDD")&amp;"*"" /stext="" "&amp;TEXT(HI28-utc_offset/24,"HH")&amp;search_regexp&amp;""""</f>
        <v>#REF!</v>
      </c>
      <c r="IG28" s="234" t="e">
        <f>astrogrep_path&amp;" /e /r /s /spath="&amp;search_path&amp;" /stypes=""app*"&amp;HC28&amp;"*"&amp;TEXT(HJ28-utc_offset/24,"YYYYMMDD")&amp;"*"" /stext="" "&amp;TEXT(HJ28-utc_offset/24,"HH")&amp;search_regexp&amp;""""</f>
        <v>#VALUE!</v>
      </c>
      <c r="IH28" s="234" t="e">
        <f>astrogrep_path&amp;" /e /r /s /spath="&amp;search_path&amp;" /stypes=""app*"&amp;HD28&amp;"*"&amp;TEXT(HK28-utc_offset/24,"YYYYMMDD")&amp;"*"" /stext="" "&amp;TEXT(HK28-utc_offset/24,"HH")&amp;search_regexp&amp;""""</f>
        <v>#VALUE!</v>
      </c>
      <c r="II28" s="234" t="e">
        <f>astrogrep_path&amp;" /e /r /s /spath="&amp;search_path&amp;" /stypes=""app*"&amp;HE28&amp;"*"&amp;TEXT(HL28-utc_offset/24,"YYYYMMDD")&amp;"*"" /stext="" "&amp;TEXT(HL28-utc_offset/24,"HH")&amp;search_regexp&amp;""""</f>
        <v>#REF!</v>
      </c>
      <c r="IJ28" s="234" t="e">
        <f>astrogrep_path&amp;" /e /r /s /spath="&amp;search_path&amp;" /stypes=""app*"&amp;HF28&amp;"*"&amp;TEXT(HM28-utc_offset/24,"YYYYMMDD")&amp;"*"" /stext="" "&amp;TEXT(HM28-utc_offset/24,"HH")&amp;search_regexp&amp;""""</f>
        <v>#REF!</v>
      </c>
      <c r="IK28" s="234" t="e">
        <f>astrogrep_path&amp;" /e /r /s /spath="&amp;search_path&amp;" /stypes=""app*"&amp;HG28&amp;"*"&amp;TEXT(HN28-utc_offset/24,"YYYYMMDD")&amp;"*"" /stext="" "&amp;TEXT(HN28-utc_offset/24,"HH")&amp;search_regexp&amp;""""</f>
        <v>#VALUE!</v>
      </c>
      <c r="IL28" s="234" t="e">
        <f>astrogrep_path&amp;" /e /r /s /spath="&amp;search_path&amp;" /stypes=""app*"&amp;HH28&amp;"*"&amp;TEXT(HO28-utc_offset/24,"YYYYMMDD")&amp;"*"" /stext="" "&amp;TEXT(HO28-utc_offset/24,"HH")&amp;search_regexp&amp;""""</f>
        <v>#VALUE!</v>
      </c>
      <c r="IM28" s="234" t="e">
        <f>astrogrep_path&amp;" /e /r /s /spath="&amp;search_path&amp;" /stypes=""app*"&amp;HI28&amp;"*"&amp;TEXT(HP28-utc_offset/24,"YYYYMMDD")&amp;"*"" /stext="" "&amp;TEXT(HP28-utc_offset/24,"HH")&amp;search_regexp&amp;""""</f>
        <v>#VALUE!</v>
      </c>
      <c r="IN28" s="234" t="e">
        <f>astrogrep_path&amp;" /e /r /s /spath="&amp;search_path&amp;" /stypes=""app*"&amp;HJ28&amp;"*"&amp;TEXT(HQ28-utc_offset/24,"YYYYMMDD")&amp;"*"" /stext="" "&amp;TEXT(HQ28-utc_offset/24,"HH")&amp;search_regexp&amp;""""</f>
        <v>#VALUE!</v>
      </c>
      <c r="IO28" s="234" t="e">
        <f>astrogrep_path&amp;" /e /r /s /spath="&amp;search_path&amp;" /stypes=""app*"&amp;HK28&amp;"*"&amp;TEXT(HR28-utc_offset/24,"YYYYMMDD")&amp;"*"" /stext="" "&amp;TEXT(HR28-utc_offset/24,"HH")&amp;search_regexp&amp;""""</f>
        <v>#VALUE!</v>
      </c>
      <c r="IP28" s="234" t="e">
        <f>astrogrep_path&amp;" /e /r /s /spath="&amp;search_path&amp;" /stypes=""app*"&amp;HL28&amp;"*"&amp;TEXT(HS28-utc_offset/24,"YYYYMMDD")&amp;"*"" /stext="" "&amp;TEXT(HS28-utc_offset/24,"HH")&amp;search_regexp&amp;""""</f>
        <v>#REF!</v>
      </c>
      <c r="IQ28" s="234" t="e">
        <f>astrogrep_path&amp;" /e /r /s /spath="&amp;search_path&amp;" /stypes=""app*"&amp;HM28&amp;"*"&amp;TEXT(HT28-utc_offset/24,"YYYYMMDD")&amp;"*"" /stext="" "&amp;TEXT(HT28-utc_offset/24,"HH")&amp;search_regexp&amp;""""</f>
        <v>#REF!</v>
      </c>
      <c r="IR28" s="234" t="e">
        <f>astrogrep_path&amp;" /e /r /s /spath="&amp;search_path&amp;" /stypes=""app*"&amp;HN28&amp;"*"&amp;TEXT(HU28-utc_offset/24,"YYYYMMDD")&amp;"*"" /stext="" "&amp;TEXT(HU28-utc_offset/24,"HH")&amp;search_regexp&amp;""""</f>
        <v>#REF!</v>
      </c>
      <c r="IS28" s="234" t="e">
        <f>astrogrep_path&amp;" /e /r /s /spath="&amp;search_path&amp;" /stypes=""app*"&amp;HO28&amp;"*"&amp;TEXT(HV28-utc_offset/24,"YYYYMMDD")&amp;"*"" /stext="" "&amp;TEXT(HV28-utc_offset/24,"HH")&amp;search_regexp&amp;""""</f>
        <v>#REF!</v>
      </c>
      <c r="IT28" s="234" t="e">
        <f>astrogrep_path&amp;" /e /r /s /spath="&amp;search_path&amp;" /stypes=""app*"&amp;HP28&amp;"*"&amp;TEXT(HW28-utc_offset/24,"YYYYMMDD")&amp;"*"" /stext="" "&amp;TEXT(HW28-utc_offset/24,"HH")&amp;search_regexp&amp;""""</f>
        <v>#REF!</v>
      </c>
      <c r="IU28" s="234" t="e">
        <f>astrogrep_path&amp;" /e /r /s /spath="&amp;search_path&amp;" /stypes=""app*"&amp;HQ28&amp;"*"&amp;TEXT(HX28-utc_offset/24,"YYYYMMDD")&amp;"*"" /stext="" "&amp;TEXT(HX28-utc_offset/24,"HH")&amp;search_regexp&amp;""""</f>
        <v>#REF!</v>
      </c>
      <c r="IV28" s="234" t="e">
        <f>astrogrep_path&amp;" /e /r /s /spath="&amp;search_path&amp;" /stypes=""app*"&amp;HR28&amp;"*"&amp;TEXT(HY28-utc_offset/24,"YYYYMMDD")&amp;"*"" /stext="" "&amp;TEXT(HY28-utc_offset/24,"HH")&amp;search_regexp&amp;""""</f>
        <v>#REF!</v>
      </c>
      <c r="IW28" s="234" t="e">
        <f>astrogrep_path&amp;" /e /r /s /spath="&amp;search_path&amp;" /stypes=""app*"&amp;HS28&amp;"*"&amp;TEXT(HZ28-utc_offset/24,"YYYYMMDD")&amp;"*"" /stext="" "&amp;TEXT(HZ28-utc_offset/24,"HH")&amp;search_regexp&amp;""""</f>
        <v>#REF!</v>
      </c>
      <c r="IX28" s="234" t="e">
        <f>astrogrep_path&amp;" /e /r /s /spath="&amp;search_path&amp;" /stypes=""app*"&amp;HT28&amp;"*"&amp;TEXT(IA28-utc_offset/24,"YYYYMMDD")&amp;"*"" /stext="" "&amp;TEXT(IA28-utc_offset/24,"HH")&amp;search_regexp&amp;""""</f>
        <v>#REF!</v>
      </c>
      <c r="IY28" s="234" t="e">
        <f>astrogrep_path&amp;" /e /r /s /spath="&amp;search_path&amp;" /stypes=""app*"&amp;HU28&amp;"*"&amp;TEXT(IB28-utc_offset/24,"YYYYMMDD")&amp;"*"" /stext="" "&amp;TEXT(IB28-utc_offset/24,"HH")&amp;search_regexp&amp;""""</f>
        <v>#REF!</v>
      </c>
      <c r="IZ28" s="234" t="e">
        <f>astrogrep_path&amp;" /e /r /s /spath="&amp;search_path&amp;" /stypes=""app*"&amp;HV28&amp;"*"&amp;TEXT(IC28-utc_offset/24,"YYYYMMDD")&amp;"*"" /stext="" "&amp;TEXT(IC28-utc_offset/24,"HH")&amp;search_regexp&amp;""""</f>
        <v>#REF!</v>
      </c>
      <c r="JA28" s="234" t="e">
        <f>astrogrep_path&amp;" /e /r /s /spath="&amp;search_path&amp;" /stypes=""app*"&amp;HW28&amp;"*"&amp;TEXT(ID28-utc_offset/24,"YYYYMMDD")&amp;"*"" /stext="" "&amp;TEXT(ID28-utc_offset/24,"HH")&amp;search_regexp&amp;""""</f>
        <v>#REF!</v>
      </c>
      <c r="JB28" s="234" t="e">
        <f>astrogrep_path&amp;" /e /r /s /spath="&amp;search_path&amp;" /stypes=""app*"&amp;HX28&amp;"*"&amp;TEXT(IE28-utc_offset/24,"YYYYMMDD")&amp;"*"" /stext="" "&amp;TEXT(IE28-utc_offset/24,"HH")&amp;search_regexp&amp;""""</f>
        <v>#REF!</v>
      </c>
      <c r="JC28" s="234" t="e">
        <f>astrogrep_path&amp;" /e /r /s /spath="&amp;search_path&amp;" /stypes=""app*"&amp;HY28&amp;"*"&amp;TEXT(IF28-utc_offset/24,"YYYYMMDD")&amp;"*"" /stext="" "&amp;TEXT(IF28-utc_offset/24,"HH")&amp;search_regexp&amp;""""</f>
        <v>#REF!</v>
      </c>
      <c r="JD28" s="234" t="e">
        <f>astrogrep_path&amp;" /e /r /s /spath="&amp;search_path&amp;" /stypes=""app*"&amp;HZ28&amp;"*"&amp;TEXT(IG28-utc_offset/24,"YYYYMMDD")&amp;"*"" /stext="" "&amp;TEXT(IG28-utc_offset/24,"HH")&amp;search_regexp&amp;""""</f>
        <v>#REF!</v>
      </c>
      <c r="JE28" s="234" t="e">
        <f>astrogrep_path&amp;" /e /r /s /spath="&amp;search_path&amp;" /stypes=""app*"&amp;IA28&amp;"*"&amp;TEXT(IH28-utc_offset/24,"YYYYMMDD")&amp;"*"" /stext="" "&amp;TEXT(IH28-utc_offset/24,"HH")&amp;search_regexp&amp;""""</f>
        <v>#REF!</v>
      </c>
      <c r="JF28" s="234" t="e">
        <f>astrogrep_path&amp;" /e /r /s /spath="&amp;search_path&amp;" /stypes=""app*"&amp;IB28&amp;"*"&amp;TEXT(II28-utc_offset/24,"YYYYMMDD")&amp;"*"" /stext="" "&amp;TEXT(II28-utc_offset/24,"HH")&amp;search_regexp&amp;""""</f>
        <v>#REF!</v>
      </c>
      <c r="JG28" s="234" t="e">
        <f>astrogrep_path&amp;" /e /r /s /spath="&amp;search_path&amp;" /stypes=""app*"&amp;IC28&amp;"*"&amp;TEXT(IJ28-utc_offset/24,"YYYYMMDD")&amp;"*"" /stext="" "&amp;TEXT(IJ28-utc_offset/24,"HH")&amp;search_regexp&amp;""""</f>
        <v>#REF!</v>
      </c>
      <c r="JH28" s="234" t="e">
        <f>astrogrep_path&amp;" /e /r /s /spath="&amp;search_path&amp;" /stypes=""app*"&amp;ID28&amp;"*"&amp;TEXT(IK28-utc_offset/24,"YYYYMMDD")&amp;"*"" /stext="" "&amp;TEXT(IK28-utc_offset/24,"HH")&amp;search_regexp&amp;""""</f>
        <v>#REF!</v>
      </c>
      <c r="JI28" s="234" t="e">
        <f>astrogrep_path&amp;" /e /r /s /spath="&amp;search_path&amp;" /stypes=""app*"&amp;IE28&amp;"*"&amp;TEXT(IL28-utc_offset/24,"YYYYMMDD")&amp;"*"" /stext="" "&amp;TEXT(IL28-utc_offset/24,"HH")&amp;search_regexp&amp;""""</f>
        <v>#REF!</v>
      </c>
      <c r="JJ28" s="234" t="e">
        <f>astrogrep_path&amp;" /e /r /s /spath="&amp;search_path&amp;" /stypes=""app*"&amp;IF28&amp;"*"&amp;TEXT(IM28-utc_offset/24,"YYYYMMDD")&amp;"*"" /stext="" "&amp;TEXT(IM28-utc_offset/24,"HH")&amp;search_regexp&amp;""""</f>
        <v>#REF!</v>
      </c>
      <c r="JK28" s="234" t="e">
        <f>astrogrep_path&amp;" /e /r /s /spath="&amp;search_path&amp;" /stypes=""app*"&amp;IG28&amp;"*"&amp;TEXT(IN28-utc_offset/24,"YYYYMMDD")&amp;"*"" /stext="" "&amp;TEXT(IN28-utc_offset/24,"HH")&amp;search_regexp&amp;""""</f>
        <v>#VALUE!</v>
      </c>
      <c r="JL28" s="234" t="e">
        <f>astrogrep_path&amp;" /e /r /s /spath="&amp;search_path&amp;" /stypes=""app*"&amp;IH28&amp;"*"&amp;TEXT(IO28-utc_offset/24,"YYYYMMDD")&amp;"*"" /stext="" "&amp;TEXT(IO28-utc_offset/24,"HH")&amp;search_regexp&amp;""""</f>
        <v>#VALUE!</v>
      </c>
      <c r="JM28" s="234" t="e">
        <f>astrogrep_path&amp;" /e /r /s /spath="&amp;search_path&amp;" /stypes=""app*"&amp;II28&amp;"*"&amp;TEXT(IP28-utc_offset/24,"YYYYMMDD")&amp;"*"" /stext="" "&amp;TEXT(IP28-utc_offset/24,"HH")&amp;search_regexp&amp;""""</f>
        <v>#REF!</v>
      </c>
      <c r="JN28" s="234" t="e">
        <f>astrogrep_path&amp;" /e /r /s /spath="&amp;search_path&amp;" /stypes=""app*"&amp;IJ28&amp;"*"&amp;TEXT(IQ28-utc_offset/24,"YYYYMMDD")&amp;"*"" /stext="" "&amp;TEXT(IQ28-utc_offset/24,"HH")&amp;search_regexp&amp;""""</f>
        <v>#REF!</v>
      </c>
      <c r="JO28" s="234" t="e">
        <f>astrogrep_path&amp;" /e /r /s /spath="&amp;search_path&amp;" /stypes=""app*"&amp;IK28&amp;"*"&amp;TEXT(IR28-utc_offset/24,"YYYYMMDD")&amp;"*"" /stext="" "&amp;TEXT(IR28-utc_offset/24,"HH")&amp;search_regexp&amp;""""</f>
        <v>#VALUE!</v>
      </c>
      <c r="JP28" s="234" t="e">
        <f>astrogrep_path&amp;" /e /r /s /spath="&amp;search_path&amp;" /stypes=""app*"&amp;IL28&amp;"*"&amp;TEXT(IS28-utc_offset/24,"YYYYMMDD")&amp;"*"" /stext="" "&amp;TEXT(IS28-utc_offset/24,"HH")&amp;search_regexp&amp;""""</f>
        <v>#VALUE!</v>
      </c>
      <c r="JQ28" s="234" t="e">
        <f>astrogrep_path&amp;" /e /r /s /spath="&amp;search_path&amp;" /stypes=""app*"&amp;IM28&amp;"*"&amp;TEXT(IT28-utc_offset/24,"YYYYMMDD")&amp;"*"" /stext="" "&amp;TEXT(IT28-utc_offset/24,"HH")&amp;search_regexp&amp;""""</f>
        <v>#VALUE!</v>
      </c>
      <c r="JR28" s="234" t="e">
        <f>astrogrep_path&amp;" /e /r /s /spath="&amp;search_path&amp;" /stypes=""app*"&amp;IN28&amp;"*"&amp;TEXT(IU28-utc_offset/24,"YYYYMMDD")&amp;"*"" /stext="" "&amp;TEXT(IU28-utc_offset/24,"HH")&amp;search_regexp&amp;""""</f>
        <v>#VALUE!</v>
      </c>
      <c r="JS28" s="234" t="e">
        <f>astrogrep_path&amp;" /e /r /s /spath="&amp;search_path&amp;" /stypes=""app*"&amp;IO28&amp;"*"&amp;TEXT(IV28-utc_offset/24,"YYYYMMDD")&amp;"*"" /stext="" "&amp;TEXT(IV28-utc_offset/24,"HH")&amp;search_regexp&amp;""""</f>
        <v>#VALUE!</v>
      </c>
      <c r="JT28" s="234" t="e">
        <f>astrogrep_path&amp;" /e /r /s /spath="&amp;search_path&amp;" /stypes=""app*"&amp;IP28&amp;"*"&amp;TEXT(IW28-utc_offset/24,"YYYYMMDD")&amp;"*"" /stext="" "&amp;TEXT(IW28-utc_offset/24,"HH")&amp;search_regexp&amp;""""</f>
        <v>#REF!</v>
      </c>
      <c r="JU28" s="234" t="e">
        <f>astrogrep_path&amp;" /e /r /s /spath="&amp;search_path&amp;" /stypes=""app*"&amp;IQ28&amp;"*"&amp;TEXT(IX28-utc_offset/24,"YYYYMMDD")&amp;"*"" /stext="" "&amp;TEXT(IX28-utc_offset/24,"HH")&amp;search_regexp&amp;""""</f>
        <v>#REF!</v>
      </c>
      <c r="JV28" s="234" t="e">
        <f>astrogrep_path&amp;" /e /r /s /spath="&amp;search_path&amp;" /stypes=""app*"&amp;IR28&amp;"*"&amp;TEXT(IY28-utc_offset/24,"YYYYMMDD")&amp;"*"" /stext="" "&amp;TEXT(IY28-utc_offset/24,"HH")&amp;search_regexp&amp;""""</f>
        <v>#REF!</v>
      </c>
      <c r="JW28" s="234" t="e">
        <f>astrogrep_path&amp;" /e /r /s /spath="&amp;search_path&amp;" /stypes=""app*"&amp;IS28&amp;"*"&amp;TEXT(IZ28-utc_offset/24,"YYYYMMDD")&amp;"*"" /stext="" "&amp;TEXT(IZ28-utc_offset/24,"HH")&amp;search_regexp&amp;""""</f>
        <v>#REF!</v>
      </c>
      <c r="JX28" s="234" t="e">
        <f>astrogrep_path&amp;" /e /r /s /spath="&amp;search_path&amp;" /stypes=""app*"&amp;IT28&amp;"*"&amp;TEXT(JA28-utc_offset/24,"YYYYMMDD")&amp;"*"" /stext="" "&amp;TEXT(JA28-utc_offset/24,"HH")&amp;search_regexp&amp;""""</f>
        <v>#REF!</v>
      </c>
      <c r="JY28" s="234" t="e">
        <f>astrogrep_path&amp;" /e /r /s /spath="&amp;search_path&amp;" /stypes=""app*"&amp;IU28&amp;"*"&amp;TEXT(JB28-utc_offset/24,"YYYYMMDD")&amp;"*"" /stext="" "&amp;TEXT(JB28-utc_offset/24,"HH")&amp;search_regexp&amp;""""</f>
        <v>#REF!</v>
      </c>
      <c r="JZ28" s="234" t="e">
        <f>astrogrep_path&amp;" /e /r /s /spath="&amp;search_path&amp;" /stypes=""app*"&amp;IV28&amp;"*"&amp;TEXT(JC28-utc_offset/24,"YYYYMMDD")&amp;"*"" /stext="" "&amp;TEXT(JC28-utc_offset/24,"HH")&amp;search_regexp&amp;""""</f>
        <v>#REF!</v>
      </c>
      <c r="KA28" s="234" t="e">
        <f>astrogrep_path&amp;" /e /r /s /spath="&amp;search_path&amp;" /stypes=""app*"&amp;IW28&amp;"*"&amp;TEXT(JD28-utc_offset/24,"YYYYMMDD")&amp;"*"" /stext="" "&amp;TEXT(JD28-utc_offset/24,"HH")&amp;search_regexp&amp;""""</f>
        <v>#REF!</v>
      </c>
      <c r="KB28" s="234" t="e">
        <f>astrogrep_path&amp;" /e /r /s /spath="&amp;search_path&amp;" /stypes=""app*"&amp;IX28&amp;"*"&amp;TEXT(JE28-utc_offset/24,"YYYYMMDD")&amp;"*"" /stext="" "&amp;TEXT(JE28-utc_offset/24,"HH")&amp;search_regexp&amp;""""</f>
        <v>#REF!</v>
      </c>
      <c r="KC28" s="234" t="e">
        <f>astrogrep_path&amp;" /e /r /s /spath="&amp;search_path&amp;" /stypes=""app*"&amp;IY28&amp;"*"&amp;TEXT(JF28-utc_offset/24,"YYYYMMDD")&amp;"*"" /stext="" "&amp;TEXT(JF28-utc_offset/24,"HH")&amp;search_regexp&amp;""""</f>
        <v>#REF!</v>
      </c>
      <c r="KD28" s="234" t="e">
        <f>astrogrep_path&amp;" /e /r /s /spath="&amp;search_path&amp;" /stypes=""app*"&amp;IZ28&amp;"*"&amp;TEXT(JG28-utc_offset/24,"YYYYMMDD")&amp;"*"" /stext="" "&amp;TEXT(JG28-utc_offset/24,"HH")&amp;search_regexp&amp;""""</f>
        <v>#REF!</v>
      </c>
      <c r="KE28" s="234" t="e">
        <f>astrogrep_path&amp;" /e /r /s /spath="&amp;search_path&amp;" /stypes=""app*"&amp;JA28&amp;"*"&amp;TEXT(JH28-utc_offset/24,"YYYYMMDD")&amp;"*"" /stext="" "&amp;TEXT(JH28-utc_offset/24,"HH")&amp;search_regexp&amp;""""</f>
        <v>#REF!</v>
      </c>
      <c r="KF28" s="234" t="e">
        <f>astrogrep_path&amp;" /e /r /s /spath="&amp;search_path&amp;" /stypes=""app*"&amp;JB28&amp;"*"&amp;TEXT(JI28-utc_offset/24,"YYYYMMDD")&amp;"*"" /stext="" "&amp;TEXT(JI28-utc_offset/24,"HH")&amp;search_regexp&amp;""""</f>
        <v>#REF!</v>
      </c>
      <c r="KG28" s="234" t="e">
        <f>astrogrep_path&amp;" /e /r /s /spath="&amp;search_path&amp;" /stypes=""app*"&amp;JC28&amp;"*"&amp;TEXT(JJ28-utc_offset/24,"YYYYMMDD")&amp;"*"" /stext="" "&amp;TEXT(JJ28-utc_offset/24,"HH")&amp;search_regexp&amp;""""</f>
        <v>#REF!</v>
      </c>
      <c r="KH28" s="234" t="e">
        <f>astrogrep_path&amp;" /e /r /s /spath="&amp;search_path&amp;" /stypes=""app*"&amp;JD28&amp;"*"&amp;TEXT(JK28-utc_offset/24,"YYYYMMDD")&amp;"*"" /stext="" "&amp;TEXT(JK28-utc_offset/24,"HH")&amp;search_regexp&amp;""""</f>
        <v>#REF!</v>
      </c>
      <c r="KI28" s="234" t="e">
        <f>astrogrep_path&amp;" /e /r /s /spath="&amp;search_path&amp;" /stypes=""app*"&amp;JE28&amp;"*"&amp;TEXT(JL28-utc_offset/24,"YYYYMMDD")&amp;"*"" /stext="" "&amp;TEXT(JL28-utc_offset/24,"HH")&amp;search_regexp&amp;""""</f>
        <v>#REF!</v>
      </c>
      <c r="KJ28" s="234" t="e">
        <f>astrogrep_path&amp;" /e /r /s /spath="&amp;search_path&amp;" /stypes=""app*"&amp;JF28&amp;"*"&amp;TEXT(JM28-utc_offset/24,"YYYYMMDD")&amp;"*"" /stext="" "&amp;TEXT(JM28-utc_offset/24,"HH")&amp;search_regexp&amp;""""</f>
        <v>#REF!</v>
      </c>
      <c r="KK28" s="234" t="e">
        <f>astrogrep_path&amp;" /e /r /s /spath="&amp;search_path&amp;" /stypes=""app*"&amp;JG28&amp;"*"&amp;TEXT(JN28-utc_offset/24,"YYYYMMDD")&amp;"*"" /stext="" "&amp;TEXT(JN28-utc_offset/24,"HH")&amp;search_regexp&amp;""""</f>
        <v>#REF!</v>
      </c>
      <c r="KL28" s="234" t="e">
        <f>astrogrep_path&amp;" /e /r /s /spath="&amp;search_path&amp;" /stypes=""app*"&amp;JH28&amp;"*"&amp;TEXT(JO28-utc_offset/24,"YYYYMMDD")&amp;"*"" /stext="" "&amp;TEXT(JO28-utc_offset/24,"HH")&amp;search_regexp&amp;""""</f>
        <v>#REF!</v>
      </c>
      <c r="KM28" s="234" t="e">
        <f>astrogrep_path&amp;" /e /r /s /spath="&amp;search_path&amp;" /stypes=""app*"&amp;JI28&amp;"*"&amp;TEXT(JP28-utc_offset/24,"YYYYMMDD")&amp;"*"" /stext="" "&amp;TEXT(JP28-utc_offset/24,"HH")&amp;search_regexp&amp;""""</f>
        <v>#REF!</v>
      </c>
      <c r="KN28" s="234" t="e">
        <f>astrogrep_path&amp;" /e /r /s /spath="&amp;search_path&amp;" /stypes=""app*"&amp;JJ28&amp;"*"&amp;TEXT(JQ28-utc_offset/24,"YYYYMMDD")&amp;"*"" /stext="" "&amp;TEXT(JQ28-utc_offset/24,"HH")&amp;search_regexp&amp;""""</f>
        <v>#REF!</v>
      </c>
      <c r="KO28" s="234" t="e">
        <f>astrogrep_path&amp;" /e /r /s /spath="&amp;search_path&amp;" /stypes=""app*"&amp;JK28&amp;"*"&amp;TEXT(JR28-utc_offset/24,"YYYYMMDD")&amp;"*"" /stext="" "&amp;TEXT(JR28-utc_offset/24,"HH")&amp;search_regexp&amp;""""</f>
        <v>#VALUE!</v>
      </c>
      <c r="KP28" s="234" t="e">
        <f>astrogrep_path&amp;" /e /r /s /spath="&amp;search_path&amp;" /stypes=""app*"&amp;JL28&amp;"*"&amp;TEXT(JS28-utc_offset/24,"YYYYMMDD")&amp;"*"" /stext="" "&amp;TEXT(JS28-utc_offset/24,"HH")&amp;search_regexp&amp;""""</f>
        <v>#VALUE!</v>
      </c>
      <c r="KQ28" s="234" t="e">
        <f>astrogrep_path&amp;" /e /r /s /spath="&amp;search_path&amp;" /stypes=""app*"&amp;JM28&amp;"*"&amp;TEXT(JT28-utc_offset/24,"YYYYMMDD")&amp;"*"" /stext="" "&amp;TEXT(JT28-utc_offset/24,"HH")&amp;search_regexp&amp;""""</f>
        <v>#REF!</v>
      </c>
      <c r="KR28" s="234" t="e">
        <f>astrogrep_path&amp;" /e /r /s /spath="&amp;search_path&amp;" /stypes=""app*"&amp;JN28&amp;"*"&amp;TEXT(JU28-utc_offset/24,"YYYYMMDD")&amp;"*"" /stext="" "&amp;TEXT(JU28-utc_offset/24,"HH")&amp;search_regexp&amp;""""</f>
        <v>#REF!</v>
      </c>
      <c r="KS28" s="234" t="e">
        <f>astrogrep_path&amp;" /e /r /s /spath="&amp;search_path&amp;" /stypes=""app*"&amp;JO28&amp;"*"&amp;TEXT(JV28-utc_offset/24,"YYYYMMDD")&amp;"*"" /stext="" "&amp;TEXT(JV28-utc_offset/24,"HH")&amp;search_regexp&amp;""""</f>
        <v>#VALUE!</v>
      </c>
      <c r="KT28" s="234" t="e">
        <f>astrogrep_path&amp;" /e /r /s /spath="&amp;search_path&amp;" /stypes=""app*"&amp;JP28&amp;"*"&amp;TEXT(JW28-utc_offset/24,"YYYYMMDD")&amp;"*"" /stext="" "&amp;TEXT(JW28-utc_offset/24,"HH")&amp;search_regexp&amp;""""</f>
        <v>#VALUE!</v>
      </c>
      <c r="KU28" s="234" t="e">
        <f>astrogrep_path&amp;" /e /r /s /spath="&amp;search_path&amp;" /stypes=""app*"&amp;JQ28&amp;"*"&amp;TEXT(JX28-utc_offset/24,"YYYYMMDD")&amp;"*"" /stext="" "&amp;TEXT(JX28-utc_offset/24,"HH")&amp;search_regexp&amp;""""</f>
        <v>#VALUE!</v>
      </c>
      <c r="KV28" s="234" t="e">
        <f>astrogrep_path&amp;" /e /r /s /spath="&amp;search_path&amp;" /stypes=""app*"&amp;JR28&amp;"*"&amp;TEXT(JY28-utc_offset/24,"YYYYMMDD")&amp;"*"" /stext="" "&amp;TEXT(JY28-utc_offset/24,"HH")&amp;search_regexp&amp;""""</f>
        <v>#VALUE!</v>
      </c>
      <c r="KW28" s="234" t="e">
        <f>astrogrep_path&amp;" /e /r /s /spath="&amp;search_path&amp;" /stypes=""app*"&amp;JS28&amp;"*"&amp;TEXT(JZ28-utc_offset/24,"YYYYMMDD")&amp;"*"" /stext="" "&amp;TEXT(JZ28-utc_offset/24,"HH")&amp;search_regexp&amp;""""</f>
        <v>#VALUE!</v>
      </c>
      <c r="KX28" s="234" t="e">
        <f>astrogrep_path&amp;" /e /r /s /spath="&amp;search_path&amp;" /stypes=""app*"&amp;JT28&amp;"*"&amp;TEXT(KA28-utc_offset/24,"YYYYMMDD")&amp;"*"" /stext="" "&amp;TEXT(KA28-utc_offset/24,"HH")&amp;search_regexp&amp;""""</f>
        <v>#REF!</v>
      </c>
      <c r="KY28" s="234" t="e">
        <f>astrogrep_path&amp;" /e /r /s /spath="&amp;search_path&amp;" /stypes=""app*"&amp;JU28&amp;"*"&amp;TEXT(KB28-utc_offset/24,"YYYYMMDD")&amp;"*"" /stext="" "&amp;TEXT(KB28-utc_offset/24,"HH")&amp;search_regexp&amp;""""</f>
        <v>#REF!</v>
      </c>
      <c r="KZ28" s="234" t="e">
        <f>astrogrep_path&amp;" /e /r /s /spath="&amp;search_path&amp;" /stypes=""app*"&amp;JV28&amp;"*"&amp;TEXT(KC28-utc_offset/24,"YYYYMMDD")&amp;"*"" /stext="" "&amp;TEXT(KC28-utc_offset/24,"HH")&amp;search_regexp&amp;""""</f>
        <v>#REF!</v>
      </c>
      <c r="LA28" s="234" t="e">
        <f>astrogrep_path&amp;" /e /r /s /spath="&amp;search_path&amp;" /stypes=""app*"&amp;JW28&amp;"*"&amp;TEXT(KD28-utc_offset/24,"YYYYMMDD")&amp;"*"" /stext="" "&amp;TEXT(KD28-utc_offset/24,"HH")&amp;search_regexp&amp;""""</f>
        <v>#REF!</v>
      </c>
      <c r="LB28" s="234" t="e">
        <f>astrogrep_path&amp;" /e /r /s /spath="&amp;search_path&amp;" /stypes=""app*"&amp;JX28&amp;"*"&amp;TEXT(KE28-utc_offset/24,"YYYYMMDD")&amp;"*"" /stext="" "&amp;TEXT(KE28-utc_offset/24,"HH")&amp;search_regexp&amp;""""</f>
        <v>#REF!</v>
      </c>
      <c r="LC28" s="234" t="e">
        <f>astrogrep_path&amp;" /e /r /s /spath="&amp;search_path&amp;" /stypes=""app*"&amp;JY28&amp;"*"&amp;TEXT(KF28-utc_offset/24,"YYYYMMDD")&amp;"*"" /stext="" "&amp;TEXT(KF28-utc_offset/24,"HH")&amp;search_regexp&amp;""""</f>
        <v>#REF!</v>
      </c>
      <c r="LD28" s="234" t="e">
        <f>astrogrep_path&amp;" /e /r /s /spath="&amp;search_path&amp;" /stypes=""app*"&amp;JZ28&amp;"*"&amp;TEXT(KG28-utc_offset/24,"YYYYMMDD")&amp;"*"" /stext="" "&amp;TEXT(KG28-utc_offset/24,"HH")&amp;search_regexp&amp;""""</f>
        <v>#REF!</v>
      </c>
      <c r="LE28" s="234" t="e">
        <f>astrogrep_path&amp;" /e /r /s /spath="&amp;search_path&amp;" /stypes=""app*"&amp;KA28&amp;"*"&amp;TEXT(KH28-utc_offset/24,"YYYYMMDD")&amp;"*"" /stext="" "&amp;TEXT(KH28-utc_offset/24,"HH")&amp;search_regexp&amp;""""</f>
        <v>#REF!</v>
      </c>
      <c r="LF28" s="234" t="e">
        <f>astrogrep_path&amp;" /e /r /s /spath="&amp;search_path&amp;" /stypes=""app*"&amp;KB28&amp;"*"&amp;TEXT(KI28-utc_offset/24,"YYYYMMDD")&amp;"*"" /stext="" "&amp;TEXT(KI28-utc_offset/24,"HH")&amp;search_regexp&amp;""""</f>
        <v>#REF!</v>
      </c>
      <c r="LG28" s="234" t="e">
        <f>astrogrep_path&amp;" /e /r /s /spath="&amp;search_path&amp;" /stypes=""app*"&amp;KC28&amp;"*"&amp;TEXT(KJ28-utc_offset/24,"YYYYMMDD")&amp;"*"" /stext="" "&amp;TEXT(KJ28-utc_offset/24,"HH")&amp;search_regexp&amp;""""</f>
        <v>#REF!</v>
      </c>
      <c r="LH28" s="234" t="e">
        <f>astrogrep_path&amp;" /e /r /s /spath="&amp;search_path&amp;" /stypes=""app*"&amp;KD28&amp;"*"&amp;TEXT(KK28-utc_offset/24,"YYYYMMDD")&amp;"*"" /stext="" "&amp;TEXT(KK28-utc_offset/24,"HH")&amp;search_regexp&amp;""""</f>
        <v>#REF!</v>
      </c>
      <c r="LI28" s="234" t="e">
        <f>astrogrep_path&amp;" /e /r /s /spath="&amp;search_path&amp;" /stypes=""app*"&amp;KE28&amp;"*"&amp;TEXT(KL28-utc_offset/24,"YYYYMMDD")&amp;"*"" /stext="" "&amp;TEXT(KL28-utc_offset/24,"HH")&amp;search_regexp&amp;""""</f>
        <v>#REF!</v>
      </c>
      <c r="LJ28" s="234" t="e">
        <f>astrogrep_path&amp;" /e /r /s /spath="&amp;search_path&amp;" /stypes=""app*"&amp;KF28&amp;"*"&amp;TEXT(KM28-utc_offset/24,"YYYYMMDD")&amp;"*"" /stext="" "&amp;TEXT(KM28-utc_offset/24,"HH")&amp;search_regexp&amp;""""</f>
        <v>#REF!</v>
      </c>
      <c r="LK28" s="234" t="e">
        <f>astrogrep_path&amp;" /e /r /s /spath="&amp;search_path&amp;" /stypes=""app*"&amp;KG28&amp;"*"&amp;TEXT(KN28-utc_offset/24,"YYYYMMDD")&amp;"*"" /stext="" "&amp;TEXT(KN28-utc_offset/24,"HH")&amp;search_regexp&amp;""""</f>
        <v>#REF!</v>
      </c>
      <c r="LL28" s="234" t="e">
        <f>astrogrep_path&amp;" /e /r /s /spath="&amp;search_path&amp;" /stypes=""app*"&amp;KH28&amp;"*"&amp;TEXT(KO28-utc_offset/24,"YYYYMMDD")&amp;"*"" /stext="" "&amp;TEXT(KO28-utc_offset/24,"HH")&amp;search_regexp&amp;""""</f>
        <v>#REF!</v>
      </c>
      <c r="LM28" s="234" t="e">
        <f>astrogrep_path&amp;" /e /r /s /spath="&amp;search_path&amp;" /stypes=""app*"&amp;KI28&amp;"*"&amp;TEXT(KP28-utc_offset/24,"YYYYMMDD")&amp;"*"" /stext="" "&amp;TEXT(KP28-utc_offset/24,"HH")&amp;search_regexp&amp;""""</f>
        <v>#REF!</v>
      </c>
      <c r="LN28" s="234" t="e">
        <f>astrogrep_path&amp;" /e /r /s /spath="&amp;search_path&amp;" /stypes=""app*"&amp;KJ28&amp;"*"&amp;TEXT(KQ28-utc_offset/24,"YYYYMMDD")&amp;"*"" /stext="" "&amp;TEXT(KQ28-utc_offset/24,"HH")&amp;search_regexp&amp;""""</f>
        <v>#REF!</v>
      </c>
      <c r="LO28" s="234" t="e">
        <f>astrogrep_path&amp;" /e /r /s /spath="&amp;search_path&amp;" /stypes=""app*"&amp;KK28&amp;"*"&amp;TEXT(KR28-utc_offset/24,"YYYYMMDD")&amp;"*"" /stext="" "&amp;TEXT(KR28-utc_offset/24,"HH")&amp;search_regexp&amp;""""</f>
        <v>#REF!</v>
      </c>
      <c r="LP28" s="234" t="e">
        <f>astrogrep_path&amp;" /e /r /s /spath="&amp;search_path&amp;" /stypes=""app*"&amp;KL28&amp;"*"&amp;TEXT(KS28-utc_offset/24,"YYYYMMDD")&amp;"*"" /stext="" "&amp;TEXT(KS28-utc_offset/24,"HH")&amp;search_regexp&amp;""""</f>
        <v>#REF!</v>
      </c>
      <c r="LQ28" s="234" t="e">
        <f>astrogrep_path&amp;" /e /r /s /spath="&amp;search_path&amp;" /stypes=""app*"&amp;KM28&amp;"*"&amp;TEXT(KT28-utc_offset/24,"YYYYMMDD")&amp;"*"" /stext="" "&amp;TEXT(KT28-utc_offset/24,"HH")&amp;search_regexp&amp;""""</f>
        <v>#REF!</v>
      </c>
      <c r="LR28" s="234" t="e">
        <f>astrogrep_path&amp;" /e /r /s /spath="&amp;search_path&amp;" /stypes=""app*"&amp;KN28&amp;"*"&amp;TEXT(KU28-utc_offset/24,"YYYYMMDD")&amp;"*"" /stext="" "&amp;TEXT(KU28-utc_offset/24,"HH")&amp;search_regexp&amp;""""</f>
        <v>#REF!</v>
      </c>
      <c r="LS28" s="234" t="e">
        <f>astrogrep_path&amp;" /e /r /s /spath="&amp;search_path&amp;" /stypes=""app*"&amp;KO28&amp;"*"&amp;TEXT(KV28-utc_offset/24,"YYYYMMDD")&amp;"*"" /stext="" "&amp;TEXT(KV28-utc_offset/24,"HH")&amp;search_regexp&amp;""""</f>
        <v>#VALUE!</v>
      </c>
      <c r="LT28" s="234" t="e">
        <f>astrogrep_path&amp;" /e /r /s /spath="&amp;search_path&amp;" /stypes=""app*"&amp;KP28&amp;"*"&amp;TEXT(KW28-utc_offset/24,"YYYYMMDD")&amp;"*"" /stext="" "&amp;TEXT(KW28-utc_offset/24,"HH")&amp;search_regexp&amp;""""</f>
        <v>#VALUE!</v>
      </c>
      <c r="LU28" s="234" t="e">
        <f>astrogrep_path&amp;" /e /r /s /spath="&amp;search_path&amp;" /stypes=""app*"&amp;KQ28&amp;"*"&amp;TEXT(KX28-utc_offset/24,"YYYYMMDD")&amp;"*"" /stext="" "&amp;TEXT(KX28-utc_offset/24,"HH")&amp;search_regexp&amp;""""</f>
        <v>#REF!</v>
      </c>
      <c r="LV28" s="234" t="e">
        <f>astrogrep_path&amp;" /e /r /s /spath="&amp;search_path&amp;" /stypes=""app*"&amp;KR28&amp;"*"&amp;TEXT(KY28-utc_offset/24,"YYYYMMDD")&amp;"*"" /stext="" "&amp;TEXT(KY28-utc_offset/24,"HH")&amp;search_regexp&amp;""""</f>
        <v>#REF!</v>
      </c>
      <c r="LW28" s="234" t="e">
        <f>astrogrep_path&amp;" /e /r /s /spath="&amp;search_path&amp;" /stypes=""app*"&amp;KS28&amp;"*"&amp;TEXT(KZ28-utc_offset/24,"YYYYMMDD")&amp;"*"" /stext="" "&amp;TEXT(KZ28-utc_offset/24,"HH")&amp;search_regexp&amp;""""</f>
        <v>#VALUE!</v>
      </c>
      <c r="LX28" s="234" t="e">
        <f>astrogrep_path&amp;" /e /r /s /spath="&amp;search_path&amp;" /stypes=""app*"&amp;KT28&amp;"*"&amp;TEXT(LA28-utc_offset/24,"YYYYMMDD")&amp;"*"" /stext="" "&amp;TEXT(LA28-utc_offset/24,"HH")&amp;search_regexp&amp;""""</f>
        <v>#VALUE!</v>
      </c>
      <c r="LY28" s="234" t="e">
        <f>astrogrep_path&amp;" /e /r /s /spath="&amp;search_path&amp;" /stypes=""app*"&amp;KU28&amp;"*"&amp;TEXT(LB28-utc_offset/24,"YYYYMMDD")&amp;"*"" /stext="" "&amp;TEXT(LB28-utc_offset/24,"HH")&amp;search_regexp&amp;""""</f>
        <v>#VALUE!</v>
      </c>
      <c r="LZ28" s="234" t="e">
        <f>astrogrep_path&amp;" /e /r /s /spath="&amp;search_path&amp;" /stypes=""app*"&amp;KV28&amp;"*"&amp;TEXT(LC28-utc_offset/24,"YYYYMMDD")&amp;"*"" /stext="" "&amp;TEXT(LC28-utc_offset/24,"HH")&amp;search_regexp&amp;""""</f>
        <v>#VALUE!</v>
      </c>
      <c r="MA28" s="234" t="e">
        <f>astrogrep_path&amp;" /e /r /s /spath="&amp;search_path&amp;" /stypes=""app*"&amp;KW28&amp;"*"&amp;TEXT(LD28-utc_offset/24,"YYYYMMDD")&amp;"*"" /stext="" "&amp;TEXT(LD28-utc_offset/24,"HH")&amp;search_regexp&amp;""""</f>
        <v>#VALUE!</v>
      </c>
      <c r="MB28" s="234" t="e">
        <f>astrogrep_path&amp;" /e /r /s /spath="&amp;search_path&amp;" /stypes=""app*"&amp;KX28&amp;"*"&amp;TEXT(LE28-utc_offset/24,"YYYYMMDD")&amp;"*"" /stext="" "&amp;TEXT(LE28-utc_offset/24,"HH")&amp;search_regexp&amp;""""</f>
        <v>#REF!</v>
      </c>
      <c r="MC28" s="234" t="e">
        <f>astrogrep_path&amp;" /e /r /s /spath="&amp;search_path&amp;" /stypes=""app*"&amp;KY28&amp;"*"&amp;TEXT(LF28-utc_offset/24,"YYYYMMDD")&amp;"*"" /stext="" "&amp;TEXT(LF28-utc_offset/24,"HH")&amp;search_regexp&amp;""""</f>
        <v>#REF!</v>
      </c>
      <c r="MD28" s="234" t="e">
        <f>astrogrep_path&amp;" /e /r /s /spath="&amp;search_path&amp;" /stypes=""app*"&amp;KZ28&amp;"*"&amp;TEXT(LG28-utc_offset/24,"YYYYMMDD")&amp;"*"" /stext="" "&amp;TEXT(LG28-utc_offset/24,"HH")&amp;search_regexp&amp;""""</f>
        <v>#REF!</v>
      </c>
      <c r="ME28" s="234" t="e">
        <f>astrogrep_path&amp;" /e /r /s /spath="&amp;search_path&amp;" /stypes=""app*"&amp;LA28&amp;"*"&amp;TEXT(LH28-utc_offset/24,"YYYYMMDD")&amp;"*"" /stext="" "&amp;TEXT(LH28-utc_offset/24,"HH")&amp;search_regexp&amp;""""</f>
        <v>#REF!</v>
      </c>
      <c r="MF28" s="234" t="e">
        <f>astrogrep_path&amp;" /e /r /s /spath="&amp;search_path&amp;" /stypes=""app*"&amp;LB28&amp;"*"&amp;TEXT(LI28-utc_offset/24,"YYYYMMDD")&amp;"*"" /stext="" "&amp;TEXT(LI28-utc_offset/24,"HH")&amp;search_regexp&amp;""""</f>
        <v>#REF!</v>
      </c>
      <c r="MG28" s="234" t="e">
        <f>astrogrep_path&amp;" /e /r /s /spath="&amp;search_path&amp;" /stypes=""app*"&amp;LC28&amp;"*"&amp;TEXT(LJ28-utc_offset/24,"YYYYMMDD")&amp;"*"" /stext="" "&amp;TEXT(LJ28-utc_offset/24,"HH")&amp;search_regexp&amp;""""</f>
        <v>#REF!</v>
      </c>
      <c r="MH28" s="234" t="e">
        <f>astrogrep_path&amp;" /e /r /s /spath="&amp;search_path&amp;" /stypes=""app*"&amp;LD28&amp;"*"&amp;TEXT(LK28-utc_offset/24,"YYYYMMDD")&amp;"*"" /stext="" "&amp;TEXT(LK28-utc_offset/24,"HH")&amp;search_regexp&amp;""""</f>
        <v>#REF!</v>
      </c>
      <c r="MI28" s="234" t="e">
        <f>astrogrep_path&amp;" /e /r /s /spath="&amp;search_path&amp;" /stypes=""app*"&amp;LE28&amp;"*"&amp;TEXT(LL28-utc_offset/24,"YYYYMMDD")&amp;"*"" /stext="" "&amp;TEXT(LL28-utc_offset/24,"HH")&amp;search_regexp&amp;""""</f>
        <v>#REF!</v>
      </c>
      <c r="MJ28" s="234" t="e">
        <f>astrogrep_path&amp;" /e /r /s /spath="&amp;search_path&amp;" /stypes=""app*"&amp;LF28&amp;"*"&amp;TEXT(LM28-utc_offset/24,"YYYYMMDD")&amp;"*"" /stext="" "&amp;TEXT(LM28-utc_offset/24,"HH")&amp;search_regexp&amp;""""</f>
        <v>#REF!</v>
      </c>
      <c r="MK28" s="234" t="e">
        <f>astrogrep_path&amp;" /e /r /s /spath="&amp;search_path&amp;" /stypes=""app*"&amp;LG28&amp;"*"&amp;TEXT(LN28-utc_offset/24,"YYYYMMDD")&amp;"*"" /stext="" "&amp;TEXT(LN28-utc_offset/24,"HH")&amp;search_regexp&amp;""""</f>
        <v>#REF!</v>
      </c>
      <c r="ML28" s="234" t="e">
        <f>astrogrep_path&amp;" /e /r /s /spath="&amp;search_path&amp;" /stypes=""app*"&amp;LH28&amp;"*"&amp;TEXT(LO28-utc_offset/24,"YYYYMMDD")&amp;"*"" /stext="" "&amp;TEXT(LO28-utc_offset/24,"HH")&amp;search_regexp&amp;""""</f>
        <v>#REF!</v>
      </c>
      <c r="MM28" s="234" t="e">
        <f>astrogrep_path&amp;" /e /r /s /spath="&amp;search_path&amp;" /stypes=""app*"&amp;LI28&amp;"*"&amp;TEXT(LP28-utc_offset/24,"YYYYMMDD")&amp;"*"" /stext="" "&amp;TEXT(LP28-utc_offset/24,"HH")&amp;search_regexp&amp;""""</f>
        <v>#REF!</v>
      </c>
      <c r="MN28" s="234" t="e">
        <f>astrogrep_path&amp;" /e /r /s /spath="&amp;search_path&amp;" /stypes=""app*"&amp;LJ28&amp;"*"&amp;TEXT(LQ28-utc_offset/24,"YYYYMMDD")&amp;"*"" /stext="" "&amp;TEXT(LQ28-utc_offset/24,"HH")&amp;search_regexp&amp;""""</f>
        <v>#REF!</v>
      </c>
      <c r="MO28" s="234" t="e">
        <f>astrogrep_path&amp;" /e /r /s /spath="&amp;search_path&amp;" /stypes=""app*"&amp;LK28&amp;"*"&amp;TEXT(LR28-utc_offset/24,"YYYYMMDD")&amp;"*"" /stext="" "&amp;TEXT(LR28-utc_offset/24,"HH")&amp;search_regexp&amp;""""</f>
        <v>#REF!</v>
      </c>
      <c r="MP28" s="234" t="e">
        <f>astrogrep_path&amp;" /e /r /s /spath="&amp;search_path&amp;" /stypes=""app*"&amp;LL28&amp;"*"&amp;TEXT(LS28-utc_offset/24,"YYYYMMDD")&amp;"*"" /stext="" "&amp;TEXT(LS28-utc_offset/24,"HH")&amp;search_regexp&amp;""""</f>
        <v>#REF!</v>
      </c>
      <c r="MQ28" s="234" t="e">
        <f>astrogrep_path&amp;" /e /r /s /spath="&amp;search_path&amp;" /stypes=""app*"&amp;LM28&amp;"*"&amp;TEXT(LT28-utc_offset/24,"YYYYMMDD")&amp;"*"" /stext="" "&amp;TEXT(LT28-utc_offset/24,"HH")&amp;search_regexp&amp;""""</f>
        <v>#REF!</v>
      </c>
      <c r="MR28" s="234" t="e">
        <f>astrogrep_path&amp;" /e /r /s /spath="&amp;search_path&amp;" /stypes=""app*"&amp;LN28&amp;"*"&amp;TEXT(LU28-utc_offset/24,"YYYYMMDD")&amp;"*"" /stext="" "&amp;TEXT(LU28-utc_offset/24,"HH")&amp;search_regexp&amp;""""</f>
        <v>#REF!</v>
      </c>
      <c r="MS28" s="234" t="e">
        <f>astrogrep_path&amp;" /e /r /s /spath="&amp;search_path&amp;" /stypes=""app*"&amp;LO28&amp;"*"&amp;TEXT(LV28-utc_offset/24,"YYYYMMDD")&amp;"*"" /stext="" "&amp;TEXT(LV28-utc_offset/24,"HH")&amp;search_regexp&amp;""""</f>
        <v>#REF!</v>
      </c>
      <c r="MT28" s="234" t="e">
        <f>astrogrep_path&amp;" /e /r /s /spath="&amp;search_path&amp;" /stypes=""app*"&amp;LP28&amp;"*"&amp;TEXT(LW28-utc_offset/24,"YYYYMMDD")&amp;"*"" /stext="" "&amp;TEXT(LW28-utc_offset/24,"HH")&amp;search_regexp&amp;""""</f>
        <v>#REF!</v>
      </c>
      <c r="MU28" s="234" t="e">
        <f>astrogrep_path&amp;" /e /r /s /spath="&amp;search_path&amp;" /stypes=""app*"&amp;LQ28&amp;"*"&amp;TEXT(LX28-utc_offset/24,"YYYYMMDD")&amp;"*"" /stext="" "&amp;TEXT(LX28-utc_offset/24,"HH")&amp;search_regexp&amp;""""</f>
        <v>#REF!</v>
      </c>
      <c r="MV28" s="234" t="e">
        <f>astrogrep_path&amp;" /e /r /s /spath="&amp;search_path&amp;" /stypes=""app*"&amp;LR28&amp;"*"&amp;TEXT(LY28-utc_offset/24,"YYYYMMDD")&amp;"*"" /stext="" "&amp;TEXT(LY28-utc_offset/24,"HH")&amp;search_regexp&amp;""""</f>
        <v>#REF!</v>
      </c>
      <c r="MW28" s="234" t="e">
        <f>astrogrep_path&amp;" /e /r /s /spath="&amp;search_path&amp;" /stypes=""app*"&amp;LS28&amp;"*"&amp;TEXT(LZ28-utc_offset/24,"YYYYMMDD")&amp;"*"" /stext="" "&amp;TEXT(LZ28-utc_offset/24,"HH")&amp;search_regexp&amp;""""</f>
        <v>#VALUE!</v>
      </c>
      <c r="MX28" s="234" t="e">
        <f>astrogrep_path&amp;" /e /r /s /spath="&amp;search_path&amp;" /stypes=""app*"&amp;LT28&amp;"*"&amp;TEXT(MA28-utc_offset/24,"YYYYMMDD")&amp;"*"" /stext="" "&amp;TEXT(MA28-utc_offset/24,"HH")&amp;search_regexp&amp;""""</f>
        <v>#VALUE!</v>
      </c>
      <c r="MY28" s="234" t="e">
        <f>astrogrep_path&amp;" /e /r /s /spath="&amp;search_path&amp;" /stypes=""app*"&amp;LU28&amp;"*"&amp;TEXT(MB28-utc_offset/24,"YYYYMMDD")&amp;"*"" /stext="" "&amp;TEXT(MB28-utc_offset/24,"HH")&amp;search_regexp&amp;""""</f>
        <v>#REF!</v>
      </c>
      <c r="MZ28" s="234" t="e">
        <f>astrogrep_path&amp;" /e /r /s /spath="&amp;search_path&amp;" /stypes=""app*"&amp;LV28&amp;"*"&amp;TEXT(MC28-utc_offset/24,"YYYYMMDD")&amp;"*"" /stext="" "&amp;TEXT(MC28-utc_offset/24,"HH")&amp;search_regexp&amp;""""</f>
        <v>#REF!</v>
      </c>
      <c r="NA28" s="234" t="e">
        <f>astrogrep_path&amp;" /e /r /s /spath="&amp;search_path&amp;" /stypes=""app*"&amp;LW28&amp;"*"&amp;TEXT(MD28-utc_offset/24,"YYYYMMDD")&amp;"*"" /stext="" "&amp;TEXT(MD28-utc_offset/24,"HH")&amp;search_regexp&amp;""""</f>
        <v>#VALUE!</v>
      </c>
      <c r="NB28" s="234" t="e">
        <f>astrogrep_path&amp;" /e /r /s /spath="&amp;search_path&amp;" /stypes=""app*"&amp;LX28&amp;"*"&amp;TEXT(ME28-utc_offset/24,"YYYYMMDD")&amp;"*"" /stext="" "&amp;TEXT(ME28-utc_offset/24,"HH")&amp;search_regexp&amp;""""</f>
        <v>#VALUE!</v>
      </c>
      <c r="NC28" s="234" t="e">
        <f>astrogrep_path&amp;" /e /r /s /spath="&amp;search_path&amp;" /stypes=""app*"&amp;LY28&amp;"*"&amp;TEXT(MF28-utc_offset/24,"YYYYMMDD")&amp;"*"" /stext="" "&amp;TEXT(MF28-utc_offset/24,"HH")&amp;search_regexp&amp;""""</f>
        <v>#VALUE!</v>
      </c>
      <c r="ND28" s="234" t="e">
        <f>astrogrep_path&amp;" /e /r /s /spath="&amp;search_path&amp;" /stypes=""app*"&amp;LZ28&amp;"*"&amp;TEXT(MG28-utc_offset/24,"YYYYMMDD")&amp;"*"" /stext="" "&amp;TEXT(MG28-utc_offset/24,"HH")&amp;search_regexp&amp;""""</f>
        <v>#VALUE!</v>
      </c>
      <c r="NE28" s="234" t="e">
        <f>astrogrep_path&amp;" /e /r /s /spath="&amp;search_path&amp;" /stypes=""app*"&amp;MA28&amp;"*"&amp;TEXT(MH28-utc_offset/24,"YYYYMMDD")&amp;"*"" /stext="" "&amp;TEXT(MH28-utc_offset/24,"HH")&amp;search_regexp&amp;""""</f>
        <v>#VALUE!</v>
      </c>
      <c r="NF28" s="234" t="e">
        <f>astrogrep_path&amp;" /e /r /s /spath="&amp;search_path&amp;" /stypes=""app*"&amp;MB28&amp;"*"&amp;TEXT(MI28-utc_offset/24,"YYYYMMDD")&amp;"*"" /stext="" "&amp;TEXT(MI28-utc_offset/24,"HH")&amp;search_regexp&amp;""""</f>
        <v>#REF!</v>
      </c>
      <c r="NG28" s="234" t="e">
        <f>astrogrep_path&amp;" /e /r /s /spath="&amp;search_path&amp;" /stypes=""app*"&amp;MC28&amp;"*"&amp;TEXT(MJ28-utc_offset/24,"YYYYMMDD")&amp;"*"" /stext="" "&amp;TEXT(MJ28-utc_offset/24,"HH")&amp;search_regexp&amp;""""</f>
        <v>#REF!</v>
      </c>
      <c r="NH28" s="234" t="e">
        <f>astrogrep_path&amp;" /e /r /s /spath="&amp;search_path&amp;" /stypes=""app*"&amp;MD28&amp;"*"&amp;TEXT(MK28-utc_offset/24,"YYYYMMDD")&amp;"*"" /stext="" "&amp;TEXT(MK28-utc_offset/24,"HH")&amp;search_regexp&amp;""""</f>
        <v>#REF!</v>
      </c>
      <c r="NI28" s="234" t="e">
        <f>astrogrep_path&amp;" /e /r /s /spath="&amp;search_path&amp;" /stypes=""app*"&amp;ME28&amp;"*"&amp;TEXT(ML28-utc_offset/24,"YYYYMMDD")&amp;"*"" /stext="" "&amp;TEXT(ML28-utc_offset/24,"HH")&amp;search_regexp&amp;""""</f>
        <v>#REF!</v>
      </c>
      <c r="NJ28" s="234" t="e">
        <f>astrogrep_path&amp;" /e /r /s /spath="&amp;search_path&amp;" /stypes=""app*"&amp;MF28&amp;"*"&amp;TEXT(MM28-utc_offset/24,"YYYYMMDD")&amp;"*"" /stext="" "&amp;TEXT(MM28-utc_offset/24,"HH")&amp;search_regexp&amp;""""</f>
        <v>#REF!</v>
      </c>
      <c r="NK28" s="234" t="e">
        <f>astrogrep_path&amp;" /e /r /s /spath="&amp;search_path&amp;" /stypes=""app*"&amp;MG28&amp;"*"&amp;TEXT(MN28-utc_offset/24,"YYYYMMDD")&amp;"*"" /stext="" "&amp;TEXT(MN28-utc_offset/24,"HH")&amp;search_regexp&amp;""""</f>
        <v>#REF!</v>
      </c>
      <c r="NL28" s="234" t="e">
        <f>astrogrep_path&amp;" /e /r /s /spath="&amp;search_path&amp;" /stypes=""app*"&amp;MH28&amp;"*"&amp;TEXT(MO28-utc_offset/24,"YYYYMMDD")&amp;"*"" /stext="" "&amp;TEXT(MO28-utc_offset/24,"HH")&amp;search_regexp&amp;""""</f>
        <v>#REF!</v>
      </c>
      <c r="NM28" s="234" t="e">
        <f>astrogrep_path&amp;" /e /r /s /spath="&amp;search_path&amp;" /stypes=""app*"&amp;MI28&amp;"*"&amp;TEXT(MP28-utc_offset/24,"YYYYMMDD")&amp;"*"" /stext="" "&amp;TEXT(MP28-utc_offset/24,"HH")&amp;search_regexp&amp;""""</f>
        <v>#REF!</v>
      </c>
      <c r="NN28" s="234" t="e">
        <f>astrogrep_path&amp;" /e /r /s /spath="&amp;search_path&amp;" /stypes=""app*"&amp;MJ28&amp;"*"&amp;TEXT(MQ28-utc_offset/24,"YYYYMMDD")&amp;"*"" /stext="" "&amp;TEXT(MQ28-utc_offset/24,"HH")&amp;search_regexp&amp;""""</f>
        <v>#REF!</v>
      </c>
      <c r="NO28" s="234" t="e">
        <f>astrogrep_path&amp;" /e /r /s /spath="&amp;search_path&amp;" /stypes=""app*"&amp;MK28&amp;"*"&amp;TEXT(MR28-utc_offset/24,"YYYYMMDD")&amp;"*"" /stext="" "&amp;TEXT(MR28-utc_offset/24,"HH")&amp;search_regexp&amp;""""</f>
        <v>#REF!</v>
      </c>
      <c r="NP28" s="234" t="e">
        <f>astrogrep_path&amp;" /e /r /s /spath="&amp;search_path&amp;" /stypes=""app*"&amp;ML28&amp;"*"&amp;TEXT(MS28-utc_offset/24,"YYYYMMDD")&amp;"*"" /stext="" "&amp;TEXT(MS28-utc_offset/24,"HH")&amp;search_regexp&amp;""""</f>
        <v>#REF!</v>
      </c>
      <c r="NQ28" s="234" t="e">
        <f>astrogrep_path&amp;" /e /r /s /spath="&amp;search_path&amp;" /stypes=""app*"&amp;MM28&amp;"*"&amp;TEXT(MT28-utc_offset/24,"YYYYMMDD")&amp;"*"" /stext="" "&amp;TEXT(MT28-utc_offset/24,"HH")&amp;search_regexp&amp;""""</f>
        <v>#REF!</v>
      </c>
      <c r="NR28" s="234" t="e">
        <f>astrogrep_path&amp;" /e /r /s /spath="&amp;search_path&amp;" /stypes=""app*"&amp;MN28&amp;"*"&amp;TEXT(MU28-utc_offset/24,"YYYYMMDD")&amp;"*"" /stext="" "&amp;TEXT(MU28-utc_offset/24,"HH")&amp;search_regexp&amp;""""</f>
        <v>#REF!</v>
      </c>
      <c r="NS28" s="234" t="e">
        <f>astrogrep_path&amp;" /e /r /s /spath="&amp;search_path&amp;" /stypes=""app*"&amp;MO28&amp;"*"&amp;TEXT(MV28-utc_offset/24,"YYYYMMDD")&amp;"*"" /stext="" "&amp;TEXT(MV28-utc_offset/24,"HH")&amp;search_regexp&amp;""""</f>
        <v>#REF!</v>
      </c>
      <c r="NT28" s="234" t="e">
        <f>astrogrep_path&amp;" /e /r /s /spath="&amp;search_path&amp;" /stypes=""app*"&amp;MP28&amp;"*"&amp;TEXT(MW28-utc_offset/24,"YYYYMMDD")&amp;"*"" /stext="" "&amp;TEXT(MW28-utc_offset/24,"HH")&amp;search_regexp&amp;""""</f>
        <v>#REF!</v>
      </c>
      <c r="NU28" s="234" t="e">
        <f>astrogrep_path&amp;" /e /r /s /spath="&amp;search_path&amp;" /stypes=""app*"&amp;MQ28&amp;"*"&amp;TEXT(MX28-utc_offset/24,"YYYYMMDD")&amp;"*"" /stext="" "&amp;TEXT(MX28-utc_offset/24,"HH")&amp;search_regexp&amp;""""</f>
        <v>#REF!</v>
      </c>
      <c r="NV28" s="234" t="e">
        <f>astrogrep_path&amp;" /e /r /s /spath="&amp;search_path&amp;" /stypes=""app*"&amp;MR28&amp;"*"&amp;TEXT(MY28-utc_offset/24,"YYYYMMDD")&amp;"*"" /stext="" "&amp;TEXT(MY28-utc_offset/24,"HH")&amp;search_regexp&amp;""""</f>
        <v>#REF!</v>
      </c>
      <c r="NW28" s="234" t="e">
        <f>astrogrep_path&amp;" /e /r /s /spath="&amp;search_path&amp;" /stypes=""app*"&amp;MS28&amp;"*"&amp;TEXT(MZ28-utc_offset/24,"YYYYMMDD")&amp;"*"" /stext="" "&amp;TEXT(MZ28-utc_offset/24,"HH")&amp;search_regexp&amp;""""</f>
        <v>#REF!</v>
      </c>
      <c r="NX28" s="234" t="e">
        <f>astrogrep_path&amp;" /e /r /s /spath="&amp;search_path&amp;" /stypes=""app*"&amp;MT28&amp;"*"&amp;TEXT(NA28-utc_offset/24,"YYYYMMDD")&amp;"*"" /stext="" "&amp;TEXT(NA28-utc_offset/24,"HH")&amp;search_regexp&amp;""""</f>
        <v>#REF!</v>
      </c>
      <c r="NY28" s="234" t="e">
        <f>astrogrep_path&amp;" /e /r /s /spath="&amp;search_path&amp;" /stypes=""app*"&amp;MU28&amp;"*"&amp;TEXT(NB28-utc_offset/24,"YYYYMMDD")&amp;"*"" /stext="" "&amp;TEXT(NB28-utc_offset/24,"HH")&amp;search_regexp&amp;""""</f>
        <v>#REF!</v>
      </c>
      <c r="NZ28" s="234" t="e">
        <f>astrogrep_path&amp;" /e /r /s /spath="&amp;search_path&amp;" /stypes=""app*"&amp;MV28&amp;"*"&amp;TEXT(NC28-utc_offset/24,"YYYYMMDD")&amp;"*"" /stext="" "&amp;TEXT(NC28-utc_offset/24,"HH")&amp;search_regexp&amp;""""</f>
        <v>#REF!</v>
      </c>
      <c r="OA28" s="234" t="e">
        <f>astrogrep_path&amp;" /e /r /s /spath="&amp;search_path&amp;" /stypes=""app*"&amp;MW28&amp;"*"&amp;TEXT(ND28-utc_offset/24,"YYYYMMDD")&amp;"*"" /stext="" "&amp;TEXT(ND28-utc_offset/24,"HH")&amp;search_regexp&amp;""""</f>
        <v>#VALUE!</v>
      </c>
      <c r="OB28" s="234" t="e">
        <f>astrogrep_path&amp;" /e /r /s /spath="&amp;search_path&amp;" /stypes=""app*"&amp;MX28&amp;"*"&amp;TEXT(NE28-utc_offset/24,"YYYYMMDD")&amp;"*"" /stext="" "&amp;TEXT(NE28-utc_offset/24,"HH")&amp;search_regexp&amp;""""</f>
        <v>#VALUE!</v>
      </c>
      <c r="OC28" s="234" t="e">
        <f>astrogrep_path&amp;" /e /r /s /spath="&amp;search_path&amp;" /stypes=""app*"&amp;MY28&amp;"*"&amp;TEXT(NF28-utc_offset/24,"YYYYMMDD")&amp;"*"" /stext="" "&amp;TEXT(NF28-utc_offset/24,"HH")&amp;search_regexp&amp;""""</f>
        <v>#REF!</v>
      </c>
      <c r="OD28" s="234" t="e">
        <f>astrogrep_path&amp;" /e /r /s /spath="&amp;search_path&amp;" /stypes=""app*"&amp;MZ28&amp;"*"&amp;TEXT(NG28-utc_offset/24,"YYYYMMDD")&amp;"*"" /stext="" "&amp;TEXT(NG28-utc_offset/24,"HH")&amp;search_regexp&amp;""""</f>
        <v>#REF!</v>
      </c>
      <c r="OE28" s="234" t="e">
        <f>astrogrep_path&amp;" /e /r /s /spath="&amp;search_path&amp;" /stypes=""app*"&amp;NA28&amp;"*"&amp;TEXT(NH28-utc_offset/24,"YYYYMMDD")&amp;"*"" /stext="" "&amp;TEXT(NH28-utc_offset/24,"HH")&amp;search_regexp&amp;""""</f>
        <v>#VALUE!</v>
      </c>
      <c r="OF28" s="234" t="e">
        <f>astrogrep_path&amp;" /e /r /s /spath="&amp;search_path&amp;" /stypes=""app*"&amp;NB28&amp;"*"&amp;TEXT(NI28-utc_offset/24,"YYYYMMDD")&amp;"*"" /stext="" "&amp;TEXT(NI28-utc_offset/24,"HH")&amp;search_regexp&amp;""""</f>
        <v>#VALUE!</v>
      </c>
      <c r="OG28" s="234" t="e">
        <f>astrogrep_path&amp;" /e /r /s /spath="&amp;search_path&amp;" /stypes=""app*"&amp;NC28&amp;"*"&amp;TEXT(NJ28-utc_offset/24,"YYYYMMDD")&amp;"*"" /stext="" "&amp;TEXT(NJ28-utc_offset/24,"HH")&amp;search_regexp&amp;""""</f>
        <v>#VALUE!</v>
      </c>
      <c r="OH28" s="234" t="e">
        <f>astrogrep_path&amp;" /e /r /s /spath="&amp;search_path&amp;" /stypes=""app*"&amp;ND28&amp;"*"&amp;TEXT(NK28-utc_offset/24,"YYYYMMDD")&amp;"*"" /stext="" "&amp;TEXT(NK28-utc_offset/24,"HH")&amp;search_regexp&amp;""""</f>
        <v>#VALUE!</v>
      </c>
      <c r="OI28" s="234" t="e">
        <f>astrogrep_path&amp;" /e /r /s /spath="&amp;search_path&amp;" /stypes=""app*"&amp;NE28&amp;"*"&amp;TEXT(NL28-utc_offset/24,"YYYYMMDD")&amp;"*"" /stext="" "&amp;TEXT(NL28-utc_offset/24,"HH")&amp;search_regexp&amp;""""</f>
        <v>#VALUE!</v>
      </c>
      <c r="OJ28" s="234" t="e">
        <f>astrogrep_path&amp;" /e /r /s /spath="&amp;search_path&amp;" /stypes=""app*"&amp;NF28&amp;"*"&amp;TEXT(NM28-utc_offset/24,"YYYYMMDD")&amp;"*"" /stext="" "&amp;TEXT(NM28-utc_offset/24,"HH")&amp;search_regexp&amp;""""</f>
        <v>#REF!</v>
      </c>
      <c r="OK28" s="234" t="e">
        <f>astrogrep_path&amp;" /e /r /s /spath="&amp;search_path&amp;" /stypes=""app*"&amp;NG28&amp;"*"&amp;TEXT(NN28-utc_offset/24,"YYYYMMDD")&amp;"*"" /stext="" "&amp;TEXT(NN28-utc_offset/24,"HH")&amp;search_regexp&amp;""""</f>
        <v>#REF!</v>
      </c>
      <c r="OL28" s="234" t="e">
        <f>astrogrep_path&amp;" /e /r /s /spath="&amp;search_path&amp;" /stypes=""app*"&amp;NH28&amp;"*"&amp;TEXT(NO28-utc_offset/24,"YYYYMMDD")&amp;"*"" /stext="" "&amp;TEXT(NO28-utc_offset/24,"HH")&amp;search_regexp&amp;""""</f>
        <v>#REF!</v>
      </c>
      <c r="OM28" s="234" t="e">
        <f>astrogrep_path&amp;" /e /r /s /spath="&amp;search_path&amp;" /stypes=""app*"&amp;NI28&amp;"*"&amp;TEXT(NP28-utc_offset/24,"YYYYMMDD")&amp;"*"" /stext="" "&amp;TEXT(NP28-utc_offset/24,"HH")&amp;search_regexp&amp;""""</f>
        <v>#REF!</v>
      </c>
      <c r="ON28" s="234" t="e">
        <f>astrogrep_path&amp;" /e /r /s /spath="&amp;search_path&amp;" /stypes=""app*"&amp;NJ28&amp;"*"&amp;TEXT(NQ28-utc_offset/24,"YYYYMMDD")&amp;"*"" /stext="" "&amp;TEXT(NQ28-utc_offset/24,"HH")&amp;search_regexp&amp;""""</f>
        <v>#REF!</v>
      </c>
      <c r="OO28" s="234" t="e">
        <f>astrogrep_path&amp;" /e /r /s /spath="&amp;search_path&amp;" /stypes=""app*"&amp;NK28&amp;"*"&amp;TEXT(NR28-utc_offset/24,"YYYYMMDD")&amp;"*"" /stext="" "&amp;TEXT(NR28-utc_offset/24,"HH")&amp;search_regexp&amp;""""</f>
        <v>#REF!</v>
      </c>
      <c r="OP28" s="234" t="e">
        <f>astrogrep_path&amp;" /e /r /s /spath="&amp;search_path&amp;" /stypes=""app*"&amp;NL28&amp;"*"&amp;TEXT(NS28-utc_offset/24,"YYYYMMDD")&amp;"*"" /stext="" "&amp;TEXT(NS28-utc_offset/24,"HH")&amp;search_regexp&amp;""""</f>
        <v>#REF!</v>
      </c>
      <c r="OQ28" s="234" t="e">
        <f>astrogrep_path&amp;" /e /r /s /spath="&amp;search_path&amp;" /stypes=""app*"&amp;NM28&amp;"*"&amp;TEXT(NT28-utc_offset/24,"YYYYMMDD")&amp;"*"" /stext="" "&amp;TEXT(NT28-utc_offset/24,"HH")&amp;search_regexp&amp;""""</f>
        <v>#REF!</v>
      </c>
      <c r="OR28" s="234" t="e">
        <f>astrogrep_path&amp;" /e /r /s /spath="&amp;search_path&amp;" /stypes=""app*"&amp;NN28&amp;"*"&amp;TEXT(NU28-utc_offset/24,"YYYYMMDD")&amp;"*"" /stext="" "&amp;TEXT(NU28-utc_offset/24,"HH")&amp;search_regexp&amp;""""</f>
        <v>#REF!</v>
      </c>
      <c r="OS28" s="234" t="e">
        <f>astrogrep_path&amp;" /e /r /s /spath="&amp;search_path&amp;" /stypes=""app*"&amp;NO28&amp;"*"&amp;TEXT(NV28-utc_offset/24,"YYYYMMDD")&amp;"*"" /stext="" "&amp;TEXT(NV28-utc_offset/24,"HH")&amp;search_regexp&amp;""""</f>
        <v>#REF!</v>
      </c>
      <c r="OT28" s="234" t="e">
        <f>astrogrep_path&amp;" /e /r /s /spath="&amp;search_path&amp;" /stypes=""app*"&amp;NP28&amp;"*"&amp;TEXT(NW28-utc_offset/24,"YYYYMMDD")&amp;"*"" /stext="" "&amp;TEXT(NW28-utc_offset/24,"HH")&amp;search_regexp&amp;""""</f>
        <v>#REF!</v>
      </c>
      <c r="OU28" s="234" t="e">
        <f>astrogrep_path&amp;" /e /r /s /spath="&amp;search_path&amp;" /stypes=""app*"&amp;NQ28&amp;"*"&amp;TEXT(NX28-utc_offset/24,"YYYYMMDD")&amp;"*"" /stext="" "&amp;TEXT(NX28-utc_offset/24,"HH")&amp;search_regexp&amp;""""</f>
        <v>#REF!</v>
      </c>
      <c r="OV28" s="234" t="e">
        <f>astrogrep_path&amp;" /e /r /s /spath="&amp;search_path&amp;" /stypes=""app*"&amp;NR28&amp;"*"&amp;TEXT(NY28-utc_offset/24,"YYYYMMDD")&amp;"*"" /stext="" "&amp;TEXT(NY28-utc_offset/24,"HH")&amp;search_regexp&amp;""""</f>
        <v>#REF!</v>
      </c>
      <c r="OW28" s="234" t="e">
        <f>astrogrep_path&amp;" /e /r /s /spath="&amp;search_path&amp;" /stypes=""app*"&amp;NS28&amp;"*"&amp;TEXT(NZ28-utc_offset/24,"YYYYMMDD")&amp;"*"" /stext="" "&amp;TEXT(NZ28-utc_offset/24,"HH")&amp;search_regexp&amp;""""</f>
        <v>#REF!</v>
      </c>
      <c r="OX28" s="234" t="e">
        <f>astrogrep_path&amp;" /e /r /s /spath="&amp;search_path&amp;" /stypes=""app*"&amp;NT28&amp;"*"&amp;TEXT(OA28-utc_offset/24,"YYYYMMDD")&amp;"*"" /stext="" "&amp;TEXT(OA28-utc_offset/24,"HH")&amp;search_regexp&amp;""""</f>
        <v>#REF!</v>
      </c>
      <c r="OY28" s="234" t="e">
        <f>astrogrep_path&amp;" /e /r /s /spath="&amp;search_path&amp;" /stypes=""app*"&amp;NU28&amp;"*"&amp;TEXT(OB28-utc_offset/24,"YYYYMMDD")&amp;"*"" /stext="" "&amp;TEXT(OB28-utc_offset/24,"HH")&amp;search_regexp&amp;""""</f>
        <v>#REF!</v>
      </c>
      <c r="OZ28" s="234" t="e">
        <f>astrogrep_path&amp;" /e /r /s /spath="&amp;search_path&amp;" /stypes=""app*"&amp;NV28&amp;"*"&amp;TEXT(OC28-utc_offset/24,"YYYYMMDD")&amp;"*"" /stext="" "&amp;TEXT(OC28-utc_offset/24,"HH")&amp;search_regexp&amp;""""</f>
        <v>#REF!</v>
      </c>
      <c r="PA28" s="234" t="e">
        <f>astrogrep_path&amp;" /e /r /s /spath="&amp;search_path&amp;" /stypes=""app*"&amp;NW28&amp;"*"&amp;TEXT(OD28-utc_offset/24,"YYYYMMDD")&amp;"*"" /stext="" "&amp;TEXT(OD28-utc_offset/24,"HH")&amp;search_regexp&amp;""""</f>
        <v>#REF!</v>
      </c>
      <c r="PB28" s="234" t="e">
        <f>astrogrep_path&amp;" /e /r /s /spath="&amp;search_path&amp;" /stypes=""app*"&amp;NX28&amp;"*"&amp;TEXT(OE28-utc_offset/24,"YYYYMMDD")&amp;"*"" /stext="" "&amp;TEXT(OE28-utc_offset/24,"HH")&amp;search_regexp&amp;""""</f>
        <v>#REF!</v>
      </c>
      <c r="PC28" s="234" t="e">
        <f>astrogrep_path&amp;" /e /r /s /spath="&amp;search_path&amp;" /stypes=""app*"&amp;NY28&amp;"*"&amp;TEXT(OF28-utc_offset/24,"YYYYMMDD")&amp;"*"" /stext="" "&amp;TEXT(OF28-utc_offset/24,"HH")&amp;search_regexp&amp;""""</f>
        <v>#REF!</v>
      </c>
      <c r="PD28" s="234" t="e">
        <f>astrogrep_path&amp;" /e /r /s /spath="&amp;search_path&amp;" /stypes=""app*"&amp;NZ28&amp;"*"&amp;TEXT(OG28-utc_offset/24,"YYYYMMDD")&amp;"*"" /stext="" "&amp;TEXT(OG28-utc_offset/24,"HH")&amp;search_regexp&amp;""""</f>
        <v>#REF!</v>
      </c>
      <c r="PE28" s="234" t="e">
        <f>astrogrep_path&amp;" /e /r /s /spath="&amp;search_path&amp;" /stypes=""app*"&amp;OA28&amp;"*"&amp;TEXT(OH28-utc_offset/24,"YYYYMMDD")&amp;"*"" /stext="" "&amp;TEXT(OH28-utc_offset/24,"HH")&amp;search_regexp&amp;""""</f>
        <v>#VALUE!</v>
      </c>
      <c r="PF28" s="234" t="e">
        <f>astrogrep_path&amp;" /e /r /s /spath="&amp;search_path&amp;" /stypes=""app*"&amp;OB28&amp;"*"&amp;TEXT(OI28-utc_offset/24,"YYYYMMDD")&amp;"*"" /stext="" "&amp;TEXT(OI28-utc_offset/24,"HH")&amp;search_regexp&amp;""""</f>
        <v>#VALUE!</v>
      </c>
      <c r="PG28" s="234" t="e">
        <f>astrogrep_path&amp;" /e /r /s /spath="&amp;search_path&amp;" /stypes=""app*"&amp;OC28&amp;"*"&amp;TEXT(OJ28-utc_offset/24,"YYYYMMDD")&amp;"*"" /stext="" "&amp;TEXT(OJ28-utc_offset/24,"HH")&amp;search_regexp&amp;""""</f>
        <v>#REF!</v>
      </c>
      <c r="PH28" s="234" t="e">
        <f>astrogrep_path&amp;" /e /r /s /spath="&amp;search_path&amp;" /stypes=""app*"&amp;OD28&amp;"*"&amp;TEXT(OK28-utc_offset/24,"YYYYMMDD")&amp;"*"" /stext="" "&amp;TEXT(OK28-utc_offset/24,"HH")&amp;search_regexp&amp;""""</f>
        <v>#REF!</v>
      </c>
      <c r="PI28" s="234" t="e">
        <f>astrogrep_path&amp;" /e /r /s /spath="&amp;search_path&amp;" /stypes=""app*"&amp;OE28&amp;"*"&amp;TEXT(OL28-utc_offset/24,"YYYYMMDD")&amp;"*"" /stext="" "&amp;TEXT(OL28-utc_offset/24,"HH")&amp;search_regexp&amp;""""</f>
        <v>#VALUE!</v>
      </c>
      <c r="PJ28" s="234" t="e">
        <f>astrogrep_path&amp;" /e /r /s /spath="&amp;search_path&amp;" /stypes=""app*"&amp;OF28&amp;"*"&amp;TEXT(OM28-utc_offset/24,"YYYYMMDD")&amp;"*"" /stext="" "&amp;TEXT(OM28-utc_offset/24,"HH")&amp;search_regexp&amp;""""</f>
        <v>#VALUE!</v>
      </c>
      <c r="PK28" s="234" t="e">
        <f>astrogrep_path&amp;" /e /r /s /spath="&amp;search_path&amp;" /stypes=""app*"&amp;OG28&amp;"*"&amp;TEXT(ON28-utc_offset/24,"YYYYMMDD")&amp;"*"" /stext="" "&amp;TEXT(ON28-utc_offset/24,"HH")&amp;search_regexp&amp;""""</f>
        <v>#VALUE!</v>
      </c>
      <c r="PL28" s="234" t="e">
        <f>astrogrep_path&amp;" /e /r /s /spath="&amp;search_path&amp;" /stypes=""app*"&amp;OH28&amp;"*"&amp;TEXT(OO28-utc_offset/24,"YYYYMMDD")&amp;"*"" /stext="" "&amp;TEXT(OO28-utc_offset/24,"HH")&amp;search_regexp&amp;""""</f>
        <v>#VALUE!</v>
      </c>
      <c r="PM28" s="234" t="e">
        <f>astrogrep_path&amp;" /e /r /s /spath="&amp;search_path&amp;" /stypes=""app*"&amp;OI28&amp;"*"&amp;TEXT(OP28-utc_offset/24,"YYYYMMDD")&amp;"*"" /stext="" "&amp;TEXT(OP28-utc_offset/24,"HH")&amp;search_regexp&amp;""""</f>
        <v>#VALUE!</v>
      </c>
      <c r="PN28" s="234" t="e">
        <f>astrogrep_path&amp;" /e /r /s /spath="&amp;search_path&amp;" /stypes=""app*"&amp;OJ28&amp;"*"&amp;TEXT(OQ28-utc_offset/24,"YYYYMMDD")&amp;"*"" /stext="" "&amp;TEXT(OQ28-utc_offset/24,"HH")&amp;search_regexp&amp;""""</f>
        <v>#REF!</v>
      </c>
      <c r="PO28" s="234" t="e">
        <f>astrogrep_path&amp;" /e /r /s /spath="&amp;search_path&amp;" /stypes=""app*"&amp;OK28&amp;"*"&amp;TEXT(OR28-utc_offset/24,"YYYYMMDD")&amp;"*"" /stext="" "&amp;TEXT(OR28-utc_offset/24,"HH")&amp;search_regexp&amp;""""</f>
        <v>#REF!</v>
      </c>
      <c r="PP28" s="234" t="e">
        <f>astrogrep_path&amp;" /e /r /s /spath="&amp;search_path&amp;" /stypes=""app*"&amp;OL28&amp;"*"&amp;TEXT(OS28-utc_offset/24,"YYYYMMDD")&amp;"*"" /stext="" "&amp;TEXT(OS28-utc_offset/24,"HH")&amp;search_regexp&amp;""""</f>
        <v>#REF!</v>
      </c>
      <c r="PQ28" s="234" t="e">
        <f>astrogrep_path&amp;" /e /r /s /spath="&amp;search_path&amp;" /stypes=""app*"&amp;OM28&amp;"*"&amp;TEXT(OT28-utc_offset/24,"YYYYMMDD")&amp;"*"" /stext="" "&amp;TEXT(OT28-utc_offset/24,"HH")&amp;search_regexp&amp;""""</f>
        <v>#REF!</v>
      </c>
      <c r="PR28" s="234" t="e">
        <f>astrogrep_path&amp;" /e /r /s /spath="&amp;search_path&amp;" /stypes=""app*"&amp;ON28&amp;"*"&amp;TEXT(OU28-utc_offset/24,"YYYYMMDD")&amp;"*"" /stext="" "&amp;TEXT(OU28-utc_offset/24,"HH")&amp;search_regexp&amp;""""</f>
        <v>#REF!</v>
      </c>
      <c r="PS28" s="234" t="e">
        <f>astrogrep_path&amp;" /e /r /s /spath="&amp;search_path&amp;" /stypes=""app*"&amp;OO28&amp;"*"&amp;TEXT(OV28-utc_offset/24,"YYYYMMDD")&amp;"*"" /stext="" "&amp;TEXT(OV28-utc_offset/24,"HH")&amp;search_regexp&amp;""""</f>
        <v>#REF!</v>
      </c>
      <c r="PT28" s="234" t="e">
        <f>astrogrep_path&amp;" /e /r /s /spath="&amp;search_path&amp;" /stypes=""app*"&amp;OP28&amp;"*"&amp;TEXT(OW28-utc_offset/24,"YYYYMMDD")&amp;"*"" /stext="" "&amp;TEXT(OW28-utc_offset/24,"HH")&amp;search_regexp&amp;""""</f>
        <v>#REF!</v>
      </c>
      <c r="PU28" s="234" t="e">
        <f>astrogrep_path&amp;" /e /r /s /spath="&amp;search_path&amp;" /stypes=""app*"&amp;OQ28&amp;"*"&amp;TEXT(OX28-utc_offset/24,"YYYYMMDD")&amp;"*"" /stext="" "&amp;TEXT(OX28-utc_offset/24,"HH")&amp;search_regexp&amp;""""</f>
        <v>#REF!</v>
      </c>
      <c r="PV28" s="234" t="e">
        <f>astrogrep_path&amp;" /e /r /s /spath="&amp;search_path&amp;" /stypes=""app*"&amp;OR28&amp;"*"&amp;TEXT(OY28-utc_offset/24,"YYYYMMDD")&amp;"*"" /stext="" "&amp;TEXT(OY28-utc_offset/24,"HH")&amp;search_regexp&amp;""""</f>
        <v>#REF!</v>
      </c>
      <c r="PW28" s="234" t="e">
        <f>astrogrep_path&amp;" /e /r /s /spath="&amp;search_path&amp;" /stypes=""app*"&amp;OS28&amp;"*"&amp;TEXT(OZ28-utc_offset/24,"YYYYMMDD")&amp;"*"" /stext="" "&amp;TEXT(OZ28-utc_offset/24,"HH")&amp;search_regexp&amp;""""</f>
        <v>#REF!</v>
      </c>
      <c r="PX28" s="234" t="e">
        <f>astrogrep_path&amp;" /e /r /s /spath="&amp;search_path&amp;" /stypes=""app*"&amp;OT28&amp;"*"&amp;TEXT(PA28-utc_offset/24,"YYYYMMDD")&amp;"*"" /stext="" "&amp;TEXT(PA28-utc_offset/24,"HH")&amp;search_regexp&amp;""""</f>
        <v>#REF!</v>
      </c>
      <c r="PY28" s="234" t="e">
        <f>astrogrep_path&amp;" /e /r /s /spath="&amp;search_path&amp;" /stypes=""app*"&amp;OU28&amp;"*"&amp;TEXT(PB28-utc_offset/24,"YYYYMMDD")&amp;"*"" /stext="" "&amp;TEXT(PB28-utc_offset/24,"HH")&amp;search_regexp&amp;""""</f>
        <v>#REF!</v>
      </c>
      <c r="PZ28" s="234" t="e">
        <f>astrogrep_path&amp;" /e /r /s /spath="&amp;search_path&amp;" /stypes=""app*"&amp;OV28&amp;"*"&amp;TEXT(PC28-utc_offset/24,"YYYYMMDD")&amp;"*"" /stext="" "&amp;TEXT(PC28-utc_offset/24,"HH")&amp;search_regexp&amp;""""</f>
        <v>#REF!</v>
      </c>
      <c r="QA28" s="234" t="e">
        <f>astrogrep_path&amp;" /e /r /s /spath="&amp;search_path&amp;" /stypes=""app*"&amp;OW28&amp;"*"&amp;TEXT(PD28-utc_offset/24,"YYYYMMDD")&amp;"*"" /stext="" "&amp;TEXT(PD28-utc_offset/24,"HH")&amp;search_regexp&amp;""""</f>
        <v>#REF!</v>
      </c>
      <c r="QB28" s="234" t="e">
        <f>astrogrep_path&amp;" /e /r /s /spath="&amp;search_path&amp;" /stypes=""app*"&amp;OX28&amp;"*"&amp;TEXT(PE28-utc_offset/24,"YYYYMMDD")&amp;"*"" /stext="" "&amp;TEXT(PE28-utc_offset/24,"HH")&amp;search_regexp&amp;""""</f>
        <v>#REF!</v>
      </c>
      <c r="QC28" s="234" t="e">
        <f>astrogrep_path&amp;" /e /r /s /spath="&amp;search_path&amp;" /stypes=""app*"&amp;OY28&amp;"*"&amp;TEXT(PF28-utc_offset/24,"YYYYMMDD")&amp;"*"" /stext="" "&amp;TEXT(PF28-utc_offset/24,"HH")&amp;search_regexp&amp;""""</f>
        <v>#REF!</v>
      </c>
      <c r="QD28" s="234" t="e">
        <f>astrogrep_path&amp;" /e /r /s /spath="&amp;search_path&amp;" /stypes=""app*"&amp;OZ28&amp;"*"&amp;TEXT(PG28-utc_offset/24,"YYYYMMDD")&amp;"*"" /stext="" "&amp;TEXT(PG28-utc_offset/24,"HH")&amp;search_regexp&amp;""""</f>
        <v>#REF!</v>
      </c>
      <c r="QE28" s="234" t="e">
        <f>astrogrep_path&amp;" /e /r /s /spath="&amp;search_path&amp;" /stypes=""app*"&amp;PA28&amp;"*"&amp;TEXT(PH28-utc_offset/24,"YYYYMMDD")&amp;"*"" /stext="" "&amp;TEXT(PH28-utc_offset/24,"HH")&amp;search_regexp&amp;""""</f>
        <v>#REF!</v>
      </c>
      <c r="QF28" s="234" t="e">
        <f>astrogrep_path&amp;" /e /r /s /spath="&amp;search_path&amp;" /stypes=""app*"&amp;PB28&amp;"*"&amp;TEXT(PI28-utc_offset/24,"YYYYMMDD")&amp;"*"" /stext="" "&amp;TEXT(PI28-utc_offset/24,"HH")&amp;search_regexp&amp;""""</f>
        <v>#REF!</v>
      </c>
      <c r="QG28" s="234" t="e">
        <f>astrogrep_path&amp;" /e /r /s /spath="&amp;search_path&amp;" /stypes=""app*"&amp;PC28&amp;"*"&amp;TEXT(PJ28-utc_offset/24,"YYYYMMDD")&amp;"*"" /stext="" "&amp;TEXT(PJ28-utc_offset/24,"HH")&amp;search_regexp&amp;""""</f>
        <v>#REF!</v>
      </c>
      <c r="QH28" s="234" t="e">
        <f>astrogrep_path&amp;" /e /r /s /spath="&amp;search_path&amp;" /stypes=""app*"&amp;PD28&amp;"*"&amp;TEXT(PK28-utc_offset/24,"YYYYMMDD")&amp;"*"" /stext="" "&amp;TEXT(PK28-utc_offset/24,"HH")&amp;search_regexp&amp;""""</f>
        <v>#REF!</v>
      </c>
      <c r="QI28" s="234" t="e">
        <f>astrogrep_path&amp;" /e /r /s /spath="&amp;search_path&amp;" /stypes=""app*"&amp;PE28&amp;"*"&amp;TEXT(PL28-utc_offset/24,"YYYYMMDD")&amp;"*"" /stext="" "&amp;TEXT(PL28-utc_offset/24,"HH")&amp;search_regexp&amp;""""</f>
        <v>#VALUE!</v>
      </c>
      <c r="QJ28" s="234" t="e">
        <f>astrogrep_path&amp;" /e /r /s /spath="&amp;search_path&amp;" /stypes=""app*"&amp;PF28&amp;"*"&amp;TEXT(PM28-utc_offset/24,"YYYYMMDD")&amp;"*"" /stext="" "&amp;TEXT(PM28-utc_offset/24,"HH")&amp;search_regexp&amp;""""</f>
        <v>#VALUE!</v>
      </c>
      <c r="QK28" s="234" t="e">
        <f>astrogrep_path&amp;" /e /r /s /spath="&amp;search_path&amp;" /stypes=""app*"&amp;PG28&amp;"*"&amp;TEXT(PN28-utc_offset/24,"YYYYMMDD")&amp;"*"" /stext="" "&amp;TEXT(PN28-utc_offset/24,"HH")&amp;search_regexp&amp;""""</f>
        <v>#REF!</v>
      </c>
      <c r="QL28" s="234" t="e">
        <f>astrogrep_path&amp;" /e /r /s /spath="&amp;search_path&amp;" /stypes=""app*"&amp;PH28&amp;"*"&amp;TEXT(PO28-utc_offset/24,"YYYYMMDD")&amp;"*"" /stext="" "&amp;TEXT(PO28-utc_offset/24,"HH")&amp;search_regexp&amp;""""</f>
        <v>#REF!</v>
      </c>
      <c r="QM28" s="234" t="e">
        <f>astrogrep_path&amp;" /e /r /s /spath="&amp;search_path&amp;" /stypes=""app*"&amp;PI28&amp;"*"&amp;TEXT(PP28-utc_offset/24,"YYYYMMDD")&amp;"*"" /stext="" "&amp;TEXT(PP28-utc_offset/24,"HH")&amp;search_regexp&amp;""""</f>
        <v>#VALUE!</v>
      </c>
      <c r="QN28" s="234" t="e">
        <f>astrogrep_path&amp;" /e /r /s /spath="&amp;search_path&amp;" /stypes=""app*"&amp;PJ28&amp;"*"&amp;TEXT(PQ28-utc_offset/24,"YYYYMMDD")&amp;"*"" /stext="" "&amp;TEXT(PQ28-utc_offset/24,"HH")&amp;search_regexp&amp;""""</f>
        <v>#VALUE!</v>
      </c>
      <c r="QO28" s="234" t="e">
        <f>astrogrep_path&amp;" /e /r /s /spath="&amp;search_path&amp;" /stypes=""app*"&amp;PK28&amp;"*"&amp;TEXT(PR28-utc_offset/24,"YYYYMMDD")&amp;"*"" /stext="" "&amp;TEXT(PR28-utc_offset/24,"HH")&amp;search_regexp&amp;""""</f>
        <v>#VALUE!</v>
      </c>
      <c r="QP28" s="234" t="e">
        <f>astrogrep_path&amp;" /e /r /s /spath="&amp;search_path&amp;" /stypes=""app*"&amp;PL28&amp;"*"&amp;TEXT(PS28-utc_offset/24,"YYYYMMDD")&amp;"*"" /stext="" "&amp;TEXT(PS28-utc_offset/24,"HH")&amp;search_regexp&amp;""""</f>
        <v>#VALUE!</v>
      </c>
      <c r="QQ28" s="234" t="e">
        <f>astrogrep_path&amp;" /e /r /s /spath="&amp;search_path&amp;" /stypes=""app*"&amp;PM28&amp;"*"&amp;TEXT(PT28-utc_offset/24,"YYYYMMDD")&amp;"*"" /stext="" "&amp;TEXT(PT28-utc_offset/24,"HH")&amp;search_regexp&amp;""""</f>
        <v>#VALUE!</v>
      </c>
      <c r="QR28" s="234" t="e">
        <f>astrogrep_path&amp;" /e /r /s /spath="&amp;search_path&amp;" /stypes=""app*"&amp;PN28&amp;"*"&amp;TEXT(PU28-utc_offset/24,"YYYYMMDD")&amp;"*"" /stext="" "&amp;TEXT(PU28-utc_offset/24,"HH")&amp;search_regexp&amp;""""</f>
        <v>#REF!</v>
      </c>
      <c r="QS28" s="234" t="e">
        <f>astrogrep_path&amp;" /e /r /s /spath="&amp;search_path&amp;" /stypes=""app*"&amp;PO28&amp;"*"&amp;TEXT(PV28-utc_offset/24,"YYYYMMDD")&amp;"*"" /stext="" "&amp;TEXT(PV28-utc_offset/24,"HH")&amp;search_regexp&amp;""""</f>
        <v>#REF!</v>
      </c>
      <c r="QT28" s="234" t="e">
        <f>astrogrep_path&amp;" /e /r /s /spath="&amp;search_path&amp;" /stypes=""app*"&amp;PP28&amp;"*"&amp;TEXT(PW28-utc_offset/24,"YYYYMMDD")&amp;"*"" /stext="" "&amp;TEXT(PW28-utc_offset/24,"HH")&amp;search_regexp&amp;""""</f>
        <v>#REF!</v>
      </c>
      <c r="QU28" s="234" t="e">
        <f>astrogrep_path&amp;" /e /r /s /spath="&amp;search_path&amp;" /stypes=""app*"&amp;PQ28&amp;"*"&amp;TEXT(PX28-utc_offset/24,"YYYYMMDD")&amp;"*"" /stext="" "&amp;TEXT(PX28-utc_offset/24,"HH")&amp;search_regexp&amp;""""</f>
        <v>#REF!</v>
      </c>
      <c r="QV28" s="234" t="e">
        <f>astrogrep_path&amp;" /e /r /s /spath="&amp;search_path&amp;" /stypes=""app*"&amp;PR28&amp;"*"&amp;TEXT(PY28-utc_offset/24,"YYYYMMDD")&amp;"*"" /stext="" "&amp;TEXT(PY28-utc_offset/24,"HH")&amp;search_regexp&amp;""""</f>
        <v>#REF!</v>
      </c>
      <c r="QW28" s="234" t="e">
        <f>astrogrep_path&amp;" /e /r /s /spath="&amp;search_path&amp;" /stypes=""app*"&amp;PS28&amp;"*"&amp;TEXT(PZ28-utc_offset/24,"YYYYMMDD")&amp;"*"" /stext="" "&amp;TEXT(PZ28-utc_offset/24,"HH")&amp;search_regexp&amp;""""</f>
        <v>#REF!</v>
      </c>
      <c r="QX28" s="234" t="e">
        <f>astrogrep_path&amp;" /e /r /s /spath="&amp;search_path&amp;" /stypes=""app*"&amp;PT28&amp;"*"&amp;TEXT(QA28-utc_offset/24,"YYYYMMDD")&amp;"*"" /stext="" "&amp;TEXT(QA28-utc_offset/24,"HH")&amp;search_regexp&amp;""""</f>
        <v>#REF!</v>
      </c>
      <c r="QY28" s="234" t="e">
        <f>astrogrep_path&amp;" /e /r /s /spath="&amp;search_path&amp;" /stypes=""app*"&amp;PU28&amp;"*"&amp;TEXT(QB28-utc_offset/24,"YYYYMMDD")&amp;"*"" /stext="" "&amp;TEXT(QB28-utc_offset/24,"HH")&amp;search_regexp&amp;""""</f>
        <v>#REF!</v>
      </c>
      <c r="QZ28" s="234" t="e">
        <f>astrogrep_path&amp;" /e /r /s /spath="&amp;search_path&amp;" /stypes=""app*"&amp;PV28&amp;"*"&amp;TEXT(QC28-utc_offset/24,"YYYYMMDD")&amp;"*"" /stext="" "&amp;TEXT(QC28-utc_offset/24,"HH")&amp;search_regexp&amp;""""</f>
        <v>#REF!</v>
      </c>
      <c r="RA28" s="234" t="e">
        <f>astrogrep_path&amp;" /e /r /s /spath="&amp;search_path&amp;" /stypes=""app*"&amp;PW28&amp;"*"&amp;TEXT(QD28-utc_offset/24,"YYYYMMDD")&amp;"*"" /stext="" "&amp;TEXT(QD28-utc_offset/24,"HH")&amp;search_regexp&amp;""""</f>
        <v>#REF!</v>
      </c>
      <c r="RB28" s="234" t="e">
        <f>astrogrep_path&amp;" /e /r /s /spath="&amp;search_path&amp;" /stypes=""app*"&amp;PX28&amp;"*"&amp;TEXT(QE28-utc_offset/24,"YYYYMMDD")&amp;"*"" /stext="" "&amp;TEXT(QE28-utc_offset/24,"HH")&amp;search_regexp&amp;""""</f>
        <v>#REF!</v>
      </c>
      <c r="RC28" s="234" t="e">
        <f>astrogrep_path&amp;" /e /r /s /spath="&amp;search_path&amp;" /stypes=""app*"&amp;PY28&amp;"*"&amp;TEXT(QF28-utc_offset/24,"YYYYMMDD")&amp;"*"" /stext="" "&amp;TEXT(QF28-utc_offset/24,"HH")&amp;search_regexp&amp;""""</f>
        <v>#REF!</v>
      </c>
      <c r="RD28" s="234" t="e">
        <f>astrogrep_path&amp;" /e /r /s /spath="&amp;search_path&amp;" /stypes=""app*"&amp;PZ28&amp;"*"&amp;TEXT(QG28-utc_offset/24,"YYYYMMDD")&amp;"*"" /stext="" "&amp;TEXT(QG28-utc_offset/24,"HH")&amp;search_regexp&amp;""""</f>
        <v>#REF!</v>
      </c>
      <c r="RE28" s="234" t="e">
        <f>astrogrep_path&amp;" /e /r /s /spath="&amp;search_path&amp;" /stypes=""app*"&amp;QA28&amp;"*"&amp;TEXT(QH28-utc_offset/24,"YYYYMMDD")&amp;"*"" /stext="" "&amp;TEXT(QH28-utc_offset/24,"HH")&amp;search_regexp&amp;""""</f>
        <v>#REF!</v>
      </c>
      <c r="RF28" s="234" t="e">
        <f>astrogrep_path&amp;" /e /r /s /spath="&amp;search_path&amp;" /stypes=""app*"&amp;QB28&amp;"*"&amp;TEXT(QI28-utc_offset/24,"YYYYMMDD")&amp;"*"" /stext="" "&amp;TEXT(QI28-utc_offset/24,"HH")&amp;search_regexp&amp;""""</f>
        <v>#REF!</v>
      </c>
      <c r="RG28" s="234" t="e">
        <f>astrogrep_path&amp;" /e /r /s /spath="&amp;search_path&amp;" /stypes=""app*"&amp;QC28&amp;"*"&amp;TEXT(QJ28-utc_offset/24,"YYYYMMDD")&amp;"*"" /stext="" "&amp;TEXT(QJ28-utc_offset/24,"HH")&amp;search_regexp&amp;""""</f>
        <v>#REF!</v>
      </c>
      <c r="RH28" s="234" t="e">
        <f>astrogrep_path&amp;" /e /r /s /spath="&amp;search_path&amp;" /stypes=""app*"&amp;QD28&amp;"*"&amp;TEXT(QK28-utc_offset/24,"YYYYMMDD")&amp;"*"" /stext="" "&amp;TEXT(QK28-utc_offset/24,"HH")&amp;search_regexp&amp;""""</f>
        <v>#REF!</v>
      </c>
      <c r="RI28" s="234" t="e">
        <f>astrogrep_path&amp;" /e /r /s /spath="&amp;search_path&amp;" /stypes=""app*"&amp;QE28&amp;"*"&amp;TEXT(QL28-utc_offset/24,"YYYYMMDD")&amp;"*"" /stext="" "&amp;TEXT(QL28-utc_offset/24,"HH")&amp;search_regexp&amp;""""</f>
        <v>#REF!</v>
      </c>
      <c r="RJ28" s="234" t="e">
        <f>astrogrep_path&amp;" /e /r /s /spath="&amp;search_path&amp;" /stypes=""app*"&amp;QF28&amp;"*"&amp;TEXT(QM28-utc_offset/24,"YYYYMMDD")&amp;"*"" /stext="" "&amp;TEXT(QM28-utc_offset/24,"HH")&amp;search_regexp&amp;""""</f>
        <v>#REF!</v>
      </c>
      <c r="RK28" s="234" t="e">
        <f>astrogrep_path&amp;" /e /r /s /spath="&amp;search_path&amp;" /stypes=""app*"&amp;QG28&amp;"*"&amp;TEXT(QN28-utc_offset/24,"YYYYMMDD")&amp;"*"" /stext="" "&amp;TEXT(QN28-utc_offset/24,"HH")&amp;search_regexp&amp;""""</f>
        <v>#REF!</v>
      </c>
      <c r="RL28" s="234" t="e">
        <f>astrogrep_path&amp;" /e /r /s /spath="&amp;search_path&amp;" /stypes=""app*"&amp;QH28&amp;"*"&amp;TEXT(QO28-utc_offset/24,"YYYYMMDD")&amp;"*"" /stext="" "&amp;TEXT(QO28-utc_offset/24,"HH")&amp;search_regexp&amp;""""</f>
        <v>#REF!</v>
      </c>
      <c r="RM28" s="234" t="e">
        <f>astrogrep_path&amp;" /e /r /s /spath="&amp;search_path&amp;" /stypes=""app*"&amp;QI28&amp;"*"&amp;TEXT(QP28-utc_offset/24,"YYYYMMDD")&amp;"*"" /stext="" "&amp;TEXT(QP28-utc_offset/24,"HH")&amp;search_regexp&amp;""""</f>
        <v>#VALUE!</v>
      </c>
      <c r="RN28" s="234" t="e">
        <f>astrogrep_path&amp;" /e /r /s /spath="&amp;search_path&amp;" /stypes=""app*"&amp;QJ28&amp;"*"&amp;TEXT(QQ28-utc_offset/24,"YYYYMMDD")&amp;"*"" /stext="" "&amp;TEXT(QQ28-utc_offset/24,"HH")&amp;search_regexp&amp;""""</f>
        <v>#VALUE!</v>
      </c>
      <c r="RO28" s="234" t="e">
        <f>astrogrep_path&amp;" /e /r /s /spath="&amp;search_path&amp;" /stypes=""app*"&amp;QK28&amp;"*"&amp;TEXT(QR28-utc_offset/24,"YYYYMMDD")&amp;"*"" /stext="" "&amp;TEXT(QR28-utc_offset/24,"HH")&amp;search_regexp&amp;""""</f>
        <v>#REF!</v>
      </c>
      <c r="RP28" s="234" t="e">
        <f>astrogrep_path&amp;" /e /r /s /spath="&amp;search_path&amp;" /stypes=""app*"&amp;QL28&amp;"*"&amp;TEXT(QS28-utc_offset/24,"YYYYMMDD")&amp;"*"" /stext="" "&amp;TEXT(QS28-utc_offset/24,"HH")&amp;search_regexp&amp;""""</f>
        <v>#REF!</v>
      </c>
      <c r="RQ28" s="234" t="e">
        <f>astrogrep_path&amp;" /e /r /s /spath="&amp;search_path&amp;" /stypes=""app*"&amp;QM28&amp;"*"&amp;TEXT(QT28-utc_offset/24,"YYYYMMDD")&amp;"*"" /stext="" "&amp;TEXT(QT28-utc_offset/24,"HH")&amp;search_regexp&amp;""""</f>
        <v>#VALUE!</v>
      </c>
      <c r="RR28" s="234" t="e">
        <f>astrogrep_path&amp;" /e /r /s /spath="&amp;search_path&amp;" /stypes=""app*"&amp;QN28&amp;"*"&amp;TEXT(QU28-utc_offset/24,"YYYYMMDD")&amp;"*"" /stext="" "&amp;TEXT(QU28-utc_offset/24,"HH")&amp;search_regexp&amp;""""</f>
        <v>#VALUE!</v>
      </c>
      <c r="RS28" s="234" t="e">
        <f>astrogrep_path&amp;" /e /r /s /spath="&amp;search_path&amp;" /stypes=""app*"&amp;QO28&amp;"*"&amp;TEXT(QV28-utc_offset/24,"YYYYMMDD")&amp;"*"" /stext="" "&amp;TEXT(QV28-utc_offset/24,"HH")&amp;search_regexp&amp;""""</f>
        <v>#VALUE!</v>
      </c>
      <c r="RT28" s="234" t="e">
        <f>astrogrep_path&amp;" /e /r /s /spath="&amp;search_path&amp;" /stypes=""app*"&amp;QP28&amp;"*"&amp;TEXT(QW28-utc_offset/24,"YYYYMMDD")&amp;"*"" /stext="" "&amp;TEXT(QW28-utc_offset/24,"HH")&amp;search_regexp&amp;""""</f>
        <v>#VALUE!</v>
      </c>
      <c r="RU28" s="234" t="e">
        <f>astrogrep_path&amp;" /e /r /s /spath="&amp;search_path&amp;" /stypes=""app*"&amp;QQ28&amp;"*"&amp;TEXT(QX28-utc_offset/24,"YYYYMMDD")&amp;"*"" /stext="" "&amp;TEXT(QX28-utc_offset/24,"HH")&amp;search_regexp&amp;""""</f>
        <v>#VALUE!</v>
      </c>
      <c r="RV28" s="234" t="e">
        <f>astrogrep_path&amp;" /e /r /s /spath="&amp;search_path&amp;" /stypes=""app*"&amp;QR28&amp;"*"&amp;TEXT(QY28-utc_offset/24,"YYYYMMDD")&amp;"*"" /stext="" "&amp;TEXT(QY28-utc_offset/24,"HH")&amp;search_regexp&amp;""""</f>
        <v>#REF!</v>
      </c>
      <c r="RW28" s="234" t="e">
        <f>astrogrep_path&amp;" /e /r /s /spath="&amp;search_path&amp;" /stypes=""app*"&amp;QS28&amp;"*"&amp;TEXT(QZ28-utc_offset/24,"YYYYMMDD")&amp;"*"" /stext="" "&amp;TEXT(QZ28-utc_offset/24,"HH")&amp;search_regexp&amp;""""</f>
        <v>#REF!</v>
      </c>
      <c r="RX28" s="234" t="e">
        <f>astrogrep_path&amp;" /e /r /s /spath="&amp;search_path&amp;" /stypes=""app*"&amp;QT28&amp;"*"&amp;TEXT(RA28-utc_offset/24,"YYYYMMDD")&amp;"*"" /stext="" "&amp;TEXT(RA28-utc_offset/24,"HH")&amp;search_regexp&amp;""""</f>
        <v>#REF!</v>
      </c>
      <c r="RY28" s="234" t="e">
        <f>astrogrep_path&amp;" /e /r /s /spath="&amp;search_path&amp;" /stypes=""app*"&amp;QU28&amp;"*"&amp;TEXT(RB28-utc_offset/24,"YYYYMMDD")&amp;"*"" /stext="" "&amp;TEXT(RB28-utc_offset/24,"HH")&amp;search_regexp&amp;""""</f>
        <v>#REF!</v>
      </c>
      <c r="RZ28" s="234" t="e">
        <f>astrogrep_path&amp;" /e /r /s /spath="&amp;search_path&amp;" /stypes=""app*"&amp;QV28&amp;"*"&amp;TEXT(RC28-utc_offset/24,"YYYYMMDD")&amp;"*"" /stext="" "&amp;TEXT(RC28-utc_offset/24,"HH")&amp;search_regexp&amp;""""</f>
        <v>#REF!</v>
      </c>
      <c r="SA28" s="234" t="e">
        <f>astrogrep_path&amp;" /e /r /s /spath="&amp;search_path&amp;" /stypes=""app*"&amp;QW28&amp;"*"&amp;TEXT(RD28-utc_offset/24,"YYYYMMDD")&amp;"*"" /stext="" "&amp;TEXT(RD28-utc_offset/24,"HH")&amp;search_regexp&amp;""""</f>
        <v>#REF!</v>
      </c>
      <c r="SB28" s="234" t="e">
        <f>astrogrep_path&amp;" /e /r /s /spath="&amp;search_path&amp;" /stypes=""app*"&amp;QX28&amp;"*"&amp;TEXT(RE28-utc_offset/24,"YYYYMMDD")&amp;"*"" /stext="" "&amp;TEXT(RE28-utc_offset/24,"HH")&amp;search_regexp&amp;""""</f>
        <v>#REF!</v>
      </c>
      <c r="SC28" s="234" t="e">
        <f>astrogrep_path&amp;" /e /r /s /spath="&amp;search_path&amp;" /stypes=""app*"&amp;QY28&amp;"*"&amp;TEXT(RF28-utc_offset/24,"YYYYMMDD")&amp;"*"" /stext="" "&amp;TEXT(RF28-utc_offset/24,"HH")&amp;search_regexp&amp;""""</f>
        <v>#REF!</v>
      </c>
      <c r="SD28" s="234" t="e">
        <f>astrogrep_path&amp;" /e /r /s /spath="&amp;search_path&amp;" /stypes=""app*"&amp;QZ28&amp;"*"&amp;TEXT(RG28-utc_offset/24,"YYYYMMDD")&amp;"*"" /stext="" "&amp;TEXT(RG28-utc_offset/24,"HH")&amp;search_regexp&amp;""""</f>
        <v>#REF!</v>
      </c>
      <c r="SE28" s="234" t="e">
        <f>astrogrep_path&amp;" /e /r /s /spath="&amp;search_path&amp;" /stypes=""app*"&amp;RA28&amp;"*"&amp;TEXT(RH28-utc_offset/24,"YYYYMMDD")&amp;"*"" /stext="" "&amp;TEXT(RH28-utc_offset/24,"HH")&amp;search_regexp&amp;""""</f>
        <v>#REF!</v>
      </c>
      <c r="SF28" s="234" t="e">
        <f>astrogrep_path&amp;" /e /r /s /spath="&amp;search_path&amp;" /stypes=""app*"&amp;RB28&amp;"*"&amp;TEXT(RI28-utc_offset/24,"YYYYMMDD")&amp;"*"" /stext="" "&amp;TEXT(RI28-utc_offset/24,"HH")&amp;search_regexp&amp;""""</f>
        <v>#REF!</v>
      </c>
      <c r="SG28" s="234" t="e">
        <f>astrogrep_path&amp;" /e /r /s /spath="&amp;search_path&amp;" /stypes=""app*"&amp;RC28&amp;"*"&amp;TEXT(RJ28-utc_offset/24,"YYYYMMDD")&amp;"*"" /stext="" "&amp;TEXT(RJ28-utc_offset/24,"HH")&amp;search_regexp&amp;""""</f>
        <v>#REF!</v>
      </c>
      <c r="SH28" s="234" t="e">
        <f>astrogrep_path&amp;" /e /r /s /spath="&amp;search_path&amp;" /stypes=""app*"&amp;RD28&amp;"*"&amp;TEXT(RK28-utc_offset/24,"YYYYMMDD")&amp;"*"" /stext="" "&amp;TEXT(RK28-utc_offset/24,"HH")&amp;search_regexp&amp;""""</f>
        <v>#REF!</v>
      </c>
      <c r="SI28" s="234" t="e">
        <f>astrogrep_path&amp;" /e /r /s /spath="&amp;search_path&amp;" /stypes=""app*"&amp;RE28&amp;"*"&amp;TEXT(RL28-utc_offset/24,"YYYYMMDD")&amp;"*"" /stext="" "&amp;TEXT(RL28-utc_offset/24,"HH")&amp;search_regexp&amp;""""</f>
        <v>#REF!</v>
      </c>
      <c r="SJ28" s="234" t="e">
        <f>astrogrep_path&amp;" /e /r /s /spath="&amp;search_path&amp;" /stypes=""app*"&amp;RF28&amp;"*"&amp;TEXT(RM28-utc_offset/24,"YYYYMMDD")&amp;"*"" /stext="" "&amp;TEXT(RM28-utc_offset/24,"HH")&amp;search_regexp&amp;""""</f>
        <v>#REF!</v>
      </c>
      <c r="SK28" s="234" t="e">
        <f>astrogrep_path&amp;" /e /r /s /spath="&amp;search_path&amp;" /stypes=""app*"&amp;RG28&amp;"*"&amp;TEXT(RN28-utc_offset/24,"YYYYMMDD")&amp;"*"" /stext="" "&amp;TEXT(RN28-utc_offset/24,"HH")&amp;search_regexp&amp;""""</f>
        <v>#REF!</v>
      </c>
      <c r="SL28" s="234" t="e">
        <f>astrogrep_path&amp;" /e /r /s /spath="&amp;search_path&amp;" /stypes=""app*"&amp;RH28&amp;"*"&amp;TEXT(RO28-utc_offset/24,"YYYYMMDD")&amp;"*"" /stext="" "&amp;TEXT(RO28-utc_offset/24,"HH")&amp;search_regexp&amp;""""</f>
        <v>#REF!</v>
      </c>
      <c r="SM28" s="234" t="e">
        <f>astrogrep_path&amp;" /e /r /s /spath="&amp;search_path&amp;" /stypes=""app*"&amp;RI28&amp;"*"&amp;TEXT(RP28-utc_offset/24,"YYYYMMDD")&amp;"*"" /stext="" "&amp;TEXT(RP28-utc_offset/24,"HH")&amp;search_regexp&amp;""""</f>
        <v>#REF!</v>
      </c>
      <c r="SN28" s="234" t="e">
        <f>astrogrep_path&amp;" /e /r /s /spath="&amp;search_path&amp;" /stypes=""app*"&amp;RJ28&amp;"*"&amp;TEXT(RQ28-utc_offset/24,"YYYYMMDD")&amp;"*"" /stext="" "&amp;TEXT(RQ28-utc_offset/24,"HH")&amp;search_regexp&amp;""""</f>
        <v>#REF!</v>
      </c>
      <c r="SO28" s="234" t="e">
        <f>astrogrep_path&amp;" /e /r /s /spath="&amp;search_path&amp;" /stypes=""app*"&amp;RK28&amp;"*"&amp;TEXT(RR28-utc_offset/24,"YYYYMMDD")&amp;"*"" /stext="" "&amp;TEXT(RR28-utc_offset/24,"HH")&amp;search_regexp&amp;""""</f>
        <v>#REF!</v>
      </c>
      <c r="SP28" s="234" t="e">
        <f>astrogrep_path&amp;" /e /r /s /spath="&amp;search_path&amp;" /stypes=""app*"&amp;RL28&amp;"*"&amp;TEXT(RS28-utc_offset/24,"YYYYMMDD")&amp;"*"" /stext="" "&amp;TEXT(RS28-utc_offset/24,"HH")&amp;search_regexp&amp;""""</f>
        <v>#REF!</v>
      </c>
      <c r="SQ28" s="234" t="e">
        <f>astrogrep_path&amp;" /e /r /s /spath="&amp;search_path&amp;" /stypes=""app*"&amp;RM28&amp;"*"&amp;TEXT(RT28-utc_offset/24,"YYYYMMDD")&amp;"*"" /stext="" "&amp;TEXT(RT28-utc_offset/24,"HH")&amp;search_regexp&amp;""""</f>
        <v>#VALUE!</v>
      </c>
      <c r="SR28" s="234" t="e">
        <f>astrogrep_path&amp;" /e /r /s /spath="&amp;search_path&amp;" /stypes=""app*"&amp;RN28&amp;"*"&amp;TEXT(RU28-utc_offset/24,"YYYYMMDD")&amp;"*"" /stext="" "&amp;TEXT(RU28-utc_offset/24,"HH")&amp;search_regexp&amp;""""</f>
        <v>#VALUE!</v>
      </c>
      <c r="SS28" s="234" t="e">
        <f>astrogrep_path&amp;" /e /r /s /spath="&amp;search_path&amp;" /stypes=""app*"&amp;RO28&amp;"*"&amp;TEXT(RV28-utc_offset/24,"YYYYMMDD")&amp;"*"" /stext="" "&amp;TEXT(RV28-utc_offset/24,"HH")&amp;search_regexp&amp;""""</f>
        <v>#REF!</v>
      </c>
      <c r="ST28" s="234" t="e">
        <f>astrogrep_path&amp;" /e /r /s /spath="&amp;search_path&amp;" /stypes=""app*"&amp;RP28&amp;"*"&amp;TEXT(RW28-utc_offset/24,"YYYYMMDD")&amp;"*"" /stext="" "&amp;TEXT(RW28-utc_offset/24,"HH")&amp;search_regexp&amp;""""</f>
        <v>#REF!</v>
      </c>
      <c r="SU28" s="234" t="e">
        <f>astrogrep_path&amp;" /e /r /s /spath="&amp;search_path&amp;" /stypes=""app*"&amp;RQ28&amp;"*"&amp;TEXT(RX28-utc_offset/24,"YYYYMMDD")&amp;"*"" /stext="" "&amp;TEXT(RX28-utc_offset/24,"HH")&amp;search_regexp&amp;""""</f>
        <v>#VALUE!</v>
      </c>
      <c r="SV28" s="234" t="e">
        <f>astrogrep_path&amp;" /e /r /s /spath="&amp;search_path&amp;" /stypes=""app*"&amp;RR28&amp;"*"&amp;TEXT(RY28-utc_offset/24,"YYYYMMDD")&amp;"*"" /stext="" "&amp;TEXT(RY28-utc_offset/24,"HH")&amp;search_regexp&amp;""""</f>
        <v>#VALUE!</v>
      </c>
      <c r="SW28" s="234" t="e">
        <f>astrogrep_path&amp;" /e /r /s /spath="&amp;search_path&amp;" /stypes=""app*"&amp;RS28&amp;"*"&amp;TEXT(RZ28-utc_offset/24,"YYYYMMDD")&amp;"*"" /stext="" "&amp;TEXT(RZ28-utc_offset/24,"HH")&amp;search_regexp&amp;""""</f>
        <v>#VALUE!</v>
      </c>
      <c r="SX28" s="234" t="e">
        <f>astrogrep_path&amp;" /e /r /s /spath="&amp;search_path&amp;" /stypes=""app*"&amp;RT28&amp;"*"&amp;TEXT(SA28-utc_offset/24,"YYYYMMDD")&amp;"*"" /stext="" "&amp;TEXT(SA28-utc_offset/24,"HH")&amp;search_regexp&amp;""""</f>
        <v>#VALUE!</v>
      </c>
      <c r="SY28" s="234" t="e">
        <f>astrogrep_path&amp;" /e /r /s /spath="&amp;search_path&amp;" /stypes=""app*"&amp;RU28&amp;"*"&amp;TEXT(SB28-utc_offset/24,"YYYYMMDD")&amp;"*"" /stext="" "&amp;TEXT(SB28-utc_offset/24,"HH")&amp;search_regexp&amp;""""</f>
        <v>#VALUE!</v>
      </c>
      <c r="SZ28" s="234" t="e">
        <f>astrogrep_path&amp;" /e /r /s /spath="&amp;search_path&amp;" /stypes=""app*"&amp;RV28&amp;"*"&amp;TEXT(SC28-utc_offset/24,"YYYYMMDD")&amp;"*"" /stext="" "&amp;TEXT(SC28-utc_offset/24,"HH")&amp;search_regexp&amp;""""</f>
        <v>#REF!</v>
      </c>
      <c r="TA28" s="234" t="e">
        <f>astrogrep_path&amp;" /e /r /s /spath="&amp;search_path&amp;" /stypes=""app*"&amp;RW28&amp;"*"&amp;TEXT(SD28-utc_offset/24,"YYYYMMDD")&amp;"*"" /stext="" "&amp;TEXT(SD28-utc_offset/24,"HH")&amp;search_regexp&amp;""""</f>
        <v>#REF!</v>
      </c>
      <c r="TB28" s="234" t="e">
        <f>astrogrep_path&amp;" /e /r /s /spath="&amp;search_path&amp;" /stypes=""app*"&amp;RX28&amp;"*"&amp;TEXT(SE28-utc_offset/24,"YYYYMMDD")&amp;"*"" /stext="" "&amp;TEXT(SE28-utc_offset/24,"HH")&amp;search_regexp&amp;""""</f>
        <v>#REF!</v>
      </c>
      <c r="TC28" s="234" t="e">
        <f>astrogrep_path&amp;" /e /r /s /spath="&amp;search_path&amp;" /stypes=""app*"&amp;RY28&amp;"*"&amp;TEXT(SF28-utc_offset/24,"YYYYMMDD")&amp;"*"" /stext="" "&amp;TEXT(SF28-utc_offset/24,"HH")&amp;search_regexp&amp;""""</f>
        <v>#REF!</v>
      </c>
      <c r="TD28" s="234" t="e">
        <f>astrogrep_path&amp;" /e /r /s /spath="&amp;search_path&amp;" /stypes=""app*"&amp;RZ28&amp;"*"&amp;TEXT(SG28-utc_offset/24,"YYYYMMDD")&amp;"*"" /stext="" "&amp;TEXT(SG28-utc_offset/24,"HH")&amp;search_regexp&amp;""""</f>
        <v>#REF!</v>
      </c>
      <c r="TE28" s="234" t="e">
        <f>astrogrep_path&amp;" /e /r /s /spath="&amp;search_path&amp;" /stypes=""app*"&amp;SA28&amp;"*"&amp;TEXT(SH28-utc_offset/24,"YYYYMMDD")&amp;"*"" /stext="" "&amp;TEXT(SH28-utc_offset/24,"HH")&amp;search_regexp&amp;""""</f>
        <v>#REF!</v>
      </c>
      <c r="TF28" s="234" t="e">
        <f>astrogrep_path&amp;" /e /r /s /spath="&amp;search_path&amp;" /stypes=""app*"&amp;SB28&amp;"*"&amp;TEXT(SI28-utc_offset/24,"YYYYMMDD")&amp;"*"" /stext="" "&amp;TEXT(SI28-utc_offset/24,"HH")&amp;search_regexp&amp;""""</f>
        <v>#REF!</v>
      </c>
      <c r="TG28" s="234" t="e">
        <f>astrogrep_path&amp;" /e /r /s /spath="&amp;search_path&amp;" /stypes=""app*"&amp;SC28&amp;"*"&amp;TEXT(SJ28-utc_offset/24,"YYYYMMDD")&amp;"*"" /stext="" "&amp;TEXT(SJ28-utc_offset/24,"HH")&amp;search_regexp&amp;""""</f>
        <v>#REF!</v>
      </c>
      <c r="TH28" s="234" t="e">
        <f>astrogrep_path&amp;" /e /r /s /spath="&amp;search_path&amp;" /stypes=""app*"&amp;SD28&amp;"*"&amp;TEXT(SK28-utc_offset/24,"YYYYMMDD")&amp;"*"" /stext="" "&amp;TEXT(SK28-utc_offset/24,"HH")&amp;search_regexp&amp;""""</f>
        <v>#REF!</v>
      </c>
      <c r="TI28" s="234" t="e">
        <f>astrogrep_path&amp;" /e /r /s /spath="&amp;search_path&amp;" /stypes=""app*"&amp;SE28&amp;"*"&amp;TEXT(SL28-utc_offset/24,"YYYYMMDD")&amp;"*"" /stext="" "&amp;TEXT(SL28-utc_offset/24,"HH")&amp;search_regexp&amp;""""</f>
        <v>#REF!</v>
      </c>
      <c r="TJ28" s="234" t="e">
        <f>astrogrep_path&amp;" /e /r /s /spath="&amp;search_path&amp;" /stypes=""app*"&amp;SF28&amp;"*"&amp;TEXT(SM28-utc_offset/24,"YYYYMMDD")&amp;"*"" /stext="" "&amp;TEXT(SM28-utc_offset/24,"HH")&amp;search_regexp&amp;""""</f>
        <v>#REF!</v>
      </c>
      <c r="TK28" s="234" t="e">
        <f>astrogrep_path&amp;" /e /r /s /spath="&amp;search_path&amp;" /stypes=""app*"&amp;SG28&amp;"*"&amp;TEXT(SN28-utc_offset/24,"YYYYMMDD")&amp;"*"" /stext="" "&amp;TEXT(SN28-utc_offset/24,"HH")&amp;search_regexp&amp;""""</f>
        <v>#REF!</v>
      </c>
      <c r="TL28" s="234" t="e">
        <f>astrogrep_path&amp;" /e /r /s /spath="&amp;search_path&amp;" /stypes=""app*"&amp;SH28&amp;"*"&amp;TEXT(SO28-utc_offset/24,"YYYYMMDD")&amp;"*"" /stext="" "&amp;TEXT(SO28-utc_offset/24,"HH")&amp;search_regexp&amp;""""</f>
        <v>#REF!</v>
      </c>
      <c r="TM28" s="234" t="e">
        <f>astrogrep_path&amp;" /e /r /s /spath="&amp;search_path&amp;" /stypes=""app*"&amp;SI28&amp;"*"&amp;TEXT(SP28-utc_offset/24,"YYYYMMDD")&amp;"*"" /stext="" "&amp;TEXT(SP28-utc_offset/24,"HH")&amp;search_regexp&amp;""""</f>
        <v>#REF!</v>
      </c>
      <c r="TN28" s="234" t="e">
        <f>astrogrep_path&amp;" /e /r /s /spath="&amp;search_path&amp;" /stypes=""app*"&amp;SJ28&amp;"*"&amp;TEXT(SQ28-utc_offset/24,"YYYYMMDD")&amp;"*"" /stext="" "&amp;TEXT(SQ28-utc_offset/24,"HH")&amp;search_regexp&amp;""""</f>
        <v>#REF!</v>
      </c>
      <c r="TO28" s="234" t="e">
        <f>astrogrep_path&amp;" /e /r /s /spath="&amp;search_path&amp;" /stypes=""app*"&amp;SK28&amp;"*"&amp;TEXT(SR28-utc_offset/24,"YYYYMMDD")&amp;"*"" /stext="" "&amp;TEXT(SR28-utc_offset/24,"HH")&amp;search_regexp&amp;""""</f>
        <v>#REF!</v>
      </c>
      <c r="TP28" s="234" t="e">
        <f>astrogrep_path&amp;" /e /r /s /spath="&amp;search_path&amp;" /stypes=""app*"&amp;SL28&amp;"*"&amp;TEXT(SS28-utc_offset/24,"YYYYMMDD")&amp;"*"" /stext="" "&amp;TEXT(SS28-utc_offset/24,"HH")&amp;search_regexp&amp;""""</f>
        <v>#REF!</v>
      </c>
      <c r="TQ28" s="234" t="e">
        <f>astrogrep_path&amp;" /e /r /s /spath="&amp;search_path&amp;" /stypes=""app*"&amp;SM28&amp;"*"&amp;TEXT(ST28-utc_offset/24,"YYYYMMDD")&amp;"*"" /stext="" "&amp;TEXT(ST28-utc_offset/24,"HH")&amp;search_regexp&amp;""""</f>
        <v>#REF!</v>
      </c>
      <c r="TR28" s="234" t="e">
        <f>astrogrep_path&amp;" /e /r /s /spath="&amp;search_path&amp;" /stypes=""app*"&amp;SN28&amp;"*"&amp;TEXT(SU28-utc_offset/24,"YYYYMMDD")&amp;"*"" /stext="" "&amp;TEXT(SU28-utc_offset/24,"HH")&amp;search_regexp&amp;""""</f>
        <v>#REF!</v>
      </c>
      <c r="TS28" s="234" t="e">
        <f>astrogrep_path&amp;" /e /r /s /spath="&amp;search_path&amp;" /stypes=""app*"&amp;SO28&amp;"*"&amp;TEXT(SV28-utc_offset/24,"YYYYMMDD")&amp;"*"" /stext="" "&amp;TEXT(SV28-utc_offset/24,"HH")&amp;search_regexp&amp;""""</f>
        <v>#REF!</v>
      </c>
      <c r="TT28" s="234" t="e">
        <f>astrogrep_path&amp;" /e /r /s /spath="&amp;search_path&amp;" /stypes=""app*"&amp;SP28&amp;"*"&amp;TEXT(SW28-utc_offset/24,"YYYYMMDD")&amp;"*"" /stext="" "&amp;TEXT(SW28-utc_offset/24,"HH")&amp;search_regexp&amp;""""</f>
        <v>#REF!</v>
      </c>
      <c r="TU28" s="234" t="e">
        <f>astrogrep_path&amp;" /e /r /s /spath="&amp;search_path&amp;" /stypes=""app*"&amp;SQ28&amp;"*"&amp;TEXT(SX28-utc_offset/24,"YYYYMMDD")&amp;"*"" /stext="" "&amp;TEXT(SX28-utc_offset/24,"HH")&amp;search_regexp&amp;""""</f>
        <v>#VALUE!</v>
      </c>
      <c r="TV28" s="234" t="e">
        <f>astrogrep_path&amp;" /e /r /s /spath="&amp;search_path&amp;" /stypes=""app*"&amp;SR28&amp;"*"&amp;TEXT(SY28-utc_offset/24,"YYYYMMDD")&amp;"*"" /stext="" "&amp;TEXT(SY28-utc_offset/24,"HH")&amp;search_regexp&amp;""""</f>
        <v>#VALUE!</v>
      </c>
      <c r="TW28" s="234" t="e">
        <f>astrogrep_path&amp;" /e /r /s /spath="&amp;search_path&amp;" /stypes=""app*"&amp;SS28&amp;"*"&amp;TEXT(SZ28-utc_offset/24,"YYYYMMDD")&amp;"*"" /stext="" "&amp;TEXT(SZ28-utc_offset/24,"HH")&amp;search_regexp&amp;""""</f>
        <v>#REF!</v>
      </c>
      <c r="TX28" s="234" t="e">
        <f>astrogrep_path&amp;" /e /r /s /spath="&amp;search_path&amp;" /stypes=""app*"&amp;ST28&amp;"*"&amp;TEXT(TA28-utc_offset/24,"YYYYMMDD")&amp;"*"" /stext="" "&amp;TEXT(TA28-utc_offset/24,"HH")&amp;search_regexp&amp;""""</f>
        <v>#REF!</v>
      </c>
      <c r="TY28" s="234" t="e">
        <f>astrogrep_path&amp;" /e /r /s /spath="&amp;search_path&amp;" /stypes=""app*"&amp;SU28&amp;"*"&amp;TEXT(TB28-utc_offset/24,"YYYYMMDD")&amp;"*"" /stext="" "&amp;TEXT(TB28-utc_offset/24,"HH")&amp;search_regexp&amp;""""</f>
        <v>#VALUE!</v>
      </c>
      <c r="TZ28" s="234" t="e">
        <f>astrogrep_path&amp;" /e /r /s /spath="&amp;search_path&amp;" /stypes=""app*"&amp;SV28&amp;"*"&amp;TEXT(TC28-utc_offset/24,"YYYYMMDD")&amp;"*"" /stext="" "&amp;TEXT(TC28-utc_offset/24,"HH")&amp;search_regexp&amp;""""</f>
        <v>#VALUE!</v>
      </c>
      <c r="UA28" s="234" t="e">
        <f>astrogrep_path&amp;" /e /r /s /spath="&amp;search_path&amp;" /stypes=""app*"&amp;SW28&amp;"*"&amp;TEXT(TD28-utc_offset/24,"YYYYMMDD")&amp;"*"" /stext="" "&amp;TEXT(TD28-utc_offset/24,"HH")&amp;search_regexp&amp;""""</f>
        <v>#VALUE!</v>
      </c>
      <c r="UB28" s="234" t="e">
        <f>astrogrep_path&amp;" /e /r /s /spath="&amp;search_path&amp;" /stypes=""app*"&amp;SX28&amp;"*"&amp;TEXT(TE28-utc_offset/24,"YYYYMMDD")&amp;"*"" /stext="" "&amp;TEXT(TE28-utc_offset/24,"HH")&amp;search_regexp&amp;""""</f>
        <v>#VALUE!</v>
      </c>
      <c r="UC28" s="234" t="e">
        <f>astrogrep_path&amp;" /e /r /s /spath="&amp;search_path&amp;" /stypes=""app*"&amp;SY28&amp;"*"&amp;TEXT(TF28-utc_offset/24,"YYYYMMDD")&amp;"*"" /stext="" "&amp;TEXT(TF28-utc_offset/24,"HH")&amp;search_regexp&amp;""""</f>
        <v>#VALUE!</v>
      </c>
      <c r="UD28" s="234" t="e">
        <f>astrogrep_path&amp;" /e /r /s /spath="&amp;search_path&amp;" /stypes=""app*"&amp;SZ28&amp;"*"&amp;TEXT(TG28-utc_offset/24,"YYYYMMDD")&amp;"*"" /stext="" "&amp;TEXT(TG28-utc_offset/24,"HH")&amp;search_regexp&amp;""""</f>
        <v>#REF!</v>
      </c>
      <c r="UE28" s="234" t="e">
        <f>astrogrep_path&amp;" /e /r /s /spath="&amp;search_path&amp;" /stypes=""app*"&amp;TA28&amp;"*"&amp;TEXT(TH28-utc_offset/24,"YYYYMMDD")&amp;"*"" /stext="" "&amp;TEXT(TH28-utc_offset/24,"HH")&amp;search_regexp&amp;""""</f>
        <v>#REF!</v>
      </c>
      <c r="UF28" s="234" t="e">
        <f>astrogrep_path&amp;" /e /r /s /spath="&amp;search_path&amp;" /stypes=""app*"&amp;TB28&amp;"*"&amp;TEXT(TI28-utc_offset/24,"YYYYMMDD")&amp;"*"" /stext="" "&amp;TEXT(TI28-utc_offset/24,"HH")&amp;search_regexp&amp;""""</f>
        <v>#REF!</v>
      </c>
      <c r="UG28" s="234" t="e">
        <f>astrogrep_path&amp;" /e /r /s /spath="&amp;search_path&amp;" /stypes=""app*"&amp;TC28&amp;"*"&amp;TEXT(TJ28-utc_offset/24,"YYYYMMDD")&amp;"*"" /stext="" "&amp;TEXT(TJ28-utc_offset/24,"HH")&amp;search_regexp&amp;""""</f>
        <v>#REF!</v>
      </c>
      <c r="UH28" s="234" t="e">
        <f>astrogrep_path&amp;" /e /r /s /spath="&amp;search_path&amp;" /stypes=""app*"&amp;TD28&amp;"*"&amp;TEXT(TK28-utc_offset/24,"YYYYMMDD")&amp;"*"" /stext="" "&amp;TEXT(TK28-utc_offset/24,"HH")&amp;search_regexp&amp;""""</f>
        <v>#REF!</v>
      </c>
      <c r="UI28" s="234" t="e">
        <f>astrogrep_path&amp;" /e /r /s /spath="&amp;search_path&amp;" /stypes=""app*"&amp;TE28&amp;"*"&amp;TEXT(TL28-utc_offset/24,"YYYYMMDD")&amp;"*"" /stext="" "&amp;TEXT(TL28-utc_offset/24,"HH")&amp;search_regexp&amp;""""</f>
        <v>#REF!</v>
      </c>
      <c r="UJ28" s="234" t="e">
        <f>astrogrep_path&amp;" /e /r /s /spath="&amp;search_path&amp;" /stypes=""app*"&amp;TF28&amp;"*"&amp;TEXT(TM28-utc_offset/24,"YYYYMMDD")&amp;"*"" /stext="" "&amp;TEXT(TM28-utc_offset/24,"HH")&amp;search_regexp&amp;""""</f>
        <v>#REF!</v>
      </c>
      <c r="UK28" s="234" t="e">
        <f>astrogrep_path&amp;" /e /r /s /spath="&amp;search_path&amp;" /stypes=""app*"&amp;TG28&amp;"*"&amp;TEXT(TN28-utc_offset/24,"YYYYMMDD")&amp;"*"" /stext="" "&amp;TEXT(TN28-utc_offset/24,"HH")&amp;search_regexp&amp;""""</f>
        <v>#REF!</v>
      </c>
      <c r="UL28" s="234" t="e">
        <f>astrogrep_path&amp;" /e /r /s /spath="&amp;search_path&amp;" /stypes=""app*"&amp;TH28&amp;"*"&amp;TEXT(TO28-utc_offset/24,"YYYYMMDD")&amp;"*"" /stext="" "&amp;TEXT(TO28-utc_offset/24,"HH")&amp;search_regexp&amp;""""</f>
        <v>#REF!</v>
      </c>
      <c r="UM28" s="234" t="e">
        <f>astrogrep_path&amp;" /e /r /s /spath="&amp;search_path&amp;" /stypes=""app*"&amp;TI28&amp;"*"&amp;TEXT(TP28-utc_offset/24,"YYYYMMDD")&amp;"*"" /stext="" "&amp;TEXT(TP28-utc_offset/24,"HH")&amp;search_regexp&amp;""""</f>
        <v>#REF!</v>
      </c>
      <c r="UN28" s="234" t="e">
        <f>astrogrep_path&amp;" /e /r /s /spath="&amp;search_path&amp;" /stypes=""app*"&amp;TJ28&amp;"*"&amp;TEXT(TQ28-utc_offset/24,"YYYYMMDD")&amp;"*"" /stext="" "&amp;TEXT(TQ28-utc_offset/24,"HH")&amp;search_regexp&amp;""""</f>
        <v>#REF!</v>
      </c>
      <c r="UO28" s="234" t="e">
        <f>astrogrep_path&amp;" /e /r /s /spath="&amp;search_path&amp;" /stypes=""app*"&amp;TK28&amp;"*"&amp;TEXT(TR28-utc_offset/24,"YYYYMMDD")&amp;"*"" /stext="" "&amp;TEXT(TR28-utc_offset/24,"HH")&amp;search_regexp&amp;""""</f>
        <v>#REF!</v>
      </c>
      <c r="UP28" s="234" t="e">
        <f>astrogrep_path&amp;" /e /r /s /spath="&amp;search_path&amp;" /stypes=""app*"&amp;TL28&amp;"*"&amp;TEXT(TS28-utc_offset/24,"YYYYMMDD")&amp;"*"" /stext="" "&amp;TEXT(TS28-utc_offset/24,"HH")&amp;search_regexp&amp;""""</f>
        <v>#REF!</v>
      </c>
      <c r="UQ28" s="234" t="e">
        <f>astrogrep_path&amp;" /e /r /s /spath="&amp;search_path&amp;" /stypes=""app*"&amp;TM28&amp;"*"&amp;TEXT(TT28-utc_offset/24,"YYYYMMDD")&amp;"*"" /stext="" "&amp;TEXT(TT28-utc_offset/24,"HH")&amp;search_regexp&amp;""""</f>
        <v>#REF!</v>
      </c>
      <c r="UR28" s="234" t="e">
        <f>astrogrep_path&amp;" /e /r /s /spath="&amp;search_path&amp;" /stypes=""app*"&amp;TN28&amp;"*"&amp;TEXT(TU28-utc_offset/24,"YYYYMMDD")&amp;"*"" /stext="" "&amp;TEXT(TU28-utc_offset/24,"HH")&amp;search_regexp&amp;""""</f>
        <v>#REF!</v>
      </c>
      <c r="US28" s="234" t="e">
        <f>astrogrep_path&amp;" /e /r /s /spath="&amp;search_path&amp;" /stypes=""app*"&amp;TO28&amp;"*"&amp;TEXT(TV28-utc_offset/24,"YYYYMMDD")&amp;"*"" /stext="" "&amp;TEXT(TV28-utc_offset/24,"HH")&amp;search_regexp&amp;""""</f>
        <v>#REF!</v>
      </c>
      <c r="UT28" s="234" t="e">
        <f>astrogrep_path&amp;" /e /r /s /spath="&amp;search_path&amp;" /stypes=""app*"&amp;TP28&amp;"*"&amp;TEXT(TW28-utc_offset/24,"YYYYMMDD")&amp;"*"" /stext="" "&amp;TEXT(TW28-utc_offset/24,"HH")&amp;search_regexp&amp;""""</f>
        <v>#REF!</v>
      </c>
      <c r="UU28" s="234" t="e">
        <f>astrogrep_path&amp;" /e /r /s /spath="&amp;search_path&amp;" /stypes=""app*"&amp;TQ28&amp;"*"&amp;TEXT(TX28-utc_offset/24,"YYYYMMDD")&amp;"*"" /stext="" "&amp;TEXT(TX28-utc_offset/24,"HH")&amp;search_regexp&amp;""""</f>
        <v>#REF!</v>
      </c>
      <c r="UV28" s="234" t="e">
        <f>astrogrep_path&amp;" /e /r /s /spath="&amp;search_path&amp;" /stypes=""app*"&amp;TR28&amp;"*"&amp;TEXT(TY28-utc_offset/24,"YYYYMMDD")&amp;"*"" /stext="" "&amp;TEXT(TY28-utc_offset/24,"HH")&amp;search_regexp&amp;""""</f>
        <v>#REF!</v>
      </c>
      <c r="UW28" s="234" t="e">
        <f>astrogrep_path&amp;" /e /r /s /spath="&amp;search_path&amp;" /stypes=""app*"&amp;TS28&amp;"*"&amp;TEXT(TZ28-utc_offset/24,"YYYYMMDD")&amp;"*"" /stext="" "&amp;TEXT(TZ28-utc_offset/24,"HH")&amp;search_regexp&amp;""""</f>
        <v>#REF!</v>
      </c>
      <c r="UX28" s="234" t="e">
        <f>astrogrep_path&amp;" /e /r /s /spath="&amp;search_path&amp;" /stypes=""app*"&amp;TT28&amp;"*"&amp;TEXT(UA28-utc_offset/24,"YYYYMMDD")&amp;"*"" /stext="" "&amp;TEXT(UA28-utc_offset/24,"HH")&amp;search_regexp&amp;""""</f>
        <v>#REF!</v>
      </c>
      <c r="UY28" s="234" t="e">
        <f>astrogrep_path&amp;" /e /r /s /spath="&amp;search_path&amp;" /stypes=""app*"&amp;TU28&amp;"*"&amp;TEXT(UB28-utc_offset/24,"YYYYMMDD")&amp;"*"" /stext="" "&amp;TEXT(UB28-utc_offset/24,"HH")&amp;search_regexp&amp;""""</f>
        <v>#VALUE!</v>
      </c>
      <c r="UZ28" s="234" t="e">
        <f>astrogrep_path&amp;" /e /r /s /spath="&amp;search_path&amp;" /stypes=""app*"&amp;TV28&amp;"*"&amp;TEXT(UC28-utc_offset/24,"YYYYMMDD")&amp;"*"" /stext="" "&amp;TEXT(UC28-utc_offset/24,"HH")&amp;search_regexp&amp;""""</f>
        <v>#VALUE!</v>
      </c>
      <c r="VA28" s="234" t="e">
        <f>astrogrep_path&amp;" /e /r /s /spath="&amp;search_path&amp;" /stypes=""app*"&amp;TW28&amp;"*"&amp;TEXT(UD28-utc_offset/24,"YYYYMMDD")&amp;"*"" /stext="" "&amp;TEXT(UD28-utc_offset/24,"HH")&amp;search_regexp&amp;""""</f>
        <v>#REF!</v>
      </c>
      <c r="VB28" s="234" t="e">
        <f>astrogrep_path&amp;" /e /r /s /spath="&amp;search_path&amp;" /stypes=""app*"&amp;TX28&amp;"*"&amp;TEXT(UE28-utc_offset/24,"YYYYMMDD")&amp;"*"" /stext="" "&amp;TEXT(UE28-utc_offset/24,"HH")&amp;search_regexp&amp;""""</f>
        <v>#REF!</v>
      </c>
      <c r="VC28" s="234" t="e">
        <f>astrogrep_path&amp;" /e /r /s /spath="&amp;search_path&amp;" /stypes=""app*"&amp;TY28&amp;"*"&amp;TEXT(UF28-utc_offset/24,"YYYYMMDD")&amp;"*"" /stext="" "&amp;TEXT(UF28-utc_offset/24,"HH")&amp;search_regexp&amp;""""</f>
        <v>#VALUE!</v>
      </c>
      <c r="VD28" s="234" t="e">
        <f>astrogrep_path&amp;" /e /r /s /spath="&amp;search_path&amp;" /stypes=""app*"&amp;TZ28&amp;"*"&amp;TEXT(UG28-utc_offset/24,"YYYYMMDD")&amp;"*"" /stext="" "&amp;TEXT(UG28-utc_offset/24,"HH")&amp;search_regexp&amp;""""</f>
        <v>#VALUE!</v>
      </c>
      <c r="VE28" s="234" t="e">
        <f>astrogrep_path&amp;" /e /r /s /spath="&amp;search_path&amp;" /stypes=""app*"&amp;UA28&amp;"*"&amp;TEXT(UH28-utc_offset/24,"YYYYMMDD")&amp;"*"" /stext="" "&amp;TEXT(UH28-utc_offset/24,"HH")&amp;search_regexp&amp;""""</f>
        <v>#VALUE!</v>
      </c>
      <c r="VF28" s="234" t="e">
        <f>astrogrep_path&amp;" /e /r /s /spath="&amp;search_path&amp;" /stypes=""app*"&amp;UB28&amp;"*"&amp;TEXT(UI28-utc_offset/24,"YYYYMMDD")&amp;"*"" /stext="" "&amp;TEXT(UI28-utc_offset/24,"HH")&amp;search_regexp&amp;""""</f>
        <v>#VALUE!</v>
      </c>
      <c r="VG28" s="234" t="e">
        <f>astrogrep_path&amp;" /e /r /s /spath="&amp;search_path&amp;" /stypes=""app*"&amp;UC28&amp;"*"&amp;TEXT(UJ28-utc_offset/24,"YYYYMMDD")&amp;"*"" /stext="" "&amp;TEXT(UJ28-utc_offset/24,"HH")&amp;search_regexp&amp;""""</f>
        <v>#VALUE!</v>
      </c>
      <c r="VH28" s="234" t="e">
        <f>astrogrep_path&amp;" /e /r /s /spath="&amp;search_path&amp;" /stypes=""app*"&amp;UD28&amp;"*"&amp;TEXT(UK28-utc_offset/24,"YYYYMMDD")&amp;"*"" /stext="" "&amp;TEXT(UK28-utc_offset/24,"HH")&amp;search_regexp&amp;""""</f>
        <v>#REF!</v>
      </c>
      <c r="VI28" s="234" t="e">
        <f>astrogrep_path&amp;" /e /r /s /spath="&amp;search_path&amp;" /stypes=""app*"&amp;UE28&amp;"*"&amp;TEXT(UL28-utc_offset/24,"YYYYMMDD")&amp;"*"" /stext="" "&amp;TEXT(UL28-utc_offset/24,"HH")&amp;search_regexp&amp;""""</f>
        <v>#REF!</v>
      </c>
      <c r="VJ28" s="234" t="e">
        <f>astrogrep_path&amp;" /e /r /s /spath="&amp;search_path&amp;" /stypes=""app*"&amp;UF28&amp;"*"&amp;TEXT(UM28-utc_offset/24,"YYYYMMDD")&amp;"*"" /stext="" "&amp;TEXT(UM28-utc_offset/24,"HH")&amp;search_regexp&amp;""""</f>
        <v>#REF!</v>
      </c>
      <c r="VK28" s="234" t="e">
        <f>astrogrep_path&amp;" /e /r /s /spath="&amp;search_path&amp;" /stypes=""app*"&amp;UG28&amp;"*"&amp;TEXT(UN28-utc_offset/24,"YYYYMMDD")&amp;"*"" /stext="" "&amp;TEXT(UN28-utc_offset/24,"HH")&amp;search_regexp&amp;""""</f>
        <v>#REF!</v>
      </c>
      <c r="VL28" s="234" t="e">
        <f>astrogrep_path&amp;" /e /r /s /spath="&amp;search_path&amp;" /stypes=""app*"&amp;UH28&amp;"*"&amp;TEXT(UO28-utc_offset/24,"YYYYMMDD")&amp;"*"" /stext="" "&amp;TEXT(UO28-utc_offset/24,"HH")&amp;search_regexp&amp;""""</f>
        <v>#REF!</v>
      </c>
      <c r="VM28" s="234" t="e">
        <f>astrogrep_path&amp;" /e /r /s /spath="&amp;search_path&amp;" /stypes=""app*"&amp;UI28&amp;"*"&amp;TEXT(UP28-utc_offset/24,"YYYYMMDD")&amp;"*"" /stext="" "&amp;TEXT(UP28-utc_offset/24,"HH")&amp;search_regexp&amp;""""</f>
        <v>#REF!</v>
      </c>
      <c r="VN28" s="234" t="e">
        <f>astrogrep_path&amp;" /e /r /s /spath="&amp;search_path&amp;" /stypes=""app*"&amp;UJ28&amp;"*"&amp;TEXT(UQ28-utc_offset/24,"YYYYMMDD")&amp;"*"" /stext="" "&amp;TEXT(UQ28-utc_offset/24,"HH")&amp;search_regexp&amp;""""</f>
        <v>#REF!</v>
      </c>
      <c r="VO28" s="234" t="e">
        <f>astrogrep_path&amp;" /e /r /s /spath="&amp;search_path&amp;" /stypes=""app*"&amp;UK28&amp;"*"&amp;TEXT(UR28-utc_offset/24,"YYYYMMDD")&amp;"*"" /stext="" "&amp;TEXT(UR28-utc_offset/24,"HH")&amp;search_regexp&amp;""""</f>
        <v>#REF!</v>
      </c>
      <c r="VP28" s="234" t="e">
        <f>astrogrep_path&amp;" /e /r /s /spath="&amp;search_path&amp;" /stypes=""app*"&amp;UL28&amp;"*"&amp;TEXT(US28-utc_offset/24,"YYYYMMDD")&amp;"*"" /stext="" "&amp;TEXT(US28-utc_offset/24,"HH")&amp;search_regexp&amp;""""</f>
        <v>#REF!</v>
      </c>
      <c r="VQ28" s="234" t="e">
        <f>astrogrep_path&amp;" /e /r /s /spath="&amp;search_path&amp;" /stypes=""app*"&amp;UM28&amp;"*"&amp;TEXT(UT28-utc_offset/24,"YYYYMMDD")&amp;"*"" /stext="" "&amp;TEXT(UT28-utc_offset/24,"HH")&amp;search_regexp&amp;""""</f>
        <v>#REF!</v>
      </c>
      <c r="VR28" s="234" t="e">
        <f>astrogrep_path&amp;" /e /r /s /spath="&amp;search_path&amp;" /stypes=""app*"&amp;UN28&amp;"*"&amp;TEXT(UU28-utc_offset/24,"YYYYMMDD")&amp;"*"" /stext="" "&amp;TEXT(UU28-utc_offset/24,"HH")&amp;search_regexp&amp;""""</f>
        <v>#REF!</v>
      </c>
      <c r="VS28" s="234" t="e">
        <f>astrogrep_path&amp;" /e /r /s /spath="&amp;search_path&amp;" /stypes=""app*"&amp;UO28&amp;"*"&amp;TEXT(UV28-utc_offset/24,"YYYYMMDD")&amp;"*"" /stext="" "&amp;TEXT(UV28-utc_offset/24,"HH")&amp;search_regexp&amp;""""</f>
        <v>#REF!</v>
      </c>
      <c r="VT28" s="234" t="e">
        <f>astrogrep_path&amp;" /e /r /s /spath="&amp;search_path&amp;" /stypes=""app*"&amp;UP28&amp;"*"&amp;TEXT(UW28-utc_offset/24,"YYYYMMDD")&amp;"*"" /stext="" "&amp;TEXT(UW28-utc_offset/24,"HH")&amp;search_regexp&amp;""""</f>
        <v>#REF!</v>
      </c>
      <c r="VU28" s="234" t="e">
        <f>astrogrep_path&amp;" /e /r /s /spath="&amp;search_path&amp;" /stypes=""app*"&amp;UQ28&amp;"*"&amp;TEXT(UX28-utc_offset/24,"YYYYMMDD")&amp;"*"" /stext="" "&amp;TEXT(UX28-utc_offset/24,"HH")&amp;search_regexp&amp;""""</f>
        <v>#REF!</v>
      </c>
      <c r="VV28" s="234" t="e">
        <f>astrogrep_path&amp;" /e /r /s /spath="&amp;search_path&amp;" /stypes=""app*"&amp;UR28&amp;"*"&amp;TEXT(UY28-utc_offset/24,"YYYYMMDD")&amp;"*"" /stext="" "&amp;TEXT(UY28-utc_offset/24,"HH")&amp;search_regexp&amp;""""</f>
        <v>#REF!</v>
      </c>
      <c r="VW28" s="234" t="e">
        <f>astrogrep_path&amp;" /e /r /s /spath="&amp;search_path&amp;" /stypes=""app*"&amp;US28&amp;"*"&amp;TEXT(UZ28-utc_offset/24,"YYYYMMDD")&amp;"*"" /stext="" "&amp;TEXT(UZ28-utc_offset/24,"HH")&amp;search_regexp&amp;""""</f>
        <v>#REF!</v>
      </c>
      <c r="VX28" s="234" t="e">
        <f>astrogrep_path&amp;" /e /r /s /spath="&amp;search_path&amp;" /stypes=""app*"&amp;UT28&amp;"*"&amp;TEXT(VA28-utc_offset/24,"YYYYMMDD")&amp;"*"" /stext="" "&amp;TEXT(VA28-utc_offset/24,"HH")&amp;search_regexp&amp;""""</f>
        <v>#REF!</v>
      </c>
      <c r="VY28" s="234" t="e">
        <f>astrogrep_path&amp;" /e /r /s /spath="&amp;search_path&amp;" /stypes=""app*"&amp;UU28&amp;"*"&amp;TEXT(VB28-utc_offset/24,"YYYYMMDD")&amp;"*"" /stext="" "&amp;TEXT(VB28-utc_offset/24,"HH")&amp;search_regexp&amp;""""</f>
        <v>#REF!</v>
      </c>
      <c r="VZ28" s="234" t="e">
        <f>astrogrep_path&amp;" /e /r /s /spath="&amp;search_path&amp;" /stypes=""app*"&amp;UV28&amp;"*"&amp;TEXT(VC28-utc_offset/24,"YYYYMMDD")&amp;"*"" /stext="" "&amp;TEXT(VC28-utc_offset/24,"HH")&amp;search_regexp&amp;""""</f>
        <v>#REF!</v>
      </c>
      <c r="WA28" s="234" t="e">
        <f>astrogrep_path&amp;" /e /r /s /spath="&amp;search_path&amp;" /stypes=""app*"&amp;UW28&amp;"*"&amp;TEXT(VD28-utc_offset/24,"YYYYMMDD")&amp;"*"" /stext="" "&amp;TEXT(VD28-utc_offset/24,"HH")&amp;search_regexp&amp;""""</f>
        <v>#REF!</v>
      </c>
      <c r="WB28" s="234" t="e">
        <f>astrogrep_path&amp;" /e /r /s /spath="&amp;search_path&amp;" /stypes=""app*"&amp;UX28&amp;"*"&amp;TEXT(VE28-utc_offset/24,"YYYYMMDD")&amp;"*"" /stext="" "&amp;TEXT(VE28-utc_offset/24,"HH")&amp;search_regexp&amp;""""</f>
        <v>#REF!</v>
      </c>
      <c r="WC28" s="234" t="e">
        <f>astrogrep_path&amp;" /e /r /s /spath="&amp;search_path&amp;" /stypes=""app*"&amp;UY28&amp;"*"&amp;TEXT(VF28-utc_offset/24,"YYYYMMDD")&amp;"*"" /stext="" "&amp;TEXT(VF28-utc_offset/24,"HH")&amp;search_regexp&amp;""""</f>
        <v>#VALUE!</v>
      </c>
      <c r="WD28" s="234" t="e">
        <f>astrogrep_path&amp;" /e /r /s /spath="&amp;search_path&amp;" /stypes=""app*"&amp;UZ28&amp;"*"&amp;TEXT(VG28-utc_offset/24,"YYYYMMDD")&amp;"*"" /stext="" "&amp;TEXT(VG28-utc_offset/24,"HH")&amp;search_regexp&amp;""""</f>
        <v>#VALUE!</v>
      </c>
      <c r="WE28" s="234" t="e">
        <f>astrogrep_path&amp;" /e /r /s /spath="&amp;search_path&amp;" /stypes=""app*"&amp;VA28&amp;"*"&amp;TEXT(VH28-utc_offset/24,"YYYYMMDD")&amp;"*"" /stext="" "&amp;TEXT(VH28-utc_offset/24,"HH")&amp;search_regexp&amp;""""</f>
        <v>#REF!</v>
      </c>
      <c r="WF28" s="234" t="e">
        <f>astrogrep_path&amp;" /e /r /s /spath="&amp;search_path&amp;" /stypes=""app*"&amp;VB28&amp;"*"&amp;TEXT(VI28-utc_offset/24,"YYYYMMDD")&amp;"*"" /stext="" "&amp;TEXT(VI28-utc_offset/24,"HH")&amp;search_regexp&amp;""""</f>
        <v>#REF!</v>
      </c>
      <c r="WG28" s="234" t="e">
        <f>astrogrep_path&amp;" /e /r /s /spath="&amp;search_path&amp;" /stypes=""app*"&amp;VC28&amp;"*"&amp;TEXT(VJ28-utc_offset/24,"YYYYMMDD")&amp;"*"" /stext="" "&amp;TEXT(VJ28-utc_offset/24,"HH")&amp;search_regexp&amp;""""</f>
        <v>#VALUE!</v>
      </c>
      <c r="WH28" s="234" t="e">
        <f>astrogrep_path&amp;" /e /r /s /spath="&amp;search_path&amp;" /stypes=""app*"&amp;VD28&amp;"*"&amp;TEXT(VK28-utc_offset/24,"YYYYMMDD")&amp;"*"" /stext="" "&amp;TEXT(VK28-utc_offset/24,"HH")&amp;search_regexp&amp;""""</f>
        <v>#VALUE!</v>
      </c>
      <c r="WI28" s="234" t="e">
        <f>astrogrep_path&amp;" /e /r /s /spath="&amp;search_path&amp;" /stypes=""app*"&amp;VE28&amp;"*"&amp;TEXT(VL28-utc_offset/24,"YYYYMMDD")&amp;"*"" /stext="" "&amp;TEXT(VL28-utc_offset/24,"HH")&amp;search_regexp&amp;""""</f>
        <v>#VALUE!</v>
      </c>
      <c r="WJ28" s="234" t="e">
        <f>astrogrep_path&amp;" /e /r /s /spath="&amp;search_path&amp;" /stypes=""app*"&amp;VF28&amp;"*"&amp;TEXT(VM28-utc_offset/24,"YYYYMMDD")&amp;"*"" /stext="" "&amp;TEXT(VM28-utc_offset/24,"HH")&amp;search_regexp&amp;""""</f>
        <v>#VALUE!</v>
      </c>
      <c r="WK28" s="234" t="e">
        <f>astrogrep_path&amp;" /e /r /s /spath="&amp;search_path&amp;" /stypes=""app*"&amp;VG28&amp;"*"&amp;TEXT(VN28-utc_offset/24,"YYYYMMDD")&amp;"*"" /stext="" "&amp;TEXT(VN28-utc_offset/24,"HH")&amp;search_regexp&amp;""""</f>
        <v>#VALUE!</v>
      </c>
      <c r="WL28" s="234" t="e">
        <f>astrogrep_path&amp;" /e /r /s /spath="&amp;search_path&amp;" /stypes=""app*"&amp;VH28&amp;"*"&amp;TEXT(VO28-utc_offset/24,"YYYYMMDD")&amp;"*"" /stext="" "&amp;TEXT(VO28-utc_offset/24,"HH")&amp;search_regexp&amp;""""</f>
        <v>#REF!</v>
      </c>
      <c r="WM28" s="234" t="e">
        <f>astrogrep_path&amp;" /e /r /s /spath="&amp;search_path&amp;" /stypes=""app*"&amp;VI28&amp;"*"&amp;TEXT(VP28-utc_offset/24,"YYYYMMDD")&amp;"*"" /stext="" "&amp;TEXT(VP28-utc_offset/24,"HH")&amp;search_regexp&amp;""""</f>
        <v>#REF!</v>
      </c>
      <c r="WN28" s="234" t="e">
        <f>astrogrep_path&amp;" /e /r /s /spath="&amp;search_path&amp;" /stypes=""app*"&amp;VJ28&amp;"*"&amp;TEXT(VQ28-utc_offset/24,"YYYYMMDD")&amp;"*"" /stext="" "&amp;TEXT(VQ28-utc_offset/24,"HH")&amp;search_regexp&amp;""""</f>
        <v>#REF!</v>
      </c>
      <c r="WO28" s="234" t="e">
        <f>astrogrep_path&amp;" /e /r /s /spath="&amp;search_path&amp;" /stypes=""app*"&amp;VK28&amp;"*"&amp;TEXT(VR28-utc_offset/24,"YYYYMMDD")&amp;"*"" /stext="" "&amp;TEXT(VR28-utc_offset/24,"HH")&amp;search_regexp&amp;""""</f>
        <v>#REF!</v>
      </c>
      <c r="WP28" s="234" t="e">
        <f>astrogrep_path&amp;" /e /r /s /spath="&amp;search_path&amp;" /stypes=""app*"&amp;VL28&amp;"*"&amp;TEXT(VS28-utc_offset/24,"YYYYMMDD")&amp;"*"" /stext="" "&amp;TEXT(VS28-utc_offset/24,"HH")&amp;search_regexp&amp;""""</f>
        <v>#REF!</v>
      </c>
      <c r="WQ28" s="234" t="e">
        <f>astrogrep_path&amp;" /e /r /s /spath="&amp;search_path&amp;" /stypes=""app*"&amp;VM28&amp;"*"&amp;TEXT(VT28-utc_offset/24,"YYYYMMDD")&amp;"*"" /stext="" "&amp;TEXT(VT28-utc_offset/24,"HH")&amp;search_regexp&amp;""""</f>
        <v>#REF!</v>
      </c>
      <c r="WR28" s="234" t="e">
        <f>astrogrep_path&amp;" /e /r /s /spath="&amp;search_path&amp;" /stypes=""app*"&amp;VN28&amp;"*"&amp;TEXT(VU28-utc_offset/24,"YYYYMMDD")&amp;"*"" /stext="" "&amp;TEXT(VU28-utc_offset/24,"HH")&amp;search_regexp&amp;""""</f>
        <v>#REF!</v>
      </c>
      <c r="WS28" s="234" t="e">
        <f>astrogrep_path&amp;" /e /r /s /spath="&amp;search_path&amp;" /stypes=""app*"&amp;VO28&amp;"*"&amp;TEXT(VV28-utc_offset/24,"YYYYMMDD")&amp;"*"" /stext="" "&amp;TEXT(VV28-utc_offset/24,"HH")&amp;search_regexp&amp;""""</f>
        <v>#REF!</v>
      </c>
      <c r="WT28" s="234" t="e">
        <f>astrogrep_path&amp;" /e /r /s /spath="&amp;search_path&amp;" /stypes=""app*"&amp;VP28&amp;"*"&amp;TEXT(VW28-utc_offset/24,"YYYYMMDD")&amp;"*"" /stext="" "&amp;TEXT(VW28-utc_offset/24,"HH")&amp;search_regexp&amp;""""</f>
        <v>#REF!</v>
      </c>
      <c r="WU28" s="234" t="e">
        <f>astrogrep_path&amp;" /e /r /s /spath="&amp;search_path&amp;" /stypes=""app*"&amp;VQ28&amp;"*"&amp;TEXT(VX28-utc_offset/24,"YYYYMMDD")&amp;"*"" /stext="" "&amp;TEXT(VX28-utc_offset/24,"HH")&amp;search_regexp&amp;""""</f>
        <v>#REF!</v>
      </c>
      <c r="WV28" s="234" t="e">
        <f>astrogrep_path&amp;" /e /r /s /spath="&amp;search_path&amp;" /stypes=""app*"&amp;VR28&amp;"*"&amp;TEXT(VY28-utc_offset/24,"YYYYMMDD")&amp;"*"" /stext="" "&amp;TEXT(VY28-utc_offset/24,"HH")&amp;search_regexp&amp;""""</f>
        <v>#REF!</v>
      </c>
      <c r="WW28" s="234" t="e">
        <f>astrogrep_path&amp;" /e /r /s /spath="&amp;search_path&amp;" /stypes=""app*"&amp;VS28&amp;"*"&amp;TEXT(VZ28-utc_offset/24,"YYYYMMDD")&amp;"*"" /stext="" "&amp;TEXT(VZ28-utc_offset/24,"HH")&amp;search_regexp&amp;""""</f>
        <v>#REF!</v>
      </c>
      <c r="WX28" s="234" t="e">
        <f>astrogrep_path&amp;" /e /r /s /spath="&amp;search_path&amp;" /stypes=""app*"&amp;VT28&amp;"*"&amp;TEXT(WA28-utc_offset/24,"YYYYMMDD")&amp;"*"" /stext="" "&amp;TEXT(WA28-utc_offset/24,"HH")&amp;search_regexp&amp;""""</f>
        <v>#REF!</v>
      </c>
      <c r="WY28" s="234" t="e">
        <f>astrogrep_path&amp;" /e /r /s /spath="&amp;search_path&amp;" /stypes=""app*"&amp;VU28&amp;"*"&amp;TEXT(WB28-utc_offset/24,"YYYYMMDD")&amp;"*"" /stext="" "&amp;TEXT(WB28-utc_offset/24,"HH")&amp;search_regexp&amp;""""</f>
        <v>#REF!</v>
      </c>
      <c r="WZ28" s="234" t="e">
        <f>astrogrep_path&amp;" /e /r /s /spath="&amp;search_path&amp;" /stypes=""app*"&amp;VV28&amp;"*"&amp;TEXT(WC28-utc_offset/24,"YYYYMMDD")&amp;"*"" /stext="" "&amp;TEXT(WC28-utc_offset/24,"HH")&amp;search_regexp&amp;""""</f>
        <v>#REF!</v>
      </c>
      <c r="XA28" s="234" t="e">
        <f>astrogrep_path&amp;" /e /r /s /spath="&amp;search_path&amp;" /stypes=""app*"&amp;VW28&amp;"*"&amp;TEXT(WD28-utc_offset/24,"YYYYMMDD")&amp;"*"" /stext="" "&amp;TEXT(WD28-utc_offset/24,"HH")&amp;search_regexp&amp;""""</f>
        <v>#REF!</v>
      </c>
      <c r="XB28" s="234" t="e">
        <f>astrogrep_path&amp;" /e /r /s /spath="&amp;search_path&amp;" /stypes=""app*"&amp;VX28&amp;"*"&amp;TEXT(WE28-utc_offset/24,"YYYYMMDD")&amp;"*"" /stext="" "&amp;TEXT(WE28-utc_offset/24,"HH")&amp;search_regexp&amp;""""</f>
        <v>#REF!</v>
      </c>
      <c r="XC28" s="234" t="e">
        <f>astrogrep_path&amp;" /e /r /s /spath="&amp;search_path&amp;" /stypes=""app*"&amp;VY28&amp;"*"&amp;TEXT(WF28-utc_offset/24,"YYYYMMDD")&amp;"*"" /stext="" "&amp;TEXT(WF28-utc_offset/24,"HH")&amp;search_regexp&amp;""""</f>
        <v>#REF!</v>
      </c>
      <c r="XD28" s="234" t="e">
        <f>astrogrep_path&amp;" /e /r /s /spath="&amp;search_path&amp;" /stypes=""app*"&amp;VZ28&amp;"*"&amp;TEXT(WG28-utc_offset/24,"YYYYMMDD")&amp;"*"" /stext="" "&amp;TEXT(WG28-utc_offset/24,"HH")&amp;search_regexp&amp;""""</f>
        <v>#REF!</v>
      </c>
      <c r="XE28" s="234" t="e">
        <f>astrogrep_path&amp;" /e /r /s /spath="&amp;search_path&amp;" /stypes=""app*"&amp;WA28&amp;"*"&amp;TEXT(WH28-utc_offset/24,"YYYYMMDD")&amp;"*"" /stext="" "&amp;TEXT(WH28-utc_offset/24,"HH")&amp;search_regexp&amp;""""</f>
        <v>#REF!</v>
      </c>
      <c r="XF28" s="234" t="e">
        <f>astrogrep_path&amp;" /e /r /s /spath="&amp;search_path&amp;" /stypes=""app*"&amp;WB28&amp;"*"&amp;TEXT(WI28-utc_offset/24,"YYYYMMDD")&amp;"*"" /stext="" "&amp;TEXT(WI28-utc_offset/24,"HH")&amp;search_regexp&amp;""""</f>
        <v>#REF!</v>
      </c>
      <c r="XG28" s="234" t="e">
        <f>astrogrep_path&amp;" /e /r /s /spath="&amp;search_path&amp;" /stypes=""app*"&amp;WC28&amp;"*"&amp;TEXT(WJ28-utc_offset/24,"YYYYMMDD")&amp;"*"" /stext="" "&amp;TEXT(WJ28-utc_offset/24,"HH")&amp;search_regexp&amp;""""</f>
        <v>#VALUE!</v>
      </c>
      <c r="XH28" s="234" t="e">
        <f>astrogrep_path&amp;" /e /r /s /spath="&amp;search_path&amp;" /stypes=""app*"&amp;WD28&amp;"*"&amp;TEXT(WK28-utc_offset/24,"YYYYMMDD")&amp;"*"" /stext="" "&amp;TEXT(WK28-utc_offset/24,"HH")&amp;search_regexp&amp;""""</f>
        <v>#VALUE!</v>
      </c>
      <c r="XI28" s="234" t="e">
        <f>astrogrep_path&amp;" /e /r /s /spath="&amp;search_path&amp;" /stypes=""app*"&amp;WE28&amp;"*"&amp;TEXT(WL28-utc_offset/24,"YYYYMMDD")&amp;"*"" /stext="" "&amp;TEXT(WL28-utc_offset/24,"HH")&amp;search_regexp&amp;""""</f>
        <v>#REF!</v>
      </c>
      <c r="XJ28" s="234" t="e">
        <f>astrogrep_path&amp;" /e /r /s /spath="&amp;search_path&amp;" /stypes=""app*"&amp;WF28&amp;"*"&amp;TEXT(WM28-utc_offset/24,"YYYYMMDD")&amp;"*"" /stext="" "&amp;TEXT(WM28-utc_offset/24,"HH")&amp;search_regexp&amp;""""</f>
        <v>#REF!</v>
      </c>
      <c r="XK28" s="234" t="e">
        <f>astrogrep_path&amp;" /e /r /s /spath="&amp;search_path&amp;" /stypes=""app*"&amp;WG28&amp;"*"&amp;TEXT(WN28-utc_offset/24,"YYYYMMDD")&amp;"*"" /stext="" "&amp;TEXT(WN28-utc_offset/24,"HH")&amp;search_regexp&amp;""""</f>
        <v>#VALUE!</v>
      </c>
      <c r="XL28" s="234" t="e">
        <f>astrogrep_path&amp;" /e /r /s /spath="&amp;search_path&amp;" /stypes=""app*"&amp;WH28&amp;"*"&amp;TEXT(WO28-utc_offset/24,"YYYYMMDD")&amp;"*"" /stext="" "&amp;TEXT(WO28-utc_offset/24,"HH")&amp;search_regexp&amp;""""</f>
        <v>#VALUE!</v>
      </c>
      <c r="XM28" s="234" t="e">
        <f>astrogrep_path&amp;" /e /r /s /spath="&amp;search_path&amp;" /stypes=""app*"&amp;WI28&amp;"*"&amp;TEXT(WP28-utc_offset/24,"YYYYMMDD")&amp;"*"" /stext="" "&amp;TEXT(WP28-utc_offset/24,"HH")&amp;search_regexp&amp;""""</f>
        <v>#VALUE!</v>
      </c>
      <c r="XN28" s="234" t="e">
        <f>astrogrep_path&amp;" /e /r /s /spath="&amp;search_path&amp;" /stypes=""app*"&amp;WJ28&amp;"*"&amp;TEXT(WQ28-utc_offset/24,"YYYYMMDD")&amp;"*"" /stext="" "&amp;TEXT(WQ28-utc_offset/24,"HH")&amp;search_regexp&amp;""""</f>
        <v>#VALUE!</v>
      </c>
      <c r="XO28" s="234" t="e">
        <f>astrogrep_path&amp;" /e /r /s /spath="&amp;search_path&amp;" /stypes=""app*"&amp;WK28&amp;"*"&amp;TEXT(WR28-utc_offset/24,"YYYYMMDD")&amp;"*"" /stext="" "&amp;TEXT(WR28-utc_offset/24,"HH")&amp;search_regexp&amp;""""</f>
        <v>#VALUE!</v>
      </c>
      <c r="XP28" s="234" t="e">
        <f>astrogrep_path&amp;" /e /r /s /spath="&amp;search_path&amp;" /stypes=""app*"&amp;WL28&amp;"*"&amp;TEXT(WS28-utc_offset/24,"YYYYMMDD")&amp;"*"" /stext="" "&amp;TEXT(WS28-utc_offset/24,"HH")&amp;search_regexp&amp;""""</f>
        <v>#REF!</v>
      </c>
      <c r="XQ28" s="234" t="e">
        <f>astrogrep_path&amp;" /e /r /s /spath="&amp;search_path&amp;" /stypes=""app*"&amp;WM28&amp;"*"&amp;TEXT(WT28-utc_offset/24,"YYYYMMDD")&amp;"*"" /stext="" "&amp;TEXT(WT28-utc_offset/24,"HH")&amp;search_regexp&amp;""""</f>
        <v>#REF!</v>
      </c>
      <c r="XR28" s="234" t="e">
        <f>astrogrep_path&amp;" /e /r /s /spath="&amp;search_path&amp;" /stypes=""app*"&amp;WN28&amp;"*"&amp;TEXT(WU28-utc_offset/24,"YYYYMMDD")&amp;"*"" /stext="" "&amp;TEXT(WU28-utc_offset/24,"HH")&amp;search_regexp&amp;""""</f>
        <v>#REF!</v>
      </c>
      <c r="XS28" s="234" t="e">
        <f>astrogrep_path&amp;" /e /r /s /spath="&amp;search_path&amp;" /stypes=""app*"&amp;WO28&amp;"*"&amp;TEXT(WV28-utc_offset/24,"YYYYMMDD")&amp;"*"" /stext="" "&amp;TEXT(WV28-utc_offset/24,"HH")&amp;search_regexp&amp;""""</f>
        <v>#REF!</v>
      </c>
      <c r="XT28" s="234" t="e">
        <f>astrogrep_path&amp;" /e /r /s /spath="&amp;search_path&amp;" /stypes=""app*"&amp;WP28&amp;"*"&amp;TEXT(WW28-utc_offset/24,"YYYYMMDD")&amp;"*"" /stext="" "&amp;TEXT(WW28-utc_offset/24,"HH")&amp;search_regexp&amp;""""</f>
        <v>#REF!</v>
      </c>
      <c r="XU28" s="234" t="e">
        <f>astrogrep_path&amp;" /e /r /s /spath="&amp;search_path&amp;" /stypes=""app*"&amp;WQ28&amp;"*"&amp;TEXT(WX28-utc_offset/24,"YYYYMMDD")&amp;"*"" /stext="" "&amp;TEXT(WX28-utc_offset/24,"HH")&amp;search_regexp&amp;""""</f>
        <v>#REF!</v>
      </c>
      <c r="XV28" s="234" t="e">
        <f>astrogrep_path&amp;" /e /r /s /spath="&amp;search_path&amp;" /stypes=""app*"&amp;WR28&amp;"*"&amp;TEXT(WY28-utc_offset/24,"YYYYMMDD")&amp;"*"" /stext="" "&amp;TEXT(WY28-utc_offset/24,"HH")&amp;search_regexp&amp;""""</f>
        <v>#REF!</v>
      </c>
      <c r="XW28" s="234" t="e">
        <f>astrogrep_path&amp;" /e /r /s /spath="&amp;search_path&amp;" /stypes=""app*"&amp;WS28&amp;"*"&amp;TEXT(WZ28-utc_offset/24,"YYYYMMDD")&amp;"*"" /stext="" "&amp;TEXT(WZ28-utc_offset/24,"HH")&amp;search_regexp&amp;""""</f>
        <v>#REF!</v>
      </c>
      <c r="XX28" s="234" t="e">
        <f>astrogrep_path&amp;" /e /r /s /spath="&amp;search_path&amp;" /stypes=""app*"&amp;WT28&amp;"*"&amp;TEXT(XA28-utc_offset/24,"YYYYMMDD")&amp;"*"" /stext="" "&amp;TEXT(XA28-utc_offset/24,"HH")&amp;search_regexp&amp;""""</f>
        <v>#REF!</v>
      </c>
      <c r="XY28" s="234" t="e">
        <f>astrogrep_path&amp;" /e /r /s /spath="&amp;search_path&amp;" /stypes=""app*"&amp;WU28&amp;"*"&amp;TEXT(XB28-utc_offset/24,"YYYYMMDD")&amp;"*"" /stext="" "&amp;TEXT(XB28-utc_offset/24,"HH")&amp;search_regexp&amp;""""</f>
        <v>#REF!</v>
      </c>
      <c r="XZ28" s="234" t="e">
        <f>astrogrep_path&amp;" /e /r /s /spath="&amp;search_path&amp;" /stypes=""app*"&amp;WV28&amp;"*"&amp;TEXT(XC28-utc_offset/24,"YYYYMMDD")&amp;"*"" /stext="" "&amp;TEXT(XC28-utc_offset/24,"HH")&amp;search_regexp&amp;""""</f>
        <v>#REF!</v>
      </c>
      <c r="YA28" s="234" t="e">
        <f>astrogrep_path&amp;" /e /r /s /spath="&amp;search_path&amp;" /stypes=""app*"&amp;WW28&amp;"*"&amp;TEXT(XD28-utc_offset/24,"YYYYMMDD")&amp;"*"" /stext="" "&amp;TEXT(XD28-utc_offset/24,"HH")&amp;search_regexp&amp;""""</f>
        <v>#REF!</v>
      </c>
      <c r="YB28" s="234" t="e">
        <f>astrogrep_path&amp;" /e /r /s /spath="&amp;search_path&amp;" /stypes=""app*"&amp;WX28&amp;"*"&amp;TEXT(XE28-utc_offset/24,"YYYYMMDD")&amp;"*"" /stext="" "&amp;TEXT(XE28-utc_offset/24,"HH")&amp;search_regexp&amp;""""</f>
        <v>#REF!</v>
      </c>
      <c r="YC28" s="234" t="e">
        <f>astrogrep_path&amp;" /e /r /s /spath="&amp;search_path&amp;" /stypes=""app*"&amp;WY28&amp;"*"&amp;TEXT(XF28-utc_offset/24,"YYYYMMDD")&amp;"*"" /stext="" "&amp;TEXT(XF28-utc_offset/24,"HH")&amp;search_regexp&amp;""""</f>
        <v>#REF!</v>
      </c>
      <c r="YD28" s="234" t="e">
        <f>astrogrep_path&amp;" /e /r /s /spath="&amp;search_path&amp;" /stypes=""app*"&amp;WZ28&amp;"*"&amp;TEXT(XG28-utc_offset/24,"YYYYMMDD")&amp;"*"" /stext="" "&amp;TEXT(XG28-utc_offset/24,"HH")&amp;search_regexp&amp;""""</f>
        <v>#REF!</v>
      </c>
      <c r="YE28" s="234" t="e">
        <f>astrogrep_path&amp;" /e /r /s /spath="&amp;search_path&amp;" /stypes=""app*"&amp;XA28&amp;"*"&amp;TEXT(XH28-utc_offset/24,"YYYYMMDD")&amp;"*"" /stext="" "&amp;TEXT(XH28-utc_offset/24,"HH")&amp;search_regexp&amp;""""</f>
        <v>#REF!</v>
      </c>
      <c r="YF28" s="234" t="e">
        <f>astrogrep_path&amp;" /e /r /s /spath="&amp;search_path&amp;" /stypes=""app*"&amp;XB28&amp;"*"&amp;TEXT(XI28-utc_offset/24,"YYYYMMDD")&amp;"*"" /stext="" "&amp;TEXT(XI28-utc_offset/24,"HH")&amp;search_regexp&amp;""""</f>
        <v>#REF!</v>
      </c>
      <c r="YG28" s="234" t="e">
        <f>astrogrep_path&amp;" /e /r /s /spath="&amp;search_path&amp;" /stypes=""app*"&amp;XC28&amp;"*"&amp;TEXT(XJ28-utc_offset/24,"YYYYMMDD")&amp;"*"" /stext="" "&amp;TEXT(XJ28-utc_offset/24,"HH")&amp;search_regexp&amp;""""</f>
        <v>#REF!</v>
      </c>
      <c r="YH28" s="234" t="e">
        <f>astrogrep_path&amp;" /e /r /s /spath="&amp;search_path&amp;" /stypes=""app*"&amp;XD28&amp;"*"&amp;TEXT(XK28-utc_offset/24,"YYYYMMDD")&amp;"*"" /stext="" "&amp;TEXT(XK28-utc_offset/24,"HH")&amp;search_regexp&amp;""""</f>
        <v>#REF!</v>
      </c>
      <c r="YI28" s="234" t="e">
        <f>astrogrep_path&amp;" /e /r /s /spath="&amp;search_path&amp;" /stypes=""app*"&amp;XE28&amp;"*"&amp;TEXT(XL28-utc_offset/24,"YYYYMMDD")&amp;"*"" /stext="" "&amp;TEXT(XL28-utc_offset/24,"HH")&amp;search_regexp&amp;""""</f>
        <v>#REF!</v>
      </c>
      <c r="YJ28" s="234" t="e">
        <f>astrogrep_path&amp;" /e /r /s /spath="&amp;search_path&amp;" /stypes=""app*"&amp;XF28&amp;"*"&amp;TEXT(XM28-utc_offset/24,"YYYYMMDD")&amp;"*"" /stext="" "&amp;TEXT(XM28-utc_offset/24,"HH")&amp;search_regexp&amp;""""</f>
        <v>#REF!</v>
      </c>
      <c r="YK28" s="234" t="e">
        <f>astrogrep_path&amp;" /e /r /s /spath="&amp;search_path&amp;" /stypes=""app*"&amp;XG28&amp;"*"&amp;TEXT(XN28-utc_offset/24,"YYYYMMDD")&amp;"*"" /stext="" "&amp;TEXT(XN28-utc_offset/24,"HH")&amp;search_regexp&amp;""""</f>
        <v>#VALUE!</v>
      </c>
      <c r="YL28" s="234" t="e">
        <f>astrogrep_path&amp;" /e /r /s /spath="&amp;search_path&amp;" /stypes=""app*"&amp;XH28&amp;"*"&amp;TEXT(XO28-utc_offset/24,"YYYYMMDD")&amp;"*"" /stext="" "&amp;TEXT(XO28-utc_offset/24,"HH")&amp;search_regexp&amp;""""</f>
        <v>#VALUE!</v>
      </c>
      <c r="YM28" s="234" t="e">
        <f>astrogrep_path&amp;" /e /r /s /spath="&amp;search_path&amp;" /stypes=""app*"&amp;XI28&amp;"*"&amp;TEXT(XP28-utc_offset/24,"YYYYMMDD")&amp;"*"" /stext="" "&amp;TEXT(XP28-utc_offset/24,"HH")&amp;search_regexp&amp;""""</f>
        <v>#REF!</v>
      </c>
      <c r="YN28" s="234" t="e">
        <f>astrogrep_path&amp;" /e /r /s /spath="&amp;search_path&amp;" /stypes=""app*"&amp;XJ28&amp;"*"&amp;TEXT(XQ28-utc_offset/24,"YYYYMMDD")&amp;"*"" /stext="" "&amp;TEXT(XQ28-utc_offset/24,"HH")&amp;search_regexp&amp;""""</f>
        <v>#REF!</v>
      </c>
      <c r="YO28" s="234" t="e">
        <f>astrogrep_path&amp;" /e /r /s /spath="&amp;search_path&amp;" /stypes=""app*"&amp;XK28&amp;"*"&amp;TEXT(XR28-utc_offset/24,"YYYYMMDD")&amp;"*"" /stext="" "&amp;TEXT(XR28-utc_offset/24,"HH")&amp;search_regexp&amp;""""</f>
        <v>#VALUE!</v>
      </c>
      <c r="YP28" s="234" t="e">
        <f>astrogrep_path&amp;" /e /r /s /spath="&amp;search_path&amp;" /stypes=""app*"&amp;XL28&amp;"*"&amp;TEXT(XS28-utc_offset/24,"YYYYMMDD")&amp;"*"" /stext="" "&amp;TEXT(XS28-utc_offset/24,"HH")&amp;search_regexp&amp;""""</f>
        <v>#VALUE!</v>
      </c>
      <c r="YQ28" s="234" t="e">
        <f>astrogrep_path&amp;" /e /r /s /spath="&amp;search_path&amp;" /stypes=""app*"&amp;XM28&amp;"*"&amp;TEXT(XT28-utc_offset/24,"YYYYMMDD")&amp;"*"" /stext="" "&amp;TEXT(XT28-utc_offset/24,"HH")&amp;search_regexp&amp;""""</f>
        <v>#VALUE!</v>
      </c>
      <c r="YR28" s="234" t="e">
        <f>astrogrep_path&amp;" /e /r /s /spath="&amp;search_path&amp;" /stypes=""app*"&amp;XN28&amp;"*"&amp;TEXT(XU28-utc_offset/24,"YYYYMMDD")&amp;"*"" /stext="" "&amp;TEXT(XU28-utc_offset/24,"HH")&amp;search_regexp&amp;""""</f>
        <v>#VALUE!</v>
      </c>
      <c r="YS28" s="234" t="e">
        <f>astrogrep_path&amp;" /e /r /s /spath="&amp;search_path&amp;" /stypes=""app*"&amp;XO28&amp;"*"&amp;TEXT(XV28-utc_offset/24,"YYYYMMDD")&amp;"*"" /stext="" "&amp;TEXT(XV28-utc_offset/24,"HH")&amp;search_regexp&amp;""""</f>
        <v>#VALUE!</v>
      </c>
      <c r="YT28" s="234" t="e">
        <f>astrogrep_path&amp;" /e /r /s /spath="&amp;search_path&amp;" /stypes=""app*"&amp;XP28&amp;"*"&amp;TEXT(XW28-utc_offset/24,"YYYYMMDD")&amp;"*"" /stext="" "&amp;TEXT(XW28-utc_offset/24,"HH")&amp;search_regexp&amp;""""</f>
        <v>#REF!</v>
      </c>
      <c r="YU28" s="234" t="e">
        <f>astrogrep_path&amp;" /e /r /s /spath="&amp;search_path&amp;" /stypes=""app*"&amp;XQ28&amp;"*"&amp;TEXT(XX28-utc_offset/24,"YYYYMMDD")&amp;"*"" /stext="" "&amp;TEXT(XX28-utc_offset/24,"HH")&amp;search_regexp&amp;""""</f>
        <v>#REF!</v>
      </c>
      <c r="YV28" s="234" t="e">
        <f>astrogrep_path&amp;" /e /r /s /spath="&amp;search_path&amp;" /stypes=""app*"&amp;XR28&amp;"*"&amp;TEXT(XY28-utc_offset/24,"YYYYMMDD")&amp;"*"" /stext="" "&amp;TEXT(XY28-utc_offset/24,"HH")&amp;search_regexp&amp;""""</f>
        <v>#REF!</v>
      </c>
      <c r="YW28" s="234" t="e">
        <f>astrogrep_path&amp;" /e /r /s /spath="&amp;search_path&amp;" /stypes=""app*"&amp;XS28&amp;"*"&amp;TEXT(XZ28-utc_offset/24,"YYYYMMDD")&amp;"*"" /stext="" "&amp;TEXT(XZ28-utc_offset/24,"HH")&amp;search_regexp&amp;""""</f>
        <v>#REF!</v>
      </c>
      <c r="YX28" s="234" t="e">
        <f>astrogrep_path&amp;" /e /r /s /spath="&amp;search_path&amp;" /stypes=""app*"&amp;XT28&amp;"*"&amp;TEXT(YA28-utc_offset/24,"YYYYMMDD")&amp;"*"" /stext="" "&amp;TEXT(YA28-utc_offset/24,"HH")&amp;search_regexp&amp;""""</f>
        <v>#REF!</v>
      </c>
      <c r="YY28" s="234" t="e">
        <f>astrogrep_path&amp;" /e /r /s /spath="&amp;search_path&amp;" /stypes=""app*"&amp;XU28&amp;"*"&amp;TEXT(YB28-utc_offset/24,"YYYYMMDD")&amp;"*"" /stext="" "&amp;TEXT(YB28-utc_offset/24,"HH")&amp;search_regexp&amp;""""</f>
        <v>#REF!</v>
      </c>
      <c r="YZ28" s="234" t="e">
        <f>astrogrep_path&amp;" /e /r /s /spath="&amp;search_path&amp;" /stypes=""app*"&amp;XV28&amp;"*"&amp;TEXT(YC28-utc_offset/24,"YYYYMMDD")&amp;"*"" /stext="" "&amp;TEXT(YC28-utc_offset/24,"HH")&amp;search_regexp&amp;""""</f>
        <v>#REF!</v>
      </c>
      <c r="ZA28" s="234" t="e">
        <f>astrogrep_path&amp;" /e /r /s /spath="&amp;search_path&amp;" /stypes=""app*"&amp;XW28&amp;"*"&amp;TEXT(YD28-utc_offset/24,"YYYYMMDD")&amp;"*"" /stext="" "&amp;TEXT(YD28-utc_offset/24,"HH")&amp;search_regexp&amp;""""</f>
        <v>#REF!</v>
      </c>
      <c r="ZB28" s="234" t="e">
        <f>astrogrep_path&amp;" /e /r /s /spath="&amp;search_path&amp;" /stypes=""app*"&amp;XX28&amp;"*"&amp;TEXT(YE28-utc_offset/24,"YYYYMMDD")&amp;"*"" /stext="" "&amp;TEXT(YE28-utc_offset/24,"HH")&amp;search_regexp&amp;""""</f>
        <v>#REF!</v>
      </c>
      <c r="ZC28" s="234" t="e">
        <f>astrogrep_path&amp;" /e /r /s /spath="&amp;search_path&amp;" /stypes=""app*"&amp;XY28&amp;"*"&amp;TEXT(YF28-utc_offset/24,"YYYYMMDD")&amp;"*"" /stext="" "&amp;TEXT(YF28-utc_offset/24,"HH")&amp;search_regexp&amp;""""</f>
        <v>#REF!</v>
      </c>
      <c r="ZD28" s="234" t="e">
        <f>astrogrep_path&amp;" /e /r /s /spath="&amp;search_path&amp;" /stypes=""app*"&amp;XZ28&amp;"*"&amp;TEXT(YG28-utc_offset/24,"YYYYMMDD")&amp;"*"" /stext="" "&amp;TEXT(YG28-utc_offset/24,"HH")&amp;search_regexp&amp;""""</f>
        <v>#REF!</v>
      </c>
      <c r="ZE28" s="234" t="e">
        <f>astrogrep_path&amp;" /e /r /s /spath="&amp;search_path&amp;" /stypes=""app*"&amp;YA28&amp;"*"&amp;TEXT(YH28-utc_offset/24,"YYYYMMDD")&amp;"*"" /stext="" "&amp;TEXT(YH28-utc_offset/24,"HH")&amp;search_regexp&amp;""""</f>
        <v>#REF!</v>
      </c>
      <c r="ZF28" s="234" t="e">
        <f>astrogrep_path&amp;" /e /r /s /spath="&amp;search_path&amp;" /stypes=""app*"&amp;YB28&amp;"*"&amp;TEXT(YI28-utc_offset/24,"YYYYMMDD")&amp;"*"" /stext="" "&amp;TEXT(YI28-utc_offset/24,"HH")&amp;search_regexp&amp;""""</f>
        <v>#REF!</v>
      </c>
      <c r="ZG28" s="234" t="e">
        <f>astrogrep_path&amp;" /e /r /s /spath="&amp;search_path&amp;" /stypes=""app*"&amp;YC28&amp;"*"&amp;TEXT(YJ28-utc_offset/24,"YYYYMMDD")&amp;"*"" /stext="" "&amp;TEXT(YJ28-utc_offset/24,"HH")&amp;search_regexp&amp;""""</f>
        <v>#REF!</v>
      </c>
      <c r="ZH28" s="234" t="e">
        <f>astrogrep_path&amp;" /e /r /s /spath="&amp;search_path&amp;" /stypes=""app*"&amp;YD28&amp;"*"&amp;TEXT(YK28-utc_offset/24,"YYYYMMDD")&amp;"*"" /stext="" "&amp;TEXT(YK28-utc_offset/24,"HH")&amp;search_regexp&amp;""""</f>
        <v>#REF!</v>
      </c>
      <c r="ZI28" s="234" t="e">
        <f>astrogrep_path&amp;" /e /r /s /spath="&amp;search_path&amp;" /stypes=""app*"&amp;YE28&amp;"*"&amp;TEXT(YL28-utc_offset/24,"YYYYMMDD")&amp;"*"" /stext="" "&amp;TEXT(YL28-utc_offset/24,"HH")&amp;search_regexp&amp;""""</f>
        <v>#REF!</v>
      </c>
      <c r="ZJ28" s="234" t="e">
        <f>astrogrep_path&amp;" /e /r /s /spath="&amp;search_path&amp;" /stypes=""app*"&amp;YF28&amp;"*"&amp;TEXT(YM28-utc_offset/24,"YYYYMMDD")&amp;"*"" /stext="" "&amp;TEXT(YM28-utc_offset/24,"HH")&amp;search_regexp&amp;""""</f>
        <v>#REF!</v>
      </c>
      <c r="ZK28" s="234" t="e">
        <f>astrogrep_path&amp;" /e /r /s /spath="&amp;search_path&amp;" /stypes=""app*"&amp;YG28&amp;"*"&amp;TEXT(YN28-utc_offset/24,"YYYYMMDD")&amp;"*"" /stext="" "&amp;TEXT(YN28-utc_offset/24,"HH")&amp;search_regexp&amp;""""</f>
        <v>#REF!</v>
      </c>
      <c r="ZL28" s="234" t="e">
        <f>astrogrep_path&amp;" /e /r /s /spath="&amp;search_path&amp;" /stypes=""app*"&amp;YH28&amp;"*"&amp;TEXT(YO28-utc_offset/24,"YYYYMMDD")&amp;"*"" /stext="" "&amp;TEXT(YO28-utc_offset/24,"HH")&amp;search_regexp&amp;""""</f>
        <v>#REF!</v>
      </c>
      <c r="ZM28" s="234" t="e">
        <f>astrogrep_path&amp;" /e /r /s /spath="&amp;search_path&amp;" /stypes=""app*"&amp;YI28&amp;"*"&amp;TEXT(YP28-utc_offset/24,"YYYYMMDD")&amp;"*"" /stext="" "&amp;TEXT(YP28-utc_offset/24,"HH")&amp;search_regexp&amp;""""</f>
        <v>#REF!</v>
      </c>
      <c r="ZN28" s="234" t="e">
        <f>astrogrep_path&amp;" /e /r /s /spath="&amp;search_path&amp;" /stypes=""app*"&amp;YJ28&amp;"*"&amp;TEXT(YQ28-utc_offset/24,"YYYYMMDD")&amp;"*"" /stext="" "&amp;TEXT(YQ28-utc_offset/24,"HH")&amp;search_regexp&amp;""""</f>
        <v>#REF!</v>
      </c>
      <c r="ZO28" s="234" t="e">
        <f>astrogrep_path&amp;" /e /r /s /spath="&amp;search_path&amp;" /stypes=""app*"&amp;YK28&amp;"*"&amp;TEXT(YR28-utc_offset/24,"YYYYMMDD")&amp;"*"" /stext="" "&amp;TEXT(YR28-utc_offset/24,"HH")&amp;search_regexp&amp;""""</f>
        <v>#VALUE!</v>
      </c>
      <c r="ZP28" s="234" t="e">
        <f>astrogrep_path&amp;" /e /r /s /spath="&amp;search_path&amp;" /stypes=""app*"&amp;YL28&amp;"*"&amp;TEXT(YS28-utc_offset/24,"YYYYMMDD")&amp;"*"" /stext="" "&amp;TEXT(YS28-utc_offset/24,"HH")&amp;search_regexp&amp;""""</f>
        <v>#VALUE!</v>
      </c>
      <c r="ZQ28" s="234" t="e">
        <f>astrogrep_path&amp;" /e /r /s /spath="&amp;search_path&amp;" /stypes=""app*"&amp;YM28&amp;"*"&amp;TEXT(YT28-utc_offset/24,"YYYYMMDD")&amp;"*"" /stext="" "&amp;TEXT(YT28-utc_offset/24,"HH")&amp;search_regexp&amp;""""</f>
        <v>#REF!</v>
      </c>
      <c r="ZR28" s="234" t="e">
        <f>astrogrep_path&amp;" /e /r /s /spath="&amp;search_path&amp;" /stypes=""app*"&amp;YN28&amp;"*"&amp;TEXT(YU28-utc_offset/24,"YYYYMMDD")&amp;"*"" /stext="" "&amp;TEXT(YU28-utc_offset/24,"HH")&amp;search_regexp&amp;""""</f>
        <v>#REF!</v>
      </c>
      <c r="ZS28" s="234" t="e">
        <f>astrogrep_path&amp;" /e /r /s /spath="&amp;search_path&amp;" /stypes=""app*"&amp;YO28&amp;"*"&amp;TEXT(YV28-utc_offset/24,"YYYYMMDD")&amp;"*"" /stext="" "&amp;TEXT(YV28-utc_offset/24,"HH")&amp;search_regexp&amp;""""</f>
        <v>#VALUE!</v>
      </c>
      <c r="ZT28" s="234" t="e">
        <f>astrogrep_path&amp;" /e /r /s /spath="&amp;search_path&amp;" /stypes=""app*"&amp;YP28&amp;"*"&amp;TEXT(YW28-utc_offset/24,"YYYYMMDD")&amp;"*"" /stext="" "&amp;TEXT(YW28-utc_offset/24,"HH")&amp;search_regexp&amp;""""</f>
        <v>#VALUE!</v>
      </c>
      <c r="ZU28" s="234" t="e">
        <f>astrogrep_path&amp;" /e /r /s /spath="&amp;search_path&amp;" /stypes=""app*"&amp;YQ28&amp;"*"&amp;TEXT(YX28-utc_offset/24,"YYYYMMDD")&amp;"*"" /stext="" "&amp;TEXT(YX28-utc_offset/24,"HH")&amp;search_regexp&amp;""""</f>
        <v>#VALUE!</v>
      </c>
      <c r="ZV28" s="234" t="e">
        <f>astrogrep_path&amp;" /e /r /s /spath="&amp;search_path&amp;" /stypes=""app*"&amp;YR28&amp;"*"&amp;TEXT(YY28-utc_offset/24,"YYYYMMDD")&amp;"*"" /stext="" "&amp;TEXT(YY28-utc_offset/24,"HH")&amp;search_regexp&amp;""""</f>
        <v>#VALUE!</v>
      </c>
      <c r="ZW28" s="234" t="e">
        <f>astrogrep_path&amp;" /e /r /s /spath="&amp;search_path&amp;" /stypes=""app*"&amp;YS28&amp;"*"&amp;TEXT(YZ28-utc_offset/24,"YYYYMMDD")&amp;"*"" /stext="" "&amp;TEXT(YZ28-utc_offset/24,"HH")&amp;search_regexp&amp;""""</f>
        <v>#VALUE!</v>
      </c>
      <c r="ZX28" s="234" t="e">
        <f>astrogrep_path&amp;" /e /r /s /spath="&amp;search_path&amp;" /stypes=""app*"&amp;YT28&amp;"*"&amp;TEXT(ZA28-utc_offset/24,"YYYYMMDD")&amp;"*"" /stext="" "&amp;TEXT(ZA28-utc_offset/24,"HH")&amp;search_regexp&amp;""""</f>
        <v>#REF!</v>
      </c>
      <c r="ZY28" s="234" t="e">
        <f>astrogrep_path&amp;" /e /r /s /spath="&amp;search_path&amp;" /stypes=""app*"&amp;YU28&amp;"*"&amp;TEXT(ZB28-utc_offset/24,"YYYYMMDD")&amp;"*"" /stext="" "&amp;TEXT(ZB28-utc_offset/24,"HH")&amp;search_regexp&amp;""""</f>
        <v>#REF!</v>
      </c>
      <c r="ZZ28" s="234" t="e">
        <f>astrogrep_path&amp;" /e /r /s /spath="&amp;search_path&amp;" /stypes=""app*"&amp;YV28&amp;"*"&amp;TEXT(ZC28-utc_offset/24,"YYYYMMDD")&amp;"*"" /stext="" "&amp;TEXT(ZC28-utc_offset/24,"HH")&amp;search_regexp&amp;""""</f>
        <v>#REF!</v>
      </c>
      <c r="AAA28" s="234" t="e">
        <f>astrogrep_path&amp;" /e /r /s /spath="&amp;search_path&amp;" /stypes=""app*"&amp;YW28&amp;"*"&amp;TEXT(ZD28-utc_offset/24,"YYYYMMDD")&amp;"*"" /stext="" "&amp;TEXT(ZD28-utc_offset/24,"HH")&amp;search_regexp&amp;""""</f>
        <v>#REF!</v>
      </c>
      <c r="AAB28" s="234" t="e">
        <f>astrogrep_path&amp;" /e /r /s /spath="&amp;search_path&amp;" /stypes=""app*"&amp;YX28&amp;"*"&amp;TEXT(ZE28-utc_offset/24,"YYYYMMDD")&amp;"*"" /stext="" "&amp;TEXT(ZE28-utc_offset/24,"HH")&amp;search_regexp&amp;""""</f>
        <v>#REF!</v>
      </c>
      <c r="AAC28" s="234" t="e">
        <f>astrogrep_path&amp;" /e /r /s /spath="&amp;search_path&amp;" /stypes=""app*"&amp;YY28&amp;"*"&amp;TEXT(ZF28-utc_offset/24,"YYYYMMDD")&amp;"*"" /stext="" "&amp;TEXT(ZF28-utc_offset/24,"HH")&amp;search_regexp&amp;""""</f>
        <v>#REF!</v>
      </c>
      <c r="AAD28" s="234" t="e">
        <f>astrogrep_path&amp;" /e /r /s /spath="&amp;search_path&amp;" /stypes=""app*"&amp;YZ28&amp;"*"&amp;TEXT(ZG28-utc_offset/24,"YYYYMMDD")&amp;"*"" /stext="" "&amp;TEXT(ZG28-utc_offset/24,"HH")&amp;search_regexp&amp;""""</f>
        <v>#REF!</v>
      </c>
      <c r="AAE28" s="234" t="e">
        <f>astrogrep_path&amp;" /e /r /s /spath="&amp;search_path&amp;" /stypes=""app*"&amp;ZA28&amp;"*"&amp;TEXT(ZH28-utc_offset/24,"YYYYMMDD")&amp;"*"" /stext="" "&amp;TEXT(ZH28-utc_offset/24,"HH")&amp;search_regexp&amp;""""</f>
        <v>#REF!</v>
      </c>
      <c r="AAF28" s="234" t="e">
        <f>astrogrep_path&amp;" /e /r /s /spath="&amp;search_path&amp;" /stypes=""app*"&amp;ZB28&amp;"*"&amp;TEXT(ZI28-utc_offset/24,"YYYYMMDD")&amp;"*"" /stext="" "&amp;TEXT(ZI28-utc_offset/24,"HH")&amp;search_regexp&amp;""""</f>
        <v>#REF!</v>
      </c>
      <c r="AAG28" s="234" t="e">
        <f>astrogrep_path&amp;" /e /r /s /spath="&amp;search_path&amp;" /stypes=""app*"&amp;ZC28&amp;"*"&amp;TEXT(ZJ28-utc_offset/24,"YYYYMMDD")&amp;"*"" /stext="" "&amp;TEXT(ZJ28-utc_offset/24,"HH")&amp;search_regexp&amp;""""</f>
        <v>#REF!</v>
      </c>
      <c r="AAH28" s="234" t="e">
        <f>astrogrep_path&amp;" /e /r /s /spath="&amp;search_path&amp;" /stypes=""app*"&amp;ZD28&amp;"*"&amp;TEXT(ZK28-utc_offset/24,"YYYYMMDD")&amp;"*"" /stext="" "&amp;TEXT(ZK28-utc_offset/24,"HH")&amp;search_regexp&amp;""""</f>
        <v>#REF!</v>
      </c>
      <c r="AAI28" s="234" t="e">
        <f>astrogrep_path&amp;" /e /r /s /spath="&amp;search_path&amp;" /stypes=""app*"&amp;ZE28&amp;"*"&amp;TEXT(ZL28-utc_offset/24,"YYYYMMDD")&amp;"*"" /stext="" "&amp;TEXT(ZL28-utc_offset/24,"HH")&amp;search_regexp&amp;""""</f>
        <v>#REF!</v>
      </c>
      <c r="AAJ28" s="234" t="e">
        <f>astrogrep_path&amp;" /e /r /s /spath="&amp;search_path&amp;" /stypes=""app*"&amp;ZF28&amp;"*"&amp;TEXT(ZM28-utc_offset/24,"YYYYMMDD")&amp;"*"" /stext="" "&amp;TEXT(ZM28-utc_offset/24,"HH")&amp;search_regexp&amp;""""</f>
        <v>#REF!</v>
      </c>
      <c r="AAK28" s="234" t="e">
        <f>astrogrep_path&amp;" /e /r /s /spath="&amp;search_path&amp;" /stypes=""app*"&amp;ZG28&amp;"*"&amp;TEXT(ZN28-utc_offset/24,"YYYYMMDD")&amp;"*"" /stext="" "&amp;TEXT(ZN28-utc_offset/24,"HH")&amp;search_regexp&amp;""""</f>
        <v>#REF!</v>
      </c>
      <c r="AAL28" s="234" t="e">
        <f>astrogrep_path&amp;" /e /r /s /spath="&amp;search_path&amp;" /stypes=""app*"&amp;ZH28&amp;"*"&amp;TEXT(ZO28-utc_offset/24,"YYYYMMDD")&amp;"*"" /stext="" "&amp;TEXT(ZO28-utc_offset/24,"HH")&amp;search_regexp&amp;""""</f>
        <v>#REF!</v>
      </c>
      <c r="AAM28" s="234" t="e">
        <f>astrogrep_path&amp;" /e /r /s /spath="&amp;search_path&amp;" /stypes=""app*"&amp;ZI28&amp;"*"&amp;TEXT(ZP28-utc_offset/24,"YYYYMMDD")&amp;"*"" /stext="" "&amp;TEXT(ZP28-utc_offset/24,"HH")&amp;search_regexp&amp;""""</f>
        <v>#REF!</v>
      </c>
      <c r="AAN28" s="234" t="e">
        <f>astrogrep_path&amp;" /e /r /s /spath="&amp;search_path&amp;" /stypes=""app*"&amp;ZJ28&amp;"*"&amp;TEXT(ZQ28-utc_offset/24,"YYYYMMDD")&amp;"*"" /stext="" "&amp;TEXT(ZQ28-utc_offset/24,"HH")&amp;search_regexp&amp;""""</f>
        <v>#REF!</v>
      </c>
      <c r="AAO28" s="234" t="e">
        <f>astrogrep_path&amp;" /e /r /s /spath="&amp;search_path&amp;" /stypes=""app*"&amp;ZK28&amp;"*"&amp;TEXT(ZR28-utc_offset/24,"YYYYMMDD")&amp;"*"" /stext="" "&amp;TEXT(ZR28-utc_offset/24,"HH")&amp;search_regexp&amp;""""</f>
        <v>#REF!</v>
      </c>
      <c r="AAP28" s="234" t="e">
        <f>astrogrep_path&amp;" /e /r /s /spath="&amp;search_path&amp;" /stypes=""app*"&amp;ZL28&amp;"*"&amp;TEXT(ZS28-utc_offset/24,"YYYYMMDD")&amp;"*"" /stext="" "&amp;TEXT(ZS28-utc_offset/24,"HH")&amp;search_regexp&amp;""""</f>
        <v>#REF!</v>
      </c>
      <c r="AAQ28" s="234" t="e">
        <f>astrogrep_path&amp;" /e /r /s /spath="&amp;search_path&amp;" /stypes=""app*"&amp;ZM28&amp;"*"&amp;TEXT(ZT28-utc_offset/24,"YYYYMMDD")&amp;"*"" /stext="" "&amp;TEXT(ZT28-utc_offset/24,"HH")&amp;search_regexp&amp;""""</f>
        <v>#REF!</v>
      </c>
      <c r="AAR28" s="234" t="e">
        <f>astrogrep_path&amp;" /e /r /s /spath="&amp;search_path&amp;" /stypes=""app*"&amp;ZN28&amp;"*"&amp;TEXT(ZU28-utc_offset/24,"YYYYMMDD")&amp;"*"" /stext="" "&amp;TEXT(ZU28-utc_offset/24,"HH")&amp;search_regexp&amp;""""</f>
        <v>#REF!</v>
      </c>
      <c r="AAS28" s="234" t="e">
        <f>astrogrep_path&amp;" /e /r /s /spath="&amp;search_path&amp;" /stypes=""app*"&amp;ZO28&amp;"*"&amp;TEXT(ZV28-utc_offset/24,"YYYYMMDD")&amp;"*"" /stext="" "&amp;TEXT(ZV28-utc_offset/24,"HH")&amp;search_regexp&amp;""""</f>
        <v>#VALUE!</v>
      </c>
      <c r="AAT28" s="234" t="e">
        <f>astrogrep_path&amp;" /e /r /s /spath="&amp;search_path&amp;" /stypes=""app*"&amp;ZP28&amp;"*"&amp;TEXT(ZW28-utc_offset/24,"YYYYMMDD")&amp;"*"" /stext="" "&amp;TEXT(ZW28-utc_offset/24,"HH")&amp;search_regexp&amp;""""</f>
        <v>#VALUE!</v>
      </c>
      <c r="AAU28" s="234" t="e">
        <f>astrogrep_path&amp;" /e /r /s /spath="&amp;search_path&amp;" /stypes=""app*"&amp;ZQ28&amp;"*"&amp;TEXT(ZX28-utc_offset/24,"YYYYMMDD")&amp;"*"" /stext="" "&amp;TEXT(ZX28-utc_offset/24,"HH")&amp;search_regexp&amp;""""</f>
        <v>#REF!</v>
      </c>
      <c r="AAV28" s="234" t="e">
        <f>astrogrep_path&amp;" /e /r /s /spath="&amp;search_path&amp;" /stypes=""app*"&amp;ZR28&amp;"*"&amp;TEXT(ZY28-utc_offset/24,"YYYYMMDD")&amp;"*"" /stext="" "&amp;TEXT(ZY28-utc_offset/24,"HH")&amp;search_regexp&amp;""""</f>
        <v>#REF!</v>
      </c>
      <c r="AAW28" s="234" t="e">
        <f>astrogrep_path&amp;" /e /r /s /spath="&amp;search_path&amp;" /stypes=""app*"&amp;ZS28&amp;"*"&amp;TEXT(ZZ28-utc_offset/24,"YYYYMMDD")&amp;"*"" /stext="" "&amp;TEXT(ZZ28-utc_offset/24,"HH")&amp;search_regexp&amp;""""</f>
        <v>#VALUE!</v>
      </c>
      <c r="AAX28" s="234" t="e">
        <f>astrogrep_path&amp;" /e /r /s /spath="&amp;search_path&amp;" /stypes=""app*"&amp;ZT28&amp;"*"&amp;TEXT(AAA28-utc_offset/24,"YYYYMMDD")&amp;"*"" /stext="" "&amp;TEXT(AAA28-utc_offset/24,"HH")&amp;search_regexp&amp;""""</f>
        <v>#VALUE!</v>
      </c>
      <c r="AAY28" s="234" t="e">
        <f>astrogrep_path&amp;" /e /r /s /spath="&amp;search_path&amp;" /stypes=""app*"&amp;ZU28&amp;"*"&amp;TEXT(AAB28-utc_offset/24,"YYYYMMDD")&amp;"*"" /stext="" "&amp;TEXT(AAB28-utc_offset/24,"HH")&amp;search_regexp&amp;""""</f>
        <v>#VALUE!</v>
      </c>
      <c r="AAZ28" s="234" t="e">
        <f>astrogrep_path&amp;" /e /r /s /spath="&amp;search_path&amp;" /stypes=""app*"&amp;ZV28&amp;"*"&amp;TEXT(AAC28-utc_offset/24,"YYYYMMDD")&amp;"*"" /stext="" "&amp;TEXT(AAC28-utc_offset/24,"HH")&amp;search_regexp&amp;""""</f>
        <v>#VALUE!</v>
      </c>
      <c r="ABA28" s="234" t="e">
        <f>astrogrep_path&amp;" /e /r /s /spath="&amp;search_path&amp;" /stypes=""app*"&amp;ZW28&amp;"*"&amp;TEXT(AAD28-utc_offset/24,"YYYYMMDD")&amp;"*"" /stext="" "&amp;TEXT(AAD28-utc_offset/24,"HH")&amp;search_regexp&amp;""""</f>
        <v>#VALUE!</v>
      </c>
      <c r="ABB28" s="234" t="e">
        <f>astrogrep_path&amp;" /e /r /s /spath="&amp;search_path&amp;" /stypes=""app*"&amp;ZX28&amp;"*"&amp;TEXT(AAE28-utc_offset/24,"YYYYMMDD")&amp;"*"" /stext="" "&amp;TEXT(AAE28-utc_offset/24,"HH")&amp;search_regexp&amp;""""</f>
        <v>#REF!</v>
      </c>
      <c r="ABC28" s="234" t="e">
        <f>astrogrep_path&amp;" /e /r /s /spath="&amp;search_path&amp;" /stypes=""app*"&amp;ZY28&amp;"*"&amp;TEXT(AAF28-utc_offset/24,"YYYYMMDD")&amp;"*"" /stext="" "&amp;TEXT(AAF28-utc_offset/24,"HH")&amp;search_regexp&amp;""""</f>
        <v>#REF!</v>
      </c>
      <c r="ABD28" s="234" t="e">
        <f>astrogrep_path&amp;" /e /r /s /spath="&amp;search_path&amp;" /stypes=""app*"&amp;ZZ28&amp;"*"&amp;TEXT(AAG28-utc_offset/24,"YYYYMMDD")&amp;"*"" /stext="" "&amp;TEXT(AAG28-utc_offset/24,"HH")&amp;search_regexp&amp;""""</f>
        <v>#REF!</v>
      </c>
      <c r="ABE28" s="234" t="e">
        <f>astrogrep_path&amp;" /e /r /s /spath="&amp;search_path&amp;" /stypes=""app*"&amp;AAA28&amp;"*"&amp;TEXT(AAH28-utc_offset/24,"YYYYMMDD")&amp;"*"" /stext="" "&amp;TEXT(AAH28-utc_offset/24,"HH")&amp;search_regexp&amp;""""</f>
        <v>#REF!</v>
      </c>
      <c r="ABF28" s="234" t="e">
        <f>astrogrep_path&amp;" /e /r /s /spath="&amp;search_path&amp;" /stypes=""app*"&amp;AAB28&amp;"*"&amp;TEXT(AAI28-utc_offset/24,"YYYYMMDD")&amp;"*"" /stext="" "&amp;TEXT(AAI28-utc_offset/24,"HH")&amp;search_regexp&amp;""""</f>
        <v>#REF!</v>
      </c>
      <c r="ABG28" s="234" t="e">
        <f>astrogrep_path&amp;" /e /r /s /spath="&amp;search_path&amp;" /stypes=""app*"&amp;AAC28&amp;"*"&amp;TEXT(AAJ28-utc_offset/24,"YYYYMMDD")&amp;"*"" /stext="" "&amp;TEXT(AAJ28-utc_offset/24,"HH")&amp;search_regexp&amp;""""</f>
        <v>#REF!</v>
      </c>
      <c r="ABH28" s="234" t="e">
        <f>astrogrep_path&amp;" /e /r /s /spath="&amp;search_path&amp;" /stypes=""app*"&amp;AAD28&amp;"*"&amp;TEXT(AAK28-utc_offset/24,"YYYYMMDD")&amp;"*"" /stext="" "&amp;TEXT(AAK28-utc_offset/24,"HH")&amp;search_regexp&amp;""""</f>
        <v>#REF!</v>
      </c>
      <c r="ABI28" s="234" t="e">
        <f>astrogrep_path&amp;" /e /r /s /spath="&amp;search_path&amp;" /stypes=""app*"&amp;AAE28&amp;"*"&amp;TEXT(AAL28-utc_offset/24,"YYYYMMDD")&amp;"*"" /stext="" "&amp;TEXT(AAL28-utc_offset/24,"HH")&amp;search_regexp&amp;""""</f>
        <v>#REF!</v>
      </c>
      <c r="ABJ28" s="234" t="e">
        <f>astrogrep_path&amp;" /e /r /s /spath="&amp;search_path&amp;" /stypes=""app*"&amp;AAF28&amp;"*"&amp;TEXT(AAM28-utc_offset/24,"YYYYMMDD")&amp;"*"" /stext="" "&amp;TEXT(AAM28-utc_offset/24,"HH")&amp;search_regexp&amp;""""</f>
        <v>#REF!</v>
      </c>
      <c r="ABK28" s="234" t="e">
        <f>astrogrep_path&amp;" /e /r /s /spath="&amp;search_path&amp;" /stypes=""app*"&amp;AAG28&amp;"*"&amp;TEXT(AAN28-utc_offset/24,"YYYYMMDD")&amp;"*"" /stext="" "&amp;TEXT(AAN28-utc_offset/24,"HH")&amp;search_regexp&amp;""""</f>
        <v>#REF!</v>
      </c>
      <c r="ABL28" s="234" t="e">
        <f>astrogrep_path&amp;" /e /r /s /spath="&amp;search_path&amp;" /stypes=""app*"&amp;AAH28&amp;"*"&amp;TEXT(AAO28-utc_offset/24,"YYYYMMDD")&amp;"*"" /stext="" "&amp;TEXT(AAO28-utc_offset/24,"HH")&amp;search_regexp&amp;""""</f>
        <v>#REF!</v>
      </c>
      <c r="ABM28" s="234" t="e">
        <f>astrogrep_path&amp;" /e /r /s /spath="&amp;search_path&amp;" /stypes=""app*"&amp;AAI28&amp;"*"&amp;TEXT(AAP28-utc_offset/24,"YYYYMMDD")&amp;"*"" /stext="" "&amp;TEXT(AAP28-utc_offset/24,"HH")&amp;search_regexp&amp;""""</f>
        <v>#REF!</v>
      </c>
      <c r="ABN28" s="234" t="e">
        <f>astrogrep_path&amp;" /e /r /s /spath="&amp;search_path&amp;" /stypes=""app*"&amp;AAJ28&amp;"*"&amp;TEXT(AAQ28-utc_offset/24,"YYYYMMDD")&amp;"*"" /stext="" "&amp;TEXT(AAQ28-utc_offset/24,"HH")&amp;search_regexp&amp;""""</f>
        <v>#REF!</v>
      </c>
      <c r="ABO28" s="234" t="e">
        <f>astrogrep_path&amp;" /e /r /s /spath="&amp;search_path&amp;" /stypes=""app*"&amp;AAK28&amp;"*"&amp;TEXT(AAR28-utc_offset/24,"YYYYMMDD")&amp;"*"" /stext="" "&amp;TEXT(AAR28-utc_offset/24,"HH")&amp;search_regexp&amp;""""</f>
        <v>#REF!</v>
      </c>
      <c r="ABP28" s="234" t="e">
        <f>astrogrep_path&amp;" /e /r /s /spath="&amp;search_path&amp;" /stypes=""app*"&amp;AAL28&amp;"*"&amp;TEXT(AAS28-utc_offset/24,"YYYYMMDD")&amp;"*"" /stext="" "&amp;TEXT(AAS28-utc_offset/24,"HH")&amp;search_regexp&amp;""""</f>
        <v>#REF!</v>
      </c>
      <c r="ABQ28" s="234" t="e">
        <f>astrogrep_path&amp;" /e /r /s /spath="&amp;search_path&amp;" /stypes=""app*"&amp;AAM28&amp;"*"&amp;TEXT(AAT28-utc_offset/24,"YYYYMMDD")&amp;"*"" /stext="" "&amp;TEXT(AAT28-utc_offset/24,"HH")&amp;search_regexp&amp;""""</f>
        <v>#REF!</v>
      </c>
      <c r="ABR28" s="234" t="e">
        <f>astrogrep_path&amp;" /e /r /s /spath="&amp;search_path&amp;" /stypes=""app*"&amp;AAN28&amp;"*"&amp;TEXT(AAU28-utc_offset/24,"YYYYMMDD")&amp;"*"" /stext="" "&amp;TEXT(AAU28-utc_offset/24,"HH")&amp;search_regexp&amp;""""</f>
        <v>#REF!</v>
      </c>
      <c r="ABS28" s="234" t="e">
        <f>astrogrep_path&amp;" /e /r /s /spath="&amp;search_path&amp;" /stypes=""app*"&amp;AAO28&amp;"*"&amp;TEXT(AAV28-utc_offset/24,"YYYYMMDD")&amp;"*"" /stext="" "&amp;TEXT(AAV28-utc_offset/24,"HH")&amp;search_regexp&amp;""""</f>
        <v>#REF!</v>
      </c>
      <c r="ABT28" s="234" t="e">
        <f>astrogrep_path&amp;" /e /r /s /spath="&amp;search_path&amp;" /stypes=""app*"&amp;AAP28&amp;"*"&amp;TEXT(AAW28-utc_offset/24,"YYYYMMDD")&amp;"*"" /stext="" "&amp;TEXT(AAW28-utc_offset/24,"HH")&amp;search_regexp&amp;""""</f>
        <v>#REF!</v>
      </c>
      <c r="ABU28" s="234" t="e">
        <f>astrogrep_path&amp;" /e /r /s /spath="&amp;search_path&amp;" /stypes=""app*"&amp;AAQ28&amp;"*"&amp;TEXT(AAX28-utc_offset/24,"YYYYMMDD")&amp;"*"" /stext="" "&amp;TEXT(AAX28-utc_offset/24,"HH")&amp;search_regexp&amp;""""</f>
        <v>#REF!</v>
      </c>
      <c r="ABV28" s="234" t="e">
        <f>astrogrep_path&amp;" /e /r /s /spath="&amp;search_path&amp;" /stypes=""app*"&amp;AAR28&amp;"*"&amp;TEXT(AAY28-utc_offset/24,"YYYYMMDD")&amp;"*"" /stext="" "&amp;TEXT(AAY28-utc_offset/24,"HH")&amp;search_regexp&amp;""""</f>
        <v>#REF!</v>
      </c>
      <c r="ABW28" s="234" t="e">
        <f>astrogrep_path&amp;" /e /r /s /spath="&amp;search_path&amp;" /stypes=""app*"&amp;AAS28&amp;"*"&amp;TEXT(AAZ28-utc_offset/24,"YYYYMMDD")&amp;"*"" /stext="" "&amp;TEXT(AAZ28-utc_offset/24,"HH")&amp;search_regexp&amp;""""</f>
        <v>#VALUE!</v>
      </c>
      <c r="ABX28" s="234" t="e">
        <f>astrogrep_path&amp;" /e /r /s /spath="&amp;search_path&amp;" /stypes=""app*"&amp;AAT28&amp;"*"&amp;TEXT(ABA28-utc_offset/24,"YYYYMMDD")&amp;"*"" /stext="" "&amp;TEXT(ABA28-utc_offset/24,"HH")&amp;search_regexp&amp;""""</f>
        <v>#VALUE!</v>
      </c>
      <c r="ABY28" s="234" t="e">
        <f>astrogrep_path&amp;" /e /r /s /spath="&amp;search_path&amp;" /stypes=""app*"&amp;AAU28&amp;"*"&amp;TEXT(ABB28-utc_offset/24,"YYYYMMDD")&amp;"*"" /stext="" "&amp;TEXT(ABB28-utc_offset/24,"HH")&amp;search_regexp&amp;""""</f>
        <v>#REF!</v>
      </c>
      <c r="ABZ28" s="234" t="e">
        <f>astrogrep_path&amp;" /e /r /s /spath="&amp;search_path&amp;" /stypes=""app*"&amp;AAV28&amp;"*"&amp;TEXT(ABC28-utc_offset/24,"YYYYMMDD")&amp;"*"" /stext="" "&amp;TEXT(ABC28-utc_offset/24,"HH")&amp;search_regexp&amp;""""</f>
        <v>#REF!</v>
      </c>
      <c r="ACA28" s="234" t="e">
        <f>astrogrep_path&amp;" /e /r /s /spath="&amp;search_path&amp;" /stypes=""app*"&amp;AAW28&amp;"*"&amp;TEXT(ABD28-utc_offset/24,"YYYYMMDD")&amp;"*"" /stext="" "&amp;TEXT(ABD28-utc_offset/24,"HH")&amp;search_regexp&amp;""""</f>
        <v>#VALUE!</v>
      </c>
      <c r="ACB28" s="234" t="e">
        <f>astrogrep_path&amp;" /e /r /s /spath="&amp;search_path&amp;" /stypes=""app*"&amp;AAX28&amp;"*"&amp;TEXT(ABE28-utc_offset/24,"YYYYMMDD")&amp;"*"" /stext="" "&amp;TEXT(ABE28-utc_offset/24,"HH")&amp;search_regexp&amp;""""</f>
        <v>#VALUE!</v>
      </c>
      <c r="ACC28" s="234" t="e">
        <f>astrogrep_path&amp;" /e /r /s /spath="&amp;search_path&amp;" /stypes=""app*"&amp;AAY28&amp;"*"&amp;TEXT(ABF28-utc_offset/24,"YYYYMMDD")&amp;"*"" /stext="" "&amp;TEXT(ABF28-utc_offset/24,"HH")&amp;search_regexp&amp;""""</f>
        <v>#VALUE!</v>
      </c>
      <c r="ACD28" s="234" t="e">
        <f>astrogrep_path&amp;" /e /r /s /spath="&amp;search_path&amp;" /stypes=""app*"&amp;AAZ28&amp;"*"&amp;TEXT(ABG28-utc_offset/24,"YYYYMMDD")&amp;"*"" /stext="" "&amp;TEXT(ABG28-utc_offset/24,"HH")&amp;search_regexp&amp;""""</f>
        <v>#VALUE!</v>
      </c>
      <c r="ACE28" s="234" t="e">
        <f>astrogrep_path&amp;" /e /r /s /spath="&amp;search_path&amp;" /stypes=""app*"&amp;ABA28&amp;"*"&amp;TEXT(ABH28-utc_offset/24,"YYYYMMDD")&amp;"*"" /stext="" "&amp;TEXT(ABH28-utc_offset/24,"HH")&amp;search_regexp&amp;""""</f>
        <v>#VALUE!</v>
      </c>
      <c r="ACF28" s="234" t="e">
        <f>astrogrep_path&amp;" /e /r /s /spath="&amp;search_path&amp;" /stypes=""app*"&amp;ABB28&amp;"*"&amp;TEXT(ABI28-utc_offset/24,"YYYYMMDD")&amp;"*"" /stext="" "&amp;TEXT(ABI28-utc_offset/24,"HH")&amp;search_regexp&amp;""""</f>
        <v>#REF!</v>
      </c>
      <c r="ACG28" s="234" t="e">
        <f>astrogrep_path&amp;" /e /r /s /spath="&amp;search_path&amp;" /stypes=""app*"&amp;ABC28&amp;"*"&amp;TEXT(ABJ28-utc_offset/24,"YYYYMMDD")&amp;"*"" /stext="" "&amp;TEXT(ABJ28-utc_offset/24,"HH")&amp;search_regexp&amp;""""</f>
        <v>#REF!</v>
      </c>
      <c r="ACH28" s="234" t="e">
        <f>astrogrep_path&amp;" /e /r /s /spath="&amp;search_path&amp;" /stypes=""app*"&amp;ABD28&amp;"*"&amp;TEXT(ABK28-utc_offset/24,"YYYYMMDD")&amp;"*"" /stext="" "&amp;TEXT(ABK28-utc_offset/24,"HH")&amp;search_regexp&amp;""""</f>
        <v>#REF!</v>
      </c>
      <c r="ACI28" s="234" t="e">
        <f>astrogrep_path&amp;" /e /r /s /spath="&amp;search_path&amp;" /stypes=""app*"&amp;ABE28&amp;"*"&amp;TEXT(ABL28-utc_offset/24,"YYYYMMDD")&amp;"*"" /stext="" "&amp;TEXT(ABL28-utc_offset/24,"HH")&amp;search_regexp&amp;""""</f>
        <v>#REF!</v>
      </c>
      <c r="ACJ28" s="234" t="e">
        <f>astrogrep_path&amp;" /e /r /s /spath="&amp;search_path&amp;" /stypes=""app*"&amp;ABF28&amp;"*"&amp;TEXT(ABM28-utc_offset/24,"YYYYMMDD")&amp;"*"" /stext="" "&amp;TEXT(ABM28-utc_offset/24,"HH")&amp;search_regexp&amp;""""</f>
        <v>#REF!</v>
      </c>
      <c r="ACK28" s="234" t="e">
        <f>astrogrep_path&amp;" /e /r /s /spath="&amp;search_path&amp;" /stypes=""app*"&amp;ABG28&amp;"*"&amp;TEXT(ABN28-utc_offset/24,"YYYYMMDD")&amp;"*"" /stext="" "&amp;TEXT(ABN28-utc_offset/24,"HH")&amp;search_regexp&amp;""""</f>
        <v>#REF!</v>
      </c>
      <c r="ACL28" s="234" t="e">
        <f>astrogrep_path&amp;" /e /r /s /spath="&amp;search_path&amp;" /stypes=""app*"&amp;ABH28&amp;"*"&amp;TEXT(ABO28-utc_offset/24,"YYYYMMDD")&amp;"*"" /stext="" "&amp;TEXT(ABO28-utc_offset/24,"HH")&amp;search_regexp&amp;""""</f>
        <v>#REF!</v>
      </c>
      <c r="ACM28" s="234" t="e">
        <f>astrogrep_path&amp;" /e /r /s /spath="&amp;search_path&amp;" /stypes=""app*"&amp;ABI28&amp;"*"&amp;TEXT(ABP28-utc_offset/24,"YYYYMMDD")&amp;"*"" /stext="" "&amp;TEXT(ABP28-utc_offset/24,"HH")&amp;search_regexp&amp;""""</f>
        <v>#REF!</v>
      </c>
      <c r="ACN28" s="234" t="e">
        <f>astrogrep_path&amp;" /e /r /s /spath="&amp;search_path&amp;" /stypes=""app*"&amp;ABJ28&amp;"*"&amp;TEXT(ABQ28-utc_offset/24,"YYYYMMDD")&amp;"*"" /stext="" "&amp;TEXT(ABQ28-utc_offset/24,"HH")&amp;search_regexp&amp;""""</f>
        <v>#REF!</v>
      </c>
      <c r="ACO28" s="234" t="e">
        <f>astrogrep_path&amp;" /e /r /s /spath="&amp;search_path&amp;" /stypes=""app*"&amp;ABK28&amp;"*"&amp;TEXT(ABR28-utc_offset/24,"YYYYMMDD")&amp;"*"" /stext="" "&amp;TEXT(ABR28-utc_offset/24,"HH")&amp;search_regexp&amp;""""</f>
        <v>#REF!</v>
      </c>
      <c r="ACP28" s="234" t="e">
        <f>astrogrep_path&amp;" /e /r /s /spath="&amp;search_path&amp;" /stypes=""app*"&amp;ABL28&amp;"*"&amp;TEXT(ABS28-utc_offset/24,"YYYYMMDD")&amp;"*"" /stext="" "&amp;TEXT(ABS28-utc_offset/24,"HH")&amp;search_regexp&amp;""""</f>
        <v>#REF!</v>
      </c>
      <c r="ACQ28" s="234" t="e">
        <f>astrogrep_path&amp;" /e /r /s /spath="&amp;search_path&amp;" /stypes=""app*"&amp;ABM28&amp;"*"&amp;TEXT(ABT28-utc_offset/24,"YYYYMMDD")&amp;"*"" /stext="" "&amp;TEXT(ABT28-utc_offset/24,"HH")&amp;search_regexp&amp;""""</f>
        <v>#REF!</v>
      </c>
      <c r="ACR28" s="234" t="e">
        <f>astrogrep_path&amp;" /e /r /s /spath="&amp;search_path&amp;" /stypes=""app*"&amp;ABN28&amp;"*"&amp;TEXT(ABU28-utc_offset/24,"YYYYMMDD")&amp;"*"" /stext="" "&amp;TEXT(ABU28-utc_offset/24,"HH")&amp;search_regexp&amp;""""</f>
        <v>#REF!</v>
      </c>
      <c r="ACS28" s="234" t="e">
        <f>astrogrep_path&amp;" /e /r /s /spath="&amp;search_path&amp;" /stypes=""app*"&amp;ABO28&amp;"*"&amp;TEXT(ABV28-utc_offset/24,"YYYYMMDD")&amp;"*"" /stext="" "&amp;TEXT(ABV28-utc_offset/24,"HH")&amp;search_regexp&amp;""""</f>
        <v>#REF!</v>
      </c>
      <c r="ACT28" s="234" t="e">
        <f>astrogrep_path&amp;" /e /r /s /spath="&amp;search_path&amp;" /stypes=""app*"&amp;ABP28&amp;"*"&amp;TEXT(ABW28-utc_offset/24,"YYYYMMDD")&amp;"*"" /stext="" "&amp;TEXT(ABW28-utc_offset/24,"HH")&amp;search_regexp&amp;""""</f>
        <v>#REF!</v>
      </c>
      <c r="ACU28" s="234" t="e">
        <f>astrogrep_path&amp;" /e /r /s /spath="&amp;search_path&amp;" /stypes=""app*"&amp;ABQ28&amp;"*"&amp;TEXT(ABX28-utc_offset/24,"YYYYMMDD")&amp;"*"" /stext="" "&amp;TEXT(ABX28-utc_offset/24,"HH")&amp;search_regexp&amp;""""</f>
        <v>#REF!</v>
      </c>
      <c r="ACV28" s="234" t="e">
        <f>astrogrep_path&amp;" /e /r /s /spath="&amp;search_path&amp;" /stypes=""app*"&amp;ABR28&amp;"*"&amp;TEXT(ABY28-utc_offset/24,"YYYYMMDD")&amp;"*"" /stext="" "&amp;TEXT(ABY28-utc_offset/24,"HH")&amp;search_regexp&amp;""""</f>
        <v>#REF!</v>
      </c>
      <c r="ACW28" s="234" t="e">
        <f>astrogrep_path&amp;" /e /r /s /spath="&amp;search_path&amp;" /stypes=""app*"&amp;ABS28&amp;"*"&amp;TEXT(ABZ28-utc_offset/24,"YYYYMMDD")&amp;"*"" /stext="" "&amp;TEXT(ABZ28-utc_offset/24,"HH")&amp;search_regexp&amp;""""</f>
        <v>#REF!</v>
      </c>
      <c r="ACX28" s="234" t="e">
        <f>astrogrep_path&amp;" /e /r /s /spath="&amp;search_path&amp;" /stypes=""app*"&amp;ABT28&amp;"*"&amp;TEXT(ACA28-utc_offset/24,"YYYYMMDD")&amp;"*"" /stext="" "&amp;TEXT(ACA28-utc_offset/24,"HH")&amp;search_regexp&amp;""""</f>
        <v>#REF!</v>
      </c>
      <c r="ACY28" s="234" t="e">
        <f>astrogrep_path&amp;" /e /r /s /spath="&amp;search_path&amp;" /stypes=""app*"&amp;ABU28&amp;"*"&amp;TEXT(ACB28-utc_offset/24,"YYYYMMDD")&amp;"*"" /stext="" "&amp;TEXT(ACB28-utc_offset/24,"HH")&amp;search_regexp&amp;""""</f>
        <v>#REF!</v>
      </c>
      <c r="ACZ28" s="234" t="e">
        <f>astrogrep_path&amp;" /e /r /s /spath="&amp;search_path&amp;" /stypes=""app*"&amp;ABV28&amp;"*"&amp;TEXT(ACC28-utc_offset/24,"YYYYMMDD")&amp;"*"" /stext="" "&amp;TEXT(ACC28-utc_offset/24,"HH")&amp;search_regexp&amp;""""</f>
        <v>#REF!</v>
      </c>
      <c r="ADA28" s="234" t="e">
        <f>astrogrep_path&amp;" /e /r /s /spath="&amp;search_path&amp;" /stypes=""app*"&amp;ABW28&amp;"*"&amp;TEXT(ACD28-utc_offset/24,"YYYYMMDD")&amp;"*"" /stext="" "&amp;TEXT(ACD28-utc_offset/24,"HH")&amp;search_regexp&amp;""""</f>
        <v>#VALUE!</v>
      </c>
      <c r="ADB28" s="234" t="e">
        <f>astrogrep_path&amp;" /e /r /s /spath="&amp;search_path&amp;" /stypes=""app*"&amp;ABX28&amp;"*"&amp;TEXT(ACE28-utc_offset/24,"YYYYMMDD")&amp;"*"" /stext="" "&amp;TEXT(ACE28-utc_offset/24,"HH")&amp;search_regexp&amp;""""</f>
        <v>#VALUE!</v>
      </c>
      <c r="ADC28" s="234" t="e">
        <f>astrogrep_path&amp;" /e /r /s /spath="&amp;search_path&amp;" /stypes=""app*"&amp;ABY28&amp;"*"&amp;TEXT(ACF28-utc_offset/24,"YYYYMMDD")&amp;"*"" /stext="" "&amp;TEXT(ACF28-utc_offset/24,"HH")&amp;search_regexp&amp;""""</f>
        <v>#REF!</v>
      </c>
      <c r="ADD28" s="234" t="e">
        <f>astrogrep_path&amp;" /e /r /s /spath="&amp;search_path&amp;" /stypes=""app*"&amp;ABZ28&amp;"*"&amp;TEXT(ACG28-utc_offset/24,"YYYYMMDD")&amp;"*"" /stext="" "&amp;TEXT(ACG28-utc_offset/24,"HH")&amp;search_regexp&amp;""""</f>
        <v>#REF!</v>
      </c>
      <c r="ADE28" s="234" t="e">
        <f>astrogrep_path&amp;" /e /r /s /spath="&amp;search_path&amp;" /stypes=""app*"&amp;ACA28&amp;"*"&amp;TEXT(ACH28-utc_offset/24,"YYYYMMDD")&amp;"*"" /stext="" "&amp;TEXT(ACH28-utc_offset/24,"HH")&amp;search_regexp&amp;""""</f>
        <v>#VALUE!</v>
      </c>
      <c r="ADF28" s="234" t="e">
        <f>astrogrep_path&amp;" /e /r /s /spath="&amp;search_path&amp;" /stypes=""app*"&amp;ACB28&amp;"*"&amp;TEXT(ACI28-utc_offset/24,"YYYYMMDD")&amp;"*"" /stext="" "&amp;TEXT(ACI28-utc_offset/24,"HH")&amp;search_regexp&amp;""""</f>
        <v>#VALUE!</v>
      </c>
      <c r="ADG28" s="234" t="e">
        <f>astrogrep_path&amp;" /e /r /s /spath="&amp;search_path&amp;" /stypes=""app*"&amp;ACC28&amp;"*"&amp;TEXT(ACJ28-utc_offset/24,"YYYYMMDD")&amp;"*"" /stext="" "&amp;TEXT(ACJ28-utc_offset/24,"HH")&amp;search_regexp&amp;""""</f>
        <v>#VALUE!</v>
      </c>
      <c r="ADH28" s="234" t="e">
        <f>astrogrep_path&amp;" /e /r /s /spath="&amp;search_path&amp;" /stypes=""app*"&amp;ACD28&amp;"*"&amp;TEXT(ACK28-utc_offset/24,"YYYYMMDD")&amp;"*"" /stext="" "&amp;TEXT(ACK28-utc_offset/24,"HH")&amp;search_regexp&amp;""""</f>
        <v>#VALUE!</v>
      </c>
      <c r="ADI28" s="234" t="e">
        <f>astrogrep_path&amp;" /e /r /s /spath="&amp;search_path&amp;" /stypes=""app*"&amp;ACE28&amp;"*"&amp;TEXT(ACL28-utc_offset/24,"YYYYMMDD")&amp;"*"" /stext="" "&amp;TEXT(ACL28-utc_offset/24,"HH")&amp;search_regexp&amp;""""</f>
        <v>#VALUE!</v>
      </c>
      <c r="ADJ28" s="234" t="e">
        <f>astrogrep_path&amp;" /e /r /s /spath="&amp;search_path&amp;" /stypes=""app*"&amp;ACF28&amp;"*"&amp;TEXT(ACM28-utc_offset/24,"YYYYMMDD")&amp;"*"" /stext="" "&amp;TEXT(ACM28-utc_offset/24,"HH")&amp;search_regexp&amp;""""</f>
        <v>#REF!</v>
      </c>
      <c r="ADK28" s="234" t="e">
        <f>astrogrep_path&amp;" /e /r /s /spath="&amp;search_path&amp;" /stypes=""app*"&amp;ACG28&amp;"*"&amp;TEXT(ACN28-utc_offset/24,"YYYYMMDD")&amp;"*"" /stext="" "&amp;TEXT(ACN28-utc_offset/24,"HH")&amp;search_regexp&amp;""""</f>
        <v>#REF!</v>
      </c>
      <c r="ADL28" s="234" t="e">
        <f>astrogrep_path&amp;" /e /r /s /spath="&amp;search_path&amp;" /stypes=""app*"&amp;ACH28&amp;"*"&amp;TEXT(ACO28-utc_offset/24,"YYYYMMDD")&amp;"*"" /stext="" "&amp;TEXT(ACO28-utc_offset/24,"HH")&amp;search_regexp&amp;""""</f>
        <v>#REF!</v>
      </c>
      <c r="ADM28" s="234" t="e">
        <f>astrogrep_path&amp;" /e /r /s /spath="&amp;search_path&amp;" /stypes=""app*"&amp;ACI28&amp;"*"&amp;TEXT(ACP28-utc_offset/24,"YYYYMMDD")&amp;"*"" /stext="" "&amp;TEXT(ACP28-utc_offset/24,"HH")&amp;search_regexp&amp;""""</f>
        <v>#REF!</v>
      </c>
      <c r="ADN28" s="234" t="e">
        <f>astrogrep_path&amp;" /e /r /s /spath="&amp;search_path&amp;" /stypes=""app*"&amp;ACJ28&amp;"*"&amp;TEXT(ACQ28-utc_offset/24,"YYYYMMDD")&amp;"*"" /stext="" "&amp;TEXT(ACQ28-utc_offset/24,"HH")&amp;search_regexp&amp;""""</f>
        <v>#REF!</v>
      </c>
      <c r="ADO28" s="234" t="e">
        <f>astrogrep_path&amp;" /e /r /s /spath="&amp;search_path&amp;" /stypes=""app*"&amp;ACK28&amp;"*"&amp;TEXT(ACR28-utc_offset/24,"YYYYMMDD")&amp;"*"" /stext="" "&amp;TEXT(ACR28-utc_offset/24,"HH")&amp;search_regexp&amp;""""</f>
        <v>#REF!</v>
      </c>
      <c r="ADP28" s="234" t="e">
        <f>astrogrep_path&amp;" /e /r /s /spath="&amp;search_path&amp;" /stypes=""app*"&amp;ACL28&amp;"*"&amp;TEXT(ACS28-utc_offset/24,"YYYYMMDD")&amp;"*"" /stext="" "&amp;TEXT(ACS28-utc_offset/24,"HH")&amp;search_regexp&amp;""""</f>
        <v>#REF!</v>
      </c>
      <c r="ADQ28" s="234" t="e">
        <f>astrogrep_path&amp;" /e /r /s /spath="&amp;search_path&amp;" /stypes=""app*"&amp;ACM28&amp;"*"&amp;TEXT(ACT28-utc_offset/24,"YYYYMMDD")&amp;"*"" /stext="" "&amp;TEXT(ACT28-utc_offset/24,"HH")&amp;search_regexp&amp;""""</f>
        <v>#REF!</v>
      </c>
      <c r="ADR28" s="234" t="e">
        <f>astrogrep_path&amp;" /e /r /s /spath="&amp;search_path&amp;" /stypes=""app*"&amp;ACN28&amp;"*"&amp;TEXT(ACU28-utc_offset/24,"YYYYMMDD")&amp;"*"" /stext="" "&amp;TEXT(ACU28-utc_offset/24,"HH")&amp;search_regexp&amp;""""</f>
        <v>#REF!</v>
      </c>
      <c r="ADS28" s="234" t="e">
        <f>astrogrep_path&amp;" /e /r /s /spath="&amp;search_path&amp;" /stypes=""app*"&amp;ACO28&amp;"*"&amp;TEXT(ACV28-utc_offset/24,"YYYYMMDD")&amp;"*"" /stext="" "&amp;TEXT(ACV28-utc_offset/24,"HH")&amp;search_regexp&amp;""""</f>
        <v>#REF!</v>
      </c>
      <c r="ADT28" s="234" t="e">
        <f>astrogrep_path&amp;" /e /r /s /spath="&amp;search_path&amp;" /stypes=""app*"&amp;ACP28&amp;"*"&amp;TEXT(ACW28-utc_offset/24,"YYYYMMDD")&amp;"*"" /stext="" "&amp;TEXT(ACW28-utc_offset/24,"HH")&amp;search_regexp&amp;""""</f>
        <v>#REF!</v>
      </c>
      <c r="ADU28" s="234" t="e">
        <f>astrogrep_path&amp;" /e /r /s /spath="&amp;search_path&amp;" /stypes=""app*"&amp;ACQ28&amp;"*"&amp;TEXT(ACX28-utc_offset/24,"YYYYMMDD")&amp;"*"" /stext="" "&amp;TEXT(ACX28-utc_offset/24,"HH")&amp;search_regexp&amp;""""</f>
        <v>#REF!</v>
      </c>
      <c r="ADV28" s="234" t="e">
        <f>astrogrep_path&amp;" /e /r /s /spath="&amp;search_path&amp;" /stypes=""app*"&amp;ACR28&amp;"*"&amp;TEXT(ACY28-utc_offset/24,"YYYYMMDD")&amp;"*"" /stext="" "&amp;TEXT(ACY28-utc_offset/24,"HH")&amp;search_regexp&amp;""""</f>
        <v>#REF!</v>
      </c>
      <c r="ADW28" s="234" t="e">
        <f>astrogrep_path&amp;" /e /r /s /spath="&amp;search_path&amp;" /stypes=""app*"&amp;ACS28&amp;"*"&amp;TEXT(ACZ28-utc_offset/24,"YYYYMMDD")&amp;"*"" /stext="" "&amp;TEXT(ACZ28-utc_offset/24,"HH")&amp;search_regexp&amp;""""</f>
        <v>#REF!</v>
      </c>
      <c r="ADX28" s="234" t="e">
        <f>astrogrep_path&amp;" /e /r /s /spath="&amp;search_path&amp;" /stypes=""app*"&amp;ACT28&amp;"*"&amp;TEXT(ADA28-utc_offset/24,"YYYYMMDD")&amp;"*"" /stext="" "&amp;TEXT(ADA28-utc_offset/24,"HH")&amp;search_regexp&amp;""""</f>
        <v>#REF!</v>
      </c>
      <c r="ADY28" s="234" t="e">
        <f>astrogrep_path&amp;" /e /r /s /spath="&amp;search_path&amp;" /stypes=""app*"&amp;ACU28&amp;"*"&amp;TEXT(ADB28-utc_offset/24,"YYYYMMDD")&amp;"*"" /stext="" "&amp;TEXT(ADB28-utc_offset/24,"HH")&amp;search_regexp&amp;""""</f>
        <v>#REF!</v>
      </c>
      <c r="ADZ28" s="234" t="e">
        <f>astrogrep_path&amp;" /e /r /s /spath="&amp;search_path&amp;" /stypes=""app*"&amp;ACV28&amp;"*"&amp;TEXT(ADC28-utc_offset/24,"YYYYMMDD")&amp;"*"" /stext="" "&amp;TEXT(ADC28-utc_offset/24,"HH")&amp;search_regexp&amp;""""</f>
        <v>#REF!</v>
      </c>
      <c r="AEA28" s="234" t="e">
        <f>astrogrep_path&amp;" /e /r /s /spath="&amp;search_path&amp;" /stypes=""app*"&amp;ACW28&amp;"*"&amp;TEXT(ADD28-utc_offset/24,"YYYYMMDD")&amp;"*"" /stext="" "&amp;TEXT(ADD28-utc_offset/24,"HH")&amp;search_regexp&amp;""""</f>
        <v>#REF!</v>
      </c>
      <c r="AEB28" s="234" t="e">
        <f>astrogrep_path&amp;" /e /r /s /spath="&amp;search_path&amp;" /stypes=""app*"&amp;ACX28&amp;"*"&amp;TEXT(ADE28-utc_offset/24,"YYYYMMDD")&amp;"*"" /stext="" "&amp;TEXT(ADE28-utc_offset/24,"HH")&amp;search_regexp&amp;""""</f>
        <v>#REF!</v>
      </c>
      <c r="AEC28" s="234" t="e">
        <f>astrogrep_path&amp;" /e /r /s /spath="&amp;search_path&amp;" /stypes=""app*"&amp;ACY28&amp;"*"&amp;TEXT(ADF28-utc_offset/24,"YYYYMMDD")&amp;"*"" /stext="" "&amp;TEXT(ADF28-utc_offset/24,"HH")&amp;search_regexp&amp;""""</f>
        <v>#REF!</v>
      </c>
      <c r="AED28" s="234" t="e">
        <f>astrogrep_path&amp;" /e /r /s /spath="&amp;search_path&amp;" /stypes=""app*"&amp;ACZ28&amp;"*"&amp;TEXT(ADG28-utc_offset/24,"YYYYMMDD")&amp;"*"" /stext="" "&amp;TEXT(ADG28-utc_offset/24,"HH")&amp;search_regexp&amp;""""</f>
        <v>#REF!</v>
      </c>
      <c r="AEE28" s="234" t="e">
        <f>astrogrep_path&amp;" /e /r /s /spath="&amp;search_path&amp;" /stypes=""app*"&amp;ADA28&amp;"*"&amp;TEXT(ADH28-utc_offset/24,"YYYYMMDD")&amp;"*"" /stext="" "&amp;TEXT(ADH28-utc_offset/24,"HH")&amp;search_regexp&amp;""""</f>
        <v>#VALUE!</v>
      </c>
      <c r="AEF28" s="234" t="e">
        <f>astrogrep_path&amp;" /e /r /s /spath="&amp;search_path&amp;" /stypes=""app*"&amp;ADB28&amp;"*"&amp;TEXT(ADI28-utc_offset/24,"YYYYMMDD")&amp;"*"" /stext="" "&amp;TEXT(ADI28-utc_offset/24,"HH")&amp;search_regexp&amp;""""</f>
        <v>#VALUE!</v>
      </c>
      <c r="AEG28" s="234" t="e">
        <f>astrogrep_path&amp;" /e /r /s /spath="&amp;search_path&amp;" /stypes=""app*"&amp;ADC28&amp;"*"&amp;TEXT(ADJ28-utc_offset/24,"YYYYMMDD")&amp;"*"" /stext="" "&amp;TEXT(ADJ28-utc_offset/24,"HH")&amp;search_regexp&amp;""""</f>
        <v>#REF!</v>
      </c>
      <c r="AEH28" s="234" t="e">
        <f>astrogrep_path&amp;" /e /r /s /spath="&amp;search_path&amp;" /stypes=""app*"&amp;ADD28&amp;"*"&amp;TEXT(ADK28-utc_offset/24,"YYYYMMDD")&amp;"*"" /stext="" "&amp;TEXT(ADK28-utc_offset/24,"HH")&amp;search_regexp&amp;""""</f>
        <v>#REF!</v>
      </c>
      <c r="AEI28" s="234" t="e">
        <f>astrogrep_path&amp;" /e /r /s /spath="&amp;search_path&amp;" /stypes=""app*"&amp;ADE28&amp;"*"&amp;TEXT(ADL28-utc_offset/24,"YYYYMMDD")&amp;"*"" /stext="" "&amp;TEXT(ADL28-utc_offset/24,"HH")&amp;search_regexp&amp;""""</f>
        <v>#VALUE!</v>
      </c>
      <c r="AEJ28" s="234" t="e">
        <f>astrogrep_path&amp;" /e /r /s /spath="&amp;search_path&amp;" /stypes=""app*"&amp;ADF28&amp;"*"&amp;TEXT(ADM28-utc_offset/24,"YYYYMMDD")&amp;"*"" /stext="" "&amp;TEXT(ADM28-utc_offset/24,"HH")&amp;search_regexp&amp;""""</f>
        <v>#VALUE!</v>
      </c>
      <c r="AEK28" s="234" t="e">
        <f>astrogrep_path&amp;" /e /r /s /spath="&amp;search_path&amp;" /stypes=""app*"&amp;ADG28&amp;"*"&amp;TEXT(ADN28-utc_offset/24,"YYYYMMDD")&amp;"*"" /stext="" "&amp;TEXT(ADN28-utc_offset/24,"HH")&amp;search_regexp&amp;""""</f>
        <v>#VALUE!</v>
      </c>
      <c r="AEL28" s="234" t="e">
        <f>astrogrep_path&amp;" /e /r /s /spath="&amp;search_path&amp;" /stypes=""app*"&amp;ADH28&amp;"*"&amp;TEXT(ADO28-utc_offset/24,"YYYYMMDD")&amp;"*"" /stext="" "&amp;TEXT(ADO28-utc_offset/24,"HH")&amp;search_regexp&amp;""""</f>
        <v>#VALUE!</v>
      </c>
      <c r="AEM28" s="234" t="e">
        <f>astrogrep_path&amp;" /e /r /s /spath="&amp;search_path&amp;" /stypes=""app*"&amp;ADI28&amp;"*"&amp;TEXT(ADP28-utc_offset/24,"YYYYMMDD")&amp;"*"" /stext="" "&amp;TEXT(ADP28-utc_offset/24,"HH")&amp;search_regexp&amp;""""</f>
        <v>#VALUE!</v>
      </c>
      <c r="AEN28" s="234" t="e">
        <f>astrogrep_path&amp;" /e /r /s /spath="&amp;search_path&amp;" /stypes=""app*"&amp;ADJ28&amp;"*"&amp;TEXT(ADQ28-utc_offset/24,"YYYYMMDD")&amp;"*"" /stext="" "&amp;TEXT(ADQ28-utc_offset/24,"HH")&amp;search_regexp&amp;""""</f>
        <v>#REF!</v>
      </c>
      <c r="AEO28" s="234" t="e">
        <f>astrogrep_path&amp;" /e /r /s /spath="&amp;search_path&amp;" /stypes=""app*"&amp;ADK28&amp;"*"&amp;TEXT(ADR28-utc_offset/24,"YYYYMMDD")&amp;"*"" /stext="" "&amp;TEXT(ADR28-utc_offset/24,"HH")&amp;search_regexp&amp;""""</f>
        <v>#REF!</v>
      </c>
      <c r="AEP28" s="234" t="e">
        <f>astrogrep_path&amp;" /e /r /s /spath="&amp;search_path&amp;" /stypes=""app*"&amp;ADL28&amp;"*"&amp;TEXT(ADS28-utc_offset/24,"YYYYMMDD")&amp;"*"" /stext="" "&amp;TEXT(ADS28-utc_offset/24,"HH")&amp;search_regexp&amp;""""</f>
        <v>#REF!</v>
      </c>
      <c r="AEQ28" s="234" t="e">
        <f>astrogrep_path&amp;" /e /r /s /spath="&amp;search_path&amp;" /stypes=""app*"&amp;ADM28&amp;"*"&amp;TEXT(ADT28-utc_offset/24,"YYYYMMDD")&amp;"*"" /stext="" "&amp;TEXT(ADT28-utc_offset/24,"HH")&amp;search_regexp&amp;""""</f>
        <v>#REF!</v>
      </c>
      <c r="AER28" s="234" t="e">
        <f>astrogrep_path&amp;" /e /r /s /spath="&amp;search_path&amp;" /stypes=""app*"&amp;ADN28&amp;"*"&amp;TEXT(ADU28-utc_offset/24,"YYYYMMDD")&amp;"*"" /stext="" "&amp;TEXT(ADU28-utc_offset/24,"HH")&amp;search_regexp&amp;""""</f>
        <v>#REF!</v>
      </c>
      <c r="AES28" s="234" t="e">
        <f>astrogrep_path&amp;" /e /r /s /spath="&amp;search_path&amp;" /stypes=""app*"&amp;ADO28&amp;"*"&amp;TEXT(ADV28-utc_offset/24,"YYYYMMDD")&amp;"*"" /stext="" "&amp;TEXT(ADV28-utc_offset/24,"HH")&amp;search_regexp&amp;""""</f>
        <v>#REF!</v>
      </c>
      <c r="AET28" s="234" t="e">
        <f>astrogrep_path&amp;" /e /r /s /spath="&amp;search_path&amp;" /stypes=""app*"&amp;ADP28&amp;"*"&amp;TEXT(ADW28-utc_offset/24,"YYYYMMDD")&amp;"*"" /stext="" "&amp;TEXT(ADW28-utc_offset/24,"HH")&amp;search_regexp&amp;""""</f>
        <v>#REF!</v>
      </c>
      <c r="AEU28" s="234" t="e">
        <f>astrogrep_path&amp;" /e /r /s /spath="&amp;search_path&amp;" /stypes=""app*"&amp;ADQ28&amp;"*"&amp;TEXT(ADX28-utc_offset/24,"YYYYMMDD")&amp;"*"" /stext="" "&amp;TEXT(ADX28-utc_offset/24,"HH")&amp;search_regexp&amp;""""</f>
        <v>#REF!</v>
      </c>
      <c r="AEV28" s="234" t="e">
        <f>astrogrep_path&amp;" /e /r /s /spath="&amp;search_path&amp;" /stypes=""app*"&amp;ADR28&amp;"*"&amp;TEXT(ADY28-utc_offset/24,"YYYYMMDD")&amp;"*"" /stext="" "&amp;TEXT(ADY28-utc_offset/24,"HH")&amp;search_regexp&amp;""""</f>
        <v>#REF!</v>
      </c>
      <c r="AEW28" s="234" t="e">
        <f>astrogrep_path&amp;" /e /r /s /spath="&amp;search_path&amp;" /stypes=""app*"&amp;ADS28&amp;"*"&amp;TEXT(ADZ28-utc_offset/24,"YYYYMMDD")&amp;"*"" /stext="" "&amp;TEXT(ADZ28-utc_offset/24,"HH")&amp;search_regexp&amp;""""</f>
        <v>#REF!</v>
      </c>
      <c r="AEX28" s="234" t="e">
        <f>astrogrep_path&amp;" /e /r /s /spath="&amp;search_path&amp;" /stypes=""app*"&amp;ADT28&amp;"*"&amp;TEXT(AEA28-utc_offset/24,"YYYYMMDD")&amp;"*"" /stext="" "&amp;TEXT(AEA28-utc_offset/24,"HH")&amp;search_regexp&amp;""""</f>
        <v>#REF!</v>
      </c>
      <c r="AEY28" s="234" t="e">
        <f>astrogrep_path&amp;" /e /r /s /spath="&amp;search_path&amp;" /stypes=""app*"&amp;ADU28&amp;"*"&amp;TEXT(AEB28-utc_offset/24,"YYYYMMDD")&amp;"*"" /stext="" "&amp;TEXT(AEB28-utc_offset/24,"HH")&amp;search_regexp&amp;""""</f>
        <v>#REF!</v>
      </c>
      <c r="AEZ28" s="234" t="e">
        <f>astrogrep_path&amp;" /e /r /s /spath="&amp;search_path&amp;" /stypes=""app*"&amp;ADV28&amp;"*"&amp;TEXT(AEC28-utc_offset/24,"YYYYMMDD")&amp;"*"" /stext="" "&amp;TEXT(AEC28-utc_offset/24,"HH")&amp;search_regexp&amp;""""</f>
        <v>#REF!</v>
      </c>
      <c r="AFA28" s="234" t="e">
        <f>astrogrep_path&amp;" /e /r /s /spath="&amp;search_path&amp;" /stypes=""app*"&amp;ADW28&amp;"*"&amp;TEXT(AED28-utc_offset/24,"YYYYMMDD")&amp;"*"" /stext="" "&amp;TEXT(AED28-utc_offset/24,"HH")&amp;search_regexp&amp;""""</f>
        <v>#REF!</v>
      </c>
      <c r="AFB28" s="234" t="e">
        <f>astrogrep_path&amp;" /e /r /s /spath="&amp;search_path&amp;" /stypes=""app*"&amp;ADX28&amp;"*"&amp;TEXT(AEE28-utc_offset/24,"YYYYMMDD")&amp;"*"" /stext="" "&amp;TEXT(AEE28-utc_offset/24,"HH")&amp;search_regexp&amp;""""</f>
        <v>#REF!</v>
      </c>
      <c r="AFC28" s="234" t="e">
        <f>astrogrep_path&amp;" /e /r /s /spath="&amp;search_path&amp;" /stypes=""app*"&amp;ADY28&amp;"*"&amp;TEXT(AEF28-utc_offset/24,"YYYYMMDD")&amp;"*"" /stext="" "&amp;TEXT(AEF28-utc_offset/24,"HH")&amp;search_regexp&amp;""""</f>
        <v>#REF!</v>
      </c>
      <c r="AFD28" s="234" t="e">
        <f>astrogrep_path&amp;" /e /r /s /spath="&amp;search_path&amp;" /stypes=""app*"&amp;ADZ28&amp;"*"&amp;TEXT(AEG28-utc_offset/24,"YYYYMMDD")&amp;"*"" /stext="" "&amp;TEXT(AEG28-utc_offset/24,"HH")&amp;search_regexp&amp;""""</f>
        <v>#REF!</v>
      </c>
      <c r="AFE28" s="234" t="e">
        <f>astrogrep_path&amp;" /e /r /s /spath="&amp;search_path&amp;" /stypes=""app*"&amp;AEA28&amp;"*"&amp;TEXT(AEH28-utc_offset/24,"YYYYMMDD")&amp;"*"" /stext="" "&amp;TEXT(AEH28-utc_offset/24,"HH")&amp;search_regexp&amp;""""</f>
        <v>#REF!</v>
      </c>
      <c r="AFF28" s="234" t="e">
        <f>astrogrep_path&amp;" /e /r /s /spath="&amp;search_path&amp;" /stypes=""app*"&amp;AEB28&amp;"*"&amp;TEXT(AEI28-utc_offset/24,"YYYYMMDD")&amp;"*"" /stext="" "&amp;TEXT(AEI28-utc_offset/24,"HH")&amp;search_regexp&amp;""""</f>
        <v>#REF!</v>
      </c>
      <c r="AFG28" s="234" t="e">
        <f>astrogrep_path&amp;" /e /r /s /spath="&amp;search_path&amp;" /stypes=""app*"&amp;AEC28&amp;"*"&amp;TEXT(AEJ28-utc_offset/24,"YYYYMMDD")&amp;"*"" /stext="" "&amp;TEXT(AEJ28-utc_offset/24,"HH")&amp;search_regexp&amp;""""</f>
        <v>#REF!</v>
      </c>
      <c r="AFH28" s="234" t="e">
        <f>astrogrep_path&amp;" /e /r /s /spath="&amp;search_path&amp;" /stypes=""app*"&amp;AED28&amp;"*"&amp;TEXT(AEK28-utc_offset/24,"YYYYMMDD")&amp;"*"" /stext="" "&amp;TEXT(AEK28-utc_offset/24,"HH")&amp;search_regexp&amp;""""</f>
        <v>#REF!</v>
      </c>
      <c r="AFI28" s="234" t="e">
        <f>astrogrep_path&amp;" /e /r /s /spath="&amp;search_path&amp;" /stypes=""app*"&amp;AEE28&amp;"*"&amp;TEXT(AEL28-utc_offset/24,"YYYYMMDD")&amp;"*"" /stext="" "&amp;TEXT(AEL28-utc_offset/24,"HH")&amp;search_regexp&amp;""""</f>
        <v>#VALUE!</v>
      </c>
      <c r="AFJ28" s="234" t="e">
        <f>astrogrep_path&amp;" /e /r /s /spath="&amp;search_path&amp;" /stypes=""app*"&amp;AEF28&amp;"*"&amp;TEXT(AEM28-utc_offset/24,"YYYYMMDD")&amp;"*"" /stext="" "&amp;TEXT(AEM28-utc_offset/24,"HH")&amp;search_regexp&amp;""""</f>
        <v>#VALUE!</v>
      </c>
      <c r="AFK28" s="234" t="e">
        <f>astrogrep_path&amp;" /e /r /s /spath="&amp;search_path&amp;" /stypes=""app*"&amp;AEG28&amp;"*"&amp;TEXT(AEN28-utc_offset/24,"YYYYMMDD")&amp;"*"" /stext="" "&amp;TEXT(AEN28-utc_offset/24,"HH")&amp;search_regexp&amp;""""</f>
        <v>#REF!</v>
      </c>
      <c r="AFL28" s="234" t="e">
        <f>astrogrep_path&amp;" /e /r /s /spath="&amp;search_path&amp;" /stypes=""app*"&amp;AEH28&amp;"*"&amp;TEXT(AEO28-utc_offset/24,"YYYYMMDD")&amp;"*"" /stext="" "&amp;TEXT(AEO28-utc_offset/24,"HH")&amp;search_regexp&amp;""""</f>
        <v>#REF!</v>
      </c>
      <c r="AFM28" s="234" t="e">
        <f>astrogrep_path&amp;" /e /r /s /spath="&amp;search_path&amp;" /stypes=""app*"&amp;AEI28&amp;"*"&amp;TEXT(AEP28-utc_offset/24,"YYYYMMDD")&amp;"*"" /stext="" "&amp;TEXT(AEP28-utc_offset/24,"HH")&amp;search_regexp&amp;""""</f>
        <v>#VALUE!</v>
      </c>
      <c r="AFN28" s="234" t="e">
        <f>astrogrep_path&amp;" /e /r /s /spath="&amp;search_path&amp;" /stypes=""app*"&amp;AEJ28&amp;"*"&amp;TEXT(AEQ28-utc_offset/24,"YYYYMMDD")&amp;"*"" /stext="" "&amp;TEXT(AEQ28-utc_offset/24,"HH")&amp;search_regexp&amp;""""</f>
        <v>#VALUE!</v>
      </c>
      <c r="AFO28" s="234" t="e">
        <f>astrogrep_path&amp;" /e /r /s /spath="&amp;search_path&amp;" /stypes=""app*"&amp;AEK28&amp;"*"&amp;TEXT(AER28-utc_offset/24,"YYYYMMDD")&amp;"*"" /stext="" "&amp;TEXT(AER28-utc_offset/24,"HH")&amp;search_regexp&amp;""""</f>
        <v>#VALUE!</v>
      </c>
      <c r="AFP28" s="234" t="e">
        <f>astrogrep_path&amp;" /e /r /s /spath="&amp;search_path&amp;" /stypes=""app*"&amp;AEL28&amp;"*"&amp;TEXT(AES28-utc_offset/24,"YYYYMMDD")&amp;"*"" /stext="" "&amp;TEXT(AES28-utc_offset/24,"HH")&amp;search_regexp&amp;""""</f>
        <v>#VALUE!</v>
      </c>
      <c r="AFQ28" s="234" t="e">
        <f>astrogrep_path&amp;" /e /r /s /spath="&amp;search_path&amp;" /stypes=""app*"&amp;AEM28&amp;"*"&amp;TEXT(AET28-utc_offset/24,"YYYYMMDD")&amp;"*"" /stext="" "&amp;TEXT(AET28-utc_offset/24,"HH")&amp;search_regexp&amp;""""</f>
        <v>#VALUE!</v>
      </c>
      <c r="AFR28" s="234" t="e">
        <f>astrogrep_path&amp;" /e /r /s /spath="&amp;search_path&amp;" /stypes=""app*"&amp;AEN28&amp;"*"&amp;TEXT(AEU28-utc_offset/24,"YYYYMMDD")&amp;"*"" /stext="" "&amp;TEXT(AEU28-utc_offset/24,"HH")&amp;search_regexp&amp;""""</f>
        <v>#REF!</v>
      </c>
      <c r="AFS28" s="234" t="e">
        <f>astrogrep_path&amp;" /e /r /s /spath="&amp;search_path&amp;" /stypes=""app*"&amp;AEO28&amp;"*"&amp;TEXT(AEV28-utc_offset/24,"YYYYMMDD")&amp;"*"" /stext="" "&amp;TEXT(AEV28-utc_offset/24,"HH")&amp;search_regexp&amp;""""</f>
        <v>#REF!</v>
      </c>
      <c r="AFT28" s="234" t="e">
        <f>astrogrep_path&amp;" /e /r /s /spath="&amp;search_path&amp;" /stypes=""app*"&amp;AEP28&amp;"*"&amp;TEXT(AEW28-utc_offset/24,"YYYYMMDD")&amp;"*"" /stext="" "&amp;TEXT(AEW28-utc_offset/24,"HH")&amp;search_regexp&amp;""""</f>
        <v>#REF!</v>
      </c>
      <c r="AFU28" s="234" t="e">
        <f>astrogrep_path&amp;" /e /r /s /spath="&amp;search_path&amp;" /stypes=""app*"&amp;AEQ28&amp;"*"&amp;TEXT(AEX28-utc_offset/24,"YYYYMMDD")&amp;"*"" /stext="" "&amp;TEXT(AEX28-utc_offset/24,"HH")&amp;search_regexp&amp;""""</f>
        <v>#REF!</v>
      </c>
      <c r="AFV28" s="234" t="e">
        <f>astrogrep_path&amp;" /e /r /s /spath="&amp;search_path&amp;" /stypes=""app*"&amp;AER28&amp;"*"&amp;TEXT(AEY28-utc_offset/24,"YYYYMMDD")&amp;"*"" /stext="" "&amp;TEXT(AEY28-utc_offset/24,"HH")&amp;search_regexp&amp;""""</f>
        <v>#REF!</v>
      </c>
      <c r="AFW28" s="234" t="e">
        <f>astrogrep_path&amp;" /e /r /s /spath="&amp;search_path&amp;" /stypes=""app*"&amp;AES28&amp;"*"&amp;TEXT(AEZ28-utc_offset/24,"YYYYMMDD")&amp;"*"" /stext="" "&amp;TEXT(AEZ28-utc_offset/24,"HH")&amp;search_regexp&amp;""""</f>
        <v>#REF!</v>
      </c>
      <c r="AFX28" s="234" t="e">
        <f>astrogrep_path&amp;" /e /r /s /spath="&amp;search_path&amp;" /stypes=""app*"&amp;AET28&amp;"*"&amp;TEXT(AFA28-utc_offset/24,"YYYYMMDD")&amp;"*"" /stext="" "&amp;TEXT(AFA28-utc_offset/24,"HH")&amp;search_regexp&amp;""""</f>
        <v>#REF!</v>
      </c>
      <c r="AFY28" s="234" t="e">
        <f>astrogrep_path&amp;" /e /r /s /spath="&amp;search_path&amp;" /stypes=""app*"&amp;AEU28&amp;"*"&amp;TEXT(AFB28-utc_offset/24,"YYYYMMDD")&amp;"*"" /stext="" "&amp;TEXT(AFB28-utc_offset/24,"HH")&amp;search_regexp&amp;""""</f>
        <v>#REF!</v>
      </c>
      <c r="AFZ28" s="234" t="e">
        <f>astrogrep_path&amp;" /e /r /s /spath="&amp;search_path&amp;" /stypes=""app*"&amp;AEV28&amp;"*"&amp;TEXT(AFC28-utc_offset/24,"YYYYMMDD")&amp;"*"" /stext="" "&amp;TEXT(AFC28-utc_offset/24,"HH")&amp;search_regexp&amp;""""</f>
        <v>#REF!</v>
      </c>
      <c r="AGA28" s="234" t="e">
        <f>astrogrep_path&amp;" /e /r /s /spath="&amp;search_path&amp;" /stypes=""app*"&amp;AEW28&amp;"*"&amp;TEXT(AFD28-utc_offset/24,"YYYYMMDD")&amp;"*"" /stext="" "&amp;TEXT(AFD28-utc_offset/24,"HH")&amp;search_regexp&amp;""""</f>
        <v>#REF!</v>
      </c>
      <c r="AGB28" s="234" t="e">
        <f>astrogrep_path&amp;" /e /r /s /spath="&amp;search_path&amp;" /stypes=""app*"&amp;AEX28&amp;"*"&amp;TEXT(AFE28-utc_offset/24,"YYYYMMDD")&amp;"*"" /stext="" "&amp;TEXT(AFE28-utc_offset/24,"HH")&amp;search_regexp&amp;""""</f>
        <v>#REF!</v>
      </c>
      <c r="AGC28" s="234" t="e">
        <f>astrogrep_path&amp;" /e /r /s /spath="&amp;search_path&amp;" /stypes=""app*"&amp;AEY28&amp;"*"&amp;TEXT(AFF28-utc_offset/24,"YYYYMMDD")&amp;"*"" /stext="" "&amp;TEXT(AFF28-utc_offset/24,"HH")&amp;search_regexp&amp;""""</f>
        <v>#REF!</v>
      </c>
      <c r="AGD28" s="234" t="e">
        <f>astrogrep_path&amp;" /e /r /s /spath="&amp;search_path&amp;" /stypes=""app*"&amp;AEZ28&amp;"*"&amp;TEXT(AFG28-utc_offset/24,"YYYYMMDD")&amp;"*"" /stext="" "&amp;TEXT(AFG28-utc_offset/24,"HH")&amp;search_regexp&amp;""""</f>
        <v>#REF!</v>
      </c>
      <c r="AGE28" s="234" t="e">
        <f>astrogrep_path&amp;" /e /r /s /spath="&amp;search_path&amp;" /stypes=""app*"&amp;AFA28&amp;"*"&amp;TEXT(AFH28-utc_offset/24,"YYYYMMDD")&amp;"*"" /stext="" "&amp;TEXT(AFH28-utc_offset/24,"HH")&amp;search_regexp&amp;""""</f>
        <v>#REF!</v>
      </c>
      <c r="AGF28" s="234" t="e">
        <f>astrogrep_path&amp;" /e /r /s /spath="&amp;search_path&amp;" /stypes=""app*"&amp;AFB28&amp;"*"&amp;TEXT(AFI28-utc_offset/24,"YYYYMMDD")&amp;"*"" /stext="" "&amp;TEXT(AFI28-utc_offset/24,"HH")&amp;search_regexp&amp;""""</f>
        <v>#REF!</v>
      </c>
      <c r="AGG28" s="234" t="e">
        <f>astrogrep_path&amp;" /e /r /s /spath="&amp;search_path&amp;" /stypes=""app*"&amp;AFC28&amp;"*"&amp;TEXT(AFJ28-utc_offset/24,"YYYYMMDD")&amp;"*"" /stext="" "&amp;TEXT(AFJ28-utc_offset/24,"HH")&amp;search_regexp&amp;""""</f>
        <v>#REF!</v>
      </c>
      <c r="AGH28" s="234" t="e">
        <f>astrogrep_path&amp;" /e /r /s /spath="&amp;search_path&amp;" /stypes=""app*"&amp;AFD28&amp;"*"&amp;TEXT(AFK28-utc_offset/24,"YYYYMMDD")&amp;"*"" /stext="" "&amp;TEXT(AFK28-utc_offset/24,"HH")&amp;search_regexp&amp;""""</f>
        <v>#REF!</v>
      </c>
      <c r="AGI28" s="234" t="e">
        <f>astrogrep_path&amp;" /e /r /s /spath="&amp;search_path&amp;" /stypes=""app*"&amp;AFE28&amp;"*"&amp;TEXT(AFL28-utc_offset/24,"YYYYMMDD")&amp;"*"" /stext="" "&amp;TEXT(AFL28-utc_offset/24,"HH")&amp;search_regexp&amp;""""</f>
        <v>#REF!</v>
      </c>
      <c r="AGJ28" s="234" t="e">
        <f>astrogrep_path&amp;" /e /r /s /spath="&amp;search_path&amp;" /stypes=""app*"&amp;AFF28&amp;"*"&amp;TEXT(AFM28-utc_offset/24,"YYYYMMDD")&amp;"*"" /stext="" "&amp;TEXT(AFM28-utc_offset/24,"HH")&amp;search_regexp&amp;""""</f>
        <v>#REF!</v>
      </c>
      <c r="AGK28" s="234" t="e">
        <f>astrogrep_path&amp;" /e /r /s /spath="&amp;search_path&amp;" /stypes=""app*"&amp;AFG28&amp;"*"&amp;TEXT(AFN28-utc_offset/24,"YYYYMMDD")&amp;"*"" /stext="" "&amp;TEXT(AFN28-utc_offset/24,"HH")&amp;search_regexp&amp;""""</f>
        <v>#REF!</v>
      </c>
      <c r="AGL28" s="234" t="e">
        <f>astrogrep_path&amp;" /e /r /s /spath="&amp;search_path&amp;" /stypes=""app*"&amp;AFH28&amp;"*"&amp;TEXT(AFO28-utc_offset/24,"YYYYMMDD")&amp;"*"" /stext="" "&amp;TEXT(AFO28-utc_offset/24,"HH")&amp;search_regexp&amp;""""</f>
        <v>#REF!</v>
      </c>
      <c r="AGM28" s="234" t="e">
        <f>astrogrep_path&amp;" /e /r /s /spath="&amp;search_path&amp;" /stypes=""app*"&amp;AFI28&amp;"*"&amp;TEXT(AFP28-utc_offset/24,"YYYYMMDD")&amp;"*"" /stext="" "&amp;TEXT(AFP28-utc_offset/24,"HH")&amp;search_regexp&amp;""""</f>
        <v>#VALUE!</v>
      </c>
      <c r="AGN28" s="234" t="e">
        <f>astrogrep_path&amp;" /e /r /s /spath="&amp;search_path&amp;" /stypes=""app*"&amp;AFJ28&amp;"*"&amp;TEXT(AFQ28-utc_offset/24,"YYYYMMDD")&amp;"*"" /stext="" "&amp;TEXT(AFQ28-utc_offset/24,"HH")&amp;search_regexp&amp;""""</f>
        <v>#VALUE!</v>
      </c>
      <c r="AGO28" s="234" t="e">
        <f>astrogrep_path&amp;" /e /r /s /spath="&amp;search_path&amp;" /stypes=""app*"&amp;AFK28&amp;"*"&amp;TEXT(AFR28-utc_offset/24,"YYYYMMDD")&amp;"*"" /stext="" "&amp;TEXT(AFR28-utc_offset/24,"HH")&amp;search_regexp&amp;""""</f>
        <v>#REF!</v>
      </c>
      <c r="AGP28" s="234" t="e">
        <f>astrogrep_path&amp;" /e /r /s /spath="&amp;search_path&amp;" /stypes=""app*"&amp;AFL28&amp;"*"&amp;TEXT(AFS28-utc_offset/24,"YYYYMMDD")&amp;"*"" /stext="" "&amp;TEXT(AFS28-utc_offset/24,"HH")&amp;search_regexp&amp;""""</f>
        <v>#REF!</v>
      </c>
      <c r="AGQ28" s="234" t="e">
        <f>astrogrep_path&amp;" /e /r /s /spath="&amp;search_path&amp;" /stypes=""app*"&amp;AFM28&amp;"*"&amp;TEXT(AFT28-utc_offset/24,"YYYYMMDD")&amp;"*"" /stext="" "&amp;TEXT(AFT28-utc_offset/24,"HH")&amp;search_regexp&amp;""""</f>
        <v>#VALUE!</v>
      </c>
      <c r="AGR28" s="234" t="e">
        <f>astrogrep_path&amp;" /e /r /s /spath="&amp;search_path&amp;" /stypes=""app*"&amp;AFN28&amp;"*"&amp;TEXT(AFU28-utc_offset/24,"YYYYMMDD")&amp;"*"" /stext="" "&amp;TEXT(AFU28-utc_offset/24,"HH")&amp;search_regexp&amp;""""</f>
        <v>#VALUE!</v>
      </c>
      <c r="AGS28" s="234" t="e">
        <f>astrogrep_path&amp;" /e /r /s /spath="&amp;search_path&amp;" /stypes=""app*"&amp;AFO28&amp;"*"&amp;TEXT(AFV28-utc_offset/24,"YYYYMMDD")&amp;"*"" /stext="" "&amp;TEXT(AFV28-utc_offset/24,"HH")&amp;search_regexp&amp;""""</f>
        <v>#VALUE!</v>
      </c>
      <c r="AGT28" s="234" t="e">
        <f>astrogrep_path&amp;" /e /r /s /spath="&amp;search_path&amp;" /stypes=""app*"&amp;AFP28&amp;"*"&amp;TEXT(AFW28-utc_offset/24,"YYYYMMDD")&amp;"*"" /stext="" "&amp;TEXT(AFW28-utc_offset/24,"HH")&amp;search_regexp&amp;""""</f>
        <v>#VALUE!</v>
      </c>
      <c r="AGU28" s="234" t="e">
        <f>astrogrep_path&amp;" /e /r /s /spath="&amp;search_path&amp;" /stypes=""app*"&amp;AFQ28&amp;"*"&amp;TEXT(AFX28-utc_offset/24,"YYYYMMDD")&amp;"*"" /stext="" "&amp;TEXT(AFX28-utc_offset/24,"HH")&amp;search_regexp&amp;""""</f>
        <v>#VALUE!</v>
      </c>
      <c r="AGV28" s="234" t="e">
        <f>astrogrep_path&amp;" /e /r /s /spath="&amp;search_path&amp;" /stypes=""app*"&amp;AFR28&amp;"*"&amp;TEXT(AFY28-utc_offset/24,"YYYYMMDD")&amp;"*"" /stext="" "&amp;TEXT(AFY28-utc_offset/24,"HH")&amp;search_regexp&amp;""""</f>
        <v>#REF!</v>
      </c>
      <c r="AGW28" s="234" t="e">
        <f>astrogrep_path&amp;" /e /r /s /spath="&amp;search_path&amp;" /stypes=""app*"&amp;AFS28&amp;"*"&amp;TEXT(AFZ28-utc_offset/24,"YYYYMMDD")&amp;"*"" /stext="" "&amp;TEXT(AFZ28-utc_offset/24,"HH")&amp;search_regexp&amp;""""</f>
        <v>#REF!</v>
      </c>
      <c r="AGX28" s="234" t="e">
        <f>astrogrep_path&amp;" /e /r /s /spath="&amp;search_path&amp;" /stypes=""app*"&amp;AFT28&amp;"*"&amp;TEXT(AGA28-utc_offset/24,"YYYYMMDD")&amp;"*"" /stext="" "&amp;TEXT(AGA28-utc_offset/24,"HH")&amp;search_regexp&amp;""""</f>
        <v>#REF!</v>
      </c>
      <c r="AGY28" s="234" t="e">
        <f>astrogrep_path&amp;" /e /r /s /spath="&amp;search_path&amp;" /stypes=""app*"&amp;AFU28&amp;"*"&amp;TEXT(AGB28-utc_offset/24,"YYYYMMDD")&amp;"*"" /stext="" "&amp;TEXT(AGB28-utc_offset/24,"HH")&amp;search_regexp&amp;""""</f>
        <v>#REF!</v>
      </c>
      <c r="AGZ28" s="234" t="e">
        <f>astrogrep_path&amp;" /e /r /s /spath="&amp;search_path&amp;" /stypes=""app*"&amp;AFV28&amp;"*"&amp;TEXT(AGC28-utc_offset/24,"YYYYMMDD")&amp;"*"" /stext="" "&amp;TEXT(AGC28-utc_offset/24,"HH")&amp;search_regexp&amp;""""</f>
        <v>#REF!</v>
      </c>
      <c r="AHA28" s="234" t="e">
        <f>astrogrep_path&amp;" /e /r /s /spath="&amp;search_path&amp;" /stypes=""app*"&amp;AFW28&amp;"*"&amp;TEXT(AGD28-utc_offset/24,"YYYYMMDD")&amp;"*"" /stext="" "&amp;TEXT(AGD28-utc_offset/24,"HH")&amp;search_regexp&amp;""""</f>
        <v>#REF!</v>
      </c>
      <c r="AHB28" s="234" t="e">
        <f>astrogrep_path&amp;" /e /r /s /spath="&amp;search_path&amp;" /stypes=""app*"&amp;AFX28&amp;"*"&amp;TEXT(AGE28-utc_offset/24,"YYYYMMDD")&amp;"*"" /stext="" "&amp;TEXT(AGE28-utc_offset/24,"HH")&amp;search_regexp&amp;""""</f>
        <v>#REF!</v>
      </c>
      <c r="AHC28" s="234" t="e">
        <f>astrogrep_path&amp;" /e /r /s /spath="&amp;search_path&amp;" /stypes=""app*"&amp;AFY28&amp;"*"&amp;TEXT(AGF28-utc_offset/24,"YYYYMMDD")&amp;"*"" /stext="" "&amp;TEXT(AGF28-utc_offset/24,"HH")&amp;search_regexp&amp;""""</f>
        <v>#REF!</v>
      </c>
      <c r="AHD28" s="234" t="e">
        <f>astrogrep_path&amp;" /e /r /s /spath="&amp;search_path&amp;" /stypes=""app*"&amp;AFZ28&amp;"*"&amp;TEXT(AGG28-utc_offset/24,"YYYYMMDD")&amp;"*"" /stext="" "&amp;TEXT(AGG28-utc_offset/24,"HH")&amp;search_regexp&amp;""""</f>
        <v>#REF!</v>
      </c>
      <c r="AHE28" s="234" t="e">
        <f>astrogrep_path&amp;" /e /r /s /spath="&amp;search_path&amp;" /stypes=""app*"&amp;AGA28&amp;"*"&amp;TEXT(AGH28-utc_offset/24,"YYYYMMDD")&amp;"*"" /stext="" "&amp;TEXT(AGH28-utc_offset/24,"HH")&amp;search_regexp&amp;""""</f>
        <v>#REF!</v>
      </c>
      <c r="AHF28" s="234" t="e">
        <f>astrogrep_path&amp;" /e /r /s /spath="&amp;search_path&amp;" /stypes=""app*"&amp;AGB28&amp;"*"&amp;TEXT(AGI28-utc_offset/24,"YYYYMMDD")&amp;"*"" /stext="" "&amp;TEXT(AGI28-utc_offset/24,"HH")&amp;search_regexp&amp;""""</f>
        <v>#REF!</v>
      </c>
      <c r="AHG28" s="234" t="e">
        <f>astrogrep_path&amp;" /e /r /s /spath="&amp;search_path&amp;" /stypes=""app*"&amp;AGC28&amp;"*"&amp;TEXT(AGJ28-utc_offset/24,"YYYYMMDD")&amp;"*"" /stext="" "&amp;TEXT(AGJ28-utc_offset/24,"HH")&amp;search_regexp&amp;""""</f>
        <v>#REF!</v>
      </c>
      <c r="AHH28" s="234" t="e">
        <f>astrogrep_path&amp;" /e /r /s /spath="&amp;search_path&amp;" /stypes=""app*"&amp;AGD28&amp;"*"&amp;TEXT(AGK28-utc_offset/24,"YYYYMMDD")&amp;"*"" /stext="" "&amp;TEXT(AGK28-utc_offset/24,"HH")&amp;search_regexp&amp;""""</f>
        <v>#REF!</v>
      </c>
      <c r="AHI28" s="234" t="e">
        <f>astrogrep_path&amp;" /e /r /s /spath="&amp;search_path&amp;" /stypes=""app*"&amp;AGE28&amp;"*"&amp;TEXT(AGL28-utc_offset/24,"YYYYMMDD")&amp;"*"" /stext="" "&amp;TEXT(AGL28-utc_offset/24,"HH")&amp;search_regexp&amp;""""</f>
        <v>#REF!</v>
      </c>
      <c r="AHJ28" s="234" t="e">
        <f>astrogrep_path&amp;" /e /r /s /spath="&amp;search_path&amp;" /stypes=""app*"&amp;AGF28&amp;"*"&amp;TEXT(AGM28-utc_offset/24,"YYYYMMDD")&amp;"*"" /stext="" "&amp;TEXT(AGM28-utc_offset/24,"HH")&amp;search_regexp&amp;""""</f>
        <v>#REF!</v>
      </c>
      <c r="AHK28" s="234" t="e">
        <f>astrogrep_path&amp;" /e /r /s /spath="&amp;search_path&amp;" /stypes=""app*"&amp;AGG28&amp;"*"&amp;TEXT(AGN28-utc_offset/24,"YYYYMMDD")&amp;"*"" /stext="" "&amp;TEXT(AGN28-utc_offset/24,"HH")&amp;search_regexp&amp;""""</f>
        <v>#REF!</v>
      </c>
      <c r="AHL28" s="234" t="e">
        <f>astrogrep_path&amp;" /e /r /s /spath="&amp;search_path&amp;" /stypes=""app*"&amp;AGH28&amp;"*"&amp;TEXT(AGO28-utc_offset/24,"YYYYMMDD")&amp;"*"" /stext="" "&amp;TEXT(AGO28-utc_offset/24,"HH")&amp;search_regexp&amp;""""</f>
        <v>#REF!</v>
      </c>
      <c r="AHM28" s="234" t="e">
        <f>astrogrep_path&amp;" /e /r /s /spath="&amp;search_path&amp;" /stypes=""app*"&amp;AGI28&amp;"*"&amp;TEXT(AGP28-utc_offset/24,"YYYYMMDD")&amp;"*"" /stext="" "&amp;TEXT(AGP28-utc_offset/24,"HH")&amp;search_regexp&amp;""""</f>
        <v>#REF!</v>
      </c>
      <c r="AHN28" s="234" t="e">
        <f>astrogrep_path&amp;" /e /r /s /spath="&amp;search_path&amp;" /stypes=""app*"&amp;AGJ28&amp;"*"&amp;TEXT(AGQ28-utc_offset/24,"YYYYMMDD")&amp;"*"" /stext="" "&amp;TEXT(AGQ28-utc_offset/24,"HH")&amp;search_regexp&amp;""""</f>
        <v>#REF!</v>
      </c>
      <c r="AHO28" s="234" t="e">
        <f>astrogrep_path&amp;" /e /r /s /spath="&amp;search_path&amp;" /stypes=""app*"&amp;AGK28&amp;"*"&amp;TEXT(AGR28-utc_offset/24,"YYYYMMDD")&amp;"*"" /stext="" "&amp;TEXT(AGR28-utc_offset/24,"HH")&amp;search_regexp&amp;""""</f>
        <v>#REF!</v>
      </c>
      <c r="AHP28" s="234" t="e">
        <f>astrogrep_path&amp;" /e /r /s /spath="&amp;search_path&amp;" /stypes=""app*"&amp;AGL28&amp;"*"&amp;TEXT(AGS28-utc_offset/24,"YYYYMMDD")&amp;"*"" /stext="" "&amp;TEXT(AGS28-utc_offset/24,"HH")&amp;search_regexp&amp;""""</f>
        <v>#REF!</v>
      </c>
      <c r="AHQ28" s="234" t="e">
        <f>astrogrep_path&amp;" /e /r /s /spath="&amp;search_path&amp;" /stypes=""app*"&amp;AGM28&amp;"*"&amp;TEXT(AGT28-utc_offset/24,"YYYYMMDD")&amp;"*"" /stext="" "&amp;TEXT(AGT28-utc_offset/24,"HH")&amp;search_regexp&amp;""""</f>
        <v>#VALUE!</v>
      </c>
      <c r="AHR28" s="234" t="e">
        <f>astrogrep_path&amp;" /e /r /s /spath="&amp;search_path&amp;" /stypes=""app*"&amp;AGN28&amp;"*"&amp;TEXT(AGU28-utc_offset/24,"YYYYMMDD")&amp;"*"" /stext="" "&amp;TEXT(AGU28-utc_offset/24,"HH")&amp;search_regexp&amp;""""</f>
        <v>#VALUE!</v>
      </c>
      <c r="AHS28" s="234" t="e">
        <f>astrogrep_path&amp;" /e /r /s /spath="&amp;search_path&amp;" /stypes=""app*"&amp;AGO28&amp;"*"&amp;TEXT(AGV28-utc_offset/24,"YYYYMMDD")&amp;"*"" /stext="" "&amp;TEXT(AGV28-utc_offset/24,"HH")&amp;search_regexp&amp;""""</f>
        <v>#REF!</v>
      </c>
      <c r="AHT28" s="234" t="e">
        <f>astrogrep_path&amp;" /e /r /s /spath="&amp;search_path&amp;" /stypes=""app*"&amp;AGP28&amp;"*"&amp;TEXT(AGW28-utc_offset/24,"YYYYMMDD")&amp;"*"" /stext="" "&amp;TEXT(AGW28-utc_offset/24,"HH")&amp;search_regexp&amp;""""</f>
        <v>#REF!</v>
      </c>
      <c r="AHU28" s="234" t="e">
        <f>astrogrep_path&amp;" /e /r /s /spath="&amp;search_path&amp;" /stypes=""app*"&amp;AGQ28&amp;"*"&amp;TEXT(AGX28-utc_offset/24,"YYYYMMDD")&amp;"*"" /stext="" "&amp;TEXT(AGX28-utc_offset/24,"HH")&amp;search_regexp&amp;""""</f>
        <v>#VALUE!</v>
      </c>
      <c r="AHV28" s="234" t="e">
        <f>astrogrep_path&amp;" /e /r /s /spath="&amp;search_path&amp;" /stypes=""app*"&amp;AGR28&amp;"*"&amp;TEXT(AGY28-utc_offset/24,"YYYYMMDD")&amp;"*"" /stext="" "&amp;TEXT(AGY28-utc_offset/24,"HH")&amp;search_regexp&amp;""""</f>
        <v>#VALUE!</v>
      </c>
      <c r="AHW28" s="234" t="e">
        <f>astrogrep_path&amp;" /e /r /s /spath="&amp;search_path&amp;" /stypes=""app*"&amp;AGS28&amp;"*"&amp;TEXT(AGZ28-utc_offset/24,"YYYYMMDD")&amp;"*"" /stext="" "&amp;TEXT(AGZ28-utc_offset/24,"HH")&amp;search_regexp&amp;""""</f>
        <v>#VALUE!</v>
      </c>
      <c r="AHX28" s="234" t="e">
        <f>astrogrep_path&amp;" /e /r /s /spath="&amp;search_path&amp;" /stypes=""app*"&amp;AGT28&amp;"*"&amp;TEXT(AHA28-utc_offset/24,"YYYYMMDD")&amp;"*"" /stext="" "&amp;TEXT(AHA28-utc_offset/24,"HH")&amp;search_regexp&amp;""""</f>
        <v>#VALUE!</v>
      </c>
      <c r="AHY28" s="234" t="e">
        <f>astrogrep_path&amp;" /e /r /s /spath="&amp;search_path&amp;" /stypes=""app*"&amp;AGU28&amp;"*"&amp;TEXT(AHB28-utc_offset/24,"YYYYMMDD")&amp;"*"" /stext="" "&amp;TEXT(AHB28-utc_offset/24,"HH")&amp;search_regexp&amp;""""</f>
        <v>#VALUE!</v>
      </c>
      <c r="AHZ28" s="234" t="e">
        <f>astrogrep_path&amp;" /e /r /s /spath="&amp;search_path&amp;" /stypes=""app*"&amp;AGV28&amp;"*"&amp;TEXT(AHC28-utc_offset/24,"YYYYMMDD")&amp;"*"" /stext="" "&amp;TEXT(AHC28-utc_offset/24,"HH")&amp;search_regexp&amp;""""</f>
        <v>#REF!</v>
      </c>
      <c r="AIA28" s="234" t="e">
        <f>astrogrep_path&amp;" /e /r /s /spath="&amp;search_path&amp;" /stypes=""app*"&amp;AGW28&amp;"*"&amp;TEXT(AHD28-utc_offset/24,"YYYYMMDD")&amp;"*"" /stext="" "&amp;TEXT(AHD28-utc_offset/24,"HH")&amp;search_regexp&amp;""""</f>
        <v>#REF!</v>
      </c>
      <c r="AIB28" s="234" t="e">
        <f>astrogrep_path&amp;" /e /r /s /spath="&amp;search_path&amp;" /stypes=""app*"&amp;AGX28&amp;"*"&amp;TEXT(AHE28-utc_offset/24,"YYYYMMDD")&amp;"*"" /stext="" "&amp;TEXT(AHE28-utc_offset/24,"HH")&amp;search_regexp&amp;""""</f>
        <v>#REF!</v>
      </c>
      <c r="AIC28" s="234" t="e">
        <f>astrogrep_path&amp;" /e /r /s /spath="&amp;search_path&amp;" /stypes=""app*"&amp;AGY28&amp;"*"&amp;TEXT(AHF28-utc_offset/24,"YYYYMMDD")&amp;"*"" /stext="" "&amp;TEXT(AHF28-utc_offset/24,"HH")&amp;search_regexp&amp;""""</f>
        <v>#REF!</v>
      </c>
      <c r="AID28" s="234" t="e">
        <f>astrogrep_path&amp;" /e /r /s /spath="&amp;search_path&amp;" /stypes=""app*"&amp;AGZ28&amp;"*"&amp;TEXT(AHG28-utc_offset/24,"YYYYMMDD")&amp;"*"" /stext="" "&amp;TEXT(AHG28-utc_offset/24,"HH")&amp;search_regexp&amp;""""</f>
        <v>#REF!</v>
      </c>
      <c r="AIE28" s="234" t="e">
        <f>astrogrep_path&amp;" /e /r /s /spath="&amp;search_path&amp;" /stypes=""app*"&amp;AHA28&amp;"*"&amp;TEXT(AHH28-utc_offset/24,"YYYYMMDD")&amp;"*"" /stext="" "&amp;TEXT(AHH28-utc_offset/24,"HH")&amp;search_regexp&amp;""""</f>
        <v>#REF!</v>
      </c>
      <c r="AIF28" s="234" t="e">
        <f>astrogrep_path&amp;" /e /r /s /spath="&amp;search_path&amp;" /stypes=""app*"&amp;AHB28&amp;"*"&amp;TEXT(AHI28-utc_offset/24,"YYYYMMDD")&amp;"*"" /stext="" "&amp;TEXT(AHI28-utc_offset/24,"HH")&amp;search_regexp&amp;""""</f>
        <v>#REF!</v>
      </c>
      <c r="AIG28" s="234" t="e">
        <f>astrogrep_path&amp;" /e /r /s /spath="&amp;search_path&amp;" /stypes=""app*"&amp;AHC28&amp;"*"&amp;TEXT(AHJ28-utc_offset/24,"YYYYMMDD")&amp;"*"" /stext="" "&amp;TEXT(AHJ28-utc_offset/24,"HH")&amp;search_regexp&amp;""""</f>
        <v>#REF!</v>
      </c>
      <c r="AIH28" s="234" t="e">
        <f>astrogrep_path&amp;" /e /r /s /spath="&amp;search_path&amp;" /stypes=""app*"&amp;AHD28&amp;"*"&amp;TEXT(AHK28-utc_offset/24,"YYYYMMDD")&amp;"*"" /stext="" "&amp;TEXT(AHK28-utc_offset/24,"HH")&amp;search_regexp&amp;""""</f>
        <v>#REF!</v>
      </c>
      <c r="AII28" s="234" t="e">
        <f>astrogrep_path&amp;" /e /r /s /spath="&amp;search_path&amp;" /stypes=""app*"&amp;AHE28&amp;"*"&amp;TEXT(AHL28-utc_offset/24,"YYYYMMDD")&amp;"*"" /stext="" "&amp;TEXT(AHL28-utc_offset/24,"HH")&amp;search_regexp&amp;""""</f>
        <v>#REF!</v>
      </c>
      <c r="AIJ28" s="234" t="e">
        <f>astrogrep_path&amp;" /e /r /s /spath="&amp;search_path&amp;" /stypes=""app*"&amp;AHF28&amp;"*"&amp;TEXT(AHM28-utc_offset/24,"YYYYMMDD")&amp;"*"" /stext="" "&amp;TEXT(AHM28-utc_offset/24,"HH")&amp;search_regexp&amp;""""</f>
        <v>#REF!</v>
      </c>
      <c r="AIK28" s="234" t="e">
        <f>astrogrep_path&amp;" /e /r /s /spath="&amp;search_path&amp;" /stypes=""app*"&amp;AHG28&amp;"*"&amp;TEXT(AHN28-utc_offset/24,"YYYYMMDD")&amp;"*"" /stext="" "&amp;TEXT(AHN28-utc_offset/24,"HH")&amp;search_regexp&amp;""""</f>
        <v>#REF!</v>
      </c>
      <c r="AIL28" s="234" t="e">
        <f>astrogrep_path&amp;" /e /r /s /spath="&amp;search_path&amp;" /stypes=""app*"&amp;AHH28&amp;"*"&amp;TEXT(AHO28-utc_offset/24,"YYYYMMDD")&amp;"*"" /stext="" "&amp;TEXT(AHO28-utc_offset/24,"HH")&amp;search_regexp&amp;""""</f>
        <v>#REF!</v>
      </c>
      <c r="AIM28" s="234" t="e">
        <f>astrogrep_path&amp;" /e /r /s /spath="&amp;search_path&amp;" /stypes=""app*"&amp;AHI28&amp;"*"&amp;TEXT(AHP28-utc_offset/24,"YYYYMMDD")&amp;"*"" /stext="" "&amp;TEXT(AHP28-utc_offset/24,"HH")&amp;search_regexp&amp;""""</f>
        <v>#REF!</v>
      </c>
      <c r="AIN28" s="234" t="e">
        <f>astrogrep_path&amp;" /e /r /s /spath="&amp;search_path&amp;" /stypes=""app*"&amp;AHJ28&amp;"*"&amp;TEXT(AHQ28-utc_offset/24,"YYYYMMDD")&amp;"*"" /stext="" "&amp;TEXT(AHQ28-utc_offset/24,"HH")&amp;search_regexp&amp;""""</f>
        <v>#REF!</v>
      </c>
      <c r="AIO28" s="234" t="e">
        <f>astrogrep_path&amp;" /e /r /s /spath="&amp;search_path&amp;" /stypes=""app*"&amp;AHK28&amp;"*"&amp;TEXT(AHR28-utc_offset/24,"YYYYMMDD")&amp;"*"" /stext="" "&amp;TEXT(AHR28-utc_offset/24,"HH")&amp;search_regexp&amp;""""</f>
        <v>#REF!</v>
      </c>
      <c r="AIP28" s="234" t="e">
        <f>astrogrep_path&amp;" /e /r /s /spath="&amp;search_path&amp;" /stypes=""app*"&amp;AHL28&amp;"*"&amp;TEXT(AHS28-utc_offset/24,"YYYYMMDD")&amp;"*"" /stext="" "&amp;TEXT(AHS28-utc_offset/24,"HH")&amp;search_regexp&amp;""""</f>
        <v>#REF!</v>
      </c>
      <c r="AIQ28" s="234" t="e">
        <f>astrogrep_path&amp;" /e /r /s /spath="&amp;search_path&amp;" /stypes=""app*"&amp;AHM28&amp;"*"&amp;TEXT(AHT28-utc_offset/24,"YYYYMMDD")&amp;"*"" /stext="" "&amp;TEXT(AHT28-utc_offset/24,"HH")&amp;search_regexp&amp;""""</f>
        <v>#REF!</v>
      </c>
      <c r="AIR28" s="234" t="e">
        <f>astrogrep_path&amp;" /e /r /s /spath="&amp;search_path&amp;" /stypes=""app*"&amp;AHN28&amp;"*"&amp;TEXT(AHU28-utc_offset/24,"YYYYMMDD")&amp;"*"" /stext="" "&amp;TEXT(AHU28-utc_offset/24,"HH")&amp;search_regexp&amp;""""</f>
        <v>#REF!</v>
      </c>
      <c r="AIS28" s="234" t="e">
        <f>astrogrep_path&amp;" /e /r /s /spath="&amp;search_path&amp;" /stypes=""app*"&amp;AHO28&amp;"*"&amp;TEXT(AHV28-utc_offset/24,"YYYYMMDD")&amp;"*"" /stext="" "&amp;TEXT(AHV28-utc_offset/24,"HH")&amp;search_regexp&amp;""""</f>
        <v>#REF!</v>
      </c>
      <c r="AIT28" s="234" t="e">
        <f>astrogrep_path&amp;" /e /r /s /spath="&amp;search_path&amp;" /stypes=""app*"&amp;AHP28&amp;"*"&amp;TEXT(AHW28-utc_offset/24,"YYYYMMDD")&amp;"*"" /stext="" "&amp;TEXT(AHW28-utc_offset/24,"HH")&amp;search_regexp&amp;""""</f>
        <v>#REF!</v>
      </c>
      <c r="AIU28" s="234" t="e">
        <f>astrogrep_path&amp;" /e /r /s /spath="&amp;search_path&amp;" /stypes=""app*"&amp;AHQ28&amp;"*"&amp;TEXT(AHX28-utc_offset/24,"YYYYMMDD")&amp;"*"" /stext="" "&amp;TEXT(AHX28-utc_offset/24,"HH")&amp;search_regexp&amp;""""</f>
        <v>#VALUE!</v>
      </c>
      <c r="AIV28" s="234" t="e">
        <f>astrogrep_path&amp;" /e /r /s /spath="&amp;search_path&amp;" /stypes=""app*"&amp;AHR28&amp;"*"&amp;TEXT(AHY28-utc_offset/24,"YYYYMMDD")&amp;"*"" /stext="" "&amp;TEXT(AHY28-utc_offset/24,"HH")&amp;search_regexp&amp;""""</f>
        <v>#VALUE!</v>
      </c>
      <c r="AIW28" s="234" t="e">
        <f>astrogrep_path&amp;" /e /r /s /spath="&amp;search_path&amp;" /stypes=""app*"&amp;AHS28&amp;"*"&amp;TEXT(AHZ28-utc_offset/24,"YYYYMMDD")&amp;"*"" /stext="" "&amp;TEXT(AHZ28-utc_offset/24,"HH")&amp;search_regexp&amp;""""</f>
        <v>#REF!</v>
      </c>
      <c r="AIX28" s="234" t="e">
        <f>astrogrep_path&amp;" /e /r /s /spath="&amp;search_path&amp;" /stypes=""app*"&amp;AHT28&amp;"*"&amp;TEXT(AIA28-utc_offset/24,"YYYYMMDD")&amp;"*"" /stext="" "&amp;TEXT(AIA28-utc_offset/24,"HH")&amp;search_regexp&amp;""""</f>
        <v>#REF!</v>
      </c>
      <c r="AIY28" s="234" t="e">
        <f>astrogrep_path&amp;" /e /r /s /spath="&amp;search_path&amp;" /stypes=""app*"&amp;AHU28&amp;"*"&amp;TEXT(AIB28-utc_offset/24,"YYYYMMDD")&amp;"*"" /stext="" "&amp;TEXT(AIB28-utc_offset/24,"HH")&amp;search_regexp&amp;""""</f>
        <v>#VALUE!</v>
      </c>
      <c r="AIZ28" s="234" t="e">
        <f>astrogrep_path&amp;" /e /r /s /spath="&amp;search_path&amp;" /stypes=""app*"&amp;AHV28&amp;"*"&amp;TEXT(AIC28-utc_offset/24,"YYYYMMDD")&amp;"*"" /stext="" "&amp;TEXT(AIC28-utc_offset/24,"HH")&amp;search_regexp&amp;""""</f>
        <v>#VALUE!</v>
      </c>
      <c r="AJA28" s="234" t="e">
        <f>astrogrep_path&amp;" /e /r /s /spath="&amp;search_path&amp;" /stypes=""app*"&amp;AHW28&amp;"*"&amp;TEXT(AID28-utc_offset/24,"YYYYMMDD")&amp;"*"" /stext="" "&amp;TEXT(AID28-utc_offset/24,"HH")&amp;search_regexp&amp;""""</f>
        <v>#VALUE!</v>
      </c>
      <c r="AJB28" s="234" t="e">
        <f>astrogrep_path&amp;" /e /r /s /spath="&amp;search_path&amp;" /stypes=""app*"&amp;AHX28&amp;"*"&amp;TEXT(AIE28-utc_offset/24,"YYYYMMDD")&amp;"*"" /stext="" "&amp;TEXT(AIE28-utc_offset/24,"HH")&amp;search_regexp&amp;""""</f>
        <v>#VALUE!</v>
      </c>
      <c r="AJC28" s="234" t="e">
        <f>astrogrep_path&amp;" /e /r /s /spath="&amp;search_path&amp;" /stypes=""app*"&amp;AHY28&amp;"*"&amp;TEXT(AIF28-utc_offset/24,"YYYYMMDD")&amp;"*"" /stext="" "&amp;TEXT(AIF28-utc_offset/24,"HH")&amp;search_regexp&amp;""""</f>
        <v>#VALUE!</v>
      </c>
      <c r="AJD28" s="234" t="e">
        <f>astrogrep_path&amp;" /e /r /s /spath="&amp;search_path&amp;" /stypes=""app*"&amp;AHZ28&amp;"*"&amp;TEXT(AIG28-utc_offset/24,"YYYYMMDD")&amp;"*"" /stext="" "&amp;TEXT(AIG28-utc_offset/24,"HH")&amp;search_regexp&amp;""""</f>
        <v>#REF!</v>
      </c>
      <c r="AJE28" s="234" t="e">
        <f>astrogrep_path&amp;" /e /r /s /spath="&amp;search_path&amp;" /stypes=""app*"&amp;AIA28&amp;"*"&amp;TEXT(AIH28-utc_offset/24,"YYYYMMDD")&amp;"*"" /stext="" "&amp;TEXT(AIH28-utc_offset/24,"HH")&amp;search_regexp&amp;""""</f>
        <v>#REF!</v>
      </c>
      <c r="AJF28" s="234" t="e">
        <f>astrogrep_path&amp;" /e /r /s /spath="&amp;search_path&amp;" /stypes=""app*"&amp;AIB28&amp;"*"&amp;TEXT(AII28-utc_offset/24,"YYYYMMDD")&amp;"*"" /stext="" "&amp;TEXT(AII28-utc_offset/24,"HH")&amp;search_regexp&amp;""""</f>
        <v>#REF!</v>
      </c>
      <c r="AJG28" s="234" t="e">
        <f>astrogrep_path&amp;" /e /r /s /spath="&amp;search_path&amp;" /stypes=""app*"&amp;AIC28&amp;"*"&amp;TEXT(AIJ28-utc_offset/24,"YYYYMMDD")&amp;"*"" /stext="" "&amp;TEXT(AIJ28-utc_offset/24,"HH")&amp;search_regexp&amp;""""</f>
        <v>#REF!</v>
      </c>
      <c r="AJH28" s="234" t="e">
        <f>astrogrep_path&amp;" /e /r /s /spath="&amp;search_path&amp;" /stypes=""app*"&amp;AID28&amp;"*"&amp;TEXT(AIK28-utc_offset/24,"YYYYMMDD")&amp;"*"" /stext="" "&amp;TEXT(AIK28-utc_offset/24,"HH")&amp;search_regexp&amp;""""</f>
        <v>#REF!</v>
      </c>
      <c r="AJI28" s="234" t="e">
        <f>astrogrep_path&amp;" /e /r /s /spath="&amp;search_path&amp;" /stypes=""app*"&amp;AIE28&amp;"*"&amp;TEXT(AIL28-utc_offset/24,"YYYYMMDD")&amp;"*"" /stext="" "&amp;TEXT(AIL28-utc_offset/24,"HH")&amp;search_regexp&amp;""""</f>
        <v>#REF!</v>
      </c>
      <c r="AJJ28" s="234" t="e">
        <f>astrogrep_path&amp;" /e /r /s /spath="&amp;search_path&amp;" /stypes=""app*"&amp;AIF28&amp;"*"&amp;TEXT(AIM28-utc_offset/24,"YYYYMMDD")&amp;"*"" /stext="" "&amp;TEXT(AIM28-utc_offset/24,"HH")&amp;search_regexp&amp;""""</f>
        <v>#REF!</v>
      </c>
      <c r="AJK28" s="234" t="e">
        <f>astrogrep_path&amp;" /e /r /s /spath="&amp;search_path&amp;" /stypes=""app*"&amp;AIG28&amp;"*"&amp;TEXT(AIN28-utc_offset/24,"YYYYMMDD")&amp;"*"" /stext="" "&amp;TEXT(AIN28-utc_offset/24,"HH")&amp;search_regexp&amp;""""</f>
        <v>#REF!</v>
      </c>
      <c r="AJL28" s="234" t="e">
        <f>astrogrep_path&amp;" /e /r /s /spath="&amp;search_path&amp;" /stypes=""app*"&amp;AIH28&amp;"*"&amp;TEXT(AIO28-utc_offset/24,"YYYYMMDD")&amp;"*"" /stext="" "&amp;TEXT(AIO28-utc_offset/24,"HH")&amp;search_regexp&amp;""""</f>
        <v>#REF!</v>
      </c>
      <c r="AJM28" s="234" t="e">
        <f>astrogrep_path&amp;" /e /r /s /spath="&amp;search_path&amp;" /stypes=""app*"&amp;AII28&amp;"*"&amp;TEXT(AIP28-utc_offset/24,"YYYYMMDD")&amp;"*"" /stext="" "&amp;TEXT(AIP28-utc_offset/24,"HH")&amp;search_regexp&amp;""""</f>
        <v>#REF!</v>
      </c>
      <c r="AJN28" s="234" t="e">
        <f>astrogrep_path&amp;" /e /r /s /spath="&amp;search_path&amp;" /stypes=""app*"&amp;AIJ28&amp;"*"&amp;TEXT(AIQ28-utc_offset/24,"YYYYMMDD")&amp;"*"" /stext="" "&amp;TEXT(AIQ28-utc_offset/24,"HH")&amp;search_regexp&amp;""""</f>
        <v>#REF!</v>
      </c>
      <c r="AJO28" s="234" t="e">
        <f>astrogrep_path&amp;" /e /r /s /spath="&amp;search_path&amp;" /stypes=""app*"&amp;AIK28&amp;"*"&amp;TEXT(AIR28-utc_offset/24,"YYYYMMDD")&amp;"*"" /stext="" "&amp;TEXT(AIR28-utc_offset/24,"HH")&amp;search_regexp&amp;""""</f>
        <v>#REF!</v>
      </c>
      <c r="AJP28" s="234" t="e">
        <f>astrogrep_path&amp;" /e /r /s /spath="&amp;search_path&amp;" /stypes=""app*"&amp;AIL28&amp;"*"&amp;TEXT(AIS28-utc_offset/24,"YYYYMMDD")&amp;"*"" /stext="" "&amp;TEXT(AIS28-utc_offset/24,"HH")&amp;search_regexp&amp;""""</f>
        <v>#REF!</v>
      </c>
      <c r="AJQ28" s="234" t="e">
        <f>astrogrep_path&amp;" /e /r /s /spath="&amp;search_path&amp;" /stypes=""app*"&amp;AIM28&amp;"*"&amp;TEXT(AIT28-utc_offset/24,"YYYYMMDD")&amp;"*"" /stext="" "&amp;TEXT(AIT28-utc_offset/24,"HH")&amp;search_regexp&amp;""""</f>
        <v>#REF!</v>
      </c>
      <c r="AJR28" s="234" t="e">
        <f>astrogrep_path&amp;" /e /r /s /spath="&amp;search_path&amp;" /stypes=""app*"&amp;AIN28&amp;"*"&amp;TEXT(AIU28-utc_offset/24,"YYYYMMDD")&amp;"*"" /stext="" "&amp;TEXT(AIU28-utc_offset/24,"HH")&amp;search_regexp&amp;""""</f>
        <v>#REF!</v>
      </c>
      <c r="AJS28" s="234" t="e">
        <f>astrogrep_path&amp;" /e /r /s /spath="&amp;search_path&amp;" /stypes=""app*"&amp;AIO28&amp;"*"&amp;TEXT(AIV28-utc_offset/24,"YYYYMMDD")&amp;"*"" /stext="" "&amp;TEXT(AIV28-utc_offset/24,"HH")&amp;search_regexp&amp;""""</f>
        <v>#REF!</v>
      </c>
      <c r="AJT28" s="234" t="e">
        <f>astrogrep_path&amp;" /e /r /s /spath="&amp;search_path&amp;" /stypes=""app*"&amp;AIP28&amp;"*"&amp;TEXT(AIW28-utc_offset/24,"YYYYMMDD")&amp;"*"" /stext="" "&amp;TEXT(AIW28-utc_offset/24,"HH")&amp;search_regexp&amp;""""</f>
        <v>#REF!</v>
      </c>
      <c r="AJU28" s="234" t="e">
        <f>astrogrep_path&amp;" /e /r /s /spath="&amp;search_path&amp;" /stypes=""app*"&amp;AIQ28&amp;"*"&amp;TEXT(AIX28-utc_offset/24,"YYYYMMDD")&amp;"*"" /stext="" "&amp;TEXT(AIX28-utc_offset/24,"HH")&amp;search_regexp&amp;""""</f>
        <v>#REF!</v>
      </c>
      <c r="AJV28" s="234" t="e">
        <f>astrogrep_path&amp;" /e /r /s /spath="&amp;search_path&amp;" /stypes=""app*"&amp;AIR28&amp;"*"&amp;TEXT(AIY28-utc_offset/24,"YYYYMMDD")&amp;"*"" /stext="" "&amp;TEXT(AIY28-utc_offset/24,"HH")&amp;search_regexp&amp;""""</f>
        <v>#REF!</v>
      </c>
      <c r="AJW28" s="234" t="e">
        <f>astrogrep_path&amp;" /e /r /s /spath="&amp;search_path&amp;" /stypes=""app*"&amp;AIS28&amp;"*"&amp;TEXT(AIZ28-utc_offset/24,"YYYYMMDD")&amp;"*"" /stext="" "&amp;TEXT(AIZ28-utc_offset/24,"HH")&amp;search_regexp&amp;""""</f>
        <v>#REF!</v>
      </c>
      <c r="AJX28" s="234" t="e">
        <f>astrogrep_path&amp;" /e /r /s /spath="&amp;search_path&amp;" /stypes=""app*"&amp;AIT28&amp;"*"&amp;TEXT(AJA28-utc_offset/24,"YYYYMMDD")&amp;"*"" /stext="" "&amp;TEXT(AJA28-utc_offset/24,"HH")&amp;search_regexp&amp;""""</f>
        <v>#REF!</v>
      </c>
      <c r="AJY28" s="234" t="e">
        <f>astrogrep_path&amp;" /e /r /s /spath="&amp;search_path&amp;" /stypes=""app*"&amp;AIU28&amp;"*"&amp;TEXT(AJB28-utc_offset/24,"YYYYMMDD")&amp;"*"" /stext="" "&amp;TEXT(AJB28-utc_offset/24,"HH")&amp;search_regexp&amp;""""</f>
        <v>#VALUE!</v>
      </c>
      <c r="AJZ28" s="234" t="e">
        <f>astrogrep_path&amp;" /e /r /s /spath="&amp;search_path&amp;" /stypes=""app*"&amp;AIV28&amp;"*"&amp;TEXT(AJC28-utc_offset/24,"YYYYMMDD")&amp;"*"" /stext="" "&amp;TEXT(AJC28-utc_offset/24,"HH")&amp;search_regexp&amp;""""</f>
        <v>#VALUE!</v>
      </c>
      <c r="AKA28" s="234" t="e">
        <f>astrogrep_path&amp;" /e /r /s /spath="&amp;search_path&amp;" /stypes=""app*"&amp;AIW28&amp;"*"&amp;TEXT(AJD28-utc_offset/24,"YYYYMMDD")&amp;"*"" /stext="" "&amp;TEXT(AJD28-utc_offset/24,"HH")&amp;search_regexp&amp;""""</f>
        <v>#REF!</v>
      </c>
      <c r="AKB28" s="234" t="e">
        <f>astrogrep_path&amp;" /e /r /s /spath="&amp;search_path&amp;" /stypes=""app*"&amp;AIX28&amp;"*"&amp;TEXT(AJE28-utc_offset/24,"YYYYMMDD")&amp;"*"" /stext="" "&amp;TEXT(AJE28-utc_offset/24,"HH")&amp;search_regexp&amp;""""</f>
        <v>#REF!</v>
      </c>
      <c r="AKC28" s="234" t="e">
        <f>astrogrep_path&amp;" /e /r /s /spath="&amp;search_path&amp;" /stypes=""app*"&amp;AIY28&amp;"*"&amp;TEXT(AJF28-utc_offset/24,"YYYYMMDD")&amp;"*"" /stext="" "&amp;TEXT(AJF28-utc_offset/24,"HH")&amp;search_regexp&amp;""""</f>
        <v>#VALUE!</v>
      </c>
      <c r="AKD28" s="234" t="e">
        <f>astrogrep_path&amp;" /e /r /s /spath="&amp;search_path&amp;" /stypes=""app*"&amp;AIZ28&amp;"*"&amp;TEXT(AJG28-utc_offset/24,"YYYYMMDD")&amp;"*"" /stext="" "&amp;TEXT(AJG28-utc_offset/24,"HH")&amp;search_regexp&amp;""""</f>
        <v>#VALUE!</v>
      </c>
      <c r="AKE28" s="234" t="e">
        <f>astrogrep_path&amp;" /e /r /s /spath="&amp;search_path&amp;" /stypes=""app*"&amp;AJA28&amp;"*"&amp;TEXT(AJH28-utc_offset/24,"YYYYMMDD")&amp;"*"" /stext="" "&amp;TEXT(AJH28-utc_offset/24,"HH")&amp;search_regexp&amp;""""</f>
        <v>#VALUE!</v>
      </c>
      <c r="AKF28" s="234" t="e">
        <f>astrogrep_path&amp;" /e /r /s /spath="&amp;search_path&amp;" /stypes=""app*"&amp;AJB28&amp;"*"&amp;TEXT(AJI28-utc_offset/24,"YYYYMMDD")&amp;"*"" /stext="" "&amp;TEXT(AJI28-utc_offset/24,"HH")&amp;search_regexp&amp;""""</f>
        <v>#VALUE!</v>
      </c>
      <c r="AKG28" s="234" t="e">
        <f>astrogrep_path&amp;" /e /r /s /spath="&amp;search_path&amp;" /stypes=""app*"&amp;AJC28&amp;"*"&amp;TEXT(AJJ28-utc_offset/24,"YYYYMMDD")&amp;"*"" /stext="" "&amp;TEXT(AJJ28-utc_offset/24,"HH")&amp;search_regexp&amp;""""</f>
        <v>#VALUE!</v>
      </c>
      <c r="AKH28" s="234" t="e">
        <f>astrogrep_path&amp;" /e /r /s /spath="&amp;search_path&amp;" /stypes=""app*"&amp;AJD28&amp;"*"&amp;TEXT(AJK28-utc_offset/24,"YYYYMMDD")&amp;"*"" /stext="" "&amp;TEXT(AJK28-utc_offset/24,"HH")&amp;search_regexp&amp;""""</f>
        <v>#REF!</v>
      </c>
      <c r="AKI28" s="234" t="e">
        <f>astrogrep_path&amp;" /e /r /s /spath="&amp;search_path&amp;" /stypes=""app*"&amp;AJE28&amp;"*"&amp;TEXT(AJL28-utc_offset/24,"YYYYMMDD")&amp;"*"" /stext="" "&amp;TEXT(AJL28-utc_offset/24,"HH")&amp;search_regexp&amp;""""</f>
        <v>#REF!</v>
      </c>
      <c r="AKJ28" s="234" t="e">
        <f>astrogrep_path&amp;" /e /r /s /spath="&amp;search_path&amp;" /stypes=""app*"&amp;AJF28&amp;"*"&amp;TEXT(AJM28-utc_offset/24,"YYYYMMDD")&amp;"*"" /stext="" "&amp;TEXT(AJM28-utc_offset/24,"HH")&amp;search_regexp&amp;""""</f>
        <v>#REF!</v>
      </c>
      <c r="AKK28" s="234" t="e">
        <f>astrogrep_path&amp;" /e /r /s /spath="&amp;search_path&amp;" /stypes=""app*"&amp;AJG28&amp;"*"&amp;TEXT(AJN28-utc_offset/24,"YYYYMMDD")&amp;"*"" /stext="" "&amp;TEXT(AJN28-utc_offset/24,"HH")&amp;search_regexp&amp;""""</f>
        <v>#REF!</v>
      </c>
      <c r="AKL28" s="234" t="e">
        <f>astrogrep_path&amp;" /e /r /s /spath="&amp;search_path&amp;" /stypes=""app*"&amp;AJH28&amp;"*"&amp;TEXT(AJO28-utc_offset/24,"YYYYMMDD")&amp;"*"" /stext="" "&amp;TEXT(AJO28-utc_offset/24,"HH")&amp;search_regexp&amp;""""</f>
        <v>#REF!</v>
      </c>
      <c r="AKM28" s="234" t="e">
        <f>astrogrep_path&amp;" /e /r /s /spath="&amp;search_path&amp;" /stypes=""app*"&amp;AJI28&amp;"*"&amp;TEXT(AJP28-utc_offset/24,"YYYYMMDD")&amp;"*"" /stext="" "&amp;TEXT(AJP28-utc_offset/24,"HH")&amp;search_regexp&amp;""""</f>
        <v>#REF!</v>
      </c>
      <c r="AKN28" s="234" t="e">
        <f>astrogrep_path&amp;" /e /r /s /spath="&amp;search_path&amp;" /stypes=""app*"&amp;AJJ28&amp;"*"&amp;TEXT(AJQ28-utc_offset/24,"YYYYMMDD")&amp;"*"" /stext="" "&amp;TEXT(AJQ28-utc_offset/24,"HH")&amp;search_regexp&amp;""""</f>
        <v>#REF!</v>
      </c>
      <c r="AKO28" s="234" t="e">
        <f>astrogrep_path&amp;" /e /r /s /spath="&amp;search_path&amp;" /stypes=""app*"&amp;AJK28&amp;"*"&amp;TEXT(AJR28-utc_offset/24,"YYYYMMDD")&amp;"*"" /stext="" "&amp;TEXT(AJR28-utc_offset/24,"HH")&amp;search_regexp&amp;""""</f>
        <v>#REF!</v>
      </c>
      <c r="AKP28" s="234" t="e">
        <f>astrogrep_path&amp;" /e /r /s /spath="&amp;search_path&amp;" /stypes=""app*"&amp;AJL28&amp;"*"&amp;TEXT(AJS28-utc_offset/24,"YYYYMMDD")&amp;"*"" /stext="" "&amp;TEXT(AJS28-utc_offset/24,"HH")&amp;search_regexp&amp;""""</f>
        <v>#REF!</v>
      </c>
      <c r="AKQ28" s="234" t="e">
        <f>astrogrep_path&amp;" /e /r /s /spath="&amp;search_path&amp;" /stypes=""app*"&amp;AJM28&amp;"*"&amp;TEXT(AJT28-utc_offset/24,"YYYYMMDD")&amp;"*"" /stext="" "&amp;TEXT(AJT28-utc_offset/24,"HH")&amp;search_regexp&amp;""""</f>
        <v>#REF!</v>
      </c>
      <c r="AKR28" s="234" t="e">
        <f>astrogrep_path&amp;" /e /r /s /spath="&amp;search_path&amp;" /stypes=""app*"&amp;AJN28&amp;"*"&amp;TEXT(AJU28-utc_offset/24,"YYYYMMDD")&amp;"*"" /stext="" "&amp;TEXT(AJU28-utc_offset/24,"HH")&amp;search_regexp&amp;""""</f>
        <v>#REF!</v>
      </c>
      <c r="AKS28" s="234" t="e">
        <f>astrogrep_path&amp;" /e /r /s /spath="&amp;search_path&amp;" /stypes=""app*"&amp;AJO28&amp;"*"&amp;TEXT(AJV28-utc_offset/24,"YYYYMMDD")&amp;"*"" /stext="" "&amp;TEXT(AJV28-utc_offset/24,"HH")&amp;search_regexp&amp;""""</f>
        <v>#REF!</v>
      </c>
      <c r="AKT28" s="234" t="e">
        <f>astrogrep_path&amp;" /e /r /s /spath="&amp;search_path&amp;" /stypes=""app*"&amp;AJP28&amp;"*"&amp;TEXT(AJW28-utc_offset/24,"YYYYMMDD")&amp;"*"" /stext="" "&amp;TEXT(AJW28-utc_offset/24,"HH")&amp;search_regexp&amp;""""</f>
        <v>#REF!</v>
      </c>
      <c r="AKU28" s="234" t="e">
        <f>astrogrep_path&amp;" /e /r /s /spath="&amp;search_path&amp;" /stypes=""app*"&amp;AJQ28&amp;"*"&amp;TEXT(AJX28-utc_offset/24,"YYYYMMDD")&amp;"*"" /stext="" "&amp;TEXT(AJX28-utc_offset/24,"HH")&amp;search_regexp&amp;""""</f>
        <v>#REF!</v>
      </c>
      <c r="AKV28" s="234" t="e">
        <f>astrogrep_path&amp;" /e /r /s /spath="&amp;search_path&amp;" /stypes=""app*"&amp;AJR28&amp;"*"&amp;TEXT(AJY28-utc_offset/24,"YYYYMMDD")&amp;"*"" /stext="" "&amp;TEXT(AJY28-utc_offset/24,"HH")&amp;search_regexp&amp;""""</f>
        <v>#REF!</v>
      </c>
      <c r="AKW28" s="234" t="e">
        <f>astrogrep_path&amp;" /e /r /s /spath="&amp;search_path&amp;" /stypes=""app*"&amp;AJS28&amp;"*"&amp;TEXT(AJZ28-utc_offset/24,"YYYYMMDD")&amp;"*"" /stext="" "&amp;TEXT(AJZ28-utc_offset/24,"HH")&amp;search_regexp&amp;""""</f>
        <v>#REF!</v>
      </c>
      <c r="AKX28" s="234" t="e">
        <f>astrogrep_path&amp;" /e /r /s /spath="&amp;search_path&amp;" /stypes=""app*"&amp;AJT28&amp;"*"&amp;TEXT(AKA28-utc_offset/24,"YYYYMMDD")&amp;"*"" /stext="" "&amp;TEXT(AKA28-utc_offset/24,"HH")&amp;search_regexp&amp;""""</f>
        <v>#REF!</v>
      </c>
      <c r="AKY28" s="234" t="e">
        <f>astrogrep_path&amp;" /e /r /s /spath="&amp;search_path&amp;" /stypes=""app*"&amp;AJU28&amp;"*"&amp;TEXT(AKB28-utc_offset/24,"YYYYMMDD")&amp;"*"" /stext="" "&amp;TEXT(AKB28-utc_offset/24,"HH")&amp;search_regexp&amp;""""</f>
        <v>#REF!</v>
      </c>
      <c r="AKZ28" s="234" t="e">
        <f>astrogrep_path&amp;" /e /r /s /spath="&amp;search_path&amp;" /stypes=""app*"&amp;AJV28&amp;"*"&amp;TEXT(AKC28-utc_offset/24,"YYYYMMDD")&amp;"*"" /stext="" "&amp;TEXT(AKC28-utc_offset/24,"HH")&amp;search_regexp&amp;""""</f>
        <v>#REF!</v>
      </c>
      <c r="ALA28" s="234" t="e">
        <f>astrogrep_path&amp;" /e /r /s /spath="&amp;search_path&amp;" /stypes=""app*"&amp;AJW28&amp;"*"&amp;TEXT(AKD28-utc_offset/24,"YYYYMMDD")&amp;"*"" /stext="" "&amp;TEXT(AKD28-utc_offset/24,"HH")&amp;search_regexp&amp;""""</f>
        <v>#REF!</v>
      </c>
      <c r="ALB28" s="234" t="e">
        <f>astrogrep_path&amp;" /e /r /s /spath="&amp;search_path&amp;" /stypes=""app*"&amp;AJX28&amp;"*"&amp;TEXT(AKE28-utc_offset/24,"YYYYMMDD")&amp;"*"" /stext="" "&amp;TEXT(AKE28-utc_offset/24,"HH")&amp;search_regexp&amp;""""</f>
        <v>#REF!</v>
      </c>
      <c r="ALC28" s="234" t="e">
        <f>astrogrep_path&amp;" /e /r /s /spath="&amp;search_path&amp;" /stypes=""app*"&amp;AJY28&amp;"*"&amp;TEXT(AKF28-utc_offset/24,"YYYYMMDD")&amp;"*"" /stext="" "&amp;TEXT(AKF28-utc_offset/24,"HH")&amp;search_regexp&amp;""""</f>
        <v>#VALUE!</v>
      </c>
      <c r="ALD28" s="234" t="e">
        <f>astrogrep_path&amp;" /e /r /s /spath="&amp;search_path&amp;" /stypes=""app*"&amp;AJZ28&amp;"*"&amp;TEXT(AKG28-utc_offset/24,"YYYYMMDD")&amp;"*"" /stext="" "&amp;TEXT(AKG28-utc_offset/24,"HH")&amp;search_regexp&amp;""""</f>
        <v>#VALUE!</v>
      </c>
      <c r="ALE28" s="234" t="e">
        <f>astrogrep_path&amp;" /e /r /s /spath="&amp;search_path&amp;" /stypes=""app*"&amp;AKA28&amp;"*"&amp;TEXT(AKH28-utc_offset/24,"YYYYMMDD")&amp;"*"" /stext="" "&amp;TEXT(AKH28-utc_offset/24,"HH")&amp;search_regexp&amp;""""</f>
        <v>#REF!</v>
      </c>
      <c r="ALF28" s="234" t="e">
        <f>astrogrep_path&amp;" /e /r /s /spath="&amp;search_path&amp;" /stypes=""app*"&amp;AKB28&amp;"*"&amp;TEXT(AKI28-utc_offset/24,"YYYYMMDD")&amp;"*"" /stext="" "&amp;TEXT(AKI28-utc_offset/24,"HH")&amp;search_regexp&amp;""""</f>
        <v>#REF!</v>
      </c>
      <c r="ALG28" s="234" t="e">
        <f>astrogrep_path&amp;" /e /r /s /spath="&amp;search_path&amp;" /stypes=""app*"&amp;AKC28&amp;"*"&amp;TEXT(AKJ28-utc_offset/24,"YYYYMMDD")&amp;"*"" /stext="" "&amp;TEXT(AKJ28-utc_offset/24,"HH")&amp;search_regexp&amp;""""</f>
        <v>#VALUE!</v>
      </c>
      <c r="ALH28" s="234" t="e">
        <f>astrogrep_path&amp;" /e /r /s /spath="&amp;search_path&amp;" /stypes=""app*"&amp;AKD28&amp;"*"&amp;TEXT(AKK28-utc_offset/24,"YYYYMMDD")&amp;"*"" /stext="" "&amp;TEXT(AKK28-utc_offset/24,"HH")&amp;search_regexp&amp;""""</f>
        <v>#VALUE!</v>
      </c>
      <c r="ALI28" s="234" t="e">
        <f>astrogrep_path&amp;" /e /r /s /spath="&amp;search_path&amp;" /stypes=""app*"&amp;AKE28&amp;"*"&amp;TEXT(AKL28-utc_offset/24,"YYYYMMDD")&amp;"*"" /stext="" "&amp;TEXT(AKL28-utc_offset/24,"HH")&amp;search_regexp&amp;""""</f>
        <v>#VALUE!</v>
      </c>
      <c r="ALJ28" s="234" t="e">
        <f>astrogrep_path&amp;" /e /r /s /spath="&amp;search_path&amp;" /stypes=""app*"&amp;AKF28&amp;"*"&amp;TEXT(AKM28-utc_offset/24,"YYYYMMDD")&amp;"*"" /stext="" "&amp;TEXT(AKM28-utc_offset/24,"HH")&amp;search_regexp&amp;""""</f>
        <v>#VALUE!</v>
      </c>
      <c r="ALK28" s="234" t="e">
        <f>astrogrep_path&amp;" /e /r /s /spath="&amp;search_path&amp;" /stypes=""app*"&amp;AKG28&amp;"*"&amp;TEXT(AKN28-utc_offset/24,"YYYYMMDD")&amp;"*"" /stext="" "&amp;TEXT(AKN28-utc_offset/24,"HH")&amp;search_regexp&amp;""""</f>
        <v>#VALUE!</v>
      </c>
      <c r="ALL28" s="234" t="e">
        <f>astrogrep_path&amp;" /e /r /s /spath="&amp;search_path&amp;" /stypes=""app*"&amp;AKH28&amp;"*"&amp;TEXT(AKO28-utc_offset/24,"YYYYMMDD")&amp;"*"" /stext="" "&amp;TEXT(AKO28-utc_offset/24,"HH")&amp;search_regexp&amp;""""</f>
        <v>#REF!</v>
      </c>
      <c r="ALM28" s="234" t="e">
        <f>astrogrep_path&amp;" /e /r /s /spath="&amp;search_path&amp;" /stypes=""app*"&amp;AKI28&amp;"*"&amp;TEXT(AKP28-utc_offset/24,"YYYYMMDD")&amp;"*"" /stext="" "&amp;TEXT(AKP28-utc_offset/24,"HH")&amp;search_regexp&amp;""""</f>
        <v>#REF!</v>
      </c>
      <c r="ALN28" s="234" t="e">
        <f>astrogrep_path&amp;" /e /r /s /spath="&amp;search_path&amp;" /stypes=""app*"&amp;AKJ28&amp;"*"&amp;TEXT(AKQ28-utc_offset/24,"YYYYMMDD")&amp;"*"" /stext="" "&amp;TEXT(AKQ28-utc_offset/24,"HH")&amp;search_regexp&amp;""""</f>
        <v>#REF!</v>
      </c>
      <c r="ALO28" s="234" t="e">
        <f>astrogrep_path&amp;" /e /r /s /spath="&amp;search_path&amp;" /stypes=""app*"&amp;AKK28&amp;"*"&amp;TEXT(AKR28-utc_offset/24,"YYYYMMDD")&amp;"*"" /stext="" "&amp;TEXT(AKR28-utc_offset/24,"HH")&amp;search_regexp&amp;""""</f>
        <v>#REF!</v>
      </c>
      <c r="ALP28" s="234" t="e">
        <f>astrogrep_path&amp;" /e /r /s /spath="&amp;search_path&amp;" /stypes=""app*"&amp;AKL28&amp;"*"&amp;TEXT(AKS28-utc_offset/24,"YYYYMMDD")&amp;"*"" /stext="" "&amp;TEXT(AKS28-utc_offset/24,"HH")&amp;search_regexp&amp;""""</f>
        <v>#REF!</v>
      </c>
      <c r="ALQ28" s="234" t="e">
        <f>astrogrep_path&amp;" /e /r /s /spath="&amp;search_path&amp;" /stypes=""app*"&amp;AKM28&amp;"*"&amp;TEXT(AKT28-utc_offset/24,"YYYYMMDD")&amp;"*"" /stext="" "&amp;TEXT(AKT28-utc_offset/24,"HH")&amp;search_regexp&amp;""""</f>
        <v>#REF!</v>
      </c>
      <c r="ALR28" s="234" t="e">
        <f>astrogrep_path&amp;" /e /r /s /spath="&amp;search_path&amp;" /stypes=""app*"&amp;AKN28&amp;"*"&amp;TEXT(AKU28-utc_offset/24,"YYYYMMDD")&amp;"*"" /stext="" "&amp;TEXT(AKU28-utc_offset/24,"HH")&amp;search_regexp&amp;""""</f>
        <v>#REF!</v>
      </c>
      <c r="ALS28" s="234" t="e">
        <f>astrogrep_path&amp;" /e /r /s /spath="&amp;search_path&amp;" /stypes=""app*"&amp;AKO28&amp;"*"&amp;TEXT(AKV28-utc_offset/24,"YYYYMMDD")&amp;"*"" /stext="" "&amp;TEXT(AKV28-utc_offset/24,"HH")&amp;search_regexp&amp;""""</f>
        <v>#REF!</v>
      </c>
      <c r="ALT28" s="234" t="e">
        <f>astrogrep_path&amp;" /e /r /s /spath="&amp;search_path&amp;" /stypes=""app*"&amp;AKP28&amp;"*"&amp;TEXT(AKW28-utc_offset/24,"YYYYMMDD")&amp;"*"" /stext="" "&amp;TEXT(AKW28-utc_offset/24,"HH")&amp;search_regexp&amp;""""</f>
        <v>#REF!</v>
      </c>
      <c r="ALU28" s="234" t="e">
        <f>astrogrep_path&amp;" /e /r /s /spath="&amp;search_path&amp;" /stypes=""app*"&amp;AKQ28&amp;"*"&amp;TEXT(AKX28-utc_offset/24,"YYYYMMDD")&amp;"*"" /stext="" "&amp;TEXT(AKX28-utc_offset/24,"HH")&amp;search_regexp&amp;""""</f>
        <v>#REF!</v>
      </c>
      <c r="ALV28" s="234" t="e">
        <f>astrogrep_path&amp;" /e /r /s /spath="&amp;search_path&amp;" /stypes=""app*"&amp;AKR28&amp;"*"&amp;TEXT(AKY28-utc_offset/24,"YYYYMMDD")&amp;"*"" /stext="" "&amp;TEXT(AKY28-utc_offset/24,"HH")&amp;search_regexp&amp;""""</f>
        <v>#REF!</v>
      </c>
      <c r="ALW28" s="234" t="e">
        <f>astrogrep_path&amp;" /e /r /s /spath="&amp;search_path&amp;" /stypes=""app*"&amp;AKS28&amp;"*"&amp;TEXT(AKZ28-utc_offset/24,"YYYYMMDD")&amp;"*"" /stext="" "&amp;TEXT(AKZ28-utc_offset/24,"HH")&amp;search_regexp&amp;""""</f>
        <v>#REF!</v>
      </c>
      <c r="ALX28" s="234" t="e">
        <f>astrogrep_path&amp;" /e /r /s /spath="&amp;search_path&amp;" /stypes=""app*"&amp;AKT28&amp;"*"&amp;TEXT(ALA28-utc_offset/24,"YYYYMMDD")&amp;"*"" /stext="" "&amp;TEXT(ALA28-utc_offset/24,"HH")&amp;search_regexp&amp;""""</f>
        <v>#REF!</v>
      </c>
      <c r="ALY28" s="234" t="e">
        <f>astrogrep_path&amp;" /e /r /s /spath="&amp;search_path&amp;" /stypes=""app*"&amp;AKU28&amp;"*"&amp;TEXT(ALB28-utc_offset/24,"YYYYMMDD")&amp;"*"" /stext="" "&amp;TEXT(ALB28-utc_offset/24,"HH")&amp;search_regexp&amp;""""</f>
        <v>#REF!</v>
      </c>
      <c r="ALZ28" s="234" t="e">
        <f>astrogrep_path&amp;" /e /r /s /spath="&amp;search_path&amp;" /stypes=""app*"&amp;AKV28&amp;"*"&amp;TEXT(ALC28-utc_offset/24,"YYYYMMDD")&amp;"*"" /stext="" "&amp;TEXT(ALC28-utc_offset/24,"HH")&amp;search_regexp&amp;""""</f>
        <v>#REF!</v>
      </c>
      <c r="AMA28" s="234" t="e">
        <f>astrogrep_path&amp;" /e /r /s /spath="&amp;search_path&amp;" /stypes=""app*"&amp;AKW28&amp;"*"&amp;TEXT(ALD28-utc_offset/24,"YYYYMMDD")&amp;"*"" /stext="" "&amp;TEXT(ALD28-utc_offset/24,"HH")&amp;search_regexp&amp;""""</f>
        <v>#REF!</v>
      </c>
      <c r="AMB28" s="234" t="e">
        <f>astrogrep_path&amp;" /e /r /s /spath="&amp;search_path&amp;" /stypes=""app*"&amp;AKX28&amp;"*"&amp;TEXT(ALE28-utc_offset/24,"YYYYMMDD")&amp;"*"" /stext="" "&amp;TEXT(ALE28-utc_offset/24,"HH")&amp;search_regexp&amp;""""</f>
        <v>#REF!</v>
      </c>
      <c r="AMC28" s="234" t="e">
        <f>astrogrep_path&amp;" /e /r /s /spath="&amp;search_path&amp;" /stypes=""app*"&amp;AKY28&amp;"*"&amp;TEXT(ALF28-utc_offset/24,"YYYYMMDD")&amp;"*"" /stext="" "&amp;TEXT(ALF28-utc_offset/24,"HH")&amp;search_regexp&amp;""""</f>
        <v>#REF!</v>
      </c>
      <c r="AMD28" s="234" t="e">
        <f>astrogrep_path&amp;" /e /r /s /spath="&amp;search_path&amp;" /stypes=""app*"&amp;AKZ28&amp;"*"&amp;TEXT(ALG28-utc_offset/24,"YYYYMMDD")&amp;"*"" /stext="" "&amp;TEXT(ALG28-utc_offset/24,"HH")&amp;search_regexp&amp;""""</f>
        <v>#REF!</v>
      </c>
      <c r="AME28" s="234" t="e">
        <f>astrogrep_path&amp;" /e /r /s /spath="&amp;search_path&amp;" /stypes=""app*"&amp;ALA28&amp;"*"&amp;TEXT(ALH28-utc_offset/24,"YYYYMMDD")&amp;"*"" /stext="" "&amp;TEXT(ALH28-utc_offset/24,"HH")&amp;search_regexp&amp;""""</f>
        <v>#REF!</v>
      </c>
      <c r="AMF28" s="234" t="e">
        <f>astrogrep_path&amp;" /e /r /s /spath="&amp;search_path&amp;" /stypes=""app*"&amp;ALB28&amp;"*"&amp;TEXT(ALI28-utc_offset/24,"YYYYMMDD")&amp;"*"" /stext="" "&amp;TEXT(ALI28-utc_offset/24,"HH")&amp;search_regexp&amp;""""</f>
        <v>#REF!</v>
      </c>
      <c r="AMG28" s="234" t="e">
        <f>astrogrep_path&amp;" /e /r /s /spath="&amp;search_path&amp;" /stypes=""app*"&amp;ALC28&amp;"*"&amp;TEXT(ALJ28-utc_offset/24,"YYYYMMDD")&amp;"*"" /stext="" "&amp;TEXT(ALJ28-utc_offset/24,"HH")&amp;search_regexp&amp;""""</f>
        <v>#VALUE!</v>
      </c>
      <c r="AMH28" s="234" t="e">
        <f>astrogrep_path&amp;" /e /r /s /spath="&amp;search_path&amp;" /stypes=""app*"&amp;ALD28&amp;"*"&amp;TEXT(ALK28-utc_offset/24,"YYYYMMDD")&amp;"*"" /stext="" "&amp;TEXT(ALK28-utc_offset/24,"HH")&amp;search_regexp&amp;""""</f>
        <v>#VALUE!</v>
      </c>
      <c r="AMI28" s="234" t="e">
        <f>astrogrep_path&amp;" /e /r /s /spath="&amp;search_path&amp;" /stypes=""app*"&amp;ALE28&amp;"*"&amp;TEXT(ALL28-utc_offset/24,"YYYYMMDD")&amp;"*"" /stext="" "&amp;TEXT(ALL28-utc_offset/24,"HH")&amp;search_regexp&amp;""""</f>
        <v>#REF!</v>
      </c>
      <c r="AMJ28" s="234" t="e">
        <f>astrogrep_path&amp;" /e /r /s /spath="&amp;search_path&amp;" /stypes=""app*"&amp;ALF28&amp;"*"&amp;TEXT(ALM28-utc_offset/24,"YYYYMMDD")&amp;"*"" /stext="" "&amp;TEXT(ALM28-utc_offset/24,"HH")&amp;search_regexp&amp;""""</f>
        <v>#REF!</v>
      </c>
      <c r="AMK28" s="234" t="e">
        <f>astrogrep_path&amp;" /e /r /s /spath="&amp;search_path&amp;" /stypes=""app*"&amp;ALG28&amp;"*"&amp;TEXT(ALN28-utc_offset/24,"YYYYMMDD")&amp;"*"" /stext="" "&amp;TEXT(ALN28-utc_offset/24,"HH")&amp;search_regexp&amp;""""</f>
        <v>#VALUE!</v>
      </c>
      <c r="AML28" s="234" t="e">
        <f>astrogrep_path&amp;" /e /r /s /spath="&amp;search_path&amp;" /stypes=""app*"&amp;ALH28&amp;"*"&amp;TEXT(ALO28-utc_offset/24,"YYYYMMDD")&amp;"*"" /stext="" "&amp;TEXT(ALO28-utc_offset/24,"HH")&amp;search_regexp&amp;""""</f>
        <v>#VALUE!</v>
      </c>
      <c r="AMM28" s="234" t="e">
        <f>astrogrep_path&amp;" /e /r /s /spath="&amp;search_path&amp;" /stypes=""app*"&amp;ALI28&amp;"*"&amp;TEXT(ALP28-utc_offset/24,"YYYYMMDD")&amp;"*"" /stext="" "&amp;TEXT(ALP28-utc_offset/24,"HH")&amp;search_regexp&amp;""""</f>
        <v>#VALUE!</v>
      </c>
      <c r="AMN28" s="234" t="e">
        <f>astrogrep_path&amp;" /e /r /s /spath="&amp;search_path&amp;" /stypes=""app*"&amp;ALJ28&amp;"*"&amp;TEXT(ALQ28-utc_offset/24,"YYYYMMDD")&amp;"*"" /stext="" "&amp;TEXT(ALQ28-utc_offset/24,"HH")&amp;search_regexp&amp;""""</f>
        <v>#VALUE!</v>
      </c>
      <c r="AMO28" s="234" t="e">
        <f>astrogrep_path&amp;" /e /r /s /spath="&amp;search_path&amp;" /stypes=""app*"&amp;ALK28&amp;"*"&amp;TEXT(ALR28-utc_offset/24,"YYYYMMDD")&amp;"*"" /stext="" "&amp;TEXT(ALR28-utc_offset/24,"HH")&amp;search_regexp&amp;""""</f>
        <v>#VALUE!</v>
      </c>
      <c r="AMP28" s="234" t="e">
        <f>astrogrep_path&amp;" /e /r /s /spath="&amp;search_path&amp;" /stypes=""app*"&amp;ALL28&amp;"*"&amp;TEXT(ALS28-utc_offset/24,"YYYYMMDD")&amp;"*"" /stext="" "&amp;TEXT(ALS28-utc_offset/24,"HH")&amp;search_regexp&amp;""""</f>
        <v>#REF!</v>
      </c>
      <c r="AMQ28" s="234" t="e">
        <f>astrogrep_path&amp;" /e /r /s /spath="&amp;search_path&amp;" /stypes=""app*"&amp;ALM28&amp;"*"&amp;TEXT(ALT28-utc_offset/24,"YYYYMMDD")&amp;"*"" /stext="" "&amp;TEXT(ALT28-utc_offset/24,"HH")&amp;search_regexp&amp;""""</f>
        <v>#REF!</v>
      </c>
      <c r="AMR28" s="234" t="e">
        <f>astrogrep_path&amp;" /e /r /s /spath="&amp;search_path&amp;" /stypes=""app*"&amp;ALN28&amp;"*"&amp;TEXT(ALU28-utc_offset/24,"YYYYMMDD")&amp;"*"" /stext="" "&amp;TEXT(ALU28-utc_offset/24,"HH")&amp;search_regexp&amp;""""</f>
        <v>#REF!</v>
      </c>
      <c r="AMS28" s="234" t="e">
        <f>astrogrep_path&amp;" /e /r /s /spath="&amp;search_path&amp;" /stypes=""app*"&amp;ALO28&amp;"*"&amp;TEXT(ALV28-utc_offset/24,"YYYYMMDD")&amp;"*"" /stext="" "&amp;TEXT(ALV28-utc_offset/24,"HH")&amp;search_regexp&amp;""""</f>
        <v>#REF!</v>
      </c>
      <c r="AMT28" s="234" t="e">
        <f>astrogrep_path&amp;" /e /r /s /spath="&amp;search_path&amp;" /stypes=""app*"&amp;ALP28&amp;"*"&amp;TEXT(ALW28-utc_offset/24,"YYYYMMDD")&amp;"*"" /stext="" "&amp;TEXT(ALW28-utc_offset/24,"HH")&amp;search_regexp&amp;""""</f>
        <v>#REF!</v>
      </c>
      <c r="AMU28" s="234" t="e">
        <f>astrogrep_path&amp;" /e /r /s /spath="&amp;search_path&amp;" /stypes=""app*"&amp;ALQ28&amp;"*"&amp;TEXT(ALX28-utc_offset/24,"YYYYMMDD")&amp;"*"" /stext="" "&amp;TEXT(ALX28-utc_offset/24,"HH")&amp;search_regexp&amp;""""</f>
        <v>#REF!</v>
      </c>
      <c r="AMV28" s="234" t="e">
        <f>astrogrep_path&amp;" /e /r /s /spath="&amp;search_path&amp;" /stypes=""app*"&amp;ALR28&amp;"*"&amp;TEXT(ALY28-utc_offset/24,"YYYYMMDD")&amp;"*"" /stext="" "&amp;TEXT(ALY28-utc_offset/24,"HH")&amp;search_regexp&amp;""""</f>
        <v>#REF!</v>
      </c>
      <c r="AMW28" s="234" t="e">
        <f>astrogrep_path&amp;" /e /r /s /spath="&amp;search_path&amp;" /stypes=""app*"&amp;ALS28&amp;"*"&amp;TEXT(ALZ28-utc_offset/24,"YYYYMMDD")&amp;"*"" /stext="" "&amp;TEXT(ALZ28-utc_offset/24,"HH")&amp;search_regexp&amp;""""</f>
        <v>#REF!</v>
      </c>
      <c r="AMX28" s="234" t="e">
        <f>astrogrep_path&amp;" /e /r /s /spath="&amp;search_path&amp;" /stypes=""app*"&amp;ALT28&amp;"*"&amp;TEXT(AMA28-utc_offset/24,"YYYYMMDD")&amp;"*"" /stext="" "&amp;TEXT(AMA28-utc_offset/24,"HH")&amp;search_regexp&amp;""""</f>
        <v>#REF!</v>
      </c>
      <c r="AMY28" s="234" t="e">
        <f>astrogrep_path&amp;" /e /r /s /spath="&amp;search_path&amp;" /stypes=""app*"&amp;ALU28&amp;"*"&amp;TEXT(AMB28-utc_offset/24,"YYYYMMDD")&amp;"*"" /stext="" "&amp;TEXT(AMB28-utc_offset/24,"HH")&amp;search_regexp&amp;""""</f>
        <v>#REF!</v>
      </c>
      <c r="AMZ28" s="234" t="e">
        <f>astrogrep_path&amp;" /e /r /s /spath="&amp;search_path&amp;" /stypes=""app*"&amp;ALV28&amp;"*"&amp;TEXT(AMC28-utc_offset/24,"YYYYMMDD")&amp;"*"" /stext="" "&amp;TEXT(AMC28-utc_offset/24,"HH")&amp;search_regexp&amp;""""</f>
        <v>#REF!</v>
      </c>
      <c r="ANA28" s="234" t="e">
        <f>astrogrep_path&amp;" /e /r /s /spath="&amp;search_path&amp;" /stypes=""app*"&amp;ALW28&amp;"*"&amp;TEXT(AMD28-utc_offset/24,"YYYYMMDD")&amp;"*"" /stext="" "&amp;TEXT(AMD28-utc_offset/24,"HH")&amp;search_regexp&amp;""""</f>
        <v>#REF!</v>
      </c>
      <c r="ANB28" s="234" t="e">
        <f>astrogrep_path&amp;" /e /r /s /spath="&amp;search_path&amp;" /stypes=""app*"&amp;ALX28&amp;"*"&amp;TEXT(AME28-utc_offset/24,"YYYYMMDD")&amp;"*"" /stext="" "&amp;TEXT(AME28-utc_offset/24,"HH")&amp;search_regexp&amp;""""</f>
        <v>#REF!</v>
      </c>
      <c r="ANC28" s="234" t="e">
        <f>astrogrep_path&amp;" /e /r /s /spath="&amp;search_path&amp;" /stypes=""app*"&amp;ALY28&amp;"*"&amp;TEXT(AMF28-utc_offset/24,"YYYYMMDD")&amp;"*"" /stext="" "&amp;TEXT(AMF28-utc_offset/24,"HH")&amp;search_regexp&amp;""""</f>
        <v>#REF!</v>
      </c>
      <c r="AND28" s="234" t="e">
        <f>astrogrep_path&amp;" /e /r /s /spath="&amp;search_path&amp;" /stypes=""app*"&amp;ALZ28&amp;"*"&amp;TEXT(AMG28-utc_offset/24,"YYYYMMDD")&amp;"*"" /stext="" "&amp;TEXT(AMG28-utc_offset/24,"HH")&amp;search_regexp&amp;""""</f>
        <v>#REF!</v>
      </c>
      <c r="ANE28" s="234" t="e">
        <f>astrogrep_path&amp;" /e /r /s /spath="&amp;search_path&amp;" /stypes=""app*"&amp;AMA28&amp;"*"&amp;TEXT(AMH28-utc_offset/24,"YYYYMMDD")&amp;"*"" /stext="" "&amp;TEXT(AMH28-utc_offset/24,"HH")&amp;search_regexp&amp;""""</f>
        <v>#REF!</v>
      </c>
      <c r="ANF28" s="234" t="e">
        <f>astrogrep_path&amp;" /e /r /s /spath="&amp;search_path&amp;" /stypes=""app*"&amp;AMB28&amp;"*"&amp;TEXT(AMI28-utc_offset/24,"YYYYMMDD")&amp;"*"" /stext="" "&amp;TEXT(AMI28-utc_offset/24,"HH")&amp;search_regexp&amp;""""</f>
        <v>#REF!</v>
      </c>
      <c r="ANG28" s="234" t="e">
        <f>astrogrep_path&amp;" /e /r /s /spath="&amp;search_path&amp;" /stypes=""app*"&amp;AMC28&amp;"*"&amp;TEXT(AMJ28-utc_offset/24,"YYYYMMDD")&amp;"*"" /stext="" "&amp;TEXT(AMJ28-utc_offset/24,"HH")&amp;search_regexp&amp;""""</f>
        <v>#REF!</v>
      </c>
      <c r="ANH28" s="234" t="e">
        <f>astrogrep_path&amp;" /e /r /s /spath="&amp;search_path&amp;" /stypes=""app*"&amp;AMD28&amp;"*"&amp;TEXT(AMK28-utc_offset/24,"YYYYMMDD")&amp;"*"" /stext="" "&amp;TEXT(AMK28-utc_offset/24,"HH")&amp;search_regexp&amp;""""</f>
        <v>#REF!</v>
      </c>
      <c r="ANI28" s="234" t="e">
        <f>astrogrep_path&amp;" /e /r /s /spath="&amp;search_path&amp;" /stypes=""app*"&amp;AME28&amp;"*"&amp;TEXT(AML28-utc_offset/24,"YYYYMMDD")&amp;"*"" /stext="" "&amp;TEXT(AML28-utc_offset/24,"HH")&amp;search_regexp&amp;""""</f>
        <v>#REF!</v>
      </c>
      <c r="ANJ28" s="234" t="e">
        <f>astrogrep_path&amp;" /e /r /s /spath="&amp;search_path&amp;" /stypes=""app*"&amp;AMF28&amp;"*"&amp;TEXT(AMM28-utc_offset/24,"YYYYMMDD")&amp;"*"" /stext="" "&amp;TEXT(AMM28-utc_offset/24,"HH")&amp;search_regexp&amp;""""</f>
        <v>#REF!</v>
      </c>
      <c r="ANK28" s="234" t="e">
        <f>astrogrep_path&amp;" /e /r /s /spath="&amp;search_path&amp;" /stypes=""app*"&amp;AMG28&amp;"*"&amp;TEXT(AMN28-utc_offset/24,"YYYYMMDD")&amp;"*"" /stext="" "&amp;TEXT(AMN28-utc_offset/24,"HH")&amp;search_regexp&amp;""""</f>
        <v>#VALUE!</v>
      </c>
      <c r="ANL28" s="234" t="e">
        <f>astrogrep_path&amp;" /e /r /s /spath="&amp;search_path&amp;" /stypes=""app*"&amp;AMH28&amp;"*"&amp;TEXT(AMO28-utc_offset/24,"YYYYMMDD")&amp;"*"" /stext="" "&amp;TEXT(AMO28-utc_offset/24,"HH")&amp;search_regexp&amp;""""</f>
        <v>#VALUE!</v>
      </c>
      <c r="ANM28" s="234" t="e">
        <f>astrogrep_path&amp;" /e /r /s /spath="&amp;search_path&amp;" /stypes=""app*"&amp;AMI28&amp;"*"&amp;TEXT(AMP28-utc_offset/24,"YYYYMMDD")&amp;"*"" /stext="" "&amp;TEXT(AMP28-utc_offset/24,"HH")&amp;search_regexp&amp;""""</f>
        <v>#REF!</v>
      </c>
      <c r="ANN28" s="234" t="e">
        <f>astrogrep_path&amp;" /e /r /s /spath="&amp;search_path&amp;" /stypes=""app*"&amp;AMJ28&amp;"*"&amp;TEXT(AMQ28-utc_offset/24,"YYYYMMDD")&amp;"*"" /stext="" "&amp;TEXT(AMQ28-utc_offset/24,"HH")&amp;search_regexp&amp;""""</f>
        <v>#REF!</v>
      </c>
      <c r="ANO28" s="234" t="e">
        <f>astrogrep_path&amp;" /e /r /s /spath="&amp;search_path&amp;" /stypes=""app*"&amp;AMK28&amp;"*"&amp;TEXT(AMR28-utc_offset/24,"YYYYMMDD")&amp;"*"" /stext="" "&amp;TEXT(AMR28-utc_offset/24,"HH")&amp;search_regexp&amp;""""</f>
        <v>#VALUE!</v>
      </c>
      <c r="ANP28" s="234" t="e">
        <f>astrogrep_path&amp;" /e /r /s /spath="&amp;search_path&amp;" /stypes=""app*"&amp;AML28&amp;"*"&amp;TEXT(AMS28-utc_offset/24,"YYYYMMDD")&amp;"*"" /stext="" "&amp;TEXT(AMS28-utc_offset/24,"HH")&amp;search_regexp&amp;""""</f>
        <v>#VALUE!</v>
      </c>
      <c r="ANQ28" s="234" t="e">
        <f>astrogrep_path&amp;" /e /r /s /spath="&amp;search_path&amp;" /stypes=""app*"&amp;AMM28&amp;"*"&amp;TEXT(AMT28-utc_offset/24,"YYYYMMDD")&amp;"*"" /stext="" "&amp;TEXT(AMT28-utc_offset/24,"HH")&amp;search_regexp&amp;""""</f>
        <v>#VALUE!</v>
      </c>
      <c r="ANR28" s="234" t="e">
        <f>astrogrep_path&amp;" /e /r /s /spath="&amp;search_path&amp;" /stypes=""app*"&amp;AMN28&amp;"*"&amp;TEXT(AMU28-utc_offset/24,"YYYYMMDD")&amp;"*"" /stext="" "&amp;TEXT(AMU28-utc_offset/24,"HH")&amp;search_regexp&amp;""""</f>
        <v>#VALUE!</v>
      </c>
      <c r="ANS28" s="234" t="e">
        <f>astrogrep_path&amp;" /e /r /s /spath="&amp;search_path&amp;" /stypes=""app*"&amp;AMO28&amp;"*"&amp;TEXT(AMV28-utc_offset/24,"YYYYMMDD")&amp;"*"" /stext="" "&amp;TEXT(AMV28-utc_offset/24,"HH")&amp;search_regexp&amp;""""</f>
        <v>#VALUE!</v>
      </c>
      <c r="ANT28" s="234" t="e">
        <f>astrogrep_path&amp;" /e /r /s /spath="&amp;search_path&amp;" /stypes=""app*"&amp;AMP28&amp;"*"&amp;TEXT(AMW28-utc_offset/24,"YYYYMMDD")&amp;"*"" /stext="" "&amp;TEXT(AMW28-utc_offset/24,"HH")&amp;search_regexp&amp;""""</f>
        <v>#REF!</v>
      </c>
      <c r="ANU28" s="234" t="e">
        <f>astrogrep_path&amp;" /e /r /s /spath="&amp;search_path&amp;" /stypes=""app*"&amp;AMQ28&amp;"*"&amp;TEXT(AMX28-utc_offset/24,"YYYYMMDD")&amp;"*"" /stext="" "&amp;TEXT(AMX28-utc_offset/24,"HH")&amp;search_regexp&amp;""""</f>
        <v>#REF!</v>
      </c>
      <c r="ANV28" s="234" t="e">
        <f>astrogrep_path&amp;" /e /r /s /spath="&amp;search_path&amp;" /stypes=""app*"&amp;AMR28&amp;"*"&amp;TEXT(AMY28-utc_offset/24,"YYYYMMDD")&amp;"*"" /stext="" "&amp;TEXT(AMY28-utc_offset/24,"HH")&amp;search_regexp&amp;""""</f>
        <v>#REF!</v>
      </c>
      <c r="ANW28" s="234" t="e">
        <f>astrogrep_path&amp;" /e /r /s /spath="&amp;search_path&amp;" /stypes=""app*"&amp;AMS28&amp;"*"&amp;TEXT(AMZ28-utc_offset/24,"YYYYMMDD")&amp;"*"" /stext="" "&amp;TEXT(AMZ28-utc_offset/24,"HH")&amp;search_regexp&amp;""""</f>
        <v>#REF!</v>
      </c>
      <c r="ANX28" s="234" t="e">
        <f>astrogrep_path&amp;" /e /r /s /spath="&amp;search_path&amp;" /stypes=""app*"&amp;AMT28&amp;"*"&amp;TEXT(ANA28-utc_offset/24,"YYYYMMDD")&amp;"*"" /stext="" "&amp;TEXT(ANA28-utc_offset/24,"HH")&amp;search_regexp&amp;""""</f>
        <v>#REF!</v>
      </c>
      <c r="ANY28" s="234" t="e">
        <f>astrogrep_path&amp;" /e /r /s /spath="&amp;search_path&amp;" /stypes=""app*"&amp;AMU28&amp;"*"&amp;TEXT(ANB28-utc_offset/24,"YYYYMMDD")&amp;"*"" /stext="" "&amp;TEXT(ANB28-utc_offset/24,"HH")&amp;search_regexp&amp;""""</f>
        <v>#REF!</v>
      </c>
      <c r="ANZ28" s="234" t="e">
        <f>astrogrep_path&amp;" /e /r /s /spath="&amp;search_path&amp;" /stypes=""app*"&amp;AMV28&amp;"*"&amp;TEXT(ANC28-utc_offset/24,"YYYYMMDD")&amp;"*"" /stext="" "&amp;TEXT(ANC28-utc_offset/24,"HH")&amp;search_regexp&amp;""""</f>
        <v>#REF!</v>
      </c>
      <c r="AOA28" s="234" t="e">
        <f>astrogrep_path&amp;" /e /r /s /spath="&amp;search_path&amp;" /stypes=""app*"&amp;AMW28&amp;"*"&amp;TEXT(AND28-utc_offset/24,"YYYYMMDD")&amp;"*"" /stext="" "&amp;TEXT(AND28-utc_offset/24,"HH")&amp;search_regexp&amp;""""</f>
        <v>#REF!</v>
      </c>
      <c r="AOB28" s="234" t="e">
        <f>astrogrep_path&amp;" /e /r /s /spath="&amp;search_path&amp;" /stypes=""app*"&amp;AMX28&amp;"*"&amp;TEXT(ANE28-utc_offset/24,"YYYYMMDD")&amp;"*"" /stext="" "&amp;TEXT(ANE28-utc_offset/24,"HH")&amp;search_regexp&amp;""""</f>
        <v>#REF!</v>
      </c>
      <c r="AOC28" s="234" t="e">
        <f>astrogrep_path&amp;" /e /r /s /spath="&amp;search_path&amp;" /stypes=""app*"&amp;AMY28&amp;"*"&amp;TEXT(ANF28-utc_offset/24,"YYYYMMDD")&amp;"*"" /stext="" "&amp;TEXT(ANF28-utc_offset/24,"HH")&amp;search_regexp&amp;""""</f>
        <v>#REF!</v>
      </c>
      <c r="AOD28" s="234" t="e">
        <f>astrogrep_path&amp;" /e /r /s /spath="&amp;search_path&amp;" /stypes=""app*"&amp;AMZ28&amp;"*"&amp;TEXT(ANG28-utc_offset/24,"YYYYMMDD")&amp;"*"" /stext="" "&amp;TEXT(ANG28-utc_offset/24,"HH")&amp;search_regexp&amp;""""</f>
        <v>#REF!</v>
      </c>
      <c r="AOE28" s="234" t="e">
        <f>astrogrep_path&amp;" /e /r /s /spath="&amp;search_path&amp;" /stypes=""app*"&amp;ANA28&amp;"*"&amp;TEXT(ANH28-utc_offset/24,"YYYYMMDD")&amp;"*"" /stext="" "&amp;TEXT(ANH28-utc_offset/24,"HH")&amp;search_regexp&amp;""""</f>
        <v>#REF!</v>
      </c>
      <c r="AOF28" s="234" t="e">
        <f>astrogrep_path&amp;" /e /r /s /spath="&amp;search_path&amp;" /stypes=""app*"&amp;ANB28&amp;"*"&amp;TEXT(ANI28-utc_offset/24,"YYYYMMDD")&amp;"*"" /stext="" "&amp;TEXT(ANI28-utc_offset/24,"HH")&amp;search_regexp&amp;""""</f>
        <v>#REF!</v>
      </c>
      <c r="AOG28" s="234" t="e">
        <f>astrogrep_path&amp;" /e /r /s /spath="&amp;search_path&amp;" /stypes=""app*"&amp;ANC28&amp;"*"&amp;TEXT(ANJ28-utc_offset/24,"YYYYMMDD")&amp;"*"" /stext="" "&amp;TEXT(ANJ28-utc_offset/24,"HH")&amp;search_regexp&amp;""""</f>
        <v>#REF!</v>
      </c>
      <c r="AOH28" s="234" t="e">
        <f>astrogrep_path&amp;" /e /r /s /spath="&amp;search_path&amp;" /stypes=""app*"&amp;AND28&amp;"*"&amp;TEXT(ANK28-utc_offset/24,"YYYYMMDD")&amp;"*"" /stext="" "&amp;TEXT(ANK28-utc_offset/24,"HH")&amp;search_regexp&amp;""""</f>
        <v>#REF!</v>
      </c>
      <c r="AOI28" s="234" t="e">
        <f>astrogrep_path&amp;" /e /r /s /spath="&amp;search_path&amp;" /stypes=""app*"&amp;ANE28&amp;"*"&amp;TEXT(ANL28-utc_offset/24,"YYYYMMDD")&amp;"*"" /stext="" "&amp;TEXT(ANL28-utc_offset/24,"HH")&amp;search_regexp&amp;""""</f>
        <v>#REF!</v>
      </c>
      <c r="AOJ28" s="234" t="e">
        <f>astrogrep_path&amp;" /e /r /s /spath="&amp;search_path&amp;" /stypes=""app*"&amp;ANF28&amp;"*"&amp;TEXT(ANM28-utc_offset/24,"YYYYMMDD")&amp;"*"" /stext="" "&amp;TEXT(ANM28-utc_offset/24,"HH")&amp;search_regexp&amp;""""</f>
        <v>#REF!</v>
      </c>
      <c r="AOK28" s="234" t="e">
        <f>astrogrep_path&amp;" /e /r /s /spath="&amp;search_path&amp;" /stypes=""app*"&amp;ANG28&amp;"*"&amp;TEXT(ANN28-utc_offset/24,"YYYYMMDD")&amp;"*"" /stext="" "&amp;TEXT(ANN28-utc_offset/24,"HH")&amp;search_regexp&amp;""""</f>
        <v>#REF!</v>
      </c>
      <c r="AOL28" s="234" t="e">
        <f>astrogrep_path&amp;" /e /r /s /spath="&amp;search_path&amp;" /stypes=""app*"&amp;ANH28&amp;"*"&amp;TEXT(ANO28-utc_offset/24,"YYYYMMDD")&amp;"*"" /stext="" "&amp;TEXT(ANO28-utc_offset/24,"HH")&amp;search_regexp&amp;""""</f>
        <v>#REF!</v>
      </c>
      <c r="AOM28" s="234" t="e">
        <f>astrogrep_path&amp;" /e /r /s /spath="&amp;search_path&amp;" /stypes=""app*"&amp;ANI28&amp;"*"&amp;TEXT(ANP28-utc_offset/24,"YYYYMMDD")&amp;"*"" /stext="" "&amp;TEXT(ANP28-utc_offset/24,"HH")&amp;search_regexp&amp;""""</f>
        <v>#REF!</v>
      </c>
      <c r="AON28" s="234" t="e">
        <f>astrogrep_path&amp;" /e /r /s /spath="&amp;search_path&amp;" /stypes=""app*"&amp;ANJ28&amp;"*"&amp;TEXT(ANQ28-utc_offset/24,"YYYYMMDD")&amp;"*"" /stext="" "&amp;TEXT(ANQ28-utc_offset/24,"HH")&amp;search_regexp&amp;""""</f>
        <v>#REF!</v>
      </c>
      <c r="AOO28" s="234" t="e">
        <f>astrogrep_path&amp;" /e /r /s /spath="&amp;search_path&amp;" /stypes=""app*"&amp;ANK28&amp;"*"&amp;TEXT(ANR28-utc_offset/24,"YYYYMMDD")&amp;"*"" /stext="" "&amp;TEXT(ANR28-utc_offset/24,"HH")&amp;search_regexp&amp;""""</f>
        <v>#VALUE!</v>
      </c>
      <c r="AOP28" s="234" t="e">
        <f>astrogrep_path&amp;" /e /r /s /spath="&amp;search_path&amp;" /stypes=""app*"&amp;ANL28&amp;"*"&amp;TEXT(ANS28-utc_offset/24,"YYYYMMDD")&amp;"*"" /stext="" "&amp;TEXT(ANS28-utc_offset/24,"HH")&amp;search_regexp&amp;""""</f>
        <v>#VALUE!</v>
      </c>
      <c r="AOQ28" s="234" t="e">
        <f>astrogrep_path&amp;" /e /r /s /spath="&amp;search_path&amp;" /stypes=""app*"&amp;ANM28&amp;"*"&amp;TEXT(ANT28-utc_offset/24,"YYYYMMDD")&amp;"*"" /stext="" "&amp;TEXT(ANT28-utc_offset/24,"HH")&amp;search_regexp&amp;""""</f>
        <v>#REF!</v>
      </c>
      <c r="AOR28" s="234" t="e">
        <f>astrogrep_path&amp;" /e /r /s /spath="&amp;search_path&amp;" /stypes=""app*"&amp;ANN28&amp;"*"&amp;TEXT(ANU28-utc_offset/24,"YYYYMMDD")&amp;"*"" /stext="" "&amp;TEXT(ANU28-utc_offset/24,"HH")&amp;search_regexp&amp;""""</f>
        <v>#REF!</v>
      </c>
      <c r="AOS28" s="234" t="e">
        <f>astrogrep_path&amp;" /e /r /s /spath="&amp;search_path&amp;" /stypes=""app*"&amp;ANO28&amp;"*"&amp;TEXT(ANV28-utc_offset/24,"YYYYMMDD")&amp;"*"" /stext="" "&amp;TEXT(ANV28-utc_offset/24,"HH")&amp;search_regexp&amp;""""</f>
        <v>#VALUE!</v>
      </c>
      <c r="AOT28" s="234" t="e">
        <f>astrogrep_path&amp;" /e /r /s /spath="&amp;search_path&amp;" /stypes=""app*"&amp;ANP28&amp;"*"&amp;TEXT(ANW28-utc_offset/24,"YYYYMMDD")&amp;"*"" /stext="" "&amp;TEXT(ANW28-utc_offset/24,"HH")&amp;search_regexp&amp;""""</f>
        <v>#VALUE!</v>
      </c>
      <c r="AOU28" s="234" t="e">
        <f>astrogrep_path&amp;" /e /r /s /spath="&amp;search_path&amp;" /stypes=""app*"&amp;ANQ28&amp;"*"&amp;TEXT(ANX28-utc_offset/24,"YYYYMMDD")&amp;"*"" /stext="" "&amp;TEXT(ANX28-utc_offset/24,"HH")&amp;search_regexp&amp;""""</f>
        <v>#VALUE!</v>
      </c>
      <c r="AOV28" s="234" t="e">
        <f>astrogrep_path&amp;" /e /r /s /spath="&amp;search_path&amp;" /stypes=""app*"&amp;ANR28&amp;"*"&amp;TEXT(ANY28-utc_offset/24,"YYYYMMDD")&amp;"*"" /stext="" "&amp;TEXT(ANY28-utc_offset/24,"HH")&amp;search_regexp&amp;""""</f>
        <v>#VALUE!</v>
      </c>
      <c r="AOW28" s="234" t="e">
        <f>astrogrep_path&amp;" /e /r /s /spath="&amp;search_path&amp;" /stypes=""app*"&amp;ANS28&amp;"*"&amp;TEXT(ANZ28-utc_offset/24,"YYYYMMDD")&amp;"*"" /stext="" "&amp;TEXT(ANZ28-utc_offset/24,"HH")&amp;search_regexp&amp;""""</f>
        <v>#VALUE!</v>
      </c>
      <c r="AOX28" s="234" t="e">
        <f>astrogrep_path&amp;" /e /r /s /spath="&amp;search_path&amp;" /stypes=""app*"&amp;ANT28&amp;"*"&amp;TEXT(AOA28-utc_offset/24,"YYYYMMDD")&amp;"*"" /stext="" "&amp;TEXT(AOA28-utc_offset/24,"HH")&amp;search_regexp&amp;""""</f>
        <v>#REF!</v>
      </c>
      <c r="AOY28" s="234" t="e">
        <f>astrogrep_path&amp;" /e /r /s /spath="&amp;search_path&amp;" /stypes=""app*"&amp;ANU28&amp;"*"&amp;TEXT(AOB28-utc_offset/24,"YYYYMMDD")&amp;"*"" /stext="" "&amp;TEXT(AOB28-utc_offset/24,"HH")&amp;search_regexp&amp;""""</f>
        <v>#REF!</v>
      </c>
      <c r="AOZ28" s="234" t="e">
        <f>astrogrep_path&amp;" /e /r /s /spath="&amp;search_path&amp;" /stypes=""app*"&amp;ANV28&amp;"*"&amp;TEXT(AOC28-utc_offset/24,"YYYYMMDD")&amp;"*"" /stext="" "&amp;TEXT(AOC28-utc_offset/24,"HH")&amp;search_regexp&amp;""""</f>
        <v>#REF!</v>
      </c>
      <c r="APA28" s="234" t="e">
        <f>astrogrep_path&amp;" /e /r /s /spath="&amp;search_path&amp;" /stypes=""app*"&amp;ANW28&amp;"*"&amp;TEXT(AOD28-utc_offset/24,"YYYYMMDD")&amp;"*"" /stext="" "&amp;TEXT(AOD28-utc_offset/24,"HH")&amp;search_regexp&amp;""""</f>
        <v>#REF!</v>
      </c>
      <c r="APB28" s="234" t="e">
        <f>astrogrep_path&amp;" /e /r /s /spath="&amp;search_path&amp;" /stypes=""app*"&amp;ANX28&amp;"*"&amp;TEXT(AOE28-utc_offset/24,"YYYYMMDD")&amp;"*"" /stext="" "&amp;TEXT(AOE28-utc_offset/24,"HH")&amp;search_regexp&amp;""""</f>
        <v>#REF!</v>
      </c>
      <c r="APC28" s="234" t="e">
        <f>astrogrep_path&amp;" /e /r /s /spath="&amp;search_path&amp;" /stypes=""app*"&amp;ANY28&amp;"*"&amp;TEXT(AOF28-utc_offset/24,"YYYYMMDD")&amp;"*"" /stext="" "&amp;TEXT(AOF28-utc_offset/24,"HH")&amp;search_regexp&amp;""""</f>
        <v>#REF!</v>
      </c>
      <c r="APD28" s="234" t="e">
        <f>astrogrep_path&amp;" /e /r /s /spath="&amp;search_path&amp;" /stypes=""app*"&amp;ANZ28&amp;"*"&amp;TEXT(AOG28-utc_offset/24,"YYYYMMDD")&amp;"*"" /stext="" "&amp;TEXT(AOG28-utc_offset/24,"HH")&amp;search_regexp&amp;""""</f>
        <v>#REF!</v>
      </c>
      <c r="APE28" s="234" t="e">
        <f>astrogrep_path&amp;" /e /r /s /spath="&amp;search_path&amp;" /stypes=""app*"&amp;AOA28&amp;"*"&amp;TEXT(AOH28-utc_offset/24,"YYYYMMDD")&amp;"*"" /stext="" "&amp;TEXT(AOH28-utc_offset/24,"HH")&amp;search_regexp&amp;""""</f>
        <v>#REF!</v>
      </c>
      <c r="APF28" s="234" t="e">
        <f>astrogrep_path&amp;" /e /r /s /spath="&amp;search_path&amp;" /stypes=""app*"&amp;AOB28&amp;"*"&amp;TEXT(AOI28-utc_offset/24,"YYYYMMDD")&amp;"*"" /stext="" "&amp;TEXT(AOI28-utc_offset/24,"HH")&amp;search_regexp&amp;""""</f>
        <v>#REF!</v>
      </c>
      <c r="APG28" s="234" t="e">
        <f>astrogrep_path&amp;" /e /r /s /spath="&amp;search_path&amp;" /stypes=""app*"&amp;AOC28&amp;"*"&amp;TEXT(AOJ28-utc_offset/24,"YYYYMMDD")&amp;"*"" /stext="" "&amp;TEXT(AOJ28-utc_offset/24,"HH")&amp;search_regexp&amp;""""</f>
        <v>#REF!</v>
      </c>
      <c r="APH28" s="234" t="e">
        <f>astrogrep_path&amp;" /e /r /s /spath="&amp;search_path&amp;" /stypes=""app*"&amp;AOD28&amp;"*"&amp;TEXT(AOK28-utc_offset/24,"YYYYMMDD")&amp;"*"" /stext="" "&amp;TEXT(AOK28-utc_offset/24,"HH")&amp;search_regexp&amp;""""</f>
        <v>#REF!</v>
      </c>
      <c r="API28" s="234" t="e">
        <f>astrogrep_path&amp;" /e /r /s /spath="&amp;search_path&amp;" /stypes=""app*"&amp;AOE28&amp;"*"&amp;TEXT(AOL28-utc_offset/24,"YYYYMMDD")&amp;"*"" /stext="" "&amp;TEXT(AOL28-utc_offset/24,"HH")&amp;search_regexp&amp;""""</f>
        <v>#REF!</v>
      </c>
      <c r="APJ28" s="234" t="e">
        <f>astrogrep_path&amp;" /e /r /s /spath="&amp;search_path&amp;" /stypes=""app*"&amp;AOF28&amp;"*"&amp;TEXT(AOM28-utc_offset/24,"YYYYMMDD")&amp;"*"" /stext="" "&amp;TEXT(AOM28-utc_offset/24,"HH")&amp;search_regexp&amp;""""</f>
        <v>#REF!</v>
      </c>
      <c r="APK28" s="234" t="e">
        <f>astrogrep_path&amp;" /e /r /s /spath="&amp;search_path&amp;" /stypes=""app*"&amp;AOG28&amp;"*"&amp;TEXT(AON28-utc_offset/24,"YYYYMMDD")&amp;"*"" /stext="" "&amp;TEXT(AON28-utc_offset/24,"HH")&amp;search_regexp&amp;""""</f>
        <v>#REF!</v>
      </c>
      <c r="APL28" s="234" t="e">
        <f>astrogrep_path&amp;" /e /r /s /spath="&amp;search_path&amp;" /stypes=""app*"&amp;AOH28&amp;"*"&amp;TEXT(AOO28-utc_offset/24,"YYYYMMDD")&amp;"*"" /stext="" "&amp;TEXT(AOO28-utc_offset/24,"HH")&amp;search_regexp&amp;""""</f>
        <v>#REF!</v>
      </c>
      <c r="APM28" s="234" t="e">
        <f>astrogrep_path&amp;" /e /r /s /spath="&amp;search_path&amp;" /stypes=""app*"&amp;AOI28&amp;"*"&amp;TEXT(AOP28-utc_offset/24,"YYYYMMDD")&amp;"*"" /stext="" "&amp;TEXT(AOP28-utc_offset/24,"HH")&amp;search_regexp&amp;""""</f>
        <v>#REF!</v>
      </c>
      <c r="APN28" s="234" t="e">
        <f>astrogrep_path&amp;" /e /r /s /spath="&amp;search_path&amp;" /stypes=""app*"&amp;AOJ28&amp;"*"&amp;TEXT(AOQ28-utc_offset/24,"YYYYMMDD")&amp;"*"" /stext="" "&amp;TEXT(AOQ28-utc_offset/24,"HH")&amp;search_regexp&amp;""""</f>
        <v>#REF!</v>
      </c>
      <c r="APO28" s="234" t="e">
        <f>astrogrep_path&amp;" /e /r /s /spath="&amp;search_path&amp;" /stypes=""app*"&amp;AOK28&amp;"*"&amp;TEXT(AOR28-utc_offset/24,"YYYYMMDD")&amp;"*"" /stext="" "&amp;TEXT(AOR28-utc_offset/24,"HH")&amp;search_regexp&amp;""""</f>
        <v>#REF!</v>
      </c>
      <c r="APP28" s="234" t="e">
        <f>astrogrep_path&amp;" /e /r /s /spath="&amp;search_path&amp;" /stypes=""app*"&amp;AOL28&amp;"*"&amp;TEXT(AOS28-utc_offset/24,"YYYYMMDD")&amp;"*"" /stext="" "&amp;TEXT(AOS28-utc_offset/24,"HH")&amp;search_regexp&amp;""""</f>
        <v>#REF!</v>
      </c>
      <c r="APQ28" s="234" t="e">
        <f>astrogrep_path&amp;" /e /r /s /spath="&amp;search_path&amp;" /stypes=""app*"&amp;AOM28&amp;"*"&amp;TEXT(AOT28-utc_offset/24,"YYYYMMDD")&amp;"*"" /stext="" "&amp;TEXT(AOT28-utc_offset/24,"HH")&amp;search_regexp&amp;""""</f>
        <v>#REF!</v>
      </c>
      <c r="APR28" s="234" t="e">
        <f>astrogrep_path&amp;" /e /r /s /spath="&amp;search_path&amp;" /stypes=""app*"&amp;AON28&amp;"*"&amp;TEXT(AOU28-utc_offset/24,"YYYYMMDD")&amp;"*"" /stext="" "&amp;TEXT(AOU28-utc_offset/24,"HH")&amp;search_regexp&amp;""""</f>
        <v>#REF!</v>
      </c>
      <c r="APS28" s="234" t="e">
        <f>astrogrep_path&amp;" /e /r /s /spath="&amp;search_path&amp;" /stypes=""app*"&amp;AOO28&amp;"*"&amp;TEXT(AOV28-utc_offset/24,"YYYYMMDD")&amp;"*"" /stext="" "&amp;TEXT(AOV28-utc_offset/24,"HH")&amp;search_regexp&amp;""""</f>
        <v>#VALUE!</v>
      </c>
      <c r="APT28" s="234" t="e">
        <f>astrogrep_path&amp;" /e /r /s /spath="&amp;search_path&amp;" /stypes=""app*"&amp;AOP28&amp;"*"&amp;TEXT(AOW28-utc_offset/24,"YYYYMMDD")&amp;"*"" /stext="" "&amp;TEXT(AOW28-utc_offset/24,"HH")&amp;search_regexp&amp;""""</f>
        <v>#VALUE!</v>
      </c>
      <c r="APU28" s="234" t="e">
        <f>astrogrep_path&amp;" /e /r /s /spath="&amp;search_path&amp;" /stypes=""app*"&amp;AOQ28&amp;"*"&amp;TEXT(AOX28-utc_offset/24,"YYYYMMDD")&amp;"*"" /stext="" "&amp;TEXT(AOX28-utc_offset/24,"HH")&amp;search_regexp&amp;""""</f>
        <v>#REF!</v>
      </c>
      <c r="APV28" s="234" t="e">
        <f>astrogrep_path&amp;" /e /r /s /spath="&amp;search_path&amp;" /stypes=""app*"&amp;AOR28&amp;"*"&amp;TEXT(AOY28-utc_offset/24,"YYYYMMDD")&amp;"*"" /stext="" "&amp;TEXT(AOY28-utc_offset/24,"HH")&amp;search_regexp&amp;""""</f>
        <v>#REF!</v>
      </c>
      <c r="APW28" s="234" t="e">
        <f>astrogrep_path&amp;" /e /r /s /spath="&amp;search_path&amp;" /stypes=""app*"&amp;AOS28&amp;"*"&amp;TEXT(AOZ28-utc_offset/24,"YYYYMMDD")&amp;"*"" /stext="" "&amp;TEXT(AOZ28-utc_offset/24,"HH")&amp;search_regexp&amp;""""</f>
        <v>#VALUE!</v>
      </c>
      <c r="APX28" s="234" t="e">
        <f>astrogrep_path&amp;" /e /r /s /spath="&amp;search_path&amp;" /stypes=""app*"&amp;AOT28&amp;"*"&amp;TEXT(APA28-utc_offset/24,"YYYYMMDD")&amp;"*"" /stext="" "&amp;TEXT(APA28-utc_offset/24,"HH")&amp;search_regexp&amp;""""</f>
        <v>#VALUE!</v>
      </c>
      <c r="APY28" s="234" t="e">
        <f>astrogrep_path&amp;" /e /r /s /spath="&amp;search_path&amp;" /stypes=""app*"&amp;AOU28&amp;"*"&amp;TEXT(APB28-utc_offset/24,"YYYYMMDD")&amp;"*"" /stext="" "&amp;TEXT(APB28-utc_offset/24,"HH")&amp;search_regexp&amp;""""</f>
        <v>#VALUE!</v>
      </c>
      <c r="APZ28" s="234" t="e">
        <f>astrogrep_path&amp;" /e /r /s /spath="&amp;search_path&amp;" /stypes=""app*"&amp;AOV28&amp;"*"&amp;TEXT(APC28-utc_offset/24,"YYYYMMDD")&amp;"*"" /stext="" "&amp;TEXT(APC28-utc_offset/24,"HH")&amp;search_regexp&amp;""""</f>
        <v>#VALUE!</v>
      </c>
      <c r="AQA28" s="234" t="e">
        <f>astrogrep_path&amp;" /e /r /s /spath="&amp;search_path&amp;" /stypes=""app*"&amp;AOW28&amp;"*"&amp;TEXT(APD28-utc_offset/24,"YYYYMMDD")&amp;"*"" /stext="" "&amp;TEXT(APD28-utc_offset/24,"HH")&amp;search_regexp&amp;""""</f>
        <v>#VALUE!</v>
      </c>
      <c r="AQB28" s="234" t="e">
        <f>astrogrep_path&amp;" /e /r /s /spath="&amp;search_path&amp;" /stypes=""app*"&amp;AOX28&amp;"*"&amp;TEXT(APE28-utc_offset/24,"YYYYMMDD")&amp;"*"" /stext="" "&amp;TEXT(APE28-utc_offset/24,"HH")&amp;search_regexp&amp;""""</f>
        <v>#REF!</v>
      </c>
      <c r="AQC28" s="234" t="e">
        <f>astrogrep_path&amp;" /e /r /s /spath="&amp;search_path&amp;" /stypes=""app*"&amp;AOY28&amp;"*"&amp;TEXT(APF28-utc_offset/24,"YYYYMMDD")&amp;"*"" /stext="" "&amp;TEXT(APF28-utc_offset/24,"HH")&amp;search_regexp&amp;""""</f>
        <v>#REF!</v>
      </c>
      <c r="AQD28" s="234" t="e">
        <f>astrogrep_path&amp;" /e /r /s /spath="&amp;search_path&amp;" /stypes=""app*"&amp;AOZ28&amp;"*"&amp;TEXT(APG28-utc_offset/24,"YYYYMMDD")&amp;"*"" /stext="" "&amp;TEXT(APG28-utc_offset/24,"HH")&amp;search_regexp&amp;""""</f>
        <v>#REF!</v>
      </c>
      <c r="AQE28" s="234" t="e">
        <f>astrogrep_path&amp;" /e /r /s /spath="&amp;search_path&amp;" /stypes=""app*"&amp;APA28&amp;"*"&amp;TEXT(APH28-utc_offset/24,"YYYYMMDD")&amp;"*"" /stext="" "&amp;TEXT(APH28-utc_offset/24,"HH")&amp;search_regexp&amp;""""</f>
        <v>#REF!</v>
      </c>
      <c r="AQF28" s="234" t="e">
        <f>astrogrep_path&amp;" /e /r /s /spath="&amp;search_path&amp;" /stypes=""app*"&amp;APB28&amp;"*"&amp;TEXT(API28-utc_offset/24,"YYYYMMDD")&amp;"*"" /stext="" "&amp;TEXT(API28-utc_offset/24,"HH")&amp;search_regexp&amp;""""</f>
        <v>#REF!</v>
      </c>
      <c r="AQG28" s="234" t="e">
        <f>astrogrep_path&amp;" /e /r /s /spath="&amp;search_path&amp;" /stypes=""app*"&amp;APC28&amp;"*"&amp;TEXT(APJ28-utc_offset/24,"YYYYMMDD")&amp;"*"" /stext="" "&amp;TEXT(APJ28-utc_offset/24,"HH")&amp;search_regexp&amp;""""</f>
        <v>#REF!</v>
      </c>
      <c r="AQH28" s="234" t="e">
        <f>astrogrep_path&amp;" /e /r /s /spath="&amp;search_path&amp;" /stypes=""app*"&amp;APD28&amp;"*"&amp;TEXT(APK28-utc_offset/24,"YYYYMMDD")&amp;"*"" /stext="" "&amp;TEXT(APK28-utc_offset/24,"HH")&amp;search_regexp&amp;""""</f>
        <v>#REF!</v>
      </c>
      <c r="AQI28" s="234" t="e">
        <f>astrogrep_path&amp;" /e /r /s /spath="&amp;search_path&amp;" /stypes=""app*"&amp;APE28&amp;"*"&amp;TEXT(APL28-utc_offset/24,"YYYYMMDD")&amp;"*"" /stext="" "&amp;TEXT(APL28-utc_offset/24,"HH")&amp;search_regexp&amp;""""</f>
        <v>#REF!</v>
      </c>
      <c r="AQJ28" s="234" t="e">
        <f>astrogrep_path&amp;" /e /r /s /spath="&amp;search_path&amp;" /stypes=""app*"&amp;APF28&amp;"*"&amp;TEXT(APM28-utc_offset/24,"YYYYMMDD")&amp;"*"" /stext="" "&amp;TEXT(APM28-utc_offset/24,"HH")&amp;search_regexp&amp;""""</f>
        <v>#REF!</v>
      </c>
      <c r="AQK28" s="234" t="e">
        <f>astrogrep_path&amp;" /e /r /s /spath="&amp;search_path&amp;" /stypes=""app*"&amp;APG28&amp;"*"&amp;TEXT(APN28-utc_offset/24,"YYYYMMDD")&amp;"*"" /stext="" "&amp;TEXT(APN28-utc_offset/24,"HH")&amp;search_regexp&amp;""""</f>
        <v>#REF!</v>
      </c>
      <c r="AQL28" s="234" t="e">
        <f>astrogrep_path&amp;" /e /r /s /spath="&amp;search_path&amp;" /stypes=""app*"&amp;APH28&amp;"*"&amp;TEXT(APO28-utc_offset/24,"YYYYMMDD")&amp;"*"" /stext="" "&amp;TEXT(APO28-utc_offset/24,"HH")&amp;search_regexp&amp;""""</f>
        <v>#REF!</v>
      </c>
      <c r="AQM28" s="234" t="e">
        <f>astrogrep_path&amp;" /e /r /s /spath="&amp;search_path&amp;" /stypes=""app*"&amp;API28&amp;"*"&amp;TEXT(APP28-utc_offset/24,"YYYYMMDD")&amp;"*"" /stext="" "&amp;TEXT(APP28-utc_offset/24,"HH")&amp;search_regexp&amp;""""</f>
        <v>#REF!</v>
      </c>
      <c r="AQN28" s="234" t="e">
        <f>astrogrep_path&amp;" /e /r /s /spath="&amp;search_path&amp;" /stypes=""app*"&amp;APJ28&amp;"*"&amp;TEXT(APQ28-utc_offset/24,"YYYYMMDD")&amp;"*"" /stext="" "&amp;TEXT(APQ28-utc_offset/24,"HH")&amp;search_regexp&amp;""""</f>
        <v>#REF!</v>
      </c>
      <c r="AQO28" s="234" t="e">
        <f>astrogrep_path&amp;" /e /r /s /spath="&amp;search_path&amp;" /stypes=""app*"&amp;APK28&amp;"*"&amp;TEXT(APR28-utc_offset/24,"YYYYMMDD")&amp;"*"" /stext="" "&amp;TEXT(APR28-utc_offset/24,"HH")&amp;search_regexp&amp;""""</f>
        <v>#REF!</v>
      </c>
      <c r="AQP28" s="234" t="e">
        <f>astrogrep_path&amp;" /e /r /s /spath="&amp;search_path&amp;" /stypes=""app*"&amp;APL28&amp;"*"&amp;TEXT(APS28-utc_offset/24,"YYYYMMDD")&amp;"*"" /stext="" "&amp;TEXT(APS28-utc_offset/24,"HH")&amp;search_regexp&amp;""""</f>
        <v>#REF!</v>
      </c>
      <c r="AQQ28" s="234" t="e">
        <f>astrogrep_path&amp;" /e /r /s /spath="&amp;search_path&amp;" /stypes=""app*"&amp;APM28&amp;"*"&amp;TEXT(APT28-utc_offset/24,"YYYYMMDD")&amp;"*"" /stext="" "&amp;TEXT(APT28-utc_offset/24,"HH")&amp;search_regexp&amp;""""</f>
        <v>#REF!</v>
      </c>
      <c r="AQR28" s="234" t="e">
        <f>astrogrep_path&amp;" /e /r /s /spath="&amp;search_path&amp;" /stypes=""app*"&amp;APN28&amp;"*"&amp;TEXT(APU28-utc_offset/24,"YYYYMMDD")&amp;"*"" /stext="" "&amp;TEXT(APU28-utc_offset/24,"HH")&amp;search_regexp&amp;""""</f>
        <v>#REF!</v>
      </c>
      <c r="AQS28" s="234" t="e">
        <f>astrogrep_path&amp;" /e /r /s /spath="&amp;search_path&amp;" /stypes=""app*"&amp;APO28&amp;"*"&amp;TEXT(APV28-utc_offset/24,"YYYYMMDD")&amp;"*"" /stext="" "&amp;TEXT(APV28-utc_offset/24,"HH")&amp;search_regexp&amp;""""</f>
        <v>#REF!</v>
      </c>
      <c r="AQT28" s="234" t="e">
        <f>astrogrep_path&amp;" /e /r /s /spath="&amp;search_path&amp;" /stypes=""app*"&amp;APP28&amp;"*"&amp;TEXT(APW28-utc_offset/24,"YYYYMMDD")&amp;"*"" /stext="" "&amp;TEXT(APW28-utc_offset/24,"HH")&amp;search_regexp&amp;""""</f>
        <v>#REF!</v>
      </c>
      <c r="AQU28" s="234" t="e">
        <f>astrogrep_path&amp;" /e /r /s /spath="&amp;search_path&amp;" /stypes=""app*"&amp;APQ28&amp;"*"&amp;TEXT(APX28-utc_offset/24,"YYYYMMDD")&amp;"*"" /stext="" "&amp;TEXT(APX28-utc_offset/24,"HH")&amp;search_regexp&amp;""""</f>
        <v>#REF!</v>
      </c>
      <c r="AQV28" s="234" t="e">
        <f>astrogrep_path&amp;" /e /r /s /spath="&amp;search_path&amp;" /stypes=""app*"&amp;APR28&amp;"*"&amp;TEXT(APY28-utc_offset/24,"YYYYMMDD")&amp;"*"" /stext="" "&amp;TEXT(APY28-utc_offset/24,"HH")&amp;search_regexp&amp;""""</f>
        <v>#REF!</v>
      </c>
      <c r="AQW28" s="234" t="e">
        <f>astrogrep_path&amp;" /e /r /s /spath="&amp;search_path&amp;" /stypes=""app*"&amp;APS28&amp;"*"&amp;TEXT(APZ28-utc_offset/24,"YYYYMMDD")&amp;"*"" /stext="" "&amp;TEXT(APZ28-utc_offset/24,"HH")&amp;search_regexp&amp;""""</f>
        <v>#VALUE!</v>
      </c>
      <c r="AQX28" s="234" t="e">
        <f>astrogrep_path&amp;" /e /r /s /spath="&amp;search_path&amp;" /stypes=""app*"&amp;APT28&amp;"*"&amp;TEXT(AQA28-utc_offset/24,"YYYYMMDD")&amp;"*"" /stext="" "&amp;TEXT(AQA28-utc_offset/24,"HH")&amp;search_regexp&amp;""""</f>
        <v>#VALUE!</v>
      </c>
      <c r="AQY28" s="234" t="e">
        <f>astrogrep_path&amp;" /e /r /s /spath="&amp;search_path&amp;" /stypes=""app*"&amp;APU28&amp;"*"&amp;TEXT(AQB28-utc_offset/24,"YYYYMMDD")&amp;"*"" /stext="" "&amp;TEXT(AQB28-utc_offset/24,"HH")&amp;search_regexp&amp;""""</f>
        <v>#REF!</v>
      </c>
      <c r="AQZ28" s="234" t="e">
        <f>astrogrep_path&amp;" /e /r /s /spath="&amp;search_path&amp;" /stypes=""app*"&amp;APV28&amp;"*"&amp;TEXT(AQC28-utc_offset/24,"YYYYMMDD")&amp;"*"" /stext="" "&amp;TEXT(AQC28-utc_offset/24,"HH")&amp;search_regexp&amp;""""</f>
        <v>#REF!</v>
      </c>
      <c r="ARA28" s="234" t="e">
        <f>astrogrep_path&amp;" /e /r /s /spath="&amp;search_path&amp;" /stypes=""app*"&amp;APW28&amp;"*"&amp;TEXT(AQD28-utc_offset/24,"YYYYMMDD")&amp;"*"" /stext="" "&amp;TEXT(AQD28-utc_offset/24,"HH")&amp;search_regexp&amp;""""</f>
        <v>#VALUE!</v>
      </c>
      <c r="ARB28" s="234" t="e">
        <f>astrogrep_path&amp;" /e /r /s /spath="&amp;search_path&amp;" /stypes=""app*"&amp;APX28&amp;"*"&amp;TEXT(AQE28-utc_offset/24,"YYYYMMDD")&amp;"*"" /stext="" "&amp;TEXT(AQE28-utc_offset/24,"HH")&amp;search_regexp&amp;""""</f>
        <v>#VALUE!</v>
      </c>
      <c r="ARC28" s="234" t="e">
        <f>astrogrep_path&amp;" /e /r /s /spath="&amp;search_path&amp;" /stypes=""app*"&amp;APY28&amp;"*"&amp;TEXT(AQF28-utc_offset/24,"YYYYMMDD")&amp;"*"" /stext="" "&amp;TEXT(AQF28-utc_offset/24,"HH")&amp;search_regexp&amp;""""</f>
        <v>#VALUE!</v>
      </c>
      <c r="ARD28" s="234" t="e">
        <f>astrogrep_path&amp;" /e /r /s /spath="&amp;search_path&amp;" /stypes=""app*"&amp;APZ28&amp;"*"&amp;TEXT(AQG28-utc_offset/24,"YYYYMMDD")&amp;"*"" /stext="" "&amp;TEXT(AQG28-utc_offset/24,"HH")&amp;search_regexp&amp;""""</f>
        <v>#VALUE!</v>
      </c>
      <c r="ARE28" s="234" t="e">
        <f>astrogrep_path&amp;" /e /r /s /spath="&amp;search_path&amp;" /stypes=""app*"&amp;AQA28&amp;"*"&amp;TEXT(AQH28-utc_offset/24,"YYYYMMDD")&amp;"*"" /stext="" "&amp;TEXT(AQH28-utc_offset/24,"HH")&amp;search_regexp&amp;""""</f>
        <v>#VALUE!</v>
      </c>
      <c r="ARF28" s="234" t="e">
        <f>astrogrep_path&amp;" /e /r /s /spath="&amp;search_path&amp;" /stypes=""app*"&amp;AQB28&amp;"*"&amp;TEXT(AQI28-utc_offset/24,"YYYYMMDD")&amp;"*"" /stext="" "&amp;TEXT(AQI28-utc_offset/24,"HH")&amp;search_regexp&amp;""""</f>
        <v>#REF!</v>
      </c>
      <c r="ARG28" s="234" t="e">
        <f>astrogrep_path&amp;" /e /r /s /spath="&amp;search_path&amp;" /stypes=""app*"&amp;AQC28&amp;"*"&amp;TEXT(AQJ28-utc_offset/24,"YYYYMMDD")&amp;"*"" /stext="" "&amp;TEXT(AQJ28-utc_offset/24,"HH")&amp;search_regexp&amp;""""</f>
        <v>#REF!</v>
      </c>
      <c r="ARH28" s="234" t="e">
        <f>astrogrep_path&amp;" /e /r /s /spath="&amp;search_path&amp;" /stypes=""app*"&amp;AQD28&amp;"*"&amp;TEXT(AQK28-utc_offset/24,"YYYYMMDD")&amp;"*"" /stext="" "&amp;TEXT(AQK28-utc_offset/24,"HH")&amp;search_regexp&amp;""""</f>
        <v>#REF!</v>
      </c>
      <c r="ARI28" s="234" t="e">
        <f>astrogrep_path&amp;" /e /r /s /spath="&amp;search_path&amp;" /stypes=""app*"&amp;AQE28&amp;"*"&amp;TEXT(AQL28-utc_offset/24,"YYYYMMDD")&amp;"*"" /stext="" "&amp;TEXT(AQL28-utc_offset/24,"HH")&amp;search_regexp&amp;""""</f>
        <v>#REF!</v>
      </c>
      <c r="ARJ28" s="234" t="e">
        <f>astrogrep_path&amp;" /e /r /s /spath="&amp;search_path&amp;" /stypes=""app*"&amp;AQF28&amp;"*"&amp;TEXT(AQM28-utc_offset/24,"YYYYMMDD")&amp;"*"" /stext="" "&amp;TEXT(AQM28-utc_offset/24,"HH")&amp;search_regexp&amp;""""</f>
        <v>#REF!</v>
      </c>
      <c r="ARK28" s="234" t="e">
        <f>astrogrep_path&amp;" /e /r /s /spath="&amp;search_path&amp;" /stypes=""app*"&amp;AQG28&amp;"*"&amp;TEXT(AQN28-utc_offset/24,"YYYYMMDD")&amp;"*"" /stext="" "&amp;TEXT(AQN28-utc_offset/24,"HH")&amp;search_regexp&amp;""""</f>
        <v>#REF!</v>
      </c>
      <c r="ARL28" s="234" t="e">
        <f>astrogrep_path&amp;" /e /r /s /spath="&amp;search_path&amp;" /stypes=""app*"&amp;AQH28&amp;"*"&amp;TEXT(AQO28-utc_offset/24,"YYYYMMDD")&amp;"*"" /stext="" "&amp;TEXT(AQO28-utc_offset/24,"HH")&amp;search_regexp&amp;""""</f>
        <v>#REF!</v>
      </c>
      <c r="ARM28" s="234" t="e">
        <f>astrogrep_path&amp;" /e /r /s /spath="&amp;search_path&amp;" /stypes=""app*"&amp;AQI28&amp;"*"&amp;TEXT(AQP28-utc_offset/24,"YYYYMMDD")&amp;"*"" /stext="" "&amp;TEXT(AQP28-utc_offset/24,"HH")&amp;search_regexp&amp;""""</f>
        <v>#REF!</v>
      </c>
      <c r="ARN28" s="234" t="e">
        <f>astrogrep_path&amp;" /e /r /s /spath="&amp;search_path&amp;" /stypes=""app*"&amp;AQJ28&amp;"*"&amp;TEXT(AQQ28-utc_offset/24,"YYYYMMDD")&amp;"*"" /stext="" "&amp;TEXT(AQQ28-utc_offset/24,"HH")&amp;search_regexp&amp;""""</f>
        <v>#REF!</v>
      </c>
      <c r="ARO28" s="234" t="e">
        <f>astrogrep_path&amp;" /e /r /s /spath="&amp;search_path&amp;" /stypes=""app*"&amp;AQK28&amp;"*"&amp;TEXT(AQR28-utc_offset/24,"YYYYMMDD")&amp;"*"" /stext="" "&amp;TEXT(AQR28-utc_offset/24,"HH")&amp;search_regexp&amp;""""</f>
        <v>#REF!</v>
      </c>
      <c r="ARP28" s="234" t="e">
        <f>astrogrep_path&amp;" /e /r /s /spath="&amp;search_path&amp;" /stypes=""app*"&amp;AQL28&amp;"*"&amp;TEXT(AQS28-utc_offset/24,"YYYYMMDD")&amp;"*"" /stext="" "&amp;TEXT(AQS28-utc_offset/24,"HH")&amp;search_regexp&amp;""""</f>
        <v>#REF!</v>
      </c>
      <c r="ARQ28" s="234" t="e">
        <f>astrogrep_path&amp;" /e /r /s /spath="&amp;search_path&amp;" /stypes=""app*"&amp;AQM28&amp;"*"&amp;TEXT(AQT28-utc_offset/24,"YYYYMMDD")&amp;"*"" /stext="" "&amp;TEXT(AQT28-utc_offset/24,"HH")&amp;search_regexp&amp;""""</f>
        <v>#REF!</v>
      </c>
      <c r="ARR28" s="234" t="e">
        <f>astrogrep_path&amp;" /e /r /s /spath="&amp;search_path&amp;" /stypes=""app*"&amp;AQN28&amp;"*"&amp;TEXT(AQU28-utc_offset/24,"YYYYMMDD")&amp;"*"" /stext="" "&amp;TEXT(AQU28-utc_offset/24,"HH")&amp;search_regexp&amp;""""</f>
        <v>#REF!</v>
      </c>
      <c r="ARS28" s="234" t="e">
        <f>astrogrep_path&amp;" /e /r /s /spath="&amp;search_path&amp;" /stypes=""app*"&amp;AQO28&amp;"*"&amp;TEXT(AQV28-utc_offset/24,"YYYYMMDD")&amp;"*"" /stext="" "&amp;TEXT(AQV28-utc_offset/24,"HH")&amp;search_regexp&amp;""""</f>
        <v>#REF!</v>
      </c>
      <c r="ART28" s="234" t="e">
        <f>astrogrep_path&amp;" /e /r /s /spath="&amp;search_path&amp;" /stypes=""app*"&amp;AQP28&amp;"*"&amp;TEXT(AQW28-utc_offset/24,"YYYYMMDD")&amp;"*"" /stext="" "&amp;TEXT(AQW28-utc_offset/24,"HH")&amp;search_regexp&amp;""""</f>
        <v>#REF!</v>
      </c>
      <c r="ARU28" s="234" t="e">
        <f>astrogrep_path&amp;" /e /r /s /spath="&amp;search_path&amp;" /stypes=""app*"&amp;AQQ28&amp;"*"&amp;TEXT(AQX28-utc_offset/24,"YYYYMMDD")&amp;"*"" /stext="" "&amp;TEXT(AQX28-utc_offset/24,"HH")&amp;search_regexp&amp;""""</f>
        <v>#REF!</v>
      </c>
      <c r="ARV28" s="234" t="e">
        <f>astrogrep_path&amp;" /e /r /s /spath="&amp;search_path&amp;" /stypes=""app*"&amp;AQR28&amp;"*"&amp;TEXT(AQY28-utc_offset/24,"YYYYMMDD")&amp;"*"" /stext="" "&amp;TEXT(AQY28-utc_offset/24,"HH")&amp;search_regexp&amp;""""</f>
        <v>#REF!</v>
      </c>
      <c r="ARW28" s="234" t="e">
        <f>astrogrep_path&amp;" /e /r /s /spath="&amp;search_path&amp;" /stypes=""app*"&amp;AQS28&amp;"*"&amp;TEXT(AQZ28-utc_offset/24,"YYYYMMDD")&amp;"*"" /stext="" "&amp;TEXT(AQZ28-utc_offset/24,"HH")&amp;search_regexp&amp;""""</f>
        <v>#REF!</v>
      </c>
      <c r="ARX28" s="234" t="e">
        <f>astrogrep_path&amp;" /e /r /s /spath="&amp;search_path&amp;" /stypes=""app*"&amp;AQT28&amp;"*"&amp;TEXT(ARA28-utc_offset/24,"YYYYMMDD")&amp;"*"" /stext="" "&amp;TEXT(ARA28-utc_offset/24,"HH")&amp;search_regexp&amp;""""</f>
        <v>#REF!</v>
      </c>
      <c r="ARY28" s="234" t="e">
        <f>astrogrep_path&amp;" /e /r /s /spath="&amp;search_path&amp;" /stypes=""app*"&amp;AQU28&amp;"*"&amp;TEXT(ARB28-utc_offset/24,"YYYYMMDD")&amp;"*"" /stext="" "&amp;TEXT(ARB28-utc_offset/24,"HH")&amp;search_regexp&amp;""""</f>
        <v>#REF!</v>
      </c>
      <c r="ARZ28" s="234" t="e">
        <f>astrogrep_path&amp;" /e /r /s /spath="&amp;search_path&amp;" /stypes=""app*"&amp;AQV28&amp;"*"&amp;TEXT(ARC28-utc_offset/24,"YYYYMMDD")&amp;"*"" /stext="" "&amp;TEXT(ARC28-utc_offset/24,"HH")&amp;search_regexp&amp;""""</f>
        <v>#REF!</v>
      </c>
      <c r="ASA28" s="234" t="e">
        <f>astrogrep_path&amp;" /e /r /s /spath="&amp;search_path&amp;" /stypes=""app*"&amp;AQW28&amp;"*"&amp;TEXT(ARD28-utc_offset/24,"YYYYMMDD")&amp;"*"" /stext="" "&amp;TEXT(ARD28-utc_offset/24,"HH")&amp;search_regexp&amp;""""</f>
        <v>#VALUE!</v>
      </c>
      <c r="ASB28" s="234" t="e">
        <f>astrogrep_path&amp;" /e /r /s /spath="&amp;search_path&amp;" /stypes=""app*"&amp;AQX28&amp;"*"&amp;TEXT(ARE28-utc_offset/24,"YYYYMMDD")&amp;"*"" /stext="" "&amp;TEXT(ARE28-utc_offset/24,"HH")&amp;search_regexp&amp;""""</f>
        <v>#VALUE!</v>
      </c>
      <c r="ASC28" s="234" t="e">
        <f>astrogrep_path&amp;" /e /r /s /spath="&amp;search_path&amp;" /stypes=""app*"&amp;AQY28&amp;"*"&amp;TEXT(ARF28-utc_offset/24,"YYYYMMDD")&amp;"*"" /stext="" "&amp;TEXT(ARF28-utc_offset/24,"HH")&amp;search_regexp&amp;""""</f>
        <v>#REF!</v>
      </c>
      <c r="ASD28" s="234" t="e">
        <f>astrogrep_path&amp;" /e /r /s /spath="&amp;search_path&amp;" /stypes=""app*"&amp;AQZ28&amp;"*"&amp;TEXT(ARG28-utc_offset/24,"YYYYMMDD")&amp;"*"" /stext="" "&amp;TEXT(ARG28-utc_offset/24,"HH")&amp;search_regexp&amp;""""</f>
        <v>#REF!</v>
      </c>
      <c r="ASE28" s="234" t="e">
        <f>astrogrep_path&amp;" /e /r /s /spath="&amp;search_path&amp;" /stypes=""app*"&amp;ARA28&amp;"*"&amp;TEXT(ARH28-utc_offset/24,"YYYYMMDD")&amp;"*"" /stext="" "&amp;TEXT(ARH28-utc_offset/24,"HH")&amp;search_regexp&amp;""""</f>
        <v>#VALUE!</v>
      </c>
      <c r="ASF28" s="234" t="e">
        <f>astrogrep_path&amp;" /e /r /s /spath="&amp;search_path&amp;" /stypes=""app*"&amp;ARB28&amp;"*"&amp;TEXT(ARI28-utc_offset/24,"YYYYMMDD")&amp;"*"" /stext="" "&amp;TEXT(ARI28-utc_offset/24,"HH")&amp;search_regexp&amp;""""</f>
        <v>#VALUE!</v>
      </c>
      <c r="ASG28" s="234" t="e">
        <f>astrogrep_path&amp;" /e /r /s /spath="&amp;search_path&amp;" /stypes=""app*"&amp;ARC28&amp;"*"&amp;TEXT(ARJ28-utc_offset/24,"YYYYMMDD")&amp;"*"" /stext="" "&amp;TEXT(ARJ28-utc_offset/24,"HH")&amp;search_regexp&amp;""""</f>
        <v>#VALUE!</v>
      </c>
      <c r="ASH28" s="234" t="e">
        <f>astrogrep_path&amp;" /e /r /s /spath="&amp;search_path&amp;" /stypes=""app*"&amp;ARD28&amp;"*"&amp;TEXT(ARK28-utc_offset/24,"YYYYMMDD")&amp;"*"" /stext="" "&amp;TEXT(ARK28-utc_offset/24,"HH")&amp;search_regexp&amp;""""</f>
        <v>#VALUE!</v>
      </c>
      <c r="ASI28" s="234" t="e">
        <f>astrogrep_path&amp;" /e /r /s /spath="&amp;search_path&amp;" /stypes=""app*"&amp;ARE28&amp;"*"&amp;TEXT(ARL28-utc_offset/24,"YYYYMMDD")&amp;"*"" /stext="" "&amp;TEXT(ARL28-utc_offset/24,"HH")&amp;search_regexp&amp;""""</f>
        <v>#VALUE!</v>
      </c>
      <c r="ASJ28" s="234" t="e">
        <f>astrogrep_path&amp;" /e /r /s /spath="&amp;search_path&amp;" /stypes=""app*"&amp;ARF28&amp;"*"&amp;TEXT(ARM28-utc_offset/24,"YYYYMMDD")&amp;"*"" /stext="" "&amp;TEXT(ARM28-utc_offset/24,"HH")&amp;search_regexp&amp;""""</f>
        <v>#REF!</v>
      </c>
      <c r="ASK28" s="234" t="e">
        <f>astrogrep_path&amp;" /e /r /s /spath="&amp;search_path&amp;" /stypes=""app*"&amp;ARG28&amp;"*"&amp;TEXT(ARN28-utc_offset/24,"YYYYMMDD")&amp;"*"" /stext="" "&amp;TEXT(ARN28-utc_offset/24,"HH")&amp;search_regexp&amp;""""</f>
        <v>#REF!</v>
      </c>
      <c r="ASL28" s="234" t="e">
        <f>astrogrep_path&amp;" /e /r /s /spath="&amp;search_path&amp;" /stypes=""app*"&amp;ARH28&amp;"*"&amp;TEXT(ARO28-utc_offset/24,"YYYYMMDD")&amp;"*"" /stext="" "&amp;TEXT(ARO28-utc_offset/24,"HH")&amp;search_regexp&amp;""""</f>
        <v>#REF!</v>
      </c>
      <c r="ASM28" s="234" t="e">
        <f>astrogrep_path&amp;" /e /r /s /spath="&amp;search_path&amp;" /stypes=""app*"&amp;ARI28&amp;"*"&amp;TEXT(ARP28-utc_offset/24,"YYYYMMDD")&amp;"*"" /stext="" "&amp;TEXT(ARP28-utc_offset/24,"HH")&amp;search_regexp&amp;""""</f>
        <v>#REF!</v>
      </c>
      <c r="ASN28" s="234" t="e">
        <f>astrogrep_path&amp;" /e /r /s /spath="&amp;search_path&amp;" /stypes=""app*"&amp;ARJ28&amp;"*"&amp;TEXT(ARQ28-utc_offset/24,"YYYYMMDD")&amp;"*"" /stext="" "&amp;TEXT(ARQ28-utc_offset/24,"HH")&amp;search_regexp&amp;""""</f>
        <v>#REF!</v>
      </c>
      <c r="ASO28" s="234" t="e">
        <f>astrogrep_path&amp;" /e /r /s /spath="&amp;search_path&amp;" /stypes=""app*"&amp;ARK28&amp;"*"&amp;TEXT(ARR28-utc_offset/24,"YYYYMMDD")&amp;"*"" /stext="" "&amp;TEXT(ARR28-utc_offset/24,"HH")&amp;search_regexp&amp;""""</f>
        <v>#REF!</v>
      </c>
      <c r="ASP28" s="234" t="e">
        <f>astrogrep_path&amp;" /e /r /s /spath="&amp;search_path&amp;" /stypes=""app*"&amp;ARL28&amp;"*"&amp;TEXT(ARS28-utc_offset/24,"YYYYMMDD")&amp;"*"" /stext="" "&amp;TEXT(ARS28-utc_offset/24,"HH")&amp;search_regexp&amp;""""</f>
        <v>#REF!</v>
      </c>
      <c r="ASQ28" s="234" t="e">
        <f>astrogrep_path&amp;" /e /r /s /spath="&amp;search_path&amp;" /stypes=""app*"&amp;ARM28&amp;"*"&amp;TEXT(ART28-utc_offset/24,"YYYYMMDD")&amp;"*"" /stext="" "&amp;TEXT(ART28-utc_offset/24,"HH")&amp;search_regexp&amp;""""</f>
        <v>#REF!</v>
      </c>
      <c r="ASR28" s="234" t="e">
        <f>astrogrep_path&amp;" /e /r /s /spath="&amp;search_path&amp;" /stypes=""app*"&amp;ARN28&amp;"*"&amp;TEXT(ARU28-utc_offset/24,"YYYYMMDD")&amp;"*"" /stext="" "&amp;TEXT(ARU28-utc_offset/24,"HH")&amp;search_regexp&amp;""""</f>
        <v>#REF!</v>
      </c>
      <c r="ASS28" s="234" t="e">
        <f>astrogrep_path&amp;" /e /r /s /spath="&amp;search_path&amp;" /stypes=""app*"&amp;ARO28&amp;"*"&amp;TEXT(ARV28-utc_offset/24,"YYYYMMDD")&amp;"*"" /stext="" "&amp;TEXT(ARV28-utc_offset/24,"HH")&amp;search_regexp&amp;""""</f>
        <v>#REF!</v>
      </c>
      <c r="AST28" s="234" t="e">
        <f>astrogrep_path&amp;" /e /r /s /spath="&amp;search_path&amp;" /stypes=""app*"&amp;ARP28&amp;"*"&amp;TEXT(ARW28-utc_offset/24,"YYYYMMDD")&amp;"*"" /stext="" "&amp;TEXT(ARW28-utc_offset/24,"HH")&amp;search_regexp&amp;""""</f>
        <v>#REF!</v>
      </c>
      <c r="ASU28" s="234" t="e">
        <f>astrogrep_path&amp;" /e /r /s /spath="&amp;search_path&amp;" /stypes=""app*"&amp;ARQ28&amp;"*"&amp;TEXT(ARX28-utc_offset/24,"YYYYMMDD")&amp;"*"" /stext="" "&amp;TEXT(ARX28-utc_offset/24,"HH")&amp;search_regexp&amp;""""</f>
        <v>#REF!</v>
      </c>
      <c r="ASV28" s="234" t="e">
        <f>astrogrep_path&amp;" /e /r /s /spath="&amp;search_path&amp;" /stypes=""app*"&amp;ARR28&amp;"*"&amp;TEXT(ARY28-utc_offset/24,"YYYYMMDD")&amp;"*"" /stext="" "&amp;TEXT(ARY28-utc_offset/24,"HH")&amp;search_regexp&amp;""""</f>
        <v>#REF!</v>
      </c>
      <c r="ASW28" s="234" t="e">
        <f>astrogrep_path&amp;" /e /r /s /spath="&amp;search_path&amp;" /stypes=""app*"&amp;ARS28&amp;"*"&amp;TEXT(ARZ28-utc_offset/24,"YYYYMMDD")&amp;"*"" /stext="" "&amp;TEXT(ARZ28-utc_offset/24,"HH")&amp;search_regexp&amp;""""</f>
        <v>#REF!</v>
      </c>
      <c r="ASX28" s="234" t="e">
        <f>astrogrep_path&amp;" /e /r /s /spath="&amp;search_path&amp;" /stypes=""app*"&amp;ART28&amp;"*"&amp;TEXT(ASA28-utc_offset/24,"YYYYMMDD")&amp;"*"" /stext="" "&amp;TEXT(ASA28-utc_offset/24,"HH")&amp;search_regexp&amp;""""</f>
        <v>#REF!</v>
      </c>
      <c r="ASY28" s="234" t="e">
        <f>astrogrep_path&amp;" /e /r /s /spath="&amp;search_path&amp;" /stypes=""app*"&amp;ARU28&amp;"*"&amp;TEXT(ASB28-utc_offset/24,"YYYYMMDD")&amp;"*"" /stext="" "&amp;TEXT(ASB28-utc_offset/24,"HH")&amp;search_regexp&amp;""""</f>
        <v>#REF!</v>
      </c>
      <c r="ASZ28" s="234" t="e">
        <f>astrogrep_path&amp;" /e /r /s /spath="&amp;search_path&amp;" /stypes=""app*"&amp;ARV28&amp;"*"&amp;TEXT(ASC28-utc_offset/24,"YYYYMMDD")&amp;"*"" /stext="" "&amp;TEXT(ASC28-utc_offset/24,"HH")&amp;search_regexp&amp;""""</f>
        <v>#REF!</v>
      </c>
      <c r="ATA28" s="234" t="e">
        <f>astrogrep_path&amp;" /e /r /s /spath="&amp;search_path&amp;" /stypes=""app*"&amp;ARW28&amp;"*"&amp;TEXT(ASD28-utc_offset/24,"YYYYMMDD")&amp;"*"" /stext="" "&amp;TEXT(ASD28-utc_offset/24,"HH")&amp;search_regexp&amp;""""</f>
        <v>#REF!</v>
      </c>
      <c r="ATB28" s="234" t="e">
        <f>astrogrep_path&amp;" /e /r /s /spath="&amp;search_path&amp;" /stypes=""app*"&amp;ARX28&amp;"*"&amp;TEXT(ASE28-utc_offset/24,"YYYYMMDD")&amp;"*"" /stext="" "&amp;TEXT(ASE28-utc_offset/24,"HH")&amp;search_regexp&amp;""""</f>
        <v>#REF!</v>
      </c>
      <c r="ATC28" s="234" t="e">
        <f>astrogrep_path&amp;" /e /r /s /spath="&amp;search_path&amp;" /stypes=""app*"&amp;ARY28&amp;"*"&amp;TEXT(ASF28-utc_offset/24,"YYYYMMDD")&amp;"*"" /stext="" "&amp;TEXT(ASF28-utc_offset/24,"HH")&amp;search_regexp&amp;""""</f>
        <v>#REF!</v>
      </c>
      <c r="ATD28" s="234" t="e">
        <f>astrogrep_path&amp;" /e /r /s /spath="&amp;search_path&amp;" /stypes=""app*"&amp;ARZ28&amp;"*"&amp;TEXT(ASG28-utc_offset/24,"YYYYMMDD")&amp;"*"" /stext="" "&amp;TEXT(ASG28-utc_offset/24,"HH")&amp;search_regexp&amp;""""</f>
        <v>#REF!</v>
      </c>
      <c r="ATE28" s="234" t="e">
        <f>astrogrep_path&amp;" /e /r /s /spath="&amp;search_path&amp;" /stypes=""app*"&amp;ASA28&amp;"*"&amp;TEXT(ASH28-utc_offset/24,"YYYYMMDD")&amp;"*"" /stext="" "&amp;TEXT(ASH28-utc_offset/24,"HH")&amp;search_regexp&amp;""""</f>
        <v>#VALUE!</v>
      </c>
      <c r="ATF28" s="234" t="e">
        <f>astrogrep_path&amp;" /e /r /s /spath="&amp;search_path&amp;" /stypes=""app*"&amp;ASB28&amp;"*"&amp;TEXT(ASI28-utc_offset/24,"YYYYMMDD")&amp;"*"" /stext="" "&amp;TEXT(ASI28-utc_offset/24,"HH")&amp;search_regexp&amp;""""</f>
        <v>#VALUE!</v>
      </c>
      <c r="ATG28" s="234" t="e">
        <f>astrogrep_path&amp;" /e /r /s /spath="&amp;search_path&amp;" /stypes=""app*"&amp;ASC28&amp;"*"&amp;TEXT(ASJ28-utc_offset/24,"YYYYMMDD")&amp;"*"" /stext="" "&amp;TEXT(ASJ28-utc_offset/24,"HH")&amp;search_regexp&amp;""""</f>
        <v>#REF!</v>
      </c>
      <c r="ATH28" s="234" t="e">
        <f>astrogrep_path&amp;" /e /r /s /spath="&amp;search_path&amp;" /stypes=""app*"&amp;ASD28&amp;"*"&amp;TEXT(ASK28-utc_offset/24,"YYYYMMDD")&amp;"*"" /stext="" "&amp;TEXT(ASK28-utc_offset/24,"HH")&amp;search_regexp&amp;""""</f>
        <v>#REF!</v>
      </c>
      <c r="ATI28" s="234" t="e">
        <f>astrogrep_path&amp;" /e /r /s /spath="&amp;search_path&amp;" /stypes=""app*"&amp;ASE28&amp;"*"&amp;TEXT(ASL28-utc_offset/24,"YYYYMMDD")&amp;"*"" /stext="" "&amp;TEXT(ASL28-utc_offset/24,"HH")&amp;search_regexp&amp;""""</f>
        <v>#VALUE!</v>
      </c>
      <c r="ATJ28" s="234" t="e">
        <f>astrogrep_path&amp;" /e /r /s /spath="&amp;search_path&amp;" /stypes=""app*"&amp;ASF28&amp;"*"&amp;TEXT(ASM28-utc_offset/24,"YYYYMMDD")&amp;"*"" /stext="" "&amp;TEXT(ASM28-utc_offset/24,"HH")&amp;search_regexp&amp;""""</f>
        <v>#VALUE!</v>
      </c>
      <c r="ATK28" s="234" t="e">
        <f>astrogrep_path&amp;" /e /r /s /spath="&amp;search_path&amp;" /stypes=""app*"&amp;ASG28&amp;"*"&amp;TEXT(ASN28-utc_offset/24,"YYYYMMDD")&amp;"*"" /stext="" "&amp;TEXT(ASN28-utc_offset/24,"HH")&amp;search_regexp&amp;""""</f>
        <v>#VALUE!</v>
      </c>
      <c r="ATL28" s="234" t="e">
        <f>astrogrep_path&amp;" /e /r /s /spath="&amp;search_path&amp;" /stypes=""app*"&amp;ASH28&amp;"*"&amp;TEXT(ASO28-utc_offset/24,"YYYYMMDD")&amp;"*"" /stext="" "&amp;TEXT(ASO28-utc_offset/24,"HH")&amp;search_regexp&amp;""""</f>
        <v>#VALUE!</v>
      </c>
      <c r="ATM28" s="234" t="e">
        <f>astrogrep_path&amp;" /e /r /s /spath="&amp;search_path&amp;" /stypes=""app*"&amp;ASI28&amp;"*"&amp;TEXT(ASP28-utc_offset/24,"YYYYMMDD")&amp;"*"" /stext="" "&amp;TEXT(ASP28-utc_offset/24,"HH")&amp;search_regexp&amp;""""</f>
        <v>#VALUE!</v>
      </c>
      <c r="ATN28" s="234" t="e">
        <f>astrogrep_path&amp;" /e /r /s /spath="&amp;search_path&amp;" /stypes=""app*"&amp;ASJ28&amp;"*"&amp;TEXT(ASQ28-utc_offset/24,"YYYYMMDD")&amp;"*"" /stext="" "&amp;TEXT(ASQ28-utc_offset/24,"HH")&amp;search_regexp&amp;""""</f>
        <v>#REF!</v>
      </c>
      <c r="ATO28" s="234" t="e">
        <f>astrogrep_path&amp;" /e /r /s /spath="&amp;search_path&amp;" /stypes=""app*"&amp;ASK28&amp;"*"&amp;TEXT(ASR28-utc_offset/24,"YYYYMMDD")&amp;"*"" /stext="" "&amp;TEXT(ASR28-utc_offset/24,"HH")&amp;search_regexp&amp;""""</f>
        <v>#REF!</v>
      </c>
      <c r="ATP28" s="234" t="e">
        <f>astrogrep_path&amp;" /e /r /s /spath="&amp;search_path&amp;" /stypes=""app*"&amp;ASL28&amp;"*"&amp;TEXT(ASS28-utc_offset/24,"YYYYMMDD")&amp;"*"" /stext="" "&amp;TEXT(ASS28-utc_offset/24,"HH")&amp;search_regexp&amp;""""</f>
        <v>#REF!</v>
      </c>
      <c r="ATQ28" s="234" t="e">
        <f>astrogrep_path&amp;" /e /r /s /spath="&amp;search_path&amp;" /stypes=""app*"&amp;ASM28&amp;"*"&amp;TEXT(AST28-utc_offset/24,"YYYYMMDD")&amp;"*"" /stext="" "&amp;TEXT(AST28-utc_offset/24,"HH")&amp;search_regexp&amp;""""</f>
        <v>#REF!</v>
      </c>
      <c r="ATR28" s="234" t="e">
        <f>astrogrep_path&amp;" /e /r /s /spath="&amp;search_path&amp;" /stypes=""app*"&amp;ASN28&amp;"*"&amp;TEXT(ASU28-utc_offset/24,"YYYYMMDD")&amp;"*"" /stext="" "&amp;TEXT(ASU28-utc_offset/24,"HH")&amp;search_regexp&amp;""""</f>
        <v>#REF!</v>
      </c>
      <c r="ATS28" s="234" t="e">
        <f>astrogrep_path&amp;" /e /r /s /spath="&amp;search_path&amp;" /stypes=""app*"&amp;ASO28&amp;"*"&amp;TEXT(ASV28-utc_offset/24,"YYYYMMDD")&amp;"*"" /stext="" "&amp;TEXT(ASV28-utc_offset/24,"HH")&amp;search_regexp&amp;""""</f>
        <v>#REF!</v>
      </c>
      <c r="ATT28" s="234" t="e">
        <f>astrogrep_path&amp;" /e /r /s /spath="&amp;search_path&amp;" /stypes=""app*"&amp;ASP28&amp;"*"&amp;TEXT(ASW28-utc_offset/24,"YYYYMMDD")&amp;"*"" /stext="" "&amp;TEXT(ASW28-utc_offset/24,"HH")&amp;search_regexp&amp;""""</f>
        <v>#REF!</v>
      </c>
      <c r="ATU28" s="234" t="e">
        <f>astrogrep_path&amp;" /e /r /s /spath="&amp;search_path&amp;" /stypes=""app*"&amp;ASQ28&amp;"*"&amp;TEXT(ASX28-utc_offset/24,"YYYYMMDD")&amp;"*"" /stext="" "&amp;TEXT(ASX28-utc_offset/24,"HH")&amp;search_regexp&amp;""""</f>
        <v>#REF!</v>
      </c>
      <c r="ATV28" s="234" t="e">
        <f>astrogrep_path&amp;" /e /r /s /spath="&amp;search_path&amp;" /stypes=""app*"&amp;ASR28&amp;"*"&amp;TEXT(ASY28-utc_offset/24,"YYYYMMDD")&amp;"*"" /stext="" "&amp;TEXT(ASY28-utc_offset/24,"HH")&amp;search_regexp&amp;""""</f>
        <v>#REF!</v>
      </c>
      <c r="ATW28" s="234" t="e">
        <f>astrogrep_path&amp;" /e /r /s /spath="&amp;search_path&amp;" /stypes=""app*"&amp;ASS28&amp;"*"&amp;TEXT(ASZ28-utc_offset/24,"YYYYMMDD")&amp;"*"" /stext="" "&amp;TEXT(ASZ28-utc_offset/24,"HH")&amp;search_regexp&amp;""""</f>
        <v>#REF!</v>
      </c>
      <c r="ATX28" s="234" t="e">
        <f>astrogrep_path&amp;" /e /r /s /spath="&amp;search_path&amp;" /stypes=""app*"&amp;AST28&amp;"*"&amp;TEXT(ATA28-utc_offset/24,"YYYYMMDD")&amp;"*"" /stext="" "&amp;TEXT(ATA28-utc_offset/24,"HH")&amp;search_regexp&amp;""""</f>
        <v>#REF!</v>
      </c>
      <c r="ATY28" s="234" t="e">
        <f>astrogrep_path&amp;" /e /r /s /spath="&amp;search_path&amp;" /stypes=""app*"&amp;ASU28&amp;"*"&amp;TEXT(ATB28-utc_offset/24,"YYYYMMDD")&amp;"*"" /stext="" "&amp;TEXT(ATB28-utc_offset/24,"HH")&amp;search_regexp&amp;""""</f>
        <v>#REF!</v>
      </c>
      <c r="ATZ28" s="234" t="e">
        <f>astrogrep_path&amp;" /e /r /s /spath="&amp;search_path&amp;" /stypes=""app*"&amp;ASV28&amp;"*"&amp;TEXT(ATC28-utc_offset/24,"YYYYMMDD")&amp;"*"" /stext="" "&amp;TEXT(ATC28-utc_offset/24,"HH")&amp;search_regexp&amp;""""</f>
        <v>#REF!</v>
      </c>
      <c r="AUA28" s="234" t="e">
        <f>astrogrep_path&amp;" /e /r /s /spath="&amp;search_path&amp;" /stypes=""app*"&amp;ASW28&amp;"*"&amp;TEXT(ATD28-utc_offset/24,"YYYYMMDD")&amp;"*"" /stext="" "&amp;TEXT(ATD28-utc_offset/24,"HH")&amp;search_regexp&amp;""""</f>
        <v>#REF!</v>
      </c>
      <c r="AUB28" s="234" t="e">
        <f>astrogrep_path&amp;" /e /r /s /spath="&amp;search_path&amp;" /stypes=""app*"&amp;ASX28&amp;"*"&amp;TEXT(ATE28-utc_offset/24,"YYYYMMDD")&amp;"*"" /stext="" "&amp;TEXT(ATE28-utc_offset/24,"HH")&amp;search_regexp&amp;""""</f>
        <v>#REF!</v>
      </c>
      <c r="AUC28" s="234" t="e">
        <f>astrogrep_path&amp;" /e /r /s /spath="&amp;search_path&amp;" /stypes=""app*"&amp;ASY28&amp;"*"&amp;TEXT(ATF28-utc_offset/24,"YYYYMMDD")&amp;"*"" /stext="" "&amp;TEXT(ATF28-utc_offset/24,"HH")&amp;search_regexp&amp;""""</f>
        <v>#REF!</v>
      </c>
      <c r="AUD28" s="234" t="e">
        <f>astrogrep_path&amp;" /e /r /s /spath="&amp;search_path&amp;" /stypes=""app*"&amp;ASZ28&amp;"*"&amp;TEXT(ATG28-utc_offset/24,"YYYYMMDD")&amp;"*"" /stext="" "&amp;TEXT(ATG28-utc_offset/24,"HH")&amp;search_regexp&amp;""""</f>
        <v>#REF!</v>
      </c>
      <c r="AUE28" s="234" t="e">
        <f>astrogrep_path&amp;" /e /r /s /spath="&amp;search_path&amp;" /stypes=""app*"&amp;ATA28&amp;"*"&amp;TEXT(ATH28-utc_offset/24,"YYYYMMDD")&amp;"*"" /stext="" "&amp;TEXT(ATH28-utc_offset/24,"HH")&amp;search_regexp&amp;""""</f>
        <v>#REF!</v>
      </c>
      <c r="AUF28" s="234" t="e">
        <f>astrogrep_path&amp;" /e /r /s /spath="&amp;search_path&amp;" /stypes=""app*"&amp;ATB28&amp;"*"&amp;TEXT(ATI28-utc_offset/24,"YYYYMMDD")&amp;"*"" /stext="" "&amp;TEXT(ATI28-utc_offset/24,"HH")&amp;search_regexp&amp;""""</f>
        <v>#REF!</v>
      </c>
      <c r="AUG28" s="234" t="e">
        <f>astrogrep_path&amp;" /e /r /s /spath="&amp;search_path&amp;" /stypes=""app*"&amp;ATC28&amp;"*"&amp;TEXT(ATJ28-utc_offset/24,"YYYYMMDD")&amp;"*"" /stext="" "&amp;TEXT(ATJ28-utc_offset/24,"HH")&amp;search_regexp&amp;""""</f>
        <v>#REF!</v>
      </c>
      <c r="AUH28" s="234" t="e">
        <f>astrogrep_path&amp;" /e /r /s /spath="&amp;search_path&amp;" /stypes=""app*"&amp;ATD28&amp;"*"&amp;TEXT(ATK28-utc_offset/24,"YYYYMMDD")&amp;"*"" /stext="" "&amp;TEXT(ATK28-utc_offset/24,"HH")&amp;search_regexp&amp;""""</f>
        <v>#REF!</v>
      </c>
      <c r="AUI28" s="234" t="e">
        <f>astrogrep_path&amp;" /e /r /s /spath="&amp;search_path&amp;" /stypes=""app*"&amp;ATE28&amp;"*"&amp;TEXT(ATL28-utc_offset/24,"YYYYMMDD")&amp;"*"" /stext="" "&amp;TEXT(ATL28-utc_offset/24,"HH")&amp;search_regexp&amp;""""</f>
        <v>#VALUE!</v>
      </c>
      <c r="AUJ28" s="234" t="e">
        <f>astrogrep_path&amp;" /e /r /s /spath="&amp;search_path&amp;" /stypes=""app*"&amp;ATF28&amp;"*"&amp;TEXT(ATM28-utc_offset/24,"YYYYMMDD")&amp;"*"" /stext="" "&amp;TEXT(ATM28-utc_offset/24,"HH")&amp;search_regexp&amp;""""</f>
        <v>#VALUE!</v>
      </c>
      <c r="AUK28" s="234" t="e">
        <f>astrogrep_path&amp;" /e /r /s /spath="&amp;search_path&amp;" /stypes=""app*"&amp;ATG28&amp;"*"&amp;TEXT(ATN28-utc_offset/24,"YYYYMMDD")&amp;"*"" /stext="" "&amp;TEXT(ATN28-utc_offset/24,"HH")&amp;search_regexp&amp;""""</f>
        <v>#REF!</v>
      </c>
      <c r="AUL28" s="234" t="e">
        <f>astrogrep_path&amp;" /e /r /s /spath="&amp;search_path&amp;" /stypes=""app*"&amp;ATH28&amp;"*"&amp;TEXT(ATO28-utc_offset/24,"YYYYMMDD")&amp;"*"" /stext="" "&amp;TEXT(ATO28-utc_offset/24,"HH")&amp;search_regexp&amp;""""</f>
        <v>#REF!</v>
      </c>
      <c r="AUM28" s="234" t="e">
        <f>astrogrep_path&amp;" /e /r /s /spath="&amp;search_path&amp;" /stypes=""app*"&amp;ATI28&amp;"*"&amp;TEXT(ATP28-utc_offset/24,"YYYYMMDD")&amp;"*"" /stext="" "&amp;TEXT(ATP28-utc_offset/24,"HH")&amp;search_regexp&amp;""""</f>
        <v>#VALUE!</v>
      </c>
      <c r="AUN28" s="234" t="e">
        <f>astrogrep_path&amp;" /e /r /s /spath="&amp;search_path&amp;" /stypes=""app*"&amp;ATJ28&amp;"*"&amp;TEXT(ATQ28-utc_offset/24,"YYYYMMDD")&amp;"*"" /stext="" "&amp;TEXT(ATQ28-utc_offset/24,"HH")&amp;search_regexp&amp;""""</f>
        <v>#VALUE!</v>
      </c>
      <c r="AUO28" s="234" t="e">
        <f>astrogrep_path&amp;" /e /r /s /spath="&amp;search_path&amp;" /stypes=""app*"&amp;ATK28&amp;"*"&amp;TEXT(ATR28-utc_offset/24,"YYYYMMDD")&amp;"*"" /stext="" "&amp;TEXT(ATR28-utc_offset/24,"HH")&amp;search_regexp&amp;""""</f>
        <v>#VALUE!</v>
      </c>
      <c r="AUP28" s="234" t="e">
        <f>astrogrep_path&amp;" /e /r /s /spath="&amp;search_path&amp;" /stypes=""app*"&amp;ATL28&amp;"*"&amp;TEXT(ATS28-utc_offset/24,"YYYYMMDD")&amp;"*"" /stext="" "&amp;TEXT(ATS28-utc_offset/24,"HH")&amp;search_regexp&amp;""""</f>
        <v>#VALUE!</v>
      </c>
      <c r="AUQ28" s="234" t="e">
        <f>astrogrep_path&amp;" /e /r /s /spath="&amp;search_path&amp;" /stypes=""app*"&amp;ATM28&amp;"*"&amp;TEXT(ATT28-utc_offset/24,"YYYYMMDD")&amp;"*"" /stext="" "&amp;TEXT(ATT28-utc_offset/24,"HH")&amp;search_regexp&amp;""""</f>
        <v>#VALUE!</v>
      </c>
      <c r="AUR28" s="234" t="e">
        <f>astrogrep_path&amp;" /e /r /s /spath="&amp;search_path&amp;" /stypes=""app*"&amp;ATN28&amp;"*"&amp;TEXT(ATU28-utc_offset/24,"YYYYMMDD")&amp;"*"" /stext="" "&amp;TEXT(ATU28-utc_offset/24,"HH")&amp;search_regexp&amp;""""</f>
        <v>#REF!</v>
      </c>
      <c r="AUS28" s="234" t="e">
        <f>astrogrep_path&amp;" /e /r /s /spath="&amp;search_path&amp;" /stypes=""app*"&amp;ATO28&amp;"*"&amp;TEXT(ATV28-utc_offset/24,"YYYYMMDD")&amp;"*"" /stext="" "&amp;TEXT(ATV28-utc_offset/24,"HH")&amp;search_regexp&amp;""""</f>
        <v>#REF!</v>
      </c>
      <c r="AUT28" s="234" t="e">
        <f>astrogrep_path&amp;" /e /r /s /spath="&amp;search_path&amp;" /stypes=""app*"&amp;ATP28&amp;"*"&amp;TEXT(ATW28-utc_offset/24,"YYYYMMDD")&amp;"*"" /stext="" "&amp;TEXT(ATW28-utc_offset/24,"HH")&amp;search_regexp&amp;""""</f>
        <v>#REF!</v>
      </c>
      <c r="AUU28" s="234" t="e">
        <f>astrogrep_path&amp;" /e /r /s /spath="&amp;search_path&amp;" /stypes=""app*"&amp;ATQ28&amp;"*"&amp;TEXT(ATX28-utc_offset/24,"YYYYMMDD")&amp;"*"" /stext="" "&amp;TEXT(ATX28-utc_offset/24,"HH")&amp;search_regexp&amp;""""</f>
        <v>#REF!</v>
      </c>
      <c r="AUV28" s="234" t="e">
        <f>astrogrep_path&amp;" /e /r /s /spath="&amp;search_path&amp;" /stypes=""app*"&amp;ATR28&amp;"*"&amp;TEXT(ATY28-utc_offset/24,"YYYYMMDD")&amp;"*"" /stext="" "&amp;TEXT(ATY28-utc_offset/24,"HH")&amp;search_regexp&amp;""""</f>
        <v>#REF!</v>
      </c>
      <c r="AUW28" s="234" t="e">
        <f>astrogrep_path&amp;" /e /r /s /spath="&amp;search_path&amp;" /stypes=""app*"&amp;ATS28&amp;"*"&amp;TEXT(ATZ28-utc_offset/24,"YYYYMMDD")&amp;"*"" /stext="" "&amp;TEXT(ATZ28-utc_offset/24,"HH")&amp;search_regexp&amp;""""</f>
        <v>#REF!</v>
      </c>
      <c r="AUX28" s="234" t="e">
        <f>astrogrep_path&amp;" /e /r /s /spath="&amp;search_path&amp;" /stypes=""app*"&amp;ATT28&amp;"*"&amp;TEXT(AUA28-utc_offset/24,"YYYYMMDD")&amp;"*"" /stext="" "&amp;TEXT(AUA28-utc_offset/24,"HH")&amp;search_regexp&amp;""""</f>
        <v>#REF!</v>
      </c>
      <c r="AUY28" s="234" t="e">
        <f>astrogrep_path&amp;" /e /r /s /spath="&amp;search_path&amp;" /stypes=""app*"&amp;ATU28&amp;"*"&amp;TEXT(AUB28-utc_offset/24,"YYYYMMDD")&amp;"*"" /stext="" "&amp;TEXT(AUB28-utc_offset/24,"HH")&amp;search_regexp&amp;""""</f>
        <v>#REF!</v>
      </c>
      <c r="AUZ28" s="234" t="e">
        <f>astrogrep_path&amp;" /e /r /s /spath="&amp;search_path&amp;" /stypes=""app*"&amp;ATV28&amp;"*"&amp;TEXT(AUC28-utc_offset/24,"YYYYMMDD")&amp;"*"" /stext="" "&amp;TEXT(AUC28-utc_offset/24,"HH")&amp;search_regexp&amp;""""</f>
        <v>#REF!</v>
      </c>
      <c r="AVA28" s="234" t="e">
        <f>astrogrep_path&amp;" /e /r /s /spath="&amp;search_path&amp;" /stypes=""app*"&amp;ATW28&amp;"*"&amp;TEXT(AUD28-utc_offset/24,"YYYYMMDD")&amp;"*"" /stext="" "&amp;TEXT(AUD28-utc_offset/24,"HH")&amp;search_regexp&amp;""""</f>
        <v>#REF!</v>
      </c>
      <c r="AVB28" s="234" t="e">
        <f>astrogrep_path&amp;" /e /r /s /spath="&amp;search_path&amp;" /stypes=""app*"&amp;ATX28&amp;"*"&amp;TEXT(AUE28-utc_offset/24,"YYYYMMDD")&amp;"*"" /stext="" "&amp;TEXT(AUE28-utc_offset/24,"HH")&amp;search_regexp&amp;""""</f>
        <v>#REF!</v>
      </c>
      <c r="AVC28" s="234" t="e">
        <f>astrogrep_path&amp;" /e /r /s /spath="&amp;search_path&amp;" /stypes=""app*"&amp;ATY28&amp;"*"&amp;TEXT(AUF28-utc_offset/24,"YYYYMMDD")&amp;"*"" /stext="" "&amp;TEXT(AUF28-utc_offset/24,"HH")&amp;search_regexp&amp;""""</f>
        <v>#REF!</v>
      </c>
      <c r="AVD28" s="234" t="e">
        <f>astrogrep_path&amp;" /e /r /s /spath="&amp;search_path&amp;" /stypes=""app*"&amp;ATZ28&amp;"*"&amp;TEXT(AUG28-utc_offset/24,"YYYYMMDD")&amp;"*"" /stext="" "&amp;TEXT(AUG28-utc_offset/24,"HH")&amp;search_regexp&amp;""""</f>
        <v>#REF!</v>
      </c>
      <c r="AVE28" s="234" t="e">
        <f>astrogrep_path&amp;" /e /r /s /spath="&amp;search_path&amp;" /stypes=""app*"&amp;AUA28&amp;"*"&amp;TEXT(AUH28-utc_offset/24,"YYYYMMDD")&amp;"*"" /stext="" "&amp;TEXT(AUH28-utc_offset/24,"HH")&amp;search_regexp&amp;""""</f>
        <v>#REF!</v>
      </c>
      <c r="AVF28" s="234" t="e">
        <f>astrogrep_path&amp;" /e /r /s /spath="&amp;search_path&amp;" /stypes=""app*"&amp;AUB28&amp;"*"&amp;TEXT(AUI28-utc_offset/24,"YYYYMMDD")&amp;"*"" /stext="" "&amp;TEXT(AUI28-utc_offset/24,"HH")&amp;search_regexp&amp;""""</f>
        <v>#REF!</v>
      </c>
      <c r="AVG28" s="234" t="e">
        <f>astrogrep_path&amp;" /e /r /s /spath="&amp;search_path&amp;" /stypes=""app*"&amp;AUC28&amp;"*"&amp;TEXT(AUJ28-utc_offset/24,"YYYYMMDD")&amp;"*"" /stext="" "&amp;TEXT(AUJ28-utc_offset/24,"HH")&amp;search_regexp&amp;""""</f>
        <v>#REF!</v>
      </c>
      <c r="AVH28" s="234" t="e">
        <f>astrogrep_path&amp;" /e /r /s /spath="&amp;search_path&amp;" /stypes=""app*"&amp;AUD28&amp;"*"&amp;TEXT(AUK28-utc_offset/24,"YYYYMMDD")&amp;"*"" /stext="" "&amp;TEXT(AUK28-utc_offset/24,"HH")&amp;search_regexp&amp;""""</f>
        <v>#REF!</v>
      </c>
      <c r="AVI28" s="234" t="e">
        <f>astrogrep_path&amp;" /e /r /s /spath="&amp;search_path&amp;" /stypes=""app*"&amp;AUE28&amp;"*"&amp;TEXT(AUL28-utc_offset/24,"YYYYMMDD")&amp;"*"" /stext="" "&amp;TEXT(AUL28-utc_offset/24,"HH")&amp;search_regexp&amp;""""</f>
        <v>#REF!</v>
      </c>
      <c r="AVJ28" s="234" t="e">
        <f>astrogrep_path&amp;" /e /r /s /spath="&amp;search_path&amp;" /stypes=""app*"&amp;AUF28&amp;"*"&amp;TEXT(AUM28-utc_offset/24,"YYYYMMDD")&amp;"*"" /stext="" "&amp;TEXT(AUM28-utc_offset/24,"HH")&amp;search_regexp&amp;""""</f>
        <v>#REF!</v>
      </c>
      <c r="AVK28" s="234" t="e">
        <f>astrogrep_path&amp;" /e /r /s /spath="&amp;search_path&amp;" /stypes=""app*"&amp;AUG28&amp;"*"&amp;TEXT(AUN28-utc_offset/24,"YYYYMMDD")&amp;"*"" /stext="" "&amp;TEXT(AUN28-utc_offset/24,"HH")&amp;search_regexp&amp;""""</f>
        <v>#REF!</v>
      </c>
      <c r="AVL28" s="234" t="e">
        <f>astrogrep_path&amp;" /e /r /s /spath="&amp;search_path&amp;" /stypes=""app*"&amp;AUH28&amp;"*"&amp;TEXT(AUO28-utc_offset/24,"YYYYMMDD")&amp;"*"" /stext="" "&amp;TEXT(AUO28-utc_offset/24,"HH")&amp;search_regexp&amp;""""</f>
        <v>#REF!</v>
      </c>
      <c r="AVM28" s="234" t="e">
        <f>astrogrep_path&amp;" /e /r /s /spath="&amp;search_path&amp;" /stypes=""app*"&amp;AUI28&amp;"*"&amp;TEXT(AUP28-utc_offset/24,"YYYYMMDD")&amp;"*"" /stext="" "&amp;TEXT(AUP28-utc_offset/24,"HH")&amp;search_regexp&amp;""""</f>
        <v>#VALUE!</v>
      </c>
      <c r="AVN28" s="234" t="e">
        <f>astrogrep_path&amp;" /e /r /s /spath="&amp;search_path&amp;" /stypes=""app*"&amp;AUJ28&amp;"*"&amp;TEXT(AUQ28-utc_offset/24,"YYYYMMDD")&amp;"*"" /stext="" "&amp;TEXT(AUQ28-utc_offset/24,"HH")&amp;search_regexp&amp;""""</f>
        <v>#VALUE!</v>
      </c>
      <c r="AVO28" s="234" t="e">
        <f>astrogrep_path&amp;" /e /r /s /spath="&amp;search_path&amp;" /stypes=""app*"&amp;AUK28&amp;"*"&amp;TEXT(AUR28-utc_offset/24,"YYYYMMDD")&amp;"*"" /stext="" "&amp;TEXT(AUR28-utc_offset/24,"HH")&amp;search_regexp&amp;""""</f>
        <v>#REF!</v>
      </c>
      <c r="AVP28" s="234" t="e">
        <f>astrogrep_path&amp;" /e /r /s /spath="&amp;search_path&amp;" /stypes=""app*"&amp;AUL28&amp;"*"&amp;TEXT(AUS28-utc_offset/24,"YYYYMMDD")&amp;"*"" /stext="" "&amp;TEXT(AUS28-utc_offset/24,"HH")&amp;search_regexp&amp;""""</f>
        <v>#REF!</v>
      </c>
      <c r="AVQ28" s="234" t="e">
        <f>astrogrep_path&amp;" /e /r /s /spath="&amp;search_path&amp;" /stypes=""app*"&amp;AUM28&amp;"*"&amp;TEXT(AUT28-utc_offset/24,"YYYYMMDD")&amp;"*"" /stext="" "&amp;TEXT(AUT28-utc_offset/24,"HH")&amp;search_regexp&amp;""""</f>
        <v>#VALUE!</v>
      </c>
      <c r="AVR28" s="234" t="e">
        <f>astrogrep_path&amp;" /e /r /s /spath="&amp;search_path&amp;" /stypes=""app*"&amp;AUN28&amp;"*"&amp;TEXT(AUU28-utc_offset/24,"YYYYMMDD")&amp;"*"" /stext="" "&amp;TEXT(AUU28-utc_offset/24,"HH")&amp;search_regexp&amp;""""</f>
        <v>#VALUE!</v>
      </c>
      <c r="AVS28" s="234" t="e">
        <f>astrogrep_path&amp;" /e /r /s /spath="&amp;search_path&amp;" /stypes=""app*"&amp;AUO28&amp;"*"&amp;TEXT(AUV28-utc_offset/24,"YYYYMMDD")&amp;"*"" /stext="" "&amp;TEXT(AUV28-utc_offset/24,"HH")&amp;search_regexp&amp;""""</f>
        <v>#VALUE!</v>
      </c>
      <c r="AVT28" s="234" t="e">
        <f>astrogrep_path&amp;" /e /r /s /spath="&amp;search_path&amp;" /stypes=""app*"&amp;AUP28&amp;"*"&amp;TEXT(AUW28-utc_offset/24,"YYYYMMDD")&amp;"*"" /stext="" "&amp;TEXT(AUW28-utc_offset/24,"HH")&amp;search_regexp&amp;""""</f>
        <v>#VALUE!</v>
      </c>
      <c r="AVU28" s="234" t="e">
        <f>astrogrep_path&amp;" /e /r /s /spath="&amp;search_path&amp;" /stypes=""app*"&amp;AUQ28&amp;"*"&amp;TEXT(AUX28-utc_offset/24,"YYYYMMDD")&amp;"*"" /stext="" "&amp;TEXT(AUX28-utc_offset/24,"HH")&amp;search_regexp&amp;""""</f>
        <v>#VALUE!</v>
      </c>
      <c r="AVV28" s="234" t="e">
        <f>astrogrep_path&amp;" /e /r /s /spath="&amp;search_path&amp;" /stypes=""app*"&amp;AUR28&amp;"*"&amp;TEXT(AUY28-utc_offset/24,"YYYYMMDD")&amp;"*"" /stext="" "&amp;TEXT(AUY28-utc_offset/24,"HH")&amp;search_regexp&amp;""""</f>
        <v>#REF!</v>
      </c>
      <c r="AVW28" s="234" t="e">
        <f>astrogrep_path&amp;" /e /r /s /spath="&amp;search_path&amp;" /stypes=""app*"&amp;AUS28&amp;"*"&amp;TEXT(AUZ28-utc_offset/24,"YYYYMMDD")&amp;"*"" /stext="" "&amp;TEXT(AUZ28-utc_offset/24,"HH")&amp;search_regexp&amp;""""</f>
        <v>#REF!</v>
      </c>
      <c r="AVX28" s="234" t="e">
        <f>astrogrep_path&amp;" /e /r /s /spath="&amp;search_path&amp;" /stypes=""app*"&amp;AUT28&amp;"*"&amp;TEXT(AVA28-utc_offset/24,"YYYYMMDD")&amp;"*"" /stext="" "&amp;TEXT(AVA28-utc_offset/24,"HH")&amp;search_regexp&amp;""""</f>
        <v>#REF!</v>
      </c>
      <c r="AVY28" s="234" t="e">
        <f>astrogrep_path&amp;" /e /r /s /spath="&amp;search_path&amp;" /stypes=""app*"&amp;AUU28&amp;"*"&amp;TEXT(AVB28-utc_offset/24,"YYYYMMDD")&amp;"*"" /stext="" "&amp;TEXT(AVB28-utc_offset/24,"HH")&amp;search_regexp&amp;""""</f>
        <v>#REF!</v>
      </c>
      <c r="AVZ28" s="234" t="e">
        <f>astrogrep_path&amp;" /e /r /s /spath="&amp;search_path&amp;" /stypes=""app*"&amp;AUV28&amp;"*"&amp;TEXT(AVC28-utc_offset/24,"YYYYMMDD")&amp;"*"" /stext="" "&amp;TEXT(AVC28-utc_offset/24,"HH")&amp;search_regexp&amp;""""</f>
        <v>#REF!</v>
      </c>
      <c r="AWA28" s="234" t="e">
        <f>astrogrep_path&amp;" /e /r /s /spath="&amp;search_path&amp;" /stypes=""app*"&amp;AUW28&amp;"*"&amp;TEXT(AVD28-utc_offset/24,"YYYYMMDD")&amp;"*"" /stext="" "&amp;TEXT(AVD28-utc_offset/24,"HH")&amp;search_regexp&amp;""""</f>
        <v>#REF!</v>
      </c>
      <c r="AWB28" s="234" t="e">
        <f>astrogrep_path&amp;" /e /r /s /spath="&amp;search_path&amp;" /stypes=""app*"&amp;AUX28&amp;"*"&amp;TEXT(AVE28-utc_offset/24,"YYYYMMDD")&amp;"*"" /stext="" "&amp;TEXT(AVE28-utc_offset/24,"HH")&amp;search_regexp&amp;""""</f>
        <v>#REF!</v>
      </c>
      <c r="AWC28" s="234" t="e">
        <f>astrogrep_path&amp;" /e /r /s /spath="&amp;search_path&amp;" /stypes=""app*"&amp;AUY28&amp;"*"&amp;TEXT(AVF28-utc_offset/24,"YYYYMMDD")&amp;"*"" /stext="" "&amp;TEXT(AVF28-utc_offset/24,"HH")&amp;search_regexp&amp;""""</f>
        <v>#REF!</v>
      </c>
      <c r="AWD28" s="234" t="e">
        <f>astrogrep_path&amp;" /e /r /s /spath="&amp;search_path&amp;" /stypes=""app*"&amp;AUZ28&amp;"*"&amp;TEXT(AVG28-utc_offset/24,"YYYYMMDD")&amp;"*"" /stext="" "&amp;TEXT(AVG28-utc_offset/24,"HH")&amp;search_regexp&amp;""""</f>
        <v>#REF!</v>
      </c>
      <c r="AWE28" s="234" t="e">
        <f>astrogrep_path&amp;" /e /r /s /spath="&amp;search_path&amp;" /stypes=""app*"&amp;AVA28&amp;"*"&amp;TEXT(AVH28-utc_offset/24,"YYYYMMDD")&amp;"*"" /stext="" "&amp;TEXT(AVH28-utc_offset/24,"HH")&amp;search_regexp&amp;""""</f>
        <v>#REF!</v>
      </c>
      <c r="AWF28" s="234" t="e">
        <f>astrogrep_path&amp;" /e /r /s /spath="&amp;search_path&amp;" /stypes=""app*"&amp;AVB28&amp;"*"&amp;TEXT(AVI28-utc_offset/24,"YYYYMMDD")&amp;"*"" /stext="" "&amp;TEXT(AVI28-utc_offset/24,"HH")&amp;search_regexp&amp;""""</f>
        <v>#REF!</v>
      </c>
      <c r="AWG28" s="234" t="e">
        <f>astrogrep_path&amp;" /e /r /s /spath="&amp;search_path&amp;" /stypes=""app*"&amp;AVC28&amp;"*"&amp;TEXT(AVJ28-utc_offset/24,"YYYYMMDD")&amp;"*"" /stext="" "&amp;TEXT(AVJ28-utc_offset/24,"HH")&amp;search_regexp&amp;""""</f>
        <v>#REF!</v>
      </c>
      <c r="AWH28" s="234" t="e">
        <f>astrogrep_path&amp;" /e /r /s /spath="&amp;search_path&amp;" /stypes=""app*"&amp;AVD28&amp;"*"&amp;TEXT(AVK28-utc_offset/24,"YYYYMMDD")&amp;"*"" /stext="" "&amp;TEXT(AVK28-utc_offset/24,"HH")&amp;search_regexp&amp;""""</f>
        <v>#REF!</v>
      </c>
      <c r="AWI28" s="234" t="e">
        <f>astrogrep_path&amp;" /e /r /s /spath="&amp;search_path&amp;" /stypes=""app*"&amp;AVE28&amp;"*"&amp;TEXT(AVL28-utc_offset/24,"YYYYMMDD")&amp;"*"" /stext="" "&amp;TEXT(AVL28-utc_offset/24,"HH")&amp;search_regexp&amp;""""</f>
        <v>#REF!</v>
      </c>
      <c r="AWJ28" s="234" t="e">
        <f>astrogrep_path&amp;" /e /r /s /spath="&amp;search_path&amp;" /stypes=""app*"&amp;AVF28&amp;"*"&amp;TEXT(AVM28-utc_offset/24,"YYYYMMDD")&amp;"*"" /stext="" "&amp;TEXT(AVM28-utc_offset/24,"HH")&amp;search_regexp&amp;""""</f>
        <v>#REF!</v>
      </c>
      <c r="AWK28" s="234" t="e">
        <f>astrogrep_path&amp;" /e /r /s /spath="&amp;search_path&amp;" /stypes=""app*"&amp;AVG28&amp;"*"&amp;TEXT(AVN28-utc_offset/24,"YYYYMMDD")&amp;"*"" /stext="" "&amp;TEXT(AVN28-utc_offset/24,"HH")&amp;search_regexp&amp;""""</f>
        <v>#REF!</v>
      </c>
      <c r="AWL28" s="234" t="e">
        <f>astrogrep_path&amp;" /e /r /s /spath="&amp;search_path&amp;" /stypes=""app*"&amp;AVH28&amp;"*"&amp;TEXT(AVO28-utc_offset/24,"YYYYMMDD")&amp;"*"" /stext="" "&amp;TEXT(AVO28-utc_offset/24,"HH")&amp;search_regexp&amp;""""</f>
        <v>#REF!</v>
      </c>
      <c r="AWM28" s="234" t="e">
        <f>astrogrep_path&amp;" /e /r /s /spath="&amp;search_path&amp;" /stypes=""app*"&amp;AVI28&amp;"*"&amp;TEXT(AVP28-utc_offset/24,"YYYYMMDD")&amp;"*"" /stext="" "&amp;TEXT(AVP28-utc_offset/24,"HH")&amp;search_regexp&amp;""""</f>
        <v>#REF!</v>
      </c>
      <c r="AWN28" s="234" t="e">
        <f>astrogrep_path&amp;" /e /r /s /spath="&amp;search_path&amp;" /stypes=""app*"&amp;AVJ28&amp;"*"&amp;TEXT(AVQ28-utc_offset/24,"YYYYMMDD")&amp;"*"" /stext="" "&amp;TEXT(AVQ28-utc_offset/24,"HH")&amp;search_regexp&amp;""""</f>
        <v>#REF!</v>
      </c>
      <c r="AWO28" s="234" t="e">
        <f>astrogrep_path&amp;" /e /r /s /spath="&amp;search_path&amp;" /stypes=""app*"&amp;AVK28&amp;"*"&amp;TEXT(AVR28-utc_offset/24,"YYYYMMDD")&amp;"*"" /stext="" "&amp;TEXT(AVR28-utc_offset/24,"HH")&amp;search_regexp&amp;""""</f>
        <v>#REF!</v>
      </c>
      <c r="AWP28" s="234" t="e">
        <f>astrogrep_path&amp;" /e /r /s /spath="&amp;search_path&amp;" /stypes=""app*"&amp;AVL28&amp;"*"&amp;TEXT(AVS28-utc_offset/24,"YYYYMMDD")&amp;"*"" /stext="" "&amp;TEXT(AVS28-utc_offset/24,"HH")&amp;search_regexp&amp;""""</f>
        <v>#REF!</v>
      </c>
      <c r="AWQ28" s="234" t="e">
        <f>astrogrep_path&amp;" /e /r /s /spath="&amp;search_path&amp;" /stypes=""app*"&amp;AVM28&amp;"*"&amp;TEXT(AVT28-utc_offset/24,"YYYYMMDD")&amp;"*"" /stext="" "&amp;TEXT(AVT28-utc_offset/24,"HH")&amp;search_regexp&amp;""""</f>
        <v>#VALUE!</v>
      </c>
      <c r="AWR28" s="234" t="e">
        <f>astrogrep_path&amp;" /e /r /s /spath="&amp;search_path&amp;" /stypes=""app*"&amp;AVN28&amp;"*"&amp;TEXT(AVU28-utc_offset/24,"YYYYMMDD")&amp;"*"" /stext="" "&amp;TEXT(AVU28-utc_offset/24,"HH")&amp;search_regexp&amp;""""</f>
        <v>#VALUE!</v>
      </c>
      <c r="AWS28" s="234" t="e">
        <f>astrogrep_path&amp;" /e /r /s /spath="&amp;search_path&amp;" /stypes=""app*"&amp;AVO28&amp;"*"&amp;TEXT(AVV28-utc_offset/24,"YYYYMMDD")&amp;"*"" /stext="" "&amp;TEXT(AVV28-utc_offset/24,"HH")&amp;search_regexp&amp;""""</f>
        <v>#REF!</v>
      </c>
      <c r="AWT28" s="234" t="e">
        <f>astrogrep_path&amp;" /e /r /s /spath="&amp;search_path&amp;" /stypes=""app*"&amp;AVP28&amp;"*"&amp;TEXT(AVW28-utc_offset/24,"YYYYMMDD")&amp;"*"" /stext="" "&amp;TEXT(AVW28-utc_offset/24,"HH")&amp;search_regexp&amp;""""</f>
        <v>#REF!</v>
      </c>
      <c r="AWU28" s="234" t="e">
        <f>astrogrep_path&amp;" /e /r /s /spath="&amp;search_path&amp;" /stypes=""app*"&amp;AVQ28&amp;"*"&amp;TEXT(AVX28-utc_offset/24,"YYYYMMDD")&amp;"*"" /stext="" "&amp;TEXT(AVX28-utc_offset/24,"HH")&amp;search_regexp&amp;""""</f>
        <v>#VALUE!</v>
      </c>
      <c r="AWV28" s="234" t="e">
        <f>astrogrep_path&amp;" /e /r /s /spath="&amp;search_path&amp;" /stypes=""app*"&amp;AVR28&amp;"*"&amp;TEXT(AVY28-utc_offset/24,"YYYYMMDD")&amp;"*"" /stext="" "&amp;TEXT(AVY28-utc_offset/24,"HH")&amp;search_regexp&amp;""""</f>
        <v>#VALUE!</v>
      </c>
      <c r="AWW28" s="234" t="e">
        <f>astrogrep_path&amp;" /e /r /s /spath="&amp;search_path&amp;" /stypes=""app*"&amp;AVS28&amp;"*"&amp;TEXT(AVZ28-utc_offset/24,"YYYYMMDD")&amp;"*"" /stext="" "&amp;TEXT(AVZ28-utc_offset/24,"HH")&amp;search_regexp&amp;""""</f>
        <v>#VALUE!</v>
      </c>
      <c r="AWX28" s="234" t="e">
        <f>astrogrep_path&amp;" /e /r /s /spath="&amp;search_path&amp;" /stypes=""app*"&amp;AVT28&amp;"*"&amp;TEXT(AWA28-utc_offset/24,"YYYYMMDD")&amp;"*"" /stext="" "&amp;TEXT(AWA28-utc_offset/24,"HH")&amp;search_regexp&amp;""""</f>
        <v>#VALUE!</v>
      </c>
      <c r="AWY28" s="234" t="e">
        <f>astrogrep_path&amp;" /e /r /s /spath="&amp;search_path&amp;" /stypes=""app*"&amp;AVU28&amp;"*"&amp;TEXT(AWB28-utc_offset/24,"YYYYMMDD")&amp;"*"" /stext="" "&amp;TEXT(AWB28-utc_offset/24,"HH")&amp;search_regexp&amp;""""</f>
        <v>#VALUE!</v>
      </c>
      <c r="AWZ28" s="234" t="e">
        <f>astrogrep_path&amp;" /e /r /s /spath="&amp;search_path&amp;" /stypes=""app*"&amp;AVV28&amp;"*"&amp;TEXT(AWC28-utc_offset/24,"YYYYMMDD")&amp;"*"" /stext="" "&amp;TEXT(AWC28-utc_offset/24,"HH")&amp;search_regexp&amp;""""</f>
        <v>#REF!</v>
      </c>
      <c r="AXA28" s="234" t="e">
        <f>astrogrep_path&amp;" /e /r /s /spath="&amp;search_path&amp;" /stypes=""app*"&amp;AVW28&amp;"*"&amp;TEXT(AWD28-utc_offset/24,"YYYYMMDD")&amp;"*"" /stext="" "&amp;TEXT(AWD28-utc_offset/24,"HH")&amp;search_regexp&amp;""""</f>
        <v>#REF!</v>
      </c>
      <c r="AXB28" s="234" t="e">
        <f>astrogrep_path&amp;" /e /r /s /spath="&amp;search_path&amp;" /stypes=""app*"&amp;AVX28&amp;"*"&amp;TEXT(AWE28-utc_offset/24,"YYYYMMDD")&amp;"*"" /stext="" "&amp;TEXT(AWE28-utc_offset/24,"HH")&amp;search_regexp&amp;""""</f>
        <v>#REF!</v>
      </c>
      <c r="AXC28" s="234" t="e">
        <f>astrogrep_path&amp;" /e /r /s /spath="&amp;search_path&amp;" /stypes=""app*"&amp;AVY28&amp;"*"&amp;TEXT(AWF28-utc_offset/24,"YYYYMMDD")&amp;"*"" /stext="" "&amp;TEXT(AWF28-utc_offset/24,"HH")&amp;search_regexp&amp;""""</f>
        <v>#REF!</v>
      </c>
      <c r="AXD28" s="234" t="e">
        <f>astrogrep_path&amp;" /e /r /s /spath="&amp;search_path&amp;" /stypes=""app*"&amp;AVZ28&amp;"*"&amp;TEXT(AWG28-utc_offset/24,"YYYYMMDD")&amp;"*"" /stext="" "&amp;TEXT(AWG28-utc_offset/24,"HH")&amp;search_regexp&amp;""""</f>
        <v>#REF!</v>
      </c>
      <c r="AXE28" s="234" t="e">
        <f>astrogrep_path&amp;" /e /r /s /spath="&amp;search_path&amp;" /stypes=""app*"&amp;AWA28&amp;"*"&amp;TEXT(AWH28-utc_offset/24,"YYYYMMDD")&amp;"*"" /stext="" "&amp;TEXT(AWH28-utc_offset/24,"HH")&amp;search_regexp&amp;""""</f>
        <v>#REF!</v>
      </c>
      <c r="AXF28" s="234" t="e">
        <f>astrogrep_path&amp;" /e /r /s /spath="&amp;search_path&amp;" /stypes=""app*"&amp;AWB28&amp;"*"&amp;TEXT(AWI28-utc_offset/24,"YYYYMMDD")&amp;"*"" /stext="" "&amp;TEXT(AWI28-utc_offset/24,"HH")&amp;search_regexp&amp;""""</f>
        <v>#REF!</v>
      </c>
      <c r="AXG28" s="234" t="e">
        <f>astrogrep_path&amp;" /e /r /s /spath="&amp;search_path&amp;" /stypes=""app*"&amp;AWC28&amp;"*"&amp;TEXT(AWJ28-utc_offset/24,"YYYYMMDD")&amp;"*"" /stext="" "&amp;TEXT(AWJ28-utc_offset/24,"HH")&amp;search_regexp&amp;""""</f>
        <v>#REF!</v>
      </c>
      <c r="AXH28" s="234" t="e">
        <f>astrogrep_path&amp;" /e /r /s /spath="&amp;search_path&amp;" /stypes=""app*"&amp;AWD28&amp;"*"&amp;TEXT(AWK28-utc_offset/24,"YYYYMMDD")&amp;"*"" /stext="" "&amp;TEXT(AWK28-utc_offset/24,"HH")&amp;search_regexp&amp;""""</f>
        <v>#REF!</v>
      </c>
      <c r="AXI28" s="234" t="e">
        <f>astrogrep_path&amp;" /e /r /s /spath="&amp;search_path&amp;" /stypes=""app*"&amp;AWE28&amp;"*"&amp;TEXT(AWL28-utc_offset/24,"YYYYMMDD")&amp;"*"" /stext="" "&amp;TEXT(AWL28-utc_offset/24,"HH")&amp;search_regexp&amp;""""</f>
        <v>#REF!</v>
      </c>
      <c r="AXJ28" s="234" t="e">
        <f>astrogrep_path&amp;" /e /r /s /spath="&amp;search_path&amp;" /stypes=""app*"&amp;AWF28&amp;"*"&amp;TEXT(AWM28-utc_offset/24,"YYYYMMDD")&amp;"*"" /stext="" "&amp;TEXT(AWM28-utc_offset/24,"HH")&amp;search_regexp&amp;""""</f>
        <v>#REF!</v>
      </c>
      <c r="AXK28" s="234" t="e">
        <f>astrogrep_path&amp;" /e /r /s /spath="&amp;search_path&amp;" /stypes=""app*"&amp;AWG28&amp;"*"&amp;TEXT(AWN28-utc_offset/24,"YYYYMMDD")&amp;"*"" /stext="" "&amp;TEXT(AWN28-utc_offset/24,"HH")&amp;search_regexp&amp;""""</f>
        <v>#REF!</v>
      </c>
      <c r="AXL28" s="234" t="e">
        <f>astrogrep_path&amp;" /e /r /s /spath="&amp;search_path&amp;" /stypes=""app*"&amp;AWH28&amp;"*"&amp;TEXT(AWO28-utc_offset/24,"YYYYMMDD")&amp;"*"" /stext="" "&amp;TEXT(AWO28-utc_offset/24,"HH")&amp;search_regexp&amp;""""</f>
        <v>#REF!</v>
      </c>
      <c r="AXM28" s="234" t="e">
        <f>astrogrep_path&amp;" /e /r /s /spath="&amp;search_path&amp;" /stypes=""app*"&amp;AWI28&amp;"*"&amp;TEXT(AWP28-utc_offset/24,"YYYYMMDD")&amp;"*"" /stext="" "&amp;TEXT(AWP28-utc_offset/24,"HH")&amp;search_regexp&amp;""""</f>
        <v>#REF!</v>
      </c>
      <c r="AXN28" s="234" t="e">
        <f>astrogrep_path&amp;" /e /r /s /spath="&amp;search_path&amp;" /stypes=""app*"&amp;AWJ28&amp;"*"&amp;TEXT(AWQ28-utc_offset/24,"YYYYMMDD")&amp;"*"" /stext="" "&amp;TEXT(AWQ28-utc_offset/24,"HH")&amp;search_regexp&amp;""""</f>
        <v>#REF!</v>
      </c>
      <c r="AXO28" s="234" t="e">
        <f>astrogrep_path&amp;" /e /r /s /spath="&amp;search_path&amp;" /stypes=""app*"&amp;AWK28&amp;"*"&amp;TEXT(AWR28-utc_offset/24,"YYYYMMDD")&amp;"*"" /stext="" "&amp;TEXT(AWR28-utc_offset/24,"HH")&amp;search_regexp&amp;""""</f>
        <v>#REF!</v>
      </c>
      <c r="AXP28" s="234" t="e">
        <f>astrogrep_path&amp;" /e /r /s /spath="&amp;search_path&amp;" /stypes=""app*"&amp;AWL28&amp;"*"&amp;TEXT(AWS28-utc_offset/24,"YYYYMMDD")&amp;"*"" /stext="" "&amp;TEXT(AWS28-utc_offset/24,"HH")&amp;search_regexp&amp;""""</f>
        <v>#REF!</v>
      </c>
      <c r="AXQ28" s="234" t="e">
        <f>astrogrep_path&amp;" /e /r /s /spath="&amp;search_path&amp;" /stypes=""app*"&amp;AWM28&amp;"*"&amp;TEXT(AWT28-utc_offset/24,"YYYYMMDD")&amp;"*"" /stext="" "&amp;TEXT(AWT28-utc_offset/24,"HH")&amp;search_regexp&amp;""""</f>
        <v>#REF!</v>
      </c>
      <c r="AXR28" s="234" t="e">
        <f>astrogrep_path&amp;" /e /r /s /spath="&amp;search_path&amp;" /stypes=""app*"&amp;AWN28&amp;"*"&amp;TEXT(AWU28-utc_offset/24,"YYYYMMDD")&amp;"*"" /stext="" "&amp;TEXT(AWU28-utc_offset/24,"HH")&amp;search_regexp&amp;""""</f>
        <v>#REF!</v>
      </c>
      <c r="AXS28" s="234" t="e">
        <f>astrogrep_path&amp;" /e /r /s /spath="&amp;search_path&amp;" /stypes=""app*"&amp;AWO28&amp;"*"&amp;TEXT(AWV28-utc_offset/24,"YYYYMMDD")&amp;"*"" /stext="" "&amp;TEXT(AWV28-utc_offset/24,"HH")&amp;search_regexp&amp;""""</f>
        <v>#REF!</v>
      </c>
      <c r="AXT28" s="234" t="e">
        <f>astrogrep_path&amp;" /e /r /s /spath="&amp;search_path&amp;" /stypes=""app*"&amp;AWP28&amp;"*"&amp;TEXT(AWW28-utc_offset/24,"YYYYMMDD")&amp;"*"" /stext="" "&amp;TEXT(AWW28-utc_offset/24,"HH")&amp;search_regexp&amp;""""</f>
        <v>#REF!</v>
      </c>
      <c r="AXU28" s="234" t="e">
        <f>astrogrep_path&amp;" /e /r /s /spath="&amp;search_path&amp;" /stypes=""app*"&amp;AWQ28&amp;"*"&amp;TEXT(AWX28-utc_offset/24,"YYYYMMDD")&amp;"*"" /stext="" "&amp;TEXT(AWX28-utc_offset/24,"HH")&amp;search_regexp&amp;""""</f>
        <v>#VALUE!</v>
      </c>
      <c r="AXV28" s="234" t="e">
        <f>astrogrep_path&amp;" /e /r /s /spath="&amp;search_path&amp;" /stypes=""app*"&amp;AWR28&amp;"*"&amp;TEXT(AWY28-utc_offset/24,"YYYYMMDD")&amp;"*"" /stext="" "&amp;TEXT(AWY28-utc_offset/24,"HH")&amp;search_regexp&amp;""""</f>
        <v>#VALUE!</v>
      </c>
      <c r="AXW28" s="234" t="e">
        <f>astrogrep_path&amp;" /e /r /s /spath="&amp;search_path&amp;" /stypes=""app*"&amp;AWS28&amp;"*"&amp;TEXT(AWZ28-utc_offset/24,"YYYYMMDD")&amp;"*"" /stext="" "&amp;TEXT(AWZ28-utc_offset/24,"HH")&amp;search_regexp&amp;""""</f>
        <v>#REF!</v>
      </c>
      <c r="AXX28" s="234" t="e">
        <f>astrogrep_path&amp;" /e /r /s /spath="&amp;search_path&amp;" /stypes=""app*"&amp;AWT28&amp;"*"&amp;TEXT(AXA28-utc_offset/24,"YYYYMMDD")&amp;"*"" /stext="" "&amp;TEXT(AXA28-utc_offset/24,"HH")&amp;search_regexp&amp;""""</f>
        <v>#REF!</v>
      </c>
      <c r="AXY28" s="234" t="e">
        <f>astrogrep_path&amp;" /e /r /s /spath="&amp;search_path&amp;" /stypes=""app*"&amp;AWU28&amp;"*"&amp;TEXT(AXB28-utc_offset/24,"YYYYMMDD")&amp;"*"" /stext="" "&amp;TEXT(AXB28-utc_offset/24,"HH")&amp;search_regexp&amp;""""</f>
        <v>#VALUE!</v>
      </c>
      <c r="AXZ28" s="234" t="e">
        <f>astrogrep_path&amp;" /e /r /s /spath="&amp;search_path&amp;" /stypes=""app*"&amp;AWV28&amp;"*"&amp;TEXT(AXC28-utc_offset/24,"YYYYMMDD")&amp;"*"" /stext="" "&amp;TEXT(AXC28-utc_offset/24,"HH")&amp;search_regexp&amp;""""</f>
        <v>#VALUE!</v>
      </c>
      <c r="AYA28" s="234" t="e">
        <f>astrogrep_path&amp;" /e /r /s /spath="&amp;search_path&amp;" /stypes=""app*"&amp;AWW28&amp;"*"&amp;TEXT(AXD28-utc_offset/24,"YYYYMMDD")&amp;"*"" /stext="" "&amp;TEXT(AXD28-utc_offset/24,"HH")&amp;search_regexp&amp;""""</f>
        <v>#VALUE!</v>
      </c>
      <c r="AYB28" s="234" t="e">
        <f>astrogrep_path&amp;" /e /r /s /spath="&amp;search_path&amp;" /stypes=""app*"&amp;AWX28&amp;"*"&amp;TEXT(AXE28-utc_offset/24,"YYYYMMDD")&amp;"*"" /stext="" "&amp;TEXT(AXE28-utc_offset/24,"HH")&amp;search_regexp&amp;""""</f>
        <v>#VALUE!</v>
      </c>
      <c r="AYC28" s="234" t="e">
        <f>astrogrep_path&amp;" /e /r /s /spath="&amp;search_path&amp;" /stypes=""app*"&amp;AWY28&amp;"*"&amp;TEXT(AXF28-utc_offset/24,"YYYYMMDD")&amp;"*"" /stext="" "&amp;TEXT(AXF28-utc_offset/24,"HH")&amp;search_regexp&amp;""""</f>
        <v>#VALUE!</v>
      </c>
      <c r="AYD28" s="234" t="e">
        <f>astrogrep_path&amp;" /e /r /s /spath="&amp;search_path&amp;" /stypes=""app*"&amp;AWZ28&amp;"*"&amp;TEXT(AXG28-utc_offset/24,"YYYYMMDD")&amp;"*"" /stext="" "&amp;TEXT(AXG28-utc_offset/24,"HH")&amp;search_regexp&amp;""""</f>
        <v>#REF!</v>
      </c>
      <c r="AYE28" s="234" t="e">
        <f>astrogrep_path&amp;" /e /r /s /spath="&amp;search_path&amp;" /stypes=""app*"&amp;AXA28&amp;"*"&amp;TEXT(AXH28-utc_offset/24,"YYYYMMDD")&amp;"*"" /stext="" "&amp;TEXT(AXH28-utc_offset/24,"HH")&amp;search_regexp&amp;""""</f>
        <v>#REF!</v>
      </c>
      <c r="AYF28" s="234" t="e">
        <f>astrogrep_path&amp;" /e /r /s /spath="&amp;search_path&amp;" /stypes=""app*"&amp;AXB28&amp;"*"&amp;TEXT(AXI28-utc_offset/24,"YYYYMMDD")&amp;"*"" /stext="" "&amp;TEXT(AXI28-utc_offset/24,"HH")&amp;search_regexp&amp;""""</f>
        <v>#REF!</v>
      </c>
      <c r="AYG28" s="234" t="e">
        <f>astrogrep_path&amp;" /e /r /s /spath="&amp;search_path&amp;" /stypes=""app*"&amp;AXC28&amp;"*"&amp;TEXT(AXJ28-utc_offset/24,"YYYYMMDD")&amp;"*"" /stext="" "&amp;TEXT(AXJ28-utc_offset/24,"HH")&amp;search_regexp&amp;""""</f>
        <v>#REF!</v>
      </c>
      <c r="AYH28" s="234" t="e">
        <f>astrogrep_path&amp;" /e /r /s /spath="&amp;search_path&amp;" /stypes=""app*"&amp;AXD28&amp;"*"&amp;TEXT(AXK28-utc_offset/24,"YYYYMMDD")&amp;"*"" /stext="" "&amp;TEXT(AXK28-utc_offset/24,"HH")&amp;search_regexp&amp;""""</f>
        <v>#REF!</v>
      </c>
      <c r="AYI28" s="234" t="e">
        <f>astrogrep_path&amp;" /e /r /s /spath="&amp;search_path&amp;" /stypes=""app*"&amp;AXE28&amp;"*"&amp;TEXT(AXL28-utc_offset/24,"YYYYMMDD")&amp;"*"" /stext="" "&amp;TEXT(AXL28-utc_offset/24,"HH")&amp;search_regexp&amp;""""</f>
        <v>#REF!</v>
      </c>
      <c r="AYJ28" s="234" t="e">
        <f>astrogrep_path&amp;" /e /r /s /spath="&amp;search_path&amp;" /stypes=""app*"&amp;AXF28&amp;"*"&amp;TEXT(AXM28-utc_offset/24,"YYYYMMDD")&amp;"*"" /stext="" "&amp;TEXT(AXM28-utc_offset/24,"HH")&amp;search_regexp&amp;""""</f>
        <v>#REF!</v>
      </c>
      <c r="AYK28" s="234" t="e">
        <f>astrogrep_path&amp;" /e /r /s /spath="&amp;search_path&amp;" /stypes=""app*"&amp;AXG28&amp;"*"&amp;TEXT(AXN28-utc_offset/24,"YYYYMMDD")&amp;"*"" /stext="" "&amp;TEXT(AXN28-utc_offset/24,"HH")&amp;search_regexp&amp;""""</f>
        <v>#REF!</v>
      </c>
      <c r="AYL28" s="234" t="e">
        <f>astrogrep_path&amp;" /e /r /s /spath="&amp;search_path&amp;" /stypes=""app*"&amp;AXH28&amp;"*"&amp;TEXT(AXO28-utc_offset/24,"YYYYMMDD")&amp;"*"" /stext="" "&amp;TEXT(AXO28-utc_offset/24,"HH")&amp;search_regexp&amp;""""</f>
        <v>#REF!</v>
      </c>
      <c r="AYM28" s="234" t="e">
        <f>astrogrep_path&amp;" /e /r /s /spath="&amp;search_path&amp;" /stypes=""app*"&amp;AXI28&amp;"*"&amp;TEXT(AXP28-utc_offset/24,"YYYYMMDD")&amp;"*"" /stext="" "&amp;TEXT(AXP28-utc_offset/24,"HH")&amp;search_regexp&amp;""""</f>
        <v>#REF!</v>
      </c>
      <c r="AYN28" s="234" t="e">
        <f>astrogrep_path&amp;" /e /r /s /spath="&amp;search_path&amp;" /stypes=""app*"&amp;AXJ28&amp;"*"&amp;TEXT(AXQ28-utc_offset/24,"YYYYMMDD")&amp;"*"" /stext="" "&amp;TEXT(AXQ28-utc_offset/24,"HH")&amp;search_regexp&amp;""""</f>
        <v>#REF!</v>
      </c>
      <c r="AYO28" s="234" t="e">
        <f>astrogrep_path&amp;" /e /r /s /spath="&amp;search_path&amp;" /stypes=""app*"&amp;AXK28&amp;"*"&amp;TEXT(AXR28-utc_offset/24,"YYYYMMDD")&amp;"*"" /stext="" "&amp;TEXT(AXR28-utc_offset/24,"HH")&amp;search_regexp&amp;""""</f>
        <v>#REF!</v>
      </c>
      <c r="AYP28" s="234" t="e">
        <f>astrogrep_path&amp;" /e /r /s /spath="&amp;search_path&amp;" /stypes=""app*"&amp;AXL28&amp;"*"&amp;TEXT(AXS28-utc_offset/24,"YYYYMMDD")&amp;"*"" /stext="" "&amp;TEXT(AXS28-utc_offset/24,"HH")&amp;search_regexp&amp;""""</f>
        <v>#REF!</v>
      </c>
      <c r="AYQ28" s="234" t="e">
        <f>astrogrep_path&amp;" /e /r /s /spath="&amp;search_path&amp;" /stypes=""app*"&amp;AXM28&amp;"*"&amp;TEXT(AXT28-utc_offset/24,"YYYYMMDD")&amp;"*"" /stext="" "&amp;TEXT(AXT28-utc_offset/24,"HH")&amp;search_regexp&amp;""""</f>
        <v>#REF!</v>
      </c>
      <c r="AYR28" s="234" t="e">
        <f>astrogrep_path&amp;" /e /r /s /spath="&amp;search_path&amp;" /stypes=""app*"&amp;AXN28&amp;"*"&amp;TEXT(AXU28-utc_offset/24,"YYYYMMDD")&amp;"*"" /stext="" "&amp;TEXT(AXU28-utc_offset/24,"HH")&amp;search_regexp&amp;""""</f>
        <v>#REF!</v>
      </c>
      <c r="AYS28" s="234" t="e">
        <f>astrogrep_path&amp;" /e /r /s /spath="&amp;search_path&amp;" /stypes=""app*"&amp;AXO28&amp;"*"&amp;TEXT(AXV28-utc_offset/24,"YYYYMMDD")&amp;"*"" /stext="" "&amp;TEXT(AXV28-utc_offset/24,"HH")&amp;search_regexp&amp;""""</f>
        <v>#REF!</v>
      </c>
      <c r="AYT28" s="234" t="e">
        <f>astrogrep_path&amp;" /e /r /s /spath="&amp;search_path&amp;" /stypes=""app*"&amp;AXP28&amp;"*"&amp;TEXT(AXW28-utc_offset/24,"YYYYMMDD")&amp;"*"" /stext="" "&amp;TEXT(AXW28-utc_offset/24,"HH")&amp;search_regexp&amp;""""</f>
        <v>#REF!</v>
      </c>
      <c r="AYU28" s="234" t="e">
        <f>astrogrep_path&amp;" /e /r /s /spath="&amp;search_path&amp;" /stypes=""app*"&amp;AXQ28&amp;"*"&amp;TEXT(AXX28-utc_offset/24,"YYYYMMDD")&amp;"*"" /stext="" "&amp;TEXT(AXX28-utc_offset/24,"HH")&amp;search_regexp&amp;""""</f>
        <v>#REF!</v>
      </c>
      <c r="AYV28" s="234" t="e">
        <f>astrogrep_path&amp;" /e /r /s /spath="&amp;search_path&amp;" /stypes=""app*"&amp;AXR28&amp;"*"&amp;TEXT(AXY28-utc_offset/24,"YYYYMMDD")&amp;"*"" /stext="" "&amp;TEXT(AXY28-utc_offset/24,"HH")&amp;search_regexp&amp;""""</f>
        <v>#REF!</v>
      </c>
      <c r="AYW28" s="234" t="e">
        <f>astrogrep_path&amp;" /e /r /s /spath="&amp;search_path&amp;" /stypes=""app*"&amp;AXS28&amp;"*"&amp;TEXT(AXZ28-utc_offset/24,"YYYYMMDD")&amp;"*"" /stext="" "&amp;TEXT(AXZ28-utc_offset/24,"HH")&amp;search_regexp&amp;""""</f>
        <v>#REF!</v>
      </c>
      <c r="AYX28" s="234" t="e">
        <f>astrogrep_path&amp;" /e /r /s /spath="&amp;search_path&amp;" /stypes=""app*"&amp;AXT28&amp;"*"&amp;TEXT(AYA28-utc_offset/24,"YYYYMMDD")&amp;"*"" /stext="" "&amp;TEXT(AYA28-utc_offset/24,"HH")&amp;search_regexp&amp;""""</f>
        <v>#REF!</v>
      </c>
      <c r="AYY28" s="234" t="e">
        <f>astrogrep_path&amp;" /e /r /s /spath="&amp;search_path&amp;" /stypes=""app*"&amp;AXU28&amp;"*"&amp;TEXT(AYB28-utc_offset/24,"YYYYMMDD")&amp;"*"" /stext="" "&amp;TEXT(AYB28-utc_offset/24,"HH")&amp;search_regexp&amp;""""</f>
        <v>#VALUE!</v>
      </c>
      <c r="AYZ28" s="234" t="e">
        <f>astrogrep_path&amp;" /e /r /s /spath="&amp;search_path&amp;" /stypes=""app*"&amp;AXV28&amp;"*"&amp;TEXT(AYC28-utc_offset/24,"YYYYMMDD")&amp;"*"" /stext="" "&amp;TEXT(AYC28-utc_offset/24,"HH")&amp;search_regexp&amp;""""</f>
        <v>#VALUE!</v>
      </c>
      <c r="AZA28" s="234" t="e">
        <f>astrogrep_path&amp;" /e /r /s /spath="&amp;search_path&amp;" /stypes=""app*"&amp;AXW28&amp;"*"&amp;TEXT(AYD28-utc_offset/24,"YYYYMMDD")&amp;"*"" /stext="" "&amp;TEXT(AYD28-utc_offset/24,"HH")&amp;search_regexp&amp;""""</f>
        <v>#REF!</v>
      </c>
      <c r="AZB28" s="234" t="e">
        <f>astrogrep_path&amp;" /e /r /s /spath="&amp;search_path&amp;" /stypes=""app*"&amp;AXX28&amp;"*"&amp;TEXT(AYE28-utc_offset/24,"YYYYMMDD")&amp;"*"" /stext="" "&amp;TEXT(AYE28-utc_offset/24,"HH")&amp;search_regexp&amp;""""</f>
        <v>#REF!</v>
      </c>
      <c r="AZC28" s="234" t="e">
        <f>astrogrep_path&amp;" /e /r /s /spath="&amp;search_path&amp;" /stypes=""app*"&amp;AXY28&amp;"*"&amp;TEXT(AYF28-utc_offset/24,"YYYYMMDD")&amp;"*"" /stext="" "&amp;TEXT(AYF28-utc_offset/24,"HH")&amp;search_regexp&amp;""""</f>
        <v>#VALUE!</v>
      </c>
      <c r="AZD28" s="234" t="e">
        <f>astrogrep_path&amp;" /e /r /s /spath="&amp;search_path&amp;" /stypes=""app*"&amp;AXZ28&amp;"*"&amp;TEXT(AYG28-utc_offset/24,"YYYYMMDD")&amp;"*"" /stext="" "&amp;TEXT(AYG28-utc_offset/24,"HH")&amp;search_regexp&amp;""""</f>
        <v>#VALUE!</v>
      </c>
      <c r="AZE28" s="234" t="e">
        <f>astrogrep_path&amp;" /e /r /s /spath="&amp;search_path&amp;" /stypes=""app*"&amp;AYA28&amp;"*"&amp;TEXT(AYH28-utc_offset/24,"YYYYMMDD")&amp;"*"" /stext="" "&amp;TEXT(AYH28-utc_offset/24,"HH")&amp;search_regexp&amp;""""</f>
        <v>#VALUE!</v>
      </c>
      <c r="AZF28" s="234" t="e">
        <f>astrogrep_path&amp;" /e /r /s /spath="&amp;search_path&amp;" /stypes=""app*"&amp;AYB28&amp;"*"&amp;TEXT(AYI28-utc_offset/24,"YYYYMMDD")&amp;"*"" /stext="" "&amp;TEXT(AYI28-utc_offset/24,"HH")&amp;search_regexp&amp;""""</f>
        <v>#VALUE!</v>
      </c>
      <c r="AZG28" s="234" t="e">
        <f>astrogrep_path&amp;" /e /r /s /spath="&amp;search_path&amp;" /stypes=""app*"&amp;AYC28&amp;"*"&amp;TEXT(AYJ28-utc_offset/24,"YYYYMMDD")&amp;"*"" /stext="" "&amp;TEXT(AYJ28-utc_offset/24,"HH")&amp;search_regexp&amp;""""</f>
        <v>#VALUE!</v>
      </c>
      <c r="AZH28" s="234" t="e">
        <f>astrogrep_path&amp;" /e /r /s /spath="&amp;search_path&amp;" /stypes=""app*"&amp;AYD28&amp;"*"&amp;TEXT(AYK28-utc_offset/24,"YYYYMMDD")&amp;"*"" /stext="" "&amp;TEXT(AYK28-utc_offset/24,"HH")&amp;search_regexp&amp;""""</f>
        <v>#REF!</v>
      </c>
      <c r="AZI28" s="234" t="e">
        <f>astrogrep_path&amp;" /e /r /s /spath="&amp;search_path&amp;" /stypes=""app*"&amp;AYE28&amp;"*"&amp;TEXT(AYL28-utc_offset/24,"YYYYMMDD")&amp;"*"" /stext="" "&amp;TEXT(AYL28-utc_offset/24,"HH")&amp;search_regexp&amp;""""</f>
        <v>#REF!</v>
      </c>
      <c r="AZJ28" s="234" t="e">
        <f>astrogrep_path&amp;" /e /r /s /spath="&amp;search_path&amp;" /stypes=""app*"&amp;AYF28&amp;"*"&amp;TEXT(AYM28-utc_offset/24,"YYYYMMDD")&amp;"*"" /stext="" "&amp;TEXT(AYM28-utc_offset/24,"HH")&amp;search_regexp&amp;""""</f>
        <v>#REF!</v>
      </c>
      <c r="AZK28" s="234" t="e">
        <f>astrogrep_path&amp;" /e /r /s /spath="&amp;search_path&amp;" /stypes=""app*"&amp;AYG28&amp;"*"&amp;TEXT(AYN28-utc_offset/24,"YYYYMMDD")&amp;"*"" /stext="" "&amp;TEXT(AYN28-utc_offset/24,"HH")&amp;search_regexp&amp;""""</f>
        <v>#REF!</v>
      </c>
      <c r="AZL28" s="234" t="e">
        <f>astrogrep_path&amp;" /e /r /s /spath="&amp;search_path&amp;" /stypes=""app*"&amp;AYH28&amp;"*"&amp;TEXT(AYO28-utc_offset/24,"YYYYMMDD")&amp;"*"" /stext="" "&amp;TEXT(AYO28-utc_offset/24,"HH")&amp;search_regexp&amp;""""</f>
        <v>#REF!</v>
      </c>
      <c r="AZM28" s="234" t="e">
        <f>astrogrep_path&amp;" /e /r /s /spath="&amp;search_path&amp;" /stypes=""app*"&amp;AYI28&amp;"*"&amp;TEXT(AYP28-utc_offset/24,"YYYYMMDD")&amp;"*"" /stext="" "&amp;TEXT(AYP28-utc_offset/24,"HH")&amp;search_regexp&amp;""""</f>
        <v>#REF!</v>
      </c>
      <c r="AZN28" s="234" t="e">
        <f>astrogrep_path&amp;" /e /r /s /spath="&amp;search_path&amp;" /stypes=""app*"&amp;AYJ28&amp;"*"&amp;TEXT(AYQ28-utc_offset/24,"YYYYMMDD")&amp;"*"" /stext="" "&amp;TEXT(AYQ28-utc_offset/24,"HH")&amp;search_regexp&amp;""""</f>
        <v>#REF!</v>
      </c>
      <c r="AZO28" s="234" t="e">
        <f>astrogrep_path&amp;" /e /r /s /spath="&amp;search_path&amp;" /stypes=""app*"&amp;AYK28&amp;"*"&amp;TEXT(AYR28-utc_offset/24,"YYYYMMDD")&amp;"*"" /stext="" "&amp;TEXT(AYR28-utc_offset/24,"HH")&amp;search_regexp&amp;""""</f>
        <v>#REF!</v>
      </c>
      <c r="AZP28" s="234" t="e">
        <f>astrogrep_path&amp;" /e /r /s /spath="&amp;search_path&amp;" /stypes=""app*"&amp;AYL28&amp;"*"&amp;TEXT(AYS28-utc_offset/24,"YYYYMMDD")&amp;"*"" /stext="" "&amp;TEXT(AYS28-utc_offset/24,"HH")&amp;search_regexp&amp;""""</f>
        <v>#REF!</v>
      </c>
      <c r="AZQ28" s="234" t="e">
        <f>astrogrep_path&amp;" /e /r /s /spath="&amp;search_path&amp;" /stypes=""app*"&amp;AYM28&amp;"*"&amp;TEXT(AYT28-utc_offset/24,"YYYYMMDD")&amp;"*"" /stext="" "&amp;TEXT(AYT28-utc_offset/24,"HH")&amp;search_regexp&amp;""""</f>
        <v>#REF!</v>
      </c>
      <c r="AZR28" s="234" t="e">
        <f>astrogrep_path&amp;" /e /r /s /spath="&amp;search_path&amp;" /stypes=""app*"&amp;AYN28&amp;"*"&amp;TEXT(AYU28-utc_offset/24,"YYYYMMDD")&amp;"*"" /stext="" "&amp;TEXT(AYU28-utc_offset/24,"HH")&amp;search_regexp&amp;""""</f>
        <v>#REF!</v>
      </c>
      <c r="AZS28" s="234" t="e">
        <f>astrogrep_path&amp;" /e /r /s /spath="&amp;search_path&amp;" /stypes=""app*"&amp;AYO28&amp;"*"&amp;TEXT(AYV28-utc_offset/24,"YYYYMMDD")&amp;"*"" /stext="" "&amp;TEXT(AYV28-utc_offset/24,"HH")&amp;search_regexp&amp;""""</f>
        <v>#REF!</v>
      </c>
      <c r="AZT28" s="234" t="e">
        <f>astrogrep_path&amp;" /e /r /s /spath="&amp;search_path&amp;" /stypes=""app*"&amp;AYP28&amp;"*"&amp;TEXT(AYW28-utc_offset/24,"YYYYMMDD")&amp;"*"" /stext="" "&amp;TEXT(AYW28-utc_offset/24,"HH")&amp;search_regexp&amp;""""</f>
        <v>#REF!</v>
      </c>
      <c r="AZU28" s="234" t="e">
        <f>astrogrep_path&amp;" /e /r /s /spath="&amp;search_path&amp;" /stypes=""app*"&amp;AYQ28&amp;"*"&amp;TEXT(AYX28-utc_offset/24,"YYYYMMDD")&amp;"*"" /stext="" "&amp;TEXT(AYX28-utc_offset/24,"HH")&amp;search_regexp&amp;""""</f>
        <v>#REF!</v>
      </c>
      <c r="AZV28" s="234" t="e">
        <f>astrogrep_path&amp;" /e /r /s /spath="&amp;search_path&amp;" /stypes=""app*"&amp;AYR28&amp;"*"&amp;TEXT(AYY28-utc_offset/24,"YYYYMMDD")&amp;"*"" /stext="" "&amp;TEXT(AYY28-utc_offset/24,"HH")&amp;search_regexp&amp;""""</f>
        <v>#REF!</v>
      </c>
      <c r="AZW28" s="234" t="e">
        <f>astrogrep_path&amp;" /e /r /s /spath="&amp;search_path&amp;" /stypes=""app*"&amp;AYS28&amp;"*"&amp;TEXT(AYZ28-utc_offset/24,"YYYYMMDD")&amp;"*"" /stext="" "&amp;TEXT(AYZ28-utc_offset/24,"HH")&amp;search_regexp&amp;""""</f>
        <v>#REF!</v>
      </c>
      <c r="AZX28" s="234" t="e">
        <f>astrogrep_path&amp;" /e /r /s /spath="&amp;search_path&amp;" /stypes=""app*"&amp;AYT28&amp;"*"&amp;TEXT(AZA28-utc_offset/24,"YYYYMMDD")&amp;"*"" /stext="" "&amp;TEXT(AZA28-utc_offset/24,"HH")&amp;search_regexp&amp;""""</f>
        <v>#REF!</v>
      </c>
      <c r="AZY28" s="234" t="e">
        <f>astrogrep_path&amp;" /e /r /s /spath="&amp;search_path&amp;" /stypes=""app*"&amp;AYU28&amp;"*"&amp;TEXT(AZB28-utc_offset/24,"YYYYMMDD")&amp;"*"" /stext="" "&amp;TEXT(AZB28-utc_offset/24,"HH")&amp;search_regexp&amp;""""</f>
        <v>#REF!</v>
      </c>
      <c r="AZZ28" s="234" t="e">
        <f>astrogrep_path&amp;" /e /r /s /spath="&amp;search_path&amp;" /stypes=""app*"&amp;AYV28&amp;"*"&amp;TEXT(AZC28-utc_offset/24,"YYYYMMDD")&amp;"*"" /stext="" "&amp;TEXT(AZC28-utc_offset/24,"HH")&amp;search_regexp&amp;""""</f>
        <v>#REF!</v>
      </c>
      <c r="BAA28" s="234" t="e">
        <f>astrogrep_path&amp;" /e /r /s /spath="&amp;search_path&amp;" /stypes=""app*"&amp;AYW28&amp;"*"&amp;TEXT(AZD28-utc_offset/24,"YYYYMMDD")&amp;"*"" /stext="" "&amp;TEXT(AZD28-utc_offset/24,"HH")&amp;search_regexp&amp;""""</f>
        <v>#REF!</v>
      </c>
      <c r="BAB28" s="234" t="e">
        <f>astrogrep_path&amp;" /e /r /s /spath="&amp;search_path&amp;" /stypes=""app*"&amp;AYX28&amp;"*"&amp;TEXT(AZE28-utc_offset/24,"YYYYMMDD")&amp;"*"" /stext="" "&amp;TEXT(AZE28-utc_offset/24,"HH")&amp;search_regexp&amp;""""</f>
        <v>#REF!</v>
      </c>
      <c r="BAC28" s="234" t="e">
        <f>astrogrep_path&amp;" /e /r /s /spath="&amp;search_path&amp;" /stypes=""app*"&amp;AYY28&amp;"*"&amp;TEXT(AZF28-utc_offset/24,"YYYYMMDD")&amp;"*"" /stext="" "&amp;TEXT(AZF28-utc_offset/24,"HH")&amp;search_regexp&amp;""""</f>
        <v>#VALUE!</v>
      </c>
      <c r="BAD28" s="234" t="e">
        <f>astrogrep_path&amp;" /e /r /s /spath="&amp;search_path&amp;" /stypes=""app*"&amp;AYZ28&amp;"*"&amp;TEXT(AZG28-utc_offset/24,"YYYYMMDD")&amp;"*"" /stext="" "&amp;TEXT(AZG28-utc_offset/24,"HH")&amp;search_regexp&amp;""""</f>
        <v>#VALUE!</v>
      </c>
      <c r="BAE28" s="234" t="e">
        <f>astrogrep_path&amp;" /e /r /s /spath="&amp;search_path&amp;" /stypes=""app*"&amp;AZA28&amp;"*"&amp;TEXT(AZH28-utc_offset/24,"YYYYMMDD")&amp;"*"" /stext="" "&amp;TEXT(AZH28-utc_offset/24,"HH")&amp;search_regexp&amp;""""</f>
        <v>#REF!</v>
      </c>
      <c r="BAF28" s="234" t="e">
        <f>astrogrep_path&amp;" /e /r /s /spath="&amp;search_path&amp;" /stypes=""app*"&amp;AZB28&amp;"*"&amp;TEXT(AZI28-utc_offset/24,"YYYYMMDD")&amp;"*"" /stext="" "&amp;TEXT(AZI28-utc_offset/24,"HH")&amp;search_regexp&amp;""""</f>
        <v>#REF!</v>
      </c>
      <c r="BAG28" s="234" t="e">
        <f>astrogrep_path&amp;" /e /r /s /spath="&amp;search_path&amp;" /stypes=""app*"&amp;AZC28&amp;"*"&amp;TEXT(AZJ28-utc_offset/24,"YYYYMMDD")&amp;"*"" /stext="" "&amp;TEXT(AZJ28-utc_offset/24,"HH")&amp;search_regexp&amp;""""</f>
        <v>#VALUE!</v>
      </c>
      <c r="BAH28" s="234" t="e">
        <f>astrogrep_path&amp;" /e /r /s /spath="&amp;search_path&amp;" /stypes=""app*"&amp;AZD28&amp;"*"&amp;TEXT(AZK28-utc_offset/24,"YYYYMMDD")&amp;"*"" /stext="" "&amp;TEXT(AZK28-utc_offset/24,"HH")&amp;search_regexp&amp;""""</f>
        <v>#VALUE!</v>
      </c>
      <c r="BAI28" s="234" t="e">
        <f>astrogrep_path&amp;" /e /r /s /spath="&amp;search_path&amp;" /stypes=""app*"&amp;AZE28&amp;"*"&amp;TEXT(AZL28-utc_offset/24,"YYYYMMDD")&amp;"*"" /stext="" "&amp;TEXT(AZL28-utc_offset/24,"HH")&amp;search_regexp&amp;""""</f>
        <v>#VALUE!</v>
      </c>
      <c r="BAJ28" s="234" t="e">
        <f>astrogrep_path&amp;" /e /r /s /spath="&amp;search_path&amp;" /stypes=""app*"&amp;AZF28&amp;"*"&amp;TEXT(AZM28-utc_offset/24,"YYYYMMDD")&amp;"*"" /stext="" "&amp;TEXT(AZM28-utc_offset/24,"HH")&amp;search_regexp&amp;""""</f>
        <v>#VALUE!</v>
      </c>
      <c r="BAK28" s="234" t="e">
        <f>astrogrep_path&amp;" /e /r /s /spath="&amp;search_path&amp;" /stypes=""app*"&amp;AZG28&amp;"*"&amp;TEXT(AZN28-utc_offset/24,"YYYYMMDD")&amp;"*"" /stext="" "&amp;TEXT(AZN28-utc_offset/24,"HH")&amp;search_regexp&amp;""""</f>
        <v>#VALUE!</v>
      </c>
      <c r="BAL28" s="234" t="e">
        <f>astrogrep_path&amp;" /e /r /s /spath="&amp;search_path&amp;" /stypes=""app*"&amp;AZH28&amp;"*"&amp;TEXT(AZO28-utc_offset/24,"YYYYMMDD")&amp;"*"" /stext="" "&amp;TEXT(AZO28-utc_offset/24,"HH")&amp;search_regexp&amp;""""</f>
        <v>#REF!</v>
      </c>
      <c r="BAM28" s="234" t="e">
        <f>astrogrep_path&amp;" /e /r /s /spath="&amp;search_path&amp;" /stypes=""app*"&amp;AZI28&amp;"*"&amp;TEXT(AZP28-utc_offset/24,"YYYYMMDD")&amp;"*"" /stext="" "&amp;TEXT(AZP28-utc_offset/24,"HH")&amp;search_regexp&amp;""""</f>
        <v>#REF!</v>
      </c>
      <c r="BAN28" s="234" t="e">
        <f>astrogrep_path&amp;" /e /r /s /spath="&amp;search_path&amp;" /stypes=""app*"&amp;AZJ28&amp;"*"&amp;TEXT(AZQ28-utc_offset/24,"YYYYMMDD")&amp;"*"" /stext="" "&amp;TEXT(AZQ28-utc_offset/24,"HH")&amp;search_regexp&amp;""""</f>
        <v>#REF!</v>
      </c>
      <c r="BAO28" s="234" t="e">
        <f>astrogrep_path&amp;" /e /r /s /spath="&amp;search_path&amp;" /stypes=""app*"&amp;AZK28&amp;"*"&amp;TEXT(AZR28-utc_offset/24,"YYYYMMDD")&amp;"*"" /stext="" "&amp;TEXT(AZR28-utc_offset/24,"HH")&amp;search_regexp&amp;""""</f>
        <v>#REF!</v>
      </c>
      <c r="BAP28" s="234" t="e">
        <f>astrogrep_path&amp;" /e /r /s /spath="&amp;search_path&amp;" /stypes=""app*"&amp;AZL28&amp;"*"&amp;TEXT(AZS28-utc_offset/24,"YYYYMMDD")&amp;"*"" /stext="" "&amp;TEXT(AZS28-utc_offset/24,"HH")&amp;search_regexp&amp;""""</f>
        <v>#REF!</v>
      </c>
      <c r="BAQ28" s="234" t="e">
        <f>astrogrep_path&amp;" /e /r /s /spath="&amp;search_path&amp;" /stypes=""app*"&amp;AZM28&amp;"*"&amp;TEXT(AZT28-utc_offset/24,"YYYYMMDD")&amp;"*"" /stext="" "&amp;TEXT(AZT28-utc_offset/24,"HH")&amp;search_regexp&amp;""""</f>
        <v>#REF!</v>
      </c>
      <c r="BAR28" s="234" t="e">
        <f>astrogrep_path&amp;" /e /r /s /spath="&amp;search_path&amp;" /stypes=""app*"&amp;AZN28&amp;"*"&amp;TEXT(AZU28-utc_offset/24,"YYYYMMDD")&amp;"*"" /stext="" "&amp;TEXT(AZU28-utc_offset/24,"HH")&amp;search_regexp&amp;""""</f>
        <v>#REF!</v>
      </c>
      <c r="BAS28" s="234" t="e">
        <f>astrogrep_path&amp;" /e /r /s /spath="&amp;search_path&amp;" /stypes=""app*"&amp;AZO28&amp;"*"&amp;TEXT(AZV28-utc_offset/24,"YYYYMMDD")&amp;"*"" /stext="" "&amp;TEXT(AZV28-utc_offset/24,"HH")&amp;search_regexp&amp;""""</f>
        <v>#REF!</v>
      </c>
      <c r="BAT28" s="234" t="e">
        <f>astrogrep_path&amp;" /e /r /s /spath="&amp;search_path&amp;" /stypes=""app*"&amp;AZP28&amp;"*"&amp;TEXT(AZW28-utc_offset/24,"YYYYMMDD")&amp;"*"" /stext="" "&amp;TEXT(AZW28-utc_offset/24,"HH")&amp;search_regexp&amp;""""</f>
        <v>#REF!</v>
      </c>
      <c r="BAU28" s="234" t="e">
        <f>astrogrep_path&amp;" /e /r /s /spath="&amp;search_path&amp;" /stypes=""app*"&amp;AZQ28&amp;"*"&amp;TEXT(AZX28-utc_offset/24,"YYYYMMDD")&amp;"*"" /stext="" "&amp;TEXT(AZX28-utc_offset/24,"HH")&amp;search_regexp&amp;""""</f>
        <v>#REF!</v>
      </c>
      <c r="BAV28" s="234" t="e">
        <f>astrogrep_path&amp;" /e /r /s /spath="&amp;search_path&amp;" /stypes=""app*"&amp;AZR28&amp;"*"&amp;TEXT(AZY28-utc_offset/24,"YYYYMMDD")&amp;"*"" /stext="" "&amp;TEXT(AZY28-utc_offset/24,"HH")&amp;search_regexp&amp;""""</f>
        <v>#REF!</v>
      </c>
      <c r="BAW28" s="234" t="e">
        <f>astrogrep_path&amp;" /e /r /s /spath="&amp;search_path&amp;" /stypes=""app*"&amp;AZS28&amp;"*"&amp;TEXT(AZZ28-utc_offset/24,"YYYYMMDD")&amp;"*"" /stext="" "&amp;TEXT(AZZ28-utc_offset/24,"HH")&amp;search_regexp&amp;""""</f>
        <v>#REF!</v>
      </c>
      <c r="BAX28" s="234" t="e">
        <f>astrogrep_path&amp;" /e /r /s /spath="&amp;search_path&amp;" /stypes=""app*"&amp;AZT28&amp;"*"&amp;TEXT(BAA28-utc_offset/24,"YYYYMMDD")&amp;"*"" /stext="" "&amp;TEXT(BAA28-utc_offset/24,"HH")&amp;search_regexp&amp;""""</f>
        <v>#REF!</v>
      </c>
      <c r="BAY28" s="234" t="e">
        <f>astrogrep_path&amp;" /e /r /s /spath="&amp;search_path&amp;" /stypes=""app*"&amp;AZU28&amp;"*"&amp;TEXT(BAB28-utc_offset/24,"YYYYMMDD")&amp;"*"" /stext="" "&amp;TEXT(BAB28-utc_offset/24,"HH")&amp;search_regexp&amp;""""</f>
        <v>#REF!</v>
      </c>
      <c r="BAZ28" s="234" t="e">
        <f>astrogrep_path&amp;" /e /r /s /spath="&amp;search_path&amp;" /stypes=""app*"&amp;AZV28&amp;"*"&amp;TEXT(BAC28-utc_offset/24,"YYYYMMDD")&amp;"*"" /stext="" "&amp;TEXT(BAC28-utc_offset/24,"HH")&amp;search_regexp&amp;""""</f>
        <v>#REF!</v>
      </c>
      <c r="BBA28" s="234" t="e">
        <f>astrogrep_path&amp;" /e /r /s /spath="&amp;search_path&amp;" /stypes=""app*"&amp;AZW28&amp;"*"&amp;TEXT(BAD28-utc_offset/24,"YYYYMMDD")&amp;"*"" /stext="" "&amp;TEXT(BAD28-utc_offset/24,"HH")&amp;search_regexp&amp;""""</f>
        <v>#REF!</v>
      </c>
      <c r="BBB28" s="234" t="e">
        <f>astrogrep_path&amp;" /e /r /s /spath="&amp;search_path&amp;" /stypes=""app*"&amp;AZX28&amp;"*"&amp;TEXT(BAE28-utc_offset/24,"YYYYMMDD")&amp;"*"" /stext="" "&amp;TEXT(BAE28-utc_offset/24,"HH")&amp;search_regexp&amp;""""</f>
        <v>#REF!</v>
      </c>
      <c r="BBC28" s="234" t="e">
        <f>astrogrep_path&amp;" /e /r /s /spath="&amp;search_path&amp;" /stypes=""app*"&amp;AZY28&amp;"*"&amp;TEXT(BAF28-utc_offset/24,"YYYYMMDD")&amp;"*"" /stext="" "&amp;TEXT(BAF28-utc_offset/24,"HH")&amp;search_regexp&amp;""""</f>
        <v>#REF!</v>
      </c>
      <c r="BBD28" s="234" t="e">
        <f>astrogrep_path&amp;" /e /r /s /spath="&amp;search_path&amp;" /stypes=""app*"&amp;AZZ28&amp;"*"&amp;TEXT(BAG28-utc_offset/24,"YYYYMMDD")&amp;"*"" /stext="" "&amp;TEXT(BAG28-utc_offset/24,"HH")&amp;search_regexp&amp;""""</f>
        <v>#REF!</v>
      </c>
      <c r="BBE28" s="234" t="e">
        <f>astrogrep_path&amp;" /e /r /s /spath="&amp;search_path&amp;" /stypes=""app*"&amp;BAA28&amp;"*"&amp;TEXT(BAH28-utc_offset/24,"YYYYMMDD")&amp;"*"" /stext="" "&amp;TEXT(BAH28-utc_offset/24,"HH")&amp;search_regexp&amp;""""</f>
        <v>#REF!</v>
      </c>
      <c r="BBF28" s="234" t="e">
        <f>astrogrep_path&amp;" /e /r /s /spath="&amp;search_path&amp;" /stypes=""app*"&amp;BAB28&amp;"*"&amp;TEXT(BAI28-utc_offset/24,"YYYYMMDD")&amp;"*"" /stext="" "&amp;TEXT(BAI28-utc_offset/24,"HH")&amp;search_regexp&amp;""""</f>
        <v>#REF!</v>
      </c>
      <c r="BBG28" s="234" t="e">
        <f>astrogrep_path&amp;" /e /r /s /spath="&amp;search_path&amp;" /stypes=""app*"&amp;BAC28&amp;"*"&amp;TEXT(BAJ28-utc_offset/24,"YYYYMMDD")&amp;"*"" /stext="" "&amp;TEXT(BAJ28-utc_offset/24,"HH")&amp;search_regexp&amp;""""</f>
        <v>#VALUE!</v>
      </c>
      <c r="BBH28" s="234" t="e">
        <f>astrogrep_path&amp;" /e /r /s /spath="&amp;search_path&amp;" /stypes=""app*"&amp;BAD28&amp;"*"&amp;TEXT(BAK28-utc_offset/24,"YYYYMMDD")&amp;"*"" /stext="" "&amp;TEXT(BAK28-utc_offset/24,"HH")&amp;search_regexp&amp;""""</f>
        <v>#VALUE!</v>
      </c>
      <c r="BBI28" s="234" t="e">
        <f>astrogrep_path&amp;" /e /r /s /spath="&amp;search_path&amp;" /stypes=""app*"&amp;BAE28&amp;"*"&amp;TEXT(BAL28-utc_offset/24,"YYYYMMDD")&amp;"*"" /stext="" "&amp;TEXT(BAL28-utc_offset/24,"HH")&amp;search_regexp&amp;""""</f>
        <v>#REF!</v>
      </c>
      <c r="BBJ28" s="234" t="e">
        <f>astrogrep_path&amp;" /e /r /s /spath="&amp;search_path&amp;" /stypes=""app*"&amp;BAF28&amp;"*"&amp;TEXT(BAM28-utc_offset/24,"YYYYMMDD")&amp;"*"" /stext="" "&amp;TEXT(BAM28-utc_offset/24,"HH")&amp;search_regexp&amp;""""</f>
        <v>#REF!</v>
      </c>
      <c r="BBK28" s="234" t="e">
        <f>astrogrep_path&amp;" /e /r /s /spath="&amp;search_path&amp;" /stypes=""app*"&amp;BAG28&amp;"*"&amp;TEXT(BAN28-utc_offset/24,"YYYYMMDD")&amp;"*"" /stext="" "&amp;TEXT(BAN28-utc_offset/24,"HH")&amp;search_regexp&amp;""""</f>
        <v>#VALUE!</v>
      </c>
      <c r="BBL28" s="234" t="e">
        <f>astrogrep_path&amp;" /e /r /s /spath="&amp;search_path&amp;" /stypes=""app*"&amp;BAH28&amp;"*"&amp;TEXT(BAO28-utc_offset/24,"YYYYMMDD")&amp;"*"" /stext="" "&amp;TEXT(BAO28-utc_offset/24,"HH")&amp;search_regexp&amp;""""</f>
        <v>#VALUE!</v>
      </c>
      <c r="BBM28" s="234" t="e">
        <f>astrogrep_path&amp;" /e /r /s /spath="&amp;search_path&amp;" /stypes=""app*"&amp;BAI28&amp;"*"&amp;TEXT(BAP28-utc_offset/24,"YYYYMMDD")&amp;"*"" /stext="" "&amp;TEXT(BAP28-utc_offset/24,"HH")&amp;search_regexp&amp;""""</f>
        <v>#VALUE!</v>
      </c>
      <c r="BBN28" s="234" t="e">
        <f>astrogrep_path&amp;" /e /r /s /spath="&amp;search_path&amp;" /stypes=""app*"&amp;BAJ28&amp;"*"&amp;TEXT(BAQ28-utc_offset/24,"YYYYMMDD")&amp;"*"" /stext="" "&amp;TEXT(BAQ28-utc_offset/24,"HH")&amp;search_regexp&amp;""""</f>
        <v>#VALUE!</v>
      </c>
      <c r="BBO28" s="234" t="e">
        <f>astrogrep_path&amp;" /e /r /s /spath="&amp;search_path&amp;" /stypes=""app*"&amp;BAK28&amp;"*"&amp;TEXT(BAR28-utc_offset/24,"YYYYMMDD")&amp;"*"" /stext="" "&amp;TEXT(BAR28-utc_offset/24,"HH")&amp;search_regexp&amp;""""</f>
        <v>#VALUE!</v>
      </c>
      <c r="BBP28" s="234" t="e">
        <f>astrogrep_path&amp;" /e /r /s /spath="&amp;search_path&amp;" /stypes=""app*"&amp;BAL28&amp;"*"&amp;TEXT(BAS28-utc_offset/24,"YYYYMMDD")&amp;"*"" /stext="" "&amp;TEXT(BAS28-utc_offset/24,"HH")&amp;search_regexp&amp;""""</f>
        <v>#REF!</v>
      </c>
      <c r="BBQ28" s="234" t="e">
        <f>astrogrep_path&amp;" /e /r /s /spath="&amp;search_path&amp;" /stypes=""app*"&amp;BAM28&amp;"*"&amp;TEXT(BAT28-utc_offset/24,"YYYYMMDD")&amp;"*"" /stext="" "&amp;TEXT(BAT28-utc_offset/24,"HH")&amp;search_regexp&amp;""""</f>
        <v>#REF!</v>
      </c>
      <c r="BBR28" s="234" t="e">
        <f>astrogrep_path&amp;" /e /r /s /spath="&amp;search_path&amp;" /stypes=""app*"&amp;BAN28&amp;"*"&amp;TEXT(BAU28-utc_offset/24,"YYYYMMDD")&amp;"*"" /stext="" "&amp;TEXT(BAU28-utc_offset/24,"HH")&amp;search_regexp&amp;""""</f>
        <v>#REF!</v>
      </c>
      <c r="BBS28" s="234" t="e">
        <f>astrogrep_path&amp;" /e /r /s /spath="&amp;search_path&amp;" /stypes=""app*"&amp;BAO28&amp;"*"&amp;TEXT(BAV28-utc_offset/24,"YYYYMMDD")&amp;"*"" /stext="" "&amp;TEXT(BAV28-utc_offset/24,"HH")&amp;search_regexp&amp;""""</f>
        <v>#REF!</v>
      </c>
      <c r="BBT28" s="234" t="e">
        <f>astrogrep_path&amp;" /e /r /s /spath="&amp;search_path&amp;" /stypes=""app*"&amp;BAP28&amp;"*"&amp;TEXT(BAW28-utc_offset/24,"YYYYMMDD")&amp;"*"" /stext="" "&amp;TEXT(BAW28-utc_offset/24,"HH")&amp;search_regexp&amp;""""</f>
        <v>#REF!</v>
      </c>
      <c r="BBU28" s="234" t="e">
        <f>astrogrep_path&amp;" /e /r /s /spath="&amp;search_path&amp;" /stypes=""app*"&amp;BAQ28&amp;"*"&amp;TEXT(BAX28-utc_offset/24,"YYYYMMDD")&amp;"*"" /stext="" "&amp;TEXT(BAX28-utc_offset/24,"HH")&amp;search_regexp&amp;""""</f>
        <v>#REF!</v>
      </c>
      <c r="BBV28" s="234" t="e">
        <f>astrogrep_path&amp;" /e /r /s /spath="&amp;search_path&amp;" /stypes=""app*"&amp;BAR28&amp;"*"&amp;TEXT(BAY28-utc_offset/24,"YYYYMMDD")&amp;"*"" /stext="" "&amp;TEXT(BAY28-utc_offset/24,"HH")&amp;search_regexp&amp;""""</f>
        <v>#REF!</v>
      </c>
      <c r="BBW28" s="234" t="e">
        <f>astrogrep_path&amp;" /e /r /s /spath="&amp;search_path&amp;" /stypes=""app*"&amp;BAS28&amp;"*"&amp;TEXT(BAZ28-utc_offset/24,"YYYYMMDD")&amp;"*"" /stext="" "&amp;TEXT(BAZ28-utc_offset/24,"HH")&amp;search_regexp&amp;""""</f>
        <v>#REF!</v>
      </c>
      <c r="BBX28" s="234" t="e">
        <f>astrogrep_path&amp;" /e /r /s /spath="&amp;search_path&amp;" /stypes=""app*"&amp;BAT28&amp;"*"&amp;TEXT(BBA28-utc_offset/24,"YYYYMMDD")&amp;"*"" /stext="" "&amp;TEXT(BBA28-utc_offset/24,"HH")&amp;search_regexp&amp;""""</f>
        <v>#REF!</v>
      </c>
      <c r="BBY28" s="234" t="e">
        <f>astrogrep_path&amp;" /e /r /s /spath="&amp;search_path&amp;" /stypes=""app*"&amp;BAU28&amp;"*"&amp;TEXT(BBB28-utc_offset/24,"YYYYMMDD")&amp;"*"" /stext="" "&amp;TEXT(BBB28-utc_offset/24,"HH")&amp;search_regexp&amp;""""</f>
        <v>#REF!</v>
      </c>
      <c r="BBZ28" s="234" t="e">
        <f>astrogrep_path&amp;" /e /r /s /spath="&amp;search_path&amp;" /stypes=""app*"&amp;BAV28&amp;"*"&amp;TEXT(BBC28-utc_offset/24,"YYYYMMDD")&amp;"*"" /stext="" "&amp;TEXT(BBC28-utc_offset/24,"HH")&amp;search_regexp&amp;""""</f>
        <v>#REF!</v>
      </c>
      <c r="BCA28" s="234" t="e">
        <f>astrogrep_path&amp;" /e /r /s /spath="&amp;search_path&amp;" /stypes=""app*"&amp;BAW28&amp;"*"&amp;TEXT(BBD28-utc_offset/24,"YYYYMMDD")&amp;"*"" /stext="" "&amp;TEXT(BBD28-utc_offset/24,"HH")&amp;search_regexp&amp;""""</f>
        <v>#REF!</v>
      </c>
      <c r="BCB28" s="234" t="e">
        <f>astrogrep_path&amp;" /e /r /s /spath="&amp;search_path&amp;" /stypes=""app*"&amp;BAX28&amp;"*"&amp;TEXT(BBE28-utc_offset/24,"YYYYMMDD")&amp;"*"" /stext="" "&amp;TEXT(BBE28-utc_offset/24,"HH")&amp;search_regexp&amp;""""</f>
        <v>#REF!</v>
      </c>
      <c r="BCC28" s="234" t="e">
        <f>astrogrep_path&amp;" /e /r /s /spath="&amp;search_path&amp;" /stypes=""app*"&amp;BAY28&amp;"*"&amp;TEXT(BBF28-utc_offset/24,"YYYYMMDD")&amp;"*"" /stext="" "&amp;TEXT(BBF28-utc_offset/24,"HH")&amp;search_regexp&amp;""""</f>
        <v>#REF!</v>
      </c>
      <c r="BCD28" s="234" t="e">
        <f>astrogrep_path&amp;" /e /r /s /spath="&amp;search_path&amp;" /stypes=""app*"&amp;BAZ28&amp;"*"&amp;TEXT(BBG28-utc_offset/24,"YYYYMMDD")&amp;"*"" /stext="" "&amp;TEXT(BBG28-utc_offset/24,"HH")&amp;search_regexp&amp;""""</f>
        <v>#REF!</v>
      </c>
      <c r="BCE28" s="234" t="e">
        <f>astrogrep_path&amp;" /e /r /s /spath="&amp;search_path&amp;" /stypes=""app*"&amp;BBA28&amp;"*"&amp;TEXT(BBH28-utc_offset/24,"YYYYMMDD")&amp;"*"" /stext="" "&amp;TEXT(BBH28-utc_offset/24,"HH")&amp;search_regexp&amp;""""</f>
        <v>#REF!</v>
      </c>
      <c r="BCF28" s="234" t="e">
        <f>astrogrep_path&amp;" /e /r /s /spath="&amp;search_path&amp;" /stypes=""app*"&amp;BBB28&amp;"*"&amp;TEXT(BBI28-utc_offset/24,"YYYYMMDD")&amp;"*"" /stext="" "&amp;TEXT(BBI28-utc_offset/24,"HH")&amp;search_regexp&amp;""""</f>
        <v>#REF!</v>
      </c>
      <c r="BCG28" s="234" t="e">
        <f>astrogrep_path&amp;" /e /r /s /spath="&amp;search_path&amp;" /stypes=""app*"&amp;BBC28&amp;"*"&amp;TEXT(BBJ28-utc_offset/24,"YYYYMMDD")&amp;"*"" /stext="" "&amp;TEXT(BBJ28-utc_offset/24,"HH")&amp;search_regexp&amp;""""</f>
        <v>#REF!</v>
      </c>
      <c r="BCH28" s="234" t="e">
        <f>astrogrep_path&amp;" /e /r /s /spath="&amp;search_path&amp;" /stypes=""app*"&amp;BBD28&amp;"*"&amp;TEXT(BBK28-utc_offset/24,"YYYYMMDD")&amp;"*"" /stext="" "&amp;TEXT(BBK28-utc_offset/24,"HH")&amp;search_regexp&amp;""""</f>
        <v>#REF!</v>
      </c>
      <c r="BCI28" s="234" t="e">
        <f>astrogrep_path&amp;" /e /r /s /spath="&amp;search_path&amp;" /stypes=""app*"&amp;BBE28&amp;"*"&amp;TEXT(BBL28-utc_offset/24,"YYYYMMDD")&amp;"*"" /stext="" "&amp;TEXT(BBL28-utc_offset/24,"HH")&amp;search_regexp&amp;""""</f>
        <v>#REF!</v>
      </c>
      <c r="BCJ28" s="234" t="e">
        <f>astrogrep_path&amp;" /e /r /s /spath="&amp;search_path&amp;" /stypes=""app*"&amp;BBF28&amp;"*"&amp;TEXT(BBM28-utc_offset/24,"YYYYMMDD")&amp;"*"" /stext="" "&amp;TEXT(BBM28-utc_offset/24,"HH")&amp;search_regexp&amp;""""</f>
        <v>#REF!</v>
      </c>
      <c r="BCK28" s="234" t="e">
        <f>astrogrep_path&amp;" /e /r /s /spath="&amp;search_path&amp;" /stypes=""app*"&amp;BBG28&amp;"*"&amp;TEXT(BBN28-utc_offset/24,"YYYYMMDD")&amp;"*"" /stext="" "&amp;TEXT(BBN28-utc_offset/24,"HH")&amp;search_regexp&amp;""""</f>
        <v>#VALUE!</v>
      </c>
      <c r="BCL28" s="234" t="e">
        <f>astrogrep_path&amp;" /e /r /s /spath="&amp;search_path&amp;" /stypes=""app*"&amp;BBH28&amp;"*"&amp;TEXT(BBO28-utc_offset/24,"YYYYMMDD")&amp;"*"" /stext="" "&amp;TEXT(BBO28-utc_offset/24,"HH")&amp;search_regexp&amp;""""</f>
        <v>#VALUE!</v>
      </c>
      <c r="BCM28" s="234" t="e">
        <f>astrogrep_path&amp;" /e /r /s /spath="&amp;search_path&amp;" /stypes=""app*"&amp;BBI28&amp;"*"&amp;TEXT(BBP28-utc_offset/24,"YYYYMMDD")&amp;"*"" /stext="" "&amp;TEXT(BBP28-utc_offset/24,"HH")&amp;search_regexp&amp;""""</f>
        <v>#REF!</v>
      </c>
      <c r="BCN28" s="234" t="e">
        <f>astrogrep_path&amp;" /e /r /s /spath="&amp;search_path&amp;" /stypes=""app*"&amp;BBJ28&amp;"*"&amp;TEXT(BBQ28-utc_offset/24,"YYYYMMDD")&amp;"*"" /stext="" "&amp;TEXT(BBQ28-utc_offset/24,"HH")&amp;search_regexp&amp;""""</f>
        <v>#REF!</v>
      </c>
      <c r="BCO28" s="234" t="e">
        <f>astrogrep_path&amp;" /e /r /s /spath="&amp;search_path&amp;" /stypes=""app*"&amp;BBK28&amp;"*"&amp;TEXT(BBR28-utc_offset/24,"YYYYMMDD")&amp;"*"" /stext="" "&amp;TEXT(BBR28-utc_offset/24,"HH")&amp;search_regexp&amp;""""</f>
        <v>#VALUE!</v>
      </c>
      <c r="BCP28" s="234" t="e">
        <f>astrogrep_path&amp;" /e /r /s /spath="&amp;search_path&amp;" /stypes=""app*"&amp;BBL28&amp;"*"&amp;TEXT(BBS28-utc_offset/24,"YYYYMMDD")&amp;"*"" /stext="" "&amp;TEXT(BBS28-utc_offset/24,"HH")&amp;search_regexp&amp;""""</f>
        <v>#VALUE!</v>
      </c>
      <c r="BCQ28" s="234" t="e">
        <f>astrogrep_path&amp;" /e /r /s /spath="&amp;search_path&amp;" /stypes=""app*"&amp;BBM28&amp;"*"&amp;TEXT(BBT28-utc_offset/24,"YYYYMMDD")&amp;"*"" /stext="" "&amp;TEXT(BBT28-utc_offset/24,"HH")&amp;search_regexp&amp;""""</f>
        <v>#VALUE!</v>
      </c>
      <c r="BCR28" s="234" t="e">
        <f>astrogrep_path&amp;" /e /r /s /spath="&amp;search_path&amp;" /stypes=""app*"&amp;BBN28&amp;"*"&amp;TEXT(BBU28-utc_offset/24,"YYYYMMDD")&amp;"*"" /stext="" "&amp;TEXT(BBU28-utc_offset/24,"HH")&amp;search_regexp&amp;""""</f>
        <v>#VALUE!</v>
      </c>
      <c r="BCS28" s="234" t="e">
        <f>astrogrep_path&amp;" /e /r /s /spath="&amp;search_path&amp;" /stypes=""app*"&amp;BBO28&amp;"*"&amp;TEXT(BBV28-utc_offset/24,"YYYYMMDD")&amp;"*"" /stext="" "&amp;TEXT(BBV28-utc_offset/24,"HH")&amp;search_regexp&amp;""""</f>
        <v>#VALUE!</v>
      </c>
      <c r="BCT28" s="234" t="e">
        <f>astrogrep_path&amp;" /e /r /s /spath="&amp;search_path&amp;" /stypes=""app*"&amp;BBP28&amp;"*"&amp;TEXT(BBW28-utc_offset/24,"YYYYMMDD")&amp;"*"" /stext="" "&amp;TEXT(BBW28-utc_offset/24,"HH")&amp;search_regexp&amp;""""</f>
        <v>#REF!</v>
      </c>
      <c r="BCU28" s="234" t="e">
        <f>astrogrep_path&amp;" /e /r /s /spath="&amp;search_path&amp;" /stypes=""app*"&amp;BBQ28&amp;"*"&amp;TEXT(BBX28-utc_offset/24,"YYYYMMDD")&amp;"*"" /stext="" "&amp;TEXT(BBX28-utc_offset/24,"HH")&amp;search_regexp&amp;""""</f>
        <v>#REF!</v>
      </c>
      <c r="BCV28" s="234" t="e">
        <f>astrogrep_path&amp;" /e /r /s /spath="&amp;search_path&amp;" /stypes=""app*"&amp;BBR28&amp;"*"&amp;TEXT(BBY28-utc_offset/24,"YYYYMMDD")&amp;"*"" /stext="" "&amp;TEXT(BBY28-utc_offset/24,"HH")&amp;search_regexp&amp;""""</f>
        <v>#REF!</v>
      </c>
      <c r="BCW28" s="234" t="e">
        <f>astrogrep_path&amp;" /e /r /s /spath="&amp;search_path&amp;" /stypes=""app*"&amp;BBS28&amp;"*"&amp;TEXT(BBZ28-utc_offset/24,"YYYYMMDD")&amp;"*"" /stext="" "&amp;TEXT(BBZ28-utc_offset/24,"HH")&amp;search_regexp&amp;""""</f>
        <v>#REF!</v>
      </c>
      <c r="BCX28" s="234" t="e">
        <f>astrogrep_path&amp;" /e /r /s /spath="&amp;search_path&amp;" /stypes=""app*"&amp;BBT28&amp;"*"&amp;TEXT(BCA28-utc_offset/24,"YYYYMMDD")&amp;"*"" /stext="" "&amp;TEXT(BCA28-utc_offset/24,"HH")&amp;search_regexp&amp;""""</f>
        <v>#REF!</v>
      </c>
      <c r="BCY28" s="234" t="e">
        <f>astrogrep_path&amp;" /e /r /s /spath="&amp;search_path&amp;" /stypes=""app*"&amp;BBU28&amp;"*"&amp;TEXT(BCB28-utc_offset/24,"YYYYMMDD")&amp;"*"" /stext="" "&amp;TEXT(BCB28-utc_offset/24,"HH")&amp;search_regexp&amp;""""</f>
        <v>#REF!</v>
      </c>
      <c r="BCZ28" s="234" t="e">
        <f>astrogrep_path&amp;" /e /r /s /spath="&amp;search_path&amp;" /stypes=""app*"&amp;BBV28&amp;"*"&amp;TEXT(BCC28-utc_offset/24,"YYYYMMDD")&amp;"*"" /stext="" "&amp;TEXT(BCC28-utc_offset/24,"HH")&amp;search_regexp&amp;""""</f>
        <v>#REF!</v>
      </c>
      <c r="BDA28" s="234" t="e">
        <f>astrogrep_path&amp;" /e /r /s /spath="&amp;search_path&amp;" /stypes=""app*"&amp;BBW28&amp;"*"&amp;TEXT(BCD28-utc_offset/24,"YYYYMMDD")&amp;"*"" /stext="" "&amp;TEXT(BCD28-utc_offset/24,"HH")&amp;search_regexp&amp;""""</f>
        <v>#REF!</v>
      </c>
      <c r="BDB28" s="234" t="e">
        <f>astrogrep_path&amp;" /e /r /s /spath="&amp;search_path&amp;" /stypes=""app*"&amp;BBX28&amp;"*"&amp;TEXT(BCE28-utc_offset/24,"YYYYMMDD")&amp;"*"" /stext="" "&amp;TEXT(BCE28-utc_offset/24,"HH")&amp;search_regexp&amp;""""</f>
        <v>#REF!</v>
      </c>
      <c r="BDC28" s="234" t="e">
        <f>astrogrep_path&amp;" /e /r /s /spath="&amp;search_path&amp;" /stypes=""app*"&amp;BBY28&amp;"*"&amp;TEXT(BCF28-utc_offset/24,"YYYYMMDD")&amp;"*"" /stext="" "&amp;TEXT(BCF28-utc_offset/24,"HH")&amp;search_regexp&amp;""""</f>
        <v>#REF!</v>
      </c>
      <c r="BDD28" s="234" t="e">
        <f>astrogrep_path&amp;" /e /r /s /spath="&amp;search_path&amp;" /stypes=""app*"&amp;BBZ28&amp;"*"&amp;TEXT(BCG28-utc_offset/24,"YYYYMMDD")&amp;"*"" /stext="" "&amp;TEXT(BCG28-utc_offset/24,"HH")&amp;search_regexp&amp;""""</f>
        <v>#REF!</v>
      </c>
      <c r="BDE28" s="234" t="e">
        <f>astrogrep_path&amp;" /e /r /s /spath="&amp;search_path&amp;" /stypes=""app*"&amp;BCA28&amp;"*"&amp;TEXT(BCH28-utc_offset/24,"YYYYMMDD")&amp;"*"" /stext="" "&amp;TEXT(BCH28-utc_offset/24,"HH")&amp;search_regexp&amp;""""</f>
        <v>#REF!</v>
      </c>
      <c r="BDF28" s="234" t="e">
        <f>astrogrep_path&amp;" /e /r /s /spath="&amp;search_path&amp;" /stypes=""app*"&amp;BCB28&amp;"*"&amp;TEXT(BCI28-utc_offset/24,"YYYYMMDD")&amp;"*"" /stext="" "&amp;TEXT(BCI28-utc_offset/24,"HH")&amp;search_regexp&amp;""""</f>
        <v>#REF!</v>
      </c>
      <c r="BDG28" s="234" t="e">
        <f>astrogrep_path&amp;" /e /r /s /spath="&amp;search_path&amp;" /stypes=""app*"&amp;BCC28&amp;"*"&amp;TEXT(BCJ28-utc_offset/24,"YYYYMMDD")&amp;"*"" /stext="" "&amp;TEXT(BCJ28-utc_offset/24,"HH")&amp;search_regexp&amp;""""</f>
        <v>#REF!</v>
      </c>
      <c r="BDH28" s="234" t="e">
        <f>astrogrep_path&amp;" /e /r /s /spath="&amp;search_path&amp;" /stypes=""app*"&amp;BCD28&amp;"*"&amp;TEXT(BCK28-utc_offset/24,"YYYYMMDD")&amp;"*"" /stext="" "&amp;TEXT(BCK28-utc_offset/24,"HH")&amp;search_regexp&amp;""""</f>
        <v>#REF!</v>
      </c>
      <c r="BDI28" s="234" t="e">
        <f>astrogrep_path&amp;" /e /r /s /spath="&amp;search_path&amp;" /stypes=""app*"&amp;BCE28&amp;"*"&amp;TEXT(BCL28-utc_offset/24,"YYYYMMDD")&amp;"*"" /stext="" "&amp;TEXT(BCL28-utc_offset/24,"HH")&amp;search_regexp&amp;""""</f>
        <v>#REF!</v>
      </c>
      <c r="BDJ28" s="234" t="e">
        <f>astrogrep_path&amp;" /e /r /s /spath="&amp;search_path&amp;" /stypes=""app*"&amp;BCF28&amp;"*"&amp;TEXT(BCM28-utc_offset/24,"YYYYMMDD")&amp;"*"" /stext="" "&amp;TEXT(BCM28-utc_offset/24,"HH")&amp;search_regexp&amp;""""</f>
        <v>#REF!</v>
      </c>
      <c r="BDK28" s="234" t="e">
        <f>astrogrep_path&amp;" /e /r /s /spath="&amp;search_path&amp;" /stypes=""app*"&amp;BCG28&amp;"*"&amp;TEXT(BCN28-utc_offset/24,"YYYYMMDD")&amp;"*"" /stext="" "&amp;TEXT(BCN28-utc_offset/24,"HH")&amp;search_regexp&amp;""""</f>
        <v>#REF!</v>
      </c>
      <c r="BDL28" s="234" t="e">
        <f>astrogrep_path&amp;" /e /r /s /spath="&amp;search_path&amp;" /stypes=""app*"&amp;BCH28&amp;"*"&amp;TEXT(BCO28-utc_offset/24,"YYYYMMDD")&amp;"*"" /stext="" "&amp;TEXT(BCO28-utc_offset/24,"HH")&amp;search_regexp&amp;""""</f>
        <v>#REF!</v>
      </c>
      <c r="BDM28" s="234" t="e">
        <f>astrogrep_path&amp;" /e /r /s /spath="&amp;search_path&amp;" /stypes=""app*"&amp;BCI28&amp;"*"&amp;TEXT(BCP28-utc_offset/24,"YYYYMMDD")&amp;"*"" /stext="" "&amp;TEXT(BCP28-utc_offset/24,"HH")&amp;search_regexp&amp;""""</f>
        <v>#REF!</v>
      </c>
      <c r="BDN28" s="234" t="e">
        <f>astrogrep_path&amp;" /e /r /s /spath="&amp;search_path&amp;" /stypes=""app*"&amp;BCJ28&amp;"*"&amp;TEXT(BCQ28-utc_offset/24,"YYYYMMDD")&amp;"*"" /stext="" "&amp;TEXT(BCQ28-utc_offset/24,"HH")&amp;search_regexp&amp;""""</f>
        <v>#REF!</v>
      </c>
      <c r="BDO28" s="234" t="e">
        <f>astrogrep_path&amp;" /e /r /s /spath="&amp;search_path&amp;" /stypes=""app*"&amp;BCK28&amp;"*"&amp;TEXT(BCR28-utc_offset/24,"YYYYMMDD")&amp;"*"" /stext="" "&amp;TEXT(BCR28-utc_offset/24,"HH")&amp;search_regexp&amp;""""</f>
        <v>#VALUE!</v>
      </c>
      <c r="BDP28" s="234" t="e">
        <f>astrogrep_path&amp;" /e /r /s /spath="&amp;search_path&amp;" /stypes=""app*"&amp;BCL28&amp;"*"&amp;TEXT(BCS28-utc_offset/24,"YYYYMMDD")&amp;"*"" /stext="" "&amp;TEXT(BCS28-utc_offset/24,"HH")&amp;search_regexp&amp;""""</f>
        <v>#VALUE!</v>
      </c>
      <c r="BDQ28" s="234" t="e">
        <f>astrogrep_path&amp;" /e /r /s /spath="&amp;search_path&amp;" /stypes=""app*"&amp;BCM28&amp;"*"&amp;TEXT(BCT28-utc_offset/24,"YYYYMMDD")&amp;"*"" /stext="" "&amp;TEXT(BCT28-utc_offset/24,"HH")&amp;search_regexp&amp;""""</f>
        <v>#REF!</v>
      </c>
      <c r="BDR28" s="234" t="e">
        <f>astrogrep_path&amp;" /e /r /s /spath="&amp;search_path&amp;" /stypes=""app*"&amp;BCN28&amp;"*"&amp;TEXT(BCU28-utc_offset/24,"YYYYMMDD")&amp;"*"" /stext="" "&amp;TEXT(BCU28-utc_offset/24,"HH")&amp;search_regexp&amp;""""</f>
        <v>#REF!</v>
      </c>
      <c r="BDS28" s="234" t="e">
        <f>astrogrep_path&amp;" /e /r /s /spath="&amp;search_path&amp;" /stypes=""app*"&amp;BCO28&amp;"*"&amp;TEXT(BCV28-utc_offset/24,"YYYYMMDD")&amp;"*"" /stext="" "&amp;TEXT(BCV28-utc_offset/24,"HH")&amp;search_regexp&amp;""""</f>
        <v>#VALUE!</v>
      </c>
      <c r="BDT28" s="234" t="e">
        <f>astrogrep_path&amp;" /e /r /s /spath="&amp;search_path&amp;" /stypes=""app*"&amp;BCP28&amp;"*"&amp;TEXT(BCW28-utc_offset/24,"YYYYMMDD")&amp;"*"" /stext="" "&amp;TEXT(BCW28-utc_offset/24,"HH")&amp;search_regexp&amp;""""</f>
        <v>#VALUE!</v>
      </c>
      <c r="BDU28" s="234" t="e">
        <f>astrogrep_path&amp;" /e /r /s /spath="&amp;search_path&amp;" /stypes=""app*"&amp;BCQ28&amp;"*"&amp;TEXT(BCX28-utc_offset/24,"YYYYMMDD")&amp;"*"" /stext="" "&amp;TEXT(BCX28-utc_offset/24,"HH")&amp;search_regexp&amp;""""</f>
        <v>#VALUE!</v>
      </c>
      <c r="BDV28" s="234" t="e">
        <f>astrogrep_path&amp;" /e /r /s /spath="&amp;search_path&amp;" /stypes=""app*"&amp;BCR28&amp;"*"&amp;TEXT(BCY28-utc_offset/24,"YYYYMMDD")&amp;"*"" /stext="" "&amp;TEXT(BCY28-utc_offset/24,"HH")&amp;search_regexp&amp;""""</f>
        <v>#VALUE!</v>
      </c>
      <c r="BDW28" s="234" t="e">
        <f>astrogrep_path&amp;" /e /r /s /spath="&amp;search_path&amp;" /stypes=""app*"&amp;BCS28&amp;"*"&amp;TEXT(BCZ28-utc_offset/24,"YYYYMMDD")&amp;"*"" /stext="" "&amp;TEXT(BCZ28-utc_offset/24,"HH")&amp;search_regexp&amp;""""</f>
        <v>#VALUE!</v>
      </c>
      <c r="BDX28" s="234" t="e">
        <f>astrogrep_path&amp;" /e /r /s /spath="&amp;search_path&amp;" /stypes=""app*"&amp;BCT28&amp;"*"&amp;TEXT(BDA28-utc_offset/24,"YYYYMMDD")&amp;"*"" /stext="" "&amp;TEXT(BDA28-utc_offset/24,"HH")&amp;search_regexp&amp;""""</f>
        <v>#REF!</v>
      </c>
      <c r="BDY28" s="234" t="e">
        <f>astrogrep_path&amp;" /e /r /s /spath="&amp;search_path&amp;" /stypes=""app*"&amp;BCU28&amp;"*"&amp;TEXT(BDB28-utc_offset/24,"YYYYMMDD")&amp;"*"" /stext="" "&amp;TEXT(BDB28-utc_offset/24,"HH")&amp;search_regexp&amp;""""</f>
        <v>#REF!</v>
      </c>
      <c r="BDZ28" s="234" t="e">
        <f>astrogrep_path&amp;" /e /r /s /spath="&amp;search_path&amp;" /stypes=""app*"&amp;BCV28&amp;"*"&amp;TEXT(BDC28-utc_offset/24,"YYYYMMDD")&amp;"*"" /stext="" "&amp;TEXT(BDC28-utc_offset/24,"HH")&amp;search_regexp&amp;""""</f>
        <v>#REF!</v>
      </c>
      <c r="BEA28" s="234" t="e">
        <f>astrogrep_path&amp;" /e /r /s /spath="&amp;search_path&amp;" /stypes=""app*"&amp;BCW28&amp;"*"&amp;TEXT(BDD28-utc_offset/24,"YYYYMMDD")&amp;"*"" /stext="" "&amp;TEXT(BDD28-utc_offset/24,"HH")&amp;search_regexp&amp;""""</f>
        <v>#REF!</v>
      </c>
      <c r="BEB28" s="234" t="e">
        <f>astrogrep_path&amp;" /e /r /s /spath="&amp;search_path&amp;" /stypes=""app*"&amp;BCX28&amp;"*"&amp;TEXT(BDE28-utc_offset/24,"YYYYMMDD")&amp;"*"" /stext="" "&amp;TEXT(BDE28-utc_offset/24,"HH")&amp;search_regexp&amp;""""</f>
        <v>#REF!</v>
      </c>
      <c r="BEC28" s="234" t="e">
        <f>astrogrep_path&amp;" /e /r /s /spath="&amp;search_path&amp;" /stypes=""app*"&amp;BCY28&amp;"*"&amp;TEXT(BDF28-utc_offset/24,"YYYYMMDD")&amp;"*"" /stext="" "&amp;TEXT(BDF28-utc_offset/24,"HH")&amp;search_regexp&amp;""""</f>
        <v>#REF!</v>
      </c>
      <c r="BED28" s="234" t="e">
        <f>astrogrep_path&amp;" /e /r /s /spath="&amp;search_path&amp;" /stypes=""app*"&amp;BCZ28&amp;"*"&amp;TEXT(BDG28-utc_offset/24,"YYYYMMDD")&amp;"*"" /stext="" "&amp;TEXT(BDG28-utc_offset/24,"HH")&amp;search_regexp&amp;""""</f>
        <v>#REF!</v>
      </c>
      <c r="BEE28" s="234" t="e">
        <f>astrogrep_path&amp;" /e /r /s /spath="&amp;search_path&amp;" /stypes=""app*"&amp;BDA28&amp;"*"&amp;TEXT(BDH28-utc_offset/24,"YYYYMMDD")&amp;"*"" /stext="" "&amp;TEXT(BDH28-utc_offset/24,"HH")&amp;search_regexp&amp;""""</f>
        <v>#REF!</v>
      </c>
      <c r="BEF28" s="234" t="e">
        <f>astrogrep_path&amp;" /e /r /s /spath="&amp;search_path&amp;" /stypes=""app*"&amp;BDB28&amp;"*"&amp;TEXT(BDI28-utc_offset/24,"YYYYMMDD")&amp;"*"" /stext="" "&amp;TEXT(BDI28-utc_offset/24,"HH")&amp;search_regexp&amp;""""</f>
        <v>#REF!</v>
      </c>
      <c r="BEG28" s="234" t="e">
        <f>astrogrep_path&amp;" /e /r /s /spath="&amp;search_path&amp;" /stypes=""app*"&amp;BDC28&amp;"*"&amp;TEXT(BDJ28-utc_offset/24,"YYYYMMDD")&amp;"*"" /stext="" "&amp;TEXT(BDJ28-utc_offset/24,"HH")&amp;search_regexp&amp;""""</f>
        <v>#REF!</v>
      </c>
      <c r="BEH28" s="234" t="e">
        <f>astrogrep_path&amp;" /e /r /s /spath="&amp;search_path&amp;" /stypes=""app*"&amp;BDD28&amp;"*"&amp;TEXT(BDK28-utc_offset/24,"YYYYMMDD")&amp;"*"" /stext="" "&amp;TEXT(BDK28-utc_offset/24,"HH")&amp;search_regexp&amp;""""</f>
        <v>#REF!</v>
      </c>
      <c r="BEI28" s="234" t="e">
        <f>astrogrep_path&amp;" /e /r /s /spath="&amp;search_path&amp;" /stypes=""app*"&amp;BDE28&amp;"*"&amp;TEXT(BDL28-utc_offset/24,"YYYYMMDD")&amp;"*"" /stext="" "&amp;TEXT(BDL28-utc_offset/24,"HH")&amp;search_regexp&amp;""""</f>
        <v>#REF!</v>
      </c>
      <c r="BEJ28" s="234" t="e">
        <f>astrogrep_path&amp;" /e /r /s /spath="&amp;search_path&amp;" /stypes=""app*"&amp;BDF28&amp;"*"&amp;TEXT(BDM28-utc_offset/24,"YYYYMMDD")&amp;"*"" /stext="" "&amp;TEXT(BDM28-utc_offset/24,"HH")&amp;search_regexp&amp;""""</f>
        <v>#REF!</v>
      </c>
      <c r="BEK28" s="234" t="e">
        <f>astrogrep_path&amp;" /e /r /s /spath="&amp;search_path&amp;" /stypes=""app*"&amp;BDG28&amp;"*"&amp;TEXT(BDN28-utc_offset/24,"YYYYMMDD")&amp;"*"" /stext="" "&amp;TEXT(BDN28-utc_offset/24,"HH")&amp;search_regexp&amp;""""</f>
        <v>#REF!</v>
      </c>
      <c r="BEL28" s="234" t="e">
        <f>astrogrep_path&amp;" /e /r /s /spath="&amp;search_path&amp;" /stypes=""app*"&amp;BDH28&amp;"*"&amp;TEXT(BDO28-utc_offset/24,"YYYYMMDD")&amp;"*"" /stext="" "&amp;TEXT(BDO28-utc_offset/24,"HH")&amp;search_regexp&amp;""""</f>
        <v>#REF!</v>
      </c>
      <c r="BEM28" s="234" t="e">
        <f>astrogrep_path&amp;" /e /r /s /spath="&amp;search_path&amp;" /stypes=""app*"&amp;BDI28&amp;"*"&amp;TEXT(BDP28-utc_offset/24,"YYYYMMDD")&amp;"*"" /stext="" "&amp;TEXT(BDP28-utc_offset/24,"HH")&amp;search_regexp&amp;""""</f>
        <v>#REF!</v>
      </c>
      <c r="BEN28" s="234" t="e">
        <f>astrogrep_path&amp;" /e /r /s /spath="&amp;search_path&amp;" /stypes=""app*"&amp;BDJ28&amp;"*"&amp;TEXT(BDQ28-utc_offset/24,"YYYYMMDD")&amp;"*"" /stext="" "&amp;TEXT(BDQ28-utc_offset/24,"HH")&amp;search_regexp&amp;""""</f>
        <v>#REF!</v>
      </c>
      <c r="BEO28" s="234" t="e">
        <f>astrogrep_path&amp;" /e /r /s /spath="&amp;search_path&amp;" /stypes=""app*"&amp;BDK28&amp;"*"&amp;TEXT(BDR28-utc_offset/24,"YYYYMMDD")&amp;"*"" /stext="" "&amp;TEXT(BDR28-utc_offset/24,"HH")&amp;search_regexp&amp;""""</f>
        <v>#REF!</v>
      </c>
      <c r="BEP28" s="234" t="e">
        <f>astrogrep_path&amp;" /e /r /s /spath="&amp;search_path&amp;" /stypes=""app*"&amp;BDL28&amp;"*"&amp;TEXT(BDS28-utc_offset/24,"YYYYMMDD")&amp;"*"" /stext="" "&amp;TEXT(BDS28-utc_offset/24,"HH")&amp;search_regexp&amp;""""</f>
        <v>#REF!</v>
      </c>
      <c r="BEQ28" s="234" t="e">
        <f>astrogrep_path&amp;" /e /r /s /spath="&amp;search_path&amp;" /stypes=""app*"&amp;BDM28&amp;"*"&amp;TEXT(BDT28-utc_offset/24,"YYYYMMDD")&amp;"*"" /stext="" "&amp;TEXT(BDT28-utc_offset/24,"HH")&amp;search_regexp&amp;""""</f>
        <v>#REF!</v>
      </c>
      <c r="BER28" s="234" t="e">
        <f>astrogrep_path&amp;" /e /r /s /spath="&amp;search_path&amp;" /stypes=""app*"&amp;BDN28&amp;"*"&amp;TEXT(BDU28-utc_offset/24,"YYYYMMDD")&amp;"*"" /stext="" "&amp;TEXT(BDU28-utc_offset/24,"HH")&amp;search_regexp&amp;""""</f>
        <v>#REF!</v>
      </c>
      <c r="BES28" s="234" t="e">
        <f>astrogrep_path&amp;" /e /r /s /spath="&amp;search_path&amp;" /stypes=""app*"&amp;BDO28&amp;"*"&amp;TEXT(BDV28-utc_offset/24,"YYYYMMDD")&amp;"*"" /stext="" "&amp;TEXT(BDV28-utc_offset/24,"HH")&amp;search_regexp&amp;""""</f>
        <v>#VALUE!</v>
      </c>
      <c r="BET28" s="234" t="e">
        <f>astrogrep_path&amp;" /e /r /s /spath="&amp;search_path&amp;" /stypes=""app*"&amp;BDP28&amp;"*"&amp;TEXT(BDW28-utc_offset/24,"YYYYMMDD")&amp;"*"" /stext="" "&amp;TEXT(BDW28-utc_offset/24,"HH")&amp;search_regexp&amp;""""</f>
        <v>#VALUE!</v>
      </c>
      <c r="BEU28" s="234" t="e">
        <f>astrogrep_path&amp;" /e /r /s /spath="&amp;search_path&amp;" /stypes=""app*"&amp;BDQ28&amp;"*"&amp;TEXT(BDX28-utc_offset/24,"YYYYMMDD")&amp;"*"" /stext="" "&amp;TEXT(BDX28-utc_offset/24,"HH")&amp;search_regexp&amp;""""</f>
        <v>#REF!</v>
      </c>
      <c r="BEV28" s="234" t="e">
        <f>astrogrep_path&amp;" /e /r /s /spath="&amp;search_path&amp;" /stypes=""app*"&amp;BDR28&amp;"*"&amp;TEXT(BDY28-utc_offset/24,"YYYYMMDD")&amp;"*"" /stext="" "&amp;TEXT(BDY28-utc_offset/24,"HH")&amp;search_regexp&amp;""""</f>
        <v>#REF!</v>
      </c>
      <c r="BEW28" s="234" t="e">
        <f>astrogrep_path&amp;" /e /r /s /spath="&amp;search_path&amp;" /stypes=""app*"&amp;BDS28&amp;"*"&amp;TEXT(BDZ28-utc_offset/24,"YYYYMMDD")&amp;"*"" /stext="" "&amp;TEXT(BDZ28-utc_offset/24,"HH")&amp;search_regexp&amp;""""</f>
        <v>#VALUE!</v>
      </c>
      <c r="BEX28" s="234" t="e">
        <f>astrogrep_path&amp;" /e /r /s /spath="&amp;search_path&amp;" /stypes=""app*"&amp;BDT28&amp;"*"&amp;TEXT(BEA28-utc_offset/24,"YYYYMMDD")&amp;"*"" /stext="" "&amp;TEXT(BEA28-utc_offset/24,"HH")&amp;search_regexp&amp;""""</f>
        <v>#VALUE!</v>
      </c>
      <c r="BEY28" s="234" t="e">
        <f>astrogrep_path&amp;" /e /r /s /spath="&amp;search_path&amp;" /stypes=""app*"&amp;BDU28&amp;"*"&amp;TEXT(BEB28-utc_offset/24,"YYYYMMDD")&amp;"*"" /stext="" "&amp;TEXT(BEB28-utc_offset/24,"HH")&amp;search_regexp&amp;""""</f>
        <v>#VALUE!</v>
      </c>
      <c r="BEZ28" s="234" t="e">
        <f>astrogrep_path&amp;" /e /r /s /spath="&amp;search_path&amp;" /stypes=""app*"&amp;BDV28&amp;"*"&amp;TEXT(BEC28-utc_offset/24,"YYYYMMDD")&amp;"*"" /stext="" "&amp;TEXT(BEC28-utc_offset/24,"HH")&amp;search_regexp&amp;""""</f>
        <v>#VALUE!</v>
      </c>
      <c r="BFA28" s="234" t="e">
        <f>astrogrep_path&amp;" /e /r /s /spath="&amp;search_path&amp;" /stypes=""app*"&amp;BDW28&amp;"*"&amp;TEXT(BED28-utc_offset/24,"YYYYMMDD")&amp;"*"" /stext="" "&amp;TEXT(BED28-utc_offset/24,"HH")&amp;search_regexp&amp;""""</f>
        <v>#VALUE!</v>
      </c>
      <c r="BFB28" s="234" t="e">
        <f>astrogrep_path&amp;" /e /r /s /spath="&amp;search_path&amp;" /stypes=""app*"&amp;BDX28&amp;"*"&amp;TEXT(BEE28-utc_offset/24,"YYYYMMDD")&amp;"*"" /stext="" "&amp;TEXT(BEE28-utc_offset/24,"HH")&amp;search_regexp&amp;""""</f>
        <v>#REF!</v>
      </c>
      <c r="BFC28" s="234" t="e">
        <f>astrogrep_path&amp;" /e /r /s /spath="&amp;search_path&amp;" /stypes=""app*"&amp;BDY28&amp;"*"&amp;TEXT(BEF28-utc_offset/24,"YYYYMMDD")&amp;"*"" /stext="" "&amp;TEXT(BEF28-utc_offset/24,"HH")&amp;search_regexp&amp;""""</f>
        <v>#REF!</v>
      </c>
      <c r="BFD28" s="234" t="e">
        <f>astrogrep_path&amp;" /e /r /s /spath="&amp;search_path&amp;" /stypes=""app*"&amp;BDZ28&amp;"*"&amp;TEXT(BEG28-utc_offset/24,"YYYYMMDD")&amp;"*"" /stext="" "&amp;TEXT(BEG28-utc_offset/24,"HH")&amp;search_regexp&amp;""""</f>
        <v>#REF!</v>
      </c>
      <c r="BFE28" s="234" t="e">
        <f>astrogrep_path&amp;" /e /r /s /spath="&amp;search_path&amp;" /stypes=""app*"&amp;BEA28&amp;"*"&amp;TEXT(BEH28-utc_offset/24,"YYYYMMDD")&amp;"*"" /stext="" "&amp;TEXT(BEH28-utc_offset/24,"HH")&amp;search_regexp&amp;""""</f>
        <v>#REF!</v>
      </c>
      <c r="BFF28" s="234" t="e">
        <f>astrogrep_path&amp;" /e /r /s /spath="&amp;search_path&amp;" /stypes=""app*"&amp;BEB28&amp;"*"&amp;TEXT(BEI28-utc_offset/24,"YYYYMMDD")&amp;"*"" /stext="" "&amp;TEXT(BEI28-utc_offset/24,"HH")&amp;search_regexp&amp;""""</f>
        <v>#REF!</v>
      </c>
      <c r="BFG28" s="234" t="e">
        <f>astrogrep_path&amp;" /e /r /s /spath="&amp;search_path&amp;" /stypes=""app*"&amp;BEC28&amp;"*"&amp;TEXT(BEJ28-utc_offset/24,"YYYYMMDD")&amp;"*"" /stext="" "&amp;TEXT(BEJ28-utc_offset/24,"HH")&amp;search_regexp&amp;""""</f>
        <v>#REF!</v>
      </c>
      <c r="BFH28" s="234" t="e">
        <f>astrogrep_path&amp;" /e /r /s /spath="&amp;search_path&amp;" /stypes=""app*"&amp;BED28&amp;"*"&amp;TEXT(BEK28-utc_offset/24,"YYYYMMDD")&amp;"*"" /stext="" "&amp;TEXT(BEK28-utc_offset/24,"HH")&amp;search_regexp&amp;""""</f>
        <v>#REF!</v>
      </c>
      <c r="BFI28" s="234" t="e">
        <f>astrogrep_path&amp;" /e /r /s /spath="&amp;search_path&amp;" /stypes=""app*"&amp;BEE28&amp;"*"&amp;TEXT(BEL28-utc_offset/24,"YYYYMMDD")&amp;"*"" /stext="" "&amp;TEXT(BEL28-utc_offset/24,"HH")&amp;search_regexp&amp;""""</f>
        <v>#REF!</v>
      </c>
      <c r="BFJ28" s="234" t="e">
        <f>astrogrep_path&amp;" /e /r /s /spath="&amp;search_path&amp;" /stypes=""app*"&amp;BEF28&amp;"*"&amp;TEXT(BEM28-utc_offset/24,"YYYYMMDD")&amp;"*"" /stext="" "&amp;TEXT(BEM28-utc_offset/24,"HH")&amp;search_regexp&amp;""""</f>
        <v>#REF!</v>
      </c>
      <c r="BFK28" s="234" t="e">
        <f>astrogrep_path&amp;" /e /r /s /spath="&amp;search_path&amp;" /stypes=""app*"&amp;BEG28&amp;"*"&amp;TEXT(BEN28-utc_offset/24,"YYYYMMDD")&amp;"*"" /stext="" "&amp;TEXT(BEN28-utc_offset/24,"HH")&amp;search_regexp&amp;""""</f>
        <v>#REF!</v>
      </c>
      <c r="BFL28" s="234" t="e">
        <f>astrogrep_path&amp;" /e /r /s /spath="&amp;search_path&amp;" /stypes=""app*"&amp;BEH28&amp;"*"&amp;TEXT(BEO28-utc_offset/24,"YYYYMMDD")&amp;"*"" /stext="" "&amp;TEXT(BEO28-utc_offset/24,"HH")&amp;search_regexp&amp;""""</f>
        <v>#REF!</v>
      </c>
      <c r="BFM28" s="234" t="e">
        <f>astrogrep_path&amp;" /e /r /s /spath="&amp;search_path&amp;" /stypes=""app*"&amp;BEI28&amp;"*"&amp;TEXT(BEP28-utc_offset/24,"YYYYMMDD")&amp;"*"" /stext="" "&amp;TEXT(BEP28-utc_offset/24,"HH")&amp;search_regexp&amp;""""</f>
        <v>#REF!</v>
      </c>
      <c r="BFN28" s="234" t="e">
        <f>astrogrep_path&amp;" /e /r /s /spath="&amp;search_path&amp;" /stypes=""app*"&amp;BEJ28&amp;"*"&amp;TEXT(BEQ28-utc_offset/24,"YYYYMMDD")&amp;"*"" /stext="" "&amp;TEXT(BEQ28-utc_offset/24,"HH")&amp;search_regexp&amp;""""</f>
        <v>#REF!</v>
      </c>
      <c r="BFO28" s="234" t="e">
        <f>astrogrep_path&amp;" /e /r /s /spath="&amp;search_path&amp;" /stypes=""app*"&amp;BEK28&amp;"*"&amp;TEXT(BER28-utc_offset/24,"YYYYMMDD")&amp;"*"" /stext="" "&amp;TEXT(BER28-utc_offset/24,"HH")&amp;search_regexp&amp;""""</f>
        <v>#REF!</v>
      </c>
      <c r="BFP28" s="234" t="e">
        <f>astrogrep_path&amp;" /e /r /s /spath="&amp;search_path&amp;" /stypes=""app*"&amp;BEL28&amp;"*"&amp;TEXT(BES28-utc_offset/24,"YYYYMMDD")&amp;"*"" /stext="" "&amp;TEXT(BES28-utc_offset/24,"HH")&amp;search_regexp&amp;""""</f>
        <v>#REF!</v>
      </c>
      <c r="BFQ28" s="234" t="e">
        <f>astrogrep_path&amp;" /e /r /s /spath="&amp;search_path&amp;" /stypes=""app*"&amp;BEM28&amp;"*"&amp;TEXT(BET28-utc_offset/24,"YYYYMMDD")&amp;"*"" /stext="" "&amp;TEXT(BET28-utc_offset/24,"HH")&amp;search_regexp&amp;""""</f>
        <v>#REF!</v>
      </c>
      <c r="BFR28" s="234" t="e">
        <f>astrogrep_path&amp;" /e /r /s /spath="&amp;search_path&amp;" /stypes=""app*"&amp;BEN28&amp;"*"&amp;TEXT(BEU28-utc_offset/24,"YYYYMMDD")&amp;"*"" /stext="" "&amp;TEXT(BEU28-utc_offset/24,"HH")&amp;search_regexp&amp;""""</f>
        <v>#REF!</v>
      </c>
      <c r="BFS28" s="234" t="e">
        <f>astrogrep_path&amp;" /e /r /s /spath="&amp;search_path&amp;" /stypes=""app*"&amp;BEO28&amp;"*"&amp;TEXT(BEV28-utc_offset/24,"YYYYMMDD")&amp;"*"" /stext="" "&amp;TEXT(BEV28-utc_offset/24,"HH")&amp;search_regexp&amp;""""</f>
        <v>#REF!</v>
      </c>
      <c r="BFT28" s="234" t="e">
        <f>astrogrep_path&amp;" /e /r /s /spath="&amp;search_path&amp;" /stypes=""app*"&amp;BEP28&amp;"*"&amp;TEXT(BEW28-utc_offset/24,"YYYYMMDD")&amp;"*"" /stext="" "&amp;TEXT(BEW28-utc_offset/24,"HH")&amp;search_regexp&amp;""""</f>
        <v>#REF!</v>
      </c>
      <c r="BFU28" s="234" t="e">
        <f>astrogrep_path&amp;" /e /r /s /spath="&amp;search_path&amp;" /stypes=""app*"&amp;BEQ28&amp;"*"&amp;TEXT(BEX28-utc_offset/24,"YYYYMMDD")&amp;"*"" /stext="" "&amp;TEXT(BEX28-utc_offset/24,"HH")&amp;search_regexp&amp;""""</f>
        <v>#REF!</v>
      </c>
      <c r="BFV28" s="234" t="e">
        <f>astrogrep_path&amp;" /e /r /s /spath="&amp;search_path&amp;" /stypes=""app*"&amp;BER28&amp;"*"&amp;TEXT(BEY28-utc_offset/24,"YYYYMMDD")&amp;"*"" /stext="" "&amp;TEXT(BEY28-utc_offset/24,"HH")&amp;search_regexp&amp;""""</f>
        <v>#REF!</v>
      </c>
      <c r="BFW28" s="234" t="e">
        <f>astrogrep_path&amp;" /e /r /s /spath="&amp;search_path&amp;" /stypes=""app*"&amp;BES28&amp;"*"&amp;TEXT(BEZ28-utc_offset/24,"YYYYMMDD")&amp;"*"" /stext="" "&amp;TEXT(BEZ28-utc_offset/24,"HH")&amp;search_regexp&amp;""""</f>
        <v>#VALUE!</v>
      </c>
      <c r="BFX28" s="234" t="e">
        <f>astrogrep_path&amp;" /e /r /s /spath="&amp;search_path&amp;" /stypes=""app*"&amp;BET28&amp;"*"&amp;TEXT(BFA28-utc_offset/24,"YYYYMMDD")&amp;"*"" /stext="" "&amp;TEXT(BFA28-utc_offset/24,"HH")&amp;search_regexp&amp;""""</f>
        <v>#VALUE!</v>
      </c>
      <c r="BFY28" s="234" t="e">
        <f>astrogrep_path&amp;" /e /r /s /spath="&amp;search_path&amp;" /stypes=""app*"&amp;BEU28&amp;"*"&amp;TEXT(BFB28-utc_offset/24,"YYYYMMDD")&amp;"*"" /stext="" "&amp;TEXT(BFB28-utc_offset/24,"HH")&amp;search_regexp&amp;""""</f>
        <v>#REF!</v>
      </c>
      <c r="BFZ28" s="234" t="e">
        <f>astrogrep_path&amp;" /e /r /s /spath="&amp;search_path&amp;" /stypes=""app*"&amp;BEV28&amp;"*"&amp;TEXT(BFC28-utc_offset/24,"YYYYMMDD")&amp;"*"" /stext="" "&amp;TEXT(BFC28-utc_offset/24,"HH")&amp;search_regexp&amp;""""</f>
        <v>#REF!</v>
      </c>
      <c r="BGA28" s="234" t="e">
        <f>astrogrep_path&amp;" /e /r /s /spath="&amp;search_path&amp;" /stypes=""app*"&amp;BEW28&amp;"*"&amp;TEXT(BFD28-utc_offset/24,"YYYYMMDD")&amp;"*"" /stext="" "&amp;TEXT(BFD28-utc_offset/24,"HH")&amp;search_regexp&amp;""""</f>
        <v>#VALUE!</v>
      </c>
      <c r="BGB28" s="234" t="e">
        <f>astrogrep_path&amp;" /e /r /s /spath="&amp;search_path&amp;" /stypes=""app*"&amp;BEX28&amp;"*"&amp;TEXT(BFE28-utc_offset/24,"YYYYMMDD")&amp;"*"" /stext="" "&amp;TEXT(BFE28-utc_offset/24,"HH")&amp;search_regexp&amp;""""</f>
        <v>#VALUE!</v>
      </c>
      <c r="BGC28" s="234" t="e">
        <f>astrogrep_path&amp;" /e /r /s /spath="&amp;search_path&amp;" /stypes=""app*"&amp;BEY28&amp;"*"&amp;TEXT(BFF28-utc_offset/24,"YYYYMMDD")&amp;"*"" /stext="" "&amp;TEXT(BFF28-utc_offset/24,"HH")&amp;search_regexp&amp;""""</f>
        <v>#VALUE!</v>
      </c>
      <c r="BGD28" s="234" t="e">
        <f>astrogrep_path&amp;" /e /r /s /spath="&amp;search_path&amp;" /stypes=""app*"&amp;BEZ28&amp;"*"&amp;TEXT(BFG28-utc_offset/24,"YYYYMMDD")&amp;"*"" /stext="" "&amp;TEXT(BFG28-utc_offset/24,"HH")&amp;search_regexp&amp;""""</f>
        <v>#VALUE!</v>
      </c>
      <c r="BGE28" s="234" t="e">
        <f>astrogrep_path&amp;" /e /r /s /spath="&amp;search_path&amp;" /stypes=""app*"&amp;BFA28&amp;"*"&amp;TEXT(BFH28-utc_offset/24,"YYYYMMDD")&amp;"*"" /stext="" "&amp;TEXT(BFH28-utc_offset/24,"HH")&amp;search_regexp&amp;""""</f>
        <v>#VALUE!</v>
      </c>
      <c r="BGF28" s="234" t="e">
        <f>astrogrep_path&amp;" /e /r /s /spath="&amp;search_path&amp;" /stypes=""app*"&amp;BFB28&amp;"*"&amp;TEXT(BFI28-utc_offset/24,"YYYYMMDD")&amp;"*"" /stext="" "&amp;TEXT(BFI28-utc_offset/24,"HH")&amp;search_regexp&amp;""""</f>
        <v>#REF!</v>
      </c>
      <c r="BGG28" s="234" t="e">
        <f>astrogrep_path&amp;" /e /r /s /spath="&amp;search_path&amp;" /stypes=""app*"&amp;BFC28&amp;"*"&amp;TEXT(BFJ28-utc_offset/24,"YYYYMMDD")&amp;"*"" /stext="" "&amp;TEXT(BFJ28-utc_offset/24,"HH")&amp;search_regexp&amp;""""</f>
        <v>#REF!</v>
      </c>
      <c r="BGH28" s="234" t="e">
        <f>astrogrep_path&amp;" /e /r /s /spath="&amp;search_path&amp;" /stypes=""app*"&amp;BFD28&amp;"*"&amp;TEXT(BFK28-utc_offset/24,"YYYYMMDD")&amp;"*"" /stext="" "&amp;TEXT(BFK28-utc_offset/24,"HH")&amp;search_regexp&amp;""""</f>
        <v>#REF!</v>
      </c>
      <c r="BGI28" s="234" t="e">
        <f>astrogrep_path&amp;" /e /r /s /spath="&amp;search_path&amp;" /stypes=""app*"&amp;BFE28&amp;"*"&amp;TEXT(BFL28-utc_offset/24,"YYYYMMDD")&amp;"*"" /stext="" "&amp;TEXT(BFL28-utc_offset/24,"HH")&amp;search_regexp&amp;""""</f>
        <v>#REF!</v>
      </c>
      <c r="BGJ28" s="234" t="e">
        <f>astrogrep_path&amp;" /e /r /s /spath="&amp;search_path&amp;" /stypes=""app*"&amp;BFF28&amp;"*"&amp;TEXT(BFM28-utc_offset/24,"YYYYMMDD")&amp;"*"" /stext="" "&amp;TEXT(BFM28-utc_offset/24,"HH")&amp;search_regexp&amp;""""</f>
        <v>#REF!</v>
      </c>
      <c r="BGK28" s="234" t="e">
        <f>astrogrep_path&amp;" /e /r /s /spath="&amp;search_path&amp;" /stypes=""app*"&amp;BFG28&amp;"*"&amp;TEXT(BFN28-utc_offset/24,"YYYYMMDD")&amp;"*"" /stext="" "&amp;TEXT(BFN28-utc_offset/24,"HH")&amp;search_regexp&amp;""""</f>
        <v>#REF!</v>
      </c>
      <c r="BGL28" s="234" t="e">
        <f>astrogrep_path&amp;" /e /r /s /spath="&amp;search_path&amp;" /stypes=""app*"&amp;BFH28&amp;"*"&amp;TEXT(BFO28-utc_offset/24,"YYYYMMDD")&amp;"*"" /stext="" "&amp;TEXT(BFO28-utc_offset/24,"HH")&amp;search_regexp&amp;""""</f>
        <v>#REF!</v>
      </c>
      <c r="BGM28" s="234" t="e">
        <f>astrogrep_path&amp;" /e /r /s /spath="&amp;search_path&amp;" /stypes=""app*"&amp;BFI28&amp;"*"&amp;TEXT(BFP28-utc_offset/24,"YYYYMMDD")&amp;"*"" /stext="" "&amp;TEXT(BFP28-utc_offset/24,"HH")&amp;search_regexp&amp;""""</f>
        <v>#REF!</v>
      </c>
      <c r="BGN28" s="234" t="e">
        <f>astrogrep_path&amp;" /e /r /s /spath="&amp;search_path&amp;" /stypes=""app*"&amp;BFJ28&amp;"*"&amp;TEXT(BFQ28-utc_offset/24,"YYYYMMDD")&amp;"*"" /stext="" "&amp;TEXT(BFQ28-utc_offset/24,"HH")&amp;search_regexp&amp;""""</f>
        <v>#REF!</v>
      </c>
      <c r="BGO28" s="234" t="e">
        <f>astrogrep_path&amp;" /e /r /s /spath="&amp;search_path&amp;" /stypes=""app*"&amp;BFK28&amp;"*"&amp;TEXT(BFR28-utc_offset/24,"YYYYMMDD")&amp;"*"" /stext="" "&amp;TEXT(BFR28-utc_offset/24,"HH")&amp;search_regexp&amp;""""</f>
        <v>#REF!</v>
      </c>
      <c r="BGP28" s="234" t="e">
        <f>astrogrep_path&amp;" /e /r /s /spath="&amp;search_path&amp;" /stypes=""app*"&amp;BFL28&amp;"*"&amp;TEXT(BFS28-utc_offset/24,"YYYYMMDD")&amp;"*"" /stext="" "&amp;TEXT(BFS28-utc_offset/24,"HH")&amp;search_regexp&amp;""""</f>
        <v>#REF!</v>
      </c>
      <c r="BGQ28" s="234" t="e">
        <f>astrogrep_path&amp;" /e /r /s /spath="&amp;search_path&amp;" /stypes=""app*"&amp;BFM28&amp;"*"&amp;TEXT(BFT28-utc_offset/24,"YYYYMMDD")&amp;"*"" /stext="" "&amp;TEXT(BFT28-utc_offset/24,"HH")&amp;search_regexp&amp;""""</f>
        <v>#REF!</v>
      </c>
      <c r="BGR28" s="234" t="e">
        <f>astrogrep_path&amp;" /e /r /s /spath="&amp;search_path&amp;" /stypes=""app*"&amp;BFN28&amp;"*"&amp;TEXT(BFU28-utc_offset/24,"YYYYMMDD")&amp;"*"" /stext="" "&amp;TEXT(BFU28-utc_offset/24,"HH")&amp;search_regexp&amp;""""</f>
        <v>#REF!</v>
      </c>
      <c r="BGS28" s="234" t="e">
        <f>astrogrep_path&amp;" /e /r /s /spath="&amp;search_path&amp;" /stypes=""app*"&amp;BFO28&amp;"*"&amp;TEXT(BFV28-utc_offset/24,"YYYYMMDD")&amp;"*"" /stext="" "&amp;TEXT(BFV28-utc_offset/24,"HH")&amp;search_regexp&amp;""""</f>
        <v>#REF!</v>
      </c>
      <c r="BGT28" s="234" t="e">
        <f>astrogrep_path&amp;" /e /r /s /spath="&amp;search_path&amp;" /stypes=""app*"&amp;BFP28&amp;"*"&amp;TEXT(BFW28-utc_offset/24,"YYYYMMDD")&amp;"*"" /stext="" "&amp;TEXT(BFW28-utc_offset/24,"HH")&amp;search_regexp&amp;""""</f>
        <v>#REF!</v>
      </c>
      <c r="BGU28" s="234" t="e">
        <f>astrogrep_path&amp;" /e /r /s /spath="&amp;search_path&amp;" /stypes=""app*"&amp;BFQ28&amp;"*"&amp;TEXT(BFX28-utc_offset/24,"YYYYMMDD")&amp;"*"" /stext="" "&amp;TEXT(BFX28-utc_offset/24,"HH")&amp;search_regexp&amp;""""</f>
        <v>#REF!</v>
      </c>
      <c r="BGV28" s="234" t="e">
        <f>astrogrep_path&amp;" /e /r /s /spath="&amp;search_path&amp;" /stypes=""app*"&amp;BFR28&amp;"*"&amp;TEXT(BFY28-utc_offset/24,"YYYYMMDD")&amp;"*"" /stext="" "&amp;TEXT(BFY28-utc_offset/24,"HH")&amp;search_regexp&amp;""""</f>
        <v>#REF!</v>
      </c>
      <c r="BGW28" s="234" t="e">
        <f>astrogrep_path&amp;" /e /r /s /spath="&amp;search_path&amp;" /stypes=""app*"&amp;BFS28&amp;"*"&amp;TEXT(BFZ28-utc_offset/24,"YYYYMMDD")&amp;"*"" /stext="" "&amp;TEXT(BFZ28-utc_offset/24,"HH")&amp;search_regexp&amp;""""</f>
        <v>#REF!</v>
      </c>
      <c r="BGX28" s="234" t="e">
        <f>astrogrep_path&amp;" /e /r /s /spath="&amp;search_path&amp;" /stypes=""app*"&amp;BFT28&amp;"*"&amp;TEXT(BGA28-utc_offset/24,"YYYYMMDD")&amp;"*"" /stext="" "&amp;TEXT(BGA28-utc_offset/24,"HH")&amp;search_regexp&amp;""""</f>
        <v>#REF!</v>
      </c>
      <c r="BGY28" s="234" t="e">
        <f>astrogrep_path&amp;" /e /r /s /spath="&amp;search_path&amp;" /stypes=""app*"&amp;BFU28&amp;"*"&amp;TEXT(BGB28-utc_offset/24,"YYYYMMDD")&amp;"*"" /stext="" "&amp;TEXT(BGB28-utc_offset/24,"HH")&amp;search_regexp&amp;""""</f>
        <v>#REF!</v>
      </c>
      <c r="BGZ28" s="234" t="e">
        <f>astrogrep_path&amp;" /e /r /s /spath="&amp;search_path&amp;" /stypes=""app*"&amp;BFV28&amp;"*"&amp;TEXT(BGC28-utc_offset/24,"YYYYMMDD")&amp;"*"" /stext="" "&amp;TEXT(BGC28-utc_offset/24,"HH")&amp;search_regexp&amp;""""</f>
        <v>#REF!</v>
      </c>
      <c r="BHA28" s="234" t="e">
        <f>astrogrep_path&amp;" /e /r /s /spath="&amp;search_path&amp;" /stypes=""app*"&amp;BFW28&amp;"*"&amp;TEXT(BGD28-utc_offset/24,"YYYYMMDD")&amp;"*"" /stext="" "&amp;TEXT(BGD28-utc_offset/24,"HH")&amp;search_regexp&amp;""""</f>
        <v>#VALUE!</v>
      </c>
      <c r="BHB28" s="234" t="e">
        <f>astrogrep_path&amp;" /e /r /s /spath="&amp;search_path&amp;" /stypes=""app*"&amp;BFX28&amp;"*"&amp;TEXT(BGE28-utc_offset/24,"YYYYMMDD")&amp;"*"" /stext="" "&amp;TEXT(BGE28-utc_offset/24,"HH")&amp;search_regexp&amp;""""</f>
        <v>#VALUE!</v>
      </c>
      <c r="BHC28" s="234" t="e">
        <f>astrogrep_path&amp;" /e /r /s /spath="&amp;search_path&amp;" /stypes=""app*"&amp;BFY28&amp;"*"&amp;TEXT(BGF28-utc_offset/24,"YYYYMMDD")&amp;"*"" /stext="" "&amp;TEXT(BGF28-utc_offset/24,"HH")&amp;search_regexp&amp;""""</f>
        <v>#REF!</v>
      </c>
      <c r="BHD28" s="234" t="e">
        <f>astrogrep_path&amp;" /e /r /s /spath="&amp;search_path&amp;" /stypes=""app*"&amp;BFZ28&amp;"*"&amp;TEXT(BGG28-utc_offset/24,"YYYYMMDD")&amp;"*"" /stext="" "&amp;TEXT(BGG28-utc_offset/24,"HH")&amp;search_regexp&amp;""""</f>
        <v>#REF!</v>
      </c>
      <c r="BHE28" s="234" t="e">
        <f>astrogrep_path&amp;" /e /r /s /spath="&amp;search_path&amp;" /stypes=""app*"&amp;BGA28&amp;"*"&amp;TEXT(BGH28-utc_offset/24,"YYYYMMDD")&amp;"*"" /stext="" "&amp;TEXT(BGH28-utc_offset/24,"HH")&amp;search_regexp&amp;""""</f>
        <v>#VALUE!</v>
      </c>
      <c r="BHF28" s="234" t="e">
        <f>astrogrep_path&amp;" /e /r /s /spath="&amp;search_path&amp;" /stypes=""app*"&amp;BGB28&amp;"*"&amp;TEXT(BGI28-utc_offset/24,"YYYYMMDD")&amp;"*"" /stext="" "&amp;TEXT(BGI28-utc_offset/24,"HH")&amp;search_regexp&amp;""""</f>
        <v>#VALUE!</v>
      </c>
      <c r="BHG28" s="234" t="e">
        <f>astrogrep_path&amp;" /e /r /s /spath="&amp;search_path&amp;" /stypes=""app*"&amp;BGC28&amp;"*"&amp;TEXT(BGJ28-utc_offset/24,"YYYYMMDD")&amp;"*"" /stext="" "&amp;TEXT(BGJ28-utc_offset/24,"HH")&amp;search_regexp&amp;""""</f>
        <v>#VALUE!</v>
      </c>
      <c r="BHH28" s="234" t="e">
        <f>astrogrep_path&amp;" /e /r /s /spath="&amp;search_path&amp;" /stypes=""app*"&amp;BGD28&amp;"*"&amp;TEXT(BGK28-utc_offset/24,"YYYYMMDD")&amp;"*"" /stext="" "&amp;TEXT(BGK28-utc_offset/24,"HH")&amp;search_regexp&amp;""""</f>
        <v>#VALUE!</v>
      </c>
      <c r="BHI28" s="234" t="e">
        <f>astrogrep_path&amp;" /e /r /s /spath="&amp;search_path&amp;" /stypes=""app*"&amp;BGE28&amp;"*"&amp;TEXT(BGL28-utc_offset/24,"YYYYMMDD")&amp;"*"" /stext="" "&amp;TEXT(BGL28-utc_offset/24,"HH")&amp;search_regexp&amp;""""</f>
        <v>#VALUE!</v>
      </c>
      <c r="BHJ28" s="234" t="e">
        <f>astrogrep_path&amp;" /e /r /s /spath="&amp;search_path&amp;" /stypes=""app*"&amp;BGF28&amp;"*"&amp;TEXT(BGM28-utc_offset/24,"YYYYMMDD")&amp;"*"" /stext="" "&amp;TEXT(BGM28-utc_offset/24,"HH")&amp;search_regexp&amp;""""</f>
        <v>#REF!</v>
      </c>
      <c r="BHK28" s="234" t="e">
        <f>astrogrep_path&amp;" /e /r /s /spath="&amp;search_path&amp;" /stypes=""app*"&amp;BGG28&amp;"*"&amp;TEXT(BGN28-utc_offset/24,"YYYYMMDD")&amp;"*"" /stext="" "&amp;TEXT(BGN28-utc_offset/24,"HH")&amp;search_regexp&amp;""""</f>
        <v>#REF!</v>
      </c>
      <c r="BHL28" s="234" t="e">
        <f>astrogrep_path&amp;" /e /r /s /spath="&amp;search_path&amp;" /stypes=""app*"&amp;BGH28&amp;"*"&amp;TEXT(BGO28-utc_offset/24,"YYYYMMDD")&amp;"*"" /stext="" "&amp;TEXT(BGO28-utc_offset/24,"HH")&amp;search_regexp&amp;""""</f>
        <v>#REF!</v>
      </c>
      <c r="BHM28" s="234" t="e">
        <f>astrogrep_path&amp;" /e /r /s /spath="&amp;search_path&amp;" /stypes=""app*"&amp;BGI28&amp;"*"&amp;TEXT(BGP28-utc_offset/24,"YYYYMMDD")&amp;"*"" /stext="" "&amp;TEXT(BGP28-utc_offset/24,"HH")&amp;search_regexp&amp;""""</f>
        <v>#REF!</v>
      </c>
      <c r="BHN28" s="234" t="e">
        <f>astrogrep_path&amp;" /e /r /s /spath="&amp;search_path&amp;" /stypes=""app*"&amp;BGJ28&amp;"*"&amp;TEXT(BGQ28-utc_offset/24,"YYYYMMDD")&amp;"*"" /stext="" "&amp;TEXT(BGQ28-utc_offset/24,"HH")&amp;search_regexp&amp;""""</f>
        <v>#REF!</v>
      </c>
      <c r="BHO28" s="234" t="e">
        <f>astrogrep_path&amp;" /e /r /s /spath="&amp;search_path&amp;" /stypes=""app*"&amp;BGK28&amp;"*"&amp;TEXT(BGR28-utc_offset/24,"YYYYMMDD")&amp;"*"" /stext="" "&amp;TEXT(BGR28-utc_offset/24,"HH")&amp;search_regexp&amp;""""</f>
        <v>#REF!</v>
      </c>
      <c r="BHP28" s="234" t="e">
        <f>astrogrep_path&amp;" /e /r /s /spath="&amp;search_path&amp;" /stypes=""app*"&amp;BGL28&amp;"*"&amp;TEXT(BGS28-utc_offset/24,"YYYYMMDD")&amp;"*"" /stext="" "&amp;TEXT(BGS28-utc_offset/24,"HH")&amp;search_regexp&amp;""""</f>
        <v>#REF!</v>
      </c>
      <c r="BHQ28" s="234" t="e">
        <f>astrogrep_path&amp;" /e /r /s /spath="&amp;search_path&amp;" /stypes=""app*"&amp;BGM28&amp;"*"&amp;TEXT(BGT28-utc_offset/24,"YYYYMMDD")&amp;"*"" /stext="" "&amp;TEXT(BGT28-utc_offset/24,"HH")&amp;search_regexp&amp;""""</f>
        <v>#REF!</v>
      </c>
      <c r="BHR28" s="234" t="e">
        <f>astrogrep_path&amp;" /e /r /s /spath="&amp;search_path&amp;" /stypes=""app*"&amp;BGN28&amp;"*"&amp;TEXT(BGU28-utc_offset/24,"YYYYMMDD")&amp;"*"" /stext="" "&amp;TEXT(BGU28-utc_offset/24,"HH")&amp;search_regexp&amp;""""</f>
        <v>#REF!</v>
      </c>
      <c r="BHS28" s="234" t="e">
        <f>astrogrep_path&amp;" /e /r /s /spath="&amp;search_path&amp;" /stypes=""app*"&amp;BGO28&amp;"*"&amp;TEXT(BGV28-utc_offset/24,"YYYYMMDD")&amp;"*"" /stext="" "&amp;TEXT(BGV28-utc_offset/24,"HH")&amp;search_regexp&amp;""""</f>
        <v>#REF!</v>
      </c>
      <c r="BHT28" s="234" t="e">
        <f>astrogrep_path&amp;" /e /r /s /spath="&amp;search_path&amp;" /stypes=""app*"&amp;BGP28&amp;"*"&amp;TEXT(BGW28-utc_offset/24,"YYYYMMDD")&amp;"*"" /stext="" "&amp;TEXT(BGW28-utc_offset/24,"HH")&amp;search_regexp&amp;""""</f>
        <v>#REF!</v>
      </c>
      <c r="BHU28" s="234" t="e">
        <f>astrogrep_path&amp;" /e /r /s /spath="&amp;search_path&amp;" /stypes=""app*"&amp;BGQ28&amp;"*"&amp;TEXT(BGX28-utc_offset/24,"YYYYMMDD")&amp;"*"" /stext="" "&amp;TEXT(BGX28-utc_offset/24,"HH")&amp;search_regexp&amp;""""</f>
        <v>#REF!</v>
      </c>
      <c r="BHV28" s="234" t="e">
        <f>astrogrep_path&amp;" /e /r /s /spath="&amp;search_path&amp;" /stypes=""app*"&amp;BGR28&amp;"*"&amp;TEXT(BGY28-utc_offset/24,"YYYYMMDD")&amp;"*"" /stext="" "&amp;TEXT(BGY28-utc_offset/24,"HH")&amp;search_regexp&amp;""""</f>
        <v>#REF!</v>
      </c>
      <c r="BHW28" s="234" t="e">
        <f>astrogrep_path&amp;" /e /r /s /spath="&amp;search_path&amp;" /stypes=""app*"&amp;BGS28&amp;"*"&amp;TEXT(BGZ28-utc_offset/24,"YYYYMMDD")&amp;"*"" /stext="" "&amp;TEXT(BGZ28-utc_offset/24,"HH")&amp;search_regexp&amp;""""</f>
        <v>#REF!</v>
      </c>
      <c r="BHX28" s="234" t="e">
        <f>astrogrep_path&amp;" /e /r /s /spath="&amp;search_path&amp;" /stypes=""app*"&amp;BGT28&amp;"*"&amp;TEXT(BHA28-utc_offset/24,"YYYYMMDD")&amp;"*"" /stext="" "&amp;TEXT(BHA28-utc_offset/24,"HH")&amp;search_regexp&amp;""""</f>
        <v>#REF!</v>
      </c>
      <c r="BHY28" s="234" t="e">
        <f>astrogrep_path&amp;" /e /r /s /spath="&amp;search_path&amp;" /stypes=""app*"&amp;BGU28&amp;"*"&amp;TEXT(BHB28-utc_offset/24,"YYYYMMDD")&amp;"*"" /stext="" "&amp;TEXT(BHB28-utc_offset/24,"HH")&amp;search_regexp&amp;""""</f>
        <v>#REF!</v>
      </c>
      <c r="BHZ28" s="234" t="e">
        <f>astrogrep_path&amp;" /e /r /s /spath="&amp;search_path&amp;" /stypes=""app*"&amp;BGV28&amp;"*"&amp;TEXT(BHC28-utc_offset/24,"YYYYMMDD")&amp;"*"" /stext="" "&amp;TEXT(BHC28-utc_offset/24,"HH")&amp;search_regexp&amp;""""</f>
        <v>#REF!</v>
      </c>
      <c r="BIA28" s="234" t="e">
        <f>astrogrep_path&amp;" /e /r /s /spath="&amp;search_path&amp;" /stypes=""app*"&amp;BGW28&amp;"*"&amp;TEXT(BHD28-utc_offset/24,"YYYYMMDD")&amp;"*"" /stext="" "&amp;TEXT(BHD28-utc_offset/24,"HH")&amp;search_regexp&amp;""""</f>
        <v>#REF!</v>
      </c>
      <c r="BIB28" s="234" t="e">
        <f>astrogrep_path&amp;" /e /r /s /spath="&amp;search_path&amp;" /stypes=""app*"&amp;BGX28&amp;"*"&amp;TEXT(BHE28-utc_offset/24,"YYYYMMDD")&amp;"*"" /stext="" "&amp;TEXT(BHE28-utc_offset/24,"HH")&amp;search_regexp&amp;""""</f>
        <v>#REF!</v>
      </c>
      <c r="BIC28" s="234" t="e">
        <f>astrogrep_path&amp;" /e /r /s /spath="&amp;search_path&amp;" /stypes=""app*"&amp;BGY28&amp;"*"&amp;TEXT(BHF28-utc_offset/24,"YYYYMMDD")&amp;"*"" /stext="" "&amp;TEXT(BHF28-utc_offset/24,"HH")&amp;search_regexp&amp;""""</f>
        <v>#REF!</v>
      </c>
      <c r="BID28" s="234" t="e">
        <f>astrogrep_path&amp;" /e /r /s /spath="&amp;search_path&amp;" /stypes=""app*"&amp;BGZ28&amp;"*"&amp;TEXT(BHG28-utc_offset/24,"YYYYMMDD")&amp;"*"" /stext="" "&amp;TEXT(BHG28-utc_offset/24,"HH")&amp;search_regexp&amp;""""</f>
        <v>#REF!</v>
      </c>
      <c r="BIE28" s="234" t="e">
        <f>astrogrep_path&amp;" /e /r /s /spath="&amp;search_path&amp;" /stypes=""app*"&amp;BHA28&amp;"*"&amp;TEXT(BHH28-utc_offset/24,"YYYYMMDD")&amp;"*"" /stext="" "&amp;TEXT(BHH28-utc_offset/24,"HH")&amp;search_regexp&amp;""""</f>
        <v>#VALUE!</v>
      </c>
      <c r="BIF28" s="234" t="e">
        <f>astrogrep_path&amp;" /e /r /s /spath="&amp;search_path&amp;" /stypes=""app*"&amp;BHB28&amp;"*"&amp;TEXT(BHI28-utc_offset/24,"YYYYMMDD")&amp;"*"" /stext="" "&amp;TEXT(BHI28-utc_offset/24,"HH")&amp;search_regexp&amp;""""</f>
        <v>#VALUE!</v>
      </c>
      <c r="BIG28" s="234" t="e">
        <f>astrogrep_path&amp;" /e /r /s /spath="&amp;search_path&amp;" /stypes=""app*"&amp;BHC28&amp;"*"&amp;TEXT(BHJ28-utc_offset/24,"YYYYMMDD")&amp;"*"" /stext="" "&amp;TEXT(BHJ28-utc_offset/24,"HH")&amp;search_regexp&amp;""""</f>
        <v>#REF!</v>
      </c>
      <c r="BIH28" s="234" t="e">
        <f>astrogrep_path&amp;" /e /r /s /spath="&amp;search_path&amp;" /stypes=""app*"&amp;BHD28&amp;"*"&amp;TEXT(BHK28-utc_offset/24,"YYYYMMDD")&amp;"*"" /stext="" "&amp;TEXT(BHK28-utc_offset/24,"HH")&amp;search_regexp&amp;""""</f>
        <v>#REF!</v>
      </c>
      <c r="BII28" s="234" t="e">
        <f>astrogrep_path&amp;" /e /r /s /spath="&amp;search_path&amp;" /stypes=""app*"&amp;BHE28&amp;"*"&amp;TEXT(BHL28-utc_offset/24,"YYYYMMDD")&amp;"*"" /stext="" "&amp;TEXT(BHL28-utc_offset/24,"HH")&amp;search_regexp&amp;""""</f>
        <v>#VALUE!</v>
      </c>
      <c r="BIJ28" s="234" t="e">
        <f>astrogrep_path&amp;" /e /r /s /spath="&amp;search_path&amp;" /stypes=""app*"&amp;BHF28&amp;"*"&amp;TEXT(BHM28-utc_offset/24,"YYYYMMDD")&amp;"*"" /stext="" "&amp;TEXT(BHM28-utc_offset/24,"HH")&amp;search_regexp&amp;""""</f>
        <v>#VALUE!</v>
      </c>
      <c r="BIK28" s="234" t="e">
        <f>astrogrep_path&amp;" /e /r /s /spath="&amp;search_path&amp;" /stypes=""app*"&amp;BHG28&amp;"*"&amp;TEXT(BHN28-utc_offset/24,"YYYYMMDD")&amp;"*"" /stext="" "&amp;TEXT(BHN28-utc_offset/24,"HH")&amp;search_regexp&amp;""""</f>
        <v>#VALUE!</v>
      </c>
      <c r="BIL28" s="234" t="e">
        <f>astrogrep_path&amp;" /e /r /s /spath="&amp;search_path&amp;" /stypes=""app*"&amp;BHH28&amp;"*"&amp;TEXT(BHO28-utc_offset/24,"YYYYMMDD")&amp;"*"" /stext="" "&amp;TEXT(BHO28-utc_offset/24,"HH")&amp;search_regexp&amp;""""</f>
        <v>#VALUE!</v>
      </c>
      <c r="BIM28" s="234" t="e">
        <f>astrogrep_path&amp;" /e /r /s /spath="&amp;search_path&amp;" /stypes=""app*"&amp;BHI28&amp;"*"&amp;TEXT(BHP28-utc_offset/24,"YYYYMMDD")&amp;"*"" /stext="" "&amp;TEXT(BHP28-utc_offset/24,"HH")&amp;search_regexp&amp;""""</f>
        <v>#VALUE!</v>
      </c>
      <c r="BIN28" s="234" t="e">
        <f>astrogrep_path&amp;" /e /r /s /spath="&amp;search_path&amp;" /stypes=""app*"&amp;BHJ28&amp;"*"&amp;TEXT(BHQ28-utc_offset/24,"YYYYMMDD")&amp;"*"" /stext="" "&amp;TEXT(BHQ28-utc_offset/24,"HH")&amp;search_regexp&amp;""""</f>
        <v>#REF!</v>
      </c>
      <c r="BIO28" s="234" t="e">
        <f>astrogrep_path&amp;" /e /r /s /spath="&amp;search_path&amp;" /stypes=""app*"&amp;BHK28&amp;"*"&amp;TEXT(BHR28-utc_offset/24,"YYYYMMDD")&amp;"*"" /stext="" "&amp;TEXT(BHR28-utc_offset/24,"HH")&amp;search_regexp&amp;""""</f>
        <v>#REF!</v>
      </c>
      <c r="BIP28" s="234" t="e">
        <f>astrogrep_path&amp;" /e /r /s /spath="&amp;search_path&amp;" /stypes=""app*"&amp;BHL28&amp;"*"&amp;TEXT(BHS28-utc_offset/24,"YYYYMMDD")&amp;"*"" /stext="" "&amp;TEXT(BHS28-utc_offset/24,"HH")&amp;search_regexp&amp;""""</f>
        <v>#REF!</v>
      </c>
      <c r="BIQ28" s="234" t="e">
        <f>astrogrep_path&amp;" /e /r /s /spath="&amp;search_path&amp;" /stypes=""app*"&amp;BHM28&amp;"*"&amp;TEXT(BHT28-utc_offset/24,"YYYYMMDD")&amp;"*"" /stext="" "&amp;TEXT(BHT28-utc_offset/24,"HH")&amp;search_regexp&amp;""""</f>
        <v>#REF!</v>
      </c>
      <c r="BIR28" s="234" t="e">
        <f>astrogrep_path&amp;" /e /r /s /spath="&amp;search_path&amp;" /stypes=""app*"&amp;BHN28&amp;"*"&amp;TEXT(BHU28-utc_offset/24,"YYYYMMDD")&amp;"*"" /stext="" "&amp;TEXT(BHU28-utc_offset/24,"HH")&amp;search_regexp&amp;""""</f>
        <v>#REF!</v>
      </c>
      <c r="BIS28" s="234" t="e">
        <f>astrogrep_path&amp;" /e /r /s /spath="&amp;search_path&amp;" /stypes=""app*"&amp;BHO28&amp;"*"&amp;TEXT(BHV28-utc_offset/24,"YYYYMMDD")&amp;"*"" /stext="" "&amp;TEXT(BHV28-utc_offset/24,"HH")&amp;search_regexp&amp;""""</f>
        <v>#REF!</v>
      </c>
      <c r="BIT28" s="234" t="e">
        <f>astrogrep_path&amp;" /e /r /s /spath="&amp;search_path&amp;" /stypes=""app*"&amp;BHP28&amp;"*"&amp;TEXT(BHW28-utc_offset/24,"YYYYMMDD")&amp;"*"" /stext="" "&amp;TEXT(BHW28-utc_offset/24,"HH")&amp;search_regexp&amp;""""</f>
        <v>#REF!</v>
      </c>
      <c r="BIU28" s="234" t="e">
        <f>astrogrep_path&amp;" /e /r /s /spath="&amp;search_path&amp;" /stypes=""app*"&amp;BHQ28&amp;"*"&amp;TEXT(BHX28-utc_offset/24,"YYYYMMDD")&amp;"*"" /stext="" "&amp;TEXT(BHX28-utc_offset/24,"HH")&amp;search_regexp&amp;""""</f>
        <v>#REF!</v>
      </c>
      <c r="BIV28" s="234" t="e">
        <f>astrogrep_path&amp;" /e /r /s /spath="&amp;search_path&amp;" /stypes=""app*"&amp;BHR28&amp;"*"&amp;TEXT(BHY28-utc_offset/24,"YYYYMMDD")&amp;"*"" /stext="" "&amp;TEXT(BHY28-utc_offset/24,"HH")&amp;search_regexp&amp;""""</f>
        <v>#REF!</v>
      </c>
      <c r="BIW28" s="234" t="e">
        <f>astrogrep_path&amp;" /e /r /s /spath="&amp;search_path&amp;" /stypes=""app*"&amp;BHS28&amp;"*"&amp;TEXT(BHZ28-utc_offset/24,"YYYYMMDD")&amp;"*"" /stext="" "&amp;TEXT(BHZ28-utc_offset/24,"HH")&amp;search_regexp&amp;""""</f>
        <v>#REF!</v>
      </c>
      <c r="BIX28" s="234" t="e">
        <f>astrogrep_path&amp;" /e /r /s /spath="&amp;search_path&amp;" /stypes=""app*"&amp;BHT28&amp;"*"&amp;TEXT(BIA28-utc_offset/24,"YYYYMMDD")&amp;"*"" /stext="" "&amp;TEXT(BIA28-utc_offset/24,"HH")&amp;search_regexp&amp;""""</f>
        <v>#REF!</v>
      </c>
      <c r="BIY28" s="234" t="e">
        <f>astrogrep_path&amp;" /e /r /s /spath="&amp;search_path&amp;" /stypes=""app*"&amp;BHU28&amp;"*"&amp;TEXT(BIB28-utc_offset/24,"YYYYMMDD")&amp;"*"" /stext="" "&amp;TEXT(BIB28-utc_offset/24,"HH")&amp;search_regexp&amp;""""</f>
        <v>#REF!</v>
      </c>
      <c r="BIZ28" s="234" t="e">
        <f>astrogrep_path&amp;" /e /r /s /spath="&amp;search_path&amp;" /stypes=""app*"&amp;BHV28&amp;"*"&amp;TEXT(BIC28-utc_offset/24,"YYYYMMDD")&amp;"*"" /stext="" "&amp;TEXT(BIC28-utc_offset/24,"HH")&amp;search_regexp&amp;""""</f>
        <v>#REF!</v>
      </c>
      <c r="BJA28" s="234" t="e">
        <f>astrogrep_path&amp;" /e /r /s /spath="&amp;search_path&amp;" /stypes=""app*"&amp;BHW28&amp;"*"&amp;TEXT(BID28-utc_offset/24,"YYYYMMDD")&amp;"*"" /stext="" "&amp;TEXT(BID28-utc_offset/24,"HH")&amp;search_regexp&amp;""""</f>
        <v>#REF!</v>
      </c>
      <c r="BJB28" s="234" t="e">
        <f>astrogrep_path&amp;" /e /r /s /spath="&amp;search_path&amp;" /stypes=""app*"&amp;BHX28&amp;"*"&amp;TEXT(BIE28-utc_offset/24,"YYYYMMDD")&amp;"*"" /stext="" "&amp;TEXT(BIE28-utc_offset/24,"HH")&amp;search_regexp&amp;""""</f>
        <v>#REF!</v>
      </c>
      <c r="BJC28" s="234" t="e">
        <f>astrogrep_path&amp;" /e /r /s /spath="&amp;search_path&amp;" /stypes=""app*"&amp;BHY28&amp;"*"&amp;TEXT(BIF28-utc_offset/24,"YYYYMMDD")&amp;"*"" /stext="" "&amp;TEXT(BIF28-utc_offset/24,"HH")&amp;search_regexp&amp;""""</f>
        <v>#REF!</v>
      </c>
      <c r="BJD28" s="234" t="e">
        <f>astrogrep_path&amp;" /e /r /s /spath="&amp;search_path&amp;" /stypes=""app*"&amp;BHZ28&amp;"*"&amp;TEXT(BIG28-utc_offset/24,"YYYYMMDD")&amp;"*"" /stext="" "&amp;TEXT(BIG28-utc_offset/24,"HH")&amp;search_regexp&amp;""""</f>
        <v>#REF!</v>
      </c>
      <c r="BJE28" s="234" t="e">
        <f>astrogrep_path&amp;" /e /r /s /spath="&amp;search_path&amp;" /stypes=""app*"&amp;BIA28&amp;"*"&amp;TEXT(BIH28-utc_offset/24,"YYYYMMDD")&amp;"*"" /stext="" "&amp;TEXT(BIH28-utc_offset/24,"HH")&amp;search_regexp&amp;""""</f>
        <v>#REF!</v>
      </c>
      <c r="BJF28" s="234" t="e">
        <f>astrogrep_path&amp;" /e /r /s /spath="&amp;search_path&amp;" /stypes=""app*"&amp;BIB28&amp;"*"&amp;TEXT(BII28-utc_offset/24,"YYYYMMDD")&amp;"*"" /stext="" "&amp;TEXT(BII28-utc_offset/24,"HH")&amp;search_regexp&amp;""""</f>
        <v>#REF!</v>
      </c>
      <c r="BJG28" s="234" t="e">
        <f>astrogrep_path&amp;" /e /r /s /spath="&amp;search_path&amp;" /stypes=""app*"&amp;BIC28&amp;"*"&amp;TEXT(BIJ28-utc_offset/24,"YYYYMMDD")&amp;"*"" /stext="" "&amp;TEXT(BIJ28-utc_offset/24,"HH")&amp;search_regexp&amp;""""</f>
        <v>#REF!</v>
      </c>
      <c r="BJH28" s="234" t="e">
        <f>astrogrep_path&amp;" /e /r /s /spath="&amp;search_path&amp;" /stypes=""app*"&amp;BID28&amp;"*"&amp;TEXT(BIK28-utc_offset/24,"YYYYMMDD")&amp;"*"" /stext="" "&amp;TEXT(BIK28-utc_offset/24,"HH")&amp;search_regexp&amp;""""</f>
        <v>#REF!</v>
      </c>
      <c r="BJI28" s="234" t="e">
        <f>astrogrep_path&amp;" /e /r /s /spath="&amp;search_path&amp;" /stypes=""app*"&amp;BIE28&amp;"*"&amp;TEXT(BIL28-utc_offset/24,"YYYYMMDD")&amp;"*"" /stext="" "&amp;TEXT(BIL28-utc_offset/24,"HH")&amp;search_regexp&amp;""""</f>
        <v>#VALUE!</v>
      </c>
      <c r="BJJ28" s="234" t="e">
        <f>astrogrep_path&amp;" /e /r /s /spath="&amp;search_path&amp;" /stypes=""app*"&amp;BIF28&amp;"*"&amp;TEXT(BIM28-utc_offset/24,"YYYYMMDD")&amp;"*"" /stext="" "&amp;TEXT(BIM28-utc_offset/24,"HH")&amp;search_regexp&amp;""""</f>
        <v>#VALUE!</v>
      </c>
      <c r="BJK28" s="234" t="e">
        <f>astrogrep_path&amp;" /e /r /s /spath="&amp;search_path&amp;" /stypes=""app*"&amp;BIG28&amp;"*"&amp;TEXT(BIN28-utc_offset/24,"YYYYMMDD")&amp;"*"" /stext="" "&amp;TEXT(BIN28-utc_offset/24,"HH")&amp;search_regexp&amp;""""</f>
        <v>#REF!</v>
      </c>
      <c r="BJL28" s="234" t="e">
        <f>astrogrep_path&amp;" /e /r /s /spath="&amp;search_path&amp;" /stypes=""app*"&amp;BIH28&amp;"*"&amp;TEXT(BIO28-utc_offset/24,"YYYYMMDD")&amp;"*"" /stext="" "&amp;TEXT(BIO28-utc_offset/24,"HH")&amp;search_regexp&amp;""""</f>
        <v>#REF!</v>
      </c>
      <c r="BJM28" s="234" t="e">
        <f>astrogrep_path&amp;" /e /r /s /spath="&amp;search_path&amp;" /stypes=""app*"&amp;BII28&amp;"*"&amp;TEXT(BIP28-utc_offset/24,"YYYYMMDD")&amp;"*"" /stext="" "&amp;TEXT(BIP28-utc_offset/24,"HH")&amp;search_regexp&amp;""""</f>
        <v>#VALUE!</v>
      </c>
      <c r="BJN28" s="234" t="e">
        <f>astrogrep_path&amp;" /e /r /s /spath="&amp;search_path&amp;" /stypes=""app*"&amp;BIJ28&amp;"*"&amp;TEXT(BIQ28-utc_offset/24,"YYYYMMDD")&amp;"*"" /stext="" "&amp;TEXT(BIQ28-utc_offset/24,"HH")&amp;search_regexp&amp;""""</f>
        <v>#VALUE!</v>
      </c>
      <c r="BJO28" s="234" t="e">
        <f>astrogrep_path&amp;" /e /r /s /spath="&amp;search_path&amp;" /stypes=""app*"&amp;BIK28&amp;"*"&amp;TEXT(BIR28-utc_offset/24,"YYYYMMDD")&amp;"*"" /stext="" "&amp;TEXT(BIR28-utc_offset/24,"HH")&amp;search_regexp&amp;""""</f>
        <v>#VALUE!</v>
      </c>
      <c r="BJP28" s="234" t="e">
        <f>astrogrep_path&amp;" /e /r /s /spath="&amp;search_path&amp;" /stypes=""app*"&amp;BIL28&amp;"*"&amp;TEXT(BIS28-utc_offset/24,"YYYYMMDD")&amp;"*"" /stext="" "&amp;TEXT(BIS28-utc_offset/24,"HH")&amp;search_regexp&amp;""""</f>
        <v>#VALUE!</v>
      </c>
      <c r="BJQ28" s="234" t="e">
        <f>astrogrep_path&amp;" /e /r /s /spath="&amp;search_path&amp;" /stypes=""app*"&amp;BIM28&amp;"*"&amp;TEXT(BIT28-utc_offset/24,"YYYYMMDD")&amp;"*"" /stext="" "&amp;TEXT(BIT28-utc_offset/24,"HH")&amp;search_regexp&amp;""""</f>
        <v>#VALUE!</v>
      </c>
      <c r="BJR28" s="234" t="e">
        <f>astrogrep_path&amp;" /e /r /s /spath="&amp;search_path&amp;" /stypes=""app*"&amp;BIN28&amp;"*"&amp;TEXT(BIU28-utc_offset/24,"YYYYMMDD")&amp;"*"" /stext="" "&amp;TEXT(BIU28-utc_offset/24,"HH")&amp;search_regexp&amp;""""</f>
        <v>#REF!</v>
      </c>
      <c r="BJS28" s="234" t="e">
        <f>astrogrep_path&amp;" /e /r /s /spath="&amp;search_path&amp;" /stypes=""app*"&amp;BIO28&amp;"*"&amp;TEXT(BIV28-utc_offset/24,"YYYYMMDD")&amp;"*"" /stext="" "&amp;TEXT(BIV28-utc_offset/24,"HH")&amp;search_regexp&amp;""""</f>
        <v>#REF!</v>
      </c>
      <c r="BJT28" s="234" t="e">
        <f>astrogrep_path&amp;" /e /r /s /spath="&amp;search_path&amp;" /stypes=""app*"&amp;BIP28&amp;"*"&amp;TEXT(BIW28-utc_offset/24,"YYYYMMDD")&amp;"*"" /stext="" "&amp;TEXT(BIW28-utc_offset/24,"HH")&amp;search_regexp&amp;""""</f>
        <v>#REF!</v>
      </c>
      <c r="BJU28" s="234" t="e">
        <f>astrogrep_path&amp;" /e /r /s /spath="&amp;search_path&amp;" /stypes=""app*"&amp;BIQ28&amp;"*"&amp;TEXT(BIX28-utc_offset/24,"YYYYMMDD")&amp;"*"" /stext="" "&amp;TEXT(BIX28-utc_offset/24,"HH")&amp;search_regexp&amp;""""</f>
        <v>#REF!</v>
      </c>
      <c r="BJV28" s="234" t="e">
        <f>astrogrep_path&amp;" /e /r /s /spath="&amp;search_path&amp;" /stypes=""app*"&amp;BIR28&amp;"*"&amp;TEXT(BIY28-utc_offset/24,"YYYYMMDD")&amp;"*"" /stext="" "&amp;TEXT(BIY28-utc_offset/24,"HH")&amp;search_regexp&amp;""""</f>
        <v>#REF!</v>
      </c>
      <c r="BJW28" s="234" t="e">
        <f>astrogrep_path&amp;" /e /r /s /spath="&amp;search_path&amp;" /stypes=""app*"&amp;BIS28&amp;"*"&amp;TEXT(BIZ28-utc_offset/24,"YYYYMMDD")&amp;"*"" /stext="" "&amp;TEXT(BIZ28-utc_offset/24,"HH")&amp;search_regexp&amp;""""</f>
        <v>#REF!</v>
      </c>
      <c r="BJX28" s="234" t="e">
        <f>astrogrep_path&amp;" /e /r /s /spath="&amp;search_path&amp;" /stypes=""app*"&amp;BIT28&amp;"*"&amp;TEXT(BJA28-utc_offset/24,"YYYYMMDD")&amp;"*"" /stext="" "&amp;TEXT(BJA28-utc_offset/24,"HH")&amp;search_regexp&amp;""""</f>
        <v>#REF!</v>
      </c>
      <c r="BJY28" s="234" t="e">
        <f>astrogrep_path&amp;" /e /r /s /spath="&amp;search_path&amp;" /stypes=""app*"&amp;BIU28&amp;"*"&amp;TEXT(BJB28-utc_offset/24,"YYYYMMDD")&amp;"*"" /stext="" "&amp;TEXT(BJB28-utc_offset/24,"HH")&amp;search_regexp&amp;""""</f>
        <v>#REF!</v>
      </c>
      <c r="BJZ28" s="234" t="e">
        <f>astrogrep_path&amp;" /e /r /s /spath="&amp;search_path&amp;" /stypes=""app*"&amp;BIV28&amp;"*"&amp;TEXT(BJC28-utc_offset/24,"YYYYMMDD")&amp;"*"" /stext="" "&amp;TEXT(BJC28-utc_offset/24,"HH")&amp;search_regexp&amp;""""</f>
        <v>#REF!</v>
      </c>
      <c r="BKA28" s="234" t="e">
        <f>astrogrep_path&amp;" /e /r /s /spath="&amp;search_path&amp;" /stypes=""app*"&amp;BIW28&amp;"*"&amp;TEXT(BJD28-utc_offset/24,"YYYYMMDD")&amp;"*"" /stext="" "&amp;TEXT(BJD28-utc_offset/24,"HH")&amp;search_regexp&amp;""""</f>
        <v>#REF!</v>
      </c>
      <c r="BKB28" s="234" t="e">
        <f>astrogrep_path&amp;" /e /r /s /spath="&amp;search_path&amp;" /stypes=""app*"&amp;BIX28&amp;"*"&amp;TEXT(BJE28-utc_offset/24,"YYYYMMDD")&amp;"*"" /stext="" "&amp;TEXT(BJE28-utc_offset/24,"HH")&amp;search_regexp&amp;""""</f>
        <v>#REF!</v>
      </c>
      <c r="BKC28" s="234" t="e">
        <f>astrogrep_path&amp;" /e /r /s /spath="&amp;search_path&amp;" /stypes=""app*"&amp;BIY28&amp;"*"&amp;TEXT(BJF28-utc_offset/24,"YYYYMMDD")&amp;"*"" /stext="" "&amp;TEXT(BJF28-utc_offset/24,"HH")&amp;search_regexp&amp;""""</f>
        <v>#REF!</v>
      </c>
      <c r="BKD28" s="234" t="e">
        <f>astrogrep_path&amp;" /e /r /s /spath="&amp;search_path&amp;" /stypes=""app*"&amp;BIZ28&amp;"*"&amp;TEXT(BJG28-utc_offset/24,"YYYYMMDD")&amp;"*"" /stext="" "&amp;TEXT(BJG28-utc_offset/24,"HH")&amp;search_regexp&amp;""""</f>
        <v>#REF!</v>
      </c>
      <c r="BKE28" s="234" t="e">
        <f>astrogrep_path&amp;" /e /r /s /spath="&amp;search_path&amp;" /stypes=""app*"&amp;BJA28&amp;"*"&amp;TEXT(BJH28-utc_offset/24,"YYYYMMDD")&amp;"*"" /stext="" "&amp;TEXT(BJH28-utc_offset/24,"HH")&amp;search_regexp&amp;""""</f>
        <v>#REF!</v>
      </c>
      <c r="BKF28" s="234" t="e">
        <f>astrogrep_path&amp;" /e /r /s /spath="&amp;search_path&amp;" /stypes=""app*"&amp;BJB28&amp;"*"&amp;TEXT(BJI28-utc_offset/24,"YYYYMMDD")&amp;"*"" /stext="" "&amp;TEXT(BJI28-utc_offset/24,"HH")&amp;search_regexp&amp;""""</f>
        <v>#REF!</v>
      </c>
      <c r="BKG28" s="234" t="e">
        <f>astrogrep_path&amp;" /e /r /s /spath="&amp;search_path&amp;" /stypes=""app*"&amp;BJC28&amp;"*"&amp;TEXT(BJJ28-utc_offset/24,"YYYYMMDD")&amp;"*"" /stext="" "&amp;TEXT(BJJ28-utc_offset/24,"HH")&amp;search_regexp&amp;""""</f>
        <v>#REF!</v>
      </c>
      <c r="BKH28" s="234" t="e">
        <f>astrogrep_path&amp;" /e /r /s /spath="&amp;search_path&amp;" /stypes=""app*"&amp;BJD28&amp;"*"&amp;TEXT(BJK28-utc_offset/24,"YYYYMMDD")&amp;"*"" /stext="" "&amp;TEXT(BJK28-utc_offset/24,"HH")&amp;search_regexp&amp;""""</f>
        <v>#REF!</v>
      </c>
      <c r="BKI28" s="234" t="e">
        <f>astrogrep_path&amp;" /e /r /s /spath="&amp;search_path&amp;" /stypes=""app*"&amp;BJE28&amp;"*"&amp;TEXT(BJL28-utc_offset/24,"YYYYMMDD")&amp;"*"" /stext="" "&amp;TEXT(BJL28-utc_offset/24,"HH")&amp;search_regexp&amp;""""</f>
        <v>#REF!</v>
      </c>
      <c r="BKJ28" s="234" t="e">
        <f>astrogrep_path&amp;" /e /r /s /spath="&amp;search_path&amp;" /stypes=""app*"&amp;BJF28&amp;"*"&amp;TEXT(BJM28-utc_offset/24,"YYYYMMDD")&amp;"*"" /stext="" "&amp;TEXT(BJM28-utc_offset/24,"HH")&amp;search_regexp&amp;""""</f>
        <v>#REF!</v>
      </c>
      <c r="BKK28" s="234" t="e">
        <f>astrogrep_path&amp;" /e /r /s /spath="&amp;search_path&amp;" /stypes=""app*"&amp;BJG28&amp;"*"&amp;TEXT(BJN28-utc_offset/24,"YYYYMMDD")&amp;"*"" /stext="" "&amp;TEXT(BJN28-utc_offset/24,"HH")&amp;search_regexp&amp;""""</f>
        <v>#REF!</v>
      </c>
      <c r="BKL28" s="234" t="e">
        <f>astrogrep_path&amp;" /e /r /s /spath="&amp;search_path&amp;" /stypes=""app*"&amp;BJH28&amp;"*"&amp;TEXT(BJO28-utc_offset/24,"YYYYMMDD")&amp;"*"" /stext="" "&amp;TEXT(BJO28-utc_offset/24,"HH")&amp;search_regexp&amp;""""</f>
        <v>#REF!</v>
      </c>
      <c r="BKM28" s="234" t="e">
        <f>astrogrep_path&amp;" /e /r /s /spath="&amp;search_path&amp;" /stypes=""app*"&amp;BJI28&amp;"*"&amp;TEXT(BJP28-utc_offset/24,"YYYYMMDD")&amp;"*"" /stext="" "&amp;TEXT(BJP28-utc_offset/24,"HH")&amp;search_regexp&amp;""""</f>
        <v>#VALUE!</v>
      </c>
      <c r="BKN28" s="234" t="e">
        <f>astrogrep_path&amp;" /e /r /s /spath="&amp;search_path&amp;" /stypes=""app*"&amp;BJJ28&amp;"*"&amp;TEXT(BJQ28-utc_offset/24,"YYYYMMDD")&amp;"*"" /stext="" "&amp;TEXT(BJQ28-utc_offset/24,"HH")&amp;search_regexp&amp;""""</f>
        <v>#VALUE!</v>
      </c>
      <c r="BKO28" s="234" t="e">
        <f>astrogrep_path&amp;" /e /r /s /spath="&amp;search_path&amp;" /stypes=""app*"&amp;BJK28&amp;"*"&amp;TEXT(BJR28-utc_offset/24,"YYYYMMDD")&amp;"*"" /stext="" "&amp;TEXT(BJR28-utc_offset/24,"HH")&amp;search_regexp&amp;""""</f>
        <v>#REF!</v>
      </c>
      <c r="BKP28" s="234" t="e">
        <f>astrogrep_path&amp;" /e /r /s /spath="&amp;search_path&amp;" /stypes=""app*"&amp;BJL28&amp;"*"&amp;TEXT(BJS28-utc_offset/24,"YYYYMMDD")&amp;"*"" /stext="" "&amp;TEXT(BJS28-utc_offset/24,"HH")&amp;search_regexp&amp;""""</f>
        <v>#REF!</v>
      </c>
      <c r="BKQ28" s="234" t="e">
        <f>astrogrep_path&amp;" /e /r /s /spath="&amp;search_path&amp;" /stypes=""app*"&amp;BJM28&amp;"*"&amp;TEXT(BJT28-utc_offset/24,"YYYYMMDD")&amp;"*"" /stext="" "&amp;TEXT(BJT28-utc_offset/24,"HH")&amp;search_regexp&amp;""""</f>
        <v>#VALUE!</v>
      </c>
      <c r="BKR28" s="234" t="e">
        <f>astrogrep_path&amp;" /e /r /s /spath="&amp;search_path&amp;" /stypes=""app*"&amp;BJN28&amp;"*"&amp;TEXT(BJU28-utc_offset/24,"YYYYMMDD")&amp;"*"" /stext="" "&amp;TEXT(BJU28-utc_offset/24,"HH")&amp;search_regexp&amp;""""</f>
        <v>#VALUE!</v>
      </c>
      <c r="BKS28" s="234" t="e">
        <f>astrogrep_path&amp;" /e /r /s /spath="&amp;search_path&amp;" /stypes=""app*"&amp;BJO28&amp;"*"&amp;TEXT(BJV28-utc_offset/24,"YYYYMMDD")&amp;"*"" /stext="" "&amp;TEXT(BJV28-utc_offset/24,"HH")&amp;search_regexp&amp;""""</f>
        <v>#VALUE!</v>
      </c>
      <c r="BKT28" s="234" t="e">
        <f>astrogrep_path&amp;" /e /r /s /spath="&amp;search_path&amp;" /stypes=""app*"&amp;BJP28&amp;"*"&amp;TEXT(BJW28-utc_offset/24,"YYYYMMDD")&amp;"*"" /stext="" "&amp;TEXT(BJW28-utc_offset/24,"HH")&amp;search_regexp&amp;""""</f>
        <v>#VALUE!</v>
      </c>
      <c r="BKU28" s="234" t="e">
        <f>astrogrep_path&amp;" /e /r /s /spath="&amp;search_path&amp;" /stypes=""app*"&amp;BJQ28&amp;"*"&amp;TEXT(BJX28-utc_offset/24,"YYYYMMDD")&amp;"*"" /stext="" "&amp;TEXT(BJX28-utc_offset/24,"HH")&amp;search_regexp&amp;""""</f>
        <v>#VALUE!</v>
      </c>
      <c r="BKV28" s="234" t="e">
        <f>astrogrep_path&amp;" /e /r /s /spath="&amp;search_path&amp;" /stypes=""app*"&amp;BJR28&amp;"*"&amp;TEXT(BJY28-utc_offset/24,"YYYYMMDD")&amp;"*"" /stext="" "&amp;TEXT(BJY28-utc_offset/24,"HH")&amp;search_regexp&amp;""""</f>
        <v>#REF!</v>
      </c>
      <c r="BKW28" s="234" t="e">
        <f>astrogrep_path&amp;" /e /r /s /spath="&amp;search_path&amp;" /stypes=""app*"&amp;BJS28&amp;"*"&amp;TEXT(BJZ28-utc_offset/24,"YYYYMMDD")&amp;"*"" /stext="" "&amp;TEXT(BJZ28-utc_offset/24,"HH")&amp;search_regexp&amp;""""</f>
        <v>#REF!</v>
      </c>
      <c r="BKX28" s="234" t="e">
        <f>astrogrep_path&amp;" /e /r /s /spath="&amp;search_path&amp;" /stypes=""app*"&amp;BJT28&amp;"*"&amp;TEXT(BKA28-utc_offset/24,"YYYYMMDD")&amp;"*"" /stext="" "&amp;TEXT(BKA28-utc_offset/24,"HH")&amp;search_regexp&amp;""""</f>
        <v>#REF!</v>
      </c>
      <c r="BKY28" s="234" t="e">
        <f>astrogrep_path&amp;" /e /r /s /spath="&amp;search_path&amp;" /stypes=""app*"&amp;BJU28&amp;"*"&amp;TEXT(BKB28-utc_offset/24,"YYYYMMDD")&amp;"*"" /stext="" "&amp;TEXT(BKB28-utc_offset/24,"HH")&amp;search_regexp&amp;""""</f>
        <v>#REF!</v>
      </c>
      <c r="BKZ28" s="234" t="e">
        <f>astrogrep_path&amp;" /e /r /s /spath="&amp;search_path&amp;" /stypes=""app*"&amp;BJV28&amp;"*"&amp;TEXT(BKC28-utc_offset/24,"YYYYMMDD")&amp;"*"" /stext="" "&amp;TEXT(BKC28-utc_offset/24,"HH")&amp;search_regexp&amp;""""</f>
        <v>#REF!</v>
      </c>
      <c r="BLA28" s="234" t="e">
        <f>astrogrep_path&amp;" /e /r /s /spath="&amp;search_path&amp;" /stypes=""app*"&amp;BJW28&amp;"*"&amp;TEXT(BKD28-utc_offset/24,"YYYYMMDD")&amp;"*"" /stext="" "&amp;TEXT(BKD28-utc_offset/24,"HH")&amp;search_regexp&amp;""""</f>
        <v>#REF!</v>
      </c>
      <c r="BLB28" s="234" t="e">
        <f>astrogrep_path&amp;" /e /r /s /spath="&amp;search_path&amp;" /stypes=""app*"&amp;BJX28&amp;"*"&amp;TEXT(BKE28-utc_offset/24,"YYYYMMDD")&amp;"*"" /stext="" "&amp;TEXT(BKE28-utc_offset/24,"HH")&amp;search_regexp&amp;""""</f>
        <v>#REF!</v>
      </c>
      <c r="BLC28" s="234" t="e">
        <f>astrogrep_path&amp;" /e /r /s /spath="&amp;search_path&amp;" /stypes=""app*"&amp;BJY28&amp;"*"&amp;TEXT(BKF28-utc_offset/24,"YYYYMMDD")&amp;"*"" /stext="" "&amp;TEXT(BKF28-utc_offset/24,"HH")&amp;search_regexp&amp;""""</f>
        <v>#REF!</v>
      </c>
      <c r="BLD28" s="234" t="e">
        <f>astrogrep_path&amp;" /e /r /s /spath="&amp;search_path&amp;" /stypes=""app*"&amp;BJZ28&amp;"*"&amp;TEXT(BKG28-utc_offset/24,"YYYYMMDD")&amp;"*"" /stext="" "&amp;TEXT(BKG28-utc_offset/24,"HH")&amp;search_regexp&amp;""""</f>
        <v>#REF!</v>
      </c>
      <c r="BLE28" s="234" t="e">
        <f>astrogrep_path&amp;" /e /r /s /spath="&amp;search_path&amp;" /stypes=""app*"&amp;BKA28&amp;"*"&amp;TEXT(BKH28-utc_offset/24,"YYYYMMDD")&amp;"*"" /stext="" "&amp;TEXT(BKH28-utc_offset/24,"HH")&amp;search_regexp&amp;""""</f>
        <v>#REF!</v>
      </c>
      <c r="BLF28" s="234" t="e">
        <f>astrogrep_path&amp;" /e /r /s /spath="&amp;search_path&amp;" /stypes=""app*"&amp;BKB28&amp;"*"&amp;TEXT(BKI28-utc_offset/24,"YYYYMMDD")&amp;"*"" /stext="" "&amp;TEXT(BKI28-utc_offset/24,"HH")&amp;search_regexp&amp;""""</f>
        <v>#REF!</v>
      </c>
      <c r="BLG28" s="234" t="e">
        <f>astrogrep_path&amp;" /e /r /s /spath="&amp;search_path&amp;" /stypes=""app*"&amp;BKC28&amp;"*"&amp;TEXT(BKJ28-utc_offset/24,"YYYYMMDD")&amp;"*"" /stext="" "&amp;TEXT(BKJ28-utc_offset/24,"HH")&amp;search_regexp&amp;""""</f>
        <v>#REF!</v>
      </c>
      <c r="BLH28" s="234" t="e">
        <f>astrogrep_path&amp;" /e /r /s /spath="&amp;search_path&amp;" /stypes=""app*"&amp;BKD28&amp;"*"&amp;TEXT(BKK28-utc_offset/24,"YYYYMMDD")&amp;"*"" /stext="" "&amp;TEXT(BKK28-utc_offset/24,"HH")&amp;search_regexp&amp;""""</f>
        <v>#REF!</v>
      </c>
      <c r="BLI28" s="234" t="e">
        <f>astrogrep_path&amp;" /e /r /s /spath="&amp;search_path&amp;" /stypes=""app*"&amp;BKE28&amp;"*"&amp;TEXT(BKL28-utc_offset/24,"YYYYMMDD")&amp;"*"" /stext="" "&amp;TEXT(BKL28-utc_offset/24,"HH")&amp;search_regexp&amp;""""</f>
        <v>#REF!</v>
      </c>
      <c r="BLJ28" s="234" t="e">
        <f>astrogrep_path&amp;" /e /r /s /spath="&amp;search_path&amp;" /stypes=""app*"&amp;BKF28&amp;"*"&amp;TEXT(BKM28-utc_offset/24,"YYYYMMDD")&amp;"*"" /stext="" "&amp;TEXT(BKM28-utc_offset/24,"HH")&amp;search_regexp&amp;""""</f>
        <v>#REF!</v>
      </c>
      <c r="BLK28" s="234" t="e">
        <f>astrogrep_path&amp;" /e /r /s /spath="&amp;search_path&amp;" /stypes=""app*"&amp;BKG28&amp;"*"&amp;TEXT(BKN28-utc_offset/24,"YYYYMMDD")&amp;"*"" /stext="" "&amp;TEXT(BKN28-utc_offset/24,"HH")&amp;search_regexp&amp;""""</f>
        <v>#REF!</v>
      </c>
      <c r="BLL28" s="234" t="e">
        <f>astrogrep_path&amp;" /e /r /s /spath="&amp;search_path&amp;" /stypes=""app*"&amp;BKH28&amp;"*"&amp;TEXT(BKO28-utc_offset/24,"YYYYMMDD")&amp;"*"" /stext="" "&amp;TEXT(BKO28-utc_offset/24,"HH")&amp;search_regexp&amp;""""</f>
        <v>#REF!</v>
      </c>
      <c r="BLM28" s="234" t="e">
        <f>astrogrep_path&amp;" /e /r /s /spath="&amp;search_path&amp;" /stypes=""app*"&amp;BKI28&amp;"*"&amp;TEXT(BKP28-utc_offset/24,"YYYYMMDD")&amp;"*"" /stext="" "&amp;TEXT(BKP28-utc_offset/24,"HH")&amp;search_regexp&amp;""""</f>
        <v>#REF!</v>
      </c>
      <c r="BLN28" s="234" t="e">
        <f>astrogrep_path&amp;" /e /r /s /spath="&amp;search_path&amp;" /stypes=""app*"&amp;BKJ28&amp;"*"&amp;TEXT(BKQ28-utc_offset/24,"YYYYMMDD")&amp;"*"" /stext="" "&amp;TEXT(BKQ28-utc_offset/24,"HH")&amp;search_regexp&amp;""""</f>
        <v>#REF!</v>
      </c>
      <c r="BLO28" s="234" t="e">
        <f>astrogrep_path&amp;" /e /r /s /spath="&amp;search_path&amp;" /stypes=""app*"&amp;BKK28&amp;"*"&amp;TEXT(BKR28-utc_offset/24,"YYYYMMDD")&amp;"*"" /stext="" "&amp;TEXT(BKR28-utc_offset/24,"HH")&amp;search_regexp&amp;""""</f>
        <v>#REF!</v>
      </c>
      <c r="BLP28" s="234" t="e">
        <f>astrogrep_path&amp;" /e /r /s /spath="&amp;search_path&amp;" /stypes=""app*"&amp;BKL28&amp;"*"&amp;TEXT(BKS28-utc_offset/24,"YYYYMMDD")&amp;"*"" /stext="" "&amp;TEXT(BKS28-utc_offset/24,"HH")&amp;search_regexp&amp;""""</f>
        <v>#REF!</v>
      </c>
      <c r="BLQ28" s="234" t="e">
        <f>astrogrep_path&amp;" /e /r /s /spath="&amp;search_path&amp;" /stypes=""app*"&amp;BKM28&amp;"*"&amp;TEXT(BKT28-utc_offset/24,"YYYYMMDD")&amp;"*"" /stext="" "&amp;TEXT(BKT28-utc_offset/24,"HH")&amp;search_regexp&amp;""""</f>
        <v>#VALUE!</v>
      </c>
      <c r="BLR28" s="234" t="e">
        <f>astrogrep_path&amp;" /e /r /s /spath="&amp;search_path&amp;" /stypes=""app*"&amp;BKN28&amp;"*"&amp;TEXT(BKU28-utc_offset/24,"YYYYMMDD")&amp;"*"" /stext="" "&amp;TEXT(BKU28-utc_offset/24,"HH")&amp;search_regexp&amp;""""</f>
        <v>#VALUE!</v>
      </c>
      <c r="BLS28" s="234" t="e">
        <f>astrogrep_path&amp;" /e /r /s /spath="&amp;search_path&amp;" /stypes=""app*"&amp;BKO28&amp;"*"&amp;TEXT(BKV28-utc_offset/24,"YYYYMMDD")&amp;"*"" /stext="" "&amp;TEXT(BKV28-utc_offset/24,"HH")&amp;search_regexp&amp;""""</f>
        <v>#REF!</v>
      </c>
      <c r="BLT28" s="234" t="e">
        <f>astrogrep_path&amp;" /e /r /s /spath="&amp;search_path&amp;" /stypes=""app*"&amp;BKP28&amp;"*"&amp;TEXT(BKW28-utc_offset/24,"YYYYMMDD")&amp;"*"" /stext="" "&amp;TEXT(BKW28-utc_offset/24,"HH")&amp;search_regexp&amp;""""</f>
        <v>#REF!</v>
      </c>
      <c r="BLU28" s="234" t="e">
        <f>astrogrep_path&amp;" /e /r /s /spath="&amp;search_path&amp;" /stypes=""app*"&amp;BKQ28&amp;"*"&amp;TEXT(BKX28-utc_offset/24,"YYYYMMDD")&amp;"*"" /stext="" "&amp;TEXT(BKX28-utc_offset/24,"HH")&amp;search_regexp&amp;""""</f>
        <v>#VALUE!</v>
      </c>
      <c r="BLV28" s="234" t="e">
        <f>astrogrep_path&amp;" /e /r /s /spath="&amp;search_path&amp;" /stypes=""app*"&amp;BKR28&amp;"*"&amp;TEXT(BKY28-utc_offset/24,"YYYYMMDD")&amp;"*"" /stext="" "&amp;TEXT(BKY28-utc_offset/24,"HH")&amp;search_regexp&amp;""""</f>
        <v>#VALUE!</v>
      </c>
      <c r="BLW28" s="234" t="e">
        <f>astrogrep_path&amp;" /e /r /s /spath="&amp;search_path&amp;" /stypes=""app*"&amp;BKS28&amp;"*"&amp;TEXT(BKZ28-utc_offset/24,"YYYYMMDD")&amp;"*"" /stext="" "&amp;TEXT(BKZ28-utc_offset/24,"HH")&amp;search_regexp&amp;""""</f>
        <v>#VALUE!</v>
      </c>
      <c r="BLX28" s="234" t="e">
        <f>astrogrep_path&amp;" /e /r /s /spath="&amp;search_path&amp;" /stypes=""app*"&amp;BKT28&amp;"*"&amp;TEXT(BLA28-utc_offset/24,"YYYYMMDD")&amp;"*"" /stext="" "&amp;TEXT(BLA28-utc_offset/24,"HH")&amp;search_regexp&amp;""""</f>
        <v>#VALUE!</v>
      </c>
      <c r="BLY28" s="234" t="e">
        <f>astrogrep_path&amp;" /e /r /s /spath="&amp;search_path&amp;" /stypes=""app*"&amp;BKU28&amp;"*"&amp;TEXT(BLB28-utc_offset/24,"YYYYMMDD")&amp;"*"" /stext="" "&amp;TEXT(BLB28-utc_offset/24,"HH")&amp;search_regexp&amp;""""</f>
        <v>#VALUE!</v>
      </c>
      <c r="BLZ28" s="234" t="e">
        <f>astrogrep_path&amp;" /e /r /s /spath="&amp;search_path&amp;" /stypes=""app*"&amp;BKV28&amp;"*"&amp;TEXT(BLC28-utc_offset/24,"YYYYMMDD")&amp;"*"" /stext="" "&amp;TEXT(BLC28-utc_offset/24,"HH")&amp;search_regexp&amp;""""</f>
        <v>#REF!</v>
      </c>
      <c r="BMA28" s="234" t="e">
        <f>astrogrep_path&amp;" /e /r /s /spath="&amp;search_path&amp;" /stypes=""app*"&amp;BKW28&amp;"*"&amp;TEXT(BLD28-utc_offset/24,"YYYYMMDD")&amp;"*"" /stext="" "&amp;TEXT(BLD28-utc_offset/24,"HH")&amp;search_regexp&amp;""""</f>
        <v>#REF!</v>
      </c>
      <c r="BMB28" s="234" t="e">
        <f>astrogrep_path&amp;" /e /r /s /spath="&amp;search_path&amp;" /stypes=""app*"&amp;BKX28&amp;"*"&amp;TEXT(BLE28-utc_offset/24,"YYYYMMDD")&amp;"*"" /stext="" "&amp;TEXT(BLE28-utc_offset/24,"HH")&amp;search_regexp&amp;""""</f>
        <v>#REF!</v>
      </c>
      <c r="BMC28" s="234" t="e">
        <f>astrogrep_path&amp;" /e /r /s /spath="&amp;search_path&amp;" /stypes=""app*"&amp;BKY28&amp;"*"&amp;TEXT(BLF28-utc_offset/24,"YYYYMMDD")&amp;"*"" /stext="" "&amp;TEXT(BLF28-utc_offset/24,"HH")&amp;search_regexp&amp;""""</f>
        <v>#REF!</v>
      </c>
      <c r="BMD28" s="234" t="e">
        <f>astrogrep_path&amp;" /e /r /s /spath="&amp;search_path&amp;" /stypes=""app*"&amp;BKZ28&amp;"*"&amp;TEXT(BLG28-utc_offset/24,"YYYYMMDD")&amp;"*"" /stext="" "&amp;TEXT(BLG28-utc_offset/24,"HH")&amp;search_regexp&amp;""""</f>
        <v>#REF!</v>
      </c>
      <c r="BME28" s="234" t="e">
        <f>astrogrep_path&amp;" /e /r /s /spath="&amp;search_path&amp;" /stypes=""app*"&amp;BLA28&amp;"*"&amp;TEXT(BLH28-utc_offset/24,"YYYYMMDD")&amp;"*"" /stext="" "&amp;TEXT(BLH28-utc_offset/24,"HH")&amp;search_regexp&amp;""""</f>
        <v>#REF!</v>
      </c>
      <c r="BMF28" s="234" t="e">
        <f>astrogrep_path&amp;" /e /r /s /spath="&amp;search_path&amp;" /stypes=""app*"&amp;BLB28&amp;"*"&amp;TEXT(BLI28-utc_offset/24,"YYYYMMDD")&amp;"*"" /stext="" "&amp;TEXT(BLI28-utc_offset/24,"HH")&amp;search_regexp&amp;""""</f>
        <v>#REF!</v>
      </c>
      <c r="BMG28" s="234" t="e">
        <f>astrogrep_path&amp;" /e /r /s /spath="&amp;search_path&amp;" /stypes=""app*"&amp;BLC28&amp;"*"&amp;TEXT(BLJ28-utc_offset/24,"YYYYMMDD")&amp;"*"" /stext="" "&amp;TEXT(BLJ28-utc_offset/24,"HH")&amp;search_regexp&amp;""""</f>
        <v>#REF!</v>
      </c>
      <c r="BMH28" s="234" t="e">
        <f>astrogrep_path&amp;" /e /r /s /spath="&amp;search_path&amp;" /stypes=""app*"&amp;BLD28&amp;"*"&amp;TEXT(BLK28-utc_offset/24,"YYYYMMDD")&amp;"*"" /stext="" "&amp;TEXT(BLK28-utc_offset/24,"HH")&amp;search_regexp&amp;""""</f>
        <v>#REF!</v>
      </c>
      <c r="BMI28" s="234" t="e">
        <f>astrogrep_path&amp;" /e /r /s /spath="&amp;search_path&amp;" /stypes=""app*"&amp;BLE28&amp;"*"&amp;TEXT(BLL28-utc_offset/24,"YYYYMMDD")&amp;"*"" /stext="" "&amp;TEXT(BLL28-utc_offset/24,"HH")&amp;search_regexp&amp;""""</f>
        <v>#REF!</v>
      </c>
      <c r="BMJ28" s="234" t="e">
        <f>astrogrep_path&amp;" /e /r /s /spath="&amp;search_path&amp;" /stypes=""app*"&amp;BLF28&amp;"*"&amp;TEXT(BLM28-utc_offset/24,"YYYYMMDD")&amp;"*"" /stext="" "&amp;TEXT(BLM28-utc_offset/24,"HH")&amp;search_regexp&amp;""""</f>
        <v>#REF!</v>
      </c>
      <c r="BMK28" s="234" t="e">
        <f>astrogrep_path&amp;" /e /r /s /spath="&amp;search_path&amp;" /stypes=""app*"&amp;BLG28&amp;"*"&amp;TEXT(BLN28-utc_offset/24,"YYYYMMDD")&amp;"*"" /stext="" "&amp;TEXT(BLN28-utc_offset/24,"HH")&amp;search_regexp&amp;""""</f>
        <v>#REF!</v>
      </c>
      <c r="BML28" s="234" t="e">
        <f>astrogrep_path&amp;" /e /r /s /spath="&amp;search_path&amp;" /stypes=""app*"&amp;BLH28&amp;"*"&amp;TEXT(BLO28-utc_offset/24,"YYYYMMDD")&amp;"*"" /stext="" "&amp;TEXT(BLO28-utc_offset/24,"HH")&amp;search_regexp&amp;""""</f>
        <v>#REF!</v>
      </c>
      <c r="BMM28" s="234" t="e">
        <f>astrogrep_path&amp;" /e /r /s /spath="&amp;search_path&amp;" /stypes=""app*"&amp;BLI28&amp;"*"&amp;TEXT(BLP28-utc_offset/24,"YYYYMMDD")&amp;"*"" /stext="" "&amp;TEXT(BLP28-utc_offset/24,"HH")&amp;search_regexp&amp;""""</f>
        <v>#REF!</v>
      </c>
      <c r="BMN28" s="234" t="e">
        <f>astrogrep_path&amp;" /e /r /s /spath="&amp;search_path&amp;" /stypes=""app*"&amp;BLJ28&amp;"*"&amp;TEXT(BLQ28-utc_offset/24,"YYYYMMDD")&amp;"*"" /stext="" "&amp;TEXT(BLQ28-utc_offset/24,"HH")&amp;search_regexp&amp;""""</f>
        <v>#REF!</v>
      </c>
      <c r="BMO28" s="234" t="e">
        <f>astrogrep_path&amp;" /e /r /s /spath="&amp;search_path&amp;" /stypes=""app*"&amp;BLK28&amp;"*"&amp;TEXT(BLR28-utc_offset/24,"YYYYMMDD")&amp;"*"" /stext="" "&amp;TEXT(BLR28-utc_offset/24,"HH")&amp;search_regexp&amp;""""</f>
        <v>#REF!</v>
      </c>
      <c r="BMP28" s="234" t="e">
        <f>astrogrep_path&amp;" /e /r /s /spath="&amp;search_path&amp;" /stypes=""app*"&amp;BLL28&amp;"*"&amp;TEXT(BLS28-utc_offset/24,"YYYYMMDD")&amp;"*"" /stext="" "&amp;TEXT(BLS28-utc_offset/24,"HH")&amp;search_regexp&amp;""""</f>
        <v>#REF!</v>
      </c>
      <c r="BMQ28" s="234" t="e">
        <f>astrogrep_path&amp;" /e /r /s /spath="&amp;search_path&amp;" /stypes=""app*"&amp;BLM28&amp;"*"&amp;TEXT(BLT28-utc_offset/24,"YYYYMMDD")&amp;"*"" /stext="" "&amp;TEXT(BLT28-utc_offset/24,"HH")&amp;search_regexp&amp;""""</f>
        <v>#REF!</v>
      </c>
      <c r="BMR28" s="234" t="e">
        <f>astrogrep_path&amp;" /e /r /s /spath="&amp;search_path&amp;" /stypes=""app*"&amp;BLN28&amp;"*"&amp;TEXT(BLU28-utc_offset/24,"YYYYMMDD")&amp;"*"" /stext="" "&amp;TEXT(BLU28-utc_offset/24,"HH")&amp;search_regexp&amp;""""</f>
        <v>#REF!</v>
      </c>
      <c r="BMS28" s="234" t="e">
        <f>astrogrep_path&amp;" /e /r /s /spath="&amp;search_path&amp;" /stypes=""app*"&amp;BLO28&amp;"*"&amp;TEXT(BLV28-utc_offset/24,"YYYYMMDD")&amp;"*"" /stext="" "&amp;TEXT(BLV28-utc_offset/24,"HH")&amp;search_regexp&amp;""""</f>
        <v>#REF!</v>
      </c>
      <c r="BMT28" s="234" t="e">
        <f>astrogrep_path&amp;" /e /r /s /spath="&amp;search_path&amp;" /stypes=""app*"&amp;BLP28&amp;"*"&amp;TEXT(BLW28-utc_offset/24,"YYYYMMDD")&amp;"*"" /stext="" "&amp;TEXT(BLW28-utc_offset/24,"HH")&amp;search_regexp&amp;""""</f>
        <v>#REF!</v>
      </c>
      <c r="BMU28" s="234" t="e">
        <f>astrogrep_path&amp;" /e /r /s /spath="&amp;search_path&amp;" /stypes=""app*"&amp;BLQ28&amp;"*"&amp;TEXT(BLX28-utc_offset/24,"YYYYMMDD")&amp;"*"" /stext="" "&amp;TEXT(BLX28-utc_offset/24,"HH")&amp;search_regexp&amp;""""</f>
        <v>#VALUE!</v>
      </c>
      <c r="BMV28" s="234" t="e">
        <f>astrogrep_path&amp;" /e /r /s /spath="&amp;search_path&amp;" /stypes=""app*"&amp;BLR28&amp;"*"&amp;TEXT(BLY28-utc_offset/24,"YYYYMMDD")&amp;"*"" /stext="" "&amp;TEXT(BLY28-utc_offset/24,"HH")&amp;search_regexp&amp;""""</f>
        <v>#VALUE!</v>
      </c>
      <c r="BMW28" s="234" t="e">
        <f>astrogrep_path&amp;" /e /r /s /spath="&amp;search_path&amp;" /stypes=""app*"&amp;BLS28&amp;"*"&amp;TEXT(BLZ28-utc_offset/24,"YYYYMMDD")&amp;"*"" /stext="" "&amp;TEXT(BLZ28-utc_offset/24,"HH")&amp;search_regexp&amp;""""</f>
        <v>#REF!</v>
      </c>
      <c r="BMX28" s="234" t="e">
        <f>astrogrep_path&amp;" /e /r /s /spath="&amp;search_path&amp;" /stypes=""app*"&amp;BLT28&amp;"*"&amp;TEXT(BMA28-utc_offset/24,"YYYYMMDD")&amp;"*"" /stext="" "&amp;TEXT(BMA28-utc_offset/24,"HH")&amp;search_regexp&amp;""""</f>
        <v>#REF!</v>
      </c>
      <c r="BMY28" s="234" t="e">
        <f>astrogrep_path&amp;" /e /r /s /spath="&amp;search_path&amp;" /stypes=""app*"&amp;BLU28&amp;"*"&amp;TEXT(BMB28-utc_offset/24,"YYYYMMDD")&amp;"*"" /stext="" "&amp;TEXT(BMB28-utc_offset/24,"HH")&amp;search_regexp&amp;""""</f>
        <v>#VALUE!</v>
      </c>
      <c r="BMZ28" s="234" t="e">
        <f>astrogrep_path&amp;" /e /r /s /spath="&amp;search_path&amp;" /stypes=""app*"&amp;BLV28&amp;"*"&amp;TEXT(BMC28-utc_offset/24,"YYYYMMDD")&amp;"*"" /stext="" "&amp;TEXT(BMC28-utc_offset/24,"HH")&amp;search_regexp&amp;""""</f>
        <v>#VALUE!</v>
      </c>
      <c r="BNA28" s="234" t="e">
        <f>astrogrep_path&amp;" /e /r /s /spath="&amp;search_path&amp;" /stypes=""app*"&amp;BLW28&amp;"*"&amp;TEXT(BMD28-utc_offset/24,"YYYYMMDD")&amp;"*"" /stext="" "&amp;TEXT(BMD28-utc_offset/24,"HH")&amp;search_regexp&amp;""""</f>
        <v>#VALUE!</v>
      </c>
      <c r="BNB28" s="234" t="e">
        <f>astrogrep_path&amp;" /e /r /s /spath="&amp;search_path&amp;" /stypes=""app*"&amp;BLX28&amp;"*"&amp;TEXT(BME28-utc_offset/24,"YYYYMMDD")&amp;"*"" /stext="" "&amp;TEXT(BME28-utc_offset/24,"HH")&amp;search_regexp&amp;""""</f>
        <v>#VALUE!</v>
      </c>
      <c r="BNC28" s="234" t="e">
        <f>astrogrep_path&amp;" /e /r /s /spath="&amp;search_path&amp;" /stypes=""app*"&amp;BLY28&amp;"*"&amp;TEXT(BMF28-utc_offset/24,"YYYYMMDD")&amp;"*"" /stext="" "&amp;TEXT(BMF28-utc_offset/24,"HH")&amp;search_regexp&amp;""""</f>
        <v>#VALUE!</v>
      </c>
      <c r="BND28" s="234" t="e">
        <f>astrogrep_path&amp;" /e /r /s /spath="&amp;search_path&amp;" /stypes=""app*"&amp;BLZ28&amp;"*"&amp;TEXT(BMG28-utc_offset/24,"YYYYMMDD")&amp;"*"" /stext="" "&amp;TEXT(BMG28-utc_offset/24,"HH")&amp;search_regexp&amp;""""</f>
        <v>#REF!</v>
      </c>
      <c r="BNE28" s="234" t="e">
        <f>astrogrep_path&amp;" /e /r /s /spath="&amp;search_path&amp;" /stypes=""app*"&amp;BMA28&amp;"*"&amp;TEXT(BMH28-utc_offset/24,"YYYYMMDD")&amp;"*"" /stext="" "&amp;TEXT(BMH28-utc_offset/24,"HH")&amp;search_regexp&amp;""""</f>
        <v>#REF!</v>
      </c>
      <c r="BNF28" s="234" t="e">
        <f>astrogrep_path&amp;" /e /r /s /spath="&amp;search_path&amp;" /stypes=""app*"&amp;BMB28&amp;"*"&amp;TEXT(BMI28-utc_offset/24,"YYYYMMDD")&amp;"*"" /stext="" "&amp;TEXT(BMI28-utc_offset/24,"HH")&amp;search_regexp&amp;""""</f>
        <v>#REF!</v>
      </c>
      <c r="BNG28" s="234" t="e">
        <f>astrogrep_path&amp;" /e /r /s /spath="&amp;search_path&amp;" /stypes=""app*"&amp;BMC28&amp;"*"&amp;TEXT(BMJ28-utc_offset/24,"YYYYMMDD")&amp;"*"" /stext="" "&amp;TEXT(BMJ28-utc_offset/24,"HH")&amp;search_regexp&amp;""""</f>
        <v>#REF!</v>
      </c>
      <c r="BNH28" s="234" t="e">
        <f>astrogrep_path&amp;" /e /r /s /spath="&amp;search_path&amp;" /stypes=""app*"&amp;BMD28&amp;"*"&amp;TEXT(BMK28-utc_offset/24,"YYYYMMDD")&amp;"*"" /stext="" "&amp;TEXT(BMK28-utc_offset/24,"HH")&amp;search_regexp&amp;""""</f>
        <v>#REF!</v>
      </c>
      <c r="BNI28" s="234" t="e">
        <f>astrogrep_path&amp;" /e /r /s /spath="&amp;search_path&amp;" /stypes=""app*"&amp;BME28&amp;"*"&amp;TEXT(BML28-utc_offset/24,"YYYYMMDD")&amp;"*"" /stext="" "&amp;TEXT(BML28-utc_offset/24,"HH")&amp;search_regexp&amp;""""</f>
        <v>#REF!</v>
      </c>
      <c r="BNJ28" s="234" t="e">
        <f>astrogrep_path&amp;" /e /r /s /spath="&amp;search_path&amp;" /stypes=""app*"&amp;BMF28&amp;"*"&amp;TEXT(BMM28-utc_offset/24,"YYYYMMDD")&amp;"*"" /stext="" "&amp;TEXT(BMM28-utc_offset/24,"HH")&amp;search_regexp&amp;""""</f>
        <v>#REF!</v>
      </c>
      <c r="BNK28" s="234" t="e">
        <f>astrogrep_path&amp;" /e /r /s /spath="&amp;search_path&amp;" /stypes=""app*"&amp;BMG28&amp;"*"&amp;TEXT(BMN28-utc_offset/24,"YYYYMMDD")&amp;"*"" /stext="" "&amp;TEXT(BMN28-utc_offset/24,"HH")&amp;search_regexp&amp;""""</f>
        <v>#REF!</v>
      </c>
      <c r="BNL28" s="234" t="e">
        <f>astrogrep_path&amp;" /e /r /s /spath="&amp;search_path&amp;" /stypes=""app*"&amp;BMH28&amp;"*"&amp;TEXT(BMO28-utc_offset/24,"YYYYMMDD")&amp;"*"" /stext="" "&amp;TEXT(BMO28-utc_offset/24,"HH")&amp;search_regexp&amp;""""</f>
        <v>#REF!</v>
      </c>
      <c r="BNM28" s="234" t="e">
        <f>astrogrep_path&amp;" /e /r /s /spath="&amp;search_path&amp;" /stypes=""app*"&amp;BMI28&amp;"*"&amp;TEXT(BMP28-utc_offset/24,"YYYYMMDD")&amp;"*"" /stext="" "&amp;TEXT(BMP28-utc_offset/24,"HH")&amp;search_regexp&amp;""""</f>
        <v>#REF!</v>
      </c>
      <c r="BNN28" s="234" t="e">
        <f>astrogrep_path&amp;" /e /r /s /spath="&amp;search_path&amp;" /stypes=""app*"&amp;BMJ28&amp;"*"&amp;TEXT(BMQ28-utc_offset/24,"YYYYMMDD")&amp;"*"" /stext="" "&amp;TEXT(BMQ28-utc_offset/24,"HH")&amp;search_regexp&amp;""""</f>
        <v>#REF!</v>
      </c>
      <c r="BNO28" s="234" t="e">
        <f>astrogrep_path&amp;" /e /r /s /spath="&amp;search_path&amp;" /stypes=""app*"&amp;BMK28&amp;"*"&amp;TEXT(BMR28-utc_offset/24,"YYYYMMDD")&amp;"*"" /stext="" "&amp;TEXT(BMR28-utc_offset/24,"HH")&amp;search_regexp&amp;""""</f>
        <v>#REF!</v>
      </c>
      <c r="BNP28" s="234" t="e">
        <f>astrogrep_path&amp;" /e /r /s /spath="&amp;search_path&amp;" /stypes=""app*"&amp;BML28&amp;"*"&amp;TEXT(BMS28-utc_offset/24,"YYYYMMDD")&amp;"*"" /stext="" "&amp;TEXT(BMS28-utc_offset/24,"HH")&amp;search_regexp&amp;""""</f>
        <v>#REF!</v>
      </c>
      <c r="BNQ28" s="234" t="e">
        <f>astrogrep_path&amp;" /e /r /s /spath="&amp;search_path&amp;" /stypes=""app*"&amp;BMM28&amp;"*"&amp;TEXT(BMT28-utc_offset/24,"YYYYMMDD")&amp;"*"" /stext="" "&amp;TEXT(BMT28-utc_offset/24,"HH")&amp;search_regexp&amp;""""</f>
        <v>#REF!</v>
      </c>
      <c r="BNR28" s="234" t="e">
        <f>astrogrep_path&amp;" /e /r /s /spath="&amp;search_path&amp;" /stypes=""app*"&amp;BMN28&amp;"*"&amp;TEXT(BMU28-utc_offset/24,"YYYYMMDD")&amp;"*"" /stext="" "&amp;TEXT(BMU28-utc_offset/24,"HH")&amp;search_regexp&amp;""""</f>
        <v>#REF!</v>
      </c>
      <c r="BNS28" s="234" t="e">
        <f>astrogrep_path&amp;" /e /r /s /spath="&amp;search_path&amp;" /stypes=""app*"&amp;BMO28&amp;"*"&amp;TEXT(BMV28-utc_offset/24,"YYYYMMDD")&amp;"*"" /stext="" "&amp;TEXT(BMV28-utc_offset/24,"HH")&amp;search_regexp&amp;""""</f>
        <v>#REF!</v>
      </c>
      <c r="BNT28" s="234" t="e">
        <f>astrogrep_path&amp;" /e /r /s /spath="&amp;search_path&amp;" /stypes=""app*"&amp;BMP28&amp;"*"&amp;TEXT(BMW28-utc_offset/24,"YYYYMMDD")&amp;"*"" /stext="" "&amp;TEXT(BMW28-utc_offset/24,"HH")&amp;search_regexp&amp;""""</f>
        <v>#REF!</v>
      </c>
      <c r="BNU28" s="234" t="e">
        <f>astrogrep_path&amp;" /e /r /s /spath="&amp;search_path&amp;" /stypes=""app*"&amp;BMQ28&amp;"*"&amp;TEXT(BMX28-utc_offset/24,"YYYYMMDD")&amp;"*"" /stext="" "&amp;TEXT(BMX28-utc_offset/24,"HH")&amp;search_regexp&amp;""""</f>
        <v>#REF!</v>
      </c>
      <c r="BNV28" s="234" t="e">
        <f>astrogrep_path&amp;" /e /r /s /spath="&amp;search_path&amp;" /stypes=""app*"&amp;BMR28&amp;"*"&amp;TEXT(BMY28-utc_offset/24,"YYYYMMDD")&amp;"*"" /stext="" "&amp;TEXT(BMY28-utc_offset/24,"HH")&amp;search_regexp&amp;""""</f>
        <v>#REF!</v>
      </c>
      <c r="BNW28" s="234" t="e">
        <f>astrogrep_path&amp;" /e /r /s /spath="&amp;search_path&amp;" /stypes=""app*"&amp;BMS28&amp;"*"&amp;TEXT(BMZ28-utc_offset/24,"YYYYMMDD")&amp;"*"" /stext="" "&amp;TEXT(BMZ28-utc_offset/24,"HH")&amp;search_regexp&amp;""""</f>
        <v>#REF!</v>
      </c>
      <c r="BNX28" s="234" t="e">
        <f>astrogrep_path&amp;" /e /r /s /spath="&amp;search_path&amp;" /stypes=""app*"&amp;BMT28&amp;"*"&amp;TEXT(BNA28-utc_offset/24,"YYYYMMDD")&amp;"*"" /stext="" "&amp;TEXT(BNA28-utc_offset/24,"HH")&amp;search_regexp&amp;""""</f>
        <v>#REF!</v>
      </c>
      <c r="BNY28" s="234" t="e">
        <f>astrogrep_path&amp;" /e /r /s /spath="&amp;search_path&amp;" /stypes=""app*"&amp;BMU28&amp;"*"&amp;TEXT(BNB28-utc_offset/24,"YYYYMMDD")&amp;"*"" /stext="" "&amp;TEXT(BNB28-utc_offset/24,"HH")&amp;search_regexp&amp;""""</f>
        <v>#VALUE!</v>
      </c>
      <c r="BNZ28" s="234" t="e">
        <f>astrogrep_path&amp;" /e /r /s /spath="&amp;search_path&amp;" /stypes=""app*"&amp;BMV28&amp;"*"&amp;TEXT(BNC28-utc_offset/24,"YYYYMMDD")&amp;"*"" /stext="" "&amp;TEXT(BNC28-utc_offset/24,"HH")&amp;search_regexp&amp;""""</f>
        <v>#VALUE!</v>
      </c>
      <c r="BOA28" s="234" t="e">
        <f>astrogrep_path&amp;" /e /r /s /spath="&amp;search_path&amp;" /stypes=""app*"&amp;BMW28&amp;"*"&amp;TEXT(BND28-utc_offset/24,"YYYYMMDD")&amp;"*"" /stext="" "&amp;TEXT(BND28-utc_offset/24,"HH")&amp;search_regexp&amp;""""</f>
        <v>#REF!</v>
      </c>
      <c r="BOB28" s="234" t="e">
        <f>astrogrep_path&amp;" /e /r /s /spath="&amp;search_path&amp;" /stypes=""app*"&amp;BMX28&amp;"*"&amp;TEXT(BNE28-utc_offset/24,"YYYYMMDD")&amp;"*"" /stext="" "&amp;TEXT(BNE28-utc_offset/24,"HH")&amp;search_regexp&amp;""""</f>
        <v>#REF!</v>
      </c>
      <c r="BOC28" s="234" t="e">
        <f>astrogrep_path&amp;" /e /r /s /spath="&amp;search_path&amp;" /stypes=""app*"&amp;BMY28&amp;"*"&amp;TEXT(BNF28-utc_offset/24,"YYYYMMDD")&amp;"*"" /stext="" "&amp;TEXT(BNF28-utc_offset/24,"HH")&amp;search_regexp&amp;""""</f>
        <v>#VALUE!</v>
      </c>
      <c r="BOD28" s="234" t="e">
        <f>astrogrep_path&amp;" /e /r /s /spath="&amp;search_path&amp;" /stypes=""app*"&amp;BMZ28&amp;"*"&amp;TEXT(BNG28-utc_offset/24,"YYYYMMDD")&amp;"*"" /stext="" "&amp;TEXT(BNG28-utc_offset/24,"HH")&amp;search_regexp&amp;""""</f>
        <v>#VALUE!</v>
      </c>
      <c r="BOE28" s="234" t="e">
        <f>astrogrep_path&amp;" /e /r /s /spath="&amp;search_path&amp;" /stypes=""app*"&amp;BNA28&amp;"*"&amp;TEXT(BNH28-utc_offset/24,"YYYYMMDD")&amp;"*"" /stext="" "&amp;TEXT(BNH28-utc_offset/24,"HH")&amp;search_regexp&amp;""""</f>
        <v>#VALUE!</v>
      </c>
      <c r="BOF28" s="234" t="e">
        <f>astrogrep_path&amp;" /e /r /s /spath="&amp;search_path&amp;" /stypes=""app*"&amp;BNB28&amp;"*"&amp;TEXT(BNI28-utc_offset/24,"YYYYMMDD")&amp;"*"" /stext="" "&amp;TEXT(BNI28-utc_offset/24,"HH")&amp;search_regexp&amp;""""</f>
        <v>#VALUE!</v>
      </c>
      <c r="BOG28" s="234" t="e">
        <f>astrogrep_path&amp;" /e /r /s /spath="&amp;search_path&amp;" /stypes=""app*"&amp;BNC28&amp;"*"&amp;TEXT(BNJ28-utc_offset/24,"YYYYMMDD")&amp;"*"" /stext="" "&amp;TEXT(BNJ28-utc_offset/24,"HH")&amp;search_regexp&amp;""""</f>
        <v>#VALUE!</v>
      </c>
      <c r="BOH28" s="234" t="e">
        <f>astrogrep_path&amp;" /e /r /s /spath="&amp;search_path&amp;" /stypes=""app*"&amp;BND28&amp;"*"&amp;TEXT(BNK28-utc_offset/24,"YYYYMMDD")&amp;"*"" /stext="" "&amp;TEXT(BNK28-utc_offset/24,"HH")&amp;search_regexp&amp;""""</f>
        <v>#REF!</v>
      </c>
      <c r="BOI28" s="234" t="e">
        <f>astrogrep_path&amp;" /e /r /s /spath="&amp;search_path&amp;" /stypes=""app*"&amp;BNE28&amp;"*"&amp;TEXT(BNL28-utc_offset/24,"YYYYMMDD")&amp;"*"" /stext="" "&amp;TEXT(BNL28-utc_offset/24,"HH")&amp;search_regexp&amp;""""</f>
        <v>#REF!</v>
      </c>
      <c r="BOJ28" s="234" t="e">
        <f>astrogrep_path&amp;" /e /r /s /spath="&amp;search_path&amp;" /stypes=""app*"&amp;BNF28&amp;"*"&amp;TEXT(BNM28-utc_offset/24,"YYYYMMDD")&amp;"*"" /stext="" "&amp;TEXT(BNM28-utc_offset/24,"HH")&amp;search_regexp&amp;""""</f>
        <v>#REF!</v>
      </c>
      <c r="BOK28" s="234" t="e">
        <f>astrogrep_path&amp;" /e /r /s /spath="&amp;search_path&amp;" /stypes=""app*"&amp;BNG28&amp;"*"&amp;TEXT(BNN28-utc_offset/24,"YYYYMMDD")&amp;"*"" /stext="" "&amp;TEXT(BNN28-utc_offset/24,"HH")&amp;search_regexp&amp;""""</f>
        <v>#REF!</v>
      </c>
      <c r="BOL28" s="234" t="e">
        <f>astrogrep_path&amp;" /e /r /s /spath="&amp;search_path&amp;" /stypes=""app*"&amp;BNH28&amp;"*"&amp;TEXT(BNO28-utc_offset/24,"YYYYMMDD")&amp;"*"" /stext="" "&amp;TEXT(BNO28-utc_offset/24,"HH")&amp;search_regexp&amp;""""</f>
        <v>#REF!</v>
      </c>
      <c r="BOM28" s="234" t="e">
        <f>astrogrep_path&amp;" /e /r /s /spath="&amp;search_path&amp;" /stypes=""app*"&amp;BNI28&amp;"*"&amp;TEXT(BNP28-utc_offset/24,"YYYYMMDD")&amp;"*"" /stext="" "&amp;TEXT(BNP28-utc_offset/24,"HH")&amp;search_regexp&amp;""""</f>
        <v>#REF!</v>
      </c>
      <c r="BON28" s="234" t="e">
        <f>astrogrep_path&amp;" /e /r /s /spath="&amp;search_path&amp;" /stypes=""app*"&amp;BNJ28&amp;"*"&amp;TEXT(BNQ28-utc_offset/24,"YYYYMMDD")&amp;"*"" /stext="" "&amp;TEXT(BNQ28-utc_offset/24,"HH")&amp;search_regexp&amp;""""</f>
        <v>#REF!</v>
      </c>
      <c r="BOO28" s="234" t="e">
        <f>astrogrep_path&amp;" /e /r /s /spath="&amp;search_path&amp;" /stypes=""app*"&amp;BNK28&amp;"*"&amp;TEXT(BNR28-utc_offset/24,"YYYYMMDD")&amp;"*"" /stext="" "&amp;TEXT(BNR28-utc_offset/24,"HH")&amp;search_regexp&amp;""""</f>
        <v>#REF!</v>
      </c>
      <c r="BOP28" s="234" t="e">
        <f>astrogrep_path&amp;" /e /r /s /spath="&amp;search_path&amp;" /stypes=""app*"&amp;BNL28&amp;"*"&amp;TEXT(BNS28-utc_offset/24,"YYYYMMDD")&amp;"*"" /stext="" "&amp;TEXT(BNS28-utc_offset/24,"HH")&amp;search_regexp&amp;""""</f>
        <v>#REF!</v>
      </c>
      <c r="BOQ28" s="234" t="e">
        <f>astrogrep_path&amp;" /e /r /s /spath="&amp;search_path&amp;" /stypes=""app*"&amp;BNM28&amp;"*"&amp;TEXT(BNT28-utc_offset/24,"YYYYMMDD")&amp;"*"" /stext="" "&amp;TEXT(BNT28-utc_offset/24,"HH")&amp;search_regexp&amp;""""</f>
        <v>#REF!</v>
      </c>
      <c r="BOR28" s="234" t="e">
        <f>astrogrep_path&amp;" /e /r /s /spath="&amp;search_path&amp;" /stypes=""app*"&amp;BNN28&amp;"*"&amp;TEXT(BNU28-utc_offset/24,"YYYYMMDD")&amp;"*"" /stext="" "&amp;TEXT(BNU28-utc_offset/24,"HH")&amp;search_regexp&amp;""""</f>
        <v>#REF!</v>
      </c>
      <c r="BOS28" s="234" t="e">
        <f>astrogrep_path&amp;" /e /r /s /spath="&amp;search_path&amp;" /stypes=""app*"&amp;BNO28&amp;"*"&amp;TEXT(BNV28-utc_offset/24,"YYYYMMDD")&amp;"*"" /stext="" "&amp;TEXT(BNV28-utc_offset/24,"HH")&amp;search_regexp&amp;""""</f>
        <v>#REF!</v>
      </c>
      <c r="BOT28" s="234" t="e">
        <f>astrogrep_path&amp;" /e /r /s /spath="&amp;search_path&amp;" /stypes=""app*"&amp;BNP28&amp;"*"&amp;TEXT(BNW28-utc_offset/24,"YYYYMMDD")&amp;"*"" /stext="" "&amp;TEXT(BNW28-utc_offset/24,"HH")&amp;search_regexp&amp;""""</f>
        <v>#REF!</v>
      </c>
      <c r="BOU28" s="234" t="e">
        <f>astrogrep_path&amp;" /e /r /s /spath="&amp;search_path&amp;" /stypes=""app*"&amp;BNQ28&amp;"*"&amp;TEXT(BNX28-utc_offset/24,"YYYYMMDD")&amp;"*"" /stext="" "&amp;TEXT(BNX28-utc_offset/24,"HH")&amp;search_regexp&amp;""""</f>
        <v>#REF!</v>
      </c>
      <c r="BOV28" s="234" t="e">
        <f>astrogrep_path&amp;" /e /r /s /spath="&amp;search_path&amp;" /stypes=""app*"&amp;BNR28&amp;"*"&amp;TEXT(BNY28-utc_offset/24,"YYYYMMDD")&amp;"*"" /stext="" "&amp;TEXT(BNY28-utc_offset/24,"HH")&amp;search_regexp&amp;""""</f>
        <v>#REF!</v>
      </c>
      <c r="BOW28" s="234" t="e">
        <f>astrogrep_path&amp;" /e /r /s /spath="&amp;search_path&amp;" /stypes=""app*"&amp;BNS28&amp;"*"&amp;TEXT(BNZ28-utc_offset/24,"YYYYMMDD")&amp;"*"" /stext="" "&amp;TEXT(BNZ28-utc_offset/24,"HH")&amp;search_regexp&amp;""""</f>
        <v>#REF!</v>
      </c>
      <c r="BOX28" s="234" t="e">
        <f>astrogrep_path&amp;" /e /r /s /spath="&amp;search_path&amp;" /stypes=""app*"&amp;BNT28&amp;"*"&amp;TEXT(BOA28-utc_offset/24,"YYYYMMDD")&amp;"*"" /stext="" "&amp;TEXT(BOA28-utc_offset/24,"HH")&amp;search_regexp&amp;""""</f>
        <v>#REF!</v>
      </c>
      <c r="BOY28" s="234" t="e">
        <f>astrogrep_path&amp;" /e /r /s /spath="&amp;search_path&amp;" /stypes=""app*"&amp;BNU28&amp;"*"&amp;TEXT(BOB28-utc_offset/24,"YYYYMMDD")&amp;"*"" /stext="" "&amp;TEXT(BOB28-utc_offset/24,"HH")&amp;search_regexp&amp;""""</f>
        <v>#REF!</v>
      </c>
      <c r="BOZ28" s="234" t="e">
        <f>astrogrep_path&amp;" /e /r /s /spath="&amp;search_path&amp;" /stypes=""app*"&amp;BNV28&amp;"*"&amp;TEXT(BOC28-utc_offset/24,"YYYYMMDD")&amp;"*"" /stext="" "&amp;TEXT(BOC28-utc_offset/24,"HH")&amp;search_regexp&amp;""""</f>
        <v>#REF!</v>
      </c>
      <c r="BPA28" s="234" t="e">
        <f>astrogrep_path&amp;" /e /r /s /spath="&amp;search_path&amp;" /stypes=""app*"&amp;BNW28&amp;"*"&amp;TEXT(BOD28-utc_offset/24,"YYYYMMDD")&amp;"*"" /stext="" "&amp;TEXT(BOD28-utc_offset/24,"HH")&amp;search_regexp&amp;""""</f>
        <v>#REF!</v>
      </c>
      <c r="BPB28" s="234" t="e">
        <f>astrogrep_path&amp;" /e /r /s /spath="&amp;search_path&amp;" /stypes=""app*"&amp;BNX28&amp;"*"&amp;TEXT(BOE28-utc_offset/24,"YYYYMMDD")&amp;"*"" /stext="" "&amp;TEXT(BOE28-utc_offset/24,"HH")&amp;search_regexp&amp;""""</f>
        <v>#REF!</v>
      </c>
      <c r="BPC28" s="234" t="e">
        <f>astrogrep_path&amp;" /e /r /s /spath="&amp;search_path&amp;" /stypes=""app*"&amp;BNY28&amp;"*"&amp;TEXT(BOF28-utc_offset/24,"YYYYMMDD")&amp;"*"" /stext="" "&amp;TEXT(BOF28-utc_offset/24,"HH")&amp;search_regexp&amp;""""</f>
        <v>#VALUE!</v>
      </c>
      <c r="BPD28" s="234" t="e">
        <f>astrogrep_path&amp;" /e /r /s /spath="&amp;search_path&amp;" /stypes=""app*"&amp;BNZ28&amp;"*"&amp;TEXT(BOG28-utc_offset/24,"YYYYMMDD")&amp;"*"" /stext="" "&amp;TEXT(BOG28-utc_offset/24,"HH")&amp;search_regexp&amp;""""</f>
        <v>#VALUE!</v>
      </c>
      <c r="BPE28" s="234" t="e">
        <f>astrogrep_path&amp;" /e /r /s /spath="&amp;search_path&amp;" /stypes=""app*"&amp;BOA28&amp;"*"&amp;TEXT(BOH28-utc_offset/24,"YYYYMMDD")&amp;"*"" /stext="" "&amp;TEXT(BOH28-utc_offset/24,"HH")&amp;search_regexp&amp;""""</f>
        <v>#REF!</v>
      </c>
      <c r="BPF28" s="234" t="e">
        <f>astrogrep_path&amp;" /e /r /s /spath="&amp;search_path&amp;" /stypes=""app*"&amp;BOB28&amp;"*"&amp;TEXT(BOI28-utc_offset/24,"YYYYMMDD")&amp;"*"" /stext="" "&amp;TEXT(BOI28-utc_offset/24,"HH")&amp;search_regexp&amp;""""</f>
        <v>#REF!</v>
      </c>
      <c r="BPG28" s="234" t="e">
        <f>astrogrep_path&amp;" /e /r /s /spath="&amp;search_path&amp;" /stypes=""app*"&amp;BOC28&amp;"*"&amp;TEXT(BOJ28-utc_offset/24,"YYYYMMDD")&amp;"*"" /stext="" "&amp;TEXT(BOJ28-utc_offset/24,"HH")&amp;search_regexp&amp;""""</f>
        <v>#VALUE!</v>
      </c>
      <c r="BPH28" s="234" t="e">
        <f>astrogrep_path&amp;" /e /r /s /spath="&amp;search_path&amp;" /stypes=""app*"&amp;BOD28&amp;"*"&amp;TEXT(BOK28-utc_offset/24,"YYYYMMDD")&amp;"*"" /stext="" "&amp;TEXT(BOK28-utc_offset/24,"HH")&amp;search_regexp&amp;""""</f>
        <v>#VALUE!</v>
      </c>
      <c r="BPI28" s="234" t="e">
        <f>astrogrep_path&amp;" /e /r /s /spath="&amp;search_path&amp;" /stypes=""app*"&amp;BOE28&amp;"*"&amp;TEXT(BOL28-utc_offset/24,"YYYYMMDD")&amp;"*"" /stext="" "&amp;TEXT(BOL28-utc_offset/24,"HH")&amp;search_regexp&amp;""""</f>
        <v>#VALUE!</v>
      </c>
      <c r="BPJ28" s="234" t="e">
        <f>astrogrep_path&amp;" /e /r /s /spath="&amp;search_path&amp;" /stypes=""app*"&amp;BOF28&amp;"*"&amp;TEXT(BOM28-utc_offset/24,"YYYYMMDD")&amp;"*"" /stext="" "&amp;TEXT(BOM28-utc_offset/24,"HH")&amp;search_regexp&amp;""""</f>
        <v>#VALUE!</v>
      </c>
      <c r="BPK28" s="234" t="e">
        <f>astrogrep_path&amp;" /e /r /s /spath="&amp;search_path&amp;" /stypes=""app*"&amp;BOG28&amp;"*"&amp;TEXT(BON28-utc_offset/24,"YYYYMMDD")&amp;"*"" /stext="" "&amp;TEXT(BON28-utc_offset/24,"HH")&amp;search_regexp&amp;""""</f>
        <v>#VALUE!</v>
      </c>
      <c r="BPL28" s="234" t="e">
        <f>astrogrep_path&amp;" /e /r /s /spath="&amp;search_path&amp;" /stypes=""app*"&amp;BOH28&amp;"*"&amp;TEXT(BOO28-utc_offset/24,"YYYYMMDD")&amp;"*"" /stext="" "&amp;TEXT(BOO28-utc_offset/24,"HH")&amp;search_regexp&amp;""""</f>
        <v>#REF!</v>
      </c>
      <c r="BPM28" s="234" t="e">
        <f>astrogrep_path&amp;" /e /r /s /spath="&amp;search_path&amp;" /stypes=""app*"&amp;BOI28&amp;"*"&amp;TEXT(BOP28-utc_offset/24,"YYYYMMDD")&amp;"*"" /stext="" "&amp;TEXT(BOP28-utc_offset/24,"HH")&amp;search_regexp&amp;""""</f>
        <v>#REF!</v>
      </c>
      <c r="BPN28" s="234" t="e">
        <f>astrogrep_path&amp;" /e /r /s /spath="&amp;search_path&amp;" /stypes=""app*"&amp;BOJ28&amp;"*"&amp;TEXT(BOQ28-utc_offset/24,"YYYYMMDD")&amp;"*"" /stext="" "&amp;TEXT(BOQ28-utc_offset/24,"HH")&amp;search_regexp&amp;""""</f>
        <v>#REF!</v>
      </c>
      <c r="BPO28" s="234" t="e">
        <f>astrogrep_path&amp;" /e /r /s /spath="&amp;search_path&amp;" /stypes=""app*"&amp;BOK28&amp;"*"&amp;TEXT(BOR28-utc_offset/24,"YYYYMMDD")&amp;"*"" /stext="" "&amp;TEXT(BOR28-utc_offset/24,"HH")&amp;search_regexp&amp;""""</f>
        <v>#REF!</v>
      </c>
      <c r="BPP28" s="234" t="e">
        <f>astrogrep_path&amp;" /e /r /s /spath="&amp;search_path&amp;" /stypes=""app*"&amp;BOL28&amp;"*"&amp;TEXT(BOS28-utc_offset/24,"YYYYMMDD")&amp;"*"" /stext="" "&amp;TEXT(BOS28-utc_offset/24,"HH")&amp;search_regexp&amp;""""</f>
        <v>#REF!</v>
      </c>
      <c r="BPQ28" s="234" t="e">
        <f>astrogrep_path&amp;" /e /r /s /spath="&amp;search_path&amp;" /stypes=""app*"&amp;BOM28&amp;"*"&amp;TEXT(BOT28-utc_offset/24,"YYYYMMDD")&amp;"*"" /stext="" "&amp;TEXT(BOT28-utc_offset/24,"HH")&amp;search_regexp&amp;""""</f>
        <v>#REF!</v>
      </c>
      <c r="BPR28" s="234" t="e">
        <f>astrogrep_path&amp;" /e /r /s /spath="&amp;search_path&amp;" /stypes=""app*"&amp;BON28&amp;"*"&amp;TEXT(BOU28-utc_offset/24,"YYYYMMDD")&amp;"*"" /stext="" "&amp;TEXT(BOU28-utc_offset/24,"HH")&amp;search_regexp&amp;""""</f>
        <v>#REF!</v>
      </c>
      <c r="BPS28" s="234" t="e">
        <f>astrogrep_path&amp;" /e /r /s /spath="&amp;search_path&amp;" /stypes=""app*"&amp;BOO28&amp;"*"&amp;TEXT(BOV28-utc_offset/24,"YYYYMMDD")&amp;"*"" /stext="" "&amp;TEXT(BOV28-utc_offset/24,"HH")&amp;search_regexp&amp;""""</f>
        <v>#REF!</v>
      </c>
      <c r="BPT28" s="234" t="e">
        <f>astrogrep_path&amp;" /e /r /s /spath="&amp;search_path&amp;" /stypes=""app*"&amp;BOP28&amp;"*"&amp;TEXT(BOW28-utc_offset/24,"YYYYMMDD")&amp;"*"" /stext="" "&amp;TEXT(BOW28-utc_offset/24,"HH")&amp;search_regexp&amp;""""</f>
        <v>#REF!</v>
      </c>
      <c r="BPU28" s="234" t="e">
        <f>astrogrep_path&amp;" /e /r /s /spath="&amp;search_path&amp;" /stypes=""app*"&amp;BOQ28&amp;"*"&amp;TEXT(BOX28-utc_offset/24,"YYYYMMDD")&amp;"*"" /stext="" "&amp;TEXT(BOX28-utc_offset/24,"HH")&amp;search_regexp&amp;""""</f>
        <v>#REF!</v>
      </c>
      <c r="BPV28" s="234" t="e">
        <f>astrogrep_path&amp;" /e /r /s /spath="&amp;search_path&amp;" /stypes=""app*"&amp;BOR28&amp;"*"&amp;TEXT(BOY28-utc_offset/24,"YYYYMMDD")&amp;"*"" /stext="" "&amp;TEXT(BOY28-utc_offset/24,"HH")&amp;search_regexp&amp;""""</f>
        <v>#REF!</v>
      </c>
      <c r="BPW28" s="234" t="e">
        <f>astrogrep_path&amp;" /e /r /s /spath="&amp;search_path&amp;" /stypes=""app*"&amp;BOS28&amp;"*"&amp;TEXT(BOZ28-utc_offset/24,"YYYYMMDD")&amp;"*"" /stext="" "&amp;TEXT(BOZ28-utc_offset/24,"HH")&amp;search_regexp&amp;""""</f>
        <v>#REF!</v>
      </c>
      <c r="BPX28" s="234" t="e">
        <f>astrogrep_path&amp;" /e /r /s /spath="&amp;search_path&amp;" /stypes=""app*"&amp;BOT28&amp;"*"&amp;TEXT(BPA28-utc_offset/24,"YYYYMMDD")&amp;"*"" /stext="" "&amp;TEXT(BPA28-utc_offset/24,"HH")&amp;search_regexp&amp;""""</f>
        <v>#REF!</v>
      </c>
      <c r="BPY28" s="234" t="e">
        <f>astrogrep_path&amp;" /e /r /s /spath="&amp;search_path&amp;" /stypes=""app*"&amp;BOU28&amp;"*"&amp;TEXT(BPB28-utc_offset/24,"YYYYMMDD")&amp;"*"" /stext="" "&amp;TEXT(BPB28-utc_offset/24,"HH")&amp;search_regexp&amp;""""</f>
        <v>#REF!</v>
      </c>
      <c r="BPZ28" s="234" t="e">
        <f>astrogrep_path&amp;" /e /r /s /spath="&amp;search_path&amp;" /stypes=""app*"&amp;BOV28&amp;"*"&amp;TEXT(BPC28-utc_offset/24,"YYYYMMDD")&amp;"*"" /stext="" "&amp;TEXT(BPC28-utc_offset/24,"HH")&amp;search_regexp&amp;""""</f>
        <v>#REF!</v>
      </c>
      <c r="BQA28" s="234" t="e">
        <f>astrogrep_path&amp;" /e /r /s /spath="&amp;search_path&amp;" /stypes=""app*"&amp;BOW28&amp;"*"&amp;TEXT(BPD28-utc_offset/24,"YYYYMMDD")&amp;"*"" /stext="" "&amp;TEXT(BPD28-utc_offset/24,"HH")&amp;search_regexp&amp;""""</f>
        <v>#REF!</v>
      </c>
      <c r="BQB28" s="234" t="e">
        <f>astrogrep_path&amp;" /e /r /s /spath="&amp;search_path&amp;" /stypes=""app*"&amp;BOX28&amp;"*"&amp;TEXT(BPE28-utc_offset/24,"YYYYMMDD")&amp;"*"" /stext="" "&amp;TEXT(BPE28-utc_offset/24,"HH")&amp;search_regexp&amp;""""</f>
        <v>#REF!</v>
      </c>
      <c r="BQC28" s="234" t="e">
        <f>astrogrep_path&amp;" /e /r /s /spath="&amp;search_path&amp;" /stypes=""app*"&amp;BOY28&amp;"*"&amp;TEXT(BPF28-utc_offset/24,"YYYYMMDD")&amp;"*"" /stext="" "&amp;TEXT(BPF28-utc_offset/24,"HH")&amp;search_regexp&amp;""""</f>
        <v>#REF!</v>
      </c>
      <c r="BQD28" s="234" t="e">
        <f>astrogrep_path&amp;" /e /r /s /spath="&amp;search_path&amp;" /stypes=""app*"&amp;BOZ28&amp;"*"&amp;TEXT(BPG28-utc_offset/24,"YYYYMMDD")&amp;"*"" /stext="" "&amp;TEXT(BPG28-utc_offset/24,"HH")&amp;search_regexp&amp;""""</f>
        <v>#REF!</v>
      </c>
      <c r="BQE28" s="234" t="e">
        <f>astrogrep_path&amp;" /e /r /s /spath="&amp;search_path&amp;" /stypes=""app*"&amp;BPA28&amp;"*"&amp;TEXT(BPH28-utc_offset/24,"YYYYMMDD")&amp;"*"" /stext="" "&amp;TEXT(BPH28-utc_offset/24,"HH")&amp;search_regexp&amp;""""</f>
        <v>#REF!</v>
      </c>
      <c r="BQF28" s="234" t="e">
        <f>astrogrep_path&amp;" /e /r /s /spath="&amp;search_path&amp;" /stypes=""app*"&amp;BPB28&amp;"*"&amp;TEXT(BPI28-utc_offset/24,"YYYYMMDD")&amp;"*"" /stext="" "&amp;TEXT(BPI28-utc_offset/24,"HH")&amp;search_regexp&amp;""""</f>
        <v>#REF!</v>
      </c>
      <c r="BQG28" s="234" t="e">
        <f>astrogrep_path&amp;" /e /r /s /spath="&amp;search_path&amp;" /stypes=""app*"&amp;BPC28&amp;"*"&amp;TEXT(BPJ28-utc_offset/24,"YYYYMMDD")&amp;"*"" /stext="" "&amp;TEXT(BPJ28-utc_offset/24,"HH")&amp;search_regexp&amp;""""</f>
        <v>#VALUE!</v>
      </c>
      <c r="BQH28" s="234" t="e">
        <f>astrogrep_path&amp;" /e /r /s /spath="&amp;search_path&amp;" /stypes=""app*"&amp;BPD28&amp;"*"&amp;TEXT(BPK28-utc_offset/24,"YYYYMMDD")&amp;"*"" /stext="" "&amp;TEXT(BPK28-utc_offset/24,"HH")&amp;search_regexp&amp;""""</f>
        <v>#VALUE!</v>
      </c>
      <c r="BQI28" s="234" t="e">
        <f>astrogrep_path&amp;" /e /r /s /spath="&amp;search_path&amp;" /stypes=""app*"&amp;BPE28&amp;"*"&amp;TEXT(BPL28-utc_offset/24,"YYYYMMDD")&amp;"*"" /stext="" "&amp;TEXT(BPL28-utc_offset/24,"HH")&amp;search_regexp&amp;""""</f>
        <v>#REF!</v>
      </c>
      <c r="BQJ28" s="234" t="e">
        <f>astrogrep_path&amp;" /e /r /s /spath="&amp;search_path&amp;" /stypes=""app*"&amp;BPF28&amp;"*"&amp;TEXT(BPM28-utc_offset/24,"YYYYMMDD")&amp;"*"" /stext="" "&amp;TEXT(BPM28-utc_offset/24,"HH")&amp;search_regexp&amp;""""</f>
        <v>#REF!</v>
      </c>
      <c r="BQK28" s="234" t="e">
        <f>astrogrep_path&amp;" /e /r /s /spath="&amp;search_path&amp;" /stypes=""app*"&amp;BPG28&amp;"*"&amp;TEXT(BPN28-utc_offset/24,"YYYYMMDD")&amp;"*"" /stext="" "&amp;TEXT(BPN28-utc_offset/24,"HH")&amp;search_regexp&amp;""""</f>
        <v>#VALUE!</v>
      </c>
      <c r="BQL28" s="234" t="e">
        <f>astrogrep_path&amp;" /e /r /s /spath="&amp;search_path&amp;" /stypes=""app*"&amp;BPH28&amp;"*"&amp;TEXT(BPO28-utc_offset/24,"YYYYMMDD")&amp;"*"" /stext="" "&amp;TEXT(BPO28-utc_offset/24,"HH")&amp;search_regexp&amp;""""</f>
        <v>#VALUE!</v>
      </c>
      <c r="BQM28" s="234" t="e">
        <f>astrogrep_path&amp;" /e /r /s /spath="&amp;search_path&amp;" /stypes=""app*"&amp;BPI28&amp;"*"&amp;TEXT(BPP28-utc_offset/24,"YYYYMMDD")&amp;"*"" /stext="" "&amp;TEXT(BPP28-utc_offset/24,"HH")&amp;search_regexp&amp;""""</f>
        <v>#VALUE!</v>
      </c>
      <c r="BQN28" s="234" t="e">
        <f>astrogrep_path&amp;" /e /r /s /spath="&amp;search_path&amp;" /stypes=""app*"&amp;BPJ28&amp;"*"&amp;TEXT(BPQ28-utc_offset/24,"YYYYMMDD")&amp;"*"" /stext="" "&amp;TEXT(BPQ28-utc_offset/24,"HH")&amp;search_regexp&amp;""""</f>
        <v>#VALUE!</v>
      </c>
      <c r="BQO28" s="234" t="e">
        <f>astrogrep_path&amp;" /e /r /s /spath="&amp;search_path&amp;" /stypes=""app*"&amp;BPK28&amp;"*"&amp;TEXT(BPR28-utc_offset/24,"YYYYMMDD")&amp;"*"" /stext="" "&amp;TEXT(BPR28-utc_offset/24,"HH")&amp;search_regexp&amp;""""</f>
        <v>#VALUE!</v>
      </c>
      <c r="BQP28" s="234" t="e">
        <f>astrogrep_path&amp;" /e /r /s /spath="&amp;search_path&amp;" /stypes=""app*"&amp;BPL28&amp;"*"&amp;TEXT(BPS28-utc_offset/24,"YYYYMMDD")&amp;"*"" /stext="" "&amp;TEXT(BPS28-utc_offset/24,"HH")&amp;search_regexp&amp;""""</f>
        <v>#REF!</v>
      </c>
      <c r="BQQ28" s="234" t="e">
        <f>astrogrep_path&amp;" /e /r /s /spath="&amp;search_path&amp;" /stypes=""app*"&amp;BPM28&amp;"*"&amp;TEXT(BPT28-utc_offset/24,"YYYYMMDD")&amp;"*"" /stext="" "&amp;TEXT(BPT28-utc_offset/24,"HH")&amp;search_regexp&amp;""""</f>
        <v>#REF!</v>
      </c>
      <c r="BQR28" s="234" t="e">
        <f>astrogrep_path&amp;" /e /r /s /spath="&amp;search_path&amp;" /stypes=""app*"&amp;BPN28&amp;"*"&amp;TEXT(BPU28-utc_offset/24,"YYYYMMDD")&amp;"*"" /stext="" "&amp;TEXT(BPU28-utc_offset/24,"HH")&amp;search_regexp&amp;""""</f>
        <v>#REF!</v>
      </c>
      <c r="BQS28" s="234" t="e">
        <f>astrogrep_path&amp;" /e /r /s /spath="&amp;search_path&amp;" /stypes=""app*"&amp;BPO28&amp;"*"&amp;TEXT(BPV28-utc_offset/24,"YYYYMMDD")&amp;"*"" /stext="" "&amp;TEXT(BPV28-utc_offset/24,"HH")&amp;search_regexp&amp;""""</f>
        <v>#REF!</v>
      </c>
      <c r="BQT28" s="234" t="e">
        <f>astrogrep_path&amp;" /e /r /s /spath="&amp;search_path&amp;" /stypes=""app*"&amp;BPP28&amp;"*"&amp;TEXT(BPW28-utc_offset/24,"YYYYMMDD")&amp;"*"" /stext="" "&amp;TEXT(BPW28-utc_offset/24,"HH")&amp;search_regexp&amp;""""</f>
        <v>#REF!</v>
      </c>
      <c r="BQU28" s="234" t="e">
        <f>astrogrep_path&amp;" /e /r /s /spath="&amp;search_path&amp;" /stypes=""app*"&amp;BPQ28&amp;"*"&amp;TEXT(BPX28-utc_offset/24,"YYYYMMDD")&amp;"*"" /stext="" "&amp;TEXT(BPX28-utc_offset/24,"HH")&amp;search_regexp&amp;""""</f>
        <v>#REF!</v>
      </c>
      <c r="BQV28" s="234" t="e">
        <f>astrogrep_path&amp;" /e /r /s /spath="&amp;search_path&amp;" /stypes=""app*"&amp;BPR28&amp;"*"&amp;TEXT(BPY28-utc_offset/24,"YYYYMMDD")&amp;"*"" /stext="" "&amp;TEXT(BPY28-utc_offset/24,"HH")&amp;search_regexp&amp;""""</f>
        <v>#REF!</v>
      </c>
      <c r="BQW28" s="234" t="e">
        <f>astrogrep_path&amp;" /e /r /s /spath="&amp;search_path&amp;" /stypes=""app*"&amp;BPS28&amp;"*"&amp;TEXT(BPZ28-utc_offset/24,"YYYYMMDD")&amp;"*"" /stext="" "&amp;TEXT(BPZ28-utc_offset/24,"HH")&amp;search_regexp&amp;""""</f>
        <v>#REF!</v>
      </c>
      <c r="BQX28" s="234" t="e">
        <f>astrogrep_path&amp;" /e /r /s /spath="&amp;search_path&amp;" /stypes=""app*"&amp;BPT28&amp;"*"&amp;TEXT(BQA28-utc_offset/24,"YYYYMMDD")&amp;"*"" /stext="" "&amp;TEXT(BQA28-utc_offset/24,"HH")&amp;search_regexp&amp;""""</f>
        <v>#REF!</v>
      </c>
      <c r="BQY28" s="234" t="e">
        <f>astrogrep_path&amp;" /e /r /s /spath="&amp;search_path&amp;" /stypes=""app*"&amp;BPU28&amp;"*"&amp;TEXT(BQB28-utc_offset/24,"YYYYMMDD")&amp;"*"" /stext="" "&amp;TEXT(BQB28-utc_offset/24,"HH")&amp;search_regexp&amp;""""</f>
        <v>#REF!</v>
      </c>
      <c r="BQZ28" s="234" t="e">
        <f>astrogrep_path&amp;" /e /r /s /spath="&amp;search_path&amp;" /stypes=""app*"&amp;BPV28&amp;"*"&amp;TEXT(BQC28-utc_offset/24,"YYYYMMDD")&amp;"*"" /stext="" "&amp;TEXT(BQC28-utc_offset/24,"HH")&amp;search_regexp&amp;""""</f>
        <v>#REF!</v>
      </c>
      <c r="BRA28" s="234" t="e">
        <f>astrogrep_path&amp;" /e /r /s /spath="&amp;search_path&amp;" /stypes=""app*"&amp;BPW28&amp;"*"&amp;TEXT(BQD28-utc_offset/24,"YYYYMMDD")&amp;"*"" /stext="" "&amp;TEXT(BQD28-utc_offset/24,"HH")&amp;search_regexp&amp;""""</f>
        <v>#REF!</v>
      </c>
      <c r="BRB28" s="234" t="e">
        <f>astrogrep_path&amp;" /e /r /s /spath="&amp;search_path&amp;" /stypes=""app*"&amp;BPX28&amp;"*"&amp;TEXT(BQE28-utc_offset/24,"YYYYMMDD")&amp;"*"" /stext="" "&amp;TEXT(BQE28-utc_offset/24,"HH")&amp;search_regexp&amp;""""</f>
        <v>#REF!</v>
      </c>
      <c r="BRC28" s="234" t="e">
        <f>astrogrep_path&amp;" /e /r /s /spath="&amp;search_path&amp;" /stypes=""app*"&amp;BPY28&amp;"*"&amp;TEXT(BQF28-utc_offset/24,"YYYYMMDD")&amp;"*"" /stext="" "&amp;TEXT(BQF28-utc_offset/24,"HH")&amp;search_regexp&amp;""""</f>
        <v>#REF!</v>
      </c>
      <c r="BRD28" s="234" t="e">
        <f>astrogrep_path&amp;" /e /r /s /spath="&amp;search_path&amp;" /stypes=""app*"&amp;BPZ28&amp;"*"&amp;TEXT(BQG28-utc_offset/24,"YYYYMMDD")&amp;"*"" /stext="" "&amp;TEXT(BQG28-utc_offset/24,"HH")&amp;search_regexp&amp;""""</f>
        <v>#REF!</v>
      </c>
      <c r="BRE28" s="234" t="e">
        <f>astrogrep_path&amp;" /e /r /s /spath="&amp;search_path&amp;" /stypes=""app*"&amp;BQA28&amp;"*"&amp;TEXT(BQH28-utc_offset/24,"YYYYMMDD")&amp;"*"" /stext="" "&amp;TEXT(BQH28-utc_offset/24,"HH")&amp;search_regexp&amp;""""</f>
        <v>#REF!</v>
      </c>
      <c r="BRF28" s="234" t="e">
        <f>astrogrep_path&amp;" /e /r /s /spath="&amp;search_path&amp;" /stypes=""app*"&amp;BQB28&amp;"*"&amp;TEXT(BQI28-utc_offset/24,"YYYYMMDD")&amp;"*"" /stext="" "&amp;TEXT(BQI28-utc_offset/24,"HH")&amp;search_regexp&amp;""""</f>
        <v>#REF!</v>
      </c>
      <c r="BRG28" s="234" t="e">
        <f>astrogrep_path&amp;" /e /r /s /spath="&amp;search_path&amp;" /stypes=""app*"&amp;BQC28&amp;"*"&amp;TEXT(BQJ28-utc_offset/24,"YYYYMMDD")&amp;"*"" /stext="" "&amp;TEXT(BQJ28-utc_offset/24,"HH")&amp;search_regexp&amp;""""</f>
        <v>#REF!</v>
      </c>
      <c r="BRH28" s="234" t="e">
        <f>astrogrep_path&amp;" /e /r /s /spath="&amp;search_path&amp;" /stypes=""app*"&amp;BQD28&amp;"*"&amp;TEXT(BQK28-utc_offset/24,"YYYYMMDD")&amp;"*"" /stext="" "&amp;TEXT(BQK28-utc_offset/24,"HH")&amp;search_regexp&amp;""""</f>
        <v>#REF!</v>
      </c>
      <c r="BRI28" s="234" t="e">
        <f>astrogrep_path&amp;" /e /r /s /spath="&amp;search_path&amp;" /stypes=""app*"&amp;BQE28&amp;"*"&amp;TEXT(BQL28-utc_offset/24,"YYYYMMDD")&amp;"*"" /stext="" "&amp;TEXT(BQL28-utc_offset/24,"HH")&amp;search_regexp&amp;""""</f>
        <v>#REF!</v>
      </c>
      <c r="BRJ28" s="234" t="e">
        <f>astrogrep_path&amp;" /e /r /s /spath="&amp;search_path&amp;" /stypes=""app*"&amp;BQF28&amp;"*"&amp;TEXT(BQM28-utc_offset/24,"YYYYMMDD")&amp;"*"" /stext="" "&amp;TEXT(BQM28-utc_offset/24,"HH")&amp;search_regexp&amp;""""</f>
        <v>#REF!</v>
      </c>
      <c r="BRK28" s="234" t="e">
        <f>astrogrep_path&amp;" /e /r /s /spath="&amp;search_path&amp;" /stypes=""app*"&amp;BQG28&amp;"*"&amp;TEXT(BQN28-utc_offset/24,"YYYYMMDD")&amp;"*"" /stext="" "&amp;TEXT(BQN28-utc_offset/24,"HH")&amp;search_regexp&amp;""""</f>
        <v>#VALUE!</v>
      </c>
      <c r="BRL28" s="234" t="e">
        <f>astrogrep_path&amp;" /e /r /s /spath="&amp;search_path&amp;" /stypes=""app*"&amp;BQH28&amp;"*"&amp;TEXT(BQO28-utc_offset/24,"YYYYMMDD")&amp;"*"" /stext="" "&amp;TEXT(BQO28-utc_offset/24,"HH")&amp;search_regexp&amp;""""</f>
        <v>#VALUE!</v>
      </c>
      <c r="BRM28" s="234" t="e">
        <f>astrogrep_path&amp;" /e /r /s /spath="&amp;search_path&amp;" /stypes=""app*"&amp;BQI28&amp;"*"&amp;TEXT(BQP28-utc_offset/24,"YYYYMMDD")&amp;"*"" /stext="" "&amp;TEXT(BQP28-utc_offset/24,"HH")&amp;search_regexp&amp;""""</f>
        <v>#REF!</v>
      </c>
      <c r="BRN28" s="234" t="e">
        <f>astrogrep_path&amp;" /e /r /s /spath="&amp;search_path&amp;" /stypes=""app*"&amp;BQJ28&amp;"*"&amp;TEXT(BQQ28-utc_offset/24,"YYYYMMDD")&amp;"*"" /stext="" "&amp;TEXT(BQQ28-utc_offset/24,"HH")&amp;search_regexp&amp;""""</f>
        <v>#REF!</v>
      </c>
      <c r="BRO28" s="234" t="e">
        <f>astrogrep_path&amp;" /e /r /s /spath="&amp;search_path&amp;" /stypes=""app*"&amp;BQK28&amp;"*"&amp;TEXT(BQR28-utc_offset/24,"YYYYMMDD")&amp;"*"" /stext="" "&amp;TEXT(BQR28-utc_offset/24,"HH")&amp;search_regexp&amp;""""</f>
        <v>#VALUE!</v>
      </c>
      <c r="BRP28" s="234" t="e">
        <f>astrogrep_path&amp;" /e /r /s /spath="&amp;search_path&amp;" /stypes=""app*"&amp;BQL28&amp;"*"&amp;TEXT(BQS28-utc_offset/24,"YYYYMMDD")&amp;"*"" /stext="" "&amp;TEXT(BQS28-utc_offset/24,"HH")&amp;search_regexp&amp;""""</f>
        <v>#VALUE!</v>
      </c>
      <c r="BRQ28" s="234" t="e">
        <f>astrogrep_path&amp;" /e /r /s /spath="&amp;search_path&amp;" /stypes=""app*"&amp;BQM28&amp;"*"&amp;TEXT(BQT28-utc_offset/24,"YYYYMMDD")&amp;"*"" /stext="" "&amp;TEXT(BQT28-utc_offset/24,"HH")&amp;search_regexp&amp;""""</f>
        <v>#VALUE!</v>
      </c>
      <c r="BRR28" s="234" t="e">
        <f>astrogrep_path&amp;" /e /r /s /spath="&amp;search_path&amp;" /stypes=""app*"&amp;BQN28&amp;"*"&amp;TEXT(BQU28-utc_offset/24,"YYYYMMDD")&amp;"*"" /stext="" "&amp;TEXT(BQU28-utc_offset/24,"HH")&amp;search_regexp&amp;""""</f>
        <v>#VALUE!</v>
      </c>
      <c r="BRS28" s="234" t="e">
        <f>astrogrep_path&amp;" /e /r /s /spath="&amp;search_path&amp;" /stypes=""app*"&amp;BQO28&amp;"*"&amp;TEXT(BQV28-utc_offset/24,"YYYYMMDD")&amp;"*"" /stext="" "&amp;TEXT(BQV28-utc_offset/24,"HH")&amp;search_regexp&amp;""""</f>
        <v>#VALUE!</v>
      </c>
      <c r="BRT28" s="234" t="e">
        <f>astrogrep_path&amp;" /e /r /s /spath="&amp;search_path&amp;" /stypes=""app*"&amp;BQP28&amp;"*"&amp;TEXT(BQW28-utc_offset/24,"YYYYMMDD")&amp;"*"" /stext="" "&amp;TEXT(BQW28-utc_offset/24,"HH")&amp;search_regexp&amp;""""</f>
        <v>#REF!</v>
      </c>
      <c r="BRU28" s="234" t="e">
        <f>astrogrep_path&amp;" /e /r /s /spath="&amp;search_path&amp;" /stypes=""app*"&amp;BQQ28&amp;"*"&amp;TEXT(BQX28-utc_offset/24,"YYYYMMDD")&amp;"*"" /stext="" "&amp;TEXT(BQX28-utc_offset/24,"HH")&amp;search_regexp&amp;""""</f>
        <v>#REF!</v>
      </c>
      <c r="BRV28" s="234" t="e">
        <f>astrogrep_path&amp;" /e /r /s /spath="&amp;search_path&amp;" /stypes=""app*"&amp;BQR28&amp;"*"&amp;TEXT(BQY28-utc_offset/24,"YYYYMMDD")&amp;"*"" /stext="" "&amp;TEXT(BQY28-utc_offset/24,"HH")&amp;search_regexp&amp;""""</f>
        <v>#REF!</v>
      </c>
      <c r="BRW28" s="234" t="e">
        <f>astrogrep_path&amp;" /e /r /s /spath="&amp;search_path&amp;" /stypes=""app*"&amp;BQS28&amp;"*"&amp;TEXT(BQZ28-utc_offset/24,"YYYYMMDD")&amp;"*"" /stext="" "&amp;TEXT(BQZ28-utc_offset/24,"HH")&amp;search_regexp&amp;""""</f>
        <v>#REF!</v>
      </c>
      <c r="BRX28" s="234" t="e">
        <f>astrogrep_path&amp;" /e /r /s /spath="&amp;search_path&amp;" /stypes=""app*"&amp;BQT28&amp;"*"&amp;TEXT(BRA28-utc_offset/24,"YYYYMMDD")&amp;"*"" /stext="" "&amp;TEXT(BRA28-utc_offset/24,"HH")&amp;search_regexp&amp;""""</f>
        <v>#REF!</v>
      </c>
      <c r="BRY28" s="234" t="e">
        <f>astrogrep_path&amp;" /e /r /s /spath="&amp;search_path&amp;" /stypes=""app*"&amp;BQU28&amp;"*"&amp;TEXT(BRB28-utc_offset/24,"YYYYMMDD")&amp;"*"" /stext="" "&amp;TEXT(BRB28-utc_offset/24,"HH")&amp;search_regexp&amp;""""</f>
        <v>#REF!</v>
      </c>
      <c r="BRZ28" s="234" t="e">
        <f>astrogrep_path&amp;" /e /r /s /spath="&amp;search_path&amp;" /stypes=""app*"&amp;BQV28&amp;"*"&amp;TEXT(BRC28-utc_offset/24,"YYYYMMDD")&amp;"*"" /stext="" "&amp;TEXT(BRC28-utc_offset/24,"HH")&amp;search_regexp&amp;""""</f>
        <v>#REF!</v>
      </c>
      <c r="BSA28" s="234" t="e">
        <f>astrogrep_path&amp;" /e /r /s /spath="&amp;search_path&amp;" /stypes=""app*"&amp;BQW28&amp;"*"&amp;TEXT(BRD28-utc_offset/24,"YYYYMMDD")&amp;"*"" /stext="" "&amp;TEXT(BRD28-utc_offset/24,"HH")&amp;search_regexp&amp;""""</f>
        <v>#REF!</v>
      </c>
      <c r="BSB28" s="234" t="e">
        <f>astrogrep_path&amp;" /e /r /s /spath="&amp;search_path&amp;" /stypes=""app*"&amp;BQX28&amp;"*"&amp;TEXT(BRE28-utc_offset/24,"YYYYMMDD")&amp;"*"" /stext="" "&amp;TEXT(BRE28-utc_offset/24,"HH")&amp;search_regexp&amp;""""</f>
        <v>#REF!</v>
      </c>
      <c r="BSC28" s="234" t="e">
        <f>astrogrep_path&amp;" /e /r /s /spath="&amp;search_path&amp;" /stypes=""app*"&amp;BQY28&amp;"*"&amp;TEXT(BRF28-utc_offset/24,"YYYYMMDD")&amp;"*"" /stext="" "&amp;TEXT(BRF28-utc_offset/24,"HH")&amp;search_regexp&amp;""""</f>
        <v>#REF!</v>
      </c>
      <c r="BSD28" s="234" t="e">
        <f>astrogrep_path&amp;" /e /r /s /spath="&amp;search_path&amp;" /stypes=""app*"&amp;BQZ28&amp;"*"&amp;TEXT(BRG28-utc_offset/24,"YYYYMMDD")&amp;"*"" /stext="" "&amp;TEXT(BRG28-utc_offset/24,"HH")&amp;search_regexp&amp;""""</f>
        <v>#REF!</v>
      </c>
      <c r="BSE28" s="234" t="e">
        <f>astrogrep_path&amp;" /e /r /s /spath="&amp;search_path&amp;" /stypes=""app*"&amp;BRA28&amp;"*"&amp;TEXT(BRH28-utc_offset/24,"YYYYMMDD")&amp;"*"" /stext="" "&amp;TEXT(BRH28-utc_offset/24,"HH")&amp;search_regexp&amp;""""</f>
        <v>#REF!</v>
      </c>
      <c r="BSF28" s="234" t="e">
        <f>astrogrep_path&amp;" /e /r /s /spath="&amp;search_path&amp;" /stypes=""app*"&amp;BRB28&amp;"*"&amp;TEXT(BRI28-utc_offset/24,"YYYYMMDD")&amp;"*"" /stext="" "&amp;TEXT(BRI28-utc_offset/24,"HH")&amp;search_regexp&amp;""""</f>
        <v>#REF!</v>
      </c>
      <c r="BSG28" s="234" t="e">
        <f>astrogrep_path&amp;" /e /r /s /spath="&amp;search_path&amp;" /stypes=""app*"&amp;BRC28&amp;"*"&amp;TEXT(BRJ28-utc_offset/24,"YYYYMMDD")&amp;"*"" /stext="" "&amp;TEXT(BRJ28-utc_offset/24,"HH")&amp;search_regexp&amp;""""</f>
        <v>#REF!</v>
      </c>
      <c r="BSH28" s="234" t="e">
        <f>astrogrep_path&amp;" /e /r /s /spath="&amp;search_path&amp;" /stypes=""app*"&amp;BRD28&amp;"*"&amp;TEXT(BRK28-utc_offset/24,"YYYYMMDD")&amp;"*"" /stext="" "&amp;TEXT(BRK28-utc_offset/24,"HH")&amp;search_regexp&amp;""""</f>
        <v>#REF!</v>
      </c>
      <c r="BSI28" s="234" t="e">
        <f>astrogrep_path&amp;" /e /r /s /spath="&amp;search_path&amp;" /stypes=""app*"&amp;BRE28&amp;"*"&amp;TEXT(BRL28-utc_offset/24,"YYYYMMDD")&amp;"*"" /stext="" "&amp;TEXT(BRL28-utc_offset/24,"HH")&amp;search_regexp&amp;""""</f>
        <v>#REF!</v>
      </c>
      <c r="BSJ28" s="234" t="e">
        <f>astrogrep_path&amp;" /e /r /s /spath="&amp;search_path&amp;" /stypes=""app*"&amp;BRF28&amp;"*"&amp;TEXT(BRM28-utc_offset/24,"YYYYMMDD")&amp;"*"" /stext="" "&amp;TEXT(BRM28-utc_offset/24,"HH")&amp;search_regexp&amp;""""</f>
        <v>#REF!</v>
      </c>
      <c r="BSK28" s="234" t="e">
        <f>astrogrep_path&amp;" /e /r /s /spath="&amp;search_path&amp;" /stypes=""app*"&amp;BRG28&amp;"*"&amp;TEXT(BRN28-utc_offset/24,"YYYYMMDD")&amp;"*"" /stext="" "&amp;TEXT(BRN28-utc_offset/24,"HH")&amp;search_regexp&amp;""""</f>
        <v>#REF!</v>
      </c>
      <c r="BSL28" s="234" t="e">
        <f>astrogrep_path&amp;" /e /r /s /spath="&amp;search_path&amp;" /stypes=""app*"&amp;BRH28&amp;"*"&amp;TEXT(BRO28-utc_offset/24,"YYYYMMDD")&amp;"*"" /stext="" "&amp;TEXT(BRO28-utc_offset/24,"HH")&amp;search_regexp&amp;""""</f>
        <v>#REF!</v>
      </c>
      <c r="BSM28" s="234" t="e">
        <f>astrogrep_path&amp;" /e /r /s /spath="&amp;search_path&amp;" /stypes=""app*"&amp;BRI28&amp;"*"&amp;TEXT(BRP28-utc_offset/24,"YYYYMMDD")&amp;"*"" /stext="" "&amp;TEXT(BRP28-utc_offset/24,"HH")&amp;search_regexp&amp;""""</f>
        <v>#REF!</v>
      </c>
      <c r="BSN28" s="234" t="e">
        <f>astrogrep_path&amp;" /e /r /s /spath="&amp;search_path&amp;" /stypes=""app*"&amp;BRJ28&amp;"*"&amp;TEXT(BRQ28-utc_offset/24,"YYYYMMDD")&amp;"*"" /stext="" "&amp;TEXT(BRQ28-utc_offset/24,"HH")&amp;search_regexp&amp;""""</f>
        <v>#REF!</v>
      </c>
      <c r="BSO28" s="234" t="e">
        <f>astrogrep_path&amp;" /e /r /s /spath="&amp;search_path&amp;" /stypes=""app*"&amp;BRK28&amp;"*"&amp;TEXT(BRR28-utc_offset/24,"YYYYMMDD")&amp;"*"" /stext="" "&amp;TEXT(BRR28-utc_offset/24,"HH")&amp;search_regexp&amp;""""</f>
        <v>#VALUE!</v>
      </c>
      <c r="BSP28" s="234" t="e">
        <f>astrogrep_path&amp;" /e /r /s /spath="&amp;search_path&amp;" /stypes=""app*"&amp;BRL28&amp;"*"&amp;TEXT(BRS28-utc_offset/24,"YYYYMMDD")&amp;"*"" /stext="" "&amp;TEXT(BRS28-utc_offset/24,"HH")&amp;search_regexp&amp;""""</f>
        <v>#VALUE!</v>
      </c>
      <c r="BSQ28" s="234" t="e">
        <f>astrogrep_path&amp;" /e /r /s /spath="&amp;search_path&amp;" /stypes=""app*"&amp;BRM28&amp;"*"&amp;TEXT(BRT28-utc_offset/24,"YYYYMMDD")&amp;"*"" /stext="" "&amp;TEXT(BRT28-utc_offset/24,"HH")&amp;search_regexp&amp;""""</f>
        <v>#REF!</v>
      </c>
      <c r="BSR28" s="234" t="e">
        <f>astrogrep_path&amp;" /e /r /s /spath="&amp;search_path&amp;" /stypes=""app*"&amp;BRN28&amp;"*"&amp;TEXT(BRU28-utc_offset/24,"YYYYMMDD")&amp;"*"" /stext="" "&amp;TEXT(BRU28-utc_offset/24,"HH")&amp;search_regexp&amp;""""</f>
        <v>#REF!</v>
      </c>
      <c r="BSS28" s="234" t="e">
        <f>astrogrep_path&amp;" /e /r /s /spath="&amp;search_path&amp;" /stypes=""app*"&amp;BRO28&amp;"*"&amp;TEXT(BRV28-utc_offset/24,"YYYYMMDD")&amp;"*"" /stext="" "&amp;TEXT(BRV28-utc_offset/24,"HH")&amp;search_regexp&amp;""""</f>
        <v>#VALUE!</v>
      </c>
      <c r="BST28" s="234" t="e">
        <f>astrogrep_path&amp;" /e /r /s /spath="&amp;search_path&amp;" /stypes=""app*"&amp;BRP28&amp;"*"&amp;TEXT(BRW28-utc_offset/24,"YYYYMMDD")&amp;"*"" /stext="" "&amp;TEXT(BRW28-utc_offset/24,"HH")&amp;search_regexp&amp;""""</f>
        <v>#VALUE!</v>
      </c>
      <c r="BSU28" s="234" t="e">
        <f>astrogrep_path&amp;" /e /r /s /spath="&amp;search_path&amp;" /stypes=""app*"&amp;BRQ28&amp;"*"&amp;TEXT(BRX28-utc_offset/24,"YYYYMMDD")&amp;"*"" /stext="" "&amp;TEXT(BRX28-utc_offset/24,"HH")&amp;search_regexp&amp;""""</f>
        <v>#VALUE!</v>
      </c>
      <c r="BSV28" s="234" t="e">
        <f>astrogrep_path&amp;" /e /r /s /spath="&amp;search_path&amp;" /stypes=""app*"&amp;BRR28&amp;"*"&amp;TEXT(BRY28-utc_offset/24,"YYYYMMDD")&amp;"*"" /stext="" "&amp;TEXT(BRY28-utc_offset/24,"HH")&amp;search_regexp&amp;""""</f>
        <v>#VALUE!</v>
      </c>
      <c r="BSW28" s="234" t="e">
        <f>astrogrep_path&amp;" /e /r /s /spath="&amp;search_path&amp;" /stypes=""app*"&amp;BRS28&amp;"*"&amp;TEXT(BRZ28-utc_offset/24,"YYYYMMDD")&amp;"*"" /stext="" "&amp;TEXT(BRZ28-utc_offset/24,"HH")&amp;search_regexp&amp;""""</f>
        <v>#VALUE!</v>
      </c>
      <c r="BSX28" s="234" t="e">
        <f>astrogrep_path&amp;" /e /r /s /spath="&amp;search_path&amp;" /stypes=""app*"&amp;BRT28&amp;"*"&amp;TEXT(BSA28-utc_offset/24,"YYYYMMDD")&amp;"*"" /stext="" "&amp;TEXT(BSA28-utc_offset/24,"HH")&amp;search_regexp&amp;""""</f>
        <v>#REF!</v>
      </c>
      <c r="BSY28" s="234" t="e">
        <f>astrogrep_path&amp;" /e /r /s /spath="&amp;search_path&amp;" /stypes=""app*"&amp;BRU28&amp;"*"&amp;TEXT(BSB28-utc_offset/24,"YYYYMMDD")&amp;"*"" /stext="" "&amp;TEXT(BSB28-utc_offset/24,"HH")&amp;search_regexp&amp;""""</f>
        <v>#REF!</v>
      </c>
      <c r="BSZ28" s="234" t="e">
        <f>astrogrep_path&amp;" /e /r /s /spath="&amp;search_path&amp;" /stypes=""app*"&amp;BRV28&amp;"*"&amp;TEXT(BSC28-utc_offset/24,"YYYYMMDD")&amp;"*"" /stext="" "&amp;TEXT(BSC28-utc_offset/24,"HH")&amp;search_regexp&amp;""""</f>
        <v>#REF!</v>
      </c>
      <c r="BTA28" s="234" t="e">
        <f>astrogrep_path&amp;" /e /r /s /spath="&amp;search_path&amp;" /stypes=""app*"&amp;BRW28&amp;"*"&amp;TEXT(BSD28-utc_offset/24,"YYYYMMDD")&amp;"*"" /stext="" "&amp;TEXT(BSD28-utc_offset/24,"HH")&amp;search_regexp&amp;""""</f>
        <v>#REF!</v>
      </c>
      <c r="BTB28" s="234" t="e">
        <f>astrogrep_path&amp;" /e /r /s /spath="&amp;search_path&amp;" /stypes=""app*"&amp;BRX28&amp;"*"&amp;TEXT(BSE28-utc_offset/24,"YYYYMMDD")&amp;"*"" /stext="" "&amp;TEXT(BSE28-utc_offset/24,"HH")&amp;search_regexp&amp;""""</f>
        <v>#REF!</v>
      </c>
      <c r="BTC28" s="234" t="e">
        <f>astrogrep_path&amp;" /e /r /s /spath="&amp;search_path&amp;" /stypes=""app*"&amp;BRY28&amp;"*"&amp;TEXT(BSF28-utc_offset/24,"YYYYMMDD")&amp;"*"" /stext="" "&amp;TEXT(BSF28-utc_offset/24,"HH")&amp;search_regexp&amp;""""</f>
        <v>#REF!</v>
      </c>
      <c r="BTD28" s="234" t="e">
        <f>astrogrep_path&amp;" /e /r /s /spath="&amp;search_path&amp;" /stypes=""app*"&amp;BRZ28&amp;"*"&amp;TEXT(BSG28-utc_offset/24,"YYYYMMDD")&amp;"*"" /stext="" "&amp;TEXT(BSG28-utc_offset/24,"HH")&amp;search_regexp&amp;""""</f>
        <v>#REF!</v>
      </c>
      <c r="BTE28" s="234" t="e">
        <f>astrogrep_path&amp;" /e /r /s /spath="&amp;search_path&amp;" /stypes=""app*"&amp;BSA28&amp;"*"&amp;TEXT(BSH28-utc_offset/24,"YYYYMMDD")&amp;"*"" /stext="" "&amp;TEXT(BSH28-utc_offset/24,"HH")&amp;search_regexp&amp;""""</f>
        <v>#REF!</v>
      </c>
      <c r="BTF28" s="234" t="e">
        <f>astrogrep_path&amp;" /e /r /s /spath="&amp;search_path&amp;" /stypes=""app*"&amp;BSB28&amp;"*"&amp;TEXT(BSI28-utc_offset/24,"YYYYMMDD")&amp;"*"" /stext="" "&amp;TEXT(BSI28-utc_offset/24,"HH")&amp;search_regexp&amp;""""</f>
        <v>#REF!</v>
      </c>
      <c r="BTG28" s="234" t="e">
        <f>astrogrep_path&amp;" /e /r /s /spath="&amp;search_path&amp;" /stypes=""app*"&amp;BSC28&amp;"*"&amp;TEXT(BSJ28-utc_offset/24,"YYYYMMDD")&amp;"*"" /stext="" "&amp;TEXT(BSJ28-utc_offset/24,"HH")&amp;search_regexp&amp;""""</f>
        <v>#REF!</v>
      </c>
      <c r="BTH28" s="234" t="e">
        <f>astrogrep_path&amp;" /e /r /s /spath="&amp;search_path&amp;" /stypes=""app*"&amp;BSD28&amp;"*"&amp;TEXT(BSK28-utc_offset/24,"YYYYMMDD")&amp;"*"" /stext="" "&amp;TEXT(BSK28-utc_offset/24,"HH")&amp;search_regexp&amp;""""</f>
        <v>#REF!</v>
      </c>
      <c r="BTI28" s="234" t="e">
        <f>astrogrep_path&amp;" /e /r /s /spath="&amp;search_path&amp;" /stypes=""app*"&amp;BSE28&amp;"*"&amp;TEXT(BSL28-utc_offset/24,"YYYYMMDD")&amp;"*"" /stext="" "&amp;TEXT(BSL28-utc_offset/24,"HH")&amp;search_regexp&amp;""""</f>
        <v>#REF!</v>
      </c>
      <c r="BTJ28" s="234" t="e">
        <f>astrogrep_path&amp;" /e /r /s /spath="&amp;search_path&amp;" /stypes=""app*"&amp;BSF28&amp;"*"&amp;TEXT(BSM28-utc_offset/24,"YYYYMMDD")&amp;"*"" /stext="" "&amp;TEXT(BSM28-utc_offset/24,"HH")&amp;search_regexp&amp;""""</f>
        <v>#REF!</v>
      </c>
      <c r="BTK28" s="234" t="e">
        <f>astrogrep_path&amp;" /e /r /s /spath="&amp;search_path&amp;" /stypes=""app*"&amp;BSG28&amp;"*"&amp;TEXT(BSN28-utc_offset/24,"YYYYMMDD")&amp;"*"" /stext="" "&amp;TEXT(BSN28-utc_offset/24,"HH")&amp;search_regexp&amp;""""</f>
        <v>#REF!</v>
      </c>
      <c r="BTL28" s="234" t="e">
        <f>astrogrep_path&amp;" /e /r /s /spath="&amp;search_path&amp;" /stypes=""app*"&amp;BSH28&amp;"*"&amp;TEXT(BSO28-utc_offset/24,"YYYYMMDD")&amp;"*"" /stext="" "&amp;TEXT(BSO28-utc_offset/24,"HH")&amp;search_regexp&amp;""""</f>
        <v>#REF!</v>
      </c>
      <c r="BTM28" s="234" t="e">
        <f>astrogrep_path&amp;" /e /r /s /spath="&amp;search_path&amp;" /stypes=""app*"&amp;BSI28&amp;"*"&amp;TEXT(BSP28-utc_offset/24,"YYYYMMDD")&amp;"*"" /stext="" "&amp;TEXT(BSP28-utc_offset/24,"HH")&amp;search_regexp&amp;""""</f>
        <v>#REF!</v>
      </c>
      <c r="BTN28" s="234" t="e">
        <f>astrogrep_path&amp;" /e /r /s /spath="&amp;search_path&amp;" /stypes=""app*"&amp;BSJ28&amp;"*"&amp;TEXT(BSQ28-utc_offset/24,"YYYYMMDD")&amp;"*"" /stext="" "&amp;TEXT(BSQ28-utc_offset/24,"HH")&amp;search_regexp&amp;""""</f>
        <v>#REF!</v>
      </c>
      <c r="BTO28" s="234" t="e">
        <f>astrogrep_path&amp;" /e /r /s /spath="&amp;search_path&amp;" /stypes=""app*"&amp;BSK28&amp;"*"&amp;TEXT(BSR28-utc_offset/24,"YYYYMMDD")&amp;"*"" /stext="" "&amp;TEXT(BSR28-utc_offset/24,"HH")&amp;search_regexp&amp;""""</f>
        <v>#REF!</v>
      </c>
      <c r="BTP28" s="234" t="e">
        <f>astrogrep_path&amp;" /e /r /s /spath="&amp;search_path&amp;" /stypes=""app*"&amp;BSL28&amp;"*"&amp;TEXT(BSS28-utc_offset/24,"YYYYMMDD")&amp;"*"" /stext="" "&amp;TEXT(BSS28-utc_offset/24,"HH")&amp;search_regexp&amp;""""</f>
        <v>#REF!</v>
      </c>
      <c r="BTQ28" s="234" t="e">
        <f>astrogrep_path&amp;" /e /r /s /spath="&amp;search_path&amp;" /stypes=""app*"&amp;BSM28&amp;"*"&amp;TEXT(BST28-utc_offset/24,"YYYYMMDD")&amp;"*"" /stext="" "&amp;TEXT(BST28-utc_offset/24,"HH")&amp;search_regexp&amp;""""</f>
        <v>#REF!</v>
      </c>
      <c r="BTR28" s="234" t="e">
        <f>astrogrep_path&amp;" /e /r /s /spath="&amp;search_path&amp;" /stypes=""app*"&amp;BSN28&amp;"*"&amp;TEXT(BSU28-utc_offset/24,"YYYYMMDD")&amp;"*"" /stext="" "&amp;TEXT(BSU28-utc_offset/24,"HH")&amp;search_regexp&amp;""""</f>
        <v>#REF!</v>
      </c>
      <c r="BTS28" s="234" t="e">
        <f>astrogrep_path&amp;" /e /r /s /spath="&amp;search_path&amp;" /stypes=""app*"&amp;BSO28&amp;"*"&amp;TEXT(BSV28-utc_offset/24,"YYYYMMDD")&amp;"*"" /stext="" "&amp;TEXT(BSV28-utc_offset/24,"HH")&amp;search_regexp&amp;""""</f>
        <v>#VALUE!</v>
      </c>
      <c r="BTT28" s="234" t="e">
        <f>astrogrep_path&amp;" /e /r /s /spath="&amp;search_path&amp;" /stypes=""app*"&amp;BSP28&amp;"*"&amp;TEXT(BSW28-utc_offset/24,"YYYYMMDD")&amp;"*"" /stext="" "&amp;TEXT(BSW28-utc_offset/24,"HH")&amp;search_regexp&amp;""""</f>
        <v>#VALUE!</v>
      </c>
      <c r="BTU28" s="234" t="e">
        <f>astrogrep_path&amp;" /e /r /s /spath="&amp;search_path&amp;" /stypes=""app*"&amp;BSQ28&amp;"*"&amp;TEXT(BSX28-utc_offset/24,"YYYYMMDD")&amp;"*"" /stext="" "&amp;TEXT(BSX28-utc_offset/24,"HH")&amp;search_regexp&amp;""""</f>
        <v>#REF!</v>
      </c>
      <c r="BTV28" s="234" t="e">
        <f>astrogrep_path&amp;" /e /r /s /spath="&amp;search_path&amp;" /stypes=""app*"&amp;BSR28&amp;"*"&amp;TEXT(BSY28-utc_offset/24,"YYYYMMDD")&amp;"*"" /stext="" "&amp;TEXT(BSY28-utc_offset/24,"HH")&amp;search_regexp&amp;""""</f>
        <v>#REF!</v>
      </c>
      <c r="BTW28" s="234" t="e">
        <f>astrogrep_path&amp;" /e /r /s /spath="&amp;search_path&amp;" /stypes=""app*"&amp;BSS28&amp;"*"&amp;TEXT(BSZ28-utc_offset/24,"YYYYMMDD")&amp;"*"" /stext="" "&amp;TEXT(BSZ28-utc_offset/24,"HH")&amp;search_regexp&amp;""""</f>
        <v>#VALUE!</v>
      </c>
      <c r="BTX28" s="234" t="e">
        <f>astrogrep_path&amp;" /e /r /s /spath="&amp;search_path&amp;" /stypes=""app*"&amp;BST28&amp;"*"&amp;TEXT(BTA28-utc_offset/24,"YYYYMMDD")&amp;"*"" /stext="" "&amp;TEXT(BTA28-utc_offset/24,"HH")&amp;search_regexp&amp;""""</f>
        <v>#VALUE!</v>
      </c>
      <c r="BTY28" s="234" t="e">
        <f>astrogrep_path&amp;" /e /r /s /spath="&amp;search_path&amp;" /stypes=""app*"&amp;BSU28&amp;"*"&amp;TEXT(BTB28-utc_offset/24,"YYYYMMDD")&amp;"*"" /stext="" "&amp;TEXT(BTB28-utc_offset/24,"HH")&amp;search_regexp&amp;""""</f>
        <v>#VALUE!</v>
      </c>
      <c r="BTZ28" s="234" t="e">
        <f>astrogrep_path&amp;" /e /r /s /spath="&amp;search_path&amp;" /stypes=""app*"&amp;BSV28&amp;"*"&amp;TEXT(BTC28-utc_offset/24,"YYYYMMDD")&amp;"*"" /stext="" "&amp;TEXT(BTC28-utc_offset/24,"HH")&amp;search_regexp&amp;""""</f>
        <v>#VALUE!</v>
      </c>
      <c r="BUA28" s="234" t="e">
        <f>astrogrep_path&amp;" /e /r /s /spath="&amp;search_path&amp;" /stypes=""app*"&amp;BSW28&amp;"*"&amp;TEXT(BTD28-utc_offset/24,"YYYYMMDD")&amp;"*"" /stext="" "&amp;TEXT(BTD28-utc_offset/24,"HH")&amp;search_regexp&amp;""""</f>
        <v>#VALUE!</v>
      </c>
      <c r="BUB28" s="234" t="e">
        <f>astrogrep_path&amp;" /e /r /s /spath="&amp;search_path&amp;" /stypes=""app*"&amp;BSX28&amp;"*"&amp;TEXT(BTE28-utc_offset/24,"YYYYMMDD")&amp;"*"" /stext="" "&amp;TEXT(BTE28-utc_offset/24,"HH")&amp;search_regexp&amp;""""</f>
        <v>#REF!</v>
      </c>
      <c r="BUC28" s="234" t="e">
        <f>astrogrep_path&amp;" /e /r /s /spath="&amp;search_path&amp;" /stypes=""app*"&amp;BSY28&amp;"*"&amp;TEXT(BTF28-utc_offset/24,"YYYYMMDD")&amp;"*"" /stext="" "&amp;TEXT(BTF28-utc_offset/24,"HH")&amp;search_regexp&amp;""""</f>
        <v>#REF!</v>
      </c>
      <c r="BUD28" s="234" t="e">
        <f>astrogrep_path&amp;" /e /r /s /spath="&amp;search_path&amp;" /stypes=""app*"&amp;BSZ28&amp;"*"&amp;TEXT(BTG28-utc_offset/24,"YYYYMMDD")&amp;"*"" /stext="" "&amp;TEXT(BTG28-utc_offset/24,"HH")&amp;search_regexp&amp;""""</f>
        <v>#REF!</v>
      </c>
      <c r="BUE28" s="234" t="e">
        <f>astrogrep_path&amp;" /e /r /s /spath="&amp;search_path&amp;" /stypes=""app*"&amp;BTA28&amp;"*"&amp;TEXT(BTH28-utc_offset/24,"YYYYMMDD")&amp;"*"" /stext="" "&amp;TEXT(BTH28-utc_offset/24,"HH")&amp;search_regexp&amp;""""</f>
        <v>#REF!</v>
      </c>
      <c r="BUF28" s="234" t="e">
        <f>astrogrep_path&amp;" /e /r /s /spath="&amp;search_path&amp;" /stypes=""app*"&amp;BTB28&amp;"*"&amp;TEXT(BTI28-utc_offset/24,"YYYYMMDD")&amp;"*"" /stext="" "&amp;TEXT(BTI28-utc_offset/24,"HH")&amp;search_regexp&amp;""""</f>
        <v>#REF!</v>
      </c>
      <c r="BUG28" s="234" t="e">
        <f>astrogrep_path&amp;" /e /r /s /spath="&amp;search_path&amp;" /stypes=""app*"&amp;BTC28&amp;"*"&amp;TEXT(BTJ28-utc_offset/24,"YYYYMMDD")&amp;"*"" /stext="" "&amp;TEXT(BTJ28-utc_offset/24,"HH")&amp;search_regexp&amp;""""</f>
        <v>#REF!</v>
      </c>
      <c r="BUH28" s="234" t="e">
        <f>astrogrep_path&amp;" /e /r /s /spath="&amp;search_path&amp;" /stypes=""app*"&amp;BTD28&amp;"*"&amp;TEXT(BTK28-utc_offset/24,"YYYYMMDD")&amp;"*"" /stext="" "&amp;TEXT(BTK28-utc_offset/24,"HH")&amp;search_regexp&amp;""""</f>
        <v>#REF!</v>
      </c>
      <c r="BUI28" s="234" t="e">
        <f>astrogrep_path&amp;" /e /r /s /spath="&amp;search_path&amp;" /stypes=""app*"&amp;BTE28&amp;"*"&amp;TEXT(BTL28-utc_offset/24,"YYYYMMDD")&amp;"*"" /stext="" "&amp;TEXT(BTL28-utc_offset/24,"HH")&amp;search_regexp&amp;""""</f>
        <v>#REF!</v>
      </c>
      <c r="BUJ28" s="234" t="e">
        <f>astrogrep_path&amp;" /e /r /s /spath="&amp;search_path&amp;" /stypes=""app*"&amp;BTF28&amp;"*"&amp;TEXT(BTM28-utc_offset/24,"YYYYMMDD")&amp;"*"" /stext="" "&amp;TEXT(BTM28-utc_offset/24,"HH")&amp;search_regexp&amp;""""</f>
        <v>#REF!</v>
      </c>
      <c r="BUK28" s="234" t="e">
        <f>astrogrep_path&amp;" /e /r /s /spath="&amp;search_path&amp;" /stypes=""app*"&amp;BTG28&amp;"*"&amp;TEXT(BTN28-utc_offset/24,"YYYYMMDD")&amp;"*"" /stext="" "&amp;TEXT(BTN28-utc_offset/24,"HH")&amp;search_regexp&amp;""""</f>
        <v>#REF!</v>
      </c>
      <c r="BUL28" s="234" t="e">
        <f>astrogrep_path&amp;" /e /r /s /spath="&amp;search_path&amp;" /stypes=""app*"&amp;BTH28&amp;"*"&amp;TEXT(BTO28-utc_offset/24,"YYYYMMDD")&amp;"*"" /stext="" "&amp;TEXT(BTO28-utc_offset/24,"HH")&amp;search_regexp&amp;""""</f>
        <v>#REF!</v>
      </c>
      <c r="BUM28" s="234" t="e">
        <f>astrogrep_path&amp;" /e /r /s /spath="&amp;search_path&amp;" /stypes=""app*"&amp;BTI28&amp;"*"&amp;TEXT(BTP28-utc_offset/24,"YYYYMMDD")&amp;"*"" /stext="" "&amp;TEXT(BTP28-utc_offset/24,"HH")&amp;search_regexp&amp;""""</f>
        <v>#REF!</v>
      </c>
      <c r="BUN28" s="234" t="e">
        <f>astrogrep_path&amp;" /e /r /s /spath="&amp;search_path&amp;" /stypes=""app*"&amp;BTJ28&amp;"*"&amp;TEXT(BTQ28-utc_offset/24,"YYYYMMDD")&amp;"*"" /stext="" "&amp;TEXT(BTQ28-utc_offset/24,"HH")&amp;search_regexp&amp;""""</f>
        <v>#REF!</v>
      </c>
      <c r="BUO28" s="234" t="e">
        <f>astrogrep_path&amp;" /e /r /s /spath="&amp;search_path&amp;" /stypes=""app*"&amp;BTK28&amp;"*"&amp;TEXT(BTR28-utc_offset/24,"YYYYMMDD")&amp;"*"" /stext="" "&amp;TEXT(BTR28-utc_offset/24,"HH")&amp;search_regexp&amp;""""</f>
        <v>#REF!</v>
      </c>
      <c r="BUP28" s="234" t="e">
        <f>astrogrep_path&amp;" /e /r /s /spath="&amp;search_path&amp;" /stypes=""app*"&amp;BTL28&amp;"*"&amp;TEXT(BTS28-utc_offset/24,"YYYYMMDD")&amp;"*"" /stext="" "&amp;TEXT(BTS28-utc_offset/24,"HH")&amp;search_regexp&amp;""""</f>
        <v>#REF!</v>
      </c>
      <c r="BUQ28" s="234" t="e">
        <f>astrogrep_path&amp;" /e /r /s /spath="&amp;search_path&amp;" /stypes=""app*"&amp;BTM28&amp;"*"&amp;TEXT(BTT28-utc_offset/24,"YYYYMMDD")&amp;"*"" /stext="" "&amp;TEXT(BTT28-utc_offset/24,"HH")&amp;search_regexp&amp;""""</f>
        <v>#REF!</v>
      </c>
      <c r="BUR28" s="234" t="e">
        <f>astrogrep_path&amp;" /e /r /s /spath="&amp;search_path&amp;" /stypes=""app*"&amp;BTN28&amp;"*"&amp;TEXT(BTU28-utc_offset/24,"YYYYMMDD")&amp;"*"" /stext="" "&amp;TEXT(BTU28-utc_offset/24,"HH")&amp;search_regexp&amp;""""</f>
        <v>#REF!</v>
      </c>
      <c r="BUS28" s="234" t="e">
        <f>astrogrep_path&amp;" /e /r /s /spath="&amp;search_path&amp;" /stypes=""app*"&amp;BTO28&amp;"*"&amp;TEXT(BTV28-utc_offset/24,"YYYYMMDD")&amp;"*"" /stext="" "&amp;TEXT(BTV28-utc_offset/24,"HH")&amp;search_regexp&amp;""""</f>
        <v>#REF!</v>
      </c>
      <c r="BUT28" s="234" t="e">
        <f>astrogrep_path&amp;" /e /r /s /spath="&amp;search_path&amp;" /stypes=""app*"&amp;BTP28&amp;"*"&amp;TEXT(BTW28-utc_offset/24,"YYYYMMDD")&amp;"*"" /stext="" "&amp;TEXT(BTW28-utc_offset/24,"HH")&amp;search_regexp&amp;""""</f>
        <v>#REF!</v>
      </c>
      <c r="BUU28" s="234" t="e">
        <f>astrogrep_path&amp;" /e /r /s /spath="&amp;search_path&amp;" /stypes=""app*"&amp;BTQ28&amp;"*"&amp;TEXT(BTX28-utc_offset/24,"YYYYMMDD")&amp;"*"" /stext="" "&amp;TEXT(BTX28-utc_offset/24,"HH")&amp;search_regexp&amp;""""</f>
        <v>#REF!</v>
      </c>
      <c r="BUV28" s="234" t="e">
        <f>astrogrep_path&amp;" /e /r /s /spath="&amp;search_path&amp;" /stypes=""app*"&amp;BTR28&amp;"*"&amp;TEXT(BTY28-utc_offset/24,"YYYYMMDD")&amp;"*"" /stext="" "&amp;TEXT(BTY28-utc_offset/24,"HH")&amp;search_regexp&amp;""""</f>
        <v>#REF!</v>
      </c>
      <c r="BUW28" s="234" t="e">
        <f>astrogrep_path&amp;" /e /r /s /spath="&amp;search_path&amp;" /stypes=""app*"&amp;BTS28&amp;"*"&amp;TEXT(BTZ28-utc_offset/24,"YYYYMMDD")&amp;"*"" /stext="" "&amp;TEXT(BTZ28-utc_offset/24,"HH")&amp;search_regexp&amp;""""</f>
        <v>#VALUE!</v>
      </c>
      <c r="BUX28" s="234" t="e">
        <f>astrogrep_path&amp;" /e /r /s /spath="&amp;search_path&amp;" /stypes=""app*"&amp;BTT28&amp;"*"&amp;TEXT(BUA28-utc_offset/24,"YYYYMMDD")&amp;"*"" /stext="" "&amp;TEXT(BUA28-utc_offset/24,"HH")&amp;search_regexp&amp;""""</f>
        <v>#VALUE!</v>
      </c>
      <c r="BUY28" s="234" t="e">
        <f>astrogrep_path&amp;" /e /r /s /spath="&amp;search_path&amp;" /stypes=""app*"&amp;BTU28&amp;"*"&amp;TEXT(BUB28-utc_offset/24,"YYYYMMDD")&amp;"*"" /stext="" "&amp;TEXT(BUB28-utc_offset/24,"HH")&amp;search_regexp&amp;""""</f>
        <v>#REF!</v>
      </c>
      <c r="BUZ28" s="234" t="e">
        <f>astrogrep_path&amp;" /e /r /s /spath="&amp;search_path&amp;" /stypes=""app*"&amp;BTV28&amp;"*"&amp;TEXT(BUC28-utc_offset/24,"YYYYMMDD")&amp;"*"" /stext="" "&amp;TEXT(BUC28-utc_offset/24,"HH")&amp;search_regexp&amp;""""</f>
        <v>#REF!</v>
      </c>
      <c r="BVA28" s="234" t="e">
        <f>astrogrep_path&amp;" /e /r /s /spath="&amp;search_path&amp;" /stypes=""app*"&amp;BTW28&amp;"*"&amp;TEXT(BUD28-utc_offset/24,"YYYYMMDD")&amp;"*"" /stext="" "&amp;TEXT(BUD28-utc_offset/24,"HH")&amp;search_regexp&amp;""""</f>
        <v>#VALUE!</v>
      </c>
      <c r="BVB28" s="234" t="e">
        <f>astrogrep_path&amp;" /e /r /s /spath="&amp;search_path&amp;" /stypes=""app*"&amp;BTX28&amp;"*"&amp;TEXT(BUE28-utc_offset/24,"YYYYMMDD")&amp;"*"" /stext="" "&amp;TEXT(BUE28-utc_offset/24,"HH")&amp;search_regexp&amp;""""</f>
        <v>#VALUE!</v>
      </c>
      <c r="BVC28" s="234" t="e">
        <f>astrogrep_path&amp;" /e /r /s /spath="&amp;search_path&amp;" /stypes=""app*"&amp;BTY28&amp;"*"&amp;TEXT(BUF28-utc_offset/24,"YYYYMMDD")&amp;"*"" /stext="" "&amp;TEXT(BUF28-utc_offset/24,"HH")&amp;search_regexp&amp;""""</f>
        <v>#VALUE!</v>
      </c>
      <c r="BVD28" s="234" t="e">
        <f>astrogrep_path&amp;" /e /r /s /spath="&amp;search_path&amp;" /stypes=""app*"&amp;BTZ28&amp;"*"&amp;TEXT(BUG28-utc_offset/24,"YYYYMMDD")&amp;"*"" /stext="" "&amp;TEXT(BUG28-utc_offset/24,"HH")&amp;search_regexp&amp;""""</f>
        <v>#VALUE!</v>
      </c>
      <c r="BVE28" s="234" t="e">
        <f>astrogrep_path&amp;" /e /r /s /spath="&amp;search_path&amp;" /stypes=""app*"&amp;BUA28&amp;"*"&amp;TEXT(BUH28-utc_offset/24,"YYYYMMDD")&amp;"*"" /stext="" "&amp;TEXT(BUH28-utc_offset/24,"HH")&amp;search_regexp&amp;""""</f>
        <v>#VALUE!</v>
      </c>
      <c r="BVF28" s="234" t="e">
        <f>astrogrep_path&amp;" /e /r /s /spath="&amp;search_path&amp;" /stypes=""app*"&amp;BUB28&amp;"*"&amp;TEXT(BUI28-utc_offset/24,"YYYYMMDD")&amp;"*"" /stext="" "&amp;TEXT(BUI28-utc_offset/24,"HH")&amp;search_regexp&amp;""""</f>
        <v>#REF!</v>
      </c>
      <c r="BVG28" s="234" t="e">
        <f>astrogrep_path&amp;" /e /r /s /spath="&amp;search_path&amp;" /stypes=""app*"&amp;BUC28&amp;"*"&amp;TEXT(BUJ28-utc_offset/24,"YYYYMMDD")&amp;"*"" /stext="" "&amp;TEXT(BUJ28-utc_offset/24,"HH")&amp;search_regexp&amp;""""</f>
        <v>#REF!</v>
      </c>
      <c r="BVH28" s="234" t="e">
        <f>astrogrep_path&amp;" /e /r /s /spath="&amp;search_path&amp;" /stypes=""app*"&amp;BUD28&amp;"*"&amp;TEXT(BUK28-utc_offset/24,"YYYYMMDD")&amp;"*"" /stext="" "&amp;TEXT(BUK28-utc_offset/24,"HH")&amp;search_regexp&amp;""""</f>
        <v>#REF!</v>
      </c>
      <c r="BVI28" s="234" t="e">
        <f>astrogrep_path&amp;" /e /r /s /spath="&amp;search_path&amp;" /stypes=""app*"&amp;BUE28&amp;"*"&amp;TEXT(BUL28-utc_offset/24,"YYYYMMDD")&amp;"*"" /stext="" "&amp;TEXT(BUL28-utc_offset/24,"HH")&amp;search_regexp&amp;""""</f>
        <v>#REF!</v>
      </c>
      <c r="BVJ28" s="234" t="e">
        <f>astrogrep_path&amp;" /e /r /s /spath="&amp;search_path&amp;" /stypes=""app*"&amp;BUF28&amp;"*"&amp;TEXT(BUM28-utc_offset/24,"YYYYMMDD")&amp;"*"" /stext="" "&amp;TEXT(BUM28-utc_offset/24,"HH")&amp;search_regexp&amp;""""</f>
        <v>#REF!</v>
      </c>
      <c r="BVK28" s="234" t="e">
        <f>astrogrep_path&amp;" /e /r /s /spath="&amp;search_path&amp;" /stypes=""app*"&amp;BUG28&amp;"*"&amp;TEXT(BUN28-utc_offset/24,"YYYYMMDD")&amp;"*"" /stext="" "&amp;TEXT(BUN28-utc_offset/24,"HH")&amp;search_regexp&amp;""""</f>
        <v>#REF!</v>
      </c>
      <c r="BVL28" s="234" t="e">
        <f>astrogrep_path&amp;" /e /r /s /spath="&amp;search_path&amp;" /stypes=""app*"&amp;BUH28&amp;"*"&amp;TEXT(BUO28-utc_offset/24,"YYYYMMDD")&amp;"*"" /stext="" "&amp;TEXT(BUO28-utc_offset/24,"HH")&amp;search_regexp&amp;""""</f>
        <v>#REF!</v>
      </c>
      <c r="BVM28" s="234" t="e">
        <f>astrogrep_path&amp;" /e /r /s /spath="&amp;search_path&amp;" /stypes=""app*"&amp;BUI28&amp;"*"&amp;TEXT(BUP28-utc_offset/24,"YYYYMMDD")&amp;"*"" /stext="" "&amp;TEXT(BUP28-utc_offset/24,"HH")&amp;search_regexp&amp;""""</f>
        <v>#REF!</v>
      </c>
      <c r="BVN28" s="234" t="e">
        <f>astrogrep_path&amp;" /e /r /s /spath="&amp;search_path&amp;" /stypes=""app*"&amp;BUJ28&amp;"*"&amp;TEXT(BUQ28-utc_offset/24,"YYYYMMDD")&amp;"*"" /stext="" "&amp;TEXT(BUQ28-utc_offset/24,"HH")&amp;search_regexp&amp;""""</f>
        <v>#REF!</v>
      </c>
      <c r="BVO28" s="234" t="e">
        <f>astrogrep_path&amp;" /e /r /s /spath="&amp;search_path&amp;" /stypes=""app*"&amp;BUK28&amp;"*"&amp;TEXT(BUR28-utc_offset/24,"YYYYMMDD")&amp;"*"" /stext="" "&amp;TEXT(BUR28-utc_offset/24,"HH")&amp;search_regexp&amp;""""</f>
        <v>#REF!</v>
      </c>
      <c r="BVP28" s="234" t="e">
        <f>astrogrep_path&amp;" /e /r /s /spath="&amp;search_path&amp;" /stypes=""app*"&amp;BUL28&amp;"*"&amp;TEXT(BUS28-utc_offset/24,"YYYYMMDD")&amp;"*"" /stext="" "&amp;TEXT(BUS28-utc_offset/24,"HH")&amp;search_regexp&amp;""""</f>
        <v>#REF!</v>
      </c>
      <c r="BVQ28" s="234" t="e">
        <f>astrogrep_path&amp;" /e /r /s /spath="&amp;search_path&amp;" /stypes=""app*"&amp;BUM28&amp;"*"&amp;TEXT(BUT28-utc_offset/24,"YYYYMMDD")&amp;"*"" /stext="" "&amp;TEXT(BUT28-utc_offset/24,"HH")&amp;search_regexp&amp;""""</f>
        <v>#REF!</v>
      </c>
      <c r="BVR28" s="234" t="e">
        <f>astrogrep_path&amp;" /e /r /s /spath="&amp;search_path&amp;" /stypes=""app*"&amp;BUN28&amp;"*"&amp;TEXT(BUU28-utc_offset/24,"YYYYMMDD")&amp;"*"" /stext="" "&amp;TEXT(BUU28-utc_offset/24,"HH")&amp;search_regexp&amp;""""</f>
        <v>#REF!</v>
      </c>
      <c r="BVS28" s="234" t="e">
        <f>astrogrep_path&amp;" /e /r /s /spath="&amp;search_path&amp;" /stypes=""app*"&amp;BUO28&amp;"*"&amp;TEXT(BUV28-utc_offset/24,"YYYYMMDD")&amp;"*"" /stext="" "&amp;TEXT(BUV28-utc_offset/24,"HH")&amp;search_regexp&amp;""""</f>
        <v>#REF!</v>
      </c>
      <c r="BVT28" s="234" t="e">
        <f>astrogrep_path&amp;" /e /r /s /spath="&amp;search_path&amp;" /stypes=""app*"&amp;BUP28&amp;"*"&amp;TEXT(BUW28-utc_offset/24,"YYYYMMDD")&amp;"*"" /stext="" "&amp;TEXT(BUW28-utc_offset/24,"HH")&amp;search_regexp&amp;""""</f>
        <v>#REF!</v>
      </c>
      <c r="BVU28" s="234" t="e">
        <f>astrogrep_path&amp;" /e /r /s /spath="&amp;search_path&amp;" /stypes=""app*"&amp;BUQ28&amp;"*"&amp;TEXT(BUX28-utc_offset/24,"YYYYMMDD")&amp;"*"" /stext="" "&amp;TEXT(BUX28-utc_offset/24,"HH")&amp;search_regexp&amp;""""</f>
        <v>#REF!</v>
      </c>
      <c r="BVV28" s="234" t="e">
        <f>astrogrep_path&amp;" /e /r /s /spath="&amp;search_path&amp;" /stypes=""app*"&amp;BUR28&amp;"*"&amp;TEXT(BUY28-utc_offset/24,"YYYYMMDD")&amp;"*"" /stext="" "&amp;TEXT(BUY28-utc_offset/24,"HH")&amp;search_regexp&amp;""""</f>
        <v>#REF!</v>
      </c>
      <c r="BVW28" s="234" t="e">
        <f>astrogrep_path&amp;" /e /r /s /spath="&amp;search_path&amp;" /stypes=""app*"&amp;BUS28&amp;"*"&amp;TEXT(BUZ28-utc_offset/24,"YYYYMMDD")&amp;"*"" /stext="" "&amp;TEXT(BUZ28-utc_offset/24,"HH")&amp;search_regexp&amp;""""</f>
        <v>#REF!</v>
      </c>
      <c r="BVX28" s="234" t="e">
        <f>astrogrep_path&amp;" /e /r /s /spath="&amp;search_path&amp;" /stypes=""app*"&amp;BUT28&amp;"*"&amp;TEXT(BVA28-utc_offset/24,"YYYYMMDD")&amp;"*"" /stext="" "&amp;TEXT(BVA28-utc_offset/24,"HH")&amp;search_regexp&amp;""""</f>
        <v>#REF!</v>
      </c>
      <c r="BVY28" s="234" t="e">
        <f>astrogrep_path&amp;" /e /r /s /spath="&amp;search_path&amp;" /stypes=""app*"&amp;BUU28&amp;"*"&amp;TEXT(BVB28-utc_offset/24,"YYYYMMDD")&amp;"*"" /stext="" "&amp;TEXT(BVB28-utc_offset/24,"HH")&amp;search_regexp&amp;""""</f>
        <v>#REF!</v>
      </c>
      <c r="BVZ28" s="234" t="e">
        <f>astrogrep_path&amp;" /e /r /s /spath="&amp;search_path&amp;" /stypes=""app*"&amp;BUV28&amp;"*"&amp;TEXT(BVC28-utc_offset/24,"YYYYMMDD")&amp;"*"" /stext="" "&amp;TEXT(BVC28-utc_offset/24,"HH")&amp;search_regexp&amp;""""</f>
        <v>#REF!</v>
      </c>
      <c r="BWA28" s="234" t="e">
        <f>astrogrep_path&amp;" /e /r /s /spath="&amp;search_path&amp;" /stypes=""app*"&amp;BUW28&amp;"*"&amp;TEXT(BVD28-utc_offset/24,"YYYYMMDD")&amp;"*"" /stext="" "&amp;TEXT(BVD28-utc_offset/24,"HH")&amp;search_regexp&amp;""""</f>
        <v>#VALUE!</v>
      </c>
      <c r="BWB28" s="234" t="e">
        <f>astrogrep_path&amp;" /e /r /s /spath="&amp;search_path&amp;" /stypes=""app*"&amp;BUX28&amp;"*"&amp;TEXT(BVE28-utc_offset/24,"YYYYMMDD")&amp;"*"" /stext="" "&amp;TEXT(BVE28-utc_offset/24,"HH")&amp;search_regexp&amp;""""</f>
        <v>#VALUE!</v>
      </c>
      <c r="BWC28" s="234" t="e">
        <f>astrogrep_path&amp;" /e /r /s /spath="&amp;search_path&amp;" /stypes=""app*"&amp;BUY28&amp;"*"&amp;TEXT(BVF28-utc_offset/24,"YYYYMMDD")&amp;"*"" /stext="" "&amp;TEXT(BVF28-utc_offset/24,"HH")&amp;search_regexp&amp;""""</f>
        <v>#REF!</v>
      </c>
      <c r="BWD28" s="234" t="e">
        <f>astrogrep_path&amp;" /e /r /s /spath="&amp;search_path&amp;" /stypes=""app*"&amp;BUZ28&amp;"*"&amp;TEXT(BVG28-utc_offset/24,"YYYYMMDD")&amp;"*"" /stext="" "&amp;TEXT(BVG28-utc_offset/24,"HH")&amp;search_regexp&amp;""""</f>
        <v>#REF!</v>
      </c>
      <c r="BWE28" s="234" t="e">
        <f>astrogrep_path&amp;" /e /r /s /spath="&amp;search_path&amp;" /stypes=""app*"&amp;BVA28&amp;"*"&amp;TEXT(BVH28-utc_offset/24,"YYYYMMDD")&amp;"*"" /stext="" "&amp;TEXT(BVH28-utc_offset/24,"HH")&amp;search_regexp&amp;""""</f>
        <v>#VALUE!</v>
      </c>
      <c r="BWF28" s="234" t="e">
        <f>astrogrep_path&amp;" /e /r /s /spath="&amp;search_path&amp;" /stypes=""app*"&amp;BVB28&amp;"*"&amp;TEXT(BVI28-utc_offset/24,"YYYYMMDD")&amp;"*"" /stext="" "&amp;TEXT(BVI28-utc_offset/24,"HH")&amp;search_regexp&amp;""""</f>
        <v>#VALUE!</v>
      </c>
      <c r="BWG28" s="234" t="e">
        <f>astrogrep_path&amp;" /e /r /s /spath="&amp;search_path&amp;" /stypes=""app*"&amp;BVC28&amp;"*"&amp;TEXT(BVJ28-utc_offset/24,"YYYYMMDD")&amp;"*"" /stext="" "&amp;TEXT(BVJ28-utc_offset/24,"HH")&amp;search_regexp&amp;""""</f>
        <v>#VALUE!</v>
      </c>
      <c r="BWH28" s="234" t="e">
        <f>astrogrep_path&amp;" /e /r /s /spath="&amp;search_path&amp;" /stypes=""app*"&amp;BVD28&amp;"*"&amp;TEXT(BVK28-utc_offset/24,"YYYYMMDD")&amp;"*"" /stext="" "&amp;TEXT(BVK28-utc_offset/24,"HH")&amp;search_regexp&amp;""""</f>
        <v>#VALUE!</v>
      </c>
      <c r="BWI28" s="234" t="e">
        <f>astrogrep_path&amp;" /e /r /s /spath="&amp;search_path&amp;" /stypes=""app*"&amp;BVE28&amp;"*"&amp;TEXT(BVL28-utc_offset/24,"YYYYMMDD")&amp;"*"" /stext="" "&amp;TEXT(BVL28-utc_offset/24,"HH")&amp;search_regexp&amp;""""</f>
        <v>#VALUE!</v>
      </c>
      <c r="BWJ28" s="234" t="e">
        <f>astrogrep_path&amp;" /e /r /s /spath="&amp;search_path&amp;" /stypes=""app*"&amp;BVF28&amp;"*"&amp;TEXT(BVM28-utc_offset/24,"YYYYMMDD")&amp;"*"" /stext="" "&amp;TEXT(BVM28-utc_offset/24,"HH")&amp;search_regexp&amp;""""</f>
        <v>#REF!</v>
      </c>
      <c r="BWK28" s="234" t="e">
        <f>astrogrep_path&amp;" /e /r /s /spath="&amp;search_path&amp;" /stypes=""app*"&amp;BVG28&amp;"*"&amp;TEXT(BVN28-utc_offset/24,"YYYYMMDD")&amp;"*"" /stext="" "&amp;TEXT(BVN28-utc_offset/24,"HH")&amp;search_regexp&amp;""""</f>
        <v>#REF!</v>
      </c>
      <c r="BWL28" s="234" t="e">
        <f>astrogrep_path&amp;" /e /r /s /spath="&amp;search_path&amp;" /stypes=""app*"&amp;BVH28&amp;"*"&amp;TEXT(BVO28-utc_offset/24,"YYYYMMDD")&amp;"*"" /stext="" "&amp;TEXT(BVO28-utc_offset/24,"HH")&amp;search_regexp&amp;""""</f>
        <v>#REF!</v>
      </c>
      <c r="BWM28" s="234" t="e">
        <f>astrogrep_path&amp;" /e /r /s /spath="&amp;search_path&amp;" /stypes=""app*"&amp;BVI28&amp;"*"&amp;TEXT(BVP28-utc_offset/24,"YYYYMMDD")&amp;"*"" /stext="" "&amp;TEXT(BVP28-utc_offset/24,"HH")&amp;search_regexp&amp;""""</f>
        <v>#REF!</v>
      </c>
      <c r="BWN28" s="234" t="e">
        <f>astrogrep_path&amp;" /e /r /s /spath="&amp;search_path&amp;" /stypes=""app*"&amp;BVJ28&amp;"*"&amp;TEXT(BVQ28-utc_offset/24,"YYYYMMDD")&amp;"*"" /stext="" "&amp;TEXT(BVQ28-utc_offset/24,"HH")&amp;search_regexp&amp;""""</f>
        <v>#REF!</v>
      </c>
      <c r="BWO28" s="234" t="e">
        <f>astrogrep_path&amp;" /e /r /s /spath="&amp;search_path&amp;" /stypes=""app*"&amp;BVK28&amp;"*"&amp;TEXT(BVR28-utc_offset/24,"YYYYMMDD")&amp;"*"" /stext="" "&amp;TEXT(BVR28-utc_offset/24,"HH")&amp;search_regexp&amp;""""</f>
        <v>#REF!</v>
      </c>
      <c r="BWP28" s="234" t="e">
        <f>astrogrep_path&amp;" /e /r /s /spath="&amp;search_path&amp;" /stypes=""app*"&amp;BVL28&amp;"*"&amp;TEXT(BVS28-utc_offset/24,"YYYYMMDD")&amp;"*"" /stext="" "&amp;TEXT(BVS28-utc_offset/24,"HH")&amp;search_regexp&amp;""""</f>
        <v>#REF!</v>
      </c>
      <c r="BWQ28" s="234" t="e">
        <f>astrogrep_path&amp;" /e /r /s /spath="&amp;search_path&amp;" /stypes=""app*"&amp;BVM28&amp;"*"&amp;TEXT(BVT28-utc_offset/24,"YYYYMMDD")&amp;"*"" /stext="" "&amp;TEXT(BVT28-utc_offset/24,"HH")&amp;search_regexp&amp;""""</f>
        <v>#REF!</v>
      </c>
      <c r="BWR28" s="234" t="e">
        <f>astrogrep_path&amp;" /e /r /s /spath="&amp;search_path&amp;" /stypes=""app*"&amp;BVN28&amp;"*"&amp;TEXT(BVU28-utc_offset/24,"YYYYMMDD")&amp;"*"" /stext="" "&amp;TEXT(BVU28-utc_offset/24,"HH")&amp;search_regexp&amp;""""</f>
        <v>#REF!</v>
      </c>
      <c r="BWS28" s="234" t="e">
        <f>astrogrep_path&amp;" /e /r /s /spath="&amp;search_path&amp;" /stypes=""app*"&amp;BVO28&amp;"*"&amp;TEXT(BVV28-utc_offset/24,"YYYYMMDD")&amp;"*"" /stext="" "&amp;TEXT(BVV28-utc_offset/24,"HH")&amp;search_regexp&amp;""""</f>
        <v>#REF!</v>
      </c>
      <c r="BWT28" s="234" t="e">
        <f>astrogrep_path&amp;" /e /r /s /spath="&amp;search_path&amp;" /stypes=""app*"&amp;BVP28&amp;"*"&amp;TEXT(BVW28-utc_offset/24,"YYYYMMDD")&amp;"*"" /stext="" "&amp;TEXT(BVW28-utc_offset/24,"HH")&amp;search_regexp&amp;""""</f>
        <v>#REF!</v>
      </c>
      <c r="BWU28" s="234" t="e">
        <f>astrogrep_path&amp;" /e /r /s /spath="&amp;search_path&amp;" /stypes=""app*"&amp;BVQ28&amp;"*"&amp;TEXT(BVX28-utc_offset/24,"YYYYMMDD")&amp;"*"" /stext="" "&amp;TEXT(BVX28-utc_offset/24,"HH")&amp;search_regexp&amp;""""</f>
        <v>#REF!</v>
      </c>
      <c r="BWV28" s="234" t="e">
        <f>astrogrep_path&amp;" /e /r /s /spath="&amp;search_path&amp;" /stypes=""app*"&amp;BVR28&amp;"*"&amp;TEXT(BVY28-utc_offset/24,"YYYYMMDD")&amp;"*"" /stext="" "&amp;TEXT(BVY28-utc_offset/24,"HH")&amp;search_regexp&amp;""""</f>
        <v>#REF!</v>
      </c>
      <c r="BWW28" s="234" t="e">
        <f>astrogrep_path&amp;" /e /r /s /spath="&amp;search_path&amp;" /stypes=""app*"&amp;BVS28&amp;"*"&amp;TEXT(BVZ28-utc_offset/24,"YYYYMMDD")&amp;"*"" /stext="" "&amp;TEXT(BVZ28-utc_offset/24,"HH")&amp;search_regexp&amp;""""</f>
        <v>#REF!</v>
      </c>
      <c r="BWX28" s="234" t="e">
        <f>astrogrep_path&amp;" /e /r /s /spath="&amp;search_path&amp;" /stypes=""app*"&amp;BVT28&amp;"*"&amp;TEXT(BWA28-utc_offset/24,"YYYYMMDD")&amp;"*"" /stext="" "&amp;TEXT(BWA28-utc_offset/24,"HH")&amp;search_regexp&amp;""""</f>
        <v>#REF!</v>
      </c>
      <c r="BWY28" s="234" t="e">
        <f>astrogrep_path&amp;" /e /r /s /spath="&amp;search_path&amp;" /stypes=""app*"&amp;BVU28&amp;"*"&amp;TEXT(BWB28-utc_offset/24,"YYYYMMDD")&amp;"*"" /stext="" "&amp;TEXT(BWB28-utc_offset/24,"HH")&amp;search_regexp&amp;""""</f>
        <v>#REF!</v>
      </c>
      <c r="BWZ28" s="234" t="e">
        <f>astrogrep_path&amp;" /e /r /s /spath="&amp;search_path&amp;" /stypes=""app*"&amp;BVV28&amp;"*"&amp;TEXT(BWC28-utc_offset/24,"YYYYMMDD")&amp;"*"" /stext="" "&amp;TEXT(BWC28-utc_offset/24,"HH")&amp;search_regexp&amp;""""</f>
        <v>#REF!</v>
      </c>
      <c r="BXA28" s="234" t="e">
        <f>astrogrep_path&amp;" /e /r /s /spath="&amp;search_path&amp;" /stypes=""app*"&amp;BVW28&amp;"*"&amp;TEXT(BWD28-utc_offset/24,"YYYYMMDD")&amp;"*"" /stext="" "&amp;TEXT(BWD28-utc_offset/24,"HH")&amp;search_regexp&amp;""""</f>
        <v>#REF!</v>
      </c>
      <c r="BXB28" s="234" t="e">
        <f>astrogrep_path&amp;" /e /r /s /spath="&amp;search_path&amp;" /stypes=""app*"&amp;BVX28&amp;"*"&amp;TEXT(BWE28-utc_offset/24,"YYYYMMDD")&amp;"*"" /stext="" "&amp;TEXT(BWE28-utc_offset/24,"HH")&amp;search_regexp&amp;""""</f>
        <v>#REF!</v>
      </c>
      <c r="BXC28" s="234" t="e">
        <f>astrogrep_path&amp;" /e /r /s /spath="&amp;search_path&amp;" /stypes=""app*"&amp;BVY28&amp;"*"&amp;TEXT(BWF28-utc_offset/24,"YYYYMMDD")&amp;"*"" /stext="" "&amp;TEXT(BWF28-utc_offset/24,"HH")&amp;search_regexp&amp;""""</f>
        <v>#REF!</v>
      </c>
      <c r="BXD28" s="234" t="e">
        <f>astrogrep_path&amp;" /e /r /s /spath="&amp;search_path&amp;" /stypes=""app*"&amp;BVZ28&amp;"*"&amp;TEXT(BWG28-utc_offset/24,"YYYYMMDD")&amp;"*"" /stext="" "&amp;TEXT(BWG28-utc_offset/24,"HH")&amp;search_regexp&amp;""""</f>
        <v>#REF!</v>
      </c>
      <c r="BXE28" s="234" t="e">
        <f>astrogrep_path&amp;" /e /r /s /spath="&amp;search_path&amp;" /stypes=""app*"&amp;BWA28&amp;"*"&amp;TEXT(BWH28-utc_offset/24,"YYYYMMDD")&amp;"*"" /stext="" "&amp;TEXT(BWH28-utc_offset/24,"HH")&amp;search_regexp&amp;""""</f>
        <v>#VALUE!</v>
      </c>
      <c r="BXF28" s="234" t="e">
        <f>astrogrep_path&amp;" /e /r /s /spath="&amp;search_path&amp;" /stypes=""app*"&amp;BWB28&amp;"*"&amp;TEXT(BWI28-utc_offset/24,"YYYYMMDD")&amp;"*"" /stext="" "&amp;TEXT(BWI28-utc_offset/24,"HH")&amp;search_regexp&amp;""""</f>
        <v>#VALUE!</v>
      </c>
      <c r="BXG28" s="234" t="e">
        <f>astrogrep_path&amp;" /e /r /s /spath="&amp;search_path&amp;" /stypes=""app*"&amp;BWC28&amp;"*"&amp;TEXT(BWJ28-utc_offset/24,"YYYYMMDD")&amp;"*"" /stext="" "&amp;TEXT(BWJ28-utc_offset/24,"HH")&amp;search_regexp&amp;""""</f>
        <v>#REF!</v>
      </c>
      <c r="BXH28" s="234" t="e">
        <f>astrogrep_path&amp;" /e /r /s /spath="&amp;search_path&amp;" /stypes=""app*"&amp;BWD28&amp;"*"&amp;TEXT(BWK28-utc_offset/24,"YYYYMMDD")&amp;"*"" /stext="" "&amp;TEXT(BWK28-utc_offset/24,"HH")&amp;search_regexp&amp;""""</f>
        <v>#REF!</v>
      </c>
      <c r="BXI28" s="234" t="e">
        <f>astrogrep_path&amp;" /e /r /s /spath="&amp;search_path&amp;" /stypes=""app*"&amp;BWE28&amp;"*"&amp;TEXT(BWL28-utc_offset/24,"YYYYMMDD")&amp;"*"" /stext="" "&amp;TEXT(BWL28-utc_offset/24,"HH")&amp;search_regexp&amp;""""</f>
        <v>#VALUE!</v>
      </c>
      <c r="BXJ28" s="234" t="e">
        <f>astrogrep_path&amp;" /e /r /s /spath="&amp;search_path&amp;" /stypes=""app*"&amp;BWF28&amp;"*"&amp;TEXT(BWM28-utc_offset/24,"YYYYMMDD")&amp;"*"" /stext="" "&amp;TEXT(BWM28-utc_offset/24,"HH")&amp;search_regexp&amp;""""</f>
        <v>#VALUE!</v>
      </c>
      <c r="BXK28" s="234" t="e">
        <f>astrogrep_path&amp;" /e /r /s /spath="&amp;search_path&amp;" /stypes=""app*"&amp;BWG28&amp;"*"&amp;TEXT(BWN28-utc_offset/24,"YYYYMMDD")&amp;"*"" /stext="" "&amp;TEXT(BWN28-utc_offset/24,"HH")&amp;search_regexp&amp;""""</f>
        <v>#VALUE!</v>
      </c>
      <c r="BXL28" s="234" t="e">
        <f>astrogrep_path&amp;" /e /r /s /spath="&amp;search_path&amp;" /stypes=""app*"&amp;BWH28&amp;"*"&amp;TEXT(BWO28-utc_offset/24,"YYYYMMDD")&amp;"*"" /stext="" "&amp;TEXT(BWO28-utc_offset/24,"HH")&amp;search_regexp&amp;""""</f>
        <v>#VALUE!</v>
      </c>
      <c r="BXM28" s="234" t="e">
        <f>astrogrep_path&amp;" /e /r /s /spath="&amp;search_path&amp;" /stypes=""app*"&amp;BWI28&amp;"*"&amp;TEXT(BWP28-utc_offset/24,"YYYYMMDD")&amp;"*"" /stext="" "&amp;TEXT(BWP28-utc_offset/24,"HH")&amp;search_regexp&amp;""""</f>
        <v>#VALUE!</v>
      </c>
      <c r="BXN28" s="234" t="e">
        <f>astrogrep_path&amp;" /e /r /s /spath="&amp;search_path&amp;" /stypes=""app*"&amp;BWJ28&amp;"*"&amp;TEXT(BWQ28-utc_offset/24,"YYYYMMDD")&amp;"*"" /stext="" "&amp;TEXT(BWQ28-utc_offset/24,"HH")&amp;search_regexp&amp;""""</f>
        <v>#REF!</v>
      </c>
      <c r="BXO28" s="234" t="e">
        <f>astrogrep_path&amp;" /e /r /s /spath="&amp;search_path&amp;" /stypes=""app*"&amp;BWK28&amp;"*"&amp;TEXT(BWR28-utc_offset/24,"YYYYMMDD")&amp;"*"" /stext="" "&amp;TEXT(BWR28-utc_offset/24,"HH")&amp;search_regexp&amp;""""</f>
        <v>#REF!</v>
      </c>
      <c r="BXP28" s="234" t="e">
        <f>astrogrep_path&amp;" /e /r /s /spath="&amp;search_path&amp;" /stypes=""app*"&amp;BWL28&amp;"*"&amp;TEXT(BWS28-utc_offset/24,"YYYYMMDD")&amp;"*"" /stext="" "&amp;TEXT(BWS28-utc_offset/24,"HH")&amp;search_regexp&amp;""""</f>
        <v>#REF!</v>
      </c>
      <c r="BXQ28" s="234" t="e">
        <f>astrogrep_path&amp;" /e /r /s /spath="&amp;search_path&amp;" /stypes=""app*"&amp;BWM28&amp;"*"&amp;TEXT(BWT28-utc_offset/24,"YYYYMMDD")&amp;"*"" /stext="" "&amp;TEXT(BWT28-utc_offset/24,"HH")&amp;search_regexp&amp;""""</f>
        <v>#REF!</v>
      </c>
      <c r="BXR28" s="234" t="e">
        <f>astrogrep_path&amp;" /e /r /s /spath="&amp;search_path&amp;" /stypes=""app*"&amp;BWN28&amp;"*"&amp;TEXT(BWU28-utc_offset/24,"YYYYMMDD")&amp;"*"" /stext="" "&amp;TEXT(BWU28-utc_offset/24,"HH")&amp;search_regexp&amp;""""</f>
        <v>#REF!</v>
      </c>
      <c r="BXS28" s="234" t="e">
        <f>astrogrep_path&amp;" /e /r /s /spath="&amp;search_path&amp;" /stypes=""app*"&amp;BWO28&amp;"*"&amp;TEXT(BWV28-utc_offset/24,"YYYYMMDD")&amp;"*"" /stext="" "&amp;TEXT(BWV28-utc_offset/24,"HH")&amp;search_regexp&amp;""""</f>
        <v>#REF!</v>
      </c>
      <c r="BXT28" s="234" t="e">
        <f>astrogrep_path&amp;" /e /r /s /spath="&amp;search_path&amp;" /stypes=""app*"&amp;BWP28&amp;"*"&amp;TEXT(BWW28-utc_offset/24,"YYYYMMDD")&amp;"*"" /stext="" "&amp;TEXT(BWW28-utc_offset/24,"HH")&amp;search_regexp&amp;""""</f>
        <v>#REF!</v>
      </c>
      <c r="BXU28" s="234" t="e">
        <f>astrogrep_path&amp;" /e /r /s /spath="&amp;search_path&amp;" /stypes=""app*"&amp;BWQ28&amp;"*"&amp;TEXT(BWX28-utc_offset/24,"YYYYMMDD")&amp;"*"" /stext="" "&amp;TEXT(BWX28-utc_offset/24,"HH")&amp;search_regexp&amp;""""</f>
        <v>#REF!</v>
      </c>
      <c r="BXV28" s="234" t="e">
        <f>astrogrep_path&amp;" /e /r /s /spath="&amp;search_path&amp;" /stypes=""app*"&amp;BWR28&amp;"*"&amp;TEXT(BWY28-utc_offset/24,"YYYYMMDD")&amp;"*"" /stext="" "&amp;TEXT(BWY28-utc_offset/24,"HH")&amp;search_regexp&amp;""""</f>
        <v>#REF!</v>
      </c>
      <c r="BXW28" s="234" t="e">
        <f>astrogrep_path&amp;" /e /r /s /spath="&amp;search_path&amp;" /stypes=""app*"&amp;BWS28&amp;"*"&amp;TEXT(BWZ28-utc_offset/24,"YYYYMMDD")&amp;"*"" /stext="" "&amp;TEXT(BWZ28-utc_offset/24,"HH")&amp;search_regexp&amp;""""</f>
        <v>#REF!</v>
      </c>
      <c r="BXX28" s="234" t="e">
        <f>astrogrep_path&amp;" /e /r /s /spath="&amp;search_path&amp;" /stypes=""app*"&amp;BWT28&amp;"*"&amp;TEXT(BXA28-utc_offset/24,"YYYYMMDD")&amp;"*"" /stext="" "&amp;TEXT(BXA28-utc_offset/24,"HH")&amp;search_regexp&amp;""""</f>
        <v>#REF!</v>
      </c>
      <c r="BXY28" s="234" t="e">
        <f>astrogrep_path&amp;" /e /r /s /spath="&amp;search_path&amp;" /stypes=""app*"&amp;BWU28&amp;"*"&amp;TEXT(BXB28-utc_offset/24,"YYYYMMDD")&amp;"*"" /stext="" "&amp;TEXT(BXB28-utc_offset/24,"HH")&amp;search_regexp&amp;""""</f>
        <v>#REF!</v>
      </c>
      <c r="BXZ28" s="234" t="e">
        <f>astrogrep_path&amp;" /e /r /s /spath="&amp;search_path&amp;" /stypes=""app*"&amp;BWV28&amp;"*"&amp;TEXT(BXC28-utc_offset/24,"YYYYMMDD")&amp;"*"" /stext="" "&amp;TEXT(BXC28-utc_offset/24,"HH")&amp;search_regexp&amp;""""</f>
        <v>#REF!</v>
      </c>
      <c r="BYA28" s="234" t="e">
        <f>astrogrep_path&amp;" /e /r /s /spath="&amp;search_path&amp;" /stypes=""app*"&amp;BWW28&amp;"*"&amp;TEXT(BXD28-utc_offset/24,"YYYYMMDD")&amp;"*"" /stext="" "&amp;TEXT(BXD28-utc_offset/24,"HH")&amp;search_regexp&amp;""""</f>
        <v>#REF!</v>
      </c>
      <c r="BYB28" s="234" t="e">
        <f>astrogrep_path&amp;" /e /r /s /spath="&amp;search_path&amp;" /stypes=""app*"&amp;BWX28&amp;"*"&amp;TEXT(BXE28-utc_offset/24,"YYYYMMDD")&amp;"*"" /stext="" "&amp;TEXT(BXE28-utc_offset/24,"HH")&amp;search_regexp&amp;""""</f>
        <v>#REF!</v>
      </c>
      <c r="BYC28" s="234" t="e">
        <f>astrogrep_path&amp;" /e /r /s /spath="&amp;search_path&amp;" /stypes=""app*"&amp;BWY28&amp;"*"&amp;TEXT(BXF28-utc_offset/24,"YYYYMMDD")&amp;"*"" /stext="" "&amp;TEXT(BXF28-utc_offset/24,"HH")&amp;search_regexp&amp;""""</f>
        <v>#REF!</v>
      </c>
      <c r="BYD28" s="234" t="e">
        <f>astrogrep_path&amp;" /e /r /s /spath="&amp;search_path&amp;" /stypes=""app*"&amp;BWZ28&amp;"*"&amp;TEXT(BXG28-utc_offset/24,"YYYYMMDD")&amp;"*"" /stext="" "&amp;TEXT(BXG28-utc_offset/24,"HH")&amp;search_regexp&amp;""""</f>
        <v>#REF!</v>
      </c>
      <c r="BYE28" s="234" t="e">
        <f>astrogrep_path&amp;" /e /r /s /spath="&amp;search_path&amp;" /stypes=""app*"&amp;BXA28&amp;"*"&amp;TEXT(BXH28-utc_offset/24,"YYYYMMDD")&amp;"*"" /stext="" "&amp;TEXT(BXH28-utc_offset/24,"HH")&amp;search_regexp&amp;""""</f>
        <v>#REF!</v>
      </c>
      <c r="BYF28" s="234" t="e">
        <f>astrogrep_path&amp;" /e /r /s /spath="&amp;search_path&amp;" /stypes=""app*"&amp;BXB28&amp;"*"&amp;TEXT(BXI28-utc_offset/24,"YYYYMMDD")&amp;"*"" /stext="" "&amp;TEXT(BXI28-utc_offset/24,"HH")&amp;search_regexp&amp;""""</f>
        <v>#REF!</v>
      </c>
      <c r="BYG28" s="234" t="e">
        <f>astrogrep_path&amp;" /e /r /s /spath="&amp;search_path&amp;" /stypes=""app*"&amp;BXC28&amp;"*"&amp;TEXT(BXJ28-utc_offset/24,"YYYYMMDD")&amp;"*"" /stext="" "&amp;TEXT(BXJ28-utc_offset/24,"HH")&amp;search_regexp&amp;""""</f>
        <v>#REF!</v>
      </c>
      <c r="BYH28" s="234" t="e">
        <f>astrogrep_path&amp;" /e /r /s /spath="&amp;search_path&amp;" /stypes=""app*"&amp;BXD28&amp;"*"&amp;TEXT(BXK28-utc_offset/24,"YYYYMMDD")&amp;"*"" /stext="" "&amp;TEXT(BXK28-utc_offset/24,"HH")&amp;search_regexp&amp;""""</f>
        <v>#REF!</v>
      </c>
      <c r="BYI28" s="234" t="e">
        <f>astrogrep_path&amp;" /e /r /s /spath="&amp;search_path&amp;" /stypes=""app*"&amp;BXE28&amp;"*"&amp;TEXT(BXL28-utc_offset/24,"YYYYMMDD")&amp;"*"" /stext="" "&amp;TEXT(BXL28-utc_offset/24,"HH")&amp;search_regexp&amp;""""</f>
        <v>#VALUE!</v>
      </c>
      <c r="BYJ28" s="234" t="e">
        <f>astrogrep_path&amp;" /e /r /s /spath="&amp;search_path&amp;" /stypes=""app*"&amp;BXF28&amp;"*"&amp;TEXT(BXM28-utc_offset/24,"YYYYMMDD")&amp;"*"" /stext="" "&amp;TEXT(BXM28-utc_offset/24,"HH")&amp;search_regexp&amp;""""</f>
        <v>#VALUE!</v>
      </c>
      <c r="BYK28" s="234" t="e">
        <f>astrogrep_path&amp;" /e /r /s /spath="&amp;search_path&amp;" /stypes=""app*"&amp;BXG28&amp;"*"&amp;TEXT(BXN28-utc_offset/24,"YYYYMMDD")&amp;"*"" /stext="" "&amp;TEXT(BXN28-utc_offset/24,"HH")&amp;search_regexp&amp;""""</f>
        <v>#REF!</v>
      </c>
      <c r="BYL28" s="234" t="e">
        <f>astrogrep_path&amp;" /e /r /s /spath="&amp;search_path&amp;" /stypes=""app*"&amp;BXH28&amp;"*"&amp;TEXT(BXO28-utc_offset/24,"YYYYMMDD")&amp;"*"" /stext="" "&amp;TEXT(BXO28-utc_offset/24,"HH")&amp;search_regexp&amp;""""</f>
        <v>#REF!</v>
      </c>
      <c r="BYM28" s="234" t="e">
        <f>astrogrep_path&amp;" /e /r /s /spath="&amp;search_path&amp;" /stypes=""app*"&amp;BXI28&amp;"*"&amp;TEXT(BXP28-utc_offset/24,"YYYYMMDD")&amp;"*"" /stext="" "&amp;TEXT(BXP28-utc_offset/24,"HH")&amp;search_regexp&amp;""""</f>
        <v>#VALUE!</v>
      </c>
      <c r="BYN28" s="234" t="e">
        <f>astrogrep_path&amp;" /e /r /s /spath="&amp;search_path&amp;" /stypes=""app*"&amp;BXJ28&amp;"*"&amp;TEXT(BXQ28-utc_offset/24,"YYYYMMDD")&amp;"*"" /stext="" "&amp;TEXT(BXQ28-utc_offset/24,"HH")&amp;search_regexp&amp;""""</f>
        <v>#VALUE!</v>
      </c>
      <c r="BYO28" s="234" t="e">
        <f>astrogrep_path&amp;" /e /r /s /spath="&amp;search_path&amp;" /stypes=""app*"&amp;BXK28&amp;"*"&amp;TEXT(BXR28-utc_offset/24,"YYYYMMDD")&amp;"*"" /stext="" "&amp;TEXT(BXR28-utc_offset/24,"HH")&amp;search_regexp&amp;""""</f>
        <v>#VALUE!</v>
      </c>
      <c r="BYP28" s="234" t="e">
        <f>astrogrep_path&amp;" /e /r /s /spath="&amp;search_path&amp;" /stypes=""app*"&amp;BXL28&amp;"*"&amp;TEXT(BXS28-utc_offset/24,"YYYYMMDD")&amp;"*"" /stext="" "&amp;TEXT(BXS28-utc_offset/24,"HH")&amp;search_regexp&amp;""""</f>
        <v>#VALUE!</v>
      </c>
      <c r="BYQ28" s="234" t="e">
        <f>astrogrep_path&amp;" /e /r /s /spath="&amp;search_path&amp;" /stypes=""app*"&amp;BXM28&amp;"*"&amp;TEXT(BXT28-utc_offset/24,"YYYYMMDD")&amp;"*"" /stext="" "&amp;TEXT(BXT28-utc_offset/24,"HH")&amp;search_regexp&amp;""""</f>
        <v>#VALUE!</v>
      </c>
      <c r="BYR28" s="234" t="e">
        <f>astrogrep_path&amp;" /e /r /s /spath="&amp;search_path&amp;" /stypes=""app*"&amp;BXN28&amp;"*"&amp;TEXT(BXU28-utc_offset/24,"YYYYMMDD")&amp;"*"" /stext="" "&amp;TEXT(BXU28-utc_offset/24,"HH")&amp;search_regexp&amp;""""</f>
        <v>#REF!</v>
      </c>
      <c r="BYS28" s="234" t="e">
        <f>astrogrep_path&amp;" /e /r /s /spath="&amp;search_path&amp;" /stypes=""app*"&amp;BXO28&amp;"*"&amp;TEXT(BXV28-utc_offset/24,"YYYYMMDD")&amp;"*"" /stext="" "&amp;TEXT(BXV28-utc_offset/24,"HH")&amp;search_regexp&amp;""""</f>
        <v>#REF!</v>
      </c>
      <c r="BYT28" s="234" t="e">
        <f>astrogrep_path&amp;" /e /r /s /spath="&amp;search_path&amp;" /stypes=""app*"&amp;BXP28&amp;"*"&amp;TEXT(BXW28-utc_offset/24,"YYYYMMDD")&amp;"*"" /stext="" "&amp;TEXT(BXW28-utc_offset/24,"HH")&amp;search_regexp&amp;""""</f>
        <v>#REF!</v>
      </c>
      <c r="BYU28" s="234" t="e">
        <f>astrogrep_path&amp;" /e /r /s /spath="&amp;search_path&amp;" /stypes=""app*"&amp;BXQ28&amp;"*"&amp;TEXT(BXX28-utc_offset/24,"YYYYMMDD")&amp;"*"" /stext="" "&amp;TEXT(BXX28-utc_offset/24,"HH")&amp;search_regexp&amp;""""</f>
        <v>#REF!</v>
      </c>
      <c r="BYV28" s="234" t="e">
        <f>astrogrep_path&amp;" /e /r /s /spath="&amp;search_path&amp;" /stypes=""app*"&amp;BXR28&amp;"*"&amp;TEXT(BXY28-utc_offset/24,"YYYYMMDD")&amp;"*"" /stext="" "&amp;TEXT(BXY28-utc_offset/24,"HH")&amp;search_regexp&amp;""""</f>
        <v>#REF!</v>
      </c>
      <c r="BYW28" s="234" t="e">
        <f>astrogrep_path&amp;" /e /r /s /spath="&amp;search_path&amp;" /stypes=""app*"&amp;BXS28&amp;"*"&amp;TEXT(BXZ28-utc_offset/24,"YYYYMMDD")&amp;"*"" /stext="" "&amp;TEXT(BXZ28-utc_offset/24,"HH")&amp;search_regexp&amp;""""</f>
        <v>#REF!</v>
      </c>
      <c r="BYX28" s="234" t="e">
        <f>astrogrep_path&amp;" /e /r /s /spath="&amp;search_path&amp;" /stypes=""app*"&amp;BXT28&amp;"*"&amp;TEXT(BYA28-utc_offset/24,"YYYYMMDD")&amp;"*"" /stext="" "&amp;TEXT(BYA28-utc_offset/24,"HH")&amp;search_regexp&amp;""""</f>
        <v>#REF!</v>
      </c>
      <c r="BYY28" s="234" t="e">
        <f>astrogrep_path&amp;" /e /r /s /spath="&amp;search_path&amp;" /stypes=""app*"&amp;BXU28&amp;"*"&amp;TEXT(BYB28-utc_offset/24,"YYYYMMDD")&amp;"*"" /stext="" "&amp;TEXT(BYB28-utc_offset/24,"HH")&amp;search_regexp&amp;""""</f>
        <v>#REF!</v>
      </c>
      <c r="BYZ28" s="234" t="e">
        <f>astrogrep_path&amp;" /e /r /s /spath="&amp;search_path&amp;" /stypes=""app*"&amp;BXV28&amp;"*"&amp;TEXT(BYC28-utc_offset/24,"YYYYMMDD")&amp;"*"" /stext="" "&amp;TEXT(BYC28-utc_offset/24,"HH")&amp;search_regexp&amp;""""</f>
        <v>#REF!</v>
      </c>
      <c r="BZA28" s="234" t="e">
        <f>astrogrep_path&amp;" /e /r /s /spath="&amp;search_path&amp;" /stypes=""app*"&amp;BXW28&amp;"*"&amp;TEXT(BYD28-utc_offset/24,"YYYYMMDD")&amp;"*"" /stext="" "&amp;TEXT(BYD28-utc_offset/24,"HH")&amp;search_regexp&amp;""""</f>
        <v>#REF!</v>
      </c>
      <c r="BZB28" s="234" t="e">
        <f>astrogrep_path&amp;" /e /r /s /spath="&amp;search_path&amp;" /stypes=""app*"&amp;BXX28&amp;"*"&amp;TEXT(BYE28-utc_offset/24,"YYYYMMDD")&amp;"*"" /stext="" "&amp;TEXT(BYE28-utc_offset/24,"HH")&amp;search_regexp&amp;""""</f>
        <v>#REF!</v>
      </c>
      <c r="BZC28" s="234" t="e">
        <f>astrogrep_path&amp;" /e /r /s /spath="&amp;search_path&amp;" /stypes=""app*"&amp;BXY28&amp;"*"&amp;TEXT(BYF28-utc_offset/24,"YYYYMMDD")&amp;"*"" /stext="" "&amp;TEXT(BYF28-utc_offset/24,"HH")&amp;search_regexp&amp;""""</f>
        <v>#REF!</v>
      </c>
      <c r="BZD28" s="234" t="e">
        <f>astrogrep_path&amp;" /e /r /s /spath="&amp;search_path&amp;" /stypes=""app*"&amp;BXZ28&amp;"*"&amp;TEXT(BYG28-utc_offset/24,"YYYYMMDD")&amp;"*"" /stext="" "&amp;TEXT(BYG28-utc_offset/24,"HH")&amp;search_regexp&amp;""""</f>
        <v>#REF!</v>
      </c>
      <c r="BZE28" s="234" t="e">
        <f>astrogrep_path&amp;" /e /r /s /spath="&amp;search_path&amp;" /stypes=""app*"&amp;BYA28&amp;"*"&amp;TEXT(BYH28-utc_offset/24,"YYYYMMDD")&amp;"*"" /stext="" "&amp;TEXT(BYH28-utc_offset/24,"HH")&amp;search_regexp&amp;""""</f>
        <v>#REF!</v>
      </c>
      <c r="BZF28" s="234" t="e">
        <f>astrogrep_path&amp;" /e /r /s /spath="&amp;search_path&amp;" /stypes=""app*"&amp;BYB28&amp;"*"&amp;TEXT(BYI28-utc_offset/24,"YYYYMMDD")&amp;"*"" /stext="" "&amp;TEXT(BYI28-utc_offset/24,"HH")&amp;search_regexp&amp;""""</f>
        <v>#REF!</v>
      </c>
      <c r="BZG28" s="234" t="e">
        <f>astrogrep_path&amp;" /e /r /s /spath="&amp;search_path&amp;" /stypes=""app*"&amp;BYC28&amp;"*"&amp;TEXT(BYJ28-utc_offset/24,"YYYYMMDD")&amp;"*"" /stext="" "&amp;TEXT(BYJ28-utc_offset/24,"HH")&amp;search_regexp&amp;""""</f>
        <v>#REF!</v>
      </c>
      <c r="BZH28" s="234" t="e">
        <f>astrogrep_path&amp;" /e /r /s /spath="&amp;search_path&amp;" /stypes=""app*"&amp;BYD28&amp;"*"&amp;TEXT(BYK28-utc_offset/24,"YYYYMMDD")&amp;"*"" /stext="" "&amp;TEXT(BYK28-utc_offset/24,"HH")&amp;search_regexp&amp;""""</f>
        <v>#REF!</v>
      </c>
      <c r="BZI28" s="234" t="e">
        <f>astrogrep_path&amp;" /e /r /s /spath="&amp;search_path&amp;" /stypes=""app*"&amp;BYE28&amp;"*"&amp;TEXT(BYL28-utc_offset/24,"YYYYMMDD")&amp;"*"" /stext="" "&amp;TEXT(BYL28-utc_offset/24,"HH")&amp;search_regexp&amp;""""</f>
        <v>#REF!</v>
      </c>
      <c r="BZJ28" s="234" t="e">
        <f>astrogrep_path&amp;" /e /r /s /spath="&amp;search_path&amp;" /stypes=""app*"&amp;BYF28&amp;"*"&amp;TEXT(BYM28-utc_offset/24,"YYYYMMDD")&amp;"*"" /stext="" "&amp;TEXT(BYM28-utc_offset/24,"HH")&amp;search_regexp&amp;""""</f>
        <v>#REF!</v>
      </c>
      <c r="BZK28" s="234" t="e">
        <f>astrogrep_path&amp;" /e /r /s /spath="&amp;search_path&amp;" /stypes=""app*"&amp;BYG28&amp;"*"&amp;TEXT(BYN28-utc_offset/24,"YYYYMMDD")&amp;"*"" /stext="" "&amp;TEXT(BYN28-utc_offset/24,"HH")&amp;search_regexp&amp;""""</f>
        <v>#REF!</v>
      </c>
      <c r="BZL28" s="234" t="e">
        <f>astrogrep_path&amp;" /e /r /s /spath="&amp;search_path&amp;" /stypes=""app*"&amp;BYH28&amp;"*"&amp;TEXT(BYO28-utc_offset/24,"YYYYMMDD")&amp;"*"" /stext="" "&amp;TEXT(BYO28-utc_offset/24,"HH")&amp;search_regexp&amp;""""</f>
        <v>#REF!</v>
      </c>
      <c r="BZM28" s="234" t="e">
        <f>astrogrep_path&amp;" /e /r /s /spath="&amp;search_path&amp;" /stypes=""app*"&amp;BYI28&amp;"*"&amp;TEXT(BYP28-utc_offset/24,"YYYYMMDD")&amp;"*"" /stext="" "&amp;TEXT(BYP28-utc_offset/24,"HH")&amp;search_regexp&amp;""""</f>
        <v>#VALUE!</v>
      </c>
      <c r="BZN28" s="234" t="e">
        <f>astrogrep_path&amp;" /e /r /s /spath="&amp;search_path&amp;" /stypes=""app*"&amp;BYJ28&amp;"*"&amp;TEXT(BYQ28-utc_offset/24,"YYYYMMDD")&amp;"*"" /stext="" "&amp;TEXT(BYQ28-utc_offset/24,"HH")&amp;search_regexp&amp;""""</f>
        <v>#VALUE!</v>
      </c>
      <c r="BZO28" s="234" t="e">
        <f>astrogrep_path&amp;" /e /r /s /spath="&amp;search_path&amp;" /stypes=""app*"&amp;BYK28&amp;"*"&amp;TEXT(BYR28-utc_offset/24,"YYYYMMDD")&amp;"*"" /stext="" "&amp;TEXT(BYR28-utc_offset/24,"HH")&amp;search_regexp&amp;""""</f>
        <v>#REF!</v>
      </c>
      <c r="BZP28" s="234" t="e">
        <f>astrogrep_path&amp;" /e /r /s /spath="&amp;search_path&amp;" /stypes=""app*"&amp;BYL28&amp;"*"&amp;TEXT(BYS28-utc_offset/24,"YYYYMMDD")&amp;"*"" /stext="" "&amp;TEXT(BYS28-utc_offset/24,"HH")&amp;search_regexp&amp;""""</f>
        <v>#REF!</v>
      </c>
      <c r="BZQ28" s="234" t="e">
        <f>astrogrep_path&amp;" /e /r /s /spath="&amp;search_path&amp;" /stypes=""app*"&amp;BYM28&amp;"*"&amp;TEXT(BYT28-utc_offset/24,"YYYYMMDD")&amp;"*"" /stext="" "&amp;TEXT(BYT28-utc_offset/24,"HH")&amp;search_regexp&amp;""""</f>
        <v>#VALUE!</v>
      </c>
      <c r="BZR28" s="234" t="e">
        <f>astrogrep_path&amp;" /e /r /s /spath="&amp;search_path&amp;" /stypes=""app*"&amp;BYN28&amp;"*"&amp;TEXT(BYU28-utc_offset/24,"YYYYMMDD")&amp;"*"" /stext="" "&amp;TEXT(BYU28-utc_offset/24,"HH")&amp;search_regexp&amp;""""</f>
        <v>#VALUE!</v>
      </c>
      <c r="BZS28" s="234" t="e">
        <f>astrogrep_path&amp;" /e /r /s /spath="&amp;search_path&amp;" /stypes=""app*"&amp;BYO28&amp;"*"&amp;TEXT(BYV28-utc_offset/24,"YYYYMMDD")&amp;"*"" /stext="" "&amp;TEXT(BYV28-utc_offset/24,"HH")&amp;search_regexp&amp;""""</f>
        <v>#VALUE!</v>
      </c>
      <c r="BZT28" s="234" t="e">
        <f>astrogrep_path&amp;" /e /r /s /spath="&amp;search_path&amp;" /stypes=""app*"&amp;BYP28&amp;"*"&amp;TEXT(BYW28-utc_offset/24,"YYYYMMDD")&amp;"*"" /stext="" "&amp;TEXT(BYW28-utc_offset/24,"HH")&amp;search_regexp&amp;""""</f>
        <v>#VALUE!</v>
      </c>
      <c r="BZU28" s="234" t="e">
        <f>astrogrep_path&amp;" /e /r /s /spath="&amp;search_path&amp;" /stypes=""app*"&amp;BYQ28&amp;"*"&amp;TEXT(BYX28-utc_offset/24,"YYYYMMDD")&amp;"*"" /stext="" "&amp;TEXT(BYX28-utc_offset/24,"HH")&amp;search_regexp&amp;""""</f>
        <v>#VALUE!</v>
      </c>
      <c r="BZV28" s="234" t="e">
        <f>astrogrep_path&amp;" /e /r /s /spath="&amp;search_path&amp;" /stypes=""app*"&amp;BYR28&amp;"*"&amp;TEXT(BYY28-utc_offset/24,"YYYYMMDD")&amp;"*"" /stext="" "&amp;TEXT(BYY28-utc_offset/24,"HH")&amp;search_regexp&amp;""""</f>
        <v>#REF!</v>
      </c>
      <c r="BZW28" s="234" t="e">
        <f>astrogrep_path&amp;" /e /r /s /spath="&amp;search_path&amp;" /stypes=""app*"&amp;BYS28&amp;"*"&amp;TEXT(BYZ28-utc_offset/24,"YYYYMMDD")&amp;"*"" /stext="" "&amp;TEXT(BYZ28-utc_offset/24,"HH")&amp;search_regexp&amp;""""</f>
        <v>#REF!</v>
      </c>
      <c r="BZX28" s="234" t="e">
        <f>astrogrep_path&amp;" /e /r /s /spath="&amp;search_path&amp;" /stypes=""app*"&amp;BYT28&amp;"*"&amp;TEXT(BZA28-utc_offset/24,"YYYYMMDD")&amp;"*"" /stext="" "&amp;TEXT(BZA28-utc_offset/24,"HH")&amp;search_regexp&amp;""""</f>
        <v>#REF!</v>
      </c>
      <c r="BZY28" s="234" t="e">
        <f>astrogrep_path&amp;" /e /r /s /spath="&amp;search_path&amp;" /stypes=""app*"&amp;BYU28&amp;"*"&amp;TEXT(BZB28-utc_offset/24,"YYYYMMDD")&amp;"*"" /stext="" "&amp;TEXT(BZB28-utc_offset/24,"HH")&amp;search_regexp&amp;""""</f>
        <v>#REF!</v>
      </c>
      <c r="BZZ28" s="234" t="e">
        <f>astrogrep_path&amp;" /e /r /s /spath="&amp;search_path&amp;" /stypes=""app*"&amp;BYV28&amp;"*"&amp;TEXT(BZC28-utc_offset/24,"YYYYMMDD")&amp;"*"" /stext="" "&amp;TEXT(BZC28-utc_offset/24,"HH")&amp;search_regexp&amp;""""</f>
        <v>#REF!</v>
      </c>
      <c r="CAA28" s="234" t="e">
        <f>astrogrep_path&amp;" /e /r /s /spath="&amp;search_path&amp;" /stypes=""app*"&amp;BYW28&amp;"*"&amp;TEXT(BZD28-utc_offset/24,"YYYYMMDD")&amp;"*"" /stext="" "&amp;TEXT(BZD28-utc_offset/24,"HH")&amp;search_regexp&amp;""""</f>
        <v>#REF!</v>
      </c>
      <c r="CAB28" s="234" t="e">
        <f>astrogrep_path&amp;" /e /r /s /spath="&amp;search_path&amp;" /stypes=""app*"&amp;BYX28&amp;"*"&amp;TEXT(BZE28-utc_offset/24,"YYYYMMDD")&amp;"*"" /stext="" "&amp;TEXT(BZE28-utc_offset/24,"HH")&amp;search_regexp&amp;""""</f>
        <v>#REF!</v>
      </c>
      <c r="CAC28" s="234" t="e">
        <f>astrogrep_path&amp;" /e /r /s /spath="&amp;search_path&amp;" /stypes=""app*"&amp;BYY28&amp;"*"&amp;TEXT(BZF28-utc_offset/24,"YYYYMMDD")&amp;"*"" /stext="" "&amp;TEXT(BZF28-utc_offset/24,"HH")&amp;search_regexp&amp;""""</f>
        <v>#REF!</v>
      </c>
      <c r="CAD28" s="234" t="e">
        <f>astrogrep_path&amp;" /e /r /s /spath="&amp;search_path&amp;" /stypes=""app*"&amp;BYZ28&amp;"*"&amp;TEXT(BZG28-utc_offset/24,"YYYYMMDD")&amp;"*"" /stext="" "&amp;TEXT(BZG28-utc_offset/24,"HH")&amp;search_regexp&amp;""""</f>
        <v>#REF!</v>
      </c>
      <c r="CAE28" s="234" t="e">
        <f>astrogrep_path&amp;" /e /r /s /spath="&amp;search_path&amp;" /stypes=""app*"&amp;BZA28&amp;"*"&amp;TEXT(BZH28-utc_offset/24,"YYYYMMDD")&amp;"*"" /stext="" "&amp;TEXT(BZH28-utc_offset/24,"HH")&amp;search_regexp&amp;""""</f>
        <v>#REF!</v>
      </c>
      <c r="CAF28" s="234" t="e">
        <f>astrogrep_path&amp;" /e /r /s /spath="&amp;search_path&amp;" /stypes=""app*"&amp;BZB28&amp;"*"&amp;TEXT(BZI28-utc_offset/24,"YYYYMMDD")&amp;"*"" /stext="" "&amp;TEXT(BZI28-utc_offset/24,"HH")&amp;search_regexp&amp;""""</f>
        <v>#REF!</v>
      </c>
      <c r="CAG28" s="234" t="e">
        <f>astrogrep_path&amp;" /e /r /s /spath="&amp;search_path&amp;" /stypes=""app*"&amp;BZC28&amp;"*"&amp;TEXT(BZJ28-utc_offset/24,"YYYYMMDD")&amp;"*"" /stext="" "&amp;TEXT(BZJ28-utc_offset/24,"HH")&amp;search_regexp&amp;""""</f>
        <v>#REF!</v>
      </c>
      <c r="CAH28" s="234" t="e">
        <f>astrogrep_path&amp;" /e /r /s /spath="&amp;search_path&amp;" /stypes=""app*"&amp;BZD28&amp;"*"&amp;TEXT(BZK28-utc_offset/24,"YYYYMMDD")&amp;"*"" /stext="" "&amp;TEXT(BZK28-utc_offset/24,"HH")&amp;search_regexp&amp;""""</f>
        <v>#REF!</v>
      </c>
      <c r="CAI28" s="234" t="e">
        <f>astrogrep_path&amp;" /e /r /s /spath="&amp;search_path&amp;" /stypes=""app*"&amp;BZE28&amp;"*"&amp;TEXT(BZL28-utc_offset/24,"YYYYMMDD")&amp;"*"" /stext="" "&amp;TEXT(BZL28-utc_offset/24,"HH")&amp;search_regexp&amp;""""</f>
        <v>#REF!</v>
      </c>
      <c r="CAJ28" s="234" t="e">
        <f>astrogrep_path&amp;" /e /r /s /spath="&amp;search_path&amp;" /stypes=""app*"&amp;BZF28&amp;"*"&amp;TEXT(BZM28-utc_offset/24,"YYYYMMDD")&amp;"*"" /stext="" "&amp;TEXT(BZM28-utc_offset/24,"HH")&amp;search_regexp&amp;""""</f>
        <v>#REF!</v>
      </c>
      <c r="CAK28" s="234" t="e">
        <f>astrogrep_path&amp;" /e /r /s /spath="&amp;search_path&amp;" /stypes=""app*"&amp;BZG28&amp;"*"&amp;TEXT(BZN28-utc_offset/24,"YYYYMMDD")&amp;"*"" /stext="" "&amp;TEXT(BZN28-utc_offset/24,"HH")&amp;search_regexp&amp;""""</f>
        <v>#REF!</v>
      </c>
      <c r="CAL28" s="234" t="e">
        <f>astrogrep_path&amp;" /e /r /s /spath="&amp;search_path&amp;" /stypes=""app*"&amp;BZH28&amp;"*"&amp;TEXT(BZO28-utc_offset/24,"YYYYMMDD")&amp;"*"" /stext="" "&amp;TEXT(BZO28-utc_offset/24,"HH")&amp;search_regexp&amp;""""</f>
        <v>#REF!</v>
      </c>
      <c r="CAM28" s="234" t="e">
        <f>astrogrep_path&amp;" /e /r /s /spath="&amp;search_path&amp;" /stypes=""app*"&amp;BZI28&amp;"*"&amp;TEXT(BZP28-utc_offset/24,"YYYYMMDD")&amp;"*"" /stext="" "&amp;TEXT(BZP28-utc_offset/24,"HH")&amp;search_regexp&amp;""""</f>
        <v>#REF!</v>
      </c>
      <c r="CAN28" s="234" t="e">
        <f>astrogrep_path&amp;" /e /r /s /spath="&amp;search_path&amp;" /stypes=""app*"&amp;BZJ28&amp;"*"&amp;TEXT(BZQ28-utc_offset/24,"YYYYMMDD")&amp;"*"" /stext="" "&amp;TEXT(BZQ28-utc_offset/24,"HH")&amp;search_regexp&amp;""""</f>
        <v>#REF!</v>
      </c>
      <c r="CAO28" s="234" t="e">
        <f>astrogrep_path&amp;" /e /r /s /spath="&amp;search_path&amp;" /stypes=""app*"&amp;BZK28&amp;"*"&amp;TEXT(BZR28-utc_offset/24,"YYYYMMDD")&amp;"*"" /stext="" "&amp;TEXT(BZR28-utc_offset/24,"HH")&amp;search_regexp&amp;""""</f>
        <v>#REF!</v>
      </c>
      <c r="CAP28" s="234" t="e">
        <f>astrogrep_path&amp;" /e /r /s /spath="&amp;search_path&amp;" /stypes=""app*"&amp;BZL28&amp;"*"&amp;TEXT(BZS28-utc_offset/24,"YYYYMMDD")&amp;"*"" /stext="" "&amp;TEXT(BZS28-utc_offset/24,"HH")&amp;search_regexp&amp;""""</f>
        <v>#REF!</v>
      </c>
      <c r="CAQ28" s="234" t="e">
        <f>astrogrep_path&amp;" /e /r /s /spath="&amp;search_path&amp;" /stypes=""app*"&amp;BZM28&amp;"*"&amp;TEXT(BZT28-utc_offset/24,"YYYYMMDD")&amp;"*"" /stext="" "&amp;TEXT(BZT28-utc_offset/24,"HH")&amp;search_regexp&amp;""""</f>
        <v>#VALUE!</v>
      </c>
      <c r="CAR28" s="234" t="e">
        <f>astrogrep_path&amp;" /e /r /s /spath="&amp;search_path&amp;" /stypes=""app*"&amp;BZN28&amp;"*"&amp;TEXT(BZU28-utc_offset/24,"YYYYMMDD")&amp;"*"" /stext="" "&amp;TEXT(BZU28-utc_offset/24,"HH")&amp;search_regexp&amp;""""</f>
        <v>#VALUE!</v>
      </c>
      <c r="CAS28" s="234" t="e">
        <f>astrogrep_path&amp;" /e /r /s /spath="&amp;search_path&amp;" /stypes=""app*"&amp;BZO28&amp;"*"&amp;TEXT(BZV28-utc_offset/24,"YYYYMMDD")&amp;"*"" /stext="" "&amp;TEXT(BZV28-utc_offset/24,"HH")&amp;search_regexp&amp;""""</f>
        <v>#REF!</v>
      </c>
      <c r="CAT28" s="234" t="e">
        <f>astrogrep_path&amp;" /e /r /s /spath="&amp;search_path&amp;" /stypes=""app*"&amp;BZP28&amp;"*"&amp;TEXT(BZW28-utc_offset/24,"YYYYMMDD")&amp;"*"" /stext="" "&amp;TEXT(BZW28-utc_offset/24,"HH")&amp;search_regexp&amp;""""</f>
        <v>#REF!</v>
      </c>
      <c r="CAU28" s="234" t="e">
        <f>astrogrep_path&amp;" /e /r /s /spath="&amp;search_path&amp;" /stypes=""app*"&amp;BZQ28&amp;"*"&amp;TEXT(BZX28-utc_offset/24,"YYYYMMDD")&amp;"*"" /stext="" "&amp;TEXT(BZX28-utc_offset/24,"HH")&amp;search_regexp&amp;""""</f>
        <v>#VALUE!</v>
      </c>
      <c r="CAV28" s="234" t="e">
        <f>astrogrep_path&amp;" /e /r /s /spath="&amp;search_path&amp;" /stypes=""app*"&amp;BZR28&amp;"*"&amp;TEXT(BZY28-utc_offset/24,"YYYYMMDD")&amp;"*"" /stext="" "&amp;TEXT(BZY28-utc_offset/24,"HH")&amp;search_regexp&amp;""""</f>
        <v>#VALUE!</v>
      </c>
      <c r="CAW28" s="234" t="e">
        <f>astrogrep_path&amp;" /e /r /s /spath="&amp;search_path&amp;" /stypes=""app*"&amp;BZS28&amp;"*"&amp;TEXT(BZZ28-utc_offset/24,"YYYYMMDD")&amp;"*"" /stext="" "&amp;TEXT(BZZ28-utc_offset/24,"HH")&amp;search_regexp&amp;""""</f>
        <v>#VALUE!</v>
      </c>
      <c r="CAX28" s="234" t="e">
        <f>astrogrep_path&amp;" /e /r /s /spath="&amp;search_path&amp;" /stypes=""app*"&amp;BZT28&amp;"*"&amp;TEXT(CAA28-utc_offset/24,"YYYYMMDD")&amp;"*"" /stext="" "&amp;TEXT(CAA28-utc_offset/24,"HH")&amp;search_regexp&amp;""""</f>
        <v>#VALUE!</v>
      </c>
      <c r="CAY28" s="234" t="e">
        <f>astrogrep_path&amp;" /e /r /s /spath="&amp;search_path&amp;" /stypes=""app*"&amp;BZU28&amp;"*"&amp;TEXT(CAB28-utc_offset/24,"YYYYMMDD")&amp;"*"" /stext="" "&amp;TEXT(CAB28-utc_offset/24,"HH")&amp;search_regexp&amp;""""</f>
        <v>#VALUE!</v>
      </c>
      <c r="CAZ28" s="234" t="e">
        <f>astrogrep_path&amp;" /e /r /s /spath="&amp;search_path&amp;" /stypes=""app*"&amp;BZV28&amp;"*"&amp;TEXT(CAC28-utc_offset/24,"YYYYMMDD")&amp;"*"" /stext="" "&amp;TEXT(CAC28-utc_offset/24,"HH")&amp;search_regexp&amp;""""</f>
        <v>#REF!</v>
      </c>
      <c r="CBA28" s="234" t="e">
        <f>astrogrep_path&amp;" /e /r /s /spath="&amp;search_path&amp;" /stypes=""app*"&amp;BZW28&amp;"*"&amp;TEXT(CAD28-utc_offset/24,"YYYYMMDD")&amp;"*"" /stext="" "&amp;TEXT(CAD28-utc_offset/24,"HH")&amp;search_regexp&amp;""""</f>
        <v>#REF!</v>
      </c>
      <c r="CBB28" s="234" t="e">
        <f>astrogrep_path&amp;" /e /r /s /spath="&amp;search_path&amp;" /stypes=""app*"&amp;BZX28&amp;"*"&amp;TEXT(CAE28-utc_offset/24,"YYYYMMDD")&amp;"*"" /stext="" "&amp;TEXT(CAE28-utc_offset/24,"HH")&amp;search_regexp&amp;""""</f>
        <v>#REF!</v>
      </c>
      <c r="CBC28" s="234" t="e">
        <f>astrogrep_path&amp;" /e /r /s /spath="&amp;search_path&amp;" /stypes=""app*"&amp;BZY28&amp;"*"&amp;TEXT(CAF28-utc_offset/24,"YYYYMMDD")&amp;"*"" /stext="" "&amp;TEXT(CAF28-utc_offset/24,"HH")&amp;search_regexp&amp;""""</f>
        <v>#REF!</v>
      </c>
      <c r="CBD28" s="234" t="e">
        <f>astrogrep_path&amp;" /e /r /s /spath="&amp;search_path&amp;" /stypes=""app*"&amp;BZZ28&amp;"*"&amp;TEXT(CAG28-utc_offset/24,"YYYYMMDD")&amp;"*"" /stext="" "&amp;TEXT(CAG28-utc_offset/24,"HH")&amp;search_regexp&amp;""""</f>
        <v>#REF!</v>
      </c>
      <c r="CBE28" s="234" t="e">
        <f>astrogrep_path&amp;" /e /r /s /spath="&amp;search_path&amp;" /stypes=""app*"&amp;CAA28&amp;"*"&amp;TEXT(CAH28-utc_offset/24,"YYYYMMDD")&amp;"*"" /stext="" "&amp;TEXT(CAH28-utc_offset/24,"HH")&amp;search_regexp&amp;""""</f>
        <v>#REF!</v>
      </c>
      <c r="CBF28" s="234" t="e">
        <f>astrogrep_path&amp;" /e /r /s /spath="&amp;search_path&amp;" /stypes=""app*"&amp;CAB28&amp;"*"&amp;TEXT(CAI28-utc_offset/24,"YYYYMMDD")&amp;"*"" /stext="" "&amp;TEXT(CAI28-utc_offset/24,"HH")&amp;search_regexp&amp;""""</f>
        <v>#REF!</v>
      </c>
      <c r="CBG28" s="234" t="e">
        <f>astrogrep_path&amp;" /e /r /s /spath="&amp;search_path&amp;" /stypes=""app*"&amp;CAC28&amp;"*"&amp;TEXT(CAJ28-utc_offset/24,"YYYYMMDD")&amp;"*"" /stext="" "&amp;TEXT(CAJ28-utc_offset/24,"HH")&amp;search_regexp&amp;""""</f>
        <v>#REF!</v>
      </c>
      <c r="CBH28" s="234" t="e">
        <f>astrogrep_path&amp;" /e /r /s /spath="&amp;search_path&amp;" /stypes=""app*"&amp;CAD28&amp;"*"&amp;TEXT(CAK28-utc_offset/24,"YYYYMMDD")&amp;"*"" /stext="" "&amp;TEXT(CAK28-utc_offset/24,"HH")&amp;search_regexp&amp;""""</f>
        <v>#REF!</v>
      </c>
      <c r="CBI28" s="234" t="e">
        <f>astrogrep_path&amp;" /e /r /s /spath="&amp;search_path&amp;" /stypes=""app*"&amp;CAE28&amp;"*"&amp;TEXT(CAL28-utc_offset/24,"YYYYMMDD")&amp;"*"" /stext="" "&amp;TEXT(CAL28-utc_offset/24,"HH")&amp;search_regexp&amp;""""</f>
        <v>#REF!</v>
      </c>
      <c r="CBJ28" s="234" t="e">
        <f>astrogrep_path&amp;" /e /r /s /spath="&amp;search_path&amp;" /stypes=""app*"&amp;CAF28&amp;"*"&amp;TEXT(CAM28-utc_offset/24,"YYYYMMDD")&amp;"*"" /stext="" "&amp;TEXT(CAM28-utc_offset/24,"HH")&amp;search_regexp&amp;""""</f>
        <v>#REF!</v>
      </c>
      <c r="CBK28" s="234" t="e">
        <f>astrogrep_path&amp;" /e /r /s /spath="&amp;search_path&amp;" /stypes=""app*"&amp;CAG28&amp;"*"&amp;TEXT(CAN28-utc_offset/24,"YYYYMMDD")&amp;"*"" /stext="" "&amp;TEXT(CAN28-utc_offset/24,"HH")&amp;search_regexp&amp;""""</f>
        <v>#REF!</v>
      </c>
      <c r="CBL28" s="234" t="e">
        <f>astrogrep_path&amp;" /e /r /s /spath="&amp;search_path&amp;" /stypes=""app*"&amp;CAH28&amp;"*"&amp;TEXT(CAO28-utc_offset/24,"YYYYMMDD")&amp;"*"" /stext="" "&amp;TEXT(CAO28-utc_offset/24,"HH")&amp;search_regexp&amp;""""</f>
        <v>#REF!</v>
      </c>
      <c r="CBM28" s="234" t="e">
        <f>astrogrep_path&amp;" /e /r /s /spath="&amp;search_path&amp;" /stypes=""app*"&amp;CAI28&amp;"*"&amp;TEXT(CAP28-utc_offset/24,"YYYYMMDD")&amp;"*"" /stext="" "&amp;TEXT(CAP28-utc_offset/24,"HH")&amp;search_regexp&amp;""""</f>
        <v>#REF!</v>
      </c>
      <c r="CBN28" s="234" t="e">
        <f>astrogrep_path&amp;" /e /r /s /spath="&amp;search_path&amp;" /stypes=""app*"&amp;CAJ28&amp;"*"&amp;TEXT(CAQ28-utc_offset/24,"YYYYMMDD")&amp;"*"" /stext="" "&amp;TEXT(CAQ28-utc_offset/24,"HH")&amp;search_regexp&amp;""""</f>
        <v>#REF!</v>
      </c>
      <c r="CBO28" s="234" t="e">
        <f>astrogrep_path&amp;" /e /r /s /spath="&amp;search_path&amp;" /stypes=""app*"&amp;CAK28&amp;"*"&amp;TEXT(CAR28-utc_offset/24,"YYYYMMDD")&amp;"*"" /stext="" "&amp;TEXT(CAR28-utc_offset/24,"HH")&amp;search_regexp&amp;""""</f>
        <v>#REF!</v>
      </c>
      <c r="CBP28" s="234" t="e">
        <f>astrogrep_path&amp;" /e /r /s /spath="&amp;search_path&amp;" /stypes=""app*"&amp;CAL28&amp;"*"&amp;TEXT(CAS28-utc_offset/24,"YYYYMMDD")&amp;"*"" /stext="" "&amp;TEXT(CAS28-utc_offset/24,"HH")&amp;search_regexp&amp;""""</f>
        <v>#REF!</v>
      </c>
      <c r="CBQ28" s="234" t="e">
        <f>astrogrep_path&amp;" /e /r /s /spath="&amp;search_path&amp;" /stypes=""app*"&amp;CAM28&amp;"*"&amp;TEXT(CAT28-utc_offset/24,"YYYYMMDD")&amp;"*"" /stext="" "&amp;TEXT(CAT28-utc_offset/24,"HH")&amp;search_regexp&amp;""""</f>
        <v>#REF!</v>
      </c>
      <c r="CBR28" s="234" t="e">
        <f>astrogrep_path&amp;" /e /r /s /spath="&amp;search_path&amp;" /stypes=""app*"&amp;CAN28&amp;"*"&amp;TEXT(CAU28-utc_offset/24,"YYYYMMDD")&amp;"*"" /stext="" "&amp;TEXT(CAU28-utc_offset/24,"HH")&amp;search_regexp&amp;""""</f>
        <v>#REF!</v>
      </c>
      <c r="CBS28" s="234" t="e">
        <f>astrogrep_path&amp;" /e /r /s /spath="&amp;search_path&amp;" /stypes=""app*"&amp;CAO28&amp;"*"&amp;TEXT(CAV28-utc_offset/24,"YYYYMMDD")&amp;"*"" /stext="" "&amp;TEXT(CAV28-utc_offset/24,"HH")&amp;search_regexp&amp;""""</f>
        <v>#REF!</v>
      </c>
      <c r="CBT28" s="234" t="e">
        <f>astrogrep_path&amp;" /e /r /s /spath="&amp;search_path&amp;" /stypes=""app*"&amp;CAP28&amp;"*"&amp;TEXT(CAW28-utc_offset/24,"YYYYMMDD")&amp;"*"" /stext="" "&amp;TEXT(CAW28-utc_offset/24,"HH")&amp;search_regexp&amp;""""</f>
        <v>#REF!</v>
      </c>
      <c r="CBU28" s="234" t="e">
        <f>astrogrep_path&amp;" /e /r /s /spath="&amp;search_path&amp;" /stypes=""app*"&amp;CAQ28&amp;"*"&amp;TEXT(CAX28-utc_offset/24,"YYYYMMDD")&amp;"*"" /stext="" "&amp;TEXT(CAX28-utc_offset/24,"HH")&amp;search_regexp&amp;""""</f>
        <v>#VALUE!</v>
      </c>
      <c r="CBV28" s="234" t="e">
        <f>astrogrep_path&amp;" /e /r /s /spath="&amp;search_path&amp;" /stypes=""app*"&amp;CAR28&amp;"*"&amp;TEXT(CAY28-utc_offset/24,"YYYYMMDD")&amp;"*"" /stext="" "&amp;TEXT(CAY28-utc_offset/24,"HH")&amp;search_regexp&amp;""""</f>
        <v>#VALUE!</v>
      </c>
      <c r="CBW28" s="234" t="e">
        <f>astrogrep_path&amp;" /e /r /s /spath="&amp;search_path&amp;" /stypes=""app*"&amp;CAS28&amp;"*"&amp;TEXT(CAZ28-utc_offset/24,"YYYYMMDD")&amp;"*"" /stext="" "&amp;TEXT(CAZ28-utc_offset/24,"HH")&amp;search_regexp&amp;""""</f>
        <v>#REF!</v>
      </c>
      <c r="CBX28" s="234" t="e">
        <f>astrogrep_path&amp;" /e /r /s /spath="&amp;search_path&amp;" /stypes=""app*"&amp;CAT28&amp;"*"&amp;TEXT(CBA28-utc_offset/24,"YYYYMMDD")&amp;"*"" /stext="" "&amp;TEXT(CBA28-utc_offset/24,"HH")&amp;search_regexp&amp;""""</f>
        <v>#REF!</v>
      </c>
      <c r="CBY28" s="234" t="e">
        <f>astrogrep_path&amp;" /e /r /s /spath="&amp;search_path&amp;" /stypes=""app*"&amp;CAU28&amp;"*"&amp;TEXT(CBB28-utc_offset/24,"YYYYMMDD")&amp;"*"" /stext="" "&amp;TEXT(CBB28-utc_offset/24,"HH")&amp;search_regexp&amp;""""</f>
        <v>#VALUE!</v>
      </c>
      <c r="CBZ28" s="234" t="e">
        <f>astrogrep_path&amp;" /e /r /s /spath="&amp;search_path&amp;" /stypes=""app*"&amp;CAV28&amp;"*"&amp;TEXT(CBC28-utc_offset/24,"YYYYMMDD")&amp;"*"" /stext="" "&amp;TEXT(CBC28-utc_offset/24,"HH")&amp;search_regexp&amp;""""</f>
        <v>#VALUE!</v>
      </c>
      <c r="CCA28" s="234" t="e">
        <f>astrogrep_path&amp;" /e /r /s /spath="&amp;search_path&amp;" /stypes=""app*"&amp;CAW28&amp;"*"&amp;TEXT(CBD28-utc_offset/24,"YYYYMMDD")&amp;"*"" /stext="" "&amp;TEXT(CBD28-utc_offset/24,"HH")&amp;search_regexp&amp;""""</f>
        <v>#VALUE!</v>
      </c>
      <c r="CCB28" s="234" t="e">
        <f>astrogrep_path&amp;" /e /r /s /spath="&amp;search_path&amp;" /stypes=""app*"&amp;CAX28&amp;"*"&amp;TEXT(CBE28-utc_offset/24,"YYYYMMDD")&amp;"*"" /stext="" "&amp;TEXT(CBE28-utc_offset/24,"HH")&amp;search_regexp&amp;""""</f>
        <v>#VALUE!</v>
      </c>
      <c r="CCC28" s="234" t="e">
        <f>astrogrep_path&amp;" /e /r /s /spath="&amp;search_path&amp;" /stypes=""app*"&amp;CAY28&amp;"*"&amp;TEXT(CBF28-utc_offset/24,"YYYYMMDD")&amp;"*"" /stext="" "&amp;TEXT(CBF28-utc_offset/24,"HH")&amp;search_regexp&amp;""""</f>
        <v>#VALUE!</v>
      </c>
      <c r="CCD28" s="234" t="e">
        <f>astrogrep_path&amp;" /e /r /s /spath="&amp;search_path&amp;" /stypes=""app*"&amp;CAZ28&amp;"*"&amp;TEXT(CBG28-utc_offset/24,"YYYYMMDD")&amp;"*"" /stext="" "&amp;TEXT(CBG28-utc_offset/24,"HH")&amp;search_regexp&amp;""""</f>
        <v>#REF!</v>
      </c>
      <c r="CCE28" s="234" t="e">
        <f>astrogrep_path&amp;" /e /r /s /spath="&amp;search_path&amp;" /stypes=""app*"&amp;CBA28&amp;"*"&amp;TEXT(CBH28-utc_offset/24,"YYYYMMDD")&amp;"*"" /stext="" "&amp;TEXT(CBH28-utc_offset/24,"HH")&amp;search_regexp&amp;""""</f>
        <v>#REF!</v>
      </c>
      <c r="CCF28" s="234" t="e">
        <f>astrogrep_path&amp;" /e /r /s /spath="&amp;search_path&amp;" /stypes=""app*"&amp;CBB28&amp;"*"&amp;TEXT(CBI28-utc_offset/24,"YYYYMMDD")&amp;"*"" /stext="" "&amp;TEXT(CBI28-utc_offset/24,"HH")&amp;search_regexp&amp;""""</f>
        <v>#REF!</v>
      </c>
      <c r="CCG28" s="234" t="e">
        <f>astrogrep_path&amp;" /e /r /s /spath="&amp;search_path&amp;" /stypes=""app*"&amp;CBC28&amp;"*"&amp;TEXT(CBJ28-utc_offset/24,"YYYYMMDD")&amp;"*"" /stext="" "&amp;TEXT(CBJ28-utc_offset/24,"HH")&amp;search_regexp&amp;""""</f>
        <v>#REF!</v>
      </c>
      <c r="CCH28" s="234" t="e">
        <f>astrogrep_path&amp;" /e /r /s /spath="&amp;search_path&amp;" /stypes=""app*"&amp;CBD28&amp;"*"&amp;TEXT(CBK28-utc_offset/24,"YYYYMMDD")&amp;"*"" /stext="" "&amp;TEXT(CBK28-utc_offset/24,"HH")&amp;search_regexp&amp;""""</f>
        <v>#REF!</v>
      </c>
      <c r="CCI28" s="234" t="e">
        <f>astrogrep_path&amp;" /e /r /s /spath="&amp;search_path&amp;" /stypes=""app*"&amp;CBE28&amp;"*"&amp;TEXT(CBL28-utc_offset/24,"YYYYMMDD")&amp;"*"" /stext="" "&amp;TEXT(CBL28-utc_offset/24,"HH")&amp;search_regexp&amp;""""</f>
        <v>#REF!</v>
      </c>
      <c r="CCJ28" s="234" t="e">
        <f>astrogrep_path&amp;" /e /r /s /spath="&amp;search_path&amp;" /stypes=""app*"&amp;CBF28&amp;"*"&amp;TEXT(CBM28-utc_offset/24,"YYYYMMDD")&amp;"*"" /stext="" "&amp;TEXT(CBM28-utc_offset/24,"HH")&amp;search_regexp&amp;""""</f>
        <v>#REF!</v>
      </c>
      <c r="CCK28" s="234" t="e">
        <f>astrogrep_path&amp;" /e /r /s /spath="&amp;search_path&amp;" /stypes=""app*"&amp;CBG28&amp;"*"&amp;TEXT(CBN28-utc_offset/24,"YYYYMMDD")&amp;"*"" /stext="" "&amp;TEXT(CBN28-utc_offset/24,"HH")&amp;search_regexp&amp;""""</f>
        <v>#REF!</v>
      </c>
      <c r="CCL28" s="234" t="e">
        <f>astrogrep_path&amp;" /e /r /s /spath="&amp;search_path&amp;" /stypes=""app*"&amp;CBH28&amp;"*"&amp;TEXT(CBO28-utc_offset/24,"YYYYMMDD")&amp;"*"" /stext="" "&amp;TEXT(CBO28-utc_offset/24,"HH")&amp;search_regexp&amp;""""</f>
        <v>#REF!</v>
      </c>
      <c r="CCM28" s="234" t="e">
        <f>astrogrep_path&amp;" /e /r /s /spath="&amp;search_path&amp;" /stypes=""app*"&amp;CBI28&amp;"*"&amp;TEXT(CBP28-utc_offset/24,"YYYYMMDD")&amp;"*"" /stext="" "&amp;TEXT(CBP28-utc_offset/24,"HH")&amp;search_regexp&amp;""""</f>
        <v>#REF!</v>
      </c>
      <c r="CCN28" s="234" t="e">
        <f>astrogrep_path&amp;" /e /r /s /spath="&amp;search_path&amp;" /stypes=""app*"&amp;CBJ28&amp;"*"&amp;TEXT(CBQ28-utc_offset/24,"YYYYMMDD")&amp;"*"" /stext="" "&amp;TEXT(CBQ28-utc_offset/24,"HH")&amp;search_regexp&amp;""""</f>
        <v>#REF!</v>
      </c>
      <c r="CCO28" s="234" t="e">
        <f>astrogrep_path&amp;" /e /r /s /spath="&amp;search_path&amp;" /stypes=""app*"&amp;CBK28&amp;"*"&amp;TEXT(CBR28-utc_offset/24,"YYYYMMDD")&amp;"*"" /stext="" "&amp;TEXT(CBR28-utc_offset/24,"HH")&amp;search_regexp&amp;""""</f>
        <v>#REF!</v>
      </c>
      <c r="CCP28" s="234" t="e">
        <f>astrogrep_path&amp;" /e /r /s /spath="&amp;search_path&amp;" /stypes=""app*"&amp;CBL28&amp;"*"&amp;TEXT(CBS28-utc_offset/24,"YYYYMMDD")&amp;"*"" /stext="" "&amp;TEXT(CBS28-utc_offset/24,"HH")&amp;search_regexp&amp;""""</f>
        <v>#REF!</v>
      </c>
      <c r="CCQ28" s="234" t="e">
        <f>astrogrep_path&amp;" /e /r /s /spath="&amp;search_path&amp;" /stypes=""app*"&amp;CBM28&amp;"*"&amp;TEXT(CBT28-utc_offset/24,"YYYYMMDD")&amp;"*"" /stext="" "&amp;TEXT(CBT28-utc_offset/24,"HH")&amp;search_regexp&amp;""""</f>
        <v>#REF!</v>
      </c>
      <c r="CCR28" s="234" t="e">
        <f>astrogrep_path&amp;" /e /r /s /spath="&amp;search_path&amp;" /stypes=""app*"&amp;CBN28&amp;"*"&amp;TEXT(CBU28-utc_offset/24,"YYYYMMDD")&amp;"*"" /stext="" "&amp;TEXT(CBU28-utc_offset/24,"HH")&amp;search_regexp&amp;""""</f>
        <v>#REF!</v>
      </c>
      <c r="CCS28" s="234" t="e">
        <f>astrogrep_path&amp;" /e /r /s /spath="&amp;search_path&amp;" /stypes=""app*"&amp;CBO28&amp;"*"&amp;TEXT(CBV28-utc_offset/24,"YYYYMMDD")&amp;"*"" /stext="" "&amp;TEXT(CBV28-utc_offset/24,"HH")&amp;search_regexp&amp;""""</f>
        <v>#REF!</v>
      </c>
      <c r="CCT28" s="234" t="e">
        <f>astrogrep_path&amp;" /e /r /s /spath="&amp;search_path&amp;" /stypes=""app*"&amp;CBP28&amp;"*"&amp;TEXT(CBW28-utc_offset/24,"YYYYMMDD")&amp;"*"" /stext="" "&amp;TEXT(CBW28-utc_offset/24,"HH")&amp;search_regexp&amp;""""</f>
        <v>#REF!</v>
      </c>
      <c r="CCU28" s="234" t="e">
        <f>astrogrep_path&amp;" /e /r /s /spath="&amp;search_path&amp;" /stypes=""app*"&amp;CBQ28&amp;"*"&amp;TEXT(CBX28-utc_offset/24,"YYYYMMDD")&amp;"*"" /stext="" "&amp;TEXT(CBX28-utc_offset/24,"HH")&amp;search_regexp&amp;""""</f>
        <v>#REF!</v>
      </c>
      <c r="CCV28" s="234" t="e">
        <f>astrogrep_path&amp;" /e /r /s /spath="&amp;search_path&amp;" /stypes=""app*"&amp;CBR28&amp;"*"&amp;TEXT(CBY28-utc_offset/24,"YYYYMMDD")&amp;"*"" /stext="" "&amp;TEXT(CBY28-utc_offset/24,"HH")&amp;search_regexp&amp;""""</f>
        <v>#REF!</v>
      </c>
      <c r="CCW28" s="234" t="e">
        <f>astrogrep_path&amp;" /e /r /s /spath="&amp;search_path&amp;" /stypes=""app*"&amp;CBS28&amp;"*"&amp;TEXT(CBZ28-utc_offset/24,"YYYYMMDD")&amp;"*"" /stext="" "&amp;TEXT(CBZ28-utc_offset/24,"HH")&amp;search_regexp&amp;""""</f>
        <v>#REF!</v>
      </c>
      <c r="CCX28" s="234" t="e">
        <f>astrogrep_path&amp;" /e /r /s /spath="&amp;search_path&amp;" /stypes=""app*"&amp;CBT28&amp;"*"&amp;TEXT(CCA28-utc_offset/24,"YYYYMMDD")&amp;"*"" /stext="" "&amp;TEXT(CCA28-utc_offset/24,"HH")&amp;search_regexp&amp;""""</f>
        <v>#REF!</v>
      </c>
      <c r="CCY28" s="234" t="e">
        <f>astrogrep_path&amp;" /e /r /s /spath="&amp;search_path&amp;" /stypes=""app*"&amp;CBU28&amp;"*"&amp;TEXT(CCB28-utc_offset/24,"YYYYMMDD")&amp;"*"" /stext="" "&amp;TEXT(CCB28-utc_offset/24,"HH")&amp;search_regexp&amp;""""</f>
        <v>#VALUE!</v>
      </c>
      <c r="CCZ28" s="234" t="e">
        <f>astrogrep_path&amp;" /e /r /s /spath="&amp;search_path&amp;" /stypes=""app*"&amp;CBV28&amp;"*"&amp;TEXT(CCC28-utc_offset/24,"YYYYMMDD")&amp;"*"" /stext="" "&amp;TEXT(CCC28-utc_offset/24,"HH")&amp;search_regexp&amp;""""</f>
        <v>#VALUE!</v>
      </c>
      <c r="CDA28" s="234" t="e">
        <f>astrogrep_path&amp;" /e /r /s /spath="&amp;search_path&amp;" /stypes=""app*"&amp;CBW28&amp;"*"&amp;TEXT(CCD28-utc_offset/24,"YYYYMMDD")&amp;"*"" /stext="" "&amp;TEXT(CCD28-utc_offset/24,"HH")&amp;search_regexp&amp;""""</f>
        <v>#REF!</v>
      </c>
      <c r="CDB28" s="234" t="e">
        <f>astrogrep_path&amp;" /e /r /s /spath="&amp;search_path&amp;" /stypes=""app*"&amp;CBX28&amp;"*"&amp;TEXT(CCE28-utc_offset/24,"YYYYMMDD")&amp;"*"" /stext="" "&amp;TEXT(CCE28-utc_offset/24,"HH")&amp;search_regexp&amp;""""</f>
        <v>#REF!</v>
      </c>
      <c r="CDC28" s="234" t="e">
        <f>astrogrep_path&amp;" /e /r /s /spath="&amp;search_path&amp;" /stypes=""app*"&amp;CBY28&amp;"*"&amp;TEXT(CCF28-utc_offset/24,"YYYYMMDD")&amp;"*"" /stext="" "&amp;TEXT(CCF28-utc_offset/24,"HH")&amp;search_regexp&amp;""""</f>
        <v>#VALUE!</v>
      </c>
      <c r="CDD28" s="234" t="e">
        <f>astrogrep_path&amp;" /e /r /s /spath="&amp;search_path&amp;" /stypes=""app*"&amp;CBZ28&amp;"*"&amp;TEXT(CCG28-utc_offset/24,"YYYYMMDD")&amp;"*"" /stext="" "&amp;TEXT(CCG28-utc_offset/24,"HH")&amp;search_regexp&amp;""""</f>
        <v>#VALUE!</v>
      </c>
      <c r="CDE28" s="234" t="e">
        <f>astrogrep_path&amp;" /e /r /s /spath="&amp;search_path&amp;" /stypes=""app*"&amp;CCA28&amp;"*"&amp;TEXT(CCH28-utc_offset/24,"YYYYMMDD")&amp;"*"" /stext="" "&amp;TEXT(CCH28-utc_offset/24,"HH")&amp;search_regexp&amp;""""</f>
        <v>#VALUE!</v>
      </c>
      <c r="CDF28" s="234" t="e">
        <f>astrogrep_path&amp;" /e /r /s /spath="&amp;search_path&amp;" /stypes=""app*"&amp;CCB28&amp;"*"&amp;TEXT(CCI28-utc_offset/24,"YYYYMMDD")&amp;"*"" /stext="" "&amp;TEXT(CCI28-utc_offset/24,"HH")&amp;search_regexp&amp;""""</f>
        <v>#VALUE!</v>
      </c>
      <c r="CDG28" s="234" t="e">
        <f>astrogrep_path&amp;" /e /r /s /spath="&amp;search_path&amp;" /stypes=""app*"&amp;CCC28&amp;"*"&amp;TEXT(CCJ28-utc_offset/24,"YYYYMMDD")&amp;"*"" /stext="" "&amp;TEXT(CCJ28-utc_offset/24,"HH")&amp;search_regexp&amp;""""</f>
        <v>#VALUE!</v>
      </c>
      <c r="CDH28" s="234" t="e">
        <f>astrogrep_path&amp;" /e /r /s /spath="&amp;search_path&amp;" /stypes=""app*"&amp;CCD28&amp;"*"&amp;TEXT(CCK28-utc_offset/24,"YYYYMMDD")&amp;"*"" /stext="" "&amp;TEXT(CCK28-utc_offset/24,"HH")&amp;search_regexp&amp;""""</f>
        <v>#REF!</v>
      </c>
      <c r="CDI28" s="234" t="e">
        <f>astrogrep_path&amp;" /e /r /s /spath="&amp;search_path&amp;" /stypes=""app*"&amp;CCE28&amp;"*"&amp;TEXT(CCL28-utc_offset/24,"YYYYMMDD")&amp;"*"" /stext="" "&amp;TEXT(CCL28-utc_offset/24,"HH")&amp;search_regexp&amp;""""</f>
        <v>#REF!</v>
      </c>
      <c r="CDJ28" s="234" t="e">
        <f>astrogrep_path&amp;" /e /r /s /spath="&amp;search_path&amp;" /stypes=""app*"&amp;CCF28&amp;"*"&amp;TEXT(CCM28-utc_offset/24,"YYYYMMDD")&amp;"*"" /stext="" "&amp;TEXT(CCM28-utc_offset/24,"HH")&amp;search_regexp&amp;""""</f>
        <v>#REF!</v>
      </c>
      <c r="CDK28" s="234" t="e">
        <f>astrogrep_path&amp;" /e /r /s /spath="&amp;search_path&amp;" /stypes=""app*"&amp;CCG28&amp;"*"&amp;TEXT(CCN28-utc_offset/24,"YYYYMMDD")&amp;"*"" /stext="" "&amp;TEXT(CCN28-utc_offset/24,"HH")&amp;search_regexp&amp;""""</f>
        <v>#REF!</v>
      </c>
      <c r="CDL28" s="234" t="e">
        <f>astrogrep_path&amp;" /e /r /s /spath="&amp;search_path&amp;" /stypes=""app*"&amp;CCH28&amp;"*"&amp;TEXT(CCO28-utc_offset/24,"YYYYMMDD")&amp;"*"" /stext="" "&amp;TEXT(CCO28-utc_offset/24,"HH")&amp;search_regexp&amp;""""</f>
        <v>#REF!</v>
      </c>
      <c r="CDM28" s="234" t="e">
        <f>astrogrep_path&amp;" /e /r /s /spath="&amp;search_path&amp;" /stypes=""app*"&amp;CCI28&amp;"*"&amp;TEXT(CCP28-utc_offset/24,"YYYYMMDD")&amp;"*"" /stext="" "&amp;TEXT(CCP28-utc_offset/24,"HH")&amp;search_regexp&amp;""""</f>
        <v>#REF!</v>
      </c>
      <c r="CDN28" s="234" t="e">
        <f>astrogrep_path&amp;" /e /r /s /spath="&amp;search_path&amp;" /stypes=""app*"&amp;CCJ28&amp;"*"&amp;TEXT(CCQ28-utc_offset/24,"YYYYMMDD")&amp;"*"" /stext="" "&amp;TEXT(CCQ28-utc_offset/24,"HH")&amp;search_regexp&amp;""""</f>
        <v>#REF!</v>
      </c>
      <c r="CDO28" s="234" t="e">
        <f>astrogrep_path&amp;" /e /r /s /spath="&amp;search_path&amp;" /stypes=""app*"&amp;CCK28&amp;"*"&amp;TEXT(CCR28-utc_offset/24,"YYYYMMDD")&amp;"*"" /stext="" "&amp;TEXT(CCR28-utc_offset/24,"HH")&amp;search_regexp&amp;""""</f>
        <v>#REF!</v>
      </c>
      <c r="CDP28" s="234" t="e">
        <f>astrogrep_path&amp;" /e /r /s /spath="&amp;search_path&amp;" /stypes=""app*"&amp;CCL28&amp;"*"&amp;TEXT(CCS28-utc_offset/24,"YYYYMMDD")&amp;"*"" /stext="" "&amp;TEXT(CCS28-utc_offset/24,"HH")&amp;search_regexp&amp;""""</f>
        <v>#REF!</v>
      </c>
      <c r="CDQ28" s="234" t="e">
        <f>astrogrep_path&amp;" /e /r /s /spath="&amp;search_path&amp;" /stypes=""app*"&amp;CCM28&amp;"*"&amp;TEXT(CCT28-utc_offset/24,"YYYYMMDD")&amp;"*"" /stext="" "&amp;TEXT(CCT28-utc_offset/24,"HH")&amp;search_regexp&amp;""""</f>
        <v>#REF!</v>
      </c>
      <c r="CDR28" s="234" t="e">
        <f>astrogrep_path&amp;" /e /r /s /spath="&amp;search_path&amp;" /stypes=""app*"&amp;CCN28&amp;"*"&amp;TEXT(CCU28-utc_offset/24,"YYYYMMDD")&amp;"*"" /stext="" "&amp;TEXT(CCU28-utc_offset/24,"HH")&amp;search_regexp&amp;""""</f>
        <v>#REF!</v>
      </c>
      <c r="CDS28" s="234" t="e">
        <f>astrogrep_path&amp;" /e /r /s /spath="&amp;search_path&amp;" /stypes=""app*"&amp;CCO28&amp;"*"&amp;TEXT(CCV28-utc_offset/24,"YYYYMMDD")&amp;"*"" /stext="" "&amp;TEXT(CCV28-utc_offset/24,"HH")&amp;search_regexp&amp;""""</f>
        <v>#REF!</v>
      </c>
      <c r="CDT28" s="234" t="e">
        <f>astrogrep_path&amp;" /e /r /s /spath="&amp;search_path&amp;" /stypes=""app*"&amp;CCP28&amp;"*"&amp;TEXT(CCW28-utc_offset/24,"YYYYMMDD")&amp;"*"" /stext="" "&amp;TEXT(CCW28-utc_offset/24,"HH")&amp;search_regexp&amp;""""</f>
        <v>#REF!</v>
      </c>
      <c r="CDU28" s="234" t="e">
        <f>astrogrep_path&amp;" /e /r /s /spath="&amp;search_path&amp;" /stypes=""app*"&amp;CCQ28&amp;"*"&amp;TEXT(CCX28-utc_offset/24,"YYYYMMDD")&amp;"*"" /stext="" "&amp;TEXT(CCX28-utc_offset/24,"HH")&amp;search_regexp&amp;""""</f>
        <v>#REF!</v>
      </c>
      <c r="CDV28" s="234" t="e">
        <f>astrogrep_path&amp;" /e /r /s /spath="&amp;search_path&amp;" /stypes=""app*"&amp;CCR28&amp;"*"&amp;TEXT(CCY28-utc_offset/24,"YYYYMMDD")&amp;"*"" /stext="" "&amp;TEXT(CCY28-utc_offset/24,"HH")&amp;search_regexp&amp;""""</f>
        <v>#REF!</v>
      </c>
      <c r="CDW28" s="234" t="e">
        <f>astrogrep_path&amp;" /e /r /s /spath="&amp;search_path&amp;" /stypes=""app*"&amp;CCS28&amp;"*"&amp;TEXT(CCZ28-utc_offset/24,"YYYYMMDD")&amp;"*"" /stext="" "&amp;TEXT(CCZ28-utc_offset/24,"HH")&amp;search_regexp&amp;""""</f>
        <v>#REF!</v>
      </c>
      <c r="CDX28" s="234" t="e">
        <f>astrogrep_path&amp;" /e /r /s /spath="&amp;search_path&amp;" /stypes=""app*"&amp;CCT28&amp;"*"&amp;TEXT(CDA28-utc_offset/24,"YYYYMMDD")&amp;"*"" /stext="" "&amp;TEXT(CDA28-utc_offset/24,"HH")&amp;search_regexp&amp;""""</f>
        <v>#REF!</v>
      </c>
      <c r="CDY28" s="234" t="e">
        <f>astrogrep_path&amp;" /e /r /s /spath="&amp;search_path&amp;" /stypes=""app*"&amp;CCU28&amp;"*"&amp;TEXT(CDB28-utc_offset/24,"YYYYMMDD")&amp;"*"" /stext="" "&amp;TEXT(CDB28-utc_offset/24,"HH")&amp;search_regexp&amp;""""</f>
        <v>#REF!</v>
      </c>
      <c r="CDZ28" s="234" t="e">
        <f>astrogrep_path&amp;" /e /r /s /spath="&amp;search_path&amp;" /stypes=""app*"&amp;CCV28&amp;"*"&amp;TEXT(CDC28-utc_offset/24,"YYYYMMDD")&amp;"*"" /stext="" "&amp;TEXT(CDC28-utc_offset/24,"HH")&amp;search_regexp&amp;""""</f>
        <v>#REF!</v>
      </c>
      <c r="CEA28" s="234" t="e">
        <f>astrogrep_path&amp;" /e /r /s /spath="&amp;search_path&amp;" /stypes=""app*"&amp;CCW28&amp;"*"&amp;TEXT(CDD28-utc_offset/24,"YYYYMMDD")&amp;"*"" /stext="" "&amp;TEXT(CDD28-utc_offset/24,"HH")&amp;search_regexp&amp;""""</f>
        <v>#REF!</v>
      </c>
      <c r="CEB28" s="234" t="e">
        <f>astrogrep_path&amp;" /e /r /s /spath="&amp;search_path&amp;" /stypes=""app*"&amp;CCX28&amp;"*"&amp;TEXT(CDE28-utc_offset/24,"YYYYMMDD")&amp;"*"" /stext="" "&amp;TEXT(CDE28-utc_offset/24,"HH")&amp;search_regexp&amp;""""</f>
        <v>#REF!</v>
      </c>
      <c r="CEC28" s="234" t="e">
        <f>astrogrep_path&amp;" /e /r /s /spath="&amp;search_path&amp;" /stypes=""app*"&amp;CCY28&amp;"*"&amp;TEXT(CDF28-utc_offset/24,"YYYYMMDD")&amp;"*"" /stext="" "&amp;TEXT(CDF28-utc_offset/24,"HH")&amp;search_regexp&amp;""""</f>
        <v>#VALUE!</v>
      </c>
      <c r="CED28" s="234" t="e">
        <f>astrogrep_path&amp;" /e /r /s /spath="&amp;search_path&amp;" /stypes=""app*"&amp;CCZ28&amp;"*"&amp;TEXT(CDG28-utc_offset/24,"YYYYMMDD")&amp;"*"" /stext="" "&amp;TEXT(CDG28-utc_offset/24,"HH")&amp;search_regexp&amp;""""</f>
        <v>#VALUE!</v>
      </c>
      <c r="CEE28" s="234" t="e">
        <f>astrogrep_path&amp;" /e /r /s /spath="&amp;search_path&amp;" /stypes=""app*"&amp;CDA28&amp;"*"&amp;TEXT(CDH28-utc_offset/24,"YYYYMMDD")&amp;"*"" /stext="" "&amp;TEXT(CDH28-utc_offset/24,"HH")&amp;search_regexp&amp;""""</f>
        <v>#REF!</v>
      </c>
      <c r="CEF28" s="234" t="e">
        <f>astrogrep_path&amp;" /e /r /s /spath="&amp;search_path&amp;" /stypes=""app*"&amp;CDB28&amp;"*"&amp;TEXT(CDI28-utc_offset/24,"YYYYMMDD")&amp;"*"" /stext="" "&amp;TEXT(CDI28-utc_offset/24,"HH")&amp;search_regexp&amp;""""</f>
        <v>#REF!</v>
      </c>
      <c r="CEG28" s="234" t="e">
        <f>astrogrep_path&amp;" /e /r /s /spath="&amp;search_path&amp;" /stypes=""app*"&amp;CDC28&amp;"*"&amp;TEXT(CDJ28-utc_offset/24,"YYYYMMDD")&amp;"*"" /stext="" "&amp;TEXT(CDJ28-utc_offset/24,"HH")&amp;search_regexp&amp;""""</f>
        <v>#VALUE!</v>
      </c>
      <c r="CEH28" s="234" t="e">
        <f>astrogrep_path&amp;" /e /r /s /spath="&amp;search_path&amp;" /stypes=""app*"&amp;CDD28&amp;"*"&amp;TEXT(CDK28-utc_offset/24,"YYYYMMDD")&amp;"*"" /stext="" "&amp;TEXT(CDK28-utc_offset/24,"HH")&amp;search_regexp&amp;""""</f>
        <v>#VALUE!</v>
      </c>
      <c r="CEI28" s="234" t="e">
        <f>astrogrep_path&amp;" /e /r /s /spath="&amp;search_path&amp;" /stypes=""app*"&amp;CDE28&amp;"*"&amp;TEXT(CDL28-utc_offset/24,"YYYYMMDD")&amp;"*"" /stext="" "&amp;TEXT(CDL28-utc_offset/24,"HH")&amp;search_regexp&amp;""""</f>
        <v>#VALUE!</v>
      </c>
      <c r="CEJ28" s="234" t="e">
        <f>astrogrep_path&amp;" /e /r /s /spath="&amp;search_path&amp;" /stypes=""app*"&amp;CDF28&amp;"*"&amp;TEXT(CDM28-utc_offset/24,"YYYYMMDD")&amp;"*"" /stext="" "&amp;TEXT(CDM28-utc_offset/24,"HH")&amp;search_regexp&amp;""""</f>
        <v>#VALUE!</v>
      </c>
      <c r="CEK28" s="234" t="e">
        <f>astrogrep_path&amp;" /e /r /s /spath="&amp;search_path&amp;" /stypes=""app*"&amp;CDG28&amp;"*"&amp;TEXT(CDN28-utc_offset/24,"YYYYMMDD")&amp;"*"" /stext="" "&amp;TEXT(CDN28-utc_offset/24,"HH")&amp;search_regexp&amp;""""</f>
        <v>#VALUE!</v>
      </c>
      <c r="CEL28" s="234" t="e">
        <f>astrogrep_path&amp;" /e /r /s /spath="&amp;search_path&amp;" /stypes=""app*"&amp;CDH28&amp;"*"&amp;TEXT(CDO28-utc_offset/24,"YYYYMMDD")&amp;"*"" /stext="" "&amp;TEXT(CDO28-utc_offset/24,"HH")&amp;search_regexp&amp;""""</f>
        <v>#REF!</v>
      </c>
      <c r="CEM28" s="234" t="e">
        <f>astrogrep_path&amp;" /e /r /s /spath="&amp;search_path&amp;" /stypes=""app*"&amp;CDI28&amp;"*"&amp;TEXT(CDP28-utc_offset/24,"YYYYMMDD")&amp;"*"" /stext="" "&amp;TEXT(CDP28-utc_offset/24,"HH")&amp;search_regexp&amp;""""</f>
        <v>#REF!</v>
      </c>
      <c r="CEN28" s="234" t="e">
        <f>astrogrep_path&amp;" /e /r /s /spath="&amp;search_path&amp;" /stypes=""app*"&amp;CDJ28&amp;"*"&amp;TEXT(CDQ28-utc_offset/24,"YYYYMMDD")&amp;"*"" /stext="" "&amp;TEXT(CDQ28-utc_offset/24,"HH")&amp;search_regexp&amp;""""</f>
        <v>#REF!</v>
      </c>
      <c r="CEO28" s="234" t="e">
        <f>astrogrep_path&amp;" /e /r /s /spath="&amp;search_path&amp;" /stypes=""app*"&amp;CDK28&amp;"*"&amp;TEXT(CDR28-utc_offset/24,"YYYYMMDD")&amp;"*"" /stext="" "&amp;TEXT(CDR28-utc_offset/24,"HH")&amp;search_regexp&amp;""""</f>
        <v>#REF!</v>
      </c>
      <c r="CEP28" s="234" t="e">
        <f>astrogrep_path&amp;" /e /r /s /spath="&amp;search_path&amp;" /stypes=""app*"&amp;CDL28&amp;"*"&amp;TEXT(CDS28-utc_offset/24,"YYYYMMDD")&amp;"*"" /stext="" "&amp;TEXT(CDS28-utc_offset/24,"HH")&amp;search_regexp&amp;""""</f>
        <v>#REF!</v>
      </c>
      <c r="CEQ28" s="234" t="e">
        <f>astrogrep_path&amp;" /e /r /s /spath="&amp;search_path&amp;" /stypes=""app*"&amp;CDM28&amp;"*"&amp;TEXT(CDT28-utc_offset/24,"YYYYMMDD")&amp;"*"" /stext="" "&amp;TEXT(CDT28-utc_offset/24,"HH")&amp;search_regexp&amp;""""</f>
        <v>#REF!</v>
      </c>
      <c r="CER28" s="234" t="e">
        <f>astrogrep_path&amp;" /e /r /s /spath="&amp;search_path&amp;" /stypes=""app*"&amp;CDN28&amp;"*"&amp;TEXT(CDU28-utc_offset/24,"YYYYMMDD")&amp;"*"" /stext="" "&amp;TEXT(CDU28-utc_offset/24,"HH")&amp;search_regexp&amp;""""</f>
        <v>#REF!</v>
      </c>
      <c r="CES28" s="234" t="e">
        <f>astrogrep_path&amp;" /e /r /s /spath="&amp;search_path&amp;" /stypes=""app*"&amp;CDO28&amp;"*"&amp;TEXT(CDV28-utc_offset/24,"YYYYMMDD")&amp;"*"" /stext="" "&amp;TEXT(CDV28-utc_offset/24,"HH")&amp;search_regexp&amp;""""</f>
        <v>#REF!</v>
      </c>
      <c r="CET28" s="234" t="e">
        <f>astrogrep_path&amp;" /e /r /s /spath="&amp;search_path&amp;" /stypes=""app*"&amp;CDP28&amp;"*"&amp;TEXT(CDW28-utc_offset/24,"YYYYMMDD")&amp;"*"" /stext="" "&amp;TEXT(CDW28-utc_offset/24,"HH")&amp;search_regexp&amp;""""</f>
        <v>#REF!</v>
      </c>
      <c r="CEU28" s="234" t="e">
        <f>astrogrep_path&amp;" /e /r /s /spath="&amp;search_path&amp;" /stypes=""app*"&amp;CDQ28&amp;"*"&amp;TEXT(CDX28-utc_offset/24,"YYYYMMDD")&amp;"*"" /stext="" "&amp;TEXT(CDX28-utc_offset/24,"HH")&amp;search_regexp&amp;""""</f>
        <v>#REF!</v>
      </c>
      <c r="CEV28" s="234" t="e">
        <f>astrogrep_path&amp;" /e /r /s /spath="&amp;search_path&amp;" /stypes=""app*"&amp;CDR28&amp;"*"&amp;TEXT(CDY28-utc_offset/24,"YYYYMMDD")&amp;"*"" /stext="" "&amp;TEXT(CDY28-utc_offset/24,"HH")&amp;search_regexp&amp;""""</f>
        <v>#REF!</v>
      </c>
      <c r="CEW28" s="234" t="e">
        <f>astrogrep_path&amp;" /e /r /s /spath="&amp;search_path&amp;" /stypes=""app*"&amp;CDS28&amp;"*"&amp;TEXT(CDZ28-utc_offset/24,"YYYYMMDD")&amp;"*"" /stext="" "&amp;TEXT(CDZ28-utc_offset/24,"HH")&amp;search_regexp&amp;""""</f>
        <v>#REF!</v>
      </c>
      <c r="CEX28" s="234" t="e">
        <f>astrogrep_path&amp;" /e /r /s /spath="&amp;search_path&amp;" /stypes=""app*"&amp;CDT28&amp;"*"&amp;TEXT(CEA28-utc_offset/24,"YYYYMMDD")&amp;"*"" /stext="" "&amp;TEXT(CEA28-utc_offset/24,"HH")&amp;search_regexp&amp;""""</f>
        <v>#REF!</v>
      </c>
      <c r="CEY28" s="234" t="e">
        <f>astrogrep_path&amp;" /e /r /s /spath="&amp;search_path&amp;" /stypes=""app*"&amp;CDU28&amp;"*"&amp;TEXT(CEB28-utc_offset/24,"YYYYMMDD")&amp;"*"" /stext="" "&amp;TEXT(CEB28-utc_offset/24,"HH")&amp;search_regexp&amp;""""</f>
        <v>#REF!</v>
      </c>
      <c r="CEZ28" s="234" t="e">
        <f>astrogrep_path&amp;" /e /r /s /spath="&amp;search_path&amp;" /stypes=""app*"&amp;CDV28&amp;"*"&amp;TEXT(CEC28-utc_offset/24,"YYYYMMDD")&amp;"*"" /stext="" "&amp;TEXT(CEC28-utc_offset/24,"HH")&amp;search_regexp&amp;""""</f>
        <v>#REF!</v>
      </c>
      <c r="CFA28" s="234" t="e">
        <f>astrogrep_path&amp;" /e /r /s /spath="&amp;search_path&amp;" /stypes=""app*"&amp;CDW28&amp;"*"&amp;TEXT(CED28-utc_offset/24,"YYYYMMDD")&amp;"*"" /stext="" "&amp;TEXT(CED28-utc_offset/24,"HH")&amp;search_regexp&amp;""""</f>
        <v>#REF!</v>
      </c>
      <c r="CFB28" s="234" t="e">
        <f>astrogrep_path&amp;" /e /r /s /spath="&amp;search_path&amp;" /stypes=""app*"&amp;CDX28&amp;"*"&amp;TEXT(CEE28-utc_offset/24,"YYYYMMDD")&amp;"*"" /stext="" "&amp;TEXT(CEE28-utc_offset/24,"HH")&amp;search_regexp&amp;""""</f>
        <v>#REF!</v>
      </c>
      <c r="CFC28" s="234" t="e">
        <f>astrogrep_path&amp;" /e /r /s /spath="&amp;search_path&amp;" /stypes=""app*"&amp;CDY28&amp;"*"&amp;TEXT(CEF28-utc_offset/24,"YYYYMMDD")&amp;"*"" /stext="" "&amp;TEXT(CEF28-utc_offset/24,"HH")&amp;search_regexp&amp;""""</f>
        <v>#REF!</v>
      </c>
      <c r="CFD28" s="234" t="e">
        <f>astrogrep_path&amp;" /e /r /s /spath="&amp;search_path&amp;" /stypes=""app*"&amp;CDZ28&amp;"*"&amp;TEXT(CEG28-utc_offset/24,"YYYYMMDD")&amp;"*"" /stext="" "&amp;TEXT(CEG28-utc_offset/24,"HH")&amp;search_regexp&amp;""""</f>
        <v>#REF!</v>
      </c>
      <c r="CFE28" s="234" t="e">
        <f>astrogrep_path&amp;" /e /r /s /spath="&amp;search_path&amp;" /stypes=""app*"&amp;CEA28&amp;"*"&amp;TEXT(CEH28-utc_offset/24,"YYYYMMDD")&amp;"*"" /stext="" "&amp;TEXT(CEH28-utc_offset/24,"HH")&amp;search_regexp&amp;""""</f>
        <v>#REF!</v>
      </c>
      <c r="CFF28" s="234" t="e">
        <f>astrogrep_path&amp;" /e /r /s /spath="&amp;search_path&amp;" /stypes=""app*"&amp;CEB28&amp;"*"&amp;TEXT(CEI28-utc_offset/24,"YYYYMMDD")&amp;"*"" /stext="" "&amp;TEXT(CEI28-utc_offset/24,"HH")&amp;search_regexp&amp;""""</f>
        <v>#REF!</v>
      </c>
      <c r="CFG28" s="234" t="e">
        <f>astrogrep_path&amp;" /e /r /s /spath="&amp;search_path&amp;" /stypes=""app*"&amp;CEC28&amp;"*"&amp;TEXT(CEJ28-utc_offset/24,"YYYYMMDD")&amp;"*"" /stext="" "&amp;TEXT(CEJ28-utc_offset/24,"HH")&amp;search_regexp&amp;""""</f>
        <v>#VALUE!</v>
      </c>
      <c r="CFH28" s="234" t="e">
        <f>astrogrep_path&amp;" /e /r /s /spath="&amp;search_path&amp;" /stypes=""app*"&amp;CED28&amp;"*"&amp;TEXT(CEK28-utc_offset/24,"YYYYMMDD")&amp;"*"" /stext="" "&amp;TEXT(CEK28-utc_offset/24,"HH")&amp;search_regexp&amp;""""</f>
        <v>#VALUE!</v>
      </c>
      <c r="CFI28" s="234" t="e">
        <f>astrogrep_path&amp;" /e /r /s /spath="&amp;search_path&amp;" /stypes=""app*"&amp;CEE28&amp;"*"&amp;TEXT(CEL28-utc_offset/24,"YYYYMMDD")&amp;"*"" /stext="" "&amp;TEXT(CEL28-utc_offset/24,"HH")&amp;search_regexp&amp;""""</f>
        <v>#REF!</v>
      </c>
      <c r="CFJ28" s="234" t="e">
        <f>astrogrep_path&amp;" /e /r /s /spath="&amp;search_path&amp;" /stypes=""app*"&amp;CEF28&amp;"*"&amp;TEXT(CEM28-utc_offset/24,"YYYYMMDD")&amp;"*"" /stext="" "&amp;TEXT(CEM28-utc_offset/24,"HH")&amp;search_regexp&amp;""""</f>
        <v>#REF!</v>
      </c>
      <c r="CFK28" s="234" t="e">
        <f>astrogrep_path&amp;" /e /r /s /spath="&amp;search_path&amp;" /stypes=""app*"&amp;CEG28&amp;"*"&amp;TEXT(CEN28-utc_offset/24,"YYYYMMDD")&amp;"*"" /stext="" "&amp;TEXT(CEN28-utc_offset/24,"HH")&amp;search_regexp&amp;""""</f>
        <v>#VALUE!</v>
      </c>
      <c r="CFL28" s="234" t="e">
        <f>astrogrep_path&amp;" /e /r /s /spath="&amp;search_path&amp;" /stypes=""app*"&amp;CEH28&amp;"*"&amp;TEXT(CEO28-utc_offset/24,"YYYYMMDD")&amp;"*"" /stext="" "&amp;TEXT(CEO28-utc_offset/24,"HH")&amp;search_regexp&amp;""""</f>
        <v>#VALUE!</v>
      </c>
      <c r="CFM28" s="234" t="e">
        <f>astrogrep_path&amp;" /e /r /s /spath="&amp;search_path&amp;" /stypes=""app*"&amp;CEI28&amp;"*"&amp;TEXT(CEP28-utc_offset/24,"YYYYMMDD")&amp;"*"" /stext="" "&amp;TEXT(CEP28-utc_offset/24,"HH")&amp;search_regexp&amp;""""</f>
        <v>#VALUE!</v>
      </c>
      <c r="CFN28" s="234" t="e">
        <f>astrogrep_path&amp;" /e /r /s /spath="&amp;search_path&amp;" /stypes=""app*"&amp;CEJ28&amp;"*"&amp;TEXT(CEQ28-utc_offset/24,"YYYYMMDD")&amp;"*"" /stext="" "&amp;TEXT(CEQ28-utc_offset/24,"HH")&amp;search_regexp&amp;""""</f>
        <v>#VALUE!</v>
      </c>
      <c r="CFO28" s="234" t="e">
        <f>astrogrep_path&amp;" /e /r /s /spath="&amp;search_path&amp;" /stypes=""app*"&amp;CEK28&amp;"*"&amp;TEXT(CER28-utc_offset/24,"YYYYMMDD")&amp;"*"" /stext="" "&amp;TEXT(CER28-utc_offset/24,"HH")&amp;search_regexp&amp;""""</f>
        <v>#VALUE!</v>
      </c>
      <c r="CFP28" s="234" t="e">
        <f>astrogrep_path&amp;" /e /r /s /spath="&amp;search_path&amp;" /stypes=""app*"&amp;CEL28&amp;"*"&amp;TEXT(CES28-utc_offset/24,"YYYYMMDD")&amp;"*"" /stext="" "&amp;TEXT(CES28-utc_offset/24,"HH")&amp;search_regexp&amp;""""</f>
        <v>#REF!</v>
      </c>
      <c r="CFQ28" s="234" t="e">
        <f>astrogrep_path&amp;" /e /r /s /spath="&amp;search_path&amp;" /stypes=""app*"&amp;CEM28&amp;"*"&amp;TEXT(CET28-utc_offset/24,"YYYYMMDD")&amp;"*"" /stext="" "&amp;TEXT(CET28-utc_offset/24,"HH")&amp;search_regexp&amp;""""</f>
        <v>#REF!</v>
      </c>
      <c r="CFR28" s="234" t="e">
        <f>astrogrep_path&amp;" /e /r /s /spath="&amp;search_path&amp;" /stypes=""app*"&amp;CEN28&amp;"*"&amp;TEXT(CEU28-utc_offset/24,"YYYYMMDD")&amp;"*"" /stext="" "&amp;TEXT(CEU28-utc_offset/24,"HH")&amp;search_regexp&amp;""""</f>
        <v>#REF!</v>
      </c>
      <c r="CFS28" s="234" t="e">
        <f>astrogrep_path&amp;" /e /r /s /spath="&amp;search_path&amp;" /stypes=""app*"&amp;CEO28&amp;"*"&amp;TEXT(CEV28-utc_offset/24,"YYYYMMDD")&amp;"*"" /stext="" "&amp;TEXT(CEV28-utc_offset/24,"HH")&amp;search_regexp&amp;""""</f>
        <v>#REF!</v>
      </c>
      <c r="CFT28" s="234" t="e">
        <f>astrogrep_path&amp;" /e /r /s /spath="&amp;search_path&amp;" /stypes=""app*"&amp;CEP28&amp;"*"&amp;TEXT(CEW28-utc_offset/24,"YYYYMMDD")&amp;"*"" /stext="" "&amp;TEXT(CEW28-utc_offset/24,"HH")&amp;search_regexp&amp;""""</f>
        <v>#REF!</v>
      </c>
      <c r="CFU28" s="234" t="e">
        <f>astrogrep_path&amp;" /e /r /s /spath="&amp;search_path&amp;" /stypes=""app*"&amp;CEQ28&amp;"*"&amp;TEXT(CEX28-utc_offset/24,"YYYYMMDD")&amp;"*"" /stext="" "&amp;TEXT(CEX28-utc_offset/24,"HH")&amp;search_regexp&amp;""""</f>
        <v>#REF!</v>
      </c>
      <c r="CFV28" s="234" t="e">
        <f>astrogrep_path&amp;" /e /r /s /spath="&amp;search_path&amp;" /stypes=""app*"&amp;CER28&amp;"*"&amp;TEXT(CEY28-utc_offset/24,"YYYYMMDD")&amp;"*"" /stext="" "&amp;TEXT(CEY28-utc_offset/24,"HH")&amp;search_regexp&amp;""""</f>
        <v>#REF!</v>
      </c>
      <c r="CFW28" s="234" t="e">
        <f>astrogrep_path&amp;" /e /r /s /spath="&amp;search_path&amp;" /stypes=""app*"&amp;CES28&amp;"*"&amp;TEXT(CEZ28-utc_offset/24,"YYYYMMDD")&amp;"*"" /stext="" "&amp;TEXT(CEZ28-utc_offset/24,"HH")&amp;search_regexp&amp;""""</f>
        <v>#REF!</v>
      </c>
      <c r="CFX28" s="234" t="e">
        <f>astrogrep_path&amp;" /e /r /s /spath="&amp;search_path&amp;" /stypes=""app*"&amp;CET28&amp;"*"&amp;TEXT(CFA28-utc_offset/24,"YYYYMMDD")&amp;"*"" /stext="" "&amp;TEXT(CFA28-utc_offset/24,"HH")&amp;search_regexp&amp;""""</f>
        <v>#REF!</v>
      </c>
      <c r="CFY28" s="234" t="e">
        <f>astrogrep_path&amp;" /e /r /s /spath="&amp;search_path&amp;" /stypes=""app*"&amp;CEU28&amp;"*"&amp;TEXT(CFB28-utc_offset/24,"YYYYMMDD")&amp;"*"" /stext="" "&amp;TEXT(CFB28-utc_offset/24,"HH")&amp;search_regexp&amp;""""</f>
        <v>#REF!</v>
      </c>
      <c r="CFZ28" s="234" t="e">
        <f>astrogrep_path&amp;" /e /r /s /spath="&amp;search_path&amp;" /stypes=""app*"&amp;CEV28&amp;"*"&amp;TEXT(CFC28-utc_offset/24,"YYYYMMDD")&amp;"*"" /stext="" "&amp;TEXT(CFC28-utc_offset/24,"HH")&amp;search_regexp&amp;""""</f>
        <v>#REF!</v>
      </c>
      <c r="CGA28" s="234" t="e">
        <f>astrogrep_path&amp;" /e /r /s /spath="&amp;search_path&amp;" /stypes=""app*"&amp;CEW28&amp;"*"&amp;TEXT(CFD28-utc_offset/24,"YYYYMMDD")&amp;"*"" /stext="" "&amp;TEXT(CFD28-utc_offset/24,"HH")&amp;search_regexp&amp;""""</f>
        <v>#REF!</v>
      </c>
      <c r="CGB28" s="234" t="e">
        <f>astrogrep_path&amp;" /e /r /s /spath="&amp;search_path&amp;" /stypes=""app*"&amp;CEX28&amp;"*"&amp;TEXT(CFE28-utc_offset/24,"YYYYMMDD")&amp;"*"" /stext="" "&amp;TEXT(CFE28-utc_offset/24,"HH")&amp;search_regexp&amp;""""</f>
        <v>#REF!</v>
      </c>
      <c r="CGC28" s="234" t="e">
        <f>astrogrep_path&amp;" /e /r /s /spath="&amp;search_path&amp;" /stypes=""app*"&amp;CEY28&amp;"*"&amp;TEXT(CFF28-utc_offset/24,"YYYYMMDD")&amp;"*"" /stext="" "&amp;TEXT(CFF28-utc_offset/24,"HH")&amp;search_regexp&amp;""""</f>
        <v>#REF!</v>
      </c>
      <c r="CGD28" s="234" t="e">
        <f>astrogrep_path&amp;" /e /r /s /spath="&amp;search_path&amp;" /stypes=""app*"&amp;CEZ28&amp;"*"&amp;TEXT(CFG28-utc_offset/24,"YYYYMMDD")&amp;"*"" /stext="" "&amp;TEXT(CFG28-utc_offset/24,"HH")&amp;search_regexp&amp;""""</f>
        <v>#REF!</v>
      </c>
      <c r="CGE28" s="234" t="e">
        <f>astrogrep_path&amp;" /e /r /s /spath="&amp;search_path&amp;" /stypes=""app*"&amp;CFA28&amp;"*"&amp;TEXT(CFH28-utc_offset/24,"YYYYMMDD")&amp;"*"" /stext="" "&amp;TEXT(CFH28-utc_offset/24,"HH")&amp;search_regexp&amp;""""</f>
        <v>#REF!</v>
      </c>
      <c r="CGF28" s="234" t="e">
        <f>astrogrep_path&amp;" /e /r /s /spath="&amp;search_path&amp;" /stypes=""app*"&amp;CFB28&amp;"*"&amp;TEXT(CFI28-utc_offset/24,"YYYYMMDD")&amp;"*"" /stext="" "&amp;TEXT(CFI28-utc_offset/24,"HH")&amp;search_regexp&amp;""""</f>
        <v>#REF!</v>
      </c>
      <c r="CGG28" s="234" t="e">
        <f>astrogrep_path&amp;" /e /r /s /spath="&amp;search_path&amp;" /stypes=""app*"&amp;CFC28&amp;"*"&amp;TEXT(CFJ28-utc_offset/24,"YYYYMMDD")&amp;"*"" /stext="" "&amp;TEXT(CFJ28-utc_offset/24,"HH")&amp;search_regexp&amp;""""</f>
        <v>#REF!</v>
      </c>
      <c r="CGH28" s="234" t="e">
        <f>astrogrep_path&amp;" /e /r /s /spath="&amp;search_path&amp;" /stypes=""app*"&amp;CFD28&amp;"*"&amp;TEXT(CFK28-utc_offset/24,"YYYYMMDD")&amp;"*"" /stext="" "&amp;TEXT(CFK28-utc_offset/24,"HH")&amp;search_regexp&amp;""""</f>
        <v>#REF!</v>
      </c>
      <c r="CGI28" s="234" t="e">
        <f>astrogrep_path&amp;" /e /r /s /spath="&amp;search_path&amp;" /stypes=""app*"&amp;CFE28&amp;"*"&amp;TEXT(CFL28-utc_offset/24,"YYYYMMDD")&amp;"*"" /stext="" "&amp;TEXT(CFL28-utc_offset/24,"HH")&amp;search_regexp&amp;""""</f>
        <v>#REF!</v>
      </c>
      <c r="CGJ28" s="234" t="e">
        <f>astrogrep_path&amp;" /e /r /s /spath="&amp;search_path&amp;" /stypes=""app*"&amp;CFF28&amp;"*"&amp;TEXT(CFM28-utc_offset/24,"YYYYMMDD")&amp;"*"" /stext="" "&amp;TEXT(CFM28-utc_offset/24,"HH")&amp;search_regexp&amp;""""</f>
        <v>#REF!</v>
      </c>
      <c r="CGK28" s="234" t="e">
        <f>astrogrep_path&amp;" /e /r /s /spath="&amp;search_path&amp;" /stypes=""app*"&amp;CFG28&amp;"*"&amp;TEXT(CFN28-utc_offset/24,"YYYYMMDD")&amp;"*"" /stext="" "&amp;TEXT(CFN28-utc_offset/24,"HH")&amp;search_regexp&amp;""""</f>
        <v>#VALUE!</v>
      </c>
      <c r="CGL28" s="234" t="e">
        <f>astrogrep_path&amp;" /e /r /s /spath="&amp;search_path&amp;" /stypes=""app*"&amp;CFH28&amp;"*"&amp;TEXT(CFO28-utc_offset/24,"YYYYMMDD")&amp;"*"" /stext="" "&amp;TEXT(CFO28-utc_offset/24,"HH")&amp;search_regexp&amp;""""</f>
        <v>#VALUE!</v>
      </c>
      <c r="CGM28" s="234" t="e">
        <f>astrogrep_path&amp;" /e /r /s /spath="&amp;search_path&amp;" /stypes=""app*"&amp;CFI28&amp;"*"&amp;TEXT(CFP28-utc_offset/24,"YYYYMMDD")&amp;"*"" /stext="" "&amp;TEXT(CFP28-utc_offset/24,"HH")&amp;search_regexp&amp;""""</f>
        <v>#REF!</v>
      </c>
      <c r="CGN28" s="234" t="e">
        <f>astrogrep_path&amp;" /e /r /s /spath="&amp;search_path&amp;" /stypes=""app*"&amp;CFJ28&amp;"*"&amp;TEXT(CFQ28-utc_offset/24,"YYYYMMDD")&amp;"*"" /stext="" "&amp;TEXT(CFQ28-utc_offset/24,"HH")&amp;search_regexp&amp;""""</f>
        <v>#REF!</v>
      </c>
      <c r="CGO28" s="234" t="e">
        <f>astrogrep_path&amp;" /e /r /s /spath="&amp;search_path&amp;" /stypes=""app*"&amp;CFK28&amp;"*"&amp;TEXT(CFR28-utc_offset/24,"YYYYMMDD")&amp;"*"" /stext="" "&amp;TEXT(CFR28-utc_offset/24,"HH")&amp;search_regexp&amp;""""</f>
        <v>#VALUE!</v>
      </c>
      <c r="CGP28" s="234" t="e">
        <f>astrogrep_path&amp;" /e /r /s /spath="&amp;search_path&amp;" /stypes=""app*"&amp;CFL28&amp;"*"&amp;TEXT(CFS28-utc_offset/24,"YYYYMMDD")&amp;"*"" /stext="" "&amp;TEXT(CFS28-utc_offset/24,"HH")&amp;search_regexp&amp;""""</f>
        <v>#VALUE!</v>
      </c>
      <c r="CGQ28" s="234" t="e">
        <f>astrogrep_path&amp;" /e /r /s /spath="&amp;search_path&amp;" /stypes=""app*"&amp;CFM28&amp;"*"&amp;TEXT(CFT28-utc_offset/24,"YYYYMMDD")&amp;"*"" /stext="" "&amp;TEXT(CFT28-utc_offset/24,"HH")&amp;search_regexp&amp;""""</f>
        <v>#VALUE!</v>
      </c>
      <c r="CGR28" s="234" t="e">
        <f>astrogrep_path&amp;" /e /r /s /spath="&amp;search_path&amp;" /stypes=""app*"&amp;CFN28&amp;"*"&amp;TEXT(CFU28-utc_offset/24,"YYYYMMDD")&amp;"*"" /stext="" "&amp;TEXT(CFU28-utc_offset/24,"HH")&amp;search_regexp&amp;""""</f>
        <v>#VALUE!</v>
      </c>
      <c r="CGS28" s="234" t="e">
        <f>astrogrep_path&amp;" /e /r /s /spath="&amp;search_path&amp;" /stypes=""app*"&amp;CFO28&amp;"*"&amp;TEXT(CFV28-utc_offset/24,"YYYYMMDD")&amp;"*"" /stext="" "&amp;TEXT(CFV28-utc_offset/24,"HH")&amp;search_regexp&amp;""""</f>
        <v>#VALUE!</v>
      </c>
      <c r="CGT28" s="234" t="e">
        <f>astrogrep_path&amp;" /e /r /s /spath="&amp;search_path&amp;" /stypes=""app*"&amp;CFP28&amp;"*"&amp;TEXT(CFW28-utc_offset/24,"YYYYMMDD")&amp;"*"" /stext="" "&amp;TEXT(CFW28-utc_offset/24,"HH")&amp;search_regexp&amp;""""</f>
        <v>#REF!</v>
      </c>
      <c r="CGU28" s="234" t="e">
        <f>astrogrep_path&amp;" /e /r /s /spath="&amp;search_path&amp;" /stypes=""app*"&amp;CFQ28&amp;"*"&amp;TEXT(CFX28-utc_offset/24,"YYYYMMDD")&amp;"*"" /stext="" "&amp;TEXT(CFX28-utc_offset/24,"HH")&amp;search_regexp&amp;""""</f>
        <v>#REF!</v>
      </c>
      <c r="CGV28" s="234" t="e">
        <f>astrogrep_path&amp;" /e /r /s /spath="&amp;search_path&amp;" /stypes=""app*"&amp;CFR28&amp;"*"&amp;TEXT(CFY28-utc_offset/24,"YYYYMMDD")&amp;"*"" /stext="" "&amp;TEXT(CFY28-utc_offset/24,"HH")&amp;search_regexp&amp;""""</f>
        <v>#REF!</v>
      </c>
      <c r="CGW28" s="234" t="e">
        <f>astrogrep_path&amp;" /e /r /s /spath="&amp;search_path&amp;" /stypes=""app*"&amp;CFS28&amp;"*"&amp;TEXT(CFZ28-utc_offset/24,"YYYYMMDD")&amp;"*"" /stext="" "&amp;TEXT(CFZ28-utc_offset/24,"HH")&amp;search_regexp&amp;""""</f>
        <v>#REF!</v>
      </c>
      <c r="CGX28" s="234" t="e">
        <f>astrogrep_path&amp;" /e /r /s /spath="&amp;search_path&amp;" /stypes=""app*"&amp;CFT28&amp;"*"&amp;TEXT(CGA28-utc_offset/24,"YYYYMMDD")&amp;"*"" /stext="" "&amp;TEXT(CGA28-utc_offset/24,"HH")&amp;search_regexp&amp;""""</f>
        <v>#REF!</v>
      </c>
      <c r="CGY28" s="234" t="e">
        <f>astrogrep_path&amp;" /e /r /s /spath="&amp;search_path&amp;" /stypes=""app*"&amp;CFU28&amp;"*"&amp;TEXT(CGB28-utc_offset/24,"YYYYMMDD")&amp;"*"" /stext="" "&amp;TEXT(CGB28-utc_offset/24,"HH")&amp;search_regexp&amp;""""</f>
        <v>#REF!</v>
      </c>
      <c r="CGZ28" s="234" t="e">
        <f>astrogrep_path&amp;" /e /r /s /spath="&amp;search_path&amp;" /stypes=""app*"&amp;CFV28&amp;"*"&amp;TEXT(CGC28-utc_offset/24,"YYYYMMDD")&amp;"*"" /stext="" "&amp;TEXT(CGC28-utc_offset/24,"HH")&amp;search_regexp&amp;""""</f>
        <v>#REF!</v>
      </c>
      <c r="CHA28" s="234" t="e">
        <f>astrogrep_path&amp;" /e /r /s /spath="&amp;search_path&amp;" /stypes=""app*"&amp;CFW28&amp;"*"&amp;TEXT(CGD28-utc_offset/24,"YYYYMMDD")&amp;"*"" /stext="" "&amp;TEXT(CGD28-utc_offset/24,"HH")&amp;search_regexp&amp;""""</f>
        <v>#REF!</v>
      </c>
      <c r="CHB28" s="234" t="e">
        <f>astrogrep_path&amp;" /e /r /s /spath="&amp;search_path&amp;" /stypes=""app*"&amp;CFX28&amp;"*"&amp;TEXT(CGE28-utc_offset/24,"YYYYMMDD")&amp;"*"" /stext="" "&amp;TEXT(CGE28-utc_offset/24,"HH")&amp;search_regexp&amp;""""</f>
        <v>#REF!</v>
      </c>
      <c r="CHC28" s="234" t="e">
        <f>astrogrep_path&amp;" /e /r /s /spath="&amp;search_path&amp;" /stypes=""app*"&amp;CFY28&amp;"*"&amp;TEXT(CGF28-utc_offset/24,"YYYYMMDD")&amp;"*"" /stext="" "&amp;TEXT(CGF28-utc_offset/24,"HH")&amp;search_regexp&amp;""""</f>
        <v>#REF!</v>
      </c>
      <c r="CHD28" s="234" t="e">
        <f>astrogrep_path&amp;" /e /r /s /spath="&amp;search_path&amp;" /stypes=""app*"&amp;CFZ28&amp;"*"&amp;TEXT(CGG28-utc_offset/24,"YYYYMMDD")&amp;"*"" /stext="" "&amp;TEXT(CGG28-utc_offset/24,"HH")&amp;search_regexp&amp;""""</f>
        <v>#REF!</v>
      </c>
      <c r="CHE28" s="234" t="e">
        <f>astrogrep_path&amp;" /e /r /s /spath="&amp;search_path&amp;" /stypes=""app*"&amp;CGA28&amp;"*"&amp;TEXT(CGH28-utc_offset/24,"YYYYMMDD")&amp;"*"" /stext="" "&amp;TEXT(CGH28-utc_offset/24,"HH")&amp;search_regexp&amp;""""</f>
        <v>#REF!</v>
      </c>
      <c r="CHF28" s="234" t="e">
        <f>astrogrep_path&amp;" /e /r /s /spath="&amp;search_path&amp;" /stypes=""app*"&amp;CGB28&amp;"*"&amp;TEXT(CGI28-utc_offset/24,"YYYYMMDD")&amp;"*"" /stext="" "&amp;TEXT(CGI28-utc_offset/24,"HH")&amp;search_regexp&amp;""""</f>
        <v>#REF!</v>
      </c>
      <c r="CHG28" s="234" t="e">
        <f>astrogrep_path&amp;" /e /r /s /spath="&amp;search_path&amp;" /stypes=""app*"&amp;CGC28&amp;"*"&amp;TEXT(CGJ28-utc_offset/24,"YYYYMMDD")&amp;"*"" /stext="" "&amp;TEXT(CGJ28-utc_offset/24,"HH")&amp;search_regexp&amp;""""</f>
        <v>#REF!</v>
      </c>
      <c r="CHH28" s="234" t="e">
        <f>astrogrep_path&amp;" /e /r /s /spath="&amp;search_path&amp;" /stypes=""app*"&amp;CGD28&amp;"*"&amp;TEXT(CGK28-utc_offset/24,"YYYYMMDD")&amp;"*"" /stext="" "&amp;TEXT(CGK28-utc_offset/24,"HH")&amp;search_regexp&amp;""""</f>
        <v>#REF!</v>
      </c>
      <c r="CHI28" s="234" t="e">
        <f>astrogrep_path&amp;" /e /r /s /spath="&amp;search_path&amp;" /stypes=""app*"&amp;CGE28&amp;"*"&amp;TEXT(CGL28-utc_offset/24,"YYYYMMDD")&amp;"*"" /stext="" "&amp;TEXT(CGL28-utc_offset/24,"HH")&amp;search_regexp&amp;""""</f>
        <v>#REF!</v>
      </c>
      <c r="CHJ28" s="234" t="e">
        <f>astrogrep_path&amp;" /e /r /s /spath="&amp;search_path&amp;" /stypes=""app*"&amp;CGF28&amp;"*"&amp;TEXT(CGM28-utc_offset/24,"YYYYMMDD")&amp;"*"" /stext="" "&amp;TEXT(CGM28-utc_offset/24,"HH")&amp;search_regexp&amp;""""</f>
        <v>#REF!</v>
      </c>
      <c r="CHK28" s="234" t="e">
        <f>astrogrep_path&amp;" /e /r /s /spath="&amp;search_path&amp;" /stypes=""app*"&amp;CGG28&amp;"*"&amp;TEXT(CGN28-utc_offset/24,"YYYYMMDD")&amp;"*"" /stext="" "&amp;TEXT(CGN28-utc_offset/24,"HH")&amp;search_regexp&amp;""""</f>
        <v>#REF!</v>
      </c>
      <c r="CHL28" s="234" t="e">
        <f>astrogrep_path&amp;" /e /r /s /spath="&amp;search_path&amp;" /stypes=""app*"&amp;CGH28&amp;"*"&amp;TEXT(CGO28-utc_offset/24,"YYYYMMDD")&amp;"*"" /stext="" "&amp;TEXT(CGO28-utc_offset/24,"HH")&amp;search_regexp&amp;""""</f>
        <v>#REF!</v>
      </c>
      <c r="CHM28" s="234" t="e">
        <f>astrogrep_path&amp;" /e /r /s /spath="&amp;search_path&amp;" /stypes=""app*"&amp;CGI28&amp;"*"&amp;TEXT(CGP28-utc_offset/24,"YYYYMMDD")&amp;"*"" /stext="" "&amp;TEXT(CGP28-utc_offset/24,"HH")&amp;search_regexp&amp;""""</f>
        <v>#REF!</v>
      </c>
      <c r="CHN28" s="234" t="e">
        <f>astrogrep_path&amp;" /e /r /s /spath="&amp;search_path&amp;" /stypes=""app*"&amp;CGJ28&amp;"*"&amp;TEXT(CGQ28-utc_offset/24,"YYYYMMDD")&amp;"*"" /stext="" "&amp;TEXT(CGQ28-utc_offset/24,"HH")&amp;search_regexp&amp;""""</f>
        <v>#REF!</v>
      </c>
      <c r="CHO28" s="234" t="e">
        <f>astrogrep_path&amp;" /e /r /s /spath="&amp;search_path&amp;" /stypes=""app*"&amp;CGK28&amp;"*"&amp;TEXT(CGR28-utc_offset/24,"YYYYMMDD")&amp;"*"" /stext="" "&amp;TEXT(CGR28-utc_offset/24,"HH")&amp;search_regexp&amp;""""</f>
        <v>#VALUE!</v>
      </c>
      <c r="CHP28" s="234" t="e">
        <f>astrogrep_path&amp;" /e /r /s /spath="&amp;search_path&amp;" /stypes=""app*"&amp;CGL28&amp;"*"&amp;TEXT(CGS28-utc_offset/24,"YYYYMMDD")&amp;"*"" /stext="" "&amp;TEXT(CGS28-utc_offset/24,"HH")&amp;search_regexp&amp;""""</f>
        <v>#VALUE!</v>
      </c>
      <c r="CHQ28" s="234" t="e">
        <f>astrogrep_path&amp;" /e /r /s /spath="&amp;search_path&amp;" /stypes=""app*"&amp;CGM28&amp;"*"&amp;TEXT(CGT28-utc_offset/24,"YYYYMMDD")&amp;"*"" /stext="" "&amp;TEXT(CGT28-utc_offset/24,"HH")&amp;search_regexp&amp;""""</f>
        <v>#REF!</v>
      </c>
      <c r="CHR28" s="234" t="e">
        <f>astrogrep_path&amp;" /e /r /s /spath="&amp;search_path&amp;" /stypes=""app*"&amp;CGN28&amp;"*"&amp;TEXT(CGU28-utc_offset/24,"YYYYMMDD")&amp;"*"" /stext="" "&amp;TEXT(CGU28-utc_offset/24,"HH")&amp;search_regexp&amp;""""</f>
        <v>#REF!</v>
      </c>
      <c r="CHS28" s="234" t="e">
        <f>astrogrep_path&amp;" /e /r /s /spath="&amp;search_path&amp;" /stypes=""app*"&amp;CGO28&amp;"*"&amp;TEXT(CGV28-utc_offset/24,"YYYYMMDD")&amp;"*"" /stext="" "&amp;TEXT(CGV28-utc_offset/24,"HH")&amp;search_regexp&amp;""""</f>
        <v>#VALUE!</v>
      </c>
      <c r="CHT28" s="234" t="e">
        <f>astrogrep_path&amp;" /e /r /s /spath="&amp;search_path&amp;" /stypes=""app*"&amp;CGP28&amp;"*"&amp;TEXT(CGW28-utc_offset/24,"YYYYMMDD")&amp;"*"" /stext="" "&amp;TEXT(CGW28-utc_offset/24,"HH")&amp;search_regexp&amp;""""</f>
        <v>#VALUE!</v>
      </c>
      <c r="CHU28" s="234" t="e">
        <f>astrogrep_path&amp;" /e /r /s /spath="&amp;search_path&amp;" /stypes=""app*"&amp;CGQ28&amp;"*"&amp;TEXT(CGX28-utc_offset/24,"YYYYMMDD")&amp;"*"" /stext="" "&amp;TEXT(CGX28-utc_offset/24,"HH")&amp;search_regexp&amp;""""</f>
        <v>#VALUE!</v>
      </c>
      <c r="CHV28" s="234" t="e">
        <f>astrogrep_path&amp;" /e /r /s /spath="&amp;search_path&amp;" /stypes=""app*"&amp;CGR28&amp;"*"&amp;TEXT(CGY28-utc_offset/24,"YYYYMMDD")&amp;"*"" /stext="" "&amp;TEXT(CGY28-utc_offset/24,"HH")&amp;search_regexp&amp;""""</f>
        <v>#VALUE!</v>
      </c>
      <c r="CHW28" s="234" t="e">
        <f>astrogrep_path&amp;" /e /r /s /spath="&amp;search_path&amp;" /stypes=""app*"&amp;CGS28&amp;"*"&amp;TEXT(CGZ28-utc_offset/24,"YYYYMMDD")&amp;"*"" /stext="" "&amp;TEXT(CGZ28-utc_offset/24,"HH")&amp;search_regexp&amp;""""</f>
        <v>#VALUE!</v>
      </c>
      <c r="CHX28" s="234" t="e">
        <f>astrogrep_path&amp;" /e /r /s /spath="&amp;search_path&amp;" /stypes=""app*"&amp;CGT28&amp;"*"&amp;TEXT(CHA28-utc_offset/24,"YYYYMMDD")&amp;"*"" /stext="" "&amp;TEXT(CHA28-utc_offset/24,"HH")&amp;search_regexp&amp;""""</f>
        <v>#REF!</v>
      </c>
      <c r="CHY28" s="234" t="e">
        <f>astrogrep_path&amp;" /e /r /s /spath="&amp;search_path&amp;" /stypes=""app*"&amp;CGU28&amp;"*"&amp;TEXT(CHB28-utc_offset/24,"YYYYMMDD")&amp;"*"" /stext="" "&amp;TEXT(CHB28-utc_offset/24,"HH")&amp;search_regexp&amp;""""</f>
        <v>#REF!</v>
      </c>
      <c r="CHZ28" s="234" t="e">
        <f>astrogrep_path&amp;" /e /r /s /spath="&amp;search_path&amp;" /stypes=""app*"&amp;CGV28&amp;"*"&amp;TEXT(CHC28-utc_offset/24,"YYYYMMDD")&amp;"*"" /stext="" "&amp;TEXT(CHC28-utc_offset/24,"HH")&amp;search_regexp&amp;""""</f>
        <v>#REF!</v>
      </c>
      <c r="CIA28" s="234" t="e">
        <f>astrogrep_path&amp;" /e /r /s /spath="&amp;search_path&amp;" /stypes=""app*"&amp;CGW28&amp;"*"&amp;TEXT(CHD28-utc_offset/24,"YYYYMMDD")&amp;"*"" /stext="" "&amp;TEXT(CHD28-utc_offset/24,"HH")&amp;search_regexp&amp;""""</f>
        <v>#REF!</v>
      </c>
      <c r="CIB28" s="234" t="e">
        <f>astrogrep_path&amp;" /e /r /s /spath="&amp;search_path&amp;" /stypes=""app*"&amp;CGX28&amp;"*"&amp;TEXT(CHE28-utc_offset/24,"YYYYMMDD")&amp;"*"" /stext="" "&amp;TEXT(CHE28-utc_offset/24,"HH")&amp;search_regexp&amp;""""</f>
        <v>#REF!</v>
      </c>
      <c r="CIC28" s="234" t="e">
        <f>astrogrep_path&amp;" /e /r /s /spath="&amp;search_path&amp;" /stypes=""app*"&amp;CGY28&amp;"*"&amp;TEXT(CHF28-utc_offset/24,"YYYYMMDD")&amp;"*"" /stext="" "&amp;TEXT(CHF28-utc_offset/24,"HH")&amp;search_regexp&amp;""""</f>
        <v>#REF!</v>
      </c>
      <c r="CID28" s="234" t="e">
        <f>astrogrep_path&amp;" /e /r /s /spath="&amp;search_path&amp;" /stypes=""app*"&amp;CGZ28&amp;"*"&amp;TEXT(CHG28-utc_offset/24,"YYYYMMDD")&amp;"*"" /stext="" "&amp;TEXT(CHG28-utc_offset/24,"HH")&amp;search_regexp&amp;""""</f>
        <v>#REF!</v>
      </c>
      <c r="CIE28" s="234" t="e">
        <f>astrogrep_path&amp;" /e /r /s /spath="&amp;search_path&amp;" /stypes=""app*"&amp;CHA28&amp;"*"&amp;TEXT(CHH28-utc_offset/24,"YYYYMMDD")&amp;"*"" /stext="" "&amp;TEXT(CHH28-utc_offset/24,"HH")&amp;search_regexp&amp;""""</f>
        <v>#REF!</v>
      </c>
      <c r="CIF28" s="234" t="e">
        <f>astrogrep_path&amp;" /e /r /s /spath="&amp;search_path&amp;" /stypes=""app*"&amp;CHB28&amp;"*"&amp;TEXT(CHI28-utc_offset/24,"YYYYMMDD")&amp;"*"" /stext="" "&amp;TEXT(CHI28-utc_offset/24,"HH")&amp;search_regexp&amp;""""</f>
        <v>#REF!</v>
      </c>
      <c r="CIG28" s="234" t="e">
        <f>astrogrep_path&amp;" /e /r /s /spath="&amp;search_path&amp;" /stypes=""app*"&amp;CHC28&amp;"*"&amp;TEXT(CHJ28-utc_offset/24,"YYYYMMDD")&amp;"*"" /stext="" "&amp;TEXT(CHJ28-utc_offset/24,"HH")&amp;search_regexp&amp;""""</f>
        <v>#REF!</v>
      </c>
      <c r="CIH28" s="234" t="e">
        <f>astrogrep_path&amp;" /e /r /s /spath="&amp;search_path&amp;" /stypes=""app*"&amp;CHD28&amp;"*"&amp;TEXT(CHK28-utc_offset/24,"YYYYMMDD")&amp;"*"" /stext="" "&amp;TEXT(CHK28-utc_offset/24,"HH")&amp;search_regexp&amp;""""</f>
        <v>#REF!</v>
      </c>
      <c r="CII28" s="234" t="e">
        <f>astrogrep_path&amp;" /e /r /s /spath="&amp;search_path&amp;" /stypes=""app*"&amp;CHE28&amp;"*"&amp;TEXT(CHL28-utc_offset/24,"YYYYMMDD")&amp;"*"" /stext="" "&amp;TEXT(CHL28-utc_offset/24,"HH")&amp;search_regexp&amp;""""</f>
        <v>#REF!</v>
      </c>
      <c r="CIJ28" s="234" t="e">
        <f>astrogrep_path&amp;" /e /r /s /spath="&amp;search_path&amp;" /stypes=""app*"&amp;CHF28&amp;"*"&amp;TEXT(CHM28-utc_offset/24,"YYYYMMDD")&amp;"*"" /stext="" "&amp;TEXT(CHM28-utc_offset/24,"HH")&amp;search_regexp&amp;""""</f>
        <v>#REF!</v>
      </c>
      <c r="CIK28" s="234" t="e">
        <f>astrogrep_path&amp;" /e /r /s /spath="&amp;search_path&amp;" /stypes=""app*"&amp;CHG28&amp;"*"&amp;TEXT(CHN28-utc_offset/24,"YYYYMMDD")&amp;"*"" /stext="" "&amp;TEXT(CHN28-utc_offset/24,"HH")&amp;search_regexp&amp;""""</f>
        <v>#REF!</v>
      </c>
      <c r="CIL28" s="234" t="e">
        <f>astrogrep_path&amp;" /e /r /s /spath="&amp;search_path&amp;" /stypes=""app*"&amp;CHH28&amp;"*"&amp;TEXT(CHO28-utc_offset/24,"YYYYMMDD")&amp;"*"" /stext="" "&amp;TEXT(CHO28-utc_offset/24,"HH")&amp;search_regexp&amp;""""</f>
        <v>#REF!</v>
      </c>
      <c r="CIM28" s="234" t="e">
        <f>astrogrep_path&amp;" /e /r /s /spath="&amp;search_path&amp;" /stypes=""app*"&amp;CHI28&amp;"*"&amp;TEXT(CHP28-utc_offset/24,"YYYYMMDD")&amp;"*"" /stext="" "&amp;TEXT(CHP28-utc_offset/24,"HH")&amp;search_regexp&amp;""""</f>
        <v>#REF!</v>
      </c>
      <c r="CIN28" s="234" t="e">
        <f>astrogrep_path&amp;" /e /r /s /spath="&amp;search_path&amp;" /stypes=""app*"&amp;CHJ28&amp;"*"&amp;TEXT(CHQ28-utc_offset/24,"YYYYMMDD")&amp;"*"" /stext="" "&amp;TEXT(CHQ28-utc_offset/24,"HH")&amp;search_regexp&amp;""""</f>
        <v>#REF!</v>
      </c>
      <c r="CIO28" s="234" t="e">
        <f>astrogrep_path&amp;" /e /r /s /spath="&amp;search_path&amp;" /stypes=""app*"&amp;CHK28&amp;"*"&amp;TEXT(CHR28-utc_offset/24,"YYYYMMDD")&amp;"*"" /stext="" "&amp;TEXT(CHR28-utc_offset/24,"HH")&amp;search_regexp&amp;""""</f>
        <v>#REF!</v>
      </c>
      <c r="CIP28" s="234" t="e">
        <f>astrogrep_path&amp;" /e /r /s /spath="&amp;search_path&amp;" /stypes=""app*"&amp;CHL28&amp;"*"&amp;TEXT(CHS28-utc_offset/24,"YYYYMMDD")&amp;"*"" /stext="" "&amp;TEXT(CHS28-utc_offset/24,"HH")&amp;search_regexp&amp;""""</f>
        <v>#REF!</v>
      </c>
      <c r="CIQ28" s="234" t="e">
        <f>astrogrep_path&amp;" /e /r /s /spath="&amp;search_path&amp;" /stypes=""app*"&amp;CHM28&amp;"*"&amp;TEXT(CHT28-utc_offset/24,"YYYYMMDD")&amp;"*"" /stext="" "&amp;TEXT(CHT28-utc_offset/24,"HH")&amp;search_regexp&amp;""""</f>
        <v>#REF!</v>
      </c>
      <c r="CIR28" s="234" t="e">
        <f>astrogrep_path&amp;" /e /r /s /spath="&amp;search_path&amp;" /stypes=""app*"&amp;CHN28&amp;"*"&amp;TEXT(CHU28-utc_offset/24,"YYYYMMDD")&amp;"*"" /stext="" "&amp;TEXT(CHU28-utc_offset/24,"HH")&amp;search_regexp&amp;""""</f>
        <v>#REF!</v>
      </c>
      <c r="CIS28" s="234" t="e">
        <f>astrogrep_path&amp;" /e /r /s /spath="&amp;search_path&amp;" /stypes=""app*"&amp;CHO28&amp;"*"&amp;TEXT(CHV28-utc_offset/24,"YYYYMMDD")&amp;"*"" /stext="" "&amp;TEXT(CHV28-utc_offset/24,"HH")&amp;search_regexp&amp;""""</f>
        <v>#VALUE!</v>
      </c>
      <c r="CIT28" s="234" t="e">
        <f>astrogrep_path&amp;" /e /r /s /spath="&amp;search_path&amp;" /stypes=""app*"&amp;CHP28&amp;"*"&amp;TEXT(CHW28-utc_offset/24,"YYYYMMDD")&amp;"*"" /stext="" "&amp;TEXT(CHW28-utc_offset/24,"HH")&amp;search_regexp&amp;""""</f>
        <v>#VALUE!</v>
      </c>
      <c r="CIU28" s="234" t="e">
        <f>astrogrep_path&amp;" /e /r /s /spath="&amp;search_path&amp;" /stypes=""app*"&amp;CHQ28&amp;"*"&amp;TEXT(CHX28-utc_offset/24,"YYYYMMDD")&amp;"*"" /stext="" "&amp;TEXT(CHX28-utc_offset/24,"HH")&amp;search_regexp&amp;""""</f>
        <v>#REF!</v>
      </c>
      <c r="CIV28" s="234" t="e">
        <f>astrogrep_path&amp;" /e /r /s /spath="&amp;search_path&amp;" /stypes=""app*"&amp;CHR28&amp;"*"&amp;TEXT(CHY28-utc_offset/24,"YYYYMMDD")&amp;"*"" /stext="" "&amp;TEXT(CHY28-utc_offset/24,"HH")&amp;search_regexp&amp;""""</f>
        <v>#REF!</v>
      </c>
      <c r="CIW28" s="234" t="e">
        <f>astrogrep_path&amp;" /e /r /s /spath="&amp;search_path&amp;" /stypes=""app*"&amp;CHS28&amp;"*"&amp;TEXT(CHZ28-utc_offset/24,"YYYYMMDD")&amp;"*"" /stext="" "&amp;TEXT(CHZ28-utc_offset/24,"HH")&amp;search_regexp&amp;""""</f>
        <v>#VALUE!</v>
      </c>
      <c r="CIX28" s="234" t="e">
        <f>astrogrep_path&amp;" /e /r /s /spath="&amp;search_path&amp;" /stypes=""app*"&amp;CHT28&amp;"*"&amp;TEXT(CIA28-utc_offset/24,"YYYYMMDD")&amp;"*"" /stext="" "&amp;TEXT(CIA28-utc_offset/24,"HH")&amp;search_regexp&amp;""""</f>
        <v>#VALUE!</v>
      </c>
      <c r="CIY28" s="234" t="e">
        <f>astrogrep_path&amp;" /e /r /s /spath="&amp;search_path&amp;" /stypes=""app*"&amp;CHU28&amp;"*"&amp;TEXT(CIB28-utc_offset/24,"YYYYMMDD")&amp;"*"" /stext="" "&amp;TEXT(CIB28-utc_offset/24,"HH")&amp;search_regexp&amp;""""</f>
        <v>#VALUE!</v>
      </c>
      <c r="CIZ28" s="234" t="e">
        <f>astrogrep_path&amp;" /e /r /s /spath="&amp;search_path&amp;" /stypes=""app*"&amp;CHV28&amp;"*"&amp;TEXT(CIC28-utc_offset/24,"YYYYMMDD")&amp;"*"" /stext="" "&amp;TEXT(CIC28-utc_offset/24,"HH")&amp;search_regexp&amp;""""</f>
        <v>#VALUE!</v>
      </c>
      <c r="CJA28" s="234" t="e">
        <f>astrogrep_path&amp;" /e /r /s /spath="&amp;search_path&amp;" /stypes=""app*"&amp;CHW28&amp;"*"&amp;TEXT(CID28-utc_offset/24,"YYYYMMDD")&amp;"*"" /stext="" "&amp;TEXT(CID28-utc_offset/24,"HH")&amp;search_regexp&amp;""""</f>
        <v>#VALUE!</v>
      </c>
      <c r="CJB28" s="234" t="e">
        <f>astrogrep_path&amp;" /e /r /s /spath="&amp;search_path&amp;" /stypes=""app*"&amp;CHX28&amp;"*"&amp;TEXT(CIE28-utc_offset/24,"YYYYMMDD")&amp;"*"" /stext="" "&amp;TEXT(CIE28-utc_offset/24,"HH")&amp;search_regexp&amp;""""</f>
        <v>#REF!</v>
      </c>
      <c r="CJC28" s="234" t="e">
        <f>astrogrep_path&amp;" /e /r /s /spath="&amp;search_path&amp;" /stypes=""app*"&amp;CHY28&amp;"*"&amp;TEXT(CIF28-utc_offset/24,"YYYYMMDD")&amp;"*"" /stext="" "&amp;TEXT(CIF28-utc_offset/24,"HH")&amp;search_regexp&amp;""""</f>
        <v>#REF!</v>
      </c>
      <c r="CJD28" s="234" t="e">
        <f>astrogrep_path&amp;" /e /r /s /spath="&amp;search_path&amp;" /stypes=""app*"&amp;CHZ28&amp;"*"&amp;TEXT(CIG28-utc_offset/24,"YYYYMMDD")&amp;"*"" /stext="" "&amp;TEXT(CIG28-utc_offset/24,"HH")&amp;search_regexp&amp;""""</f>
        <v>#REF!</v>
      </c>
      <c r="CJE28" s="234" t="e">
        <f>astrogrep_path&amp;" /e /r /s /spath="&amp;search_path&amp;" /stypes=""app*"&amp;CIA28&amp;"*"&amp;TEXT(CIH28-utc_offset/24,"YYYYMMDD")&amp;"*"" /stext="" "&amp;TEXT(CIH28-utc_offset/24,"HH")&amp;search_regexp&amp;""""</f>
        <v>#REF!</v>
      </c>
      <c r="CJF28" s="234" t="e">
        <f>astrogrep_path&amp;" /e /r /s /spath="&amp;search_path&amp;" /stypes=""app*"&amp;CIB28&amp;"*"&amp;TEXT(CII28-utc_offset/24,"YYYYMMDD")&amp;"*"" /stext="" "&amp;TEXT(CII28-utc_offset/24,"HH")&amp;search_regexp&amp;""""</f>
        <v>#REF!</v>
      </c>
      <c r="CJG28" s="234" t="e">
        <f>astrogrep_path&amp;" /e /r /s /spath="&amp;search_path&amp;" /stypes=""app*"&amp;CIC28&amp;"*"&amp;TEXT(CIJ28-utc_offset/24,"YYYYMMDD")&amp;"*"" /stext="" "&amp;TEXT(CIJ28-utc_offset/24,"HH")&amp;search_regexp&amp;""""</f>
        <v>#REF!</v>
      </c>
      <c r="CJH28" s="234" t="e">
        <f>astrogrep_path&amp;" /e /r /s /spath="&amp;search_path&amp;" /stypes=""app*"&amp;CID28&amp;"*"&amp;TEXT(CIK28-utc_offset/24,"YYYYMMDD")&amp;"*"" /stext="" "&amp;TEXT(CIK28-utc_offset/24,"HH")&amp;search_regexp&amp;""""</f>
        <v>#REF!</v>
      </c>
      <c r="CJI28" s="234" t="e">
        <f>astrogrep_path&amp;" /e /r /s /spath="&amp;search_path&amp;" /stypes=""app*"&amp;CIE28&amp;"*"&amp;TEXT(CIL28-utc_offset/24,"YYYYMMDD")&amp;"*"" /stext="" "&amp;TEXT(CIL28-utc_offset/24,"HH")&amp;search_regexp&amp;""""</f>
        <v>#REF!</v>
      </c>
      <c r="CJJ28" s="234" t="e">
        <f>astrogrep_path&amp;" /e /r /s /spath="&amp;search_path&amp;" /stypes=""app*"&amp;CIF28&amp;"*"&amp;TEXT(CIM28-utc_offset/24,"YYYYMMDD")&amp;"*"" /stext="" "&amp;TEXT(CIM28-utc_offset/24,"HH")&amp;search_regexp&amp;""""</f>
        <v>#REF!</v>
      </c>
      <c r="CJK28" s="234" t="e">
        <f>astrogrep_path&amp;" /e /r /s /spath="&amp;search_path&amp;" /stypes=""app*"&amp;CIG28&amp;"*"&amp;TEXT(CIN28-utc_offset/24,"YYYYMMDD")&amp;"*"" /stext="" "&amp;TEXT(CIN28-utc_offset/24,"HH")&amp;search_regexp&amp;""""</f>
        <v>#REF!</v>
      </c>
      <c r="CJL28" s="234" t="e">
        <f>astrogrep_path&amp;" /e /r /s /spath="&amp;search_path&amp;" /stypes=""app*"&amp;CIH28&amp;"*"&amp;TEXT(CIO28-utc_offset/24,"YYYYMMDD")&amp;"*"" /stext="" "&amp;TEXT(CIO28-utc_offset/24,"HH")&amp;search_regexp&amp;""""</f>
        <v>#REF!</v>
      </c>
      <c r="CJM28" s="234" t="e">
        <f>astrogrep_path&amp;" /e /r /s /spath="&amp;search_path&amp;" /stypes=""app*"&amp;CII28&amp;"*"&amp;TEXT(CIP28-utc_offset/24,"YYYYMMDD")&amp;"*"" /stext="" "&amp;TEXT(CIP28-utc_offset/24,"HH")&amp;search_regexp&amp;""""</f>
        <v>#REF!</v>
      </c>
      <c r="CJN28" s="234" t="e">
        <f>astrogrep_path&amp;" /e /r /s /spath="&amp;search_path&amp;" /stypes=""app*"&amp;CIJ28&amp;"*"&amp;TEXT(CIQ28-utc_offset/24,"YYYYMMDD")&amp;"*"" /stext="" "&amp;TEXT(CIQ28-utc_offset/24,"HH")&amp;search_regexp&amp;""""</f>
        <v>#REF!</v>
      </c>
      <c r="CJO28" s="234" t="e">
        <f>astrogrep_path&amp;" /e /r /s /spath="&amp;search_path&amp;" /stypes=""app*"&amp;CIK28&amp;"*"&amp;TEXT(CIR28-utc_offset/24,"YYYYMMDD")&amp;"*"" /stext="" "&amp;TEXT(CIR28-utc_offset/24,"HH")&amp;search_regexp&amp;""""</f>
        <v>#REF!</v>
      </c>
      <c r="CJP28" s="234" t="e">
        <f>astrogrep_path&amp;" /e /r /s /spath="&amp;search_path&amp;" /stypes=""app*"&amp;CIL28&amp;"*"&amp;TEXT(CIS28-utc_offset/24,"YYYYMMDD")&amp;"*"" /stext="" "&amp;TEXT(CIS28-utc_offset/24,"HH")&amp;search_regexp&amp;""""</f>
        <v>#REF!</v>
      </c>
      <c r="CJQ28" s="234" t="e">
        <f>astrogrep_path&amp;" /e /r /s /spath="&amp;search_path&amp;" /stypes=""app*"&amp;CIM28&amp;"*"&amp;TEXT(CIT28-utc_offset/24,"YYYYMMDD")&amp;"*"" /stext="" "&amp;TEXT(CIT28-utc_offset/24,"HH")&amp;search_regexp&amp;""""</f>
        <v>#REF!</v>
      </c>
      <c r="CJR28" s="234" t="e">
        <f>astrogrep_path&amp;" /e /r /s /spath="&amp;search_path&amp;" /stypes=""app*"&amp;CIN28&amp;"*"&amp;TEXT(CIU28-utc_offset/24,"YYYYMMDD")&amp;"*"" /stext="" "&amp;TEXT(CIU28-utc_offset/24,"HH")&amp;search_regexp&amp;""""</f>
        <v>#REF!</v>
      </c>
      <c r="CJS28" s="234" t="e">
        <f>astrogrep_path&amp;" /e /r /s /spath="&amp;search_path&amp;" /stypes=""app*"&amp;CIO28&amp;"*"&amp;TEXT(CIV28-utc_offset/24,"YYYYMMDD")&amp;"*"" /stext="" "&amp;TEXT(CIV28-utc_offset/24,"HH")&amp;search_regexp&amp;""""</f>
        <v>#REF!</v>
      </c>
      <c r="CJT28" s="234" t="e">
        <f>astrogrep_path&amp;" /e /r /s /spath="&amp;search_path&amp;" /stypes=""app*"&amp;CIP28&amp;"*"&amp;TEXT(CIW28-utc_offset/24,"YYYYMMDD")&amp;"*"" /stext="" "&amp;TEXT(CIW28-utc_offset/24,"HH")&amp;search_regexp&amp;""""</f>
        <v>#REF!</v>
      </c>
      <c r="CJU28" s="234" t="e">
        <f>astrogrep_path&amp;" /e /r /s /spath="&amp;search_path&amp;" /stypes=""app*"&amp;CIQ28&amp;"*"&amp;TEXT(CIX28-utc_offset/24,"YYYYMMDD")&amp;"*"" /stext="" "&amp;TEXT(CIX28-utc_offset/24,"HH")&amp;search_regexp&amp;""""</f>
        <v>#REF!</v>
      </c>
      <c r="CJV28" s="234" t="e">
        <f>astrogrep_path&amp;" /e /r /s /spath="&amp;search_path&amp;" /stypes=""app*"&amp;CIR28&amp;"*"&amp;TEXT(CIY28-utc_offset/24,"YYYYMMDD")&amp;"*"" /stext="" "&amp;TEXT(CIY28-utc_offset/24,"HH")&amp;search_regexp&amp;""""</f>
        <v>#REF!</v>
      </c>
      <c r="CJW28" s="234" t="e">
        <f>astrogrep_path&amp;" /e /r /s /spath="&amp;search_path&amp;" /stypes=""app*"&amp;CIS28&amp;"*"&amp;TEXT(CIZ28-utc_offset/24,"YYYYMMDD")&amp;"*"" /stext="" "&amp;TEXT(CIZ28-utc_offset/24,"HH")&amp;search_regexp&amp;""""</f>
        <v>#VALUE!</v>
      </c>
      <c r="CJX28" s="234" t="e">
        <f>astrogrep_path&amp;" /e /r /s /spath="&amp;search_path&amp;" /stypes=""app*"&amp;CIT28&amp;"*"&amp;TEXT(CJA28-utc_offset/24,"YYYYMMDD")&amp;"*"" /stext="" "&amp;TEXT(CJA28-utc_offset/24,"HH")&amp;search_regexp&amp;""""</f>
        <v>#VALUE!</v>
      </c>
      <c r="CJY28" s="234" t="e">
        <f>astrogrep_path&amp;" /e /r /s /spath="&amp;search_path&amp;" /stypes=""app*"&amp;CIU28&amp;"*"&amp;TEXT(CJB28-utc_offset/24,"YYYYMMDD")&amp;"*"" /stext="" "&amp;TEXT(CJB28-utc_offset/24,"HH")&amp;search_regexp&amp;""""</f>
        <v>#REF!</v>
      </c>
      <c r="CJZ28" s="234" t="e">
        <f>astrogrep_path&amp;" /e /r /s /spath="&amp;search_path&amp;" /stypes=""app*"&amp;CIV28&amp;"*"&amp;TEXT(CJC28-utc_offset/24,"YYYYMMDD")&amp;"*"" /stext="" "&amp;TEXT(CJC28-utc_offset/24,"HH")&amp;search_regexp&amp;""""</f>
        <v>#REF!</v>
      </c>
      <c r="CKA28" s="234" t="e">
        <f>astrogrep_path&amp;" /e /r /s /spath="&amp;search_path&amp;" /stypes=""app*"&amp;CIW28&amp;"*"&amp;TEXT(CJD28-utc_offset/24,"YYYYMMDD")&amp;"*"" /stext="" "&amp;TEXT(CJD28-utc_offset/24,"HH")&amp;search_regexp&amp;""""</f>
        <v>#VALUE!</v>
      </c>
      <c r="CKB28" s="234" t="e">
        <f>astrogrep_path&amp;" /e /r /s /spath="&amp;search_path&amp;" /stypes=""app*"&amp;CIX28&amp;"*"&amp;TEXT(CJE28-utc_offset/24,"YYYYMMDD")&amp;"*"" /stext="" "&amp;TEXT(CJE28-utc_offset/24,"HH")&amp;search_regexp&amp;""""</f>
        <v>#VALUE!</v>
      </c>
      <c r="CKC28" s="234" t="e">
        <f>astrogrep_path&amp;" /e /r /s /spath="&amp;search_path&amp;" /stypes=""app*"&amp;CIY28&amp;"*"&amp;TEXT(CJF28-utc_offset/24,"YYYYMMDD")&amp;"*"" /stext="" "&amp;TEXT(CJF28-utc_offset/24,"HH")&amp;search_regexp&amp;""""</f>
        <v>#VALUE!</v>
      </c>
      <c r="CKD28" s="234" t="e">
        <f>astrogrep_path&amp;" /e /r /s /spath="&amp;search_path&amp;" /stypes=""app*"&amp;CIZ28&amp;"*"&amp;TEXT(CJG28-utc_offset/24,"YYYYMMDD")&amp;"*"" /stext="" "&amp;TEXT(CJG28-utc_offset/24,"HH")&amp;search_regexp&amp;""""</f>
        <v>#VALUE!</v>
      </c>
      <c r="CKE28" s="234" t="e">
        <f>astrogrep_path&amp;" /e /r /s /spath="&amp;search_path&amp;" /stypes=""app*"&amp;CJA28&amp;"*"&amp;TEXT(CJH28-utc_offset/24,"YYYYMMDD")&amp;"*"" /stext="" "&amp;TEXT(CJH28-utc_offset/24,"HH")&amp;search_regexp&amp;""""</f>
        <v>#VALUE!</v>
      </c>
      <c r="CKF28" s="234" t="e">
        <f>astrogrep_path&amp;" /e /r /s /spath="&amp;search_path&amp;" /stypes=""app*"&amp;CJB28&amp;"*"&amp;TEXT(CJI28-utc_offset/24,"YYYYMMDD")&amp;"*"" /stext="" "&amp;TEXT(CJI28-utc_offset/24,"HH")&amp;search_regexp&amp;""""</f>
        <v>#REF!</v>
      </c>
      <c r="CKG28" s="234" t="e">
        <f>astrogrep_path&amp;" /e /r /s /spath="&amp;search_path&amp;" /stypes=""app*"&amp;CJC28&amp;"*"&amp;TEXT(CJJ28-utc_offset/24,"YYYYMMDD")&amp;"*"" /stext="" "&amp;TEXT(CJJ28-utc_offset/24,"HH")&amp;search_regexp&amp;""""</f>
        <v>#REF!</v>
      </c>
      <c r="CKH28" s="234" t="e">
        <f>astrogrep_path&amp;" /e /r /s /spath="&amp;search_path&amp;" /stypes=""app*"&amp;CJD28&amp;"*"&amp;TEXT(CJK28-utc_offset/24,"YYYYMMDD")&amp;"*"" /stext="" "&amp;TEXT(CJK28-utc_offset/24,"HH")&amp;search_regexp&amp;""""</f>
        <v>#REF!</v>
      </c>
      <c r="CKI28" s="234" t="e">
        <f>astrogrep_path&amp;" /e /r /s /spath="&amp;search_path&amp;" /stypes=""app*"&amp;CJE28&amp;"*"&amp;TEXT(CJL28-utc_offset/24,"YYYYMMDD")&amp;"*"" /stext="" "&amp;TEXT(CJL28-utc_offset/24,"HH")&amp;search_regexp&amp;""""</f>
        <v>#REF!</v>
      </c>
      <c r="CKJ28" s="234" t="e">
        <f>astrogrep_path&amp;" /e /r /s /spath="&amp;search_path&amp;" /stypes=""app*"&amp;CJF28&amp;"*"&amp;TEXT(CJM28-utc_offset/24,"YYYYMMDD")&amp;"*"" /stext="" "&amp;TEXT(CJM28-utc_offset/24,"HH")&amp;search_regexp&amp;""""</f>
        <v>#REF!</v>
      </c>
      <c r="CKK28" s="234" t="e">
        <f>astrogrep_path&amp;" /e /r /s /spath="&amp;search_path&amp;" /stypes=""app*"&amp;CJG28&amp;"*"&amp;TEXT(CJN28-utc_offset/24,"YYYYMMDD")&amp;"*"" /stext="" "&amp;TEXT(CJN28-utc_offset/24,"HH")&amp;search_regexp&amp;""""</f>
        <v>#REF!</v>
      </c>
      <c r="CKL28" s="234" t="e">
        <f>astrogrep_path&amp;" /e /r /s /spath="&amp;search_path&amp;" /stypes=""app*"&amp;CJH28&amp;"*"&amp;TEXT(CJO28-utc_offset/24,"YYYYMMDD")&amp;"*"" /stext="" "&amp;TEXT(CJO28-utc_offset/24,"HH")&amp;search_regexp&amp;""""</f>
        <v>#REF!</v>
      </c>
      <c r="CKM28" s="234" t="e">
        <f>astrogrep_path&amp;" /e /r /s /spath="&amp;search_path&amp;" /stypes=""app*"&amp;CJI28&amp;"*"&amp;TEXT(CJP28-utc_offset/24,"YYYYMMDD")&amp;"*"" /stext="" "&amp;TEXT(CJP28-utc_offset/24,"HH")&amp;search_regexp&amp;""""</f>
        <v>#REF!</v>
      </c>
      <c r="CKN28" s="234" t="e">
        <f>astrogrep_path&amp;" /e /r /s /spath="&amp;search_path&amp;" /stypes=""app*"&amp;CJJ28&amp;"*"&amp;TEXT(CJQ28-utc_offset/24,"YYYYMMDD")&amp;"*"" /stext="" "&amp;TEXT(CJQ28-utc_offset/24,"HH")&amp;search_regexp&amp;""""</f>
        <v>#REF!</v>
      </c>
      <c r="CKO28" s="234" t="e">
        <f>astrogrep_path&amp;" /e /r /s /spath="&amp;search_path&amp;" /stypes=""app*"&amp;CJK28&amp;"*"&amp;TEXT(CJR28-utc_offset/24,"YYYYMMDD")&amp;"*"" /stext="" "&amp;TEXT(CJR28-utc_offset/24,"HH")&amp;search_regexp&amp;""""</f>
        <v>#REF!</v>
      </c>
      <c r="CKP28" s="234" t="e">
        <f>astrogrep_path&amp;" /e /r /s /spath="&amp;search_path&amp;" /stypes=""app*"&amp;CJL28&amp;"*"&amp;TEXT(CJS28-utc_offset/24,"YYYYMMDD")&amp;"*"" /stext="" "&amp;TEXT(CJS28-utc_offset/24,"HH")&amp;search_regexp&amp;""""</f>
        <v>#REF!</v>
      </c>
      <c r="CKQ28" s="234" t="e">
        <f>astrogrep_path&amp;" /e /r /s /spath="&amp;search_path&amp;" /stypes=""app*"&amp;CJM28&amp;"*"&amp;TEXT(CJT28-utc_offset/24,"YYYYMMDD")&amp;"*"" /stext="" "&amp;TEXT(CJT28-utc_offset/24,"HH")&amp;search_regexp&amp;""""</f>
        <v>#REF!</v>
      </c>
      <c r="CKR28" s="234" t="e">
        <f>astrogrep_path&amp;" /e /r /s /spath="&amp;search_path&amp;" /stypes=""app*"&amp;CJN28&amp;"*"&amp;TEXT(CJU28-utc_offset/24,"YYYYMMDD")&amp;"*"" /stext="" "&amp;TEXT(CJU28-utc_offset/24,"HH")&amp;search_regexp&amp;""""</f>
        <v>#REF!</v>
      </c>
      <c r="CKS28" s="234" t="e">
        <f>astrogrep_path&amp;" /e /r /s /spath="&amp;search_path&amp;" /stypes=""app*"&amp;CJO28&amp;"*"&amp;TEXT(CJV28-utc_offset/24,"YYYYMMDD")&amp;"*"" /stext="" "&amp;TEXT(CJV28-utc_offset/24,"HH")&amp;search_regexp&amp;""""</f>
        <v>#REF!</v>
      </c>
      <c r="CKT28" s="234" t="e">
        <f>astrogrep_path&amp;" /e /r /s /spath="&amp;search_path&amp;" /stypes=""app*"&amp;CJP28&amp;"*"&amp;TEXT(CJW28-utc_offset/24,"YYYYMMDD")&amp;"*"" /stext="" "&amp;TEXT(CJW28-utc_offset/24,"HH")&amp;search_regexp&amp;""""</f>
        <v>#REF!</v>
      </c>
      <c r="CKU28" s="234" t="e">
        <f>astrogrep_path&amp;" /e /r /s /spath="&amp;search_path&amp;" /stypes=""app*"&amp;CJQ28&amp;"*"&amp;TEXT(CJX28-utc_offset/24,"YYYYMMDD")&amp;"*"" /stext="" "&amp;TEXT(CJX28-utc_offset/24,"HH")&amp;search_regexp&amp;""""</f>
        <v>#REF!</v>
      </c>
      <c r="CKV28" s="234" t="e">
        <f>astrogrep_path&amp;" /e /r /s /spath="&amp;search_path&amp;" /stypes=""app*"&amp;CJR28&amp;"*"&amp;TEXT(CJY28-utc_offset/24,"YYYYMMDD")&amp;"*"" /stext="" "&amp;TEXT(CJY28-utc_offset/24,"HH")&amp;search_regexp&amp;""""</f>
        <v>#REF!</v>
      </c>
      <c r="CKW28" s="234" t="e">
        <f>astrogrep_path&amp;" /e /r /s /spath="&amp;search_path&amp;" /stypes=""app*"&amp;CJS28&amp;"*"&amp;TEXT(CJZ28-utc_offset/24,"YYYYMMDD")&amp;"*"" /stext="" "&amp;TEXT(CJZ28-utc_offset/24,"HH")&amp;search_regexp&amp;""""</f>
        <v>#REF!</v>
      </c>
      <c r="CKX28" s="234" t="e">
        <f>astrogrep_path&amp;" /e /r /s /spath="&amp;search_path&amp;" /stypes=""app*"&amp;CJT28&amp;"*"&amp;TEXT(CKA28-utc_offset/24,"YYYYMMDD")&amp;"*"" /stext="" "&amp;TEXT(CKA28-utc_offset/24,"HH")&amp;search_regexp&amp;""""</f>
        <v>#REF!</v>
      </c>
      <c r="CKY28" s="234" t="e">
        <f>astrogrep_path&amp;" /e /r /s /spath="&amp;search_path&amp;" /stypes=""app*"&amp;CJU28&amp;"*"&amp;TEXT(CKB28-utc_offset/24,"YYYYMMDD")&amp;"*"" /stext="" "&amp;TEXT(CKB28-utc_offset/24,"HH")&amp;search_regexp&amp;""""</f>
        <v>#REF!</v>
      </c>
      <c r="CKZ28" s="234" t="e">
        <f>astrogrep_path&amp;" /e /r /s /spath="&amp;search_path&amp;" /stypes=""app*"&amp;CJV28&amp;"*"&amp;TEXT(CKC28-utc_offset/24,"YYYYMMDD")&amp;"*"" /stext="" "&amp;TEXT(CKC28-utc_offset/24,"HH")&amp;search_regexp&amp;""""</f>
        <v>#REF!</v>
      </c>
      <c r="CLA28" s="234" t="e">
        <f>astrogrep_path&amp;" /e /r /s /spath="&amp;search_path&amp;" /stypes=""app*"&amp;CJW28&amp;"*"&amp;TEXT(CKD28-utc_offset/24,"YYYYMMDD")&amp;"*"" /stext="" "&amp;TEXT(CKD28-utc_offset/24,"HH")&amp;search_regexp&amp;""""</f>
        <v>#VALUE!</v>
      </c>
      <c r="CLB28" s="234" t="e">
        <f>astrogrep_path&amp;" /e /r /s /spath="&amp;search_path&amp;" /stypes=""app*"&amp;CJX28&amp;"*"&amp;TEXT(CKE28-utc_offset/24,"YYYYMMDD")&amp;"*"" /stext="" "&amp;TEXT(CKE28-utc_offset/24,"HH")&amp;search_regexp&amp;""""</f>
        <v>#VALUE!</v>
      </c>
      <c r="CLC28" s="234" t="e">
        <f>astrogrep_path&amp;" /e /r /s /spath="&amp;search_path&amp;" /stypes=""app*"&amp;CJY28&amp;"*"&amp;TEXT(CKF28-utc_offset/24,"YYYYMMDD")&amp;"*"" /stext="" "&amp;TEXT(CKF28-utc_offset/24,"HH")&amp;search_regexp&amp;""""</f>
        <v>#REF!</v>
      </c>
      <c r="CLD28" s="234" t="e">
        <f>astrogrep_path&amp;" /e /r /s /spath="&amp;search_path&amp;" /stypes=""app*"&amp;CJZ28&amp;"*"&amp;TEXT(CKG28-utc_offset/24,"YYYYMMDD")&amp;"*"" /stext="" "&amp;TEXT(CKG28-utc_offset/24,"HH")&amp;search_regexp&amp;""""</f>
        <v>#REF!</v>
      </c>
      <c r="CLE28" s="234" t="e">
        <f>astrogrep_path&amp;" /e /r /s /spath="&amp;search_path&amp;" /stypes=""app*"&amp;CKA28&amp;"*"&amp;TEXT(CKH28-utc_offset/24,"YYYYMMDD")&amp;"*"" /stext="" "&amp;TEXT(CKH28-utc_offset/24,"HH")&amp;search_regexp&amp;""""</f>
        <v>#VALUE!</v>
      </c>
      <c r="CLF28" s="234" t="e">
        <f>astrogrep_path&amp;" /e /r /s /spath="&amp;search_path&amp;" /stypes=""app*"&amp;CKB28&amp;"*"&amp;TEXT(CKI28-utc_offset/24,"YYYYMMDD")&amp;"*"" /stext="" "&amp;TEXT(CKI28-utc_offset/24,"HH")&amp;search_regexp&amp;""""</f>
        <v>#VALUE!</v>
      </c>
      <c r="CLG28" s="234" t="e">
        <f>astrogrep_path&amp;" /e /r /s /spath="&amp;search_path&amp;" /stypes=""app*"&amp;CKC28&amp;"*"&amp;TEXT(CKJ28-utc_offset/24,"YYYYMMDD")&amp;"*"" /stext="" "&amp;TEXT(CKJ28-utc_offset/24,"HH")&amp;search_regexp&amp;""""</f>
        <v>#VALUE!</v>
      </c>
      <c r="CLH28" s="234" t="e">
        <f>astrogrep_path&amp;" /e /r /s /spath="&amp;search_path&amp;" /stypes=""app*"&amp;CKD28&amp;"*"&amp;TEXT(CKK28-utc_offset/24,"YYYYMMDD")&amp;"*"" /stext="" "&amp;TEXT(CKK28-utc_offset/24,"HH")&amp;search_regexp&amp;""""</f>
        <v>#VALUE!</v>
      </c>
      <c r="CLI28" s="234" t="e">
        <f>astrogrep_path&amp;" /e /r /s /spath="&amp;search_path&amp;" /stypes=""app*"&amp;CKE28&amp;"*"&amp;TEXT(CKL28-utc_offset/24,"YYYYMMDD")&amp;"*"" /stext="" "&amp;TEXT(CKL28-utc_offset/24,"HH")&amp;search_regexp&amp;""""</f>
        <v>#VALUE!</v>
      </c>
      <c r="CLJ28" s="234" t="e">
        <f>astrogrep_path&amp;" /e /r /s /spath="&amp;search_path&amp;" /stypes=""app*"&amp;CKF28&amp;"*"&amp;TEXT(CKM28-utc_offset/24,"YYYYMMDD")&amp;"*"" /stext="" "&amp;TEXT(CKM28-utc_offset/24,"HH")&amp;search_regexp&amp;""""</f>
        <v>#REF!</v>
      </c>
      <c r="CLK28" s="234" t="e">
        <f>astrogrep_path&amp;" /e /r /s /spath="&amp;search_path&amp;" /stypes=""app*"&amp;CKG28&amp;"*"&amp;TEXT(CKN28-utc_offset/24,"YYYYMMDD")&amp;"*"" /stext="" "&amp;TEXT(CKN28-utc_offset/24,"HH")&amp;search_regexp&amp;""""</f>
        <v>#REF!</v>
      </c>
      <c r="CLL28" s="234" t="e">
        <f>astrogrep_path&amp;" /e /r /s /spath="&amp;search_path&amp;" /stypes=""app*"&amp;CKH28&amp;"*"&amp;TEXT(CKO28-utc_offset/24,"YYYYMMDD")&amp;"*"" /stext="" "&amp;TEXT(CKO28-utc_offset/24,"HH")&amp;search_regexp&amp;""""</f>
        <v>#REF!</v>
      </c>
      <c r="CLM28" s="234" t="e">
        <f>astrogrep_path&amp;" /e /r /s /spath="&amp;search_path&amp;" /stypes=""app*"&amp;CKI28&amp;"*"&amp;TEXT(CKP28-utc_offset/24,"YYYYMMDD")&amp;"*"" /stext="" "&amp;TEXT(CKP28-utc_offset/24,"HH")&amp;search_regexp&amp;""""</f>
        <v>#REF!</v>
      </c>
      <c r="CLN28" s="234" t="e">
        <f>astrogrep_path&amp;" /e /r /s /spath="&amp;search_path&amp;" /stypes=""app*"&amp;CKJ28&amp;"*"&amp;TEXT(CKQ28-utc_offset/24,"YYYYMMDD")&amp;"*"" /stext="" "&amp;TEXT(CKQ28-utc_offset/24,"HH")&amp;search_regexp&amp;""""</f>
        <v>#REF!</v>
      </c>
      <c r="CLO28" s="234" t="e">
        <f>astrogrep_path&amp;" /e /r /s /spath="&amp;search_path&amp;" /stypes=""app*"&amp;CKK28&amp;"*"&amp;TEXT(CKR28-utc_offset/24,"YYYYMMDD")&amp;"*"" /stext="" "&amp;TEXT(CKR28-utc_offset/24,"HH")&amp;search_regexp&amp;""""</f>
        <v>#REF!</v>
      </c>
      <c r="CLP28" s="234" t="e">
        <f>astrogrep_path&amp;" /e /r /s /spath="&amp;search_path&amp;" /stypes=""app*"&amp;CKL28&amp;"*"&amp;TEXT(CKS28-utc_offset/24,"YYYYMMDD")&amp;"*"" /stext="" "&amp;TEXT(CKS28-utc_offset/24,"HH")&amp;search_regexp&amp;""""</f>
        <v>#REF!</v>
      </c>
      <c r="CLQ28" s="234" t="e">
        <f>astrogrep_path&amp;" /e /r /s /spath="&amp;search_path&amp;" /stypes=""app*"&amp;CKM28&amp;"*"&amp;TEXT(CKT28-utc_offset/24,"YYYYMMDD")&amp;"*"" /stext="" "&amp;TEXT(CKT28-utc_offset/24,"HH")&amp;search_regexp&amp;""""</f>
        <v>#REF!</v>
      </c>
      <c r="CLR28" s="234" t="e">
        <f>astrogrep_path&amp;" /e /r /s /spath="&amp;search_path&amp;" /stypes=""app*"&amp;CKN28&amp;"*"&amp;TEXT(CKU28-utc_offset/24,"YYYYMMDD")&amp;"*"" /stext="" "&amp;TEXT(CKU28-utc_offset/24,"HH")&amp;search_regexp&amp;""""</f>
        <v>#REF!</v>
      </c>
      <c r="CLS28" s="234" t="e">
        <f>astrogrep_path&amp;" /e /r /s /spath="&amp;search_path&amp;" /stypes=""app*"&amp;CKO28&amp;"*"&amp;TEXT(CKV28-utc_offset/24,"YYYYMMDD")&amp;"*"" /stext="" "&amp;TEXT(CKV28-utc_offset/24,"HH")&amp;search_regexp&amp;""""</f>
        <v>#REF!</v>
      </c>
      <c r="CLT28" s="234" t="e">
        <f>astrogrep_path&amp;" /e /r /s /spath="&amp;search_path&amp;" /stypes=""app*"&amp;CKP28&amp;"*"&amp;TEXT(CKW28-utc_offset/24,"YYYYMMDD")&amp;"*"" /stext="" "&amp;TEXT(CKW28-utc_offset/24,"HH")&amp;search_regexp&amp;""""</f>
        <v>#REF!</v>
      </c>
      <c r="CLU28" s="234" t="e">
        <f>astrogrep_path&amp;" /e /r /s /spath="&amp;search_path&amp;" /stypes=""app*"&amp;CKQ28&amp;"*"&amp;TEXT(CKX28-utc_offset/24,"YYYYMMDD")&amp;"*"" /stext="" "&amp;TEXT(CKX28-utc_offset/24,"HH")&amp;search_regexp&amp;""""</f>
        <v>#REF!</v>
      </c>
      <c r="CLV28" s="234" t="e">
        <f>astrogrep_path&amp;" /e /r /s /spath="&amp;search_path&amp;" /stypes=""app*"&amp;CKR28&amp;"*"&amp;TEXT(CKY28-utc_offset/24,"YYYYMMDD")&amp;"*"" /stext="" "&amp;TEXT(CKY28-utc_offset/24,"HH")&amp;search_regexp&amp;""""</f>
        <v>#REF!</v>
      </c>
      <c r="CLW28" s="234" t="e">
        <f>astrogrep_path&amp;" /e /r /s /spath="&amp;search_path&amp;" /stypes=""app*"&amp;CKS28&amp;"*"&amp;TEXT(CKZ28-utc_offset/24,"YYYYMMDD")&amp;"*"" /stext="" "&amp;TEXT(CKZ28-utc_offset/24,"HH")&amp;search_regexp&amp;""""</f>
        <v>#REF!</v>
      </c>
      <c r="CLX28" s="234" t="e">
        <f>astrogrep_path&amp;" /e /r /s /spath="&amp;search_path&amp;" /stypes=""app*"&amp;CKT28&amp;"*"&amp;TEXT(CLA28-utc_offset/24,"YYYYMMDD")&amp;"*"" /stext="" "&amp;TEXT(CLA28-utc_offset/24,"HH")&amp;search_regexp&amp;""""</f>
        <v>#REF!</v>
      </c>
      <c r="CLY28" s="234" t="e">
        <f>astrogrep_path&amp;" /e /r /s /spath="&amp;search_path&amp;" /stypes=""app*"&amp;CKU28&amp;"*"&amp;TEXT(CLB28-utc_offset/24,"YYYYMMDD")&amp;"*"" /stext="" "&amp;TEXT(CLB28-utc_offset/24,"HH")&amp;search_regexp&amp;""""</f>
        <v>#REF!</v>
      </c>
      <c r="CLZ28" s="234" t="e">
        <f>astrogrep_path&amp;" /e /r /s /spath="&amp;search_path&amp;" /stypes=""app*"&amp;CKV28&amp;"*"&amp;TEXT(CLC28-utc_offset/24,"YYYYMMDD")&amp;"*"" /stext="" "&amp;TEXT(CLC28-utc_offset/24,"HH")&amp;search_regexp&amp;""""</f>
        <v>#REF!</v>
      </c>
      <c r="CMA28" s="234" t="e">
        <f>astrogrep_path&amp;" /e /r /s /spath="&amp;search_path&amp;" /stypes=""app*"&amp;CKW28&amp;"*"&amp;TEXT(CLD28-utc_offset/24,"YYYYMMDD")&amp;"*"" /stext="" "&amp;TEXT(CLD28-utc_offset/24,"HH")&amp;search_regexp&amp;""""</f>
        <v>#REF!</v>
      </c>
      <c r="CMB28" s="234" t="e">
        <f>astrogrep_path&amp;" /e /r /s /spath="&amp;search_path&amp;" /stypes=""app*"&amp;CKX28&amp;"*"&amp;TEXT(CLE28-utc_offset/24,"YYYYMMDD")&amp;"*"" /stext="" "&amp;TEXT(CLE28-utc_offset/24,"HH")&amp;search_regexp&amp;""""</f>
        <v>#REF!</v>
      </c>
      <c r="CMC28" s="234" t="e">
        <f>astrogrep_path&amp;" /e /r /s /spath="&amp;search_path&amp;" /stypes=""app*"&amp;CKY28&amp;"*"&amp;TEXT(CLF28-utc_offset/24,"YYYYMMDD")&amp;"*"" /stext="" "&amp;TEXT(CLF28-utc_offset/24,"HH")&amp;search_regexp&amp;""""</f>
        <v>#REF!</v>
      </c>
      <c r="CMD28" s="234" t="e">
        <f>astrogrep_path&amp;" /e /r /s /spath="&amp;search_path&amp;" /stypes=""app*"&amp;CKZ28&amp;"*"&amp;TEXT(CLG28-utc_offset/24,"YYYYMMDD")&amp;"*"" /stext="" "&amp;TEXT(CLG28-utc_offset/24,"HH")&amp;search_regexp&amp;""""</f>
        <v>#REF!</v>
      </c>
      <c r="CME28" s="234" t="e">
        <f>astrogrep_path&amp;" /e /r /s /spath="&amp;search_path&amp;" /stypes=""app*"&amp;CLA28&amp;"*"&amp;TEXT(CLH28-utc_offset/24,"YYYYMMDD")&amp;"*"" /stext="" "&amp;TEXT(CLH28-utc_offset/24,"HH")&amp;search_regexp&amp;""""</f>
        <v>#VALUE!</v>
      </c>
      <c r="CMF28" s="234" t="e">
        <f>astrogrep_path&amp;" /e /r /s /spath="&amp;search_path&amp;" /stypes=""app*"&amp;CLB28&amp;"*"&amp;TEXT(CLI28-utc_offset/24,"YYYYMMDD")&amp;"*"" /stext="" "&amp;TEXT(CLI28-utc_offset/24,"HH")&amp;search_regexp&amp;""""</f>
        <v>#VALUE!</v>
      </c>
      <c r="CMG28" s="234" t="e">
        <f>astrogrep_path&amp;" /e /r /s /spath="&amp;search_path&amp;" /stypes=""app*"&amp;CLC28&amp;"*"&amp;TEXT(CLJ28-utc_offset/24,"YYYYMMDD")&amp;"*"" /stext="" "&amp;TEXT(CLJ28-utc_offset/24,"HH")&amp;search_regexp&amp;""""</f>
        <v>#REF!</v>
      </c>
      <c r="CMH28" s="234" t="e">
        <f>astrogrep_path&amp;" /e /r /s /spath="&amp;search_path&amp;" /stypes=""app*"&amp;CLD28&amp;"*"&amp;TEXT(CLK28-utc_offset/24,"YYYYMMDD")&amp;"*"" /stext="" "&amp;TEXT(CLK28-utc_offset/24,"HH")&amp;search_regexp&amp;""""</f>
        <v>#REF!</v>
      </c>
      <c r="CMI28" s="234" t="e">
        <f>astrogrep_path&amp;" /e /r /s /spath="&amp;search_path&amp;" /stypes=""app*"&amp;CLE28&amp;"*"&amp;TEXT(CLL28-utc_offset/24,"YYYYMMDD")&amp;"*"" /stext="" "&amp;TEXT(CLL28-utc_offset/24,"HH")&amp;search_regexp&amp;""""</f>
        <v>#VALUE!</v>
      </c>
      <c r="CMJ28" s="234" t="e">
        <f>astrogrep_path&amp;" /e /r /s /spath="&amp;search_path&amp;" /stypes=""app*"&amp;CLF28&amp;"*"&amp;TEXT(CLM28-utc_offset/24,"YYYYMMDD")&amp;"*"" /stext="" "&amp;TEXT(CLM28-utc_offset/24,"HH")&amp;search_regexp&amp;""""</f>
        <v>#VALUE!</v>
      </c>
      <c r="CMK28" s="234" t="e">
        <f>astrogrep_path&amp;" /e /r /s /spath="&amp;search_path&amp;" /stypes=""app*"&amp;CLG28&amp;"*"&amp;TEXT(CLN28-utc_offset/24,"YYYYMMDD")&amp;"*"" /stext="" "&amp;TEXT(CLN28-utc_offset/24,"HH")&amp;search_regexp&amp;""""</f>
        <v>#VALUE!</v>
      </c>
      <c r="CML28" s="234" t="e">
        <f>astrogrep_path&amp;" /e /r /s /spath="&amp;search_path&amp;" /stypes=""app*"&amp;CLH28&amp;"*"&amp;TEXT(CLO28-utc_offset/24,"YYYYMMDD")&amp;"*"" /stext="" "&amp;TEXT(CLO28-utc_offset/24,"HH")&amp;search_regexp&amp;""""</f>
        <v>#VALUE!</v>
      </c>
      <c r="CMM28" s="234" t="e">
        <f>astrogrep_path&amp;" /e /r /s /spath="&amp;search_path&amp;" /stypes=""app*"&amp;CLI28&amp;"*"&amp;TEXT(CLP28-utc_offset/24,"YYYYMMDD")&amp;"*"" /stext="" "&amp;TEXT(CLP28-utc_offset/24,"HH")&amp;search_regexp&amp;""""</f>
        <v>#VALUE!</v>
      </c>
      <c r="CMN28" s="234" t="e">
        <f>astrogrep_path&amp;" /e /r /s /spath="&amp;search_path&amp;" /stypes=""app*"&amp;CLJ28&amp;"*"&amp;TEXT(CLQ28-utc_offset/24,"YYYYMMDD")&amp;"*"" /stext="" "&amp;TEXT(CLQ28-utc_offset/24,"HH")&amp;search_regexp&amp;""""</f>
        <v>#REF!</v>
      </c>
      <c r="CMO28" s="234" t="e">
        <f>astrogrep_path&amp;" /e /r /s /spath="&amp;search_path&amp;" /stypes=""app*"&amp;CLK28&amp;"*"&amp;TEXT(CLR28-utc_offset/24,"YYYYMMDD")&amp;"*"" /stext="" "&amp;TEXT(CLR28-utc_offset/24,"HH")&amp;search_regexp&amp;""""</f>
        <v>#REF!</v>
      </c>
      <c r="CMP28" s="234" t="e">
        <f>astrogrep_path&amp;" /e /r /s /spath="&amp;search_path&amp;" /stypes=""app*"&amp;CLL28&amp;"*"&amp;TEXT(CLS28-utc_offset/24,"YYYYMMDD")&amp;"*"" /stext="" "&amp;TEXT(CLS28-utc_offset/24,"HH")&amp;search_regexp&amp;""""</f>
        <v>#REF!</v>
      </c>
      <c r="CMQ28" s="234" t="e">
        <f>astrogrep_path&amp;" /e /r /s /spath="&amp;search_path&amp;" /stypes=""app*"&amp;CLM28&amp;"*"&amp;TEXT(CLT28-utc_offset/24,"YYYYMMDD")&amp;"*"" /stext="" "&amp;TEXT(CLT28-utc_offset/24,"HH")&amp;search_regexp&amp;""""</f>
        <v>#REF!</v>
      </c>
      <c r="CMR28" s="234" t="e">
        <f>astrogrep_path&amp;" /e /r /s /spath="&amp;search_path&amp;" /stypes=""app*"&amp;CLN28&amp;"*"&amp;TEXT(CLU28-utc_offset/24,"YYYYMMDD")&amp;"*"" /stext="" "&amp;TEXT(CLU28-utc_offset/24,"HH")&amp;search_regexp&amp;""""</f>
        <v>#REF!</v>
      </c>
      <c r="CMS28" s="234" t="e">
        <f>astrogrep_path&amp;" /e /r /s /spath="&amp;search_path&amp;" /stypes=""app*"&amp;CLO28&amp;"*"&amp;TEXT(CLV28-utc_offset/24,"YYYYMMDD")&amp;"*"" /stext="" "&amp;TEXT(CLV28-utc_offset/24,"HH")&amp;search_regexp&amp;""""</f>
        <v>#REF!</v>
      </c>
      <c r="CMT28" s="234" t="e">
        <f>astrogrep_path&amp;" /e /r /s /spath="&amp;search_path&amp;" /stypes=""app*"&amp;CLP28&amp;"*"&amp;TEXT(CLW28-utc_offset/24,"YYYYMMDD")&amp;"*"" /stext="" "&amp;TEXT(CLW28-utc_offset/24,"HH")&amp;search_regexp&amp;""""</f>
        <v>#REF!</v>
      </c>
      <c r="CMU28" s="234" t="e">
        <f>astrogrep_path&amp;" /e /r /s /spath="&amp;search_path&amp;" /stypes=""app*"&amp;CLQ28&amp;"*"&amp;TEXT(CLX28-utc_offset/24,"YYYYMMDD")&amp;"*"" /stext="" "&amp;TEXT(CLX28-utc_offset/24,"HH")&amp;search_regexp&amp;""""</f>
        <v>#REF!</v>
      </c>
      <c r="CMV28" s="234" t="e">
        <f>astrogrep_path&amp;" /e /r /s /spath="&amp;search_path&amp;" /stypes=""app*"&amp;CLR28&amp;"*"&amp;TEXT(CLY28-utc_offset/24,"YYYYMMDD")&amp;"*"" /stext="" "&amp;TEXT(CLY28-utc_offset/24,"HH")&amp;search_regexp&amp;""""</f>
        <v>#REF!</v>
      </c>
      <c r="CMW28" s="234" t="e">
        <f>astrogrep_path&amp;" /e /r /s /spath="&amp;search_path&amp;" /stypes=""app*"&amp;CLS28&amp;"*"&amp;TEXT(CLZ28-utc_offset/24,"YYYYMMDD")&amp;"*"" /stext="" "&amp;TEXT(CLZ28-utc_offset/24,"HH")&amp;search_regexp&amp;""""</f>
        <v>#REF!</v>
      </c>
      <c r="CMX28" s="234" t="e">
        <f>astrogrep_path&amp;" /e /r /s /spath="&amp;search_path&amp;" /stypes=""app*"&amp;CLT28&amp;"*"&amp;TEXT(CMA28-utc_offset/24,"YYYYMMDD")&amp;"*"" /stext="" "&amp;TEXT(CMA28-utc_offset/24,"HH")&amp;search_regexp&amp;""""</f>
        <v>#REF!</v>
      </c>
      <c r="CMY28" s="234" t="e">
        <f>astrogrep_path&amp;" /e /r /s /spath="&amp;search_path&amp;" /stypes=""app*"&amp;CLU28&amp;"*"&amp;TEXT(CMB28-utc_offset/24,"YYYYMMDD")&amp;"*"" /stext="" "&amp;TEXT(CMB28-utc_offset/24,"HH")&amp;search_regexp&amp;""""</f>
        <v>#REF!</v>
      </c>
      <c r="CMZ28" s="234" t="e">
        <f>astrogrep_path&amp;" /e /r /s /spath="&amp;search_path&amp;" /stypes=""app*"&amp;CLV28&amp;"*"&amp;TEXT(CMC28-utc_offset/24,"YYYYMMDD")&amp;"*"" /stext="" "&amp;TEXT(CMC28-utc_offset/24,"HH")&amp;search_regexp&amp;""""</f>
        <v>#REF!</v>
      </c>
      <c r="CNA28" s="234" t="e">
        <f>astrogrep_path&amp;" /e /r /s /spath="&amp;search_path&amp;" /stypes=""app*"&amp;CLW28&amp;"*"&amp;TEXT(CMD28-utc_offset/24,"YYYYMMDD")&amp;"*"" /stext="" "&amp;TEXT(CMD28-utc_offset/24,"HH")&amp;search_regexp&amp;""""</f>
        <v>#REF!</v>
      </c>
      <c r="CNB28" s="234" t="e">
        <f>astrogrep_path&amp;" /e /r /s /spath="&amp;search_path&amp;" /stypes=""app*"&amp;CLX28&amp;"*"&amp;TEXT(CME28-utc_offset/24,"YYYYMMDD")&amp;"*"" /stext="" "&amp;TEXT(CME28-utc_offset/24,"HH")&amp;search_regexp&amp;""""</f>
        <v>#REF!</v>
      </c>
      <c r="CNC28" s="234" t="e">
        <f>astrogrep_path&amp;" /e /r /s /spath="&amp;search_path&amp;" /stypes=""app*"&amp;CLY28&amp;"*"&amp;TEXT(CMF28-utc_offset/24,"YYYYMMDD")&amp;"*"" /stext="" "&amp;TEXT(CMF28-utc_offset/24,"HH")&amp;search_regexp&amp;""""</f>
        <v>#REF!</v>
      </c>
      <c r="CND28" s="234" t="e">
        <f>astrogrep_path&amp;" /e /r /s /spath="&amp;search_path&amp;" /stypes=""app*"&amp;CLZ28&amp;"*"&amp;TEXT(CMG28-utc_offset/24,"YYYYMMDD")&amp;"*"" /stext="" "&amp;TEXT(CMG28-utc_offset/24,"HH")&amp;search_regexp&amp;""""</f>
        <v>#REF!</v>
      </c>
      <c r="CNE28" s="234" t="e">
        <f>astrogrep_path&amp;" /e /r /s /spath="&amp;search_path&amp;" /stypes=""app*"&amp;CMA28&amp;"*"&amp;TEXT(CMH28-utc_offset/24,"YYYYMMDD")&amp;"*"" /stext="" "&amp;TEXT(CMH28-utc_offset/24,"HH")&amp;search_regexp&amp;""""</f>
        <v>#REF!</v>
      </c>
      <c r="CNF28" s="234" t="e">
        <f>astrogrep_path&amp;" /e /r /s /spath="&amp;search_path&amp;" /stypes=""app*"&amp;CMB28&amp;"*"&amp;TEXT(CMI28-utc_offset/24,"YYYYMMDD")&amp;"*"" /stext="" "&amp;TEXT(CMI28-utc_offset/24,"HH")&amp;search_regexp&amp;""""</f>
        <v>#REF!</v>
      </c>
      <c r="CNG28" s="234" t="e">
        <f>astrogrep_path&amp;" /e /r /s /spath="&amp;search_path&amp;" /stypes=""app*"&amp;CMC28&amp;"*"&amp;TEXT(CMJ28-utc_offset/24,"YYYYMMDD")&amp;"*"" /stext="" "&amp;TEXT(CMJ28-utc_offset/24,"HH")&amp;search_regexp&amp;""""</f>
        <v>#REF!</v>
      </c>
      <c r="CNH28" s="234" t="e">
        <f>astrogrep_path&amp;" /e /r /s /spath="&amp;search_path&amp;" /stypes=""app*"&amp;CMD28&amp;"*"&amp;TEXT(CMK28-utc_offset/24,"YYYYMMDD")&amp;"*"" /stext="" "&amp;TEXT(CMK28-utc_offset/24,"HH")&amp;search_regexp&amp;""""</f>
        <v>#REF!</v>
      </c>
      <c r="CNI28" s="234" t="e">
        <f>astrogrep_path&amp;" /e /r /s /spath="&amp;search_path&amp;" /stypes=""app*"&amp;CME28&amp;"*"&amp;TEXT(CML28-utc_offset/24,"YYYYMMDD")&amp;"*"" /stext="" "&amp;TEXT(CML28-utc_offset/24,"HH")&amp;search_regexp&amp;""""</f>
        <v>#VALUE!</v>
      </c>
      <c r="CNJ28" s="234" t="e">
        <f>astrogrep_path&amp;" /e /r /s /spath="&amp;search_path&amp;" /stypes=""app*"&amp;CMF28&amp;"*"&amp;TEXT(CMM28-utc_offset/24,"YYYYMMDD")&amp;"*"" /stext="" "&amp;TEXT(CMM28-utc_offset/24,"HH")&amp;search_regexp&amp;""""</f>
        <v>#VALUE!</v>
      </c>
      <c r="CNK28" s="234" t="e">
        <f>astrogrep_path&amp;" /e /r /s /spath="&amp;search_path&amp;" /stypes=""app*"&amp;CMG28&amp;"*"&amp;TEXT(CMN28-utc_offset/24,"YYYYMMDD")&amp;"*"" /stext="" "&amp;TEXT(CMN28-utc_offset/24,"HH")&amp;search_regexp&amp;""""</f>
        <v>#REF!</v>
      </c>
      <c r="CNL28" s="234" t="e">
        <f>astrogrep_path&amp;" /e /r /s /spath="&amp;search_path&amp;" /stypes=""app*"&amp;CMH28&amp;"*"&amp;TEXT(CMO28-utc_offset/24,"YYYYMMDD")&amp;"*"" /stext="" "&amp;TEXT(CMO28-utc_offset/24,"HH")&amp;search_regexp&amp;""""</f>
        <v>#REF!</v>
      </c>
      <c r="CNM28" s="234" t="e">
        <f>astrogrep_path&amp;" /e /r /s /spath="&amp;search_path&amp;" /stypes=""app*"&amp;CMI28&amp;"*"&amp;TEXT(CMP28-utc_offset/24,"YYYYMMDD")&amp;"*"" /stext="" "&amp;TEXT(CMP28-utc_offset/24,"HH")&amp;search_regexp&amp;""""</f>
        <v>#VALUE!</v>
      </c>
      <c r="CNN28" s="234" t="e">
        <f>astrogrep_path&amp;" /e /r /s /spath="&amp;search_path&amp;" /stypes=""app*"&amp;CMJ28&amp;"*"&amp;TEXT(CMQ28-utc_offset/24,"YYYYMMDD")&amp;"*"" /stext="" "&amp;TEXT(CMQ28-utc_offset/24,"HH")&amp;search_regexp&amp;""""</f>
        <v>#VALUE!</v>
      </c>
      <c r="CNO28" s="234" t="e">
        <f>astrogrep_path&amp;" /e /r /s /spath="&amp;search_path&amp;" /stypes=""app*"&amp;CMK28&amp;"*"&amp;TEXT(CMR28-utc_offset/24,"YYYYMMDD")&amp;"*"" /stext="" "&amp;TEXT(CMR28-utc_offset/24,"HH")&amp;search_regexp&amp;""""</f>
        <v>#VALUE!</v>
      </c>
      <c r="CNP28" s="234" t="e">
        <f>astrogrep_path&amp;" /e /r /s /spath="&amp;search_path&amp;" /stypes=""app*"&amp;CML28&amp;"*"&amp;TEXT(CMS28-utc_offset/24,"YYYYMMDD")&amp;"*"" /stext="" "&amp;TEXT(CMS28-utc_offset/24,"HH")&amp;search_regexp&amp;""""</f>
        <v>#VALUE!</v>
      </c>
      <c r="CNQ28" s="234" t="e">
        <f>astrogrep_path&amp;" /e /r /s /spath="&amp;search_path&amp;" /stypes=""app*"&amp;CMM28&amp;"*"&amp;TEXT(CMT28-utc_offset/24,"YYYYMMDD")&amp;"*"" /stext="" "&amp;TEXT(CMT28-utc_offset/24,"HH")&amp;search_regexp&amp;""""</f>
        <v>#VALUE!</v>
      </c>
      <c r="CNR28" s="234" t="e">
        <f>astrogrep_path&amp;" /e /r /s /spath="&amp;search_path&amp;" /stypes=""app*"&amp;CMN28&amp;"*"&amp;TEXT(CMU28-utc_offset/24,"YYYYMMDD")&amp;"*"" /stext="" "&amp;TEXT(CMU28-utc_offset/24,"HH")&amp;search_regexp&amp;""""</f>
        <v>#REF!</v>
      </c>
      <c r="CNS28" s="234" t="e">
        <f>astrogrep_path&amp;" /e /r /s /spath="&amp;search_path&amp;" /stypes=""app*"&amp;CMO28&amp;"*"&amp;TEXT(CMV28-utc_offset/24,"YYYYMMDD")&amp;"*"" /stext="" "&amp;TEXT(CMV28-utc_offset/24,"HH")&amp;search_regexp&amp;""""</f>
        <v>#REF!</v>
      </c>
      <c r="CNT28" s="234" t="e">
        <f>astrogrep_path&amp;" /e /r /s /spath="&amp;search_path&amp;" /stypes=""app*"&amp;CMP28&amp;"*"&amp;TEXT(CMW28-utc_offset/24,"YYYYMMDD")&amp;"*"" /stext="" "&amp;TEXT(CMW28-utc_offset/24,"HH")&amp;search_regexp&amp;""""</f>
        <v>#REF!</v>
      </c>
      <c r="CNU28" s="234" t="e">
        <f>astrogrep_path&amp;" /e /r /s /spath="&amp;search_path&amp;" /stypes=""app*"&amp;CMQ28&amp;"*"&amp;TEXT(CMX28-utc_offset/24,"YYYYMMDD")&amp;"*"" /stext="" "&amp;TEXT(CMX28-utc_offset/24,"HH")&amp;search_regexp&amp;""""</f>
        <v>#REF!</v>
      </c>
      <c r="CNV28" s="234" t="e">
        <f>astrogrep_path&amp;" /e /r /s /spath="&amp;search_path&amp;" /stypes=""app*"&amp;CMR28&amp;"*"&amp;TEXT(CMY28-utc_offset/24,"YYYYMMDD")&amp;"*"" /stext="" "&amp;TEXT(CMY28-utc_offset/24,"HH")&amp;search_regexp&amp;""""</f>
        <v>#REF!</v>
      </c>
      <c r="CNW28" s="234" t="e">
        <f>astrogrep_path&amp;" /e /r /s /spath="&amp;search_path&amp;" /stypes=""app*"&amp;CMS28&amp;"*"&amp;TEXT(CMZ28-utc_offset/24,"YYYYMMDD")&amp;"*"" /stext="" "&amp;TEXT(CMZ28-utc_offset/24,"HH")&amp;search_regexp&amp;""""</f>
        <v>#REF!</v>
      </c>
      <c r="CNX28" s="234" t="e">
        <f>astrogrep_path&amp;" /e /r /s /spath="&amp;search_path&amp;" /stypes=""app*"&amp;CMT28&amp;"*"&amp;TEXT(CNA28-utc_offset/24,"YYYYMMDD")&amp;"*"" /stext="" "&amp;TEXT(CNA28-utc_offset/24,"HH")&amp;search_regexp&amp;""""</f>
        <v>#REF!</v>
      </c>
      <c r="CNY28" s="234" t="e">
        <f>astrogrep_path&amp;" /e /r /s /spath="&amp;search_path&amp;" /stypes=""app*"&amp;CMU28&amp;"*"&amp;TEXT(CNB28-utc_offset/24,"YYYYMMDD")&amp;"*"" /stext="" "&amp;TEXT(CNB28-utc_offset/24,"HH")&amp;search_regexp&amp;""""</f>
        <v>#REF!</v>
      </c>
      <c r="CNZ28" s="234" t="e">
        <f>astrogrep_path&amp;" /e /r /s /spath="&amp;search_path&amp;" /stypes=""app*"&amp;CMV28&amp;"*"&amp;TEXT(CNC28-utc_offset/24,"YYYYMMDD")&amp;"*"" /stext="" "&amp;TEXT(CNC28-utc_offset/24,"HH")&amp;search_regexp&amp;""""</f>
        <v>#REF!</v>
      </c>
      <c r="COA28" s="234" t="e">
        <f>astrogrep_path&amp;" /e /r /s /spath="&amp;search_path&amp;" /stypes=""app*"&amp;CMW28&amp;"*"&amp;TEXT(CND28-utc_offset/24,"YYYYMMDD")&amp;"*"" /stext="" "&amp;TEXT(CND28-utc_offset/24,"HH")&amp;search_regexp&amp;""""</f>
        <v>#REF!</v>
      </c>
      <c r="COB28" s="234" t="e">
        <f>astrogrep_path&amp;" /e /r /s /spath="&amp;search_path&amp;" /stypes=""app*"&amp;CMX28&amp;"*"&amp;TEXT(CNE28-utc_offset/24,"YYYYMMDD")&amp;"*"" /stext="" "&amp;TEXT(CNE28-utc_offset/24,"HH")&amp;search_regexp&amp;""""</f>
        <v>#REF!</v>
      </c>
      <c r="COC28" s="234" t="e">
        <f>astrogrep_path&amp;" /e /r /s /spath="&amp;search_path&amp;" /stypes=""app*"&amp;CMY28&amp;"*"&amp;TEXT(CNF28-utc_offset/24,"YYYYMMDD")&amp;"*"" /stext="" "&amp;TEXT(CNF28-utc_offset/24,"HH")&amp;search_regexp&amp;""""</f>
        <v>#REF!</v>
      </c>
      <c r="COD28" s="234" t="e">
        <f>astrogrep_path&amp;" /e /r /s /spath="&amp;search_path&amp;" /stypes=""app*"&amp;CMZ28&amp;"*"&amp;TEXT(CNG28-utc_offset/24,"YYYYMMDD")&amp;"*"" /stext="" "&amp;TEXT(CNG28-utc_offset/24,"HH")&amp;search_regexp&amp;""""</f>
        <v>#REF!</v>
      </c>
      <c r="COE28" s="234" t="e">
        <f>astrogrep_path&amp;" /e /r /s /spath="&amp;search_path&amp;" /stypes=""app*"&amp;CNA28&amp;"*"&amp;TEXT(CNH28-utc_offset/24,"YYYYMMDD")&amp;"*"" /stext="" "&amp;TEXT(CNH28-utc_offset/24,"HH")&amp;search_regexp&amp;""""</f>
        <v>#REF!</v>
      </c>
      <c r="COF28" s="234" t="e">
        <f>astrogrep_path&amp;" /e /r /s /spath="&amp;search_path&amp;" /stypes=""app*"&amp;CNB28&amp;"*"&amp;TEXT(CNI28-utc_offset/24,"YYYYMMDD")&amp;"*"" /stext="" "&amp;TEXT(CNI28-utc_offset/24,"HH")&amp;search_regexp&amp;""""</f>
        <v>#REF!</v>
      </c>
      <c r="COG28" s="234" t="e">
        <f>astrogrep_path&amp;" /e /r /s /spath="&amp;search_path&amp;" /stypes=""app*"&amp;CNC28&amp;"*"&amp;TEXT(CNJ28-utc_offset/24,"YYYYMMDD")&amp;"*"" /stext="" "&amp;TEXT(CNJ28-utc_offset/24,"HH")&amp;search_regexp&amp;""""</f>
        <v>#REF!</v>
      </c>
      <c r="COH28" s="234" t="e">
        <f>astrogrep_path&amp;" /e /r /s /spath="&amp;search_path&amp;" /stypes=""app*"&amp;CND28&amp;"*"&amp;TEXT(CNK28-utc_offset/24,"YYYYMMDD")&amp;"*"" /stext="" "&amp;TEXT(CNK28-utc_offset/24,"HH")&amp;search_regexp&amp;""""</f>
        <v>#REF!</v>
      </c>
      <c r="COI28" s="234" t="e">
        <f>astrogrep_path&amp;" /e /r /s /spath="&amp;search_path&amp;" /stypes=""app*"&amp;CNE28&amp;"*"&amp;TEXT(CNL28-utc_offset/24,"YYYYMMDD")&amp;"*"" /stext="" "&amp;TEXT(CNL28-utc_offset/24,"HH")&amp;search_regexp&amp;""""</f>
        <v>#REF!</v>
      </c>
      <c r="COJ28" s="234" t="e">
        <f>astrogrep_path&amp;" /e /r /s /spath="&amp;search_path&amp;" /stypes=""app*"&amp;CNF28&amp;"*"&amp;TEXT(CNM28-utc_offset/24,"YYYYMMDD")&amp;"*"" /stext="" "&amp;TEXT(CNM28-utc_offset/24,"HH")&amp;search_regexp&amp;""""</f>
        <v>#REF!</v>
      </c>
      <c r="COK28" s="234" t="e">
        <f>astrogrep_path&amp;" /e /r /s /spath="&amp;search_path&amp;" /stypes=""app*"&amp;CNG28&amp;"*"&amp;TEXT(CNN28-utc_offset/24,"YYYYMMDD")&amp;"*"" /stext="" "&amp;TEXT(CNN28-utc_offset/24,"HH")&amp;search_regexp&amp;""""</f>
        <v>#REF!</v>
      </c>
      <c r="COL28" s="234" t="e">
        <f>astrogrep_path&amp;" /e /r /s /spath="&amp;search_path&amp;" /stypes=""app*"&amp;CNH28&amp;"*"&amp;TEXT(CNO28-utc_offset/24,"YYYYMMDD")&amp;"*"" /stext="" "&amp;TEXT(CNO28-utc_offset/24,"HH")&amp;search_regexp&amp;""""</f>
        <v>#REF!</v>
      </c>
      <c r="COM28" s="234" t="e">
        <f>astrogrep_path&amp;" /e /r /s /spath="&amp;search_path&amp;" /stypes=""app*"&amp;CNI28&amp;"*"&amp;TEXT(CNP28-utc_offset/24,"YYYYMMDD")&amp;"*"" /stext="" "&amp;TEXT(CNP28-utc_offset/24,"HH")&amp;search_regexp&amp;""""</f>
        <v>#VALUE!</v>
      </c>
      <c r="CON28" s="234" t="e">
        <f>astrogrep_path&amp;" /e /r /s /spath="&amp;search_path&amp;" /stypes=""app*"&amp;CNJ28&amp;"*"&amp;TEXT(CNQ28-utc_offset/24,"YYYYMMDD")&amp;"*"" /stext="" "&amp;TEXT(CNQ28-utc_offset/24,"HH")&amp;search_regexp&amp;""""</f>
        <v>#VALUE!</v>
      </c>
      <c r="COO28" s="234" t="e">
        <f>astrogrep_path&amp;" /e /r /s /spath="&amp;search_path&amp;" /stypes=""app*"&amp;CNK28&amp;"*"&amp;TEXT(CNR28-utc_offset/24,"YYYYMMDD")&amp;"*"" /stext="" "&amp;TEXT(CNR28-utc_offset/24,"HH")&amp;search_regexp&amp;""""</f>
        <v>#REF!</v>
      </c>
      <c r="COP28" s="234" t="e">
        <f>astrogrep_path&amp;" /e /r /s /spath="&amp;search_path&amp;" /stypes=""app*"&amp;CNL28&amp;"*"&amp;TEXT(CNS28-utc_offset/24,"YYYYMMDD")&amp;"*"" /stext="" "&amp;TEXT(CNS28-utc_offset/24,"HH")&amp;search_regexp&amp;""""</f>
        <v>#REF!</v>
      </c>
      <c r="COQ28" s="234" t="e">
        <f>astrogrep_path&amp;" /e /r /s /spath="&amp;search_path&amp;" /stypes=""app*"&amp;CNM28&amp;"*"&amp;TEXT(CNT28-utc_offset/24,"YYYYMMDD")&amp;"*"" /stext="" "&amp;TEXT(CNT28-utc_offset/24,"HH")&amp;search_regexp&amp;""""</f>
        <v>#VALUE!</v>
      </c>
      <c r="COR28" s="234" t="e">
        <f>astrogrep_path&amp;" /e /r /s /spath="&amp;search_path&amp;" /stypes=""app*"&amp;CNN28&amp;"*"&amp;TEXT(CNU28-utc_offset/24,"YYYYMMDD")&amp;"*"" /stext="" "&amp;TEXT(CNU28-utc_offset/24,"HH")&amp;search_regexp&amp;""""</f>
        <v>#VALUE!</v>
      </c>
      <c r="COS28" s="234" t="e">
        <f>astrogrep_path&amp;" /e /r /s /spath="&amp;search_path&amp;" /stypes=""app*"&amp;CNO28&amp;"*"&amp;TEXT(CNV28-utc_offset/24,"YYYYMMDD")&amp;"*"" /stext="" "&amp;TEXT(CNV28-utc_offset/24,"HH")&amp;search_regexp&amp;""""</f>
        <v>#VALUE!</v>
      </c>
      <c r="COT28" s="234" t="e">
        <f>astrogrep_path&amp;" /e /r /s /spath="&amp;search_path&amp;" /stypes=""app*"&amp;CNP28&amp;"*"&amp;TEXT(CNW28-utc_offset/24,"YYYYMMDD")&amp;"*"" /stext="" "&amp;TEXT(CNW28-utc_offset/24,"HH")&amp;search_regexp&amp;""""</f>
        <v>#VALUE!</v>
      </c>
      <c r="COU28" s="234" t="e">
        <f>astrogrep_path&amp;" /e /r /s /spath="&amp;search_path&amp;" /stypes=""app*"&amp;CNQ28&amp;"*"&amp;TEXT(CNX28-utc_offset/24,"YYYYMMDD")&amp;"*"" /stext="" "&amp;TEXT(CNX28-utc_offset/24,"HH")&amp;search_regexp&amp;""""</f>
        <v>#VALUE!</v>
      </c>
      <c r="COV28" s="234" t="e">
        <f>astrogrep_path&amp;" /e /r /s /spath="&amp;search_path&amp;" /stypes=""app*"&amp;CNR28&amp;"*"&amp;TEXT(CNY28-utc_offset/24,"YYYYMMDD")&amp;"*"" /stext="" "&amp;TEXT(CNY28-utc_offset/24,"HH")&amp;search_regexp&amp;""""</f>
        <v>#REF!</v>
      </c>
      <c r="COW28" s="234" t="e">
        <f>astrogrep_path&amp;" /e /r /s /spath="&amp;search_path&amp;" /stypes=""app*"&amp;CNS28&amp;"*"&amp;TEXT(CNZ28-utc_offset/24,"YYYYMMDD")&amp;"*"" /stext="" "&amp;TEXT(CNZ28-utc_offset/24,"HH")&amp;search_regexp&amp;""""</f>
        <v>#REF!</v>
      </c>
      <c r="COX28" s="234" t="e">
        <f>astrogrep_path&amp;" /e /r /s /spath="&amp;search_path&amp;" /stypes=""app*"&amp;CNT28&amp;"*"&amp;TEXT(COA28-utc_offset/24,"YYYYMMDD")&amp;"*"" /stext="" "&amp;TEXT(COA28-utc_offset/24,"HH")&amp;search_regexp&amp;""""</f>
        <v>#REF!</v>
      </c>
      <c r="COY28" s="234" t="e">
        <f>astrogrep_path&amp;" /e /r /s /spath="&amp;search_path&amp;" /stypes=""app*"&amp;CNU28&amp;"*"&amp;TEXT(COB28-utc_offset/24,"YYYYMMDD")&amp;"*"" /stext="" "&amp;TEXT(COB28-utc_offset/24,"HH")&amp;search_regexp&amp;""""</f>
        <v>#REF!</v>
      </c>
      <c r="COZ28" s="234" t="e">
        <f>astrogrep_path&amp;" /e /r /s /spath="&amp;search_path&amp;" /stypes=""app*"&amp;CNV28&amp;"*"&amp;TEXT(COC28-utc_offset/24,"YYYYMMDD")&amp;"*"" /stext="" "&amp;TEXT(COC28-utc_offset/24,"HH")&amp;search_regexp&amp;""""</f>
        <v>#REF!</v>
      </c>
      <c r="CPA28" s="234" t="e">
        <f>astrogrep_path&amp;" /e /r /s /spath="&amp;search_path&amp;" /stypes=""app*"&amp;CNW28&amp;"*"&amp;TEXT(COD28-utc_offset/24,"YYYYMMDD")&amp;"*"" /stext="" "&amp;TEXT(COD28-utc_offset/24,"HH")&amp;search_regexp&amp;""""</f>
        <v>#REF!</v>
      </c>
      <c r="CPB28" s="234" t="e">
        <f>astrogrep_path&amp;" /e /r /s /spath="&amp;search_path&amp;" /stypes=""app*"&amp;CNX28&amp;"*"&amp;TEXT(COE28-utc_offset/24,"YYYYMMDD")&amp;"*"" /stext="" "&amp;TEXT(COE28-utc_offset/24,"HH")&amp;search_regexp&amp;""""</f>
        <v>#REF!</v>
      </c>
      <c r="CPC28" s="234" t="e">
        <f>astrogrep_path&amp;" /e /r /s /spath="&amp;search_path&amp;" /stypes=""app*"&amp;CNY28&amp;"*"&amp;TEXT(COF28-utc_offset/24,"YYYYMMDD")&amp;"*"" /stext="" "&amp;TEXT(COF28-utc_offset/24,"HH")&amp;search_regexp&amp;""""</f>
        <v>#REF!</v>
      </c>
      <c r="CPD28" s="234" t="e">
        <f>astrogrep_path&amp;" /e /r /s /spath="&amp;search_path&amp;" /stypes=""app*"&amp;CNZ28&amp;"*"&amp;TEXT(COG28-utc_offset/24,"YYYYMMDD")&amp;"*"" /stext="" "&amp;TEXT(COG28-utc_offset/24,"HH")&amp;search_regexp&amp;""""</f>
        <v>#REF!</v>
      </c>
      <c r="CPE28" s="234" t="e">
        <f>astrogrep_path&amp;" /e /r /s /spath="&amp;search_path&amp;" /stypes=""app*"&amp;COA28&amp;"*"&amp;TEXT(COH28-utc_offset/24,"YYYYMMDD")&amp;"*"" /stext="" "&amp;TEXT(COH28-utc_offset/24,"HH")&amp;search_regexp&amp;""""</f>
        <v>#REF!</v>
      </c>
      <c r="CPF28" s="234" t="e">
        <f>astrogrep_path&amp;" /e /r /s /spath="&amp;search_path&amp;" /stypes=""app*"&amp;COB28&amp;"*"&amp;TEXT(COI28-utc_offset/24,"YYYYMMDD")&amp;"*"" /stext="" "&amp;TEXT(COI28-utc_offset/24,"HH")&amp;search_regexp&amp;""""</f>
        <v>#REF!</v>
      </c>
      <c r="CPG28" s="234" t="e">
        <f>astrogrep_path&amp;" /e /r /s /spath="&amp;search_path&amp;" /stypes=""app*"&amp;COC28&amp;"*"&amp;TEXT(COJ28-utc_offset/24,"YYYYMMDD")&amp;"*"" /stext="" "&amp;TEXT(COJ28-utc_offset/24,"HH")&amp;search_regexp&amp;""""</f>
        <v>#REF!</v>
      </c>
      <c r="CPH28" s="234" t="e">
        <f>astrogrep_path&amp;" /e /r /s /spath="&amp;search_path&amp;" /stypes=""app*"&amp;COD28&amp;"*"&amp;TEXT(COK28-utc_offset/24,"YYYYMMDD")&amp;"*"" /stext="" "&amp;TEXT(COK28-utc_offset/24,"HH")&amp;search_regexp&amp;""""</f>
        <v>#REF!</v>
      </c>
      <c r="CPI28" s="234" t="e">
        <f>astrogrep_path&amp;" /e /r /s /spath="&amp;search_path&amp;" /stypes=""app*"&amp;COE28&amp;"*"&amp;TEXT(COL28-utc_offset/24,"YYYYMMDD")&amp;"*"" /stext="" "&amp;TEXT(COL28-utc_offset/24,"HH")&amp;search_regexp&amp;""""</f>
        <v>#REF!</v>
      </c>
      <c r="CPJ28" s="234" t="e">
        <f>astrogrep_path&amp;" /e /r /s /spath="&amp;search_path&amp;" /stypes=""app*"&amp;COF28&amp;"*"&amp;TEXT(COM28-utc_offset/24,"YYYYMMDD")&amp;"*"" /stext="" "&amp;TEXT(COM28-utc_offset/24,"HH")&amp;search_regexp&amp;""""</f>
        <v>#REF!</v>
      </c>
      <c r="CPK28" s="234" t="e">
        <f>astrogrep_path&amp;" /e /r /s /spath="&amp;search_path&amp;" /stypes=""app*"&amp;COG28&amp;"*"&amp;TEXT(CON28-utc_offset/24,"YYYYMMDD")&amp;"*"" /stext="" "&amp;TEXT(CON28-utc_offset/24,"HH")&amp;search_regexp&amp;""""</f>
        <v>#REF!</v>
      </c>
      <c r="CPL28" s="234" t="e">
        <f>astrogrep_path&amp;" /e /r /s /spath="&amp;search_path&amp;" /stypes=""app*"&amp;COH28&amp;"*"&amp;TEXT(COO28-utc_offset/24,"YYYYMMDD")&amp;"*"" /stext="" "&amp;TEXT(COO28-utc_offset/24,"HH")&amp;search_regexp&amp;""""</f>
        <v>#REF!</v>
      </c>
      <c r="CPM28" s="234" t="e">
        <f>astrogrep_path&amp;" /e /r /s /spath="&amp;search_path&amp;" /stypes=""app*"&amp;COI28&amp;"*"&amp;TEXT(COP28-utc_offset/24,"YYYYMMDD")&amp;"*"" /stext="" "&amp;TEXT(COP28-utc_offset/24,"HH")&amp;search_regexp&amp;""""</f>
        <v>#REF!</v>
      </c>
      <c r="CPN28" s="234" t="e">
        <f>astrogrep_path&amp;" /e /r /s /spath="&amp;search_path&amp;" /stypes=""app*"&amp;COJ28&amp;"*"&amp;TEXT(COQ28-utc_offset/24,"YYYYMMDD")&amp;"*"" /stext="" "&amp;TEXT(COQ28-utc_offset/24,"HH")&amp;search_regexp&amp;""""</f>
        <v>#REF!</v>
      </c>
      <c r="CPO28" s="234" t="e">
        <f>astrogrep_path&amp;" /e /r /s /spath="&amp;search_path&amp;" /stypes=""app*"&amp;COK28&amp;"*"&amp;TEXT(COR28-utc_offset/24,"YYYYMMDD")&amp;"*"" /stext="" "&amp;TEXT(COR28-utc_offset/24,"HH")&amp;search_regexp&amp;""""</f>
        <v>#REF!</v>
      </c>
      <c r="CPP28" s="234" t="e">
        <f>astrogrep_path&amp;" /e /r /s /spath="&amp;search_path&amp;" /stypes=""app*"&amp;COL28&amp;"*"&amp;TEXT(COS28-utc_offset/24,"YYYYMMDD")&amp;"*"" /stext="" "&amp;TEXT(COS28-utc_offset/24,"HH")&amp;search_regexp&amp;""""</f>
        <v>#REF!</v>
      </c>
      <c r="CPQ28" s="234" t="e">
        <f>astrogrep_path&amp;" /e /r /s /spath="&amp;search_path&amp;" /stypes=""app*"&amp;COM28&amp;"*"&amp;TEXT(COT28-utc_offset/24,"YYYYMMDD")&amp;"*"" /stext="" "&amp;TEXT(COT28-utc_offset/24,"HH")&amp;search_regexp&amp;""""</f>
        <v>#VALUE!</v>
      </c>
      <c r="CPR28" s="234" t="e">
        <f>astrogrep_path&amp;" /e /r /s /spath="&amp;search_path&amp;" /stypes=""app*"&amp;CON28&amp;"*"&amp;TEXT(COU28-utc_offset/24,"YYYYMMDD")&amp;"*"" /stext="" "&amp;TEXT(COU28-utc_offset/24,"HH")&amp;search_regexp&amp;""""</f>
        <v>#VALUE!</v>
      </c>
      <c r="CPS28" s="234" t="e">
        <f>astrogrep_path&amp;" /e /r /s /spath="&amp;search_path&amp;" /stypes=""app*"&amp;COO28&amp;"*"&amp;TEXT(COV28-utc_offset/24,"YYYYMMDD")&amp;"*"" /stext="" "&amp;TEXT(COV28-utc_offset/24,"HH")&amp;search_regexp&amp;""""</f>
        <v>#REF!</v>
      </c>
      <c r="CPT28" s="234" t="e">
        <f>astrogrep_path&amp;" /e /r /s /spath="&amp;search_path&amp;" /stypes=""app*"&amp;COP28&amp;"*"&amp;TEXT(COW28-utc_offset/24,"YYYYMMDD")&amp;"*"" /stext="" "&amp;TEXT(COW28-utc_offset/24,"HH")&amp;search_regexp&amp;""""</f>
        <v>#REF!</v>
      </c>
      <c r="CPU28" s="234" t="e">
        <f>astrogrep_path&amp;" /e /r /s /spath="&amp;search_path&amp;" /stypes=""app*"&amp;COQ28&amp;"*"&amp;TEXT(COX28-utc_offset/24,"YYYYMMDD")&amp;"*"" /stext="" "&amp;TEXT(COX28-utc_offset/24,"HH")&amp;search_regexp&amp;""""</f>
        <v>#VALUE!</v>
      </c>
      <c r="CPV28" s="234" t="e">
        <f>astrogrep_path&amp;" /e /r /s /spath="&amp;search_path&amp;" /stypes=""app*"&amp;COR28&amp;"*"&amp;TEXT(COY28-utc_offset/24,"YYYYMMDD")&amp;"*"" /stext="" "&amp;TEXT(COY28-utc_offset/24,"HH")&amp;search_regexp&amp;""""</f>
        <v>#VALUE!</v>
      </c>
      <c r="CPW28" s="234" t="e">
        <f>astrogrep_path&amp;" /e /r /s /spath="&amp;search_path&amp;" /stypes=""app*"&amp;COS28&amp;"*"&amp;TEXT(COZ28-utc_offset/24,"YYYYMMDD")&amp;"*"" /stext="" "&amp;TEXT(COZ28-utc_offset/24,"HH")&amp;search_regexp&amp;""""</f>
        <v>#VALUE!</v>
      </c>
      <c r="CPX28" s="234" t="e">
        <f>astrogrep_path&amp;" /e /r /s /spath="&amp;search_path&amp;" /stypes=""app*"&amp;COT28&amp;"*"&amp;TEXT(CPA28-utc_offset/24,"YYYYMMDD")&amp;"*"" /stext="" "&amp;TEXT(CPA28-utc_offset/24,"HH")&amp;search_regexp&amp;""""</f>
        <v>#VALUE!</v>
      </c>
      <c r="CPY28" s="234" t="e">
        <f>astrogrep_path&amp;" /e /r /s /spath="&amp;search_path&amp;" /stypes=""app*"&amp;COU28&amp;"*"&amp;TEXT(CPB28-utc_offset/24,"YYYYMMDD")&amp;"*"" /stext="" "&amp;TEXT(CPB28-utc_offset/24,"HH")&amp;search_regexp&amp;""""</f>
        <v>#VALUE!</v>
      </c>
      <c r="CPZ28" s="234" t="e">
        <f>astrogrep_path&amp;" /e /r /s /spath="&amp;search_path&amp;" /stypes=""app*"&amp;COV28&amp;"*"&amp;TEXT(CPC28-utc_offset/24,"YYYYMMDD")&amp;"*"" /stext="" "&amp;TEXT(CPC28-utc_offset/24,"HH")&amp;search_regexp&amp;""""</f>
        <v>#REF!</v>
      </c>
      <c r="CQA28" s="234" t="e">
        <f>astrogrep_path&amp;" /e /r /s /spath="&amp;search_path&amp;" /stypes=""app*"&amp;COW28&amp;"*"&amp;TEXT(CPD28-utc_offset/24,"YYYYMMDD")&amp;"*"" /stext="" "&amp;TEXT(CPD28-utc_offset/24,"HH")&amp;search_regexp&amp;""""</f>
        <v>#REF!</v>
      </c>
      <c r="CQB28" s="234" t="e">
        <f>astrogrep_path&amp;" /e /r /s /spath="&amp;search_path&amp;" /stypes=""app*"&amp;COX28&amp;"*"&amp;TEXT(CPE28-utc_offset/24,"YYYYMMDD")&amp;"*"" /stext="" "&amp;TEXT(CPE28-utc_offset/24,"HH")&amp;search_regexp&amp;""""</f>
        <v>#REF!</v>
      </c>
      <c r="CQC28" s="234" t="e">
        <f>astrogrep_path&amp;" /e /r /s /spath="&amp;search_path&amp;" /stypes=""app*"&amp;COY28&amp;"*"&amp;TEXT(CPF28-utc_offset/24,"YYYYMMDD")&amp;"*"" /stext="" "&amp;TEXT(CPF28-utc_offset/24,"HH")&amp;search_regexp&amp;""""</f>
        <v>#REF!</v>
      </c>
      <c r="CQD28" s="234" t="e">
        <f>astrogrep_path&amp;" /e /r /s /spath="&amp;search_path&amp;" /stypes=""app*"&amp;COZ28&amp;"*"&amp;TEXT(CPG28-utc_offset/24,"YYYYMMDD")&amp;"*"" /stext="" "&amp;TEXT(CPG28-utc_offset/24,"HH")&amp;search_regexp&amp;""""</f>
        <v>#REF!</v>
      </c>
      <c r="CQE28" s="234" t="e">
        <f>astrogrep_path&amp;" /e /r /s /spath="&amp;search_path&amp;" /stypes=""app*"&amp;CPA28&amp;"*"&amp;TEXT(CPH28-utc_offset/24,"YYYYMMDD")&amp;"*"" /stext="" "&amp;TEXT(CPH28-utc_offset/24,"HH")&amp;search_regexp&amp;""""</f>
        <v>#REF!</v>
      </c>
      <c r="CQF28" s="234" t="e">
        <f>astrogrep_path&amp;" /e /r /s /spath="&amp;search_path&amp;" /stypes=""app*"&amp;CPB28&amp;"*"&amp;TEXT(CPI28-utc_offset/24,"YYYYMMDD")&amp;"*"" /stext="" "&amp;TEXT(CPI28-utc_offset/24,"HH")&amp;search_regexp&amp;""""</f>
        <v>#REF!</v>
      </c>
      <c r="CQG28" s="234" t="e">
        <f>astrogrep_path&amp;" /e /r /s /spath="&amp;search_path&amp;" /stypes=""app*"&amp;CPC28&amp;"*"&amp;TEXT(CPJ28-utc_offset/24,"YYYYMMDD")&amp;"*"" /stext="" "&amp;TEXT(CPJ28-utc_offset/24,"HH")&amp;search_regexp&amp;""""</f>
        <v>#REF!</v>
      </c>
      <c r="CQH28" s="234" t="e">
        <f>astrogrep_path&amp;" /e /r /s /spath="&amp;search_path&amp;" /stypes=""app*"&amp;CPD28&amp;"*"&amp;TEXT(CPK28-utc_offset/24,"YYYYMMDD")&amp;"*"" /stext="" "&amp;TEXT(CPK28-utc_offset/24,"HH")&amp;search_regexp&amp;""""</f>
        <v>#REF!</v>
      </c>
      <c r="CQI28" s="234" t="e">
        <f>astrogrep_path&amp;" /e /r /s /spath="&amp;search_path&amp;" /stypes=""app*"&amp;CPE28&amp;"*"&amp;TEXT(CPL28-utc_offset/24,"YYYYMMDD")&amp;"*"" /stext="" "&amp;TEXT(CPL28-utc_offset/24,"HH")&amp;search_regexp&amp;""""</f>
        <v>#REF!</v>
      </c>
      <c r="CQJ28" s="234" t="e">
        <f>astrogrep_path&amp;" /e /r /s /spath="&amp;search_path&amp;" /stypes=""app*"&amp;CPF28&amp;"*"&amp;TEXT(CPM28-utc_offset/24,"YYYYMMDD")&amp;"*"" /stext="" "&amp;TEXT(CPM28-utc_offset/24,"HH")&amp;search_regexp&amp;""""</f>
        <v>#REF!</v>
      </c>
      <c r="CQK28" s="234" t="e">
        <f>astrogrep_path&amp;" /e /r /s /spath="&amp;search_path&amp;" /stypes=""app*"&amp;CPG28&amp;"*"&amp;TEXT(CPN28-utc_offset/24,"YYYYMMDD")&amp;"*"" /stext="" "&amp;TEXT(CPN28-utc_offset/24,"HH")&amp;search_regexp&amp;""""</f>
        <v>#REF!</v>
      </c>
      <c r="CQL28" s="234" t="e">
        <f>astrogrep_path&amp;" /e /r /s /spath="&amp;search_path&amp;" /stypes=""app*"&amp;CPH28&amp;"*"&amp;TEXT(CPO28-utc_offset/24,"YYYYMMDD")&amp;"*"" /stext="" "&amp;TEXT(CPO28-utc_offset/24,"HH")&amp;search_regexp&amp;""""</f>
        <v>#REF!</v>
      </c>
      <c r="CQM28" s="234" t="e">
        <f>astrogrep_path&amp;" /e /r /s /spath="&amp;search_path&amp;" /stypes=""app*"&amp;CPI28&amp;"*"&amp;TEXT(CPP28-utc_offset/24,"YYYYMMDD")&amp;"*"" /stext="" "&amp;TEXT(CPP28-utc_offset/24,"HH")&amp;search_regexp&amp;""""</f>
        <v>#REF!</v>
      </c>
      <c r="CQN28" s="234" t="e">
        <f>astrogrep_path&amp;" /e /r /s /spath="&amp;search_path&amp;" /stypes=""app*"&amp;CPJ28&amp;"*"&amp;TEXT(CPQ28-utc_offset/24,"YYYYMMDD")&amp;"*"" /stext="" "&amp;TEXT(CPQ28-utc_offset/24,"HH")&amp;search_regexp&amp;""""</f>
        <v>#REF!</v>
      </c>
      <c r="CQO28" s="234" t="e">
        <f>astrogrep_path&amp;" /e /r /s /spath="&amp;search_path&amp;" /stypes=""app*"&amp;CPK28&amp;"*"&amp;TEXT(CPR28-utc_offset/24,"YYYYMMDD")&amp;"*"" /stext="" "&amp;TEXT(CPR28-utc_offset/24,"HH")&amp;search_regexp&amp;""""</f>
        <v>#REF!</v>
      </c>
      <c r="CQP28" s="234" t="e">
        <f>astrogrep_path&amp;" /e /r /s /spath="&amp;search_path&amp;" /stypes=""app*"&amp;CPL28&amp;"*"&amp;TEXT(CPS28-utc_offset/24,"YYYYMMDD")&amp;"*"" /stext="" "&amp;TEXT(CPS28-utc_offset/24,"HH")&amp;search_regexp&amp;""""</f>
        <v>#REF!</v>
      </c>
      <c r="CQQ28" s="234" t="e">
        <f>astrogrep_path&amp;" /e /r /s /spath="&amp;search_path&amp;" /stypes=""app*"&amp;CPM28&amp;"*"&amp;TEXT(CPT28-utc_offset/24,"YYYYMMDD")&amp;"*"" /stext="" "&amp;TEXT(CPT28-utc_offset/24,"HH")&amp;search_regexp&amp;""""</f>
        <v>#REF!</v>
      </c>
      <c r="CQR28" s="234" t="e">
        <f>astrogrep_path&amp;" /e /r /s /spath="&amp;search_path&amp;" /stypes=""app*"&amp;CPN28&amp;"*"&amp;TEXT(CPU28-utc_offset/24,"YYYYMMDD")&amp;"*"" /stext="" "&amp;TEXT(CPU28-utc_offset/24,"HH")&amp;search_regexp&amp;""""</f>
        <v>#REF!</v>
      </c>
      <c r="CQS28" s="234" t="e">
        <f>astrogrep_path&amp;" /e /r /s /spath="&amp;search_path&amp;" /stypes=""app*"&amp;CPO28&amp;"*"&amp;TEXT(CPV28-utc_offset/24,"YYYYMMDD")&amp;"*"" /stext="" "&amp;TEXT(CPV28-utc_offset/24,"HH")&amp;search_regexp&amp;""""</f>
        <v>#REF!</v>
      </c>
      <c r="CQT28" s="234" t="e">
        <f>astrogrep_path&amp;" /e /r /s /spath="&amp;search_path&amp;" /stypes=""app*"&amp;CPP28&amp;"*"&amp;TEXT(CPW28-utc_offset/24,"YYYYMMDD")&amp;"*"" /stext="" "&amp;TEXT(CPW28-utc_offset/24,"HH")&amp;search_regexp&amp;""""</f>
        <v>#REF!</v>
      </c>
      <c r="CQU28" s="234" t="e">
        <f>astrogrep_path&amp;" /e /r /s /spath="&amp;search_path&amp;" /stypes=""app*"&amp;CPQ28&amp;"*"&amp;TEXT(CPX28-utc_offset/24,"YYYYMMDD")&amp;"*"" /stext="" "&amp;TEXT(CPX28-utc_offset/24,"HH")&amp;search_regexp&amp;""""</f>
        <v>#VALUE!</v>
      </c>
      <c r="CQV28" s="234" t="e">
        <f>astrogrep_path&amp;" /e /r /s /spath="&amp;search_path&amp;" /stypes=""app*"&amp;CPR28&amp;"*"&amp;TEXT(CPY28-utc_offset/24,"YYYYMMDD")&amp;"*"" /stext="" "&amp;TEXT(CPY28-utc_offset/24,"HH")&amp;search_regexp&amp;""""</f>
        <v>#VALUE!</v>
      </c>
      <c r="CQW28" s="234" t="e">
        <f>astrogrep_path&amp;" /e /r /s /spath="&amp;search_path&amp;" /stypes=""app*"&amp;CPS28&amp;"*"&amp;TEXT(CPZ28-utc_offset/24,"YYYYMMDD")&amp;"*"" /stext="" "&amp;TEXT(CPZ28-utc_offset/24,"HH")&amp;search_regexp&amp;""""</f>
        <v>#REF!</v>
      </c>
      <c r="CQX28" s="234" t="e">
        <f>astrogrep_path&amp;" /e /r /s /spath="&amp;search_path&amp;" /stypes=""app*"&amp;CPT28&amp;"*"&amp;TEXT(CQA28-utc_offset/24,"YYYYMMDD")&amp;"*"" /stext="" "&amp;TEXT(CQA28-utc_offset/24,"HH")&amp;search_regexp&amp;""""</f>
        <v>#REF!</v>
      </c>
      <c r="CQY28" s="234" t="e">
        <f>astrogrep_path&amp;" /e /r /s /spath="&amp;search_path&amp;" /stypes=""app*"&amp;CPU28&amp;"*"&amp;TEXT(CQB28-utc_offset/24,"YYYYMMDD")&amp;"*"" /stext="" "&amp;TEXT(CQB28-utc_offset/24,"HH")&amp;search_regexp&amp;""""</f>
        <v>#VALUE!</v>
      </c>
      <c r="CQZ28" s="234" t="e">
        <f>astrogrep_path&amp;" /e /r /s /spath="&amp;search_path&amp;" /stypes=""app*"&amp;CPV28&amp;"*"&amp;TEXT(CQC28-utc_offset/24,"YYYYMMDD")&amp;"*"" /stext="" "&amp;TEXT(CQC28-utc_offset/24,"HH")&amp;search_regexp&amp;""""</f>
        <v>#VALUE!</v>
      </c>
      <c r="CRA28" s="234" t="e">
        <f>astrogrep_path&amp;" /e /r /s /spath="&amp;search_path&amp;" /stypes=""app*"&amp;CPW28&amp;"*"&amp;TEXT(CQD28-utc_offset/24,"YYYYMMDD")&amp;"*"" /stext="" "&amp;TEXT(CQD28-utc_offset/24,"HH")&amp;search_regexp&amp;""""</f>
        <v>#VALUE!</v>
      </c>
      <c r="CRB28" s="234" t="e">
        <f>astrogrep_path&amp;" /e /r /s /spath="&amp;search_path&amp;" /stypes=""app*"&amp;CPX28&amp;"*"&amp;TEXT(CQE28-utc_offset/24,"YYYYMMDD")&amp;"*"" /stext="" "&amp;TEXT(CQE28-utc_offset/24,"HH")&amp;search_regexp&amp;""""</f>
        <v>#VALUE!</v>
      </c>
      <c r="CRC28" s="234" t="e">
        <f>astrogrep_path&amp;" /e /r /s /spath="&amp;search_path&amp;" /stypes=""app*"&amp;CPY28&amp;"*"&amp;TEXT(CQF28-utc_offset/24,"YYYYMMDD")&amp;"*"" /stext="" "&amp;TEXT(CQF28-utc_offset/24,"HH")&amp;search_regexp&amp;""""</f>
        <v>#VALUE!</v>
      </c>
      <c r="CRD28" s="234" t="e">
        <f>astrogrep_path&amp;" /e /r /s /spath="&amp;search_path&amp;" /stypes=""app*"&amp;CPZ28&amp;"*"&amp;TEXT(CQG28-utc_offset/24,"YYYYMMDD")&amp;"*"" /stext="" "&amp;TEXT(CQG28-utc_offset/24,"HH")&amp;search_regexp&amp;""""</f>
        <v>#REF!</v>
      </c>
      <c r="CRE28" s="234" t="e">
        <f>astrogrep_path&amp;" /e /r /s /spath="&amp;search_path&amp;" /stypes=""app*"&amp;CQA28&amp;"*"&amp;TEXT(CQH28-utc_offset/24,"YYYYMMDD")&amp;"*"" /stext="" "&amp;TEXT(CQH28-utc_offset/24,"HH")&amp;search_regexp&amp;""""</f>
        <v>#REF!</v>
      </c>
      <c r="CRF28" s="234" t="e">
        <f>astrogrep_path&amp;" /e /r /s /spath="&amp;search_path&amp;" /stypes=""app*"&amp;CQB28&amp;"*"&amp;TEXT(CQI28-utc_offset/24,"YYYYMMDD")&amp;"*"" /stext="" "&amp;TEXT(CQI28-utc_offset/24,"HH")&amp;search_regexp&amp;""""</f>
        <v>#REF!</v>
      </c>
      <c r="CRG28" s="234" t="e">
        <f>astrogrep_path&amp;" /e /r /s /spath="&amp;search_path&amp;" /stypes=""app*"&amp;CQC28&amp;"*"&amp;TEXT(CQJ28-utc_offset/24,"YYYYMMDD")&amp;"*"" /stext="" "&amp;TEXT(CQJ28-utc_offset/24,"HH")&amp;search_regexp&amp;""""</f>
        <v>#REF!</v>
      </c>
      <c r="CRH28" s="234" t="e">
        <f>astrogrep_path&amp;" /e /r /s /spath="&amp;search_path&amp;" /stypes=""app*"&amp;CQD28&amp;"*"&amp;TEXT(CQK28-utc_offset/24,"YYYYMMDD")&amp;"*"" /stext="" "&amp;TEXT(CQK28-utc_offset/24,"HH")&amp;search_regexp&amp;""""</f>
        <v>#REF!</v>
      </c>
      <c r="CRI28" s="234" t="e">
        <f>astrogrep_path&amp;" /e /r /s /spath="&amp;search_path&amp;" /stypes=""app*"&amp;CQE28&amp;"*"&amp;TEXT(CQL28-utc_offset/24,"YYYYMMDD")&amp;"*"" /stext="" "&amp;TEXT(CQL28-utc_offset/24,"HH")&amp;search_regexp&amp;""""</f>
        <v>#REF!</v>
      </c>
      <c r="CRJ28" s="234" t="e">
        <f>astrogrep_path&amp;" /e /r /s /spath="&amp;search_path&amp;" /stypes=""app*"&amp;CQF28&amp;"*"&amp;TEXT(CQM28-utc_offset/24,"YYYYMMDD")&amp;"*"" /stext="" "&amp;TEXT(CQM28-utc_offset/24,"HH")&amp;search_regexp&amp;""""</f>
        <v>#REF!</v>
      </c>
      <c r="CRK28" s="234" t="e">
        <f>astrogrep_path&amp;" /e /r /s /spath="&amp;search_path&amp;" /stypes=""app*"&amp;CQG28&amp;"*"&amp;TEXT(CQN28-utc_offset/24,"YYYYMMDD")&amp;"*"" /stext="" "&amp;TEXT(CQN28-utc_offset/24,"HH")&amp;search_regexp&amp;""""</f>
        <v>#REF!</v>
      </c>
      <c r="CRL28" s="234" t="e">
        <f>astrogrep_path&amp;" /e /r /s /spath="&amp;search_path&amp;" /stypes=""app*"&amp;CQH28&amp;"*"&amp;TEXT(CQO28-utc_offset/24,"YYYYMMDD")&amp;"*"" /stext="" "&amp;TEXT(CQO28-utc_offset/24,"HH")&amp;search_regexp&amp;""""</f>
        <v>#REF!</v>
      </c>
      <c r="CRM28" s="234" t="e">
        <f>astrogrep_path&amp;" /e /r /s /spath="&amp;search_path&amp;" /stypes=""app*"&amp;CQI28&amp;"*"&amp;TEXT(CQP28-utc_offset/24,"YYYYMMDD")&amp;"*"" /stext="" "&amp;TEXT(CQP28-utc_offset/24,"HH")&amp;search_regexp&amp;""""</f>
        <v>#REF!</v>
      </c>
      <c r="CRN28" s="234" t="e">
        <f>astrogrep_path&amp;" /e /r /s /spath="&amp;search_path&amp;" /stypes=""app*"&amp;CQJ28&amp;"*"&amp;TEXT(CQQ28-utc_offset/24,"YYYYMMDD")&amp;"*"" /stext="" "&amp;TEXT(CQQ28-utc_offset/24,"HH")&amp;search_regexp&amp;""""</f>
        <v>#REF!</v>
      </c>
      <c r="CRO28" s="234" t="e">
        <f>astrogrep_path&amp;" /e /r /s /spath="&amp;search_path&amp;" /stypes=""app*"&amp;CQK28&amp;"*"&amp;TEXT(CQR28-utc_offset/24,"YYYYMMDD")&amp;"*"" /stext="" "&amp;TEXT(CQR28-utc_offset/24,"HH")&amp;search_regexp&amp;""""</f>
        <v>#REF!</v>
      </c>
      <c r="CRP28" s="234" t="e">
        <f>astrogrep_path&amp;" /e /r /s /spath="&amp;search_path&amp;" /stypes=""app*"&amp;CQL28&amp;"*"&amp;TEXT(CQS28-utc_offset/24,"YYYYMMDD")&amp;"*"" /stext="" "&amp;TEXT(CQS28-utc_offset/24,"HH")&amp;search_regexp&amp;""""</f>
        <v>#REF!</v>
      </c>
      <c r="CRQ28" s="234" t="e">
        <f>astrogrep_path&amp;" /e /r /s /spath="&amp;search_path&amp;" /stypes=""app*"&amp;CQM28&amp;"*"&amp;TEXT(CQT28-utc_offset/24,"YYYYMMDD")&amp;"*"" /stext="" "&amp;TEXT(CQT28-utc_offset/24,"HH")&amp;search_regexp&amp;""""</f>
        <v>#REF!</v>
      </c>
      <c r="CRR28" s="234" t="e">
        <f>astrogrep_path&amp;" /e /r /s /spath="&amp;search_path&amp;" /stypes=""app*"&amp;CQN28&amp;"*"&amp;TEXT(CQU28-utc_offset/24,"YYYYMMDD")&amp;"*"" /stext="" "&amp;TEXT(CQU28-utc_offset/24,"HH")&amp;search_regexp&amp;""""</f>
        <v>#REF!</v>
      </c>
      <c r="CRS28" s="234" t="e">
        <f>astrogrep_path&amp;" /e /r /s /spath="&amp;search_path&amp;" /stypes=""app*"&amp;CQO28&amp;"*"&amp;TEXT(CQV28-utc_offset/24,"YYYYMMDD")&amp;"*"" /stext="" "&amp;TEXT(CQV28-utc_offset/24,"HH")&amp;search_regexp&amp;""""</f>
        <v>#REF!</v>
      </c>
      <c r="CRT28" s="234" t="e">
        <f>astrogrep_path&amp;" /e /r /s /spath="&amp;search_path&amp;" /stypes=""app*"&amp;CQP28&amp;"*"&amp;TEXT(CQW28-utc_offset/24,"YYYYMMDD")&amp;"*"" /stext="" "&amp;TEXT(CQW28-utc_offset/24,"HH")&amp;search_regexp&amp;""""</f>
        <v>#REF!</v>
      </c>
      <c r="CRU28" s="234" t="e">
        <f>astrogrep_path&amp;" /e /r /s /spath="&amp;search_path&amp;" /stypes=""app*"&amp;CQQ28&amp;"*"&amp;TEXT(CQX28-utc_offset/24,"YYYYMMDD")&amp;"*"" /stext="" "&amp;TEXT(CQX28-utc_offset/24,"HH")&amp;search_regexp&amp;""""</f>
        <v>#REF!</v>
      </c>
      <c r="CRV28" s="234" t="e">
        <f>astrogrep_path&amp;" /e /r /s /spath="&amp;search_path&amp;" /stypes=""app*"&amp;CQR28&amp;"*"&amp;TEXT(CQY28-utc_offset/24,"YYYYMMDD")&amp;"*"" /stext="" "&amp;TEXT(CQY28-utc_offset/24,"HH")&amp;search_regexp&amp;""""</f>
        <v>#REF!</v>
      </c>
      <c r="CRW28" s="234" t="e">
        <f>astrogrep_path&amp;" /e /r /s /spath="&amp;search_path&amp;" /stypes=""app*"&amp;CQS28&amp;"*"&amp;TEXT(CQZ28-utc_offset/24,"YYYYMMDD")&amp;"*"" /stext="" "&amp;TEXT(CQZ28-utc_offset/24,"HH")&amp;search_regexp&amp;""""</f>
        <v>#REF!</v>
      </c>
      <c r="CRX28" s="234" t="e">
        <f>astrogrep_path&amp;" /e /r /s /spath="&amp;search_path&amp;" /stypes=""app*"&amp;CQT28&amp;"*"&amp;TEXT(CRA28-utc_offset/24,"YYYYMMDD")&amp;"*"" /stext="" "&amp;TEXT(CRA28-utc_offset/24,"HH")&amp;search_regexp&amp;""""</f>
        <v>#REF!</v>
      </c>
      <c r="CRY28" s="234" t="e">
        <f>astrogrep_path&amp;" /e /r /s /spath="&amp;search_path&amp;" /stypes=""app*"&amp;CQU28&amp;"*"&amp;TEXT(CRB28-utc_offset/24,"YYYYMMDD")&amp;"*"" /stext="" "&amp;TEXT(CRB28-utc_offset/24,"HH")&amp;search_regexp&amp;""""</f>
        <v>#VALUE!</v>
      </c>
      <c r="CRZ28" s="234" t="e">
        <f>astrogrep_path&amp;" /e /r /s /spath="&amp;search_path&amp;" /stypes=""app*"&amp;CQV28&amp;"*"&amp;TEXT(CRC28-utc_offset/24,"YYYYMMDD")&amp;"*"" /stext="" "&amp;TEXT(CRC28-utc_offset/24,"HH")&amp;search_regexp&amp;""""</f>
        <v>#VALUE!</v>
      </c>
      <c r="CSA28" s="234" t="e">
        <f>astrogrep_path&amp;" /e /r /s /spath="&amp;search_path&amp;" /stypes=""app*"&amp;CQW28&amp;"*"&amp;TEXT(CRD28-utc_offset/24,"YYYYMMDD")&amp;"*"" /stext="" "&amp;TEXT(CRD28-utc_offset/24,"HH")&amp;search_regexp&amp;""""</f>
        <v>#REF!</v>
      </c>
      <c r="CSB28" s="234" t="e">
        <f>astrogrep_path&amp;" /e /r /s /spath="&amp;search_path&amp;" /stypes=""app*"&amp;CQX28&amp;"*"&amp;TEXT(CRE28-utc_offset/24,"YYYYMMDD")&amp;"*"" /stext="" "&amp;TEXT(CRE28-utc_offset/24,"HH")&amp;search_regexp&amp;""""</f>
        <v>#REF!</v>
      </c>
      <c r="CSC28" s="234" t="e">
        <f>astrogrep_path&amp;" /e /r /s /spath="&amp;search_path&amp;" /stypes=""app*"&amp;CQY28&amp;"*"&amp;TEXT(CRF28-utc_offset/24,"YYYYMMDD")&amp;"*"" /stext="" "&amp;TEXT(CRF28-utc_offset/24,"HH")&amp;search_regexp&amp;""""</f>
        <v>#VALUE!</v>
      </c>
      <c r="CSD28" s="234" t="e">
        <f>astrogrep_path&amp;" /e /r /s /spath="&amp;search_path&amp;" /stypes=""app*"&amp;CQZ28&amp;"*"&amp;TEXT(CRG28-utc_offset/24,"YYYYMMDD")&amp;"*"" /stext="" "&amp;TEXT(CRG28-utc_offset/24,"HH")&amp;search_regexp&amp;""""</f>
        <v>#VALUE!</v>
      </c>
      <c r="CSE28" s="234" t="e">
        <f>astrogrep_path&amp;" /e /r /s /spath="&amp;search_path&amp;" /stypes=""app*"&amp;CRA28&amp;"*"&amp;TEXT(CRH28-utc_offset/24,"YYYYMMDD")&amp;"*"" /stext="" "&amp;TEXT(CRH28-utc_offset/24,"HH")&amp;search_regexp&amp;""""</f>
        <v>#VALUE!</v>
      </c>
      <c r="CSF28" s="234" t="e">
        <f>astrogrep_path&amp;" /e /r /s /spath="&amp;search_path&amp;" /stypes=""app*"&amp;CRB28&amp;"*"&amp;TEXT(CRI28-utc_offset/24,"YYYYMMDD")&amp;"*"" /stext="" "&amp;TEXT(CRI28-utc_offset/24,"HH")&amp;search_regexp&amp;""""</f>
        <v>#VALUE!</v>
      </c>
      <c r="CSG28" s="234" t="e">
        <f>astrogrep_path&amp;" /e /r /s /spath="&amp;search_path&amp;" /stypes=""app*"&amp;CRC28&amp;"*"&amp;TEXT(CRJ28-utc_offset/24,"YYYYMMDD")&amp;"*"" /stext="" "&amp;TEXT(CRJ28-utc_offset/24,"HH")&amp;search_regexp&amp;""""</f>
        <v>#VALUE!</v>
      </c>
      <c r="CSH28" s="234" t="e">
        <f>astrogrep_path&amp;" /e /r /s /spath="&amp;search_path&amp;" /stypes=""app*"&amp;CRD28&amp;"*"&amp;TEXT(CRK28-utc_offset/24,"YYYYMMDD")&amp;"*"" /stext="" "&amp;TEXT(CRK28-utc_offset/24,"HH")&amp;search_regexp&amp;""""</f>
        <v>#REF!</v>
      </c>
      <c r="CSI28" s="234" t="e">
        <f>astrogrep_path&amp;" /e /r /s /spath="&amp;search_path&amp;" /stypes=""app*"&amp;CRE28&amp;"*"&amp;TEXT(CRL28-utc_offset/24,"YYYYMMDD")&amp;"*"" /stext="" "&amp;TEXT(CRL28-utc_offset/24,"HH")&amp;search_regexp&amp;""""</f>
        <v>#REF!</v>
      </c>
      <c r="CSJ28" s="234" t="e">
        <f>astrogrep_path&amp;" /e /r /s /spath="&amp;search_path&amp;" /stypes=""app*"&amp;CRF28&amp;"*"&amp;TEXT(CRM28-utc_offset/24,"YYYYMMDD")&amp;"*"" /stext="" "&amp;TEXT(CRM28-utc_offset/24,"HH")&amp;search_regexp&amp;""""</f>
        <v>#REF!</v>
      </c>
      <c r="CSK28" s="234" t="e">
        <f>astrogrep_path&amp;" /e /r /s /spath="&amp;search_path&amp;" /stypes=""app*"&amp;CRG28&amp;"*"&amp;TEXT(CRN28-utc_offset/24,"YYYYMMDD")&amp;"*"" /stext="" "&amp;TEXT(CRN28-utc_offset/24,"HH")&amp;search_regexp&amp;""""</f>
        <v>#REF!</v>
      </c>
      <c r="CSL28" s="234" t="e">
        <f>astrogrep_path&amp;" /e /r /s /spath="&amp;search_path&amp;" /stypes=""app*"&amp;CRH28&amp;"*"&amp;TEXT(CRO28-utc_offset/24,"YYYYMMDD")&amp;"*"" /stext="" "&amp;TEXT(CRO28-utc_offset/24,"HH")&amp;search_regexp&amp;""""</f>
        <v>#REF!</v>
      </c>
      <c r="CSM28" s="234" t="e">
        <f>astrogrep_path&amp;" /e /r /s /spath="&amp;search_path&amp;" /stypes=""app*"&amp;CRI28&amp;"*"&amp;TEXT(CRP28-utc_offset/24,"YYYYMMDD")&amp;"*"" /stext="" "&amp;TEXT(CRP28-utc_offset/24,"HH")&amp;search_regexp&amp;""""</f>
        <v>#REF!</v>
      </c>
      <c r="CSN28" s="234" t="e">
        <f>astrogrep_path&amp;" /e /r /s /spath="&amp;search_path&amp;" /stypes=""app*"&amp;CRJ28&amp;"*"&amp;TEXT(CRQ28-utc_offset/24,"YYYYMMDD")&amp;"*"" /stext="" "&amp;TEXT(CRQ28-utc_offset/24,"HH")&amp;search_regexp&amp;""""</f>
        <v>#REF!</v>
      </c>
      <c r="CSO28" s="234" t="e">
        <f>astrogrep_path&amp;" /e /r /s /spath="&amp;search_path&amp;" /stypes=""app*"&amp;CRK28&amp;"*"&amp;TEXT(CRR28-utc_offset/24,"YYYYMMDD")&amp;"*"" /stext="" "&amp;TEXT(CRR28-utc_offset/24,"HH")&amp;search_regexp&amp;""""</f>
        <v>#REF!</v>
      </c>
      <c r="CSP28" s="234" t="e">
        <f>astrogrep_path&amp;" /e /r /s /spath="&amp;search_path&amp;" /stypes=""app*"&amp;CRL28&amp;"*"&amp;TEXT(CRS28-utc_offset/24,"YYYYMMDD")&amp;"*"" /stext="" "&amp;TEXT(CRS28-utc_offset/24,"HH")&amp;search_regexp&amp;""""</f>
        <v>#REF!</v>
      </c>
      <c r="CSQ28" s="234" t="e">
        <f>astrogrep_path&amp;" /e /r /s /spath="&amp;search_path&amp;" /stypes=""app*"&amp;CRM28&amp;"*"&amp;TEXT(CRT28-utc_offset/24,"YYYYMMDD")&amp;"*"" /stext="" "&amp;TEXT(CRT28-utc_offset/24,"HH")&amp;search_regexp&amp;""""</f>
        <v>#REF!</v>
      </c>
      <c r="CSR28" s="234" t="e">
        <f>astrogrep_path&amp;" /e /r /s /spath="&amp;search_path&amp;" /stypes=""app*"&amp;CRN28&amp;"*"&amp;TEXT(CRU28-utc_offset/24,"YYYYMMDD")&amp;"*"" /stext="" "&amp;TEXT(CRU28-utc_offset/24,"HH")&amp;search_regexp&amp;""""</f>
        <v>#REF!</v>
      </c>
      <c r="CSS28" s="234" t="e">
        <f>astrogrep_path&amp;" /e /r /s /spath="&amp;search_path&amp;" /stypes=""app*"&amp;CRO28&amp;"*"&amp;TEXT(CRV28-utc_offset/24,"YYYYMMDD")&amp;"*"" /stext="" "&amp;TEXT(CRV28-utc_offset/24,"HH")&amp;search_regexp&amp;""""</f>
        <v>#REF!</v>
      </c>
      <c r="CST28" s="234" t="e">
        <f>astrogrep_path&amp;" /e /r /s /spath="&amp;search_path&amp;" /stypes=""app*"&amp;CRP28&amp;"*"&amp;TEXT(CRW28-utc_offset/24,"YYYYMMDD")&amp;"*"" /stext="" "&amp;TEXT(CRW28-utc_offset/24,"HH")&amp;search_regexp&amp;""""</f>
        <v>#REF!</v>
      </c>
      <c r="CSU28" s="234" t="e">
        <f>astrogrep_path&amp;" /e /r /s /spath="&amp;search_path&amp;" /stypes=""app*"&amp;CRQ28&amp;"*"&amp;TEXT(CRX28-utc_offset/24,"YYYYMMDD")&amp;"*"" /stext="" "&amp;TEXT(CRX28-utc_offset/24,"HH")&amp;search_regexp&amp;""""</f>
        <v>#REF!</v>
      </c>
      <c r="CSV28" s="234" t="e">
        <f>astrogrep_path&amp;" /e /r /s /spath="&amp;search_path&amp;" /stypes=""app*"&amp;CRR28&amp;"*"&amp;TEXT(CRY28-utc_offset/24,"YYYYMMDD")&amp;"*"" /stext="" "&amp;TEXT(CRY28-utc_offset/24,"HH")&amp;search_regexp&amp;""""</f>
        <v>#REF!</v>
      </c>
      <c r="CSW28" s="234" t="e">
        <f>astrogrep_path&amp;" /e /r /s /spath="&amp;search_path&amp;" /stypes=""app*"&amp;CRS28&amp;"*"&amp;TEXT(CRZ28-utc_offset/24,"YYYYMMDD")&amp;"*"" /stext="" "&amp;TEXT(CRZ28-utc_offset/24,"HH")&amp;search_regexp&amp;""""</f>
        <v>#REF!</v>
      </c>
      <c r="CSX28" s="234" t="e">
        <f>astrogrep_path&amp;" /e /r /s /spath="&amp;search_path&amp;" /stypes=""app*"&amp;CRT28&amp;"*"&amp;TEXT(CSA28-utc_offset/24,"YYYYMMDD")&amp;"*"" /stext="" "&amp;TEXT(CSA28-utc_offset/24,"HH")&amp;search_regexp&amp;""""</f>
        <v>#REF!</v>
      </c>
      <c r="CSY28" s="234" t="e">
        <f>astrogrep_path&amp;" /e /r /s /spath="&amp;search_path&amp;" /stypes=""app*"&amp;CRU28&amp;"*"&amp;TEXT(CSB28-utc_offset/24,"YYYYMMDD")&amp;"*"" /stext="" "&amp;TEXT(CSB28-utc_offset/24,"HH")&amp;search_regexp&amp;""""</f>
        <v>#REF!</v>
      </c>
      <c r="CSZ28" s="234" t="e">
        <f>astrogrep_path&amp;" /e /r /s /spath="&amp;search_path&amp;" /stypes=""app*"&amp;CRV28&amp;"*"&amp;TEXT(CSC28-utc_offset/24,"YYYYMMDD")&amp;"*"" /stext="" "&amp;TEXT(CSC28-utc_offset/24,"HH")&amp;search_regexp&amp;""""</f>
        <v>#REF!</v>
      </c>
      <c r="CTA28" s="234" t="e">
        <f>astrogrep_path&amp;" /e /r /s /spath="&amp;search_path&amp;" /stypes=""app*"&amp;CRW28&amp;"*"&amp;TEXT(CSD28-utc_offset/24,"YYYYMMDD")&amp;"*"" /stext="" "&amp;TEXT(CSD28-utc_offset/24,"HH")&amp;search_regexp&amp;""""</f>
        <v>#REF!</v>
      </c>
      <c r="CTB28" s="234" t="e">
        <f>astrogrep_path&amp;" /e /r /s /spath="&amp;search_path&amp;" /stypes=""app*"&amp;CRX28&amp;"*"&amp;TEXT(CSE28-utc_offset/24,"YYYYMMDD")&amp;"*"" /stext="" "&amp;TEXT(CSE28-utc_offset/24,"HH")&amp;search_regexp&amp;""""</f>
        <v>#REF!</v>
      </c>
      <c r="CTC28" s="234" t="e">
        <f>astrogrep_path&amp;" /e /r /s /spath="&amp;search_path&amp;" /stypes=""app*"&amp;CRY28&amp;"*"&amp;TEXT(CSF28-utc_offset/24,"YYYYMMDD")&amp;"*"" /stext="" "&amp;TEXT(CSF28-utc_offset/24,"HH")&amp;search_regexp&amp;""""</f>
        <v>#VALUE!</v>
      </c>
      <c r="CTD28" s="234" t="e">
        <f>astrogrep_path&amp;" /e /r /s /spath="&amp;search_path&amp;" /stypes=""app*"&amp;CRZ28&amp;"*"&amp;TEXT(CSG28-utc_offset/24,"YYYYMMDD")&amp;"*"" /stext="" "&amp;TEXT(CSG28-utc_offset/24,"HH")&amp;search_regexp&amp;""""</f>
        <v>#VALUE!</v>
      </c>
      <c r="CTE28" s="234" t="e">
        <f>astrogrep_path&amp;" /e /r /s /spath="&amp;search_path&amp;" /stypes=""app*"&amp;CSA28&amp;"*"&amp;TEXT(CSH28-utc_offset/24,"YYYYMMDD")&amp;"*"" /stext="" "&amp;TEXT(CSH28-utc_offset/24,"HH")&amp;search_regexp&amp;""""</f>
        <v>#REF!</v>
      </c>
      <c r="CTF28" s="234" t="e">
        <f>astrogrep_path&amp;" /e /r /s /spath="&amp;search_path&amp;" /stypes=""app*"&amp;CSB28&amp;"*"&amp;TEXT(CSI28-utc_offset/24,"YYYYMMDD")&amp;"*"" /stext="" "&amp;TEXT(CSI28-utc_offset/24,"HH")&amp;search_regexp&amp;""""</f>
        <v>#REF!</v>
      </c>
      <c r="CTG28" s="234" t="e">
        <f>astrogrep_path&amp;" /e /r /s /spath="&amp;search_path&amp;" /stypes=""app*"&amp;CSC28&amp;"*"&amp;TEXT(CSJ28-utc_offset/24,"YYYYMMDD")&amp;"*"" /stext="" "&amp;TEXT(CSJ28-utc_offset/24,"HH")&amp;search_regexp&amp;""""</f>
        <v>#VALUE!</v>
      </c>
      <c r="CTH28" s="234" t="e">
        <f>astrogrep_path&amp;" /e /r /s /spath="&amp;search_path&amp;" /stypes=""app*"&amp;CSD28&amp;"*"&amp;TEXT(CSK28-utc_offset/24,"YYYYMMDD")&amp;"*"" /stext="" "&amp;TEXT(CSK28-utc_offset/24,"HH")&amp;search_regexp&amp;""""</f>
        <v>#VALUE!</v>
      </c>
      <c r="CTI28" s="234" t="e">
        <f>astrogrep_path&amp;" /e /r /s /spath="&amp;search_path&amp;" /stypes=""app*"&amp;CSE28&amp;"*"&amp;TEXT(CSL28-utc_offset/24,"YYYYMMDD")&amp;"*"" /stext="" "&amp;TEXT(CSL28-utc_offset/24,"HH")&amp;search_regexp&amp;""""</f>
        <v>#VALUE!</v>
      </c>
      <c r="CTJ28" s="234" t="e">
        <f>astrogrep_path&amp;" /e /r /s /spath="&amp;search_path&amp;" /stypes=""app*"&amp;CSF28&amp;"*"&amp;TEXT(CSM28-utc_offset/24,"YYYYMMDD")&amp;"*"" /stext="" "&amp;TEXT(CSM28-utc_offset/24,"HH")&amp;search_regexp&amp;""""</f>
        <v>#VALUE!</v>
      </c>
      <c r="CTK28" s="234" t="e">
        <f>astrogrep_path&amp;" /e /r /s /spath="&amp;search_path&amp;" /stypes=""app*"&amp;CSG28&amp;"*"&amp;TEXT(CSN28-utc_offset/24,"YYYYMMDD")&amp;"*"" /stext="" "&amp;TEXT(CSN28-utc_offset/24,"HH")&amp;search_regexp&amp;""""</f>
        <v>#VALUE!</v>
      </c>
      <c r="CTL28" s="234" t="e">
        <f>astrogrep_path&amp;" /e /r /s /spath="&amp;search_path&amp;" /stypes=""app*"&amp;CSH28&amp;"*"&amp;TEXT(CSO28-utc_offset/24,"YYYYMMDD")&amp;"*"" /stext="" "&amp;TEXT(CSO28-utc_offset/24,"HH")&amp;search_regexp&amp;""""</f>
        <v>#REF!</v>
      </c>
      <c r="CTM28" s="234" t="e">
        <f>astrogrep_path&amp;" /e /r /s /spath="&amp;search_path&amp;" /stypes=""app*"&amp;CSI28&amp;"*"&amp;TEXT(CSP28-utc_offset/24,"YYYYMMDD")&amp;"*"" /stext="" "&amp;TEXT(CSP28-utc_offset/24,"HH")&amp;search_regexp&amp;""""</f>
        <v>#REF!</v>
      </c>
      <c r="CTN28" s="234" t="e">
        <f>astrogrep_path&amp;" /e /r /s /spath="&amp;search_path&amp;" /stypes=""app*"&amp;CSJ28&amp;"*"&amp;TEXT(CSQ28-utc_offset/24,"YYYYMMDD")&amp;"*"" /stext="" "&amp;TEXT(CSQ28-utc_offset/24,"HH")&amp;search_regexp&amp;""""</f>
        <v>#REF!</v>
      </c>
      <c r="CTO28" s="234" t="e">
        <f>astrogrep_path&amp;" /e /r /s /spath="&amp;search_path&amp;" /stypes=""app*"&amp;CSK28&amp;"*"&amp;TEXT(CSR28-utc_offset/24,"YYYYMMDD")&amp;"*"" /stext="" "&amp;TEXT(CSR28-utc_offset/24,"HH")&amp;search_regexp&amp;""""</f>
        <v>#REF!</v>
      </c>
      <c r="CTP28" s="234" t="e">
        <f>astrogrep_path&amp;" /e /r /s /spath="&amp;search_path&amp;" /stypes=""app*"&amp;CSL28&amp;"*"&amp;TEXT(CSS28-utc_offset/24,"YYYYMMDD")&amp;"*"" /stext="" "&amp;TEXT(CSS28-utc_offset/24,"HH")&amp;search_regexp&amp;""""</f>
        <v>#REF!</v>
      </c>
      <c r="CTQ28" s="234" t="e">
        <f>astrogrep_path&amp;" /e /r /s /spath="&amp;search_path&amp;" /stypes=""app*"&amp;CSM28&amp;"*"&amp;TEXT(CST28-utc_offset/24,"YYYYMMDD")&amp;"*"" /stext="" "&amp;TEXT(CST28-utc_offset/24,"HH")&amp;search_regexp&amp;""""</f>
        <v>#REF!</v>
      </c>
      <c r="CTR28" s="234" t="e">
        <f>astrogrep_path&amp;" /e /r /s /spath="&amp;search_path&amp;" /stypes=""app*"&amp;CSN28&amp;"*"&amp;TEXT(CSU28-utc_offset/24,"YYYYMMDD")&amp;"*"" /stext="" "&amp;TEXT(CSU28-utc_offset/24,"HH")&amp;search_regexp&amp;""""</f>
        <v>#REF!</v>
      </c>
      <c r="CTS28" s="234" t="e">
        <f>astrogrep_path&amp;" /e /r /s /spath="&amp;search_path&amp;" /stypes=""app*"&amp;CSO28&amp;"*"&amp;TEXT(CSV28-utc_offset/24,"YYYYMMDD")&amp;"*"" /stext="" "&amp;TEXT(CSV28-utc_offset/24,"HH")&amp;search_regexp&amp;""""</f>
        <v>#REF!</v>
      </c>
      <c r="CTT28" s="234" t="e">
        <f>astrogrep_path&amp;" /e /r /s /spath="&amp;search_path&amp;" /stypes=""app*"&amp;CSP28&amp;"*"&amp;TEXT(CSW28-utc_offset/24,"YYYYMMDD")&amp;"*"" /stext="" "&amp;TEXT(CSW28-utc_offset/24,"HH")&amp;search_regexp&amp;""""</f>
        <v>#REF!</v>
      </c>
      <c r="CTU28" s="234" t="e">
        <f>astrogrep_path&amp;" /e /r /s /spath="&amp;search_path&amp;" /stypes=""app*"&amp;CSQ28&amp;"*"&amp;TEXT(CSX28-utc_offset/24,"YYYYMMDD")&amp;"*"" /stext="" "&amp;TEXT(CSX28-utc_offset/24,"HH")&amp;search_regexp&amp;""""</f>
        <v>#REF!</v>
      </c>
      <c r="CTV28" s="234" t="e">
        <f>astrogrep_path&amp;" /e /r /s /spath="&amp;search_path&amp;" /stypes=""app*"&amp;CSR28&amp;"*"&amp;TEXT(CSY28-utc_offset/24,"YYYYMMDD")&amp;"*"" /stext="" "&amp;TEXT(CSY28-utc_offset/24,"HH")&amp;search_regexp&amp;""""</f>
        <v>#REF!</v>
      </c>
      <c r="CTW28" s="234" t="e">
        <f>astrogrep_path&amp;" /e /r /s /spath="&amp;search_path&amp;" /stypes=""app*"&amp;CSS28&amp;"*"&amp;TEXT(CSZ28-utc_offset/24,"YYYYMMDD")&amp;"*"" /stext="" "&amp;TEXT(CSZ28-utc_offset/24,"HH")&amp;search_regexp&amp;""""</f>
        <v>#REF!</v>
      </c>
      <c r="CTX28" s="234" t="e">
        <f>astrogrep_path&amp;" /e /r /s /spath="&amp;search_path&amp;" /stypes=""app*"&amp;CST28&amp;"*"&amp;TEXT(CTA28-utc_offset/24,"YYYYMMDD")&amp;"*"" /stext="" "&amp;TEXT(CTA28-utc_offset/24,"HH")&amp;search_regexp&amp;""""</f>
        <v>#REF!</v>
      </c>
      <c r="CTY28" s="234" t="e">
        <f>astrogrep_path&amp;" /e /r /s /spath="&amp;search_path&amp;" /stypes=""app*"&amp;CSU28&amp;"*"&amp;TEXT(CTB28-utc_offset/24,"YYYYMMDD")&amp;"*"" /stext="" "&amp;TEXT(CTB28-utc_offset/24,"HH")&amp;search_regexp&amp;""""</f>
        <v>#REF!</v>
      </c>
      <c r="CTZ28" s="234" t="e">
        <f>astrogrep_path&amp;" /e /r /s /spath="&amp;search_path&amp;" /stypes=""app*"&amp;CSV28&amp;"*"&amp;TEXT(CTC28-utc_offset/24,"YYYYMMDD")&amp;"*"" /stext="" "&amp;TEXT(CTC28-utc_offset/24,"HH")&amp;search_regexp&amp;""""</f>
        <v>#REF!</v>
      </c>
      <c r="CUA28" s="234" t="e">
        <f>astrogrep_path&amp;" /e /r /s /spath="&amp;search_path&amp;" /stypes=""app*"&amp;CSW28&amp;"*"&amp;TEXT(CTD28-utc_offset/24,"YYYYMMDD")&amp;"*"" /stext="" "&amp;TEXT(CTD28-utc_offset/24,"HH")&amp;search_regexp&amp;""""</f>
        <v>#REF!</v>
      </c>
      <c r="CUB28" s="234" t="e">
        <f>astrogrep_path&amp;" /e /r /s /spath="&amp;search_path&amp;" /stypes=""app*"&amp;CSX28&amp;"*"&amp;TEXT(CTE28-utc_offset/24,"YYYYMMDD")&amp;"*"" /stext="" "&amp;TEXT(CTE28-utc_offset/24,"HH")&amp;search_regexp&amp;""""</f>
        <v>#REF!</v>
      </c>
      <c r="CUC28" s="234" t="e">
        <f>astrogrep_path&amp;" /e /r /s /spath="&amp;search_path&amp;" /stypes=""app*"&amp;CSY28&amp;"*"&amp;TEXT(CTF28-utc_offset/24,"YYYYMMDD")&amp;"*"" /stext="" "&amp;TEXT(CTF28-utc_offset/24,"HH")&amp;search_regexp&amp;""""</f>
        <v>#REF!</v>
      </c>
      <c r="CUD28" s="234" t="e">
        <f>astrogrep_path&amp;" /e /r /s /spath="&amp;search_path&amp;" /stypes=""app*"&amp;CSZ28&amp;"*"&amp;TEXT(CTG28-utc_offset/24,"YYYYMMDD")&amp;"*"" /stext="" "&amp;TEXT(CTG28-utc_offset/24,"HH")&amp;search_regexp&amp;""""</f>
        <v>#REF!</v>
      </c>
      <c r="CUE28" s="234" t="e">
        <f>astrogrep_path&amp;" /e /r /s /spath="&amp;search_path&amp;" /stypes=""app*"&amp;CTA28&amp;"*"&amp;TEXT(CTH28-utc_offset/24,"YYYYMMDD")&amp;"*"" /stext="" "&amp;TEXT(CTH28-utc_offset/24,"HH")&amp;search_regexp&amp;""""</f>
        <v>#REF!</v>
      </c>
      <c r="CUF28" s="234" t="e">
        <f>astrogrep_path&amp;" /e /r /s /spath="&amp;search_path&amp;" /stypes=""app*"&amp;CTB28&amp;"*"&amp;TEXT(CTI28-utc_offset/24,"YYYYMMDD")&amp;"*"" /stext="" "&amp;TEXT(CTI28-utc_offset/24,"HH")&amp;search_regexp&amp;""""</f>
        <v>#REF!</v>
      </c>
      <c r="CUG28" s="234" t="e">
        <f>astrogrep_path&amp;" /e /r /s /spath="&amp;search_path&amp;" /stypes=""app*"&amp;CTC28&amp;"*"&amp;TEXT(CTJ28-utc_offset/24,"YYYYMMDD")&amp;"*"" /stext="" "&amp;TEXT(CTJ28-utc_offset/24,"HH")&amp;search_regexp&amp;""""</f>
        <v>#VALUE!</v>
      </c>
      <c r="CUH28" s="234" t="e">
        <f>astrogrep_path&amp;" /e /r /s /spath="&amp;search_path&amp;" /stypes=""app*"&amp;CTD28&amp;"*"&amp;TEXT(CTK28-utc_offset/24,"YYYYMMDD")&amp;"*"" /stext="" "&amp;TEXT(CTK28-utc_offset/24,"HH")&amp;search_regexp&amp;""""</f>
        <v>#VALUE!</v>
      </c>
      <c r="CUI28" s="234" t="e">
        <f>astrogrep_path&amp;" /e /r /s /spath="&amp;search_path&amp;" /stypes=""app*"&amp;CTE28&amp;"*"&amp;TEXT(CTL28-utc_offset/24,"YYYYMMDD")&amp;"*"" /stext="" "&amp;TEXT(CTL28-utc_offset/24,"HH")&amp;search_regexp&amp;""""</f>
        <v>#REF!</v>
      </c>
      <c r="CUJ28" s="234" t="e">
        <f>astrogrep_path&amp;" /e /r /s /spath="&amp;search_path&amp;" /stypes=""app*"&amp;CTF28&amp;"*"&amp;TEXT(CTM28-utc_offset/24,"YYYYMMDD")&amp;"*"" /stext="" "&amp;TEXT(CTM28-utc_offset/24,"HH")&amp;search_regexp&amp;""""</f>
        <v>#REF!</v>
      </c>
      <c r="CUK28" s="234" t="e">
        <f>astrogrep_path&amp;" /e /r /s /spath="&amp;search_path&amp;" /stypes=""app*"&amp;CTG28&amp;"*"&amp;TEXT(CTN28-utc_offset/24,"YYYYMMDD")&amp;"*"" /stext="" "&amp;TEXT(CTN28-utc_offset/24,"HH")&amp;search_regexp&amp;""""</f>
        <v>#VALUE!</v>
      </c>
      <c r="CUL28" s="234" t="e">
        <f>astrogrep_path&amp;" /e /r /s /spath="&amp;search_path&amp;" /stypes=""app*"&amp;CTH28&amp;"*"&amp;TEXT(CTO28-utc_offset/24,"YYYYMMDD")&amp;"*"" /stext="" "&amp;TEXT(CTO28-utc_offset/24,"HH")&amp;search_regexp&amp;""""</f>
        <v>#VALUE!</v>
      </c>
      <c r="CUM28" s="234" t="e">
        <f>astrogrep_path&amp;" /e /r /s /spath="&amp;search_path&amp;" /stypes=""app*"&amp;CTI28&amp;"*"&amp;TEXT(CTP28-utc_offset/24,"YYYYMMDD")&amp;"*"" /stext="" "&amp;TEXT(CTP28-utc_offset/24,"HH")&amp;search_regexp&amp;""""</f>
        <v>#VALUE!</v>
      </c>
      <c r="CUN28" s="234" t="e">
        <f>astrogrep_path&amp;" /e /r /s /spath="&amp;search_path&amp;" /stypes=""app*"&amp;CTJ28&amp;"*"&amp;TEXT(CTQ28-utc_offset/24,"YYYYMMDD")&amp;"*"" /stext="" "&amp;TEXT(CTQ28-utc_offset/24,"HH")&amp;search_regexp&amp;""""</f>
        <v>#VALUE!</v>
      </c>
      <c r="CUO28" s="234" t="e">
        <f>astrogrep_path&amp;" /e /r /s /spath="&amp;search_path&amp;" /stypes=""app*"&amp;CTK28&amp;"*"&amp;TEXT(CTR28-utc_offset/24,"YYYYMMDD")&amp;"*"" /stext="" "&amp;TEXT(CTR28-utc_offset/24,"HH")&amp;search_regexp&amp;""""</f>
        <v>#VALUE!</v>
      </c>
      <c r="CUP28" s="234" t="e">
        <f>astrogrep_path&amp;" /e /r /s /spath="&amp;search_path&amp;" /stypes=""app*"&amp;CTL28&amp;"*"&amp;TEXT(CTS28-utc_offset/24,"YYYYMMDD")&amp;"*"" /stext="" "&amp;TEXT(CTS28-utc_offset/24,"HH")&amp;search_regexp&amp;""""</f>
        <v>#REF!</v>
      </c>
      <c r="CUQ28" s="234" t="e">
        <f>astrogrep_path&amp;" /e /r /s /spath="&amp;search_path&amp;" /stypes=""app*"&amp;CTM28&amp;"*"&amp;TEXT(CTT28-utc_offset/24,"YYYYMMDD")&amp;"*"" /stext="" "&amp;TEXT(CTT28-utc_offset/24,"HH")&amp;search_regexp&amp;""""</f>
        <v>#REF!</v>
      </c>
      <c r="CUR28" s="234" t="e">
        <f>astrogrep_path&amp;" /e /r /s /spath="&amp;search_path&amp;" /stypes=""app*"&amp;CTN28&amp;"*"&amp;TEXT(CTU28-utc_offset/24,"YYYYMMDD")&amp;"*"" /stext="" "&amp;TEXT(CTU28-utc_offset/24,"HH")&amp;search_regexp&amp;""""</f>
        <v>#REF!</v>
      </c>
      <c r="CUS28" s="234" t="e">
        <f>astrogrep_path&amp;" /e /r /s /spath="&amp;search_path&amp;" /stypes=""app*"&amp;CTO28&amp;"*"&amp;TEXT(CTV28-utc_offset/24,"YYYYMMDD")&amp;"*"" /stext="" "&amp;TEXT(CTV28-utc_offset/24,"HH")&amp;search_regexp&amp;""""</f>
        <v>#REF!</v>
      </c>
      <c r="CUT28" s="234" t="e">
        <f>astrogrep_path&amp;" /e /r /s /spath="&amp;search_path&amp;" /stypes=""app*"&amp;CTP28&amp;"*"&amp;TEXT(CTW28-utc_offset/24,"YYYYMMDD")&amp;"*"" /stext="" "&amp;TEXT(CTW28-utc_offset/24,"HH")&amp;search_regexp&amp;""""</f>
        <v>#REF!</v>
      </c>
      <c r="CUU28" s="234" t="e">
        <f>astrogrep_path&amp;" /e /r /s /spath="&amp;search_path&amp;" /stypes=""app*"&amp;CTQ28&amp;"*"&amp;TEXT(CTX28-utc_offset/24,"YYYYMMDD")&amp;"*"" /stext="" "&amp;TEXT(CTX28-utc_offset/24,"HH")&amp;search_regexp&amp;""""</f>
        <v>#REF!</v>
      </c>
      <c r="CUV28" s="234" t="e">
        <f>astrogrep_path&amp;" /e /r /s /spath="&amp;search_path&amp;" /stypes=""app*"&amp;CTR28&amp;"*"&amp;TEXT(CTY28-utc_offset/24,"YYYYMMDD")&amp;"*"" /stext="" "&amp;TEXT(CTY28-utc_offset/24,"HH")&amp;search_regexp&amp;""""</f>
        <v>#REF!</v>
      </c>
      <c r="CUW28" s="234" t="e">
        <f>astrogrep_path&amp;" /e /r /s /spath="&amp;search_path&amp;" /stypes=""app*"&amp;CTS28&amp;"*"&amp;TEXT(CTZ28-utc_offset/24,"YYYYMMDD")&amp;"*"" /stext="" "&amp;TEXT(CTZ28-utc_offset/24,"HH")&amp;search_regexp&amp;""""</f>
        <v>#REF!</v>
      </c>
      <c r="CUX28" s="234" t="e">
        <f>astrogrep_path&amp;" /e /r /s /spath="&amp;search_path&amp;" /stypes=""app*"&amp;CTT28&amp;"*"&amp;TEXT(CUA28-utc_offset/24,"YYYYMMDD")&amp;"*"" /stext="" "&amp;TEXT(CUA28-utc_offset/24,"HH")&amp;search_regexp&amp;""""</f>
        <v>#REF!</v>
      </c>
      <c r="CUY28" s="234" t="e">
        <f>astrogrep_path&amp;" /e /r /s /spath="&amp;search_path&amp;" /stypes=""app*"&amp;CTU28&amp;"*"&amp;TEXT(CUB28-utc_offset/24,"YYYYMMDD")&amp;"*"" /stext="" "&amp;TEXT(CUB28-utc_offset/24,"HH")&amp;search_regexp&amp;""""</f>
        <v>#REF!</v>
      </c>
      <c r="CUZ28" s="234" t="e">
        <f>astrogrep_path&amp;" /e /r /s /spath="&amp;search_path&amp;" /stypes=""app*"&amp;CTV28&amp;"*"&amp;TEXT(CUC28-utc_offset/24,"YYYYMMDD")&amp;"*"" /stext="" "&amp;TEXT(CUC28-utc_offset/24,"HH")&amp;search_regexp&amp;""""</f>
        <v>#REF!</v>
      </c>
      <c r="CVA28" s="234" t="e">
        <f>astrogrep_path&amp;" /e /r /s /spath="&amp;search_path&amp;" /stypes=""app*"&amp;CTW28&amp;"*"&amp;TEXT(CUD28-utc_offset/24,"YYYYMMDD")&amp;"*"" /stext="" "&amp;TEXT(CUD28-utc_offset/24,"HH")&amp;search_regexp&amp;""""</f>
        <v>#REF!</v>
      </c>
      <c r="CVB28" s="234" t="e">
        <f>astrogrep_path&amp;" /e /r /s /spath="&amp;search_path&amp;" /stypes=""app*"&amp;CTX28&amp;"*"&amp;TEXT(CUE28-utc_offset/24,"YYYYMMDD")&amp;"*"" /stext="" "&amp;TEXT(CUE28-utc_offset/24,"HH")&amp;search_regexp&amp;""""</f>
        <v>#REF!</v>
      </c>
      <c r="CVC28" s="234" t="e">
        <f>astrogrep_path&amp;" /e /r /s /spath="&amp;search_path&amp;" /stypes=""app*"&amp;CTY28&amp;"*"&amp;TEXT(CUF28-utc_offset/24,"YYYYMMDD")&amp;"*"" /stext="" "&amp;TEXT(CUF28-utc_offset/24,"HH")&amp;search_regexp&amp;""""</f>
        <v>#REF!</v>
      </c>
      <c r="CVD28" s="234" t="e">
        <f>astrogrep_path&amp;" /e /r /s /spath="&amp;search_path&amp;" /stypes=""app*"&amp;CTZ28&amp;"*"&amp;TEXT(CUG28-utc_offset/24,"YYYYMMDD")&amp;"*"" /stext="" "&amp;TEXT(CUG28-utc_offset/24,"HH")&amp;search_regexp&amp;""""</f>
        <v>#REF!</v>
      </c>
      <c r="CVE28" s="234" t="e">
        <f>astrogrep_path&amp;" /e /r /s /spath="&amp;search_path&amp;" /stypes=""app*"&amp;CUA28&amp;"*"&amp;TEXT(CUH28-utc_offset/24,"YYYYMMDD")&amp;"*"" /stext="" "&amp;TEXT(CUH28-utc_offset/24,"HH")&amp;search_regexp&amp;""""</f>
        <v>#REF!</v>
      </c>
      <c r="CVF28" s="234" t="e">
        <f>astrogrep_path&amp;" /e /r /s /spath="&amp;search_path&amp;" /stypes=""app*"&amp;CUB28&amp;"*"&amp;TEXT(CUI28-utc_offset/24,"YYYYMMDD")&amp;"*"" /stext="" "&amp;TEXT(CUI28-utc_offset/24,"HH")&amp;search_regexp&amp;""""</f>
        <v>#REF!</v>
      </c>
      <c r="CVG28" s="234" t="e">
        <f>astrogrep_path&amp;" /e /r /s /spath="&amp;search_path&amp;" /stypes=""app*"&amp;CUC28&amp;"*"&amp;TEXT(CUJ28-utc_offset/24,"YYYYMMDD")&amp;"*"" /stext="" "&amp;TEXT(CUJ28-utc_offset/24,"HH")&amp;search_regexp&amp;""""</f>
        <v>#REF!</v>
      </c>
      <c r="CVH28" s="234" t="e">
        <f>astrogrep_path&amp;" /e /r /s /spath="&amp;search_path&amp;" /stypes=""app*"&amp;CUD28&amp;"*"&amp;TEXT(CUK28-utc_offset/24,"YYYYMMDD")&amp;"*"" /stext="" "&amp;TEXT(CUK28-utc_offset/24,"HH")&amp;search_regexp&amp;""""</f>
        <v>#REF!</v>
      </c>
      <c r="CVI28" s="234" t="e">
        <f>astrogrep_path&amp;" /e /r /s /spath="&amp;search_path&amp;" /stypes=""app*"&amp;CUE28&amp;"*"&amp;TEXT(CUL28-utc_offset/24,"YYYYMMDD")&amp;"*"" /stext="" "&amp;TEXT(CUL28-utc_offset/24,"HH")&amp;search_regexp&amp;""""</f>
        <v>#REF!</v>
      </c>
      <c r="CVJ28" s="234" t="e">
        <f>astrogrep_path&amp;" /e /r /s /spath="&amp;search_path&amp;" /stypes=""app*"&amp;CUF28&amp;"*"&amp;TEXT(CUM28-utc_offset/24,"YYYYMMDD")&amp;"*"" /stext="" "&amp;TEXT(CUM28-utc_offset/24,"HH")&amp;search_regexp&amp;""""</f>
        <v>#REF!</v>
      </c>
      <c r="CVK28" s="234" t="e">
        <f>astrogrep_path&amp;" /e /r /s /spath="&amp;search_path&amp;" /stypes=""app*"&amp;CUG28&amp;"*"&amp;TEXT(CUN28-utc_offset/24,"YYYYMMDD")&amp;"*"" /stext="" "&amp;TEXT(CUN28-utc_offset/24,"HH")&amp;search_regexp&amp;""""</f>
        <v>#VALUE!</v>
      </c>
      <c r="CVL28" s="234" t="e">
        <f>astrogrep_path&amp;" /e /r /s /spath="&amp;search_path&amp;" /stypes=""app*"&amp;CUH28&amp;"*"&amp;TEXT(CUO28-utc_offset/24,"YYYYMMDD")&amp;"*"" /stext="" "&amp;TEXT(CUO28-utc_offset/24,"HH")&amp;search_regexp&amp;""""</f>
        <v>#VALUE!</v>
      </c>
      <c r="CVM28" s="234" t="e">
        <f>astrogrep_path&amp;" /e /r /s /spath="&amp;search_path&amp;" /stypes=""app*"&amp;CUI28&amp;"*"&amp;TEXT(CUP28-utc_offset/24,"YYYYMMDD")&amp;"*"" /stext="" "&amp;TEXT(CUP28-utc_offset/24,"HH")&amp;search_regexp&amp;""""</f>
        <v>#REF!</v>
      </c>
      <c r="CVN28" s="234" t="e">
        <f>astrogrep_path&amp;" /e /r /s /spath="&amp;search_path&amp;" /stypes=""app*"&amp;CUJ28&amp;"*"&amp;TEXT(CUQ28-utc_offset/24,"YYYYMMDD")&amp;"*"" /stext="" "&amp;TEXT(CUQ28-utc_offset/24,"HH")&amp;search_regexp&amp;""""</f>
        <v>#REF!</v>
      </c>
      <c r="CVO28" s="234" t="e">
        <f>astrogrep_path&amp;" /e /r /s /spath="&amp;search_path&amp;" /stypes=""app*"&amp;CUK28&amp;"*"&amp;TEXT(CUR28-utc_offset/24,"YYYYMMDD")&amp;"*"" /stext="" "&amp;TEXT(CUR28-utc_offset/24,"HH")&amp;search_regexp&amp;""""</f>
        <v>#VALUE!</v>
      </c>
      <c r="CVP28" s="234" t="e">
        <f>astrogrep_path&amp;" /e /r /s /spath="&amp;search_path&amp;" /stypes=""app*"&amp;CUL28&amp;"*"&amp;TEXT(CUS28-utc_offset/24,"YYYYMMDD")&amp;"*"" /stext="" "&amp;TEXT(CUS28-utc_offset/24,"HH")&amp;search_regexp&amp;""""</f>
        <v>#VALUE!</v>
      </c>
      <c r="CVQ28" s="234" t="e">
        <f>astrogrep_path&amp;" /e /r /s /spath="&amp;search_path&amp;" /stypes=""app*"&amp;CUM28&amp;"*"&amp;TEXT(CUT28-utc_offset/24,"YYYYMMDD")&amp;"*"" /stext="" "&amp;TEXT(CUT28-utc_offset/24,"HH")&amp;search_regexp&amp;""""</f>
        <v>#VALUE!</v>
      </c>
      <c r="CVR28" s="234" t="e">
        <f>astrogrep_path&amp;" /e /r /s /spath="&amp;search_path&amp;" /stypes=""app*"&amp;CUN28&amp;"*"&amp;TEXT(CUU28-utc_offset/24,"YYYYMMDD")&amp;"*"" /stext="" "&amp;TEXT(CUU28-utc_offset/24,"HH")&amp;search_regexp&amp;""""</f>
        <v>#VALUE!</v>
      </c>
      <c r="CVS28" s="234" t="e">
        <f>astrogrep_path&amp;" /e /r /s /spath="&amp;search_path&amp;" /stypes=""app*"&amp;CUO28&amp;"*"&amp;TEXT(CUV28-utc_offset/24,"YYYYMMDD")&amp;"*"" /stext="" "&amp;TEXT(CUV28-utc_offset/24,"HH")&amp;search_regexp&amp;""""</f>
        <v>#VALUE!</v>
      </c>
      <c r="CVT28" s="234" t="e">
        <f>astrogrep_path&amp;" /e /r /s /spath="&amp;search_path&amp;" /stypes=""app*"&amp;CUP28&amp;"*"&amp;TEXT(CUW28-utc_offset/24,"YYYYMMDD")&amp;"*"" /stext="" "&amp;TEXT(CUW28-utc_offset/24,"HH")&amp;search_regexp&amp;""""</f>
        <v>#REF!</v>
      </c>
      <c r="CVU28" s="234" t="e">
        <f>astrogrep_path&amp;" /e /r /s /spath="&amp;search_path&amp;" /stypes=""app*"&amp;CUQ28&amp;"*"&amp;TEXT(CUX28-utc_offset/24,"YYYYMMDD")&amp;"*"" /stext="" "&amp;TEXT(CUX28-utc_offset/24,"HH")&amp;search_regexp&amp;""""</f>
        <v>#REF!</v>
      </c>
      <c r="CVV28" s="234" t="e">
        <f>astrogrep_path&amp;" /e /r /s /spath="&amp;search_path&amp;" /stypes=""app*"&amp;CUR28&amp;"*"&amp;TEXT(CUY28-utc_offset/24,"YYYYMMDD")&amp;"*"" /stext="" "&amp;TEXT(CUY28-utc_offset/24,"HH")&amp;search_regexp&amp;""""</f>
        <v>#REF!</v>
      </c>
      <c r="CVW28" s="234" t="e">
        <f>astrogrep_path&amp;" /e /r /s /spath="&amp;search_path&amp;" /stypes=""app*"&amp;CUS28&amp;"*"&amp;TEXT(CUZ28-utc_offset/24,"YYYYMMDD")&amp;"*"" /stext="" "&amp;TEXT(CUZ28-utc_offset/24,"HH")&amp;search_regexp&amp;""""</f>
        <v>#REF!</v>
      </c>
      <c r="CVX28" s="234" t="e">
        <f>astrogrep_path&amp;" /e /r /s /spath="&amp;search_path&amp;" /stypes=""app*"&amp;CUT28&amp;"*"&amp;TEXT(CVA28-utc_offset/24,"YYYYMMDD")&amp;"*"" /stext="" "&amp;TEXT(CVA28-utc_offset/24,"HH")&amp;search_regexp&amp;""""</f>
        <v>#REF!</v>
      </c>
      <c r="CVY28" s="234" t="e">
        <f>astrogrep_path&amp;" /e /r /s /spath="&amp;search_path&amp;" /stypes=""app*"&amp;CUU28&amp;"*"&amp;TEXT(CVB28-utc_offset/24,"YYYYMMDD")&amp;"*"" /stext="" "&amp;TEXT(CVB28-utc_offset/24,"HH")&amp;search_regexp&amp;""""</f>
        <v>#REF!</v>
      </c>
      <c r="CVZ28" s="234" t="e">
        <f>astrogrep_path&amp;" /e /r /s /spath="&amp;search_path&amp;" /stypes=""app*"&amp;CUV28&amp;"*"&amp;TEXT(CVC28-utc_offset/24,"YYYYMMDD")&amp;"*"" /stext="" "&amp;TEXT(CVC28-utc_offset/24,"HH")&amp;search_regexp&amp;""""</f>
        <v>#REF!</v>
      </c>
      <c r="CWA28" s="234" t="e">
        <f>astrogrep_path&amp;" /e /r /s /spath="&amp;search_path&amp;" /stypes=""app*"&amp;CUW28&amp;"*"&amp;TEXT(CVD28-utc_offset/24,"YYYYMMDD")&amp;"*"" /stext="" "&amp;TEXT(CVD28-utc_offset/24,"HH")&amp;search_regexp&amp;""""</f>
        <v>#REF!</v>
      </c>
      <c r="CWB28" s="234" t="e">
        <f>astrogrep_path&amp;" /e /r /s /spath="&amp;search_path&amp;" /stypes=""app*"&amp;CUX28&amp;"*"&amp;TEXT(CVE28-utc_offset/24,"YYYYMMDD")&amp;"*"" /stext="" "&amp;TEXT(CVE28-utc_offset/24,"HH")&amp;search_regexp&amp;""""</f>
        <v>#REF!</v>
      </c>
      <c r="CWC28" s="234" t="e">
        <f>astrogrep_path&amp;" /e /r /s /spath="&amp;search_path&amp;" /stypes=""app*"&amp;CUY28&amp;"*"&amp;TEXT(CVF28-utc_offset/24,"YYYYMMDD")&amp;"*"" /stext="" "&amp;TEXT(CVF28-utc_offset/24,"HH")&amp;search_regexp&amp;""""</f>
        <v>#REF!</v>
      </c>
      <c r="CWD28" s="234" t="e">
        <f>astrogrep_path&amp;" /e /r /s /spath="&amp;search_path&amp;" /stypes=""app*"&amp;CUZ28&amp;"*"&amp;TEXT(CVG28-utc_offset/24,"YYYYMMDD")&amp;"*"" /stext="" "&amp;TEXT(CVG28-utc_offset/24,"HH")&amp;search_regexp&amp;""""</f>
        <v>#REF!</v>
      </c>
      <c r="CWE28" s="234" t="e">
        <f>astrogrep_path&amp;" /e /r /s /spath="&amp;search_path&amp;" /stypes=""app*"&amp;CVA28&amp;"*"&amp;TEXT(CVH28-utc_offset/24,"YYYYMMDD")&amp;"*"" /stext="" "&amp;TEXT(CVH28-utc_offset/24,"HH")&amp;search_regexp&amp;""""</f>
        <v>#REF!</v>
      </c>
      <c r="CWF28" s="234" t="e">
        <f>astrogrep_path&amp;" /e /r /s /spath="&amp;search_path&amp;" /stypes=""app*"&amp;CVB28&amp;"*"&amp;TEXT(CVI28-utc_offset/24,"YYYYMMDD")&amp;"*"" /stext="" "&amp;TEXT(CVI28-utc_offset/24,"HH")&amp;search_regexp&amp;""""</f>
        <v>#REF!</v>
      </c>
      <c r="CWG28" s="234" t="e">
        <f>astrogrep_path&amp;" /e /r /s /spath="&amp;search_path&amp;" /stypes=""app*"&amp;CVC28&amp;"*"&amp;TEXT(CVJ28-utc_offset/24,"YYYYMMDD")&amp;"*"" /stext="" "&amp;TEXT(CVJ28-utc_offset/24,"HH")&amp;search_regexp&amp;""""</f>
        <v>#REF!</v>
      </c>
      <c r="CWH28" s="234" t="e">
        <f>astrogrep_path&amp;" /e /r /s /spath="&amp;search_path&amp;" /stypes=""app*"&amp;CVD28&amp;"*"&amp;TEXT(CVK28-utc_offset/24,"YYYYMMDD")&amp;"*"" /stext="" "&amp;TEXT(CVK28-utc_offset/24,"HH")&amp;search_regexp&amp;""""</f>
        <v>#REF!</v>
      </c>
      <c r="CWI28" s="234" t="e">
        <f>astrogrep_path&amp;" /e /r /s /spath="&amp;search_path&amp;" /stypes=""app*"&amp;CVE28&amp;"*"&amp;TEXT(CVL28-utc_offset/24,"YYYYMMDD")&amp;"*"" /stext="" "&amp;TEXT(CVL28-utc_offset/24,"HH")&amp;search_regexp&amp;""""</f>
        <v>#REF!</v>
      </c>
      <c r="CWJ28" s="234" t="e">
        <f>astrogrep_path&amp;" /e /r /s /spath="&amp;search_path&amp;" /stypes=""app*"&amp;CVF28&amp;"*"&amp;TEXT(CVM28-utc_offset/24,"YYYYMMDD")&amp;"*"" /stext="" "&amp;TEXT(CVM28-utc_offset/24,"HH")&amp;search_regexp&amp;""""</f>
        <v>#REF!</v>
      </c>
      <c r="CWK28" s="234" t="e">
        <f>astrogrep_path&amp;" /e /r /s /spath="&amp;search_path&amp;" /stypes=""app*"&amp;CVG28&amp;"*"&amp;TEXT(CVN28-utc_offset/24,"YYYYMMDD")&amp;"*"" /stext="" "&amp;TEXT(CVN28-utc_offset/24,"HH")&amp;search_regexp&amp;""""</f>
        <v>#REF!</v>
      </c>
      <c r="CWL28" s="234" t="e">
        <f>astrogrep_path&amp;" /e /r /s /spath="&amp;search_path&amp;" /stypes=""app*"&amp;CVH28&amp;"*"&amp;TEXT(CVO28-utc_offset/24,"YYYYMMDD")&amp;"*"" /stext="" "&amp;TEXT(CVO28-utc_offset/24,"HH")&amp;search_regexp&amp;""""</f>
        <v>#REF!</v>
      </c>
      <c r="CWM28" s="234" t="e">
        <f>astrogrep_path&amp;" /e /r /s /spath="&amp;search_path&amp;" /stypes=""app*"&amp;CVI28&amp;"*"&amp;TEXT(CVP28-utc_offset/24,"YYYYMMDD")&amp;"*"" /stext="" "&amp;TEXT(CVP28-utc_offset/24,"HH")&amp;search_regexp&amp;""""</f>
        <v>#REF!</v>
      </c>
      <c r="CWN28" s="234" t="e">
        <f>astrogrep_path&amp;" /e /r /s /spath="&amp;search_path&amp;" /stypes=""app*"&amp;CVJ28&amp;"*"&amp;TEXT(CVQ28-utc_offset/24,"YYYYMMDD")&amp;"*"" /stext="" "&amp;TEXT(CVQ28-utc_offset/24,"HH")&amp;search_regexp&amp;""""</f>
        <v>#REF!</v>
      </c>
      <c r="CWO28" s="234" t="e">
        <f>astrogrep_path&amp;" /e /r /s /spath="&amp;search_path&amp;" /stypes=""app*"&amp;CVK28&amp;"*"&amp;TEXT(CVR28-utc_offset/24,"YYYYMMDD")&amp;"*"" /stext="" "&amp;TEXT(CVR28-utc_offset/24,"HH")&amp;search_regexp&amp;""""</f>
        <v>#VALUE!</v>
      </c>
      <c r="CWP28" s="234" t="e">
        <f>astrogrep_path&amp;" /e /r /s /spath="&amp;search_path&amp;" /stypes=""app*"&amp;CVL28&amp;"*"&amp;TEXT(CVS28-utc_offset/24,"YYYYMMDD")&amp;"*"" /stext="" "&amp;TEXT(CVS28-utc_offset/24,"HH")&amp;search_regexp&amp;""""</f>
        <v>#VALUE!</v>
      </c>
      <c r="CWQ28" s="234" t="e">
        <f>astrogrep_path&amp;" /e /r /s /spath="&amp;search_path&amp;" /stypes=""app*"&amp;CVM28&amp;"*"&amp;TEXT(CVT28-utc_offset/24,"YYYYMMDD")&amp;"*"" /stext="" "&amp;TEXT(CVT28-utc_offset/24,"HH")&amp;search_regexp&amp;""""</f>
        <v>#REF!</v>
      </c>
      <c r="CWR28" s="234" t="e">
        <f>astrogrep_path&amp;" /e /r /s /spath="&amp;search_path&amp;" /stypes=""app*"&amp;CVN28&amp;"*"&amp;TEXT(CVU28-utc_offset/24,"YYYYMMDD")&amp;"*"" /stext="" "&amp;TEXT(CVU28-utc_offset/24,"HH")&amp;search_regexp&amp;""""</f>
        <v>#REF!</v>
      </c>
      <c r="CWS28" s="234" t="e">
        <f>astrogrep_path&amp;" /e /r /s /spath="&amp;search_path&amp;" /stypes=""app*"&amp;CVO28&amp;"*"&amp;TEXT(CVV28-utc_offset/24,"YYYYMMDD")&amp;"*"" /stext="" "&amp;TEXT(CVV28-utc_offset/24,"HH")&amp;search_regexp&amp;""""</f>
        <v>#VALUE!</v>
      </c>
      <c r="CWT28" s="234" t="e">
        <f>astrogrep_path&amp;" /e /r /s /spath="&amp;search_path&amp;" /stypes=""app*"&amp;CVP28&amp;"*"&amp;TEXT(CVW28-utc_offset/24,"YYYYMMDD")&amp;"*"" /stext="" "&amp;TEXT(CVW28-utc_offset/24,"HH")&amp;search_regexp&amp;""""</f>
        <v>#VALUE!</v>
      </c>
      <c r="CWU28" s="234" t="e">
        <f>astrogrep_path&amp;" /e /r /s /spath="&amp;search_path&amp;" /stypes=""app*"&amp;CVQ28&amp;"*"&amp;TEXT(CVX28-utc_offset/24,"YYYYMMDD")&amp;"*"" /stext="" "&amp;TEXT(CVX28-utc_offset/24,"HH")&amp;search_regexp&amp;""""</f>
        <v>#VALUE!</v>
      </c>
      <c r="CWV28" s="234" t="e">
        <f>astrogrep_path&amp;" /e /r /s /spath="&amp;search_path&amp;" /stypes=""app*"&amp;CVR28&amp;"*"&amp;TEXT(CVY28-utc_offset/24,"YYYYMMDD")&amp;"*"" /stext="" "&amp;TEXT(CVY28-utc_offset/24,"HH")&amp;search_regexp&amp;""""</f>
        <v>#VALUE!</v>
      </c>
      <c r="CWW28" s="234" t="e">
        <f>astrogrep_path&amp;" /e /r /s /spath="&amp;search_path&amp;" /stypes=""app*"&amp;CVS28&amp;"*"&amp;TEXT(CVZ28-utc_offset/24,"YYYYMMDD")&amp;"*"" /stext="" "&amp;TEXT(CVZ28-utc_offset/24,"HH")&amp;search_regexp&amp;""""</f>
        <v>#VALUE!</v>
      </c>
      <c r="CWX28" s="234" t="e">
        <f>astrogrep_path&amp;" /e /r /s /spath="&amp;search_path&amp;" /stypes=""app*"&amp;CVT28&amp;"*"&amp;TEXT(CWA28-utc_offset/24,"YYYYMMDD")&amp;"*"" /stext="" "&amp;TEXT(CWA28-utc_offset/24,"HH")&amp;search_regexp&amp;""""</f>
        <v>#REF!</v>
      </c>
      <c r="CWY28" s="234" t="e">
        <f>astrogrep_path&amp;" /e /r /s /spath="&amp;search_path&amp;" /stypes=""app*"&amp;CVU28&amp;"*"&amp;TEXT(CWB28-utc_offset/24,"YYYYMMDD")&amp;"*"" /stext="" "&amp;TEXT(CWB28-utc_offset/24,"HH")&amp;search_regexp&amp;""""</f>
        <v>#REF!</v>
      </c>
      <c r="CWZ28" s="234" t="e">
        <f>astrogrep_path&amp;" /e /r /s /spath="&amp;search_path&amp;" /stypes=""app*"&amp;CVV28&amp;"*"&amp;TEXT(CWC28-utc_offset/24,"YYYYMMDD")&amp;"*"" /stext="" "&amp;TEXT(CWC28-utc_offset/24,"HH")&amp;search_regexp&amp;""""</f>
        <v>#REF!</v>
      </c>
      <c r="CXA28" s="234" t="e">
        <f>astrogrep_path&amp;" /e /r /s /spath="&amp;search_path&amp;" /stypes=""app*"&amp;CVW28&amp;"*"&amp;TEXT(CWD28-utc_offset/24,"YYYYMMDD")&amp;"*"" /stext="" "&amp;TEXT(CWD28-utc_offset/24,"HH")&amp;search_regexp&amp;""""</f>
        <v>#REF!</v>
      </c>
      <c r="CXB28" s="234" t="e">
        <f>astrogrep_path&amp;" /e /r /s /spath="&amp;search_path&amp;" /stypes=""app*"&amp;CVX28&amp;"*"&amp;TEXT(CWE28-utc_offset/24,"YYYYMMDD")&amp;"*"" /stext="" "&amp;TEXT(CWE28-utc_offset/24,"HH")&amp;search_regexp&amp;""""</f>
        <v>#REF!</v>
      </c>
      <c r="CXC28" s="234" t="e">
        <f>astrogrep_path&amp;" /e /r /s /spath="&amp;search_path&amp;" /stypes=""app*"&amp;CVY28&amp;"*"&amp;TEXT(CWF28-utc_offset/24,"YYYYMMDD")&amp;"*"" /stext="" "&amp;TEXT(CWF28-utc_offset/24,"HH")&amp;search_regexp&amp;""""</f>
        <v>#REF!</v>
      </c>
      <c r="CXD28" s="234" t="e">
        <f>astrogrep_path&amp;" /e /r /s /spath="&amp;search_path&amp;" /stypes=""app*"&amp;CVZ28&amp;"*"&amp;TEXT(CWG28-utc_offset/24,"YYYYMMDD")&amp;"*"" /stext="" "&amp;TEXT(CWG28-utc_offset/24,"HH")&amp;search_regexp&amp;""""</f>
        <v>#REF!</v>
      </c>
      <c r="CXE28" s="234" t="e">
        <f>astrogrep_path&amp;" /e /r /s /spath="&amp;search_path&amp;" /stypes=""app*"&amp;CWA28&amp;"*"&amp;TEXT(CWH28-utc_offset/24,"YYYYMMDD")&amp;"*"" /stext="" "&amp;TEXT(CWH28-utc_offset/24,"HH")&amp;search_regexp&amp;""""</f>
        <v>#REF!</v>
      </c>
      <c r="CXF28" s="234" t="e">
        <f>astrogrep_path&amp;" /e /r /s /spath="&amp;search_path&amp;" /stypes=""app*"&amp;CWB28&amp;"*"&amp;TEXT(CWI28-utc_offset/24,"YYYYMMDD")&amp;"*"" /stext="" "&amp;TEXT(CWI28-utc_offset/24,"HH")&amp;search_regexp&amp;""""</f>
        <v>#REF!</v>
      </c>
      <c r="CXG28" s="234" t="e">
        <f>astrogrep_path&amp;" /e /r /s /spath="&amp;search_path&amp;" /stypes=""app*"&amp;CWC28&amp;"*"&amp;TEXT(CWJ28-utc_offset/24,"YYYYMMDD")&amp;"*"" /stext="" "&amp;TEXT(CWJ28-utc_offset/24,"HH")&amp;search_regexp&amp;""""</f>
        <v>#REF!</v>
      </c>
      <c r="CXH28" s="234" t="e">
        <f>astrogrep_path&amp;" /e /r /s /spath="&amp;search_path&amp;" /stypes=""app*"&amp;CWD28&amp;"*"&amp;TEXT(CWK28-utc_offset/24,"YYYYMMDD")&amp;"*"" /stext="" "&amp;TEXT(CWK28-utc_offset/24,"HH")&amp;search_regexp&amp;""""</f>
        <v>#REF!</v>
      </c>
      <c r="CXI28" s="234" t="e">
        <f>astrogrep_path&amp;" /e /r /s /spath="&amp;search_path&amp;" /stypes=""app*"&amp;CWE28&amp;"*"&amp;TEXT(CWL28-utc_offset/24,"YYYYMMDD")&amp;"*"" /stext="" "&amp;TEXT(CWL28-utc_offset/24,"HH")&amp;search_regexp&amp;""""</f>
        <v>#REF!</v>
      </c>
      <c r="CXJ28" s="234" t="e">
        <f>astrogrep_path&amp;" /e /r /s /spath="&amp;search_path&amp;" /stypes=""app*"&amp;CWF28&amp;"*"&amp;TEXT(CWM28-utc_offset/24,"YYYYMMDD")&amp;"*"" /stext="" "&amp;TEXT(CWM28-utc_offset/24,"HH")&amp;search_regexp&amp;""""</f>
        <v>#REF!</v>
      </c>
      <c r="CXK28" s="234" t="e">
        <f>astrogrep_path&amp;" /e /r /s /spath="&amp;search_path&amp;" /stypes=""app*"&amp;CWG28&amp;"*"&amp;TEXT(CWN28-utc_offset/24,"YYYYMMDD")&amp;"*"" /stext="" "&amp;TEXT(CWN28-utc_offset/24,"HH")&amp;search_regexp&amp;""""</f>
        <v>#REF!</v>
      </c>
      <c r="CXL28" s="234" t="e">
        <f>astrogrep_path&amp;" /e /r /s /spath="&amp;search_path&amp;" /stypes=""app*"&amp;CWH28&amp;"*"&amp;TEXT(CWO28-utc_offset/24,"YYYYMMDD")&amp;"*"" /stext="" "&amp;TEXT(CWO28-utc_offset/24,"HH")&amp;search_regexp&amp;""""</f>
        <v>#REF!</v>
      </c>
      <c r="CXM28" s="234" t="e">
        <f>astrogrep_path&amp;" /e /r /s /spath="&amp;search_path&amp;" /stypes=""app*"&amp;CWI28&amp;"*"&amp;TEXT(CWP28-utc_offset/24,"YYYYMMDD")&amp;"*"" /stext="" "&amp;TEXT(CWP28-utc_offset/24,"HH")&amp;search_regexp&amp;""""</f>
        <v>#REF!</v>
      </c>
      <c r="CXN28" s="234" t="e">
        <f>astrogrep_path&amp;" /e /r /s /spath="&amp;search_path&amp;" /stypes=""app*"&amp;CWJ28&amp;"*"&amp;TEXT(CWQ28-utc_offset/24,"YYYYMMDD")&amp;"*"" /stext="" "&amp;TEXT(CWQ28-utc_offset/24,"HH")&amp;search_regexp&amp;""""</f>
        <v>#REF!</v>
      </c>
      <c r="CXO28" s="234" t="e">
        <f>astrogrep_path&amp;" /e /r /s /spath="&amp;search_path&amp;" /stypes=""app*"&amp;CWK28&amp;"*"&amp;TEXT(CWR28-utc_offset/24,"YYYYMMDD")&amp;"*"" /stext="" "&amp;TEXT(CWR28-utc_offset/24,"HH")&amp;search_regexp&amp;""""</f>
        <v>#REF!</v>
      </c>
      <c r="CXP28" s="234" t="e">
        <f>astrogrep_path&amp;" /e /r /s /spath="&amp;search_path&amp;" /stypes=""app*"&amp;CWL28&amp;"*"&amp;TEXT(CWS28-utc_offset/24,"YYYYMMDD")&amp;"*"" /stext="" "&amp;TEXT(CWS28-utc_offset/24,"HH")&amp;search_regexp&amp;""""</f>
        <v>#REF!</v>
      </c>
      <c r="CXQ28" s="234" t="e">
        <f>astrogrep_path&amp;" /e /r /s /spath="&amp;search_path&amp;" /stypes=""app*"&amp;CWM28&amp;"*"&amp;TEXT(CWT28-utc_offset/24,"YYYYMMDD")&amp;"*"" /stext="" "&amp;TEXT(CWT28-utc_offset/24,"HH")&amp;search_regexp&amp;""""</f>
        <v>#REF!</v>
      </c>
      <c r="CXR28" s="234" t="e">
        <f>astrogrep_path&amp;" /e /r /s /spath="&amp;search_path&amp;" /stypes=""app*"&amp;CWN28&amp;"*"&amp;TEXT(CWU28-utc_offset/24,"YYYYMMDD")&amp;"*"" /stext="" "&amp;TEXT(CWU28-utc_offset/24,"HH")&amp;search_regexp&amp;""""</f>
        <v>#REF!</v>
      </c>
      <c r="CXS28" s="234" t="e">
        <f>astrogrep_path&amp;" /e /r /s /spath="&amp;search_path&amp;" /stypes=""app*"&amp;CWO28&amp;"*"&amp;TEXT(CWV28-utc_offset/24,"YYYYMMDD")&amp;"*"" /stext="" "&amp;TEXT(CWV28-utc_offset/24,"HH")&amp;search_regexp&amp;""""</f>
        <v>#VALUE!</v>
      </c>
      <c r="CXT28" s="234" t="e">
        <f>astrogrep_path&amp;" /e /r /s /spath="&amp;search_path&amp;" /stypes=""app*"&amp;CWP28&amp;"*"&amp;TEXT(CWW28-utc_offset/24,"YYYYMMDD")&amp;"*"" /stext="" "&amp;TEXT(CWW28-utc_offset/24,"HH")&amp;search_regexp&amp;""""</f>
        <v>#VALUE!</v>
      </c>
      <c r="CXU28" s="234" t="e">
        <f>astrogrep_path&amp;" /e /r /s /spath="&amp;search_path&amp;" /stypes=""app*"&amp;CWQ28&amp;"*"&amp;TEXT(CWX28-utc_offset/24,"YYYYMMDD")&amp;"*"" /stext="" "&amp;TEXT(CWX28-utc_offset/24,"HH")&amp;search_regexp&amp;""""</f>
        <v>#REF!</v>
      </c>
      <c r="CXV28" s="234" t="e">
        <f>astrogrep_path&amp;" /e /r /s /spath="&amp;search_path&amp;" /stypes=""app*"&amp;CWR28&amp;"*"&amp;TEXT(CWY28-utc_offset/24,"YYYYMMDD")&amp;"*"" /stext="" "&amp;TEXT(CWY28-utc_offset/24,"HH")&amp;search_regexp&amp;""""</f>
        <v>#REF!</v>
      </c>
      <c r="CXW28" s="234" t="e">
        <f>astrogrep_path&amp;" /e /r /s /spath="&amp;search_path&amp;" /stypes=""app*"&amp;CWS28&amp;"*"&amp;TEXT(CWZ28-utc_offset/24,"YYYYMMDD")&amp;"*"" /stext="" "&amp;TEXT(CWZ28-utc_offset/24,"HH")&amp;search_regexp&amp;""""</f>
        <v>#VALUE!</v>
      </c>
      <c r="CXX28" s="234" t="e">
        <f>astrogrep_path&amp;" /e /r /s /spath="&amp;search_path&amp;" /stypes=""app*"&amp;CWT28&amp;"*"&amp;TEXT(CXA28-utc_offset/24,"YYYYMMDD")&amp;"*"" /stext="" "&amp;TEXT(CXA28-utc_offset/24,"HH")&amp;search_regexp&amp;""""</f>
        <v>#VALUE!</v>
      </c>
      <c r="CXY28" s="234" t="e">
        <f>astrogrep_path&amp;" /e /r /s /spath="&amp;search_path&amp;" /stypes=""app*"&amp;CWU28&amp;"*"&amp;TEXT(CXB28-utc_offset/24,"YYYYMMDD")&amp;"*"" /stext="" "&amp;TEXT(CXB28-utc_offset/24,"HH")&amp;search_regexp&amp;""""</f>
        <v>#VALUE!</v>
      </c>
      <c r="CXZ28" s="234" t="e">
        <f>astrogrep_path&amp;" /e /r /s /spath="&amp;search_path&amp;" /stypes=""app*"&amp;CWV28&amp;"*"&amp;TEXT(CXC28-utc_offset/24,"YYYYMMDD")&amp;"*"" /stext="" "&amp;TEXT(CXC28-utc_offset/24,"HH")&amp;search_regexp&amp;""""</f>
        <v>#VALUE!</v>
      </c>
      <c r="CYA28" s="234" t="e">
        <f>astrogrep_path&amp;" /e /r /s /spath="&amp;search_path&amp;" /stypes=""app*"&amp;CWW28&amp;"*"&amp;TEXT(CXD28-utc_offset/24,"YYYYMMDD")&amp;"*"" /stext="" "&amp;TEXT(CXD28-utc_offset/24,"HH")&amp;search_regexp&amp;""""</f>
        <v>#VALUE!</v>
      </c>
      <c r="CYB28" s="234" t="e">
        <f>astrogrep_path&amp;" /e /r /s /spath="&amp;search_path&amp;" /stypes=""app*"&amp;CWX28&amp;"*"&amp;TEXT(CXE28-utc_offset/24,"YYYYMMDD")&amp;"*"" /stext="" "&amp;TEXT(CXE28-utc_offset/24,"HH")&amp;search_regexp&amp;""""</f>
        <v>#REF!</v>
      </c>
      <c r="CYC28" s="234" t="e">
        <f>astrogrep_path&amp;" /e /r /s /spath="&amp;search_path&amp;" /stypes=""app*"&amp;CWY28&amp;"*"&amp;TEXT(CXF28-utc_offset/24,"YYYYMMDD")&amp;"*"" /stext="" "&amp;TEXT(CXF28-utc_offset/24,"HH")&amp;search_regexp&amp;""""</f>
        <v>#REF!</v>
      </c>
      <c r="CYD28" s="234" t="e">
        <f>astrogrep_path&amp;" /e /r /s /spath="&amp;search_path&amp;" /stypes=""app*"&amp;CWZ28&amp;"*"&amp;TEXT(CXG28-utc_offset/24,"YYYYMMDD")&amp;"*"" /stext="" "&amp;TEXT(CXG28-utc_offset/24,"HH")&amp;search_regexp&amp;""""</f>
        <v>#REF!</v>
      </c>
      <c r="CYE28" s="234" t="e">
        <f>astrogrep_path&amp;" /e /r /s /spath="&amp;search_path&amp;" /stypes=""app*"&amp;CXA28&amp;"*"&amp;TEXT(CXH28-utc_offset/24,"YYYYMMDD")&amp;"*"" /stext="" "&amp;TEXT(CXH28-utc_offset/24,"HH")&amp;search_regexp&amp;""""</f>
        <v>#REF!</v>
      </c>
      <c r="CYF28" s="234" t="e">
        <f>astrogrep_path&amp;" /e /r /s /spath="&amp;search_path&amp;" /stypes=""app*"&amp;CXB28&amp;"*"&amp;TEXT(CXI28-utc_offset/24,"YYYYMMDD")&amp;"*"" /stext="" "&amp;TEXT(CXI28-utc_offset/24,"HH")&amp;search_regexp&amp;""""</f>
        <v>#REF!</v>
      </c>
      <c r="CYG28" s="234" t="e">
        <f>astrogrep_path&amp;" /e /r /s /spath="&amp;search_path&amp;" /stypes=""app*"&amp;CXC28&amp;"*"&amp;TEXT(CXJ28-utc_offset/24,"YYYYMMDD")&amp;"*"" /stext="" "&amp;TEXT(CXJ28-utc_offset/24,"HH")&amp;search_regexp&amp;""""</f>
        <v>#REF!</v>
      </c>
      <c r="CYH28" s="234" t="e">
        <f>astrogrep_path&amp;" /e /r /s /spath="&amp;search_path&amp;" /stypes=""app*"&amp;CXD28&amp;"*"&amp;TEXT(CXK28-utc_offset/24,"YYYYMMDD")&amp;"*"" /stext="" "&amp;TEXT(CXK28-utc_offset/24,"HH")&amp;search_regexp&amp;""""</f>
        <v>#REF!</v>
      </c>
      <c r="CYI28" s="234" t="e">
        <f>astrogrep_path&amp;" /e /r /s /spath="&amp;search_path&amp;" /stypes=""app*"&amp;CXE28&amp;"*"&amp;TEXT(CXL28-utc_offset/24,"YYYYMMDD")&amp;"*"" /stext="" "&amp;TEXT(CXL28-utc_offset/24,"HH")&amp;search_regexp&amp;""""</f>
        <v>#REF!</v>
      </c>
      <c r="CYJ28" s="234" t="e">
        <f>astrogrep_path&amp;" /e /r /s /spath="&amp;search_path&amp;" /stypes=""app*"&amp;CXF28&amp;"*"&amp;TEXT(CXM28-utc_offset/24,"YYYYMMDD")&amp;"*"" /stext="" "&amp;TEXT(CXM28-utc_offset/24,"HH")&amp;search_regexp&amp;""""</f>
        <v>#REF!</v>
      </c>
      <c r="CYK28" s="234" t="e">
        <f>astrogrep_path&amp;" /e /r /s /spath="&amp;search_path&amp;" /stypes=""app*"&amp;CXG28&amp;"*"&amp;TEXT(CXN28-utc_offset/24,"YYYYMMDD")&amp;"*"" /stext="" "&amp;TEXT(CXN28-utc_offset/24,"HH")&amp;search_regexp&amp;""""</f>
        <v>#REF!</v>
      </c>
      <c r="CYL28" s="234" t="e">
        <f>astrogrep_path&amp;" /e /r /s /spath="&amp;search_path&amp;" /stypes=""app*"&amp;CXH28&amp;"*"&amp;TEXT(CXO28-utc_offset/24,"YYYYMMDD")&amp;"*"" /stext="" "&amp;TEXT(CXO28-utc_offset/24,"HH")&amp;search_regexp&amp;""""</f>
        <v>#REF!</v>
      </c>
      <c r="CYM28" s="234" t="e">
        <f>astrogrep_path&amp;" /e /r /s /spath="&amp;search_path&amp;" /stypes=""app*"&amp;CXI28&amp;"*"&amp;TEXT(CXP28-utc_offset/24,"YYYYMMDD")&amp;"*"" /stext="" "&amp;TEXT(CXP28-utc_offset/24,"HH")&amp;search_regexp&amp;""""</f>
        <v>#REF!</v>
      </c>
      <c r="CYN28" s="234" t="e">
        <f>astrogrep_path&amp;" /e /r /s /spath="&amp;search_path&amp;" /stypes=""app*"&amp;CXJ28&amp;"*"&amp;TEXT(CXQ28-utc_offset/24,"YYYYMMDD")&amp;"*"" /stext="" "&amp;TEXT(CXQ28-utc_offset/24,"HH")&amp;search_regexp&amp;""""</f>
        <v>#REF!</v>
      </c>
      <c r="CYO28" s="234" t="e">
        <f>astrogrep_path&amp;" /e /r /s /spath="&amp;search_path&amp;" /stypes=""app*"&amp;CXK28&amp;"*"&amp;TEXT(CXR28-utc_offset/24,"YYYYMMDD")&amp;"*"" /stext="" "&amp;TEXT(CXR28-utc_offset/24,"HH")&amp;search_regexp&amp;""""</f>
        <v>#REF!</v>
      </c>
      <c r="CYP28" s="234" t="e">
        <f>astrogrep_path&amp;" /e /r /s /spath="&amp;search_path&amp;" /stypes=""app*"&amp;CXL28&amp;"*"&amp;TEXT(CXS28-utc_offset/24,"YYYYMMDD")&amp;"*"" /stext="" "&amp;TEXT(CXS28-utc_offset/24,"HH")&amp;search_regexp&amp;""""</f>
        <v>#REF!</v>
      </c>
      <c r="CYQ28" s="234" t="e">
        <f>astrogrep_path&amp;" /e /r /s /spath="&amp;search_path&amp;" /stypes=""app*"&amp;CXM28&amp;"*"&amp;TEXT(CXT28-utc_offset/24,"YYYYMMDD")&amp;"*"" /stext="" "&amp;TEXT(CXT28-utc_offset/24,"HH")&amp;search_regexp&amp;""""</f>
        <v>#REF!</v>
      </c>
      <c r="CYR28" s="234" t="e">
        <f>astrogrep_path&amp;" /e /r /s /spath="&amp;search_path&amp;" /stypes=""app*"&amp;CXN28&amp;"*"&amp;TEXT(CXU28-utc_offset/24,"YYYYMMDD")&amp;"*"" /stext="" "&amp;TEXT(CXU28-utc_offset/24,"HH")&amp;search_regexp&amp;""""</f>
        <v>#REF!</v>
      </c>
      <c r="CYS28" s="234" t="e">
        <f>astrogrep_path&amp;" /e /r /s /spath="&amp;search_path&amp;" /stypes=""app*"&amp;CXO28&amp;"*"&amp;TEXT(CXV28-utc_offset/24,"YYYYMMDD")&amp;"*"" /stext="" "&amp;TEXT(CXV28-utc_offset/24,"HH")&amp;search_regexp&amp;""""</f>
        <v>#REF!</v>
      </c>
      <c r="CYT28" s="234" t="e">
        <f>astrogrep_path&amp;" /e /r /s /spath="&amp;search_path&amp;" /stypes=""app*"&amp;CXP28&amp;"*"&amp;TEXT(CXW28-utc_offset/24,"YYYYMMDD")&amp;"*"" /stext="" "&amp;TEXT(CXW28-utc_offset/24,"HH")&amp;search_regexp&amp;""""</f>
        <v>#REF!</v>
      </c>
      <c r="CYU28" s="234" t="e">
        <f>astrogrep_path&amp;" /e /r /s /spath="&amp;search_path&amp;" /stypes=""app*"&amp;CXQ28&amp;"*"&amp;TEXT(CXX28-utc_offset/24,"YYYYMMDD")&amp;"*"" /stext="" "&amp;TEXT(CXX28-utc_offset/24,"HH")&amp;search_regexp&amp;""""</f>
        <v>#REF!</v>
      </c>
      <c r="CYV28" s="234" t="e">
        <f>astrogrep_path&amp;" /e /r /s /spath="&amp;search_path&amp;" /stypes=""app*"&amp;CXR28&amp;"*"&amp;TEXT(CXY28-utc_offset/24,"YYYYMMDD")&amp;"*"" /stext="" "&amp;TEXT(CXY28-utc_offset/24,"HH")&amp;search_regexp&amp;""""</f>
        <v>#REF!</v>
      </c>
      <c r="CYW28" s="234" t="e">
        <f>astrogrep_path&amp;" /e /r /s /spath="&amp;search_path&amp;" /stypes=""app*"&amp;CXS28&amp;"*"&amp;TEXT(CXZ28-utc_offset/24,"YYYYMMDD")&amp;"*"" /stext="" "&amp;TEXT(CXZ28-utc_offset/24,"HH")&amp;search_regexp&amp;""""</f>
        <v>#VALUE!</v>
      </c>
      <c r="CYX28" s="234" t="e">
        <f>astrogrep_path&amp;" /e /r /s /spath="&amp;search_path&amp;" /stypes=""app*"&amp;CXT28&amp;"*"&amp;TEXT(CYA28-utc_offset/24,"YYYYMMDD")&amp;"*"" /stext="" "&amp;TEXT(CYA28-utc_offset/24,"HH")&amp;search_regexp&amp;""""</f>
        <v>#VALUE!</v>
      </c>
      <c r="CYY28" s="234" t="e">
        <f>astrogrep_path&amp;" /e /r /s /spath="&amp;search_path&amp;" /stypes=""app*"&amp;CXU28&amp;"*"&amp;TEXT(CYB28-utc_offset/24,"YYYYMMDD")&amp;"*"" /stext="" "&amp;TEXT(CYB28-utc_offset/24,"HH")&amp;search_regexp&amp;""""</f>
        <v>#REF!</v>
      </c>
      <c r="CYZ28" s="234" t="e">
        <f>astrogrep_path&amp;" /e /r /s /spath="&amp;search_path&amp;" /stypes=""app*"&amp;CXV28&amp;"*"&amp;TEXT(CYC28-utc_offset/24,"YYYYMMDD")&amp;"*"" /stext="" "&amp;TEXT(CYC28-utc_offset/24,"HH")&amp;search_regexp&amp;""""</f>
        <v>#REF!</v>
      </c>
      <c r="CZA28" s="234" t="e">
        <f>astrogrep_path&amp;" /e /r /s /spath="&amp;search_path&amp;" /stypes=""app*"&amp;CXW28&amp;"*"&amp;TEXT(CYD28-utc_offset/24,"YYYYMMDD")&amp;"*"" /stext="" "&amp;TEXT(CYD28-utc_offset/24,"HH")&amp;search_regexp&amp;""""</f>
        <v>#VALUE!</v>
      </c>
      <c r="CZB28" s="234" t="e">
        <f>astrogrep_path&amp;" /e /r /s /spath="&amp;search_path&amp;" /stypes=""app*"&amp;CXX28&amp;"*"&amp;TEXT(CYE28-utc_offset/24,"YYYYMMDD")&amp;"*"" /stext="" "&amp;TEXT(CYE28-utc_offset/24,"HH")&amp;search_regexp&amp;""""</f>
        <v>#VALUE!</v>
      </c>
      <c r="CZC28" s="234" t="e">
        <f>astrogrep_path&amp;" /e /r /s /spath="&amp;search_path&amp;" /stypes=""app*"&amp;CXY28&amp;"*"&amp;TEXT(CYF28-utc_offset/24,"YYYYMMDD")&amp;"*"" /stext="" "&amp;TEXT(CYF28-utc_offset/24,"HH")&amp;search_regexp&amp;""""</f>
        <v>#VALUE!</v>
      </c>
      <c r="CZD28" s="234" t="e">
        <f>astrogrep_path&amp;" /e /r /s /spath="&amp;search_path&amp;" /stypes=""app*"&amp;CXZ28&amp;"*"&amp;TEXT(CYG28-utc_offset/24,"YYYYMMDD")&amp;"*"" /stext="" "&amp;TEXT(CYG28-utc_offset/24,"HH")&amp;search_regexp&amp;""""</f>
        <v>#VALUE!</v>
      </c>
      <c r="CZE28" s="234" t="e">
        <f>astrogrep_path&amp;" /e /r /s /spath="&amp;search_path&amp;" /stypes=""app*"&amp;CYA28&amp;"*"&amp;TEXT(CYH28-utc_offset/24,"YYYYMMDD")&amp;"*"" /stext="" "&amp;TEXT(CYH28-utc_offset/24,"HH")&amp;search_regexp&amp;""""</f>
        <v>#VALUE!</v>
      </c>
      <c r="CZF28" s="234" t="e">
        <f>astrogrep_path&amp;" /e /r /s /spath="&amp;search_path&amp;" /stypes=""app*"&amp;CYB28&amp;"*"&amp;TEXT(CYI28-utc_offset/24,"YYYYMMDD")&amp;"*"" /stext="" "&amp;TEXT(CYI28-utc_offset/24,"HH")&amp;search_regexp&amp;""""</f>
        <v>#REF!</v>
      </c>
      <c r="CZG28" s="234" t="e">
        <f>astrogrep_path&amp;" /e /r /s /spath="&amp;search_path&amp;" /stypes=""app*"&amp;CYC28&amp;"*"&amp;TEXT(CYJ28-utc_offset/24,"YYYYMMDD")&amp;"*"" /stext="" "&amp;TEXT(CYJ28-utc_offset/24,"HH")&amp;search_regexp&amp;""""</f>
        <v>#REF!</v>
      </c>
      <c r="CZH28" s="234" t="e">
        <f>astrogrep_path&amp;" /e /r /s /spath="&amp;search_path&amp;" /stypes=""app*"&amp;CYD28&amp;"*"&amp;TEXT(CYK28-utc_offset/24,"YYYYMMDD")&amp;"*"" /stext="" "&amp;TEXT(CYK28-utc_offset/24,"HH")&amp;search_regexp&amp;""""</f>
        <v>#REF!</v>
      </c>
      <c r="CZI28" s="234" t="e">
        <f>astrogrep_path&amp;" /e /r /s /spath="&amp;search_path&amp;" /stypes=""app*"&amp;CYE28&amp;"*"&amp;TEXT(CYL28-utc_offset/24,"YYYYMMDD")&amp;"*"" /stext="" "&amp;TEXT(CYL28-utc_offset/24,"HH")&amp;search_regexp&amp;""""</f>
        <v>#REF!</v>
      </c>
      <c r="CZJ28" s="234" t="e">
        <f>astrogrep_path&amp;" /e /r /s /spath="&amp;search_path&amp;" /stypes=""app*"&amp;CYF28&amp;"*"&amp;TEXT(CYM28-utc_offset/24,"YYYYMMDD")&amp;"*"" /stext="" "&amp;TEXT(CYM28-utc_offset/24,"HH")&amp;search_regexp&amp;""""</f>
        <v>#REF!</v>
      </c>
      <c r="CZK28" s="234" t="e">
        <f>astrogrep_path&amp;" /e /r /s /spath="&amp;search_path&amp;" /stypes=""app*"&amp;CYG28&amp;"*"&amp;TEXT(CYN28-utc_offset/24,"YYYYMMDD")&amp;"*"" /stext="" "&amp;TEXT(CYN28-utc_offset/24,"HH")&amp;search_regexp&amp;""""</f>
        <v>#REF!</v>
      </c>
      <c r="CZL28" s="234" t="e">
        <f>astrogrep_path&amp;" /e /r /s /spath="&amp;search_path&amp;" /stypes=""app*"&amp;CYH28&amp;"*"&amp;TEXT(CYO28-utc_offset/24,"YYYYMMDD")&amp;"*"" /stext="" "&amp;TEXT(CYO28-utc_offset/24,"HH")&amp;search_regexp&amp;""""</f>
        <v>#REF!</v>
      </c>
      <c r="CZM28" s="234" t="e">
        <f>astrogrep_path&amp;" /e /r /s /spath="&amp;search_path&amp;" /stypes=""app*"&amp;CYI28&amp;"*"&amp;TEXT(CYP28-utc_offset/24,"YYYYMMDD")&amp;"*"" /stext="" "&amp;TEXT(CYP28-utc_offset/24,"HH")&amp;search_regexp&amp;""""</f>
        <v>#REF!</v>
      </c>
      <c r="CZN28" s="234" t="e">
        <f>astrogrep_path&amp;" /e /r /s /spath="&amp;search_path&amp;" /stypes=""app*"&amp;CYJ28&amp;"*"&amp;TEXT(CYQ28-utc_offset/24,"YYYYMMDD")&amp;"*"" /stext="" "&amp;TEXT(CYQ28-utc_offset/24,"HH")&amp;search_regexp&amp;""""</f>
        <v>#REF!</v>
      </c>
      <c r="CZO28" s="234" t="e">
        <f>astrogrep_path&amp;" /e /r /s /spath="&amp;search_path&amp;" /stypes=""app*"&amp;CYK28&amp;"*"&amp;TEXT(CYR28-utc_offset/24,"YYYYMMDD")&amp;"*"" /stext="" "&amp;TEXT(CYR28-utc_offset/24,"HH")&amp;search_regexp&amp;""""</f>
        <v>#REF!</v>
      </c>
      <c r="CZP28" s="234" t="e">
        <f>astrogrep_path&amp;" /e /r /s /spath="&amp;search_path&amp;" /stypes=""app*"&amp;CYL28&amp;"*"&amp;TEXT(CYS28-utc_offset/24,"YYYYMMDD")&amp;"*"" /stext="" "&amp;TEXT(CYS28-utc_offset/24,"HH")&amp;search_regexp&amp;""""</f>
        <v>#REF!</v>
      </c>
      <c r="CZQ28" s="234" t="e">
        <f>astrogrep_path&amp;" /e /r /s /spath="&amp;search_path&amp;" /stypes=""app*"&amp;CYM28&amp;"*"&amp;TEXT(CYT28-utc_offset/24,"YYYYMMDD")&amp;"*"" /stext="" "&amp;TEXT(CYT28-utc_offset/24,"HH")&amp;search_regexp&amp;""""</f>
        <v>#REF!</v>
      </c>
      <c r="CZR28" s="234" t="e">
        <f>astrogrep_path&amp;" /e /r /s /spath="&amp;search_path&amp;" /stypes=""app*"&amp;CYN28&amp;"*"&amp;TEXT(CYU28-utc_offset/24,"YYYYMMDD")&amp;"*"" /stext="" "&amp;TEXT(CYU28-utc_offset/24,"HH")&amp;search_regexp&amp;""""</f>
        <v>#REF!</v>
      </c>
      <c r="CZS28" s="234" t="e">
        <f>astrogrep_path&amp;" /e /r /s /spath="&amp;search_path&amp;" /stypes=""app*"&amp;CYO28&amp;"*"&amp;TEXT(CYV28-utc_offset/24,"YYYYMMDD")&amp;"*"" /stext="" "&amp;TEXT(CYV28-utc_offset/24,"HH")&amp;search_regexp&amp;""""</f>
        <v>#REF!</v>
      </c>
      <c r="CZT28" s="234" t="e">
        <f>astrogrep_path&amp;" /e /r /s /spath="&amp;search_path&amp;" /stypes=""app*"&amp;CYP28&amp;"*"&amp;TEXT(CYW28-utc_offset/24,"YYYYMMDD")&amp;"*"" /stext="" "&amp;TEXT(CYW28-utc_offset/24,"HH")&amp;search_regexp&amp;""""</f>
        <v>#REF!</v>
      </c>
      <c r="CZU28" s="234" t="e">
        <f>astrogrep_path&amp;" /e /r /s /spath="&amp;search_path&amp;" /stypes=""app*"&amp;CYQ28&amp;"*"&amp;TEXT(CYX28-utc_offset/24,"YYYYMMDD")&amp;"*"" /stext="" "&amp;TEXT(CYX28-utc_offset/24,"HH")&amp;search_regexp&amp;""""</f>
        <v>#REF!</v>
      </c>
      <c r="CZV28" s="234" t="e">
        <f>astrogrep_path&amp;" /e /r /s /spath="&amp;search_path&amp;" /stypes=""app*"&amp;CYR28&amp;"*"&amp;TEXT(CYY28-utc_offset/24,"YYYYMMDD")&amp;"*"" /stext="" "&amp;TEXT(CYY28-utc_offset/24,"HH")&amp;search_regexp&amp;""""</f>
        <v>#REF!</v>
      </c>
      <c r="CZW28" s="234" t="e">
        <f>astrogrep_path&amp;" /e /r /s /spath="&amp;search_path&amp;" /stypes=""app*"&amp;CYS28&amp;"*"&amp;TEXT(CYZ28-utc_offset/24,"YYYYMMDD")&amp;"*"" /stext="" "&amp;TEXT(CYZ28-utc_offset/24,"HH")&amp;search_regexp&amp;""""</f>
        <v>#REF!</v>
      </c>
      <c r="CZX28" s="234" t="e">
        <f>astrogrep_path&amp;" /e /r /s /spath="&amp;search_path&amp;" /stypes=""app*"&amp;CYT28&amp;"*"&amp;TEXT(CZA28-utc_offset/24,"YYYYMMDD")&amp;"*"" /stext="" "&amp;TEXT(CZA28-utc_offset/24,"HH")&amp;search_regexp&amp;""""</f>
        <v>#REF!</v>
      </c>
      <c r="CZY28" s="234" t="e">
        <f>astrogrep_path&amp;" /e /r /s /spath="&amp;search_path&amp;" /stypes=""app*"&amp;CYU28&amp;"*"&amp;TEXT(CZB28-utc_offset/24,"YYYYMMDD")&amp;"*"" /stext="" "&amp;TEXT(CZB28-utc_offset/24,"HH")&amp;search_regexp&amp;""""</f>
        <v>#REF!</v>
      </c>
      <c r="CZZ28" s="234" t="e">
        <f>astrogrep_path&amp;" /e /r /s /spath="&amp;search_path&amp;" /stypes=""app*"&amp;CYV28&amp;"*"&amp;TEXT(CZC28-utc_offset/24,"YYYYMMDD")&amp;"*"" /stext="" "&amp;TEXT(CZC28-utc_offset/24,"HH")&amp;search_regexp&amp;""""</f>
        <v>#REF!</v>
      </c>
      <c r="DAA28" s="234" t="e">
        <f>astrogrep_path&amp;" /e /r /s /spath="&amp;search_path&amp;" /stypes=""app*"&amp;CYW28&amp;"*"&amp;TEXT(CZD28-utc_offset/24,"YYYYMMDD")&amp;"*"" /stext="" "&amp;TEXT(CZD28-utc_offset/24,"HH")&amp;search_regexp&amp;""""</f>
        <v>#VALUE!</v>
      </c>
      <c r="DAB28" s="234" t="e">
        <f>astrogrep_path&amp;" /e /r /s /spath="&amp;search_path&amp;" /stypes=""app*"&amp;CYX28&amp;"*"&amp;TEXT(CZE28-utc_offset/24,"YYYYMMDD")&amp;"*"" /stext="" "&amp;TEXT(CZE28-utc_offset/24,"HH")&amp;search_regexp&amp;""""</f>
        <v>#VALUE!</v>
      </c>
      <c r="DAC28" s="234" t="e">
        <f>astrogrep_path&amp;" /e /r /s /spath="&amp;search_path&amp;" /stypes=""app*"&amp;CYY28&amp;"*"&amp;TEXT(CZF28-utc_offset/24,"YYYYMMDD")&amp;"*"" /stext="" "&amp;TEXT(CZF28-utc_offset/24,"HH")&amp;search_regexp&amp;""""</f>
        <v>#REF!</v>
      </c>
      <c r="DAD28" s="234" t="e">
        <f>astrogrep_path&amp;" /e /r /s /spath="&amp;search_path&amp;" /stypes=""app*"&amp;CYZ28&amp;"*"&amp;TEXT(CZG28-utc_offset/24,"YYYYMMDD")&amp;"*"" /stext="" "&amp;TEXT(CZG28-utc_offset/24,"HH")&amp;search_regexp&amp;""""</f>
        <v>#REF!</v>
      </c>
      <c r="DAE28" s="234" t="e">
        <f>astrogrep_path&amp;" /e /r /s /spath="&amp;search_path&amp;" /stypes=""app*"&amp;CZA28&amp;"*"&amp;TEXT(CZH28-utc_offset/24,"YYYYMMDD")&amp;"*"" /stext="" "&amp;TEXT(CZH28-utc_offset/24,"HH")&amp;search_regexp&amp;""""</f>
        <v>#VALUE!</v>
      </c>
      <c r="DAF28" s="234" t="e">
        <f>astrogrep_path&amp;" /e /r /s /spath="&amp;search_path&amp;" /stypes=""app*"&amp;CZB28&amp;"*"&amp;TEXT(CZI28-utc_offset/24,"YYYYMMDD")&amp;"*"" /stext="" "&amp;TEXT(CZI28-utc_offset/24,"HH")&amp;search_regexp&amp;""""</f>
        <v>#VALUE!</v>
      </c>
      <c r="DAG28" s="234" t="e">
        <f>astrogrep_path&amp;" /e /r /s /spath="&amp;search_path&amp;" /stypes=""app*"&amp;CZC28&amp;"*"&amp;TEXT(CZJ28-utc_offset/24,"YYYYMMDD")&amp;"*"" /stext="" "&amp;TEXT(CZJ28-utc_offset/24,"HH")&amp;search_regexp&amp;""""</f>
        <v>#VALUE!</v>
      </c>
      <c r="DAH28" s="234" t="e">
        <f>astrogrep_path&amp;" /e /r /s /spath="&amp;search_path&amp;" /stypes=""app*"&amp;CZD28&amp;"*"&amp;TEXT(CZK28-utc_offset/24,"YYYYMMDD")&amp;"*"" /stext="" "&amp;TEXT(CZK28-utc_offset/24,"HH")&amp;search_regexp&amp;""""</f>
        <v>#VALUE!</v>
      </c>
      <c r="DAI28" s="234" t="e">
        <f>astrogrep_path&amp;" /e /r /s /spath="&amp;search_path&amp;" /stypes=""app*"&amp;CZE28&amp;"*"&amp;TEXT(CZL28-utc_offset/24,"YYYYMMDD")&amp;"*"" /stext="" "&amp;TEXT(CZL28-utc_offset/24,"HH")&amp;search_regexp&amp;""""</f>
        <v>#VALUE!</v>
      </c>
      <c r="DAJ28" s="234" t="e">
        <f>astrogrep_path&amp;" /e /r /s /spath="&amp;search_path&amp;" /stypes=""app*"&amp;CZF28&amp;"*"&amp;TEXT(CZM28-utc_offset/24,"YYYYMMDD")&amp;"*"" /stext="" "&amp;TEXT(CZM28-utc_offset/24,"HH")&amp;search_regexp&amp;""""</f>
        <v>#REF!</v>
      </c>
      <c r="DAK28" s="234" t="e">
        <f>astrogrep_path&amp;" /e /r /s /spath="&amp;search_path&amp;" /stypes=""app*"&amp;CZG28&amp;"*"&amp;TEXT(CZN28-utc_offset/24,"YYYYMMDD")&amp;"*"" /stext="" "&amp;TEXT(CZN28-utc_offset/24,"HH")&amp;search_regexp&amp;""""</f>
        <v>#REF!</v>
      </c>
      <c r="DAL28" s="234" t="e">
        <f>astrogrep_path&amp;" /e /r /s /spath="&amp;search_path&amp;" /stypes=""app*"&amp;CZH28&amp;"*"&amp;TEXT(CZO28-utc_offset/24,"YYYYMMDD")&amp;"*"" /stext="" "&amp;TEXT(CZO28-utc_offset/24,"HH")&amp;search_regexp&amp;""""</f>
        <v>#REF!</v>
      </c>
      <c r="DAM28" s="234" t="e">
        <f>astrogrep_path&amp;" /e /r /s /spath="&amp;search_path&amp;" /stypes=""app*"&amp;CZI28&amp;"*"&amp;TEXT(CZP28-utc_offset/24,"YYYYMMDD")&amp;"*"" /stext="" "&amp;TEXT(CZP28-utc_offset/24,"HH")&amp;search_regexp&amp;""""</f>
        <v>#REF!</v>
      </c>
      <c r="DAN28" s="234" t="e">
        <f>astrogrep_path&amp;" /e /r /s /spath="&amp;search_path&amp;" /stypes=""app*"&amp;CZJ28&amp;"*"&amp;TEXT(CZQ28-utc_offset/24,"YYYYMMDD")&amp;"*"" /stext="" "&amp;TEXT(CZQ28-utc_offset/24,"HH")&amp;search_regexp&amp;""""</f>
        <v>#REF!</v>
      </c>
      <c r="DAO28" s="234" t="e">
        <f>astrogrep_path&amp;" /e /r /s /spath="&amp;search_path&amp;" /stypes=""app*"&amp;CZK28&amp;"*"&amp;TEXT(CZR28-utc_offset/24,"YYYYMMDD")&amp;"*"" /stext="" "&amp;TEXT(CZR28-utc_offset/24,"HH")&amp;search_regexp&amp;""""</f>
        <v>#REF!</v>
      </c>
      <c r="DAP28" s="234" t="e">
        <f>astrogrep_path&amp;" /e /r /s /spath="&amp;search_path&amp;" /stypes=""app*"&amp;CZL28&amp;"*"&amp;TEXT(CZS28-utc_offset/24,"YYYYMMDD")&amp;"*"" /stext="" "&amp;TEXT(CZS28-utc_offset/24,"HH")&amp;search_regexp&amp;""""</f>
        <v>#REF!</v>
      </c>
      <c r="DAQ28" s="234" t="e">
        <f>astrogrep_path&amp;" /e /r /s /spath="&amp;search_path&amp;" /stypes=""app*"&amp;CZM28&amp;"*"&amp;TEXT(CZT28-utc_offset/24,"YYYYMMDD")&amp;"*"" /stext="" "&amp;TEXT(CZT28-utc_offset/24,"HH")&amp;search_regexp&amp;""""</f>
        <v>#REF!</v>
      </c>
      <c r="DAR28" s="234" t="e">
        <f>astrogrep_path&amp;" /e /r /s /spath="&amp;search_path&amp;" /stypes=""app*"&amp;CZN28&amp;"*"&amp;TEXT(CZU28-utc_offset/24,"YYYYMMDD")&amp;"*"" /stext="" "&amp;TEXT(CZU28-utc_offset/24,"HH")&amp;search_regexp&amp;""""</f>
        <v>#REF!</v>
      </c>
      <c r="DAS28" s="234" t="e">
        <f>astrogrep_path&amp;" /e /r /s /spath="&amp;search_path&amp;" /stypes=""app*"&amp;CZO28&amp;"*"&amp;TEXT(CZV28-utc_offset/24,"YYYYMMDD")&amp;"*"" /stext="" "&amp;TEXT(CZV28-utc_offset/24,"HH")&amp;search_regexp&amp;""""</f>
        <v>#REF!</v>
      </c>
      <c r="DAT28" s="234" t="e">
        <f>astrogrep_path&amp;" /e /r /s /spath="&amp;search_path&amp;" /stypes=""app*"&amp;CZP28&amp;"*"&amp;TEXT(CZW28-utc_offset/24,"YYYYMMDD")&amp;"*"" /stext="" "&amp;TEXT(CZW28-utc_offset/24,"HH")&amp;search_regexp&amp;""""</f>
        <v>#REF!</v>
      </c>
      <c r="DAU28" s="234" t="e">
        <f>astrogrep_path&amp;" /e /r /s /spath="&amp;search_path&amp;" /stypes=""app*"&amp;CZQ28&amp;"*"&amp;TEXT(CZX28-utc_offset/24,"YYYYMMDD")&amp;"*"" /stext="" "&amp;TEXT(CZX28-utc_offset/24,"HH")&amp;search_regexp&amp;""""</f>
        <v>#REF!</v>
      </c>
      <c r="DAV28" s="234" t="e">
        <f>astrogrep_path&amp;" /e /r /s /spath="&amp;search_path&amp;" /stypes=""app*"&amp;CZR28&amp;"*"&amp;TEXT(CZY28-utc_offset/24,"YYYYMMDD")&amp;"*"" /stext="" "&amp;TEXT(CZY28-utc_offset/24,"HH")&amp;search_regexp&amp;""""</f>
        <v>#REF!</v>
      </c>
      <c r="DAW28" s="234" t="e">
        <f>astrogrep_path&amp;" /e /r /s /spath="&amp;search_path&amp;" /stypes=""app*"&amp;CZS28&amp;"*"&amp;TEXT(CZZ28-utc_offset/24,"YYYYMMDD")&amp;"*"" /stext="" "&amp;TEXT(CZZ28-utc_offset/24,"HH")&amp;search_regexp&amp;""""</f>
        <v>#REF!</v>
      </c>
      <c r="DAX28" s="234" t="e">
        <f>astrogrep_path&amp;" /e /r /s /spath="&amp;search_path&amp;" /stypes=""app*"&amp;CZT28&amp;"*"&amp;TEXT(DAA28-utc_offset/24,"YYYYMMDD")&amp;"*"" /stext="" "&amp;TEXT(DAA28-utc_offset/24,"HH")&amp;search_regexp&amp;""""</f>
        <v>#REF!</v>
      </c>
      <c r="DAY28" s="234" t="e">
        <f>astrogrep_path&amp;" /e /r /s /spath="&amp;search_path&amp;" /stypes=""app*"&amp;CZU28&amp;"*"&amp;TEXT(DAB28-utc_offset/24,"YYYYMMDD")&amp;"*"" /stext="" "&amp;TEXT(DAB28-utc_offset/24,"HH")&amp;search_regexp&amp;""""</f>
        <v>#REF!</v>
      </c>
      <c r="DAZ28" s="234" t="e">
        <f>astrogrep_path&amp;" /e /r /s /spath="&amp;search_path&amp;" /stypes=""app*"&amp;CZV28&amp;"*"&amp;TEXT(DAC28-utc_offset/24,"YYYYMMDD")&amp;"*"" /stext="" "&amp;TEXT(DAC28-utc_offset/24,"HH")&amp;search_regexp&amp;""""</f>
        <v>#REF!</v>
      </c>
      <c r="DBA28" s="234" t="e">
        <f>astrogrep_path&amp;" /e /r /s /spath="&amp;search_path&amp;" /stypes=""app*"&amp;CZW28&amp;"*"&amp;TEXT(DAD28-utc_offset/24,"YYYYMMDD")&amp;"*"" /stext="" "&amp;TEXT(DAD28-utc_offset/24,"HH")&amp;search_regexp&amp;""""</f>
        <v>#REF!</v>
      </c>
      <c r="DBB28" s="234" t="e">
        <f>astrogrep_path&amp;" /e /r /s /spath="&amp;search_path&amp;" /stypes=""app*"&amp;CZX28&amp;"*"&amp;TEXT(DAE28-utc_offset/24,"YYYYMMDD")&amp;"*"" /stext="" "&amp;TEXT(DAE28-utc_offset/24,"HH")&amp;search_regexp&amp;""""</f>
        <v>#REF!</v>
      </c>
      <c r="DBC28" s="234" t="e">
        <f>astrogrep_path&amp;" /e /r /s /spath="&amp;search_path&amp;" /stypes=""app*"&amp;CZY28&amp;"*"&amp;TEXT(DAF28-utc_offset/24,"YYYYMMDD")&amp;"*"" /stext="" "&amp;TEXT(DAF28-utc_offset/24,"HH")&amp;search_regexp&amp;""""</f>
        <v>#REF!</v>
      </c>
      <c r="DBD28" s="234" t="e">
        <f>astrogrep_path&amp;" /e /r /s /spath="&amp;search_path&amp;" /stypes=""app*"&amp;CZZ28&amp;"*"&amp;TEXT(DAG28-utc_offset/24,"YYYYMMDD")&amp;"*"" /stext="" "&amp;TEXT(DAG28-utc_offset/24,"HH")&amp;search_regexp&amp;""""</f>
        <v>#REF!</v>
      </c>
      <c r="DBE28" s="234" t="e">
        <f>astrogrep_path&amp;" /e /r /s /spath="&amp;search_path&amp;" /stypes=""app*"&amp;DAA28&amp;"*"&amp;TEXT(DAH28-utc_offset/24,"YYYYMMDD")&amp;"*"" /stext="" "&amp;TEXT(DAH28-utc_offset/24,"HH")&amp;search_regexp&amp;""""</f>
        <v>#VALUE!</v>
      </c>
      <c r="DBF28" s="234" t="e">
        <f>astrogrep_path&amp;" /e /r /s /spath="&amp;search_path&amp;" /stypes=""app*"&amp;DAB28&amp;"*"&amp;TEXT(DAI28-utc_offset/24,"YYYYMMDD")&amp;"*"" /stext="" "&amp;TEXT(DAI28-utc_offset/24,"HH")&amp;search_regexp&amp;""""</f>
        <v>#VALUE!</v>
      </c>
      <c r="DBG28" s="234" t="e">
        <f>astrogrep_path&amp;" /e /r /s /spath="&amp;search_path&amp;" /stypes=""app*"&amp;DAC28&amp;"*"&amp;TEXT(DAJ28-utc_offset/24,"YYYYMMDD")&amp;"*"" /stext="" "&amp;TEXT(DAJ28-utc_offset/24,"HH")&amp;search_regexp&amp;""""</f>
        <v>#REF!</v>
      </c>
      <c r="DBH28" s="234" t="e">
        <f>astrogrep_path&amp;" /e /r /s /spath="&amp;search_path&amp;" /stypes=""app*"&amp;DAD28&amp;"*"&amp;TEXT(DAK28-utc_offset/24,"YYYYMMDD")&amp;"*"" /stext="" "&amp;TEXT(DAK28-utc_offset/24,"HH")&amp;search_regexp&amp;""""</f>
        <v>#REF!</v>
      </c>
      <c r="DBI28" s="234" t="e">
        <f>astrogrep_path&amp;" /e /r /s /spath="&amp;search_path&amp;" /stypes=""app*"&amp;DAE28&amp;"*"&amp;TEXT(DAL28-utc_offset/24,"YYYYMMDD")&amp;"*"" /stext="" "&amp;TEXT(DAL28-utc_offset/24,"HH")&amp;search_regexp&amp;""""</f>
        <v>#VALUE!</v>
      </c>
      <c r="DBJ28" s="234" t="e">
        <f>astrogrep_path&amp;" /e /r /s /spath="&amp;search_path&amp;" /stypes=""app*"&amp;DAF28&amp;"*"&amp;TEXT(DAM28-utc_offset/24,"YYYYMMDD")&amp;"*"" /stext="" "&amp;TEXT(DAM28-utc_offset/24,"HH")&amp;search_regexp&amp;""""</f>
        <v>#VALUE!</v>
      </c>
      <c r="DBK28" s="234" t="e">
        <f>astrogrep_path&amp;" /e /r /s /spath="&amp;search_path&amp;" /stypes=""app*"&amp;DAG28&amp;"*"&amp;TEXT(DAN28-utc_offset/24,"YYYYMMDD")&amp;"*"" /stext="" "&amp;TEXT(DAN28-utc_offset/24,"HH")&amp;search_regexp&amp;""""</f>
        <v>#VALUE!</v>
      </c>
      <c r="DBL28" s="234" t="e">
        <f>astrogrep_path&amp;" /e /r /s /spath="&amp;search_path&amp;" /stypes=""app*"&amp;DAH28&amp;"*"&amp;TEXT(DAO28-utc_offset/24,"YYYYMMDD")&amp;"*"" /stext="" "&amp;TEXT(DAO28-utc_offset/24,"HH")&amp;search_regexp&amp;""""</f>
        <v>#VALUE!</v>
      </c>
      <c r="DBM28" s="234" t="e">
        <f>astrogrep_path&amp;" /e /r /s /spath="&amp;search_path&amp;" /stypes=""app*"&amp;DAI28&amp;"*"&amp;TEXT(DAP28-utc_offset/24,"YYYYMMDD")&amp;"*"" /stext="" "&amp;TEXT(DAP28-utc_offset/24,"HH")&amp;search_regexp&amp;""""</f>
        <v>#VALUE!</v>
      </c>
      <c r="DBN28" s="234" t="e">
        <f>astrogrep_path&amp;" /e /r /s /spath="&amp;search_path&amp;" /stypes=""app*"&amp;DAJ28&amp;"*"&amp;TEXT(DAQ28-utc_offset/24,"YYYYMMDD")&amp;"*"" /stext="" "&amp;TEXT(DAQ28-utc_offset/24,"HH")&amp;search_regexp&amp;""""</f>
        <v>#REF!</v>
      </c>
      <c r="DBO28" s="234" t="e">
        <f>astrogrep_path&amp;" /e /r /s /spath="&amp;search_path&amp;" /stypes=""app*"&amp;DAK28&amp;"*"&amp;TEXT(DAR28-utc_offset/24,"YYYYMMDD")&amp;"*"" /stext="" "&amp;TEXT(DAR28-utc_offset/24,"HH")&amp;search_regexp&amp;""""</f>
        <v>#REF!</v>
      </c>
      <c r="DBP28" s="234" t="e">
        <f>astrogrep_path&amp;" /e /r /s /spath="&amp;search_path&amp;" /stypes=""app*"&amp;DAL28&amp;"*"&amp;TEXT(DAS28-utc_offset/24,"YYYYMMDD")&amp;"*"" /stext="" "&amp;TEXT(DAS28-utc_offset/24,"HH")&amp;search_regexp&amp;""""</f>
        <v>#REF!</v>
      </c>
      <c r="DBQ28" s="234" t="e">
        <f>astrogrep_path&amp;" /e /r /s /spath="&amp;search_path&amp;" /stypes=""app*"&amp;DAM28&amp;"*"&amp;TEXT(DAT28-utc_offset/24,"YYYYMMDD")&amp;"*"" /stext="" "&amp;TEXT(DAT28-utc_offset/24,"HH")&amp;search_regexp&amp;""""</f>
        <v>#REF!</v>
      </c>
      <c r="DBR28" s="234" t="e">
        <f>astrogrep_path&amp;" /e /r /s /spath="&amp;search_path&amp;" /stypes=""app*"&amp;DAN28&amp;"*"&amp;TEXT(DAU28-utc_offset/24,"YYYYMMDD")&amp;"*"" /stext="" "&amp;TEXT(DAU28-utc_offset/24,"HH")&amp;search_regexp&amp;""""</f>
        <v>#REF!</v>
      </c>
      <c r="DBS28" s="234" t="e">
        <f>astrogrep_path&amp;" /e /r /s /spath="&amp;search_path&amp;" /stypes=""app*"&amp;DAO28&amp;"*"&amp;TEXT(DAV28-utc_offset/24,"YYYYMMDD")&amp;"*"" /stext="" "&amp;TEXT(DAV28-utc_offset/24,"HH")&amp;search_regexp&amp;""""</f>
        <v>#REF!</v>
      </c>
      <c r="DBT28" s="234" t="e">
        <f>astrogrep_path&amp;" /e /r /s /spath="&amp;search_path&amp;" /stypes=""app*"&amp;DAP28&amp;"*"&amp;TEXT(DAW28-utc_offset/24,"YYYYMMDD")&amp;"*"" /stext="" "&amp;TEXT(DAW28-utc_offset/24,"HH")&amp;search_regexp&amp;""""</f>
        <v>#REF!</v>
      </c>
      <c r="DBU28" s="234" t="e">
        <f>astrogrep_path&amp;" /e /r /s /spath="&amp;search_path&amp;" /stypes=""app*"&amp;DAQ28&amp;"*"&amp;TEXT(DAX28-utc_offset/24,"YYYYMMDD")&amp;"*"" /stext="" "&amp;TEXT(DAX28-utc_offset/24,"HH")&amp;search_regexp&amp;""""</f>
        <v>#REF!</v>
      </c>
      <c r="DBV28" s="234" t="e">
        <f>astrogrep_path&amp;" /e /r /s /spath="&amp;search_path&amp;" /stypes=""app*"&amp;DAR28&amp;"*"&amp;TEXT(DAY28-utc_offset/24,"YYYYMMDD")&amp;"*"" /stext="" "&amp;TEXT(DAY28-utc_offset/24,"HH")&amp;search_regexp&amp;""""</f>
        <v>#REF!</v>
      </c>
      <c r="DBW28" s="234" t="e">
        <f>astrogrep_path&amp;" /e /r /s /spath="&amp;search_path&amp;" /stypes=""app*"&amp;DAS28&amp;"*"&amp;TEXT(DAZ28-utc_offset/24,"YYYYMMDD")&amp;"*"" /stext="" "&amp;TEXT(DAZ28-utc_offset/24,"HH")&amp;search_regexp&amp;""""</f>
        <v>#REF!</v>
      </c>
      <c r="DBX28" s="234" t="e">
        <f>astrogrep_path&amp;" /e /r /s /spath="&amp;search_path&amp;" /stypes=""app*"&amp;DAT28&amp;"*"&amp;TEXT(DBA28-utc_offset/24,"YYYYMMDD")&amp;"*"" /stext="" "&amp;TEXT(DBA28-utc_offset/24,"HH")&amp;search_regexp&amp;""""</f>
        <v>#REF!</v>
      </c>
      <c r="DBY28" s="234" t="e">
        <f>astrogrep_path&amp;" /e /r /s /spath="&amp;search_path&amp;" /stypes=""app*"&amp;DAU28&amp;"*"&amp;TEXT(DBB28-utc_offset/24,"YYYYMMDD")&amp;"*"" /stext="" "&amp;TEXT(DBB28-utc_offset/24,"HH")&amp;search_regexp&amp;""""</f>
        <v>#REF!</v>
      </c>
      <c r="DBZ28" s="234" t="e">
        <f>astrogrep_path&amp;" /e /r /s /spath="&amp;search_path&amp;" /stypes=""app*"&amp;DAV28&amp;"*"&amp;TEXT(DBC28-utc_offset/24,"YYYYMMDD")&amp;"*"" /stext="" "&amp;TEXT(DBC28-utc_offset/24,"HH")&amp;search_regexp&amp;""""</f>
        <v>#REF!</v>
      </c>
      <c r="DCA28" s="234" t="e">
        <f>astrogrep_path&amp;" /e /r /s /spath="&amp;search_path&amp;" /stypes=""app*"&amp;DAW28&amp;"*"&amp;TEXT(DBD28-utc_offset/24,"YYYYMMDD")&amp;"*"" /stext="" "&amp;TEXT(DBD28-utc_offset/24,"HH")&amp;search_regexp&amp;""""</f>
        <v>#REF!</v>
      </c>
      <c r="DCB28" s="234" t="e">
        <f>astrogrep_path&amp;" /e /r /s /spath="&amp;search_path&amp;" /stypes=""app*"&amp;DAX28&amp;"*"&amp;TEXT(DBE28-utc_offset/24,"YYYYMMDD")&amp;"*"" /stext="" "&amp;TEXT(DBE28-utc_offset/24,"HH")&amp;search_regexp&amp;""""</f>
        <v>#REF!</v>
      </c>
      <c r="DCC28" s="234" t="e">
        <f>astrogrep_path&amp;" /e /r /s /spath="&amp;search_path&amp;" /stypes=""app*"&amp;DAY28&amp;"*"&amp;TEXT(DBF28-utc_offset/24,"YYYYMMDD")&amp;"*"" /stext="" "&amp;TEXT(DBF28-utc_offset/24,"HH")&amp;search_regexp&amp;""""</f>
        <v>#REF!</v>
      </c>
      <c r="DCD28" s="234" t="e">
        <f>astrogrep_path&amp;" /e /r /s /spath="&amp;search_path&amp;" /stypes=""app*"&amp;DAZ28&amp;"*"&amp;TEXT(DBG28-utc_offset/24,"YYYYMMDD")&amp;"*"" /stext="" "&amp;TEXT(DBG28-utc_offset/24,"HH")&amp;search_regexp&amp;""""</f>
        <v>#REF!</v>
      </c>
      <c r="DCE28" s="234" t="e">
        <f>astrogrep_path&amp;" /e /r /s /spath="&amp;search_path&amp;" /stypes=""app*"&amp;DBA28&amp;"*"&amp;TEXT(DBH28-utc_offset/24,"YYYYMMDD")&amp;"*"" /stext="" "&amp;TEXT(DBH28-utc_offset/24,"HH")&amp;search_regexp&amp;""""</f>
        <v>#REF!</v>
      </c>
      <c r="DCF28" s="234" t="e">
        <f>astrogrep_path&amp;" /e /r /s /spath="&amp;search_path&amp;" /stypes=""app*"&amp;DBB28&amp;"*"&amp;TEXT(DBI28-utc_offset/24,"YYYYMMDD")&amp;"*"" /stext="" "&amp;TEXT(DBI28-utc_offset/24,"HH")&amp;search_regexp&amp;""""</f>
        <v>#REF!</v>
      </c>
      <c r="DCG28" s="234" t="e">
        <f>astrogrep_path&amp;" /e /r /s /spath="&amp;search_path&amp;" /stypes=""app*"&amp;DBC28&amp;"*"&amp;TEXT(DBJ28-utc_offset/24,"YYYYMMDD")&amp;"*"" /stext="" "&amp;TEXT(DBJ28-utc_offset/24,"HH")&amp;search_regexp&amp;""""</f>
        <v>#REF!</v>
      </c>
      <c r="DCH28" s="234" t="e">
        <f>astrogrep_path&amp;" /e /r /s /spath="&amp;search_path&amp;" /stypes=""app*"&amp;DBD28&amp;"*"&amp;TEXT(DBK28-utc_offset/24,"YYYYMMDD")&amp;"*"" /stext="" "&amp;TEXT(DBK28-utc_offset/24,"HH")&amp;search_regexp&amp;""""</f>
        <v>#REF!</v>
      </c>
      <c r="DCI28" s="234" t="e">
        <f>astrogrep_path&amp;" /e /r /s /spath="&amp;search_path&amp;" /stypes=""app*"&amp;DBE28&amp;"*"&amp;TEXT(DBL28-utc_offset/24,"YYYYMMDD")&amp;"*"" /stext="" "&amp;TEXT(DBL28-utc_offset/24,"HH")&amp;search_regexp&amp;""""</f>
        <v>#VALUE!</v>
      </c>
      <c r="DCJ28" s="234" t="e">
        <f>astrogrep_path&amp;" /e /r /s /spath="&amp;search_path&amp;" /stypes=""app*"&amp;DBF28&amp;"*"&amp;TEXT(DBM28-utc_offset/24,"YYYYMMDD")&amp;"*"" /stext="" "&amp;TEXT(DBM28-utc_offset/24,"HH")&amp;search_regexp&amp;""""</f>
        <v>#VALUE!</v>
      </c>
      <c r="DCK28" s="234" t="e">
        <f>astrogrep_path&amp;" /e /r /s /spath="&amp;search_path&amp;" /stypes=""app*"&amp;DBG28&amp;"*"&amp;TEXT(DBN28-utc_offset/24,"YYYYMMDD")&amp;"*"" /stext="" "&amp;TEXT(DBN28-utc_offset/24,"HH")&amp;search_regexp&amp;""""</f>
        <v>#REF!</v>
      </c>
      <c r="DCL28" s="234" t="e">
        <f>astrogrep_path&amp;" /e /r /s /spath="&amp;search_path&amp;" /stypes=""app*"&amp;DBH28&amp;"*"&amp;TEXT(DBO28-utc_offset/24,"YYYYMMDD")&amp;"*"" /stext="" "&amp;TEXT(DBO28-utc_offset/24,"HH")&amp;search_regexp&amp;""""</f>
        <v>#REF!</v>
      </c>
      <c r="DCM28" s="234" t="e">
        <f>astrogrep_path&amp;" /e /r /s /spath="&amp;search_path&amp;" /stypes=""app*"&amp;DBI28&amp;"*"&amp;TEXT(DBP28-utc_offset/24,"YYYYMMDD")&amp;"*"" /stext="" "&amp;TEXT(DBP28-utc_offset/24,"HH")&amp;search_regexp&amp;""""</f>
        <v>#VALUE!</v>
      </c>
      <c r="DCN28" s="234" t="e">
        <f>astrogrep_path&amp;" /e /r /s /spath="&amp;search_path&amp;" /stypes=""app*"&amp;DBJ28&amp;"*"&amp;TEXT(DBQ28-utc_offset/24,"YYYYMMDD")&amp;"*"" /stext="" "&amp;TEXT(DBQ28-utc_offset/24,"HH")&amp;search_regexp&amp;""""</f>
        <v>#VALUE!</v>
      </c>
      <c r="DCO28" s="234" t="e">
        <f>astrogrep_path&amp;" /e /r /s /spath="&amp;search_path&amp;" /stypes=""app*"&amp;DBK28&amp;"*"&amp;TEXT(DBR28-utc_offset/24,"YYYYMMDD")&amp;"*"" /stext="" "&amp;TEXT(DBR28-utc_offset/24,"HH")&amp;search_regexp&amp;""""</f>
        <v>#VALUE!</v>
      </c>
      <c r="DCP28" s="234" t="e">
        <f>astrogrep_path&amp;" /e /r /s /spath="&amp;search_path&amp;" /stypes=""app*"&amp;DBL28&amp;"*"&amp;TEXT(DBS28-utc_offset/24,"YYYYMMDD")&amp;"*"" /stext="" "&amp;TEXT(DBS28-utc_offset/24,"HH")&amp;search_regexp&amp;""""</f>
        <v>#VALUE!</v>
      </c>
      <c r="DCQ28" s="234" t="e">
        <f>astrogrep_path&amp;" /e /r /s /spath="&amp;search_path&amp;" /stypes=""app*"&amp;DBM28&amp;"*"&amp;TEXT(DBT28-utc_offset/24,"YYYYMMDD")&amp;"*"" /stext="" "&amp;TEXT(DBT28-utc_offset/24,"HH")&amp;search_regexp&amp;""""</f>
        <v>#VALUE!</v>
      </c>
      <c r="DCR28" s="234" t="e">
        <f>astrogrep_path&amp;" /e /r /s /spath="&amp;search_path&amp;" /stypes=""app*"&amp;DBN28&amp;"*"&amp;TEXT(DBU28-utc_offset/24,"YYYYMMDD")&amp;"*"" /stext="" "&amp;TEXT(DBU28-utc_offset/24,"HH")&amp;search_regexp&amp;""""</f>
        <v>#REF!</v>
      </c>
      <c r="DCS28" s="234" t="e">
        <f>astrogrep_path&amp;" /e /r /s /spath="&amp;search_path&amp;" /stypes=""app*"&amp;DBO28&amp;"*"&amp;TEXT(DBV28-utc_offset/24,"YYYYMMDD")&amp;"*"" /stext="" "&amp;TEXT(DBV28-utc_offset/24,"HH")&amp;search_regexp&amp;""""</f>
        <v>#REF!</v>
      </c>
      <c r="DCT28" s="234" t="e">
        <f>astrogrep_path&amp;" /e /r /s /spath="&amp;search_path&amp;" /stypes=""app*"&amp;DBP28&amp;"*"&amp;TEXT(DBW28-utc_offset/24,"YYYYMMDD")&amp;"*"" /stext="" "&amp;TEXT(DBW28-utc_offset/24,"HH")&amp;search_regexp&amp;""""</f>
        <v>#REF!</v>
      </c>
      <c r="DCU28" s="234" t="e">
        <f>astrogrep_path&amp;" /e /r /s /spath="&amp;search_path&amp;" /stypes=""app*"&amp;DBQ28&amp;"*"&amp;TEXT(DBX28-utc_offset/24,"YYYYMMDD")&amp;"*"" /stext="" "&amp;TEXT(DBX28-utc_offset/24,"HH")&amp;search_regexp&amp;""""</f>
        <v>#REF!</v>
      </c>
      <c r="DCV28" s="234" t="e">
        <f>astrogrep_path&amp;" /e /r /s /spath="&amp;search_path&amp;" /stypes=""app*"&amp;DBR28&amp;"*"&amp;TEXT(DBY28-utc_offset/24,"YYYYMMDD")&amp;"*"" /stext="" "&amp;TEXT(DBY28-utc_offset/24,"HH")&amp;search_regexp&amp;""""</f>
        <v>#REF!</v>
      </c>
      <c r="DCW28" s="234" t="e">
        <f>astrogrep_path&amp;" /e /r /s /spath="&amp;search_path&amp;" /stypes=""app*"&amp;DBS28&amp;"*"&amp;TEXT(DBZ28-utc_offset/24,"YYYYMMDD")&amp;"*"" /stext="" "&amp;TEXT(DBZ28-utc_offset/24,"HH")&amp;search_regexp&amp;""""</f>
        <v>#REF!</v>
      </c>
      <c r="DCX28" s="234" t="e">
        <f>astrogrep_path&amp;" /e /r /s /spath="&amp;search_path&amp;" /stypes=""app*"&amp;DBT28&amp;"*"&amp;TEXT(DCA28-utc_offset/24,"YYYYMMDD")&amp;"*"" /stext="" "&amp;TEXT(DCA28-utc_offset/24,"HH")&amp;search_regexp&amp;""""</f>
        <v>#REF!</v>
      </c>
      <c r="DCY28" s="234" t="e">
        <f>astrogrep_path&amp;" /e /r /s /spath="&amp;search_path&amp;" /stypes=""app*"&amp;DBU28&amp;"*"&amp;TEXT(DCB28-utc_offset/24,"YYYYMMDD")&amp;"*"" /stext="" "&amp;TEXT(DCB28-utc_offset/24,"HH")&amp;search_regexp&amp;""""</f>
        <v>#REF!</v>
      </c>
      <c r="DCZ28" s="234" t="e">
        <f>astrogrep_path&amp;" /e /r /s /spath="&amp;search_path&amp;" /stypes=""app*"&amp;DBV28&amp;"*"&amp;TEXT(DCC28-utc_offset/24,"YYYYMMDD")&amp;"*"" /stext="" "&amp;TEXT(DCC28-utc_offset/24,"HH")&amp;search_regexp&amp;""""</f>
        <v>#REF!</v>
      </c>
      <c r="DDA28" s="234" t="e">
        <f>astrogrep_path&amp;" /e /r /s /spath="&amp;search_path&amp;" /stypes=""app*"&amp;DBW28&amp;"*"&amp;TEXT(DCD28-utc_offset/24,"YYYYMMDD")&amp;"*"" /stext="" "&amp;TEXT(DCD28-utc_offset/24,"HH")&amp;search_regexp&amp;""""</f>
        <v>#REF!</v>
      </c>
      <c r="DDB28" s="234" t="e">
        <f>astrogrep_path&amp;" /e /r /s /spath="&amp;search_path&amp;" /stypes=""app*"&amp;DBX28&amp;"*"&amp;TEXT(DCE28-utc_offset/24,"YYYYMMDD")&amp;"*"" /stext="" "&amp;TEXT(DCE28-utc_offset/24,"HH")&amp;search_regexp&amp;""""</f>
        <v>#REF!</v>
      </c>
      <c r="DDC28" s="234" t="e">
        <f>astrogrep_path&amp;" /e /r /s /spath="&amp;search_path&amp;" /stypes=""app*"&amp;DBY28&amp;"*"&amp;TEXT(DCF28-utc_offset/24,"YYYYMMDD")&amp;"*"" /stext="" "&amp;TEXT(DCF28-utc_offset/24,"HH")&amp;search_regexp&amp;""""</f>
        <v>#REF!</v>
      </c>
      <c r="DDD28" s="234" t="e">
        <f>astrogrep_path&amp;" /e /r /s /spath="&amp;search_path&amp;" /stypes=""app*"&amp;DBZ28&amp;"*"&amp;TEXT(DCG28-utc_offset/24,"YYYYMMDD")&amp;"*"" /stext="" "&amp;TEXT(DCG28-utc_offset/24,"HH")&amp;search_regexp&amp;""""</f>
        <v>#REF!</v>
      </c>
      <c r="DDE28" s="234" t="e">
        <f>astrogrep_path&amp;" /e /r /s /spath="&amp;search_path&amp;" /stypes=""app*"&amp;DCA28&amp;"*"&amp;TEXT(DCH28-utc_offset/24,"YYYYMMDD")&amp;"*"" /stext="" "&amp;TEXT(DCH28-utc_offset/24,"HH")&amp;search_regexp&amp;""""</f>
        <v>#REF!</v>
      </c>
      <c r="DDF28" s="234" t="e">
        <f>astrogrep_path&amp;" /e /r /s /spath="&amp;search_path&amp;" /stypes=""app*"&amp;DCB28&amp;"*"&amp;TEXT(DCI28-utc_offset/24,"YYYYMMDD")&amp;"*"" /stext="" "&amp;TEXT(DCI28-utc_offset/24,"HH")&amp;search_regexp&amp;""""</f>
        <v>#REF!</v>
      </c>
      <c r="DDG28" s="234" t="e">
        <f>astrogrep_path&amp;" /e /r /s /spath="&amp;search_path&amp;" /stypes=""app*"&amp;DCC28&amp;"*"&amp;TEXT(DCJ28-utc_offset/24,"YYYYMMDD")&amp;"*"" /stext="" "&amp;TEXT(DCJ28-utc_offset/24,"HH")&amp;search_regexp&amp;""""</f>
        <v>#REF!</v>
      </c>
      <c r="DDH28" s="234" t="e">
        <f>astrogrep_path&amp;" /e /r /s /spath="&amp;search_path&amp;" /stypes=""app*"&amp;DCD28&amp;"*"&amp;TEXT(DCK28-utc_offset/24,"YYYYMMDD")&amp;"*"" /stext="" "&amp;TEXT(DCK28-utc_offset/24,"HH")&amp;search_regexp&amp;""""</f>
        <v>#REF!</v>
      </c>
      <c r="DDI28" s="234" t="e">
        <f>astrogrep_path&amp;" /e /r /s /spath="&amp;search_path&amp;" /stypes=""app*"&amp;DCE28&amp;"*"&amp;TEXT(DCL28-utc_offset/24,"YYYYMMDD")&amp;"*"" /stext="" "&amp;TEXT(DCL28-utc_offset/24,"HH")&amp;search_regexp&amp;""""</f>
        <v>#REF!</v>
      </c>
      <c r="DDJ28" s="234" t="e">
        <f>astrogrep_path&amp;" /e /r /s /spath="&amp;search_path&amp;" /stypes=""app*"&amp;DCF28&amp;"*"&amp;TEXT(DCM28-utc_offset/24,"YYYYMMDD")&amp;"*"" /stext="" "&amp;TEXT(DCM28-utc_offset/24,"HH")&amp;search_regexp&amp;""""</f>
        <v>#REF!</v>
      </c>
      <c r="DDK28" s="234" t="e">
        <f>astrogrep_path&amp;" /e /r /s /spath="&amp;search_path&amp;" /stypes=""app*"&amp;DCG28&amp;"*"&amp;TEXT(DCN28-utc_offset/24,"YYYYMMDD")&amp;"*"" /stext="" "&amp;TEXT(DCN28-utc_offset/24,"HH")&amp;search_regexp&amp;""""</f>
        <v>#REF!</v>
      </c>
      <c r="DDL28" s="234" t="e">
        <f>astrogrep_path&amp;" /e /r /s /spath="&amp;search_path&amp;" /stypes=""app*"&amp;DCH28&amp;"*"&amp;TEXT(DCO28-utc_offset/24,"YYYYMMDD")&amp;"*"" /stext="" "&amp;TEXT(DCO28-utc_offset/24,"HH")&amp;search_regexp&amp;""""</f>
        <v>#REF!</v>
      </c>
      <c r="DDM28" s="234" t="e">
        <f>astrogrep_path&amp;" /e /r /s /spath="&amp;search_path&amp;" /stypes=""app*"&amp;DCI28&amp;"*"&amp;TEXT(DCP28-utc_offset/24,"YYYYMMDD")&amp;"*"" /stext="" "&amp;TEXT(DCP28-utc_offset/24,"HH")&amp;search_regexp&amp;""""</f>
        <v>#VALUE!</v>
      </c>
      <c r="DDN28" s="234" t="e">
        <f>astrogrep_path&amp;" /e /r /s /spath="&amp;search_path&amp;" /stypes=""app*"&amp;DCJ28&amp;"*"&amp;TEXT(DCQ28-utc_offset/24,"YYYYMMDD")&amp;"*"" /stext="" "&amp;TEXT(DCQ28-utc_offset/24,"HH")&amp;search_regexp&amp;""""</f>
        <v>#VALUE!</v>
      </c>
      <c r="DDO28" s="234" t="e">
        <f>astrogrep_path&amp;" /e /r /s /spath="&amp;search_path&amp;" /stypes=""app*"&amp;DCK28&amp;"*"&amp;TEXT(DCR28-utc_offset/24,"YYYYMMDD")&amp;"*"" /stext="" "&amp;TEXT(DCR28-utc_offset/24,"HH")&amp;search_regexp&amp;""""</f>
        <v>#REF!</v>
      </c>
      <c r="DDP28" s="234" t="e">
        <f>astrogrep_path&amp;" /e /r /s /spath="&amp;search_path&amp;" /stypes=""app*"&amp;DCL28&amp;"*"&amp;TEXT(DCS28-utc_offset/24,"YYYYMMDD")&amp;"*"" /stext="" "&amp;TEXT(DCS28-utc_offset/24,"HH")&amp;search_regexp&amp;""""</f>
        <v>#REF!</v>
      </c>
      <c r="DDQ28" s="234" t="e">
        <f>astrogrep_path&amp;" /e /r /s /spath="&amp;search_path&amp;" /stypes=""app*"&amp;DCM28&amp;"*"&amp;TEXT(DCT28-utc_offset/24,"YYYYMMDD")&amp;"*"" /stext="" "&amp;TEXT(DCT28-utc_offset/24,"HH")&amp;search_regexp&amp;""""</f>
        <v>#VALUE!</v>
      </c>
      <c r="DDR28" s="234" t="e">
        <f>astrogrep_path&amp;" /e /r /s /spath="&amp;search_path&amp;" /stypes=""app*"&amp;DCN28&amp;"*"&amp;TEXT(DCU28-utc_offset/24,"YYYYMMDD")&amp;"*"" /stext="" "&amp;TEXT(DCU28-utc_offset/24,"HH")&amp;search_regexp&amp;""""</f>
        <v>#VALUE!</v>
      </c>
      <c r="DDS28" s="234" t="e">
        <f>astrogrep_path&amp;" /e /r /s /spath="&amp;search_path&amp;" /stypes=""app*"&amp;DCO28&amp;"*"&amp;TEXT(DCV28-utc_offset/24,"YYYYMMDD")&amp;"*"" /stext="" "&amp;TEXT(DCV28-utc_offset/24,"HH")&amp;search_regexp&amp;""""</f>
        <v>#VALUE!</v>
      </c>
      <c r="DDT28" s="234" t="e">
        <f>astrogrep_path&amp;" /e /r /s /spath="&amp;search_path&amp;" /stypes=""app*"&amp;DCP28&amp;"*"&amp;TEXT(DCW28-utc_offset/24,"YYYYMMDD")&amp;"*"" /stext="" "&amp;TEXT(DCW28-utc_offset/24,"HH")&amp;search_regexp&amp;""""</f>
        <v>#VALUE!</v>
      </c>
      <c r="DDU28" s="234" t="e">
        <f>astrogrep_path&amp;" /e /r /s /spath="&amp;search_path&amp;" /stypes=""app*"&amp;DCQ28&amp;"*"&amp;TEXT(DCX28-utc_offset/24,"YYYYMMDD")&amp;"*"" /stext="" "&amp;TEXT(DCX28-utc_offset/24,"HH")&amp;search_regexp&amp;""""</f>
        <v>#VALUE!</v>
      </c>
      <c r="DDV28" s="234" t="e">
        <f>astrogrep_path&amp;" /e /r /s /spath="&amp;search_path&amp;" /stypes=""app*"&amp;DCR28&amp;"*"&amp;TEXT(DCY28-utc_offset/24,"YYYYMMDD")&amp;"*"" /stext="" "&amp;TEXT(DCY28-utc_offset/24,"HH")&amp;search_regexp&amp;""""</f>
        <v>#REF!</v>
      </c>
      <c r="DDW28" s="234" t="e">
        <f>astrogrep_path&amp;" /e /r /s /spath="&amp;search_path&amp;" /stypes=""app*"&amp;DCS28&amp;"*"&amp;TEXT(DCZ28-utc_offset/24,"YYYYMMDD")&amp;"*"" /stext="" "&amp;TEXT(DCZ28-utc_offset/24,"HH")&amp;search_regexp&amp;""""</f>
        <v>#REF!</v>
      </c>
      <c r="DDX28" s="234" t="e">
        <f>astrogrep_path&amp;" /e /r /s /spath="&amp;search_path&amp;" /stypes=""app*"&amp;DCT28&amp;"*"&amp;TEXT(DDA28-utc_offset/24,"YYYYMMDD")&amp;"*"" /stext="" "&amp;TEXT(DDA28-utc_offset/24,"HH")&amp;search_regexp&amp;""""</f>
        <v>#REF!</v>
      </c>
      <c r="DDY28" s="234" t="e">
        <f>astrogrep_path&amp;" /e /r /s /spath="&amp;search_path&amp;" /stypes=""app*"&amp;DCU28&amp;"*"&amp;TEXT(DDB28-utc_offset/24,"YYYYMMDD")&amp;"*"" /stext="" "&amp;TEXT(DDB28-utc_offset/24,"HH")&amp;search_regexp&amp;""""</f>
        <v>#REF!</v>
      </c>
      <c r="DDZ28" s="234" t="e">
        <f>astrogrep_path&amp;" /e /r /s /spath="&amp;search_path&amp;" /stypes=""app*"&amp;DCV28&amp;"*"&amp;TEXT(DDC28-utc_offset/24,"YYYYMMDD")&amp;"*"" /stext="" "&amp;TEXT(DDC28-utc_offset/24,"HH")&amp;search_regexp&amp;""""</f>
        <v>#REF!</v>
      </c>
      <c r="DEA28" s="234" t="e">
        <f>astrogrep_path&amp;" /e /r /s /spath="&amp;search_path&amp;" /stypes=""app*"&amp;DCW28&amp;"*"&amp;TEXT(DDD28-utc_offset/24,"YYYYMMDD")&amp;"*"" /stext="" "&amp;TEXT(DDD28-utc_offset/24,"HH")&amp;search_regexp&amp;""""</f>
        <v>#REF!</v>
      </c>
      <c r="DEB28" s="234" t="e">
        <f>astrogrep_path&amp;" /e /r /s /spath="&amp;search_path&amp;" /stypes=""app*"&amp;DCX28&amp;"*"&amp;TEXT(DDE28-utc_offset/24,"YYYYMMDD")&amp;"*"" /stext="" "&amp;TEXT(DDE28-utc_offset/24,"HH")&amp;search_regexp&amp;""""</f>
        <v>#REF!</v>
      </c>
      <c r="DEC28" s="234" t="e">
        <f>astrogrep_path&amp;" /e /r /s /spath="&amp;search_path&amp;" /stypes=""app*"&amp;DCY28&amp;"*"&amp;TEXT(DDF28-utc_offset/24,"YYYYMMDD")&amp;"*"" /stext="" "&amp;TEXT(DDF28-utc_offset/24,"HH")&amp;search_regexp&amp;""""</f>
        <v>#REF!</v>
      </c>
      <c r="DED28" s="234" t="e">
        <f>astrogrep_path&amp;" /e /r /s /spath="&amp;search_path&amp;" /stypes=""app*"&amp;DCZ28&amp;"*"&amp;TEXT(DDG28-utc_offset/24,"YYYYMMDD")&amp;"*"" /stext="" "&amp;TEXT(DDG28-utc_offset/24,"HH")&amp;search_regexp&amp;""""</f>
        <v>#REF!</v>
      </c>
      <c r="DEE28" s="234" t="e">
        <f>astrogrep_path&amp;" /e /r /s /spath="&amp;search_path&amp;" /stypes=""app*"&amp;DDA28&amp;"*"&amp;TEXT(DDH28-utc_offset/24,"YYYYMMDD")&amp;"*"" /stext="" "&amp;TEXT(DDH28-utc_offset/24,"HH")&amp;search_regexp&amp;""""</f>
        <v>#REF!</v>
      </c>
      <c r="DEF28" s="234" t="e">
        <f>astrogrep_path&amp;" /e /r /s /spath="&amp;search_path&amp;" /stypes=""app*"&amp;DDB28&amp;"*"&amp;TEXT(DDI28-utc_offset/24,"YYYYMMDD")&amp;"*"" /stext="" "&amp;TEXT(DDI28-utc_offset/24,"HH")&amp;search_regexp&amp;""""</f>
        <v>#REF!</v>
      </c>
      <c r="DEG28" s="234" t="e">
        <f>astrogrep_path&amp;" /e /r /s /spath="&amp;search_path&amp;" /stypes=""app*"&amp;DDC28&amp;"*"&amp;TEXT(DDJ28-utc_offset/24,"YYYYMMDD")&amp;"*"" /stext="" "&amp;TEXT(DDJ28-utc_offset/24,"HH")&amp;search_regexp&amp;""""</f>
        <v>#REF!</v>
      </c>
      <c r="DEH28" s="234" t="e">
        <f>astrogrep_path&amp;" /e /r /s /spath="&amp;search_path&amp;" /stypes=""app*"&amp;DDD28&amp;"*"&amp;TEXT(DDK28-utc_offset/24,"YYYYMMDD")&amp;"*"" /stext="" "&amp;TEXT(DDK28-utc_offset/24,"HH")&amp;search_regexp&amp;""""</f>
        <v>#REF!</v>
      </c>
      <c r="DEI28" s="234" t="e">
        <f>astrogrep_path&amp;" /e /r /s /spath="&amp;search_path&amp;" /stypes=""app*"&amp;DDE28&amp;"*"&amp;TEXT(DDL28-utc_offset/24,"YYYYMMDD")&amp;"*"" /stext="" "&amp;TEXT(DDL28-utc_offset/24,"HH")&amp;search_regexp&amp;""""</f>
        <v>#REF!</v>
      </c>
      <c r="DEJ28" s="234" t="e">
        <f>astrogrep_path&amp;" /e /r /s /spath="&amp;search_path&amp;" /stypes=""app*"&amp;DDF28&amp;"*"&amp;TEXT(DDM28-utc_offset/24,"YYYYMMDD")&amp;"*"" /stext="" "&amp;TEXT(DDM28-utc_offset/24,"HH")&amp;search_regexp&amp;""""</f>
        <v>#REF!</v>
      </c>
      <c r="DEK28" s="234" t="e">
        <f>astrogrep_path&amp;" /e /r /s /spath="&amp;search_path&amp;" /stypes=""app*"&amp;DDG28&amp;"*"&amp;TEXT(DDN28-utc_offset/24,"YYYYMMDD")&amp;"*"" /stext="" "&amp;TEXT(DDN28-utc_offset/24,"HH")&amp;search_regexp&amp;""""</f>
        <v>#REF!</v>
      </c>
      <c r="DEL28" s="234" t="e">
        <f>astrogrep_path&amp;" /e /r /s /spath="&amp;search_path&amp;" /stypes=""app*"&amp;DDH28&amp;"*"&amp;TEXT(DDO28-utc_offset/24,"YYYYMMDD")&amp;"*"" /stext="" "&amp;TEXT(DDO28-utc_offset/24,"HH")&amp;search_regexp&amp;""""</f>
        <v>#REF!</v>
      </c>
      <c r="DEM28" s="234" t="e">
        <f>astrogrep_path&amp;" /e /r /s /spath="&amp;search_path&amp;" /stypes=""app*"&amp;DDI28&amp;"*"&amp;TEXT(DDP28-utc_offset/24,"YYYYMMDD")&amp;"*"" /stext="" "&amp;TEXT(DDP28-utc_offset/24,"HH")&amp;search_regexp&amp;""""</f>
        <v>#REF!</v>
      </c>
      <c r="DEN28" s="234" t="e">
        <f>astrogrep_path&amp;" /e /r /s /spath="&amp;search_path&amp;" /stypes=""app*"&amp;DDJ28&amp;"*"&amp;TEXT(DDQ28-utc_offset/24,"YYYYMMDD")&amp;"*"" /stext="" "&amp;TEXT(DDQ28-utc_offset/24,"HH")&amp;search_regexp&amp;""""</f>
        <v>#REF!</v>
      </c>
      <c r="DEO28" s="234" t="e">
        <f>astrogrep_path&amp;" /e /r /s /spath="&amp;search_path&amp;" /stypes=""app*"&amp;DDK28&amp;"*"&amp;TEXT(DDR28-utc_offset/24,"YYYYMMDD")&amp;"*"" /stext="" "&amp;TEXT(DDR28-utc_offset/24,"HH")&amp;search_regexp&amp;""""</f>
        <v>#REF!</v>
      </c>
      <c r="DEP28" s="234" t="e">
        <f>astrogrep_path&amp;" /e /r /s /spath="&amp;search_path&amp;" /stypes=""app*"&amp;DDL28&amp;"*"&amp;TEXT(DDS28-utc_offset/24,"YYYYMMDD")&amp;"*"" /stext="" "&amp;TEXT(DDS28-utc_offset/24,"HH")&amp;search_regexp&amp;""""</f>
        <v>#REF!</v>
      </c>
      <c r="DEQ28" s="234" t="e">
        <f>astrogrep_path&amp;" /e /r /s /spath="&amp;search_path&amp;" /stypes=""app*"&amp;DDM28&amp;"*"&amp;TEXT(DDT28-utc_offset/24,"YYYYMMDD")&amp;"*"" /stext="" "&amp;TEXT(DDT28-utc_offset/24,"HH")&amp;search_regexp&amp;""""</f>
        <v>#VALUE!</v>
      </c>
      <c r="DER28" s="234" t="e">
        <f>astrogrep_path&amp;" /e /r /s /spath="&amp;search_path&amp;" /stypes=""app*"&amp;DDN28&amp;"*"&amp;TEXT(DDU28-utc_offset/24,"YYYYMMDD")&amp;"*"" /stext="" "&amp;TEXT(DDU28-utc_offset/24,"HH")&amp;search_regexp&amp;""""</f>
        <v>#VALUE!</v>
      </c>
      <c r="DES28" s="234" t="e">
        <f>astrogrep_path&amp;" /e /r /s /spath="&amp;search_path&amp;" /stypes=""app*"&amp;DDO28&amp;"*"&amp;TEXT(DDV28-utc_offset/24,"YYYYMMDD")&amp;"*"" /stext="" "&amp;TEXT(DDV28-utc_offset/24,"HH")&amp;search_regexp&amp;""""</f>
        <v>#REF!</v>
      </c>
      <c r="DET28" s="234" t="e">
        <f>astrogrep_path&amp;" /e /r /s /spath="&amp;search_path&amp;" /stypes=""app*"&amp;DDP28&amp;"*"&amp;TEXT(DDW28-utc_offset/24,"YYYYMMDD")&amp;"*"" /stext="" "&amp;TEXT(DDW28-utc_offset/24,"HH")&amp;search_regexp&amp;""""</f>
        <v>#REF!</v>
      </c>
      <c r="DEU28" s="234" t="e">
        <f>astrogrep_path&amp;" /e /r /s /spath="&amp;search_path&amp;" /stypes=""app*"&amp;DDQ28&amp;"*"&amp;TEXT(DDX28-utc_offset/24,"YYYYMMDD")&amp;"*"" /stext="" "&amp;TEXT(DDX28-utc_offset/24,"HH")&amp;search_regexp&amp;""""</f>
        <v>#VALUE!</v>
      </c>
      <c r="DEV28" s="234" t="e">
        <f>astrogrep_path&amp;" /e /r /s /spath="&amp;search_path&amp;" /stypes=""app*"&amp;DDR28&amp;"*"&amp;TEXT(DDY28-utc_offset/24,"YYYYMMDD")&amp;"*"" /stext="" "&amp;TEXT(DDY28-utc_offset/24,"HH")&amp;search_regexp&amp;""""</f>
        <v>#VALUE!</v>
      </c>
      <c r="DEW28" s="234" t="e">
        <f>astrogrep_path&amp;" /e /r /s /spath="&amp;search_path&amp;" /stypes=""app*"&amp;DDS28&amp;"*"&amp;TEXT(DDZ28-utc_offset/24,"YYYYMMDD")&amp;"*"" /stext="" "&amp;TEXT(DDZ28-utc_offset/24,"HH")&amp;search_regexp&amp;""""</f>
        <v>#VALUE!</v>
      </c>
      <c r="DEX28" s="234" t="e">
        <f>astrogrep_path&amp;" /e /r /s /spath="&amp;search_path&amp;" /stypes=""app*"&amp;DDT28&amp;"*"&amp;TEXT(DEA28-utc_offset/24,"YYYYMMDD")&amp;"*"" /stext="" "&amp;TEXT(DEA28-utc_offset/24,"HH")&amp;search_regexp&amp;""""</f>
        <v>#VALUE!</v>
      </c>
      <c r="DEY28" s="234" t="e">
        <f>astrogrep_path&amp;" /e /r /s /spath="&amp;search_path&amp;" /stypes=""app*"&amp;DDU28&amp;"*"&amp;TEXT(DEB28-utc_offset/24,"YYYYMMDD")&amp;"*"" /stext="" "&amp;TEXT(DEB28-utc_offset/24,"HH")&amp;search_regexp&amp;""""</f>
        <v>#VALUE!</v>
      </c>
      <c r="DEZ28" s="234" t="e">
        <f>astrogrep_path&amp;" /e /r /s /spath="&amp;search_path&amp;" /stypes=""app*"&amp;DDV28&amp;"*"&amp;TEXT(DEC28-utc_offset/24,"YYYYMMDD")&amp;"*"" /stext="" "&amp;TEXT(DEC28-utc_offset/24,"HH")&amp;search_regexp&amp;""""</f>
        <v>#REF!</v>
      </c>
      <c r="DFA28" s="234" t="e">
        <f>astrogrep_path&amp;" /e /r /s /spath="&amp;search_path&amp;" /stypes=""app*"&amp;DDW28&amp;"*"&amp;TEXT(DED28-utc_offset/24,"YYYYMMDD")&amp;"*"" /stext="" "&amp;TEXT(DED28-utc_offset/24,"HH")&amp;search_regexp&amp;""""</f>
        <v>#REF!</v>
      </c>
      <c r="DFB28" s="234" t="e">
        <f>astrogrep_path&amp;" /e /r /s /spath="&amp;search_path&amp;" /stypes=""app*"&amp;DDX28&amp;"*"&amp;TEXT(DEE28-utc_offset/24,"YYYYMMDD")&amp;"*"" /stext="" "&amp;TEXT(DEE28-utc_offset/24,"HH")&amp;search_regexp&amp;""""</f>
        <v>#REF!</v>
      </c>
      <c r="DFC28" s="234" t="e">
        <f>astrogrep_path&amp;" /e /r /s /spath="&amp;search_path&amp;" /stypes=""app*"&amp;DDY28&amp;"*"&amp;TEXT(DEF28-utc_offset/24,"YYYYMMDD")&amp;"*"" /stext="" "&amp;TEXT(DEF28-utc_offset/24,"HH")&amp;search_regexp&amp;""""</f>
        <v>#REF!</v>
      </c>
      <c r="DFD28" s="234" t="e">
        <f>astrogrep_path&amp;" /e /r /s /spath="&amp;search_path&amp;" /stypes=""app*"&amp;DDZ28&amp;"*"&amp;TEXT(DEG28-utc_offset/24,"YYYYMMDD")&amp;"*"" /stext="" "&amp;TEXT(DEG28-utc_offset/24,"HH")&amp;search_regexp&amp;""""</f>
        <v>#REF!</v>
      </c>
      <c r="DFE28" s="234" t="e">
        <f>astrogrep_path&amp;" /e /r /s /spath="&amp;search_path&amp;" /stypes=""app*"&amp;DEA28&amp;"*"&amp;TEXT(DEH28-utc_offset/24,"YYYYMMDD")&amp;"*"" /stext="" "&amp;TEXT(DEH28-utc_offset/24,"HH")&amp;search_regexp&amp;""""</f>
        <v>#REF!</v>
      </c>
      <c r="DFF28" s="234" t="e">
        <f>astrogrep_path&amp;" /e /r /s /spath="&amp;search_path&amp;" /stypes=""app*"&amp;DEB28&amp;"*"&amp;TEXT(DEI28-utc_offset/24,"YYYYMMDD")&amp;"*"" /stext="" "&amp;TEXT(DEI28-utc_offset/24,"HH")&amp;search_regexp&amp;""""</f>
        <v>#REF!</v>
      </c>
      <c r="DFG28" s="234" t="e">
        <f>astrogrep_path&amp;" /e /r /s /spath="&amp;search_path&amp;" /stypes=""app*"&amp;DEC28&amp;"*"&amp;TEXT(DEJ28-utc_offset/24,"YYYYMMDD")&amp;"*"" /stext="" "&amp;TEXT(DEJ28-utc_offset/24,"HH")&amp;search_regexp&amp;""""</f>
        <v>#REF!</v>
      </c>
      <c r="DFH28" s="234" t="e">
        <f>astrogrep_path&amp;" /e /r /s /spath="&amp;search_path&amp;" /stypes=""app*"&amp;DED28&amp;"*"&amp;TEXT(DEK28-utc_offset/24,"YYYYMMDD")&amp;"*"" /stext="" "&amp;TEXT(DEK28-utc_offset/24,"HH")&amp;search_regexp&amp;""""</f>
        <v>#REF!</v>
      </c>
      <c r="DFI28" s="234" t="e">
        <f>astrogrep_path&amp;" /e /r /s /spath="&amp;search_path&amp;" /stypes=""app*"&amp;DEE28&amp;"*"&amp;TEXT(DEL28-utc_offset/24,"YYYYMMDD")&amp;"*"" /stext="" "&amp;TEXT(DEL28-utc_offset/24,"HH")&amp;search_regexp&amp;""""</f>
        <v>#REF!</v>
      </c>
      <c r="DFJ28" s="234" t="e">
        <f>astrogrep_path&amp;" /e /r /s /spath="&amp;search_path&amp;" /stypes=""app*"&amp;DEF28&amp;"*"&amp;TEXT(DEM28-utc_offset/24,"YYYYMMDD")&amp;"*"" /stext="" "&amp;TEXT(DEM28-utc_offset/24,"HH")&amp;search_regexp&amp;""""</f>
        <v>#REF!</v>
      </c>
      <c r="DFK28" s="234" t="e">
        <f>astrogrep_path&amp;" /e /r /s /spath="&amp;search_path&amp;" /stypes=""app*"&amp;DEG28&amp;"*"&amp;TEXT(DEN28-utc_offset/24,"YYYYMMDD")&amp;"*"" /stext="" "&amp;TEXT(DEN28-utc_offset/24,"HH")&amp;search_regexp&amp;""""</f>
        <v>#REF!</v>
      </c>
      <c r="DFL28" s="234" t="e">
        <f>astrogrep_path&amp;" /e /r /s /spath="&amp;search_path&amp;" /stypes=""app*"&amp;DEH28&amp;"*"&amp;TEXT(DEO28-utc_offset/24,"YYYYMMDD")&amp;"*"" /stext="" "&amp;TEXT(DEO28-utc_offset/24,"HH")&amp;search_regexp&amp;""""</f>
        <v>#REF!</v>
      </c>
      <c r="DFM28" s="234" t="e">
        <f>astrogrep_path&amp;" /e /r /s /spath="&amp;search_path&amp;" /stypes=""app*"&amp;DEI28&amp;"*"&amp;TEXT(DEP28-utc_offset/24,"YYYYMMDD")&amp;"*"" /stext="" "&amp;TEXT(DEP28-utc_offset/24,"HH")&amp;search_regexp&amp;""""</f>
        <v>#REF!</v>
      </c>
      <c r="DFN28" s="234" t="e">
        <f>astrogrep_path&amp;" /e /r /s /spath="&amp;search_path&amp;" /stypes=""app*"&amp;DEJ28&amp;"*"&amp;TEXT(DEQ28-utc_offset/24,"YYYYMMDD")&amp;"*"" /stext="" "&amp;TEXT(DEQ28-utc_offset/24,"HH")&amp;search_regexp&amp;""""</f>
        <v>#REF!</v>
      </c>
      <c r="DFO28" s="234" t="e">
        <f>astrogrep_path&amp;" /e /r /s /spath="&amp;search_path&amp;" /stypes=""app*"&amp;DEK28&amp;"*"&amp;TEXT(DER28-utc_offset/24,"YYYYMMDD")&amp;"*"" /stext="" "&amp;TEXT(DER28-utc_offset/24,"HH")&amp;search_regexp&amp;""""</f>
        <v>#REF!</v>
      </c>
      <c r="DFP28" s="234" t="e">
        <f>astrogrep_path&amp;" /e /r /s /spath="&amp;search_path&amp;" /stypes=""app*"&amp;DEL28&amp;"*"&amp;TEXT(DES28-utc_offset/24,"YYYYMMDD")&amp;"*"" /stext="" "&amp;TEXT(DES28-utc_offset/24,"HH")&amp;search_regexp&amp;""""</f>
        <v>#REF!</v>
      </c>
      <c r="DFQ28" s="234" t="e">
        <f>astrogrep_path&amp;" /e /r /s /spath="&amp;search_path&amp;" /stypes=""app*"&amp;DEM28&amp;"*"&amp;TEXT(DET28-utc_offset/24,"YYYYMMDD")&amp;"*"" /stext="" "&amp;TEXT(DET28-utc_offset/24,"HH")&amp;search_regexp&amp;""""</f>
        <v>#REF!</v>
      </c>
      <c r="DFR28" s="234" t="e">
        <f>astrogrep_path&amp;" /e /r /s /spath="&amp;search_path&amp;" /stypes=""app*"&amp;DEN28&amp;"*"&amp;TEXT(DEU28-utc_offset/24,"YYYYMMDD")&amp;"*"" /stext="" "&amp;TEXT(DEU28-utc_offset/24,"HH")&amp;search_regexp&amp;""""</f>
        <v>#REF!</v>
      </c>
      <c r="DFS28" s="234" t="e">
        <f>astrogrep_path&amp;" /e /r /s /spath="&amp;search_path&amp;" /stypes=""app*"&amp;DEO28&amp;"*"&amp;TEXT(DEV28-utc_offset/24,"YYYYMMDD")&amp;"*"" /stext="" "&amp;TEXT(DEV28-utc_offset/24,"HH")&amp;search_regexp&amp;""""</f>
        <v>#REF!</v>
      </c>
      <c r="DFT28" s="234" t="e">
        <f>astrogrep_path&amp;" /e /r /s /spath="&amp;search_path&amp;" /stypes=""app*"&amp;DEP28&amp;"*"&amp;TEXT(DEW28-utc_offset/24,"YYYYMMDD")&amp;"*"" /stext="" "&amp;TEXT(DEW28-utc_offset/24,"HH")&amp;search_regexp&amp;""""</f>
        <v>#REF!</v>
      </c>
      <c r="DFU28" s="234" t="e">
        <f>astrogrep_path&amp;" /e /r /s /spath="&amp;search_path&amp;" /stypes=""app*"&amp;DEQ28&amp;"*"&amp;TEXT(DEX28-utc_offset/24,"YYYYMMDD")&amp;"*"" /stext="" "&amp;TEXT(DEX28-utc_offset/24,"HH")&amp;search_regexp&amp;""""</f>
        <v>#VALUE!</v>
      </c>
      <c r="DFV28" s="234" t="e">
        <f>astrogrep_path&amp;" /e /r /s /spath="&amp;search_path&amp;" /stypes=""app*"&amp;DER28&amp;"*"&amp;TEXT(DEY28-utc_offset/24,"YYYYMMDD")&amp;"*"" /stext="" "&amp;TEXT(DEY28-utc_offset/24,"HH")&amp;search_regexp&amp;""""</f>
        <v>#VALUE!</v>
      </c>
      <c r="DFW28" s="234" t="e">
        <f>astrogrep_path&amp;" /e /r /s /spath="&amp;search_path&amp;" /stypes=""app*"&amp;DES28&amp;"*"&amp;TEXT(DEZ28-utc_offset/24,"YYYYMMDD")&amp;"*"" /stext="" "&amp;TEXT(DEZ28-utc_offset/24,"HH")&amp;search_regexp&amp;""""</f>
        <v>#REF!</v>
      </c>
      <c r="DFX28" s="234" t="e">
        <f>astrogrep_path&amp;" /e /r /s /spath="&amp;search_path&amp;" /stypes=""app*"&amp;DET28&amp;"*"&amp;TEXT(DFA28-utc_offset/24,"YYYYMMDD")&amp;"*"" /stext="" "&amp;TEXT(DFA28-utc_offset/24,"HH")&amp;search_regexp&amp;""""</f>
        <v>#REF!</v>
      </c>
      <c r="DFY28" s="234" t="e">
        <f>astrogrep_path&amp;" /e /r /s /spath="&amp;search_path&amp;" /stypes=""app*"&amp;DEU28&amp;"*"&amp;TEXT(DFB28-utc_offset/24,"YYYYMMDD")&amp;"*"" /stext="" "&amp;TEXT(DFB28-utc_offset/24,"HH")&amp;search_regexp&amp;""""</f>
        <v>#VALUE!</v>
      </c>
      <c r="DFZ28" s="234" t="e">
        <f>astrogrep_path&amp;" /e /r /s /spath="&amp;search_path&amp;" /stypes=""app*"&amp;DEV28&amp;"*"&amp;TEXT(DFC28-utc_offset/24,"YYYYMMDD")&amp;"*"" /stext="" "&amp;TEXT(DFC28-utc_offset/24,"HH")&amp;search_regexp&amp;""""</f>
        <v>#VALUE!</v>
      </c>
      <c r="DGA28" s="234" t="e">
        <f>astrogrep_path&amp;" /e /r /s /spath="&amp;search_path&amp;" /stypes=""app*"&amp;DEW28&amp;"*"&amp;TEXT(DFD28-utc_offset/24,"YYYYMMDD")&amp;"*"" /stext="" "&amp;TEXT(DFD28-utc_offset/24,"HH")&amp;search_regexp&amp;""""</f>
        <v>#VALUE!</v>
      </c>
      <c r="DGB28" s="234" t="e">
        <f>astrogrep_path&amp;" /e /r /s /spath="&amp;search_path&amp;" /stypes=""app*"&amp;DEX28&amp;"*"&amp;TEXT(DFE28-utc_offset/24,"YYYYMMDD")&amp;"*"" /stext="" "&amp;TEXT(DFE28-utc_offset/24,"HH")&amp;search_regexp&amp;""""</f>
        <v>#VALUE!</v>
      </c>
      <c r="DGC28" s="234" t="e">
        <f>astrogrep_path&amp;" /e /r /s /spath="&amp;search_path&amp;" /stypes=""app*"&amp;DEY28&amp;"*"&amp;TEXT(DFF28-utc_offset/24,"YYYYMMDD")&amp;"*"" /stext="" "&amp;TEXT(DFF28-utc_offset/24,"HH")&amp;search_regexp&amp;""""</f>
        <v>#VALUE!</v>
      </c>
      <c r="DGD28" s="234" t="e">
        <f>astrogrep_path&amp;" /e /r /s /spath="&amp;search_path&amp;" /stypes=""app*"&amp;DEZ28&amp;"*"&amp;TEXT(DFG28-utc_offset/24,"YYYYMMDD")&amp;"*"" /stext="" "&amp;TEXT(DFG28-utc_offset/24,"HH")&amp;search_regexp&amp;""""</f>
        <v>#REF!</v>
      </c>
      <c r="DGE28" s="234" t="e">
        <f>astrogrep_path&amp;" /e /r /s /spath="&amp;search_path&amp;" /stypes=""app*"&amp;DFA28&amp;"*"&amp;TEXT(DFH28-utc_offset/24,"YYYYMMDD")&amp;"*"" /stext="" "&amp;TEXT(DFH28-utc_offset/24,"HH")&amp;search_regexp&amp;""""</f>
        <v>#REF!</v>
      </c>
      <c r="DGF28" s="234" t="e">
        <f>astrogrep_path&amp;" /e /r /s /spath="&amp;search_path&amp;" /stypes=""app*"&amp;DFB28&amp;"*"&amp;TEXT(DFI28-utc_offset/24,"YYYYMMDD")&amp;"*"" /stext="" "&amp;TEXT(DFI28-utc_offset/24,"HH")&amp;search_regexp&amp;""""</f>
        <v>#REF!</v>
      </c>
      <c r="DGG28" s="234" t="e">
        <f>astrogrep_path&amp;" /e /r /s /spath="&amp;search_path&amp;" /stypes=""app*"&amp;DFC28&amp;"*"&amp;TEXT(DFJ28-utc_offset/24,"YYYYMMDD")&amp;"*"" /stext="" "&amp;TEXT(DFJ28-utc_offset/24,"HH")&amp;search_regexp&amp;""""</f>
        <v>#REF!</v>
      </c>
      <c r="DGH28" s="234" t="e">
        <f>astrogrep_path&amp;" /e /r /s /spath="&amp;search_path&amp;" /stypes=""app*"&amp;DFD28&amp;"*"&amp;TEXT(DFK28-utc_offset/24,"YYYYMMDD")&amp;"*"" /stext="" "&amp;TEXT(DFK28-utc_offset/24,"HH")&amp;search_regexp&amp;""""</f>
        <v>#REF!</v>
      </c>
      <c r="DGI28" s="234" t="e">
        <f>astrogrep_path&amp;" /e /r /s /spath="&amp;search_path&amp;" /stypes=""app*"&amp;DFE28&amp;"*"&amp;TEXT(DFL28-utc_offset/24,"YYYYMMDD")&amp;"*"" /stext="" "&amp;TEXT(DFL28-utc_offset/24,"HH")&amp;search_regexp&amp;""""</f>
        <v>#REF!</v>
      </c>
      <c r="DGJ28" s="234" t="e">
        <f>astrogrep_path&amp;" /e /r /s /spath="&amp;search_path&amp;" /stypes=""app*"&amp;DFF28&amp;"*"&amp;TEXT(DFM28-utc_offset/24,"YYYYMMDD")&amp;"*"" /stext="" "&amp;TEXT(DFM28-utc_offset/24,"HH")&amp;search_regexp&amp;""""</f>
        <v>#REF!</v>
      </c>
      <c r="DGK28" s="234" t="e">
        <f>astrogrep_path&amp;" /e /r /s /spath="&amp;search_path&amp;" /stypes=""app*"&amp;DFG28&amp;"*"&amp;TEXT(DFN28-utc_offset/24,"YYYYMMDD")&amp;"*"" /stext="" "&amp;TEXT(DFN28-utc_offset/24,"HH")&amp;search_regexp&amp;""""</f>
        <v>#REF!</v>
      </c>
      <c r="DGL28" s="234" t="e">
        <f>astrogrep_path&amp;" /e /r /s /spath="&amp;search_path&amp;" /stypes=""app*"&amp;DFH28&amp;"*"&amp;TEXT(DFO28-utc_offset/24,"YYYYMMDD")&amp;"*"" /stext="" "&amp;TEXT(DFO28-utc_offset/24,"HH")&amp;search_regexp&amp;""""</f>
        <v>#REF!</v>
      </c>
      <c r="DGM28" s="234" t="e">
        <f>astrogrep_path&amp;" /e /r /s /spath="&amp;search_path&amp;" /stypes=""app*"&amp;DFI28&amp;"*"&amp;TEXT(DFP28-utc_offset/24,"YYYYMMDD")&amp;"*"" /stext="" "&amp;TEXT(DFP28-utc_offset/24,"HH")&amp;search_regexp&amp;""""</f>
        <v>#REF!</v>
      </c>
      <c r="DGN28" s="234" t="e">
        <f>astrogrep_path&amp;" /e /r /s /spath="&amp;search_path&amp;" /stypes=""app*"&amp;DFJ28&amp;"*"&amp;TEXT(DFQ28-utc_offset/24,"YYYYMMDD")&amp;"*"" /stext="" "&amp;TEXT(DFQ28-utc_offset/24,"HH")&amp;search_regexp&amp;""""</f>
        <v>#REF!</v>
      </c>
      <c r="DGO28" s="234" t="e">
        <f>astrogrep_path&amp;" /e /r /s /spath="&amp;search_path&amp;" /stypes=""app*"&amp;DFK28&amp;"*"&amp;TEXT(DFR28-utc_offset/24,"YYYYMMDD")&amp;"*"" /stext="" "&amp;TEXT(DFR28-utc_offset/24,"HH")&amp;search_regexp&amp;""""</f>
        <v>#REF!</v>
      </c>
      <c r="DGP28" s="234" t="e">
        <f>astrogrep_path&amp;" /e /r /s /spath="&amp;search_path&amp;" /stypes=""app*"&amp;DFL28&amp;"*"&amp;TEXT(DFS28-utc_offset/24,"YYYYMMDD")&amp;"*"" /stext="" "&amp;TEXT(DFS28-utc_offset/24,"HH")&amp;search_regexp&amp;""""</f>
        <v>#REF!</v>
      </c>
      <c r="DGQ28" s="234" t="e">
        <f>astrogrep_path&amp;" /e /r /s /spath="&amp;search_path&amp;" /stypes=""app*"&amp;DFM28&amp;"*"&amp;TEXT(DFT28-utc_offset/24,"YYYYMMDD")&amp;"*"" /stext="" "&amp;TEXT(DFT28-utc_offset/24,"HH")&amp;search_regexp&amp;""""</f>
        <v>#REF!</v>
      </c>
      <c r="DGR28" s="234" t="e">
        <f>astrogrep_path&amp;" /e /r /s /spath="&amp;search_path&amp;" /stypes=""app*"&amp;DFN28&amp;"*"&amp;TEXT(DFU28-utc_offset/24,"YYYYMMDD")&amp;"*"" /stext="" "&amp;TEXT(DFU28-utc_offset/24,"HH")&amp;search_regexp&amp;""""</f>
        <v>#REF!</v>
      </c>
      <c r="DGS28" s="234" t="e">
        <f>astrogrep_path&amp;" /e /r /s /spath="&amp;search_path&amp;" /stypes=""app*"&amp;DFO28&amp;"*"&amp;TEXT(DFV28-utc_offset/24,"YYYYMMDD")&amp;"*"" /stext="" "&amp;TEXT(DFV28-utc_offset/24,"HH")&amp;search_regexp&amp;""""</f>
        <v>#REF!</v>
      </c>
      <c r="DGT28" s="234" t="e">
        <f>astrogrep_path&amp;" /e /r /s /spath="&amp;search_path&amp;" /stypes=""app*"&amp;DFP28&amp;"*"&amp;TEXT(DFW28-utc_offset/24,"YYYYMMDD")&amp;"*"" /stext="" "&amp;TEXT(DFW28-utc_offset/24,"HH")&amp;search_regexp&amp;""""</f>
        <v>#REF!</v>
      </c>
      <c r="DGU28" s="234" t="e">
        <f>astrogrep_path&amp;" /e /r /s /spath="&amp;search_path&amp;" /stypes=""app*"&amp;DFQ28&amp;"*"&amp;TEXT(DFX28-utc_offset/24,"YYYYMMDD")&amp;"*"" /stext="" "&amp;TEXT(DFX28-utc_offset/24,"HH")&amp;search_regexp&amp;""""</f>
        <v>#REF!</v>
      </c>
      <c r="DGV28" s="234" t="e">
        <f>astrogrep_path&amp;" /e /r /s /spath="&amp;search_path&amp;" /stypes=""app*"&amp;DFR28&amp;"*"&amp;TEXT(DFY28-utc_offset/24,"YYYYMMDD")&amp;"*"" /stext="" "&amp;TEXT(DFY28-utc_offset/24,"HH")&amp;search_regexp&amp;""""</f>
        <v>#REF!</v>
      </c>
      <c r="DGW28" s="234" t="e">
        <f>astrogrep_path&amp;" /e /r /s /spath="&amp;search_path&amp;" /stypes=""app*"&amp;DFS28&amp;"*"&amp;TEXT(DFZ28-utc_offset/24,"YYYYMMDD")&amp;"*"" /stext="" "&amp;TEXT(DFZ28-utc_offset/24,"HH")&amp;search_regexp&amp;""""</f>
        <v>#REF!</v>
      </c>
      <c r="DGX28" s="234" t="e">
        <f>astrogrep_path&amp;" /e /r /s /spath="&amp;search_path&amp;" /stypes=""app*"&amp;DFT28&amp;"*"&amp;TEXT(DGA28-utc_offset/24,"YYYYMMDD")&amp;"*"" /stext="" "&amp;TEXT(DGA28-utc_offset/24,"HH")&amp;search_regexp&amp;""""</f>
        <v>#REF!</v>
      </c>
      <c r="DGY28" s="234" t="e">
        <f>astrogrep_path&amp;" /e /r /s /spath="&amp;search_path&amp;" /stypes=""app*"&amp;DFU28&amp;"*"&amp;TEXT(DGB28-utc_offset/24,"YYYYMMDD")&amp;"*"" /stext="" "&amp;TEXT(DGB28-utc_offset/24,"HH")&amp;search_regexp&amp;""""</f>
        <v>#VALUE!</v>
      </c>
      <c r="DGZ28" s="234" t="e">
        <f>astrogrep_path&amp;" /e /r /s /spath="&amp;search_path&amp;" /stypes=""app*"&amp;DFV28&amp;"*"&amp;TEXT(DGC28-utc_offset/24,"YYYYMMDD")&amp;"*"" /stext="" "&amp;TEXT(DGC28-utc_offset/24,"HH")&amp;search_regexp&amp;""""</f>
        <v>#VALUE!</v>
      </c>
      <c r="DHA28" s="234" t="e">
        <f>astrogrep_path&amp;" /e /r /s /spath="&amp;search_path&amp;" /stypes=""app*"&amp;DFW28&amp;"*"&amp;TEXT(DGD28-utc_offset/24,"YYYYMMDD")&amp;"*"" /stext="" "&amp;TEXT(DGD28-utc_offset/24,"HH")&amp;search_regexp&amp;""""</f>
        <v>#REF!</v>
      </c>
      <c r="DHB28" s="234" t="e">
        <f>astrogrep_path&amp;" /e /r /s /spath="&amp;search_path&amp;" /stypes=""app*"&amp;DFX28&amp;"*"&amp;TEXT(DGE28-utc_offset/24,"YYYYMMDD")&amp;"*"" /stext="" "&amp;TEXT(DGE28-utc_offset/24,"HH")&amp;search_regexp&amp;""""</f>
        <v>#REF!</v>
      </c>
      <c r="DHC28" s="234" t="e">
        <f>astrogrep_path&amp;" /e /r /s /spath="&amp;search_path&amp;" /stypes=""app*"&amp;DFY28&amp;"*"&amp;TEXT(DGF28-utc_offset/24,"YYYYMMDD")&amp;"*"" /stext="" "&amp;TEXT(DGF28-utc_offset/24,"HH")&amp;search_regexp&amp;""""</f>
        <v>#VALUE!</v>
      </c>
      <c r="DHD28" s="234" t="e">
        <f>astrogrep_path&amp;" /e /r /s /spath="&amp;search_path&amp;" /stypes=""app*"&amp;DFZ28&amp;"*"&amp;TEXT(DGG28-utc_offset/24,"YYYYMMDD")&amp;"*"" /stext="" "&amp;TEXT(DGG28-utc_offset/24,"HH")&amp;search_regexp&amp;""""</f>
        <v>#VALUE!</v>
      </c>
      <c r="DHE28" s="234" t="e">
        <f>astrogrep_path&amp;" /e /r /s /spath="&amp;search_path&amp;" /stypes=""app*"&amp;DGA28&amp;"*"&amp;TEXT(DGH28-utc_offset/24,"YYYYMMDD")&amp;"*"" /stext="" "&amp;TEXT(DGH28-utc_offset/24,"HH")&amp;search_regexp&amp;""""</f>
        <v>#VALUE!</v>
      </c>
      <c r="DHF28" s="234" t="e">
        <f>astrogrep_path&amp;" /e /r /s /spath="&amp;search_path&amp;" /stypes=""app*"&amp;DGB28&amp;"*"&amp;TEXT(DGI28-utc_offset/24,"YYYYMMDD")&amp;"*"" /stext="" "&amp;TEXT(DGI28-utc_offset/24,"HH")&amp;search_regexp&amp;""""</f>
        <v>#VALUE!</v>
      </c>
      <c r="DHG28" s="234" t="e">
        <f>astrogrep_path&amp;" /e /r /s /spath="&amp;search_path&amp;" /stypes=""app*"&amp;DGC28&amp;"*"&amp;TEXT(DGJ28-utc_offset/24,"YYYYMMDD")&amp;"*"" /stext="" "&amp;TEXT(DGJ28-utc_offset/24,"HH")&amp;search_regexp&amp;""""</f>
        <v>#VALUE!</v>
      </c>
      <c r="DHH28" s="234" t="e">
        <f>astrogrep_path&amp;" /e /r /s /spath="&amp;search_path&amp;" /stypes=""app*"&amp;DGD28&amp;"*"&amp;TEXT(DGK28-utc_offset/24,"YYYYMMDD")&amp;"*"" /stext="" "&amp;TEXT(DGK28-utc_offset/24,"HH")&amp;search_regexp&amp;""""</f>
        <v>#REF!</v>
      </c>
      <c r="DHI28" s="234" t="e">
        <f>astrogrep_path&amp;" /e /r /s /spath="&amp;search_path&amp;" /stypes=""app*"&amp;DGE28&amp;"*"&amp;TEXT(DGL28-utc_offset/24,"YYYYMMDD")&amp;"*"" /stext="" "&amp;TEXT(DGL28-utc_offset/24,"HH")&amp;search_regexp&amp;""""</f>
        <v>#REF!</v>
      </c>
      <c r="DHJ28" s="234" t="e">
        <f>astrogrep_path&amp;" /e /r /s /spath="&amp;search_path&amp;" /stypes=""app*"&amp;DGF28&amp;"*"&amp;TEXT(DGM28-utc_offset/24,"YYYYMMDD")&amp;"*"" /stext="" "&amp;TEXT(DGM28-utc_offset/24,"HH")&amp;search_regexp&amp;""""</f>
        <v>#REF!</v>
      </c>
      <c r="DHK28" s="234" t="e">
        <f>astrogrep_path&amp;" /e /r /s /spath="&amp;search_path&amp;" /stypes=""app*"&amp;DGG28&amp;"*"&amp;TEXT(DGN28-utc_offset/24,"YYYYMMDD")&amp;"*"" /stext="" "&amp;TEXT(DGN28-utc_offset/24,"HH")&amp;search_regexp&amp;""""</f>
        <v>#REF!</v>
      </c>
      <c r="DHL28" s="234" t="e">
        <f>astrogrep_path&amp;" /e /r /s /spath="&amp;search_path&amp;" /stypes=""app*"&amp;DGH28&amp;"*"&amp;TEXT(DGO28-utc_offset/24,"YYYYMMDD")&amp;"*"" /stext="" "&amp;TEXT(DGO28-utc_offset/24,"HH")&amp;search_regexp&amp;""""</f>
        <v>#REF!</v>
      </c>
      <c r="DHM28" s="234" t="e">
        <f>astrogrep_path&amp;" /e /r /s /spath="&amp;search_path&amp;" /stypes=""app*"&amp;DGI28&amp;"*"&amp;TEXT(DGP28-utc_offset/24,"YYYYMMDD")&amp;"*"" /stext="" "&amp;TEXT(DGP28-utc_offset/24,"HH")&amp;search_regexp&amp;""""</f>
        <v>#REF!</v>
      </c>
      <c r="DHN28" s="234" t="e">
        <f>astrogrep_path&amp;" /e /r /s /spath="&amp;search_path&amp;" /stypes=""app*"&amp;DGJ28&amp;"*"&amp;TEXT(DGQ28-utc_offset/24,"YYYYMMDD")&amp;"*"" /stext="" "&amp;TEXT(DGQ28-utc_offset/24,"HH")&amp;search_regexp&amp;""""</f>
        <v>#REF!</v>
      </c>
      <c r="DHO28" s="234" t="e">
        <f>astrogrep_path&amp;" /e /r /s /spath="&amp;search_path&amp;" /stypes=""app*"&amp;DGK28&amp;"*"&amp;TEXT(DGR28-utc_offset/24,"YYYYMMDD")&amp;"*"" /stext="" "&amp;TEXT(DGR28-utc_offset/24,"HH")&amp;search_regexp&amp;""""</f>
        <v>#REF!</v>
      </c>
      <c r="DHP28" s="234" t="e">
        <f>astrogrep_path&amp;" /e /r /s /spath="&amp;search_path&amp;" /stypes=""app*"&amp;DGL28&amp;"*"&amp;TEXT(DGS28-utc_offset/24,"YYYYMMDD")&amp;"*"" /stext="" "&amp;TEXT(DGS28-utc_offset/24,"HH")&amp;search_regexp&amp;""""</f>
        <v>#REF!</v>
      </c>
      <c r="DHQ28" s="234" t="e">
        <f>astrogrep_path&amp;" /e /r /s /spath="&amp;search_path&amp;" /stypes=""app*"&amp;DGM28&amp;"*"&amp;TEXT(DGT28-utc_offset/24,"YYYYMMDD")&amp;"*"" /stext="" "&amp;TEXT(DGT28-utc_offset/24,"HH")&amp;search_regexp&amp;""""</f>
        <v>#REF!</v>
      </c>
      <c r="DHR28" s="234" t="e">
        <f>astrogrep_path&amp;" /e /r /s /spath="&amp;search_path&amp;" /stypes=""app*"&amp;DGN28&amp;"*"&amp;TEXT(DGU28-utc_offset/24,"YYYYMMDD")&amp;"*"" /stext="" "&amp;TEXT(DGU28-utc_offset/24,"HH")&amp;search_regexp&amp;""""</f>
        <v>#REF!</v>
      </c>
      <c r="DHS28" s="234" t="e">
        <f>astrogrep_path&amp;" /e /r /s /spath="&amp;search_path&amp;" /stypes=""app*"&amp;DGO28&amp;"*"&amp;TEXT(DGV28-utc_offset/24,"YYYYMMDD")&amp;"*"" /stext="" "&amp;TEXT(DGV28-utc_offset/24,"HH")&amp;search_regexp&amp;""""</f>
        <v>#REF!</v>
      </c>
      <c r="DHT28" s="234" t="e">
        <f>astrogrep_path&amp;" /e /r /s /spath="&amp;search_path&amp;" /stypes=""app*"&amp;DGP28&amp;"*"&amp;TEXT(DGW28-utc_offset/24,"YYYYMMDD")&amp;"*"" /stext="" "&amp;TEXT(DGW28-utc_offset/24,"HH")&amp;search_regexp&amp;""""</f>
        <v>#REF!</v>
      </c>
      <c r="DHU28" s="234" t="e">
        <f>astrogrep_path&amp;" /e /r /s /spath="&amp;search_path&amp;" /stypes=""app*"&amp;DGQ28&amp;"*"&amp;TEXT(DGX28-utc_offset/24,"YYYYMMDD")&amp;"*"" /stext="" "&amp;TEXT(DGX28-utc_offset/24,"HH")&amp;search_regexp&amp;""""</f>
        <v>#REF!</v>
      </c>
      <c r="DHV28" s="234" t="e">
        <f>astrogrep_path&amp;" /e /r /s /spath="&amp;search_path&amp;" /stypes=""app*"&amp;DGR28&amp;"*"&amp;TEXT(DGY28-utc_offset/24,"YYYYMMDD")&amp;"*"" /stext="" "&amp;TEXT(DGY28-utc_offset/24,"HH")&amp;search_regexp&amp;""""</f>
        <v>#REF!</v>
      </c>
      <c r="DHW28" s="234" t="e">
        <f>astrogrep_path&amp;" /e /r /s /spath="&amp;search_path&amp;" /stypes=""app*"&amp;DGS28&amp;"*"&amp;TEXT(DGZ28-utc_offset/24,"YYYYMMDD")&amp;"*"" /stext="" "&amp;TEXT(DGZ28-utc_offset/24,"HH")&amp;search_regexp&amp;""""</f>
        <v>#REF!</v>
      </c>
      <c r="DHX28" s="234" t="e">
        <f>astrogrep_path&amp;" /e /r /s /spath="&amp;search_path&amp;" /stypes=""app*"&amp;DGT28&amp;"*"&amp;TEXT(DHA28-utc_offset/24,"YYYYMMDD")&amp;"*"" /stext="" "&amp;TEXT(DHA28-utc_offset/24,"HH")&amp;search_regexp&amp;""""</f>
        <v>#REF!</v>
      </c>
      <c r="DHY28" s="234" t="e">
        <f>astrogrep_path&amp;" /e /r /s /spath="&amp;search_path&amp;" /stypes=""app*"&amp;DGU28&amp;"*"&amp;TEXT(DHB28-utc_offset/24,"YYYYMMDD")&amp;"*"" /stext="" "&amp;TEXT(DHB28-utc_offset/24,"HH")&amp;search_regexp&amp;""""</f>
        <v>#REF!</v>
      </c>
      <c r="DHZ28" s="234" t="e">
        <f>astrogrep_path&amp;" /e /r /s /spath="&amp;search_path&amp;" /stypes=""app*"&amp;DGV28&amp;"*"&amp;TEXT(DHC28-utc_offset/24,"YYYYMMDD")&amp;"*"" /stext="" "&amp;TEXT(DHC28-utc_offset/24,"HH")&amp;search_regexp&amp;""""</f>
        <v>#REF!</v>
      </c>
      <c r="DIA28" s="234" t="e">
        <f>astrogrep_path&amp;" /e /r /s /spath="&amp;search_path&amp;" /stypes=""app*"&amp;DGW28&amp;"*"&amp;TEXT(DHD28-utc_offset/24,"YYYYMMDD")&amp;"*"" /stext="" "&amp;TEXT(DHD28-utc_offset/24,"HH")&amp;search_regexp&amp;""""</f>
        <v>#REF!</v>
      </c>
      <c r="DIB28" s="234" t="e">
        <f>astrogrep_path&amp;" /e /r /s /spath="&amp;search_path&amp;" /stypes=""app*"&amp;DGX28&amp;"*"&amp;TEXT(DHE28-utc_offset/24,"YYYYMMDD")&amp;"*"" /stext="" "&amp;TEXT(DHE28-utc_offset/24,"HH")&amp;search_regexp&amp;""""</f>
        <v>#REF!</v>
      </c>
      <c r="DIC28" s="234" t="e">
        <f>astrogrep_path&amp;" /e /r /s /spath="&amp;search_path&amp;" /stypes=""app*"&amp;DGY28&amp;"*"&amp;TEXT(DHF28-utc_offset/24,"YYYYMMDD")&amp;"*"" /stext="" "&amp;TEXT(DHF28-utc_offset/24,"HH")&amp;search_regexp&amp;""""</f>
        <v>#VALUE!</v>
      </c>
      <c r="DID28" s="234" t="e">
        <f>astrogrep_path&amp;" /e /r /s /spath="&amp;search_path&amp;" /stypes=""app*"&amp;DGZ28&amp;"*"&amp;TEXT(DHG28-utc_offset/24,"YYYYMMDD")&amp;"*"" /stext="" "&amp;TEXT(DHG28-utc_offset/24,"HH")&amp;search_regexp&amp;""""</f>
        <v>#VALUE!</v>
      </c>
      <c r="DIE28" s="234" t="e">
        <f>astrogrep_path&amp;" /e /r /s /spath="&amp;search_path&amp;" /stypes=""app*"&amp;DHA28&amp;"*"&amp;TEXT(DHH28-utc_offset/24,"YYYYMMDD")&amp;"*"" /stext="" "&amp;TEXT(DHH28-utc_offset/24,"HH")&amp;search_regexp&amp;""""</f>
        <v>#REF!</v>
      </c>
      <c r="DIF28" s="234" t="e">
        <f>astrogrep_path&amp;" /e /r /s /spath="&amp;search_path&amp;" /stypes=""app*"&amp;DHB28&amp;"*"&amp;TEXT(DHI28-utc_offset/24,"YYYYMMDD")&amp;"*"" /stext="" "&amp;TEXT(DHI28-utc_offset/24,"HH")&amp;search_regexp&amp;""""</f>
        <v>#REF!</v>
      </c>
      <c r="DIG28" s="234" t="e">
        <f>astrogrep_path&amp;" /e /r /s /spath="&amp;search_path&amp;" /stypes=""app*"&amp;DHC28&amp;"*"&amp;TEXT(DHJ28-utc_offset/24,"YYYYMMDD")&amp;"*"" /stext="" "&amp;TEXT(DHJ28-utc_offset/24,"HH")&amp;search_regexp&amp;""""</f>
        <v>#VALUE!</v>
      </c>
      <c r="DIH28" s="234" t="e">
        <f>astrogrep_path&amp;" /e /r /s /spath="&amp;search_path&amp;" /stypes=""app*"&amp;DHD28&amp;"*"&amp;TEXT(DHK28-utc_offset/24,"YYYYMMDD")&amp;"*"" /stext="" "&amp;TEXT(DHK28-utc_offset/24,"HH")&amp;search_regexp&amp;""""</f>
        <v>#VALUE!</v>
      </c>
      <c r="DII28" s="234" t="e">
        <f>astrogrep_path&amp;" /e /r /s /spath="&amp;search_path&amp;" /stypes=""app*"&amp;DHE28&amp;"*"&amp;TEXT(DHL28-utc_offset/24,"YYYYMMDD")&amp;"*"" /stext="" "&amp;TEXT(DHL28-utc_offset/24,"HH")&amp;search_regexp&amp;""""</f>
        <v>#VALUE!</v>
      </c>
      <c r="DIJ28" s="234" t="e">
        <f>astrogrep_path&amp;" /e /r /s /spath="&amp;search_path&amp;" /stypes=""app*"&amp;DHF28&amp;"*"&amp;TEXT(DHM28-utc_offset/24,"YYYYMMDD")&amp;"*"" /stext="" "&amp;TEXT(DHM28-utc_offset/24,"HH")&amp;search_regexp&amp;""""</f>
        <v>#VALUE!</v>
      </c>
      <c r="DIK28" s="234" t="e">
        <f>astrogrep_path&amp;" /e /r /s /spath="&amp;search_path&amp;" /stypes=""app*"&amp;DHG28&amp;"*"&amp;TEXT(DHN28-utc_offset/24,"YYYYMMDD")&amp;"*"" /stext="" "&amp;TEXT(DHN28-utc_offset/24,"HH")&amp;search_regexp&amp;""""</f>
        <v>#VALUE!</v>
      </c>
      <c r="DIL28" s="234" t="e">
        <f>astrogrep_path&amp;" /e /r /s /spath="&amp;search_path&amp;" /stypes=""app*"&amp;DHH28&amp;"*"&amp;TEXT(DHO28-utc_offset/24,"YYYYMMDD")&amp;"*"" /stext="" "&amp;TEXT(DHO28-utc_offset/24,"HH")&amp;search_regexp&amp;""""</f>
        <v>#REF!</v>
      </c>
      <c r="DIM28" s="234" t="e">
        <f>astrogrep_path&amp;" /e /r /s /spath="&amp;search_path&amp;" /stypes=""app*"&amp;DHI28&amp;"*"&amp;TEXT(DHP28-utc_offset/24,"YYYYMMDD")&amp;"*"" /stext="" "&amp;TEXT(DHP28-utc_offset/24,"HH")&amp;search_regexp&amp;""""</f>
        <v>#REF!</v>
      </c>
      <c r="DIN28" s="234" t="e">
        <f>astrogrep_path&amp;" /e /r /s /spath="&amp;search_path&amp;" /stypes=""app*"&amp;DHJ28&amp;"*"&amp;TEXT(DHQ28-utc_offset/24,"YYYYMMDD")&amp;"*"" /stext="" "&amp;TEXT(DHQ28-utc_offset/24,"HH")&amp;search_regexp&amp;""""</f>
        <v>#REF!</v>
      </c>
      <c r="DIO28" s="234" t="e">
        <f>astrogrep_path&amp;" /e /r /s /spath="&amp;search_path&amp;" /stypes=""app*"&amp;DHK28&amp;"*"&amp;TEXT(DHR28-utc_offset/24,"YYYYMMDD")&amp;"*"" /stext="" "&amp;TEXT(DHR28-utc_offset/24,"HH")&amp;search_regexp&amp;""""</f>
        <v>#REF!</v>
      </c>
      <c r="DIP28" s="234" t="e">
        <f>astrogrep_path&amp;" /e /r /s /spath="&amp;search_path&amp;" /stypes=""app*"&amp;DHL28&amp;"*"&amp;TEXT(DHS28-utc_offset/24,"YYYYMMDD")&amp;"*"" /stext="" "&amp;TEXT(DHS28-utc_offset/24,"HH")&amp;search_regexp&amp;""""</f>
        <v>#REF!</v>
      </c>
      <c r="DIQ28" s="234" t="e">
        <f>astrogrep_path&amp;" /e /r /s /spath="&amp;search_path&amp;" /stypes=""app*"&amp;DHM28&amp;"*"&amp;TEXT(DHT28-utc_offset/24,"YYYYMMDD")&amp;"*"" /stext="" "&amp;TEXT(DHT28-utc_offset/24,"HH")&amp;search_regexp&amp;""""</f>
        <v>#REF!</v>
      </c>
      <c r="DIR28" s="234" t="e">
        <f>astrogrep_path&amp;" /e /r /s /spath="&amp;search_path&amp;" /stypes=""app*"&amp;DHN28&amp;"*"&amp;TEXT(DHU28-utc_offset/24,"YYYYMMDD")&amp;"*"" /stext="" "&amp;TEXT(DHU28-utc_offset/24,"HH")&amp;search_regexp&amp;""""</f>
        <v>#REF!</v>
      </c>
      <c r="DIS28" s="234" t="e">
        <f>astrogrep_path&amp;" /e /r /s /spath="&amp;search_path&amp;" /stypes=""app*"&amp;DHO28&amp;"*"&amp;TEXT(DHV28-utc_offset/24,"YYYYMMDD")&amp;"*"" /stext="" "&amp;TEXT(DHV28-utc_offset/24,"HH")&amp;search_regexp&amp;""""</f>
        <v>#REF!</v>
      </c>
      <c r="DIT28" s="234" t="e">
        <f>astrogrep_path&amp;" /e /r /s /spath="&amp;search_path&amp;" /stypes=""app*"&amp;DHP28&amp;"*"&amp;TEXT(DHW28-utc_offset/24,"YYYYMMDD")&amp;"*"" /stext="" "&amp;TEXT(DHW28-utc_offset/24,"HH")&amp;search_regexp&amp;""""</f>
        <v>#REF!</v>
      </c>
      <c r="DIU28" s="234" t="e">
        <f>astrogrep_path&amp;" /e /r /s /spath="&amp;search_path&amp;" /stypes=""app*"&amp;DHQ28&amp;"*"&amp;TEXT(DHX28-utc_offset/24,"YYYYMMDD")&amp;"*"" /stext="" "&amp;TEXT(DHX28-utc_offset/24,"HH")&amp;search_regexp&amp;""""</f>
        <v>#REF!</v>
      </c>
      <c r="DIV28" s="234" t="e">
        <f>astrogrep_path&amp;" /e /r /s /spath="&amp;search_path&amp;" /stypes=""app*"&amp;DHR28&amp;"*"&amp;TEXT(DHY28-utc_offset/24,"YYYYMMDD")&amp;"*"" /stext="" "&amp;TEXT(DHY28-utc_offset/24,"HH")&amp;search_regexp&amp;""""</f>
        <v>#REF!</v>
      </c>
      <c r="DIW28" s="234" t="e">
        <f>astrogrep_path&amp;" /e /r /s /spath="&amp;search_path&amp;" /stypes=""app*"&amp;DHS28&amp;"*"&amp;TEXT(DHZ28-utc_offset/24,"YYYYMMDD")&amp;"*"" /stext="" "&amp;TEXT(DHZ28-utc_offset/24,"HH")&amp;search_regexp&amp;""""</f>
        <v>#REF!</v>
      </c>
      <c r="DIX28" s="234" t="e">
        <f>astrogrep_path&amp;" /e /r /s /spath="&amp;search_path&amp;" /stypes=""app*"&amp;DHT28&amp;"*"&amp;TEXT(DIA28-utc_offset/24,"YYYYMMDD")&amp;"*"" /stext="" "&amp;TEXT(DIA28-utc_offset/24,"HH")&amp;search_regexp&amp;""""</f>
        <v>#REF!</v>
      </c>
      <c r="DIY28" s="234" t="e">
        <f>astrogrep_path&amp;" /e /r /s /spath="&amp;search_path&amp;" /stypes=""app*"&amp;DHU28&amp;"*"&amp;TEXT(DIB28-utc_offset/24,"YYYYMMDD")&amp;"*"" /stext="" "&amp;TEXT(DIB28-utc_offset/24,"HH")&amp;search_regexp&amp;""""</f>
        <v>#REF!</v>
      </c>
      <c r="DIZ28" s="234" t="e">
        <f>astrogrep_path&amp;" /e /r /s /spath="&amp;search_path&amp;" /stypes=""app*"&amp;DHV28&amp;"*"&amp;TEXT(DIC28-utc_offset/24,"YYYYMMDD")&amp;"*"" /stext="" "&amp;TEXT(DIC28-utc_offset/24,"HH")&amp;search_regexp&amp;""""</f>
        <v>#REF!</v>
      </c>
      <c r="DJA28" s="234" t="e">
        <f>astrogrep_path&amp;" /e /r /s /spath="&amp;search_path&amp;" /stypes=""app*"&amp;DHW28&amp;"*"&amp;TEXT(DID28-utc_offset/24,"YYYYMMDD")&amp;"*"" /stext="" "&amp;TEXT(DID28-utc_offset/24,"HH")&amp;search_regexp&amp;""""</f>
        <v>#REF!</v>
      </c>
      <c r="DJB28" s="234" t="e">
        <f>astrogrep_path&amp;" /e /r /s /spath="&amp;search_path&amp;" /stypes=""app*"&amp;DHX28&amp;"*"&amp;TEXT(DIE28-utc_offset/24,"YYYYMMDD")&amp;"*"" /stext="" "&amp;TEXT(DIE28-utc_offset/24,"HH")&amp;search_regexp&amp;""""</f>
        <v>#REF!</v>
      </c>
      <c r="DJC28" s="234" t="e">
        <f>astrogrep_path&amp;" /e /r /s /spath="&amp;search_path&amp;" /stypes=""app*"&amp;DHY28&amp;"*"&amp;TEXT(DIF28-utc_offset/24,"YYYYMMDD")&amp;"*"" /stext="" "&amp;TEXT(DIF28-utc_offset/24,"HH")&amp;search_regexp&amp;""""</f>
        <v>#REF!</v>
      </c>
      <c r="DJD28" s="234" t="e">
        <f>astrogrep_path&amp;" /e /r /s /spath="&amp;search_path&amp;" /stypes=""app*"&amp;DHZ28&amp;"*"&amp;TEXT(DIG28-utc_offset/24,"YYYYMMDD")&amp;"*"" /stext="" "&amp;TEXT(DIG28-utc_offset/24,"HH")&amp;search_regexp&amp;""""</f>
        <v>#REF!</v>
      </c>
      <c r="DJE28" s="234" t="e">
        <f>astrogrep_path&amp;" /e /r /s /spath="&amp;search_path&amp;" /stypes=""app*"&amp;DIA28&amp;"*"&amp;TEXT(DIH28-utc_offset/24,"YYYYMMDD")&amp;"*"" /stext="" "&amp;TEXT(DIH28-utc_offset/24,"HH")&amp;search_regexp&amp;""""</f>
        <v>#REF!</v>
      </c>
      <c r="DJF28" s="234" t="e">
        <f>astrogrep_path&amp;" /e /r /s /spath="&amp;search_path&amp;" /stypes=""app*"&amp;DIB28&amp;"*"&amp;TEXT(DII28-utc_offset/24,"YYYYMMDD")&amp;"*"" /stext="" "&amp;TEXT(DII28-utc_offset/24,"HH")&amp;search_regexp&amp;""""</f>
        <v>#REF!</v>
      </c>
      <c r="DJG28" s="234" t="e">
        <f>astrogrep_path&amp;" /e /r /s /spath="&amp;search_path&amp;" /stypes=""app*"&amp;DIC28&amp;"*"&amp;TEXT(DIJ28-utc_offset/24,"YYYYMMDD")&amp;"*"" /stext="" "&amp;TEXT(DIJ28-utc_offset/24,"HH")&amp;search_regexp&amp;""""</f>
        <v>#VALUE!</v>
      </c>
      <c r="DJH28" s="234" t="e">
        <f>astrogrep_path&amp;" /e /r /s /spath="&amp;search_path&amp;" /stypes=""app*"&amp;DID28&amp;"*"&amp;TEXT(DIK28-utc_offset/24,"YYYYMMDD")&amp;"*"" /stext="" "&amp;TEXT(DIK28-utc_offset/24,"HH")&amp;search_regexp&amp;""""</f>
        <v>#VALUE!</v>
      </c>
      <c r="DJI28" s="234" t="e">
        <f>astrogrep_path&amp;" /e /r /s /spath="&amp;search_path&amp;" /stypes=""app*"&amp;DIE28&amp;"*"&amp;TEXT(DIL28-utc_offset/24,"YYYYMMDD")&amp;"*"" /stext="" "&amp;TEXT(DIL28-utc_offset/24,"HH")&amp;search_regexp&amp;""""</f>
        <v>#REF!</v>
      </c>
      <c r="DJJ28" s="234" t="e">
        <f>astrogrep_path&amp;" /e /r /s /spath="&amp;search_path&amp;" /stypes=""app*"&amp;DIF28&amp;"*"&amp;TEXT(DIM28-utc_offset/24,"YYYYMMDD")&amp;"*"" /stext="" "&amp;TEXT(DIM28-utc_offset/24,"HH")&amp;search_regexp&amp;""""</f>
        <v>#REF!</v>
      </c>
      <c r="DJK28" s="234" t="e">
        <f>astrogrep_path&amp;" /e /r /s /spath="&amp;search_path&amp;" /stypes=""app*"&amp;DIG28&amp;"*"&amp;TEXT(DIN28-utc_offset/24,"YYYYMMDD")&amp;"*"" /stext="" "&amp;TEXT(DIN28-utc_offset/24,"HH")&amp;search_regexp&amp;""""</f>
        <v>#VALUE!</v>
      </c>
      <c r="DJL28" s="234" t="e">
        <f>astrogrep_path&amp;" /e /r /s /spath="&amp;search_path&amp;" /stypes=""app*"&amp;DIH28&amp;"*"&amp;TEXT(DIO28-utc_offset/24,"YYYYMMDD")&amp;"*"" /stext="" "&amp;TEXT(DIO28-utc_offset/24,"HH")&amp;search_regexp&amp;""""</f>
        <v>#VALUE!</v>
      </c>
      <c r="DJM28" s="234" t="e">
        <f>astrogrep_path&amp;" /e /r /s /spath="&amp;search_path&amp;" /stypes=""app*"&amp;DII28&amp;"*"&amp;TEXT(DIP28-utc_offset/24,"YYYYMMDD")&amp;"*"" /stext="" "&amp;TEXT(DIP28-utc_offset/24,"HH")&amp;search_regexp&amp;""""</f>
        <v>#VALUE!</v>
      </c>
      <c r="DJN28" s="234" t="e">
        <f>astrogrep_path&amp;" /e /r /s /spath="&amp;search_path&amp;" /stypes=""app*"&amp;DIJ28&amp;"*"&amp;TEXT(DIQ28-utc_offset/24,"YYYYMMDD")&amp;"*"" /stext="" "&amp;TEXT(DIQ28-utc_offset/24,"HH")&amp;search_regexp&amp;""""</f>
        <v>#VALUE!</v>
      </c>
      <c r="DJO28" s="234" t="e">
        <f>astrogrep_path&amp;" /e /r /s /spath="&amp;search_path&amp;" /stypes=""app*"&amp;DIK28&amp;"*"&amp;TEXT(DIR28-utc_offset/24,"YYYYMMDD")&amp;"*"" /stext="" "&amp;TEXT(DIR28-utc_offset/24,"HH")&amp;search_regexp&amp;""""</f>
        <v>#VALUE!</v>
      </c>
      <c r="DJP28" s="234" t="e">
        <f>astrogrep_path&amp;" /e /r /s /spath="&amp;search_path&amp;" /stypes=""app*"&amp;DIL28&amp;"*"&amp;TEXT(DIS28-utc_offset/24,"YYYYMMDD")&amp;"*"" /stext="" "&amp;TEXT(DIS28-utc_offset/24,"HH")&amp;search_regexp&amp;""""</f>
        <v>#REF!</v>
      </c>
      <c r="DJQ28" s="234" t="e">
        <f>astrogrep_path&amp;" /e /r /s /spath="&amp;search_path&amp;" /stypes=""app*"&amp;DIM28&amp;"*"&amp;TEXT(DIT28-utc_offset/24,"YYYYMMDD")&amp;"*"" /stext="" "&amp;TEXT(DIT28-utc_offset/24,"HH")&amp;search_regexp&amp;""""</f>
        <v>#REF!</v>
      </c>
      <c r="DJR28" s="234" t="e">
        <f>astrogrep_path&amp;" /e /r /s /spath="&amp;search_path&amp;" /stypes=""app*"&amp;DIN28&amp;"*"&amp;TEXT(DIU28-utc_offset/24,"YYYYMMDD")&amp;"*"" /stext="" "&amp;TEXT(DIU28-utc_offset/24,"HH")&amp;search_regexp&amp;""""</f>
        <v>#REF!</v>
      </c>
      <c r="DJS28" s="234" t="e">
        <f>astrogrep_path&amp;" /e /r /s /spath="&amp;search_path&amp;" /stypes=""app*"&amp;DIO28&amp;"*"&amp;TEXT(DIV28-utc_offset/24,"YYYYMMDD")&amp;"*"" /stext="" "&amp;TEXT(DIV28-utc_offset/24,"HH")&amp;search_regexp&amp;""""</f>
        <v>#REF!</v>
      </c>
      <c r="DJT28" s="234" t="e">
        <f>astrogrep_path&amp;" /e /r /s /spath="&amp;search_path&amp;" /stypes=""app*"&amp;DIP28&amp;"*"&amp;TEXT(DIW28-utc_offset/24,"YYYYMMDD")&amp;"*"" /stext="" "&amp;TEXT(DIW28-utc_offset/24,"HH")&amp;search_regexp&amp;""""</f>
        <v>#REF!</v>
      </c>
      <c r="DJU28" s="234" t="e">
        <f>astrogrep_path&amp;" /e /r /s /spath="&amp;search_path&amp;" /stypes=""app*"&amp;DIQ28&amp;"*"&amp;TEXT(DIX28-utc_offset/24,"YYYYMMDD")&amp;"*"" /stext="" "&amp;TEXT(DIX28-utc_offset/24,"HH")&amp;search_regexp&amp;""""</f>
        <v>#REF!</v>
      </c>
      <c r="DJV28" s="234" t="e">
        <f>astrogrep_path&amp;" /e /r /s /spath="&amp;search_path&amp;" /stypes=""app*"&amp;DIR28&amp;"*"&amp;TEXT(DIY28-utc_offset/24,"YYYYMMDD")&amp;"*"" /stext="" "&amp;TEXT(DIY28-utc_offset/24,"HH")&amp;search_regexp&amp;""""</f>
        <v>#REF!</v>
      </c>
      <c r="DJW28" s="234" t="e">
        <f>astrogrep_path&amp;" /e /r /s /spath="&amp;search_path&amp;" /stypes=""app*"&amp;DIS28&amp;"*"&amp;TEXT(DIZ28-utc_offset/24,"YYYYMMDD")&amp;"*"" /stext="" "&amp;TEXT(DIZ28-utc_offset/24,"HH")&amp;search_regexp&amp;""""</f>
        <v>#REF!</v>
      </c>
      <c r="DJX28" s="234" t="e">
        <f>astrogrep_path&amp;" /e /r /s /spath="&amp;search_path&amp;" /stypes=""app*"&amp;DIT28&amp;"*"&amp;TEXT(DJA28-utc_offset/24,"YYYYMMDD")&amp;"*"" /stext="" "&amp;TEXT(DJA28-utc_offset/24,"HH")&amp;search_regexp&amp;""""</f>
        <v>#REF!</v>
      </c>
      <c r="DJY28" s="234" t="e">
        <f>astrogrep_path&amp;" /e /r /s /spath="&amp;search_path&amp;" /stypes=""app*"&amp;DIU28&amp;"*"&amp;TEXT(DJB28-utc_offset/24,"YYYYMMDD")&amp;"*"" /stext="" "&amp;TEXT(DJB28-utc_offset/24,"HH")&amp;search_regexp&amp;""""</f>
        <v>#REF!</v>
      </c>
      <c r="DJZ28" s="234" t="e">
        <f>astrogrep_path&amp;" /e /r /s /spath="&amp;search_path&amp;" /stypes=""app*"&amp;DIV28&amp;"*"&amp;TEXT(DJC28-utc_offset/24,"YYYYMMDD")&amp;"*"" /stext="" "&amp;TEXT(DJC28-utc_offset/24,"HH")&amp;search_regexp&amp;""""</f>
        <v>#REF!</v>
      </c>
      <c r="DKA28" s="234" t="e">
        <f>astrogrep_path&amp;" /e /r /s /spath="&amp;search_path&amp;" /stypes=""app*"&amp;DIW28&amp;"*"&amp;TEXT(DJD28-utc_offset/24,"YYYYMMDD")&amp;"*"" /stext="" "&amp;TEXT(DJD28-utc_offset/24,"HH")&amp;search_regexp&amp;""""</f>
        <v>#REF!</v>
      </c>
      <c r="DKB28" s="234" t="e">
        <f>astrogrep_path&amp;" /e /r /s /spath="&amp;search_path&amp;" /stypes=""app*"&amp;DIX28&amp;"*"&amp;TEXT(DJE28-utc_offset/24,"YYYYMMDD")&amp;"*"" /stext="" "&amp;TEXT(DJE28-utc_offset/24,"HH")&amp;search_regexp&amp;""""</f>
        <v>#REF!</v>
      </c>
      <c r="DKC28" s="234" t="e">
        <f>astrogrep_path&amp;" /e /r /s /spath="&amp;search_path&amp;" /stypes=""app*"&amp;DIY28&amp;"*"&amp;TEXT(DJF28-utc_offset/24,"YYYYMMDD")&amp;"*"" /stext="" "&amp;TEXT(DJF28-utc_offset/24,"HH")&amp;search_regexp&amp;""""</f>
        <v>#REF!</v>
      </c>
      <c r="DKD28" s="234" t="e">
        <f>astrogrep_path&amp;" /e /r /s /spath="&amp;search_path&amp;" /stypes=""app*"&amp;DIZ28&amp;"*"&amp;TEXT(DJG28-utc_offset/24,"YYYYMMDD")&amp;"*"" /stext="" "&amp;TEXT(DJG28-utc_offset/24,"HH")&amp;search_regexp&amp;""""</f>
        <v>#REF!</v>
      </c>
      <c r="DKE28" s="234" t="e">
        <f>astrogrep_path&amp;" /e /r /s /spath="&amp;search_path&amp;" /stypes=""app*"&amp;DJA28&amp;"*"&amp;TEXT(DJH28-utc_offset/24,"YYYYMMDD")&amp;"*"" /stext="" "&amp;TEXT(DJH28-utc_offset/24,"HH")&amp;search_regexp&amp;""""</f>
        <v>#REF!</v>
      </c>
      <c r="DKF28" s="234" t="e">
        <f>astrogrep_path&amp;" /e /r /s /spath="&amp;search_path&amp;" /stypes=""app*"&amp;DJB28&amp;"*"&amp;TEXT(DJI28-utc_offset/24,"YYYYMMDD")&amp;"*"" /stext="" "&amp;TEXT(DJI28-utc_offset/24,"HH")&amp;search_regexp&amp;""""</f>
        <v>#REF!</v>
      </c>
      <c r="DKG28" s="234" t="e">
        <f>astrogrep_path&amp;" /e /r /s /spath="&amp;search_path&amp;" /stypes=""app*"&amp;DJC28&amp;"*"&amp;TEXT(DJJ28-utc_offset/24,"YYYYMMDD")&amp;"*"" /stext="" "&amp;TEXT(DJJ28-utc_offset/24,"HH")&amp;search_regexp&amp;""""</f>
        <v>#REF!</v>
      </c>
      <c r="DKH28" s="234" t="e">
        <f>astrogrep_path&amp;" /e /r /s /spath="&amp;search_path&amp;" /stypes=""app*"&amp;DJD28&amp;"*"&amp;TEXT(DJK28-utc_offset/24,"YYYYMMDD")&amp;"*"" /stext="" "&amp;TEXT(DJK28-utc_offset/24,"HH")&amp;search_regexp&amp;""""</f>
        <v>#REF!</v>
      </c>
      <c r="DKI28" s="234" t="e">
        <f>astrogrep_path&amp;" /e /r /s /spath="&amp;search_path&amp;" /stypes=""app*"&amp;DJE28&amp;"*"&amp;TEXT(DJL28-utc_offset/24,"YYYYMMDD")&amp;"*"" /stext="" "&amp;TEXT(DJL28-utc_offset/24,"HH")&amp;search_regexp&amp;""""</f>
        <v>#REF!</v>
      </c>
      <c r="DKJ28" s="234" t="e">
        <f>astrogrep_path&amp;" /e /r /s /spath="&amp;search_path&amp;" /stypes=""app*"&amp;DJF28&amp;"*"&amp;TEXT(DJM28-utc_offset/24,"YYYYMMDD")&amp;"*"" /stext="" "&amp;TEXT(DJM28-utc_offset/24,"HH")&amp;search_regexp&amp;""""</f>
        <v>#REF!</v>
      </c>
      <c r="DKK28" s="234" t="e">
        <f>astrogrep_path&amp;" /e /r /s /spath="&amp;search_path&amp;" /stypes=""app*"&amp;DJG28&amp;"*"&amp;TEXT(DJN28-utc_offset/24,"YYYYMMDD")&amp;"*"" /stext="" "&amp;TEXT(DJN28-utc_offset/24,"HH")&amp;search_regexp&amp;""""</f>
        <v>#VALUE!</v>
      </c>
      <c r="DKL28" s="234" t="e">
        <f>astrogrep_path&amp;" /e /r /s /spath="&amp;search_path&amp;" /stypes=""app*"&amp;DJH28&amp;"*"&amp;TEXT(DJO28-utc_offset/24,"YYYYMMDD")&amp;"*"" /stext="" "&amp;TEXT(DJO28-utc_offset/24,"HH")&amp;search_regexp&amp;""""</f>
        <v>#VALUE!</v>
      </c>
      <c r="DKM28" s="234" t="e">
        <f>astrogrep_path&amp;" /e /r /s /spath="&amp;search_path&amp;" /stypes=""app*"&amp;DJI28&amp;"*"&amp;TEXT(DJP28-utc_offset/24,"YYYYMMDD")&amp;"*"" /stext="" "&amp;TEXT(DJP28-utc_offset/24,"HH")&amp;search_regexp&amp;""""</f>
        <v>#REF!</v>
      </c>
      <c r="DKN28" s="234" t="e">
        <f>astrogrep_path&amp;" /e /r /s /spath="&amp;search_path&amp;" /stypes=""app*"&amp;DJJ28&amp;"*"&amp;TEXT(DJQ28-utc_offset/24,"YYYYMMDD")&amp;"*"" /stext="" "&amp;TEXT(DJQ28-utc_offset/24,"HH")&amp;search_regexp&amp;""""</f>
        <v>#REF!</v>
      </c>
      <c r="DKO28" s="234" t="e">
        <f>astrogrep_path&amp;" /e /r /s /spath="&amp;search_path&amp;" /stypes=""app*"&amp;DJK28&amp;"*"&amp;TEXT(DJR28-utc_offset/24,"YYYYMMDD")&amp;"*"" /stext="" "&amp;TEXT(DJR28-utc_offset/24,"HH")&amp;search_regexp&amp;""""</f>
        <v>#VALUE!</v>
      </c>
      <c r="DKP28" s="234" t="e">
        <f>astrogrep_path&amp;" /e /r /s /spath="&amp;search_path&amp;" /stypes=""app*"&amp;DJL28&amp;"*"&amp;TEXT(DJS28-utc_offset/24,"YYYYMMDD")&amp;"*"" /stext="" "&amp;TEXT(DJS28-utc_offset/24,"HH")&amp;search_regexp&amp;""""</f>
        <v>#VALUE!</v>
      </c>
      <c r="DKQ28" s="234" t="e">
        <f>astrogrep_path&amp;" /e /r /s /spath="&amp;search_path&amp;" /stypes=""app*"&amp;DJM28&amp;"*"&amp;TEXT(DJT28-utc_offset/24,"YYYYMMDD")&amp;"*"" /stext="" "&amp;TEXT(DJT28-utc_offset/24,"HH")&amp;search_regexp&amp;""""</f>
        <v>#VALUE!</v>
      </c>
      <c r="DKR28" s="234" t="e">
        <f>astrogrep_path&amp;" /e /r /s /spath="&amp;search_path&amp;" /stypes=""app*"&amp;DJN28&amp;"*"&amp;TEXT(DJU28-utc_offset/24,"YYYYMMDD")&amp;"*"" /stext="" "&amp;TEXT(DJU28-utc_offset/24,"HH")&amp;search_regexp&amp;""""</f>
        <v>#VALUE!</v>
      </c>
      <c r="DKS28" s="234" t="e">
        <f>astrogrep_path&amp;" /e /r /s /spath="&amp;search_path&amp;" /stypes=""app*"&amp;DJO28&amp;"*"&amp;TEXT(DJV28-utc_offset/24,"YYYYMMDD")&amp;"*"" /stext="" "&amp;TEXT(DJV28-utc_offset/24,"HH")&amp;search_regexp&amp;""""</f>
        <v>#VALUE!</v>
      </c>
      <c r="DKT28" s="234" t="e">
        <f>astrogrep_path&amp;" /e /r /s /spath="&amp;search_path&amp;" /stypes=""app*"&amp;DJP28&amp;"*"&amp;TEXT(DJW28-utc_offset/24,"YYYYMMDD")&amp;"*"" /stext="" "&amp;TEXT(DJW28-utc_offset/24,"HH")&amp;search_regexp&amp;""""</f>
        <v>#REF!</v>
      </c>
      <c r="DKU28" s="234" t="e">
        <f>astrogrep_path&amp;" /e /r /s /spath="&amp;search_path&amp;" /stypes=""app*"&amp;DJQ28&amp;"*"&amp;TEXT(DJX28-utc_offset/24,"YYYYMMDD")&amp;"*"" /stext="" "&amp;TEXT(DJX28-utc_offset/24,"HH")&amp;search_regexp&amp;""""</f>
        <v>#REF!</v>
      </c>
      <c r="DKV28" s="234" t="e">
        <f>astrogrep_path&amp;" /e /r /s /spath="&amp;search_path&amp;" /stypes=""app*"&amp;DJR28&amp;"*"&amp;TEXT(DJY28-utc_offset/24,"YYYYMMDD")&amp;"*"" /stext="" "&amp;TEXT(DJY28-utc_offset/24,"HH")&amp;search_regexp&amp;""""</f>
        <v>#REF!</v>
      </c>
      <c r="DKW28" s="234" t="e">
        <f>astrogrep_path&amp;" /e /r /s /spath="&amp;search_path&amp;" /stypes=""app*"&amp;DJS28&amp;"*"&amp;TEXT(DJZ28-utc_offset/24,"YYYYMMDD")&amp;"*"" /stext="" "&amp;TEXT(DJZ28-utc_offset/24,"HH")&amp;search_regexp&amp;""""</f>
        <v>#REF!</v>
      </c>
      <c r="DKX28" s="234" t="e">
        <f>astrogrep_path&amp;" /e /r /s /spath="&amp;search_path&amp;" /stypes=""app*"&amp;DJT28&amp;"*"&amp;TEXT(DKA28-utc_offset/24,"YYYYMMDD")&amp;"*"" /stext="" "&amp;TEXT(DKA28-utc_offset/24,"HH")&amp;search_regexp&amp;""""</f>
        <v>#REF!</v>
      </c>
      <c r="DKY28" s="234" t="e">
        <f>astrogrep_path&amp;" /e /r /s /spath="&amp;search_path&amp;" /stypes=""app*"&amp;DJU28&amp;"*"&amp;TEXT(DKB28-utc_offset/24,"YYYYMMDD")&amp;"*"" /stext="" "&amp;TEXT(DKB28-utc_offset/24,"HH")&amp;search_regexp&amp;""""</f>
        <v>#REF!</v>
      </c>
      <c r="DKZ28" s="234" t="e">
        <f>astrogrep_path&amp;" /e /r /s /spath="&amp;search_path&amp;" /stypes=""app*"&amp;DJV28&amp;"*"&amp;TEXT(DKC28-utc_offset/24,"YYYYMMDD")&amp;"*"" /stext="" "&amp;TEXT(DKC28-utc_offset/24,"HH")&amp;search_regexp&amp;""""</f>
        <v>#REF!</v>
      </c>
      <c r="DLA28" s="234" t="e">
        <f>astrogrep_path&amp;" /e /r /s /spath="&amp;search_path&amp;" /stypes=""app*"&amp;DJW28&amp;"*"&amp;TEXT(DKD28-utc_offset/24,"YYYYMMDD")&amp;"*"" /stext="" "&amp;TEXT(DKD28-utc_offset/24,"HH")&amp;search_regexp&amp;""""</f>
        <v>#REF!</v>
      </c>
      <c r="DLB28" s="234" t="e">
        <f>astrogrep_path&amp;" /e /r /s /spath="&amp;search_path&amp;" /stypes=""app*"&amp;DJX28&amp;"*"&amp;TEXT(DKE28-utc_offset/24,"YYYYMMDD")&amp;"*"" /stext="" "&amp;TEXT(DKE28-utc_offset/24,"HH")&amp;search_regexp&amp;""""</f>
        <v>#REF!</v>
      </c>
      <c r="DLC28" s="234" t="e">
        <f>astrogrep_path&amp;" /e /r /s /spath="&amp;search_path&amp;" /stypes=""app*"&amp;DJY28&amp;"*"&amp;TEXT(DKF28-utc_offset/24,"YYYYMMDD")&amp;"*"" /stext="" "&amp;TEXT(DKF28-utc_offset/24,"HH")&amp;search_regexp&amp;""""</f>
        <v>#REF!</v>
      </c>
      <c r="DLD28" s="234" t="e">
        <f>astrogrep_path&amp;" /e /r /s /spath="&amp;search_path&amp;" /stypes=""app*"&amp;DJZ28&amp;"*"&amp;TEXT(DKG28-utc_offset/24,"YYYYMMDD")&amp;"*"" /stext="" "&amp;TEXT(DKG28-utc_offset/24,"HH")&amp;search_regexp&amp;""""</f>
        <v>#REF!</v>
      </c>
      <c r="DLE28" s="234" t="e">
        <f>astrogrep_path&amp;" /e /r /s /spath="&amp;search_path&amp;" /stypes=""app*"&amp;DKA28&amp;"*"&amp;TEXT(DKH28-utc_offset/24,"YYYYMMDD")&amp;"*"" /stext="" "&amp;TEXT(DKH28-utc_offset/24,"HH")&amp;search_regexp&amp;""""</f>
        <v>#REF!</v>
      </c>
      <c r="DLF28" s="234" t="e">
        <f>astrogrep_path&amp;" /e /r /s /spath="&amp;search_path&amp;" /stypes=""app*"&amp;DKB28&amp;"*"&amp;TEXT(DKI28-utc_offset/24,"YYYYMMDD")&amp;"*"" /stext="" "&amp;TEXT(DKI28-utc_offset/24,"HH")&amp;search_regexp&amp;""""</f>
        <v>#REF!</v>
      </c>
      <c r="DLG28" s="234" t="e">
        <f>astrogrep_path&amp;" /e /r /s /spath="&amp;search_path&amp;" /stypes=""app*"&amp;DKC28&amp;"*"&amp;TEXT(DKJ28-utc_offset/24,"YYYYMMDD")&amp;"*"" /stext="" "&amp;TEXT(DKJ28-utc_offset/24,"HH")&amp;search_regexp&amp;""""</f>
        <v>#REF!</v>
      </c>
      <c r="DLH28" s="234" t="e">
        <f>astrogrep_path&amp;" /e /r /s /spath="&amp;search_path&amp;" /stypes=""app*"&amp;DKD28&amp;"*"&amp;TEXT(DKK28-utc_offset/24,"YYYYMMDD")&amp;"*"" /stext="" "&amp;TEXT(DKK28-utc_offset/24,"HH")&amp;search_regexp&amp;""""</f>
        <v>#REF!</v>
      </c>
      <c r="DLI28" s="234" t="e">
        <f>astrogrep_path&amp;" /e /r /s /spath="&amp;search_path&amp;" /stypes=""app*"&amp;DKE28&amp;"*"&amp;TEXT(DKL28-utc_offset/24,"YYYYMMDD")&amp;"*"" /stext="" "&amp;TEXT(DKL28-utc_offset/24,"HH")&amp;search_regexp&amp;""""</f>
        <v>#REF!</v>
      </c>
      <c r="DLJ28" s="234" t="e">
        <f>astrogrep_path&amp;" /e /r /s /spath="&amp;search_path&amp;" /stypes=""app*"&amp;DKF28&amp;"*"&amp;TEXT(DKM28-utc_offset/24,"YYYYMMDD")&amp;"*"" /stext="" "&amp;TEXT(DKM28-utc_offset/24,"HH")&amp;search_regexp&amp;""""</f>
        <v>#REF!</v>
      </c>
      <c r="DLK28" s="234" t="e">
        <f>astrogrep_path&amp;" /e /r /s /spath="&amp;search_path&amp;" /stypes=""app*"&amp;DKG28&amp;"*"&amp;TEXT(DKN28-utc_offset/24,"YYYYMMDD")&amp;"*"" /stext="" "&amp;TEXT(DKN28-utc_offset/24,"HH")&amp;search_regexp&amp;""""</f>
        <v>#REF!</v>
      </c>
      <c r="DLL28" s="234" t="e">
        <f>astrogrep_path&amp;" /e /r /s /spath="&amp;search_path&amp;" /stypes=""app*"&amp;DKH28&amp;"*"&amp;TEXT(DKO28-utc_offset/24,"YYYYMMDD")&amp;"*"" /stext="" "&amp;TEXT(DKO28-utc_offset/24,"HH")&amp;search_regexp&amp;""""</f>
        <v>#REF!</v>
      </c>
      <c r="DLM28" s="234" t="e">
        <f>astrogrep_path&amp;" /e /r /s /spath="&amp;search_path&amp;" /stypes=""app*"&amp;DKI28&amp;"*"&amp;TEXT(DKP28-utc_offset/24,"YYYYMMDD")&amp;"*"" /stext="" "&amp;TEXT(DKP28-utc_offset/24,"HH")&amp;search_regexp&amp;""""</f>
        <v>#REF!</v>
      </c>
      <c r="DLN28" s="234" t="e">
        <f>astrogrep_path&amp;" /e /r /s /spath="&amp;search_path&amp;" /stypes=""app*"&amp;DKJ28&amp;"*"&amp;TEXT(DKQ28-utc_offset/24,"YYYYMMDD")&amp;"*"" /stext="" "&amp;TEXT(DKQ28-utc_offset/24,"HH")&amp;search_regexp&amp;""""</f>
        <v>#REF!</v>
      </c>
      <c r="DLO28" s="234" t="e">
        <f>astrogrep_path&amp;" /e /r /s /spath="&amp;search_path&amp;" /stypes=""app*"&amp;DKK28&amp;"*"&amp;TEXT(DKR28-utc_offset/24,"YYYYMMDD")&amp;"*"" /stext="" "&amp;TEXT(DKR28-utc_offset/24,"HH")&amp;search_regexp&amp;""""</f>
        <v>#VALUE!</v>
      </c>
      <c r="DLP28" s="234" t="e">
        <f>astrogrep_path&amp;" /e /r /s /spath="&amp;search_path&amp;" /stypes=""app*"&amp;DKL28&amp;"*"&amp;TEXT(DKS28-utc_offset/24,"YYYYMMDD")&amp;"*"" /stext="" "&amp;TEXT(DKS28-utc_offset/24,"HH")&amp;search_regexp&amp;""""</f>
        <v>#VALUE!</v>
      </c>
      <c r="DLQ28" s="234" t="e">
        <f>astrogrep_path&amp;" /e /r /s /spath="&amp;search_path&amp;" /stypes=""app*"&amp;DKM28&amp;"*"&amp;TEXT(DKT28-utc_offset/24,"YYYYMMDD")&amp;"*"" /stext="" "&amp;TEXT(DKT28-utc_offset/24,"HH")&amp;search_regexp&amp;""""</f>
        <v>#REF!</v>
      </c>
      <c r="DLR28" s="234" t="e">
        <f>astrogrep_path&amp;" /e /r /s /spath="&amp;search_path&amp;" /stypes=""app*"&amp;DKN28&amp;"*"&amp;TEXT(DKU28-utc_offset/24,"YYYYMMDD")&amp;"*"" /stext="" "&amp;TEXT(DKU28-utc_offset/24,"HH")&amp;search_regexp&amp;""""</f>
        <v>#REF!</v>
      </c>
      <c r="DLS28" s="234" t="e">
        <f>astrogrep_path&amp;" /e /r /s /spath="&amp;search_path&amp;" /stypes=""app*"&amp;DKO28&amp;"*"&amp;TEXT(DKV28-utc_offset/24,"YYYYMMDD")&amp;"*"" /stext="" "&amp;TEXT(DKV28-utc_offset/24,"HH")&amp;search_regexp&amp;""""</f>
        <v>#VALUE!</v>
      </c>
      <c r="DLT28" s="234" t="e">
        <f>astrogrep_path&amp;" /e /r /s /spath="&amp;search_path&amp;" /stypes=""app*"&amp;DKP28&amp;"*"&amp;TEXT(DKW28-utc_offset/24,"YYYYMMDD")&amp;"*"" /stext="" "&amp;TEXT(DKW28-utc_offset/24,"HH")&amp;search_regexp&amp;""""</f>
        <v>#VALUE!</v>
      </c>
      <c r="DLU28" s="234" t="e">
        <f>astrogrep_path&amp;" /e /r /s /spath="&amp;search_path&amp;" /stypes=""app*"&amp;DKQ28&amp;"*"&amp;TEXT(DKX28-utc_offset/24,"YYYYMMDD")&amp;"*"" /stext="" "&amp;TEXT(DKX28-utc_offset/24,"HH")&amp;search_regexp&amp;""""</f>
        <v>#VALUE!</v>
      </c>
      <c r="DLV28" s="234" t="e">
        <f>astrogrep_path&amp;" /e /r /s /spath="&amp;search_path&amp;" /stypes=""app*"&amp;DKR28&amp;"*"&amp;TEXT(DKY28-utc_offset/24,"YYYYMMDD")&amp;"*"" /stext="" "&amp;TEXT(DKY28-utc_offset/24,"HH")&amp;search_regexp&amp;""""</f>
        <v>#VALUE!</v>
      </c>
      <c r="DLW28" s="234" t="e">
        <f>astrogrep_path&amp;" /e /r /s /spath="&amp;search_path&amp;" /stypes=""app*"&amp;DKS28&amp;"*"&amp;TEXT(DKZ28-utc_offset/24,"YYYYMMDD")&amp;"*"" /stext="" "&amp;TEXT(DKZ28-utc_offset/24,"HH")&amp;search_regexp&amp;""""</f>
        <v>#VALUE!</v>
      </c>
      <c r="DLX28" s="234" t="e">
        <f>astrogrep_path&amp;" /e /r /s /spath="&amp;search_path&amp;" /stypes=""app*"&amp;DKT28&amp;"*"&amp;TEXT(DLA28-utc_offset/24,"YYYYMMDD")&amp;"*"" /stext="" "&amp;TEXT(DLA28-utc_offset/24,"HH")&amp;search_regexp&amp;""""</f>
        <v>#REF!</v>
      </c>
      <c r="DLY28" s="234" t="e">
        <f>astrogrep_path&amp;" /e /r /s /spath="&amp;search_path&amp;" /stypes=""app*"&amp;DKU28&amp;"*"&amp;TEXT(DLB28-utc_offset/24,"YYYYMMDD")&amp;"*"" /stext="" "&amp;TEXT(DLB28-utc_offset/24,"HH")&amp;search_regexp&amp;""""</f>
        <v>#REF!</v>
      </c>
      <c r="DLZ28" s="234" t="e">
        <f>astrogrep_path&amp;" /e /r /s /spath="&amp;search_path&amp;" /stypes=""app*"&amp;DKV28&amp;"*"&amp;TEXT(DLC28-utc_offset/24,"YYYYMMDD")&amp;"*"" /stext="" "&amp;TEXT(DLC28-utc_offset/24,"HH")&amp;search_regexp&amp;""""</f>
        <v>#REF!</v>
      </c>
      <c r="DMA28" s="234" t="e">
        <f>astrogrep_path&amp;" /e /r /s /spath="&amp;search_path&amp;" /stypes=""app*"&amp;DKW28&amp;"*"&amp;TEXT(DLD28-utc_offset/24,"YYYYMMDD")&amp;"*"" /stext="" "&amp;TEXT(DLD28-utc_offset/24,"HH")&amp;search_regexp&amp;""""</f>
        <v>#REF!</v>
      </c>
      <c r="DMB28" s="234" t="e">
        <f>astrogrep_path&amp;" /e /r /s /spath="&amp;search_path&amp;" /stypes=""app*"&amp;DKX28&amp;"*"&amp;TEXT(DLE28-utc_offset/24,"YYYYMMDD")&amp;"*"" /stext="" "&amp;TEXT(DLE28-utc_offset/24,"HH")&amp;search_regexp&amp;""""</f>
        <v>#REF!</v>
      </c>
      <c r="DMC28" s="234" t="e">
        <f>astrogrep_path&amp;" /e /r /s /spath="&amp;search_path&amp;" /stypes=""app*"&amp;DKY28&amp;"*"&amp;TEXT(DLF28-utc_offset/24,"YYYYMMDD")&amp;"*"" /stext="" "&amp;TEXT(DLF28-utc_offset/24,"HH")&amp;search_regexp&amp;""""</f>
        <v>#REF!</v>
      </c>
      <c r="DMD28" s="234" t="e">
        <f>astrogrep_path&amp;" /e /r /s /spath="&amp;search_path&amp;" /stypes=""app*"&amp;DKZ28&amp;"*"&amp;TEXT(DLG28-utc_offset/24,"YYYYMMDD")&amp;"*"" /stext="" "&amp;TEXT(DLG28-utc_offset/24,"HH")&amp;search_regexp&amp;""""</f>
        <v>#REF!</v>
      </c>
      <c r="DME28" s="234" t="e">
        <f>astrogrep_path&amp;" /e /r /s /spath="&amp;search_path&amp;" /stypes=""app*"&amp;DLA28&amp;"*"&amp;TEXT(DLH28-utc_offset/24,"YYYYMMDD")&amp;"*"" /stext="" "&amp;TEXT(DLH28-utc_offset/24,"HH")&amp;search_regexp&amp;""""</f>
        <v>#REF!</v>
      </c>
      <c r="DMF28" s="234" t="e">
        <f>astrogrep_path&amp;" /e /r /s /spath="&amp;search_path&amp;" /stypes=""app*"&amp;DLB28&amp;"*"&amp;TEXT(DLI28-utc_offset/24,"YYYYMMDD")&amp;"*"" /stext="" "&amp;TEXT(DLI28-utc_offset/24,"HH")&amp;search_regexp&amp;""""</f>
        <v>#REF!</v>
      </c>
      <c r="DMG28" s="234" t="e">
        <f>astrogrep_path&amp;" /e /r /s /spath="&amp;search_path&amp;" /stypes=""app*"&amp;DLC28&amp;"*"&amp;TEXT(DLJ28-utc_offset/24,"YYYYMMDD")&amp;"*"" /stext="" "&amp;TEXT(DLJ28-utc_offset/24,"HH")&amp;search_regexp&amp;""""</f>
        <v>#REF!</v>
      </c>
      <c r="DMH28" s="234" t="e">
        <f>astrogrep_path&amp;" /e /r /s /spath="&amp;search_path&amp;" /stypes=""app*"&amp;DLD28&amp;"*"&amp;TEXT(DLK28-utc_offset/24,"YYYYMMDD")&amp;"*"" /stext="" "&amp;TEXT(DLK28-utc_offset/24,"HH")&amp;search_regexp&amp;""""</f>
        <v>#REF!</v>
      </c>
      <c r="DMI28" s="234" t="e">
        <f>astrogrep_path&amp;" /e /r /s /spath="&amp;search_path&amp;" /stypes=""app*"&amp;DLE28&amp;"*"&amp;TEXT(DLL28-utc_offset/24,"YYYYMMDD")&amp;"*"" /stext="" "&amp;TEXT(DLL28-utc_offset/24,"HH")&amp;search_regexp&amp;""""</f>
        <v>#REF!</v>
      </c>
      <c r="DMJ28" s="234" t="e">
        <f>astrogrep_path&amp;" /e /r /s /spath="&amp;search_path&amp;" /stypes=""app*"&amp;DLF28&amp;"*"&amp;TEXT(DLM28-utc_offset/24,"YYYYMMDD")&amp;"*"" /stext="" "&amp;TEXT(DLM28-utc_offset/24,"HH")&amp;search_regexp&amp;""""</f>
        <v>#REF!</v>
      </c>
      <c r="DMK28" s="234" t="e">
        <f>astrogrep_path&amp;" /e /r /s /spath="&amp;search_path&amp;" /stypes=""app*"&amp;DLG28&amp;"*"&amp;TEXT(DLN28-utc_offset/24,"YYYYMMDD")&amp;"*"" /stext="" "&amp;TEXT(DLN28-utc_offset/24,"HH")&amp;search_regexp&amp;""""</f>
        <v>#REF!</v>
      </c>
      <c r="DML28" s="234" t="e">
        <f>astrogrep_path&amp;" /e /r /s /spath="&amp;search_path&amp;" /stypes=""app*"&amp;DLH28&amp;"*"&amp;TEXT(DLO28-utc_offset/24,"YYYYMMDD")&amp;"*"" /stext="" "&amp;TEXT(DLO28-utc_offset/24,"HH")&amp;search_regexp&amp;""""</f>
        <v>#REF!</v>
      </c>
      <c r="DMM28" s="234" t="e">
        <f>astrogrep_path&amp;" /e /r /s /spath="&amp;search_path&amp;" /stypes=""app*"&amp;DLI28&amp;"*"&amp;TEXT(DLP28-utc_offset/24,"YYYYMMDD")&amp;"*"" /stext="" "&amp;TEXT(DLP28-utc_offset/24,"HH")&amp;search_regexp&amp;""""</f>
        <v>#REF!</v>
      </c>
      <c r="DMN28" s="234" t="e">
        <f>astrogrep_path&amp;" /e /r /s /spath="&amp;search_path&amp;" /stypes=""app*"&amp;DLJ28&amp;"*"&amp;TEXT(DLQ28-utc_offset/24,"YYYYMMDD")&amp;"*"" /stext="" "&amp;TEXT(DLQ28-utc_offset/24,"HH")&amp;search_regexp&amp;""""</f>
        <v>#REF!</v>
      </c>
      <c r="DMO28" s="234" t="e">
        <f>astrogrep_path&amp;" /e /r /s /spath="&amp;search_path&amp;" /stypes=""app*"&amp;DLK28&amp;"*"&amp;TEXT(DLR28-utc_offset/24,"YYYYMMDD")&amp;"*"" /stext="" "&amp;TEXT(DLR28-utc_offset/24,"HH")&amp;search_regexp&amp;""""</f>
        <v>#REF!</v>
      </c>
      <c r="DMP28" s="234" t="e">
        <f>astrogrep_path&amp;" /e /r /s /spath="&amp;search_path&amp;" /stypes=""app*"&amp;DLL28&amp;"*"&amp;TEXT(DLS28-utc_offset/24,"YYYYMMDD")&amp;"*"" /stext="" "&amp;TEXT(DLS28-utc_offset/24,"HH")&amp;search_regexp&amp;""""</f>
        <v>#REF!</v>
      </c>
      <c r="DMQ28" s="234" t="e">
        <f>astrogrep_path&amp;" /e /r /s /spath="&amp;search_path&amp;" /stypes=""app*"&amp;DLM28&amp;"*"&amp;TEXT(DLT28-utc_offset/24,"YYYYMMDD")&amp;"*"" /stext="" "&amp;TEXT(DLT28-utc_offset/24,"HH")&amp;search_regexp&amp;""""</f>
        <v>#REF!</v>
      </c>
      <c r="DMR28" s="234" t="e">
        <f>astrogrep_path&amp;" /e /r /s /spath="&amp;search_path&amp;" /stypes=""app*"&amp;DLN28&amp;"*"&amp;TEXT(DLU28-utc_offset/24,"YYYYMMDD")&amp;"*"" /stext="" "&amp;TEXT(DLU28-utc_offset/24,"HH")&amp;search_regexp&amp;""""</f>
        <v>#REF!</v>
      </c>
      <c r="DMS28" s="234" t="e">
        <f>astrogrep_path&amp;" /e /r /s /spath="&amp;search_path&amp;" /stypes=""app*"&amp;DLO28&amp;"*"&amp;TEXT(DLV28-utc_offset/24,"YYYYMMDD")&amp;"*"" /stext="" "&amp;TEXT(DLV28-utc_offset/24,"HH")&amp;search_regexp&amp;""""</f>
        <v>#VALUE!</v>
      </c>
      <c r="DMT28" s="234" t="e">
        <f>astrogrep_path&amp;" /e /r /s /spath="&amp;search_path&amp;" /stypes=""app*"&amp;DLP28&amp;"*"&amp;TEXT(DLW28-utc_offset/24,"YYYYMMDD")&amp;"*"" /stext="" "&amp;TEXT(DLW28-utc_offset/24,"HH")&amp;search_regexp&amp;""""</f>
        <v>#VALUE!</v>
      </c>
      <c r="DMU28" s="234" t="e">
        <f>astrogrep_path&amp;" /e /r /s /spath="&amp;search_path&amp;" /stypes=""app*"&amp;DLQ28&amp;"*"&amp;TEXT(DLX28-utc_offset/24,"YYYYMMDD")&amp;"*"" /stext="" "&amp;TEXT(DLX28-utc_offset/24,"HH")&amp;search_regexp&amp;""""</f>
        <v>#REF!</v>
      </c>
      <c r="DMV28" s="234" t="e">
        <f>astrogrep_path&amp;" /e /r /s /spath="&amp;search_path&amp;" /stypes=""app*"&amp;DLR28&amp;"*"&amp;TEXT(DLY28-utc_offset/24,"YYYYMMDD")&amp;"*"" /stext="" "&amp;TEXT(DLY28-utc_offset/24,"HH")&amp;search_regexp&amp;""""</f>
        <v>#REF!</v>
      </c>
      <c r="DMW28" s="234" t="e">
        <f>astrogrep_path&amp;" /e /r /s /spath="&amp;search_path&amp;" /stypes=""app*"&amp;DLS28&amp;"*"&amp;TEXT(DLZ28-utc_offset/24,"YYYYMMDD")&amp;"*"" /stext="" "&amp;TEXT(DLZ28-utc_offset/24,"HH")&amp;search_regexp&amp;""""</f>
        <v>#VALUE!</v>
      </c>
      <c r="DMX28" s="234" t="e">
        <f>astrogrep_path&amp;" /e /r /s /spath="&amp;search_path&amp;" /stypes=""app*"&amp;DLT28&amp;"*"&amp;TEXT(DMA28-utc_offset/24,"YYYYMMDD")&amp;"*"" /stext="" "&amp;TEXT(DMA28-utc_offset/24,"HH")&amp;search_regexp&amp;""""</f>
        <v>#VALUE!</v>
      </c>
      <c r="DMY28" s="234" t="e">
        <f>astrogrep_path&amp;" /e /r /s /spath="&amp;search_path&amp;" /stypes=""app*"&amp;DLU28&amp;"*"&amp;TEXT(DMB28-utc_offset/24,"YYYYMMDD")&amp;"*"" /stext="" "&amp;TEXT(DMB28-utc_offset/24,"HH")&amp;search_regexp&amp;""""</f>
        <v>#VALUE!</v>
      </c>
      <c r="DMZ28" s="234" t="e">
        <f>astrogrep_path&amp;" /e /r /s /spath="&amp;search_path&amp;" /stypes=""app*"&amp;DLV28&amp;"*"&amp;TEXT(DMC28-utc_offset/24,"YYYYMMDD")&amp;"*"" /stext="" "&amp;TEXT(DMC28-utc_offset/24,"HH")&amp;search_regexp&amp;""""</f>
        <v>#VALUE!</v>
      </c>
      <c r="DNA28" s="234" t="e">
        <f>astrogrep_path&amp;" /e /r /s /spath="&amp;search_path&amp;" /stypes=""app*"&amp;DLW28&amp;"*"&amp;TEXT(DMD28-utc_offset/24,"YYYYMMDD")&amp;"*"" /stext="" "&amp;TEXT(DMD28-utc_offset/24,"HH")&amp;search_regexp&amp;""""</f>
        <v>#VALUE!</v>
      </c>
      <c r="DNB28" s="234" t="e">
        <f>astrogrep_path&amp;" /e /r /s /spath="&amp;search_path&amp;" /stypes=""app*"&amp;DLX28&amp;"*"&amp;TEXT(DME28-utc_offset/24,"YYYYMMDD")&amp;"*"" /stext="" "&amp;TEXT(DME28-utc_offset/24,"HH")&amp;search_regexp&amp;""""</f>
        <v>#REF!</v>
      </c>
      <c r="DNC28" s="234" t="e">
        <f>astrogrep_path&amp;" /e /r /s /spath="&amp;search_path&amp;" /stypes=""app*"&amp;DLY28&amp;"*"&amp;TEXT(DMF28-utc_offset/24,"YYYYMMDD")&amp;"*"" /stext="" "&amp;TEXT(DMF28-utc_offset/24,"HH")&amp;search_regexp&amp;""""</f>
        <v>#REF!</v>
      </c>
      <c r="DND28" s="234" t="e">
        <f>astrogrep_path&amp;" /e /r /s /spath="&amp;search_path&amp;" /stypes=""app*"&amp;DLZ28&amp;"*"&amp;TEXT(DMG28-utc_offset/24,"YYYYMMDD")&amp;"*"" /stext="" "&amp;TEXT(DMG28-utc_offset/24,"HH")&amp;search_regexp&amp;""""</f>
        <v>#REF!</v>
      </c>
      <c r="DNE28" s="234" t="e">
        <f>astrogrep_path&amp;" /e /r /s /spath="&amp;search_path&amp;" /stypes=""app*"&amp;DMA28&amp;"*"&amp;TEXT(DMH28-utc_offset/24,"YYYYMMDD")&amp;"*"" /stext="" "&amp;TEXT(DMH28-utc_offset/24,"HH")&amp;search_regexp&amp;""""</f>
        <v>#REF!</v>
      </c>
      <c r="DNF28" s="234" t="e">
        <f>astrogrep_path&amp;" /e /r /s /spath="&amp;search_path&amp;" /stypes=""app*"&amp;DMB28&amp;"*"&amp;TEXT(DMI28-utc_offset/24,"YYYYMMDD")&amp;"*"" /stext="" "&amp;TEXT(DMI28-utc_offset/24,"HH")&amp;search_regexp&amp;""""</f>
        <v>#REF!</v>
      </c>
      <c r="DNG28" s="234" t="e">
        <f>astrogrep_path&amp;" /e /r /s /spath="&amp;search_path&amp;" /stypes=""app*"&amp;DMC28&amp;"*"&amp;TEXT(DMJ28-utc_offset/24,"YYYYMMDD")&amp;"*"" /stext="" "&amp;TEXT(DMJ28-utc_offset/24,"HH")&amp;search_regexp&amp;""""</f>
        <v>#REF!</v>
      </c>
      <c r="DNH28" s="234" t="e">
        <f>astrogrep_path&amp;" /e /r /s /spath="&amp;search_path&amp;" /stypes=""app*"&amp;DMD28&amp;"*"&amp;TEXT(DMK28-utc_offset/24,"YYYYMMDD")&amp;"*"" /stext="" "&amp;TEXT(DMK28-utc_offset/24,"HH")&amp;search_regexp&amp;""""</f>
        <v>#REF!</v>
      </c>
      <c r="DNI28" s="234" t="e">
        <f>astrogrep_path&amp;" /e /r /s /spath="&amp;search_path&amp;" /stypes=""app*"&amp;DME28&amp;"*"&amp;TEXT(DML28-utc_offset/24,"YYYYMMDD")&amp;"*"" /stext="" "&amp;TEXT(DML28-utc_offset/24,"HH")&amp;search_regexp&amp;""""</f>
        <v>#REF!</v>
      </c>
      <c r="DNJ28" s="234" t="e">
        <f>astrogrep_path&amp;" /e /r /s /spath="&amp;search_path&amp;" /stypes=""app*"&amp;DMF28&amp;"*"&amp;TEXT(DMM28-utc_offset/24,"YYYYMMDD")&amp;"*"" /stext="" "&amp;TEXT(DMM28-utc_offset/24,"HH")&amp;search_regexp&amp;""""</f>
        <v>#REF!</v>
      </c>
      <c r="DNK28" s="234" t="e">
        <f>astrogrep_path&amp;" /e /r /s /spath="&amp;search_path&amp;" /stypes=""app*"&amp;DMG28&amp;"*"&amp;TEXT(DMN28-utc_offset/24,"YYYYMMDD")&amp;"*"" /stext="" "&amp;TEXT(DMN28-utc_offset/24,"HH")&amp;search_regexp&amp;""""</f>
        <v>#REF!</v>
      </c>
      <c r="DNL28" s="234" t="e">
        <f>astrogrep_path&amp;" /e /r /s /spath="&amp;search_path&amp;" /stypes=""app*"&amp;DMH28&amp;"*"&amp;TEXT(DMO28-utc_offset/24,"YYYYMMDD")&amp;"*"" /stext="" "&amp;TEXT(DMO28-utc_offset/24,"HH")&amp;search_regexp&amp;""""</f>
        <v>#REF!</v>
      </c>
      <c r="DNM28" s="234" t="e">
        <f>astrogrep_path&amp;" /e /r /s /spath="&amp;search_path&amp;" /stypes=""app*"&amp;DMI28&amp;"*"&amp;TEXT(DMP28-utc_offset/24,"YYYYMMDD")&amp;"*"" /stext="" "&amp;TEXT(DMP28-utc_offset/24,"HH")&amp;search_regexp&amp;""""</f>
        <v>#REF!</v>
      </c>
      <c r="DNN28" s="234" t="e">
        <f>astrogrep_path&amp;" /e /r /s /spath="&amp;search_path&amp;" /stypes=""app*"&amp;DMJ28&amp;"*"&amp;TEXT(DMQ28-utc_offset/24,"YYYYMMDD")&amp;"*"" /stext="" "&amp;TEXT(DMQ28-utc_offset/24,"HH")&amp;search_regexp&amp;""""</f>
        <v>#REF!</v>
      </c>
      <c r="DNO28" s="234" t="e">
        <f>astrogrep_path&amp;" /e /r /s /spath="&amp;search_path&amp;" /stypes=""app*"&amp;DMK28&amp;"*"&amp;TEXT(DMR28-utc_offset/24,"YYYYMMDD")&amp;"*"" /stext="" "&amp;TEXT(DMR28-utc_offset/24,"HH")&amp;search_regexp&amp;""""</f>
        <v>#REF!</v>
      </c>
      <c r="DNP28" s="234" t="e">
        <f>astrogrep_path&amp;" /e /r /s /spath="&amp;search_path&amp;" /stypes=""app*"&amp;DML28&amp;"*"&amp;TEXT(DMS28-utc_offset/24,"YYYYMMDD")&amp;"*"" /stext="" "&amp;TEXT(DMS28-utc_offset/24,"HH")&amp;search_regexp&amp;""""</f>
        <v>#REF!</v>
      </c>
      <c r="DNQ28" s="234" t="e">
        <f>astrogrep_path&amp;" /e /r /s /spath="&amp;search_path&amp;" /stypes=""app*"&amp;DMM28&amp;"*"&amp;TEXT(DMT28-utc_offset/24,"YYYYMMDD")&amp;"*"" /stext="" "&amp;TEXT(DMT28-utc_offset/24,"HH")&amp;search_regexp&amp;""""</f>
        <v>#REF!</v>
      </c>
      <c r="DNR28" s="234" t="e">
        <f>astrogrep_path&amp;" /e /r /s /spath="&amp;search_path&amp;" /stypes=""app*"&amp;DMN28&amp;"*"&amp;TEXT(DMU28-utc_offset/24,"YYYYMMDD")&amp;"*"" /stext="" "&amp;TEXT(DMU28-utc_offset/24,"HH")&amp;search_regexp&amp;""""</f>
        <v>#REF!</v>
      </c>
      <c r="DNS28" s="234" t="e">
        <f>astrogrep_path&amp;" /e /r /s /spath="&amp;search_path&amp;" /stypes=""app*"&amp;DMO28&amp;"*"&amp;TEXT(DMV28-utc_offset/24,"YYYYMMDD")&amp;"*"" /stext="" "&amp;TEXT(DMV28-utc_offset/24,"HH")&amp;search_regexp&amp;""""</f>
        <v>#REF!</v>
      </c>
      <c r="DNT28" s="234" t="e">
        <f>astrogrep_path&amp;" /e /r /s /spath="&amp;search_path&amp;" /stypes=""app*"&amp;DMP28&amp;"*"&amp;TEXT(DMW28-utc_offset/24,"YYYYMMDD")&amp;"*"" /stext="" "&amp;TEXT(DMW28-utc_offset/24,"HH")&amp;search_regexp&amp;""""</f>
        <v>#REF!</v>
      </c>
      <c r="DNU28" s="234" t="e">
        <f>astrogrep_path&amp;" /e /r /s /spath="&amp;search_path&amp;" /stypes=""app*"&amp;DMQ28&amp;"*"&amp;TEXT(DMX28-utc_offset/24,"YYYYMMDD")&amp;"*"" /stext="" "&amp;TEXT(DMX28-utc_offset/24,"HH")&amp;search_regexp&amp;""""</f>
        <v>#REF!</v>
      </c>
      <c r="DNV28" s="234" t="e">
        <f>astrogrep_path&amp;" /e /r /s /spath="&amp;search_path&amp;" /stypes=""app*"&amp;DMR28&amp;"*"&amp;TEXT(DMY28-utc_offset/24,"YYYYMMDD")&amp;"*"" /stext="" "&amp;TEXT(DMY28-utc_offset/24,"HH")&amp;search_regexp&amp;""""</f>
        <v>#REF!</v>
      </c>
      <c r="DNW28" s="234" t="e">
        <f>astrogrep_path&amp;" /e /r /s /spath="&amp;search_path&amp;" /stypes=""app*"&amp;DMS28&amp;"*"&amp;TEXT(DMZ28-utc_offset/24,"YYYYMMDD")&amp;"*"" /stext="" "&amp;TEXT(DMZ28-utc_offset/24,"HH")&amp;search_regexp&amp;""""</f>
        <v>#VALUE!</v>
      </c>
      <c r="DNX28" s="234" t="e">
        <f>astrogrep_path&amp;" /e /r /s /spath="&amp;search_path&amp;" /stypes=""app*"&amp;DMT28&amp;"*"&amp;TEXT(DNA28-utc_offset/24,"YYYYMMDD")&amp;"*"" /stext="" "&amp;TEXT(DNA28-utc_offset/24,"HH")&amp;search_regexp&amp;""""</f>
        <v>#VALUE!</v>
      </c>
      <c r="DNY28" s="234" t="e">
        <f>astrogrep_path&amp;" /e /r /s /spath="&amp;search_path&amp;" /stypes=""app*"&amp;DMU28&amp;"*"&amp;TEXT(DNB28-utc_offset/24,"YYYYMMDD")&amp;"*"" /stext="" "&amp;TEXT(DNB28-utc_offset/24,"HH")&amp;search_regexp&amp;""""</f>
        <v>#REF!</v>
      </c>
      <c r="DNZ28" s="234" t="e">
        <f>astrogrep_path&amp;" /e /r /s /spath="&amp;search_path&amp;" /stypes=""app*"&amp;DMV28&amp;"*"&amp;TEXT(DNC28-utc_offset/24,"YYYYMMDD")&amp;"*"" /stext="" "&amp;TEXT(DNC28-utc_offset/24,"HH")&amp;search_regexp&amp;""""</f>
        <v>#REF!</v>
      </c>
      <c r="DOA28" s="234" t="e">
        <f>astrogrep_path&amp;" /e /r /s /spath="&amp;search_path&amp;" /stypes=""app*"&amp;DMW28&amp;"*"&amp;TEXT(DND28-utc_offset/24,"YYYYMMDD")&amp;"*"" /stext="" "&amp;TEXT(DND28-utc_offset/24,"HH")&amp;search_regexp&amp;""""</f>
        <v>#VALUE!</v>
      </c>
      <c r="DOB28" s="234" t="e">
        <f>astrogrep_path&amp;" /e /r /s /spath="&amp;search_path&amp;" /stypes=""app*"&amp;DMX28&amp;"*"&amp;TEXT(DNE28-utc_offset/24,"YYYYMMDD")&amp;"*"" /stext="" "&amp;TEXT(DNE28-utc_offset/24,"HH")&amp;search_regexp&amp;""""</f>
        <v>#VALUE!</v>
      </c>
      <c r="DOC28" s="234" t="e">
        <f>astrogrep_path&amp;" /e /r /s /spath="&amp;search_path&amp;" /stypes=""app*"&amp;DMY28&amp;"*"&amp;TEXT(DNF28-utc_offset/24,"YYYYMMDD")&amp;"*"" /stext="" "&amp;TEXT(DNF28-utc_offset/24,"HH")&amp;search_regexp&amp;""""</f>
        <v>#VALUE!</v>
      </c>
      <c r="DOD28" s="234" t="e">
        <f>astrogrep_path&amp;" /e /r /s /spath="&amp;search_path&amp;" /stypes=""app*"&amp;DMZ28&amp;"*"&amp;TEXT(DNG28-utc_offset/24,"YYYYMMDD")&amp;"*"" /stext="" "&amp;TEXT(DNG28-utc_offset/24,"HH")&amp;search_regexp&amp;""""</f>
        <v>#VALUE!</v>
      </c>
      <c r="DOE28" s="234" t="e">
        <f>astrogrep_path&amp;" /e /r /s /spath="&amp;search_path&amp;" /stypes=""app*"&amp;DNA28&amp;"*"&amp;TEXT(DNH28-utc_offset/24,"YYYYMMDD")&amp;"*"" /stext="" "&amp;TEXT(DNH28-utc_offset/24,"HH")&amp;search_regexp&amp;""""</f>
        <v>#VALUE!</v>
      </c>
      <c r="DOF28" s="234" t="e">
        <f>astrogrep_path&amp;" /e /r /s /spath="&amp;search_path&amp;" /stypes=""app*"&amp;DNB28&amp;"*"&amp;TEXT(DNI28-utc_offset/24,"YYYYMMDD")&amp;"*"" /stext="" "&amp;TEXT(DNI28-utc_offset/24,"HH")&amp;search_regexp&amp;""""</f>
        <v>#REF!</v>
      </c>
      <c r="DOG28" s="234" t="e">
        <f>astrogrep_path&amp;" /e /r /s /spath="&amp;search_path&amp;" /stypes=""app*"&amp;DNC28&amp;"*"&amp;TEXT(DNJ28-utc_offset/24,"YYYYMMDD")&amp;"*"" /stext="" "&amp;TEXT(DNJ28-utc_offset/24,"HH")&amp;search_regexp&amp;""""</f>
        <v>#REF!</v>
      </c>
      <c r="DOH28" s="234" t="e">
        <f>astrogrep_path&amp;" /e /r /s /spath="&amp;search_path&amp;" /stypes=""app*"&amp;DND28&amp;"*"&amp;TEXT(DNK28-utc_offset/24,"YYYYMMDD")&amp;"*"" /stext="" "&amp;TEXT(DNK28-utc_offset/24,"HH")&amp;search_regexp&amp;""""</f>
        <v>#REF!</v>
      </c>
      <c r="DOI28" s="234" t="e">
        <f>astrogrep_path&amp;" /e /r /s /spath="&amp;search_path&amp;" /stypes=""app*"&amp;DNE28&amp;"*"&amp;TEXT(DNL28-utc_offset/24,"YYYYMMDD")&amp;"*"" /stext="" "&amp;TEXT(DNL28-utc_offset/24,"HH")&amp;search_regexp&amp;""""</f>
        <v>#REF!</v>
      </c>
      <c r="DOJ28" s="234" t="e">
        <f>astrogrep_path&amp;" /e /r /s /spath="&amp;search_path&amp;" /stypes=""app*"&amp;DNF28&amp;"*"&amp;TEXT(DNM28-utc_offset/24,"YYYYMMDD")&amp;"*"" /stext="" "&amp;TEXT(DNM28-utc_offset/24,"HH")&amp;search_regexp&amp;""""</f>
        <v>#REF!</v>
      </c>
      <c r="DOK28" s="234" t="e">
        <f>astrogrep_path&amp;" /e /r /s /spath="&amp;search_path&amp;" /stypes=""app*"&amp;DNG28&amp;"*"&amp;TEXT(DNN28-utc_offset/24,"YYYYMMDD")&amp;"*"" /stext="" "&amp;TEXT(DNN28-utc_offset/24,"HH")&amp;search_regexp&amp;""""</f>
        <v>#REF!</v>
      </c>
      <c r="DOL28" s="234" t="e">
        <f>astrogrep_path&amp;" /e /r /s /spath="&amp;search_path&amp;" /stypes=""app*"&amp;DNH28&amp;"*"&amp;TEXT(DNO28-utc_offset/24,"YYYYMMDD")&amp;"*"" /stext="" "&amp;TEXT(DNO28-utc_offset/24,"HH")&amp;search_regexp&amp;""""</f>
        <v>#REF!</v>
      </c>
      <c r="DOM28" s="234" t="e">
        <f>astrogrep_path&amp;" /e /r /s /spath="&amp;search_path&amp;" /stypes=""app*"&amp;DNI28&amp;"*"&amp;TEXT(DNP28-utc_offset/24,"YYYYMMDD")&amp;"*"" /stext="" "&amp;TEXT(DNP28-utc_offset/24,"HH")&amp;search_regexp&amp;""""</f>
        <v>#REF!</v>
      </c>
      <c r="DON28" s="234" t="e">
        <f>astrogrep_path&amp;" /e /r /s /spath="&amp;search_path&amp;" /stypes=""app*"&amp;DNJ28&amp;"*"&amp;TEXT(DNQ28-utc_offset/24,"YYYYMMDD")&amp;"*"" /stext="" "&amp;TEXT(DNQ28-utc_offset/24,"HH")&amp;search_regexp&amp;""""</f>
        <v>#REF!</v>
      </c>
      <c r="DOO28" s="234" t="e">
        <f>astrogrep_path&amp;" /e /r /s /spath="&amp;search_path&amp;" /stypes=""app*"&amp;DNK28&amp;"*"&amp;TEXT(DNR28-utc_offset/24,"YYYYMMDD")&amp;"*"" /stext="" "&amp;TEXT(DNR28-utc_offset/24,"HH")&amp;search_regexp&amp;""""</f>
        <v>#REF!</v>
      </c>
      <c r="DOP28" s="234" t="e">
        <f>astrogrep_path&amp;" /e /r /s /spath="&amp;search_path&amp;" /stypes=""app*"&amp;DNL28&amp;"*"&amp;TEXT(DNS28-utc_offset/24,"YYYYMMDD")&amp;"*"" /stext="" "&amp;TEXT(DNS28-utc_offset/24,"HH")&amp;search_regexp&amp;""""</f>
        <v>#REF!</v>
      </c>
      <c r="DOQ28" s="234" t="e">
        <f>astrogrep_path&amp;" /e /r /s /spath="&amp;search_path&amp;" /stypes=""app*"&amp;DNM28&amp;"*"&amp;TEXT(DNT28-utc_offset/24,"YYYYMMDD")&amp;"*"" /stext="" "&amp;TEXT(DNT28-utc_offset/24,"HH")&amp;search_regexp&amp;""""</f>
        <v>#REF!</v>
      </c>
      <c r="DOR28" s="234" t="e">
        <f>astrogrep_path&amp;" /e /r /s /spath="&amp;search_path&amp;" /stypes=""app*"&amp;DNN28&amp;"*"&amp;TEXT(DNU28-utc_offset/24,"YYYYMMDD")&amp;"*"" /stext="" "&amp;TEXT(DNU28-utc_offset/24,"HH")&amp;search_regexp&amp;""""</f>
        <v>#REF!</v>
      </c>
      <c r="DOS28" s="234" t="e">
        <f>astrogrep_path&amp;" /e /r /s /spath="&amp;search_path&amp;" /stypes=""app*"&amp;DNO28&amp;"*"&amp;TEXT(DNV28-utc_offset/24,"YYYYMMDD")&amp;"*"" /stext="" "&amp;TEXT(DNV28-utc_offset/24,"HH")&amp;search_regexp&amp;""""</f>
        <v>#REF!</v>
      </c>
      <c r="DOT28" s="234" t="e">
        <f>astrogrep_path&amp;" /e /r /s /spath="&amp;search_path&amp;" /stypes=""app*"&amp;DNP28&amp;"*"&amp;TEXT(DNW28-utc_offset/24,"YYYYMMDD")&amp;"*"" /stext="" "&amp;TEXT(DNW28-utc_offset/24,"HH")&amp;search_regexp&amp;""""</f>
        <v>#REF!</v>
      </c>
      <c r="DOU28" s="234" t="e">
        <f>astrogrep_path&amp;" /e /r /s /spath="&amp;search_path&amp;" /stypes=""app*"&amp;DNQ28&amp;"*"&amp;TEXT(DNX28-utc_offset/24,"YYYYMMDD")&amp;"*"" /stext="" "&amp;TEXT(DNX28-utc_offset/24,"HH")&amp;search_regexp&amp;""""</f>
        <v>#REF!</v>
      </c>
      <c r="DOV28" s="234" t="e">
        <f>astrogrep_path&amp;" /e /r /s /spath="&amp;search_path&amp;" /stypes=""app*"&amp;DNR28&amp;"*"&amp;TEXT(DNY28-utc_offset/24,"YYYYMMDD")&amp;"*"" /stext="" "&amp;TEXT(DNY28-utc_offset/24,"HH")&amp;search_regexp&amp;""""</f>
        <v>#REF!</v>
      </c>
      <c r="DOW28" s="234" t="e">
        <f>astrogrep_path&amp;" /e /r /s /spath="&amp;search_path&amp;" /stypes=""app*"&amp;DNS28&amp;"*"&amp;TEXT(DNZ28-utc_offset/24,"YYYYMMDD")&amp;"*"" /stext="" "&amp;TEXT(DNZ28-utc_offset/24,"HH")&amp;search_regexp&amp;""""</f>
        <v>#REF!</v>
      </c>
      <c r="DOX28" s="234" t="e">
        <f>astrogrep_path&amp;" /e /r /s /spath="&amp;search_path&amp;" /stypes=""app*"&amp;DNT28&amp;"*"&amp;TEXT(DOA28-utc_offset/24,"YYYYMMDD")&amp;"*"" /stext="" "&amp;TEXT(DOA28-utc_offset/24,"HH")&amp;search_regexp&amp;""""</f>
        <v>#REF!</v>
      </c>
      <c r="DOY28" s="234" t="e">
        <f>astrogrep_path&amp;" /e /r /s /spath="&amp;search_path&amp;" /stypes=""app*"&amp;DNU28&amp;"*"&amp;TEXT(DOB28-utc_offset/24,"YYYYMMDD")&amp;"*"" /stext="" "&amp;TEXT(DOB28-utc_offset/24,"HH")&amp;search_regexp&amp;""""</f>
        <v>#REF!</v>
      </c>
      <c r="DOZ28" s="234" t="e">
        <f>astrogrep_path&amp;" /e /r /s /spath="&amp;search_path&amp;" /stypes=""app*"&amp;DNV28&amp;"*"&amp;TEXT(DOC28-utc_offset/24,"YYYYMMDD")&amp;"*"" /stext="" "&amp;TEXT(DOC28-utc_offset/24,"HH")&amp;search_regexp&amp;""""</f>
        <v>#REF!</v>
      </c>
      <c r="DPA28" s="234" t="e">
        <f>astrogrep_path&amp;" /e /r /s /spath="&amp;search_path&amp;" /stypes=""app*"&amp;DNW28&amp;"*"&amp;TEXT(DOD28-utc_offset/24,"YYYYMMDD")&amp;"*"" /stext="" "&amp;TEXT(DOD28-utc_offset/24,"HH")&amp;search_regexp&amp;""""</f>
        <v>#VALUE!</v>
      </c>
      <c r="DPB28" s="234" t="e">
        <f>astrogrep_path&amp;" /e /r /s /spath="&amp;search_path&amp;" /stypes=""app*"&amp;DNX28&amp;"*"&amp;TEXT(DOE28-utc_offset/24,"YYYYMMDD")&amp;"*"" /stext="" "&amp;TEXT(DOE28-utc_offset/24,"HH")&amp;search_regexp&amp;""""</f>
        <v>#VALUE!</v>
      </c>
      <c r="DPC28" s="234" t="e">
        <f>astrogrep_path&amp;" /e /r /s /spath="&amp;search_path&amp;" /stypes=""app*"&amp;DNY28&amp;"*"&amp;TEXT(DOF28-utc_offset/24,"YYYYMMDD")&amp;"*"" /stext="" "&amp;TEXT(DOF28-utc_offset/24,"HH")&amp;search_regexp&amp;""""</f>
        <v>#REF!</v>
      </c>
      <c r="DPD28" s="234" t="e">
        <f>astrogrep_path&amp;" /e /r /s /spath="&amp;search_path&amp;" /stypes=""app*"&amp;DNZ28&amp;"*"&amp;TEXT(DOG28-utc_offset/24,"YYYYMMDD")&amp;"*"" /stext="" "&amp;TEXT(DOG28-utc_offset/24,"HH")&amp;search_regexp&amp;""""</f>
        <v>#REF!</v>
      </c>
      <c r="DPE28" s="234" t="e">
        <f>astrogrep_path&amp;" /e /r /s /spath="&amp;search_path&amp;" /stypes=""app*"&amp;DOA28&amp;"*"&amp;TEXT(DOH28-utc_offset/24,"YYYYMMDD")&amp;"*"" /stext="" "&amp;TEXT(DOH28-utc_offset/24,"HH")&amp;search_regexp&amp;""""</f>
        <v>#VALUE!</v>
      </c>
      <c r="DPF28" s="234" t="e">
        <f>astrogrep_path&amp;" /e /r /s /spath="&amp;search_path&amp;" /stypes=""app*"&amp;DOB28&amp;"*"&amp;TEXT(DOI28-utc_offset/24,"YYYYMMDD")&amp;"*"" /stext="" "&amp;TEXT(DOI28-utc_offset/24,"HH")&amp;search_regexp&amp;""""</f>
        <v>#VALUE!</v>
      </c>
      <c r="DPG28" s="234" t="e">
        <f>astrogrep_path&amp;" /e /r /s /spath="&amp;search_path&amp;" /stypes=""app*"&amp;DOC28&amp;"*"&amp;TEXT(DOJ28-utc_offset/24,"YYYYMMDD")&amp;"*"" /stext="" "&amp;TEXT(DOJ28-utc_offset/24,"HH")&amp;search_regexp&amp;""""</f>
        <v>#VALUE!</v>
      </c>
      <c r="DPH28" s="234" t="e">
        <f>astrogrep_path&amp;" /e /r /s /spath="&amp;search_path&amp;" /stypes=""app*"&amp;DOD28&amp;"*"&amp;TEXT(DOK28-utc_offset/24,"YYYYMMDD")&amp;"*"" /stext="" "&amp;TEXT(DOK28-utc_offset/24,"HH")&amp;search_regexp&amp;""""</f>
        <v>#VALUE!</v>
      </c>
      <c r="DPI28" s="234" t="e">
        <f>astrogrep_path&amp;" /e /r /s /spath="&amp;search_path&amp;" /stypes=""app*"&amp;DOE28&amp;"*"&amp;TEXT(DOL28-utc_offset/24,"YYYYMMDD")&amp;"*"" /stext="" "&amp;TEXT(DOL28-utc_offset/24,"HH")&amp;search_regexp&amp;""""</f>
        <v>#VALUE!</v>
      </c>
      <c r="DPJ28" s="234" t="e">
        <f>astrogrep_path&amp;" /e /r /s /spath="&amp;search_path&amp;" /stypes=""app*"&amp;DOF28&amp;"*"&amp;TEXT(DOM28-utc_offset/24,"YYYYMMDD")&amp;"*"" /stext="" "&amp;TEXT(DOM28-utc_offset/24,"HH")&amp;search_regexp&amp;""""</f>
        <v>#REF!</v>
      </c>
      <c r="DPK28" s="234" t="e">
        <f>astrogrep_path&amp;" /e /r /s /spath="&amp;search_path&amp;" /stypes=""app*"&amp;DOG28&amp;"*"&amp;TEXT(DON28-utc_offset/24,"YYYYMMDD")&amp;"*"" /stext="" "&amp;TEXT(DON28-utc_offset/24,"HH")&amp;search_regexp&amp;""""</f>
        <v>#REF!</v>
      </c>
      <c r="DPL28" s="234" t="e">
        <f>astrogrep_path&amp;" /e /r /s /spath="&amp;search_path&amp;" /stypes=""app*"&amp;DOH28&amp;"*"&amp;TEXT(DOO28-utc_offset/24,"YYYYMMDD")&amp;"*"" /stext="" "&amp;TEXT(DOO28-utc_offset/24,"HH")&amp;search_regexp&amp;""""</f>
        <v>#REF!</v>
      </c>
      <c r="DPM28" s="234" t="e">
        <f>astrogrep_path&amp;" /e /r /s /spath="&amp;search_path&amp;" /stypes=""app*"&amp;DOI28&amp;"*"&amp;TEXT(DOP28-utc_offset/24,"YYYYMMDD")&amp;"*"" /stext="" "&amp;TEXT(DOP28-utc_offset/24,"HH")&amp;search_regexp&amp;""""</f>
        <v>#REF!</v>
      </c>
      <c r="DPN28" s="234" t="e">
        <f>astrogrep_path&amp;" /e /r /s /spath="&amp;search_path&amp;" /stypes=""app*"&amp;DOJ28&amp;"*"&amp;TEXT(DOQ28-utc_offset/24,"YYYYMMDD")&amp;"*"" /stext="" "&amp;TEXT(DOQ28-utc_offset/24,"HH")&amp;search_regexp&amp;""""</f>
        <v>#REF!</v>
      </c>
      <c r="DPO28" s="234" t="e">
        <f>astrogrep_path&amp;" /e /r /s /spath="&amp;search_path&amp;" /stypes=""app*"&amp;DOK28&amp;"*"&amp;TEXT(DOR28-utc_offset/24,"YYYYMMDD")&amp;"*"" /stext="" "&amp;TEXT(DOR28-utc_offset/24,"HH")&amp;search_regexp&amp;""""</f>
        <v>#REF!</v>
      </c>
      <c r="DPP28" s="234" t="e">
        <f>astrogrep_path&amp;" /e /r /s /spath="&amp;search_path&amp;" /stypes=""app*"&amp;DOL28&amp;"*"&amp;TEXT(DOS28-utc_offset/24,"YYYYMMDD")&amp;"*"" /stext="" "&amp;TEXT(DOS28-utc_offset/24,"HH")&amp;search_regexp&amp;""""</f>
        <v>#REF!</v>
      </c>
      <c r="DPQ28" s="234" t="e">
        <f>astrogrep_path&amp;" /e /r /s /spath="&amp;search_path&amp;" /stypes=""app*"&amp;DOM28&amp;"*"&amp;TEXT(DOT28-utc_offset/24,"YYYYMMDD")&amp;"*"" /stext="" "&amp;TEXT(DOT28-utc_offset/24,"HH")&amp;search_regexp&amp;""""</f>
        <v>#REF!</v>
      </c>
      <c r="DPR28" s="234" t="e">
        <f>astrogrep_path&amp;" /e /r /s /spath="&amp;search_path&amp;" /stypes=""app*"&amp;DON28&amp;"*"&amp;TEXT(DOU28-utc_offset/24,"YYYYMMDD")&amp;"*"" /stext="" "&amp;TEXT(DOU28-utc_offset/24,"HH")&amp;search_regexp&amp;""""</f>
        <v>#REF!</v>
      </c>
      <c r="DPS28" s="234" t="e">
        <f>astrogrep_path&amp;" /e /r /s /spath="&amp;search_path&amp;" /stypes=""app*"&amp;DOO28&amp;"*"&amp;TEXT(DOV28-utc_offset/24,"YYYYMMDD")&amp;"*"" /stext="" "&amp;TEXT(DOV28-utc_offset/24,"HH")&amp;search_regexp&amp;""""</f>
        <v>#REF!</v>
      </c>
      <c r="DPT28" s="234" t="e">
        <f>astrogrep_path&amp;" /e /r /s /spath="&amp;search_path&amp;" /stypes=""app*"&amp;DOP28&amp;"*"&amp;TEXT(DOW28-utc_offset/24,"YYYYMMDD")&amp;"*"" /stext="" "&amp;TEXT(DOW28-utc_offset/24,"HH")&amp;search_regexp&amp;""""</f>
        <v>#REF!</v>
      </c>
      <c r="DPU28" s="234" t="e">
        <f>astrogrep_path&amp;" /e /r /s /spath="&amp;search_path&amp;" /stypes=""app*"&amp;DOQ28&amp;"*"&amp;TEXT(DOX28-utc_offset/24,"YYYYMMDD")&amp;"*"" /stext="" "&amp;TEXT(DOX28-utc_offset/24,"HH")&amp;search_regexp&amp;""""</f>
        <v>#REF!</v>
      </c>
      <c r="DPV28" s="234" t="e">
        <f>astrogrep_path&amp;" /e /r /s /spath="&amp;search_path&amp;" /stypes=""app*"&amp;DOR28&amp;"*"&amp;TEXT(DOY28-utc_offset/24,"YYYYMMDD")&amp;"*"" /stext="" "&amp;TEXT(DOY28-utc_offset/24,"HH")&amp;search_regexp&amp;""""</f>
        <v>#REF!</v>
      </c>
      <c r="DPW28" s="234" t="e">
        <f>astrogrep_path&amp;" /e /r /s /spath="&amp;search_path&amp;" /stypes=""app*"&amp;DOS28&amp;"*"&amp;TEXT(DOZ28-utc_offset/24,"YYYYMMDD")&amp;"*"" /stext="" "&amp;TEXT(DOZ28-utc_offset/24,"HH")&amp;search_regexp&amp;""""</f>
        <v>#REF!</v>
      </c>
      <c r="DPX28" s="234" t="e">
        <f>astrogrep_path&amp;" /e /r /s /spath="&amp;search_path&amp;" /stypes=""app*"&amp;DOT28&amp;"*"&amp;TEXT(DPA28-utc_offset/24,"YYYYMMDD")&amp;"*"" /stext="" "&amp;TEXT(DPA28-utc_offset/24,"HH")&amp;search_regexp&amp;""""</f>
        <v>#REF!</v>
      </c>
      <c r="DPY28" s="234" t="e">
        <f>astrogrep_path&amp;" /e /r /s /spath="&amp;search_path&amp;" /stypes=""app*"&amp;DOU28&amp;"*"&amp;TEXT(DPB28-utc_offset/24,"YYYYMMDD")&amp;"*"" /stext="" "&amp;TEXT(DPB28-utc_offset/24,"HH")&amp;search_regexp&amp;""""</f>
        <v>#REF!</v>
      </c>
      <c r="DPZ28" s="234" t="e">
        <f>astrogrep_path&amp;" /e /r /s /spath="&amp;search_path&amp;" /stypes=""app*"&amp;DOV28&amp;"*"&amp;TEXT(DPC28-utc_offset/24,"YYYYMMDD")&amp;"*"" /stext="" "&amp;TEXT(DPC28-utc_offset/24,"HH")&amp;search_regexp&amp;""""</f>
        <v>#REF!</v>
      </c>
      <c r="DQA28" s="234" t="e">
        <f>astrogrep_path&amp;" /e /r /s /spath="&amp;search_path&amp;" /stypes=""app*"&amp;DOW28&amp;"*"&amp;TEXT(DPD28-utc_offset/24,"YYYYMMDD")&amp;"*"" /stext="" "&amp;TEXT(DPD28-utc_offset/24,"HH")&amp;search_regexp&amp;""""</f>
        <v>#REF!</v>
      </c>
      <c r="DQB28" s="234" t="e">
        <f>astrogrep_path&amp;" /e /r /s /spath="&amp;search_path&amp;" /stypes=""app*"&amp;DOX28&amp;"*"&amp;TEXT(DPE28-utc_offset/24,"YYYYMMDD")&amp;"*"" /stext="" "&amp;TEXT(DPE28-utc_offset/24,"HH")&amp;search_regexp&amp;""""</f>
        <v>#REF!</v>
      </c>
      <c r="DQC28" s="234" t="e">
        <f>astrogrep_path&amp;" /e /r /s /spath="&amp;search_path&amp;" /stypes=""app*"&amp;DOY28&amp;"*"&amp;TEXT(DPF28-utc_offset/24,"YYYYMMDD")&amp;"*"" /stext="" "&amp;TEXT(DPF28-utc_offset/24,"HH")&amp;search_regexp&amp;""""</f>
        <v>#REF!</v>
      </c>
      <c r="DQD28" s="234" t="e">
        <f>astrogrep_path&amp;" /e /r /s /spath="&amp;search_path&amp;" /stypes=""app*"&amp;DOZ28&amp;"*"&amp;TEXT(DPG28-utc_offset/24,"YYYYMMDD")&amp;"*"" /stext="" "&amp;TEXT(DPG28-utc_offset/24,"HH")&amp;search_regexp&amp;""""</f>
        <v>#REF!</v>
      </c>
      <c r="DQE28" s="234" t="e">
        <f>astrogrep_path&amp;" /e /r /s /spath="&amp;search_path&amp;" /stypes=""app*"&amp;DPA28&amp;"*"&amp;TEXT(DPH28-utc_offset/24,"YYYYMMDD")&amp;"*"" /stext="" "&amp;TEXT(DPH28-utc_offset/24,"HH")&amp;search_regexp&amp;""""</f>
        <v>#VALUE!</v>
      </c>
      <c r="DQF28" s="234" t="e">
        <f>astrogrep_path&amp;" /e /r /s /spath="&amp;search_path&amp;" /stypes=""app*"&amp;DPB28&amp;"*"&amp;TEXT(DPI28-utc_offset/24,"YYYYMMDD")&amp;"*"" /stext="" "&amp;TEXT(DPI28-utc_offset/24,"HH")&amp;search_regexp&amp;""""</f>
        <v>#VALUE!</v>
      </c>
      <c r="DQG28" s="234" t="e">
        <f>astrogrep_path&amp;" /e /r /s /spath="&amp;search_path&amp;" /stypes=""app*"&amp;DPC28&amp;"*"&amp;TEXT(DPJ28-utc_offset/24,"YYYYMMDD")&amp;"*"" /stext="" "&amp;TEXT(DPJ28-utc_offset/24,"HH")&amp;search_regexp&amp;""""</f>
        <v>#REF!</v>
      </c>
      <c r="DQH28" s="234" t="e">
        <f>astrogrep_path&amp;" /e /r /s /spath="&amp;search_path&amp;" /stypes=""app*"&amp;DPD28&amp;"*"&amp;TEXT(DPK28-utc_offset/24,"YYYYMMDD")&amp;"*"" /stext="" "&amp;TEXT(DPK28-utc_offset/24,"HH")&amp;search_regexp&amp;""""</f>
        <v>#REF!</v>
      </c>
      <c r="DQI28" s="234" t="e">
        <f>astrogrep_path&amp;" /e /r /s /spath="&amp;search_path&amp;" /stypes=""app*"&amp;DPE28&amp;"*"&amp;TEXT(DPL28-utc_offset/24,"YYYYMMDD")&amp;"*"" /stext="" "&amp;TEXT(DPL28-utc_offset/24,"HH")&amp;search_regexp&amp;""""</f>
        <v>#VALUE!</v>
      </c>
      <c r="DQJ28" s="234" t="e">
        <f>astrogrep_path&amp;" /e /r /s /spath="&amp;search_path&amp;" /stypes=""app*"&amp;DPF28&amp;"*"&amp;TEXT(DPM28-utc_offset/24,"YYYYMMDD")&amp;"*"" /stext="" "&amp;TEXT(DPM28-utc_offset/24,"HH")&amp;search_regexp&amp;""""</f>
        <v>#VALUE!</v>
      </c>
      <c r="DQK28" s="234" t="e">
        <f>astrogrep_path&amp;" /e /r /s /spath="&amp;search_path&amp;" /stypes=""app*"&amp;DPG28&amp;"*"&amp;TEXT(DPN28-utc_offset/24,"YYYYMMDD")&amp;"*"" /stext="" "&amp;TEXT(DPN28-utc_offset/24,"HH")&amp;search_regexp&amp;""""</f>
        <v>#VALUE!</v>
      </c>
      <c r="DQL28" s="234" t="e">
        <f>astrogrep_path&amp;" /e /r /s /spath="&amp;search_path&amp;" /stypes=""app*"&amp;DPH28&amp;"*"&amp;TEXT(DPO28-utc_offset/24,"YYYYMMDD")&amp;"*"" /stext="" "&amp;TEXT(DPO28-utc_offset/24,"HH")&amp;search_regexp&amp;""""</f>
        <v>#VALUE!</v>
      </c>
      <c r="DQM28" s="234" t="e">
        <f>astrogrep_path&amp;" /e /r /s /spath="&amp;search_path&amp;" /stypes=""app*"&amp;DPI28&amp;"*"&amp;TEXT(DPP28-utc_offset/24,"YYYYMMDD")&amp;"*"" /stext="" "&amp;TEXT(DPP28-utc_offset/24,"HH")&amp;search_regexp&amp;""""</f>
        <v>#VALUE!</v>
      </c>
      <c r="DQN28" s="234" t="e">
        <f>astrogrep_path&amp;" /e /r /s /spath="&amp;search_path&amp;" /stypes=""app*"&amp;DPJ28&amp;"*"&amp;TEXT(DPQ28-utc_offset/24,"YYYYMMDD")&amp;"*"" /stext="" "&amp;TEXT(DPQ28-utc_offset/24,"HH")&amp;search_regexp&amp;""""</f>
        <v>#REF!</v>
      </c>
      <c r="DQO28" s="234" t="e">
        <f>astrogrep_path&amp;" /e /r /s /spath="&amp;search_path&amp;" /stypes=""app*"&amp;DPK28&amp;"*"&amp;TEXT(DPR28-utc_offset/24,"YYYYMMDD")&amp;"*"" /stext="" "&amp;TEXT(DPR28-utc_offset/24,"HH")&amp;search_regexp&amp;""""</f>
        <v>#REF!</v>
      </c>
      <c r="DQP28" s="234" t="e">
        <f>astrogrep_path&amp;" /e /r /s /spath="&amp;search_path&amp;" /stypes=""app*"&amp;DPL28&amp;"*"&amp;TEXT(DPS28-utc_offset/24,"YYYYMMDD")&amp;"*"" /stext="" "&amp;TEXT(DPS28-utc_offset/24,"HH")&amp;search_regexp&amp;""""</f>
        <v>#REF!</v>
      </c>
      <c r="DQQ28" s="234" t="e">
        <f>astrogrep_path&amp;" /e /r /s /spath="&amp;search_path&amp;" /stypes=""app*"&amp;DPM28&amp;"*"&amp;TEXT(DPT28-utc_offset/24,"YYYYMMDD")&amp;"*"" /stext="" "&amp;TEXT(DPT28-utc_offset/24,"HH")&amp;search_regexp&amp;""""</f>
        <v>#REF!</v>
      </c>
      <c r="DQR28" s="234" t="e">
        <f>astrogrep_path&amp;" /e /r /s /spath="&amp;search_path&amp;" /stypes=""app*"&amp;DPN28&amp;"*"&amp;TEXT(DPU28-utc_offset/24,"YYYYMMDD")&amp;"*"" /stext="" "&amp;TEXT(DPU28-utc_offset/24,"HH")&amp;search_regexp&amp;""""</f>
        <v>#REF!</v>
      </c>
      <c r="DQS28" s="234" t="e">
        <f>astrogrep_path&amp;" /e /r /s /spath="&amp;search_path&amp;" /stypes=""app*"&amp;DPO28&amp;"*"&amp;TEXT(DPV28-utc_offset/24,"YYYYMMDD")&amp;"*"" /stext="" "&amp;TEXT(DPV28-utc_offset/24,"HH")&amp;search_regexp&amp;""""</f>
        <v>#REF!</v>
      </c>
      <c r="DQT28" s="234" t="e">
        <f>astrogrep_path&amp;" /e /r /s /spath="&amp;search_path&amp;" /stypes=""app*"&amp;DPP28&amp;"*"&amp;TEXT(DPW28-utc_offset/24,"YYYYMMDD")&amp;"*"" /stext="" "&amp;TEXT(DPW28-utc_offset/24,"HH")&amp;search_regexp&amp;""""</f>
        <v>#REF!</v>
      </c>
      <c r="DQU28" s="234" t="e">
        <f>astrogrep_path&amp;" /e /r /s /spath="&amp;search_path&amp;" /stypes=""app*"&amp;DPQ28&amp;"*"&amp;TEXT(DPX28-utc_offset/24,"YYYYMMDD")&amp;"*"" /stext="" "&amp;TEXT(DPX28-utc_offset/24,"HH")&amp;search_regexp&amp;""""</f>
        <v>#REF!</v>
      </c>
      <c r="DQV28" s="234" t="e">
        <f>astrogrep_path&amp;" /e /r /s /spath="&amp;search_path&amp;" /stypes=""app*"&amp;DPR28&amp;"*"&amp;TEXT(DPY28-utc_offset/24,"YYYYMMDD")&amp;"*"" /stext="" "&amp;TEXT(DPY28-utc_offset/24,"HH")&amp;search_regexp&amp;""""</f>
        <v>#REF!</v>
      </c>
      <c r="DQW28" s="234" t="e">
        <f>astrogrep_path&amp;" /e /r /s /spath="&amp;search_path&amp;" /stypes=""app*"&amp;DPS28&amp;"*"&amp;TEXT(DPZ28-utc_offset/24,"YYYYMMDD")&amp;"*"" /stext="" "&amp;TEXT(DPZ28-utc_offset/24,"HH")&amp;search_regexp&amp;""""</f>
        <v>#REF!</v>
      </c>
      <c r="DQX28" s="234" t="e">
        <f>astrogrep_path&amp;" /e /r /s /spath="&amp;search_path&amp;" /stypes=""app*"&amp;DPT28&amp;"*"&amp;TEXT(DQA28-utc_offset/24,"YYYYMMDD")&amp;"*"" /stext="" "&amp;TEXT(DQA28-utc_offset/24,"HH")&amp;search_regexp&amp;""""</f>
        <v>#REF!</v>
      </c>
      <c r="DQY28" s="234" t="e">
        <f>astrogrep_path&amp;" /e /r /s /spath="&amp;search_path&amp;" /stypes=""app*"&amp;DPU28&amp;"*"&amp;TEXT(DQB28-utc_offset/24,"YYYYMMDD")&amp;"*"" /stext="" "&amp;TEXT(DQB28-utc_offset/24,"HH")&amp;search_regexp&amp;""""</f>
        <v>#REF!</v>
      </c>
      <c r="DQZ28" s="234" t="e">
        <f>astrogrep_path&amp;" /e /r /s /spath="&amp;search_path&amp;" /stypes=""app*"&amp;DPV28&amp;"*"&amp;TEXT(DQC28-utc_offset/24,"YYYYMMDD")&amp;"*"" /stext="" "&amp;TEXT(DQC28-utc_offset/24,"HH")&amp;search_regexp&amp;""""</f>
        <v>#REF!</v>
      </c>
      <c r="DRA28" s="234" t="e">
        <f>astrogrep_path&amp;" /e /r /s /spath="&amp;search_path&amp;" /stypes=""app*"&amp;DPW28&amp;"*"&amp;TEXT(DQD28-utc_offset/24,"YYYYMMDD")&amp;"*"" /stext="" "&amp;TEXT(DQD28-utc_offset/24,"HH")&amp;search_regexp&amp;""""</f>
        <v>#REF!</v>
      </c>
      <c r="DRB28" s="234" t="e">
        <f>astrogrep_path&amp;" /e /r /s /spath="&amp;search_path&amp;" /stypes=""app*"&amp;DPX28&amp;"*"&amp;TEXT(DQE28-utc_offset/24,"YYYYMMDD")&amp;"*"" /stext="" "&amp;TEXT(DQE28-utc_offset/24,"HH")&amp;search_regexp&amp;""""</f>
        <v>#REF!</v>
      </c>
      <c r="DRC28" s="234" t="e">
        <f>astrogrep_path&amp;" /e /r /s /spath="&amp;search_path&amp;" /stypes=""app*"&amp;DPY28&amp;"*"&amp;TEXT(DQF28-utc_offset/24,"YYYYMMDD")&amp;"*"" /stext="" "&amp;TEXT(DQF28-utc_offset/24,"HH")&amp;search_regexp&amp;""""</f>
        <v>#REF!</v>
      </c>
      <c r="DRD28" s="234" t="e">
        <f>astrogrep_path&amp;" /e /r /s /spath="&amp;search_path&amp;" /stypes=""app*"&amp;DPZ28&amp;"*"&amp;TEXT(DQG28-utc_offset/24,"YYYYMMDD")&amp;"*"" /stext="" "&amp;TEXT(DQG28-utc_offset/24,"HH")&amp;search_regexp&amp;""""</f>
        <v>#REF!</v>
      </c>
      <c r="DRE28" s="234" t="e">
        <f>astrogrep_path&amp;" /e /r /s /spath="&amp;search_path&amp;" /stypes=""app*"&amp;DQA28&amp;"*"&amp;TEXT(DQH28-utc_offset/24,"YYYYMMDD")&amp;"*"" /stext="" "&amp;TEXT(DQH28-utc_offset/24,"HH")&amp;search_regexp&amp;""""</f>
        <v>#REF!</v>
      </c>
      <c r="DRF28" s="234" t="e">
        <f>astrogrep_path&amp;" /e /r /s /spath="&amp;search_path&amp;" /stypes=""app*"&amp;DQB28&amp;"*"&amp;TEXT(DQI28-utc_offset/24,"YYYYMMDD")&amp;"*"" /stext="" "&amp;TEXT(DQI28-utc_offset/24,"HH")&amp;search_regexp&amp;""""</f>
        <v>#REF!</v>
      </c>
      <c r="DRG28" s="234" t="e">
        <f>astrogrep_path&amp;" /e /r /s /spath="&amp;search_path&amp;" /stypes=""app*"&amp;DQC28&amp;"*"&amp;TEXT(DQJ28-utc_offset/24,"YYYYMMDD")&amp;"*"" /stext="" "&amp;TEXT(DQJ28-utc_offset/24,"HH")&amp;search_regexp&amp;""""</f>
        <v>#REF!</v>
      </c>
      <c r="DRH28" s="234" t="e">
        <f>astrogrep_path&amp;" /e /r /s /spath="&amp;search_path&amp;" /stypes=""app*"&amp;DQD28&amp;"*"&amp;TEXT(DQK28-utc_offset/24,"YYYYMMDD")&amp;"*"" /stext="" "&amp;TEXT(DQK28-utc_offset/24,"HH")&amp;search_regexp&amp;""""</f>
        <v>#REF!</v>
      </c>
      <c r="DRI28" s="234" t="e">
        <f>astrogrep_path&amp;" /e /r /s /spath="&amp;search_path&amp;" /stypes=""app*"&amp;DQE28&amp;"*"&amp;TEXT(DQL28-utc_offset/24,"YYYYMMDD")&amp;"*"" /stext="" "&amp;TEXT(DQL28-utc_offset/24,"HH")&amp;search_regexp&amp;""""</f>
        <v>#VALUE!</v>
      </c>
      <c r="DRJ28" s="234" t="e">
        <f>astrogrep_path&amp;" /e /r /s /spath="&amp;search_path&amp;" /stypes=""app*"&amp;DQF28&amp;"*"&amp;TEXT(DQM28-utc_offset/24,"YYYYMMDD")&amp;"*"" /stext="" "&amp;TEXT(DQM28-utc_offset/24,"HH")&amp;search_regexp&amp;""""</f>
        <v>#VALUE!</v>
      </c>
      <c r="DRK28" s="234" t="e">
        <f>astrogrep_path&amp;" /e /r /s /spath="&amp;search_path&amp;" /stypes=""app*"&amp;DQG28&amp;"*"&amp;TEXT(DQN28-utc_offset/24,"YYYYMMDD")&amp;"*"" /stext="" "&amp;TEXT(DQN28-utc_offset/24,"HH")&amp;search_regexp&amp;""""</f>
        <v>#REF!</v>
      </c>
      <c r="DRL28" s="234" t="e">
        <f>astrogrep_path&amp;" /e /r /s /spath="&amp;search_path&amp;" /stypes=""app*"&amp;DQH28&amp;"*"&amp;TEXT(DQO28-utc_offset/24,"YYYYMMDD")&amp;"*"" /stext="" "&amp;TEXT(DQO28-utc_offset/24,"HH")&amp;search_regexp&amp;""""</f>
        <v>#REF!</v>
      </c>
      <c r="DRM28" s="234" t="e">
        <f>astrogrep_path&amp;" /e /r /s /spath="&amp;search_path&amp;" /stypes=""app*"&amp;DQI28&amp;"*"&amp;TEXT(DQP28-utc_offset/24,"YYYYMMDD")&amp;"*"" /stext="" "&amp;TEXT(DQP28-utc_offset/24,"HH")&amp;search_regexp&amp;""""</f>
        <v>#VALUE!</v>
      </c>
      <c r="DRN28" s="234" t="e">
        <f>astrogrep_path&amp;" /e /r /s /spath="&amp;search_path&amp;" /stypes=""app*"&amp;DQJ28&amp;"*"&amp;TEXT(DQQ28-utc_offset/24,"YYYYMMDD")&amp;"*"" /stext="" "&amp;TEXT(DQQ28-utc_offset/24,"HH")&amp;search_regexp&amp;""""</f>
        <v>#VALUE!</v>
      </c>
      <c r="DRO28" s="234" t="e">
        <f>astrogrep_path&amp;" /e /r /s /spath="&amp;search_path&amp;" /stypes=""app*"&amp;DQK28&amp;"*"&amp;TEXT(DQR28-utc_offset/24,"YYYYMMDD")&amp;"*"" /stext="" "&amp;TEXT(DQR28-utc_offset/24,"HH")&amp;search_regexp&amp;""""</f>
        <v>#VALUE!</v>
      </c>
      <c r="DRP28" s="234" t="e">
        <f>astrogrep_path&amp;" /e /r /s /spath="&amp;search_path&amp;" /stypes=""app*"&amp;DQL28&amp;"*"&amp;TEXT(DQS28-utc_offset/24,"YYYYMMDD")&amp;"*"" /stext="" "&amp;TEXT(DQS28-utc_offset/24,"HH")&amp;search_regexp&amp;""""</f>
        <v>#VALUE!</v>
      </c>
      <c r="DRQ28" s="234" t="e">
        <f>astrogrep_path&amp;" /e /r /s /spath="&amp;search_path&amp;" /stypes=""app*"&amp;DQM28&amp;"*"&amp;TEXT(DQT28-utc_offset/24,"YYYYMMDD")&amp;"*"" /stext="" "&amp;TEXT(DQT28-utc_offset/24,"HH")&amp;search_regexp&amp;""""</f>
        <v>#VALUE!</v>
      </c>
      <c r="DRR28" s="234" t="e">
        <f>astrogrep_path&amp;" /e /r /s /spath="&amp;search_path&amp;" /stypes=""app*"&amp;DQN28&amp;"*"&amp;TEXT(DQU28-utc_offset/24,"YYYYMMDD")&amp;"*"" /stext="" "&amp;TEXT(DQU28-utc_offset/24,"HH")&amp;search_regexp&amp;""""</f>
        <v>#REF!</v>
      </c>
      <c r="DRS28" s="234" t="e">
        <f>astrogrep_path&amp;" /e /r /s /spath="&amp;search_path&amp;" /stypes=""app*"&amp;DQO28&amp;"*"&amp;TEXT(DQV28-utc_offset/24,"YYYYMMDD")&amp;"*"" /stext="" "&amp;TEXT(DQV28-utc_offset/24,"HH")&amp;search_regexp&amp;""""</f>
        <v>#REF!</v>
      </c>
      <c r="DRT28" s="234" t="e">
        <f>astrogrep_path&amp;" /e /r /s /spath="&amp;search_path&amp;" /stypes=""app*"&amp;DQP28&amp;"*"&amp;TEXT(DQW28-utc_offset/24,"YYYYMMDD")&amp;"*"" /stext="" "&amp;TEXT(DQW28-utc_offset/24,"HH")&amp;search_regexp&amp;""""</f>
        <v>#REF!</v>
      </c>
      <c r="DRU28" s="234" t="e">
        <f>astrogrep_path&amp;" /e /r /s /spath="&amp;search_path&amp;" /stypes=""app*"&amp;DQQ28&amp;"*"&amp;TEXT(DQX28-utc_offset/24,"YYYYMMDD")&amp;"*"" /stext="" "&amp;TEXT(DQX28-utc_offset/24,"HH")&amp;search_regexp&amp;""""</f>
        <v>#REF!</v>
      </c>
      <c r="DRV28" s="234" t="e">
        <f>astrogrep_path&amp;" /e /r /s /spath="&amp;search_path&amp;" /stypes=""app*"&amp;DQR28&amp;"*"&amp;TEXT(DQY28-utc_offset/24,"YYYYMMDD")&amp;"*"" /stext="" "&amp;TEXT(DQY28-utc_offset/24,"HH")&amp;search_regexp&amp;""""</f>
        <v>#REF!</v>
      </c>
      <c r="DRW28" s="234" t="e">
        <f>astrogrep_path&amp;" /e /r /s /spath="&amp;search_path&amp;" /stypes=""app*"&amp;DQS28&amp;"*"&amp;TEXT(DQZ28-utc_offset/24,"YYYYMMDD")&amp;"*"" /stext="" "&amp;TEXT(DQZ28-utc_offset/24,"HH")&amp;search_regexp&amp;""""</f>
        <v>#REF!</v>
      </c>
      <c r="DRX28" s="234" t="e">
        <f>astrogrep_path&amp;" /e /r /s /spath="&amp;search_path&amp;" /stypes=""app*"&amp;DQT28&amp;"*"&amp;TEXT(DRA28-utc_offset/24,"YYYYMMDD")&amp;"*"" /stext="" "&amp;TEXT(DRA28-utc_offset/24,"HH")&amp;search_regexp&amp;""""</f>
        <v>#REF!</v>
      </c>
      <c r="DRY28" s="234" t="e">
        <f>astrogrep_path&amp;" /e /r /s /spath="&amp;search_path&amp;" /stypes=""app*"&amp;DQU28&amp;"*"&amp;TEXT(DRB28-utc_offset/24,"YYYYMMDD")&amp;"*"" /stext="" "&amp;TEXT(DRB28-utc_offset/24,"HH")&amp;search_regexp&amp;""""</f>
        <v>#REF!</v>
      </c>
      <c r="DRZ28" s="234" t="e">
        <f>astrogrep_path&amp;" /e /r /s /spath="&amp;search_path&amp;" /stypes=""app*"&amp;DQV28&amp;"*"&amp;TEXT(DRC28-utc_offset/24,"YYYYMMDD")&amp;"*"" /stext="" "&amp;TEXT(DRC28-utc_offset/24,"HH")&amp;search_regexp&amp;""""</f>
        <v>#REF!</v>
      </c>
      <c r="DSA28" s="234" t="e">
        <f>astrogrep_path&amp;" /e /r /s /spath="&amp;search_path&amp;" /stypes=""app*"&amp;DQW28&amp;"*"&amp;TEXT(DRD28-utc_offset/24,"YYYYMMDD")&amp;"*"" /stext="" "&amp;TEXT(DRD28-utc_offset/24,"HH")&amp;search_regexp&amp;""""</f>
        <v>#REF!</v>
      </c>
      <c r="DSB28" s="234" t="e">
        <f>astrogrep_path&amp;" /e /r /s /spath="&amp;search_path&amp;" /stypes=""app*"&amp;DQX28&amp;"*"&amp;TEXT(DRE28-utc_offset/24,"YYYYMMDD")&amp;"*"" /stext="" "&amp;TEXT(DRE28-utc_offset/24,"HH")&amp;search_regexp&amp;""""</f>
        <v>#REF!</v>
      </c>
      <c r="DSC28" s="234" t="e">
        <f>astrogrep_path&amp;" /e /r /s /spath="&amp;search_path&amp;" /stypes=""app*"&amp;DQY28&amp;"*"&amp;TEXT(DRF28-utc_offset/24,"YYYYMMDD")&amp;"*"" /stext="" "&amp;TEXT(DRF28-utc_offset/24,"HH")&amp;search_regexp&amp;""""</f>
        <v>#REF!</v>
      </c>
      <c r="DSD28" s="234" t="e">
        <f>astrogrep_path&amp;" /e /r /s /spath="&amp;search_path&amp;" /stypes=""app*"&amp;DQZ28&amp;"*"&amp;TEXT(DRG28-utc_offset/24,"YYYYMMDD")&amp;"*"" /stext="" "&amp;TEXT(DRG28-utc_offset/24,"HH")&amp;search_regexp&amp;""""</f>
        <v>#REF!</v>
      </c>
      <c r="DSE28" s="234" t="e">
        <f>astrogrep_path&amp;" /e /r /s /spath="&amp;search_path&amp;" /stypes=""app*"&amp;DRA28&amp;"*"&amp;TEXT(DRH28-utc_offset/24,"YYYYMMDD")&amp;"*"" /stext="" "&amp;TEXT(DRH28-utc_offset/24,"HH")&amp;search_regexp&amp;""""</f>
        <v>#REF!</v>
      </c>
      <c r="DSF28" s="234" t="e">
        <f>astrogrep_path&amp;" /e /r /s /spath="&amp;search_path&amp;" /stypes=""app*"&amp;DRB28&amp;"*"&amp;TEXT(DRI28-utc_offset/24,"YYYYMMDD")&amp;"*"" /stext="" "&amp;TEXT(DRI28-utc_offset/24,"HH")&amp;search_regexp&amp;""""</f>
        <v>#REF!</v>
      </c>
      <c r="DSG28" s="234" t="e">
        <f>astrogrep_path&amp;" /e /r /s /spath="&amp;search_path&amp;" /stypes=""app*"&amp;DRC28&amp;"*"&amp;TEXT(DRJ28-utc_offset/24,"YYYYMMDD")&amp;"*"" /stext="" "&amp;TEXT(DRJ28-utc_offset/24,"HH")&amp;search_regexp&amp;""""</f>
        <v>#REF!</v>
      </c>
      <c r="DSH28" s="234" t="e">
        <f>astrogrep_path&amp;" /e /r /s /spath="&amp;search_path&amp;" /stypes=""app*"&amp;DRD28&amp;"*"&amp;TEXT(DRK28-utc_offset/24,"YYYYMMDD")&amp;"*"" /stext="" "&amp;TEXT(DRK28-utc_offset/24,"HH")&amp;search_regexp&amp;""""</f>
        <v>#REF!</v>
      </c>
      <c r="DSI28" s="234" t="e">
        <f>astrogrep_path&amp;" /e /r /s /spath="&amp;search_path&amp;" /stypes=""app*"&amp;DRE28&amp;"*"&amp;TEXT(DRL28-utc_offset/24,"YYYYMMDD")&amp;"*"" /stext="" "&amp;TEXT(DRL28-utc_offset/24,"HH")&amp;search_regexp&amp;""""</f>
        <v>#REF!</v>
      </c>
      <c r="DSJ28" s="234" t="e">
        <f>astrogrep_path&amp;" /e /r /s /spath="&amp;search_path&amp;" /stypes=""app*"&amp;DRF28&amp;"*"&amp;TEXT(DRM28-utc_offset/24,"YYYYMMDD")&amp;"*"" /stext="" "&amp;TEXT(DRM28-utc_offset/24,"HH")&amp;search_regexp&amp;""""</f>
        <v>#REF!</v>
      </c>
      <c r="DSK28" s="234" t="e">
        <f>astrogrep_path&amp;" /e /r /s /spath="&amp;search_path&amp;" /stypes=""app*"&amp;DRG28&amp;"*"&amp;TEXT(DRN28-utc_offset/24,"YYYYMMDD")&amp;"*"" /stext="" "&amp;TEXT(DRN28-utc_offset/24,"HH")&amp;search_regexp&amp;""""</f>
        <v>#REF!</v>
      </c>
      <c r="DSL28" s="234" t="e">
        <f>astrogrep_path&amp;" /e /r /s /spath="&amp;search_path&amp;" /stypes=""app*"&amp;DRH28&amp;"*"&amp;TEXT(DRO28-utc_offset/24,"YYYYMMDD")&amp;"*"" /stext="" "&amp;TEXT(DRO28-utc_offset/24,"HH")&amp;search_regexp&amp;""""</f>
        <v>#REF!</v>
      </c>
      <c r="DSM28" s="234" t="e">
        <f>astrogrep_path&amp;" /e /r /s /spath="&amp;search_path&amp;" /stypes=""app*"&amp;DRI28&amp;"*"&amp;TEXT(DRP28-utc_offset/24,"YYYYMMDD")&amp;"*"" /stext="" "&amp;TEXT(DRP28-utc_offset/24,"HH")&amp;search_regexp&amp;""""</f>
        <v>#VALUE!</v>
      </c>
      <c r="DSN28" s="234" t="e">
        <f>astrogrep_path&amp;" /e /r /s /spath="&amp;search_path&amp;" /stypes=""app*"&amp;DRJ28&amp;"*"&amp;TEXT(DRQ28-utc_offset/24,"YYYYMMDD")&amp;"*"" /stext="" "&amp;TEXT(DRQ28-utc_offset/24,"HH")&amp;search_regexp&amp;""""</f>
        <v>#VALUE!</v>
      </c>
      <c r="DSO28" s="234" t="e">
        <f>astrogrep_path&amp;" /e /r /s /spath="&amp;search_path&amp;" /stypes=""app*"&amp;DRK28&amp;"*"&amp;TEXT(DRR28-utc_offset/24,"YYYYMMDD")&amp;"*"" /stext="" "&amp;TEXT(DRR28-utc_offset/24,"HH")&amp;search_regexp&amp;""""</f>
        <v>#REF!</v>
      </c>
      <c r="DSP28" s="234" t="e">
        <f>astrogrep_path&amp;" /e /r /s /spath="&amp;search_path&amp;" /stypes=""app*"&amp;DRL28&amp;"*"&amp;TEXT(DRS28-utc_offset/24,"YYYYMMDD")&amp;"*"" /stext="" "&amp;TEXT(DRS28-utc_offset/24,"HH")&amp;search_regexp&amp;""""</f>
        <v>#REF!</v>
      </c>
      <c r="DSQ28" s="234" t="e">
        <f>astrogrep_path&amp;" /e /r /s /spath="&amp;search_path&amp;" /stypes=""app*"&amp;DRM28&amp;"*"&amp;TEXT(DRT28-utc_offset/24,"YYYYMMDD")&amp;"*"" /stext="" "&amp;TEXT(DRT28-utc_offset/24,"HH")&amp;search_regexp&amp;""""</f>
        <v>#VALUE!</v>
      </c>
      <c r="DSR28" s="234" t="e">
        <f>astrogrep_path&amp;" /e /r /s /spath="&amp;search_path&amp;" /stypes=""app*"&amp;DRN28&amp;"*"&amp;TEXT(DRU28-utc_offset/24,"YYYYMMDD")&amp;"*"" /stext="" "&amp;TEXT(DRU28-utc_offset/24,"HH")&amp;search_regexp&amp;""""</f>
        <v>#VALUE!</v>
      </c>
      <c r="DSS28" s="234" t="e">
        <f>astrogrep_path&amp;" /e /r /s /spath="&amp;search_path&amp;" /stypes=""app*"&amp;DRO28&amp;"*"&amp;TEXT(DRV28-utc_offset/24,"YYYYMMDD")&amp;"*"" /stext="" "&amp;TEXT(DRV28-utc_offset/24,"HH")&amp;search_regexp&amp;""""</f>
        <v>#VALUE!</v>
      </c>
      <c r="DST28" s="234" t="e">
        <f>astrogrep_path&amp;" /e /r /s /spath="&amp;search_path&amp;" /stypes=""app*"&amp;DRP28&amp;"*"&amp;TEXT(DRW28-utc_offset/24,"YYYYMMDD")&amp;"*"" /stext="" "&amp;TEXT(DRW28-utc_offset/24,"HH")&amp;search_regexp&amp;""""</f>
        <v>#VALUE!</v>
      </c>
      <c r="DSU28" s="234" t="e">
        <f>astrogrep_path&amp;" /e /r /s /spath="&amp;search_path&amp;" /stypes=""app*"&amp;DRQ28&amp;"*"&amp;TEXT(DRX28-utc_offset/24,"YYYYMMDD")&amp;"*"" /stext="" "&amp;TEXT(DRX28-utc_offset/24,"HH")&amp;search_regexp&amp;""""</f>
        <v>#VALUE!</v>
      </c>
      <c r="DSV28" s="234" t="e">
        <f>astrogrep_path&amp;" /e /r /s /spath="&amp;search_path&amp;" /stypes=""app*"&amp;DRR28&amp;"*"&amp;TEXT(DRY28-utc_offset/24,"YYYYMMDD")&amp;"*"" /stext="" "&amp;TEXT(DRY28-utc_offset/24,"HH")&amp;search_regexp&amp;""""</f>
        <v>#REF!</v>
      </c>
      <c r="DSW28" s="234" t="e">
        <f>astrogrep_path&amp;" /e /r /s /spath="&amp;search_path&amp;" /stypes=""app*"&amp;DRS28&amp;"*"&amp;TEXT(DRZ28-utc_offset/24,"YYYYMMDD")&amp;"*"" /stext="" "&amp;TEXT(DRZ28-utc_offset/24,"HH")&amp;search_regexp&amp;""""</f>
        <v>#REF!</v>
      </c>
      <c r="DSX28" s="234" t="e">
        <f>astrogrep_path&amp;" /e /r /s /spath="&amp;search_path&amp;" /stypes=""app*"&amp;DRT28&amp;"*"&amp;TEXT(DSA28-utc_offset/24,"YYYYMMDD")&amp;"*"" /stext="" "&amp;TEXT(DSA28-utc_offset/24,"HH")&amp;search_regexp&amp;""""</f>
        <v>#REF!</v>
      </c>
      <c r="DSY28" s="234" t="e">
        <f>astrogrep_path&amp;" /e /r /s /spath="&amp;search_path&amp;" /stypes=""app*"&amp;DRU28&amp;"*"&amp;TEXT(DSB28-utc_offset/24,"YYYYMMDD")&amp;"*"" /stext="" "&amp;TEXT(DSB28-utc_offset/24,"HH")&amp;search_regexp&amp;""""</f>
        <v>#REF!</v>
      </c>
      <c r="DSZ28" s="234" t="e">
        <f>astrogrep_path&amp;" /e /r /s /spath="&amp;search_path&amp;" /stypes=""app*"&amp;DRV28&amp;"*"&amp;TEXT(DSC28-utc_offset/24,"YYYYMMDD")&amp;"*"" /stext="" "&amp;TEXT(DSC28-utc_offset/24,"HH")&amp;search_regexp&amp;""""</f>
        <v>#REF!</v>
      </c>
      <c r="DTA28" s="234" t="e">
        <f>astrogrep_path&amp;" /e /r /s /spath="&amp;search_path&amp;" /stypes=""app*"&amp;DRW28&amp;"*"&amp;TEXT(DSD28-utc_offset/24,"YYYYMMDD")&amp;"*"" /stext="" "&amp;TEXT(DSD28-utc_offset/24,"HH")&amp;search_regexp&amp;""""</f>
        <v>#REF!</v>
      </c>
      <c r="DTB28" s="234" t="e">
        <f>astrogrep_path&amp;" /e /r /s /spath="&amp;search_path&amp;" /stypes=""app*"&amp;DRX28&amp;"*"&amp;TEXT(DSE28-utc_offset/24,"YYYYMMDD")&amp;"*"" /stext="" "&amp;TEXT(DSE28-utc_offset/24,"HH")&amp;search_regexp&amp;""""</f>
        <v>#REF!</v>
      </c>
      <c r="DTC28" s="234" t="e">
        <f>astrogrep_path&amp;" /e /r /s /spath="&amp;search_path&amp;" /stypes=""app*"&amp;DRY28&amp;"*"&amp;TEXT(DSF28-utc_offset/24,"YYYYMMDD")&amp;"*"" /stext="" "&amp;TEXT(DSF28-utc_offset/24,"HH")&amp;search_regexp&amp;""""</f>
        <v>#REF!</v>
      </c>
      <c r="DTD28" s="234" t="e">
        <f>astrogrep_path&amp;" /e /r /s /spath="&amp;search_path&amp;" /stypes=""app*"&amp;DRZ28&amp;"*"&amp;TEXT(DSG28-utc_offset/24,"YYYYMMDD")&amp;"*"" /stext="" "&amp;TEXT(DSG28-utc_offset/24,"HH")&amp;search_regexp&amp;""""</f>
        <v>#REF!</v>
      </c>
      <c r="DTE28" s="234" t="e">
        <f>astrogrep_path&amp;" /e /r /s /spath="&amp;search_path&amp;" /stypes=""app*"&amp;DSA28&amp;"*"&amp;TEXT(DSH28-utc_offset/24,"YYYYMMDD")&amp;"*"" /stext="" "&amp;TEXT(DSH28-utc_offset/24,"HH")&amp;search_regexp&amp;""""</f>
        <v>#REF!</v>
      </c>
      <c r="DTF28" s="234" t="e">
        <f>astrogrep_path&amp;" /e /r /s /spath="&amp;search_path&amp;" /stypes=""app*"&amp;DSB28&amp;"*"&amp;TEXT(DSI28-utc_offset/24,"YYYYMMDD")&amp;"*"" /stext="" "&amp;TEXT(DSI28-utc_offset/24,"HH")&amp;search_regexp&amp;""""</f>
        <v>#REF!</v>
      </c>
      <c r="DTG28" s="234" t="e">
        <f>astrogrep_path&amp;" /e /r /s /spath="&amp;search_path&amp;" /stypes=""app*"&amp;DSC28&amp;"*"&amp;TEXT(DSJ28-utc_offset/24,"YYYYMMDD")&amp;"*"" /stext="" "&amp;TEXT(DSJ28-utc_offset/24,"HH")&amp;search_regexp&amp;""""</f>
        <v>#REF!</v>
      </c>
      <c r="DTH28" s="234" t="e">
        <f>astrogrep_path&amp;" /e /r /s /spath="&amp;search_path&amp;" /stypes=""app*"&amp;DSD28&amp;"*"&amp;TEXT(DSK28-utc_offset/24,"YYYYMMDD")&amp;"*"" /stext="" "&amp;TEXT(DSK28-utc_offset/24,"HH")&amp;search_regexp&amp;""""</f>
        <v>#REF!</v>
      </c>
      <c r="DTI28" s="234" t="e">
        <f>astrogrep_path&amp;" /e /r /s /spath="&amp;search_path&amp;" /stypes=""app*"&amp;DSE28&amp;"*"&amp;TEXT(DSL28-utc_offset/24,"YYYYMMDD")&amp;"*"" /stext="" "&amp;TEXT(DSL28-utc_offset/24,"HH")&amp;search_regexp&amp;""""</f>
        <v>#REF!</v>
      </c>
      <c r="DTJ28" s="234" t="e">
        <f>astrogrep_path&amp;" /e /r /s /spath="&amp;search_path&amp;" /stypes=""app*"&amp;DSF28&amp;"*"&amp;TEXT(DSM28-utc_offset/24,"YYYYMMDD")&amp;"*"" /stext="" "&amp;TEXT(DSM28-utc_offset/24,"HH")&amp;search_regexp&amp;""""</f>
        <v>#REF!</v>
      </c>
      <c r="DTK28" s="234" t="e">
        <f>astrogrep_path&amp;" /e /r /s /spath="&amp;search_path&amp;" /stypes=""app*"&amp;DSG28&amp;"*"&amp;TEXT(DSN28-utc_offset/24,"YYYYMMDD")&amp;"*"" /stext="" "&amp;TEXT(DSN28-utc_offset/24,"HH")&amp;search_regexp&amp;""""</f>
        <v>#REF!</v>
      </c>
      <c r="DTL28" s="234" t="e">
        <f>astrogrep_path&amp;" /e /r /s /spath="&amp;search_path&amp;" /stypes=""app*"&amp;DSH28&amp;"*"&amp;TEXT(DSO28-utc_offset/24,"YYYYMMDD")&amp;"*"" /stext="" "&amp;TEXT(DSO28-utc_offset/24,"HH")&amp;search_regexp&amp;""""</f>
        <v>#REF!</v>
      </c>
      <c r="DTM28" s="234" t="e">
        <f>astrogrep_path&amp;" /e /r /s /spath="&amp;search_path&amp;" /stypes=""app*"&amp;DSI28&amp;"*"&amp;TEXT(DSP28-utc_offset/24,"YYYYMMDD")&amp;"*"" /stext="" "&amp;TEXT(DSP28-utc_offset/24,"HH")&amp;search_regexp&amp;""""</f>
        <v>#REF!</v>
      </c>
      <c r="DTN28" s="234" t="e">
        <f>astrogrep_path&amp;" /e /r /s /spath="&amp;search_path&amp;" /stypes=""app*"&amp;DSJ28&amp;"*"&amp;TEXT(DSQ28-utc_offset/24,"YYYYMMDD")&amp;"*"" /stext="" "&amp;TEXT(DSQ28-utc_offset/24,"HH")&amp;search_regexp&amp;""""</f>
        <v>#REF!</v>
      </c>
      <c r="DTO28" s="234" t="e">
        <f>astrogrep_path&amp;" /e /r /s /spath="&amp;search_path&amp;" /stypes=""app*"&amp;DSK28&amp;"*"&amp;TEXT(DSR28-utc_offset/24,"YYYYMMDD")&amp;"*"" /stext="" "&amp;TEXT(DSR28-utc_offset/24,"HH")&amp;search_regexp&amp;""""</f>
        <v>#REF!</v>
      </c>
      <c r="DTP28" s="234" t="e">
        <f>astrogrep_path&amp;" /e /r /s /spath="&amp;search_path&amp;" /stypes=""app*"&amp;DSL28&amp;"*"&amp;TEXT(DSS28-utc_offset/24,"YYYYMMDD")&amp;"*"" /stext="" "&amp;TEXT(DSS28-utc_offset/24,"HH")&amp;search_regexp&amp;""""</f>
        <v>#REF!</v>
      </c>
      <c r="DTQ28" s="234" t="e">
        <f>astrogrep_path&amp;" /e /r /s /spath="&amp;search_path&amp;" /stypes=""app*"&amp;DSM28&amp;"*"&amp;TEXT(DST28-utc_offset/24,"YYYYMMDD")&amp;"*"" /stext="" "&amp;TEXT(DST28-utc_offset/24,"HH")&amp;search_regexp&amp;""""</f>
        <v>#VALUE!</v>
      </c>
      <c r="DTR28" s="234" t="e">
        <f>astrogrep_path&amp;" /e /r /s /spath="&amp;search_path&amp;" /stypes=""app*"&amp;DSN28&amp;"*"&amp;TEXT(DSU28-utc_offset/24,"YYYYMMDD")&amp;"*"" /stext="" "&amp;TEXT(DSU28-utc_offset/24,"HH")&amp;search_regexp&amp;""""</f>
        <v>#VALUE!</v>
      </c>
      <c r="DTS28" s="234" t="e">
        <f>astrogrep_path&amp;" /e /r /s /spath="&amp;search_path&amp;" /stypes=""app*"&amp;DSO28&amp;"*"&amp;TEXT(DSV28-utc_offset/24,"YYYYMMDD")&amp;"*"" /stext="" "&amp;TEXT(DSV28-utc_offset/24,"HH")&amp;search_regexp&amp;""""</f>
        <v>#REF!</v>
      </c>
      <c r="DTT28" s="234" t="e">
        <f>astrogrep_path&amp;" /e /r /s /spath="&amp;search_path&amp;" /stypes=""app*"&amp;DSP28&amp;"*"&amp;TEXT(DSW28-utc_offset/24,"YYYYMMDD")&amp;"*"" /stext="" "&amp;TEXT(DSW28-utc_offset/24,"HH")&amp;search_regexp&amp;""""</f>
        <v>#REF!</v>
      </c>
      <c r="DTU28" s="234" t="e">
        <f>astrogrep_path&amp;" /e /r /s /spath="&amp;search_path&amp;" /stypes=""app*"&amp;DSQ28&amp;"*"&amp;TEXT(DSX28-utc_offset/24,"YYYYMMDD")&amp;"*"" /stext="" "&amp;TEXT(DSX28-utc_offset/24,"HH")&amp;search_regexp&amp;""""</f>
        <v>#VALUE!</v>
      </c>
      <c r="DTV28" s="234" t="e">
        <f>astrogrep_path&amp;" /e /r /s /spath="&amp;search_path&amp;" /stypes=""app*"&amp;DSR28&amp;"*"&amp;TEXT(DSY28-utc_offset/24,"YYYYMMDD")&amp;"*"" /stext="" "&amp;TEXT(DSY28-utc_offset/24,"HH")&amp;search_regexp&amp;""""</f>
        <v>#VALUE!</v>
      </c>
      <c r="DTW28" s="234" t="e">
        <f>astrogrep_path&amp;" /e /r /s /spath="&amp;search_path&amp;" /stypes=""app*"&amp;DSS28&amp;"*"&amp;TEXT(DSZ28-utc_offset/24,"YYYYMMDD")&amp;"*"" /stext="" "&amp;TEXT(DSZ28-utc_offset/24,"HH")&amp;search_regexp&amp;""""</f>
        <v>#VALUE!</v>
      </c>
      <c r="DTX28" s="234" t="e">
        <f>astrogrep_path&amp;" /e /r /s /spath="&amp;search_path&amp;" /stypes=""app*"&amp;DST28&amp;"*"&amp;TEXT(DTA28-utc_offset/24,"YYYYMMDD")&amp;"*"" /stext="" "&amp;TEXT(DTA28-utc_offset/24,"HH")&amp;search_regexp&amp;""""</f>
        <v>#VALUE!</v>
      </c>
      <c r="DTY28" s="234" t="e">
        <f>astrogrep_path&amp;" /e /r /s /spath="&amp;search_path&amp;" /stypes=""app*"&amp;DSU28&amp;"*"&amp;TEXT(DTB28-utc_offset/24,"YYYYMMDD")&amp;"*"" /stext="" "&amp;TEXT(DTB28-utc_offset/24,"HH")&amp;search_regexp&amp;""""</f>
        <v>#VALUE!</v>
      </c>
      <c r="DTZ28" s="234" t="e">
        <f>astrogrep_path&amp;" /e /r /s /spath="&amp;search_path&amp;" /stypes=""app*"&amp;DSV28&amp;"*"&amp;TEXT(DTC28-utc_offset/24,"YYYYMMDD")&amp;"*"" /stext="" "&amp;TEXT(DTC28-utc_offset/24,"HH")&amp;search_regexp&amp;""""</f>
        <v>#REF!</v>
      </c>
      <c r="DUA28" s="234" t="e">
        <f>astrogrep_path&amp;" /e /r /s /spath="&amp;search_path&amp;" /stypes=""app*"&amp;DSW28&amp;"*"&amp;TEXT(DTD28-utc_offset/24,"YYYYMMDD")&amp;"*"" /stext="" "&amp;TEXT(DTD28-utc_offset/24,"HH")&amp;search_regexp&amp;""""</f>
        <v>#REF!</v>
      </c>
      <c r="DUB28" s="234" t="e">
        <f>astrogrep_path&amp;" /e /r /s /spath="&amp;search_path&amp;" /stypes=""app*"&amp;DSX28&amp;"*"&amp;TEXT(DTE28-utc_offset/24,"YYYYMMDD")&amp;"*"" /stext="" "&amp;TEXT(DTE28-utc_offset/24,"HH")&amp;search_regexp&amp;""""</f>
        <v>#REF!</v>
      </c>
      <c r="DUC28" s="234" t="e">
        <f>astrogrep_path&amp;" /e /r /s /spath="&amp;search_path&amp;" /stypes=""app*"&amp;DSY28&amp;"*"&amp;TEXT(DTF28-utc_offset/24,"YYYYMMDD")&amp;"*"" /stext="" "&amp;TEXT(DTF28-utc_offset/24,"HH")&amp;search_regexp&amp;""""</f>
        <v>#REF!</v>
      </c>
      <c r="DUD28" s="234" t="e">
        <f>astrogrep_path&amp;" /e /r /s /spath="&amp;search_path&amp;" /stypes=""app*"&amp;DSZ28&amp;"*"&amp;TEXT(DTG28-utc_offset/24,"YYYYMMDD")&amp;"*"" /stext="" "&amp;TEXT(DTG28-utc_offset/24,"HH")&amp;search_regexp&amp;""""</f>
        <v>#REF!</v>
      </c>
      <c r="DUE28" s="234" t="e">
        <f>astrogrep_path&amp;" /e /r /s /spath="&amp;search_path&amp;" /stypes=""app*"&amp;DTA28&amp;"*"&amp;TEXT(DTH28-utc_offset/24,"YYYYMMDD")&amp;"*"" /stext="" "&amp;TEXT(DTH28-utc_offset/24,"HH")&amp;search_regexp&amp;""""</f>
        <v>#REF!</v>
      </c>
      <c r="DUF28" s="234" t="e">
        <f>astrogrep_path&amp;" /e /r /s /spath="&amp;search_path&amp;" /stypes=""app*"&amp;DTB28&amp;"*"&amp;TEXT(DTI28-utc_offset/24,"YYYYMMDD")&amp;"*"" /stext="" "&amp;TEXT(DTI28-utc_offset/24,"HH")&amp;search_regexp&amp;""""</f>
        <v>#REF!</v>
      </c>
      <c r="DUG28" s="234" t="e">
        <f>astrogrep_path&amp;" /e /r /s /spath="&amp;search_path&amp;" /stypes=""app*"&amp;DTC28&amp;"*"&amp;TEXT(DTJ28-utc_offset/24,"YYYYMMDD")&amp;"*"" /stext="" "&amp;TEXT(DTJ28-utc_offset/24,"HH")&amp;search_regexp&amp;""""</f>
        <v>#REF!</v>
      </c>
      <c r="DUH28" s="234" t="e">
        <f>astrogrep_path&amp;" /e /r /s /spath="&amp;search_path&amp;" /stypes=""app*"&amp;DTD28&amp;"*"&amp;TEXT(DTK28-utc_offset/24,"YYYYMMDD")&amp;"*"" /stext="" "&amp;TEXT(DTK28-utc_offset/24,"HH")&amp;search_regexp&amp;""""</f>
        <v>#REF!</v>
      </c>
      <c r="DUI28" s="234" t="e">
        <f>astrogrep_path&amp;" /e /r /s /spath="&amp;search_path&amp;" /stypes=""app*"&amp;DTE28&amp;"*"&amp;TEXT(DTL28-utc_offset/24,"YYYYMMDD")&amp;"*"" /stext="" "&amp;TEXT(DTL28-utc_offset/24,"HH")&amp;search_regexp&amp;""""</f>
        <v>#REF!</v>
      </c>
      <c r="DUJ28" s="234" t="e">
        <f>astrogrep_path&amp;" /e /r /s /spath="&amp;search_path&amp;" /stypes=""app*"&amp;DTF28&amp;"*"&amp;TEXT(DTM28-utc_offset/24,"YYYYMMDD")&amp;"*"" /stext="" "&amp;TEXT(DTM28-utc_offset/24,"HH")&amp;search_regexp&amp;""""</f>
        <v>#REF!</v>
      </c>
      <c r="DUK28" s="234" t="e">
        <f>astrogrep_path&amp;" /e /r /s /spath="&amp;search_path&amp;" /stypes=""app*"&amp;DTG28&amp;"*"&amp;TEXT(DTN28-utc_offset/24,"YYYYMMDD")&amp;"*"" /stext="" "&amp;TEXT(DTN28-utc_offset/24,"HH")&amp;search_regexp&amp;""""</f>
        <v>#REF!</v>
      </c>
      <c r="DUL28" s="234" t="e">
        <f>astrogrep_path&amp;" /e /r /s /spath="&amp;search_path&amp;" /stypes=""app*"&amp;DTH28&amp;"*"&amp;TEXT(DTO28-utc_offset/24,"YYYYMMDD")&amp;"*"" /stext="" "&amp;TEXT(DTO28-utc_offset/24,"HH")&amp;search_regexp&amp;""""</f>
        <v>#REF!</v>
      </c>
      <c r="DUM28" s="234" t="e">
        <f>astrogrep_path&amp;" /e /r /s /spath="&amp;search_path&amp;" /stypes=""app*"&amp;DTI28&amp;"*"&amp;TEXT(DTP28-utc_offset/24,"YYYYMMDD")&amp;"*"" /stext="" "&amp;TEXT(DTP28-utc_offset/24,"HH")&amp;search_regexp&amp;""""</f>
        <v>#REF!</v>
      </c>
      <c r="DUN28" s="234" t="e">
        <f>astrogrep_path&amp;" /e /r /s /spath="&amp;search_path&amp;" /stypes=""app*"&amp;DTJ28&amp;"*"&amp;TEXT(DTQ28-utc_offset/24,"YYYYMMDD")&amp;"*"" /stext="" "&amp;TEXT(DTQ28-utc_offset/24,"HH")&amp;search_regexp&amp;""""</f>
        <v>#REF!</v>
      </c>
      <c r="DUO28" s="234" t="e">
        <f>astrogrep_path&amp;" /e /r /s /spath="&amp;search_path&amp;" /stypes=""app*"&amp;DTK28&amp;"*"&amp;TEXT(DTR28-utc_offset/24,"YYYYMMDD")&amp;"*"" /stext="" "&amp;TEXT(DTR28-utc_offset/24,"HH")&amp;search_regexp&amp;""""</f>
        <v>#REF!</v>
      </c>
      <c r="DUP28" s="234" t="e">
        <f>astrogrep_path&amp;" /e /r /s /spath="&amp;search_path&amp;" /stypes=""app*"&amp;DTL28&amp;"*"&amp;TEXT(DTS28-utc_offset/24,"YYYYMMDD")&amp;"*"" /stext="" "&amp;TEXT(DTS28-utc_offset/24,"HH")&amp;search_regexp&amp;""""</f>
        <v>#REF!</v>
      </c>
      <c r="DUQ28" s="234" t="e">
        <f>astrogrep_path&amp;" /e /r /s /spath="&amp;search_path&amp;" /stypes=""app*"&amp;DTM28&amp;"*"&amp;TEXT(DTT28-utc_offset/24,"YYYYMMDD")&amp;"*"" /stext="" "&amp;TEXT(DTT28-utc_offset/24,"HH")&amp;search_regexp&amp;""""</f>
        <v>#REF!</v>
      </c>
      <c r="DUR28" s="234" t="e">
        <f>astrogrep_path&amp;" /e /r /s /spath="&amp;search_path&amp;" /stypes=""app*"&amp;DTN28&amp;"*"&amp;TEXT(DTU28-utc_offset/24,"YYYYMMDD")&amp;"*"" /stext="" "&amp;TEXT(DTU28-utc_offset/24,"HH")&amp;search_regexp&amp;""""</f>
        <v>#REF!</v>
      </c>
      <c r="DUS28" s="234" t="e">
        <f>astrogrep_path&amp;" /e /r /s /spath="&amp;search_path&amp;" /stypes=""app*"&amp;DTO28&amp;"*"&amp;TEXT(DTV28-utc_offset/24,"YYYYMMDD")&amp;"*"" /stext="" "&amp;TEXT(DTV28-utc_offset/24,"HH")&amp;search_regexp&amp;""""</f>
        <v>#REF!</v>
      </c>
      <c r="DUT28" s="234" t="e">
        <f>astrogrep_path&amp;" /e /r /s /spath="&amp;search_path&amp;" /stypes=""app*"&amp;DTP28&amp;"*"&amp;TEXT(DTW28-utc_offset/24,"YYYYMMDD")&amp;"*"" /stext="" "&amp;TEXT(DTW28-utc_offset/24,"HH")&amp;search_regexp&amp;""""</f>
        <v>#REF!</v>
      </c>
      <c r="DUU28" s="234" t="e">
        <f>astrogrep_path&amp;" /e /r /s /spath="&amp;search_path&amp;" /stypes=""app*"&amp;DTQ28&amp;"*"&amp;TEXT(DTX28-utc_offset/24,"YYYYMMDD")&amp;"*"" /stext="" "&amp;TEXT(DTX28-utc_offset/24,"HH")&amp;search_regexp&amp;""""</f>
        <v>#VALUE!</v>
      </c>
      <c r="DUV28" s="234" t="e">
        <f>astrogrep_path&amp;" /e /r /s /spath="&amp;search_path&amp;" /stypes=""app*"&amp;DTR28&amp;"*"&amp;TEXT(DTY28-utc_offset/24,"YYYYMMDD")&amp;"*"" /stext="" "&amp;TEXT(DTY28-utc_offset/24,"HH")&amp;search_regexp&amp;""""</f>
        <v>#VALUE!</v>
      </c>
      <c r="DUW28" s="234" t="e">
        <f>astrogrep_path&amp;" /e /r /s /spath="&amp;search_path&amp;" /stypes=""app*"&amp;DTS28&amp;"*"&amp;TEXT(DTZ28-utc_offset/24,"YYYYMMDD")&amp;"*"" /stext="" "&amp;TEXT(DTZ28-utc_offset/24,"HH")&amp;search_regexp&amp;""""</f>
        <v>#REF!</v>
      </c>
      <c r="DUX28" s="234" t="e">
        <f>astrogrep_path&amp;" /e /r /s /spath="&amp;search_path&amp;" /stypes=""app*"&amp;DTT28&amp;"*"&amp;TEXT(DUA28-utc_offset/24,"YYYYMMDD")&amp;"*"" /stext="" "&amp;TEXT(DUA28-utc_offset/24,"HH")&amp;search_regexp&amp;""""</f>
        <v>#REF!</v>
      </c>
      <c r="DUY28" s="234" t="e">
        <f>astrogrep_path&amp;" /e /r /s /spath="&amp;search_path&amp;" /stypes=""app*"&amp;DTU28&amp;"*"&amp;TEXT(DUB28-utc_offset/24,"YYYYMMDD")&amp;"*"" /stext="" "&amp;TEXT(DUB28-utc_offset/24,"HH")&amp;search_regexp&amp;""""</f>
        <v>#VALUE!</v>
      </c>
      <c r="DUZ28" s="234" t="e">
        <f>astrogrep_path&amp;" /e /r /s /spath="&amp;search_path&amp;" /stypes=""app*"&amp;DTV28&amp;"*"&amp;TEXT(DUC28-utc_offset/24,"YYYYMMDD")&amp;"*"" /stext="" "&amp;TEXT(DUC28-utc_offset/24,"HH")&amp;search_regexp&amp;""""</f>
        <v>#VALUE!</v>
      </c>
      <c r="DVA28" s="234" t="e">
        <f>astrogrep_path&amp;" /e /r /s /spath="&amp;search_path&amp;" /stypes=""app*"&amp;DTW28&amp;"*"&amp;TEXT(DUD28-utc_offset/24,"YYYYMMDD")&amp;"*"" /stext="" "&amp;TEXT(DUD28-utc_offset/24,"HH")&amp;search_regexp&amp;""""</f>
        <v>#VALUE!</v>
      </c>
      <c r="DVB28" s="234" t="e">
        <f>astrogrep_path&amp;" /e /r /s /spath="&amp;search_path&amp;" /stypes=""app*"&amp;DTX28&amp;"*"&amp;TEXT(DUE28-utc_offset/24,"YYYYMMDD")&amp;"*"" /stext="" "&amp;TEXT(DUE28-utc_offset/24,"HH")&amp;search_regexp&amp;""""</f>
        <v>#VALUE!</v>
      </c>
      <c r="DVC28" s="234" t="e">
        <f>astrogrep_path&amp;" /e /r /s /spath="&amp;search_path&amp;" /stypes=""app*"&amp;DTY28&amp;"*"&amp;TEXT(DUF28-utc_offset/24,"YYYYMMDD")&amp;"*"" /stext="" "&amp;TEXT(DUF28-utc_offset/24,"HH")&amp;search_regexp&amp;""""</f>
        <v>#VALUE!</v>
      </c>
      <c r="DVD28" s="234" t="e">
        <f>astrogrep_path&amp;" /e /r /s /spath="&amp;search_path&amp;" /stypes=""app*"&amp;DTZ28&amp;"*"&amp;TEXT(DUG28-utc_offset/24,"YYYYMMDD")&amp;"*"" /stext="" "&amp;TEXT(DUG28-utc_offset/24,"HH")&amp;search_regexp&amp;""""</f>
        <v>#REF!</v>
      </c>
      <c r="DVE28" s="234" t="e">
        <f>astrogrep_path&amp;" /e /r /s /spath="&amp;search_path&amp;" /stypes=""app*"&amp;DUA28&amp;"*"&amp;TEXT(DUH28-utc_offset/24,"YYYYMMDD")&amp;"*"" /stext="" "&amp;TEXT(DUH28-utc_offset/24,"HH")&amp;search_regexp&amp;""""</f>
        <v>#REF!</v>
      </c>
      <c r="DVF28" s="234" t="e">
        <f>astrogrep_path&amp;" /e /r /s /spath="&amp;search_path&amp;" /stypes=""app*"&amp;DUB28&amp;"*"&amp;TEXT(DUI28-utc_offset/24,"YYYYMMDD")&amp;"*"" /stext="" "&amp;TEXT(DUI28-utc_offset/24,"HH")&amp;search_regexp&amp;""""</f>
        <v>#REF!</v>
      </c>
      <c r="DVG28" s="234" t="e">
        <f>astrogrep_path&amp;" /e /r /s /spath="&amp;search_path&amp;" /stypes=""app*"&amp;DUC28&amp;"*"&amp;TEXT(DUJ28-utc_offset/24,"YYYYMMDD")&amp;"*"" /stext="" "&amp;TEXT(DUJ28-utc_offset/24,"HH")&amp;search_regexp&amp;""""</f>
        <v>#REF!</v>
      </c>
      <c r="DVH28" s="234" t="e">
        <f>astrogrep_path&amp;" /e /r /s /spath="&amp;search_path&amp;" /stypes=""app*"&amp;DUD28&amp;"*"&amp;TEXT(DUK28-utc_offset/24,"YYYYMMDD")&amp;"*"" /stext="" "&amp;TEXT(DUK28-utc_offset/24,"HH")&amp;search_regexp&amp;""""</f>
        <v>#REF!</v>
      </c>
      <c r="DVI28" s="234" t="e">
        <f>astrogrep_path&amp;" /e /r /s /spath="&amp;search_path&amp;" /stypes=""app*"&amp;DUE28&amp;"*"&amp;TEXT(DUL28-utc_offset/24,"YYYYMMDD")&amp;"*"" /stext="" "&amp;TEXT(DUL28-utc_offset/24,"HH")&amp;search_regexp&amp;""""</f>
        <v>#REF!</v>
      </c>
      <c r="DVJ28" s="234" t="e">
        <f>astrogrep_path&amp;" /e /r /s /spath="&amp;search_path&amp;" /stypes=""app*"&amp;DUF28&amp;"*"&amp;TEXT(DUM28-utc_offset/24,"YYYYMMDD")&amp;"*"" /stext="" "&amp;TEXT(DUM28-utc_offset/24,"HH")&amp;search_regexp&amp;""""</f>
        <v>#REF!</v>
      </c>
      <c r="DVK28" s="234" t="e">
        <f>astrogrep_path&amp;" /e /r /s /spath="&amp;search_path&amp;" /stypes=""app*"&amp;DUG28&amp;"*"&amp;TEXT(DUN28-utc_offset/24,"YYYYMMDD")&amp;"*"" /stext="" "&amp;TEXT(DUN28-utc_offset/24,"HH")&amp;search_regexp&amp;""""</f>
        <v>#REF!</v>
      </c>
      <c r="DVL28" s="234" t="e">
        <f>astrogrep_path&amp;" /e /r /s /spath="&amp;search_path&amp;" /stypes=""app*"&amp;DUH28&amp;"*"&amp;TEXT(DUO28-utc_offset/24,"YYYYMMDD")&amp;"*"" /stext="" "&amp;TEXT(DUO28-utc_offset/24,"HH")&amp;search_regexp&amp;""""</f>
        <v>#REF!</v>
      </c>
      <c r="DVM28" s="234" t="e">
        <f>astrogrep_path&amp;" /e /r /s /spath="&amp;search_path&amp;" /stypes=""app*"&amp;DUI28&amp;"*"&amp;TEXT(DUP28-utc_offset/24,"YYYYMMDD")&amp;"*"" /stext="" "&amp;TEXT(DUP28-utc_offset/24,"HH")&amp;search_regexp&amp;""""</f>
        <v>#REF!</v>
      </c>
      <c r="DVN28" s="234" t="e">
        <f>astrogrep_path&amp;" /e /r /s /spath="&amp;search_path&amp;" /stypes=""app*"&amp;DUJ28&amp;"*"&amp;TEXT(DUQ28-utc_offset/24,"YYYYMMDD")&amp;"*"" /stext="" "&amp;TEXT(DUQ28-utc_offset/24,"HH")&amp;search_regexp&amp;""""</f>
        <v>#REF!</v>
      </c>
      <c r="DVO28" s="234" t="e">
        <f>astrogrep_path&amp;" /e /r /s /spath="&amp;search_path&amp;" /stypes=""app*"&amp;DUK28&amp;"*"&amp;TEXT(DUR28-utc_offset/24,"YYYYMMDD")&amp;"*"" /stext="" "&amp;TEXT(DUR28-utc_offset/24,"HH")&amp;search_regexp&amp;""""</f>
        <v>#REF!</v>
      </c>
      <c r="DVP28" s="234" t="e">
        <f>astrogrep_path&amp;" /e /r /s /spath="&amp;search_path&amp;" /stypes=""app*"&amp;DUL28&amp;"*"&amp;TEXT(DUS28-utc_offset/24,"YYYYMMDD")&amp;"*"" /stext="" "&amp;TEXT(DUS28-utc_offset/24,"HH")&amp;search_regexp&amp;""""</f>
        <v>#REF!</v>
      </c>
      <c r="DVQ28" s="234" t="e">
        <f>astrogrep_path&amp;" /e /r /s /spath="&amp;search_path&amp;" /stypes=""app*"&amp;DUM28&amp;"*"&amp;TEXT(DUT28-utc_offset/24,"YYYYMMDD")&amp;"*"" /stext="" "&amp;TEXT(DUT28-utc_offset/24,"HH")&amp;search_regexp&amp;""""</f>
        <v>#REF!</v>
      </c>
      <c r="DVR28" s="234" t="e">
        <f>astrogrep_path&amp;" /e /r /s /spath="&amp;search_path&amp;" /stypes=""app*"&amp;DUN28&amp;"*"&amp;TEXT(DUU28-utc_offset/24,"YYYYMMDD")&amp;"*"" /stext="" "&amp;TEXT(DUU28-utc_offset/24,"HH")&amp;search_regexp&amp;""""</f>
        <v>#REF!</v>
      </c>
      <c r="DVS28" s="234" t="e">
        <f>astrogrep_path&amp;" /e /r /s /spath="&amp;search_path&amp;" /stypes=""app*"&amp;DUO28&amp;"*"&amp;TEXT(DUV28-utc_offset/24,"YYYYMMDD")&amp;"*"" /stext="" "&amp;TEXT(DUV28-utc_offset/24,"HH")&amp;search_regexp&amp;""""</f>
        <v>#REF!</v>
      </c>
      <c r="DVT28" s="234" t="e">
        <f>astrogrep_path&amp;" /e /r /s /spath="&amp;search_path&amp;" /stypes=""app*"&amp;DUP28&amp;"*"&amp;TEXT(DUW28-utc_offset/24,"YYYYMMDD")&amp;"*"" /stext="" "&amp;TEXT(DUW28-utc_offset/24,"HH")&amp;search_regexp&amp;""""</f>
        <v>#REF!</v>
      </c>
      <c r="DVU28" s="234" t="e">
        <f>astrogrep_path&amp;" /e /r /s /spath="&amp;search_path&amp;" /stypes=""app*"&amp;DUQ28&amp;"*"&amp;TEXT(DUX28-utc_offset/24,"YYYYMMDD")&amp;"*"" /stext="" "&amp;TEXT(DUX28-utc_offset/24,"HH")&amp;search_regexp&amp;""""</f>
        <v>#REF!</v>
      </c>
      <c r="DVV28" s="234" t="e">
        <f>astrogrep_path&amp;" /e /r /s /spath="&amp;search_path&amp;" /stypes=""app*"&amp;DUR28&amp;"*"&amp;TEXT(DUY28-utc_offset/24,"YYYYMMDD")&amp;"*"" /stext="" "&amp;TEXT(DUY28-utc_offset/24,"HH")&amp;search_regexp&amp;""""</f>
        <v>#REF!</v>
      </c>
      <c r="DVW28" s="234" t="e">
        <f>astrogrep_path&amp;" /e /r /s /spath="&amp;search_path&amp;" /stypes=""app*"&amp;DUS28&amp;"*"&amp;TEXT(DUZ28-utc_offset/24,"YYYYMMDD")&amp;"*"" /stext="" "&amp;TEXT(DUZ28-utc_offset/24,"HH")&amp;search_regexp&amp;""""</f>
        <v>#REF!</v>
      </c>
      <c r="DVX28" s="234" t="e">
        <f>astrogrep_path&amp;" /e /r /s /spath="&amp;search_path&amp;" /stypes=""app*"&amp;DUT28&amp;"*"&amp;TEXT(DVA28-utc_offset/24,"YYYYMMDD")&amp;"*"" /stext="" "&amp;TEXT(DVA28-utc_offset/24,"HH")&amp;search_regexp&amp;""""</f>
        <v>#REF!</v>
      </c>
      <c r="DVY28" s="234" t="e">
        <f>astrogrep_path&amp;" /e /r /s /spath="&amp;search_path&amp;" /stypes=""app*"&amp;DUU28&amp;"*"&amp;TEXT(DVB28-utc_offset/24,"YYYYMMDD")&amp;"*"" /stext="" "&amp;TEXT(DVB28-utc_offset/24,"HH")&amp;search_regexp&amp;""""</f>
        <v>#VALUE!</v>
      </c>
      <c r="DVZ28" s="234" t="e">
        <f>astrogrep_path&amp;" /e /r /s /spath="&amp;search_path&amp;" /stypes=""app*"&amp;DUV28&amp;"*"&amp;TEXT(DVC28-utc_offset/24,"YYYYMMDD")&amp;"*"" /stext="" "&amp;TEXT(DVC28-utc_offset/24,"HH")&amp;search_regexp&amp;""""</f>
        <v>#VALUE!</v>
      </c>
      <c r="DWA28" s="234" t="e">
        <f>astrogrep_path&amp;" /e /r /s /spath="&amp;search_path&amp;" /stypes=""app*"&amp;DUW28&amp;"*"&amp;TEXT(DVD28-utc_offset/24,"YYYYMMDD")&amp;"*"" /stext="" "&amp;TEXT(DVD28-utc_offset/24,"HH")&amp;search_regexp&amp;""""</f>
        <v>#REF!</v>
      </c>
      <c r="DWB28" s="234" t="e">
        <f>astrogrep_path&amp;" /e /r /s /spath="&amp;search_path&amp;" /stypes=""app*"&amp;DUX28&amp;"*"&amp;TEXT(DVE28-utc_offset/24,"YYYYMMDD")&amp;"*"" /stext="" "&amp;TEXT(DVE28-utc_offset/24,"HH")&amp;search_regexp&amp;""""</f>
        <v>#REF!</v>
      </c>
      <c r="DWC28" s="234" t="e">
        <f>astrogrep_path&amp;" /e /r /s /spath="&amp;search_path&amp;" /stypes=""app*"&amp;DUY28&amp;"*"&amp;TEXT(DVF28-utc_offset/24,"YYYYMMDD")&amp;"*"" /stext="" "&amp;TEXT(DVF28-utc_offset/24,"HH")&amp;search_regexp&amp;""""</f>
        <v>#VALUE!</v>
      </c>
      <c r="DWD28" s="234" t="e">
        <f>astrogrep_path&amp;" /e /r /s /spath="&amp;search_path&amp;" /stypes=""app*"&amp;DUZ28&amp;"*"&amp;TEXT(DVG28-utc_offset/24,"YYYYMMDD")&amp;"*"" /stext="" "&amp;TEXT(DVG28-utc_offset/24,"HH")&amp;search_regexp&amp;""""</f>
        <v>#VALUE!</v>
      </c>
      <c r="DWE28" s="234" t="e">
        <f>astrogrep_path&amp;" /e /r /s /spath="&amp;search_path&amp;" /stypes=""app*"&amp;DVA28&amp;"*"&amp;TEXT(DVH28-utc_offset/24,"YYYYMMDD")&amp;"*"" /stext="" "&amp;TEXT(DVH28-utc_offset/24,"HH")&amp;search_regexp&amp;""""</f>
        <v>#VALUE!</v>
      </c>
      <c r="DWF28" s="234" t="e">
        <f>astrogrep_path&amp;" /e /r /s /spath="&amp;search_path&amp;" /stypes=""app*"&amp;DVB28&amp;"*"&amp;TEXT(DVI28-utc_offset/24,"YYYYMMDD")&amp;"*"" /stext="" "&amp;TEXT(DVI28-utc_offset/24,"HH")&amp;search_regexp&amp;""""</f>
        <v>#VALUE!</v>
      </c>
      <c r="DWG28" s="234" t="e">
        <f>astrogrep_path&amp;" /e /r /s /spath="&amp;search_path&amp;" /stypes=""app*"&amp;DVC28&amp;"*"&amp;TEXT(DVJ28-utc_offset/24,"YYYYMMDD")&amp;"*"" /stext="" "&amp;TEXT(DVJ28-utc_offset/24,"HH")&amp;search_regexp&amp;""""</f>
        <v>#VALUE!</v>
      </c>
      <c r="DWH28" s="234" t="e">
        <f>astrogrep_path&amp;" /e /r /s /spath="&amp;search_path&amp;" /stypes=""app*"&amp;DVD28&amp;"*"&amp;TEXT(DVK28-utc_offset/24,"YYYYMMDD")&amp;"*"" /stext="" "&amp;TEXT(DVK28-utc_offset/24,"HH")&amp;search_regexp&amp;""""</f>
        <v>#REF!</v>
      </c>
      <c r="DWI28" s="234" t="e">
        <f>astrogrep_path&amp;" /e /r /s /spath="&amp;search_path&amp;" /stypes=""app*"&amp;DVE28&amp;"*"&amp;TEXT(DVL28-utc_offset/24,"YYYYMMDD")&amp;"*"" /stext="" "&amp;TEXT(DVL28-utc_offset/24,"HH")&amp;search_regexp&amp;""""</f>
        <v>#REF!</v>
      </c>
      <c r="DWJ28" s="234" t="e">
        <f>astrogrep_path&amp;" /e /r /s /spath="&amp;search_path&amp;" /stypes=""app*"&amp;DVF28&amp;"*"&amp;TEXT(DVM28-utc_offset/24,"YYYYMMDD")&amp;"*"" /stext="" "&amp;TEXT(DVM28-utc_offset/24,"HH")&amp;search_regexp&amp;""""</f>
        <v>#REF!</v>
      </c>
      <c r="DWK28" s="234" t="e">
        <f>astrogrep_path&amp;" /e /r /s /spath="&amp;search_path&amp;" /stypes=""app*"&amp;DVG28&amp;"*"&amp;TEXT(DVN28-utc_offset/24,"YYYYMMDD")&amp;"*"" /stext="" "&amp;TEXT(DVN28-utc_offset/24,"HH")&amp;search_regexp&amp;""""</f>
        <v>#REF!</v>
      </c>
      <c r="DWL28" s="234" t="e">
        <f>astrogrep_path&amp;" /e /r /s /spath="&amp;search_path&amp;" /stypes=""app*"&amp;DVH28&amp;"*"&amp;TEXT(DVO28-utc_offset/24,"YYYYMMDD")&amp;"*"" /stext="" "&amp;TEXT(DVO28-utc_offset/24,"HH")&amp;search_regexp&amp;""""</f>
        <v>#REF!</v>
      </c>
      <c r="DWM28" s="234" t="e">
        <f>astrogrep_path&amp;" /e /r /s /spath="&amp;search_path&amp;" /stypes=""app*"&amp;DVI28&amp;"*"&amp;TEXT(DVP28-utc_offset/24,"YYYYMMDD")&amp;"*"" /stext="" "&amp;TEXT(DVP28-utc_offset/24,"HH")&amp;search_regexp&amp;""""</f>
        <v>#REF!</v>
      </c>
      <c r="DWN28" s="234" t="e">
        <f>astrogrep_path&amp;" /e /r /s /spath="&amp;search_path&amp;" /stypes=""app*"&amp;DVJ28&amp;"*"&amp;TEXT(DVQ28-utc_offset/24,"YYYYMMDD")&amp;"*"" /stext="" "&amp;TEXT(DVQ28-utc_offset/24,"HH")&amp;search_regexp&amp;""""</f>
        <v>#REF!</v>
      </c>
      <c r="DWO28" s="234" t="e">
        <f>astrogrep_path&amp;" /e /r /s /spath="&amp;search_path&amp;" /stypes=""app*"&amp;DVK28&amp;"*"&amp;TEXT(DVR28-utc_offset/24,"YYYYMMDD")&amp;"*"" /stext="" "&amp;TEXT(DVR28-utc_offset/24,"HH")&amp;search_regexp&amp;""""</f>
        <v>#REF!</v>
      </c>
      <c r="DWP28" s="234" t="e">
        <f>astrogrep_path&amp;" /e /r /s /spath="&amp;search_path&amp;" /stypes=""app*"&amp;DVL28&amp;"*"&amp;TEXT(DVS28-utc_offset/24,"YYYYMMDD")&amp;"*"" /stext="" "&amp;TEXT(DVS28-utc_offset/24,"HH")&amp;search_regexp&amp;""""</f>
        <v>#REF!</v>
      </c>
      <c r="DWQ28" s="234" t="e">
        <f>astrogrep_path&amp;" /e /r /s /spath="&amp;search_path&amp;" /stypes=""app*"&amp;DVM28&amp;"*"&amp;TEXT(DVT28-utc_offset/24,"YYYYMMDD")&amp;"*"" /stext="" "&amp;TEXT(DVT28-utc_offset/24,"HH")&amp;search_regexp&amp;""""</f>
        <v>#REF!</v>
      </c>
      <c r="DWR28" s="234" t="e">
        <f>astrogrep_path&amp;" /e /r /s /spath="&amp;search_path&amp;" /stypes=""app*"&amp;DVN28&amp;"*"&amp;TEXT(DVU28-utc_offset/24,"YYYYMMDD")&amp;"*"" /stext="" "&amp;TEXT(DVU28-utc_offset/24,"HH")&amp;search_regexp&amp;""""</f>
        <v>#REF!</v>
      </c>
      <c r="DWS28" s="234" t="e">
        <f>astrogrep_path&amp;" /e /r /s /spath="&amp;search_path&amp;" /stypes=""app*"&amp;DVO28&amp;"*"&amp;TEXT(DVV28-utc_offset/24,"YYYYMMDD")&amp;"*"" /stext="" "&amp;TEXT(DVV28-utc_offset/24,"HH")&amp;search_regexp&amp;""""</f>
        <v>#REF!</v>
      </c>
      <c r="DWT28" s="234" t="e">
        <f>astrogrep_path&amp;" /e /r /s /spath="&amp;search_path&amp;" /stypes=""app*"&amp;DVP28&amp;"*"&amp;TEXT(DVW28-utc_offset/24,"YYYYMMDD")&amp;"*"" /stext="" "&amp;TEXT(DVW28-utc_offset/24,"HH")&amp;search_regexp&amp;""""</f>
        <v>#REF!</v>
      </c>
      <c r="DWU28" s="234" t="e">
        <f>astrogrep_path&amp;" /e /r /s /spath="&amp;search_path&amp;" /stypes=""app*"&amp;DVQ28&amp;"*"&amp;TEXT(DVX28-utc_offset/24,"YYYYMMDD")&amp;"*"" /stext="" "&amp;TEXT(DVX28-utc_offset/24,"HH")&amp;search_regexp&amp;""""</f>
        <v>#REF!</v>
      </c>
      <c r="DWV28" s="234" t="e">
        <f>astrogrep_path&amp;" /e /r /s /spath="&amp;search_path&amp;" /stypes=""app*"&amp;DVR28&amp;"*"&amp;TEXT(DVY28-utc_offset/24,"YYYYMMDD")&amp;"*"" /stext="" "&amp;TEXT(DVY28-utc_offset/24,"HH")&amp;search_regexp&amp;""""</f>
        <v>#REF!</v>
      </c>
      <c r="DWW28" s="234" t="e">
        <f>astrogrep_path&amp;" /e /r /s /spath="&amp;search_path&amp;" /stypes=""app*"&amp;DVS28&amp;"*"&amp;TEXT(DVZ28-utc_offset/24,"YYYYMMDD")&amp;"*"" /stext="" "&amp;TEXT(DVZ28-utc_offset/24,"HH")&amp;search_regexp&amp;""""</f>
        <v>#REF!</v>
      </c>
      <c r="DWX28" s="234" t="e">
        <f>astrogrep_path&amp;" /e /r /s /spath="&amp;search_path&amp;" /stypes=""app*"&amp;DVT28&amp;"*"&amp;TEXT(DWA28-utc_offset/24,"YYYYMMDD")&amp;"*"" /stext="" "&amp;TEXT(DWA28-utc_offset/24,"HH")&amp;search_regexp&amp;""""</f>
        <v>#REF!</v>
      </c>
      <c r="DWY28" s="234" t="e">
        <f>astrogrep_path&amp;" /e /r /s /spath="&amp;search_path&amp;" /stypes=""app*"&amp;DVU28&amp;"*"&amp;TEXT(DWB28-utc_offset/24,"YYYYMMDD")&amp;"*"" /stext="" "&amp;TEXT(DWB28-utc_offset/24,"HH")&amp;search_regexp&amp;""""</f>
        <v>#REF!</v>
      </c>
      <c r="DWZ28" s="234" t="e">
        <f>astrogrep_path&amp;" /e /r /s /spath="&amp;search_path&amp;" /stypes=""app*"&amp;DVV28&amp;"*"&amp;TEXT(DWC28-utc_offset/24,"YYYYMMDD")&amp;"*"" /stext="" "&amp;TEXT(DWC28-utc_offset/24,"HH")&amp;search_regexp&amp;""""</f>
        <v>#REF!</v>
      </c>
      <c r="DXA28" s="234" t="e">
        <f>astrogrep_path&amp;" /e /r /s /spath="&amp;search_path&amp;" /stypes=""app*"&amp;DVW28&amp;"*"&amp;TEXT(DWD28-utc_offset/24,"YYYYMMDD")&amp;"*"" /stext="" "&amp;TEXT(DWD28-utc_offset/24,"HH")&amp;search_regexp&amp;""""</f>
        <v>#REF!</v>
      </c>
      <c r="DXB28" s="234" t="e">
        <f>astrogrep_path&amp;" /e /r /s /spath="&amp;search_path&amp;" /stypes=""app*"&amp;DVX28&amp;"*"&amp;TEXT(DWE28-utc_offset/24,"YYYYMMDD")&amp;"*"" /stext="" "&amp;TEXT(DWE28-utc_offset/24,"HH")&amp;search_regexp&amp;""""</f>
        <v>#REF!</v>
      </c>
      <c r="DXC28" s="234" t="e">
        <f>astrogrep_path&amp;" /e /r /s /spath="&amp;search_path&amp;" /stypes=""app*"&amp;DVY28&amp;"*"&amp;TEXT(DWF28-utc_offset/24,"YYYYMMDD")&amp;"*"" /stext="" "&amp;TEXT(DWF28-utc_offset/24,"HH")&amp;search_regexp&amp;""""</f>
        <v>#VALUE!</v>
      </c>
      <c r="DXD28" s="234" t="e">
        <f>astrogrep_path&amp;" /e /r /s /spath="&amp;search_path&amp;" /stypes=""app*"&amp;DVZ28&amp;"*"&amp;TEXT(DWG28-utc_offset/24,"YYYYMMDD")&amp;"*"" /stext="" "&amp;TEXT(DWG28-utc_offset/24,"HH")&amp;search_regexp&amp;""""</f>
        <v>#VALUE!</v>
      </c>
      <c r="DXE28" s="234" t="e">
        <f>astrogrep_path&amp;" /e /r /s /spath="&amp;search_path&amp;" /stypes=""app*"&amp;DWA28&amp;"*"&amp;TEXT(DWH28-utc_offset/24,"YYYYMMDD")&amp;"*"" /stext="" "&amp;TEXT(DWH28-utc_offset/24,"HH")&amp;search_regexp&amp;""""</f>
        <v>#REF!</v>
      </c>
      <c r="DXF28" s="234" t="e">
        <f>astrogrep_path&amp;" /e /r /s /spath="&amp;search_path&amp;" /stypes=""app*"&amp;DWB28&amp;"*"&amp;TEXT(DWI28-utc_offset/24,"YYYYMMDD")&amp;"*"" /stext="" "&amp;TEXT(DWI28-utc_offset/24,"HH")&amp;search_regexp&amp;""""</f>
        <v>#REF!</v>
      </c>
      <c r="DXG28" s="234" t="e">
        <f>astrogrep_path&amp;" /e /r /s /spath="&amp;search_path&amp;" /stypes=""app*"&amp;DWC28&amp;"*"&amp;TEXT(DWJ28-utc_offset/24,"YYYYMMDD")&amp;"*"" /stext="" "&amp;TEXT(DWJ28-utc_offset/24,"HH")&amp;search_regexp&amp;""""</f>
        <v>#VALUE!</v>
      </c>
      <c r="DXH28" s="234" t="e">
        <f>astrogrep_path&amp;" /e /r /s /spath="&amp;search_path&amp;" /stypes=""app*"&amp;DWD28&amp;"*"&amp;TEXT(DWK28-utc_offset/24,"YYYYMMDD")&amp;"*"" /stext="" "&amp;TEXT(DWK28-utc_offset/24,"HH")&amp;search_regexp&amp;""""</f>
        <v>#VALUE!</v>
      </c>
      <c r="DXI28" s="234" t="e">
        <f>astrogrep_path&amp;" /e /r /s /spath="&amp;search_path&amp;" /stypes=""app*"&amp;DWE28&amp;"*"&amp;TEXT(DWL28-utc_offset/24,"YYYYMMDD")&amp;"*"" /stext="" "&amp;TEXT(DWL28-utc_offset/24,"HH")&amp;search_regexp&amp;""""</f>
        <v>#VALUE!</v>
      </c>
      <c r="DXJ28" s="234" t="e">
        <f>astrogrep_path&amp;" /e /r /s /spath="&amp;search_path&amp;" /stypes=""app*"&amp;DWF28&amp;"*"&amp;TEXT(DWM28-utc_offset/24,"YYYYMMDD")&amp;"*"" /stext="" "&amp;TEXT(DWM28-utc_offset/24,"HH")&amp;search_regexp&amp;""""</f>
        <v>#VALUE!</v>
      </c>
      <c r="DXK28" s="234" t="e">
        <f>astrogrep_path&amp;" /e /r /s /spath="&amp;search_path&amp;" /stypes=""app*"&amp;DWG28&amp;"*"&amp;TEXT(DWN28-utc_offset/24,"YYYYMMDD")&amp;"*"" /stext="" "&amp;TEXT(DWN28-utc_offset/24,"HH")&amp;search_regexp&amp;""""</f>
        <v>#VALUE!</v>
      </c>
      <c r="DXL28" s="234" t="e">
        <f>astrogrep_path&amp;" /e /r /s /spath="&amp;search_path&amp;" /stypes=""app*"&amp;DWH28&amp;"*"&amp;TEXT(DWO28-utc_offset/24,"YYYYMMDD")&amp;"*"" /stext="" "&amp;TEXT(DWO28-utc_offset/24,"HH")&amp;search_regexp&amp;""""</f>
        <v>#REF!</v>
      </c>
      <c r="DXM28" s="234" t="e">
        <f>astrogrep_path&amp;" /e /r /s /spath="&amp;search_path&amp;" /stypes=""app*"&amp;DWI28&amp;"*"&amp;TEXT(DWP28-utc_offset/24,"YYYYMMDD")&amp;"*"" /stext="" "&amp;TEXT(DWP28-utc_offset/24,"HH")&amp;search_regexp&amp;""""</f>
        <v>#REF!</v>
      </c>
      <c r="DXN28" s="234" t="e">
        <f>astrogrep_path&amp;" /e /r /s /spath="&amp;search_path&amp;" /stypes=""app*"&amp;DWJ28&amp;"*"&amp;TEXT(DWQ28-utc_offset/24,"YYYYMMDD")&amp;"*"" /stext="" "&amp;TEXT(DWQ28-utc_offset/24,"HH")&amp;search_regexp&amp;""""</f>
        <v>#REF!</v>
      </c>
      <c r="DXO28" s="234" t="e">
        <f>astrogrep_path&amp;" /e /r /s /spath="&amp;search_path&amp;" /stypes=""app*"&amp;DWK28&amp;"*"&amp;TEXT(DWR28-utc_offset/24,"YYYYMMDD")&amp;"*"" /stext="" "&amp;TEXT(DWR28-utc_offset/24,"HH")&amp;search_regexp&amp;""""</f>
        <v>#REF!</v>
      </c>
      <c r="DXP28" s="234" t="e">
        <f>astrogrep_path&amp;" /e /r /s /spath="&amp;search_path&amp;" /stypes=""app*"&amp;DWL28&amp;"*"&amp;TEXT(DWS28-utc_offset/24,"YYYYMMDD")&amp;"*"" /stext="" "&amp;TEXT(DWS28-utc_offset/24,"HH")&amp;search_regexp&amp;""""</f>
        <v>#REF!</v>
      </c>
      <c r="DXQ28" s="234" t="e">
        <f>astrogrep_path&amp;" /e /r /s /spath="&amp;search_path&amp;" /stypes=""app*"&amp;DWM28&amp;"*"&amp;TEXT(DWT28-utc_offset/24,"YYYYMMDD")&amp;"*"" /stext="" "&amp;TEXT(DWT28-utc_offset/24,"HH")&amp;search_regexp&amp;""""</f>
        <v>#REF!</v>
      </c>
      <c r="DXR28" s="234" t="e">
        <f>astrogrep_path&amp;" /e /r /s /spath="&amp;search_path&amp;" /stypes=""app*"&amp;DWN28&amp;"*"&amp;TEXT(DWU28-utc_offset/24,"YYYYMMDD")&amp;"*"" /stext="" "&amp;TEXT(DWU28-utc_offset/24,"HH")&amp;search_regexp&amp;""""</f>
        <v>#REF!</v>
      </c>
      <c r="DXS28" s="234" t="e">
        <f>astrogrep_path&amp;" /e /r /s /spath="&amp;search_path&amp;" /stypes=""app*"&amp;DWO28&amp;"*"&amp;TEXT(DWV28-utc_offset/24,"YYYYMMDD")&amp;"*"" /stext="" "&amp;TEXT(DWV28-utc_offset/24,"HH")&amp;search_regexp&amp;""""</f>
        <v>#REF!</v>
      </c>
      <c r="DXT28" s="234" t="e">
        <f>astrogrep_path&amp;" /e /r /s /spath="&amp;search_path&amp;" /stypes=""app*"&amp;DWP28&amp;"*"&amp;TEXT(DWW28-utc_offset/24,"YYYYMMDD")&amp;"*"" /stext="" "&amp;TEXT(DWW28-utc_offset/24,"HH")&amp;search_regexp&amp;""""</f>
        <v>#REF!</v>
      </c>
      <c r="DXU28" s="234" t="e">
        <f>astrogrep_path&amp;" /e /r /s /spath="&amp;search_path&amp;" /stypes=""app*"&amp;DWQ28&amp;"*"&amp;TEXT(DWX28-utc_offset/24,"YYYYMMDD")&amp;"*"" /stext="" "&amp;TEXT(DWX28-utc_offset/24,"HH")&amp;search_regexp&amp;""""</f>
        <v>#REF!</v>
      </c>
      <c r="DXV28" s="234" t="e">
        <f>astrogrep_path&amp;" /e /r /s /spath="&amp;search_path&amp;" /stypes=""app*"&amp;DWR28&amp;"*"&amp;TEXT(DWY28-utc_offset/24,"YYYYMMDD")&amp;"*"" /stext="" "&amp;TEXT(DWY28-utc_offset/24,"HH")&amp;search_regexp&amp;""""</f>
        <v>#REF!</v>
      </c>
      <c r="DXW28" s="234" t="e">
        <f>astrogrep_path&amp;" /e /r /s /spath="&amp;search_path&amp;" /stypes=""app*"&amp;DWS28&amp;"*"&amp;TEXT(DWZ28-utc_offset/24,"YYYYMMDD")&amp;"*"" /stext="" "&amp;TEXT(DWZ28-utc_offset/24,"HH")&amp;search_regexp&amp;""""</f>
        <v>#REF!</v>
      </c>
      <c r="DXX28" s="234" t="e">
        <f>astrogrep_path&amp;" /e /r /s /spath="&amp;search_path&amp;" /stypes=""app*"&amp;DWT28&amp;"*"&amp;TEXT(DXA28-utc_offset/24,"YYYYMMDD")&amp;"*"" /stext="" "&amp;TEXT(DXA28-utc_offset/24,"HH")&amp;search_regexp&amp;""""</f>
        <v>#REF!</v>
      </c>
      <c r="DXY28" s="234" t="e">
        <f>astrogrep_path&amp;" /e /r /s /spath="&amp;search_path&amp;" /stypes=""app*"&amp;DWU28&amp;"*"&amp;TEXT(DXB28-utc_offset/24,"YYYYMMDD")&amp;"*"" /stext="" "&amp;TEXT(DXB28-utc_offset/24,"HH")&amp;search_regexp&amp;""""</f>
        <v>#REF!</v>
      </c>
      <c r="DXZ28" s="234" t="e">
        <f>astrogrep_path&amp;" /e /r /s /spath="&amp;search_path&amp;" /stypes=""app*"&amp;DWV28&amp;"*"&amp;TEXT(DXC28-utc_offset/24,"YYYYMMDD")&amp;"*"" /stext="" "&amp;TEXT(DXC28-utc_offset/24,"HH")&amp;search_regexp&amp;""""</f>
        <v>#REF!</v>
      </c>
      <c r="DYA28" s="234" t="e">
        <f>astrogrep_path&amp;" /e /r /s /spath="&amp;search_path&amp;" /stypes=""app*"&amp;DWW28&amp;"*"&amp;TEXT(DXD28-utc_offset/24,"YYYYMMDD")&amp;"*"" /stext="" "&amp;TEXT(DXD28-utc_offset/24,"HH")&amp;search_regexp&amp;""""</f>
        <v>#REF!</v>
      </c>
      <c r="DYB28" s="234" t="e">
        <f>astrogrep_path&amp;" /e /r /s /spath="&amp;search_path&amp;" /stypes=""app*"&amp;DWX28&amp;"*"&amp;TEXT(DXE28-utc_offset/24,"YYYYMMDD")&amp;"*"" /stext="" "&amp;TEXT(DXE28-utc_offset/24,"HH")&amp;search_regexp&amp;""""</f>
        <v>#REF!</v>
      </c>
      <c r="DYC28" s="234" t="e">
        <f>astrogrep_path&amp;" /e /r /s /spath="&amp;search_path&amp;" /stypes=""app*"&amp;DWY28&amp;"*"&amp;TEXT(DXF28-utc_offset/24,"YYYYMMDD")&amp;"*"" /stext="" "&amp;TEXT(DXF28-utc_offset/24,"HH")&amp;search_regexp&amp;""""</f>
        <v>#REF!</v>
      </c>
      <c r="DYD28" s="234" t="e">
        <f>astrogrep_path&amp;" /e /r /s /spath="&amp;search_path&amp;" /stypes=""app*"&amp;DWZ28&amp;"*"&amp;TEXT(DXG28-utc_offset/24,"YYYYMMDD")&amp;"*"" /stext="" "&amp;TEXT(DXG28-utc_offset/24,"HH")&amp;search_regexp&amp;""""</f>
        <v>#REF!</v>
      </c>
      <c r="DYE28" s="234" t="e">
        <f>astrogrep_path&amp;" /e /r /s /spath="&amp;search_path&amp;" /stypes=""app*"&amp;DXA28&amp;"*"&amp;TEXT(DXH28-utc_offset/24,"YYYYMMDD")&amp;"*"" /stext="" "&amp;TEXT(DXH28-utc_offset/24,"HH")&amp;search_regexp&amp;""""</f>
        <v>#REF!</v>
      </c>
      <c r="DYF28" s="234" t="e">
        <f>astrogrep_path&amp;" /e /r /s /spath="&amp;search_path&amp;" /stypes=""app*"&amp;DXB28&amp;"*"&amp;TEXT(DXI28-utc_offset/24,"YYYYMMDD")&amp;"*"" /stext="" "&amp;TEXT(DXI28-utc_offset/24,"HH")&amp;search_regexp&amp;""""</f>
        <v>#REF!</v>
      </c>
      <c r="DYG28" s="234" t="e">
        <f>astrogrep_path&amp;" /e /r /s /spath="&amp;search_path&amp;" /stypes=""app*"&amp;DXC28&amp;"*"&amp;TEXT(DXJ28-utc_offset/24,"YYYYMMDD")&amp;"*"" /stext="" "&amp;TEXT(DXJ28-utc_offset/24,"HH")&amp;search_regexp&amp;""""</f>
        <v>#VALUE!</v>
      </c>
      <c r="DYH28" s="234" t="e">
        <f>astrogrep_path&amp;" /e /r /s /spath="&amp;search_path&amp;" /stypes=""app*"&amp;DXD28&amp;"*"&amp;TEXT(DXK28-utc_offset/24,"YYYYMMDD")&amp;"*"" /stext="" "&amp;TEXT(DXK28-utc_offset/24,"HH")&amp;search_regexp&amp;""""</f>
        <v>#VALUE!</v>
      </c>
      <c r="DYI28" s="234" t="e">
        <f>astrogrep_path&amp;" /e /r /s /spath="&amp;search_path&amp;" /stypes=""app*"&amp;DXE28&amp;"*"&amp;TEXT(DXL28-utc_offset/24,"YYYYMMDD")&amp;"*"" /stext="" "&amp;TEXT(DXL28-utc_offset/24,"HH")&amp;search_regexp&amp;""""</f>
        <v>#REF!</v>
      </c>
      <c r="DYJ28" s="234" t="e">
        <f>astrogrep_path&amp;" /e /r /s /spath="&amp;search_path&amp;" /stypes=""app*"&amp;DXF28&amp;"*"&amp;TEXT(DXM28-utc_offset/24,"YYYYMMDD")&amp;"*"" /stext="" "&amp;TEXT(DXM28-utc_offset/24,"HH")&amp;search_regexp&amp;""""</f>
        <v>#REF!</v>
      </c>
      <c r="DYK28" s="234" t="e">
        <f>astrogrep_path&amp;" /e /r /s /spath="&amp;search_path&amp;" /stypes=""app*"&amp;DXG28&amp;"*"&amp;TEXT(DXN28-utc_offset/24,"YYYYMMDD")&amp;"*"" /stext="" "&amp;TEXT(DXN28-utc_offset/24,"HH")&amp;search_regexp&amp;""""</f>
        <v>#VALUE!</v>
      </c>
      <c r="DYL28" s="234" t="e">
        <f>astrogrep_path&amp;" /e /r /s /spath="&amp;search_path&amp;" /stypes=""app*"&amp;DXH28&amp;"*"&amp;TEXT(DXO28-utc_offset/24,"YYYYMMDD")&amp;"*"" /stext="" "&amp;TEXT(DXO28-utc_offset/24,"HH")&amp;search_regexp&amp;""""</f>
        <v>#VALUE!</v>
      </c>
      <c r="DYM28" s="234" t="e">
        <f>astrogrep_path&amp;" /e /r /s /spath="&amp;search_path&amp;" /stypes=""app*"&amp;DXI28&amp;"*"&amp;TEXT(DXP28-utc_offset/24,"YYYYMMDD")&amp;"*"" /stext="" "&amp;TEXT(DXP28-utc_offset/24,"HH")&amp;search_regexp&amp;""""</f>
        <v>#VALUE!</v>
      </c>
      <c r="DYN28" s="234" t="e">
        <f>astrogrep_path&amp;" /e /r /s /spath="&amp;search_path&amp;" /stypes=""app*"&amp;DXJ28&amp;"*"&amp;TEXT(DXQ28-utc_offset/24,"YYYYMMDD")&amp;"*"" /stext="" "&amp;TEXT(DXQ28-utc_offset/24,"HH")&amp;search_regexp&amp;""""</f>
        <v>#VALUE!</v>
      </c>
      <c r="DYO28" s="234" t="e">
        <f>astrogrep_path&amp;" /e /r /s /spath="&amp;search_path&amp;" /stypes=""app*"&amp;DXK28&amp;"*"&amp;TEXT(DXR28-utc_offset/24,"YYYYMMDD")&amp;"*"" /stext="" "&amp;TEXT(DXR28-utc_offset/24,"HH")&amp;search_regexp&amp;""""</f>
        <v>#VALUE!</v>
      </c>
      <c r="DYP28" s="234" t="e">
        <f>astrogrep_path&amp;" /e /r /s /spath="&amp;search_path&amp;" /stypes=""app*"&amp;DXL28&amp;"*"&amp;TEXT(DXS28-utc_offset/24,"YYYYMMDD")&amp;"*"" /stext="" "&amp;TEXT(DXS28-utc_offset/24,"HH")&amp;search_regexp&amp;""""</f>
        <v>#REF!</v>
      </c>
      <c r="DYQ28" s="234" t="e">
        <f>astrogrep_path&amp;" /e /r /s /spath="&amp;search_path&amp;" /stypes=""app*"&amp;DXM28&amp;"*"&amp;TEXT(DXT28-utc_offset/24,"YYYYMMDD")&amp;"*"" /stext="" "&amp;TEXT(DXT28-utc_offset/24,"HH")&amp;search_regexp&amp;""""</f>
        <v>#REF!</v>
      </c>
      <c r="DYR28" s="234" t="e">
        <f>astrogrep_path&amp;" /e /r /s /spath="&amp;search_path&amp;" /stypes=""app*"&amp;DXN28&amp;"*"&amp;TEXT(DXU28-utc_offset/24,"YYYYMMDD")&amp;"*"" /stext="" "&amp;TEXT(DXU28-utc_offset/24,"HH")&amp;search_regexp&amp;""""</f>
        <v>#REF!</v>
      </c>
      <c r="DYS28" s="234" t="e">
        <f>astrogrep_path&amp;" /e /r /s /spath="&amp;search_path&amp;" /stypes=""app*"&amp;DXO28&amp;"*"&amp;TEXT(DXV28-utc_offset/24,"YYYYMMDD")&amp;"*"" /stext="" "&amp;TEXT(DXV28-utc_offset/24,"HH")&amp;search_regexp&amp;""""</f>
        <v>#REF!</v>
      </c>
      <c r="DYT28" s="234" t="e">
        <f>astrogrep_path&amp;" /e /r /s /spath="&amp;search_path&amp;" /stypes=""app*"&amp;DXP28&amp;"*"&amp;TEXT(DXW28-utc_offset/24,"YYYYMMDD")&amp;"*"" /stext="" "&amp;TEXT(DXW28-utc_offset/24,"HH")&amp;search_regexp&amp;""""</f>
        <v>#REF!</v>
      </c>
      <c r="DYU28" s="234" t="e">
        <f>astrogrep_path&amp;" /e /r /s /spath="&amp;search_path&amp;" /stypes=""app*"&amp;DXQ28&amp;"*"&amp;TEXT(DXX28-utc_offset/24,"YYYYMMDD")&amp;"*"" /stext="" "&amp;TEXT(DXX28-utc_offset/24,"HH")&amp;search_regexp&amp;""""</f>
        <v>#REF!</v>
      </c>
      <c r="DYV28" s="234" t="e">
        <f>astrogrep_path&amp;" /e /r /s /spath="&amp;search_path&amp;" /stypes=""app*"&amp;DXR28&amp;"*"&amp;TEXT(DXY28-utc_offset/24,"YYYYMMDD")&amp;"*"" /stext="" "&amp;TEXT(DXY28-utc_offset/24,"HH")&amp;search_regexp&amp;""""</f>
        <v>#REF!</v>
      </c>
      <c r="DYW28" s="234" t="e">
        <f>astrogrep_path&amp;" /e /r /s /spath="&amp;search_path&amp;" /stypes=""app*"&amp;DXS28&amp;"*"&amp;TEXT(DXZ28-utc_offset/24,"YYYYMMDD")&amp;"*"" /stext="" "&amp;TEXT(DXZ28-utc_offset/24,"HH")&amp;search_regexp&amp;""""</f>
        <v>#REF!</v>
      </c>
      <c r="DYX28" s="234" t="e">
        <f>astrogrep_path&amp;" /e /r /s /spath="&amp;search_path&amp;" /stypes=""app*"&amp;DXT28&amp;"*"&amp;TEXT(DYA28-utc_offset/24,"YYYYMMDD")&amp;"*"" /stext="" "&amp;TEXT(DYA28-utc_offset/24,"HH")&amp;search_regexp&amp;""""</f>
        <v>#REF!</v>
      </c>
      <c r="DYY28" s="234" t="e">
        <f>astrogrep_path&amp;" /e /r /s /spath="&amp;search_path&amp;" /stypes=""app*"&amp;DXU28&amp;"*"&amp;TEXT(DYB28-utc_offset/24,"YYYYMMDD")&amp;"*"" /stext="" "&amp;TEXT(DYB28-utc_offset/24,"HH")&amp;search_regexp&amp;""""</f>
        <v>#REF!</v>
      </c>
      <c r="DYZ28" s="234" t="e">
        <f>astrogrep_path&amp;" /e /r /s /spath="&amp;search_path&amp;" /stypes=""app*"&amp;DXV28&amp;"*"&amp;TEXT(DYC28-utc_offset/24,"YYYYMMDD")&amp;"*"" /stext="" "&amp;TEXT(DYC28-utc_offset/24,"HH")&amp;search_regexp&amp;""""</f>
        <v>#REF!</v>
      </c>
      <c r="DZA28" s="234" t="e">
        <f>astrogrep_path&amp;" /e /r /s /spath="&amp;search_path&amp;" /stypes=""app*"&amp;DXW28&amp;"*"&amp;TEXT(DYD28-utc_offset/24,"YYYYMMDD")&amp;"*"" /stext="" "&amp;TEXT(DYD28-utc_offset/24,"HH")&amp;search_regexp&amp;""""</f>
        <v>#REF!</v>
      </c>
      <c r="DZB28" s="234" t="e">
        <f>astrogrep_path&amp;" /e /r /s /spath="&amp;search_path&amp;" /stypes=""app*"&amp;DXX28&amp;"*"&amp;TEXT(DYE28-utc_offset/24,"YYYYMMDD")&amp;"*"" /stext="" "&amp;TEXT(DYE28-utc_offset/24,"HH")&amp;search_regexp&amp;""""</f>
        <v>#REF!</v>
      </c>
      <c r="DZC28" s="234" t="e">
        <f>astrogrep_path&amp;" /e /r /s /spath="&amp;search_path&amp;" /stypes=""app*"&amp;DXY28&amp;"*"&amp;TEXT(DYF28-utc_offset/24,"YYYYMMDD")&amp;"*"" /stext="" "&amp;TEXT(DYF28-utc_offset/24,"HH")&amp;search_regexp&amp;""""</f>
        <v>#REF!</v>
      </c>
      <c r="DZD28" s="234" t="e">
        <f>astrogrep_path&amp;" /e /r /s /spath="&amp;search_path&amp;" /stypes=""app*"&amp;DXZ28&amp;"*"&amp;TEXT(DYG28-utc_offset/24,"YYYYMMDD")&amp;"*"" /stext="" "&amp;TEXT(DYG28-utc_offset/24,"HH")&amp;search_regexp&amp;""""</f>
        <v>#REF!</v>
      </c>
      <c r="DZE28" s="234" t="e">
        <f>astrogrep_path&amp;" /e /r /s /spath="&amp;search_path&amp;" /stypes=""app*"&amp;DYA28&amp;"*"&amp;TEXT(DYH28-utc_offset/24,"YYYYMMDD")&amp;"*"" /stext="" "&amp;TEXT(DYH28-utc_offset/24,"HH")&amp;search_regexp&amp;""""</f>
        <v>#REF!</v>
      </c>
      <c r="DZF28" s="234" t="e">
        <f>astrogrep_path&amp;" /e /r /s /spath="&amp;search_path&amp;" /stypes=""app*"&amp;DYB28&amp;"*"&amp;TEXT(DYI28-utc_offset/24,"YYYYMMDD")&amp;"*"" /stext="" "&amp;TEXT(DYI28-utc_offset/24,"HH")&amp;search_regexp&amp;""""</f>
        <v>#REF!</v>
      </c>
      <c r="DZG28" s="234" t="e">
        <f>astrogrep_path&amp;" /e /r /s /spath="&amp;search_path&amp;" /stypes=""app*"&amp;DYC28&amp;"*"&amp;TEXT(DYJ28-utc_offset/24,"YYYYMMDD")&amp;"*"" /stext="" "&amp;TEXT(DYJ28-utc_offset/24,"HH")&amp;search_regexp&amp;""""</f>
        <v>#REF!</v>
      </c>
      <c r="DZH28" s="234" t="e">
        <f>astrogrep_path&amp;" /e /r /s /spath="&amp;search_path&amp;" /stypes=""app*"&amp;DYD28&amp;"*"&amp;TEXT(DYK28-utc_offset/24,"YYYYMMDD")&amp;"*"" /stext="" "&amp;TEXT(DYK28-utc_offset/24,"HH")&amp;search_regexp&amp;""""</f>
        <v>#REF!</v>
      </c>
      <c r="DZI28" s="234" t="e">
        <f>astrogrep_path&amp;" /e /r /s /spath="&amp;search_path&amp;" /stypes=""app*"&amp;DYE28&amp;"*"&amp;TEXT(DYL28-utc_offset/24,"YYYYMMDD")&amp;"*"" /stext="" "&amp;TEXT(DYL28-utc_offset/24,"HH")&amp;search_regexp&amp;""""</f>
        <v>#REF!</v>
      </c>
      <c r="DZJ28" s="234" t="e">
        <f>astrogrep_path&amp;" /e /r /s /spath="&amp;search_path&amp;" /stypes=""app*"&amp;DYF28&amp;"*"&amp;TEXT(DYM28-utc_offset/24,"YYYYMMDD")&amp;"*"" /stext="" "&amp;TEXT(DYM28-utc_offset/24,"HH")&amp;search_regexp&amp;""""</f>
        <v>#REF!</v>
      </c>
      <c r="DZK28" s="234" t="e">
        <f>astrogrep_path&amp;" /e /r /s /spath="&amp;search_path&amp;" /stypes=""app*"&amp;DYG28&amp;"*"&amp;TEXT(DYN28-utc_offset/24,"YYYYMMDD")&amp;"*"" /stext="" "&amp;TEXT(DYN28-utc_offset/24,"HH")&amp;search_regexp&amp;""""</f>
        <v>#VALUE!</v>
      </c>
      <c r="DZL28" s="234" t="e">
        <f>astrogrep_path&amp;" /e /r /s /spath="&amp;search_path&amp;" /stypes=""app*"&amp;DYH28&amp;"*"&amp;TEXT(DYO28-utc_offset/24,"YYYYMMDD")&amp;"*"" /stext="" "&amp;TEXT(DYO28-utc_offset/24,"HH")&amp;search_regexp&amp;""""</f>
        <v>#VALUE!</v>
      </c>
      <c r="DZM28" s="234" t="e">
        <f>astrogrep_path&amp;" /e /r /s /spath="&amp;search_path&amp;" /stypes=""app*"&amp;DYI28&amp;"*"&amp;TEXT(DYP28-utc_offset/24,"YYYYMMDD")&amp;"*"" /stext="" "&amp;TEXT(DYP28-utc_offset/24,"HH")&amp;search_regexp&amp;""""</f>
        <v>#REF!</v>
      </c>
      <c r="DZN28" s="234" t="e">
        <f>astrogrep_path&amp;" /e /r /s /spath="&amp;search_path&amp;" /stypes=""app*"&amp;DYJ28&amp;"*"&amp;TEXT(DYQ28-utc_offset/24,"YYYYMMDD")&amp;"*"" /stext="" "&amp;TEXT(DYQ28-utc_offset/24,"HH")&amp;search_regexp&amp;""""</f>
        <v>#REF!</v>
      </c>
      <c r="DZO28" s="234" t="e">
        <f>astrogrep_path&amp;" /e /r /s /spath="&amp;search_path&amp;" /stypes=""app*"&amp;DYK28&amp;"*"&amp;TEXT(DYR28-utc_offset/24,"YYYYMMDD")&amp;"*"" /stext="" "&amp;TEXT(DYR28-utc_offset/24,"HH")&amp;search_regexp&amp;""""</f>
        <v>#VALUE!</v>
      </c>
      <c r="DZP28" s="234" t="e">
        <f>astrogrep_path&amp;" /e /r /s /spath="&amp;search_path&amp;" /stypes=""app*"&amp;DYL28&amp;"*"&amp;TEXT(DYS28-utc_offset/24,"YYYYMMDD")&amp;"*"" /stext="" "&amp;TEXT(DYS28-utc_offset/24,"HH")&amp;search_regexp&amp;""""</f>
        <v>#VALUE!</v>
      </c>
      <c r="DZQ28" s="234" t="e">
        <f>astrogrep_path&amp;" /e /r /s /spath="&amp;search_path&amp;" /stypes=""app*"&amp;DYM28&amp;"*"&amp;TEXT(DYT28-utc_offset/24,"YYYYMMDD")&amp;"*"" /stext="" "&amp;TEXT(DYT28-utc_offset/24,"HH")&amp;search_regexp&amp;""""</f>
        <v>#VALUE!</v>
      </c>
      <c r="DZR28" s="234" t="e">
        <f>astrogrep_path&amp;" /e /r /s /spath="&amp;search_path&amp;" /stypes=""app*"&amp;DYN28&amp;"*"&amp;TEXT(DYU28-utc_offset/24,"YYYYMMDD")&amp;"*"" /stext="" "&amp;TEXT(DYU28-utc_offset/24,"HH")&amp;search_regexp&amp;""""</f>
        <v>#VALUE!</v>
      </c>
      <c r="DZS28" s="234" t="e">
        <f>astrogrep_path&amp;" /e /r /s /spath="&amp;search_path&amp;" /stypes=""app*"&amp;DYO28&amp;"*"&amp;TEXT(DYV28-utc_offset/24,"YYYYMMDD")&amp;"*"" /stext="" "&amp;TEXT(DYV28-utc_offset/24,"HH")&amp;search_regexp&amp;""""</f>
        <v>#VALUE!</v>
      </c>
      <c r="DZT28" s="234" t="e">
        <f>astrogrep_path&amp;" /e /r /s /spath="&amp;search_path&amp;" /stypes=""app*"&amp;DYP28&amp;"*"&amp;TEXT(DYW28-utc_offset/24,"YYYYMMDD")&amp;"*"" /stext="" "&amp;TEXT(DYW28-utc_offset/24,"HH")&amp;search_regexp&amp;""""</f>
        <v>#REF!</v>
      </c>
      <c r="DZU28" s="234" t="e">
        <f>astrogrep_path&amp;" /e /r /s /spath="&amp;search_path&amp;" /stypes=""app*"&amp;DYQ28&amp;"*"&amp;TEXT(DYX28-utc_offset/24,"YYYYMMDD")&amp;"*"" /stext="" "&amp;TEXT(DYX28-utc_offset/24,"HH")&amp;search_regexp&amp;""""</f>
        <v>#REF!</v>
      </c>
      <c r="DZV28" s="234" t="e">
        <f>astrogrep_path&amp;" /e /r /s /spath="&amp;search_path&amp;" /stypes=""app*"&amp;DYR28&amp;"*"&amp;TEXT(DYY28-utc_offset/24,"YYYYMMDD")&amp;"*"" /stext="" "&amp;TEXT(DYY28-utc_offset/24,"HH")&amp;search_regexp&amp;""""</f>
        <v>#REF!</v>
      </c>
      <c r="DZW28" s="234" t="e">
        <f>astrogrep_path&amp;" /e /r /s /spath="&amp;search_path&amp;" /stypes=""app*"&amp;DYS28&amp;"*"&amp;TEXT(DYZ28-utc_offset/24,"YYYYMMDD")&amp;"*"" /stext="" "&amp;TEXT(DYZ28-utc_offset/24,"HH")&amp;search_regexp&amp;""""</f>
        <v>#REF!</v>
      </c>
      <c r="DZX28" s="234" t="e">
        <f>astrogrep_path&amp;" /e /r /s /spath="&amp;search_path&amp;" /stypes=""app*"&amp;DYT28&amp;"*"&amp;TEXT(DZA28-utc_offset/24,"YYYYMMDD")&amp;"*"" /stext="" "&amp;TEXT(DZA28-utc_offset/24,"HH")&amp;search_regexp&amp;""""</f>
        <v>#REF!</v>
      </c>
      <c r="DZY28" s="234" t="e">
        <f>astrogrep_path&amp;" /e /r /s /spath="&amp;search_path&amp;" /stypes=""app*"&amp;DYU28&amp;"*"&amp;TEXT(DZB28-utc_offset/24,"YYYYMMDD")&amp;"*"" /stext="" "&amp;TEXT(DZB28-utc_offset/24,"HH")&amp;search_regexp&amp;""""</f>
        <v>#REF!</v>
      </c>
      <c r="DZZ28" s="234" t="e">
        <f>astrogrep_path&amp;" /e /r /s /spath="&amp;search_path&amp;" /stypes=""app*"&amp;DYV28&amp;"*"&amp;TEXT(DZC28-utc_offset/24,"YYYYMMDD")&amp;"*"" /stext="" "&amp;TEXT(DZC28-utc_offset/24,"HH")&amp;search_regexp&amp;""""</f>
        <v>#REF!</v>
      </c>
      <c r="EAA28" s="234" t="e">
        <f>astrogrep_path&amp;" /e /r /s /spath="&amp;search_path&amp;" /stypes=""app*"&amp;DYW28&amp;"*"&amp;TEXT(DZD28-utc_offset/24,"YYYYMMDD")&amp;"*"" /stext="" "&amp;TEXT(DZD28-utc_offset/24,"HH")&amp;search_regexp&amp;""""</f>
        <v>#REF!</v>
      </c>
      <c r="EAB28" s="234" t="e">
        <f>astrogrep_path&amp;" /e /r /s /spath="&amp;search_path&amp;" /stypes=""app*"&amp;DYX28&amp;"*"&amp;TEXT(DZE28-utc_offset/24,"YYYYMMDD")&amp;"*"" /stext="" "&amp;TEXT(DZE28-utc_offset/24,"HH")&amp;search_regexp&amp;""""</f>
        <v>#REF!</v>
      </c>
      <c r="EAC28" s="234" t="e">
        <f>astrogrep_path&amp;" /e /r /s /spath="&amp;search_path&amp;" /stypes=""app*"&amp;DYY28&amp;"*"&amp;TEXT(DZF28-utc_offset/24,"YYYYMMDD")&amp;"*"" /stext="" "&amp;TEXT(DZF28-utc_offset/24,"HH")&amp;search_regexp&amp;""""</f>
        <v>#REF!</v>
      </c>
      <c r="EAD28" s="234" t="e">
        <f>astrogrep_path&amp;" /e /r /s /spath="&amp;search_path&amp;" /stypes=""app*"&amp;DYZ28&amp;"*"&amp;TEXT(DZG28-utc_offset/24,"YYYYMMDD")&amp;"*"" /stext="" "&amp;TEXT(DZG28-utc_offset/24,"HH")&amp;search_regexp&amp;""""</f>
        <v>#REF!</v>
      </c>
      <c r="EAE28" s="234" t="e">
        <f>astrogrep_path&amp;" /e /r /s /spath="&amp;search_path&amp;" /stypes=""app*"&amp;DZA28&amp;"*"&amp;TEXT(DZH28-utc_offset/24,"YYYYMMDD")&amp;"*"" /stext="" "&amp;TEXT(DZH28-utc_offset/24,"HH")&amp;search_regexp&amp;""""</f>
        <v>#REF!</v>
      </c>
      <c r="EAF28" s="234" t="e">
        <f>astrogrep_path&amp;" /e /r /s /spath="&amp;search_path&amp;" /stypes=""app*"&amp;DZB28&amp;"*"&amp;TEXT(DZI28-utc_offset/24,"YYYYMMDD")&amp;"*"" /stext="" "&amp;TEXT(DZI28-utc_offset/24,"HH")&amp;search_regexp&amp;""""</f>
        <v>#REF!</v>
      </c>
      <c r="EAG28" s="234" t="e">
        <f>astrogrep_path&amp;" /e /r /s /spath="&amp;search_path&amp;" /stypes=""app*"&amp;DZC28&amp;"*"&amp;TEXT(DZJ28-utc_offset/24,"YYYYMMDD")&amp;"*"" /stext="" "&amp;TEXT(DZJ28-utc_offset/24,"HH")&amp;search_regexp&amp;""""</f>
        <v>#REF!</v>
      </c>
      <c r="EAH28" s="234" t="e">
        <f>astrogrep_path&amp;" /e /r /s /spath="&amp;search_path&amp;" /stypes=""app*"&amp;DZD28&amp;"*"&amp;TEXT(DZK28-utc_offset/24,"YYYYMMDD")&amp;"*"" /stext="" "&amp;TEXT(DZK28-utc_offset/24,"HH")&amp;search_regexp&amp;""""</f>
        <v>#REF!</v>
      </c>
      <c r="EAI28" s="234" t="e">
        <f>astrogrep_path&amp;" /e /r /s /spath="&amp;search_path&amp;" /stypes=""app*"&amp;DZE28&amp;"*"&amp;TEXT(DZL28-utc_offset/24,"YYYYMMDD")&amp;"*"" /stext="" "&amp;TEXT(DZL28-utc_offset/24,"HH")&amp;search_regexp&amp;""""</f>
        <v>#REF!</v>
      </c>
      <c r="EAJ28" s="234" t="e">
        <f>astrogrep_path&amp;" /e /r /s /spath="&amp;search_path&amp;" /stypes=""app*"&amp;DZF28&amp;"*"&amp;TEXT(DZM28-utc_offset/24,"YYYYMMDD")&amp;"*"" /stext="" "&amp;TEXT(DZM28-utc_offset/24,"HH")&amp;search_regexp&amp;""""</f>
        <v>#REF!</v>
      </c>
      <c r="EAK28" s="234" t="e">
        <f>astrogrep_path&amp;" /e /r /s /spath="&amp;search_path&amp;" /stypes=""app*"&amp;DZG28&amp;"*"&amp;TEXT(DZN28-utc_offset/24,"YYYYMMDD")&amp;"*"" /stext="" "&amp;TEXT(DZN28-utc_offset/24,"HH")&amp;search_regexp&amp;""""</f>
        <v>#REF!</v>
      </c>
      <c r="EAL28" s="234" t="e">
        <f>astrogrep_path&amp;" /e /r /s /spath="&amp;search_path&amp;" /stypes=""app*"&amp;DZH28&amp;"*"&amp;TEXT(DZO28-utc_offset/24,"YYYYMMDD")&amp;"*"" /stext="" "&amp;TEXT(DZO28-utc_offset/24,"HH")&amp;search_regexp&amp;""""</f>
        <v>#REF!</v>
      </c>
      <c r="EAM28" s="234" t="e">
        <f>astrogrep_path&amp;" /e /r /s /spath="&amp;search_path&amp;" /stypes=""app*"&amp;DZI28&amp;"*"&amp;TEXT(DZP28-utc_offset/24,"YYYYMMDD")&amp;"*"" /stext="" "&amp;TEXT(DZP28-utc_offset/24,"HH")&amp;search_regexp&amp;""""</f>
        <v>#REF!</v>
      </c>
      <c r="EAN28" s="234" t="e">
        <f>astrogrep_path&amp;" /e /r /s /spath="&amp;search_path&amp;" /stypes=""app*"&amp;DZJ28&amp;"*"&amp;TEXT(DZQ28-utc_offset/24,"YYYYMMDD")&amp;"*"" /stext="" "&amp;TEXT(DZQ28-utc_offset/24,"HH")&amp;search_regexp&amp;""""</f>
        <v>#REF!</v>
      </c>
      <c r="EAO28" s="234" t="e">
        <f>astrogrep_path&amp;" /e /r /s /spath="&amp;search_path&amp;" /stypes=""app*"&amp;DZK28&amp;"*"&amp;TEXT(DZR28-utc_offset/24,"YYYYMMDD")&amp;"*"" /stext="" "&amp;TEXT(DZR28-utc_offset/24,"HH")&amp;search_regexp&amp;""""</f>
        <v>#VALUE!</v>
      </c>
      <c r="EAP28" s="234" t="e">
        <f>astrogrep_path&amp;" /e /r /s /spath="&amp;search_path&amp;" /stypes=""app*"&amp;DZL28&amp;"*"&amp;TEXT(DZS28-utc_offset/24,"YYYYMMDD")&amp;"*"" /stext="" "&amp;TEXT(DZS28-utc_offset/24,"HH")&amp;search_regexp&amp;""""</f>
        <v>#VALUE!</v>
      </c>
      <c r="EAQ28" s="234" t="e">
        <f>astrogrep_path&amp;" /e /r /s /spath="&amp;search_path&amp;" /stypes=""app*"&amp;DZM28&amp;"*"&amp;TEXT(DZT28-utc_offset/24,"YYYYMMDD")&amp;"*"" /stext="" "&amp;TEXT(DZT28-utc_offset/24,"HH")&amp;search_regexp&amp;""""</f>
        <v>#REF!</v>
      </c>
      <c r="EAR28" s="234" t="e">
        <f>astrogrep_path&amp;" /e /r /s /spath="&amp;search_path&amp;" /stypes=""app*"&amp;DZN28&amp;"*"&amp;TEXT(DZU28-utc_offset/24,"YYYYMMDD")&amp;"*"" /stext="" "&amp;TEXT(DZU28-utc_offset/24,"HH")&amp;search_regexp&amp;""""</f>
        <v>#REF!</v>
      </c>
      <c r="EAS28" s="234" t="e">
        <f>astrogrep_path&amp;" /e /r /s /spath="&amp;search_path&amp;" /stypes=""app*"&amp;DZO28&amp;"*"&amp;TEXT(DZV28-utc_offset/24,"YYYYMMDD")&amp;"*"" /stext="" "&amp;TEXT(DZV28-utc_offset/24,"HH")&amp;search_regexp&amp;""""</f>
        <v>#VALUE!</v>
      </c>
      <c r="EAT28" s="234" t="e">
        <f>astrogrep_path&amp;" /e /r /s /spath="&amp;search_path&amp;" /stypes=""app*"&amp;DZP28&amp;"*"&amp;TEXT(DZW28-utc_offset/24,"YYYYMMDD")&amp;"*"" /stext="" "&amp;TEXT(DZW28-utc_offset/24,"HH")&amp;search_regexp&amp;""""</f>
        <v>#VALUE!</v>
      </c>
      <c r="EAU28" s="234" t="e">
        <f>astrogrep_path&amp;" /e /r /s /spath="&amp;search_path&amp;" /stypes=""app*"&amp;DZQ28&amp;"*"&amp;TEXT(DZX28-utc_offset/24,"YYYYMMDD")&amp;"*"" /stext="" "&amp;TEXT(DZX28-utc_offset/24,"HH")&amp;search_regexp&amp;""""</f>
        <v>#VALUE!</v>
      </c>
      <c r="EAV28" s="234" t="e">
        <f>astrogrep_path&amp;" /e /r /s /spath="&amp;search_path&amp;" /stypes=""app*"&amp;DZR28&amp;"*"&amp;TEXT(DZY28-utc_offset/24,"YYYYMMDD")&amp;"*"" /stext="" "&amp;TEXT(DZY28-utc_offset/24,"HH")&amp;search_regexp&amp;""""</f>
        <v>#VALUE!</v>
      </c>
      <c r="EAW28" s="234" t="e">
        <f>astrogrep_path&amp;" /e /r /s /spath="&amp;search_path&amp;" /stypes=""app*"&amp;DZS28&amp;"*"&amp;TEXT(DZZ28-utc_offset/24,"YYYYMMDD")&amp;"*"" /stext="" "&amp;TEXT(DZZ28-utc_offset/24,"HH")&amp;search_regexp&amp;""""</f>
        <v>#VALUE!</v>
      </c>
      <c r="EAX28" s="234" t="e">
        <f>astrogrep_path&amp;" /e /r /s /spath="&amp;search_path&amp;" /stypes=""app*"&amp;DZT28&amp;"*"&amp;TEXT(EAA28-utc_offset/24,"YYYYMMDD")&amp;"*"" /stext="" "&amp;TEXT(EAA28-utc_offset/24,"HH")&amp;search_regexp&amp;""""</f>
        <v>#REF!</v>
      </c>
      <c r="EAY28" s="234" t="e">
        <f>astrogrep_path&amp;" /e /r /s /spath="&amp;search_path&amp;" /stypes=""app*"&amp;DZU28&amp;"*"&amp;TEXT(EAB28-utc_offset/24,"YYYYMMDD")&amp;"*"" /stext="" "&amp;TEXT(EAB28-utc_offset/24,"HH")&amp;search_regexp&amp;""""</f>
        <v>#REF!</v>
      </c>
      <c r="EAZ28" s="234" t="e">
        <f>astrogrep_path&amp;" /e /r /s /spath="&amp;search_path&amp;" /stypes=""app*"&amp;DZV28&amp;"*"&amp;TEXT(EAC28-utc_offset/24,"YYYYMMDD")&amp;"*"" /stext="" "&amp;TEXT(EAC28-utc_offset/24,"HH")&amp;search_regexp&amp;""""</f>
        <v>#REF!</v>
      </c>
      <c r="EBA28" s="234" t="e">
        <f>astrogrep_path&amp;" /e /r /s /spath="&amp;search_path&amp;" /stypes=""app*"&amp;DZW28&amp;"*"&amp;TEXT(EAD28-utc_offset/24,"YYYYMMDD")&amp;"*"" /stext="" "&amp;TEXT(EAD28-utc_offset/24,"HH")&amp;search_regexp&amp;""""</f>
        <v>#REF!</v>
      </c>
      <c r="EBB28" s="234" t="e">
        <f>astrogrep_path&amp;" /e /r /s /spath="&amp;search_path&amp;" /stypes=""app*"&amp;DZX28&amp;"*"&amp;TEXT(EAE28-utc_offset/24,"YYYYMMDD")&amp;"*"" /stext="" "&amp;TEXT(EAE28-utc_offset/24,"HH")&amp;search_regexp&amp;""""</f>
        <v>#REF!</v>
      </c>
      <c r="EBC28" s="234" t="e">
        <f>astrogrep_path&amp;" /e /r /s /spath="&amp;search_path&amp;" /stypes=""app*"&amp;DZY28&amp;"*"&amp;TEXT(EAF28-utc_offset/24,"YYYYMMDD")&amp;"*"" /stext="" "&amp;TEXT(EAF28-utc_offset/24,"HH")&amp;search_regexp&amp;""""</f>
        <v>#REF!</v>
      </c>
      <c r="EBD28" s="234" t="e">
        <f>astrogrep_path&amp;" /e /r /s /spath="&amp;search_path&amp;" /stypes=""app*"&amp;DZZ28&amp;"*"&amp;TEXT(EAG28-utc_offset/24,"YYYYMMDD")&amp;"*"" /stext="" "&amp;TEXT(EAG28-utc_offset/24,"HH")&amp;search_regexp&amp;""""</f>
        <v>#REF!</v>
      </c>
      <c r="EBE28" s="234" t="e">
        <f>astrogrep_path&amp;" /e /r /s /spath="&amp;search_path&amp;" /stypes=""app*"&amp;EAA28&amp;"*"&amp;TEXT(EAH28-utc_offset/24,"YYYYMMDD")&amp;"*"" /stext="" "&amp;TEXT(EAH28-utc_offset/24,"HH")&amp;search_regexp&amp;""""</f>
        <v>#REF!</v>
      </c>
      <c r="EBF28" s="234" t="e">
        <f>astrogrep_path&amp;" /e /r /s /spath="&amp;search_path&amp;" /stypes=""app*"&amp;EAB28&amp;"*"&amp;TEXT(EAI28-utc_offset/24,"YYYYMMDD")&amp;"*"" /stext="" "&amp;TEXT(EAI28-utc_offset/24,"HH")&amp;search_regexp&amp;""""</f>
        <v>#REF!</v>
      </c>
      <c r="EBG28" s="234" t="e">
        <f>astrogrep_path&amp;" /e /r /s /spath="&amp;search_path&amp;" /stypes=""app*"&amp;EAC28&amp;"*"&amp;TEXT(EAJ28-utc_offset/24,"YYYYMMDD")&amp;"*"" /stext="" "&amp;TEXT(EAJ28-utc_offset/24,"HH")&amp;search_regexp&amp;""""</f>
        <v>#REF!</v>
      </c>
      <c r="EBH28" s="234" t="e">
        <f>astrogrep_path&amp;" /e /r /s /spath="&amp;search_path&amp;" /stypes=""app*"&amp;EAD28&amp;"*"&amp;TEXT(EAK28-utc_offset/24,"YYYYMMDD")&amp;"*"" /stext="" "&amp;TEXT(EAK28-utc_offset/24,"HH")&amp;search_regexp&amp;""""</f>
        <v>#REF!</v>
      </c>
      <c r="EBI28" s="234" t="e">
        <f>astrogrep_path&amp;" /e /r /s /spath="&amp;search_path&amp;" /stypes=""app*"&amp;EAE28&amp;"*"&amp;TEXT(EAL28-utc_offset/24,"YYYYMMDD")&amp;"*"" /stext="" "&amp;TEXT(EAL28-utc_offset/24,"HH")&amp;search_regexp&amp;""""</f>
        <v>#REF!</v>
      </c>
      <c r="EBJ28" s="234" t="e">
        <f>astrogrep_path&amp;" /e /r /s /spath="&amp;search_path&amp;" /stypes=""app*"&amp;EAF28&amp;"*"&amp;TEXT(EAM28-utc_offset/24,"YYYYMMDD")&amp;"*"" /stext="" "&amp;TEXT(EAM28-utc_offset/24,"HH")&amp;search_regexp&amp;""""</f>
        <v>#REF!</v>
      </c>
      <c r="EBK28" s="234" t="e">
        <f>astrogrep_path&amp;" /e /r /s /spath="&amp;search_path&amp;" /stypes=""app*"&amp;EAG28&amp;"*"&amp;TEXT(EAN28-utc_offset/24,"YYYYMMDD")&amp;"*"" /stext="" "&amp;TEXT(EAN28-utc_offset/24,"HH")&amp;search_regexp&amp;""""</f>
        <v>#REF!</v>
      </c>
      <c r="EBL28" s="234" t="e">
        <f>astrogrep_path&amp;" /e /r /s /spath="&amp;search_path&amp;" /stypes=""app*"&amp;EAH28&amp;"*"&amp;TEXT(EAO28-utc_offset/24,"YYYYMMDD")&amp;"*"" /stext="" "&amp;TEXT(EAO28-utc_offset/24,"HH")&amp;search_regexp&amp;""""</f>
        <v>#REF!</v>
      </c>
      <c r="EBM28" s="234" t="e">
        <f>astrogrep_path&amp;" /e /r /s /spath="&amp;search_path&amp;" /stypes=""app*"&amp;EAI28&amp;"*"&amp;TEXT(EAP28-utc_offset/24,"YYYYMMDD")&amp;"*"" /stext="" "&amp;TEXT(EAP28-utc_offset/24,"HH")&amp;search_regexp&amp;""""</f>
        <v>#REF!</v>
      </c>
      <c r="EBN28" s="234" t="e">
        <f>astrogrep_path&amp;" /e /r /s /spath="&amp;search_path&amp;" /stypes=""app*"&amp;EAJ28&amp;"*"&amp;TEXT(EAQ28-utc_offset/24,"YYYYMMDD")&amp;"*"" /stext="" "&amp;TEXT(EAQ28-utc_offset/24,"HH")&amp;search_regexp&amp;""""</f>
        <v>#REF!</v>
      </c>
      <c r="EBO28" s="234" t="e">
        <f>astrogrep_path&amp;" /e /r /s /spath="&amp;search_path&amp;" /stypes=""app*"&amp;EAK28&amp;"*"&amp;TEXT(EAR28-utc_offset/24,"YYYYMMDD")&amp;"*"" /stext="" "&amp;TEXT(EAR28-utc_offset/24,"HH")&amp;search_regexp&amp;""""</f>
        <v>#REF!</v>
      </c>
      <c r="EBP28" s="234" t="e">
        <f>astrogrep_path&amp;" /e /r /s /spath="&amp;search_path&amp;" /stypes=""app*"&amp;EAL28&amp;"*"&amp;TEXT(EAS28-utc_offset/24,"YYYYMMDD")&amp;"*"" /stext="" "&amp;TEXT(EAS28-utc_offset/24,"HH")&amp;search_regexp&amp;""""</f>
        <v>#REF!</v>
      </c>
      <c r="EBQ28" s="234" t="e">
        <f>astrogrep_path&amp;" /e /r /s /spath="&amp;search_path&amp;" /stypes=""app*"&amp;EAM28&amp;"*"&amp;TEXT(EAT28-utc_offset/24,"YYYYMMDD")&amp;"*"" /stext="" "&amp;TEXT(EAT28-utc_offset/24,"HH")&amp;search_regexp&amp;""""</f>
        <v>#REF!</v>
      </c>
      <c r="EBR28" s="234" t="e">
        <f>astrogrep_path&amp;" /e /r /s /spath="&amp;search_path&amp;" /stypes=""app*"&amp;EAN28&amp;"*"&amp;TEXT(EAU28-utc_offset/24,"YYYYMMDD")&amp;"*"" /stext="" "&amp;TEXT(EAU28-utc_offset/24,"HH")&amp;search_regexp&amp;""""</f>
        <v>#REF!</v>
      </c>
      <c r="EBS28" s="234" t="e">
        <f>astrogrep_path&amp;" /e /r /s /spath="&amp;search_path&amp;" /stypes=""app*"&amp;EAO28&amp;"*"&amp;TEXT(EAV28-utc_offset/24,"YYYYMMDD")&amp;"*"" /stext="" "&amp;TEXT(EAV28-utc_offset/24,"HH")&amp;search_regexp&amp;""""</f>
        <v>#VALUE!</v>
      </c>
      <c r="EBT28" s="234" t="e">
        <f>astrogrep_path&amp;" /e /r /s /spath="&amp;search_path&amp;" /stypes=""app*"&amp;EAP28&amp;"*"&amp;TEXT(EAW28-utc_offset/24,"YYYYMMDD")&amp;"*"" /stext="" "&amp;TEXT(EAW28-utc_offset/24,"HH")&amp;search_regexp&amp;""""</f>
        <v>#VALUE!</v>
      </c>
      <c r="EBU28" s="234" t="e">
        <f>astrogrep_path&amp;" /e /r /s /spath="&amp;search_path&amp;" /stypes=""app*"&amp;EAQ28&amp;"*"&amp;TEXT(EAX28-utc_offset/24,"YYYYMMDD")&amp;"*"" /stext="" "&amp;TEXT(EAX28-utc_offset/24,"HH")&amp;search_regexp&amp;""""</f>
        <v>#REF!</v>
      </c>
      <c r="EBV28" s="234" t="e">
        <f>astrogrep_path&amp;" /e /r /s /spath="&amp;search_path&amp;" /stypes=""app*"&amp;EAR28&amp;"*"&amp;TEXT(EAY28-utc_offset/24,"YYYYMMDD")&amp;"*"" /stext="" "&amp;TEXT(EAY28-utc_offset/24,"HH")&amp;search_regexp&amp;""""</f>
        <v>#REF!</v>
      </c>
      <c r="EBW28" s="234" t="e">
        <f>astrogrep_path&amp;" /e /r /s /spath="&amp;search_path&amp;" /stypes=""app*"&amp;EAS28&amp;"*"&amp;TEXT(EAZ28-utc_offset/24,"YYYYMMDD")&amp;"*"" /stext="" "&amp;TEXT(EAZ28-utc_offset/24,"HH")&amp;search_regexp&amp;""""</f>
        <v>#VALUE!</v>
      </c>
      <c r="EBX28" s="234" t="e">
        <f>astrogrep_path&amp;" /e /r /s /spath="&amp;search_path&amp;" /stypes=""app*"&amp;EAT28&amp;"*"&amp;TEXT(EBA28-utc_offset/24,"YYYYMMDD")&amp;"*"" /stext="" "&amp;TEXT(EBA28-utc_offset/24,"HH")&amp;search_regexp&amp;""""</f>
        <v>#VALUE!</v>
      </c>
      <c r="EBY28" s="234" t="e">
        <f>astrogrep_path&amp;" /e /r /s /spath="&amp;search_path&amp;" /stypes=""app*"&amp;EAU28&amp;"*"&amp;TEXT(EBB28-utc_offset/24,"YYYYMMDD")&amp;"*"" /stext="" "&amp;TEXT(EBB28-utc_offset/24,"HH")&amp;search_regexp&amp;""""</f>
        <v>#VALUE!</v>
      </c>
      <c r="EBZ28" s="234" t="e">
        <f>astrogrep_path&amp;" /e /r /s /spath="&amp;search_path&amp;" /stypes=""app*"&amp;EAV28&amp;"*"&amp;TEXT(EBC28-utc_offset/24,"YYYYMMDD")&amp;"*"" /stext="" "&amp;TEXT(EBC28-utc_offset/24,"HH")&amp;search_regexp&amp;""""</f>
        <v>#VALUE!</v>
      </c>
      <c r="ECA28" s="234" t="e">
        <f>astrogrep_path&amp;" /e /r /s /spath="&amp;search_path&amp;" /stypes=""app*"&amp;EAW28&amp;"*"&amp;TEXT(EBD28-utc_offset/24,"YYYYMMDD")&amp;"*"" /stext="" "&amp;TEXT(EBD28-utc_offset/24,"HH")&amp;search_regexp&amp;""""</f>
        <v>#VALUE!</v>
      </c>
      <c r="ECB28" s="234" t="e">
        <f>astrogrep_path&amp;" /e /r /s /spath="&amp;search_path&amp;" /stypes=""app*"&amp;EAX28&amp;"*"&amp;TEXT(EBE28-utc_offset/24,"YYYYMMDD")&amp;"*"" /stext="" "&amp;TEXT(EBE28-utc_offset/24,"HH")&amp;search_regexp&amp;""""</f>
        <v>#REF!</v>
      </c>
      <c r="ECC28" s="234" t="e">
        <f>astrogrep_path&amp;" /e /r /s /spath="&amp;search_path&amp;" /stypes=""app*"&amp;EAY28&amp;"*"&amp;TEXT(EBF28-utc_offset/24,"YYYYMMDD")&amp;"*"" /stext="" "&amp;TEXT(EBF28-utc_offset/24,"HH")&amp;search_regexp&amp;""""</f>
        <v>#REF!</v>
      </c>
      <c r="ECD28" s="234" t="e">
        <f>astrogrep_path&amp;" /e /r /s /spath="&amp;search_path&amp;" /stypes=""app*"&amp;EAZ28&amp;"*"&amp;TEXT(EBG28-utc_offset/24,"YYYYMMDD")&amp;"*"" /stext="" "&amp;TEXT(EBG28-utc_offset/24,"HH")&amp;search_regexp&amp;""""</f>
        <v>#REF!</v>
      </c>
      <c r="ECE28" s="234" t="e">
        <f>astrogrep_path&amp;" /e /r /s /spath="&amp;search_path&amp;" /stypes=""app*"&amp;EBA28&amp;"*"&amp;TEXT(EBH28-utc_offset/24,"YYYYMMDD")&amp;"*"" /stext="" "&amp;TEXT(EBH28-utc_offset/24,"HH")&amp;search_regexp&amp;""""</f>
        <v>#REF!</v>
      </c>
      <c r="ECF28" s="234" t="e">
        <f>astrogrep_path&amp;" /e /r /s /spath="&amp;search_path&amp;" /stypes=""app*"&amp;EBB28&amp;"*"&amp;TEXT(EBI28-utc_offset/24,"YYYYMMDD")&amp;"*"" /stext="" "&amp;TEXT(EBI28-utc_offset/24,"HH")&amp;search_regexp&amp;""""</f>
        <v>#REF!</v>
      </c>
      <c r="ECG28" s="234" t="e">
        <f>astrogrep_path&amp;" /e /r /s /spath="&amp;search_path&amp;" /stypes=""app*"&amp;EBC28&amp;"*"&amp;TEXT(EBJ28-utc_offset/24,"YYYYMMDD")&amp;"*"" /stext="" "&amp;TEXT(EBJ28-utc_offset/24,"HH")&amp;search_regexp&amp;""""</f>
        <v>#REF!</v>
      </c>
      <c r="ECH28" s="234" t="e">
        <f>astrogrep_path&amp;" /e /r /s /spath="&amp;search_path&amp;" /stypes=""app*"&amp;EBD28&amp;"*"&amp;TEXT(EBK28-utc_offset/24,"YYYYMMDD")&amp;"*"" /stext="" "&amp;TEXT(EBK28-utc_offset/24,"HH")&amp;search_regexp&amp;""""</f>
        <v>#REF!</v>
      </c>
      <c r="ECI28" s="234" t="e">
        <f>astrogrep_path&amp;" /e /r /s /spath="&amp;search_path&amp;" /stypes=""app*"&amp;EBE28&amp;"*"&amp;TEXT(EBL28-utc_offset/24,"YYYYMMDD")&amp;"*"" /stext="" "&amp;TEXT(EBL28-utc_offset/24,"HH")&amp;search_regexp&amp;""""</f>
        <v>#REF!</v>
      </c>
      <c r="ECJ28" s="234" t="e">
        <f>astrogrep_path&amp;" /e /r /s /spath="&amp;search_path&amp;" /stypes=""app*"&amp;EBF28&amp;"*"&amp;TEXT(EBM28-utc_offset/24,"YYYYMMDD")&amp;"*"" /stext="" "&amp;TEXT(EBM28-utc_offset/24,"HH")&amp;search_regexp&amp;""""</f>
        <v>#REF!</v>
      </c>
      <c r="ECK28" s="234" t="e">
        <f>astrogrep_path&amp;" /e /r /s /spath="&amp;search_path&amp;" /stypes=""app*"&amp;EBG28&amp;"*"&amp;TEXT(EBN28-utc_offset/24,"YYYYMMDD")&amp;"*"" /stext="" "&amp;TEXT(EBN28-utc_offset/24,"HH")&amp;search_regexp&amp;""""</f>
        <v>#REF!</v>
      </c>
      <c r="ECL28" s="234" t="e">
        <f>astrogrep_path&amp;" /e /r /s /spath="&amp;search_path&amp;" /stypes=""app*"&amp;EBH28&amp;"*"&amp;TEXT(EBO28-utc_offset/24,"YYYYMMDD")&amp;"*"" /stext="" "&amp;TEXT(EBO28-utc_offset/24,"HH")&amp;search_regexp&amp;""""</f>
        <v>#REF!</v>
      </c>
      <c r="ECM28" s="234" t="e">
        <f>astrogrep_path&amp;" /e /r /s /spath="&amp;search_path&amp;" /stypes=""app*"&amp;EBI28&amp;"*"&amp;TEXT(EBP28-utc_offset/24,"YYYYMMDD")&amp;"*"" /stext="" "&amp;TEXT(EBP28-utc_offset/24,"HH")&amp;search_regexp&amp;""""</f>
        <v>#REF!</v>
      </c>
      <c r="ECN28" s="234" t="e">
        <f>astrogrep_path&amp;" /e /r /s /spath="&amp;search_path&amp;" /stypes=""app*"&amp;EBJ28&amp;"*"&amp;TEXT(EBQ28-utc_offset/24,"YYYYMMDD")&amp;"*"" /stext="" "&amp;TEXT(EBQ28-utc_offset/24,"HH")&amp;search_regexp&amp;""""</f>
        <v>#REF!</v>
      </c>
      <c r="ECO28" s="234" t="e">
        <f>astrogrep_path&amp;" /e /r /s /spath="&amp;search_path&amp;" /stypes=""app*"&amp;EBK28&amp;"*"&amp;TEXT(EBR28-utc_offset/24,"YYYYMMDD")&amp;"*"" /stext="" "&amp;TEXT(EBR28-utc_offset/24,"HH")&amp;search_regexp&amp;""""</f>
        <v>#REF!</v>
      </c>
      <c r="ECP28" s="234" t="e">
        <f>astrogrep_path&amp;" /e /r /s /spath="&amp;search_path&amp;" /stypes=""app*"&amp;EBL28&amp;"*"&amp;TEXT(EBS28-utc_offset/24,"YYYYMMDD")&amp;"*"" /stext="" "&amp;TEXT(EBS28-utc_offset/24,"HH")&amp;search_regexp&amp;""""</f>
        <v>#REF!</v>
      </c>
      <c r="ECQ28" s="234" t="e">
        <f>astrogrep_path&amp;" /e /r /s /spath="&amp;search_path&amp;" /stypes=""app*"&amp;EBM28&amp;"*"&amp;TEXT(EBT28-utc_offset/24,"YYYYMMDD")&amp;"*"" /stext="" "&amp;TEXT(EBT28-utc_offset/24,"HH")&amp;search_regexp&amp;""""</f>
        <v>#REF!</v>
      </c>
      <c r="ECR28" s="234" t="e">
        <f>astrogrep_path&amp;" /e /r /s /spath="&amp;search_path&amp;" /stypes=""app*"&amp;EBN28&amp;"*"&amp;TEXT(EBU28-utc_offset/24,"YYYYMMDD")&amp;"*"" /stext="" "&amp;TEXT(EBU28-utc_offset/24,"HH")&amp;search_regexp&amp;""""</f>
        <v>#REF!</v>
      </c>
      <c r="ECS28" s="234" t="e">
        <f>astrogrep_path&amp;" /e /r /s /spath="&amp;search_path&amp;" /stypes=""app*"&amp;EBO28&amp;"*"&amp;TEXT(EBV28-utc_offset/24,"YYYYMMDD")&amp;"*"" /stext="" "&amp;TEXT(EBV28-utc_offset/24,"HH")&amp;search_regexp&amp;""""</f>
        <v>#REF!</v>
      </c>
      <c r="ECT28" s="234" t="e">
        <f>astrogrep_path&amp;" /e /r /s /spath="&amp;search_path&amp;" /stypes=""app*"&amp;EBP28&amp;"*"&amp;TEXT(EBW28-utc_offset/24,"YYYYMMDD")&amp;"*"" /stext="" "&amp;TEXT(EBW28-utc_offset/24,"HH")&amp;search_regexp&amp;""""</f>
        <v>#REF!</v>
      </c>
      <c r="ECU28" s="234" t="e">
        <f>astrogrep_path&amp;" /e /r /s /spath="&amp;search_path&amp;" /stypes=""app*"&amp;EBQ28&amp;"*"&amp;TEXT(EBX28-utc_offset/24,"YYYYMMDD")&amp;"*"" /stext="" "&amp;TEXT(EBX28-utc_offset/24,"HH")&amp;search_regexp&amp;""""</f>
        <v>#REF!</v>
      </c>
      <c r="ECV28" s="234" t="e">
        <f>astrogrep_path&amp;" /e /r /s /spath="&amp;search_path&amp;" /stypes=""app*"&amp;EBR28&amp;"*"&amp;TEXT(EBY28-utc_offset/24,"YYYYMMDD")&amp;"*"" /stext="" "&amp;TEXT(EBY28-utc_offset/24,"HH")&amp;search_regexp&amp;""""</f>
        <v>#REF!</v>
      </c>
      <c r="ECW28" s="234" t="e">
        <f>astrogrep_path&amp;" /e /r /s /spath="&amp;search_path&amp;" /stypes=""app*"&amp;EBS28&amp;"*"&amp;TEXT(EBZ28-utc_offset/24,"YYYYMMDD")&amp;"*"" /stext="" "&amp;TEXT(EBZ28-utc_offset/24,"HH")&amp;search_regexp&amp;""""</f>
        <v>#VALUE!</v>
      </c>
      <c r="ECX28" s="234" t="e">
        <f>astrogrep_path&amp;" /e /r /s /spath="&amp;search_path&amp;" /stypes=""app*"&amp;EBT28&amp;"*"&amp;TEXT(ECA28-utc_offset/24,"YYYYMMDD")&amp;"*"" /stext="" "&amp;TEXT(ECA28-utc_offset/24,"HH")&amp;search_regexp&amp;""""</f>
        <v>#VALUE!</v>
      </c>
      <c r="ECY28" s="234" t="e">
        <f>astrogrep_path&amp;" /e /r /s /spath="&amp;search_path&amp;" /stypes=""app*"&amp;EBU28&amp;"*"&amp;TEXT(ECB28-utc_offset/24,"YYYYMMDD")&amp;"*"" /stext="" "&amp;TEXT(ECB28-utc_offset/24,"HH")&amp;search_regexp&amp;""""</f>
        <v>#REF!</v>
      </c>
      <c r="ECZ28" s="234" t="e">
        <f>astrogrep_path&amp;" /e /r /s /spath="&amp;search_path&amp;" /stypes=""app*"&amp;EBV28&amp;"*"&amp;TEXT(ECC28-utc_offset/24,"YYYYMMDD")&amp;"*"" /stext="" "&amp;TEXT(ECC28-utc_offset/24,"HH")&amp;search_regexp&amp;""""</f>
        <v>#REF!</v>
      </c>
      <c r="EDA28" s="234" t="e">
        <f>astrogrep_path&amp;" /e /r /s /spath="&amp;search_path&amp;" /stypes=""app*"&amp;EBW28&amp;"*"&amp;TEXT(ECD28-utc_offset/24,"YYYYMMDD")&amp;"*"" /stext="" "&amp;TEXT(ECD28-utc_offset/24,"HH")&amp;search_regexp&amp;""""</f>
        <v>#VALUE!</v>
      </c>
      <c r="EDB28" s="234" t="e">
        <f>astrogrep_path&amp;" /e /r /s /spath="&amp;search_path&amp;" /stypes=""app*"&amp;EBX28&amp;"*"&amp;TEXT(ECE28-utc_offset/24,"YYYYMMDD")&amp;"*"" /stext="" "&amp;TEXT(ECE28-utc_offset/24,"HH")&amp;search_regexp&amp;""""</f>
        <v>#VALUE!</v>
      </c>
      <c r="EDC28" s="234" t="e">
        <f>astrogrep_path&amp;" /e /r /s /spath="&amp;search_path&amp;" /stypes=""app*"&amp;EBY28&amp;"*"&amp;TEXT(ECF28-utc_offset/24,"YYYYMMDD")&amp;"*"" /stext="" "&amp;TEXT(ECF28-utc_offset/24,"HH")&amp;search_regexp&amp;""""</f>
        <v>#VALUE!</v>
      </c>
      <c r="EDD28" s="234" t="e">
        <f>astrogrep_path&amp;" /e /r /s /spath="&amp;search_path&amp;" /stypes=""app*"&amp;EBZ28&amp;"*"&amp;TEXT(ECG28-utc_offset/24,"YYYYMMDD")&amp;"*"" /stext="" "&amp;TEXT(ECG28-utc_offset/24,"HH")&amp;search_regexp&amp;""""</f>
        <v>#VALUE!</v>
      </c>
      <c r="EDE28" s="234" t="e">
        <f>astrogrep_path&amp;" /e /r /s /spath="&amp;search_path&amp;" /stypes=""app*"&amp;ECA28&amp;"*"&amp;TEXT(ECH28-utc_offset/24,"YYYYMMDD")&amp;"*"" /stext="" "&amp;TEXT(ECH28-utc_offset/24,"HH")&amp;search_regexp&amp;""""</f>
        <v>#VALUE!</v>
      </c>
      <c r="EDF28" s="234" t="e">
        <f>astrogrep_path&amp;" /e /r /s /spath="&amp;search_path&amp;" /stypes=""app*"&amp;ECB28&amp;"*"&amp;TEXT(ECI28-utc_offset/24,"YYYYMMDD")&amp;"*"" /stext="" "&amp;TEXT(ECI28-utc_offset/24,"HH")&amp;search_regexp&amp;""""</f>
        <v>#REF!</v>
      </c>
      <c r="EDG28" s="234" t="e">
        <f>astrogrep_path&amp;" /e /r /s /spath="&amp;search_path&amp;" /stypes=""app*"&amp;ECC28&amp;"*"&amp;TEXT(ECJ28-utc_offset/24,"YYYYMMDD")&amp;"*"" /stext="" "&amp;TEXT(ECJ28-utc_offset/24,"HH")&amp;search_regexp&amp;""""</f>
        <v>#REF!</v>
      </c>
      <c r="EDH28" s="234" t="e">
        <f>astrogrep_path&amp;" /e /r /s /spath="&amp;search_path&amp;" /stypes=""app*"&amp;ECD28&amp;"*"&amp;TEXT(ECK28-utc_offset/24,"YYYYMMDD")&amp;"*"" /stext="" "&amp;TEXT(ECK28-utc_offset/24,"HH")&amp;search_regexp&amp;""""</f>
        <v>#REF!</v>
      </c>
      <c r="EDI28" s="234" t="e">
        <f>astrogrep_path&amp;" /e /r /s /spath="&amp;search_path&amp;" /stypes=""app*"&amp;ECE28&amp;"*"&amp;TEXT(ECL28-utc_offset/24,"YYYYMMDD")&amp;"*"" /stext="" "&amp;TEXT(ECL28-utc_offset/24,"HH")&amp;search_regexp&amp;""""</f>
        <v>#REF!</v>
      </c>
      <c r="EDJ28" s="234" t="e">
        <f>astrogrep_path&amp;" /e /r /s /spath="&amp;search_path&amp;" /stypes=""app*"&amp;ECF28&amp;"*"&amp;TEXT(ECM28-utc_offset/24,"YYYYMMDD")&amp;"*"" /stext="" "&amp;TEXT(ECM28-utc_offset/24,"HH")&amp;search_regexp&amp;""""</f>
        <v>#REF!</v>
      </c>
      <c r="EDK28" s="234" t="e">
        <f>astrogrep_path&amp;" /e /r /s /spath="&amp;search_path&amp;" /stypes=""app*"&amp;ECG28&amp;"*"&amp;TEXT(ECN28-utc_offset/24,"YYYYMMDD")&amp;"*"" /stext="" "&amp;TEXT(ECN28-utc_offset/24,"HH")&amp;search_regexp&amp;""""</f>
        <v>#REF!</v>
      </c>
      <c r="EDL28" s="234" t="e">
        <f>astrogrep_path&amp;" /e /r /s /spath="&amp;search_path&amp;" /stypes=""app*"&amp;ECH28&amp;"*"&amp;TEXT(ECO28-utc_offset/24,"YYYYMMDD")&amp;"*"" /stext="" "&amp;TEXT(ECO28-utc_offset/24,"HH")&amp;search_regexp&amp;""""</f>
        <v>#REF!</v>
      </c>
      <c r="EDM28" s="234" t="e">
        <f>astrogrep_path&amp;" /e /r /s /spath="&amp;search_path&amp;" /stypes=""app*"&amp;ECI28&amp;"*"&amp;TEXT(ECP28-utc_offset/24,"YYYYMMDD")&amp;"*"" /stext="" "&amp;TEXT(ECP28-utc_offset/24,"HH")&amp;search_regexp&amp;""""</f>
        <v>#REF!</v>
      </c>
      <c r="EDN28" s="234" t="e">
        <f>astrogrep_path&amp;" /e /r /s /spath="&amp;search_path&amp;" /stypes=""app*"&amp;ECJ28&amp;"*"&amp;TEXT(ECQ28-utc_offset/24,"YYYYMMDD")&amp;"*"" /stext="" "&amp;TEXT(ECQ28-utc_offset/24,"HH")&amp;search_regexp&amp;""""</f>
        <v>#REF!</v>
      </c>
      <c r="EDO28" s="234" t="e">
        <f>astrogrep_path&amp;" /e /r /s /spath="&amp;search_path&amp;" /stypes=""app*"&amp;ECK28&amp;"*"&amp;TEXT(ECR28-utc_offset/24,"YYYYMMDD")&amp;"*"" /stext="" "&amp;TEXT(ECR28-utc_offset/24,"HH")&amp;search_regexp&amp;""""</f>
        <v>#REF!</v>
      </c>
      <c r="EDP28" s="234" t="e">
        <f>astrogrep_path&amp;" /e /r /s /spath="&amp;search_path&amp;" /stypes=""app*"&amp;ECL28&amp;"*"&amp;TEXT(ECS28-utc_offset/24,"YYYYMMDD")&amp;"*"" /stext="" "&amp;TEXT(ECS28-utc_offset/24,"HH")&amp;search_regexp&amp;""""</f>
        <v>#REF!</v>
      </c>
      <c r="EDQ28" s="234" t="e">
        <f>astrogrep_path&amp;" /e /r /s /spath="&amp;search_path&amp;" /stypes=""app*"&amp;ECM28&amp;"*"&amp;TEXT(ECT28-utc_offset/24,"YYYYMMDD")&amp;"*"" /stext="" "&amp;TEXT(ECT28-utc_offset/24,"HH")&amp;search_regexp&amp;""""</f>
        <v>#REF!</v>
      </c>
      <c r="EDR28" s="234" t="e">
        <f>astrogrep_path&amp;" /e /r /s /spath="&amp;search_path&amp;" /stypes=""app*"&amp;ECN28&amp;"*"&amp;TEXT(ECU28-utc_offset/24,"YYYYMMDD")&amp;"*"" /stext="" "&amp;TEXT(ECU28-utc_offset/24,"HH")&amp;search_regexp&amp;""""</f>
        <v>#REF!</v>
      </c>
      <c r="EDS28" s="234" t="e">
        <f>astrogrep_path&amp;" /e /r /s /spath="&amp;search_path&amp;" /stypes=""app*"&amp;ECO28&amp;"*"&amp;TEXT(ECV28-utc_offset/24,"YYYYMMDD")&amp;"*"" /stext="" "&amp;TEXT(ECV28-utc_offset/24,"HH")&amp;search_regexp&amp;""""</f>
        <v>#REF!</v>
      </c>
      <c r="EDT28" s="234" t="e">
        <f>astrogrep_path&amp;" /e /r /s /spath="&amp;search_path&amp;" /stypes=""app*"&amp;ECP28&amp;"*"&amp;TEXT(ECW28-utc_offset/24,"YYYYMMDD")&amp;"*"" /stext="" "&amp;TEXT(ECW28-utc_offset/24,"HH")&amp;search_regexp&amp;""""</f>
        <v>#REF!</v>
      </c>
      <c r="EDU28" s="234" t="e">
        <f>astrogrep_path&amp;" /e /r /s /spath="&amp;search_path&amp;" /stypes=""app*"&amp;ECQ28&amp;"*"&amp;TEXT(ECX28-utc_offset/24,"YYYYMMDD")&amp;"*"" /stext="" "&amp;TEXT(ECX28-utc_offset/24,"HH")&amp;search_regexp&amp;""""</f>
        <v>#REF!</v>
      </c>
      <c r="EDV28" s="234" t="e">
        <f>astrogrep_path&amp;" /e /r /s /spath="&amp;search_path&amp;" /stypes=""app*"&amp;ECR28&amp;"*"&amp;TEXT(ECY28-utc_offset/24,"YYYYMMDD")&amp;"*"" /stext="" "&amp;TEXT(ECY28-utc_offset/24,"HH")&amp;search_regexp&amp;""""</f>
        <v>#REF!</v>
      </c>
      <c r="EDW28" s="234" t="e">
        <f>astrogrep_path&amp;" /e /r /s /spath="&amp;search_path&amp;" /stypes=""app*"&amp;ECS28&amp;"*"&amp;TEXT(ECZ28-utc_offset/24,"YYYYMMDD")&amp;"*"" /stext="" "&amp;TEXT(ECZ28-utc_offset/24,"HH")&amp;search_regexp&amp;""""</f>
        <v>#REF!</v>
      </c>
      <c r="EDX28" s="234" t="e">
        <f>astrogrep_path&amp;" /e /r /s /spath="&amp;search_path&amp;" /stypes=""app*"&amp;ECT28&amp;"*"&amp;TEXT(EDA28-utc_offset/24,"YYYYMMDD")&amp;"*"" /stext="" "&amp;TEXT(EDA28-utc_offset/24,"HH")&amp;search_regexp&amp;""""</f>
        <v>#REF!</v>
      </c>
      <c r="EDY28" s="234" t="e">
        <f>astrogrep_path&amp;" /e /r /s /spath="&amp;search_path&amp;" /stypes=""app*"&amp;ECU28&amp;"*"&amp;TEXT(EDB28-utc_offset/24,"YYYYMMDD")&amp;"*"" /stext="" "&amp;TEXT(EDB28-utc_offset/24,"HH")&amp;search_regexp&amp;""""</f>
        <v>#REF!</v>
      </c>
      <c r="EDZ28" s="234" t="e">
        <f>astrogrep_path&amp;" /e /r /s /spath="&amp;search_path&amp;" /stypes=""app*"&amp;ECV28&amp;"*"&amp;TEXT(EDC28-utc_offset/24,"YYYYMMDD")&amp;"*"" /stext="" "&amp;TEXT(EDC28-utc_offset/24,"HH")&amp;search_regexp&amp;""""</f>
        <v>#REF!</v>
      </c>
      <c r="EEA28" s="234" t="e">
        <f>astrogrep_path&amp;" /e /r /s /spath="&amp;search_path&amp;" /stypes=""app*"&amp;ECW28&amp;"*"&amp;TEXT(EDD28-utc_offset/24,"YYYYMMDD")&amp;"*"" /stext="" "&amp;TEXT(EDD28-utc_offset/24,"HH")&amp;search_regexp&amp;""""</f>
        <v>#VALUE!</v>
      </c>
      <c r="EEB28" s="234" t="e">
        <f>astrogrep_path&amp;" /e /r /s /spath="&amp;search_path&amp;" /stypes=""app*"&amp;ECX28&amp;"*"&amp;TEXT(EDE28-utc_offset/24,"YYYYMMDD")&amp;"*"" /stext="" "&amp;TEXT(EDE28-utc_offset/24,"HH")&amp;search_regexp&amp;""""</f>
        <v>#VALUE!</v>
      </c>
      <c r="EEC28" s="234" t="e">
        <f>astrogrep_path&amp;" /e /r /s /spath="&amp;search_path&amp;" /stypes=""app*"&amp;ECY28&amp;"*"&amp;TEXT(EDF28-utc_offset/24,"YYYYMMDD")&amp;"*"" /stext="" "&amp;TEXT(EDF28-utc_offset/24,"HH")&amp;search_regexp&amp;""""</f>
        <v>#REF!</v>
      </c>
      <c r="EED28" s="234" t="e">
        <f>astrogrep_path&amp;" /e /r /s /spath="&amp;search_path&amp;" /stypes=""app*"&amp;ECZ28&amp;"*"&amp;TEXT(EDG28-utc_offset/24,"YYYYMMDD")&amp;"*"" /stext="" "&amp;TEXT(EDG28-utc_offset/24,"HH")&amp;search_regexp&amp;""""</f>
        <v>#REF!</v>
      </c>
      <c r="EEE28" s="234" t="e">
        <f>astrogrep_path&amp;" /e /r /s /spath="&amp;search_path&amp;" /stypes=""app*"&amp;EDA28&amp;"*"&amp;TEXT(EDH28-utc_offset/24,"YYYYMMDD")&amp;"*"" /stext="" "&amp;TEXT(EDH28-utc_offset/24,"HH")&amp;search_regexp&amp;""""</f>
        <v>#VALUE!</v>
      </c>
      <c r="EEF28" s="234" t="e">
        <f>astrogrep_path&amp;" /e /r /s /spath="&amp;search_path&amp;" /stypes=""app*"&amp;EDB28&amp;"*"&amp;TEXT(EDI28-utc_offset/24,"YYYYMMDD")&amp;"*"" /stext="" "&amp;TEXT(EDI28-utc_offset/24,"HH")&amp;search_regexp&amp;""""</f>
        <v>#VALUE!</v>
      </c>
      <c r="EEG28" s="234" t="e">
        <f>astrogrep_path&amp;" /e /r /s /spath="&amp;search_path&amp;" /stypes=""app*"&amp;EDC28&amp;"*"&amp;TEXT(EDJ28-utc_offset/24,"YYYYMMDD")&amp;"*"" /stext="" "&amp;TEXT(EDJ28-utc_offset/24,"HH")&amp;search_regexp&amp;""""</f>
        <v>#VALUE!</v>
      </c>
      <c r="EEH28" s="234" t="e">
        <f>astrogrep_path&amp;" /e /r /s /spath="&amp;search_path&amp;" /stypes=""app*"&amp;EDD28&amp;"*"&amp;TEXT(EDK28-utc_offset/24,"YYYYMMDD")&amp;"*"" /stext="" "&amp;TEXT(EDK28-utc_offset/24,"HH")&amp;search_regexp&amp;""""</f>
        <v>#VALUE!</v>
      </c>
      <c r="EEI28" s="234" t="e">
        <f>astrogrep_path&amp;" /e /r /s /spath="&amp;search_path&amp;" /stypes=""app*"&amp;EDE28&amp;"*"&amp;TEXT(EDL28-utc_offset/24,"YYYYMMDD")&amp;"*"" /stext="" "&amp;TEXT(EDL28-utc_offset/24,"HH")&amp;search_regexp&amp;""""</f>
        <v>#VALUE!</v>
      </c>
      <c r="EEJ28" s="234" t="e">
        <f>astrogrep_path&amp;" /e /r /s /spath="&amp;search_path&amp;" /stypes=""app*"&amp;EDF28&amp;"*"&amp;TEXT(EDM28-utc_offset/24,"YYYYMMDD")&amp;"*"" /stext="" "&amp;TEXT(EDM28-utc_offset/24,"HH")&amp;search_regexp&amp;""""</f>
        <v>#REF!</v>
      </c>
      <c r="EEK28" s="234" t="e">
        <f>astrogrep_path&amp;" /e /r /s /spath="&amp;search_path&amp;" /stypes=""app*"&amp;EDG28&amp;"*"&amp;TEXT(EDN28-utc_offset/24,"YYYYMMDD")&amp;"*"" /stext="" "&amp;TEXT(EDN28-utc_offset/24,"HH")&amp;search_regexp&amp;""""</f>
        <v>#REF!</v>
      </c>
      <c r="EEL28" s="234" t="e">
        <f>astrogrep_path&amp;" /e /r /s /spath="&amp;search_path&amp;" /stypes=""app*"&amp;EDH28&amp;"*"&amp;TEXT(EDO28-utc_offset/24,"YYYYMMDD")&amp;"*"" /stext="" "&amp;TEXT(EDO28-utc_offset/24,"HH")&amp;search_regexp&amp;""""</f>
        <v>#REF!</v>
      </c>
      <c r="EEM28" s="234" t="e">
        <f>astrogrep_path&amp;" /e /r /s /spath="&amp;search_path&amp;" /stypes=""app*"&amp;EDI28&amp;"*"&amp;TEXT(EDP28-utc_offset/24,"YYYYMMDD")&amp;"*"" /stext="" "&amp;TEXT(EDP28-utc_offset/24,"HH")&amp;search_regexp&amp;""""</f>
        <v>#REF!</v>
      </c>
      <c r="EEN28" s="234" t="e">
        <f>astrogrep_path&amp;" /e /r /s /spath="&amp;search_path&amp;" /stypes=""app*"&amp;EDJ28&amp;"*"&amp;TEXT(EDQ28-utc_offset/24,"YYYYMMDD")&amp;"*"" /stext="" "&amp;TEXT(EDQ28-utc_offset/24,"HH")&amp;search_regexp&amp;""""</f>
        <v>#REF!</v>
      </c>
      <c r="EEO28" s="234" t="e">
        <f>astrogrep_path&amp;" /e /r /s /spath="&amp;search_path&amp;" /stypes=""app*"&amp;EDK28&amp;"*"&amp;TEXT(EDR28-utc_offset/24,"YYYYMMDD")&amp;"*"" /stext="" "&amp;TEXT(EDR28-utc_offset/24,"HH")&amp;search_regexp&amp;""""</f>
        <v>#REF!</v>
      </c>
      <c r="EEP28" s="234" t="e">
        <f>astrogrep_path&amp;" /e /r /s /spath="&amp;search_path&amp;" /stypes=""app*"&amp;EDL28&amp;"*"&amp;TEXT(EDS28-utc_offset/24,"YYYYMMDD")&amp;"*"" /stext="" "&amp;TEXT(EDS28-utc_offset/24,"HH")&amp;search_regexp&amp;""""</f>
        <v>#REF!</v>
      </c>
      <c r="EEQ28" s="234" t="e">
        <f>astrogrep_path&amp;" /e /r /s /spath="&amp;search_path&amp;" /stypes=""app*"&amp;EDM28&amp;"*"&amp;TEXT(EDT28-utc_offset/24,"YYYYMMDD")&amp;"*"" /stext="" "&amp;TEXT(EDT28-utc_offset/24,"HH")&amp;search_regexp&amp;""""</f>
        <v>#REF!</v>
      </c>
      <c r="EER28" s="234" t="e">
        <f>astrogrep_path&amp;" /e /r /s /spath="&amp;search_path&amp;" /stypes=""app*"&amp;EDN28&amp;"*"&amp;TEXT(EDU28-utc_offset/24,"YYYYMMDD")&amp;"*"" /stext="" "&amp;TEXT(EDU28-utc_offset/24,"HH")&amp;search_regexp&amp;""""</f>
        <v>#REF!</v>
      </c>
      <c r="EES28" s="234" t="e">
        <f>astrogrep_path&amp;" /e /r /s /spath="&amp;search_path&amp;" /stypes=""app*"&amp;EDO28&amp;"*"&amp;TEXT(EDV28-utc_offset/24,"YYYYMMDD")&amp;"*"" /stext="" "&amp;TEXT(EDV28-utc_offset/24,"HH")&amp;search_regexp&amp;""""</f>
        <v>#REF!</v>
      </c>
      <c r="EET28" s="234" t="e">
        <f>astrogrep_path&amp;" /e /r /s /spath="&amp;search_path&amp;" /stypes=""app*"&amp;EDP28&amp;"*"&amp;TEXT(EDW28-utc_offset/24,"YYYYMMDD")&amp;"*"" /stext="" "&amp;TEXT(EDW28-utc_offset/24,"HH")&amp;search_regexp&amp;""""</f>
        <v>#REF!</v>
      </c>
      <c r="EEU28" s="234" t="e">
        <f>astrogrep_path&amp;" /e /r /s /spath="&amp;search_path&amp;" /stypes=""app*"&amp;EDQ28&amp;"*"&amp;TEXT(EDX28-utc_offset/24,"YYYYMMDD")&amp;"*"" /stext="" "&amp;TEXT(EDX28-utc_offset/24,"HH")&amp;search_regexp&amp;""""</f>
        <v>#REF!</v>
      </c>
      <c r="EEV28" s="234" t="e">
        <f>astrogrep_path&amp;" /e /r /s /spath="&amp;search_path&amp;" /stypes=""app*"&amp;EDR28&amp;"*"&amp;TEXT(EDY28-utc_offset/24,"YYYYMMDD")&amp;"*"" /stext="" "&amp;TEXT(EDY28-utc_offset/24,"HH")&amp;search_regexp&amp;""""</f>
        <v>#REF!</v>
      </c>
      <c r="EEW28" s="234" t="e">
        <f>astrogrep_path&amp;" /e /r /s /spath="&amp;search_path&amp;" /stypes=""app*"&amp;EDS28&amp;"*"&amp;TEXT(EDZ28-utc_offset/24,"YYYYMMDD")&amp;"*"" /stext="" "&amp;TEXT(EDZ28-utc_offset/24,"HH")&amp;search_regexp&amp;""""</f>
        <v>#REF!</v>
      </c>
      <c r="EEX28" s="234" t="e">
        <f>astrogrep_path&amp;" /e /r /s /spath="&amp;search_path&amp;" /stypes=""app*"&amp;EDT28&amp;"*"&amp;TEXT(EEA28-utc_offset/24,"YYYYMMDD")&amp;"*"" /stext="" "&amp;TEXT(EEA28-utc_offset/24,"HH")&amp;search_regexp&amp;""""</f>
        <v>#REF!</v>
      </c>
      <c r="EEY28" s="234" t="e">
        <f>astrogrep_path&amp;" /e /r /s /spath="&amp;search_path&amp;" /stypes=""app*"&amp;EDU28&amp;"*"&amp;TEXT(EEB28-utc_offset/24,"YYYYMMDD")&amp;"*"" /stext="" "&amp;TEXT(EEB28-utc_offset/24,"HH")&amp;search_regexp&amp;""""</f>
        <v>#REF!</v>
      </c>
      <c r="EEZ28" s="234" t="e">
        <f>astrogrep_path&amp;" /e /r /s /spath="&amp;search_path&amp;" /stypes=""app*"&amp;EDV28&amp;"*"&amp;TEXT(EEC28-utc_offset/24,"YYYYMMDD")&amp;"*"" /stext="" "&amp;TEXT(EEC28-utc_offset/24,"HH")&amp;search_regexp&amp;""""</f>
        <v>#REF!</v>
      </c>
      <c r="EFA28" s="234" t="e">
        <f>astrogrep_path&amp;" /e /r /s /spath="&amp;search_path&amp;" /stypes=""app*"&amp;EDW28&amp;"*"&amp;TEXT(EED28-utc_offset/24,"YYYYMMDD")&amp;"*"" /stext="" "&amp;TEXT(EED28-utc_offset/24,"HH")&amp;search_regexp&amp;""""</f>
        <v>#REF!</v>
      </c>
      <c r="EFB28" s="234" t="e">
        <f>astrogrep_path&amp;" /e /r /s /spath="&amp;search_path&amp;" /stypes=""app*"&amp;EDX28&amp;"*"&amp;TEXT(EEE28-utc_offset/24,"YYYYMMDD")&amp;"*"" /stext="" "&amp;TEXT(EEE28-utc_offset/24,"HH")&amp;search_regexp&amp;""""</f>
        <v>#REF!</v>
      </c>
      <c r="EFC28" s="234" t="e">
        <f>astrogrep_path&amp;" /e /r /s /spath="&amp;search_path&amp;" /stypes=""app*"&amp;EDY28&amp;"*"&amp;TEXT(EEF28-utc_offset/24,"YYYYMMDD")&amp;"*"" /stext="" "&amp;TEXT(EEF28-utc_offset/24,"HH")&amp;search_regexp&amp;""""</f>
        <v>#REF!</v>
      </c>
      <c r="EFD28" s="234" t="e">
        <f>astrogrep_path&amp;" /e /r /s /spath="&amp;search_path&amp;" /stypes=""app*"&amp;EDZ28&amp;"*"&amp;TEXT(EEG28-utc_offset/24,"YYYYMMDD")&amp;"*"" /stext="" "&amp;TEXT(EEG28-utc_offset/24,"HH")&amp;search_regexp&amp;""""</f>
        <v>#REF!</v>
      </c>
      <c r="EFE28" s="234" t="e">
        <f>astrogrep_path&amp;" /e /r /s /spath="&amp;search_path&amp;" /stypes=""app*"&amp;EEA28&amp;"*"&amp;TEXT(EEH28-utc_offset/24,"YYYYMMDD")&amp;"*"" /stext="" "&amp;TEXT(EEH28-utc_offset/24,"HH")&amp;search_regexp&amp;""""</f>
        <v>#VALUE!</v>
      </c>
      <c r="EFF28" s="234" t="e">
        <f>astrogrep_path&amp;" /e /r /s /spath="&amp;search_path&amp;" /stypes=""app*"&amp;EEB28&amp;"*"&amp;TEXT(EEI28-utc_offset/24,"YYYYMMDD")&amp;"*"" /stext="" "&amp;TEXT(EEI28-utc_offset/24,"HH")&amp;search_regexp&amp;""""</f>
        <v>#VALUE!</v>
      </c>
      <c r="EFG28" s="234" t="e">
        <f>astrogrep_path&amp;" /e /r /s /spath="&amp;search_path&amp;" /stypes=""app*"&amp;EEC28&amp;"*"&amp;TEXT(EEJ28-utc_offset/24,"YYYYMMDD")&amp;"*"" /stext="" "&amp;TEXT(EEJ28-utc_offset/24,"HH")&amp;search_regexp&amp;""""</f>
        <v>#REF!</v>
      </c>
      <c r="EFH28" s="234" t="e">
        <f>astrogrep_path&amp;" /e /r /s /spath="&amp;search_path&amp;" /stypes=""app*"&amp;EED28&amp;"*"&amp;TEXT(EEK28-utc_offset/24,"YYYYMMDD")&amp;"*"" /stext="" "&amp;TEXT(EEK28-utc_offset/24,"HH")&amp;search_regexp&amp;""""</f>
        <v>#REF!</v>
      </c>
      <c r="EFI28" s="234" t="e">
        <f>astrogrep_path&amp;" /e /r /s /spath="&amp;search_path&amp;" /stypes=""app*"&amp;EEE28&amp;"*"&amp;TEXT(EEL28-utc_offset/24,"YYYYMMDD")&amp;"*"" /stext="" "&amp;TEXT(EEL28-utc_offset/24,"HH")&amp;search_regexp&amp;""""</f>
        <v>#VALUE!</v>
      </c>
      <c r="EFJ28" s="234" t="e">
        <f>astrogrep_path&amp;" /e /r /s /spath="&amp;search_path&amp;" /stypes=""app*"&amp;EEF28&amp;"*"&amp;TEXT(EEM28-utc_offset/24,"YYYYMMDD")&amp;"*"" /stext="" "&amp;TEXT(EEM28-utc_offset/24,"HH")&amp;search_regexp&amp;""""</f>
        <v>#VALUE!</v>
      </c>
      <c r="EFK28" s="234" t="e">
        <f>astrogrep_path&amp;" /e /r /s /spath="&amp;search_path&amp;" /stypes=""app*"&amp;EEG28&amp;"*"&amp;TEXT(EEN28-utc_offset/24,"YYYYMMDD")&amp;"*"" /stext="" "&amp;TEXT(EEN28-utc_offset/24,"HH")&amp;search_regexp&amp;""""</f>
        <v>#VALUE!</v>
      </c>
      <c r="EFL28" s="234" t="e">
        <f>astrogrep_path&amp;" /e /r /s /spath="&amp;search_path&amp;" /stypes=""app*"&amp;EEH28&amp;"*"&amp;TEXT(EEO28-utc_offset/24,"YYYYMMDD")&amp;"*"" /stext="" "&amp;TEXT(EEO28-utc_offset/24,"HH")&amp;search_regexp&amp;""""</f>
        <v>#VALUE!</v>
      </c>
      <c r="EFM28" s="234" t="e">
        <f>astrogrep_path&amp;" /e /r /s /spath="&amp;search_path&amp;" /stypes=""app*"&amp;EEI28&amp;"*"&amp;TEXT(EEP28-utc_offset/24,"YYYYMMDD")&amp;"*"" /stext="" "&amp;TEXT(EEP28-utc_offset/24,"HH")&amp;search_regexp&amp;""""</f>
        <v>#VALUE!</v>
      </c>
      <c r="EFN28" s="234" t="e">
        <f>astrogrep_path&amp;" /e /r /s /spath="&amp;search_path&amp;" /stypes=""app*"&amp;EEJ28&amp;"*"&amp;TEXT(EEQ28-utc_offset/24,"YYYYMMDD")&amp;"*"" /stext="" "&amp;TEXT(EEQ28-utc_offset/24,"HH")&amp;search_regexp&amp;""""</f>
        <v>#REF!</v>
      </c>
      <c r="EFO28" s="234" t="e">
        <f>astrogrep_path&amp;" /e /r /s /spath="&amp;search_path&amp;" /stypes=""app*"&amp;EEK28&amp;"*"&amp;TEXT(EER28-utc_offset/24,"YYYYMMDD")&amp;"*"" /stext="" "&amp;TEXT(EER28-utc_offset/24,"HH")&amp;search_regexp&amp;""""</f>
        <v>#REF!</v>
      </c>
      <c r="EFP28" s="234" t="e">
        <f>astrogrep_path&amp;" /e /r /s /spath="&amp;search_path&amp;" /stypes=""app*"&amp;EEL28&amp;"*"&amp;TEXT(EES28-utc_offset/24,"YYYYMMDD")&amp;"*"" /stext="" "&amp;TEXT(EES28-utc_offset/24,"HH")&amp;search_regexp&amp;""""</f>
        <v>#REF!</v>
      </c>
      <c r="EFQ28" s="234" t="e">
        <f>astrogrep_path&amp;" /e /r /s /spath="&amp;search_path&amp;" /stypes=""app*"&amp;EEM28&amp;"*"&amp;TEXT(EET28-utc_offset/24,"YYYYMMDD")&amp;"*"" /stext="" "&amp;TEXT(EET28-utc_offset/24,"HH")&amp;search_regexp&amp;""""</f>
        <v>#REF!</v>
      </c>
      <c r="EFR28" s="234" t="e">
        <f>astrogrep_path&amp;" /e /r /s /spath="&amp;search_path&amp;" /stypes=""app*"&amp;EEN28&amp;"*"&amp;TEXT(EEU28-utc_offset/24,"YYYYMMDD")&amp;"*"" /stext="" "&amp;TEXT(EEU28-utc_offset/24,"HH")&amp;search_regexp&amp;""""</f>
        <v>#REF!</v>
      </c>
      <c r="EFS28" s="234" t="e">
        <f>astrogrep_path&amp;" /e /r /s /spath="&amp;search_path&amp;" /stypes=""app*"&amp;EEO28&amp;"*"&amp;TEXT(EEV28-utc_offset/24,"YYYYMMDD")&amp;"*"" /stext="" "&amp;TEXT(EEV28-utc_offset/24,"HH")&amp;search_regexp&amp;""""</f>
        <v>#REF!</v>
      </c>
      <c r="EFT28" s="234" t="e">
        <f>astrogrep_path&amp;" /e /r /s /spath="&amp;search_path&amp;" /stypes=""app*"&amp;EEP28&amp;"*"&amp;TEXT(EEW28-utc_offset/24,"YYYYMMDD")&amp;"*"" /stext="" "&amp;TEXT(EEW28-utc_offset/24,"HH")&amp;search_regexp&amp;""""</f>
        <v>#REF!</v>
      </c>
      <c r="EFU28" s="234" t="e">
        <f>astrogrep_path&amp;" /e /r /s /spath="&amp;search_path&amp;" /stypes=""app*"&amp;EEQ28&amp;"*"&amp;TEXT(EEX28-utc_offset/24,"YYYYMMDD")&amp;"*"" /stext="" "&amp;TEXT(EEX28-utc_offset/24,"HH")&amp;search_regexp&amp;""""</f>
        <v>#REF!</v>
      </c>
      <c r="EFV28" s="234" t="e">
        <f>astrogrep_path&amp;" /e /r /s /spath="&amp;search_path&amp;" /stypes=""app*"&amp;EER28&amp;"*"&amp;TEXT(EEY28-utc_offset/24,"YYYYMMDD")&amp;"*"" /stext="" "&amp;TEXT(EEY28-utc_offset/24,"HH")&amp;search_regexp&amp;""""</f>
        <v>#REF!</v>
      </c>
      <c r="EFW28" s="234" t="e">
        <f>astrogrep_path&amp;" /e /r /s /spath="&amp;search_path&amp;" /stypes=""app*"&amp;EES28&amp;"*"&amp;TEXT(EEZ28-utc_offset/24,"YYYYMMDD")&amp;"*"" /stext="" "&amp;TEXT(EEZ28-utc_offset/24,"HH")&amp;search_regexp&amp;""""</f>
        <v>#REF!</v>
      </c>
      <c r="EFX28" s="234" t="e">
        <f>astrogrep_path&amp;" /e /r /s /spath="&amp;search_path&amp;" /stypes=""app*"&amp;EET28&amp;"*"&amp;TEXT(EFA28-utc_offset/24,"YYYYMMDD")&amp;"*"" /stext="" "&amp;TEXT(EFA28-utc_offset/24,"HH")&amp;search_regexp&amp;""""</f>
        <v>#REF!</v>
      </c>
      <c r="EFY28" s="234" t="e">
        <f>astrogrep_path&amp;" /e /r /s /spath="&amp;search_path&amp;" /stypes=""app*"&amp;EEU28&amp;"*"&amp;TEXT(EFB28-utc_offset/24,"YYYYMMDD")&amp;"*"" /stext="" "&amp;TEXT(EFB28-utc_offset/24,"HH")&amp;search_regexp&amp;""""</f>
        <v>#REF!</v>
      </c>
      <c r="EFZ28" s="234" t="e">
        <f>astrogrep_path&amp;" /e /r /s /spath="&amp;search_path&amp;" /stypes=""app*"&amp;EEV28&amp;"*"&amp;TEXT(EFC28-utc_offset/24,"YYYYMMDD")&amp;"*"" /stext="" "&amp;TEXT(EFC28-utc_offset/24,"HH")&amp;search_regexp&amp;""""</f>
        <v>#REF!</v>
      </c>
      <c r="EGA28" s="234" t="e">
        <f>astrogrep_path&amp;" /e /r /s /spath="&amp;search_path&amp;" /stypes=""app*"&amp;EEW28&amp;"*"&amp;TEXT(EFD28-utc_offset/24,"YYYYMMDD")&amp;"*"" /stext="" "&amp;TEXT(EFD28-utc_offset/24,"HH")&amp;search_regexp&amp;""""</f>
        <v>#REF!</v>
      </c>
      <c r="EGB28" s="234" t="e">
        <f>astrogrep_path&amp;" /e /r /s /spath="&amp;search_path&amp;" /stypes=""app*"&amp;EEX28&amp;"*"&amp;TEXT(EFE28-utc_offset/24,"YYYYMMDD")&amp;"*"" /stext="" "&amp;TEXT(EFE28-utc_offset/24,"HH")&amp;search_regexp&amp;""""</f>
        <v>#REF!</v>
      </c>
      <c r="EGC28" s="234" t="e">
        <f>astrogrep_path&amp;" /e /r /s /spath="&amp;search_path&amp;" /stypes=""app*"&amp;EEY28&amp;"*"&amp;TEXT(EFF28-utc_offset/24,"YYYYMMDD")&amp;"*"" /stext="" "&amp;TEXT(EFF28-utc_offset/24,"HH")&amp;search_regexp&amp;""""</f>
        <v>#REF!</v>
      </c>
      <c r="EGD28" s="234" t="e">
        <f>astrogrep_path&amp;" /e /r /s /spath="&amp;search_path&amp;" /stypes=""app*"&amp;EEZ28&amp;"*"&amp;TEXT(EFG28-utc_offset/24,"YYYYMMDD")&amp;"*"" /stext="" "&amp;TEXT(EFG28-utc_offset/24,"HH")&amp;search_regexp&amp;""""</f>
        <v>#REF!</v>
      </c>
      <c r="EGE28" s="234" t="e">
        <f>astrogrep_path&amp;" /e /r /s /spath="&amp;search_path&amp;" /stypes=""app*"&amp;EFA28&amp;"*"&amp;TEXT(EFH28-utc_offset/24,"YYYYMMDD")&amp;"*"" /stext="" "&amp;TEXT(EFH28-utc_offset/24,"HH")&amp;search_regexp&amp;""""</f>
        <v>#REF!</v>
      </c>
      <c r="EGF28" s="234" t="e">
        <f>astrogrep_path&amp;" /e /r /s /spath="&amp;search_path&amp;" /stypes=""app*"&amp;EFB28&amp;"*"&amp;TEXT(EFI28-utc_offset/24,"YYYYMMDD")&amp;"*"" /stext="" "&amp;TEXT(EFI28-utc_offset/24,"HH")&amp;search_regexp&amp;""""</f>
        <v>#REF!</v>
      </c>
      <c r="EGG28" s="234" t="e">
        <f>astrogrep_path&amp;" /e /r /s /spath="&amp;search_path&amp;" /stypes=""app*"&amp;EFC28&amp;"*"&amp;TEXT(EFJ28-utc_offset/24,"YYYYMMDD")&amp;"*"" /stext="" "&amp;TEXT(EFJ28-utc_offset/24,"HH")&amp;search_regexp&amp;""""</f>
        <v>#REF!</v>
      </c>
      <c r="EGH28" s="234" t="e">
        <f>astrogrep_path&amp;" /e /r /s /spath="&amp;search_path&amp;" /stypes=""app*"&amp;EFD28&amp;"*"&amp;TEXT(EFK28-utc_offset/24,"YYYYMMDD")&amp;"*"" /stext="" "&amp;TEXT(EFK28-utc_offset/24,"HH")&amp;search_regexp&amp;""""</f>
        <v>#REF!</v>
      </c>
      <c r="EGI28" s="234" t="e">
        <f>astrogrep_path&amp;" /e /r /s /spath="&amp;search_path&amp;" /stypes=""app*"&amp;EFE28&amp;"*"&amp;TEXT(EFL28-utc_offset/24,"YYYYMMDD")&amp;"*"" /stext="" "&amp;TEXT(EFL28-utc_offset/24,"HH")&amp;search_regexp&amp;""""</f>
        <v>#VALUE!</v>
      </c>
      <c r="EGJ28" s="234" t="e">
        <f>astrogrep_path&amp;" /e /r /s /spath="&amp;search_path&amp;" /stypes=""app*"&amp;EFF28&amp;"*"&amp;TEXT(EFM28-utc_offset/24,"YYYYMMDD")&amp;"*"" /stext="" "&amp;TEXT(EFM28-utc_offset/24,"HH")&amp;search_regexp&amp;""""</f>
        <v>#VALUE!</v>
      </c>
      <c r="EGK28" s="234" t="e">
        <f>astrogrep_path&amp;" /e /r /s /spath="&amp;search_path&amp;" /stypes=""app*"&amp;EFG28&amp;"*"&amp;TEXT(EFN28-utc_offset/24,"YYYYMMDD")&amp;"*"" /stext="" "&amp;TEXT(EFN28-utc_offset/24,"HH")&amp;search_regexp&amp;""""</f>
        <v>#REF!</v>
      </c>
      <c r="EGL28" s="234" t="e">
        <f>astrogrep_path&amp;" /e /r /s /spath="&amp;search_path&amp;" /stypes=""app*"&amp;EFH28&amp;"*"&amp;TEXT(EFO28-utc_offset/24,"YYYYMMDD")&amp;"*"" /stext="" "&amp;TEXT(EFO28-utc_offset/24,"HH")&amp;search_regexp&amp;""""</f>
        <v>#REF!</v>
      </c>
      <c r="EGM28" s="234" t="e">
        <f>astrogrep_path&amp;" /e /r /s /spath="&amp;search_path&amp;" /stypes=""app*"&amp;EFI28&amp;"*"&amp;TEXT(EFP28-utc_offset/24,"YYYYMMDD")&amp;"*"" /stext="" "&amp;TEXT(EFP28-utc_offset/24,"HH")&amp;search_regexp&amp;""""</f>
        <v>#VALUE!</v>
      </c>
      <c r="EGN28" s="234" t="e">
        <f>astrogrep_path&amp;" /e /r /s /spath="&amp;search_path&amp;" /stypes=""app*"&amp;EFJ28&amp;"*"&amp;TEXT(EFQ28-utc_offset/24,"YYYYMMDD")&amp;"*"" /stext="" "&amp;TEXT(EFQ28-utc_offset/24,"HH")&amp;search_regexp&amp;""""</f>
        <v>#VALUE!</v>
      </c>
      <c r="EGO28" s="234" t="e">
        <f>astrogrep_path&amp;" /e /r /s /spath="&amp;search_path&amp;" /stypes=""app*"&amp;EFK28&amp;"*"&amp;TEXT(EFR28-utc_offset/24,"YYYYMMDD")&amp;"*"" /stext="" "&amp;TEXT(EFR28-utc_offset/24,"HH")&amp;search_regexp&amp;""""</f>
        <v>#VALUE!</v>
      </c>
      <c r="EGP28" s="234" t="e">
        <f>astrogrep_path&amp;" /e /r /s /spath="&amp;search_path&amp;" /stypes=""app*"&amp;EFL28&amp;"*"&amp;TEXT(EFS28-utc_offset/24,"YYYYMMDD")&amp;"*"" /stext="" "&amp;TEXT(EFS28-utc_offset/24,"HH")&amp;search_regexp&amp;""""</f>
        <v>#VALUE!</v>
      </c>
      <c r="EGQ28" s="234" t="e">
        <f>astrogrep_path&amp;" /e /r /s /spath="&amp;search_path&amp;" /stypes=""app*"&amp;EFM28&amp;"*"&amp;TEXT(EFT28-utc_offset/24,"YYYYMMDD")&amp;"*"" /stext="" "&amp;TEXT(EFT28-utc_offset/24,"HH")&amp;search_regexp&amp;""""</f>
        <v>#VALUE!</v>
      </c>
      <c r="EGR28" s="234" t="e">
        <f>astrogrep_path&amp;" /e /r /s /spath="&amp;search_path&amp;" /stypes=""app*"&amp;EFN28&amp;"*"&amp;TEXT(EFU28-utc_offset/24,"YYYYMMDD")&amp;"*"" /stext="" "&amp;TEXT(EFU28-utc_offset/24,"HH")&amp;search_regexp&amp;""""</f>
        <v>#REF!</v>
      </c>
      <c r="EGS28" s="234" t="e">
        <f>astrogrep_path&amp;" /e /r /s /spath="&amp;search_path&amp;" /stypes=""app*"&amp;EFO28&amp;"*"&amp;TEXT(EFV28-utc_offset/24,"YYYYMMDD")&amp;"*"" /stext="" "&amp;TEXT(EFV28-utc_offset/24,"HH")&amp;search_regexp&amp;""""</f>
        <v>#REF!</v>
      </c>
      <c r="EGT28" s="234" t="e">
        <f>astrogrep_path&amp;" /e /r /s /spath="&amp;search_path&amp;" /stypes=""app*"&amp;EFP28&amp;"*"&amp;TEXT(EFW28-utc_offset/24,"YYYYMMDD")&amp;"*"" /stext="" "&amp;TEXT(EFW28-utc_offset/24,"HH")&amp;search_regexp&amp;""""</f>
        <v>#REF!</v>
      </c>
      <c r="EGU28" s="234" t="e">
        <f>astrogrep_path&amp;" /e /r /s /spath="&amp;search_path&amp;" /stypes=""app*"&amp;EFQ28&amp;"*"&amp;TEXT(EFX28-utc_offset/24,"YYYYMMDD")&amp;"*"" /stext="" "&amp;TEXT(EFX28-utc_offset/24,"HH")&amp;search_regexp&amp;""""</f>
        <v>#REF!</v>
      </c>
      <c r="EGV28" s="234" t="e">
        <f>astrogrep_path&amp;" /e /r /s /spath="&amp;search_path&amp;" /stypes=""app*"&amp;EFR28&amp;"*"&amp;TEXT(EFY28-utc_offset/24,"YYYYMMDD")&amp;"*"" /stext="" "&amp;TEXT(EFY28-utc_offset/24,"HH")&amp;search_regexp&amp;""""</f>
        <v>#REF!</v>
      </c>
      <c r="EGW28" s="234" t="e">
        <f>astrogrep_path&amp;" /e /r /s /spath="&amp;search_path&amp;" /stypes=""app*"&amp;EFS28&amp;"*"&amp;TEXT(EFZ28-utc_offset/24,"YYYYMMDD")&amp;"*"" /stext="" "&amp;TEXT(EFZ28-utc_offset/24,"HH")&amp;search_regexp&amp;""""</f>
        <v>#REF!</v>
      </c>
      <c r="EGX28" s="234" t="e">
        <f>astrogrep_path&amp;" /e /r /s /spath="&amp;search_path&amp;" /stypes=""app*"&amp;EFT28&amp;"*"&amp;TEXT(EGA28-utc_offset/24,"YYYYMMDD")&amp;"*"" /stext="" "&amp;TEXT(EGA28-utc_offset/24,"HH")&amp;search_regexp&amp;""""</f>
        <v>#REF!</v>
      </c>
      <c r="EGY28" s="234" t="e">
        <f>astrogrep_path&amp;" /e /r /s /spath="&amp;search_path&amp;" /stypes=""app*"&amp;EFU28&amp;"*"&amp;TEXT(EGB28-utc_offset/24,"YYYYMMDD")&amp;"*"" /stext="" "&amp;TEXT(EGB28-utc_offset/24,"HH")&amp;search_regexp&amp;""""</f>
        <v>#REF!</v>
      </c>
      <c r="EGZ28" s="234" t="e">
        <f>astrogrep_path&amp;" /e /r /s /spath="&amp;search_path&amp;" /stypes=""app*"&amp;EFV28&amp;"*"&amp;TEXT(EGC28-utc_offset/24,"YYYYMMDD")&amp;"*"" /stext="" "&amp;TEXT(EGC28-utc_offset/24,"HH")&amp;search_regexp&amp;""""</f>
        <v>#REF!</v>
      </c>
      <c r="EHA28" s="234" t="e">
        <f>astrogrep_path&amp;" /e /r /s /spath="&amp;search_path&amp;" /stypes=""app*"&amp;EFW28&amp;"*"&amp;TEXT(EGD28-utc_offset/24,"YYYYMMDD")&amp;"*"" /stext="" "&amp;TEXT(EGD28-utc_offset/24,"HH")&amp;search_regexp&amp;""""</f>
        <v>#REF!</v>
      </c>
      <c r="EHB28" s="234" t="e">
        <f>astrogrep_path&amp;" /e /r /s /spath="&amp;search_path&amp;" /stypes=""app*"&amp;EFX28&amp;"*"&amp;TEXT(EGE28-utc_offset/24,"YYYYMMDD")&amp;"*"" /stext="" "&amp;TEXT(EGE28-utc_offset/24,"HH")&amp;search_regexp&amp;""""</f>
        <v>#REF!</v>
      </c>
      <c r="EHC28" s="234" t="e">
        <f>astrogrep_path&amp;" /e /r /s /spath="&amp;search_path&amp;" /stypes=""app*"&amp;EFY28&amp;"*"&amp;TEXT(EGF28-utc_offset/24,"YYYYMMDD")&amp;"*"" /stext="" "&amp;TEXT(EGF28-utc_offset/24,"HH")&amp;search_regexp&amp;""""</f>
        <v>#REF!</v>
      </c>
      <c r="EHD28" s="234" t="e">
        <f>astrogrep_path&amp;" /e /r /s /spath="&amp;search_path&amp;" /stypes=""app*"&amp;EFZ28&amp;"*"&amp;TEXT(EGG28-utc_offset/24,"YYYYMMDD")&amp;"*"" /stext="" "&amp;TEXT(EGG28-utc_offset/24,"HH")&amp;search_regexp&amp;""""</f>
        <v>#REF!</v>
      </c>
      <c r="EHE28" s="234" t="e">
        <f>astrogrep_path&amp;" /e /r /s /spath="&amp;search_path&amp;" /stypes=""app*"&amp;EGA28&amp;"*"&amp;TEXT(EGH28-utc_offset/24,"YYYYMMDD")&amp;"*"" /stext="" "&amp;TEXT(EGH28-utc_offset/24,"HH")&amp;search_regexp&amp;""""</f>
        <v>#REF!</v>
      </c>
      <c r="EHF28" s="234" t="e">
        <f>astrogrep_path&amp;" /e /r /s /spath="&amp;search_path&amp;" /stypes=""app*"&amp;EGB28&amp;"*"&amp;TEXT(EGI28-utc_offset/24,"YYYYMMDD")&amp;"*"" /stext="" "&amp;TEXT(EGI28-utc_offset/24,"HH")&amp;search_regexp&amp;""""</f>
        <v>#REF!</v>
      </c>
      <c r="EHG28" s="234" t="e">
        <f>astrogrep_path&amp;" /e /r /s /spath="&amp;search_path&amp;" /stypes=""app*"&amp;EGC28&amp;"*"&amp;TEXT(EGJ28-utc_offset/24,"YYYYMMDD")&amp;"*"" /stext="" "&amp;TEXT(EGJ28-utc_offset/24,"HH")&amp;search_regexp&amp;""""</f>
        <v>#REF!</v>
      </c>
      <c r="EHH28" s="234" t="e">
        <f>astrogrep_path&amp;" /e /r /s /spath="&amp;search_path&amp;" /stypes=""app*"&amp;EGD28&amp;"*"&amp;TEXT(EGK28-utc_offset/24,"YYYYMMDD")&amp;"*"" /stext="" "&amp;TEXT(EGK28-utc_offset/24,"HH")&amp;search_regexp&amp;""""</f>
        <v>#REF!</v>
      </c>
      <c r="EHI28" s="234" t="e">
        <f>astrogrep_path&amp;" /e /r /s /spath="&amp;search_path&amp;" /stypes=""app*"&amp;EGE28&amp;"*"&amp;TEXT(EGL28-utc_offset/24,"YYYYMMDD")&amp;"*"" /stext="" "&amp;TEXT(EGL28-utc_offset/24,"HH")&amp;search_regexp&amp;""""</f>
        <v>#REF!</v>
      </c>
      <c r="EHJ28" s="234" t="e">
        <f>astrogrep_path&amp;" /e /r /s /spath="&amp;search_path&amp;" /stypes=""app*"&amp;EGF28&amp;"*"&amp;TEXT(EGM28-utc_offset/24,"YYYYMMDD")&amp;"*"" /stext="" "&amp;TEXT(EGM28-utc_offset/24,"HH")&amp;search_regexp&amp;""""</f>
        <v>#REF!</v>
      </c>
      <c r="EHK28" s="234" t="e">
        <f>astrogrep_path&amp;" /e /r /s /spath="&amp;search_path&amp;" /stypes=""app*"&amp;EGG28&amp;"*"&amp;TEXT(EGN28-utc_offset/24,"YYYYMMDD")&amp;"*"" /stext="" "&amp;TEXT(EGN28-utc_offset/24,"HH")&amp;search_regexp&amp;""""</f>
        <v>#REF!</v>
      </c>
      <c r="EHL28" s="234" t="e">
        <f>astrogrep_path&amp;" /e /r /s /spath="&amp;search_path&amp;" /stypes=""app*"&amp;EGH28&amp;"*"&amp;TEXT(EGO28-utc_offset/24,"YYYYMMDD")&amp;"*"" /stext="" "&amp;TEXT(EGO28-utc_offset/24,"HH")&amp;search_regexp&amp;""""</f>
        <v>#REF!</v>
      </c>
      <c r="EHM28" s="234" t="e">
        <f>astrogrep_path&amp;" /e /r /s /spath="&amp;search_path&amp;" /stypes=""app*"&amp;EGI28&amp;"*"&amp;TEXT(EGP28-utc_offset/24,"YYYYMMDD")&amp;"*"" /stext="" "&amp;TEXT(EGP28-utc_offset/24,"HH")&amp;search_regexp&amp;""""</f>
        <v>#VALUE!</v>
      </c>
      <c r="EHN28" s="234" t="e">
        <f>astrogrep_path&amp;" /e /r /s /spath="&amp;search_path&amp;" /stypes=""app*"&amp;EGJ28&amp;"*"&amp;TEXT(EGQ28-utc_offset/24,"YYYYMMDD")&amp;"*"" /stext="" "&amp;TEXT(EGQ28-utc_offset/24,"HH")&amp;search_regexp&amp;""""</f>
        <v>#VALUE!</v>
      </c>
      <c r="EHO28" s="234" t="e">
        <f>astrogrep_path&amp;" /e /r /s /spath="&amp;search_path&amp;" /stypes=""app*"&amp;EGK28&amp;"*"&amp;TEXT(EGR28-utc_offset/24,"YYYYMMDD")&amp;"*"" /stext="" "&amp;TEXT(EGR28-utc_offset/24,"HH")&amp;search_regexp&amp;""""</f>
        <v>#REF!</v>
      </c>
      <c r="EHP28" s="234" t="e">
        <f>astrogrep_path&amp;" /e /r /s /spath="&amp;search_path&amp;" /stypes=""app*"&amp;EGL28&amp;"*"&amp;TEXT(EGS28-utc_offset/24,"YYYYMMDD")&amp;"*"" /stext="" "&amp;TEXT(EGS28-utc_offset/24,"HH")&amp;search_regexp&amp;""""</f>
        <v>#REF!</v>
      </c>
      <c r="EHQ28" s="234" t="e">
        <f>astrogrep_path&amp;" /e /r /s /spath="&amp;search_path&amp;" /stypes=""app*"&amp;EGM28&amp;"*"&amp;TEXT(EGT28-utc_offset/24,"YYYYMMDD")&amp;"*"" /stext="" "&amp;TEXT(EGT28-utc_offset/24,"HH")&amp;search_regexp&amp;""""</f>
        <v>#VALUE!</v>
      </c>
      <c r="EHR28" s="234" t="e">
        <f>astrogrep_path&amp;" /e /r /s /spath="&amp;search_path&amp;" /stypes=""app*"&amp;EGN28&amp;"*"&amp;TEXT(EGU28-utc_offset/24,"YYYYMMDD")&amp;"*"" /stext="" "&amp;TEXT(EGU28-utc_offset/24,"HH")&amp;search_regexp&amp;""""</f>
        <v>#VALUE!</v>
      </c>
      <c r="EHS28" s="234" t="e">
        <f>astrogrep_path&amp;" /e /r /s /spath="&amp;search_path&amp;" /stypes=""app*"&amp;EGO28&amp;"*"&amp;TEXT(EGV28-utc_offset/24,"YYYYMMDD")&amp;"*"" /stext="" "&amp;TEXT(EGV28-utc_offset/24,"HH")&amp;search_regexp&amp;""""</f>
        <v>#VALUE!</v>
      </c>
      <c r="EHT28" s="234" t="e">
        <f>astrogrep_path&amp;" /e /r /s /spath="&amp;search_path&amp;" /stypes=""app*"&amp;EGP28&amp;"*"&amp;TEXT(EGW28-utc_offset/24,"YYYYMMDD")&amp;"*"" /stext="" "&amp;TEXT(EGW28-utc_offset/24,"HH")&amp;search_regexp&amp;""""</f>
        <v>#VALUE!</v>
      </c>
      <c r="EHU28" s="234" t="e">
        <f>astrogrep_path&amp;" /e /r /s /spath="&amp;search_path&amp;" /stypes=""app*"&amp;EGQ28&amp;"*"&amp;TEXT(EGX28-utc_offset/24,"YYYYMMDD")&amp;"*"" /stext="" "&amp;TEXT(EGX28-utc_offset/24,"HH")&amp;search_regexp&amp;""""</f>
        <v>#VALUE!</v>
      </c>
      <c r="EHV28" s="234" t="e">
        <f>astrogrep_path&amp;" /e /r /s /spath="&amp;search_path&amp;" /stypes=""app*"&amp;EGR28&amp;"*"&amp;TEXT(EGY28-utc_offset/24,"YYYYMMDD")&amp;"*"" /stext="" "&amp;TEXT(EGY28-utc_offset/24,"HH")&amp;search_regexp&amp;""""</f>
        <v>#REF!</v>
      </c>
      <c r="EHW28" s="234" t="e">
        <f>astrogrep_path&amp;" /e /r /s /spath="&amp;search_path&amp;" /stypes=""app*"&amp;EGS28&amp;"*"&amp;TEXT(EGZ28-utc_offset/24,"YYYYMMDD")&amp;"*"" /stext="" "&amp;TEXT(EGZ28-utc_offset/24,"HH")&amp;search_regexp&amp;""""</f>
        <v>#REF!</v>
      </c>
      <c r="EHX28" s="234" t="e">
        <f>astrogrep_path&amp;" /e /r /s /spath="&amp;search_path&amp;" /stypes=""app*"&amp;EGT28&amp;"*"&amp;TEXT(EHA28-utc_offset/24,"YYYYMMDD")&amp;"*"" /stext="" "&amp;TEXT(EHA28-utc_offset/24,"HH")&amp;search_regexp&amp;""""</f>
        <v>#REF!</v>
      </c>
      <c r="EHY28" s="234" t="e">
        <f>astrogrep_path&amp;" /e /r /s /spath="&amp;search_path&amp;" /stypes=""app*"&amp;EGU28&amp;"*"&amp;TEXT(EHB28-utc_offset/24,"YYYYMMDD")&amp;"*"" /stext="" "&amp;TEXT(EHB28-utc_offset/24,"HH")&amp;search_regexp&amp;""""</f>
        <v>#REF!</v>
      </c>
      <c r="EHZ28" s="234" t="e">
        <f>astrogrep_path&amp;" /e /r /s /spath="&amp;search_path&amp;" /stypes=""app*"&amp;EGV28&amp;"*"&amp;TEXT(EHC28-utc_offset/24,"YYYYMMDD")&amp;"*"" /stext="" "&amp;TEXT(EHC28-utc_offset/24,"HH")&amp;search_regexp&amp;""""</f>
        <v>#REF!</v>
      </c>
      <c r="EIA28" s="234" t="e">
        <f>astrogrep_path&amp;" /e /r /s /spath="&amp;search_path&amp;" /stypes=""app*"&amp;EGW28&amp;"*"&amp;TEXT(EHD28-utc_offset/24,"YYYYMMDD")&amp;"*"" /stext="" "&amp;TEXT(EHD28-utc_offset/24,"HH")&amp;search_regexp&amp;""""</f>
        <v>#REF!</v>
      </c>
      <c r="EIB28" s="234" t="e">
        <f>astrogrep_path&amp;" /e /r /s /spath="&amp;search_path&amp;" /stypes=""app*"&amp;EGX28&amp;"*"&amp;TEXT(EHE28-utc_offset/24,"YYYYMMDD")&amp;"*"" /stext="" "&amp;TEXT(EHE28-utc_offset/24,"HH")&amp;search_regexp&amp;""""</f>
        <v>#REF!</v>
      </c>
      <c r="EIC28" s="234" t="e">
        <f>astrogrep_path&amp;" /e /r /s /spath="&amp;search_path&amp;" /stypes=""app*"&amp;EGY28&amp;"*"&amp;TEXT(EHF28-utc_offset/24,"YYYYMMDD")&amp;"*"" /stext="" "&amp;TEXT(EHF28-utc_offset/24,"HH")&amp;search_regexp&amp;""""</f>
        <v>#REF!</v>
      </c>
      <c r="EID28" s="234" t="e">
        <f>astrogrep_path&amp;" /e /r /s /spath="&amp;search_path&amp;" /stypes=""app*"&amp;EGZ28&amp;"*"&amp;TEXT(EHG28-utc_offset/24,"YYYYMMDD")&amp;"*"" /stext="" "&amp;TEXT(EHG28-utc_offset/24,"HH")&amp;search_regexp&amp;""""</f>
        <v>#REF!</v>
      </c>
      <c r="EIE28" s="234" t="e">
        <f>astrogrep_path&amp;" /e /r /s /spath="&amp;search_path&amp;" /stypes=""app*"&amp;EHA28&amp;"*"&amp;TEXT(EHH28-utc_offset/24,"YYYYMMDD")&amp;"*"" /stext="" "&amp;TEXT(EHH28-utc_offset/24,"HH")&amp;search_regexp&amp;""""</f>
        <v>#REF!</v>
      </c>
      <c r="EIF28" s="234" t="e">
        <f>astrogrep_path&amp;" /e /r /s /spath="&amp;search_path&amp;" /stypes=""app*"&amp;EHB28&amp;"*"&amp;TEXT(EHI28-utc_offset/24,"YYYYMMDD")&amp;"*"" /stext="" "&amp;TEXT(EHI28-utc_offset/24,"HH")&amp;search_regexp&amp;""""</f>
        <v>#REF!</v>
      </c>
      <c r="EIG28" s="234" t="e">
        <f>astrogrep_path&amp;" /e /r /s /spath="&amp;search_path&amp;" /stypes=""app*"&amp;EHC28&amp;"*"&amp;TEXT(EHJ28-utc_offset/24,"YYYYMMDD")&amp;"*"" /stext="" "&amp;TEXT(EHJ28-utc_offset/24,"HH")&amp;search_regexp&amp;""""</f>
        <v>#REF!</v>
      </c>
      <c r="EIH28" s="234" t="e">
        <f>astrogrep_path&amp;" /e /r /s /spath="&amp;search_path&amp;" /stypes=""app*"&amp;EHD28&amp;"*"&amp;TEXT(EHK28-utc_offset/24,"YYYYMMDD")&amp;"*"" /stext="" "&amp;TEXT(EHK28-utc_offset/24,"HH")&amp;search_regexp&amp;""""</f>
        <v>#REF!</v>
      </c>
      <c r="EII28" s="234" t="e">
        <f>astrogrep_path&amp;" /e /r /s /spath="&amp;search_path&amp;" /stypes=""app*"&amp;EHE28&amp;"*"&amp;TEXT(EHL28-utc_offset/24,"YYYYMMDD")&amp;"*"" /stext="" "&amp;TEXT(EHL28-utc_offset/24,"HH")&amp;search_regexp&amp;""""</f>
        <v>#REF!</v>
      </c>
      <c r="EIJ28" s="234" t="e">
        <f>astrogrep_path&amp;" /e /r /s /spath="&amp;search_path&amp;" /stypes=""app*"&amp;EHF28&amp;"*"&amp;TEXT(EHM28-utc_offset/24,"YYYYMMDD")&amp;"*"" /stext="" "&amp;TEXT(EHM28-utc_offset/24,"HH")&amp;search_regexp&amp;""""</f>
        <v>#REF!</v>
      </c>
      <c r="EIK28" s="234" t="e">
        <f>astrogrep_path&amp;" /e /r /s /spath="&amp;search_path&amp;" /stypes=""app*"&amp;EHG28&amp;"*"&amp;TEXT(EHN28-utc_offset/24,"YYYYMMDD")&amp;"*"" /stext="" "&amp;TEXT(EHN28-utc_offset/24,"HH")&amp;search_regexp&amp;""""</f>
        <v>#REF!</v>
      </c>
      <c r="EIL28" s="234" t="e">
        <f>astrogrep_path&amp;" /e /r /s /spath="&amp;search_path&amp;" /stypes=""app*"&amp;EHH28&amp;"*"&amp;TEXT(EHO28-utc_offset/24,"YYYYMMDD")&amp;"*"" /stext="" "&amp;TEXT(EHO28-utc_offset/24,"HH")&amp;search_regexp&amp;""""</f>
        <v>#REF!</v>
      </c>
      <c r="EIM28" s="234" t="e">
        <f>astrogrep_path&amp;" /e /r /s /spath="&amp;search_path&amp;" /stypes=""app*"&amp;EHI28&amp;"*"&amp;TEXT(EHP28-utc_offset/24,"YYYYMMDD")&amp;"*"" /stext="" "&amp;TEXT(EHP28-utc_offset/24,"HH")&amp;search_regexp&amp;""""</f>
        <v>#REF!</v>
      </c>
      <c r="EIN28" s="234" t="e">
        <f>astrogrep_path&amp;" /e /r /s /spath="&amp;search_path&amp;" /stypes=""app*"&amp;EHJ28&amp;"*"&amp;TEXT(EHQ28-utc_offset/24,"YYYYMMDD")&amp;"*"" /stext="" "&amp;TEXT(EHQ28-utc_offset/24,"HH")&amp;search_regexp&amp;""""</f>
        <v>#REF!</v>
      </c>
      <c r="EIO28" s="234" t="e">
        <f>astrogrep_path&amp;" /e /r /s /spath="&amp;search_path&amp;" /stypes=""app*"&amp;EHK28&amp;"*"&amp;TEXT(EHR28-utc_offset/24,"YYYYMMDD")&amp;"*"" /stext="" "&amp;TEXT(EHR28-utc_offset/24,"HH")&amp;search_regexp&amp;""""</f>
        <v>#REF!</v>
      </c>
      <c r="EIP28" s="234" t="e">
        <f>astrogrep_path&amp;" /e /r /s /spath="&amp;search_path&amp;" /stypes=""app*"&amp;EHL28&amp;"*"&amp;TEXT(EHS28-utc_offset/24,"YYYYMMDD")&amp;"*"" /stext="" "&amp;TEXT(EHS28-utc_offset/24,"HH")&amp;search_regexp&amp;""""</f>
        <v>#REF!</v>
      </c>
      <c r="EIQ28" s="234" t="e">
        <f>astrogrep_path&amp;" /e /r /s /spath="&amp;search_path&amp;" /stypes=""app*"&amp;EHM28&amp;"*"&amp;TEXT(EHT28-utc_offset/24,"YYYYMMDD")&amp;"*"" /stext="" "&amp;TEXT(EHT28-utc_offset/24,"HH")&amp;search_regexp&amp;""""</f>
        <v>#VALUE!</v>
      </c>
      <c r="EIR28" s="234" t="e">
        <f>astrogrep_path&amp;" /e /r /s /spath="&amp;search_path&amp;" /stypes=""app*"&amp;EHN28&amp;"*"&amp;TEXT(EHU28-utc_offset/24,"YYYYMMDD")&amp;"*"" /stext="" "&amp;TEXT(EHU28-utc_offset/24,"HH")&amp;search_regexp&amp;""""</f>
        <v>#VALUE!</v>
      </c>
      <c r="EIS28" s="234" t="e">
        <f>astrogrep_path&amp;" /e /r /s /spath="&amp;search_path&amp;" /stypes=""app*"&amp;EHO28&amp;"*"&amp;TEXT(EHV28-utc_offset/24,"YYYYMMDD")&amp;"*"" /stext="" "&amp;TEXT(EHV28-utc_offset/24,"HH")&amp;search_regexp&amp;""""</f>
        <v>#REF!</v>
      </c>
      <c r="EIT28" s="234" t="e">
        <f>astrogrep_path&amp;" /e /r /s /spath="&amp;search_path&amp;" /stypes=""app*"&amp;EHP28&amp;"*"&amp;TEXT(EHW28-utc_offset/24,"YYYYMMDD")&amp;"*"" /stext="" "&amp;TEXT(EHW28-utc_offset/24,"HH")&amp;search_regexp&amp;""""</f>
        <v>#REF!</v>
      </c>
      <c r="EIU28" s="234" t="e">
        <f>astrogrep_path&amp;" /e /r /s /spath="&amp;search_path&amp;" /stypes=""app*"&amp;EHQ28&amp;"*"&amp;TEXT(EHX28-utc_offset/24,"YYYYMMDD")&amp;"*"" /stext="" "&amp;TEXT(EHX28-utc_offset/24,"HH")&amp;search_regexp&amp;""""</f>
        <v>#VALUE!</v>
      </c>
      <c r="EIV28" s="234" t="e">
        <f>astrogrep_path&amp;" /e /r /s /spath="&amp;search_path&amp;" /stypes=""app*"&amp;EHR28&amp;"*"&amp;TEXT(EHY28-utc_offset/24,"YYYYMMDD")&amp;"*"" /stext="" "&amp;TEXT(EHY28-utc_offset/24,"HH")&amp;search_regexp&amp;""""</f>
        <v>#VALUE!</v>
      </c>
      <c r="EIW28" s="234" t="e">
        <f>astrogrep_path&amp;" /e /r /s /spath="&amp;search_path&amp;" /stypes=""app*"&amp;EHS28&amp;"*"&amp;TEXT(EHZ28-utc_offset/24,"YYYYMMDD")&amp;"*"" /stext="" "&amp;TEXT(EHZ28-utc_offset/24,"HH")&amp;search_regexp&amp;""""</f>
        <v>#VALUE!</v>
      </c>
      <c r="EIX28" s="234" t="e">
        <f>astrogrep_path&amp;" /e /r /s /spath="&amp;search_path&amp;" /stypes=""app*"&amp;EHT28&amp;"*"&amp;TEXT(EIA28-utc_offset/24,"YYYYMMDD")&amp;"*"" /stext="" "&amp;TEXT(EIA28-utc_offset/24,"HH")&amp;search_regexp&amp;""""</f>
        <v>#VALUE!</v>
      </c>
      <c r="EIY28" s="234" t="e">
        <f>astrogrep_path&amp;" /e /r /s /spath="&amp;search_path&amp;" /stypes=""app*"&amp;EHU28&amp;"*"&amp;TEXT(EIB28-utc_offset/24,"YYYYMMDD")&amp;"*"" /stext="" "&amp;TEXT(EIB28-utc_offset/24,"HH")&amp;search_regexp&amp;""""</f>
        <v>#VALUE!</v>
      </c>
      <c r="EIZ28" s="234" t="e">
        <f>astrogrep_path&amp;" /e /r /s /spath="&amp;search_path&amp;" /stypes=""app*"&amp;EHV28&amp;"*"&amp;TEXT(EIC28-utc_offset/24,"YYYYMMDD")&amp;"*"" /stext="" "&amp;TEXT(EIC28-utc_offset/24,"HH")&amp;search_regexp&amp;""""</f>
        <v>#REF!</v>
      </c>
      <c r="EJA28" s="234" t="e">
        <f>astrogrep_path&amp;" /e /r /s /spath="&amp;search_path&amp;" /stypes=""app*"&amp;EHW28&amp;"*"&amp;TEXT(EID28-utc_offset/24,"YYYYMMDD")&amp;"*"" /stext="" "&amp;TEXT(EID28-utc_offset/24,"HH")&amp;search_regexp&amp;""""</f>
        <v>#REF!</v>
      </c>
      <c r="EJB28" s="234" t="e">
        <f>astrogrep_path&amp;" /e /r /s /spath="&amp;search_path&amp;" /stypes=""app*"&amp;EHX28&amp;"*"&amp;TEXT(EIE28-utc_offset/24,"YYYYMMDD")&amp;"*"" /stext="" "&amp;TEXT(EIE28-utc_offset/24,"HH")&amp;search_regexp&amp;""""</f>
        <v>#REF!</v>
      </c>
      <c r="EJC28" s="234" t="e">
        <f>astrogrep_path&amp;" /e /r /s /spath="&amp;search_path&amp;" /stypes=""app*"&amp;EHY28&amp;"*"&amp;TEXT(EIF28-utc_offset/24,"YYYYMMDD")&amp;"*"" /stext="" "&amp;TEXT(EIF28-utc_offset/24,"HH")&amp;search_regexp&amp;""""</f>
        <v>#REF!</v>
      </c>
      <c r="EJD28" s="234" t="e">
        <f>astrogrep_path&amp;" /e /r /s /spath="&amp;search_path&amp;" /stypes=""app*"&amp;EHZ28&amp;"*"&amp;TEXT(EIG28-utc_offset/24,"YYYYMMDD")&amp;"*"" /stext="" "&amp;TEXT(EIG28-utc_offset/24,"HH")&amp;search_regexp&amp;""""</f>
        <v>#REF!</v>
      </c>
      <c r="EJE28" s="234" t="e">
        <f>astrogrep_path&amp;" /e /r /s /spath="&amp;search_path&amp;" /stypes=""app*"&amp;EIA28&amp;"*"&amp;TEXT(EIH28-utc_offset/24,"YYYYMMDD")&amp;"*"" /stext="" "&amp;TEXT(EIH28-utc_offset/24,"HH")&amp;search_regexp&amp;""""</f>
        <v>#REF!</v>
      </c>
      <c r="EJF28" s="234" t="e">
        <f>astrogrep_path&amp;" /e /r /s /spath="&amp;search_path&amp;" /stypes=""app*"&amp;EIB28&amp;"*"&amp;TEXT(EII28-utc_offset/24,"YYYYMMDD")&amp;"*"" /stext="" "&amp;TEXT(EII28-utc_offset/24,"HH")&amp;search_regexp&amp;""""</f>
        <v>#REF!</v>
      </c>
      <c r="EJG28" s="234" t="e">
        <f>astrogrep_path&amp;" /e /r /s /spath="&amp;search_path&amp;" /stypes=""app*"&amp;EIC28&amp;"*"&amp;TEXT(EIJ28-utc_offset/24,"YYYYMMDD")&amp;"*"" /stext="" "&amp;TEXT(EIJ28-utc_offset/24,"HH")&amp;search_regexp&amp;""""</f>
        <v>#REF!</v>
      </c>
      <c r="EJH28" s="234" t="e">
        <f>astrogrep_path&amp;" /e /r /s /spath="&amp;search_path&amp;" /stypes=""app*"&amp;EID28&amp;"*"&amp;TEXT(EIK28-utc_offset/24,"YYYYMMDD")&amp;"*"" /stext="" "&amp;TEXT(EIK28-utc_offset/24,"HH")&amp;search_regexp&amp;""""</f>
        <v>#REF!</v>
      </c>
      <c r="EJI28" s="234" t="e">
        <f>astrogrep_path&amp;" /e /r /s /spath="&amp;search_path&amp;" /stypes=""app*"&amp;EIE28&amp;"*"&amp;TEXT(EIL28-utc_offset/24,"YYYYMMDD")&amp;"*"" /stext="" "&amp;TEXT(EIL28-utc_offset/24,"HH")&amp;search_regexp&amp;""""</f>
        <v>#REF!</v>
      </c>
      <c r="EJJ28" s="234" t="e">
        <f>astrogrep_path&amp;" /e /r /s /spath="&amp;search_path&amp;" /stypes=""app*"&amp;EIF28&amp;"*"&amp;TEXT(EIM28-utc_offset/24,"YYYYMMDD")&amp;"*"" /stext="" "&amp;TEXT(EIM28-utc_offset/24,"HH")&amp;search_regexp&amp;""""</f>
        <v>#REF!</v>
      </c>
      <c r="EJK28" s="234" t="e">
        <f>astrogrep_path&amp;" /e /r /s /spath="&amp;search_path&amp;" /stypes=""app*"&amp;EIG28&amp;"*"&amp;TEXT(EIN28-utc_offset/24,"YYYYMMDD")&amp;"*"" /stext="" "&amp;TEXT(EIN28-utc_offset/24,"HH")&amp;search_regexp&amp;""""</f>
        <v>#REF!</v>
      </c>
      <c r="EJL28" s="234" t="e">
        <f>astrogrep_path&amp;" /e /r /s /spath="&amp;search_path&amp;" /stypes=""app*"&amp;EIH28&amp;"*"&amp;TEXT(EIO28-utc_offset/24,"YYYYMMDD")&amp;"*"" /stext="" "&amp;TEXT(EIO28-utc_offset/24,"HH")&amp;search_regexp&amp;""""</f>
        <v>#REF!</v>
      </c>
      <c r="EJM28" s="234" t="e">
        <f>astrogrep_path&amp;" /e /r /s /spath="&amp;search_path&amp;" /stypes=""app*"&amp;EII28&amp;"*"&amp;TEXT(EIP28-utc_offset/24,"YYYYMMDD")&amp;"*"" /stext="" "&amp;TEXT(EIP28-utc_offset/24,"HH")&amp;search_regexp&amp;""""</f>
        <v>#REF!</v>
      </c>
      <c r="EJN28" s="234" t="e">
        <f>astrogrep_path&amp;" /e /r /s /spath="&amp;search_path&amp;" /stypes=""app*"&amp;EIJ28&amp;"*"&amp;TEXT(EIQ28-utc_offset/24,"YYYYMMDD")&amp;"*"" /stext="" "&amp;TEXT(EIQ28-utc_offset/24,"HH")&amp;search_regexp&amp;""""</f>
        <v>#REF!</v>
      </c>
      <c r="EJO28" s="234" t="e">
        <f>astrogrep_path&amp;" /e /r /s /spath="&amp;search_path&amp;" /stypes=""app*"&amp;EIK28&amp;"*"&amp;TEXT(EIR28-utc_offset/24,"YYYYMMDD")&amp;"*"" /stext="" "&amp;TEXT(EIR28-utc_offset/24,"HH")&amp;search_regexp&amp;""""</f>
        <v>#REF!</v>
      </c>
      <c r="EJP28" s="234" t="e">
        <f>astrogrep_path&amp;" /e /r /s /spath="&amp;search_path&amp;" /stypes=""app*"&amp;EIL28&amp;"*"&amp;TEXT(EIS28-utc_offset/24,"YYYYMMDD")&amp;"*"" /stext="" "&amp;TEXT(EIS28-utc_offset/24,"HH")&amp;search_regexp&amp;""""</f>
        <v>#REF!</v>
      </c>
      <c r="EJQ28" s="234" t="e">
        <f>astrogrep_path&amp;" /e /r /s /spath="&amp;search_path&amp;" /stypes=""app*"&amp;EIM28&amp;"*"&amp;TEXT(EIT28-utc_offset/24,"YYYYMMDD")&amp;"*"" /stext="" "&amp;TEXT(EIT28-utc_offset/24,"HH")&amp;search_regexp&amp;""""</f>
        <v>#REF!</v>
      </c>
      <c r="EJR28" s="234" t="e">
        <f>astrogrep_path&amp;" /e /r /s /spath="&amp;search_path&amp;" /stypes=""app*"&amp;EIN28&amp;"*"&amp;TEXT(EIU28-utc_offset/24,"YYYYMMDD")&amp;"*"" /stext="" "&amp;TEXT(EIU28-utc_offset/24,"HH")&amp;search_regexp&amp;""""</f>
        <v>#REF!</v>
      </c>
      <c r="EJS28" s="234" t="e">
        <f>astrogrep_path&amp;" /e /r /s /spath="&amp;search_path&amp;" /stypes=""app*"&amp;EIO28&amp;"*"&amp;TEXT(EIV28-utc_offset/24,"YYYYMMDD")&amp;"*"" /stext="" "&amp;TEXT(EIV28-utc_offset/24,"HH")&amp;search_regexp&amp;""""</f>
        <v>#REF!</v>
      </c>
      <c r="EJT28" s="234" t="e">
        <f>astrogrep_path&amp;" /e /r /s /spath="&amp;search_path&amp;" /stypes=""app*"&amp;EIP28&amp;"*"&amp;TEXT(EIW28-utc_offset/24,"YYYYMMDD")&amp;"*"" /stext="" "&amp;TEXT(EIW28-utc_offset/24,"HH")&amp;search_regexp&amp;""""</f>
        <v>#REF!</v>
      </c>
      <c r="EJU28" s="234" t="e">
        <f>astrogrep_path&amp;" /e /r /s /spath="&amp;search_path&amp;" /stypes=""app*"&amp;EIQ28&amp;"*"&amp;TEXT(EIX28-utc_offset/24,"YYYYMMDD")&amp;"*"" /stext="" "&amp;TEXT(EIX28-utc_offset/24,"HH")&amp;search_regexp&amp;""""</f>
        <v>#VALUE!</v>
      </c>
      <c r="EJV28" s="234" t="e">
        <f>astrogrep_path&amp;" /e /r /s /spath="&amp;search_path&amp;" /stypes=""app*"&amp;EIR28&amp;"*"&amp;TEXT(EIY28-utc_offset/24,"YYYYMMDD")&amp;"*"" /stext="" "&amp;TEXT(EIY28-utc_offset/24,"HH")&amp;search_regexp&amp;""""</f>
        <v>#VALUE!</v>
      </c>
      <c r="EJW28" s="234" t="e">
        <f>astrogrep_path&amp;" /e /r /s /spath="&amp;search_path&amp;" /stypes=""app*"&amp;EIS28&amp;"*"&amp;TEXT(EIZ28-utc_offset/24,"YYYYMMDD")&amp;"*"" /stext="" "&amp;TEXT(EIZ28-utc_offset/24,"HH")&amp;search_regexp&amp;""""</f>
        <v>#REF!</v>
      </c>
      <c r="EJX28" s="234" t="e">
        <f>astrogrep_path&amp;" /e /r /s /spath="&amp;search_path&amp;" /stypes=""app*"&amp;EIT28&amp;"*"&amp;TEXT(EJA28-utc_offset/24,"YYYYMMDD")&amp;"*"" /stext="" "&amp;TEXT(EJA28-utc_offset/24,"HH")&amp;search_regexp&amp;""""</f>
        <v>#REF!</v>
      </c>
      <c r="EJY28" s="234" t="e">
        <f>astrogrep_path&amp;" /e /r /s /spath="&amp;search_path&amp;" /stypes=""app*"&amp;EIU28&amp;"*"&amp;TEXT(EJB28-utc_offset/24,"YYYYMMDD")&amp;"*"" /stext="" "&amp;TEXT(EJB28-utc_offset/24,"HH")&amp;search_regexp&amp;""""</f>
        <v>#VALUE!</v>
      </c>
      <c r="EJZ28" s="234" t="e">
        <f>astrogrep_path&amp;" /e /r /s /spath="&amp;search_path&amp;" /stypes=""app*"&amp;EIV28&amp;"*"&amp;TEXT(EJC28-utc_offset/24,"YYYYMMDD")&amp;"*"" /stext="" "&amp;TEXT(EJC28-utc_offset/24,"HH")&amp;search_regexp&amp;""""</f>
        <v>#VALUE!</v>
      </c>
      <c r="EKA28" s="234" t="e">
        <f>astrogrep_path&amp;" /e /r /s /spath="&amp;search_path&amp;" /stypes=""app*"&amp;EIW28&amp;"*"&amp;TEXT(EJD28-utc_offset/24,"YYYYMMDD")&amp;"*"" /stext="" "&amp;TEXT(EJD28-utc_offset/24,"HH")&amp;search_regexp&amp;""""</f>
        <v>#VALUE!</v>
      </c>
      <c r="EKB28" s="234" t="e">
        <f>astrogrep_path&amp;" /e /r /s /spath="&amp;search_path&amp;" /stypes=""app*"&amp;EIX28&amp;"*"&amp;TEXT(EJE28-utc_offset/24,"YYYYMMDD")&amp;"*"" /stext="" "&amp;TEXT(EJE28-utc_offset/24,"HH")&amp;search_regexp&amp;""""</f>
        <v>#VALUE!</v>
      </c>
      <c r="EKC28" s="234" t="e">
        <f>astrogrep_path&amp;" /e /r /s /spath="&amp;search_path&amp;" /stypes=""app*"&amp;EIY28&amp;"*"&amp;TEXT(EJF28-utc_offset/24,"YYYYMMDD")&amp;"*"" /stext="" "&amp;TEXT(EJF28-utc_offset/24,"HH")&amp;search_regexp&amp;""""</f>
        <v>#VALUE!</v>
      </c>
      <c r="EKD28" s="234" t="e">
        <f>astrogrep_path&amp;" /e /r /s /spath="&amp;search_path&amp;" /stypes=""app*"&amp;EIZ28&amp;"*"&amp;TEXT(EJG28-utc_offset/24,"YYYYMMDD")&amp;"*"" /stext="" "&amp;TEXT(EJG28-utc_offset/24,"HH")&amp;search_regexp&amp;""""</f>
        <v>#REF!</v>
      </c>
      <c r="EKE28" s="234" t="e">
        <f>astrogrep_path&amp;" /e /r /s /spath="&amp;search_path&amp;" /stypes=""app*"&amp;EJA28&amp;"*"&amp;TEXT(EJH28-utc_offset/24,"YYYYMMDD")&amp;"*"" /stext="" "&amp;TEXT(EJH28-utc_offset/24,"HH")&amp;search_regexp&amp;""""</f>
        <v>#REF!</v>
      </c>
      <c r="EKF28" s="234" t="e">
        <f>astrogrep_path&amp;" /e /r /s /spath="&amp;search_path&amp;" /stypes=""app*"&amp;EJB28&amp;"*"&amp;TEXT(EJI28-utc_offset/24,"YYYYMMDD")&amp;"*"" /stext="" "&amp;TEXT(EJI28-utc_offset/24,"HH")&amp;search_regexp&amp;""""</f>
        <v>#REF!</v>
      </c>
      <c r="EKG28" s="234" t="e">
        <f>astrogrep_path&amp;" /e /r /s /spath="&amp;search_path&amp;" /stypes=""app*"&amp;EJC28&amp;"*"&amp;TEXT(EJJ28-utc_offset/24,"YYYYMMDD")&amp;"*"" /stext="" "&amp;TEXT(EJJ28-utc_offset/24,"HH")&amp;search_regexp&amp;""""</f>
        <v>#REF!</v>
      </c>
      <c r="EKH28" s="234" t="e">
        <f>astrogrep_path&amp;" /e /r /s /spath="&amp;search_path&amp;" /stypes=""app*"&amp;EJD28&amp;"*"&amp;TEXT(EJK28-utc_offset/24,"YYYYMMDD")&amp;"*"" /stext="" "&amp;TEXT(EJK28-utc_offset/24,"HH")&amp;search_regexp&amp;""""</f>
        <v>#REF!</v>
      </c>
      <c r="EKI28" s="234" t="e">
        <f>astrogrep_path&amp;" /e /r /s /spath="&amp;search_path&amp;" /stypes=""app*"&amp;EJE28&amp;"*"&amp;TEXT(EJL28-utc_offset/24,"YYYYMMDD")&amp;"*"" /stext="" "&amp;TEXT(EJL28-utc_offset/24,"HH")&amp;search_regexp&amp;""""</f>
        <v>#REF!</v>
      </c>
      <c r="EKJ28" s="234" t="e">
        <f>astrogrep_path&amp;" /e /r /s /spath="&amp;search_path&amp;" /stypes=""app*"&amp;EJF28&amp;"*"&amp;TEXT(EJM28-utc_offset/24,"YYYYMMDD")&amp;"*"" /stext="" "&amp;TEXT(EJM28-utc_offset/24,"HH")&amp;search_regexp&amp;""""</f>
        <v>#REF!</v>
      </c>
      <c r="EKK28" s="234" t="e">
        <f>astrogrep_path&amp;" /e /r /s /spath="&amp;search_path&amp;" /stypes=""app*"&amp;EJG28&amp;"*"&amp;TEXT(EJN28-utc_offset/24,"YYYYMMDD")&amp;"*"" /stext="" "&amp;TEXT(EJN28-utc_offset/24,"HH")&amp;search_regexp&amp;""""</f>
        <v>#REF!</v>
      </c>
      <c r="EKL28" s="234" t="e">
        <f>astrogrep_path&amp;" /e /r /s /spath="&amp;search_path&amp;" /stypes=""app*"&amp;EJH28&amp;"*"&amp;TEXT(EJO28-utc_offset/24,"YYYYMMDD")&amp;"*"" /stext="" "&amp;TEXT(EJO28-utc_offset/24,"HH")&amp;search_regexp&amp;""""</f>
        <v>#REF!</v>
      </c>
      <c r="EKM28" s="234" t="e">
        <f>astrogrep_path&amp;" /e /r /s /spath="&amp;search_path&amp;" /stypes=""app*"&amp;EJI28&amp;"*"&amp;TEXT(EJP28-utc_offset/24,"YYYYMMDD")&amp;"*"" /stext="" "&amp;TEXT(EJP28-utc_offset/24,"HH")&amp;search_regexp&amp;""""</f>
        <v>#REF!</v>
      </c>
      <c r="EKN28" s="234" t="e">
        <f>astrogrep_path&amp;" /e /r /s /spath="&amp;search_path&amp;" /stypes=""app*"&amp;EJJ28&amp;"*"&amp;TEXT(EJQ28-utc_offset/24,"YYYYMMDD")&amp;"*"" /stext="" "&amp;TEXT(EJQ28-utc_offset/24,"HH")&amp;search_regexp&amp;""""</f>
        <v>#REF!</v>
      </c>
      <c r="EKO28" s="234" t="e">
        <f>astrogrep_path&amp;" /e /r /s /spath="&amp;search_path&amp;" /stypes=""app*"&amp;EJK28&amp;"*"&amp;TEXT(EJR28-utc_offset/24,"YYYYMMDD")&amp;"*"" /stext="" "&amp;TEXT(EJR28-utc_offset/24,"HH")&amp;search_regexp&amp;""""</f>
        <v>#REF!</v>
      </c>
      <c r="EKP28" s="234" t="e">
        <f>astrogrep_path&amp;" /e /r /s /spath="&amp;search_path&amp;" /stypes=""app*"&amp;EJL28&amp;"*"&amp;TEXT(EJS28-utc_offset/24,"YYYYMMDD")&amp;"*"" /stext="" "&amp;TEXT(EJS28-utc_offset/24,"HH")&amp;search_regexp&amp;""""</f>
        <v>#REF!</v>
      </c>
      <c r="EKQ28" s="234" t="e">
        <f>astrogrep_path&amp;" /e /r /s /spath="&amp;search_path&amp;" /stypes=""app*"&amp;EJM28&amp;"*"&amp;TEXT(EJT28-utc_offset/24,"YYYYMMDD")&amp;"*"" /stext="" "&amp;TEXT(EJT28-utc_offset/24,"HH")&amp;search_regexp&amp;""""</f>
        <v>#REF!</v>
      </c>
      <c r="EKR28" s="234" t="e">
        <f>astrogrep_path&amp;" /e /r /s /spath="&amp;search_path&amp;" /stypes=""app*"&amp;EJN28&amp;"*"&amp;TEXT(EJU28-utc_offset/24,"YYYYMMDD")&amp;"*"" /stext="" "&amp;TEXT(EJU28-utc_offset/24,"HH")&amp;search_regexp&amp;""""</f>
        <v>#REF!</v>
      </c>
      <c r="EKS28" s="234" t="e">
        <f>astrogrep_path&amp;" /e /r /s /spath="&amp;search_path&amp;" /stypes=""app*"&amp;EJO28&amp;"*"&amp;TEXT(EJV28-utc_offset/24,"YYYYMMDD")&amp;"*"" /stext="" "&amp;TEXT(EJV28-utc_offset/24,"HH")&amp;search_regexp&amp;""""</f>
        <v>#REF!</v>
      </c>
      <c r="EKT28" s="234" t="e">
        <f>astrogrep_path&amp;" /e /r /s /spath="&amp;search_path&amp;" /stypes=""app*"&amp;EJP28&amp;"*"&amp;TEXT(EJW28-utc_offset/24,"YYYYMMDD")&amp;"*"" /stext="" "&amp;TEXT(EJW28-utc_offset/24,"HH")&amp;search_regexp&amp;""""</f>
        <v>#REF!</v>
      </c>
      <c r="EKU28" s="234" t="e">
        <f>astrogrep_path&amp;" /e /r /s /spath="&amp;search_path&amp;" /stypes=""app*"&amp;EJQ28&amp;"*"&amp;TEXT(EJX28-utc_offset/24,"YYYYMMDD")&amp;"*"" /stext="" "&amp;TEXT(EJX28-utc_offset/24,"HH")&amp;search_regexp&amp;""""</f>
        <v>#REF!</v>
      </c>
      <c r="EKV28" s="234" t="e">
        <f>astrogrep_path&amp;" /e /r /s /spath="&amp;search_path&amp;" /stypes=""app*"&amp;EJR28&amp;"*"&amp;TEXT(EJY28-utc_offset/24,"YYYYMMDD")&amp;"*"" /stext="" "&amp;TEXT(EJY28-utc_offset/24,"HH")&amp;search_regexp&amp;""""</f>
        <v>#REF!</v>
      </c>
      <c r="EKW28" s="234" t="e">
        <f>astrogrep_path&amp;" /e /r /s /spath="&amp;search_path&amp;" /stypes=""app*"&amp;EJS28&amp;"*"&amp;TEXT(EJZ28-utc_offset/24,"YYYYMMDD")&amp;"*"" /stext="" "&amp;TEXT(EJZ28-utc_offset/24,"HH")&amp;search_regexp&amp;""""</f>
        <v>#REF!</v>
      </c>
      <c r="EKX28" s="234" t="e">
        <f>astrogrep_path&amp;" /e /r /s /spath="&amp;search_path&amp;" /stypes=""app*"&amp;EJT28&amp;"*"&amp;TEXT(EKA28-utc_offset/24,"YYYYMMDD")&amp;"*"" /stext="" "&amp;TEXT(EKA28-utc_offset/24,"HH")&amp;search_regexp&amp;""""</f>
        <v>#REF!</v>
      </c>
      <c r="EKY28" s="234" t="e">
        <f>astrogrep_path&amp;" /e /r /s /spath="&amp;search_path&amp;" /stypes=""app*"&amp;EJU28&amp;"*"&amp;TEXT(EKB28-utc_offset/24,"YYYYMMDD")&amp;"*"" /stext="" "&amp;TEXT(EKB28-utc_offset/24,"HH")&amp;search_regexp&amp;""""</f>
        <v>#VALUE!</v>
      </c>
      <c r="EKZ28" s="234" t="e">
        <f>astrogrep_path&amp;" /e /r /s /spath="&amp;search_path&amp;" /stypes=""app*"&amp;EJV28&amp;"*"&amp;TEXT(EKC28-utc_offset/24,"YYYYMMDD")&amp;"*"" /stext="" "&amp;TEXT(EKC28-utc_offset/24,"HH")&amp;search_regexp&amp;""""</f>
        <v>#VALUE!</v>
      </c>
      <c r="ELA28" s="234" t="e">
        <f>astrogrep_path&amp;" /e /r /s /spath="&amp;search_path&amp;" /stypes=""app*"&amp;EJW28&amp;"*"&amp;TEXT(EKD28-utc_offset/24,"YYYYMMDD")&amp;"*"" /stext="" "&amp;TEXT(EKD28-utc_offset/24,"HH")&amp;search_regexp&amp;""""</f>
        <v>#REF!</v>
      </c>
      <c r="ELB28" s="234" t="e">
        <f>astrogrep_path&amp;" /e /r /s /spath="&amp;search_path&amp;" /stypes=""app*"&amp;EJX28&amp;"*"&amp;TEXT(EKE28-utc_offset/24,"YYYYMMDD")&amp;"*"" /stext="" "&amp;TEXT(EKE28-utc_offset/24,"HH")&amp;search_regexp&amp;""""</f>
        <v>#REF!</v>
      </c>
      <c r="ELC28" s="234" t="e">
        <f>astrogrep_path&amp;" /e /r /s /spath="&amp;search_path&amp;" /stypes=""app*"&amp;EJY28&amp;"*"&amp;TEXT(EKF28-utc_offset/24,"YYYYMMDD")&amp;"*"" /stext="" "&amp;TEXT(EKF28-utc_offset/24,"HH")&amp;search_regexp&amp;""""</f>
        <v>#VALUE!</v>
      </c>
      <c r="ELD28" s="234" t="e">
        <f>astrogrep_path&amp;" /e /r /s /spath="&amp;search_path&amp;" /stypes=""app*"&amp;EJZ28&amp;"*"&amp;TEXT(EKG28-utc_offset/24,"YYYYMMDD")&amp;"*"" /stext="" "&amp;TEXT(EKG28-utc_offset/24,"HH")&amp;search_regexp&amp;""""</f>
        <v>#VALUE!</v>
      </c>
      <c r="ELE28" s="234" t="e">
        <f>astrogrep_path&amp;" /e /r /s /spath="&amp;search_path&amp;" /stypes=""app*"&amp;EKA28&amp;"*"&amp;TEXT(EKH28-utc_offset/24,"YYYYMMDD")&amp;"*"" /stext="" "&amp;TEXT(EKH28-utc_offset/24,"HH")&amp;search_regexp&amp;""""</f>
        <v>#VALUE!</v>
      </c>
      <c r="ELF28" s="234" t="e">
        <f>astrogrep_path&amp;" /e /r /s /spath="&amp;search_path&amp;" /stypes=""app*"&amp;EKB28&amp;"*"&amp;TEXT(EKI28-utc_offset/24,"YYYYMMDD")&amp;"*"" /stext="" "&amp;TEXT(EKI28-utc_offset/24,"HH")&amp;search_regexp&amp;""""</f>
        <v>#VALUE!</v>
      </c>
      <c r="ELG28" s="234" t="e">
        <f>astrogrep_path&amp;" /e /r /s /spath="&amp;search_path&amp;" /stypes=""app*"&amp;EKC28&amp;"*"&amp;TEXT(EKJ28-utc_offset/24,"YYYYMMDD")&amp;"*"" /stext="" "&amp;TEXT(EKJ28-utc_offset/24,"HH")&amp;search_regexp&amp;""""</f>
        <v>#VALUE!</v>
      </c>
      <c r="ELH28" s="234" t="e">
        <f>astrogrep_path&amp;" /e /r /s /spath="&amp;search_path&amp;" /stypes=""app*"&amp;EKD28&amp;"*"&amp;TEXT(EKK28-utc_offset/24,"YYYYMMDD")&amp;"*"" /stext="" "&amp;TEXT(EKK28-utc_offset/24,"HH")&amp;search_regexp&amp;""""</f>
        <v>#REF!</v>
      </c>
      <c r="ELI28" s="234" t="e">
        <f>astrogrep_path&amp;" /e /r /s /spath="&amp;search_path&amp;" /stypes=""app*"&amp;EKE28&amp;"*"&amp;TEXT(EKL28-utc_offset/24,"YYYYMMDD")&amp;"*"" /stext="" "&amp;TEXT(EKL28-utc_offset/24,"HH")&amp;search_regexp&amp;""""</f>
        <v>#REF!</v>
      </c>
      <c r="ELJ28" s="234" t="e">
        <f>astrogrep_path&amp;" /e /r /s /spath="&amp;search_path&amp;" /stypes=""app*"&amp;EKF28&amp;"*"&amp;TEXT(EKM28-utc_offset/24,"YYYYMMDD")&amp;"*"" /stext="" "&amp;TEXT(EKM28-utc_offset/24,"HH")&amp;search_regexp&amp;""""</f>
        <v>#REF!</v>
      </c>
      <c r="ELK28" s="234" t="e">
        <f>astrogrep_path&amp;" /e /r /s /spath="&amp;search_path&amp;" /stypes=""app*"&amp;EKG28&amp;"*"&amp;TEXT(EKN28-utc_offset/24,"YYYYMMDD")&amp;"*"" /stext="" "&amp;TEXT(EKN28-utc_offset/24,"HH")&amp;search_regexp&amp;""""</f>
        <v>#REF!</v>
      </c>
      <c r="ELL28" s="234" t="e">
        <f>astrogrep_path&amp;" /e /r /s /spath="&amp;search_path&amp;" /stypes=""app*"&amp;EKH28&amp;"*"&amp;TEXT(EKO28-utc_offset/24,"YYYYMMDD")&amp;"*"" /stext="" "&amp;TEXT(EKO28-utc_offset/24,"HH")&amp;search_regexp&amp;""""</f>
        <v>#REF!</v>
      </c>
      <c r="ELM28" s="234" t="e">
        <f>astrogrep_path&amp;" /e /r /s /spath="&amp;search_path&amp;" /stypes=""app*"&amp;EKI28&amp;"*"&amp;TEXT(EKP28-utc_offset/24,"YYYYMMDD")&amp;"*"" /stext="" "&amp;TEXT(EKP28-utc_offset/24,"HH")&amp;search_regexp&amp;""""</f>
        <v>#REF!</v>
      </c>
      <c r="ELN28" s="234" t="e">
        <f>astrogrep_path&amp;" /e /r /s /spath="&amp;search_path&amp;" /stypes=""app*"&amp;EKJ28&amp;"*"&amp;TEXT(EKQ28-utc_offset/24,"YYYYMMDD")&amp;"*"" /stext="" "&amp;TEXT(EKQ28-utc_offset/24,"HH")&amp;search_regexp&amp;""""</f>
        <v>#REF!</v>
      </c>
      <c r="ELO28" s="234" t="e">
        <f>astrogrep_path&amp;" /e /r /s /spath="&amp;search_path&amp;" /stypes=""app*"&amp;EKK28&amp;"*"&amp;TEXT(EKR28-utc_offset/24,"YYYYMMDD")&amp;"*"" /stext="" "&amp;TEXT(EKR28-utc_offset/24,"HH")&amp;search_regexp&amp;""""</f>
        <v>#REF!</v>
      </c>
      <c r="ELP28" s="234" t="e">
        <f>astrogrep_path&amp;" /e /r /s /spath="&amp;search_path&amp;" /stypes=""app*"&amp;EKL28&amp;"*"&amp;TEXT(EKS28-utc_offset/24,"YYYYMMDD")&amp;"*"" /stext="" "&amp;TEXT(EKS28-utc_offset/24,"HH")&amp;search_regexp&amp;""""</f>
        <v>#REF!</v>
      </c>
      <c r="ELQ28" s="234" t="e">
        <f>astrogrep_path&amp;" /e /r /s /spath="&amp;search_path&amp;" /stypes=""app*"&amp;EKM28&amp;"*"&amp;TEXT(EKT28-utc_offset/24,"YYYYMMDD")&amp;"*"" /stext="" "&amp;TEXT(EKT28-utc_offset/24,"HH")&amp;search_regexp&amp;""""</f>
        <v>#REF!</v>
      </c>
      <c r="ELR28" s="234" t="e">
        <f>astrogrep_path&amp;" /e /r /s /spath="&amp;search_path&amp;" /stypes=""app*"&amp;EKN28&amp;"*"&amp;TEXT(EKU28-utc_offset/24,"YYYYMMDD")&amp;"*"" /stext="" "&amp;TEXT(EKU28-utc_offset/24,"HH")&amp;search_regexp&amp;""""</f>
        <v>#REF!</v>
      </c>
      <c r="ELS28" s="234" t="e">
        <f>astrogrep_path&amp;" /e /r /s /spath="&amp;search_path&amp;" /stypes=""app*"&amp;EKO28&amp;"*"&amp;TEXT(EKV28-utc_offset/24,"YYYYMMDD")&amp;"*"" /stext="" "&amp;TEXT(EKV28-utc_offset/24,"HH")&amp;search_regexp&amp;""""</f>
        <v>#REF!</v>
      </c>
      <c r="ELT28" s="234" t="e">
        <f>astrogrep_path&amp;" /e /r /s /spath="&amp;search_path&amp;" /stypes=""app*"&amp;EKP28&amp;"*"&amp;TEXT(EKW28-utc_offset/24,"YYYYMMDD")&amp;"*"" /stext="" "&amp;TEXT(EKW28-utc_offset/24,"HH")&amp;search_regexp&amp;""""</f>
        <v>#REF!</v>
      </c>
      <c r="ELU28" s="234" t="e">
        <f>astrogrep_path&amp;" /e /r /s /spath="&amp;search_path&amp;" /stypes=""app*"&amp;EKQ28&amp;"*"&amp;TEXT(EKX28-utc_offset/24,"YYYYMMDD")&amp;"*"" /stext="" "&amp;TEXT(EKX28-utc_offset/24,"HH")&amp;search_regexp&amp;""""</f>
        <v>#REF!</v>
      </c>
      <c r="ELV28" s="234" t="e">
        <f>astrogrep_path&amp;" /e /r /s /spath="&amp;search_path&amp;" /stypes=""app*"&amp;EKR28&amp;"*"&amp;TEXT(EKY28-utc_offset/24,"YYYYMMDD")&amp;"*"" /stext="" "&amp;TEXT(EKY28-utc_offset/24,"HH")&amp;search_regexp&amp;""""</f>
        <v>#REF!</v>
      </c>
      <c r="ELW28" s="234" t="e">
        <f>astrogrep_path&amp;" /e /r /s /spath="&amp;search_path&amp;" /stypes=""app*"&amp;EKS28&amp;"*"&amp;TEXT(EKZ28-utc_offset/24,"YYYYMMDD")&amp;"*"" /stext="" "&amp;TEXT(EKZ28-utc_offset/24,"HH")&amp;search_regexp&amp;""""</f>
        <v>#REF!</v>
      </c>
      <c r="ELX28" s="234" t="e">
        <f>astrogrep_path&amp;" /e /r /s /spath="&amp;search_path&amp;" /stypes=""app*"&amp;EKT28&amp;"*"&amp;TEXT(ELA28-utc_offset/24,"YYYYMMDD")&amp;"*"" /stext="" "&amp;TEXT(ELA28-utc_offset/24,"HH")&amp;search_regexp&amp;""""</f>
        <v>#REF!</v>
      </c>
      <c r="ELY28" s="234" t="e">
        <f>astrogrep_path&amp;" /e /r /s /spath="&amp;search_path&amp;" /stypes=""app*"&amp;EKU28&amp;"*"&amp;TEXT(ELB28-utc_offset/24,"YYYYMMDD")&amp;"*"" /stext="" "&amp;TEXT(ELB28-utc_offset/24,"HH")&amp;search_regexp&amp;""""</f>
        <v>#REF!</v>
      </c>
      <c r="ELZ28" s="234" t="e">
        <f>astrogrep_path&amp;" /e /r /s /spath="&amp;search_path&amp;" /stypes=""app*"&amp;EKV28&amp;"*"&amp;TEXT(ELC28-utc_offset/24,"YYYYMMDD")&amp;"*"" /stext="" "&amp;TEXT(ELC28-utc_offset/24,"HH")&amp;search_regexp&amp;""""</f>
        <v>#REF!</v>
      </c>
      <c r="EMA28" s="234" t="e">
        <f>astrogrep_path&amp;" /e /r /s /spath="&amp;search_path&amp;" /stypes=""app*"&amp;EKW28&amp;"*"&amp;TEXT(ELD28-utc_offset/24,"YYYYMMDD")&amp;"*"" /stext="" "&amp;TEXT(ELD28-utc_offset/24,"HH")&amp;search_regexp&amp;""""</f>
        <v>#REF!</v>
      </c>
      <c r="EMB28" s="234" t="e">
        <f>astrogrep_path&amp;" /e /r /s /spath="&amp;search_path&amp;" /stypes=""app*"&amp;EKX28&amp;"*"&amp;TEXT(ELE28-utc_offset/24,"YYYYMMDD")&amp;"*"" /stext="" "&amp;TEXT(ELE28-utc_offset/24,"HH")&amp;search_regexp&amp;""""</f>
        <v>#REF!</v>
      </c>
      <c r="EMC28" s="234" t="e">
        <f>astrogrep_path&amp;" /e /r /s /spath="&amp;search_path&amp;" /stypes=""app*"&amp;EKY28&amp;"*"&amp;TEXT(ELF28-utc_offset/24,"YYYYMMDD")&amp;"*"" /stext="" "&amp;TEXT(ELF28-utc_offset/24,"HH")&amp;search_regexp&amp;""""</f>
        <v>#VALUE!</v>
      </c>
      <c r="EMD28" s="234" t="e">
        <f>astrogrep_path&amp;" /e /r /s /spath="&amp;search_path&amp;" /stypes=""app*"&amp;EKZ28&amp;"*"&amp;TEXT(ELG28-utc_offset/24,"YYYYMMDD")&amp;"*"" /stext="" "&amp;TEXT(ELG28-utc_offset/24,"HH")&amp;search_regexp&amp;""""</f>
        <v>#VALUE!</v>
      </c>
      <c r="EME28" s="234" t="e">
        <f>astrogrep_path&amp;" /e /r /s /spath="&amp;search_path&amp;" /stypes=""app*"&amp;ELA28&amp;"*"&amp;TEXT(ELH28-utc_offset/24,"YYYYMMDD")&amp;"*"" /stext="" "&amp;TEXT(ELH28-utc_offset/24,"HH")&amp;search_regexp&amp;""""</f>
        <v>#REF!</v>
      </c>
      <c r="EMF28" s="234" t="e">
        <f>astrogrep_path&amp;" /e /r /s /spath="&amp;search_path&amp;" /stypes=""app*"&amp;ELB28&amp;"*"&amp;TEXT(ELI28-utc_offset/24,"YYYYMMDD")&amp;"*"" /stext="" "&amp;TEXT(ELI28-utc_offset/24,"HH")&amp;search_regexp&amp;""""</f>
        <v>#REF!</v>
      </c>
      <c r="EMG28" s="234" t="e">
        <f>astrogrep_path&amp;" /e /r /s /spath="&amp;search_path&amp;" /stypes=""app*"&amp;ELC28&amp;"*"&amp;TEXT(ELJ28-utc_offset/24,"YYYYMMDD")&amp;"*"" /stext="" "&amp;TEXT(ELJ28-utc_offset/24,"HH")&amp;search_regexp&amp;""""</f>
        <v>#VALUE!</v>
      </c>
      <c r="EMH28" s="234" t="e">
        <f>astrogrep_path&amp;" /e /r /s /spath="&amp;search_path&amp;" /stypes=""app*"&amp;ELD28&amp;"*"&amp;TEXT(ELK28-utc_offset/24,"YYYYMMDD")&amp;"*"" /stext="" "&amp;TEXT(ELK28-utc_offset/24,"HH")&amp;search_regexp&amp;""""</f>
        <v>#VALUE!</v>
      </c>
      <c r="EMI28" s="234" t="e">
        <f>astrogrep_path&amp;" /e /r /s /spath="&amp;search_path&amp;" /stypes=""app*"&amp;ELE28&amp;"*"&amp;TEXT(ELL28-utc_offset/24,"YYYYMMDD")&amp;"*"" /stext="" "&amp;TEXT(ELL28-utc_offset/24,"HH")&amp;search_regexp&amp;""""</f>
        <v>#VALUE!</v>
      </c>
      <c r="EMJ28" s="234" t="e">
        <f>astrogrep_path&amp;" /e /r /s /spath="&amp;search_path&amp;" /stypes=""app*"&amp;ELF28&amp;"*"&amp;TEXT(ELM28-utc_offset/24,"YYYYMMDD")&amp;"*"" /stext="" "&amp;TEXT(ELM28-utc_offset/24,"HH")&amp;search_regexp&amp;""""</f>
        <v>#VALUE!</v>
      </c>
      <c r="EMK28" s="234" t="e">
        <f>astrogrep_path&amp;" /e /r /s /spath="&amp;search_path&amp;" /stypes=""app*"&amp;ELG28&amp;"*"&amp;TEXT(ELN28-utc_offset/24,"YYYYMMDD")&amp;"*"" /stext="" "&amp;TEXT(ELN28-utc_offset/24,"HH")&amp;search_regexp&amp;""""</f>
        <v>#VALUE!</v>
      </c>
      <c r="EML28" s="234" t="e">
        <f>astrogrep_path&amp;" /e /r /s /spath="&amp;search_path&amp;" /stypes=""app*"&amp;ELH28&amp;"*"&amp;TEXT(ELO28-utc_offset/24,"YYYYMMDD")&amp;"*"" /stext="" "&amp;TEXT(ELO28-utc_offset/24,"HH")&amp;search_regexp&amp;""""</f>
        <v>#REF!</v>
      </c>
      <c r="EMM28" s="234" t="e">
        <f>astrogrep_path&amp;" /e /r /s /spath="&amp;search_path&amp;" /stypes=""app*"&amp;ELI28&amp;"*"&amp;TEXT(ELP28-utc_offset/24,"YYYYMMDD")&amp;"*"" /stext="" "&amp;TEXT(ELP28-utc_offset/24,"HH")&amp;search_regexp&amp;""""</f>
        <v>#REF!</v>
      </c>
      <c r="EMN28" s="234" t="e">
        <f>astrogrep_path&amp;" /e /r /s /spath="&amp;search_path&amp;" /stypes=""app*"&amp;ELJ28&amp;"*"&amp;TEXT(ELQ28-utc_offset/24,"YYYYMMDD")&amp;"*"" /stext="" "&amp;TEXT(ELQ28-utc_offset/24,"HH")&amp;search_regexp&amp;""""</f>
        <v>#REF!</v>
      </c>
      <c r="EMO28" s="234" t="e">
        <f>astrogrep_path&amp;" /e /r /s /spath="&amp;search_path&amp;" /stypes=""app*"&amp;ELK28&amp;"*"&amp;TEXT(ELR28-utc_offset/24,"YYYYMMDD")&amp;"*"" /stext="" "&amp;TEXT(ELR28-utc_offset/24,"HH")&amp;search_regexp&amp;""""</f>
        <v>#REF!</v>
      </c>
      <c r="EMP28" s="234" t="e">
        <f>astrogrep_path&amp;" /e /r /s /spath="&amp;search_path&amp;" /stypes=""app*"&amp;ELL28&amp;"*"&amp;TEXT(ELS28-utc_offset/24,"YYYYMMDD")&amp;"*"" /stext="" "&amp;TEXT(ELS28-utc_offset/24,"HH")&amp;search_regexp&amp;""""</f>
        <v>#REF!</v>
      </c>
      <c r="EMQ28" s="234" t="e">
        <f>astrogrep_path&amp;" /e /r /s /spath="&amp;search_path&amp;" /stypes=""app*"&amp;ELM28&amp;"*"&amp;TEXT(ELT28-utc_offset/24,"YYYYMMDD")&amp;"*"" /stext="" "&amp;TEXT(ELT28-utc_offset/24,"HH")&amp;search_regexp&amp;""""</f>
        <v>#REF!</v>
      </c>
      <c r="EMR28" s="234" t="e">
        <f>astrogrep_path&amp;" /e /r /s /spath="&amp;search_path&amp;" /stypes=""app*"&amp;ELN28&amp;"*"&amp;TEXT(ELU28-utc_offset/24,"YYYYMMDD")&amp;"*"" /stext="" "&amp;TEXT(ELU28-utc_offset/24,"HH")&amp;search_regexp&amp;""""</f>
        <v>#REF!</v>
      </c>
      <c r="EMS28" s="234" t="e">
        <f>astrogrep_path&amp;" /e /r /s /spath="&amp;search_path&amp;" /stypes=""app*"&amp;ELO28&amp;"*"&amp;TEXT(ELV28-utc_offset/24,"YYYYMMDD")&amp;"*"" /stext="" "&amp;TEXT(ELV28-utc_offset/24,"HH")&amp;search_regexp&amp;""""</f>
        <v>#REF!</v>
      </c>
      <c r="EMT28" s="234" t="e">
        <f>astrogrep_path&amp;" /e /r /s /spath="&amp;search_path&amp;" /stypes=""app*"&amp;ELP28&amp;"*"&amp;TEXT(ELW28-utc_offset/24,"YYYYMMDD")&amp;"*"" /stext="" "&amp;TEXT(ELW28-utc_offset/24,"HH")&amp;search_regexp&amp;""""</f>
        <v>#REF!</v>
      </c>
      <c r="EMU28" s="234" t="e">
        <f>astrogrep_path&amp;" /e /r /s /spath="&amp;search_path&amp;" /stypes=""app*"&amp;ELQ28&amp;"*"&amp;TEXT(ELX28-utc_offset/24,"YYYYMMDD")&amp;"*"" /stext="" "&amp;TEXT(ELX28-utc_offset/24,"HH")&amp;search_regexp&amp;""""</f>
        <v>#REF!</v>
      </c>
      <c r="EMV28" s="234" t="e">
        <f>astrogrep_path&amp;" /e /r /s /spath="&amp;search_path&amp;" /stypes=""app*"&amp;ELR28&amp;"*"&amp;TEXT(ELY28-utc_offset/24,"YYYYMMDD")&amp;"*"" /stext="" "&amp;TEXT(ELY28-utc_offset/24,"HH")&amp;search_regexp&amp;""""</f>
        <v>#REF!</v>
      </c>
      <c r="EMW28" s="234" t="e">
        <f>astrogrep_path&amp;" /e /r /s /spath="&amp;search_path&amp;" /stypes=""app*"&amp;ELS28&amp;"*"&amp;TEXT(ELZ28-utc_offset/24,"YYYYMMDD")&amp;"*"" /stext="" "&amp;TEXT(ELZ28-utc_offset/24,"HH")&amp;search_regexp&amp;""""</f>
        <v>#REF!</v>
      </c>
      <c r="EMX28" s="234" t="e">
        <f>astrogrep_path&amp;" /e /r /s /spath="&amp;search_path&amp;" /stypes=""app*"&amp;ELT28&amp;"*"&amp;TEXT(EMA28-utc_offset/24,"YYYYMMDD")&amp;"*"" /stext="" "&amp;TEXT(EMA28-utc_offset/24,"HH")&amp;search_regexp&amp;""""</f>
        <v>#REF!</v>
      </c>
      <c r="EMY28" s="234" t="e">
        <f>astrogrep_path&amp;" /e /r /s /spath="&amp;search_path&amp;" /stypes=""app*"&amp;ELU28&amp;"*"&amp;TEXT(EMB28-utc_offset/24,"YYYYMMDD")&amp;"*"" /stext="" "&amp;TEXT(EMB28-utc_offset/24,"HH")&amp;search_regexp&amp;""""</f>
        <v>#REF!</v>
      </c>
      <c r="EMZ28" s="234" t="e">
        <f>astrogrep_path&amp;" /e /r /s /spath="&amp;search_path&amp;" /stypes=""app*"&amp;ELV28&amp;"*"&amp;TEXT(EMC28-utc_offset/24,"YYYYMMDD")&amp;"*"" /stext="" "&amp;TEXT(EMC28-utc_offset/24,"HH")&amp;search_regexp&amp;""""</f>
        <v>#REF!</v>
      </c>
      <c r="ENA28" s="234" t="e">
        <f>astrogrep_path&amp;" /e /r /s /spath="&amp;search_path&amp;" /stypes=""app*"&amp;ELW28&amp;"*"&amp;TEXT(EMD28-utc_offset/24,"YYYYMMDD")&amp;"*"" /stext="" "&amp;TEXT(EMD28-utc_offset/24,"HH")&amp;search_regexp&amp;""""</f>
        <v>#REF!</v>
      </c>
      <c r="ENB28" s="234" t="e">
        <f>astrogrep_path&amp;" /e /r /s /spath="&amp;search_path&amp;" /stypes=""app*"&amp;ELX28&amp;"*"&amp;TEXT(EME28-utc_offset/24,"YYYYMMDD")&amp;"*"" /stext="" "&amp;TEXT(EME28-utc_offset/24,"HH")&amp;search_regexp&amp;""""</f>
        <v>#REF!</v>
      </c>
      <c r="ENC28" s="234" t="e">
        <f>astrogrep_path&amp;" /e /r /s /spath="&amp;search_path&amp;" /stypes=""app*"&amp;ELY28&amp;"*"&amp;TEXT(EMF28-utc_offset/24,"YYYYMMDD")&amp;"*"" /stext="" "&amp;TEXT(EMF28-utc_offset/24,"HH")&amp;search_regexp&amp;""""</f>
        <v>#REF!</v>
      </c>
      <c r="END28" s="234" t="e">
        <f>astrogrep_path&amp;" /e /r /s /spath="&amp;search_path&amp;" /stypes=""app*"&amp;ELZ28&amp;"*"&amp;TEXT(EMG28-utc_offset/24,"YYYYMMDD")&amp;"*"" /stext="" "&amp;TEXT(EMG28-utc_offset/24,"HH")&amp;search_regexp&amp;""""</f>
        <v>#REF!</v>
      </c>
      <c r="ENE28" s="234" t="e">
        <f>astrogrep_path&amp;" /e /r /s /spath="&amp;search_path&amp;" /stypes=""app*"&amp;EMA28&amp;"*"&amp;TEXT(EMH28-utc_offset/24,"YYYYMMDD")&amp;"*"" /stext="" "&amp;TEXT(EMH28-utc_offset/24,"HH")&amp;search_regexp&amp;""""</f>
        <v>#REF!</v>
      </c>
      <c r="ENF28" s="234" t="e">
        <f>astrogrep_path&amp;" /e /r /s /spath="&amp;search_path&amp;" /stypes=""app*"&amp;EMB28&amp;"*"&amp;TEXT(EMI28-utc_offset/24,"YYYYMMDD")&amp;"*"" /stext="" "&amp;TEXT(EMI28-utc_offset/24,"HH")&amp;search_regexp&amp;""""</f>
        <v>#REF!</v>
      </c>
      <c r="ENG28" s="234" t="e">
        <f>astrogrep_path&amp;" /e /r /s /spath="&amp;search_path&amp;" /stypes=""app*"&amp;EMC28&amp;"*"&amp;TEXT(EMJ28-utc_offset/24,"YYYYMMDD")&amp;"*"" /stext="" "&amp;TEXT(EMJ28-utc_offset/24,"HH")&amp;search_regexp&amp;""""</f>
        <v>#VALUE!</v>
      </c>
      <c r="ENH28" s="234" t="e">
        <f>astrogrep_path&amp;" /e /r /s /spath="&amp;search_path&amp;" /stypes=""app*"&amp;EMD28&amp;"*"&amp;TEXT(EMK28-utc_offset/24,"YYYYMMDD")&amp;"*"" /stext="" "&amp;TEXT(EMK28-utc_offset/24,"HH")&amp;search_regexp&amp;""""</f>
        <v>#VALUE!</v>
      </c>
      <c r="ENI28" s="234" t="e">
        <f>astrogrep_path&amp;" /e /r /s /spath="&amp;search_path&amp;" /stypes=""app*"&amp;EME28&amp;"*"&amp;TEXT(EML28-utc_offset/24,"YYYYMMDD")&amp;"*"" /stext="" "&amp;TEXT(EML28-utc_offset/24,"HH")&amp;search_regexp&amp;""""</f>
        <v>#REF!</v>
      </c>
      <c r="ENJ28" s="234" t="e">
        <f>astrogrep_path&amp;" /e /r /s /spath="&amp;search_path&amp;" /stypes=""app*"&amp;EMF28&amp;"*"&amp;TEXT(EMM28-utc_offset/24,"YYYYMMDD")&amp;"*"" /stext="" "&amp;TEXT(EMM28-utc_offset/24,"HH")&amp;search_regexp&amp;""""</f>
        <v>#REF!</v>
      </c>
      <c r="ENK28" s="234" t="e">
        <f>astrogrep_path&amp;" /e /r /s /spath="&amp;search_path&amp;" /stypes=""app*"&amp;EMG28&amp;"*"&amp;TEXT(EMN28-utc_offset/24,"YYYYMMDD")&amp;"*"" /stext="" "&amp;TEXT(EMN28-utc_offset/24,"HH")&amp;search_regexp&amp;""""</f>
        <v>#VALUE!</v>
      </c>
      <c r="ENL28" s="234" t="e">
        <f>astrogrep_path&amp;" /e /r /s /spath="&amp;search_path&amp;" /stypes=""app*"&amp;EMH28&amp;"*"&amp;TEXT(EMO28-utc_offset/24,"YYYYMMDD")&amp;"*"" /stext="" "&amp;TEXT(EMO28-utc_offset/24,"HH")&amp;search_regexp&amp;""""</f>
        <v>#VALUE!</v>
      </c>
      <c r="ENM28" s="234" t="e">
        <f>astrogrep_path&amp;" /e /r /s /spath="&amp;search_path&amp;" /stypes=""app*"&amp;EMI28&amp;"*"&amp;TEXT(EMP28-utc_offset/24,"YYYYMMDD")&amp;"*"" /stext="" "&amp;TEXT(EMP28-utc_offset/24,"HH")&amp;search_regexp&amp;""""</f>
        <v>#VALUE!</v>
      </c>
      <c r="ENN28" s="234" t="e">
        <f>astrogrep_path&amp;" /e /r /s /spath="&amp;search_path&amp;" /stypes=""app*"&amp;EMJ28&amp;"*"&amp;TEXT(EMQ28-utc_offset/24,"YYYYMMDD")&amp;"*"" /stext="" "&amp;TEXT(EMQ28-utc_offset/24,"HH")&amp;search_regexp&amp;""""</f>
        <v>#VALUE!</v>
      </c>
      <c r="ENO28" s="234" t="e">
        <f>astrogrep_path&amp;" /e /r /s /spath="&amp;search_path&amp;" /stypes=""app*"&amp;EMK28&amp;"*"&amp;TEXT(EMR28-utc_offset/24,"YYYYMMDD")&amp;"*"" /stext="" "&amp;TEXT(EMR28-utc_offset/24,"HH")&amp;search_regexp&amp;""""</f>
        <v>#VALUE!</v>
      </c>
      <c r="ENP28" s="234" t="e">
        <f>astrogrep_path&amp;" /e /r /s /spath="&amp;search_path&amp;" /stypes=""app*"&amp;EML28&amp;"*"&amp;TEXT(EMS28-utc_offset/24,"YYYYMMDD")&amp;"*"" /stext="" "&amp;TEXT(EMS28-utc_offset/24,"HH")&amp;search_regexp&amp;""""</f>
        <v>#REF!</v>
      </c>
      <c r="ENQ28" s="234" t="e">
        <f>astrogrep_path&amp;" /e /r /s /spath="&amp;search_path&amp;" /stypes=""app*"&amp;EMM28&amp;"*"&amp;TEXT(EMT28-utc_offset/24,"YYYYMMDD")&amp;"*"" /stext="" "&amp;TEXT(EMT28-utc_offset/24,"HH")&amp;search_regexp&amp;""""</f>
        <v>#REF!</v>
      </c>
      <c r="ENR28" s="234" t="e">
        <f>astrogrep_path&amp;" /e /r /s /spath="&amp;search_path&amp;" /stypes=""app*"&amp;EMN28&amp;"*"&amp;TEXT(EMU28-utc_offset/24,"YYYYMMDD")&amp;"*"" /stext="" "&amp;TEXT(EMU28-utc_offset/24,"HH")&amp;search_regexp&amp;""""</f>
        <v>#REF!</v>
      </c>
      <c r="ENS28" s="234" t="e">
        <f>astrogrep_path&amp;" /e /r /s /spath="&amp;search_path&amp;" /stypes=""app*"&amp;EMO28&amp;"*"&amp;TEXT(EMV28-utc_offset/24,"YYYYMMDD")&amp;"*"" /stext="" "&amp;TEXT(EMV28-utc_offset/24,"HH")&amp;search_regexp&amp;""""</f>
        <v>#REF!</v>
      </c>
      <c r="ENT28" s="234" t="e">
        <f>astrogrep_path&amp;" /e /r /s /spath="&amp;search_path&amp;" /stypes=""app*"&amp;EMP28&amp;"*"&amp;TEXT(EMW28-utc_offset/24,"YYYYMMDD")&amp;"*"" /stext="" "&amp;TEXT(EMW28-utc_offset/24,"HH")&amp;search_regexp&amp;""""</f>
        <v>#REF!</v>
      </c>
      <c r="ENU28" s="234" t="e">
        <f>astrogrep_path&amp;" /e /r /s /spath="&amp;search_path&amp;" /stypes=""app*"&amp;EMQ28&amp;"*"&amp;TEXT(EMX28-utc_offset/24,"YYYYMMDD")&amp;"*"" /stext="" "&amp;TEXT(EMX28-utc_offset/24,"HH")&amp;search_regexp&amp;""""</f>
        <v>#REF!</v>
      </c>
      <c r="ENV28" s="234" t="e">
        <f>astrogrep_path&amp;" /e /r /s /spath="&amp;search_path&amp;" /stypes=""app*"&amp;EMR28&amp;"*"&amp;TEXT(EMY28-utc_offset/24,"YYYYMMDD")&amp;"*"" /stext="" "&amp;TEXT(EMY28-utc_offset/24,"HH")&amp;search_regexp&amp;""""</f>
        <v>#REF!</v>
      </c>
      <c r="ENW28" s="234" t="e">
        <f>astrogrep_path&amp;" /e /r /s /spath="&amp;search_path&amp;" /stypes=""app*"&amp;EMS28&amp;"*"&amp;TEXT(EMZ28-utc_offset/24,"YYYYMMDD")&amp;"*"" /stext="" "&amp;TEXT(EMZ28-utc_offset/24,"HH")&amp;search_regexp&amp;""""</f>
        <v>#REF!</v>
      </c>
      <c r="ENX28" s="234" t="e">
        <f>astrogrep_path&amp;" /e /r /s /spath="&amp;search_path&amp;" /stypes=""app*"&amp;EMT28&amp;"*"&amp;TEXT(ENA28-utc_offset/24,"YYYYMMDD")&amp;"*"" /stext="" "&amp;TEXT(ENA28-utc_offset/24,"HH")&amp;search_regexp&amp;""""</f>
        <v>#REF!</v>
      </c>
      <c r="ENY28" s="234" t="e">
        <f>astrogrep_path&amp;" /e /r /s /spath="&amp;search_path&amp;" /stypes=""app*"&amp;EMU28&amp;"*"&amp;TEXT(ENB28-utc_offset/24,"YYYYMMDD")&amp;"*"" /stext="" "&amp;TEXT(ENB28-utc_offset/24,"HH")&amp;search_regexp&amp;""""</f>
        <v>#REF!</v>
      </c>
      <c r="ENZ28" s="234" t="e">
        <f>astrogrep_path&amp;" /e /r /s /spath="&amp;search_path&amp;" /stypes=""app*"&amp;EMV28&amp;"*"&amp;TEXT(ENC28-utc_offset/24,"YYYYMMDD")&amp;"*"" /stext="" "&amp;TEXT(ENC28-utc_offset/24,"HH")&amp;search_regexp&amp;""""</f>
        <v>#REF!</v>
      </c>
      <c r="EOA28" s="234" t="e">
        <f>astrogrep_path&amp;" /e /r /s /spath="&amp;search_path&amp;" /stypes=""app*"&amp;EMW28&amp;"*"&amp;TEXT(END28-utc_offset/24,"YYYYMMDD")&amp;"*"" /stext="" "&amp;TEXT(END28-utc_offset/24,"HH")&amp;search_regexp&amp;""""</f>
        <v>#REF!</v>
      </c>
      <c r="EOB28" s="234" t="e">
        <f>astrogrep_path&amp;" /e /r /s /spath="&amp;search_path&amp;" /stypes=""app*"&amp;EMX28&amp;"*"&amp;TEXT(ENE28-utc_offset/24,"YYYYMMDD")&amp;"*"" /stext="" "&amp;TEXT(ENE28-utc_offset/24,"HH")&amp;search_regexp&amp;""""</f>
        <v>#REF!</v>
      </c>
      <c r="EOC28" s="234" t="e">
        <f>astrogrep_path&amp;" /e /r /s /spath="&amp;search_path&amp;" /stypes=""app*"&amp;EMY28&amp;"*"&amp;TEXT(ENF28-utc_offset/24,"YYYYMMDD")&amp;"*"" /stext="" "&amp;TEXT(ENF28-utc_offset/24,"HH")&amp;search_regexp&amp;""""</f>
        <v>#REF!</v>
      </c>
      <c r="EOD28" s="234" t="e">
        <f>astrogrep_path&amp;" /e /r /s /spath="&amp;search_path&amp;" /stypes=""app*"&amp;EMZ28&amp;"*"&amp;TEXT(ENG28-utc_offset/24,"YYYYMMDD")&amp;"*"" /stext="" "&amp;TEXT(ENG28-utc_offset/24,"HH")&amp;search_regexp&amp;""""</f>
        <v>#REF!</v>
      </c>
      <c r="EOE28" s="234" t="e">
        <f>astrogrep_path&amp;" /e /r /s /spath="&amp;search_path&amp;" /stypes=""app*"&amp;ENA28&amp;"*"&amp;TEXT(ENH28-utc_offset/24,"YYYYMMDD")&amp;"*"" /stext="" "&amp;TEXT(ENH28-utc_offset/24,"HH")&amp;search_regexp&amp;""""</f>
        <v>#REF!</v>
      </c>
      <c r="EOF28" s="234" t="e">
        <f>astrogrep_path&amp;" /e /r /s /spath="&amp;search_path&amp;" /stypes=""app*"&amp;ENB28&amp;"*"&amp;TEXT(ENI28-utc_offset/24,"YYYYMMDD")&amp;"*"" /stext="" "&amp;TEXT(ENI28-utc_offset/24,"HH")&amp;search_regexp&amp;""""</f>
        <v>#REF!</v>
      </c>
      <c r="EOG28" s="234" t="e">
        <f>astrogrep_path&amp;" /e /r /s /spath="&amp;search_path&amp;" /stypes=""app*"&amp;ENC28&amp;"*"&amp;TEXT(ENJ28-utc_offset/24,"YYYYMMDD")&amp;"*"" /stext="" "&amp;TEXT(ENJ28-utc_offset/24,"HH")&amp;search_regexp&amp;""""</f>
        <v>#REF!</v>
      </c>
      <c r="EOH28" s="234" t="e">
        <f>astrogrep_path&amp;" /e /r /s /spath="&amp;search_path&amp;" /stypes=""app*"&amp;END28&amp;"*"&amp;TEXT(ENK28-utc_offset/24,"YYYYMMDD")&amp;"*"" /stext="" "&amp;TEXT(ENK28-utc_offset/24,"HH")&amp;search_regexp&amp;""""</f>
        <v>#REF!</v>
      </c>
      <c r="EOI28" s="234" t="e">
        <f>astrogrep_path&amp;" /e /r /s /spath="&amp;search_path&amp;" /stypes=""app*"&amp;ENE28&amp;"*"&amp;TEXT(ENL28-utc_offset/24,"YYYYMMDD")&amp;"*"" /stext="" "&amp;TEXT(ENL28-utc_offset/24,"HH")&amp;search_regexp&amp;""""</f>
        <v>#REF!</v>
      </c>
      <c r="EOJ28" s="234" t="e">
        <f>astrogrep_path&amp;" /e /r /s /spath="&amp;search_path&amp;" /stypes=""app*"&amp;ENF28&amp;"*"&amp;TEXT(ENM28-utc_offset/24,"YYYYMMDD")&amp;"*"" /stext="" "&amp;TEXT(ENM28-utc_offset/24,"HH")&amp;search_regexp&amp;""""</f>
        <v>#REF!</v>
      </c>
      <c r="EOK28" s="234" t="e">
        <f>astrogrep_path&amp;" /e /r /s /spath="&amp;search_path&amp;" /stypes=""app*"&amp;ENG28&amp;"*"&amp;TEXT(ENN28-utc_offset/24,"YYYYMMDD")&amp;"*"" /stext="" "&amp;TEXT(ENN28-utc_offset/24,"HH")&amp;search_regexp&amp;""""</f>
        <v>#VALUE!</v>
      </c>
      <c r="EOL28" s="234" t="e">
        <f>astrogrep_path&amp;" /e /r /s /spath="&amp;search_path&amp;" /stypes=""app*"&amp;ENH28&amp;"*"&amp;TEXT(ENO28-utc_offset/24,"YYYYMMDD")&amp;"*"" /stext="" "&amp;TEXT(ENO28-utc_offset/24,"HH")&amp;search_regexp&amp;""""</f>
        <v>#VALUE!</v>
      </c>
      <c r="EOM28" s="234" t="e">
        <f>astrogrep_path&amp;" /e /r /s /spath="&amp;search_path&amp;" /stypes=""app*"&amp;ENI28&amp;"*"&amp;TEXT(ENP28-utc_offset/24,"YYYYMMDD")&amp;"*"" /stext="" "&amp;TEXT(ENP28-utc_offset/24,"HH")&amp;search_regexp&amp;""""</f>
        <v>#REF!</v>
      </c>
      <c r="EON28" s="234" t="e">
        <f>astrogrep_path&amp;" /e /r /s /spath="&amp;search_path&amp;" /stypes=""app*"&amp;ENJ28&amp;"*"&amp;TEXT(ENQ28-utc_offset/24,"YYYYMMDD")&amp;"*"" /stext="" "&amp;TEXT(ENQ28-utc_offset/24,"HH")&amp;search_regexp&amp;""""</f>
        <v>#REF!</v>
      </c>
      <c r="EOO28" s="234" t="e">
        <f>astrogrep_path&amp;" /e /r /s /spath="&amp;search_path&amp;" /stypes=""app*"&amp;ENK28&amp;"*"&amp;TEXT(ENR28-utc_offset/24,"YYYYMMDD")&amp;"*"" /stext="" "&amp;TEXT(ENR28-utc_offset/24,"HH")&amp;search_regexp&amp;""""</f>
        <v>#VALUE!</v>
      </c>
      <c r="EOP28" s="234" t="e">
        <f>astrogrep_path&amp;" /e /r /s /spath="&amp;search_path&amp;" /stypes=""app*"&amp;ENL28&amp;"*"&amp;TEXT(ENS28-utc_offset/24,"YYYYMMDD")&amp;"*"" /stext="" "&amp;TEXT(ENS28-utc_offset/24,"HH")&amp;search_regexp&amp;""""</f>
        <v>#VALUE!</v>
      </c>
      <c r="EOQ28" s="234" t="e">
        <f>astrogrep_path&amp;" /e /r /s /spath="&amp;search_path&amp;" /stypes=""app*"&amp;ENM28&amp;"*"&amp;TEXT(ENT28-utc_offset/24,"YYYYMMDD")&amp;"*"" /stext="" "&amp;TEXT(ENT28-utc_offset/24,"HH")&amp;search_regexp&amp;""""</f>
        <v>#VALUE!</v>
      </c>
      <c r="EOR28" s="234" t="e">
        <f>astrogrep_path&amp;" /e /r /s /spath="&amp;search_path&amp;" /stypes=""app*"&amp;ENN28&amp;"*"&amp;TEXT(ENU28-utc_offset/24,"YYYYMMDD")&amp;"*"" /stext="" "&amp;TEXT(ENU28-utc_offset/24,"HH")&amp;search_regexp&amp;""""</f>
        <v>#VALUE!</v>
      </c>
      <c r="EOS28" s="234" t="e">
        <f>astrogrep_path&amp;" /e /r /s /spath="&amp;search_path&amp;" /stypes=""app*"&amp;ENO28&amp;"*"&amp;TEXT(ENV28-utc_offset/24,"YYYYMMDD")&amp;"*"" /stext="" "&amp;TEXT(ENV28-utc_offset/24,"HH")&amp;search_regexp&amp;""""</f>
        <v>#VALUE!</v>
      </c>
      <c r="EOT28" s="234" t="e">
        <f>astrogrep_path&amp;" /e /r /s /spath="&amp;search_path&amp;" /stypes=""app*"&amp;ENP28&amp;"*"&amp;TEXT(ENW28-utc_offset/24,"YYYYMMDD")&amp;"*"" /stext="" "&amp;TEXT(ENW28-utc_offset/24,"HH")&amp;search_regexp&amp;""""</f>
        <v>#REF!</v>
      </c>
      <c r="EOU28" s="234" t="e">
        <f>astrogrep_path&amp;" /e /r /s /spath="&amp;search_path&amp;" /stypes=""app*"&amp;ENQ28&amp;"*"&amp;TEXT(ENX28-utc_offset/24,"YYYYMMDD")&amp;"*"" /stext="" "&amp;TEXT(ENX28-utc_offset/24,"HH")&amp;search_regexp&amp;""""</f>
        <v>#REF!</v>
      </c>
      <c r="EOV28" s="234" t="e">
        <f>astrogrep_path&amp;" /e /r /s /spath="&amp;search_path&amp;" /stypes=""app*"&amp;ENR28&amp;"*"&amp;TEXT(ENY28-utc_offset/24,"YYYYMMDD")&amp;"*"" /stext="" "&amp;TEXT(ENY28-utc_offset/24,"HH")&amp;search_regexp&amp;""""</f>
        <v>#REF!</v>
      </c>
      <c r="EOW28" s="234" t="e">
        <f>astrogrep_path&amp;" /e /r /s /spath="&amp;search_path&amp;" /stypes=""app*"&amp;ENS28&amp;"*"&amp;TEXT(ENZ28-utc_offset/24,"YYYYMMDD")&amp;"*"" /stext="" "&amp;TEXT(ENZ28-utc_offset/24,"HH")&amp;search_regexp&amp;""""</f>
        <v>#REF!</v>
      </c>
      <c r="EOX28" s="234" t="e">
        <f>astrogrep_path&amp;" /e /r /s /spath="&amp;search_path&amp;" /stypes=""app*"&amp;ENT28&amp;"*"&amp;TEXT(EOA28-utc_offset/24,"YYYYMMDD")&amp;"*"" /stext="" "&amp;TEXT(EOA28-utc_offset/24,"HH")&amp;search_regexp&amp;""""</f>
        <v>#REF!</v>
      </c>
      <c r="EOY28" s="234" t="e">
        <f>astrogrep_path&amp;" /e /r /s /spath="&amp;search_path&amp;" /stypes=""app*"&amp;ENU28&amp;"*"&amp;TEXT(EOB28-utc_offset/24,"YYYYMMDD")&amp;"*"" /stext="" "&amp;TEXT(EOB28-utc_offset/24,"HH")&amp;search_regexp&amp;""""</f>
        <v>#REF!</v>
      </c>
      <c r="EOZ28" s="234" t="e">
        <f>astrogrep_path&amp;" /e /r /s /spath="&amp;search_path&amp;" /stypes=""app*"&amp;ENV28&amp;"*"&amp;TEXT(EOC28-utc_offset/24,"YYYYMMDD")&amp;"*"" /stext="" "&amp;TEXT(EOC28-utc_offset/24,"HH")&amp;search_regexp&amp;""""</f>
        <v>#REF!</v>
      </c>
      <c r="EPA28" s="234" t="e">
        <f>astrogrep_path&amp;" /e /r /s /spath="&amp;search_path&amp;" /stypes=""app*"&amp;ENW28&amp;"*"&amp;TEXT(EOD28-utc_offset/24,"YYYYMMDD")&amp;"*"" /stext="" "&amp;TEXT(EOD28-utc_offset/24,"HH")&amp;search_regexp&amp;""""</f>
        <v>#REF!</v>
      </c>
      <c r="EPB28" s="234" t="e">
        <f>astrogrep_path&amp;" /e /r /s /spath="&amp;search_path&amp;" /stypes=""app*"&amp;ENX28&amp;"*"&amp;TEXT(EOE28-utc_offset/24,"YYYYMMDD")&amp;"*"" /stext="" "&amp;TEXT(EOE28-utc_offset/24,"HH")&amp;search_regexp&amp;""""</f>
        <v>#REF!</v>
      </c>
      <c r="EPC28" s="234" t="e">
        <f>astrogrep_path&amp;" /e /r /s /spath="&amp;search_path&amp;" /stypes=""app*"&amp;ENY28&amp;"*"&amp;TEXT(EOF28-utc_offset/24,"YYYYMMDD")&amp;"*"" /stext="" "&amp;TEXT(EOF28-utc_offset/24,"HH")&amp;search_regexp&amp;""""</f>
        <v>#REF!</v>
      </c>
      <c r="EPD28" s="234" t="e">
        <f>astrogrep_path&amp;" /e /r /s /spath="&amp;search_path&amp;" /stypes=""app*"&amp;ENZ28&amp;"*"&amp;TEXT(EOG28-utc_offset/24,"YYYYMMDD")&amp;"*"" /stext="" "&amp;TEXT(EOG28-utc_offset/24,"HH")&amp;search_regexp&amp;""""</f>
        <v>#REF!</v>
      </c>
      <c r="EPE28" s="234" t="e">
        <f>astrogrep_path&amp;" /e /r /s /spath="&amp;search_path&amp;" /stypes=""app*"&amp;EOA28&amp;"*"&amp;TEXT(EOH28-utc_offset/24,"YYYYMMDD")&amp;"*"" /stext="" "&amp;TEXT(EOH28-utc_offset/24,"HH")&amp;search_regexp&amp;""""</f>
        <v>#REF!</v>
      </c>
      <c r="EPF28" s="234" t="e">
        <f>astrogrep_path&amp;" /e /r /s /spath="&amp;search_path&amp;" /stypes=""app*"&amp;EOB28&amp;"*"&amp;TEXT(EOI28-utc_offset/24,"YYYYMMDD")&amp;"*"" /stext="" "&amp;TEXT(EOI28-utc_offset/24,"HH")&amp;search_regexp&amp;""""</f>
        <v>#REF!</v>
      </c>
      <c r="EPG28" s="234" t="e">
        <f>astrogrep_path&amp;" /e /r /s /spath="&amp;search_path&amp;" /stypes=""app*"&amp;EOC28&amp;"*"&amp;TEXT(EOJ28-utc_offset/24,"YYYYMMDD")&amp;"*"" /stext="" "&amp;TEXT(EOJ28-utc_offset/24,"HH")&amp;search_regexp&amp;""""</f>
        <v>#REF!</v>
      </c>
      <c r="EPH28" s="234" t="e">
        <f>astrogrep_path&amp;" /e /r /s /spath="&amp;search_path&amp;" /stypes=""app*"&amp;EOD28&amp;"*"&amp;TEXT(EOK28-utc_offset/24,"YYYYMMDD")&amp;"*"" /stext="" "&amp;TEXT(EOK28-utc_offset/24,"HH")&amp;search_regexp&amp;""""</f>
        <v>#REF!</v>
      </c>
      <c r="EPI28" s="234" t="e">
        <f>astrogrep_path&amp;" /e /r /s /spath="&amp;search_path&amp;" /stypes=""app*"&amp;EOE28&amp;"*"&amp;TEXT(EOL28-utc_offset/24,"YYYYMMDD")&amp;"*"" /stext="" "&amp;TEXT(EOL28-utc_offset/24,"HH")&amp;search_regexp&amp;""""</f>
        <v>#REF!</v>
      </c>
      <c r="EPJ28" s="234" t="e">
        <f>astrogrep_path&amp;" /e /r /s /spath="&amp;search_path&amp;" /stypes=""app*"&amp;EOF28&amp;"*"&amp;TEXT(EOM28-utc_offset/24,"YYYYMMDD")&amp;"*"" /stext="" "&amp;TEXT(EOM28-utc_offset/24,"HH")&amp;search_regexp&amp;""""</f>
        <v>#REF!</v>
      </c>
      <c r="EPK28" s="234" t="e">
        <f>astrogrep_path&amp;" /e /r /s /spath="&amp;search_path&amp;" /stypes=""app*"&amp;EOG28&amp;"*"&amp;TEXT(EON28-utc_offset/24,"YYYYMMDD")&amp;"*"" /stext="" "&amp;TEXT(EON28-utc_offset/24,"HH")&amp;search_regexp&amp;""""</f>
        <v>#REF!</v>
      </c>
      <c r="EPL28" s="234" t="e">
        <f>astrogrep_path&amp;" /e /r /s /spath="&amp;search_path&amp;" /stypes=""app*"&amp;EOH28&amp;"*"&amp;TEXT(EOO28-utc_offset/24,"YYYYMMDD")&amp;"*"" /stext="" "&amp;TEXT(EOO28-utc_offset/24,"HH")&amp;search_regexp&amp;""""</f>
        <v>#REF!</v>
      </c>
      <c r="EPM28" s="234" t="e">
        <f>astrogrep_path&amp;" /e /r /s /spath="&amp;search_path&amp;" /stypes=""app*"&amp;EOI28&amp;"*"&amp;TEXT(EOP28-utc_offset/24,"YYYYMMDD")&amp;"*"" /stext="" "&amp;TEXT(EOP28-utc_offset/24,"HH")&amp;search_regexp&amp;""""</f>
        <v>#REF!</v>
      </c>
      <c r="EPN28" s="234" t="e">
        <f>astrogrep_path&amp;" /e /r /s /spath="&amp;search_path&amp;" /stypes=""app*"&amp;EOJ28&amp;"*"&amp;TEXT(EOQ28-utc_offset/24,"YYYYMMDD")&amp;"*"" /stext="" "&amp;TEXT(EOQ28-utc_offset/24,"HH")&amp;search_regexp&amp;""""</f>
        <v>#REF!</v>
      </c>
      <c r="EPO28" s="234" t="e">
        <f>astrogrep_path&amp;" /e /r /s /spath="&amp;search_path&amp;" /stypes=""app*"&amp;EOK28&amp;"*"&amp;TEXT(EOR28-utc_offset/24,"YYYYMMDD")&amp;"*"" /stext="" "&amp;TEXT(EOR28-utc_offset/24,"HH")&amp;search_regexp&amp;""""</f>
        <v>#VALUE!</v>
      </c>
      <c r="EPP28" s="234" t="e">
        <f>astrogrep_path&amp;" /e /r /s /spath="&amp;search_path&amp;" /stypes=""app*"&amp;EOL28&amp;"*"&amp;TEXT(EOS28-utc_offset/24,"YYYYMMDD")&amp;"*"" /stext="" "&amp;TEXT(EOS28-utc_offset/24,"HH")&amp;search_regexp&amp;""""</f>
        <v>#VALUE!</v>
      </c>
      <c r="EPQ28" s="234" t="e">
        <f>astrogrep_path&amp;" /e /r /s /spath="&amp;search_path&amp;" /stypes=""app*"&amp;EOM28&amp;"*"&amp;TEXT(EOT28-utc_offset/24,"YYYYMMDD")&amp;"*"" /stext="" "&amp;TEXT(EOT28-utc_offset/24,"HH")&amp;search_regexp&amp;""""</f>
        <v>#REF!</v>
      </c>
      <c r="EPR28" s="234" t="e">
        <f>astrogrep_path&amp;" /e /r /s /spath="&amp;search_path&amp;" /stypes=""app*"&amp;EON28&amp;"*"&amp;TEXT(EOU28-utc_offset/24,"YYYYMMDD")&amp;"*"" /stext="" "&amp;TEXT(EOU28-utc_offset/24,"HH")&amp;search_regexp&amp;""""</f>
        <v>#REF!</v>
      </c>
      <c r="EPS28" s="234" t="e">
        <f>astrogrep_path&amp;" /e /r /s /spath="&amp;search_path&amp;" /stypes=""app*"&amp;EOO28&amp;"*"&amp;TEXT(EOV28-utc_offset/24,"YYYYMMDD")&amp;"*"" /stext="" "&amp;TEXT(EOV28-utc_offset/24,"HH")&amp;search_regexp&amp;""""</f>
        <v>#VALUE!</v>
      </c>
      <c r="EPT28" s="234" t="e">
        <f>astrogrep_path&amp;" /e /r /s /spath="&amp;search_path&amp;" /stypes=""app*"&amp;EOP28&amp;"*"&amp;TEXT(EOW28-utc_offset/24,"YYYYMMDD")&amp;"*"" /stext="" "&amp;TEXT(EOW28-utc_offset/24,"HH")&amp;search_regexp&amp;""""</f>
        <v>#VALUE!</v>
      </c>
      <c r="EPU28" s="234" t="e">
        <f>astrogrep_path&amp;" /e /r /s /spath="&amp;search_path&amp;" /stypes=""app*"&amp;EOQ28&amp;"*"&amp;TEXT(EOX28-utc_offset/24,"YYYYMMDD")&amp;"*"" /stext="" "&amp;TEXT(EOX28-utc_offset/24,"HH")&amp;search_regexp&amp;""""</f>
        <v>#VALUE!</v>
      </c>
      <c r="EPV28" s="234" t="e">
        <f>astrogrep_path&amp;" /e /r /s /spath="&amp;search_path&amp;" /stypes=""app*"&amp;EOR28&amp;"*"&amp;TEXT(EOY28-utc_offset/24,"YYYYMMDD")&amp;"*"" /stext="" "&amp;TEXT(EOY28-utc_offset/24,"HH")&amp;search_regexp&amp;""""</f>
        <v>#VALUE!</v>
      </c>
      <c r="EPW28" s="234" t="e">
        <f>astrogrep_path&amp;" /e /r /s /spath="&amp;search_path&amp;" /stypes=""app*"&amp;EOS28&amp;"*"&amp;TEXT(EOZ28-utc_offset/24,"YYYYMMDD")&amp;"*"" /stext="" "&amp;TEXT(EOZ28-utc_offset/24,"HH")&amp;search_regexp&amp;""""</f>
        <v>#VALUE!</v>
      </c>
      <c r="EPX28" s="234" t="e">
        <f>astrogrep_path&amp;" /e /r /s /spath="&amp;search_path&amp;" /stypes=""app*"&amp;EOT28&amp;"*"&amp;TEXT(EPA28-utc_offset/24,"YYYYMMDD")&amp;"*"" /stext="" "&amp;TEXT(EPA28-utc_offset/24,"HH")&amp;search_regexp&amp;""""</f>
        <v>#REF!</v>
      </c>
      <c r="EPY28" s="234" t="e">
        <f>astrogrep_path&amp;" /e /r /s /spath="&amp;search_path&amp;" /stypes=""app*"&amp;EOU28&amp;"*"&amp;TEXT(EPB28-utc_offset/24,"YYYYMMDD")&amp;"*"" /stext="" "&amp;TEXT(EPB28-utc_offset/24,"HH")&amp;search_regexp&amp;""""</f>
        <v>#REF!</v>
      </c>
      <c r="EPZ28" s="234" t="e">
        <f>astrogrep_path&amp;" /e /r /s /spath="&amp;search_path&amp;" /stypes=""app*"&amp;EOV28&amp;"*"&amp;TEXT(EPC28-utc_offset/24,"YYYYMMDD")&amp;"*"" /stext="" "&amp;TEXT(EPC28-utc_offset/24,"HH")&amp;search_regexp&amp;""""</f>
        <v>#REF!</v>
      </c>
      <c r="EQA28" s="234" t="e">
        <f>astrogrep_path&amp;" /e /r /s /spath="&amp;search_path&amp;" /stypes=""app*"&amp;EOW28&amp;"*"&amp;TEXT(EPD28-utc_offset/24,"YYYYMMDD")&amp;"*"" /stext="" "&amp;TEXT(EPD28-utc_offset/24,"HH")&amp;search_regexp&amp;""""</f>
        <v>#REF!</v>
      </c>
      <c r="EQB28" s="234" t="e">
        <f>astrogrep_path&amp;" /e /r /s /spath="&amp;search_path&amp;" /stypes=""app*"&amp;EOX28&amp;"*"&amp;TEXT(EPE28-utc_offset/24,"YYYYMMDD")&amp;"*"" /stext="" "&amp;TEXT(EPE28-utc_offset/24,"HH")&amp;search_regexp&amp;""""</f>
        <v>#REF!</v>
      </c>
      <c r="EQC28" s="234" t="e">
        <f>astrogrep_path&amp;" /e /r /s /spath="&amp;search_path&amp;" /stypes=""app*"&amp;EOY28&amp;"*"&amp;TEXT(EPF28-utc_offset/24,"YYYYMMDD")&amp;"*"" /stext="" "&amp;TEXT(EPF28-utc_offset/24,"HH")&amp;search_regexp&amp;""""</f>
        <v>#REF!</v>
      </c>
      <c r="EQD28" s="234" t="e">
        <f>astrogrep_path&amp;" /e /r /s /spath="&amp;search_path&amp;" /stypes=""app*"&amp;EOZ28&amp;"*"&amp;TEXT(EPG28-utc_offset/24,"YYYYMMDD")&amp;"*"" /stext="" "&amp;TEXT(EPG28-utc_offset/24,"HH")&amp;search_regexp&amp;""""</f>
        <v>#REF!</v>
      </c>
      <c r="EQE28" s="234" t="e">
        <f>astrogrep_path&amp;" /e /r /s /spath="&amp;search_path&amp;" /stypes=""app*"&amp;EPA28&amp;"*"&amp;TEXT(EPH28-utc_offset/24,"YYYYMMDD")&amp;"*"" /stext="" "&amp;TEXT(EPH28-utc_offset/24,"HH")&amp;search_regexp&amp;""""</f>
        <v>#REF!</v>
      </c>
      <c r="EQF28" s="234" t="e">
        <f>astrogrep_path&amp;" /e /r /s /spath="&amp;search_path&amp;" /stypes=""app*"&amp;EPB28&amp;"*"&amp;TEXT(EPI28-utc_offset/24,"YYYYMMDD")&amp;"*"" /stext="" "&amp;TEXT(EPI28-utc_offset/24,"HH")&amp;search_regexp&amp;""""</f>
        <v>#REF!</v>
      </c>
      <c r="EQG28" s="234" t="e">
        <f>astrogrep_path&amp;" /e /r /s /spath="&amp;search_path&amp;" /stypes=""app*"&amp;EPC28&amp;"*"&amp;TEXT(EPJ28-utc_offset/24,"YYYYMMDD")&amp;"*"" /stext="" "&amp;TEXT(EPJ28-utc_offset/24,"HH")&amp;search_regexp&amp;""""</f>
        <v>#REF!</v>
      </c>
      <c r="EQH28" s="234" t="e">
        <f>astrogrep_path&amp;" /e /r /s /spath="&amp;search_path&amp;" /stypes=""app*"&amp;EPD28&amp;"*"&amp;TEXT(EPK28-utc_offset/24,"YYYYMMDD")&amp;"*"" /stext="" "&amp;TEXT(EPK28-utc_offset/24,"HH")&amp;search_regexp&amp;""""</f>
        <v>#REF!</v>
      </c>
      <c r="EQI28" s="234" t="e">
        <f>astrogrep_path&amp;" /e /r /s /spath="&amp;search_path&amp;" /stypes=""app*"&amp;EPE28&amp;"*"&amp;TEXT(EPL28-utc_offset/24,"YYYYMMDD")&amp;"*"" /stext="" "&amp;TEXT(EPL28-utc_offset/24,"HH")&amp;search_regexp&amp;""""</f>
        <v>#REF!</v>
      </c>
      <c r="EQJ28" s="234" t="e">
        <f>astrogrep_path&amp;" /e /r /s /spath="&amp;search_path&amp;" /stypes=""app*"&amp;EPF28&amp;"*"&amp;TEXT(EPM28-utc_offset/24,"YYYYMMDD")&amp;"*"" /stext="" "&amp;TEXT(EPM28-utc_offset/24,"HH")&amp;search_regexp&amp;""""</f>
        <v>#REF!</v>
      </c>
      <c r="EQK28" s="234" t="e">
        <f>astrogrep_path&amp;" /e /r /s /spath="&amp;search_path&amp;" /stypes=""app*"&amp;EPG28&amp;"*"&amp;TEXT(EPN28-utc_offset/24,"YYYYMMDD")&amp;"*"" /stext="" "&amp;TEXT(EPN28-utc_offset/24,"HH")&amp;search_regexp&amp;""""</f>
        <v>#REF!</v>
      </c>
      <c r="EQL28" s="234" t="e">
        <f>astrogrep_path&amp;" /e /r /s /spath="&amp;search_path&amp;" /stypes=""app*"&amp;EPH28&amp;"*"&amp;TEXT(EPO28-utc_offset/24,"YYYYMMDD")&amp;"*"" /stext="" "&amp;TEXT(EPO28-utc_offset/24,"HH")&amp;search_regexp&amp;""""</f>
        <v>#REF!</v>
      </c>
      <c r="EQM28" s="234" t="e">
        <f>astrogrep_path&amp;" /e /r /s /spath="&amp;search_path&amp;" /stypes=""app*"&amp;EPI28&amp;"*"&amp;TEXT(EPP28-utc_offset/24,"YYYYMMDD")&amp;"*"" /stext="" "&amp;TEXT(EPP28-utc_offset/24,"HH")&amp;search_regexp&amp;""""</f>
        <v>#REF!</v>
      </c>
      <c r="EQN28" s="234" t="e">
        <f>astrogrep_path&amp;" /e /r /s /spath="&amp;search_path&amp;" /stypes=""app*"&amp;EPJ28&amp;"*"&amp;TEXT(EPQ28-utc_offset/24,"YYYYMMDD")&amp;"*"" /stext="" "&amp;TEXT(EPQ28-utc_offset/24,"HH")&amp;search_regexp&amp;""""</f>
        <v>#REF!</v>
      </c>
      <c r="EQO28" s="234" t="e">
        <f>astrogrep_path&amp;" /e /r /s /spath="&amp;search_path&amp;" /stypes=""app*"&amp;EPK28&amp;"*"&amp;TEXT(EPR28-utc_offset/24,"YYYYMMDD")&amp;"*"" /stext="" "&amp;TEXT(EPR28-utc_offset/24,"HH")&amp;search_regexp&amp;""""</f>
        <v>#REF!</v>
      </c>
      <c r="EQP28" s="234" t="e">
        <f>astrogrep_path&amp;" /e /r /s /spath="&amp;search_path&amp;" /stypes=""app*"&amp;EPL28&amp;"*"&amp;TEXT(EPS28-utc_offset/24,"YYYYMMDD")&amp;"*"" /stext="" "&amp;TEXT(EPS28-utc_offset/24,"HH")&amp;search_regexp&amp;""""</f>
        <v>#REF!</v>
      </c>
      <c r="EQQ28" s="234" t="e">
        <f>astrogrep_path&amp;" /e /r /s /spath="&amp;search_path&amp;" /stypes=""app*"&amp;EPM28&amp;"*"&amp;TEXT(EPT28-utc_offset/24,"YYYYMMDD")&amp;"*"" /stext="" "&amp;TEXT(EPT28-utc_offset/24,"HH")&amp;search_regexp&amp;""""</f>
        <v>#REF!</v>
      </c>
      <c r="EQR28" s="234" t="e">
        <f>astrogrep_path&amp;" /e /r /s /spath="&amp;search_path&amp;" /stypes=""app*"&amp;EPN28&amp;"*"&amp;TEXT(EPU28-utc_offset/24,"YYYYMMDD")&amp;"*"" /stext="" "&amp;TEXT(EPU28-utc_offset/24,"HH")&amp;search_regexp&amp;""""</f>
        <v>#REF!</v>
      </c>
      <c r="EQS28" s="234" t="e">
        <f>astrogrep_path&amp;" /e /r /s /spath="&amp;search_path&amp;" /stypes=""app*"&amp;EPO28&amp;"*"&amp;TEXT(EPV28-utc_offset/24,"YYYYMMDD")&amp;"*"" /stext="" "&amp;TEXT(EPV28-utc_offset/24,"HH")&amp;search_regexp&amp;""""</f>
        <v>#VALUE!</v>
      </c>
      <c r="EQT28" s="234" t="e">
        <f>astrogrep_path&amp;" /e /r /s /spath="&amp;search_path&amp;" /stypes=""app*"&amp;EPP28&amp;"*"&amp;TEXT(EPW28-utc_offset/24,"YYYYMMDD")&amp;"*"" /stext="" "&amp;TEXT(EPW28-utc_offset/24,"HH")&amp;search_regexp&amp;""""</f>
        <v>#VALUE!</v>
      </c>
      <c r="EQU28" s="234" t="e">
        <f>astrogrep_path&amp;" /e /r /s /spath="&amp;search_path&amp;" /stypes=""app*"&amp;EPQ28&amp;"*"&amp;TEXT(EPX28-utc_offset/24,"YYYYMMDD")&amp;"*"" /stext="" "&amp;TEXT(EPX28-utc_offset/24,"HH")&amp;search_regexp&amp;""""</f>
        <v>#REF!</v>
      </c>
      <c r="EQV28" s="234" t="e">
        <f>astrogrep_path&amp;" /e /r /s /spath="&amp;search_path&amp;" /stypes=""app*"&amp;EPR28&amp;"*"&amp;TEXT(EPY28-utc_offset/24,"YYYYMMDD")&amp;"*"" /stext="" "&amp;TEXT(EPY28-utc_offset/24,"HH")&amp;search_regexp&amp;""""</f>
        <v>#REF!</v>
      </c>
      <c r="EQW28" s="234" t="e">
        <f>astrogrep_path&amp;" /e /r /s /spath="&amp;search_path&amp;" /stypes=""app*"&amp;EPS28&amp;"*"&amp;TEXT(EPZ28-utc_offset/24,"YYYYMMDD")&amp;"*"" /stext="" "&amp;TEXT(EPZ28-utc_offset/24,"HH")&amp;search_regexp&amp;""""</f>
        <v>#VALUE!</v>
      </c>
      <c r="EQX28" s="234" t="e">
        <f>astrogrep_path&amp;" /e /r /s /spath="&amp;search_path&amp;" /stypes=""app*"&amp;EPT28&amp;"*"&amp;TEXT(EQA28-utc_offset/24,"YYYYMMDD")&amp;"*"" /stext="" "&amp;TEXT(EQA28-utc_offset/24,"HH")&amp;search_regexp&amp;""""</f>
        <v>#VALUE!</v>
      </c>
      <c r="EQY28" s="234" t="e">
        <f>astrogrep_path&amp;" /e /r /s /spath="&amp;search_path&amp;" /stypes=""app*"&amp;EPU28&amp;"*"&amp;TEXT(EQB28-utc_offset/24,"YYYYMMDD")&amp;"*"" /stext="" "&amp;TEXT(EQB28-utc_offset/24,"HH")&amp;search_regexp&amp;""""</f>
        <v>#VALUE!</v>
      </c>
      <c r="EQZ28" s="234" t="e">
        <f>astrogrep_path&amp;" /e /r /s /spath="&amp;search_path&amp;" /stypes=""app*"&amp;EPV28&amp;"*"&amp;TEXT(EQC28-utc_offset/24,"YYYYMMDD")&amp;"*"" /stext="" "&amp;TEXT(EQC28-utc_offset/24,"HH")&amp;search_regexp&amp;""""</f>
        <v>#VALUE!</v>
      </c>
      <c r="ERA28" s="234" t="e">
        <f>astrogrep_path&amp;" /e /r /s /spath="&amp;search_path&amp;" /stypes=""app*"&amp;EPW28&amp;"*"&amp;TEXT(EQD28-utc_offset/24,"YYYYMMDD")&amp;"*"" /stext="" "&amp;TEXT(EQD28-utc_offset/24,"HH")&amp;search_regexp&amp;""""</f>
        <v>#VALUE!</v>
      </c>
      <c r="ERB28" s="234" t="e">
        <f>astrogrep_path&amp;" /e /r /s /spath="&amp;search_path&amp;" /stypes=""app*"&amp;EPX28&amp;"*"&amp;TEXT(EQE28-utc_offset/24,"YYYYMMDD")&amp;"*"" /stext="" "&amp;TEXT(EQE28-utc_offset/24,"HH")&amp;search_regexp&amp;""""</f>
        <v>#REF!</v>
      </c>
      <c r="ERC28" s="234" t="e">
        <f>astrogrep_path&amp;" /e /r /s /spath="&amp;search_path&amp;" /stypes=""app*"&amp;EPY28&amp;"*"&amp;TEXT(EQF28-utc_offset/24,"YYYYMMDD")&amp;"*"" /stext="" "&amp;TEXT(EQF28-utc_offset/24,"HH")&amp;search_regexp&amp;""""</f>
        <v>#REF!</v>
      </c>
      <c r="ERD28" s="234" t="e">
        <f>astrogrep_path&amp;" /e /r /s /spath="&amp;search_path&amp;" /stypes=""app*"&amp;EPZ28&amp;"*"&amp;TEXT(EQG28-utc_offset/24,"YYYYMMDD")&amp;"*"" /stext="" "&amp;TEXT(EQG28-utc_offset/24,"HH")&amp;search_regexp&amp;""""</f>
        <v>#REF!</v>
      </c>
      <c r="ERE28" s="234" t="e">
        <f>astrogrep_path&amp;" /e /r /s /spath="&amp;search_path&amp;" /stypes=""app*"&amp;EQA28&amp;"*"&amp;TEXT(EQH28-utc_offset/24,"YYYYMMDD")&amp;"*"" /stext="" "&amp;TEXT(EQH28-utc_offset/24,"HH")&amp;search_regexp&amp;""""</f>
        <v>#REF!</v>
      </c>
      <c r="ERF28" s="234" t="e">
        <f>astrogrep_path&amp;" /e /r /s /spath="&amp;search_path&amp;" /stypes=""app*"&amp;EQB28&amp;"*"&amp;TEXT(EQI28-utc_offset/24,"YYYYMMDD")&amp;"*"" /stext="" "&amp;TEXT(EQI28-utc_offset/24,"HH")&amp;search_regexp&amp;""""</f>
        <v>#REF!</v>
      </c>
      <c r="ERG28" s="234" t="e">
        <f>astrogrep_path&amp;" /e /r /s /spath="&amp;search_path&amp;" /stypes=""app*"&amp;EQC28&amp;"*"&amp;TEXT(EQJ28-utc_offset/24,"YYYYMMDD")&amp;"*"" /stext="" "&amp;TEXT(EQJ28-utc_offset/24,"HH")&amp;search_regexp&amp;""""</f>
        <v>#REF!</v>
      </c>
      <c r="ERH28" s="234" t="e">
        <f>astrogrep_path&amp;" /e /r /s /spath="&amp;search_path&amp;" /stypes=""app*"&amp;EQD28&amp;"*"&amp;TEXT(EQK28-utc_offset/24,"YYYYMMDD")&amp;"*"" /stext="" "&amp;TEXT(EQK28-utc_offset/24,"HH")&amp;search_regexp&amp;""""</f>
        <v>#REF!</v>
      </c>
      <c r="ERI28" s="234" t="e">
        <f>astrogrep_path&amp;" /e /r /s /spath="&amp;search_path&amp;" /stypes=""app*"&amp;EQE28&amp;"*"&amp;TEXT(EQL28-utc_offset/24,"YYYYMMDD")&amp;"*"" /stext="" "&amp;TEXT(EQL28-utc_offset/24,"HH")&amp;search_regexp&amp;""""</f>
        <v>#REF!</v>
      </c>
      <c r="ERJ28" s="234" t="e">
        <f>astrogrep_path&amp;" /e /r /s /spath="&amp;search_path&amp;" /stypes=""app*"&amp;EQF28&amp;"*"&amp;TEXT(EQM28-utc_offset/24,"YYYYMMDD")&amp;"*"" /stext="" "&amp;TEXT(EQM28-utc_offset/24,"HH")&amp;search_regexp&amp;""""</f>
        <v>#REF!</v>
      </c>
      <c r="ERK28" s="234" t="e">
        <f>astrogrep_path&amp;" /e /r /s /spath="&amp;search_path&amp;" /stypes=""app*"&amp;EQG28&amp;"*"&amp;TEXT(EQN28-utc_offset/24,"YYYYMMDD")&amp;"*"" /stext="" "&amp;TEXT(EQN28-utc_offset/24,"HH")&amp;search_regexp&amp;""""</f>
        <v>#REF!</v>
      </c>
      <c r="ERL28" s="234" t="e">
        <f>astrogrep_path&amp;" /e /r /s /spath="&amp;search_path&amp;" /stypes=""app*"&amp;EQH28&amp;"*"&amp;TEXT(EQO28-utc_offset/24,"YYYYMMDD")&amp;"*"" /stext="" "&amp;TEXT(EQO28-utc_offset/24,"HH")&amp;search_regexp&amp;""""</f>
        <v>#REF!</v>
      </c>
      <c r="ERM28" s="234" t="e">
        <f>astrogrep_path&amp;" /e /r /s /spath="&amp;search_path&amp;" /stypes=""app*"&amp;EQI28&amp;"*"&amp;TEXT(EQP28-utc_offset/24,"YYYYMMDD")&amp;"*"" /stext="" "&amp;TEXT(EQP28-utc_offset/24,"HH")&amp;search_regexp&amp;""""</f>
        <v>#REF!</v>
      </c>
      <c r="ERN28" s="234" t="e">
        <f>astrogrep_path&amp;" /e /r /s /spath="&amp;search_path&amp;" /stypes=""app*"&amp;EQJ28&amp;"*"&amp;TEXT(EQQ28-utc_offset/24,"YYYYMMDD")&amp;"*"" /stext="" "&amp;TEXT(EQQ28-utc_offset/24,"HH")&amp;search_regexp&amp;""""</f>
        <v>#REF!</v>
      </c>
      <c r="ERO28" s="234" t="e">
        <f>astrogrep_path&amp;" /e /r /s /spath="&amp;search_path&amp;" /stypes=""app*"&amp;EQK28&amp;"*"&amp;TEXT(EQR28-utc_offset/24,"YYYYMMDD")&amp;"*"" /stext="" "&amp;TEXT(EQR28-utc_offset/24,"HH")&amp;search_regexp&amp;""""</f>
        <v>#REF!</v>
      </c>
      <c r="ERP28" s="234" t="e">
        <f>astrogrep_path&amp;" /e /r /s /spath="&amp;search_path&amp;" /stypes=""app*"&amp;EQL28&amp;"*"&amp;TEXT(EQS28-utc_offset/24,"YYYYMMDD")&amp;"*"" /stext="" "&amp;TEXT(EQS28-utc_offset/24,"HH")&amp;search_regexp&amp;""""</f>
        <v>#REF!</v>
      </c>
      <c r="ERQ28" s="234" t="e">
        <f>astrogrep_path&amp;" /e /r /s /spath="&amp;search_path&amp;" /stypes=""app*"&amp;EQM28&amp;"*"&amp;TEXT(EQT28-utc_offset/24,"YYYYMMDD")&amp;"*"" /stext="" "&amp;TEXT(EQT28-utc_offset/24,"HH")&amp;search_regexp&amp;""""</f>
        <v>#REF!</v>
      </c>
      <c r="ERR28" s="234" t="e">
        <f>astrogrep_path&amp;" /e /r /s /spath="&amp;search_path&amp;" /stypes=""app*"&amp;EQN28&amp;"*"&amp;TEXT(EQU28-utc_offset/24,"YYYYMMDD")&amp;"*"" /stext="" "&amp;TEXT(EQU28-utc_offset/24,"HH")&amp;search_regexp&amp;""""</f>
        <v>#REF!</v>
      </c>
      <c r="ERS28" s="234" t="e">
        <f>astrogrep_path&amp;" /e /r /s /spath="&amp;search_path&amp;" /stypes=""app*"&amp;EQO28&amp;"*"&amp;TEXT(EQV28-utc_offset/24,"YYYYMMDD")&amp;"*"" /stext="" "&amp;TEXT(EQV28-utc_offset/24,"HH")&amp;search_regexp&amp;""""</f>
        <v>#REF!</v>
      </c>
      <c r="ERT28" s="234" t="e">
        <f>astrogrep_path&amp;" /e /r /s /spath="&amp;search_path&amp;" /stypes=""app*"&amp;EQP28&amp;"*"&amp;TEXT(EQW28-utc_offset/24,"YYYYMMDD")&amp;"*"" /stext="" "&amp;TEXT(EQW28-utc_offset/24,"HH")&amp;search_regexp&amp;""""</f>
        <v>#REF!</v>
      </c>
      <c r="ERU28" s="234" t="e">
        <f>astrogrep_path&amp;" /e /r /s /spath="&amp;search_path&amp;" /stypes=""app*"&amp;EQQ28&amp;"*"&amp;TEXT(EQX28-utc_offset/24,"YYYYMMDD")&amp;"*"" /stext="" "&amp;TEXT(EQX28-utc_offset/24,"HH")&amp;search_regexp&amp;""""</f>
        <v>#REF!</v>
      </c>
      <c r="ERV28" s="234" t="e">
        <f>astrogrep_path&amp;" /e /r /s /spath="&amp;search_path&amp;" /stypes=""app*"&amp;EQR28&amp;"*"&amp;TEXT(EQY28-utc_offset/24,"YYYYMMDD")&amp;"*"" /stext="" "&amp;TEXT(EQY28-utc_offset/24,"HH")&amp;search_regexp&amp;""""</f>
        <v>#REF!</v>
      </c>
      <c r="ERW28" s="234" t="e">
        <f>astrogrep_path&amp;" /e /r /s /spath="&amp;search_path&amp;" /stypes=""app*"&amp;EQS28&amp;"*"&amp;TEXT(EQZ28-utc_offset/24,"YYYYMMDD")&amp;"*"" /stext="" "&amp;TEXT(EQZ28-utc_offset/24,"HH")&amp;search_regexp&amp;""""</f>
        <v>#VALUE!</v>
      </c>
      <c r="ERX28" s="234" t="e">
        <f>astrogrep_path&amp;" /e /r /s /spath="&amp;search_path&amp;" /stypes=""app*"&amp;EQT28&amp;"*"&amp;TEXT(ERA28-utc_offset/24,"YYYYMMDD")&amp;"*"" /stext="" "&amp;TEXT(ERA28-utc_offset/24,"HH")&amp;search_regexp&amp;""""</f>
        <v>#VALUE!</v>
      </c>
      <c r="ERY28" s="234" t="e">
        <f>astrogrep_path&amp;" /e /r /s /spath="&amp;search_path&amp;" /stypes=""app*"&amp;EQU28&amp;"*"&amp;TEXT(ERB28-utc_offset/24,"YYYYMMDD")&amp;"*"" /stext="" "&amp;TEXT(ERB28-utc_offset/24,"HH")&amp;search_regexp&amp;""""</f>
        <v>#REF!</v>
      </c>
      <c r="ERZ28" s="234" t="e">
        <f>astrogrep_path&amp;" /e /r /s /spath="&amp;search_path&amp;" /stypes=""app*"&amp;EQV28&amp;"*"&amp;TEXT(ERC28-utc_offset/24,"YYYYMMDD")&amp;"*"" /stext="" "&amp;TEXT(ERC28-utc_offset/24,"HH")&amp;search_regexp&amp;""""</f>
        <v>#REF!</v>
      </c>
      <c r="ESA28" s="234" t="e">
        <f>astrogrep_path&amp;" /e /r /s /spath="&amp;search_path&amp;" /stypes=""app*"&amp;EQW28&amp;"*"&amp;TEXT(ERD28-utc_offset/24,"YYYYMMDD")&amp;"*"" /stext="" "&amp;TEXT(ERD28-utc_offset/24,"HH")&amp;search_regexp&amp;""""</f>
        <v>#VALUE!</v>
      </c>
      <c r="ESB28" s="234" t="e">
        <f>astrogrep_path&amp;" /e /r /s /spath="&amp;search_path&amp;" /stypes=""app*"&amp;EQX28&amp;"*"&amp;TEXT(ERE28-utc_offset/24,"YYYYMMDD")&amp;"*"" /stext="" "&amp;TEXT(ERE28-utc_offset/24,"HH")&amp;search_regexp&amp;""""</f>
        <v>#VALUE!</v>
      </c>
      <c r="ESC28" s="234" t="e">
        <f>astrogrep_path&amp;" /e /r /s /spath="&amp;search_path&amp;" /stypes=""app*"&amp;EQY28&amp;"*"&amp;TEXT(ERF28-utc_offset/24,"YYYYMMDD")&amp;"*"" /stext="" "&amp;TEXT(ERF28-utc_offset/24,"HH")&amp;search_regexp&amp;""""</f>
        <v>#VALUE!</v>
      </c>
      <c r="ESD28" s="234" t="e">
        <f>astrogrep_path&amp;" /e /r /s /spath="&amp;search_path&amp;" /stypes=""app*"&amp;EQZ28&amp;"*"&amp;TEXT(ERG28-utc_offset/24,"YYYYMMDD")&amp;"*"" /stext="" "&amp;TEXT(ERG28-utc_offset/24,"HH")&amp;search_regexp&amp;""""</f>
        <v>#VALUE!</v>
      </c>
      <c r="ESE28" s="234" t="e">
        <f>astrogrep_path&amp;" /e /r /s /spath="&amp;search_path&amp;" /stypes=""app*"&amp;ERA28&amp;"*"&amp;TEXT(ERH28-utc_offset/24,"YYYYMMDD")&amp;"*"" /stext="" "&amp;TEXT(ERH28-utc_offset/24,"HH")&amp;search_regexp&amp;""""</f>
        <v>#VALUE!</v>
      </c>
      <c r="ESF28" s="234" t="e">
        <f>astrogrep_path&amp;" /e /r /s /spath="&amp;search_path&amp;" /stypes=""app*"&amp;ERB28&amp;"*"&amp;TEXT(ERI28-utc_offset/24,"YYYYMMDD")&amp;"*"" /stext="" "&amp;TEXT(ERI28-utc_offset/24,"HH")&amp;search_regexp&amp;""""</f>
        <v>#REF!</v>
      </c>
      <c r="ESG28" s="234" t="e">
        <f>astrogrep_path&amp;" /e /r /s /spath="&amp;search_path&amp;" /stypes=""app*"&amp;ERC28&amp;"*"&amp;TEXT(ERJ28-utc_offset/24,"YYYYMMDD")&amp;"*"" /stext="" "&amp;TEXT(ERJ28-utc_offset/24,"HH")&amp;search_regexp&amp;""""</f>
        <v>#REF!</v>
      </c>
      <c r="ESH28" s="234" t="e">
        <f>astrogrep_path&amp;" /e /r /s /spath="&amp;search_path&amp;" /stypes=""app*"&amp;ERD28&amp;"*"&amp;TEXT(ERK28-utc_offset/24,"YYYYMMDD")&amp;"*"" /stext="" "&amp;TEXT(ERK28-utc_offset/24,"HH")&amp;search_regexp&amp;""""</f>
        <v>#REF!</v>
      </c>
      <c r="ESI28" s="234" t="e">
        <f>astrogrep_path&amp;" /e /r /s /spath="&amp;search_path&amp;" /stypes=""app*"&amp;ERE28&amp;"*"&amp;TEXT(ERL28-utc_offset/24,"YYYYMMDD")&amp;"*"" /stext="" "&amp;TEXT(ERL28-utc_offset/24,"HH")&amp;search_regexp&amp;""""</f>
        <v>#REF!</v>
      </c>
      <c r="ESJ28" s="234" t="e">
        <f>astrogrep_path&amp;" /e /r /s /spath="&amp;search_path&amp;" /stypes=""app*"&amp;ERF28&amp;"*"&amp;TEXT(ERM28-utc_offset/24,"YYYYMMDD")&amp;"*"" /stext="" "&amp;TEXT(ERM28-utc_offset/24,"HH")&amp;search_regexp&amp;""""</f>
        <v>#REF!</v>
      </c>
      <c r="ESK28" s="234" t="e">
        <f>astrogrep_path&amp;" /e /r /s /spath="&amp;search_path&amp;" /stypes=""app*"&amp;ERG28&amp;"*"&amp;TEXT(ERN28-utc_offset/24,"YYYYMMDD")&amp;"*"" /stext="" "&amp;TEXT(ERN28-utc_offset/24,"HH")&amp;search_regexp&amp;""""</f>
        <v>#REF!</v>
      </c>
      <c r="ESL28" s="234" t="e">
        <f>astrogrep_path&amp;" /e /r /s /spath="&amp;search_path&amp;" /stypes=""app*"&amp;ERH28&amp;"*"&amp;TEXT(ERO28-utc_offset/24,"YYYYMMDD")&amp;"*"" /stext="" "&amp;TEXT(ERO28-utc_offset/24,"HH")&amp;search_regexp&amp;""""</f>
        <v>#REF!</v>
      </c>
      <c r="ESM28" s="234" t="e">
        <f>astrogrep_path&amp;" /e /r /s /spath="&amp;search_path&amp;" /stypes=""app*"&amp;ERI28&amp;"*"&amp;TEXT(ERP28-utc_offset/24,"YYYYMMDD")&amp;"*"" /stext="" "&amp;TEXT(ERP28-utc_offset/24,"HH")&amp;search_regexp&amp;""""</f>
        <v>#REF!</v>
      </c>
      <c r="ESN28" s="234" t="e">
        <f>astrogrep_path&amp;" /e /r /s /spath="&amp;search_path&amp;" /stypes=""app*"&amp;ERJ28&amp;"*"&amp;TEXT(ERQ28-utc_offset/24,"YYYYMMDD")&amp;"*"" /stext="" "&amp;TEXT(ERQ28-utc_offset/24,"HH")&amp;search_regexp&amp;""""</f>
        <v>#REF!</v>
      </c>
      <c r="ESO28" s="234" t="e">
        <f>astrogrep_path&amp;" /e /r /s /spath="&amp;search_path&amp;" /stypes=""app*"&amp;ERK28&amp;"*"&amp;TEXT(ERR28-utc_offset/24,"YYYYMMDD")&amp;"*"" /stext="" "&amp;TEXT(ERR28-utc_offset/24,"HH")&amp;search_regexp&amp;""""</f>
        <v>#REF!</v>
      </c>
      <c r="ESP28" s="234" t="e">
        <f>astrogrep_path&amp;" /e /r /s /spath="&amp;search_path&amp;" /stypes=""app*"&amp;ERL28&amp;"*"&amp;TEXT(ERS28-utc_offset/24,"YYYYMMDD")&amp;"*"" /stext="" "&amp;TEXT(ERS28-utc_offset/24,"HH")&amp;search_regexp&amp;""""</f>
        <v>#REF!</v>
      </c>
      <c r="ESQ28" s="234" t="e">
        <f>astrogrep_path&amp;" /e /r /s /spath="&amp;search_path&amp;" /stypes=""app*"&amp;ERM28&amp;"*"&amp;TEXT(ERT28-utc_offset/24,"YYYYMMDD")&amp;"*"" /stext="" "&amp;TEXT(ERT28-utc_offset/24,"HH")&amp;search_regexp&amp;""""</f>
        <v>#REF!</v>
      </c>
      <c r="ESR28" s="234" t="e">
        <f>astrogrep_path&amp;" /e /r /s /spath="&amp;search_path&amp;" /stypes=""app*"&amp;ERN28&amp;"*"&amp;TEXT(ERU28-utc_offset/24,"YYYYMMDD")&amp;"*"" /stext="" "&amp;TEXT(ERU28-utc_offset/24,"HH")&amp;search_regexp&amp;""""</f>
        <v>#REF!</v>
      </c>
      <c r="ESS28" s="234" t="e">
        <f>astrogrep_path&amp;" /e /r /s /spath="&amp;search_path&amp;" /stypes=""app*"&amp;ERO28&amp;"*"&amp;TEXT(ERV28-utc_offset/24,"YYYYMMDD")&amp;"*"" /stext="" "&amp;TEXT(ERV28-utc_offset/24,"HH")&amp;search_regexp&amp;""""</f>
        <v>#REF!</v>
      </c>
      <c r="EST28" s="234" t="e">
        <f>astrogrep_path&amp;" /e /r /s /spath="&amp;search_path&amp;" /stypes=""app*"&amp;ERP28&amp;"*"&amp;TEXT(ERW28-utc_offset/24,"YYYYMMDD")&amp;"*"" /stext="" "&amp;TEXT(ERW28-utc_offset/24,"HH")&amp;search_regexp&amp;""""</f>
        <v>#REF!</v>
      </c>
      <c r="ESU28" s="234" t="e">
        <f>astrogrep_path&amp;" /e /r /s /spath="&amp;search_path&amp;" /stypes=""app*"&amp;ERQ28&amp;"*"&amp;TEXT(ERX28-utc_offset/24,"YYYYMMDD")&amp;"*"" /stext="" "&amp;TEXT(ERX28-utc_offset/24,"HH")&amp;search_regexp&amp;""""</f>
        <v>#REF!</v>
      </c>
      <c r="ESV28" s="234" t="e">
        <f>astrogrep_path&amp;" /e /r /s /spath="&amp;search_path&amp;" /stypes=""app*"&amp;ERR28&amp;"*"&amp;TEXT(ERY28-utc_offset/24,"YYYYMMDD")&amp;"*"" /stext="" "&amp;TEXT(ERY28-utc_offset/24,"HH")&amp;search_regexp&amp;""""</f>
        <v>#REF!</v>
      </c>
      <c r="ESW28" s="234" t="e">
        <f>astrogrep_path&amp;" /e /r /s /spath="&amp;search_path&amp;" /stypes=""app*"&amp;ERS28&amp;"*"&amp;TEXT(ERZ28-utc_offset/24,"YYYYMMDD")&amp;"*"" /stext="" "&amp;TEXT(ERZ28-utc_offset/24,"HH")&amp;search_regexp&amp;""""</f>
        <v>#REF!</v>
      </c>
      <c r="ESX28" s="234" t="e">
        <f>astrogrep_path&amp;" /e /r /s /spath="&amp;search_path&amp;" /stypes=""app*"&amp;ERT28&amp;"*"&amp;TEXT(ESA28-utc_offset/24,"YYYYMMDD")&amp;"*"" /stext="" "&amp;TEXT(ESA28-utc_offset/24,"HH")&amp;search_regexp&amp;""""</f>
        <v>#REF!</v>
      </c>
      <c r="ESY28" s="234" t="e">
        <f>astrogrep_path&amp;" /e /r /s /spath="&amp;search_path&amp;" /stypes=""app*"&amp;ERU28&amp;"*"&amp;TEXT(ESB28-utc_offset/24,"YYYYMMDD")&amp;"*"" /stext="" "&amp;TEXT(ESB28-utc_offset/24,"HH")&amp;search_regexp&amp;""""</f>
        <v>#REF!</v>
      </c>
      <c r="ESZ28" s="234" t="e">
        <f>astrogrep_path&amp;" /e /r /s /spath="&amp;search_path&amp;" /stypes=""app*"&amp;ERV28&amp;"*"&amp;TEXT(ESC28-utc_offset/24,"YYYYMMDD")&amp;"*"" /stext="" "&amp;TEXT(ESC28-utc_offset/24,"HH")&amp;search_regexp&amp;""""</f>
        <v>#REF!</v>
      </c>
      <c r="ETA28" s="234" t="e">
        <f>astrogrep_path&amp;" /e /r /s /spath="&amp;search_path&amp;" /stypes=""app*"&amp;ERW28&amp;"*"&amp;TEXT(ESD28-utc_offset/24,"YYYYMMDD")&amp;"*"" /stext="" "&amp;TEXT(ESD28-utc_offset/24,"HH")&amp;search_regexp&amp;""""</f>
        <v>#VALUE!</v>
      </c>
      <c r="ETB28" s="234" t="e">
        <f>astrogrep_path&amp;" /e /r /s /spath="&amp;search_path&amp;" /stypes=""app*"&amp;ERX28&amp;"*"&amp;TEXT(ESE28-utc_offset/24,"YYYYMMDD")&amp;"*"" /stext="" "&amp;TEXT(ESE28-utc_offset/24,"HH")&amp;search_regexp&amp;""""</f>
        <v>#VALUE!</v>
      </c>
      <c r="ETC28" s="234" t="e">
        <f>astrogrep_path&amp;" /e /r /s /spath="&amp;search_path&amp;" /stypes=""app*"&amp;ERY28&amp;"*"&amp;TEXT(ESF28-utc_offset/24,"YYYYMMDD")&amp;"*"" /stext="" "&amp;TEXT(ESF28-utc_offset/24,"HH")&amp;search_regexp&amp;""""</f>
        <v>#REF!</v>
      </c>
      <c r="ETD28" s="234" t="e">
        <f>astrogrep_path&amp;" /e /r /s /spath="&amp;search_path&amp;" /stypes=""app*"&amp;ERZ28&amp;"*"&amp;TEXT(ESG28-utc_offset/24,"YYYYMMDD")&amp;"*"" /stext="" "&amp;TEXT(ESG28-utc_offset/24,"HH")&amp;search_regexp&amp;""""</f>
        <v>#REF!</v>
      </c>
      <c r="ETE28" s="234" t="e">
        <f>astrogrep_path&amp;" /e /r /s /spath="&amp;search_path&amp;" /stypes=""app*"&amp;ESA28&amp;"*"&amp;TEXT(ESH28-utc_offset/24,"YYYYMMDD")&amp;"*"" /stext="" "&amp;TEXT(ESH28-utc_offset/24,"HH")&amp;search_regexp&amp;""""</f>
        <v>#VALUE!</v>
      </c>
      <c r="ETF28" s="234" t="e">
        <f>astrogrep_path&amp;" /e /r /s /spath="&amp;search_path&amp;" /stypes=""app*"&amp;ESB28&amp;"*"&amp;TEXT(ESI28-utc_offset/24,"YYYYMMDD")&amp;"*"" /stext="" "&amp;TEXT(ESI28-utc_offset/24,"HH")&amp;search_regexp&amp;""""</f>
        <v>#VALUE!</v>
      </c>
      <c r="ETG28" s="234" t="e">
        <f>astrogrep_path&amp;" /e /r /s /spath="&amp;search_path&amp;" /stypes=""app*"&amp;ESC28&amp;"*"&amp;TEXT(ESJ28-utc_offset/24,"YYYYMMDD")&amp;"*"" /stext="" "&amp;TEXT(ESJ28-utc_offset/24,"HH")&amp;search_regexp&amp;""""</f>
        <v>#VALUE!</v>
      </c>
      <c r="ETH28" s="234" t="e">
        <f>astrogrep_path&amp;" /e /r /s /spath="&amp;search_path&amp;" /stypes=""app*"&amp;ESD28&amp;"*"&amp;TEXT(ESK28-utc_offset/24,"YYYYMMDD")&amp;"*"" /stext="" "&amp;TEXT(ESK28-utc_offset/24,"HH")&amp;search_regexp&amp;""""</f>
        <v>#VALUE!</v>
      </c>
      <c r="ETI28" s="234" t="e">
        <f>astrogrep_path&amp;" /e /r /s /spath="&amp;search_path&amp;" /stypes=""app*"&amp;ESE28&amp;"*"&amp;TEXT(ESL28-utc_offset/24,"YYYYMMDD")&amp;"*"" /stext="" "&amp;TEXT(ESL28-utc_offset/24,"HH")&amp;search_regexp&amp;""""</f>
        <v>#VALUE!</v>
      </c>
      <c r="ETJ28" s="234" t="e">
        <f>astrogrep_path&amp;" /e /r /s /spath="&amp;search_path&amp;" /stypes=""app*"&amp;ESF28&amp;"*"&amp;TEXT(ESM28-utc_offset/24,"YYYYMMDD")&amp;"*"" /stext="" "&amp;TEXT(ESM28-utc_offset/24,"HH")&amp;search_regexp&amp;""""</f>
        <v>#REF!</v>
      </c>
      <c r="ETK28" s="234" t="e">
        <f>astrogrep_path&amp;" /e /r /s /spath="&amp;search_path&amp;" /stypes=""app*"&amp;ESG28&amp;"*"&amp;TEXT(ESN28-utc_offset/24,"YYYYMMDD")&amp;"*"" /stext="" "&amp;TEXT(ESN28-utc_offset/24,"HH")&amp;search_regexp&amp;""""</f>
        <v>#REF!</v>
      </c>
      <c r="ETL28" s="234" t="e">
        <f>astrogrep_path&amp;" /e /r /s /spath="&amp;search_path&amp;" /stypes=""app*"&amp;ESH28&amp;"*"&amp;TEXT(ESO28-utc_offset/24,"YYYYMMDD")&amp;"*"" /stext="" "&amp;TEXT(ESO28-utc_offset/24,"HH")&amp;search_regexp&amp;""""</f>
        <v>#REF!</v>
      </c>
      <c r="ETM28" s="234" t="e">
        <f>astrogrep_path&amp;" /e /r /s /spath="&amp;search_path&amp;" /stypes=""app*"&amp;ESI28&amp;"*"&amp;TEXT(ESP28-utc_offset/24,"YYYYMMDD")&amp;"*"" /stext="" "&amp;TEXT(ESP28-utc_offset/24,"HH")&amp;search_regexp&amp;""""</f>
        <v>#REF!</v>
      </c>
      <c r="ETN28" s="234" t="e">
        <f>astrogrep_path&amp;" /e /r /s /spath="&amp;search_path&amp;" /stypes=""app*"&amp;ESJ28&amp;"*"&amp;TEXT(ESQ28-utc_offset/24,"YYYYMMDD")&amp;"*"" /stext="" "&amp;TEXT(ESQ28-utc_offset/24,"HH")&amp;search_regexp&amp;""""</f>
        <v>#REF!</v>
      </c>
      <c r="ETO28" s="234" t="e">
        <f>astrogrep_path&amp;" /e /r /s /spath="&amp;search_path&amp;" /stypes=""app*"&amp;ESK28&amp;"*"&amp;TEXT(ESR28-utc_offset/24,"YYYYMMDD")&amp;"*"" /stext="" "&amp;TEXT(ESR28-utc_offset/24,"HH")&amp;search_regexp&amp;""""</f>
        <v>#REF!</v>
      </c>
      <c r="ETP28" s="234" t="e">
        <f>astrogrep_path&amp;" /e /r /s /spath="&amp;search_path&amp;" /stypes=""app*"&amp;ESL28&amp;"*"&amp;TEXT(ESS28-utc_offset/24,"YYYYMMDD")&amp;"*"" /stext="" "&amp;TEXT(ESS28-utc_offset/24,"HH")&amp;search_regexp&amp;""""</f>
        <v>#REF!</v>
      </c>
      <c r="ETQ28" s="234" t="e">
        <f>astrogrep_path&amp;" /e /r /s /spath="&amp;search_path&amp;" /stypes=""app*"&amp;ESM28&amp;"*"&amp;TEXT(EST28-utc_offset/24,"YYYYMMDD")&amp;"*"" /stext="" "&amp;TEXT(EST28-utc_offset/24,"HH")&amp;search_regexp&amp;""""</f>
        <v>#REF!</v>
      </c>
      <c r="ETR28" s="234" t="e">
        <f>astrogrep_path&amp;" /e /r /s /spath="&amp;search_path&amp;" /stypes=""app*"&amp;ESN28&amp;"*"&amp;TEXT(ESU28-utc_offset/24,"YYYYMMDD")&amp;"*"" /stext="" "&amp;TEXT(ESU28-utc_offset/24,"HH")&amp;search_regexp&amp;""""</f>
        <v>#REF!</v>
      </c>
      <c r="ETS28" s="234" t="e">
        <f>astrogrep_path&amp;" /e /r /s /spath="&amp;search_path&amp;" /stypes=""app*"&amp;ESO28&amp;"*"&amp;TEXT(ESV28-utc_offset/24,"YYYYMMDD")&amp;"*"" /stext="" "&amp;TEXT(ESV28-utc_offset/24,"HH")&amp;search_regexp&amp;""""</f>
        <v>#REF!</v>
      </c>
      <c r="ETT28" s="234" t="e">
        <f>astrogrep_path&amp;" /e /r /s /spath="&amp;search_path&amp;" /stypes=""app*"&amp;ESP28&amp;"*"&amp;TEXT(ESW28-utc_offset/24,"YYYYMMDD")&amp;"*"" /stext="" "&amp;TEXT(ESW28-utc_offset/24,"HH")&amp;search_regexp&amp;""""</f>
        <v>#REF!</v>
      </c>
      <c r="ETU28" s="234" t="e">
        <f>astrogrep_path&amp;" /e /r /s /spath="&amp;search_path&amp;" /stypes=""app*"&amp;ESQ28&amp;"*"&amp;TEXT(ESX28-utc_offset/24,"YYYYMMDD")&amp;"*"" /stext="" "&amp;TEXT(ESX28-utc_offset/24,"HH")&amp;search_regexp&amp;""""</f>
        <v>#REF!</v>
      </c>
      <c r="ETV28" s="234" t="e">
        <f>astrogrep_path&amp;" /e /r /s /spath="&amp;search_path&amp;" /stypes=""app*"&amp;ESR28&amp;"*"&amp;TEXT(ESY28-utc_offset/24,"YYYYMMDD")&amp;"*"" /stext="" "&amp;TEXT(ESY28-utc_offset/24,"HH")&amp;search_regexp&amp;""""</f>
        <v>#REF!</v>
      </c>
      <c r="ETW28" s="234" t="e">
        <f>astrogrep_path&amp;" /e /r /s /spath="&amp;search_path&amp;" /stypes=""app*"&amp;ESS28&amp;"*"&amp;TEXT(ESZ28-utc_offset/24,"YYYYMMDD")&amp;"*"" /stext="" "&amp;TEXT(ESZ28-utc_offset/24,"HH")&amp;search_regexp&amp;""""</f>
        <v>#REF!</v>
      </c>
      <c r="ETX28" s="234" t="e">
        <f>astrogrep_path&amp;" /e /r /s /spath="&amp;search_path&amp;" /stypes=""app*"&amp;EST28&amp;"*"&amp;TEXT(ETA28-utc_offset/24,"YYYYMMDD")&amp;"*"" /stext="" "&amp;TEXT(ETA28-utc_offset/24,"HH")&amp;search_regexp&amp;""""</f>
        <v>#REF!</v>
      </c>
      <c r="ETY28" s="234" t="e">
        <f>astrogrep_path&amp;" /e /r /s /spath="&amp;search_path&amp;" /stypes=""app*"&amp;ESU28&amp;"*"&amp;TEXT(ETB28-utc_offset/24,"YYYYMMDD")&amp;"*"" /stext="" "&amp;TEXT(ETB28-utc_offset/24,"HH")&amp;search_regexp&amp;""""</f>
        <v>#REF!</v>
      </c>
      <c r="ETZ28" s="234" t="e">
        <f>astrogrep_path&amp;" /e /r /s /spath="&amp;search_path&amp;" /stypes=""app*"&amp;ESV28&amp;"*"&amp;TEXT(ETC28-utc_offset/24,"YYYYMMDD")&amp;"*"" /stext="" "&amp;TEXT(ETC28-utc_offset/24,"HH")&amp;search_regexp&amp;""""</f>
        <v>#REF!</v>
      </c>
      <c r="EUA28" s="234" t="e">
        <f>astrogrep_path&amp;" /e /r /s /spath="&amp;search_path&amp;" /stypes=""app*"&amp;ESW28&amp;"*"&amp;TEXT(ETD28-utc_offset/24,"YYYYMMDD")&amp;"*"" /stext="" "&amp;TEXT(ETD28-utc_offset/24,"HH")&amp;search_regexp&amp;""""</f>
        <v>#REF!</v>
      </c>
      <c r="EUB28" s="234" t="e">
        <f>astrogrep_path&amp;" /e /r /s /spath="&amp;search_path&amp;" /stypes=""app*"&amp;ESX28&amp;"*"&amp;TEXT(ETE28-utc_offset/24,"YYYYMMDD")&amp;"*"" /stext="" "&amp;TEXT(ETE28-utc_offset/24,"HH")&amp;search_regexp&amp;""""</f>
        <v>#REF!</v>
      </c>
      <c r="EUC28" s="234" t="e">
        <f>astrogrep_path&amp;" /e /r /s /spath="&amp;search_path&amp;" /stypes=""app*"&amp;ESY28&amp;"*"&amp;TEXT(ETF28-utc_offset/24,"YYYYMMDD")&amp;"*"" /stext="" "&amp;TEXT(ETF28-utc_offset/24,"HH")&amp;search_regexp&amp;""""</f>
        <v>#REF!</v>
      </c>
      <c r="EUD28" s="234" t="e">
        <f>astrogrep_path&amp;" /e /r /s /spath="&amp;search_path&amp;" /stypes=""app*"&amp;ESZ28&amp;"*"&amp;TEXT(ETG28-utc_offset/24,"YYYYMMDD")&amp;"*"" /stext="" "&amp;TEXT(ETG28-utc_offset/24,"HH")&amp;search_regexp&amp;""""</f>
        <v>#REF!</v>
      </c>
      <c r="EUE28" s="234" t="e">
        <f>astrogrep_path&amp;" /e /r /s /spath="&amp;search_path&amp;" /stypes=""app*"&amp;ETA28&amp;"*"&amp;TEXT(ETH28-utc_offset/24,"YYYYMMDD")&amp;"*"" /stext="" "&amp;TEXT(ETH28-utc_offset/24,"HH")&amp;search_regexp&amp;""""</f>
        <v>#VALUE!</v>
      </c>
      <c r="EUF28" s="234" t="e">
        <f>astrogrep_path&amp;" /e /r /s /spath="&amp;search_path&amp;" /stypes=""app*"&amp;ETB28&amp;"*"&amp;TEXT(ETI28-utc_offset/24,"YYYYMMDD")&amp;"*"" /stext="" "&amp;TEXT(ETI28-utc_offset/24,"HH")&amp;search_regexp&amp;""""</f>
        <v>#VALUE!</v>
      </c>
      <c r="EUG28" s="234" t="e">
        <f>astrogrep_path&amp;" /e /r /s /spath="&amp;search_path&amp;" /stypes=""app*"&amp;ETC28&amp;"*"&amp;TEXT(ETJ28-utc_offset/24,"YYYYMMDD")&amp;"*"" /stext="" "&amp;TEXT(ETJ28-utc_offset/24,"HH")&amp;search_regexp&amp;""""</f>
        <v>#REF!</v>
      </c>
      <c r="EUH28" s="234" t="e">
        <f>astrogrep_path&amp;" /e /r /s /spath="&amp;search_path&amp;" /stypes=""app*"&amp;ETD28&amp;"*"&amp;TEXT(ETK28-utc_offset/24,"YYYYMMDD")&amp;"*"" /stext="" "&amp;TEXT(ETK28-utc_offset/24,"HH")&amp;search_regexp&amp;""""</f>
        <v>#REF!</v>
      </c>
      <c r="EUI28" s="234" t="e">
        <f>astrogrep_path&amp;" /e /r /s /spath="&amp;search_path&amp;" /stypes=""app*"&amp;ETE28&amp;"*"&amp;TEXT(ETL28-utc_offset/24,"YYYYMMDD")&amp;"*"" /stext="" "&amp;TEXT(ETL28-utc_offset/24,"HH")&amp;search_regexp&amp;""""</f>
        <v>#VALUE!</v>
      </c>
      <c r="EUJ28" s="234" t="e">
        <f>astrogrep_path&amp;" /e /r /s /spath="&amp;search_path&amp;" /stypes=""app*"&amp;ETF28&amp;"*"&amp;TEXT(ETM28-utc_offset/24,"YYYYMMDD")&amp;"*"" /stext="" "&amp;TEXT(ETM28-utc_offset/24,"HH")&amp;search_regexp&amp;""""</f>
        <v>#VALUE!</v>
      </c>
      <c r="EUK28" s="234" t="e">
        <f>astrogrep_path&amp;" /e /r /s /spath="&amp;search_path&amp;" /stypes=""app*"&amp;ETG28&amp;"*"&amp;TEXT(ETN28-utc_offset/24,"YYYYMMDD")&amp;"*"" /stext="" "&amp;TEXT(ETN28-utc_offset/24,"HH")&amp;search_regexp&amp;""""</f>
        <v>#VALUE!</v>
      </c>
      <c r="EUL28" s="234" t="e">
        <f>astrogrep_path&amp;" /e /r /s /spath="&amp;search_path&amp;" /stypes=""app*"&amp;ETH28&amp;"*"&amp;TEXT(ETO28-utc_offset/24,"YYYYMMDD")&amp;"*"" /stext="" "&amp;TEXT(ETO28-utc_offset/24,"HH")&amp;search_regexp&amp;""""</f>
        <v>#VALUE!</v>
      </c>
      <c r="EUM28" s="234" t="e">
        <f>astrogrep_path&amp;" /e /r /s /spath="&amp;search_path&amp;" /stypes=""app*"&amp;ETI28&amp;"*"&amp;TEXT(ETP28-utc_offset/24,"YYYYMMDD")&amp;"*"" /stext="" "&amp;TEXT(ETP28-utc_offset/24,"HH")&amp;search_regexp&amp;""""</f>
        <v>#VALUE!</v>
      </c>
      <c r="EUN28" s="234" t="e">
        <f>astrogrep_path&amp;" /e /r /s /spath="&amp;search_path&amp;" /stypes=""app*"&amp;ETJ28&amp;"*"&amp;TEXT(ETQ28-utc_offset/24,"YYYYMMDD")&amp;"*"" /stext="" "&amp;TEXT(ETQ28-utc_offset/24,"HH")&amp;search_regexp&amp;""""</f>
        <v>#REF!</v>
      </c>
      <c r="EUO28" s="234" t="e">
        <f>astrogrep_path&amp;" /e /r /s /spath="&amp;search_path&amp;" /stypes=""app*"&amp;ETK28&amp;"*"&amp;TEXT(ETR28-utc_offset/24,"YYYYMMDD")&amp;"*"" /stext="" "&amp;TEXT(ETR28-utc_offset/24,"HH")&amp;search_regexp&amp;""""</f>
        <v>#REF!</v>
      </c>
      <c r="EUP28" s="234" t="e">
        <f>astrogrep_path&amp;" /e /r /s /spath="&amp;search_path&amp;" /stypes=""app*"&amp;ETL28&amp;"*"&amp;TEXT(ETS28-utc_offset/24,"YYYYMMDD")&amp;"*"" /stext="" "&amp;TEXT(ETS28-utc_offset/24,"HH")&amp;search_regexp&amp;""""</f>
        <v>#REF!</v>
      </c>
      <c r="EUQ28" s="234" t="e">
        <f>astrogrep_path&amp;" /e /r /s /spath="&amp;search_path&amp;" /stypes=""app*"&amp;ETM28&amp;"*"&amp;TEXT(ETT28-utc_offset/24,"YYYYMMDD")&amp;"*"" /stext="" "&amp;TEXT(ETT28-utc_offset/24,"HH")&amp;search_regexp&amp;""""</f>
        <v>#REF!</v>
      </c>
      <c r="EUR28" s="234" t="e">
        <f>astrogrep_path&amp;" /e /r /s /spath="&amp;search_path&amp;" /stypes=""app*"&amp;ETN28&amp;"*"&amp;TEXT(ETU28-utc_offset/24,"YYYYMMDD")&amp;"*"" /stext="" "&amp;TEXT(ETU28-utc_offset/24,"HH")&amp;search_regexp&amp;""""</f>
        <v>#REF!</v>
      </c>
      <c r="EUS28" s="234" t="e">
        <f>astrogrep_path&amp;" /e /r /s /spath="&amp;search_path&amp;" /stypes=""app*"&amp;ETO28&amp;"*"&amp;TEXT(ETV28-utc_offset/24,"YYYYMMDD")&amp;"*"" /stext="" "&amp;TEXT(ETV28-utc_offset/24,"HH")&amp;search_regexp&amp;""""</f>
        <v>#REF!</v>
      </c>
      <c r="EUT28" s="234" t="e">
        <f>astrogrep_path&amp;" /e /r /s /spath="&amp;search_path&amp;" /stypes=""app*"&amp;ETP28&amp;"*"&amp;TEXT(ETW28-utc_offset/24,"YYYYMMDD")&amp;"*"" /stext="" "&amp;TEXT(ETW28-utc_offset/24,"HH")&amp;search_regexp&amp;""""</f>
        <v>#REF!</v>
      </c>
      <c r="EUU28" s="234" t="e">
        <f>astrogrep_path&amp;" /e /r /s /spath="&amp;search_path&amp;" /stypes=""app*"&amp;ETQ28&amp;"*"&amp;TEXT(ETX28-utc_offset/24,"YYYYMMDD")&amp;"*"" /stext="" "&amp;TEXT(ETX28-utc_offset/24,"HH")&amp;search_regexp&amp;""""</f>
        <v>#REF!</v>
      </c>
      <c r="EUV28" s="234" t="e">
        <f>astrogrep_path&amp;" /e /r /s /spath="&amp;search_path&amp;" /stypes=""app*"&amp;ETR28&amp;"*"&amp;TEXT(ETY28-utc_offset/24,"YYYYMMDD")&amp;"*"" /stext="" "&amp;TEXT(ETY28-utc_offset/24,"HH")&amp;search_regexp&amp;""""</f>
        <v>#REF!</v>
      </c>
      <c r="EUW28" s="234" t="e">
        <f>astrogrep_path&amp;" /e /r /s /spath="&amp;search_path&amp;" /stypes=""app*"&amp;ETS28&amp;"*"&amp;TEXT(ETZ28-utc_offset/24,"YYYYMMDD")&amp;"*"" /stext="" "&amp;TEXT(ETZ28-utc_offset/24,"HH")&amp;search_regexp&amp;""""</f>
        <v>#REF!</v>
      </c>
      <c r="EUX28" s="234" t="e">
        <f>astrogrep_path&amp;" /e /r /s /spath="&amp;search_path&amp;" /stypes=""app*"&amp;ETT28&amp;"*"&amp;TEXT(EUA28-utc_offset/24,"YYYYMMDD")&amp;"*"" /stext="" "&amp;TEXT(EUA28-utc_offset/24,"HH")&amp;search_regexp&amp;""""</f>
        <v>#REF!</v>
      </c>
      <c r="EUY28" s="234" t="e">
        <f>astrogrep_path&amp;" /e /r /s /spath="&amp;search_path&amp;" /stypes=""app*"&amp;ETU28&amp;"*"&amp;TEXT(EUB28-utc_offset/24,"YYYYMMDD")&amp;"*"" /stext="" "&amp;TEXT(EUB28-utc_offset/24,"HH")&amp;search_regexp&amp;""""</f>
        <v>#REF!</v>
      </c>
      <c r="EUZ28" s="234" t="e">
        <f>astrogrep_path&amp;" /e /r /s /spath="&amp;search_path&amp;" /stypes=""app*"&amp;ETV28&amp;"*"&amp;TEXT(EUC28-utc_offset/24,"YYYYMMDD")&amp;"*"" /stext="" "&amp;TEXT(EUC28-utc_offset/24,"HH")&amp;search_regexp&amp;""""</f>
        <v>#REF!</v>
      </c>
      <c r="EVA28" s="234" t="e">
        <f>astrogrep_path&amp;" /e /r /s /spath="&amp;search_path&amp;" /stypes=""app*"&amp;ETW28&amp;"*"&amp;TEXT(EUD28-utc_offset/24,"YYYYMMDD")&amp;"*"" /stext="" "&amp;TEXT(EUD28-utc_offset/24,"HH")&amp;search_regexp&amp;""""</f>
        <v>#REF!</v>
      </c>
      <c r="EVB28" s="234" t="e">
        <f>astrogrep_path&amp;" /e /r /s /spath="&amp;search_path&amp;" /stypes=""app*"&amp;ETX28&amp;"*"&amp;TEXT(EUE28-utc_offset/24,"YYYYMMDD")&amp;"*"" /stext="" "&amp;TEXT(EUE28-utc_offset/24,"HH")&amp;search_regexp&amp;""""</f>
        <v>#REF!</v>
      </c>
      <c r="EVC28" s="234" t="e">
        <f>astrogrep_path&amp;" /e /r /s /spath="&amp;search_path&amp;" /stypes=""app*"&amp;ETY28&amp;"*"&amp;TEXT(EUF28-utc_offset/24,"YYYYMMDD")&amp;"*"" /stext="" "&amp;TEXT(EUF28-utc_offset/24,"HH")&amp;search_regexp&amp;""""</f>
        <v>#REF!</v>
      </c>
      <c r="EVD28" s="234" t="e">
        <f>astrogrep_path&amp;" /e /r /s /spath="&amp;search_path&amp;" /stypes=""app*"&amp;ETZ28&amp;"*"&amp;TEXT(EUG28-utc_offset/24,"YYYYMMDD")&amp;"*"" /stext="" "&amp;TEXT(EUG28-utc_offset/24,"HH")&amp;search_regexp&amp;""""</f>
        <v>#REF!</v>
      </c>
      <c r="EVE28" s="234" t="e">
        <f>astrogrep_path&amp;" /e /r /s /spath="&amp;search_path&amp;" /stypes=""app*"&amp;EUA28&amp;"*"&amp;TEXT(EUH28-utc_offset/24,"YYYYMMDD")&amp;"*"" /stext="" "&amp;TEXT(EUH28-utc_offset/24,"HH")&amp;search_regexp&amp;""""</f>
        <v>#REF!</v>
      </c>
      <c r="EVF28" s="234" t="e">
        <f>astrogrep_path&amp;" /e /r /s /spath="&amp;search_path&amp;" /stypes=""app*"&amp;EUB28&amp;"*"&amp;TEXT(EUI28-utc_offset/24,"YYYYMMDD")&amp;"*"" /stext="" "&amp;TEXT(EUI28-utc_offset/24,"HH")&amp;search_regexp&amp;""""</f>
        <v>#REF!</v>
      </c>
      <c r="EVG28" s="234" t="e">
        <f>astrogrep_path&amp;" /e /r /s /spath="&amp;search_path&amp;" /stypes=""app*"&amp;EUC28&amp;"*"&amp;TEXT(EUJ28-utc_offset/24,"YYYYMMDD")&amp;"*"" /stext="" "&amp;TEXT(EUJ28-utc_offset/24,"HH")&amp;search_regexp&amp;""""</f>
        <v>#REF!</v>
      </c>
      <c r="EVH28" s="234" t="e">
        <f>astrogrep_path&amp;" /e /r /s /spath="&amp;search_path&amp;" /stypes=""app*"&amp;EUD28&amp;"*"&amp;TEXT(EUK28-utc_offset/24,"YYYYMMDD")&amp;"*"" /stext="" "&amp;TEXT(EUK28-utc_offset/24,"HH")&amp;search_regexp&amp;""""</f>
        <v>#REF!</v>
      </c>
      <c r="EVI28" s="234" t="e">
        <f>astrogrep_path&amp;" /e /r /s /spath="&amp;search_path&amp;" /stypes=""app*"&amp;EUE28&amp;"*"&amp;TEXT(EUL28-utc_offset/24,"YYYYMMDD")&amp;"*"" /stext="" "&amp;TEXT(EUL28-utc_offset/24,"HH")&amp;search_regexp&amp;""""</f>
        <v>#VALUE!</v>
      </c>
      <c r="EVJ28" s="234" t="e">
        <f>astrogrep_path&amp;" /e /r /s /spath="&amp;search_path&amp;" /stypes=""app*"&amp;EUF28&amp;"*"&amp;TEXT(EUM28-utc_offset/24,"YYYYMMDD")&amp;"*"" /stext="" "&amp;TEXT(EUM28-utc_offset/24,"HH")&amp;search_regexp&amp;""""</f>
        <v>#VALUE!</v>
      </c>
      <c r="EVK28" s="234" t="e">
        <f>astrogrep_path&amp;" /e /r /s /spath="&amp;search_path&amp;" /stypes=""app*"&amp;EUG28&amp;"*"&amp;TEXT(EUN28-utc_offset/24,"YYYYMMDD")&amp;"*"" /stext="" "&amp;TEXT(EUN28-utc_offset/24,"HH")&amp;search_regexp&amp;""""</f>
        <v>#REF!</v>
      </c>
      <c r="EVL28" s="234" t="e">
        <f>astrogrep_path&amp;" /e /r /s /spath="&amp;search_path&amp;" /stypes=""app*"&amp;EUH28&amp;"*"&amp;TEXT(EUO28-utc_offset/24,"YYYYMMDD")&amp;"*"" /stext="" "&amp;TEXT(EUO28-utc_offset/24,"HH")&amp;search_regexp&amp;""""</f>
        <v>#REF!</v>
      </c>
      <c r="EVM28" s="234" t="e">
        <f>astrogrep_path&amp;" /e /r /s /spath="&amp;search_path&amp;" /stypes=""app*"&amp;EUI28&amp;"*"&amp;TEXT(EUP28-utc_offset/24,"YYYYMMDD")&amp;"*"" /stext="" "&amp;TEXT(EUP28-utc_offset/24,"HH")&amp;search_regexp&amp;""""</f>
        <v>#VALUE!</v>
      </c>
      <c r="EVN28" s="234" t="e">
        <f>astrogrep_path&amp;" /e /r /s /spath="&amp;search_path&amp;" /stypes=""app*"&amp;EUJ28&amp;"*"&amp;TEXT(EUQ28-utc_offset/24,"YYYYMMDD")&amp;"*"" /stext="" "&amp;TEXT(EUQ28-utc_offset/24,"HH")&amp;search_regexp&amp;""""</f>
        <v>#VALUE!</v>
      </c>
      <c r="EVO28" s="234" t="e">
        <f>astrogrep_path&amp;" /e /r /s /spath="&amp;search_path&amp;" /stypes=""app*"&amp;EUK28&amp;"*"&amp;TEXT(EUR28-utc_offset/24,"YYYYMMDD")&amp;"*"" /stext="" "&amp;TEXT(EUR28-utc_offset/24,"HH")&amp;search_regexp&amp;""""</f>
        <v>#VALUE!</v>
      </c>
      <c r="EVP28" s="234" t="e">
        <f>astrogrep_path&amp;" /e /r /s /spath="&amp;search_path&amp;" /stypes=""app*"&amp;EUL28&amp;"*"&amp;TEXT(EUS28-utc_offset/24,"YYYYMMDD")&amp;"*"" /stext="" "&amp;TEXT(EUS28-utc_offset/24,"HH")&amp;search_regexp&amp;""""</f>
        <v>#VALUE!</v>
      </c>
      <c r="EVQ28" s="234" t="e">
        <f>astrogrep_path&amp;" /e /r /s /spath="&amp;search_path&amp;" /stypes=""app*"&amp;EUM28&amp;"*"&amp;TEXT(EUT28-utc_offset/24,"YYYYMMDD")&amp;"*"" /stext="" "&amp;TEXT(EUT28-utc_offset/24,"HH")&amp;search_regexp&amp;""""</f>
        <v>#VALUE!</v>
      </c>
      <c r="EVR28" s="234" t="e">
        <f>astrogrep_path&amp;" /e /r /s /spath="&amp;search_path&amp;" /stypes=""app*"&amp;EUN28&amp;"*"&amp;TEXT(EUU28-utc_offset/24,"YYYYMMDD")&amp;"*"" /stext="" "&amp;TEXT(EUU28-utc_offset/24,"HH")&amp;search_regexp&amp;""""</f>
        <v>#REF!</v>
      </c>
      <c r="EVS28" s="234" t="e">
        <f>astrogrep_path&amp;" /e /r /s /spath="&amp;search_path&amp;" /stypes=""app*"&amp;EUO28&amp;"*"&amp;TEXT(EUV28-utc_offset/24,"YYYYMMDD")&amp;"*"" /stext="" "&amp;TEXT(EUV28-utc_offset/24,"HH")&amp;search_regexp&amp;""""</f>
        <v>#REF!</v>
      </c>
      <c r="EVT28" s="234" t="e">
        <f>astrogrep_path&amp;" /e /r /s /spath="&amp;search_path&amp;" /stypes=""app*"&amp;EUP28&amp;"*"&amp;TEXT(EUW28-utc_offset/24,"YYYYMMDD")&amp;"*"" /stext="" "&amp;TEXT(EUW28-utc_offset/24,"HH")&amp;search_regexp&amp;""""</f>
        <v>#REF!</v>
      </c>
      <c r="EVU28" s="234" t="e">
        <f>astrogrep_path&amp;" /e /r /s /spath="&amp;search_path&amp;" /stypes=""app*"&amp;EUQ28&amp;"*"&amp;TEXT(EUX28-utc_offset/24,"YYYYMMDD")&amp;"*"" /stext="" "&amp;TEXT(EUX28-utc_offset/24,"HH")&amp;search_regexp&amp;""""</f>
        <v>#REF!</v>
      </c>
      <c r="EVV28" s="234" t="e">
        <f>astrogrep_path&amp;" /e /r /s /spath="&amp;search_path&amp;" /stypes=""app*"&amp;EUR28&amp;"*"&amp;TEXT(EUY28-utc_offset/24,"YYYYMMDD")&amp;"*"" /stext="" "&amp;TEXT(EUY28-utc_offset/24,"HH")&amp;search_regexp&amp;""""</f>
        <v>#REF!</v>
      </c>
      <c r="EVW28" s="234" t="e">
        <f>astrogrep_path&amp;" /e /r /s /spath="&amp;search_path&amp;" /stypes=""app*"&amp;EUS28&amp;"*"&amp;TEXT(EUZ28-utc_offset/24,"YYYYMMDD")&amp;"*"" /stext="" "&amp;TEXT(EUZ28-utc_offset/24,"HH")&amp;search_regexp&amp;""""</f>
        <v>#REF!</v>
      </c>
      <c r="EVX28" s="234" t="e">
        <f>astrogrep_path&amp;" /e /r /s /spath="&amp;search_path&amp;" /stypes=""app*"&amp;EUT28&amp;"*"&amp;TEXT(EVA28-utc_offset/24,"YYYYMMDD")&amp;"*"" /stext="" "&amp;TEXT(EVA28-utc_offset/24,"HH")&amp;search_regexp&amp;""""</f>
        <v>#REF!</v>
      </c>
      <c r="EVY28" s="234" t="e">
        <f>astrogrep_path&amp;" /e /r /s /spath="&amp;search_path&amp;" /stypes=""app*"&amp;EUU28&amp;"*"&amp;TEXT(EVB28-utc_offset/24,"YYYYMMDD")&amp;"*"" /stext="" "&amp;TEXT(EVB28-utc_offset/24,"HH")&amp;search_regexp&amp;""""</f>
        <v>#REF!</v>
      </c>
      <c r="EVZ28" s="234" t="e">
        <f>astrogrep_path&amp;" /e /r /s /spath="&amp;search_path&amp;" /stypes=""app*"&amp;EUV28&amp;"*"&amp;TEXT(EVC28-utc_offset/24,"YYYYMMDD")&amp;"*"" /stext="" "&amp;TEXT(EVC28-utc_offset/24,"HH")&amp;search_regexp&amp;""""</f>
        <v>#REF!</v>
      </c>
      <c r="EWA28" s="234" t="e">
        <f>astrogrep_path&amp;" /e /r /s /spath="&amp;search_path&amp;" /stypes=""app*"&amp;EUW28&amp;"*"&amp;TEXT(EVD28-utc_offset/24,"YYYYMMDD")&amp;"*"" /stext="" "&amp;TEXT(EVD28-utc_offset/24,"HH")&amp;search_regexp&amp;""""</f>
        <v>#REF!</v>
      </c>
      <c r="EWB28" s="234" t="e">
        <f>astrogrep_path&amp;" /e /r /s /spath="&amp;search_path&amp;" /stypes=""app*"&amp;EUX28&amp;"*"&amp;TEXT(EVE28-utc_offset/24,"YYYYMMDD")&amp;"*"" /stext="" "&amp;TEXT(EVE28-utc_offset/24,"HH")&amp;search_regexp&amp;""""</f>
        <v>#REF!</v>
      </c>
      <c r="EWC28" s="234" t="e">
        <f>astrogrep_path&amp;" /e /r /s /spath="&amp;search_path&amp;" /stypes=""app*"&amp;EUY28&amp;"*"&amp;TEXT(EVF28-utc_offset/24,"YYYYMMDD")&amp;"*"" /stext="" "&amp;TEXT(EVF28-utc_offset/24,"HH")&amp;search_regexp&amp;""""</f>
        <v>#REF!</v>
      </c>
      <c r="EWD28" s="234" t="e">
        <f>astrogrep_path&amp;" /e /r /s /spath="&amp;search_path&amp;" /stypes=""app*"&amp;EUZ28&amp;"*"&amp;TEXT(EVG28-utc_offset/24,"YYYYMMDD")&amp;"*"" /stext="" "&amp;TEXT(EVG28-utc_offset/24,"HH")&amp;search_regexp&amp;""""</f>
        <v>#REF!</v>
      </c>
      <c r="EWE28" s="234" t="e">
        <f>astrogrep_path&amp;" /e /r /s /spath="&amp;search_path&amp;" /stypes=""app*"&amp;EVA28&amp;"*"&amp;TEXT(EVH28-utc_offset/24,"YYYYMMDD")&amp;"*"" /stext="" "&amp;TEXT(EVH28-utc_offset/24,"HH")&amp;search_regexp&amp;""""</f>
        <v>#REF!</v>
      </c>
      <c r="EWF28" s="234" t="e">
        <f>astrogrep_path&amp;" /e /r /s /spath="&amp;search_path&amp;" /stypes=""app*"&amp;EVB28&amp;"*"&amp;TEXT(EVI28-utc_offset/24,"YYYYMMDD")&amp;"*"" /stext="" "&amp;TEXT(EVI28-utc_offset/24,"HH")&amp;search_regexp&amp;""""</f>
        <v>#REF!</v>
      </c>
      <c r="EWG28" s="234" t="e">
        <f>astrogrep_path&amp;" /e /r /s /spath="&amp;search_path&amp;" /stypes=""app*"&amp;EVC28&amp;"*"&amp;TEXT(EVJ28-utc_offset/24,"YYYYMMDD")&amp;"*"" /stext="" "&amp;TEXT(EVJ28-utc_offset/24,"HH")&amp;search_regexp&amp;""""</f>
        <v>#REF!</v>
      </c>
      <c r="EWH28" s="234" t="e">
        <f>astrogrep_path&amp;" /e /r /s /spath="&amp;search_path&amp;" /stypes=""app*"&amp;EVD28&amp;"*"&amp;TEXT(EVK28-utc_offset/24,"YYYYMMDD")&amp;"*"" /stext="" "&amp;TEXT(EVK28-utc_offset/24,"HH")&amp;search_regexp&amp;""""</f>
        <v>#REF!</v>
      </c>
      <c r="EWI28" s="234" t="e">
        <f>astrogrep_path&amp;" /e /r /s /spath="&amp;search_path&amp;" /stypes=""app*"&amp;EVE28&amp;"*"&amp;TEXT(EVL28-utc_offset/24,"YYYYMMDD")&amp;"*"" /stext="" "&amp;TEXT(EVL28-utc_offset/24,"HH")&amp;search_regexp&amp;""""</f>
        <v>#REF!</v>
      </c>
      <c r="EWJ28" s="234" t="e">
        <f>astrogrep_path&amp;" /e /r /s /spath="&amp;search_path&amp;" /stypes=""app*"&amp;EVF28&amp;"*"&amp;TEXT(EVM28-utc_offset/24,"YYYYMMDD")&amp;"*"" /stext="" "&amp;TEXT(EVM28-utc_offset/24,"HH")&amp;search_regexp&amp;""""</f>
        <v>#REF!</v>
      </c>
      <c r="EWK28" s="234" t="e">
        <f>astrogrep_path&amp;" /e /r /s /spath="&amp;search_path&amp;" /stypes=""app*"&amp;EVG28&amp;"*"&amp;TEXT(EVN28-utc_offset/24,"YYYYMMDD")&amp;"*"" /stext="" "&amp;TEXT(EVN28-utc_offset/24,"HH")&amp;search_regexp&amp;""""</f>
        <v>#REF!</v>
      </c>
      <c r="EWL28" s="234" t="e">
        <f>astrogrep_path&amp;" /e /r /s /spath="&amp;search_path&amp;" /stypes=""app*"&amp;EVH28&amp;"*"&amp;TEXT(EVO28-utc_offset/24,"YYYYMMDD")&amp;"*"" /stext="" "&amp;TEXT(EVO28-utc_offset/24,"HH")&amp;search_regexp&amp;""""</f>
        <v>#REF!</v>
      </c>
      <c r="EWM28" s="234" t="e">
        <f>astrogrep_path&amp;" /e /r /s /spath="&amp;search_path&amp;" /stypes=""app*"&amp;EVI28&amp;"*"&amp;TEXT(EVP28-utc_offset/24,"YYYYMMDD")&amp;"*"" /stext="" "&amp;TEXT(EVP28-utc_offset/24,"HH")&amp;search_regexp&amp;""""</f>
        <v>#VALUE!</v>
      </c>
      <c r="EWN28" s="234" t="e">
        <f>astrogrep_path&amp;" /e /r /s /spath="&amp;search_path&amp;" /stypes=""app*"&amp;EVJ28&amp;"*"&amp;TEXT(EVQ28-utc_offset/24,"YYYYMMDD")&amp;"*"" /stext="" "&amp;TEXT(EVQ28-utc_offset/24,"HH")&amp;search_regexp&amp;""""</f>
        <v>#VALUE!</v>
      </c>
      <c r="EWO28" s="234" t="e">
        <f>astrogrep_path&amp;" /e /r /s /spath="&amp;search_path&amp;" /stypes=""app*"&amp;EVK28&amp;"*"&amp;TEXT(EVR28-utc_offset/24,"YYYYMMDD")&amp;"*"" /stext="" "&amp;TEXT(EVR28-utc_offset/24,"HH")&amp;search_regexp&amp;""""</f>
        <v>#REF!</v>
      </c>
      <c r="EWP28" s="234" t="e">
        <f>astrogrep_path&amp;" /e /r /s /spath="&amp;search_path&amp;" /stypes=""app*"&amp;EVL28&amp;"*"&amp;TEXT(EVS28-utc_offset/24,"YYYYMMDD")&amp;"*"" /stext="" "&amp;TEXT(EVS28-utc_offset/24,"HH")&amp;search_regexp&amp;""""</f>
        <v>#REF!</v>
      </c>
      <c r="EWQ28" s="234" t="e">
        <f>astrogrep_path&amp;" /e /r /s /spath="&amp;search_path&amp;" /stypes=""app*"&amp;EVM28&amp;"*"&amp;TEXT(EVT28-utc_offset/24,"YYYYMMDD")&amp;"*"" /stext="" "&amp;TEXT(EVT28-utc_offset/24,"HH")&amp;search_regexp&amp;""""</f>
        <v>#VALUE!</v>
      </c>
      <c r="EWR28" s="234" t="e">
        <f>astrogrep_path&amp;" /e /r /s /spath="&amp;search_path&amp;" /stypes=""app*"&amp;EVN28&amp;"*"&amp;TEXT(EVU28-utc_offset/24,"YYYYMMDD")&amp;"*"" /stext="" "&amp;TEXT(EVU28-utc_offset/24,"HH")&amp;search_regexp&amp;""""</f>
        <v>#VALUE!</v>
      </c>
      <c r="EWS28" s="234" t="e">
        <f>astrogrep_path&amp;" /e /r /s /spath="&amp;search_path&amp;" /stypes=""app*"&amp;EVO28&amp;"*"&amp;TEXT(EVV28-utc_offset/24,"YYYYMMDD")&amp;"*"" /stext="" "&amp;TEXT(EVV28-utc_offset/24,"HH")&amp;search_regexp&amp;""""</f>
        <v>#VALUE!</v>
      </c>
      <c r="EWT28" s="234" t="e">
        <f>astrogrep_path&amp;" /e /r /s /spath="&amp;search_path&amp;" /stypes=""app*"&amp;EVP28&amp;"*"&amp;TEXT(EVW28-utc_offset/24,"YYYYMMDD")&amp;"*"" /stext="" "&amp;TEXT(EVW28-utc_offset/24,"HH")&amp;search_regexp&amp;""""</f>
        <v>#VALUE!</v>
      </c>
      <c r="EWU28" s="234" t="e">
        <f>astrogrep_path&amp;" /e /r /s /spath="&amp;search_path&amp;" /stypes=""app*"&amp;EVQ28&amp;"*"&amp;TEXT(EVX28-utc_offset/24,"YYYYMMDD")&amp;"*"" /stext="" "&amp;TEXT(EVX28-utc_offset/24,"HH")&amp;search_regexp&amp;""""</f>
        <v>#VALUE!</v>
      </c>
      <c r="EWV28" s="234" t="e">
        <f>astrogrep_path&amp;" /e /r /s /spath="&amp;search_path&amp;" /stypes=""app*"&amp;EVR28&amp;"*"&amp;TEXT(EVY28-utc_offset/24,"YYYYMMDD")&amp;"*"" /stext="" "&amp;TEXT(EVY28-utc_offset/24,"HH")&amp;search_regexp&amp;""""</f>
        <v>#REF!</v>
      </c>
      <c r="EWW28" s="234" t="e">
        <f>astrogrep_path&amp;" /e /r /s /spath="&amp;search_path&amp;" /stypes=""app*"&amp;EVS28&amp;"*"&amp;TEXT(EVZ28-utc_offset/24,"YYYYMMDD")&amp;"*"" /stext="" "&amp;TEXT(EVZ28-utc_offset/24,"HH")&amp;search_regexp&amp;""""</f>
        <v>#REF!</v>
      </c>
      <c r="EWX28" s="234" t="e">
        <f>astrogrep_path&amp;" /e /r /s /spath="&amp;search_path&amp;" /stypes=""app*"&amp;EVT28&amp;"*"&amp;TEXT(EWA28-utc_offset/24,"YYYYMMDD")&amp;"*"" /stext="" "&amp;TEXT(EWA28-utc_offset/24,"HH")&amp;search_regexp&amp;""""</f>
        <v>#REF!</v>
      </c>
      <c r="EWY28" s="234" t="e">
        <f>astrogrep_path&amp;" /e /r /s /spath="&amp;search_path&amp;" /stypes=""app*"&amp;EVU28&amp;"*"&amp;TEXT(EWB28-utc_offset/24,"YYYYMMDD")&amp;"*"" /stext="" "&amp;TEXT(EWB28-utc_offset/24,"HH")&amp;search_regexp&amp;""""</f>
        <v>#REF!</v>
      </c>
      <c r="EWZ28" s="234" t="e">
        <f>astrogrep_path&amp;" /e /r /s /spath="&amp;search_path&amp;" /stypes=""app*"&amp;EVV28&amp;"*"&amp;TEXT(EWC28-utc_offset/24,"YYYYMMDD")&amp;"*"" /stext="" "&amp;TEXT(EWC28-utc_offset/24,"HH")&amp;search_regexp&amp;""""</f>
        <v>#REF!</v>
      </c>
      <c r="EXA28" s="234" t="e">
        <f>astrogrep_path&amp;" /e /r /s /spath="&amp;search_path&amp;" /stypes=""app*"&amp;EVW28&amp;"*"&amp;TEXT(EWD28-utc_offset/24,"YYYYMMDD")&amp;"*"" /stext="" "&amp;TEXT(EWD28-utc_offset/24,"HH")&amp;search_regexp&amp;""""</f>
        <v>#REF!</v>
      </c>
      <c r="EXB28" s="234" t="e">
        <f>astrogrep_path&amp;" /e /r /s /spath="&amp;search_path&amp;" /stypes=""app*"&amp;EVX28&amp;"*"&amp;TEXT(EWE28-utc_offset/24,"YYYYMMDD")&amp;"*"" /stext="" "&amp;TEXT(EWE28-utc_offset/24,"HH")&amp;search_regexp&amp;""""</f>
        <v>#REF!</v>
      </c>
      <c r="EXC28" s="234" t="e">
        <f>astrogrep_path&amp;" /e /r /s /spath="&amp;search_path&amp;" /stypes=""app*"&amp;EVY28&amp;"*"&amp;TEXT(EWF28-utc_offset/24,"YYYYMMDD")&amp;"*"" /stext="" "&amp;TEXT(EWF28-utc_offset/24,"HH")&amp;search_regexp&amp;""""</f>
        <v>#REF!</v>
      </c>
      <c r="EXD28" s="234" t="e">
        <f>astrogrep_path&amp;" /e /r /s /spath="&amp;search_path&amp;" /stypes=""app*"&amp;EVZ28&amp;"*"&amp;TEXT(EWG28-utc_offset/24,"YYYYMMDD")&amp;"*"" /stext="" "&amp;TEXT(EWG28-utc_offset/24,"HH")&amp;search_regexp&amp;""""</f>
        <v>#REF!</v>
      </c>
      <c r="EXE28" s="234" t="e">
        <f>astrogrep_path&amp;" /e /r /s /spath="&amp;search_path&amp;" /stypes=""app*"&amp;EWA28&amp;"*"&amp;TEXT(EWH28-utc_offset/24,"YYYYMMDD")&amp;"*"" /stext="" "&amp;TEXT(EWH28-utc_offset/24,"HH")&amp;search_regexp&amp;""""</f>
        <v>#REF!</v>
      </c>
      <c r="EXF28" s="234" t="e">
        <f>astrogrep_path&amp;" /e /r /s /spath="&amp;search_path&amp;" /stypes=""app*"&amp;EWB28&amp;"*"&amp;TEXT(EWI28-utc_offset/24,"YYYYMMDD")&amp;"*"" /stext="" "&amp;TEXT(EWI28-utc_offset/24,"HH")&amp;search_regexp&amp;""""</f>
        <v>#REF!</v>
      </c>
      <c r="EXG28" s="234" t="e">
        <f>astrogrep_path&amp;" /e /r /s /spath="&amp;search_path&amp;" /stypes=""app*"&amp;EWC28&amp;"*"&amp;TEXT(EWJ28-utc_offset/24,"YYYYMMDD")&amp;"*"" /stext="" "&amp;TEXT(EWJ28-utc_offset/24,"HH")&amp;search_regexp&amp;""""</f>
        <v>#REF!</v>
      </c>
      <c r="EXH28" s="234" t="e">
        <f>astrogrep_path&amp;" /e /r /s /spath="&amp;search_path&amp;" /stypes=""app*"&amp;EWD28&amp;"*"&amp;TEXT(EWK28-utc_offset/24,"YYYYMMDD")&amp;"*"" /stext="" "&amp;TEXT(EWK28-utc_offset/24,"HH")&amp;search_regexp&amp;""""</f>
        <v>#REF!</v>
      </c>
      <c r="EXI28" s="234" t="e">
        <f>astrogrep_path&amp;" /e /r /s /spath="&amp;search_path&amp;" /stypes=""app*"&amp;EWE28&amp;"*"&amp;TEXT(EWL28-utc_offset/24,"YYYYMMDD")&amp;"*"" /stext="" "&amp;TEXT(EWL28-utc_offset/24,"HH")&amp;search_regexp&amp;""""</f>
        <v>#REF!</v>
      </c>
      <c r="EXJ28" s="234" t="e">
        <f>astrogrep_path&amp;" /e /r /s /spath="&amp;search_path&amp;" /stypes=""app*"&amp;EWF28&amp;"*"&amp;TEXT(EWM28-utc_offset/24,"YYYYMMDD")&amp;"*"" /stext="" "&amp;TEXT(EWM28-utc_offset/24,"HH")&amp;search_regexp&amp;""""</f>
        <v>#REF!</v>
      </c>
      <c r="EXK28" s="234" t="e">
        <f>astrogrep_path&amp;" /e /r /s /spath="&amp;search_path&amp;" /stypes=""app*"&amp;EWG28&amp;"*"&amp;TEXT(EWN28-utc_offset/24,"YYYYMMDD")&amp;"*"" /stext="" "&amp;TEXT(EWN28-utc_offset/24,"HH")&amp;search_regexp&amp;""""</f>
        <v>#REF!</v>
      </c>
      <c r="EXL28" s="234" t="e">
        <f>astrogrep_path&amp;" /e /r /s /spath="&amp;search_path&amp;" /stypes=""app*"&amp;EWH28&amp;"*"&amp;TEXT(EWO28-utc_offset/24,"YYYYMMDD")&amp;"*"" /stext="" "&amp;TEXT(EWO28-utc_offset/24,"HH")&amp;search_regexp&amp;""""</f>
        <v>#REF!</v>
      </c>
      <c r="EXM28" s="234" t="e">
        <f>astrogrep_path&amp;" /e /r /s /spath="&amp;search_path&amp;" /stypes=""app*"&amp;EWI28&amp;"*"&amp;TEXT(EWP28-utc_offset/24,"YYYYMMDD")&amp;"*"" /stext="" "&amp;TEXT(EWP28-utc_offset/24,"HH")&amp;search_regexp&amp;""""</f>
        <v>#REF!</v>
      </c>
      <c r="EXN28" s="234" t="e">
        <f>astrogrep_path&amp;" /e /r /s /spath="&amp;search_path&amp;" /stypes=""app*"&amp;EWJ28&amp;"*"&amp;TEXT(EWQ28-utc_offset/24,"YYYYMMDD")&amp;"*"" /stext="" "&amp;TEXT(EWQ28-utc_offset/24,"HH")&amp;search_regexp&amp;""""</f>
        <v>#REF!</v>
      </c>
      <c r="EXO28" s="234" t="e">
        <f>astrogrep_path&amp;" /e /r /s /spath="&amp;search_path&amp;" /stypes=""app*"&amp;EWK28&amp;"*"&amp;TEXT(EWR28-utc_offset/24,"YYYYMMDD")&amp;"*"" /stext="" "&amp;TEXT(EWR28-utc_offset/24,"HH")&amp;search_regexp&amp;""""</f>
        <v>#REF!</v>
      </c>
      <c r="EXP28" s="234" t="e">
        <f>astrogrep_path&amp;" /e /r /s /spath="&amp;search_path&amp;" /stypes=""app*"&amp;EWL28&amp;"*"&amp;TEXT(EWS28-utc_offset/24,"YYYYMMDD")&amp;"*"" /stext="" "&amp;TEXT(EWS28-utc_offset/24,"HH")&amp;search_regexp&amp;""""</f>
        <v>#REF!</v>
      </c>
      <c r="EXQ28" s="234" t="e">
        <f>astrogrep_path&amp;" /e /r /s /spath="&amp;search_path&amp;" /stypes=""app*"&amp;EWM28&amp;"*"&amp;TEXT(EWT28-utc_offset/24,"YYYYMMDD")&amp;"*"" /stext="" "&amp;TEXT(EWT28-utc_offset/24,"HH")&amp;search_regexp&amp;""""</f>
        <v>#VALUE!</v>
      </c>
      <c r="EXR28" s="234" t="e">
        <f>astrogrep_path&amp;" /e /r /s /spath="&amp;search_path&amp;" /stypes=""app*"&amp;EWN28&amp;"*"&amp;TEXT(EWU28-utc_offset/24,"YYYYMMDD")&amp;"*"" /stext="" "&amp;TEXT(EWU28-utc_offset/24,"HH")&amp;search_regexp&amp;""""</f>
        <v>#VALUE!</v>
      </c>
      <c r="EXS28" s="234" t="e">
        <f>astrogrep_path&amp;" /e /r /s /spath="&amp;search_path&amp;" /stypes=""app*"&amp;EWO28&amp;"*"&amp;TEXT(EWV28-utc_offset/24,"YYYYMMDD")&amp;"*"" /stext="" "&amp;TEXT(EWV28-utc_offset/24,"HH")&amp;search_regexp&amp;""""</f>
        <v>#REF!</v>
      </c>
      <c r="EXT28" s="234" t="e">
        <f>astrogrep_path&amp;" /e /r /s /spath="&amp;search_path&amp;" /stypes=""app*"&amp;EWP28&amp;"*"&amp;TEXT(EWW28-utc_offset/24,"YYYYMMDD")&amp;"*"" /stext="" "&amp;TEXT(EWW28-utc_offset/24,"HH")&amp;search_regexp&amp;""""</f>
        <v>#REF!</v>
      </c>
      <c r="EXU28" s="234" t="e">
        <f>astrogrep_path&amp;" /e /r /s /spath="&amp;search_path&amp;" /stypes=""app*"&amp;EWQ28&amp;"*"&amp;TEXT(EWX28-utc_offset/24,"YYYYMMDD")&amp;"*"" /stext="" "&amp;TEXT(EWX28-utc_offset/24,"HH")&amp;search_regexp&amp;""""</f>
        <v>#VALUE!</v>
      </c>
      <c r="EXV28" s="234" t="e">
        <f>astrogrep_path&amp;" /e /r /s /spath="&amp;search_path&amp;" /stypes=""app*"&amp;EWR28&amp;"*"&amp;TEXT(EWY28-utc_offset/24,"YYYYMMDD")&amp;"*"" /stext="" "&amp;TEXT(EWY28-utc_offset/24,"HH")&amp;search_regexp&amp;""""</f>
        <v>#VALUE!</v>
      </c>
      <c r="EXW28" s="234" t="e">
        <f>astrogrep_path&amp;" /e /r /s /spath="&amp;search_path&amp;" /stypes=""app*"&amp;EWS28&amp;"*"&amp;TEXT(EWZ28-utc_offset/24,"YYYYMMDD")&amp;"*"" /stext="" "&amp;TEXT(EWZ28-utc_offset/24,"HH")&amp;search_regexp&amp;""""</f>
        <v>#VALUE!</v>
      </c>
      <c r="EXX28" s="234" t="e">
        <f>astrogrep_path&amp;" /e /r /s /spath="&amp;search_path&amp;" /stypes=""app*"&amp;EWT28&amp;"*"&amp;TEXT(EXA28-utc_offset/24,"YYYYMMDD")&amp;"*"" /stext="" "&amp;TEXT(EXA28-utc_offset/24,"HH")&amp;search_regexp&amp;""""</f>
        <v>#VALUE!</v>
      </c>
      <c r="EXY28" s="234" t="e">
        <f>astrogrep_path&amp;" /e /r /s /spath="&amp;search_path&amp;" /stypes=""app*"&amp;EWU28&amp;"*"&amp;TEXT(EXB28-utc_offset/24,"YYYYMMDD")&amp;"*"" /stext="" "&amp;TEXT(EXB28-utc_offset/24,"HH")&amp;search_regexp&amp;""""</f>
        <v>#VALUE!</v>
      </c>
      <c r="EXZ28" s="234" t="e">
        <f>astrogrep_path&amp;" /e /r /s /spath="&amp;search_path&amp;" /stypes=""app*"&amp;EWV28&amp;"*"&amp;TEXT(EXC28-utc_offset/24,"YYYYMMDD")&amp;"*"" /stext="" "&amp;TEXT(EXC28-utc_offset/24,"HH")&amp;search_regexp&amp;""""</f>
        <v>#REF!</v>
      </c>
      <c r="EYA28" s="234" t="e">
        <f>astrogrep_path&amp;" /e /r /s /spath="&amp;search_path&amp;" /stypes=""app*"&amp;EWW28&amp;"*"&amp;TEXT(EXD28-utc_offset/24,"YYYYMMDD")&amp;"*"" /stext="" "&amp;TEXT(EXD28-utc_offset/24,"HH")&amp;search_regexp&amp;""""</f>
        <v>#REF!</v>
      </c>
      <c r="EYB28" s="234" t="e">
        <f>astrogrep_path&amp;" /e /r /s /spath="&amp;search_path&amp;" /stypes=""app*"&amp;EWX28&amp;"*"&amp;TEXT(EXE28-utc_offset/24,"YYYYMMDD")&amp;"*"" /stext="" "&amp;TEXT(EXE28-utc_offset/24,"HH")&amp;search_regexp&amp;""""</f>
        <v>#REF!</v>
      </c>
      <c r="EYC28" s="234" t="e">
        <f>astrogrep_path&amp;" /e /r /s /spath="&amp;search_path&amp;" /stypes=""app*"&amp;EWY28&amp;"*"&amp;TEXT(EXF28-utc_offset/24,"YYYYMMDD")&amp;"*"" /stext="" "&amp;TEXT(EXF28-utc_offset/24,"HH")&amp;search_regexp&amp;""""</f>
        <v>#REF!</v>
      </c>
      <c r="EYD28" s="234" t="e">
        <f>astrogrep_path&amp;" /e /r /s /spath="&amp;search_path&amp;" /stypes=""app*"&amp;EWZ28&amp;"*"&amp;TEXT(EXG28-utc_offset/24,"YYYYMMDD")&amp;"*"" /stext="" "&amp;TEXT(EXG28-utc_offset/24,"HH")&amp;search_regexp&amp;""""</f>
        <v>#REF!</v>
      </c>
      <c r="EYE28" s="234" t="e">
        <f>astrogrep_path&amp;" /e /r /s /spath="&amp;search_path&amp;" /stypes=""app*"&amp;EXA28&amp;"*"&amp;TEXT(EXH28-utc_offset/24,"YYYYMMDD")&amp;"*"" /stext="" "&amp;TEXT(EXH28-utc_offset/24,"HH")&amp;search_regexp&amp;""""</f>
        <v>#REF!</v>
      </c>
      <c r="EYF28" s="234" t="e">
        <f>astrogrep_path&amp;" /e /r /s /spath="&amp;search_path&amp;" /stypes=""app*"&amp;EXB28&amp;"*"&amp;TEXT(EXI28-utc_offset/24,"YYYYMMDD")&amp;"*"" /stext="" "&amp;TEXT(EXI28-utc_offset/24,"HH")&amp;search_regexp&amp;""""</f>
        <v>#REF!</v>
      </c>
      <c r="EYG28" s="234" t="e">
        <f>astrogrep_path&amp;" /e /r /s /spath="&amp;search_path&amp;" /stypes=""app*"&amp;EXC28&amp;"*"&amp;TEXT(EXJ28-utc_offset/24,"YYYYMMDD")&amp;"*"" /stext="" "&amp;TEXT(EXJ28-utc_offset/24,"HH")&amp;search_regexp&amp;""""</f>
        <v>#REF!</v>
      </c>
      <c r="EYH28" s="234" t="e">
        <f>astrogrep_path&amp;" /e /r /s /spath="&amp;search_path&amp;" /stypes=""app*"&amp;EXD28&amp;"*"&amp;TEXT(EXK28-utc_offset/24,"YYYYMMDD")&amp;"*"" /stext="" "&amp;TEXT(EXK28-utc_offset/24,"HH")&amp;search_regexp&amp;""""</f>
        <v>#REF!</v>
      </c>
      <c r="EYI28" s="234" t="e">
        <f>astrogrep_path&amp;" /e /r /s /spath="&amp;search_path&amp;" /stypes=""app*"&amp;EXE28&amp;"*"&amp;TEXT(EXL28-utc_offset/24,"YYYYMMDD")&amp;"*"" /stext="" "&amp;TEXT(EXL28-utc_offset/24,"HH")&amp;search_regexp&amp;""""</f>
        <v>#REF!</v>
      </c>
      <c r="EYJ28" s="234" t="e">
        <f>astrogrep_path&amp;" /e /r /s /spath="&amp;search_path&amp;" /stypes=""app*"&amp;EXF28&amp;"*"&amp;TEXT(EXM28-utc_offset/24,"YYYYMMDD")&amp;"*"" /stext="" "&amp;TEXT(EXM28-utc_offset/24,"HH")&amp;search_regexp&amp;""""</f>
        <v>#REF!</v>
      </c>
      <c r="EYK28" s="234" t="e">
        <f>astrogrep_path&amp;" /e /r /s /spath="&amp;search_path&amp;" /stypes=""app*"&amp;EXG28&amp;"*"&amp;TEXT(EXN28-utc_offset/24,"YYYYMMDD")&amp;"*"" /stext="" "&amp;TEXT(EXN28-utc_offset/24,"HH")&amp;search_regexp&amp;""""</f>
        <v>#REF!</v>
      </c>
      <c r="EYL28" s="234" t="e">
        <f>astrogrep_path&amp;" /e /r /s /spath="&amp;search_path&amp;" /stypes=""app*"&amp;EXH28&amp;"*"&amp;TEXT(EXO28-utc_offset/24,"YYYYMMDD")&amp;"*"" /stext="" "&amp;TEXT(EXO28-utc_offset/24,"HH")&amp;search_regexp&amp;""""</f>
        <v>#REF!</v>
      </c>
      <c r="EYM28" s="234" t="e">
        <f>astrogrep_path&amp;" /e /r /s /spath="&amp;search_path&amp;" /stypes=""app*"&amp;EXI28&amp;"*"&amp;TEXT(EXP28-utc_offset/24,"YYYYMMDD")&amp;"*"" /stext="" "&amp;TEXT(EXP28-utc_offset/24,"HH")&amp;search_regexp&amp;""""</f>
        <v>#REF!</v>
      </c>
      <c r="EYN28" s="234" t="e">
        <f>astrogrep_path&amp;" /e /r /s /spath="&amp;search_path&amp;" /stypes=""app*"&amp;EXJ28&amp;"*"&amp;TEXT(EXQ28-utc_offset/24,"YYYYMMDD")&amp;"*"" /stext="" "&amp;TEXT(EXQ28-utc_offset/24,"HH")&amp;search_regexp&amp;""""</f>
        <v>#REF!</v>
      </c>
      <c r="EYO28" s="234" t="e">
        <f>astrogrep_path&amp;" /e /r /s /spath="&amp;search_path&amp;" /stypes=""app*"&amp;EXK28&amp;"*"&amp;TEXT(EXR28-utc_offset/24,"YYYYMMDD")&amp;"*"" /stext="" "&amp;TEXT(EXR28-utc_offset/24,"HH")&amp;search_regexp&amp;""""</f>
        <v>#REF!</v>
      </c>
      <c r="EYP28" s="234" t="e">
        <f>astrogrep_path&amp;" /e /r /s /spath="&amp;search_path&amp;" /stypes=""app*"&amp;EXL28&amp;"*"&amp;TEXT(EXS28-utc_offset/24,"YYYYMMDD")&amp;"*"" /stext="" "&amp;TEXT(EXS28-utc_offset/24,"HH")&amp;search_regexp&amp;""""</f>
        <v>#REF!</v>
      </c>
      <c r="EYQ28" s="234" t="e">
        <f>astrogrep_path&amp;" /e /r /s /spath="&amp;search_path&amp;" /stypes=""app*"&amp;EXM28&amp;"*"&amp;TEXT(EXT28-utc_offset/24,"YYYYMMDD")&amp;"*"" /stext="" "&amp;TEXT(EXT28-utc_offset/24,"HH")&amp;search_regexp&amp;""""</f>
        <v>#REF!</v>
      </c>
      <c r="EYR28" s="234" t="e">
        <f>astrogrep_path&amp;" /e /r /s /spath="&amp;search_path&amp;" /stypes=""app*"&amp;EXN28&amp;"*"&amp;TEXT(EXU28-utc_offset/24,"YYYYMMDD")&amp;"*"" /stext="" "&amp;TEXT(EXU28-utc_offset/24,"HH")&amp;search_regexp&amp;""""</f>
        <v>#REF!</v>
      </c>
      <c r="EYS28" s="234" t="e">
        <f>astrogrep_path&amp;" /e /r /s /spath="&amp;search_path&amp;" /stypes=""app*"&amp;EXO28&amp;"*"&amp;TEXT(EXV28-utc_offset/24,"YYYYMMDD")&amp;"*"" /stext="" "&amp;TEXT(EXV28-utc_offset/24,"HH")&amp;search_regexp&amp;""""</f>
        <v>#REF!</v>
      </c>
      <c r="EYT28" s="234" t="e">
        <f>astrogrep_path&amp;" /e /r /s /spath="&amp;search_path&amp;" /stypes=""app*"&amp;EXP28&amp;"*"&amp;TEXT(EXW28-utc_offset/24,"YYYYMMDD")&amp;"*"" /stext="" "&amp;TEXT(EXW28-utc_offset/24,"HH")&amp;search_regexp&amp;""""</f>
        <v>#REF!</v>
      </c>
      <c r="EYU28" s="234" t="e">
        <f>astrogrep_path&amp;" /e /r /s /spath="&amp;search_path&amp;" /stypes=""app*"&amp;EXQ28&amp;"*"&amp;TEXT(EXX28-utc_offset/24,"YYYYMMDD")&amp;"*"" /stext="" "&amp;TEXT(EXX28-utc_offset/24,"HH")&amp;search_regexp&amp;""""</f>
        <v>#VALUE!</v>
      </c>
      <c r="EYV28" s="234" t="e">
        <f>astrogrep_path&amp;" /e /r /s /spath="&amp;search_path&amp;" /stypes=""app*"&amp;EXR28&amp;"*"&amp;TEXT(EXY28-utc_offset/24,"YYYYMMDD")&amp;"*"" /stext="" "&amp;TEXT(EXY28-utc_offset/24,"HH")&amp;search_regexp&amp;""""</f>
        <v>#VALUE!</v>
      </c>
      <c r="EYW28" s="234" t="e">
        <f>astrogrep_path&amp;" /e /r /s /spath="&amp;search_path&amp;" /stypes=""app*"&amp;EXS28&amp;"*"&amp;TEXT(EXZ28-utc_offset/24,"YYYYMMDD")&amp;"*"" /stext="" "&amp;TEXT(EXZ28-utc_offset/24,"HH")&amp;search_regexp&amp;""""</f>
        <v>#REF!</v>
      </c>
      <c r="EYX28" s="234" t="e">
        <f>astrogrep_path&amp;" /e /r /s /spath="&amp;search_path&amp;" /stypes=""app*"&amp;EXT28&amp;"*"&amp;TEXT(EYA28-utc_offset/24,"YYYYMMDD")&amp;"*"" /stext="" "&amp;TEXT(EYA28-utc_offset/24,"HH")&amp;search_regexp&amp;""""</f>
        <v>#REF!</v>
      </c>
      <c r="EYY28" s="234" t="e">
        <f>astrogrep_path&amp;" /e /r /s /spath="&amp;search_path&amp;" /stypes=""app*"&amp;EXU28&amp;"*"&amp;TEXT(EYB28-utc_offset/24,"YYYYMMDD")&amp;"*"" /stext="" "&amp;TEXT(EYB28-utc_offset/24,"HH")&amp;search_regexp&amp;""""</f>
        <v>#VALUE!</v>
      </c>
      <c r="EYZ28" s="234" t="e">
        <f>astrogrep_path&amp;" /e /r /s /spath="&amp;search_path&amp;" /stypes=""app*"&amp;EXV28&amp;"*"&amp;TEXT(EYC28-utc_offset/24,"YYYYMMDD")&amp;"*"" /stext="" "&amp;TEXT(EYC28-utc_offset/24,"HH")&amp;search_regexp&amp;""""</f>
        <v>#VALUE!</v>
      </c>
      <c r="EZA28" s="234" t="e">
        <f>astrogrep_path&amp;" /e /r /s /spath="&amp;search_path&amp;" /stypes=""app*"&amp;EXW28&amp;"*"&amp;TEXT(EYD28-utc_offset/24,"YYYYMMDD")&amp;"*"" /stext="" "&amp;TEXT(EYD28-utc_offset/24,"HH")&amp;search_regexp&amp;""""</f>
        <v>#VALUE!</v>
      </c>
      <c r="EZB28" s="234" t="e">
        <f>astrogrep_path&amp;" /e /r /s /spath="&amp;search_path&amp;" /stypes=""app*"&amp;EXX28&amp;"*"&amp;TEXT(EYE28-utc_offset/24,"YYYYMMDD")&amp;"*"" /stext="" "&amp;TEXT(EYE28-utc_offset/24,"HH")&amp;search_regexp&amp;""""</f>
        <v>#VALUE!</v>
      </c>
      <c r="EZC28" s="234" t="e">
        <f>astrogrep_path&amp;" /e /r /s /spath="&amp;search_path&amp;" /stypes=""app*"&amp;EXY28&amp;"*"&amp;TEXT(EYF28-utc_offset/24,"YYYYMMDD")&amp;"*"" /stext="" "&amp;TEXT(EYF28-utc_offset/24,"HH")&amp;search_regexp&amp;""""</f>
        <v>#VALUE!</v>
      </c>
      <c r="EZD28" s="234" t="e">
        <f>astrogrep_path&amp;" /e /r /s /spath="&amp;search_path&amp;" /stypes=""app*"&amp;EXZ28&amp;"*"&amp;TEXT(EYG28-utc_offset/24,"YYYYMMDD")&amp;"*"" /stext="" "&amp;TEXT(EYG28-utc_offset/24,"HH")&amp;search_regexp&amp;""""</f>
        <v>#REF!</v>
      </c>
      <c r="EZE28" s="234" t="e">
        <f>astrogrep_path&amp;" /e /r /s /spath="&amp;search_path&amp;" /stypes=""app*"&amp;EYA28&amp;"*"&amp;TEXT(EYH28-utc_offset/24,"YYYYMMDD")&amp;"*"" /stext="" "&amp;TEXT(EYH28-utc_offset/24,"HH")&amp;search_regexp&amp;""""</f>
        <v>#REF!</v>
      </c>
      <c r="EZF28" s="234" t="e">
        <f>astrogrep_path&amp;" /e /r /s /spath="&amp;search_path&amp;" /stypes=""app*"&amp;EYB28&amp;"*"&amp;TEXT(EYI28-utc_offset/24,"YYYYMMDD")&amp;"*"" /stext="" "&amp;TEXT(EYI28-utc_offset/24,"HH")&amp;search_regexp&amp;""""</f>
        <v>#REF!</v>
      </c>
      <c r="EZG28" s="234" t="e">
        <f>astrogrep_path&amp;" /e /r /s /spath="&amp;search_path&amp;" /stypes=""app*"&amp;EYC28&amp;"*"&amp;TEXT(EYJ28-utc_offset/24,"YYYYMMDD")&amp;"*"" /stext="" "&amp;TEXT(EYJ28-utc_offset/24,"HH")&amp;search_regexp&amp;""""</f>
        <v>#REF!</v>
      </c>
      <c r="EZH28" s="234" t="e">
        <f>astrogrep_path&amp;" /e /r /s /spath="&amp;search_path&amp;" /stypes=""app*"&amp;EYD28&amp;"*"&amp;TEXT(EYK28-utc_offset/24,"YYYYMMDD")&amp;"*"" /stext="" "&amp;TEXT(EYK28-utc_offset/24,"HH")&amp;search_regexp&amp;""""</f>
        <v>#REF!</v>
      </c>
      <c r="EZI28" s="234" t="e">
        <f>astrogrep_path&amp;" /e /r /s /spath="&amp;search_path&amp;" /stypes=""app*"&amp;EYE28&amp;"*"&amp;TEXT(EYL28-utc_offset/24,"YYYYMMDD")&amp;"*"" /stext="" "&amp;TEXT(EYL28-utc_offset/24,"HH")&amp;search_regexp&amp;""""</f>
        <v>#REF!</v>
      </c>
      <c r="EZJ28" s="234" t="e">
        <f>astrogrep_path&amp;" /e /r /s /spath="&amp;search_path&amp;" /stypes=""app*"&amp;EYF28&amp;"*"&amp;TEXT(EYM28-utc_offset/24,"YYYYMMDD")&amp;"*"" /stext="" "&amp;TEXT(EYM28-utc_offset/24,"HH")&amp;search_regexp&amp;""""</f>
        <v>#REF!</v>
      </c>
      <c r="EZK28" s="234" t="e">
        <f>astrogrep_path&amp;" /e /r /s /spath="&amp;search_path&amp;" /stypes=""app*"&amp;EYG28&amp;"*"&amp;TEXT(EYN28-utc_offset/24,"YYYYMMDD")&amp;"*"" /stext="" "&amp;TEXT(EYN28-utc_offset/24,"HH")&amp;search_regexp&amp;""""</f>
        <v>#REF!</v>
      </c>
      <c r="EZL28" s="234" t="e">
        <f>astrogrep_path&amp;" /e /r /s /spath="&amp;search_path&amp;" /stypes=""app*"&amp;EYH28&amp;"*"&amp;TEXT(EYO28-utc_offset/24,"YYYYMMDD")&amp;"*"" /stext="" "&amp;TEXT(EYO28-utc_offset/24,"HH")&amp;search_regexp&amp;""""</f>
        <v>#REF!</v>
      </c>
      <c r="EZM28" s="234" t="e">
        <f>astrogrep_path&amp;" /e /r /s /spath="&amp;search_path&amp;" /stypes=""app*"&amp;EYI28&amp;"*"&amp;TEXT(EYP28-utc_offset/24,"YYYYMMDD")&amp;"*"" /stext="" "&amp;TEXT(EYP28-utc_offset/24,"HH")&amp;search_regexp&amp;""""</f>
        <v>#REF!</v>
      </c>
      <c r="EZN28" s="234" t="e">
        <f>astrogrep_path&amp;" /e /r /s /spath="&amp;search_path&amp;" /stypes=""app*"&amp;EYJ28&amp;"*"&amp;TEXT(EYQ28-utc_offset/24,"YYYYMMDD")&amp;"*"" /stext="" "&amp;TEXT(EYQ28-utc_offset/24,"HH")&amp;search_regexp&amp;""""</f>
        <v>#REF!</v>
      </c>
      <c r="EZO28" s="234" t="e">
        <f>astrogrep_path&amp;" /e /r /s /spath="&amp;search_path&amp;" /stypes=""app*"&amp;EYK28&amp;"*"&amp;TEXT(EYR28-utc_offset/24,"YYYYMMDD")&amp;"*"" /stext="" "&amp;TEXT(EYR28-utc_offset/24,"HH")&amp;search_regexp&amp;""""</f>
        <v>#REF!</v>
      </c>
      <c r="EZP28" s="234" t="e">
        <f>astrogrep_path&amp;" /e /r /s /spath="&amp;search_path&amp;" /stypes=""app*"&amp;EYL28&amp;"*"&amp;TEXT(EYS28-utc_offset/24,"YYYYMMDD")&amp;"*"" /stext="" "&amp;TEXT(EYS28-utc_offset/24,"HH")&amp;search_regexp&amp;""""</f>
        <v>#REF!</v>
      </c>
      <c r="EZQ28" s="234" t="e">
        <f>astrogrep_path&amp;" /e /r /s /spath="&amp;search_path&amp;" /stypes=""app*"&amp;EYM28&amp;"*"&amp;TEXT(EYT28-utc_offset/24,"YYYYMMDD")&amp;"*"" /stext="" "&amp;TEXT(EYT28-utc_offset/24,"HH")&amp;search_regexp&amp;""""</f>
        <v>#REF!</v>
      </c>
      <c r="EZR28" s="234" t="e">
        <f>astrogrep_path&amp;" /e /r /s /spath="&amp;search_path&amp;" /stypes=""app*"&amp;EYN28&amp;"*"&amp;TEXT(EYU28-utc_offset/24,"YYYYMMDD")&amp;"*"" /stext="" "&amp;TEXT(EYU28-utc_offset/24,"HH")&amp;search_regexp&amp;""""</f>
        <v>#REF!</v>
      </c>
      <c r="EZS28" s="234" t="e">
        <f>astrogrep_path&amp;" /e /r /s /spath="&amp;search_path&amp;" /stypes=""app*"&amp;EYO28&amp;"*"&amp;TEXT(EYV28-utc_offset/24,"YYYYMMDD")&amp;"*"" /stext="" "&amp;TEXT(EYV28-utc_offset/24,"HH")&amp;search_regexp&amp;""""</f>
        <v>#REF!</v>
      </c>
      <c r="EZT28" s="234" t="e">
        <f>astrogrep_path&amp;" /e /r /s /spath="&amp;search_path&amp;" /stypes=""app*"&amp;EYP28&amp;"*"&amp;TEXT(EYW28-utc_offset/24,"YYYYMMDD")&amp;"*"" /stext="" "&amp;TEXT(EYW28-utc_offset/24,"HH")&amp;search_regexp&amp;""""</f>
        <v>#REF!</v>
      </c>
      <c r="EZU28" s="234" t="e">
        <f>astrogrep_path&amp;" /e /r /s /spath="&amp;search_path&amp;" /stypes=""app*"&amp;EYQ28&amp;"*"&amp;TEXT(EYX28-utc_offset/24,"YYYYMMDD")&amp;"*"" /stext="" "&amp;TEXT(EYX28-utc_offset/24,"HH")&amp;search_regexp&amp;""""</f>
        <v>#REF!</v>
      </c>
      <c r="EZV28" s="234" t="e">
        <f>astrogrep_path&amp;" /e /r /s /spath="&amp;search_path&amp;" /stypes=""app*"&amp;EYR28&amp;"*"&amp;TEXT(EYY28-utc_offset/24,"YYYYMMDD")&amp;"*"" /stext="" "&amp;TEXT(EYY28-utc_offset/24,"HH")&amp;search_regexp&amp;""""</f>
        <v>#REF!</v>
      </c>
      <c r="EZW28" s="234" t="e">
        <f>astrogrep_path&amp;" /e /r /s /spath="&amp;search_path&amp;" /stypes=""app*"&amp;EYS28&amp;"*"&amp;TEXT(EYZ28-utc_offset/24,"YYYYMMDD")&amp;"*"" /stext="" "&amp;TEXT(EYZ28-utc_offset/24,"HH")&amp;search_regexp&amp;""""</f>
        <v>#REF!</v>
      </c>
      <c r="EZX28" s="234" t="e">
        <f>astrogrep_path&amp;" /e /r /s /spath="&amp;search_path&amp;" /stypes=""app*"&amp;EYT28&amp;"*"&amp;TEXT(EZA28-utc_offset/24,"YYYYMMDD")&amp;"*"" /stext="" "&amp;TEXT(EZA28-utc_offset/24,"HH")&amp;search_regexp&amp;""""</f>
        <v>#REF!</v>
      </c>
      <c r="EZY28" s="234" t="e">
        <f>astrogrep_path&amp;" /e /r /s /spath="&amp;search_path&amp;" /stypes=""app*"&amp;EYU28&amp;"*"&amp;TEXT(EZB28-utc_offset/24,"YYYYMMDD")&amp;"*"" /stext="" "&amp;TEXT(EZB28-utc_offset/24,"HH")&amp;search_regexp&amp;""""</f>
        <v>#VALUE!</v>
      </c>
      <c r="EZZ28" s="234" t="e">
        <f>astrogrep_path&amp;" /e /r /s /spath="&amp;search_path&amp;" /stypes=""app*"&amp;EYV28&amp;"*"&amp;TEXT(EZC28-utc_offset/24,"YYYYMMDD")&amp;"*"" /stext="" "&amp;TEXT(EZC28-utc_offset/24,"HH")&amp;search_regexp&amp;""""</f>
        <v>#VALUE!</v>
      </c>
      <c r="FAA28" s="234" t="e">
        <f>astrogrep_path&amp;" /e /r /s /spath="&amp;search_path&amp;" /stypes=""app*"&amp;EYW28&amp;"*"&amp;TEXT(EZD28-utc_offset/24,"YYYYMMDD")&amp;"*"" /stext="" "&amp;TEXT(EZD28-utc_offset/24,"HH")&amp;search_regexp&amp;""""</f>
        <v>#REF!</v>
      </c>
      <c r="FAB28" s="234" t="e">
        <f>astrogrep_path&amp;" /e /r /s /spath="&amp;search_path&amp;" /stypes=""app*"&amp;EYX28&amp;"*"&amp;TEXT(EZE28-utc_offset/24,"YYYYMMDD")&amp;"*"" /stext="" "&amp;TEXT(EZE28-utc_offset/24,"HH")&amp;search_regexp&amp;""""</f>
        <v>#REF!</v>
      </c>
      <c r="FAC28" s="234" t="e">
        <f>astrogrep_path&amp;" /e /r /s /spath="&amp;search_path&amp;" /stypes=""app*"&amp;EYY28&amp;"*"&amp;TEXT(EZF28-utc_offset/24,"YYYYMMDD")&amp;"*"" /stext="" "&amp;TEXT(EZF28-utc_offset/24,"HH")&amp;search_regexp&amp;""""</f>
        <v>#VALUE!</v>
      </c>
      <c r="FAD28" s="234" t="e">
        <f>astrogrep_path&amp;" /e /r /s /spath="&amp;search_path&amp;" /stypes=""app*"&amp;EYZ28&amp;"*"&amp;TEXT(EZG28-utc_offset/24,"YYYYMMDD")&amp;"*"" /stext="" "&amp;TEXT(EZG28-utc_offset/24,"HH")&amp;search_regexp&amp;""""</f>
        <v>#VALUE!</v>
      </c>
      <c r="FAE28" s="234" t="e">
        <f>astrogrep_path&amp;" /e /r /s /spath="&amp;search_path&amp;" /stypes=""app*"&amp;EZA28&amp;"*"&amp;TEXT(EZH28-utc_offset/24,"YYYYMMDD")&amp;"*"" /stext="" "&amp;TEXT(EZH28-utc_offset/24,"HH")&amp;search_regexp&amp;""""</f>
        <v>#VALUE!</v>
      </c>
      <c r="FAF28" s="234" t="e">
        <f>astrogrep_path&amp;" /e /r /s /spath="&amp;search_path&amp;" /stypes=""app*"&amp;EZB28&amp;"*"&amp;TEXT(EZI28-utc_offset/24,"YYYYMMDD")&amp;"*"" /stext="" "&amp;TEXT(EZI28-utc_offset/24,"HH")&amp;search_regexp&amp;""""</f>
        <v>#VALUE!</v>
      </c>
      <c r="FAG28" s="234" t="e">
        <f>astrogrep_path&amp;" /e /r /s /spath="&amp;search_path&amp;" /stypes=""app*"&amp;EZC28&amp;"*"&amp;TEXT(EZJ28-utc_offset/24,"YYYYMMDD")&amp;"*"" /stext="" "&amp;TEXT(EZJ28-utc_offset/24,"HH")&amp;search_regexp&amp;""""</f>
        <v>#VALUE!</v>
      </c>
      <c r="FAH28" s="234" t="e">
        <f>astrogrep_path&amp;" /e /r /s /spath="&amp;search_path&amp;" /stypes=""app*"&amp;EZD28&amp;"*"&amp;TEXT(EZK28-utc_offset/24,"YYYYMMDD")&amp;"*"" /stext="" "&amp;TEXT(EZK28-utc_offset/24,"HH")&amp;search_regexp&amp;""""</f>
        <v>#REF!</v>
      </c>
      <c r="FAI28" s="234" t="e">
        <f>astrogrep_path&amp;" /e /r /s /spath="&amp;search_path&amp;" /stypes=""app*"&amp;EZE28&amp;"*"&amp;TEXT(EZL28-utc_offset/24,"YYYYMMDD")&amp;"*"" /stext="" "&amp;TEXT(EZL28-utc_offset/24,"HH")&amp;search_regexp&amp;""""</f>
        <v>#REF!</v>
      </c>
      <c r="FAJ28" s="234" t="e">
        <f>astrogrep_path&amp;" /e /r /s /spath="&amp;search_path&amp;" /stypes=""app*"&amp;EZF28&amp;"*"&amp;TEXT(EZM28-utc_offset/24,"YYYYMMDD")&amp;"*"" /stext="" "&amp;TEXT(EZM28-utc_offset/24,"HH")&amp;search_regexp&amp;""""</f>
        <v>#REF!</v>
      </c>
      <c r="FAK28" s="234" t="e">
        <f>astrogrep_path&amp;" /e /r /s /spath="&amp;search_path&amp;" /stypes=""app*"&amp;EZG28&amp;"*"&amp;TEXT(EZN28-utc_offset/24,"YYYYMMDD")&amp;"*"" /stext="" "&amp;TEXT(EZN28-utc_offset/24,"HH")&amp;search_regexp&amp;""""</f>
        <v>#REF!</v>
      </c>
      <c r="FAL28" s="234" t="e">
        <f>astrogrep_path&amp;" /e /r /s /spath="&amp;search_path&amp;" /stypes=""app*"&amp;EZH28&amp;"*"&amp;TEXT(EZO28-utc_offset/24,"YYYYMMDD")&amp;"*"" /stext="" "&amp;TEXT(EZO28-utc_offset/24,"HH")&amp;search_regexp&amp;""""</f>
        <v>#REF!</v>
      </c>
      <c r="FAM28" s="234" t="e">
        <f>astrogrep_path&amp;" /e /r /s /spath="&amp;search_path&amp;" /stypes=""app*"&amp;EZI28&amp;"*"&amp;TEXT(EZP28-utc_offset/24,"YYYYMMDD")&amp;"*"" /stext="" "&amp;TEXT(EZP28-utc_offset/24,"HH")&amp;search_regexp&amp;""""</f>
        <v>#REF!</v>
      </c>
      <c r="FAN28" s="234" t="e">
        <f>astrogrep_path&amp;" /e /r /s /spath="&amp;search_path&amp;" /stypes=""app*"&amp;EZJ28&amp;"*"&amp;TEXT(EZQ28-utc_offset/24,"YYYYMMDD")&amp;"*"" /stext="" "&amp;TEXT(EZQ28-utc_offset/24,"HH")&amp;search_regexp&amp;""""</f>
        <v>#REF!</v>
      </c>
      <c r="FAO28" s="234" t="e">
        <f>astrogrep_path&amp;" /e /r /s /spath="&amp;search_path&amp;" /stypes=""app*"&amp;EZK28&amp;"*"&amp;TEXT(EZR28-utc_offset/24,"YYYYMMDD")&amp;"*"" /stext="" "&amp;TEXT(EZR28-utc_offset/24,"HH")&amp;search_regexp&amp;""""</f>
        <v>#REF!</v>
      </c>
      <c r="FAP28" s="234" t="e">
        <f>astrogrep_path&amp;" /e /r /s /spath="&amp;search_path&amp;" /stypes=""app*"&amp;EZL28&amp;"*"&amp;TEXT(EZS28-utc_offset/24,"YYYYMMDD")&amp;"*"" /stext="" "&amp;TEXT(EZS28-utc_offset/24,"HH")&amp;search_regexp&amp;""""</f>
        <v>#REF!</v>
      </c>
      <c r="FAQ28" s="234" t="e">
        <f>astrogrep_path&amp;" /e /r /s /spath="&amp;search_path&amp;" /stypes=""app*"&amp;EZM28&amp;"*"&amp;TEXT(EZT28-utc_offset/24,"YYYYMMDD")&amp;"*"" /stext="" "&amp;TEXT(EZT28-utc_offset/24,"HH")&amp;search_regexp&amp;""""</f>
        <v>#REF!</v>
      </c>
      <c r="FAR28" s="234" t="e">
        <f>astrogrep_path&amp;" /e /r /s /spath="&amp;search_path&amp;" /stypes=""app*"&amp;EZN28&amp;"*"&amp;TEXT(EZU28-utc_offset/24,"YYYYMMDD")&amp;"*"" /stext="" "&amp;TEXT(EZU28-utc_offset/24,"HH")&amp;search_regexp&amp;""""</f>
        <v>#REF!</v>
      </c>
      <c r="FAS28" s="234" t="e">
        <f>astrogrep_path&amp;" /e /r /s /spath="&amp;search_path&amp;" /stypes=""app*"&amp;EZO28&amp;"*"&amp;TEXT(EZV28-utc_offset/24,"YYYYMMDD")&amp;"*"" /stext="" "&amp;TEXT(EZV28-utc_offset/24,"HH")&amp;search_regexp&amp;""""</f>
        <v>#REF!</v>
      </c>
      <c r="FAT28" s="234" t="e">
        <f>astrogrep_path&amp;" /e /r /s /spath="&amp;search_path&amp;" /stypes=""app*"&amp;EZP28&amp;"*"&amp;TEXT(EZW28-utc_offset/24,"YYYYMMDD")&amp;"*"" /stext="" "&amp;TEXT(EZW28-utc_offset/24,"HH")&amp;search_regexp&amp;""""</f>
        <v>#REF!</v>
      </c>
      <c r="FAU28" s="234" t="e">
        <f>astrogrep_path&amp;" /e /r /s /spath="&amp;search_path&amp;" /stypes=""app*"&amp;EZQ28&amp;"*"&amp;TEXT(EZX28-utc_offset/24,"YYYYMMDD")&amp;"*"" /stext="" "&amp;TEXT(EZX28-utc_offset/24,"HH")&amp;search_regexp&amp;""""</f>
        <v>#REF!</v>
      </c>
      <c r="FAV28" s="234" t="e">
        <f>astrogrep_path&amp;" /e /r /s /spath="&amp;search_path&amp;" /stypes=""app*"&amp;EZR28&amp;"*"&amp;TEXT(EZY28-utc_offset/24,"YYYYMMDD")&amp;"*"" /stext="" "&amp;TEXT(EZY28-utc_offset/24,"HH")&amp;search_regexp&amp;""""</f>
        <v>#REF!</v>
      </c>
      <c r="FAW28" s="234" t="e">
        <f>astrogrep_path&amp;" /e /r /s /spath="&amp;search_path&amp;" /stypes=""app*"&amp;EZS28&amp;"*"&amp;TEXT(EZZ28-utc_offset/24,"YYYYMMDD")&amp;"*"" /stext="" "&amp;TEXT(EZZ28-utc_offset/24,"HH")&amp;search_regexp&amp;""""</f>
        <v>#REF!</v>
      </c>
      <c r="FAX28" s="234" t="e">
        <f>astrogrep_path&amp;" /e /r /s /spath="&amp;search_path&amp;" /stypes=""app*"&amp;EZT28&amp;"*"&amp;TEXT(FAA28-utc_offset/24,"YYYYMMDD")&amp;"*"" /stext="" "&amp;TEXT(FAA28-utc_offset/24,"HH")&amp;search_regexp&amp;""""</f>
        <v>#REF!</v>
      </c>
      <c r="FAY28" s="234" t="e">
        <f>astrogrep_path&amp;" /e /r /s /spath="&amp;search_path&amp;" /stypes=""app*"&amp;EZU28&amp;"*"&amp;TEXT(FAB28-utc_offset/24,"YYYYMMDD")&amp;"*"" /stext="" "&amp;TEXT(FAB28-utc_offset/24,"HH")&amp;search_regexp&amp;""""</f>
        <v>#REF!</v>
      </c>
      <c r="FAZ28" s="234" t="e">
        <f>astrogrep_path&amp;" /e /r /s /spath="&amp;search_path&amp;" /stypes=""app*"&amp;EZV28&amp;"*"&amp;TEXT(FAC28-utc_offset/24,"YYYYMMDD")&amp;"*"" /stext="" "&amp;TEXT(FAC28-utc_offset/24,"HH")&amp;search_regexp&amp;""""</f>
        <v>#REF!</v>
      </c>
      <c r="FBA28" s="234" t="e">
        <f>astrogrep_path&amp;" /e /r /s /spath="&amp;search_path&amp;" /stypes=""app*"&amp;EZW28&amp;"*"&amp;TEXT(FAD28-utc_offset/24,"YYYYMMDD")&amp;"*"" /stext="" "&amp;TEXT(FAD28-utc_offset/24,"HH")&amp;search_regexp&amp;""""</f>
        <v>#REF!</v>
      </c>
      <c r="FBB28" s="234" t="e">
        <f>astrogrep_path&amp;" /e /r /s /spath="&amp;search_path&amp;" /stypes=""app*"&amp;EZX28&amp;"*"&amp;TEXT(FAE28-utc_offset/24,"YYYYMMDD")&amp;"*"" /stext="" "&amp;TEXT(FAE28-utc_offset/24,"HH")&amp;search_regexp&amp;""""</f>
        <v>#REF!</v>
      </c>
      <c r="FBC28" s="234" t="e">
        <f>astrogrep_path&amp;" /e /r /s /spath="&amp;search_path&amp;" /stypes=""app*"&amp;EZY28&amp;"*"&amp;TEXT(FAF28-utc_offset/24,"YYYYMMDD")&amp;"*"" /stext="" "&amp;TEXT(FAF28-utc_offset/24,"HH")&amp;search_regexp&amp;""""</f>
        <v>#VALUE!</v>
      </c>
      <c r="FBD28" s="234" t="e">
        <f>astrogrep_path&amp;" /e /r /s /spath="&amp;search_path&amp;" /stypes=""app*"&amp;EZZ28&amp;"*"&amp;TEXT(FAG28-utc_offset/24,"YYYYMMDD")&amp;"*"" /stext="" "&amp;TEXT(FAG28-utc_offset/24,"HH")&amp;search_regexp&amp;""""</f>
        <v>#VALUE!</v>
      </c>
      <c r="FBE28" s="234" t="e">
        <f>astrogrep_path&amp;" /e /r /s /spath="&amp;search_path&amp;" /stypes=""app*"&amp;FAA28&amp;"*"&amp;TEXT(FAH28-utc_offset/24,"YYYYMMDD")&amp;"*"" /stext="" "&amp;TEXT(FAH28-utc_offset/24,"HH")&amp;search_regexp&amp;""""</f>
        <v>#REF!</v>
      </c>
      <c r="FBF28" s="234" t="e">
        <f>astrogrep_path&amp;" /e /r /s /spath="&amp;search_path&amp;" /stypes=""app*"&amp;FAB28&amp;"*"&amp;TEXT(FAI28-utc_offset/24,"YYYYMMDD")&amp;"*"" /stext="" "&amp;TEXT(FAI28-utc_offset/24,"HH")&amp;search_regexp&amp;""""</f>
        <v>#REF!</v>
      </c>
      <c r="FBG28" s="234" t="e">
        <f>astrogrep_path&amp;" /e /r /s /spath="&amp;search_path&amp;" /stypes=""app*"&amp;FAC28&amp;"*"&amp;TEXT(FAJ28-utc_offset/24,"YYYYMMDD")&amp;"*"" /stext="" "&amp;TEXT(FAJ28-utc_offset/24,"HH")&amp;search_regexp&amp;""""</f>
        <v>#VALUE!</v>
      </c>
      <c r="FBH28" s="234" t="e">
        <f>astrogrep_path&amp;" /e /r /s /spath="&amp;search_path&amp;" /stypes=""app*"&amp;FAD28&amp;"*"&amp;TEXT(FAK28-utc_offset/24,"YYYYMMDD")&amp;"*"" /stext="" "&amp;TEXT(FAK28-utc_offset/24,"HH")&amp;search_regexp&amp;""""</f>
        <v>#VALUE!</v>
      </c>
      <c r="FBI28" s="234" t="e">
        <f>astrogrep_path&amp;" /e /r /s /spath="&amp;search_path&amp;" /stypes=""app*"&amp;FAE28&amp;"*"&amp;TEXT(FAL28-utc_offset/24,"YYYYMMDD")&amp;"*"" /stext="" "&amp;TEXT(FAL28-utc_offset/24,"HH")&amp;search_regexp&amp;""""</f>
        <v>#VALUE!</v>
      </c>
      <c r="FBJ28" s="234" t="e">
        <f>astrogrep_path&amp;" /e /r /s /spath="&amp;search_path&amp;" /stypes=""app*"&amp;FAF28&amp;"*"&amp;TEXT(FAM28-utc_offset/24,"YYYYMMDD")&amp;"*"" /stext="" "&amp;TEXT(FAM28-utc_offset/24,"HH")&amp;search_regexp&amp;""""</f>
        <v>#VALUE!</v>
      </c>
      <c r="FBK28" s="234" t="e">
        <f>astrogrep_path&amp;" /e /r /s /spath="&amp;search_path&amp;" /stypes=""app*"&amp;FAG28&amp;"*"&amp;TEXT(FAN28-utc_offset/24,"YYYYMMDD")&amp;"*"" /stext="" "&amp;TEXT(FAN28-utc_offset/24,"HH")&amp;search_regexp&amp;""""</f>
        <v>#VALUE!</v>
      </c>
      <c r="FBL28" s="234" t="e">
        <f>astrogrep_path&amp;" /e /r /s /spath="&amp;search_path&amp;" /stypes=""app*"&amp;FAH28&amp;"*"&amp;TEXT(FAO28-utc_offset/24,"YYYYMMDD")&amp;"*"" /stext="" "&amp;TEXT(FAO28-utc_offset/24,"HH")&amp;search_regexp&amp;""""</f>
        <v>#REF!</v>
      </c>
      <c r="FBM28" s="234" t="e">
        <f>astrogrep_path&amp;" /e /r /s /spath="&amp;search_path&amp;" /stypes=""app*"&amp;FAI28&amp;"*"&amp;TEXT(FAP28-utc_offset/24,"YYYYMMDD")&amp;"*"" /stext="" "&amp;TEXT(FAP28-utc_offset/24,"HH")&amp;search_regexp&amp;""""</f>
        <v>#REF!</v>
      </c>
      <c r="FBN28" s="234" t="e">
        <f>astrogrep_path&amp;" /e /r /s /spath="&amp;search_path&amp;" /stypes=""app*"&amp;FAJ28&amp;"*"&amp;TEXT(FAQ28-utc_offset/24,"YYYYMMDD")&amp;"*"" /stext="" "&amp;TEXT(FAQ28-utc_offset/24,"HH")&amp;search_regexp&amp;""""</f>
        <v>#REF!</v>
      </c>
      <c r="FBO28" s="234" t="e">
        <f>astrogrep_path&amp;" /e /r /s /spath="&amp;search_path&amp;" /stypes=""app*"&amp;FAK28&amp;"*"&amp;TEXT(FAR28-utc_offset/24,"YYYYMMDD")&amp;"*"" /stext="" "&amp;TEXT(FAR28-utc_offset/24,"HH")&amp;search_regexp&amp;""""</f>
        <v>#REF!</v>
      </c>
      <c r="FBP28" s="234" t="e">
        <f>astrogrep_path&amp;" /e /r /s /spath="&amp;search_path&amp;" /stypes=""app*"&amp;FAL28&amp;"*"&amp;TEXT(FAS28-utc_offset/24,"YYYYMMDD")&amp;"*"" /stext="" "&amp;TEXT(FAS28-utc_offset/24,"HH")&amp;search_regexp&amp;""""</f>
        <v>#REF!</v>
      </c>
      <c r="FBQ28" s="234" t="e">
        <f>astrogrep_path&amp;" /e /r /s /spath="&amp;search_path&amp;" /stypes=""app*"&amp;FAM28&amp;"*"&amp;TEXT(FAT28-utc_offset/24,"YYYYMMDD")&amp;"*"" /stext="" "&amp;TEXT(FAT28-utc_offset/24,"HH")&amp;search_regexp&amp;""""</f>
        <v>#REF!</v>
      </c>
      <c r="FBR28" s="234" t="e">
        <f>astrogrep_path&amp;" /e /r /s /spath="&amp;search_path&amp;" /stypes=""app*"&amp;FAN28&amp;"*"&amp;TEXT(FAU28-utc_offset/24,"YYYYMMDD")&amp;"*"" /stext="" "&amp;TEXT(FAU28-utc_offset/24,"HH")&amp;search_regexp&amp;""""</f>
        <v>#REF!</v>
      </c>
      <c r="FBS28" s="234" t="e">
        <f>astrogrep_path&amp;" /e /r /s /spath="&amp;search_path&amp;" /stypes=""app*"&amp;FAO28&amp;"*"&amp;TEXT(FAV28-utc_offset/24,"YYYYMMDD")&amp;"*"" /stext="" "&amp;TEXT(FAV28-utc_offset/24,"HH")&amp;search_regexp&amp;""""</f>
        <v>#REF!</v>
      </c>
      <c r="FBT28" s="234" t="e">
        <f>astrogrep_path&amp;" /e /r /s /spath="&amp;search_path&amp;" /stypes=""app*"&amp;FAP28&amp;"*"&amp;TEXT(FAW28-utc_offset/24,"YYYYMMDD")&amp;"*"" /stext="" "&amp;TEXT(FAW28-utc_offset/24,"HH")&amp;search_regexp&amp;""""</f>
        <v>#REF!</v>
      </c>
      <c r="FBU28" s="234" t="e">
        <f>astrogrep_path&amp;" /e /r /s /spath="&amp;search_path&amp;" /stypes=""app*"&amp;FAQ28&amp;"*"&amp;TEXT(FAX28-utc_offset/24,"YYYYMMDD")&amp;"*"" /stext="" "&amp;TEXT(FAX28-utc_offset/24,"HH")&amp;search_regexp&amp;""""</f>
        <v>#REF!</v>
      </c>
      <c r="FBV28" s="234" t="e">
        <f>astrogrep_path&amp;" /e /r /s /spath="&amp;search_path&amp;" /stypes=""app*"&amp;FAR28&amp;"*"&amp;TEXT(FAY28-utc_offset/24,"YYYYMMDD")&amp;"*"" /stext="" "&amp;TEXT(FAY28-utc_offset/24,"HH")&amp;search_regexp&amp;""""</f>
        <v>#REF!</v>
      </c>
      <c r="FBW28" s="234" t="e">
        <f>astrogrep_path&amp;" /e /r /s /spath="&amp;search_path&amp;" /stypes=""app*"&amp;FAS28&amp;"*"&amp;TEXT(FAZ28-utc_offset/24,"YYYYMMDD")&amp;"*"" /stext="" "&amp;TEXT(FAZ28-utc_offset/24,"HH")&amp;search_regexp&amp;""""</f>
        <v>#REF!</v>
      </c>
      <c r="FBX28" s="234" t="e">
        <f>astrogrep_path&amp;" /e /r /s /spath="&amp;search_path&amp;" /stypes=""app*"&amp;FAT28&amp;"*"&amp;TEXT(FBA28-utc_offset/24,"YYYYMMDD")&amp;"*"" /stext="" "&amp;TEXT(FBA28-utc_offset/24,"HH")&amp;search_regexp&amp;""""</f>
        <v>#REF!</v>
      </c>
      <c r="FBY28" s="234" t="e">
        <f>astrogrep_path&amp;" /e /r /s /spath="&amp;search_path&amp;" /stypes=""app*"&amp;FAU28&amp;"*"&amp;TEXT(FBB28-utc_offset/24,"YYYYMMDD")&amp;"*"" /stext="" "&amp;TEXT(FBB28-utc_offset/24,"HH")&amp;search_regexp&amp;""""</f>
        <v>#REF!</v>
      </c>
      <c r="FBZ28" s="234" t="e">
        <f>astrogrep_path&amp;" /e /r /s /spath="&amp;search_path&amp;" /stypes=""app*"&amp;FAV28&amp;"*"&amp;TEXT(FBC28-utc_offset/24,"YYYYMMDD")&amp;"*"" /stext="" "&amp;TEXT(FBC28-utc_offset/24,"HH")&amp;search_regexp&amp;""""</f>
        <v>#REF!</v>
      </c>
      <c r="FCA28" s="234" t="e">
        <f>astrogrep_path&amp;" /e /r /s /spath="&amp;search_path&amp;" /stypes=""app*"&amp;FAW28&amp;"*"&amp;TEXT(FBD28-utc_offset/24,"YYYYMMDD")&amp;"*"" /stext="" "&amp;TEXT(FBD28-utc_offset/24,"HH")&amp;search_regexp&amp;""""</f>
        <v>#REF!</v>
      </c>
      <c r="FCB28" s="234" t="e">
        <f>astrogrep_path&amp;" /e /r /s /spath="&amp;search_path&amp;" /stypes=""app*"&amp;FAX28&amp;"*"&amp;TEXT(FBE28-utc_offset/24,"YYYYMMDD")&amp;"*"" /stext="" "&amp;TEXT(FBE28-utc_offset/24,"HH")&amp;search_regexp&amp;""""</f>
        <v>#REF!</v>
      </c>
      <c r="FCC28" s="234" t="e">
        <f>astrogrep_path&amp;" /e /r /s /spath="&amp;search_path&amp;" /stypes=""app*"&amp;FAY28&amp;"*"&amp;TEXT(FBF28-utc_offset/24,"YYYYMMDD")&amp;"*"" /stext="" "&amp;TEXT(FBF28-utc_offset/24,"HH")&amp;search_regexp&amp;""""</f>
        <v>#REF!</v>
      </c>
      <c r="FCD28" s="234" t="e">
        <f>astrogrep_path&amp;" /e /r /s /spath="&amp;search_path&amp;" /stypes=""app*"&amp;FAZ28&amp;"*"&amp;TEXT(FBG28-utc_offset/24,"YYYYMMDD")&amp;"*"" /stext="" "&amp;TEXT(FBG28-utc_offset/24,"HH")&amp;search_regexp&amp;""""</f>
        <v>#REF!</v>
      </c>
      <c r="FCE28" s="234" t="e">
        <f>astrogrep_path&amp;" /e /r /s /spath="&amp;search_path&amp;" /stypes=""app*"&amp;FBA28&amp;"*"&amp;TEXT(FBH28-utc_offset/24,"YYYYMMDD")&amp;"*"" /stext="" "&amp;TEXT(FBH28-utc_offset/24,"HH")&amp;search_regexp&amp;""""</f>
        <v>#REF!</v>
      </c>
      <c r="FCF28" s="234" t="e">
        <f>astrogrep_path&amp;" /e /r /s /spath="&amp;search_path&amp;" /stypes=""app*"&amp;FBB28&amp;"*"&amp;TEXT(FBI28-utc_offset/24,"YYYYMMDD")&amp;"*"" /stext="" "&amp;TEXT(FBI28-utc_offset/24,"HH")&amp;search_regexp&amp;""""</f>
        <v>#REF!</v>
      </c>
      <c r="FCG28" s="234" t="e">
        <f>astrogrep_path&amp;" /e /r /s /spath="&amp;search_path&amp;" /stypes=""app*"&amp;FBC28&amp;"*"&amp;TEXT(FBJ28-utc_offset/24,"YYYYMMDD")&amp;"*"" /stext="" "&amp;TEXT(FBJ28-utc_offset/24,"HH")&amp;search_regexp&amp;""""</f>
        <v>#VALUE!</v>
      </c>
      <c r="FCH28" s="234" t="e">
        <f>astrogrep_path&amp;" /e /r /s /spath="&amp;search_path&amp;" /stypes=""app*"&amp;FBD28&amp;"*"&amp;TEXT(FBK28-utc_offset/24,"YYYYMMDD")&amp;"*"" /stext="" "&amp;TEXT(FBK28-utc_offset/24,"HH")&amp;search_regexp&amp;""""</f>
        <v>#VALUE!</v>
      </c>
      <c r="FCI28" s="234" t="e">
        <f>astrogrep_path&amp;" /e /r /s /spath="&amp;search_path&amp;" /stypes=""app*"&amp;FBE28&amp;"*"&amp;TEXT(FBL28-utc_offset/24,"YYYYMMDD")&amp;"*"" /stext="" "&amp;TEXT(FBL28-utc_offset/24,"HH")&amp;search_regexp&amp;""""</f>
        <v>#REF!</v>
      </c>
      <c r="FCJ28" s="234" t="e">
        <f>astrogrep_path&amp;" /e /r /s /spath="&amp;search_path&amp;" /stypes=""app*"&amp;FBF28&amp;"*"&amp;TEXT(FBM28-utc_offset/24,"YYYYMMDD")&amp;"*"" /stext="" "&amp;TEXT(FBM28-utc_offset/24,"HH")&amp;search_regexp&amp;""""</f>
        <v>#REF!</v>
      </c>
      <c r="FCK28" s="234" t="e">
        <f>astrogrep_path&amp;" /e /r /s /spath="&amp;search_path&amp;" /stypes=""app*"&amp;FBG28&amp;"*"&amp;TEXT(FBN28-utc_offset/24,"YYYYMMDD")&amp;"*"" /stext="" "&amp;TEXT(FBN28-utc_offset/24,"HH")&amp;search_regexp&amp;""""</f>
        <v>#VALUE!</v>
      </c>
      <c r="FCL28" s="234" t="e">
        <f>astrogrep_path&amp;" /e /r /s /spath="&amp;search_path&amp;" /stypes=""app*"&amp;FBH28&amp;"*"&amp;TEXT(FBO28-utc_offset/24,"YYYYMMDD")&amp;"*"" /stext="" "&amp;TEXT(FBO28-utc_offset/24,"HH")&amp;search_regexp&amp;""""</f>
        <v>#VALUE!</v>
      </c>
      <c r="FCM28" s="234" t="e">
        <f>astrogrep_path&amp;" /e /r /s /spath="&amp;search_path&amp;" /stypes=""app*"&amp;FBI28&amp;"*"&amp;TEXT(FBP28-utc_offset/24,"YYYYMMDD")&amp;"*"" /stext="" "&amp;TEXT(FBP28-utc_offset/24,"HH")&amp;search_regexp&amp;""""</f>
        <v>#VALUE!</v>
      </c>
      <c r="FCN28" s="234" t="e">
        <f>astrogrep_path&amp;" /e /r /s /spath="&amp;search_path&amp;" /stypes=""app*"&amp;FBJ28&amp;"*"&amp;TEXT(FBQ28-utc_offset/24,"YYYYMMDD")&amp;"*"" /stext="" "&amp;TEXT(FBQ28-utc_offset/24,"HH")&amp;search_regexp&amp;""""</f>
        <v>#VALUE!</v>
      </c>
      <c r="FCO28" s="234" t="e">
        <f>astrogrep_path&amp;" /e /r /s /spath="&amp;search_path&amp;" /stypes=""app*"&amp;FBK28&amp;"*"&amp;TEXT(FBR28-utc_offset/24,"YYYYMMDD")&amp;"*"" /stext="" "&amp;TEXT(FBR28-utc_offset/24,"HH")&amp;search_regexp&amp;""""</f>
        <v>#VALUE!</v>
      </c>
      <c r="FCP28" s="234" t="e">
        <f>astrogrep_path&amp;" /e /r /s /spath="&amp;search_path&amp;" /stypes=""app*"&amp;FBL28&amp;"*"&amp;TEXT(FBS28-utc_offset/24,"YYYYMMDD")&amp;"*"" /stext="" "&amp;TEXT(FBS28-utc_offset/24,"HH")&amp;search_regexp&amp;""""</f>
        <v>#REF!</v>
      </c>
      <c r="FCQ28" s="234" t="e">
        <f>astrogrep_path&amp;" /e /r /s /spath="&amp;search_path&amp;" /stypes=""app*"&amp;FBM28&amp;"*"&amp;TEXT(FBT28-utc_offset/24,"YYYYMMDD")&amp;"*"" /stext="" "&amp;TEXT(FBT28-utc_offset/24,"HH")&amp;search_regexp&amp;""""</f>
        <v>#REF!</v>
      </c>
      <c r="FCR28" s="234" t="e">
        <f>astrogrep_path&amp;" /e /r /s /spath="&amp;search_path&amp;" /stypes=""app*"&amp;FBN28&amp;"*"&amp;TEXT(FBU28-utc_offset/24,"YYYYMMDD")&amp;"*"" /stext="" "&amp;TEXT(FBU28-utc_offset/24,"HH")&amp;search_regexp&amp;""""</f>
        <v>#REF!</v>
      </c>
      <c r="FCS28" s="234" t="e">
        <f>astrogrep_path&amp;" /e /r /s /spath="&amp;search_path&amp;" /stypes=""app*"&amp;FBO28&amp;"*"&amp;TEXT(FBV28-utc_offset/24,"YYYYMMDD")&amp;"*"" /stext="" "&amp;TEXT(FBV28-utc_offset/24,"HH")&amp;search_regexp&amp;""""</f>
        <v>#REF!</v>
      </c>
      <c r="FCT28" s="234" t="e">
        <f>astrogrep_path&amp;" /e /r /s /spath="&amp;search_path&amp;" /stypes=""app*"&amp;FBP28&amp;"*"&amp;TEXT(FBW28-utc_offset/24,"YYYYMMDD")&amp;"*"" /stext="" "&amp;TEXT(FBW28-utc_offset/24,"HH")&amp;search_regexp&amp;""""</f>
        <v>#REF!</v>
      </c>
      <c r="FCU28" s="234" t="e">
        <f>astrogrep_path&amp;" /e /r /s /spath="&amp;search_path&amp;" /stypes=""app*"&amp;FBQ28&amp;"*"&amp;TEXT(FBX28-utc_offset/24,"YYYYMMDD")&amp;"*"" /stext="" "&amp;TEXT(FBX28-utc_offset/24,"HH")&amp;search_regexp&amp;""""</f>
        <v>#REF!</v>
      </c>
      <c r="FCV28" s="234" t="e">
        <f>astrogrep_path&amp;" /e /r /s /spath="&amp;search_path&amp;" /stypes=""app*"&amp;FBR28&amp;"*"&amp;TEXT(FBY28-utc_offset/24,"YYYYMMDD")&amp;"*"" /stext="" "&amp;TEXT(FBY28-utc_offset/24,"HH")&amp;search_regexp&amp;""""</f>
        <v>#REF!</v>
      </c>
      <c r="FCW28" s="234" t="e">
        <f>astrogrep_path&amp;" /e /r /s /spath="&amp;search_path&amp;" /stypes=""app*"&amp;FBS28&amp;"*"&amp;TEXT(FBZ28-utc_offset/24,"YYYYMMDD")&amp;"*"" /stext="" "&amp;TEXT(FBZ28-utc_offset/24,"HH")&amp;search_regexp&amp;""""</f>
        <v>#REF!</v>
      </c>
      <c r="FCX28" s="234" t="e">
        <f>astrogrep_path&amp;" /e /r /s /spath="&amp;search_path&amp;" /stypes=""app*"&amp;FBT28&amp;"*"&amp;TEXT(FCA28-utc_offset/24,"YYYYMMDD")&amp;"*"" /stext="" "&amp;TEXT(FCA28-utc_offset/24,"HH")&amp;search_regexp&amp;""""</f>
        <v>#REF!</v>
      </c>
      <c r="FCY28" s="234" t="e">
        <f>astrogrep_path&amp;" /e /r /s /spath="&amp;search_path&amp;" /stypes=""app*"&amp;FBU28&amp;"*"&amp;TEXT(FCB28-utc_offset/24,"YYYYMMDD")&amp;"*"" /stext="" "&amp;TEXT(FCB28-utc_offset/24,"HH")&amp;search_regexp&amp;""""</f>
        <v>#REF!</v>
      </c>
      <c r="FCZ28" s="234" t="e">
        <f>astrogrep_path&amp;" /e /r /s /spath="&amp;search_path&amp;" /stypes=""app*"&amp;FBV28&amp;"*"&amp;TEXT(FCC28-utc_offset/24,"YYYYMMDD")&amp;"*"" /stext="" "&amp;TEXT(FCC28-utc_offset/24,"HH")&amp;search_regexp&amp;""""</f>
        <v>#REF!</v>
      </c>
      <c r="FDA28" s="234" t="e">
        <f>astrogrep_path&amp;" /e /r /s /spath="&amp;search_path&amp;" /stypes=""app*"&amp;FBW28&amp;"*"&amp;TEXT(FCD28-utc_offset/24,"YYYYMMDD")&amp;"*"" /stext="" "&amp;TEXT(FCD28-utc_offset/24,"HH")&amp;search_regexp&amp;""""</f>
        <v>#REF!</v>
      </c>
      <c r="FDB28" s="234" t="e">
        <f>astrogrep_path&amp;" /e /r /s /spath="&amp;search_path&amp;" /stypes=""app*"&amp;FBX28&amp;"*"&amp;TEXT(FCE28-utc_offset/24,"YYYYMMDD")&amp;"*"" /stext="" "&amp;TEXT(FCE28-utc_offset/24,"HH")&amp;search_regexp&amp;""""</f>
        <v>#REF!</v>
      </c>
      <c r="FDC28" s="234" t="e">
        <f>astrogrep_path&amp;" /e /r /s /spath="&amp;search_path&amp;" /stypes=""app*"&amp;FBY28&amp;"*"&amp;TEXT(FCF28-utc_offset/24,"YYYYMMDD")&amp;"*"" /stext="" "&amp;TEXT(FCF28-utc_offset/24,"HH")&amp;search_regexp&amp;""""</f>
        <v>#REF!</v>
      </c>
      <c r="FDD28" s="234" t="e">
        <f>astrogrep_path&amp;" /e /r /s /spath="&amp;search_path&amp;" /stypes=""app*"&amp;FBZ28&amp;"*"&amp;TEXT(FCG28-utc_offset/24,"YYYYMMDD")&amp;"*"" /stext="" "&amp;TEXT(FCG28-utc_offset/24,"HH")&amp;search_regexp&amp;""""</f>
        <v>#REF!</v>
      </c>
      <c r="FDE28" s="234" t="e">
        <f>astrogrep_path&amp;" /e /r /s /spath="&amp;search_path&amp;" /stypes=""app*"&amp;FCA28&amp;"*"&amp;TEXT(FCH28-utc_offset/24,"YYYYMMDD")&amp;"*"" /stext="" "&amp;TEXT(FCH28-utc_offset/24,"HH")&amp;search_regexp&amp;""""</f>
        <v>#REF!</v>
      </c>
      <c r="FDF28" s="234" t="e">
        <f>astrogrep_path&amp;" /e /r /s /spath="&amp;search_path&amp;" /stypes=""app*"&amp;FCB28&amp;"*"&amp;TEXT(FCI28-utc_offset/24,"YYYYMMDD")&amp;"*"" /stext="" "&amp;TEXT(FCI28-utc_offset/24,"HH")&amp;search_regexp&amp;""""</f>
        <v>#REF!</v>
      </c>
      <c r="FDG28" s="234" t="e">
        <f>astrogrep_path&amp;" /e /r /s /spath="&amp;search_path&amp;" /stypes=""app*"&amp;FCC28&amp;"*"&amp;TEXT(FCJ28-utc_offset/24,"YYYYMMDD")&amp;"*"" /stext="" "&amp;TEXT(FCJ28-utc_offset/24,"HH")&amp;search_regexp&amp;""""</f>
        <v>#REF!</v>
      </c>
      <c r="FDH28" s="234" t="e">
        <f>astrogrep_path&amp;" /e /r /s /spath="&amp;search_path&amp;" /stypes=""app*"&amp;FCD28&amp;"*"&amp;TEXT(FCK28-utc_offset/24,"YYYYMMDD")&amp;"*"" /stext="" "&amp;TEXT(FCK28-utc_offset/24,"HH")&amp;search_regexp&amp;""""</f>
        <v>#REF!</v>
      </c>
      <c r="FDI28" s="234" t="e">
        <f>astrogrep_path&amp;" /e /r /s /spath="&amp;search_path&amp;" /stypes=""app*"&amp;FCE28&amp;"*"&amp;TEXT(FCL28-utc_offset/24,"YYYYMMDD")&amp;"*"" /stext="" "&amp;TEXT(FCL28-utc_offset/24,"HH")&amp;search_regexp&amp;""""</f>
        <v>#REF!</v>
      </c>
      <c r="FDJ28" s="234" t="e">
        <f>astrogrep_path&amp;" /e /r /s /spath="&amp;search_path&amp;" /stypes=""app*"&amp;FCF28&amp;"*"&amp;TEXT(FCM28-utc_offset/24,"YYYYMMDD")&amp;"*"" /stext="" "&amp;TEXT(FCM28-utc_offset/24,"HH")&amp;search_regexp&amp;""""</f>
        <v>#REF!</v>
      </c>
      <c r="FDK28" s="234" t="e">
        <f>astrogrep_path&amp;" /e /r /s /spath="&amp;search_path&amp;" /stypes=""app*"&amp;FCG28&amp;"*"&amp;TEXT(FCN28-utc_offset/24,"YYYYMMDD")&amp;"*"" /stext="" "&amp;TEXT(FCN28-utc_offset/24,"HH")&amp;search_regexp&amp;""""</f>
        <v>#VALUE!</v>
      </c>
      <c r="FDL28" s="234" t="e">
        <f>astrogrep_path&amp;" /e /r /s /spath="&amp;search_path&amp;" /stypes=""app*"&amp;FCH28&amp;"*"&amp;TEXT(FCO28-utc_offset/24,"YYYYMMDD")&amp;"*"" /stext="" "&amp;TEXT(FCO28-utc_offset/24,"HH")&amp;search_regexp&amp;""""</f>
        <v>#VALUE!</v>
      </c>
      <c r="FDM28" s="234" t="e">
        <f>astrogrep_path&amp;" /e /r /s /spath="&amp;search_path&amp;" /stypes=""app*"&amp;FCI28&amp;"*"&amp;TEXT(FCP28-utc_offset/24,"YYYYMMDD")&amp;"*"" /stext="" "&amp;TEXT(FCP28-utc_offset/24,"HH")&amp;search_regexp&amp;""""</f>
        <v>#REF!</v>
      </c>
      <c r="FDN28" s="234" t="e">
        <f>astrogrep_path&amp;" /e /r /s /spath="&amp;search_path&amp;" /stypes=""app*"&amp;FCJ28&amp;"*"&amp;TEXT(FCQ28-utc_offset/24,"YYYYMMDD")&amp;"*"" /stext="" "&amp;TEXT(FCQ28-utc_offset/24,"HH")&amp;search_regexp&amp;""""</f>
        <v>#REF!</v>
      </c>
      <c r="FDO28" s="234" t="e">
        <f>astrogrep_path&amp;" /e /r /s /spath="&amp;search_path&amp;" /stypes=""app*"&amp;FCK28&amp;"*"&amp;TEXT(FCR28-utc_offset/24,"YYYYMMDD")&amp;"*"" /stext="" "&amp;TEXT(FCR28-utc_offset/24,"HH")&amp;search_regexp&amp;""""</f>
        <v>#VALUE!</v>
      </c>
      <c r="FDP28" s="234" t="e">
        <f>astrogrep_path&amp;" /e /r /s /spath="&amp;search_path&amp;" /stypes=""app*"&amp;FCL28&amp;"*"&amp;TEXT(FCS28-utc_offset/24,"YYYYMMDD")&amp;"*"" /stext="" "&amp;TEXT(FCS28-utc_offset/24,"HH")&amp;search_regexp&amp;""""</f>
        <v>#VALUE!</v>
      </c>
      <c r="FDQ28" s="234" t="e">
        <f>astrogrep_path&amp;" /e /r /s /spath="&amp;search_path&amp;" /stypes=""app*"&amp;FCM28&amp;"*"&amp;TEXT(FCT28-utc_offset/24,"YYYYMMDD")&amp;"*"" /stext="" "&amp;TEXT(FCT28-utc_offset/24,"HH")&amp;search_regexp&amp;""""</f>
        <v>#VALUE!</v>
      </c>
      <c r="FDR28" s="234" t="e">
        <f>astrogrep_path&amp;" /e /r /s /spath="&amp;search_path&amp;" /stypes=""app*"&amp;FCN28&amp;"*"&amp;TEXT(FCU28-utc_offset/24,"YYYYMMDD")&amp;"*"" /stext="" "&amp;TEXT(FCU28-utc_offset/24,"HH")&amp;search_regexp&amp;""""</f>
        <v>#VALUE!</v>
      </c>
      <c r="FDS28" s="234" t="e">
        <f>astrogrep_path&amp;" /e /r /s /spath="&amp;search_path&amp;" /stypes=""app*"&amp;FCO28&amp;"*"&amp;TEXT(FCV28-utc_offset/24,"YYYYMMDD")&amp;"*"" /stext="" "&amp;TEXT(FCV28-utc_offset/24,"HH")&amp;search_regexp&amp;""""</f>
        <v>#VALUE!</v>
      </c>
      <c r="FDT28" s="234" t="e">
        <f>astrogrep_path&amp;" /e /r /s /spath="&amp;search_path&amp;" /stypes=""app*"&amp;FCP28&amp;"*"&amp;TEXT(FCW28-utc_offset/24,"YYYYMMDD")&amp;"*"" /stext="" "&amp;TEXT(FCW28-utc_offset/24,"HH")&amp;search_regexp&amp;""""</f>
        <v>#REF!</v>
      </c>
      <c r="FDU28" s="234" t="e">
        <f>astrogrep_path&amp;" /e /r /s /spath="&amp;search_path&amp;" /stypes=""app*"&amp;FCQ28&amp;"*"&amp;TEXT(FCX28-utc_offset/24,"YYYYMMDD")&amp;"*"" /stext="" "&amp;TEXT(FCX28-utc_offset/24,"HH")&amp;search_regexp&amp;""""</f>
        <v>#REF!</v>
      </c>
      <c r="FDV28" s="234" t="e">
        <f>astrogrep_path&amp;" /e /r /s /spath="&amp;search_path&amp;" /stypes=""app*"&amp;FCR28&amp;"*"&amp;TEXT(FCY28-utc_offset/24,"YYYYMMDD")&amp;"*"" /stext="" "&amp;TEXT(FCY28-utc_offset/24,"HH")&amp;search_regexp&amp;""""</f>
        <v>#REF!</v>
      </c>
      <c r="FDW28" s="234" t="e">
        <f>astrogrep_path&amp;" /e /r /s /spath="&amp;search_path&amp;" /stypes=""app*"&amp;FCS28&amp;"*"&amp;TEXT(FCZ28-utc_offset/24,"YYYYMMDD")&amp;"*"" /stext="" "&amp;TEXT(FCZ28-utc_offset/24,"HH")&amp;search_regexp&amp;""""</f>
        <v>#REF!</v>
      </c>
      <c r="FDX28" s="234" t="e">
        <f>astrogrep_path&amp;" /e /r /s /spath="&amp;search_path&amp;" /stypes=""app*"&amp;FCT28&amp;"*"&amp;TEXT(FDA28-utc_offset/24,"YYYYMMDD")&amp;"*"" /stext="" "&amp;TEXT(FDA28-utc_offset/24,"HH")&amp;search_regexp&amp;""""</f>
        <v>#REF!</v>
      </c>
      <c r="FDY28" s="234" t="e">
        <f>astrogrep_path&amp;" /e /r /s /spath="&amp;search_path&amp;" /stypes=""app*"&amp;FCU28&amp;"*"&amp;TEXT(FDB28-utc_offset/24,"YYYYMMDD")&amp;"*"" /stext="" "&amp;TEXT(FDB28-utc_offset/24,"HH")&amp;search_regexp&amp;""""</f>
        <v>#REF!</v>
      </c>
      <c r="FDZ28" s="234" t="e">
        <f>astrogrep_path&amp;" /e /r /s /spath="&amp;search_path&amp;" /stypes=""app*"&amp;FCV28&amp;"*"&amp;TEXT(FDC28-utc_offset/24,"YYYYMMDD")&amp;"*"" /stext="" "&amp;TEXT(FDC28-utc_offset/24,"HH")&amp;search_regexp&amp;""""</f>
        <v>#REF!</v>
      </c>
      <c r="FEA28" s="234" t="e">
        <f>astrogrep_path&amp;" /e /r /s /spath="&amp;search_path&amp;" /stypes=""app*"&amp;FCW28&amp;"*"&amp;TEXT(FDD28-utc_offset/24,"YYYYMMDD")&amp;"*"" /stext="" "&amp;TEXT(FDD28-utc_offset/24,"HH")&amp;search_regexp&amp;""""</f>
        <v>#REF!</v>
      </c>
      <c r="FEB28" s="234" t="e">
        <f>astrogrep_path&amp;" /e /r /s /spath="&amp;search_path&amp;" /stypes=""app*"&amp;FCX28&amp;"*"&amp;TEXT(FDE28-utc_offset/24,"YYYYMMDD")&amp;"*"" /stext="" "&amp;TEXT(FDE28-utc_offset/24,"HH")&amp;search_regexp&amp;""""</f>
        <v>#REF!</v>
      </c>
      <c r="FEC28" s="234" t="e">
        <f>astrogrep_path&amp;" /e /r /s /spath="&amp;search_path&amp;" /stypes=""app*"&amp;FCY28&amp;"*"&amp;TEXT(FDF28-utc_offset/24,"YYYYMMDD")&amp;"*"" /stext="" "&amp;TEXT(FDF28-utc_offset/24,"HH")&amp;search_regexp&amp;""""</f>
        <v>#REF!</v>
      </c>
      <c r="FED28" s="234" t="e">
        <f>astrogrep_path&amp;" /e /r /s /spath="&amp;search_path&amp;" /stypes=""app*"&amp;FCZ28&amp;"*"&amp;TEXT(FDG28-utc_offset/24,"YYYYMMDD")&amp;"*"" /stext="" "&amp;TEXT(FDG28-utc_offset/24,"HH")&amp;search_regexp&amp;""""</f>
        <v>#REF!</v>
      </c>
      <c r="FEE28" s="234" t="e">
        <f>astrogrep_path&amp;" /e /r /s /spath="&amp;search_path&amp;" /stypes=""app*"&amp;FDA28&amp;"*"&amp;TEXT(FDH28-utc_offset/24,"YYYYMMDD")&amp;"*"" /stext="" "&amp;TEXT(FDH28-utc_offset/24,"HH")&amp;search_regexp&amp;""""</f>
        <v>#REF!</v>
      </c>
      <c r="FEF28" s="234" t="e">
        <f>astrogrep_path&amp;" /e /r /s /spath="&amp;search_path&amp;" /stypes=""app*"&amp;FDB28&amp;"*"&amp;TEXT(FDI28-utc_offset/24,"YYYYMMDD")&amp;"*"" /stext="" "&amp;TEXT(FDI28-utc_offset/24,"HH")&amp;search_regexp&amp;""""</f>
        <v>#REF!</v>
      </c>
      <c r="FEG28" s="234" t="e">
        <f>astrogrep_path&amp;" /e /r /s /spath="&amp;search_path&amp;" /stypes=""app*"&amp;FDC28&amp;"*"&amp;TEXT(FDJ28-utc_offset/24,"YYYYMMDD")&amp;"*"" /stext="" "&amp;TEXT(FDJ28-utc_offset/24,"HH")&amp;search_regexp&amp;""""</f>
        <v>#REF!</v>
      </c>
      <c r="FEH28" s="234" t="e">
        <f>astrogrep_path&amp;" /e /r /s /spath="&amp;search_path&amp;" /stypes=""app*"&amp;FDD28&amp;"*"&amp;TEXT(FDK28-utc_offset/24,"YYYYMMDD")&amp;"*"" /stext="" "&amp;TEXT(FDK28-utc_offset/24,"HH")&amp;search_regexp&amp;""""</f>
        <v>#REF!</v>
      </c>
      <c r="FEI28" s="234" t="e">
        <f>astrogrep_path&amp;" /e /r /s /spath="&amp;search_path&amp;" /stypes=""app*"&amp;FDE28&amp;"*"&amp;TEXT(FDL28-utc_offset/24,"YYYYMMDD")&amp;"*"" /stext="" "&amp;TEXT(FDL28-utc_offset/24,"HH")&amp;search_regexp&amp;""""</f>
        <v>#REF!</v>
      </c>
      <c r="FEJ28" s="234" t="e">
        <f>astrogrep_path&amp;" /e /r /s /spath="&amp;search_path&amp;" /stypes=""app*"&amp;FDF28&amp;"*"&amp;TEXT(FDM28-utc_offset/24,"YYYYMMDD")&amp;"*"" /stext="" "&amp;TEXT(FDM28-utc_offset/24,"HH")&amp;search_regexp&amp;""""</f>
        <v>#REF!</v>
      </c>
      <c r="FEK28" s="234" t="e">
        <f>astrogrep_path&amp;" /e /r /s /spath="&amp;search_path&amp;" /stypes=""app*"&amp;FDG28&amp;"*"&amp;TEXT(FDN28-utc_offset/24,"YYYYMMDD")&amp;"*"" /stext="" "&amp;TEXT(FDN28-utc_offset/24,"HH")&amp;search_regexp&amp;""""</f>
        <v>#REF!</v>
      </c>
      <c r="FEL28" s="234" t="e">
        <f>astrogrep_path&amp;" /e /r /s /spath="&amp;search_path&amp;" /stypes=""app*"&amp;FDH28&amp;"*"&amp;TEXT(FDO28-utc_offset/24,"YYYYMMDD")&amp;"*"" /stext="" "&amp;TEXT(FDO28-utc_offset/24,"HH")&amp;search_regexp&amp;""""</f>
        <v>#REF!</v>
      </c>
      <c r="FEM28" s="234" t="e">
        <f>astrogrep_path&amp;" /e /r /s /spath="&amp;search_path&amp;" /stypes=""app*"&amp;FDI28&amp;"*"&amp;TEXT(FDP28-utc_offset/24,"YYYYMMDD")&amp;"*"" /stext="" "&amp;TEXT(FDP28-utc_offset/24,"HH")&amp;search_regexp&amp;""""</f>
        <v>#REF!</v>
      </c>
      <c r="FEN28" s="234" t="e">
        <f>astrogrep_path&amp;" /e /r /s /spath="&amp;search_path&amp;" /stypes=""app*"&amp;FDJ28&amp;"*"&amp;TEXT(FDQ28-utc_offset/24,"YYYYMMDD")&amp;"*"" /stext="" "&amp;TEXT(FDQ28-utc_offset/24,"HH")&amp;search_regexp&amp;""""</f>
        <v>#REF!</v>
      </c>
      <c r="FEO28" s="234" t="e">
        <f>astrogrep_path&amp;" /e /r /s /spath="&amp;search_path&amp;" /stypes=""app*"&amp;FDK28&amp;"*"&amp;TEXT(FDR28-utc_offset/24,"YYYYMMDD")&amp;"*"" /stext="" "&amp;TEXT(FDR28-utc_offset/24,"HH")&amp;search_regexp&amp;""""</f>
        <v>#VALUE!</v>
      </c>
      <c r="FEP28" s="234" t="e">
        <f>astrogrep_path&amp;" /e /r /s /spath="&amp;search_path&amp;" /stypes=""app*"&amp;FDL28&amp;"*"&amp;TEXT(FDS28-utc_offset/24,"YYYYMMDD")&amp;"*"" /stext="" "&amp;TEXT(FDS28-utc_offset/24,"HH")&amp;search_regexp&amp;""""</f>
        <v>#VALUE!</v>
      </c>
      <c r="FEQ28" s="234" t="e">
        <f>astrogrep_path&amp;" /e /r /s /spath="&amp;search_path&amp;" /stypes=""app*"&amp;FDM28&amp;"*"&amp;TEXT(FDT28-utc_offset/24,"YYYYMMDD")&amp;"*"" /stext="" "&amp;TEXT(FDT28-utc_offset/24,"HH")&amp;search_regexp&amp;""""</f>
        <v>#REF!</v>
      </c>
      <c r="FER28" s="234" t="e">
        <f>astrogrep_path&amp;" /e /r /s /spath="&amp;search_path&amp;" /stypes=""app*"&amp;FDN28&amp;"*"&amp;TEXT(FDU28-utc_offset/24,"YYYYMMDD")&amp;"*"" /stext="" "&amp;TEXT(FDU28-utc_offset/24,"HH")&amp;search_regexp&amp;""""</f>
        <v>#REF!</v>
      </c>
      <c r="FES28" s="234" t="e">
        <f>astrogrep_path&amp;" /e /r /s /spath="&amp;search_path&amp;" /stypes=""app*"&amp;FDO28&amp;"*"&amp;TEXT(FDV28-utc_offset/24,"YYYYMMDD")&amp;"*"" /stext="" "&amp;TEXT(FDV28-utc_offset/24,"HH")&amp;search_regexp&amp;""""</f>
        <v>#VALUE!</v>
      </c>
      <c r="FET28" s="234" t="e">
        <f>astrogrep_path&amp;" /e /r /s /spath="&amp;search_path&amp;" /stypes=""app*"&amp;FDP28&amp;"*"&amp;TEXT(FDW28-utc_offset/24,"YYYYMMDD")&amp;"*"" /stext="" "&amp;TEXT(FDW28-utc_offset/24,"HH")&amp;search_regexp&amp;""""</f>
        <v>#VALUE!</v>
      </c>
      <c r="FEU28" s="234" t="e">
        <f>astrogrep_path&amp;" /e /r /s /spath="&amp;search_path&amp;" /stypes=""app*"&amp;FDQ28&amp;"*"&amp;TEXT(FDX28-utc_offset/24,"YYYYMMDD")&amp;"*"" /stext="" "&amp;TEXT(FDX28-utc_offset/24,"HH")&amp;search_regexp&amp;""""</f>
        <v>#VALUE!</v>
      </c>
      <c r="FEV28" s="234" t="e">
        <f>astrogrep_path&amp;" /e /r /s /spath="&amp;search_path&amp;" /stypes=""app*"&amp;FDR28&amp;"*"&amp;TEXT(FDY28-utc_offset/24,"YYYYMMDD")&amp;"*"" /stext="" "&amp;TEXT(FDY28-utc_offset/24,"HH")&amp;search_regexp&amp;""""</f>
        <v>#VALUE!</v>
      </c>
      <c r="FEW28" s="234" t="e">
        <f>astrogrep_path&amp;" /e /r /s /spath="&amp;search_path&amp;" /stypes=""app*"&amp;FDS28&amp;"*"&amp;TEXT(FDZ28-utc_offset/24,"YYYYMMDD")&amp;"*"" /stext="" "&amp;TEXT(FDZ28-utc_offset/24,"HH")&amp;search_regexp&amp;""""</f>
        <v>#VALUE!</v>
      </c>
      <c r="FEX28" s="234" t="e">
        <f>astrogrep_path&amp;" /e /r /s /spath="&amp;search_path&amp;" /stypes=""app*"&amp;FDT28&amp;"*"&amp;TEXT(FEA28-utc_offset/24,"YYYYMMDD")&amp;"*"" /stext="" "&amp;TEXT(FEA28-utc_offset/24,"HH")&amp;search_regexp&amp;""""</f>
        <v>#REF!</v>
      </c>
      <c r="FEY28" s="234" t="e">
        <f>astrogrep_path&amp;" /e /r /s /spath="&amp;search_path&amp;" /stypes=""app*"&amp;FDU28&amp;"*"&amp;TEXT(FEB28-utc_offset/24,"YYYYMMDD")&amp;"*"" /stext="" "&amp;TEXT(FEB28-utc_offset/24,"HH")&amp;search_regexp&amp;""""</f>
        <v>#REF!</v>
      </c>
      <c r="FEZ28" s="234" t="e">
        <f>astrogrep_path&amp;" /e /r /s /spath="&amp;search_path&amp;" /stypes=""app*"&amp;FDV28&amp;"*"&amp;TEXT(FEC28-utc_offset/24,"YYYYMMDD")&amp;"*"" /stext="" "&amp;TEXT(FEC28-utc_offset/24,"HH")&amp;search_regexp&amp;""""</f>
        <v>#REF!</v>
      </c>
      <c r="FFA28" s="234" t="e">
        <f>astrogrep_path&amp;" /e /r /s /spath="&amp;search_path&amp;" /stypes=""app*"&amp;FDW28&amp;"*"&amp;TEXT(FED28-utc_offset/24,"YYYYMMDD")&amp;"*"" /stext="" "&amp;TEXT(FED28-utc_offset/24,"HH")&amp;search_regexp&amp;""""</f>
        <v>#REF!</v>
      </c>
      <c r="FFB28" s="234" t="e">
        <f>astrogrep_path&amp;" /e /r /s /spath="&amp;search_path&amp;" /stypes=""app*"&amp;FDX28&amp;"*"&amp;TEXT(FEE28-utc_offset/24,"YYYYMMDD")&amp;"*"" /stext="" "&amp;TEXT(FEE28-utc_offset/24,"HH")&amp;search_regexp&amp;""""</f>
        <v>#REF!</v>
      </c>
      <c r="FFC28" s="234" t="e">
        <f>astrogrep_path&amp;" /e /r /s /spath="&amp;search_path&amp;" /stypes=""app*"&amp;FDY28&amp;"*"&amp;TEXT(FEF28-utc_offset/24,"YYYYMMDD")&amp;"*"" /stext="" "&amp;TEXT(FEF28-utc_offset/24,"HH")&amp;search_regexp&amp;""""</f>
        <v>#REF!</v>
      </c>
      <c r="FFD28" s="234" t="e">
        <f>astrogrep_path&amp;" /e /r /s /spath="&amp;search_path&amp;" /stypes=""app*"&amp;FDZ28&amp;"*"&amp;TEXT(FEG28-utc_offset/24,"YYYYMMDD")&amp;"*"" /stext="" "&amp;TEXT(FEG28-utc_offset/24,"HH")&amp;search_regexp&amp;""""</f>
        <v>#REF!</v>
      </c>
      <c r="FFE28" s="234" t="e">
        <f>astrogrep_path&amp;" /e /r /s /spath="&amp;search_path&amp;" /stypes=""app*"&amp;FEA28&amp;"*"&amp;TEXT(FEH28-utc_offset/24,"YYYYMMDD")&amp;"*"" /stext="" "&amp;TEXT(FEH28-utc_offset/24,"HH")&amp;search_regexp&amp;""""</f>
        <v>#REF!</v>
      </c>
      <c r="FFF28" s="234" t="e">
        <f>astrogrep_path&amp;" /e /r /s /spath="&amp;search_path&amp;" /stypes=""app*"&amp;FEB28&amp;"*"&amp;TEXT(FEI28-utc_offset/24,"YYYYMMDD")&amp;"*"" /stext="" "&amp;TEXT(FEI28-utc_offset/24,"HH")&amp;search_regexp&amp;""""</f>
        <v>#REF!</v>
      </c>
      <c r="FFG28" s="234" t="e">
        <f>astrogrep_path&amp;" /e /r /s /spath="&amp;search_path&amp;" /stypes=""app*"&amp;FEC28&amp;"*"&amp;TEXT(FEJ28-utc_offset/24,"YYYYMMDD")&amp;"*"" /stext="" "&amp;TEXT(FEJ28-utc_offset/24,"HH")&amp;search_regexp&amp;""""</f>
        <v>#REF!</v>
      </c>
      <c r="FFH28" s="234" t="e">
        <f>astrogrep_path&amp;" /e /r /s /spath="&amp;search_path&amp;" /stypes=""app*"&amp;FED28&amp;"*"&amp;TEXT(FEK28-utc_offset/24,"YYYYMMDD")&amp;"*"" /stext="" "&amp;TEXT(FEK28-utc_offset/24,"HH")&amp;search_regexp&amp;""""</f>
        <v>#REF!</v>
      </c>
      <c r="FFI28" s="234" t="e">
        <f>astrogrep_path&amp;" /e /r /s /spath="&amp;search_path&amp;" /stypes=""app*"&amp;FEE28&amp;"*"&amp;TEXT(FEL28-utc_offset/24,"YYYYMMDD")&amp;"*"" /stext="" "&amp;TEXT(FEL28-utc_offset/24,"HH")&amp;search_regexp&amp;""""</f>
        <v>#REF!</v>
      </c>
      <c r="FFJ28" s="234" t="e">
        <f>astrogrep_path&amp;" /e /r /s /spath="&amp;search_path&amp;" /stypes=""app*"&amp;FEF28&amp;"*"&amp;TEXT(FEM28-utc_offset/24,"YYYYMMDD")&amp;"*"" /stext="" "&amp;TEXT(FEM28-utc_offset/24,"HH")&amp;search_regexp&amp;""""</f>
        <v>#REF!</v>
      </c>
      <c r="FFK28" s="234" t="e">
        <f>astrogrep_path&amp;" /e /r /s /spath="&amp;search_path&amp;" /stypes=""app*"&amp;FEG28&amp;"*"&amp;TEXT(FEN28-utc_offset/24,"YYYYMMDD")&amp;"*"" /stext="" "&amp;TEXT(FEN28-utc_offset/24,"HH")&amp;search_regexp&amp;""""</f>
        <v>#REF!</v>
      </c>
      <c r="FFL28" s="234" t="e">
        <f>astrogrep_path&amp;" /e /r /s /spath="&amp;search_path&amp;" /stypes=""app*"&amp;FEH28&amp;"*"&amp;TEXT(FEO28-utc_offset/24,"YYYYMMDD")&amp;"*"" /stext="" "&amp;TEXT(FEO28-utc_offset/24,"HH")&amp;search_regexp&amp;""""</f>
        <v>#REF!</v>
      </c>
      <c r="FFM28" s="234" t="e">
        <f>astrogrep_path&amp;" /e /r /s /spath="&amp;search_path&amp;" /stypes=""app*"&amp;FEI28&amp;"*"&amp;TEXT(FEP28-utc_offset/24,"YYYYMMDD")&amp;"*"" /stext="" "&amp;TEXT(FEP28-utc_offset/24,"HH")&amp;search_regexp&amp;""""</f>
        <v>#REF!</v>
      </c>
      <c r="FFN28" s="234" t="e">
        <f>astrogrep_path&amp;" /e /r /s /spath="&amp;search_path&amp;" /stypes=""app*"&amp;FEJ28&amp;"*"&amp;TEXT(FEQ28-utc_offset/24,"YYYYMMDD")&amp;"*"" /stext="" "&amp;TEXT(FEQ28-utc_offset/24,"HH")&amp;search_regexp&amp;""""</f>
        <v>#REF!</v>
      </c>
      <c r="FFO28" s="234" t="e">
        <f>astrogrep_path&amp;" /e /r /s /spath="&amp;search_path&amp;" /stypes=""app*"&amp;FEK28&amp;"*"&amp;TEXT(FER28-utc_offset/24,"YYYYMMDD")&amp;"*"" /stext="" "&amp;TEXT(FER28-utc_offset/24,"HH")&amp;search_regexp&amp;""""</f>
        <v>#REF!</v>
      </c>
      <c r="FFP28" s="234" t="e">
        <f>astrogrep_path&amp;" /e /r /s /spath="&amp;search_path&amp;" /stypes=""app*"&amp;FEL28&amp;"*"&amp;TEXT(FES28-utc_offset/24,"YYYYMMDD")&amp;"*"" /stext="" "&amp;TEXT(FES28-utc_offset/24,"HH")&amp;search_regexp&amp;""""</f>
        <v>#REF!</v>
      </c>
      <c r="FFQ28" s="234" t="e">
        <f>astrogrep_path&amp;" /e /r /s /spath="&amp;search_path&amp;" /stypes=""app*"&amp;FEM28&amp;"*"&amp;TEXT(FET28-utc_offset/24,"YYYYMMDD")&amp;"*"" /stext="" "&amp;TEXT(FET28-utc_offset/24,"HH")&amp;search_regexp&amp;""""</f>
        <v>#REF!</v>
      </c>
      <c r="FFR28" s="234" t="e">
        <f>astrogrep_path&amp;" /e /r /s /spath="&amp;search_path&amp;" /stypes=""app*"&amp;FEN28&amp;"*"&amp;TEXT(FEU28-utc_offset/24,"YYYYMMDD")&amp;"*"" /stext="" "&amp;TEXT(FEU28-utc_offset/24,"HH")&amp;search_regexp&amp;""""</f>
        <v>#REF!</v>
      </c>
      <c r="FFS28" s="234" t="e">
        <f>astrogrep_path&amp;" /e /r /s /spath="&amp;search_path&amp;" /stypes=""app*"&amp;FEO28&amp;"*"&amp;TEXT(FEV28-utc_offset/24,"YYYYMMDD")&amp;"*"" /stext="" "&amp;TEXT(FEV28-utc_offset/24,"HH")&amp;search_regexp&amp;""""</f>
        <v>#VALUE!</v>
      </c>
      <c r="FFT28" s="234" t="e">
        <f>astrogrep_path&amp;" /e /r /s /spath="&amp;search_path&amp;" /stypes=""app*"&amp;FEP28&amp;"*"&amp;TEXT(FEW28-utc_offset/24,"YYYYMMDD")&amp;"*"" /stext="" "&amp;TEXT(FEW28-utc_offset/24,"HH")&amp;search_regexp&amp;""""</f>
        <v>#VALUE!</v>
      </c>
      <c r="FFU28" s="234" t="e">
        <f>astrogrep_path&amp;" /e /r /s /spath="&amp;search_path&amp;" /stypes=""app*"&amp;FEQ28&amp;"*"&amp;TEXT(FEX28-utc_offset/24,"YYYYMMDD")&amp;"*"" /stext="" "&amp;TEXT(FEX28-utc_offset/24,"HH")&amp;search_regexp&amp;""""</f>
        <v>#REF!</v>
      </c>
      <c r="FFV28" s="234" t="e">
        <f>astrogrep_path&amp;" /e /r /s /spath="&amp;search_path&amp;" /stypes=""app*"&amp;FER28&amp;"*"&amp;TEXT(FEY28-utc_offset/24,"YYYYMMDD")&amp;"*"" /stext="" "&amp;TEXT(FEY28-utc_offset/24,"HH")&amp;search_regexp&amp;""""</f>
        <v>#REF!</v>
      </c>
      <c r="FFW28" s="234" t="e">
        <f>astrogrep_path&amp;" /e /r /s /spath="&amp;search_path&amp;" /stypes=""app*"&amp;FES28&amp;"*"&amp;TEXT(FEZ28-utc_offset/24,"YYYYMMDD")&amp;"*"" /stext="" "&amp;TEXT(FEZ28-utc_offset/24,"HH")&amp;search_regexp&amp;""""</f>
        <v>#VALUE!</v>
      </c>
      <c r="FFX28" s="234" t="e">
        <f>astrogrep_path&amp;" /e /r /s /spath="&amp;search_path&amp;" /stypes=""app*"&amp;FET28&amp;"*"&amp;TEXT(FFA28-utc_offset/24,"YYYYMMDD")&amp;"*"" /stext="" "&amp;TEXT(FFA28-utc_offset/24,"HH")&amp;search_regexp&amp;""""</f>
        <v>#VALUE!</v>
      </c>
      <c r="FFY28" s="234" t="e">
        <f>astrogrep_path&amp;" /e /r /s /spath="&amp;search_path&amp;" /stypes=""app*"&amp;FEU28&amp;"*"&amp;TEXT(FFB28-utc_offset/24,"YYYYMMDD")&amp;"*"" /stext="" "&amp;TEXT(FFB28-utc_offset/24,"HH")&amp;search_regexp&amp;""""</f>
        <v>#VALUE!</v>
      </c>
      <c r="FFZ28" s="234" t="e">
        <f>astrogrep_path&amp;" /e /r /s /spath="&amp;search_path&amp;" /stypes=""app*"&amp;FEV28&amp;"*"&amp;TEXT(FFC28-utc_offset/24,"YYYYMMDD")&amp;"*"" /stext="" "&amp;TEXT(FFC28-utc_offset/24,"HH")&amp;search_regexp&amp;""""</f>
        <v>#VALUE!</v>
      </c>
      <c r="FGA28" s="234" t="e">
        <f>astrogrep_path&amp;" /e /r /s /spath="&amp;search_path&amp;" /stypes=""app*"&amp;FEW28&amp;"*"&amp;TEXT(FFD28-utc_offset/24,"YYYYMMDD")&amp;"*"" /stext="" "&amp;TEXT(FFD28-utc_offset/24,"HH")&amp;search_regexp&amp;""""</f>
        <v>#VALUE!</v>
      </c>
      <c r="FGB28" s="234" t="e">
        <f>astrogrep_path&amp;" /e /r /s /spath="&amp;search_path&amp;" /stypes=""app*"&amp;FEX28&amp;"*"&amp;TEXT(FFE28-utc_offset/24,"YYYYMMDD")&amp;"*"" /stext="" "&amp;TEXT(FFE28-utc_offset/24,"HH")&amp;search_regexp&amp;""""</f>
        <v>#REF!</v>
      </c>
      <c r="FGC28" s="234" t="e">
        <f>astrogrep_path&amp;" /e /r /s /spath="&amp;search_path&amp;" /stypes=""app*"&amp;FEY28&amp;"*"&amp;TEXT(FFF28-utc_offset/24,"YYYYMMDD")&amp;"*"" /stext="" "&amp;TEXT(FFF28-utc_offset/24,"HH")&amp;search_regexp&amp;""""</f>
        <v>#REF!</v>
      </c>
      <c r="FGD28" s="234" t="e">
        <f>astrogrep_path&amp;" /e /r /s /spath="&amp;search_path&amp;" /stypes=""app*"&amp;FEZ28&amp;"*"&amp;TEXT(FFG28-utc_offset/24,"YYYYMMDD")&amp;"*"" /stext="" "&amp;TEXT(FFG28-utc_offset/24,"HH")&amp;search_regexp&amp;""""</f>
        <v>#REF!</v>
      </c>
      <c r="FGE28" s="234" t="e">
        <f>astrogrep_path&amp;" /e /r /s /spath="&amp;search_path&amp;" /stypes=""app*"&amp;FFA28&amp;"*"&amp;TEXT(FFH28-utc_offset/24,"YYYYMMDD")&amp;"*"" /stext="" "&amp;TEXT(FFH28-utc_offset/24,"HH")&amp;search_regexp&amp;""""</f>
        <v>#REF!</v>
      </c>
      <c r="FGF28" s="234" t="e">
        <f>astrogrep_path&amp;" /e /r /s /spath="&amp;search_path&amp;" /stypes=""app*"&amp;FFB28&amp;"*"&amp;TEXT(FFI28-utc_offset/24,"YYYYMMDD")&amp;"*"" /stext="" "&amp;TEXT(FFI28-utc_offset/24,"HH")&amp;search_regexp&amp;""""</f>
        <v>#REF!</v>
      </c>
      <c r="FGG28" s="234" t="e">
        <f>astrogrep_path&amp;" /e /r /s /spath="&amp;search_path&amp;" /stypes=""app*"&amp;FFC28&amp;"*"&amp;TEXT(FFJ28-utc_offset/24,"YYYYMMDD")&amp;"*"" /stext="" "&amp;TEXT(FFJ28-utc_offset/24,"HH")&amp;search_regexp&amp;""""</f>
        <v>#REF!</v>
      </c>
      <c r="FGH28" s="234" t="e">
        <f>astrogrep_path&amp;" /e /r /s /spath="&amp;search_path&amp;" /stypes=""app*"&amp;FFD28&amp;"*"&amp;TEXT(FFK28-utc_offset/24,"YYYYMMDD")&amp;"*"" /stext="" "&amp;TEXT(FFK28-utc_offset/24,"HH")&amp;search_regexp&amp;""""</f>
        <v>#REF!</v>
      </c>
      <c r="FGI28" s="234" t="e">
        <f>astrogrep_path&amp;" /e /r /s /spath="&amp;search_path&amp;" /stypes=""app*"&amp;FFE28&amp;"*"&amp;TEXT(FFL28-utc_offset/24,"YYYYMMDD")&amp;"*"" /stext="" "&amp;TEXT(FFL28-utc_offset/24,"HH")&amp;search_regexp&amp;""""</f>
        <v>#REF!</v>
      </c>
      <c r="FGJ28" s="234" t="e">
        <f>astrogrep_path&amp;" /e /r /s /spath="&amp;search_path&amp;" /stypes=""app*"&amp;FFF28&amp;"*"&amp;TEXT(FFM28-utc_offset/24,"YYYYMMDD")&amp;"*"" /stext="" "&amp;TEXT(FFM28-utc_offset/24,"HH")&amp;search_regexp&amp;""""</f>
        <v>#REF!</v>
      </c>
      <c r="FGK28" s="234" t="e">
        <f>astrogrep_path&amp;" /e /r /s /spath="&amp;search_path&amp;" /stypes=""app*"&amp;FFG28&amp;"*"&amp;TEXT(FFN28-utc_offset/24,"YYYYMMDD")&amp;"*"" /stext="" "&amp;TEXT(FFN28-utc_offset/24,"HH")&amp;search_regexp&amp;""""</f>
        <v>#REF!</v>
      </c>
      <c r="FGL28" s="234" t="e">
        <f>astrogrep_path&amp;" /e /r /s /spath="&amp;search_path&amp;" /stypes=""app*"&amp;FFH28&amp;"*"&amp;TEXT(FFO28-utc_offset/24,"YYYYMMDD")&amp;"*"" /stext="" "&amp;TEXT(FFO28-utc_offset/24,"HH")&amp;search_regexp&amp;""""</f>
        <v>#REF!</v>
      </c>
      <c r="FGM28" s="234" t="e">
        <f>astrogrep_path&amp;" /e /r /s /spath="&amp;search_path&amp;" /stypes=""app*"&amp;FFI28&amp;"*"&amp;TEXT(FFP28-utc_offset/24,"YYYYMMDD")&amp;"*"" /stext="" "&amp;TEXT(FFP28-utc_offset/24,"HH")&amp;search_regexp&amp;""""</f>
        <v>#REF!</v>
      </c>
      <c r="FGN28" s="234" t="e">
        <f>astrogrep_path&amp;" /e /r /s /spath="&amp;search_path&amp;" /stypes=""app*"&amp;FFJ28&amp;"*"&amp;TEXT(FFQ28-utc_offset/24,"YYYYMMDD")&amp;"*"" /stext="" "&amp;TEXT(FFQ28-utc_offset/24,"HH")&amp;search_regexp&amp;""""</f>
        <v>#REF!</v>
      </c>
      <c r="FGO28" s="234" t="e">
        <f>astrogrep_path&amp;" /e /r /s /spath="&amp;search_path&amp;" /stypes=""app*"&amp;FFK28&amp;"*"&amp;TEXT(FFR28-utc_offset/24,"YYYYMMDD")&amp;"*"" /stext="" "&amp;TEXT(FFR28-utc_offset/24,"HH")&amp;search_regexp&amp;""""</f>
        <v>#REF!</v>
      </c>
      <c r="FGP28" s="234" t="e">
        <f>astrogrep_path&amp;" /e /r /s /spath="&amp;search_path&amp;" /stypes=""app*"&amp;FFL28&amp;"*"&amp;TEXT(FFS28-utc_offset/24,"YYYYMMDD")&amp;"*"" /stext="" "&amp;TEXT(FFS28-utc_offset/24,"HH")&amp;search_regexp&amp;""""</f>
        <v>#REF!</v>
      </c>
      <c r="FGQ28" s="234" t="e">
        <f>astrogrep_path&amp;" /e /r /s /spath="&amp;search_path&amp;" /stypes=""app*"&amp;FFM28&amp;"*"&amp;TEXT(FFT28-utc_offset/24,"YYYYMMDD")&amp;"*"" /stext="" "&amp;TEXT(FFT28-utc_offset/24,"HH")&amp;search_regexp&amp;""""</f>
        <v>#REF!</v>
      </c>
      <c r="FGR28" s="234" t="e">
        <f>astrogrep_path&amp;" /e /r /s /spath="&amp;search_path&amp;" /stypes=""app*"&amp;FFN28&amp;"*"&amp;TEXT(FFU28-utc_offset/24,"YYYYMMDD")&amp;"*"" /stext="" "&amp;TEXT(FFU28-utc_offset/24,"HH")&amp;search_regexp&amp;""""</f>
        <v>#REF!</v>
      </c>
      <c r="FGS28" s="234" t="e">
        <f>astrogrep_path&amp;" /e /r /s /spath="&amp;search_path&amp;" /stypes=""app*"&amp;FFO28&amp;"*"&amp;TEXT(FFV28-utc_offset/24,"YYYYMMDD")&amp;"*"" /stext="" "&amp;TEXT(FFV28-utc_offset/24,"HH")&amp;search_regexp&amp;""""</f>
        <v>#REF!</v>
      </c>
      <c r="FGT28" s="234" t="e">
        <f>astrogrep_path&amp;" /e /r /s /spath="&amp;search_path&amp;" /stypes=""app*"&amp;FFP28&amp;"*"&amp;TEXT(FFW28-utc_offset/24,"YYYYMMDD")&amp;"*"" /stext="" "&amp;TEXT(FFW28-utc_offset/24,"HH")&amp;search_regexp&amp;""""</f>
        <v>#REF!</v>
      </c>
      <c r="FGU28" s="234" t="e">
        <f>astrogrep_path&amp;" /e /r /s /spath="&amp;search_path&amp;" /stypes=""app*"&amp;FFQ28&amp;"*"&amp;TEXT(FFX28-utc_offset/24,"YYYYMMDD")&amp;"*"" /stext="" "&amp;TEXT(FFX28-utc_offset/24,"HH")&amp;search_regexp&amp;""""</f>
        <v>#REF!</v>
      </c>
      <c r="FGV28" s="234" t="e">
        <f>astrogrep_path&amp;" /e /r /s /spath="&amp;search_path&amp;" /stypes=""app*"&amp;FFR28&amp;"*"&amp;TEXT(FFY28-utc_offset/24,"YYYYMMDD")&amp;"*"" /stext="" "&amp;TEXT(FFY28-utc_offset/24,"HH")&amp;search_regexp&amp;""""</f>
        <v>#REF!</v>
      </c>
      <c r="FGW28" s="234" t="e">
        <f>astrogrep_path&amp;" /e /r /s /spath="&amp;search_path&amp;" /stypes=""app*"&amp;FFS28&amp;"*"&amp;TEXT(FFZ28-utc_offset/24,"YYYYMMDD")&amp;"*"" /stext="" "&amp;TEXT(FFZ28-utc_offset/24,"HH")&amp;search_regexp&amp;""""</f>
        <v>#VALUE!</v>
      </c>
      <c r="FGX28" s="234" t="e">
        <f>astrogrep_path&amp;" /e /r /s /spath="&amp;search_path&amp;" /stypes=""app*"&amp;FFT28&amp;"*"&amp;TEXT(FGA28-utc_offset/24,"YYYYMMDD")&amp;"*"" /stext="" "&amp;TEXT(FGA28-utc_offset/24,"HH")&amp;search_regexp&amp;""""</f>
        <v>#VALUE!</v>
      </c>
      <c r="FGY28" s="234" t="e">
        <f>astrogrep_path&amp;" /e /r /s /spath="&amp;search_path&amp;" /stypes=""app*"&amp;FFU28&amp;"*"&amp;TEXT(FGB28-utc_offset/24,"YYYYMMDD")&amp;"*"" /stext="" "&amp;TEXT(FGB28-utc_offset/24,"HH")&amp;search_regexp&amp;""""</f>
        <v>#REF!</v>
      </c>
      <c r="FGZ28" s="234" t="e">
        <f>astrogrep_path&amp;" /e /r /s /spath="&amp;search_path&amp;" /stypes=""app*"&amp;FFV28&amp;"*"&amp;TEXT(FGC28-utc_offset/24,"YYYYMMDD")&amp;"*"" /stext="" "&amp;TEXT(FGC28-utc_offset/24,"HH")&amp;search_regexp&amp;""""</f>
        <v>#REF!</v>
      </c>
      <c r="FHA28" s="234" t="e">
        <f>astrogrep_path&amp;" /e /r /s /spath="&amp;search_path&amp;" /stypes=""app*"&amp;FFW28&amp;"*"&amp;TEXT(FGD28-utc_offset/24,"YYYYMMDD")&amp;"*"" /stext="" "&amp;TEXT(FGD28-utc_offset/24,"HH")&amp;search_regexp&amp;""""</f>
        <v>#VALUE!</v>
      </c>
      <c r="FHB28" s="234" t="e">
        <f>astrogrep_path&amp;" /e /r /s /spath="&amp;search_path&amp;" /stypes=""app*"&amp;FFX28&amp;"*"&amp;TEXT(FGE28-utc_offset/24,"YYYYMMDD")&amp;"*"" /stext="" "&amp;TEXT(FGE28-utc_offset/24,"HH")&amp;search_regexp&amp;""""</f>
        <v>#VALUE!</v>
      </c>
      <c r="FHC28" s="234" t="e">
        <f>astrogrep_path&amp;" /e /r /s /spath="&amp;search_path&amp;" /stypes=""app*"&amp;FFY28&amp;"*"&amp;TEXT(FGF28-utc_offset/24,"YYYYMMDD")&amp;"*"" /stext="" "&amp;TEXT(FGF28-utc_offset/24,"HH")&amp;search_regexp&amp;""""</f>
        <v>#VALUE!</v>
      </c>
      <c r="FHD28" s="234" t="e">
        <f>astrogrep_path&amp;" /e /r /s /spath="&amp;search_path&amp;" /stypes=""app*"&amp;FFZ28&amp;"*"&amp;TEXT(FGG28-utc_offset/24,"YYYYMMDD")&amp;"*"" /stext="" "&amp;TEXT(FGG28-utc_offset/24,"HH")&amp;search_regexp&amp;""""</f>
        <v>#VALUE!</v>
      </c>
      <c r="FHE28" s="234" t="e">
        <f>astrogrep_path&amp;" /e /r /s /spath="&amp;search_path&amp;" /stypes=""app*"&amp;FGA28&amp;"*"&amp;TEXT(FGH28-utc_offset/24,"YYYYMMDD")&amp;"*"" /stext="" "&amp;TEXT(FGH28-utc_offset/24,"HH")&amp;search_regexp&amp;""""</f>
        <v>#VALUE!</v>
      </c>
      <c r="FHF28" s="234" t="e">
        <f>astrogrep_path&amp;" /e /r /s /spath="&amp;search_path&amp;" /stypes=""app*"&amp;FGB28&amp;"*"&amp;TEXT(FGI28-utc_offset/24,"YYYYMMDD")&amp;"*"" /stext="" "&amp;TEXT(FGI28-utc_offset/24,"HH")&amp;search_regexp&amp;""""</f>
        <v>#REF!</v>
      </c>
      <c r="FHG28" s="234" t="e">
        <f>astrogrep_path&amp;" /e /r /s /spath="&amp;search_path&amp;" /stypes=""app*"&amp;FGC28&amp;"*"&amp;TEXT(FGJ28-utc_offset/24,"YYYYMMDD")&amp;"*"" /stext="" "&amp;TEXT(FGJ28-utc_offset/24,"HH")&amp;search_regexp&amp;""""</f>
        <v>#REF!</v>
      </c>
      <c r="FHH28" s="234" t="e">
        <f>astrogrep_path&amp;" /e /r /s /spath="&amp;search_path&amp;" /stypes=""app*"&amp;FGD28&amp;"*"&amp;TEXT(FGK28-utc_offset/24,"YYYYMMDD")&amp;"*"" /stext="" "&amp;TEXT(FGK28-utc_offset/24,"HH")&amp;search_regexp&amp;""""</f>
        <v>#REF!</v>
      </c>
      <c r="FHI28" s="234" t="e">
        <f>astrogrep_path&amp;" /e /r /s /spath="&amp;search_path&amp;" /stypes=""app*"&amp;FGE28&amp;"*"&amp;TEXT(FGL28-utc_offset/24,"YYYYMMDD")&amp;"*"" /stext="" "&amp;TEXT(FGL28-utc_offset/24,"HH")&amp;search_regexp&amp;""""</f>
        <v>#REF!</v>
      </c>
      <c r="FHJ28" s="234" t="e">
        <f>astrogrep_path&amp;" /e /r /s /spath="&amp;search_path&amp;" /stypes=""app*"&amp;FGF28&amp;"*"&amp;TEXT(FGM28-utc_offset/24,"YYYYMMDD")&amp;"*"" /stext="" "&amp;TEXT(FGM28-utc_offset/24,"HH")&amp;search_regexp&amp;""""</f>
        <v>#REF!</v>
      </c>
      <c r="FHK28" s="234" t="e">
        <f>astrogrep_path&amp;" /e /r /s /spath="&amp;search_path&amp;" /stypes=""app*"&amp;FGG28&amp;"*"&amp;TEXT(FGN28-utc_offset/24,"YYYYMMDD")&amp;"*"" /stext="" "&amp;TEXT(FGN28-utc_offset/24,"HH")&amp;search_regexp&amp;""""</f>
        <v>#REF!</v>
      </c>
      <c r="FHL28" s="234" t="e">
        <f>astrogrep_path&amp;" /e /r /s /spath="&amp;search_path&amp;" /stypes=""app*"&amp;FGH28&amp;"*"&amp;TEXT(FGO28-utc_offset/24,"YYYYMMDD")&amp;"*"" /stext="" "&amp;TEXT(FGO28-utc_offset/24,"HH")&amp;search_regexp&amp;""""</f>
        <v>#REF!</v>
      </c>
      <c r="FHM28" s="234" t="e">
        <f>astrogrep_path&amp;" /e /r /s /spath="&amp;search_path&amp;" /stypes=""app*"&amp;FGI28&amp;"*"&amp;TEXT(FGP28-utc_offset/24,"YYYYMMDD")&amp;"*"" /stext="" "&amp;TEXT(FGP28-utc_offset/24,"HH")&amp;search_regexp&amp;""""</f>
        <v>#REF!</v>
      </c>
      <c r="FHN28" s="234" t="e">
        <f>astrogrep_path&amp;" /e /r /s /spath="&amp;search_path&amp;" /stypes=""app*"&amp;FGJ28&amp;"*"&amp;TEXT(FGQ28-utc_offset/24,"YYYYMMDD")&amp;"*"" /stext="" "&amp;TEXT(FGQ28-utc_offset/24,"HH")&amp;search_regexp&amp;""""</f>
        <v>#REF!</v>
      </c>
      <c r="FHO28" s="234" t="e">
        <f>astrogrep_path&amp;" /e /r /s /spath="&amp;search_path&amp;" /stypes=""app*"&amp;FGK28&amp;"*"&amp;TEXT(FGR28-utc_offset/24,"YYYYMMDD")&amp;"*"" /stext="" "&amp;TEXT(FGR28-utc_offset/24,"HH")&amp;search_regexp&amp;""""</f>
        <v>#REF!</v>
      </c>
      <c r="FHP28" s="234" t="e">
        <f>astrogrep_path&amp;" /e /r /s /spath="&amp;search_path&amp;" /stypes=""app*"&amp;FGL28&amp;"*"&amp;TEXT(FGS28-utc_offset/24,"YYYYMMDD")&amp;"*"" /stext="" "&amp;TEXT(FGS28-utc_offset/24,"HH")&amp;search_regexp&amp;""""</f>
        <v>#REF!</v>
      </c>
      <c r="FHQ28" s="234" t="e">
        <f>astrogrep_path&amp;" /e /r /s /spath="&amp;search_path&amp;" /stypes=""app*"&amp;FGM28&amp;"*"&amp;TEXT(FGT28-utc_offset/24,"YYYYMMDD")&amp;"*"" /stext="" "&amp;TEXT(FGT28-utc_offset/24,"HH")&amp;search_regexp&amp;""""</f>
        <v>#REF!</v>
      </c>
      <c r="FHR28" s="234" t="e">
        <f>astrogrep_path&amp;" /e /r /s /spath="&amp;search_path&amp;" /stypes=""app*"&amp;FGN28&amp;"*"&amp;TEXT(FGU28-utc_offset/24,"YYYYMMDD")&amp;"*"" /stext="" "&amp;TEXT(FGU28-utc_offset/24,"HH")&amp;search_regexp&amp;""""</f>
        <v>#REF!</v>
      </c>
      <c r="FHS28" s="234" t="e">
        <f>astrogrep_path&amp;" /e /r /s /spath="&amp;search_path&amp;" /stypes=""app*"&amp;FGO28&amp;"*"&amp;TEXT(FGV28-utc_offset/24,"YYYYMMDD")&amp;"*"" /stext="" "&amp;TEXT(FGV28-utc_offset/24,"HH")&amp;search_regexp&amp;""""</f>
        <v>#REF!</v>
      </c>
      <c r="FHT28" s="234" t="e">
        <f>astrogrep_path&amp;" /e /r /s /spath="&amp;search_path&amp;" /stypes=""app*"&amp;FGP28&amp;"*"&amp;TEXT(FGW28-utc_offset/24,"YYYYMMDD")&amp;"*"" /stext="" "&amp;TEXT(FGW28-utc_offset/24,"HH")&amp;search_regexp&amp;""""</f>
        <v>#REF!</v>
      </c>
      <c r="FHU28" s="234" t="e">
        <f>astrogrep_path&amp;" /e /r /s /spath="&amp;search_path&amp;" /stypes=""app*"&amp;FGQ28&amp;"*"&amp;TEXT(FGX28-utc_offset/24,"YYYYMMDD")&amp;"*"" /stext="" "&amp;TEXT(FGX28-utc_offset/24,"HH")&amp;search_regexp&amp;""""</f>
        <v>#REF!</v>
      </c>
      <c r="FHV28" s="234" t="e">
        <f>astrogrep_path&amp;" /e /r /s /spath="&amp;search_path&amp;" /stypes=""app*"&amp;FGR28&amp;"*"&amp;TEXT(FGY28-utc_offset/24,"YYYYMMDD")&amp;"*"" /stext="" "&amp;TEXT(FGY28-utc_offset/24,"HH")&amp;search_regexp&amp;""""</f>
        <v>#REF!</v>
      </c>
      <c r="FHW28" s="234" t="e">
        <f>astrogrep_path&amp;" /e /r /s /spath="&amp;search_path&amp;" /stypes=""app*"&amp;FGS28&amp;"*"&amp;TEXT(FGZ28-utc_offset/24,"YYYYMMDD")&amp;"*"" /stext="" "&amp;TEXT(FGZ28-utc_offset/24,"HH")&amp;search_regexp&amp;""""</f>
        <v>#REF!</v>
      </c>
      <c r="FHX28" s="234" t="e">
        <f>astrogrep_path&amp;" /e /r /s /spath="&amp;search_path&amp;" /stypes=""app*"&amp;FGT28&amp;"*"&amp;TEXT(FHA28-utc_offset/24,"YYYYMMDD")&amp;"*"" /stext="" "&amp;TEXT(FHA28-utc_offset/24,"HH")&amp;search_regexp&amp;""""</f>
        <v>#REF!</v>
      </c>
      <c r="FHY28" s="234" t="e">
        <f>astrogrep_path&amp;" /e /r /s /spath="&amp;search_path&amp;" /stypes=""app*"&amp;FGU28&amp;"*"&amp;TEXT(FHB28-utc_offset/24,"YYYYMMDD")&amp;"*"" /stext="" "&amp;TEXT(FHB28-utc_offset/24,"HH")&amp;search_regexp&amp;""""</f>
        <v>#REF!</v>
      </c>
      <c r="FHZ28" s="234" t="e">
        <f>astrogrep_path&amp;" /e /r /s /spath="&amp;search_path&amp;" /stypes=""app*"&amp;FGV28&amp;"*"&amp;TEXT(FHC28-utc_offset/24,"YYYYMMDD")&amp;"*"" /stext="" "&amp;TEXT(FHC28-utc_offset/24,"HH")&amp;search_regexp&amp;""""</f>
        <v>#REF!</v>
      </c>
      <c r="FIA28" s="234" t="e">
        <f>astrogrep_path&amp;" /e /r /s /spath="&amp;search_path&amp;" /stypes=""app*"&amp;FGW28&amp;"*"&amp;TEXT(FHD28-utc_offset/24,"YYYYMMDD")&amp;"*"" /stext="" "&amp;TEXT(FHD28-utc_offset/24,"HH")&amp;search_regexp&amp;""""</f>
        <v>#VALUE!</v>
      </c>
      <c r="FIB28" s="234" t="e">
        <f>astrogrep_path&amp;" /e /r /s /spath="&amp;search_path&amp;" /stypes=""app*"&amp;FGX28&amp;"*"&amp;TEXT(FHE28-utc_offset/24,"YYYYMMDD")&amp;"*"" /stext="" "&amp;TEXT(FHE28-utc_offset/24,"HH")&amp;search_regexp&amp;""""</f>
        <v>#VALUE!</v>
      </c>
      <c r="FIC28" s="234" t="e">
        <f>astrogrep_path&amp;" /e /r /s /spath="&amp;search_path&amp;" /stypes=""app*"&amp;FGY28&amp;"*"&amp;TEXT(FHF28-utc_offset/24,"YYYYMMDD")&amp;"*"" /stext="" "&amp;TEXT(FHF28-utc_offset/24,"HH")&amp;search_regexp&amp;""""</f>
        <v>#REF!</v>
      </c>
      <c r="FID28" s="234" t="e">
        <f>astrogrep_path&amp;" /e /r /s /spath="&amp;search_path&amp;" /stypes=""app*"&amp;FGZ28&amp;"*"&amp;TEXT(FHG28-utc_offset/24,"YYYYMMDD")&amp;"*"" /stext="" "&amp;TEXT(FHG28-utc_offset/24,"HH")&amp;search_regexp&amp;""""</f>
        <v>#REF!</v>
      </c>
      <c r="FIE28" s="234" t="e">
        <f>astrogrep_path&amp;" /e /r /s /spath="&amp;search_path&amp;" /stypes=""app*"&amp;FHA28&amp;"*"&amp;TEXT(FHH28-utc_offset/24,"YYYYMMDD")&amp;"*"" /stext="" "&amp;TEXT(FHH28-utc_offset/24,"HH")&amp;search_regexp&amp;""""</f>
        <v>#VALUE!</v>
      </c>
      <c r="FIF28" s="234" t="e">
        <f>astrogrep_path&amp;" /e /r /s /spath="&amp;search_path&amp;" /stypes=""app*"&amp;FHB28&amp;"*"&amp;TEXT(FHI28-utc_offset/24,"YYYYMMDD")&amp;"*"" /stext="" "&amp;TEXT(FHI28-utc_offset/24,"HH")&amp;search_regexp&amp;""""</f>
        <v>#VALUE!</v>
      </c>
      <c r="FIG28" s="234" t="e">
        <f>astrogrep_path&amp;" /e /r /s /spath="&amp;search_path&amp;" /stypes=""app*"&amp;FHC28&amp;"*"&amp;TEXT(FHJ28-utc_offset/24,"YYYYMMDD")&amp;"*"" /stext="" "&amp;TEXT(FHJ28-utc_offset/24,"HH")&amp;search_regexp&amp;""""</f>
        <v>#VALUE!</v>
      </c>
      <c r="FIH28" s="234" t="e">
        <f>astrogrep_path&amp;" /e /r /s /spath="&amp;search_path&amp;" /stypes=""app*"&amp;FHD28&amp;"*"&amp;TEXT(FHK28-utc_offset/24,"YYYYMMDD")&amp;"*"" /stext="" "&amp;TEXT(FHK28-utc_offset/24,"HH")&amp;search_regexp&amp;""""</f>
        <v>#VALUE!</v>
      </c>
      <c r="FII28" s="234" t="e">
        <f>astrogrep_path&amp;" /e /r /s /spath="&amp;search_path&amp;" /stypes=""app*"&amp;FHE28&amp;"*"&amp;TEXT(FHL28-utc_offset/24,"YYYYMMDD")&amp;"*"" /stext="" "&amp;TEXT(FHL28-utc_offset/24,"HH")&amp;search_regexp&amp;""""</f>
        <v>#VALUE!</v>
      </c>
      <c r="FIJ28" s="234" t="e">
        <f>astrogrep_path&amp;" /e /r /s /spath="&amp;search_path&amp;" /stypes=""app*"&amp;FHF28&amp;"*"&amp;TEXT(FHM28-utc_offset/24,"YYYYMMDD")&amp;"*"" /stext="" "&amp;TEXT(FHM28-utc_offset/24,"HH")&amp;search_regexp&amp;""""</f>
        <v>#REF!</v>
      </c>
      <c r="FIK28" s="234" t="e">
        <f>astrogrep_path&amp;" /e /r /s /spath="&amp;search_path&amp;" /stypes=""app*"&amp;FHG28&amp;"*"&amp;TEXT(FHN28-utc_offset/24,"YYYYMMDD")&amp;"*"" /stext="" "&amp;TEXT(FHN28-utc_offset/24,"HH")&amp;search_regexp&amp;""""</f>
        <v>#REF!</v>
      </c>
      <c r="FIL28" s="234" t="e">
        <f>astrogrep_path&amp;" /e /r /s /spath="&amp;search_path&amp;" /stypes=""app*"&amp;FHH28&amp;"*"&amp;TEXT(FHO28-utc_offset/24,"YYYYMMDD")&amp;"*"" /stext="" "&amp;TEXT(FHO28-utc_offset/24,"HH")&amp;search_regexp&amp;""""</f>
        <v>#REF!</v>
      </c>
      <c r="FIM28" s="234" t="e">
        <f>astrogrep_path&amp;" /e /r /s /spath="&amp;search_path&amp;" /stypes=""app*"&amp;FHI28&amp;"*"&amp;TEXT(FHP28-utc_offset/24,"YYYYMMDD")&amp;"*"" /stext="" "&amp;TEXT(FHP28-utc_offset/24,"HH")&amp;search_regexp&amp;""""</f>
        <v>#REF!</v>
      </c>
      <c r="FIN28" s="234" t="e">
        <f>astrogrep_path&amp;" /e /r /s /spath="&amp;search_path&amp;" /stypes=""app*"&amp;FHJ28&amp;"*"&amp;TEXT(FHQ28-utc_offset/24,"YYYYMMDD")&amp;"*"" /stext="" "&amp;TEXT(FHQ28-utc_offset/24,"HH")&amp;search_regexp&amp;""""</f>
        <v>#REF!</v>
      </c>
      <c r="FIO28" s="234" t="e">
        <f>astrogrep_path&amp;" /e /r /s /spath="&amp;search_path&amp;" /stypes=""app*"&amp;FHK28&amp;"*"&amp;TEXT(FHR28-utc_offset/24,"YYYYMMDD")&amp;"*"" /stext="" "&amp;TEXT(FHR28-utc_offset/24,"HH")&amp;search_regexp&amp;""""</f>
        <v>#REF!</v>
      </c>
      <c r="FIP28" s="234" t="e">
        <f>astrogrep_path&amp;" /e /r /s /spath="&amp;search_path&amp;" /stypes=""app*"&amp;FHL28&amp;"*"&amp;TEXT(FHS28-utc_offset/24,"YYYYMMDD")&amp;"*"" /stext="" "&amp;TEXT(FHS28-utc_offset/24,"HH")&amp;search_regexp&amp;""""</f>
        <v>#REF!</v>
      </c>
      <c r="FIQ28" s="234" t="e">
        <f>astrogrep_path&amp;" /e /r /s /spath="&amp;search_path&amp;" /stypes=""app*"&amp;FHM28&amp;"*"&amp;TEXT(FHT28-utc_offset/24,"YYYYMMDD")&amp;"*"" /stext="" "&amp;TEXT(FHT28-utc_offset/24,"HH")&amp;search_regexp&amp;""""</f>
        <v>#REF!</v>
      </c>
      <c r="FIR28" s="234" t="e">
        <f>astrogrep_path&amp;" /e /r /s /spath="&amp;search_path&amp;" /stypes=""app*"&amp;FHN28&amp;"*"&amp;TEXT(FHU28-utc_offset/24,"YYYYMMDD")&amp;"*"" /stext="" "&amp;TEXT(FHU28-utc_offset/24,"HH")&amp;search_regexp&amp;""""</f>
        <v>#REF!</v>
      </c>
      <c r="FIS28" s="234" t="e">
        <f>astrogrep_path&amp;" /e /r /s /spath="&amp;search_path&amp;" /stypes=""app*"&amp;FHO28&amp;"*"&amp;TEXT(FHV28-utc_offset/24,"YYYYMMDD")&amp;"*"" /stext="" "&amp;TEXT(FHV28-utc_offset/24,"HH")&amp;search_regexp&amp;""""</f>
        <v>#REF!</v>
      </c>
      <c r="FIT28" s="234" t="e">
        <f>astrogrep_path&amp;" /e /r /s /spath="&amp;search_path&amp;" /stypes=""app*"&amp;FHP28&amp;"*"&amp;TEXT(FHW28-utc_offset/24,"YYYYMMDD")&amp;"*"" /stext="" "&amp;TEXT(FHW28-utc_offset/24,"HH")&amp;search_regexp&amp;""""</f>
        <v>#REF!</v>
      </c>
      <c r="FIU28" s="234" t="e">
        <f>astrogrep_path&amp;" /e /r /s /spath="&amp;search_path&amp;" /stypes=""app*"&amp;FHQ28&amp;"*"&amp;TEXT(FHX28-utc_offset/24,"YYYYMMDD")&amp;"*"" /stext="" "&amp;TEXT(FHX28-utc_offset/24,"HH")&amp;search_regexp&amp;""""</f>
        <v>#REF!</v>
      </c>
      <c r="FIV28" s="234" t="e">
        <f>astrogrep_path&amp;" /e /r /s /spath="&amp;search_path&amp;" /stypes=""app*"&amp;FHR28&amp;"*"&amp;TEXT(FHY28-utc_offset/24,"YYYYMMDD")&amp;"*"" /stext="" "&amp;TEXT(FHY28-utc_offset/24,"HH")&amp;search_regexp&amp;""""</f>
        <v>#REF!</v>
      </c>
      <c r="FIW28" s="234" t="e">
        <f>astrogrep_path&amp;" /e /r /s /spath="&amp;search_path&amp;" /stypes=""app*"&amp;FHS28&amp;"*"&amp;TEXT(FHZ28-utc_offset/24,"YYYYMMDD")&amp;"*"" /stext="" "&amp;TEXT(FHZ28-utc_offset/24,"HH")&amp;search_regexp&amp;""""</f>
        <v>#REF!</v>
      </c>
      <c r="FIX28" s="234" t="e">
        <f>astrogrep_path&amp;" /e /r /s /spath="&amp;search_path&amp;" /stypes=""app*"&amp;FHT28&amp;"*"&amp;TEXT(FIA28-utc_offset/24,"YYYYMMDD")&amp;"*"" /stext="" "&amp;TEXT(FIA28-utc_offset/24,"HH")&amp;search_regexp&amp;""""</f>
        <v>#REF!</v>
      </c>
      <c r="FIY28" s="234" t="e">
        <f>astrogrep_path&amp;" /e /r /s /spath="&amp;search_path&amp;" /stypes=""app*"&amp;FHU28&amp;"*"&amp;TEXT(FIB28-utc_offset/24,"YYYYMMDD")&amp;"*"" /stext="" "&amp;TEXT(FIB28-utc_offset/24,"HH")&amp;search_regexp&amp;""""</f>
        <v>#REF!</v>
      </c>
      <c r="FIZ28" s="234" t="e">
        <f>astrogrep_path&amp;" /e /r /s /spath="&amp;search_path&amp;" /stypes=""app*"&amp;FHV28&amp;"*"&amp;TEXT(FIC28-utc_offset/24,"YYYYMMDD")&amp;"*"" /stext="" "&amp;TEXT(FIC28-utc_offset/24,"HH")&amp;search_regexp&amp;""""</f>
        <v>#REF!</v>
      </c>
      <c r="FJA28" s="234" t="e">
        <f>astrogrep_path&amp;" /e /r /s /spath="&amp;search_path&amp;" /stypes=""app*"&amp;FHW28&amp;"*"&amp;TEXT(FID28-utc_offset/24,"YYYYMMDD")&amp;"*"" /stext="" "&amp;TEXT(FID28-utc_offset/24,"HH")&amp;search_regexp&amp;""""</f>
        <v>#REF!</v>
      </c>
      <c r="FJB28" s="234" t="e">
        <f>astrogrep_path&amp;" /e /r /s /spath="&amp;search_path&amp;" /stypes=""app*"&amp;FHX28&amp;"*"&amp;TEXT(FIE28-utc_offset/24,"YYYYMMDD")&amp;"*"" /stext="" "&amp;TEXT(FIE28-utc_offset/24,"HH")&amp;search_regexp&amp;""""</f>
        <v>#REF!</v>
      </c>
      <c r="FJC28" s="234" t="e">
        <f>astrogrep_path&amp;" /e /r /s /spath="&amp;search_path&amp;" /stypes=""app*"&amp;FHY28&amp;"*"&amp;TEXT(FIF28-utc_offset/24,"YYYYMMDD")&amp;"*"" /stext="" "&amp;TEXT(FIF28-utc_offset/24,"HH")&amp;search_regexp&amp;""""</f>
        <v>#REF!</v>
      </c>
      <c r="FJD28" s="234" t="e">
        <f>astrogrep_path&amp;" /e /r /s /spath="&amp;search_path&amp;" /stypes=""app*"&amp;FHZ28&amp;"*"&amp;TEXT(FIG28-utc_offset/24,"YYYYMMDD")&amp;"*"" /stext="" "&amp;TEXT(FIG28-utc_offset/24,"HH")&amp;search_regexp&amp;""""</f>
        <v>#REF!</v>
      </c>
      <c r="FJE28" s="234" t="e">
        <f>astrogrep_path&amp;" /e /r /s /spath="&amp;search_path&amp;" /stypes=""app*"&amp;FIA28&amp;"*"&amp;TEXT(FIH28-utc_offset/24,"YYYYMMDD")&amp;"*"" /stext="" "&amp;TEXT(FIH28-utc_offset/24,"HH")&amp;search_regexp&amp;""""</f>
        <v>#VALUE!</v>
      </c>
      <c r="FJF28" s="234" t="e">
        <f>astrogrep_path&amp;" /e /r /s /spath="&amp;search_path&amp;" /stypes=""app*"&amp;FIB28&amp;"*"&amp;TEXT(FII28-utc_offset/24,"YYYYMMDD")&amp;"*"" /stext="" "&amp;TEXT(FII28-utc_offset/24,"HH")&amp;search_regexp&amp;""""</f>
        <v>#VALUE!</v>
      </c>
      <c r="FJG28" s="234" t="e">
        <f>astrogrep_path&amp;" /e /r /s /spath="&amp;search_path&amp;" /stypes=""app*"&amp;FIC28&amp;"*"&amp;TEXT(FIJ28-utc_offset/24,"YYYYMMDD")&amp;"*"" /stext="" "&amp;TEXT(FIJ28-utc_offset/24,"HH")&amp;search_regexp&amp;""""</f>
        <v>#REF!</v>
      </c>
      <c r="FJH28" s="234" t="e">
        <f>astrogrep_path&amp;" /e /r /s /spath="&amp;search_path&amp;" /stypes=""app*"&amp;FID28&amp;"*"&amp;TEXT(FIK28-utc_offset/24,"YYYYMMDD")&amp;"*"" /stext="" "&amp;TEXT(FIK28-utc_offset/24,"HH")&amp;search_regexp&amp;""""</f>
        <v>#REF!</v>
      </c>
      <c r="FJI28" s="234" t="e">
        <f>astrogrep_path&amp;" /e /r /s /spath="&amp;search_path&amp;" /stypes=""app*"&amp;FIE28&amp;"*"&amp;TEXT(FIL28-utc_offset/24,"YYYYMMDD")&amp;"*"" /stext="" "&amp;TEXT(FIL28-utc_offset/24,"HH")&amp;search_regexp&amp;""""</f>
        <v>#VALUE!</v>
      </c>
      <c r="FJJ28" s="234" t="e">
        <f>astrogrep_path&amp;" /e /r /s /spath="&amp;search_path&amp;" /stypes=""app*"&amp;FIF28&amp;"*"&amp;TEXT(FIM28-utc_offset/24,"YYYYMMDD")&amp;"*"" /stext="" "&amp;TEXT(FIM28-utc_offset/24,"HH")&amp;search_regexp&amp;""""</f>
        <v>#VALUE!</v>
      </c>
      <c r="FJK28" s="234" t="e">
        <f>astrogrep_path&amp;" /e /r /s /spath="&amp;search_path&amp;" /stypes=""app*"&amp;FIG28&amp;"*"&amp;TEXT(FIN28-utc_offset/24,"YYYYMMDD")&amp;"*"" /stext="" "&amp;TEXT(FIN28-utc_offset/24,"HH")&amp;search_regexp&amp;""""</f>
        <v>#VALUE!</v>
      </c>
      <c r="FJL28" s="234" t="e">
        <f>astrogrep_path&amp;" /e /r /s /spath="&amp;search_path&amp;" /stypes=""app*"&amp;FIH28&amp;"*"&amp;TEXT(FIO28-utc_offset/24,"YYYYMMDD")&amp;"*"" /stext="" "&amp;TEXT(FIO28-utc_offset/24,"HH")&amp;search_regexp&amp;""""</f>
        <v>#VALUE!</v>
      </c>
      <c r="FJM28" s="234" t="e">
        <f>astrogrep_path&amp;" /e /r /s /spath="&amp;search_path&amp;" /stypes=""app*"&amp;FII28&amp;"*"&amp;TEXT(FIP28-utc_offset/24,"YYYYMMDD")&amp;"*"" /stext="" "&amp;TEXT(FIP28-utc_offset/24,"HH")&amp;search_regexp&amp;""""</f>
        <v>#VALUE!</v>
      </c>
      <c r="FJN28" s="234" t="e">
        <f>astrogrep_path&amp;" /e /r /s /spath="&amp;search_path&amp;" /stypes=""app*"&amp;FIJ28&amp;"*"&amp;TEXT(FIQ28-utc_offset/24,"YYYYMMDD")&amp;"*"" /stext="" "&amp;TEXT(FIQ28-utc_offset/24,"HH")&amp;search_regexp&amp;""""</f>
        <v>#REF!</v>
      </c>
      <c r="FJO28" s="234" t="e">
        <f>astrogrep_path&amp;" /e /r /s /spath="&amp;search_path&amp;" /stypes=""app*"&amp;FIK28&amp;"*"&amp;TEXT(FIR28-utc_offset/24,"YYYYMMDD")&amp;"*"" /stext="" "&amp;TEXT(FIR28-utc_offset/24,"HH")&amp;search_regexp&amp;""""</f>
        <v>#REF!</v>
      </c>
      <c r="FJP28" s="234" t="e">
        <f>astrogrep_path&amp;" /e /r /s /spath="&amp;search_path&amp;" /stypes=""app*"&amp;FIL28&amp;"*"&amp;TEXT(FIS28-utc_offset/24,"YYYYMMDD")&amp;"*"" /stext="" "&amp;TEXT(FIS28-utc_offset/24,"HH")&amp;search_regexp&amp;""""</f>
        <v>#REF!</v>
      </c>
      <c r="FJQ28" s="234" t="e">
        <f>astrogrep_path&amp;" /e /r /s /spath="&amp;search_path&amp;" /stypes=""app*"&amp;FIM28&amp;"*"&amp;TEXT(FIT28-utc_offset/24,"YYYYMMDD")&amp;"*"" /stext="" "&amp;TEXT(FIT28-utc_offset/24,"HH")&amp;search_regexp&amp;""""</f>
        <v>#REF!</v>
      </c>
      <c r="FJR28" s="234" t="e">
        <f>astrogrep_path&amp;" /e /r /s /spath="&amp;search_path&amp;" /stypes=""app*"&amp;FIN28&amp;"*"&amp;TEXT(FIU28-utc_offset/24,"YYYYMMDD")&amp;"*"" /stext="" "&amp;TEXT(FIU28-utc_offset/24,"HH")&amp;search_regexp&amp;""""</f>
        <v>#REF!</v>
      </c>
      <c r="FJS28" s="234" t="e">
        <f>astrogrep_path&amp;" /e /r /s /spath="&amp;search_path&amp;" /stypes=""app*"&amp;FIO28&amp;"*"&amp;TEXT(FIV28-utc_offset/24,"YYYYMMDD")&amp;"*"" /stext="" "&amp;TEXT(FIV28-utc_offset/24,"HH")&amp;search_regexp&amp;""""</f>
        <v>#REF!</v>
      </c>
      <c r="FJT28" s="234" t="e">
        <f>astrogrep_path&amp;" /e /r /s /spath="&amp;search_path&amp;" /stypes=""app*"&amp;FIP28&amp;"*"&amp;TEXT(FIW28-utc_offset/24,"YYYYMMDD")&amp;"*"" /stext="" "&amp;TEXT(FIW28-utc_offset/24,"HH")&amp;search_regexp&amp;""""</f>
        <v>#REF!</v>
      </c>
      <c r="FJU28" s="234" t="e">
        <f>astrogrep_path&amp;" /e /r /s /spath="&amp;search_path&amp;" /stypes=""app*"&amp;FIQ28&amp;"*"&amp;TEXT(FIX28-utc_offset/24,"YYYYMMDD")&amp;"*"" /stext="" "&amp;TEXT(FIX28-utc_offset/24,"HH")&amp;search_regexp&amp;""""</f>
        <v>#REF!</v>
      </c>
      <c r="FJV28" s="234" t="e">
        <f>astrogrep_path&amp;" /e /r /s /spath="&amp;search_path&amp;" /stypes=""app*"&amp;FIR28&amp;"*"&amp;TEXT(FIY28-utc_offset/24,"YYYYMMDD")&amp;"*"" /stext="" "&amp;TEXT(FIY28-utc_offset/24,"HH")&amp;search_regexp&amp;""""</f>
        <v>#REF!</v>
      </c>
      <c r="FJW28" s="234" t="e">
        <f>astrogrep_path&amp;" /e /r /s /spath="&amp;search_path&amp;" /stypes=""app*"&amp;FIS28&amp;"*"&amp;TEXT(FIZ28-utc_offset/24,"YYYYMMDD")&amp;"*"" /stext="" "&amp;TEXT(FIZ28-utc_offset/24,"HH")&amp;search_regexp&amp;""""</f>
        <v>#REF!</v>
      </c>
      <c r="FJX28" s="234" t="e">
        <f>astrogrep_path&amp;" /e /r /s /spath="&amp;search_path&amp;" /stypes=""app*"&amp;FIT28&amp;"*"&amp;TEXT(FJA28-utc_offset/24,"YYYYMMDD")&amp;"*"" /stext="" "&amp;TEXT(FJA28-utc_offset/24,"HH")&amp;search_regexp&amp;""""</f>
        <v>#REF!</v>
      </c>
      <c r="FJY28" s="234" t="e">
        <f>astrogrep_path&amp;" /e /r /s /spath="&amp;search_path&amp;" /stypes=""app*"&amp;FIU28&amp;"*"&amp;TEXT(FJB28-utc_offset/24,"YYYYMMDD")&amp;"*"" /stext="" "&amp;TEXT(FJB28-utc_offset/24,"HH")&amp;search_regexp&amp;""""</f>
        <v>#REF!</v>
      </c>
      <c r="FJZ28" s="234" t="e">
        <f>astrogrep_path&amp;" /e /r /s /spath="&amp;search_path&amp;" /stypes=""app*"&amp;FIV28&amp;"*"&amp;TEXT(FJC28-utc_offset/24,"YYYYMMDD")&amp;"*"" /stext="" "&amp;TEXT(FJC28-utc_offset/24,"HH")&amp;search_regexp&amp;""""</f>
        <v>#REF!</v>
      </c>
      <c r="FKA28" s="234" t="e">
        <f>astrogrep_path&amp;" /e /r /s /spath="&amp;search_path&amp;" /stypes=""app*"&amp;FIW28&amp;"*"&amp;TEXT(FJD28-utc_offset/24,"YYYYMMDD")&amp;"*"" /stext="" "&amp;TEXT(FJD28-utc_offset/24,"HH")&amp;search_regexp&amp;""""</f>
        <v>#REF!</v>
      </c>
      <c r="FKB28" s="234" t="e">
        <f>astrogrep_path&amp;" /e /r /s /spath="&amp;search_path&amp;" /stypes=""app*"&amp;FIX28&amp;"*"&amp;TEXT(FJE28-utc_offset/24,"YYYYMMDD")&amp;"*"" /stext="" "&amp;TEXT(FJE28-utc_offset/24,"HH")&amp;search_regexp&amp;""""</f>
        <v>#REF!</v>
      </c>
      <c r="FKC28" s="234" t="e">
        <f>astrogrep_path&amp;" /e /r /s /spath="&amp;search_path&amp;" /stypes=""app*"&amp;FIY28&amp;"*"&amp;TEXT(FJF28-utc_offset/24,"YYYYMMDD")&amp;"*"" /stext="" "&amp;TEXT(FJF28-utc_offset/24,"HH")&amp;search_regexp&amp;""""</f>
        <v>#REF!</v>
      </c>
      <c r="FKD28" s="234" t="e">
        <f>astrogrep_path&amp;" /e /r /s /spath="&amp;search_path&amp;" /stypes=""app*"&amp;FIZ28&amp;"*"&amp;TEXT(FJG28-utc_offset/24,"YYYYMMDD")&amp;"*"" /stext="" "&amp;TEXT(FJG28-utc_offset/24,"HH")&amp;search_regexp&amp;""""</f>
        <v>#REF!</v>
      </c>
      <c r="FKE28" s="234" t="e">
        <f>astrogrep_path&amp;" /e /r /s /spath="&amp;search_path&amp;" /stypes=""app*"&amp;FJA28&amp;"*"&amp;TEXT(FJH28-utc_offset/24,"YYYYMMDD")&amp;"*"" /stext="" "&amp;TEXT(FJH28-utc_offset/24,"HH")&amp;search_regexp&amp;""""</f>
        <v>#REF!</v>
      </c>
      <c r="FKF28" s="234" t="e">
        <f>astrogrep_path&amp;" /e /r /s /spath="&amp;search_path&amp;" /stypes=""app*"&amp;FJB28&amp;"*"&amp;TEXT(FJI28-utc_offset/24,"YYYYMMDD")&amp;"*"" /stext="" "&amp;TEXT(FJI28-utc_offset/24,"HH")&amp;search_regexp&amp;""""</f>
        <v>#REF!</v>
      </c>
      <c r="FKG28" s="234" t="e">
        <f>astrogrep_path&amp;" /e /r /s /spath="&amp;search_path&amp;" /stypes=""app*"&amp;FJC28&amp;"*"&amp;TEXT(FJJ28-utc_offset/24,"YYYYMMDD")&amp;"*"" /stext="" "&amp;TEXT(FJJ28-utc_offset/24,"HH")&amp;search_regexp&amp;""""</f>
        <v>#REF!</v>
      </c>
      <c r="FKH28" s="234" t="e">
        <f>astrogrep_path&amp;" /e /r /s /spath="&amp;search_path&amp;" /stypes=""app*"&amp;FJD28&amp;"*"&amp;TEXT(FJK28-utc_offset/24,"YYYYMMDD")&amp;"*"" /stext="" "&amp;TEXT(FJK28-utc_offset/24,"HH")&amp;search_regexp&amp;""""</f>
        <v>#REF!</v>
      </c>
      <c r="FKI28" s="234" t="e">
        <f>astrogrep_path&amp;" /e /r /s /spath="&amp;search_path&amp;" /stypes=""app*"&amp;FJE28&amp;"*"&amp;TEXT(FJL28-utc_offset/24,"YYYYMMDD")&amp;"*"" /stext="" "&amp;TEXT(FJL28-utc_offset/24,"HH")&amp;search_regexp&amp;""""</f>
        <v>#VALUE!</v>
      </c>
      <c r="FKJ28" s="234" t="e">
        <f>astrogrep_path&amp;" /e /r /s /spath="&amp;search_path&amp;" /stypes=""app*"&amp;FJF28&amp;"*"&amp;TEXT(FJM28-utc_offset/24,"YYYYMMDD")&amp;"*"" /stext="" "&amp;TEXT(FJM28-utc_offset/24,"HH")&amp;search_regexp&amp;""""</f>
        <v>#VALUE!</v>
      </c>
      <c r="FKK28" s="234" t="e">
        <f>astrogrep_path&amp;" /e /r /s /spath="&amp;search_path&amp;" /stypes=""app*"&amp;FJG28&amp;"*"&amp;TEXT(FJN28-utc_offset/24,"YYYYMMDD")&amp;"*"" /stext="" "&amp;TEXT(FJN28-utc_offset/24,"HH")&amp;search_regexp&amp;""""</f>
        <v>#REF!</v>
      </c>
      <c r="FKL28" s="234" t="e">
        <f>astrogrep_path&amp;" /e /r /s /spath="&amp;search_path&amp;" /stypes=""app*"&amp;FJH28&amp;"*"&amp;TEXT(FJO28-utc_offset/24,"YYYYMMDD")&amp;"*"" /stext="" "&amp;TEXT(FJO28-utc_offset/24,"HH")&amp;search_regexp&amp;""""</f>
        <v>#REF!</v>
      </c>
      <c r="FKM28" s="234" t="e">
        <f>astrogrep_path&amp;" /e /r /s /spath="&amp;search_path&amp;" /stypes=""app*"&amp;FJI28&amp;"*"&amp;TEXT(FJP28-utc_offset/24,"YYYYMMDD")&amp;"*"" /stext="" "&amp;TEXT(FJP28-utc_offset/24,"HH")&amp;search_regexp&amp;""""</f>
        <v>#VALUE!</v>
      </c>
      <c r="FKN28" s="234" t="e">
        <f>astrogrep_path&amp;" /e /r /s /spath="&amp;search_path&amp;" /stypes=""app*"&amp;FJJ28&amp;"*"&amp;TEXT(FJQ28-utc_offset/24,"YYYYMMDD")&amp;"*"" /stext="" "&amp;TEXT(FJQ28-utc_offset/24,"HH")&amp;search_regexp&amp;""""</f>
        <v>#VALUE!</v>
      </c>
      <c r="FKO28" s="234" t="e">
        <f>astrogrep_path&amp;" /e /r /s /spath="&amp;search_path&amp;" /stypes=""app*"&amp;FJK28&amp;"*"&amp;TEXT(FJR28-utc_offset/24,"YYYYMMDD")&amp;"*"" /stext="" "&amp;TEXT(FJR28-utc_offset/24,"HH")&amp;search_regexp&amp;""""</f>
        <v>#VALUE!</v>
      </c>
      <c r="FKP28" s="234" t="e">
        <f>astrogrep_path&amp;" /e /r /s /spath="&amp;search_path&amp;" /stypes=""app*"&amp;FJL28&amp;"*"&amp;TEXT(FJS28-utc_offset/24,"YYYYMMDD")&amp;"*"" /stext="" "&amp;TEXT(FJS28-utc_offset/24,"HH")&amp;search_regexp&amp;""""</f>
        <v>#VALUE!</v>
      </c>
      <c r="FKQ28" s="234" t="e">
        <f>astrogrep_path&amp;" /e /r /s /spath="&amp;search_path&amp;" /stypes=""app*"&amp;FJM28&amp;"*"&amp;TEXT(FJT28-utc_offset/24,"YYYYMMDD")&amp;"*"" /stext="" "&amp;TEXT(FJT28-utc_offset/24,"HH")&amp;search_regexp&amp;""""</f>
        <v>#VALUE!</v>
      </c>
      <c r="FKR28" s="234" t="e">
        <f>astrogrep_path&amp;" /e /r /s /spath="&amp;search_path&amp;" /stypes=""app*"&amp;FJN28&amp;"*"&amp;TEXT(FJU28-utc_offset/24,"YYYYMMDD")&amp;"*"" /stext="" "&amp;TEXT(FJU28-utc_offset/24,"HH")&amp;search_regexp&amp;""""</f>
        <v>#REF!</v>
      </c>
      <c r="FKS28" s="234" t="e">
        <f>astrogrep_path&amp;" /e /r /s /spath="&amp;search_path&amp;" /stypes=""app*"&amp;FJO28&amp;"*"&amp;TEXT(FJV28-utc_offset/24,"YYYYMMDD")&amp;"*"" /stext="" "&amp;TEXT(FJV28-utc_offset/24,"HH")&amp;search_regexp&amp;""""</f>
        <v>#REF!</v>
      </c>
      <c r="FKT28" s="234" t="e">
        <f>astrogrep_path&amp;" /e /r /s /spath="&amp;search_path&amp;" /stypes=""app*"&amp;FJP28&amp;"*"&amp;TEXT(FJW28-utc_offset/24,"YYYYMMDD")&amp;"*"" /stext="" "&amp;TEXT(FJW28-utc_offset/24,"HH")&amp;search_regexp&amp;""""</f>
        <v>#REF!</v>
      </c>
      <c r="FKU28" s="234" t="e">
        <f>astrogrep_path&amp;" /e /r /s /spath="&amp;search_path&amp;" /stypes=""app*"&amp;FJQ28&amp;"*"&amp;TEXT(FJX28-utc_offset/24,"YYYYMMDD")&amp;"*"" /stext="" "&amp;TEXT(FJX28-utc_offset/24,"HH")&amp;search_regexp&amp;""""</f>
        <v>#REF!</v>
      </c>
      <c r="FKV28" s="234" t="e">
        <f>astrogrep_path&amp;" /e /r /s /spath="&amp;search_path&amp;" /stypes=""app*"&amp;FJR28&amp;"*"&amp;TEXT(FJY28-utc_offset/24,"YYYYMMDD")&amp;"*"" /stext="" "&amp;TEXT(FJY28-utc_offset/24,"HH")&amp;search_regexp&amp;""""</f>
        <v>#REF!</v>
      </c>
      <c r="FKW28" s="234" t="e">
        <f>astrogrep_path&amp;" /e /r /s /spath="&amp;search_path&amp;" /stypes=""app*"&amp;FJS28&amp;"*"&amp;TEXT(FJZ28-utc_offset/24,"YYYYMMDD")&amp;"*"" /stext="" "&amp;TEXT(FJZ28-utc_offset/24,"HH")&amp;search_regexp&amp;""""</f>
        <v>#REF!</v>
      </c>
      <c r="FKX28" s="234" t="e">
        <f>astrogrep_path&amp;" /e /r /s /spath="&amp;search_path&amp;" /stypes=""app*"&amp;FJT28&amp;"*"&amp;TEXT(FKA28-utc_offset/24,"YYYYMMDD")&amp;"*"" /stext="" "&amp;TEXT(FKA28-utc_offset/24,"HH")&amp;search_regexp&amp;""""</f>
        <v>#REF!</v>
      </c>
      <c r="FKY28" s="234" t="e">
        <f>astrogrep_path&amp;" /e /r /s /spath="&amp;search_path&amp;" /stypes=""app*"&amp;FJU28&amp;"*"&amp;TEXT(FKB28-utc_offset/24,"YYYYMMDD")&amp;"*"" /stext="" "&amp;TEXT(FKB28-utc_offset/24,"HH")&amp;search_regexp&amp;""""</f>
        <v>#REF!</v>
      </c>
      <c r="FKZ28" s="234" t="e">
        <f>astrogrep_path&amp;" /e /r /s /spath="&amp;search_path&amp;" /stypes=""app*"&amp;FJV28&amp;"*"&amp;TEXT(FKC28-utc_offset/24,"YYYYMMDD")&amp;"*"" /stext="" "&amp;TEXT(FKC28-utc_offset/24,"HH")&amp;search_regexp&amp;""""</f>
        <v>#REF!</v>
      </c>
      <c r="FLA28" s="234" t="e">
        <f>astrogrep_path&amp;" /e /r /s /spath="&amp;search_path&amp;" /stypes=""app*"&amp;FJW28&amp;"*"&amp;TEXT(FKD28-utc_offset/24,"YYYYMMDD")&amp;"*"" /stext="" "&amp;TEXT(FKD28-utc_offset/24,"HH")&amp;search_regexp&amp;""""</f>
        <v>#REF!</v>
      </c>
      <c r="FLB28" s="234" t="e">
        <f>astrogrep_path&amp;" /e /r /s /spath="&amp;search_path&amp;" /stypes=""app*"&amp;FJX28&amp;"*"&amp;TEXT(FKE28-utc_offset/24,"YYYYMMDD")&amp;"*"" /stext="" "&amp;TEXT(FKE28-utc_offset/24,"HH")&amp;search_regexp&amp;""""</f>
        <v>#REF!</v>
      </c>
      <c r="FLC28" s="234" t="e">
        <f>astrogrep_path&amp;" /e /r /s /spath="&amp;search_path&amp;" /stypes=""app*"&amp;FJY28&amp;"*"&amp;TEXT(FKF28-utc_offset/24,"YYYYMMDD")&amp;"*"" /stext="" "&amp;TEXT(FKF28-utc_offset/24,"HH")&amp;search_regexp&amp;""""</f>
        <v>#REF!</v>
      </c>
      <c r="FLD28" s="234" t="e">
        <f>astrogrep_path&amp;" /e /r /s /spath="&amp;search_path&amp;" /stypes=""app*"&amp;FJZ28&amp;"*"&amp;TEXT(FKG28-utc_offset/24,"YYYYMMDD")&amp;"*"" /stext="" "&amp;TEXT(FKG28-utc_offset/24,"HH")&amp;search_regexp&amp;""""</f>
        <v>#REF!</v>
      </c>
      <c r="FLE28" s="234" t="e">
        <f>astrogrep_path&amp;" /e /r /s /spath="&amp;search_path&amp;" /stypes=""app*"&amp;FKA28&amp;"*"&amp;TEXT(FKH28-utc_offset/24,"YYYYMMDD")&amp;"*"" /stext="" "&amp;TEXT(FKH28-utc_offset/24,"HH")&amp;search_regexp&amp;""""</f>
        <v>#REF!</v>
      </c>
      <c r="FLF28" s="234" t="e">
        <f>astrogrep_path&amp;" /e /r /s /spath="&amp;search_path&amp;" /stypes=""app*"&amp;FKB28&amp;"*"&amp;TEXT(FKI28-utc_offset/24,"YYYYMMDD")&amp;"*"" /stext="" "&amp;TEXT(FKI28-utc_offset/24,"HH")&amp;search_regexp&amp;""""</f>
        <v>#REF!</v>
      </c>
      <c r="FLG28" s="234" t="e">
        <f>astrogrep_path&amp;" /e /r /s /spath="&amp;search_path&amp;" /stypes=""app*"&amp;FKC28&amp;"*"&amp;TEXT(FKJ28-utc_offset/24,"YYYYMMDD")&amp;"*"" /stext="" "&amp;TEXT(FKJ28-utc_offset/24,"HH")&amp;search_regexp&amp;""""</f>
        <v>#REF!</v>
      </c>
      <c r="FLH28" s="234" t="e">
        <f>astrogrep_path&amp;" /e /r /s /spath="&amp;search_path&amp;" /stypes=""app*"&amp;FKD28&amp;"*"&amp;TEXT(FKK28-utc_offset/24,"YYYYMMDD")&amp;"*"" /stext="" "&amp;TEXT(FKK28-utc_offset/24,"HH")&amp;search_regexp&amp;""""</f>
        <v>#REF!</v>
      </c>
      <c r="FLI28" s="234" t="e">
        <f>astrogrep_path&amp;" /e /r /s /spath="&amp;search_path&amp;" /stypes=""app*"&amp;FKE28&amp;"*"&amp;TEXT(FKL28-utc_offset/24,"YYYYMMDD")&amp;"*"" /stext="" "&amp;TEXT(FKL28-utc_offset/24,"HH")&amp;search_regexp&amp;""""</f>
        <v>#REF!</v>
      </c>
      <c r="FLJ28" s="234" t="e">
        <f>astrogrep_path&amp;" /e /r /s /spath="&amp;search_path&amp;" /stypes=""app*"&amp;FKF28&amp;"*"&amp;TEXT(FKM28-utc_offset/24,"YYYYMMDD")&amp;"*"" /stext="" "&amp;TEXT(FKM28-utc_offset/24,"HH")&amp;search_regexp&amp;""""</f>
        <v>#REF!</v>
      </c>
      <c r="FLK28" s="234" t="e">
        <f>astrogrep_path&amp;" /e /r /s /spath="&amp;search_path&amp;" /stypes=""app*"&amp;FKG28&amp;"*"&amp;TEXT(FKN28-utc_offset/24,"YYYYMMDD")&amp;"*"" /stext="" "&amp;TEXT(FKN28-utc_offset/24,"HH")&amp;search_regexp&amp;""""</f>
        <v>#REF!</v>
      </c>
      <c r="FLL28" s="234" t="e">
        <f>astrogrep_path&amp;" /e /r /s /spath="&amp;search_path&amp;" /stypes=""app*"&amp;FKH28&amp;"*"&amp;TEXT(FKO28-utc_offset/24,"YYYYMMDD")&amp;"*"" /stext="" "&amp;TEXT(FKO28-utc_offset/24,"HH")&amp;search_regexp&amp;""""</f>
        <v>#REF!</v>
      </c>
      <c r="FLM28" s="234" t="e">
        <f>astrogrep_path&amp;" /e /r /s /spath="&amp;search_path&amp;" /stypes=""app*"&amp;FKI28&amp;"*"&amp;TEXT(FKP28-utc_offset/24,"YYYYMMDD")&amp;"*"" /stext="" "&amp;TEXT(FKP28-utc_offset/24,"HH")&amp;search_regexp&amp;""""</f>
        <v>#VALUE!</v>
      </c>
      <c r="FLN28" s="234" t="e">
        <f>astrogrep_path&amp;" /e /r /s /spath="&amp;search_path&amp;" /stypes=""app*"&amp;FKJ28&amp;"*"&amp;TEXT(FKQ28-utc_offset/24,"YYYYMMDD")&amp;"*"" /stext="" "&amp;TEXT(FKQ28-utc_offset/24,"HH")&amp;search_regexp&amp;""""</f>
        <v>#VALUE!</v>
      </c>
      <c r="FLO28" s="234" t="e">
        <f>astrogrep_path&amp;" /e /r /s /spath="&amp;search_path&amp;" /stypes=""app*"&amp;FKK28&amp;"*"&amp;TEXT(FKR28-utc_offset/24,"YYYYMMDD")&amp;"*"" /stext="" "&amp;TEXT(FKR28-utc_offset/24,"HH")&amp;search_regexp&amp;""""</f>
        <v>#REF!</v>
      </c>
      <c r="FLP28" s="234" t="e">
        <f>astrogrep_path&amp;" /e /r /s /spath="&amp;search_path&amp;" /stypes=""app*"&amp;FKL28&amp;"*"&amp;TEXT(FKS28-utc_offset/24,"YYYYMMDD")&amp;"*"" /stext="" "&amp;TEXT(FKS28-utc_offset/24,"HH")&amp;search_regexp&amp;""""</f>
        <v>#REF!</v>
      </c>
      <c r="FLQ28" s="234" t="e">
        <f>astrogrep_path&amp;" /e /r /s /spath="&amp;search_path&amp;" /stypes=""app*"&amp;FKM28&amp;"*"&amp;TEXT(FKT28-utc_offset/24,"YYYYMMDD")&amp;"*"" /stext="" "&amp;TEXT(FKT28-utc_offset/24,"HH")&amp;search_regexp&amp;""""</f>
        <v>#VALUE!</v>
      </c>
      <c r="FLR28" s="234" t="e">
        <f>astrogrep_path&amp;" /e /r /s /spath="&amp;search_path&amp;" /stypes=""app*"&amp;FKN28&amp;"*"&amp;TEXT(FKU28-utc_offset/24,"YYYYMMDD")&amp;"*"" /stext="" "&amp;TEXT(FKU28-utc_offset/24,"HH")&amp;search_regexp&amp;""""</f>
        <v>#VALUE!</v>
      </c>
      <c r="FLS28" s="234" t="e">
        <f>astrogrep_path&amp;" /e /r /s /spath="&amp;search_path&amp;" /stypes=""app*"&amp;FKO28&amp;"*"&amp;TEXT(FKV28-utc_offset/24,"YYYYMMDD")&amp;"*"" /stext="" "&amp;TEXT(FKV28-utc_offset/24,"HH")&amp;search_regexp&amp;""""</f>
        <v>#VALUE!</v>
      </c>
      <c r="FLT28" s="234" t="e">
        <f>astrogrep_path&amp;" /e /r /s /spath="&amp;search_path&amp;" /stypes=""app*"&amp;FKP28&amp;"*"&amp;TEXT(FKW28-utc_offset/24,"YYYYMMDD")&amp;"*"" /stext="" "&amp;TEXT(FKW28-utc_offset/24,"HH")&amp;search_regexp&amp;""""</f>
        <v>#VALUE!</v>
      </c>
      <c r="FLU28" s="234" t="e">
        <f>astrogrep_path&amp;" /e /r /s /spath="&amp;search_path&amp;" /stypes=""app*"&amp;FKQ28&amp;"*"&amp;TEXT(FKX28-utc_offset/24,"YYYYMMDD")&amp;"*"" /stext="" "&amp;TEXT(FKX28-utc_offset/24,"HH")&amp;search_regexp&amp;""""</f>
        <v>#VALUE!</v>
      </c>
      <c r="FLV28" s="234" t="e">
        <f>astrogrep_path&amp;" /e /r /s /spath="&amp;search_path&amp;" /stypes=""app*"&amp;FKR28&amp;"*"&amp;TEXT(FKY28-utc_offset/24,"YYYYMMDD")&amp;"*"" /stext="" "&amp;TEXT(FKY28-utc_offset/24,"HH")&amp;search_regexp&amp;""""</f>
        <v>#REF!</v>
      </c>
      <c r="FLW28" s="234" t="e">
        <f>astrogrep_path&amp;" /e /r /s /spath="&amp;search_path&amp;" /stypes=""app*"&amp;FKS28&amp;"*"&amp;TEXT(FKZ28-utc_offset/24,"YYYYMMDD")&amp;"*"" /stext="" "&amp;TEXT(FKZ28-utc_offset/24,"HH")&amp;search_regexp&amp;""""</f>
        <v>#REF!</v>
      </c>
      <c r="FLX28" s="234" t="e">
        <f>astrogrep_path&amp;" /e /r /s /spath="&amp;search_path&amp;" /stypes=""app*"&amp;FKT28&amp;"*"&amp;TEXT(FLA28-utc_offset/24,"YYYYMMDD")&amp;"*"" /stext="" "&amp;TEXT(FLA28-utc_offset/24,"HH")&amp;search_regexp&amp;""""</f>
        <v>#REF!</v>
      </c>
      <c r="FLY28" s="234" t="e">
        <f>astrogrep_path&amp;" /e /r /s /spath="&amp;search_path&amp;" /stypes=""app*"&amp;FKU28&amp;"*"&amp;TEXT(FLB28-utc_offset/24,"YYYYMMDD")&amp;"*"" /stext="" "&amp;TEXT(FLB28-utc_offset/24,"HH")&amp;search_regexp&amp;""""</f>
        <v>#REF!</v>
      </c>
      <c r="FLZ28" s="234" t="e">
        <f>astrogrep_path&amp;" /e /r /s /spath="&amp;search_path&amp;" /stypes=""app*"&amp;FKV28&amp;"*"&amp;TEXT(FLC28-utc_offset/24,"YYYYMMDD")&amp;"*"" /stext="" "&amp;TEXT(FLC28-utc_offset/24,"HH")&amp;search_regexp&amp;""""</f>
        <v>#REF!</v>
      </c>
      <c r="FMA28" s="234" t="e">
        <f>astrogrep_path&amp;" /e /r /s /spath="&amp;search_path&amp;" /stypes=""app*"&amp;FKW28&amp;"*"&amp;TEXT(FLD28-utc_offset/24,"YYYYMMDD")&amp;"*"" /stext="" "&amp;TEXT(FLD28-utc_offset/24,"HH")&amp;search_regexp&amp;""""</f>
        <v>#REF!</v>
      </c>
      <c r="FMB28" s="234" t="e">
        <f>astrogrep_path&amp;" /e /r /s /spath="&amp;search_path&amp;" /stypes=""app*"&amp;FKX28&amp;"*"&amp;TEXT(FLE28-utc_offset/24,"YYYYMMDD")&amp;"*"" /stext="" "&amp;TEXT(FLE28-utc_offset/24,"HH")&amp;search_regexp&amp;""""</f>
        <v>#REF!</v>
      </c>
      <c r="FMC28" s="234" t="e">
        <f>astrogrep_path&amp;" /e /r /s /spath="&amp;search_path&amp;" /stypes=""app*"&amp;FKY28&amp;"*"&amp;TEXT(FLF28-utc_offset/24,"YYYYMMDD")&amp;"*"" /stext="" "&amp;TEXT(FLF28-utc_offset/24,"HH")&amp;search_regexp&amp;""""</f>
        <v>#REF!</v>
      </c>
      <c r="FMD28" s="234" t="e">
        <f>astrogrep_path&amp;" /e /r /s /spath="&amp;search_path&amp;" /stypes=""app*"&amp;FKZ28&amp;"*"&amp;TEXT(FLG28-utc_offset/24,"YYYYMMDD")&amp;"*"" /stext="" "&amp;TEXT(FLG28-utc_offset/24,"HH")&amp;search_regexp&amp;""""</f>
        <v>#REF!</v>
      </c>
      <c r="FME28" s="234" t="e">
        <f>astrogrep_path&amp;" /e /r /s /spath="&amp;search_path&amp;" /stypes=""app*"&amp;FLA28&amp;"*"&amp;TEXT(FLH28-utc_offset/24,"YYYYMMDD")&amp;"*"" /stext="" "&amp;TEXT(FLH28-utc_offset/24,"HH")&amp;search_regexp&amp;""""</f>
        <v>#REF!</v>
      </c>
      <c r="FMF28" s="234" t="e">
        <f>astrogrep_path&amp;" /e /r /s /spath="&amp;search_path&amp;" /stypes=""app*"&amp;FLB28&amp;"*"&amp;TEXT(FLI28-utc_offset/24,"YYYYMMDD")&amp;"*"" /stext="" "&amp;TEXT(FLI28-utc_offset/24,"HH")&amp;search_regexp&amp;""""</f>
        <v>#REF!</v>
      </c>
      <c r="FMG28" s="234" t="e">
        <f>astrogrep_path&amp;" /e /r /s /spath="&amp;search_path&amp;" /stypes=""app*"&amp;FLC28&amp;"*"&amp;TEXT(FLJ28-utc_offset/24,"YYYYMMDD")&amp;"*"" /stext="" "&amp;TEXT(FLJ28-utc_offset/24,"HH")&amp;search_regexp&amp;""""</f>
        <v>#REF!</v>
      </c>
      <c r="FMH28" s="234" t="e">
        <f>astrogrep_path&amp;" /e /r /s /spath="&amp;search_path&amp;" /stypes=""app*"&amp;FLD28&amp;"*"&amp;TEXT(FLK28-utc_offset/24,"YYYYMMDD")&amp;"*"" /stext="" "&amp;TEXT(FLK28-utc_offset/24,"HH")&amp;search_regexp&amp;""""</f>
        <v>#REF!</v>
      </c>
      <c r="FMI28" s="234" t="e">
        <f>astrogrep_path&amp;" /e /r /s /spath="&amp;search_path&amp;" /stypes=""app*"&amp;FLE28&amp;"*"&amp;TEXT(FLL28-utc_offset/24,"YYYYMMDD")&amp;"*"" /stext="" "&amp;TEXT(FLL28-utc_offset/24,"HH")&amp;search_regexp&amp;""""</f>
        <v>#REF!</v>
      </c>
      <c r="FMJ28" s="234" t="e">
        <f>astrogrep_path&amp;" /e /r /s /spath="&amp;search_path&amp;" /stypes=""app*"&amp;FLF28&amp;"*"&amp;TEXT(FLM28-utc_offset/24,"YYYYMMDD")&amp;"*"" /stext="" "&amp;TEXT(FLM28-utc_offset/24,"HH")&amp;search_regexp&amp;""""</f>
        <v>#REF!</v>
      </c>
      <c r="FMK28" s="234" t="e">
        <f>astrogrep_path&amp;" /e /r /s /spath="&amp;search_path&amp;" /stypes=""app*"&amp;FLG28&amp;"*"&amp;TEXT(FLN28-utc_offset/24,"YYYYMMDD")&amp;"*"" /stext="" "&amp;TEXT(FLN28-utc_offset/24,"HH")&amp;search_regexp&amp;""""</f>
        <v>#REF!</v>
      </c>
      <c r="FML28" s="234" t="e">
        <f>astrogrep_path&amp;" /e /r /s /spath="&amp;search_path&amp;" /stypes=""app*"&amp;FLH28&amp;"*"&amp;TEXT(FLO28-utc_offset/24,"YYYYMMDD")&amp;"*"" /stext="" "&amp;TEXT(FLO28-utc_offset/24,"HH")&amp;search_regexp&amp;""""</f>
        <v>#REF!</v>
      </c>
      <c r="FMM28" s="234" t="e">
        <f>astrogrep_path&amp;" /e /r /s /spath="&amp;search_path&amp;" /stypes=""app*"&amp;FLI28&amp;"*"&amp;TEXT(FLP28-utc_offset/24,"YYYYMMDD")&amp;"*"" /stext="" "&amp;TEXT(FLP28-utc_offset/24,"HH")&amp;search_regexp&amp;""""</f>
        <v>#REF!</v>
      </c>
      <c r="FMN28" s="234" t="e">
        <f>astrogrep_path&amp;" /e /r /s /spath="&amp;search_path&amp;" /stypes=""app*"&amp;FLJ28&amp;"*"&amp;TEXT(FLQ28-utc_offset/24,"YYYYMMDD")&amp;"*"" /stext="" "&amp;TEXT(FLQ28-utc_offset/24,"HH")&amp;search_regexp&amp;""""</f>
        <v>#REF!</v>
      </c>
      <c r="FMO28" s="234" t="e">
        <f>astrogrep_path&amp;" /e /r /s /spath="&amp;search_path&amp;" /stypes=""app*"&amp;FLK28&amp;"*"&amp;TEXT(FLR28-utc_offset/24,"YYYYMMDD")&amp;"*"" /stext="" "&amp;TEXT(FLR28-utc_offset/24,"HH")&amp;search_regexp&amp;""""</f>
        <v>#REF!</v>
      </c>
      <c r="FMP28" s="234" t="e">
        <f>astrogrep_path&amp;" /e /r /s /spath="&amp;search_path&amp;" /stypes=""app*"&amp;FLL28&amp;"*"&amp;TEXT(FLS28-utc_offset/24,"YYYYMMDD")&amp;"*"" /stext="" "&amp;TEXT(FLS28-utc_offset/24,"HH")&amp;search_regexp&amp;""""</f>
        <v>#REF!</v>
      </c>
      <c r="FMQ28" s="234" t="e">
        <f>astrogrep_path&amp;" /e /r /s /spath="&amp;search_path&amp;" /stypes=""app*"&amp;FLM28&amp;"*"&amp;TEXT(FLT28-utc_offset/24,"YYYYMMDD")&amp;"*"" /stext="" "&amp;TEXT(FLT28-utc_offset/24,"HH")&amp;search_regexp&amp;""""</f>
        <v>#VALUE!</v>
      </c>
      <c r="FMR28" s="234" t="e">
        <f>astrogrep_path&amp;" /e /r /s /spath="&amp;search_path&amp;" /stypes=""app*"&amp;FLN28&amp;"*"&amp;TEXT(FLU28-utc_offset/24,"YYYYMMDD")&amp;"*"" /stext="" "&amp;TEXT(FLU28-utc_offset/24,"HH")&amp;search_regexp&amp;""""</f>
        <v>#VALUE!</v>
      </c>
      <c r="FMS28" s="234" t="e">
        <f>astrogrep_path&amp;" /e /r /s /spath="&amp;search_path&amp;" /stypes=""app*"&amp;FLO28&amp;"*"&amp;TEXT(FLV28-utc_offset/24,"YYYYMMDD")&amp;"*"" /stext="" "&amp;TEXT(FLV28-utc_offset/24,"HH")&amp;search_regexp&amp;""""</f>
        <v>#REF!</v>
      </c>
      <c r="FMT28" s="234" t="e">
        <f>astrogrep_path&amp;" /e /r /s /spath="&amp;search_path&amp;" /stypes=""app*"&amp;FLP28&amp;"*"&amp;TEXT(FLW28-utc_offset/24,"YYYYMMDD")&amp;"*"" /stext="" "&amp;TEXT(FLW28-utc_offset/24,"HH")&amp;search_regexp&amp;""""</f>
        <v>#REF!</v>
      </c>
      <c r="FMU28" s="234" t="e">
        <f>astrogrep_path&amp;" /e /r /s /spath="&amp;search_path&amp;" /stypes=""app*"&amp;FLQ28&amp;"*"&amp;TEXT(FLX28-utc_offset/24,"YYYYMMDD")&amp;"*"" /stext="" "&amp;TEXT(FLX28-utc_offset/24,"HH")&amp;search_regexp&amp;""""</f>
        <v>#VALUE!</v>
      </c>
      <c r="FMV28" s="234" t="e">
        <f>astrogrep_path&amp;" /e /r /s /spath="&amp;search_path&amp;" /stypes=""app*"&amp;FLR28&amp;"*"&amp;TEXT(FLY28-utc_offset/24,"YYYYMMDD")&amp;"*"" /stext="" "&amp;TEXT(FLY28-utc_offset/24,"HH")&amp;search_regexp&amp;""""</f>
        <v>#VALUE!</v>
      </c>
      <c r="FMW28" s="234" t="e">
        <f>astrogrep_path&amp;" /e /r /s /spath="&amp;search_path&amp;" /stypes=""app*"&amp;FLS28&amp;"*"&amp;TEXT(FLZ28-utc_offset/24,"YYYYMMDD")&amp;"*"" /stext="" "&amp;TEXT(FLZ28-utc_offset/24,"HH")&amp;search_regexp&amp;""""</f>
        <v>#VALUE!</v>
      </c>
      <c r="FMX28" s="234" t="e">
        <f>astrogrep_path&amp;" /e /r /s /spath="&amp;search_path&amp;" /stypes=""app*"&amp;FLT28&amp;"*"&amp;TEXT(FMA28-utc_offset/24,"YYYYMMDD")&amp;"*"" /stext="" "&amp;TEXT(FMA28-utc_offset/24,"HH")&amp;search_regexp&amp;""""</f>
        <v>#VALUE!</v>
      </c>
      <c r="FMY28" s="234" t="e">
        <f>astrogrep_path&amp;" /e /r /s /spath="&amp;search_path&amp;" /stypes=""app*"&amp;FLU28&amp;"*"&amp;TEXT(FMB28-utc_offset/24,"YYYYMMDD")&amp;"*"" /stext="" "&amp;TEXT(FMB28-utc_offset/24,"HH")&amp;search_regexp&amp;""""</f>
        <v>#VALUE!</v>
      </c>
      <c r="FMZ28" s="234" t="e">
        <f>astrogrep_path&amp;" /e /r /s /spath="&amp;search_path&amp;" /stypes=""app*"&amp;FLV28&amp;"*"&amp;TEXT(FMC28-utc_offset/24,"YYYYMMDD")&amp;"*"" /stext="" "&amp;TEXT(FMC28-utc_offset/24,"HH")&amp;search_regexp&amp;""""</f>
        <v>#REF!</v>
      </c>
      <c r="FNA28" s="234" t="e">
        <f>astrogrep_path&amp;" /e /r /s /spath="&amp;search_path&amp;" /stypes=""app*"&amp;FLW28&amp;"*"&amp;TEXT(FMD28-utc_offset/24,"YYYYMMDD")&amp;"*"" /stext="" "&amp;TEXT(FMD28-utc_offset/24,"HH")&amp;search_regexp&amp;""""</f>
        <v>#REF!</v>
      </c>
      <c r="FNB28" s="234" t="e">
        <f>astrogrep_path&amp;" /e /r /s /spath="&amp;search_path&amp;" /stypes=""app*"&amp;FLX28&amp;"*"&amp;TEXT(FME28-utc_offset/24,"YYYYMMDD")&amp;"*"" /stext="" "&amp;TEXT(FME28-utc_offset/24,"HH")&amp;search_regexp&amp;""""</f>
        <v>#REF!</v>
      </c>
      <c r="FNC28" s="234" t="e">
        <f>astrogrep_path&amp;" /e /r /s /spath="&amp;search_path&amp;" /stypes=""app*"&amp;FLY28&amp;"*"&amp;TEXT(FMF28-utc_offset/24,"YYYYMMDD")&amp;"*"" /stext="" "&amp;TEXT(FMF28-utc_offset/24,"HH")&amp;search_regexp&amp;""""</f>
        <v>#REF!</v>
      </c>
      <c r="FND28" s="234" t="e">
        <f>astrogrep_path&amp;" /e /r /s /spath="&amp;search_path&amp;" /stypes=""app*"&amp;FLZ28&amp;"*"&amp;TEXT(FMG28-utc_offset/24,"YYYYMMDD")&amp;"*"" /stext="" "&amp;TEXT(FMG28-utc_offset/24,"HH")&amp;search_regexp&amp;""""</f>
        <v>#REF!</v>
      </c>
      <c r="FNE28" s="234" t="e">
        <f>astrogrep_path&amp;" /e /r /s /spath="&amp;search_path&amp;" /stypes=""app*"&amp;FMA28&amp;"*"&amp;TEXT(FMH28-utc_offset/24,"YYYYMMDD")&amp;"*"" /stext="" "&amp;TEXT(FMH28-utc_offset/24,"HH")&amp;search_regexp&amp;""""</f>
        <v>#REF!</v>
      </c>
      <c r="FNF28" s="234" t="e">
        <f>astrogrep_path&amp;" /e /r /s /spath="&amp;search_path&amp;" /stypes=""app*"&amp;FMB28&amp;"*"&amp;TEXT(FMI28-utc_offset/24,"YYYYMMDD")&amp;"*"" /stext="" "&amp;TEXT(FMI28-utc_offset/24,"HH")&amp;search_regexp&amp;""""</f>
        <v>#REF!</v>
      </c>
      <c r="FNG28" s="234" t="e">
        <f>astrogrep_path&amp;" /e /r /s /spath="&amp;search_path&amp;" /stypes=""app*"&amp;FMC28&amp;"*"&amp;TEXT(FMJ28-utc_offset/24,"YYYYMMDD")&amp;"*"" /stext="" "&amp;TEXT(FMJ28-utc_offset/24,"HH")&amp;search_regexp&amp;""""</f>
        <v>#REF!</v>
      </c>
      <c r="FNH28" s="234" t="e">
        <f>astrogrep_path&amp;" /e /r /s /spath="&amp;search_path&amp;" /stypes=""app*"&amp;FMD28&amp;"*"&amp;TEXT(FMK28-utc_offset/24,"YYYYMMDD")&amp;"*"" /stext="" "&amp;TEXT(FMK28-utc_offset/24,"HH")&amp;search_regexp&amp;""""</f>
        <v>#REF!</v>
      </c>
      <c r="FNI28" s="234" t="e">
        <f>astrogrep_path&amp;" /e /r /s /spath="&amp;search_path&amp;" /stypes=""app*"&amp;FME28&amp;"*"&amp;TEXT(FML28-utc_offset/24,"YYYYMMDD")&amp;"*"" /stext="" "&amp;TEXT(FML28-utc_offset/24,"HH")&amp;search_regexp&amp;""""</f>
        <v>#REF!</v>
      </c>
      <c r="FNJ28" s="234" t="e">
        <f>astrogrep_path&amp;" /e /r /s /spath="&amp;search_path&amp;" /stypes=""app*"&amp;FMF28&amp;"*"&amp;TEXT(FMM28-utc_offset/24,"YYYYMMDD")&amp;"*"" /stext="" "&amp;TEXT(FMM28-utc_offset/24,"HH")&amp;search_regexp&amp;""""</f>
        <v>#REF!</v>
      </c>
      <c r="FNK28" s="234" t="e">
        <f>astrogrep_path&amp;" /e /r /s /spath="&amp;search_path&amp;" /stypes=""app*"&amp;FMG28&amp;"*"&amp;TEXT(FMN28-utc_offset/24,"YYYYMMDD")&amp;"*"" /stext="" "&amp;TEXT(FMN28-utc_offset/24,"HH")&amp;search_regexp&amp;""""</f>
        <v>#REF!</v>
      </c>
      <c r="FNL28" s="234" t="e">
        <f>astrogrep_path&amp;" /e /r /s /spath="&amp;search_path&amp;" /stypes=""app*"&amp;FMH28&amp;"*"&amp;TEXT(FMO28-utc_offset/24,"YYYYMMDD")&amp;"*"" /stext="" "&amp;TEXT(FMO28-utc_offset/24,"HH")&amp;search_regexp&amp;""""</f>
        <v>#REF!</v>
      </c>
      <c r="FNM28" s="234" t="e">
        <f>astrogrep_path&amp;" /e /r /s /spath="&amp;search_path&amp;" /stypes=""app*"&amp;FMI28&amp;"*"&amp;TEXT(FMP28-utc_offset/24,"YYYYMMDD")&amp;"*"" /stext="" "&amp;TEXT(FMP28-utc_offset/24,"HH")&amp;search_regexp&amp;""""</f>
        <v>#REF!</v>
      </c>
      <c r="FNN28" s="234" t="e">
        <f>astrogrep_path&amp;" /e /r /s /spath="&amp;search_path&amp;" /stypes=""app*"&amp;FMJ28&amp;"*"&amp;TEXT(FMQ28-utc_offset/24,"YYYYMMDD")&amp;"*"" /stext="" "&amp;TEXT(FMQ28-utc_offset/24,"HH")&amp;search_regexp&amp;""""</f>
        <v>#REF!</v>
      </c>
      <c r="FNO28" s="234" t="e">
        <f>astrogrep_path&amp;" /e /r /s /spath="&amp;search_path&amp;" /stypes=""app*"&amp;FMK28&amp;"*"&amp;TEXT(FMR28-utc_offset/24,"YYYYMMDD")&amp;"*"" /stext="" "&amp;TEXT(FMR28-utc_offset/24,"HH")&amp;search_regexp&amp;""""</f>
        <v>#REF!</v>
      </c>
      <c r="FNP28" s="234" t="e">
        <f>astrogrep_path&amp;" /e /r /s /spath="&amp;search_path&amp;" /stypes=""app*"&amp;FML28&amp;"*"&amp;TEXT(FMS28-utc_offset/24,"YYYYMMDD")&amp;"*"" /stext="" "&amp;TEXT(FMS28-utc_offset/24,"HH")&amp;search_regexp&amp;""""</f>
        <v>#REF!</v>
      </c>
      <c r="FNQ28" s="234" t="e">
        <f>astrogrep_path&amp;" /e /r /s /spath="&amp;search_path&amp;" /stypes=""app*"&amp;FMM28&amp;"*"&amp;TEXT(FMT28-utc_offset/24,"YYYYMMDD")&amp;"*"" /stext="" "&amp;TEXT(FMT28-utc_offset/24,"HH")&amp;search_regexp&amp;""""</f>
        <v>#REF!</v>
      </c>
      <c r="FNR28" s="234" t="e">
        <f>astrogrep_path&amp;" /e /r /s /spath="&amp;search_path&amp;" /stypes=""app*"&amp;FMN28&amp;"*"&amp;TEXT(FMU28-utc_offset/24,"YYYYMMDD")&amp;"*"" /stext="" "&amp;TEXT(FMU28-utc_offset/24,"HH")&amp;search_regexp&amp;""""</f>
        <v>#REF!</v>
      </c>
      <c r="FNS28" s="234" t="e">
        <f>astrogrep_path&amp;" /e /r /s /spath="&amp;search_path&amp;" /stypes=""app*"&amp;FMO28&amp;"*"&amp;TEXT(FMV28-utc_offset/24,"YYYYMMDD")&amp;"*"" /stext="" "&amp;TEXT(FMV28-utc_offset/24,"HH")&amp;search_regexp&amp;""""</f>
        <v>#REF!</v>
      </c>
      <c r="FNT28" s="234" t="e">
        <f>astrogrep_path&amp;" /e /r /s /spath="&amp;search_path&amp;" /stypes=""app*"&amp;FMP28&amp;"*"&amp;TEXT(FMW28-utc_offset/24,"YYYYMMDD")&amp;"*"" /stext="" "&amp;TEXT(FMW28-utc_offset/24,"HH")&amp;search_regexp&amp;""""</f>
        <v>#REF!</v>
      </c>
      <c r="FNU28" s="234" t="e">
        <f>astrogrep_path&amp;" /e /r /s /spath="&amp;search_path&amp;" /stypes=""app*"&amp;FMQ28&amp;"*"&amp;TEXT(FMX28-utc_offset/24,"YYYYMMDD")&amp;"*"" /stext="" "&amp;TEXT(FMX28-utc_offset/24,"HH")&amp;search_regexp&amp;""""</f>
        <v>#VALUE!</v>
      </c>
      <c r="FNV28" s="234" t="e">
        <f>astrogrep_path&amp;" /e /r /s /spath="&amp;search_path&amp;" /stypes=""app*"&amp;FMR28&amp;"*"&amp;TEXT(FMY28-utc_offset/24,"YYYYMMDD")&amp;"*"" /stext="" "&amp;TEXT(FMY28-utc_offset/24,"HH")&amp;search_regexp&amp;""""</f>
        <v>#VALUE!</v>
      </c>
      <c r="FNW28" s="234" t="e">
        <f>astrogrep_path&amp;" /e /r /s /spath="&amp;search_path&amp;" /stypes=""app*"&amp;FMS28&amp;"*"&amp;TEXT(FMZ28-utc_offset/24,"YYYYMMDD")&amp;"*"" /stext="" "&amp;TEXT(FMZ28-utc_offset/24,"HH")&amp;search_regexp&amp;""""</f>
        <v>#REF!</v>
      </c>
      <c r="FNX28" s="234" t="e">
        <f>astrogrep_path&amp;" /e /r /s /spath="&amp;search_path&amp;" /stypes=""app*"&amp;FMT28&amp;"*"&amp;TEXT(FNA28-utc_offset/24,"YYYYMMDD")&amp;"*"" /stext="" "&amp;TEXT(FNA28-utc_offset/24,"HH")&amp;search_regexp&amp;""""</f>
        <v>#REF!</v>
      </c>
      <c r="FNY28" s="234" t="e">
        <f>astrogrep_path&amp;" /e /r /s /spath="&amp;search_path&amp;" /stypes=""app*"&amp;FMU28&amp;"*"&amp;TEXT(FNB28-utc_offset/24,"YYYYMMDD")&amp;"*"" /stext="" "&amp;TEXT(FNB28-utc_offset/24,"HH")&amp;search_regexp&amp;""""</f>
        <v>#VALUE!</v>
      </c>
      <c r="FNZ28" s="234" t="e">
        <f>astrogrep_path&amp;" /e /r /s /spath="&amp;search_path&amp;" /stypes=""app*"&amp;FMV28&amp;"*"&amp;TEXT(FNC28-utc_offset/24,"YYYYMMDD")&amp;"*"" /stext="" "&amp;TEXT(FNC28-utc_offset/24,"HH")&amp;search_regexp&amp;""""</f>
        <v>#VALUE!</v>
      </c>
      <c r="FOA28" s="234" t="e">
        <f>astrogrep_path&amp;" /e /r /s /spath="&amp;search_path&amp;" /stypes=""app*"&amp;FMW28&amp;"*"&amp;TEXT(FND28-utc_offset/24,"YYYYMMDD")&amp;"*"" /stext="" "&amp;TEXT(FND28-utc_offset/24,"HH")&amp;search_regexp&amp;""""</f>
        <v>#VALUE!</v>
      </c>
      <c r="FOB28" s="234" t="e">
        <f>astrogrep_path&amp;" /e /r /s /spath="&amp;search_path&amp;" /stypes=""app*"&amp;FMX28&amp;"*"&amp;TEXT(FNE28-utc_offset/24,"YYYYMMDD")&amp;"*"" /stext="" "&amp;TEXT(FNE28-utc_offset/24,"HH")&amp;search_regexp&amp;""""</f>
        <v>#VALUE!</v>
      </c>
      <c r="FOC28" s="234" t="e">
        <f>astrogrep_path&amp;" /e /r /s /spath="&amp;search_path&amp;" /stypes=""app*"&amp;FMY28&amp;"*"&amp;TEXT(FNF28-utc_offset/24,"YYYYMMDD")&amp;"*"" /stext="" "&amp;TEXT(FNF28-utc_offset/24,"HH")&amp;search_regexp&amp;""""</f>
        <v>#VALUE!</v>
      </c>
      <c r="FOD28" s="234" t="e">
        <f>astrogrep_path&amp;" /e /r /s /spath="&amp;search_path&amp;" /stypes=""app*"&amp;FMZ28&amp;"*"&amp;TEXT(FNG28-utc_offset/24,"YYYYMMDD")&amp;"*"" /stext="" "&amp;TEXT(FNG28-utc_offset/24,"HH")&amp;search_regexp&amp;""""</f>
        <v>#REF!</v>
      </c>
      <c r="FOE28" s="234" t="e">
        <f>astrogrep_path&amp;" /e /r /s /spath="&amp;search_path&amp;" /stypes=""app*"&amp;FNA28&amp;"*"&amp;TEXT(FNH28-utc_offset/24,"YYYYMMDD")&amp;"*"" /stext="" "&amp;TEXT(FNH28-utc_offset/24,"HH")&amp;search_regexp&amp;""""</f>
        <v>#REF!</v>
      </c>
      <c r="FOF28" s="234" t="e">
        <f>astrogrep_path&amp;" /e /r /s /spath="&amp;search_path&amp;" /stypes=""app*"&amp;FNB28&amp;"*"&amp;TEXT(FNI28-utc_offset/24,"YYYYMMDD")&amp;"*"" /stext="" "&amp;TEXT(FNI28-utc_offset/24,"HH")&amp;search_regexp&amp;""""</f>
        <v>#REF!</v>
      </c>
      <c r="FOG28" s="234" t="e">
        <f>astrogrep_path&amp;" /e /r /s /spath="&amp;search_path&amp;" /stypes=""app*"&amp;FNC28&amp;"*"&amp;TEXT(FNJ28-utc_offset/24,"YYYYMMDD")&amp;"*"" /stext="" "&amp;TEXT(FNJ28-utc_offset/24,"HH")&amp;search_regexp&amp;""""</f>
        <v>#REF!</v>
      </c>
      <c r="FOH28" s="234" t="e">
        <f>astrogrep_path&amp;" /e /r /s /spath="&amp;search_path&amp;" /stypes=""app*"&amp;FND28&amp;"*"&amp;TEXT(FNK28-utc_offset/24,"YYYYMMDD")&amp;"*"" /stext="" "&amp;TEXT(FNK28-utc_offset/24,"HH")&amp;search_regexp&amp;""""</f>
        <v>#REF!</v>
      </c>
      <c r="FOI28" s="234" t="e">
        <f>astrogrep_path&amp;" /e /r /s /spath="&amp;search_path&amp;" /stypes=""app*"&amp;FNE28&amp;"*"&amp;TEXT(FNL28-utc_offset/24,"YYYYMMDD")&amp;"*"" /stext="" "&amp;TEXT(FNL28-utc_offset/24,"HH")&amp;search_regexp&amp;""""</f>
        <v>#REF!</v>
      </c>
      <c r="FOJ28" s="234" t="e">
        <f>astrogrep_path&amp;" /e /r /s /spath="&amp;search_path&amp;" /stypes=""app*"&amp;FNF28&amp;"*"&amp;TEXT(FNM28-utc_offset/24,"YYYYMMDD")&amp;"*"" /stext="" "&amp;TEXT(FNM28-utc_offset/24,"HH")&amp;search_regexp&amp;""""</f>
        <v>#REF!</v>
      </c>
      <c r="FOK28" s="234" t="e">
        <f>astrogrep_path&amp;" /e /r /s /spath="&amp;search_path&amp;" /stypes=""app*"&amp;FNG28&amp;"*"&amp;TEXT(FNN28-utc_offset/24,"YYYYMMDD")&amp;"*"" /stext="" "&amp;TEXT(FNN28-utc_offset/24,"HH")&amp;search_regexp&amp;""""</f>
        <v>#REF!</v>
      </c>
      <c r="FOL28" s="234" t="e">
        <f>astrogrep_path&amp;" /e /r /s /spath="&amp;search_path&amp;" /stypes=""app*"&amp;FNH28&amp;"*"&amp;TEXT(FNO28-utc_offset/24,"YYYYMMDD")&amp;"*"" /stext="" "&amp;TEXT(FNO28-utc_offset/24,"HH")&amp;search_regexp&amp;""""</f>
        <v>#REF!</v>
      </c>
      <c r="FOM28" s="234" t="e">
        <f>astrogrep_path&amp;" /e /r /s /spath="&amp;search_path&amp;" /stypes=""app*"&amp;FNI28&amp;"*"&amp;TEXT(FNP28-utc_offset/24,"YYYYMMDD")&amp;"*"" /stext="" "&amp;TEXT(FNP28-utc_offset/24,"HH")&amp;search_regexp&amp;""""</f>
        <v>#REF!</v>
      </c>
      <c r="FON28" s="234" t="e">
        <f>astrogrep_path&amp;" /e /r /s /spath="&amp;search_path&amp;" /stypes=""app*"&amp;FNJ28&amp;"*"&amp;TEXT(FNQ28-utc_offset/24,"YYYYMMDD")&amp;"*"" /stext="" "&amp;TEXT(FNQ28-utc_offset/24,"HH")&amp;search_regexp&amp;""""</f>
        <v>#REF!</v>
      </c>
      <c r="FOO28" s="234" t="e">
        <f>astrogrep_path&amp;" /e /r /s /spath="&amp;search_path&amp;" /stypes=""app*"&amp;FNK28&amp;"*"&amp;TEXT(FNR28-utc_offset/24,"YYYYMMDD")&amp;"*"" /stext="" "&amp;TEXT(FNR28-utc_offset/24,"HH")&amp;search_regexp&amp;""""</f>
        <v>#REF!</v>
      </c>
      <c r="FOP28" s="234" t="e">
        <f>astrogrep_path&amp;" /e /r /s /spath="&amp;search_path&amp;" /stypes=""app*"&amp;FNL28&amp;"*"&amp;TEXT(FNS28-utc_offset/24,"YYYYMMDD")&amp;"*"" /stext="" "&amp;TEXT(FNS28-utc_offset/24,"HH")&amp;search_regexp&amp;""""</f>
        <v>#REF!</v>
      </c>
      <c r="FOQ28" s="234" t="e">
        <f>astrogrep_path&amp;" /e /r /s /spath="&amp;search_path&amp;" /stypes=""app*"&amp;FNM28&amp;"*"&amp;TEXT(FNT28-utc_offset/24,"YYYYMMDD")&amp;"*"" /stext="" "&amp;TEXT(FNT28-utc_offset/24,"HH")&amp;search_regexp&amp;""""</f>
        <v>#REF!</v>
      </c>
      <c r="FOR28" s="234" t="e">
        <f>astrogrep_path&amp;" /e /r /s /spath="&amp;search_path&amp;" /stypes=""app*"&amp;FNN28&amp;"*"&amp;TEXT(FNU28-utc_offset/24,"YYYYMMDD")&amp;"*"" /stext="" "&amp;TEXT(FNU28-utc_offset/24,"HH")&amp;search_regexp&amp;""""</f>
        <v>#REF!</v>
      </c>
      <c r="FOS28" s="234" t="e">
        <f>astrogrep_path&amp;" /e /r /s /spath="&amp;search_path&amp;" /stypes=""app*"&amp;FNO28&amp;"*"&amp;TEXT(FNV28-utc_offset/24,"YYYYMMDD")&amp;"*"" /stext="" "&amp;TEXT(FNV28-utc_offset/24,"HH")&amp;search_regexp&amp;""""</f>
        <v>#REF!</v>
      </c>
      <c r="FOT28" s="234" t="e">
        <f>astrogrep_path&amp;" /e /r /s /spath="&amp;search_path&amp;" /stypes=""app*"&amp;FNP28&amp;"*"&amp;TEXT(FNW28-utc_offset/24,"YYYYMMDD")&amp;"*"" /stext="" "&amp;TEXT(FNW28-utc_offset/24,"HH")&amp;search_regexp&amp;""""</f>
        <v>#REF!</v>
      </c>
      <c r="FOU28" s="234" t="e">
        <f>astrogrep_path&amp;" /e /r /s /spath="&amp;search_path&amp;" /stypes=""app*"&amp;FNQ28&amp;"*"&amp;TEXT(FNX28-utc_offset/24,"YYYYMMDD")&amp;"*"" /stext="" "&amp;TEXT(FNX28-utc_offset/24,"HH")&amp;search_regexp&amp;""""</f>
        <v>#REF!</v>
      </c>
      <c r="FOV28" s="234" t="e">
        <f>astrogrep_path&amp;" /e /r /s /spath="&amp;search_path&amp;" /stypes=""app*"&amp;FNR28&amp;"*"&amp;TEXT(FNY28-utc_offset/24,"YYYYMMDD")&amp;"*"" /stext="" "&amp;TEXT(FNY28-utc_offset/24,"HH")&amp;search_regexp&amp;""""</f>
        <v>#REF!</v>
      </c>
      <c r="FOW28" s="234" t="e">
        <f>astrogrep_path&amp;" /e /r /s /spath="&amp;search_path&amp;" /stypes=""app*"&amp;FNS28&amp;"*"&amp;TEXT(FNZ28-utc_offset/24,"YYYYMMDD")&amp;"*"" /stext="" "&amp;TEXT(FNZ28-utc_offset/24,"HH")&amp;search_regexp&amp;""""</f>
        <v>#REF!</v>
      </c>
      <c r="FOX28" s="234" t="e">
        <f>astrogrep_path&amp;" /e /r /s /spath="&amp;search_path&amp;" /stypes=""app*"&amp;FNT28&amp;"*"&amp;TEXT(FOA28-utc_offset/24,"YYYYMMDD")&amp;"*"" /stext="" "&amp;TEXT(FOA28-utc_offset/24,"HH")&amp;search_regexp&amp;""""</f>
        <v>#REF!</v>
      </c>
      <c r="FOY28" s="234" t="e">
        <f>astrogrep_path&amp;" /e /r /s /spath="&amp;search_path&amp;" /stypes=""app*"&amp;FNU28&amp;"*"&amp;TEXT(FOB28-utc_offset/24,"YYYYMMDD")&amp;"*"" /stext="" "&amp;TEXT(FOB28-utc_offset/24,"HH")&amp;search_regexp&amp;""""</f>
        <v>#VALUE!</v>
      </c>
      <c r="FOZ28" s="234" t="e">
        <f>astrogrep_path&amp;" /e /r /s /spath="&amp;search_path&amp;" /stypes=""app*"&amp;FNV28&amp;"*"&amp;TEXT(FOC28-utc_offset/24,"YYYYMMDD")&amp;"*"" /stext="" "&amp;TEXT(FOC28-utc_offset/24,"HH")&amp;search_regexp&amp;""""</f>
        <v>#VALUE!</v>
      </c>
      <c r="FPA28" s="234" t="e">
        <f>astrogrep_path&amp;" /e /r /s /spath="&amp;search_path&amp;" /stypes=""app*"&amp;FNW28&amp;"*"&amp;TEXT(FOD28-utc_offset/24,"YYYYMMDD")&amp;"*"" /stext="" "&amp;TEXT(FOD28-utc_offset/24,"HH")&amp;search_regexp&amp;""""</f>
        <v>#REF!</v>
      </c>
      <c r="FPB28" s="234" t="e">
        <f>astrogrep_path&amp;" /e /r /s /spath="&amp;search_path&amp;" /stypes=""app*"&amp;FNX28&amp;"*"&amp;TEXT(FOE28-utc_offset/24,"YYYYMMDD")&amp;"*"" /stext="" "&amp;TEXT(FOE28-utc_offset/24,"HH")&amp;search_regexp&amp;""""</f>
        <v>#REF!</v>
      </c>
      <c r="FPC28" s="234" t="e">
        <f>astrogrep_path&amp;" /e /r /s /spath="&amp;search_path&amp;" /stypes=""app*"&amp;FNY28&amp;"*"&amp;TEXT(FOF28-utc_offset/24,"YYYYMMDD")&amp;"*"" /stext="" "&amp;TEXT(FOF28-utc_offset/24,"HH")&amp;search_regexp&amp;""""</f>
        <v>#VALUE!</v>
      </c>
      <c r="FPD28" s="234" t="e">
        <f>astrogrep_path&amp;" /e /r /s /spath="&amp;search_path&amp;" /stypes=""app*"&amp;FNZ28&amp;"*"&amp;TEXT(FOG28-utc_offset/24,"YYYYMMDD")&amp;"*"" /stext="" "&amp;TEXT(FOG28-utc_offset/24,"HH")&amp;search_regexp&amp;""""</f>
        <v>#VALUE!</v>
      </c>
      <c r="FPE28" s="234" t="e">
        <f>astrogrep_path&amp;" /e /r /s /spath="&amp;search_path&amp;" /stypes=""app*"&amp;FOA28&amp;"*"&amp;TEXT(FOH28-utc_offset/24,"YYYYMMDD")&amp;"*"" /stext="" "&amp;TEXT(FOH28-utc_offset/24,"HH")&amp;search_regexp&amp;""""</f>
        <v>#VALUE!</v>
      </c>
      <c r="FPF28" s="234" t="e">
        <f>astrogrep_path&amp;" /e /r /s /spath="&amp;search_path&amp;" /stypes=""app*"&amp;FOB28&amp;"*"&amp;TEXT(FOI28-utc_offset/24,"YYYYMMDD")&amp;"*"" /stext="" "&amp;TEXT(FOI28-utc_offset/24,"HH")&amp;search_regexp&amp;""""</f>
        <v>#VALUE!</v>
      </c>
      <c r="FPG28" s="234" t="e">
        <f>astrogrep_path&amp;" /e /r /s /spath="&amp;search_path&amp;" /stypes=""app*"&amp;FOC28&amp;"*"&amp;TEXT(FOJ28-utc_offset/24,"YYYYMMDD")&amp;"*"" /stext="" "&amp;TEXT(FOJ28-utc_offset/24,"HH")&amp;search_regexp&amp;""""</f>
        <v>#VALUE!</v>
      </c>
      <c r="FPH28" s="234" t="e">
        <f>astrogrep_path&amp;" /e /r /s /spath="&amp;search_path&amp;" /stypes=""app*"&amp;FOD28&amp;"*"&amp;TEXT(FOK28-utc_offset/24,"YYYYMMDD")&amp;"*"" /stext="" "&amp;TEXT(FOK28-utc_offset/24,"HH")&amp;search_regexp&amp;""""</f>
        <v>#REF!</v>
      </c>
      <c r="FPI28" s="234" t="e">
        <f>astrogrep_path&amp;" /e /r /s /spath="&amp;search_path&amp;" /stypes=""app*"&amp;FOE28&amp;"*"&amp;TEXT(FOL28-utc_offset/24,"YYYYMMDD")&amp;"*"" /stext="" "&amp;TEXT(FOL28-utc_offset/24,"HH")&amp;search_regexp&amp;""""</f>
        <v>#REF!</v>
      </c>
      <c r="FPJ28" s="234" t="e">
        <f>astrogrep_path&amp;" /e /r /s /spath="&amp;search_path&amp;" /stypes=""app*"&amp;FOF28&amp;"*"&amp;TEXT(FOM28-utc_offset/24,"YYYYMMDD")&amp;"*"" /stext="" "&amp;TEXT(FOM28-utc_offset/24,"HH")&amp;search_regexp&amp;""""</f>
        <v>#REF!</v>
      </c>
      <c r="FPK28" s="234" t="e">
        <f>astrogrep_path&amp;" /e /r /s /spath="&amp;search_path&amp;" /stypes=""app*"&amp;FOG28&amp;"*"&amp;TEXT(FON28-utc_offset/24,"YYYYMMDD")&amp;"*"" /stext="" "&amp;TEXT(FON28-utc_offset/24,"HH")&amp;search_regexp&amp;""""</f>
        <v>#REF!</v>
      </c>
      <c r="FPL28" s="234" t="e">
        <f>astrogrep_path&amp;" /e /r /s /spath="&amp;search_path&amp;" /stypes=""app*"&amp;FOH28&amp;"*"&amp;TEXT(FOO28-utc_offset/24,"YYYYMMDD")&amp;"*"" /stext="" "&amp;TEXT(FOO28-utc_offset/24,"HH")&amp;search_regexp&amp;""""</f>
        <v>#REF!</v>
      </c>
      <c r="FPM28" s="234" t="e">
        <f>astrogrep_path&amp;" /e /r /s /spath="&amp;search_path&amp;" /stypes=""app*"&amp;FOI28&amp;"*"&amp;TEXT(FOP28-utc_offset/24,"YYYYMMDD")&amp;"*"" /stext="" "&amp;TEXT(FOP28-utc_offset/24,"HH")&amp;search_regexp&amp;""""</f>
        <v>#REF!</v>
      </c>
      <c r="FPN28" s="234" t="e">
        <f>astrogrep_path&amp;" /e /r /s /spath="&amp;search_path&amp;" /stypes=""app*"&amp;FOJ28&amp;"*"&amp;TEXT(FOQ28-utc_offset/24,"YYYYMMDD")&amp;"*"" /stext="" "&amp;TEXT(FOQ28-utc_offset/24,"HH")&amp;search_regexp&amp;""""</f>
        <v>#REF!</v>
      </c>
      <c r="FPO28" s="234" t="e">
        <f>astrogrep_path&amp;" /e /r /s /spath="&amp;search_path&amp;" /stypes=""app*"&amp;FOK28&amp;"*"&amp;TEXT(FOR28-utc_offset/24,"YYYYMMDD")&amp;"*"" /stext="" "&amp;TEXT(FOR28-utc_offset/24,"HH")&amp;search_regexp&amp;""""</f>
        <v>#REF!</v>
      </c>
      <c r="FPP28" s="234" t="e">
        <f>astrogrep_path&amp;" /e /r /s /spath="&amp;search_path&amp;" /stypes=""app*"&amp;FOL28&amp;"*"&amp;TEXT(FOS28-utc_offset/24,"YYYYMMDD")&amp;"*"" /stext="" "&amp;TEXT(FOS28-utc_offset/24,"HH")&amp;search_regexp&amp;""""</f>
        <v>#REF!</v>
      </c>
      <c r="FPQ28" s="234" t="e">
        <f>astrogrep_path&amp;" /e /r /s /spath="&amp;search_path&amp;" /stypes=""app*"&amp;FOM28&amp;"*"&amp;TEXT(FOT28-utc_offset/24,"YYYYMMDD")&amp;"*"" /stext="" "&amp;TEXT(FOT28-utc_offset/24,"HH")&amp;search_regexp&amp;""""</f>
        <v>#REF!</v>
      </c>
      <c r="FPR28" s="234" t="e">
        <f>astrogrep_path&amp;" /e /r /s /spath="&amp;search_path&amp;" /stypes=""app*"&amp;FON28&amp;"*"&amp;TEXT(FOU28-utc_offset/24,"YYYYMMDD")&amp;"*"" /stext="" "&amp;TEXT(FOU28-utc_offset/24,"HH")&amp;search_regexp&amp;""""</f>
        <v>#REF!</v>
      </c>
      <c r="FPS28" s="234" t="e">
        <f>astrogrep_path&amp;" /e /r /s /spath="&amp;search_path&amp;" /stypes=""app*"&amp;FOO28&amp;"*"&amp;TEXT(FOV28-utc_offset/24,"YYYYMMDD")&amp;"*"" /stext="" "&amp;TEXT(FOV28-utc_offset/24,"HH")&amp;search_regexp&amp;""""</f>
        <v>#REF!</v>
      </c>
      <c r="FPT28" s="234" t="e">
        <f>astrogrep_path&amp;" /e /r /s /spath="&amp;search_path&amp;" /stypes=""app*"&amp;FOP28&amp;"*"&amp;TEXT(FOW28-utc_offset/24,"YYYYMMDD")&amp;"*"" /stext="" "&amp;TEXT(FOW28-utc_offset/24,"HH")&amp;search_regexp&amp;""""</f>
        <v>#REF!</v>
      </c>
      <c r="FPU28" s="234" t="e">
        <f>astrogrep_path&amp;" /e /r /s /spath="&amp;search_path&amp;" /stypes=""app*"&amp;FOQ28&amp;"*"&amp;TEXT(FOX28-utc_offset/24,"YYYYMMDD")&amp;"*"" /stext="" "&amp;TEXT(FOX28-utc_offset/24,"HH")&amp;search_regexp&amp;""""</f>
        <v>#REF!</v>
      </c>
      <c r="FPV28" s="234" t="e">
        <f>astrogrep_path&amp;" /e /r /s /spath="&amp;search_path&amp;" /stypes=""app*"&amp;FOR28&amp;"*"&amp;TEXT(FOY28-utc_offset/24,"YYYYMMDD")&amp;"*"" /stext="" "&amp;TEXT(FOY28-utc_offset/24,"HH")&amp;search_regexp&amp;""""</f>
        <v>#REF!</v>
      </c>
      <c r="FPW28" s="234" t="e">
        <f>astrogrep_path&amp;" /e /r /s /spath="&amp;search_path&amp;" /stypes=""app*"&amp;FOS28&amp;"*"&amp;TEXT(FOZ28-utc_offset/24,"YYYYMMDD")&amp;"*"" /stext="" "&amp;TEXT(FOZ28-utc_offset/24,"HH")&amp;search_regexp&amp;""""</f>
        <v>#REF!</v>
      </c>
      <c r="FPX28" s="234" t="e">
        <f>astrogrep_path&amp;" /e /r /s /spath="&amp;search_path&amp;" /stypes=""app*"&amp;FOT28&amp;"*"&amp;TEXT(FPA28-utc_offset/24,"YYYYMMDD")&amp;"*"" /stext="" "&amp;TEXT(FPA28-utc_offset/24,"HH")&amp;search_regexp&amp;""""</f>
        <v>#REF!</v>
      </c>
      <c r="FPY28" s="234" t="e">
        <f>astrogrep_path&amp;" /e /r /s /spath="&amp;search_path&amp;" /stypes=""app*"&amp;FOU28&amp;"*"&amp;TEXT(FPB28-utc_offset/24,"YYYYMMDD")&amp;"*"" /stext="" "&amp;TEXT(FPB28-utc_offset/24,"HH")&amp;search_regexp&amp;""""</f>
        <v>#REF!</v>
      </c>
      <c r="FPZ28" s="234" t="e">
        <f>astrogrep_path&amp;" /e /r /s /spath="&amp;search_path&amp;" /stypes=""app*"&amp;FOV28&amp;"*"&amp;TEXT(FPC28-utc_offset/24,"YYYYMMDD")&amp;"*"" /stext="" "&amp;TEXT(FPC28-utc_offset/24,"HH")&amp;search_regexp&amp;""""</f>
        <v>#REF!</v>
      </c>
      <c r="FQA28" s="234" t="e">
        <f>astrogrep_path&amp;" /e /r /s /spath="&amp;search_path&amp;" /stypes=""app*"&amp;FOW28&amp;"*"&amp;TEXT(FPD28-utc_offset/24,"YYYYMMDD")&amp;"*"" /stext="" "&amp;TEXT(FPD28-utc_offset/24,"HH")&amp;search_regexp&amp;""""</f>
        <v>#REF!</v>
      </c>
      <c r="FQB28" s="234" t="e">
        <f>astrogrep_path&amp;" /e /r /s /spath="&amp;search_path&amp;" /stypes=""app*"&amp;FOX28&amp;"*"&amp;TEXT(FPE28-utc_offset/24,"YYYYMMDD")&amp;"*"" /stext="" "&amp;TEXT(FPE28-utc_offset/24,"HH")&amp;search_regexp&amp;""""</f>
        <v>#REF!</v>
      </c>
      <c r="FQC28" s="234" t="e">
        <f>astrogrep_path&amp;" /e /r /s /spath="&amp;search_path&amp;" /stypes=""app*"&amp;FOY28&amp;"*"&amp;TEXT(FPF28-utc_offset/24,"YYYYMMDD")&amp;"*"" /stext="" "&amp;TEXT(FPF28-utc_offset/24,"HH")&amp;search_regexp&amp;""""</f>
        <v>#VALUE!</v>
      </c>
      <c r="FQD28" s="234" t="e">
        <f>astrogrep_path&amp;" /e /r /s /spath="&amp;search_path&amp;" /stypes=""app*"&amp;FOZ28&amp;"*"&amp;TEXT(FPG28-utc_offset/24,"YYYYMMDD")&amp;"*"" /stext="" "&amp;TEXT(FPG28-utc_offset/24,"HH")&amp;search_regexp&amp;""""</f>
        <v>#VALUE!</v>
      </c>
      <c r="FQE28" s="234" t="e">
        <f>astrogrep_path&amp;" /e /r /s /spath="&amp;search_path&amp;" /stypes=""app*"&amp;FPA28&amp;"*"&amp;TEXT(FPH28-utc_offset/24,"YYYYMMDD")&amp;"*"" /stext="" "&amp;TEXT(FPH28-utc_offset/24,"HH")&amp;search_regexp&amp;""""</f>
        <v>#REF!</v>
      </c>
      <c r="FQF28" s="234" t="e">
        <f>astrogrep_path&amp;" /e /r /s /spath="&amp;search_path&amp;" /stypes=""app*"&amp;FPB28&amp;"*"&amp;TEXT(FPI28-utc_offset/24,"YYYYMMDD")&amp;"*"" /stext="" "&amp;TEXT(FPI28-utc_offset/24,"HH")&amp;search_regexp&amp;""""</f>
        <v>#REF!</v>
      </c>
      <c r="FQG28" s="234" t="e">
        <f>astrogrep_path&amp;" /e /r /s /spath="&amp;search_path&amp;" /stypes=""app*"&amp;FPC28&amp;"*"&amp;TEXT(FPJ28-utc_offset/24,"YYYYMMDD")&amp;"*"" /stext="" "&amp;TEXT(FPJ28-utc_offset/24,"HH")&amp;search_regexp&amp;""""</f>
        <v>#VALUE!</v>
      </c>
      <c r="FQH28" s="234" t="e">
        <f>astrogrep_path&amp;" /e /r /s /spath="&amp;search_path&amp;" /stypes=""app*"&amp;FPD28&amp;"*"&amp;TEXT(FPK28-utc_offset/24,"YYYYMMDD")&amp;"*"" /stext="" "&amp;TEXT(FPK28-utc_offset/24,"HH")&amp;search_regexp&amp;""""</f>
        <v>#VALUE!</v>
      </c>
      <c r="FQI28" s="234" t="e">
        <f>astrogrep_path&amp;" /e /r /s /spath="&amp;search_path&amp;" /stypes=""app*"&amp;FPE28&amp;"*"&amp;TEXT(FPL28-utc_offset/24,"YYYYMMDD")&amp;"*"" /stext="" "&amp;TEXT(FPL28-utc_offset/24,"HH")&amp;search_regexp&amp;""""</f>
        <v>#VALUE!</v>
      </c>
      <c r="FQJ28" s="234" t="e">
        <f>astrogrep_path&amp;" /e /r /s /spath="&amp;search_path&amp;" /stypes=""app*"&amp;FPF28&amp;"*"&amp;TEXT(FPM28-utc_offset/24,"YYYYMMDD")&amp;"*"" /stext="" "&amp;TEXT(FPM28-utc_offset/24,"HH")&amp;search_regexp&amp;""""</f>
        <v>#VALUE!</v>
      </c>
      <c r="FQK28" s="234" t="e">
        <f>astrogrep_path&amp;" /e /r /s /spath="&amp;search_path&amp;" /stypes=""app*"&amp;FPG28&amp;"*"&amp;TEXT(FPN28-utc_offset/24,"YYYYMMDD")&amp;"*"" /stext="" "&amp;TEXT(FPN28-utc_offset/24,"HH")&amp;search_regexp&amp;""""</f>
        <v>#VALUE!</v>
      </c>
      <c r="FQL28" s="234" t="e">
        <f>astrogrep_path&amp;" /e /r /s /spath="&amp;search_path&amp;" /stypes=""app*"&amp;FPH28&amp;"*"&amp;TEXT(FPO28-utc_offset/24,"YYYYMMDD")&amp;"*"" /stext="" "&amp;TEXT(FPO28-utc_offset/24,"HH")&amp;search_regexp&amp;""""</f>
        <v>#REF!</v>
      </c>
      <c r="FQM28" s="234" t="e">
        <f>astrogrep_path&amp;" /e /r /s /spath="&amp;search_path&amp;" /stypes=""app*"&amp;FPI28&amp;"*"&amp;TEXT(FPP28-utc_offset/24,"YYYYMMDD")&amp;"*"" /stext="" "&amp;TEXT(FPP28-utc_offset/24,"HH")&amp;search_regexp&amp;""""</f>
        <v>#REF!</v>
      </c>
      <c r="FQN28" s="234" t="e">
        <f>astrogrep_path&amp;" /e /r /s /spath="&amp;search_path&amp;" /stypes=""app*"&amp;FPJ28&amp;"*"&amp;TEXT(FPQ28-utc_offset/24,"YYYYMMDD")&amp;"*"" /stext="" "&amp;TEXT(FPQ28-utc_offset/24,"HH")&amp;search_regexp&amp;""""</f>
        <v>#REF!</v>
      </c>
      <c r="FQO28" s="234" t="e">
        <f>astrogrep_path&amp;" /e /r /s /spath="&amp;search_path&amp;" /stypes=""app*"&amp;FPK28&amp;"*"&amp;TEXT(FPR28-utc_offset/24,"YYYYMMDD")&amp;"*"" /stext="" "&amp;TEXT(FPR28-utc_offset/24,"HH")&amp;search_regexp&amp;""""</f>
        <v>#REF!</v>
      </c>
      <c r="FQP28" s="234" t="e">
        <f>astrogrep_path&amp;" /e /r /s /spath="&amp;search_path&amp;" /stypes=""app*"&amp;FPL28&amp;"*"&amp;TEXT(FPS28-utc_offset/24,"YYYYMMDD")&amp;"*"" /stext="" "&amp;TEXT(FPS28-utc_offset/24,"HH")&amp;search_regexp&amp;""""</f>
        <v>#REF!</v>
      </c>
      <c r="FQQ28" s="234" t="e">
        <f>astrogrep_path&amp;" /e /r /s /spath="&amp;search_path&amp;" /stypes=""app*"&amp;FPM28&amp;"*"&amp;TEXT(FPT28-utc_offset/24,"YYYYMMDD")&amp;"*"" /stext="" "&amp;TEXT(FPT28-utc_offset/24,"HH")&amp;search_regexp&amp;""""</f>
        <v>#REF!</v>
      </c>
      <c r="FQR28" s="234" t="e">
        <f>astrogrep_path&amp;" /e /r /s /spath="&amp;search_path&amp;" /stypes=""app*"&amp;FPN28&amp;"*"&amp;TEXT(FPU28-utc_offset/24,"YYYYMMDD")&amp;"*"" /stext="" "&amp;TEXT(FPU28-utc_offset/24,"HH")&amp;search_regexp&amp;""""</f>
        <v>#REF!</v>
      </c>
      <c r="FQS28" s="234" t="e">
        <f>astrogrep_path&amp;" /e /r /s /spath="&amp;search_path&amp;" /stypes=""app*"&amp;FPO28&amp;"*"&amp;TEXT(FPV28-utc_offset/24,"YYYYMMDD")&amp;"*"" /stext="" "&amp;TEXT(FPV28-utc_offset/24,"HH")&amp;search_regexp&amp;""""</f>
        <v>#REF!</v>
      </c>
      <c r="FQT28" s="234" t="e">
        <f>astrogrep_path&amp;" /e /r /s /spath="&amp;search_path&amp;" /stypes=""app*"&amp;FPP28&amp;"*"&amp;TEXT(FPW28-utc_offset/24,"YYYYMMDD")&amp;"*"" /stext="" "&amp;TEXT(FPW28-utc_offset/24,"HH")&amp;search_regexp&amp;""""</f>
        <v>#REF!</v>
      </c>
      <c r="FQU28" s="234" t="e">
        <f>astrogrep_path&amp;" /e /r /s /spath="&amp;search_path&amp;" /stypes=""app*"&amp;FPQ28&amp;"*"&amp;TEXT(FPX28-utc_offset/24,"YYYYMMDD")&amp;"*"" /stext="" "&amp;TEXT(FPX28-utc_offset/24,"HH")&amp;search_regexp&amp;""""</f>
        <v>#REF!</v>
      </c>
      <c r="FQV28" s="234" t="e">
        <f>astrogrep_path&amp;" /e /r /s /spath="&amp;search_path&amp;" /stypes=""app*"&amp;FPR28&amp;"*"&amp;TEXT(FPY28-utc_offset/24,"YYYYMMDD")&amp;"*"" /stext="" "&amp;TEXT(FPY28-utc_offset/24,"HH")&amp;search_regexp&amp;""""</f>
        <v>#REF!</v>
      </c>
      <c r="FQW28" s="234" t="e">
        <f>astrogrep_path&amp;" /e /r /s /spath="&amp;search_path&amp;" /stypes=""app*"&amp;FPS28&amp;"*"&amp;TEXT(FPZ28-utc_offset/24,"YYYYMMDD")&amp;"*"" /stext="" "&amp;TEXT(FPZ28-utc_offset/24,"HH")&amp;search_regexp&amp;""""</f>
        <v>#REF!</v>
      </c>
      <c r="FQX28" s="234" t="e">
        <f>astrogrep_path&amp;" /e /r /s /spath="&amp;search_path&amp;" /stypes=""app*"&amp;FPT28&amp;"*"&amp;TEXT(FQA28-utc_offset/24,"YYYYMMDD")&amp;"*"" /stext="" "&amp;TEXT(FQA28-utc_offset/24,"HH")&amp;search_regexp&amp;""""</f>
        <v>#REF!</v>
      </c>
      <c r="FQY28" s="234" t="e">
        <f>astrogrep_path&amp;" /e /r /s /spath="&amp;search_path&amp;" /stypes=""app*"&amp;FPU28&amp;"*"&amp;TEXT(FQB28-utc_offset/24,"YYYYMMDD")&amp;"*"" /stext="" "&amp;TEXT(FQB28-utc_offset/24,"HH")&amp;search_regexp&amp;""""</f>
        <v>#REF!</v>
      </c>
      <c r="FQZ28" s="234" t="e">
        <f>astrogrep_path&amp;" /e /r /s /spath="&amp;search_path&amp;" /stypes=""app*"&amp;FPV28&amp;"*"&amp;TEXT(FQC28-utc_offset/24,"YYYYMMDD")&amp;"*"" /stext="" "&amp;TEXT(FQC28-utc_offset/24,"HH")&amp;search_regexp&amp;""""</f>
        <v>#REF!</v>
      </c>
      <c r="FRA28" s="234" t="e">
        <f>astrogrep_path&amp;" /e /r /s /spath="&amp;search_path&amp;" /stypes=""app*"&amp;FPW28&amp;"*"&amp;TEXT(FQD28-utc_offset/24,"YYYYMMDD")&amp;"*"" /stext="" "&amp;TEXT(FQD28-utc_offset/24,"HH")&amp;search_regexp&amp;""""</f>
        <v>#REF!</v>
      </c>
      <c r="FRB28" s="234" t="e">
        <f>astrogrep_path&amp;" /e /r /s /spath="&amp;search_path&amp;" /stypes=""app*"&amp;FPX28&amp;"*"&amp;TEXT(FQE28-utc_offset/24,"YYYYMMDD")&amp;"*"" /stext="" "&amp;TEXT(FQE28-utc_offset/24,"HH")&amp;search_regexp&amp;""""</f>
        <v>#REF!</v>
      </c>
      <c r="FRC28" s="234" t="e">
        <f>astrogrep_path&amp;" /e /r /s /spath="&amp;search_path&amp;" /stypes=""app*"&amp;FPY28&amp;"*"&amp;TEXT(FQF28-utc_offset/24,"YYYYMMDD")&amp;"*"" /stext="" "&amp;TEXT(FQF28-utc_offset/24,"HH")&amp;search_regexp&amp;""""</f>
        <v>#REF!</v>
      </c>
      <c r="FRD28" s="234" t="e">
        <f>astrogrep_path&amp;" /e /r /s /spath="&amp;search_path&amp;" /stypes=""app*"&amp;FPZ28&amp;"*"&amp;TEXT(FQG28-utc_offset/24,"YYYYMMDD")&amp;"*"" /stext="" "&amp;TEXT(FQG28-utc_offset/24,"HH")&amp;search_regexp&amp;""""</f>
        <v>#REF!</v>
      </c>
      <c r="FRE28" s="234" t="e">
        <f>astrogrep_path&amp;" /e /r /s /spath="&amp;search_path&amp;" /stypes=""app*"&amp;FQA28&amp;"*"&amp;TEXT(FQH28-utc_offset/24,"YYYYMMDD")&amp;"*"" /stext="" "&amp;TEXT(FQH28-utc_offset/24,"HH")&amp;search_regexp&amp;""""</f>
        <v>#REF!</v>
      </c>
      <c r="FRF28" s="234" t="e">
        <f>astrogrep_path&amp;" /e /r /s /spath="&amp;search_path&amp;" /stypes=""app*"&amp;FQB28&amp;"*"&amp;TEXT(FQI28-utc_offset/24,"YYYYMMDD")&amp;"*"" /stext="" "&amp;TEXT(FQI28-utc_offset/24,"HH")&amp;search_regexp&amp;""""</f>
        <v>#REF!</v>
      </c>
      <c r="FRG28" s="234" t="e">
        <f>astrogrep_path&amp;" /e /r /s /spath="&amp;search_path&amp;" /stypes=""app*"&amp;FQC28&amp;"*"&amp;TEXT(FQJ28-utc_offset/24,"YYYYMMDD")&amp;"*"" /stext="" "&amp;TEXT(FQJ28-utc_offset/24,"HH")&amp;search_regexp&amp;""""</f>
        <v>#VALUE!</v>
      </c>
      <c r="FRH28" s="234" t="e">
        <f>astrogrep_path&amp;" /e /r /s /spath="&amp;search_path&amp;" /stypes=""app*"&amp;FQD28&amp;"*"&amp;TEXT(FQK28-utc_offset/24,"YYYYMMDD")&amp;"*"" /stext="" "&amp;TEXT(FQK28-utc_offset/24,"HH")&amp;search_regexp&amp;""""</f>
        <v>#VALUE!</v>
      </c>
      <c r="FRI28" s="234" t="e">
        <f>astrogrep_path&amp;" /e /r /s /spath="&amp;search_path&amp;" /stypes=""app*"&amp;FQE28&amp;"*"&amp;TEXT(FQL28-utc_offset/24,"YYYYMMDD")&amp;"*"" /stext="" "&amp;TEXT(FQL28-utc_offset/24,"HH")&amp;search_regexp&amp;""""</f>
        <v>#REF!</v>
      </c>
      <c r="FRJ28" s="234" t="e">
        <f>astrogrep_path&amp;" /e /r /s /spath="&amp;search_path&amp;" /stypes=""app*"&amp;FQF28&amp;"*"&amp;TEXT(FQM28-utc_offset/24,"YYYYMMDD")&amp;"*"" /stext="" "&amp;TEXT(FQM28-utc_offset/24,"HH")&amp;search_regexp&amp;""""</f>
        <v>#REF!</v>
      </c>
      <c r="FRK28" s="234" t="e">
        <f>astrogrep_path&amp;" /e /r /s /spath="&amp;search_path&amp;" /stypes=""app*"&amp;FQG28&amp;"*"&amp;TEXT(FQN28-utc_offset/24,"YYYYMMDD")&amp;"*"" /stext="" "&amp;TEXT(FQN28-utc_offset/24,"HH")&amp;search_regexp&amp;""""</f>
        <v>#VALUE!</v>
      </c>
      <c r="FRL28" s="234" t="e">
        <f>astrogrep_path&amp;" /e /r /s /spath="&amp;search_path&amp;" /stypes=""app*"&amp;FQH28&amp;"*"&amp;TEXT(FQO28-utc_offset/24,"YYYYMMDD")&amp;"*"" /stext="" "&amp;TEXT(FQO28-utc_offset/24,"HH")&amp;search_regexp&amp;""""</f>
        <v>#VALUE!</v>
      </c>
      <c r="FRM28" s="234" t="e">
        <f>astrogrep_path&amp;" /e /r /s /spath="&amp;search_path&amp;" /stypes=""app*"&amp;FQI28&amp;"*"&amp;TEXT(FQP28-utc_offset/24,"YYYYMMDD")&amp;"*"" /stext="" "&amp;TEXT(FQP28-utc_offset/24,"HH")&amp;search_regexp&amp;""""</f>
        <v>#VALUE!</v>
      </c>
      <c r="FRN28" s="234" t="e">
        <f>astrogrep_path&amp;" /e /r /s /spath="&amp;search_path&amp;" /stypes=""app*"&amp;FQJ28&amp;"*"&amp;TEXT(FQQ28-utc_offset/24,"YYYYMMDD")&amp;"*"" /stext="" "&amp;TEXT(FQQ28-utc_offset/24,"HH")&amp;search_regexp&amp;""""</f>
        <v>#VALUE!</v>
      </c>
      <c r="FRO28" s="234" t="e">
        <f>astrogrep_path&amp;" /e /r /s /spath="&amp;search_path&amp;" /stypes=""app*"&amp;FQK28&amp;"*"&amp;TEXT(FQR28-utc_offset/24,"YYYYMMDD")&amp;"*"" /stext="" "&amp;TEXT(FQR28-utc_offset/24,"HH")&amp;search_regexp&amp;""""</f>
        <v>#VALUE!</v>
      </c>
      <c r="FRP28" s="234" t="e">
        <f>astrogrep_path&amp;" /e /r /s /spath="&amp;search_path&amp;" /stypes=""app*"&amp;FQL28&amp;"*"&amp;TEXT(FQS28-utc_offset/24,"YYYYMMDD")&amp;"*"" /stext="" "&amp;TEXT(FQS28-utc_offset/24,"HH")&amp;search_regexp&amp;""""</f>
        <v>#REF!</v>
      </c>
      <c r="FRQ28" s="234" t="e">
        <f>astrogrep_path&amp;" /e /r /s /spath="&amp;search_path&amp;" /stypes=""app*"&amp;FQM28&amp;"*"&amp;TEXT(FQT28-utc_offset/24,"YYYYMMDD")&amp;"*"" /stext="" "&amp;TEXT(FQT28-utc_offset/24,"HH")&amp;search_regexp&amp;""""</f>
        <v>#REF!</v>
      </c>
      <c r="FRR28" s="234" t="e">
        <f>astrogrep_path&amp;" /e /r /s /spath="&amp;search_path&amp;" /stypes=""app*"&amp;FQN28&amp;"*"&amp;TEXT(FQU28-utc_offset/24,"YYYYMMDD")&amp;"*"" /stext="" "&amp;TEXT(FQU28-utc_offset/24,"HH")&amp;search_regexp&amp;""""</f>
        <v>#REF!</v>
      </c>
      <c r="FRS28" s="234" t="e">
        <f>astrogrep_path&amp;" /e /r /s /spath="&amp;search_path&amp;" /stypes=""app*"&amp;FQO28&amp;"*"&amp;TEXT(FQV28-utc_offset/24,"YYYYMMDD")&amp;"*"" /stext="" "&amp;TEXT(FQV28-utc_offset/24,"HH")&amp;search_regexp&amp;""""</f>
        <v>#REF!</v>
      </c>
      <c r="FRT28" s="234" t="e">
        <f>astrogrep_path&amp;" /e /r /s /spath="&amp;search_path&amp;" /stypes=""app*"&amp;FQP28&amp;"*"&amp;TEXT(FQW28-utc_offset/24,"YYYYMMDD")&amp;"*"" /stext="" "&amp;TEXT(FQW28-utc_offset/24,"HH")&amp;search_regexp&amp;""""</f>
        <v>#REF!</v>
      </c>
      <c r="FRU28" s="234" t="e">
        <f>astrogrep_path&amp;" /e /r /s /spath="&amp;search_path&amp;" /stypes=""app*"&amp;FQQ28&amp;"*"&amp;TEXT(FQX28-utc_offset/24,"YYYYMMDD")&amp;"*"" /stext="" "&amp;TEXT(FQX28-utc_offset/24,"HH")&amp;search_regexp&amp;""""</f>
        <v>#REF!</v>
      </c>
      <c r="FRV28" s="234" t="e">
        <f>astrogrep_path&amp;" /e /r /s /spath="&amp;search_path&amp;" /stypes=""app*"&amp;FQR28&amp;"*"&amp;TEXT(FQY28-utc_offset/24,"YYYYMMDD")&amp;"*"" /stext="" "&amp;TEXT(FQY28-utc_offset/24,"HH")&amp;search_regexp&amp;""""</f>
        <v>#REF!</v>
      </c>
      <c r="FRW28" s="234" t="e">
        <f>astrogrep_path&amp;" /e /r /s /spath="&amp;search_path&amp;" /stypes=""app*"&amp;FQS28&amp;"*"&amp;TEXT(FQZ28-utc_offset/24,"YYYYMMDD")&amp;"*"" /stext="" "&amp;TEXT(FQZ28-utc_offset/24,"HH")&amp;search_regexp&amp;""""</f>
        <v>#REF!</v>
      </c>
      <c r="FRX28" s="234" t="e">
        <f>astrogrep_path&amp;" /e /r /s /spath="&amp;search_path&amp;" /stypes=""app*"&amp;FQT28&amp;"*"&amp;TEXT(FRA28-utc_offset/24,"YYYYMMDD")&amp;"*"" /stext="" "&amp;TEXT(FRA28-utc_offset/24,"HH")&amp;search_regexp&amp;""""</f>
        <v>#REF!</v>
      </c>
      <c r="FRY28" s="234" t="e">
        <f>astrogrep_path&amp;" /e /r /s /spath="&amp;search_path&amp;" /stypes=""app*"&amp;FQU28&amp;"*"&amp;TEXT(FRB28-utc_offset/24,"YYYYMMDD")&amp;"*"" /stext="" "&amp;TEXT(FRB28-utc_offset/24,"HH")&amp;search_regexp&amp;""""</f>
        <v>#REF!</v>
      </c>
      <c r="FRZ28" s="234" t="e">
        <f>astrogrep_path&amp;" /e /r /s /spath="&amp;search_path&amp;" /stypes=""app*"&amp;FQV28&amp;"*"&amp;TEXT(FRC28-utc_offset/24,"YYYYMMDD")&amp;"*"" /stext="" "&amp;TEXT(FRC28-utc_offset/24,"HH")&amp;search_regexp&amp;""""</f>
        <v>#REF!</v>
      </c>
      <c r="FSA28" s="234" t="e">
        <f>astrogrep_path&amp;" /e /r /s /spath="&amp;search_path&amp;" /stypes=""app*"&amp;FQW28&amp;"*"&amp;TEXT(FRD28-utc_offset/24,"YYYYMMDD")&amp;"*"" /stext="" "&amp;TEXT(FRD28-utc_offset/24,"HH")&amp;search_regexp&amp;""""</f>
        <v>#REF!</v>
      </c>
      <c r="FSB28" s="234" t="e">
        <f>astrogrep_path&amp;" /e /r /s /spath="&amp;search_path&amp;" /stypes=""app*"&amp;FQX28&amp;"*"&amp;TEXT(FRE28-utc_offset/24,"YYYYMMDD")&amp;"*"" /stext="" "&amp;TEXT(FRE28-utc_offset/24,"HH")&amp;search_regexp&amp;""""</f>
        <v>#REF!</v>
      </c>
      <c r="FSC28" s="234" t="e">
        <f>astrogrep_path&amp;" /e /r /s /spath="&amp;search_path&amp;" /stypes=""app*"&amp;FQY28&amp;"*"&amp;TEXT(FRF28-utc_offset/24,"YYYYMMDD")&amp;"*"" /stext="" "&amp;TEXT(FRF28-utc_offset/24,"HH")&amp;search_regexp&amp;""""</f>
        <v>#REF!</v>
      </c>
      <c r="FSD28" s="234" t="e">
        <f>astrogrep_path&amp;" /e /r /s /spath="&amp;search_path&amp;" /stypes=""app*"&amp;FQZ28&amp;"*"&amp;TEXT(FRG28-utc_offset/24,"YYYYMMDD")&amp;"*"" /stext="" "&amp;TEXT(FRG28-utc_offset/24,"HH")&amp;search_regexp&amp;""""</f>
        <v>#REF!</v>
      </c>
      <c r="FSE28" s="234" t="e">
        <f>astrogrep_path&amp;" /e /r /s /spath="&amp;search_path&amp;" /stypes=""app*"&amp;FRA28&amp;"*"&amp;TEXT(FRH28-utc_offset/24,"YYYYMMDD")&amp;"*"" /stext="" "&amp;TEXT(FRH28-utc_offset/24,"HH")&amp;search_regexp&amp;""""</f>
        <v>#REF!</v>
      </c>
      <c r="FSF28" s="234" t="e">
        <f>astrogrep_path&amp;" /e /r /s /spath="&amp;search_path&amp;" /stypes=""app*"&amp;FRB28&amp;"*"&amp;TEXT(FRI28-utc_offset/24,"YYYYMMDD")&amp;"*"" /stext="" "&amp;TEXT(FRI28-utc_offset/24,"HH")&amp;search_regexp&amp;""""</f>
        <v>#REF!</v>
      </c>
      <c r="FSG28" s="234" t="e">
        <f>astrogrep_path&amp;" /e /r /s /spath="&amp;search_path&amp;" /stypes=""app*"&amp;FRC28&amp;"*"&amp;TEXT(FRJ28-utc_offset/24,"YYYYMMDD")&amp;"*"" /stext="" "&amp;TEXT(FRJ28-utc_offset/24,"HH")&amp;search_regexp&amp;""""</f>
        <v>#REF!</v>
      </c>
      <c r="FSH28" s="234" t="e">
        <f>astrogrep_path&amp;" /e /r /s /spath="&amp;search_path&amp;" /stypes=""app*"&amp;FRD28&amp;"*"&amp;TEXT(FRK28-utc_offset/24,"YYYYMMDD")&amp;"*"" /stext="" "&amp;TEXT(FRK28-utc_offset/24,"HH")&amp;search_regexp&amp;""""</f>
        <v>#REF!</v>
      </c>
      <c r="FSI28" s="234" t="e">
        <f>astrogrep_path&amp;" /e /r /s /spath="&amp;search_path&amp;" /stypes=""app*"&amp;FRE28&amp;"*"&amp;TEXT(FRL28-utc_offset/24,"YYYYMMDD")&amp;"*"" /stext="" "&amp;TEXT(FRL28-utc_offset/24,"HH")&amp;search_regexp&amp;""""</f>
        <v>#REF!</v>
      </c>
      <c r="FSJ28" s="234" t="e">
        <f>astrogrep_path&amp;" /e /r /s /spath="&amp;search_path&amp;" /stypes=""app*"&amp;FRF28&amp;"*"&amp;TEXT(FRM28-utc_offset/24,"YYYYMMDD")&amp;"*"" /stext="" "&amp;TEXT(FRM28-utc_offset/24,"HH")&amp;search_regexp&amp;""""</f>
        <v>#REF!</v>
      </c>
      <c r="FSK28" s="234" t="e">
        <f>astrogrep_path&amp;" /e /r /s /spath="&amp;search_path&amp;" /stypes=""app*"&amp;FRG28&amp;"*"&amp;TEXT(FRN28-utc_offset/24,"YYYYMMDD")&amp;"*"" /stext="" "&amp;TEXT(FRN28-utc_offset/24,"HH")&amp;search_regexp&amp;""""</f>
        <v>#VALUE!</v>
      </c>
      <c r="FSL28" s="234" t="e">
        <f>astrogrep_path&amp;" /e /r /s /spath="&amp;search_path&amp;" /stypes=""app*"&amp;FRH28&amp;"*"&amp;TEXT(FRO28-utc_offset/24,"YYYYMMDD")&amp;"*"" /stext="" "&amp;TEXT(FRO28-utc_offset/24,"HH")&amp;search_regexp&amp;""""</f>
        <v>#VALUE!</v>
      </c>
      <c r="FSM28" s="234" t="e">
        <f>astrogrep_path&amp;" /e /r /s /spath="&amp;search_path&amp;" /stypes=""app*"&amp;FRI28&amp;"*"&amp;TEXT(FRP28-utc_offset/24,"YYYYMMDD")&amp;"*"" /stext="" "&amp;TEXT(FRP28-utc_offset/24,"HH")&amp;search_regexp&amp;""""</f>
        <v>#REF!</v>
      </c>
      <c r="FSN28" s="234" t="e">
        <f>astrogrep_path&amp;" /e /r /s /spath="&amp;search_path&amp;" /stypes=""app*"&amp;FRJ28&amp;"*"&amp;TEXT(FRQ28-utc_offset/24,"YYYYMMDD")&amp;"*"" /stext="" "&amp;TEXT(FRQ28-utc_offset/24,"HH")&amp;search_regexp&amp;""""</f>
        <v>#REF!</v>
      </c>
      <c r="FSO28" s="234" t="e">
        <f>astrogrep_path&amp;" /e /r /s /spath="&amp;search_path&amp;" /stypes=""app*"&amp;FRK28&amp;"*"&amp;TEXT(FRR28-utc_offset/24,"YYYYMMDD")&amp;"*"" /stext="" "&amp;TEXT(FRR28-utc_offset/24,"HH")&amp;search_regexp&amp;""""</f>
        <v>#VALUE!</v>
      </c>
      <c r="FSP28" s="234" t="e">
        <f>astrogrep_path&amp;" /e /r /s /spath="&amp;search_path&amp;" /stypes=""app*"&amp;FRL28&amp;"*"&amp;TEXT(FRS28-utc_offset/24,"YYYYMMDD")&amp;"*"" /stext="" "&amp;TEXT(FRS28-utc_offset/24,"HH")&amp;search_regexp&amp;""""</f>
        <v>#VALUE!</v>
      </c>
      <c r="FSQ28" s="234" t="e">
        <f>astrogrep_path&amp;" /e /r /s /spath="&amp;search_path&amp;" /stypes=""app*"&amp;FRM28&amp;"*"&amp;TEXT(FRT28-utc_offset/24,"YYYYMMDD")&amp;"*"" /stext="" "&amp;TEXT(FRT28-utc_offset/24,"HH")&amp;search_regexp&amp;""""</f>
        <v>#VALUE!</v>
      </c>
      <c r="FSR28" s="234" t="e">
        <f>astrogrep_path&amp;" /e /r /s /spath="&amp;search_path&amp;" /stypes=""app*"&amp;FRN28&amp;"*"&amp;TEXT(FRU28-utc_offset/24,"YYYYMMDD")&amp;"*"" /stext="" "&amp;TEXT(FRU28-utc_offset/24,"HH")&amp;search_regexp&amp;""""</f>
        <v>#VALUE!</v>
      </c>
      <c r="FSS28" s="234" t="e">
        <f>astrogrep_path&amp;" /e /r /s /spath="&amp;search_path&amp;" /stypes=""app*"&amp;FRO28&amp;"*"&amp;TEXT(FRV28-utc_offset/24,"YYYYMMDD")&amp;"*"" /stext="" "&amp;TEXT(FRV28-utc_offset/24,"HH")&amp;search_regexp&amp;""""</f>
        <v>#VALUE!</v>
      </c>
      <c r="FST28" s="234" t="e">
        <f>astrogrep_path&amp;" /e /r /s /spath="&amp;search_path&amp;" /stypes=""app*"&amp;FRP28&amp;"*"&amp;TEXT(FRW28-utc_offset/24,"YYYYMMDD")&amp;"*"" /stext="" "&amp;TEXT(FRW28-utc_offset/24,"HH")&amp;search_regexp&amp;""""</f>
        <v>#REF!</v>
      </c>
      <c r="FSU28" s="234" t="e">
        <f>astrogrep_path&amp;" /e /r /s /spath="&amp;search_path&amp;" /stypes=""app*"&amp;FRQ28&amp;"*"&amp;TEXT(FRX28-utc_offset/24,"YYYYMMDD")&amp;"*"" /stext="" "&amp;TEXT(FRX28-utc_offset/24,"HH")&amp;search_regexp&amp;""""</f>
        <v>#REF!</v>
      </c>
      <c r="FSV28" s="234" t="e">
        <f>astrogrep_path&amp;" /e /r /s /spath="&amp;search_path&amp;" /stypes=""app*"&amp;FRR28&amp;"*"&amp;TEXT(FRY28-utc_offset/24,"YYYYMMDD")&amp;"*"" /stext="" "&amp;TEXT(FRY28-utc_offset/24,"HH")&amp;search_regexp&amp;""""</f>
        <v>#REF!</v>
      </c>
      <c r="FSW28" s="234" t="e">
        <f>astrogrep_path&amp;" /e /r /s /spath="&amp;search_path&amp;" /stypes=""app*"&amp;FRS28&amp;"*"&amp;TEXT(FRZ28-utc_offset/24,"YYYYMMDD")&amp;"*"" /stext="" "&amp;TEXT(FRZ28-utc_offset/24,"HH")&amp;search_regexp&amp;""""</f>
        <v>#REF!</v>
      </c>
      <c r="FSX28" s="234" t="e">
        <f>astrogrep_path&amp;" /e /r /s /spath="&amp;search_path&amp;" /stypes=""app*"&amp;FRT28&amp;"*"&amp;TEXT(FSA28-utc_offset/24,"YYYYMMDD")&amp;"*"" /stext="" "&amp;TEXT(FSA28-utc_offset/24,"HH")&amp;search_regexp&amp;""""</f>
        <v>#REF!</v>
      </c>
      <c r="FSY28" s="234" t="e">
        <f>astrogrep_path&amp;" /e /r /s /spath="&amp;search_path&amp;" /stypes=""app*"&amp;FRU28&amp;"*"&amp;TEXT(FSB28-utc_offset/24,"YYYYMMDD")&amp;"*"" /stext="" "&amp;TEXT(FSB28-utc_offset/24,"HH")&amp;search_regexp&amp;""""</f>
        <v>#REF!</v>
      </c>
      <c r="FSZ28" s="234" t="e">
        <f>astrogrep_path&amp;" /e /r /s /spath="&amp;search_path&amp;" /stypes=""app*"&amp;FRV28&amp;"*"&amp;TEXT(FSC28-utc_offset/24,"YYYYMMDD")&amp;"*"" /stext="" "&amp;TEXT(FSC28-utc_offset/24,"HH")&amp;search_regexp&amp;""""</f>
        <v>#REF!</v>
      </c>
      <c r="FTA28" s="234" t="e">
        <f>astrogrep_path&amp;" /e /r /s /spath="&amp;search_path&amp;" /stypes=""app*"&amp;FRW28&amp;"*"&amp;TEXT(FSD28-utc_offset/24,"YYYYMMDD")&amp;"*"" /stext="" "&amp;TEXT(FSD28-utc_offset/24,"HH")&amp;search_regexp&amp;""""</f>
        <v>#REF!</v>
      </c>
      <c r="FTB28" s="234" t="e">
        <f>astrogrep_path&amp;" /e /r /s /spath="&amp;search_path&amp;" /stypes=""app*"&amp;FRX28&amp;"*"&amp;TEXT(FSE28-utc_offset/24,"YYYYMMDD")&amp;"*"" /stext="" "&amp;TEXT(FSE28-utc_offset/24,"HH")&amp;search_regexp&amp;""""</f>
        <v>#REF!</v>
      </c>
      <c r="FTC28" s="234" t="e">
        <f>astrogrep_path&amp;" /e /r /s /spath="&amp;search_path&amp;" /stypes=""app*"&amp;FRY28&amp;"*"&amp;TEXT(FSF28-utc_offset/24,"YYYYMMDD")&amp;"*"" /stext="" "&amp;TEXT(FSF28-utc_offset/24,"HH")&amp;search_regexp&amp;""""</f>
        <v>#REF!</v>
      </c>
      <c r="FTD28" s="234" t="e">
        <f>astrogrep_path&amp;" /e /r /s /spath="&amp;search_path&amp;" /stypes=""app*"&amp;FRZ28&amp;"*"&amp;TEXT(FSG28-utc_offset/24,"YYYYMMDD")&amp;"*"" /stext="" "&amp;TEXT(FSG28-utc_offset/24,"HH")&amp;search_regexp&amp;""""</f>
        <v>#REF!</v>
      </c>
      <c r="FTE28" s="234" t="e">
        <f>astrogrep_path&amp;" /e /r /s /spath="&amp;search_path&amp;" /stypes=""app*"&amp;FSA28&amp;"*"&amp;TEXT(FSH28-utc_offset/24,"YYYYMMDD")&amp;"*"" /stext="" "&amp;TEXT(FSH28-utc_offset/24,"HH")&amp;search_regexp&amp;""""</f>
        <v>#REF!</v>
      </c>
      <c r="FTF28" s="234" t="e">
        <f>astrogrep_path&amp;" /e /r /s /spath="&amp;search_path&amp;" /stypes=""app*"&amp;FSB28&amp;"*"&amp;TEXT(FSI28-utc_offset/24,"YYYYMMDD")&amp;"*"" /stext="" "&amp;TEXT(FSI28-utc_offset/24,"HH")&amp;search_regexp&amp;""""</f>
        <v>#REF!</v>
      </c>
      <c r="FTG28" s="234" t="e">
        <f>astrogrep_path&amp;" /e /r /s /spath="&amp;search_path&amp;" /stypes=""app*"&amp;FSC28&amp;"*"&amp;TEXT(FSJ28-utc_offset/24,"YYYYMMDD")&amp;"*"" /stext="" "&amp;TEXT(FSJ28-utc_offset/24,"HH")&amp;search_regexp&amp;""""</f>
        <v>#REF!</v>
      </c>
      <c r="FTH28" s="234" t="e">
        <f>astrogrep_path&amp;" /e /r /s /spath="&amp;search_path&amp;" /stypes=""app*"&amp;FSD28&amp;"*"&amp;TEXT(FSK28-utc_offset/24,"YYYYMMDD")&amp;"*"" /stext="" "&amp;TEXT(FSK28-utc_offset/24,"HH")&amp;search_regexp&amp;""""</f>
        <v>#REF!</v>
      </c>
      <c r="FTI28" s="234" t="e">
        <f>astrogrep_path&amp;" /e /r /s /spath="&amp;search_path&amp;" /stypes=""app*"&amp;FSE28&amp;"*"&amp;TEXT(FSL28-utc_offset/24,"YYYYMMDD")&amp;"*"" /stext="" "&amp;TEXT(FSL28-utc_offset/24,"HH")&amp;search_regexp&amp;""""</f>
        <v>#REF!</v>
      </c>
      <c r="FTJ28" s="234" t="e">
        <f>astrogrep_path&amp;" /e /r /s /spath="&amp;search_path&amp;" /stypes=""app*"&amp;FSF28&amp;"*"&amp;TEXT(FSM28-utc_offset/24,"YYYYMMDD")&amp;"*"" /stext="" "&amp;TEXT(FSM28-utc_offset/24,"HH")&amp;search_regexp&amp;""""</f>
        <v>#REF!</v>
      </c>
      <c r="FTK28" s="234" t="e">
        <f>astrogrep_path&amp;" /e /r /s /spath="&amp;search_path&amp;" /stypes=""app*"&amp;FSG28&amp;"*"&amp;TEXT(FSN28-utc_offset/24,"YYYYMMDD")&amp;"*"" /stext="" "&amp;TEXT(FSN28-utc_offset/24,"HH")&amp;search_regexp&amp;""""</f>
        <v>#REF!</v>
      </c>
      <c r="FTL28" s="234" t="e">
        <f>astrogrep_path&amp;" /e /r /s /spath="&amp;search_path&amp;" /stypes=""app*"&amp;FSH28&amp;"*"&amp;TEXT(FSO28-utc_offset/24,"YYYYMMDD")&amp;"*"" /stext="" "&amp;TEXT(FSO28-utc_offset/24,"HH")&amp;search_regexp&amp;""""</f>
        <v>#REF!</v>
      </c>
      <c r="FTM28" s="234" t="e">
        <f>astrogrep_path&amp;" /e /r /s /spath="&amp;search_path&amp;" /stypes=""app*"&amp;FSI28&amp;"*"&amp;TEXT(FSP28-utc_offset/24,"YYYYMMDD")&amp;"*"" /stext="" "&amp;TEXT(FSP28-utc_offset/24,"HH")&amp;search_regexp&amp;""""</f>
        <v>#REF!</v>
      </c>
      <c r="FTN28" s="234" t="e">
        <f>astrogrep_path&amp;" /e /r /s /spath="&amp;search_path&amp;" /stypes=""app*"&amp;FSJ28&amp;"*"&amp;TEXT(FSQ28-utc_offset/24,"YYYYMMDD")&amp;"*"" /stext="" "&amp;TEXT(FSQ28-utc_offset/24,"HH")&amp;search_regexp&amp;""""</f>
        <v>#REF!</v>
      </c>
      <c r="FTO28" s="234" t="e">
        <f>astrogrep_path&amp;" /e /r /s /spath="&amp;search_path&amp;" /stypes=""app*"&amp;FSK28&amp;"*"&amp;TEXT(FSR28-utc_offset/24,"YYYYMMDD")&amp;"*"" /stext="" "&amp;TEXT(FSR28-utc_offset/24,"HH")&amp;search_regexp&amp;""""</f>
        <v>#VALUE!</v>
      </c>
      <c r="FTP28" s="234" t="e">
        <f>astrogrep_path&amp;" /e /r /s /spath="&amp;search_path&amp;" /stypes=""app*"&amp;FSL28&amp;"*"&amp;TEXT(FSS28-utc_offset/24,"YYYYMMDD")&amp;"*"" /stext="" "&amp;TEXT(FSS28-utc_offset/24,"HH")&amp;search_regexp&amp;""""</f>
        <v>#VALUE!</v>
      </c>
      <c r="FTQ28" s="234" t="e">
        <f>astrogrep_path&amp;" /e /r /s /spath="&amp;search_path&amp;" /stypes=""app*"&amp;FSM28&amp;"*"&amp;TEXT(FST28-utc_offset/24,"YYYYMMDD")&amp;"*"" /stext="" "&amp;TEXT(FST28-utc_offset/24,"HH")&amp;search_regexp&amp;""""</f>
        <v>#REF!</v>
      </c>
      <c r="FTR28" s="234" t="e">
        <f>astrogrep_path&amp;" /e /r /s /spath="&amp;search_path&amp;" /stypes=""app*"&amp;FSN28&amp;"*"&amp;TEXT(FSU28-utc_offset/24,"YYYYMMDD")&amp;"*"" /stext="" "&amp;TEXT(FSU28-utc_offset/24,"HH")&amp;search_regexp&amp;""""</f>
        <v>#REF!</v>
      </c>
      <c r="FTS28" s="234" t="e">
        <f>astrogrep_path&amp;" /e /r /s /spath="&amp;search_path&amp;" /stypes=""app*"&amp;FSO28&amp;"*"&amp;TEXT(FSV28-utc_offset/24,"YYYYMMDD")&amp;"*"" /stext="" "&amp;TEXT(FSV28-utc_offset/24,"HH")&amp;search_regexp&amp;""""</f>
        <v>#VALUE!</v>
      </c>
      <c r="FTT28" s="234" t="e">
        <f>astrogrep_path&amp;" /e /r /s /spath="&amp;search_path&amp;" /stypes=""app*"&amp;FSP28&amp;"*"&amp;TEXT(FSW28-utc_offset/24,"YYYYMMDD")&amp;"*"" /stext="" "&amp;TEXT(FSW28-utc_offset/24,"HH")&amp;search_regexp&amp;""""</f>
        <v>#VALUE!</v>
      </c>
      <c r="FTU28" s="234" t="e">
        <f>astrogrep_path&amp;" /e /r /s /spath="&amp;search_path&amp;" /stypes=""app*"&amp;FSQ28&amp;"*"&amp;TEXT(FSX28-utc_offset/24,"YYYYMMDD")&amp;"*"" /stext="" "&amp;TEXT(FSX28-utc_offset/24,"HH")&amp;search_regexp&amp;""""</f>
        <v>#VALUE!</v>
      </c>
      <c r="FTV28" s="234" t="e">
        <f>astrogrep_path&amp;" /e /r /s /spath="&amp;search_path&amp;" /stypes=""app*"&amp;FSR28&amp;"*"&amp;TEXT(FSY28-utc_offset/24,"YYYYMMDD")&amp;"*"" /stext="" "&amp;TEXT(FSY28-utc_offset/24,"HH")&amp;search_regexp&amp;""""</f>
        <v>#VALUE!</v>
      </c>
      <c r="FTW28" s="234" t="e">
        <f>astrogrep_path&amp;" /e /r /s /spath="&amp;search_path&amp;" /stypes=""app*"&amp;FSS28&amp;"*"&amp;TEXT(FSZ28-utc_offset/24,"YYYYMMDD")&amp;"*"" /stext="" "&amp;TEXT(FSZ28-utc_offset/24,"HH")&amp;search_regexp&amp;""""</f>
        <v>#VALUE!</v>
      </c>
      <c r="FTX28" s="234" t="e">
        <f>astrogrep_path&amp;" /e /r /s /spath="&amp;search_path&amp;" /stypes=""app*"&amp;FST28&amp;"*"&amp;TEXT(FTA28-utc_offset/24,"YYYYMMDD")&amp;"*"" /stext="" "&amp;TEXT(FTA28-utc_offset/24,"HH")&amp;search_regexp&amp;""""</f>
        <v>#REF!</v>
      </c>
      <c r="FTY28" s="234" t="e">
        <f>astrogrep_path&amp;" /e /r /s /spath="&amp;search_path&amp;" /stypes=""app*"&amp;FSU28&amp;"*"&amp;TEXT(FTB28-utc_offset/24,"YYYYMMDD")&amp;"*"" /stext="" "&amp;TEXT(FTB28-utc_offset/24,"HH")&amp;search_regexp&amp;""""</f>
        <v>#REF!</v>
      </c>
      <c r="FTZ28" s="234" t="e">
        <f>astrogrep_path&amp;" /e /r /s /spath="&amp;search_path&amp;" /stypes=""app*"&amp;FSV28&amp;"*"&amp;TEXT(FTC28-utc_offset/24,"YYYYMMDD")&amp;"*"" /stext="" "&amp;TEXT(FTC28-utc_offset/24,"HH")&amp;search_regexp&amp;""""</f>
        <v>#REF!</v>
      </c>
      <c r="FUA28" s="234" t="e">
        <f>astrogrep_path&amp;" /e /r /s /spath="&amp;search_path&amp;" /stypes=""app*"&amp;FSW28&amp;"*"&amp;TEXT(FTD28-utc_offset/24,"YYYYMMDD")&amp;"*"" /stext="" "&amp;TEXT(FTD28-utc_offset/24,"HH")&amp;search_regexp&amp;""""</f>
        <v>#REF!</v>
      </c>
      <c r="FUB28" s="234" t="e">
        <f>astrogrep_path&amp;" /e /r /s /spath="&amp;search_path&amp;" /stypes=""app*"&amp;FSX28&amp;"*"&amp;TEXT(FTE28-utc_offset/24,"YYYYMMDD")&amp;"*"" /stext="" "&amp;TEXT(FTE28-utc_offset/24,"HH")&amp;search_regexp&amp;""""</f>
        <v>#REF!</v>
      </c>
      <c r="FUC28" s="234" t="e">
        <f>astrogrep_path&amp;" /e /r /s /spath="&amp;search_path&amp;" /stypes=""app*"&amp;FSY28&amp;"*"&amp;TEXT(FTF28-utc_offset/24,"YYYYMMDD")&amp;"*"" /stext="" "&amp;TEXT(FTF28-utc_offset/24,"HH")&amp;search_regexp&amp;""""</f>
        <v>#REF!</v>
      </c>
      <c r="FUD28" s="234" t="e">
        <f>astrogrep_path&amp;" /e /r /s /spath="&amp;search_path&amp;" /stypes=""app*"&amp;FSZ28&amp;"*"&amp;TEXT(FTG28-utc_offset/24,"YYYYMMDD")&amp;"*"" /stext="" "&amp;TEXT(FTG28-utc_offset/24,"HH")&amp;search_regexp&amp;""""</f>
        <v>#REF!</v>
      </c>
      <c r="FUE28" s="234" t="e">
        <f>astrogrep_path&amp;" /e /r /s /spath="&amp;search_path&amp;" /stypes=""app*"&amp;FTA28&amp;"*"&amp;TEXT(FTH28-utc_offset/24,"YYYYMMDD")&amp;"*"" /stext="" "&amp;TEXT(FTH28-utc_offset/24,"HH")&amp;search_regexp&amp;""""</f>
        <v>#REF!</v>
      </c>
      <c r="FUF28" s="234" t="e">
        <f>astrogrep_path&amp;" /e /r /s /spath="&amp;search_path&amp;" /stypes=""app*"&amp;FTB28&amp;"*"&amp;TEXT(FTI28-utc_offset/24,"YYYYMMDD")&amp;"*"" /stext="" "&amp;TEXT(FTI28-utc_offset/24,"HH")&amp;search_regexp&amp;""""</f>
        <v>#REF!</v>
      </c>
      <c r="FUG28" s="234" t="e">
        <f>astrogrep_path&amp;" /e /r /s /spath="&amp;search_path&amp;" /stypes=""app*"&amp;FTC28&amp;"*"&amp;TEXT(FTJ28-utc_offset/24,"YYYYMMDD")&amp;"*"" /stext="" "&amp;TEXT(FTJ28-utc_offset/24,"HH")&amp;search_regexp&amp;""""</f>
        <v>#REF!</v>
      </c>
      <c r="FUH28" s="234" t="e">
        <f>astrogrep_path&amp;" /e /r /s /spath="&amp;search_path&amp;" /stypes=""app*"&amp;FTD28&amp;"*"&amp;TEXT(FTK28-utc_offset/24,"YYYYMMDD")&amp;"*"" /stext="" "&amp;TEXT(FTK28-utc_offset/24,"HH")&amp;search_regexp&amp;""""</f>
        <v>#REF!</v>
      </c>
      <c r="FUI28" s="234" t="e">
        <f>astrogrep_path&amp;" /e /r /s /spath="&amp;search_path&amp;" /stypes=""app*"&amp;FTE28&amp;"*"&amp;TEXT(FTL28-utc_offset/24,"YYYYMMDD")&amp;"*"" /stext="" "&amp;TEXT(FTL28-utc_offset/24,"HH")&amp;search_regexp&amp;""""</f>
        <v>#REF!</v>
      </c>
      <c r="FUJ28" s="234" t="e">
        <f>astrogrep_path&amp;" /e /r /s /spath="&amp;search_path&amp;" /stypes=""app*"&amp;FTF28&amp;"*"&amp;TEXT(FTM28-utc_offset/24,"YYYYMMDD")&amp;"*"" /stext="" "&amp;TEXT(FTM28-utc_offset/24,"HH")&amp;search_regexp&amp;""""</f>
        <v>#REF!</v>
      </c>
      <c r="FUK28" s="234" t="e">
        <f>astrogrep_path&amp;" /e /r /s /spath="&amp;search_path&amp;" /stypes=""app*"&amp;FTG28&amp;"*"&amp;TEXT(FTN28-utc_offset/24,"YYYYMMDD")&amp;"*"" /stext="" "&amp;TEXT(FTN28-utc_offset/24,"HH")&amp;search_regexp&amp;""""</f>
        <v>#REF!</v>
      </c>
      <c r="FUL28" s="234" t="e">
        <f>astrogrep_path&amp;" /e /r /s /spath="&amp;search_path&amp;" /stypes=""app*"&amp;FTH28&amp;"*"&amp;TEXT(FTO28-utc_offset/24,"YYYYMMDD")&amp;"*"" /stext="" "&amp;TEXT(FTO28-utc_offset/24,"HH")&amp;search_regexp&amp;""""</f>
        <v>#REF!</v>
      </c>
      <c r="FUM28" s="234" t="e">
        <f>astrogrep_path&amp;" /e /r /s /spath="&amp;search_path&amp;" /stypes=""app*"&amp;FTI28&amp;"*"&amp;TEXT(FTP28-utc_offset/24,"YYYYMMDD")&amp;"*"" /stext="" "&amp;TEXT(FTP28-utc_offset/24,"HH")&amp;search_regexp&amp;""""</f>
        <v>#REF!</v>
      </c>
      <c r="FUN28" s="234" t="e">
        <f>astrogrep_path&amp;" /e /r /s /spath="&amp;search_path&amp;" /stypes=""app*"&amp;FTJ28&amp;"*"&amp;TEXT(FTQ28-utc_offset/24,"YYYYMMDD")&amp;"*"" /stext="" "&amp;TEXT(FTQ28-utc_offset/24,"HH")&amp;search_regexp&amp;""""</f>
        <v>#REF!</v>
      </c>
      <c r="FUO28" s="234" t="e">
        <f>astrogrep_path&amp;" /e /r /s /spath="&amp;search_path&amp;" /stypes=""app*"&amp;FTK28&amp;"*"&amp;TEXT(FTR28-utc_offset/24,"YYYYMMDD")&amp;"*"" /stext="" "&amp;TEXT(FTR28-utc_offset/24,"HH")&amp;search_regexp&amp;""""</f>
        <v>#REF!</v>
      </c>
      <c r="FUP28" s="234" t="e">
        <f>astrogrep_path&amp;" /e /r /s /spath="&amp;search_path&amp;" /stypes=""app*"&amp;FTL28&amp;"*"&amp;TEXT(FTS28-utc_offset/24,"YYYYMMDD")&amp;"*"" /stext="" "&amp;TEXT(FTS28-utc_offset/24,"HH")&amp;search_regexp&amp;""""</f>
        <v>#REF!</v>
      </c>
      <c r="FUQ28" s="234" t="e">
        <f>astrogrep_path&amp;" /e /r /s /spath="&amp;search_path&amp;" /stypes=""app*"&amp;FTM28&amp;"*"&amp;TEXT(FTT28-utc_offset/24,"YYYYMMDD")&amp;"*"" /stext="" "&amp;TEXT(FTT28-utc_offset/24,"HH")&amp;search_regexp&amp;""""</f>
        <v>#REF!</v>
      </c>
      <c r="FUR28" s="234" t="e">
        <f>astrogrep_path&amp;" /e /r /s /spath="&amp;search_path&amp;" /stypes=""app*"&amp;FTN28&amp;"*"&amp;TEXT(FTU28-utc_offset/24,"YYYYMMDD")&amp;"*"" /stext="" "&amp;TEXT(FTU28-utc_offset/24,"HH")&amp;search_regexp&amp;""""</f>
        <v>#REF!</v>
      </c>
      <c r="FUS28" s="234" t="e">
        <f>astrogrep_path&amp;" /e /r /s /spath="&amp;search_path&amp;" /stypes=""app*"&amp;FTO28&amp;"*"&amp;TEXT(FTV28-utc_offset/24,"YYYYMMDD")&amp;"*"" /stext="" "&amp;TEXT(FTV28-utc_offset/24,"HH")&amp;search_regexp&amp;""""</f>
        <v>#VALUE!</v>
      </c>
      <c r="FUT28" s="234" t="e">
        <f>astrogrep_path&amp;" /e /r /s /spath="&amp;search_path&amp;" /stypes=""app*"&amp;FTP28&amp;"*"&amp;TEXT(FTW28-utc_offset/24,"YYYYMMDD")&amp;"*"" /stext="" "&amp;TEXT(FTW28-utc_offset/24,"HH")&amp;search_regexp&amp;""""</f>
        <v>#VALUE!</v>
      </c>
      <c r="FUU28" s="234" t="e">
        <f>astrogrep_path&amp;" /e /r /s /spath="&amp;search_path&amp;" /stypes=""app*"&amp;FTQ28&amp;"*"&amp;TEXT(FTX28-utc_offset/24,"YYYYMMDD")&amp;"*"" /stext="" "&amp;TEXT(FTX28-utc_offset/24,"HH")&amp;search_regexp&amp;""""</f>
        <v>#REF!</v>
      </c>
      <c r="FUV28" s="234" t="e">
        <f>astrogrep_path&amp;" /e /r /s /spath="&amp;search_path&amp;" /stypes=""app*"&amp;FTR28&amp;"*"&amp;TEXT(FTY28-utc_offset/24,"YYYYMMDD")&amp;"*"" /stext="" "&amp;TEXT(FTY28-utc_offset/24,"HH")&amp;search_regexp&amp;""""</f>
        <v>#REF!</v>
      </c>
      <c r="FUW28" s="234" t="e">
        <f>astrogrep_path&amp;" /e /r /s /spath="&amp;search_path&amp;" /stypes=""app*"&amp;FTS28&amp;"*"&amp;TEXT(FTZ28-utc_offset/24,"YYYYMMDD")&amp;"*"" /stext="" "&amp;TEXT(FTZ28-utc_offset/24,"HH")&amp;search_regexp&amp;""""</f>
        <v>#VALUE!</v>
      </c>
      <c r="FUX28" s="234" t="e">
        <f>astrogrep_path&amp;" /e /r /s /spath="&amp;search_path&amp;" /stypes=""app*"&amp;FTT28&amp;"*"&amp;TEXT(FUA28-utc_offset/24,"YYYYMMDD")&amp;"*"" /stext="" "&amp;TEXT(FUA28-utc_offset/24,"HH")&amp;search_regexp&amp;""""</f>
        <v>#VALUE!</v>
      </c>
      <c r="FUY28" s="234" t="e">
        <f>astrogrep_path&amp;" /e /r /s /spath="&amp;search_path&amp;" /stypes=""app*"&amp;FTU28&amp;"*"&amp;TEXT(FUB28-utc_offset/24,"YYYYMMDD")&amp;"*"" /stext="" "&amp;TEXT(FUB28-utc_offset/24,"HH")&amp;search_regexp&amp;""""</f>
        <v>#VALUE!</v>
      </c>
      <c r="FUZ28" s="234" t="e">
        <f>astrogrep_path&amp;" /e /r /s /spath="&amp;search_path&amp;" /stypes=""app*"&amp;FTV28&amp;"*"&amp;TEXT(FUC28-utc_offset/24,"YYYYMMDD")&amp;"*"" /stext="" "&amp;TEXT(FUC28-utc_offset/24,"HH")&amp;search_regexp&amp;""""</f>
        <v>#VALUE!</v>
      </c>
      <c r="FVA28" s="234" t="e">
        <f>astrogrep_path&amp;" /e /r /s /spath="&amp;search_path&amp;" /stypes=""app*"&amp;FTW28&amp;"*"&amp;TEXT(FUD28-utc_offset/24,"YYYYMMDD")&amp;"*"" /stext="" "&amp;TEXT(FUD28-utc_offset/24,"HH")&amp;search_regexp&amp;""""</f>
        <v>#VALUE!</v>
      </c>
      <c r="FVB28" s="234" t="e">
        <f>astrogrep_path&amp;" /e /r /s /spath="&amp;search_path&amp;" /stypes=""app*"&amp;FTX28&amp;"*"&amp;TEXT(FUE28-utc_offset/24,"YYYYMMDD")&amp;"*"" /stext="" "&amp;TEXT(FUE28-utc_offset/24,"HH")&amp;search_regexp&amp;""""</f>
        <v>#REF!</v>
      </c>
      <c r="FVC28" s="234" t="e">
        <f>astrogrep_path&amp;" /e /r /s /spath="&amp;search_path&amp;" /stypes=""app*"&amp;FTY28&amp;"*"&amp;TEXT(FUF28-utc_offset/24,"YYYYMMDD")&amp;"*"" /stext="" "&amp;TEXT(FUF28-utc_offset/24,"HH")&amp;search_regexp&amp;""""</f>
        <v>#REF!</v>
      </c>
      <c r="FVD28" s="234" t="e">
        <f>astrogrep_path&amp;" /e /r /s /spath="&amp;search_path&amp;" /stypes=""app*"&amp;FTZ28&amp;"*"&amp;TEXT(FUG28-utc_offset/24,"YYYYMMDD")&amp;"*"" /stext="" "&amp;TEXT(FUG28-utc_offset/24,"HH")&amp;search_regexp&amp;""""</f>
        <v>#REF!</v>
      </c>
      <c r="FVE28" s="234" t="e">
        <f>astrogrep_path&amp;" /e /r /s /spath="&amp;search_path&amp;" /stypes=""app*"&amp;FUA28&amp;"*"&amp;TEXT(FUH28-utc_offset/24,"YYYYMMDD")&amp;"*"" /stext="" "&amp;TEXT(FUH28-utc_offset/24,"HH")&amp;search_regexp&amp;""""</f>
        <v>#REF!</v>
      </c>
      <c r="FVF28" s="234" t="e">
        <f>astrogrep_path&amp;" /e /r /s /spath="&amp;search_path&amp;" /stypes=""app*"&amp;FUB28&amp;"*"&amp;TEXT(FUI28-utc_offset/24,"YYYYMMDD")&amp;"*"" /stext="" "&amp;TEXT(FUI28-utc_offset/24,"HH")&amp;search_regexp&amp;""""</f>
        <v>#REF!</v>
      </c>
      <c r="FVG28" s="234" t="e">
        <f>astrogrep_path&amp;" /e /r /s /spath="&amp;search_path&amp;" /stypes=""app*"&amp;FUC28&amp;"*"&amp;TEXT(FUJ28-utc_offset/24,"YYYYMMDD")&amp;"*"" /stext="" "&amp;TEXT(FUJ28-utc_offset/24,"HH")&amp;search_regexp&amp;""""</f>
        <v>#REF!</v>
      </c>
      <c r="FVH28" s="234" t="e">
        <f>astrogrep_path&amp;" /e /r /s /spath="&amp;search_path&amp;" /stypes=""app*"&amp;FUD28&amp;"*"&amp;TEXT(FUK28-utc_offset/24,"YYYYMMDD")&amp;"*"" /stext="" "&amp;TEXT(FUK28-utc_offset/24,"HH")&amp;search_regexp&amp;""""</f>
        <v>#REF!</v>
      </c>
      <c r="FVI28" s="234" t="e">
        <f>astrogrep_path&amp;" /e /r /s /spath="&amp;search_path&amp;" /stypes=""app*"&amp;FUE28&amp;"*"&amp;TEXT(FUL28-utc_offset/24,"YYYYMMDD")&amp;"*"" /stext="" "&amp;TEXT(FUL28-utc_offset/24,"HH")&amp;search_regexp&amp;""""</f>
        <v>#REF!</v>
      </c>
      <c r="FVJ28" s="234" t="e">
        <f>astrogrep_path&amp;" /e /r /s /spath="&amp;search_path&amp;" /stypes=""app*"&amp;FUF28&amp;"*"&amp;TEXT(FUM28-utc_offset/24,"YYYYMMDD")&amp;"*"" /stext="" "&amp;TEXT(FUM28-utc_offset/24,"HH")&amp;search_regexp&amp;""""</f>
        <v>#REF!</v>
      </c>
      <c r="FVK28" s="234" t="e">
        <f>astrogrep_path&amp;" /e /r /s /spath="&amp;search_path&amp;" /stypes=""app*"&amp;FUG28&amp;"*"&amp;TEXT(FUN28-utc_offset/24,"YYYYMMDD")&amp;"*"" /stext="" "&amp;TEXT(FUN28-utc_offset/24,"HH")&amp;search_regexp&amp;""""</f>
        <v>#REF!</v>
      </c>
      <c r="FVL28" s="234" t="e">
        <f>astrogrep_path&amp;" /e /r /s /spath="&amp;search_path&amp;" /stypes=""app*"&amp;FUH28&amp;"*"&amp;TEXT(FUO28-utc_offset/24,"YYYYMMDD")&amp;"*"" /stext="" "&amp;TEXT(FUO28-utc_offset/24,"HH")&amp;search_regexp&amp;""""</f>
        <v>#REF!</v>
      </c>
      <c r="FVM28" s="234" t="e">
        <f>astrogrep_path&amp;" /e /r /s /spath="&amp;search_path&amp;" /stypes=""app*"&amp;FUI28&amp;"*"&amp;TEXT(FUP28-utc_offset/24,"YYYYMMDD")&amp;"*"" /stext="" "&amp;TEXT(FUP28-utc_offset/24,"HH")&amp;search_regexp&amp;""""</f>
        <v>#REF!</v>
      </c>
      <c r="FVN28" s="234" t="e">
        <f>astrogrep_path&amp;" /e /r /s /spath="&amp;search_path&amp;" /stypes=""app*"&amp;FUJ28&amp;"*"&amp;TEXT(FUQ28-utc_offset/24,"YYYYMMDD")&amp;"*"" /stext="" "&amp;TEXT(FUQ28-utc_offset/24,"HH")&amp;search_regexp&amp;""""</f>
        <v>#REF!</v>
      </c>
      <c r="FVO28" s="234" t="e">
        <f>astrogrep_path&amp;" /e /r /s /spath="&amp;search_path&amp;" /stypes=""app*"&amp;FUK28&amp;"*"&amp;TEXT(FUR28-utc_offset/24,"YYYYMMDD")&amp;"*"" /stext="" "&amp;TEXT(FUR28-utc_offset/24,"HH")&amp;search_regexp&amp;""""</f>
        <v>#REF!</v>
      </c>
      <c r="FVP28" s="234" t="e">
        <f>astrogrep_path&amp;" /e /r /s /spath="&amp;search_path&amp;" /stypes=""app*"&amp;FUL28&amp;"*"&amp;TEXT(FUS28-utc_offset/24,"YYYYMMDD")&amp;"*"" /stext="" "&amp;TEXT(FUS28-utc_offset/24,"HH")&amp;search_regexp&amp;""""</f>
        <v>#REF!</v>
      </c>
      <c r="FVQ28" s="234" t="e">
        <f>astrogrep_path&amp;" /e /r /s /spath="&amp;search_path&amp;" /stypes=""app*"&amp;FUM28&amp;"*"&amp;TEXT(FUT28-utc_offset/24,"YYYYMMDD")&amp;"*"" /stext="" "&amp;TEXT(FUT28-utc_offset/24,"HH")&amp;search_regexp&amp;""""</f>
        <v>#REF!</v>
      </c>
      <c r="FVR28" s="234" t="e">
        <f>astrogrep_path&amp;" /e /r /s /spath="&amp;search_path&amp;" /stypes=""app*"&amp;FUN28&amp;"*"&amp;TEXT(FUU28-utc_offset/24,"YYYYMMDD")&amp;"*"" /stext="" "&amp;TEXT(FUU28-utc_offset/24,"HH")&amp;search_regexp&amp;""""</f>
        <v>#REF!</v>
      </c>
      <c r="FVS28" s="234" t="e">
        <f>astrogrep_path&amp;" /e /r /s /spath="&amp;search_path&amp;" /stypes=""app*"&amp;FUO28&amp;"*"&amp;TEXT(FUV28-utc_offset/24,"YYYYMMDD")&amp;"*"" /stext="" "&amp;TEXT(FUV28-utc_offset/24,"HH")&amp;search_regexp&amp;""""</f>
        <v>#REF!</v>
      </c>
      <c r="FVT28" s="234" t="e">
        <f>astrogrep_path&amp;" /e /r /s /spath="&amp;search_path&amp;" /stypes=""app*"&amp;FUP28&amp;"*"&amp;TEXT(FUW28-utc_offset/24,"YYYYMMDD")&amp;"*"" /stext="" "&amp;TEXT(FUW28-utc_offset/24,"HH")&amp;search_regexp&amp;""""</f>
        <v>#REF!</v>
      </c>
      <c r="FVU28" s="234" t="e">
        <f>astrogrep_path&amp;" /e /r /s /spath="&amp;search_path&amp;" /stypes=""app*"&amp;FUQ28&amp;"*"&amp;TEXT(FUX28-utc_offset/24,"YYYYMMDD")&amp;"*"" /stext="" "&amp;TEXT(FUX28-utc_offset/24,"HH")&amp;search_regexp&amp;""""</f>
        <v>#REF!</v>
      </c>
      <c r="FVV28" s="234" t="e">
        <f>astrogrep_path&amp;" /e /r /s /spath="&amp;search_path&amp;" /stypes=""app*"&amp;FUR28&amp;"*"&amp;TEXT(FUY28-utc_offset/24,"YYYYMMDD")&amp;"*"" /stext="" "&amp;TEXT(FUY28-utc_offset/24,"HH")&amp;search_regexp&amp;""""</f>
        <v>#REF!</v>
      </c>
      <c r="FVW28" s="234" t="e">
        <f>astrogrep_path&amp;" /e /r /s /spath="&amp;search_path&amp;" /stypes=""app*"&amp;FUS28&amp;"*"&amp;TEXT(FUZ28-utc_offset/24,"YYYYMMDD")&amp;"*"" /stext="" "&amp;TEXT(FUZ28-utc_offset/24,"HH")&amp;search_regexp&amp;""""</f>
        <v>#VALUE!</v>
      </c>
      <c r="FVX28" s="234" t="e">
        <f>astrogrep_path&amp;" /e /r /s /spath="&amp;search_path&amp;" /stypes=""app*"&amp;FUT28&amp;"*"&amp;TEXT(FVA28-utc_offset/24,"YYYYMMDD")&amp;"*"" /stext="" "&amp;TEXT(FVA28-utc_offset/24,"HH")&amp;search_regexp&amp;""""</f>
        <v>#VALUE!</v>
      </c>
      <c r="FVY28" s="234" t="e">
        <f>astrogrep_path&amp;" /e /r /s /spath="&amp;search_path&amp;" /stypes=""app*"&amp;FUU28&amp;"*"&amp;TEXT(FVB28-utc_offset/24,"YYYYMMDD")&amp;"*"" /stext="" "&amp;TEXT(FVB28-utc_offset/24,"HH")&amp;search_regexp&amp;""""</f>
        <v>#REF!</v>
      </c>
      <c r="FVZ28" s="234" t="e">
        <f>astrogrep_path&amp;" /e /r /s /spath="&amp;search_path&amp;" /stypes=""app*"&amp;FUV28&amp;"*"&amp;TEXT(FVC28-utc_offset/24,"YYYYMMDD")&amp;"*"" /stext="" "&amp;TEXT(FVC28-utc_offset/24,"HH")&amp;search_regexp&amp;""""</f>
        <v>#REF!</v>
      </c>
      <c r="FWA28" s="234" t="e">
        <f>astrogrep_path&amp;" /e /r /s /spath="&amp;search_path&amp;" /stypes=""app*"&amp;FUW28&amp;"*"&amp;TEXT(FVD28-utc_offset/24,"YYYYMMDD")&amp;"*"" /stext="" "&amp;TEXT(FVD28-utc_offset/24,"HH")&amp;search_regexp&amp;""""</f>
        <v>#VALUE!</v>
      </c>
      <c r="FWB28" s="234" t="e">
        <f>astrogrep_path&amp;" /e /r /s /spath="&amp;search_path&amp;" /stypes=""app*"&amp;FUX28&amp;"*"&amp;TEXT(FVE28-utc_offset/24,"YYYYMMDD")&amp;"*"" /stext="" "&amp;TEXT(FVE28-utc_offset/24,"HH")&amp;search_regexp&amp;""""</f>
        <v>#VALUE!</v>
      </c>
      <c r="FWC28" s="234" t="e">
        <f>astrogrep_path&amp;" /e /r /s /spath="&amp;search_path&amp;" /stypes=""app*"&amp;FUY28&amp;"*"&amp;TEXT(FVF28-utc_offset/24,"YYYYMMDD")&amp;"*"" /stext="" "&amp;TEXT(FVF28-utc_offset/24,"HH")&amp;search_regexp&amp;""""</f>
        <v>#VALUE!</v>
      </c>
      <c r="FWD28" s="234" t="e">
        <f>astrogrep_path&amp;" /e /r /s /spath="&amp;search_path&amp;" /stypes=""app*"&amp;FUZ28&amp;"*"&amp;TEXT(FVG28-utc_offset/24,"YYYYMMDD")&amp;"*"" /stext="" "&amp;TEXT(FVG28-utc_offset/24,"HH")&amp;search_regexp&amp;""""</f>
        <v>#VALUE!</v>
      </c>
      <c r="FWE28" s="234" t="e">
        <f>astrogrep_path&amp;" /e /r /s /spath="&amp;search_path&amp;" /stypes=""app*"&amp;FVA28&amp;"*"&amp;TEXT(FVH28-utc_offset/24,"YYYYMMDD")&amp;"*"" /stext="" "&amp;TEXT(FVH28-utc_offset/24,"HH")&amp;search_regexp&amp;""""</f>
        <v>#VALUE!</v>
      </c>
      <c r="FWF28" s="234" t="e">
        <f>astrogrep_path&amp;" /e /r /s /spath="&amp;search_path&amp;" /stypes=""app*"&amp;FVB28&amp;"*"&amp;TEXT(FVI28-utc_offset/24,"YYYYMMDD")&amp;"*"" /stext="" "&amp;TEXT(FVI28-utc_offset/24,"HH")&amp;search_regexp&amp;""""</f>
        <v>#REF!</v>
      </c>
      <c r="FWG28" s="234" t="e">
        <f>astrogrep_path&amp;" /e /r /s /spath="&amp;search_path&amp;" /stypes=""app*"&amp;FVC28&amp;"*"&amp;TEXT(FVJ28-utc_offset/24,"YYYYMMDD")&amp;"*"" /stext="" "&amp;TEXT(FVJ28-utc_offset/24,"HH")&amp;search_regexp&amp;""""</f>
        <v>#REF!</v>
      </c>
      <c r="FWH28" s="234" t="e">
        <f>astrogrep_path&amp;" /e /r /s /spath="&amp;search_path&amp;" /stypes=""app*"&amp;FVD28&amp;"*"&amp;TEXT(FVK28-utc_offset/24,"YYYYMMDD")&amp;"*"" /stext="" "&amp;TEXT(FVK28-utc_offset/24,"HH")&amp;search_regexp&amp;""""</f>
        <v>#REF!</v>
      </c>
      <c r="FWI28" s="234" t="e">
        <f>astrogrep_path&amp;" /e /r /s /spath="&amp;search_path&amp;" /stypes=""app*"&amp;FVE28&amp;"*"&amp;TEXT(FVL28-utc_offset/24,"YYYYMMDD")&amp;"*"" /stext="" "&amp;TEXT(FVL28-utc_offset/24,"HH")&amp;search_regexp&amp;""""</f>
        <v>#REF!</v>
      </c>
      <c r="FWJ28" s="234" t="e">
        <f>astrogrep_path&amp;" /e /r /s /spath="&amp;search_path&amp;" /stypes=""app*"&amp;FVF28&amp;"*"&amp;TEXT(FVM28-utc_offset/24,"YYYYMMDD")&amp;"*"" /stext="" "&amp;TEXT(FVM28-utc_offset/24,"HH")&amp;search_regexp&amp;""""</f>
        <v>#REF!</v>
      </c>
      <c r="FWK28" s="234" t="e">
        <f>astrogrep_path&amp;" /e /r /s /spath="&amp;search_path&amp;" /stypes=""app*"&amp;FVG28&amp;"*"&amp;TEXT(FVN28-utc_offset/24,"YYYYMMDD")&amp;"*"" /stext="" "&amp;TEXT(FVN28-utc_offset/24,"HH")&amp;search_regexp&amp;""""</f>
        <v>#REF!</v>
      </c>
      <c r="FWL28" s="234" t="e">
        <f>astrogrep_path&amp;" /e /r /s /spath="&amp;search_path&amp;" /stypes=""app*"&amp;FVH28&amp;"*"&amp;TEXT(FVO28-utc_offset/24,"YYYYMMDD")&amp;"*"" /stext="" "&amp;TEXT(FVO28-utc_offset/24,"HH")&amp;search_regexp&amp;""""</f>
        <v>#REF!</v>
      </c>
      <c r="FWM28" s="234" t="e">
        <f>astrogrep_path&amp;" /e /r /s /spath="&amp;search_path&amp;" /stypes=""app*"&amp;FVI28&amp;"*"&amp;TEXT(FVP28-utc_offset/24,"YYYYMMDD")&amp;"*"" /stext="" "&amp;TEXT(FVP28-utc_offset/24,"HH")&amp;search_regexp&amp;""""</f>
        <v>#REF!</v>
      </c>
      <c r="FWN28" s="234" t="e">
        <f>astrogrep_path&amp;" /e /r /s /spath="&amp;search_path&amp;" /stypes=""app*"&amp;FVJ28&amp;"*"&amp;TEXT(FVQ28-utc_offset/24,"YYYYMMDD")&amp;"*"" /stext="" "&amp;TEXT(FVQ28-utc_offset/24,"HH")&amp;search_regexp&amp;""""</f>
        <v>#REF!</v>
      </c>
      <c r="FWO28" s="234" t="e">
        <f>astrogrep_path&amp;" /e /r /s /spath="&amp;search_path&amp;" /stypes=""app*"&amp;FVK28&amp;"*"&amp;TEXT(FVR28-utc_offset/24,"YYYYMMDD")&amp;"*"" /stext="" "&amp;TEXT(FVR28-utc_offset/24,"HH")&amp;search_regexp&amp;""""</f>
        <v>#REF!</v>
      </c>
      <c r="FWP28" s="234" t="e">
        <f>astrogrep_path&amp;" /e /r /s /spath="&amp;search_path&amp;" /stypes=""app*"&amp;FVL28&amp;"*"&amp;TEXT(FVS28-utc_offset/24,"YYYYMMDD")&amp;"*"" /stext="" "&amp;TEXT(FVS28-utc_offset/24,"HH")&amp;search_regexp&amp;""""</f>
        <v>#REF!</v>
      </c>
      <c r="FWQ28" s="234" t="e">
        <f>astrogrep_path&amp;" /e /r /s /spath="&amp;search_path&amp;" /stypes=""app*"&amp;FVM28&amp;"*"&amp;TEXT(FVT28-utc_offset/24,"YYYYMMDD")&amp;"*"" /stext="" "&amp;TEXT(FVT28-utc_offset/24,"HH")&amp;search_regexp&amp;""""</f>
        <v>#REF!</v>
      </c>
      <c r="FWR28" s="234" t="e">
        <f>astrogrep_path&amp;" /e /r /s /spath="&amp;search_path&amp;" /stypes=""app*"&amp;FVN28&amp;"*"&amp;TEXT(FVU28-utc_offset/24,"YYYYMMDD")&amp;"*"" /stext="" "&amp;TEXT(FVU28-utc_offset/24,"HH")&amp;search_regexp&amp;""""</f>
        <v>#REF!</v>
      </c>
      <c r="FWS28" s="234" t="e">
        <f>astrogrep_path&amp;" /e /r /s /spath="&amp;search_path&amp;" /stypes=""app*"&amp;FVO28&amp;"*"&amp;TEXT(FVV28-utc_offset/24,"YYYYMMDD")&amp;"*"" /stext="" "&amp;TEXT(FVV28-utc_offset/24,"HH")&amp;search_regexp&amp;""""</f>
        <v>#REF!</v>
      </c>
      <c r="FWT28" s="234" t="e">
        <f>astrogrep_path&amp;" /e /r /s /spath="&amp;search_path&amp;" /stypes=""app*"&amp;FVP28&amp;"*"&amp;TEXT(FVW28-utc_offset/24,"YYYYMMDD")&amp;"*"" /stext="" "&amp;TEXT(FVW28-utc_offset/24,"HH")&amp;search_regexp&amp;""""</f>
        <v>#REF!</v>
      </c>
      <c r="FWU28" s="234" t="e">
        <f>astrogrep_path&amp;" /e /r /s /spath="&amp;search_path&amp;" /stypes=""app*"&amp;FVQ28&amp;"*"&amp;TEXT(FVX28-utc_offset/24,"YYYYMMDD")&amp;"*"" /stext="" "&amp;TEXT(FVX28-utc_offset/24,"HH")&amp;search_regexp&amp;""""</f>
        <v>#REF!</v>
      </c>
      <c r="FWV28" s="234" t="e">
        <f>astrogrep_path&amp;" /e /r /s /spath="&amp;search_path&amp;" /stypes=""app*"&amp;FVR28&amp;"*"&amp;TEXT(FVY28-utc_offset/24,"YYYYMMDD")&amp;"*"" /stext="" "&amp;TEXT(FVY28-utc_offset/24,"HH")&amp;search_regexp&amp;""""</f>
        <v>#REF!</v>
      </c>
      <c r="FWW28" s="234" t="e">
        <f>astrogrep_path&amp;" /e /r /s /spath="&amp;search_path&amp;" /stypes=""app*"&amp;FVS28&amp;"*"&amp;TEXT(FVZ28-utc_offset/24,"YYYYMMDD")&amp;"*"" /stext="" "&amp;TEXT(FVZ28-utc_offset/24,"HH")&amp;search_regexp&amp;""""</f>
        <v>#REF!</v>
      </c>
      <c r="FWX28" s="234" t="e">
        <f>astrogrep_path&amp;" /e /r /s /spath="&amp;search_path&amp;" /stypes=""app*"&amp;FVT28&amp;"*"&amp;TEXT(FWA28-utc_offset/24,"YYYYMMDD")&amp;"*"" /stext="" "&amp;TEXT(FWA28-utc_offset/24,"HH")&amp;search_regexp&amp;""""</f>
        <v>#REF!</v>
      </c>
      <c r="FWY28" s="234" t="e">
        <f>astrogrep_path&amp;" /e /r /s /spath="&amp;search_path&amp;" /stypes=""app*"&amp;FVU28&amp;"*"&amp;TEXT(FWB28-utc_offset/24,"YYYYMMDD")&amp;"*"" /stext="" "&amp;TEXT(FWB28-utc_offset/24,"HH")&amp;search_regexp&amp;""""</f>
        <v>#REF!</v>
      </c>
      <c r="FWZ28" s="234" t="e">
        <f>astrogrep_path&amp;" /e /r /s /spath="&amp;search_path&amp;" /stypes=""app*"&amp;FVV28&amp;"*"&amp;TEXT(FWC28-utc_offset/24,"YYYYMMDD")&amp;"*"" /stext="" "&amp;TEXT(FWC28-utc_offset/24,"HH")&amp;search_regexp&amp;""""</f>
        <v>#REF!</v>
      </c>
      <c r="FXA28" s="234" t="e">
        <f>astrogrep_path&amp;" /e /r /s /spath="&amp;search_path&amp;" /stypes=""app*"&amp;FVW28&amp;"*"&amp;TEXT(FWD28-utc_offset/24,"YYYYMMDD")&amp;"*"" /stext="" "&amp;TEXT(FWD28-utc_offset/24,"HH")&amp;search_regexp&amp;""""</f>
        <v>#VALUE!</v>
      </c>
      <c r="FXB28" s="234" t="e">
        <f>astrogrep_path&amp;" /e /r /s /spath="&amp;search_path&amp;" /stypes=""app*"&amp;FVX28&amp;"*"&amp;TEXT(FWE28-utc_offset/24,"YYYYMMDD")&amp;"*"" /stext="" "&amp;TEXT(FWE28-utc_offset/24,"HH")&amp;search_regexp&amp;""""</f>
        <v>#VALUE!</v>
      </c>
      <c r="FXC28" s="234" t="e">
        <f>astrogrep_path&amp;" /e /r /s /spath="&amp;search_path&amp;" /stypes=""app*"&amp;FVY28&amp;"*"&amp;TEXT(FWF28-utc_offset/24,"YYYYMMDD")&amp;"*"" /stext="" "&amp;TEXT(FWF28-utc_offset/24,"HH")&amp;search_regexp&amp;""""</f>
        <v>#REF!</v>
      </c>
      <c r="FXD28" s="234" t="e">
        <f>astrogrep_path&amp;" /e /r /s /spath="&amp;search_path&amp;" /stypes=""app*"&amp;FVZ28&amp;"*"&amp;TEXT(FWG28-utc_offset/24,"YYYYMMDD")&amp;"*"" /stext="" "&amp;TEXT(FWG28-utc_offset/24,"HH")&amp;search_regexp&amp;""""</f>
        <v>#REF!</v>
      </c>
      <c r="FXE28" s="234" t="e">
        <f>astrogrep_path&amp;" /e /r /s /spath="&amp;search_path&amp;" /stypes=""app*"&amp;FWA28&amp;"*"&amp;TEXT(FWH28-utc_offset/24,"YYYYMMDD")&amp;"*"" /stext="" "&amp;TEXT(FWH28-utc_offset/24,"HH")&amp;search_regexp&amp;""""</f>
        <v>#VALUE!</v>
      </c>
      <c r="FXF28" s="234" t="e">
        <f>astrogrep_path&amp;" /e /r /s /spath="&amp;search_path&amp;" /stypes=""app*"&amp;FWB28&amp;"*"&amp;TEXT(FWI28-utc_offset/24,"YYYYMMDD")&amp;"*"" /stext="" "&amp;TEXT(FWI28-utc_offset/24,"HH")&amp;search_regexp&amp;""""</f>
        <v>#VALUE!</v>
      </c>
      <c r="FXG28" s="234" t="e">
        <f>astrogrep_path&amp;" /e /r /s /spath="&amp;search_path&amp;" /stypes=""app*"&amp;FWC28&amp;"*"&amp;TEXT(FWJ28-utc_offset/24,"YYYYMMDD")&amp;"*"" /stext="" "&amp;TEXT(FWJ28-utc_offset/24,"HH")&amp;search_regexp&amp;""""</f>
        <v>#VALUE!</v>
      </c>
      <c r="FXH28" s="234" t="e">
        <f>astrogrep_path&amp;" /e /r /s /spath="&amp;search_path&amp;" /stypes=""app*"&amp;FWD28&amp;"*"&amp;TEXT(FWK28-utc_offset/24,"YYYYMMDD")&amp;"*"" /stext="" "&amp;TEXT(FWK28-utc_offset/24,"HH")&amp;search_regexp&amp;""""</f>
        <v>#VALUE!</v>
      </c>
      <c r="FXI28" s="234" t="e">
        <f>astrogrep_path&amp;" /e /r /s /spath="&amp;search_path&amp;" /stypes=""app*"&amp;FWE28&amp;"*"&amp;TEXT(FWL28-utc_offset/24,"YYYYMMDD")&amp;"*"" /stext="" "&amp;TEXT(FWL28-utc_offset/24,"HH")&amp;search_regexp&amp;""""</f>
        <v>#VALUE!</v>
      </c>
      <c r="FXJ28" s="234" t="e">
        <f>astrogrep_path&amp;" /e /r /s /spath="&amp;search_path&amp;" /stypes=""app*"&amp;FWF28&amp;"*"&amp;TEXT(FWM28-utc_offset/24,"YYYYMMDD")&amp;"*"" /stext="" "&amp;TEXT(FWM28-utc_offset/24,"HH")&amp;search_regexp&amp;""""</f>
        <v>#REF!</v>
      </c>
      <c r="FXK28" s="234" t="e">
        <f>astrogrep_path&amp;" /e /r /s /spath="&amp;search_path&amp;" /stypes=""app*"&amp;FWG28&amp;"*"&amp;TEXT(FWN28-utc_offset/24,"YYYYMMDD")&amp;"*"" /stext="" "&amp;TEXT(FWN28-utc_offset/24,"HH")&amp;search_regexp&amp;""""</f>
        <v>#REF!</v>
      </c>
      <c r="FXL28" s="234" t="e">
        <f>astrogrep_path&amp;" /e /r /s /spath="&amp;search_path&amp;" /stypes=""app*"&amp;FWH28&amp;"*"&amp;TEXT(FWO28-utc_offset/24,"YYYYMMDD")&amp;"*"" /stext="" "&amp;TEXT(FWO28-utc_offset/24,"HH")&amp;search_regexp&amp;""""</f>
        <v>#REF!</v>
      </c>
      <c r="FXM28" s="234" t="e">
        <f>astrogrep_path&amp;" /e /r /s /spath="&amp;search_path&amp;" /stypes=""app*"&amp;FWI28&amp;"*"&amp;TEXT(FWP28-utc_offset/24,"YYYYMMDD")&amp;"*"" /stext="" "&amp;TEXT(FWP28-utc_offset/24,"HH")&amp;search_regexp&amp;""""</f>
        <v>#REF!</v>
      </c>
      <c r="FXN28" s="234" t="e">
        <f>astrogrep_path&amp;" /e /r /s /spath="&amp;search_path&amp;" /stypes=""app*"&amp;FWJ28&amp;"*"&amp;TEXT(FWQ28-utc_offset/24,"YYYYMMDD")&amp;"*"" /stext="" "&amp;TEXT(FWQ28-utc_offset/24,"HH")&amp;search_regexp&amp;""""</f>
        <v>#REF!</v>
      </c>
      <c r="FXO28" s="234" t="e">
        <f>astrogrep_path&amp;" /e /r /s /spath="&amp;search_path&amp;" /stypes=""app*"&amp;FWK28&amp;"*"&amp;TEXT(FWR28-utc_offset/24,"YYYYMMDD")&amp;"*"" /stext="" "&amp;TEXT(FWR28-utc_offset/24,"HH")&amp;search_regexp&amp;""""</f>
        <v>#REF!</v>
      </c>
      <c r="FXP28" s="234" t="e">
        <f>astrogrep_path&amp;" /e /r /s /spath="&amp;search_path&amp;" /stypes=""app*"&amp;FWL28&amp;"*"&amp;TEXT(FWS28-utc_offset/24,"YYYYMMDD")&amp;"*"" /stext="" "&amp;TEXT(FWS28-utc_offset/24,"HH")&amp;search_regexp&amp;""""</f>
        <v>#REF!</v>
      </c>
      <c r="FXQ28" s="234" t="e">
        <f>astrogrep_path&amp;" /e /r /s /spath="&amp;search_path&amp;" /stypes=""app*"&amp;FWM28&amp;"*"&amp;TEXT(FWT28-utc_offset/24,"YYYYMMDD")&amp;"*"" /stext="" "&amp;TEXT(FWT28-utc_offset/24,"HH")&amp;search_regexp&amp;""""</f>
        <v>#REF!</v>
      </c>
      <c r="FXR28" s="234" t="e">
        <f>astrogrep_path&amp;" /e /r /s /spath="&amp;search_path&amp;" /stypes=""app*"&amp;FWN28&amp;"*"&amp;TEXT(FWU28-utc_offset/24,"YYYYMMDD")&amp;"*"" /stext="" "&amp;TEXT(FWU28-utc_offset/24,"HH")&amp;search_regexp&amp;""""</f>
        <v>#REF!</v>
      </c>
      <c r="FXS28" s="234" t="e">
        <f>astrogrep_path&amp;" /e /r /s /spath="&amp;search_path&amp;" /stypes=""app*"&amp;FWO28&amp;"*"&amp;TEXT(FWV28-utc_offset/24,"YYYYMMDD")&amp;"*"" /stext="" "&amp;TEXT(FWV28-utc_offset/24,"HH")&amp;search_regexp&amp;""""</f>
        <v>#REF!</v>
      </c>
      <c r="FXT28" s="234" t="e">
        <f>astrogrep_path&amp;" /e /r /s /spath="&amp;search_path&amp;" /stypes=""app*"&amp;FWP28&amp;"*"&amp;TEXT(FWW28-utc_offset/24,"YYYYMMDD")&amp;"*"" /stext="" "&amp;TEXT(FWW28-utc_offset/24,"HH")&amp;search_regexp&amp;""""</f>
        <v>#REF!</v>
      </c>
      <c r="FXU28" s="234" t="e">
        <f>astrogrep_path&amp;" /e /r /s /spath="&amp;search_path&amp;" /stypes=""app*"&amp;FWQ28&amp;"*"&amp;TEXT(FWX28-utc_offset/24,"YYYYMMDD")&amp;"*"" /stext="" "&amp;TEXT(FWX28-utc_offset/24,"HH")&amp;search_regexp&amp;""""</f>
        <v>#REF!</v>
      </c>
      <c r="FXV28" s="234" t="e">
        <f>astrogrep_path&amp;" /e /r /s /spath="&amp;search_path&amp;" /stypes=""app*"&amp;FWR28&amp;"*"&amp;TEXT(FWY28-utc_offset/24,"YYYYMMDD")&amp;"*"" /stext="" "&amp;TEXT(FWY28-utc_offset/24,"HH")&amp;search_regexp&amp;""""</f>
        <v>#REF!</v>
      </c>
      <c r="FXW28" s="234" t="e">
        <f>astrogrep_path&amp;" /e /r /s /spath="&amp;search_path&amp;" /stypes=""app*"&amp;FWS28&amp;"*"&amp;TEXT(FWZ28-utc_offset/24,"YYYYMMDD")&amp;"*"" /stext="" "&amp;TEXT(FWZ28-utc_offset/24,"HH")&amp;search_regexp&amp;""""</f>
        <v>#REF!</v>
      </c>
      <c r="FXX28" s="234" t="e">
        <f>astrogrep_path&amp;" /e /r /s /spath="&amp;search_path&amp;" /stypes=""app*"&amp;FWT28&amp;"*"&amp;TEXT(FXA28-utc_offset/24,"YYYYMMDD")&amp;"*"" /stext="" "&amp;TEXT(FXA28-utc_offset/24,"HH")&amp;search_regexp&amp;""""</f>
        <v>#REF!</v>
      </c>
      <c r="FXY28" s="234" t="e">
        <f>astrogrep_path&amp;" /e /r /s /spath="&amp;search_path&amp;" /stypes=""app*"&amp;FWU28&amp;"*"&amp;TEXT(FXB28-utc_offset/24,"YYYYMMDD")&amp;"*"" /stext="" "&amp;TEXT(FXB28-utc_offset/24,"HH")&amp;search_regexp&amp;""""</f>
        <v>#REF!</v>
      </c>
      <c r="FXZ28" s="234" t="e">
        <f>astrogrep_path&amp;" /e /r /s /spath="&amp;search_path&amp;" /stypes=""app*"&amp;FWV28&amp;"*"&amp;TEXT(FXC28-utc_offset/24,"YYYYMMDD")&amp;"*"" /stext="" "&amp;TEXT(FXC28-utc_offset/24,"HH")&amp;search_regexp&amp;""""</f>
        <v>#REF!</v>
      </c>
      <c r="FYA28" s="234" t="e">
        <f>astrogrep_path&amp;" /e /r /s /spath="&amp;search_path&amp;" /stypes=""app*"&amp;FWW28&amp;"*"&amp;TEXT(FXD28-utc_offset/24,"YYYYMMDD")&amp;"*"" /stext="" "&amp;TEXT(FXD28-utc_offset/24,"HH")&amp;search_regexp&amp;""""</f>
        <v>#REF!</v>
      </c>
      <c r="FYB28" s="234" t="e">
        <f>astrogrep_path&amp;" /e /r /s /spath="&amp;search_path&amp;" /stypes=""app*"&amp;FWX28&amp;"*"&amp;TEXT(FXE28-utc_offset/24,"YYYYMMDD")&amp;"*"" /stext="" "&amp;TEXT(FXE28-utc_offset/24,"HH")&amp;search_regexp&amp;""""</f>
        <v>#REF!</v>
      </c>
      <c r="FYC28" s="234" t="e">
        <f>astrogrep_path&amp;" /e /r /s /spath="&amp;search_path&amp;" /stypes=""app*"&amp;FWY28&amp;"*"&amp;TEXT(FXF28-utc_offset/24,"YYYYMMDD")&amp;"*"" /stext="" "&amp;TEXT(FXF28-utc_offset/24,"HH")&amp;search_regexp&amp;""""</f>
        <v>#REF!</v>
      </c>
      <c r="FYD28" s="234" t="e">
        <f>astrogrep_path&amp;" /e /r /s /spath="&amp;search_path&amp;" /stypes=""app*"&amp;FWZ28&amp;"*"&amp;TEXT(FXG28-utc_offset/24,"YYYYMMDD")&amp;"*"" /stext="" "&amp;TEXT(FXG28-utc_offset/24,"HH")&amp;search_regexp&amp;""""</f>
        <v>#REF!</v>
      </c>
      <c r="FYE28" s="234" t="e">
        <f>astrogrep_path&amp;" /e /r /s /spath="&amp;search_path&amp;" /stypes=""app*"&amp;FXA28&amp;"*"&amp;TEXT(FXH28-utc_offset/24,"YYYYMMDD")&amp;"*"" /stext="" "&amp;TEXT(FXH28-utc_offset/24,"HH")&amp;search_regexp&amp;""""</f>
        <v>#VALUE!</v>
      </c>
      <c r="FYF28" s="234" t="e">
        <f>astrogrep_path&amp;" /e /r /s /spath="&amp;search_path&amp;" /stypes=""app*"&amp;FXB28&amp;"*"&amp;TEXT(FXI28-utc_offset/24,"YYYYMMDD")&amp;"*"" /stext="" "&amp;TEXT(FXI28-utc_offset/24,"HH")&amp;search_regexp&amp;""""</f>
        <v>#VALUE!</v>
      </c>
      <c r="FYG28" s="234" t="e">
        <f>astrogrep_path&amp;" /e /r /s /spath="&amp;search_path&amp;" /stypes=""app*"&amp;FXC28&amp;"*"&amp;TEXT(FXJ28-utc_offset/24,"YYYYMMDD")&amp;"*"" /stext="" "&amp;TEXT(FXJ28-utc_offset/24,"HH")&amp;search_regexp&amp;""""</f>
        <v>#REF!</v>
      </c>
      <c r="FYH28" s="234" t="e">
        <f>astrogrep_path&amp;" /e /r /s /spath="&amp;search_path&amp;" /stypes=""app*"&amp;FXD28&amp;"*"&amp;TEXT(FXK28-utc_offset/24,"YYYYMMDD")&amp;"*"" /stext="" "&amp;TEXT(FXK28-utc_offset/24,"HH")&amp;search_regexp&amp;""""</f>
        <v>#REF!</v>
      </c>
      <c r="FYI28" s="234" t="e">
        <f>astrogrep_path&amp;" /e /r /s /spath="&amp;search_path&amp;" /stypes=""app*"&amp;FXE28&amp;"*"&amp;TEXT(FXL28-utc_offset/24,"YYYYMMDD")&amp;"*"" /stext="" "&amp;TEXT(FXL28-utc_offset/24,"HH")&amp;search_regexp&amp;""""</f>
        <v>#VALUE!</v>
      </c>
      <c r="FYJ28" s="234" t="e">
        <f>astrogrep_path&amp;" /e /r /s /spath="&amp;search_path&amp;" /stypes=""app*"&amp;FXF28&amp;"*"&amp;TEXT(FXM28-utc_offset/24,"YYYYMMDD")&amp;"*"" /stext="" "&amp;TEXT(FXM28-utc_offset/24,"HH")&amp;search_regexp&amp;""""</f>
        <v>#VALUE!</v>
      </c>
      <c r="FYK28" s="234" t="e">
        <f>astrogrep_path&amp;" /e /r /s /spath="&amp;search_path&amp;" /stypes=""app*"&amp;FXG28&amp;"*"&amp;TEXT(FXN28-utc_offset/24,"YYYYMMDD")&amp;"*"" /stext="" "&amp;TEXT(FXN28-utc_offset/24,"HH")&amp;search_regexp&amp;""""</f>
        <v>#VALUE!</v>
      </c>
      <c r="FYL28" s="234" t="e">
        <f>astrogrep_path&amp;" /e /r /s /spath="&amp;search_path&amp;" /stypes=""app*"&amp;FXH28&amp;"*"&amp;TEXT(FXO28-utc_offset/24,"YYYYMMDD")&amp;"*"" /stext="" "&amp;TEXT(FXO28-utc_offset/24,"HH")&amp;search_regexp&amp;""""</f>
        <v>#VALUE!</v>
      </c>
      <c r="FYM28" s="234" t="e">
        <f>astrogrep_path&amp;" /e /r /s /spath="&amp;search_path&amp;" /stypes=""app*"&amp;FXI28&amp;"*"&amp;TEXT(FXP28-utc_offset/24,"YYYYMMDD")&amp;"*"" /stext="" "&amp;TEXT(FXP28-utc_offset/24,"HH")&amp;search_regexp&amp;""""</f>
        <v>#VALUE!</v>
      </c>
      <c r="FYN28" s="234" t="e">
        <f>astrogrep_path&amp;" /e /r /s /spath="&amp;search_path&amp;" /stypes=""app*"&amp;FXJ28&amp;"*"&amp;TEXT(FXQ28-utc_offset/24,"YYYYMMDD")&amp;"*"" /stext="" "&amp;TEXT(FXQ28-utc_offset/24,"HH")&amp;search_regexp&amp;""""</f>
        <v>#REF!</v>
      </c>
      <c r="FYO28" s="234" t="e">
        <f>astrogrep_path&amp;" /e /r /s /spath="&amp;search_path&amp;" /stypes=""app*"&amp;FXK28&amp;"*"&amp;TEXT(FXR28-utc_offset/24,"YYYYMMDD")&amp;"*"" /stext="" "&amp;TEXT(FXR28-utc_offset/24,"HH")&amp;search_regexp&amp;""""</f>
        <v>#REF!</v>
      </c>
      <c r="FYP28" s="234" t="e">
        <f>astrogrep_path&amp;" /e /r /s /spath="&amp;search_path&amp;" /stypes=""app*"&amp;FXL28&amp;"*"&amp;TEXT(FXS28-utc_offset/24,"YYYYMMDD")&amp;"*"" /stext="" "&amp;TEXT(FXS28-utc_offset/24,"HH")&amp;search_regexp&amp;""""</f>
        <v>#REF!</v>
      </c>
      <c r="FYQ28" s="234" t="e">
        <f>astrogrep_path&amp;" /e /r /s /spath="&amp;search_path&amp;" /stypes=""app*"&amp;FXM28&amp;"*"&amp;TEXT(FXT28-utc_offset/24,"YYYYMMDD")&amp;"*"" /stext="" "&amp;TEXT(FXT28-utc_offset/24,"HH")&amp;search_regexp&amp;""""</f>
        <v>#REF!</v>
      </c>
      <c r="FYR28" s="234" t="e">
        <f>astrogrep_path&amp;" /e /r /s /spath="&amp;search_path&amp;" /stypes=""app*"&amp;FXN28&amp;"*"&amp;TEXT(FXU28-utc_offset/24,"YYYYMMDD")&amp;"*"" /stext="" "&amp;TEXT(FXU28-utc_offset/24,"HH")&amp;search_regexp&amp;""""</f>
        <v>#REF!</v>
      </c>
      <c r="FYS28" s="234" t="e">
        <f>astrogrep_path&amp;" /e /r /s /spath="&amp;search_path&amp;" /stypes=""app*"&amp;FXO28&amp;"*"&amp;TEXT(FXV28-utc_offset/24,"YYYYMMDD")&amp;"*"" /stext="" "&amp;TEXT(FXV28-utc_offset/24,"HH")&amp;search_regexp&amp;""""</f>
        <v>#REF!</v>
      </c>
      <c r="FYT28" s="234" t="e">
        <f>astrogrep_path&amp;" /e /r /s /spath="&amp;search_path&amp;" /stypes=""app*"&amp;FXP28&amp;"*"&amp;TEXT(FXW28-utc_offset/24,"YYYYMMDD")&amp;"*"" /stext="" "&amp;TEXT(FXW28-utc_offset/24,"HH")&amp;search_regexp&amp;""""</f>
        <v>#REF!</v>
      </c>
      <c r="FYU28" s="234" t="e">
        <f>astrogrep_path&amp;" /e /r /s /spath="&amp;search_path&amp;" /stypes=""app*"&amp;FXQ28&amp;"*"&amp;TEXT(FXX28-utc_offset/24,"YYYYMMDD")&amp;"*"" /stext="" "&amp;TEXT(FXX28-utc_offset/24,"HH")&amp;search_regexp&amp;""""</f>
        <v>#REF!</v>
      </c>
      <c r="FYV28" s="234" t="e">
        <f>astrogrep_path&amp;" /e /r /s /spath="&amp;search_path&amp;" /stypes=""app*"&amp;FXR28&amp;"*"&amp;TEXT(FXY28-utc_offset/24,"YYYYMMDD")&amp;"*"" /stext="" "&amp;TEXT(FXY28-utc_offset/24,"HH")&amp;search_regexp&amp;""""</f>
        <v>#REF!</v>
      </c>
      <c r="FYW28" s="234" t="e">
        <f>astrogrep_path&amp;" /e /r /s /spath="&amp;search_path&amp;" /stypes=""app*"&amp;FXS28&amp;"*"&amp;TEXT(FXZ28-utc_offset/24,"YYYYMMDD")&amp;"*"" /stext="" "&amp;TEXT(FXZ28-utc_offset/24,"HH")&amp;search_regexp&amp;""""</f>
        <v>#REF!</v>
      </c>
      <c r="FYX28" s="234" t="e">
        <f>astrogrep_path&amp;" /e /r /s /spath="&amp;search_path&amp;" /stypes=""app*"&amp;FXT28&amp;"*"&amp;TEXT(FYA28-utc_offset/24,"YYYYMMDD")&amp;"*"" /stext="" "&amp;TEXT(FYA28-utc_offset/24,"HH")&amp;search_regexp&amp;""""</f>
        <v>#REF!</v>
      </c>
      <c r="FYY28" s="234" t="e">
        <f>astrogrep_path&amp;" /e /r /s /spath="&amp;search_path&amp;" /stypes=""app*"&amp;FXU28&amp;"*"&amp;TEXT(FYB28-utc_offset/24,"YYYYMMDD")&amp;"*"" /stext="" "&amp;TEXT(FYB28-utc_offset/24,"HH")&amp;search_regexp&amp;""""</f>
        <v>#REF!</v>
      </c>
      <c r="FYZ28" s="234" t="e">
        <f>astrogrep_path&amp;" /e /r /s /spath="&amp;search_path&amp;" /stypes=""app*"&amp;FXV28&amp;"*"&amp;TEXT(FYC28-utc_offset/24,"YYYYMMDD")&amp;"*"" /stext="" "&amp;TEXT(FYC28-utc_offset/24,"HH")&amp;search_regexp&amp;""""</f>
        <v>#REF!</v>
      </c>
      <c r="FZA28" s="234" t="e">
        <f>astrogrep_path&amp;" /e /r /s /spath="&amp;search_path&amp;" /stypes=""app*"&amp;FXW28&amp;"*"&amp;TEXT(FYD28-utc_offset/24,"YYYYMMDD")&amp;"*"" /stext="" "&amp;TEXT(FYD28-utc_offset/24,"HH")&amp;search_regexp&amp;""""</f>
        <v>#REF!</v>
      </c>
      <c r="FZB28" s="234" t="e">
        <f>astrogrep_path&amp;" /e /r /s /spath="&amp;search_path&amp;" /stypes=""app*"&amp;FXX28&amp;"*"&amp;TEXT(FYE28-utc_offset/24,"YYYYMMDD")&amp;"*"" /stext="" "&amp;TEXT(FYE28-utc_offset/24,"HH")&amp;search_regexp&amp;""""</f>
        <v>#REF!</v>
      </c>
      <c r="FZC28" s="234" t="e">
        <f>astrogrep_path&amp;" /e /r /s /spath="&amp;search_path&amp;" /stypes=""app*"&amp;FXY28&amp;"*"&amp;TEXT(FYF28-utc_offset/24,"YYYYMMDD")&amp;"*"" /stext="" "&amp;TEXT(FYF28-utc_offset/24,"HH")&amp;search_regexp&amp;""""</f>
        <v>#REF!</v>
      </c>
      <c r="FZD28" s="234" t="e">
        <f>astrogrep_path&amp;" /e /r /s /spath="&amp;search_path&amp;" /stypes=""app*"&amp;FXZ28&amp;"*"&amp;TEXT(FYG28-utc_offset/24,"YYYYMMDD")&amp;"*"" /stext="" "&amp;TEXT(FYG28-utc_offset/24,"HH")&amp;search_regexp&amp;""""</f>
        <v>#REF!</v>
      </c>
      <c r="FZE28" s="234" t="e">
        <f>astrogrep_path&amp;" /e /r /s /spath="&amp;search_path&amp;" /stypes=""app*"&amp;FYA28&amp;"*"&amp;TEXT(FYH28-utc_offset/24,"YYYYMMDD")&amp;"*"" /stext="" "&amp;TEXT(FYH28-utc_offset/24,"HH")&amp;search_regexp&amp;""""</f>
        <v>#REF!</v>
      </c>
      <c r="FZF28" s="234" t="e">
        <f>astrogrep_path&amp;" /e /r /s /spath="&amp;search_path&amp;" /stypes=""app*"&amp;FYB28&amp;"*"&amp;TEXT(FYI28-utc_offset/24,"YYYYMMDD")&amp;"*"" /stext="" "&amp;TEXT(FYI28-utc_offset/24,"HH")&amp;search_regexp&amp;""""</f>
        <v>#REF!</v>
      </c>
      <c r="FZG28" s="234" t="e">
        <f>astrogrep_path&amp;" /e /r /s /spath="&amp;search_path&amp;" /stypes=""app*"&amp;FYC28&amp;"*"&amp;TEXT(FYJ28-utc_offset/24,"YYYYMMDD")&amp;"*"" /stext="" "&amp;TEXT(FYJ28-utc_offset/24,"HH")&amp;search_regexp&amp;""""</f>
        <v>#REF!</v>
      </c>
      <c r="FZH28" s="234" t="e">
        <f>astrogrep_path&amp;" /e /r /s /spath="&amp;search_path&amp;" /stypes=""app*"&amp;FYD28&amp;"*"&amp;TEXT(FYK28-utc_offset/24,"YYYYMMDD")&amp;"*"" /stext="" "&amp;TEXT(FYK28-utc_offset/24,"HH")&amp;search_regexp&amp;""""</f>
        <v>#REF!</v>
      </c>
      <c r="FZI28" s="234" t="e">
        <f>astrogrep_path&amp;" /e /r /s /spath="&amp;search_path&amp;" /stypes=""app*"&amp;FYE28&amp;"*"&amp;TEXT(FYL28-utc_offset/24,"YYYYMMDD")&amp;"*"" /stext="" "&amp;TEXT(FYL28-utc_offset/24,"HH")&amp;search_regexp&amp;""""</f>
        <v>#VALUE!</v>
      </c>
      <c r="FZJ28" s="234" t="e">
        <f>astrogrep_path&amp;" /e /r /s /spath="&amp;search_path&amp;" /stypes=""app*"&amp;FYF28&amp;"*"&amp;TEXT(FYM28-utc_offset/24,"YYYYMMDD")&amp;"*"" /stext="" "&amp;TEXT(FYM28-utc_offset/24,"HH")&amp;search_regexp&amp;""""</f>
        <v>#VALUE!</v>
      </c>
      <c r="FZK28" s="234" t="e">
        <f>astrogrep_path&amp;" /e /r /s /spath="&amp;search_path&amp;" /stypes=""app*"&amp;FYG28&amp;"*"&amp;TEXT(FYN28-utc_offset/24,"YYYYMMDD")&amp;"*"" /stext="" "&amp;TEXT(FYN28-utc_offset/24,"HH")&amp;search_regexp&amp;""""</f>
        <v>#REF!</v>
      </c>
      <c r="FZL28" s="234" t="e">
        <f>astrogrep_path&amp;" /e /r /s /spath="&amp;search_path&amp;" /stypes=""app*"&amp;FYH28&amp;"*"&amp;TEXT(FYO28-utc_offset/24,"YYYYMMDD")&amp;"*"" /stext="" "&amp;TEXT(FYO28-utc_offset/24,"HH")&amp;search_regexp&amp;""""</f>
        <v>#REF!</v>
      </c>
      <c r="FZM28" s="234" t="e">
        <f>astrogrep_path&amp;" /e /r /s /spath="&amp;search_path&amp;" /stypes=""app*"&amp;FYI28&amp;"*"&amp;TEXT(FYP28-utc_offset/24,"YYYYMMDD")&amp;"*"" /stext="" "&amp;TEXT(FYP28-utc_offset/24,"HH")&amp;search_regexp&amp;""""</f>
        <v>#VALUE!</v>
      </c>
      <c r="FZN28" s="234" t="e">
        <f>astrogrep_path&amp;" /e /r /s /spath="&amp;search_path&amp;" /stypes=""app*"&amp;FYJ28&amp;"*"&amp;TEXT(FYQ28-utc_offset/24,"YYYYMMDD")&amp;"*"" /stext="" "&amp;TEXT(FYQ28-utc_offset/24,"HH")&amp;search_regexp&amp;""""</f>
        <v>#VALUE!</v>
      </c>
      <c r="FZO28" s="234" t="e">
        <f>astrogrep_path&amp;" /e /r /s /spath="&amp;search_path&amp;" /stypes=""app*"&amp;FYK28&amp;"*"&amp;TEXT(FYR28-utc_offset/24,"YYYYMMDD")&amp;"*"" /stext="" "&amp;TEXT(FYR28-utc_offset/24,"HH")&amp;search_regexp&amp;""""</f>
        <v>#VALUE!</v>
      </c>
      <c r="FZP28" s="234" t="e">
        <f>astrogrep_path&amp;" /e /r /s /spath="&amp;search_path&amp;" /stypes=""app*"&amp;FYL28&amp;"*"&amp;TEXT(FYS28-utc_offset/24,"YYYYMMDD")&amp;"*"" /stext="" "&amp;TEXT(FYS28-utc_offset/24,"HH")&amp;search_regexp&amp;""""</f>
        <v>#VALUE!</v>
      </c>
      <c r="FZQ28" s="234" t="e">
        <f>astrogrep_path&amp;" /e /r /s /spath="&amp;search_path&amp;" /stypes=""app*"&amp;FYM28&amp;"*"&amp;TEXT(FYT28-utc_offset/24,"YYYYMMDD")&amp;"*"" /stext="" "&amp;TEXT(FYT28-utc_offset/24,"HH")&amp;search_regexp&amp;""""</f>
        <v>#VALUE!</v>
      </c>
      <c r="FZR28" s="234" t="e">
        <f>astrogrep_path&amp;" /e /r /s /spath="&amp;search_path&amp;" /stypes=""app*"&amp;FYN28&amp;"*"&amp;TEXT(FYU28-utc_offset/24,"YYYYMMDD")&amp;"*"" /stext="" "&amp;TEXT(FYU28-utc_offset/24,"HH")&amp;search_regexp&amp;""""</f>
        <v>#REF!</v>
      </c>
      <c r="FZS28" s="234" t="e">
        <f>astrogrep_path&amp;" /e /r /s /spath="&amp;search_path&amp;" /stypes=""app*"&amp;FYO28&amp;"*"&amp;TEXT(FYV28-utc_offset/24,"YYYYMMDD")&amp;"*"" /stext="" "&amp;TEXT(FYV28-utc_offset/24,"HH")&amp;search_regexp&amp;""""</f>
        <v>#REF!</v>
      </c>
      <c r="FZT28" s="234" t="e">
        <f>astrogrep_path&amp;" /e /r /s /spath="&amp;search_path&amp;" /stypes=""app*"&amp;FYP28&amp;"*"&amp;TEXT(FYW28-utc_offset/24,"YYYYMMDD")&amp;"*"" /stext="" "&amp;TEXT(FYW28-utc_offset/24,"HH")&amp;search_regexp&amp;""""</f>
        <v>#REF!</v>
      </c>
      <c r="FZU28" s="234" t="e">
        <f>astrogrep_path&amp;" /e /r /s /spath="&amp;search_path&amp;" /stypes=""app*"&amp;FYQ28&amp;"*"&amp;TEXT(FYX28-utc_offset/24,"YYYYMMDD")&amp;"*"" /stext="" "&amp;TEXT(FYX28-utc_offset/24,"HH")&amp;search_regexp&amp;""""</f>
        <v>#REF!</v>
      </c>
      <c r="FZV28" s="234" t="e">
        <f>astrogrep_path&amp;" /e /r /s /spath="&amp;search_path&amp;" /stypes=""app*"&amp;FYR28&amp;"*"&amp;TEXT(FYY28-utc_offset/24,"YYYYMMDD")&amp;"*"" /stext="" "&amp;TEXT(FYY28-utc_offset/24,"HH")&amp;search_regexp&amp;""""</f>
        <v>#REF!</v>
      </c>
      <c r="FZW28" s="234" t="e">
        <f>astrogrep_path&amp;" /e /r /s /spath="&amp;search_path&amp;" /stypes=""app*"&amp;FYS28&amp;"*"&amp;TEXT(FYZ28-utc_offset/24,"YYYYMMDD")&amp;"*"" /stext="" "&amp;TEXT(FYZ28-utc_offset/24,"HH")&amp;search_regexp&amp;""""</f>
        <v>#REF!</v>
      </c>
      <c r="FZX28" s="234" t="e">
        <f>astrogrep_path&amp;" /e /r /s /spath="&amp;search_path&amp;" /stypes=""app*"&amp;FYT28&amp;"*"&amp;TEXT(FZA28-utc_offset/24,"YYYYMMDD")&amp;"*"" /stext="" "&amp;TEXT(FZA28-utc_offset/24,"HH")&amp;search_regexp&amp;""""</f>
        <v>#REF!</v>
      </c>
      <c r="FZY28" s="234" t="e">
        <f>astrogrep_path&amp;" /e /r /s /spath="&amp;search_path&amp;" /stypes=""app*"&amp;FYU28&amp;"*"&amp;TEXT(FZB28-utc_offset/24,"YYYYMMDD")&amp;"*"" /stext="" "&amp;TEXT(FZB28-utc_offset/24,"HH")&amp;search_regexp&amp;""""</f>
        <v>#REF!</v>
      </c>
      <c r="FZZ28" s="234" t="e">
        <f>astrogrep_path&amp;" /e /r /s /spath="&amp;search_path&amp;" /stypes=""app*"&amp;FYV28&amp;"*"&amp;TEXT(FZC28-utc_offset/24,"YYYYMMDD")&amp;"*"" /stext="" "&amp;TEXT(FZC28-utc_offset/24,"HH")&amp;search_regexp&amp;""""</f>
        <v>#REF!</v>
      </c>
      <c r="GAA28" s="234" t="e">
        <f>astrogrep_path&amp;" /e /r /s /spath="&amp;search_path&amp;" /stypes=""app*"&amp;FYW28&amp;"*"&amp;TEXT(FZD28-utc_offset/24,"YYYYMMDD")&amp;"*"" /stext="" "&amp;TEXT(FZD28-utc_offset/24,"HH")&amp;search_regexp&amp;""""</f>
        <v>#REF!</v>
      </c>
      <c r="GAB28" s="234" t="e">
        <f>astrogrep_path&amp;" /e /r /s /spath="&amp;search_path&amp;" /stypes=""app*"&amp;FYX28&amp;"*"&amp;TEXT(FZE28-utc_offset/24,"YYYYMMDD")&amp;"*"" /stext="" "&amp;TEXT(FZE28-utc_offset/24,"HH")&amp;search_regexp&amp;""""</f>
        <v>#REF!</v>
      </c>
      <c r="GAC28" s="234" t="e">
        <f>astrogrep_path&amp;" /e /r /s /spath="&amp;search_path&amp;" /stypes=""app*"&amp;FYY28&amp;"*"&amp;TEXT(FZF28-utc_offset/24,"YYYYMMDD")&amp;"*"" /stext="" "&amp;TEXT(FZF28-utc_offset/24,"HH")&amp;search_regexp&amp;""""</f>
        <v>#REF!</v>
      </c>
      <c r="GAD28" s="234" t="e">
        <f>astrogrep_path&amp;" /e /r /s /spath="&amp;search_path&amp;" /stypes=""app*"&amp;FYZ28&amp;"*"&amp;TEXT(FZG28-utc_offset/24,"YYYYMMDD")&amp;"*"" /stext="" "&amp;TEXT(FZG28-utc_offset/24,"HH")&amp;search_regexp&amp;""""</f>
        <v>#REF!</v>
      </c>
      <c r="GAE28" s="234" t="e">
        <f>astrogrep_path&amp;" /e /r /s /spath="&amp;search_path&amp;" /stypes=""app*"&amp;FZA28&amp;"*"&amp;TEXT(FZH28-utc_offset/24,"YYYYMMDD")&amp;"*"" /stext="" "&amp;TEXT(FZH28-utc_offset/24,"HH")&amp;search_regexp&amp;""""</f>
        <v>#REF!</v>
      </c>
      <c r="GAF28" s="234" t="e">
        <f>astrogrep_path&amp;" /e /r /s /spath="&amp;search_path&amp;" /stypes=""app*"&amp;FZB28&amp;"*"&amp;TEXT(FZI28-utc_offset/24,"YYYYMMDD")&amp;"*"" /stext="" "&amp;TEXT(FZI28-utc_offset/24,"HH")&amp;search_regexp&amp;""""</f>
        <v>#REF!</v>
      </c>
      <c r="GAG28" s="234" t="e">
        <f>astrogrep_path&amp;" /e /r /s /spath="&amp;search_path&amp;" /stypes=""app*"&amp;FZC28&amp;"*"&amp;TEXT(FZJ28-utc_offset/24,"YYYYMMDD")&amp;"*"" /stext="" "&amp;TEXT(FZJ28-utc_offset/24,"HH")&amp;search_regexp&amp;""""</f>
        <v>#REF!</v>
      </c>
      <c r="GAH28" s="234" t="e">
        <f>astrogrep_path&amp;" /e /r /s /spath="&amp;search_path&amp;" /stypes=""app*"&amp;FZD28&amp;"*"&amp;TEXT(FZK28-utc_offset/24,"YYYYMMDD")&amp;"*"" /stext="" "&amp;TEXT(FZK28-utc_offset/24,"HH")&amp;search_regexp&amp;""""</f>
        <v>#REF!</v>
      </c>
      <c r="GAI28" s="234" t="e">
        <f>astrogrep_path&amp;" /e /r /s /spath="&amp;search_path&amp;" /stypes=""app*"&amp;FZE28&amp;"*"&amp;TEXT(FZL28-utc_offset/24,"YYYYMMDD")&amp;"*"" /stext="" "&amp;TEXT(FZL28-utc_offset/24,"HH")&amp;search_regexp&amp;""""</f>
        <v>#REF!</v>
      </c>
      <c r="GAJ28" s="234" t="e">
        <f>astrogrep_path&amp;" /e /r /s /spath="&amp;search_path&amp;" /stypes=""app*"&amp;FZF28&amp;"*"&amp;TEXT(FZM28-utc_offset/24,"YYYYMMDD")&amp;"*"" /stext="" "&amp;TEXT(FZM28-utc_offset/24,"HH")&amp;search_regexp&amp;""""</f>
        <v>#REF!</v>
      </c>
      <c r="GAK28" s="234" t="e">
        <f>astrogrep_path&amp;" /e /r /s /spath="&amp;search_path&amp;" /stypes=""app*"&amp;FZG28&amp;"*"&amp;TEXT(FZN28-utc_offset/24,"YYYYMMDD")&amp;"*"" /stext="" "&amp;TEXT(FZN28-utc_offset/24,"HH")&amp;search_regexp&amp;""""</f>
        <v>#REF!</v>
      </c>
      <c r="GAL28" s="234" t="e">
        <f>astrogrep_path&amp;" /e /r /s /spath="&amp;search_path&amp;" /stypes=""app*"&amp;FZH28&amp;"*"&amp;TEXT(FZO28-utc_offset/24,"YYYYMMDD")&amp;"*"" /stext="" "&amp;TEXT(FZO28-utc_offset/24,"HH")&amp;search_regexp&amp;""""</f>
        <v>#REF!</v>
      </c>
      <c r="GAM28" s="234" t="e">
        <f>astrogrep_path&amp;" /e /r /s /spath="&amp;search_path&amp;" /stypes=""app*"&amp;FZI28&amp;"*"&amp;TEXT(FZP28-utc_offset/24,"YYYYMMDD")&amp;"*"" /stext="" "&amp;TEXT(FZP28-utc_offset/24,"HH")&amp;search_regexp&amp;""""</f>
        <v>#VALUE!</v>
      </c>
      <c r="GAN28" s="234" t="e">
        <f>astrogrep_path&amp;" /e /r /s /spath="&amp;search_path&amp;" /stypes=""app*"&amp;FZJ28&amp;"*"&amp;TEXT(FZQ28-utc_offset/24,"YYYYMMDD")&amp;"*"" /stext="" "&amp;TEXT(FZQ28-utc_offset/24,"HH")&amp;search_regexp&amp;""""</f>
        <v>#VALUE!</v>
      </c>
      <c r="GAO28" s="234" t="e">
        <f>astrogrep_path&amp;" /e /r /s /spath="&amp;search_path&amp;" /stypes=""app*"&amp;FZK28&amp;"*"&amp;TEXT(FZR28-utc_offset/24,"YYYYMMDD")&amp;"*"" /stext="" "&amp;TEXT(FZR28-utc_offset/24,"HH")&amp;search_regexp&amp;""""</f>
        <v>#REF!</v>
      </c>
      <c r="GAP28" s="234" t="e">
        <f>astrogrep_path&amp;" /e /r /s /spath="&amp;search_path&amp;" /stypes=""app*"&amp;FZL28&amp;"*"&amp;TEXT(FZS28-utc_offset/24,"YYYYMMDD")&amp;"*"" /stext="" "&amp;TEXT(FZS28-utc_offset/24,"HH")&amp;search_regexp&amp;""""</f>
        <v>#REF!</v>
      </c>
      <c r="GAQ28" s="234" t="e">
        <f>astrogrep_path&amp;" /e /r /s /spath="&amp;search_path&amp;" /stypes=""app*"&amp;FZM28&amp;"*"&amp;TEXT(FZT28-utc_offset/24,"YYYYMMDD")&amp;"*"" /stext="" "&amp;TEXT(FZT28-utc_offset/24,"HH")&amp;search_regexp&amp;""""</f>
        <v>#VALUE!</v>
      </c>
      <c r="GAR28" s="234" t="e">
        <f>astrogrep_path&amp;" /e /r /s /spath="&amp;search_path&amp;" /stypes=""app*"&amp;FZN28&amp;"*"&amp;TEXT(FZU28-utc_offset/24,"YYYYMMDD")&amp;"*"" /stext="" "&amp;TEXT(FZU28-utc_offset/24,"HH")&amp;search_regexp&amp;""""</f>
        <v>#VALUE!</v>
      </c>
      <c r="GAS28" s="234" t="e">
        <f>astrogrep_path&amp;" /e /r /s /spath="&amp;search_path&amp;" /stypes=""app*"&amp;FZO28&amp;"*"&amp;TEXT(FZV28-utc_offset/24,"YYYYMMDD")&amp;"*"" /stext="" "&amp;TEXT(FZV28-utc_offset/24,"HH")&amp;search_regexp&amp;""""</f>
        <v>#VALUE!</v>
      </c>
      <c r="GAT28" s="234" t="e">
        <f>astrogrep_path&amp;" /e /r /s /spath="&amp;search_path&amp;" /stypes=""app*"&amp;FZP28&amp;"*"&amp;TEXT(FZW28-utc_offset/24,"YYYYMMDD")&amp;"*"" /stext="" "&amp;TEXT(FZW28-utc_offset/24,"HH")&amp;search_regexp&amp;""""</f>
        <v>#VALUE!</v>
      </c>
      <c r="GAU28" s="234" t="e">
        <f>astrogrep_path&amp;" /e /r /s /spath="&amp;search_path&amp;" /stypes=""app*"&amp;FZQ28&amp;"*"&amp;TEXT(FZX28-utc_offset/24,"YYYYMMDD")&amp;"*"" /stext="" "&amp;TEXT(FZX28-utc_offset/24,"HH")&amp;search_regexp&amp;""""</f>
        <v>#VALUE!</v>
      </c>
      <c r="GAV28" s="234" t="e">
        <f>astrogrep_path&amp;" /e /r /s /spath="&amp;search_path&amp;" /stypes=""app*"&amp;FZR28&amp;"*"&amp;TEXT(FZY28-utc_offset/24,"YYYYMMDD")&amp;"*"" /stext="" "&amp;TEXT(FZY28-utc_offset/24,"HH")&amp;search_regexp&amp;""""</f>
        <v>#REF!</v>
      </c>
      <c r="GAW28" s="234" t="e">
        <f>astrogrep_path&amp;" /e /r /s /spath="&amp;search_path&amp;" /stypes=""app*"&amp;FZS28&amp;"*"&amp;TEXT(FZZ28-utc_offset/24,"YYYYMMDD")&amp;"*"" /stext="" "&amp;TEXT(FZZ28-utc_offset/24,"HH")&amp;search_regexp&amp;""""</f>
        <v>#REF!</v>
      </c>
      <c r="GAX28" s="234" t="e">
        <f>astrogrep_path&amp;" /e /r /s /spath="&amp;search_path&amp;" /stypes=""app*"&amp;FZT28&amp;"*"&amp;TEXT(GAA28-utc_offset/24,"YYYYMMDD")&amp;"*"" /stext="" "&amp;TEXT(GAA28-utc_offset/24,"HH")&amp;search_regexp&amp;""""</f>
        <v>#REF!</v>
      </c>
      <c r="GAY28" s="234" t="e">
        <f>astrogrep_path&amp;" /e /r /s /spath="&amp;search_path&amp;" /stypes=""app*"&amp;FZU28&amp;"*"&amp;TEXT(GAB28-utc_offset/24,"YYYYMMDD")&amp;"*"" /stext="" "&amp;TEXT(GAB28-utc_offset/24,"HH")&amp;search_regexp&amp;""""</f>
        <v>#REF!</v>
      </c>
      <c r="GAZ28" s="234" t="e">
        <f>astrogrep_path&amp;" /e /r /s /spath="&amp;search_path&amp;" /stypes=""app*"&amp;FZV28&amp;"*"&amp;TEXT(GAC28-utc_offset/24,"YYYYMMDD")&amp;"*"" /stext="" "&amp;TEXT(GAC28-utc_offset/24,"HH")&amp;search_regexp&amp;""""</f>
        <v>#REF!</v>
      </c>
      <c r="GBA28" s="234" t="e">
        <f>astrogrep_path&amp;" /e /r /s /spath="&amp;search_path&amp;" /stypes=""app*"&amp;FZW28&amp;"*"&amp;TEXT(GAD28-utc_offset/24,"YYYYMMDD")&amp;"*"" /stext="" "&amp;TEXT(GAD28-utc_offset/24,"HH")&amp;search_regexp&amp;""""</f>
        <v>#REF!</v>
      </c>
      <c r="GBB28" s="234" t="e">
        <f>astrogrep_path&amp;" /e /r /s /spath="&amp;search_path&amp;" /stypes=""app*"&amp;FZX28&amp;"*"&amp;TEXT(GAE28-utc_offset/24,"YYYYMMDD")&amp;"*"" /stext="" "&amp;TEXT(GAE28-utc_offset/24,"HH")&amp;search_regexp&amp;""""</f>
        <v>#REF!</v>
      </c>
      <c r="GBC28" s="234" t="e">
        <f>astrogrep_path&amp;" /e /r /s /spath="&amp;search_path&amp;" /stypes=""app*"&amp;FZY28&amp;"*"&amp;TEXT(GAF28-utc_offset/24,"YYYYMMDD")&amp;"*"" /stext="" "&amp;TEXT(GAF28-utc_offset/24,"HH")&amp;search_regexp&amp;""""</f>
        <v>#REF!</v>
      </c>
      <c r="GBD28" s="234" t="e">
        <f>astrogrep_path&amp;" /e /r /s /spath="&amp;search_path&amp;" /stypes=""app*"&amp;FZZ28&amp;"*"&amp;TEXT(GAG28-utc_offset/24,"YYYYMMDD")&amp;"*"" /stext="" "&amp;TEXT(GAG28-utc_offset/24,"HH")&amp;search_regexp&amp;""""</f>
        <v>#REF!</v>
      </c>
      <c r="GBE28" s="234" t="e">
        <f>astrogrep_path&amp;" /e /r /s /spath="&amp;search_path&amp;" /stypes=""app*"&amp;GAA28&amp;"*"&amp;TEXT(GAH28-utc_offset/24,"YYYYMMDD")&amp;"*"" /stext="" "&amp;TEXT(GAH28-utc_offset/24,"HH")&amp;search_regexp&amp;""""</f>
        <v>#REF!</v>
      </c>
      <c r="GBF28" s="234" t="e">
        <f>astrogrep_path&amp;" /e /r /s /spath="&amp;search_path&amp;" /stypes=""app*"&amp;GAB28&amp;"*"&amp;TEXT(GAI28-utc_offset/24,"YYYYMMDD")&amp;"*"" /stext="" "&amp;TEXT(GAI28-utc_offset/24,"HH")&amp;search_regexp&amp;""""</f>
        <v>#REF!</v>
      </c>
      <c r="GBG28" s="234" t="e">
        <f>astrogrep_path&amp;" /e /r /s /spath="&amp;search_path&amp;" /stypes=""app*"&amp;GAC28&amp;"*"&amp;TEXT(GAJ28-utc_offset/24,"YYYYMMDD")&amp;"*"" /stext="" "&amp;TEXT(GAJ28-utc_offset/24,"HH")&amp;search_regexp&amp;""""</f>
        <v>#REF!</v>
      </c>
      <c r="GBH28" s="234" t="e">
        <f>astrogrep_path&amp;" /e /r /s /spath="&amp;search_path&amp;" /stypes=""app*"&amp;GAD28&amp;"*"&amp;TEXT(GAK28-utc_offset/24,"YYYYMMDD")&amp;"*"" /stext="" "&amp;TEXT(GAK28-utc_offset/24,"HH")&amp;search_regexp&amp;""""</f>
        <v>#REF!</v>
      </c>
      <c r="GBI28" s="234" t="e">
        <f>astrogrep_path&amp;" /e /r /s /spath="&amp;search_path&amp;" /stypes=""app*"&amp;GAE28&amp;"*"&amp;TEXT(GAL28-utc_offset/24,"YYYYMMDD")&amp;"*"" /stext="" "&amp;TEXT(GAL28-utc_offset/24,"HH")&amp;search_regexp&amp;""""</f>
        <v>#REF!</v>
      </c>
      <c r="GBJ28" s="234" t="e">
        <f>astrogrep_path&amp;" /e /r /s /spath="&amp;search_path&amp;" /stypes=""app*"&amp;GAF28&amp;"*"&amp;TEXT(GAM28-utc_offset/24,"YYYYMMDD")&amp;"*"" /stext="" "&amp;TEXT(GAM28-utc_offset/24,"HH")&amp;search_regexp&amp;""""</f>
        <v>#REF!</v>
      </c>
      <c r="GBK28" s="234" t="e">
        <f>astrogrep_path&amp;" /e /r /s /spath="&amp;search_path&amp;" /stypes=""app*"&amp;GAG28&amp;"*"&amp;TEXT(GAN28-utc_offset/24,"YYYYMMDD")&amp;"*"" /stext="" "&amp;TEXT(GAN28-utc_offset/24,"HH")&amp;search_regexp&amp;""""</f>
        <v>#REF!</v>
      </c>
      <c r="GBL28" s="234" t="e">
        <f>astrogrep_path&amp;" /e /r /s /spath="&amp;search_path&amp;" /stypes=""app*"&amp;GAH28&amp;"*"&amp;TEXT(GAO28-utc_offset/24,"YYYYMMDD")&amp;"*"" /stext="" "&amp;TEXT(GAO28-utc_offset/24,"HH")&amp;search_regexp&amp;""""</f>
        <v>#REF!</v>
      </c>
      <c r="GBM28" s="234" t="e">
        <f>astrogrep_path&amp;" /e /r /s /spath="&amp;search_path&amp;" /stypes=""app*"&amp;GAI28&amp;"*"&amp;TEXT(GAP28-utc_offset/24,"YYYYMMDD")&amp;"*"" /stext="" "&amp;TEXT(GAP28-utc_offset/24,"HH")&amp;search_regexp&amp;""""</f>
        <v>#REF!</v>
      </c>
      <c r="GBN28" s="234" t="e">
        <f>astrogrep_path&amp;" /e /r /s /spath="&amp;search_path&amp;" /stypes=""app*"&amp;GAJ28&amp;"*"&amp;TEXT(GAQ28-utc_offset/24,"YYYYMMDD")&amp;"*"" /stext="" "&amp;TEXT(GAQ28-utc_offset/24,"HH")&amp;search_regexp&amp;""""</f>
        <v>#REF!</v>
      </c>
      <c r="GBO28" s="234" t="e">
        <f>astrogrep_path&amp;" /e /r /s /spath="&amp;search_path&amp;" /stypes=""app*"&amp;GAK28&amp;"*"&amp;TEXT(GAR28-utc_offset/24,"YYYYMMDD")&amp;"*"" /stext="" "&amp;TEXT(GAR28-utc_offset/24,"HH")&amp;search_regexp&amp;""""</f>
        <v>#REF!</v>
      </c>
      <c r="GBP28" s="234" t="e">
        <f>astrogrep_path&amp;" /e /r /s /spath="&amp;search_path&amp;" /stypes=""app*"&amp;GAL28&amp;"*"&amp;TEXT(GAS28-utc_offset/24,"YYYYMMDD")&amp;"*"" /stext="" "&amp;TEXT(GAS28-utc_offset/24,"HH")&amp;search_regexp&amp;""""</f>
        <v>#REF!</v>
      </c>
      <c r="GBQ28" s="234" t="e">
        <f>astrogrep_path&amp;" /e /r /s /spath="&amp;search_path&amp;" /stypes=""app*"&amp;GAM28&amp;"*"&amp;TEXT(GAT28-utc_offset/24,"YYYYMMDD")&amp;"*"" /stext="" "&amp;TEXT(GAT28-utc_offset/24,"HH")&amp;search_regexp&amp;""""</f>
        <v>#VALUE!</v>
      </c>
      <c r="GBR28" s="234" t="e">
        <f>astrogrep_path&amp;" /e /r /s /spath="&amp;search_path&amp;" /stypes=""app*"&amp;GAN28&amp;"*"&amp;TEXT(GAU28-utc_offset/24,"YYYYMMDD")&amp;"*"" /stext="" "&amp;TEXT(GAU28-utc_offset/24,"HH")&amp;search_regexp&amp;""""</f>
        <v>#VALUE!</v>
      </c>
      <c r="GBS28" s="234" t="e">
        <f>astrogrep_path&amp;" /e /r /s /spath="&amp;search_path&amp;" /stypes=""app*"&amp;GAO28&amp;"*"&amp;TEXT(GAV28-utc_offset/24,"YYYYMMDD")&amp;"*"" /stext="" "&amp;TEXT(GAV28-utc_offset/24,"HH")&amp;search_regexp&amp;""""</f>
        <v>#REF!</v>
      </c>
      <c r="GBT28" s="234" t="e">
        <f>astrogrep_path&amp;" /e /r /s /spath="&amp;search_path&amp;" /stypes=""app*"&amp;GAP28&amp;"*"&amp;TEXT(GAW28-utc_offset/24,"YYYYMMDD")&amp;"*"" /stext="" "&amp;TEXT(GAW28-utc_offset/24,"HH")&amp;search_regexp&amp;""""</f>
        <v>#REF!</v>
      </c>
      <c r="GBU28" s="234" t="e">
        <f>astrogrep_path&amp;" /e /r /s /spath="&amp;search_path&amp;" /stypes=""app*"&amp;GAQ28&amp;"*"&amp;TEXT(GAX28-utc_offset/24,"YYYYMMDD")&amp;"*"" /stext="" "&amp;TEXT(GAX28-utc_offset/24,"HH")&amp;search_regexp&amp;""""</f>
        <v>#VALUE!</v>
      </c>
      <c r="GBV28" s="234" t="e">
        <f>astrogrep_path&amp;" /e /r /s /spath="&amp;search_path&amp;" /stypes=""app*"&amp;GAR28&amp;"*"&amp;TEXT(GAY28-utc_offset/24,"YYYYMMDD")&amp;"*"" /stext="" "&amp;TEXT(GAY28-utc_offset/24,"HH")&amp;search_regexp&amp;""""</f>
        <v>#VALUE!</v>
      </c>
      <c r="GBW28" s="234" t="e">
        <f>astrogrep_path&amp;" /e /r /s /spath="&amp;search_path&amp;" /stypes=""app*"&amp;GAS28&amp;"*"&amp;TEXT(GAZ28-utc_offset/24,"YYYYMMDD")&amp;"*"" /stext="" "&amp;TEXT(GAZ28-utc_offset/24,"HH")&amp;search_regexp&amp;""""</f>
        <v>#VALUE!</v>
      </c>
      <c r="GBX28" s="234" t="e">
        <f>astrogrep_path&amp;" /e /r /s /spath="&amp;search_path&amp;" /stypes=""app*"&amp;GAT28&amp;"*"&amp;TEXT(GBA28-utc_offset/24,"YYYYMMDD")&amp;"*"" /stext="" "&amp;TEXT(GBA28-utc_offset/24,"HH")&amp;search_regexp&amp;""""</f>
        <v>#VALUE!</v>
      </c>
      <c r="GBY28" s="234" t="e">
        <f>astrogrep_path&amp;" /e /r /s /spath="&amp;search_path&amp;" /stypes=""app*"&amp;GAU28&amp;"*"&amp;TEXT(GBB28-utc_offset/24,"YYYYMMDD")&amp;"*"" /stext="" "&amp;TEXT(GBB28-utc_offset/24,"HH")&amp;search_regexp&amp;""""</f>
        <v>#VALUE!</v>
      </c>
      <c r="GBZ28" s="234" t="e">
        <f>astrogrep_path&amp;" /e /r /s /spath="&amp;search_path&amp;" /stypes=""app*"&amp;GAV28&amp;"*"&amp;TEXT(GBC28-utc_offset/24,"YYYYMMDD")&amp;"*"" /stext="" "&amp;TEXT(GBC28-utc_offset/24,"HH")&amp;search_regexp&amp;""""</f>
        <v>#REF!</v>
      </c>
      <c r="GCA28" s="234" t="e">
        <f>astrogrep_path&amp;" /e /r /s /spath="&amp;search_path&amp;" /stypes=""app*"&amp;GAW28&amp;"*"&amp;TEXT(GBD28-utc_offset/24,"YYYYMMDD")&amp;"*"" /stext="" "&amp;TEXT(GBD28-utc_offset/24,"HH")&amp;search_regexp&amp;""""</f>
        <v>#REF!</v>
      </c>
      <c r="GCB28" s="234" t="e">
        <f>astrogrep_path&amp;" /e /r /s /spath="&amp;search_path&amp;" /stypes=""app*"&amp;GAX28&amp;"*"&amp;TEXT(GBE28-utc_offset/24,"YYYYMMDD")&amp;"*"" /stext="" "&amp;TEXT(GBE28-utc_offset/24,"HH")&amp;search_regexp&amp;""""</f>
        <v>#REF!</v>
      </c>
      <c r="GCC28" s="234" t="e">
        <f>astrogrep_path&amp;" /e /r /s /spath="&amp;search_path&amp;" /stypes=""app*"&amp;GAY28&amp;"*"&amp;TEXT(GBF28-utc_offset/24,"YYYYMMDD")&amp;"*"" /stext="" "&amp;TEXT(GBF28-utc_offset/24,"HH")&amp;search_regexp&amp;""""</f>
        <v>#REF!</v>
      </c>
      <c r="GCD28" s="234" t="e">
        <f>astrogrep_path&amp;" /e /r /s /spath="&amp;search_path&amp;" /stypes=""app*"&amp;GAZ28&amp;"*"&amp;TEXT(GBG28-utc_offset/24,"YYYYMMDD")&amp;"*"" /stext="" "&amp;TEXT(GBG28-utc_offset/24,"HH")&amp;search_regexp&amp;""""</f>
        <v>#REF!</v>
      </c>
      <c r="GCE28" s="234" t="e">
        <f>astrogrep_path&amp;" /e /r /s /spath="&amp;search_path&amp;" /stypes=""app*"&amp;GBA28&amp;"*"&amp;TEXT(GBH28-utc_offset/24,"YYYYMMDD")&amp;"*"" /stext="" "&amp;TEXT(GBH28-utc_offset/24,"HH")&amp;search_regexp&amp;""""</f>
        <v>#REF!</v>
      </c>
      <c r="GCF28" s="234" t="e">
        <f>astrogrep_path&amp;" /e /r /s /spath="&amp;search_path&amp;" /stypes=""app*"&amp;GBB28&amp;"*"&amp;TEXT(GBI28-utc_offset/24,"YYYYMMDD")&amp;"*"" /stext="" "&amp;TEXT(GBI28-utc_offset/24,"HH")&amp;search_regexp&amp;""""</f>
        <v>#REF!</v>
      </c>
      <c r="GCG28" s="234" t="e">
        <f>astrogrep_path&amp;" /e /r /s /spath="&amp;search_path&amp;" /stypes=""app*"&amp;GBC28&amp;"*"&amp;TEXT(GBJ28-utc_offset/24,"YYYYMMDD")&amp;"*"" /stext="" "&amp;TEXT(GBJ28-utc_offset/24,"HH")&amp;search_regexp&amp;""""</f>
        <v>#REF!</v>
      </c>
      <c r="GCH28" s="234" t="e">
        <f>astrogrep_path&amp;" /e /r /s /spath="&amp;search_path&amp;" /stypes=""app*"&amp;GBD28&amp;"*"&amp;TEXT(GBK28-utc_offset/24,"YYYYMMDD")&amp;"*"" /stext="" "&amp;TEXT(GBK28-utc_offset/24,"HH")&amp;search_regexp&amp;""""</f>
        <v>#REF!</v>
      </c>
      <c r="GCI28" s="234" t="e">
        <f>astrogrep_path&amp;" /e /r /s /spath="&amp;search_path&amp;" /stypes=""app*"&amp;GBE28&amp;"*"&amp;TEXT(GBL28-utc_offset/24,"YYYYMMDD")&amp;"*"" /stext="" "&amp;TEXT(GBL28-utc_offset/24,"HH")&amp;search_regexp&amp;""""</f>
        <v>#REF!</v>
      </c>
      <c r="GCJ28" s="234" t="e">
        <f>astrogrep_path&amp;" /e /r /s /spath="&amp;search_path&amp;" /stypes=""app*"&amp;GBF28&amp;"*"&amp;TEXT(GBM28-utc_offset/24,"YYYYMMDD")&amp;"*"" /stext="" "&amp;TEXT(GBM28-utc_offset/24,"HH")&amp;search_regexp&amp;""""</f>
        <v>#REF!</v>
      </c>
      <c r="GCK28" s="234" t="e">
        <f>astrogrep_path&amp;" /e /r /s /spath="&amp;search_path&amp;" /stypes=""app*"&amp;GBG28&amp;"*"&amp;TEXT(GBN28-utc_offset/24,"YYYYMMDD")&amp;"*"" /stext="" "&amp;TEXT(GBN28-utc_offset/24,"HH")&amp;search_regexp&amp;""""</f>
        <v>#REF!</v>
      </c>
      <c r="GCL28" s="234" t="e">
        <f>astrogrep_path&amp;" /e /r /s /spath="&amp;search_path&amp;" /stypes=""app*"&amp;GBH28&amp;"*"&amp;TEXT(GBO28-utc_offset/24,"YYYYMMDD")&amp;"*"" /stext="" "&amp;TEXT(GBO28-utc_offset/24,"HH")&amp;search_regexp&amp;""""</f>
        <v>#REF!</v>
      </c>
      <c r="GCM28" s="234" t="e">
        <f>astrogrep_path&amp;" /e /r /s /spath="&amp;search_path&amp;" /stypes=""app*"&amp;GBI28&amp;"*"&amp;TEXT(GBP28-utc_offset/24,"YYYYMMDD")&amp;"*"" /stext="" "&amp;TEXT(GBP28-utc_offset/24,"HH")&amp;search_regexp&amp;""""</f>
        <v>#REF!</v>
      </c>
      <c r="GCN28" s="234" t="e">
        <f>astrogrep_path&amp;" /e /r /s /spath="&amp;search_path&amp;" /stypes=""app*"&amp;GBJ28&amp;"*"&amp;TEXT(GBQ28-utc_offset/24,"YYYYMMDD")&amp;"*"" /stext="" "&amp;TEXT(GBQ28-utc_offset/24,"HH")&amp;search_regexp&amp;""""</f>
        <v>#REF!</v>
      </c>
      <c r="GCO28" s="234" t="e">
        <f>astrogrep_path&amp;" /e /r /s /spath="&amp;search_path&amp;" /stypes=""app*"&amp;GBK28&amp;"*"&amp;TEXT(GBR28-utc_offset/24,"YYYYMMDD")&amp;"*"" /stext="" "&amp;TEXT(GBR28-utc_offset/24,"HH")&amp;search_regexp&amp;""""</f>
        <v>#REF!</v>
      </c>
      <c r="GCP28" s="234" t="e">
        <f>astrogrep_path&amp;" /e /r /s /spath="&amp;search_path&amp;" /stypes=""app*"&amp;GBL28&amp;"*"&amp;TEXT(GBS28-utc_offset/24,"YYYYMMDD")&amp;"*"" /stext="" "&amp;TEXT(GBS28-utc_offset/24,"HH")&amp;search_regexp&amp;""""</f>
        <v>#REF!</v>
      </c>
      <c r="GCQ28" s="234" t="e">
        <f>astrogrep_path&amp;" /e /r /s /spath="&amp;search_path&amp;" /stypes=""app*"&amp;GBM28&amp;"*"&amp;TEXT(GBT28-utc_offset/24,"YYYYMMDD")&amp;"*"" /stext="" "&amp;TEXT(GBT28-utc_offset/24,"HH")&amp;search_regexp&amp;""""</f>
        <v>#REF!</v>
      </c>
      <c r="GCR28" s="234" t="e">
        <f>astrogrep_path&amp;" /e /r /s /spath="&amp;search_path&amp;" /stypes=""app*"&amp;GBN28&amp;"*"&amp;TEXT(GBU28-utc_offset/24,"YYYYMMDD")&amp;"*"" /stext="" "&amp;TEXT(GBU28-utc_offset/24,"HH")&amp;search_regexp&amp;""""</f>
        <v>#REF!</v>
      </c>
      <c r="GCS28" s="234" t="e">
        <f>astrogrep_path&amp;" /e /r /s /spath="&amp;search_path&amp;" /stypes=""app*"&amp;GBO28&amp;"*"&amp;TEXT(GBV28-utc_offset/24,"YYYYMMDD")&amp;"*"" /stext="" "&amp;TEXT(GBV28-utc_offset/24,"HH")&amp;search_regexp&amp;""""</f>
        <v>#REF!</v>
      </c>
      <c r="GCT28" s="234" t="e">
        <f>astrogrep_path&amp;" /e /r /s /spath="&amp;search_path&amp;" /stypes=""app*"&amp;GBP28&amp;"*"&amp;TEXT(GBW28-utc_offset/24,"YYYYMMDD")&amp;"*"" /stext="" "&amp;TEXT(GBW28-utc_offset/24,"HH")&amp;search_regexp&amp;""""</f>
        <v>#REF!</v>
      </c>
      <c r="GCU28" s="234" t="e">
        <f>astrogrep_path&amp;" /e /r /s /spath="&amp;search_path&amp;" /stypes=""app*"&amp;GBQ28&amp;"*"&amp;TEXT(GBX28-utc_offset/24,"YYYYMMDD")&amp;"*"" /stext="" "&amp;TEXT(GBX28-utc_offset/24,"HH")&amp;search_regexp&amp;""""</f>
        <v>#VALUE!</v>
      </c>
      <c r="GCV28" s="234" t="e">
        <f>astrogrep_path&amp;" /e /r /s /spath="&amp;search_path&amp;" /stypes=""app*"&amp;GBR28&amp;"*"&amp;TEXT(GBY28-utc_offset/24,"YYYYMMDD")&amp;"*"" /stext="" "&amp;TEXT(GBY28-utc_offset/24,"HH")&amp;search_regexp&amp;""""</f>
        <v>#VALUE!</v>
      </c>
      <c r="GCW28" s="234" t="e">
        <f>astrogrep_path&amp;" /e /r /s /spath="&amp;search_path&amp;" /stypes=""app*"&amp;GBS28&amp;"*"&amp;TEXT(GBZ28-utc_offset/24,"YYYYMMDD")&amp;"*"" /stext="" "&amp;TEXT(GBZ28-utc_offset/24,"HH")&amp;search_regexp&amp;""""</f>
        <v>#REF!</v>
      </c>
      <c r="GCX28" s="234" t="e">
        <f>astrogrep_path&amp;" /e /r /s /spath="&amp;search_path&amp;" /stypes=""app*"&amp;GBT28&amp;"*"&amp;TEXT(GCA28-utc_offset/24,"YYYYMMDD")&amp;"*"" /stext="" "&amp;TEXT(GCA28-utc_offset/24,"HH")&amp;search_regexp&amp;""""</f>
        <v>#REF!</v>
      </c>
      <c r="GCY28" s="234" t="e">
        <f>astrogrep_path&amp;" /e /r /s /spath="&amp;search_path&amp;" /stypes=""app*"&amp;GBU28&amp;"*"&amp;TEXT(GCB28-utc_offset/24,"YYYYMMDD")&amp;"*"" /stext="" "&amp;TEXT(GCB28-utc_offset/24,"HH")&amp;search_regexp&amp;""""</f>
        <v>#VALUE!</v>
      </c>
      <c r="GCZ28" s="234" t="e">
        <f>astrogrep_path&amp;" /e /r /s /spath="&amp;search_path&amp;" /stypes=""app*"&amp;GBV28&amp;"*"&amp;TEXT(GCC28-utc_offset/24,"YYYYMMDD")&amp;"*"" /stext="" "&amp;TEXT(GCC28-utc_offset/24,"HH")&amp;search_regexp&amp;""""</f>
        <v>#VALUE!</v>
      </c>
      <c r="GDA28" s="234" t="e">
        <f>astrogrep_path&amp;" /e /r /s /spath="&amp;search_path&amp;" /stypes=""app*"&amp;GBW28&amp;"*"&amp;TEXT(GCD28-utc_offset/24,"YYYYMMDD")&amp;"*"" /stext="" "&amp;TEXT(GCD28-utc_offset/24,"HH")&amp;search_regexp&amp;""""</f>
        <v>#VALUE!</v>
      </c>
      <c r="GDB28" s="234" t="e">
        <f>astrogrep_path&amp;" /e /r /s /spath="&amp;search_path&amp;" /stypes=""app*"&amp;GBX28&amp;"*"&amp;TEXT(GCE28-utc_offset/24,"YYYYMMDD")&amp;"*"" /stext="" "&amp;TEXT(GCE28-utc_offset/24,"HH")&amp;search_regexp&amp;""""</f>
        <v>#VALUE!</v>
      </c>
      <c r="GDC28" s="234" t="e">
        <f>astrogrep_path&amp;" /e /r /s /spath="&amp;search_path&amp;" /stypes=""app*"&amp;GBY28&amp;"*"&amp;TEXT(GCF28-utc_offset/24,"YYYYMMDD")&amp;"*"" /stext="" "&amp;TEXT(GCF28-utc_offset/24,"HH")&amp;search_regexp&amp;""""</f>
        <v>#VALUE!</v>
      </c>
      <c r="GDD28" s="234" t="e">
        <f>astrogrep_path&amp;" /e /r /s /spath="&amp;search_path&amp;" /stypes=""app*"&amp;GBZ28&amp;"*"&amp;TEXT(GCG28-utc_offset/24,"YYYYMMDD")&amp;"*"" /stext="" "&amp;TEXT(GCG28-utc_offset/24,"HH")&amp;search_regexp&amp;""""</f>
        <v>#REF!</v>
      </c>
      <c r="GDE28" s="234" t="e">
        <f>astrogrep_path&amp;" /e /r /s /spath="&amp;search_path&amp;" /stypes=""app*"&amp;GCA28&amp;"*"&amp;TEXT(GCH28-utc_offset/24,"YYYYMMDD")&amp;"*"" /stext="" "&amp;TEXT(GCH28-utc_offset/24,"HH")&amp;search_regexp&amp;""""</f>
        <v>#REF!</v>
      </c>
      <c r="GDF28" s="234" t="e">
        <f>astrogrep_path&amp;" /e /r /s /spath="&amp;search_path&amp;" /stypes=""app*"&amp;GCB28&amp;"*"&amp;TEXT(GCI28-utc_offset/24,"YYYYMMDD")&amp;"*"" /stext="" "&amp;TEXT(GCI28-utc_offset/24,"HH")&amp;search_regexp&amp;""""</f>
        <v>#REF!</v>
      </c>
      <c r="GDG28" s="234" t="e">
        <f>astrogrep_path&amp;" /e /r /s /spath="&amp;search_path&amp;" /stypes=""app*"&amp;GCC28&amp;"*"&amp;TEXT(GCJ28-utc_offset/24,"YYYYMMDD")&amp;"*"" /stext="" "&amp;TEXT(GCJ28-utc_offset/24,"HH")&amp;search_regexp&amp;""""</f>
        <v>#REF!</v>
      </c>
      <c r="GDH28" s="234" t="e">
        <f>astrogrep_path&amp;" /e /r /s /spath="&amp;search_path&amp;" /stypes=""app*"&amp;GCD28&amp;"*"&amp;TEXT(GCK28-utc_offset/24,"YYYYMMDD")&amp;"*"" /stext="" "&amp;TEXT(GCK28-utc_offset/24,"HH")&amp;search_regexp&amp;""""</f>
        <v>#REF!</v>
      </c>
      <c r="GDI28" s="234" t="e">
        <f>astrogrep_path&amp;" /e /r /s /spath="&amp;search_path&amp;" /stypes=""app*"&amp;GCE28&amp;"*"&amp;TEXT(GCL28-utc_offset/24,"YYYYMMDD")&amp;"*"" /stext="" "&amp;TEXT(GCL28-utc_offset/24,"HH")&amp;search_regexp&amp;""""</f>
        <v>#REF!</v>
      </c>
      <c r="GDJ28" s="234" t="e">
        <f>astrogrep_path&amp;" /e /r /s /spath="&amp;search_path&amp;" /stypes=""app*"&amp;GCF28&amp;"*"&amp;TEXT(GCM28-utc_offset/24,"YYYYMMDD")&amp;"*"" /stext="" "&amp;TEXT(GCM28-utc_offset/24,"HH")&amp;search_regexp&amp;""""</f>
        <v>#REF!</v>
      </c>
      <c r="GDK28" s="234" t="e">
        <f>astrogrep_path&amp;" /e /r /s /spath="&amp;search_path&amp;" /stypes=""app*"&amp;GCG28&amp;"*"&amp;TEXT(GCN28-utc_offset/24,"YYYYMMDD")&amp;"*"" /stext="" "&amp;TEXT(GCN28-utc_offset/24,"HH")&amp;search_regexp&amp;""""</f>
        <v>#REF!</v>
      </c>
      <c r="GDL28" s="234" t="e">
        <f>astrogrep_path&amp;" /e /r /s /spath="&amp;search_path&amp;" /stypes=""app*"&amp;GCH28&amp;"*"&amp;TEXT(GCO28-utc_offset/24,"YYYYMMDD")&amp;"*"" /stext="" "&amp;TEXT(GCO28-utc_offset/24,"HH")&amp;search_regexp&amp;""""</f>
        <v>#REF!</v>
      </c>
      <c r="GDM28" s="234" t="e">
        <f>astrogrep_path&amp;" /e /r /s /spath="&amp;search_path&amp;" /stypes=""app*"&amp;GCI28&amp;"*"&amp;TEXT(GCP28-utc_offset/24,"YYYYMMDD")&amp;"*"" /stext="" "&amp;TEXT(GCP28-utc_offset/24,"HH")&amp;search_regexp&amp;""""</f>
        <v>#REF!</v>
      </c>
      <c r="GDN28" s="234" t="e">
        <f>astrogrep_path&amp;" /e /r /s /spath="&amp;search_path&amp;" /stypes=""app*"&amp;GCJ28&amp;"*"&amp;TEXT(GCQ28-utc_offset/24,"YYYYMMDD")&amp;"*"" /stext="" "&amp;TEXT(GCQ28-utc_offset/24,"HH")&amp;search_regexp&amp;""""</f>
        <v>#REF!</v>
      </c>
      <c r="GDO28" s="234" t="e">
        <f>astrogrep_path&amp;" /e /r /s /spath="&amp;search_path&amp;" /stypes=""app*"&amp;GCK28&amp;"*"&amp;TEXT(GCR28-utc_offset/24,"YYYYMMDD")&amp;"*"" /stext="" "&amp;TEXT(GCR28-utc_offset/24,"HH")&amp;search_regexp&amp;""""</f>
        <v>#REF!</v>
      </c>
      <c r="GDP28" s="234" t="e">
        <f>astrogrep_path&amp;" /e /r /s /spath="&amp;search_path&amp;" /stypes=""app*"&amp;GCL28&amp;"*"&amp;TEXT(GCS28-utc_offset/24,"YYYYMMDD")&amp;"*"" /stext="" "&amp;TEXT(GCS28-utc_offset/24,"HH")&amp;search_regexp&amp;""""</f>
        <v>#REF!</v>
      </c>
      <c r="GDQ28" s="234" t="e">
        <f>astrogrep_path&amp;" /e /r /s /spath="&amp;search_path&amp;" /stypes=""app*"&amp;GCM28&amp;"*"&amp;TEXT(GCT28-utc_offset/24,"YYYYMMDD")&amp;"*"" /stext="" "&amp;TEXT(GCT28-utc_offset/24,"HH")&amp;search_regexp&amp;""""</f>
        <v>#REF!</v>
      </c>
      <c r="GDR28" s="234" t="e">
        <f>astrogrep_path&amp;" /e /r /s /spath="&amp;search_path&amp;" /stypes=""app*"&amp;GCN28&amp;"*"&amp;TEXT(GCU28-utc_offset/24,"YYYYMMDD")&amp;"*"" /stext="" "&amp;TEXT(GCU28-utc_offset/24,"HH")&amp;search_regexp&amp;""""</f>
        <v>#REF!</v>
      </c>
      <c r="GDS28" s="234" t="e">
        <f>astrogrep_path&amp;" /e /r /s /spath="&amp;search_path&amp;" /stypes=""app*"&amp;GCO28&amp;"*"&amp;TEXT(GCV28-utc_offset/24,"YYYYMMDD")&amp;"*"" /stext="" "&amp;TEXT(GCV28-utc_offset/24,"HH")&amp;search_regexp&amp;""""</f>
        <v>#REF!</v>
      </c>
      <c r="GDT28" s="234" t="e">
        <f>astrogrep_path&amp;" /e /r /s /spath="&amp;search_path&amp;" /stypes=""app*"&amp;GCP28&amp;"*"&amp;TEXT(GCW28-utc_offset/24,"YYYYMMDD")&amp;"*"" /stext="" "&amp;TEXT(GCW28-utc_offset/24,"HH")&amp;search_regexp&amp;""""</f>
        <v>#REF!</v>
      </c>
      <c r="GDU28" s="234" t="e">
        <f>astrogrep_path&amp;" /e /r /s /spath="&amp;search_path&amp;" /stypes=""app*"&amp;GCQ28&amp;"*"&amp;TEXT(GCX28-utc_offset/24,"YYYYMMDD")&amp;"*"" /stext="" "&amp;TEXT(GCX28-utc_offset/24,"HH")&amp;search_regexp&amp;""""</f>
        <v>#REF!</v>
      </c>
      <c r="GDV28" s="234" t="e">
        <f>astrogrep_path&amp;" /e /r /s /spath="&amp;search_path&amp;" /stypes=""app*"&amp;GCR28&amp;"*"&amp;TEXT(GCY28-utc_offset/24,"YYYYMMDD")&amp;"*"" /stext="" "&amp;TEXT(GCY28-utc_offset/24,"HH")&amp;search_regexp&amp;""""</f>
        <v>#REF!</v>
      </c>
      <c r="GDW28" s="234" t="e">
        <f>astrogrep_path&amp;" /e /r /s /spath="&amp;search_path&amp;" /stypes=""app*"&amp;GCS28&amp;"*"&amp;TEXT(GCZ28-utc_offset/24,"YYYYMMDD")&amp;"*"" /stext="" "&amp;TEXT(GCZ28-utc_offset/24,"HH")&amp;search_regexp&amp;""""</f>
        <v>#REF!</v>
      </c>
      <c r="GDX28" s="234" t="e">
        <f>astrogrep_path&amp;" /e /r /s /spath="&amp;search_path&amp;" /stypes=""app*"&amp;GCT28&amp;"*"&amp;TEXT(GDA28-utc_offset/24,"YYYYMMDD")&amp;"*"" /stext="" "&amp;TEXT(GDA28-utc_offset/24,"HH")&amp;search_regexp&amp;""""</f>
        <v>#REF!</v>
      </c>
      <c r="GDY28" s="234" t="e">
        <f>astrogrep_path&amp;" /e /r /s /spath="&amp;search_path&amp;" /stypes=""app*"&amp;GCU28&amp;"*"&amp;TEXT(GDB28-utc_offset/24,"YYYYMMDD")&amp;"*"" /stext="" "&amp;TEXT(GDB28-utc_offset/24,"HH")&amp;search_regexp&amp;""""</f>
        <v>#VALUE!</v>
      </c>
      <c r="GDZ28" s="234" t="e">
        <f>astrogrep_path&amp;" /e /r /s /spath="&amp;search_path&amp;" /stypes=""app*"&amp;GCV28&amp;"*"&amp;TEXT(GDC28-utc_offset/24,"YYYYMMDD")&amp;"*"" /stext="" "&amp;TEXT(GDC28-utc_offset/24,"HH")&amp;search_regexp&amp;""""</f>
        <v>#VALUE!</v>
      </c>
      <c r="GEA28" s="234" t="e">
        <f>astrogrep_path&amp;" /e /r /s /spath="&amp;search_path&amp;" /stypes=""app*"&amp;GCW28&amp;"*"&amp;TEXT(GDD28-utc_offset/24,"YYYYMMDD")&amp;"*"" /stext="" "&amp;TEXT(GDD28-utc_offset/24,"HH")&amp;search_regexp&amp;""""</f>
        <v>#REF!</v>
      </c>
      <c r="GEB28" s="234" t="e">
        <f>astrogrep_path&amp;" /e /r /s /spath="&amp;search_path&amp;" /stypes=""app*"&amp;GCX28&amp;"*"&amp;TEXT(GDE28-utc_offset/24,"YYYYMMDD")&amp;"*"" /stext="" "&amp;TEXT(GDE28-utc_offset/24,"HH")&amp;search_regexp&amp;""""</f>
        <v>#REF!</v>
      </c>
      <c r="GEC28" s="234" t="e">
        <f>astrogrep_path&amp;" /e /r /s /spath="&amp;search_path&amp;" /stypes=""app*"&amp;GCY28&amp;"*"&amp;TEXT(GDF28-utc_offset/24,"YYYYMMDD")&amp;"*"" /stext="" "&amp;TEXT(GDF28-utc_offset/24,"HH")&amp;search_regexp&amp;""""</f>
        <v>#VALUE!</v>
      </c>
      <c r="GED28" s="234" t="e">
        <f>astrogrep_path&amp;" /e /r /s /spath="&amp;search_path&amp;" /stypes=""app*"&amp;GCZ28&amp;"*"&amp;TEXT(GDG28-utc_offset/24,"YYYYMMDD")&amp;"*"" /stext="" "&amp;TEXT(GDG28-utc_offset/24,"HH")&amp;search_regexp&amp;""""</f>
        <v>#VALUE!</v>
      </c>
      <c r="GEE28" s="234" t="e">
        <f>astrogrep_path&amp;" /e /r /s /spath="&amp;search_path&amp;" /stypes=""app*"&amp;GDA28&amp;"*"&amp;TEXT(GDH28-utc_offset/24,"YYYYMMDD")&amp;"*"" /stext="" "&amp;TEXT(GDH28-utc_offset/24,"HH")&amp;search_regexp&amp;""""</f>
        <v>#VALUE!</v>
      </c>
      <c r="GEF28" s="234" t="e">
        <f>astrogrep_path&amp;" /e /r /s /spath="&amp;search_path&amp;" /stypes=""app*"&amp;GDB28&amp;"*"&amp;TEXT(GDI28-utc_offset/24,"YYYYMMDD")&amp;"*"" /stext="" "&amp;TEXT(GDI28-utc_offset/24,"HH")&amp;search_regexp&amp;""""</f>
        <v>#VALUE!</v>
      </c>
      <c r="GEG28" s="234" t="e">
        <f>astrogrep_path&amp;" /e /r /s /spath="&amp;search_path&amp;" /stypes=""app*"&amp;GDC28&amp;"*"&amp;TEXT(GDJ28-utc_offset/24,"YYYYMMDD")&amp;"*"" /stext="" "&amp;TEXT(GDJ28-utc_offset/24,"HH")&amp;search_regexp&amp;""""</f>
        <v>#VALUE!</v>
      </c>
      <c r="GEH28" s="234" t="e">
        <f>astrogrep_path&amp;" /e /r /s /spath="&amp;search_path&amp;" /stypes=""app*"&amp;GDD28&amp;"*"&amp;TEXT(GDK28-utc_offset/24,"YYYYMMDD")&amp;"*"" /stext="" "&amp;TEXT(GDK28-utc_offset/24,"HH")&amp;search_regexp&amp;""""</f>
        <v>#REF!</v>
      </c>
      <c r="GEI28" s="234" t="e">
        <f>astrogrep_path&amp;" /e /r /s /spath="&amp;search_path&amp;" /stypes=""app*"&amp;GDE28&amp;"*"&amp;TEXT(GDL28-utc_offset/24,"YYYYMMDD")&amp;"*"" /stext="" "&amp;TEXT(GDL28-utc_offset/24,"HH")&amp;search_regexp&amp;""""</f>
        <v>#REF!</v>
      </c>
      <c r="GEJ28" s="234" t="e">
        <f>astrogrep_path&amp;" /e /r /s /spath="&amp;search_path&amp;" /stypes=""app*"&amp;GDF28&amp;"*"&amp;TEXT(GDM28-utc_offset/24,"YYYYMMDD")&amp;"*"" /stext="" "&amp;TEXT(GDM28-utc_offset/24,"HH")&amp;search_regexp&amp;""""</f>
        <v>#REF!</v>
      </c>
      <c r="GEK28" s="234" t="e">
        <f>astrogrep_path&amp;" /e /r /s /spath="&amp;search_path&amp;" /stypes=""app*"&amp;GDG28&amp;"*"&amp;TEXT(GDN28-utc_offset/24,"YYYYMMDD")&amp;"*"" /stext="" "&amp;TEXT(GDN28-utc_offset/24,"HH")&amp;search_regexp&amp;""""</f>
        <v>#REF!</v>
      </c>
      <c r="GEL28" s="234" t="e">
        <f>astrogrep_path&amp;" /e /r /s /spath="&amp;search_path&amp;" /stypes=""app*"&amp;GDH28&amp;"*"&amp;TEXT(GDO28-utc_offset/24,"YYYYMMDD")&amp;"*"" /stext="" "&amp;TEXT(GDO28-utc_offset/24,"HH")&amp;search_regexp&amp;""""</f>
        <v>#REF!</v>
      </c>
      <c r="GEM28" s="234" t="e">
        <f>astrogrep_path&amp;" /e /r /s /spath="&amp;search_path&amp;" /stypes=""app*"&amp;GDI28&amp;"*"&amp;TEXT(GDP28-utc_offset/24,"YYYYMMDD")&amp;"*"" /stext="" "&amp;TEXT(GDP28-utc_offset/24,"HH")&amp;search_regexp&amp;""""</f>
        <v>#REF!</v>
      </c>
      <c r="GEN28" s="234" t="e">
        <f>astrogrep_path&amp;" /e /r /s /spath="&amp;search_path&amp;" /stypes=""app*"&amp;GDJ28&amp;"*"&amp;TEXT(GDQ28-utc_offset/24,"YYYYMMDD")&amp;"*"" /stext="" "&amp;TEXT(GDQ28-utc_offset/24,"HH")&amp;search_regexp&amp;""""</f>
        <v>#REF!</v>
      </c>
      <c r="GEO28" s="234" t="e">
        <f>astrogrep_path&amp;" /e /r /s /spath="&amp;search_path&amp;" /stypes=""app*"&amp;GDK28&amp;"*"&amp;TEXT(GDR28-utc_offset/24,"YYYYMMDD")&amp;"*"" /stext="" "&amp;TEXT(GDR28-utc_offset/24,"HH")&amp;search_regexp&amp;""""</f>
        <v>#REF!</v>
      </c>
      <c r="GEP28" s="234" t="e">
        <f>astrogrep_path&amp;" /e /r /s /spath="&amp;search_path&amp;" /stypes=""app*"&amp;GDL28&amp;"*"&amp;TEXT(GDS28-utc_offset/24,"YYYYMMDD")&amp;"*"" /stext="" "&amp;TEXT(GDS28-utc_offset/24,"HH")&amp;search_regexp&amp;""""</f>
        <v>#REF!</v>
      </c>
      <c r="GEQ28" s="234" t="e">
        <f>astrogrep_path&amp;" /e /r /s /spath="&amp;search_path&amp;" /stypes=""app*"&amp;GDM28&amp;"*"&amp;TEXT(GDT28-utc_offset/24,"YYYYMMDD")&amp;"*"" /stext="" "&amp;TEXT(GDT28-utc_offset/24,"HH")&amp;search_regexp&amp;""""</f>
        <v>#REF!</v>
      </c>
      <c r="GER28" s="234" t="e">
        <f>astrogrep_path&amp;" /e /r /s /spath="&amp;search_path&amp;" /stypes=""app*"&amp;GDN28&amp;"*"&amp;TEXT(GDU28-utc_offset/24,"YYYYMMDD")&amp;"*"" /stext="" "&amp;TEXT(GDU28-utc_offset/24,"HH")&amp;search_regexp&amp;""""</f>
        <v>#REF!</v>
      </c>
      <c r="GES28" s="234" t="e">
        <f>astrogrep_path&amp;" /e /r /s /spath="&amp;search_path&amp;" /stypes=""app*"&amp;GDO28&amp;"*"&amp;TEXT(GDV28-utc_offset/24,"YYYYMMDD")&amp;"*"" /stext="" "&amp;TEXT(GDV28-utc_offset/24,"HH")&amp;search_regexp&amp;""""</f>
        <v>#REF!</v>
      </c>
      <c r="GET28" s="234" t="e">
        <f>astrogrep_path&amp;" /e /r /s /spath="&amp;search_path&amp;" /stypes=""app*"&amp;GDP28&amp;"*"&amp;TEXT(GDW28-utc_offset/24,"YYYYMMDD")&amp;"*"" /stext="" "&amp;TEXT(GDW28-utc_offset/24,"HH")&amp;search_regexp&amp;""""</f>
        <v>#REF!</v>
      </c>
      <c r="GEU28" s="234" t="e">
        <f>astrogrep_path&amp;" /e /r /s /spath="&amp;search_path&amp;" /stypes=""app*"&amp;GDQ28&amp;"*"&amp;TEXT(GDX28-utc_offset/24,"YYYYMMDD")&amp;"*"" /stext="" "&amp;TEXT(GDX28-utc_offset/24,"HH")&amp;search_regexp&amp;""""</f>
        <v>#REF!</v>
      </c>
      <c r="GEV28" s="234" t="e">
        <f>astrogrep_path&amp;" /e /r /s /spath="&amp;search_path&amp;" /stypes=""app*"&amp;GDR28&amp;"*"&amp;TEXT(GDY28-utc_offset/24,"YYYYMMDD")&amp;"*"" /stext="" "&amp;TEXT(GDY28-utc_offset/24,"HH")&amp;search_regexp&amp;""""</f>
        <v>#REF!</v>
      </c>
      <c r="GEW28" s="234" t="e">
        <f>astrogrep_path&amp;" /e /r /s /spath="&amp;search_path&amp;" /stypes=""app*"&amp;GDS28&amp;"*"&amp;TEXT(GDZ28-utc_offset/24,"YYYYMMDD")&amp;"*"" /stext="" "&amp;TEXT(GDZ28-utc_offset/24,"HH")&amp;search_regexp&amp;""""</f>
        <v>#REF!</v>
      </c>
      <c r="GEX28" s="234" t="e">
        <f>astrogrep_path&amp;" /e /r /s /spath="&amp;search_path&amp;" /stypes=""app*"&amp;GDT28&amp;"*"&amp;TEXT(GEA28-utc_offset/24,"YYYYMMDD")&amp;"*"" /stext="" "&amp;TEXT(GEA28-utc_offset/24,"HH")&amp;search_regexp&amp;""""</f>
        <v>#REF!</v>
      </c>
      <c r="GEY28" s="234" t="e">
        <f>astrogrep_path&amp;" /e /r /s /spath="&amp;search_path&amp;" /stypes=""app*"&amp;GDU28&amp;"*"&amp;TEXT(GEB28-utc_offset/24,"YYYYMMDD")&amp;"*"" /stext="" "&amp;TEXT(GEB28-utc_offset/24,"HH")&amp;search_regexp&amp;""""</f>
        <v>#REF!</v>
      </c>
      <c r="GEZ28" s="234" t="e">
        <f>astrogrep_path&amp;" /e /r /s /spath="&amp;search_path&amp;" /stypes=""app*"&amp;GDV28&amp;"*"&amp;TEXT(GEC28-utc_offset/24,"YYYYMMDD")&amp;"*"" /stext="" "&amp;TEXT(GEC28-utc_offset/24,"HH")&amp;search_regexp&amp;""""</f>
        <v>#REF!</v>
      </c>
      <c r="GFA28" s="234" t="e">
        <f>astrogrep_path&amp;" /e /r /s /spath="&amp;search_path&amp;" /stypes=""app*"&amp;GDW28&amp;"*"&amp;TEXT(GED28-utc_offset/24,"YYYYMMDD")&amp;"*"" /stext="" "&amp;TEXT(GED28-utc_offset/24,"HH")&amp;search_regexp&amp;""""</f>
        <v>#REF!</v>
      </c>
      <c r="GFB28" s="234" t="e">
        <f>astrogrep_path&amp;" /e /r /s /spath="&amp;search_path&amp;" /stypes=""app*"&amp;GDX28&amp;"*"&amp;TEXT(GEE28-utc_offset/24,"YYYYMMDD")&amp;"*"" /stext="" "&amp;TEXT(GEE28-utc_offset/24,"HH")&amp;search_regexp&amp;""""</f>
        <v>#REF!</v>
      </c>
      <c r="GFC28" s="234" t="e">
        <f>astrogrep_path&amp;" /e /r /s /spath="&amp;search_path&amp;" /stypes=""app*"&amp;GDY28&amp;"*"&amp;TEXT(GEF28-utc_offset/24,"YYYYMMDD")&amp;"*"" /stext="" "&amp;TEXT(GEF28-utc_offset/24,"HH")&amp;search_regexp&amp;""""</f>
        <v>#VALUE!</v>
      </c>
      <c r="GFD28" s="234" t="e">
        <f>astrogrep_path&amp;" /e /r /s /spath="&amp;search_path&amp;" /stypes=""app*"&amp;GDZ28&amp;"*"&amp;TEXT(GEG28-utc_offset/24,"YYYYMMDD")&amp;"*"" /stext="" "&amp;TEXT(GEG28-utc_offset/24,"HH")&amp;search_regexp&amp;""""</f>
        <v>#VALUE!</v>
      </c>
      <c r="GFE28" s="234" t="e">
        <f>astrogrep_path&amp;" /e /r /s /spath="&amp;search_path&amp;" /stypes=""app*"&amp;GEA28&amp;"*"&amp;TEXT(GEH28-utc_offset/24,"YYYYMMDD")&amp;"*"" /stext="" "&amp;TEXT(GEH28-utc_offset/24,"HH")&amp;search_regexp&amp;""""</f>
        <v>#REF!</v>
      </c>
      <c r="GFF28" s="234" t="e">
        <f>astrogrep_path&amp;" /e /r /s /spath="&amp;search_path&amp;" /stypes=""app*"&amp;GEB28&amp;"*"&amp;TEXT(GEI28-utc_offset/24,"YYYYMMDD")&amp;"*"" /stext="" "&amp;TEXT(GEI28-utc_offset/24,"HH")&amp;search_regexp&amp;""""</f>
        <v>#REF!</v>
      </c>
      <c r="GFG28" s="234" t="e">
        <f>astrogrep_path&amp;" /e /r /s /spath="&amp;search_path&amp;" /stypes=""app*"&amp;GEC28&amp;"*"&amp;TEXT(GEJ28-utc_offset/24,"YYYYMMDD")&amp;"*"" /stext="" "&amp;TEXT(GEJ28-utc_offset/24,"HH")&amp;search_regexp&amp;""""</f>
        <v>#VALUE!</v>
      </c>
      <c r="GFH28" s="234" t="e">
        <f>astrogrep_path&amp;" /e /r /s /spath="&amp;search_path&amp;" /stypes=""app*"&amp;GED28&amp;"*"&amp;TEXT(GEK28-utc_offset/24,"YYYYMMDD")&amp;"*"" /stext="" "&amp;TEXT(GEK28-utc_offset/24,"HH")&amp;search_regexp&amp;""""</f>
        <v>#VALUE!</v>
      </c>
      <c r="GFI28" s="234" t="e">
        <f>astrogrep_path&amp;" /e /r /s /spath="&amp;search_path&amp;" /stypes=""app*"&amp;GEE28&amp;"*"&amp;TEXT(GEL28-utc_offset/24,"YYYYMMDD")&amp;"*"" /stext="" "&amp;TEXT(GEL28-utc_offset/24,"HH")&amp;search_regexp&amp;""""</f>
        <v>#VALUE!</v>
      </c>
      <c r="GFJ28" s="234" t="e">
        <f>astrogrep_path&amp;" /e /r /s /spath="&amp;search_path&amp;" /stypes=""app*"&amp;GEF28&amp;"*"&amp;TEXT(GEM28-utc_offset/24,"YYYYMMDD")&amp;"*"" /stext="" "&amp;TEXT(GEM28-utc_offset/24,"HH")&amp;search_regexp&amp;""""</f>
        <v>#VALUE!</v>
      </c>
      <c r="GFK28" s="234" t="e">
        <f>astrogrep_path&amp;" /e /r /s /spath="&amp;search_path&amp;" /stypes=""app*"&amp;GEG28&amp;"*"&amp;TEXT(GEN28-utc_offset/24,"YYYYMMDD")&amp;"*"" /stext="" "&amp;TEXT(GEN28-utc_offset/24,"HH")&amp;search_regexp&amp;""""</f>
        <v>#VALUE!</v>
      </c>
      <c r="GFL28" s="234" t="e">
        <f>astrogrep_path&amp;" /e /r /s /spath="&amp;search_path&amp;" /stypes=""app*"&amp;GEH28&amp;"*"&amp;TEXT(GEO28-utc_offset/24,"YYYYMMDD")&amp;"*"" /stext="" "&amp;TEXT(GEO28-utc_offset/24,"HH")&amp;search_regexp&amp;""""</f>
        <v>#REF!</v>
      </c>
      <c r="GFM28" s="234" t="e">
        <f>astrogrep_path&amp;" /e /r /s /spath="&amp;search_path&amp;" /stypes=""app*"&amp;GEI28&amp;"*"&amp;TEXT(GEP28-utc_offset/24,"YYYYMMDD")&amp;"*"" /stext="" "&amp;TEXT(GEP28-utc_offset/24,"HH")&amp;search_regexp&amp;""""</f>
        <v>#REF!</v>
      </c>
      <c r="GFN28" s="234" t="e">
        <f>astrogrep_path&amp;" /e /r /s /spath="&amp;search_path&amp;" /stypes=""app*"&amp;GEJ28&amp;"*"&amp;TEXT(GEQ28-utc_offset/24,"YYYYMMDD")&amp;"*"" /stext="" "&amp;TEXT(GEQ28-utc_offset/24,"HH")&amp;search_regexp&amp;""""</f>
        <v>#REF!</v>
      </c>
      <c r="GFO28" s="234" t="e">
        <f>astrogrep_path&amp;" /e /r /s /spath="&amp;search_path&amp;" /stypes=""app*"&amp;GEK28&amp;"*"&amp;TEXT(GER28-utc_offset/24,"YYYYMMDD")&amp;"*"" /stext="" "&amp;TEXT(GER28-utc_offset/24,"HH")&amp;search_regexp&amp;""""</f>
        <v>#REF!</v>
      </c>
      <c r="GFP28" s="234" t="e">
        <f>astrogrep_path&amp;" /e /r /s /spath="&amp;search_path&amp;" /stypes=""app*"&amp;GEL28&amp;"*"&amp;TEXT(GES28-utc_offset/24,"YYYYMMDD")&amp;"*"" /stext="" "&amp;TEXT(GES28-utc_offset/24,"HH")&amp;search_regexp&amp;""""</f>
        <v>#REF!</v>
      </c>
      <c r="GFQ28" s="234" t="e">
        <f>astrogrep_path&amp;" /e /r /s /spath="&amp;search_path&amp;" /stypes=""app*"&amp;GEM28&amp;"*"&amp;TEXT(GET28-utc_offset/24,"YYYYMMDD")&amp;"*"" /stext="" "&amp;TEXT(GET28-utc_offset/24,"HH")&amp;search_regexp&amp;""""</f>
        <v>#REF!</v>
      </c>
      <c r="GFR28" s="234" t="e">
        <f>astrogrep_path&amp;" /e /r /s /spath="&amp;search_path&amp;" /stypes=""app*"&amp;GEN28&amp;"*"&amp;TEXT(GEU28-utc_offset/24,"YYYYMMDD")&amp;"*"" /stext="" "&amp;TEXT(GEU28-utc_offset/24,"HH")&amp;search_regexp&amp;""""</f>
        <v>#REF!</v>
      </c>
      <c r="GFS28" s="234" t="e">
        <f>astrogrep_path&amp;" /e /r /s /spath="&amp;search_path&amp;" /stypes=""app*"&amp;GEO28&amp;"*"&amp;TEXT(GEV28-utc_offset/24,"YYYYMMDD")&amp;"*"" /stext="" "&amp;TEXT(GEV28-utc_offset/24,"HH")&amp;search_regexp&amp;""""</f>
        <v>#REF!</v>
      </c>
      <c r="GFT28" s="234" t="e">
        <f>astrogrep_path&amp;" /e /r /s /spath="&amp;search_path&amp;" /stypes=""app*"&amp;GEP28&amp;"*"&amp;TEXT(GEW28-utc_offset/24,"YYYYMMDD")&amp;"*"" /stext="" "&amp;TEXT(GEW28-utc_offset/24,"HH")&amp;search_regexp&amp;""""</f>
        <v>#REF!</v>
      </c>
      <c r="GFU28" s="234" t="e">
        <f>astrogrep_path&amp;" /e /r /s /spath="&amp;search_path&amp;" /stypes=""app*"&amp;GEQ28&amp;"*"&amp;TEXT(GEX28-utc_offset/24,"YYYYMMDD")&amp;"*"" /stext="" "&amp;TEXT(GEX28-utc_offset/24,"HH")&amp;search_regexp&amp;""""</f>
        <v>#REF!</v>
      </c>
      <c r="GFV28" s="234" t="e">
        <f>astrogrep_path&amp;" /e /r /s /spath="&amp;search_path&amp;" /stypes=""app*"&amp;GER28&amp;"*"&amp;TEXT(GEY28-utc_offset/24,"YYYYMMDD")&amp;"*"" /stext="" "&amp;TEXT(GEY28-utc_offset/24,"HH")&amp;search_regexp&amp;""""</f>
        <v>#REF!</v>
      </c>
      <c r="GFW28" s="234" t="e">
        <f>astrogrep_path&amp;" /e /r /s /spath="&amp;search_path&amp;" /stypes=""app*"&amp;GES28&amp;"*"&amp;TEXT(GEZ28-utc_offset/24,"YYYYMMDD")&amp;"*"" /stext="" "&amp;TEXT(GEZ28-utc_offset/24,"HH")&amp;search_regexp&amp;""""</f>
        <v>#REF!</v>
      </c>
      <c r="GFX28" s="234" t="e">
        <f>astrogrep_path&amp;" /e /r /s /spath="&amp;search_path&amp;" /stypes=""app*"&amp;GET28&amp;"*"&amp;TEXT(GFA28-utc_offset/24,"YYYYMMDD")&amp;"*"" /stext="" "&amp;TEXT(GFA28-utc_offset/24,"HH")&amp;search_regexp&amp;""""</f>
        <v>#REF!</v>
      </c>
      <c r="GFY28" s="234" t="e">
        <f>astrogrep_path&amp;" /e /r /s /spath="&amp;search_path&amp;" /stypes=""app*"&amp;GEU28&amp;"*"&amp;TEXT(GFB28-utc_offset/24,"YYYYMMDD")&amp;"*"" /stext="" "&amp;TEXT(GFB28-utc_offset/24,"HH")&amp;search_regexp&amp;""""</f>
        <v>#REF!</v>
      </c>
      <c r="GFZ28" s="234" t="e">
        <f>astrogrep_path&amp;" /e /r /s /spath="&amp;search_path&amp;" /stypes=""app*"&amp;GEV28&amp;"*"&amp;TEXT(GFC28-utc_offset/24,"YYYYMMDD")&amp;"*"" /stext="" "&amp;TEXT(GFC28-utc_offset/24,"HH")&amp;search_regexp&amp;""""</f>
        <v>#REF!</v>
      </c>
      <c r="GGA28" s="234" t="e">
        <f>astrogrep_path&amp;" /e /r /s /spath="&amp;search_path&amp;" /stypes=""app*"&amp;GEW28&amp;"*"&amp;TEXT(GFD28-utc_offset/24,"YYYYMMDD")&amp;"*"" /stext="" "&amp;TEXT(GFD28-utc_offset/24,"HH")&amp;search_regexp&amp;""""</f>
        <v>#REF!</v>
      </c>
      <c r="GGB28" s="234" t="e">
        <f>astrogrep_path&amp;" /e /r /s /spath="&amp;search_path&amp;" /stypes=""app*"&amp;GEX28&amp;"*"&amp;TEXT(GFE28-utc_offset/24,"YYYYMMDD")&amp;"*"" /stext="" "&amp;TEXT(GFE28-utc_offset/24,"HH")&amp;search_regexp&amp;""""</f>
        <v>#REF!</v>
      </c>
      <c r="GGC28" s="234" t="e">
        <f>astrogrep_path&amp;" /e /r /s /spath="&amp;search_path&amp;" /stypes=""app*"&amp;GEY28&amp;"*"&amp;TEXT(GFF28-utc_offset/24,"YYYYMMDD")&amp;"*"" /stext="" "&amp;TEXT(GFF28-utc_offset/24,"HH")&amp;search_regexp&amp;""""</f>
        <v>#REF!</v>
      </c>
      <c r="GGD28" s="234" t="e">
        <f>astrogrep_path&amp;" /e /r /s /spath="&amp;search_path&amp;" /stypes=""app*"&amp;GEZ28&amp;"*"&amp;TEXT(GFG28-utc_offset/24,"YYYYMMDD")&amp;"*"" /stext="" "&amp;TEXT(GFG28-utc_offset/24,"HH")&amp;search_regexp&amp;""""</f>
        <v>#REF!</v>
      </c>
      <c r="GGE28" s="234" t="e">
        <f>astrogrep_path&amp;" /e /r /s /spath="&amp;search_path&amp;" /stypes=""app*"&amp;GFA28&amp;"*"&amp;TEXT(GFH28-utc_offset/24,"YYYYMMDD")&amp;"*"" /stext="" "&amp;TEXT(GFH28-utc_offset/24,"HH")&amp;search_regexp&amp;""""</f>
        <v>#REF!</v>
      </c>
      <c r="GGF28" s="234" t="e">
        <f>astrogrep_path&amp;" /e /r /s /spath="&amp;search_path&amp;" /stypes=""app*"&amp;GFB28&amp;"*"&amp;TEXT(GFI28-utc_offset/24,"YYYYMMDD")&amp;"*"" /stext="" "&amp;TEXT(GFI28-utc_offset/24,"HH")&amp;search_regexp&amp;""""</f>
        <v>#REF!</v>
      </c>
      <c r="GGG28" s="234" t="e">
        <f>astrogrep_path&amp;" /e /r /s /spath="&amp;search_path&amp;" /stypes=""app*"&amp;GFC28&amp;"*"&amp;TEXT(GFJ28-utc_offset/24,"YYYYMMDD")&amp;"*"" /stext="" "&amp;TEXT(GFJ28-utc_offset/24,"HH")&amp;search_regexp&amp;""""</f>
        <v>#VALUE!</v>
      </c>
      <c r="GGH28" s="234" t="e">
        <f>astrogrep_path&amp;" /e /r /s /spath="&amp;search_path&amp;" /stypes=""app*"&amp;GFD28&amp;"*"&amp;TEXT(GFK28-utc_offset/24,"YYYYMMDD")&amp;"*"" /stext="" "&amp;TEXT(GFK28-utc_offset/24,"HH")&amp;search_regexp&amp;""""</f>
        <v>#VALUE!</v>
      </c>
      <c r="GGI28" s="234" t="e">
        <f>astrogrep_path&amp;" /e /r /s /spath="&amp;search_path&amp;" /stypes=""app*"&amp;GFE28&amp;"*"&amp;TEXT(GFL28-utc_offset/24,"YYYYMMDD")&amp;"*"" /stext="" "&amp;TEXT(GFL28-utc_offset/24,"HH")&amp;search_regexp&amp;""""</f>
        <v>#REF!</v>
      </c>
      <c r="GGJ28" s="234" t="e">
        <f>astrogrep_path&amp;" /e /r /s /spath="&amp;search_path&amp;" /stypes=""app*"&amp;GFF28&amp;"*"&amp;TEXT(GFM28-utc_offset/24,"YYYYMMDD")&amp;"*"" /stext="" "&amp;TEXT(GFM28-utc_offset/24,"HH")&amp;search_regexp&amp;""""</f>
        <v>#REF!</v>
      </c>
      <c r="GGK28" s="234" t="e">
        <f>astrogrep_path&amp;" /e /r /s /spath="&amp;search_path&amp;" /stypes=""app*"&amp;GFG28&amp;"*"&amp;TEXT(GFN28-utc_offset/24,"YYYYMMDD")&amp;"*"" /stext="" "&amp;TEXT(GFN28-utc_offset/24,"HH")&amp;search_regexp&amp;""""</f>
        <v>#VALUE!</v>
      </c>
      <c r="GGL28" s="234" t="e">
        <f>astrogrep_path&amp;" /e /r /s /spath="&amp;search_path&amp;" /stypes=""app*"&amp;GFH28&amp;"*"&amp;TEXT(GFO28-utc_offset/24,"YYYYMMDD")&amp;"*"" /stext="" "&amp;TEXT(GFO28-utc_offset/24,"HH")&amp;search_regexp&amp;""""</f>
        <v>#VALUE!</v>
      </c>
      <c r="GGM28" s="234" t="e">
        <f>astrogrep_path&amp;" /e /r /s /spath="&amp;search_path&amp;" /stypes=""app*"&amp;GFI28&amp;"*"&amp;TEXT(GFP28-utc_offset/24,"YYYYMMDD")&amp;"*"" /stext="" "&amp;TEXT(GFP28-utc_offset/24,"HH")&amp;search_regexp&amp;""""</f>
        <v>#VALUE!</v>
      </c>
      <c r="GGN28" s="234" t="e">
        <f>astrogrep_path&amp;" /e /r /s /spath="&amp;search_path&amp;" /stypes=""app*"&amp;GFJ28&amp;"*"&amp;TEXT(GFQ28-utc_offset/24,"YYYYMMDD")&amp;"*"" /stext="" "&amp;TEXT(GFQ28-utc_offset/24,"HH")&amp;search_regexp&amp;""""</f>
        <v>#VALUE!</v>
      </c>
      <c r="GGO28" s="234" t="e">
        <f>astrogrep_path&amp;" /e /r /s /spath="&amp;search_path&amp;" /stypes=""app*"&amp;GFK28&amp;"*"&amp;TEXT(GFR28-utc_offset/24,"YYYYMMDD")&amp;"*"" /stext="" "&amp;TEXT(GFR28-utc_offset/24,"HH")&amp;search_regexp&amp;""""</f>
        <v>#VALUE!</v>
      </c>
      <c r="GGP28" s="234" t="e">
        <f>astrogrep_path&amp;" /e /r /s /spath="&amp;search_path&amp;" /stypes=""app*"&amp;GFL28&amp;"*"&amp;TEXT(GFS28-utc_offset/24,"YYYYMMDD")&amp;"*"" /stext="" "&amp;TEXT(GFS28-utc_offset/24,"HH")&amp;search_regexp&amp;""""</f>
        <v>#REF!</v>
      </c>
      <c r="GGQ28" s="234" t="e">
        <f>astrogrep_path&amp;" /e /r /s /spath="&amp;search_path&amp;" /stypes=""app*"&amp;GFM28&amp;"*"&amp;TEXT(GFT28-utc_offset/24,"YYYYMMDD")&amp;"*"" /stext="" "&amp;TEXT(GFT28-utc_offset/24,"HH")&amp;search_regexp&amp;""""</f>
        <v>#REF!</v>
      </c>
      <c r="GGR28" s="234" t="e">
        <f>astrogrep_path&amp;" /e /r /s /spath="&amp;search_path&amp;" /stypes=""app*"&amp;GFN28&amp;"*"&amp;TEXT(GFU28-utc_offset/24,"YYYYMMDD")&amp;"*"" /stext="" "&amp;TEXT(GFU28-utc_offset/24,"HH")&amp;search_regexp&amp;""""</f>
        <v>#REF!</v>
      </c>
      <c r="GGS28" s="234" t="e">
        <f>astrogrep_path&amp;" /e /r /s /spath="&amp;search_path&amp;" /stypes=""app*"&amp;GFO28&amp;"*"&amp;TEXT(GFV28-utc_offset/24,"YYYYMMDD")&amp;"*"" /stext="" "&amp;TEXT(GFV28-utc_offset/24,"HH")&amp;search_regexp&amp;""""</f>
        <v>#REF!</v>
      </c>
      <c r="GGT28" s="234" t="e">
        <f>astrogrep_path&amp;" /e /r /s /spath="&amp;search_path&amp;" /stypes=""app*"&amp;GFP28&amp;"*"&amp;TEXT(GFW28-utc_offset/24,"YYYYMMDD")&amp;"*"" /stext="" "&amp;TEXT(GFW28-utc_offset/24,"HH")&amp;search_regexp&amp;""""</f>
        <v>#REF!</v>
      </c>
      <c r="GGU28" s="234" t="e">
        <f>astrogrep_path&amp;" /e /r /s /spath="&amp;search_path&amp;" /stypes=""app*"&amp;GFQ28&amp;"*"&amp;TEXT(GFX28-utc_offset/24,"YYYYMMDD")&amp;"*"" /stext="" "&amp;TEXT(GFX28-utc_offset/24,"HH")&amp;search_regexp&amp;""""</f>
        <v>#REF!</v>
      </c>
      <c r="GGV28" s="234" t="e">
        <f>astrogrep_path&amp;" /e /r /s /spath="&amp;search_path&amp;" /stypes=""app*"&amp;GFR28&amp;"*"&amp;TEXT(GFY28-utc_offset/24,"YYYYMMDD")&amp;"*"" /stext="" "&amp;TEXT(GFY28-utc_offset/24,"HH")&amp;search_regexp&amp;""""</f>
        <v>#REF!</v>
      </c>
      <c r="GGW28" s="234" t="e">
        <f>astrogrep_path&amp;" /e /r /s /spath="&amp;search_path&amp;" /stypes=""app*"&amp;GFS28&amp;"*"&amp;TEXT(GFZ28-utc_offset/24,"YYYYMMDD")&amp;"*"" /stext="" "&amp;TEXT(GFZ28-utc_offset/24,"HH")&amp;search_regexp&amp;""""</f>
        <v>#REF!</v>
      </c>
      <c r="GGX28" s="234" t="e">
        <f>astrogrep_path&amp;" /e /r /s /spath="&amp;search_path&amp;" /stypes=""app*"&amp;GFT28&amp;"*"&amp;TEXT(GGA28-utc_offset/24,"YYYYMMDD")&amp;"*"" /stext="" "&amp;TEXT(GGA28-utc_offset/24,"HH")&amp;search_regexp&amp;""""</f>
        <v>#REF!</v>
      </c>
      <c r="GGY28" s="234" t="e">
        <f>astrogrep_path&amp;" /e /r /s /spath="&amp;search_path&amp;" /stypes=""app*"&amp;GFU28&amp;"*"&amp;TEXT(GGB28-utc_offset/24,"YYYYMMDD")&amp;"*"" /stext="" "&amp;TEXT(GGB28-utc_offset/24,"HH")&amp;search_regexp&amp;""""</f>
        <v>#REF!</v>
      </c>
      <c r="GGZ28" s="234" t="e">
        <f>astrogrep_path&amp;" /e /r /s /spath="&amp;search_path&amp;" /stypes=""app*"&amp;GFV28&amp;"*"&amp;TEXT(GGC28-utc_offset/24,"YYYYMMDD")&amp;"*"" /stext="" "&amp;TEXT(GGC28-utc_offset/24,"HH")&amp;search_regexp&amp;""""</f>
        <v>#REF!</v>
      </c>
      <c r="GHA28" s="234" t="e">
        <f>astrogrep_path&amp;" /e /r /s /spath="&amp;search_path&amp;" /stypes=""app*"&amp;GFW28&amp;"*"&amp;TEXT(GGD28-utc_offset/24,"YYYYMMDD")&amp;"*"" /stext="" "&amp;TEXT(GGD28-utc_offset/24,"HH")&amp;search_regexp&amp;""""</f>
        <v>#REF!</v>
      </c>
      <c r="GHB28" s="234" t="e">
        <f>astrogrep_path&amp;" /e /r /s /spath="&amp;search_path&amp;" /stypes=""app*"&amp;GFX28&amp;"*"&amp;TEXT(GGE28-utc_offset/24,"YYYYMMDD")&amp;"*"" /stext="" "&amp;TEXT(GGE28-utc_offset/24,"HH")&amp;search_regexp&amp;""""</f>
        <v>#REF!</v>
      </c>
      <c r="GHC28" s="234" t="e">
        <f>astrogrep_path&amp;" /e /r /s /spath="&amp;search_path&amp;" /stypes=""app*"&amp;GFY28&amp;"*"&amp;TEXT(GGF28-utc_offset/24,"YYYYMMDD")&amp;"*"" /stext="" "&amp;TEXT(GGF28-utc_offset/24,"HH")&amp;search_regexp&amp;""""</f>
        <v>#REF!</v>
      </c>
      <c r="GHD28" s="234" t="e">
        <f>astrogrep_path&amp;" /e /r /s /spath="&amp;search_path&amp;" /stypes=""app*"&amp;GFZ28&amp;"*"&amp;TEXT(GGG28-utc_offset/24,"YYYYMMDD")&amp;"*"" /stext="" "&amp;TEXT(GGG28-utc_offset/24,"HH")&amp;search_regexp&amp;""""</f>
        <v>#REF!</v>
      </c>
      <c r="GHE28" s="234" t="e">
        <f>astrogrep_path&amp;" /e /r /s /spath="&amp;search_path&amp;" /stypes=""app*"&amp;GGA28&amp;"*"&amp;TEXT(GGH28-utc_offset/24,"YYYYMMDD")&amp;"*"" /stext="" "&amp;TEXT(GGH28-utc_offset/24,"HH")&amp;search_regexp&amp;""""</f>
        <v>#REF!</v>
      </c>
      <c r="GHF28" s="234" t="e">
        <f>astrogrep_path&amp;" /e /r /s /spath="&amp;search_path&amp;" /stypes=""app*"&amp;GGB28&amp;"*"&amp;TEXT(GGI28-utc_offset/24,"YYYYMMDD")&amp;"*"" /stext="" "&amp;TEXT(GGI28-utc_offset/24,"HH")&amp;search_regexp&amp;""""</f>
        <v>#REF!</v>
      </c>
      <c r="GHG28" s="234" t="e">
        <f>astrogrep_path&amp;" /e /r /s /spath="&amp;search_path&amp;" /stypes=""app*"&amp;GGC28&amp;"*"&amp;TEXT(GGJ28-utc_offset/24,"YYYYMMDD")&amp;"*"" /stext="" "&amp;TEXT(GGJ28-utc_offset/24,"HH")&amp;search_regexp&amp;""""</f>
        <v>#REF!</v>
      </c>
      <c r="GHH28" s="234" t="e">
        <f>astrogrep_path&amp;" /e /r /s /spath="&amp;search_path&amp;" /stypes=""app*"&amp;GGD28&amp;"*"&amp;TEXT(GGK28-utc_offset/24,"YYYYMMDD")&amp;"*"" /stext="" "&amp;TEXT(GGK28-utc_offset/24,"HH")&amp;search_regexp&amp;""""</f>
        <v>#REF!</v>
      </c>
      <c r="GHI28" s="234" t="e">
        <f>astrogrep_path&amp;" /e /r /s /spath="&amp;search_path&amp;" /stypes=""app*"&amp;GGE28&amp;"*"&amp;TEXT(GGL28-utc_offset/24,"YYYYMMDD")&amp;"*"" /stext="" "&amp;TEXT(GGL28-utc_offset/24,"HH")&amp;search_regexp&amp;""""</f>
        <v>#REF!</v>
      </c>
      <c r="GHJ28" s="234" t="e">
        <f>astrogrep_path&amp;" /e /r /s /spath="&amp;search_path&amp;" /stypes=""app*"&amp;GGF28&amp;"*"&amp;TEXT(GGM28-utc_offset/24,"YYYYMMDD")&amp;"*"" /stext="" "&amp;TEXT(GGM28-utc_offset/24,"HH")&amp;search_regexp&amp;""""</f>
        <v>#REF!</v>
      </c>
      <c r="GHK28" s="234" t="e">
        <f>astrogrep_path&amp;" /e /r /s /spath="&amp;search_path&amp;" /stypes=""app*"&amp;GGG28&amp;"*"&amp;TEXT(GGN28-utc_offset/24,"YYYYMMDD")&amp;"*"" /stext="" "&amp;TEXT(GGN28-utc_offset/24,"HH")&amp;search_regexp&amp;""""</f>
        <v>#VALUE!</v>
      </c>
      <c r="GHL28" s="234" t="e">
        <f>astrogrep_path&amp;" /e /r /s /spath="&amp;search_path&amp;" /stypes=""app*"&amp;GGH28&amp;"*"&amp;TEXT(GGO28-utc_offset/24,"YYYYMMDD")&amp;"*"" /stext="" "&amp;TEXT(GGO28-utc_offset/24,"HH")&amp;search_regexp&amp;""""</f>
        <v>#VALUE!</v>
      </c>
      <c r="GHM28" s="234" t="e">
        <f>astrogrep_path&amp;" /e /r /s /spath="&amp;search_path&amp;" /stypes=""app*"&amp;GGI28&amp;"*"&amp;TEXT(GGP28-utc_offset/24,"YYYYMMDD")&amp;"*"" /stext="" "&amp;TEXT(GGP28-utc_offset/24,"HH")&amp;search_regexp&amp;""""</f>
        <v>#REF!</v>
      </c>
      <c r="GHN28" s="234" t="e">
        <f>astrogrep_path&amp;" /e /r /s /spath="&amp;search_path&amp;" /stypes=""app*"&amp;GGJ28&amp;"*"&amp;TEXT(GGQ28-utc_offset/24,"YYYYMMDD")&amp;"*"" /stext="" "&amp;TEXT(GGQ28-utc_offset/24,"HH")&amp;search_regexp&amp;""""</f>
        <v>#REF!</v>
      </c>
      <c r="GHO28" s="234" t="e">
        <f>astrogrep_path&amp;" /e /r /s /spath="&amp;search_path&amp;" /stypes=""app*"&amp;GGK28&amp;"*"&amp;TEXT(GGR28-utc_offset/24,"YYYYMMDD")&amp;"*"" /stext="" "&amp;TEXT(GGR28-utc_offset/24,"HH")&amp;search_regexp&amp;""""</f>
        <v>#VALUE!</v>
      </c>
      <c r="GHP28" s="234" t="e">
        <f>astrogrep_path&amp;" /e /r /s /spath="&amp;search_path&amp;" /stypes=""app*"&amp;GGL28&amp;"*"&amp;TEXT(GGS28-utc_offset/24,"YYYYMMDD")&amp;"*"" /stext="" "&amp;TEXT(GGS28-utc_offset/24,"HH")&amp;search_regexp&amp;""""</f>
        <v>#VALUE!</v>
      </c>
      <c r="GHQ28" s="234" t="e">
        <f>astrogrep_path&amp;" /e /r /s /spath="&amp;search_path&amp;" /stypes=""app*"&amp;GGM28&amp;"*"&amp;TEXT(GGT28-utc_offset/24,"YYYYMMDD")&amp;"*"" /stext="" "&amp;TEXT(GGT28-utc_offset/24,"HH")&amp;search_regexp&amp;""""</f>
        <v>#VALUE!</v>
      </c>
      <c r="GHR28" s="234" t="e">
        <f>astrogrep_path&amp;" /e /r /s /spath="&amp;search_path&amp;" /stypes=""app*"&amp;GGN28&amp;"*"&amp;TEXT(GGU28-utc_offset/24,"YYYYMMDD")&amp;"*"" /stext="" "&amp;TEXT(GGU28-utc_offset/24,"HH")&amp;search_regexp&amp;""""</f>
        <v>#VALUE!</v>
      </c>
      <c r="GHS28" s="234" t="e">
        <f>astrogrep_path&amp;" /e /r /s /spath="&amp;search_path&amp;" /stypes=""app*"&amp;GGO28&amp;"*"&amp;TEXT(GGV28-utc_offset/24,"YYYYMMDD")&amp;"*"" /stext="" "&amp;TEXT(GGV28-utc_offset/24,"HH")&amp;search_regexp&amp;""""</f>
        <v>#VALUE!</v>
      </c>
      <c r="GHT28" s="234" t="e">
        <f>astrogrep_path&amp;" /e /r /s /spath="&amp;search_path&amp;" /stypes=""app*"&amp;GGP28&amp;"*"&amp;TEXT(GGW28-utc_offset/24,"YYYYMMDD")&amp;"*"" /stext="" "&amp;TEXT(GGW28-utc_offset/24,"HH")&amp;search_regexp&amp;""""</f>
        <v>#REF!</v>
      </c>
      <c r="GHU28" s="234" t="e">
        <f>astrogrep_path&amp;" /e /r /s /spath="&amp;search_path&amp;" /stypes=""app*"&amp;GGQ28&amp;"*"&amp;TEXT(GGX28-utc_offset/24,"YYYYMMDD")&amp;"*"" /stext="" "&amp;TEXT(GGX28-utc_offset/24,"HH")&amp;search_regexp&amp;""""</f>
        <v>#REF!</v>
      </c>
      <c r="GHV28" s="234" t="e">
        <f>astrogrep_path&amp;" /e /r /s /spath="&amp;search_path&amp;" /stypes=""app*"&amp;GGR28&amp;"*"&amp;TEXT(GGY28-utc_offset/24,"YYYYMMDD")&amp;"*"" /stext="" "&amp;TEXT(GGY28-utc_offset/24,"HH")&amp;search_regexp&amp;""""</f>
        <v>#REF!</v>
      </c>
      <c r="GHW28" s="234" t="e">
        <f>astrogrep_path&amp;" /e /r /s /spath="&amp;search_path&amp;" /stypes=""app*"&amp;GGS28&amp;"*"&amp;TEXT(GGZ28-utc_offset/24,"YYYYMMDD")&amp;"*"" /stext="" "&amp;TEXT(GGZ28-utc_offset/24,"HH")&amp;search_regexp&amp;""""</f>
        <v>#REF!</v>
      </c>
      <c r="GHX28" s="234" t="e">
        <f>astrogrep_path&amp;" /e /r /s /spath="&amp;search_path&amp;" /stypes=""app*"&amp;GGT28&amp;"*"&amp;TEXT(GHA28-utc_offset/24,"YYYYMMDD")&amp;"*"" /stext="" "&amp;TEXT(GHA28-utc_offset/24,"HH")&amp;search_regexp&amp;""""</f>
        <v>#REF!</v>
      </c>
      <c r="GHY28" s="234" t="e">
        <f>astrogrep_path&amp;" /e /r /s /spath="&amp;search_path&amp;" /stypes=""app*"&amp;GGU28&amp;"*"&amp;TEXT(GHB28-utc_offset/24,"YYYYMMDD")&amp;"*"" /stext="" "&amp;TEXT(GHB28-utc_offset/24,"HH")&amp;search_regexp&amp;""""</f>
        <v>#REF!</v>
      </c>
      <c r="GHZ28" s="234" t="e">
        <f>astrogrep_path&amp;" /e /r /s /spath="&amp;search_path&amp;" /stypes=""app*"&amp;GGV28&amp;"*"&amp;TEXT(GHC28-utc_offset/24,"YYYYMMDD")&amp;"*"" /stext="" "&amp;TEXT(GHC28-utc_offset/24,"HH")&amp;search_regexp&amp;""""</f>
        <v>#REF!</v>
      </c>
      <c r="GIA28" s="234" t="e">
        <f>astrogrep_path&amp;" /e /r /s /spath="&amp;search_path&amp;" /stypes=""app*"&amp;GGW28&amp;"*"&amp;TEXT(GHD28-utc_offset/24,"YYYYMMDD")&amp;"*"" /stext="" "&amp;TEXT(GHD28-utc_offset/24,"HH")&amp;search_regexp&amp;""""</f>
        <v>#REF!</v>
      </c>
      <c r="GIB28" s="234" t="e">
        <f>astrogrep_path&amp;" /e /r /s /spath="&amp;search_path&amp;" /stypes=""app*"&amp;GGX28&amp;"*"&amp;TEXT(GHE28-utc_offset/24,"YYYYMMDD")&amp;"*"" /stext="" "&amp;TEXT(GHE28-utc_offset/24,"HH")&amp;search_regexp&amp;""""</f>
        <v>#REF!</v>
      </c>
      <c r="GIC28" s="234" t="e">
        <f>astrogrep_path&amp;" /e /r /s /spath="&amp;search_path&amp;" /stypes=""app*"&amp;GGY28&amp;"*"&amp;TEXT(GHF28-utc_offset/24,"YYYYMMDD")&amp;"*"" /stext="" "&amp;TEXT(GHF28-utc_offset/24,"HH")&amp;search_regexp&amp;""""</f>
        <v>#REF!</v>
      </c>
      <c r="GID28" s="234" t="e">
        <f>astrogrep_path&amp;" /e /r /s /spath="&amp;search_path&amp;" /stypes=""app*"&amp;GGZ28&amp;"*"&amp;TEXT(GHG28-utc_offset/24,"YYYYMMDD")&amp;"*"" /stext="" "&amp;TEXT(GHG28-utc_offset/24,"HH")&amp;search_regexp&amp;""""</f>
        <v>#REF!</v>
      </c>
      <c r="GIE28" s="234" t="e">
        <f>astrogrep_path&amp;" /e /r /s /spath="&amp;search_path&amp;" /stypes=""app*"&amp;GHA28&amp;"*"&amp;TEXT(GHH28-utc_offset/24,"YYYYMMDD")&amp;"*"" /stext="" "&amp;TEXT(GHH28-utc_offset/24,"HH")&amp;search_regexp&amp;""""</f>
        <v>#REF!</v>
      </c>
      <c r="GIF28" s="234" t="e">
        <f>astrogrep_path&amp;" /e /r /s /spath="&amp;search_path&amp;" /stypes=""app*"&amp;GHB28&amp;"*"&amp;TEXT(GHI28-utc_offset/24,"YYYYMMDD")&amp;"*"" /stext="" "&amp;TEXT(GHI28-utc_offset/24,"HH")&amp;search_regexp&amp;""""</f>
        <v>#REF!</v>
      </c>
      <c r="GIG28" s="234" t="e">
        <f>astrogrep_path&amp;" /e /r /s /spath="&amp;search_path&amp;" /stypes=""app*"&amp;GHC28&amp;"*"&amp;TEXT(GHJ28-utc_offset/24,"YYYYMMDD")&amp;"*"" /stext="" "&amp;TEXT(GHJ28-utc_offset/24,"HH")&amp;search_regexp&amp;""""</f>
        <v>#REF!</v>
      </c>
      <c r="GIH28" s="234" t="e">
        <f>astrogrep_path&amp;" /e /r /s /spath="&amp;search_path&amp;" /stypes=""app*"&amp;GHD28&amp;"*"&amp;TEXT(GHK28-utc_offset/24,"YYYYMMDD")&amp;"*"" /stext="" "&amp;TEXT(GHK28-utc_offset/24,"HH")&amp;search_regexp&amp;""""</f>
        <v>#REF!</v>
      </c>
      <c r="GII28" s="234" t="e">
        <f>astrogrep_path&amp;" /e /r /s /spath="&amp;search_path&amp;" /stypes=""app*"&amp;GHE28&amp;"*"&amp;TEXT(GHL28-utc_offset/24,"YYYYMMDD")&amp;"*"" /stext="" "&amp;TEXT(GHL28-utc_offset/24,"HH")&amp;search_regexp&amp;""""</f>
        <v>#REF!</v>
      </c>
      <c r="GIJ28" s="234" t="e">
        <f>astrogrep_path&amp;" /e /r /s /spath="&amp;search_path&amp;" /stypes=""app*"&amp;GHF28&amp;"*"&amp;TEXT(GHM28-utc_offset/24,"YYYYMMDD")&amp;"*"" /stext="" "&amp;TEXT(GHM28-utc_offset/24,"HH")&amp;search_regexp&amp;""""</f>
        <v>#REF!</v>
      </c>
      <c r="GIK28" s="234" t="e">
        <f>astrogrep_path&amp;" /e /r /s /spath="&amp;search_path&amp;" /stypes=""app*"&amp;GHG28&amp;"*"&amp;TEXT(GHN28-utc_offset/24,"YYYYMMDD")&amp;"*"" /stext="" "&amp;TEXT(GHN28-utc_offset/24,"HH")&amp;search_regexp&amp;""""</f>
        <v>#REF!</v>
      </c>
      <c r="GIL28" s="234" t="e">
        <f>astrogrep_path&amp;" /e /r /s /spath="&amp;search_path&amp;" /stypes=""app*"&amp;GHH28&amp;"*"&amp;TEXT(GHO28-utc_offset/24,"YYYYMMDD")&amp;"*"" /stext="" "&amp;TEXT(GHO28-utc_offset/24,"HH")&amp;search_regexp&amp;""""</f>
        <v>#REF!</v>
      </c>
      <c r="GIM28" s="234" t="e">
        <f>astrogrep_path&amp;" /e /r /s /spath="&amp;search_path&amp;" /stypes=""app*"&amp;GHI28&amp;"*"&amp;TEXT(GHP28-utc_offset/24,"YYYYMMDD")&amp;"*"" /stext="" "&amp;TEXT(GHP28-utc_offset/24,"HH")&amp;search_regexp&amp;""""</f>
        <v>#REF!</v>
      </c>
      <c r="GIN28" s="234" t="e">
        <f>astrogrep_path&amp;" /e /r /s /spath="&amp;search_path&amp;" /stypes=""app*"&amp;GHJ28&amp;"*"&amp;TEXT(GHQ28-utc_offset/24,"YYYYMMDD")&amp;"*"" /stext="" "&amp;TEXT(GHQ28-utc_offset/24,"HH")&amp;search_regexp&amp;""""</f>
        <v>#REF!</v>
      </c>
      <c r="GIO28" s="234" t="e">
        <f>astrogrep_path&amp;" /e /r /s /spath="&amp;search_path&amp;" /stypes=""app*"&amp;GHK28&amp;"*"&amp;TEXT(GHR28-utc_offset/24,"YYYYMMDD")&amp;"*"" /stext="" "&amp;TEXT(GHR28-utc_offset/24,"HH")&amp;search_regexp&amp;""""</f>
        <v>#VALUE!</v>
      </c>
      <c r="GIP28" s="234" t="e">
        <f>astrogrep_path&amp;" /e /r /s /spath="&amp;search_path&amp;" /stypes=""app*"&amp;GHL28&amp;"*"&amp;TEXT(GHS28-utc_offset/24,"YYYYMMDD")&amp;"*"" /stext="" "&amp;TEXT(GHS28-utc_offset/24,"HH")&amp;search_regexp&amp;""""</f>
        <v>#VALUE!</v>
      </c>
      <c r="GIQ28" s="234" t="e">
        <f>astrogrep_path&amp;" /e /r /s /spath="&amp;search_path&amp;" /stypes=""app*"&amp;GHM28&amp;"*"&amp;TEXT(GHT28-utc_offset/24,"YYYYMMDD")&amp;"*"" /stext="" "&amp;TEXT(GHT28-utc_offset/24,"HH")&amp;search_regexp&amp;""""</f>
        <v>#REF!</v>
      </c>
      <c r="GIR28" s="234" t="e">
        <f>astrogrep_path&amp;" /e /r /s /spath="&amp;search_path&amp;" /stypes=""app*"&amp;GHN28&amp;"*"&amp;TEXT(GHU28-utc_offset/24,"YYYYMMDD")&amp;"*"" /stext="" "&amp;TEXT(GHU28-utc_offset/24,"HH")&amp;search_regexp&amp;""""</f>
        <v>#REF!</v>
      </c>
      <c r="GIS28" s="234" t="e">
        <f>astrogrep_path&amp;" /e /r /s /spath="&amp;search_path&amp;" /stypes=""app*"&amp;GHO28&amp;"*"&amp;TEXT(GHV28-utc_offset/24,"YYYYMMDD")&amp;"*"" /stext="" "&amp;TEXT(GHV28-utc_offset/24,"HH")&amp;search_regexp&amp;""""</f>
        <v>#VALUE!</v>
      </c>
      <c r="GIT28" s="234" t="e">
        <f>astrogrep_path&amp;" /e /r /s /spath="&amp;search_path&amp;" /stypes=""app*"&amp;GHP28&amp;"*"&amp;TEXT(GHW28-utc_offset/24,"YYYYMMDD")&amp;"*"" /stext="" "&amp;TEXT(GHW28-utc_offset/24,"HH")&amp;search_regexp&amp;""""</f>
        <v>#VALUE!</v>
      </c>
      <c r="GIU28" s="234" t="e">
        <f>astrogrep_path&amp;" /e /r /s /spath="&amp;search_path&amp;" /stypes=""app*"&amp;GHQ28&amp;"*"&amp;TEXT(GHX28-utc_offset/24,"YYYYMMDD")&amp;"*"" /stext="" "&amp;TEXT(GHX28-utc_offset/24,"HH")&amp;search_regexp&amp;""""</f>
        <v>#VALUE!</v>
      </c>
      <c r="GIV28" s="234" t="e">
        <f>astrogrep_path&amp;" /e /r /s /spath="&amp;search_path&amp;" /stypes=""app*"&amp;GHR28&amp;"*"&amp;TEXT(GHY28-utc_offset/24,"YYYYMMDD")&amp;"*"" /stext="" "&amp;TEXT(GHY28-utc_offset/24,"HH")&amp;search_regexp&amp;""""</f>
        <v>#VALUE!</v>
      </c>
      <c r="GIW28" s="234" t="e">
        <f>astrogrep_path&amp;" /e /r /s /spath="&amp;search_path&amp;" /stypes=""app*"&amp;GHS28&amp;"*"&amp;TEXT(GHZ28-utc_offset/24,"YYYYMMDD")&amp;"*"" /stext="" "&amp;TEXT(GHZ28-utc_offset/24,"HH")&amp;search_regexp&amp;""""</f>
        <v>#VALUE!</v>
      </c>
      <c r="GIX28" s="234" t="e">
        <f>astrogrep_path&amp;" /e /r /s /spath="&amp;search_path&amp;" /stypes=""app*"&amp;GHT28&amp;"*"&amp;TEXT(GIA28-utc_offset/24,"YYYYMMDD")&amp;"*"" /stext="" "&amp;TEXT(GIA28-utc_offset/24,"HH")&amp;search_regexp&amp;""""</f>
        <v>#REF!</v>
      </c>
      <c r="GIY28" s="234" t="e">
        <f>astrogrep_path&amp;" /e /r /s /spath="&amp;search_path&amp;" /stypes=""app*"&amp;GHU28&amp;"*"&amp;TEXT(GIB28-utc_offset/24,"YYYYMMDD")&amp;"*"" /stext="" "&amp;TEXT(GIB28-utc_offset/24,"HH")&amp;search_regexp&amp;""""</f>
        <v>#REF!</v>
      </c>
      <c r="GIZ28" s="234" t="e">
        <f>astrogrep_path&amp;" /e /r /s /spath="&amp;search_path&amp;" /stypes=""app*"&amp;GHV28&amp;"*"&amp;TEXT(GIC28-utc_offset/24,"YYYYMMDD")&amp;"*"" /stext="" "&amp;TEXT(GIC28-utc_offset/24,"HH")&amp;search_regexp&amp;""""</f>
        <v>#REF!</v>
      </c>
      <c r="GJA28" s="234" t="e">
        <f>astrogrep_path&amp;" /e /r /s /spath="&amp;search_path&amp;" /stypes=""app*"&amp;GHW28&amp;"*"&amp;TEXT(GID28-utc_offset/24,"YYYYMMDD")&amp;"*"" /stext="" "&amp;TEXT(GID28-utc_offset/24,"HH")&amp;search_regexp&amp;""""</f>
        <v>#REF!</v>
      </c>
      <c r="GJB28" s="234" t="e">
        <f>astrogrep_path&amp;" /e /r /s /spath="&amp;search_path&amp;" /stypes=""app*"&amp;GHX28&amp;"*"&amp;TEXT(GIE28-utc_offset/24,"YYYYMMDD")&amp;"*"" /stext="" "&amp;TEXT(GIE28-utc_offset/24,"HH")&amp;search_regexp&amp;""""</f>
        <v>#REF!</v>
      </c>
      <c r="GJC28" s="234" t="e">
        <f>astrogrep_path&amp;" /e /r /s /spath="&amp;search_path&amp;" /stypes=""app*"&amp;GHY28&amp;"*"&amp;TEXT(GIF28-utc_offset/24,"YYYYMMDD")&amp;"*"" /stext="" "&amp;TEXT(GIF28-utc_offset/24,"HH")&amp;search_regexp&amp;""""</f>
        <v>#REF!</v>
      </c>
      <c r="GJD28" s="234" t="e">
        <f>astrogrep_path&amp;" /e /r /s /spath="&amp;search_path&amp;" /stypes=""app*"&amp;GHZ28&amp;"*"&amp;TEXT(GIG28-utc_offset/24,"YYYYMMDD")&amp;"*"" /stext="" "&amp;TEXT(GIG28-utc_offset/24,"HH")&amp;search_regexp&amp;""""</f>
        <v>#REF!</v>
      </c>
      <c r="GJE28" s="234" t="e">
        <f>astrogrep_path&amp;" /e /r /s /spath="&amp;search_path&amp;" /stypes=""app*"&amp;GIA28&amp;"*"&amp;TEXT(GIH28-utc_offset/24,"YYYYMMDD")&amp;"*"" /stext="" "&amp;TEXT(GIH28-utc_offset/24,"HH")&amp;search_regexp&amp;""""</f>
        <v>#REF!</v>
      </c>
      <c r="GJF28" s="234" t="e">
        <f>astrogrep_path&amp;" /e /r /s /spath="&amp;search_path&amp;" /stypes=""app*"&amp;GIB28&amp;"*"&amp;TEXT(GII28-utc_offset/24,"YYYYMMDD")&amp;"*"" /stext="" "&amp;TEXT(GII28-utc_offset/24,"HH")&amp;search_regexp&amp;""""</f>
        <v>#REF!</v>
      </c>
      <c r="GJG28" s="234" t="e">
        <f>astrogrep_path&amp;" /e /r /s /spath="&amp;search_path&amp;" /stypes=""app*"&amp;GIC28&amp;"*"&amp;TEXT(GIJ28-utc_offset/24,"YYYYMMDD")&amp;"*"" /stext="" "&amp;TEXT(GIJ28-utc_offset/24,"HH")&amp;search_regexp&amp;""""</f>
        <v>#REF!</v>
      </c>
      <c r="GJH28" s="234" t="e">
        <f>astrogrep_path&amp;" /e /r /s /spath="&amp;search_path&amp;" /stypes=""app*"&amp;GID28&amp;"*"&amp;TEXT(GIK28-utc_offset/24,"YYYYMMDD")&amp;"*"" /stext="" "&amp;TEXT(GIK28-utc_offset/24,"HH")&amp;search_regexp&amp;""""</f>
        <v>#REF!</v>
      </c>
      <c r="GJI28" s="234" t="e">
        <f>astrogrep_path&amp;" /e /r /s /spath="&amp;search_path&amp;" /stypes=""app*"&amp;GIE28&amp;"*"&amp;TEXT(GIL28-utc_offset/24,"YYYYMMDD")&amp;"*"" /stext="" "&amp;TEXT(GIL28-utc_offset/24,"HH")&amp;search_regexp&amp;""""</f>
        <v>#REF!</v>
      </c>
      <c r="GJJ28" s="234" t="e">
        <f>astrogrep_path&amp;" /e /r /s /spath="&amp;search_path&amp;" /stypes=""app*"&amp;GIF28&amp;"*"&amp;TEXT(GIM28-utc_offset/24,"YYYYMMDD")&amp;"*"" /stext="" "&amp;TEXT(GIM28-utc_offset/24,"HH")&amp;search_regexp&amp;""""</f>
        <v>#REF!</v>
      </c>
      <c r="GJK28" s="234" t="e">
        <f>astrogrep_path&amp;" /e /r /s /spath="&amp;search_path&amp;" /stypes=""app*"&amp;GIG28&amp;"*"&amp;TEXT(GIN28-utc_offset/24,"YYYYMMDD")&amp;"*"" /stext="" "&amp;TEXT(GIN28-utc_offset/24,"HH")&amp;search_regexp&amp;""""</f>
        <v>#REF!</v>
      </c>
      <c r="GJL28" s="234" t="e">
        <f>astrogrep_path&amp;" /e /r /s /spath="&amp;search_path&amp;" /stypes=""app*"&amp;GIH28&amp;"*"&amp;TEXT(GIO28-utc_offset/24,"YYYYMMDD")&amp;"*"" /stext="" "&amp;TEXT(GIO28-utc_offset/24,"HH")&amp;search_regexp&amp;""""</f>
        <v>#REF!</v>
      </c>
      <c r="GJM28" s="234" t="e">
        <f>astrogrep_path&amp;" /e /r /s /spath="&amp;search_path&amp;" /stypes=""app*"&amp;GII28&amp;"*"&amp;TEXT(GIP28-utc_offset/24,"YYYYMMDD")&amp;"*"" /stext="" "&amp;TEXT(GIP28-utc_offset/24,"HH")&amp;search_regexp&amp;""""</f>
        <v>#REF!</v>
      </c>
      <c r="GJN28" s="234" t="e">
        <f>astrogrep_path&amp;" /e /r /s /spath="&amp;search_path&amp;" /stypes=""app*"&amp;GIJ28&amp;"*"&amp;TEXT(GIQ28-utc_offset/24,"YYYYMMDD")&amp;"*"" /stext="" "&amp;TEXT(GIQ28-utc_offset/24,"HH")&amp;search_regexp&amp;""""</f>
        <v>#REF!</v>
      </c>
      <c r="GJO28" s="234" t="e">
        <f>astrogrep_path&amp;" /e /r /s /spath="&amp;search_path&amp;" /stypes=""app*"&amp;GIK28&amp;"*"&amp;TEXT(GIR28-utc_offset/24,"YYYYMMDD")&amp;"*"" /stext="" "&amp;TEXT(GIR28-utc_offset/24,"HH")&amp;search_regexp&amp;""""</f>
        <v>#REF!</v>
      </c>
      <c r="GJP28" s="234" t="e">
        <f>astrogrep_path&amp;" /e /r /s /spath="&amp;search_path&amp;" /stypes=""app*"&amp;GIL28&amp;"*"&amp;TEXT(GIS28-utc_offset/24,"YYYYMMDD")&amp;"*"" /stext="" "&amp;TEXT(GIS28-utc_offset/24,"HH")&amp;search_regexp&amp;""""</f>
        <v>#REF!</v>
      </c>
      <c r="GJQ28" s="234" t="e">
        <f>astrogrep_path&amp;" /e /r /s /spath="&amp;search_path&amp;" /stypes=""app*"&amp;GIM28&amp;"*"&amp;TEXT(GIT28-utc_offset/24,"YYYYMMDD")&amp;"*"" /stext="" "&amp;TEXT(GIT28-utc_offset/24,"HH")&amp;search_regexp&amp;""""</f>
        <v>#REF!</v>
      </c>
      <c r="GJR28" s="234" t="e">
        <f>astrogrep_path&amp;" /e /r /s /spath="&amp;search_path&amp;" /stypes=""app*"&amp;GIN28&amp;"*"&amp;TEXT(GIU28-utc_offset/24,"YYYYMMDD")&amp;"*"" /stext="" "&amp;TEXT(GIU28-utc_offset/24,"HH")&amp;search_regexp&amp;""""</f>
        <v>#REF!</v>
      </c>
      <c r="GJS28" s="234" t="e">
        <f>astrogrep_path&amp;" /e /r /s /spath="&amp;search_path&amp;" /stypes=""app*"&amp;GIO28&amp;"*"&amp;TEXT(GIV28-utc_offset/24,"YYYYMMDD")&amp;"*"" /stext="" "&amp;TEXT(GIV28-utc_offset/24,"HH")&amp;search_regexp&amp;""""</f>
        <v>#VALUE!</v>
      </c>
      <c r="GJT28" s="234" t="e">
        <f>astrogrep_path&amp;" /e /r /s /spath="&amp;search_path&amp;" /stypes=""app*"&amp;GIP28&amp;"*"&amp;TEXT(GIW28-utc_offset/24,"YYYYMMDD")&amp;"*"" /stext="" "&amp;TEXT(GIW28-utc_offset/24,"HH")&amp;search_regexp&amp;""""</f>
        <v>#VALUE!</v>
      </c>
      <c r="GJU28" s="234" t="e">
        <f>astrogrep_path&amp;" /e /r /s /spath="&amp;search_path&amp;" /stypes=""app*"&amp;GIQ28&amp;"*"&amp;TEXT(GIX28-utc_offset/24,"YYYYMMDD")&amp;"*"" /stext="" "&amp;TEXT(GIX28-utc_offset/24,"HH")&amp;search_regexp&amp;""""</f>
        <v>#REF!</v>
      </c>
      <c r="GJV28" s="234" t="e">
        <f>astrogrep_path&amp;" /e /r /s /spath="&amp;search_path&amp;" /stypes=""app*"&amp;GIR28&amp;"*"&amp;TEXT(GIY28-utc_offset/24,"YYYYMMDD")&amp;"*"" /stext="" "&amp;TEXT(GIY28-utc_offset/24,"HH")&amp;search_regexp&amp;""""</f>
        <v>#REF!</v>
      </c>
      <c r="GJW28" s="234" t="e">
        <f>astrogrep_path&amp;" /e /r /s /spath="&amp;search_path&amp;" /stypes=""app*"&amp;GIS28&amp;"*"&amp;TEXT(GIZ28-utc_offset/24,"YYYYMMDD")&amp;"*"" /stext="" "&amp;TEXT(GIZ28-utc_offset/24,"HH")&amp;search_regexp&amp;""""</f>
        <v>#VALUE!</v>
      </c>
      <c r="GJX28" s="234" t="e">
        <f>astrogrep_path&amp;" /e /r /s /spath="&amp;search_path&amp;" /stypes=""app*"&amp;GIT28&amp;"*"&amp;TEXT(GJA28-utc_offset/24,"YYYYMMDD")&amp;"*"" /stext="" "&amp;TEXT(GJA28-utc_offset/24,"HH")&amp;search_regexp&amp;""""</f>
        <v>#VALUE!</v>
      </c>
      <c r="GJY28" s="234" t="e">
        <f>astrogrep_path&amp;" /e /r /s /spath="&amp;search_path&amp;" /stypes=""app*"&amp;GIU28&amp;"*"&amp;TEXT(GJB28-utc_offset/24,"YYYYMMDD")&amp;"*"" /stext="" "&amp;TEXT(GJB28-utc_offset/24,"HH")&amp;search_regexp&amp;""""</f>
        <v>#VALUE!</v>
      </c>
      <c r="GJZ28" s="234" t="e">
        <f>astrogrep_path&amp;" /e /r /s /spath="&amp;search_path&amp;" /stypes=""app*"&amp;GIV28&amp;"*"&amp;TEXT(GJC28-utc_offset/24,"YYYYMMDD")&amp;"*"" /stext="" "&amp;TEXT(GJC28-utc_offset/24,"HH")&amp;search_regexp&amp;""""</f>
        <v>#VALUE!</v>
      </c>
      <c r="GKA28" s="234" t="e">
        <f>astrogrep_path&amp;" /e /r /s /spath="&amp;search_path&amp;" /stypes=""app*"&amp;GIW28&amp;"*"&amp;TEXT(GJD28-utc_offset/24,"YYYYMMDD")&amp;"*"" /stext="" "&amp;TEXT(GJD28-utc_offset/24,"HH")&amp;search_regexp&amp;""""</f>
        <v>#VALUE!</v>
      </c>
      <c r="GKB28" s="234" t="e">
        <f>astrogrep_path&amp;" /e /r /s /spath="&amp;search_path&amp;" /stypes=""app*"&amp;GIX28&amp;"*"&amp;TEXT(GJE28-utc_offset/24,"YYYYMMDD")&amp;"*"" /stext="" "&amp;TEXT(GJE28-utc_offset/24,"HH")&amp;search_regexp&amp;""""</f>
        <v>#REF!</v>
      </c>
      <c r="GKC28" s="234" t="e">
        <f>astrogrep_path&amp;" /e /r /s /spath="&amp;search_path&amp;" /stypes=""app*"&amp;GIY28&amp;"*"&amp;TEXT(GJF28-utc_offset/24,"YYYYMMDD")&amp;"*"" /stext="" "&amp;TEXT(GJF28-utc_offset/24,"HH")&amp;search_regexp&amp;""""</f>
        <v>#REF!</v>
      </c>
      <c r="GKD28" s="234" t="e">
        <f>astrogrep_path&amp;" /e /r /s /spath="&amp;search_path&amp;" /stypes=""app*"&amp;GIZ28&amp;"*"&amp;TEXT(GJG28-utc_offset/24,"YYYYMMDD")&amp;"*"" /stext="" "&amp;TEXT(GJG28-utc_offset/24,"HH")&amp;search_regexp&amp;""""</f>
        <v>#REF!</v>
      </c>
      <c r="GKE28" s="234" t="e">
        <f>astrogrep_path&amp;" /e /r /s /spath="&amp;search_path&amp;" /stypes=""app*"&amp;GJA28&amp;"*"&amp;TEXT(GJH28-utc_offset/24,"YYYYMMDD")&amp;"*"" /stext="" "&amp;TEXT(GJH28-utc_offset/24,"HH")&amp;search_regexp&amp;""""</f>
        <v>#REF!</v>
      </c>
      <c r="GKF28" s="234" t="e">
        <f>astrogrep_path&amp;" /e /r /s /spath="&amp;search_path&amp;" /stypes=""app*"&amp;GJB28&amp;"*"&amp;TEXT(GJI28-utc_offset/24,"YYYYMMDD")&amp;"*"" /stext="" "&amp;TEXT(GJI28-utc_offset/24,"HH")&amp;search_regexp&amp;""""</f>
        <v>#REF!</v>
      </c>
      <c r="GKG28" s="234" t="e">
        <f>astrogrep_path&amp;" /e /r /s /spath="&amp;search_path&amp;" /stypes=""app*"&amp;GJC28&amp;"*"&amp;TEXT(GJJ28-utc_offset/24,"YYYYMMDD")&amp;"*"" /stext="" "&amp;TEXT(GJJ28-utc_offset/24,"HH")&amp;search_regexp&amp;""""</f>
        <v>#REF!</v>
      </c>
      <c r="GKH28" s="234" t="e">
        <f>astrogrep_path&amp;" /e /r /s /spath="&amp;search_path&amp;" /stypes=""app*"&amp;GJD28&amp;"*"&amp;TEXT(GJK28-utc_offset/24,"YYYYMMDD")&amp;"*"" /stext="" "&amp;TEXT(GJK28-utc_offset/24,"HH")&amp;search_regexp&amp;""""</f>
        <v>#REF!</v>
      </c>
      <c r="GKI28" s="234" t="e">
        <f>astrogrep_path&amp;" /e /r /s /spath="&amp;search_path&amp;" /stypes=""app*"&amp;GJE28&amp;"*"&amp;TEXT(GJL28-utc_offset/24,"YYYYMMDD")&amp;"*"" /stext="" "&amp;TEXT(GJL28-utc_offset/24,"HH")&amp;search_regexp&amp;""""</f>
        <v>#REF!</v>
      </c>
      <c r="GKJ28" s="234" t="e">
        <f>astrogrep_path&amp;" /e /r /s /spath="&amp;search_path&amp;" /stypes=""app*"&amp;GJF28&amp;"*"&amp;TEXT(GJM28-utc_offset/24,"YYYYMMDD")&amp;"*"" /stext="" "&amp;TEXT(GJM28-utc_offset/24,"HH")&amp;search_regexp&amp;""""</f>
        <v>#REF!</v>
      </c>
      <c r="GKK28" s="234" t="e">
        <f>astrogrep_path&amp;" /e /r /s /spath="&amp;search_path&amp;" /stypes=""app*"&amp;GJG28&amp;"*"&amp;TEXT(GJN28-utc_offset/24,"YYYYMMDD")&amp;"*"" /stext="" "&amp;TEXT(GJN28-utc_offset/24,"HH")&amp;search_regexp&amp;""""</f>
        <v>#REF!</v>
      </c>
      <c r="GKL28" s="234" t="e">
        <f>astrogrep_path&amp;" /e /r /s /spath="&amp;search_path&amp;" /stypes=""app*"&amp;GJH28&amp;"*"&amp;TEXT(GJO28-utc_offset/24,"YYYYMMDD")&amp;"*"" /stext="" "&amp;TEXT(GJO28-utc_offset/24,"HH")&amp;search_regexp&amp;""""</f>
        <v>#REF!</v>
      </c>
      <c r="GKM28" s="234" t="e">
        <f>astrogrep_path&amp;" /e /r /s /spath="&amp;search_path&amp;" /stypes=""app*"&amp;GJI28&amp;"*"&amp;TEXT(GJP28-utc_offset/24,"YYYYMMDD")&amp;"*"" /stext="" "&amp;TEXT(GJP28-utc_offset/24,"HH")&amp;search_regexp&amp;""""</f>
        <v>#REF!</v>
      </c>
      <c r="GKN28" s="234" t="e">
        <f>astrogrep_path&amp;" /e /r /s /spath="&amp;search_path&amp;" /stypes=""app*"&amp;GJJ28&amp;"*"&amp;TEXT(GJQ28-utc_offset/24,"YYYYMMDD")&amp;"*"" /stext="" "&amp;TEXT(GJQ28-utc_offset/24,"HH")&amp;search_regexp&amp;""""</f>
        <v>#REF!</v>
      </c>
      <c r="GKO28" s="234" t="e">
        <f>astrogrep_path&amp;" /e /r /s /spath="&amp;search_path&amp;" /stypes=""app*"&amp;GJK28&amp;"*"&amp;TEXT(GJR28-utc_offset/24,"YYYYMMDD")&amp;"*"" /stext="" "&amp;TEXT(GJR28-utc_offset/24,"HH")&amp;search_regexp&amp;""""</f>
        <v>#REF!</v>
      </c>
      <c r="GKP28" s="234" t="e">
        <f>astrogrep_path&amp;" /e /r /s /spath="&amp;search_path&amp;" /stypes=""app*"&amp;GJL28&amp;"*"&amp;TEXT(GJS28-utc_offset/24,"YYYYMMDD")&amp;"*"" /stext="" "&amp;TEXT(GJS28-utc_offset/24,"HH")&amp;search_regexp&amp;""""</f>
        <v>#REF!</v>
      </c>
      <c r="GKQ28" s="234" t="e">
        <f>astrogrep_path&amp;" /e /r /s /spath="&amp;search_path&amp;" /stypes=""app*"&amp;GJM28&amp;"*"&amp;TEXT(GJT28-utc_offset/24,"YYYYMMDD")&amp;"*"" /stext="" "&amp;TEXT(GJT28-utc_offset/24,"HH")&amp;search_regexp&amp;""""</f>
        <v>#REF!</v>
      </c>
      <c r="GKR28" s="234" t="e">
        <f>astrogrep_path&amp;" /e /r /s /spath="&amp;search_path&amp;" /stypes=""app*"&amp;GJN28&amp;"*"&amp;TEXT(GJU28-utc_offset/24,"YYYYMMDD")&amp;"*"" /stext="" "&amp;TEXT(GJU28-utc_offset/24,"HH")&amp;search_regexp&amp;""""</f>
        <v>#REF!</v>
      </c>
      <c r="GKS28" s="234" t="e">
        <f>astrogrep_path&amp;" /e /r /s /spath="&amp;search_path&amp;" /stypes=""app*"&amp;GJO28&amp;"*"&amp;TEXT(GJV28-utc_offset/24,"YYYYMMDD")&amp;"*"" /stext="" "&amp;TEXT(GJV28-utc_offset/24,"HH")&amp;search_regexp&amp;""""</f>
        <v>#REF!</v>
      </c>
      <c r="GKT28" s="234" t="e">
        <f>astrogrep_path&amp;" /e /r /s /spath="&amp;search_path&amp;" /stypes=""app*"&amp;GJP28&amp;"*"&amp;TEXT(GJW28-utc_offset/24,"YYYYMMDD")&amp;"*"" /stext="" "&amp;TEXT(GJW28-utc_offset/24,"HH")&amp;search_regexp&amp;""""</f>
        <v>#REF!</v>
      </c>
      <c r="GKU28" s="234" t="e">
        <f>astrogrep_path&amp;" /e /r /s /spath="&amp;search_path&amp;" /stypes=""app*"&amp;GJQ28&amp;"*"&amp;TEXT(GJX28-utc_offset/24,"YYYYMMDD")&amp;"*"" /stext="" "&amp;TEXT(GJX28-utc_offset/24,"HH")&amp;search_regexp&amp;""""</f>
        <v>#REF!</v>
      </c>
      <c r="GKV28" s="234" t="e">
        <f>astrogrep_path&amp;" /e /r /s /spath="&amp;search_path&amp;" /stypes=""app*"&amp;GJR28&amp;"*"&amp;TEXT(GJY28-utc_offset/24,"YYYYMMDD")&amp;"*"" /stext="" "&amp;TEXT(GJY28-utc_offset/24,"HH")&amp;search_regexp&amp;""""</f>
        <v>#REF!</v>
      </c>
      <c r="GKW28" s="234" t="e">
        <f>astrogrep_path&amp;" /e /r /s /spath="&amp;search_path&amp;" /stypes=""app*"&amp;GJS28&amp;"*"&amp;TEXT(GJZ28-utc_offset/24,"YYYYMMDD")&amp;"*"" /stext="" "&amp;TEXT(GJZ28-utc_offset/24,"HH")&amp;search_regexp&amp;""""</f>
        <v>#VALUE!</v>
      </c>
      <c r="GKX28" s="234" t="e">
        <f>astrogrep_path&amp;" /e /r /s /spath="&amp;search_path&amp;" /stypes=""app*"&amp;GJT28&amp;"*"&amp;TEXT(GKA28-utc_offset/24,"YYYYMMDD")&amp;"*"" /stext="" "&amp;TEXT(GKA28-utc_offset/24,"HH")&amp;search_regexp&amp;""""</f>
        <v>#VALUE!</v>
      </c>
      <c r="GKY28" s="234" t="e">
        <f>astrogrep_path&amp;" /e /r /s /spath="&amp;search_path&amp;" /stypes=""app*"&amp;GJU28&amp;"*"&amp;TEXT(GKB28-utc_offset/24,"YYYYMMDD")&amp;"*"" /stext="" "&amp;TEXT(GKB28-utc_offset/24,"HH")&amp;search_regexp&amp;""""</f>
        <v>#REF!</v>
      </c>
      <c r="GKZ28" s="234" t="e">
        <f>astrogrep_path&amp;" /e /r /s /spath="&amp;search_path&amp;" /stypes=""app*"&amp;GJV28&amp;"*"&amp;TEXT(GKC28-utc_offset/24,"YYYYMMDD")&amp;"*"" /stext="" "&amp;TEXT(GKC28-utc_offset/24,"HH")&amp;search_regexp&amp;""""</f>
        <v>#REF!</v>
      </c>
      <c r="GLA28" s="234" t="e">
        <f>astrogrep_path&amp;" /e /r /s /spath="&amp;search_path&amp;" /stypes=""app*"&amp;GJW28&amp;"*"&amp;TEXT(GKD28-utc_offset/24,"YYYYMMDD")&amp;"*"" /stext="" "&amp;TEXT(GKD28-utc_offset/24,"HH")&amp;search_regexp&amp;""""</f>
        <v>#VALUE!</v>
      </c>
      <c r="GLB28" s="234" t="e">
        <f>astrogrep_path&amp;" /e /r /s /spath="&amp;search_path&amp;" /stypes=""app*"&amp;GJX28&amp;"*"&amp;TEXT(GKE28-utc_offset/24,"YYYYMMDD")&amp;"*"" /stext="" "&amp;TEXT(GKE28-utc_offset/24,"HH")&amp;search_regexp&amp;""""</f>
        <v>#VALUE!</v>
      </c>
      <c r="GLC28" s="234" t="e">
        <f>astrogrep_path&amp;" /e /r /s /spath="&amp;search_path&amp;" /stypes=""app*"&amp;GJY28&amp;"*"&amp;TEXT(GKF28-utc_offset/24,"YYYYMMDD")&amp;"*"" /stext="" "&amp;TEXT(GKF28-utc_offset/24,"HH")&amp;search_regexp&amp;""""</f>
        <v>#VALUE!</v>
      </c>
      <c r="GLD28" s="234" t="e">
        <f>astrogrep_path&amp;" /e /r /s /spath="&amp;search_path&amp;" /stypes=""app*"&amp;GJZ28&amp;"*"&amp;TEXT(GKG28-utc_offset/24,"YYYYMMDD")&amp;"*"" /stext="" "&amp;TEXT(GKG28-utc_offset/24,"HH")&amp;search_regexp&amp;""""</f>
        <v>#VALUE!</v>
      </c>
      <c r="GLE28" s="234" t="e">
        <f>astrogrep_path&amp;" /e /r /s /spath="&amp;search_path&amp;" /stypes=""app*"&amp;GKA28&amp;"*"&amp;TEXT(GKH28-utc_offset/24,"YYYYMMDD")&amp;"*"" /stext="" "&amp;TEXT(GKH28-utc_offset/24,"HH")&amp;search_regexp&amp;""""</f>
        <v>#VALUE!</v>
      </c>
      <c r="GLF28" s="234" t="e">
        <f>astrogrep_path&amp;" /e /r /s /spath="&amp;search_path&amp;" /stypes=""app*"&amp;GKB28&amp;"*"&amp;TEXT(GKI28-utc_offset/24,"YYYYMMDD")&amp;"*"" /stext="" "&amp;TEXT(GKI28-utc_offset/24,"HH")&amp;search_regexp&amp;""""</f>
        <v>#REF!</v>
      </c>
      <c r="GLG28" s="234" t="e">
        <f>astrogrep_path&amp;" /e /r /s /spath="&amp;search_path&amp;" /stypes=""app*"&amp;GKC28&amp;"*"&amp;TEXT(GKJ28-utc_offset/24,"YYYYMMDD")&amp;"*"" /stext="" "&amp;TEXT(GKJ28-utc_offset/24,"HH")&amp;search_regexp&amp;""""</f>
        <v>#REF!</v>
      </c>
      <c r="GLH28" s="234" t="e">
        <f>astrogrep_path&amp;" /e /r /s /spath="&amp;search_path&amp;" /stypes=""app*"&amp;GKD28&amp;"*"&amp;TEXT(GKK28-utc_offset/24,"YYYYMMDD")&amp;"*"" /stext="" "&amp;TEXT(GKK28-utc_offset/24,"HH")&amp;search_regexp&amp;""""</f>
        <v>#REF!</v>
      </c>
      <c r="GLI28" s="234" t="e">
        <f>astrogrep_path&amp;" /e /r /s /spath="&amp;search_path&amp;" /stypes=""app*"&amp;GKE28&amp;"*"&amp;TEXT(GKL28-utc_offset/24,"YYYYMMDD")&amp;"*"" /stext="" "&amp;TEXT(GKL28-utc_offset/24,"HH")&amp;search_regexp&amp;""""</f>
        <v>#REF!</v>
      </c>
      <c r="GLJ28" s="234" t="e">
        <f>astrogrep_path&amp;" /e /r /s /spath="&amp;search_path&amp;" /stypes=""app*"&amp;GKF28&amp;"*"&amp;TEXT(GKM28-utc_offset/24,"YYYYMMDD")&amp;"*"" /stext="" "&amp;TEXT(GKM28-utc_offset/24,"HH")&amp;search_regexp&amp;""""</f>
        <v>#REF!</v>
      </c>
      <c r="GLK28" s="234" t="e">
        <f>astrogrep_path&amp;" /e /r /s /spath="&amp;search_path&amp;" /stypes=""app*"&amp;GKG28&amp;"*"&amp;TEXT(GKN28-utc_offset/24,"YYYYMMDD")&amp;"*"" /stext="" "&amp;TEXT(GKN28-utc_offset/24,"HH")&amp;search_regexp&amp;""""</f>
        <v>#REF!</v>
      </c>
      <c r="GLL28" s="234" t="e">
        <f>astrogrep_path&amp;" /e /r /s /spath="&amp;search_path&amp;" /stypes=""app*"&amp;GKH28&amp;"*"&amp;TEXT(GKO28-utc_offset/24,"YYYYMMDD")&amp;"*"" /stext="" "&amp;TEXT(GKO28-utc_offset/24,"HH")&amp;search_regexp&amp;""""</f>
        <v>#REF!</v>
      </c>
      <c r="GLM28" s="234" t="e">
        <f>astrogrep_path&amp;" /e /r /s /spath="&amp;search_path&amp;" /stypes=""app*"&amp;GKI28&amp;"*"&amp;TEXT(GKP28-utc_offset/24,"YYYYMMDD")&amp;"*"" /stext="" "&amp;TEXT(GKP28-utc_offset/24,"HH")&amp;search_regexp&amp;""""</f>
        <v>#REF!</v>
      </c>
      <c r="GLN28" s="234" t="e">
        <f>astrogrep_path&amp;" /e /r /s /spath="&amp;search_path&amp;" /stypes=""app*"&amp;GKJ28&amp;"*"&amp;TEXT(GKQ28-utc_offset/24,"YYYYMMDD")&amp;"*"" /stext="" "&amp;TEXT(GKQ28-utc_offset/24,"HH")&amp;search_regexp&amp;""""</f>
        <v>#REF!</v>
      </c>
      <c r="GLO28" s="234" t="e">
        <f>astrogrep_path&amp;" /e /r /s /spath="&amp;search_path&amp;" /stypes=""app*"&amp;GKK28&amp;"*"&amp;TEXT(GKR28-utc_offset/24,"YYYYMMDD")&amp;"*"" /stext="" "&amp;TEXT(GKR28-utc_offset/24,"HH")&amp;search_regexp&amp;""""</f>
        <v>#REF!</v>
      </c>
      <c r="GLP28" s="234" t="e">
        <f>astrogrep_path&amp;" /e /r /s /spath="&amp;search_path&amp;" /stypes=""app*"&amp;GKL28&amp;"*"&amp;TEXT(GKS28-utc_offset/24,"YYYYMMDD")&amp;"*"" /stext="" "&amp;TEXT(GKS28-utc_offset/24,"HH")&amp;search_regexp&amp;""""</f>
        <v>#REF!</v>
      </c>
      <c r="GLQ28" s="234" t="e">
        <f>astrogrep_path&amp;" /e /r /s /spath="&amp;search_path&amp;" /stypes=""app*"&amp;GKM28&amp;"*"&amp;TEXT(GKT28-utc_offset/24,"YYYYMMDD")&amp;"*"" /stext="" "&amp;TEXT(GKT28-utc_offset/24,"HH")&amp;search_regexp&amp;""""</f>
        <v>#REF!</v>
      </c>
      <c r="GLR28" s="234" t="e">
        <f>astrogrep_path&amp;" /e /r /s /spath="&amp;search_path&amp;" /stypes=""app*"&amp;GKN28&amp;"*"&amp;TEXT(GKU28-utc_offset/24,"YYYYMMDD")&amp;"*"" /stext="" "&amp;TEXT(GKU28-utc_offset/24,"HH")&amp;search_regexp&amp;""""</f>
        <v>#REF!</v>
      </c>
      <c r="GLS28" s="234" t="e">
        <f>astrogrep_path&amp;" /e /r /s /spath="&amp;search_path&amp;" /stypes=""app*"&amp;GKO28&amp;"*"&amp;TEXT(GKV28-utc_offset/24,"YYYYMMDD")&amp;"*"" /stext="" "&amp;TEXT(GKV28-utc_offset/24,"HH")&amp;search_regexp&amp;""""</f>
        <v>#REF!</v>
      </c>
      <c r="GLT28" s="234" t="e">
        <f>astrogrep_path&amp;" /e /r /s /spath="&amp;search_path&amp;" /stypes=""app*"&amp;GKP28&amp;"*"&amp;TEXT(GKW28-utc_offset/24,"YYYYMMDD")&amp;"*"" /stext="" "&amp;TEXT(GKW28-utc_offset/24,"HH")&amp;search_regexp&amp;""""</f>
        <v>#REF!</v>
      </c>
      <c r="GLU28" s="234" t="e">
        <f>astrogrep_path&amp;" /e /r /s /spath="&amp;search_path&amp;" /stypes=""app*"&amp;GKQ28&amp;"*"&amp;TEXT(GKX28-utc_offset/24,"YYYYMMDD")&amp;"*"" /stext="" "&amp;TEXT(GKX28-utc_offset/24,"HH")&amp;search_regexp&amp;""""</f>
        <v>#REF!</v>
      </c>
      <c r="GLV28" s="234" t="e">
        <f>astrogrep_path&amp;" /e /r /s /spath="&amp;search_path&amp;" /stypes=""app*"&amp;GKR28&amp;"*"&amp;TEXT(GKY28-utc_offset/24,"YYYYMMDD")&amp;"*"" /stext="" "&amp;TEXT(GKY28-utc_offset/24,"HH")&amp;search_regexp&amp;""""</f>
        <v>#REF!</v>
      </c>
      <c r="GLW28" s="234" t="e">
        <f>astrogrep_path&amp;" /e /r /s /spath="&amp;search_path&amp;" /stypes=""app*"&amp;GKS28&amp;"*"&amp;TEXT(GKZ28-utc_offset/24,"YYYYMMDD")&amp;"*"" /stext="" "&amp;TEXT(GKZ28-utc_offset/24,"HH")&amp;search_regexp&amp;""""</f>
        <v>#REF!</v>
      </c>
      <c r="GLX28" s="234" t="e">
        <f>astrogrep_path&amp;" /e /r /s /spath="&amp;search_path&amp;" /stypes=""app*"&amp;GKT28&amp;"*"&amp;TEXT(GLA28-utc_offset/24,"YYYYMMDD")&amp;"*"" /stext="" "&amp;TEXT(GLA28-utc_offset/24,"HH")&amp;search_regexp&amp;""""</f>
        <v>#REF!</v>
      </c>
      <c r="GLY28" s="234" t="e">
        <f>astrogrep_path&amp;" /e /r /s /spath="&amp;search_path&amp;" /stypes=""app*"&amp;GKU28&amp;"*"&amp;TEXT(GLB28-utc_offset/24,"YYYYMMDD")&amp;"*"" /stext="" "&amp;TEXT(GLB28-utc_offset/24,"HH")&amp;search_regexp&amp;""""</f>
        <v>#REF!</v>
      </c>
      <c r="GLZ28" s="234" t="e">
        <f>astrogrep_path&amp;" /e /r /s /spath="&amp;search_path&amp;" /stypes=""app*"&amp;GKV28&amp;"*"&amp;TEXT(GLC28-utc_offset/24,"YYYYMMDD")&amp;"*"" /stext="" "&amp;TEXT(GLC28-utc_offset/24,"HH")&amp;search_regexp&amp;""""</f>
        <v>#REF!</v>
      </c>
      <c r="GMA28" s="234" t="e">
        <f>astrogrep_path&amp;" /e /r /s /spath="&amp;search_path&amp;" /stypes=""app*"&amp;GKW28&amp;"*"&amp;TEXT(GLD28-utc_offset/24,"YYYYMMDD")&amp;"*"" /stext="" "&amp;TEXT(GLD28-utc_offset/24,"HH")&amp;search_regexp&amp;""""</f>
        <v>#VALUE!</v>
      </c>
      <c r="GMB28" s="234" t="e">
        <f>astrogrep_path&amp;" /e /r /s /spath="&amp;search_path&amp;" /stypes=""app*"&amp;GKX28&amp;"*"&amp;TEXT(GLE28-utc_offset/24,"YYYYMMDD")&amp;"*"" /stext="" "&amp;TEXT(GLE28-utc_offset/24,"HH")&amp;search_regexp&amp;""""</f>
        <v>#VALUE!</v>
      </c>
      <c r="GMC28" s="234" t="e">
        <f>astrogrep_path&amp;" /e /r /s /spath="&amp;search_path&amp;" /stypes=""app*"&amp;GKY28&amp;"*"&amp;TEXT(GLF28-utc_offset/24,"YYYYMMDD")&amp;"*"" /stext="" "&amp;TEXT(GLF28-utc_offset/24,"HH")&amp;search_regexp&amp;""""</f>
        <v>#REF!</v>
      </c>
      <c r="GMD28" s="234" t="e">
        <f>astrogrep_path&amp;" /e /r /s /spath="&amp;search_path&amp;" /stypes=""app*"&amp;GKZ28&amp;"*"&amp;TEXT(GLG28-utc_offset/24,"YYYYMMDD")&amp;"*"" /stext="" "&amp;TEXT(GLG28-utc_offset/24,"HH")&amp;search_regexp&amp;""""</f>
        <v>#REF!</v>
      </c>
      <c r="GME28" s="234" t="e">
        <f>astrogrep_path&amp;" /e /r /s /spath="&amp;search_path&amp;" /stypes=""app*"&amp;GLA28&amp;"*"&amp;TEXT(GLH28-utc_offset/24,"YYYYMMDD")&amp;"*"" /stext="" "&amp;TEXT(GLH28-utc_offset/24,"HH")&amp;search_regexp&amp;""""</f>
        <v>#VALUE!</v>
      </c>
      <c r="GMF28" s="234" t="e">
        <f>astrogrep_path&amp;" /e /r /s /spath="&amp;search_path&amp;" /stypes=""app*"&amp;GLB28&amp;"*"&amp;TEXT(GLI28-utc_offset/24,"YYYYMMDD")&amp;"*"" /stext="" "&amp;TEXT(GLI28-utc_offset/24,"HH")&amp;search_regexp&amp;""""</f>
        <v>#VALUE!</v>
      </c>
      <c r="GMG28" s="234" t="e">
        <f>astrogrep_path&amp;" /e /r /s /spath="&amp;search_path&amp;" /stypes=""app*"&amp;GLC28&amp;"*"&amp;TEXT(GLJ28-utc_offset/24,"YYYYMMDD")&amp;"*"" /stext="" "&amp;TEXT(GLJ28-utc_offset/24,"HH")&amp;search_regexp&amp;""""</f>
        <v>#VALUE!</v>
      </c>
      <c r="GMH28" s="234" t="e">
        <f>astrogrep_path&amp;" /e /r /s /spath="&amp;search_path&amp;" /stypes=""app*"&amp;GLD28&amp;"*"&amp;TEXT(GLK28-utc_offset/24,"YYYYMMDD")&amp;"*"" /stext="" "&amp;TEXT(GLK28-utc_offset/24,"HH")&amp;search_regexp&amp;""""</f>
        <v>#VALUE!</v>
      </c>
      <c r="GMI28" s="234" t="e">
        <f>astrogrep_path&amp;" /e /r /s /spath="&amp;search_path&amp;" /stypes=""app*"&amp;GLE28&amp;"*"&amp;TEXT(GLL28-utc_offset/24,"YYYYMMDD")&amp;"*"" /stext="" "&amp;TEXT(GLL28-utc_offset/24,"HH")&amp;search_regexp&amp;""""</f>
        <v>#VALUE!</v>
      </c>
      <c r="GMJ28" s="234" t="e">
        <f>astrogrep_path&amp;" /e /r /s /spath="&amp;search_path&amp;" /stypes=""app*"&amp;GLF28&amp;"*"&amp;TEXT(GLM28-utc_offset/24,"YYYYMMDD")&amp;"*"" /stext="" "&amp;TEXT(GLM28-utc_offset/24,"HH")&amp;search_regexp&amp;""""</f>
        <v>#REF!</v>
      </c>
      <c r="GMK28" s="234" t="e">
        <f>astrogrep_path&amp;" /e /r /s /spath="&amp;search_path&amp;" /stypes=""app*"&amp;GLG28&amp;"*"&amp;TEXT(GLN28-utc_offset/24,"YYYYMMDD")&amp;"*"" /stext="" "&amp;TEXT(GLN28-utc_offset/24,"HH")&amp;search_regexp&amp;""""</f>
        <v>#REF!</v>
      </c>
      <c r="GML28" s="234" t="e">
        <f>astrogrep_path&amp;" /e /r /s /spath="&amp;search_path&amp;" /stypes=""app*"&amp;GLH28&amp;"*"&amp;TEXT(GLO28-utc_offset/24,"YYYYMMDD")&amp;"*"" /stext="" "&amp;TEXT(GLO28-utc_offset/24,"HH")&amp;search_regexp&amp;""""</f>
        <v>#REF!</v>
      </c>
      <c r="GMM28" s="234" t="e">
        <f>astrogrep_path&amp;" /e /r /s /spath="&amp;search_path&amp;" /stypes=""app*"&amp;GLI28&amp;"*"&amp;TEXT(GLP28-utc_offset/24,"YYYYMMDD")&amp;"*"" /stext="" "&amp;TEXT(GLP28-utc_offset/24,"HH")&amp;search_regexp&amp;""""</f>
        <v>#REF!</v>
      </c>
      <c r="GMN28" s="234" t="e">
        <f>astrogrep_path&amp;" /e /r /s /spath="&amp;search_path&amp;" /stypes=""app*"&amp;GLJ28&amp;"*"&amp;TEXT(GLQ28-utc_offset/24,"YYYYMMDD")&amp;"*"" /stext="" "&amp;TEXT(GLQ28-utc_offset/24,"HH")&amp;search_regexp&amp;""""</f>
        <v>#REF!</v>
      </c>
      <c r="GMO28" s="234" t="e">
        <f>astrogrep_path&amp;" /e /r /s /spath="&amp;search_path&amp;" /stypes=""app*"&amp;GLK28&amp;"*"&amp;TEXT(GLR28-utc_offset/24,"YYYYMMDD")&amp;"*"" /stext="" "&amp;TEXT(GLR28-utc_offset/24,"HH")&amp;search_regexp&amp;""""</f>
        <v>#REF!</v>
      </c>
      <c r="GMP28" s="234" t="e">
        <f>astrogrep_path&amp;" /e /r /s /spath="&amp;search_path&amp;" /stypes=""app*"&amp;GLL28&amp;"*"&amp;TEXT(GLS28-utc_offset/24,"YYYYMMDD")&amp;"*"" /stext="" "&amp;TEXT(GLS28-utc_offset/24,"HH")&amp;search_regexp&amp;""""</f>
        <v>#REF!</v>
      </c>
      <c r="GMQ28" s="234" t="e">
        <f>astrogrep_path&amp;" /e /r /s /spath="&amp;search_path&amp;" /stypes=""app*"&amp;GLM28&amp;"*"&amp;TEXT(GLT28-utc_offset/24,"YYYYMMDD")&amp;"*"" /stext="" "&amp;TEXT(GLT28-utc_offset/24,"HH")&amp;search_regexp&amp;""""</f>
        <v>#REF!</v>
      </c>
      <c r="GMR28" s="234" t="e">
        <f>astrogrep_path&amp;" /e /r /s /spath="&amp;search_path&amp;" /stypes=""app*"&amp;GLN28&amp;"*"&amp;TEXT(GLU28-utc_offset/24,"YYYYMMDD")&amp;"*"" /stext="" "&amp;TEXT(GLU28-utc_offset/24,"HH")&amp;search_regexp&amp;""""</f>
        <v>#REF!</v>
      </c>
      <c r="GMS28" s="234" t="e">
        <f>astrogrep_path&amp;" /e /r /s /spath="&amp;search_path&amp;" /stypes=""app*"&amp;GLO28&amp;"*"&amp;TEXT(GLV28-utc_offset/24,"YYYYMMDD")&amp;"*"" /stext="" "&amp;TEXT(GLV28-utc_offset/24,"HH")&amp;search_regexp&amp;""""</f>
        <v>#REF!</v>
      </c>
      <c r="GMT28" s="234" t="e">
        <f>astrogrep_path&amp;" /e /r /s /spath="&amp;search_path&amp;" /stypes=""app*"&amp;GLP28&amp;"*"&amp;TEXT(GLW28-utc_offset/24,"YYYYMMDD")&amp;"*"" /stext="" "&amp;TEXT(GLW28-utc_offset/24,"HH")&amp;search_regexp&amp;""""</f>
        <v>#REF!</v>
      </c>
      <c r="GMU28" s="234" t="e">
        <f>astrogrep_path&amp;" /e /r /s /spath="&amp;search_path&amp;" /stypes=""app*"&amp;GLQ28&amp;"*"&amp;TEXT(GLX28-utc_offset/24,"YYYYMMDD")&amp;"*"" /stext="" "&amp;TEXT(GLX28-utc_offset/24,"HH")&amp;search_regexp&amp;""""</f>
        <v>#REF!</v>
      </c>
      <c r="GMV28" s="234" t="e">
        <f>astrogrep_path&amp;" /e /r /s /spath="&amp;search_path&amp;" /stypes=""app*"&amp;GLR28&amp;"*"&amp;TEXT(GLY28-utc_offset/24,"YYYYMMDD")&amp;"*"" /stext="" "&amp;TEXT(GLY28-utc_offset/24,"HH")&amp;search_regexp&amp;""""</f>
        <v>#REF!</v>
      </c>
      <c r="GMW28" s="234" t="e">
        <f>astrogrep_path&amp;" /e /r /s /spath="&amp;search_path&amp;" /stypes=""app*"&amp;GLS28&amp;"*"&amp;TEXT(GLZ28-utc_offset/24,"YYYYMMDD")&amp;"*"" /stext="" "&amp;TEXT(GLZ28-utc_offset/24,"HH")&amp;search_regexp&amp;""""</f>
        <v>#REF!</v>
      </c>
      <c r="GMX28" s="234" t="e">
        <f>astrogrep_path&amp;" /e /r /s /spath="&amp;search_path&amp;" /stypes=""app*"&amp;GLT28&amp;"*"&amp;TEXT(GMA28-utc_offset/24,"YYYYMMDD")&amp;"*"" /stext="" "&amp;TEXT(GMA28-utc_offset/24,"HH")&amp;search_regexp&amp;""""</f>
        <v>#REF!</v>
      </c>
      <c r="GMY28" s="234" t="e">
        <f>astrogrep_path&amp;" /e /r /s /spath="&amp;search_path&amp;" /stypes=""app*"&amp;GLU28&amp;"*"&amp;TEXT(GMB28-utc_offset/24,"YYYYMMDD")&amp;"*"" /stext="" "&amp;TEXT(GMB28-utc_offset/24,"HH")&amp;search_regexp&amp;""""</f>
        <v>#REF!</v>
      </c>
      <c r="GMZ28" s="234" t="e">
        <f>astrogrep_path&amp;" /e /r /s /spath="&amp;search_path&amp;" /stypes=""app*"&amp;GLV28&amp;"*"&amp;TEXT(GMC28-utc_offset/24,"YYYYMMDD")&amp;"*"" /stext="" "&amp;TEXT(GMC28-utc_offset/24,"HH")&amp;search_regexp&amp;""""</f>
        <v>#REF!</v>
      </c>
      <c r="GNA28" s="234" t="e">
        <f>astrogrep_path&amp;" /e /r /s /spath="&amp;search_path&amp;" /stypes=""app*"&amp;GLW28&amp;"*"&amp;TEXT(GMD28-utc_offset/24,"YYYYMMDD")&amp;"*"" /stext="" "&amp;TEXT(GMD28-utc_offset/24,"HH")&amp;search_regexp&amp;""""</f>
        <v>#REF!</v>
      </c>
      <c r="GNB28" s="234" t="e">
        <f>astrogrep_path&amp;" /e /r /s /spath="&amp;search_path&amp;" /stypes=""app*"&amp;GLX28&amp;"*"&amp;TEXT(GME28-utc_offset/24,"YYYYMMDD")&amp;"*"" /stext="" "&amp;TEXT(GME28-utc_offset/24,"HH")&amp;search_regexp&amp;""""</f>
        <v>#REF!</v>
      </c>
      <c r="GNC28" s="234" t="e">
        <f>astrogrep_path&amp;" /e /r /s /spath="&amp;search_path&amp;" /stypes=""app*"&amp;GLY28&amp;"*"&amp;TEXT(GMF28-utc_offset/24,"YYYYMMDD")&amp;"*"" /stext="" "&amp;TEXT(GMF28-utc_offset/24,"HH")&amp;search_regexp&amp;""""</f>
        <v>#REF!</v>
      </c>
      <c r="GND28" s="234" t="e">
        <f>astrogrep_path&amp;" /e /r /s /spath="&amp;search_path&amp;" /stypes=""app*"&amp;GLZ28&amp;"*"&amp;TEXT(GMG28-utc_offset/24,"YYYYMMDD")&amp;"*"" /stext="" "&amp;TEXT(GMG28-utc_offset/24,"HH")&amp;search_regexp&amp;""""</f>
        <v>#REF!</v>
      </c>
      <c r="GNE28" s="234" t="e">
        <f>astrogrep_path&amp;" /e /r /s /spath="&amp;search_path&amp;" /stypes=""app*"&amp;GMA28&amp;"*"&amp;TEXT(GMH28-utc_offset/24,"YYYYMMDD")&amp;"*"" /stext="" "&amp;TEXT(GMH28-utc_offset/24,"HH")&amp;search_regexp&amp;""""</f>
        <v>#VALUE!</v>
      </c>
      <c r="GNF28" s="234" t="e">
        <f>astrogrep_path&amp;" /e /r /s /spath="&amp;search_path&amp;" /stypes=""app*"&amp;GMB28&amp;"*"&amp;TEXT(GMI28-utc_offset/24,"YYYYMMDD")&amp;"*"" /stext="" "&amp;TEXT(GMI28-utc_offset/24,"HH")&amp;search_regexp&amp;""""</f>
        <v>#VALUE!</v>
      </c>
      <c r="GNG28" s="234" t="e">
        <f>astrogrep_path&amp;" /e /r /s /spath="&amp;search_path&amp;" /stypes=""app*"&amp;GMC28&amp;"*"&amp;TEXT(GMJ28-utc_offset/24,"YYYYMMDD")&amp;"*"" /stext="" "&amp;TEXT(GMJ28-utc_offset/24,"HH")&amp;search_regexp&amp;""""</f>
        <v>#REF!</v>
      </c>
      <c r="GNH28" s="234" t="e">
        <f>astrogrep_path&amp;" /e /r /s /spath="&amp;search_path&amp;" /stypes=""app*"&amp;GMD28&amp;"*"&amp;TEXT(GMK28-utc_offset/24,"YYYYMMDD")&amp;"*"" /stext="" "&amp;TEXT(GMK28-utc_offset/24,"HH")&amp;search_regexp&amp;""""</f>
        <v>#REF!</v>
      </c>
      <c r="GNI28" s="234" t="e">
        <f>astrogrep_path&amp;" /e /r /s /spath="&amp;search_path&amp;" /stypes=""app*"&amp;GME28&amp;"*"&amp;TEXT(GML28-utc_offset/24,"YYYYMMDD")&amp;"*"" /stext="" "&amp;TEXT(GML28-utc_offset/24,"HH")&amp;search_regexp&amp;""""</f>
        <v>#VALUE!</v>
      </c>
      <c r="GNJ28" s="234" t="e">
        <f>astrogrep_path&amp;" /e /r /s /spath="&amp;search_path&amp;" /stypes=""app*"&amp;GMF28&amp;"*"&amp;TEXT(GMM28-utc_offset/24,"YYYYMMDD")&amp;"*"" /stext="" "&amp;TEXT(GMM28-utc_offset/24,"HH")&amp;search_regexp&amp;""""</f>
        <v>#VALUE!</v>
      </c>
      <c r="GNK28" s="234" t="e">
        <f>astrogrep_path&amp;" /e /r /s /spath="&amp;search_path&amp;" /stypes=""app*"&amp;GMG28&amp;"*"&amp;TEXT(GMN28-utc_offset/24,"YYYYMMDD")&amp;"*"" /stext="" "&amp;TEXT(GMN28-utc_offset/24,"HH")&amp;search_regexp&amp;""""</f>
        <v>#VALUE!</v>
      </c>
      <c r="GNL28" s="234" t="e">
        <f>astrogrep_path&amp;" /e /r /s /spath="&amp;search_path&amp;" /stypes=""app*"&amp;GMH28&amp;"*"&amp;TEXT(GMO28-utc_offset/24,"YYYYMMDD")&amp;"*"" /stext="" "&amp;TEXT(GMO28-utc_offset/24,"HH")&amp;search_regexp&amp;""""</f>
        <v>#VALUE!</v>
      </c>
      <c r="GNM28" s="234" t="e">
        <f>astrogrep_path&amp;" /e /r /s /spath="&amp;search_path&amp;" /stypes=""app*"&amp;GMI28&amp;"*"&amp;TEXT(GMP28-utc_offset/24,"YYYYMMDD")&amp;"*"" /stext="" "&amp;TEXT(GMP28-utc_offset/24,"HH")&amp;search_regexp&amp;""""</f>
        <v>#VALUE!</v>
      </c>
      <c r="GNN28" s="234" t="e">
        <f>astrogrep_path&amp;" /e /r /s /spath="&amp;search_path&amp;" /stypes=""app*"&amp;GMJ28&amp;"*"&amp;TEXT(GMQ28-utc_offset/24,"YYYYMMDD")&amp;"*"" /stext="" "&amp;TEXT(GMQ28-utc_offset/24,"HH")&amp;search_regexp&amp;""""</f>
        <v>#REF!</v>
      </c>
      <c r="GNO28" s="234" t="e">
        <f>astrogrep_path&amp;" /e /r /s /spath="&amp;search_path&amp;" /stypes=""app*"&amp;GMK28&amp;"*"&amp;TEXT(GMR28-utc_offset/24,"YYYYMMDD")&amp;"*"" /stext="" "&amp;TEXT(GMR28-utc_offset/24,"HH")&amp;search_regexp&amp;""""</f>
        <v>#REF!</v>
      </c>
      <c r="GNP28" s="234" t="e">
        <f>astrogrep_path&amp;" /e /r /s /spath="&amp;search_path&amp;" /stypes=""app*"&amp;GML28&amp;"*"&amp;TEXT(GMS28-utc_offset/24,"YYYYMMDD")&amp;"*"" /stext="" "&amp;TEXT(GMS28-utc_offset/24,"HH")&amp;search_regexp&amp;""""</f>
        <v>#REF!</v>
      </c>
      <c r="GNQ28" s="234" t="e">
        <f>astrogrep_path&amp;" /e /r /s /spath="&amp;search_path&amp;" /stypes=""app*"&amp;GMM28&amp;"*"&amp;TEXT(GMT28-utc_offset/24,"YYYYMMDD")&amp;"*"" /stext="" "&amp;TEXT(GMT28-utc_offset/24,"HH")&amp;search_regexp&amp;""""</f>
        <v>#REF!</v>
      </c>
      <c r="GNR28" s="234" t="e">
        <f>astrogrep_path&amp;" /e /r /s /spath="&amp;search_path&amp;" /stypes=""app*"&amp;GMN28&amp;"*"&amp;TEXT(GMU28-utc_offset/24,"YYYYMMDD")&amp;"*"" /stext="" "&amp;TEXT(GMU28-utc_offset/24,"HH")&amp;search_regexp&amp;""""</f>
        <v>#REF!</v>
      </c>
      <c r="GNS28" s="234" t="e">
        <f>astrogrep_path&amp;" /e /r /s /spath="&amp;search_path&amp;" /stypes=""app*"&amp;GMO28&amp;"*"&amp;TEXT(GMV28-utc_offset/24,"YYYYMMDD")&amp;"*"" /stext="" "&amp;TEXT(GMV28-utc_offset/24,"HH")&amp;search_regexp&amp;""""</f>
        <v>#REF!</v>
      </c>
      <c r="GNT28" s="234" t="e">
        <f>astrogrep_path&amp;" /e /r /s /spath="&amp;search_path&amp;" /stypes=""app*"&amp;GMP28&amp;"*"&amp;TEXT(GMW28-utc_offset/24,"YYYYMMDD")&amp;"*"" /stext="" "&amp;TEXT(GMW28-utc_offset/24,"HH")&amp;search_regexp&amp;""""</f>
        <v>#REF!</v>
      </c>
      <c r="GNU28" s="234" t="e">
        <f>astrogrep_path&amp;" /e /r /s /spath="&amp;search_path&amp;" /stypes=""app*"&amp;GMQ28&amp;"*"&amp;TEXT(GMX28-utc_offset/24,"YYYYMMDD")&amp;"*"" /stext="" "&amp;TEXT(GMX28-utc_offset/24,"HH")&amp;search_regexp&amp;""""</f>
        <v>#REF!</v>
      </c>
      <c r="GNV28" s="234" t="e">
        <f>astrogrep_path&amp;" /e /r /s /spath="&amp;search_path&amp;" /stypes=""app*"&amp;GMR28&amp;"*"&amp;TEXT(GMY28-utc_offset/24,"YYYYMMDD")&amp;"*"" /stext="" "&amp;TEXT(GMY28-utc_offset/24,"HH")&amp;search_regexp&amp;""""</f>
        <v>#REF!</v>
      </c>
      <c r="GNW28" s="234" t="e">
        <f>astrogrep_path&amp;" /e /r /s /spath="&amp;search_path&amp;" /stypes=""app*"&amp;GMS28&amp;"*"&amp;TEXT(GMZ28-utc_offset/24,"YYYYMMDD")&amp;"*"" /stext="" "&amp;TEXT(GMZ28-utc_offset/24,"HH")&amp;search_regexp&amp;""""</f>
        <v>#REF!</v>
      </c>
      <c r="GNX28" s="234" t="e">
        <f>astrogrep_path&amp;" /e /r /s /spath="&amp;search_path&amp;" /stypes=""app*"&amp;GMT28&amp;"*"&amp;TEXT(GNA28-utc_offset/24,"YYYYMMDD")&amp;"*"" /stext="" "&amp;TEXT(GNA28-utc_offset/24,"HH")&amp;search_regexp&amp;""""</f>
        <v>#REF!</v>
      </c>
      <c r="GNY28" s="234" t="e">
        <f>astrogrep_path&amp;" /e /r /s /spath="&amp;search_path&amp;" /stypes=""app*"&amp;GMU28&amp;"*"&amp;TEXT(GNB28-utc_offset/24,"YYYYMMDD")&amp;"*"" /stext="" "&amp;TEXT(GNB28-utc_offset/24,"HH")&amp;search_regexp&amp;""""</f>
        <v>#REF!</v>
      </c>
      <c r="GNZ28" s="234" t="e">
        <f>astrogrep_path&amp;" /e /r /s /spath="&amp;search_path&amp;" /stypes=""app*"&amp;GMV28&amp;"*"&amp;TEXT(GNC28-utc_offset/24,"YYYYMMDD")&amp;"*"" /stext="" "&amp;TEXT(GNC28-utc_offset/24,"HH")&amp;search_regexp&amp;""""</f>
        <v>#REF!</v>
      </c>
      <c r="GOA28" s="234" t="e">
        <f>astrogrep_path&amp;" /e /r /s /spath="&amp;search_path&amp;" /stypes=""app*"&amp;GMW28&amp;"*"&amp;TEXT(GND28-utc_offset/24,"YYYYMMDD")&amp;"*"" /stext="" "&amp;TEXT(GND28-utc_offset/24,"HH")&amp;search_regexp&amp;""""</f>
        <v>#REF!</v>
      </c>
      <c r="GOB28" s="234" t="e">
        <f>astrogrep_path&amp;" /e /r /s /spath="&amp;search_path&amp;" /stypes=""app*"&amp;GMX28&amp;"*"&amp;TEXT(GNE28-utc_offset/24,"YYYYMMDD")&amp;"*"" /stext="" "&amp;TEXT(GNE28-utc_offset/24,"HH")&amp;search_regexp&amp;""""</f>
        <v>#REF!</v>
      </c>
      <c r="GOC28" s="234" t="e">
        <f>astrogrep_path&amp;" /e /r /s /spath="&amp;search_path&amp;" /stypes=""app*"&amp;GMY28&amp;"*"&amp;TEXT(GNF28-utc_offset/24,"YYYYMMDD")&amp;"*"" /stext="" "&amp;TEXT(GNF28-utc_offset/24,"HH")&amp;search_regexp&amp;""""</f>
        <v>#REF!</v>
      </c>
      <c r="GOD28" s="234" t="e">
        <f>astrogrep_path&amp;" /e /r /s /spath="&amp;search_path&amp;" /stypes=""app*"&amp;GMZ28&amp;"*"&amp;TEXT(GNG28-utc_offset/24,"YYYYMMDD")&amp;"*"" /stext="" "&amp;TEXT(GNG28-utc_offset/24,"HH")&amp;search_regexp&amp;""""</f>
        <v>#REF!</v>
      </c>
      <c r="GOE28" s="234" t="e">
        <f>astrogrep_path&amp;" /e /r /s /spath="&amp;search_path&amp;" /stypes=""app*"&amp;GNA28&amp;"*"&amp;TEXT(GNH28-utc_offset/24,"YYYYMMDD")&amp;"*"" /stext="" "&amp;TEXT(GNH28-utc_offset/24,"HH")&amp;search_regexp&amp;""""</f>
        <v>#REF!</v>
      </c>
      <c r="GOF28" s="234" t="e">
        <f>astrogrep_path&amp;" /e /r /s /spath="&amp;search_path&amp;" /stypes=""app*"&amp;GNB28&amp;"*"&amp;TEXT(GNI28-utc_offset/24,"YYYYMMDD")&amp;"*"" /stext="" "&amp;TEXT(GNI28-utc_offset/24,"HH")&amp;search_regexp&amp;""""</f>
        <v>#REF!</v>
      </c>
      <c r="GOG28" s="234" t="e">
        <f>astrogrep_path&amp;" /e /r /s /spath="&amp;search_path&amp;" /stypes=""app*"&amp;GNC28&amp;"*"&amp;TEXT(GNJ28-utc_offset/24,"YYYYMMDD")&amp;"*"" /stext="" "&amp;TEXT(GNJ28-utc_offset/24,"HH")&amp;search_regexp&amp;""""</f>
        <v>#REF!</v>
      </c>
      <c r="GOH28" s="234" t="e">
        <f>astrogrep_path&amp;" /e /r /s /spath="&amp;search_path&amp;" /stypes=""app*"&amp;GND28&amp;"*"&amp;TEXT(GNK28-utc_offset/24,"YYYYMMDD")&amp;"*"" /stext="" "&amp;TEXT(GNK28-utc_offset/24,"HH")&amp;search_regexp&amp;""""</f>
        <v>#REF!</v>
      </c>
      <c r="GOI28" s="234" t="e">
        <f>astrogrep_path&amp;" /e /r /s /spath="&amp;search_path&amp;" /stypes=""app*"&amp;GNE28&amp;"*"&amp;TEXT(GNL28-utc_offset/24,"YYYYMMDD")&amp;"*"" /stext="" "&amp;TEXT(GNL28-utc_offset/24,"HH")&amp;search_regexp&amp;""""</f>
        <v>#VALUE!</v>
      </c>
      <c r="GOJ28" s="234" t="e">
        <f>astrogrep_path&amp;" /e /r /s /spath="&amp;search_path&amp;" /stypes=""app*"&amp;GNF28&amp;"*"&amp;TEXT(GNM28-utc_offset/24,"YYYYMMDD")&amp;"*"" /stext="" "&amp;TEXT(GNM28-utc_offset/24,"HH")&amp;search_regexp&amp;""""</f>
        <v>#VALUE!</v>
      </c>
      <c r="GOK28" s="234" t="e">
        <f>astrogrep_path&amp;" /e /r /s /spath="&amp;search_path&amp;" /stypes=""app*"&amp;GNG28&amp;"*"&amp;TEXT(GNN28-utc_offset/24,"YYYYMMDD")&amp;"*"" /stext="" "&amp;TEXT(GNN28-utc_offset/24,"HH")&amp;search_regexp&amp;""""</f>
        <v>#REF!</v>
      </c>
      <c r="GOL28" s="234" t="e">
        <f>astrogrep_path&amp;" /e /r /s /spath="&amp;search_path&amp;" /stypes=""app*"&amp;GNH28&amp;"*"&amp;TEXT(GNO28-utc_offset/24,"YYYYMMDD")&amp;"*"" /stext="" "&amp;TEXT(GNO28-utc_offset/24,"HH")&amp;search_regexp&amp;""""</f>
        <v>#REF!</v>
      </c>
      <c r="GOM28" s="234" t="e">
        <f>astrogrep_path&amp;" /e /r /s /spath="&amp;search_path&amp;" /stypes=""app*"&amp;GNI28&amp;"*"&amp;TEXT(GNP28-utc_offset/24,"YYYYMMDD")&amp;"*"" /stext="" "&amp;TEXT(GNP28-utc_offset/24,"HH")&amp;search_regexp&amp;""""</f>
        <v>#VALUE!</v>
      </c>
      <c r="GON28" s="234" t="e">
        <f>astrogrep_path&amp;" /e /r /s /spath="&amp;search_path&amp;" /stypes=""app*"&amp;GNJ28&amp;"*"&amp;TEXT(GNQ28-utc_offset/24,"YYYYMMDD")&amp;"*"" /stext="" "&amp;TEXT(GNQ28-utc_offset/24,"HH")&amp;search_regexp&amp;""""</f>
        <v>#VALUE!</v>
      </c>
      <c r="GOO28" s="234" t="e">
        <f>astrogrep_path&amp;" /e /r /s /spath="&amp;search_path&amp;" /stypes=""app*"&amp;GNK28&amp;"*"&amp;TEXT(GNR28-utc_offset/24,"YYYYMMDD")&amp;"*"" /stext="" "&amp;TEXT(GNR28-utc_offset/24,"HH")&amp;search_regexp&amp;""""</f>
        <v>#VALUE!</v>
      </c>
      <c r="GOP28" s="234" t="e">
        <f>astrogrep_path&amp;" /e /r /s /spath="&amp;search_path&amp;" /stypes=""app*"&amp;GNL28&amp;"*"&amp;TEXT(GNS28-utc_offset/24,"YYYYMMDD")&amp;"*"" /stext="" "&amp;TEXT(GNS28-utc_offset/24,"HH")&amp;search_regexp&amp;""""</f>
        <v>#VALUE!</v>
      </c>
      <c r="GOQ28" s="234" t="e">
        <f>astrogrep_path&amp;" /e /r /s /spath="&amp;search_path&amp;" /stypes=""app*"&amp;GNM28&amp;"*"&amp;TEXT(GNT28-utc_offset/24,"YYYYMMDD")&amp;"*"" /stext="" "&amp;TEXT(GNT28-utc_offset/24,"HH")&amp;search_regexp&amp;""""</f>
        <v>#VALUE!</v>
      </c>
      <c r="GOR28" s="234" t="e">
        <f>astrogrep_path&amp;" /e /r /s /spath="&amp;search_path&amp;" /stypes=""app*"&amp;GNN28&amp;"*"&amp;TEXT(GNU28-utc_offset/24,"YYYYMMDD")&amp;"*"" /stext="" "&amp;TEXT(GNU28-utc_offset/24,"HH")&amp;search_regexp&amp;""""</f>
        <v>#REF!</v>
      </c>
      <c r="GOS28" s="234" t="e">
        <f>astrogrep_path&amp;" /e /r /s /spath="&amp;search_path&amp;" /stypes=""app*"&amp;GNO28&amp;"*"&amp;TEXT(GNV28-utc_offset/24,"YYYYMMDD")&amp;"*"" /stext="" "&amp;TEXT(GNV28-utc_offset/24,"HH")&amp;search_regexp&amp;""""</f>
        <v>#REF!</v>
      </c>
      <c r="GOT28" s="234" t="e">
        <f>astrogrep_path&amp;" /e /r /s /spath="&amp;search_path&amp;" /stypes=""app*"&amp;GNP28&amp;"*"&amp;TEXT(GNW28-utc_offset/24,"YYYYMMDD")&amp;"*"" /stext="" "&amp;TEXT(GNW28-utc_offset/24,"HH")&amp;search_regexp&amp;""""</f>
        <v>#REF!</v>
      </c>
      <c r="GOU28" s="234" t="e">
        <f>astrogrep_path&amp;" /e /r /s /spath="&amp;search_path&amp;" /stypes=""app*"&amp;GNQ28&amp;"*"&amp;TEXT(GNX28-utc_offset/24,"YYYYMMDD")&amp;"*"" /stext="" "&amp;TEXT(GNX28-utc_offset/24,"HH")&amp;search_regexp&amp;""""</f>
        <v>#REF!</v>
      </c>
      <c r="GOV28" s="234" t="e">
        <f>astrogrep_path&amp;" /e /r /s /spath="&amp;search_path&amp;" /stypes=""app*"&amp;GNR28&amp;"*"&amp;TEXT(GNY28-utc_offset/24,"YYYYMMDD")&amp;"*"" /stext="" "&amp;TEXT(GNY28-utc_offset/24,"HH")&amp;search_regexp&amp;""""</f>
        <v>#REF!</v>
      </c>
      <c r="GOW28" s="234" t="e">
        <f>astrogrep_path&amp;" /e /r /s /spath="&amp;search_path&amp;" /stypes=""app*"&amp;GNS28&amp;"*"&amp;TEXT(GNZ28-utc_offset/24,"YYYYMMDD")&amp;"*"" /stext="" "&amp;TEXT(GNZ28-utc_offset/24,"HH")&amp;search_regexp&amp;""""</f>
        <v>#REF!</v>
      </c>
      <c r="GOX28" s="234" t="e">
        <f>astrogrep_path&amp;" /e /r /s /spath="&amp;search_path&amp;" /stypes=""app*"&amp;GNT28&amp;"*"&amp;TEXT(GOA28-utc_offset/24,"YYYYMMDD")&amp;"*"" /stext="" "&amp;TEXT(GOA28-utc_offset/24,"HH")&amp;search_regexp&amp;""""</f>
        <v>#REF!</v>
      </c>
      <c r="GOY28" s="234" t="e">
        <f>astrogrep_path&amp;" /e /r /s /spath="&amp;search_path&amp;" /stypes=""app*"&amp;GNU28&amp;"*"&amp;TEXT(GOB28-utc_offset/24,"YYYYMMDD")&amp;"*"" /stext="" "&amp;TEXT(GOB28-utc_offset/24,"HH")&amp;search_regexp&amp;""""</f>
        <v>#REF!</v>
      </c>
      <c r="GOZ28" s="234" t="e">
        <f>astrogrep_path&amp;" /e /r /s /spath="&amp;search_path&amp;" /stypes=""app*"&amp;GNV28&amp;"*"&amp;TEXT(GOC28-utc_offset/24,"YYYYMMDD")&amp;"*"" /stext="" "&amp;TEXT(GOC28-utc_offset/24,"HH")&amp;search_regexp&amp;""""</f>
        <v>#REF!</v>
      </c>
      <c r="GPA28" s="234" t="e">
        <f>astrogrep_path&amp;" /e /r /s /spath="&amp;search_path&amp;" /stypes=""app*"&amp;GNW28&amp;"*"&amp;TEXT(GOD28-utc_offset/24,"YYYYMMDD")&amp;"*"" /stext="" "&amp;TEXT(GOD28-utc_offset/24,"HH")&amp;search_regexp&amp;""""</f>
        <v>#REF!</v>
      </c>
      <c r="GPB28" s="234" t="e">
        <f>astrogrep_path&amp;" /e /r /s /spath="&amp;search_path&amp;" /stypes=""app*"&amp;GNX28&amp;"*"&amp;TEXT(GOE28-utc_offset/24,"YYYYMMDD")&amp;"*"" /stext="" "&amp;TEXT(GOE28-utc_offset/24,"HH")&amp;search_regexp&amp;""""</f>
        <v>#REF!</v>
      </c>
      <c r="GPC28" s="234" t="e">
        <f>astrogrep_path&amp;" /e /r /s /spath="&amp;search_path&amp;" /stypes=""app*"&amp;GNY28&amp;"*"&amp;TEXT(GOF28-utc_offset/24,"YYYYMMDD")&amp;"*"" /stext="" "&amp;TEXT(GOF28-utc_offset/24,"HH")&amp;search_regexp&amp;""""</f>
        <v>#REF!</v>
      </c>
      <c r="GPD28" s="234" t="e">
        <f>astrogrep_path&amp;" /e /r /s /spath="&amp;search_path&amp;" /stypes=""app*"&amp;GNZ28&amp;"*"&amp;TEXT(GOG28-utc_offset/24,"YYYYMMDD")&amp;"*"" /stext="" "&amp;TEXT(GOG28-utc_offset/24,"HH")&amp;search_regexp&amp;""""</f>
        <v>#REF!</v>
      </c>
      <c r="GPE28" s="234" t="e">
        <f>astrogrep_path&amp;" /e /r /s /spath="&amp;search_path&amp;" /stypes=""app*"&amp;GOA28&amp;"*"&amp;TEXT(GOH28-utc_offset/24,"YYYYMMDD")&amp;"*"" /stext="" "&amp;TEXT(GOH28-utc_offset/24,"HH")&amp;search_regexp&amp;""""</f>
        <v>#REF!</v>
      </c>
      <c r="GPF28" s="234" t="e">
        <f>astrogrep_path&amp;" /e /r /s /spath="&amp;search_path&amp;" /stypes=""app*"&amp;GOB28&amp;"*"&amp;TEXT(GOI28-utc_offset/24,"YYYYMMDD")&amp;"*"" /stext="" "&amp;TEXT(GOI28-utc_offset/24,"HH")&amp;search_regexp&amp;""""</f>
        <v>#REF!</v>
      </c>
      <c r="GPG28" s="234" t="e">
        <f>astrogrep_path&amp;" /e /r /s /spath="&amp;search_path&amp;" /stypes=""app*"&amp;GOC28&amp;"*"&amp;TEXT(GOJ28-utc_offset/24,"YYYYMMDD")&amp;"*"" /stext="" "&amp;TEXT(GOJ28-utc_offset/24,"HH")&amp;search_regexp&amp;""""</f>
        <v>#REF!</v>
      </c>
      <c r="GPH28" s="234" t="e">
        <f>astrogrep_path&amp;" /e /r /s /spath="&amp;search_path&amp;" /stypes=""app*"&amp;GOD28&amp;"*"&amp;TEXT(GOK28-utc_offset/24,"YYYYMMDD")&amp;"*"" /stext="" "&amp;TEXT(GOK28-utc_offset/24,"HH")&amp;search_regexp&amp;""""</f>
        <v>#REF!</v>
      </c>
      <c r="GPI28" s="234" t="e">
        <f>astrogrep_path&amp;" /e /r /s /spath="&amp;search_path&amp;" /stypes=""app*"&amp;GOE28&amp;"*"&amp;TEXT(GOL28-utc_offset/24,"YYYYMMDD")&amp;"*"" /stext="" "&amp;TEXT(GOL28-utc_offset/24,"HH")&amp;search_regexp&amp;""""</f>
        <v>#REF!</v>
      </c>
      <c r="GPJ28" s="234" t="e">
        <f>astrogrep_path&amp;" /e /r /s /spath="&amp;search_path&amp;" /stypes=""app*"&amp;GOF28&amp;"*"&amp;TEXT(GOM28-utc_offset/24,"YYYYMMDD")&amp;"*"" /stext="" "&amp;TEXT(GOM28-utc_offset/24,"HH")&amp;search_regexp&amp;""""</f>
        <v>#REF!</v>
      </c>
      <c r="GPK28" s="234" t="e">
        <f>astrogrep_path&amp;" /e /r /s /spath="&amp;search_path&amp;" /stypes=""app*"&amp;GOG28&amp;"*"&amp;TEXT(GON28-utc_offset/24,"YYYYMMDD")&amp;"*"" /stext="" "&amp;TEXT(GON28-utc_offset/24,"HH")&amp;search_regexp&amp;""""</f>
        <v>#REF!</v>
      </c>
      <c r="GPL28" s="234" t="e">
        <f>astrogrep_path&amp;" /e /r /s /spath="&amp;search_path&amp;" /stypes=""app*"&amp;GOH28&amp;"*"&amp;TEXT(GOO28-utc_offset/24,"YYYYMMDD")&amp;"*"" /stext="" "&amp;TEXT(GOO28-utc_offset/24,"HH")&amp;search_regexp&amp;""""</f>
        <v>#REF!</v>
      </c>
      <c r="GPM28" s="234" t="e">
        <f>astrogrep_path&amp;" /e /r /s /spath="&amp;search_path&amp;" /stypes=""app*"&amp;GOI28&amp;"*"&amp;TEXT(GOP28-utc_offset/24,"YYYYMMDD")&amp;"*"" /stext="" "&amp;TEXT(GOP28-utc_offset/24,"HH")&amp;search_regexp&amp;""""</f>
        <v>#VALUE!</v>
      </c>
      <c r="GPN28" s="234" t="e">
        <f>astrogrep_path&amp;" /e /r /s /spath="&amp;search_path&amp;" /stypes=""app*"&amp;GOJ28&amp;"*"&amp;TEXT(GOQ28-utc_offset/24,"YYYYMMDD")&amp;"*"" /stext="" "&amp;TEXT(GOQ28-utc_offset/24,"HH")&amp;search_regexp&amp;""""</f>
        <v>#VALUE!</v>
      </c>
      <c r="GPO28" s="234" t="e">
        <f>astrogrep_path&amp;" /e /r /s /spath="&amp;search_path&amp;" /stypes=""app*"&amp;GOK28&amp;"*"&amp;TEXT(GOR28-utc_offset/24,"YYYYMMDD")&amp;"*"" /stext="" "&amp;TEXT(GOR28-utc_offset/24,"HH")&amp;search_regexp&amp;""""</f>
        <v>#REF!</v>
      </c>
      <c r="GPP28" s="234" t="e">
        <f>astrogrep_path&amp;" /e /r /s /spath="&amp;search_path&amp;" /stypes=""app*"&amp;GOL28&amp;"*"&amp;TEXT(GOS28-utc_offset/24,"YYYYMMDD")&amp;"*"" /stext="" "&amp;TEXT(GOS28-utc_offset/24,"HH")&amp;search_regexp&amp;""""</f>
        <v>#REF!</v>
      </c>
      <c r="GPQ28" s="234" t="e">
        <f>astrogrep_path&amp;" /e /r /s /spath="&amp;search_path&amp;" /stypes=""app*"&amp;GOM28&amp;"*"&amp;TEXT(GOT28-utc_offset/24,"YYYYMMDD")&amp;"*"" /stext="" "&amp;TEXT(GOT28-utc_offset/24,"HH")&amp;search_regexp&amp;""""</f>
        <v>#VALUE!</v>
      </c>
      <c r="GPR28" s="234" t="e">
        <f>astrogrep_path&amp;" /e /r /s /spath="&amp;search_path&amp;" /stypes=""app*"&amp;GON28&amp;"*"&amp;TEXT(GOU28-utc_offset/24,"YYYYMMDD")&amp;"*"" /stext="" "&amp;TEXT(GOU28-utc_offset/24,"HH")&amp;search_regexp&amp;""""</f>
        <v>#VALUE!</v>
      </c>
      <c r="GPS28" s="234" t="e">
        <f>astrogrep_path&amp;" /e /r /s /spath="&amp;search_path&amp;" /stypes=""app*"&amp;GOO28&amp;"*"&amp;TEXT(GOV28-utc_offset/24,"YYYYMMDD")&amp;"*"" /stext="" "&amp;TEXT(GOV28-utc_offset/24,"HH")&amp;search_regexp&amp;""""</f>
        <v>#VALUE!</v>
      </c>
      <c r="GPT28" s="234" t="e">
        <f>astrogrep_path&amp;" /e /r /s /spath="&amp;search_path&amp;" /stypes=""app*"&amp;GOP28&amp;"*"&amp;TEXT(GOW28-utc_offset/24,"YYYYMMDD")&amp;"*"" /stext="" "&amp;TEXT(GOW28-utc_offset/24,"HH")&amp;search_regexp&amp;""""</f>
        <v>#VALUE!</v>
      </c>
      <c r="GPU28" s="234" t="e">
        <f>astrogrep_path&amp;" /e /r /s /spath="&amp;search_path&amp;" /stypes=""app*"&amp;GOQ28&amp;"*"&amp;TEXT(GOX28-utc_offset/24,"YYYYMMDD")&amp;"*"" /stext="" "&amp;TEXT(GOX28-utc_offset/24,"HH")&amp;search_regexp&amp;""""</f>
        <v>#VALUE!</v>
      </c>
      <c r="GPV28" s="234" t="e">
        <f>astrogrep_path&amp;" /e /r /s /spath="&amp;search_path&amp;" /stypes=""app*"&amp;GOR28&amp;"*"&amp;TEXT(GOY28-utc_offset/24,"YYYYMMDD")&amp;"*"" /stext="" "&amp;TEXT(GOY28-utc_offset/24,"HH")&amp;search_regexp&amp;""""</f>
        <v>#REF!</v>
      </c>
      <c r="GPW28" s="234" t="e">
        <f>astrogrep_path&amp;" /e /r /s /spath="&amp;search_path&amp;" /stypes=""app*"&amp;GOS28&amp;"*"&amp;TEXT(GOZ28-utc_offset/24,"YYYYMMDD")&amp;"*"" /stext="" "&amp;TEXT(GOZ28-utc_offset/24,"HH")&amp;search_regexp&amp;""""</f>
        <v>#REF!</v>
      </c>
      <c r="GPX28" s="234" t="e">
        <f>astrogrep_path&amp;" /e /r /s /spath="&amp;search_path&amp;" /stypes=""app*"&amp;GOT28&amp;"*"&amp;TEXT(GPA28-utc_offset/24,"YYYYMMDD")&amp;"*"" /stext="" "&amp;TEXT(GPA28-utc_offset/24,"HH")&amp;search_regexp&amp;""""</f>
        <v>#REF!</v>
      </c>
      <c r="GPY28" s="234" t="e">
        <f>astrogrep_path&amp;" /e /r /s /spath="&amp;search_path&amp;" /stypes=""app*"&amp;GOU28&amp;"*"&amp;TEXT(GPB28-utc_offset/24,"YYYYMMDD")&amp;"*"" /stext="" "&amp;TEXT(GPB28-utc_offset/24,"HH")&amp;search_regexp&amp;""""</f>
        <v>#REF!</v>
      </c>
      <c r="GPZ28" s="234" t="e">
        <f>astrogrep_path&amp;" /e /r /s /spath="&amp;search_path&amp;" /stypes=""app*"&amp;GOV28&amp;"*"&amp;TEXT(GPC28-utc_offset/24,"YYYYMMDD")&amp;"*"" /stext="" "&amp;TEXT(GPC28-utc_offset/24,"HH")&amp;search_regexp&amp;""""</f>
        <v>#REF!</v>
      </c>
      <c r="GQA28" s="234" t="e">
        <f>astrogrep_path&amp;" /e /r /s /spath="&amp;search_path&amp;" /stypes=""app*"&amp;GOW28&amp;"*"&amp;TEXT(GPD28-utc_offset/24,"YYYYMMDD")&amp;"*"" /stext="" "&amp;TEXT(GPD28-utc_offset/24,"HH")&amp;search_regexp&amp;""""</f>
        <v>#REF!</v>
      </c>
      <c r="GQB28" s="234" t="e">
        <f>astrogrep_path&amp;" /e /r /s /spath="&amp;search_path&amp;" /stypes=""app*"&amp;GOX28&amp;"*"&amp;TEXT(GPE28-utc_offset/24,"YYYYMMDD")&amp;"*"" /stext="" "&amp;TEXT(GPE28-utc_offset/24,"HH")&amp;search_regexp&amp;""""</f>
        <v>#REF!</v>
      </c>
      <c r="GQC28" s="234" t="e">
        <f>astrogrep_path&amp;" /e /r /s /spath="&amp;search_path&amp;" /stypes=""app*"&amp;GOY28&amp;"*"&amp;TEXT(GPF28-utc_offset/24,"YYYYMMDD")&amp;"*"" /stext="" "&amp;TEXT(GPF28-utc_offset/24,"HH")&amp;search_regexp&amp;""""</f>
        <v>#REF!</v>
      </c>
      <c r="GQD28" s="234" t="e">
        <f>astrogrep_path&amp;" /e /r /s /spath="&amp;search_path&amp;" /stypes=""app*"&amp;GOZ28&amp;"*"&amp;TEXT(GPG28-utc_offset/24,"YYYYMMDD")&amp;"*"" /stext="" "&amp;TEXT(GPG28-utc_offset/24,"HH")&amp;search_regexp&amp;""""</f>
        <v>#REF!</v>
      </c>
      <c r="GQE28" s="234" t="e">
        <f>astrogrep_path&amp;" /e /r /s /spath="&amp;search_path&amp;" /stypes=""app*"&amp;GPA28&amp;"*"&amp;TEXT(GPH28-utc_offset/24,"YYYYMMDD")&amp;"*"" /stext="" "&amp;TEXT(GPH28-utc_offset/24,"HH")&amp;search_regexp&amp;""""</f>
        <v>#REF!</v>
      </c>
      <c r="GQF28" s="234" t="e">
        <f>astrogrep_path&amp;" /e /r /s /spath="&amp;search_path&amp;" /stypes=""app*"&amp;GPB28&amp;"*"&amp;TEXT(GPI28-utc_offset/24,"YYYYMMDD")&amp;"*"" /stext="" "&amp;TEXT(GPI28-utc_offset/24,"HH")&amp;search_regexp&amp;""""</f>
        <v>#REF!</v>
      </c>
      <c r="GQG28" s="234" t="e">
        <f>astrogrep_path&amp;" /e /r /s /spath="&amp;search_path&amp;" /stypes=""app*"&amp;GPC28&amp;"*"&amp;TEXT(GPJ28-utc_offset/24,"YYYYMMDD")&amp;"*"" /stext="" "&amp;TEXT(GPJ28-utc_offset/24,"HH")&amp;search_regexp&amp;""""</f>
        <v>#REF!</v>
      </c>
      <c r="GQH28" s="234" t="e">
        <f>astrogrep_path&amp;" /e /r /s /spath="&amp;search_path&amp;" /stypes=""app*"&amp;GPD28&amp;"*"&amp;TEXT(GPK28-utc_offset/24,"YYYYMMDD")&amp;"*"" /stext="" "&amp;TEXT(GPK28-utc_offset/24,"HH")&amp;search_regexp&amp;""""</f>
        <v>#REF!</v>
      </c>
      <c r="GQI28" s="234" t="e">
        <f>astrogrep_path&amp;" /e /r /s /spath="&amp;search_path&amp;" /stypes=""app*"&amp;GPE28&amp;"*"&amp;TEXT(GPL28-utc_offset/24,"YYYYMMDD")&amp;"*"" /stext="" "&amp;TEXT(GPL28-utc_offset/24,"HH")&amp;search_regexp&amp;""""</f>
        <v>#REF!</v>
      </c>
      <c r="GQJ28" s="234" t="e">
        <f>astrogrep_path&amp;" /e /r /s /spath="&amp;search_path&amp;" /stypes=""app*"&amp;GPF28&amp;"*"&amp;TEXT(GPM28-utc_offset/24,"YYYYMMDD")&amp;"*"" /stext="" "&amp;TEXT(GPM28-utc_offset/24,"HH")&amp;search_regexp&amp;""""</f>
        <v>#REF!</v>
      </c>
      <c r="GQK28" s="234" t="e">
        <f>astrogrep_path&amp;" /e /r /s /spath="&amp;search_path&amp;" /stypes=""app*"&amp;GPG28&amp;"*"&amp;TEXT(GPN28-utc_offset/24,"YYYYMMDD")&amp;"*"" /stext="" "&amp;TEXT(GPN28-utc_offset/24,"HH")&amp;search_regexp&amp;""""</f>
        <v>#REF!</v>
      </c>
      <c r="GQL28" s="234" t="e">
        <f>astrogrep_path&amp;" /e /r /s /spath="&amp;search_path&amp;" /stypes=""app*"&amp;GPH28&amp;"*"&amp;TEXT(GPO28-utc_offset/24,"YYYYMMDD")&amp;"*"" /stext="" "&amp;TEXT(GPO28-utc_offset/24,"HH")&amp;search_regexp&amp;""""</f>
        <v>#REF!</v>
      </c>
      <c r="GQM28" s="234" t="e">
        <f>astrogrep_path&amp;" /e /r /s /spath="&amp;search_path&amp;" /stypes=""app*"&amp;GPI28&amp;"*"&amp;TEXT(GPP28-utc_offset/24,"YYYYMMDD")&amp;"*"" /stext="" "&amp;TEXT(GPP28-utc_offset/24,"HH")&amp;search_regexp&amp;""""</f>
        <v>#REF!</v>
      </c>
      <c r="GQN28" s="234" t="e">
        <f>astrogrep_path&amp;" /e /r /s /spath="&amp;search_path&amp;" /stypes=""app*"&amp;GPJ28&amp;"*"&amp;TEXT(GPQ28-utc_offset/24,"YYYYMMDD")&amp;"*"" /stext="" "&amp;TEXT(GPQ28-utc_offset/24,"HH")&amp;search_regexp&amp;""""</f>
        <v>#REF!</v>
      </c>
      <c r="GQO28" s="234" t="e">
        <f>astrogrep_path&amp;" /e /r /s /spath="&amp;search_path&amp;" /stypes=""app*"&amp;GPK28&amp;"*"&amp;TEXT(GPR28-utc_offset/24,"YYYYMMDD")&amp;"*"" /stext="" "&amp;TEXT(GPR28-utc_offset/24,"HH")&amp;search_regexp&amp;""""</f>
        <v>#REF!</v>
      </c>
      <c r="GQP28" s="234" t="e">
        <f>astrogrep_path&amp;" /e /r /s /spath="&amp;search_path&amp;" /stypes=""app*"&amp;GPL28&amp;"*"&amp;TEXT(GPS28-utc_offset/24,"YYYYMMDD")&amp;"*"" /stext="" "&amp;TEXT(GPS28-utc_offset/24,"HH")&amp;search_regexp&amp;""""</f>
        <v>#REF!</v>
      </c>
      <c r="GQQ28" s="234" t="e">
        <f>astrogrep_path&amp;" /e /r /s /spath="&amp;search_path&amp;" /stypes=""app*"&amp;GPM28&amp;"*"&amp;TEXT(GPT28-utc_offset/24,"YYYYMMDD")&amp;"*"" /stext="" "&amp;TEXT(GPT28-utc_offset/24,"HH")&amp;search_regexp&amp;""""</f>
        <v>#VALUE!</v>
      </c>
      <c r="GQR28" s="234" t="e">
        <f>astrogrep_path&amp;" /e /r /s /spath="&amp;search_path&amp;" /stypes=""app*"&amp;GPN28&amp;"*"&amp;TEXT(GPU28-utc_offset/24,"YYYYMMDD")&amp;"*"" /stext="" "&amp;TEXT(GPU28-utc_offset/24,"HH")&amp;search_regexp&amp;""""</f>
        <v>#VALUE!</v>
      </c>
      <c r="GQS28" s="234" t="e">
        <f>astrogrep_path&amp;" /e /r /s /spath="&amp;search_path&amp;" /stypes=""app*"&amp;GPO28&amp;"*"&amp;TEXT(GPV28-utc_offset/24,"YYYYMMDD")&amp;"*"" /stext="" "&amp;TEXT(GPV28-utc_offset/24,"HH")&amp;search_regexp&amp;""""</f>
        <v>#REF!</v>
      </c>
      <c r="GQT28" s="234" t="e">
        <f>astrogrep_path&amp;" /e /r /s /spath="&amp;search_path&amp;" /stypes=""app*"&amp;GPP28&amp;"*"&amp;TEXT(GPW28-utc_offset/24,"YYYYMMDD")&amp;"*"" /stext="" "&amp;TEXT(GPW28-utc_offset/24,"HH")&amp;search_regexp&amp;""""</f>
        <v>#REF!</v>
      </c>
      <c r="GQU28" s="234" t="e">
        <f>astrogrep_path&amp;" /e /r /s /spath="&amp;search_path&amp;" /stypes=""app*"&amp;GPQ28&amp;"*"&amp;TEXT(GPX28-utc_offset/24,"YYYYMMDD")&amp;"*"" /stext="" "&amp;TEXT(GPX28-utc_offset/24,"HH")&amp;search_regexp&amp;""""</f>
        <v>#VALUE!</v>
      </c>
      <c r="GQV28" s="234" t="e">
        <f>astrogrep_path&amp;" /e /r /s /spath="&amp;search_path&amp;" /stypes=""app*"&amp;GPR28&amp;"*"&amp;TEXT(GPY28-utc_offset/24,"YYYYMMDD")&amp;"*"" /stext="" "&amp;TEXT(GPY28-utc_offset/24,"HH")&amp;search_regexp&amp;""""</f>
        <v>#VALUE!</v>
      </c>
      <c r="GQW28" s="234" t="e">
        <f>astrogrep_path&amp;" /e /r /s /spath="&amp;search_path&amp;" /stypes=""app*"&amp;GPS28&amp;"*"&amp;TEXT(GPZ28-utc_offset/24,"YYYYMMDD")&amp;"*"" /stext="" "&amp;TEXT(GPZ28-utc_offset/24,"HH")&amp;search_regexp&amp;""""</f>
        <v>#VALUE!</v>
      </c>
      <c r="GQX28" s="234" t="e">
        <f>astrogrep_path&amp;" /e /r /s /spath="&amp;search_path&amp;" /stypes=""app*"&amp;GPT28&amp;"*"&amp;TEXT(GQA28-utc_offset/24,"YYYYMMDD")&amp;"*"" /stext="" "&amp;TEXT(GQA28-utc_offset/24,"HH")&amp;search_regexp&amp;""""</f>
        <v>#VALUE!</v>
      </c>
      <c r="GQY28" s="234" t="e">
        <f>astrogrep_path&amp;" /e /r /s /spath="&amp;search_path&amp;" /stypes=""app*"&amp;GPU28&amp;"*"&amp;TEXT(GQB28-utc_offset/24,"YYYYMMDD")&amp;"*"" /stext="" "&amp;TEXT(GQB28-utc_offset/24,"HH")&amp;search_regexp&amp;""""</f>
        <v>#VALUE!</v>
      </c>
      <c r="GQZ28" s="234" t="e">
        <f>astrogrep_path&amp;" /e /r /s /spath="&amp;search_path&amp;" /stypes=""app*"&amp;GPV28&amp;"*"&amp;TEXT(GQC28-utc_offset/24,"YYYYMMDD")&amp;"*"" /stext="" "&amp;TEXT(GQC28-utc_offset/24,"HH")&amp;search_regexp&amp;""""</f>
        <v>#REF!</v>
      </c>
      <c r="GRA28" s="234" t="e">
        <f>astrogrep_path&amp;" /e /r /s /spath="&amp;search_path&amp;" /stypes=""app*"&amp;GPW28&amp;"*"&amp;TEXT(GQD28-utc_offset/24,"YYYYMMDD")&amp;"*"" /stext="" "&amp;TEXT(GQD28-utc_offset/24,"HH")&amp;search_regexp&amp;""""</f>
        <v>#REF!</v>
      </c>
      <c r="GRB28" s="234" t="e">
        <f>astrogrep_path&amp;" /e /r /s /spath="&amp;search_path&amp;" /stypes=""app*"&amp;GPX28&amp;"*"&amp;TEXT(GQE28-utc_offset/24,"YYYYMMDD")&amp;"*"" /stext="" "&amp;TEXT(GQE28-utc_offset/24,"HH")&amp;search_regexp&amp;""""</f>
        <v>#REF!</v>
      </c>
      <c r="GRC28" s="234" t="e">
        <f>astrogrep_path&amp;" /e /r /s /spath="&amp;search_path&amp;" /stypes=""app*"&amp;GPY28&amp;"*"&amp;TEXT(GQF28-utc_offset/24,"YYYYMMDD")&amp;"*"" /stext="" "&amp;TEXT(GQF28-utc_offset/24,"HH")&amp;search_regexp&amp;""""</f>
        <v>#REF!</v>
      </c>
      <c r="GRD28" s="234" t="e">
        <f>astrogrep_path&amp;" /e /r /s /spath="&amp;search_path&amp;" /stypes=""app*"&amp;GPZ28&amp;"*"&amp;TEXT(GQG28-utc_offset/24,"YYYYMMDD")&amp;"*"" /stext="" "&amp;TEXT(GQG28-utc_offset/24,"HH")&amp;search_regexp&amp;""""</f>
        <v>#REF!</v>
      </c>
      <c r="GRE28" s="234" t="e">
        <f>astrogrep_path&amp;" /e /r /s /spath="&amp;search_path&amp;" /stypes=""app*"&amp;GQA28&amp;"*"&amp;TEXT(GQH28-utc_offset/24,"YYYYMMDD")&amp;"*"" /stext="" "&amp;TEXT(GQH28-utc_offset/24,"HH")&amp;search_regexp&amp;""""</f>
        <v>#REF!</v>
      </c>
      <c r="GRF28" s="234" t="e">
        <f>astrogrep_path&amp;" /e /r /s /spath="&amp;search_path&amp;" /stypes=""app*"&amp;GQB28&amp;"*"&amp;TEXT(GQI28-utc_offset/24,"YYYYMMDD")&amp;"*"" /stext="" "&amp;TEXT(GQI28-utc_offset/24,"HH")&amp;search_regexp&amp;""""</f>
        <v>#REF!</v>
      </c>
      <c r="GRG28" s="234" t="e">
        <f>astrogrep_path&amp;" /e /r /s /spath="&amp;search_path&amp;" /stypes=""app*"&amp;GQC28&amp;"*"&amp;TEXT(GQJ28-utc_offset/24,"YYYYMMDD")&amp;"*"" /stext="" "&amp;TEXT(GQJ28-utc_offset/24,"HH")&amp;search_regexp&amp;""""</f>
        <v>#REF!</v>
      </c>
      <c r="GRH28" s="234" t="e">
        <f>astrogrep_path&amp;" /e /r /s /spath="&amp;search_path&amp;" /stypes=""app*"&amp;GQD28&amp;"*"&amp;TEXT(GQK28-utc_offset/24,"YYYYMMDD")&amp;"*"" /stext="" "&amp;TEXT(GQK28-utc_offset/24,"HH")&amp;search_regexp&amp;""""</f>
        <v>#REF!</v>
      </c>
      <c r="GRI28" s="234" t="e">
        <f>astrogrep_path&amp;" /e /r /s /spath="&amp;search_path&amp;" /stypes=""app*"&amp;GQE28&amp;"*"&amp;TEXT(GQL28-utc_offset/24,"YYYYMMDD")&amp;"*"" /stext="" "&amp;TEXT(GQL28-utc_offset/24,"HH")&amp;search_regexp&amp;""""</f>
        <v>#REF!</v>
      </c>
      <c r="GRJ28" s="234" t="e">
        <f>astrogrep_path&amp;" /e /r /s /spath="&amp;search_path&amp;" /stypes=""app*"&amp;GQF28&amp;"*"&amp;TEXT(GQM28-utc_offset/24,"YYYYMMDD")&amp;"*"" /stext="" "&amp;TEXT(GQM28-utc_offset/24,"HH")&amp;search_regexp&amp;""""</f>
        <v>#REF!</v>
      </c>
      <c r="GRK28" s="234" t="e">
        <f>astrogrep_path&amp;" /e /r /s /spath="&amp;search_path&amp;" /stypes=""app*"&amp;GQG28&amp;"*"&amp;TEXT(GQN28-utc_offset/24,"YYYYMMDD")&amp;"*"" /stext="" "&amp;TEXT(GQN28-utc_offset/24,"HH")&amp;search_regexp&amp;""""</f>
        <v>#REF!</v>
      </c>
      <c r="GRL28" s="234" t="e">
        <f>astrogrep_path&amp;" /e /r /s /spath="&amp;search_path&amp;" /stypes=""app*"&amp;GQH28&amp;"*"&amp;TEXT(GQO28-utc_offset/24,"YYYYMMDD")&amp;"*"" /stext="" "&amp;TEXT(GQO28-utc_offset/24,"HH")&amp;search_regexp&amp;""""</f>
        <v>#REF!</v>
      </c>
      <c r="GRM28" s="234" t="e">
        <f>astrogrep_path&amp;" /e /r /s /spath="&amp;search_path&amp;" /stypes=""app*"&amp;GQI28&amp;"*"&amp;TEXT(GQP28-utc_offset/24,"YYYYMMDD")&amp;"*"" /stext="" "&amp;TEXT(GQP28-utc_offset/24,"HH")&amp;search_regexp&amp;""""</f>
        <v>#REF!</v>
      </c>
      <c r="GRN28" s="234" t="e">
        <f>astrogrep_path&amp;" /e /r /s /spath="&amp;search_path&amp;" /stypes=""app*"&amp;GQJ28&amp;"*"&amp;TEXT(GQQ28-utc_offset/24,"YYYYMMDD")&amp;"*"" /stext="" "&amp;TEXT(GQQ28-utc_offset/24,"HH")&amp;search_regexp&amp;""""</f>
        <v>#REF!</v>
      </c>
      <c r="GRO28" s="234" t="e">
        <f>astrogrep_path&amp;" /e /r /s /spath="&amp;search_path&amp;" /stypes=""app*"&amp;GQK28&amp;"*"&amp;TEXT(GQR28-utc_offset/24,"YYYYMMDD")&amp;"*"" /stext="" "&amp;TEXT(GQR28-utc_offset/24,"HH")&amp;search_regexp&amp;""""</f>
        <v>#REF!</v>
      </c>
      <c r="GRP28" s="234" t="e">
        <f>astrogrep_path&amp;" /e /r /s /spath="&amp;search_path&amp;" /stypes=""app*"&amp;GQL28&amp;"*"&amp;TEXT(GQS28-utc_offset/24,"YYYYMMDD")&amp;"*"" /stext="" "&amp;TEXT(GQS28-utc_offset/24,"HH")&amp;search_regexp&amp;""""</f>
        <v>#REF!</v>
      </c>
      <c r="GRQ28" s="234" t="e">
        <f>astrogrep_path&amp;" /e /r /s /spath="&amp;search_path&amp;" /stypes=""app*"&amp;GQM28&amp;"*"&amp;TEXT(GQT28-utc_offset/24,"YYYYMMDD")&amp;"*"" /stext="" "&amp;TEXT(GQT28-utc_offset/24,"HH")&amp;search_regexp&amp;""""</f>
        <v>#REF!</v>
      </c>
      <c r="GRR28" s="234" t="e">
        <f>astrogrep_path&amp;" /e /r /s /spath="&amp;search_path&amp;" /stypes=""app*"&amp;GQN28&amp;"*"&amp;TEXT(GQU28-utc_offset/24,"YYYYMMDD")&amp;"*"" /stext="" "&amp;TEXT(GQU28-utc_offset/24,"HH")&amp;search_regexp&amp;""""</f>
        <v>#REF!</v>
      </c>
      <c r="GRS28" s="234" t="e">
        <f>astrogrep_path&amp;" /e /r /s /spath="&amp;search_path&amp;" /stypes=""app*"&amp;GQO28&amp;"*"&amp;TEXT(GQV28-utc_offset/24,"YYYYMMDD")&amp;"*"" /stext="" "&amp;TEXT(GQV28-utc_offset/24,"HH")&amp;search_regexp&amp;""""</f>
        <v>#REF!</v>
      </c>
      <c r="GRT28" s="234" t="e">
        <f>astrogrep_path&amp;" /e /r /s /spath="&amp;search_path&amp;" /stypes=""app*"&amp;GQP28&amp;"*"&amp;TEXT(GQW28-utc_offset/24,"YYYYMMDD")&amp;"*"" /stext="" "&amp;TEXT(GQW28-utc_offset/24,"HH")&amp;search_regexp&amp;""""</f>
        <v>#REF!</v>
      </c>
      <c r="GRU28" s="234" t="e">
        <f>astrogrep_path&amp;" /e /r /s /spath="&amp;search_path&amp;" /stypes=""app*"&amp;GQQ28&amp;"*"&amp;TEXT(GQX28-utc_offset/24,"YYYYMMDD")&amp;"*"" /stext="" "&amp;TEXT(GQX28-utc_offset/24,"HH")&amp;search_regexp&amp;""""</f>
        <v>#VALUE!</v>
      </c>
      <c r="GRV28" s="234" t="e">
        <f>astrogrep_path&amp;" /e /r /s /spath="&amp;search_path&amp;" /stypes=""app*"&amp;GQR28&amp;"*"&amp;TEXT(GQY28-utc_offset/24,"YYYYMMDD")&amp;"*"" /stext="" "&amp;TEXT(GQY28-utc_offset/24,"HH")&amp;search_regexp&amp;""""</f>
        <v>#VALUE!</v>
      </c>
      <c r="GRW28" s="234" t="e">
        <f>astrogrep_path&amp;" /e /r /s /spath="&amp;search_path&amp;" /stypes=""app*"&amp;GQS28&amp;"*"&amp;TEXT(GQZ28-utc_offset/24,"YYYYMMDD")&amp;"*"" /stext="" "&amp;TEXT(GQZ28-utc_offset/24,"HH")&amp;search_regexp&amp;""""</f>
        <v>#REF!</v>
      </c>
      <c r="GRX28" s="234" t="e">
        <f>astrogrep_path&amp;" /e /r /s /spath="&amp;search_path&amp;" /stypes=""app*"&amp;GQT28&amp;"*"&amp;TEXT(GRA28-utc_offset/24,"YYYYMMDD")&amp;"*"" /stext="" "&amp;TEXT(GRA28-utc_offset/24,"HH")&amp;search_regexp&amp;""""</f>
        <v>#REF!</v>
      </c>
      <c r="GRY28" s="234" t="e">
        <f>astrogrep_path&amp;" /e /r /s /spath="&amp;search_path&amp;" /stypes=""app*"&amp;GQU28&amp;"*"&amp;TEXT(GRB28-utc_offset/24,"YYYYMMDD")&amp;"*"" /stext="" "&amp;TEXT(GRB28-utc_offset/24,"HH")&amp;search_regexp&amp;""""</f>
        <v>#VALUE!</v>
      </c>
      <c r="GRZ28" s="234" t="e">
        <f>astrogrep_path&amp;" /e /r /s /spath="&amp;search_path&amp;" /stypes=""app*"&amp;GQV28&amp;"*"&amp;TEXT(GRC28-utc_offset/24,"YYYYMMDD")&amp;"*"" /stext="" "&amp;TEXT(GRC28-utc_offset/24,"HH")&amp;search_regexp&amp;""""</f>
        <v>#VALUE!</v>
      </c>
      <c r="GSA28" s="234" t="e">
        <f>astrogrep_path&amp;" /e /r /s /spath="&amp;search_path&amp;" /stypes=""app*"&amp;GQW28&amp;"*"&amp;TEXT(GRD28-utc_offset/24,"YYYYMMDD")&amp;"*"" /stext="" "&amp;TEXT(GRD28-utc_offset/24,"HH")&amp;search_regexp&amp;""""</f>
        <v>#VALUE!</v>
      </c>
      <c r="GSB28" s="234" t="e">
        <f>astrogrep_path&amp;" /e /r /s /spath="&amp;search_path&amp;" /stypes=""app*"&amp;GQX28&amp;"*"&amp;TEXT(GRE28-utc_offset/24,"YYYYMMDD")&amp;"*"" /stext="" "&amp;TEXT(GRE28-utc_offset/24,"HH")&amp;search_regexp&amp;""""</f>
        <v>#VALUE!</v>
      </c>
      <c r="GSC28" s="234" t="e">
        <f>astrogrep_path&amp;" /e /r /s /spath="&amp;search_path&amp;" /stypes=""app*"&amp;GQY28&amp;"*"&amp;TEXT(GRF28-utc_offset/24,"YYYYMMDD")&amp;"*"" /stext="" "&amp;TEXT(GRF28-utc_offset/24,"HH")&amp;search_regexp&amp;""""</f>
        <v>#VALUE!</v>
      </c>
      <c r="GSD28" s="234" t="e">
        <f>astrogrep_path&amp;" /e /r /s /spath="&amp;search_path&amp;" /stypes=""app*"&amp;GQZ28&amp;"*"&amp;TEXT(GRG28-utc_offset/24,"YYYYMMDD")&amp;"*"" /stext="" "&amp;TEXT(GRG28-utc_offset/24,"HH")&amp;search_regexp&amp;""""</f>
        <v>#REF!</v>
      </c>
      <c r="GSE28" s="234" t="e">
        <f>astrogrep_path&amp;" /e /r /s /spath="&amp;search_path&amp;" /stypes=""app*"&amp;GRA28&amp;"*"&amp;TEXT(GRH28-utc_offset/24,"YYYYMMDD")&amp;"*"" /stext="" "&amp;TEXT(GRH28-utc_offset/24,"HH")&amp;search_regexp&amp;""""</f>
        <v>#REF!</v>
      </c>
      <c r="GSF28" s="234" t="e">
        <f>astrogrep_path&amp;" /e /r /s /spath="&amp;search_path&amp;" /stypes=""app*"&amp;GRB28&amp;"*"&amp;TEXT(GRI28-utc_offset/24,"YYYYMMDD")&amp;"*"" /stext="" "&amp;TEXT(GRI28-utc_offset/24,"HH")&amp;search_regexp&amp;""""</f>
        <v>#REF!</v>
      </c>
      <c r="GSG28" s="234" t="e">
        <f>astrogrep_path&amp;" /e /r /s /spath="&amp;search_path&amp;" /stypes=""app*"&amp;GRC28&amp;"*"&amp;TEXT(GRJ28-utc_offset/24,"YYYYMMDD")&amp;"*"" /stext="" "&amp;TEXT(GRJ28-utc_offset/24,"HH")&amp;search_regexp&amp;""""</f>
        <v>#REF!</v>
      </c>
      <c r="GSH28" s="234" t="e">
        <f>astrogrep_path&amp;" /e /r /s /spath="&amp;search_path&amp;" /stypes=""app*"&amp;GRD28&amp;"*"&amp;TEXT(GRK28-utc_offset/24,"YYYYMMDD")&amp;"*"" /stext="" "&amp;TEXT(GRK28-utc_offset/24,"HH")&amp;search_regexp&amp;""""</f>
        <v>#REF!</v>
      </c>
      <c r="GSI28" s="234" t="e">
        <f>astrogrep_path&amp;" /e /r /s /spath="&amp;search_path&amp;" /stypes=""app*"&amp;GRE28&amp;"*"&amp;TEXT(GRL28-utc_offset/24,"YYYYMMDD")&amp;"*"" /stext="" "&amp;TEXT(GRL28-utc_offset/24,"HH")&amp;search_regexp&amp;""""</f>
        <v>#REF!</v>
      </c>
      <c r="GSJ28" s="234" t="e">
        <f>astrogrep_path&amp;" /e /r /s /spath="&amp;search_path&amp;" /stypes=""app*"&amp;GRF28&amp;"*"&amp;TEXT(GRM28-utc_offset/24,"YYYYMMDD")&amp;"*"" /stext="" "&amp;TEXT(GRM28-utc_offset/24,"HH")&amp;search_regexp&amp;""""</f>
        <v>#REF!</v>
      </c>
      <c r="GSK28" s="234" t="e">
        <f>astrogrep_path&amp;" /e /r /s /spath="&amp;search_path&amp;" /stypes=""app*"&amp;GRG28&amp;"*"&amp;TEXT(GRN28-utc_offset/24,"YYYYMMDD")&amp;"*"" /stext="" "&amp;TEXT(GRN28-utc_offset/24,"HH")&amp;search_regexp&amp;""""</f>
        <v>#REF!</v>
      </c>
      <c r="GSL28" s="234" t="e">
        <f>astrogrep_path&amp;" /e /r /s /spath="&amp;search_path&amp;" /stypes=""app*"&amp;GRH28&amp;"*"&amp;TEXT(GRO28-utc_offset/24,"YYYYMMDD")&amp;"*"" /stext="" "&amp;TEXT(GRO28-utc_offset/24,"HH")&amp;search_regexp&amp;""""</f>
        <v>#REF!</v>
      </c>
      <c r="GSM28" s="234" t="e">
        <f>astrogrep_path&amp;" /e /r /s /spath="&amp;search_path&amp;" /stypes=""app*"&amp;GRI28&amp;"*"&amp;TEXT(GRP28-utc_offset/24,"YYYYMMDD")&amp;"*"" /stext="" "&amp;TEXT(GRP28-utc_offset/24,"HH")&amp;search_regexp&amp;""""</f>
        <v>#REF!</v>
      </c>
      <c r="GSN28" s="234" t="e">
        <f>astrogrep_path&amp;" /e /r /s /spath="&amp;search_path&amp;" /stypes=""app*"&amp;GRJ28&amp;"*"&amp;TEXT(GRQ28-utc_offset/24,"YYYYMMDD")&amp;"*"" /stext="" "&amp;TEXT(GRQ28-utc_offset/24,"HH")&amp;search_regexp&amp;""""</f>
        <v>#REF!</v>
      </c>
      <c r="GSO28" s="234" t="e">
        <f>astrogrep_path&amp;" /e /r /s /spath="&amp;search_path&amp;" /stypes=""app*"&amp;GRK28&amp;"*"&amp;TEXT(GRR28-utc_offset/24,"YYYYMMDD")&amp;"*"" /stext="" "&amp;TEXT(GRR28-utc_offset/24,"HH")&amp;search_regexp&amp;""""</f>
        <v>#REF!</v>
      </c>
      <c r="GSP28" s="234" t="e">
        <f>astrogrep_path&amp;" /e /r /s /spath="&amp;search_path&amp;" /stypes=""app*"&amp;GRL28&amp;"*"&amp;TEXT(GRS28-utc_offset/24,"YYYYMMDD")&amp;"*"" /stext="" "&amp;TEXT(GRS28-utc_offset/24,"HH")&amp;search_regexp&amp;""""</f>
        <v>#REF!</v>
      </c>
      <c r="GSQ28" s="234" t="e">
        <f>astrogrep_path&amp;" /e /r /s /spath="&amp;search_path&amp;" /stypes=""app*"&amp;GRM28&amp;"*"&amp;TEXT(GRT28-utc_offset/24,"YYYYMMDD")&amp;"*"" /stext="" "&amp;TEXT(GRT28-utc_offset/24,"HH")&amp;search_regexp&amp;""""</f>
        <v>#REF!</v>
      </c>
      <c r="GSR28" s="234" t="e">
        <f>astrogrep_path&amp;" /e /r /s /spath="&amp;search_path&amp;" /stypes=""app*"&amp;GRN28&amp;"*"&amp;TEXT(GRU28-utc_offset/24,"YYYYMMDD")&amp;"*"" /stext="" "&amp;TEXT(GRU28-utc_offset/24,"HH")&amp;search_regexp&amp;""""</f>
        <v>#REF!</v>
      </c>
      <c r="GSS28" s="234" t="e">
        <f>astrogrep_path&amp;" /e /r /s /spath="&amp;search_path&amp;" /stypes=""app*"&amp;GRO28&amp;"*"&amp;TEXT(GRV28-utc_offset/24,"YYYYMMDD")&amp;"*"" /stext="" "&amp;TEXT(GRV28-utc_offset/24,"HH")&amp;search_regexp&amp;""""</f>
        <v>#REF!</v>
      </c>
      <c r="GST28" s="234" t="e">
        <f>astrogrep_path&amp;" /e /r /s /spath="&amp;search_path&amp;" /stypes=""app*"&amp;GRP28&amp;"*"&amp;TEXT(GRW28-utc_offset/24,"YYYYMMDD")&amp;"*"" /stext="" "&amp;TEXT(GRW28-utc_offset/24,"HH")&amp;search_regexp&amp;""""</f>
        <v>#REF!</v>
      </c>
      <c r="GSU28" s="234" t="e">
        <f>astrogrep_path&amp;" /e /r /s /spath="&amp;search_path&amp;" /stypes=""app*"&amp;GRQ28&amp;"*"&amp;TEXT(GRX28-utc_offset/24,"YYYYMMDD")&amp;"*"" /stext="" "&amp;TEXT(GRX28-utc_offset/24,"HH")&amp;search_regexp&amp;""""</f>
        <v>#REF!</v>
      </c>
      <c r="GSV28" s="234" t="e">
        <f>astrogrep_path&amp;" /e /r /s /spath="&amp;search_path&amp;" /stypes=""app*"&amp;GRR28&amp;"*"&amp;TEXT(GRY28-utc_offset/24,"YYYYMMDD")&amp;"*"" /stext="" "&amp;TEXT(GRY28-utc_offset/24,"HH")&amp;search_regexp&amp;""""</f>
        <v>#REF!</v>
      </c>
      <c r="GSW28" s="234" t="e">
        <f>astrogrep_path&amp;" /e /r /s /spath="&amp;search_path&amp;" /stypes=""app*"&amp;GRS28&amp;"*"&amp;TEXT(GRZ28-utc_offset/24,"YYYYMMDD")&amp;"*"" /stext="" "&amp;TEXT(GRZ28-utc_offset/24,"HH")&amp;search_regexp&amp;""""</f>
        <v>#REF!</v>
      </c>
      <c r="GSX28" s="234" t="e">
        <f>astrogrep_path&amp;" /e /r /s /spath="&amp;search_path&amp;" /stypes=""app*"&amp;GRT28&amp;"*"&amp;TEXT(GSA28-utc_offset/24,"YYYYMMDD")&amp;"*"" /stext="" "&amp;TEXT(GSA28-utc_offset/24,"HH")&amp;search_regexp&amp;""""</f>
        <v>#REF!</v>
      </c>
      <c r="GSY28" s="234" t="e">
        <f>astrogrep_path&amp;" /e /r /s /spath="&amp;search_path&amp;" /stypes=""app*"&amp;GRU28&amp;"*"&amp;TEXT(GSB28-utc_offset/24,"YYYYMMDD")&amp;"*"" /stext="" "&amp;TEXT(GSB28-utc_offset/24,"HH")&amp;search_regexp&amp;""""</f>
        <v>#VALUE!</v>
      </c>
      <c r="GSZ28" s="234" t="e">
        <f>astrogrep_path&amp;" /e /r /s /spath="&amp;search_path&amp;" /stypes=""app*"&amp;GRV28&amp;"*"&amp;TEXT(GSC28-utc_offset/24,"YYYYMMDD")&amp;"*"" /stext="" "&amp;TEXT(GSC28-utc_offset/24,"HH")&amp;search_regexp&amp;""""</f>
        <v>#VALUE!</v>
      </c>
      <c r="GTA28" s="234" t="e">
        <f>astrogrep_path&amp;" /e /r /s /spath="&amp;search_path&amp;" /stypes=""app*"&amp;GRW28&amp;"*"&amp;TEXT(GSD28-utc_offset/24,"YYYYMMDD")&amp;"*"" /stext="" "&amp;TEXT(GSD28-utc_offset/24,"HH")&amp;search_regexp&amp;""""</f>
        <v>#REF!</v>
      </c>
      <c r="GTB28" s="234" t="e">
        <f>astrogrep_path&amp;" /e /r /s /spath="&amp;search_path&amp;" /stypes=""app*"&amp;GRX28&amp;"*"&amp;TEXT(GSE28-utc_offset/24,"YYYYMMDD")&amp;"*"" /stext="" "&amp;TEXT(GSE28-utc_offset/24,"HH")&amp;search_regexp&amp;""""</f>
        <v>#REF!</v>
      </c>
      <c r="GTC28" s="234" t="e">
        <f>astrogrep_path&amp;" /e /r /s /spath="&amp;search_path&amp;" /stypes=""app*"&amp;GRY28&amp;"*"&amp;TEXT(GSF28-utc_offset/24,"YYYYMMDD")&amp;"*"" /stext="" "&amp;TEXT(GSF28-utc_offset/24,"HH")&amp;search_regexp&amp;""""</f>
        <v>#VALUE!</v>
      </c>
      <c r="GTD28" s="234" t="e">
        <f>astrogrep_path&amp;" /e /r /s /spath="&amp;search_path&amp;" /stypes=""app*"&amp;GRZ28&amp;"*"&amp;TEXT(GSG28-utc_offset/24,"YYYYMMDD")&amp;"*"" /stext="" "&amp;TEXT(GSG28-utc_offset/24,"HH")&amp;search_regexp&amp;""""</f>
        <v>#VALUE!</v>
      </c>
      <c r="GTE28" s="234" t="e">
        <f>astrogrep_path&amp;" /e /r /s /spath="&amp;search_path&amp;" /stypes=""app*"&amp;GSA28&amp;"*"&amp;TEXT(GSH28-utc_offset/24,"YYYYMMDD")&amp;"*"" /stext="" "&amp;TEXT(GSH28-utc_offset/24,"HH")&amp;search_regexp&amp;""""</f>
        <v>#VALUE!</v>
      </c>
      <c r="GTF28" s="234" t="e">
        <f>astrogrep_path&amp;" /e /r /s /spath="&amp;search_path&amp;" /stypes=""app*"&amp;GSB28&amp;"*"&amp;TEXT(GSI28-utc_offset/24,"YYYYMMDD")&amp;"*"" /stext="" "&amp;TEXT(GSI28-utc_offset/24,"HH")&amp;search_regexp&amp;""""</f>
        <v>#VALUE!</v>
      </c>
      <c r="GTG28" s="234" t="e">
        <f>astrogrep_path&amp;" /e /r /s /spath="&amp;search_path&amp;" /stypes=""app*"&amp;GSC28&amp;"*"&amp;TEXT(GSJ28-utc_offset/24,"YYYYMMDD")&amp;"*"" /stext="" "&amp;TEXT(GSJ28-utc_offset/24,"HH")&amp;search_regexp&amp;""""</f>
        <v>#VALUE!</v>
      </c>
      <c r="GTH28" s="234" t="e">
        <f>astrogrep_path&amp;" /e /r /s /spath="&amp;search_path&amp;" /stypes=""app*"&amp;GSD28&amp;"*"&amp;TEXT(GSK28-utc_offset/24,"YYYYMMDD")&amp;"*"" /stext="" "&amp;TEXT(GSK28-utc_offset/24,"HH")&amp;search_regexp&amp;""""</f>
        <v>#REF!</v>
      </c>
      <c r="GTI28" s="234" t="e">
        <f>astrogrep_path&amp;" /e /r /s /spath="&amp;search_path&amp;" /stypes=""app*"&amp;GSE28&amp;"*"&amp;TEXT(GSL28-utc_offset/24,"YYYYMMDD")&amp;"*"" /stext="" "&amp;TEXT(GSL28-utc_offset/24,"HH")&amp;search_regexp&amp;""""</f>
        <v>#REF!</v>
      </c>
      <c r="GTJ28" s="234" t="e">
        <f>astrogrep_path&amp;" /e /r /s /spath="&amp;search_path&amp;" /stypes=""app*"&amp;GSF28&amp;"*"&amp;TEXT(GSM28-utc_offset/24,"YYYYMMDD")&amp;"*"" /stext="" "&amp;TEXT(GSM28-utc_offset/24,"HH")&amp;search_regexp&amp;""""</f>
        <v>#REF!</v>
      </c>
      <c r="GTK28" s="234" t="e">
        <f>astrogrep_path&amp;" /e /r /s /spath="&amp;search_path&amp;" /stypes=""app*"&amp;GSG28&amp;"*"&amp;TEXT(GSN28-utc_offset/24,"YYYYMMDD")&amp;"*"" /stext="" "&amp;TEXT(GSN28-utc_offset/24,"HH")&amp;search_regexp&amp;""""</f>
        <v>#REF!</v>
      </c>
      <c r="GTL28" s="234" t="e">
        <f>astrogrep_path&amp;" /e /r /s /spath="&amp;search_path&amp;" /stypes=""app*"&amp;GSH28&amp;"*"&amp;TEXT(GSO28-utc_offset/24,"YYYYMMDD")&amp;"*"" /stext="" "&amp;TEXT(GSO28-utc_offset/24,"HH")&amp;search_regexp&amp;""""</f>
        <v>#REF!</v>
      </c>
      <c r="GTM28" s="234" t="e">
        <f>astrogrep_path&amp;" /e /r /s /spath="&amp;search_path&amp;" /stypes=""app*"&amp;GSI28&amp;"*"&amp;TEXT(GSP28-utc_offset/24,"YYYYMMDD")&amp;"*"" /stext="" "&amp;TEXT(GSP28-utc_offset/24,"HH")&amp;search_regexp&amp;""""</f>
        <v>#REF!</v>
      </c>
      <c r="GTN28" s="234" t="e">
        <f>astrogrep_path&amp;" /e /r /s /spath="&amp;search_path&amp;" /stypes=""app*"&amp;GSJ28&amp;"*"&amp;TEXT(GSQ28-utc_offset/24,"YYYYMMDD")&amp;"*"" /stext="" "&amp;TEXT(GSQ28-utc_offset/24,"HH")&amp;search_regexp&amp;""""</f>
        <v>#REF!</v>
      </c>
      <c r="GTO28" s="234" t="e">
        <f>astrogrep_path&amp;" /e /r /s /spath="&amp;search_path&amp;" /stypes=""app*"&amp;GSK28&amp;"*"&amp;TEXT(GSR28-utc_offset/24,"YYYYMMDD")&amp;"*"" /stext="" "&amp;TEXT(GSR28-utc_offset/24,"HH")&amp;search_regexp&amp;""""</f>
        <v>#REF!</v>
      </c>
      <c r="GTP28" s="234" t="e">
        <f>astrogrep_path&amp;" /e /r /s /spath="&amp;search_path&amp;" /stypes=""app*"&amp;GSL28&amp;"*"&amp;TEXT(GSS28-utc_offset/24,"YYYYMMDD")&amp;"*"" /stext="" "&amp;TEXT(GSS28-utc_offset/24,"HH")&amp;search_regexp&amp;""""</f>
        <v>#REF!</v>
      </c>
      <c r="GTQ28" s="234" t="e">
        <f>astrogrep_path&amp;" /e /r /s /spath="&amp;search_path&amp;" /stypes=""app*"&amp;GSM28&amp;"*"&amp;TEXT(GST28-utc_offset/24,"YYYYMMDD")&amp;"*"" /stext="" "&amp;TEXT(GST28-utc_offset/24,"HH")&amp;search_regexp&amp;""""</f>
        <v>#REF!</v>
      </c>
      <c r="GTR28" s="234" t="e">
        <f>astrogrep_path&amp;" /e /r /s /spath="&amp;search_path&amp;" /stypes=""app*"&amp;GSN28&amp;"*"&amp;TEXT(GSU28-utc_offset/24,"YYYYMMDD")&amp;"*"" /stext="" "&amp;TEXT(GSU28-utc_offset/24,"HH")&amp;search_regexp&amp;""""</f>
        <v>#REF!</v>
      </c>
      <c r="GTS28" s="234" t="e">
        <f>astrogrep_path&amp;" /e /r /s /spath="&amp;search_path&amp;" /stypes=""app*"&amp;GSO28&amp;"*"&amp;TEXT(GSV28-utc_offset/24,"YYYYMMDD")&amp;"*"" /stext="" "&amp;TEXT(GSV28-utc_offset/24,"HH")&amp;search_regexp&amp;""""</f>
        <v>#REF!</v>
      </c>
      <c r="GTT28" s="234" t="e">
        <f>astrogrep_path&amp;" /e /r /s /spath="&amp;search_path&amp;" /stypes=""app*"&amp;GSP28&amp;"*"&amp;TEXT(GSW28-utc_offset/24,"YYYYMMDD")&amp;"*"" /stext="" "&amp;TEXT(GSW28-utc_offset/24,"HH")&amp;search_regexp&amp;""""</f>
        <v>#REF!</v>
      </c>
      <c r="GTU28" s="234" t="e">
        <f>astrogrep_path&amp;" /e /r /s /spath="&amp;search_path&amp;" /stypes=""app*"&amp;GSQ28&amp;"*"&amp;TEXT(GSX28-utc_offset/24,"YYYYMMDD")&amp;"*"" /stext="" "&amp;TEXT(GSX28-utc_offset/24,"HH")&amp;search_regexp&amp;""""</f>
        <v>#REF!</v>
      </c>
      <c r="GTV28" s="234" t="e">
        <f>astrogrep_path&amp;" /e /r /s /spath="&amp;search_path&amp;" /stypes=""app*"&amp;GSR28&amp;"*"&amp;TEXT(GSY28-utc_offset/24,"YYYYMMDD")&amp;"*"" /stext="" "&amp;TEXT(GSY28-utc_offset/24,"HH")&amp;search_regexp&amp;""""</f>
        <v>#REF!</v>
      </c>
      <c r="GTW28" s="234" t="e">
        <f>astrogrep_path&amp;" /e /r /s /spath="&amp;search_path&amp;" /stypes=""app*"&amp;GSS28&amp;"*"&amp;TEXT(GSZ28-utc_offset/24,"YYYYMMDD")&amp;"*"" /stext="" "&amp;TEXT(GSZ28-utc_offset/24,"HH")&amp;search_regexp&amp;""""</f>
        <v>#REF!</v>
      </c>
      <c r="GTX28" s="234" t="e">
        <f>astrogrep_path&amp;" /e /r /s /spath="&amp;search_path&amp;" /stypes=""app*"&amp;GST28&amp;"*"&amp;TEXT(GTA28-utc_offset/24,"YYYYMMDD")&amp;"*"" /stext="" "&amp;TEXT(GTA28-utc_offset/24,"HH")&amp;search_regexp&amp;""""</f>
        <v>#REF!</v>
      </c>
      <c r="GTY28" s="234" t="e">
        <f>astrogrep_path&amp;" /e /r /s /spath="&amp;search_path&amp;" /stypes=""app*"&amp;GSU28&amp;"*"&amp;TEXT(GTB28-utc_offset/24,"YYYYMMDD")&amp;"*"" /stext="" "&amp;TEXT(GTB28-utc_offset/24,"HH")&amp;search_regexp&amp;""""</f>
        <v>#REF!</v>
      </c>
      <c r="GTZ28" s="234" t="e">
        <f>astrogrep_path&amp;" /e /r /s /spath="&amp;search_path&amp;" /stypes=""app*"&amp;GSV28&amp;"*"&amp;TEXT(GTC28-utc_offset/24,"YYYYMMDD")&amp;"*"" /stext="" "&amp;TEXT(GTC28-utc_offset/24,"HH")&amp;search_regexp&amp;""""</f>
        <v>#REF!</v>
      </c>
      <c r="GUA28" s="234" t="e">
        <f>astrogrep_path&amp;" /e /r /s /spath="&amp;search_path&amp;" /stypes=""app*"&amp;GSW28&amp;"*"&amp;TEXT(GTD28-utc_offset/24,"YYYYMMDD")&amp;"*"" /stext="" "&amp;TEXT(GTD28-utc_offset/24,"HH")&amp;search_regexp&amp;""""</f>
        <v>#REF!</v>
      </c>
      <c r="GUB28" s="234" t="e">
        <f>astrogrep_path&amp;" /e /r /s /spath="&amp;search_path&amp;" /stypes=""app*"&amp;GSX28&amp;"*"&amp;TEXT(GTE28-utc_offset/24,"YYYYMMDD")&amp;"*"" /stext="" "&amp;TEXT(GTE28-utc_offset/24,"HH")&amp;search_regexp&amp;""""</f>
        <v>#REF!</v>
      </c>
      <c r="GUC28" s="234" t="e">
        <f>astrogrep_path&amp;" /e /r /s /spath="&amp;search_path&amp;" /stypes=""app*"&amp;GSY28&amp;"*"&amp;TEXT(GTF28-utc_offset/24,"YYYYMMDD")&amp;"*"" /stext="" "&amp;TEXT(GTF28-utc_offset/24,"HH")&amp;search_regexp&amp;""""</f>
        <v>#VALUE!</v>
      </c>
      <c r="GUD28" s="234" t="e">
        <f>astrogrep_path&amp;" /e /r /s /spath="&amp;search_path&amp;" /stypes=""app*"&amp;GSZ28&amp;"*"&amp;TEXT(GTG28-utc_offset/24,"YYYYMMDD")&amp;"*"" /stext="" "&amp;TEXT(GTG28-utc_offset/24,"HH")&amp;search_regexp&amp;""""</f>
        <v>#VALUE!</v>
      </c>
      <c r="GUE28" s="234" t="e">
        <f>astrogrep_path&amp;" /e /r /s /spath="&amp;search_path&amp;" /stypes=""app*"&amp;GTA28&amp;"*"&amp;TEXT(GTH28-utc_offset/24,"YYYYMMDD")&amp;"*"" /stext="" "&amp;TEXT(GTH28-utc_offset/24,"HH")&amp;search_regexp&amp;""""</f>
        <v>#REF!</v>
      </c>
      <c r="GUF28" s="234" t="e">
        <f>astrogrep_path&amp;" /e /r /s /spath="&amp;search_path&amp;" /stypes=""app*"&amp;GTB28&amp;"*"&amp;TEXT(GTI28-utc_offset/24,"YYYYMMDD")&amp;"*"" /stext="" "&amp;TEXT(GTI28-utc_offset/24,"HH")&amp;search_regexp&amp;""""</f>
        <v>#REF!</v>
      </c>
      <c r="GUG28" s="234" t="e">
        <f>astrogrep_path&amp;" /e /r /s /spath="&amp;search_path&amp;" /stypes=""app*"&amp;GTC28&amp;"*"&amp;TEXT(GTJ28-utc_offset/24,"YYYYMMDD")&amp;"*"" /stext="" "&amp;TEXT(GTJ28-utc_offset/24,"HH")&amp;search_regexp&amp;""""</f>
        <v>#VALUE!</v>
      </c>
      <c r="GUH28" s="234" t="e">
        <f>astrogrep_path&amp;" /e /r /s /spath="&amp;search_path&amp;" /stypes=""app*"&amp;GTD28&amp;"*"&amp;TEXT(GTK28-utc_offset/24,"YYYYMMDD")&amp;"*"" /stext="" "&amp;TEXT(GTK28-utc_offset/24,"HH")&amp;search_regexp&amp;""""</f>
        <v>#VALUE!</v>
      </c>
      <c r="GUI28" s="234" t="e">
        <f>astrogrep_path&amp;" /e /r /s /spath="&amp;search_path&amp;" /stypes=""app*"&amp;GTE28&amp;"*"&amp;TEXT(GTL28-utc_offset/24,"YYYYMMDD")&amp;"*"" /stext="" "&amp;TEXT(GTL28-utc_offset/24,"HH")&amp;search_regexp&amp;""""</f>
        <v>#VALUE!</v>
      </c>
      <c r="GUJ28" s="234" t="e">
        <f>astrogrep_path&amp;" /e /r /s /spath="&amp;search_path&amp;" /stypes=""app*"&amp;GTF28&amp;"*"&amp;TEXT(GTM28-utc_offset/24,"YYYYMMDD")&amp;"*"" /stext="" "&amp;TEXT(GTM28-utc_offset/24,"HH")&amp;search_regexp&amp;""""</f>
        <v>#VALUE!</v>
      </c>
      <c r="GUK28" s="234" t="e">
        <f>astrogrep_path&amp;" /e /r /s /spath="&amp;search_path&amp;" /stypes=""app*"&amp;GTG28&amp;"*"&amp;TEXT(GTN28-utc_offset/24,"YYYYMMDD")&amp;"*"" /stext="" "&amp;TEXT(GTN28-utc_offset/24,"HH")&amp;search_regexp&amp;""""</f>
        <v>#VALUE!</v>
      </c>
      <c r="GUL28" s="234" t="e">
        <f>astrogrep_path&amp;" /e /r /s /spath="&amp;search_path&amp;" /stypes=""app*"&amp;GTH28&amp;"*"&amp;TEXT(GTO28-utc_offset/24,"YYYYMMDD")&amp;"*"" /stext="" "&amp;TEXT(GTO28-utc_offset/24,"HH")&amp;search_regexp&amp;""""</f>
        <v>#REF!</v>
      </c>
      <c r="GUM28" s="234" t="e">
        <f>astrogrep_path&amp;" /e /r /s /spath="&amp;search_path&amp;" /stypes=""app*"&amp;GTI28&amp;"*"&amp;TEXT(GTP28-utc_offset/24,"YYYYMMDD")&amp;"*"" /stext="" "&amp;TEXT(GTP28-utc_offset/24,"HH")&amp;search_regexp&amp;""""</f>
        <v>#REF!</v>
      </c>
      <c r="GUN28" s="234" t="e">
        <f>astrogrep_path&amp;" /e /r /s /spath="&amp;search_path&amp;" /stypes=""app*"&amp;GTJ28&amp;"*"&amp;TEXT(GTQ28-utc_offset/24,"YYYYMMDD")&amp;"*"" /stext="" "&amp;TEXT(GTQ28-utc_offset/24,"HH")&amp;search_regexp&amp;""""</f>
        <v>#REF!</v>
      </c>
      <c r="GUO28" s="234" t="e">
        <f>astrogrep_path&amp;" /e /r /s /spath="&amp;search_path&amp;" /stypes=""app*"&amp;GTK28&amp;"*"&amp;TEXT(GTR28-utc_offset/24,"YYYYMMDD")&amp;"*"" /stext="" "&amp;TEXT(GTR28-utc_offset/24,"HH")&amp;search_regexp&amp;""""</f>
        <v>#REF!</v>
      </c>
      <c r="GUP28" s="234" t="e">
        <f>astrogrep_path&amp;" /e /r /s /spath="&amp;search_path&amp;" /stypes=""app*"&amp;GTL28&amp;"*"&amp;TEXT(GTS28-utc_offset/24,"YYYYMMDD")&amp;"*"" /stext="" "&amp;TEXT(GTS28-utc_offset/24,"HH")&amp;search_regexp&amp;""""</f>
        <v>#REF!</v>
      </c>
      <c r="GUQ28" s="234" t="e">
        <f>astrogrep_path&amp;" /e /r /s /spath="&amp;search_path&amp;" /stypes=""app*"&amp;GTM28&amp;"*"&amp;TEXT(GTT28-utc_offset/24,"YYYYMMDD")&amp;"*"" /stext="" "&amp;TEXT(GTT28-utc_offset/24,"HH")&amp;search_regexp&amp;""""</f>
        <v>#REF!</v>
      </c>
      <c r="GUR28" s="234" t="e">
        <f>astrogrep_path&amp;" /e /r /s /spath="&amp;search_path&amp;" /stypes=""app*"&amp;GTN28&amp;"*"&amp;TEXT(GTU28-utc_offset/24,"YYYYMMDD")&amp;"*"" /stext="" "&amp;TEXT(GTU28-utc_offset/24,"HH")&amp;search_regexp&amp;""""</f>
        <v>#REF!</v>
      </c>
      <c r="GUS28" s="234" t="e">
        <f>astrogrep_path&amp;" /e /r /s /spath="&amp;search_path&amp;" /stypes=""app*"&amp;GTO28&amp;"*"&amp;TEXT(GTV28-utc_offset/24,"YYYYMMDD")&amp;"*"" /stext="" "&amp;TEXT(GTV28-utc_offset/24,"HH")&amp;search_regexp&amp;""""</f>
        <v>#REF!</v>
      </c>
      <c r="GUT28" s="234" t="e">
        <f>astrogrep_path&amp;" /e /r /s /spath="&amp;search_path&amp;" /stypes=""app*"&amp;GTP28&amp;"*"&amp;TEXT(GTW28-utc_offset/24,"YYYYMMDD")&amp;"*"" /stext="" "&amp;TEXT(GTW28-utc_offset/24,"HH")&amp;search_regexp&amp;""""</f>
        <v>#REF!</v>
      </c>
      <c r="GUU28" s="234" t="e">
        <f>astrogrep_path&amp;" /e /r /s /spath="&amp;search_path&amp;" /stypes=""app*"&amp;GTQ28&amp;"*"&amp;TEXT(GTX28-utc_offset/24,"YYYYMMDD")&amp;"*"" /stext="" "&amp;TEXT(GTX28-utc_offset/24,"HH")&amp;search_regexp&amp;""""</f>
        <v>#REF!</v>
      </c>
      <c r="GUV28" s="234" t="e">
        <f>astrogrep_path&amp;" /e /r /s /spath="&amp;search_path&amp;" /stypes=""app*"&amp;GTR28&amp;"*"&amp;TEXT(GTY28-utc_offset/24,"YYYYMMDD")&amp;"*"" /stext="" "&amp;TEXT(GTY28-utc_offset/24,"HH")&amp;search_regexp&amp;""""</f>
        <v>#REF!</v>
      </c>
      <c r="GUW28" s="234" t="e">
        <f>astrogrep_path&amp;" /e /r /s /spath="&amp;search_path&amp;" /stypes=""app*"&amp;GTS28&amp;"*"&amp;TEXT(GTZ28-utc_offset/24,"YYYYMMDD")&amp;"*"" /stext="" "&amp;TEXT(GTZ28-utc_offset/24,"HH")&amp;search_regexp&amp;""""</f>
        <v>#REF!</v>
      </c>
      <c r="GUX28" s="234" t="e">
        <f>astrogrep_path&amp;" /e /r /s /spath="&amp;search_path&amp;" /stypes=""app*"&amp;GTT28&amp;"*"&amp;TEXT(GUA28-utc_offset/24,"YYYYMMDD")&amp;"*"" /stext="" "&amp;TEXT(GUA28-utc_offset/24,"HH")&amp;search_regexp&amp;""""</f>
        <v>#REF!</v>
      </c>
      <c r="GUY28" s="234" t="e">
        <f>astrogrep_path&amp;" /e /r /s /spath="&amp;search_path&amp;" /stypes=""app*"&amp;GTU28&amp;"*"&amp;TEXT(GUB28-utc_offset/24,"YYYYMMDD")&amp;"*"" /stext="" "&amp;TEXT(GUB28-utc_offset/24,"HH")&amp;search_regexp&amp;""""</f>
        <v>#REF!</v>
      </c>
      <c r="GUZ28" s="234" t="e">
        <f>astrogrep_path&amp;" /e /r /s /spath="&amp;search_path&amp;" /stypes=""app*"&amp;GTV28&amp;"*"&amp;TEXT(GUC28-utc_offset/24,"YYYYMMDD")&amp;"*"" /stext="" "&amp;TEXT(GUC28-utc_offset/24,"HH")&amp;search_regexp&amp;""""</f>
        <v>#REF!</v>
      </c>
      <c r="GVA28" s="234" t="e">
        <f>astrogrep_path&amp;" /e /r /s /spath="&amp;search_path&amp;" /stypes=""app*"&amp;GTW28&amp;"*"&amp;TEXT(GUD28-utc_offset/24,"YYYYMMDD")&amp;"*"" /stext="" "&amp;TEXT(GUD28-utc_offset/24,"HH")&amp;search_regexp&amp;""""</f>
        <v>#REF!</v>
      </c>
      <c r="GVB28" s="234" t="e">
        <f>astrogrep_path&amp;" /e /r /s /spath="&amp;search_path&amp;" /stypes=""app*"&amp;GTX28&amp;"*"&amp;TEXT(GUE28-utc_offset/24,"YYYYMMDD")&amp;"*"" /stext="" "&amp;TEXT(GUE28-utc_offset/24,"HH")&amp;search_regexp&amp;""""</f>
        <v>#REF!</v>
      </c>
      <c r="GVC28" s="234" t="e">
        <f>astrogrep_path&amp;" /e /r /s /spath="&amp;search_path&amp;" /stypes=""app*"&amp;GTY28&amp;"*"&amp;TEXT(GUF28-utc_offset/24,"YYYYMMDD")&amp;"*"" /stext="" "&amp;TEXT(GUF28-utc_offset/24,"HH")&amp;search_regexp&amp;""""</f>
        <v>#REF!</v>
      </c>
      <c r="GVD28" s="234" t="e">
        <f>astrogrep_path&amp;" /e /r /s /spath="&amp;search_path&amp;" /stypes=""app*"&amp;GTZ28&amp;"*"&amp;TEXT(GUG28-utc_offset/24,"YYYYMMDD")&amp;"*"" /stext="" "&amp;TEXT(GUG28-utc_offset/24,"HH")&amp;search_regexp&amp;""""</f>
        <v>#REF!</v>
      </c>
      <c r="GVE28" s="234" t="e">
        <f>astrogrep_path&amp;" /e /r /s /spath="&amp;search_path&amp;" /stypes=""app*"&amp;GUA28&amp;"*"&amp;TEXT(GUH28-utc_offset/24,"YYYYMMDD")&amp;"*"" /stext="" "&amp;TEXT(GUH28-utc_offset/24,"HH")&amp;search_regexp&amp;""""</f>
        <v>#REF!</v>
      </c>
      <c r="GVF28" s="234" t="e">
        <f>astrogrep_path&amp;" /e /r /s /spath="&amp;search_path&amp;" /stypes=""app*"&amp;GUB28&amp;"*"&amp;TEXT(GUI28-utc_offset/24,"YYYYMMDD")&amp;"*"" /stext="" "&amp;TEXT(GUI28-utc_offset/24,"HH")&amp;search_regexp&amp;""""</f>
        <v>#REF!</v>
      </c>
      <c r="GVG28" s="234" t="e">
        <f>astrogrep_path&amp;" /e /r /s /spath="&amp;search_path&amp;" /stypes=""app*"&amp;GUC28&amp;"*"&amp;TEXT(GUJ28-utc_offset/24,"YYYYMMDD")&amp;"*"" /stext="" "&amp;TEXT(GUJ28-utc_offset/24,"HH")&amp;search_regexp&amp;""""</f>
        <v>#VALUE!</v>
      </c>
      <c r="GVH28" s="234" t="e">
        <f>astrogrep_path&amp;" /e /r /s /spath="&amp;search_path&amp;" /stypes=""app*"&amp;GUD28&amp;"*"&amp;TEXT(GUK28-utc_offset/24,"YYYYMMDD")&amp;"*"" /stext="" "&amp;TEXT(GUK28-utc_offset/24,"HH")&amp;search_regexp&amp;""""</f>
        <v>#VALUE!</v>
      </c>
      <c r="GVI28" s="234" t="e">
        <f>astrogrep_path&amp;" /e /r /s /spath="&amp;search_path&amp;" /stypes=""app*"&amp;GUE28&amp;"*"&amp;TEXT(GUL28-utc_offset/24,"YYYYMMDD")&amp;"*"" /stext="" "&amp;TEXT(GUL28-utc_offset/24,"HH")&amp;search_regexp&amp;""""</f>
        <v>#REF!</v>
      </c>
      <c r="GVJ28" s="234" t="e">
        <f>astrogrep_path&amp;" /e /r /s /spath="&amp;search_path&amp;" /stypes=""app*"&amp;GUF28&amp;"*"&amp;TEXT(GUM28-utc_offset/24,"YYYYMMDD")&amp;"*"" /stext="" "&amp;TEXT(GUM28-utc_offset/24,"HH")&amp;search_regexp&amp;""""</f>
        <v>#REF!</v>
      </c>
      <c r="GVK28" s="234" t="e">
        <f>astrogrep_path&amp;" /e /r /s /spath="&amp;search_path&amp;" /stypes=""app*"&amp;GUG28&amp;"*"&amp;TEXT(GUN28-utc_offset/24,"YYYYMMDD")&amp;"*"" /stext="" "&amp;TEXT(GUN28-utc_offset/24,"HH")&amp;search_regexp&amp;""""</f>
        <v>#VALUE!</v>
      </c>
      <c r="GVL28" s="234" t="e">
        <f>astrogrep_path&amp;" /e /r /s /spath="&amp;search_path&amp;" /stypes=""app*"&amp;GUH28&amp;"*"&amp;TEXT(GUO28-utc_offset/24,"YYYYMMDD")&amp;"*"" /stext="" "&amp;TEXT(GUO28-utc_offset/24,"HH")&amp;search_regexp&amp;""""</f>
        <v>#VALUE!</v>
      </c>
      <c r="GVM28" s="234" t="e">
        <f>astrogrep_path&amp;" /e /r /s /spath="&amp;search_path&amp;" /stypes=""app*"&amp;GUI28&amp;"*"&amp;TEXT(GUP28-utc_offset/24,"YYYYMMDD")&amp;"*"" /stext="" "&amp;TEXT(GUP28-utc_offset/24,"HH")&amp;search_regexp&amp;""""</f>
        <v>#VALUE!</v>
      </c>
      <c r="GVN28" s="234" t="e">
        <f>astrogrep_path&amp;" /e /r /s /spath="&amp;search_path&amp;" /stypes=""app*"&amp;GUJ28&amp;"*"&amp;TEXT(GUQ28-utc_offset/24,"YYYYMMDD")&amp;"*"" /stext="" "&amp;TEXT(GUQ28-utc_offset/24,"HH")&amp;search_regexp&amp;""""</f>
        <v>#VALUE!</v>
      </c>
      <c r="GVO28" s="234" t="e">
        <f>astrogrep_path&amp;" /e /r /s /spath="&amp;search_path&amp;" /stypes=""app*"&amp;GUK28&amp;"*"&amp;TEXT(GUR28-utc_offset/24,"YYYYMMDD")&amp;"*"" /stext="" "&amp;TEXT(GUR28-utc_offset/24,"HH")&amp;search_regexp&amp;""""</f>
        <v>#VALUE!</v>
      </c>
      <c r="GVP28" s="234" t="e">
        <f>astrogrep_path&amp;" /e /r /s /spath="&amp;search_path&amp;" /stypes=""app*"&amp;GUL28&amp;"*"&amp;TEXT(GUS28-utc_offset/24,"YYYYMMDD")&amp;"*"" /stext="" "&amp;TEXT(GUS28-utc_offset/24,"HH")&amp;search_regexp&amp;""""</f>
        <v>#REF!</v>
      </c>
      <c r="GVQ28" s="234" t="e">
        <f>astrogrep_path&amp;" /e /r /s /spath="&amp;search_path&amp;" /stypes=""app*"&amp;GUM28&amp;"*"&amp;TEXT(GUT28-utc_offset/24,"YYYYMMDD")&amp;"*"" /stext="" "&amp;TEXT(GUT28-utc_offset/24,"HH")&amp;search_regexp&amp;""""</f>
        <v>#REF!</v>
      </c>
      <c r="GVR28" s="234" t="e">
        <f>astrogrep_path&amp;" /e /r /s /spath="&amp;search_path&amp;" /stypes=""app*"&amp;GUN28&amp;"*"&amp;TEXT(GUU28-utc_offset/24,"YYYYMMDD")&amp;"*"" /stext="" "&amp;TEXT(GUU28-utc_offset/24,"HH")&amp;search_regexp&amp;""""</f>
        <v>#REF!</v>
      </c>
      <c r="GVS28" s="234" t="e">
        <f>astrogrep_path&amp;" /e /r /s /spath="&amp;search_path&amp;" /stypes=""app*"&amp;GUO28&amp;"*"&amp;TEXT(GUV28-utc_offset/24,"YYYYMMDD")&amp;"*"" /stext="" "&amp;TEXT(GUV28-utc_offset/24,"HH")&amp;search_regexp&amp;""""</f>
        <v>#REF!</v>
      </c>
      <c r="GVT28" s="234" t="e">
        <f>astrogrep_path&amp;" /e /r /s /spath="&amp;search_path&amp;" /stypes=""app*"&amp;GUP28&amp;"*"&amp;TEXT(GUW28-utc_offset/24,"YYYYMMDD")&amp;"*"" /stext="" "&amp;TEXT(GUW28-utc_offset/24,"HH")&amp;search_regexp&amp;""""</f>
        <v>#REF!</v>
      </c>
      <c r="GVU28" s="234" t="e">
        <f>astrogrep_path&amp;" /e /r /s /spath="&amp;search_path&amp;" /stypes=""app*"&amp;GUQ28&amp;"*"&amp;TEXT(GUX28-utc_offset/24,"YYYYMMDD")&amp;"*"" /stext="" "&amp;TEXT(GUX28-utc_offset/24,"HH")&amp;search_regexp&amp;""""</f>
        <v>#REF!</v>
      </c>
      <c r="GVV28" s="234" t="e">
        <f>astrogrep_path&amp;" /e /r /s /spath="&amp;search_path&amp;" /stypes=""app*"&amp;GUR28&amp;"*"&amp;TEXT(GUY28-utc_offset/24,"YYYYMMDD")&amp;"*"" /stext="" "&amp;TEXT(GUY28-utc_offset/24,"HH")&amp;search_regexp&amp;""""</f>
        <v>#REF!</v>
      </c>
      <c r="GVW28" s="234" t="e">
        <f>astrogrep_path&amp;" /e /r /s /spath="&amp;search_path&amp;" /stypes=""app*"&amp;GUS28&amp;"*"&amp;TEXT(GUZ28-utc_offset/24,"YYYYMMDD")&amp;"*"" /stext="" "&amp;TEXT(GUZ28-utc_offset/24,"HH")&amp;search_regexp&amp;""""</f>
        <v>#REF!</v>
      </c>
      <c r="GVX28" s="234" t="e">
        <f>astrogrep_path&amp;" /e /r /s /spath="&amp;search_path&amp;" /stypes=""app*"&amp;GUT28&amp;"*"&amp;TEXT(GVA28-utc_offset/24,"YYYYMMDD")&amp;"*"" /stext="" "&amp;TEXT(GVA28-utc_offset/24,"HH")&amp;search_regexp&amp;""""</f>
        <v>#REF!</v>
      </c>
      <c r="GVY28" s="234" t="e">
        <f>astrogrep_path&amp;" /e /r /s /spath="&amp;search_path&amp;" /stypes=""app*"&amp;GUU28&amp;"*"&amp;TEXT(GVB28-utc_offset/24,"YYYYMMDD")&amp;"*"" /stext="" "&amp;TEXT(GVB28-utc_offset/24,"HH")&amp;search_regexp&amp;""""</f>
        <v>#REF!</v>
      </c>
      <c r="GVZ28" s="234" t="e">
        <f>astrogrep_path&amp;" /e /r /s /spath="&amp;search_path&amp;" /stypes=""app*"&amp;GUV28&amp;"*"&amp;TEXT(GVC28-utc_offset/24,"YYYYMMDD")&amp;"*"" /stext="" "&amp;TEXT(GVC28-utc_offset/24,"HH")&amp;search_regexp&amp;""""</f>
        <v>#REF!</v>
      </c>
      <c r="GWA28" s="234" t="e">
        <f>astrogrep_path&amp;" /e /r /s /spath="&amp;search_path&amp;" /stypes=""app*"&amp;GUW28&amp;"*"&amp;TEXT(GVD28-utc_offset/24,"YYYYMMDD")&amp;"*"" /stext="" "&amp;TEXT(GVD28-utc_offset/24,"HH")&amp;search_regexp&amp;""""</f>
        <v>#REF!</v>
      </c>
      <c r="GWB28" s="234" t="e">
        <f>astrogrep_path&amp;" /e /r /s /spath="&amp;search_path&amp;" /stypes=""app*"&amp;GUX28&amp;"*"&amp;TEXT(GVE28-utc_offset/24,"YYYYMMDD")&amp;"*"" /stext="" "&amp;TEXT(GVE28-utc_offset/24,"HH")&amp;search_regexp&amp;""""</f>
        <v>#REF!</v>
      </c>
      <c r="GWC28" s="234" t="e">
        <f>astrogrep_path&amp;" /e /r /s /spath="&amp;search_path&amp;" /stypes=""app*"&amp;GUY28&amp;"*"&amp;TEXT(GVF28-utc_offset/24,"YYYYMMDD")&amp;"*"" /stext="" "&amp;TEXT(GVF28-utc_offset/24,"HH")&amp;search_regexp&amp;""""</f>
        <v>#REF!</v>
      </c>
      <c r="GWD28" s="234" t="e">
        <f>astrogrep_path&amp;" /e /r /s /spath="&amp;search_path&amp;" /stypes=""app*"&amp;GUZ28&amp;"*"&amp;TEXT(GVG28-utc_offset/24,"YYYYMMDD")&amp;"*"" /stext="" "&amp;TEXT(GVG28-utc_offset/24,"HH")&amp;search_regexp&amp;""""</f>
        <v>#REF!</v>
      </c>
      <c r="GWE28" s="234" t="e">
        <f>astrogrep_path&amp;" /e /r /s /spath="&amp;search_path&amp;" /stypes=""app*"&amp;GVA28&amp;"*"&amp;TEXT(GVH28-utc_offset/24,"YYYYMMDD")&amp;"*"" /stext="" "&amp;TEXT(GVH28-utc_offset/24,"HH")&amp;search_regexp&amp;""""</f>
        <v>#REF!</v>
      </c>
      <c r="GWF28" s="234" t="e">
        <f>astrogrep_path&amp;" /e /r /s /spath="&amp;search_path&amp;" /stypes=""app*"&amp;GVB28&amp;"*"&amp;TEXT(GVI28-utc_offset/24,"YYYYMMDD")&amp;"*"" /stext="" "&amp;TEXT(GVI28-utc_offset/24,"HH")&amp;search_regexp&amp;""""</f>
        <v>#REF!</v>
      </c>
      <c r="GWG28" s="234" t="e">
        <f>astrogrep_path&amp;" /e /r /s /spath="&amp;search_path&amp;" /stypes=""app*"&amp;GVC28&amp;"*"&amp;TEXT(GVJ28-utc_offset/24,"YYYYMMDD")&amp;"*"" /stext="" "&amp;TEXT(GVJ28-utc_offset/24,"HH")&amp;search_regexp&amp;""""</f>
        <v>#REF!</v>
      </c>
      <c r="GWH28" s="234" t="e">
        <f>astrogrep_path&amp;" /e /r /s /spath="&amp;search_path&amp;" /stypes=""app*"&amp;GVD28&amp;"*"&amp;TEXT(GVK28-utc_offset/24,"YYYYMMDD")&amp;"*"" /stext="" "&amp;TEXT(GVK28-utc_offset/24,"HH")&amp;search_regexp&amp;""""</f>
        <v>#REF!</v>
      </c>
      <c r="GWI28" s="234" t="e">
        <f>astrogrep_path&amp;" /e /r /s /spath="&amp;search_path&amp;" /stypes=""app*"&amp;GVE28&amp;"*"&amp;TEXT(GVL28-utc_offset/24,"YYYYMMDD")&amp;"*"" /stext="" "&amp;TEXT(GVL28-utc_offset/24,"HH")&amp;search_regexp&amp;""""</f>
        <v>#REF!</v>
      </c>
      <c r="GWJ28" s="234" t="e">
        <f>astrogrep_path&amp;" /e /r /s /spath="&amp;search_path&amp;" /stypes=""app*"&amp;GVF28&amp;"*"&amp;TEXT(GVM28-utc_offset/24,"YYYYMMDD")&amp;"*"" /stext="" "&amp;TEXT(GVM28-utc_offset/24,"HH")&amp;search_regexp&amp;""""</f>
        <v>#REF!</v>
      </c>
      <c r="GWK28" s="234" t="e">
        <f>astrogrep_path&amp;" /e /r /s /spath="&amp;search_path&amp;" /stypes=""app*"&amp;GVG28&amp;"*"&amp;TEXT(GVN28-utc_offset/24,"YYYYMMDD")&amp;"*"" /stext="" "&amp;TEXT(GVN28-utc_offset/24,"HH")&amp;search_regexp&amp;""""</f>
        <v>#VALUE!</v>
      </c>
      <c r="GWL28" s="234" t="e">
        <f>astrogrep_path&amp;" /e /r /s /spath="&amp;search_path&amp;" /stypes=""app*"&amp;GVH28&amp;"*"&amp;TEXT(GVO28-utc_offset/24,"YYYYMMDD")&amp;"*"" /stext="" "&amp;TEXT(GVO28-utc_offset/24,"HH")&amp;search_regexp&amp;""""</f>
        <v>#VALUE!</v>
      </c>
      <c r="GWM28" s="234" t="e">
        <f>astrogrep_path&amp;" /e /r /s /spath="&amp;search_path&amp;" /stypes=""app*"&amp;GVI28&amp;"*"&amp;TEXT(GVP28-utc_offset/24,"YYYYMMDD")&amp;"*"" /stext="" "&amp;TEXT(GVP28-utc_offset/24,"HH")&amp;search_regexp&amp;""""</f>
        <v>#REF!</v>
      </c>
      <c r="GWN28" s="234" t="e">
        <f>astrogrep_path&amp;" /e /r /s /spath="&amp;search_path&amp;" /stypes=""app*"&amp;GVJ28&amp;"*"&amp;TEXT(GVQ28-utc_offset/24,"YYYYMMDD")&amp;"*"" /stext="" "&amp;TEXT(GVQ28-utc_offset/24,"HH")&amp;search_regexp&amp;""""</f>
        <v>#REF!</v>
      </c>
      <c r="GWO28" s="234" t="e">
        <f>astrogrep_path&amp;" /e /r /s /spath="&amp;search_path&amp;" /stypes=""app*"&amp;GVK28&amp;"*"&amp;TEXT(GVR28-utc_offset/24,"YYYYMMDD")&amp;"*"" /stext="" "&amp;TEXT(GVR28-utc_offset/24,"HH")&amp;search_regexp&amp;""""</f>
        <v>#VALUE!</v>
      </c>
      <c r="GWP28" s="234" t="e">
        <f>astrogrep_path&amp;" /e /r /s /spath="&amp;search_path&amp;" /stypes=""app*"&amp;GVL28&amp;"*"&amp;TEXT(GVS28-utc_offset/24,"YYYYMMDD")&amp;"*"" /stext="" "&amp;TEXT(GVS28-utc_offset/24,"HH")&amp;search_regexp&amp;""""</f>
        <v>#VALUE!</v>
      </c>
      <c r="GWQ28" s="234" t="e">
        <f>astrogrep_path&amp;" /e /r /s /spath="&amp;search_path&amp;" /stypes=""app*"&amp;GVM28&amp;"*"&amp;TEXT(GVT28-utc_offset/24,"YYYYMMDD")&amp;"*"" /stext="" "&amp;TEXT(GVT28-utc_offset/24,"HH")&amp;search_regexp&amp;""""</f>
        <v>#VALUE!</v>
      </c>
      <c r="GWR28" s="234" t="e">
        <f>astrogrep_path&amp;" /e /r /s /spath="&amp;search_path&amp;" /stypes=""app*"&amp;GVN28&amp;"*"&amp;TEXT(GVU28-utc_offset/24,"YYYYMMDD")&amp;"*"" /stext="" "&amp;TEXT(GVU28-utc_offset/24,"HH")&amp;search_regexp&amp;""""</f>
        <v>#VALUE!</v>
      </c>
      <c r="GWS28" s="234" t="e">
        <f>astrogrep_path&amp;" /e /r /s /spath="&amp;search_path&amp;" /stypes=""app*"&amp;GVO28&amp;"*"&amp;TEXT(GVV28-utc_offset/24,"YYYYMMDD")&amp;"*"" /stext="" "&amp;TEXT(GVV28-utc_offset/24,"HH")&amp;search_regexp&amp;""""</f>
        <v>#VALUE!</v>
      </c>
      <c r="GWT28" s="234" t="e">
        <f>astrogrep_path&amp;" /e /r /s /spath="&amp;search_path&amp;" /stypes=""app*"&amp;GVP28&amp;"*"&amp;TEXT(GVW28-utc_offset/24,"YYYYMMDD")&amp;"*"" /stext="" "&amp;TEXT(GVW28-utc_offset/24,"HH")&amp;search_regexp&amp;""""</f>
        <v>#REF!</v>
      </c>
      <c r="GWU28" s="234" t="e">
        <f>astrogrep_path&amp;" /e /r /s /spath="&amp;search_path&amp;" /stypes=""app*"&amp;GVQ28&amp;"*"&amp;TEXT(GVX28-utc_offset/24,"YYYYMMDD")&amp;"*"" /stext="" "&amp;TEXT(GVX28-utc_offset/24,"HH")&amp;search_regexp&amp;""""</f>
        <v>#REF!</v>
      </c>
      <c r="GWV28" s="234" t="e">
        <f>astrogrep_path&amp;" /e /r /s /spath="&amp;search_path&amp;" /stypes=""app*"&amp;GVR28&amp;"*"&amp;TEXT(GVY28-utc_offset/24,"YYYYMMDD")&amp;"*"" /stext="" "&amp;TEXT(GVY28-utc_offset/24,"HH")&amp;search_regexp&amp;""""</f>
        <v>#REF!</v>
      </c>
      <c r="GWW28" s="234" t="e">
        <f>astrogrep_path&amp;" /e /r /s /spath="&amp;search_path&amp;" /stypes=""app*"&amp;GVS28&amp;"*"&amp;TEXT(GVZ28-utc_offset/24,"YYYYMMDD")&amp;"*"" /stext="" "&amp;TEXT(GVZ28-utc_offset/24,"HH")&amp;search_regexp&amp;""""</f>
        <v>#REF!</v>
      </c>
      <c r="GWX28" s="234" t="e">
        <f>astrogrep_path&amp;" /e /r /s /spath="&amp;search_path&amp;" /stypes=""app*"&amp;GVT28&amp;"*"&amp;TEXT(GWA28-utc_offset/24,"YYYYMMDD")&amp;"*"" /stext="" "&amp;TEXT(GWA28-utc_offset/24,"HH")&amp;search_regexp&amp;""""</f>
        <v>#REF!</v>
      </c>
      <c r="GWY28" s="234" t="e">
        <f>astrogrep_path&amp;" /e /r /s /spath="&amp;search_path&amp;" /stypes=""app*"&amp;GVU28&amp;"*"&amp;TEXT(GWB28-utc_offset/24,"YYYYMMDD")&amp;"*"" /stext="" "&amp;TEXT(GWB28-utc_offset/24,"HH")&amp;search_regexp&amp;""""</f>
        <v>#REF!</v>
      </c>
      <c r="GWZ28" s="234" t="e">
        <f>astrogrep_path&amp;" /e /r /s /spath="&amp;search_path&amp;" /stypes=""app*"&amp;GVV28&amp;"*"&amp;TEXT(GWC28-utc_offset/24,"YYYYMMDD")&amp;"*"" /stext="" "&amp;TEXT(GWC28-utc_offset/24,"HH")&amp;search_regexp&amp;""""</f>
        <v>#REF!</v>
      </c>
      <c r="GXA28" s="234" t="e">
        <f>astrogrep_path&amp;" /e /r /s /spath="&amp;search_path&amp;" /stypes=""app*"&amp;GVW28&amp;"*"&amp;TEXT(GWD28-utc_offset/24,"YYYYMMDD")&amp;"*"" /stext="" "&amp;TEXT(GWD28-utc_offset/24,"HH")&amp;search_regexp&amp;""""</f>
        <v>#REF!</v>
      </c>
      <c r="GXB28" s="234" t="e">
        <f>astrogrep_path&amp;" /e /r /s /spath="&amp;search_path&amp;" /stypes=""app*"&amp;GVX28&amp;"*"&amp;TEXT(GWE28-utc_offset/24,"YYYYMMDD")&amp;"*"" /stext="" "&amp;TEXT(GWE28-utc_offset/24,"HH")&amp;search_regexp&amp;""""</f>
        <v>#REF!</v>
      </c>
      <c r="GXC28" s="234" t="e">
        <f>astrogrep_path&amp;" /e /r /s /spath="&amp;search_path&amp;" /stypes=""app*"&amp;GVY28&amp;"*"&amp;TEXT(GWF28-utc_offset/24,"YYYYMMDD")&amp;"*"" /stext="" "&amp;TEXT(GWF28-utc_offset/24,"HH")&amp;search_regexp&amp;""""</f>
        <v>#REF!</v>
      </c>
      <c r="GXD28" s="234" t="e">
        <f>astrogrep_path&amp;" /e /r /s /spath="&amp;search_path&amp;" /stypes=""app*"&amp;GVZ28&amp;"*"&amp;TEXT(GWG28-utc_offset/24,"YYYYMMDD")&amp;"*"" /stext="" "&amp;TEXT(GWG28-utc_offset/24,"HH")&amp;search_regexp&amp;""""</f>
        <v>#REF!</v>
      </c>
      <c r="GXE28" s="234" t="e">
        <f>astrogrep_path&amp;" /e /r /s /spath="&amp;search_path&amp;" /stypes=""app*"&amp;GWA28&amp;"*"&amp;TEXT(GWH28-utc_offset/24,"YYYYMMDD")&amp;"*"" /stext="" "&amp;TEXT(GWH28-utc_offset/24,"HH")&amp;search_regexp&amp;""""</f>
        <v>#REF!</v>
      </c>
      <c r="GXF28" s="234" t="e">
        <f>astrogrep_path&amp;" /e /r /s /spath="&amp;search_path&amp;" /stypes=""app*"&amp;GWB28&amp;"*"&amp;TEXT(GWI28-utc_offset/24,"YYYYMMDD")&amp;"*"" /stext="" "&amp;TEXT(GWI28-utc_offset/24,"HH")&amp;search_regexp&amp;""""</f>
        <v>#REF!</v>
      </c>
      <c r="GXG28" s="234" t="e">
        <f>astrogrep_path&amp;" /e /r /s /spath="&amp;search_path&amp;" /stypes=""app*"&amp;GWC28&amp;"*"&amp;TEXT(GWJ28-utc_offset/24,"YYYYMMDD")&amp;"*"" /stext="" "&amp;TEXT(GWJ28-utc_offset/24,"HH")&amp;search_regexp&amp;""""</f>
        <v>#REF!</v>
      </c>
      <c r="GXH28" s="234" t="e">
        <f>astrogrep_path&amp;" /e /r /s /spath="&amp;search_path&amp;" /stypes=""app*"&amp;GWD28&amp;"*"&amp;TEXT(GWK28-utc_offset/24,"YYYYMMDD")&amp;"*"" /stext="" "&amp;TEXT(GWK28-utc_offset/24,"HH")&amp;search_regexp&amp;""""</f>
        <v>#REF!</v>
      </c>
      <c r="GXI28" s="234" t="e">
        <f>astrogrep_path&amp;" /e /r /s /spath="&amp;search_path&amp;" /stypes=""app*"&amp;GWE28&amp;"*"&amp;TEXT(GWL28-utc_offset/24,"YYYYMMDD")&amp;"*"" /stext="" "&amp;TEXT(GWL28-utc_offset/24,"HH")&amp;search_regexp&amp;""""</f>
        <v>#REF!</v>
      </c>
      <c r="GXJ28" s="234" t="e">
        <f>astrogrep_path&amp;" /e /r /s /spath="&amp;search_path&amp;" /stypes=""app*"&amp;GWF28&amp;"*"&amp;TEXT(GWM28-utc_offset/24,"YYYYMMDD")&amp;"*"" /stext="" "&amp;TEXT(GWM28-utc_offset/24,"HH")&amp;search_regexp&amp;""""</f>
        <v>#REF!</v>
      </c>
      <c r="GXK28" s="234" t="e">
        <f>astrogrep_path&amp;" /e /r /s /spath="&amp;search_path&amp;" /stypes=""app*"&amp;GWG28&amp;"*"&amp;TEXT(GWN28-utc_offset/24,"YYYYMMDD")&amp;"*"" /stext="" "&amp;TEXT(GWN28-utc_offset/24,"HH")&amp;search_regexp&amp;""""</f>
        <v>#REF!</v>
      </c>
      <c r="GXL28" s="234" t="e">
        <f>astrogrep_path&amp;" /e /r /s /spath="&amp;search_path&amp;" /stypes=""app*"&amp;GWH28&amp;"*"&amp;TEXT(GWO28-utc_offset/24,"YYYYMMDD")&amp;"*"" /stext="" "&amp;TEXT(GWO28-utc_offset/24,"HH")&amp;search_regexp&amp;""""</f>
        <v>#REF!</v>
      </c>
      <c r="GXM28" s="234" t="e">
        <f>astrogrep_path&amp;" /e /r /s /spath="&amp;search_path&amp;" /stypes=""app*"&amp;GWI28&amp;"*"&amp;TEXT(GWP28-utc_offset/24,"YYYYMMDD")&amp;"*"" /stext="" "&amp;TEXT(GWP28-utc_offset/24,"HH")&amp;search_regexp&amp;""""</f>
        <v>#REF!</v>
      </c>
      <c r="GXN28" s="234" t="e">
        <f>astrogrep_path&amp;" /e /r /s /spath="&amp;search_path&amp;" /stypes=""app*"&amp;GWJ28&amp;"*"&amp;TEXT(GWQ28-utc_offset/24,"YYYYMMDD")&amp;"*"" /stext="" "&amp;TEXT(GWQ28-utc_offset/24,"HH")&amp;search_regexp&amp;""""</f>
        <v>#REF!</v>
      </c>
      <c r="GXO28" s="234" t="e">
        <f>astrogrep_path&amp;" /e /r /s /spath="&amp;search_path&amp;" /stypes=""app*"&amp;GWK28&amp;"*"&amp;TEXT(GWR28-utc_offset/24,"YYYYMMDD")&amp;"*"" /stext="" "&amp;TEXT(GWR28-utc_offset/24,"HH")&amp;search_regexp&amp;""""</f>
        <v>#VALUE!</v>
      </c>
      <c r="GXP28" s="234" t="e">
        <f>astrogrep_path&amp;" /e /r /s /spath="&amp;search_path&amp;" /stypes=""app*"&amp;GWL28&amp;"*"&amp;TEXT(GWS28-utc_offset/24,"YYYYMMDD")&amp;"*"" /stext="" "&amp;TEXT(GWS28-utc_offset/24,"HH")&amp;search_regexp&amp;""""</f>
        <v>#VALUE!</v>
      </c>
      <c r="GXQ28" s="234" t="e">
        <f>astrogrep_path&amp;" /e /r /s /spath="&amp;search_path&amp;" /stypes=""app*"&amp;GWM28&amp;"*"&amp;TEXT(GWT28-utc_offset/24,"YYYYMMDD")&amp;"*"" /stext="" "&amp;TEXT(GWT28-utc_offset/24,"HH")&amp;search_regexp&amp;""""</f>
        <v>#REF!</v>
      </c>
      <c r="GXR28" s="234" t="e">
        <f>astrogrep_path&amp;" /e /r /s /spath="&amp;search_path&amp;" /stypes=""app*"&amp;GWN28&amp;"*"&amp;TEXT(GWU28-utc_offset/24,"YYYYMMDD")&amp;"*"" /stext="" "&amp;TEXT(GWU28-utc_offset/24,"HH")&amp;search_regexp&amp;""""</f>
        <v>#REF!</v>
      </c>
      <c r="GXS28" s="234" t="e">
        <f>astrogrep_path&amp;" /e /r /s /spath="&amp;search_path&amp;" /stypes=""app*"&amp;GWO28&amp;"*"&amp;TEXT(GWV28-utc_offset/24,"YYYYMMDD")&amp;"*"" /stext="" "&amp;TEXT(GWV28-utc_offset/24,"HH")&amp;search_regexp&amp;""""</f>
        <v>#VALUE!</v>
      </c>
      <c r="GXT28" s="234" t="e">
        <f>astrogrep_path&amp;" /e /r /s /spath="&amp;search_path&amp;" /stypes=""app*"&amp;GWP28&amp;"*"&amp;TEXT(GWW28-utc_offset/24,"YYYYMMDD")&amp;"*"" /stext="" "&amp;TEXT(GWW28-utc_offset/24,"HH")&amp;search_regexp&amp;""""</f>
        <v>#VALUE!</v>
      </c>
      <c r="GXU28" s="234" t="e">
        <f>astrogrep_path&amp;" /e /r /s /spath="&amp;search_path&amp;" /stypes=""app*"&amp;GWQ28&amp;"*"&amp;TEXT(GWX28-utc_offset/24,"YYYYMMDD")&amp;"*"" /stext="" "&amp;TEXT(GWX28-utc_offset/24,"HH")&amp;search_regexp&amp;""""</f>
        <v>#VALUE!</v>
      </c>
      <c r="GXV28" s="234" t="e">
        <f>astrogrep_path&amp;" /e /r /s /spath="&amp;search_path&amp;" /stypes=""app*"&amp;GWR28&amp;"*"&amp;TEXT(GWY28-utc_offset/24,"YYYYMMDD")&amp;"*"" /stext="" "&amp;TEXT(GWY28-utc_offset/24,"HH")&amp;search_regexp&amp;""""</f>
        <v>#VALUE!</v>
      </c>
      <c r="GXW28" s="234" t="e">
        <f>astrogrep_path&amp;" /e /r /s /spath="&amp;search_path&amp;" /stypes=""app*"&amp;GWS28&amp;"*"&amp;TEXT(GWZ28-utc_offset/24,"YYYYMMDD")&amp;"*"" /stext="" "&amp;TEXT(GWZ28-utc_offset/24,"HH")&amp;search_regexp&amp;""""</f>
        <v>#VALUE!</v>
      </c>
      <c r="GXX28" s="234" t="e">
        <f>astrogrep_path&amp;" /e /r /s /spath="&amp;search_path&amp;" /stypes=""app*"&amp;GWT28&amp;"*"&amp;TEXT(GXA28-utc_offset/24,"YYYYMMDD")&amp;"*"" /stext="" "&amp;TEXT(GXA28-utc_offset/24,"HH")&amp;search_regexp&amp;""""</f>
        <v>#REF!</v>
      </c>
      <c r="GXY28" s="234" t="e">
        <f>astrogrep_path&amp;" /e /r /s /spath="&amp;search_path&amp;" /stypes=""app*"&amp;GWU28&amp;"*"&amp;TEXT(GXB28-utc_offset/24,"YYYYMMDD")&amp;"*"" /stext="" "&amp;TEXT(GXB28-utc_offset/24,"HH")&amp;search_regexp&amp;""""</f>
        <v>#REF!</v>
      </c>
      <c r="GXZ28" s="234" t="e">
        <f>astrogrep_path&amp;" /e /r /s /spath="&amp;search_path&amp;" /stypes=""app*"&amp;GWV28&amp;"*"&amp;TEXT(GXC28-utc_offset/24,"YYYYMMDD")&amp;"*"" /stext="" "&amp;TEXT(GXC28-utc_offset/24,"HH")&amp;search_regexp&amp;""""</f>
        <v>#REF!</v>
      </c>
      <c r="GYA28" s="234" t="e">
        <f>astrogrep_path&amp;" /e /r /s /spath="&amp;search_path&amp;" /stypes=""app*"&amp;GWW28&amp;"*"&amp;TEXT(GXD28-utc_offset/24,"YYYYMMDD")&amp;"*"" /stext="" "&amp;TEXT(GXD28-utc_offset/24,"HH")&amp;search_regexp&amp;""""</f>
        <v>#REF!</v>
      </c>
      <c r="GYB28" s="234" t="e">
        <f>astrogrep_path&amp;" /e /r /s /spath="&amp;search_path&amp;" /stypes=""app*"&amp;GWX28&amp;"*"&amp;TEXT(GXE28-utc_offset/24,"YYYYMMDD")&amp;"*"" /stext="" "&amp;TEXT(GXE28-utc_offset/24,"HH")&amp;search_regexp&amp;""""</f>
        <v>#REF!</v>
      </c>
      <c r="GYC28" s="234" t="e">
        <f>astrogrep_path&amp;" /e /r /s /spath="&amp;search_path&amp;" /stypes=""app*"&amp;GWY28&amp;"*"&amp;TEXT(GXF28-utc_offset/24,"YYYYMMDD")&amp;"*"" /stext="" "&amp;TEXT(GXF28-utc_offset/24,"HH")&amp;search_regexp&amp;""""</f>
        <v>#REF!</v>
      </c>
      <c r="GYD28" s="234" t="e">
        <f>astrogrep_path&amp;" /e /r /s /spath="&amp;search_path&amp;" /stypes=""app*"&amp;GWZ28&amp;"*"&amp;TEXT(GXG28-utc_offset/24,"YYYYMMDD")&amp;"*"" /stext="" "&amp;TEXT(GXG28-utc_offset/24,"HH")&amp;search_regexp&amp;""""</f>
        <v>#REF!</v>
      </c>
      <c r="GYE28" s="234" t="e">
        <f>astrogrep_path&amp;" /e /r /s /spath="&amp;search_path&amp;" /stypes=""app*"&amp;GXA28&amp;"*"&amp;TEXT(GXH28-utc_offset/24,"YYYYMMDD")&amp;"*"" /stext="" "&amp;TEXT(GXH28-utc_offset/24,"HH")&amp;search_regexp&amp;""""</f>
        <v>#REF!</v>
      </c>
      <c r="GYF28" s="234" t="e">
        <f>astrogrep_path&amp;" /e /r /s /spath="&amp;search_path&amp;" /stypes=""app*"&amp;GXB28&amp;"*"&amp;TEXT(GXI28-utc_offset/24,"YYYYMMDD")&amp;"*"" /stext="" "&amp;TEXT(GXI28-utc_offset/24,"HH")&amp;search_regexp&amp;""""</f>
        <v>#REF!</v>
      </c>
      <c r="GYG28" s="234" t="e">
        <f>astrogrep_path&amp;" /e /r /s /spath="&amp;search_path&amp;" /stypes=""app*"&amp;GXC28&amp;"*"&amp;TEXT(GXJ28-utc_offset/24,"YYYYMMDD")&amp;"*"" /stext="" "&amp;TEXT(GXJ28-utc_offset/24,"HH")&amp;search_regexp&amp;""""</f>
        <v>#REF!</v>
      </c>
      <c r="GYH28" s="234" t="e">
        <f>astrogrep_path&amp;" /e /r /s /spath="&amp;search_path&amp;" /stypes=""app*"&amp;GXD28&amp;"*"&amp;TEXT(GXK28-utc_offset/24,"YYYYMMDD")&amp;"*"" /stext="" "&amp;TEXT(GXK28-utc_offset/24,"HH")&amp;search_regexp&amp;""""</f>
        <v>#REF!</v>
      </c>
      <c r="GYI28" s="234" t="e">
        <f>astrogrep_path&amp;" /e /r /s /spath="&amp;search_path&amp;" /stypes=""app*"&amp;GXE28&amp;"*"&amp;TEXT(GXL28-utc_offset/24,"YYYYMMDD")&amp;"*"" /stext="" "&amp;TEXT(GXL28-utc_offset/24,"HH")&amp;search_regexp&amp;""""</f>
        <v>#REF!</v>
      </c>
      <c r="GYJ28" s="234" t="e">
        <f>astrogrep_path&amp;" /e /r /s /spath="&amp;search_path&amp;" /stypes=""app*"&amp;GXF28&amp;"*"&amp;TEXT(GXM28-utc_offset/24,"YYYYMMDD")&amp;"*"" /stext="" "&amp;TEXT(GXM28-utc_offset/24,"HH")&amp;search_regexp&amp;""""</f>
        <v>#REF!</v>
      </c>
      <c r="GYK28" s="234" t="e">
        <f>astrogrep_path&amp;" /e /r /s /spath="&amp;search_path&amp;" /stypes=""app*"&amp;GXG28&amp;"*"&amp;TEXT(GXN28-utc_offset/24,"YYYYMMDD")&amp;"*"" /stext="" "&amp;TEXT(GXN28-utc_offset/24,"HH")&amp;search_regexp&amp;""""</f>
        <v>#REF!</v>
      </c>
      <c r="GYL28" s="234" t="e">
        <f>astrogrep_path&amp;" /e /r /s /spath="&amp;search_path&amp;" /stypes=""app*"&amp;GXH28&amp;"*"&amp;TEXT(GXO28-utc_offset/24,"YYYYMMDD")&amp;"*"" /stext="" "&amp;TEXT(GXO28-utc_offset/24,"HH")&amp;search_regexp&amp;""""</f>
        <v>#REF!</v>
      </c>
      <c r="GYM28" s="234" t="e">
        <f>astrogrep_path&amp;" /e /r /s /spath="&amp;search_path&amp;" /stypes=""app*"&amp;GXI28&amp;"*"&amp;TEXT(GXP28-utc_offset/24,"YYYYMMDD")&amp;"*"" /stext="" "&amp;TEXT(GXP28-utc_offset/24,"HH")&amp;search_regexp&amp;""""</f>
        <v>#REF!</v>
      </c>
      <c r="GYN28" s="234" t="e">
        <f>astrogrep_path&amp;" /e /r /s /spath="&amp;search_path&amp;" /stypes=""app*"&amp;GXJ28&amp;"*"&amp;TEXT(GXQ28-utc_offset/24,"YYYYMMDD")&amp;"*"" /stext="" "&amp;TEXT(GXQ28-utc_offset/24,"HH")&amp;search_regexp&amp;""""</f>
        <v>#REF!</v>
      </c>
      <c r="GYO28" s="234" t="e">
        <f>astrogrep_path&amp;" /e /r /s /spath="&amp;search_path&amp;" /stypes=""app*"&amp;GXK28&amp;"*"&amp;TEXT(GXR28-utc_offset/24,"YYYYMMDD")&amp;"*"" /stext="" "&amp;TEXT(GXR28-utc_offset/24,"HH")&amp;search_regexp&amp;""""</f>
        <v>#REF!</v>
      </c>
      <c r="GYP28" s="234" t="e">
        <f>astrogrep_path&amp;" /e /r /s /spath="&amp;search_path&amp;" /stypes=""app*"&amp;GXL28&amp;"*"&amp;TEXT(GXS28-utc_offset/24,"YYYYMMDD")&amp;"*"" /stext="" "&amp;TEXT(GXS28-utc_offset/24,"HH")&amp;search_regexp&amp;""""</f>
        <v>#REF!</v>
      </c>
      <c r="GYQ28" s="234" t="e">
        <f>astrogrep_path&amp;" /e /r /s /spath="&amp;search_path&amp;" /stypes=""app*"&amp;GXM28&amp;"*"&amp;TEXT(GXT28-utc_offset/24,"YYYYMMDD")&amp;"*"" /stext="" "&amp;TEXT(GXT28-utc_offset/24,"HH")&amp;search_regexp&amp;""""</f>
        <v>#REF!</v>
      </c>
      <c r="GYR28" s="234" t="e">
        <f>astrogrep_path&amp;" /e /r /s /spath="&amp;search_path&amp;" /stypes=""app*"&amp;GXN28&amp;"*"&amp;TEXT(GXU28-utc_offset/24,"YYYYMMDD")&amp;"*"" /stext="" "&amp;TEXT(GXU28-utc_offset/24,"HH")&amp;search_regexp&amp;""""</f>
        <v>#REF!</v>
      </c>
      <c r="GYS28" s="234" t="e">
        <f>astrogrep_path&amp;" /e /r /s /spath="&amp;search_path&amp;" /stypes=""app*"&amp;GXO28&amp;"*"&amp;TEXT(GXV28-utc_offset/24,"YYYYMMDD")&amp;"*"" /stext="" "&amp;TEXT(GXV28-utc_offset/24,"HH")&amp;search_regexp&amp;""""</f>
        <v>#VALUE!</v>
      </c>
      <c r="GYT28" s="234" t="e">
        <f>astrogrep_path&amp;" /e /r /s /spath="&amp;search_path&amp;" /stypes=""app*"&amp;GXP28&amp;"*"&amp;TEXT(GXW28-utc_offset/24,"YYYYMMDD")&amp;"*"" /stext="" "&amp;TEXT(GXW28-utc_offset/24,"HH")&amp;search_regexp&amp;""""</f>
        <v>#VALUE!</v>
      </c>
      <c r="GYU28" s="234" t="e">
        <f>astrogrep_path&amp;" /e /r /s /spath="&amp;search_path&amp;" /stypes=""app*"&amp;GXQ28&amp;"*"&amp;TEXT(GXX28-utc_offset/24,"YYYYMMDD")&amp;"*"" /stext="" "&amp;TEXT(GXX28-utc_offset/24,"HH")&amp;search_regexp&amp;""""</f>
        <v>#REF!</v>
      </c>
      <c r="GYV28" s="234" t="e">
        <f>astrogrep_path&amp;" /e /r /s /spath="&amp;search_path&amp;" /stypes=""app*"&amp;GXR28&amp;"*"&amp;TEXT(GXY28-utc_offset/24,"YYYYMMDD")&amp;"*"" /stext="" "&amp;TEXT(GXY28-utc_offset/24,"HH")&amp;search_regexp&amp;""""</f>
        <v>#REF!</v>
      </c>
      <c r="GYW28" s="234" t="e">
        <f>astrogrep_path&amp;" /e /r /s /spath="&amp;search_path&amp;" /stypes=""app*"&amp;GXS28&amp;"*"&amp;TEXT(GXZ28-utc_offset/24,"YYYYMMDD")&amp;"*"" /stext="" "&amp;TEXT(GXZ28-utc_offset/24,"HH")&amp;search_regexp&amp;""""</f>
        <v>#VALUE!</v>
      </c>
      <c r="GYX28" s="234" t="e">
        <f>astrogrep_path&amp;" /e /r /s /spath="&amp;search_path&amp;" /stypes=""app*"&amp;GXT28&amp;"*"&amp;TEXT(GYA28-utc_offset/24,"YYYYMMDD")&amp;"*"" /stext="" "&amp;TEXT(GYA28-utc_offset/24,"HH")&amp;search_regexp&amp;""""</f>
        <v>#VALUE!</v>
      </c>
      <c r="GYY28" s="234" t="e">
        <f>astrogrep_path&amp;" /e /r /s /spath="&amp;search_path&amp;" /stypes=""app*"&amp;GXU28&amp;"*"&amp;TEXT(GYB28-utc_offset/24,"YYYYMMDD")&amp;"*"" /stext="" "&amp;TEXT(GYB28-utc_offset/24,"HH")&amp;search_regexp&amp;""""</f>
        <v>#VALUE!</v>
      </c>
      <c r="GYZ28" s="234" t="e">
        <f>astrogrep_path&amp;" /e /r /s /spath="&amp;search_path&amp;" /stypes=""app*"&amp;GXV28&amp;"*"&amp;TEXT(GYC28-utc_offset/24,"YYYYMMDD")&amp;"*"" /stext="" "&amp;TEXT(GYC28-utc_offset/24,"HH")&amp;search_regexp&amp;""""</f>
        <v>#VALUE!</v>
      </c>
      <c r="GZA28" s="234" t="e">
        <f>astrogrep_path&amp;" /e /r /s /spath="&amp;search_path&amp;" /stypes=""app*"&amp;GXW28&amp;"*"&amp;TEXT(GYD28-utc_offset/24,"YYYYMMDD")&amp;"*"" /stext="" "&amp;TEXT(GYD28-utc_offset/24,"HH")&amp;search_regexp&amp;""""</f>
        <v>#VALUE!</v>
      </c>
      <c r="GZB28" s="234" t="e">
        <f>astrogrep_path&amp;" /e /r /s /spath="&amp;search_path&amp;" /stypes=""app*"&amp;GXX28&amp;"*"&amp;TEXT(GYE28-utc_offset/24,"YYYYMMDD")&amp;"*"" /stext="" "&amp;TEXT(GYE28-utc_offset/24,"HH")&amp;search_regexp&amp;""""</f>
        <v>#REF!</v>
      </c>
      <c r="GZC28" s="234" t="e">
        <f>astrogrep_path&amp;" /e /r /s /spath="&amp;search_path&amp;" /stypes=""app*"&amp;GXY28&amp;"*"&amp;TEXT(GYF28-utc_offset/24,"YYYYMMDD")&amp;"*"" /stext="" "&amp;TEXT(GYF28-utc_offset/24,"HH")&amp;search_regexp&amp;""""</f>
        <v>#REF!</v>
      </c>
      <c r="GZD28" s="234" t="e">
        <f>astrogrep_path&amp;" /e /r /s /spath="&amp;search_path&amp;" /stypes=""app*"&amp;GXZ28&amp;"*"&amp;TEXT(GYG28-utc_offset/24,"YYYYMMDD")&amp;"*"" /stext="" "&amp;TEXT(GYG28-utc_offset/24,"HH")&amp;search_regexp&amp;""""</f>
        <v>#REF!</v>
      </c>
      <c r="GZE28" s="234" t="e">
        <f>astrogrep_path&amp;" /e /r /s /spath="&amp;search_path&amp;" /stypes=""app*"&amp;GYA28&amp;"*"&amp;TEXT(GYH28-utc_offset/24,"YYYYMMDD")&amp;"*"" /stext="" "&amp;TEXT(GYH28-utc_offset/24,"HH")&amp;search_regexp&amp;""""</f>
        <v>#REF!</v>
      </c>
      <c r="GZF28" s="234" t="e">
        <f>astrogrep_path&amp;" /e /r /s /spath="&amp;search_path&amp;" /stypes=""app*"&amp;GYB28&amp;"*"&amp;TEXT(GYI28-utc_offset/24,"YYYYMMDD")&amp;"*"" /stext="" "&amp;TEXT(GYI28-utc_offset/24,"HH")&amp;search_regexp&amp;""""</f>
        <v>#REF!</v>
      </c>
      <c r="GZG28" s="234" t="e">
        <f>astrogrep_path&amp;" /e /r /s /spath="&amp;search_path&amp;" /stypes=""app*"&amp;GYC28&amp;"*"&amp;TEXT(GYJ28-utc_offset/24,"YYYYMMDD")&amp;"*"" /stext="" "&amp;TEXT(GYJ28-utc_offset/24,"HH")&amp;search_regexp&amp;""""</f>
        <v>#REF!</v>
      </c>
      <c r="GZH28" s="234" t="e">
        <f>astrogrep_path&amp;" /e /r /s /spath="&amp;search_path&amp;" /stypes=""app*"&amp;GYD28&amp;"*"&amp;TEXT(GYK28-utc_offset/24,"YYYYMMDD")&amp;"*"" /stext="" "&amp;TEXT(GYK28-utc_offset/24,"HH")&amp;search_regexp&amp;""""</f>
        <v>#REF!</v>
      </c>
      <c r="GZI28" s="234" t="e">
        <f>astrogrep_path&amp;" /e /r /s /spath="&amp;search_path&amp;" /stypes=""app*"&amp;GYE28&amp;"*"&amp;TEXT(GYL28-utc_offset/24,"YYYYMMDD")&amp;"*"" /stext="" "&amp;TEXT(GYL28-utc_offset/24,"HH")&amp;search_regexp&amp;""""</f>
        <v>#REF!</v>
      </c>
      <c r="GZJ28" s="234" t="e">
        <f>astrogrep_path&amp;" /e /r /s /spath="&amp;search_path&amp;" /stypes=""app*"&amp;GYF28&amp;"*"&amp;TEXT(GYM28-utc_offset/24,"YYYYMMDD")&amp;"*"" /stext="" "&amp;TEXT(GYM28-utc_offset/24,"HH")&amp;search_regexp&amp;""""</f>
        <v>#REF!</v>
      </c>
      <c r="GZK28" s="234" t="e">
        <f>astrogrep_path&amp;" /e /r /s /spath="&amp;search_path&amp;" /stypes=""app*"&amp;GYG28&amp;"*"&amp;TEXT(GYN28-utc_offset/24,"YYYYMMDD")&amp;"*"" /stext="" "&amp;TEXT(GYN28-utc_offset/24,"HH")&amp;search_regexp&amp;""""</f>
        <v>#REF!</v>
      </c>
      <c r="GZL28" s="234" t="e">
        <f>astrogrep_path&amp;" /e /r /s /spath="&amp;search_path&amp;" /stypes=""app*"&amp;GYH28&amp;"*"&amp;TEXT(GYO28-utc_offset/24,"YYYYMMDD")&amp;"*"" /stext="" "&amp;TEXT(GYO28-utc_offset/24,"HH")&amp;search_regexp&amp;""""</f>
        <v>#REF!</v>
      </c>
      <c r="GZM28" s="234" t="e">
        <f>astrogrep_path&amp;" /e /r /s /spath="&amp;search_path&amp;" /stypes=""app*"&amp;GYI28&amp;"*"&amp;TEXT(GYP28-utc_offset/24,"YYYYMMDD")&amp;"*"" /stext="" "&amp;TEXT(GYP28-utc_offset/24,"HH")&amp;search_regexp&amp;""""</f>
        <v>#REF!</v>
      </c>
      <c r="GZN28" s="234" t="e">
        <f>astrogrep_path&amp;" /e /r /s /spath="&amp;search_path&amp;" /stypes=""app*"&amp;GYJ28&amp;"*"&amp;TEXT(GYQ28-utc_offset/24,"YYYYMMDD")&amp;"*"" /stext="" "&amp;TEXT(GYQ28-utc_offset/24,"HH")&amp;search_regexp&amp;""""</f>
        <v>#REF!</v>
      </c>
      <c r="GZO28" s="234" t="e">
        <f>astrogrep_path&amp;" /e /r /s /spath="&amp;search_path&amp;" /stypes=""app*"&amp;GYK28&amp;"*"&amp;TEXT(GYR28-utc_offset/24,"YYYYMMDD")&amp;"*"" /stext="" "&amp;TEXT(GYR28-utc_offset/24,"HH")&amp;search_regexp&amp;""""</f>
        <v>#REF!</v>
      </c>
      <c r="GZP28" s="234" t="e">
        <f>astrogrep_path&amp;" /e /r /s /spath="&amp;search_path&amp;" /stypes=""app*"&amp;GYL28&amp;"*"&amp;TEXT(GYS28-utc_offset/24,"YYYYMMDD")&amp;"*"" /stext="" "&amp;TEXT(GYS28-utc_offset/24,"HH")&amp;search_regexp&amp;""""</f>
        <v>#REF!</v>
      </c>
      <c r="GZQ28" s="234" t="e">
        <f>astrogrep_path&amp;" /e /r /s /spath="&amp;search_path&amp;" /stypes=""app*"&amp;GYM28&amp;"*"&amp;TEXT(GYT28-utc_offset/24,"YYYYMMDD")&amp;"*"" /stext="" "&amp;TEXT(GYT28-utc_offset/24,"HH")&amp;search_regexp&amp;""""</f>
        <v>#REF!</v>
      </c>
      <c r="GZR28" s="234" t="e">
        <f>astrogrep_path&amp;" /e /r /s /spath="&amp;search_path&amp;" /stypes=""app*"&amp;GYN28&amp;"*"&amp;TEXT(GYU28-utc_offset/24,"YYYYMMDD")&amp;"*"" /stext="" "&amp;TEXT(GYU28-utc_offset/24,"HH")&amp;search_regexp&amp;""""</f>
        <v>#REF!</v>
      </c>
      <c r="GZS28" s="234" t="e">
        <f>astrogrep_path&amp;" /e /r /s /spath="&amp;search_path&amp;" /stypes=""app*"&amp;GYO28&amp;"*"&amp;TEXT(GYV28-utc_offset/24,"YYYYMMDD")&amp;"*"" /stext="" "&amp;TEXT(GYV28-utc_offset/24,"HH")&amp;search_regexp&amp;""""</f>
        <v>#REF!</v>
      </c>
      <c r="GZT28" s="234" t="e">
        <f>astrogrep_path&amp;" /e /r /s /spath="&amp;search_path&amp;" /stypes=""app*"&amp;GYP28&amp;"*"&amp;TEXT(GYW28-utc_offset/24,"YYYYMMDD")&amp;"*"" /stext="" "&amp;TEXT(GYW28-utc_offset/24,"HH")&amp;search_regexp&amp;""""</f>
        <v>#REF!</v>
      </c>
      <c r="GZU28" s="234" t="e">
        <f>astrogrep_path&amp;" /e /r /s /spath="&amp;search_path&amp;" /stypes=""app*"&amp;GYQ28&amp;"*"&amp;TEXT(GYX28-utc_offset/24,"YYYYMMDD")&amp;"*"" /stext="" "&amp;TEXT(GYX28-utc_offset/24,"HH")&amp;search_regexp&amp;""""</f>
        <v>#REF!</v>
      </c>
      <c r="GZV28" s="234" t="e">
        <f>astrogrep_path&amp;" /e /r /s /spath="&amp;search_path&amp;" /stypes=""app*"&amp;GYR28&amp;"*"&amp;TEXT(GYY28-utc_offset/24,"YYYYMMDD")&amp;"*"" /stext="" "&amp;TEXT(GYY28-utc_offset/24,"HH")&amp;search_regexp&amp;""""</f>
        <v>#REF!</v>
      </c>
      <c r="GZW28" s="234" t="e">
        <f>astrogrep_path&amp;" /e /r /s /spath="&amp;search_path&amp;" /stypes=""app*"&amp;GYS28&amp;"*"&amp;TEXT(GYZ28-utc_offset/24,"YYYYMMDD")&amp;"*"" /stext="" "&amp;TEXT(GYZ28-utc_offset/24,"HH")&amp;search_regexp&amp;""""</f>
        <v>#VALUE!</v>
      </c>
      <c r="GZX28" s="234" t="e">
        <f>astrogrep_path&amp;" /e /r /s /spath="&amp;search_path&amp;" /stypes=""app*"&amp;GYT28&amp;"*"&amp;TEXT(GZA28-utc_offset/24,"YYYYMMDD")&amp;"*"" /stext="" "&amp;TEXT(GZA28-utc_offset/24,"HH")&amp;search_regexp&amp;""""</f>
        <v>#VALUE!</v>
      </c>
      <c r="GZY28" s="234" t="e">
        <f>astrogrep_path&amp;" /e /r /s /spath="&amp;search_path&amp;" /stypes=""app*"&amp;GYU28&amp;"*"&amp;TEXT(GZB28-utc_offset/24,"YYYYMMDD")&amp;"*"" /stext="" "&amp;TEXT(GZB28-utc_offset/24,"HH")&amp;search_regexp&amp;""""</f>
        <v>#REF!</v>
      </c>
      <c r="GZZ28" s="234" t="e">
        <f>astrogrep_path&amp;" /e /r /s /spath="&amp;search_path&amp;" /stypes=""app*"&amp;GYV28&amp;"*"&amp;TEXT(GZC28-utc_offset/24,"YYYYMMDD")&amp;"*"" /stext="" "&amp;TEXT(GZC28-utc_offset/24,"HH")&amp;search_regexp&amp;""""</f>
        <v>#REF!</v>
      </c>
      <c r="HAA28" s="234" t="e">
        <f>astrogrep_path&amp;" /e /r /s /spath="&amp;search_path&amp;" /stypes=""app*"&amp;GYW28&amp;"*"&amp;TEXT(GZD28-utc_offset/24,"YYYYMMDD")&amp;"*"" /stext="" "&amp;TEXT(GZD28-utc_offset/24,"HH")&amp;search_regexp&amp;""""</f>
        <v>#VALUE!</v>
      </c>
      <c r="HAB28" s="234" t="e">
        <f>astrogrep_path&amp;" /e /r /s /spath="&amp;search_path&amp;" /stypes=""app*"&amp;GYX28&amp;"*"&amp;TEXT(GZE28-utc_offset/24,"YYYYMMDD")&amp;"*"" /stext="" "&amp;TEXT(GZE28-utc_offset/24,"HH")&amp;search_regexp&amp;""""</f>
        <v>#VALUE!</v>
      </c>
      <c r="HAC28" s="234" t="e">
        <f>astrogrep_path&amp;" /e /r /s /spath="&amp;search_path&amp;" /stypes=""app*"&amp;GYY28&amp;"*"&amp;TEXT(GZF28-utc_offset/24,"YYYYMMDD")&amp;"*"" /stext="" "&amp;TEXT(GZF28-utc_offset/24,"HH")&amp;search_regexp&amp;""""</f>
        <v>#VALUE!</v>
      </c>
      <c r="HAD28" s="234" t="e">
        <f>astrogrep_path&amp;" /e /r /s /spath="&amp;search_path&amp;" /stypes=""app*"&amp;GYZ28&amp;"*"&amp;TEXT(GZG28-utc_offset/24,"YYYYMMDD")&amp;"*"" /stext="" "&amp;TEXT(GZG28-utc_offset/24,"HH")&amp;search_regexp&amp;""""</f>
        <v>#VALUE!</v>
      </c>
      <c r="HAE28" s="234" t="e">
        <f>astrogrep_path&amp;" /e /r /s /spath="&amp;search_path&amp;" /stypes=""app*"&amp;GZA28&amp;"*"&amp;TEXT(GZH28-utc_offset/24,"YYYYMMDD")&amp;"*"" /stext="" "&amp;TEXT(GZH28-utc_offset/24,"HH")&amp;search_regexp&amp;""""</f>
        <v>#VALUE!</v>
      </c>
      <c r="HAF28" s="234" t="e">
        <f>astrogrep_path&amp;" /e /r /s /spath="&amp;search_path&amp;" /stypes=""app*"&amp;GZB28&amp;"*"&amp;TEXT(GZI28-utc_offset/24,"YYYYMMDD")&amp;"*"" /stext="" "&amp;TEXT(GZI28-utc_offset/24,"HH")&amp;search_regexp&amp;""""</f>
        <v>#REF!</v>
      </c>
      <c r="HAG28" s="234" t="e">
        <f>astrogrep_path&amp;" /e /r /s /spath="&amp;search_path&amp;" /stypes=""app*"&amp;GZC28&amp;"*"&amp;TEXT(GZJ28-utc_offset/24,"YYYYMMDD")&amp;"*"" /stext="" "&amp;TEXT(GZJ28-utc_offset/24,"HH")&amp;search_regexp&amp;""""</f>
        <v>#REF!</v>
      </c>
      <c r="HAH28" s="234" t="e">
        <f>astrogrep_path&amp;" /e /r /s /spath="&amp;search_path&amp;" /stypes=""app*"&amp;GZD28&amp;"*"&amp;TEXT(GZK28-utc_offset/24,"YYYYMMDD")&amp;"*"" /stext="" "&amp;TEXT(GZK28-utc_offset/24,"HH")&amp;search_regexp&amp;""""</f>
        <v>#REF!</v>
      </c>
      <c r="HAI28" s="234" t="e">
        <f>astrogrep_path&amp;" /e /r /s /spath="&amp;search_path&amp;" /stypes=""app*"&amp;GZE28&amp;"*"&amp;TEXT(GZL28-utc_offset/24,"YYYYMMDD")&amp;"*"" /stext="" "&amp;TEXT(GZL28-utc_offset/24,"HH")&amp;search_regexp&amp;""""</f>
        <v>#REF!</v>
      </c>
      <c r="HAJ28" s="234" t="e">
        <f>astrogrep_path&amp;" /e /r /s /spath="&amp;search_path&amp;" /stypes=""app*"&amp;GZF28&amp;"*"&amp;TEXT(GZM28-utc_offset/24,"YYYYMMDD")&amp;"*"" /stext="" "&amp;TEXT(GZM28-utc_offset/24,"HH")&amp;search_regexp&amp;""""</f>
        <v>#REF!</v>
      </c>
      <c r="HAK28" s="234" t="e">
        <f>astrogrep_path&amp;" /e /r /s /spath="&amp;search_path&amp;" /stypes=""app*"&amp;GZG28&amp;"*"&amp;TEXT(GZN28-utc_offset/24,"YYYYMMDD")&amp;"*"" /stext="" "&amp;TEXT(GZN28-utc_offset/24,"HH")&amp;search_regexp&amp;""""</f>
        <v>#REF!</v>
      </c>
      <c r="HAL28" s="234" t="e">
        <f>astrogrep_path&amp;" /e /r /s /spath="&amp;search_path&amp;" /stypes=""app*"&amp;GZH28&amp;"*"&amp;TEXT(GZO28-utc_offset/24,"YYYYMMDD")&amp;"*"" /stext="" "&amp;TEXT(GZO28-utc_offset/24,"HH")&amp;search_regexp&amp;""""</f>
        <v>#REF!</v>
      </c>
      <c r="HAM28" s="234" t="e">
        <f>astrogrep_path&amp;" /e /r /s /spath="&amp;search_path&amp;" /stypes=""app*"&amp;GZI28&amp;"*"&amp;TEXT(GZP28-utc_offset/24,"YYYYMMDD")&amp;"*"" /stext="" "&amp;TEXT(GZP28-utc_offset/24,"HH")&amp;search_regexp&amp;""""</f>
        <v>#REF!</v>
      </c>
      <c r="HAN28" s="234" t="e">
        <f>astrogrep_path&amp;" /e /r /s /spath="&amp;search_path&amp;" /stypes=""app*"&amp;GZJ28&amp;"*"&amp;TEXT(GZQ28-utc_offset/24,"YYYYMMDD")&amp;"*"" /stext="" "&amp;TEXT(GZQ28-utc_offset/24,"HH")&amp;search_regexp&amp;""""</f>
        <v>#REF!</v>
      </c>
      <c r="HAO28" s="234" t="e">
        <f>astrogrep_path&amp;" /e /r /s /spath="&amp;search_path&amp;" /stypes=""app*"&amp;GZK28&amp;"*"&amp;TEXT(GZR28-utc_offset/24,"YYYYMMDD")&amp;"*"" /stext="" "&amp;TEXT(GZR28-utc_offset/24,"HH")&amp;search_regexp&amp;""""</f>
        <v>#REF!</v>
      </c>
      <c r="HAP28" s="234" t="e">
        <f>astrogrep_path&amp;" /e /r /s /spath="&amp;search_path&amp;" /stypes=""app*"&amp;GZL28&amp;"*"&amp;TEXT(GZS28-utc_offset/24,"YYYYMMDD")&amp;"*"" /stext="" "&amp;TEXT(GZS28-utc_offset/24,"HH")&amp;search_regexp&amp;""""</f>
        <v>#REF!</v>
      </c>
      <c r="HAQ28" s="234" t="e">
        <f>astrogrep_path&amp;" /e /r /s /spath="&amp;search_path&amp;" /stypes=""app*"&amp;GZM28&amp;"*"&amp;TEXT(GZT28-utc_offset/24,"YYYYMMDD")&amp;"*"" /stext="" "&amp;TEXT(GZT28-utc_offset/24,"HH")&amp;search_regexp&amp;""""</f>
        <v>#REF!</v>
      </c>
      <c r="HAR28" s="234" t="e">
        <f>astrogrep_path&amp;" /e /r /s /spath="&amp;search_path&amp;" /stypes=""app*"&amp;GZN28&amp;"*"&amp;TEXT(GZU28-utc_offset/24,"YYYYMMDD")&amp;"*"" /stext="" "&amp;TEXT(GZU28-utc_offset/24,"HH")&amp;search_regexp&amp;""""</f>
        <v>#REF!</v>
      </c>
      <c r="HAS28" s="234" t="e">
        <f>astrogrep_path&amp;" /e /r /s /spath="&amp;search_path&amp;" /stypes=""app*"&amp;GZO28&amp;"*"&amp;TEXT(GZV28-utc_offset/24,"YYYYMMDD")&amp;"*"" /stext="" "&amp;TEXT(GZV28-utc_offset/24,"HH")&amp;search_regexp&amp;""""</f>
        <v>#REF!</v>
      </c>
      <c r="HAT28" s="234" t="e">
        <f>astrogrep_path&amp;" /e /r /s /spath="&amp;search_path&amp;" /stypes=""app*"&amp;GZP28&amp;"*"&amp;TEXT(GZW28-utc_offset/24,"YYYYMMDD")&amp;"*"" /stext="" "&amp;TEXT(GZW28-utc_offset/24,"HH")&amp;search_regexp&amp;""""</f>
        <v>#REF!</v>
      </c>
      <c r="HAU28" s="234" t="e">
        <f>astrogrep_path&amp;" /e /r /s /spath="&amp;search_path&amp;" /stypes=""app*"&amp;GZQ28&amp;"*"&amp;TEXT(GZX28-utc_offset/24,"YYYYMMDD")&amp;"*"" /stext="" "&amp;TEXT(GZX28-utc_offset/24,"HH")&amp;search_regexp&amp;""""</f>
        <v>#REF!</v>
      </c>
      <c r="HAV28" s="234" t="e">
        <f>astrogrep_path&amp;" /e /r /s /spath="&amp;search_path&amp;" /stypes=""app*"&amp;GZR28&amp;"*"&amp;TEXT(GZY28-utc_offset/24,"YYYYMMDD")&amp;"*"" /stext="" "&amp;TEXT(GZY28-utc_offset/24,"HH")&amp;search_regexp&amp;""""</f>
        <v>#REF!</v>
      </c>
      <c r="HAW28" s="234" t="e">
        <f>astrogrep_path&amp;" /e /r /s /spath="&amp;search_path&amp;" /stypes=""app*"&amp;GZS28&amp;"*"&amp;TEXT(GZZ28-utc_offset/24,"YYYYMMDD")&amp;"*"" /stext="" "&amp;TEXT(GZZ28-utc_offset/24,"HH")&amp;search_regexp&amp;""""</f>
        <v>#REF!</v>
      </c>
      <c r="HAX28" s="234" t="e">
        <f>astrogrep_path&amp;" /e /r /s /spath="&amp;search_path&amp;" /stypes=""app*"&amp;GZT28&amp;"*"&amp;TEXT(HAA28-utc_offset/24,"YYYYMMDD")&amp;"*"" /stext="" "&amp;TEXT(HAA28-utc_offset/24,"HH")&amp;search_regexp&amp;""""</f>
        <v>#REF!</v>
      </c>
      <c r="HAY28" s="234" t="e">
        <f>astrogrep_path&amp;" /e /r /s /spath="&amp;search_path&amp;" /stypes=""app*"&amp;GZU28&amp;"*"&amp;TEXT(HAB28-utc_offset/24,"YYYYMMDD")&amp;"*"" /stext="" "&amp;TEXT(HAB28-utc_offset/24,"HH")&amp;search_regexp&amp;""""</f>
        <v>#REF!</v>
      </c>
      <c r="HAZ28" s="234" t="e">
        <f>astrogrep_path&amp;" /e /r /s /spath="&amp;search_path&amp;" /stypes=""app*"&amp;GZV28&amp;"*"&amp;TEXT(HAC28-utc_offset/24,"YYYYMMDD")&amp;"*"" /stext="" "&amp;TEXT(HAC28-utc_offset/24,"HH")&amp;search_regexp&amp;""""</f>
        <v>#REF!</v>
      </c>
      <c r="HBA28" s="234" t="e">
        <f>astrogrep_path&amp;" /e /r /s /spath="&amp;search_path&amp;" /stypes=""app*"&amp;GZW28&amp;"*"&amp;TEXT(HAD28-utc_offset/24,"YYYYMMDD")&amp;"*"" /stext="" "&amp;TEXT(HAD28-utc_offset/24,"HH")&amp;search_regexp&amp;""""</f>
        <v>#VALUE!</v>
      </c>
      <c r="HBB28" s="234" t="e">
        <f>astrogrep_path&amp;" /e /r /s /spath="&amp;search_path&amp;" /stypes=""app*"&amp;GZX28&amp;"*"&amp;TEXT(HAE28-utc_offset/24,"YYYYMMDD")&amp;"*"" /stext="" "&amp;TEXT(HAE28-utc_offset/24,"HH")&amp;search_regexp&amp;""""</f>
        <v>#VALUE!</v>
      </c>
      <c r="HBC28" s="234" t="e">
        <f>astrogrep_path&amp;" /e /r /s /spath="&amp;search_path&amp;" /stypes=""app*"&amp;GZY28&amp;"*"&amp;TEXT(HAF28-utc_offset/24,"YYYYMMDD")&amp;"*"" /stext="" "&amp;TEXT(HAF28-utc_offset/24,"HH")&amp;search_regexp&amp;""""</f>
        <v>#REF!</v>
      </c>
      <c r="HBD28" s="234" t="e">
        <f>astrogrep_path&amp;" /e /r /s /spath="&amp;search_path&amp;" /stypes=""app*"&amp;GZZ28&amp;"*"&amp;TEXT(HAG28-utc_offset/24,"YYYYMMDD")&amp;"*"" /stext="" "&amp;TEXT(HAG28-utc_offset/24,"HH")&amp;search_regexp&amp;""""</f>
        <v>#REF!</v>
      </c>
      <c r="HBE28" s="234" t="e">
        <f>astrogrep_path&amp;" /e /r /s /spath="&amp;search_path&amp;" /stypes=""app*"&amp;HAA28&amp;"*"&amp;TEXT(HAH28-utc_offset/24,"YYYYMMDD")&amp;"*"" /stext="" "&amp;TEXT(HAH28-utc_offset/24,"HH")&amp;search_regexp&amp;""""</f>
        <v>#VALUE!</v>
      </c>
      <c r="HBF28" s="234" t="e">
        <f>astrogrep_path&amp;" /e /r /s /spath="&amp;search_path&amp;" /stypes=""app*"&amp;HAB28&amp;"*"&amp;TEXT(HAI28-utc_offset/24,"YYYYMMDD")&amp;"*"" /stext="" "&amp;TEXT(HAI28-utc_offset/24,"HH")&amp;search_regexp&amp;""""</f>
        <v>#VALUE!</v>
      </c>
      <c r="HBG28" s="234" t="e">
        <f>astrogrep_path&amp;" /e /r /s /spath="&amp;search_path&amp;" /stypes=""app*"&amp;HAC28&amp;"*"&amp;TEXT(HAJ28-utc_offset/24,"YYYYMMDD")&amp;"*"" /stext="" "&amp;TEXT(HAJ28-utc_offset/24,"HH")&amp;search_regexp&amp;""""</f>
        <v>#VALUE!</v>
      </c>
      <c r="HBH28" s="234" t="e">
        <f>astrogrep_path&amp;" /e /r /s /spath="&amp;search_path&amp;" /stypes=""app*"&amp;HAD28&amp;"*"&amp;TEXT(HAK28-utc_offset/24,"YYYYMMDD")&amp;"*"" /stext="" "&amp;TEXT(HAK28-utc_offset/24,"HH")&amp;search_regexp&amp;""""</f>
        <v>#VALUE!</v>
      </c>
      <c r="HBI28" s="234" t="e">
        <f>astrogrep_path&amp;" /e /r /s /spath="&amp;search_path&amp;" /stypes=""app*"&amp;HAE28&amp;"*"&amp;TEXT(HAL28-utc_offset/24,"YYYYMMDD")&amp;"*"" /stext="" "&amp;TEXT(HAL28-utc_offset/24,"HH")&amp;search_regexp&amp;""""</f>
        <v>#VALUE!</v>
      </c>
      <c r="HBJ28" s="234" t="e">
        <f>astrogrep_path&amp;" /e /r /s /spath="&amp;search_path&amp;" /stypes=""app*"&amp;HAF28&amp;"*"&amp;TEXT(HAM28-utc_offset/24,"YYYYMMDD")&amp;"*"" /stext="" "&amp;TEXT(HAM28-utc_offset/24,"HH")&amp;search_regexp&amp;""""</f>
        <v>#REF!</v>
      </c>
      <c r="HBK28" s="234" t="e">
        <f>astrogrep_path&amp;" /e /r /s /spath="&amp;search_path&amp;" /stypes=""app*"&amp;HAG28&amp;"*"&amp;TEXT(HAN28-utc_offset/24,"YYYYMMDD")&amp;"*"" /stext="" "&amp;TEXT(HAN28-utc_offset/24,"HH")&amp;search_regexp&amp;""""</f>
        <v>#REF!</v>
      </c>
      <c r="HBL28" s="234" t="e">
        <f>astrogrep_path&amp;" /e /r /s /spath="&amp;search_path&amp;" /stypes=""app*"&amp;HAH28&amp;"*"&amp;TEXT(HAO28-utc_offset/24,"YYYYMMDD")&amp;"*"" /stext="" "&amp;TEXT(HAO28-utc_offset/24,"HH")&amp;search_regexp&amp;""""</f>
        <v>#REF!</v>
      </c>
      <c r="HBM28" s="234" t="e">
        <f>astrogrep_path&amp;" /e /r /s /spath="&amp;search_path&amp;" /stypes=""app*"&amp;HAI28&amp;"*"&amp;TEXT(HAP28-utc_offset/24,"YYYYMMDD")&amp;"*"" /stext="" "&amp;TEXT(HAP28-utc_offset/24,"HH")&amp;search_regexp&amp;""""</f>
        <v>#REF!</v>
      </c>
      <c r="HBN28" s="234" t="e">
        <f>astrogrep_path&amp;" /e /r /s /spath="&amp;search_path&amp;" /stypes=""app*"&amp;HAJ28&amp;"*"&amp;TEXT(HAQ28-utc_offset/24,"YYYYMMDD")&amp;"*"" /stext="" "&amp;TEXT(HAQ28-utc_offset/24,"HH")&amp;search_regexp&amp;""""</f>
        <v>#REF!</v>
      </c>
      <c r="HBO28" s="234" t="e">
        <f>astrogrep_path&amp;" /e /r /s /spath="&amp;search_path&amp;" /stypes=""app*"&amp;HAK28&amp;"*"&amp;TEXT(HAR28-utc_offset/24,"YYYYMMDD")&amp;"*"" /stext="" "&amp;TEXT(HAR28-utc_offset/24,"HH")&amp;search_regexp&amp;""""</f>
        <v>#REF!</v>
      </c>
      <c r="HBP28" s="234" t="e">
        <f>astrogrep_path&amp;" /e /r /s /spath="&amp;search_path&amp;" /stypes=""app*"&amp;HAL28&amp;"*"&amp;TEXT(HAS28-utc_offset/24,"YYYYMMDD")&amp;"*"" /stext="" "&amp;TEXT(HAS28-utc_offset/24,"HH")&amp;search_regexp&amp;""""</f>
        <v>#REF!</v>
      </c>
      <c r="HBQ28" s="234" t="e">
        <f>astrogrep_path&amp;" /e /r /s /spath="&amp;search_path&amp;" /stypes=""app*"&amp;HAM28&amp;"*"&amp;TEXT(HAT28-utc_offset/24,"YYYYMMDD")&amp;"*"" /stext="" "&amp;TEXT(HAT28-utc_offset/24,"HH")&amp;search_regexp&amp;""""</f>
        <v>#REF!</v>
      </c>
      <c r="HBR28" s="234" t="e">
        <f>astrogrep_path&amp;" /e /r /s /spath="&amp;search_path&amp;" /stypes=""app*"&amp;HAN28&amp;"*"&amp;TEXT(HAU28-utc_offset/24,"YYYYMMDD")&amp;"*"" /stext="" "&amp;TEXT(HAU28-utc_offset/24,"HH")&amp;search_regexp&amp;""""</f>
        <v>#REF!</v>
      </c>
      <c r="HBS28" s="234" t="e">
        <f>astrogrep_path&amp;" /e /r /s /spath="&amp;search_path&amp;" /stypes=""app*"&amp;HAO28&amp;"*"&amp;TEXT(HAV28-utc_offset/24,"YYYYMMDD")&amp;"*"" /stext="" "&amp;TEXT(HAV28-utc_offset/24,"HH")&amp;search_regexp&amp;""""</f>
        <v>#REF!</v>
      </c>
      <c r="HBT28" s="234" t="e">
        <f>astrogrep_path&amp;" /e /r /s /spath="&amp;search_path&amp;" /stypes=""app*"&amp;HAP28&amp;"*"&amp;TEXT(HAW28-utc_offset/24,"YYYYMMDD")&amp;"*"" /stext="" "&amp;TEXT(HAW28-utc_offset/24,"HH")&amp;search_regexp&amp;""""</f>
        <v>#REF!</v>
      </c>
      <c r="HBU28" s="234" t="e">
        <f>astrogrep_path&amp;" /e /r /s /spath="&amp;search_path&amp;" /stypes=""app*"&amp;HAQ28&amp;"*"&amp;TEXT(HAX28-utc_offset/24,"YYYYMMDD")&amp;"*"" /stext="" "&amp;TEXT(HAX28-utc_offset/24,"HH")&amp;search_regexp&amp;""""</f>
        <v>#REF!</v>
      </c>
      <c r="HBV28" s="234" t="e">
        <f>astrogrep_path&amp;" /e /r /s /spath="&amp;search_path&amp;" /stypes=""app*"&amp;HAR28&amp;"*"&amp;TEXT(HAY28-utc_offset/24,"YYYYMMDD")&amp;"*"" /stext="" "&amp;TEXT(HAY28-utc_offset/24,"HH")&amp;search_regexp&amp;""""</f>
        <v>#REF!</v>
      </c>
      <c r="HBW28" s="234" t="e">
        <f>astrogrep_path&amp;" /e /r /s /spath="&amp;search_path&amp;" /stypes=""app*"&amp;HAS28&amp;"*"&amp;TEXT(HAZ28-utc_offset/24,"YYYYMMDD")&amp;"*"" /stext="" "&amp;TEXT(HAZ28-utc_offset/24,"HH")&amp;search_regexp&amp;""""</f>
        <v>#REF!</v>
      </c>
      <c r="HBX28" s="234" t="e">
        <f>astrogrep_path&amp;" /e /r /s /spath="&amp;search_path&amp;" /stypes=""app*"&amp;HAT28&amp;"*"&amp;TEXT(HBA28-utc_offset/24,"YYYYMMDD")&amp;"*"" /stext="" "&amp;TEXT(HBA28-utc_offset/24,"HH")&amp;search_regexp&amp;""""</f>
        <v>#REF!</v>
      </c>
      <c r="HBY28" s="234" t="e">
        <f>astrogrep_path&amp;" /e /r /s /spath="&amp;search_path&amp;" /stypes=""app*"&amp;HAU28&amp;"*"&amp;TEXT(HBB28-utc_offset/24,"YYYYMMDD")&amp;"*"" /stext="" "&amp;TEXT(HBB28-utc_offset/24,"HH")&amp;search_regexp&amp;""""</f>
        <v>#REF!</v>
      </c>
      <c r="HBZ28" s="234" t="e">
        <f>astrogrep_path&amp;" /e /r /s /spath="&amp;search_path&amp;" /stypes=""app*"&amp;HAV28&amp;"*"&amp;TEXT(HBC28-utc_offset/24,"YYYYMMDD")&amp;"*"" /stext="" "&amp;TEXT(HBC28-utc_offset/24,"HH")&amp;search_regexp&amp;""""</f>
        <v>#REF!</v>
      </c>
      <c r="HCA28" s="234" t="e">
        <f>astrogrep_path&amp;" /e /r /s /spath="&amp;search_path&amp;" /stypes=""app*"&amp;HAW28&amp;"*"&amp;TEXT(HBD28-utc_offset/24,"YYYYMMDD")&amp;"*"" /stext="" "&amp;TEXT(HBD28-utc_offset/24,"HH")&amp;search_regexp&amp;""""</f>
        <v>#REF!</v>
      </c>
      <c r="HCB28" s="234" t="e">
        <f>astrogrep_path&amp;" /e /r /s /spath="&amp;search_path&amp;" /stypes=""app*"&amp;HAX28&amp;"*"&amp;TEXT(HBE28-utc_offset/24,"YYYYMMDD")&amp;"*"" /stext="" "&amp;TEXT(HBE28-utc_offset/24,"HH")&amp;search_regexp&amp;""""</f>
        <v>#REF!</v>
      </c>
      <c r="HCC28" s="234" t="e">
        <f>astrogrep_path&amp;" /e /r /s /spath="&amp;search_path&amp;" /stypes=""app*"&amp;HAY28&amp;"*"&amp;TEXT(HBF28-utc_offset/24,"YYYYMMDD")&amp;"*"" /stext="" "&amp;TEXT(HBF28-utc_offset/24,"HH")&amp;search_regexp&amp;""""</f>
        <v>#REF!</v>
      </c>
      <c r="HCD28" s="234" t="e">
        <f>astrogrep_path&amp;" /e /r /s /spath="&amp;search_path&amp;" /stypes=""app*"&amp;HAZ28&amp;"*"&amp;TEXT(HBG28-utc_offset/24,"YYYYMMDD")&amp;"*"" /stext="" "&amp;TEXT(HBG28-utc_offset/24,"HH")&amp;search_regexp&amp;""""</f>
        <v>#REF!</v>
      </c>
      <c r="HCE28" s="234" t="e">
        <f>astrogrep_path&amp;" /e /r /s /spath="&amp;search_path&amp;" /stypes=""app*"&amp;HBA28&amp;"*"&amp;TEXT(HBH28-utc_offset/24,"YYYYMMDD")&amp;"*"" /stext="" "&amp;TEXT(HBH28-utc_offset/24,"HH")&amp;search_regexp&amp;""""</f>
        <v>#VALUE!</v>
      </c>
      <c r="HCF28" s="234" t="e">
        <f>astrogrep_path&amp;" /e /r /s /spath="&amp;search_path&amp;" /stypes=""app*"&amp;HBB28&amp;"*"&amp;TEXT(HBI28-utc_offset/24,"YYYYMMDD")&amp;"*"" /stext="" "&amp;TEXT(HBI28-utc_offset/24,"HH")&amp;search_regexp&amp;""""</f>
        <v>#VALUE!</v>
      </c>
      <c r="HCG28" s="234" t="e">
        <f>astrogrep_path&amp;" /e /r /s /spath="&amp;search_path&amp;" /stypes=""app*"&amp;HBC28&amp;"*"&amp;TEXT(HBJ28-utc_offset/24,"YYYYMMDD")&amp;"*"" /stext="" "&amp;TEXT(HBJ28-utc_offset/24,"HH")&amp;search_regexp&amp;""""</f>
        <v>#REF!</v>
      </c>
      <c r="HCH28" s="234" t="e">
        <f>astrogrep_path&amp;" /e /r /s /spath="&amp;search_path&amp;" /stypes=""app*"&amp;HBD28&amp;"*"&amp;TEXT(HBK28-utc_offset/24,"YYYYMMDD")&amp;"*"" /stext="" "&amp;TEXT(HBK28-utc_offset/24,"HH")&amp;search_regexp&amp;""""</f>
        <v>#REF!</v>
      </c>
      <c r="HCI28" s="234" t="e">
        <f>astrogrep_path&amp;" /e /r /s /spath="&amp;search_path&amp;" /stypes=""app*"&amp;HBE28&amp;"*"&amp;TEXT(HBL28-utc_offset/24,"YYYYMMDD")&amp;"*"" /stext="" "&amp;TEXT(HBL28-utc_offset/24,"HH")&amp;search_regexp&amp;""""</f>
        <v>#VALUE!</v>
      </c>
      <c r="HCJ28" s="234" t="e">
        <f>astrogrep_path&amp;" /e /r /s /spath="&amp;search_path&amp;" /stypes=""app*"&amp;HBF28&amp;"*"&amp;TEXT(HBM28-utc_offset/24,"YYYYMMDD")&amp;"*"" /stext="" "&amp;TEXT(HBM28-utc_offset/24,"HH")&amp;search_regexp&amp;""""</f>
        <v>#VALUE!</v>
      </c>
      <c r="HCK28" s="234" t="e">
        <f>astrogrep_path&amp;" /e /r /s /spath="&amp;search_path&amp;" /stypes=""app*"&amp;HBG28&amp;"*"&amp;TEXT(HBN28-utc_offset/24,"YYYYMMDD")&amp;"*"" /stext="" "&amp;TEXT(HBN28-utc_offset/24,"HH")&amp;search_regexp&amp;""""</f>
        <v>#VALUE!</v>
      </c>
      <c r="HCL28" s="234" t="e">
        <f>astrogrep_path&amp;" /e /r /s /spath="&amp;search_path&amp;" /stypes=""app*"&amp;HBH28&amp;"*"&amp;TEXT(HBO28-utc_offset/24,"YYYYMMDD")&amp;"*"" /stext="" "&amp;TEXT(HBO28-utc_offset/24,"HH")&amp;search_regexp&amp;""""</f>
        <v>#VALUE!</v>
      </c>
      <c r="HCM28" s="234" t="e">
        <f>astrogrep_path&amp;" /e /r /s /spath="&amp;search_path&amp;" /stypes=""app*"&amp;HBI28&amp;"*"&amp;TEXT(HBP28-utc_offset/24,"YYYYMMDD")&amp;"*"" /stext="" "&amp;TEXT(HBP28-utc_offset/24,"HH")&amp;search_regexp&amp;""""</f>
        <v>#VALUE!</v>
      </c>
      <c r="HCN28" s="234" t="e">
        <f>astrogrep_path&amp;" /e /r /s /spath="&amp;search_path&amp;" /stypes=""app*"&amp;HBJ28&amp;"*"&amp;TEXT(HBQ28-utc_offset/24,"YYYYMMDD")&amp;"*"" /stext="" "&amp;TEXT(HBQ28-utc_offset/24,"HH")&amp;search_regexp&amp;""""</f>
        <v>#REF!</v>
      </c>
      <c r="HCO28" s="234" t="e">
        <f>astrogrep_path&amp;" /e /r /s /spath="&amp;search_path&amp;" /stypes=""app*"&amp;HBK28&amp;"*"&amp;TEXT(HBR28-utc_offset/24,"YYYYMMDD")&amp;"*"" /stext="" "&amp;TEXT(HBR28-utc_offset/24,"HH")&amp;search_regexp&amp;""""</f>
        <v>#REF!</v>
      </c>
      <c r="HCP28" s="234" t="e">
        <f>astrogrep_path&amp;" /e /r /s /spath="&amp;search_path&amp;" /stypes=""app*"&amp;HBL28&amp;"*"&amp;TEXT(HBS28-utc_offset/24,"YYYYMMDD")&amp;"*"" /stext="" "&amp;TEXT(HBS28-utc_offset/24,"HH")&amp;search_regexp&amp;""""</f>
        <v>#REF!</v>
      </c>
      <c r="HCQ28" s="234" t="e">
        <f>astrogrep_path&amp;" /e /r /s /spath="&amp;search_path&amp;" /stypes=""app*"&amp;HBM28&amp;"*"&amp;TEXT(HBT28-utc_offset/24,"YYYYMMDD")&amp;"*"" /stext="" "&amp;TEXT(HBT28-utc_offset/24,"HH")&amp;search_regexp&amp;""""</f>
        <v>#REF!</v>
      </c>
      <c r="HCR28" s="234" t="e">
        <f>astrogrep_path&amp;" /e /r /s /spath="&amp;search_path&amp;" /stypes=""app*"&amp;HBN28&amp;"*"&amp;TEXT(HBU28-utc_offset/24,"YYYYMMDD")&amp;"*"" /stext="" "&amp;TEXT(HBU28-utc_offset/24,"HH")&amp;search_regexp&amp;""""</f>
        <v>#REF!</v>
      </c>
      <c r="HCS28" s="234" t="e">
        <f>astrogrep_path&amp;" /e /r /s /spath="&amp;search_path&amp;" /stypes=""app*"&amp;HBO28&amp;"*"&amp;TEXT(HBV28-utc_offset/24,"YYYYMMDD")&amp;"*"" /stext="" "&amp;TEXT(HBV28-utc_offset/24,"HH")&amp;search_regexp&amp;""""</f>
        <v>#REF!</v>
      </c>
      <c r="HCT28" s="234" t="e">
        <f>astrogrep_path&amp;" /e /r /s /spath="&amp;search_path&amp;" /stypes=""app*"&amp;HBP28&amp;"*"&amp;TEXT(HBW28-utc_offset/24,"YYYYMMDD")&amp;"*"" /stext="" "&amp;TEXT(HBW28-utc_offset/24,"HH")&amp;search_regexp&amp;""""</f>
        <v>#REF!</v>
      </c>
      <c r="HCU28" s="234" t="e">
        <f>astrogrep_path&amp;" /e /r /s /spath="&amp;search_path&amp;" /stypes=""app*"&amp;HBQ28&amp;"*"&amp;TEXT(HBX28-utc_offset/24,"YYYYMMDD")&amp;"*"" /stext="" "&amp;TEXT(HBX28-utc_offset/24,"HH")&amp;search_regexp&amp;""""</f>
        <v>#REF!</v>
      </c>
      <c r="HCV28" s="234" t="e">
        <f>astrogrep_path&amp;" /e /r /s /spath="&amp;search_path&amp;" /stypes=""app*"&amp;HBR28&amp;"*"&amp;TEXT(HBY28-utc_offset/24,"YYYYMMDD")&amp;"*"" /stext="" "&amp;TEXT(HBY28-utc_offset/24,"HH")&amp;search_regexp&amp;""""</f>
        <v>#REF!</v>
      </c>
      <c r="HCW28" s="234" t="e">
        <f>astrogrep_path&amp;" /e /r /s /spath="&amp;search_path&amp;" /stypes=""app*"&amp;HBS28&amp;"*"&amp;TEXT(HBZ28-utc_offset/24,"YYYYMMDD")&amp;"*"" /stext="" "&amp;TEXT(HBZ28-utc_offset/24,"HH")&amp;search_regexp&amp;""""</f>
        <v>#REF!</v>
      </c>
      <c r="HCX28" s="234" t="e">
        <f>astrogrep_path&amp;" /e /r /s /spath="&amp;search_path&amp;" /stypes=""app*"&amp;HBT28&amp;"*"&amp;TEXT(HCA28-utc_offset/24,"YYYYMMDD")&amp;"*"" /stext="" "&amp;TEXT(HCA28-utc_offset/24,"HH")&amp;search_regexp&amp;""""</f>
        <v>#REF!</v>
      </c>
      <c r="HCY28" s="234" t="e">
        <f>astrogrep_path&amp;" /e /r /s /spath="&amp;search_path&amp;" /stypes=""app*"&amp;HBU28&amp;"*"&amp;TEXT(HCB28-utc_offset/24,"YYYYMMDD")&amp;"*"" /stext="" "&amp;TEXT(HCB28-utc_offset/24,"HH")&amp;search_regexp&amp;""""</f>
        <v>#REF!</v>
      </c>
      <c r="HCZ28" s="234" t="e">
        <f>astrogrep_path&amp;" /e /r /s /spath="&amp;search_path&amp;" /stypes=""app*"&amp;HBV28&amp;"*"&amp;TEXT(HCC28-utc_offset/24,"YYYYMMDD")&amp;"*"" /stext="" "&amp;TEXT(HCC28-utc_offset/24,"HH")&amp;search_regexp&amp;""""</f>
        <v>#REF!</v>
      </c>
      <c r="HDA28" s="234" t="e">
        <f>astrogrep_path&amp;" /e /r /s /spath="&amp;search_path&amp;" /stypes=""app*"&amp;HBW28&amp;"*"&amp;TEXT(HCD28-utc_offset/24,"YYYYMMDD")&amp;"*"" /stext="" "&amp;TEXT(HCD28-utc_offset/24,"HH")&amp;search_regexp&amp;""""</f>
        <v>#REF!</v>
      </c>
      <c r="HDB28" s="234" t="e">
        <f>astrogrep_path&amp;" /e /r /s /spath="&amp;search_path&amp;" /stypes=""app*"&amp;HBX28&amp;"*"&amp;TEXT(HCE28-utc_offset/24,"YYYYMMDD")&amp;"*"" /stext="" "&amp;TEXT(HCE28-utc_offset/24,"HH")&amp;search_regexp&amp;""""</f>
        <v>#REF!</v>
      </c>
      <c r="HDC28" s="234" t="e">
        <f>astrogrep_path&amp;" /e /r /s /spath="&amp;search_path&amp;" /stypes=""app*"&amp;HBY28&amp;"*"&amp;TEXT(HCF28-utc_offset/24,"YYYYMMDD")&amp;"*"" /stext="" "&amp;TEXT(HCF28-utc_offset/24,"HH")&amp;search_regexp&amp;""""</f>
        <v>#REF!</v>
      </c>
      <c r="HDD28" s="234" t="e">
        <f>astrogrep_path&amp;" /e /r /s /spath="&amp;search_path&amp;" /stypes=""app*"&amp;HBZ28&amp;"*"&amp;TEXT(HCG28-utc_offset/24,"YYYYMMDD")&amp;"*"" /stext="" "&amp;TEXT(HCG28-utc_offset/24,"HH")&amp;search_regexp&amp;""""</f>
        <v>#REF!</v>
      </c>
      <c r="HDE28" s="234" t="e">
        <f>astrogrep_path&amp;" /e /r /s /spath="&amp;search_path&amp;" /stypes=""app*"&amp;HCA28&amp;"*"&amp;TEXT(HCH28-utc_offset/24,"YYYYMMDD")&amp;"*"" /stext="" "&amp;TEXT(HCH28-utc_offset/24,"HH")&amp;search_regexp&amp;""""</f>
        <v>#REF!</v>
      </c>
      <c r="HDF28" s="234" t="e">
        <f>astrogrep_path&amp;" /e /r /s /spath="&amp;search_path&amp;" /stypes=""app*"&amp;HCB28&amp;"*"&amp;TEXT(HCI28-utc_offset/24,"YYYYMMDD")&amp;"*"" /stext="" "&amp;TEXT(HCI28-utc_offset/24,"HH")&amp;search_regexp&amp;""""</f>
        <v>#REF!</v>
      </c>
      <c r="HDG28" s="234" t="e">
        <f>astrogrep_path&amp;" /e /r /s /spath="&amp;search_path&amp;" /stypes=""app*"&amp;HCC28&amp;"*"&amp;TEXT(HCJ28-utc_offset/24,"YYYYMMDD")&amp;"*"" /stext="" "&amp;TEXT(HCJ28-utc_offset/24,"HH")&amp;search_regexp&amp;""""</f>
        <v>#REF!</v>
      </c>
      <c r="HDH28" s="234" t="e">
        <f>astrogrep_path&amp;" /e /r /s /spath="&amp;search_path&amp;" /stypes=""app*"&amp;HCD28&amp;"*"&amp;TEXT(HCK28-utc_offset/24,"YYYYMMDD")&amp;"*"" /stext="" "&amp;TEXT(HCK28-utc_offset/24,"HH")&amp;search_regexp&amp;""""</f>
        <v>#REF!</v>
      </c>
      <c r="HDI28" s="234" t="e">
        <f>astrogrep_path&amp;" /e /r /s /spath="&amp;search_path&amp;" /stypes=""app*"&amp;HCE28&amp;"*"&amp;TEXT(HCL28-utc_offset/24,"YYYYMMDD")&amp;"*"" /stext="" "&amp;TEXT(HCL28-utc_offset/24,"HH")&amp;search_regexp&amp;""""</f>
        <v>#VALUE!</v>
      </c>
      <c r="HDJ28" s="234" t="e">
        <f>astrogrep_path&amp;" /e /r /s /spath="&amp;search_path&amp;" /stypes=""app*"&amp;HCF28&amp;"*"&amp;TEXT(HCM28-utc_offset/24,"YYYYMMDD")&amp;"*"" /stext="" "&amp;TEXT(HCM28-utc_offset/24,"HH")&amp;search_regexp&amp;""""</f>
        <v>#VALUE!</v>
      </c>
      <c r="HDK28" s="234" t="e">
        <f>astrogrep_path&amp;" /e /r /s /spath="&amp;search_path&amp;" /stypes=""app*"&amp;HCG28&amp;"*"&amp;TEXT(HCN28-utc_offset/24,"YYYYMMDD")&amp;"*"" /stext="" "&amp;TEXT(HCN28-utc_offset/24,"HH")&amp;search_regexp&amp;""""</f>
        <v>#REF!</v>
      </c>
      <c r="HDL28" s="234" t="e">
        <f>astrogrep_path&amp;" /e /r /s /spath="&amp;search_path&amp;" /stypes=""app*"&amp;HCH28&amp;"*"&amp;TEXT(HCO28-utc_offset/24,"YYYYMMDD")&amp;"*"" /stext="" "&amp;TEXT(HCO28-utc_offset/24,"HH")&amp;search_regexp&amp;""""</f>
        <v>#REF!</v>
      </c>
      <c r="HDM28" s="234" t="e">
        <f>astrogrep_path&amp;" /e /r /s /spath="&amp;search_path&amp;" /stypes=""app*"&amp;HCI28&amp;"*"&amp;TEXT(HCP28-utc_offset/24,"YYYYMMDD")&amp;"*"" /stext="" "&amp;TEXT(HCP28-utc_offset/24,"HH")&amp;search_regexp&amp;""""</f>
        <v>#VALUE!</v>
      </c>
      <c r="HDN28" s="234" t="e">
        <f>astrogrep_path&amp;" /e /r /s /spath="&amp;search_path&amp;" /stypes=""app*"&amp;HCJ28&amp;"*"&amp;TEXT(HCQ28-utc_offset/24,"YYYYMMDD")&amp;"*"" /stext="" "&amp;TEXT(HCQ28-utc_offset/24,"HH")&amp;search_regexp&amp;""""</f>
        <v>#VALUE!</v>
      </c>
      <c r="HDO28" s="234" t="e">
        <f>astrogrep_path&amp;" /e /r /s /spath="&amp;search_path&amp;" /stypes=""app*"&amp;HCK28&amp;"*"&amp;TEXT(HCR28-utc_offset/24,"YYYYMMDD")&amp;"*"" /stext="" "&amp;TEXT(HCR28-utc_offset/24,"HH")&amp;search_regexp&amp;""""</f>
        <v>#VALUE!</v>
      </c>
      <c r="HDP28" s="234" t="e">
        <f>astrogrep_path&amp;" /e /r /s /spath="&amp;search_path&amp;" /stypes=""app*"&amp;HCL28&amp;"*"&amp;TEXT(HCS28-utc_offset/24,"YYYYMMDD")&amp;"*"" /stext="" "&amp;TEXT(HCS28-utc_offset/24,"HH")&amp;search_regexp&amp;""""</f>
        <v>#VALUE!</v>
      </c>
      <c r="HDQ28" s="234" t="e">
        <f>astrogrep_path&amp;" /e /r /s /spath="&amp;search_path&amp;" /stypes=""app*"&amp;HCM28&amp;"*"&amp;TEXT(HCT28-utc_offset/24,"YYYYMMDD")&amp;"*"" /stext="" "&amp;TEXT(HCT28-utc_offset/24,"HH")&amp;search_regexp&amp;""""</f>
        <v>#VALUE!</v>
      </c>
      <c r="HDR28" s="234" t="e">
        <f>astrogrep_path&amp;" /e /r /s /spath="&amp;search_path&amp;" /stypes=""app*"&amp;HCN28&amp;"*"&amp;TEXT(HCU28-utc_offset/24,"YYYYMMDD")&amp;"*"" /stext="" "&amp;TEXT(HCU28-utc_offset/24,"HH")&amp;search_regexp&amp;""""</f>
        <v>#REF!</v>
      </c>
      <c r="HDS28" s="234" t="e">
        <f>astrogrep_path&amp;" /e /r /s /spath="&amp;search_path&amp;" /stypes=""app*"&amp;HCO28&amp;"*"&amp;TEXT(HCV28-utc_offset/24,"YYYYMMDD")&amp;"*"" /stext="" "&amp;TEXT(HCV28-utc_offset/24,"HH")&amp;search_regexp&amp;""""</f>
        <v>#REF!</v>
      </c>
      <c r="HDT28" s="234" t="e">
        <f>astrogrep_path&amp;" /e /r /s /spath="&amp;search_path&amp;" /stypes=""app*"&amp;HCP28&amp;"*"&amp;TEXT(HCW28-utc_offset/24,"YYYYMMDD")&amp;"*"" /stext="" "&amp;TEXT(HCW28-utc_offset/24,"HH")&amp;search_regexp&amp;""""</f>
        <v>#REF!</v>
      </c>
      <c r="HDU28" s="234" t="e">
        <f>astrogrep_path&amp;" /e /r /s /spath="&amp;search_path&amp;" /stypes=""app*"&amp;HCQ28&amp;"*"&amp;TEXT(HCX28-utc_offset/24,"YYYYMMDD")&amp;"*"" /stext="" "&amp;TEXT(HCX28-utc_offset/24,"HH")&amp;search_regexp&amp;""""</f>
        <v>#REF!</v>
      </c>
      <c r="HDV28" s="234" t="e">
        <f>astrogrep_path&amp;" /e /r /s /spath="&amp;search_path&amp;" /stypes=""app*"&amp;HCR28&amp;"*"&amp;TEXT(HCY28-utc_offset/24,"YYYYMMDD")&amp;"*"" /stext="" "&amp;TEXT(HCY28-utc_offset/24,"HH")&amp;search_regexp&amp;""""</f>
        <v>#REF!</v>
      </c>
      <c r="HDW28" s="234" t="e">
        <f>astrogrep_path&amp;" /e /r /s /spath="&amp;search_path&amp;" /stypes=""app*"&amp;HCS28&amp;"*"&amp;TEXT(HCZ28-utc_offset/24,"YYYYMMDD")&amp;"*"" /stext="" "&amp;TEXT(HCZ28-utc_offset/24,"HH")&amp;search_regexp&amp;""""</f>
        <v>#REF!</v>
      </c>
      <c r="HDX28" s="234" t="e">
        <f>astrogrep_path&amp;" /e /r /s /spath="&amp;search_path&amp;" /stypes=""app*"&amp;HCT28&amp;"*"&amp;TEXT(HDA28-utc_offset/24,"YYYYMMDD")&amp;"*"" /stext="" "&amp;TEXT(HDA28-utc_offset/24,"HH")&amp;search_regexp&amp;""""</f>
        <v>#REF!</v>
      </c>
      <c r="HDY28" s="234" t="e">
        <f>astrogrep_path&amp;" /e /r /s /spath="&amp;search_path&amp;" /stypes=""app*"&amp;HCU28&amp;"*"&amp;TEXT(HDB28-utc_offset/24,"YYYYMMDD")&amp;"*"" /stext="" "&amp;TEXT(HDB28-utc_offset/24,"HH")&amp;search_regexp&amp;""""</f>
        <v>#REF!</v>
      </c>
      <c r="HDZ28" s="234" t="e">
        <f>astrogrep_path&amp;" /e /r /s /spath="&amp;search_path&amp;" /stypes=""app*"&amp;HCV28&amp;"*"&amp;TEXT(HDC28-utc_offset/24,"YYYYMMDD")&amp;"*"" /stext="" "&amp;TEXT(HDC28-utc_offset/24,"HH")&amp;search_regexp&amp;""""</f>
        <v>#REF!</v>
      </c>
      <c r="HEA28" s="234" t="e">
        <f>astrogrep_path&amp;" /e /r /s /spath="&amp;search_path&amp;" /stypes=""app*"&amp;HCW28&amp;"*"&amp;TEXT(HDD28-utc_offset/24,"YYYYMMDD")&amp;"*"" /stext="" "&amp;TEXT(HDD28-utc_offset/24,"HH")&amp;search_regexp&amp;""""</f>
        <v>#REF!</v>
      </c>
      <c r="HEB28" s="234" t="e">
        <f>astrogrep_path&amp;" /e /r /s /spath="&amp;search_path&amp;" /stypes=""app*"&amp;HCX28&amp;"*"&amp;TEXT(HDE28-utc_offset/24,"YYYYMMDD")&amp;"*"" /stext="" "&amp;TEXT(HDE28-utc_offset/24,"HH")&amp;search_regexp&amp;""""</f>
        <v>#REF!</v>
      </c>
      <c r="HEC28" s="234" t="e">
        <f>astrogrep_path&amp;" /e /r /s /spath="&amp;search_path&amp;" /stypes=""app*"&amp;HCY28&amp;"*"&amp;TEXT(HDF28-utc_offset/24,"YYYYMMDD")&amp;"*"" /stext="" "&amp;TEXT(HDF28-utc_offset/24,"HH")&amp;search_regexp&amp;""""</f>
        <v>#REF!</v>
      </c>
      <c r="HED28" s="234" t="e">
        <f>astrogrep_path&amp;" /e /r /s /spath="&amp;search_path&amp;" /stypes=""app*"&amp;HCZ28&amp;"*"&amp;TEXT(HDG28-utc_offset/24,"YYYYMMDD")&amp;"*"" /stext="" "&amp;TEXT(HDG28-utc_offset/24,"HH")&amp;search_regexp&amp;""""</f>
        <v>#REF!</v>
      </c>
      <c r="HEE28" s="234" t="e">
        <f>astrogrep_path&amp;" /e /r /s /spath="&amp;search_path&amp;" /stypes=""app*"&amp;HDA28&amp;"*"&amp;TEXT(HDH28-utc_offset/24,"YYYYMMDD")&amp;"*"" /stext="" "&amp;TEXT(HDH28-utc_offset/24,"HH")&amp;search_regexp&amp;""""</f>
        <v>#REF!</v>
      </c>
      <c r="HEF28" s="234" t="e">
        <f>astrogrep_path&amp;" /e /r /s /spath="&amp;search_path&amp;" /stypes=""app*"&amp;HDB28&amp;"*"&amp;TEXT(HDI28-utc_offset/24,"YYYYMMDD")&amp;"*"" /stext="" "&amp;TEXT(HDI28-utc_offset/24,"HH")&amp;search_regexp&amp;""""</f>
        <v>#REF!</v>
      </c>
      <c r="HEG28" s="234" t="e">
        <f>astrogrep_path&amp;" /e /r /s /spath="&amp;search_path&amp;" /stypes=""app*"&amp;HDC28&amp;"*"&amp;TEXT(HDJ28-utc_offset/24,"YYYYMMDD")&amp;"*"" /stext="" "&amp;TEXT(HDJ28-utc_offset/24,"HH")&amp;search_regexp&amp;""""</f>
        <v>#REF!</v>
      </c>
      <c r="HEH28" s="234" t="e">
        <f>astrogrep_path&amp;" /e /r /s /spath="&amp;search_path&amp;" /stypes=""app*"&amp;HDD28&amp;"*"&amp;TEXT(HDK28-utc_offset/24,"YYYYMMDD")&amp;"*"" /stext="" "&amp;TEXT(HDK28-utc_offset/24,"HH")&amp;search_regexp&amp;""""</f>
        <v>#REF!</v>
      </c>
      <c r="HEI28" s="234" t="e">
        <f>astrogrep_path&amp;" /e /r /s /spath="&amp;search_path&amp;" /stypes=""app*"&amp;HDE28&amp;"*"&amp;TEXT(HDL28-utc_offset/24,"YYYYMMDD")&amp;"*"" /stext="" "&amp;TEXT(HDL28-utc_offset/24,"HH")&amp;search_regexp&amp;""""</f>
        <v>#REF!</v>
      </c>
      <c r="HEJ28" s="234" t="e">
        <f>astrogrep_path&amp;" /e /r /s /spath="&amp;search_path&amp;" /stypes=""app*"&amp;HDF28&amp;"*"&amp;TEXT(HDM28-utc_offset/24,"YYYYMMDD")&amp;"*"" /stext="" "&amp;TEXT(HDM28-utc_offset/24,"HH")&amp;search_regexp&amp;""""</f>
        <v>#REF!</v>
      </c>
      <c r="HEK28" s="234" t="e">
        <f>astrogrep_path&amp;" /e /r /s /spath="&amp;search_path&amp;" /stypes=""app*"&amp;HDG28&amp;"*"&amp;TEXT(HDN28-utc_offset/24,"YYYYMMDD")&amp;"*"" /stext="" "&amp;TEXT(HDN28-utc_offset/24,"HH")&amp;search_regexp&amp;""""</f>
        <v>#REF!</v>
      </c>
      <c r="HEL28" s="234" t="e">
        <f>astrogrep_path&amp;" /e /r /s /spath="&amp;search_path&amp;" /stypes=""app*"&amp;HDH28&amp;"*"&amp;TEXT(HDO28-utc_offset/24,"YYYYMMDD")&amp;"*"" /stext="" "&amp;TEXT(HDO28-utc_offset/24,"HH")&amp;search_regexp&amp;""""</f>
        <v>#REF!</v>
      </c>
      <c r="HEM28" s="234" t="e">
        <f>astrogrep_path&amp;" /e /r /s /spath="&amp;search_path&amp;" /stypes=""app*"&amp;HDI28&amp;"*"&amp;TEXT(HDP28-utc_offset/24,"YYYYMMDD")&amp;"*"" /stext="" "&amp;TEXT(HDP28-utc_offset/24,"HH")&amp;search_regexp&amp;""""</f>
        <v>#VALUE!</v>
      </c>
      <c r="HEN28" s="234" t="e">
        <f>astrogrep_path&amp;" /e /r /s /spath="&amp;search_path&amp;" /stypes=""app*"&amp;HDJ28&amp;"*"&amp;TEXT(HDQ28-utc_offset/24,"YYYYMMDD")&amp;"*"" /stext="" "&amp;TEXT(HDQ28-utc_offset/24,"HH")&amp;search_regexp&amp;""""</f>
        <v>#VALUE!</v>
      </c>
      <c r="HEO28" s="234" t="e">
        <f>astrogrep_path&amp;" /e /r /s /spath="&amp;search_path&amp;" /stypes=""app*"&amp;HDK28&amp;"*"&amp;TEXT(HDR28-utc_offset/24,"YYYYMMDD")&amp;"*"" /stext="" "&amp;TEXT(HDR28-utc_offset/24,"HH")&amp;search_regexp&amp;""""</f>
        <v>#REF!</v>
      </c>
      <c r="HEP28" s="234" t="e">
        <f>astrogrep_path&amp;" /e /r /s /spath="&amp;search_path&amp;" /stypes=""app*"&amp;HDL28&amp;"*"&amp;TEXT(HDS28-utc_offset/24,"YYYYMMDD")&amp;"*"" /stext="" "&amp;TEXT(HDS28-utc_offset/24,"HH")&amp;search_regexp&amp;""""</f>
        <v>#REF!</v>
      </c>
      <c r="HEQ28" s="234" t="e">
        <f>astrogrep_path&amp;" /e /r /s /spath="&amp;search_path&amp;" /stypes=""app*"&amp;HDM28&amp;"*"&amp;TEXT(HDT28-utc_offset/24,"YYYYMMDD")&amp;"*"" /stext="" "&amp;TEXT(HDT28-utc_offset/24,"HH")&amp;search_regexp&amp;""""</f>
        <v>#VALUE!</v>
      </c>
      <c r="HER28" s="234" t="e">
        <f>astrogrep_path&amp;" /e /r /s /spath="&amp;search_path&amp;" /stypes=""app*"&amp;HDN28&amp;"*"&amp;TEXT(HDU28-utc_offset/24,"YYYYMMDD")&amp;"*"" /stext="" "&amp;TEXT(HDU28-utc_offset/24,"HH")&amp;search_regexp&amp;""""</f>
        <v>#VALUE!</v>
      </c>
      <c r="HES28" s="234" t="e">
        <f>astrogrep_path&amp;" /e /r /s /spath="&amp;search_path&amp;" /stypes=""app*"&amp;HDO28&amp;"*"&amp;TEXT(HDV28-utc_offset/24,"YYYYMMDD")&amp;"*"" /stext="" "&amp;TEXT(HDV28-utc_offset/24,"HH")&amp;search_regexp&amp;""""</f>
        <v>#VALUE!</v>
      </c>
      <c r="HET28" s="234" t="e">
        <f>astrogrep_path&amp;" /e /r /s /spath="&amp;search_path&amp;" /stypes=""app*"&amp;HDP28&amp;"*"&amp;TEXT(HDW28-utc_offset/24,"YYYYMMDD")&amp;"*"" /stext="" "&amp;TEXT(HDW28-utc_offset/24,"HH")&amp;search_regexp&amp;""""</f>
        <v>#VALUE!</v>
      </c>
      <c r="HEU28" s="234" t="e">
        <f>astrogrep_path&amp;" /e /r /s /spath="&amp;search_path&amp;" /stypes=""app*"&amp;HDQ28&amp;"*"&amp;TEXT(HDX28-utc_offset/24,"YYYYMMDD")&amp;"*"" /stext="" "&amp;TEXT(HDX28-utc_offset/24,"HH")&amp;search_regexp&amp;""""</f>
        <v>#VALUE!</v>
      </c>
      <c r="HEV28" s="234" t="e">
        <f>astrogrep_path&amp;" /e /r /s /spath="&amp;search_path&amp;" /stypes=""app*"&amp;HDR28&amp;"*"&amp;TEXT(HDY28-utc_offset/24,"YYYYMMDD")&amp;"*"" /stext="" "&amp;TEXT(HDY28-utc_offset/24,"HH")&amp;search_regexp&amp;""""</f>
        <v>#REF!</v>
      </c>
      <c r="HEW28" s="234" t="e">
        <f>astrogrep_path&amp;" /e /r /s /spath="&amp;search_path&amp;" /stypes=""app*"&amp;HDS28&amp;"*"&amp;TEXT(HDZ28-utc_offset/24,"YYYYMMDD")&amp;"*"" /stext="" "&amp;TEXT(HDZ28-utc_offset/24,"HH")&amp;search_regexp&amp;""""</f>
        <v>#REF!</v>
      </c>
      <c r="HEX28" s="234" t="e">
        <f>astrogrep_path&amp;" /e /r /s /spath="&amp;search_path&amp;" /stypes=""app*"&amp;HDT28&amp;"*"&amp;TEXT(HEA28-utc_offset/24,"YYYYMMDD")&amp;"*"" /stext="" "&amp;TEXT(HEA28-utc_offset/24,"HH")&amp;search_regexp&amp;""""</f>
        <v>#REF!</v>
      </c>
      <c r="HEY28" s="234" t="e">
        <f>astrogrep_path&amp;" /e /r /s /spath="&amp;search_path&amp;" /stypes=""app*"&amp;HDU28&amp;"*"&amp;TEXT(HEB28-utc_offset/24,"YYYYMMDD")&amp;"*"" /stext="" "&amp;TEXT(HEB28-utc_offset/24,"HH")&amp;search_regexp&amp;""""</f>
        <v>#REF!</v>
      </c>
      <c r="HEZ28" s="234" t="e">
        <f>astrogrep_path&amp;" /e /r /s /spath="&amp;search_path&amp;" /stypes=""app*"&amp;HDV28&amp;"*"&amp;TEXT(HEC28-utc_offset/24,"YYYYMMDD")&amp;"*"" /stext="" "&amp;TEXT(HEC28-utc_offset/24,"HH")&amp;search_regexp&amp;""""</f>
        <v>#REF!</v>
      </c>
      <c r="HFA28" s="234" t="e">
        <f>astrogrep_path&amp;" /e /r /s /spath="&amp;search_path&amp;" /stypes=""app*"&amp;HDW28&amp;"*"&amp;TEXT(HED28-utc_offset/24,"YYYYMMDD")&amp;"*"" /stext="" "&amp;TEXT(HED28-utc_offset/24,"HH")&amp;search_regexp&amp;""""</f>
        <v>#REF!</v>
      </c>
      <c r="HFB28" s="234" t="e">
        <f>astrogrep_path&amp;" /e /r /s /spath="&amp;search_path&amp;" /stypes=""app*"&amp;HDX28&amp;"*"&amp;TEXT(HEE28-utc_offset/24,"YYYYMMDD")&amp;"*"" /stext="" "&amp;TEXT(HEE28-utc_offset/24,"HH")&amp;search_regexp&amp;""""</f>
        <v>#REF!</v>
      </c>
      <c r="HFC28" s="234" t="e">
        <f>astrogrep_path&amp;" /e /r /s /spath="&amp;search_path&amp;" /stypes=""app*"&amp;HDY28&amp;"*"&amp;TEXT(HEF28-utc_offset/24,"YYYYMMDD")&amp;"*"" /stext="" "&amp;TEXT(HEF28-utc_offset/24,"HH")&amp;search_regexp&amp;""""</f>
        <v>#REF!</v>
      </c>
      <c r="HFD28" s="234" t="e">
        <f>astrogrep_path&amp;" /e /r /s /spath="&amp;search_path&amp;" /stypes=""app*"&amp;HDZ28&amp;"*"&amp;TEXT(HEG28-utc_offset/24,"YYYYMMDD")&amp;"*"" /stext="" "&amp;TEXT(HEG28-utc_offset/24,"HH")&amp;search_regexp&amp;""""</f>
        <v>#REF!</v>
      </c>
      <c r="HFE28" s="234" t="e">
        <f>astrogrep_path&amp;" /e /r /s /spath="&amp;search_path&amp;" /stypes=""app*"&amp;HEA28&amp;"*"&amp;TEXT(HEH28-utc_offset/24,"YYYYMMDD")&amp;"*"" /stext="" "&amp;TEXT(HEH28-utc_offset/24,"HH")&amp;search_regexp&amp;""""</f>
        <v>#REF!</v>
      </c>
      <c r="HFF28" s="234" t="e">
        <f>astrogrep_path&amp;" /e /r /s /spath="&amp;search_path&amp;" /stypes=""app*"&amp;HEB28&amp;"*"&amp;TEXT(HEI28-utc_offset/24,"YYYYMMDD")&amp;"*"" /stext="" "&amp;TEXT(HEI28-utc_offset/24,"HH")&amp;search_regexp&amp;""""</f>
        <v>#REF!</v>
      </c>
      <c r="HFG28" s="234" t="e">
        <f>astrogrep_path&amp;" /e /r /s /spath="&amp;search_path&amp;" /stypes=""app*"&amp;HEC28&amp;"*"&amp;TEXT(HEJ28-utc_offset/24,"YYYYMMDD")&amp;"*"" /stext="" "&amp;TEXT(HEJ28-utc_offset/24,"HH")&amp;search_regexp&amp;""""</f>
        <v>#REF!</v>
      </c>
      <c r="HFH28" s="234" t="e">
        <f>astrogrep_path&amp;" /e /r /s /spath="&amp;search_path&amp;" /stypes=""app*"&amp;HED28&amp;"*"&amp;TEXT(HEK28-utc_offset/24,"YYYYMMDD")&amp;"*"" /stext="" "&amp;TEXT(HEK28-utc_offset/24,"HH")&amp;search_regexp&amp;""""</f>
        <v>#REF!</v>
      </c>
      <c r="HFI28" s="234" t="e">
        <f>astrogrep_path&amp;" /e /r /s /spath="&amp;search_path&amp;" /stypes=""app*"&amp;HEE28&amp;"*"&amp;TEXT(HEL28-utc_offset/24,"YYYYMMDD")&amp;"*"" /stext="" "&amp;TEXT(HEL28-utc_offset/24,"HH")&amp;search_regexp&amp;""""</f>
        <v>#REF!</v>
      </c>
      <c r="HFJ28" s="234" t="e">
        <f>astrogrep_path&amp;" /e /r /s /spath="&amp;search_path&amp;" /stypes=""app*"&amp;HEF28&amp;"*"&amp;TEXT(HEM28-utc_offset/24,"YYYYMMDD")&amp;"*"" /stext="" "&amp;TEXT(HEM28-utc_offset/24,"HH")&amp;search_regexp&amp;""""</f>
        <v>#REF!</v>
      </c>
      <c r="HFK28" s="234" t="e">
        <f>astrogrep_path&amp;" /e /r /s /spath="&amp;search_path&amp;" /stypes=""app*"&amp;HEG28&amp;"*"&amp;TEXT(HEN28-utc_offset/24,"YYYYMMDD")&amp;"*"" /stext="" "&amp;TEXT(HEN28-utc_offset/24,"HH")&amp;search_regexp&amp;""""</f>
        <v>#REF!</v>
      </c>
      <c r="HFL28" s="234" t="e">
        <f>astrogrep_path&amp;" /e /r /s /spath="&amp;search_path&amp;" /stypes=""app*"&amp;HEH28&amp;"*"&amp;TEXT(HEO28-utc_offset/24,"YYYYMMDD")&amp;"*"" /stext="" "&amp;TEXT(HEO28-utc_offset/24,"HH")&amp;search_regexp&amp;""""</f>
        <v>#REF!</v>
      </c>
      <c r="HFM28" s="234" t="e">
        <f>astrogrep_path&amp;" /e /r /s /spath="&amp;search_path&amp;" /stypes=""app*"&amp;HEI28&amp;"*"&amp;TEXT(HEP28-utc_offset/24,"YYYYMMDD")&amp;"*"" /stext="" "&amp;TEXT(HEP28-utc_offset/24,"HH")&amp;search_regexp&amp;""""</f>
        <v>#REF!</v>
      </c>
      <c r="HFN28" s="234" t="e">
        <f>astrogrep_path&amp;" /e /r /s /spath="&amp;search_path&amp;" /stypes=""app*"&amp;HEJ28&amp;"*"&amp;TEXT(HEQ28-utc_offset/24,"YYYYMMDD")&amp;"*"" /stext="" "&amp;TEXT(HEQ28-utc_offset/24,"HH")&amp;search_regexp&amp;""""</f>
        <v>#REF!</v>
      </c>
      <c r="HFO28" s="234" t="e">
        <f>astrogrep_path&amp;" /e /r /s /spath="&amp;search_path&amp;" /stypes=""app*"&amp;HEK28&amp;"*"&amp;TEXT(HER28-utc_offset/24,"YYYYMMDD")&amp;"*"" /stext="" "&amp;TEXT(HER28-utc_offset/24,"HH")&amp;search_regexp&amp;""""</f>
        <v>#REF!</v>
      </c>
      <c r="HFP28" s="234" t="e">
        <f>astrogrep_path&amp;" /e /r /s /spath="&amp;search_path&amp;" /stypes=""app*"&amp;HEL28&amp;"*"&amp;TEXT(HES28-utc_offset/24,"YYYYMMDD")&amp;"*"" /stext="" "&amp;TEXT(HES28-utc_offset/24,"HH")&amp;search_regexp&amp;""""</f>
        <v>#REF!</v>
      </c>
      <c r="HFQ28" s="234" t="e">
        <f>astrogrep_path&amp;" /e /r /s /spath="&amp;search_path&amp;" /stypes=""app*"&amp;HEM28&amp;"*"&amp;TEXT(HET28-utc_offset/24,"YYYYMMDD")&amp;"*"" /stext="" "&amp;TEXT(HET28-utc_offset/24,"HH")&amp;search_regexp&amp;""""</f>
        <v>#VALUE!</v>
      </c>
      <c r="HFR28" s="234" t="e">
        <f>astrogrep_path&amp;" /e /r /s /spath="&amp;search_path&amp;" /stypes=""app*"&amp;HEN28&amp;"*"&amp;TEXT(HEU28-utc_offset/24,"YYYYMMDD")&amp;"*"" /stext="" "&amp;TEXT(HEU28-utc_offset/24,"HH")&amp;search_regexp&amp;""""</f>
        <v>#VALUE!</v>
      </c>
      <c r="HFS28" s="234" t="e">
        <f>astrogrep_path&amp;" /e /r /s /spath="&amp;search_path&amp;" /stypes=""app*"&amp;HEO28&amp;"*"&amp;TEXT(HEV28-utc_offset/24,"YYYYMMDD")&amp;"*"" /stext="" "&amp;TEXT(HEV28-utc_offset/24,"HH")&amp;search_regexp&amp;""""</f>
        <v>#REF!</v>
      </c>
      <c r="HFT28" s="234" t="e">
        <f>astrogrep_path&amp;" /e /r /s /spath="&amp;search_path&amp;" /stypes=""app*"&amp;HEP28&amp;"*"&amp;TEXT(HEW28-utc_offset/24,"YYYYMMDD")&amp;"*"" /stext="" "&amp;TEXT(HEW28-utc_offset/24,"HH")&amp;search_regexp&amp;""""</f>
        <v>#REF!</v>
      </c>
      <c r="HFU28" s="234" t="e">
        <f>astrogrep_path&amp;" /e /r /s /spath="&amp;search_path&amp;" /stypes=""app*"&amp;HEQ28&amp;"*"&amp;TEXT(HEX28-utc_offset/24,"YYYYMMDD")&amp;"*"" /stext="" "&amp;TEXT(HEX28-utc_offset/24,"HH")&amp;search_regexp&amp;""""</f>
        <v>#VALUE!</v>
      </c>
      <c r="HFV28" s="234" t="e">
        <f>astrogrep_path&amp;" /e /r /s /spath="&amp;search_path&amp;" /stypes=""app*"&amp;HER28&amp;"*"&amp;TEXT(HEY28-utc_offset/24,"YYYYMMDD")&amp;"*"" /stext="" "&amp;TEXT(HEY28-utc_offset/24,"HH")&amp;search_regexp&amp;""""</f>
        <v>#VALUE!</v>
      </c>
      <c r="HFW28" s="234" t="e">
        <f>astrogrep_path&amp;" /e /r /s /spath="&amp;search_path&amp;" /stypes=""app*"&amp;HES28&amp;"*"&amp;TEXT(HEZ28-utc_offset/24,"YYYYMMDD")&amp;"*"" /stext="" "&amp;TEXT(HEZ28-utc_offset/24,"HH")&amp;search_regexp&amp;""""</f>
        <v>#VALUE!</v>
      </c>
      <c r="HFX28" s="234" t="e">
        <f>astrogrep_path&amp;" /e /r /s /spath="&amp;search_path&amp;" /stypes=""app*"&amp;HET28&amp;"*"&amp;TEXT(HFA28-utc_offset/24,"YYYYMMDD")&amp;"*"" /stext="" "&amp;TEXT(HFA28-utc_offset/24,"HH")&amp;search_regexp&amp;""""</f>
        <v>#VALUE!</v>
      </c>
      <c r="HFY28" s="234" t="e">
        <f>astrogrep_path&amp;" /e /r /s /spath="&amp;search_path&amp;" /stypes=""app*"&amp;HEU28&amp;"*"&amp;TEXT(HFB28-utc_offset/24,"YYYYMMDD")&amp;"*"" /stext="" "&amp;TEXT(HFB28-utc_offset/24,"HH")&amp;search_regexp&amp;""""</f>
        <v>#VALUE!</v>
      </c>
      <c r="HFZ28" s="234" t="e">
        <f>astrogrep_path&amp;" /e /r /s /spath="&amp;search_path&amp;" /stypes=""app*"&amp;HEV28&amp;"*"&amp;TEXT(HFC28-utc_offset/24,"YYYYMMDD")&amp;"*"" /stext="" "&amp;TEXT(HFC28-utc_offset/24,"HH")&amp;search_regexp&amp;""""</f>
        <v>#REF!</v>
      </c>
      <c r="HGA28" s="234" t="e">
        <f>astrogrep_path&amp;" /e /r /s /spath="&amp;search_path&amp;" /stypes=""app*"&amp;HEW28&amp;"*"&amp;TEXT(HFD28-utc_offset/24,"YYYYMMDD")&amp;"*"" /stext="" "&amp;TEXT(HFD28-utc_offset/24,"HH")&amp;search_regexp&amp;""""</f>
        <v>#REF!</v>
      </c>
      <c r="HGB28" s="234" t="e">
        <f>astrogrep_path&amp;" /e /r /s /spath="&amp;search_path&amp;" /stypes=""app*"&amp;HEX28&amp;"*"&amp;TEXT(HFE28-utc_offset/24,"YYYYMMDD")&amp;"*"" /stext="" "&amp;TEXT(HFE28-utc_offset/24,"HH")&amp;search_regexp&amp;""""</f>
        <v>#REF!</v>
      </c>
      <c r="HGC28" s="234" t="e">
        <f>astrogrep_path&amp;" /e /r /s /spath="&amp;search_path&amp;" /stypes=""app*"&amp;HEY28&amp;"*"&amp;TEXT(HFF28-utc_offset/24,"YYYYMMDD")&amp;"*"" /stext="" "&amp;TEXT(HFF28-utc_offset/24,"HH")&amp;search_regexp&amp;""""</f>
        <v>#REF!</v>
      </c>
      <c r="HGD28" s="234" t="e">
        <f>astrogrep_path&amp;" /e /r /s /spath="&amp;search_path&amp;" /stypes=""app*"&amp;HEZ28&amp;"*"&amp;TEXT(HFG28-utc_offset/24,"YYYYMMDD")&amp;"*"" /stext="" "&amp;TEXT(HFG28-utc_offset/24,"HH")&amp;search_regexp&amp;""""</f>
        <v>#REF!</v>
      </c>
      <c r="HGE28" s="234" t="e">
        <f>astrogrep_path&amp;" /e /r /s /spath="&amp;search_path&amp;" /stypes=""app*"&amp;HFA28&amp;"*"&amp;TEXT(HFH28-utc_offset/24,"YYYYMMDD")&amp;"*"" /stext="" "&amp;TEXT(HFH28-utc_offset/24,"HH")&amp;search_regexp&amp;""""</f>
        <v>#REF!</v>
      </c>
      <c r="HGF28" s="234" t="e">
        <f>astrogrep_path&amp;" /e /r /s /spath="&amp;search_path&amp;" /stypes=""app*"&amp;HFB28&amp;"*"&amp;TEXT(HFI28-utc_offset/24,"YYYYMMDD")&amp;"*"" /stext="" "&amp;TEXT(HFI28-utc_offset/24,"HH")&amp;search_regexp&amp;""""</f>
        <v>#REF!</v>
      </c>
      <c r="HGG28" s="234" t="e">
        <f>astrogrep_path&amp;" /e /r /s /spath="&amp;search_path&amp;" /stypes=""app*"&amp;HFC28&amp;"*"&amp;TEXT(HFJ28-utc_offset/24,"YYYYMMDD")&amp;"*"" /stext="" "&amp;TEXT(HFJ28-utc_offset/24,"HH")&amp;search_regexp&amp;""""</f>
        <v>#REF!</v>
      </c>
      <c r="HGH28" s="234" t="e">
        <f>astrogrep_path&amp;" /e /r /s /spath="&amp;search_path&amp;" /stypes=""app*"&amp;HFD28&amp;"*"&amp;TEXT(HFK28-utc_offset/24,"YYYYMMDD")&amp;"*"" /stext="" "&amp;TEXT(HFK28-utc_offset/24,"HH")&amp;search_regexp&amp;""""</f>
        <v>#REF!</v>
      </c>
      <c r="HGI28" s="234" t="e">
        <f>astrogrep_path&amp;" /e /r /s /spath="&amp;search_path&amp;" /stypes=""app*"&amp;HFE28&amp;"*"&amp;TEXT(HFL28-utc_offset/24,"YYYYMMDD")&amp;"*"" /stext="" "&amp;TEXT(HFL28-utc_offset/24,"HH")&amp;search_regexp&amp;""""</f>
        <v>#REF!</v>
      </c>
      <c r="HGJ28" s="234" t="e">
        <f>astrogrep_path&amp;" /e /r /s /spath="&amp;search_path&amp;" /stypes=""app*"&amp;HFF28&amp;"*"&amp;TEXT(HFM28-utc_offset/24,"YYYYMMDD")&amp;"*"" /stext="" "&amp;TEXT(HFM28-utc_offset/24,"HH")&amp;search_regexp&amp;""""</f>
        <v>#REF!</v>
      </c>
      <c r="HGK28" s="234" t="e">
        <f>astrogrep_path&amp;" /e /r /s /spath="&amp;search_path&amp;" /stypes=""app*"&amp;HFG28&amp;"*"&amp;TEXT(HFN28-utc_offset/24,"YYYYMMDD")&amp;"*"" /stext="" "&amp;TEXT(HFN28-utc_offset/24,"HH")&amp;search_regexp&amp;""""</f>
        <v>#REF!</v>
      </c>
      <c r="HGL28" s="234" t="e">
        <f>astrogrep_path&amp;" /e /r /s /spath="&amp;search_path&amp;" /stypes=""app*"&amp;HFH28&amp;"*"&amp;TEXT(HFO28-utc_offset/24,"YYYYMMDD")&amp;"*"" /stext="" "&amp;TEXT(HFO28-utc_offset/24,"HH")&amp;search_regexp&amp;""""</f>
        <v>#REF!</v>
      </c>
      <c r="HGM28" s="234" t="e">
        <f>astrogrep_path&amp;" /e /r /s /spath="&amp;search_path&amp;" /stypes=""app*"&amp;HFI28&amp;"*"&amp;TEXT(HFP28-utc_offset/24,"YYYYMMDD")&amp;"*"" /stext="" "&amp;TEXT(HFP28-utc_offset/24,"HH")&amp;search_regexp&amp;""""</f>
        <v>#REF!</v>
      </c>
      <c r="HGN28" s="234" t="e">
        <f>astrogrep_path&amp;" /e /r /s /spath="&amp;search_path&amp;" /stypes=""app*"&amp;HFJ28&amp;"*"&amp;TEXT(HFQ28-utc_offset/24,"YYYYMMDD")&amp;"*"" /stext="" "&amp;TEXT(HFQ28-utc_offset/24,"HH")&amp;search_regexp&amp;""""</f>
        <v>#REF!</v>
      </c>
      <c r="HGO28" s="234" t="e">
        <f>astrogrep_path&amp;" /e /r /s /spath="&amp;search_path&amp;" /stypes=""app*"&amp;HFK28&amp;"*"&amp;TEXT(HFR28-utc_offset/24,"YYYYMMDD")&amp;"*"" /stext="" "&amp;TEXT(HFR28-utc_offset/24,"HH")&amp;search_regexp&amp;""""</f>
        <v>#REF!</v>
      </c>
      <c r="HGP28" s="234" t="e">
        <f>astrogrep_path&amp;" /e /r /s /spath="&amp;search_path&amp;" /stypes=""app*"&amp;HFL28&amp;"*"&amp;TEXT(HFS28-utc_offset/24,"YYYYMMDD")&amp;"*"" /stext="" "&amp;TEXT(HFS28-utc_offset/24,"HH")&amp;search_regexp&amp;""""</f>
        <v>#REF!</v>
      </c>
      <c r="HGQ28" s="234" t="e">
        <f>astrogrep_path&amp;" /e /r /s /spath="&amp;search_path&amp;" /stypes=""app*"&amp;HFM28&amp;"*"&amp;TEXT(HFT28-utc_offset/24,"YYYYMMDD")&amp;"*"" /stext="" "&amp;TEXT(HFT28-utc_offset/24,"HH")&amp;search_regexp&amp;""""</f>
        <v>#REF!</v>
      </c>
      <c r="HGR28" s="234" t="e">
        <f>astrogrep_path&amp;" /e /r /s /spath="&amp;search_path&amp;" /stypes=""app*"&amp;HFN28&amp;"*"&amp;TEXT(HFU28-utc_offset/24,"YYYYMMDD")&amp;"*"" /stext="" "&amp;TEXT(HFU28-utc_offset/24,"HH")&amp;search_regexp&amp;""""</f>
        <v>#REF!</v>
      </c>
      <c r="HGS28" s="234" t="e">
        <f>astrogrep_path&amp;" /e /r /s /spath="&amp;search_path&amp;" /stypes=""app*"&amp;HFO28&amp;"*"&amp;TEXT(HFV28-utc_offset/24,"YYYYMMDD")&amp;"*"" /stext="" "&amp;TEXT(HFV28-utc_offset/24,"HH")&amp;search_regexp&amp;""""</f>
        <v>#REF!</v>
      </c>
      <c r="HGT28" s="234" t="e">
        <f>astrogrep_path&amp;" /e /r /s /spath="&amp;search_path&amp;" /stypes=""app*"&amp;HFP28&amp;"*"&amp;TEXT(HFW28-utc_offset/24,"YYYYMMDD")&amp;"*"" /stext="" "&amp;TEXT(HFW28-utc_offset/24,"HH")&amp;search_regexp&amp;""""</f>
        <v>#REF!</v>
      </c>
      <c r="HGU28" s="234" t="e">
        <f>astrogrep_path&amp;" /e /r /s /spath="&amp;search_path&amp;" /stypes=""app*"&amp;HFQ28&amp;"*"&amp;TEXT(HFX28-utc_offset/24,"YYYYMMDD")&amp;"*"" /stext="" "&amp;TEXT(HFX28-utc_offset/24,"HH")&amp;search_regexp&amp;""""</f>
        <v>#VALUE!</v>
      </c>
      <c r="HGV28" s="234" t="e">
        <f>astrogrep_path&amp;" /e /r /s /spath="&amp;search_path&amp;" /stypes=""app*"&amp;HFR28&amp;"*"&amp;TEXT(HFY28-utc_offset/24,"YYYYMMDD")&amp;"*"" /stext="" "&amp;TEXT(HFY28-utc_offset/24,"HH")&amp;search_regexp&amp;""""</f>
        <v>#VALUE!</v>
      </c>
      <c r="HGW28" s="234" t="e">
        <f>astrogrep_path&amp;" /e /r /s /spath="&amp;search_path&amp;" /stypes=""app*"&amp;HFS28&amp;"*"&amp;TEXT(HFZ28-utc_offset/24,"YYYYMMDD")&amp;"*"" /stext="" "&amp;TEXT(HFZ28-utc_offset/24,"HH")&amp;search_regexp&amp;""""</f>
        <v>#REF!</v>
      </c>
      <c r="HGX28" s="234" t="e">
        <f>astrogrep_path&amp;" /e /r /s /spath="&amp;search_path&amp;" /stypes=""app*"&amp;HFT28&amp;"*"&amp;TEXT(HGA28-utc_offset/24,"YYYYMMDD")&amp;"*"" /stext="" "&amp;TEXT(HGA28-utc_offset/24,"HH")&amp;search_regexp&amp;""""</f>
        <v>#REF!</v>
      </c>
      <c r="HGY28" s="234" t="e">
        <f>astrogrep_path&amp;" /e /r /s /spath="&amp;search_path&amp;" /stypes=""app*"&amp;HFU28&amp;"*"&amp;TEXT(HGB28-utc_offset/24,"YYYYMMDD")&amp;"*"" /stext="" "&amp;TEXT(HGB28-utc_offset/24,"HH")&amp;search_regexp&amp;""""</f>
        <v>#VALUE!</v>
      </c>
      <c r="HGZ28" s="234" t="e">
        <f>astrogrep_path&amp;" /e /r /s /spath="&amp;search_path&amp;" /stypes=""app*"&amp;HFV28&amp;"*"&amp;TEXT(HGC28-utc_offset/24,"YYYYMMDD")&amp;"*"" /stext="" "&amp;TEXT(HGC28-utc_offset/24,"HH")&amp;search_regexp&amp;""""</f>
        <v>#VALUE!</v>
      </c>
      <c r="HHA28" s="234" t="e">
        <f>astrogrep_path&amp;" /e /r /s /spath="&amp;search_path&amp;" /stypes=""app*"&amp;HFW28&amp;"*"&amp;TEXT(HGD28-utc_offset/24,"YYYYMMDD")&amp;"*"" /stext="" "&amp;TEXT(HGD28-utc_offset/24,"HH")&amp;search_regexp&amp;""""</f>
        <v>#VALUE!</v>
      </c>
      <c r="HHB28" s="234" t="e">
        <f>astrogrep_path&amp;" /e /r /s /spath="&amp;search_path&amp;" /stypes=""app*"&amp;HFX28&amp;"*"&amp;TEXT(HGE28-utc_offset/24,"YYYYMMDD")&amp;"*"" /stext="" "&amp;TEXT(HGE28-utc_offset/24,"HH")&amp;search_regexp&amp;""""</f>
        <v>#VALUE!</v>
      </c>
      <c r="HHC28" s="234" t="e">
        <f>astrogrep_path&amp;" /e /r /s /spath="&amp;search_path&amp;" /stypes=""app*"&amp;HFY28&amp;"*"&amp;TEXT(HGF28-utc_offset/24,"YYYYMMDD")&amp;"*"" /stext="" "&amp;TEXT(HGF28-utc_offset/24,"HH")&amp;search_regexp&amp;""""</f>
        <v>#VALUE!</v>
      </c>
      <c r="HHD28" s="234" t="e">
        <f>astrogrep_path&amp;" /e /r /s /spath="&amp;search_path&amp;" /stypes=""app*"&amp;HFZ28&amp;"*"&amp;TEXT(HGG28-utc_offset/24,"YYYYMMDD")&amp;"*"" /stext="" "&amp;TEXT(HGG28-utc_offset/24,"HH")&amp;search_regexp&amp;""""</f>
        <v>#REF!</v>
      </c>
      <c r="HHE28" s="234" t="e">
        <f>astrogrep_path&amp;" /e /r /s /spath="&amp;search_path&amp;" /stypes=""app*"&amp;HGA28&amp;"*"&amp;TEXT(HGH28-utc_offset/24,"YYYYMMDD")&amp;"*"" /stext="" "&amp;TEXT(HGH28-utc_offset/24,"HH")&amp;search_regexp&amp;""""</f>
        <v>#REF!</v>
      </c>
      <c r="HHF28" s="234" t="e">
        <f>astrogrep_path&amp;" /e /r /s /spath="&amp;search_path&amp;" /stypes=""app*"&amp;HGB28&amp;"*"&amp;TEXT(HGI28-utc_offset/24,"YYYYMMDD")&amp;"*"" /stext="" "&amp;TEXT(HGI28-utc_offset/24,"HH")&amp;search_regexp&amp;""""</f>
        <v>#REF!</v>
      </c>
      <c r="HHG28" s="234" t="e">
        <f>astrogrep_path&amp;" /e /r /s /spath="&amp;search_path&amp;" /stypes=""app*"&amp;HGC28&amp;"*"&amp;TEXT(HGJ28-utc_offset/24,"YYYYMMDD")&amp;"*"" /stext="" "&amp;TEXT(HGJ28-utc_offset/24,"HH")&amp;search_regexp&amp;""""</f>
        <v>#REF!</v>
      </c>
      <c r="HHH28" s="234" t="e">
        <f>astrogrep_path&amp;" /e /r /s /spath="&amp;search_path&amp;" /stypes=""app*"&amp;HGD28&amp;"*"&amp;TEXT(HGK28-utc_offset/24,"YYYYMMDD")&amp;"*"" /stext="" "&amp;TEXT(HGK28-utc_offset/24,"HH")&amp;search_regexp&amp;""""</f>
        <v>#REF!</v>
      </c>
      <c r="HHI28" s="234" t="e">
        <f>astrogrep_path&amp;" /e /r /s /spath="&amp;search_path&amp;" /stypes=""app*"&amp;HGE28&amp;"*"&amp;TEXT(HGL28-utc_offset/24,"YYYYMMDD")&amp;"*"" /stext="" "&amp;TEXT(HGL28-utc_offset/24,"HH")&amp;search_regexp&amp;""""</f>
        <v>#REF!</v>
      </c>
      <c r="HHJ28" s="234" t="e">
        <f>astrogrep_path&amp;" /e /r /s /spath="&amp;search_path&amp;" /stypes=""app*"&amp;HGF28&amp;"*"&amp;TEXT(HGM28-utc_offset/24,"YYYYMMDD")&amp;"*"" /stext="" "&amp;TEXT(HGM28-utc_offset/24,"HH")&amp;search_regexp&amp;""""</f>
        <v>#REF!</v>
      </c>
      <c r="HHK28" s="234" t="e">
        <f>astrogrep_path&amp;" /e /r /s /spath="&amp;search_path&amp;" /stypes=""app*"&amp;HGG28&amp;"*"&amp;TEXT(HGN28-utc_offset/24,"YYYYMMDD")&amp;"*"" /stext="" "&amp;TEXT(HGN28-utc_offset/24,"HH")&amp;search_regexp&amp;""""</f>
        <v>#REF!</v>
      </c>
      <c r="HHL28" s="234" t="e">
        <f>astrogrep_path&amp;" /e /r /s /spath="&amp;search_path&amp;" /stypes=""app*"&amp;HGH28&amp;"*"&amp;TEXT(HGO28-utc_offset/24,"YYYYMMDD")&amp;"*"" /stext="" "&amp;TEXT(HGO28-utc_offset/24,"HH")&amp;search_regexp&amp;""""</f>
        <v>#REF!</v>
      </c>
      <c r="HHM28" s="234" t="e">
        <f>astrogrep_path&amp;" /e /r /s /spath="&amp;search_path&amp;" /stypes=""app*"&amp;HGI28&amp;"*"&amp;TEXT(HGP28-utc_offset/24,"YYYYMMDD")&amp;"*"" /stext="" "&amp;TEXT(HGP28-utc_offset/24,"HH")&amp;search_regexp&amp;""""</f>
        <v>#REF!</v>
      </c>
      <c r="HHN28" s="234" t="e">
        <f>astrogrep_path&amp;" /e /r /s /spath="&amp;search_path&amp;" /stypes=""app*"&amp;HGJ28&amp;"*"&amp;TEXT(HGQ28-utc_offset/24,"YYYYMMDD")&amp;"*"" /stext="" "&amp;TEXT(HGQ28-utc_offset/24,"HH")&amp;search_regexp&amp;""""</f>
        <v>#REF!</v>
      </c>
      <c r="HHO28" s="234" t="e">
        <f>astrogrep_path&amp;" /e /r /s /spath="&amp;search_path&amp;" /stypes=""app*"&amp;HGK28&amp;"*"&amp;TEXT(HGR28-utc_offset/24,"YYYYMMDD")&amp;"*"" /stext="" "&amp;TEXT(HGR28-utc_offset/24,"HH")&amp;search_regexp&amp;""""</f>
        <v>#REF!</v>
      </c>
      <c r="HHP28" s="234" t="e">
        <f>astrogrep_path&amp;" /e /r /s /spath="&amp;search_path&amp;" /stypes=""app*"&amp;HGL28&amp;"*"&amp;TEXT(HGS28-utc_offset/24,"YYYYMMDD")&amp;"*"" /stext="" "&amp;TEXT(HGS28-utc_offset/24,"HH")&amp;search_regexp&amp;""""</f>
        <v>#REF!</v>
      </c>
      <c r="HHQ28" s="234" t="e">
        <f>astrogrep_path&amp;" /e /r /s /spath="&amp;search_path&amp;" /stypes=""app*"&amp;HGM28&amp;"*"&amp;TEXT(HGT28-utc_offset/24,"YYYYMMDD")&amp;"*"" /stext="" "&amp;TEXT(HGT28-utc_offset/24,"HH")&amp;search_regexp&amp;""""</f>
        <v>#REF!</v>
      </c>
      <c r="HHR28" s="234" t="e">
        <f>astrogrep_path&amp;" /e /r /s /spath="&amp;search_path&amp;" /stypes=""app*"&amp;HGN28&amp;"*"&amp;TEXT(HGU28-utc_offset/24,"YYYYMMDD")&amp;"*"" /stext="" "&amp;TEXT(HGU28-utc_offset/24,"HH")&amp;search_regexp&amp;""""</f>
        <v>#REF!</v>
      </c>
      <c r="HHS28" s="234" t="e">
        <f>astrogrep_path&amp;" /e /r /s /spath="&amp;search_path&amp;" /stypes=""app*"&amp;HGO28&amp;"*"&amp;TEXT(HGV28-utc_offset/24,"YYYYMMDD")&amp;"*"" /stext="" "&amp;TEXT(HGV28-utc_offset/24,"HH")&amp;search_regexp&amp;""""</f>
        <v>#REF!</v>
      </c>
      <c r="HHT28" s="234" t="e">
        <f>astrogrep_path&amp;" /e /r /s /spath="&amp;search_path&amp;" /stypes=""app*"&amp;HGP28&amp;"*"&amp;TEXT(HGW28-utc_offset/24,"YYYYMMDD")&amp;"*"" /stext="" "&amp;TEXT(HGW28-utc_offset/24,"HH")&amp;search_regexp&amp;""""</f>
        <v>#REF!</v>
      </c>
      <c r="HHU28" s="234" t="e">
        <f>astrogrep_path&amp;" /e /r /s /spath="&amp;search_path&amp;" /stypes=""app*"&amp;HGQ28&amp;"*"&amp;TEXT(HGX28-utc_offset/24,"YYYYMMDD")&amp;"*"" /stext="" "&amp;TEXT(HGX28-utc_offset/24,"HH")&amp;search_regexp&amp;""""</f>
        <v>#REF!</v>
      </c>
      <c r="HHV28" s="234" t="e">
        <f>astrogrep_path&amp;" /e /r /s /spath="&amp;search_path&amp;" /stypes=""app*"&amp;HGR28&amp;"*"&amp;TEXT(HGY28-utc_offset/24,"YYYYMMDD")&amp;"*"" /stext="" "&amp;TEXT(HGY28-utc_offset/24,"HH")&amp;search_regexp&amp;""""</f>
        <v>#REF!</v>
      </c>
      <c r="HHW28" s="234" t="e">
        <f>astrogrep_path&amp;" /e /r /s /spath="&amp;search_path&amp;" /stypes=""app*"&amp;HGS28&amp;"*"&amp;TEXT(HGZ28-utc_offset/24,"YYYYMMDD")&amp;"*"" /stext="" "&amp;TEXT(HGZ28-utc_offset/24,"HH")&amp;search_regexp&amp;""""</f>
        <v>#REF!</v>
      </c>
      <c r="HHX28" s="234" t="e">
        <f>astrogrep_path&amp;" /e /r /s /spath="&amp;search_path&amp;" /stypes=""app*"&amp;HGT28&amp;"*"&amp;TEXT(HHA28-utc_offset/24,"YYYYMMDD")&amp;"*"" /stext="" "&amp;TEXT(HHA28-utc_offset/24,"HH")&amp;search_regexp&amp;""""</f>
        <v>#REF!</v>
      </c>
      <c r="HHY28" s="234" t="e">
        <f>astrogrep_path&amp;" /e /r /s /spath="&amp;search_path&amp;" /stypes=""app*"&amp;HGU28&amp;"*"&amp;TEXT(HHB28-utc_offset/24,"YYYYMMDD")&amp;"*"" /stext="" "&amp;TEXT(HHB28-utc_offset/24,"HH")&amp;search_regexp&amp;""""</f>
        <v>#VALUE!</v>
      </c>
      <c r="HHZ28" s="234" t="e">
        <f>astrogrep_path&amp;" /e /r /s /spath="&amp;search_path&amp;" /stypes=""app*"&amp;HGV28&amp;"*"&amp;TEXT(HHC28-utc_offset/24,"YYYYMMDD")&amp;"*"" /stext="" "&amp;TEXT(HHC28-utc_offset/24,"HH")&amp;search_regexp&amp;""""</f>
        <v>#VALUE!</v>
      </c>
      <c r="HIA28" s="234" t="e">
        <f>astrogrep_path&amp;" /e /r /s /spath="&amp;search_path&amp;" /stypes=""app*"&amp;HGW28&amp;"*"&amp;TEXT(HHD28-utc_offset/24,"YYYYMMDD")&amp;"*"" /stext="" "&amp;TEXT(HHD28-utc_offset/24,"HH")&amp;search_regexp&amp;""""</f>
        <v>#REF!</v>
      </c>
      <c r="HIB28" s="234" t="e">
        <f>astrogrep_path&amp;" /e /r /s /spath="&amp;search_path&amp;" /stypes=""app*"&amp;HGX28&amp;"*"&amp;TEXT(HHE28-utc_offset/24,"YYYYMMDD")&amp;"*"" /stext="" "&amp;TEXT(HHE28-utc_offset/24,"HH")&amp;search_regexp&amp;""""</f>
        <v>#REF!</v>
      </c>
      <c r="HIC28" s="234" t="e">
        <f>astrogrep_path&amp;" /e /r /s /spath="&amp;search_path&amp;" /stypes=""app*"&amp;HGY28&amp;"*"&amp;TEXT(HHF28-utc_offset/24,"YYYYMMDD")&amp;"*"" /stext="" "&amp;TEXT(HHF28-utc_offset/24,"HH")&amp;search_regexp&amp;""""</f>
        <v>#VALUE!</v>
      </c>
      <c r="HID28" s="234" t="e">
        <f>astrogrep_path&amp;" /e /r /s /spath="&amp;search_path&amp;" /stypes=""app*"&amp;HGZ28&amp;"*"&amp;TEXT(HHG28-utc_offset/24,"YYYYMMDD")&amp;"*"" /stext="" "&amp;TEXT(HHG28-utc_offset/24,"HH")&amp;search_regexp&amp;""""</f>
        <v>#VALUE!</v>
      </c>
      <c r="HIE28" s="234" t="e">
        <f>astrogrep_path&amp;" /e /r /s /spath="&amp;search_path&amp;" /stypes=""app*"&amp;HHA28&amp;"*"&amp;TEXT(HHH28-utc_offset/24,"YYYYMMDD")&amp;"*"" /stext="" "&amp;TEXT(HHH28-utc_offset/24,"HH")&amp;search_regexp&amp;""""</f>
        <v>#VALUE!</v>
      </c>
      <c r="HIF28" s="234" t="e">
        <f>astrogrep_path&amp;" /e /r /s /spath="&amp;search_path&amp;" /stypes=""app*"&amp;HHB28&amp;"*"&amp;TEXT(HHI28-utc_offset/24,"YYYYMMDD")&amp;"*"" /stext="" "&amp;TEXT(HHI28-utc_offset/24,"HH")&amp;search_regexp&amp;""""</f>
        <v>#VALUE!</v>
      </c>
      <c r="HIG28" s="234" t="e">
        <f>astrogrep_path&amp;" /e /r /s /spath="&amp;search_path&amp;" /stypes=""app*"&amp;HHC28&amp;"*"&amp;TEXT(HHJ28-utc_offset/24,"YYYYMMDD")&amp;"*"" /stext="" "&amp;TEXT(HHJ28-utc_offset/24,"HH")&amp;search_regexp&amp;""""</f>
        <v>#VALUE!</v>
      </c>
      <c r="HIH28" s="234" t="e">
        <f>astrogrep_path&amp;" /e /r /s /spath="&amp;search_path&amp;" /stypes=""app*"&amp;HHD28&amp;"*"&amp;TEXT(HHK28-utc_offset/24,"YYYYMMDD")&amp;"*"" /stext="" "&amp;TEXT(HHK28-utc_offset/24,"HH")&amp;search_regexp&amp;""""</f>
        <v>#REF!</v>
      </c>
      <c r="HII28" s="234" t="e">
        <f>astrogrep_path&amp;" /e /r /s /spath="&amp;search_path&amp;" /stypes=""app*"&amp;HHE28&amp;"*"&amp;TEXT(HHL28-utc_offset/24,"YYYYMMDD")&amp;"*"" /stext="" "&amp;TEXT(HHL28-utc_offset/24,"HH")&amp;search_regexp&amp;""""</f>
        <v>#REF!</v>
      </c>
      <c r="HIJ28" s="234" t="e">
        <f>astrogrep_path&amp;" /e /r /s /spath="&amp;search_path&amp;" /stypes=""app*"&amp;HHF28&amp;"*"&amp;TEXT(HHM28-utc_offset/24,"YYYYMMDD")&amp;"*"" /stext="" "&amp;TEXT(HHM28-utc_offset/24,"HH")&amp;search_regexp&amp;""""</f>
        <v>#REF!</v>
      </c>
      <c r="HIK28" s="234" t="e">
        <f>astrogrep_path&amp;" /e /r /s /spath="&amp;search_path&amp;" /stypes=""app*"&amp;HHG28&amp;"*"&amp;TEXT(HHN28-utc_offset/24,"YYYYMMDD")&amp;"*"" /stext="" "&amp;TEXT(HHN28-utc_offset/24,"HH")&amp;search_regexp&amp;""""</f>
        <v>#REF!</v>
      </c>
      <c r="HIL28" s="234" t="e">
        <f>astrogrep_path&amp;" /e /r /s /spath="&amp;search_path&amp;" /stypes=""app*"&amp;HHH28&amp;"*"&amp;TEXT(HHO28-utc_offset/24,"YYYYMMDD")&amp;"*"" /stext="" "&amp;TEXT(HHO28-utc_offset/24,"HH")&amp;search_regexp&amp;""""</f>
        <v>#REF!</v>
      </c>
      <c r="HIM28" s="234" t="e">
        <f>astrogrep_path&amp;" /e /r /s /spath="&amp;search_path&amp;" /stypes=""app*"&amp;HHI28&amp;"*"&amp;TEXT(HHP28-utc_offset/24,"YYYYMMDD")&amp;"*"" /stext="" "&amp;TEXT(HHP28-utc_offset/24,"HH")&amp;search_regexp&amp;""""</f>
        <v>#REF!</v>
      </c>
      <c r="HIN28" s="234" t="e">
        <f>astrogrep_path&amp;" /e /r /s /spath="&amp;search_path&amp;" /stypes=""app*"&amp;HHJ28&amp;"*"&amp;TEXT(HHQ28-utc_offset/24,"YYYYMMDD")&amp;"*"" /stext="" "&amp;TEXT(HHQ28-utc_offset/24,"HH")&amp;search_regexp&amp;""""</f>
        <v>#REF!</v>
      </c>
      <c r="HIO28" s="234" t="e">
        <f>astrogrep_path&amp;" /e /r /s /spath="&amp;search_path&amp;" /stypes=""app*"&amp;HHK28&amp;"*"&amp;TEXT(HHR28-utc_offset/24,"YYYYMMDD")&amp;"*"" /stext="" "&amp;TEXT(HHR28-utc_offset/24,"HH")&amp;search_regexp&amp;""""</f>
        <v>#REF!</v>
      </c>
      <c r="HIP28" s="234" t="e">
        <f>astrogrep_path&amp;" /e /r /s /spath="&amp;search_path&amp;" /stypes=""app*"&amp;HHL28&amp;"*"&amp;TEXT(HHS28-utc_offset/24,"YYYYMMDD")&amp;"*"" /stext="" "&amp;TEXT(HHS28-utc_offset/24,"HH")&amp;search_regexp&amp;""""</f>
        <v>#REF!</v>
      </c>
      <c r="HIQ28" s="234" t="e">
        <f>astrogrep_path&amp;" /e /r /s /spath="&amp;search_path&amp;" /stypes=""app*"&amp;HHM28&amp;"*"&amp;TEXT(HHT28-utc_offset/24,"YYYYMMDD")&amp;"*"" /stext="" "&amp;TEXT(HHT28-utc_offset/24,"HH")&amp;search_regexp&amp;""""</f>
        <v>#REF!</v>
      </c>
      <c r="HIR28" s="234" t="e">
        <f>astrogrep_path&amp;" /e /r /s /spath="&amp;search_path&amp;" /stypes=""app*"&amp;HHN28&amp;"*"&amp;TEXT(HHU28-utc_offset/24,"YYYYMMDD")&amp;"*"" /stext="" "&amp;TEXT(HHU28-utc_offset/24,"HH")&amp;search_regexp&amp;""""</f>
        <v>#REF!</v>
      </c>
      <c r="HIS28" s="234" t="e">
        <f>astrogrep_path&amp;" /e /r /s /spath="&amp;search_path&amp;" /stypes=""app*"&amp;HHO28&amp;"*"&amp;TEXT(HHV28-utc_offset/24,"YYYYMMDD")&amp;"*"" /stext="" "&amp;TEXT(HHV28-utc_offset/24,"HH")&amp;search_regexp&amp;""""</f>
        <v>#REF!</v>
      </c>
      <c r="HIT28" s="234" t="e">
        <f>astrogrep_path&amp;" /e /r /s /spath="&amp;search_path&amp;" /stypes=""app*"&amp;HHP28&amp;"*"&amp;TEXT(HHW28-utc_offset/24,"YYYYMMDD")&amp;"*"" /stext="" "&amp;TEXT(HHW28-utc_offset/24,"HH")&amp;search_regexp&amp;""""</f>
        <v>#REF!</v>
      </c>
      <c r="HIU28" s="234" t="e">
        <f>astrogrep_path&amp;" /e /r /s /spath="&amp;search_path&amp;" /stypes=""app*"&amp;HHQ28&amp;"*"&amp;TEXT(HHX28-utc_offset/24,"YYYYMMDD")&amp;"*"" /stext="" "&amp;TEXT(HHX28-utc_offset/24,"HH")&amp;search_regexp&amp;""""</f>
        <v>#REF!</v>
      </c>
      <c r="HIV28" s="234" t="e">
        <f>astrogrep_path&amp;" /e /r /s /spath="&amp;search_path&amp;" /stypes=""app*"&amp;HHR28&amp;"*"&amp;TEXT(HHY28-utc_offset/24,"YYYYMMDD")&amp;"*"" /stext="" "&amp;TEXT(HHY28-utc_offset/24,"HH")&amp;search_regexp&amp;""""</f>
        <v>#REF!</v>
      </c>
      <c r="HIW28" s="234" t="e">
        <f>astrogrep_path&amp;" /e /r /s /spath="&amp;search_path&amp;" /stypes=""app*"&amp;HHS28&amp;"*"&amp;TEXT(HHZ28-utc_offset/24,"YYYYMMDD")&amp;"*"" /stext="" "&amp;TEXT(HHZ28-utc_offset/24,"HH")&amp;search_regexp&amp;""""</f>
        <v>#REF!</v>
      </c>
      <c r="HIX28" s="234" t="e">
        <f>astrogrep_path&amp;" /e /r /s /spath="&amp;search_path&amp;" /stypes=""app*"&amp;HHT28&amp;"*"&amp;TEXT(HIA28-utc_offset/24,"YYYYMMDD")&amp;"*"" /stext="" "&amp;TEXT(HIA28-utc_offset/24,"HH")&amp;search_regexp&amp;""""</f>
        <v>#REF!</v>
      </c>
      <c r="HIY28" s="234" t="e">
        <f>astrogrep_path&amp;" /e /r /s /spath="&amp;search_path&amp;" /stypes=""app*"&amp;HHU28&amp;"*"&amp;TEXT(HIB28-utc_offset/24,"YYYYMMDD")&amp;"*"" /stext="" "&amp;TEXT(HIB28-utc_offset/24,"HH")&amp;search_regexp&amp;""""</f>
        <v>#REF!</v>
      </c>
      <c r="HIZ28" s="234" t="e">
        <f>astrogrep_path&amp;" /e /r /s /spath="&amp;search_path&amp;" /stypes=""app*"&amp;HHV28&amp;"*"&amp;TEXT(HIC28-utc_offset/24,"YYYYMMDD")&amp;"*"" /stext="" "&amp;TEXT(HIC28-utc_offset/24,"HH")&amp;search_regexp&amp;""""</f>
        <v>#REF!</v>
      </c>
      <c r="HJA28" s="234" t="e">
        <f>astrogrep_path&amp;" /e /r /s /spath="&amp;search_path&amp;" /stypes=""app*"&amp;HHW28&amp;"*"&amp;TEXT(HID28-utc_offset/24,"YYYYMMDD")&amp;"*"" /stext="" "&amp;TEXT(HID28-utc_offset/24,"HH")&amp;search_regexp&amp;""""</f>
        <v>#REF!</v>
      </c>
      <c r="HJB28" s="234" t="e">
        <f>astrogrep_path&amp;" /e /r /s /spath="&amp;search_path&amp;" /stypes=""app*"&amp;HHX28&amp;"*"&amp;TEXT(HIE28-utc_offset/24,"YYYYMMDD")&amp;"*"" /stext="" "&amp;TEXT(HIE28-utc_offset/24,"HH")&amp;search_regexp&amp;""""</f>
        <v>#REF!</v>
      </c>
      <c r="HJC28" s="234" t="e">
        <f>astrogrep_path&amp;" /e /r /s /spath="&amp;search_path&amp;" /stypes=""app*"&amp;HHY28&amp;"*"&amp;TEXT(HIF28-utc_offset/24,"YYYYMMDD")&amp;"*"" /stext="" "&amp;TEXT(HIF28-utc_offset/24,"HH")&amp;search_regexp&amp;""""</f>
        <v>#VALUE!</v>
      </c>
      <c r="HJD28" s="234" t="e">
        <f>astrogrep_path&amp;" /e /r /s /spath="&amp;search_path&amp;" /stypes=""app*"&amp;HHZ28&amp;"*"&amp;TEXT(HIG28-utc_offset/24,"YYYYMMDD")&amp;"*"" /stext="" "&amp;TEXT(HIG28-utc_offset/24,"HH")&amp;search_regexp&amp;""""</f>
        <v>#VALUE!</v>
      </c>
      <c r="HJE28" s="234" t="e">
        <f>astrogrep_path&amp;" /e /r /s /spath="&amp;search_path&amp;" /stypes=""app*"&amp;HIA28&amp;"*"&amp;TEXT(HIH28-utc_offset/24,"YYYYMMDD")&amp;"*"" /stext="" "&amp;TEXT(HIH28-utc_offset/24,"HH")&amp;search_regexp&amp;""""</f>
        <v>#REF!</v>
      </c>
      <c r="HJF28" s="234" t="e">
        <f>astrogrep_path&amp;" /e /r /s /spath="&amp;search_path&amp;" /stypes=""app*"&amp;HIB28&amp;"*"&amp;TEXT(HII28-utc_offset/24,"YYYYMMDD")&amp;"*"" /stext="" "&amp;TEXT(HII28-utc_offset/24,"HH")&amp;search_regexp&amp;""""</f>
        <v>#REF!</v>
      </c>
      <c r="HJG28" s="234" t="e">
        <f>astrogrep_path&amp;" /e /r /s /spath="&amp;search_path&amp;" /stypes=""app*"&amp;HIC28&amp;"*"&amp;TEXT(HIJ28-utc_offset/24,"YYYYMMDD")&amp;"*"" /stext="" "&amp;TEXT(HIJ28-utc_offset/24,"HH")&amp;search_regexp&amp;""""</f>
        <v>#VALUE!</v>
      </c>
      <c r="HJH28" s="234" t="e">
        <f>astrogrep_path&amp;" /e /r /s /spath="&amp;search_path&amp;" /stypes=""app*"&amp;HID28&amp;"*"&amp;TEXT(HIK28-utc_offset/24,"YYYYMMDD")&amp;"*"" /stext="" "&amp;TEXT(HIK28-utc_offset/24,"HH")&amp;search_regexp&amp;""""</f>
        <v>#VALUE!</v>
      </c>
      <c r="HJI28" s="234" t="e">
        <f>astrogrep_path&amp;" /e /r /s /spath="&amp;search_path&amp;" /stypes=""app*"&amp;HIE28&amp;"*"&amp;TEXT(HIL28-utc_offset/24,"YYYYMMDD")&amp;"*"" /stext="" "&amp;TEXT(HIL28-utc_offset/24,"HH")&amp;search_regexp&amp;""""</f>
        <v>#VALUE!</v>
      </c>
      <c r="HJJ28" s="234" t="e">
        <f>astrogrep_path&amp;" /e /r /s /spath="&amp;search_path&amp;" /stypes=""app*"&amp;HIF28&amp;"*"&amp;TEXT(HIM28-utc_offset/24,"YYYYMMDD")&amp;"*"" /stext="" "&amp;TEXT(HIM28-utc_offset/24,"HH")&amp;search_regexp&amp;""""</f>
        <v>#VALUE!</v>
      </c>
      <c r="HJK28" s="234" t="e">
        <f>astrogrep_path&amp;" /e /r /s /spath="&amp;search_path&amp;" /stypes=""app*"&amp;HIG28&amp;"*"&amp;TEXT(HIN28-utc_offset/24,"YYYYMMDD")&amp;"*"" /stext="" "&amp;TEXT(HIN28-utc_offset/24,"HH")&amp;search_regexp&amp;""""</f>
        <v>#VALUE!</v>
      </c>
      <c r="HJL28" s="234" t="e">
        <f>astrogrep_path&amp;" /e /r /s /spath="&amp;search_path&amp;" /stypes=""app*"&amp;HIH28&amp;"*"&amp;TEXT(HIO28-utc_offset/24,"YYYYMMDD")&amp;"*"" /stext="" "&amp;TEXT(HIO28-utc_offset/24,"HH")&amp;search_regexp&amp;""""</f>
        <v>#REF!</v>
      </c>
      <c r="HJM28" s="234" t="e">
        <f>astrogrep_path&amp;" /e /r /s /spath="&amp;search_path&amp;" /stypes=""app*"&amp;HII28&amp;"*"&amp;TEXT(HIP28-utc_offset/24,"YYYYMMDD")&amp;"*"" /stext="" "&amp;TEXT(HIP28-utc_offset/24,"HH")&amp;search_regexp&amp;""""</f>
        <v>#REF!</v>
      </c>
      <c r="HJN28" s="234" t="e">
        <f>astrogrep_path&amp;" /e /r /s /spath="&amp;search_path&amp;" /stypes=""app*"&amp;HIJ28&amp;"*"&amp;TEXT(HIQ28-utc_offset/24,"YYYYMMDD")&amp;"*"" /stext="" "&amp;TEXT(HIQ28-utc_offset/24,"HH")&amp;search_regexp&amp;""""</f>
        <v>#REF!</v>
      </c>
      <c r="HJO28" s="234" t="e">
        <f>astrogrep_path&amp;" /e /r /s /spath="&amp;search_path&amp;" /stypes=""app*"&amp;HIK28&amp;"*"&amp;TEXT(HIR28-utc_offset/24,"YYYYMMDD")&amp;"*"" /stext="" "&amp;TEXT(HIR28-utc_offset/24,"HH")&amp;search_regexp&amp;""""</f>
        <v>#REF!</v>
      </c>
      <c r="HJP28" s="234" t="e">
        <f>astrogrep_path&amp;" /e /r /s /spath="&amp;search_path&amp;" /stypes=""app*"&amp;HIL28&amp;"*"&amp;TEXT(HIS28-utc_offset/24,"YYYYMMDD")&amp;"*"" /stext="" "&amp;TEXT(HIS28-utc_offset/24,"HH")&amp;search_regexp&amp;""""</f>
        <v>#REF!</v>
      </c>
      <c r="HJQ28" s="234" t="e">
        <f>astrogrep_path&amp;" /e /r /s /spath="&amp;search_path&amp;" /stypes=""app*"&amp;HIM28&amp;"*"&amp;TEXT(HIT28-utc_offset/24,"YYYYMMDD")&amp;"*"" /stext="" "&amp;TEXT(HIT28-utc_offset/24,"HH")&amp;search_regexp&amp;""""</f>
        <v>#REF!</v>
      </c>
      <c r="HJR28" s="234" t="e">
        <f>astrogrep_path&amp;" /e /r /s /spath="&amp;search_path&amp;" /stypes=""app*"&amp;HIN28&amp;"*"&amp;TEXT(HIU28-utc_offset/24,"YYYYMMDD")&amp;"*"" /stext="" "&amp;TEXT(HIU28-utc_offset/24,"HH")&amp;search_regexp&amp;""""</f>
        <v>#REF!</v>
      </c>
      <c r="HJS28" s="234" t="e">
        <f>astrogrep_path&amp;" /e /r /s /spath="&amp;search_path&amp;" /stypes=""app*"&amp;HIO28&amp;"*"&amp;TEXT(HIV28-utc_offset/24,"YYYYMMDD")&amp;"*"" /stext="" "&amp;TEXT(HIV28-utc_offset/24,"HH")&amp;search_regexp&amp;""""</f>
        <v>#REF!</v>
      </c>
      <c r="HJT28" s="234" t="e">
        <f>astrogrep_path&amp;" /e /r /s /spath="&amp;search_path&amp;" /stypes=""app*"&amp;HIP28&amp;"*"&amp;TEXT(HIW28-utc_offset/24,"YYYYMMDD")&amp;"*"" /stext="" "&amp;TEXT(HIW28-utc_offset/24,"HH")&amp;search_regexp&amp;""""</f>
        <v>#REF!</v>
      </c>
      <c r="HJU28" s="234" t="e">
        <f>astrogrep_path&amp;" /e /r /s /spath="&amp;search_path&amp;" /stypes=""app*"&amp;HIQ28&amp;"*"&amp;TEXT(HIX28-utc_offset/24,"YYYYMMDD")&amp;"*"" /stext="" "&amp;TEXT(HIX28-utc_offset/24,"HH")&amp;search_regexp&amp;""""</f>
        <v>#REF!</v>
      </c>
      <c r="HJV28" s="234" t="e">
        <f>astrogrep_path&amp;" /e /r /s /spath="&amp;search_path&amp;" /stypes=""app*"&amp;HIR28&amp;"*"&amp;TEXT(HIY28-utc_offset/24,"YYYYMMDD")&amp;"*"" /stext="" "&amp;TEXT(HIY28-utc_offset/24,"HH")&amp;search_regexp&amp;""""</f>
        <v>#REF!</v>
      </c>
      <c r="HJW28" s="234" t="e">
        <f>astrogrep_path&amp;" /e /r /s /spath="&amp;search_path&amp;" /stypes=""app*"&amp;HIS28&amp;"*"&amp;TEXT(HIZ28-utc_offset/24,"YYYYMMDD")&amp;"*"" /stext="" "&amp;TEXT(HIZ28-utc_offset/24,"HH")&amp;search_regexp&amp;""""</f>
        <v>#REF!</v>
      </c>
      <c r="HJX28" s="234" t="e">
        <f>astrogrep_path&amp;" /e /r /s /spath="&amp;search_path&amp;" /stypes=""app*"&amp;HIT28&amp;"*"&amp;TEXT(HJA28-utc_offset/24,"YYYYMMDD")&amp;"*"" /stext="" "&amp;TEXT(HJA28-utc_offset/24,"HH")&amp;search_regexp&amp;""""</f>
        <v>#REF!</v>
      </c>
      <c r="HJY28" s="234" t="e">
        <f>astrogrep_path&amp;" /e /r /s /spath="&amp;search_path&amp;" /stypes=""app*"&amp;HIU28&amp;"*"&amp;TEXT(HJB28-utc_offset/24,"YYYYMMDD")&amp;"*"" /stext="" "&amp;TEXT(HJB28-utc_offset/24,"HH")&amp;search_regexp&amp;""""</f>
        <v>#REF!</v>
      </c>
      <c r="HJZ28" s="234" t="e">
        <f>astrogrep_path&amp;" /e /r /s /spath="&amp;search_path&amp;" /stypes=""app*"&amp;HIV28&amp;"*"&amp;TEXT(HJC28-utc_offset/24,"YYYYMMDD")&amp;"*"" /stext="" "&amp;TEXT(HJC28-utc_offset/24,"HH")&amp;search_regexp&amp;""""</f>
        <v>#REF!</v>
      </c>
      <c r="HKA28" s="234" t="e">
        <f>astrogrep_path&amp;" /e /r /s /spath="&amp;search_path&amp;" /stypes=""app*"&amp;HIW28&amp;"*"&amp;TEXT(HJD28-utc_offset/24,"YYYYMMDD")&amp;"*"" /stext="" "&amp;TEXT(HJD28-utc_offset/24,"HH")&amp;search_regexp&amp;""""</f>
        <v>#REF!</v>
      </c>
      <c r="HKB28" s="234" t="e">
        <f>astrogrep_path&amp;" /e /r /s /spath="&amp;search_path&amp;" /stypes=""app*"&amp;HIX28&amp;"*"&amp;TEXT(HJE28-utc_offset/24,"YYYYMMDD")&amp;"*"" /stext="" "&amp;TEXT(HJE28-utc_offset/24,"HH")&amp;search_regexp&amp;""""</f>
        <v>#REF!</v>
      </c>
      <c r="HKC28" s="234" t="e">
        <f>astrogrep_path&amp;" /e /r /s /spath="&amp;search_path&amp;" /stypes=""app*"&amp;HIY28&amp;"*"&amp;TEXT(HJF28-utc_offset/24,"YYYYMMDD")&amp;"*"" /stext="" "&amp;TEXT(HJF28-utc_offset/24,"HH")&amp;search_regexp&amp;""""</f>
        <v>#REF!</v>
      </c>
      <c r="HKD28" s="234" t="e">
        <f>astrogrep_path&amp;" /e /r /s /spath="&amp;search_path&amp;" /stypes=""app*"&amp;HIZ28&amp;"*"&amp;TEXT(HJG28-utc_offset/24,"YYYYMMDD")&amp;"*"" /stext="" "&amp;TEXT(HJG28-utc_offset/24,"HH")&amp;search_regexp&amp;""""</f>
        <v>#REF!</v>
      </c>
      <c r="HKE28" s="234" t="e">
        <f>astrogrep_path&amp;" /e /r /s /spath="&amp;search_path&amp;" /stypes=""app*"&amp;HJA28&amp;"*"&amp;TEXT(HJH28-utc_offset/24,"YYYYMMDD")&amp;"*"" /stext="" "&amp;TEXT(HJH28-utc_offset/24,"HH")&amp;search_regexp&amp;""""</f>
        <v>#REF!</v>
      </c>
      <c r="HKF28" s="234" t="e">
        <f>astrogrep_path&amp;" /e /r /s /spath="&amp;search_path&amp;" /stypes=""app*"&amp;HJB28&amp;"*"&amp;TEXT(HJI28-utc_offset/24,"YYYYMMDD")&amp;"*"" /stext="" "&amp;TEXT(HJI28-utc_offset/24,"HH")&amp;search_regexp&amp;""""</f>
        <v>#REF!</v>
      </c>
      <c r="HKG28" s="234" t="e">
        <f>astrogrep_path&amp;" /e /r /s /spath="&amp;search_path&amp;" /stypes=""app*"&amp;HJC28&amp;"*"&amp;TEXT(HJJ28-utc_offset/24,"YYYYMMDD")&amp;"*"" /stext="" "&amp;TEXT(HJJ28-utc_offset/24,"HH")&amp;search_regexp&amp;""""</f>
        <v>#VALUE!</v>
      </c>
      <c r="HKH28" s="234" t="e">
        <f>astrogrep_path&amp;" /e /r /s /spath="&amp;search_path&amp;" /stypes=""app*"&amp;HJD28&amp;"*"&amp;TEXT(HJK28-utc_offset/24,"YYYYMMDD")&amp;"*"" /stext="" "&amp;TEXT(HJK28-utc_offset/24,"HH")&amp;search_regexp&amp;""""</f>
        <v>#VALUE!</v>
      </c>
      <c r="HKI28" s="234" t="e">
        <f>astrogrep_path&amp;" /e /r /s /spath="&amp;search_path&amp;" /stypes=""app*"&amp;HJE28&amp;"*"&amp;TEXT(HJL28-utc_offset/24,"YYYYMMDD")&amp;"*"" /stext="" "&amp;TEXT(HJL28-utc_offset/24,"HH")&amp;search_regexp&amp;""""</f>
        <v>#REF!</v>
      </c>
      <c r="HKJ28" s="234" t="e">
        <f>astrogrep_path&amp;" /e /r /s /spath="&amp;search_path&amp;" /stypes=""app*"&amp;HJF28&amp;"*"&amp;TEXT(HJM28-utc_offset/24,"YYYYMMDD")&amp;"*"" /stext="" "&amp;TEXT(HJM28-utc_offset/24,"HH")&amp;search_regexp&amp;""""</f>
        <v>#REF!</v>
      </c>
      <c r="HKK28" s="234" t="e">
        <f>astrogrep_path&amp;" /e /r /s /spath="&amp;search_path&amp;" /stypes=""app*"&amp;HJG28&amp;"*"&amp;TEXT(HJN28-utc_offset/24,"YYYYMMDD")&amp;"*"" /stext="" "&amp;TEXT(HJN28-utc_offset/24,"HH")&amp;search_regexp&amp;""""</f>
        <v>#VALUE!</v>
      </c>
      <c r="HKL28" s="234" t="e">
        <f>astrogrep_path&amp;" /e /r /s /spath="&amp;search_path&amp;" /stypes=""app*"&amp;HJH28&amp;"*"&amp;TEXT(HJO28-utc_offset/24,"YYYYMMDD")&amp;"*"" /stext="" "&amp;TEXT(HJO28-utc_offset/24,"HH")&amp;search_regexp&amp;""""</f>
        <v>#VALUE!</v>
      </c>
      <c r="HKM28" s="234" t="e">
        <f>astrogrep_path&amp;" /e /r /s /spath="&amp;search_path&amp;" /stypes=""app*"&amp;HJI28&amp;"*"&amp;TEXT(HJP28-utc_offset/24,"YYYYMMDD")&amp;"*"" /stext="" "&amp;TEXT(HJP28-utc_offset/24,"HH")&amp;search_regexp&amp;""""</f>
        <v>#VALUE!</v>
      </c>
      <c r="HKN28" s="234" t="e">
        <f>astrogrep_path&amp;" /e /r /s /spath="&amp;search_path&amp;" /stypes=""app*"&amp;HJJ28&amp;"*"&amp;TEXT(HJQ28-utc_offset/24,"YYYYMMDD")&amp;"*"" /stext="" "&amp;TEXT(HJQ28-utc_offset/24,"HH")&amp;search_regexp&amp;""""</f>
        <v>#VALUE!</v>
      </c>
      <c r="HKO28" s="234" t="e">
        <f>astrogrep_path&amp;" /e /r /s /spath="&amp;search_path&amp;" /stypes=""app*"&amp;HJK28&amp;"*"&amp;TEXT(HJR28-utc_offset/24,"YYYYMMDD")&amp;"*"" /stext="" "&amp;TEXT(HJR28-utc_offset/24,"HH")&amp;search_regexp&amp;""""</f>
        <v>#VALUE!</v>
      </c>
      <c r="HKP28" s="234" t="e">
        <f>astrogrep_path&amp;" /e /r /s /spath="&amp;search_path&amp;" /stypes=""app*"&amp;HJL28&amp;"*"&amp;TEXT(HJS28-utc_offset/24,"YYYYMMDD")&amp;"*"" /stext="" "&amp;TEXT(HJS28-utc_offset/24,"HH")&amp;search_regexp&amp;""""</f>
        <v>#REF!</v>
      </c>
      <c r="HKQ28" s="234" t="e">
        <f>astrogrep_path&amp;" /e /r /s /spath="&amp;search_path&amp;" /stypes=""app*"&amp;HJM28&amp;"*"&amp;TEXT(HJT28-utc_offset/24,"YYYYMMDD")&amp;"*"" /stext="" "&amp;TEXT(HJT28-utc_offset/24,"HH")&amp;search_regexp&amp;""""</f>
        <v>#REF!</v>
      </c>
      <c r="HKR28" s="234" t="e">
        <f>astrogrep_path&amp;" /e /r /s /spath="&amp;search_path&amp;" /stypes=""app*"&amp;HJN28&amp;"*"&amp;TEXT(HJU28-utc_offset/24,"YYYYMMDD")&amp;"*"" /stext="" "&amp;TEXT(HJU28-utc_offset/24,"HH")&amp;search_regexp&amp;""""</f>
        <v>#REF!</v>
      </c>
      <c r="HKS28" s="234" t="e">
        <f>astrogrep_path&amp;" /e /r /s /spath="&amp;search_path&amp;" /stypes=""app*"&amp;HJO28&amp;"*"&amp;TEXT(HJV28-utc_offset/24,"YYYYMMDD")&amp;"*"" /stext="" "&amp;TEXT(HJV28-utc_offset/24,"HH")&amp;search_regexp&amp;""""</f>
        <v>#REF!</v>
      </c>
      <c r="HKT28" s="234" t="e">
        <f>astrogrep_path&amp;" /e /r /s /spath="&amp;search_path&amp;" /stypes=""app*"&amp;HJP28&amp;"*"&amp;TEXT(HJW28-utc_offset/24,"YYYYMMDD")&amp;"*"" /stext="" "&amp;TEXT(HJW28-utc_offset/24,"HH")&amp;search_regexp&amp;""""</f>
        <v>#REF!</v>
      </c>
      <c r="HKU28" s="234" t="e">
        <f>astrogrep_path&amp;" /e /r /s /spath="&amp;search_path&amp;" /stypes=""app*"&amp;HJQ28&amp;"*"&amp;TEXT(HJX28-utc_offset/24,"YYYYMMDD")&amp;"*"" /stext="" "&amp;TEXT(HJX28-utc_offset/24,"HH")&amp;search_regexp&amp;""""</f>
        <v>#REF!</v>
      </c>
      <c r="HKV28" s="234" t="e">
        <f>astrogrep_path&amp;" /e /r /s /spath="&amp;search_path&amp;" /stypes=""app*"&amp;HJR28&amp;"*"&amp;TEXT(HJY28-utc_offset/24,"YYYYMMDD")&amp;"*"" /stext="" "&amp;TEXT(HJY28-utc_offset/24,"HH")&amp;search_regexp&amp;""""</f>
        <v>#REF!</v>
      </c>
      <c r="HKW28" s="234" t="e">
        <f>astrogrep_path&amp;" /e /r /s /spath="&amp;search_path&amp;" /stypes=""app*"&amp;HJS28&amp;"*"&amp;TEXT(HJZ28-utc_offset/24,"YYYYMMDD")&amp;"*"" /stext="" "&amp;TEXT(HJZ28-utc_offset/24,"HH")&amp;search_regexp&amp;""""</f>
        <v>#REF!</v>
      </c>
      <c r="HKX28" s="234" t="e">
        <f>astrogrep_path&amp;" /e /r /s /spath="&amp;search_path&amp;" /stypes=""app*"&amp;HJT28&amp;"*"&amp;TEXT(HKA28-utc_offset/24,"YYYYMMDD")&amp;"*"" /stext="" "&amp;TEXT(HKA28-utc_offset/24,"HH")&amp;search_regexp&amp;""""</f>
        <v>#REF!</v>
      </c>
      <c r="HKY28" s="234" t="e">
        <f>astrogrep_path&amp;" /e /r /s /spath="&amp;search_path&amp;" /stypes=""app*"&amp;HJU28&amp;"*"&amp;TEXT(HKB28-utc_offset/24,"YYYYMMDD")&amp;"*"" /stext="" "&amp;TEXT(HKB28-utc_offset/24,"HH")&amp;search_regexp&amp;""""</f>
        <v>#REF!</v>
      </c>
      <c r="HKZ28" s="234" t="e">
        <f>astrogrep_path&amp;" /e /r /s /spath="&amp;search_path&amp;" /stypes=""app*"&amp;HJV28&amp;"*"&amp;TEXT(HKC28-utc_offset/24,"YYYYMMDD")&amp;"*"" /stext="" "&amp;TEXT(HKC28-utc_offset/24,"HH")&amp;search_regexp&amp;""""</f>
        <v>#REF!</v>
      </c>
      <c r="HLA28" s="234" t="e">
        <f>astrogrep_path&amp;" /e /r /s /spath="&amp;search_path&amp;" /stypes=""app*"&amp;HJW28&amp;"*"&amp;TEXT(HKD28-utc_offset/24,"YYYYMMDD")&amp;"*"" /stext="" "&amp;TEXT(HKD28-utc_offset/24,"HH")&amp;search_regexp&amp;""""</f>
        <v>#REF!</v>
      </c>
      <c r="HLB28" s="234" t="e">
        <f>astrogrep_path&amp;" /e /r /s /spath="&amp;search_path&amp;" /stypes=""app*"&amp;HJX28&amp;"*"&amp;TEXT(HKE28-utc_offset/24,"YYYYMMDD")&amp;"*"" /stext="" "&amp;TEXT(HKE28-utc_offset/24,"HH")&amp;search_regexp&amp;""""</f>
        <v>#REF!</v>
      </c>
      <c r="HLC28" s="234" t="e">
        <f>astrogrep_path&amp;" /e /r /s /spath="&amp;search_path&amp;" /stypes=""app*"&amp;HJY28&amp;"*"&amp;TEXT(HKF28-utc_offset/24,"YYYYMMDD")&amp;"*"" /stext="" "&amp;TEXT(HKF28-utc_offset/24,"HH")&amp;search_regexp&amp;""""</f>
        <v>#REF!</v>
      </c>
      <c r="HLD28" s="234" t="e">
        <f>astrogrep_path&amp;" /e /r /s /spath="&amp;search_path&amp;" /stypes=""app*"&amp;HJZ28&amp;"*"&amp;TEXT(HKG28-utc_offset/24,"YYYYMMDD")&amp;"*"" /stext="" "&amp;TEXT(HKG28-utc_offset/24,"HH")&amp;search_regexp&amp;""""</f>
        <v>#REF!</v>
      </c>
      <c r="HLE28" s="234" t="e">
        <f>astrogrep_path&amp;" /e /r /s /spath="&amp;search_path&amp;" /stypes=""app*"&amp;HKA28&amp;"*"&amp;TEXT(HKH28-utc_offset/24,"YYYYMMDD")&amp;"*"" /stext="" "&amp;TEXT(HKH28-utc_offset/24,"HH")&amp;search_regexp&amp;""""</f>
        <v>#REF!</v>
      </c>
      <c r="HLF28" s="234" t="e">
        <f>astrogrep_path&amp;" /e /r /s /spath="&amp;search_path&amp;" /stypes=""app*"&amp;HKB28&amp;"*"&amp;TEXT(HKI28-utc_offset/24,"YYYYMMDD")&amp;"*"" /stext="" "&amp;TEXT(HKI28-utc_offset/24,"HH")&amp;search_regexp&amp;""""</f>
        <v>#REF!</v>
      </c>
      <c r="HLG28" s="234" t="e">
        <f>astrogrep_path&amp;" /e /r /s /spath="&amp;search_path&amp;" /stypes=""app*"&amp;HKC28&amp;"*"&amp;TEXT(HKJ28-utc_offset/24,"YYYYMMDD")&amp;"*"" /stext="" "&amp;TEXT(HKJ28-utc_offset/24,"HH")&amp;search_regexp&amp;""""</f>
        <v>#REF!</v>
      </c>
      <c r="HLH28" s="234" t="e">
        <f>astrogrep_path&amp;" /e /r /s /spath="&amp;search_path&amp;" /stypes=""app*"&amp;HKD28&amp;"*"&amp;TEXT(HKK28-utc_offset/24,"YYYYMMDD")&amp;"*"" /stext="" "&amp;TEXT(HKK28-utc_offset/24,"HH")&amp;search_regexp&amp;""""</f>
        <v>#REF!</v>
      </c>
      <c r="HLI28" s="234" t="e">
        <f>astrogrep_path&amp;" /e /r /s /spath="&amp;search_path&amp;" /stypes=""app*"&amp;HKE28&amp;"*"&amp;TEXT(HKL28-utc_offset/24,"YYYYMMDD")&amp;"*"" /stext="" "&amp;TEXT(HKL28-utc_offset/24,"HH")&amp;search_regexp&amp;""""</f>
        <v>#REF!</v>
      </c>
      <c r="HLJ28" s="234" t="e">
        <f>astrogrep_path&amp;" /e /r /s /spath="&amp;search_path&amp;" /stypes=""app*"&amp;HKF28&amp;"*"&amp;TEXT(HKM28-utc_offset/24,"YYYYMMDD")&amp;"*"" /stext="" "&amp;TEXT(HKM28-utc_offset/24,"HH")&amp;search_regexp&amp;""""</f>
        <v>#REF!</v>
      </c>
      <c r="HLK28" s="234" t="e">
        <f>astrogrep_path&amp;" /e /r /s /spath="&amp;search_path&amp;" /stypes=""app*"&amp;HKG28&amp;"*"&amp;TEXT(HKN28-utc_offset/24,"YYYYMMDD")&amp;"*"" /stext="" "&amp;TEXT(HKN28-utc_offset/24,"HH")&amp;search_regexp&amp;""""</f>
        <v>#VALUE!</v>
      </c>
      <c r="HLL28" s="234" t="e">
        <f>astrogrep_path&amp;" /e /r /s /spath="&amp;search_path&amp;" /stypes=""app*"&amp;HKH28&amp;"*"&amp;TEXT(HKO28-utc_offset/24,"YYYYMMDD")&amp;"*"" /stext="" "&amp;TEXT(HKO28-utc_offset/24,"HH")&amp;search_regexp&amp;""""</f>
        <v>#VALUE!</v>
      </c>
      <c r="HLM28" s="234" t="e">
        <f>astrogrep_path&amp;" /e /r /s /spath="&amp;search_path&amp;" /stypes=""app*"&amp;HKI28&amp;"*"&amp;TEXT(HKP28-utc_offset/24,"YYYYMMDD")&amp;"*"" /stext="" "&amp;TEXT(HKP28-utc_offset/24,"HH")&amp;search_regexp&amp;""""</f>
        <v>#REF!</v>
      </c>
      <c r="HLN28" s="234" t="e">
        <f>astrogrep_path&amp;" /e /r /s /spath="&amp;search_path&amp;" /stypes=""app*"&amp;HKJ28&amp;"*"&amp;TEXT(HKQ28-utc_offset/24,"YYYYMMDD")&amp;"*"" /stext="" "&amp;TEXT(HKQ28-utc_offset/24,"HH")&amp;search_regexp&amp;""""</f>
        <v>#REF!</v>
      </c>
      <c r="HLO28" s="234" t="e">
        <f>astrogrep_path&amp;" /e /r /s /spath="&amp;search_path&amp;" /stypes=""app*"&amp;HKK28&amp;"*"&amp;TEXT(HKR28-utc_offset/24,"YYYYMMDD")&amp;"*"" /stext="" "&amp;TEXT(HKR28-utc_offset/24,"HH")&amp;search_regexp&amp;""""</f>
        <v>#VALUE!</v>
      </c>
      <c r="HLP28" s="234" t="e">
        <f>astrogrep_path&amp;" /e /r /s /spath="&amp;search_path&amp;" /stypes=""app*"&amp;HKL28&amp;"*"&amp;TEXT(HKS28-utc_offset/24,"YYYYMMDD")&amp;"*"" /stext="" "&amp;TEXT(HKS28-utc_offset/24,"HH")&amp;search_regexp&amp;""""</f>
        <v>#VALUE!</v>
      </c>
      <c r="HLQ28" s="234" t="e">
        <f>astrogrep_path&amp;" /e /r /s /spath="&amp;search_path&amp;" /stypes=""app*"&amp;HKM28&amp;"*"&amp;TEXT(HKT28-utc_offset/24,"YYYYMMDD")&amp;"*"" /stext="" "&amp;TEXT(HKT28-utc_offset/24,"HH")&amp;search_regexp&amp;""""</f>
        <v>#VALUE!</v>
      </c>
      <c r="HLR28" s="234" t="e">
        <f>astrogrep_path&amp;" /e /r /s /spath="&amp;search_path&amp;" /stypes=""app*"&amp;HKN28&amp;"*"&amp;TEXT(HKU28-utc_offset/24,"YYYYMMDD")&amp;"*"" /stext="" "&amp;TEXT(HKU28-utc_offset/24,"HH")&amp;search_regexp&amp;""""</f>
        <v>#VALUE!</v>
      </c>
      <c r="HLS28" s="234" t="e">
        <f>astrogrep_path&amp;" /e /r /s /spath="&amp;search_path&amp;" /stypes=""app*"&amp;HKO28&amp;"*"&amp;TEXT(HKV28-utc_offset/24,"YYYYMMDD")&amp;"*"" /stext="" "&amp;TEXT(HKV28-utc_offset/24,"HH")&amp;search_regexp&amp;""""</f>
        <v>#VALUE!</v>
      </c>
      <c r="HLT28" s="234" t="e">
        <f>astrogrep_path&amp;" /e /r /s /spath="&amp;search_path&amp;" /stypes=""app*"&amp;HKP28&amp;"*"&amp;TEXT(HKW28-utc_offset/24,"YYYYMMDD")&amp;"*"" /stext="" "&amp;TEXT(HKW28-utc_offset/24,"HH")&amp;search_regexp&amp;""""</f>
        <v>#REF!</v>
      </c>
      <c r="HLU28" s="234" t="e">
        <f>astrogrep_path&amp;" /e /r /s /spath="&amp;search_path&amp;" /stypes=""app*"&amp;HKQ28&amp;"*"&amp;TEXT(HKX28-utc_offset/24,"YYYYMMDD")&amp;"*"" /stext="" "&amp;TEXT(HKX28-utc_offset/24,"HH")&amp;search_regexp&amp;""""</f>
        <v>#REF!</v>
      </c>
      <c r="HLV28" s="234" t="e">
        <f>astrogrep_path&amp;" /e /r /s /spath="&amp;search_path&amp;" /stypes=""app*"&amp;HKR28&amp;"*"&amp;TEXT(HKY28-utc_offset/24,"YYYYMMDD")&amp;"*"" /stext="" "&amp;TEXT(HKY28-utc_offset/24,"HH")&amp;search_regexp&amp;""""</f>
        <v>#REF!</v>
      </c>
      <c r="HLW28" s="234" t="e">
        <f>astrogrep_path&amp;" /e /r /s /spath="&amp;search_path&amp;" /stypes=""app*"&amp;HKS28&amp;"*"&amp;TEXT(HKZ28-utc_offset/24,"YYYYMMDD")&amp;"*"" /stext="" "&amp;TEXT(HKZ28-utc_offset/24,"HH")&amp;search_regexp&amp;""""</f>
        <v>#REF!</v>
      </c>
      <c r="HLX28" s="234" t="e">
        <f>astrogrep_path&amp;" /e /r /s /spath="&amp;search_path&amp;" /stypes=""app*"&amp;HKT28&amp;"*"&amp;TEXT(HLA28-utc_offset/24,"YYYYMMDD")&amp;"*"" /stext="" "&amp;TEXT(HLA28-utc_offset/24,"HH")&amp;search_regexp&amp;""""</f>
        <v>#REF!</v>
      </c>
      <c r="HLY28" s="234" t="e">
        <f>astrogrep_path&amp;" /e /r /s /spath="&amp;search_path&amp;" /stypes=""app*"&amp;HKU28&amp;"*"&amp;TEXT(HLB28-utc_offset/24,"YYYYMMDD")&amp;"*"" /stext="" "&amp;TEXT(HLB28-utc_offset/24,"HH")&amp;search_regexp&amp;""""</f>
        <v>#REF!</v>
      </c>
      <c r="HLZ28" s="234" t="e">
        <f>astrogrep_path&amp;" /e /r /s /spath="&amp;search_path&amp;" /stypes=""app*"&amp;HKV28&amp;"*"&amp;TEXT(HLC28-utc_offset/24,"YYYYMMDD")&amp;"*"" /stext="" "&amp;TEXT(HLC28-utc_offset/24,"HH")&amp;search_regexp&amp;""""</f>
        <v>#REF!</v>
      </c>
      <c r="HMA28" s="234" t="e">
        <f>astrogrep_path&amp;" /e /r /s /spath="&amp;search_path&amp;" /stypes=""app*"&amp;HKW28&amp;"*"&amp;TEXT(HLD28-utc_offset/24,"YYYYMMDD")&amp;"*"" /stext="" "&amp;TEXT(HLD28-utc_offset/24,"HH")&amp;search_regexp&amp;""""</f>
        <v>#REF!</v>
      </c>
      <c r="HMB28" s="234" t="e">
        <f>astrogrep_path&amp;" /e /r /s /spath="&amp;search_path&amp;" /stypes=""app*"&amp;HKX28&amp;"*"&amp;TEXT(HLE28-utc_offset/24,"YYYYMMDD")&amp;"*"" /stext="" "&amp;TEXT(HLE28-utc_offset/24,"HH")&amp;search_regexp&amp;""""</f>
        <v>#REF!</v>
      </c>
      <c r="HMC28" s="234" t="e">
        <f>astrogrep_path&amp;" /e /r /s /spath="&amp;search_path&amp;" /stypes=""app*"&amp;HKY28&amp;"*"&amp;TEXT(HLF28-utc_offset/24,"YYYYMMDD")&amp;"*"" /stext="" "&amp;TEXT(HLF28-utc_offset/24,"HH")&amp;search_regexp&amp;""""</f>
        <v>#REF!</v>
      </c>
      <c r="HMD28" s="234" t="e">
        <f>astrogrep_path&amp;" /e /r /s /spath="&amp;search_path&amp;" /stypes=""app*"&amp;HKZ28&amp;"*"&amp;TEXT(HLG28-utc_offset/24,"YYYYMMDD")&amp;"*"" /stext="" "&amp;TEXT(HLG28-utc_offset/24,"HH")&amp;search_regexp&amp;""""</f>
        <v>#REF!</v>
      </c>
      <c r="HME28" s="234" t="e">
        <f>astrogrep_path&amp;" /e /r /s /spath="&amp;search_path&amp;" /stypes=""app*"&amp;HLA28&amp;"*"&amp;TEXT(HLH28-utc_offset/24,"YYYYMMDD")&amp;"*"" /stext="" "&amp;TEXT(HLH28-utc_offset/24,"HH")&amp;search_regexp&amp;""""</f>
        <v>#REF!</v>
      </c>
      <c r="HMF28" s="234" t="e">
        <f>astrogrep_path&amp;" /e /r /s /spath="&amp;search_path&amp;" /stypes=""app*"&amp;HLB28&amp;"*"&amp;TEXT(HLI28-utc_offset/24,"YYYYMMDD")&amp;"*"" /stext="" "&amp;TEXT(HLI28-utc_offset/24,"HH")&amp;search_regexp&amp;""""</f>
        <v>#REF!</v>
      </c>
      <c r="HMG28" s="234" t="e">
        <f>astrogrep_path&amp;" /e /r /s /spath="&amp;search_path&amp;" /stypes=""app*"&amp;HLC28&amp;"*"&amp;TEXT(HLJ28-utc_offset/24,"YYYYMMDD")&amp;"*"" /stext="" "&amp;TEXT(HLJ28-utc_offset/24,"HH")&amp;search_regexp&amp;""""</f>
        <v>#REF!</v>
      </c>
      <c r="HMH28" s="234" t="e">
        <f>astrogrep_path&amp;" /e /r /s /spath="&amp;search_path&amp;" /stypes=""app*"&amp;HLD28&amp;"*"&amp;TEXT(HLK28-utc_offset/24,"YYYYMMDD")&amp;"*"" /stext="" "&amp;TEXT(HLK28-utc_offset/24,"HH")&amp;search_regexp&amp;""""</f>
        <v>#REF!</v>
      </c>
      <c r="HMI28" s="234" t="e">
        <f>astrogrep_path&amp;" /e /r /s /spath="&amp;search_path&amp;" /stypes=""app*"&amp;HLE28&amp;"*"&amp;TEXT(HLL28-utc_offset/24,"YYYYMMDD")&amp;"*"" /stext="" "&amp;TEXT(HLL28-utc_offset/24,"HH")&amp;search_regexp&amp;""""</f>
        <v>#REF!</v>
      </c>
      <c r="HMJ28" s="234" t="e">
        <f>astrogrep_path&amp;" /e /r /s /spath="&amp;search_path&amp;" /stypes=""app*"&amp;HLF28&amp;"*"&amp;TEXT(HLM28-utc_offset/24,"YYYYMMDD")&amp;"*"" /stext="" "&amp;TEXT(HLM28-utc_offset/24,"HH")&amp;search_regexp&amp;""""</f>
        <v>#REF!</v>
      </c>
      <c r="HMK28" s="234" t="e">
        <f>astrogrep_path&amp;" /e /r /s /spath="&amp;search_path&amp;" /stypes=""app*"&amp;HLG28&amp;"*"&amp;TEXT(HLN28-utc_offset/24,"YYYYMMDD")&amp;"*"" /stext="" "&amp;TEXT(HLN28-utc_offset/24,"HH")&amp;search_regexp&amp;""""</f>
        <v>#REF!</v>
      </c>
      <c r="HML28" s="234" t="e">
        <f>astrogrep_path&amp;" /e /r /s /spath="&amp;search_path&amp;" /stypes=""app*"&amp;HLH28&amp;"*"&amp;TEXT(HLO28-utc_offset/24,"YYYYMMDD")&amp;"*"" /stext="" "&amp;TEXT(HLO28-utc_offset/24,"HH")&amp;search_regexp&amp;""""</f>
        <v>#REF!</v>
      </c>
      <c r="HMM28" s="234" t="e">
        <f>astrogrep_path&amp;" /e /r /s /spath="&amp;search_path&amp;" /stypes=""app*"&amp;HLI28&amp;"*"&amp;TEXT(HLP28-utc_offset/24,"YYYYMMDD")&amp;"*"" /stext="" "&amp;TEXT(HLP28-utc_offset/24,"HH")&amp;search_regexp&amp;""""</f>
        <v>#REF!</v>
      </c>
      <c r="HMN28" s="234" t="e">
        <f>astrogrep_path&amp;" /e /r /s /spath="&amp;search_path&amp;" /stypes=""app*"&amp;HLJ28&amp;"*"&amp;TEXT(HLQ28-utc_offset/24,"YYYYMMDD")&amp;"*"" /stext="" "&amp;TEXT(HLQ28-utc_offset/24,"HH")&amp;search_regexp&amp;""""</f>
        <v>#REF!</v>
      </c>
      <c r="HMO28" s="234" t="e">
        <f>astrogrep_path&amp;" /e /r /s /spath="&amp;search_path&amp;" /stypes=""app*"&amp;HLK28&amp;"*"&amp;TEXT(HLR28-utc_offset/24,"YYYYMMDD")&amp;"*"" /stext="" "&amp;TEXT(HLR28-utc_offset/24,"HH")&amp;search_regexp&amp;""""</f>
        <v>#VALUE!</v>
      </c>
      <c r="HMP28" s="234" t="e">
        <f>astrogrep_path&amp;" /e /r /s /spath="&amp;search_path&amp;" /stypes=""app*"&amp;HLL28&amp;"*"&amp;TEXT(HLS28-utc_offset/24,"YYYYMMDD")&amp;"*"" /stext="" "&amp;TEXT(HLS28-utc_offset/24,"HH")&amp;search_regexp&amp;""""</f>
        <v>#VALUE!</v>
      </c>
      <c r="HMQ28" s="234" t="e">
        <f>astrogrep_path&amp;" /e /r /s /spath="&amp;search_path&amp;" /stypes=""app*"&amp;HLM28&amp;"*"&amp;TEXT(HLT28-utc_offset/24,"YYYYMMDD")&amp;"*"" /stext="" "&amp;TEXT(HLT28-utc_offset/24,"HH")&amp;search_regexp&amp;""""</f>
        <v>#REF!</v>
      </c>
      <c r="HMR28" s="234" t="e">
        <f>astrogrep_path&amp;" /e /r /s /spath="&amp;search_path&amp;" /stypes=""app*"&amp;HLN28&amp;"*"&amp;TEXT(HLU28-utc_offset/24,"YYYYMMDD")&amp;"*"" /stext="" "&amp;TEXT(HLU28-utc_offset/24,"HH")&amp;search_regexp&amp;""""</f>
        <v>#REF!</v>
      </c>
      <c r="HMS28" s="234" t="e">
        <f>astrogrep_path&amp;" /e /r /s /spath="&amp;search_path&amp;" /stypes=""app*"&amp;HLO28&amp;"*"&amp;TEXT(HLV28-utc_offset/24,"YYYYMMDD")&amp;"*"" /stext="" "&amp;TEXT(HLV28-utc_offset/24,"HH")&amp;search_regexp&amp;""""</f>
        <v>#VALUE!</v>
      </c>
      <c r="HMT28" s="234" t="e">
        <f>astrogrep_path&amp;" /e /r /s /spath="&amp;search_path&amp;" /stypes=""app*"&amp;HLP28&amp;"*"&amp;TEXT(HLW28-utc_offset/24,"YYYYMMDD")&amp;"*"" /stext="" "&amp;TEXT(HLW28-utc_offset/24,"HH")&amp;search_regexp&amp;""""</f>
        <v>#VALUE!</v>
      </c>
      <c r="HMU28" s="234" t="e">
        <f>astrogrep_path&amp;" /e /r /s /spath="&amp;search_path&amp;" /stypes=""app*"&amp;HLQ28&amp;"*"&amp;TEXT(HLX28-utc_offset/24,"YYYYMMDD")&amp;"*"" /stext="" "&amp;TEXT(HLX28-utc_offset/24,"HH")&amp;search_regexp&amp;""""</f>
        <v>#VALUE!</v>
      </c>
      <c r="HMV28" s="234" t="e">
        <f>astrogrep_path&amp;" /e /r /s /spath="&amp;search_path&amp;" /stypes=""app*"&amp;HLR28&amp;"*"&amp;TEXT(HLY28-utc_offset/24,"YYYYMMDD")&amp;"*"" /stext="" "&amp;TEXT(HLY28-utc_offset/24,"HH")&amp;search_regexp&amp;""""</f>
        <v>#VALUE!</v>
      </c>
      <c r="HMW28" s="234" t="e">
        <f>astrogrep_path&amp;" /e /r /s /spath="&amp;search_path&amp;" /stypes=""app*"&amp;HLS28&amp;"*"&amp;TEXT(HLZ28-utc_offset/24,"YYYYMMDD")&amp;"*"" /stext="" "&amp;TEXT(HLZ28-utc_offset/24,"HH")&amp;search_regexp&amp;""""</f>
        <v>#VALUE!</v>
      </c>
      <c r="HMX28" s="234" t="e">
        <f>astrogrep_path&amp;" /e /r /s /spath="&amp;search_path&amp;" /stypes=""app*"&amp;HLT28&amp;"*"&amp;TEXT(HMA28-utc_offset/24,"YYYYMMDD")&amp;"*"" /stext="" "&amp;TEXT(HMA28-utc_offset/24,"HH")&amp;search_regexp&amp;""""</f>
        <v>#REF!</v>
      </c>
      <c r="HMY28" s="234" t="e">
        <f>astrogrep_path&amp;" /e /r /s /spath="&amp;search_path&amp;" /stypes=""app*"&amp;HLU28&amp;"*"&amp;TEXT(HMB28-utc_offset/24,"YYYYMMDD")&amp;"*"" /stext="" "&amp;TEXT(HMB28-utc_offset/24,"HH")&amp;search_regexp&amp;""""</f>
        <v>#REF!</v>
      </c>
      <c r="HMZ28" s="234" t="e">
        <f>astrogrep_path&amp;" /e /r /s /spath="&amp;search_path&amp;" /stypes=""app*"&amp;HLV28&amp;"*"&amp;TEXT(HMC28-utc_offset/24,"YYYYMMDD")&amp;"*"" /stext="" "&amp;TEXT(HMC28-utc_offset/24,"HH")&amp;search_regexp&amp;""""</f>
        <v>#REF!</v>
      </c>
      <c r="HNA28" s="234" t="e">
        <f>astrogrep_path&amp;" /e /r /s /spath="&amp;search_path&amp;" /stypes=""app*"&amp;HLW28&amp;"*"&amp;TEXT(HMD28-utc_offset/24,"YYYYMMDD")&amp;"*"" /stext="" "&amp;TEXT(HMD28-utc_offset/24,"HH")&amp;search_regexp&amp;""""</f>
        <v>#REF!</v>
      </c>
      <c r="HNB28" s="234" t="e">
        <f>astrogrep_path&amp;" /e /r /s /spath="&amp;search_path&amp;" /stypes=""app*"&amp;HLX28&amp;"*"&amp;TEXT(HME28-utc_offset/24,"YYYYMMDD")&amp;"*"" /stext="" "&amp;TEXT(HME28-utc_offset/24,"HH")&amp;search_regexp&amp;""""</f>
        <v>#REF!</v>
      </c>
      <c r="HNC28" s="234" t="e">
        <f>astrogrep_path&amp;" /e /r /s /spath="&amp;search_path&amp;" /stypes=""app*"&amp;HLY28&amp;"*"&amp;TEXT(HMF28-utc_offset/24,"YYYYMMDD")&amp;"*"" /stext="" "&amp;TEXT(HMF28-utc_offset/24,"HH")&amp;search_regexp&amp;""""</f>
        <v>#REF!</v>
      </c>
      <c r="HND28" s="234" t="e">
        <f>astrogrep_path&amp;" /e /r /s /spath="&amp;search_path&amp;" /stypes=""app*"&amp;HLZ28&amp;"*"&amp;TEXT(HMG28-utc_offset/24,"YYYYMMDD")&amp;"*"" /stext="" "&amp;TEXT(HMG28-utc_offset/24,"HH")&amp;search_regexp&amp;""""</f>
        <v>#REF!</v>
      </c>
      <c r="HNE28" s="234" t="e">
        <f>astrogrep_path&amp;" /e /r /s /spath="&amp;search_path&amp;" /stypes=""app*"&amp;HMA28&amp;"*"&amp;TEXT(HMH28-utc_offset/24,"YYYYMMDD")&amp;"*"" /stext="" "&amp;TEXT(HMH28-utc_offset/24,"HH")&amp;search_regexp&amp;""""</f>
        <v>#REF!</v>
      </c>
      <c r="HNF28" s="234" t="e">
        <f>astrogrep_path&amp;" /e /r /s /spath="&amp;search_path&amp;" /stypes=""app*"&amp;HMB28&amp;"*"&amp;TEXT(HMI28-utc_offset/24,"YYYYMMDD")&amp;"*"" /stext="" "&amp;TEXT(HMI28-utc_offset/24,"HH")&amp;search_regexp&amp;""""</f>
        <v>#REF!</v>
      </c>
      <c r="HNG28" s="234" t="e">
        <f>astrogrep_path&amp;" /e /r /s /spath="&amp;search_path&amp;" /stypes=""app*"&amp;HMC28&amp;"*"&amp;TEXT(HMJ28-utc_offset/24,"YYYYMMDD")&amp;"*"" /stext="" "&amp;TEXT(HMJ28-utc_offset/24,"HH")&amp;search_regexp&amp;""""</f>
        <v>#REF!</v>
      </c>
      <c r="HNH28" s="234" t="e">
        <f>astrogrep_path&amp;" /e /r /s /spath="&amp;search_path&amp;" /stypes=""app*"&amp;HMD28&amp;"*"&amp;TEXT(HMK28-utc_offset/24,"YYYYMMDD")&amp;"*"" /stext="" "&amp;TEXT(HMK28-utc_offset/24,"HH")&amp;search_regexp&amp;""""</f>
        <v>#REF!</v>
      </c>
      <c r="HNI28" s="234" t="e">
        <f>astrogrep_path&amp;" /e /r /s /spath="&amp;search_path&amp;" /stypes=""app*"&amp;HME28&amp;"*"&amp;TEXT(HML28-utc_offset/24,"YYYYMMDD")&amp;"*"" /stext="" "&amp;TEXT(HML28-utc_offset/24,"HH")&amp;search_regexp&amp;""""</f>
        <v>#REF!</v>
      </c>
      <c r="HNJ28" s="234" t="e">
        <f>astrogrep_path&amp;" /e /r /s /spath="&amp;search_path&amp;" /stypes=""app*"&amp;HMF28&amp;"*"&amp;TEXT(HMM28-utc_offset/24,"YYYYMMDD")&amp;"*"" /stext="" "&amp;TEXT(HMM28-utc_offset/24,"HH")&amp;search_regexp&amp;""""</f>
        <v>#REF!</v>
      </c>
      <c r="HNK28" s="234" t="e">
        <f>astrogrep_path&amp;" /e /r /s /spath="&amp;search_path&amp;" /stypes=""app*"&amp;HMG28&amp;"*"&amp;TEXT(HMN28-utc_offset/24,"YYYYMMDD")&amp;"*"" /stext="" "&amp;TEXT(HMN28-utc_offset/24,"HH")&amp;search_regexp&amp;""""</f>
        <v>#REF!</v>
      </c>
      <c r="HNL28" s="234" t="e">
        <f>astrogrep_path&amp;" /e /r /s /spath="&amp;search_path&amp;" /stypes=""app*"&amp;HMH28&amp;"*"&amp;TEXT(HMO28-utc_offset/24,"YYYYMMDD")&amp;"*"" /stext="" "&amp;TEXT(HMO28-utc_offset/24,"HH")&amp;search_regexp&amp;""""</f>
        <v>#REF!</v>
      </c>
      <c r="HNM28" s="234" t="e">
        <f>astrogrep_path&amp;" /e /r /s /spath="&amp;search_path&amp;" /stypes=""app*"&amp;HMI28&amp;"*"&amp;TEXT(HMP28-utc_offset/24,"YYYYMMDD")&amp;"*"" /stext="" "&amp;TEXT(HMP28-utc_offset/24,"HH")&amp;search_regexp&amp;""""</f>
        <v>#REF!</v>
      </c>
      <c r="HNN28" s="234" t="e">
        <f>astrogrep_path&amp;" /e /r /s /spath="&amp;search_path&amp;" /stypes=""app*"&amp;HMJ28&amp;"*"&amp;TEXT(HMQ28-utc_offset/24,"YYYYMMDD")&amp;"*"" /stext="" "&amp;TEXT(HMQ28-utc_offset/24,"HH")&amp;search_regexp&amp;""""</f>
        <v>#REF!</v>
      </c>
      <c r="HNO28" s="234" t="e">
        <f>astrogrep_path&amp;" /e /r /s /spath="&amp;search_path&amp;" /stypes=""app*"&amp;HMK28&amp;"*"&amp;TEXT(HMR28-utc_offset/24,"YYYYMMDD")&amp;"*"" /stext="" "&amp;TEXT(HMR28-utc_offset/24,"HH")&amp;search_regexp&amp;""""</f>
        <v>#REF!</v>
      </c>
      <c r="HNP28" s="234" t="e">
        <f>astrogrep_path&amp;" /e /r /s /spath="&amp;search_path&amp;" /stypes=""app*"&amp;HML28&amp;"*"&amp;TEXT(HMS28-utc_offset/24,"YYYYMMDD")&amp;"*"" /stext="" "&amp;TEXT(HMS28-utc_offset/24,"HH")&amp;search_regexp&amp;""""</f>
        <v>#REF!</v>
      </c>
      <c r="HNQ28" s="234" t="e">
        <f>astrogrep_path&amp;" /e /r /s /spath="&amp;search_path&amp;" /stypes=""app*"&amp;HMM28&amp;"*"&amp;TEXT(HMT28-utc_offset/24,"YYYYMMDD")&amp;"*"" /stext="" "&amp;TEXT(HMT28-utc_offset/24,"HH")&amp;search_regexp&amp;""""</f>
        <v>#REF!</v>
      </c>
      <c r="HNR28" s="234" t="e">
        <f>astrogrep_path&amp;" /e /r /s /spath="&amp;search_path&amp;" /stypes=""app*"&amp;HMN28&amp;"*"&amp;TEXT(HMU28-utc_offset/24,"YYYYMMDD")&amp;"*"" /stext="" "&amp;TEXT(HMU28-utc_offset/24,"HH")&amp;search_regexp&amp;""""</f>
        <v>#REF!</v>
      </c>
      <c r="HNS28" s="234" t="e">
        <f>astrogrep_path&amp;" /e /r /s /spath="&amp;search_path&amp;" /stypes=""app*"&amp;HMO28&amp;"*"&amp;TEXT(HMV28-utc_offset/24,"YYYYMMDD")&amp;"*"" /stext="" "&amp;TEXT(HMV28-utc_offset/24,"HH")&amp;search_regexp&amp;""""</f>
        <v>#VALUE!</v>
      </c>
      <c r="HNT28" s="234" t="e">
        <f>astrogrep_path&amp;" /e /r /s /spath="&amp;search_path&amp;" /stypes=""app*"&amp;HMP28&amp;"*"&amp;TEXT(HMW28-utc_offset/24,"YYYYMMDD")&amp;"*"" /stext="" "&amp;TEXT(HMW28-utc_offset/24,"HH")&amp;search_regexp&amp;""""</f>
        <v>#VALUE!</v>
      </c>
      <c r="HNU28" s="234" t="e">
        <f>astrogrep_path&amp;" /e /r /s /spath="&amp;search_path&amp;" /stypes=""app*"&amp;HMQ28&amp;"*"&amp;TEXT(HMX28-utc_offset/24,"YYYYMMDD")&amp;"*"" /stext="" "&amp;TEXT(HMX28-utc_offset/24,"HH")&amp;search_regexp&amp;""""</f>
        <v>#REF!</v>
      </c>
      <c r="HNV28" s="234" t="e">
        <f>astrogrep_path&amp;" /e /r /s /spath="&amp;search_path&amp;" /stypes=""app*"&amp;HMR28&amp;"*"&amp;TEXT(HMY28-utc_offset/24,"YYYYMMDD")&amp;"*"" /stext="" "&amp;TEXT(HMY28-utc_offset/24,"HH")&amp;search_regexp&amp;""""</f>
        <v>#REF!</v>
      </c>
      <c r="HNW28" s="234" t="e">
        <f>astrogrep_path&amp;" /e /r /s /spath="&amp;search_path&amp;" /stypes=""app*"&amp;HMS28&amp;"*"&amp;TEXT(HMZ28-utc_offset/24,"YYYYMMDD")&amp;"*"" /stext="" "&amp;TEXT(HMZ28-utc_offset/24,"HH")&amp;search_regexp&amp;""""</f>
        <v>#VALUE!</v>
      </c>
      <c r="HNX28" s="234" t="e">
        <f>astrogrep_path&amp;" /e /r /s /spath="&amp;search_path&amp;" /stypes=""app*"&amp;HMT28&amp;"*"&amp;TEXT(HNA28-utc_offset/24,"YYYYMMDD")&amp;"*"" /stext="" "&amp;TEXT(HNA28-utc_offset/24,"HH")&amp;search_regexp&amp;""""</f>
        <v>#VALUE!</v>
      </c>
      <c r="HNY28" s="234" t="e">
        <f>astrogrep_path&amp;" /e /r /s /spath="&amp;search_path&amp;" /stypes=""app*"&amp;HMU28&amp;"*"&amp;TEXT(HNB28-utc_offset/24,"YYYYMMDD")&amp;"*"" /stext="" "&amp;TEXT(HNB28-utc_offset/24,"HH")&amp;search_regexp&amp;""""</f>
        <v>#VALUE!</v>
      </c>
      <c r="HNZ28" s="234" t="e">
        <f>astrogrep_path&amp;" /e /r /s /spath="&amp;search_path&amp;" /stypes=""app*"&amp;HMV28&amp;"*"&amp;TEXT(HNC28-utc_offset/24,"YYYYMMDD")&amp;"*"" /stext="" "&amp;TEXT(HNC28-utc_offset/24,"HH")&amp;search_regexp&amp;""""</f>
        <v>#VALUE!</v>
      </c>
      <c r="HOA28" s="234" t="e">
        <f>astrogrep_path&amp;" /e /r /s /spath="&amp;search_path&amp;" /stypes=""app*"&amp;HMW28&amp;"*"&amp;TEXT(HND28-utc_offset/24,"YYYYMMDD")&amp;"*"" /stext="" "&amp;TEXT(HND28-utc_offset/24,"HH")&amp;search_regexp&amp;""""</f>
        <v>#VALUE!</v>
      </c>
      <c r="HOB28" s="234" t="e">
        <f>astrogrep_path&amp;" /e /r /s /spath="&amp;search_path&amp;" /stypes=""app*"&amp;HMX28&amp;"*"&amp;TEXT(HNE28-utc_offset/24,"YYYYMMDD")&amp;"*"" /stext="" "&amp;TEXT(HNE28-utc_offset/24,"HH")&amp;search_regexp&amp;""""</f>
        <v>#REF!</v>
      </c>
      <c r="HOC28" s="234" t="e">
        <f>astrogrep_path&amp;" /e /r /s /spath="&amp;search_path&amp;" /stypes=""app*"&amp;HMY28&amp;"*"&amp;TEXT(HNF28-utc_offset/24,"YYYYMMDD")&amp;"*"" /stext="" "&amp;TEXT(HNF28-utc_offset/24,"HH")&amp;search_regexp&amp;""""</f>
        <v>#REF!</v>
      </c>
      <c r="HOD28" s="234" t="e">
        <f>astrogrep_path&amp;" /e /r /s /spath="&amp;search_path&amp;" /stypes=""app*"&amp;HMZ28&amp;"*"&amp;TEXT(HNG28-utc_offset/24,"YYYYMMDD")&amp;"*"" /stext="" "&amp;TEXT(HNG28-utc_offset/24,"HH")&amp;search_regexp&amp;""""</f>
        <v>#REF!</v>
      </c>
      <c r="HOE28" s="234" t="e">
        <f>astrogrep_path&amp;" /e /r /s /spath="&amp;search_path&amp;" /stypes=""app*"&amp;HNA28&amp;"*"&amp;TEXT(HNH28-utc_offset/24,"YYYYMMDD")&amp;"*"" /stext="" "&amp;TEXT(HNH28-utc_offset/24,"HH")&amp;search_regexp&amp;""""</f>
        <v>#REF!</v>
      </c>
      <c r="HOF28" s="234" t="e">
        <f>astrogrep_path&amp;" /e /r /s /spath="&amp;search_path&amp;" /stypes=""app*"&amp;HNB28&amp;"*"&amp;TEXT(HNI28-utc_offset/24,"YYYYMMDD")&amp;"*"" /stext="" "&amp;TEXT(HNI28-utc_offset/24,"HH")&amp;search_regexp&amp;""""</f>
        <v>#REF!</v>
      </c>
      <c r="HOG28" s="234" t="e">
        <f>astrogrep_path&amp;" /e /r /s /spath="&amp;search_path&amp;" /stypes=""app*"&amp;HNC28&amp;"*"&amp;TEXT(HNJ28-utc_offset/24,"YYYYMMDD")&amp;"*"" /stext="" "&amp;TEXT(HNJ28-utc_offset/24,"HH")&amp;search_regexp&amp;""""</f>
        <v>#REF!</v>
      </c>
      <c r="HOH28" s="234" t="e">
        <f>astrogrep_path&amp;" /e /r /s /spath="&amp;search_path&amp;" /stypes=""app*"&amp;HND28&amp;"*"&amp;TEXT(HNK28-utc_offset/24,"YYYYMMDD")&amp;"*"" /stext="" "&amp;TEXT(HNK28-utc_offset/24,"HH")&amp;search_regexp&amp;""""</f>
        <v>#REF!</v>
      </c>
      <c r="HOI28" s="234" t="e">
        <f>astrogrep_path&amp;" /e /r /s /spath="&amp;search_path&amp;" /stypes=""app*"&amp;HNE28&amp;"*"&amp;TEXT(HNL28-utc_offset/24,"YYYYMMDD")&amp;"*"" /stext="" "&amp;TEXT(HNL28-utc_offset/24,"HH")&amp;search_regexp&amp;""""</f>
        <v>#REF!</v>
      </c>
      <c r="HOJ28" s="234" t="e">
        <f>astrogrep_path&amp;" /e /r /s /spath="&amp;search_path&amp;" /stypes=""app*"&amp;HNF28&amp;"*"&amp;TEXT(HNM28-utc_offset/24,"YYYYMMDD")&amp;"*"" /stext="" "&amp;TEXT(HNM28-utc_offset/24,"HH")&amp;search_regexp&amp;""""</f>
        <v>#REF!</v>
      </c>
      <c r="HOK28" s="234" t="e">
        <f>astrogrep_path&amp;" /e /r /s /spath="&amp;search_path&amp;" /stypes=""app*"&amp;HNG28&amp;"*"&amp;TEXT(HNN28-utc_offset/24,"YYYYMMDD")&amp;"*"" /stext="" "&amp;TEXT(HNN28-utc_offset/24,"HH")&amp;search_regexp&amp;""""</f>
        <v>#REF!</v>
      </c>
      <c r="HOL28" s="234" t="e">
        <f>astrogrep_path&amp;" /e /r /s /spath="&amp;search_path&amp;" /stypes=""app*"&amp;HNH28&amp;"*"&amp;TEXT(HNO28-utc_offset/24,"YYYYMMDD")&amp;"*"" /stext="" "&amp;TEXT(HNO28-utc_offset/24,"HH")&amp;search_regexp&amp;""""</f>
        <v>#REF!</v>
      </c>
      <c r="HOM28" s="234" t="e">
        <f>astrogrep_path&amp;" /e /r /s /spath="&amp;search_path&amp;" /stypes=""app*"&amp;HNI28&amp;"*"&amp;TEXT(HNP28-utc_offset/24,"YYYYMMDD")&amp;"*"" /stext="" "&amp;TEXT(HNP28-utc_offset/24,"HH")&amp;search_regexp&amp;""""</f>
        <v>#REF!</v>
      </c>
      <c r="HON28" s="234" t="e">
        <f>astrogrep_path&amp;" /e /r /s /spath="&amp;search_path&amp;" /stypes=""app*"&amp;HNJ28&amp;"*"&amp;TEXT(HNQ28-utc_offset/24,"YYYYMMDD")&amp;"*"" /stext="" "&amp;TEXT(HNQ28-utc_offset/24,"HH")&amp;search_regexp&amp;""""</f>
        <v>#REF!</v>
      </c>
      <c r="HOO28" s="234" t="e">
        <f>astrogrep_path&amp;" /e /r /s /spath="&amp;search_path&amp;" /stypes=""app*"&amp;HNK28&amp;"*"&amp;TEXT(HNR28-utc_offset/24,"YYYYMMDD")&amp;"*"" /stext="" "&amp;TEXT(HNR28-utc_offset/24,"HH")&amp;search_regexp&amp;""""</f>
        <v>#REF!</v>
      </c>
      <c r="HOP28" s="234" t="e">
        <f>astrogrep_path&amp;" /e /r /s /spath="&amp;search_path&amp;" /stypes=""app*"&amp;HNL28&amp;"*"&amp;TEXT(HNS28-utc_offset/24,"YYYYMMDD")&amp;"*"" /stext="" "&amp;TEXT(HNS28-utc_offset/24,"HH")&amp;search_regexp&amp;""""</f>
        <v>#REF!</v>
      </c>
      <c r="HOQ28" s="234" t="e">
        <f>astrogrep_path&amp;" /e /r /s /spath="&amp;search_path&amp;" /stypes=""app*"&amp;HNM28&amp;"*"&amp;TEXT(HNT28-utc_offset/24,"YYYYMMDD")&amp;"*"" /stext="" "&amp;TEXT(HNT28-utc_offset/24,"HH")&amp;search_regexp&amp;""""</f>
        <v>#REF!</v>
      </c>
      <c r="HOR28" s="234" t="e">
        <f>astrogrep_path&amp;" /e /r /s /spath="&amp;search_path&amp;" /stypes=""app*"&amp;HNN28&amp;"*"&amp;TEXT(HNU28-utc_offset/24,"YYYYMMDD")&amp;"*"" /stext="" "&amp;TEXT(HNU28-utc_offset/24,"HH")&amp;search_regexp&amp;""""</f>
        <v>#REF!</v>
      </c>
      <c r="HOS28" s="234" t="e">
        <f>astrogrep_path&amp;" /e /r /s /spath="&amp;search_path&amp;" /stypes=""app*"&amp;HNO28&amp;"*"&amp;TEXT(HNV28-utc_offset/24,"YYYYMMDD")&amp;"*"" /stext="" "&amp;TEXT(HNV28-utc_offset/24,"HH")&amp;search_regexp&amp;""""</f>
        <v>#REF!</v>
      </c>
      <c r="HOT28" s="234" t="e">
        <f>astrogrep_path&amp;" /e /r /s /spath="&amp;search_path&amp;" /stypes=""app*"&amp;HNP28&amp;"*"&amp;TEXT(HNW28-utc_offset/24,"YYYYMMDD")&amp;"*"" /stext="" "&amp;TEXT(HNW28-utc_offset/24,"HH")&amp;search_regexp&amp;""""</f>
        <v>#REF!</v>
      </c>
      <c r="HOU28" s="234" t="e">
        <f>astrogrep_path&amp;" /e /r /s /spath="&amp;search_path&amp;" /stypes=""app*"&amp;HNQ28&amp;"*"&amp;TEXT(HNX28-utc_offset/24,"YYYYMMDD")&amp;"*"" /stext="" "&amp;TEXT(HNX28-utc_offset/24,"HH")&amp;search_regexp&amp;""""</f>
        <v>#REF!</v>
      </c>
      <c r="HOV28" s="234" t="e">
        <f>astrogrep_path&amp;" /e /r /s /spath="&amp;search_path&amp;" /stypes=""app*"&amp;HNR28&amp;"*"&amp;TEXT(HNY28-utc_offset/24,"YYYYMMDD")&amp;"*"" /stext="" "&amp;TEXT(HNY28-utc_offset/24,"HH")&amp;search_regexp&amp;""""</f>
        <v>#REF!</v>
      </c>
      <c r="HOW28" s="234" t="e">
        <f>astrogrep_path&amp;" /e /r /s /spath="&amp;search_path&amp;" /stypes=""app*"&amp;HNS28&amp;"*"&amp;TEXT(HNZ28-utc_offset/24,"YYYYMMDD")&amp;"*"" /stext="" "&amp;TEXT(HNZ28-utc_offset/24,"HH")&amp;search_regexp&amp;""""</f>
        <v>#VALUE!</v>
      </c>
      <c r="HOX28" s="234" t="e">
        <f>astrogrep_path&amp;" /e /r /s /spath="&amp;search_path&amp;" /stypes=""app*"&amp;HNT28&amp;"*"&amp;TEXT(HOA28-utc_offset/24,"YYYYMMDD")&amp;"*"" /stext="" "&amp;TEXT(HOA28-utc_offset/24,"HH")&amp;search_regexp&amp;""""</f>
        <v>#VALUE!</v>
      </c>
      <c r="HOY28" s="234" t="e">
        <f>astrogrep_path&amp;" /e /r /s /spath="&amp;search_path&amp;" /stypes=""app*"&amp;HNU28&amp;"*"&amp;TEXT(HOB28-utc_offset/24,"YYYYMMDD")&amp;"*"" /stext="" "&amp;TEXT(HOB28-utc_offset/24,"HH")&amp;search_regexp&amp;""""</f>
        <v>#REF!</v>
      </c>
      <c r="HOZ28" s="234" t="e">
        <f>astrogrep_path&amp;" /e /r /s /spath="&amp;search_path&amp;" /stypes=""app*"&amp;HNV28&amp;"*"&amp;TEXT(HOC28-utc_offset/24,"YYYYMMDD")&amp;"*"" /stext="" "&amp;TEXT(HOC28-utc_offset/24,"HH")&amp;search_regexp&amp;""""</f>
        <v>#REF!</v>
      </c>
      <c r="HPA28" s="234" t="e">
        <f>astrogrep_path&amp;" /e /r /s /spath="&amp;search_path&amp;" /stypes=""app*"&amp;HNW28&amp;"*"&amp;TEXT(HOD28-utc_offset/24,"YYYYMMDD")&amp;"*"" /stext="" "&amp;TEXT(HOD28-utc_offset/24,"HH")&amp;search_regexp&amp;""""</f>
        <v>#VALUE!</v>
      </c>
      <c r="HPB28" s="234" t="e">
        <f>astrogrep_path&amp;" /e /r /s /spath="&amp;search_path&amp;" /stypes=""app*"&amp;HNX28&amp;"*"&amp;TEXT(HOE28-utc_offset/24,"YYYYMMDD")&amp;"*"" /stext="" "&amp;TEXT(HOE28-utc_offset/24,"HH")&amp;search_regexp&amp;""""</f>
        <v>#VALUE!</v>
      </c>
      <c r="HPC28" s="234" t="e">
        <f>astrogrep_path&amp;" /e /r /s /spath="&amp;search_path&amp;" /stypes=""app*"&amp;HNY28&amp;"*"&amp;TEXT(HOF28-utc_offset/24,"YYYYMMDD")&amp;"*"" /stext="" "&amp;TEXT(HOF28-utc_offset/24,"HH")&amp;search_regexp&amp;""""</f>
        <v>#VALUE!</v>
      </c>
      <c r="HPD28" s="234" t="e">
        <f>astrogrep_path&amp;" /e /r /s /spath="&amp;search_path&amp;" /stypes=""app*"&amp;HNZ28&amp;"*"&amp;TEXT(HOG28-utc_offset/24,"YYYYMMDD")&amp;"*"" /stext="" "&amp;TEXT(HOG28-utc_offset/24,"HH")&amp;search_regexp&amp;""""</f>
        <v>#VALUE!</v>
      </c>
      <c r="HPE28" s="234" t="e">
        <f>astrogrep_path&amp;" /e /r /s /spath="&amp;search_path&amp;" /stypes=""app*"&amp;HOA28&amp;"*"&amp;TEXT(HOH28-utc_offset/24,"YYYYMMDD")&amp;"*"" /stext="" "&amp;TEXT(HOH28-utc_offset/24,"HH")&amp;search_regexp&amp;""""</f>
        <v>#VALUE!</v>
      </c>
      <c r="HPF28" s="234" t="e">
        <f>astrogrep_path&amp;" /e /r /s /spath="&amp;search_path&amp;" /stypes=""app*"&amp;HOB28&amp;"*"&amp;TEXT(HOI28-utc_offset/24,"YYYYMMDD")&amp;"*"" /stext="" "&amp;TEXT(HOI28-utc_offset/24,"HH")&amp;search_regexp&amp;""""</f>
        <v>#REF!</v>
      </c>
      <c r="HPG28" s="234" t="e">
        <f>astrogrep_path&amp;" /e /r /s /spath="&amp;search_path&amp;" /stypes=""app*"&amp;HOC28&amp;"*"&amp;TEXT(HOJ28-utc_offset/24,"YYYYMMDD")&amp;"*"" /stext="" "&amp;TEXT(HOJ28-utc_offset/24,"HH")&amp;search_regexp&amp;""""</f>
        <v>#REF!</v>
      </c>
      <c r="HPH28" s="234" t="e">
        <f>astrogrep_path&amp;" /e /r /s /spath="&amp;search_path&amp;" /stypes=""app*"&amp;HOD28&amp;"*"&amp;TEXT(HOK28-utc_offset/24,"YYYYMMDD")&amp;"*"" /stext="" "&amp;TEXT(HOK28-utc_offset/24,"HH")&amp;search_regexp&amp;""""</f>
        <v>#REF!</v>
      </c>
      <c r="HPI28" s="234" t="e">
        <f>astrogrep_path&amp;" /e /r /s /spath="&amp;search_path&amp;" /stypes=""app*"&amp;HOE28&amp;"*"&amp;TEXT(HOL28-utc_offset/24,"YYYYMMDD")&amp;"*"" /stext="" "&amp;TEXT(HOL28-utc_offset/24,"HH")&amp;search_regexp&amp;""""</f>
        <v>#REF!</v>
      </c>
      <c r="HPJ28" s="234" t="e">
        <f>astrogrep_path&amp;" /e /r /s /spath="&amp;search_path&amp;" /stypes=""app*"&amp;HOF28&amp;"*"&amp;TEXT(HOM28-utc_offset/24,"YYYYMMDD")&amp;"*"" /stext="" "&amp;TEXT(HOM28-utc_offset/24,"HH")&amp;search_regexp&amp;""""</f>
        <v>#REF!</v>
      </c>
      <c r="HPK28" s="234" t="e">
        <f>astrogrep_path&amp;" /e /r /s /spath="&amp;search_path&amp;" /stypes=""app*"&amp;HOG28&amp;"*"&amp;TEXT(HON28-utc_offset/24,"YYYYMMDD")&amp;"*"" /stext="" "&amp;TEXT(HON28-utc_offset/24,"HH")&amp;search_regexp&amp;""""</f>
        <v>#REF!</v>
      </c>
      <c r="HPL28" s="234" t="e">
        <f>astrogrep_path&amp;" /e /r /s /spath="&amp;search_path&amp;" /stypes=""app*"&amp;HOH28&amp;"*"&amp;TEXT(HOO28-utc_offset/24,"YYYYMMDD")&amp;"*"" /stext="" "&amp;TEXT(HOO28-utc_offset/24,"HH")&amp;search_regexp&amp;""""</f>
        <v>#REF!</v>
      </c>
      <c r="HPM28" s="234" t="e">
        <f>astrogrep_path&amp;" /e /r /s /spath="&amp;search_path&amp;" /stypes=""app*"&amp;HOI28&amp;"*"&amp;TEXT(HOP28-utc_offset/24,"YYYYMMDD")&amp;"*"" /stext="" "&amp;TEXT(HOP28-utc_offset/24,"HH")&amp;search_regexp&amp;""""</f>
        <v>#REF!</v>
      </c>
      <c r="HPN28" s="234" t="e">
        <f>astrogrep_path&amp;" /e /r /s /spath="&amp;search_path&amp;" /stypes=""app*"&amp;HOJ28&amp;"*"&amp;TEXT(HOQ28-utc_offset/24,"YYYYMMDD")&amp;"*"" /stext="" "&amp;TEXT(HOQ28-utc_offset/24,"HH")&amp;search_regexp&amp;""""</f>
        <v>#REF!</v>
      </c>
      <c r="HPO28" s="234" t="e">
        <f>astrogrep_path&amp;" /e /r /s /spath="&amp;search_path&amp;" /stypes=""app*"&amp;HOK28&amp;"*"&amp;TEXT(HOR28-utc_offset/24,"YYYYMMDD")&amp;"*"" /stext="" "&amp;TEXT(HOR28-utc_offset/24,"HH")&amp;search_regexp&amp;""""</f>
        <v>#REF!</v>
      </c>
      <c r="HPP28" s="234" t="e">
        <f>astrogrep_path&amp;" /e /r /s /spath="&amp;search_path&amp;" /stypes=""app*"&amp;HOL28&amp;"*"&amp;TEXT(HOS28-utc_offset/24,"YYYYMMDD")&amp;"*"" /stext="" "&amp;TEXT(HOS28-utc_offset/24,"HH")&amp;search_regexp&amp;""""</f>
        <v>#REF!</v>
      </c>
      <c r="HPQ28" s="234" t="e">
        <f>astrogrep_path&amp;" /e /r /s /spath="&amp;search_path&amp;" /stypes=""app*"&amp;HOM28&amp;"*"&amp;TEXT(HOT28-utc_offset/24,"YYYYMMDD")&amp;"*"" /stext="" "&amp;TEXT(HOT28-utc_offset/24,"HH")&amp;search_regexp&amp;""""</f>
        <v>#REF!</v>
      </c>
      <c r="HPR28" s="234" t="e">
        <f>astrogrep_path&amp;" /e /r /s /spath="&amp;search_path&amp;" /stypes=""app*"&amp;HON28&amp;"*"&amp;TEXT(HOU28-utc_offset/24,"YYYYMMDD")&amp;"*"" /stext="" "&amp;TEXT(HOU28-utc_offset/24,"HH")&amp;search_regexp&amp;""""</f>
        <v>#REF!</v>
      </c>
      <c r="HPS28" s="234" t="e">
        <f>astrogrep_path&amp;" /e /r /s /spath="&amp;search_path&amp;" /stypes=""app*"&amp;HOO28&amp;"*"&amp;TEXT(HOV28-utc_offset/24,"YYYYMMDD")&amp;"*"" /stext="" "&amp;TEXT(HOV28-utc_offset/24,"HH")&amp;search_regexp&amp;""""</f>
        <v>#REF!</v>
      </c>
      <c r="HPT28" s="234" t="e">
        <f>astrogrep_path&amp;" /e /r /s /spath="&amp;search_path&amp;" /stypes=""app*"&amp;HOP28&amp;"*"&amp;TEXT(HOW28-utc_offset/24,"YYYYMMDD")&amp;"*"" /stext="" "&amp;TEXT(HOW28-utc_offset/24,"HH")&amp;search_regexp&amp;""""</f>
        <v>#REF!</v>
      </c>
      <c r="HPU28" s="234" t="e">
        <f>astrogrep_path&amp;" /e /r /s /spath="&amp;search_path&amp;" /stypes=""app*"&amp;HOQ28&amp;"*"&amp;TEXT(HOX28-utc_offset/24,"YYYYMMDD")&amp;"*"" /stext="" "&amp;TEXT(HOX28-utc_offset/24,"HH")&amp;search_regexp&amp;""""</f>
        <v>#REF!</v>
      </c>
      <c r="HPV28" s="234" t="e">
        <f>astrogrep_path&amp;" /e /r /s /spath="&amp;search_path&amp;" /stypes=""app*"&amp;HOR28&amp;"*"&amp;TEXT(HOY28-utc_offset/24,"YYYYMMDD")&amp;"*"" /stext="" "&amp;TEXT(HOY28-utc_offset/24,"HH")&amp;search_regexp&amp;""""</f>
        <v>#REF!</v>
      </c>
      <c r="HPW28" s="234" t="e">
        <f>astrogrep_path&amp;" /e /r /s /spath="&amp;search_path&amp;" /stypes=""app*"&amp;HOS28&amp;"*"&amp;TEXT(HOZ28-utc_offset/24,"YYYYMMDD")&amp;"*"" /stext="" "&amp;TEXT(HOZ28-utc_offset/24,"HH")&amp;search_regexp&amp;""""</f>
        <v>#REF!</v>
      </c>
      <c r="HPX28" s="234" t="e">
        <f>astrogrep_path&amp;" /e /r /s /spath="&amp;search_path&amp;" /stypes=""app*"&amp;HOT28&amp;"*"&amp;TEXT(HPA28-utc_offset/24,"YYYYMMDD")&amp;"*"" /stext="" "&amp;TEXT(HPA28-utc_offset/24,"HH")&amp;search_regexp&amp;""""</f>
        <v>#REF!</v>
      </c>
      <c r="HPY28" s="234" t="e">
        <f>astrogrep_path&amp;" /e /r /s /spath="&amp;search_path&amp;" /stypes=""app*"&amp;HOU28&amp;"*"&amp;TEXT(HPB28-utc_offset/24,"YYYYMMDD")&amp;"*"" /stext="" "&amp;TEXT(HPB28-utc_offset/24,"HH")&amp;search_regexp&amp;""""</f>
        <v>#REF!</v>
      </c>
      <c r="HPZ28" s="234" t="e">
        <f>astrogrep_path&amp;" /e /r /s /spath="&amp;search_path&amp;" /stypes=""app*"&amp;HOV28&amp;"*"&amp;TEXT(HPC28-utc_offset/24,"YYYYMMDD")&amp;"*"" /stext="" "&amp;TEXT(HPC28-utc_offset/24,"HH")&amp;search_regexp&amp;""""</f>
        <v>#REF!</v>
      </c>
      <c r="HQA28" s="234" t="e">
        <f>astrogrep_path&amp;" /e /r /s /spath="&amp;search_path&amp;" /stypes=""app*"&amp;HOW28&amp;"*"&amp;TEXT(HPD28-utc_offset/24,"YYYYMMDD")&amp;"*"" /stext="" "&amp;TEXT(HPD28-utc_offset/24,"HH")&amp;search_regexp&amp;""""</f>
        <v>#VALUE!</v>
      </c>
      <c r="HQB28" s="234" t="e">
        <f>astrogrep_path&amp;" /e /r /s /spath="&amp;search_path&amp;" /stypes=""app*"&amp;HOX28&amp;"*"&amp;TEXT(HPE28-utc_offset/24,"YYYYMMDD")&amp;"*"" /stext="" "&amp;TEXT(HPE28-utc_offset/24,"HH")&amp;search_regexp&amp;""""</f>
        <v>#VALUE!</v>
      </c>
      <c r="HQC28" s="234" t="e">
        <f>astrogrep_path&amp;" /e /r /s /spath="&amp;search_path&amp;" /stypes=""app*"&amp;HOY28&amp;"*"&amp;TEXT(HPF28-utc_offset/24,"YYYYMMDD")&amp;"*"" /stext="" "&amp;TEXT(HPF28-utc_offset/24,"HH")&amp;search_regexp&amp;""""</f>
        <v>#REF!</v>
      </c>
      <c r="HQD28" s="234" t="e">
        <f>astrogrep_path&amp;" /e /r /s /spath="&amp;search_path&amp;" /stypes=""app*"&amp;HOZ28&amp;"*"&amp;TEXT(HPG28-utc_offset/24,"YYYYMMDD")&amp;"*"" /stext="" "&amp;TEXT(HPG28-utc_offset/24,"HH")&amp;search_regexp&amp;""""</f>
        <v>#REF!</v>
      </c>
      <c r="HQE28" s="234" t="e">
        <f>astrogrep_path&amp;" /e /r /s /spath="&amp;search_path&amp;" /stypes=""app*"&amp;HPA28&amp;"*"&amp;TEXT(HPH28-utc_offset/24,"YYYYMMDD")&amp;"*"" /stext="" "&amp;TEXT(HPH28-utc_offset/24,"HH")&amp;search_regexp&amp;""""</f>
        <v>#VALUE!</v>
      </c>
      <c r="HQF28" s="234" t="e">
        <f>astrogrep_path&amp;" /e /r /s /spath="&amp;search_path&amp;" /stypes=""app*"&amp;HPB28&amp;"*"&amp;TEXT(HPI28-utc_offset/24,"YYYYMMDD")&amp;"*"" /stext="" "&amp;TEXT(HPI28-utc_offset/24,"HH")&amp;search_regexp&amp;""""</f>
        <v>#VALUE!</v>
      </c>
      <c r="HQG28" s="234" t="e">
        <f>astrogrep_path&amp;" /e /r /s /spath="&amp;search_path&amp;" /stypes=""app*"&amp;HPC28&amp;"*"&amp;TEXT(HPJ28-utc_offset/24,"YYYYMMDD")&amp;"*"" /stext="" "&amp;TEXT(HPJ28-utc_offset/24,"HH")&amp;search_regexp&amp;""""</f>
        <v>#VALUE!</v>
      </c>
      <c r="HQH28" s="234" t="e">
        <f>astrogrep_path&amp;" /e /r /s /spath="&amp;search_path&amp;" /stypes=""app*"&amp;HPD28&amp;"*"&amp;TEXT(HPK28-utc_offset/24,"YYYYMMDD")&amp;"*"" /stext="" "&amp;TEXT(HPK28-utc_offset/24,"HH")&amp;search_regexp&amp;""""</f>
        <v>#VALUE!</v>
      </c>
      <c r="HQI28" s="234" t="e">
        <f>astrogrep_path&amp;" /e /r /s /spath="&amp;search_path&amp;" /stypes=""app*"&amp;HPE28&amp;"*"&amp;TEXT(HPL28-utc_offset/24,"YYYYMMDD")&amp;"*"" /stext="" "&amp;TEXT(HPL28-utc_offset/24,"HH")&amp;search_regexp&amp;""""</f>
        <v>#VALUE!</v>
      </c>
      <c r="HQJ28" s="234" t="e">
        <f>astrogrep_path&amp;" /e /r /s /spath="&amp;search_path&amp;" /stypes=""app*"&amp;HPF28&amp;"*"&amp;TEXT(HPM28-utc_offset/24,"YYYYMMDD")&amp;"*"" /stext="" "&amp;TEXT(HPM28-utc_offset/24,"HH")&amp;search_regexp&amp;""""</f>
        <v>#REF!</v>
      </c>
      <c r="HQK28" s="234" t="e">
        <f>astrogrep_path&amp;" /e /r /s /spath="&amp;search_path&amp;" /stypes=""app*"&amp;HPG28&amp;"*"&amp;TEXT(HPN28-utc_offset/24,"YYYYMMDD")&amp;"*"" /stext="" "&amp;TEXT(HPN28-utc_offset/24,"HH")&amp;search_regexp&amp;""""</f>
        <v>#REF!</v>
      </c>
      <c r="HQL28" s="234" t="e">
        <f>astrogrep_path&amp;" /e /r /s /spath="&amp;search_path&amp;" /stypes=""app*"&amp;HPH28&amp;"*"&amp;TEXT(HPO28-utc_offset/24,"YYYYMMDD")&amp;"*"" /stext="" "&amp;TEXT(HPO28-utc_offset/24,"HH")&amp;search_regexp&amp;""""</f>
        <v>#REF!</v>
      </c>
      <c r="HQM28" s="234" t="e">
        <f>astrogrep_path&amp;" /e /r /s /spath="&amp;search_path&amp;" /stypes=""app*"&amp;HPI28&amp;"*"&amp;TEXT(HPP28-utc_offset/24,"YYYYMMDD")&amp;"*"" /stext="" "&amp;TEXT(HPP28-utc_offset/24,"HH")&amp;search_regexp&amp;""""</f>
        <v>#REF!</v>
      </c>
      <c r="HQN28" s="234" t="e">
        <f>astrogrep_path&amp;" /e /r /s /spath="&amp;search_path&amp;" /stypes=""app*"&amp;HPJ28&amp;"*"&amp;TEXT(HPQ28-utc_offset/24,"YYYYMMDD")&amp;"*"" /stext="" "&amp;TEXT(HPQ28-utc_offset/24,"HH")&amp;search_regexp&amp;""""</f>
        <v>#REF!</v>
      </c>
      <c r="HQO28" s="234" t="e">
        <f>astrogrep_path&amp;" /e /r /s /spath="&amp;search_path&amp;" /stypes=""app*"&amp;HPK28&amp;"*"&amp;TEXT(HPR28-utc_offset/24,"YYYYMMDD")&amp;"*"" /stext="" "&amp;TEXT(HPR28-utc_offset/24,"HH")&amp;search_regexp&amp;""""</f>
        <v>#REF!</v>
      </c>
      <c r="HQP28" s="234" t="e">
        <f>astrogrep_path&amp;" /e /r /s /spath="&amp;search_path&amp;" /stypes=""app*"&amp;HPL28&amp;"*"&amp;TEXT(HPS28-utc_offset/24,"YYYYMMDD")&amp;"*"" /stext="" "&amp;TEXT(HPS28-utc_offset/24,"HH")&amp;search_regexp&amp;""""</f>
        <v>#REF!</v>
      </c>
      <c r="HQQ28" s="234" t="e">
        <f>astrogrep_path&amp;" /e /r /s /spath="&amp;search_path&amp;" /stypes=""app*"&amp;HPM28&amp;"*"&amp;TEXT(HPT28-utc_offset/24,"YYYYMMDD")&amp;"*"" /stext="" "&amp;TEXT(HPT28-utc_offset/24,"HH")&amp;search_regexp&amp;""""</f>
        <v>#REF!</v>
      </c>
      <c r="HQR28" s="234" t="e">
        <f>astrogrep_path&amp;" /e /r /s /spath="&amp;search_path&amp;" /stypes=""app*"&amp;HPN28&amp;"*"&amp;TEXT(HPU28-utc_offset/24,"YYYYMMDD")&amp;"*"" /stext="" "&amp;TEXT(HPU28-utc_offset/24,"HH")&amp;search_regexp&amp;""""</f>
        <v>#REF!</v>
      </c>
      <c r="HQS28" s="234" t="e">
        <f>astrogrep_path&amp;" /e /r /s /spath="&amp;search_path&amp;" /stypes=""app*"&amp;HPO28&amp;"*"&amp;TEXT(HPV28-utc_offset/24,"YYYYMMDD")&amp;"*"" /stext="" "&amp;TEXT(HPV28-utc_offset/24,"HH")&amp;search_regexp&amp;""""</f>
        <v>#REF!</v>
      </c>
      <c r="HQT28" s="234" t="e">
        <f>astrogrep_path&amp;" /e /r /s /spath="&amp;search_path&amp;" /stypes=""app*"&amp;HPP28&amp;"*"&amp;TEXT(HPW28-utc_offset/24,"YYYYMMDD")&amp;"*"" /stext="" "&amp;TEXT(HPW28-utc_offset/24,"HH")&amp;search_regexp&amp;""""</f>
        <v>#REF!</v>
      </c>
      <c r="HQU28" s="234" t="e">
        <f>astrogrep_path&amp;" /e /r /s /spath="&amp;search_path&amp;" /stypes=""app*"&amp;HPQ28&amp;"*"&amp;TEXT(HPX28-utc_offset/24,"YYYYMMDD")&amp;"*"" /stext="" "&amp;TEXT(HPX28-utc_offset/24,"HH")&amp;search_regexp&amp;""""</f>
        <v>#REF!</v>
      </c>
      <c r="HQV28" s="234" t="e">
        <f>astrogrep_path&amp;" /e /r /s /spath="&amp;search_path&amp;" /stypes=""app*"&amp;HPR28&amp;"*"&amp;TEXT(HPY28-utc_offset/24,"YYYYMMDD")&amp;"*"" /stext="" "&amp;TEXT(HPY28-utc_offset/24,"HH")&amp;search_regexp&amp;""""</f>
        <v>#REF!</v>
      </c>
      <c r="HQW28" s="234" t="e">
        <f>astrogrep_path&amp;" /e /r /s /spath="&amp;search_path&amp;" /stypes=""app*"&amp;HPS28&amp;"*"&amp;TEXT(HPZ28-utc_offset/24,"YYYYMMDD")&amp;"*"" /stext="" "&amp;TEXT(HPZ28-utc_offset/24,"HH")&amp;search_regexp&amp;""""</f>
        <v>#REF!</v>
      </c>
      <c r="HQX28" s="234" t="e">
        <f>astrogrep_path&amp;" /e /r /s /spath="&amp;search_path&amp;" /stypes=""app*"&amp;HPT28&amp;"*"&amp;TEXT(HQA28-utc_offset/24,"YYYYMMDD")&amp;"*"" /stext="" "&amp;TEXT(HQA28-utc_offset/24,"HH")&amp;search_regexp&amp;""""</f>
        <v>#REF!</v>
      </c>
      <c r="HQY28" s="234" t="e">
        <f>astrogrep_path&amp;" /e /r /s /spath="&amp;search_path&amp;" /stypes=""app*"&amp;HPU28&amp;"*"&amp;TEXT(HQB28-utc_offset/24,"YYYYMMDD")&amp;"*"" /stext="" "&amp;TEXT(HQB28-utc_offset/24,"HH")&amp;search_regexp&amp;""""</f>
        <v>#REF!</v>
      </c>
      <c r="HQZ28" s="234" t="e">
        <f>astrogrep_path&amp;" /e /r /s /spath="&amp;search_path&amp;" /stypes=""app*"&amp;HPV28&amp;"*"&amp;TEXT(HQC28-utc_offset/24,"YYYYMMDD")&amp;"*"" /stext="" "&amp;TEXT(HQC28-utc_offset/24,"HH")&amp;search_regexp&amp;""""</f>
        <v>#REF!</v>
      </c>
      <c r="HRA28" s="234" t="e">
        <f>astrogrep_path&amp;" /e /r /s /spath="&amp;search_path&amp;" /stypes=""app*"&amp;HPW28&amp;"*"&amp;TEXT(HQD28-utc_offset/24,"YYYYMMDD")&amp;"*"" /stext="" "&amp;TEXT(HQD28-utc_offset/24,"HH")&amp;search_regexp&amp;""""</f>
        <v>#REF!</v>
      </c>
      <c r="HRB28" s="234" t="e">
        <f>astrogrep_path&amp;" /e /r /s /spath="&amp;search_path&amp;" /stypes=""app*"&amp;HPX28&amp;"*"&amp;TEXT(HQE28-utc_offset/24,"YYYYMMDD")&amp;"*"" /stext="" "&amp;TEXT(HQE28-utc_offset/24,"HH")&amp;search_regexp&amp;""""</f>
        <v>#REF!</v>
      </c>
      <c r="HRC28" s="234" t="e">
        <f>astrogrep_path&amp;" /e /r /s /spath="&amp;search_path&amp;" /stypes=""app*"&amp;HPY28&amp;"*"&amp;TEXT(HQF28-utc_offset/24,"YYYYMMDD")&amp;"*"" /stext="" "&amp;TEXT(HQF28-utc_offset/24,"HH")&amp;search_regexp&amp;""""</f>
        <v>#REF!</v>
      </c>
      <c r="HRD28" s="234" t="e">
        <f>astrogrep_path&amp;" /e /r /s /spath="&amp;search_path&amp;" /stypes=""app*"&amp;HPZ28&amp;"*"&amp;TEXT(HQG28-utc_offset/24,"YYYYMMDD")&amp;"*"" /stext="" "&amp;TEXT(HQG28-utc_offset/24,"HH")&amp;search_regexp&amp;""""</f>
        <v>#REF!</v>
      </c>
      <c r="HRE28" s="234" t="e">
        <f>astrogrep_path&amp;" /e /r /s /spath="&amp;search_path&amp;" /stypes=""app*"&amp;HQA28&amp;"*"&amp;TEXT(HQH28-utc_offset/24,"YYYYMMDD")&amp;"*"" /stext="" "&amp;TEXT(HQH28-utc_offset/24,"HH")&amp;search_regexp&amp;""""</f>
        <v>#VALUE!</v>
      </c>
      <c r="HRF28" s="234" t="e">
        <f>astrogrep_path&amp;" /e /r /s /spath="&amp;search_path&amp;" /stypes=""app*"&amp;HQB28&amp;"*"&amp;TEXT(HQI28-utc_offset/24,"YYYYMMDD")&amp;"*"" /stext="" "&amp;TEXT(HQI28-utc_offset/24,"HH")&amp;search_regexp&amp;""""</f>
        <v>#VALUE!</v>
      </c>
      <c r="HRG28" s="234" t="e">
        <f>astrogrep_path&amp;" /e /r /s /spath="&amp;search_path&amp;" /stypes=""app*"&amp;HQC28&amp;"*"&amp;TEXT(HQJ28-utc_offset/24,"YYYYMMDD")&amp;"*"" /stext="" "&amp;TEXT(HQJ28-utc_offset/24,"HH")&amp;search_regexp&amp;""""</f>
        <v>#REF!</v>
      </c>
      <c r="HRH28" s="234" t="e">
        <f>astrogrep_path&amp;" /e /r /s /spath="&amp;search_path&amp;" /stypes=""app*"&amp;HQD28&amp;"*"&amp;TEXT(HQK28-utc_offset/24,"YYYYMMDD")&amp;"*"" /stext="" "&amp;TEXT(HQK28-utc_offset/24,"HH")&amp;search_regexp&amp;""""</f>
        <v>#REF!</v>
      </c>
      <c r="HRI28" s="234" t="e">
        <f>astrogrep_path&amp;" /e /r /s /spath="&amp;search_path&amp;" /stypes=""app*"&amp;HQE28&amp;"*"&amp;TEXT(HQL28-utc_offset/24,"YYYYMMDD")&amp;"*"" /stext="" "&amp;TEXT(HQL28-utc_offset/24,"HH")&amp;search_regexp&amp;""""</f>
        <v>#VALUE!</v>
      </c>
      <c r="HRJ28" s="234" t="e">
        <f>astrogrep_path&amp;" /e /r /s /spath="&amp;search_path&amp;" /stypes=""app*"&amp;HQF28&amp;"*"&amp;TEXT(HQM28-utc_offset/24,"YYYYMMDD")&amp;"*"" /stext="" "&amp;TEXT(HQM28-utc_offset/24,"HH")&amp;search_regexp&amp;""""</f>
        <v>#VALUE!</v>
      </c>
      <c r="HRK28" s="234" t="e">
        <f>astrogrep_path&amp;" /e /r /s /spath="&amp;search_path&amp;" /stypes=""app*"&amp;HQG28&amp;"*"&amp;TEXT(HQN28-utc_offset/24,"YYYYMMDD")&amp;"*"" /stext="" "&amp;TEXT(HQN28-utc_offset/24,"HH")&amp;search_regexp&amp;""""</f>
        <v>#VALUE!</v>
      </c>
      <c r="HRL28" s="234" t="e">
        <f>astrogrep_path&amp;" /e /r /s /spath="&amp;search_path&amp;" /stypes=""app*"&amp;HQH28&amp;"*"&amp;TEXT(HQO28-utc_offset/24,"YYYYMMDD")&amp;"*"" /stext="" "&amp;TEXT(HQO28-utc_offset/24,"HH")&amp;search_regexp&amp;""""</f>
        <v>#VALUE!</v>
      </c>
      <c r="HRM28" s="234" t="e">
        <f>astrogrep_path&amp;" /e /r /s /spath="&amp;search_path&amp;" /stypes=""app*"&amp;HQI28&amp;"*"&amp;TEXT(HQP28-utc_offset/24,"YYYYMMDD")&amp;"*"" /stext="" "&amp;TEXT(HQP28-utc_offset/24,"HH")&amp;search_regexp&amp;""""</f>
        <v>#VALUE!</v>
      </c>
      <c r="HRN28" s="234" t="e">
        <f>astrogrep_path&amp;" /e /r /s /spath="&amp;search_path&amp;" /stypes=""app*"&amp;HQJ28&amp;"*"&amp;TEXT(HQQ28-utc_offset/24,"YYYYMMDD")&amp;"*"" /stext="" "&amp;TEXT(HQQ28-utc_offset/24,"HH")&amp;search_regexp&amp;""""</f>
        <v>#REF!</v>
      </c>
      <c r="HRO28" s="234" t="e">
        <f>astrogrep_path&amp;" /e /r /s /spath="&amp;search_path&amp;" /stypes=""app*"&amp;HQK28&amp;"*"&amp;TEXT(HQR28-utc_offset/24,"YYYYMMDD")&amp;"*"" /stext="" "&amp;TEXT(HQR28-utc_offset/24,"HH")&amp;search_regexp&amp;""""</f>
        <v>#REF!</v>
      </c>
      <c r="HRP28" s="234" t="e">
        <f>astrogrep_path&amp;" /e /r /s /spath="&amp;search_path&amp;" /stypes=""app*"&amp;HQL28&amp;"*"&amp;TEXT(HQS28-utc_offset/24,"YYYYMMDD")&amp;"*"" /stext="" "&amp;TEXT(HQS28-utc_offset/24,"HH")&amp;search_regexp&amp;""""</f>
        <v>#REF!</v>
      </c>
      <c r="HRQ28" s="234" t="e">
        <f>astrogrep_path&amp;" /e /r /s /spath="&amp;search_path&amp;" /stypes=""app*"&amp;HQM28&amp;"*"&amp;TEXT(HQT28-utc_offset/24,"YYYYMMDD")&amp;"*"" /stext="" "&amp;TEXT(HQT28-utc_offset/24,"HH")&amp;search_regexp&amp;""""</f>
        <v>#REF!</v>
      </c>
      <c r="HRR28" s="234" t="e">
        <f>astrogrep_path&amp;" /e /r /s /spath="&amp;search_path&amp;" /stypes=""app*"&amp;HQN28&amp;"*"&amp;TEXT(HQU28-utc_offset/24,"YYYYMMDD")&amp;"*"" /stext="" "&amp;TEXT(HQU28-utc_offset/24,"HH")&amp;search_regexp&amp;""""</f>
        <v>#REF!</v>
      </c>
      <c r="HRS28" s="234" t="e">
        <f>astrogrep_path&amp;" /e /r /s /spath="&amp;search_path&amp;" /stypes=""app*"&amp;HQO28&amp;"*"&amp;TEXT(HQV28-utc_offset/24,"YYYYMMDD")&amp;"*"" /stext="" "&amp;TEXT(HQV28-utc_offset/24,"HH")&amp;search_regexp&amp;""""</f>
        <v>#REF!</v>
      </c>
      <c r="HRT28" s="234" t="e">
        <f>astrogrep_path&amp;" /e /r /s /spath="&amp;search_path&amp;" /stypes=""app*"&amp;HQP28&amp;"*"&amp;TEXT(HQW28-utc_offset/24,"YYYYMMDD")&amp;"*"" /stext="" "&amp;TEXT(HQW28-utc_offset/24,"HH")&amp;search_regexp&amp;""""</f>
        <v>#REF!</v>
      </c>
      <c r="HRU28" s="234" t="e">
        <f>astrogrep_path&amp;" /e /r /s /spath="&amp;search_path&amp;" /stypes=""app*"&amp;HQQ28&amp;"*"&amp;TEXT(HQX28-utc_offset/24,"YYYYMMDD")&amp;"*"" /stext="" "&amp;TEXT(HQX28-utc_offset/24,"HH")&amp;search_regexp&amp;""""</f>
        <v>#REF!</v>
      </c>
      <c r="HRV28" s="234" t="e">
        <f>astrogrep_path&amp;" /e /r /s /spath="&amp;search_path&amp;" /stypes=""app*"&amp;HQR28&amp;"*"&amp;TEXT(HQY28-utc_offset/24,"YYYYMMDD")&amp;"*"" /stext="" "&amp;TEXT(HQY28-utc_offset/24,"HH")&amp;search_regexp&amp;""""</f>
        <v>#REF!</v>
      </c>
      <c r="HRW28" s="234" t="e">
        <f>astrogrep_path&amp;" /e /r /s /spath="&amp;search_path&amp;" /stypes=""app*"&amp;HQS28&amp;"*"&amp;TEXT(HQZ28-utc_offset/24,"YYYYMMDD")&amp;"*"" /stext="" "&amp;TEXT(HQZ28-utc_offset/24,"HH")&amp;search_regexp&amp;""""</f>
        <v>#REF!</v>
      </c>
      <c r="HRX28" s="234" t="e">
        <f>astrogrep_path&amp;" /e /r /s /spath="&amp;search_path&amp;" /stypes=""app*"&amp;HQT28&amp;"*"&amp;TEXT(HRA28-utc_offset/24,"YYYYMMDD")&amp;"*"" /stext="" "&amp;TEXT(HRA28-utc_offset/24,"HH")&amp;search_regexp&amp;""""</f>
        <v>#REF!</v>
      </c>
      <c r="HRY28" s="234" t="e">
        <f>astrogrep_path&amp;" /e /r /s /spath="&amp;search_path&amp;" /stypes=""app*"&amp;HQU28&amp;"*"&amp;TEXT(HRB28-utc_offset/24,"YYYYMMDD")&amp;"*"" /stext="" "&amp;TEXT(HRB28-utc_offset/24,"HH")&amp;search_regexp&amp;""""</f>
        <v>#REF!</v>
      </c>
      <c r="HRZ28" s="234" t="e">
        <f>astrogrep_path&amp;" /e /r /s /spath="&amp;search_path&amp;" /stypes=""app*"&amp;HQV28&amp;"*"&amp;TEXT(HRC28-utc_offset/24,"YYYYMMDD")&amp;"*"" /stext="" "&amp;TEXT(HRC28-utc_offset/24,"HH")&amp;search_regexp&amp;""""</f>
        <v>#REF!</v>
      </c>
      <c r="HSA28" s="234" t="e">
        <f>astrogrep_path&amp;" /e /r /s /spath="&amp;search_path&amp;" /stypes=""app*"&amp;HQW28&amp;"*"&amp;TEXT(HRD28-utc_offset/24,"YYYYMMDD")&amp;"*"" /stext="" "&amp;TEXT(HRD28-utc_offset/24,"HH")&amp;search_regexp&amp;""""</f>
        <v>#REF!</v>
      </c>
      <c r="HSB28" s="234" t="e">
        <f>astrogrep_path&amp;" /e /r /s /spath="&amp;search_path&amp;" /stypes=""app*"&amp;HQX28&amp;"*"&amp;TEXT(HRE28-utc_offset/24,"YYYYMMDD")&amp;"*"" /stext="" "&amp;TEXT(HRE28-utc_offset/24,"HH")&amp;search_regexp&amp;""""</f>
        <v>#REF!</v>
      </c>
      <c r="HSC28" s="234" t="e">
        <f>astrogrep_path&amp;" /e /r /s /spath="&amp;search_path&amp;" /stypes=""app*"&amp;HQY28&amp;"*"&amp;TEXT(HRF28-utc_offset/24,"YYYYMMDD")&amp;"*"" /stext="" "&amp;TEXT(HRF28-utc_offset/24,"HH")&amp;search_regexp&amp;""""</f>
        <v>#REF!</v>
      </c>
      <c r="HSD28" s="234" t="e">
        <f>astrogrep_path&amp;" /e /r /s /spath="&amp;search_path&amp;" /stypes=""app*"&amp;HQZ28&amp;"*"&amp;TEXT(HRG28-utc_offset/24,"YYYYMMDD")&amp;"*"" /stext="" "&amp;TEXT(HRG28-utc_offset/24,"HH")&amp;search_regexp&amp;""""</f>
        <v>#REF!</v>
      </c>
      <c r="HSE28" s="234" t="e">
        <f>astrogrep_path&amp;" /e /r /s /spath="&amp;search_path&amp;" /stypes=""app*"&amp;HRA28&amp;"*"&amp;TEXT(HRH28-utc_offset/24,"YYYYMMDD")&amp;"*"" /stext="" "&amp;TEXT(HRH28-utc_offset/24,"HH")&amp;search_regexp&amp;""""</f>
        <v>#REF!</v>
      </c>
      <c r="HSF28" s="234" t="e">
        <f>astrogrep_path&amp;" /e /r /s /spath="&amp;search_path&amp;" /stypes=""app*"&amp;HRB28&amp;"*"&amp;TEXT(HRI28-utc_offset/24,"YYYYMMDD")&amp;"*"" /stext="" "&amp;TEXT(HRI28-utc_offset/24,"HH")&amp;search_regexp&amp;""""</f>
        <v>#REF!</v>
      </c>
      <c r="HSG28" s="234" t="e">
        <f>astrogrep_path&amp;" /e /r /s /spath="&amp;search_path&amp;" /stypes=""app*"&amp;HRC28&amp;"*"&amp;TEXT(HRJ28-utc_offset/24,"YYYYMMDD")&amp;"*"" /stext="" "&amp;TEXT(HRJ28-utc_offset/24,"HH")&amp;search_regexp&amp;""""</f>
        <v>#REF!</v>
      </c>
      <c r="HSH28" s="234" t="e">
        <f>astrogrep_path&amp;" /e /r /s /spath="&amp;search_path&amp;" /stypes=""app*"&amp;HRD28&amp;"*"&amp;TEXT(HRK28-utc_offset/24,"YYYYMMDD")&amp;"*"" /stext="" "&amp;TEXT(HRK28-utc_offset/24,"HH")&amp;search_regexp&amp;""""</f>
        <v>#REF!</v>
      </c>
      <c r="HSI28" s="234" t="e">
        <f>astrogrep_path&amp;" /e /r /s /spath="&amp;search_path&amp;" /stypes=""app*"&amp;HRE28&amp;"*"&amp;TEXT(HRL28-utc_offset/24,"YYYYMMDD")&amp;"*"" /stext="" "&amp;TEXT(HRL28-utc_offset/24,"HH")&amp;search_regexp&amp;""""</f>
        <v>#VALUE!</v>
      </c>
      <c r="HSJ28" s="234" t="e">
        <f>astrogrep_path&amp;" /e /r /s /spath="&amp;search_path&amp;" /stypes=""app*"&amp;HRF28&amp;"*"&amp;TEXT(HRM28-utc_offset/24,"YYYYMMDD")&amp;"*"" /stext="" "&amp;TEXT(HRM28-utc_offset/24,"HH")&amp;search_regexp&amp;""""</f>
        <v>#VALUE!</v>
      </c>
      <c r="HSK28" s="234" t="e">
        <f>astrogrep_path&amp;" /e /r /s /spath="&amp;search_path&amp;" /stypes=""app*"&amp;HRG28&amp;"*"&amp;TEXT(HRN28-utc_offset/24,"YYYYMMDD")&amp;"*"" /stext="" "&amp;TEXT(HRN28-utc_offset/24,"HH")&amp;search_regexp&amp;""""</f>
        <v>#REF!</v>
      </c>
      <c r="HSL28" s="234" t="e">
        <f>astrogrep_path&amp;" /e /r /s /spath="&amp;search_path&amp;" /stypes=""app*"&amp;HRH28&amp;"*"&amp;TEXT(HRO28-utc_offset/24,"YYYYMMDD")&amp;"*"" /stext="" "&amp;TEXT(HRO28-utc_offset/24,"HH")&amp;search_regexp&amp;""""</f>
        <v>#REF!</v>
      </c>
      <c r="HSM28" s="234" t="e">
        <f>astrogrep_path&amp;" /e /r /s /spath="&amp;search_path&amp;" /stypes=""app*"&amp;HRI28&amp;"*"&amp;TEXT(HRP28-utc_offset/24,"YYYYMMDD")&amp;"*"" /stext="" "&amp;TEXT(HRP28-utc_offset/24,"HH")&amp;search_regexp&amp;""""</f>
        <v>#VALUE!</v>
      </c>
      <c r="HSN28" s="234" t="e">
        <f>astrogrep_path&amp;" /e /r /s /spath="&amp;search_path&amp;" /stypes=""app*"&amp;HRJ28&amp;"*"&amp;TEXT(HRQ28-utc_offset/24,"YYYYMMDD")&amp;"*"" /stext="" "&amp;TEXT(HRQ28-utc_offset/24,"HH")&amp;search_regexp&amp;""""</f>
        <v>#VALUE!</v>
      </c>
      <c r="HSO28" s="234" t="e">
        <f>astrogrep_path&amp;" /e /r /s /spath="&amp;search_path&amp;" /stypes=""app*"&amp;HRK28&amp;"*"&amp;TEXT(HRR28-utc_offset/24,"YYYYMMDD")&amp;"*"" /stext="" "&amp;TEXT(HRR28-utc_offset/24,"HH")&amp;search_regexp&amp;""""</f>
        <v>#VALUE!</v>
      </c>
      <c r="HSP28" s="234" t="e">
        <f>astrogrep_path&amp;" /e /r /s /spath="&amp;search_path&amp;" /stypes=""app*"&amp;HRL28&amp;"*"&amp;TEXT(HRS28-utc_offset/24,"YYYYMMDD")&amp;"*"" /stext="" "&amp;TEXT(HRS28-utc_offset/24,"HH")&amp;search_regexp&amp;""""</f>
        <v>#VALUE!</v>
      </c>
      <c r="HSQ28" s="234" t="e">
        <f>astrogrep_path&amp;" /e /r /s /spath="&amp;search_path&amp;" /stypes=""app*"&amp;HRM28&amp;"*"&amp;TEXT(HRT28-utc_offset/24,"YYYYMMDD")&amp;"*"" /stext="" "&amp;TEXT(HRT28-utc_offset/24,"HH")&amp;search_regexp&amp;""""</f>
        <v>#VALUE!</v>
      </c>
      <c r="HSR28" s="234" t="e">
        <f>astrogrep_path&amp;" /e /r /s /spath="&amp;search_path&amp;" /stypes=""app*"&amp;HRN28&amp;"*"&amp;TEXT(HRU28-utc_offset/24,"YYYYMMDD")&amp;"*"" /stext="" "&amp;TEXT(HRU28-utc_offset/24,"HH")&amp;search_regexp&amp;""""</f>
        <v>#REF!</v>
      </c>
      <c r="HSS28" s="234" t="e">
        <f>astrogrep_path&amp;" /e /r /s /spath="&amp;search_path&amp;" /stypes=""app*"&amp;HRO28&amp;"*"&amp;TEXT(HRV28-utc_offset/24,"YYYYMMDD")&amp;"*"" /stext="" "&amp;TEXT(HRV28-utc_offset/24,"HH")&amp;search_regexp&amp;""""</f>
        <v>#REF!</v>
      </c>
      <c r="HST28" s="234" t="e">
        <f>astrogrep_path&amp;" /e /r /s /spath="&amp;search_path&amp;" /stypes=""app*"&amp;HRP28&amp;"*"&amp;TEXT(HRW28-utc_offset/24,"YYYYMMDD")&amp;"*"" /stext="" "&amp;TEXT(HRW28-utc_offset/24,"HH")&amp;search_regexp&amp;""""</f>
        <v>#REF!</v>
      </c>
      <c r="HSU28" s="234" t="e">
        <f>astrogrep_path&amp;" /e /r /s /spath="&amp;search_path&amp;" /stypes=""app*"&amp;HRQ28&amp;"*"&amp;TEXT(HRX28-utc_offset/24,"YYYYMMDD")&amp;"*"" /stext="" "&amp;TEXT(HRX28-utc_offset/24,"HH")&amp;search_regexp&amp;""""</f>
        <v>#REF!</v>
      </c>
      <c r="HSV28" s="234" t="e">
        <f>astrogrep_path&amp;" /e /r /s /spath="&amp;search_path&amp;" /stypes=""app*"&amp;HRR28&amp;"*"&amp;TEXT(HRY28-utc_offset/24,"YYYYMMDD")&amp;"*"" /stext="" "&amp;TEXT(HRY28-utc_offset/24,"HH")&amp;search_regexp&amp;""""</f>
        <v>#REF!</v>
      </c>
      <c r="HSW28" s="234" t="e">
        <f>astrogrep_path&amp;" /e /r /s /spath="&amp;search_path&amp;" /stypes=""app*"&amp;HRS28&amp;"*"&amp;TEXT(HRZ28-utc_offset/24,"YYYYMMDD")&amp;"*"" /stext="" "&amp;TEXT(HRZ28-utc_offset/24,"HH")&amp;search_regexp&amp;""""</f>
        <v>#REF!</v>
      </c>
      <c r="HSX28" s="234" t="e">
        <f>astrogrep_path&amp;" /e /r /s /spath="&amp;search_path&amp;" /stypes=""app*"&amp;HRT28&amp;"*"&amp;TEXT(HSA28-utc_offset/24,"YYYYMMDD")&amp;"*"" /stext="" "&amp;TEXT(HSA28-utc_offset/24,"HH")&amp;search_regexp&amp;""""</f>
        <v>#REF!</v>
      </c>
      <c r="HSY28" s="234" t="e">
        <f>astrogrep_path&amp;" /e /r /s /spath="&amp;search_path&amp;" /stypes=""app*"&amp;HRU28&amp;"*"&amp;TEXT(HSB28-utc_offset/24,"YYYYMMDD")&amp;"*"" /stext="" "&amp;TEXT(HSB28-utc_offset/24,"HH")&amp;search_regexp&amp;""""</f>
        <v>#REF!</v>
      </c>
      <c r="HSZ28" s="234" t="e">
        <f>astrogrep_path&amp;" /e /r /s /spath="&amp;search_path&amp;" /stypes=""app*"&amp;HRV28&amp;"*"&amp;TEXT(HSC28-utc_offset/24,"YYYYMMDD")&amp;"*"" /stext="" "&amp;TEXT(HSC28-utc_offset/24,"HH")&amp;search_regexp&amp;""""</f>
        <v>#REF!</v>
      </c>
      <c r="HTA28" s="234" t="e">
        <f>astrogrep_path&amp;" /e /r /s /spath="&amp;search_path&amp;" /stypes=""app*"&amp;HRW28&amp;"*"&amp;TEXT(HSD28-utc_offset/24,"YYYYMMDD")&amp;"*"" /stext="" "&amp;TEXT(HSD28-utc_offset/24,"HH")&amp;search_regexp&amp;""""</f>
        <v>#REF!</v>
      </c>
      <c r="HTB28" s="234" t="e">
        <f>astrogrep_path&amp;" /e /r /s /spath="&amp;search_path&amp;" /stypes=""app*"&amp;HRX28&amp;"*"&amp;TEXT(HSE28-utc_offset/24,"YYYYMMDD")&amp;"*"" /stext="" "&amp;TEXT(HSE28-utc_offset/24,"HH")&amp;search_regexp&amp;""""</f>
        <v>#REF!</v>
      </c>
      <c r="HTC28" s="234" t="e">
        <f>astrogrep_path&amp;" /e /r /s /spath="&amp;search_path&amp;" /stypes=""app*"&amp;HRY28&amp;"*"&amp;TEXT(HSF28-utc_offset/24,"YYYYMMDD")&amp;"*"" /stext="" "&amp;TEXT(HSF28-utc_offset/24,"HH")&amp;search_regexp&amp;""""</f>
        <v>#REF!</v>
      </c>
      <c r="HTD28" s="234" t="e">
        <f>astrogrep_path&amp;" /e /r /s /spath="&amp;search_path&amp;" /stypes=""app*"&amp;HRZ28&amp;"*"&amp;TEXT(HSG28-utc_offset/24,"YYYYMMDD")&amp;"*"" /stext="" "&amp;TEXT(HSG28-utc_offset/24,"HH")&amp;search_regexp&amp;""""</f>
        <v>#REF!</v>
      </c>
      <c r="HTE28" s="234" t="e">
        <f>astrogrep_path&amp;" /e /r /s /spath="&amp;search_path&amp;" /stypes=""app*"&amp;HSA28&amp;"*"&amp;TEXT(HSH28-utc_offset/24,"YYYYMMDD")&amp;"*"" /stext="" "&amp;TEXT(HSH28-utc_offset/24,"HH")&amp;search_regexp&amp;""""</f>
        <v>#REF!</v>
      </c>
      <c r="HTF28" s="234" t="e">
        <f>astrogrep_path&amp;" /e /r /s /spath="&amp;search_path&amp;" /stypes=""app*"&amp;HSB28&amp;"*"&amp;TEXT(HSI28-utc_offset/24,"YYYYMMDD")&amp;"*"" /stext="" "&amp;TEXT(HSI28-utc_offset/24,"HH")&amp;search_regexp&amp;""""</f>
        <v>#REF!</v>
      </c>
      <c r="HTG28" s="234" t="e">
        <f>astrogrep_path&amp;" /e /r /s /spath="&amp;search_path&amp;" /stypes=""app*"&amp;HSC28&amp;"*"&amp;TEXT(HSJ28-utc_offset/24,"YYYYMMDD")&amp;"*"" /stext="" "&amp;TEXT(HSJ28-utc_offset/24,"HH")&amp;search_regexp&amp;""""</f>
        <v>#REF!</v>
      </c>
      <c r="HTH28" s="234" t="e">
        <f>astrogrep_path&amp;" /e /r /s /spath="&amp;search_path&amp;" /stypes=""app*"&amp;HSD28&amp;"*"&amp;TEXT(HSK28-utc_offset/24,"YYYYMMDD")&amp;"*"" /stext="" "&amp;TEXT(HSK28-utc_offset/24,"HH")&amp;search_regexp&amp;""""</f>
        <v>#REF!</v>
      </c>
      <c r="HTI28" s="234" t="e">
        <f>astrogrep_path&amp;" /e /r /s /spath="&amp;search_path&amp;" /stypes=""app*"&amp;HSE28&amp;"*"&amp;TEXT(HSL28-utc_offset/24,"YYYYMMDD")&amp;"*"" /stext="" "&amp;TEXT(HSL28-utc_offset/24,"HH")&amp;search_regexp&amp;""""</f>
        <v>#REF!</v>
      </c>
      <c r="HTJ28" s="234" t="e">
        <f>astrogrep_path&amp;" /e /r /s /spath="&amp;search_path&amp;" /stypes=""app*"&amp;HSF28&amp;"*"&amp;TEXT(HSM28-utc_offset/24,"YYYYMMDD")&amp;"*"" /stext="" "&amp;TEXT(HSM28-utc_offset/24,"HH")&amp;search_regexp&amp;""""</f>
        <v>#REF!</v>
      </c>
      <c r="HTK28" s="234" t="e">
        <f>astrogrep_path&amp;" /e /r /s /spath="&amp;search_path&amp;" /stypes=""app*"&amp;HSG28&amp;"*"&amp;TEXT(HSN28-utc_offset/24,"YYYYMMDD")&amp;"*"" /stext="" "&amp;TEXT(HSN28-utc_offset/24,"HH")&amp;search_regexp&amp;""""</f>
        <v>#REF!</v>
      </c>
      <c r="HTL28" s="234" t="e">
        <f>astrogrep_path&amp;" /e /r /s /spath="&amp;search_path&amp;" /stypes=""app*"&amp;HSH28&amp;"*"&amp;TEXT(HSO28-utc_offset/24,"YYYYMMDD")&amp;"*"" /stext="" "&amp;TEXT(HSO28-utc_offset/24,"HH")&amp;search_regexp&amp;""""</f>
        <v>#REF!</v>
      </c>
      <c r="HTM28" s="234" t="e">
        <f>astrogrep_path&amp;" /e /r /s /spath="&amp;search_path&amp;" /stypes=""app*"&amp;HSI28&amp;"*"&amp;TEXT(HSP28-utc_offset/24,"YYYYMMDD")&amp;"*"" /stext="" "&amp;TEXT(HSP28-utc_offset/24,"HH")&amp;search_regexp&amp;""""</f>
        <v>#VALUE!</v>
      </c>
      <c r="HTN28" s="234" t="e">
        <f>astrogrep_path&amp;" /e /r /s /spath="&amp;search_path&amp;" /stypes=""app*"&amp;HSJ28&amp;"*"&amp;TEXT(HSQ28-utc_offset/24,"YYYYMMDD")&amp;"*"" /stext="" "&amp;TEXT(HSQ28-utc_offset/24,"HH")&amp;search_regexp&amp;""""</f>
        <v>#VALUE!</v>
      </c>
      <c r="HTO28" s="234" t="e">
        <f>astrogrep_path&amp;" /e /r /s /spath="&amp;search_path&amp;" /stypes=""app*"&amp;HSK28&amp;"*"&amp;TEXT(HSR28-utc_offset/24,"YYYYMMDD")&amp;"*"" /stext="" "&amp;TEXT(HSR28-utc_offset/24,"HH")&amp;search_regexp&amp;""""</f>
        <v>#REF!</v>
      </c>
      <c r="HTP28" s="234" t="e">
        <f>astrogrep_path&amp;" /e /r /s /spath="&amp;search_path&amp;" /stypes=""app*"&amp;HSL28&amp;"*"&amp;TEXT(HSS28-utc_offset/24,"YYYYMMDD")&amp;"*"" /stext="" "&amp;TEXT(HSS28-utc_offset/24,"HH")&amp;search_regexp&amp;""""</f>
        <v>#REF!</v>
      </c>
      <c r="HTQ28" s="234" t="e">
        <f>astrogrep_path&amp;" /e /r /s /spath="&amp;search_path&amp;" /stypes=""app*"&amp;HSM28&amp;"*"&amp;TEXT(HST28-utc_offset/24,"YYYYMMDD")&amp;"*"" /stext="" "&amp;TEXT(HST28-utc_offset/24,"HH")&amp;search_regexp&amp;""""</f>
        <v>#VALUE!</v>
      </c>
      <c r="HTR28" s="234" t="e">
        <f>astrogrep_path&amp;" /e /r /s /spath="&amp;search_path&amp;" /stypes=""app*"&amp;HSN28&amp;"*"&amp;TEXT(HSU28-utc_offset/24,"YYYYMMDD")&amp;"*"" /stext="" "&amp;TEXT(HSU28-utc_offset/24,"HH")&amp;search_regexp&amp;""""</f>
        <v>#VALUE!</v>
      </c>
      <c r="HTS28" s="234" t="e">
        <f>astrogrep_path&amp;" /e /r /s /spath="&amp;search_path&amp;" /stypes=""app*"&amp;HSO28&amp;"*"&amp;TEXT(HSV28-utc_offset/24,"YYYYMMDD")&amp;"*"" /stext="" "&amp;TEXT(HSV28-utc_offset/24,"HH")&amp;search_regexp&amp;""""</f>
        <v>#VALUE!</v>
      </c>
      <c r="HTT28" s="234" t="e">
        <f>astrogrep_path&amp;" /e /r /s /spath="&amp;search_path&amp;" /stypes=""app*"&amp;HSP28&amp;"*"&amp;TEXT(HSW28-utc_offset/24,"YYYYMMDD")&amp;"*"" /stext="" "&amp;TEXT(HSW28-utc_offset/24,"HH")&amp;search_regexp&amp;""""</f>
        <v>#VALUE!</v>
      </c>
      <c r="HTU28" s="234" t="e">
        <f>astrogrep_path&amp;" /e /r /s /spath="&amp;search_path&amp;" /stypes=""app*"&amp;HSQ28&amp;"*"&amp;TEXT(HSX28-utc_offset/24,"YYYYMMDD")&amp;"*"" /stext="" "&amp;TEXT(HSX28-utc_offset/24,"HH")&amp;search_regexp&amp;""""</f>
        <v>#VALUE!</v>
      </c>
      <c r="HTV28" s="234" t="e">
        <f>astrogrep_path&amp;" /e /r /s /spath="&amp;search_path&amp;" /stypes=""app*"&amp;HSR28&amp;"*"&amp;TEXT(HSY28-utc_offset/24,"YYYYMMDD")&amp;"*"" /stext="" "&amp;TEXT(HSY28-utc_offset/24,"HH")&amp;search_regexp&amp;""""</f>
        <v>#REF!</v>
      </c>
      <c r="HTW28" s="234" t="e">
        <f>astrogrep_path&amp;" /e /r /s /spath="&amp;search_path&amp;" /stypes=""app*"&amp;HSS28&amp;"*"&amp;TEXT(HSZ28-utc_offset/24,"YYYYMMDD")&amp;"*"" /stext="" "&amp;TEXT(HSZ28-utc_offset/24,"HH")&amp;search_regexp&amp;""""</f>
        <v>#REF!</v>
      </c>
      <c r="HTX28" s="234" t="e">
        <f>astrogrep_path&amp;" /e /r /s /spath="&amp;search_path&amp;" /stypes=""app*"&amp;HST28&amp;"*"&amp;TEXT(HTA28-utc_offset/24,"YYYYMMDD")&amp;"*"" /stext="" "&amp;TEXT(HTA28-utc_offset/24,"HH")&amp;search_regexp&amp;""""</f>
        <v>#REF!</v>
      </c>
      <c r="HTY28" s="234" t="e">
        <f>astrogrep_path&amp;" /e /r /s /spath="&amp;search_path&amp;" /stypes=""app*"&amp;HSU28&amp;"*"&amp;TEXT(HTB28-utc_offset/24,"YYYYMMDD")&amp;"*"" /stext="" "&amp;TEXT(HTB28-utc_offset/24,"HH")&amp;search_regexp&amp;""""</f>
        <v>#REF!</v>
      </c>
      <c r="HTZ28" s="234" t="e">
        <f>astrogrep_path&amp;" /e /r /s /spath="&amp;search_path&amp;" /stypes=""app*"&amp;HSV28&amp;"*"&amp;TEXT(HTC28-utc_offset/24,"YYYYMMDD")&amp;"*"" /stext="" "&amp;TEXT(HTC28-utc_offset/24,"HH")&amp;search_regexp&amp;""""</f>
        <v>#REF!</v>
      </c>
      <c r="HUA28" s="234" t="e">
        <f>astrogrep_path&amp;" /e /r /s /spath="&amp;search_path&amp;" /stypes=""app*"&amp;HSW28&amp;"*"&amp;TEXT(HTD28-utc_offset/24,"YYYYMMDD")&amp;"*"" /stext="" "&amp;TEXT(HTD28-utc_offset/24,"HH")&amp;search_regexp&amp;""""</f>
        <v>#REF!</v>
      </c>
      <c r="HUB28" s="234" t="e">
        <f>astrogrep_path&amp;" /e /r /s /spath="&amp;search_path&amp;" /stypes=""app*"&amp;HSX28&amp;"*"&amp;TEXT(HTE28-utc_offset/24,"YYYYMMDD")&amp;"*"" /stext="" "&amp;TEXT(HTE28-utc_offset/24,"HH")&amp;search_regexp&amp;""""</f>
        <v>#REF!</v>
      </c>
      <c r="HUC28" s="234" t="e">
        <f>astrogrep_path&amp;" /e /r /s /spath="&amp;search_path&amp;" /stypes=""app*"&amp;HSY28&amp;"*"&amp;TEXT(HTF28-utc_offset/24,"YYYYMMDD")&amp;"*"" /stext="" "&amp;TEXT(HTF28-utc_offset/24,"HH")&amp;search_regexp&amp;""""</f>
        <v>#REF!</v>
      </c>
      <c r="HUD28" s="234" t="e">
        <f>astrogrep_path&amp;" /e /r /s /spath="&amp;search_path&amp;" /stypes=""app*"&amp;HSZ28&amp;"*"&amp;TEXT(HTG28-utc_offset/24,"YYYYMMDD")&amp;"*"" /stext="" "&amp;TEXT(HTG28-utc_offset/24,"HH")&amp;search_regexp&amp;""""</f>
        <v>#REF!</v>
      </c>
      <c r="HUE28" s="234" t="e">
        <f>astrogrep_path&amp;" /e /r /s /spath="&amp;search_path&amp;" /stypes=""app*"&amp;HTA28&amp;"*"&amp;TEXT(HTH28-utc_offset/24,"YYYYMMDD")&amp;"*"" /stext="" "&amp;TEXT(HTH28-utc_offset/24,"HH")&amp;search_regexp&amp;""""</f>
        <v>#REF!</v>
      </c>
      <c r="HUF28" s="234" t="e">
        <f>astrogrep_path&amp;" /e /r /s /spath="&amp;search_path&amp;" /stypes=""app*"&amp;HTB28&amp;"*"&amp;TEXT(HTI28-utc_offset/24,"YYYYMMDD")&amp;"*"" /stext="" "&amp;TEXT(HTI28-utc_offset/24,"HH")&amp;search_regexp&amp;""""</f>
        <v>#REF!</v>
      </c>
      <c r="HUG28" s="234" t="e">
        <f>astrogrep_path&amp;" /e /r /s /spath="&amp;search_path&amp;" /stypes=""app*"&amp;HTC28&amp;"*"&amp;TEXT(HTJ28-utc_offset/24,"YYYYMMDD")&amp;"*"" /stext="" "&amp;TEXT(HTJ28-utc_offset/24,"HH")&amp;search_regexp&amp;""""</f>
        <v>#REF!</v>
      </c>
      <c r="HUH28" s="234" t="e">
        <f>astrogrep_path&amp;" /e /r /s /spath="&amp;search_path&amp;" /stypes=""app*"&amp;HTD28&amp;"*"&amp;TEXT(HTK28-utc_offset/24,"YYYYMMDD")&amp;"*"" /stext="" "&amp;TEXT(HTK28-utc_offset/24,"HH")&amp;search_regexp&amp;""""</f>
        <v>#REF!</v>
      </c>
      <c r="HUI28" s="234" t="e">
        <f>astrogrep_path&amp;" /e /r /s /spath="&amp;search_path&amp;" /stypes=""app*"&amp;HTE28&amp;"*"&amp;TEXT(HTL28-utc_offset/24,"YYYYMMDD")&amp;"*"" /stext="" "&amp;TEXT(HTL28-utc_offset/24,"HH")&amp;search_regexp&amp;""""</f>
        <v>#REF!</v>
      </c>
      <c r="HUJ28" s="234" t="e">
        <f>astrogrep_path&amp;" /e /r /s /spath="&amp;search_path&amp;" /stypes=""app*"&amp;HTF28&amp;"*"&amp;TEXT(HTM28-utc_offset/24,"YYYYMMDD")&amp;"*"" /stext="" "&amp;TEXT(HTM28-utc_offset/24,"HH")&amp;search_regexp&amp;""""</f>
        <v>#REF!</v>
      </c>
      <c r="HUK28" s="234" t="e">
        <f>astrogrep_path&amp;" /e /r /s /spath="&amp;search_path&amp;" /stypes=""app*"&amp;HTG28&amp;"*"&amp;TEXT(HTN28-utc_offset/24,"YYYYMMDD")&amp;"*"" /stext="" "&amp;TEXT(HTN28-utc_offset/24,"HH")&amp;search_regexp&amp;""""</f>
        <v>#REF!</v>
      </c>
      <c r="HUL28" s="234" t="e">
        <f>astrogrep_path&amp;" /e /r /s /spath="&amp;search_path&amp;" /stypes=""app*"&amp;HTH28&amp;"*"&amp;TEXT(HTO28-utc_offset/24,"YYYYMMDD")&amp;"*"" /stext="" "&amp;TEXT(HTO28-utc_offset/24,"HH")&amp;search_regexp&amp;""""</f>
        <v>#REF!</v>
      </c>
      <c r="HUM28" s="234" t="e">
        <f>astrogrep_path&amp;" /e /r /s /spath="&amp;search_path&amp;" /stypes=""app*"&amp;HTI28&amp;"*"&amp;TEXT(HTP28-utc_offset/24,"YYYYMMDD")&amp;"*"" /stext="" "&amp;TEXT(HTP28-utc_offset/24,"HH")&amp;search_regexp&amp;""""</f>
        <v>#REF!</v>
      </c>
      <c r="HUN28" s="234" t="e">
        <f>astrogrep_path&amp;" /e /r /s /spath="&amp;search_path&amp;" /stypes=""app*"&amp;HTJ28&amp;"*"&amp;TEXT(HTQ28-utc_offset/24,"YYYYMMDD")&amp;"*"" /stext="" "&amp;TEXT(HTQ28-utc_offset/24,"HH")&amp;search_regexp&amp;""""</f>
        <v>#REF!</v>
      </c>
      <c r="HUO28" s="234" t="e">
        <f>astrogrep_path&amp;" /e /r /s /spath="&amp;search_path&amp;" /stypes=""app*"&amp;HTK28&amp;"*"&amp;TEXT(HTR28-utc_offset/24,"YYYYMMDD")&amp;"*"" /stext="" "&amp;TEXT(HTR28-utc_offset/24,"HH")&amp;search_regexp&amp;""""</f>
        <v>#REF!</v>
      </c>
      <c r="HUP28" s="234" t="e">
        <f>astrogrep_path&amp;" /e /r /s /spath="&amp;search_path&amp;" /stypes=""app*"&amp;HTL28&amp;"*"&amp;TEXT(HTS28-utc_offset/24,"YYYYMMDD")&amp;"*"" /stext="" "&amp;TEXT(HTS28-utc_offset/24,"HH")&amp;search_regexp&amp;""""</f>
        <v>#REF!</v>
      </c>
      <c r="HUQ28" s="234" t="e">
        <f>astrogrep_path&amp;" /e /r /s /spath="&amp;search_path&amp;" /stypes=""app*"&amp;HTM28&amp;"*"&amp;TEXT(HTT28-utc_offset/24,"YYYYMMDD")&amp;"*"" /stext="" "&amp;TEXT(HTT28-utc_offset/24,"HH")&amp;search_regexp&amp;""""</f>
        <v>#VALUE!</v>
      </c>
      <c r="HUR28" s="234" t="e">
        <f>astrogrep_path&amp;" /e /r /s /spath="&amp;search_path&amp;" /stypes=""app*"&amp;HTN28&amp;"*"&amp;TEXT(HTU28-utc_offset/24,"YYYYMMDD")&amp;"*"" /stext="" "&amp;TEXT(HTU28-utc_offset/24,"HH")&amp;search_regexp&amp;""""</f>
        <v>#VALUE!</v>
      </c>
      <c r="HUS28" s="234" t="e">
        <f>astrogrep_path&amp;" /e /r /s /spath="&amp;search_path&amp;" /stypes=""app*"&amp;HTO28&amp;"*"&amp;TEXT(HTV28-utc_offset/24,"YYYYMMDD")&amp;"*"" /stext="" "&amp;TEXT(HTV28-utc_offset/24,"HH")&amp;search_regexp&amp;""""</f>
        <v>#REF!</v>
      </c>
      <c r="HUT28" s="234" t="e">
        <f>astrogrep_path&amp;" /e /r /s /spath="&amp;search_path&amp;" /stypes=""app*"&amp;HTP28&amp;"*"&amp;TEXT(HTW28-utc_offset/24,"YYYYMMDD")&amp;"*"" /stext="" "&amp;TEXT(HTW28-utc_offset/24,"HH")&amp;search_regexp&amp;""""</f>
        <v>#REF!</v>
      </c>
      <c r="HUU28" s="234" t="e">
        <f>astrogrep_path&amp;" /e /r /s /spath="&amp;search_path&amp;" /stypes=""app*"&amp;HTQ28&amp;"*"&amp;TEXT(HTX28-utc_offset/24,"YYYYMMDD")&amp;"*"" /stext="" "&amp;TEXT(HTX28-utc_offset/24,"HH")&amp;search_regexp&amp;""""</f>
        <v>#VALUE!</v>
      </c>
      <c r="HUV28" s="234" t="e">
        <f>astrogrep_path&amp;" /e /r /s /spath="&amp;search_path&amp;" /stypes=""app*"&amp;HTR28&amp;"*"&amp;TEXT(HTY28-utc_offset/24,"YYYYMMDD")&amp;"*"" /stext="" "&amp;TEXT(HTY28-utc_offset/24,"HH")&amp;search_regexp&amp;""""</f>
        <v>#VALUE!</v>
      </c>
      <c r="HUW28" s="234" t="e">
        <f>astrogrep_path&amp;" /e /r /s /spath="&amp;search_path&amp;" /stypes=""app*"&amp;HTS28&amp;"*"&amp;TEXT(HTZ28-utc_offset/24,"YYYYMMDD")&amp;"*"" /stext="" "&amp;TEXT(HTZ28-utc_offset/24,"HH")&amp;search_regexp&amp;""""</f>
        <v>#VALUE!</v>
      </c>
      <c r="HUX28" s="234" t="e">
        <f>astrogrep_path&amp;" /e /r /s /spath="&amp;search_path&amp;" /stypes=""app*"&amp;HTT28&amp;"*"&amp;TEXT(HUA28-utc_offset/24,"YYYYMMDD")&amp;"*"" /stext="" "&amp;TEXT(HUA28-utc_offset/24,"HH")&amp;search_regexp&amp;""""</f>
        <v>#VALUE!</v>
      </c>
      <c r="HUY28" s="234" t="e">
        <f>astrogrep_path&amp;" /e /r /s /spath="&amp;search_path&amp;" /stypes=""app*"&amp;HTU28&amp;"*"&amp;TEXT(HUB28-utc_offset/24,"YYYYMMDD")&amp;"*"" /stext="" "&amp;TEXT(HUB28-utc_offset/24,"HH")&amp;search_regexp&amp;""""</f>
        <v>#VALUE!</v>
      </c>
      <c r="HUZ28" s="234" t="e">
        <f>astrogrep_path&amp;" /e /r /s /spath="&amp;search_path&amp;" /stypes=""app*"&amp;HTV28&amp;"*"&amp;TEXT(HUC28-utc_offset/24,"YYYYMMDD")&amp;"*"" /stext="" "&amp;TEXT(HUC28-utc_offset/24,"HH")&amp;search_regexp&amp;""""</f>
        <v>#REF!</v>
      </c>
      <c r="HVA28" s="234" t="e">
        <f>astrogrep_path&amp;" /e /r /s /spath="&amp;search_path&amp;" /stypes=""app*"&amp;HTW28&amp;"*"&amp;TEXT(HUD28-utc_offset/24,"YYYYMMDD")&amp;"*"" /stext="" "&amp;TEXT(HUD28-utc_offset/24,"HH")&amp;search_regexp&amp;""""</f>
        <v>#REF!</v>
      </c>
      <c r="HVB28" s="234" t="e">
        <f>astrogrep_path&amp;" /e /r /s /spath="&amp;search_path&amp;" /stypes=""app*"&amp;HTX28&amp;"*"&amp;TEXT(HUE28-utc_offset/24,"YYYYMMDD")&amp;"*"" /stext="" "&amp;TEXT(HUE28-utc_offset/24,"HH")&amp;search_regexp&amp;""""</f>
        <v>#REF!</v>
      </c>
      <c r="HVC28" s="234" t="e">
        <f>astrogrep_path&amp;" /e /r /s /spath="&amp;search_path&amp;" /stypes=""app*"&amp;HTY28&amp;"*"&amp;TEXT(HUF28-utc_offset/24,"YYYYMMDD")&amp;"*"" /stext="" "&amp;TEXT(HUF28-utc_offset/24,"HH")&amp;search_regexp&amp;""""</f>
        <v>#REF!</v>
      </c>
      <c r="HVD28" s="234" t="e">
        <f>astrogrep_path&amp;" /e /r /s /spath="&amp;search_path&amp;" /stypes=""app*"&amp;HTZ28&amp;"*"&amp;TEXT(HUG28-utc_offset/24,"YYYYMMDD")&amp;"*"" /stext="" "&amp;TEXT(HUG28-utc_offset/24,"HH")&amp;search_regexp&amp;""""</f>
        <v>#REF!</v>
      </c>
      <c r="HVE28" s="234" t="e">
        <f>astrogrep_path&amp;" /e /r /s /spath="&amp;search_path&amp;" /stypes=""app*"&amp;HUA28&amp;"*"&amp;TEXT(HUH28-utc_offset/24,"YYYYMMDD")&amp;"*"" /stext="" "&amp;TEXT(HUH28-utc_offset/24,"HH")&amp;search_regexp&amp;""""</f>
        <v>#REF!</v>
      </c>
      <c r="HVF28" s="234" t="e">
        <f>astrogrep_path&amp;" /e /r /s /spath="&amp;search_path&amp;" /stypes=""app*"&amp;HUB28&amp;"*"&amp;TEXT(HUI28-utc_offset/24,"YYYYMMDD")&amp;"*"" /stext="" "&amp;TEXT(HUI28-utc_offset/24,"HH")&amp;search_regexp&amp;""""</f>
        <v>#REF!</v>
      </c>
      <c r="HVG28" s="234" t="e">
        <f>astrogrep_path&amp;" /e /r /s /spath="&amp;search_path&amp;" /stypes=""app*"&amp;HUC28&amp;"*"&amp;TEXT(HUJ28-utc_offset/24,"YYYYMMDD")&amp;"*"" /stext="" "&amp;TEXT(HUJ28-utc_offset/24,"HH")&amp;search_regexp&amp;""""</f>
        <v>#REF!</v>
      </c>
      <c r="HVH28" s="234" t="e">
        <f>astrogrep_path&amp;" /e /r /s /spath="&amp;search_path&amp;" /stypes=""app*"&amp;HUD28&amp;"*"&amp;TEXT(HUK28-utc_offset/24,"YYYYMMDD")&amp;"*"" /stext="" "&amp;TEXT(HUK28-utc_offset/24,"HH")&amp;search_regexp&amp;""""</f>
        <v>#REF!</v>
      </c>
      <c r="HVI28" s="234" t="e">
        <f>astrogrep_path&amp;" /e /r /s /spath="&amp;search_path&amp;" /stypes=""app*"&amp;HUE28&amp;"*"&amp;TEXT(HUL28-utc_offset/24,"YYYYMMDD")&amp;"*"" /stext="" "&amp;TEXT(HUL28-utc_offset/24,"HH")&amp;search_regexp&amp;""""</f>
        <v>#REF!</v>
      </c>
      <c r="HVJ28" s="234" t="e">
        <f>astrogrep_path&amp;" /e /r /s /spath="&amp;search_path&amp;" /stypes=""app*"&amp;HUF28&amp;"*"&amp;TEXT(HUM28-utc_offset/24,"YYYYMMDD")&amp;"*"" /stext="" "&amp;TEXT(HUM28-utc_offset/24,"HH")&amp;search_regexp&amp;""""</f>
        <v>#REF!</v>
      </c>
      <c r="HVK28" s="234" t="e">
        <f>astrogrep_path&amp;" /e /r /s /spath="&amp;search_path&amp;" /stypes=""app*"&amp;HUG28&amp;"*"&amp;TEXT(HUN28-utc_offset/24,"YYYYMMDD")&amp;"*"" /stext="" "&amp;TEXT(HUN28-utc_offset/24,"HH")&amp;search_regexp&amp;""""</f>
        <v>#REF!</v>
      </c>
      <c r="HVL28" s="234" t="e">
        <f>astrogrep_path&amp;" /e /r /s /spath="&amp;search_path&amp;" /stypes=""app*"&amp;HUH28&amp;"*"&amp;TEXT(HUO28-utc_offset/24,"YYYYMMDD")&amp;"*"" /stext="" "&amp;TEXT(HUO28-utc_offset/24,"HH")&amp;search_regexp&amp;""""</f>
        <v>#REF!</v>
      </c>
      <c r="HVM28" s="234" t="e">
        <f>astrogrep_path&amp;" /e /r /s /spath="&amp;search_path&amp;" /stypes=""app*"&amp;HUI28&amp;"*"&amp;TEXT(HUP28-utc_offset/24,"YYYYMMDD")&amp;"*"" /stext="" "&amp;TEXT(HUP28-utc_offset/24,"HH")&amp;search_regexp&amp;""""</f>
        <v>#REF!</v>
      </c>
      <c r="HVN28" s="234" t="e">
        <f>astrogrep_path&amp;" /e /r /s /spath="&amp;search_path&amp;" /stypes=""app*"&amp;HUJ28&amp;"*"&amp;TEXT(HUQ28-utc_offset/24,"YYYYMMDD")&amp;"*"" /stext="" "&amp;TEXT(HUQ28-utc_offset/24,"HH")&amp;search_regexp&amp;""""</f>
        <v>#REF!</v>
      </c>
      <c r="HVO28" s="234" t="e">
        <f>astrogrep_path&amp;" /e /r /s /spath="&amp;search_path&amp;" /stypes=""app*"&amp;HUK28&amp;"*"&amp;TEXT(HUR28-utc_offset/24,"YYYYMMDD")&amp;"*"" /stext="" "&amp;TEXT(HUR28-utc_offset/24,"HH")&amp;search_regexp&amp;""""</f>
        <v>#REF!</v>
      </c>
      <c r="HVP28" s="234" t="e">
        <f>astrogrep_path&amp;" /e /r /s /spath="&amp;search_path&amp;" /stypes=""app*"&amp;HUL28&amp;"*"&amp;TEXT(HUS28-utc_offset/24,"YYYYMMDD")&amp;"*"" /stext="" "&amp;TEXT(HUS28-utc_offset/24,"HH")&amp;search_regexp&amp;""""</f>
        <v>#REF!</v>
      </c>
      <c r="HVQ28" s="234" t="e">
        <f>astrogrep_path&amp;" /e /r /s /spath="&amp;search_path&amp;" /stypes=""app*"&amp;HUM28&amp;"*"&amp;TEXT(HUT28-utc_offset/24,"YYYYMMDD")&amp;"*"" /stext="" "&amp;TEXT(HUT28-utc_offset/24,"HH")&amp;search_regexp&amp;""""</f>
        <v>#REF!</v>
      </c>
      <c r="HVR28" s="234" t="e">
        <f>astrogrep_path&amp;" /e /r /s /spath="&amp;search_path&amp;" /stypes=""app*"&amp;HUN28&amp;"*"&amp;TEXT(HUU28-utc_offset/24,"YYYYMMDD")&amp;"*"" /stext="" "&amp;TEXT(HUU28-utc_offset/24,"HH")&amp;search_regexp&amp;""""</f>
        <v>#REF!</v>
      </c>
      <c r="HVS28" s="234" t="e">
        <f>astrogrep_path&amp;" /e /r /s /spath="&amp;search_path&amp;" /stypes=""app*"&amp;HUO28&amp;"*"&amp;TEXT(HUV28-utc_offset/24,"YYYYMMDD")&amp;"*"" /stext="" "&amp;TEXT(HUV28-utc_offset/24,"HH")&amp;search_regexp&amp;""""</f>
        <v>#REF!</v>
      </c>
      <c r="HVT28" s="234" t="e">
        <f>astrogrep_path&amp;" /e /r /s /spath="&amp;search_path&amp;" /stypes=""app*"&amp;HUP28&amp;"*"&amp;TEXT(HUW28-utc_offset/24,"YYYYMMDD")&amp;"*"" /stext="" "&amp;TEXT(HUW28-utc_offset/24,"HH")&amp;search_regexp&amp;""""</f>
        <v>#REF!</v>
      </c>
      <c r="HVU28" s="234" t="e">
        <f>astrogrep_path&amp;" /e /r /s /spath="&amp;search_path&amp;" /stypes=""app*"&amp;HUQ28&amp;"*"&amp;TEXT(HUX28-utc_offset/24,"YYYYMMDD")&amp;"*"" /stext="" "&amp;TEXT(HUX28-utc_offset/24,"HH")&amp;search_regexp&amp;""""</f>
        <v>#VALUE!</v>
      </c>
      <c r="HVV28" s="234" t="e">
        <f>astrogrep_path&amp;" /e /r /s /spath="&amp;search_path&amp;" /stypes=""app*"&amp;HUR28&amp;"*"&amp;TEXT(HUY28-utc_offset/24,"YYYYMMDD")&amp;"*"" /stext="" "&amp;TEXT(HUY28-utc_offset/24,"HH")&amp;search_regexp&amp;""""</f>
        <v>#VALUE!</v>
      </c>
      <c r="HVW28" s="234" t="e">
        <f>astrogrep_path&amp;" /e /r /s /spath="&amp;search_path&amp;" /stypes=""app*"&amp;HUS28&amp;"*"&amp;TEXT(HUZ28-utc_offset/24,"YYYYMMDD")&amp;"*"" /stext="" "&amp;TEXT(HUZ28-utc_offset/24,"HH")&amp;search_regexp&amp;""""</f>
        <v>#REF!</v>
      </c>
      <c r="HVX28" s="234" t="e">
        <f>astrogrep_path&amp;" /e /r /s /spath="&amp;search_path&amp;" /stypes=""app*"&amp;HUT28&amp;"*"&amp;TEXT(HVA28-utc_offset/24,"YYYYMMDD")&amp;"*"" /stext="" "&amp;TEXT(HVA28-utc_offset/24,"HH")&amp;search_regexp&amp;""""</f>
        <v>#REF!</v>
      </c>
      <c r="HVY28" s="234" t="e">
        <f>astrogrep_path&amp;" /e /r /s /spath="&amp;search_path&amp;" /stypes=""app*"&amp;HUU28&amp;"*"&amp;TEXT(HVB28-utc_offset/24,"YYYYMMDD")&amp;"*"" /stext="" "&amp;TEXT(HVB28-utc_offset/24,"HH")&amp;search_regexp&amp;""""</f>
        <v>#VALUE!</v>
      </c>
      <c r="HVZ28" s="234" t="e">
        <f>astrogrep_path&amp;" /e /r /s /spath="&amp;search_path&amp;" /stypes=""app*"&amp;HUV28&amp;"*"&amp;TEXT(HVC28-utc_offset/24,"YYYYMMDD")&amp;"*"" /stext="" "&amp;TEXT(HVC28-utc_offset/24,"HH")&amp;search_regexp&amp;""""</f>
        <v>#VALUE!</v>
      </c>
      <c r="HWA28" s="234" t="e">
        <f>astrogrep_path&amp;" /e /r /s /spath="&amp;search_path&amp;" /stypes=""app*"&amp;HUW28&amp;"*"&amp;TEXT(HVD28-utc_offset/24,"YYYYMMDD")&amp;"*"" /stext="" "&amp;TEXT(HVD28-utc_offset/24,"HH")&amp;search_regexp&amp;""""</f>
        <v>#VALUE!</v>
      </c>
      <c r="HWB28" s="234" t="e">
        <f>astrogrep_path&amp;" /e /r /s /spath="&amp;search_path&amp;" /stypes=""app*"&amp;HUX28&amp;"*"&amp;TEXT(HVE28-utc_offset/24,"YYYYMMDD")&amp;"*"" /stext="" "&amp;TEXT(HVE28-utc_offset/24,"HH")&amp;search_regexp&amp;""""</f>
        <v>#VALUE!</v>
      </c>
      <c r="HWC28" s="234" t="e">
        <f>astrogrep_path&amp;" /e /r /s /spath="&amp;search_path&amp;" /stypes=""app*"&amp;HUY28&amp;"*"&amp;TEXT(HVF28-utc_offset/24,"YYYYMMDD")&amp;"*"" /stext="" "&amp;TEXT(HVF28-utc_offset/24,"HH")&amp;search_regexp&amp;""""</f>
        <v>#VALUE!</v>
      </c>
      <c r="HWD28" s="234" t="e">
        <f>astrogrep_path&amp;" /e /r /s /spath="&amp;search_path&amp;" /stypes=""app*"&amp;HUZ28&amp;"*"&amp;TEXT(HVG28-utc_offset/24,"YYYYMMDD")&amp;"*"" /stext="" "&amp;TEXT(HVG28-utc_offset/24,"HH")&amp;search_regexp&amp;""""</f>
        <v>#REF!</v>
      </c>
      <c r="HWE28" s="234" t="e">
        <f>astrogrep_path&amp;" /e /r /s /spath="&amp;search_path&amp;" /stypes=""app*"&amp;HVA28&amp;"*"&amp;TEXT(HVH28-utc_offset/24,"YYYYMMDD")&amp;"*"" /stext="" "&amp;TEXT(HVH28-utc_offset/24,"HH")&amp;search_regexp&amp;""""</f>
        <v>#REF!</v>
      </c>
      <c r="HWF28" s="234" t="e">
        <f>astrogrep_path&amp;" /e /r /s /spath="&amp;search_path&amp;" /stypes=""app*"&amp;HVB28&amp;"*"&amp;TEXT(HVI28-utc_offset/24,"YYYYMMDD")&amp;"*"" /stext="" "&amp;TEXT(HVI28-utc_offset/24,"HH")&amp;search_regexp&amp;""""</f>
        <v>#REF!</v>
      </c>
      <c r="HWG28" s="234" t="e">
        <f>astrogrep_path&amp;" /e /r /s /spath="&amp;search_path&amp;" /stypes=""app*"&amp;HVC28&amp;"*"&amp;TEXT(HVJ28-utc_offset/24,"YYYYMMDD")&amp;"*"" /stext="" "&amp;TEXT(HVJ28-utc_offset/24,"HH")&amp;search_regexp&amp;""""</f>
        <v>#REF!</v>
      </c>
      <c r="HWH28" s="234" t="e">
        <f>astrogrep_path&amp;" /e /r /s /spath="&amp;search_path&amp;" /stypes=""app*"&amp;HVD28&amp;"*"&amp;TEXT(HVK28-utc_offset/24,"YYYYMMDD")&amp;"*"" /stext="" "&amp;TEXT(HVK28-utc_offset/24,"HH")&amp;search_regexp&amp;""""</f>
        <v>#REF!</v>
      </c>
      <c r="HWI28" s="234" t="e">
        <f>astrogrep_path&amp;" /e /r /s /spath="&amp;search_path&amp;" /stypes=""app*"&amp;HVE28&amp;"*"&amp;TEXT(HVL28-utc_offset/24,"YYYYMMDD")&amp;"*"" /stext="" "&amp;TEXT(HVL28-utc_offset/24,"HH")&amp;search_regexp&amp;""""</f>
        <v>#REF!</v>
      </c>
      <c r="HWJ28" s="234" t="e">
        <f>astrogrep_path&amp;" /e /r /s /spath="&amp;search_path&amp;" /stypes=""app*"&amp;HVF28&amp;"*"&amp;TEXT(HVM28-utc_offset/24,"YYYYMMDD")&amp;"*"" /stext="" "&amp;TEXT(HVM28-utc_offset/24,"HH")&amp;search_regexp&amp;""""</f>
        <v>#REF!</v>
      </c>
      <c r="HWK28" s="234" t="e">
        <f>astrogrep_path&amp;" /e /r /s /spath="&amp;search_path&amp;" /stypes=""app*"&amp;HVG28&amp;"*"&amp;TEXT(HVN28-utc_offset/24,"YYYYMMDD")&amp;"*"" /stext="" "&amp;TEXT(HVN28-utc_offset/24,"HH")&amp;search_regexp&amp;""""</f>
        <v>#REF!</v>
      </c>
      <c r="HWL28" s="234" t="e">
        <f>astrogrep_path&amp;" /e /r /s /spath="&amp;search_path&amp;" /stypes=""app*"&amp;HVH28&amp;"*"&amp;TEXT(HVO28-utc_offset/24,"YYYYMMDD")&amp;"*"" /stext="" "&amp;TEXT(HVO28-utc_offset/24,"HH")&amp;search_regexp&amp;""""</f>
        <v>#REF!</v>
      </c>
      <c r="HWM28" s="234" t="e">
        <f>astrogrep_path&amp;" /e /r /s /spath="&amp;search_path&amp;" /stypes=""app*"&amp;HVI28&amp;"*"&amp;TEXT(HVP28-utc_offset/24,"YYYYMMDD")&amp;"*"" /stext="" "&amp;TEXT(HVP28-utc_offset/24,"HH")&amp;search_regexp&amp;""""</f>
        <v>#REF!</v>
      </c>
      <c r="HWN28" s="234" t="e">
        <f>astrogrep_path&amp;" /e /r /s /spath="&amp;search_path&amp;" /stypes=""app*"&amp;HVJ28&amp;"*"&amp;TEXT(HVQ28-utc_offset/24,"YYYYMMDD")&amp;"*"" /stext="" "&amp;TEXT(HVQ28-utc_offset/24,"HH")&amp;search_regexp&amp;""""</f>
        <v>#REF!</v>
      </c>
      <c r="HWO28" s="234" t="e">
        <f>astrogrep_path&amp;" /e /r /s /spath="&amp;search_path&amp;" /stypes=""app*"&amp;HVK28&amp;"*"&amp;TEXT(HVR28-utc_offset/24,"YYYYMMDD")&amp;"*"" /stext="" "&amp;TEXT(HVR28-utc_offset/24,"HH")&amp;search_regexp&amp;""""</f>
        <v>#REF!</v>
      </c>
      <c r="HWP28" s="234" t="e">
        <f>astrogrep_path&amp;" /e /r /s /spath="&amp;search_path&amp;" /stypes=""app*"&amp;HVL28&amp;"*"&amp;TEXT(HVS28-utc_offset/24,"YYYYMMDD")&amp;"*"" /stext="" "&amp;TEXT(HVS28-utc_offset/24,"HH")&amp;search_regexp&amp;""""</f>
        <v>#REF!</v>
      </c>
      <c r="HWQ28" s="234" t="e">
        <f>astrogrep_path&amp;" /e /r /s /spath="&amp;search_path&amp;" /stypes=""app*"&amp;HVM28&amp;"*"&amp;TEXT(HVT28-utc_offset/24,"YYYYMMDD")&amp;"*"" /stext="" "&amp;TEXT(HVT28-utc_offset/24,"HH")&amp;search_regexp&amp;""""</f>
        <v>#REF!</v>
      </c>
      <c r="HWR28" s="234" t="e">
        <f>astrogrep_path&amp;" /e /r /s /spath="&amp;search_path&amp;" /stypes=""app*"&amp;HVN28&amp;"*"&amp;TEXT(HVU28-utc_offset/24,"YYYYMMDD")&amp;"*"" /stext="" "&amp;TEXT(HVU28-utc_offset/24,"HH")&amp;search_regexp&amp;""""</f>
        <v>#REF!</v>
      </c>
      <c r="HWS28" s="234" t="e">
        <f>astrogrep_path&amp;" /e /r /s /spath="&amp;search_path&amp;" /stypes=""app*"&amp;HVO28&amp;"*"&amp;TEXT(HVV28-utc_offset/24,"YYYYMMDD")&amp;"*"" /stext="" "&amp;TEXT(HVV28-utc_offset/24,"HH")&amp;search_regexp&amp;""""</f>
        <v>#REF!</v>
      </c>
      <c r="HWT28" s="234" t="e">
        <f>astrogrep_path&amp;" /e /r /s /spath="&amp;search_path&amp;" /stypes=""app*"&amp;HVP28&amp;"*"&amp;TEXT(HVW28-utc_offset/24,"YYYYMMDD")&amp;"*"" /stext="" "&amp;TEXT(HVW28-utc_offset/24,"HH")&amp;search_regexp&amp;""""</f>
        <v>#REF!</v>
      </c>
      <c r="HWU28" s="234" t="e">
        <f>astrogrep_path&amp;" /e /r /s /spath="&amp;search_path&amp;" /stypes=""app*"&amp;HVQ28&amp;"*"&amp;TEXT(HVX28-utc_offset/24,"YYYYMMDD")&amp;"*"" /stext="" "&amp;TEXT(HVX28-utc_offset/24,"HH")&amp;search_regexp&amp;""""</f>
        <v>#REF!</v>
      </c>
      <c r="HWV28" s="234" t="e">
        <f>astrogrep_path&amp;" /e /r /s /spath="&amp;search_path&amp;" /stypes=""app*"&amp;HVR28&amp;"*"&amp;TEXT(HVY28-utc_offset/24,"YYYYMMDD")&amp;"*"" /stext="" "&amp;TEXT(HVY28-utc_offset/24,"HH")&amp;search_regexp&amp;""""</f>
        <v>#REF!</v>
      </c>
      <c r="HWW28" s="234" t="e">
        <f>astrogrep_path&amp;" /e /r /s /spath="&amp;search_path&amp;" /stypes=""app*"&amp;HVS28&amp;"*"&amp;TEXT(HVZ28-utc_offset/24,"YYYYMMDD")&amp;"*"" /stext="" "&amp;TEXT(HVZ28-utc_offset/24,"HH")&amp;search_regexp&amp;""""</f>
        <v>#REF!</v>
      </c>
      <c r="HWX28" s="234" t="e">
        <f>astrogrep_path&amp;" /e /r /s /spath="&amp;search_path&amp;" /stypes=""app*"&amp;HVT28&amp;"*"&amp;TEXT(HWA28-utc_offset/24,"YYYYMMDD")&amp;"*"" /stext="" "&amp;TEXT(HWA28-utc_offset/24,"HH")&amp;search_regexp&amp;""""</f>
        <v>#REF!</v>
      </c>
      <c r="HWY28" s="234" t="e">
        <f>astrogrep_path&amp;" /e /r /s /spath="&amp;search_path&amp;" /stypes=""app*"&amp;HVU28&amp;"*"&amp;TEXT(HWB28-utc_offset/24,"YYYYMMDD")&amp;"*"" /stext="" "&amp;TEXT(HWB28-utc_offset/24,"HH")&amp;search_regexp&amp;""""</f>
        <v>#VALUE!</v>
      </c>
      <c r="HWZ28" s="234" t="e">
        <f>astrogrep_path&amp;" /e /r /s /spath="&amp;search_path&amp;" /stypes=""app*"&amp;HVV28&amp;"*"&amp;TEXT(HWC28-utc_offset/24,"YYYYMMDD")&amp;"*"" /stext="" "&amp;TEXT(HWC28-utc_offset/24,"HH")&amp;search_regexp&amp;""""</f>
        <v>#VALUE!</v>
      </c>
      <c r="HXA28" s="234" t="e">
        <f>astrogrep_path&amp;" /e /r /s /spath="&amp;search_path&amp;" /stypes=""app*"&amp;HVW28&amp;"*"&amp;TEXT(HWD28-utc_offset/24,"YYYYMMDD")&amp;"*"" /stext="" "&amp;TEXT(HWD28-utc_offset/24,"HH")&amp;search_regexp&amp;""""</f>
        <v>#REF!</v>
      </c>
      <c r="HXB28" s="234" t="e">
        <f>astrogrep_path&amp;" /e /r /s /spath="&amp;search_path&amp;" /stypes=""app*"&amp;HVX28&amp;"*"&amp;TEXT(HWE28-utc_offset/24,"YYYYMMDD")&amp;"*"" /stext="" "&amp;TEXT(HWE28-utc_offset/24,"HH")&amp;search_regexp&amp;""""</f>
        <v>#REF!</v>
      </c>
      <c r="HXC28" s="234" t="e">
        <f>astrogrep_path&amp;" /e /r /s /spath="&amp;search_path&amp;" /stypes=""app*"&amp;HVY28&amp;"*"&amp;TEXT(HWF28-utc_offset/24,"YYYYMMDD")&amp;"*"" /stext="" "&amp;TEXT(HWF28-utc_offset/24,"HH")&amp;search_regexp&amp;""""</f>
        <v>#VALUE!</v>
      </c>
      <c r="HXD28" s="234" t="e">
        <f>astrogrep_path&amp;" /e /r /s /spath="&amp;search_path&amp;" /stypes=""app*"&amp;HVZ28&amp;"*"&amp;TEXT(HWG28-utc_offset/24,"YYYYMMDD")&amp;"*"" /stext="" "&amp;TEXT(HWG28-utc_offset/24,"HH")&amp;search_regexp&amp;""""</f>
        <v>#VALUE!</v>
      </c>
      <c r="HXE28" s="234" t="e">
        <f>astrogrep_path&amp;" /e /r /s /spath="&amp;search_path&amp;" /stypes=""app*"&amp;HWA28&amp;"*"&amp;TEXT(HWH28-utc_offset/24,"YYYYMMDD")&amp;"*"" /stext="" "&amp;TEXT(HWH28-utc_offset/24,"HH")&amp;search_regexp&amp;""""</f>
        <v>#VALUE!</v>
      </c>
      <c r="HXF28" s="234" t="e">
        <f>astrogrep_path&amp;" /e /r /s /spath="&amp;search_path&amp;" /stypes=""app*"&amp;HWB28&amp;"*"&amp;TEXT(HWI28-utc_offset/24,"YYYYMMDD")&amp;"*"" /stext="" "&amp;TEXT(HWI28-utc_offset/24,"HH")&amp;search_regexp&amp;""""</f>
        <v>#VALUE!</v>
      </c>
      <c r="HXG28" s="234" t="e">
        <f>astrogrep_path&amp;" /e /r /s /spath="&amp;search_path&amp;" /stypes=""app*"&amp;HWC28&amp;"*"&amp;TEXT(HWJ28-utc_offset/24,"YYYYMMDD")&amp;"*"" /stext="" "&amp;TEXT(HWJ28-utc_offset/24,"HH")&amp;search_regexp&amp;""""</f>
        <v>#VALUE!</v>
      </c>
      <c r="HXH28" s="234" t="e">
        <f>astrogrep_path&amp;" /e /r /s /spath="&amp;search_path&amp;" /stypes=""app*"&amp;HWD28&amp;"*"&amp;TEXT(HWK28-utc_offset/24,"YYYYMMDD")&amp;"*"" /stext="" "&amp;TEXT(HWK28-utc_offset/24,"HH")&amp;search_regexp&amp;""""</f>
        <v>#REF!</v>
      </c>
      <c r="HXI28" s="234" t="e">
        <f>astrogrep_path&amp;" /e /r /s /spath="&amp;search_path&amp;" /stypes=""app*"&amp;HWE28&amp;"*"&amp;TEXT(HWL28-utc_offset/24,"YYYYMMDD")&amp;"*"" /stext="" "&amp;TEXT(HWL28-utc_offset/24,"HH")&amp;search_regexp&amp;""""</f>
        <v>#REF!</v>
      </c>
      <c r="HXJ28" s="234" t="e">
        <f>astrogrep_path&amp;" /e /r /s /spath="&amp;search_path&amp;" /stypes=""app*"&amp;HWF28&amp;"*"&amp;TEXT(HWM28-utc_offset/24,"YYYYMMDD")&amp;"*"" /stext="" "&amp;TEXT(HWM28-utc_offset/24,"HH")&amp;search_regexp&amp;""""</f>
        <v>#REF!</v>
      </c>
      <c r="HXK28" s="234" t="e">
        <f>astrogrep_path&amp;" /e /r /s /spath="&amp;search_path&amp;" /stypes=""app*"&amp;HWG28&amp;"*"&amp;TEXT(HWN28-utc_offset/24,"YYYYMMDD")&amp;"*"" /stext="" "&amp;TEXT(HWN28-utc_offset/24,"HH")&amp;search_regexp&amp;""""</f>
        <v>#REF!</v>
      </c>
      <c r="HXL28" s="234" t="e">
        <f>astrogrep_path&amp;" /e /r /s /spath="&amp;search_path&amp;" /stypes=""app*"&amp;HWH28&amp;"*"&amp;TEXT(HWO28-utc_offset/24,"YYYYMMDD")&amp;"*"" /stext="" "&amp;TEXT(HWO28-utc_offset/24,"HH")&amp;search_regexp&amp;""""</f>
        <v>#REF!</v>
      </c>
      <c r="HXM28" s="234" t="e">
        <f>astrogrep_path&amp;" /e /r /s /spath="&amp;search_path&amp;" /stypes=""app*"&amp;HWI28&amp;"*"&amp;TEXT(HWP28-utc_offset/24,"YYYYMMDD")&amp;"*"" /stext="" "&amp;TEXT(HWP28-utc_offset/24,"HH")&amp;search_regexp&amp;""""</f>
        <v>#REF!</v>
      </c>
      <c r="HXN28" s="234" t="e">
        <f>astrogrep_path&amp;" /e /r /s /spath="&amp;search_path&amp;" /stypes=""app*"&amp;HWJ28&amp;"*"&amp;TEXT(HWQ28-utc_offset/24,"YYYYMMDD")&amp;"*"" /stext="" "&amp;TEXT(HWQ28-utc_offset/24,"HH")&amp;search_regexp&amp;""""</f>
        <v>#REF!</v>
      </c>
      <c r="HXO28" s="234" t="e">
        <f>astrogrep_path&amp;" /e /r /s /spath="&amp;search_path&amp;" /stypes=""app*"&amp;HWK28&amp;"*"&amp;TEXT(HWR28-utc_offset/24,"YYYYMMDD")&amp;"*"" /stext="" "&amp;TEXT(HWR28-utc_offset/24,"HH")&amp;search_regexp&amp;""""</f>
        <v>#REF!</v>
      </c>
      <c r="HXP28" s="234" t="e">
        <f>astrogrep_path&amp;" /e /r /s /spath="&amp;search_path&amp;" /stypes=""app*"&amp;HWL28&amp;"*"&amp;TEXT(HWS28-utc_offset/24,"YYYYMMDD")&amp;"*"" /stext="" "&amp;TEXT(HWS28-utc_offset/24,"HH")&amp;search_regexp&amp;""""</f>
        <v>#REF!</v>
      </c>
      <c r="HXQ28" s="234" t="e">
        <f>astrogrep_path&amp;" /e /r /s /spath="&amp;search_path&amp;" /stypes=""app*"&amp;HWM28&amp;"*"&amp;TEXT(HWT28-utc_offset/24,"YYYYMMDD")&amp;"*"" /stext="" "&amp;TEXT(HWT28-utc_offset/24,"HH")&amp;search_regexp&amp;""""</f>
        <v>#REF!</v>
      </c>
      <c r="HXR28" s="234" t="e">
        <f>astrogrep_path&amp;" /e /r /s /spath="&amp;search_path&amp;" /stypes=""app*"&amp;HWN28&amp;"*"&amp;TEXT(HWU28-utc_offset/24,"YYYYMMDD")&amp;"*"" /stext="" "&amp;TEXT(HWU28-utc_offset/24,"HH")&amp;search_regexp&amp;""""</f>
        <v>#REF!</v>
      </c>
      <c r="HXS28" s="234" t="e">
        <f>astrogrep_path&amp;" /e /r /s /spath="&amp;search_path&amp;" /stypes=""app*"&amp;HWO28&amp;"*"&amp;TEXT(HWV28-utc_offset/24,"YYYYMMDD")&amp;"*"" /stext="" "&amp;TEXT(HWV28-utc_offset/24,"HH")&amp;search_regexp&amp;""""</f>
        <v>#REF!</v>
      </c>
      <c r="HXT28" s="234" t="e">
        <f>astrogrep_path&amp;" /e /r /s /spath="&amp;search_path&amp;" /stypes=""app*"&amp;HWP28&amp;"*"&amp;TEXT(HWW28-utc_offset/24,"YYYYMMDD")&amp;"*"" /stext="" "&amp;TEXT(HWW28-utc_offset/24,"HH")&amp;search_regexp&amp;""""</f>
        <v>#REF!</v>
      </c>
      <c r="HXU28" s="234" t="e">
        <f>astrogrep_path&amp;" /e /r /s /spath="&amp;search_path&amp;" /stypes=""app*"&amp;HWQ28&amp;"*"&amp;TEXT(HWX28-utc_offset/24,"YYYYMMDD")&amp;"*"" /stext="" "&amp;TEXT(HWX28-utc_offset/24,"HH")&amp;search_regexp&amp;""""</f>
        <v>#REF!</v>
      </c>
      <c r="HXV28" s="234" t="e">
        <f>astrogrep_path&amp;" /e /r /s /spath="&amp;search_path&amp;" /stypes=""app*"&amp;HWR28&amp;"*"&amp;TEXT(HWY28-utc_offset/24,"YYYYMMDD")&amp;"*"" /stext="" "&amp;TEXT(HWY28-utc_offset/24,"HH")&amp;search_regexp&amp;""""</f>
        <v>#REF!</v>
      </c>
      <c r="HXW28" s="234" t="e">
        <f>astrogrep_path&amp;" /e /r /s /spath="&amp;search_path&amp;" /stypes=""app*"&amp;HWS28&amp;"*"&amp;TEXT(HWZ28-utc_offset/24,"YYYYMMDD")&amp;"*"" /stext="" "&amp;TEXT(HWZ28-utc_offset/24,"HH")&amp;search_regexp&amp;""""</f>
        <v>#REF!</v>
      </c>
      <c r="HXX28" s="234" t="e">
        <f>astrogrep_path&amp;" /e /r /s /spath="&amp;search_path&amp;" /stypes=""app*"&amp;HWT28&amp;"*"&amp;TEXT(HXA28-utc_offset/24,"YYYYMMDD")&amp;"*"" /stext="" "&amp;TEXT(HXA28-utc_offset/24,"HH")&amp;search_regexp&amp;""""</f>
        <v>#REF!</v>
      </c>
      <c r="HXY28" s="234" t="e">
        <f>astrogrep_path&amp;" /e /r /s /spath="&amp;search_path&amp;" /stypes=""app*"&amp;HWU28&amp;"*"&amp;TEXT(HXB28-utc_offset/24,"YYYYMMDD")&amp;"*"" /stext="" "&amp;TEXT(HXB28-utc_offset/24,"HH")&amp;search_regexp&amp;""""</f>
        <v>#REF!</v>
      </c>
      <c r="HXZ28" s="234" t="e">
        <f>astrogrep_path&amp;" /e /r /s /spath="&amp;search_path&amp;" /stypes=""app*"&amp;HWV28&amp;"*"&amp;TEXT(HXC28-utc_offset/24,"YYYYMMDD")&amp;"*"" /stext="" "&amp;TEXT(HXC28-utc_offset/24,"HH")&amp;search_regexp&amp;""""</f>
        <v>#REF!</v>
      </c>
      <c r="HYA28" s="234" t="e">
        <f>astrogrep_path&amp;" /e /r /s /spath="&amp;search_path&amp;" /stypes=""app*"&amp;HWW28&amp;"*"&amp;TEXT(HXD28-utc_offset/24,"YYYYMMDD")&amp;"*"" /stext="" "&amp;TEXT(HXD28-utc_offset/24,"HH")&amp;search_regexp&amp;""""</f>
        <v>#REF!</v>
      </c>
      <c r="HYB28" s="234" t="e">
        <f>astrogrep_path&amp;" /e /r /s /spath="&amp;search_path&amp;" /stypes=""app*"&amp;HWX28&amp;"*"&amp;TEXT(HXE28-utc_offset/24,"YYYYMMDD")&amp;"*"" /stext="" "&amp;TEXT(HXE28-utc_offset/24,"HH")&amp;search_regexp&amp;""""</f>
        <v>#REF!</v>
      </c>
      <c r="HYC28" s="234" t="e">
        <f>astrogrep_path&amp;" /e /r /s /spath="&amp;search_path&amp;" /stypes=""app*"&amp;HWY28&amp;"*"&amp;TEXT(HXF28-utc_offset/24,"YYYYMMDD")&amp;"*"" /stext="" "&amp;TEXT(HXF28-utc_offset/24,"HH")&amp;search_regexp&amp;""""</f>
        <v>#VALUE!</v>
      </c>
      <c r="HYD28" s="234" t="e">
        <f>astrogrep_path&amp;" /e /r /s /spath="&amp;search_path&amp;" /stypes=""app*"&amp;HWZ28&amp;"*"&amp;TEXT(HXG28-utc_offset/24,"YYYYMMDD")&amp;"*"" /stext="" "&amp;TEXT(HXG28-utc_offset/24,"HH")&amp;search_regexp&amp;""""</f>
        <v>#VALUE!</v>
      </c>
      <c r="HYE28" s="234" t="e">
        <f>astrogrep_path&amp;" /e /r /s /spath="&amp;search_path&amp;" /stypes=""app*"&amp;HXA28&amp;"*"&amp;TEXT(HXH28-utc_offset/24,"YYYYMMDD")&amp;"*"" /stext="" "&amp;TEXT(HXH28-utc_offset/24,"HH")&amp;search_regexp&amp;""""</f>
        <v>#REF!</v>
      </c>
      <c r="HYF28" s="234" t="e">
        <f>astrogrep_path&amp;" /e /r /s /spath="&amp;search_path&amp;" /stypes=""app*"&amp;HXB28&amp;"*"&amp;TEXT(HXI28-utc_offset/24,"YYYYMMDD")&amp;"*"" /stext="" "&amp;TEXT(HXI28-utc_offset/24,"HH")&amp;search_regexp&amp;""""</f>
        <v>#REF!</v>
      </c>
      <c r="HYG28" s="234" t="e">
        <f>astrogrep_path&amp;" /e /r /s /spath="&amp;search_path&amp;" /stypes=""app*"&amp;HXC28&amp;"*"&amp;TEXT(HXJ28-utc_offset/24,"YYYYMMDD")&amp;"*"" /stext="" "&amp;TEXT(HXJ28-utc_offset/24,"HH")&amp;search_regexp&amp;""""</f>
        <v>#VALUE!</v>
      </c>
      <c r="HYH28" s="234" t="e">
        <f>astrogrep_path&amp;" /e /r /s /spath="&amp;search_path&amp;" /stypes=""app*"&amp;HXD28&amp;"*"&amp;TEXT(HXK28-utc_offset/24,"YYYYMMDD")&amp;"*"" /stext="" "&amp;TEXT(HXK28-utc_offset/24,"HH")&amp;search_regexp&amp;""""</f>
        <v>#VALUE!</v>
      </c>
      <c r="HYI28" s="234" t="e">
        <f>astrogrep_path&amp;" /e /r /s /spath="&amp;search_path&amp;" /stypes=""app*"&amp;HXE28&amp;"*"&amp;TEXT(HXL28-utc_offset/24,"YYYYMMDD")&amp;"*"" /stext="" "&amp;TEXT(HXL28-utc_offset/24,"HH")&amp;search_regexp&amp;""""</f>
        <v>#VALUE!</v>
      </c>
      <c r="HYJ28" s="234" t="e">
        <f>astrogrep_path&amp;" /e /r /s /spath="&amp;search_path&amp;" /stypes=""app*"&amp;HXF28&amp;"*"&amp;TEXT(HXM28-utc_offset/24,"YYYYMMDD")&amp;"*"" /stext="" "&amp;TEXT(HXM28-utc_offset/24,"HH")&amp;search_regexp&amp;""""</f>
        <v>#VALUE!</v>
      </c>
      <c r="HYK28" s="234" t="e">
        <f>astrogrep_path&amp;" /e /r /s /spath="&amp;search_path&amp;" /stypes=""app*"&amp;HXG28&amp;"*"&amp;TEXT(HXN28-utc_offset/24,"YYYYMMDD")&amp;"*"" /stext="" "&amp;TEXT(HXN28-utc_offset/24,"HH")&amp;search_regexp&amp;""""</f>
        <v>#VALUE!</v>
      </c>
      <c r="HYL28" s="234" t="e">
        <f>astrogrep_path&amp;" /e /r /s /spath="&amp;search_path&amp;" /stypes=""app*"&amp;HXH28&amp;"*"&amp;TEXT(HXO28-utc_offset/24,"YYYYMMDD")&amp;"*"" /stext="" "&amp;TEXT(HXO28-utc_offset/24,"HH")&amp;search_regexp&amp;""""</f>
        <v>#REF!</v>
      </c>
      <c r="HYM28" s="234" t="e">
        <f>astrogrep_path&amp;" /e /r /s /spath="&amp;search_path&amp;" /stypes=""app*"&amp;HXI28&amp;"*"&amp;TEXT(HXP28-utc_offset/24,"YYYYMMDD")&amp;"*"" /stext="" "&amp;TEXT(HXP28-utc_offset/24,"HH")&amp;search_regexp&amp;""""</f>
        <v>#REF!</v>
      </c>
      <c r="HYN28" s="234" t="e">
        <f>astrogrep_path&amp;" /e /r /s /spath="&amp;search_path&amp;" /stypes=""app*"&amp;HXJ28&amp;"*"&amp;TEXT(HXQ28-utc_offset/24,"YYYYMMDD")&amp;"*"" /stext="" "&amp;TEXT(HXQ28-utc_offset/24,"HH")&amp;search_regexp&amp;""""</f>
        <v>#REF!</v>
      </c>
      <c r="HYO28" s="234" t="e">
        <f>astrogrep_path&amp;" /e /r /s /spath="&amp;search_path&amp;" /stypes=""app*"&amp;HXK28&amp;"*"&amp;TEXT(HXR28-utc_offset/24,"YYYYMMDD")&amp;"*"" /stext="" "&amp;TEXT(HXR28-utc_offset/24,"HH")&amp;search_regexp&amp;""""</f>
        <v>#REF!</v>
      </c>
      <c r="HYP28" s="234" t="e">
        <f>astrogrep_path&amp;" /e /r /s /spath="&amp;search_path&amp;" /stypes=""app*"&amp;HXL28&amp;"*"&amp;TEXT(HXS28-utc_offset/24,"YYYYMMDD")&amp;"*"" /stext="" "&amp;TEXT(HXS28-utc_offset/24,"HH")&amp;search_regexp&amp;""""</f>
        <v>#REF!</v>
      </c>
      <c r="HYQ28" s="234" t="e">
        <f>astrogrep_path&amp;" /e /r /s /spath="&amp;search_path&amp;" /stypes=""app*"&amp;HXM28&amp;"*"&amp;TEXT(HXT28-utc_offset/24,"YYYYMMDD")&amp;"*"" /stext="" "&amp;TEXT(HXT28-utc_offset/24,"HH")&amp;search_regexp&amp;""""</f>
        <v>#REF!</v>
      </c>
      <c r="HYR28" s="234" t="e">
        <f>astrogrep_path&amp;" /e /r /s /spath="&amp;search_path&amp;" /stypes=""app*"&amp;HXN28&amp;"*"&amp;TEXT(HXU28-utc_offset/24,"YYYYMMDD")&amp;"*"" /stext="" "&amp;TEXT(HXU28-utc_offset/24,"HH")&amp;search_regexp&amp;""""</f>
        <v>#REF!</v>
      </c>
      <c r="HYS28" s="234" t="e">
        <f>astrogrep_path&amp;" /e /r /s /spath="&amp;search_path&amp;" /stypes=""app*"&amp;HXO28&amp;"*"&amp;TEXT(HXV28-utc_offset/24,"YYYYMMDD")&amp;"*"" /stext="" "&amp;TEXT(HXV28-utc_offset/24,"HH")&amp;search_regexp&amp;""""</f>
        <v>#REF!</v>
      </c>
      <c r="HYT28" s="234" t="e">
        <f>astrogrep_path&amp;" /e /r /s /spath="&amp;search_path&amp;" /stypes=""app*"&amp;HXP28&amp;"*"&amp;TEXT(HXW28-utc_offset/24,"YYYYMMDD")&amp;"*"" /stext="" "&amp;TEXT(HXW28-utc_offset/24,"HH")&amp;search_regexp&amp;""""</f>
        <v>#REF!</v>
      </c>
      <c r="HYU28" s="234" t="e">
        <f>astrogrep_path&amp;" /e /r /s /spath="&amp;search_path&amp;" /stypes=""app*"&amp;HXQ28&amp;"*"&amp;TEXT(HXX28-utc_offset/24,"YYYYMMDD")&amp;"*"" /stext="" "&amp;TEXT(HXX28-utc_offset/24,"HH")&amp;search_regexp&amp;""""</f>
        <v>#REF!</v>
      </c>
      <c r="HYV28" s="234" t="e">
        <f>astrogrep_path&amp;" /e /r /s /spath="&amp;search_path&amp;" /stypes=""app*"&amp;HXR28&amp;"*"&amp;TEXT(HXY28-utc_offset/24,"YYYYMMDD")&amp;"*"" /stext="" "&amp;TEXT(HXY28-utc_offset/24,"HH")&amp;search_regexp&amp;""""</f>
        <v>#REF!</v>
      </c>
      <c r="HYW28" s="234" t="e">
        <f>astrogrep_path&amp;" /e /r /s /spath="&amp;search_path&amp;" /stypes=""app*"&amp;HXS28&amp;"*"&amp;TEXT(HXZ28-utc_offset/24,"YYYYMMDD")&amp;"*"" /stext="" "&amp;TEXT(HXZ28-utc_offset/24,"HH")&amp;search_regexp&amp;""""</f>
        <v>#REF!</v>
      </c>
      <c r="HYX28" s="234" t="e">
        <f>astrogrep_path&amp;" /e /r /s /spath="&amp;search_path&amp;" /stypes=""app*"&amp;HXT28&amp;"*"&amp;TEXT(HYA28-utc_offset/24,"YYYYMMDD")&amp;"*"" /stext="" "&amp;TEXT(HYA28-utc_offset/24,"HH")&amp;search_regexp&amp;""""</f>
        <v>#REF!</v>
      </c>
      <c r="HYY28" s="234" t="e">
        <f>astrogrep_path&amp;" /e /r /s /spath="&amp;search_path&amp;" /stypes=""app*"&amp;HXU28&amp;"*"&amp;TEXT(HYB28-utc_offset/24,"YYYYMMDD")&amp;"*"" /stext="" "&amp;TEXT(HYB28-utc_offset/24,"HH")&amp;search_regexp&amp;""""</f>
        <v>#REF!</v>
      </c>
      <c r="HYZ28" s="234" t="e">
        <f>astrogrep_path&amp;" /e /r /s /spath="&amp;search_path&amp;" /stypes=""app*"&amp;HXV28&amp;"*"&amp;TEXT(HYC28-utc_offset/24,"YYYYMMDD")&amp;"*"" /stext="" "&amp;TEXT(HYC28-utc_offset/24,"HH")&amp;search_regexp&amp;""""</f>
        <v>#REF!</v>
      </c>
      <c r="HZA28" s="234" t="e">
        <f>astrogrep_path&amp;" /e /r /s /spath="&amp;search_path&amp;" /stypes=""app*"&amp;HXW28&amp;"*"&amp;TEXT(HYD28-utc_offset/24,"YYYYMMDD")&amp;"*"" /stext="" "&amp;TEXT(HYD28-utc_offset/24,"HH")&amp;search_regexp&amp;""""</f>
        <v>#REF!</v>
      </c>
      <c r="HZB28" s="234" t="e">
        <f>astrogrep_path&amp;" /e /r /s /spath="&amp;search_path&amp;" /stypes=""app*"&amp;HXX28&amp;"*"&amp;TEXT(HYE28-utc_offset/24,"YYYYMMDD")&amp;"*"" /stext="" "&amp;TEXT(HYE28-utc_offset/24,"HH")&amp;search_regexp&amp;""""</f>
        <v>#REF!</v>
      </c>
      <c r="HZC28" s="234" t="e">
        <f>astrogrep_path&amp;" /e /r /s /spath="&amp;search_path&amp;" /stypes=""app*"&amp;HXY28&amp;"*"&amp;TEXT(HYF28-utc_offset/24,"YYYYMMDD")&amp;"*"" /stext="" "&amp;TEXT(HYF28-utc_offset/24,"HH")&amp;search_regexp&amp;""""</f>
        <v>#REF!</v>
      </c>
      <c r="HZD28" s="234" t="e">
        <f>astrogrep_path&amp;" /e /r /s /spath="&amp;search_path&amp;" /stypes=""app*"&amp;HXZ28&amp;"*"&amp;TEXT(HYG28-utc_offset/24,"YYYYMMDD")&amp;"*"" /stext="" "&amp;TEXT(HYG28-utc_offset/24,"HH")&amp;search_regexp&amp;""""</f>
        <v>#REF!</v>
      </c>
      <c r="HZE28" s="234" t="e">
        <f>astrogrep_path&amp;" /e /r /s /spath="&amp;search_path&amp;" /stypes=""app*"&amp;HYA28&amp;"*"&amp;TEXT(HYH28-utc_offset/24,"YYYYMMDD")&amp;"*"" /stext="" "&amp;TEXT(HYH28-utc_offset/24,"HH")&amp;search_regexp&amp;""""</f>
        <v>#REF!</v>
      </c>
      <c r="HZF28" s="234" t="e">
        <f>astrogrep_path&amp;" /e /r /s /spath="&amp;search_path&amp;" /stypes=""app*"&amp;HYB28&amp;"*"&amp;TEXT(HYI28-utc_offset/24,"YYYYMMDD")&amp;"*"" /stext="" "&amp;TEXT(HYI28-utc_offset/24,"HH")&amp;search_regexp&amp;""""</f>
        <v>#REF!</v>
      </c>
      <c r="HZG28" s="234" t="e">
        <f>astrogrep_path&amp;" /e /r /s /spath="&amp;search_path&amp;" /stypes=""app*"&amp;HYC28&amp;"*"&amp;TEXT(HYJ28-utc_offset/24,"YYYYMMDD")&amp;"*"" /stext="" "&amp;TEXT(HYJ28-utc_offset/24,"HH")&amp;search_regexp&amp;""""</f>
        <v>#VALUE!</v>
      </c>
      <c r="HZH28" s="234" t="e">
        <f>astrogrep_path&amp;" /e /r /s /spath="&amp;search_path&amp;" /stypes=""app*"&amp;HYD28&amp;"*"&amp;TEXT(HYK28-utc_offset/24,"YYYYMMDD")&amp;"*"" /stext="" "&amp;TEXT(HYK28-utc_offset/24,"HH")&amp;search_regexp&amp;""""</f>
        <v>#VALUE!</v>
      </c>
      <c r="HZI28" s="234" t="e">
        <f>astrogrep_path&amp;" /e /r /s /spath="&amp;search_path&amp;" /stypes=""app*"&amp;HYE28&amp;"*"&amp;TEXT(HYL28-utc_offset/24,"YYYYMMDD")&amp;"*"" /stext="" "&amp;TEXT(HYL28-utc_offset/24,"HH")&amp;search_regexp&amp;""""</f>
        <v>#REF!</v>
      </c>
      <c r="HZJ28" s="234" t="e">
        <f>astrogrep_path&amp;" /e /r /s /spath="&amp;search_path&amp;" /stypes=""app*"&amp;HYF28&amp;"*"&amp;TEXT(HYM28-utc_offset/24,"YYYYMMDD")&amp;"*"" /stext="" "&amp;TEXT(HYM28-utc_offset/24,"HH")&amp;search_regexp&amp;""""</f>
        <v>#REF!</v>
      </c>
      <c r="HZK28" s="234" t="e">
        <f>astrogrep_path&amp;" /e /r /s /spath="&amp;search_path&amp;" /stypes=""app*"&amp;HYG28&amp;"*"&amp;TEXT(HYN28-utc_offset/24,"YYYYMMDD")&amp;"*"" /stext="" "&amp;TEXT(HYN28-utc_offset/24,"HH")&amp;search_regexp&amp;""""</f>
        <v>#VALUE!</v>
      </c>
      <c r="HZL28" s="234" t="e">
        <f>astrogrep_path&amp;" /e /r /s /spath="&amp;search_path&amp;" /stypes=""app*"&amp;HYH28&amp;"*"&amp;TEXT(HYO28-utc_offset/24,"YYYYMMDD")&amp;"*"" /stext="" "&amp;TEXT(HYO28-utc_offset/24,"HH")&amp;search_regexp&amp;""""</f>
        <v>#VALUE!</v>
      </c>
      <c r="HZM28" s="234" t="e">
        <f>astrogrep_path&amp;" /e /r /s /spath="&amp;search_path&amp;" /stypes=""app*"&amp;HYI28&amp;"*"&amp;TEXT(HYP28-utc_offset/24,"YYYYMMDD")&amp;"*"" /stext="" "&amp;TEXT(HYP28-utc_offset/24,"HH")&amp;search_regexp&amp;""""</f>
        <v>#VALUE!</v>
      </c>
      <c r="HZN28" s="234" t="e">
        <f>astrogrep_path&amp;" /e /r /s /spath="&amp;search_path&amp;" /stypes=""app*"&amp;HYJ28&amp;"*"&amp;TEXT(HYQ28-utc_offset/24,"YYYYMMDD")&amp;"*"" /stext="" "&amp;TEXT(HYQ28-utc_offset/24,"HH")&amp;search_regexp&amp;""""</f>
        <v>#VALUE!</v>
      </c>
      <c r="HZO28" s="234" t="e">
        <f>astrogrep_path&amp;" /e /r /s /spath="&amp;search_path&amp;" /stypes=""app*"&amp;HYK28&amp;"*"&amp;TEXT(HYR28-utc_offset/24,"YYYYMMDD")&amp;"*"" /stext="" "&amp;TEXT(HYR28-utc_offset/24,"HH")&amp;search_regexp&amp;""""</f>
        <v>#VALUE!</v>
      </c>
      <c r="HZP28" s="234" t="e">
        <f>astrogrep_path&amp;" /e /r /s /spath="&amp;search_path&amp;" /stypes=""app*"&amp;HYL28&amp;"*"&amp;TEXT(HYS28-utc_offset/24,"YYYYMMDD")&amp;"*"" /stext="" "&amp;TEXT(HYS28-utc_offset/24,"HH")&amp;search_regexp&amp;""""</f>
        <v>#REF!</v>
      </c>
      <c r="HZQ28" s="234" t="e">
        <f>astrogrep_path&amp;" /e /r /s /spath="&amp;search_path&amp;" /stypes=""app*"&amp;HYM28&amp;"*"&amp;TEXT(HYT28-utc_offset/24,"YYYYMMDD")&amp;"*"" /stext="" "&amp;TEXT(HYT28-utc_offset/24,"HH")&amp;search_regexp&amp;""""</f>
        <v>#REF!</v>
      </c>
      <c r="HZR28" s="234" t="e">
        <f>astrogrep_path&amp;" /e /r /s /spath="&amp;search_path&amp;" /stypes=""app*"&amp;HYN28&amp;"*"&amp;TEXT(HYU28-utc_offset/24,"YYYYMMDD")&amp;"*"" /stext="" "&amp;TEXT(HYU28-utc_offset/24,"HH")&amp;search_regexp&amp;""""</f>
        <v>#REF!</v>
      </c>
      <c r="HZS28" s="234" t="e">
        <f>astrogrep_path&amp;" /e /r /s /spath="&amp;search_path&amp;" /stypes=""app*"&amp;HYO28&amp;"*"&amp;TEXT(HYV28-utc_offset/24,"YYYYMMDD")&amp;"*"" /stext="" "&amp;TEXT(HYV28-utc_offset/24,"HH")&amp;search_regexp&amp;""""</f>
        <v>#REF!</v>
      </c>
      <c r="HZT28" s="234" t="e">
        <f>astrogrep_path&amp;" /e /r /s /spath="&amp;search_path&amp;" /stypes=""app*"&amp;HYP28&amp;"*"&amp;TEXT(HYW28-utc_offset/24,"YYYYMMDD")&amp;"*"" /stext="" "&amp;TEXT(HYW28-utc_offset/24,"HH")&amp;search_regexp&amp;""""</f>
        <v>#REF!</v>
      </c>
      <c r="HZU28" s="234" t="e">
        <f>astrogrep_path&amp;" /e /r /s /spath="&amp;search_path&amp;" /stypes=""app*"&amp;HYQ28&amp;"*"&amp;TEXT(HYX28-utc_offset/24,"YYYYMMDD")&amp;"*"" /stext="" "&amp;TEXT(HYX28-utc_offset/24,"HH")&amp;search_regexp&amp;""""</f>
        <v>#REF!</v>
      </c>
      <c r="HZV28" s="234" t="e">
        <f>astrogrep_path&amp;" /e /r /s /spath="&amp;search_path&amp;" /stypes=""app*"&amp;HYR28&amp;"*"&amp;TEXT(HYY28-utc_offset/24,"YYYYMMDD")&amp;"*"" /stext="" "&amp;TEXT(HYY28-utc_offset/24,"HH")&amp;search_regexp&amp;""""</f>
        <v>#REF!</v>
      </c>
      <c r="HZW28" s="234" t="e">
        <f>astrogrep_path&amp;" /e /r /s /spath="&amp;search_path&amp;" /stypes=""app*"&amp;HYS28&amp;"*"&amp;TEXT(HYZ28-utc_offset/24,"YYYYMMDD")&amp;"*"" /stext="" "&amp;TEXT(HYZ28-utc_offset/24,"HH")&amp;search_regexp&amp;""""</f>
        <v>#REF!</v>
      </c>
      <c r="HZX28" s="234" t="e">
        <f>astrogrep_path&amp;" /e /r /s /spath="&amp;search_path&amp;" /stypes=""app*"&amp;HYT28&amp;"*"&amp;TEXT(HZA28-utc_offset/24,"YYYYMMDD")&amp;"*"" /stext="" "&amp;TEXT(HZA28-utc_offset/24,"HH")&amp;search_regexp&amp;""""</f>
        <v>#REF!</v>
      </c>
      <c r="HZY28" s="234" t="e">
        <f>astrogrep_path&amp;" /e /r /s /spath="&amp;search_path&amp;" /stypes=""app*"&amp;HYU28&amp;"*"&amp;TEXT(HZB28-utc_offset/24,"YYYYMMDD")&amp;"*"" /stext="" "&amp;TEXT(HZB28-utc_offset/24,"HH")&amp;search_regexp&amp;""""</f>
        <v>#REF!</v>
      </c>
      <c r="HZZ28" s="234" t="e">
        <f>astrogrep_path&amp;" /e /r /s /spath="&amp;search_path&amp;" /stypes=""app*"&amp;HYV28&amp;"*"&amp;TEXT(HZC28-utc_offset/24,"YYYYMMDD")&amp;"*"" /stext="" "&amp;TEXT(HZC28-utc_offset/24,"HH")&amp;search_regexp&amp;""""</f>
        <v>#REF!</v>
      </c>
      <c r="IAA28" s="234" t="e">
        <f>astrogrep_path&amp;" /e /r /s /spath="&amp;search_path&amp;" /stypes=""app*"&amp;HYW28&amp;"*"&amp;TEXT(HZD28-utc_offset/24,"YYYYMMDD")&amp;"*"" /stext="" "&amp;TEXT(HZD28-utc_offset/24,"HH")&amp;search_regexp&amp;""""</f>
        <v>#REF!</v>
      </c>
      <c r="IAB28" s="234" t="e">
        <f>astrogrep_path&amp;" /e /r /s /spath="&amp;search_path&amp;" /stypes=""app*"&amp;HYX28&amp;"*"&amp;TEXT(HZE28-utc_offset/24,"YYYYMMDD")&amp;"*"" /stext="" "&amp;TEXT(HZE28-utc_offset/24,"HH")&amp;search_regexp&amp;""""</f>
        <v>#REF!</v>
      </c>
      <c r="IAC28" s="234" t="e">
        <f>astrogrep_path&amp;" /e /r /s /spath="&amp;search_path&amp;" /stypes=""app*"&amp;HYY28&amp;"*"&amp;TEXT(HZF28-utc_offset/24,"YYYYMMDD")&amp;"*"" /stext="" "&amp;TEXT(HZF28-utc_offset/24,"HH")&amp;search_regexp&amp;""""</f>
        <v>#REF!</v>
      </c>
      <c r="IAD28" s="234" t="e">
        <f>astrogrep_path&amp;" /e /r /s /spath="&amp;search_path&amp;" /stypes=""app*"&amp;HYZ28&amp;"*"&amp;TEXT(HZG28-utc_offset/24,"YYYYMMDD")&amp;"*"" /stext="" "&amp;TEXT(HZG28-utc_offset/24,"HH")&amp;search_regexp&amp;""""</f>
        <v>#REF!</v>
      </c>
      <c r="IAE28" s="234" t="e">
        <f>astrogrep_path&amp;" /e /r /s /spath="&amp;search_path&amp;" /stypes=""app*"&amp;HZA28&amp;"*"&amp;TEXT(HZH28-utc_offset/24,"YYYYMMDD")&amp;"*"" /stext="" "&amp;TEXT(HZH28-utc_offset/24,"HH")&amp;search_regexp&amp;""""</f>
        <v>#REF!</v>
      </c>
      <c r="IAF28" s="234" t="e">
        <f>astrogrep_path&amp;" /e /r /s /spath="&amp;search_path&amp;" /stypes=""app*"&amp;HZB28&amp;"*"&amp;TEXT(HZI28-utc_offset/24,"YYYYMMDD")&amp;"*"" /stext="" "&amp;TEXT(HZI28-utc_offset/24,"HH")&amp;search_regexp&amp;""""</f>
        <v>#REF!</v>
      </c>
      <c r="IAG28" s="234" t="e">
        <f>astrogrep_path&amp;" /e /r /s /spath="&amp;search_path&amp;" /stypes=""app*"&amp;HZC28&amp;"*"&amp;TEXT(HZJ28-utc_offset/24,"YYYYMMDD")&amp;"*"" /stext="" "&amp;TEXT(HZJ28-utc_offset/24,"HH")&amp;search_regexp&amp;""""</f>
        <v>#REF!</v>
      </c>
      <c r="IAH28" s="234" t="e">
        <f>astrogrep_path&amp;" /e /r /s /spath="&amp;search_path&amp;" /stypes=""app*"&amp;HZD28&amp;"*"&amp;TEXT(HZK28-utc_offset/24,"YYYYMMDD")&amp;"*"" /stext="" "&amp;TEXT(HZK28-utc_offset/24,"HH")&amp;search_regexp&amp;""""</f>
        <v>#REF!</v>
      </c>
      <c r="IAI28" s="234" t="e">
        <f>astrogrep_path&amp;" /e /r /s /spath="&amp;search_path&amp;" /stypes=""app*"&amp;HZE28&amp;"*"&amp;TEXT(HZL28-utc_offset/24,"YYYYMMDD")&amp;"*"" /stext="" "&amp;TEXT(HZL28-utc_offset/24,"HH")&amp;search_regexp&amp;""""</f>
        <v>#REF!</v>
      </c>
      <c r="IAJ28" s="234" t="e">
        <f>astrogrep_path&amp;" /e /r /s /spath="&amp;search_path&amp;" /stypes=""app*"&amp;HZF28&amp;"*"&amp;TEXT(HZM28-utc_offset/24,"YYYYMMDD")&amp;"*"" /stext="" "&amp;TEXT(HZM28-utc_offset/24,"HH")&amp;search_regexp&amp;""""</f>
        <v>#REF!</v>
      </c>
      <c r="IAK28" s="234" t="e">
        <f>astrogrep_path&amp;" /e /r /s /spath="&amp;search_path&amp;" /stypes=""app*"&amp;HZG28&amp;"*"&amp;TEXT(HZN28-utc_offset/24,"YYYYMMDD")&amp;"*"" /stext="" "&amp;TEXT(HZN28-utc_offset/24,"HH")&amp;search_regexp&amp;""""</f>
        <v>#VALUE!</v>
      </c>
      <c r="IAL28" s="234" t="e">
        <f>astrogrep_path&amp;" /e /r /s /spath="&amp;search_path&amp;" /stypes=""app*"&amp;HZH28&amp;"*"&amp;TEXT(HZO28-utc_offset/24,"YYYYMMDD")&amp;"*"" /stext="" "&amp;TEXT(HZO28-utc_offset/24,"HH")&amp;search_regexp&amp;""""</f>
        <v>#VALUE!</v>
      </c>
      <c r="IAM28" s="234" t="e">
        <f>astrogrep_path&amp;" /e /r /s /spath="&amp;search_path&amp;" /stypes=""app*"&amp;HZI28&amp;"*"&amp;TEXT(HZP28-utc_offset/24,"YYYYMMDD")&amp;"*"" /stext="" "&amp;TEXT(HZP28-utc_offset/24,"HH")&amp;search_regexp&amp;""""</f>
        <v>#REF!</v>
      </c>
      <c r="IAN28" s="234" t="e">
        <f>astrogrep_path&amp;" /e /r /s /spath="&amp;search_path&amp;" /stypes=""app*"&amp;HZJ28&amp;"*"&amp;TEXT(HZQ28-utc_offset/24,"YYYYMMDD")&amp;"*"" /stext="" "&amp;TEXT(HZQ28-utc_offset/24,"HH")&amp;search_regexp&amp;""""</f>
        <v>#REF!</v>
      </c>
      <c r="IAO28" s="234" t="e">
        <f>astrogrep_path&amp;" /e /r /s /spath="&amp;search_path&amp;" /stypes=""app*"&amp;HZK28&amp;"*"&amp;TEXT(HZR28-utc_offset/24,"YYYYMMDD")&amp;"*"" /stext="" "&amp;TEXT(HZR28-utc_offset/24,"HH")&amp;search_regexp&amp;""""</f>
        <v>#VALUE!</v>
      </c>
      <c r="IAP28" s="234" t="e">
        <f>astrogrep_path&amp;" /e /r /s /spath="&amp;search_path&amp;" /stypes=""app*"&amp;HZL28&amp;"*"&amp;TEXT(HZS28-utc_offset/24,"YYYYMMDD")&amp;"*"" /stext="" "&amp;TEXT(HZS28-utc_offset/24,"HH")&amp;search_regexp&amp;""""</f>
        <v>#VALUE!</v>
      </c>
      <c r="IAQ28" s="234" t="e">
        <f>astrogrep_path&amp;" /e /r /s /spath="&amp;search_path&amp;" /stypes=""app*"&amp;HZM28&amp;"*"&amp;TEXT(HZT28-utc_offset/24,"YYYYMMDD")&amp;"*"" /stext="" "&amp;TEXT(HZT28-utc_offset/24,"HH")&amp;search_regexp&amp;""""</f>
        <v>#VALUE!</v>
      </c>
      <c r="IAR28" s="234" t="e">
        <f>astrogrep_path&amp;" /e /r /s /spath="&amp;search_path&amp;" /stypes=""app*"&amp;HZN28&amp;"*"&amp;TEXT(HZU28-utc_offset/24,"YYYYMMDD")&amp;"*"" /stext="" "&amp;TEXT(HZU28-utc_offset/24,"HH")&amp;search_regexp&amp;""""</f>
        <v>#VALUE!</v>
      </c>
      <c r="IAS28" s="234" t="e">
        <f>astrogrep_path&amp;" /e /r /s /spath="&amp;search_path&amp;" /stypes=""app*"&amp;HZO28&amp;"*"&amp;TEXT(HZV28-utc_offset/24,"YYYYMMDD")&amp;"*"" /stext="" "&amp;TEXT(HZV28-utc_offset/24,"HH")&amp;search_regexp&amp;""""</f>
        <v>#VALUE!</v>
      </c>
      <c r="IAT28" s="234" t="e">
        <f>astrogrep_path&amp;" /e /r /s /spath="&amp;search_path&amp;" /stypes=""app*"&amp;HZP28&amp;"*"&amp;TEXT(HZW28-utc_offset/24,"YYYYMMDD")&amp;"*"" /stext="" "&amp;TEXT(HZW28-utc_offset/24,"HH")&amp;search_regexp&amp;""""</f>
        <v>#REF!</v>
      </c>
      <c r="IAU28" s="234" t="e">
        <f>astrogrep_path&amp;" /e /r /s /spath="&amp;search_path&amp;" /stypes=""app*"&amp;HZQ28&amp;"*"&amp;TEXT(HZX28-utc_offset/24,"YYYYMMDD")&amp;"*"" /stext="" "&amp;TEXT(HZX28-utc_offset/24,"HH")&amp;search_regexp&amp;""""</f>
        <v>#REF!</v>
      </c>
      <c r="IAV28" s="234" t="e">
        <f>astrogrep_path&amp;" /e /r /s /spath="&amp;search_path&amp;" /stypes=""app*"&amp;HZR28&amp;"*"&amp;TEXT(HZY28-utc_offset/24,"YYYYMMDD")&amp;"*"" /stext="" "&amp;TEXT(HZY28-utc_offset/24,"HH")&amp;search_regexp&amp;""""</f>
        <v>#REF!</v>
      </c>
      <c r="IAW28" s="234" t="e">
        <f>astrogrep_path&amp;" /e /r /s /spath="&amp;search_path&amp;" /stypes=""app*"&amp;HZS28&amp;"*"&amp;TEXT(HZZ28-utc_offset/24,"YYYYMMDD")&amp;"*"" /stext="" "&amp;TEXT(HZZ28-utc_offset/24,"HH")&amp;search_regexp&amp;""""</f>
        <v>#REF!</v>
      </c>
      <c r="IAX28" s="234" t="e">
        <f>astrogrep_path&amp;" /e /r /s /spath="&amp;search_path&amp;" /stypes=""app*"&amp;HZT28&amp;"*"&amp;TEXT(IAA28-utc_offset/24,"YYYYMMDD")&amp;"*"" /stext="" "&amp;TEXT(IAA28-utc_offset/24,"HH")&amp;search_regexp&amp;""""</f>
        <v>#REF!</v>
      </c>
      <c r="IAY28" s="234" t="e">
        <f>astrogrep_path&amp;" /e /r /s /spath="&amp;search_path&amp;" /stypes=""app*"&amp;HZU28&amp;"*"&amp;TEXT(IAB28-utc_offset/24,"YYYYMMDD")&amp;"*"" /stext="" "&amp;TEXT(IAB28-utc_offset/24,"HH")&amp;search_regexp&amp;""""</f>
        <v>#REF!</v>
      </c>
      <c r="IAZ28" s="234" t="e">
        <f>astrogrep_path&amp;" /e /r /s /spath="&amp;search_path&amp;" /stypes=""app*"&amp;HZV28&amp;"*"&amp;TEXT(IAC28-utc_offset/24,"YYYYMMDD")&amp;"*"" /stext="" "&amp;TEXT(IAC28-utc_offset/24,"HH")&amp;search_regexp&amp;""""</f>
        <v>#REF!</v>
      </c>
      <c r="IBA28" s="234" t="e">
        <f>astrogrep_path&amp;" /e /r /s /spath="&amp;search_path&amp;" /stypes=""app*"&amp;HZW28&amp;"*"&amp;TEXT(IAD28-utc_offset/24,"YYYYMMDD")&amp;"*"" /stext="" "&amp;TEXT(IAD28-utc_offset/24,"HH")&amp;search_regexp&amp;""""</f>
        <v>#REF!</v>
      </c>
      <c r="IBB28" s="234" t="e">
        <f>astrogrep_path&amp;" /e /r /s /spath="&amp;search_path&amp;" /stypes=""app*"&amp;HZX28&amp;"*"&amp;TEXT(IAE28-utc_offset/24,"YYYYMMDD")&amp;"*"" /stext="" "&amp;TEXT(IAE28-utc_offset/24,"HH")&amp;search_regexp&amp;""""</f>
        <v>#REF!</v>
      </c>
      <c r="IBC28" s="234" t="e">
        <f>astrogrep_path&amp;" /e /r /s /spath="&amp;search_path&amp;" /stypes=""app*"&amp;HZY28&amp;"*"&amp;TEXT(IAF28-utc_offset/24,"YYYYMMDD")&amp;"*"" /stext="" "&amp;TEXT(IAF28-utc_offset/24,"HH")&amp;search_regexp&amp;""""</f>
        <v>#REF!</v>
      </c>
      <c r="IBD28" s="234" t="e">
        <f>astrogrep_path&amp;" /e /r /s /spath="&amp;search_path&amp;" /stypes=""app*"&amp;HZZ28&amp;"*"&amp;TEXT(IAG28-utc_offset/24,"YYYYMMDD")&amp;"*"" /stext="" "&amp;TEXT(IAG28-utc_offset/24,"HH")&amp;search_regexp&amp;""""</f>
        <v>#REF!</v>
      </c>
      <c r="IBE28" s="234" t="e">
        <f>astrogrep_path&amp;" /e /r /s /spath="&amp;search_path&amp;" /stypes=""app*"&amp;IAA28&amp;"*"&amp;TEXT(IAH28-utc_offset/24,"YYYYMMDD")&amp;"*"" /stext="" "&amp;TEXT(IAH28-utc_offset/24,"HH")&amp;search_regexp&amp;""""</f>
        <v>#REF!</v>
      </c>
      <c r="IBF28" s="234" t="e">
        <f>astrogrep_path&amp;" /e /r /s /spath="&amp;search_path&amp;" /stypes=""app*"&amp;IAB28&amp;"*"&amp;TEXT(IAI28-utc_offset/24,"YYYYMMDD")&amp;"*"" /stext="" "&amp;TEXT(IAI28-utc_offset/24,"HH")&amp;search_regexp&amp;""""</f>
        <v>#REF!</v>
      </c>
      <c r="IBG28" s="234" t="e">
        <f>astrogrep_path&amp;" /e /r /s /spath="&amp;search_path&amp;" /stypes=""app*"&amp;IAC28&amp;"*"&amp;TEXT(IAJ28-utc_offset/24,"YYYYMMDD")&amp;"*"" /stext="" "&amp;TEXT(IAJ28-utc_offset/24,"HH")&amp;search_regexp&amp;""""</f>
        <v>#REF!</v>
      </c>
      <c r="IBH28" s="234" t="e">
        <f>astrogrep_path&amp;" /e /r /s /spath="&amp;search_path&amp;" /stypes=""app*"&amp;IAD28&amp;"*"&amp;TEXT(IAK28-utc_offset/24,"YYYYMMDD")&amp;"*"" /stext="" "&amp;TEXT(IAK28-utc_offset/24,"HH")&amp;search_regexp&amp;""""</f>
        <v>#REF!</v>
      </c>
      <c r="IBI28" s="234" t="e">
        <f>astrogrep_path&amp;" /e /r /s /spath="&amp;search_path&amp;" /stypes=""app*"&amp;IAE28&amp;"*"&amp;TEXT(IAL28-utc_offset/24,"YYYYMMDD")&amp;"*"" /stext="" "&amp;TEXT(IAL28-utc_offset/24,"HH")&amp;search_regexp&amp;""""</f>
        <v>#REF!</v>
      </c>
      <c r="IBJ28" s="234" t="e">
        <f>astrogrep_path&amp;" /e /r /s /spath="&amp;search_path&amp;" /stypes=""app*"&amp;IAF28&amp;"*"&amp;TEXT(IAM28-utc_offset/24,"YYYYMMDD")&amp;"*"" /stext="" "&amp;TEXT(IAM28-utc_offset/24,"HH")&amp;search_regexp&amp;""""</f>
        <v>#REF!</v>
      </c>
      <c r="IBK28" s="234" t="e">
        <f>astrogrep_path&amp;" /e /r /s /spath="&amp;search_path&amp;" /stypes=""app*"&amp;IAG28&amp;"*"&amp;TEXT(IAN28-utc_offset/24,"YYYYMMDD")&amp;"*"" /stext="" "&amp;TEXT(IAN28-utc_offset/24,"HH")&amp;search_regexp&amp;""""</f>
        <v>#REF!</v>
      </c>
      <c r="IBL28" s="234" t="e">
        <f>astrogrep_path&amp;" /e /r /s /spath="&amp;search_path&amp;" /stypes=""app*"&amp;IAH28&amp;"*"&amp;TEXT(IAO28-utc_offset/24,"YYYYMMDD")&amp;"*"" /stext="" "&amp;TEXT(IAO28-utc_offset/24,"HH")&amp;search_regexp&amp;""""</f>
        <v>#REF!</v>
      </c>
      <c r="IBM28" s="234" t="e">
        <f>astrogrep_path&amp;" /e /r /s /spath="&amp;search_path&amp;" /stypes=""app*"&amp;IAI28&amp;"*"&amp;TEXT(IAP28-utc_offset/24,"YYYYMMDD")&amp;"*"" /stext="" "&amp;TEXT(IAP28-utc_offset/24,"HH")&amp;search_regexp&amp;""""</f>
        <v>#REF!</v>
      </c>
      <c r="IBN28" s="234" t="e">
        <f>astrogrep_path&amp;" /e /r /s /spath="&amp;search_path&amp;" /stypes=""app*"&amp;IAJ28&amp;"*"&amp;TEXT(IAQ28-utc_offset/24,"YYYYMMDD")&amp;"*"" /stext="" "&amp;TEXT(IAQ28-utc_offset/24,"HH")&amp;search_regexp&amp;""""</f>
        <v>#REF!</v>
      </c>
      <c r="IBO28" s="234" t="e">
        <f>astrogrep_path&amp;" /e /r /s /spath="&amp;search_path&amp;" /stypes=""app*"&amp;IAK28&amp;"*"&amp;TEXT(IAR28-utc_offset/24,"YYYYMMDD")&amp;"*"" /stext="" "&amp;TEXT(IAR28-utc_offset/24,"HH")&amp;search_regexp&amp;""""</f>
        <v>#VALUE!</v>
      </c>
      <c r="IBP28" s="234" t="e">
        <f>astrogrep_path&amp;" /e /r /s /spath="&amp;search_path&amp;" /stypes=""app*"&amp;IAL28&amp;"*"&amp;TEXT(IAS28-utc_offset/24,"YYYYMMDD")&amp;"*"" /stext="" "&amp;TEXT(IAS28-utc_offset/24,"HH")&amp;search_regexp&amp;""""</f>
        <v>#VALUE!</v>
      </c>
      <c r="IBQ28" s="234" t="e">
        <f>astrogrep_path&amp;" /e /r /s /spath="&amp;search_path&amp;" /stypes=""app*"&amp;IAM28&amp;"*"&amp;TEXT(IAT28-utc_offset/24,"YYYYMMDD")&amp;"*"" /stext="" "&amp;TEXT(IAT28-utc_offset/24,"HH")&amp;search_regexp&amp;""""</f>
        <v>#REF!</v>
      </c>
      <c r="IBR28" s="234" t="e">
        <f>astrogrep_path&amp;" /e /r /s /spath="&amp;search_path&amp;" /stypes=""app*"&amp;IAN28&amp;"*"&amp;TEXT(IAU28-utc_offset/24,"YYYYMMDD")&amp;"*"" /stext="" "&amp;TEXT(IAU28-utc_offset/24,"HH")&amp;search_regexp&amp;""""</f>
        <v>#REF!</v>
      </c>
      <c r="IBS28" s="234" t="e">
        <f>astrogrep_path&amp;" /e /r /s /spath="&amp;search_path&amp;" /stypes=""app*"&amp;IAO28&amp;"*"&amp;TEXT(IAV28-utc_offset/24,"YYYYMMDD")&amp;"*"" /stext="" "&amp;TEXT(IAV28-utc_offset/24,"HH")&amp;search_regexp&amp;""""</f>
        <v>#VALUE!</v>
      </c>
      <c r="IBT28" s="234" t="e">
        <f>astrogrep_path&amp;" /e /r /s /spath="&amp;search_path&amp;" /stypes=""app*"&amp;IAP28&amp;"*"&amp;TEXT(IAW28-utc_offset/24,"YYYYMMDD")&amp;"*"" /stext="" "&amp;TEXT(IAW28-utc_offset/24,"HH")&amp;search_regexp&amp;""""</f>
        <v>#VALUE!</v>
      </c>
      <c r="IBU28" s="234" t="e">
        <f>astrogrep_path&amp;" /e /r /s /spath="&amp;search_path&amp;" /stypes=""app*"&amp;IAQ28&amp;"*"&amp;TEXT(IAX28-utc_offset/24,"YYYYMMDD")&amp;"*"" /stext="" "&amp;TEXT(IAX28-utc_offset/24,"HH")&amp;search_regexp&amp;""""</f>
        <v>#VALUE!</v>
      </c>
      <c r="IBV28" s="234" t="e">
        <f>astrogrep_path&amp;" /e /r /s /spath="&amp;search_path&amp;" /stypes=""app*"&amp;IAR28&amp;"*"&amp;TEXT(IAY28-utc_offset/24,"YYYYMMDD")&amp;"*"" /stext="" "&amp;TEXT(IAY28-utc_offset/24,"HH")&amp;search_regexp&amp;""""</f>
        <v>#VALUE!</v>
      </c>
      <c r="IBW28" s="234" t="e">
        <f>astrogrep_path&amp;" /e /r /s /spath="&amp;search_path&amp;" /stypes=""app*"&amp;IAS28&amp;"*"&amp;TEXT(IAZ28-utc_offset/24,"YYYYMMDD")&amp;"*"" /stext="" "&amp;TEXT(IAZ28-utc_offset/24,"HH")&amp;search_regexp&amp;""""</f>
        <v>#VALUE!</v>
      </c>
      <c r="IBX28" s="234" t="e">
        <f>astrogrep_path&amp;" /e /r /s /spath="&amp;search_path&amp;" /stypes=""app*"&amp;IAT28&amp;"*"&amp;TEXT(IBA28-utc_offset/24,"YYYYMMDD")&amp;"*"" /stext="" "&amp;TEXT(IBA28-utc_offset/24,"HH")&amp;search_regexp&amp;""""</f>
        <v>#REF!</v>
      </c>
      <c r="IBY28" s="234" t="e">
        <f>astrogrep_path&amp;" /e /r /s /spath="&amp;search_path&amp;" /stypes=""app*"&amp;IAU28&amp;"*"&amp;TEXT(IBB28-utc_offset/24,"YYYYMMDD")&amp;"*"" /stext="" "&amp;TEXT(IBB28-utc_offset/24,"HH")&amp;search_regexp&amp;""""</f>
        <v>#REF!</v>
      </c>
      <c r="IBZ28" s="234" t="e">
        <f>astrogrep_path&amp;" /e /r /s /spath="&amp;search_path&amp;" /stypes=""app*"&amp;IAV28&amp;"*"&amp;TEXT(IBC28-utc_offset/24,"YYYYMMDD")&amp;"*"" /stext="" "&amp;TEXT(IBC28-utc_offset/24,"HH")&amp;search_regexp&amp;""""</f>
        <v>#REF!</v>
      </c>
      <c r="ICA28" s="234" t="e">
        <f>astrogrep_path&amp;" /e /r /s /spath="&amp;search_path&amp;" /stypes=""app*"&amp;IAW28&amp;"*"&amp;TEXT(IBD28-utc_offset/24,"YYYYMMDD")&amp;"*"" /stext="" "&amp;TEXT(IBD28-utc_offset/24,"HH")&amp;search_regexp&amp;""""</f>
        <v>#REF!</v>
      </c>
      <c r="ICB28" s="234" t="e">
        <f>astrogrep_path&amp;" /e /r /s /spath="&amp;search_path&amp;" /stypes=""app*"&amp;IAX28&amp;"*"&amp;TEXT(IBE28-utc_offset/24,"YYYYMMDD")&amp;"*"" /stext="" "&amp;TEXT(IBE28-utc_offset/24,"HH")&amp;search_regexp&amp;""""</f>
        <v>#REF!</v>
      </c>
      <c r="ICC28" s="234" t="e">
        <f>astrogrep_path&amp;" /e /r /s /spath="&amp;search_path&amp;" /stypes=""app*"&amp;IAY28&amp;"*"&amp;TEXT(IBF28-utc_offset/24,"YYYYMMDD")&amp;"*"" /stext="" "&amp;TEXT(IBF28-utc_offset/24,"HH")&amp;search_regexp&amp;""""</f>
        <v>#REF!</v>
      </c>
      <c r="ICD28" s="234" t="e">
        <f>astrogrep_path&amp;" /e /r /s /spath="&amp;search_path&amp;" /stypes=""app*"&amp;IAZ28&amp;"*"&amp;TEXT(IBG28-utc_offset/24,"YYYYMMDD")&amp;"*"" /stext="" "&amp;TEXT(IBG28-utc_offset/24,"HH")&amp;search_regexp&amp;""""</f>
        <v>#REF!</v>
      </c>
      <c r="ICE28" s="234" t="e">
        <f>astrogrep_path&amp;" /e /r /s /spath="&amp;search_path&amp;" /stypes=""app*"&amp;IBA28&amp;"*"&amp;TEXT(IBH28-utc_offset/24,"YYYYMMDD")&amp;"*"" /stext="" "&amp;TEXT(IBH28-utc_offset/24,"HH")&amp;search_regexp&amp;""""</f>
        <v>#REF!</v>
      </c>
      <c r="ICF28" s="234" t="e">
        <f>astrogrep_path&amp;" /e /r /s /spath="&amp;search_path&amp;" /stypes=""app*"&amp;IBB28&amp;"*"&amp;TEXT(IBI28-utc_offset/24,"YYYYMMDD")&amp;"*"" /stext="" "&amp;TEXT(IBI28-utc_offset/24,"HH")&amp;search_regexp&amp;""""</f>
        <v>#REF!</v>
      </c>
      <c r="ICG28" s="234" t="e">
        <f>astrogrep_path&amp;" /e /r /s /spath="&amp;search_path&amp;" /stypes=""app*"&amp;IBC28&amp;"*"&amp;TEXT(IBJ28-utc_offset/24,"YYYYMMDD")&amp;"*"" /stext="" "&amp;TEXT(IBJ28-utc_offset/24,"HH")&amp;search_regexp&amp;""""</f>
        <v>#REF!</v>
      </c>
      <c r="ICH28" s="234" t="e">
        <f>astrogrep_path&amp;" /e /r /s /spath="&amp;search_path&amp;" /stypes=""app*"&amp;IBD28&amp;"*"&amp;TEXT(IBK28-utc_offset/24,"YYYYMMDD")&amp;"*"" /stext="" "&amp;TEXT(IBK28-utc_offset/24,"HH")&amp;search_regexp&amp;""""</f>
        <v>#REF!</v>
      </c>
      <c r="ICI28" s="234" t="e">
        <f>astrogrep_path&amp;" /e /r /s /spath="&amp;search_path&amp;" /stypes=""app*"&amp;IBE28&amp;"*"&amp;TEXT(IBL28-utc_offset/24,"YYYYMMDD")&amp;"*"" /stext="" "&amp;TEXT(IBL28-utc_offset/24,"HH")&amp;search_regexp&amp;""""</f>
        <v>#REF!</v>
      </c>
      <c r="ICJ28" s="234" t="e">
        <f>astrogrep_path&amp;" /e /r /s /spath="&amp;search_path&amp;" /stypes=""app*"&amp;IBF28&amp;"*"&amp;TEXT(IBM28-utc_offset/24,"YYYYMMDD")&amp;"*"" /stext="" "&amp;TEXT(IBM28-utc_offset/24,"HH")&amp;search_regexp&amp;""""</f>
        <v>#REF!</v>
      </c>
      <c r="ICK28" s="234" t="e">
        <f>astrogrep_path&amp;" /e /r /s /spath="&amp;search_path&amp;" /stypes=""app*"&amp;IBG28&amp;"*"&amp;TEXT(IBN28-utc_offset/24,"YYYYMMDD")&amp;"*"" /stext="" "&amp;TEXT(IBN28-utc_offset/24,"HH")&amp;search_regexp&amp;""""</f>
        <v>#REF!</v>
      </c>
      <c r="ICL28" s="234" t="e">
        <f>astrogrep_path&amp;" /e /r /s /spath="&amp;search_path&amp;" /stypes=""app*"&amp;IBH28&amp;"*"&amp;TEXT(IBO28-utc_offset/24,"YYYYMMDD")&amp;"*"" /stext="" "&amp;TEXT(IBO28-utc_offset/24,"HH")&amp;search_regexp&amp;""""</f>
        <v>#REF!</v>
      </c>
      <c r="ICM28" s="234" t="e">
        <f>astrogrep_path&amp;" /e /r /s /spath="&amp;search_path&amp;" /stypes=""app*"&amp;IBI28&amp;"*"&amp;TEXT(IBP28-utc_offset/24,"YYYYMMDD")&amp;"*"" /stext="" "&amp;TEXT(IBP28-utc_offset/24,"HH")&amp;search_regexp&amp;""""</f>
        <v>#REF!</v>
      </c>
      <c r="ICN28" s="234" t="e">
        <f>astrogrep_path&amp;" /e /r /s /spath="&amp;search_path&amp;" /stypes=""app*"&amp;IBJ28&amp;"*"&amp;TEXT(IBQ28-utc_offset/24,"YYYYMMDD")&amp;"*"" /stext="" "&amp;TEXT(IBQ28-utc_offset/24,"HH")&amp;search_regexp&amp;""""</f>
        <v>#REF!</v>
      </c>
      <c r="ICO28" s="234" t="e">
        <f>astrogrep_path&amp;" /e /r /s /spath="&amp;search_path&amp;" /stypes=""app*"&amp;IBK28&amp;"*"&amp;TEXT(IBR28-utc_offset/24,"YYYYMMDD")&amp;"*"" /stext="" "&amp;TEXT(IBR28-utc_offset/24,"HH")&amp;search_regexp&amp;""""</f>
        <v>#REF!</v>
      </c>
      <c r="ICP28" s="234" t="e">
        <f>astrogrep_path&amp;" /e /r /s /spath="&amp;search_path&amp;" /stypes=""app*"&amp;IBL28&amp;"*"&amp;TEXT(IBS28-utc_offset/24,"YYYYMMDD")&amp;"*"" /stext="" "&amp;TEXT(IBS28-utc_offset/24,"HH")&amp;search_regexp&amp;""""</f>
        <v>#REF!</v>
      </c>
      <c r="ICQ28" s="234" t="e">
        <f>astrogrep_path&amp;" /e /r /s /spath="&amp;search_path&amp;" /stypes=""app*"&amp;IBM28&amp;"*"&amp;TEXT(IBT28-utc_offset/24,"YYYYMMDD")&amp;"*"" /stext="" "&amp;TEXT(IBT28-utc_offset/24,"HH")&amp;search_regexp&amp;""""</f>
        <v>#REF!</v>
      </c>
      <c r="ICR28" s="234" t="e">
        <f>astrogrep_path&amp;" /e /r /s /spath="&amp;search_path&amp;" /stypes=""app*"&amp;IBN28&amp;"*"&amp;TEXT(IBU28-utc_offset/24,"YYYYMMDD")&amp;"*"" /stext="" "&amp;TEXT(IBU28-utc_offset/24,"HH")&amp;search_regexp&amp;""""</f>
        <v>#REF!</v>
      </c>
      <c r="ICS28" s="234" t="e">
        <f>astrogrep_path&amp;" /e /r /s /spath="&amp;search_path&amp;" /stypes=""app*"&amp;IBO28&amp;"*"&amp;TEXT(IBV28-utc_offset/24,"YYYYMMDD")&amp;"*"" /stext="" "&amp;TEXT(IBV28-utc_offset/24,"HH")&amp;search_regexp&amp;""""</f>
        <v>#VALUE!</v>
      </c>
      <c r="ICT28" s="234" t="e">
        <f>astrogrep_path&amp;" /e /r /s /spath="&amp;search_path&amp;" /stypes=""app*"&amp;IBP28&amp;"*"&amp;TEXT(IBW28-utc_offset/24,"YYYYMMDD")&amp;"*"" /stext="" "&amp;TEXT(IBW28-utc_offset/24,"HH")&amp;search_regexp&amp;""""</f>
        <v>#VALUE!</v>
      </c>
      <c r="ICU28" s="234" t="e">
        <f>astrogrep_path&amp;" /e /r /s /spath="&amp;search_path&amp;" /stypes=""app*"&amp;IBQ28&amp;"*"&amp;TEXT(IBX28-utc_offset/24,"YYYYMMDD")&amp;"*"" /stext="" "&amp;TEXT(IBX28-utc_offset/24,"HH")&amp;search_regexp&amp;""""</f>
        <v>#REF!</v>
      </c>
      <c r="ICV28" s="234" t="e">
        <f>astrogrep_path&amp;" /e /r /s /spath="&amp;search_path&amp;" /stypes=""app*"&amp;IBR28&amp;"*"&amp;TEXT(IBY28-utc_offset/24,"YYYYMMDD")&amp;"*"" /stext="" "&amp;TEXT(IBY28-utc_offset/24,"HH")&amp;search_regexp&amp;""""</f>
        <v>#REF!</v>
      </c>
      <c r="ICW28" s="234" t="e">
        <f>astrogrep_path&amp;" /e /r /s /spath="&amp;search_path&amp;" /stypes=""app*"&amp;IBS28&amp;"*"&amp;TEXT(IBZ28-utc_offset/24,"YYYYMMDD")&amp;"*"" /stext="" "&amp;TEXT(IBZ28-utc_offset/24,"HH")&amp;search_regexp&amp;""""</f>
        <v>#VALUE!</v>
      </c>
      <c r="ICX28" s="234" t="e">
        <f>astrogrep_path&amp;" /e /r /s /spath="&amp;search_path&amp;" /stypes=""app*"&amp;IBT28&amp;"*"&amp;TEXT(ICA28-utc_offset/24,"YYYYMMDD")&amp;"*"" /stext="" "&amp;TEXT(ICA28-utc_offset/24,"HH")&amp;search_regexp&amp;""""</f>
        <v>#VALUE!</v>
      </c>
      <c r="ICY28" s="234" t="e">
        <f>astrogrep_path&amp;" /e /r /s /spath="&amp;search_path&amp;" /stypes=""app*"&amp;IBU28&amp;"*"&amp;TEXT(ICB28-utc_offset/24,"YYYYMMDD")&amp;"*"" /stext="" "&amp;TEXT(ICB28-utc_offset/24,"HH")&amp;search_regexp&amp;""""</f>
        <v>#VALUE!</v>
      </c>
      <c r="ICZ28" s="234" t="e">
        <f>astrogrep_path&amp;" /e /r /s /spath="&amp;search_path&amp;" /stypes=""app*"&amp;IBV28&amp;"*"&amp;TEXT(ICC28-utc_offset/24,"YYYYMMDD")&amp;"*"" /stext="" "&amp;TEXT(ICC28-utc_offset/24,"HH")&amp;search_regexp&amp;""""</f>
        <v>#VALUE!</v>
      </c>
      <c r="IDA28" s="234" t="e">
        <f>astrogrep_path&amp;" /e /r /s /spath="&amp;search_path&amp;" /stypes=""app*"&amp;IBW28&amp;"*"&amp;TEXT(ICD28-utc_offset/24,"YYYYMMDD")&amp;"*"" /stext="" "&amp;TEXT(ICD28-utc_offset/24,"HH")&amp;search_regexp&amp;""""</f>
        <v>#VALUE!</v>
      </c>
      <c r="IDB28" s="234" t="e">
        <f>astrogrep_path&amp;" /e /r /s /spath="&amp;search_path&amp;" /stypes=""app*"&amp;IBX28&amp;"*"&amp;TEXT(ICE28-utc_offset/24,"YYYYMMDD")&amp;"*"" /stext="" "&amp;TEXT(ICE28-utc_offset/24,"HH")&amp;search_regexp&amp;""""</f>
        <v>#REF!</v>
      </c>
      <c r="IDC28" s="234" t="e">
        <f>astrogrep_path&amp;" /e /r /s /spath="&amp;search_path&amp;" /stypes=""app*"&amp;IBY28&amp;"*"&amp;TEXT(ICF28-utc_offset/24,"YYYYMMDD")&amp;"*"" /stext="" "&amp;TEXT(ICF28-utc_offset/24,"HH")&amp;search_regexp&amp;""""</f>
        <v>#REF!</v>
      </c>
      <c r="IDD28" s="234" t="e">
        <f>astrogrep_path&amp;" /e /r /s /spath="&amp;search_path&amp;" /stypes=""app*"&amp;IBZ28&amp;"*"&amp;TEXT(ICG28-utc_offset/24,"YYYYMMDD")&amp;"*"" /stext="" "&amp;TEXT(ICG28-utc_offset/24,"HH")&amp;search_regexp&amp;""""</f>
        <v>#REF!</v>
      </c>
      <c r="IDE28" s="234" t="e">
        <f>astrogrep_path&amp;" /e /r /s /spath="&amp;search_path&amp;" /stypes=""app*"&amp;ICA28&amp;"*"&amp;TEXT(ICH28-utc_offset/24,"YYYYMMDD")&amp;"*"" /stext="" "&amp;TEXT(ICH28-utc_offset/24,"HH")&amp;search_regexp&amp;""""</f>
        <v>#REF!</v>
      </c>
      <c r="IDF28" s="234" t="e">
        <f>astrogrep_path&amp;" /e /r /s /spath="&amp;search_path&amp;" /stypes=""app*"&amp;ICB28&amp;"*"&amp;TEXT(ICI28-utc_offset/24,"YYYYMMDD")&amp;"*"" /stext="" "&amp;TEXT(ICI28-utc_offset/24,"HH")&amp;search_regexp&amp;""""</f>
        <v>#REF!</v>
      </c>
      <c r="IDG28" s="234" t="e">
        <f>astrogrep_path&amp;" /e /r /s /spath="&amp;search_path&amp;" /stypes=""app*"&amp;ICC28&amp;"*"&amp;TEXT(ICJ28-utc_offset/24,"YYYYMMDD")&amp;"*"" /stext="" "&amp;TEXT(ICJ28-utc_offset/24,"HH")&amp;search_regexp&amp;""""</f>
        <v>#REF!</v>
      </c>
      <c r="IDH28" s="234" t="e">
        <f>astrogrep_path&amp;" /e /r /s /spath="&amp;search_path&amp;" /stypes=""app*"&amp;ICD28&amp;"*"&amp;TEXT(ICK28-utc_offset/24,"YYYYMMDD")&amp;"*"" /stext="" "&amp;TEXT(ICK28-utc_offset/24,"HH")&amp;search_regexp&amp;""""</f>
        <v>#REF!</v>
      </c>
      <c r="IDI28" s="234" t="e">
        <f>astrogrep_path&amp;" /e /r /s /spath="&amp;search_path&amp;" /stypes=""app*"&amp;ICE28&amp;"*"&amp;TEXT(ICL28-utc_offset/24,"YYYYMMDD")&amp;"*"" /stext="" "&amp;TEXT(ICL28-utc_offset/24,"HH")&amp;search_regexp&amp;""""</f>
        <v>#REF!</v>
      </c>
      <c r="IDJ28" s="234" t="e">
        <f>astrogrep_path&amp;" /e /r /s /spath="&amp;search_path&amp;" /stypes=""app*"&amp;ICF28&amp;"*"&amp;TEXT(ICM28-utc_offset/24,"YYYYMMDD")&amp;"*"" /stext="" "&amp;TEXT(ICM28-utc_offset/24,"HH")&amp;search_regexp&amp;""""</f>
        <v>#REF!</v>
      </c>
      <c r="IDK28" s="234" t="e">
        <f>astrogrep_path&amp;" /e /r /s /spath="&amp;search_path&amp;" /stypes=""app*"&amp;ICG28&amp;"*"&amp;TEXT(ICN28-utc_offset/24,"YYYYMMDD")&amp;"*"" /stext="" "&amp;TEXT(ICN28-utc_offset/24,"HH")&amp;search_regexp&amp;""""</f>
        <v>#REF!</v>
      </c>
      <c r="IDL28" s="234" t="e">
        <f>astrogrep_path&amp;" /e /r /s /spath="&amp;search_path&amp;" /stypes=""app*"&amp;ICH28&amp;"*"&amp;TEXT(ICO28-utc_offset/24,"YYYYMMDD")&amp;"*"" /stext="" "&amp;TEXT(ICO28-utc_offset/24,"HH")&amp;search_regexp&amp;""""</f>
        <v>#REF!</v>
      </c>
      <c r="IDM28" s="234" t="e">
        <f>astrogrep_path&amp;" /e /r /s /spath="&amp;search_path&amp;" /stypes=""app*"&amp;ICI28&amp;"*"&amp;TEXT(ICP28-utc_offset/24,"YYYYMMDD")&amp;"*"" /stext="" "&amp;TEXT(ICP28-utc_offset/24,"HH")&amp;search_regexp&amp;""""</f>
        <v>#REF!</v>
      </c>
      <c r="IDN28" s="234" t="e">
        <f>astrogrep_path&amp;" /e /r /s /spath="&amp;search_path&amp;" /stypes=""app*"&amp;ICJ28&amp;"*"&amp;TEXT(ICQ28-utc_offset/24,"YYYYMMDD")&amp;"*"" /stext="" "&amp;TEXT(ICQ28-utc_offset/24,"HH")&amp;search_regexp&amp;""""</f>
        <v>#REF!</v>
      </c>
      <c r="IDO28" s="234" t="e">
        <f>astrogrep_path&amp;" /e /r /s /spath="&amp;search_path&amp;" /stypes=""app*"&amp;ICK28&amp;"*"&amp;TEXT(ICR28-utc_offset/24,"YYYYMMDD")&amp;"*"" /stext="" "&amp;TEXT(ICR28-utc_offset/24,"HH")&amp;search_regexp&amp;""""</f>
        <v>#REF!</v>
      </c>
      <c r="IDP28" s="234" t="e">
        <f>astrogrep_path&amp;" /e /r /s /spath="&amp;search_path&amp;" /stypes=""app*"&amp;ICL28&amp;"*"&amp;TEXT(ICS28-utc_offset/24,"YYYYMMDD")&amp;"*"" /stext="" "&amp;TEXT(ICS28-utc_offset/24,"HH")&amp;search_regexp&amp;""""</f>
        <v>#REF!</v>
      </c>
      <c r="IDQ28" s="234" t="e">
        <f>astrogrep_path&amp;" /e /r /s /spath="&amp;search_path&amp;" /stypes=""app*"&amp;ICM28&amp;"*"&amp;TEXT(ICT28-utc_offset/24,"YYYYMMDD")&amp;"*"" /stext="" "&amp;TEXT(ICT28-utc_offset/24,"HH")&amp;search_regexp&amp;""""</f>
        <v>#REF!</v>
      </c>
      <c r="IDR28" s="234" t="e">
        <f>astrogrep_path&amp;" /e /r /s /spath="&amp;search_path&amp;" /stypes=""app*"&amp;ICN28&amp;"*"&amp;TEXT(ICU28-utc_offset/24,"YYYYMMDD")&amp;"*"" /stext="" "&amp;TEXT(ICU28-utc_offset/24,"HH")&amp;search_regexp&amp;""""</f>
        <v>#REF!</v>
      </c>
      <c r="IDS28" s="234" t="e">
        <f>astrogrep_path&amp;" /e /r /s /spath="&amp;search_path&amp;" /stypes=""app*"&amp;ICO28&amp;"*"&amp;TEXT(ICV28-utc_offset/24,"YYYYMMDD")&amp;"*"" /stext="" "&amp;TEXT(ICV28-utc_offset/24,"HH")&amp;search_regexp&amp;""""</f>
        <v>#REF!</v>
      </c>
      <c r="IDT28" s="234" t="e">
        <f>astrogrep_path&amp;" /e /r /s /spath="&amp;search_path&amp;" /stypes=""app*"&amp;ICP28&amp;"*"&amp;TEXT(ICW28-utc_offset/24,"YYYYMMDD")&amp;"*"" /stext="" "&amp;TEXT(ICW28-utc_offset/24,"HH")&amp;search_regexp&amp;""""</f>
        <v>#REF!</v>
      </c>
      <c r="IDU28" s="234" t="e">
        <f>astrogrep_path&amp;" /e /r /s /spath="&amp;search_path&amp;" /stypes=""app*"&amp;ICQ28&amp;"*"&amp;TEXT(ICX28-utc_offset/24,"YYYYMMDD")&amp;"*"" /stext="" "&amp;TEXT(ICX28-utc_offset/24,"HH")&amp;search_regexp&amp;""""</f>
        <v>#REF!</v>
      </c>
      <c r="IDV28" s="234" t="e">
        <f>astrogrep_path&amp;" /e /r /s /spath="&amp;search_path&amp;" /stypes=""app*"&amp;ICR28&amp;"*"&amp;TEXT(ICY28-utc_offset/24,"YYYYMMDD")&amp;"*"" /stext="" "&amp;TEXT(ICY28-utc_offset/24,"HH")&amp;search_regexp&amp;""""</f>
        <v>#REF!</v>
      </c>
      <c r="IDW28" s="234" t="e">
        <f>astrogrep_path&amp;" /e /r /s /spath="&amp;search_path&amp;" /stypes=""app*"&amp;ICS28&amp;"*"&amp;TEXT(ICZ28-utc_offset/24,"YYYYMMDD")&amp;"*"" /stext="" "&amp;TEXT(ICZ28-utc_offset/24,"HH")&amp;search_regexp&amp;""""</f>
        <v>#VALUE!</v>
      </c>
      <c r="IDX28" s="234" t="e">
        <f>astrogrep_path&amp;" /e /r /s /spath="&amp;search_path&amp;" /stypes=""app*"&amp;ICT28&amp;"*"&amp;TEXT(IDA28-utc_offset/24,"YYYYMMDD")&amp;"*"" /stext="" "&amp;TEXT(IDA28-utc_offset/24,"HH")&amp;search_regexp&amp;""""</f>
        <v>#VALUE!</v>
      </c>
      <c r="IDY28" s="234" t="e">
        <f>astrogrep_path&amp;" /e /r /s /spath="&amp;search_path&amp;" /stypes=""app*"&amp;ICU28&amp;"*"&amp;TEXT(IDB28-utc_offset/24,"YYYYMMDD")&amp;"*"" /stext="" "&amp;TEXT(IDB28-utc_offset/24,"HH")&amp;search_regexp&amp;""""</f>
        <v>#REF!</v>
      </c>
      <c r="IDZ28" s="234" t="e">
        <f>astrogrep_path&amp;" /e /r /s /spath="&amp;search_path&amp;" /stypes=""app*"&amp;ICV28&amp;"*"&amp;TEXT(IDC28-utc_offset/24,"YYYYMMDD")&amp;"*"" /stext="" "&amp;TEXT(IDC28-utc_offset/24,"HH")&amp;search_regexp&amp;""""</f>
        <v>#REF!</v>
      </c>
      <c r="IEA28" s="234" t="e">
        <f>astrogrep_path&amp;" /e /r /s /spath="&amp;search_path&amp;" /stypes=""app*"&amp;ICW28&amp;"*"&amp;TEXT(IDD28-utc_offset/24,"YYYYMMDD")&amp;"*"" /stext="" "&amp;TEXT(IDD28-utc_offset/24,"HH")&amp;search_regexp&amp;""""</f>
        <v>#VALUE!</v>
      </c>
      <c r="IEB28" s="234" t="e">
        <f>astrogrep_path&amp;" /e /r /s /spath="&amp;search_path&amp;" /stypes=""app*"&amp;ICX28&amp;"*"&amp;TEXT(IDE28-utc_offset/24,"YYYYMMDD")&amp;"*"" /stext="" "&amp;TEXT(IDE28-utc_offset/24,"HH")&amp;search_regexp&amp;""""</f>
        <v>#VALUE!</v>
      </c>
      <c r="IEC28" s="234" t="e">
        <f>astrogrep_path&amp;" /e /r /s /spath="&amp;search_path&amp;" /stypes=""app*"&amp;ICY28&amp;"*"&amp;TEXT(IDF28-utc_offset/24,"YYYYMMDD")&amp;"*"" /stext="" "&amp;TEXT(IDF28-utc_offset/24,"HH")&amp;search_regexp&amp;""""</f>
        <v>#VALUE!</v>
      </c>
      <c r="IED28" s="234" t="e">
        <f>astrogrep_path&amp;" /e /r /s /spath="&amp;search_path&amp;" /stypes=""app*"&amp;ICZ28&amp;"*"&amp;TEXT(IDG28-utc_offset/24,"YYYYMMDD")&amp;"*"" /stext="" "&amp;TEXT(IDG28-utc_offset/24,"HH")&amp;search_regexp&amp;""""</f>
        <v>#VALUE!</v>
      </c>
      <c r="IEE28" s="234" t="e">
        <f>astrogrep_path&amp;" /e /r /s /spath="&amp;search_path&amp;" /stypes=""app*"&amp;IDA28&amp;"*"&amp;TEXT(IDH28-utc_offset/24,"YYYYMMDD")&amp;"*"" /stext="" "&amp;TEXT(IDH28-utc_offset/24,"HH")&amp;search_regexp&amp;""""</f>
        <v>#VALUE!</v>
      </c>
      <c r="IEF28" s="234" t="e">
        <f>astrogrep_path&amp;" /e /r /s /spath="&amp;search_path&amp;" /stypes=""app*"&amp;IDB28&amp;"*"&amp;TEXT(IDI28-utc_offset/24,"YYYYMMDD")&amp;"*"" /stext="" "&amp;TEXT(IDI28-utc_offset/24,"HH")&amp;search_regexp&amp;""""</f>
        <v>#REF!</v>
      </c>
      <c r="IEG28" s="234" t="e">
        <f>astrogrep_path&amp;" /e /r /s /spath="&amp;search_path&amp;" /stypes=""app*"&amp;IDC28&amp;"*"&amp;TEXT(IDJ28-utc_offset/24,"YYYYMMDD")&amp;"*"" /stext="" "&amp;TEXT(IDJ28-utc_offset/24,"HH")&amp;search_regexp&amp;""""</f>
        <v>#REF!</v>
      </c>
      <c r="IEH28" s="234" t="e">
        <f>astrogrep_path&amp;" /e /r /s /spath="&amp;search_path&amp;" /stypes=""app*"&amp;IDD28&amp;"*"&amp;TEXT(IDK28-utc_offset/24,"YYYYMMDD")&amp;"*"" /stext="" "&amp;TEXT(IDK28-utc_offset/24,"HH")&amp;search_regexp&amp;""""</f>
        <v>#REF!</v>
      </c>
      <c r="IEI28" s="234" t="e">
        <f>astrogrep_path&amp;" /e /r /s /spath="&amp;search_path&amp;" /stypes=""app*"&amp;IDE28&amp;"*"&amp;TEXT(IDL28-utc_offset/24,"YYYYMMDD")&amp;"*"" /stext="" "&amp;TEXT(IDL28-utc_offset/24,"HH")&amp;search_regexp&amp;""""</f>
        <v>#REF!</v>
      </c>
      <c r="IEJ28" s="234" t="e">
        <f>astrogrep_path&amp;" /e /r /s /spath="&amp;search_path&amp;" /stypes=""app*"&amp;IDF28&amp;"*"&amp;TEXT(IDM28-utc_offset/24,"YYYYMMDD")&amp;"*"" /stext="" "&amp;TEXT(IDM28-utc_offset/24,"HH")&amp;search_regexp&amp;""""</f>
        <v>#REF!</v>
      </c>
      <c r="IEK28" s="234" t="e">
        <f>astrogrep_path&amp;" /e /r /s /spath="&amp;search_path&amp;" /stypes=""app*"&amp;IDG28&amp;"*"&amp;TEXT(IDN28-utc_offset/24,"YYYYMMDD")&amp;"*"" /stext="" "&amp;TEXT(IDN28-utc_offset/24,"HH")&amp;search_regexp&amp;""""</f>
        <v>#REF!</v>
      </c>
      <c r="IEL28" s="234" t="e">
        <f>astrogrep_path&amp;" /e /r /s /spath="&amp;search_path&amp;" /stypes=""app*"&amp;IDH28&amp;"*"&amp;TEXT(IDO28-utc_offset/24,"YYYYMMDD")&amp;"*"" /stext="" "&amp;TEXT(IDO28-utc_offset/24,"HH")&amp;search_regexp&amp;""""</f>
        <v>#REF!</v>
      </c>
      <c r="IEM28" s="234" t="e">
        <f>astrogrep_path&amp;" /e /r /s /spath="&amp;search_path&amp;" /stypes=""app*"&amp;IDI28&amp;"*"&amp;TEXT(IDP28-utc_offset/24,"YYYYMMDD")&amp;"*"" /stext="" "&amp;TEXT(IDP28-utc_offset/24,"HH")&amp;search_regexp&amp;""""</f>
        <v>#REF!</v>
      </c>
      <c r="IEN28" s="234" t="e">
        <f>astrogrep_path&amp;" /e /r /s /spath="&amp;search_path&amp;" /stypes=""app*"&amp;IDJ28&amp;"*"&amp;TEXT(IDQ28-utc_offset/24,"YYYYMMDD")&amp;"*"" /stext="" "&amp;TEXT(IDQ28-utc_offset/24,"HH")&amp;search_regexp&amp;""""</f>
        <v>#REF!</v>
      </c>
      <c r="IEO28" s="234" t="e">
        <f>astrogrep_path&amp;" /e /r /s /spath="&amp;search_path&amp;" /stypes=""app*"&amp;IDK28&amp;"*"&amp;TEXT(IDR28-utc_offset/24,"YYYYMMDD")&amp;"*"" /stext="" "&amp;TEXT(IDR28-utc_offset/24,"HH")&amp;search_regexp&amp;""""</f>
        <v>#REF!</v>
      </c>
      <c r="IEP28" s="234" t="e">
        <f>astrogrep_path&amp;" /e /r /s /spath="&amp;search_path&amp;" /stypes=""app*"&amp;IDL28&amp;"*"&amp;TEXT(IDS28-utc_offset/24,"YYYYMMDD")&amp;"*"" /stext="" "&amp;TEXT(IDS28-utc_offset/24,"HH")&amp;search_regexp&amp;""""</f>
        <v>#REF!</v>
      </c>
      <c r="IEQ28" s="234" t="e">
        <f>astrogrep_path&amp;" /e /r /s /spath="&amp;search_path&amp;" /stypes=""app*"&amp;IDM28&amp;"*"&amp;TEXT(IDT28-utc_offset/24,"YYYYMMDD")&amp;"*"" /stext="" "&amp;TEXT(IDT28-utc_offset/24,"HH")&amp;search_regexp&amp;""""</f>
        <v>#REF!</v>
      </c>
      <c r="IER28" s="234" t="e">
        <f>astrogrep_path&amp;" /e /r /s /spath="&amp;search_path&amp;" /stypes=""app*"&amp;IDN28&amp;"*"&amp;TEXT(IDU28-utc_offset/24,"YYYYMMDD")&amp;"*"" /stext="" "&amp;TEXT(IDU28-utc_offset/24,"HH")&amp;search_regexp&amp;""""</f>
        <v>#REF!</v>
      </c>
      <c r="IES28" s="234" t="e">
        <f>astrogrep_path&amp;" /e /r /s /spath="&amp;search_path&amp;" /stypes=""app*"&amp;IDO28&amp;"*"&amp;TEXT(IDV28-utc_offset/24,"YYYYMMDD")&amp;"*"" /stext="" "&amp;TEXT(IDV28-utc_offset/24,"HH")&amp;search_regexp&amp;""""</f>
        <v>#REF!</v>
      </c>
      <c r="IET28" s="234" t="e">
        <f>astrogrep_path&amp;" /e /r /s /spath="&amp;search_path&amp;" /stypes=""app*"&amp;IDP28&amp;"*"&amp;TEXT(IDW28-utc_offset/24,"YYYYMMDD")&amp;"*"" /stext="" "&amp;TEXT(IDW28-utc_offset/24,"HH")&amp;search_regexp&amp;""""</f>
        <v>#REF!</v>
      </c>
      <c r="IEU28" s="234" t="e">
        <f>astrogrep_path&amp;" /e /r /s /spath="&amp;search_path&amp;" /stypes=""app*"&amp;IDQ28&amp;"*"&amp;TEXT(IDX28-utc_offset/24,"YYYYMMDD")&amp;"*"" /stext="" "&amp;TEXT(IDX28-utc_offset/24,"HH")&amp;search_regexp&amp;""""</f>
        <v>#REF!</v>
      </c>
      <c r="IEV28" s="234" t="e">
        <f>astrogrep_path&amp;" /e /r /s /spath="&amp;search_path&amp;" /stypes=""app*"&amp;IDR28&amp;"*"&amp;TEXT(IDY28-utc_offset/24,"YYYYMMDD")&amp;"*"" /stext="" "&amp;TEXT(IDY28-utc_offset/24,"HH")&amp;search_regexp&amp;""""</f>
        <v>#REF!</v>
      </c>
      <c r="IEW28" s="234" t="e">
        <f>astrogrep_path&amp;" /e /r /s /spath="&amp;search_path&amp;" /stypes=""app*"&amp;IDS28&amp;"*"&amp;TEXT(IDZ28-utc_offset/24,"YYYYMMDD")&amp;"*"" /stext="" "&amp;TEXT(IDZ28-utc_offset/24,"HH")&amp;search_regexp&amp;""""</f>
        <v>#REF!</v>
      </c>
      <c r="IEX28" s="234" t="e">
        <f>astrogrep_path&amp;" /e /r /s /spath="&amp;search_path&amp;" /stypes=""app*"&amp;IDT28&amp;"*"&amp;TEXT(IEA28-utc_offset/24,"YYYYMMDD")&amp;"*"" /stext="" "&amp;TEXT(IEA28-utc_offset/24,"HH")&amp;search_regexp&amp;""""</f>
        <v>#REF!</v>
      </c>
      <c r="IEY28" s="234" t="e">
        <f>astrogrep_path&amp;" /e /r /s /spath="&amp;search_path&amp;" /stypes=""app*"&amp;IDU28&amp;"*"&amp;TEXT(IEB28-utc_offset/24,"YYYYMMDD")&amp;"*"" /stext="" "&amp;TEXT(IEB28-utc_offset/24,"HH")&amp;search_regexp&amp;""""</f>
        <v>#REF!</v>
      </c>
      <c r="IEZ28" s="234" t="e">
        <f>astrogrep_path&amp;" /e /r /s /spath="&amp;search_path&amp;" /stypes=""app*"&amp;IDV28&amp;"*"&amp;TEXT(IEC28-utc_offset/24,"YYYYMMDD")&amp;"*"" /stext="" "&amp;TEXT(IEC28-utc_offset/24,"HH")&amp;search_regexp&amp;""""</f>
        <v>#REF!</v>
      </c>
      <c r="IFA28" s="234" t="e">
        <f>astrogrep_path&amp;" /e /r /s /spath="&amp;search_path&amp;" /stypes=""app*"&amp;IDW28&amp;"*"&amp;TEXT(IED28-utc_offset/24,"YYYYMMDD")&amp;"*"" /stext="" "&amp;TEXT(IED28-utc_offset/24,"HH")&amp;search_regexp&amp;""""</f>
        <v>#VALUE!</v>
      </c>
      <c r="IFB28" s="234" t="e">
        <f>astrogrep_path&amp;" /e /r /s /spath="&amp;search_path&amp;" /stypes=""app*"&amp;IDX28&amp;"*"&amp;TEXT(IEE28-utc_offset/24,"YYYYMMDD")&amp;"*"" /stext="" "&amp;TEXT(IEE28-utc_offset/24,"HH")&amp;search_regexp&amp;""""</f>
        <v>#VALUE!</v>
      </c>
      <c r="IFC28" s="234" t="e">
        <f>astrogrep_path&amp;" /e /r /s /spath="&amp;search_path&amp;" /stypes=""app*"&amp;IDY28&amp;"*"&amp;TEXT(IEF28-utc_offset/24,"YYYYMMDD")&amp;"*"" /stext="" "&amp;TEXT(IEF28-utc_offset/24,"HH")&amp;search_regexp&amp;""""</f>
        <v>#REF!</v>
      </c>
      <c r="IFD28" s="234" t="e">
        <f>astrogrep_path&amp;" /e /r /s /spath="&amp;search_path&amp;" /stypes=""app*"&amp;IDZ28&amp;"*"&amp;TEXT(IEG28-utc_offset/24,"YYYYMMDD")&amp;"*"" /stext="" "&amp;TEXT(IEG28-utc_offset/24,"HH")&amp;search_regexp&amp;""""</f>
        <v>#REF!</v>
      </c>
      <c r="IFE28" s="234" t="e">
        <f>astrogrep_path&amp;" /e /r /s /spath="&amp;search_path&amp;" /stypes=""app*"&amp;IEA28&amp;"*"&amp;TEXT(IEH28-utc_offset/24,"YYYYMMDD")&amp;"*"" /stext="" "&amp;TEXT(IEH28-utc_offset/24,"HH")&amp;search_regexp&amp;""""</f>
        <v>#VALUE!</v>
      </c>
      <c r="IFF28" s="234" t="e">
        <f>astrogrep_path&amp;" /e /r /s /spath="&amp;search_path&amp;" /stypes=""app*"&amp;IEB28&amp;"*"&amp;TEXT(IEI28-utc_offset/24,"YYYYMMDD")&amp;"*"" /stext="" "&amp;TEXT(IEI28-utc_offset/24,"HH")&amp;search_regexp&amp;""""</f>
        <v>#VALUE!</v>
      </c>
      <c r="IFG28" s="234" t="e">
        <f>astrogrep_path&amp;" /e /r /s /spath="&amp;search_path&amp;" /stypes=""app*"&amp;IEC28&amp;"*"&amp;TEXT(IEJ28-utc_offset/24,"YYYYMMDD")&amp;"*"" /stext="" "&amp;TEXT(IEJ28-utc_offset/24,"HH")&amp;search_regexp&amp;""""</f>
        <v>#VALUE!</v>
      </c>
      <c r="IFH28" s="234" t="e">
        <f>astrogrep_path&amp;" /e /r /s /spath="&amp;search_path&amp;" /stypes=""app*"&amp;IED28&amp;"*"&amp;TEXT(IEK28-utc_offset/24,"YYYYMMDD")&amp;"*"" /stext="" "&amp;TEXT(IEK28-utc_offset/24,"HH")&amp;search_regexp&amp;""""</f>
        <v>#VALUE!</v>
      </c>
      <c r="IFI28" s="234" t="e">
        <f>astrogrep_path&amp;" /e /r /s /spath="&amp;search_path&amp;" /stypes=""app*"&amp;IEE28&amp;"*"&amp;TEXT(IEL28-utc_offset/24,"YYYYMMDD")&amp;"*"" /stext="" "&amp;TEXT(IEL28-utc_offset/24,"HH")&amp;search_regexp&amp;""""</f>
        <v>#VALUE!</v>
      </c>
      <c r="IFJ28" s="234" t="e">
        <f>astrogrep_path&amp;" /e /r /s /spath="&amp;search_path&amp;" /stypes=""app*"&amp;IEF28&amp;"*"&amp;TEXT(IEM28-utc_offset/24,"YYYYMMDD")&amp;"*"" /stext="" "&amp;TEXT(IEM28-utc_offset/24,"HH")&amp;search_regexp&amp;""""</f>
        <v>#REF!</v>
      </c>
      <c r="IFK28" s="234" t="e">
        <f>astrogrep_path&amp;" /e /r /s /spath="&amp;search_path&amp;" /stypes=""app*"&amp;IEG28&amp;"*"&amp;TEXT(IEN28-utc_offset/24,"YYYYMMDD")&amp;"*"" /stext="" "&amp;TEXT(IEN28-utc_offset/24,"HH")&amp;search_regexp&amp;""""</f>
        <v>#REF!</v>
      </c>
      <c r="IFL28" s="234" t="e">
        <f>astrogrep_path&amp;" /e /r /s /spath="&amp;search_path&amp;" /stypes=""app*"&amp;IEH28&amp;"*"&amp;TEXT(IEO28-utc_offset/24,"YYYYMMDD")&amp;"*"" /stext="" "&amp;TEXT(IEO28-utc_offset/24,"HH")&amp;search_regexp&amp;""""</f>
        <v>#REF!</v>
      </c>
      <c r="IFM28" s="234" t="e">
        <f>astrogrep_path&amp;" /e /r /s /spath="&amp;search_path&amp;" /stypes=""app*"&amp;IEI28&amp;"*"&amp;TEXT(IEP28-utc_offset/24,"YYYYMMDD")&amp;"*"" /stext="" "&amp;TEXT(IEP28-utc_offset/24,"HH")&amp;search_regexp&amp;""""</f>
        <v>#REF!</v>
      </c>
      <c r="IFN28" s="234" t="e">
        <f>astrogrep_path&amp;" /e /r /s /spath="&amp;search_path&amp;" /stypes=""app*"&amp;IEJ28&amp;"*"&amp;TEXT(IEQ28-utc_offset/24,"YYYYMMDD")&amp;"*"" /stext="" "&amp;TEXT(IEQ28-utc_offset/24,"HH")&amp;search_regexp&amp;""""</f>
        <v>#REF!</v>
      </c>
      <c r="IFO28" s="234" t="e">
        <f>astrogrep_path&amp;" /e /r /s /spath="&amp;search_path&amp;" /stypes=""app*"&amp;IEK28&amp;"*"&amp;TEXT(IER28-utc_offset/24,"YYYYMMDD")&amp;"*"" /stext="" "&amp;TEXT(IER28-utc_offset/24,"HH")&amp;search_regexp&amp;""""</f>
        <v>#REF!</v>
      </c>
      <c r="IFP28" s="234" t="e">
        <f>astrogrep_path&amp;" /e /r /s /spath="&amp;search_path&amp;" /stypes=""app*"&amp;IEL28&amp;"*"&amp;TEXT(IES28-utc_offset/24,"YYYYMMDD")&amp;"*"" /stext="" "&amp;TEXT(IES28-utc_offset/24,"HH")&amp;search_regexp&amp;""""</f>
        <v>#REF!</v>
      </c>
      <c r="IFQ28" s="234" t="e">
        <f>astrogrep_path&amp;" /e /r /s /spath="&amp;search_path&amp;" /stypes=""app*"&amp;IEM28&amp;"*"&amp;TEXT(IET28-utc_offset/24,"YYYYMMDD")&amp;"*"" /stext="" "&amp;TEXT(IET28-utc_offset/24,"HH")&amp;search_regexp&amp;""""</f>
        <v>#REF!</v>
      </c>
      <c r="IFR28" s="234" t="e">
        <f>astrogrep_path&amp;" /e /r /s /spath="&amp;search_path&amp;" /stypes=""app*"&amp;IEN28&amp;"*"&amp;TEXT(IEU28-utc_offset/24,"YYYYMMDD")&amp;"*"" /stext="" "&amp;TEXT(IEU28-utc_offset/24,"HH")&amp;search_regexp&amp;""""</f>
        <v>#REF!</v>
      </c>
      <c r="IFS28" s="234" t="e">
        <f>astrogrep_path&amp;" /e /r /s /spath="&amp;search_path&amp;" /stypes=""app*"&amp;IEO28&amp;"*"&amp;TEXT(IEV28-utc_offset/24,"YYYYMMDD")&amp;"*"" /stext="" "&amp;TEXT(IEV28-utc_offset/24,"HH")&amp;search_regexp&amp;""""</f>
        <v>#REF!</v>
      </c>
      <c r="IFT28" s="234" t="e">
        <f>astrogrep_path&amp;" /e /r /s /spath="&amp;search_path&amp;" /stypes=""app*"&amp;IEP28&amp;"*"&amp;TEXT(IEW28-utc_offset/24,"YYYYMMDD")&amp;"*"" /stext="" "&amp;TEXT(IEW28-utc_offset/24,"HH")&amp;search_regexp&amp;""""</f>
        <v>#REF!</v>
      </c>
      <c r="IFU28" s="234" t="e">
        <f>astrogrep_path&amp;" /e /r /s /spath="&amp;search_path&amp;" /stypes=""app*"&amp;IEQ28&amp;"*"&amp;TEXT(IEX28-utc_offset/24,"YYYYMMDD")&amp;"*"" /stext="" "&amp;TEXT(IEX28-utc_offset/24,"HH")&amp;search_regexp&amp;""""</f>
        <v>#REF!</v>
      </c>
      <c r="IFV28" s="234" t="e">
        <f>astrogrep_path&amp;" /e /r /s /spath="&amp;search_path&amp;" /stypes=""app*"&amp;IER28&amp;"*"&amp;TEXT(IEY28-utc_offset/24,"YYYYMMDD")&amp;"*"" /stext="" "&amp;TEXT(IEY28-utc_offset/24,"HH")&amp;search_regexp&amp;""""</f>
        <v>#REF!</v>
      </c>
      <c r="IFW28" s="234" t="e">
        <f>astrogrep_path&amp;" /e /r /s /spath="&amp;search_path&amp;" /stypes=""app*"&amp;IES28&amp;"*"&amp;TEXT(IEZ28-utc_offset/24,"YYYYMMDD")&amp;"*"" /stext="" "&amp;TEXT(IEZ28-utc_offset/24,"HH")&amp;search_regexp&amp;""""</f>
        <v>#REF!</v>
      </c>
      <c r="IFX28" s="234" t="e">
        <f>astrogrep_path&amp;" /e /r /s /spath="&amp;search_path&amp;" /stypes=""app*"&amp;IET28&amp;"*"&amp;TEXT(IFA28-utc_offset/24,"YYYYMMDD")&amp;"*"" /stext="" "&amp;TEXT(IFA28-utc_offset/24,"HH")&amp;search_regexp&amp;""""</f>
        <v>#REF!</v>
      </c>
      <c r="IFY28" s="234" t="e">
        <f>astrogrep_path&amp;" /e /r /s /spath="&amp;search_path&amp;" /stypes=""app*"&amp;IEU28&amp;"*"&amp;TEXT(IFB28-utc_offset/24,"YYYYMMDD")&amp;"*"" /stext="" "&amp;TEXT(IFB28-utc_offset/24,"HH")&amp;search_regexp&amp;""""</f>
        <v>#REF!</v>
      </c>
      <c r="IFZ28" s="234" t="e">
        <f>astrogrep_path&amp;" /e /r /s /spath="&amp;search_path&amp;" /stypes=""app*"&amp;IEV28&amp;"*"&amp;TEXT(IFC28-utc_offset/24,"YYYYMMDD")&amp;"*"" /stext="" "&amp;TEXT(IFC28-utc_offset/24,"HH")&amp;search_regexp&amp;""""</f>
        <v>#REF!</v>
      </c>
      <c r="IGA28" s="234" t="e">
        <f>astrogrep_path&amp;" /e /r /s /spath="&amp;search_path&amp;" /stypes=""app*"&amp;IEW28&amp;"*"&amp;TEXT(IFD28-utc_offset/24,"YYYYMMDD")&amp;"*"" /stext="" "&amp;TEXT(IFD28-utc_offset/24,"HH")&amp;search_regexp&amp;""""</f>
        <v>#REF!</v>
      </c>
      <c r="IGB28" s="234" t="e">
        <f>astrogrep_path&amp;" /e /r /s /spath="&amp;search_path&amp;" /stypes=""app*"&amp;IEX28&amp;"*"&amp;TEXT(IFE28-utc_offset/24,"YYYYMMDD")&amp;"*"" /stext="" "&amp;TEXT(IFE28-utc_offset/24,"HH")&amp;search_regexp&amp;""""</f>
        <v>#REF!</v>
      </c>
      <c r="IGC28" s="234" t="e">
        <f>astrogrep_path&amp;" /e /r /s /spath="&amp;search_path&amp;" /stypes=""app*"&amp;IEY28&amp;"*"&amp;TEXT(IFF28-utc_offset/24,"YYYYMMDD")&amp;"*"" /stext="" "&amp;TEXT(IFF28-utc_offset/24,"HH")&amp;search_regexp&amp;""""</f>
        <v>#REF!</v>
      </c>
      <c r="IGD28" s="234" t="e">
        <f>astrogrep_path&amp;" /e /r /s /spath="&amp;search_path&amp;" /stypes=""app*"&amp;IEZ28&amp;"*"&amp;TEXT(IFG28-utc_offset/24,"YYYYMMDD")&amp;"*"" /stext="" "&amp;TEXT(IFG28-utc_offset/24,"HH")&amp;search_regexp&amp;""""</f>
        <v>#REF!</v>
      </c>
      <c r="IGE28" s="234" t="e">
        <f>astrogrep_path&amp;" /e /r /s /spath="&amp;search_path&amp;" /stypes=""app*"&amp;IFA28&amp;"*"&amp;TEXT(IFH28-utc_offset/24,"YYYYMMDD")&amp;"*"" /stext="" "&amp;TEXT(IFH28-utc_offset/24,"HH")&amp;search_regexp&amp;""""</f>
        <v>#VALUE!</v>
      </c>
      <c r="IGF28" s="234" t="e">
        <f>astrogrep_path&amp;" /e /r /s /spath="&amp;search_path&amp;" /stypes=""app*"&amp;IFB28&amp;"*"&amp;TEXT(IFI28-utc_offset/24,"YYYYMMDD")&amp;"*"" /stext="" "&amp;TEXT(IFI28-utc_offset/24,"HH")&amp;search_regexp&amp;""""</f>
        <v>#VALUE!</v>
      </c>
      <c r="IGG28" s="234" t="e">
        <f>astrogrep_path&amp;" /e /r /s /spath="&amp;search_path&amp;" /stypes=""app*"&amp;IFC28&amp;"*"&amp;TEXT(IFJ28-utc_offset/24,"YYYYMMDD")&amp;"*"" /stext="" "&amp;TEXT(IFJ28-utc_offset/24,"HH")&amp;search_regexp&amp;""""</f>
        <v>#REF!</v>
      </c>
      <c r="IGH28" s="234" t="e">
        <f>astrogrep_path&amp;" /e /r /s /spath="&amp;search_path&amp;" /stypes=""app*"&amp;IFD28&amp;"*"&amp;TEXT(IFK28-utc_offset/24,"YYYYMMDD")&amp;"*"" /stext="" "&amp;TEXT(IFK28-utc_offset/24,"HH")&amp;search_regexp&amp;""""</f>
        <v>#REF!</v>
      </c>
      <c r="IGI28" s="234" t="e">
        <f>astrogrep_path&amp;" /e /r /s /spath="&amp;search_path&amp;" /stypes=""app*"&amp;IFE28&amp;"*"&amp;TEXT(IFL28-utc_offset/24,"YYYYMMDD")&amp;"*"" /stext="" "&amp;TEXT(IFL28-utc_offset/24,"HH")&amp;search_regexp&amp;""""</f>
        <v>#VALUE!</v>
      </c>
      <c r="IGJ28" s="234" t="e">
        <f>astrogrep_path&amp;" /e /r /s /spath="&amp;search_path&amp;" /stypes=""app*"&amp;IFF28&amp;"*"&amp;TEXT(IFM28-utc_offset/24,"YYYYMMDD")&amp;"*"" /stext="" "&amp;TEXT(IFM28-utc_offset/24,"HH")&amp;search_regexp&amp;""""</f>
        <v>#VALUE!</v>
      </c>
      <c r="IGK28" s="234" t="e">
        <f>astrogrep_path&amp;" /e /r /s /spath="&amp;search_path&amp;" /stypes=""app*"&amp;IFG28&amp;"*"&amp;TEXT(IFN28-utc_offset/24,"YYYYMMDD")&amp;"*"" /stext="" "&amp;TEXT(IFN28-utc_offset/24,"HH")&amp;search_regexp&amp;""""</f>
        <v>#VALUE!</v>
      </c>
      <c r="IGL28" s="234" t="e">
        <f>astrogrep_path&amp;" /e /r /s /spath="&amp;search_path&amp;" /stypes=""app*"&amp;IFH28&amp;"*"&amp;TEXT(IFO28-utc_offset/24,"YYYYMMDD")&amp;"*"" /stext="" "&amp;TEXT(IFO28-utc_offset/24,"HH")&amp;search_regexp&amp;""""</f>
        <v>#VALUE!</v>
      </c>
      <c r="IGM28" s="234" t="e">
        <f>astrogrep_path&amp;" /e /r /s /spath="&amp;search_path&amp;" /stypes=""app*"&amp;IFI28&amp;"*"&amp;TEXT(IFP28-utc_offset/24,"YYYYMMDD")&amp;"*"" /stext="" "&amp;TEXT(IFP28-utc_offset/24,"HH")&amp;search_regexp&amp;""""</f>
        <v>#VALUE!</v>
      </c>
      <c r="IGN28" s="234" t="e">
        <f>astrogrep_path&amp;" /e /r /s /spath="&amp;search_path&amp;" /stypes=""app*"&amp;IFJ28&amp;"*"&amp;TEXT(IFQ28-utc_offset/24,"YYYYMMDD")&amp;"*"" /stext="" "&amp;TEXT(IFQ28-utc_offset/24,"HH")&amp;search_regexp&amp;""""</f>
        <v>#REF!</v>
      </c>
      <c r="IGO28" s="234" t="e">
        <f>astrogrep_path&amp;" /e /r /s /spath="&amp;search_path&amp;" /stypes=""app*"&amp;IFK28&amp;"*"&amp;TEXT(IFR28-utc_offset/24,"YYYYMMDD")&amp;"*"" /stext="" "&amp;TEXT(IFR28-utc_offset/24,"HH")&amp;search_regexp&amp;""""</f>
        <v>#REF!</v>
      </c>
      <c r="IGP28" s="234" t="e">
        <f>astrogrep_path&amp;" /e /r /s /spath="&amp;search_path&amp;" /stypes=""app*"&amp;IFL28&amp;"*"&amp;TEXT(IFS28-utc_offset/24,"YYYYMMDD")&amp;"*"" /stext="" "&amp;TEXT(IFS28-utc_offset/24,"HH")&amp;search_regexp&amp;""""</f>
        <v>#REF!</v>
      </c>
      <c r="IGQ28" s="234" t="e">
        <f>astrogrep_path&amp;" /e /r /s /spath="&amp;search_path&amp;" /stypes=""app*"&amp;IFM28&amp;"*"&amp;TEXT(IFT28-utc_offset/24,"YYYYMMDD")&amp;"*"" /stext="" "&amp;TEXT(IFT28-utc_offset/24,"HH")&amp;search_regexp&amp;""""</f>
        <v>#REF!</v>
      </c>
      <c r="IGR28" s="234" t="e">
        <f>astrogrep_path&amp;" /e /r /s /spath="&amp;search_path&amp;" /stypes=""app*"&amp;IFN28&amp;"*"&amp;TEXT(IFU28-utc_offset/24,"YYYYMMDD")&amp;"*"" /stext="" "&amp;TEXT(IFU28-utc_offset/24,"HH")&amp;search_regexp&amp;""""</f>
        <v>#REF!</v>
      </c>
      <c r="IGS28" s="234" t="e">
        <f>astrogrep_path&amp;" /e /r /s /spath="&amp;search_path&amp;" /stypes=""app*"&amp;IFO28&amp;"*"&amp;TEXT(IFV28-utc_offset/24,"YYYYMMDD")&amp;"*"" /stext="" "&amp;TEXT(IFV28-utc_offset/24,"HH")&amp;search_regexp&amp;""""</f>
        <v>#REF!</v>
      </c>
      <c r="IGT28" s="234" t="e">
        <f>astrogrep_path&amp;" /e /r /s /spath="&amp;search_path&amp;" /stypes=""app*"&amp;IFP28&amp;"*"&amp;TEXT(IFW28-utc_offset/24,"YYYYMMDD")&amp;"*"" /stext="" "&amp;TEXT(IFW28-utc_offset/24,"HH")&amp;search_regexp&amp;""""</f>
        <v>#REF!</v>
      </c>
      <c r="IGU28" s="234" t="e">
        <f>astrogrep_path&amp;" /e /r /s /spath="&amp;search_path&amp;" /stypes=""app*"&amp;IFQ28&amp;"*"&amp;TEXT(IFX28-utc_offset/24,"YYYYMMDD")&amp;"*"" /stext="" "&amp;TEXT(IFX28-utc_offset/24,"HH")&amp;search_regexp&amp;""""</f>
        <v>#REF!</v>
      </c>
      <c r="IGV28" s="234" t="e">
        <f>astrogrep_path&amp;" /e /r /s /spath="&amp;search_path&amp;" /stypes=""app*"&amp;IFR28&amp;"*"&amp;TEXT(IFY28-utc_offset/24,"YYYYMMDD")&amp;"*"" /stext="" "&amp;TEXT(IFY28-utc_offset/24,"HH")&amp;search_regexp&amp;""""</f>
        <v>#REF!</v>
      </c>
      <c r="IGW28" s="234" t="e">
        <f>astrogrep_path&amp;" /e /r /s /spath="&amp;search_path&amp;" /stypes=""app*"&amp;IFS28&amp;"*"&amp;TEXT(IFZ28-utc_offset/24,"YYYYMMDD")&amp;"*"" /stext="" "&amp;TEXT(IFZ28-utc_offset/24,"HH")&amp;search_regexp&amp;""""</f>
        <v>#REF!</v>
      </c>
      <c r="IGX28" s="234" t="e">
        <f>astrogrep_path&amp;" /e /r /s /spath="&amp;search_path&amp;" /stypes=""app*"&amp;IFT28&amp;"*"&amp;TEXT(IGA28-utc_offset/24,"YYYYMMDD")&amp;"*"" /stext="" "&amp;TEXT(IGA28-utc_offset/24,"HH")&amp;search_regexp&amp;""""</f>
        <v>#REF!</v>
      </c>
      <c r="IGY28" s="234" t="e">
        <f>astrogrep_path&amp;" /e /r /s /spath="&amp;search_path&amp;" /stypes=""app*"&amp;IFU28&amp;"*"&amp;TEXT(IGB28-utc_offset/24,"YYYYMMDD")&amp;"*"" /stext="" "&amp;TEXT(IGB28-utc_offset/24,"HH")&amp;search_regexp&amp;""""</f>
        <v>#REF!</v>
      </c>
      <c r="IGZ28" s="234" t="e">
        <f>astrogrep_path&amp;" /e /r /s /spath="&amp;search_path&amp;" /stypes=""app*"&amp;IFV28&amp;"*"&amp;TEXT(IGC28-utc_offset/24,"YYYYMMDD")&amp;"*"" /stext="" "&amp;TEXT(IGC28-utc_offset/24,"HH")&amp;search_regexp&amp;""""</f>
        <v>#REF!</v>
      </c>
      <c r="IHA28" s="234" t="e">
        <f>astrogrep_path&amp;" /e /r /s /spath="&amp;search_path&amp;" /stypes=""app*"&amp;IFW28&amp;"*"&amp;TEXT(IGD28-utc_offset/24,"YYYYMMDD")&amp;"*"" /stext="" "&amp;TEXT(IGD28-utc_offset/24,"HH")&amp;search_regexp&amp;""""</f>
        <v>#REF!</v>
      </c>
      <c r="IHB28" s="234" t="e">
        <f>astrogrep_path&amp;" /e /r /s /spath="&amp;search_path&amp;" /stypes=""app*"&amp;IFX28&amp;"*"&amp;TEXT(IGE28-utc_offset/24,"YYYYMMDD")&amp;"*"" /stext="" "&amp;TEXT(IGE28-utc_offset/24,"HH")&amp;search_regexp&amp;""""</f>
        <v>#REF!</v>
      </c>
      <c r="IHC28" s="234" t="e">
        <f>astrogrep_path&amp;" /e /r /s /spath="&amp;search_path&amp;" /stypes=""app*"&amp;IFY28&amp;"*"&amp;TEXT(IGF28-utc_offset/24,"YYYYMMDD")&amp;"*"" /stext="" "&amp;TEXT(IGF28-utc_offset/24,"HH")&amp;search_regexp&amp;""""</f>
        <v>#REF!</v>
      </c>
      <c r="IHD28" s="234" t="e">
        <f>astrogrep_path&amp;" /e /r /s /spath="&amp;search_path&amp;" /stypes=""app*"&amp;IFZ28&amp;"*"&amp;TEXT(IGG28-utc_offset/24,"YYYYMMDD")&amp;"*"" /stext="" "&amp;TEXT(IGG28-utc_offset/24,"HH")&amp;search_regexp&amp;""""</f>
        <v>#REF!</v>
      </c>
      <c r="IHE28" s="234" t="e">
        <f>astrogrep_path&amp;" /e /r /s /spath="&amp;search_path&amp;" /stypes=""app*"&amp;IGA28&amp;"*"&amp;TEXT(IGH28-utc_offset/24,"YYYYMMDD")&amp;"*"" /stext="" "&amp;TEXT(IGH28-utc_offset/24,"HH")&amp;search_regexp&amp;""""</f>
        <v>#REF!</v>
      </c>
      <c r="IHF28" s="234" t="e">
        <f>astrogrep_path&amp;" /e /r /s /spath="&amp;search_path&amp;" /stypes=""app*"&amp;IGB28&amp;"*"&amp;TEXT(IGI28-utc_offset/24,"YYYYMMDD")&amp;"*"" /stext="" "&amp;TEXT(IGI28-utc_offset/24,"HH")&amp;search_regexp&amp;""""</f>
        <v>#REF!</v>
      </c>
      <c r="IHG28" s="234" t="e">
        <f>astrogrep_path&amp;" /e /r /s /spath="&amp;search_path&amp;" /stypes=""app*"&amp;IGC28&amp;"*"&amp;TEXT(IGJ28-utc_offset/24,"YYYYMMDD")&amp;"*"" /stext="" "&amp;TEXT(IGJ28-utc_offset/24,"HH")&amp;search_regexp&amp;""""</f>
        <v>#REF!</v>
      </c>
      <c r="IHH28" s="234" t="e">
        <f>astrogrep_path&amp;" /e /r /s /spath="&amp;search_path&amp;" /stypes=""app*"&amp;IGD28&amp;"*"&amp;TEXT(IGK28-utc_offset/24,"YYYYMMDD")&amp;"*"" /stext="" "&amp;TEXT(IGK28-utc_offset/24,"HH")&amp;search_regexp&amp;""""</f>
        <v>#REF!</v>
      </c>
      <c r="IHI28" s="234" t="e">
        <f>astrogrep_path&amp;" /e /r /s /spath="&amp;search_path&amp;" /stypes=""app*"&amp;IGE28&amp;"*"&amp;TEXT(IGL28-utc_offset/24,"YYYYMMDD")&amp;"*"" /stext="" "&amp;TEXT(IGL28-utc_offset/24,"HH")&amp;search_regexp&amp;""""</f>
        <v>#VALUE!</v>
      </c>
      <c r="IHJ28" s="234" t="e">
        <f>astrogrep_path&amp;" /e /r /s /spath="&amp;search_path&amp;" /stypes=""app*"&amp;IGF28&amp;"*"&amp;TEXT(IGM28-utc_offset/24,"YYYYMMDD")&amp;"*"" /stext="" "&amp;TEXT(IGM28-utc_offset/24,"HH")&amp;search_regexp&amp;""""</f>
        <v>#VALUE!</v>
      </c>
      <c r="IHK28" s="234" t="e">
        <f>astrogrep_path&amp;" /e /r /s /spath="&amp;search_path&amp;" /stypes=""app*"&amp;IGG28&amp;"*"&amp;TEXT(IGN28-utc_offset/24,"YYYYMMDD")&amp;"*"" /stext="" "&amp;TEXT(IGN28-utc_offset/24,"HH")&amp;search_regexp&amp;""""</f>
        <v>#REF!</v>
      </c>
      <c r="IHL28" s="234" t="e">
        <f>astrogrep_path&amp;" /e /r /s /spath="&amp;search_path&amp;" /stypes=""app*"&amp;IGH28&amp;"*"&amp;TEXT(IGO28-utc_offset/24,"YYYYMMDD")&amp;"*"" /stext="" "&amp;TEXT(IGO28-utc_offset/24,"HH")&amp;search_regexp&amp;""""</f>
        <v>#REF!</v>
      </c>
      <c r="IHM28" s="234" t="e">
        <f>astrogrep_path&amp;" /e /r /s /spath="&amp;search_path&amp;" /stypes=""app*"&amp;IGI28&amp;"*"&amp;TEXT(IGP28-utc_offset/24,"YYYYMMDD")&amp;"*"" /stext="" "&amp;TEXT(IGP28-utc_offset/24,"HH")&amp;search_regexp&amp;""""</f>
        <v>#VALUE!</v>
      </c>
      <c r="IHN28" s="234" t="e">
        <f>astrogrep_path&amp;" /e /r /s /spath="&amp;search_path&amp;" /stypes=""app*"&amp;IGJ28&amp;"*"&amp;TEXT(IGQ28-utc_offset/24,"YYYYMMDD")&amp;"*"" /stext="" "&amp;TEXT(IGQ28-utc_offset/24,"HH")&amp;search_regexp&amp;""""</f>
        <v>#VALUE!</v>
      </c>
      <c r="IHO28" s="234" t="e">
        <f>astrogrep_path&amp;" /e /r /s /spath="&amp;search_path&amp;" /stypes=""app*"&amp;IGK28&amp;"*"&amp;TEXT(IGR28-utc_offset/24,"YYYYMMDD")&amp;"*"" /stext="" "&amp;TEXT(IGR28-utc_offset/24,"HH")&amp;search_regexp&amp;""""</f>
        <v>#VALUE!</v>
      </c>
      <c r="IHP28" s="234" t="e">
        <f>astrogrep_path&amp;" /e /r /s /spath="&amp;search_path&amp;" /stypes=""app*"&amp;IGL28&amp;"*"&amp;TEXT(IGS28-utc_offset/24,"YYYYMMDD")&amp;"*"" /stext="" "&amp;TEXT(IGS28-utc_offset/24,"HH")&amp;search_regexp&amp;""""</f>
        <v>#VALUE!</v>
      </c>
      <c r="IHQ28" s="234" t="e">
        <f>astrogrep_path&amp;" /e /r /s /spath="&amp;search_path&amp;" /stypes=""app*"&amp;IGM28&amp;"*"&amp;TEXT(IGT28-utc_offset/24,"YYYYMMDD")&amp;"*"" /stext="" "&amp;TEXT(IGT28-utc_offset/24,"HH")&amp;search_regexp&amp;""""</f>
        <v>#VALUE!</v>
      </c>
      <c r="IHR28" s="234" t="e">
        <f>astrogrep_path&amp;" /e /r /s /spath="&amp;search_path&amp;" /stypes=""app*"&amp;IGN28&amp;"*"&amp;TEXT(IGU28-utc_offset/24,"YYYYMMDD")&amp;"*"" /stext="" "&amp;TEXT(IGU28-utc_offset/24,"HH")&amp;search_regexp&amp;""""</f>
        <v>#REF!</v>
      </c>
      <c r="IHS28" s="234" t="e">
        <f>astrogrep_path&amp;" /e /r /s /spath="&amp;search_path&amp;" /stypes=""app*"&amp;IGO28&amp;"*"&amp;TEXT(IGV28-utc_offset/24,"YYYYMMDD")&amp;"*"" /stext="" "&amp;TEXT(IGV28-utc_offset/24,"HH")&amp;search_regexp&amp;""""</f>
        <v>#REF!</v>
      </c>
      <c r="IHT28" s="234" t="e">
        <f>astrogrep_path&amp;" /e /r /s /spath="&amp;search_path&amp;" /stypes=""app*"&amp;IGP28&amp;"*"&amp;TEXT(IGW28-utc_offset/24,"YYYYMMDD")&amp;"*"" /stext="" "&amp;TEXT(IGW28-utc_offset/24,"HH")&amp;search_regexp&amp;""""</f>
        <v>#REF!</v>
      </c>
      <c r="IHU28" s="234" t="e">
        <f>astrogrep_path&amp;" /e /r /s /spath="&amp;search_path&amp;" /stypes=""app*"&amp;IGQ28&amp;"*"&amp;TEXT(IGX28-utc_offset/24,"YYYYMMDD")&amp;"*"" /stext="" "&amp;TEXT(IGX28-utc_offset/24,"HH")&amp;search_regexp&amp;""""</f>
        <v>#REF!</v>
      </c>
      <c r="IHV28" s="234" t="e">
        <f>astrogrep_path&amp;" /e /r /s /spath="&amp;search_path&amp;" /stypes=""app*"&amp;IGR28&amp;"*"&amp;TEXT(IGY28-utc_offset/24,"YYYYMMDD")&amp;"*"" /stext="" "&amp;TEXT(IGY28-utc_offset/24,"HH")&amp;search_regexp&amp;""""</f>
        <v>#REF!</v>
      </c>
      <c r="IHW28" s="234" t="e">
        <f>astrogrep_path&amp;" /e /r /s /spath="&amp;search_path&amp;" /stypes=""app*"&amp;IGS28&amp;"*"&amp;TEXT(IGZ28-utc_offset/24,"YYYYMMDD")&amp;"*"" /stext="" "&amp;TEXT(IGZ28-utc_offset/24,"HH")&amp;search_regexp&amp;""""</f>
        <v>#REF!</v>
      </c>
      <c r="IHX28" s="234" t="e">
        <f>astrogrep_path&amp;" /e /r /s /spath="&amp;search_path&amp;" /stypes=""app*"&amp;IGT28&amp;"*"&amp;TEXT(IHA28-utc_offset/24,"YYYYMMDD")&amp;"*"" /stext="" "&amp;TEXT(IHA28-utc_offset/24,"HH")&amp;search_regexp&amp;""""</f>
        <v>#REF!</v>
      </c>
      <c r="IHY28" s="234" t="e">
        <f>astrogrep_path&amp;" /e /r /s /spath="&amp;search_path&amp;" /stypes=""app*"&amp;IGU28&amp;"*"&amp;TEXT(IHB28-utc_offset/24,"YYYYMMDD")&amp;"*"" /stext="" "&amp;TEXT(IHB28-utc_offset/24,"HH")&amp;search_regexp&amp;""""</f>
        <v>#REF!</v>
      </c>
      <c r="IHZ28" s="234" t="e">
        <f>astrogrep_path&amp;" /e /r /s /spath="&amp;search_path&amp;" /stypes=""app*"&amp;IGV28&amp;"*"&amp;TEXT(IHC28-utc_offset/24,"YYYYMMDD")&amp;"*"" /stext="" "&amp;TEXT(IHC28-utc_offset/24,"HH")&amp;search_regexp&amp;""""</f>
        <v>#REF!</v>
      </c>
      <c r="IIA28" s="234" t="e">
        <f>astrogrep_path&amp;" /e /r /s /spath="&amp;search_path&amp;" /stypes=""app*"&amp;IGW28&amp;"*"&amp;TEXT(IHD28-utc_offset/24,"YYYYMMDD")&amp;"*"" /stext="" "&amp;TEXT(IHD28-utc_offset/24,"HH")&amp;search_regexp&amp;""""</f>
        <v>#REF!</v>
      </c>
      <c r="IIB28" s="234" t="e">
        <f>astrogrep_path&amp;" /e /r /s /spath="&amp;search_path&amp;" /stypes=""app*"&amp;IGX28&amp;"*"&amp;TEXT(IHE28-utc_offset/24,"YYYYMMDD")&amp;"*"" /stext="" "&amp;TEXT(IHE28-utc_offset/24,"HH")&amp;search_regexp&amp;""""</f>
        <v>#REF!</v>
      </c>
      <c r="IIC28" s="234" t="e">
        <f>astrogrep_path&amp;" /e /r /s /spath="&amp;search_path&amp;" /stypes=""app*"&amp;IGY28&amp;"*"&amp;TEXT(IHF28-utc_offset/24,"YYYYMMDD")&amp;"*"" /stext="" "&amp;TEXT(IHF28-utc_offset/24,"HH")&amp;search_regexp&amp;""""</f>
        <v>#REF!</v>
      </c>
      <c r="IID28" s="234" t="e">
        <f>astrogrep_path&amp;" /e /r /s /spath="&amp;search_path&amp;" /stypes=""app*"&amp;IGZ28&amp;"*"&amp;TEXT(IHG28-utc_offset/24,"YYYYMMDD")&amp;"*"" /stext="" "&amp;TEXT(IHG28-utc_offset/24,"HH")&amp;search_regexp&amp;""""</f>
        <v>#REF!</v>
      </c>
      <c r="IIE28" s="234" t="e">
        <f>astrogrep_path&amp;" /e /r /s /spath="&amp;search_path&amp;" /stypes=""app*"&amp;IHA28&amp;"*"&amp;TEXT(IHH28-utc_offset/24,"YYYYMMDD")&amp;"*"" /stext="" "&amp;TEXT(IHH28-utc_offset/24,"HH")&amp;search_regexp&amp;""""</f>
        <v>#REF!</v>
      </c>
      <c r="IIF28" s="234" t="e">
        <f>astrogrep_path&amp;" /e /r /s /spath="&amp;search_path&amp;" /stypes=""app*"&amp;IHB28&amp;"*"&amp;TEXT(IHI28-utc_offset/24,"YYYYMMDD")&amp;"*"" /stext="" "&amp;TEXT(IHI28-utc_offset/24,"HH")&amp;search_regexp&amp;""""</f>
        <v>#REF!</v>
      </c>
      <c r="IIG28" s="234" t="e">
        <f>astrogrep_path&amp;" /e /r /s /spath="&amp;search_path&amp;" /stypes=""app*"&amp;IHC28&amp;"*"&amp;TEXT(IHJ28-utc_offset/24,"YYYYMMDD")&amp;"*"" /stext="" "&amp;TEXT(IHJ28-utc_offset/24,"HH")&amp;search_regexp&amp;""""</f>
        <v>#REF!</v>
      </c>
      <c r="IIH28" s="234" t="e">
        <f>astrogrep_path&amp;" /e /r /s /spath="&amp;search_path&amp;" /stypes=""app*"&amp;IHD28&amp;"*"&amp;TEXT(IHK28-utc_offset/24,"YYYYMMDD")&amp;"*"" /stext="" "&amp;TEXT(IHK28-utc_offset/24,"HH")&amp;search_regexp&amp;""""</f>
        <v>#REF!</v>
      </c>
      <c r="III28" s="234" t="e">
        <f>astrogrep_path&amp;" /e /r /s /spath="&amp;search_path&amp;" /stypes=""app*"&amp;IHE28&amp;"*"&amp;TEXT(IHL28-utc_offset/24,"YYYYMMDD")&amp;"*"" /stext="" "&amp;TEXT(IHL28-utc_offset/24,"HH")&amp;search_regexp&amp;""""</f>
        <v>#REF!</v>
      </c>
      <c r="IIJ28" s="234" t="e">
        <f>astrogrep_path&amp;" /e /r /s /spath="&amp;search_path&amp;" /stypes=""app*"&amp;IHF28&amp;"*"&amp;TEXT(IHM28-utc_offset/24,"YYYYMMDD")&amp;"*"" /stext="" "&amp;TEXT(IHM28-utc_offset/24,"HH")&amp;search_regexp&amp;""""</f>
        <v>#REF!</v>
      </c>
      <c r="IIK28" s="234" t="e">
        <f>astrogrep_path&amp;" /e /r /s /spath="&amp;search_path&amp;" /stypes=""app*"&amp;IHG28&amp;"*"&amp;TEXT(IHN28-utc_offset/24,"YYYYMMDD")&amp;"*"" /stext="" "&amp;TEXT(IHN28-utc_offset/24,"HH")&amp;search_regexp&amp;""""</f>
        <v>#REF!</v>
      </c>
      <c r="IIL28" s="234" t="e">
        <f>astrogrep_path&amp;" /e /r /s /spath="&amp;search_path&amp;" /stypes=""app*"&amp;IHH28&amp;"*"&amp;TEXT(IHO28-utc_offset/24,"YYYYMMDD")&amp;"*"" /stext="" "&amp;TEXT(IHO28-utc_offset/24,"HH")&amp;search_regexp&amp;""""</f>
        <v>#REF!</v>
      </c>
      <c r="IIM28" s="234" t="e">
        <f>astrogrep_path&amp;" /e /r /s /spath="&amp;search_path&amp;" /stypes=""app*"&amp;IHI28&amp;"*"&amp;TEXT(IHP28-utc_offset/24,"YYYYMMDD")&amp;"*"" /stext="" "&amp;TEXT(IHP28-utc_offset/24,"HH")&amp;search_regexp&amp;""""</f>
        <v>#VALUE!</v>
      </c>
      <c r="IIN28" s="234" t="e">
        <f>astrogrep_path&amp;" /e /r /s /spath="&amp;search_path&amp;" /stypes=""app*"&amp;IHJ28&amp;"*"&amp;TEXT(IHQ28-utc_offset/24,"YYYYMMDD")&amp;"*"" /stext="" "&amp;TEXT(IHQ28-utc_offset/24,"HH")&amp;search_regexp&amp;""""</f>
        <v>#VALUE!</v>
      </c>
      <c r="IIO28" s="234" t="e">
        <f>astrogrep_path&amp;" /e /r /s /spath="&amp;search_path&amp;" /stypes=""app*"&amp;IHK28&amp;"*"&amp;TEXT(IHR28-utc_offset/24,"YYYYMMDD")&amp;"*"" /stext="" "&amp;TEXT(IHR28-utc_offset/24,"HH")&amp;search_regexp&amp;""""</f>
        <v>#REF!</v>
      </c>
      <c r="IIP28" s="234" t="e">
        <f>astrogrep_path&amp;" /e /r /s /spath="&amp;search_path&amp;" /stypes=""app*"&amp;IHL28&amp;"*"&amp;TEXT(IHS28-utc_offset/24,"YYYYMMDD")&amp;"*"" /stext="" "&amp;TEXT(IHS28-utc_offset/24,"HH")&amp;search_regexp&amp;""""</f>
        <v>#REF!</v>
      </c>
      <c r="IIQ28" s="234" t="e">
        <f>astrogrep_path&amp;" /e /r /s /spath="&amp;search_path&amp;" /stypes=""app*"&amp;IHM28&amp;"*"&amp;TEXT(IHT28-utc_offset/24,"YYYYMMDD")&amp;"*"" /stext="" "&amp;TEXT(IHT28-utc_offset/24,"HH")&amp;search_regexp&amp;""""</f>
        <v>#VALUE!</v>
      </c>
      <c r="IIR28" s="234" t="e">
        <f>astrogrep_path&amp;" /e /r /s /spath="&amp;search_path&amp;" /stypes=""app*"&amp;IHN28&amp;"*"&amp;TEXT(IHU28-utc_offset/24,"YYYYMMDD")&amp;"*"" /stext="" "&amp;TEXT(IHU28-utc_offset/24,"HH")&amp;search_regexp&amp;""""</f>
        <v>#VALUE!</v>
      </c>
      <c r="IIS28" s="234" t="e">
        <f>astrogrep_path&amp;" /e /r /s /spath="&amp;search_path&amp;" /stypes=""app*"&amp;IHO28&amp;"*"&amp;TEXT(IHV28-utc_offset/24,"YYYYMMDD")&amp;"*"" /stext="" "&amp;TEXT(IHV28-utc_offset/24,"HH")&amp;search_regexp&amp;""""</f>
        <v>#VALUE!</v>
      </c>
      <c r="IIT28" s="234" t="e">
        <f>astrogrep_path&amp;" /e /r /s /spath="&amp;search_path&amp;" /stypes=""app*"&amp;IHP28&amp;"*"&amp;TEXT(IHW28-utc_offset/24,"YYYYMMDD")&amp;"*"" /stext="" "&amp;TEXT(IHW28-utc_offset/24,"HH")&amp;search_regexp&amp;""""</f>
        <v>#VALUE!</v>
      </c>
      <c r="IIU28" s="234" t="e">
        <f>astrogrep_path&amp;" /e /r /s /spath="&amp;search_path&amp;" /stypes=""app*"&amp;IHQ28&amp;"*"&amp;TEXT(IHX28-utc_offset/24,"YYYYMMDD")&amp;"*"" /stext="" "&amp;TEXT(IHX28-utc_offset/24,"HH")&amp;search_regexp&amp;""""</f>
        <v>#VALUE!</v>
      </c>
      <c r="IIV28" s="234" t="e">
        <f>astrogrep_path&amp;" /e /r /s /spath="&amp;search_path&amp;" /stypes=""app*"&amp;IHR28&amp;"*"&amp;TEXT(IHY28-utc_offset/24,"YYYYMMDD")&amp;"*"" /stext="" "&amp;TEXT(IHY28-utc_offset/24,"HH")&amp;search_regexp&amp;""""</f>
        <v>#REF!</v>
      </c>
      <c r="IIW28" s="234" t="e">
        <f>astrogrep_path&amp;" /e /r /s /spath="&amp;search_path&amp;" /stypes=""app*"&amp;IHS28&amp;"*"&amp;TEXT(IHZ28-utc_offset/24,"YYYYMMDD")&amp;"*"" /stext="" "&amp;TEXT(IHZ28-utc_offset/24,"HH")&amp;search_regexp&amp;""""</f>
        <v>#REF!</v>
      </c>
      <c r="IIX28" s="234" t="e">
        <f>astrogrep_path&amp;" /e /r /s /spath="&amp;search_path&amp;" /stypes=""app*"&amp;IHT28&amp;"*"&amp;TEXT(IIA28-utc_offset/24,"YYYYMMDD")&amp;"*"" /stext="" "&amp;TEXT(IIA28-utc_offset/24,"HH")&amp;search_regexp&amp;""""</f>
        <v>#REF!</v>
      </c>
      <c r="IIY28" s="234" t="e">
        <f>astrogrep_path&amp;" /e /r /s /spath="&amp;search_path&amp;" /stypes=""app*"&amp;IHU28&amp;"*"&amp;TEXT(IIB28-utc_offset/24,"YYYYMMDD")&amp;"*"" /stext="" "&amp;TEXT(IIB28-utc_offset/24,"HH")&amp;search_regexp&amp;""""</f>
        <v>#REF!</v>
      </c>
      <c r="IIZ28" s="234" t="e">
        <f>astrogrep_path&amp;" /e /r /s /spath="&amp;search_path&amp;" /stypes=""app*"&amp;IHV28&amp;"*"&amp;TEXT(IIC28-utc_offset/24,"YYYYMMDD")&amp;"*"" /stext="" "&amp;TEXT(IIC28-utc_offset/24,"HH")&amp;search_regexp&amp;""""</f>
        <v>#REF!</v>
      </c>
      <c r="IJA28" s="234" t="e">
        <f>astrogrep_path&amp;" /e /r /s /spath="&amp;search_path&amp;" /stypes=""app*"&amp;IHW28&amp;"*"&amp;TEXT(IID28-utc_offset/24,"YYYYMMDD")&amp;"*"" /stext="" "&amp;TEXT(IID28-utc_offset/24,"HH")&amp;search_regexp&amp;""""</f>
        <v>#REF!</v>
      </c>
      <c r="IJB28" s="234" t="e">
        <f>astrogrep_path&amp;" /e /r /s /spath="&amp;search_path&amp;" /stypes=""app*"&amp;IHX28&amp;"*"&amp;TEXT(IIE28-utc_offset/24,"YYYYMMDD")&amp;"*"" /stext="" "&amp;TEXT(IIE28-utc_offset/24,"HH")&amp;search_regexp&amp;""""</f>
        <v>#REF!</v>
      </c>
      <c r="IJC28" s="234" t="e">
        <f>astrogrep_path&amp;" /e /r /s /spath="&amp;search_path&amp;" /stypes=""app*"&amp;IHY28&amp;"*"&amp;TEXT(IIF28-utc_offset/24,"YYYYMMDD")&amp;"*"" /stext="" "&amp;TEXT(IIF28-utc_offset/24,"HH")&amp;search_regexp&amp;""""</f>
        <v>#REF!</v>
      </c>
      <c r="IJD28" s="234" t="e">
        <f>astrogrep_path&amp;" /e /r /s /spath="&amp;search_path&amp;" /stypes=""app*"&amp;IHZ28&amp;"*"&amp;TEXT(IIG28-utc_offset/24,"YYYYMMDD")&amp;"*"" /stext="" "&amp;TEXT(IIG28-utc_offset/24,"HH")&amp;search_regexp&amp;""""</f>
        <v>#REF!</v>
      </c>
      <c r="IJE28" s="234" t="e">
        <f>astrogrep_path&amp;" /e /r /s /spath="&amp;search_path&amp;" /stypes=""app*"&amp;IIA28&amp;"*"&amp;TEXT(IIH28-utc_offset/24,"YYYYMMDD")&amp;"*"" /stext="" "&amp;TEXT(IIH28-utc_offset/24,"HH")&amp;search_regexp&amp;""""</f>
        <v>#REF!</v>
      </c>
      <c r="IJF28" s="234" t="e">
        <f>astrogrep_path&amp;" /e /r /s /spath="&amp;search_path&amp;" /stypes=""app*"&amp;IIB28&amp;"*"&amp;TEXT(III28-utc_offset/24,"YYYYMMDD")&amp;"*"" /stext="" "&amp;TEXT(III28-utc_offset/24,"HH")&amp;search_regexp&amp;""""</f>
        <v>#REF!</v>
      </c>
      <c r="IJG28" s="234" t="e">
        <f>astrogrep_path&amp;" /e /r /s /spath="&amp;search_path&amp;" /stypes=""app*"&amp;IIC28&amp;"*"&amp;TEXT(IIJ28-utc_offset/24,"YYYYMMDD")&amp;"*"" /stext="" "&amp;TEXT(IIJ28-utc_offset/24,"HH")&amp;search_regexp&amp;""""</f>
        <v>#REF!</v>
      </c>
      <c r="IJH28" s="234" t="e">
        <f>astrogrep_path&amp;" /e /r /s /spath="&amp;search_path&amp;" /stypes=""app*"&amp;IID28&amp;"*"&amp;TEXT(IIK28-utc_offset/24,"YYYYMMDD")&amp;"*"" /stext="" "&amp;TEXT(IIK28-utc_offset/24,"HH")&amp;search_regexp&amp;""""</f>
        <v>#REF!</v>
      </c>
      <c r="IJI28" s="234" t="e">
        <f>astrogrep_path&amp;" /e /r /s /spath="&amp;search_path&amp;" /stypes=""app*"&amp;IIE28&amp;"*"&amp;TEXT(IIL28-utc_offset/24,"YYYYMMDD")&amp;"*"" /stext="" "&amp;TEXT(IIL28-utc_offset/24,"HH")&amp;search_regexp&amp;""""</f>
        <v>#REF!</v>
      </c>
      <c r="IJJ28" s="234" t="e">
        <f>astrogrep_path&amp;" /e /r /s /spath="&amp;search_path&amp;" /stypes=""app*"&amp;IIF28&amp;"*"&amp;TEXT(IIM28-utc_offset/24,"YYYYMMDD")&amp;"*"" /stext="" "&amp;TEXT(IIM28-utc_offset/24,"HH")&amp;search_regexp&amp;""""</f>
        <v>#REF!</v>
      </c>
      <c r="IJK28" s="234" t="e">
        <f>astrogrep_path&amp;" /e /r /s /spath="&amp;search_path&amp;" /stypes=""app*"&amp;IIG28&amp;"*"&amp;TEXT(IIN28-utc_offset/24,"YYYYMMDD")&amp;"*"" /stext="" "&amp;TEXT(IIN28-utc_offset/24,"HH")&amp;search_regexp&amp;""""</f>
        <v>#REF!</v>
      </c>
      <c r="IJL28" s="234" t="e">
        <f>astrogrep_path&amp;" /e /r /s /spath="&amp;search_path&amp;" /stypes=""app*"&amp;IIH28&amp;"*"&amp;TEXT(IIO28-utc_offset/24,"YYYYMMDD")&amp;"*"" /stext="" "&amp;TEXT(IIO28-utc_offset/24,"HH")&amp;search_regexp&amp;""""</f>
        <v>#REF!</v>
      </c>
      <c r="IJM28" s="234" t="e">
        <f>astrogrep_path&amp;" /e /r /s /spath="&amp;search_path&amp;" /stypes=""app*"&amp;III28&amp;"*"&amp;TEXT(IIP28-utc_offset/24,"YYYYMMDD")&amp;"*"" /stext="" "&amp;TEXT(IIP28-utc_offset/24,"HH")&amp;search_regexp&amp;""""</f>
        <v>#REF!</v>
      </c>
      <c r="IJN28" s="234" t="e">
        <f>astrogrep_path&amp;" /e /r /s /spath="&amp;search_path&amp;" /stypes=""app*"&amp;IIJ28&amp;"*"&amp;TEXT(IIQ28-utc_offset/24,"YYYYMMDD")&amp;"*"" /stext="" "&amp;TEXT(IIQ28-utc_offset/24,"HH")&amp;search_regexp&amp;""""</f>
        <v>#REF!</v>
      </c>
      <c r="IJO28" s="234" t="e">
        <f>astrogrep_path&amp;" /e /r /s /spath="&amp;search_path&amp;" /stypes=""app*"&amp;IIK28&amp;"*"&amp;TEXT(IIR28-utc_offset/24,"YYYYMMDD")&amp;"*"" /stext="" "&amp;TEXT(IIR28-utc_offset/24,"HH")&amp;search_regexp&amp;""""</f>
        <v>#REF!</v>
      </c>
      <c r="IJP28" s="234" t="e">
        <f>astrogrep_path&amp;" /e /r /s /spath="&amp;search_path&amp;" /stypes=""app*"&amp;IIL28&amp;"*"&amp;TEXT(IIS28-utc_offset/24,"YYYYMMDD")&amp;"*"" /stext="" "&amp;TEXT(IIS28-utc_offset/24,"HH")&amp;search_regexp&amp;""""</f>
        <v>#REF!</v>
      </c>
      <c r="IJQ28" s="234" t="e">
        <f>astrogrep_path&amp;" /e /r /s /spath="&amp;search_path&amp;" /stypes=""app*"&amp;IIM28&amp;"*"&amp;TEXT(IIT28-utc_offset/24,"YYYYMMDD")&amp;"*"" /stext="" "&amp;TEXT(IIT28-utc_offset/24,"HH")&amp;search_regexp&amp;""""</f>
        <v>#VALUE!</v>
      </c>
      <c r="IJR28" s="234" t="e">
        <f>astrogrep_path&amp;" /e /r /s /spath="&amp;search_path&amp;" /stypes=""app*"&amp;IIN28&amp;"*"&amp;TEXT(IIU28-utc_offset/24,"YYYYMMDD")&amp;"*"" /stext="" "&amp;TEXT(IIU28-utc_offset/24,"HH")&amp;search_regexp&amp;""""</f>
        <v>#VALUE!</v>
      </c>
      <c r="IJS28" s="234" t="e">
        <f>astrogrep_path&amp;" /e /r /s /spath="&amp;search_path&amp;" /stypes=""app*"&amp;IIO28&amp;"*"&amp;TEXT(IIV28-utc_offset/24,"YYYYMMDD")&amp;"*"" /stext="" "&amp;TEXT(IIV28-utc_offset/24,"HH")&amp;search_regexp&amp;""""</f>
        <v>#REF!</v>
      </c>
      <c r="IJT28" s="234" t="e">
        <f>astrogrep_path&amp;" /e /r /s /spath="&amp;search_path&amp;" /stypes=""app*"&amp;IIP28&amp;"*"&amp;TEXT(IIW28-utc_offset/24,"YYYYMMDD")&amp;"*"" /stext="" "&amp;TEXT(IIW28-utc_offset/24,"HH")&amp;search_regexp&amp;""""</f>
        <v>#REF!</v>
      </c>
      <c r="IJU28" s="234" t="e">
        <f>astrogrep_path&amp;" /e /r /s /spath="&amp;search_path&amp;" /stypes=""app*"&amp;IIQ28&amp;"*"&amp;TEXT(IIX28-utc_offset/24,"YYYYMMDD")&amp;"*"" /stext="" "&amp;TEXT(IIX28-utc_offset/24,"HH")&amp;search_regexp&amp;""""</f>
        <v>#VALUE!</v>
      </c>
      <c r="IJV28" s="234" t="e">
        <f>astrogrep_path&amp;" /e /r /s /spath="&amp;search_path&amp;" /stypes=""app*"&amp;IIR28&amp;"*"&amp;TEXT(IIY28-utc_offset/24,"YYYYMMDD")&amp;"*"" /stext="" "&amp;TEXT(IIY28-utc_offset/24,"HH")&amp;search_regexp&amp;""""</f>
        <v>#VALUE!</v>
      </c>
      <c r="IJW28" s="234" t="e">
        <f>astrogrep_path&amp;" /e /r /s /spath="&amp;search_path&amp;" /stypes=""app*"&amp;IIS28&amp;"*"&amp;TEXT(IIZ28-utc_offset/24,"YYYYMMDD")&amp;"*"" /stext="" "&amp;TEXT(IIZ28-utc_offset/24,"HH")&amp;search_regexp&amp;""""</f>
        <v>#VALUE!</v>
      </c>
      <c r="IJX28" s="234" t="e">
        <f>astrogrep_path&amp;" /e /r /s /spath="&amp;search_path&amp;" /stypes=""app*"&amp;IIT28&amp;"*"&amp;TEXT(IJA28-utc_offset/24,"YYYYMMDD")&amp;"*"" /stext="" "&amp;TEXT(IJA28-utc_offset/24,"HH")&amp;search_regexp&amp;""""</f>
        <v>#VALUE!</v>
      </c>
      <c r="IJY28" s="234" t="e">
        <f>astrogrep_path&amp;" /e /r /s /spath="&amp;search_path&amp;" /stypes=""app*"&amp;IIU28&amp;"*"&amp;TEXT(IJB28-utc_offset/24,"YYYYMMDD")&amp;"*"" /stext="" "&amp;TEXT(IJB28-utc_offset/24,"HH")&amp;search_regexp&amp;""""</f>
        <v>#VALUE!</v>
      </c>
      <c r="IJZ28" s="234" t="e">
        <f>astrogrep_path&amp;" /e /r /s /spath="&amp;search_path&amp;" /stypes=""app*"&amp;IIV28&amp;"*"&amp;TEXT(IJC28-utc_offset/24,"YYYYMMDD")&amp;"*"" /stext="" "&amp;TEXT(IJC28-utc_offset/24,"HH")&amp;search_regexp&amp;""""</f>
        <v>#REF!</v>
      </c>
      <c r="IKA28" s="234" t="e">
        <f>astrogrep_path&amp;" /e /r /s /spath="&amp;search_path&amp;" /stypes=""app*"&amp;IIW28&amp;"*"&amp;TEXT(IJD28-utc_offset/24,"YYYYMMDD")&amp;"*"" /stext="" "&amp;TEXT(IJD28-utc_offset/24,"HH")&amp;search_regexp&amp;""""</f>
        <v>#REF!</v>
      </c>
      <c r="IKB28" s="234" t="e">
        <f>astrogrep_path&amp;" /e /r /s /spath="&amp;search_path&amp;" /stypes=""app*"&amp;IIX28&amp;"*"&amp;TEXT(IJE28-utc_offset/24,"YYYYMMDD")&amp;"*"" /stext="" "&amp;TEXT(IJE28-utc_offset/24,"HH")&amp;search_regexp&amp;""""</f>
        <v>#REF!</v>
      </c>
      <c r="IKC28" s="234" t="e">
        <f>astrogrep_path&amp;" /e /r /s /spath="&amp;search_path&amp;" /stypes=""app*"&amp;IIY28&amp;"*"&amp;TEXT(IJF28-utc_offset/24,"YYYYMMDD")&amp;"*"" /stext="" "&amp;TEXT(IJF28-utc_offset/24,"HH")&amp;search_regexp&amp;""""</f>
        <v>#REF!</v>
      </c>
      <c r="IKD28" s="234" t="e">
        <f>astrogrep_path&amp;" /e /r /s /spath="&amp;search_path&amp;" /stypes=""app*"&amp;IIZ28&amp;"*"&amp;TEXT(IJG28-utc_offset/24,"YYYYMMDD")&amp;"*"" /stext="" "&amp;TEXT(IJG28-utc_offset/24,"HH")&amp;search_regexp&amp;""""</f>
        <v>#REF!</v>
      </c>
      <c r="IKE28" s="234" t="e">
        <f>astrogrep_path&amp;" /e /r /s /spath="&amp;search_path&amp;" /stypes=""app*"&amp;IJA28&amp;"*"&amp;TEXT(IJH28-utc_offset/24,"YYYYMMDD")&amp;"*"" /stext="" "&amp;TEXT(IJH28-utc_offset/24,"HH")&amp;search_regexp&amp;""""</f>
        <v>#REF!</v>
      </c>
      <c r="IKF28" s="234" t="e">
        <f>astrogrep_path&amp;" /e /r /s /spath="&amp;search_path&amp;" /stypes=""app*"&amp;IJB28&amp;"*"&amp;TEXT(IJI28-utc_offset/24,"YYYYMMDD")&amp;"*"" /stext="" "&amp;TEXT(IJI28-utc_offset/24,"HH")&amp;search_regexp&amp;""""</f>
        <v>#REF!</v>
      </c>
      <c r="IKG28" s="234" t="e">
        <f>astrogrep_path&amp;" /e /r /s /spath="&amp;search_path&amp;" /stypes=""app*"&amp;IJC28&amp;"*"&amp;TEXT(IJJ28-utc_offset/24,"YYYYMMDD")&amp;"*"" /stext="" "&amp;TEXT(IJJ28-utc_offset/24,"HH")&amp;search_regexp&amp;""""</f>
        <v>#REF!</v>
      </c>
      <c r="IKH28" s="234" t="e">
        <f>astrogrep_path&amp;" /e /r /s /spath="&amp;search_path&amp;" /stypes=""app*"&amp;IJD28&amp;"*"&amp;TEXT(IJK28-utc_offset/24,"YYYYMMDD")&amp;"*"" /stext="" "&amp;TEXT(IJK28-utc_offset/24,"HH")&amp;search_regexp&amp;""""</f>
        <v>#REF!</v>
      </c>
      <c r="IKI28" s="234" t="e">
        <f>astrogrep_path&amp;" /e /r /s /spath="&amp;search_path&amp;" /stypes=""app*"&amp;IJE28&amp;"*"&amp;TEXT(IJL28-utc_offset/24,"YYYYMMDD")&amp;"*"" /stext="" "&amp;TEXT(IJL28-utc_offset/24,"HH")&amp;search_regexp&amp;""""</f>
        <v>#REF!</v>
      </c>
      <c r="IKJ28" s="234" t="e">
        <f>astrogrep_path&amp;" /e /r /s /spath="&amp;search_path&amp;" /stypes=""app*"&amp;IJF28&amp;"*"&amp;TEXT(IJM28-utc_offset/24,"YYYYMMDD")&amp;"*"" /stext="" "&amp;TEXT(IJM28-utc_offset/24,"HH")&amp;search_regexp&amp;""""</f>
        <v>#REF!</v>
      </c>
      <c r="IKK28" s="234" t="e">
        <f>astrogrep_path&amp;" /e /r /s /spath="&amp;search_path&amp;" /stypes=""app*"&amp;IJG28&amp;"*"&amp;TEXT(IJN28-utc_offset/24,"YYYYMMDD")&amp;"*"" /stext="" "&amp;TEXT(IJN28-utc_offset/24,"HH")&amp;search_regexp&amp;""""</f>
        <v>#REF!</v>
      </c>
      <c r="IKL28" s="234" t="e">
        <f>astrogrep_path&amp;" /e /r /s /spath="&amp;search_path&amp;" /stypes=""app*"&amp;IJH28&amp;"*"&amp;TEXT(IJO28-utc_offset/24,"YYYYMMDD")&amp;"*"" /stext="" "&amp;TEXT(IJO28-utc_offset/24,"HH")&amp;search_regexp&amp;""""</f>
        <v>#REF!</v>
      </c>
      <c r="IKM28" s="234" t="e">
        <f>astrogrep_path&amp;" /e /r /s /spath="&amp;search_path&amp;" /stypes=""app*"&amp;IJI28&amp;"*"&amp;TEXT(IJP28-utc_offset/24,"YYYYMMDD")&amp;"*"" /stext="" "&amp;TEXT(IJP28-utc_offset/24,"HH")&amp;search_regexp&amp;""""</f>
        <v>#REF!</v>
      </c>
      <c r="IKN28" s="234" t="e">
        <f>astrogrep_path&amp;" /e /r /s /spath="&amp;search_path&amp;" /stypes=""app*"&amp;IJJ28&amp;"*"&amp;TEXT(IJQ28-utc_offset/24,"YYYYMMDD")&amp;"*"" /stext="" "&amp;TEXT(IJQ28-utc_offset/24,"HH")&amp;search_regexp&amp;""""</f>
        <v>#REF!</v>
      </c>
      <c r="IKO28" s="234" t="e">
        <f>astrogrep_path&amp;" /e /r /s /spath="&amp;search_path&amp;" /stypes=""app*"&amp;IJK28&amp;"*"&amp;TEXT(IJR28-utc_offset/24,"YYYYMMDD")&amp;"*"" /stext="" "&amp;TEXT(IJR28-utc_offset/24,"HH")&amp;search_regexp&amp;""""</f>
        <v>#REF!</v>
      </c>
      <c r="IKP28" s="234" t="e">
        <f>astrogrep_path&amp;" /e /r /s /spath="&amp;search_path&amp;" /stypes=""app*"&amp;IJL28&amp;"*"&amp;TEXT(IJS28-utc_offset/24,"YYYYMMDD")&amp;"*"" /stext="" "&amp;TEXT(IJS28-utc_offset/24,"HH")&amp;search_regexp&amp;""""</f>
        <v>#REF!</v>
      </c>
      <c r="IKQ28" s="234" t="e">
        <f>astrogrep_path&amp;" /e /r /s /spath="&amp;search_path&amp;" /stypes=""app*"&amp;IJM28&amp;"*"&amp;TEXT(IJT28-utc_offset/24,"YYYYMMDD")&amp;"*"" /stext="" "&amp;TEXT(IJT28-utc_offset/24,"HH")&amp;search_regexp&amp;""""</f>
        <v>#REF!</v>
      </c>
      <c r="IKR28" s="234" t="e">
        <f>astrogrep_path&amp;" /e /r /s /spath="&amp;search_path&amp;" /stypes=""app*"&amp;IJN28&amp;"*"&amp;TEXT(IJU28-utc_offset/24,"YYYYMMDD")&amp;"*"" /stext="" "&amp;TEXT(IJU28-utc_offset/24,"HH")&amp;search_regexp&amp;""""</f>
        <v>#REF!</v>
      </c>
      <c r="IKS28" s="234" t="e">
        <f>astrogrep_path&amp;" /e /r /s /spath="&amp;search_path&amp;" /stypes=""app*"&amp;IJO28&amp;"*"&amp;TEXT(IJV28-utc_offset/24,"YYYYMMDD")&amp;"*"" /stext="" "&amp;TEXT(IJV28-utc_offset/24,"HH")&amp;search_regexp&amp;""""</f>
        <v>#REF!</v>
      </c>
      <c r="IKT28" s="234" t="e">
        <f>astrogrep_path&amp;" /e /r /s /spath="&amp;search_path&amp;" /stypes=""app*"&amp;IJP28&amp;"*"&amp;TEXT(IJW28-utc_offset/24,"YYYYMMDD")&amp;"*"" /stext="" "&amp;TEXT(IJW28-utc_offset/24,"HH")&amp;search_regexp&amp;""""</f>
        <v>#REF!</v>
      </c>
      <c r="IKU28" s="234" t="e">
        <f>astrogrep_path&amp;" /e /r /s /spath="&amp;search_path&amp;" /stypes=""app*"&amp;IJQ28&amp;"*"&amp;TEXT(IJX28-utc_offset/24,"YYYYMMDD")&amp;"*"" /stext="" "&amp;TEXT(IJX28-utc_offset/24,"HH")&amp;search_regexp&amp;""""</f>
        <v>#VALUE!</v>
      </c>
      <c r="IKV28" s="234" t="e">
        <f>astrogrep_path&amp;" /e /r /s /spath="&amp;search_path&amp;" /stypes=""app*"&amp;IJR28&amp;"*"&amp;TEXT(IJY28-utc_offset/24,"YYYYMMDD")&amp;"*"" /stext="" "&amp;TEXT(IJY28-utc_offset/24,"HH")&amp;search_regexp&amp;""""</f>
        <v>#VALUE!</v>
      </c>
      <c r="IKW28" s="234" t="e">
        <f>astrogrep_path&amp;" /e /r /s /spath="&amp;search_path&amp;" /stypes=""app*"&amp;IJS28&amp;"*"&amp;TEXT(IJZ28-utc_offset/24,"YYYYMMDD")&amp;"*"" /stext="" "&amp;TEXT(IJZ28-utc_offset/24,"HH")&amp;search_regexp&amp;""""</f>
        <v>#REF!</v>
      </c>
      <c r="IKX28" s="234" t="e">
        <f>astrogrep_path&amp;" /e /r /s /spath="&amp;search_path&amp;" /stypes=""app*"&amp;IJT28&amp;"*"&amp;TEXT(IKA28-utc_offset/24,"YYYYMMDD")&amp;"*"" /stext="" "&amp;TEXT(IKA28-utc_offset/24,"HH")&amp;search_regexp&amp;""""</f>
        <v>#REF!</v>
      </c>
      <c r="IKY28" s="234" t="e">
        <f>astrogrep_path&amp;" /e /r /s /spath="&amp;search_path&amp;" /stypes=""app*"&amp;IJU28&amp;"*"&amp;TEXT(IKB28-utc_offset/24,"YYYYMMDD")&amp;"*"" /stext="" "&amp;TEXT(IKB28-utc_offset/24,"HH")&amp;search_regexp&amp;""""</f>
        <v>#VALUE!</v>
      </c>
      <c r="IKZ28" s="234" t="e">
        <f>astrogrep_path&amp;" /e /r /s /spath="&amp;search_path&amp;" /stypes=""app*"&amp;IJV28&amp;"*"&amp;TEXT(IKC28-utc_offset/24,"YYYYMMDD")&amp;"*"" /stext="" "&amp;TEXT(IKC28-utc_offset/24,"HH")&amp;search_regexp&amp;""""</f>
        <v>#VALUE!</v>
      </c>
      <c r="ILA28" s="234" t="e">
        <f>astrogrep_path&amp;" /e /r /s /spath="&amp;search_path&amp;" /stypes=""app*"&amp;IJW28&amp;"*"&amp;TEXT(IKD28-utc_offset/24,"YYYYMMDD")&amp;"*"" /stext="" "&amp;TEXT(IKD28-utc_offset/24,"HH")&amp;search_regexp&amp;""""</f>
        <v>#VALUE!</v>
      </c>
      <c r="ILB28" s="234" t="e">
        <f>astrogrep_path&amp;" /e /r /s /spath="&amp;search_path&amp;" /stypes=""app*"&amp;IJX28&amp;"*"&amp;TEXT(IKE28-utc_offset/24,"YYYYMMDD")&amp;"*"" /stext="" "&amp;TEXT(IKE28-utc_offset/24,"HH")&amp;search_regexp&amp;""""</f>
        <v>#VALUE!</v>
      </c>
      <c r="ILC28" s="234" t="e">
        <f>astrogrep_path&amp;" /e /r /s /spath="&amp;search_path&amp;" /stypes=""app*"&amp;IJY28&amp;"*"&amp;TEXT(IKF28-utc_offset/24,"YYYYMMDD")&amp;"*"" /stext="" "&amp;TEXT(IKF28-utc_offset/24,"HH")&amp;search_regexp&amp;""""</f>
        <v>#VALUE!</v>
      </c>
      <c r="ILD28" s="234" t="e">
        <f>astrogrep_path&amp;" /e /r /s /spath="&amp;search_path&amp;" /stypes=""app*"&amp;IJZ28&amp;"*"&amp;TEXT(IKG28-utc_offset/24,"YYYYMMDD")&amp;"*"" /stext="" "&amp;TEXT(IKG28-utc_offset/24,"HH")&amp;search_regexp&amp;""""</f>
        <v>#REF!</v>
      </c>
      <c r="ILE28" s="234" t="e">
        <f>astrogrep_path&amp;" /e /r /s /spath="&amp;search_path&amp;" /stypes=""app*"&amp;IKA28&amp;"*"&amp;TEXT(IKH28-utc_offset/24,"YYYYMMDD")&amp;"*"" /stext="" "&amp;TEXT(IKH28-utc_offset/24,"HH")&amp;search_regexp&amp;""""</f>
        <v>#REF!</v>
      </c>
      <c r="ILF28" s="234" t="e">
        <f>astrogrep_path&amp;" /e /r /s /spath="&amp;search_path&amp;" /stypes=""app*"&amp;IKB28&amp;"*"&amp;TEXT(IKI28-utc_offset/24,"YYYYMMDD")&amp;"*"" /stext="" "&amp;TEXT(IKI28-utc_offset/24,"HH")&amp;search_regexp&amp;""""</f>
        <v>#REF!</v>
      </c>
      <c r="ILG28" s="234" t="e">
        <f>astrogrep_path&amp;" /e /r /s /spath="&amp;search_path&amp;" /stypes=""app*"&amp;IKC28&amp;"*"&amp;TEXT(IKJ28-utc_offset/24,"YYYYMMDD")&amp;"*"" /stext="" "&amp;TEXT(IKJ28-utc_offset/24,"HH")&amp;search_regexp&amp;""""</f>
        <v>#REF!</v>
      </c>
      <c r="ILH28" s="234" t="e">
        <f>astrogrep_path&amp;" /e /r /s /spath="&amp;search_path&amp;" /stypes=""app*"&amp;IKD28&amp;"*"&amp;TEXT(IKK28-utc_offset/24,"YYYYMMDD")&amp;"*"" /stext="" "&amp;TEXT(IKK28-utc_offset/24,"HH")&amp;search_regexp&amp;""""</f>
        <v>#REF!</v>
      </c>
      <c r="ILI28" s="234" t="e">
        <f>astrogrep_path&amp;" /e /r /s /spath="&amp;search_path&amp;" /stypes=""app*"&amp;IKE28&amp;"*"&amp;TEXT(IKL28-utc_offset/24,"YYYYMMDD")&amp;"*"" /stext="" "&amp;TEXT(IKL28-utc_offset/24,"HH")&amp;search_regexp&amp;""""</f>
        <v>#REF!</v>
      </c>
      <c r="ILJ28" s="234" t="e">
        <f>astrogrep_path&amp;" /e /r /s /spath="&amp;search_path&amp;" /stypes=""app*"&amp;IKF28&amp;"*"&amp;TEXT(IKM28-utc_offset/24,"YYYYMMDD")&amp;"*"" /stext="" "&amp;TEXT(IKM28-utc_offset/24,"HH")&amp;search_regexp&amp;""""</f>
        <v>#REF!</v>
      </c>
      <c r="ILK28" s="234" t="e">
        <f>astrogrep_path&amp;" /e /r /s /spath="&amp;search_path&amp;" /stypes=""app*"&amp;IKG28&amp;"*"&amp;TEXT(IKN28-utc_offset/24,"YYYYMMDD")&amp;"*"" /stext="" "&amp;TEXT(IKN28-utc_offset/24,"HH")&amp;search_regexp&amp;""""</f>
        <v>#REF!</v>
      </c>
      <c r="ILL28" s="234" t="e">
        <f>astrogrep_path&amp;" /e /r /s /spath="&amp;search_path&amp;" /stypes=""app*"&amp;IKH28&amp;"*"&amp;TEXT(IKO28-utc_offset/24,"YYYYMMDD")&amp;"*"" /stext="" "&amp;TEXT(IKO28-utc_offset/24,"HH")&amp;search_regexp&amp;""""</f>
        <v>#REF!</v>
      </c>
      <c r="ILM28" s="234" t="e">
        <f>astrogrep_path&amp;" /e /r /s /spath="&amp;search_path&amp;" /stypes=""app*"&amp;IKI28&amp;"*"&amp;TEXT(IKP28-utc_offset/24,"YYYYMMDD")&amp;"*"" /stext="" "&amp;TEXT(IKP28-utc_offset/24,"HH")&amp;search_regexp&amp;""""</f>
        <v>#REF!</v>
      </c>
      <c r="ILN28" s="234" t="e">
        <f>astrogrep_path&amp;" /e /r /s /spath="&amp;search_path&amp;" /stypes=""app*"&amp;IKJ28&amp;"*"&amp;TEXT(IKQ28-utc_offset/24,"YYYYMMDD")&amp;"*"" /stext="" "&amp;TEXT(IKQ28-utc_offset/24,"HH")&amp;search_regexp&amp;""""</f>
        <v>#REF!</v>
      </c>
      <c r="ILO28" s="234" t="e">
        <f>astrogrep_path&amp;" /e /r /s /spath="&amp;search_path&amp;" /stypes=""app*"&amp;IKK28&amp;"*"&amp;TEXT(IKR28-utc_offset/24,"YYYYMMDD")&amp;"*"" /stext="" "&amp;TEXT(IKR28-utc_offset/24,"HH")&amp;search_regexp&amp;""""</f>
        <v>#REF!</v>
      </c>
      <c r="ILP28" s="234" t="e">
        <f>astrogrep_path&amp;" /e /r /s /spath="&amp;search_path&amp;" /stypes=""app*"&amp;IKL28&amp;"*"&amp;TEXT(IKS28-utc_offset/24,"YYYYMMDD")&amp;"*"" /stext="" "&amp;TEXT(IKS28-utc_offset/24,"HH")&amp;search_regexp&amp;""""</f>
        <v>#REF!</v>
      </c>
      <c r="ILQ28" s="234" t="e">
        <f>astrogrep_path&amp;" /e /r /s /spath="&amp;search_path&amp;" /stypes=""app*"&amp;IKM28&amp;"*"&amp;TEXT(IKT28-utc_offset/24,"YYYYMMDD")&amp;"*"" /stext="" "&amp;TEXT(IKT28-utc_offset/24,"HH")&amp;search_regexp&amp;""""</f>
        <v>#REF!</v>
      </c>
      <c r="ILR28" s="234" t="e">
        <f>astrogrep_path&amp;" /e /r /s /spath="&amp;search_path&amp;" /stypes=""app*"&amp;IKN28&amp;"*"&amp;TEXT(IKU28-utc_offset/24,"YYYYMMDD")&amp;"*"" /stext="" "&amp;TEXT(IKU28-utc_offset/24,"HH")&amp;search_regexp&amp;""""</f>
        <v>#REF!</v>
      </c>
      <c r="ILS28" s="234" t="e">
        <f>astrogrep_path&amp;" /e /r /s /spath="&amp;search_path&amp;" /stypes=""app*"&amp;IKO28&amp;"*"&amp;TEXT(IKV28-utc_offset/24,"YYYYMMDD")&amp;"*"" /stext="" "&amp;TEXT(IKV28-utc_offset/24,"HH")&amp;search_regexp&amp;""""</f>
        <v>#REF!</v>
      </c>
      <c r="ILT28" s="234" t="e">
        <f>astrogrep_path&amp;" /e /r /s /spath="&amp;search_path&amp;" /stypes=""app*"&amp;IKP28&amp;"*"&amp;TEXT(IKW28-utc_offset/24,"YYYYMMDD")&amp;"*"" /stext="" "&amp;TEXT(IKW28-utc_offset/24,"HH")&amp;search_regexp&amp;""""</f>
        <v>#REF!</v>
      </c>
      <c r="ILU28" s="234" t="e">
        <f>astrogrep_path&amp;" /e /r /s /spath="&amp;search_path&amp;" /stypes=""app*"&amp;IKQ28&amp;"*"&amp;TEXT(IKX28-utc_offset/24,"YYYYMMDD")&amp;"*"" /stext="" "&amp;TEXT(IKX28-utc_offset/24,"HH")&amp;search_regexp&amp;""""</f>
        <v>#REF!</v>
      </c>
      <c r="ILV28" s="234" t="e">
        <f>astrogrep_path&amp;" /e /r /s /spath="&amp;search_path&amp;" /stypes=""app*"&amp;IKR28&amp;"*"&amp;TEXT(IKY28-utc_offset/24,"YYYYMMDD")&amp;"*"" /stext="" "&amp;TEXT(IKY28-utc_offset/24,"HH")&amp;search_regexp&amp;""""</f>
        <v>#REF!</v>
      </c>
      <c r="ILW28" s="234" t="e">
        <f>astrogrep_path&amp;" /e /r /s /spath="&amp;search_path&amp;" /stypes=""app*"&amp;IKS28&amp;"*"&amp;TEXT(IKZ28-utc_offset/24,"YYYYMMDD")&amp;"*"" /stext="" "&amp;TEXT(IKZ28-utc_offset/24,"HH")&amp;search_regexp&amp;""""</f>
        <v>#REF!</v>
      </c>
      <c r="ILX28" s="234" t="e">
        <f>astrogrep_path&amp;" /e /r /s /spath="&amp;search_path&amp;" /stypes=""app*"&amp;IKT28&amp;"*"&amp;TEXT(ILA28-utc_offset/24,"YYYYMMDD")&amp;"*"" /stext="" "&amp;TEXT(ILA28-utc_offset/24,"HH")&amp;search_regexp&amp;""""</f>
        <v>#REF!</v>
      </c>
      <c r="ILY28" s="234" t="e">
        <f>astrogrep_path&amp;" /e /r /s /spath="&amp;search_path&amp;" /stypes=""app*"&amp;IKU28&amp;"*"&amp;TEXT(ILB28-utc_offset/24,"YYYYMMDD")&amp;"*"" /stext="" "&amp;TEXT(ILB28-utc_offset/24,"HH")&amp;search_regexp&amp;""""</f>
        <v>#VALUE!</v>
      </c>
      <c r="ILZ28" s="234" t="e">
        <f>astrogrep_path&amp;" /e /r /s /spath="&amp;search_path&amp;" /stypes=""app*"&amp;IKV28&amp;"*"&amp;TEXT(ILC28-utc_offset/24,"YYYYMMDD")&amp;"*"" /stext="" "&amp;TEXT(ILC28-utc_offset/24,"HH")&amp;search_regexp&amp;""""</f>
        <v>#VALUE!</v>
      </c>
      <c r="IMA28" s="234" t="e">
        <f>astrogrep_path&amp;" /e /r /s /spath="&amp;search_path&amp;" /stypes=""app*"&amp;IKW28&amp;"*"&amp;TEXT(ILD28-utc_offset/24,"YYYYMMDD")&amp;"*"" /stext="" "&amp;TEXT(ILD28-utc_offset/24,"HH")&amp;search_regexp&amp;""""</f>
        <v>#REF!</v>
      </c>
      <c r="IMB28" s="234" t="e">
        <f>astrogrep_path&amp;" /e /r /s /spath="&amp;search_path&amp;" /stypes=""app*"&amp;IKX28&amp;"*"&amp;TEXT(ILE28-utc_offset/24,"YYYYMMDD")&amp;"*"" /stext="" "&amp;TEXT(ILE28-utc_offset/24,"HH")&amp;search_regexp&amp;""""</f>
        <v>#REF!</v>
      </c>
      <c r="IMC28" s="234" t="e">
        <f>astrogrep_path&amp;" /e /r /s /spath="&amp;search_path&amp;" /stypes=""app*"&amp;IKY28&amp;"*"&amp;TEXT(ILF28-utc_offset/24,"YYYYMMDD")&amp;"*"" /stext="" "&amp;TEXT(ILF28-utc_offset/24,"HH")&amp;search_regexp&amp;""""</f>
        <v>#VALUE!</v>
      </c>
      <c r="IMD28" s="234" t="e">
        <f>astrogrep_path&amp;" /e /r /s /spath="&amp;search_path&amp;" /stypes=""app*"&amp;IKZ28&amp;"*"&amp;TEXT(ILG28-utc_offset/24,"YYYYMMDD")&amp;"*"" /stext="" "&amp;TEXT(ILG28-utc_offset/24,"HH")&amp;search_regexp&amp;""""</f>
        <v>#VALUE!</v>
      </c>
      <c r="IME28" s="234" t="e">
        <f>astrogrep_path&amp;" /e /r /s /spath="&amp;search_path&amp;" /stypes=""app*"&amp;ILA28&amp;"*"&amp;TEXT(ILH28-utc_offset/24,"YYYYMMDD")&amp;"*"" /stext="" "&amp;TEXT(ILH28-utc_offset/24,"HH")&amp;search_regexp&amp;""""</f>
        <v>#VALUE!</v>
      </c>
      <c r="IMF28" s="234" t="e">
        <f>astrogrep_path&amp;" /e /r /s /spath="&amp;search_path&amp;" /stypes=""app*"&amp;ILB28&amp;"*"&amp;TEXT(ILI28-utc_offset/24,"YYYYMMDD")&amp;"*"" /stext="" "&amp;TEXT(ILI28-utc_offset/24,"HH")&amp;search_regexp&amp;""""</f>
        <v>#VALUE!</v>
      </c>
      <c r="IMG28" s="234" t="e">
        <f>astrogrep_path&amp;" /e /r /s /spath="&amp;search_path&amp;" /stypes=""app*"&amp;ILC28&amp;"*"&amp;TEXT(ILJ28-utc_offset/24,"YYYYMMDD")&amp;"*"" /stext="" "&amp;TEXT(ILJ28-utc_offset/24,"HH")&amp;search_regexp&amp;""""</f>
        <v>#VALUE!</v>
      </c>
      <c r="IMH28" s="234" t="e">
        <f>astrogrep_path&amp;" /e /r /s /spath="&amp;search_path&amp;" /stypes=""app*"&amp;ILD28&amp;"*"&amp;TEXT(ILK28-utc_offset/24,"YYYYMMDD")&amp;"*"" /stext="" "&amp;TEXT(ILK28-utc_offset/24,"HH")&amp;search_regexp&amp;""""</f>
        <v>#REF!</v>
      </c>
      <c r="IMI28" s="234" t="e">
        <f>astrogrep_path&amp;" /e /r /s /spath="&amp;search_path&amp;" /stypes=""app*"&amp;ILE28&amp;"*"&amp;TEXT(ILL28-utc_offset/24,"YYYYMMDD")&amp;"*"" /stext="" "&amp;TEXT(ILL28-utc_offset/24,"HH")&amp;search_regexp&amp;""""</f>
        <v>#REF!</v>
      </c>
      <c r="IMJ28" s="234" t="e">
        <f>astrogrep_path&amp;" /e /r /s /spath="&amp;search_path&amp;" /stypes=""app*"&amp;ILF28&amp;"*"&amp;TEXT(ILM28-utc_offset/24,"YYYYMMDD")&amp;"*"" /stext="" "&amp;TEXT(ILM28-utc_offset/24,"HH")&amp;search_regexp&amp;""""</f>
        <v>#REF!</v>
      </c>
      <c r="IMK28" s="234" t="e">
        <f>astrogrep_path&amp;" /e /r /s /spath="&amp;search_path&amp;" /stypes=""app*"&amp;ILG28&amp;"*"&amp;TEXT(ILN28-utc_offset/24,"YYYYMMDD")&amp;"*"" /stext="" "&amp;TEXT(ILN28-utc_offset/24,"HH")&amp;search_regexp&amp;""""</f>
        <v>#REF!</v>
      </c>
      <c r="IML28" s="234" t="e">
        <f>astrogrep_path&amp;" /e /r /s /spath="&amp;search_path&amp;" /stypes=""app*"&amp;ILH28&amp;"*"&amp;TEXT(ILO28-utc_offset/24,"YYYYMMDD")&amp;"*"" /stext="" "&amp;TEXT(ILO28-utc_offset/24,"HH")&amp;search_regexp&amp;""""</f>
        <v>#REF!</v>
      </c>
      <c r="IMM28" s="234" t="e">
        <f>astrogrep_path&amp;" /e /r /s /spath="&amp;search_path&amp;" /stypes=""app*"&amp;ILI28&amp;"*"&amp;TEXT(ILP28-utc_offset/24,"YYYYMMDD")&amp;"*"" /stext="" "&amp;TEXT(ILP28-utc_offset/24,"HH")&amp;search_regexp&amp;""""</f>
        <v>#REF!</v>
      </c>
      <c r="IMN28" s="234" t="e">
        <f>astrogrep_path&amp;" /e /r /s /spath="&amp;search_path&amp;" /stypes=""app*"&amp;ILJ28&amp;"*"&amp;TEXT(ILQ28-utc_offset/24,"YYYYMMDD")&amp;"*"" /stext="" "&amp;TEXT(ILQ28-utc_offset/24,"HH")&amp;search_regexp&amp;""""</f>
        <v>#REF!</v>
      </c>
      <c r="IMO28" s="234" t="e">
        <f>astrogrep_path&amp;" /e /r /s /spath="&amp;search_path&amp;" /stypes=""app*"&amp;ILK28&amp;"*"&amp;TEXT(ILR28-utc_offset/24,"YYYYMMDD")&amp;"*"" /stext="" "&amp;TEXT(ILR28-utc_offset/24,"HH")&amp;search_regexp&amp;""""</f>
        <v>#REF!</v>
      </c>
      <c r="IMP28" s="234" t="e">
        <f>astrogrep_path&amp;" /e /r /s /spath="&amp;search_path&amp;" /stypes=""app*"&amp;ILL28&amp;"*"&amp;TEXT(ILS28-utc_offset/24,"YYYYMMDD")&amp;"*"" /stext="" "&amp;TEXT(ILS28-utc_offset/24,"HH")&amp;search_regexp&amp;""""</f>
        <v>#REF!</v>
      </c>
      <c r="IMQ28" s="234" t="e">
        <f>astrogrep_path&amp;" /e /r /s /spath="&amp;search_path&amp;" /stypes=""app*"&amp;ILM28&amp;"*"&amp;TEXT(ILT28-utc_offset/24,"YYYYMMDD")&amp;"*"" /stext="" "&amp;TEXT(ILT28-utc_offset/24,"HH")&amp;search_regexp&amp;""""</f>
        <v>#REF!</v>
      </c>
      <c r="IMR28" s="234" t="e">
        <f>astrogrep_path&amp;" /e /r /s /spath="&amp;search_path&amp;" /stypes=""app*"&amp;ILN28&amp;"*"&amp;TEXT(ILU28-utc_offset/24,"YYYYMMDD")&amp;"*"" /stext="" "&amp;TEXT(ILU28-utc_offset/24,"HH")&amp;search_regexp&amp;""""</f>
        <v>#REF!</v>
      </c>
      <c r="IMS28" s="234" t="e">
        <f>astrogrep_path&amp;" /e /r /s /spath="&amp;search_path&amp;" /stypes=""app*"&amp;ILO28&amp;"*"&amp;TEXT(ILV28-utc_offset/24,"YYYYMMDD")&amp;"*"" /stext="" "&amp;TEXT(ILV28-utc_offset/24,"HH")&amp;search_regexp&amp;""""</f>
        <v>#REF!</v>
      </c>
      <c r="IMT28" s="234" t="e">
        <f>astrogrep_path&amp;" /e /r /s /spath="&amp;search_path&amp;" /stypes=""app*"&amp;ILP28&amp;"*"&amp;TEXT(ILW28-utc_offset/24,"YYYYMMDD")&amp;"*"" /stext="" "&amp;TEXT(ILW28-utc_offset/24,"HH")&amp;search_regexp&amp;""""</f>
        <v>#REF!</v>
      </c>
      <c r="IMU28" s="234" t="e">
        <f>astrogrep_path&amp;" /e /r /s /spath="&amp;search_path&amp;" /stypes=""app*"&amp;ILQ28&amp;"*"&amp;TEXT(ILX28-utc_offset/24,"YYYYMMDD")&amp;"*"" /stext="" "&amp;TEXT(ILX28-utc_offset/24,"HH")&amp;search_regexp&amp;""""</f>
        <v>#REF!</v>
      </c>
      <c r="IMV28" s="234" t="e">
        <f>astrogrep_path&amp;" /e /r /s /spath="&amp;search_path&amp;" /stypes=""app*"&amp;ILR28&amp;"*"&amp;TEXT(ILY28-utc_offset/24,"YYYYMMDD")&amp;"*"" /stext="" "&amp;TEXT(ILY28-utc_offset/24,"HH")&amp;search_regexp&amp;""""</f>
        <v>#REF!</v>
      </c>
      <c r="IMW28" s="234" t="e">
        <f>astrogrep_path&amp;" /e /r /s /spath="&amp;search_path&amp;" /stypes=""app*"&amp;ILS28&amp;"*"&amp;TEXT(ILZ28-utc_offset/24,"YYYYMMDD")&amp;"*"" /stext="" "&amp;TEXT(ILZ28-utc_offset/24,"HH")&amp;search_regexp&amp;""""</f>
        <v>#REF!</v>
      </c>
      <c r="IMX28" s="234" t="e">
        <f>astrogrep_path&amp;" /e /r /s /spath="&amp;search_path&amp;" /stypes=""app*"&amp;ILT28&amp;"*"&amp;TEXT(IMA28-utc_offset/24,"YYYYMMDD")&amp;"*"" /stext="" "&amp;TEXT(IMA28-utc_offset/24,"HH")&amp;search_regexp&amp;""""</f>
        <v>#REF!</v>
      </c>
      <c r="IMY28" s="234" t="e">
        <f>astrogrep_path&amp;" /e /r /s /spath="&amp;search_path&amp;" /stypes=""app*"&amp;ILU28&amp;"*"&amp;TEXT(IMB28-utc_offset/24,"YYYYMMDD")&amp;"*"" /stext="" "&amp;TEXT(IMB28-utc_offset/24,"HH")&amp;search_regexp&amp;""""</f>
        <v>#REF!</v>
      </c>
      <c r="IMZ28" s="234" t="e">
        <f>astrogrep_path&amp;" /e /r /s /spath="&amp;search_path&amp;" /stypes=""app*"&amp;ILV28&amp;"*"&amp;TEXT(IMC28-utc_offset/24,"YYYYMMDD")&amp;"*"" /stext="" "&amp;TEXT(IMC28-utc_offset/24,"HH")&amp;search_regexp&amp;""""</f>
        <v>#REF!</v>
      </c>
      <c r="INA28" s="234" t="e">
        <f>astrogrep_path&amp;" /e /r /s /spath="&amp;search_path&amp;" /stypes=""app*"&amp;ILW28&amp;"*"&amp;TEXT(IMD28-utc_offset/24,"YYYYMMDD")&amp;"*"" /stext="" "&amp;TEXT(IMD28-utc_offset/24,"HH")&amp;search_regexp&amp;""""</f>
        <v>#REF!</v>
      </c>
      <c r="INB28" s="234" t="e">
        <f>astrogrep_path&amp;" /e /r /s /spath="&amp;search_path&amp;" /stypes=""app*"&amp;ILX28&amp;"*"&amp;TEXT(IME28-utc_offset/24,"YYYYMMDD")&amp;"*"" /stext="" "&amp;TEXT(IME28-utc_offset/24,"HH")&amp;search_regexp&amp;""""</f>
        <v>#REF!</v>
      </c>
      <c r="INC28" s="234" t="e">
        <f>astrogrep_path&amp;" /e /r /s /spath="&amp;search_path&amp;" /stypes=""app*"&amp;ILY28&amp;"*"&amp;TEXT(IMF28-utc_offset/24,"YYYYMMDD")&amp;"*"" /stext="" "&amp;TEXT(IMF28-utc_offset/24,"HH")&amp;search_regexp&amp;""""</f>
        <v>#VALUE!</v>
      </c>
      <c r="IND28" s="234" t="e">
        <f>astrogrep_path&amp;" /e /r /s /spath="&amp;search_path&amp;" /stypes=""app*"&amp;ILZ28&amp;"*"&amp;TEXT(IMG28-utc_offset/24,"YYYYMMDD")&amp;"*"" /stext="" "&amp;TEXT(IMG28-utc_offset/24,"HH")&amp;search_regexp&amp;""""</f>
        <v>#VALUE!</v>
      </c>
      <c r="INE28" s="234" t="e">
        <f>astrogrep_path&amp;" /e /r /s /spath="&amp;search_path&amp;" /stypes=""app*"&amp;IMA28&amp;"*"&amp;TEXT(IMH28-utc_offset/24,"YYYYMMDD")&amp;"*"" /stext="" "&amp;TEXT(IMH28-utc_offset/24,"HH")&amp;search_regexp&amp;""""</f>
        <v>#REF!</v>
      </c>
      <c r="INF28" s="234" t="e">
        <f>astrogrep_path&amp;" /e /r /s /spath="&amp;search_path&amp;" /stypes=""app*"&amp;IMB28&amp;"*"&amp;TEXT(IMI28-utc_offset/24,"YYYYMMDD")&amp;"*"" /stext="" "&amp;TEXT(IMI28-utc_offset/24,"HH")&amp;search_regexp&amp;""""</f>
        <v>#REF!</v>
      </c>
      <c r="ING28" s="234" t="e">
        <f>astrogrep_path&amp;" /e /r /s /spath="&amp;search_path&amp;" /stypes=""app*"&amp;IMC28&amp;"*"&amp;TEXT(IMJ28-utc_offset/24,"YYYYMMDD")&amp;"*"" /stext="" "&amp;TEXT(IMJ28-utc_offset/24,"HH")&amp;search_regexp&amp;""""</f>
        <v>#VALUE!</v>
      </c>
      <c r="INH28" s="234" t="e">
        <f>astrogrep_path&amp;" /e /r /s /spath="&amp;search_path&amp;" /stypes=""app*"&amp;IMD28&amp;"*"&amp;TEXT(IMK28-utc_offset/24,"YYYYMMDD")&amp;"*"" /stext="" "&amp;TEXT(IMK28-utc_offset/24,"HH")&amp;search_regexp&amp;""""</f>
        <v>#VALUE!</v>
      </c>
      <c r="INI28" s="234" t="e">
        <f>astrogrep_path&amp;" /e /r /s /spath="&amp;search_path&amp;" /stypes=""app*"&amp;IME28&amp;"*"&amp;TEXT(IML28-utc_offset/24,"YYYYMMDD")&amp;"*"" /stext="" "&amp;TEXT(IML28-utc_offset/24,"HH")&amp;search_regexp&amp;""""</f>
        <v>#VALUE!</v>
      </c>
      <c r="INJ28" s="234" t="e">
        <f>astrogrep_path&amp;" /e /r /s /spath="&amp;search_path&amp;" /stypes=""app*"&amp;IMF28&amp;"*"&amp;TEXT(IMM28-utc_offset/24,"YYYYMMDD")&amp;"*"" /stext="" "&amp;TEXT(IMM28-utc_offset/24,"HH")&amp;search_regexp&amp;""""</f>
        <v>#VALUE!</v>
      </c>
      <c r="INK28" s="234" t="e">
        <f>astrogrep_path&amp;" /e /r /s /spath="&amp;search_path&amp;" /stypes=""app*"&amp;IMG28&amp;"*"&amp;TEXT(IMN28-utc_offset/24,"YYYYMMDD")&amp;"*"" /stext="" "&amp;TEXT(IMN28-utc_offset/24,"HH")&amp;search_regexp&amp;""""</f>
        <v>#VALUE!</v>
      </c>
      <c r="INL28" s="234" t="e">
        <f>astrogrep_path&amp;" /e /r /s /spath="&amp;search_path&amp;" /stypes=""app*"&amp;IMH28&amp;"*"&amp;TEXT(IMO28-utc_offset/24,"YYYYMMDD")&amp;"*"" /stext="" "&amp;TEXT(IMO28-utc_offset/24,"HH")&amp;search_regexp&amp;""""</f>
        <v>#REF!</v>
      </c>
      <c r="INM28" s="234" t="e">
        <f>astrogrep_path&amp;" /e /r /s /spath="&amp;search_path&amp;" /stypes=""app*"&amp;IMI28&amp;"*"&amp;TEXT(IMP28-utc_offset/24,"YYYYMMDD")&amp;"*"" /stext="" "&amp;TEXT(IMP28-utc_offset/24,"HH")&amp;search_regexp&amp;""""</f>
        <v>#REF!</v>
      </c>
      <c r="INN28" s="234" t="e">
        <f>astrogrep_path&amp;" /e /r /s /spath="&amp;search_path&amp;" /stypes=""app*"&amp;IMJ28&amp;"*"&amp;TEXT(IMQ28-utc_offset/24,"YYYYMMDD")&amp;"*"" /stext="" "&amp;TEXT(IMQ28-utc_offset/24,"HH")&amp;search_regexp&amp;""""</f>
        <v>#REF!</v>
      </c>
      <c r="INO28" s="234" t="e">
        <f>astrogrep_path&amp;" /e /r /s /spath="&amp;search_path&amp;" /stypes=""app*"&amp;IMK28&amp;"*"&amp;TEXT(IMR28-utc_offset/24,"YYYYMMDD")&amp;"*"" /stext="" "&amp;TEXT(IMR28-utc_offset/24,"HH")&amp;search_regexp&amp;""""</f>
        <v>#REF!</v>
      </c>
      <c r="INP28" s="234" t="e">
        <f>astrogrep_path&amp;" /e /r /s /spath="&amp;search_path&amp;" /stypes=""app*"&amp;IML28&amp;"*"&amp;TEXT(IMS28-utc_offset/24,"YYYYMMDD")&amp;"*"" /stext="" "&amp;TEXT(IMS28-utc_offset/24,"HH")&amp;search_regexp&amp;""""</f>
        <v>#REF!</v>
      </c>
      <c r="INQ28" s="234" t="e">
        <f>astrogrep_path&amp;" /e /r /s /spath="&amp;search_path&amp;" /stypes=""app*"&amp;IMM28&amp;"*"&amp;TEXT(IMT28-utc_offset/24,"YYYYMMDD")&amp;"*"" /stext="" "&amp;TEXT(IMT28-utc_offset/24,"HH")&amp;search_regexp&amp;""""</f>
        <v>#REF!</v>
      </c>
      <c r="INR28" s="234" t="e">
        <f>astrogrep_path&amp;" /e /r /s /spath="&amp;search_path&amp;" /stypes=""app*"&amp;IMN28&amp;"*"&amp;TEXT(IMU28-utc_offset/24,"YYYYMMDD")&amp;"*"" /stext="" "&amp;TEXT(IMU28-utc_offset/24,"HH")&amp;search_regexp&amp;""""</f>
        <v>#REF!</v>
      </c>
      <c r="INS28" s="234" t="e">
        <f>astrogrep_path&amp;" /e /r /s /spath="&amp;search_path&amp;" /stypes=""app*"&amp;IMO28&amp;"*"&amp;TEXT(IMV28-utc_offset/24,"YYYYMMDD")&amp;"*"" /stext="" "&amp;TEXT(IMV28-utc_offset/24,"HH")&amp;search_regexp&amp;""""</f>
        <v>#REF!</v>
      </c>
      <c r="INT28" s="234" t="e">
        <f>astrogrep_path&amp;" /e /r /s /spath="&amp;search_path&amp;" /stypes=""app*"&amp;IMP28&amp;"*"&amp;TEXT(IMW28-utc_offset/24,"YYYYMMDD")&amp;"*"" /stext="" "&amp;TEXT(IMW28-utc_offset/24,"HH")&amp;search_regexp&amp;""""</f>
        <v>#REF!</v>
      </c>
      <c r="INU28" s="234" t="e">
        <f>astrogrep_path&amp;" /e /r /s /spath="&amp;search_path&amp;" /stypes=""app*"&amp;IMQ28&amp;"*"&amp;TEXT(IMX28-utc_offset/24,"YYYYMMDD")&amp;"*"" /stext="" "&amp;TEXT(IMX28-utc_offset/24,"HH")&amp;search_regexp&amp;""""</f>
        <v>#REF!</v>
      </c>
      <c r="INV28" s="234" t="e">
        <f>astrogrep_path&amp;" /e /r /s /spath="&amp;search_path&amp;" /stypes=""app*"&amp;IMR28&amp;"*"&amp;TEXT(IMY28-utc_offset/24,"YYYYMMDD")&amp;"*"" /stext="" "&amp;TEXT(IMY28-utc_offset/24,"HH")&amp;search_regexp&amp;""""</f>
        <v>#REF!</v>
      </c>
      <c r="INW28" s="234" t="e">
        <f>astrogrep_path&amp;" /e /r /s /spath="&amp;search_path&amp;" /stypes=""app*"&amp;IMS28&amp;"*"&amp;TEXT(IMZ28-utc_offset/24,"YYYYMMDD")&amp;"*"" /stext="" "&amp;TEXT(IMZ28-utc_offset/24,"HH")&amp;search_regexp&amp;""""</f>
        <v>#REF!</v>
      </c>
      <c r="INX28" s="234" t="e">
        <f>astrogrep_path&amp;" /e /r /s /spath="&amp;search_path&amp;" /stypes=""app*"&amp;IMT28&amp;"*"&amp;TEXT(INA28-utc_offset/24,"YYYYMMDD")&amp;"*"" /stext="" "&amp;TEXT(INA28-utc_offset/24,"HH")&amp;search_regexp&amp;""""</f>
        <v>#REF!</v>
      </c>
      <c r="INY28" s="234" t="e">
        <f>astrogrep_path&amp;" /e /r /s /spath="&amp;search_path&amp;" /stypes=""app*"&amp;IMU28&amp;"*"&amp;TEXT(INB28-utc_offset/24,"YYYYMMDD")&amp;"*"" /stext="" "&amp;TEXT(INB28-utc_offset/24,"HH")&amp;search_regexp&amp;""""</f>
        <v>#REF!</v>
      </c>
      <c r="INZ28" s="234" t="e">
        <f>astrogrep_path&amp;" /e /r /s /spath="&amp;search_path&amp;" /stypes=""app*"&amp;IMV28&amp;"*"&amp;TEXT(INC28-utc_offset/24,"YYYYMMDD")&amp;"*"" /stext="" "&amp;TEXT(INC28-utc_offset/24,"HH")&amp;search_regexp&amp;""""</f>
        <v>#REF!</v>
      </c>
      <c r="IOA28" s="234" t="e">
        <f>astrogrep_path&amp;" /e /r /s /spath="&amp;search_path&amp;" /stypes=""app*"&amp;IMW28&amp;"*"&amp;TEXT(IND28-utc_offset/24,"YYYYMMDD")&amp;"*"" /stext="" "&amp;TEXT(IND28-utc_offset/24,"HH")&amp;search_regexp&amp;""""</f>
        <v>#REF!</v>
      </c>
      <c r="IOB28" s="234" t="e">
        <f>astrogrep_path&amp;" /e /r /s /spath="&amp;search_path&amp;" /stypes=""app*"&amp;IMX28&amp;"*"&amp;TEXT(INE28-utc_offset/24,"YYYYMMDD")&amp;"*"" /stext="" "&amp;TEXT(INE28-utc_offset/24,"HH")&amp;search_regexp&amp;""""</f>
        <v>#REF!</v>
      </c>
      <c r="IOC28" s="234" t="e">
        <f>astrogrep_path&amp;" /e /r /s /spath="&amp;search_path&amp;" /stypes=""app*"&amp;IMY28&amp;"*"&amp;TEXT(INF28-utc_offset/24,"YYYYMMDD")&amp;"*"" /stext="" "&amp;TEXT(INF28-utc_offset/24,"HH")&amp;search_regexp&amp;""""</f>
        <v>#REF!</v>
      </c>
      <c r="IOD28" s="234" t="e">
        <f>astrogrep_path&amp;" /e /r /s /spath="&amp;search_path&amp;" /stypes=""app*"&amp;IMZ28&amp;"*"&amp;TEXT(ING28-utc_offset/24,"YYYYMMDD")&amp;"*"" /stext="" "&amp;TEXT(ING28-utc_offset/24,"HH")&amp;search_regexp&amp;""""</f>
        <v>#REF!</v>
      </c>
      <c r="IOE28" s="234" t="e">
        <f>astrogrep_path&amp;" /e /r /s /spath="&amp;search_path&amp;" /stypes=""app*"&amp;INA28&amp;"*"&amp;TEXT(INH28-utc_offset/24,"YYYYMMDD")&amp;"*"" /stext="" "&amp;TEXT(INH28-utc_offset/24,"HH")&amp;search_regexp&amp;""""</f>
        <v>#REF!</v>
      </c>
      <c r="IOF28" s="234" t="e">
        <f>astrogrep_path&amp;" /e /r /s /spath="&amp;search_path&amp;" /stypes=""app*"&amp;INB28&amp;"*"&amp;TEXT(INI28-utc_offset/24,"YYYYMMDD")&amp;"*"" /stext="" "&amp;TEXT(INI28-utc_offset/24,"HH")&amp;search_regexp&amp;""""</f>
        <v>#REF!</v>
      </c>
      <c r="IOG28" s="234" t="e">
        <f>astrogrep_path&amp;" /e /r /s /spath="&amp;search_path&amp;" /stypes=""app*"&amp;INC28&amp;"*"&amp;TEXT(INJ28-utc_offset/24,"YYYYMMDD")&amp;"*"" /stext="" "&amp;TEXT(INJ28-utc_offset/24,"HH")&amp;search_regexp&amp;""""</f>
        <v>#VALUE!</v>
      </c>
      <c r="IOH28" s="234" t="e">
        <f>astrogrep_path&amp;" /e /r /s /spath="&amp;search_path&amp;" /stypes=""app*"&amp;IND28&amp;"*"&amp;TEXT(INK28-utc_offset/24,"YYYYMMDD")&amp;"*"" /stext="" "&amp;TEXT(INK28-utc_offset/24,"HH")&amp;search_regexp&amp;""""</f>
        <v>#VALUE!</v>
      </c>
      <c r="IOI28" s="234" t="e">
        <f>astrogrep_path&amp;" /e /r /s /spath="&amp;search_path&amp;" /stypes=""app*"&amp;INE28&amp;"*"&amp;TEXT(INL28-utc_offset/24,"YYYYMMDD")&amp;"*"" /stext="" "&amp;TEXT(INL28-utc_offset/24,"HH")&amp;search_regexp&amp;""""</f>
        <v>#REF!</v>
      </c>
      <c r="IOJ28" s="234" t="e">
        <f>astrogrep_path&amp;" /e /r /s /spath="&amp;search_path&amp;" /stypes=""app*"&amp;INF28&amp;"*"&amp;TEXT(INM28-utc_offset/24,"YYYYMMDD")&amp;"*"" /stext="" "&amp;TEXT(INM28-utc_offset/24,"HH")&amp;search_regexp&amp;""""</f>
        <v>#REF!</v>
      </c>
      <c r="IOK28" s="234" t="e">
        <f>astrogrep_path&amp;" /e /r /s /spath="&amp;search_path&amp;" /stypes=""app*"&amp;ING28&amp;"*"&amp;TEXT(INN28-utc_offset/24,"YYYYMMDD")&amp;"*"" /stext="" "&amp;TEXT(INN28-utc_offset/24,"HH")&amp;search_regexp&amp;""""</f>
        <v>#VALUE!</v>
      </c>
      <c r="IOL28" s="234" t="e">
        <f>astrogrep_path&amp;" /e /r /s /spath="&amp;search_path&amp;" /stypes=""app*"&amp;INH28&amp;"*"&amp;TEXT(INO28-utc_offset/24,"YYYYMMDD")&amp;"*"" /stext="" "&amp;TEXT(INO28-utc_offset/24,"HH")&amp;search_regexp&amp;""""</f>
        <v>#VALUE!</v>
      </c>
      <c r="IOM28" s="234" t="e">
        <f>astrogrep_path&amp;" /e /r /s /spath="&amp;search_path&amp;" /stypes=""app*"&amp;INI28&amp;"*"&amp;TEXT(INP28-utc_offset/24,"YYYYMMDD")&amp;"*"" /stext="" "&amp;TEXT(INP28-utc_offset/24,"HH")&amp;search_regexp&amp;""""</f>
        <v>#VALUE!</v>
      </c>
      <c r="ION28" s="234" t="e">
        <f>astrogrep_path&amp;" /e /r /s /spath="&amp;search_path&amp;" /stypes=""app*"&amp;INJ28&amp;"*"&amp;TEXT(INQ28-utc_offset/24,"YYYYMMDD")&amp;"*"" /stext="" "&amp;TEXT(INQ28-utc_offset/24,"HH")&amp;search_regexp&amp;""""</f>
        <v>#VALUE!</v>
      </c>
      <c r="IOO28" s="234" t="e">
        <f>astrogrep_path&amp;" /e /r /s /spath="&amp;search_path&amp;" /stypes=""app*"&amp;INK28&amp;"*"&amp;TEXT(INR28-utc_offset/24,"YYYYMMDD")&amp;"*"" /stext="" "&amp;TEXT(INR28-utc_offset/24,"HH")&amp;search_regexp&amp;""""</f>
        <v>#VALUE!</v>
      </c>
      <c r="IOP28" s="234" t="e">
        <f>astrogrep_path&amp;" /e /r /s /spath="&amp;search_path&amp;" /stypes=""app*"&amp;INL28&amp;"*"&amp;TEXT(INS28-utc_offset/24,"YYYYMMDD")&amp;"*"" /stext="" "&amp;TEXT(INS28-utc_offset/24,"HH")&amp;search_regexp&amp;""""</f>
        <v>#REF!</v>
      </c>
      <c r="IOQ28" s="234" t="e">
        <f>astrogrep_path&amp;" /e /r /s /spath="&amp;search_path&amp;" /stypes=""app*"&amp;INM28&amp;"*"&amp;TEXT(INT28-utc_offset/24,"YYYYMMDD")&amp;"*"" /stext="" "&amp;TEXT(INT28-utc_offset/24,"HH")&amp;search_regexp&amp;""""</f>
        <v>#REF!</v>
      </c>
      <c r="IOR28" s="234" t="e">
        <f>astrogrep_path&amp;" /e /r /s /spath="&amp;search_path&amp;" /stypes=""app*"&amp;INN28&amp;"*"&amp;TEXT(INU28-utc_offset/24,"YYYYMMDD")&amp;"*"" /stext="" "&amp;TEXT(INU28-utc_offset/24,"HH")&amp;search_regexp&amp;""""</f>
        <v>#REF!</v>
      </c>
      <c r="IOS28" s="234" t="e">
        <f>astrogrep_path&amp;" /e /r /s /spath="&amp;search_path&amp;" /stypes=""app*"&amp;INO28&amp;"*"&amp;TEXT(INV28-utc_offset/24,"YYYYMMDD")&amp;"*"" /stext="" "&amp;TEXT(INV28-utc_offset/24,"HH")&amp;search_regexp&amp;""""</f>
        <v>#REF!</v>
      </c>
      <c r="IOT28" s="234" t="e">
        <f>astrogrep_path&amp;" /e /r /s /spath="&amp;search_path&amp;" /stypes=""app*"&amp;INP28&amp;"*"&amp;TEXT(INW28-utc_offset/24,"YYYYMMDD")&amp;"*"" /stext="" "&amp;TEXT(INW28-utc_offset/24,"HH")&amp;search_regexp&amp;""""</f>
        <v>#REF!</v>
      </c>
      <c r="IOU28" s="234" t="e">
        <f>astrogrep_path&amp;" /e /r /s /spath="&amp;search_path&amp;" /stypes=""app*"&amp;INQ28&amp;"*"&amp;TEXT(INX28-utc_offset/24,"YYYYMMDD")&amp;"*"" /stext="" "&amp;TEXT(INX28-utc_offset/24,"HH")&amp;search_regexp&amp;""""</f>
        <v>#REF!</v>
      </c>
      <c r="IOV28" s="234" t="e">
        <f>astrogrep_path&amp;" /e /r /s /spath="&amp;search_path&amp;" /stypes=""app*"&amp;INR28&amp;"*"&amp;TEXT(INY28-utc_offset/24,"YYYYMMDD")&amp;"*"" /stext="" "&amp;TEXT(INY28-utc_offset/24,"HH")&amp;search_regexp&amp;""""</f>
        <v>#REF!</v>
      </c>
      <c r="IOW28" s="234" t="e">
        <f>astrogrep_path&amp;" /e /r /s /spath="&amp;search_path&amp;" /stypes=""app*"&amp;INS28&amp;"*"&amp;TEXT(INZ28-utc_offset/24,"YYYYMMDD")&amp;"*"" /stext="" "&amp;TEXT(INZ28-utc_offset/24,"HH")&amp;search_regexp&amp;""""</f>
        <v>#REF!</v>
      </c>
      <c r="IOX28" s="234" t="e">
        <f>astrogrep_path&amp;" /e /r /s /spath="&amp;search_path&amp;" /stypes=""app*"&amp;INT28&amp;"*"&amp;TEXT(IOA28-utc_offset/24,"YYYYMMDD")&amp;"*"" /stext="" "&amp;TEXT(IOA28-utc_offset/24,"HH")&amp;search_regexp&amp;""""</f>
        <v>#REF!</v>
      </c>
      <c r="IOY28" s="234" t="e">
        <f>astrogrep_path&amp;" /e /r /s /spath="&amp;search_path&amp;" /stypes=""app*"&amp;INU28&amp;"*"&amp;TEXT(IOB28-utc_offset/24,"YYYYMMDD")&amp;"*"" /stext="" "&amp;TEXT(IOB28-utc_offset/24,"HH")&amp;search_regexp&amp;""""</f>
        <v>#REF!</v>
      </c>
      <c r="IOZ28" s="234" t="e">
        <f>astrogrep_path&amp;" /e /r /s /spath="&amp;search_path&amp;" /stypes=""app*"&amp;INV28&amp;"*"&amp;TEXT(IOC28-utc_offset/24,"YYYYMMDD")&amp;"*"" /stext="" "&amp;TEXT(IOC28-utc_offset/24,"HH")&amp;search_regexp&amp;""""</f>
        <v>#REF!</v>
      </c>
      <c r="IPA28" s="234" t="e">
        <f>astrogrep_path&amp;" /e /r /s /spath="&amp;search_path&amp;" /stypes=""app*"&amp;INW28&amp;"*"&amp;TEXT(IOD28-utc_offset/24,"YYYYMMDD")&amp;"*"" /stext="" "&amp;TEXT(IOD28-utc_offset/24,"HH")&amp;search_regexp&amp;""""</f>
        <v>#REF!</v>
      </c>
      <c r="IPB28" s="234" t="e">
        <f>astrogrep_path&amp;" /e /r /s /spath="&amp;search_path&amp;" /stypes=""app*"&amp;INX28&amp;"*"&amp;TEXT(IOE28-utc_offset/24,"YYYYMMDD")&amp;"*"" /stext="" "&amp;TEXT(IOE28-utc_offset/24,"HH")&amp;search_regexp&amp;""""</f>
        <v>#REF!</v>
      </c>
      <c r="IPC28" s="234" t="e">
        <f>astrogrep_path&amp;" /e /r /s /spath="&amp;search_path&amp;" /stypes=""app*"&amp;INY28&amp;"*"&amp;TEXT(IOF28-utc_offset/24,"YYYYMMDD")&amp;"*"" /stext="" "&amp;TEXT(IOF28-utc_offset/24,"HH")&amp;search_regexp&amp;""""</f>
        <v>#REF!</v>
      </c>
      <c r="IPD28" s="234" t="e">
        <f>astrogrep_path&amp;" /e /r /s /spath="&amp;search_path&amp;" /stypes=""app*"&amp;INZ28&amp;"*"&amp;TEXT(IOG28-utc_offset/24,"YYYYMMDD")&amp;"*"" /stext="" "&amp;TEXT(IOG28-utc_offset/24,"HH")&amp;search_regexp&amp;""""</f>
        <v>#REF!</v>
      </c>
      <c r="IPE28" s="234" t="e">
        <f>astrogrep_path&amp;" /e /r /s /spath="&amp;search_path&amp;" /stypes=""app*"&amp;IOA28&amp;"*"&amp;TEXT(IOH28-utc_offset/24,"YYYYMMDD")&amp;"*"" /stext="" "&amp;TEXT(IOH28-utc_offset/24,"HH")&amp;search_regexp&amp;""""</f>
        <v>#REF!</v>
      </c>
      <c r="IPF28" s="234" t="e">
        <f>astrogrep_path&amp;" /e /r /s /spath="&amp;search_path&amp;" /stypes=""app*"&amp;IOB28&amp;"*"&amp;TEXT(IOI28-utc_offset/24,"YYYYMMDD")&amp;"*"" /stext="" "&amp;TEXT(IOI28-utc_offset/24,"HH")&amp;search_regexp&amp;""""</f>
        <v>#REF!</v>
      </c>
      <c r="IPG28" s="234" t="e">
        <f>astrogrep_path&amp;" /e /r /s /spath="&amp;search_path&amp;" /stypes=""app*"&amp;IOC28&amp;"*"&amp;TEXT(IOJ28-utc_offset/24,"YYYYMMDD")&amp;"*"" /stext="" "&amp;TEXT(IOJ28-utc_offset/24,"HH")&amp;search_regexp&amp;""""</f>
        <v>#REF!</v>
      </c>
      <c r="IPH28" s="234" t="e">
        <f>astrogrep_path&amp;" /e /r /s /spath="&amp;search_path&amp;" /stypes=""app*"&amp;IOD28&amp;"*"&amp;TEXT(IOK28-utc_offset/24,"YYYYMMDD")&amp;"*"" /stext="" "&amp;TEXT(IOK28-utc_offset/24,"HH")&amp;search_regexp&amp;""""</f>
        <v>#REF!</v>
      </c>
      <c r="IPI28" s="234" t="e">
        <f>astrogrep_path&amp;" /e /r /s /spath="&amp;search_path&amp;" /stypes=""app*"&amp;IOE28&amp;"*"&amp;TEXT(IOL28-utc_offset/24,"YYYYMMDD")&amp;"*"" /stext="" "&amp;TEXT(IOL28-utc_offset/24,"HH")&amp;search_regexp&amp;""""</f>
        <v>#REF!</v>
      </c>
      <c r="IPJ28" s="234" t="e">
        <f>astrogrep_path&amp;" /e /r /s /spath="&amp;search_path&amp;" /stypes=""app*"&amp;IOF28&amp;"*"&amp;TEXT(IOM28-utc_offset/24,"YYYYMMDD")&amp;"*"" /stext="" "&amp;TEXT(IOM28-utc_offset/24,"HH")&amp;search_regexp&amp;""""</f>
        <v>#REF!</v>
      </c>
      <c r="IPK28" s="234" t="e">
        <f>astrogrep_path&amp;" /e /r /s /spath="&amp;search_path&amp;" /stypes=""app*"&amp;IOG28&amp;"*"&amp;TEXT(ION28-utc_offset/24,"YYYYMMDD")&amp;"*"" /stext="" "&amp;TEXT(ION28-utc_offset/24,"HH")&amp;search_regexp&amp;""""</f>
        <v>#VALUE!</v>
      </c>
      <c r="IPL28" s="234" t="e">
        <f>astrogrep_path&amp;" /e /r /s /spath="&amp;search_path&amp;" /stypes=""app*"&amp;IOH28&amp;"*"&amp;TEXT(IOO28-utc_offset/24,"YYYYMMDD")&amp;"*"" /stext="" "&amp;TEXT(IOO28-utc_offset/24,"HH")&amp;search_regexp&amp;""""</f>
        <v>#VALUE!</v>
      </c>
      <c r="IPM28" s="234" t="e">
        <f>astrogrep_path&amp;" /e /r /s /spath="&amp;search_path&amp;" /stypes=""app*"&amp;IOI28&amp;"*"&amp;TEXT(IOP28-utc_offset/24,"YYYYMMDD")&amp;"*"" /stext="" "&amp;TEXT(IOP28-utc_offset/24,"HH")&amp;search_regexp&amp;""""</f>
        <v>#REF!</v>
      </c>
      <c r="IPN28" s="234" t="e">
        <f>astrogrep_path&amp;" /e /r /s /spath="&amp;search_path&amp;" /stypes=""app*"&amp;IOJ28&amp;"*"&amp;TEXT(IOQ28-utc_offset/24,"YYYYMMDD")&amp;"*"" /stext="" "&amp;TEXT(IOQ28-utc_offset/24,"HH")&amp;search_regexp&amp;""""</f>
        <v>#REF!</v>
      </c>
      <c r="IPO28" s="234" t="e">
        <f>astrogrep_path&amp;" /e /r /s /spath="&amp;search_path&amp;" /stypes=""app*"&amp;IOK28&amp;"*"&amp;TEXT(IOR28-utc_offset/24,"YYYYMMDD")&amp;"*"" /stext="" "&amp;TEXT(IOR28-utc_offset/24,"HH")&amp;search_regexp&amp;""""</f>
        <v>#VALUE!</v>
      </c>
      <c r="IPP28" s="234" t="e">
        <f>astrogrep_path&amp;" /e /r /s /spath="&amp;search_path&amp;" /stypes=""app*"&amp;IOL28&amp;"*"&amp;TEXT(IOS28-utc_offset/24,"YYYYMMDD")&amp;"*"" /stext="" "&amp;TEXT(IOS28-utc_offset/24,"HH")&amp;search_regexp&amp;""""</f>
        <v>#VALUE!</v>
      </c>
      <c r="IPQ28" s="234" t="e">
        <f>astrogrep_path&amp;" /e /r /s /spath="&amp;search_path&amp;" /stypes=""app*"&amp;IOM28&amp;"*"&amp;TEXT(IOT28-utc_offset/24,"YYYYMMDD")&amp;"*"" /stext="" "&amp;TEXT(IOT28-utc_offset/24,"HH")&amp;search_regexp&amp;""""</f>
        <v>#VALUE!</v>
      </c>
      <c r="IPR28" s="234" t="e">
        <f>astrogrep_path&amp;" /e /r /s /spath="&amp;search_path&amp;" /stypes=""app*"&amp;ION28&amp;"*"&amp;TEXT(IOU28-utc_offset/24,"YYYYMMDD")&amp;"*"" /stext="" "&amp;TEXT(IOU28-utc_offset/24,"HH")&amp;search_regexp&amp;""""</f>
        <v>#VALUE!</v>
      </c>
      <c r="IPS28" s="234" t="e">
        <f>astrogrep_path&amp;" /e /r /s /spath="&amp;search_path&amp;" /stypes=""app*"&amp;IOO28&amp;"*"&amp;TEXT(IOV28-utc_offset/24,"YYYYMMDD")&amp;"*"" /stext="" "&amp;TEXT(IOV28-utc_offset/24,"HH")&amp;search_regexp&amp;""""</f>
        <v>#VALUE!</v>
      </c>
      <c r="IPT28" s="234" t="e">
        <f>astrogrep_path&amp;" /e /r /s /spath="&amp;search_path&amp;" /stypes=""app*"&amp;IOP28&amp;"*"&amp;TEXT(IOW28-utc_offset/24,"YYYYMMDD")&amp;"*"" /stext="" "&amp;TEXT(IOW28-utc_offset/24,"HH")&amp;search_regexp&amp;""""</f>
        <v>#REF!</v>
      </c>
      <c r="IPU28" s="234" t="e">
        <f>astrogrep_path&amp;" /e /r /s /spath="&amp;search_path&amp;" /stypes=""app*"&amp;IOQ28&amp;"*"&amp;TEXT(IOX28-utc_offset/24,"YYYYMMDD")&amp;"*"" /stext="" "&amp;TEXT(IOX28-utc_offset/24,"HH")&amp;search_regexp&amp;""""</f>
        <v>#REF!</v>
      </c>
      <c r="IPV28" s="234" t="e">
        <f>astrogrep_path&amp;" /e /r /s /spath="&amp;search_path&amp;" /stypes=""app*"&amp;IOR28&amp;"*"&amp;TEXT(IOY28-utc_offset/24,"YYYYMMDD")&amp;"*"" /stext="" "&amp;TEXT(IOY28-utc_offset/24,"HH")&amp;search_regexp&amp;""""</f>
        <v>#REF!</v>
      </c>
      <c r="IPW28" s="234" t="e">
        <f>astrogrep_path&amp;" /e /r /s /spath="&amp;search_path&amp;" /stypes=""app*"&amp;IOS28&amp;"*"&amp;TEXT(IOZ28-utc_offset/24,"YYYYMMDD")&amp;"*"" /stext="" "&amp;TEXT(IOZ28-utc_offset/24,"HH")&amp;search_regexp&amp;""""</f>
        <v>#REF!</v>
      </c>
      <c r="IPX28" s="234" t="e">
        <f>astrogrep_path&amp;" /e /r /s /spath="&amp;search_path&amp;" /stypes=""app*"&amp;IOT28&amp;"*"&amp;TEXT(IPA28-utc_offset/24,"YYYYMMDD")&amp;"*"" /stext="" "&amp;TEXT(IPA28-utc_offset/24,"HH")&amp;search_regexp&amp;""""</f>
        <v>#REF!</v>
      </c>
      <c r="IPY28" s="234" t="e">
        <f>astrogrep_path&amp;" /e /r /s /spath="&amp;search_path&amp;" /stypes=""app*"&amp;IOU28&amp;"*"&amp;TEXT(IPB28-utc_offset/24,"YYYYMMDD")&amp;"*"" /stext="" "&amp;TEXT(IPB28-utc_offset/24,"HH")&amp;search_regexp&amp;""""</f>
        <v>#REF!</v>
      </c>
      <c r="IPZ28" s="234" t="e">
        <f>astrogrep_path&amp;" /e /r /s /spath="&amp;search_path&amp;" /stypes=""app*"&amp;IOV28&amp;"*"&amp;TEXT(IPC28-utc_offset/24,"YYYYMMDD")&amp;"*"" /stext="" "&amp;TEXT(IPC28-utc_offset/24,"HH")&amp;search_regexp&amp;""""</f>
        <v>#REF!</v>
      </c>
      <c r="IQA28" s="234" t="e">
        <f>astrogrep_path&amp;" /e /r /s /spath="&amp;search_path&amp;" /stypes=""app*"&amp;IOW28&amp;"*"&amp;TEXT(IPD28-utc_offset/24,"YYYYMMDD")&amp;"*"" /stext="" "&amp;TEXT(IPD28-utc_offset/24,"HH")&amp;search_regexp&amp;""""</f>
        <v>#REF!</v>
      </c>
      <c r="IQB28" s="234" t="e">
        <f>astrogrep_path&amp;" /e /r /s /spath="&amp;search_path&amp;" /stypes=""app*"&amp;IOX28&amp;"*"&amp;TEXT(IPE28-utc_offset/24,"YYYYMMDD")&amp;"*"" /stext="" "&amp;TEXT(IPE28-utc_offset/24,"HH")&amp;search_regexp&amp;""""</f>
        <v>#REF!</v>
      </c>
      <c r="IQC28" s="234" t="e">
        <f>astrogrep_path&amp;" /e /r /s /spath="&amp;search_path&amp;" /stypes=""app*"&amp;IOY28&amp;"*"&amp;TEXT(IPF28-utc_offset/24,"YYYYMMDD")&amp;"*"" /stext="" "&amp;TEXT(IPF28-utc_offset/24,"HH")&amp;search_regexp&amp;""""</f>
        <v>#REF!</v>
      </c>
      <c r="IQD28" s="234" t="e">
        <f>astrogrep_path&amp;" /e /r /s /spath="&amp;search_path&amp;" /stypes=""app*"&amp;IOZ28&amp;"*"&amp;TEXT(IPG28-utc_offset/24,"YYYYMMDD")&amp;"*"" /stext="" "&amp;TEXT(IPG28-utc_offset/24,"HH")&amp;search_regexp&amp;""""</f>
        <v>#REF!</v>
      </c>
      <c r="IQE28" s="234" t="e">
        <f>astrogrep_path&amp;" /e /r /s /spath="&amp;search_path&amp;" /stypes=""app*"&amp;IPA28&amp;"*"&amp;TEXT(IPH28-utc_offset/24,"YYYYMMDD")&amp;"*"" /stext="" "&amp;TEXT(IPH28-utc_offset/24,"HH")&amp;search_regexp&amp;""""</f>
        <v>#REF!</v>
      </c>
      <c r="IQF28" s="234" t="e">
        <f>astrogrep_path&amp;" /e /r /s /spath="&amp;search_path&amp;" /stypes=""app*"&amp;IPB28&amp;"*"&amp;TEXT(IPI28-utc_offset/24,"YYYYMMDD")&amp;"*"" /stext="" "&amp;TEXT(IPI28-utc_offset/24,"HH")&amp;search_regexp&amp;""""</f>
        <v>#REF!</v>
      </c>
      <c r="IQG28" s="234" t="e">
        <f>astrogrep_path&amp;" /e /r /s /spath="&amp;search_path&amp;" /stypes=""app*"&amp;IPC28&amp;"*"&amp;TEXT(IPJ28-utc_offset/24,"YYYYMMDD")&amp;"*"" /stext="" "&amp;TEXT(IPJ28-utc_offset/24,"HH")&amp;search_regexp&amp;""""</f>
        <v>#REF!</v>
      </c>
      <c r="IQH28" s="234" t="e">
        <f>astrogrep_path&amp;" /e /r /s /spath="&amp;search_path&amp;" /stypes=""app*"&amp;IPD28&amp;"*"&amp;TEXT(IPK28-utc_offset/24,"YYYYMMDD")&amp;"*"" /stext="" "&amp;TEXT(IPK28-utc_offset/24,"HH")&amp;search_regexp&amp;""""</f>
        <v>#REF!</v>
      </c>
      <c r="IQI28" s="234" t="e">
        <f>astrogrep_path&amp;" /e /r /s /spath="&amp;search_path&amp;" /stypes=""app*"&amp;IPE28&amp;"*"&amp;TEXT(IPL28-utc_offset/24,"YYYYMMDD")&amp;"*"" /stext="" "&amp;TEXT(IPL28-utc_offset/24,"HH")&amp;search_regexp&amp;""""</f>
        <v>#REF!</v>
      </c>
      <c r="IQJ28" s="234" t="e">
        <f>astrogrep_path&amp;" /e /r /s /spath="&amp;search_path&amp;" /stypes=""app*"&amp;IPF28&amp;"*"&amp;TEXT(IPM28-utc_offset/24,"YYYYMMDD")&amp;"*"" /stext="" "&amp;TEXT(IPM28-utc_offset/24,"HH")&amp;search_regexp&amp;""""</f>
        <v>#REF!</v>
      </c>
      <c r="IQK28" s="234" t="e">
        <f>astrogrep_path&amp;" /e /r /s /spath="&amp;search_path&amp;" /stypes=""app*"&amp;IPG28&amp;"*"&amp;TEXT(IPN28-utc_offset/24,"YYYYMMDD")&amp;"*"" /stext="" "&amp;TEXT(IPN28-utc_offset/24,"HH")&amp;search_regexp&amp;""""</f>
        <v>#REF!</v>
      </c>
      <c r="IQL28" s="234" t="e">
        <f>astrogrep_path&amp;" /e /r /s /spath="&amp;search_path&amp;" /stypes=""app*"&amp;IPH28&amp;"*"&amp;TEXT(IPO28-utc_offset/24,"YYYYMMDD")&amp;"*"" /stext="" "&amp;TEXT(IPO28-utc_offset/24,"HH")&amp;search_regexp&amp;""""</f>
        <v>#REF!</v>
      </c>
      <c r="IQM28" s="234" t="e">
        <f>astrogrep_path&amp;" /e /r /s /spath="&amp;search_path&amp;" /stypes=""app*"&amp;IPI28&amp;"*"&amp;TEXT(IPP28-utc_offset/24,"YYYYMMDD")&amp;"*"" /stext="" "&amp;TEXT(IPP28-utc_offset/24,"HH")&amp;search_regexp&amp;""""</f>
        <v>#REF!</v>
      </c>
      <c r="IQN28" s="234" t="e">
        <f>astrogrep_path&amp;" /e /r /s /spath="&amp;search_path&amp;" /stypes=""app*"&amp;IPJ28&amp;"*"&amp;TEXT(IPQ28-utc_offset/24,"YYYYMMDD")&amp;"*"" /stext="" "&amp;TEXT(IPQ28-utc_offset/24,"HH")&amp;search_regexp&amp;""""</f>
        <v>#REF!</v>
      </c>
      <c r="IQO28" s="234" t="e">
        <f>astrogrep_path&amp;" /e /r /s /spath="&amp;search_path&amp;" /stypes=""app*"&amp;IPK28&amp;"*"&amp;TEXT(IPR28-utc_offset/24,"YYYYMMDD")&amp;"*"" /stext="" "&amp;TEXT(IPR28-utc_offset/24,"HH")&amp;search_regexp&amp;""""</f>
        <v>#VALUE!</v>
      </c>
      <c r="IQP28" s="234" t="e">
        <f>astrogrep_path&amp;" /e /r /s /spath="&amp;search_path&amp;" /stypes=""app*"&amp;IPL28&amp;"*"&amp;TEXT(IPS28-utc_offset/24,"YYYYMMDD")&amp;"*"" /stext="" "&amp;TEXT(IPS28-utc_offset/24,"HH")&amp;search_regexp&amp;""""</f>
        <v>#VALUE!</v>
      </c>
      <c r="IQQ28" s="234" t="e">
        <f>astrogrep_path&amp;" /e /r /s /spath="&amp;search_path&amp;" /stypes=""app*"&amp;IPM28&amp;"*"&amp;TEXT(IPT28-utc_offset/24,"YYYYMMDD")&amp;"*"" /stext="" "&amp;TEXT(IPT28-utc_offset/24,"HH")&amp;search_regexp&amp;""""</f>
        <v>#REF!</v>
      </c>
      <c r="IQR28" s="234" t="e">
        <f>astrogrep_path&amp;" /e /r /s /spath="&amp;search_path&amp;" /stypes=""app*"&amp;IPN28&amp;"*"&amp;TEXT(IPU28-utc_offset/24,"YYYYMMDD")&amp;"*"" /stext="" "&amp;TEXT(IPU28-utc_offset/24,"HH")&amp;search_regexp&amp;""""</f>
        <v>#REF!</v>
      </c>
      <c r="IQS28" s="234" t="e">
        <f>astrogrep_path&amp;" /e /r /s /spath="&amp;search_path&amp;" /stypes=""app*"&amp;IPO28&amp;"*"&amp;TEXT(IPV28-utc_offset/24,"YYYYMMDD")&amp;"*"" /stext="" "&amp;TEXT(IPV28-utc_offset/24,"HH")&amp;search_regexp&amp;""""</f>
        <v>#VALUE!</v>
      </c>
      <c r="IQT28" s="234" t="e">
        <f>astrogrep_path&amp;" /e /r /s /spath="&amp;search_path&amp;" /stypes=""app*"&amp;IPP28&amp;"*"&amp;TEXT(IPW28-utc_offset/24,"YYYYMMDD")&amp;"*"" /stext="" "&amp;TEXT(IPW28-utc_offset/24,"HH")&amp;search_regexp&amp;""""</f>
        <v>#VALUE!</v>
      </c>
      <c r="IQU28" s="234" t="e">
        <f>astrogrep_path&amp;" /e /r /s /spath="&amp;search_path&amp;" /stypes=""app*"&amp;IPQ28&amp;"*"&amp;TEXT(IPX28-utc_offset/24,"YYYYMMDD")&amp;"*"" /stext="" "&amp;TEXT(IPX28-utc_offset/24,"HH")&amp;search_regexp&amp;""""</f>
        <v>#VALUE!</v>
      </c>
      <c r="IQV28" s="234" t="e">
        <f>astrogrep_path&amp;" /e /r /s /spath="&amp;search_path&amp;" /stypes=""app*"&amp;IPR28&amp;"*"&amp;TEXT(IPY28-utc_offset/24,"YYYYMMDD")&amp;"*"" /stext="" "&amp;TEXT(IPY28-utc_offset/24,"HH")&amp;search_regexp&amp;""""</f>
        <v>#VALUE!</v>
      </c>
      <c r="IQW28" s="234" t="e">
        <f>astrogrep_path&amp;" /e /r /s /spath="&amp;search_path&amp;" /stypes=""app*"&amp;IPS28&amp;"*"&amp;TEXT(IPZ28-utc_offset/24,"YYYYMMDD")&amp;"*"" /stext="" "&amp;TEXT(IPZ28-utc_offset/24,"HH")&amp;search_regexp&amp;""""</f>
        <v>#VALUE!</v>
      </c>
      <c r="IQX28" s="234" t="e">
        <f>astrogrep_path&amp;" /e /r /s /spath="&amp;search_path&amp;" /stypes=""app*"&amp;IPT28&amp;"*"&amp;TEXT(IQA28-utc_offset/24,"YYYYMMDD")&amp;"*"" /stext="" "&amp;TEXT(IQA28-utc_offset/24,"HH")&amp;search_regexp&amp;""""</f>
        <v>#REF!</v>
      </c>
      <c r="IQY28" s="234" t="e">
        <f>astrogrep_path&amp;" /e /r /s /spath="&amp;search_path&amp;" /stypes=""app*"&amp;IPU28&amp;"*"&amp;TEXT(IQB28-utc_offset/24,"YYYYMMDD")&amp;"*"" /stext="" "&amp;TEXT(IQB28-utc_offset/24,"HH")&amp;search_regexp&amp;""""</f>
        <v>#REF!</v>
      </c>
      <c r="IQZ28" s="234" t="e">
        <f>astrogrep_path&amp;" /e /r /s /spath="&amp;search_path&amp;" /stypes=""app*"&amp;IPV28&amp;"*"&amp;TEXT(IQC28-utc_offset/24,"YYYYMMDD")&amp;"*"" /stext="" "&amp;TEXT(IQC28-utc_offset/24,"HH")&amp;search_regexp&amp;""""</f>
        <v>#REF!</v>
      </c>
      <c r="IRA28" s="234" t="e">
        <f>astrogrep_path&amp;" /e /r /s /spath="&amp;search_path&amp;" /stypes=""app*"&amp;IPW28&amp;"*"&amp;TEXT(IQD28-utc_offset/24,"YYYYMMDD")&amp;"*"" /stext="" "&amp;TEXT(IQD28-utc_offset/24,"HH")&amp;search_regexp&amp;""""</f>
        <v>#REF!</v>
      </c>
      <c r="IRB28" s="234" t="e">
        <f>astrogrep_path&amp;" /e /r /s /spath="&amp;search_path&amp;" /stypes=""app*"&amp;IPX28&amp;"*"&amp;TEXT(IQE28-utc_offset/24,"YYYYMMDD")&amp;"*"" /stext="" "&amp;TEXT(IQE28-utc_offset/24,"HH")&amp;search_regexp&amp;""""</f>
        <v>#REF!</v>
      </c>
      <c r="IRC28" s="234" t="e">
        <f>astrogrep_path&amp;" /e /r /s /spath="&amp;search_path&amp;" /stypes=""app*"&amp;IPY28&amp;"*"&amp;TEXT(IQF28-utc_offset/24,"YYYYMMDD")&amp;"*"" /stext="" "&amp;TEXT(IQF28-utc_offset/24,"HH")&amp;search_regexp&amp;""""</f>
        <v>#REF!</v>
      </c>
      <c r="IRD28" s="234" t="e">
        <f>astrogrep_path&amp;" /e /r /s /spath="&amp;search_path&amp;" /stypes=""app*"&amp;IPZ28&amp;"*"&amp;TEXT(IQG28-utc_offset/24,"YYYYMMDD")&amp;"*"" /stext="" "&amp;TEXT(IQG28-utc_offset/24,"HH")&amp;search_regexp&amp;""""</f>
        <v>#REF!</v>
      </c>
      <c r="IRE28" s="234" t="e">
        <f>astrogrep_path&amp;" /e /r /s /spath="&amp;search_path&amp;" /stypes=""app*"&amp;IQA28&amp;"*"&amp;TEXT(IQH28-utc_offset/24,"YYYYMMDD")&amp;"*"" /stext="" "&amp;TEXT(IQH28-utc_offset/24,"HH")&amp;search_regexp&amp;""""</f>
        <v>#REF!</v>
      </c>
      <c r="IRF28" s="234" t="e">
        <f>astrogrep_path&amp;" /e /r /s /spath="&amp;search_path&amp;" /stypes=""app*"&amp;IQB28&amp;"*"&amp;TEXT(IQI28-utc_offset/24,"YYYYMMDD")&amp;"*"" /stext="" "&amp;TEXT(IQI28-utc_offset/24,"HH")&amp;search_regexp&amp;""""</f>
        <v>#REF!</v>
      </c>
      <c r="IRG28" s="234" t="e">
        <f>astrogrep_path&amp;" /e /r /s /spath="&amp;search_path&amp;" /stypes=""app*"&amp;IQC28&amp;"*"&amp;TEXT(IQJ28-utc_offset/24,"YYYYMMDD")&amp;"*"" /stext="" "&amp;TEXT(IQJ28-utc_offset/24,"HH")&amp;search_regexp&amp;""""</f>
        <v>#REF!</v>
      </c>
      <c r="IRH28" s="234" t="e">
        <f>astrogrep_path&amp;" /e /r /s /spath="&amp;search_path&amp;" /stypes=""app*"&amp;IQD28&amp;"*"&amp;TEXT(IQK28-utc_offset/24,"YYYYMMDD")&amp;"*"" /stext="" "&amp;TEXT(IQK28-utc_offset/24,"HH")&amp;search_regexp&amp;""""</f>
        <v>#REF!</v>
      </c>
      <c r="IRI28" s="234" t="e">
        <f>astrogrep_path&amp;" /e /r /s /spath="&amp;search_path&amp;" /stypes=""app*"&amp;IQE28&amp;"*"&amp;TEXT(IQL28-utc_offset/24,"YYYYMMDD")&amp;"*"" /stext="" "&amp;TEXT(IQL28-utc_offset/24,"HH")&amp;search_regexp&amp;""""</f>
        <v>#REF!</v>
      </c>
      <c r="IRJ28" s="234" t="e">
        <f>astrogrep_path&amp;" /e /r /s /spath="&amp;search_path&amp;" /stypes=""app*"&amp;IQF28&amp;"*"&amp;TEXT(IQM28-utc_offset/24,"YYYYMMDD")&amp;"*"" /stext="" "&amp;TEXT(IQM28-utc_offset/24,"HH")&amp;search_regexp&amp;""""</f>
        <v>#REF!</v>
      </c>
      <c r="IRK28" s="234" t="e">
        <f>astrogrep_path&amp;" /e /r /s /spath="&amp;search_path&amp;" /stypes=""app*"&amp;IQG28&amp;"*"&amp;TEXT(IQN28-utc_offset/24,"YYYYMMDD")&amp;"*"" /stext="" "&amp;TEXT(IQN28-utc_offset/24,"HH")&amp;search_regexp&amp;""""</f>
        <v>#REF!</v>
      </c>
      <c r="IRL28" s="234" t="e">
        <f>astrogrep_path&amp;" /e /r /s /spath="&amp;search_path&amp;" /stypes=""app*"&amp;IQH28&amp;"*"&amp;TEXT(IQO28-utc_offset/24,"YYYYMMDD")&amp;"*"" /stext="" "&amp;TEXT(IQO28-utc_offset/24,"HH")&amp;search_regexp&amp;""""</f>
        <v>#REF!</v>
      </c>
      <c r="IRM28" s="234" t="e">
        <f>astrogrep_path&amp;" /e /r /s /spath="&amp;search_path&amp;" /stypes=""app*"&amp;IQI28&amp;"*"&amp;TEXT(IQP28-utc_offset/24,"YYYYMMDD")&amp;"*"" /stext="" "&amp;TEXT(IQP28-utc_offset/24,"HH")&amp;search_regexp&amp;""""</f>
        <v>#REF!</v>
      </c>
      <c r="IRN28" s="234" t="e">
        <f>astrogrep_path&amp;" /e /r /s /spath="&amp;search_path&amp;" /stypes=""app*"&amp;IQJ28&amp;"*"&amp;TEXT(IQQ28-utc_offset/24,"YYYYMMDD")&amp;"*"" /stext="" "&amp;TEXT(IQQ28-utc_offset/24,"HH")&amp;search_regexp&amp;""""</f>
        <v>#REF!</v>
      </c>
      <c r="IRO28" s="234" t="e">
        <f>astrogrep_path&amp;" /e /r /s /spath="&amp;search_path&amp;" /stypes=""app*"&amp;IQK28&amp;"*"&amp;TEXT(IQR28-utc_offset/24,"YYYYMMDD")&amp;"*"" /stext="" "&amp;TEXT(IQR28-utc_offset/24,"HH")&amp;search_regexp&amp;""""</f>
        <v>#REF!</v>
      </c>
      <c r="IRP28" s="234" t="e">
        <f>astrogrep_path&amp;" /e /r /s /spath="&amp;search_path&amp;" /stypes=""app*"&amp;IQL28&amp;"*"&amp;TEXT(IQS28-utc_offset/24,"YYYYMMDD")&amp;"*"" /stext="" "&amp;TEXT(IQS28-utc_offset/24,"HH")&amp;search_regexp&amp;""""</f>
        <v>#REF!</v>
      </c>
      <c r="IRQ28" s="234" t="e">
        <f>astrogrep_path&amp;" /e /r /s /spath="&amp;search_path&amp;" /stypes=""app*"&amp;IQM28&amp;"*"&amp;TEXT(IQT28-utc_offset/24,"YYYYMMDD")&amp;"*"" /stext="" "&amp;TEXT(IQT28-utc_offset/24,"HH")&amp;search_regexp&amp;""""</f>
        <v>#REF!</v>
      </c>
      <c r="IRR28" s="234" t="e">
        <f>astrogrep_path&amp;" /e /r /s /spath="&amp;search_path&amp;" /stypes=""app*"&amp;IQN28&amp;"*"&amp;TEXT(IQU28-utc_offset/24,"YYYYMMDD")&amp;"*"" /stext="" "&amp;TEXT(IQU28-utc_offset/24,"HH")&amp;search_regexp&amp;""""</f>
        <v>#REF!</v>
      </c>
      <c r="IRS28" s="234" t="e">
        <f>astrogrep_path&amp;" /e /r /s /spath="&amp;search_path&amp;" /stypes=""app*"&amp;IQO28&amp;"*"&amp;TEXT(IQV28-utc_offset/24,"YYYYMMDD")&amp;"*"" /stext="" "&amp;TEXT(IQV28-utc_offset/24,"HH")&amp;search_regexp&amp;""""</f>
        <v>#VALUE!</v>
      </c>
      <c r="IRT28" s="234" t="e">
        <f>astrogrep_path&amp;" /e /r /s /spath="&amp;search_path&amp;" /stypes=""app*"&amp;IQP28&amp;"*"&amp;TEXT(IQW28-utc_offset/24,"YYYYMMDD")&amp;"*"" /stext="" "&amp;TEXT(IQW28-utc_offset/24,"HH")&amp;search_regexp&amp;""""</f>
        <v>#VALUE!</v>
      </c>
      <c r="IRU28" s="234" t="e">
        <f>astrogrep_path&amp;" /e /r /s /spath="&amp;search_path&amp;" /stypes=""app*"&amp;IQQ28&amp;"*"&amp;TEXT(IQX28-utc_offset/24,"YYYYMMDD")&amp;"*"" /stext="" "&amp;TEXT(IQX28-utc_offset/24,"HH")&amp;search_regexp&amp;""""</f>
        <v>#REF!</v>
      </c>
      <c r="IRV28" s="234" t="e">
        <f>astrogrep_path&amp;" /e /r /s /spath="&amp;search_path&amp;" /stypes=""app*"&amp;IQR28&amp;"*"&amp;TEXT(IQY28-utc_offset/24,"YYYYMMDD")&amp;"*"" /stext="" "&amp;TEXT(IQY28-utc_offset/24,"HH")&amp;search_regexp&amp;""""</f>
        <v>#REF!</v>
      </c>
      <c r="IRW28" s="234" t="e">
        <f>astrogrep_path&amp;" /e /r /s /spath="&amp;search_path&amp;" /stypes=""app*"&amp;IQS28&amp;"*"&amp;TEXT(IQZ28-utc_offset/24,"YYYYMMDD")&amp;"*"" /stext="" "&amp;TEXT(IQZ28-utc_offset/24,"HH")&amp;search_regexp&amp;""""</f>
        <v>#VALUE!</v>
      </c>
      <c r="IRX28" s="234" t="e">
        <f>astrogrep_path&amp;" /e /r /s /spath="&amp;search_path&amp;" /stypes=""app*"&amp;IQT28&amp;"*"&amp;TEXT(IRA28-utc_offset/24,"YYYYMMDD")&amp;"*"" /stext="" "&amp;TEXT(IRA28-utc_offset/24,"HH")&amp;search_regexp&amp;""""</f>
        <v>#VALUE!</v>
      </c>
      <c r="IRY28" s="234" t="e">
        <f>astrogrep_path&amp;" /e /r /s /spath="&amp;search_path&amp;" /stypes=""app*"&amp;IQU28&amp;"*"&amp;TEXT(IRB28-utc_offset/24,"YYYYMMDD")&amp;"*"" /stext="" "&amp;TEXT(IRB28-utc_offset/24,"HH")&amp;search_regexp&amp;""""</f>
        <v>#VALUE!</v>
      </c>
      <c r="IRZ28" s="234" t="e">
        <f>astrogrep_path&amp;" /e /r /s /spath="&amp;search_path&amp;" /stypes=""app*"&amp;IQV28&amp;"*"&amp;TEXT(IRC28-utc_offset/24,"YYYYMMDD")&amp;"*"" /stext="" "&amp;TEXT(IRC28-utc_offset/24,"HH")&amp;search_regexp&amp;""""</f>
        <v>#VALUE!</v>
      </c>
      <c r="ISA28" s="234" t="e">
        <f>astrogrep_path&amp;" /e /r /s /spath="&amp;search_path&amp;" /stypes=""app*"&amp;IQW28&amp;"*"&amp;TEXT(IRD28-utc_offset/24,"YYYYMMDD")&amp;"*"" /stext="" "&amp;TEXT(IRD28-utc_offset/24,"HH")&amp;search_regexp&amp;""""</f>
        <v>#VALUE!</v>
      </c>
      <c r="ISB28" s="234" t="e">
        <f>astrogrep_path&amp;" /e /r /s /spath="&amp;search_path&amp;" /stypes=""app*"&amp;IQX28&amp;"*"&amp;TEXT(IRE28-utc_offset/24,"YYYYMMDD")&amp;"*"" /stext="" "&amp;TEXT(IRE28-utc_offset/24,"HH")&amp;search_regexp&amp;""""</f>
        <v>#REF!</v>
      </c>
      <c r="ISC28" s="234" t="e">
        <f>astrogrep_path&amp;" /e /r /s /spath="&amp;search_path&amp;" /stypes=""app*"&amp;IQY28&amp;"*"&amp;TEXT(IRF28-utc_offset/24,"YYYYMMDD")&amp;"*"" /stext="" "&amp;TEXT(IRF28-utc_offset/24,"HH")&amp;search_regexp&amp;""""</f>
        <v>#REF!</v>
      </c>
      <c r="ISD28" s="234" t="e">
        <f>astrogrep_path&amp;" /e /r /s /spath="&amp;search_path&amp;" /stypes=""app*"&amp;IQZ28&amp;"*"&amp;TEXT(IRG28-utc_offset/24,"YYYYMMDD")&amp;"*"" /stext="" "&amp;TEXT(IRG28-utc_offset/24,"HH")&amp;search_regexp&amp;""""</f>
        <v>#REF!</v>
      </c>
      <c r="ISE28" s="234" t="e">
        <f>astrogrep_path&amp;" /e /r /s /spath="&amp;search_path&amp;" /stypes=""app*"&amp;IRA28&amp;"*"&amp;TEXT(IRH28-utc_offset/24,"YYYYMMDD")&amp;"*"" /stext="" "&amp;TEXT(IRH28-utc_offset/24,"HH")&amp;search_regexp&amp;""""</f>
        <v>#REF!</v>
      </c>
      <c r="ISF28" s="234" t="e">
        <f>astrogrep_path&amp;" /e /r /s /spath="&amp;search_path&amp;" /stypes=""app*"&amp;IRB28&amp;"*"&amp;TEXT(IRI28-utc_offset/24,"YYYYMMDD")&amp;"*"" /stext="" "&amp;TEXT(IRI28-utc_offset/24,"HH")&amp;search_regexp&amp;""""</f>
        <v>#REF!</v>
      </c>
      <c r="ISG28" s="234" t="e">
        <f>astrogrep_path&amp;" /e /r /s /spath="&amp;search_path&amp;" /stypes=""app*"&amp;IRC28&amp;"*"&amp;TEXT(IRJ28-utc_offset/24,"YYYYMMDD")&amp;"*"" /stext="" "&amp;TEXT(IRJ28-utc_offset/24,"HH")&amp;search_regexp&amp;""""</f>
        <v>#REF!</v>
      </c>
      <c r="ISH28" s="234" t="e">
        <f>astrogrep_path&amp;" /e /r /s /spath="&amp;search_path&amp;" /stypes=""app*"&amp;IRD28&amp;"*"&amp;TEXT(IRK28-utc_offset/24,"YYYYMMDD")&amp;"*"" /stext="" "&amp;TEXT(IRK28-utc_offset/24,"HH")&amp;search_regexp&amp;""""</f>
        <v>#REF!</v>
      </c>
      <c r="ISI28" s="234" t="e">
        <f>astrogrep_path&amp;" /e /r /s /spath="&amp;search_path&amp;" /stypes=""app*"&amp;IRE28&amp;"*"&amp;TEXT(IRL28-utc_offset/24,"YYYYMMDD")&amp;"*"" /stext="" "&amp;TEXT(IRL28-utc_offset/24,"HH")&amp;search_regexp&amp;""""</f>
        <v>#REF!</v>
      </c>
      <c r="ISJ28" s="234" t="e">
        <f>astrogrep_path&amp;" /e /r /s /spath="&amp;search_path&amp;" /stypes=""app*"&amp;IRF28&amp;"*"&amp;TEXT(IRM28-utc_offset/24,"YYYYMMDD")&amp;"*"" /stext="" "&amp;TEXT(IRM28-utc_offset/24,"HH")&amp;search_regexp&amp;""""</f>
        <v>#REF!</v>
      </c>
      <c r="ISK28" s="234" t="e">
        <f>astrogrep_path&amp;" /e /r /s /spath="&amp;search_path&amp;" /stypes=""app*"&amp;IRG28&amp;"*"&amp;TEXT(IRN28-utc_offset/24,"YYYYMMDD")&amp;"*"" /stext="" "&amp;TEXT(IRN28-utc_offset/24,"HH")&amp;search_regexp&amp;""""</f>
        <v>#REF!</v>
      </c>
      <c r="ISL28" s="234" t="e">
        <f>astrogrep_path&amp;" /e /r /s /spath="&amp;search_path&amp;" /stypes=""app*"&amp;IRH28&amp;"*"&amp;TEXT(IRO28-utc_offset/24,"YYYYMMDD")&amp;"*"" /stext="" "&amp;TEXT(IRO28-utc_offset/24,"HH")&amp;search_regexp&amp;""""</f>
        <v>#REF!</v>
      </c>
      <c r="ISM28" s="234" t="e">
        <f>astrogrep_path&amp;" /e /r /s /spath="&amp;search_path&amp;" /stypes=""app*"&amp;IRI28&amp;"*"&amp;TEXT(IRP28-utc_offset/24,"YYYYMMDD")&amp;"*"" /stext="" "&amp;TEXT(IRP28-utc_offset/24,"HH")&amp;search_regexp&amp;""""</f>
        <v>#REF!</v>
      </c>
      <c r="ISN28" s="234" t="e">
        <f>astrogrep_path&amp;" /e /r /s /spath="&amp;search_path&amp;" /stypes=""app*"&amp;IRJ28&amp;"*"&amp;TEXT(IRQ28-utc_offset/24,"YYYYMMDD")&amp;"*"" /stext="" "&amp;TEXT(IRQ28-utc_offset/24,"HH")&amp;search_regexp&amp;""""</f>
        <v>#REF!</v>
      </c>
      <c r="ISO28" s="234" t="e">
        <f>astrogrep_path&amp;" /e /r /s /spath="&amp;search_path&amp;" /stypes=""app*"&amp;IRK28&amp;"*"&amp;TEXT(IRR28-utc_offset/24,"YYYYMMDD")&amp;"*"" /stext="" "&amp;TEXT(IRR28-utc_offset/24,"HH")&amp;search_regexp&amp;""""</f>
        <v>#REF!</v>
      </c>
      <c r="ISP28" s="234" t="e">
        <f>astrogrep_path&amp;" /e /r /s /spath="&amp;search_path&amp;" /stypes=""app*"&amp;IRL28&amp;"*"&amp;TEXT(IRS28-utc_offset/24,"YYYYMMDD")&amp;"*"" /stext="" "&amp;TEXT(IRS28-utc_offset/24,"HH")&amp;search_regexp&amp;""""</f>
        <v>#REF!</v>
      </c>
      <c r="ISQ28" s="234" t="e">
        <f>astrogrep_path&amp;" /e /r /s /spath="&amp;search_path&amp;" /stypes=""app*"&amp;IRM28&amp;"*"&amp;TEXT(IRT28-utc_offset/24,"YYYYMMDD")&amp;"*"" /stext="" "&amp;TEXT(IRT28-utc_offset/24,"HH")&amp;search_regexp&amp;""""</f>
        <v>#REF!</v>
      </c>
      <c r="ISR28" s="234" t="e">
        <f>astrogrep_path&amp;" /e /r /s /spath="&amp;search_path&amp;" /stypes=""app*"&amp;IRN28&amp;"*"&amp;TEXT(IRU28-utc_offset/24,"YYYYMMDD")&amp;"*"" /stext="" "&amp;TEXT(IRU28-utc_offset/24,"HH")&amp;search_regexp&amp;""""</f>
        <v>#REF!</v>
      </c>
      <c r="ISS28" s="234" t="e">
        <f>astrogrep_path&amp;" /e /r /s /spath="&amp;search_path&amp;" /stypes=""app*"&amp;IRO28&amp;"*"&amp;TEXT(IRV28-utc_offset/24,"YYYYMMDD")&amp;"*"" /stext="" "&amp;TEXT(IRV28-utc_offset/24,"HH")&amp;search_regexp&amp;""""</f>
        <v>#REF!</v>
      </c>
      <c r="IST28" s="234" t="e">
        <f>astrogrep_path&amp;" /e /r /s /spath="&amp;search_path&amp;" /stypes=""app*"&amp;IRP28&amp;"*"&amp;TEXT(IRW28-utc_offset/24,"YYYYMMDD")&amp;"*"" /stext="" "&amp;TEXT(IRW28-utc_offset/24,"HH")&amp;search_regexp&amp;""""</f>
        <v>#REF!</v>
      </c>
      <c r="ISU28" s="234" t="e">
        <f>astrogrep_path&amp;" /e /r /s /spath="&amp;search_path&amp;" /stypes=""app*"&amp;IRQ28&amp;"*"&amp;TEXT(IRX28-utc_offset/24,"YYYYMMDD")&amp;"*"" /stext="" "&amp;TEXT(IRX28-utc_offset/24,"HH")&amp;search_regexp&amp;""""</f>
        <v>#REF!</v>
      </c>
      <c r="ISV28" s="234" t="e">
        <f>astrogrep_path&amp;" /e /r /s /spath="&amp;search_path&amp;" /stypes=""app*"&amp;IRR28&amp;"*"&amp;TEXT(IRY28-utc_offset/24,"YYYYMMDD")&amp;"*"" /stext="" "&amp;TEXT(IRY28-utc_offset/24,"HH")&amp;search_regexp&amp;""""</f>
        <v>#REF!</v>
      </c>
      <c r="ISW28" s="234" t="e">
        <f>astrogrep_path&amp;" /e /r /s /spath="&amp;search_path&amp;" /stypes=""app*"&amp;IRS28&amp;"*"&amp;TEXT(IRZ28-utc_offset/24,"YYYYMMDD")&amp;"*"" /stext="" "&amp;TEXT(IRZ28-utc_offset/24,"HH")&amp;search_regexp&amp;""""</f>
        <v>#VALUE!</v>
      </c>
      <c r="ISX28" s="234" t="e">
        <f>astrogrep_path&amp;" /e /r /s /spath="&amp;search_path&amp;" /stypes=""app*"&amp;IRT28&amp;"*"&amp;TEXT(ISA28-utc_offset/24,"YYYYMMDD")&amp;"*"" /stext="" "&amp;TEXT(ISA28-utc_offset/24,"HH")&amp;search_regexp&amp;""""</f>
        <v>#VALUE!</v>
      </c>
      <c r="ISY28" s="234" t="e">
        <f>astrogrep_path&amp;" /e /r /s /spath="&amp;search_path&amp;" /stypes=""app*"&amp;IRU28&amp;"*"&amp;TEXT(ISB28-utc_offset/24,"YYYYMMDD")&amp;"*"" /stext="" "&amp;TEXT(ISB28-utc_offset/24,"HH")&amp;search_regexp&amp;""""</f>
        <v>#REF!</v>
      </c>
      <c r="ISZ28" s="234" t="e">
        <f>astrogrep_path&amp;" /e /r /s /spath="&amp;search_path&amp;" /stypes=""app*"&amp;IRV28&amp;"*"&amp;TEXT(ISC28-utc_offset/24,"YYYYMMDD")&amp;"*"" /stext="" "&amp;TEXT(ISC28-utc_offset/24,"HH")&amp;search_regexp&amp;""""</f>
        <v>#REF!</v>
      </c>
      <c r="ITA28" s="234" t="e">
        <f>astrogrep_path&amp;" /e /r /s /spath="&amp;search_path&amp;" /stypes=""app*"&amp;IRW28&amp;"*"&amp;TEXT(ISD28-utc_offset/24,"YYYYMMDD")&amp;"*"" /stext="" "&amp;TEXT(ISD28-utc_offset/24,"HH")&amp;search_regexp&amp;""""</f>
        <v>#VALUE!</v>
      </c>
      <c r="ITB28" s="234" t="e">
        <f>astrogrep_path&amp;" /e /r /s /spath="&amp;search_path&amp;" /stypes=""app*"&amp;IRX28&amp;"*"&amp;TEXT(ISE28-utc_offset/24,"YYYYMMDD")&amp;"*"" /stext="" "&amp;TEXT(ISE28-utc_offset/24,"HH")&amp;search_regexp&amp;""""</f>
        <v>#VALUE!</v>
      </c>
      <c r="ITC28" s="234" t="e">
        <f>astrogrep_path&amp;" /e /r /s /spath="&amp;search_path&amp;" /stypes=""app*"&amp;IRY28&amp;"*"&amp;TEXT(ISF28-utc_offset/24,"YYYYMMDD")&amp;"*"" /stext="" "&amp;TEXT(ISF28-utc_offset/24,"HH")&amp;search_regexp&amp;""""</f>
        <v>#VALUE!</v>
      </c>
      <c r="ITD28" s="234" t="e">
        <f>astrogrep_path&amp;" /e /r /s /spath="&amp;search_path&amp;" /stypes=""app*"&amp;IRZ28&amp;"*"&amp;TEXT(ISG28-utc_offset/24,"YYYYMMDD")&amp;"*"" /stext="" "&amp;TEXT(ISG28-utc_offset/24,"HH")&amp;search_regexp&amp;""""</f>
        <v>#VALUE!</v>
      </c>
      <c r="ITE28" s="234" t="e">
        <f>astrogrep_path&amp;" /e /r /s /spath="&amp;search_path&amp;" /stypes=""app*"&amp;ISA28&amp;"*"&amp;TEXT(ISH28-utc_offset/24,"YYYYMMDD")&amp;"*"" /stext="" "&amp;TEXT(ISH28-utc_offset/24,"HH")&amp;search_regexp&amp;""""</f>
        <v>#VALUE!</v>
      </c>
      <c r="ITF28" s="234" t="e">
        <f>astrogrep_path&amp;" /e /r /s /spath="&amp;search_path&amp;" /stypes=""app*"&amp;ISB28&amp;"*"&amp;TEXT(ISI28-utc_offset/24,"YYYYMMDD")&amp;"*"" /stext="" "&amp;TEXT(ISI28-utc_offset/24,"HH")&amp;search_regexp&amp;""""</f>
        <v>#REF!</v>
      </c>
      <c r="ITG28" s="234" t="e">
        <f>astrogrep_path&amp;" /e /r /s /spath="&amp;search_path&amp;" /stypes=""app*"&amp;ISC28&amp;"*"&amp;TEXT(ISJ28-utc_offset/24,"YYYYMMDD")&amp;"*"" /stext="" "&amp;TEXT(ISJ28-utc_offset/24,"HH")&amp;search_regexp&amp;""""</f>
        <v>#REF!</v>
      </c>
      <c r="ITH28" s="234" t="e">
        <f>astrogrep_path&amp;" /e /r /s /spath="&amp;search_path&amp;" /stypes=""app*"&amp;ISD28&amp;"*"&amp;TEXT(ISK28-utc_offset/24,"YYYYMMDD")&amp;"*"" /stext="" "&amp;TEXT(ISK28-utc_offset/24,"HH")&amp;search_regexp&amp;""""</f>
        <v>#REF!</v>
      </c>
      <c r="ITI28" s="234" t="e">
        <f>astrogrep_path&amp;" /e /r /s /spath="&amp;search_path&amp;" /stypes=""app*"&amp;ISE28&amp;"*"&amp;TEXT(ISL28-utc_offset/24,"YYYYMMDD")&amp;"*"" /stext="" "&amp;TEXT(ISL28-utc_offset/24,"HH")&amp;search_regexp&amp;""""</f>
        <v>#REF!</v>
      </c>
      <c r="ITJ28" s="234" t="e">
        <f>astrogrep_path&amp;" /e /r /s /spath="&amp;search_path&amp;" /stypes=""app*"&amp;ISF28&amp;"*"&amp;TEXT(ISM28-utc_offset/24,"YYYYMMDD")&amp;"*"" /stext="" "&amp;TEXT(ISM28-utc_offset/24,"HH")&amp;search_regexp&amp;""""</f>
        <v>#REF!</v>
      </c>
      <c r="ITK28" s="234" t="e">
        <f>astrogrep_path&amp;" /e /r /s /spath="&amp;search_path&amp;" /stypes=""app*"&amp;ISG28&amp;"*"&amp;TEXT(ISN28-utc_offset/24,"YYYYMMDD")&amp;"*"" /stext="" "&amp;TEXT(ISN28-utc_offset/24,"HH")&amp;search_regexp&amp;""""</f>
        <v>#REF!</v>
      </c>
      <c r="ITL28" s="234" t="e">
        <f>astrogrep_path&amp;" /e /r /s /spath="&amp;search_path&amp;" /stypes=""app*"&amp;ISH28&amp;"*"&amp;TEXT(ISO28-utc_offset/24,"YYYYMMDD")&amp;"*"" /stext="" "&amp;TEXT(ISO28-utc_offset/24,"HH")&amp;search_regexp&amp;""""</f>
        <v>#REF!</v>
      </c>
      <c r="ITM28" s="234" t="e">
        <f>astrogrep_path&amp;" /e /r /s /spath="&amp;search_path&amp;" /stypes=""app*"&amp;ISI28&amp;"*"&amp;TEXT(ISP28-utc_offset/24,"YYYYMMDD")&amp;"*"" /stext="" "&amp;TEXT(ISP28-utc_offset/24,"HH")&amp;search_regexp&amp;""""</f>
        <v>#REF!</v>
      </c>
      <c r="ITN28" s="234" t="e">
        <f>astrogrep_path&amp;" /e /r /s /spath="&amp;search_path&amp;" /stypes=""app*"&amp;ISJ28&amp;"*"&amp;TEXT(ISQ28-utc_offset/24,"YYYYMMDD")&amp;"*"" /stext="" "&amp;TEXT(ISQ28-utc_offset/24,"HH")&amp;search_regexp&amp;""""</f>
        <v>#REF!</v>
      </c>
      <c r="ITO28" s="234" t="e">
        <f>astrogrep_path&amp;" /e /r /s /spath="&amp;search_path&amp;" /stypes=""app*"&amp;ISK28&amp;"*"&amp;TEXT(ISR28-utc_offset/24,"YYYYMMDD")&amp;"*"" /stext="" "&amp;TEXT(ISR28-utc_offset/24,"HH")&amp;search_regexp&amp;""""</f>
        <v>#REF!</v>
      </c>
      <c r="ITP28" s="234" t="e">
        <f>astrogrep_path&amp;" /e /r /s /spath="&amp;search_path&amp;" /stypes=""app*"&amp;ISL28&amp;"*"&amp;TEXT(ISS28-utc_offset/24,"YYYYMMDD")&amp;"*"" /stext="" "&amp;TEXT(ISS28-utc_offset/24,"HH")&amp;search_regexp&amp;""""</f>
        <v>#REF!</v>
      </c>
      <c r="ITQ28" s="234" t="e">
        <f>astrogrep_path&amp;" /e /r /s /spath="&amp;search_path&amp;" /stypes=""app*"&amp;ISM28&amp;"*"&amp;TEXT(IST28-utc_offset/24,"YYYYMMDD")&amp;"*"" /stext="" "&amp;TEXT(IST28-utc_offset/24,"HH")&amp;search_regexp&amp;""""</f>
        <v>#REF!</v>
      </c>
      <c r="ITR28" s="234" t="e">
        <f>astrogrep_path&amp;" /e /r /s /spath="&amp;search_path&amp;" /stypes=""app*"&amp;ISN28&amp;"*"&amp;TEXT(ISU28-utc_offset/24,"YYYYMMDD")&amp;"*"" /stext="" "&amp;TEXT(ISU28-utc_offset/24,"HH")&amp;search_regexp&amp;""""</f>
        <v>#REF!</v>
      </c>
      <c r="ITS28" s="234" t="e">
        <f>astrogrep_path&amp;" /e /r /s /spath="&amp;search_path&amp;" /stypes=""app*"&amp;ISO28&amp;"*"&amp;TEXT(ISV28-utc_offset/24,"YYYYMMDD")&amp;"*"" /stext="" "&amp;TEXT(ISV28-utc_offset/24,"HH")&amp;search_regexp&amp;""""</f>
        <v>#REF!</v>
      </c>
      <c r="ITT28" s="234" t="e">
        <f>astrogrep_path&amp;" /e /r /s /spath="&amp;search_path&amp;" /stypes=""app*"&amp;ISP28&amp;"*"&amp;TEXT(ISW28-utc_offset/24,"YYYYMMDD")&amp;"*"" /stext="" "&amp;TEXT(ISW28-utc_offset/24,"HH")&amp;search_regexp&amp;""""</f>
        <v>#REF!</v>
      </c>
      <c r="ITU28" s="234" t="e">
        <f>astrogrep_path&amp;" /e /r /s /spath="&amp;search_path&amp;" /stypes=""app*"&amp;ISQ28&amp;"*"&amp;TEXT(ISX28-utc_offset/24,"YYYYMMDD")&amp;"*"" /stext="" "&amp;TEXT(ISX28-utc_offset/24,"HH")&amp;search_regexp&amp;""""</f>
        <v>#REF!</v>
      </c>
      <c r="ITV28" s="234" t="e">
        <f>astrogrep_path&amp;" /e /r /s /spath="&amp;search_path&amp;" /stypes=""app*"&amp;ISR28&amp;"*"&amp;TEXT(ISY28-utc_offset/24,"YYYYMMDD")&amp;"*"" /stext="" "&amp;TEXT(ISY28-utc_offset/24,"HH")&amp;search_regexp&amp;""""</f>
        <v>#REF!</v>
      </c>
      <c r="ITW28" s="234" t="e">
        <f>astrogrep_path&amp;" /e /r /s /spath="&amp;search_path&amp;" /stypes=""app*"&amp;ISS28&amp;"*"&amp;TEXT(ISZ28-utc_offset/24,"YYYYMMDD")&amp;"*"" /stext="" "&amp;TEXT(ISZ28-utc_offset/24,"HH")&amp;search_regexp&amp;""""</f>
        <v>#REF!</v>
      </c>
      <c r="ITX28" s="234" t="e">
        <f>astrogrep_path&amp;" /e /r /s /spath="&amp;search_path&amp;" /stypes=""app*"&amp;IST28&amp;"*"&amp;TEXT(ITA28-utc_offset/24,"YYYYMMDD")&amp;"*"" /stext="" "&amp;TEXT(ITA28-utc_offset/24,"HH")&amp;search_regexp&amp;""""</f>
        <v>#REF!</v>
      </c>
      <c r="ITY28" s="234" t="e">
        <f>astrogrep_path&amp;" /e /r /s /spath="&amp;search_path&amp;" /stypes=""app*"&amp;ISU28&amp;"*"&amp;TEXT(ITB28-utc_offset/24,"YYYYMMDD")&amp;"*"" /stext="" "&amp;TEXT(ITB28-utc_offset/24,"HH")&amp;search_regexp&amp;""""</f>
        <v>#REF!</v>
      </c>
      <c r="ITZ28" s="234" t="e">
        <f>astrogrep_path&amp;" /e /r /s /spath="&amp;search_path&amp;" /stypes=""app*"&amp;ISV28&amp;"*"&amp;TEXT(ITC28-utc_offset/24,"YYYYMMDD")&amp;"*"" /stext="" "&amp;TEXT(ITC28-utc_offset/24,"HH")&amp;search_regexp&amp;""""</f>
        <v>#REF!</v>
      </c>
      <c r="IUA28" s="234" t="e">
        <f>astrogrep_path&amp;" /e /r /s /spath="&amp;search_path&amp;" /stypes=""app*"&amp;ISW28&amp;"*"&amp;TEXT(ITD28-utc_offset/24,"YYYYMMDD")&amp;"*"" /stext="" "&amp;TEXT(ITD28-utc_offset/24,"HH")&amp;search_regexp&amp;""""</f>
        <v>#VALUE!</v>
      </c>
      <c r="IUB28" s="234" t="e">
        <f>astrogrep_path&amp;" /e /r /s /spath="&amp;search_path&amp;" /stypes=""app*"&amp;ISX28&amp;"*"&amp;TEXT(ITE28-utc_offset/24,"YYYYMMDD")&amp;"*"" /stext="" "&amp;TEXT(ITE28-utc_offset/24,"HH")&amp;search_regexp&amp;""""</f>
        <v>#VALUE!</v>
      </c>
      <c r="IUC28" s="234" t="e">
        <f>astrogrep_path&amp;" /e /r /s /spath="&amp;search_path&amp;" /stypes=""app*"&amp;ISY28&amp;"*"&amp;TEXT(ITF28-utc_offset/24,"YYYYMMDD")&amp;"*"" /stext="" "&amp;TEXT(ITF28-utc_offset/24,"HH")&amp;search_regexp&amp;""""</f>
        <v>#REF!</v>
      </c>
      <c r="IUD28" s="234" t="e">
        <f>astrogrep_path&amp;" /e /r /s /spath="&amp;search_path&amp;" /stypes=""app*"&amp;ISZ28&amp;"*"&amp;TEXT(ITG28-utc_offset/24,"YYYYMMDD")&amp;"*"" /stext="" "&amp;TEXT(ITG28-utc_offset/24,"HH")&amp;search_regexp&amp;""""</f>
        <v>#REF!</v>
      </c>
      <c r="IUE28" s="234" t="e">
        <f>astrogrep_path&amp;" /e /r /s /spath="&amp;search_path&amp;" /stypes=""app*"&amp;ITA28&amp;"*"&amp;TEXT(ITH28-utc_offset/24,"YYYYMMDD")&amp;"*"" /stext="" "&amp;TEXT(ITH28-utc_offset/24,"HH")&amp;search_regexp&amp;""""</f>
        <v>#VALUE!</v>
      </c>
      <c r="IUF28" s="234" t="e">
        <f>astrogrep_path&amp;" /e /r /s /spath="&amp;search_path&amp;" /stypes=""app*"&amp;ITB28&amp;"*"&amp;TEXT(ITI28-utc_offset/24,"YYYYMMDD")&amp;"*"" /stext="" "&amp;TEXT(ITI28-utc_offset/24,"HH")&amp;search_regexp&amp;""""</f>
        <v>#VALUE!</v>
      </c>
      <c r="IUG28" s="234" t="e">
        <f>astrogrep_path&amp;" /e /r /s /spath="&amp;search_path&amp;" /stypes=""app*"&amp;ITC28&amp;"*"&amp;TEXT(ITJ28-utc_offset/24,"YYYYMMDD")&amp;"*"" /stext="" "&amp;TEXT(ITJ28-utc_offset/24,"HH")&amp;search_regexp&amp;""""</f>
        <v>#VALUE!</v>
      </c>
      <c r="IUH28" s="234" t="e">
        <f>astrogrep_path&amp;" /e /r /s /spath="&amp;search_path&amp;" /stypes=""app*"&amp;ITD28&amp;"*"&amp;TEXT(ITK28-utc_offset/24,"YYYYMMDD")&amp;"*"" /stext="" "&amp;TEXT(ITK28-utc_offset/24,"HH")&amp;search_regexp&amp;""""</f>
        <v>#VALUE!</v>
      </c>
      <c r="IUI28" s="234" t="e">
        <f>astrogrep_path&amp;" /e /r /s /spath="&amp;search_path&amp;" /stypes=""app*"&amp;ITE28&amp;"*"&amp;TEXT(ITL28-utc_offset/24,"YYYYMMDD")&amp;"*"" /stext="" "&amp;TEXT(ITL28-utc_offset/24,"HH")&amp;search_regexp&amp;""""</f>
        <v>#VALUE!</v>
      </c>
      <c r="IUJ28" s="234" t="e">
        <f>astrogrep_path&amp;" /e /r /s /spath="&amp;search_path&amp;" /stypes=""app*"&amp;ITF28&amp;"*"&amp;TEXT(ITM28-utc_offset/24,"YYYYMMDD")&amp;"*"" /stext="" "&amp;TEXT(ITM28-utc_offset/24,"HH")&amp;search_regexp&amp;""""</f>
        <v>#REF!</v>
      </c>
      <c r="IUK28" s="234" t="e">
        <f>astrogrep_path&amp;" /e /r /s /spath="&amp;search_path&amp;" /stypes=""app*"&amp;ITG28&amp;"*"&amp;TEXT(ITN28-utc_offset/24,"YYYYMMDD")&amp;"*"" /stext="" "&amp;TEXT(ITN28-utc_offset/24,"HH")&amp;search_regexp&amp;""""</f>
        <v>#REF!</v>
      </c>
      <c r="IUL28" s="234" t="e">
        <f>astrogrep_path&amp;" /e /r /s /spath="&amp;search_path&amp;" /stypes=""app*"&amp;ITH28&amp;"*"&amp;TEXT(ITO28-utc_offset/24,"YYYYMMDD")&amp;"*"" /stext="" "&amp;TEXT(ITO28-utc_offset/24,"HH")&amp;search_regexp&amp;""""</f>
        <v>#REF!</v>
      </c>
      <c r="IUM28" s="234" t="e">
        <f>astrogrep_path&amp;" /e /r /s /spath="&amp;search_path&amp;" /stypes=""app*"&amp;ITI28&amp;"*"&amp;TEXT(ITP28-utc_offset/24,"YYYYMMDD")&amp;"*"" /stext="" "&amp;TEXT(ITP28-utc_offset/24,"HH")&amp;search_regexp&amp;""""</f>
        <v>#REF!</v>
      </c>
      <c r="IUN28" s="234" t="e">
        <f>astrogrep_path&amp;" /e /r /s /spath="&amp;search_path&amp;" /stypes=""app*"&amp;ITJ28&amp;"*"&amp;TEXT(ITQ28-utc_offset/24,"YYYYMMDD")&amp;"*"" /stext="" "&amp;TEXT(ITQ28-utc_offset/24,"HH")&amp;search_regexp&amp;""""</f>
        <v>#REF!</v>
      </c>
      <c r="IUO28" s="234" t="e">
        <f>astrogrep_path&amp;" /e /r /s /spath="&amp;search_path&amp;" /stypes=""app*"&amp;ITK28&amp;"*"&amp;TEXT(ITR28-utc_offset/24,"YYYYMMDD")&amp;"*"" /stext="" "&amp;TEXT(ITR28-utc_offset/24,"HH")&amp;search_regexp&amp;""""</f>
        <v>#REF!</v>
      </c>
      <c r="IUP28" s="234" t="e">
        <f>astrogrep_path&amp;" /e /r /s /spath="&amp;search_path&amp;" /stypes=""app*"&amp;ITL28&amp;"*"&amp;TEXT(ITS28-utc_offset/24,"YYYYMMDD")&amp;"*"" /stext="" "&amp;TEXT(ITS28-utc_offset/24,"HH")&amp;search_regexp&amp;""""</f>
        <v>#REF!</v>
      </c>
      <c r="IUQ28" s="234" t="e">
        <f>astrogrep_path&amp;" /e /r /s /spath="&amp;search_path&amp;" /stypes=""app*"&amp;ITM28&amp;"*"&amp;TEXT(ITT28-utc_offset/24,"YYYYMMDD")&amp;"*"" /stext="" "&amp;TEXT(ITT28-utc_offset/24,"HH")&amp;search_regexp&amp;""""</f>
        <v>#REF!</v>
      </c>
      <c r="IUR28" s="234" t="e">
        <f>astrogrep_path&amp;" /e /r /s /spath="&amp;search_path&amp;" /stypes=""app*"&amp;ITN28&amp;"*"&amp;TEXT(ITU28-utc_offset/24,"YYYYMMDD")&amp;"*"" /stext="" "&amp;TEXT(ITU28-utc_offset/24,"HH")&amp;search_regexp&amp;""""</f>
        <v>#REF!</v>
      </c>
      <c r="IUS28" s="234" t="e">
        <f>astrogrep_path&amp;" /e /r /s /spath="&amp;search_path&amp;" /stypes=""app*"&amp;ITO28&amp;"*"&amp;TEXT(ITV28-utc_offset/24,"YYYYMMDD")&amp;"*"" /stext="" "&amp;TEXT(ITV28-utc_offset/24,"HH")&amp;search_regexp&amp;""""</f>
        <v>#REF!</v>
      </c>
      <c r="IUT28" s="234" t="e">
        <f>astrogrep_path&amp;" /e /r /s /spath="&amp;search_path&amp;" /stypes=""app*"&amp;ITP28&amp;"*"&amp;TEXT(ITW28-utc_offset/24,"YYYYMMDD")&amp;"*"" /stext="" "&amp;TEXT(ITW28-utc_offset/24,"HH")&amp;search_regexp&amp;""""</f>
        <v>#REF!</v>
      </c>
      <c r="IUU28" s="234" t="e">
        <f>astrogrep_path&amp;" /e /r /s /spath="&amp;search_path&amp;" /stypes=""app*"&amp;ITQ28&amp;"*"&amp;TEXT(ITX28-utc_offset/24,"YYYYMMDD")&amp;"*"" /stext="" "&amp;TEXT(ITX28-utc_offset/24,"HH")&amp;search_regexp&amp;""""</f>
        <v>#REF!</v>
      </c>
      <c r="IUV28" s="234" t="e">
        <f>astrogrep_path&amp;" /e /r /s /spath="&amp;search_path&amp;" /stypes=""app*"&amp;ITR28&amp;"*"&amp;TEXT(ITY28-utc_offset/24,"YYYYMMDD")&amp;"*"" /stext="" "&amp;TEXT(ITY28-utc_offset/24,"HH")&amp;search_regexp&amp;""""</f>
        <v>#REF!</v>
      </c>
      <c r="IUW28" s="234" t="e">
        <f>astrogrep_path&amp;" /e /r /s /spath="&amp;search_path&amp;" /stypes=""app*"&amp;ITS28&amp;"*"&amp;TEXT(ITZ28-utc_offset/24,"YYYYMMDD")&amp;"*"" /stext="" "&amp;TEXT(ITZ28-utc_offset/24,"HH")&amp;search_regexp&amp;""""</f>
        <v>#REF!</v>
      </c>
      <c r="IUX28" s="234" t="e">
        <f>astrogrep_path&amp;" /e /r /s /spath="&amp;search_path&amp;" /stypes=""app*"&amp;ITT28&amp;"*"&amp;TEXT(IUA28-utc_offset/24,"YYYYMMDD")&amp;"*"" /stext="" "&amp;TEXT(IUA28-utc_offset/24,"HH")&amp;search_regexp&amp;""""</f>
        <v>#REF!</v>
      </c>
      <c r="IUY28" s="234" t="e">
        <f>astrogrep_path&amp;" /e /r /s /spath="&amp;search_path&amp;" /stypes=""app*"&amp;ITU28&amp;"*"&amp;TEXT(IUB28-utc_offset/24,"YYYYMMDD")&amp;"*"" /stext="" "&amp;TEXT(IUB28-utc_offset/24,"HH")&amp;search_regexp&amp;""""</f>
        <v>#REF!</v>
      </c>
      <c r="IUZ28" s="234" t="e">
        <f>astrogrep_path&amp;" /e /r /s /spath="&amp;search_path&amp;" /stypes=""app*"&amp;ITV28&amp;"*"&amp;TEXT(IUC28-utc_offset/24,"YYYYMMDD")&amp;"*"" /stext="" "&amp;TEXT(IUC28-utc_offset/24,"HH")&amp;search_regexp&amp;""""</f>
        <v>#REF!</v>
      </c>
      <c r="IVA28" s="234" t="e">
        <f>astrogrep_path&amp;" /e /r /s /spath="&amp;search_path&amp;" /stypes=""app*"&amp;ITW28&amp;"*"&amp;TEXT(IUD28-utc_offset/24,"YYYYMMDD")&amp;"*"" /stext="" "&amp;TEXT(IUD28-utc_offset/24,"HH")&amp;search_regexp&amp;""""</f>
        <v>#REF!</v>
      </c>
      <c r="IVB28" s="234" t="e">
        <f>astrogrep_path&amp;" /e /r /s /spath="&amp;search_path&amp;" /stypes=""app*"&amp;ITX28&amp;"*"&amp;TEXT(IUE28-utc_offset/24,"YYYYMMDD")&amp;"*"" /stext="" "&amp;TEXT(IUE28-utc_offset/24,"HH")&amp;search_regexp&amp;""""</f>
        <v>#REF!</v>
      </c>
      <c r="IVC28" s="234" t="e">
        <f>astrogrep_path&amp;" /e /r /s /spath="&amp;search_path&amp;" /stypes=""app*"&amp;ITY28&amp;"*"&amp;TEXT(IUF28-utc_offset/24,"YYYYMMDD")&amp;"*"" /stext="" "&amp;TEXT(IUF28-utc_offset/24,"HH")&amp;search_regexp&amp;""""</f>
        <v>#REF!</v>
      </c>
      <c r="IVD28" s="234" t="e">
        <f>astrogrep_path&amp;" /e /r /s /spath="&amp;search_path&amp;" /stypes=""app*"&amp;ITZ28&amp;"*"&amp;TEXT(IUG28-utc_offset/24,"YYYYMMDD")&amp;"*"" /stext="" "&amp;TEXT(IUG28-utc_offset/24,"HH")&amp;search_regexp&amp;""""</f>
        <v>#REF!</v>
      </c>
      <c r="IVE28" s="234" t="e">
        <f>astrogrep_path&amp;" /e /r /s /spath="&amp;search_path&amp;" /stypes=""app*"&amp;IUA28&amp;"*"&amp;TEXT(IUH28-utc_offset/24,"YYYYMMDD")&amp;"*"" /stext="" "&amp;TEXT(IUH28-utc_offset/24,"HH")&amp;search_regexp&amp;""""</f>
        <v>#VALUE!</v>
      </c>
      <c r="IVF28" s="234" t="e">
        <f>astrogrep_path&amp;" /e /r /s /spath="&amp;search_path&amp;" /stypes=""app*"&amp;IUB28&amp;"*"&amp;TEXT(IUI28-utc_offset/24,"YYYYMMDD")&amp;"*"" /stext="" "&amp;TEXT(IUI28-utc_offset/24,"HH")&amp;search_regexp&amp;""""</f>
        <v>#VALUE!</v>
      </c>
      <c r="IVG28" s="234" t="e">
        <f>astrogrep_path&amp;" /e /r /s /spath="&amp;search_path&amp;" /stypes=""app*"&amp;IUC28&amp;"*"&amp;TEXT(IUJ28-utc_offset/24,"YYYYMMDD")&amp;"*"" /stext="" "&amp;TEXT(IUJ28-utc_offset/24,"HH")&amp;search_regexp&amp;""""</f>
        <v>#REF!</v>
      </c>
      <c r="IVH28" s="234" t="e">
        <f>astrogrep_path&amp;" /e /r /s /spath="&amp;search_path&amp;" /stypes=""app*"&amp;IUD28&amp;"*"&amp;TEXT(IUK28-utc_offset/24,"YYYYMMDD")&amp;"*"" /stext="" "&amp;TEXT(IUK28-utc_offset/24,"HH")&amp;search_regexp&amp;""""</f>
        <v>#REF!</v>
      </c>
      <c r="IVI28" s="234" t="e">
        <f>astrogrep_path&amp;" /e /r /s /spath="&amp;search_path&amp;" /stypes=""app*"&amp;IUE28&amp;"*"&amp;TEXT(IUL28-utc_offset/24,"YYYYMMDD")&amp;"*"" /stext="" "&amp;TEXT(IUL28-utc_offset/24,"HH")&amp;search_regexp&amp;""""</f>
        <v>#VALUE!</v>
      </c>
      <c r="IVJ28" s="234" t="e">
        <f>astrogrep_path&amp;" /e /r /s /spath="&amp;search_path&amp;" /stypes=""app*"&amp;IUF28&amp;"*"&amp;TEXT(IUM28-utc_offset/24,"YYYYMMDD")&amp;"*"" /stext="" "&amp;TEXT(IUM28-utc_offset/24,"HH")&amp;search_regexp&amp;""""</f>
        <v>#VALUE!</v>
      </c>
      <c r="IVK28" s="234" t="e">
        <f>astrogrep_path&amp;" /e /r /s /spath="&amp;search_path&amp;" /stypes=""app*"&amp;IUG28&amp;"*"&amp;TEXT(IUN28-utc_offset/24,"YYYYMMDD")&amp;"*"" /stext="" "&amp;TEXT(IUN28-utc_offset/24,"HH")&amp;search_regexp&amp;""""</f>
        <v>#VALUE!</v>
      </c>
      <c r="IVL28" s="234" t="e">
        <f>astrogrep_path&amp;" /e /r /s /spath="&amp;search_path&amp;" /stypes=""app*"&amp;IUH28&amp;"*"&amp;TEXT(IUO28-utc_offset/24,"YYYYMMDD")&amp;"*"" /stext="" "&amp;TEXT(IUO28-utc_offset/24,"HH")&amp;search_regexp&amp;""""</f>
        <v>#VALUE!</v>
      </c>
      <c r="IVM28" s="234" t="e">
        <f>astrogrep_path&amp;" /e /r /s /spath="&amp;search_path&amp;" /stypes=""app*"&amp;IUI28&amp;"*"&amp;TEXT(IUP28-utc_offset/24,"YYYYMMDD")&amp;"*"" /stext="" "&amp;TEXT(IUP28-utc_offset/24,"HH")&amp;search_regexp&amp;""""</f>
        <v>#VALUE!</v>
      </c>
      <c r="IVN28" s="234" t="e">
        <f>astrogrep_path&amp;" /e /r /s /spath="&amp;search_path&amp;" /stypes=""app*"&amp;IUJ28&amp;"*"&amp;TEXT(IUQ28-utc_offset/24,"YYYYMMDD")&amp;"*"" /stext="" "&amp;TEXT(IUQ28-utc_offset/24,"HH")&amp;search_regexp&amp;""""</f>
        <v>#REF!</v>
      </c>
      <c r="IVO28" s="234" t="e">
        <f>astrogrep_path&amp;" /e /r /s /spath="&amp;search_path&amp;" /stypes=""app*"&amp;IUK28&amp;"*"&amp;TEXT(IUR28-utc_offset/24,"YYYYMMDD")&amp;"*"" /stext="" "&amp;TEXT(IUR28-utc_offset/24,"HH")&amp;search_regexp&amp;""""</f>
        <v>#REF!</v>
      </c>
      <c r="IVP28" s="234" t="e">
        <f>astrogrep_path&amp;" /e /r /s /spath="&amp;search_path&amp;" /stypes=""app*"&amp;IUL28&amp;"*"&amp;TEXT(IUS28-utc_offset/24,"YYYYMMDD")&amp;"*"" /stext="" "&amp;TEXT(IUS28-utc_offset/24,"HH")&amp;search_regexp&amp;""""</f>
        <v>#REF!</v>
      </c>
      <c r="IVQ28" s="234" t="e">
        <f>astrogrep_path&amp;" /e /r /s /spath="&amp;search_path&amp;" /stypes=""app*"&amp;IUM28&amp;"*"&amp;TEXT(IUT28-utc_offset/24,"YYYYMMDD")&amp;"*"" /stext="" "&amp;TEXT(IUT28-utc_offset/24,"HH")&amp;search_regexp&amp;""""</f>
        <v>#REF!</v>
      </c>
      <c r="IVR28" s="234" t="e">
        <f>astrogrep_path&amp;" /e /r /s /spath="&amp;search_path&amp;" /stypes=""app*"&amp;IUN28&amp;"*"&amp;TEXT(IUU28-utc_offset/24,"YYYYMMDD")&amp;"*"" /stext="" "&amp;TEXT(IUU28-utc_offset/24,"HH")&amp;search_regexp&amp;""""</f>
        <v>#REF!</v>
      </c>
      <c r="IVS28" s="234" t="e">
        <f>astrogrep_path&amp;" /e /r /s /spath="&amp;search_path&amp;" /stypes=""app*"&amp;IUO28&amp;"*"&amp;TEXT(IUV28-utc_offset/24,"YYYYMMDD")&amp;"*"" /stext="" "&amp;TEXT(IUV28-utc_offset/24,"HH")&amp;search_regexp&amp;""""</f>
        <v>#REF!</v>
      </c>
      <c r="IVT28" s="234" t="e">
        <f>astrogrep_path&amp;" /e /r /s /spath="&amp;search_path&amp;" /stypes=""app*"&amp;IUP28&amp;"*"&amp;TEXT(IUW28-utc_offset/24,"YYYYMMDD")&amp;"*"" /stext="" "&amp;TEXT(IUW28-utc_offset/24,"HH")&amp;search_regexp&amp;""""</f>
        <v>#REF!</v>
      </c>
      <c r="IVU28" s="234" t="e">
        <f>astrogrep_path&amp;" /e /r /s /spath="&amp;search_path&amp;" /stypes=""app*"&amp;IUQ28&amp;"*"&amp;TEXT(IUX28-utc_offset/24,"YYYYMMDD")&amp;"*"" /stext="" "&amp;TEXT(IUX28-utc_offset/24,"HH")&amp;search_regexp&amp;""""</f>
        <v>#REF!</v>
      </c>
      <c r="IVV28" s="234" t="e">
        <f>astrogrep_path&amp;" /e /r /s /spath="&amp;search_path&amp;" /stypes=""app*"&amp;IUR28&amp;"*"&amp;TEXT(IUY28-utc_offset/24,"YYYYMMDD")&amp;"*"" /stext="" "&amp;TEXT(IUY28-utc_offset/24,"HH")&amp;search_regexp&amp;""""</f>
        <v>#REF!</v>
      </c>
      <c r="IVW28" s="234" t="e">
        <f>astrogrep_path&amp;" /e /r /s /spath="&amp;search_path&amp;" /stypes=""app*"&amp;IUS28&amp;"*"&amp;TEXT(IUZ28-utc_offset/24,"YYYYMMDD")&amp;"*"" /stext="" "&amp;TEXT(IUZ28-utc_offset/24,"HH")&amp;search_regexp&amp;""""</f>
        <v>#REF!</v>
      </c>
      <c r="IVX28" s="234" t="e">
        <f>astrogrep_path&amp;" /e /r /s /spath="&amp;search_path&amp;" /stypes=""app*"&amp;IUT28&amp;"*"&amp;TEXT(IVA28-utc_offset/24,"YYYYMMDD")&amp;"*"" /stext="" "&amp;TEXT(IVA28-utc_offset/24,"HH")&amp;search_regexp&amp;""""</f>
        <v>#REF!</v>
      </c>
      <c r="IVY28" s="234" t="e">
        <f>astrogrep_path&amp;" /e /r /s /spath="&amp;search_path&amp;" /stypes=""app*"&amp;IUU28&amp;"*"&amp;TEXT(IVB28-utc_offset/24,"YYYYMMDD")&amp;"*"" /stext="" "&amp;TEXT(IVB28-utc_offset/24,"HH")&amp;search_regexp&amp;""""</f>
        <v>#REF!</v>
      </c>
      <c r="IVZ28" s="234" t="e">
        <f>astrogrep_path&amp;" /e /r /s /spath="&amp;search_path&amp;" /stypes=""app*"&amp;IUV28&amp;"*"&amp;TEXT(IVC28-utc_offset/24,"YYYYMMDD")&amp;"*"" /stext="" "&amp;TEXT(IVC28-utc_offset/24,"HH")&amp;search_regexp&amp;""""</f>
        <v>#REF!</v>
      </c>
      <c r="IWA28" s="234" t="e">
        <f>astrogrep_path&amp;" /e /r /s /spath="&amp;search_path&amp;" /stypes=""app*"&amp;IUW28&amp;"*"&amp;TEXT(IVD28-utc_offset/24,"YYYYMMDD")&amp;"*"" /stext="" "&amp;TEXT(IVD28-utc_offset/24,"HH")&amp;search_regexp&amp;""""</f>
        <v>#REF!</v>
      </c>
      <c r="IWB28" s="234" t="e">
        <f>astrogrep_path&amp;" /e /r /s /spath="&amp;search_path&amp;" /stypes=""app*"&amp;IUX28&amp;"*"&amp;TEXT(IVE28-utc_offset/24,"YYYYMMDD")&amp;"*"" /stext="" "&amp;TEXT(IVE28-utc_offset/24,"HH")&amp;search_regexp&amp;""""</f>
        <v>#REF!</v>
      </c>
      <c r="IWC28" s="234" t="e">
        <f>astrogrep_path&amp;" /e /r /s /spath="&amp;search_path&amp;" /stypes=""app*"&amp;IUY28&amp;"*"&amp;TEXT(IVF28-utc_offset/24,"YYYYMMDD")&amp;"*"" /stext="" "&amp;TEXT(IVF28-utc_offset/24,"HH")&amp;search_regexp&amp;""""</f>
        <v>#REF!</v>
      </c>
      <c r="IWD28" s="234" t="e">
        <f>astrogrep_path&amp;" /e /r /s /spath="&amp;search_path&amp;" /stypes=""app*"&amp;IUZ28&amp;"*"&amp;TEXT(IVG28-utc_offset/24,"YYYYMMDD")&amp;"*"" /stext="" "&amp;TEXT(IVG28-utc_offset/24,"HH")&amp;search_regexp&amp;""""</f>
        <v>#REF!</v>
      </c>
      <c r="IWE28" s="234" t="e">
        <f>astrogrep_path&amp;" /e /r /s /spath="&amp;search_path&amp;" /stypes=""app*"&amp;IVA28&amp;"*"&amp;TEXT(IVH28-utc_offset/24,"YYYYMMDD")&amp;"*"" /stext="" "&amp;TEXT(IVH28-utc_offset/24,"HH")&amp;search_regexp&amp;""""</f>
        <v>#REF!</v>
      </c>
      <c r="IWF28" s="234" t="e">
        <f>astrogrep_path&amp;" /e /r /s /spath="&amp;search_path&amp;" /stypes=""app*"&amp;IVB28&amp;"*"&amp;TEXT(IVI28-utc_offset/24,"YYYYMMDD")&amp;"*"" /stext="" "&amp;TEXT(IVI28-utc_offset/24,"HH")&amp;search_regexp&amp;""""</f>
        <v>#REF!</v>
      </c>
      <c r="IWG28" s="234" t="e">
        <f>astrogrep_path&amp;" /e /r /s /spath="&amp;search_path&amp;" /stypes=""app*"&amp;IVC28&amp;"*"&amp;TEXT(IVJ28-utc_offset/24,"YYYYMMDD")&amp;"*"" /stext="" "&amp;TEXT(IVJ28-utc_offset/24,"HH")&amp;search_regexp&amp;""""</f>
        <v>#REF!</v>
      </c>
      <c r="IWH28" s="234" t="e">
        <f>astrogrep_path&amp;" /e /r /s /spath="&amp;search_path&amp;" /stypes=""app*"&amp;IVD28&amp;"*"&amp;TEXT(IVK28-utc_offset/24,"YYYYMMDD")&amp;"*"" /stext="" "&amp;TEXT(IVK28-utc_offset/24,"HH")&amp;search_regexp&amp;""""</f>
        <v>#REF!</v>
      </c>
      <c r="IWI28" s="234" t="e">
        <f>astrogrep_path&amp;" /e /r /s /spath="&amp;search_path&amp;" /stypes=""app*"&amp;IVE28&amp;"*"&amp;TEXT(IVL28-utc_offset/24,"YYYYMMDD")&amp;"*"" /stext="" "&amp;TEXT(IVL28-utc_offset/24,"HH")&amp;search_regexp&amp;""""</f>
        <v>#VALUE!</v>
      </c>
      <c r="IWJ28" s="234" t="e">
        <f>astrogrep_path&amp;" /e /r /s /spath="&amp;search_path&amp;" /stypes=""app*"&amp;IVF28&amp;"*"&amp;TEXT(IVM28-utc_offset/24,"YYYYMMDD")&amp;"*"" /stext="" "&amp;TEXT(IVM28-utc_offset/24,"HH")&amp;search_regexp&amp;""""</f>
        <v>#VALUE!</v>
      </c>
      <c r="IWK28" s="234" t="e">
        <f>astrogrep_path&amp;" /e /r /s /spath="&amp;search_path&amp;" /stypes=""app*"&amp;IVG28&amp;"*"&amp;TEXT(IVN28-utc_offset/24,"YYYYMMDD")&amp;"*"" /stext="" "&amp;TEXT(IVN28-utc_offset/24,"HH")&amp;search_regexp&amp;""""</f>
        <v>#REF!</v>
      </c>
      <c r="IWL28" s="234" t="e">
        <f>astrogrep_path&amp;" /e /r /s /spath="&amp;search_path&amp;" /stypes=""app*"&amp;IVH28&amp;"*"&amp;TEXT(IVO28-utc_offset/24,"YYYYMMDD")&amp;"*"" /stext="" "&amp;TEXT(IVO28-utc_offset/24,"HH")&amp;search_regexp&amp;""""</f>
        <v>#REF!</v>
      </c>
      <c r="IWM28" s="234" t="e">
        <f>astrogrep_path&amp;" /e /r /s /spath="&amp;search_path&amp;" /stypes=""app*"&amp;IVI28&amp;"*"&amp;TEXT(IVP28-utc_offset/24,"YYYYMMDD")&amp;"*"" /stext="" "&amp;TEXT(IVP28-utc_offset/24,"HH")&amp;search_regexp&amp;""""</f>
        <v>#VALUE!</v>
      </c>
      <c r="IWN28" s="234" t="e">
        <f>astrogrep_path&amp;" /e /r /s /spath="&amp;search_path&amp;" /stypes=""app*"&amp;IVJ28&amp;"*"&amp;TEXT(IVQ28-utc_offset/24,"YYYYMMDD")&amp;"*"" /stext="" "&amp;TEXT(IVQ28-utc_offset/24,"HH")&amp;search_regexp&amp;""""</f>
        <v>#VALUE!</v>
      </c>
      <c r="IWO28" s="234" t="e">
        <f>astrogrep_path&amp;" /e /r /s /spath="&amp;search_path&amp;" /stypes=""app*"&amp;IVK28&amp;"*"&amp;TEXT(IVR28-utc_offset/24,"YYYYMMDD")&amp;"*"" /stext="" "&amp;TEXT(IVR28-utc_offset/24,"HH")&amp;search_regexp&amp;""""</f>
        <v>#VALUE!</v>
      </c>
      <c r="IWP28" s="234" t="e">
        <f>astrogrep_path&amp;" /e /r /s /spath="&amp;search_path&amp;" /stypes=""app*"&amp;IVL28&amp;"*"&amp;TEXT(IVS28-utc_offset/24,"YYYYMMDD")&amp;"*"" /stext="" "&amp;TEXT(IVS28-utc_offset/24,"HH")&amp;search_regexp&amp;""""</f>
        <v>#VALUE!</v>
      </c>
      <c r="IWQ28" s="234" t="e">
        <f>astrogrep_path&amp;" /e /r /s /spath="&amp;search_path&amp;" /stypes=""app*"&amp;IVM28&amp;"*"&amp;TEXT(IVT28-utc_offset/24,"YYYYMMDD")&amp;"*"" /stext="" "&amp;TEXT(IVT28-utc_offset/24,"HH")&amp;search_regexp&amp;""""</f>
        <v>#VALUE!</v>
      </c>
      <c r="IWR28" s="234" t="e">
        <f>astrogrep_path&amp;" /e /r /s /spath="&amp;search_path&amp;" /stypes=""app*"&amp;IVN28&amp;"*"&amp;TEXT(IVU28-utc_offset/24,"YYYYMMDD")&amp;"*"" /stext="" "&amp;TEXT(IVU28-utc_offset/24,"HH")&amp;search_regexp&amp;""""</f>
        <v>#REF!</v>
      </c>
      <c r="IWS28" s="234" t="e">
        <f>astrogrep_path&amp;" /e /r /s /spath="&amp;search_path&amp;" /stypes=""app*"&amp;IVO28&amp;"*"&amp;TEXT(IVV28-utc_offset/24,"YYYYMMDD")&amp;"*"" /stext="" "&amp;TEXT(IVV28-utc_offset/24,"HH")&amp;search_regexp&amp;""""</f>
        <v>#REF!</v>
      </c>
      <c r="IWT28" s="234" t="e">
        <f>astrogrep_path&amp;" /e /r /s /spath="&amp;search_path&amp;" /stypes=""app*"&amp;IVP28&amp;"*"&amp;TEXT(IVW28-utc_offset/24,"YYYYMMDD")&amp;"*"" /stext="" "&amp;TEXT(IVW28-utc_offset/24,"HH")&amp;search_regexp&amp;""""</f>
        <v>#REF!</v>
      </c>
      <c r="IWU28" s="234" t="e">
        <f>astrogrep_path&amp;" /e /r /s /spath="&amp;search_path&amp;" /stypes=""app*"&amp;IVQ28&amp;"*"&amp;TEXT(IVX28-utc_offset/24,"YYYYMMDD")&amp;"*"" /stext="" "&amp;TEXT(IVX28-utc_offset/24,"HH")&amp;search_regexp&amp;""""</f>
        <v>#REF!</v>
      </c>
      <c r="IWV28" s="234" t="e">
        <f>astrogrep_path&amp;" /e /r /s /spath="&amp;search_path&amp;" /stypes=""app*"&amp;IVR28&amp;"*"&amp;TEXT(IVY28-utc_offset/24,"YYYYMMDD")&amp;"*"" /stext="" "&amp;TEXT(IVY28-utc_offset/24,"HH")&amp;search_regexp&amp;""""</f>
        <v>#REF!</v>
      </c>
      <c r="IWW28" s="234" t="e">
        <f>astrogrep_path&amp;" /e /r /s /spath="&amp;search_path&amp;" /stypes=""app*"&amp;IVS28&amp;"*"&amp;TEXT(IVZ28-utc_offset/24,"YYYYMMDD")&amp;"*"" /stext="" "&amp;TEXT(IVZ28-utc_offset/24,"HH")&amp;search_regexp&amp;""""</f>
        <v>#REF!</v>
      </c>
      <c r="IWX28" s="234" t="e">
        <f>astrogrep_path&amp;" /e /r /s /spath="&amp;search_path&amp;" /stypes=""app*"&amp;IVT28&amp;"*"&amp;TEXT(IWA28-utc_offset/24,"YYYYMMDD")&amp;"*"" /stext="" "&amp;TEXT(IWA28-utc_offset/24,"HH")&amp;search_regexp&amp;""""</f>
        <v>#REF!</v>
      </c>
      <c r="IWY28" s="234" t="e">
        <f>astrogrep_path&amp;" /e /r /s /spath="&amp;search_path&amp;" /stypes=""app*"&amp;IVU28&amp;"*"&amp;TEXT(IWB28-utc_offset/24,"YYYYMMDD")&amp;"*"" /stext="" "&amp;TEXT(IWB28-utc_offset/24,"HH")&amp;search_regexp&amp;""""</f>
        <v>#REF!</v>
      </c>
      <c r="IWZ28" s="234" t="e">
        <f>astrogrep_path&amp;" /e /r /s /spath="&amp;search_path&amp;" /stypes=""app*"&amp;IVV28&amp;"*"&amp;TEXT(IWC28-utc_offset/24,"YYYYMMDD")&amp;"*"" /stext="" "&amp;TEXT(IWC28-utc_offset/24,"HH")&amp;search_regexp&amp;""""</f>
        <v>#REF!</v>
      </c>
      <c r="IXA28" s="234" t="e">
        <f>astrogrep_path&amp;" /e /r /s /spath="&amp;search_path&amp;" /stypes=""app*"&amp;IVW28&amp;"*"&amp;TEXT(IWD28-utc_offset/24,"YYYYMMDD")&amp;"*"" /stext="" "&amp;TEXT(IWD28-utc_offset/24,"HH")&amp;search_regexp&amp;""""</f>
        <v>#REF!</v>
      </c>
      <c r="IXB28" s="234" t="e">
        <f>astrogrep_path&amp;" /e /r /s /spath="&amp;search_path&amp;" /stypes=""app*"&amp;IVX28&amp;"*"&amp;TEXT(IWE28-utc_offset/24,"YYYYMMDD")&amp;"*"" /stext="" "&amp;TEXT(IWE28-utc_offset/24,"HH")&amp;search_regexp&amp;""""</f>
        <v>#REF!</v>
      </c>
      <c r="IXC28" s="234" t="e">
        <f>astrogrep_path&amp;" /e /r /s /spath="&amp;search_path&amp;" /stypes=""app*"&amp;IVY28&amp;"*"&amp;TEXT(IWF28-utc_offset/24,"YYYYMMDD")&amp;"*"" /stext="" "&amp;TEXT(IWF28-utc_offset/24,"HH")&amp;search_regexp&amp;""""</f>
        <v>#REF!</v>
      </c>
      <c r="IXD28" s="234" t="e">
        <f>astrogrep_path&amp;" /e /r /s /spath="&amp;search_path&amp;" /stypes=""app*"&amp;IVZ28&amp;"*"&amp;TEXT(IWG28-utc_offset/24,"YYYYMMDD")&amp;"*"" /stext="" "&amp;TEXT(IWG28-utc_offset/24,"HH")&amp;search_regexp&amp;""""</f>
        <v>#REF!</v>
      </c>
      <c r="IXE28" s="234" t="e">
        <f>astrogrep_path&amp;" /e /r /s /spath="&amp;search_path&amp;" /stypes=""app*"&amp;IWA28&amp;"*"&amp;TEXT(IWH28-utc_offset/24,"YYYYMMDD")&amp;"*"" /stext="" "&amp;TEXT(IWH28-utc_offset/24,"HH")&amp;search_regexp&amp;""""</f>
        <v>#REF!</v>
      </c>
      <c r="IXF28" s="234" t="e">
        <f>astrogrep_path&amp;" /e /r /s /spath="&amp;search_path&amp;" /stypes=""app*"&amp;IWB28&amp;"*"&amp;TEXT(IWI28-utc_offset/24,"YYYYMMDD")&amp;"*"" /stext="" "&amp;TEXT(IWI28-utc_offset/24,"HH")&amp;search_regexp&amp;""""</f>
        <v>#REF!</v>
      </c>
      <c r="IXG28" s="234" t="e">
        <f>astrogrep_path&amp;" /e /r /s /spath="&amp;search_path&amp;" /stypes=""app*"&amp;IWC28&amp;"*"&amp;TEXT(IWJ28-utc_offset/24,"YYYYMMDD")&amp;"*"" /stext="" "&amp;TEXT(IWJ28-utc_offset/24,"HH")&amp;search_regexp&amp;""""</f>
        <v>#REF!</v>
      </c>
      <c r="IXH28" s="234" t="e">
        <f>astrogrep_path&amp;" /e /r /s /spath="&amp;search_path&amp;" /stypes=""app*"&amp;IWD28&amp;"*"&amp;TEXT(IWK28-utc_offset/24,"YYYYMMDD")&amp;"*"" /stext="" "&amp;TEXT(IWK28-utc_offset/24,"HH")&amp;search_regexp&amp;""""</f>
        <v>#REF!</v>
      </c>
      <c r="IXI28" s="234" t="e">
        <f>astrogrep_path&amp;" /e /r /s /spath="&amp;search_path&amp;" /stypes=""app*"&amp;IWE28&amp;"*"&amp;TEXT(IWL28-utc_offset/24,"YYYYMMDD")&amp;"*"" /stext="" "&amp;TEXT(IWL28-utc_offset/24,"HH")&amp;search_regexp&amp;""""</f>
        <v>#REF!</v>
      </c>
      <c r="IXJ28" s="234" t="e">
        <f>astrogrep_path&amp;" /e /r /s /spath="&amp;search_path&amp;" /stypes=""app*"&amp;IWF28&amp;"*"&amp;TEXT(IWM28-utc_offset/24,"YYYYMMDD")&amp;"*"" /stext="" "&amp;TEXT(IWM28-utc_offset/24,"HH")&amp;search_regexp&amp;""""</f>
        <v>#REF!</v>
      </c>
      <c r="IXK28" s="234" t="e">
        <f>astrogrep_path&amp;" /e /r /s /spath="&amp;search_path&amp;" /stypes=""app*"&amp;IWG28&amp;"*"&amp;TEXT(IWN28-utc_offset/24,"YYYYMMDD")&amp;"*"" /stext="" "&amp;TEXT(IWN28-utc_offset/24,"HH")&amp;search_regexp&amp;""""</f>
        <v>#REF!</v>
      </c>
      <c r="IXL28" s="234" t="e">
        <f>astrogrep_path&amp;" /e /r /s /spath="&amp;search_path&amp;" /stypes=""app*"&amp;IWH28&amp;"*"&amp;TEXT(IWO28-utc_offset/24,"YYYYMMDD")&amp;"*"" /stext="" "&amp;TEXT(IWO28-utc_offset/24,"HH")&amp;search_regexp&amp;""""</f>
        <v>#REF!</v>
      </c>
      <c r="IXM28" s="234" t="e">
        <f>astrogrep_path&amp;" /e /r /s /spath="&amp;search_path&amp;" /stypes=""app*"&amp;IWI28&amp;"*"&amp;TEXT(IWP28-utc_offset/24,"YYYYMMDD")&amp;"*"" /stext="" "&amp;TEXT(IWP28-utc_offset/24,"HH")&amp;search_regexp&amp;""""</f>
        <v>#VALUE!</v>
      </c>
      <c r="IXN28" s="234" t="e">
        <f>astrogrep_path&amp;" /e /r /s /spath="&amp;search_path&amp;" /stypes=""app*"&amp;IWJ28&amp;"*"&amp;TEXT(IWQ28-utc_offset/24,"YYYYMMDD")&amp;"*"" /stext="" "&amp;TEXT(IWQ28-utc_offset/24,"HH")&amp;search_regexp&amp;""""</f>
        <v>#VALUE!</v>
      </c>
      <c r="IXO28" s="234" t="e">
        <f>astrogrep_path&amp;" /e /r /s /spath="&amp;search_path&amp;" /stypes=""app*"&amp;IWK28&amp;"*"&amp;TEXT(IWR28-utc_offset/24,"YYYYMMDD")&amp;"*"" /stext="" "&amp;TEXT(IWR28-utc_offset/24,"HH")&amp;search_regexp&amp;""""</f>
        <v>#REF!</v>
      </c>
      <c r="IXP28" s="234" t="e">
        <f>astrogrep_path&amp;" /e /r /s /spath="&amp;search_path&amp;" /stypes=""app*"&amp;IWL28&amp;"*"&amp;TEXT(IWS28-utc_offset/24,"YYYYMMDD")&amp;"*"" /stext="" "&amp;TEXT(IWS28-utc_offset/24,"HH")&amp;search_regexp&amp;""""</f>
        <v>#REF!</v>
      </c>
      <c r="IXQ28" s="234" t="e">
        <f>astrogrep_path&amp;" /e /r /s /spath="&amp;search_path&amp;" /stypes=""app*"&amp;IWM28&amp;"*"&amp;TEXT(IWT28-utc_offset/24,"YYYYMMDD")&amp;"*"" /stext="" "&amp;TEXT(IWT28-utc_offset/24,"HH")&amp;search_regexp&amp;""""</f>
        <v>#VALUE!</v>
      </c>
      <c r="IXR28" s="234" t="e">
        <f>astrogrep_path&amp;" /e /r /s /spath="&amp;search_path&amp;" /stypes=""app*"&amp;IWN28&amp;"*"&amp;TEXT(IWU28-utc_offset/24,"YYYYMMDD")&amp;"*"" /stext="" "&amp;TEXT(IWU28-utc_offset/24,"HH")&amp;search_regexp&amp;""""</f>
        <v>#VALUE!</v>
      </c>
      <c r="IXS28" s="234" t="e">
        <f>astrogrep_path&amp;" /e /r /s /spath="&amp;search_path&amp;" /stypes=""app*"&amp;IWO28&amp;"*"&amp;TEXT(IWV28-utc_offset/24,"YYYYMMDD")&amp;"*"" /stext="" "&amp;TEXT(IWV28-utc_offset/24,"HH")&amp;search_regexp&amp;""""</f>
        <v>#VALUE!</v>
      </c>
      <c r="IXT28" s="234" t="e">
        <f>astrogrep_path&amp;" /e /r /s /spath="&amp;search_path&amp;" /stypes=""app*"&amp;IWP28&amp;"*"&amp;TEXT(IWW28-utc_offset/24,"YYYYMMDD")&amp;"*"" /stext="" "&amp;TEXT(IWW28-utc_offset/24,"HH")&amp;search_regexp&amp;""""</f>
        <v>#VALUE!</v>
      </c>
      <c r="IXU28" s="234" t="e">
        <f>astrogrep_path&amp;" /e /r /s /spath="&amp;search_path&amp;" /stypes=""app*"&amp;IWQ28&amp;"*"&amp;TEXT(IWX28-utc_offset/24,"YYYYMMDD")&amp;"*"" /stext="" "&amp;TEXT(IWX28-utc_offset/24,"HH")&amp;search_regexp&amp;""""</f>
        <v>#VALUE!</v>
      </c>
      <c r="IXV28" s="234" t="e">
        <f>astrogrep_path&amp;" /e /r /s /spath="&amp;search_path&amp;" /stypes=""app*"&amp;IWR28&amp;"*"&amp;TEXT(IWY28-utc_offset/24,"YYYYMMDD")&amp;"*"" /stext="" "&amp;TEXT(IWY28-utc_offset/24,"HH")&amp;search_regexp&amp;""""</f>
        <v>#REF!</v>
      </c>
      <c r="IXW28" s="234" t="e">
        <f>astrogrep_path&amp;" /e /r /s /spath="&amp;search_path&amp;" /stypes=""app*"&amp;IWS28&amp;"*"&amp;TEXT(IWZ28-utc_offset/24,"YYYYMMDD")&amp;"*"" /stext="" "&amp;TEXT(IWZ28-utc_offset/24,"HH")&amp;search_regexp&amp;""""</f>
        <v>#REF!</v>
      </c>
      <c r="IXX28" s="234" t="e">
        <f>astrogrep_path&amp;" /e /r /s /spath="&amp;search_path&amp;" /stypes=""app*"&amp;IWT28&amp;"*"&amp;TEXT(IXA28-utc_offset/24,"YYYYMMDD")&amp;"*"" /stext="" "&amp;TEXT(IXA28-utc_offset/24,"HH")&amp;search_regexp&amp;""""</f>
        <v>#REF!</v>
      </c>
      <c r="IXY28" s="234" t="e">
        <f>astrogrep_path&amp;" /e /r /s /spath="&amp;search_path&amp;" /stypes=""app*"&amp;IWU28&amp;"*"&amp;TEXT(IXB28-utc_offset/24,"YYYYMMDD")&amp;"*"" /stext="" "&amp;TEXT(IXB28-utc_offset/24,"HH")&amp;search_regexp&amp;""""</f>
        <v>#REF!</v>
      </c>
      <c r="IXZ28" s="234" t="e">
        <f>astrogrep_path&amp;" /e /r /s /spath="&amp;search_path&amp;" /stypes=""app*"&amp;IWV28&amp;"*"&amp;TEXT(IXC28-utc_offset/24,"YYYYMMDD")&amp;"*"" /stext="" "&amp;TEXT(IXC28-utc_offset/24,"HH")&amp;search_regexp&amp;""""</f>
        <v>#REF!</v>
      </c>
      <c r="IYA28" s="234" t="e">
        <f>astrogrep_path&amp;" /e /r /s /spath="&amp;search_path&amp;" /stypes=""app*"&amp;IWW28&amp;"*"&amp;TEXT(IXD28-utc_offset/24,"YYYYMMDD")&amp;"*"" /stext="" "&amp;TEXT(IXD28-utc_offset/24,"HH")&amp;search_regexp&amp;""""</f>
        <v>#REF!</v>
      </c>
      <c r="IYB28" s="234" t="e">
        <f>astrogrep_path&amp;" /e /r /s /spath="&amp;search_path&amp;" /stypes=""app*"&amp;IWX28&amp;"*"&amp;TEXT(IXE28-utc_offset/24,"YYYYMMDD")&amp;"*"" /stext="" "&amp;TEXT(IXE28-utc_offset/24,"HH")&amp;search_regexp&amp;""""</f>
        <v>#REF!</v>
      </c>
      <c r="IYC28" s="234" t="e">
        <f>astrogrep_path&amp;" /e /r /s /spath="&amp;search_path&amp;" /stypes=""app*"&amp;IWY28&amp;"*"&amp;TEXT(IXF28-utc_offset/24,"YYYYMMDD")&amp;"*"" /stext="" "&amp;TEXT(IXF28-utc_offset/24,"HH")&amp;search_regexp&amp;""""</f>
        <v>#REF!</v>
      </c>
      <c r="IYD28" s="234" t="e">
        <f>astrogrep_path&amp;" /e /r /s /spath="&amp;search_path&amp;" /stypes=""app*"&amp;IWZ28&amp;"*"&amp;TEXT(IXG28-utc_offset/24,"YYYYMMDD")&amp;"*"" /stext="" "&amp;TEXT(IXG28-utc_offset/24,"HH")&amp;search_regexp&amp;""""</f>
        <v>#REF!</v>
      </c>
      <c r="IYE28" s="234" t="e">
        <f>astrogrep_path&amp;" /e /r /s /spath="&amp;search_path&amp;" /stypes=""app*"&amp;IXA28&amp;"*"&amp;TEXT(IXH28-utc_offset/24,"YYYYMMDD")&amp;"*"" /stext="" "&amp;TEXT(IXH28-utc_offset/24,"HH")&amp;search_regexp&amp;""""</f>
        <v>#REF!</v>
      </c>
      <c r="IYF28" s="234" t="e">
        <f>astrogrep_path&amp;" /e /r /s /spath="&amp;search_path&amp;" /stypes=""app*"&amp;IXB28&amp;"*"&amp;TEXT(IXI28-utc_offset/24,"YYYYMMDD")&amp;"*"" /stext="" "&amp;TEXT(IXI28-utc_offset/24,"HH")&amp;search_regexp&amp;""""</f>
        <v>#REF!</v>
      </c>
      <c r="IYG28" s="234" t="e">
        <f>astrogrep_path&amp;" /e /r /s /spath="&amp;search_path&amp;" /stypes=""app*"&amp;IXC28&amp;"*"&amp;TEXT(IXJ28-utc_offset/24,"YYYYMMDD")&amp;"*"" /stext="" "&amp;TEXT(IXJ28-utc_offset/24,"HH")&amp;search_regexp&amp;""""</f>
        <v>#REF!</v>
      </c>
      <c r="IYH28" s="234" t="e">
        <f>astrogrep_path&amp;" /e /r /s /spath="&amp;search_path&amp;" /stypes=""app*"&amp;IXD28&amp;"*"&amp;TEXT(IXK28-utc_offset/24,"YYYYMMDD")&amp;"*"" /stext="" "&amp;TEXT(IXK28-utc_offset/24,"HH")&amp;search_regexp&amp;""""</f>
        <v>#REF!</v>
      </c>
      <c r="IYI28" s="234" t="e">
        <f>astrogrep_path&amp;" /e /r /s /spath="&amp;search_path&amp;" /stypes=""app*"&amp;IXE28&amp;"*"&amp;TEXT(IXL28-utc_offset/24,"YYYYMMDD")&amp;"*"" /stext="" "&amp;TEXT(IXL28-utc_offset/24,"HH")&amp;search_regexp&amp;""""</f>
        <v>#REF!</v>
      </c>
      <c r="IYJ28" s="234" t="e">
        <f>astrogrep_path&amp;" /e /r /s /spath="&amp;search_path&amp;" /stypes=""app*"&amp;IXF28&amp;"*"&amp;TEXT(IXM28-utc_offset/24,"YYYYMMDD")&amp;"*"" /stext="" "&amp;TEXT(IXM28-utc_offset/24,"HH")&amp;search_regexp&amp;""""</f>
        <v>#REF!</v>
      </c>
      <c r="IYK28" s="234" t="e">
        <f>astrogrep_path&amp;" /e /r /s /spath="&amp;search_path&amp;" /stypes=""app*"&amp;IXG28&amp;"*"&amp;TEXT(IXN28-utc_offset/24,"YYYYMMDD")&amp;"*"" /stext="" "&amp;TEXT(IXN28-utc_offset/24,"HH")&amp;search_regexp&amp;""""</f>
        <v>#REF!</v>
      </c>
      <c r="IYL28" s="234" t="e">
        <f>astrogrep_path&amp;" /e /r /s /spath="&amp;search_path&amp;" /stypes=""app*"&amp;IXH28&amp;"*"&amp;TEXT(IXO28-utc_offset/24,"YYYYMMDD")&amp;"*"" /stext="" "&amp;TEXT(IXO28-utc_offset/24,"HH")&amp;search_regexp&amp;""""</f>
        <v>#REF!</v>
      </c>
      <c r="IYM28" s="234" t="e">
        <f>astrogrep_path&amp;" /e /r /s /spath="&amp;search_path&amp;" /stypes=""app*"&amp;IXI28&amp;"*"&amp;TEXT(IXP28-utc_offset/24,"YYYYMMDD")&amp;"*"" /stext="" "&amp;TEXT(IXP28-utc_offset/24,"HH")&amp;search_regexp&amp;""""</f>
        <v>#REF!</v>
      </c>
      <c r="IYN28" s="234" t="e">
        <f>astrogrep_path&amp;" /e /r /s /spath="&amp;search_path&amp;" /stypes=""app*"&amp;IXJ28&amp;"*"&amp;TEXT(IXQ28-utc_offset/24,"YYYYMMDD")&amp;"*"" /stext="" "&amp;TEXT(IXQ28-utc_offset/24,"HH")&amp;search_regexp&amp;""""</f>
        <v>#REF!</v>
      </c>
      <c r="IYO28" s="234" t="e">
        <f>astrogrep_path&amp;" /e /r /s /spath="&amp;search_path&amp;" /stypes=""app*"&amp;IXK28&amp;"*"&amp;TEXT(IXR28-utc_offset/24,"YYYYMMDD")&amp;"*"" /stext="" "&amp;TEXT(IXR28-utc_offset/24,"HH")&amp;search_regexp&amp;""""</f>
        <v>#REF!</v>
      </c>
      <c r="IYP28" s="234" t="e">
        <f>astrogrep_path&amp;" /e /r /s /spath="&amp;search_path&amp;" /stypes=""app*"&amp;IXL28&amp;"*"&amp;TEXT(IXS28-utc_offset/24,"YYYYMMDD")&amp;"*"" /stext="" "&amp;TEXT(IXS28-utc_offset/24,"HH")&amp;search_regexp&amp;""""</f>
        <v>#REF!</v>
      </c>
      <c r="IYQ28" s="234" t="e">
        <f>astrogrep_path&amp;" /e /r /s /spath="&amp;search_path&amp;" /stypes=""app*"&amp;IXM28&amp;"*"&amp;TEXT(IXT28-utc_offset/24,"YYYYMMDD")&amp;"*"" /stext="" "&amp;TEXT(IXT28-utc_offset/24,"HH")&amp;search_regexp&amp;""""</f>
        <v>#VALUE!</v>
      </c>
      <c r="IYR28" s="234" t="e">
        <f>astrogrep_path&amp;" /e /r /s /spath="&amp;search_path&amp;" /stypes=""app*"&amp;IXN28&amp;"*"&amp;TEXT(IXU28-utc_offset/24,"YYYYMMDD")&amp;"*"" /stext="" "&amp;TEXT(IXU28-utc_offset/24,"HH")&amp;search_regexp&amp;""""</f>
        <v>#VALUE!</v>
      </c>
      <c r="IYS28" s="234" t="e">
        <f>astrogrep_path&amp;" /e /r /s /spath="&amp;search_path&amp;" /stypes=""app*"&amp;IXO28&amp;"*"&amp;TEXT(IXV28-utc_offset/24,"YYYYMMDD")&amp;"*"" /stext="" "&amp;TEXT(IXV28-utc_offset/24,"HH")&amp;search_regexp&amp;""""</f>
        <v>#REF!</v>
      </c>
      <c r="IYT28" s="234" t="e">
        <f>astrogrep_path&amp;" /e /r /s /spath="&amp;search_path&amp;" /stypes=""app*"&amp;IXP28&amp;"*"&amp;TEXT(IXW28-utc_offset/24,"YYYYMMDD")&amp;"*"" /stext="" "&amp;TEXT(IXW28-utc_offset/24,"HH")&amp;search_regexp&amp;""""</f>
        <v>#REF!</v>
      </c>
      <c r="IYU28" s="234" t="e">
        <f>astrogrep_path&amp;" /e /r /s /spath="&amp;search_path&amp;" /stypes=""app*"&amp;IXQ28&amp;"*"&amp;TEXT(IXX28-utc_offset/24,"YYYYMMDD")&amp;"*"" /stext="" "&amp;TEXT(IXX28-utc_offset/24,"HH")&amp;search_regexp&amp;""""</f>
        <v>#VALUE!</v>
      </c>
      <c r="IYV28" s="234" t="e">
        <f>astrogrep_path&amp;" /e /r /s /spath="&amp;search_path&amp;" /stypes=""app*"&amp;IXR28&amp;"*"&amp;TEXT(IXY28-utc_offset/24,"YYYYMMDD")&amp;"*"" /stext="" "&amp;TEXT(IXY28-utc_offset/24,"HH")&amp;search_regexp&amp;""""</f>
        <v>#VALUE!</v>
      </c>
      <c r="IYW28" s="234" t="e">
        <f>astrogrep_path&amp;" /e /r /s /spath="&amp;search_path&amp;" /stypes=""app*"&amp;IXS28&amp;"*"&amp;TEXT(IXZ28-utc_offset/24,"YYYYMMDD")&amp;"*"" /stext="" "&amp;TEXT(IXZ28-utc_offset/24,"HH")&amp;search_regexp&amp;""""</f>
        <v>#VALUE!</v>
      </c>
      <c r="IYX28" s="234" t="e">
        <f>astrogrep_path&amp;" /e /r /s /spath="&amp;search_path&amp;" /stypes=""app*"&amp;IXT28&amp;"*"&amp;TEXT(IYA28-utc_offset/24,"YYYYMMDD")&amp;"*"" /stext="" "&amp;TEXT(IYA28-utc_offset/24,"HH")&amp;search_regexp&amp;""""</f>
        <v>#VALUE!</v>
      </c>
      <c r="IYY28" s="234" t="e">
        <f>astrogrep_path&amp;" /e /r /s /spath="&amp;search_path&amp;" /stypes=""app*"&amp;IXU28&amp;"*"&amp;TEXT(IYB28-utc_offset/24,"YYYYMMDD")&amp;"*"" /stext="" "&amp;TEXT(IYB28-utc_offset/24,"HH")&amp;search_regexp&amp;""""</f>
        <v>#VALUE!</v>
      </c>
      <c r="IYZ28" s="234" t="e">
        <f>astrogrep_path&amp;" /e /r /s /spath="&amp;search_path&amp;" /stypes=""app*"&amp;IXV28&amp;"*"&amp;TEXT(IYC28-utc_offset/24,"YYYYMMDD")&amp;"*"" /stext="" "&amp;TEXT(IYC28-utc_offset/24,"HH")&amp;search_regexp&amp;""""</f>
        <v>#REF!</v>
      </c>
      <c r="IZA28" s="234" t="e">
        <f>astrogrep_path&amp;" /e /r /s /spath="&amp;search_path&amp;" /stypes=""app*"&amp;IXW28&amp;"*"&amp;TEXT(IYD28-utc_offset/24,"YYYYMMDD")&amp;"*"" /stext="" "&amp;TEXT(IYD28-utc_offset/24,"HH")&amp;search_regexp&amp;""""</f>
        <v>#REF!</v>
      </c>
      <c r="IZB28" s="234" t="e">
        <f>astrogrep_path&amp;" /e /r /s /spath="&amp;search_path&amp;" /stypes=""app*"&amp;IXX28&amp;"*"&amp;TEXT(IYE28-utc_offset/24,"YYYYMMDD")&amp;"*"" /stext="" "&amp;TEXT(IYE28-utc_offset/24,"HH")&amp;search_regexp&amp;""""</f>
        <v>#REF!</v>
      </c>
      <c r="IZC28" s="234" t="e">
        <f>astrogrep_path&amp;" /e /r /s /spath="&amp;search_path&amp;" /stypes=""app*"&amp;IXY28&amp;"*"&amp;TEXT(IYF28-utc_offset/24,"YYYYMMDD")&amp;"*"" /stext="" "&amp;TEXT(IYF28-utc_offset/24,"HH")&amp;search_regexp&amp;""""</f>
        <v>#REF!</v>
      </c>
      <c r="IZD28" s="234" t="e">
        <f>astrogrep_path&amp;" /e /r /s /spath="&amp;search_path&amp;" /stypes=""app*"&amp;IXZ28&amp;"*"&amp;TEXT(IYG28-utc_offset/24,"YYYYMMDD")&amp;"*"" /stext="" "&amp;TEXT(IYG28-utc_offset/24,"HH")&amp;search_regexp&amp;""""</f>
        <v>#REF!</v>
      </c>
      <c r="IZE28" s="234" t="e">
        <f>astrogrep_path&amp;" /e /r /s /spath="&amp;search_path&amp;" /stypes=""app*"&amp;IYA28&amp;"*"&amp;TEXT(IYH28-utc_offset/24,"YYYYMMDD")&amp;"*"" /stext="" "&amp;TEXT(IYH28-utc_offset/24,"HH")&amp;search_regexp&amp;""""</f>
        <v>#REF!</v>
      </c>
      <c r="IZF28" s="234" t="e">
        <f>astrogrep_path&amp;" /e /r /s /spath="&amp;search_path&amp;" /stypes=""app*"&amp;IYB28&amp;"*"&amp;TEXT(IYI28-utc_offset/24,"YYYYMMDD")&amp;"*"" /stext="" "&amp;TEXT(IYI28-utc_offset/24,"HH")&amp;search_regexp&amp;""""</f>
        <v>#REF!</v>
      </c>
      <c r="IZG28" s="234" t="e">
        <f>astrogrep_path&amp;" /e /r /s /spath="&amp;search_path&amp;" /stypes=""app*"&amp;IYC28&amp;"*"&amp;TEXT(IYJ28-utc_offset/24,"YYYYMMDD")&amp;"*"" /stext="" "&amp;TEXT(IYJ28-utc_offset/24,"HH")&amp;search_regexp&amp;""""</f>
        <v>#REF!</v>
      </c>
      <c r="IZH28" s="234" t="e">
        <f>astrogrep_path&amp;" /e /r /s /spath="&amp;search_path&amp;" /stypes=""app*"&amp;IYD28&amp;"*"&amp;TEXT(IYK28-utc_offset/24,"YYYYMMDD")&amp;"*"" /stext="" "&amp;TEXT(IYK28-utc_offset/24,"HH")&amp;search_regexp&amp;""""</f>
        <v>#REF!</v>
      </c>
      <c r="IZI28" s="234" t="e">
        <f>astrogrep_path&amp;" /e /r /s /spath="&amp;search_path&amp;" /stypes=""app*"&amp;IYE28&amp;"*"&amp;TEXT(IYL28-utc_offset/24,"YYYYMMDD")&amp;"*"" /stext="" "&amp;TEXT(IYL28-utc_offset/24,"HH")&amp;search_regexp&amp;""""</f>
        <v>#REF!</v>
      </c>
      <c r="IZJ28" s="234" t="e">
        <f>astrogrep_path&amp;" /e /r /s /spath="&amp;search_path&amp;" /stypes=""app*"&amp;IYF28&amp;"*"&amp;TEXT(IYM28-utc_offset/24,"YYYYMMDD")&amp;"*"" /stext="" "&amp;TEXT(IYM28-utc_offset/24,"HH")&amp;search_regexp&amp;""""</f>
        <v>#REF!</v>
      </c>
      <c r="IZK28" s="234" t="e">
        <f>astrogrep_path&amp;" /e /r /s /spath="&amp;search_path&amp;" /stypes=""app*"&amp;IYG28&amp;"*"&amp;TEXT(IYN28-utc_offset/24,"YYYYMMDD")&amp;"*"" /stext="" "&amp;TEXT(IYN28-utc_offset/24,"HH")&amp;search_regexp&amp;""""</f>
        <v>#REF!</v>
      </c>
      <c r="IZL28" s="234" t="e">
        <f>astrogrep_path&amp;" /e /r /s /spath="&amp;search_path&amp;" /stypes=""app*"&amp;IYH28&amp;"*"&amp;TEXT(IYO28-utc_offset/24,"YYYYMMDD")&amp;"*"" /stext="" "&amp;TEXT(IYO28-utc_offset/24,"HH")&amp;search_regexp&amp;""""</f>
        <v>#REF!</v>
      </c>
      <c r="IZM28" s="234" t="e">
        <f>astrogrep_path&amp;" /e /r /s /spath="&amp;search_path&amp;" /stypes=""app*"&amp;IYI28&amp;"*"&amp;TEXT(IYP28-utc_offset/24,"YYYYMMDD")&amp;"*"" /stext="" "&amp;TEXT(IYP28-utc_offset/24,"HH")&amp;search_regexp&amp;""""</f>
        <v>#REF!</v>
      </c>
      <c r="IZN28" s="234" t="e">
        <f>astrogrep_path&amp;" /e /r /s /spath="&amp;search_path&amp;" /stypes=""app*"&amp;IYJ28&amp;"*"&amp;TEXT(IYQ28-utc_offset/24,"YYYYMMDD")&amp;"*"" /stext="" "&amp;TEXT(IYQ28-utc_offset/24,"HH")&amp;search_regexp&amp;""""</f>
        <v>#REF!</v>
      </c>
      <c r="IZO28" s="234" t="e">
        <f>astrogrep_path&amp;" /e /r /s /spath="&amp;search_path&amp;" /stypes=""app*"&amp;IYK28&amp;"*"&amp;TEXT(IYR28-utc_offset/24,"YYYYMMDD")&amp;"*"" /stext="" "&amp;TEXT(IYR28-utc_offset/24,"HH")&amp;search_regexp&amp;""""</f>
        <v>#REF!</v>
      </c>
      <c r="IZP28" s="234" t="e">
        <f>astrogrep_path&amp;" /e /r /s /spath="&amp;search_path&amp;" /stypes=""app*"&amp;IYL28&amp;"*"&amp;TEXT(IYS28-utc_offset/24,"YYYYMMDD")&amp;"*"" /stext="" "&amp;TEXT(IYS28-utc_offset/24,"HH")&amp;search_regexp&amp;""""</f>
        <v>#REF!</v>
      </c>
      <c r="IZQ28" s="234" t="e">
        <f>astrogrep_path&amp;" /e /r /s /spath="&amp;search_path&amp;" /stypes=""app*"&amp;IYM28&amp;"*"&amp;TEXT(IYT28-utc_offset/24,"YYYYMMDD")&amp;"*"" /stext="" "&amp;TEXT(IYT28-utc_offset/24,"HH")&amp;search_regexp&amp;""""</f>
        <v>#REF!</v>
      </c>
      <c r="IZR28" s="234" t="e">
        <f>astrogrep_path&amp;" /e /r /s /spath="&amp;search_path&amp;" /stypes=""app*"&amp;IYN28&amp;"*"&amp;TEXT(IYU28-utc_offset/24,"YYYYMMDD")&amp;"*"" /stext="" "&amp;TEXT(IYU28-utc_offset/24,"HH")&amp;search_regexp&amp;""""</f>
        <v>#REF!</v>
      </c>
      <c r="IZS28" s="234" t="e">
        <f>astrogrep_path&amp;" /e /r /s /spath="&amp;search_path&amp;" /stypes=""app*"&amp;IYO28&amp;"*"&amp;TEXT(IYV28-utc_offset/24,"YYYYMMDD")&amp;"*"" /stext="" "&amp;TEXT(IYV28-utc_offset/24,"HH")&amp;search_regexp&amp;""""</f>
        <v>#REF!</v>
      </c>
      <c r="IZT28" s="234" t="e">
        <f>astrogrep_path&amp;" /e /r /s /spath="&amp;search_path&amp;" /stypes=""app*"&amp;IYP28&amp;"*"&amp;TEXT(IYW28-utc_offset/24,"YYYYMMDD")&amp;"*"" /stext="" "&amp;TEXT(IYW28-utc_offset/24,"HH")&amp;search_regexp&amp;""""</f>
        <v>#REF!</v>
      </c>
      <c r="IZU28" s="234" t="e">
        <f>astrogrep_path&amp;" /e /r /s /spath="&amp;search_path&amp;" /stypes=""app*"&amp;IYQ28&amp;"*"&amp;TEXT(IYX28-utc_offset/24,"YYYYMMDD")&amp;"*"" /stext="" "&amp;TEXT(IYX28-utc_offset/24,"HH")&amp;search_regexp&amp;""""</f>
        <v>#VALUE!</v>
      </c>
      <c r="IZV28" s="234" t="e">
        <f>astrogrep_path&amp;" /e /r /s /spath="&amp;search_path&amp;" /stypes=""app*"&amp;IYR28&amp;"*"&amp;TEXT(IYY28-utc_offset/24,"YYYYMMDD")&amp;"*"" /stext="" "&amp;TEXT(IYY28-utc_offset/24,"HH")&amp;search_regexp&amp;""""</f>
        <v>#VALUE!</v>
      </c>
      <c r="IZW28" s="234" t="e">
        <f>astrogrep_path&amp;" /e /r /s /spath="&amp;search_path&amp;" /stypes=""app*"&amp;IYS28&amp;"*"&amp;TEXT(IYZ28-utc_offset/24,"YYYYMMDD")&amp;"*"" /stext="" "&amp;TEXT(IYZ28-utc_offset/24,"HH")&amp;search_regexp&amp;""""</f>
        <v>#REF!</v>
      </c>
      <c r="IZX28" s="234" t="e">
        <f>astrogrep_path&amp;" /e /r /s /spath="&amp;search_path&amp;" /stypes=""app*"&amp;IYT28&amp;"*"&amp;TEXT(IZA28-utc_offset/24,"YYYYMMDD")&amp;"*"" /stext="" "&amp;TEXT(IZA28-utc_offset/24,"HH")&amp;search_regexp&amp;""""</f>
        <v>#REF!</v>
      </c>
      <c r="IZY28" s="234" t="e">
        <f>astrogrep_path&amp;" /e /r /s /spath="&amp;search_path&amp;" /stypes=""app*"&amp;IYU28&amp;"*"&amp;TEXT(IZB28-utc_offset/24,"YYYYMMDD")&amp;"*"" /stext="" "&amp;TEXT(IZB28-utc_offset/24,"HH")&amp;search_regexp&amp;""""</f>
        <v>#VALUE!</v>
      </c>
      <c r="IZZ28" s="234" t="e">
        <f>astrogrep_path&amp;" /e /r /s /spath="&amp;search_path&amp;" /stypes=""app*"&amp;IYV28&amp;"*"&amp;TEXT(IZC28-utc_offset/24,"YYYYMMDD")&amp;"*"" /stext="" "&amp;TEXT(IZC28-utc_offset/24,"HH")&amp;search_regexp&amp;""""</f>
        <v>#VALUE!</v>
      </c>
      <c r="JAA28" s="234" t="e">
        <f>astrogrep_path&amp;" /e /r /s /spath="&amp;search_path&amp;" /stypes=""app*"&amp;IYW28&amp;"*"&amp;TEXT(IZD28-utc_offset/24,"YYYYMMDD")&amp;"*"" /stext="" "&amp;TEXT(IZD28-utc_offset/24,"HH")&amp;search_regexp&amp;""""</f>
        <v>#VALUE!</v>
      </c>
      <c r="JAB28" s="234" t="e">
        <f>astrogrep_path&amp;" /e /r /s /spath="&amp;search_path&amp;" /stypes=""app*"&amp;IYX28&amp;"*"&amp;TEXT(IZE28-utc_offset/24,"YYYYMMDD")&amp;"*"" /stext="" "&amp;TEXT(IZE28-utc_offset/24,"HH")&amp;search_regexp&amp;""""</f>
        <v>#VALUE!</v>
      </c>
      <c r="JAC28" s="234" t="e">
        <f>astrogrep_path&amp;" /e /r /s /spath="&amp;search_path&amp;" /stypes=""app*"&amp;IYY28&amp;"*"&amp;TEXT(IZF28-utc_offset/24,"YYYYMMDD")&amp;"*"" /stext="" "&amp;TEXT(IZF28-utc_offset/24,"HH")&amp;search_regexp&amp;""""</f>
        <v>#VALUE!</v>
      </c>
      <c r="JAD28" s="234" t="e">
        <f>astrogrep_path&amp;" /e /r /s /spath="&amp;search_path&amp;" /stypes=""app*"&amp;IYZ28&amp;"*"&amp;TEXT(IZG28-utc_offset/24,"YYYYMMDD")&amp;"*"" /stext="" "&amp;TEXT(IZG28-utc_offset/24,"HH")&amp;search_regexp&amp;""""</f>
        <v>#REF!</v>
      </c>
      <c r="JAE28" s="234" t="e">
        <f>astrogrep_path&amp;" /e /r /s /spath="&amp;search_path&amp;" /stypes=""app*"&amp;IZA28&amp;"*"&amp;TEXT(IZH28-utc_offset/24,"YYYYMMDD")&amp;"*"" /stext="" "&amp;TEXT(IZH28-utc_offset/24,"HH")&amp;search_regexp&amp;""""</f>
        <v>#REF!</v>
      </c>
      <c r="JAF28" s="234" t="e">
        <f>astrogrep_path&amp;" /e /r /s /spath="&amp;search_path&amp;" /stypes=""app*"&amp;IZB28&amp;"*"&amp;TEXT(IZI28-utc_offset/24,"YYYYMMDD")&amp;"*"" /stext="" "&amp;TEXT(IZI28-utc_offset/24,"HH")&amp;search_regexp&amp;""""</f>
        <v>#REF!</v>
      </c>
      <c r="JAG28" s="234" t="e">
        <f>astrogrep_path&amp;" /e /r /s /spath="&amp;search_path&amp;" /stypes=""app*"&amp;IZC28&amp;"*"&amp;TEXT(IZJ28-utc_offset/24,"YYYYMMDD")&amp;"*"" /stext="" "&amp;TEXT(IZJ28-utc_offset/24,"HH")&amp;search_regexp&amp;""""</f>
        <v>#REF!</v>
      </c>
      <c r="JAH28" s="234" t="e">
        <f>astrogrep_path&amp;" /e /r /s /spath="&amp;search_path&amp;" /stypes=""app*"&amp;IZD28&amp;"*"&amp;TEXT(IZK28-utc_offset/24,"YYYYMMDD")&amp;"*"" /stext="" "&amp;TEXT(IZK28-utc_offset/24,"HH")&amp;search_regexp&amp;""""</f>
        <v>#REF!</v>
      </c>
      <c r="JAI28" s="234" t="e">
        <f>astrogrep_path&amp;" /e /r /s /spath="&amp;search_path&amp;" /stypes=""app*"&amp;IZE28&amp;"*"&amp;TEXT(IZL28-utc_offset/24,"YYYYMMDD")&amp;"*"" /stext="" "&amp;TEXT(IZL28-utc_offset/24,"HH")&amp;search_regexp&amp;""""</f>
        <v>#REF!</v>
      </c>
      <c r="JAJ28" s="234" t="e">
        <f>astrogrep_path&amp;" /e /r /s /spath="&amp;search_path&amp;" /stypes=""app*"&amp;IZF28&amp;"*"&amp;TEXT(IZM28-utc_offset/24,"YYYYMMDD")&amp;"*"" /stext="" "&amp;TEXT(IZM28-utc_offset/24,"HH")&amp;search_regexp&amp;""""</f>
        <v>#REF!</v>
      </c>
      <c r="JAK28" s="234" t="e">
        <f>astrogrep_path&amp;" /e /r /s /spath="&amp;search_path&amp;" /stypes=""app*"&amp;IZG28&amp;"*"&amp;TEXT(IZN28-utc_offset/24,"YYYYMMDD")&amp;"*"" /stext="" "&amp;TEXT(IZN28-utc_offset/24,"HH")&amp;search_regexp&amp;""""</f>
        <v>#REF!</v>
      </c>
      <c r="JAL28" s="234" t="e">
        <f>astrogrep_path&amp;" /e /r /s /spath="&amp;search_path&amp;" /stypes=""app*"&amp;IZH28&amp;"*"&amp;TEXT(IZO28-utc_offset/24,"YYYYMMDD")&amp;"*"" /stext="" "&amp;TEXT(IZO28-utc_offset/24,"HH")&amp;search_regexp&amp;""""</f>
        <v>#REF!</v>
      </c>
      <c r="JAM28" s="234" t="e">
        <f>astrogrep_path&amp;" /e /r /s /spath="&amp;search_path&amp;" /stypes=""app*"&amp;IZI28&amp;"*"&amp;TEXT(IZP28-utc_offset/24,"YYYYMMDD")&amp;"*"" /stext="" "&amp;TEXT(IZP28-utc_offset/24,"HH")&amp;search_regexp&amp;""""</f>
        <v>#REF!</v>
      </c>
      <c r="JAN28" s="234" t="e">
        <f>astrogrep_path&amp;" /e /r /s /spath="&amp;search_path&amp;" /stypes=""app*"&amp;IZJ28&amp;"*"&amp;TEXT(IZQ28-utc_offset/24,"YYYYMMDD")&amp;"*"" /stext="" "&amp;TEXT(IZQ28-utc_offset/24,"HH")&amp;search_regexp&amp;""""</f>
        <v>#REF!</v>
      </c>
      <c r="JAO28" s="234" t="e">
        <f>astrogrep_path&amp;" /e /r /s /spath="&amp;search_path&amp;" /stypes=""app*"&amp;IZK28&amp;"*"&amp;TEXT(IZR28-utc_offset/24,"YYYYMMDD")&amp;"*"" /stext="" "&amp;TEXT(IZR28-utc_offset/24,"HH")&amp;search_regexp&amp;""""</f>
        <v>#REF!</v>
      </c>
      <c r="JAP28" s="234" t="e">
        <f>astrogrep_path&amp;" /e /r /s /spath="&amp;search_path&amp;" /stypes=""app*"&amp;IZL28&amp;"*"&amp;TEXT(IZS28-utc_offset/24,"YYYYMMDD")&amp;"*"" /stext="" "&amp;TEXT(IZS28-utc_offset/24,"HH")&amp;search_regexp&amp;""""</f>
        <v>#REF!</v>
      </c>
      <c r="JAQ28" s="234" t="e">
        <f>astrogrep_path&amp;" /e /r /s /spath="&amp;search_path&amp;" /stypes=""app*"&amp;IZM28&amp;"*"&amp;TEXT(IZT28-utc_offset/24,"YYYYMMDD")&amp;"*"" /stext="" "&amp;TEXT(IZT28-utc_offset/24,"HH")&amp;search_regexp&amp;""""</f>
        <v>#REF!</v>
      </c>
      <c r="JAR28" s="234" t="e">
        <f>astrogrep_path&amp;" /e /r /s /spath="&amp;search_path&amp;" /stypes=""app*"&amp;IZN28&amp;"*"&amp;TEXT(IZU28-utc_offset/24,"YYYYMMDD")&amp;"*"" /stext="" "&amp;TEXT(IZU28-utc_offset/24,"HH")&amp;search_regexp&amp;""""</f>
        <v>#REF!</v>
      </c>
      <c r="JAS28" s="234" t="e">
        <f>astrogrep_path&amp;" /e /r /s /spath="&amp;search_path&amp;" /stypes=""app*"&amp;IZO28&amp;"*"&amp;TEXT(IZV28-utc_offset/24,"YYYYMMDD")&amp;"*"" /stext="" "&amp;TEXT(IZV28-utc_offset/24,"HH")&amp;search_regexp&amp;""""</f>
        <v>#REF!</v>
      </c>
      <c r="JAT28" s="234" t="e">
        <f>astrogrep_path&amp;" /e /r /s /spath="&amp;search_path&amp;" /stypes=""app*"&amp;IZP28&amp;"*"&amp;TEXT(IZW28-utc_offset/24,"YYYYMMDD")&amp;"*"" /stext="" "&amp;TEXT(IZW28-utc_offset/24,"HH")&amp;search_regexp&amp;""""</f>
        <v>#REF!</v>
      </c>
      <c r="JAU28" s="234" t="e">
        <f>astrogrep_path&amp;" /e /r /s /spath="&amp;search_path&amp;" /stypes=""app*"&amp;IZQ28&amp;"*"&amp;TEXT(IZX28-utc_offset/24,"YYYYMMDD")&amp;"*"" /stext="" "&amp;TEXT(IZX28-utc_offset/24,"HH")&amp;search_regexp&amp;""""</f>
        <v>#REF!</v>
      </c>
      <c r="JAV28" s="234" t="e">
        <f>astrogrep_path&amp;" /e /r /s /spath="&amp;search_path&amp;" /stypes=""app*"&amp;IZR28&amp;"*"&amp;TEXT(IZY28-utc_offset/24,"YYYYMMDD")&amp;"*"" /stext="" "&amp;TEXT(IZY28-utc_offset/24,"HH")&amp;search_regexp&amp;""""</f>
        <v>#REF!</v>
      </c>
      <c r="JAW28" s="234" t="e">
        <f>astrogrep_path&amp;" /e /r /s /spath="&amp;search_path&amp;" /stypes=""app*"&amp;IZS28&amp;"*"&amp;TEXT(IZZ28-utc_offset/24,"YYYYMMDD")&amp;"*"" /stext="" "&amp;TEXT(IZZ28-utc_offset/24,"HH")&amp;search_regexp&amp;""""</f>
        <v>#REF!</v>
      </c>
      <c r="JAX28" s="234" t="e">
        <f>astrogrep_path&amp;" /e /r /s /spath="&amp;search_path&amp;" /stypes=""app*"&amp;IZT28&amp;"*"&amp;TEXT(JAA28-utc_offset/24,"YYYYMMDD")&amp;"*"" /stext="" "&amp;TEXT(JAA28-utc_offset/24,"HH")&amp;search_regexp&amp;""""</f>
        <v>#REF!</v>
      </c>
      <c r="JAY28" s="234" t="e">
        <f>astrogrep_path&amp;" /e /r /s /spath="&amp;search_path&amp;" /stypes=""app*"&amp;IZU28&amp;"*"&amp;TEXT(JAB28-utc_offset/24,"YYYYMMDD")&amp;"*"" /stext="" "&amp;TEXT(JAB28-utc_offset/24,"HH")&amp;search_regexp&amp;""""</f>
        <v>#VALUE!</v>
      </c>
      <c r="JAZ28" s="234" t="e">
        <f>astrogrep_path&amp;" /e /r /s /spath="&amp;search_path&amp;" /stypes=""app*"&amp;IZV28&amp;"*"&amp;TEXT(JAC28-utc_offset/24,"YYYYMMDD")&amp;"*"" /stext="" "&amp;TEXT(JAC28-utc_offset/24,"HH")&amp;search_regexp&amp;""""</f>
        <v>#VALUE!</v>
      </c>
      <c r="JBA28" s="234" t="e">
        <f>astrogrep_path&amp;" /e /r /s /spath="&amp;search_path&amp;" /stypes=""app*"&amp;IZW28&amp;"*"&amp;TEXT(JAD28-utc_offset/24,"YYYYMMDD")&amp;"*"" /stext="" "&amp;TEXT(JAD28-utc_offset/24,"HH")&amp;search_regexp&amp;""""</f>
        <v>#REF!</v>
      </c>
      <c r="JBB28" s="234" t="e">
        <f>astrogrep_path&amp;" /e /r /s /spath="&amp;search_path&amp;" /stypes=""app*"&amp;IZX28&amp;"*"&amp;TEXT(JAE28-utc_offset/24,"YYYYMMDD")&amp;"*"" /stext="" "&amp;TEXT(JAE28-utc_offset/24,"HH")&amp;search_regexp&amp;""""</f>
        <v>#REF!</v>
      </c>
      <c r="JBC28" s="234" t="e">
        <f>astrogrep_path&amp;" /e /r /s /spath="&amp;search_path&amp;" /stypes=""app*"&amp;IZY28&amp;"*"&amp;TEXT(JAF28-utc_offset/24,"YYYYMMDD")&amp;"*"" /stext="" "&amp;TEXT(JAF28-utc_offset/24,"HH")&amp;search_regexp&amp;""""</f>
        <v>#VALUE!</v>
      </c>
      <c r="JBD28" s="234" t="e">
        <f>astrogrep_path&amp;" /e /r /s /spath="&amp;search_path&amp;" /stypes=""app*"&amp;IZZ28&amp;"*"&amp;TEXT(JAG28-utc_offset/24,"YYYYMMDD")&amp;"*"" /stext="" "&amp;TEXT(JAG28-utc_offset/24,"HH")&amp;search_regexp&amp;""""</f>
        <v>#VALUE!</v>
      </c>
      <c r="JBE28" s="234" t="e">
        <f>astrogrep_path&amp;" /e /r /s /spath="&amp;search_path&amp;" /stypes=""app*"&amp;JAA28&amp;"*"&amp;TEXT(JAH28-utc_offset/24,"YYYYMMDD")&amp;"*"" /stext="" "&amp;TEXT(JAH28-utc_offset/24,"HH")&amp;search_regexp&amp;""""</f>
        <v>#VALUE!</v>
      </c>
      <c r="JBF28" s="234" t="e">
        <f>astrogrep_path&amp;" /e /r /s /spath="&amp;search_path&amp;" /stypes=""app*"&amp;JAB28&amp;"*"&amp;TEXT(JAI28-utc_offset/24,"YYYYMMDD")&amp;"*"" /stext="" "&amp;TEXT(JAI28-utc_offset/24,"HH")&amp;search_regexp&amp;""""</f>
        <v>#VALUE!</v>
      </c>
      <c r="JBG28" s="234" t="e">
        <f>astrogrep_path&amp;" /e /r /s /spath="&amp;search_path&amp;" /stypes=""app*"&amp;JAC28&amp;"*"&amp;TEXT(JAJ28-utc_offset/24,"YYYYMMDD")&amp;"*"" /stext="" "&amp;TEXT(JAJ28-utc_offset/24,"HH")&amp;search_regexp&amp;""""</f>
        <v>#VALUE!</v>
      </c>
      <c r="JBH28" s="234" t="e">
        <f>astrogrep_path&amp;" /e /r /s /spath="&amp;search_path&amp;" /stypes=""app*"&amp;JAD28&amp;"*"&amp;TEXT(JAK28-utc_offset/24,"YYYYMMDD")&amp;"*"" /stext="" "&amp;TEXT(JAK28-utc_offset/24,"HH")&amp;search_regexp&amp;""""</f>
        <v>#REF!</v>
      </c>
      <c r="JBI28" s="234" t="e">
        <f>astrogrep_path&amp;" /e /r /s /spath="&amp;search_path&amp;" /stypes=""app*"&amp;JAE28&amp;"*"&amp;TEXT(JAL28-utc_offset/24,"YYYYMMDD")&amp;"*"" /stext="" "&amp;TEXT(JAL28-utc_offset/24,"HH")&amp;search_regexp&amp;""""</f>
        <v>#REF!</v>
      </c>
      <c r="JBJ28" s="234" t="e">
        <f>astrogrep_path&amp;" /e /r /s /spath="&amp;search_path&amp;" /stypes=""app*"&amp;JAF28&amp;"*"&amp;TEXT(JAM28-utc_offset/24,"YYYYMMDD")&amp;"*"" /stext="" "&amp;TEXT(JAM28-utc_offset/24,"HH")&amp;search_regexp&amp;""""</f>
        <v>#REF!</v>
      </c>
      <c r="JBK28" s="234" t="e">
        <f>astrogrep_path&amp;" /e /r /s /spath="&amp;search_path&amp;" /stypes=""app*"&amp;JAG28&amp;"*"&amp;TEXT(JAN28-utc_offset/24,"YYYYMMDD")&amp;"*"" /stext="" "&amp;TEXT(JAN28-utc_offset/24,"HH")&amp;search_regexp&amp;""""</f>
        <v>#REF!</v>
      </c>
      <c r="JBL28" s="234" t="e">
        <f>astrogrep_path&amp;" /e /r /s /spath="&amp;search_path&amp;" /stypes=""app*"&amp;JAH28&amp;"*"&amp;TEXT(JAO28-utc_offset/24,"YYYYMMDD")&amp;"*"" /stext="" "&amp;TEXT(JAO28-utc_offset/24,"HH")&amp;search_regexp&amp;""""</f>
        <v>#REF!</v>
      </c>
      <c r="JBM28" s="234" t="e">
        <f>astrogrep_path&amp;" /e /r /s /spath="&amp;search_path&amp;" /stypes=""app*"&amp;JAI28&amp;"*"&amp;TEXT(JAP28-utc_offset/24,"YYYYMMDD")&amp;"*"" /stext="" "&amp;TEXT(JAP28-utc_offset/24,"HH")&amp;search_regexp&amp;""""</f>
        <v>#REF!</v>
      </c>
      <c r="JBN28" s="234" t="e">
        <f>astrogrep_path&amp;" /e /r /s /spath="&amp;search_path&amp;" /stypes=""app*"&amp;JAJ28&amp;"*"&amp;TEXT(JAQ28-utc_offset/24,"YYYYMMDD")&amp;"*"" /stext="" "&amp;TEXT(JAQ28-utc_offset/24,"HH")&amp;search_regexp&amp;""""</f>
        <v>#REF!</v>
      </c>
      <c r="JBO28" s="234" t="e">
        <f>astrogrep_path&amp;" /e /r /s /spath="&amp;search_path&amp;" /stypes=""app*"&amp;JAK28&amp;"*"&amp;TEXT(JAR28-utc_offset/24,"YYYYMMDD")&amp;"*"" /stext="" "&amp;TEXT(JAR28-utc_offset/24,"HH")&amp;search_regexp&amp;""""</f>
        <v>#REF!</v>
      </c>
      <c r="JBP28" s="234" t="e">
        <f>astrogrep_path&amp;" /e /r /s /spath="&amp;search_path&amp;" /stypes=""app*"&amp;JAL28&amp;"*"&amp;TEXT(JAS28-utc_offset/24,"YYYYMMDD")&amp;"*"" /stext="" "&amp;TEXT(JAS28-utc_offset/24,"HH")&amp;search_regexp&amp;""""</f>
        <v>#REF!</v>
      </c>
      <c r="JBQ28" s="234" t="e">
        <f>astrogrep_path&amp;" /e /r /s /spath="&amp;search_path&amp;" /stypes=""app*"&amp;JAM28&amp;"*"&amp;TEXT(JAT28-utc_offset/24,"YYYYMMDD")&amp;"*"" /stext="" "&amp;TEXT(JAT28-utc_offset/24,"HH")&amp;search_regexp&amp;""""</f>
        <v>#REF!</v>
      </c>
      <c r="JBR28" s="234" t="e">
        <f>astrogrep_path&amp;" /e /r /s /spath="&amp;search_path&amp;" /stypes=""app*"&amp;JAN28&amp;"*"&amp;TEXT(JAU28-utc_offset/24,"YYYYMMDD")&amp;"*"" /stext="" "&amp;TEXT(JAU28-utc_offset/24,"HH")&amp;search_regexp&amp;""""</f>
        <v>#REF!</v>
      </c>
      <c r="JBS28" s="234" t="e">
        <f>astrogrep_path&amp;" /e /r /s /spath="&amp;search_path&amp;" /stypes=""app*"&amp;JAO28&amp;"*"&amp;TEXT(JAV28-utc_offset/24,"YYYYMMDD")&amp;"*"" /stext="" "&amp;TEXT(JAV28-utc_offset/24,"HH")&amp;search_regexp&amp;""""</f>
        <v>#REF!</v>
      </c>
      <c r="JBT28" s="234" t="e">
        <f>astrogrep_path&amp;" /e /r /s /spath="&amp;search_path&amp;" /stypes=""app*"&amp;JAP28&amp;"*"&amp;TEXT(JAW28-utc_offset/24,"YYYYMMDD")&amp;"*"" /stext="" "&amp;TEXT(JAW28-utc_offset/24,"HH")&amp;search_regexp&amp;""""</f>
        <v>#REF!</v>
      </c>
      <c r="JBU28" s="234" t="e">
        <f>astrogrep_path&amp;" /e /r /s /spath="&amp;search_path&amp;" /stypes=""app*"&amp;JAQ28&amp;"*"&amp;TEXT(JAX28-utc_offset/24,"YYYYMMDD")&amp;"*"" /stext="" "&amp;TEXT(JAX28-utc_offset/24,"HH")&amp;search_regexp&amp;""""</f>
        <v>#REF!</v>
      </c>
      <c r="JBV28" s="234" t="e">
        <f>astrogrep_path&amp;" /e /r /s /spath="&amp;search_path&amp;" /stypes=""app*"&amp;JAR28&amp;"*"&amp;TEXT(JAY28-utc_offset/24,"YYYYMMDD")&amp;"*"" /stext="" "&amp;TEXT(JAY28-utc_offset/24,"HH")&amp;search_regexp&amp;""""</f>
        <v>#REF!</v>
      </c>
      <c r="JBW28" s="234" t="e">
        <f>astrogrep_path&amp;" /e /r /s /spath="&amp;search_path&amp;" /stypes=""app*"&amp;JAS28&amp;"*"&amp;TEXT(JAZ28-utc_offset/24,"YYYYMMDD")&amp;"*"" /stext="" "&amp;TEXT(JAZ28-utc_offset/24,"HH")&amp;search_regexp&amp;""""</f>
        <v>#REF!</v>
      </c>
      <c r="JBX28" s="234" t="e">
        <f>astrogrep_path&amp;" /e /r /s /spath="&amp;search_path&amp;" /stypes=""app*"&amp;JAT28&amp;"*"&amp;TEXT(JBA28-utc_offset/24,"YYYYMMDD")&amp;"*"" /stext="" "&amp;TEXT(JBA28-utc_offset/24,"HH")&amp;search_regexp&amp;""""</f>
        <v>#REF!</v>
      </c>
      <c r="JBY28" s="234" t="e">
        <f>astrogrep_path&amp;" /e /r /s /spath="&amp;search_path&amp;" /stypes=""app*"&amp;JAU28&amp;"*"&amp;TEXT(JBB28-utc_offset/24,"YYYYMMDD")&amp;"*"" /stext="" "&amp;TEXT(JBB28-utc_offset/24,"HH")&amp;search_regexp&amp;""""</f>
        <v>#REF!</v>
      </c>
      <c r="JBZ28" s="234" t="e">
        <f>astrogrep_path&amp;" /e /r /s /spath="&amp;search_path&amp;" /stypes=""app*"&amp;JAV28&amp;"*"&amp;TEXT(JBC28-utc_offset/24,"YYYYMMDD")&amp;"*"" /stext="" "&amp;TEXT(JBC28-utc_offset/24,"HH")&amp;search_regexp&amp;""""</f>
        <v>#REF!</v>
      </c>
      <c r="JCA28" s="234" t="e">
        <f>astrogrep_path&amp;" /e /r /s /spath="&amp;search_path&amp;" /stypes=""app*"&amp;JAW28&amp;"*"&amp;TEXT(JBD28-utc_offset/24,"YYYYMMDD")&amp;"*"" /stext="" "&amp;TEXT(JBD28-utc_offset/24,"HH")&amp;search_regexp&amp;""""</f>
        <v>#REF!</v>
      </c>
      <c r="JCB28" s="234" t="e">
        <f>astrogrep_path&amp;" /e /r /s /spath="&amp;search_path&amp;" /stypes=""app*"&amp;JAX28&amp;"*"&amp;TEXT(JBE28-utc_offset/24,"YYYYMMDD")&amp;"*"" /stext="" "&amp;TEXT(JBE28-utc_offset/24,"HH")&amp;search_regexp&amp;""""</f>
        <v>#REF!</v>
      </c>
      <c r="JCC28" s="234" t="e">
        <f>astrogrep_path&amp;" /e /r /s /spath="&amp;search_path&amp;" /stypes=""app*"&amp;JAY28&amp;"*"&amp;TEXT(JBF28-utc_offset/24,"YYYYMMDD")&amp;"*"" /stext="" "&amp;TEXT(JBF28-utc_offset/24,"HH")&amp;search_regexp&amp;""""</f>
        <v>#VALUE!</v>
      </c>
      <c r="JCD28" s="234" t="e">
        <f>astrogrep_path&amp;" /e /r /s /spath="&amp;search_path&amp;" /stypes=""app*"&amp;JAZ28&amp;"*"&amp;TEXT(JBG28-utc_offset/24,"YYYYMMDD")&amp;"*"" /stext="" "&amp;TEXT(JBG28-utc_offset/24,"HH")&amp;search_regexp&amp;""""</f>
        <v>#VALUE!</v>
      </c>
      <c r="JCE28" s="234" t="e">
        <f>astrogrep_path&amp;" /e /r /s /spath="&amp;search_path&amp;" /stypes=""app*"&amp;JBA28&amp;"*"&amp;TEXT(JBH28-utc_offset/24,"YYYYMMDD")&amp;"*"" /stext="" "&amp;TEXT(JBH28-utc_offset/24,"HH")&amp;search_regexp&amp;""""</f>
        <v>#REF!</v>
      </c>
      <c r="JCF28" s="234" t="e">
        <f>astrogrep_path&amp;" /e /r /s /spath="&amp;search_path&amp;" /stypes=""app*"&amp;JBB28&amp;"*"&amp;TEXT(JBI28-utc_offset/24,"YYYYMMDD")&amp;"*"" /stext="" "&amp;TEXT(JBI28-utc_offset/24,"HH")&amp;search_regexp&amp;""""</f>
        <v>#REF!</v>
      </c>
      <c r="JCG28" s="234" t="e">
        <f>astrogrep_path&amp;" /e /r /s /spath="&amp;search_path&amp;" /stypes=""app*"&amp;JBC28&amp;"*"&amp;TEXT(JBJ28-utc_offset/24,"YYYYMMDD")&amp;"*"" /stext="" "&amp;TEXT(JBJ28-utc_offset/24,"HH")&amp;search_regexp&amp;""""</f>
        <v>#VALUE!</v>
      </c>
      <c r="JCH28" s="234" t="e">
        <f>astrogrep_path&amp;" /e /r /s /spath="&amp;search_path&amp;" /stypes=""app*"&amp;JBD28&amp;"*"&amp;TEXT(JBK28-utc_offset/24,"YYYYMMDD")&amp;"*"" /stext="" "&amp;TEXT(JBK28-utc_offset/24,"HH")&amp;search_regexp&amp;""""</f>
        <v>#VALUE!</v>
      </c>
      <c r="JCI28" s="234" t="e">
        <f>astrogrep_path&amp;" /e /r /s /spath="&amp;search_path&amp;" /stypes=""app*"&amp;JBE28&amp;"*"&amp;TEXT(JBL28-utc_offset/24,"YYYYMMDD")&amp;"*"" /stext="" "&amp;TEXT(JBL28-utc_offset/24,"HH")&amp;search_regexp&amp;""""</f>
        <v>#VALUE!</v>
      </c>
      <c r="JCJ28" s="234" t="e">
        <f>astrogrep_path&amp;" /e /r /s /spath="&amp;search_path&amp;" /stypes=""app*"&amp;JBF28&amp;"*"&amp;TEXT(JBM28-utc_offset/24,"YYYYMMDD")&amp;"*"" /stext="" "&amp;TEXT(JBM28-utc_offset/24,"HH")&amp;search_regexp&amp;""""</f>
        <v>#VALUE!</v>
      </c>
      <c r="JCK28" s="234" t="e">
        <f>astrogrep_path&amp;" /e /r /s /spath="&amp;search_path&amp;" /stypes=""app*"&amp;JBG28&amp;"*"&amp;TEXT(JBN28-utc_offset/24,"YYYYMMDD")&amp;"*"" /stext="" "&amp;TEXT(JBN28-utc_offset/24,"HH")&amp;search_regexp&amp;""""</f>
        <v>#VALUE!</v>
      </c>
      <c r="JCL28" s="234" t="e">
        <f>astrogrep_path&amp;" /e /r /s /spath="&amp;search_path&amp;" /stypes=""app*"&amp;JBH28&amp;"*"&amp;TEXT(JBO28-utc_offset/24,"YYYYMMDD")&amp;"*"" /stext="" "&amp;TEXT(JBO28-utc_offset/24,"HH")&amp;search_regexp&amp;""""</f>
        <v>#REF!</v>
      </c>
      <c r="JCM28" s="234" t="e">
        <f>astrogrep_path&amp;" /e /r /s /spath="&amp;search_path&amp;" /stypes=""app*"&amp;JBI28&amp;"*"&amp;TEXT(JBP28-utc_offset/24,"YYYYMMDD")&amp;"*"" /stext="" "&amp;TEXT(JBP28-utc_offset/24,"HH")&amp;search_regexp&amp;""""</f>
        <v>#REF!</v>
      </c>
      <c r="JCN28" s="234" t="e">
        <f>astrogrep_path&amp;" /e /r /s /spath="&amp;search_path&amp;" /stypes=""app*"&amp;JBJ28&amp;"*"&amp;TEXT(JBQ28-utc_offset/24,"YYYYMMDD")&amp;"*"" /stext="" "&amp;TEXT(JBQ28-utc_offset/24,"HH")&amp;search_regexp&amp;""""</f>
        <v>#REF!</v>
      </c>
      <c r="JCO28" s="234" t="e">
        <f>astrogrep_path&amp;" /e /r /s /spath="&amp;search_path&amp;" /stypes=""app*"&amp;JBK28&amp;"*"&amp;TEXT(JBR28-utc_offset/24,"YYYYMMDD")&amp;"*"" /stext="" "&amp;TEXT(JBR28-utc_offset/24,"HH")&amp;search_regexp&amp;""""</f>
        <v>#REF!</v>
      </c>
      <c r="JCP28" s="234" t="e">
        <f>astrogrep_path&amp;" /e /r /s /spath="&amp;search_path&amp;" /stypes=""app*"&amp;JBL28&amp;"*"&amp;TEXT(JBS28-utc_offset/24,"YYYYMMDD")&amp;"*"" /stext="" "&amp;TEXT(JBS28-utc_offset/24,"HH")&amp;search_regexp&amp;""""</f>
        <v>#REF!</v>
      </c>
      <c r="JCQ28" s="234" t="e">
        <f>astrogrep_path&amp;" /e /r /s /spath="&amp;search_path&amp;" /stypes=""app*"&amp;JBM28&amp;"*"&amp;TEXT(JBT28-utc_offset/24,"YYYYMMDD")&amp;"*"" /stext="" "&amp;TEXT(JBT28-utc_offset/24,"HH")&amp;search_regexp&amp;""""</f>
        <v>#REF!</v>
      </c>
      <c r="JCR28" s="234" t="e">
        <f>astrogrep_path&amp;" /e /r /s /spath="&amp;search_path&amp;" /stypes=""app*"&amp;JBN28&amp;"*"&amp;TEXT(JBU28-utc_offset/24,"YYYYMMDD")&amp;"*"" /stext="" "&amp;TEXT(JBU28-utc_offset/24,"HH")&amp;search_regexp&amp;""""</f>
        <v>#REF!</v>
      </c>
      <c r="JCS28" s="234" t="e">
        <f>astrogrep_path&amp;" /e /r /s /spath="&amp;search_path&amp;" /stypes=""app*"&amp;JBO28&amp;"*"&amp;TEXT(JBV28-utc_offset/24,"YYYYMMDD")&amp;"*"" /stext="" "&amp;TEXT(JBV28-utc_offset/24,"HH")&amp;search_regexp&amp;""""</f>
        <v>#REF!</v>
      </c>
      <c r="JCT28" s="234" t="e">
        <f>astrogrep_path&amp;" /e /r /s /spath="&amp;search_path&amp;" /stypes=""app*"&amp;JBP28&amp;"*"&amp;TEXT(JBW28-utc_offset/24,"YYYYMMDD")&amp;"*"" /stext="" "&amp;TEXT(JBW28-utc_offset/24,"HH")&amp;search_regexp&amp;""""</f>
        <v>#REF!</v>
      </c>
      <c r="JCU28" s="234" t="e">
        <f>astrogrep_path&amp;" /e /r /s /spath="&amp;search_path&amp;" /stypes=""app*"&amp;JBQ28&amp;"*"&amp;TEXT(JBX28-utc_offset/24,"YYYYMMDD")&amp;"*"" /stext="" "&amp;TEXT(JBX28-utc_offset/24,"HH")&amp;search_regexp&amp;""""</f>
        <v>#REF!</v>
      </c>
      <c r="JCV28" s="234" t="e">
        <f>astrogrep_path&amp;" /e /r /s /spath="&amp;search_path&amp;" /stypes=""app*"&amp;JBR28&amp;"*"&amp;TEXT(JBY28-utc_offset/24,"YYYYMMDD")&amp;"*"" /stext="" "&amp;TEXT(JBY28-utc_offset/24,"HH")&amp;search_regexp&amp;""""</f>
        <v>#REF!</v>
      </c>
      <c r="JCW28" s="234" t="e">
        <f>astrogrep_path&amp;" /e /r /s /spath="&amp;search_path&amp;" /stypes=""app*"&amp;JBS28&amp;"*"&amp;TEXT(JBZ28-utc_offset/24,"YYYYMMDD")&amp;"*"" /stext="" "&amp;TEXT(JBZ28-utc_offset/24,"HH")&amp;search_regexp&amp;""""</f>
        <v>#REF!</v>
      </c>
      <c r="JCX28" s="234" t="e">
        <f>astrogrep_path&amp;" /e /r /s /spath="&amp;search_path&amp;" /stypes=""app*"&amp;JBT28&amp;"*"&amp;TEXT(JCA28-utc_offset/24,"YYYYMMDD")&amp;"*"" /stext="" "&amp;TEXT(JCA28-utc_offset/24,"HH")&amp;search_regexp&amp;""""</f>
        <v>#REF!</v>
      </c>
      <c r="JCY28" s="234" t="e">
        <f>astrogrep_path&amp;" /e /r /s /spath="&amp;search_path&amp;" /stypes=""app*"&amp;JBU28&amp;"*"&amp;TEXT(JCB28-utc_offset/24,"YYYYMMDD")&amp;"*"" /stext="" "&amp;TEXT(JCB28-utc_offset/24,"HH")&amp;search_regexp&amp;""""</f>
        <v>#REF!</v>
      </c>
      <c r="JCZ28" s="234" t="e">
        <f>astrogrep_path&amp;" /e /r /s /spath="&amp;search_path&amp;" /stypes=""app*"&amp;JBV28&amp;"*"&amp;TEXT(JCC28-utc_offset/24,"YYYYMMDD")&amp;"*"" /stext="" "&amp;TEXT(JCC28-utc_offset/24,"HH")&amp;search_regexp&amp;""""</f>
        <v>#REF!</v>
      </c>
      <c r="JDA28" s="234" t="e">
        <f>astrogrep_path&amp;" /e /r /s /spath="&amp;search_path&amp;" /stypes=""app*"&amp;JBW28&amp;"*"&amp;TEXT(JCD28-utc_offset/24,"YYYYMMDD")&amp;"*"" /stext="" "&amp;TEXT(JCD28-utc_offset/24,"HH")&amp;search_regexp&amp;""""</f>
        <v>#REF!</v>
      </c>
      <c r="JDB28" s="234" t="e">
        <f>astrogrep_path&amp;" /e /r /s /spath="&amp;search_path&amp;" /stypes=""app*"&amp;JBX28&amp;"*"&amp;TEXT(JCE28-utc_offset/24,"YYYYMMDD")&amp;"*"" /stext="" "&amp;TEXT(JCE28-utc_offset/24,"HH")&amp;search_regexp&amp;""""</f>
        <v>#REF!</v>
      </c>
      <c r="JDC28" s="234" t="e">
        <f>astrogrep_path&amp;" /e /r /s /spath="&amp;search_path&amp;" /stypes=""app*"&amp;JBY28&amp;"*"&amp;TEXT(JCF28-utc_offset/24,"YYYYMMDD")&amp;"*"" /stext="" "&amp;TEXT(JCF28-utc_offset/24,"HH")&amp;search_regexp&amp;""""</f>
        <v>#REF!</v>
      </c>
      <c r="JDD28" s="234" t="e">
        <f>astrogrep_path&amp;" /e /r /s /spath="&amp;search_path&amp;" /stypes=""app*"&amp;JBZ28&amp;"*"&amp;TEXT(JCG28-utc_offset/24,"YYYYMMDD")&amp;"*"" /stext="" "&amp;TEXT(JCG28-utc_offset/24,"HH")&amp;search_regexp&amp;""""</f>
        <v>#REF!</v>
      </c>
      <c r="JDE28" s="234" t="e">
        <f>astrogrep_path&amp;" /e /r /s /spath="&amp;search_path&amp;" /stypes=""app*"&amp;JCA28&amp;"*"&amp;TEXT(JCH28-utc_offset/24,"YYYYMMDD")&amp;"*"" /stext="" "&amp;TEXT(JCH28-utc_offset/24,"HH")&amp;search_regexp&amp;""""</f>
        <v>#REF!</v>
      </c>
      <c r="JDF28" s="234" t="e">
        <f>astrogrep_path&amp;" /e /r /s /spath="&amp;search_path&amp;" /stypes=""app*"&amp;JCB28&amp;"*"&amp;TEXT(JCI28-utc_offset/24,"YYYYMMDD")&amp;"*"" /stext="" "&amp;TEXT(JCI28-utc_offset/24,"HH")&amp;search_regexp&amp;""""</f>
        <v>#REF!</v>
      </c>
      <c r="JDG28" s="234" t="e">
        <f>astrogrep_path&amp;" /e /r /s /spath="&amp;search_path&amp;" /stypes=""app*"&amp;JCC28&amp;"*"&amp;TEXT(JCJ28-utc_offset/24,"YYYYMMDD")&amp;"*"" /stext="" "&amp;TEXT(JCJ28-utc_offset/24,"HH")&amp;search_regexp&amp;""""</f>
        <v>#VALUE!</v>
      </c>
      <c r="JDH28" s="234" t="e">
        <f>astrogrep_path&amp;" /e /r /s /spath="&amp;search_path&amp;" /stypes=""app*"&amp;JCD28&amp;"*"&amp;TEXT(JCK28-utc_offset/24,"YYYYMMDD")&amp;"*"" /stext="" "&amp;TEXT(JCK28-utc_offset/24,"HH")&amp;search_regexp&amp;""""</f>
        <v>#VALUE!</v>
      </c>
      <c r="JDI28" s="234" t="e">
        <f>astrogrep_path&amp;" /e /r /s /spath="&amp;search_path&amp;" /stypes=""app*"&amp;JCE28&amp;"*"&amp;TEXT(JCL28-utc_offset/24,"YYYYMMDD")&amp;"*"" /stext="" "&amp;TEXT(JCL28-utc_offset/24,"HH")&amp;search_regexp&amp;""""</f>
        <v>#REF!</v>
      </c>
      <c r="JDJ28" s="234" t="e">
        <f>astrogrep_path&amp;" /e /r /s /spath="&amp;search_path&amp;" /stypes=""app*"&amp;JCF28&amp;"*"&amp;TEXT(JCM28-utc_offset/24,"YYYYMMDD")&amp;"*"" /stext="" "&amp;TEXT(JCM28-utc_offset/24,"HH")&amp;search_regexp&amp;""""</f>
        <v>#REF!</v>
      </c>
      <c r="JDK28" s="234" t="e">
        <f>astrogrep_path&amp;" /e /r /s /spath="&amp;search_path&amp;" /stypes=""app*"&amp;JCG28&amp;"*"&amp;TEXT(JCN28-utc_offset/24,"YYYYMMDD")&amp;"*"" /stext="" "&amp;TEXT(JCN28-utc_offset/24,"HH")&amp;search_regexp&amp;""""</f>
        <v>#VALUE!</v>
      </c>
      <c r="JDL28" s="234" t="e">
        <f>astrogrep_path&amp;" /e /r /s /spath="&amp;search_path&amp;" /stypes=""app*"&amp;JCH28&amp;"*"&amp;TEXT(JCO28-utc_offset/24,"YYYYMMDD")&amp;"*"" /stext="" "&amp;TEXT(JCO28-utc_offset/24,"HH")&amp;search_regexp&amp;""""</f>
        <v>#VALUE!</v>
      </c>
      <c r="JDM28" s="234" t="e">
        <f>astrogrep_path&amp;" /e /r /s /spath="&amp;search_path&amp;" /stypes=""app*"&amp;JCI28&amp;"*"&amp;TEXT(JCP28-utc_offset/24,"YYYYMMDD")&amp;"*"" /stext="" "&amp;TEXT(JCP28-utc_offset/24,"HH")&amp;search_regexp&amp;""""</f>
        <v>#VALUE!</v>
      </c>
      <c r="JDN28" s="234" t="e">
        <f>astrogrep_path&amp;" /e /r /s /spath="&amp;search_path&amp;" /stypes=""app*"&amp;JCJ28&amp;"*"&amp;TEXT(JCQ28-utc_offset/24,"YYYYMMDD")&amp;"*"" /stext="" "&amp;TEXT(JCQ28-utc_offset/24,"HH")&amp;search_regexp&amp;""""</f>
        <v>#VALUE!</v>
      </c>
      <c r="JDO28" s="234" t="e">
        <f>astrogrep_path&amp;" /e /r /s /spath="&amp;search_path&amp;" /stypes=""app*"&amp;JCK28&amp;"*"&amp;TEXT(JCR28-utc_offset/24,"YYYYMMDD")&amp;"*"" /stext="" "&amp;TEXT(JCR28-utc_offset/24,"HH")&amp;search_regexp&amp;""""</f>
        <v>#VALUE!</v>
      </c>
      <c r="JDP28" s="234" t="e">
        <f>astrogrep_path&amp;" /e /r /s /spath="&amp;search_path&amp;" /stypes=""app*"&amp;JCL28&amp;"*"&amp;TEXT(JCS28-utc_offset/24,"YYYYMMDD")&amp;"*"" /stext="" "&amp;TEXT(JCS28-utc_offset/24,"HH")&amp;search_regexp&amp;""""</f>
        <v>#REF!</v>
      </c>
      <c r="JDQ28" s="234" t="e">
        <f>astrogrep_path&amp;" /e /r /s /spath="&amp;search_path&amp;" /stypes=""app*"&amp;JCM28&amp;"*"&amp;TEXT(JCT28-utc_offset/24,"YYYYMMDD")&amp;"*"" /stext="" "&amp;TEXT(JCT28-utc_offset/24,"HH")&amp;search_regexp&amp;""""</f>
        <v>#REF!</v>
      </c>
      <c r="JDR28" s="234" t="e">
        <f>astrogrep_path&amp;" /e /r /s /spath="&amp;search_path&amp;" /stypes=""app*"&amp;JCN28&amp;"*"&amp;TEXT(JCU28-utc_offset/24,"YYYYMMDD")&amp;"*"" /stext="" "&amp;TEXT(JCU28-utc_offset/24,"HH")&amp;search_regexp&amp;""""</f>
        <v>#REF!</v>
      </c>
      <c r="JDS28" s="234" t="e">
        <f>astrogrep_path&amp;" /e /r /s /spath="&amp;search_path&amp;" /stypes=""app*"&amp;JCO28&amp;"*"&amp;TEXT(JCV28-utc_offset/24,"YYYYMMDD")&amp;"*"" /stext="" "&amp;TEXT(JCV28-utc_offset/24,"HH")&amp;search_regexp&amp;""""</f>
        <v>#REF!</v>
      </c>
      <c r="JDT28" s="234" t="e">
        <f>astrogrep_path&amp;" /e /r /s /spath="&amp;search_path&amp;" /stypes=""app*"&amp;JCP28&amp;"*"&amp;TEXT(JCW28-utc_offset/24,"YYYYMMDD")&amp;"*"" /stext="" "&amp;TEXT(JCW28-utc_offset/24,"HH")&amp;search_regexp&amp;""""</f>
        <v>#REF!</v>
      </c>
      <c r="JDU28" s="234" t="e">
        <f>astrogrep_path&amp;" /e /r /s /spath="&amp;search_path&amp;" /stypes=""app*"&amp;JCQ28&amp;"*"&amp;TEXT(JCX28-utc_offset/24,"YYYYMMDD")&amp;"*"" /stext="" "&amp;TEXT(JCX28-utc_offset/24,"HH")&amp;search_regexp&amp;""""</f>
        <v>#REF!</v>
      </c>
      <c r="JDV28" s="234" t="e">
        <f>astrogrep_path&amp;" /e /r /s /spath="&amp;search_path&amp;" /stypes=""app*"&amp;JCR28&amp;"*"&amp;TEXT(JCY28-utc_offset/24,"YYYYMMDD")&amp;"*"" /stext="" "&amp;TEXT(JCY28-utc_offset/24,"HH")&amp;search_regexp&amp;""""</f>
        <v>#REF!</v>
      </c>
      <c r="JDW28" s="234" t="e">
        <f>astrogrep_path&amp;" /e /r /s /spath="&amp;search_path&amp;" /stypes=""app*"&amp;JCS28&amp;"*"&amp;TEXT(JCZ28-utc_offset/24,"YYYYMMDD")&amp;"*"" /stext="" "&amp;TEXT(JCZ28-utc_offset/24,"HH")&amp;search_regexp&amp;""""</f>
        <v>#REF!</v>
      </c>
      <c r="JDX28" s="234" t="e">
        <f>astrogrep_path&amp;" /e /r /s /spath="&amp;search_path&amp;" /stypes=""app*"&amp;JCT28&amp;"*"&amp;TEXT(JDA28-utc_offset/24,"YYYYMMDD")&amp;"*"" /stext="" "&amp;TEXT(JDA28-utc_offset/24,"HH")&amp;search_regexp&amp;""""</f>
        <v>#REF!</v>
      </c>
      <c r="JDY28" s="234" t="e">
        <f>astrogrep_path&amp;" /e /r /s /spath="&amp;search_path&amp;" /stypes=""app*"&amp;JCU28&amp;"*"&amp;TEXT(JDB28-utc_offset/24,"YYYYMMDD")&amp;"*"" /stext="" "&amp;TEXT(JDB28-utc_offset/24,"HH")&amp;search_regexp&amp;""""</f>
        <v>#REF!</v>
      </c>
      <c r="JDZ28" s="234" t="e">
        <f>astrogrep_path&amp;" /e /r /s /spath="&amp;search_path&amp;" /stypes=""app*"&amp;JCV28&amp;"*"&amp;TEXT(JDC28-utc_offset/24,"YYYYMMDD")&amp;"*"" /stext="" "&amp;TEXT(JDC28-utc_offset/24,"HH")&amp;search_regexp&amp;""""</f>
        <v>#REF!</v>
      </c>
      <c r="JEA28" s="234" t="e">
        <f>astrogrep_path&amp;" /e /r /s /spath="&amp;search_path&amp;" /stypes=""app*"&amp;JCW28&amp;"*"&amp;TEXT(JDD28-utc_offset/24,"YYYYMMDD")&amp;"*"" /stext="" "&amp;TEXT(JDD28-utc_offset/24,"HH")&amp;search_regexp&amp;""""</f>
        <v>#REF!</v>
      </c>
      <c r="JEB28" s="234" t="e">
        <f>astrogrep_path&amp;" /e /r /s /spath="&amp;search_path&amp;" /stypes=""app*"&amp;JCX28&amp;"*"&amp;TEXT(JDE28-utc_offset/24,"YYYYMMDD")&amp;"*"" /stext="" "&amp;TEXT(JDE28-utc_offset/24,"HH")&amp;search_regexp&amp;""""</f>
        <v>#REF!</v>
      </c>
      <c r="JEC28" s="234" t="e">
        <f>astrogrep_path&amp;" /e /r /s /spath="&amp;search_path&amp;" /stypes=""app*"&amp;JCY28&amp;"*"&amp;TEXT(JDF28-utc_offset/24,"YYYYMMDD")&amp;"*"" /stext="" "&amp;TEXT(JDF28-utc_offset/24,"HH")&amp;search_regexp&amp;""""</f>
        <v>#REF!</v>
      </c>
      <c r="JED28" s="234" t="e">
        <f>astrogrep_path&amp;" /e /r /s /spath="&amp;search_path&amp;" /stypes=""app*"&amp;JCZ28&amp;"*"&amp;TEXT(JDG28-utc_offset/24,"YYYYMMDD")&amp;"*"" /stext="" "&amp;TEXT(JDG28-utc_offset/24,"HH")&amp;search_regexp&amp;""""</f>
        <v>#REF!</v>
      </c>
      <c r="JEE28" s="234" t="e">
        <f>astrogrep_path&amp;" /e /r /s /spath="&amp;search_path&amp;" /stypes=""app*"&amp;JDA28&amp;"*"&amp;TEXT(JDH28-utc_offset/24,"YYYYMMDD")&amp;"*"" /stext="" "&amp;TEXT(JDH28-utc_offset/24,"HH")&amp;search_regexp&amp;""""</f>
        <v>#REF!</v>
      </c>
      <c r="JEF28" s="234" t="e">
        <f>astrogrep_path&amp;" /e /r /s /spath="&amp;search_path&amp;" /stypes=""app*"&amp;JDB28&amp;"*"&amp;TEXT(JDI28-utc_offset/24,"YYYYMMDD")&amp;"*"" /stext="" "&amp;TEXT(JDI28-utc_offset/24,"HH")&amp;search_regexp&amp;""""</f>
        <v>#REF!</v>
      </c>
      <c r="JEG28" s="234" t="e">
        <f>astrogrep_path&amp;" /e /r /s /spath="&amp;search_path&amp;" /stypes=""app*"&amp;JDC28&amp;"*"&amp;TEXT(JDJ28-utc_offset/24,"YYYYMMDD")&amp;"*"" /stext="" "&amp;TEXT(JDJ28-utc_offset/24,"HH")&amp;search_regexp&amp;""""</f>
        <v>#REF!</v>
      </c>
      <c r="JEH28" s="234" t="e">
        <f>astrogrep_path&amp;" /e /r /s /spath="&amp;search_path&amp;" /stypes=""app*"&amp;JDD28&amp;"*"&amp;TEXT(JDK28-utc_offset/24,"YYYYMMDD")&amp;"*"" /stext="" "&amp;TEXT(JDK28-utc_offset/24,"HH")&amp;search_regexp&amp;""""</f>
        <v>#REF!</v>
      </c>
      <c r="JEI28" s="234" t="e">
        <f>astrogrep_path&amp;" /e /r /s /spath="&amp;search_path&amp;" /stypes=""app*"&amp;JDE28&amp;"*"&amp;TEXT(JDL28-utc_offset/24,"YYYYMMDD")&amp;"*"" /stext="" "&amp;TEXT(JDL28-utc_offset/24,"HH")&amp;search_regexp&amp;""""</f>
        <v>#REF!</v>
      </c>
      <c r="JEJ28" s="234" t="e">
        <f>astrogrep_path&amp;" /e /r /s /spath="&amp;search_path&amp;" /stypes=""app*"&amp;JDF28&amp;"*"&amp;TEXT(JDM28-utc_offset/24,"YYYYMMDD")&amp;"*"" /stext="" "&amp;TEXT(JDM28-utc_offset/24,"HH")&amp;search_regexp&amp;""""</f>
        <v>#REF!</v>
      </c>
      <c r="JEK28" s="234" t="e">
        <f>astrogrep_path&amp;" /e /r /s /spath="&amp;search_path&amp;" /stypes=""app*"&amp;JDG28&amp;"*"&amp;TEXT(JDN28-utc_offset/24,"YYYYMMDD")&amp;"*"" /stext="" "&amp;TEXT(JDN28-utc_offset/24,"HH")&amp;search_regexp&amp;""""</f>
        <v>#VALUE!</v>
      </c>
      <c r="JEL28" s="234" t="e">
        <f>astrogrep_path&amp;" /e /r /s /spath="&amp;search_path&amp;" /stypes=""app*"&amp;JDH28&amp;"*"&amp;TEXT(JDO28-utc_offset/24,"YYYYMMDD")&amp;"*"" /stext="" "&amp;TEXT(JDO28-utc_offset/24,"HH")&amp;search_regexp&amp;""""</f>
        <v>#VALUE!</v>
      </c>
      <c r="JEM28" s="234" t="e">
        <f>astrogrep_path&amp;" /e /r /s /spath="&amp;search_path&amp;" /stypes=""app*"&amp;JDI28&amp;"*"&amp;TEXT(JDP28-utc_offset/24,"YYYYMMDD")&amp;"*"" /stext="" "&amp;TEXT(JDP28-utc_offset/24,"HH")&amp;search_regexp&amp;""""</f>
        <v>#REF!</v>
      </c>
      <c r="JEN28" s="234" t="e">
        <f>astrogrep_path&amp;" /e /r /s /spath="&amp;search_path&amp;" /stypes=""app*"&amp;JDJ28&amp;"*"&amp;TEXT(JDQ28-utc_offset/24,"YYYYMMDD")&amp;"*"" /stext="" "&amp;TEXT(JDQ28-utc_offset/24,"HH")&amp;search_regexp&amp;""""</f>
        <v>#REF!</v>
      </c>
      <c r="JEO28" s="234" t="e">
        <f>astrogrep_path&amp;" /e /r /s /spath="&amp;search_path&amp;" /stypes=""app*"&amp;JDK28&amp;"*"&amp;TEXT(JDR28-utc_offset/24,"YYYYMMDD")&amp;"*"" /stext="" "&amp;TEXT(JDR28-utc_offset/24,"HH")&amp;search_regexp&amp;""""</f>
        <v>#VALUE!</v>
      </c>
      <c r="JEP28" s="234" t="e">
        <f>astrogrep_path&amp;" /e /r /s /spath="&amp;search_path&amp;" /stypes=""app*"&amp;JDL28&amp;"*"&amp;TEXT(JDS28-utc_offset/24,"YYYYMMDD")&amp;"*"" /stext="" "&amp;TEXT(JDS28-utc_offset/24,"HH")&amp;search_regexp&amp;""""</f>
        <v>#VALUE!</v>
      </c>
      <c r="JEQ28" s="234" t="e">
        <f>astrogrep_path&amp;" /e /r /s /spath="&amp;search_path&amp;" /stypes=""app*"&amp;JDM28&amp;"*"&amp;TEXT(JDT28-utc_offset/24,"YYYYMMDD")&amp;"*"" /stext="" "&amp;TEXT(JDT28-utc_offset/24,"HH")&amp;search_regexp&amp;""""</f>
        <v>#VALUE!</v>
      </c>
      <c r="JER28" s="234" t="e">
        <f>astrogrep_path&amp;" /e /r /s /spath="&amp;search_path&amp;" /stypes=""app*"&amp;JDN28&amp;"*"&amp;TEXT(JDU28-utc_offset/24,"YYYYMMDD")&amp;"*"" /stext="" "&amp;TEXT(JDU28-utc_offset/24,"HH")&amp;search_regexp&amp;""""</f>
        <v>#VALUE!</v>
      </c>
      <c r="JES28" s="234" t="e">
        <f>astrogrep_path&amp;" /e /r /s /spath="&amp;search_path&amp;" /stypes=""app*"&amp;JDO28&amp;"*"&amp;TEXT(JDV28-utc_offset/24,"YYYYMMDD")&amp;"*"" /stext="" "&amp;TEXT(JDV28-utc_offset/24,"HH")&amp;search_regexp&amp;""""</f>
        <v>#VALUE!</v>
      </c>
      <c r="JET28" s="234" t="e">
        <f>astrogrep_path&amp;" /e /r /s /spath="&amp;search_path&amp;" /stypes=""app*"&amp;JDP28&amp;"*"&amp;TEXT(JDW28-utc_offset/24,"YYYYMMDD")&amp;"*"" /stext="" "&amp;TEXT(JDW28-utc_offset/24,"HH")&amp;search_regexp&amp;""""</f>
        <v>#REF!</v>
      </c>
      <c r="JEU28" s="234" t="e">
        <f>astrogrep_path&amp;" /e /r /s /spath="&amp;search_path&amp;" /stypes=""app*"&amp;JDQ28&amp;"*"&amp;TEXT(JDX28-utc_offset/24,"YYYYMMDD")&amp;"*"" /stext="" "&amp;TEXT(JDX28-utc_offset/24,"HH")&amp;search_regexp&amp;""""</f>
        <v>#REF!</v>
      </c>
      <c r="JEV28" s="234" t="e">
        <f>astrogrep_path&amp;" /e /r /s /spath="&amp;search_path&amp;" /stypes=""app*"&amp;JDR28&amp;"*"&amp;TEXT(JDY28-utc_offset/24,"YYYYMMDD")&amp;"*"" /stext="" "&amp;TEXT(JDY28-utc_offset/24,"HH")&amp;search_regexp&amp;""""</f>
        <v>#REF!</v>
      </c>
      <c r="JEW28" s="234" t="e">
        <f>astrogrep_path&amp;" /e /r /s /spath="&amp;search_path&amp;" /stypes=""app*"&amp;JDS28&amp;"*"&amp;TEXT(JDZ28-utc_offset/24,"YYYYMMDD")&amp;"*"" /stext="" "&amp;TEXT(JDZ28-utc_offset/24,"HH")&amp;search_regexp&amp;""""</f>
        <v>#REF!</v>
      </c>
      <c r="JEX28" s="234" t="e">
        <f>astrogrep_path&amp;" /e /r /s /spath="&amp;search_path&amp;" /stypes=""app*"&amp;JDT28&amp;"*"&amp;TEXT(JEA28-utc_offset/24,"YYYYMMDD")&amp;"*"" /stext="" "&amp;TEXT(JEA28-utc_offset/24,"HH")&amp;search_regexp&amp;""""</f>
        <v>#REF!</v>
      </c>
      <c r="JEY28" s="234" t="e">
        <f>astrogrep_path&amp;" /e /r /s /spath="&amp;search_path&amp;" /stypes=""app*"&amp;JDU28&amp;"*"&amp;TEXT(JEB28-utc_offset/24,"YYYYMMDD")&amp;"*"" /stext="" "&amp;TEXT(JEB28-utc_offset/24,"HH")&amp;search_regexp&amp;""""</f>
        <v>#REF!</v>
      </c>
      <c r="JEZ28" s="234" t="e">
        <f>astrogrep_path&amp;" /e /r /s /spath="&amp;search_path&amp;" /stypes=""app*"&amp;JDV28&amp;"*"&amp;TEXT(JEC28-utc_offset/24,"YYYYMMDD")&amp;"*"" /stext="" "&amp;TEXT(JEC28-utc_offset/24,"HH")&amp;search_regexp&amp;""""</f>
        <v>#REF!</v>
      </c>
      <c r="JFA28" s="234" t="e">
        <f>astrogrep_path&amp;" /e /r /s /spath="&amp;search_path&amp;" /stypes=""app*"&amp;JDW28&amp;"*"&amp;TEXT(JED28-utc_offset/24,"YYYYMMDD")&amp;"*"" /stext="" "&amp;TEXT(JED28-utc_offset/24,"HH")&amp;search_regexp&amp;""""</f>
        <v>#REF!</v>
      </c>
      <c r="JFB28" s="234" t="e">
        <f>astrogrep_path&amp;" /e /r /s /spath="&amp;search_path&amp;" /stypes=""app*"&amp;JDX28&amp;"*"&amp;TEXT(JEE28-utc_offset/24,"YYYYMMDD")&amp;"*"" /stext="" "&amp;TEXT(JEE28-utc_offset/24,"HH")&amp;search_regexp&amp;""""</f>
        <v>#REF!</v>
      </c>
      <c r="JFC28" s="234" t="e">
        <f>astrogrep_path&amp;" /e /r /s /spath="&amp;search_path&amp;" /stypes=""app*"&amp;JDY28&amp;"*"&amp;TEXT(JEF28-utc_offset/24,"YYYYMMDD")&amp;"*"" /stext="" "&amp;TEXT(JEF28-utc_offset/24,"HH")&amp;search_regexp&amp;""""</f>
        <v>#REF!</v>
      </c>
      <c r="JFD28" s="234" t="e">
        <f>astrogrep_path&amp;" /e /r /s /spath="&amp;search_path&amp;" /stypes=""app*"&amp;JDZ28&amp;"*"&amp;TEXT(JEG28-utc_offset/24,"YYYYMMDD")&amp;"*"" /stext="" "&amp;TEXT(JEG28-utc_offset/24,"HH")&amp;search_regexp&amp;""""</f>
        <v>#REF!</v>
      </c>
      <c r="JFE28" s="234" t="e">
        <f>astrogrep_path&amp;" /e /r /s /spath="&amp;search_path&amp;" /stypes=""app*"&amp;JEA28&amp;"*"&amp;TEXT(JEH28-utc_offset/24,"YYYYMMDD")&amp;"*"" /stext="" "&amp;TEXT(JEH28-utc_offset/24,"HH")&amp;search_regexp&amp;""""</f>
        <v>#REF!</v>
      </c>
      <c r="JFF28" s="234" t="e">
        <f>astrogrep_path&amp;" /e /r /s /spath="&amp;search_path&amp;" /stypes=""app*"&amp;JEB28&amp;"*"&amp;TEXT(JEI28-utc_offset/24,"YYYYMMDD")&amp;"*"" /stext="" "&amp;TEXT(JEI28-utc_offset/24,"HH")&amp;search_regexp&amp;""""</f>
        <v>#REF!</v>
      </c>
      <c r="JFG28" s="234" t="e">
        <f>astrogrep_path&amp;" /e /r /s /spath="&amp;search_path&amp;" /stypes=""app*"&amp;JEC28&amp;"*"&amp;TEXT(JEJ28-utc_offset/24,"YYYYMMDD")&amp;"*"" /stext="" "&amp;TEXT(JEJ28-utc_offset/24,"HH")&amp;search_regexp&amp;""""</f>
        <v>#REF!</v>
      </c>
      <c r="JFH28" s="234" t="e">
        <f>astrogrep_path&amp;" /e /r /s /spath="&amp;search_path&amp;" /stypes=""app*"&amp;JED28&amp;"*"&amp;TEXT(JEK28-utc_offset/24,"YYYYMMDD")&amp;"*"" /stext="" "&amp;TEXT(JEK28-utc_offset/24,"HH")&amp;search_regexp&amp;""""</f>
        <v>#REF!</v>
      </c>
      <c r="JFI28" s="234" t="e">
        <f>astrogrep_path&amp;" /e /r /s /spath="&amp;search_path&amp;" /stypes=""app*"&amp;JEE28&amp;"*"&amp;TEXT(JEL28-utc_offset/24,"YYYYMMDD")&amp;"*"" /stext="" "&amp;TEXT(JEL28-utc_offset/24,"HH")&amp;search_regexp&amp;""""</f>
        <v>#REF!</v>
      </c>
      <c r="JFJ28" s="234" t="e">
        <f>astrogrep_path&amp;" /e /r /s /spath="&amp;search_path&amp;" /stypes=""app*"&amp;JEF28&amp;"*"&amp;TEXT(JEM28-utc_offset/24,"YYYYMMDD")&amp;"*"" /stext="" "&amp;TEXT(JEM28-utc_offset/24,"HH")&amp;search_regexp&amp;""""</f>
        <v>#REF!</v>
      </c>
      <c r="JFK28" s="234" t="e">
        <f>astrogrep_path&amp;" /e /r /s /spath="&amp;search_path&amp;" /stypes=""app*"&amp;JEG28&amp;"*"&amp;TEXT(JEN28-utc_offset/24,"YYYYMMDD")&amp;"*"" /stext="" "&amp;TEXT(JEN28-utc_offset/24,"HH")&amp;search_regexp&amp;""""</f>
        <v>#REF!</v>
      </c>
      <c r="JFL28" s="234" t="e">
        <f>astrogrep_path&amp;" /e /r /s /spath="&amp;search_path&amp;" /stypes=""app*"&amp;JEH28&amp;"*"&amp;TEXT(JEO28-utc_offset/24,"YYYYMMDD")&amp;"*"" /stext="" "&amp;TEXT(JEO28-utc_offset/24,"HH")&amp;search_regexp&amp;""""</f>
        <v>#REF!</v>
      </c>
      <c r="JFM28" s="234" t="e">
        <f>astrogrep_path&amp;" /e /r /s /spath="&amp;search_path&amp;" /stypes=""app*"&amp;JEI28&amp;"*"&amp;TEXT(JEP28-utc_offset/24,"YYYYMMDD")&amp;"*"" /stext="" "&amp;TEXT(JEP28-utc_offset/24,"HH")&amp;search_regexp&amp;""""</f>
        <v>#REF!</v>
      </c>
      <c r="JFN28" s="234" t="e">
        <f>astrogrep_path&amp;" /e /r /s /spath="&amp;search_path&amp;" /stypes=""app*"&amp;JEJ28&amp;"*"&amp;TEXT(JEQ28-utc_offset/24,"YYYYMMDD")&amp;"*"" /stext="" "&amp;TEXT(JEQ28-utc_offset/24,"HH")&amp;search_regexp&amp;""""</f>
        <v>#REF!</v>
      </c>
      <c r="JFO28" s="234" t="e">
        <f>astrogrep_path&amp;" /e /r /s /spath="&amp;search_path&amp;" /stypes=""app*"&amp;JEK28&amp;"*"&amp;TEXT(JER28-utc_offset/24,"YYYYMMDD")&amp;"*"" /stext="" "&amp;TEXT(JER28-utc_offset/24,"HH")&amp;search_regexp&amp;""""</f>
        <v>#VALUE!</v>
      </c>
      <c r="JFP28" s="234" t="e">
        <f>astrogrep_path&amp;" /e /r /s /spath="&amp;search_path&amp;" /stypes=""app*"&amp;JEL28&amp;"*"&amp;TEXT(JES28-utc_offset/24,"YYYYMMDD")&amp;"*"" /stext="" "&amp;TEXT(JES28-utc_offset/24,"HH")&amp;search_regexp&amp;""""</f>
        <v>#VALUE!</v>
      </c>
      <c r="JFQ28" s="234" t="e">
        <f>astrogrep_path&amp;" /e /r /s /spath="&amp;search_path&amp;" /stypes=""app*"&amp;JEM28&amp;"*"&amp;TEXT(JET28-utc_offset/24,"YYYYMMDD")&amp;"*"" /stext="" "&amp;TEXT(JET28-utc_offset/24,"HH")&amp;search_regexp&amp;""""</f>
        <v>#REF!</v>
      </c>
      <c r="JFR28" s="234" t="e">
        <f>astrogrep_path&amp;" /e /r /s /spath="&amp;search_path&amp;" /stypes=""app*"&amp;JEN28&amp;"*"&amp;TEXT(JEU28-utc_offset/24,"YYYYMMDD")&amp;"*"" /stext="" "&amp;TEXT(JEU28-utc_offset/24,"HH")&amp;search_regexp&amp;""""</f>
        <v>#REF!</v>
      </c>
      <c r="JFS28" s="234" t="e">
        <f>astrogrep_path&amp;" /e /r /s /spath="&amp;search_path&amp;" /stypes=""app*"&amp;JEO28&amp;"*"&amp;TEXT(JEV28-utc_offset/24,"YYYYMMDD")&amp;"*"" /stext="" "&amp;TEXT(JEV28-utc_offset/24,"HH")&amp;search_regexp&amp;""""</f>
        <v>#VALUE!</v>
      </c>
      <c r="JFT28" s="234" t="e">
        <f>astrogrep_path&amp;" /e /r /s /spath="&amp;search_path&amp;" /stypes=""app*"&amp;JEP28&amp;"*"&amp;TEXT(JEW28-utc_offset/24,"YYYYMMDD")&amp;"*"" /stext="" "&amp;TEXT(JEW28-utc_offset/24,"HH")&amp;search_regexp&amp;""""</f>
        <v>#VALUE!</v>
      </c>
      <c r="JFU28" s="234" t="e">
        <f>astrogrep_path&amp;" /e /r /s /spath="&amp;search_path&amp;" /stypes=""app*"&amp;JEQ28&amp;"*"&amp;TEXT(JEX28-utc_offset/24,"YYYYMMDD")&amp;"*"" /stext="" "&amp;TEXT(JEX28-utc_offset/24,"HH")&amp;search_regexp&amp;""""</f>
        <v>#VALUE!</v>
      </c>
      <c r="JFV28" s="234" t="e">
        <f>astrogrep_path&amp;" /e /r /s /spath="&amp;search_path&amp;" /stypes=""app*"&amp;JER28&amp;"*"&amp;TEXT(JEY28-utc_offset/24,"YYYYMMDD")&amp;"*"" /stext="" "&amp;TEXT(JEY28-utc_offset/24,"HH")&amp;search_regexp&amp;""""</f>
        <v>#VALUE!</v>
      </c>
      <c r="JFW28" s="234" t="e">
        <f>astrogrep_path&amp;" /e /r /s /spath="&amp;search_path&amp;" /stypes=""app*"&amp;JES28&amp;"*"&amp;TEXT(JEZ28-utc_offset/24,"YYYYMMDD")&amp;"*"" /stext="" "&amp;TEXT(JEZ28-utc_offset/24,"HH")&amp;search_regexp&amp;""""</f>
        <v>#VALUE!</v>
      </c>
      <c r="JFX28" s="234" t="e">
        <f>astrogrep_path&amp;" /e /r /s /spath="&amp;search_path&amp;" /stypes=""app*"&amp;JET28&amp;"*"&amp;TEXT(JFA28-utc_offset/24,"YYYYMMDD")&amp;"*"" /stext="" "&amp;TEXT(JFA28-utc_offset/24,"HH")&amp;search_regexp&amp;""""</f>
        <v>#REF!</v>
      </c>
      <c r="JFY28" s="234" t="e">
        <f>astrogrep_path&amp;" /e /r /s /spath="&amp;search_path&amp;" /stypes=""app*"&amp;JEU28&amp;"*"&amp;TEXT(JFB28-utc_offset/24,"YYYYMMDD")&amp;"*"" /stext="" "&amp;TEXT(JFB28-utc_offset/24,"HH")&amp;search_regexp&amp;""""</f>
        <v>#REF!</v>
      </c>
      <c r="JFZ28" s="234" t="e">
        <f>astrogrep_path&amp;" /e /r /s /spath="&amp;search_path&amp;" /stypes=""app*"&amp;JEV28&amp;"*"&amp;TEXT(JFC28-utc_offset/24,"YYYYMMDD")&amp;"*"" /stext="" "&amp;TEXT(JFC28-utc_offset/24,"HH")&amp;search_regexp&amp;""""</f>
        <v>#REF!</v>
      </c>
      <c r="JGA28" s="234" t="e">
        <f>astrogrep_path&amp;" /e /r /s /spath="&amp;search_path&amp;" /stypes=""app*"&amp;JEW28&amp;"*"&amp;TEXT(JFD28-utc_offset/24,"YYYYMMDD")&amp;"*"" /stext="" "&amp;TEXT(JFD28-utc_offset/24,"HH")&amp;search_regexp&amp;""""</f>
        <v>#REF!</v>
      </c>
      <c r="JGB28" s="234" t="e">
        <f>astrogrep_path&amp;" /e /r /s /spath="&amp;search_path&amp;" /stypes=""app*"&amp;JEX28&amp;"*"&amp;TEXT(JFE28-utc_offset/24,"YYYYMMDD")&amp;"*"" /stext="" "&amp;TEXT(JFE28-utc_offset/24,"HH")&amp;search_regexp&amp;""""</f>
        <v>#REF!</v>
      </c>
      <c r="JGC28" s="234" t="e">
        <f>astrogrep_path&amp;" /e /r /s /spath="&amp;search_path&amp;" /stypes=""app*"&amp;JEY28&amp;"*"&amp;TEXT(JFF28-utc_offset/24,"YYYYMMDD")&amp;"*"" /stext="" "&amp;TEXT(JFF28-utc_offset/24,"HH")&amp;search_regexp&amp;""""</f>
        <v>#REF!</v>
      </c>
      <c r="JGD28" s="234" t="e">
        <f>astrogrep_path&amp;" /e /r /s /spath="&amp;search_path&amp;" /stypes=""app*"&amp;JEZ28&amp;"*"&amp;TEXT(JFG28-utc_offset/24,"YYYYMMDD")&amp;"*"" /stext="" "&amp;TEXT(JFG28-utc_offset/24,"HH")&amp;search_regexp&amp;""""</f>
        <v>#REF!</v>
      </c>
      <c r="JGE28" s="234" t="e">
        <f>astrogrep_path&amp;" /e /r /s /spath="&amp;search_path&amp;" /stypes=""app*"&amp;JFA28&amp;"*"&amp;TEXT(JFH28-utc_offset/24,"YYYYMMDD")&amp;"*"" /stext="" "&amp;TEXT(JFH28-utc_offset/24,"HH")&amp;search_regexp&amp;""""</f>
        <v>#REF!</v>
      </c>
      <c r="JGF28" s="234" t="e">
        <f>astrogrep_path&amp;" /e /r /s /spath="&amp;search_path&amp;" /stypes=""app*"&amp;JFB28&amp;"*"&amp;TEXT(JFI28-utc_offset/24,"YYYYMMDD")&amp;"*"" /stext="" "&amp;TEXT(JFI28-utc_offset/24,"HH")&amp;search_regexp&amp;""""</f>
        <v>#REF!</v>
      </c>
      <c r="JGG28" s="234" t="e">
        <f>astrogrep_path&amp;" /e /r /s /spath="&amp;search_path&amp;" /stypes=""app*"&amp;JFC28&amp;"*"&amp;TEXT(JFJ28-utc_offset/24,"YYYYMMDD")&amp;"*"" /stext="" "&amp;TEXT(JFJ28-utc_offset/24,"HH")&amp;search_regexp&amp;""""</f>
        <v>#REF!</v>
      </c>
      <c r="JGH28" s="234" t="e">
        <f>astrogrep_path&amp;" /e /r /s /spath="&amp;search_path&amp;" /stypes=""app*"&amp;JFD28&amp;"*"&amp;TEXT(JFK28-utc_offset/24,"YYYYMMDD")&amp;"*"" /stext="" "&amp;TEXT(JFK28-utc_offset/24,"HH")&amp;search_regexp&amp;""""</f>
        <v>#REF!</v>
      </c>
      <c r="JGI28" s="234" t="e">
        <f>astrogrep_path&amp;" /e /r /s /spath="&amp;search_path&amp;" /stypes=""app*"&amp;JFE28&amp;"*"&amp;TEXT(JFL28-utc_offset/24,"YYYYMMDD")&amp;"*"" /stext="" "&amp;TEXT(JFL28-utc_offset/24,"HH")&amp;search_regexp&amp;""""</f>
        <v>#REF!</v>
      </c>
      <c r="JGJ28" s="234" t="e">
        <f>astrogrep_path&amp;" /e /r /s /spath="&amp;search_path&amp;" /stypes=""app*"&amp;JFF28&amp;"*"&amp;TEXT(JFM28-utc_offset/24,"YYYYMMDD")&amp;"*"" /stext="" "&amp;TEXT(JFM28-utc_offset/24,"HH")&amp;search_regexp&amp;""""</f>
        <v>#REF!</v>
      </c>
      <c r="JGK28" s="234" t="e">
        <f>astrogrep_path&amp;" /e /r /s /spath="&amp;search_path&amp;" /stypes=""app*"&amp;JFG28&amp;"*"&amp;TEXT(JFN28-utc_offset/24,"YYYYMMDD")&amp;"*"" /stext="" "&amp;TEXT(JFN28-utc_offset/24,"HH")&amp;search_regexp&amp;""""</f>
        <v>#REF!</v>
      </c>
      <c r="JGL28" s="234" t="e">
        <f>astrogrep_path&amp;" /e /r /s /spath="&amp;search_path&amp;" /stypes=""app*"&amp;JFH28&amp;"*"&amp;TEXT(JFO28-utc_offset/24,"YYYYMMDD")&amp;"*"" /stext="" "&amp;TEXT(JFO28-utc_offset/24,"HH")&amp;search_regexp&amp;""""</f>
        <v>#REF!</v>
      </c>
      <c r="JGM28" s="234" t="e">
        <f>astrogrep_path&amp;" /e /r /s /spath="&amp;search_path&amp;" /stypes=""app*"&amp;JFI28&amp;"*"&amp;TEXT(JFP28-utc_offset/24,"YYYYMMDD")&amp;"*"" /stext="" "&amp;TEXT(JFP28-utc_offset/24,"HH")&amp;search_regexp&amp;""""</f>
        <v>#REF!</v>
      </c>
      <c r="JGN28" s="234" t="e">
        <f>astrogrep_path&amp;" /e /r /s /spath="&amp;search_path&amp;" /stypes=""app*"&amp;JFJ28&amp;"*"&amp;TEXT(JFQ28-utc_offset/24,"YYYYMMDD")&amp;"*"" /stext="" "&amp;TEXT(JFQ28-utc_offset/24,"HH")&amp;search_regexp&amp;""""</f>
        <v>#REF!</v>
      </c>
      <c r="JGO28" s="234" t="e">
        <f>astrogrep_path&amp;" /e /r /s /spath="&amp;search_path&amp;" /stypes=""app*"&amp;JFK28&amp;"*"&amp;TEXT(JFR28-utc_offset/24,"YYYYMMDD")&amp;"*"" /stext="" "&amp;TEXT(JFR28-utc_offset/24,"HH")&amp;search_regexp&amp;""""</f>
        <v>#REF!</v>
      </c>
      <c r="JGP28" s="234" t="e">
        <f>astrogrep_path&amp;" /e /r /s /spath="&amp;search_path&amp;" /stypes=""app*"&amp;JFL28&amp;"*"&amp;TEXT(JFS28-utc_offset/24,"YYYYMMDD")&amp;"*"" /stext="" "&amp;TEXT(JFS28-utc_offset/24,"HH")&amp;search_regexp&amp;""""</f>
        <v>#REF!</v>
      </c>
      <c r="JGQ28" s="234" t="e">
        <f>astrogrep_path&amp;" /e /r /s /spath="&amp;search_path&amp;" /stypes=""app*"&amp;JFM28&amp;"*"&amp;TEXT(JFT28-utc_offset/24,"YYYYMMDD")&amp;"*"" /stext="" "&amp;TEXT(JFT28-utc_offset/24,"HH")&amp;search_regexp&amp;""""</f>
        <v>#REF!</v>
      </c>
      <c r="JGR28" s="234" t="e">
        <f>astrogrep_path&amp;" /e /r /s /spath="&amp;search_path&amp;" /stypes=""app*"&amp;JFN28&amp;"*"&amp;TEXT(JFU28-utc_offset/24,"YYYYMMDD")&amp;"*"" /stext="" "&amp;TEXT(JFU28-utc_offset/24,"HH")&amp;search_regexp&amp;""""</f>
        <v>#REF!</v>
      </c>
      <c r="JGS28" s="234" t="e">
        <f>astrogrep_path&amp;" /e /r /s /spath="&amp;search_path&amp;" /stypes=""app*"&amp;JFO28&amp;"*"&amp;TEXT(JFV28-utc_offset/24,"YYYYMMDD")&amp;"*"" /stext="" "&amp;TEXT(JFV28-utc_offset/24,"HH")&amp;search_regexp&amp;""""</f>
        <v>#VALUE!</v>
      </c>
      <c r="JGT28" s="234" t="e">
        <f>astrogrep_path&amp;" /e /r /s /spath="&amp;search_path&amp;" /stypes=""app*"&amp;JFP28&amp;"*"&amp;TEXT(JFW28-utc_offset/24,"YYYYMMDD")&amp;"*"" /stext="" "&amp;TEXT(JFW28-utc_offset/24,"HH")&amp;search_regexp&amp;""""</f>
        <v>#VALUE!</v>
      </c>
      <c r="JGU28" s="234" t="e">
        <f>astrogrep_path&amp;" /e /r /s /spath="&amp;search_path&amp;" /stypes=""app*"&amp;JFQ28&amp;"*"&amp;TEXT(JFX28-utc_offset/24,"YYYYMMDD")&amp;"*"" /stext="" "&amp;TEXT(JFX28-utc_offset/24,"HH")&amp;search_regexp&amp;""""</f>
        <v>#REF!</v>
      </c>
      <c r="JGV28" s="234" t="e">
        <f>astrogrep_path&amp;" /e /r /s /spath="&amp;search_path&amp;" /stypes=""app*"&amp;JFR28&amp;"*"&amp;TEXT(JFY28-utc_offset/24,"YYYYMMDD")&amp;"*"" /stext="" "&amp;TEXT(JFY28-utc_offset/24,"HH")&amp;search_regexp&amp;""""</f>
        <v>#REF!</v>
      </c>
      <c r="JGW28" s="234" t="e">
        <f>astrogrep_path&amp;" /e /r /s /spath="&amp;search_path&amp;" /stypes=""app*"&amp;JFS28&amp;"*"&amp;TEXT(JFZ28-utc_offset/24,"YYYYMMDD")&amp;"*"" /stext="" "&amp;TEXT(JFZ28-utc_offset/24,"HH")&amp;search_regexp&amp;""""</f>
        <v>#VALUE!</v>
      </c>
      <c r="JGX28" s="234" t="e">
        <f>astrogrep_path&amp;" /e /r /s /spath="&amp;search_path&amp;" /stypes=""app*"&amp;JFT28&amp;"*"&amp;TEXT(JGA28-utc_offset/24,"YYYYMMDD")&amp;"*"" /stext="" "&amp;TEXT(JGA28-utc_offset/24,"HH")&amp;search_regexp&amp;""""</f>
        <v>#VALUE!</v>
      </c>
      <c r="JGY28" s="234" t="e">
        <f>astrogrep_path&amp;" /e /r /s /spath="&amp;search_path&amp;" /stypes=""app*"&amp;JFU28&amp;"*"&amp;TEXT(JGB28-utc_offset/24,"YYYYMMDD")&amp;"*"" /stext="" "&amp;TEXT(JGB28-utc_offset/24,"HH")&amp;search_regexp&amp;""""</f>
        <v>#VALUE!</v>
      </c>
      <c r="JGZ28" s="234" t="e">
        <f>astrogrep_path&amp;" /e /r /s /spath="&amp;search_path&amp;" /stypes=""app*"&amp;JFV28&amp;"*"&amp;TEXT(JGC28-utc_offset/24,"YYYYMMDD")&amp;"*"" /stext="" "&amp;TEXT(JGC28-utc_offset/24,"HH")&amp;search_regexp&amp;""""</f>
        <v>#VALUE!</v>
      </c>
      <c r="JHA28" s="234" t="e">
        <f>astrogrep_path&amp;" /e /r /s /spath="&amp;search_path&amp;" /stypes=""app*"&amp;JFW28&amp;"*"&amp;TEXT(JGD28-utc_offset/24,"YYYYMMDD")&amp;"*"" /stext="" "&amp;TEXT(JGD28-utc_offset/24,"HH")&amp;search_regexp&amp;""""</f>
        <v>#VALUE!</v>
      </c>
      <c r="JHB28" s="234" t="e">
        <f>astrogrep_path&amp;" /e /r /s /spath="&amp;search_path&amp;" /stypes=""app*"&amp;JFX28&amp;"*"&amp;TEXT(JGE28-utc_offset/24,"YYYYMMDD")&amp;"*"" /stext="" "&amp;TEXT(JGE28-utc_offset/24,"HH")&amp;search_regexp&amp;""""</f>
        <v>#REF!</v>
      </c>
      <c r="JHC28" s="234" t="e">
        <f>astrogrep_path&amp;" /e /r /s /spath="&amp;search_path&amp;" /stypes=""app*"&amp;JFY28&amp;"*"&amp;TEXT(JGF28-utc_offset/24,"YYYYMMDD")&amp;"*"" /stext="" "&amp;TEXT(JGF28-utc_offset/24,"HH")&amp;search_regexp&amp;""""</f>
        <v>#REF!</v>
      </c>
      <c r="JHD28" s="234" t="e">
        <f>astrogrep_path&amp;" /e /r /s /spath="&amp;search_path&amp;" /stypes=""app*"&amp;JFZ28&amp;"*"&amp;TEXT(JGG28-utc_offset/24,"YYYYMMDD")&amp;"*"" /stext="" "&amp;TEXT(JGG28-utc_offset/24,"HH")&amp;search_regexp&amp;""""</f>
        <v>#REF!</v>
      </c>
      <c r="JHE28" s="234" t="e">
        <f>astrogrep_path&amp;" /e /r /s /spath="&amp;search_path&amp;" /stypes=""app*"&amp;JGA28&amp;"*"&amp;TEXT(JGH28-utc_offset/24,"YYYYMMDD")&amp;"*"" /stext="" "&amp;TEXT(JGH28-utc_offset/24,"HH")&amp;search_regexp&amp;""""</f>
        <v>#REF!</v>
      </c>
      <c r="JHF28" s="234" t="e">
        <f>astrogrep_path&amp;" /e /r /s /spath="&amp;search_path&amp;" /stypes=""app*"&amp;JGB28&amp;"*"&amp;TEXT(JGI28-utc_offset/24,"YYYYMMDD")&amp;"*"" /stext="" "&amp;TEXT(JGI28-utc_offset/24,"HH")&amp;search_regexp&amp;""""</f>
        <v>#REF!</v>
      </c>
      <c r="JHG28" s="234" t="e">
        <f>astrogrep_path&amp;" /e /r /s /spath="&amp;search_path&amp;" /stypes=""app*"&amp;JGC28&amp;"*"&amp;TEXT(JGJ28-utc_offset/24,"YYYYMMDD")&amp;"*"" /stext="" "&amp;TEXT(JGJ28-utc_offset/24,"HH")&amp;search_regexp&amp;""""</f>
        <v>#REF!</v>
      </c>
      <c r="JHH28" s="234" t="e">
        <f>astrogrep_path&amp;" /e /r /s /spath="&amp;search_path&amp;" /stypes=""app*"&amp;JGD28&amp;"*"&amp;TEXT(JGK28-utc_offset/24,"YYYYMMDD")&amp;"*"" /stext="" "&amp;TEXT(JGK28-utc_offset/24,"HH")&amp;search_regexp&amp;""""</f>
        <v>#REF!</v>
      </c>
      <c r="JHI28" s="234" t="e">
        <f>astrogrep_path&amp;" /e /r /s /spath="&amp;search_path&amp;" /stypes=""app*"&amp;JGE28&amp;"*"&amp;TEXT(JGL28-utc_offset/24,"YYYYMMDD")&amp;"*"" /stext="" "&amp;TEXT(JGL28-utc_offset/24,"HH")&amp;search_regexp&amp;""""</f>
        <v>#REF!</v>
      </c>
      <c r="JHJ28" s="234" t="e">
        <f>astrogrep_path&amp;" /e /r /s /spath="&amp;search_path&amp;" /stypes=""app*"&amp;JGF28&amp;"*"&amp;TEXT(JGM28-utc_offset/24,"YYYYMMDD")&amp;"*"" /stext="" "&amp;TEXT(JGM28-utc_offset/24,"HH")&amp;search_regexp&amp;""""</f>
        <v>#REF!</v>
      </c>
      <c r="JHK28" s="234" t="e">
        <f>astrogrep_path&amp;" /e /r /s /spath="&amp;search_path&amp;" /stypes=""app*"&amp;JGG28&amp;"*"&amp;TEXT(JGN28-utc_offset/24,"YYYYMMDD")&amp;"*"" /stext="" "&amp;TEXT(JGN28-utc_offset/24,"HH")&amp;search_regexp&amp;""""</f>
        <v>#REF!</v>
      </c>
      <c r="JHL28" s="234" t="e">
        <f>astrogrep_path&amp;" /e /r /s /spath="&amp;search_path&amp;" /stypes=""app*"&amp;JGH28&amp;"*"&amp;TEXT(JGO28-utc_offset/24,"YYYYMMDD")&amp;"*"" /stext="" "&amp;TEXT(JGO28-utc_offset/24,"HH")&amp;search_regexp&amp;""""</f>
        <v>#REF!</v>
      </c>
      <c r="JHM28" s="234" t="e">
        <f>astrogrep_path&amp;" /e /r /s /spath="&amp;search_path&amp;" /stypes=""app*"&amp;JGI28&amp;"*"&amp;TEXT(JGP28-utc_offset/24,"YYYYMMDD")&amp;"*"" /stext="" "&amp;TEXT(JGP28-utc_offset/24,"HH")&amp;search_regexp&amp;""""</f>
        <v>#REF!</v>
      </c>
      <c r="JHN28" s="234" t="e">
        <f>astrogrep_path&amp;" /e /r /s /spath="&amp;search_path&amp;" /stypes=""app*"&amp;JGJ28&amp;"*"&amp;TEXT(JGQ28-utc_offset/24,"YYYYMMDD")&amp;"*"" /stext="" "&amp;TEXT(JGQ28-utc_offset/24,"HH")&amp;search_regexp&amp;""""</f>
        <v>#REF!</v>
      </c>
      <c r="JHO28" s="234" t="e">
        <f>astrogrep_path&amp;" /e /r /s /spath="&amp;search_path&amp;" /stypes=""app*"&amp;JGK28&amp;"*"&amp;TEXT(JGR28-utc_offset/24,"YYYYMMDD")&amp;"*"" /stext="" "&amp;TEXT(JGR28-utc_offset/24,"HH")&amp;search_regexp&amp;""""</f>
        <v>#REF!</v>
      </c>
      <c r="JHP28" s="234" t="e">
        <f>astrogrep_path&amp;" /e /r /s /spath="&amp;search_path&amp;" /stypes=""app*"&amp;JGL28&amp;"*"&amp;TEXT(JGS28-utc_offset/24,"YYYYMMDD")&amp;"*"" /stext="" "&amp;TEXT(JGS28-utc_offset/24,"HH")&amp;search_regexp&amp;""""</f>
        <v>#REF!</v>
      </c>
      <c r="JHQ28" s="234" t="e">
        <f>astrogrep_path&amp;" /e /r /s /spath="&amp;search_path&amp;" /stypes=""app*"&amp;JGM28&amp;"*"&amp;TEXT(JGT28-utc_offset/24,"YYYYMMDD")&amp;"*"" /stext="" "&amp;TEXT(JGT28-utc_offset/24,"HH")&amp;search_regexp&amp;""""</f>
        <v>#REF!</v>
      </c>
      <c r="JHR28" s="234" t="e">
        <f>astrogrep_path&amp;" /e /r /s /spath="&amp;search_path&amp;" /stypes=""app*"&amp;JGN28&amp;"*"&amp;TEXT(JGU28-utc_offset/24,"YYYYMMDD")&amp;"*"" /stext="" "&amp;TEXT(JGU28-utc_offset/24,"HH")&amp;search_regexp&amp;""""</f>
        <v>#REF!</v>
      </c>
      <c r="JHS28" s="234" t="e">
        <f>astrogrep_path&amp;" /e /r /s /spath="&amp;search_path&amp;" /stypes=""app*"&amp;JGO28&amp;"*"&amp;TEXT(JGV28-utc_offset/24,"YYYYMMDD")&amp;"*"" /stext="" "&amp;TEXT(JGV28-utc_offset/24,"HH")&amp;search_regexp&amp;""""</f>
        <v>#REF!</v>
      </c>
      <c r="JHT28" s="234" t="e">
        <f>astrogrep_path&amp;" /e /r /s /spath="&amp;search_path&amp;" /stypes=""app*"&amp;JGP28&amp;"*"&amp;TEXT(JGW28-utc_offset/24,"YYYYMMDD")&amp;"*"" /stext="" "&amp;TEXT(JGW28-utc_offset/24,"HH")&amp;search_regexp&amp;""""</f>
        <v>#REF!</v>
      </c>
      <c r="JHU28" s="234" t="e">
        <f>astrogrep_path&amp;" /e /r /s /spath="&amp;search_path&amp;" /stypes=""app*"&amp;JGQ28&amp;"*"&amp;TEXT(JGX28-utc_offset/24,"YYYYMMDD")&amp;"*"" /stext="" "&amp;TEXT(JGX28-utc_offset/24,"HH")&amp;search_regexp&amp;""""</f>
        <v>#REF!</v>
      </c>
      <c r="JHV28" s="234" t="e">
        <f>astrogrep_path&amp;" /e /r /s /spath="&amp;search_path&amp;" /stypes=""app*"&amp;JGR28&amp;"*"&amp;TEXT(JGY28-utc_offset/24,"YYYYMMDD")&amp;"*"" /stext="" "&amp;TEXT(JGY28-utc_offset/24,"HH")&amp;search_regexp&amp;""""</f>
        <v>#REF!</v>
      </c>
      <c r="JHW28" s="234" t="e">
        <f>astrogrep_path&amp;" /e /r /s /spath="&amp;search_path&amp;" /stypes=""app*"&amp;JGS28&amp;"*"&amp;TEXT(JGZ28-utc_offset/24,"YYYYMMDD")&amp;"*"" /stext="" "&amp;TEXT(JGZ28-utc_offset/24,"HH")&amp;search_regexp&amp;""""</f>
        <v>#VALUE!</v>
      </c>
      <c r="JHX28" s="234" t="e">
        <f>astrogrep_path&amp;" /e /r /s /spath="&amp;search_path&amp;" /stypes=""app*"&amp;JGT28&amp;"*"&amp;TEXT(JHA28-utc_offset/24,"YYYYMMDD")&amp;"*"" /stext="" "&amp;TEXT(JHA28-utc_offset/24,"HH")&amp;search_regexp&amp;""""</f>
        <v>#VALUE!</v>
      </c>
      <c r="JHY28" s="234" t="e">
        <f>astrogrep_path&amp;" /e /r /s /spath="&amp;search_path&amp;" /stypes=""app*"&amp;JGU28&amp;"*"&amp;TEXT(JHB28-utc_offset/24,"YYYYMMDD")&amp;"*"" /stext="" "&amp;TEXT(JHB28-utc_offset/24,"HH")&amp;search_regexp&amp;""""</f>
        <v>#REF!</v>
      </c>
      <c r="JHZ28" s="234" t="e">
        <f>astrogrep_path&amp;" /e /r /s /spath="&amp;search_path&amp;" /stypes=""app*"&amp;JGV28&amp;"*"&amp;TEXT(JHC28-utc_offset/24,"YYYYMMDD")&amp;"*"" /stext="" "&amp;TEXT(JHC28-utc_offset/24,"HH")&amp;search_regexp&amp;""""</f>
        <v>#REF!</v>
      </c>
      <c r="JIA28" s="234" t="e">
        <f>astrogrep_path&amp;" /e /r /s /spath="&amp;search_path&amp;" /stypes=""app*"&amp;JGW28&amp;"*"&amp;TEXT(JHD28-utc_offset/24,"YYYYMMDD")&amp;"*"" /stext="" "&amp;TEXT(JHD28-utc_offset/24,"HH")&amp;search_regexp&amp;""""</f>
        <v>#VALUE!</v>
      </c>
      <c r="JIB28" s="234" t="e">
        <f>astrogrep_path&amp;" /e /r /s /spath="&amp;search_path&amp;" /stypes=""app*"&amp;JGX28&amp;"*"&amp;TEXT(JHE28-utc_offset/24,"YYYYMMDD")&amp;"*"" /stext="" "&amp;TEXT(JHE28-utc_offset/24,"HH")&amp;search_regexp&amp;""""</f>
        <v>#VALUE!</v>
      </c>
      <c r="JIC28" s="234" t="e">
        <f>astrogrep_path&amp;" /e /r /s /spath="&amp;search_path&amp;" /stypes=""app*"&amp;JGY28&amp;"*"&amp;TEXT(JHF28-utc_offset/24,"YYYYMMDD")&amp;"*"" /stext="" "&amp;TEXT(JHF28-utc_offset/24,"HH")&amp;search_regexp&amp;""""</f>
        <v>#VALUE!</v>
      </c>
      <c r="JID28" s="234" t="e">
        <f>astrogrep_path&amp;" /e /r /s /spath="&amp;search_path&amp;" /stypes=""app*"&amp;JGZ28&amp;"*"&amp;TEXT(JHG28-utc_offset/24,"YYYYMMDD")&amp;"*"" /stext="" "&amp;TEXT(JHG28-utc_offset/24,"HH")&amp;search_regexp&amp;""""</f>
        <v>#VALUE!</v>
      </c>
      <c r="JIE28" s="234" t="e">
        <f>astrogrep_path&amp;" /e /r /s /spath="&amp;search_path&amp;" /stypes=""app*"&amp;JHA28&amp;"*"&amp;TEXT(JHH28-utc_offset/24,"YYYYMMDD")&amp;"*"" /stext="" "&amp;TEXT(JHH28-utc_offset/24,"HH")&amp;search_regexp&amp;""""</f>
        <v>#VALUE!</v>
      </c>
      <c r="JIF28" s="234" t="e">
        <f>astrogrep_path&amp;" /e /r /s /spath="&amp;search_path&amp;" /stypes=""app*"&amp;JHB28&amp;"*"&amp;TEXT(JHI28-utc_offset/24,"YYYYMMDD")&amp;"*"" /stext="" "&amp;TEXT(JHI28-utc_offset/24,"HH")&amp;search_regexp&amp;""""</f>
        <v>#REF!</v>
      </c>
      <c r="JIG28" s="234" t="e">
        <f>astrogrep_path&amp;" /e /r /s /spath="&amp;search_path&amp;" /stypes=""app*"&amp;JHC28&amp;"*"&amp;TEXT(JHJ28-utc_offset/24,"YYYYMMDD")&amp;"*"" /stext="" "&amp;TEXT(JHJ28-utc_offset/24,"HH")&amp;search_regexp&amp;""""</f>
        <v>#REF!</v>
      </c>
      <c r="JIH28" s="234" t="e">
        <f>astrogrep_path&amp;" /e /r /s /spath="&amp;search_path&amp;" /stypes=""app*"&amp;JHD28&amp;"*"&amp;TEXT(JHK28-utc_offset/24,"YYYYMMDD")&amp;"*"" /stext="" "&amp;TEXT(JHK28-utc_offset/24,"HH")&amp;search_regexp&amp;""""</f>
        <v>#REF!</v>
      </c>
      <c r="JII28" s="234" t="e">
        <f>astrogrep_path&amp;" /e /r /s /spath="&amp;search_path&amp;" /stypes=""app*"&amp;JHE28&amp;"*"&amp;TEXT(JHL28-utc_offset/24,"YYYYMMDD")&amp;"*"" /stext="" "&amp;TEXT(JHL28-utc_offset/24,"HH")&amp;search_regexp&amp;""""</f>
        <v>#REF!</v>
      </c>
      <c r="JIJ28" s="234" t="e">
        <f>astrogrep_path&amp;" /e /r /s /spath="&amp;search_path&amp;" /stypes=""app*"&amp;JHF28&amp;"*"&amp;TEXT(JHM28-utc_offset/24,"YYYYMMDD")&amp;"*"" /stext="" "&amp;TEXT(JHM28-utc_offset/24,"HH")&amp;search_regexp&amp;""""</f>
        <v>#REF!</v>
      </c>
      <c r="JIK28" s="234" t="e">
        <f>astrogrep_path&amp;" /e /r /s /spath="&amp;search_path&amp;" /stypes=""app*"&amp;JHG28&amp;"*"&amp;TEXT(JHN28-utc_offset/24,"YYYYMMDD")&amp;"*"" /stext="" "&amp;TEXT(JHN28-utc_offset/24,"HH")&amp;search_regexp&amp;""""</f>
        <v>#REF!</v>
      </c>
      <c r="JIL28" s="234" t="e">
        <f>astrogrep_path&amp;" /e /r /s /spath="&amp;search_path&amp;" /stypes=""app*"&amp;JHH28&amp;"*"&amp;TEXT(JHO28-utc_offset/24,"YYYYMMDD")&amp;"*"" /stext="" "&amp;TEXT(JHO28-utc_offset/24,"HH")&amp;search_regexp&amp;""""</f>
        <v>#REF!</v>
      </c>
      <c r="JIM28" s="234" t="e">
        <f>astrogrep_path&amp;" /e /r /s /spath="&amp;search_path&amp;" /stypes=""app*"&amp;JHI28&amp;"*"&amp;TEXT(JHP28-utc_offset/24,"YYYYMMDD")&amp;"*"" /stext="" "&amp;TEXT(JHP28-utc_offset/24,"HH")&amp;search_regexp&amp;""""</f>
        <v>#REF!</v>
      </c>
      <c r="JIN28" s="234" t="e">
        <f>astrogrep_path&amp;" /e /r /s /spath="&amp;search_path&amp;" /stypes=""app*"&amp;JHJ28&amp;"*"&amp;TEXT(JHQ28-utc_offset/24,"YYYYMMDD")&amp;"*"" /stext="" "&amp;TEXT(JHQ28-utc_offset/24,"HH")&amp;search_regexp&amp;""""</f>
        <v>#REF!</v>
      </c>
      <c r="JIO28" s="234" t="e">
        <f>astrogrep_path&amp;" /e /r /s /spath="&amp;search_path&amp;" /stypes=""app*"&amp;JHK28&amp;"*"&amp;TEXT(JHR28-utc_offset/24,"YYYYMMDD")&amp;"*"" /stext="" "&amp;TEXT(JHR28-utc_offset/24,"HH")&amp;search_regexp&amp;""""</f>
        <v>#REF!</v>
      </c>
      <c r="JIP28" s="234" t="e">
        <f>astrogrep_path&amp;" /e /r /s /spath="&amp;search_path&amp;" /stypes=""app*"&amp;JHL28&amp;"*"&amp;TEXT(JHS28-utc_offset/24,"YYYYMMDD")&amp;"*"" /stext="" "&amp;TEXT(JHS28-utc_offset/24,"HH")&amp;search_regexp&amp;""""</f>
        <v>#REF!</v>
      </c>
      <c r="JIQ28" s="234" t="e">
        <f>astrogrep_path&amp;" /e /r /s /spath="&amp;search_path&amp;" /stypes=""app*"&amp;JHM28&amp;"*"&amp;TEXT(JHT28-utc_offset/24,"YYYYMMDD")&amp;"*"" /stext="" "&amp;TEXT(JHT28-utc_offset/24,"HH")&amp;search_regexp&amp;""""</f>
        <v>#REF!</v>
      </c>
      <c r="JIR28" s="234" t="e">
        <f>astrogrep_path&amp;" /e /r /s /spath="&amp;search_path&amp;" /stypes=""app*"&amp;JHN28&amp;"*"&amp;TEXT(JHU28-utc_offset/24,"YYYYMMDD")&amp;"*"" /stext="" "&amp;TEXT(JHU28-utc_offset/24,"HH")&amp;search_regexp&amp;""""</f>
        <v>#REF!</v>
      </c>
      <c r="JIS28" s="234" t="e">
        <f>astrogrep_path&amp;" /e /r /s /spath="&amp;search_path&amp;" /stypes=""app*"&amp;JHO28&amp;"*"&amp;TEXT(JHV28-utc_offset/24,"YYYYMMDD")&amp;"*"" /stext="" "&amp;TEXT(JHV28-utc_offset/24,"HH")&amp;search_regexp&amp;""""</f>
        <v>#REF!</v>
      </c>
      <c r="JIT28" s="234" t="e">
        <f>astrogrep_path&amp;" /e /r /s /spath="&amp;search_path&amp;" /stypes=""app*"&amp;JHP28&amp;"*"&amp;TEXT(JHW28-utc_offset/24,"YYYYMMDD")&amp;"*"" /stext="" "&amp;TEXT(JHW28-utc_offset/24,"HH")&amp;search_regexp&amp;""""</f>
        <v>#REF!</v>
      </c>
      <c r="JIU28" s="234" t="e">
        <f>astrogrep_path&amp;" /e /r /s /spath="&amp;search_path&amp;" /stypes=""app*"&amp;JHQ28&amp;"*"&amp;TEXT(JHX28-utc_offset/24,"YYYYMMDD")&amp;"*"" /stext="" "&amp;TEXT(JHX28-utc_offset/24,"HH")&amp;search_regexp&amp;""""</f>
        <v>#REF!</v>
      </c>
      <c r="JIV28" s="234" t="e">
        <f>astrogrep_path&amp;" /e /r /s /spath="&amp;search_path&amp;" /stypes=""app*"&amp;JHR28&amp;"*"&amp;TEXT(JHY28-utc_offset/24,"YYYYMMDD")&amp;"*"" /stext="" "&amp;TEXT(JHY28-utc_offset/24,"HH")&amp;search_regexp&amp;""""</f>
        <v>#REF!</v>
      </c>
      <c r="JIW28" s="234" t="e">
        <f>astrogrep_path&amp;" /e /r /s /spath="&amp;search_path&amp;" /stypes=""app*"&amp;JHS28&amp;"*"&amp;TEXT(JHZ28-utc_offset/24,"YYYYMMDD")&amp;"*"" /stext="" "&amp;TEXT(JHZ28-utc_offset/24,"HH")&amp;search_regexp&amp;""""</f>
        <v>#REF!</v>
      </c>
      <c r="JIX28" s="234" t="e">
        <f>astrogrep_path&amp;" /e /r /s /spath="&amp;search_path&amp;" /stypes=""app*"&amp;JHT28&amp;"*"&amp;TEXT(JIA28-utc_offset/24,"YYYYMMDD")&amp;"*"" /stext="" "&amp;TEXT(JIA28-utc_offset/24,"HH")&amp;search_regexp&amp;""""</f>
        <v>#REF!</v>
      </c>
      <c r="JIY28" s="234" t="e">
        <f>astrogrep_path&amp;" /e /r /s /spath="&amp;search_path&amp;" /stypes=""app*"&amp;JHU28&amp;"*"&amp;TEXT(JIB28-utc_offset/24,"YYYYMMDD")&amp;"*"" /stext="" "&amp;TEXT(JIB28-utc_offset/24,"HH")&amp;search_regexp&amp;""""</f>
        <v>#REF!</v>
      </c>
      <c r="JIZ28" s="234" t="e">
        <f>astrogrep_path&amp;" /e /r /s /spath="&amp;search_path&amp;" /stypes=""app*"&amp;JHV28&amp;"*"&amp;TEXT(JIC28-utc_offset/24,"YYYYMMDD")&amp;"*"" /stext="" "&amp;TEXT(JIC28-utc_offset/24,"HH")&amp;search_regexp&amp;""""</f>
        <v>#REF!</v>
      </c>
      <c r="JJA28" s="234" t="e">
        <f>astrogrep_path&amp;" /e /r /s /spath="&amp;search_path&amp;" /stypes=""app*"&amp;JHW28&amp;"*"&amp;TEXT(JID28-utc_offset/24,"YYYYMMDD")&amp;"*"" /stext="" "&amp;TEXT(JID28-utc_offset/24,"HH")&amp;search_regexp&amp;""""</f>
        <v>#VALUE!</v>
      </c>
      <c r="JJB28" s="234" t="e">
        <f>astrogrep_path&amp;" /e /r /s /spath="&amp;search_path&amp;" /stypes=""app*"&amp;JHX28&amp;"*"&amp;TEXT(JIE28-utc_offset/24,"YYYYMMDD")&amp;"*"" /stext="" "&amp;TEXT(JIE28-utc_offset/24,"HH")&amp;search_regexp&amp;""""</f>
        <v>#VALUE!</v>
      </c>
      <c r="JJC28" s="234" t="e">
        <f>astrogrep_path&amp;" /e /r /s /spath="&amp;search_path&amp;" /stypes=""app*"&amp;JHY28&amp;"*"&amp;TEXT(JIF28-utc_offset/24,"YYYYMMDD")&amp;"*"" /stext="" "&amp;TEXT(JIF28-utc_offset/24,"HH")&amp;search_regexp&amp;""""</f>
        <v>#REF!</v>
      </c>
      <c r="JJD28" s="234" t="e">
        <f>astrogrep_path&amp;" /e /r /s /spath="&amp;search_path&amp;" /stypes=""app*"&amp;JHZ28&amp;"*"&amp;TEXT(JIG28-utc_offset/24,"YYYYMMDD")&amp;"*"" /stext="" "&amp;TEXT(JIG28-utc_offset/24,"HH")&amp;search_regexp&amp;""""</f>
        <v>#REF!</v>
      </c>
      <c r="JJE28" s="234" t="e">
        <f>astrogrep_path&amp;" /e /r /s /spath="&amp;search_path&amp;" /stypes=""app*"&amp;JIA28&amp;"*"&amp;TEXT(JIH28-utc_offset/24,"YYYYMMDD")&amp;"*"" /stext="" "&amp;TEXT(JIH28-utc_offset/24,"HH")&amp;search_regexp&amp;""""</f>
        <v>#VALUE!</v>
      </c>
      <c r="JJF28" s="234" t="e">
        <f>astrogrep_path&amp;" /e /r /s /spath="&amp;search_path&amp;" /stypes=""app*"&amp;JIB28&amp;"*"&amp;TEXT(JII28-utc_offset/24,"YYYYMMDD")&amp;"*"" /stext="" "&amp;TEXT(JII28-utc_offset/24,"HH")&amp;search_regexp&amp;""""</f>
        <v>#VALUE!</v>
      </c>
      <c r="JJG28" s="234" t="e">
        <f>astrogrep_path&amp;" /e /r /s /spath="&amp;search_path&amp;" /stypes=""app*"&amp;JIC28&amp;"*"&amp;TEXT(JIJ28-utc_offset/24,"YYYYMMDD")&amp;"*"" /stext="" "&amp;TEXT(JIJ28-utc_offset/24,"HH")&amp;search_regexp&amp;""""</f>
        <v>#VALUE!</v>
      </c>
      <c r="JJH28" s="234" t="e">
        <f>astrogrep_path&amp;" /e /r /s /spath="&amp;search_path&amp;" /stypes=""app*"&amp;JID28&amp;"*"&amp;TEXT(JIK28-utc_offset/24,"YYYYMMDD")&amp;"*"" /stext="" "&amp;TEXT(JIK28-utc_offset/24,"HH")&amp;search_regexp&amp;""""</f>
        <v>#VALUE!</v>
      </c>
      <c r="JJI28" s="234" t="e">
        <f>astrogrep_path&amp;" /e /r /s /spath="&amp;search_path&amp;" /stypes=""app*"&amp;JIE28&amp;"*"&amp;TEXT(JIL28-utc_offset/24,"YYYYMMDD")&amp;"*"" /stext="" "&amp;TEXT(JIL28-utc_offset/24,"HH")&amp;search_regexp&amp;""""</f>
        <v>#VALUE!</v>
      </c>
      <c r="JJJ28" s="234" t="e">
        <f>astrogrep_path&amp;" /e /r /s /spath="&amp;search_path&amp;" /stypes=""app*"&amp;JIF28&amp;"*"&amp;TEXT(JIM28-utc_offset/24,"YYYYMMDD")&amp;"*"" /stext="" "&amp;TEXT(JIM28-utc_offset/24,"HH")&amp;search_regexp&amp;""""</f>
        <v>#REF!</v>
      </c>
      <c r="JJK28" s="234" t="e">
        <f>astrogrep_path&amp;" /e /r /s /spath="&amp;search_path&amp;" /stypes=""app*"&amp;JIG28&amp;"*"&amp;TEXT(JIN28-utc_offset/24,"YYYYMMDD")&amp;"*"" /stext="" "&amp;TEXT(JIN28-utc_offset/24,"HH")&amp;search_regexp&amp;""""</f>
        <v>#REF!</v>
      </c>
      <c r="JJL28" s="234" t="e">
        <f>astrogrep_path&amp;" /e /r /s /spath="&amp;search_path&amp;" /stypes=""app*"&amp;JIH28&amp;"*"&amp;TEXT(JIO28-utc_offset/24,"YYYYMMDD")&amp;"*"" /stext="" "&amp;TEXT(JIO28-utc_offset/24,"HH")&amp;search_regexp&amp;""""</f>
        <v>#REF!</v>
      </c>
      <c r="JJM28" s="234" t="e">
        <f>astrogrep_path&amp;" /e /r /s /spath="&amp;search_path&amp;" /stypes=""app*"&amp;JII28&amp;"*"&amp;TEXT(JIP28-utc_offset/24,"YYYYMMDD")&amp;"*"" /stext="" "&amp;TEXT(JIP28-utc_offset/24,"HH")&amp;search_regexp&amp;""""</f>
        <v>#REF!</v>
      </c>
      <c r="JJN28" s="234" t="e">
        <f>astrogrep_path&amp;" /e /r /s /spath="&amp;search_path&amp;" /stypes=""app*"&amp;JIJ28&amp;"*"&amp;TEXT(JIQ28-utc_offset/24,"YYYYMMDD")&amp;"*"" /stext="" "&amp;TEXT(JIQ28-utc_offset/24,"HH")&amp;search_regexp&amp;""""</f>
        <v>#REF!</v>
      </c>
      <c r="JJO28" s="234" t="e">
        <f>astrogrep_path&amp;" /e /r /s /spath="&amp;search_path&amp;" /stypes=""app*"&amp;JIK28&amp;"*"&amp;TEXT(JIR28-utc_offset/24,"YYYYMMDD")&amp;"*"" /stext="" "&amp;TEXT(JIR28-utc_offset/24,"HH")&amp;search_regexp&amp;""""</f>
        <v>#REF!</v>
      </c>
      <c r="JJP28" s="234" t="e">
        <f>astrogrep_path&amp;" /e /r /s /spath="&amp;search_path&amp;" /stypes=""app*"&amp;JIL28&amp;"*"&amp;TEXT(JIS28-utc_offset/24,"YYYYMMDD")&amp;"*"" /stext="" "&amp;TEXT(JIS28-utc_offset/24,"HH")&amp;search_regexp&amp;""""</f>
        <v>#REF!</v>
      </c>
      <c r="JJQ28" s="234" t="e">
        <f>astrogrep_path&amp;" /e /r /s /spath="&amp;search_path&amp;" /stypes=""app*"&amp;JIM28&amp;"*"&amp;TEXT(JIT28-utc_offset/24,"YYYYMMDD")&amp;"*"" /stext="" "&amp;TEXT(JIT28-utc_offset/24,"HH")&amp;search_regexp&amp;""""</f>
        <v>#REF!</v>
      </c>
      <c r="JJR28" s="234" t="e">
        <f>astrogrep_path&amp;" /e /r /s /spath="&amp;search_path&amp;" /stypes=""app*"&amp;JIN28&amp;"*"&amp;TEXT(JIU28-utc_offset/24,"YYYYMMDD")&amp;"*"" /stext="" "&amp;TEXT(JIU28-utc_offset/24,"HH")&amp;search_regexp&amp;""""</f>
        <v>#REF!</v>
      </c>
      <c r="JJS28" s="234" t="e">
        <f>astrogrep_path&amp;" /e /r /s /spath="&amp;search_path&amp;" /stypes=""app*"&amp;JIO28&amp;"*"&amp;TEXT(JIV28-utc_offset/24,"YYYYMMDD")&amp;"*"" /stext="" "&amp;TEXT(JIV28-utc_offset/24,"HH")&amp;search_regexp&amp;""""</f>
        <v>#REF!</v>
      </c>
      <c r="JJT28" s="234" t="e">
        <f>astrogrep_path&amp;" /e /r /s /spath="&amp;search_path&amp;" /stypes=""app*"&amp;JIP28&amp;"*"&amp;TEXT(JIW28-utc_offset/24,"YYYYMMDD")&amp;"*"" /stext="" "&amp;TEXT(JIW28-utc_offset/24,"HH")&amp;search_regexp&amp;""""</f>
        <v>#REF!</v>
      </c>
      <c r="JJU28" s="234" t="e">
        <f>astrogrep_path&amp;" /e /r /s /spath="&amp;search_path&amp;" /stypes=""app*"&amp;JIQ28&amp;"*"&amp;TEXT(JIX28-utc_offset/24,"YYYYMMDD")&amp;"*"" /stext="" "&amp;TEXT(JIX28-utc_offset/24,"HH")&amp;search_regexp&amp;""""</f>
        <v>#REF!</v>
      </c>
      <c r="JJV28" s="234" t="e">
        <f>astrogrep_path&amp;" /e /r /s /spath="&amp;search_path&amp;" /stypes=""app*"&amp;JIR28&amp;"*"&amp;TEXT(JIY28-utc_offset/24,"YYYYMMDD")&amp;"*"" /stext="" "&amp;TEXT(JIY28-utc_offset/24,"HH")&amp;search_regexp&amp;""""</f>
        <v>#REF!</v>
      </c>
      <c r="JJW28" s="234" t="e">
        <f>astrogrep_path&amp;" /e /r /s /spath="&amp;search_path&amp;" /stypes=""app*"&amp;JIS28&amp;"*"&amp;TEXT(JIZ28-utc_offset/24,"YYYYMMDD")&amp;"*"" /stext="" "&amp;TEXT(JIZ28-utc_offset/24,"HH")&amp;search_regexp&amp;""""</f>
        <v>#REF!</v>
      </c>
      <c r="JJX28" s="234" t="e">
        <f>astrogrep_path&amp;" /e /r /s /spath="&amp;search_path&amp;" /stypes=""app*"&amp;JIT28&amp;"*"&amp;TEXT(JJA28-utc_offset/24,"YYYYMMDD")&amp;"*"" /stext="" "&amp;TEXT(JJA28-utc_offset/24,"HH")&amp;search_regexp&amp;""""</f>
        <v>#REF!</v>
      </c>
      <c r="JJY28" s="234" t="e">
        <f>astrogrep_path&amp;" /e /r /s /spath="&amp;search_path&amp;" /stypes=""app*"&amp;JIU28&amp;"*"&amp;TEXT(JJB28-utc_offset/24,"YYYYMMDD")&amp;"*"" /stext="" "&amp;TEXT(JJB28-utc_offset/24,"HH")&amp;search_regexp&amp;""""</f>
        <v>#REF!</v>
      </c>
      <c r="JJZ28" s="234" t="e">
        <f>astrogrep_path&amp;" /e /r /s /spath="&amp;search_path&amp;" /stypes=""app*"&amp;JIV28&amp;"*"&amp;TEXT(JJC28-utc_offset/24,"YYYYMMDD")&amp;"*"" /stext="" "&amp;TEXT(JJC28-utc_offset/24,"HH")&amp;search_regexp&amp;""""</f>
        <v>#REF!</v>
      </c>
      <c r="JKA28" s="234" t="e">
        <f>astrogrep_path&amp;" /e /r /s /spath="&amp;search_path&amp;" /stypes=""app*"&amp;JIW28&amp;"*"&amp;TEXT(JJD28-utc_offset/24,"YYYYMMDD")&amp;"*"" /stext="" "&amp;TEXT(JJD28-utc_offset/24,"HH")&amp;search_regexp&amp;""""</f>
        <v>#REF!</v>
      </c>
      <c r="JKB28" s="234" t="e">
        <f>astrogrep_path&amp;" /e /r /s /spath="&amp;search_path&amp;" /stypes=""app*"&amp;JIX28&amp;"*"&amp;TEXT(JJE28-utc_offset/24,"YYYYMMDD")&amp;"*"" /stext="" "&amp;TEXT(JJE28-utc_offset/24,"HH")&amp;search_regexp&amp;""""</f>
        <v>#REF!</v>
      </c>
      <c r="JKC28" s="234" t="e">
        <f>astrogrep_path&amp;" /e /r /s /spath="&amp;search_path&amp;" /stypes=""app*"&amp;JIY28&amp;"*"&amp;TEXT(JJF28-utc_offset/24,"YYYYMMDD")&amp;"*"" /stext="" "&amp;TEXT(JJF28-utc_offset/24,"HH")&amp;search_regexp&amp;""""</f>
        <v>#REF!</v>
      </c>
      <c r="JKD28" s="234" t="e">
        <f>astrogrep_path&amp;" /e /r /s /spath="&amp;search_path&amp;" /stypes=""app*"&amp;JIZ28&amp;"*"&amp;TEXT(JJG28-utc_offset/24,"YYYYMMDD")&amp;"*"" /stext="" "&amp;TEXT(JJG28-utc_offset/24,"HH")&amp;search_regexp&amp;""""</f>
        <v>#REF!</v>
      </c>
      <c r="JKE28" s="234" t="e">
        <f>astrogrep_path&amp;" /e /r /s /spath="&amp;search_path&amp;" /stypes=""app*"&amp;JJA28&amp;"*"&amp;TEXT(JJH28-utc_offset/24,"YYYYMMDD")&amp;"*"" /stext="" "&amp;TEXT(JJH28-utc_offset/24,"HH")&amp;search_regexp&amp;""""</f>
        <v>#VALUE!</v>
      </c>
      <c r="JKF28" s="234" t="e">
        <f>astrogrep_path&amp;" /e /r /s /spath="&amp;search_path&amp;" /stypes=""app*"&amp;JJB28&amp;"*"&amp;TEXT(JJI28-utc_offset/24,"YYYYMMDD")&amp;"*"" /stext="" "&amp;TEXT(JJI28-utc_offset/24,"HH")&amp;search_regexp&amp;""""</f>
        <v>#VALUE!</v>
      </c>
      <c r="JKG28" s="234" t="e">
        <f>astrogrep_path&amp;" /e /r /s /spath="&amp;search_path&amp;" /stypes=""app*"&amp;JJC28&amp;"*"&amp;TEXT(JJJ28-utc_offset/24,"YYYYMMDD")&amp;"*"" /stext="" "&amp;TEXT(JJJ28-utc_offset/24,"HH")&amp;search_regexp&amp;""""</f>
        <v>#REF!</v>
      </c>
      <c r="JKH28" s="234" t="e">
        <f>astrogrep_path&amp;" /e /r /s /spath="&amp;search_path&amp;" /stypes=""app*"&amp;JJD28&amp;"*"&amp;TEXT(JJK28-utc_offset/24,"YYYYMMDD")&amp;"*"" /stext="" "&amp;TEXT(JJK28-utc_offset/24,"HH")&amp;search_regexp&amp;""""</f>
        <v>#REF!</v>
      </c>
      <c r="JKI28" s="234" t="e">
        <f>astrogrep_path&amp;" /e /r /s /spath="&amp;search_path&amp;" /stypes=""app*"&amp;JJE28&amp;"*"&amp;TEXT(JJL28-utc_offset/24,"YYYYMMDD")&amp;"*"" /stext="" "&amp;TEXT(JJL28-utc_offset/24,"HH")&amp;search_regexp&amp;""""</f>
        <v>#VALUE!</v>
      </c>
      <c r="JKJ28" s="234" t="e">
        <f>astrogrep_path&amp;" /e /r /s /spath="&amp;search_path&amp;" /stypes=""app*"&amp;JJF28&amp;"*"&amp;TEXT(JJM28-utc_offset/24,"YYYYMMDD")&amp;"*"" /stext="" "&amp;TEXT(JJM28-utc_offset/24,"HH")&amp;search_regexp&amp;""""</f>
        <v>#VALUE!</v>
      </c>
      <c r="JKK28" s="234" t="e">
        <f>astrogrep_path&amp;" /e /r /s /spath="&amp;search_path&amp;" /stypes=""app*"&amp;JJG28&amp;"*"&amp;TEXT(JJN28-utc_offset/24,"YYYYMMDD")&amp;"*"" /stext="" "&amp;TEXT(JJN28-utc_offset/24,"HH")&amp;search_regexp&amp;""""</f>
        <v>#VALUE!</v>
      </c>
      <c r="JKL28" s="234" t="e">
        <f>astrogrep_path&amp;" /e /r /s /spath="&amp;search_path&amp;" /stypes=""app*"&amp;JJH28&amp;"*"&amp;TEXT(JJO28-utc_offset/24,"YYYYMMDD")&amp;"*"" /stext="" "&amp;TEXT(JJO28-utc_offset/24,"HH")&amp;search_regexp&amp;""""</f>
        <v>#VALUE!</v>
      </c>
      <c r="JKM28" s="234" t="e">
        <f>astrogrep_path&amp;" /e /r /s /spath="&amp;search_path&amp;" /stypes=""app*"&amp;JJI28&amp;"*"&amp;TEXT(JJP28-utc_offset/24,"YYYYMMDD")&amp;"*"" /stext="" "&amp;TEXT(JJP28-utc_offset/24,"HH")&amp;search_regexp&amp;""""</f>
        <v>#VALUE!</v>
      </c>
      <c r="JKN28" s="234" t="e">
        <f>astrogrep_path&amp;" /e /r /s /spath="&amp;search_path&amp;" /stypes=""app*"&amp;JJJ28&amp;"*"&amp;TEXT(JJQ28-utc_offset/24,"YYYYMMDD")&amp;"*"" /stext="" "&amp;TEXT(JJQ28-utc_offset/24,"HH")&amp;search_regexp&amp;""""</f>
        <v>#REF!</v>
      </c>
      <c r="JKO28" s="234" t="e">
        <f>astrogrep_path&amp;" /e /r /s /spath="&amp;search_path&amp;" /stypes=""app*"&amp;JJK28&amp;"*"&amp;TEXT(JJR28-utc_offset/24,"YYYYMMDD")&amp;"*"" /stext="" "&amp;TEXT(JJR28-utc_offset/24,"HH")&amp;search_regexp&amp;""""</f>
        <v>#REF!</v>
      </c>
      <c r="JKP28" s="234" t="e">
        <f>astrogrep_path&amp;" /e /r /s /spath="&amp;search_path&amp;" /stypes=""app*"&amp;JJL28&amp;"*"&amp;TEXT(JJS28-utc_offset/24,"YYYYMMDD")&amp;"*"" /stext="" "&amp;TEXT(JJS28-utc_offset/24,"HH")&amp;search_regexp&amp;""""</f>
        <v>#REF!</v>
      </c>
      <c r="JKQ28" s="234" t="e">
        <f>astrogrep_path&amp;" /e /r /s /spath="&amp;search_path&amp;" /stypes=""app*"&amp;JJM28&amp;"*"&amp;TEXT(JJT28-utc_offset/24,"YYYYMMDD")&amp;"*"" /stext="" "&amp;TEXT(JJT28-utc_offset/24,"HH")&amp;search_regexp&amp;""""</f>
        <v>#REF!</v>
      </c>
      <c r="JKR28" s="234" t="e">
        <f>astrogrep_path&amp;" /e /r /s /spath="&amp;search_path&amp;" /stypes=""app*"&amp;JJN28&amp;"*"&amp;TEXT(JJU28-utc_offset/24,"YYYYMMDD")&amp;"*"" /stext="" "&amp;TEXT(JJU28-utc_offset/24,"HH")&amp;search_regexp&amp;""""</f>
        <v>#REF!</v>
      </c>
      <c r="JKS28" s="234" t="e">
        <f>astrogrep_path&amp;" /e /r /s /spath="&amp;search_path&amp;" /stypes=""app*"&amp;JJO28&amp;"*"&amp;TEXT(JJV28-utc_offset/24,"YYYYMMDD")&amp;"*"" /stext="" "&amp;TEXT(JJV28-utc_offset/24,"HH")&amp;search_regexp&amp;""""</f>
        <v>#REF!</v>
      </c>
      <c r="JKT28" s="234" t="e">
        <f>astrogrep_path&amp;" /e /r /s /spath="&amp;search_path&amp;" /stypes=""app*"&amp;JJP28&amp;"*"&amp;TEXT(JJW28-utc_offset/24,"YYYYMMDD")&amp;"*"" /stext="" "&amp;TEXT(JJW28-utc_offset/24,"HH")&amp;search_regexp&amp;""""</f>
        <v>#REF!</v>
      </c>
      <c r="JKU28" s="234" t="e">
        <f>astrogrep_path&amp;" /e /r /s /spath="&amp;search_path&amp;" /stypes=""app*"&amp;JJQ28&amp;"*"&amp;TEXT(JJX28-utc_offset/24,"YYYYMMDD")&amp;"*"" /stext="" "&amp;TEXT(JJX28-utc_offset/24,"HH")&amp;search_regexp&amp;""""</f>
        <v>#REF!</v>
      </c>
      <c r="JKV28" s="234" t="e">
        <f>astrogrep_path&amp;" /e /r /s /spath="&amp;search_path&amp;" /stypes=""app*"&amp;JJR28&amp;"*"&amp;TEXT(JJY28-utc_offset/24,"YYYYMMDD")&amp;"*"" /stext="" "&amp;TEXT(JJY28-utc_offset/24,"HH")&amp;search_regexp&amp;""""</f>
        <v>#REF!</v>
      </c>
      <c r="JKW28" s="234" t="e">
        <f>astrogrep_path&amp;" /e /r /s /spath="&amp;search_path&amp;" /stypes=""app*"&amp;JJS28&amp;"*"&amp;TEXT(JJZ28-utc_offset/24,"YYYYMMDD")&amp;"*"" /stext="" "&amp;TEXT(JJZ28-utc_offset/24,"HH")&amp;search_regexp&amp;""""</f>
        <v>#REF!</v>
      </c>
      <c r="JKX28" s="234" t="e">
        <f>astrogrep_path&amp;" /e /r /s /spath="&amp;search_path&amp;" /stypes=""app*"&amp;JJT28&amp;"*"&amp;TEXT(JKA28-utc_offset/24,"YYYYMMDD")&amp;"*"" /stext="" "&amp;TEXT(JKA28-utc_offset/24,"HH")&amp;search_regexp&amp;""""</f>
        <v>#REF!</v>
      </c>
      <c r="JKY28" s="234" t="e">
        <f>astrogrep_path&amp;" /e /r /s /spath="&amp;search_path&amp;" /stypes=""app*"&amp;JJU28&amp;"*"&amp;TEXT(JKB28-utc_offset/24,"YYYYMMDD")&amp;"*"" /stext="" "&amp;TEXT(JKB28-utc_offset/24,"HH")&amp;search_regexp&amp;""""</f>
        <v>#REF!</v>
      </c>
      <c r="JKZ28" s="234" t="e">
        <f>astrogrep_path&amp;" /e /r /s /spath="&amp;search_path&amp;" /stypes=""app*"&amp;JJV28&amp;"*"&amp;TEXT(JKC28-utc_offset/24,"YYYYMMDD")&amp;"*"" /stext="" "&amp;TEXT(JKC28-utc_offset/24,"HH")&amp;search_regexp&amp;""""</f>
        <v>#REF!</v>
      </c>
      <c r="JLA28" s="234" t="e">
        <f>astrogrep_path&amp;" /e /r /s /spath="&amp;search_path&amp;" /stypes=""app*"&amp;JJW28&amp;"*"&amp;TEXT(JKD28-utc_offset/24,"YYYYMMDD")&amp;"*"" /stext="" "&amp;TEXT(JKD28-utc_offset/24,"HH")&amp;search_regexp&amp;""""</f>
        <v>#REF!</v>
      </c>
      <c r="JLB28" s="234" t="e">
        <f>astrogrep_path&amp;" /e /r /s /spath="&amp;search_path&amp;" /stypes=""app*"&amp;JJX28&amp;"*"&amp;TEXT(JKE28-utc_offset/24,"YYYYMMDD")&amp;"*"" /stext="" "&amp;TEXT(JKE28-utc_offset/24,"HH")&amp;search_regexp&amp;""""</f>
        <v>#REF!</v>
      </c>
      <c r="JLC28" s="234" t="e">
        <f>astrogrep_path&amp;" /e /r /s /spath="&amp;search_path&amp;" /stypes=""app*"&amp;JJY28&amp;"*"&amp;TEXT(JKF28-utc_offset/24,"YYYYMMDD")&amp;"*"" /stext="" "&amp;TEXT(JKF28-utc_offset/24,"HH")&amp;search_regexp&amp;""""</f>
        <v>#REF!</v>
      </c>
      <c r="JLD28" s="234" t="e">
        <f>astrogrep_path&amp;" /e /r /s /spath="&amp;search_path&amp;" /stypes=""app*"&amp;JJZ28&amp;"*"&amp;TEXT(JKG28-utc_offset/24,"YYYYMMDD")&amp;"*"" /stext="" "&amp;TEXT(JKG28-utc_offset/24,"HH")&amp;search_regexp&amp;""""</f>
        <v>#REF!</v>
      </c>
      <c r="JLE28" s="234" t="e">
        <f>astrogrep_path&amp;" /e /r /s /spath="&amp;search_path&amp;" /stypes=""app*"&amp;JKA28&amp;"*"&amp;TEXT(JKH28-utc_offset/24,"YYYYMMDD")&amp;"*"" /stext="" "&amp;TEXT(JKH28-utc_offset/24,"HH")&amp;search_regexp&amp;""""</f>
        <v>#REF!</v>
      </c>
      <c r="JLF28" s="234" t="e">
        <f>astrogrep_path&amp;" /e /r /s /spath="&amp;search_path&amp;" /stypes=""app*"&amp;JKB28&amp;"*"&amp;TEXT(JKI28-utc_offset/24,"YYYYMMDD")&amp;"*"" /stext="" "&amp;TEXT(JKI28-utc_offset/24,"HH")&amp;search_regexp&amp;""""</f>
        <v>#REF!</v>
      </c>
      <c r="JLG28" s="234" t="e">
        <f>astrogrep_path&amp;" /e /r /s /spath="&amp;search_path&amp;" /stypes=""app*"&amp;JKC28&amp;"*"&amp;TEXT(JKJ28-utc_offset/24,"YYYYMMDD")&amp;"*"" /stext="" "&amp;TEXT(JKJ28-utc_offset/24,"HH")&amp;search_regexp&amp;""""</f>
        <v>#REF!</v>
      </c>
      <c r="JLH28" s="234" t="e">
        <f>astrogrep_path&amp;" /e /r /s /spath="&amp;search_path&amp;" /stypes=""app*"&amp;JKD28&amp;"*"&amp;TEXT(JKK28-utc_offset/24,"YYYYMMDD")&amp;"*"" /stext="" "&amp;TEXT(JKK28-utc_offset/24,"HH")&amp;search_regexp&amp;""""</f>
        <v>#REF!</v>
      </c>
      <c r="JLI28" s="234" t="e">
        <f>astrogrep_path&amp;" /e /r /s /spath="&amp;search_path&amp;" /stypes=""app*"&amp;JKE28&amp;"*"&amp;TEXT(JKL28-utc_offset/24,"YYYYMMDD")&amp;"*"" /stext="" "&amp;TEXT(JKL28-utc_offset/24,"HH")&amp;search_regexp&amp;""""</f>
        <v>#VALUE!</v>
      </c>
      <c r="JLJ28" s="234" t="e">
        <f>astrogrep_path&amp;" /e /r /s /spath="&amp;search_path&amp;" /stypes=""app*"&amp;JKF28&amp;"*"&amp;TEXT(JKM28-utc_offset/24,"YYYYMMDD")&amp;"*"" /stext="" "&amp;TEXT(JKM28-utc_offset/24,"HH")&amp;search_regexp&amp;""""</f>
        <v>#VALUE!</v>
      </c>
      <c r="JLK28" s="234" t="e">
        <f>astrogrep_path&amp;" /e /r /s /spath="&amp;search_path&amp;" /stypes=""app*"&amp;JKG28&amp;"*"&amp;TEXT(JKN28-utc_offset/24,"YYYYMMDD")&amp;"*"" /stext="" "&amp;TEXT(JKN28-utc_offset/24,"HH")&amp;search_regexp&amp;""""</f>
        <v>#REF!</v>
      </c>
      <c r="JLL28" s="234" t="e">
        <f>astrogrep_path&amp;" /e /r /s /spath="&amp;search_path&amp;" /stypes=""app*"&amp;JKH28&amp;"*"&amp;TEXT(JKO28-utc_offset/24,"YYYYMMDD")&amp;"*"" /stext="" "&amp;TEXT(JKO28-utc_offset/24,"HH")&amp;search_regexp&amp;""""</f>
        <v>#REF!</v>
      </c>
      <c r="JLM28" s="234" t="e">
        <f>astrogrep_path&amp;" /e /r /s /spath="&amp;search_path&amp;" /stypes=""app*"&amp;JKI28&amp;"*"&amp;TEXT(JKP28-utc_offset/24,"YYYYMMDD")&amp;"*"" /stext="" "&amp;TEXT(JKP28-utc_offset/24,"HH")&amp;search_regexp&amp;""""</f>
        <v>#VALUE!</v>
      </c>
      <c r="JLN28" s="234" t="e">
        <f>astrogrep_path&amp;" /e /r /s /spath="&amp;search_path&amp;" /stypes=""app*"&amp;JKJ28&amp;"*"&amp;TEXT(JKQ28-utc_offset/24,"YYYYMMDD")&amp;"*"" /stext="" "&amp;TEXT(JKQ28-utc_offset/24,"HH")&amp;search_regexp&amp;""""</f>
        <v>#VALUE!</v>
      </c>
      <c r="JLO28" s="234" t="e">
        <f>astrogrep_path&amp;" /e /r /s /spath="&amp;search_path&amp;" /stypes=""app*"&amp;JKK28&amp;"*"&amp;TEXT(JKR28-utc_offset/24,"YYYYMMDD")&amp;"*"" /stext="" "&amp;TEXT(JKR28-utc_offset/24,"HH")&amp;search_regexp&amp;""""</f>
        <v>#VALUE!</v>
      </c>
      <c r="JLP28" s="234" t="e">
        <f>astrogrep_path&amp;" /e /r /s /spath="&amp;search_path&amp;" /stypes=""app*"&amp;JKL28&amp;"*"&amp;TEXT(JKS28-utc_offset/24,"YYYYMMDD")&amp;"*"" /stext="" "&amp;TEXT(JKS28-utc_offset/24,"HH")&amp;search_regexp&amp;""""</f>
        <v>#VALUE!</v>
      </c>
      <c r="JLQ28" s="234" t="e">
        <f>astrogrep_path&amp;" /e /r /s /spath="&amp;search_path&amp;" /stypes=""app*"&amp;JKM28&amp;"*"&amp;TEXT(JKT28-utc_offset/24,"YYYYMMDD")&amp;"*"" /stext="" "&amp;TEXT(JKT28-utc_offset/24,"HH")&amp;search_regexp&amp;""""</f>
        <v>#VALUE!</v>
      </c>
      <c r="JLR28" s="234" t="e">
        <f>astrogrep_path&amp;" /e /r /s /spath="&amp;search_path&amp;" /stypes=""app*"&amp;JKN28&amp;"*"&amp;TEXT(JKU28-utc_offset/24,"YYYYMMDD")&amp;"*"" /stext="" "&amp;TEXT(JKU28-utc_offset/24,"HH")&amp;search_regexp&amp;""""</f>
        <v>#REF!</v>
      </c>
      <c r="JLS28" s="234" t="e">
        <f>astrogrep_path&amp;" /e /r /s /spath="&amp;search_path&amp;" /stypes=""app*"&amp;JKO28&amp;"*"&amp;TEXT(JKV28-utc_offset/24,"YYYYMMDD")&amp;"*"" /stext="" "&amp;TEXT(JKV28-utc_offset/24,"HH")&amp;search_regexp&amp;""""</f>
        <v>#REF!</v>
      </c>
      <c r="JLT28" s="234" t="e">
        <f>astrogrep_path&amp;" /e /r /s /spath="&amp;search_path&amp;" /stypes=""app*"&amp;JKP28&amp;"*"&amp;TEXT(JKW28-utc_offset/24,"YYYYMMDD")&amp;"*"" /stext="" "&amp;TEXT(JKW28-utc_offset/24,"HH")&amp;search_regexp&amp;""""</f>
        <v>#REF!</v>
      </c>
      <c r="JLU28" s="234" t="e">
        <f>astrogrep_path&amp;" /e /r /s /spath="&amp;search_path&amp;" /stypes=""app*"&amp;JKQ28&amp;"*"&amp;TEXT(JKX28-utc_offset/24,"YYYYMMDD")&amp;"*"" /stext="" "&amp;TEXT(JKX28-utc_offset/24,"HH")&amp;search_regexp&amp;""""</f>
        <v>#REF!</v>
      </c>
      <c r="JLV28" s="234" t="e">
        <f>astrogrep_path&amp;" /e /r /s /spath="&amp;search_path&amp;" /stypes=""app*"&amp;JKR28&amp;"*"&amp;TEXT(JKY28-utc_offset/24,"YYYYMMDD")&amp;"*"" /stext="" "&amp;TEXT(JKY28-utc_offset/24,"HH")&amp;search_regexp&amp;""""</f>
        <v>#REF!</v>
      </c>
      <c r="JLW28" s="234" t="e">
        <f>astrogrep_path&amp;" /e /r /s /spath="&amp;search_path&amp;" /stypes=""app*"&amp;JKS28&amp;"*"&amp;TEXT(JKZ28-utc_offset/24,"YYYYMMDD")&amp;"*"" /stext="" "&amp;TEXT(JKZ28-utc_offset/24,"HH")&amp;search_regexp&amp;""""</f>
        <v>#REF!</v>
      </c>
      <c r="JLX28" s="234" t="e">
        <f>astrogrep_path&amp;" /e /r /s /spath="&amp;search_path&amp;" /stypes=""app*"&amp;JKT28&amp;"*"&amp;TEXT(JLA28-utc_offset/24,"YYYYMMDD")&amp;"*"" /stext="" "&amp;TEXT(JLA28-utc_offset/24,"HH")&amp;search_regexp&amp;""""</f>
        <v>#REF!</v>
      </c>
      <c r="JLY28" s="234" t="e">
        <f>astrogrep_path&amp;" /e /r /s /spath="&amp;search_path&amp;" /stypes=""app*"&amp;JKU28&amp;"*"&amp;TEXT(JLB28-utc_offset/24,"YYYYMMDD")&amp;"*"" /stext="" "&amp;TEXT(JLB28-utc_offset/24,"HH")&amp;search_regexp&amp;""""</f>
        <v>#REF!</v>
      </c>
      <c r="JLZ28" s="234" t="e">
        <f>astrogrep_path&amp;" /e /r /s /spath="&amp;search_path&amp;" /stypes=""app*"&amp;JKV28&amp;"*"&amp;TEXT(JLC28-utc_offset/24,"YYYYMMDD")&amp;"*"" /stext="" "&amp;TEXT(JLC28-utc_offset/24,"HH")&amp;search_regexp&amp;""""</f>
        <v>#REF!</v>
      </c>
      <c r="JMA28" s="234" t="e">
        <f>astrogrep_path&amp;" /e /r /s /spath="&amp;search_path&amp;" /stypes=""app*"&amp;JKW28&amp;"*"&amp;TEXT(JLD28-utc_offset/24,"YYYYMMDD")&amp;"*"" /stext="" "&amp;TEXT(JLD28-utc_offset/24,"HH")&amp;search_regexp&amp;""""</f>
        <v>#REF!</v>
      </c>
      <c r="JMB28" s="234" t="e">
        <f>astrogrep_path&amp;" /e /r /s /spath="&amp;search_path&amp;" /stypes=""app*"&amp;JKX28&amp;"*"&amp;TEXT(JLE28-utc_offset/24,"YYYYMMDD")&amp;"*"" /stext="" "&amp;TEXT(JLE28-utc_offset/24,"HH")&amp;search_regexp&amp;""""</f>
        <v>#REF!</v>
      </c>
      <c r="JMC28" s="234" t="e">
        <f>astrogrep_path&amp;" /e /r /s /spath="&amp;search_path&amp;" /stypes=""app*"&amp;JKY28&amp;"*"&amp;TEXT(JLF28-utc_offset/24,"YYYYMMDD")&amp;"*"" /stext="" "&amp;TEXT(JLF28-utc_offset/24,"HH")&amp;search_regexp&amp;""""</f>
        <v>#REF!</v>
      </c>
      <c r="JMD28" s="234" t="e">
        <f>astrogrep_path&amp;" /e /r /s /spath="&amp;search_path&amp;" /stypes=""app*"&amp;JKZ28&amp;"*"&amp;TEXT(JLG28-utc_offset/24,"YYYYMMDD")&amp;"*"" /stext="" "&amp;TEXT(JLG28-utc_offset/24,"HH")&amp;search_regexp&amp;""""</f>
        <v>#REF!</v>
      </c>
      <c r="JME28" s="234" t="e">
        <f>astrogrep_path&amp;" /e /r /s /spath="&amp;search_path&amp;" /stypes=""app*"&amp;JLA28&amp;"*"&amp;TEXT(JLH28-utc_offset/24,"YYYYMMDD")&amp;"*"" /stext="" "&amp;TEXT(JLH28-utc_offset/24,"HH")&amp;search_regexp&amp;""""</f>
        <v>#REF!</v>
      </c>
      <c r="JMF28" s="234" t="e">
        <f>astrogrep_path&amp;" /e /r /s /spath="&amp;search_path&amp;" /stypes=""app*"&amp;JLB28&amp;"*"&amp;TEXT(JLI28-utc_offset/24,"YYYYMMDD")&amp;"*"" /stext="" "&amp;TEXT(JLI28-utc_offset/24,"HH")&amp;search_regexp&amp;""""</f>
        <v>#REF!</v>
      </c>
      <c r="JMG28" s="234" t="e">
        <f>astrogrep_path&amp;" /e /r /s /spath="&amp;search_path&amp;" /stypes=""app*"&amp;JLC28&amp;"*"&amp;TEXT(JLJ28-utc_offset/24,"YYYYMMDD")&amp;"*"" /stext="" "&amp;TEXT(JLJ28-utc_offset/24,"HH")&amp;search_regexp&amp;""""</f>
        <v>#REF!</v>
      </c>
      <c r="JMH28" s="234" t="e">
        <f>astrogrep_path&amp;" /e /r /s /spath="&amp;search_path&amp;" /stypes=""app*"&amp;JLD28&amp;"*"&amp;TEXT(JLK28-utc_offset/24,"YYYYMMDD")&amp;"*"" /stext="" "&amp;TEXT(JLK28-utc_offset/24,"HH")&amp;search_regexp&amp;""""</f>
        <v>#REF!</v>
      </c>
      <c r="JMI28" s="234" t="e">
        <f>astrogrep_path&amp;" /e /r /s /spath="&amp;search_path&amp;" /stypes=""app*"&amp;JLE28&amp;"*"&amp;TEXT(JLL28-utc_offset/24,"YYYYMMDD")&amp;"*"" /stext="" "&amp;TEXT(JLL28-utc_offset/24,"HH")&amp;search_regexp&amp;""""</f>
        <v>#REF!</v>
      </c>
      <c r="JMJ28" s="234" t="e">
        <f>astrogrep_path&amp;" /e /r /s /spath="&amp;search_path&amp;" /stypes=""app*"&amp;JLF28&amp;"*"&amp;TEXT(JLM28-utc_offset/24,"YYYYMMDD")&amp;"*"" /stext="" "&amp;TEXT(JLM28-utc_offset/24,"HH")&amp;search_regexp&amp;""""</f>
        <v>#REF!</v>
      </c>
      <c r="JMK28" s="234" t="e">
        <f>astrogrep_path&amp;" /e /r /s /spath="&amp;search_path&amp;" /stypes=""app*"&amp;JLG28&amp;"*"&amp;TEXT(JLN28-utc_offset/24,"YYYYMMDD")&amp;"*"" /stext="" "&amp;TEXT(JLN28-utc_offset/24,"HH")&amp;search_regexp&amp;""""</f>
        <v>#REF!</v>
      </c>
      <c r="JML28" s="234" t="e">
        <f>astrogrep_path&amp;" /e /r /s /spath="&amp;search_path&amp;" /stypes=""app*"&amp;JLH28&amp;"*"&amp;TEXT(JLO28-utc_offset/24,"YYYYMMDD")&amp;"*"" /stext="" "&amp;TEXT(JLO28-utc_offset/24,"HH")&amp;search_regexp&amp;""""</f>
        <v>#REF!</v>
      </c>
      <c r="JMM28" s="234" t="e">
        <f>astrogrep_path&amp;" /e /r /s /spath="&amp;search_path&amp;" /stypes=""app*"&amp;JLI28&amp;"*"&amp;TEXT(JLP28-utc_offset/24,"YYYYMMDD")&amp;"*"" /stext="" "&amp;TEXT(JLP28-utc_offset/24,"HH")&amp;search_regexp&amp;""""</f>
        <v>#VALUE!</v>
      </c>
      <c r="JMN28" s="234" t="e">
        <f>astrogrep_path&amp;" /e /r /s /spath="&amp;search_path&amp;" /stypes=""app*"&amp;JLJ28&amp;"*"&amp;TEXT(JLQ28-utc_offset/24,"YYYYMMDD")&amp;"*"" /stext="" "&amp;TEXT(JLQ28-utc_offset/24,"HH")&amp;search_regexp&amp;""""</f>
        <v>#VALUE!</v>
      </c>
      <c r="JMO28" s="234" t="e">
        <f>astrogrep_path&amp;" /e /r /s /spath="&amp;search_path&amp;" /stypes=""app*"&amp;JLK28&amp;"*"&amp;TEXT(JLR28-utc_offset/24,"YYYYMMDD")&amp;"*"" /stext="" "&amp;TEXT(JLR28-utc_offset/24,"HH")&amp;search_regexp&amp;""""</f>
        <v>#REF!</v>
      </c>
      <c r="JMP28" s="234" t="e">
        <f>astrogrep_path&amp;" /e /r /s /spath="&amp;search_path&amp;" /stypes=""app*"&amp;JLL28&amp;"*"&amp;TEXT(JLS28-utc_offset/24,"YYYYMMDD")&amp;"*"" /stext="" "&amp;TEXT(JLS28-utc_offset/24,"HH")&amp;search_regexp&amp;""""</f>
        <v>#REF!</v>
      </c>
      <c r="JMQ28" s="234" t="e">
        <f>astrogrep_path&amp;" /e /r /s /spath="&amp;search_path&amp;" /stypes=""app*"&amp;JLM28&amp;"*"&amp;TEXT(JLT28-utc_offset/24,"YYYYMMDD")&amp;"*"" /stext="" "&amp;TEXT(JLT28-utc_offset/24,"HH")&amp;search_regexp&amp;""""</f>
        <v>#VALUE!</v>
      </c>
      <c r="JMR28" s="234" t="e">
        <f>astrogrep_path&amp;" /e /r /s /spath="&amp;search_path&amp;" /stypes=""app*"&amp;JLN28&amp;"*"&amp;TEXT(JLU28-utc_offset/24,"YYYYMMDD")&amp;"*"" /stext="" "&amp;TEXT(JLU28-utc_offset/24,"HH")&amp;search_regexp&amp;""""</f>
        <v>#VALUE!</v>
      </c>
      <c r="JMS28" s="234" t="e">
        <f>astrogrep_path&amp;" /e /r /s /spath="&amp;search_path&amp;" /stypes=""app*"&amp;JLO28&amp;"*"&amp;TEXT(JLV28-utc_offset/24,"YYYYMMDD")&amp;"*"" /stext="" "&amp;TEXT(JLV28-utc_offset/24,"HH")&amp;search_regexp&amp;""""</f>
        <v>#VALUE!</v>
      </c>
      <c r="JMT28" s="234" t="e">
        <f>astrogrep_path&amp;" /e /r /s /spath="&amp;search_path&amp;" /stypes=""app*"&amp;JLP28&amp;"*"&amp;TEXT(JLW28-utc_offset/24,"YYYYMMDD")&amp;"*"" /stext="" "&amp;TEXT(JLW28-utc_offset/24,"HH")&amp;search_regexp&amp;""""</f>
        <v>#VALUE!</v>
      </c>
      <c r="JMU28" s="234" t="e">
        <f>astrogrep_path&amp;" /e /r /s /spath="&amp;search_path&amp;" /stypes=""app*"&amp;JLQ28&amp;"*"&amp;TEXT(JLX28-utc_offset/24,"YYYYMMDD")&amp;"*"" /stext="" "&amp;TEXT(JLX28-utc_offset/24,"HH")&amp;search_regexp&amp;""""</f>
        <v>#VALUE!</v>
      </c>
      <c r="JMV28" s="234" t="e">
        <f>astrogrep_path&amp;" /e /r /s /spath="&amp;search_path&amp;" /stypes=""app*"&amp;JLR28&amp;"*"&amp;TEXT(JLY28-utc_offset/24,"YYYYMMDD")&amp;"*"" /stext="" "&amp;TEXT(JLY28-utc_offset/24,"HH")&amp;search_regexp&amp;""""</f>
        <v>#REF!</v>
      </c>
      <c r="JMW28" s="234" t="e">
        <f>astrogrep_path&amp;" /e /r /s /spath="&amp;search_path&amp;" /stypes=""app*"&amp;JLS28&amp;"*"&amp;TEXT(JLZ28-utc_offset/24,"YYYYMMDD")&amp;"*"" /stext="" "&amp;TEXT(JLZ28-utc_offset/24,"HH")&amp;search_regexp&amp;""""</f>
        <v>#REF!</v>
      </c>
      <c r="JMX28" s="234" t="e">
        <f>astrogrep_path&amp;" /e /r /s /spath="&amp;search_path&amp;" /stypes=""app*"&amp;JLT28&amp;"*"&amp;TEXT(JMA28-utc_offset/24,"YYYYMMDD")&amp;"*"" /stext="" "&amp;TEXT(JMA28-utc_offset/24,"HH")&amp;search_regexp&amp;""""</f>
        <v>#REF!</v>
      </c>
      <c r="JMY28" s="234" t="e">
        <f>astrogrep_path&amp;" /e /r /s /spath="&amp;search_path&amp;" /stypes=""app*"&amp;JLU28&amp;"*"&amp;TEXT(JMB28-utc_offset/24,"YYYYMMDD")&amp;"*"" /stext="" "&amp;TEXT(JMB28-utc_offset/24,"HH")&amp;search_regexp&amp;""""</f>
        <v>#REF!</v>
      </c>
      <c r="JMZ28" s="234" t="e">
        <f>astrogrep_path&amp;" /e /r /s /spath="&amp;search_path&amp;" /stypes=""app*"&amp;JLV28&amp;"*"&amp;TEXT(JMC28-utc_offset/24,"YYYYMMDD")&amp;"*"" /stext="" "&amp;TEXT(JMC28-utc_offset/24,"HH")&amp;search_regexp&amp;""""</f>
        <v>#REF!</v>
      </c>
      <c r="JNA28" s="234" t="e">
        <f>astrogrep_path&amp;" /e /r /s /spath="&amp;search_path&amp;" /stypes=""app*"&amp;JLW28&amp;"*"&amp;TEXT(JMD28-utc_offset/24,"YYYYMMDD")&amp;"*"" /stext="" "&amp;TEXT(JMD28-utc_offset/24,"HH")&amp;search_regexp&amp;""""</f>
        <v>#REF!</v>
      </c>
      <c r="JNB28" s="234" t="e">
        <f>astrogrep_path&amp;" /e /r /s /spath="&amp;search_path&amp;" /stypes=""app*"&amp;JLX28&amp;"*"&amp;TEXT(JME28-utc_offset/24,"YYYYMMDD")&amp;"*"" /stext="" "&amp;TEXT(JME28-utc_offset/24,"HH")&amp;search_regexp&amp;""""</f>
        <v>#REF!</v>
      </c>
      <c r="JNC28" s="234" t="e">
        <f>astrogrep_path&amp;" /e /r /s /spath="&amp;search_path&amp;" /stypes=""app*"&amp;JLY28&amp;"*"&amp;TEXT(JMF28-utc_offset/24,"YYYYMMDD")&amp;"*"" /stext="" "&amp;TEXT(JMF28-utc_offset/24,"HH")&amp;search_regexp&amp;""""</f>
        <v>#REF!</v>
      </c>
      <c r="JND28" s="234" t="e">
        <f>astrogrep_path&amp;" /e /r /s /spath="&amp;search_path&amp;" /stypes=""app*"&amp;JLZ28&amp;"*"&amp;TEXT(JMG28-utc_offset/24,"YYYYMMDD")&amp;"*"" /stext="" "&amp;TEXT(JMG28-utc_offset/24,"HH")&amp;search_regexp&amp;""""</f>
        <v>#REF!</v>
      </c>
      <c r="JNE28" s="234" t="e">
        <f>astrogrep_path&amp;" /e /r /s /spath="&amp;search_path&amp;" /stypes=""app*"&amp;JMA28&amp;"*"&amp;TEXT(JMH28-utc_offset/24,"YYYYMMDD")&amp;"*"" /stext="" "&amp;TEXT(JMH28-utc_offset/24,"HH")&amp;search_regexp&amp;""""</f>
        <v>#REF!</v>
      </c>
      <c r="JNF28" s="234" t="e">
        <f>astrogrep_path&amp;" /e /r /s /spath="&amp;search_path&amp;" /stypes=""app*"&amp;JMB28&amp;"*"&amp;TEXT(JMI28-utc_offset/24,"YYYYMMDD")&amp;"*"" /stext="" "&amp;TEXT(JMI28-utc_offset/24,"HH")&amp;search_regexp&amp;""""</f>
        <v>#REF!</v>
      </c>
      <c r="JNG28" s="234" t="e">
        <f>astrogrep_path&amp;" /e /r /s /spath="&amp;search_path&amp;" /stypes=""app*"&amp;JMC28&amp;"*"&amp;TEXT(JMJ28-utc_offset/24,"YYYYMMDD")&amp;"*"" /stext="" "&amp;TEXT(JMJ28-utc_offset/24,"HH")&amp;search_regexp&amp;""""</f>
        <v>#REF!</v>
      </c>
      <c r="JNH28" s="234" t="e">
        <f>astrogrep_path&amp;" /e /r /s /spath="&amp;search_path&amp;" /stypes=""app*"&amp;JMD28&amp;"*"&amp;TEXT(JMK28-utc_offset/24,"YYYYMMDD")&amp;"*"" /stext="" "&amp;TEXT(JMK28-utc_offset/24,"HH")&amp;search_regexp&amp;""""</f>
        <v>#REF!</v>
      </c>
      <c r="JNI28" s="234" t="e">
        <f>astrogrep_path&amp;" /e /r /s /spath="&amp;search_path&amp;" /stypes=""app*"&amp;JME28&amp;"*"&amp;TEXT(JML28-utc_offset/24,"YYYYMMDD")&amp;"*"" /stext="" "&amp;TEXT(JML28-utc_offset/24,"HH")&amp;search_regexp&amp;""""</f>
        <v>#REF!</v>
      </c>
      <c r="JNJ28" s="234" t="e">
        <f>astrogrep_path&amp;" /e /r /s /spath="&amp;search_path&amp;" /stypes=""app*"&amp;JMF28&amp;"*"&amp;TEXT(JMM28-utc_offset/24,"YYYYMMDD")&amp;"*"" /stext="" "&amp;TEXT(JMM28-utc_offset/24,"HH")&amp;search_regexp&amp;""""</f>
        <v>#REF!</v>
      </c>
      <c r="JNK28" s="234" t="e">
        <f>astrogrep_path&amp;" /e /r /s /spath="&amp;search_path&amp;" /stypes=""app*"&amp;JMG28&amp;"*"&amp;TEXT(JMN28-utc_offset/24,"YYYYMMDD")&amp;"*"" /stext="" "&amp;TEXT(JMN28-utc_offset/24,"HH")&amp;search_regexp&amp;""""</f>
        <v>#REF!</v>
      </c>
      <c r="JNL28" s="234" t="e">
        <f>astrogrep_path&amp;" /e /r /s /spath="&amp;search_path&amp;" /stypes=""app*"&amp;JMH28&amp;"*"&amp;TEXT(JMO28-utc_offset/24,"YYYYMMDD")&amp;"*"" /stext="" "&amp;TEXT(JMO28-utc_offset/24,"HH")&amp;search_regexp&amp;""""</f>
        <v>#REF!</v>
      </c>
      <c r="JNM28" s="234" t="e">
        <f>astrogrep_path&amp;" /e /r /s /spath="&amp;search_path&amp;" /stypes=""app*"&amp;JMI28&amp;"*"&amp;TEXT(JMP28-utc_offset/24,"YYYYMMDD")&amp;"*"" /stext="" "&amp;TEXT(JMP28-utc_offset/24,"HH")&amp;search_regexp&amp;""""</f>
        <v>#REF!</v>
      </c>
      <c r="JNN28" s="234" t="e">
        <f>astrogrep_path&amp;" /e /r /s /spath="&amp;search_path&amp;" /stypes=""app*"&amp;JMJ28&amp;"*"&amp;TEXT(JMQ28-utc_offset/24,"YYYYMMDD")&amp;"*"" /stext="" "&amp;TEXT(JMQ28-utc_offset/24,"HH")&amp;search_regexp&amp;""""</f>
        <v>#REF!</v>
      </c>
      <c r="JNO28" s="234" t="e">
        <f>astrogrep_path&amp;" /e /r /s /spath="&amp;search_path&amp;" /stypes=""app*"&amp;JMK28&amp;"*"&amp;TEXT(JMR28-utc_offset/24,"YYYYMMDD")&amp;"*"" /stext="" "&amp;TEXT(JMR28-utc_offset/24,"HH")&amp;search_regexp&amp;""""</f>
        <v>#REF!</v>
      </c>
      <c r="JNP28" s="234" t="e">
        <f>astrogrep_path&amp;" /e /r /s /spath="&amp;search_path&amp;" /stypes=""app*"&amp;JML28&amp;"*"&amp;TEXT(JMS28-utc_offset/24,"YYYYMMDD")&amp;"*"" /stext="" "&amp;TEXT(JMS28-utc_offset/24,"HH")&amp;search_regexp&amp;""""</f>
        <v>#REF!</v>
      </c>
      <c r="JNQ28" s="234" t="e">
        <f>astrogrep_path&amp;" /e /r /s /spath="&amp;search_path&amp;" /stypes=""app*"&amp;JMM28&amp;"*"&amp;TEXT(JMT28-utc_offset/24,"YYYYMMDD")&amp;"*"" /stext="" "&amp;TEXT(JMT28-utc_offset/24,"HH")&amp;search_regexp&amp;""""</f>
        <v>#VALUE!</v>
      </c>
      <c r="JNR28" s="234" t="e">
        <f>astrogrep_path&amp;" /e /r /s /spath="&amp;search_path&amp;" /stypes=""app*"&amp;JMN28&amp;"*"&amp;TEXT(JMU28-utc_offset/24,"YYYYMMDD")&amp;"*"" /stext="" "&amp;TEXT(JMU28-utc_offset/24,"HH")&amp;search_regexp&amp;""""</f>
        <v>#VALUE!</v>
      </c>
      <c r="JNS28" s="234" t="e">
        <f>astrogrep_path&amp;" /e /r /s /spath="&amp;search_path&amp;" /stypes=""app*"&amp;JMO28&amp;"*"&amp;TEXT(JMV28-utc_offset/24,"YYYYMMDD")&amp;"*"" /stext="" "&amp;TEXT(JMV28-utc_offset/24,"HH")&amp;search_regexp&amp;""""</f>
        <v>#REF!</v>
      </c>
      <c r="JNT28" s="234" t="e">
        <f>astrogrep_path&amp;" /e /r /s /spath="&amp;search_path&amp;" /stypes=""app*"&amp;JMP28&amp;"*"&amp;TEXT(JMW28-utc_offset/24,"YYYYMMDD")&amp;"*"" /stext="" "&amp;TEXT(JMW28-utc_offset/24,"HH")&amp;search_regexp&amp;""""</f>
        <v>#REF!</v>
      </c>
      <c r="JNU28" s="234" t="e">
        <f>astrogrep_path&amp;" /e /r /s /spath="&amp;search_path&amp;" /stypes=""app*"&amp;JMQ28&amp;"*"&amp;TEXT(JMX28-utc_offset/24,"YYYYMMDD")&amp;"*"" /stext="" "&amp;TEXT(JMX28-utc_offset/24,"HH")&amp;search_regexp&amp;""""</f>
        <v>#VALUE!</v>
      </c>
      <c r="JNV28" s="234" t="e">
        <f>astrogrep_path&amp;" /e /r /s /spath="&amp;search_path&amp;" /stypes=""app*"&amp;JMR28&amp;"*"&amp;TEXT(JMY28-utc_offset/24,"YYYYMMDD")&amp;"*"" /stext="" "&amp;TEXT(JMY28-utc_offset/24,"HH")&amp;search_regexp&amp;""""</f>
        <v>#VALUE!</v>
      </c>
      <c r="JNW28" s="234" t="e">
        <f>astrogrep_path&amp;" /e /r /s /spath="&amp;search_path&amp;" /stypes=""app*"&amp;JMS28&amp;"*"&amp;TEXT(JMZ28-utc_offset/24,"YYYYMMDD")&amp;"*"" /stext="" "&amp;TEXT(JMZ28-utc_offset/24,"HH")&amp;search_regexp&amp;""""</f>
        <v>#VALUE!</v>
      </c>
      <c r="JNX28" s="234" t="e">
        <f>astrogrep_path&amp;" /e /r /s /spath="&amp;search_path&amp;" /stypes=""app*"&amp;JMT28&amp;"*"&amp;TEXT(JNA28-utc_offset/24,"YYYYMMDD")&amp;"*"" /stext="" "&amp;TEXT(JNA28-utc_offset/24,"HH")&amp;search_regexp&amp;""""</f>
        <v>#VALUE!</v>
      </c>
      <c r="JNY28" s="234" t="e">
        <f>astrogrep_path&amp;" /e /r /s /spath="&amp;search_path&amp;" /stypes=""app*"&amp;JMU28&amp;"*"&amp;TEXT(JNB28-utc_offset/24,"YYYYMMDD")&amp;"*"" /stext="" "&amp;TEXT(JNB28-utc_offset/24,"HH")&amp;search_regexp&amp;""""</f>
        <v>#VALUE!</v>
      </c>
      <c r="JNZ28" s="234" t="e">
        <f>astrogrep_path&amp;" /e /r /s /spath="&amp;search_path&amp;" /stypes=""app*"&amp;JMV28&amp;"*"&amp;TEXT(JNC28-utc_offset/24,"YYYYMMDD")&amp;"*"" /stext="" "&amp;TEXT(JNC28-utc_offset/24,"HH")&amp;search_regexp&amp;""""</f>
        <v>#REF!</v>
      </c>
      <c r="JOA28" s="234" t="e">
        <f>astrogrep_path&amp;" /e /r /s /spath="&amp;search_path&amp;" /stypes=""app*"&amp;JMW28&amp;"*"&amp;TEXT(JND28-utc_offset/24,"YYYYMMDD")&amp;"*"" /stext="" "&amp;TEXT(JND28-utc_offset/24,"HH")&amp;search_regexp&amp;""""</f>
        <v>#REF!</v>
      </c>
      <c r="JOB28" s="234" t="e">
        <f>astrogrep_path&amp;" /e /r /s /spath="&amp;search_path&amp;" /stypes=""app*"&amp;JMX28&amp;"*"&amp;TEXT(JNE28-utc_offset/24,"YYYYMMDD")&amp;"*"" /stext="" "&amp;TEXT(JNE28-utc_offset/24,"HH")&amp;search_regexp&amp;""""</f>
        <v>#REF!</v>
      </c>
      <c r="JOC28" s="234" t="e">
        <f>astrogrep_path&amp;" /e /r /s /spath="&amp;search_path&amp;" /stypes=""app*"&amp;JMY28&amp;"*"&amp;TEXT(JNF28-utc_offset/24,"YYYYMMDD")&amp;"*"" /stext="" "&amp;TEXT(JNF28-utc_offset/24,"HH")&amp;search_regexp&amp;""""</f>
        <v>#REF!</v>
      </c>
      <c r="JOD28" s="234" t="e">
        <f>astrogrep_path&amp;" /e /r /s /spath="&amp;search_path&amp;" /stypes=""app*"&amp;JMZ28&amp;"*"&amp;TEXT(JNG28-utc_offset/24,"YYYYMMDD")&amp;"*"" /stext="" "&amp;TEXT(JNG28-utc_offset/24,"HH")&amp;search_regexp&amp;""""</f>
        <v>#REF!</v>
      </c>
      <c r="JOE28" s="234" t="e">
        <f>astrogrep_path&amp;" /e /r /s /spath="&amp;search_path&amp;" /stypes=""app*"&amp;JNA28&amp;"*"&amp;TEXT(JNH28-utc_offset/24,"YYYYMMDD")&amp;"*"" /stext="" "&amp;TEXT(JNH28-utc_offset/24,"HH")&amp;search_regexp&amp;""""</f>
        <v>#REF!</v>
      </c>
      <c r="JOF28" s="234" t="e">
        <f>astrogrep_path&amp;" /e /r /s /spath="&amp;search_path&amp;" /stypes=""app*"&amp;JNB28&amp;"*"&amp;TEXT(JNI28-utc_offset/24,"YYYYMMDD")&amp;"*"" /stext="" "&amp;TEXT(JNI28-utc_offset/24,"HH")&amp;search_regexp&amp;""""</f>
        <v>#REF!</v>
      </c>
      <c r="JOG28" s="234" t="e">
        <f>astrogrep_path&amp;" /e /r /s /spath="&amp;search_path&amp;" /stypes=""app*"&amp;JNC28&amp;"*"&amp;TEXT(JNJ28-utc_offset/24,"YYYYMMDD")&amp;"*"" /stext="" "&amp;TEXT(JNJ28-utc_offset/24,"HH")&amp;search_regexp&amp;""""</f>
        <v>#REF!</v>
      </c>
      <c r="JOH28" s="234" t="e">
        <f>astrogrep_path&amp;" /e /r /s /spath="&amp;search_path&amp;" /stypes=""app*"&amp;JND28&amp;"*"&amp;TEXT(JNK28-utc_offset/24,"YYYYMMDD")&amp;"*"" /stext="" "&amp;TEXT(JNK28-utc_offset/24,"HH")&amp;search_regexp&amp;""""</f>
        <v>#REF!</v>
      </c>
      <c r="JOI28" s="234" t="e">
        <f>astrogrep_path&amp;" /e /r /s /spath="&amp;search_path&amp;" /stypes=""app*"&amp;JNE28&amp;"*"&amp;TEXT(JNL28-utc_offset/24,"YYYYMMDD")&amp;"*"" /stext="" "&amp;TEXT(JNL28-utc_offset/24,"HH")&amp;search_regexp&amp;""""</f>
        <v>#REF!</v>
      </c>
      <c r="JOJ28" s="234" t="e">
        <f>astrogrep_path&amp;" /e /r /s /spath="&amp;search_path&amp;" /stypes=""app*"&amp;JNF28&amp;"*"&amp;TEXT(JNM28-utc_offset/24,"YYYYMMDD")&amp;"*"" /stext="" "&amp;TEXT(JNM28-utc_offset/24,"HH")&amp;search_regexp&amp;""""</f>
        <v>#REF!</v>
      </c>
      <c r="JOK28" s="234" t="e">
        <f>astrogrep_path&amp;" /e /r /s /spath="&amp;search_path&amp;" /stypes=""app*"&amp;JNG28&amp;"*"&amp;TEXT(JNN28-utc_offset/24,"YYYYMMDD")&amp;"*"" /stext="" "&amp;TEXT(JNN28-utc_offset/24,"HH")&amp;search_regexp&amp;""""</f>
        <v>#REF!</v>
      </c>
      <c r="JOL28" s="234" t="e">
        <f>astrogrep_path&amp;" /e /r /s /spath="&amp;search_path&amp;" /stypes=""app*"&amp;JNH28&amp;"*"&amp;TEXT(JNO28-utc_offset/24,"YYYYMMDD")&amp;"*"" /stext="" "&amp;TEXT(JNO28-utc_offset/24,"HH")&amp;search_regexp&amp;""""</f>
        <v>#REF!</v>
      </c>
      <c r="JOM28" s="234" t="e">
        <f>astrogrep_path&amp;" /e /r /s /spath="&amp;search_path&amp;" /stypes=""app*"&amp;JNI28&amp;"*"&amp;TEXT(JNP28-utc_offset/24,"YYYYMMDD")&amp;"*"" /stext="" "&amp;TEXT(JNP28-utc_offset/24,"HH")&amp;search_regexp&amp;""""</f>
        <v>#REF!</v>
      </c>
      <c r="JON28" s="234" t="e">
        <f>astrogrep_path&amp;" /e /r /s /spath="&amp;search_path&amp;" /stypes=""app*"&amp;JNJ28&amp;"*"&amp;TEXT(JNQ28-utc_offset/24,"YYYYMMDD")&amp;"*"" /stext="" "&amp;TEXT(JNQ28-utc_offset/24,"HH")&amp;search_regexp&amp;""""</f>
        <v>#REF!</v>
      </c>
      <c r="JOO28" s="234" t="e">
        <f>astrogrep_path&amp;" /e /r /s /spath="&amp;search_path&amp;" /stypes=""app*"&amp;JNK28&amp;"*"&amp;TEXT(JNR28-utc_offset/24,"YYYYMMDD")&amp;"*"" /stext="" "&amp;TEXT(JNR28-utc_offset/24,"HH")&amp;search_regexp&amp;""""</f>
        <v>#REF!</v>
      </c>
      <c r="JOP28" s="234" t="e">
        <f>astrogrep_path&amp;" /e /r /s /spath="&amp;search_path&amp;" /stypes=""app*"&amp;JNL28&amp;"*"&amp;TEXT(JNS28-utc_offset/24,"YYYYMMDD")&amp;"*"" /stext="" "&amp;TEXT(JNS28-utc_offset/24,"HH")&amp;search_regexp&amp;""""</f>
        <v>#REF!</v>
      </c>
      <c r="JOQ28" s="234" t="e">
        <f>astrogrep_path&amp;" /e /r /s /spath="&amp;search_path&amp;" /stypes=""app*"&amp;JNM28&amp;"*"&amp;TEXT(JNT28-utc_offset/24,"YYYYMMDD")&amp;"*"" /stext="" "&amp;TEXT(JNT28-utc_offset/24,"HH")&amp;search_regexp&amp;""""</f>
        <v>#REF!</v>
      </c>
      <c r="JOR28" s="234" t="e">
        <f>astrogrep_path&amp;" /e /r /s /spath="&amp;search_path&amp;" /stypes=""app*"&amp;JNN28&amp;"*"&amp;TEXT(JNU28-utc_offset/24,"YYYYMMDD")&amp;"*"" /stext="" "&amp;TEXT(JNU28-utc_offset/24,"HH")&amp;search_regexp&amp;""""</f>
        <v>#REF!</v>
      </c>
      <c r="JOS28" s="234" t="e">
        <f>astrogrep_path&amp;" /e /r /s /spath="&amp;search_path&amp;" /stypes=""app*"&amp;JNO28&amp;"*"&amp;TEXT(JNV28-utc_offset/24,"YYYYMMDD")&amp;"*"" /stext="" "&amp;TEXT(JNV28-utc_offset/24,"HH")&amp;search_regexp&amp;""""</f>
        <v>#REF!</v>
      </c>
      <c r="JOT28" s="234" t="e">
        <f>astrogrep_path&amp;" /e /r /s /spath="&amp;search_path&amp;" /stypes=""app*"&amp;JNP28&amp;"*"&amp;TEXT(JNW28-utc_offset/24,"YYYYMMDD")&amp;"*"" /stext="" "&amp;TEXT(JNW28-utc_offset/24,"HH")&amp;search_regexp&amp;""""</f>
        <v>#REF!</v>
      </c>
      <c r="JOU28" s="234" t="e">
        <f>astrogrep_path&amp;" /e /r /s /spath="&amp;search_path&amp;" /stypes=""app*"&amp;JNQ28&amp;"*"&amp;TEXT(JNX28-utc_offset/24,"YYYYMMDD")&amp;"*"" /stext="" "&amp;TEXT(JNX28-utc_offset/24,"HH")&amp;search_regexp&amp;""""</f>
        <v>#VALUE!</v>
      </c>
      <c r="JOV28" s="234" t="e">
        <f>astrogrep_path&amp;" /e /r /s /spath="&amp;search_path&amp;" /stypes=""app*"&amp;JNR28&amp;"*"&amp;TEXT(JNY28-utc_offset/24,"YYYYMMDD")&amp;"*"" /stext="" "&amp;TEXT(JNY28-utc_offset/24,"HH")&amp;search_regexp&amp;""""</f>
        <v>#VALUE!</v>
      </c>
      <c r="JOW28" s="234" t="e">
        <f>astrogrep_path&amp;" /e /r /s /spath="&amp;search_path&amp;" /stypes=""app*"&amp;JNS28&amp;"*"&amp;TEXT(JNZ28-utc_offset/24,"YYYYMMDD")&amp;"*"" /stext="" "&amp;TEXT(JNZ28-utc_offset/24,"HH")&amp;search_regexp&amp;""""</f>
        <v>#REF!</v>
      </c>
      <c r="JOX28" s="234" t="e">
        <f>astrogrep_path&amp;" /e /r /s /spath="&amp;search_path&amp;" /stypes=""app*"&amp;JNT28&amp;"*"&amp;TEXT(JOA28-utc_offset/24,"YYYYMMDD")&amp;"*"" /stext="" "&amp;TEXT(JOA28-utc_offset/24,"HH")&amp;search_regexp&amp;""""</f>
        <v>#REF!</v>
      </c>
      <c r="JOY28" s="234" t="e">
        <f>astrogrep_path&amp;" /e /r /s /spath="&amp;search_path&amp;" /stypes=""app*"&amp;JNU28&amp;"*"&amp;TEXT(JOB28-utc_offset/24,"YYYYMMDD")&amp;"*"" /stext="" "&amp;TEXT(JOB28-utc_offset/24,"HH")&amp;search_regexp&amp;""""</f>
        <v>#VALUE!</v>
      </c>
      <c r="JOZ28" s="234" t="e">
        <f>astrogrep_path&amp;" /e /r /s /spath="&amp;search_path&amp;" /stypes=""app*"&amp;JNV28&amp;"*"&amp;TEXT(JOC28-utc_offset/24,"YYYYMMDD")&amp;"*"" /stext="" "&amp;TEXT(JOC28-utc_offset/24,"HH")&amp;search_regexp&amp;""""</f>
        <v>#VALUE!</v>
      </c>
      <c r="JPA28" s="234" t="e">
        <f>astrogrep_path&amp;" /e /r /s /spath="&amp;search_path&amp;" /stypes=""app*"&amp;JNW28&amp;"*"&amp;TEXT(JOD28-utc_offset/24,"YYYYMMDD")&amp;"*"" /stext="" "&amp;TEXT(JOD28-utc_offset/24,"HH")&amp;search_regexp&amp;""""</f>
        <v>#VALUE!</v>
      </c>
      <c r="JPB28" s="234" t="e">
        <f>astrogrep_path&amp;" /e /r /s /spath="&amp;search_path&amp;" /stypes=""app*"&amp;JNX28&amp;"*"&amp;TEXT(JOE28-utc_offset/24,"YYYYMMDD")&amp;"*"" /stext="" "&amp;TEXT(JOE28-utc_offset/24,"HH")&amp;search_regexp&amp;""""</f>
        <v>#VALUE!</v>
      </c>
      <c r="JPC28" s="234" t="e">
        <f>astrogrep_path&amp;" /e /r /s /spath="&amp;search_path&amp;" /stypes=""app*"&amp;JNY28&amp;"*"&amp;TEXT(JOF28-utc_offset/24,"YYYYMMDD")&amp;"*"" /stext="" "&amp;TEXT(JOF28-utc_offset/24,"HH")&amp;search_regexp&amp;""""</f>
        <v>#VALUE!</v>
      </c>
      <c r="JPD28" s="234" t="e">
        <f>astrogrep_path&amp;" /e /r /s /spath="&amp;search_path&amp;" /stypes=""app*"&amp;JNZ28&amp;"*"&amp;TEXT(JOG28-utc_offset/24,"YYYYMMDD")&amp;"*"" /stext="" "&amp;TEXT(JOG28-utc_offset/24,"HH")&amp;search_regexp&amp;""""</f>
        <v>#REF!</v>
      </c>
      <c r="JPE28" s="234" t="e">
        <f>astrogrep_path&amp;" /e /r /s /spath="&amp;search_path&amp;" /stypes=""app*"&amp;JOA28&amp;"*"&amp;TEXT(JOH28-utc_offset/24,"YYYYMMDD")&amp;"*"" /stext="" "&amp;TEXT(JOH28-utc_offset/24,"HH")&amp;search_regexp&amp;""""</f>
        <v>#REF!</v>
      </c>
      <c r="JPF28" s="234" t="e">
        <f>astrogrep_path&amp;" /e /r /s /spath="&amp;search_path&amp;" /stypes=""app*"&amp;JOB28&amp;"*"&amp;TEXT(JOI28-utc_offset/24,"YYYYMMDD")&amp;"*"" /stext="" "&amp;TEXT(JOI28-utc_offset/24,"HH")&amp;search_regexp&amp;""""</f>
        <v>#REF!</v>
      </c>
      <c r="JPG28" s="234" t="e">
        <f>astrogrep_path&amp;" /e /r /s /spath="&amp;search_path&amp;" /stypes=""app*"&amp;JOC28&amp;"*"&amp;TEXT(JOJ28-utc_offset/24,"YYYYMMDD")&amp;"*"" /stext="" "&amp;TEXT(JOJ28-utc_offset/24,"HH")&amp;search_regexp&amp;""""</f>
        <v>#REF!</v>
      </c>
      <c r="JPH28" s="234" t="e">
        <f>astrogrep_path&amp;" /e /r /s /spath="&amp;search_path&amp;" /stypes=""app*"&amp;JOD28&amp;"*"&amp;TEXT(JOK28-utc_offset/24,"YYYYMMDD")&amp;"*"" /stext="" "&amp;TEXT(JOK28-utc_offset/24,"HH")&amp;search_regexp&amp;""""</f>
        <v>#REF!</v>
      </c>
      <c r="JPI28" s="234" t="e">
        <f>astrogrep_path&amp;" /e /r /s /spath="&amp;search_path&amp;" /stypes=""app*"&amp;JOE28&amp;"*"&amp;TEXT(JOL28-utc_offset/24,"YYYYMMDD")&amp;"*"" /stext="" "&amp;TEXT(JOL28-utc_offset/24,"HH")&amp;search_regexp&amp;""""</f>
        <v>#REF!</v>
      </c>
      <c r="JPJ28" s="234" t="e">
        <f>astrogrep_path&amp;" /e /r /s /spath="&amp;search_path&amp;" /stypes=""app*"&amp;JOF28&amp;"*"&amp;TEXT(JOM28-utc_offset/24,"YYYYMMDD")&amp;"*"" /stext="" "&amp;TEXT(JOM28-utc_offset/24,"HH")&amp;search_regexp&amp;""""</f>
        <v>#REF!</v>
      </c>
      <c r="JPK28" s="234" t="e">
        <f>astrogrep_path&amp;" /e /r /s /spath="&amp;search_path&amp;" /stypes=""app*"&amp;JOG28&amp;"*"&amp;TEXT(JON28-utc_offset/24,"YYYYMMDD")&amp;"*"" /stext="" "&amp;TEXT(JON28-utc_offset/24,"HH")&amp;search_regexp&amp;""""</f>
        <v>#REF!</v>
      </c>
      <c r="JPL28" s="234" t="e">
        <f>astrogrep_path&amp;" /e /r /s /spath="&amp;search_path&amp;" /stypes=""app*"&amp;JOH28&amp;"*"&amp;TEXT(JOO28-utc_offset/24,"YYYYMMDD")&amp;"*"" /stext="" "&amp;TEXT(JOO28-utc_offset/24,"HH")&amp;search_regexp&amp;""""</f>
        <v>#REF!</v>
      </c>
      <c r="JPM28" s="234" t="e">
        <f>astrogrep_path&amp;" /e /r /s /spath="&amp;search_path&amp;" /stypes=""app*"&amp;JOI28&amp;"*"&amp;TEXT(JOP28-utc_offset/24,"YYYYMMDD")&amp;"*"" /stext="" "&amp;TEXT(JOP28-utc_offset/24,"HH")&amp;search_regexp&amp;""""</f>
        <v>#REF!</v>
      </c>
      <c r="JPN28" s="234" t="e">
        <f>astrogrep_path&amp;" /e /r /s /spath="&amp;search_path&amp;" /stypes=""app*"&amp;JOJ28&amp;"*"&amp;TEXT(JOQ28-utc_offset/24,"YYYYMMDD")&amp;"*"" /stext="" "&amp;TEXT(JOQ28-utc_offset/24,"HH")&amp;search_regexp&amp;""""</f>
        <v>#REF!</v>
      </c>
      <c r="JPO28" s="234" t="e">
        <f>astrogrep_path&amp;" /e /r /s /spath="&amp;search_path&amp;" /stypes=""app*"&amp;JOK28&amp;"*"&amp;TEXT(JOR28-utc_offset/24,"YYYYMMDD")&amp;"*"" /stext="" "&amp;TEXT(JOR28-utc_offset/24,"HH")&amp;search_regexp&amp;""""</f>
        <v>#REF!</v>
      </c>
      <c r="JPP28" s="234" t="e">
        <f>astrogrep_path&amp;" /e /r /s /spath="&amp;search_path&amp;" /stypes=""app*"&amp;JOL28&amp;"*"&amp;TEXT(JOS28-utc_offset/24,"YYYYMMDD")&amp;"*"" /stext="" "&amp;TEXT(JOS28-utc_offset/24,"HH")&amp;search_regexp&amp;""""</f>
        <v>#REF!</v>
      </c>
      <c r="JPQ28" s="234" t="e">
        <f>astrogrep_path&amp;" /e /r /s /spath="&amp;search_path&amp;" /stypes=""app*"&amp;JOM28&amp;"*"&amp;TEXT(JOT28-utc_offset/24,"YYYYMMDD")&amp;"*"" /stext="" "&amp;TEXT(JOT28-utc_offset/24,"HH")&amp;search_regexp&amp;""""</f>
        <v>#REF!</v>
      </c>
      <c r="JPR28" s="234" t="e">
        <f>astrogrep_path&amp;" /e /r /s /spath="&amp;search_path&amp;" /stypes=""app*"&amp;JON28&amp;"*"&amp;TEXT(JOU28-utc_offset/24,"YYYYMMDD")&amp;"*"" /stext="" "&amp;TEXT(JOU28-utc_offset/24,"HH")&amp;search_regexp&amp;""""</f>
        <v>#REF!</v>
      </c>
      <c r="JPS28" s="234" t="e">
        <f>astrogrep_path&amp;" /e /r /s /spath="&amp;search_path&amp;" /stypes=""app*"&amp;JOO28&amp;"*"&amp;TEXT(JOV28-utc_offset/24,"YYYYMMDD")&amp;"*"" /stext="" "&amp;TEXT(JOV28-utc_offset/24,"HH")&amp;search_regexp&amp;""""</f>
        <v>#REF!</v>
      </c>
      <c r="JPT28" s="234" t="e">
        <f>astrogrep_path&amp;" /e /r /s /spath="&amp;search_path&amp;" /stypes=""app*"&amp;JOP28&amp;"*"&amp;TEXT(JOW28-utc_offset/24,"YYYYMMDD")&amp;"*"" /stext="" "&amp;TEXT(JOW28-utc_offset/24,"HH")&amp;search_regexp&amp;""""</f>
        <v>#REF!</v>
      </c>
      <c r="JPU28" s="234" t="e">
        <f>astrogrep_path&amp;" /e /r /s /spath="&amp;search_path&amp;" /stypes=""app*"&amp;JOQ28&amp;"*"&amp;TEXT(JOX28-utc_offset/24,"YYYYMMDD")&amp;"*"" /stext="" "&amp;TEXT(JOX28-utc_offset/24,"HH")&amp;search_regexp&amp;""""</f>
        <v>#REF!</v>
      </c>
      <c r="JPV28" s="234" t="e">
        <f>astrogrep_path&amp;" /e /r /s /spath="&amp;search_path&amp;" /stypes=""app*"&amp;JOR28&amp;"*"&amp;TEXT(JOY28-utc_offset/24,"YYYYMMDD")&amp;"*"" /stext="" "&amp;TEXT(JOY28-utc_offset/24,"HH")&amp;search_regexp&amp;""""</f>
        <v>#REF!</v>
      </c>
      <c r="JPW28" s="234" t="e">
        <f>astrogrep_path&amp;" /e /r /s /spath="&amp;search_path&amp;" /stypes=""app*"&amp;JOS28&amp;"*"&amp;TEXT(JOZ28-utc_offset/24,"YYYYMMDD")&amp;"*"" /stext="" "&amp;TEXT(JOZ28-utc_offset/24,"HH")&amp;search_regexp&amp;""""</f>
        <v>#REF!</v>
      </c>
      <c r="JPX28" s="234" t="e">
        <f>astrogrep_path&amp;" /e /r /s /spath="&amp;search_path&amp;" /stypes=""app*"&amp;JOT28&amp;"*"&amp;TEXT(JPA28-utc_offset/24,"YYYYMMDD")&amp;"*"" /stext="" "&amp;TEXT(JPA28-utc_offset/24,"HH")&amp;search_regexp&amp;""""</f>
        <v>#REF!</v>
      </c>
      <c r="JPY28" s="234" t="e">
        <f>astrogrep_path&amp;" /e /r /s /spath="&amp;search_path&amp;" /stypes=""app*"&amp;JOU28&amp;"*"&amp;TEXT(JPB28-utc_offset/24,"YYYYMMDD")&amp;"*"" /stext="" "&amp;TEXT(JPB28-utc_offset/24,"HH")&amp;search_regexp&amp;""""</f>
        <v>#VALUE!</v>
      </c>
      <c r="JPZ28" s="234" t="e">
        <f>astrogrep_path&amp;" /e /r /s /spath="&amp;search_path&amp;" /stypes=""app*"&amp;JOV28&amp;"*"&amp;TEXT(JPC28-utc_offset/24,"YYYYMMDD")&amp;"*"" /stext="" "&amp;TEXT(JPC28-utc_offset/24,"HH")&amp;search_regexp&amp;""""</f>
        <v>#VALUE!</v>
      </c>
      <c r="JQA28" s="234" t="e">
        <f>astrogrep_path&amp;" /e /r /s /spath="&amp;search_path&amp;" /stypes=""app*"&amp;JOW28&amp;"*"&amp;TEXT(JPD28-utc_offset/24,"YYYYMMDD")&amp;"*"" /stext="" "&amp;TEXT(JPD28-utc_offset/24,"HH")&amp;search_regexp&amp;""""</f>
        <v>#REF!</v>
      </c>
      <c r="JQB28" s="234" t="e">
        <f>astrogrep_path&amp;" /e /r /s /spath="&amp;search_path&amp;" /stypes=""app*"&amp;JOX28&amp;"*"&amp;TEXT(JPE28-utc_offset/24,"YYYYMMDD")&amp;"*"" /stext="" "&amp;TEXT(JPE28-utc_offset/24,"HH")&amp;search_regexp&amp;""""</f>
        <v>#REF!</v>
      </c>
      <c r="JQC28" s="234" t="e">
        <f>astrogrep_path&amp;" /e /r /s /spath="&amp;search_path&amp;" /stypes=""app*"&amp;JOY28&amp;"*"&amp;TEXT(JPF28-utc_offset/24,"YYYYMMDD")&amp;"*"" /stext="" "&amp;TEXT(JPF28-utc_offset/24,"HH")&amp;search_regexp&amp;""""</f>
        <v>#VALUE!</v>
      </c>
      <c r="JQD28" s="234" t="e">
        <f>astrogrep_path&amp;" /e /r /s /spath="&amp;search_path&amp;" /stypes=""app*"&amp;JOZ28&amp;"*"&amp;TEXT(JPG28-utc_offset/24,"YYYYMMDD")&amp;"*"" /stext="" "&amp;TEXT(JPG28-utc_offset/24,"HH")&amp;search_regexp&amp;""""</f>
        <v>#VALUE!</v>
      </c>
      <c r="JQE28" s="234" t="e">
        <f>astrogrep_path&amp;" /e /r /s /spath="&amp;search_path&amp;" /stypes=""app*"&amp;JPA28&amp;"*"&amp;TEXT(JPH28-utc_offset/24,"YYYYMMDD")&amp;"*"" /stext="" "&amp;TEXT(JPH28-utc_offset/24,"HH")&amp;search_regexp&amp;""""</f>
        <v>#VALUE!</v>
      </c>
      <c r="JQF28" s="234" t="e">
        <f>astrogrep_path&amp;" /e /r /s /spath="&amp;search_path&amp;" /stypes=""app*"&amp;JPB28&amp;"*"&amp;TEXT(JPI28-utc_offset/24,"YYYYMMDD")&amp;"*"" /stext="" "&amp;TEXT(JPI28-utc_offset/24,"HH")&amp;search_regexp&amp;""""</f>
        <v>#VALUE!</v>
      </c>
      <c r="JQG28" s="234" t="e">
        <f>astrogrep_path&amp;" /e /r /s /spath="&amp;search_path&amp;" /stypes=""app*"&amp;JPC28&amp;"*"&amp;TEXT(JPJ28-utc_offset/24,"YYYYMMDD")&amp;"*"" /stext="" "&amp;TEXT(JPJ28-utc_offset/24,"HH")&amp;search_regexp&amp;""""</f>
        <v>#VALUE!</v>
      </c>
      <c r="JQH28" s="234" t="e">
        <f>astrogrep_path&amp;" /e /r /s /spath="&amp;search_path&amp;" /stypes=""app*"&amp;JPD28&amp;"*"&amp;TEXT(JPK28-utc_offset/24,"YYYYMMDD")&amp;"*"" /stext="" "&amp;TEXT(JPK28-utc_offset/24,"HH")&amp;search_regexp&amp;""""</f>
        <v>#REF!</v>
      </c>
      <c r="JQI28" s="234" t="e">
        <f>astrogrep_path&amp;" /e /r /s /spath="&amp;search_path&amp;" /stypes=""app*"&amp;JPE28&amp;"*"&amp;TEXT(JPL28-utc_offset/24,"YYYYMMDD")&amp;"*"" /stext="" "&amp;TEXT(JPL28-utc_offset/24,"HH")&amp;search_regexp&amp;""""</f>
        <v>#REF!</v>
      </c>
      <c r="JQJ28" s="234" t="e">
        <f>astrogrep_path&amp;" /e /r /s /spath="&amp;search_path&amp;" /stypes=""app*"&amp;JPF28&amp;"*"&amp;TEXT(JPM28-utc_offset/24,"YYYYMMDD")&amp;"*"" /stext="" "&amp;TEXT(JPM28-utc_offset/24,"HH")&amp;search_regexp&amp;""""</f>
        <v>#REF!</v>
      </c>
      <c r="JQK28" s="234" t="e">
        <f>astrogrep_path&amp;" /e /r /s /spath="&amp;search_path&amp;" /stypes=""app*"&amp;JPG28&amp;"*"&amp;TEXT(JPN28-utc_offset/24,"YYYYMMDD")&amp;"*"" /stext="" "&amp;TEXT(JPN28-utc_offset/24,"HH")&amp;search_regexp&amp;""""</f>
        <v>#REF!</v>
      </c>
      <c r="JQL28" s="234" t="e">
        <f>astrogrep_path&amp;" /e /r /s /spath="&amp;search_path&amp;" /stypes=""app*"&amp;JPH28&amp;"*"&amp;TEXT(JPO28-utc_offset/24,"YYYYMMDD")&amp;"*"" /stext="" "&amp;TEXT(JPO28-utc_offset/24,"HH")&amp;search_regexp&amp;""""</f>
        <v>#REF!</v>
      </c>
      <c r="JQM28" s="234" t="e">
        <f>astrogrep_path&amp;" /e /r /s /spath="&amp;search_path&amp;" /stypes=""app*"&amp;JPI28&amp;"*"&amp;TEXT(JPP28-utc_offset/24,"YYYYMMDD")&amp;"*"" /stext="" "&amp;TEXT(JPP28-utc_offset/24,"HH")&amp;search_regexp&amp;""""</f>
        <v>#REF!</v>
      </c>
      <c r="JQN28" s="234" t="e">
        <f>astrogrep_path&amp;" /e /r /s /spath="&amp;search_path&amp;" /stypes=""app*"&amp;JPJ28&amp;"*"&amp;TEXT(JPQ28-utc_offset/24,"YYYYMMDD")&amp;"*"" /stext="" "&amp;TEXT(JPQ28-utc_offset/24,"HH")&amp;search_regexp&amp;""""</f>
        <v>#REF!</v>
      </c>
      <c r="JQO28" s="234" t="e">
        <f>astrogrep_path&amp;" /e /r /s /spath="&amp;search_path&amp;" /stypes=""app*"&amp;JPK28&amp;"*"&amp;TEXT(JPR28-utc_offset/24,"YYYYMMDD")&amp;"*"" /stext="" "&amp;TEXT(JPR28-utc_offset/24,"HH")&amp;search_regexp&amp;""""</f>
        <v>#REF!</v>
      </c>
      <c r="JQP28" s="234" t="e">
        <f>astrogrep_path&amp;" /e /r /s /spath="&amp;search_path&amp;" /stypes=""app*"&amp;JPL28&amp;"*"&amp;TEXT(JPS28-utc_offset/24,"YYYYMMDD")&amp;"*"" /stext="" "&amp;TEXT(JPS28-utc_offset/24,"HH")&amp;search_regexp&amp;""""</f>
        <v>#REF!</v>
      </c>
      <c r="JQQ28" s="234" t="e">
        <f>astrogrep_path&amp;" /e /r /s /spath="&amp;search_path&amp;" /stypes=""app*"&amp;JPM28&amp;"*"&amp;TEXT(JPT28-utc_offset/24,"YYYYMMDD")&amp;"*"" /stext="" "&amp;TEXT(JPT28-utc_offset/24,"HH")&amp;search_regexp&amp;""""</f>
        <v>#REF!</v>
      </c>
      <c r="JQR28" s="234" t="e">
        <f>astrogrep_path&amp;" /e /r /s /spath="&amp;search_path&amp;" /stypes=""app*"&amp;JPN28&amp;"*"&amp;TEXT(JPU28-utc_offset/24,"YYYYMMDD")&amp;"*"" /stext="" "&amp;TEXT(JPU28-utc_offset/24,"HH")&amp;search_regexp&amp;""""</f>
        <v>#REF!</v>
      </c>
      <c r="JQS28" s="234" t="e">
        <f>astrogrep_path&amp;" /e /r /s /spath="&amp;search_path&amp;" /stypes=""app*"&amp;JPO28&amp;"*"&amp;TEXT(JPV28-utc_offset/24,"YYYYMMDD")&amp;"*"" /stext="" "&amp;TEXT(JPV28-utc_offset/24,"HH")&amp;search_regexp&amp;""""</f>
        <v>#REF!</v>
      </c>
      <c r="JQT28" s="234" t="e">
        <f>astrogrep_path&amp;" /e /r /s /spath="&amp;search_path&amp;" /stypes=""app*"&amp;JPP28&amp;"*"&amp;TEXT(JPW28-utc_offset/24,"YYYYMMDD")&amp;"*"" /stext="" "&amp;TEXT(JPW28-utc_offset/24,"HH")&amp;search_regexp&amp;""""</f>
        <v>#REF!</v>
      </c>
      <c r="JQU28" s="234" t="e">
        <f>astrogrep_path&amp;" /e /r /s /spath="&amp;search_path&amp;" /stypes=""app*"&amp;JPQ28&amp;"*"&amp;TEXT(JPX28-utc_offset/24,"YYYYMMDD")&amp;"*"" /stext="" "&amp;TEXT(JPX28-utc_offset/24,"HH")&amp;search_regexp&amp;""""</f>
        <v>#REF!</v>
      </c>
      <c r="JQV28" s="234" t="e">
        <f>astrogrep_path&amp;" /e /r /s /spath="&amp;search_path&amp;" /stypes=""app*"&amp;JPR28&amp;"*"&amp;TEXT(JPY28-utc_offset/24,"YYYYMMDD")&amp;"*"" /stext="" "&amp;TEXT(JPY28-utc_offset/24,"HH")&amp;search_regexp&amp;""""</f>
        <v>#REF!</v>
      </c>
      <c r="JQW28" s="234" t="e">
        <f>astrogrep_path&amp;" /e /r /s /spath="&amp;search_path&amp;" /stypes=""app*"&amp;JPS28&amp;"*"&amp;TEXT(JPZ28-utc_offset/24,"YYYYMMDD")&amp;"*"" /stext="" "&amp;TEXT(JPZ28-utc_offset/24,"HH")&amp;search_regexp&amp;""""</f>
        <v>#REF!</v>
      </c>
      <c r="JQX28" s="234" t="e">
        <f>astrogrep_path&amp;" /e /r /s /spath="&amp;search_path&amp;" /stypes=""app*"&amp;JPT28&amp;"*"&amp;TEXT(JQA28-utc_offset/24,"YYYYMMDD")&amp;"*"" /stext="" "&amp;TEXT(JQA28-utc_offset/24,"HH")&amp;search_regexp&amp;""""</f>
        <v>#REF!</v>
      </c>
      <c r="JQY28" s="234" t="e">
        <f>astrogrep_path&amp;" /e /r /s /spath="&amp;search_path&amp;" /stypes=""app*"&amp;JPU28&amp;"*"&amp;TEXT(JQB28-utc_offset/24,"YYYYMMDD")&amp;"*"" /stext="" "&amp;TEXT(JQB28-utc_offset/24,"HH")&amp;search_regexp&amp;""""</f>
        <v>#REF!</v>
      </c>
      <c r="JQZ28" s="234" t="e">
        <f>astrogrep_path&amp;" /e /r /s /spath="&amp;search_path&amp;" /stypes=""app*"&amp;JPV28&amp;"*"&amp;TEXT(JQC28-utc_offset/24,"YYYYMMDD")&amp;"*"" /stext="" "&amp;TEXT(JQC28-utc_offset/24,"HH")&amp;search_regexp&amp;""""</f>
        <v>#REF!</v>
      </c>
      <c r="JRA28" s="234" t="e">
        <f>astrogrep_path&amp;" /e /r /s /spath="&amp;search_path&amp;" /stypes=""app*"&amp;JPW28&amp;"*"&amp;TEXT(JQD28-utc_offset/24,"YYYYMMDD")&amp;"*"" /stext="" "&amp;TEXT(JQD28-utc_offset/24,"HH")&amp;search_regexp&amp;""""</f>
        <v>#REF!</v>
      </c>
      <c r="JRB28" s="234" t="e">
        <f>astrogrep_path&amp;" /e /r /s /spath="&amp;search_path&amp;" /stypes=""app*"&amp;JPX28&amp;"*"&amp;TEXT(JQE28-utc_offset/24,"YYYYMMDD")&amp;"*"" /stext="" "&amp;TEXT(JQE28-utc_offset/24,"HH")&amp;search_regexp&amp;""""</f>
        <v>#REF!</v>
      </c>
      <c r="JRC28" s="234" t="e">
        <f>astrogrep_path&amp;" /e /r /s /spath="&amp;search_path&amp;" /stypes=""app*"&amp;JPY28&amp;"*"&amp;TEXT(JQF28-utc_offset/24,"YYYYMMDD")&amp;"*"" /stext="" "&amp;TEXT(JQF28-utc_offset/24,"HH")&amp;search_regexp&amp;""""</f>
        <v>#VALUE!</v>
      </c>
      <c r="JRD28" s="234" t="e">
        <f>astrogrep_path&amp;" /e /r /s /spath="&amp;search_path&amp;" /stypes=""app*"&amp;JPZ28&amp;"*"&amp;TEXT(JQG28-utc_offset/24,"YYYYMMDD")&amp;"*"" /stext="" "&amp;TEXT(JQG28-utc_offset/24,"HH")&amp;search_regexp&amp;""""</f>
        <v>#VALUE!</v>
      </c>
      <c r="JRE28" s="234" t="e">
        <f>astrogrep_path&amp;" /e /r /s /spath="&amp;search_path&amp;" /stypes=""app*"&amp;JQA28&amp;"*"&amp;TEXT(JQH28-utc_offset/24,"YYYYMMDD")&amp;"*"" /stext="" "&amp;TEXT(JQH28-utc_offset/24,"HH")&amp;search_regexp&amp;""""</f>
        <v>#REF!</v>
      </c>
      <c r="JRF28" s="234" t="e">
        <f>astrogrep_path&amp;" /e /r /s /spath="&amp;search_path&amp;" /stypes=""app*"&amp;JQB28&amp;"*"&amp;TEXT(JQI28-utc_offset/24,"YYYYMMDD")&amp;"*"" /stext="" "&amp;TEXT(JQI28-utc_offset/24,"HH")&amp;search_regexp&amp;""""</f>
        <v>#REF!</v>
      </c>
      <c r="JRG28" s="234" t="e">
        <f>astrogrep_path&amp;" /e /r /s /spath="&amp;search_path&amp;" /stypes=""app*"&amp;JQC28&amp;"*"&amp;TEXT(JQJ28-utc_offset/24,"YYYYMMDD")&amp;"*"" /stext="" "&amp;TEXT(JQJ28-utc_offset/24,"HH")&amp;search_regexp&amp;""""</f>
        <v>#VALUE!</v>
      </c>
      <c r="JRH28" s="234" t="e">
        <f>astrogrep_path&amp;" /e /r /s /spath="&amp;search_path&amp;" /stypes=""app*"&amp;JQD28&amp;"*"&amp;TEXT(JQK28-utc_offset/24,"YYYYMMDD")&amp;"*"" /stext="" "&amp;TEXT(JQK28-utc_offset/24,"HH")&amp;search_regexp&amp;""""</f>
        <v>#VALUE!</v>
      </c>
      <c r="JRI28" s="234" t="e">
        <f>astrogrep_path&amp;" /e /r /s /spath="&amp;search_path&amp;" /stypes=""app*"&amp;JQE28&amp;"*"&amp;TEXT(JQL28-utc_offset/24,"YYYYMMDD")&amp;"*"" /stext="" "&amp;TEXT(JQL28-utc_offset/24,"HH")&amp;search_regexp&amp;""""</f>
        <v>#VALUE!</v>
      </c>
      <c r="JRJ28" s="234" t="e">
        <f>astrogrep_path&amp;" /e /r /s /spath="&amp;search_path&amp;" /stypes=""app*"&amp;JQF28&amp;"*"&amp;TEXT(JQM28-utc_offset/24,"YYYYMMDD")&amp;"*"" /stext="" "&amp;TEXT(JQM28-utc_offset/24,"HH")&amp;search_regexp&amp;""""</f>
        <v>#VALUE!</v>
      </c>
      <c r="JRK28" s="234" t="e">
        <f>astrogrep_path&amp;" /e /r /s /spath="&amp;search_path&amp;" /stypes=""app*"&amp;JQG28&amp;"*"&amp;TEXT(JQN28-utc_offset/24,"YYYYMMDD")&amp;"*"" /stext="" "&amp;TEXT(JQN28-utc_offset/24,"HH")&amp;search_regexp&amp;""""</f>
        <v>#VALUE!</v>
      </c>
      <c r="JRL28" s="234" t="e">
        <f>astrogrep_path&amp;" /e /r /s /spath="&amp;search_path&amp;" /stypes=""app*"&amp;JQH28&amp;"*"&amp;TEXT(JQO28-utc_offset/24,"YYYYMMDD")&amp;"*"" /stext="" "&amp;TEXT(JQO28-utc_offset/24,"HH")&amp;search_regexp&amp;""""</f>
        <v>#REF!</v>
      </c>
      <c r="JRM28" s="234" t="e">
        <f>astrogrep_path&amp;" /e /r /s /spath="&amp;search_path&amp;" /stypes=""app*"&amp;JQI28&amp;"*"&amp;TEXT(JQP28-utc_offset/24,"YYYYMMDD")&amp;"*"" /stext="" "&amp;TEXT(JQP28-utc_offset/24,"HH")&amp;search_regexp&amp;""""</f>
        <v>#REF!</v>
      </c>
      <c r="JRN28" s="234" t="e">
        <f>astrogrep_path&amp;" /e /r /s /spath="&amp;search_path&amp;" /stypes=""app*"&amp;JQJ28&amp;"*"&amp;TEXT(JQQ28-utc_offset/24,"YYYYMMDD")&amp;"*"" /stext="" "&amp;TEXT(JQQ28-utc_offset/24,"HH")&amp;search_regexp&amp;""""</f>
        <v>#REF!</v>
      </c>
      <c r="JRO28" s="234" t="e">
        <f>astrogrep_path&amp;" /e /r /s /spath="&amp;search_path&amp;" /stypes=""app*"&amp;JQK28&amp;"*"&amp;TEXT(JQR28-utc_offset/24,"YYYYMMDD")&amp;"*"" /stext="" "&amp;TEXT(JQR28-utc_offset/24,"HH")&amp;search_regexp&amp;""""</f>
        <v>#REF!</v>
      </c>
      <c r="JRP28" s="234" t="e">
        <f>astrogrep_path&amp;" /e /r /s /spath="&amp;search_path&amp;" /stypes=""app*"&amp;JQL28&amp;"*"&amp;TEXT(JQS28-utc_offset/24,"YYYYMMDD")&amp;"*"" /stext="" "&amp;TEXT(JQS28-utc_offset/24,"HH")&amp;search_regexp&amp;""""</f>
        <v>#REF!</v>
      </c>
      <c r="JRQ28" s="234" t="e">
        <f>astrogrep_path&amp;" /e /r /s /spath="&amp;search_path&amp;" /stypes=""app*"&amp;JQM28&amp;"*"&amp;TEXT(JQT28-utc_offset/24,"YYYYMMDD")&amp;"*"" /stext="" "&amp;TEXT(JQT28-utc_offset/24,"HH")&amp;search_regexp&amp;""""</f>
        <v>#REF!</v>
      </c>
      <c r="JRR28" s="234" t="e">
        <f>astrogrep_path&amp;" /e /r /s /spath="&amp;search_path&amp;" /stypes=""app*"&amp;JQN28&amp;"*"&amp;TEXT(JQU28-utc_offset/24,"YYYYMMDD")&amp;"*"" /stext="" "&amp;TEXT(JQU28-utc_offset/24,"HH")&amp;search_regexp&amp;""""</f>
        <v>#REF!</v>
      </c>
      <c r="JRS28" s="234" t="e">
        <f>astrogrep_path&amp;" /e /r /s /spath="&amp;search_path&amp;" /stypes=""app*"&amp;JQO28&amp;"*"&amp;TEXT(JQV28-utc_offset/24,"YYYYMMDD")&amp;"*"" /stext="" "&amp;TEXT(JQV28-utc_offset/24,"HH")&amp;search_regexp&amp;""""</f>
        <v>#REF!</v>
      </c>
      <c r="JRT28" s="234" t="e">
        <f>astrogrep_path&amp;" /e /r /s /spath="&amp;search_path&amp;" /stypes=""app*"&amp;JQP28&amp;"*"&amp;TEXT(JQW28-utc_offset/24,"YYYYMMDD")&amp;"*"" /stext="" "&amp;TEXT(JQW28-utc_offset/24,"HH")&amp;search_regexp&amp;""""</f>
        <v>#REF!</v>
      </c>
      <c r="JRU28" s="234" t="e">
        <f>astrogrep_path&amp;" /e /r /s /spath="&amp;search_path&amp;" /stypes=""app*"&amp;JQQ28&amp;"*"&amp;TEXT(JQX28-utc_offset/24,"YYYYMMDD")&amp;"*"" /stext="" "&amp;TEXT(JQX28-utc_offset/24,"HH")&amp;search_regexp&amp;""""</f>
        <v>#REF!</v>
      </c>
      <c r="JRV28" s="234" t="e">
        <f>astrogrep_path&amp;" /e /r /s /spath="&amp;search_path&amp;" /stypes=""app*"&amp;JQR28&amp;"*"&amp;TEXT(JQY28-utc_offset/24,"YYYYMMDD")&amp;"*"" /stext="" "&amp;TEXT(JQY28-utc_offset/24,"HH")&amp;search_regexp&amp;""""</f>
        <v>#REF!</v>
      </c>
      <c r="JRW28" s="234" t="e">
        <f>astrogrep_path&amp;" /e /r /s /spath="&amp;search_path&amp;" /stypes=""app*"&amp;JQS28&amp;"*"&amp;TEXT(JQZ28-utc_offset/24,"YYYYMMDD")&amp;"*"" /stext="" "&amp;TEXT(JQZ28-utc_offset/24,"HH")&amp;search_regexp&amp;""""</f>
        <v>#REF!</v>
      </c>
      <c r="JRX28" s="234" t="e">
        <f>astrogrep_path&amp;" /e /r /s /spath="&amp;search_path&amp;" /stypes=""app*"&amp;JQT28&amp;"*"&amp;TEXT(JRA28-utc_offset/24,"YYYYMMDD")&amp;"*"" /stext="" "&amp;TEXT(JRA28-utc_offset/24,"HH")&amp;search_regexp&amp;""""</f>
        <v>#REF!</v>
      </c>
      <c r="JRY28" s="234" t="e">
        <f>astrogrep_path&amp;" /e /r /s /spath="&amp;search_path&amp;" /stypes=""app*"&amp;JQU28&amp;"*"&amp;TEXT(JRB28-utc_offset/24,"YYYYMMDD")&amp;"*"" /stext="" "&amp;TEXT(JRB28-utc_offset/24,"HH")&amp;search_regexp&amp;""""</f>
        <v>#REF!</v>
      </c>
      <c r="JRZ28" s="234" t="e">
        <f>astrogrep_path&amp;" /e /r /s /spath="&amp;search_path&amp;" /stypes=""app*"&amp;JQV28&amp;"*"&amp;TEXT(JRC28-utc_offset/24,"YYYYMMDD")&amp;"*"" /stext="" "&amp;TEXT(JRC28-utc_offset/24,"HH")&amp;search_regexp&amp;""""</f>
        <v>#REF!</v>
      </c>
      <c r="JSA28" s="234" t="e">
        <f>astrogrep_path&amp;" /e /r /s /spath="&amp;search_path&amp;" /stypes=""app*"&amp;JQW28&amp;"*"&amp;TEXT(JRD28-utc_offset/24,"YYYYMMDD")&amp;"*"" /stext="" "&amp;TEXT(JRD28-utc_offset/24,"HH")&amp;search_regexp&amp;""""</f>
        <v>#REF!</v>
      </c>
      <c r="JSB28" s="234" t="e">
        <f>astrogrep_path&amp;" /e /r /s /spath="&amp;search_path&amp;" /stypes=""app*"&amp;JQX28&amp;"*"&amp;TEXT(JRE28-utc_offset/24,"YYYYMMDD")&amp;"*"" /stext="" "&amp;TEXT(JRE28-utc_offset/24,"HH")&amp;search_regexp&amp;""""</f>
        <v>#REF!</v>
      </c>
      <c r="JSC28" s="234" t="e">
        <f>astrogrep_path&amp;" /e /r /s /spath="&amp;search_path&amp;" /stypes=""app*"&amp;JQY28&amp;"*"&amp;TEXT(JRF28-utc_offset/24,"YYYYMMDD")&amp;"*"" /stext="" "&amp;TEXT(JRF28-utc_offset/24,"HH")&amp;search_regexp&amp;""""</f>
        <v>#REF!</v>
      </c>
      <c r="JSD28" s="234" t="e">
        <f>astrogrep_path&amp;" /e /r /s /spath="&amp;search_path&amp;" /stypes=""app*"&amp;JQZ28&amp;"*"&amp;TEXT(JRG28-utc_offset/24,"YYYYMMDD")&amp;"*"" /stext="" "&amp;TEXT(JRG28-utc_offset/24,"HH")&amp;search_regexp&amp;""""</f>
        <v>#REF!</v>
      </c>
      <c r="JSE28" s="234" t="e">
        <f>astrogrep_path&amp;" /e /r /s /spath="&amp;search_path&amp;" /stypes=""app*"&amp;JRA28&amp;"*"&amp;TEXT(JRH28-utc_offset/24,"YYYYMMDD")&amp;"*"" /stext="" "&amp;TEXT(JRH28-utc_offset/24,"HH")&amp;search_regexp&amp;""""</f>
        <v>#REF!</v>
      </c>
      <c r="JSF28" s="234" t="e">
        <f>astrogrep_path&amp;" /e /r /s /spath="&amp;search_path&amp;" /stypes=""app*"&amp;JRB28&amp;"*"&amp;TEXT(JRI28-utc_offset/24,"YYYYMMDD")&amp;"*"" /stext="" "&amp;TEXT(JRI28-utc_offset/24,"HH")&amp;search_regexp&amp;""""</f>
        <v>#REF!</v>
      </c>
      <c r="JSG28" s="234" t="e">
        <f>astrogrep_path&amp;" /e /r /s /spath="&amp;search_path&amp;" /stypes=""app*"&amp;JRC28&amp;"*"&amp;TEXT(JRJ28-utc_offset/24,"YYYYMMDD")&amp;"*"" /stext="" "&amp;TEXT(JRJ28-utc_offset/24,"HH")&amp;search_regexp&amp;""""</f>
        <v>#VALUE!</v>
      </c>
      <c r="JSH28" s="234" t="e">
        <f>astrogrep_path&amp;" /e /r /s /spath="&amp;search_path&amp;" /stypes=""app*"&amp;JRD28&amp;"*"&amp;TEXT(JRK28-utc_offset/24,"YYYYMMDD")&amp;"*"" /stext="" "&amp;TEXT(JRK28-utc_offset/24,"HH")&amp;search_regexp&amp;""""</f>
        <v>#VALUE!</v>
      </c>
      <c r="JSI28" s="234" t="e">
        <f>astrogrep_path&amp;" /e /r /s /spath="&amp;search_path&amp;" /stypes=""app*"&amp;JRE28&amp;"*"&amp;TEXT(JRL28-utc_offset/24,"YYYYMMDD")&amp;"*"" /stext="" "&amp;TEXT(JRL28-utc_offset/24,"HH")&amp;search_regexp&amp;""""</f>
        <v>#REF!</v>
      </c>
      <c r="JSJ28" s="234" t="e">
        <f>astrogrep_path&amp;" /e /r /s /spath="&amp;search_path&amp;" /stypes=""app*"&amp;JRF28&amp;"*"&amp;TEXT(JRM28-utc_offset/24,"YYYYMMDD")&amp;"*"" /stext="" "&amp;TEXT(JRM28-utc_offset/24,"HH")&amp;search_regexp&amp;""""</f>
        <v>#REF!</v>
      </c>
      <c r="JSK28" s="234" t="e">
        <f>astrogrep_path&amp;" /e /r /s /spath="&amp;search_path&amp;" /stypes=""app*"&amp;JRG28&amp;"*"&amp;TEXT(JRN28-utc_offset/24,"YYYYMMDD")&amp;"*"" /stext="" "&amp;TEXT(JRN28-utc_offset/24,"HH")&amp;search_regexp&amp;""""</f>
        <v>#VALUE!</v>
      </c>
      <c r="JSL28" s="234" t="e">
        <f>astrogrep_path&amp;" /e /r /s /spath="&amp;search_path&amp;" /stypes=""app*"&amp;JRH28&amp;"*"&amp;TEXT(JRO28-utc_offset/24,"YYYYMMDD")&amp;"*"" /stext="" "&amp;TEXT(JRO28-utc_offset/24,"HH")&amp;search_regexp&amp;""""</f>
        <v>#VALUE!</v>
      </c>
      <c r="JSM28" s="234" t="e">
        <f>astrogrep_path&amp;" /e /r /s /spath="&amp;search_path&amp;" /stypes=""app*"&amp;JRI28&amp;"*"&amp;TEXT(JRP28-utc_offset/24,"YYYYMMDD")&amp;"*"" /stext="" "&amp;TEXT(JRP28-utc_offset/24,"HH")&amp;search_regexp&amp;""""</f>
        <v>#VALUE!</v>
      </c>
      <c r="JSN28" s="234" t="e">
        <f>astrogrep_path&amp;" /e /r /s /spath="&amp;search_path&amp;" /stypes=""app*"&amp;JRJ28&amp;"*"&amp;TEXT(JRQ28-utc_offset/24,"YYYYMMDD")&amp;"*"" /stext="" "&amp;TEXT(JRQ28-utc_offset/24,"HH")&amp;search_regexp&amp;""""</f>
        <v>#VALUE!</v>
      </c>
      <c r="JSO28" s="234" t="e">
        <f>astrogrep_path&amp;" /e /r /s /spath="&amp;search_path&amp;" /stypes=""app*"&amp;JRK28&amp;"*"&amp;TEXT(JRR28-utc_offset/24,"YYYYMMDD")&amp;"*"" /stext="" "&amp;TEXT(JRR28-utc_offset/24,"HH")&amp;search_regexp&amp;""""</f>
        <v>#VALUE!</v>
      </c>
      <c r="JSP28" s="234" t="e">
        <f>astrogrep_path&amp;" /e /r /s /spath="&amp;search_path&amp;" /stypes=""app*"&amp;JRL28&amp;"*"&amp;TEXT(JRS28-utc_offset/24,"YYYYMMDD")&amp;"*"" /stext="" "&amp;TEXT(JRS28-utc_offset/24,"HH")&amp;search_regexp&amp;""""</f>
        <v>#REF!</v>
      </c>
      <c r="JSQ28" s="234" t="e">
        <f>astrogrep_path&amp;" /e /r /s /spath="&amp;search_path&amp;" /stypes=""app*"&amp;JRM28&amp;"*"&amp;TEXT(JRT28-utc_offset/24,"YYYYMMDD")&amp;"*"" /stext="" "&amp;TEXT(JRT28-utc_offset/24,"HH")&amp;search_regexp&amp;""""</f>
        <v>#REF!</v>
      </c>
      <c r="JSR28" s="234" t="e">
        <f>astrogrep_path&amp;" /e /r /s /spath="&amp;search_path&amp;" /stypes=""app*"&amp;JRN28&amp;"*"&amp;TEXT(JRU28-utc_offset/24,"YYYYMMDD")&amp;"*"" /stext="" "&amp;TEXT(JRU28-utc_offset/24,"HH")&amp;search_regexp&amp;""""</f>
        <v>#REF!</v>
      </c>
      <c r="JSS28" s="234" t="e">
        <f>astrogrep_path&amp;" /e /r /s /spath="&amp;search_path&amp;" /stypes=""app*"&amp;JRO28&amp;"*"&amp;TEXT(JRV28-utc_offset/24,"YYYYMMDD")&amp;"*"" /stext="" "&amp;TEXT(JRV28-utc_offset/24,"HH")&amp;search_regexp&amp;""""</f>
        <v>#REF!</v>
      </c>
      <c r="JST28" s="234" t="e">
        <f>astrogrep_path&amp;" /e /r /s /spath="&amp;search_path&amp;" /stypes=""app*"&amp;JRP28&amp;"*"&amp;TEXT(JRW28-utc_offset/24,"YYYYMMDD")&amp;"*"" /stext="" "&amp;TEXT(JRW28-utc_offset/24,"HH")&amp;search_regexp&amp;""""</f>
        <v>#REF!</v>
      </c>
      <c r="JSU28" s="234" t="e">
        <f>astrogrep_path&amp;" /e /r /s /spath="&amp;search_path&amp;" /stypes=""app*"&amp;JRQ28&amp;"*"&amp;TEXT(JRX28-utc_offset/24,"YYYYMMDD")&amp;"*"" /stext="" "&amp;TEXT(JRX28-utc_offset/24,"HH")&amp;search_regexp&amp;""""</f>
        <v>#REF!</v>
      </c>
      <c r="JSV28" s="234" t="e">
        <f>astrogrep_path&amp;" /e /r /s /spath="&amp;search_path&amp;" /stypes=""app*"&amp;JRR28&amp;"*"&amp;TEXT(JRY28-utc_offset/24,"YYYYMMDD")&amp;"*"" /stext="" "&amp;TEXT(JRY28-utc_offset/24,"HH")&amp;search_regexp&amp;""""</f>
        <v>#REF!</v>
      </c>
      <c r="JSW28" s="234" t="e">
        <f>astrogrep_path&amp;" /e /r /s /spath="&amp;search_path&amp;" /stypes=""app*"&amp;JRS28&amp;"*"&amp;TEXT(JRZ28-utc_offset/24,"YYYYMMDD")&amp;"*"" /stext="" "&amp;TEXT(JRZ28-utc_offset/24,"HH")&amp;search_regexp&amp;""""</f>
        <v>#REF!</v>
      </c>
      <c r="JSX28" s="234" t="e">
        <f>astrogrep_path&amp;" /e /r /s /spath="&amp;search_path&amp;" /stypes=""app*"&amp;JRT28&amp;"*"&amp;TEXT(JSA28-utc_offset/24,"YYYYMMDD")&amp;"*"" /stext="" "&amp;TEXT(JSA28-utc_offset/24,"HH")&amp;search_regexp&amp;""""</f>
        <v>#REF!</v>
      </c>
      <c r="JSY28" s="234" t="e">
        <f>astrogrep_path&amp;" /e /r /s /spath="&amp;search_path&amp;" /stypes=""app*"&amp;JRU28&amp;"*"&amp;TEXT(JSB28-utc_offset/24,"YYYYMMDD")&amp;"*"" /stext="" "&amp;TEXT(JSB28-utc_offset/24,"HH")&amp;search_regexp&amp;""""</f>
        <v>#REF!</v>
      </c>
      <c r="JSZ28" s="234" t="e">
        <f>astrogrep_path&amp;" /e /r /s /spath="&amp;search_path&amp;" /stypes=""app*"&amp;JRV28&amp;"*"&amp;TEXT(JSC28-utc_offset/24,"YYYYMMDD")&amp;"*"" /stext="" "&amp;TEXT(JSC28-utc_offset/24,"HH")&amp;search_regexp&amp;""""</f>
        <v>#REF!</v>
      </c>
      <c r="JTA28" s="234" t="e">
        <f>astrogrep_path&amp;" /e /r /s /spath="&amp;search_path&amp;" /stypes=""app*"&amp;JRW28&amp;"*"&amp;TEXT(JSD28-utc_offset/24,"YYYYMMDD")&amp;"*"" /stext="" "&amp;TEXT(JSD28-utc_offset/24,"HH")&amp;search_regexp&amp;""""</f>
        <v>#REF!</v>
      </c>
      <c r="JTB28" s="234" t="e">
        <f>astrogrep_path&amp;" /e /r /s /spath="&amp;search_path&amp;" /stypes=""app*"&amp;JRX28&amp;"*"&amp;TEXT(JSE28-utc_offset/24,"YYYYMMDD")&amp;"*"" /stext="" "&amp;TEXT(JSE28-utc_offset/24,"HH")&amp;search_regexp&amp;""""</f>
        <v>#REF!</v>
      </c>
      <c r="JTC28" s="234" t="e">
        <f>astrogrep_path&amp;" /e /r /s /spath="&amp;search_path&amp;" /stypes=""app*"&amp;JRY28&amp;"*"&amp;TEXT(JSF28-utc_offset/24,"YYYYMMDD")&amp;"*"" /stext="" "&amp;TEXT(JSF28-utc_offset/24,"HH")&amp;search_regexp&amp;""""</f>
        <v>#REF!</v>
      </c>
      <c r="JTD28" s="234" t="e">
        <f>astrogrep_path&amp;" /e /r /s /spath="&amp;search_path&amp;" /stypes=""app*"&amp;JRZ28&amp;"*"&amp;TEXT(JSG28-utc_offset/24,"YYYYMMDD")&amp;"*"" /stext="" "&amp;TEXT(JSG28-utc_offset/24,"HH")&amp;search_regexp&amp;""""</f>
        <v>#REF!</v>
      </c>
      <c r="JTE28" s="234" t="e">
        <f>astrogrep_path&amp;" /e /r /s /spath="&amp;search_path&amp;" /stypes=""app*"&amp;JSA28&amp;"*"&amp;TEXT(JSH28-utc_offset/24,"YYYYMMDD")&amp;"*"" /stext="" "&amp;TEXT(JSH28-utc_offset/24,"HH")&amp;search_regexp&amp;""""</f>
        <v>#REF!</v>
      </c>
      <c r="JTF28" s="234" t="e">
        <f>astrogrep_path&amp;" /e /r /s /spath="&amp;search_path&amp;" /stypes=""app*"&amp;JSB28&amp;"*"&amp;TEXT(JSI28-utc_offset/24,"YYYYMMDD")&amp;"*"" /stext="" "&amp;TEXT(JSI28-utc_offset/24,"HH")&amp;search_regexp&amp;""""</f>
        <v>#REF!</v>
      </c>
      <c r="JTG28" s="234" t="e">
        <f>astrogrep_path&amp;" /e /r /s /spath="&amp;search_path&amp;" /stypes=""app*"&amp;JSC28&amp;"*"&amp;TEXT(JSJ28-utc_offset/24,"YYYYMMDD")&amp;"*"" /stext="" "&amp;TEXT(JSJ28-utc_offset/24,"HH")&amp;search_regexp&amp;""""</f>
        <v>#REF!</v>
      </c>
      <c r="JTH28" s="234" t="e">
        <f>astrogrep_path&amp;" /e /r /s /spath="&amp;search_path&amp;" /stypes=""app*"&amp;JSD28&amp;"*"&amp;TEXT(JSK28-utc_offset/24,"YYYYMMDD")&amp;"*"" /stext="" "&amp;TEXT(JSK28-utc_offset/24,"HH")&amp;search_regexp&amp;""""</f>
        <v>#REF!</v>
      </c>
      <c r="JTI28" s="234" t="e">
        <f>astrogrep_path&amp;" /e /r /s /spath="&amp;search_path&amp;" /stypes=""app*"&amp;JSE28&amp;"*"&amp;TEXT(JSL28-utc_offset/24,"YYYYMMDD")&amp;"*"" /stext="" "&amp;TEXT(JSL28-utc_offset/24,"HH")&amp;search_regexp&amp;""""</f>
        <v>#REF!</v>
      </c>
      <c r="JTJ28" s="234" t="e">
        <f>astrogrep_path&amp;" /e /r /s /spath="&amp;search_path&amp;" /stypes=""app*"&amp;JSF28&amp;"*"&amp;TEXT(JSM28-utc_offset/24,"YYYYMMDD")&amp;"*"" /stext="" "&amp;TEXT(JSM28-utc_offset/24,"HH")&amp;search_regexp&amp;""""</f>
        <v>#REF!</v>
      </c>
      <c r="JTK28" s="234" t="e">
        <f>astrogrep_path&amp;" /e /r /s /spath="&amp;search_path&amp;" /stypes=""app*"&amp;JSG28&amp;"*"&amp;TEXT(JSN28-utc_offset/24,"YYYYMMDD")&amp;"*"" /stext="" "&amp;TEXT(JSN28-utc_offset/24,"HH")&amp;search_regexp&amp;""""</f>
        <v>#VALUE!</v>
      </c>
      <c r="JTL28" s="234" t="e">
        <f>astrogrep_path&amp;" /e /r /s /spath="&amp;search_path&amp;" /stypes=""app*"&amp;JSH28&amp;"*"&amp;TEXT(JSO28-utc_offset/24,"YYYYMMDD")&amp;"*"" /stext="" "&amp;TEXT(JSO28-utc_offset/24,"HH")&amp;search_regexp&amp;""""</f>
        <v>#VALUE!</v>
      </c>
      <c r="JTM28" s="234" t="e">
        <f>astrogrep_path&amp;" /e /r /s /spath="&amp;search_path&amp;" /stypes=""app*"&amp;JSI28&amp;"*"&amp;TEXT(JSP28-utc_offset/24,"YYYYMMDD")&amp;"*"" /stext="" "&amp;TEXT(JSP28-utc_offset/24,"HH")&amp;search_regexp&amp;""""</f>
        <v>#REF!</v>
      </c>
      <c r="JTN28" s="234" t="e">
        <f>astrogrep_path&amp;" /e /r /s /spath="&amp;search_path&amp;" /stypes=""app*"&amp;JSJ28&amp;"*"&amp;TEXT(JSQ28-utc_offset/24,"YYYYMMDD")&amp;"*"" /stext="" "&amp;TEXT(JSQ28-utc_offset/24,"HH")&amp;search_regexp&amp;""""</f>
        <v>#REF!</v>
      </c>
      <c r="JTO28" s="234" t="e">
        <f>astrogrep_path&amp;" /e /r /s /spath="&amp;search_path&amp;" /stypes=""app*"&amp;JSK28&amp;"*"&amp;TEXT(JSR28-utc_offset/24,"YYYYMMDD")&amp;"*"" /stext="" "&amp;TEXT(JSR28-utc_offset/24,"HH")&amp;search_regexp&amp;""""</f>
        <v>#VALUE!</v>
      </c>
      <c r="JTP28" s="234" t="e">
        <f>astrogrep_path&amp;" /e /r /s /spath="&amp;search_path&amp;" /stypes=""app*"&amp;JSL28&amp;"*"&amp;TEXT(JSS28-utc_offset/24,"YYYYMMDD")&amp;"*"" /stext="" "&amp;TEXT(JSS28-utc_offset/24,"HH")&amp;search_regexp&amp;""""</f>
        <v>#VALUE!</v>
      </c>
      <c r="JTQ28" s="234" t="e">
        <f>astrogrep_path&amp;" /e /r /s /spath="&amp;search_path&amp;" /stypes=""app*"&amp;JSM28&amp;"*"&amp;TEXT(JST28-utc_offset/24,"YYYYMMDD")&amp;"*"" /stext="" "&amp;TEXT(JST28-utc_offset/24,"HH")&amp;search_regexp&amp;""""</f>
        <v>#VALUE!</v>
      </c>
      <c r="JTR28" s="234" t="e">
        <f>astrogrep_path&amp;" /e /r /s /spath="&amp;search_path&amp;" /stypes=""app*"&amp;JSN28&amp;"*"&amp;TEXT(JSU28-utc_offset/24,"YYYYMMDD")&amp;"*"" /stext="" "&amp;TEXT(JSU28-utc_offset/24,"HH")&amp;search_regexp&amp;""""</f>
        <v>#VALUE!</v>
      </c>
      <c r="JTS28" s="234" t="e">
        <f>astrogrep_path&amp;" /e /r /s /spath="&amp;search_path&amp;" /stypes=""app*"&amp;JSO28&amp;"*"&amp;TEXT(JSV28-utc_offset/24,"YYYYMMDD")&amp;"*"" /stext="" "&amp;TEXT(JSV28-utc_offset/24,"HH")&amp;search_regexp&amp;""""</f>
        <v>#VALUE!</v>
      </c>
      <c r="JTT28" s="234" t="e">
        <f>astrogrep_path&amp;" /e /r /s /spath="&amp;search_path&amp;" /stypes=""app*"&amp;JSP28&amp;"*"&amp;TEXT(JSW28-utc_offset/24,"YYYYMMDD")&amp;"*"" /stext="" "&amp;TEXT(JSW28-utc_offset/24,"HH")&amp;search_regexp&amp;""""</f>
        <v>#REF!</v>
      </c>
      <c r="JTU28" s="234" t="e">
        <f>astrogrep_path&amp;" /e /r /s /spath="&amp;search_path&amp;" /stypes=""app*"&amp;JSQ28&amp;"*"&amp;TEXT(JSX28-utc_offset/24,"YYYYMMDD")&amp;"*"" /stext="" "&amp;TEXT(JSX28-utc_offset/24,"HH")&amp;search_regexp&amp;""""</f>
        <v>#REF!</v>
      </c>
      <c r="JTV28" s="234" t="e">
        <f>astrogrep_path&amp;" /e /r /s /spath="&amp;search_path&amp;" /stypes=""app*"&amp;JSR28&amp;"*"&amp;TEXT(JSY28-utc_offset/24,"YYYYMMDD")&amp;"*"" /stext="" "&amp;TEXT(JSY28-utc_offset/24,"HH")&amp;search_regexp&amp;""""</f>
        <v>#REF!</v>
      </c>
      <c r="JTW28" s="234" t="e">
        <f>astrogrep_path&amp;" /e /r /s /spath="&amp;search_path&amp;" /stypes=""app*"&amp;JSS28&amp;"*"&amp;TEXT(JSZ28-utc_offset/24,"YYYYMMDD")&amp;"*"" /stext="" "&amp;TEXT(JSZ28-utc_offset/24,"HH")&amp;search_regexp&amp;""""</f>
        <v>#REF!</v>
      </c>
      <c r="JTX28" s="234" t="e">
        <f>astrogrep_path&amp;" /e /r /s /spath="&amp;search_path&amp;" /stypes=""app*"&amp;JST28&amp;"*"&amp;TEXT(JTA28-utc_offset/24,"YYYYMMDD")&amp;"*"" /stext="" "&amp;TEXT(JTA28-utc_offset/24,"HH")&amp;search_regexp&amp;""""</f>
        <v>#REF!</v>
      </c>
      <c r="JTY28" s="234" t="e">
        <f>astrogrep_path&amp;" /e /r /s /spath="&amp;search_path&amp;" /stypes=""app*"&amp;JSU28&amp;"*"&amp;TEXT(JTB28-utc_offset/24,"YYYYMMDD")&amp;"*"" /stext="" "&amp;TEXT(JTB28-utc_offset/24,"HH")&amp;search_regexp&amp;""""</f>
        <v>#REF!</v>
      </c>
      <c r="JTZ28" s="234" t="e">
        <f>astrogrep_path&amp;" /e /r /s /spath="&amp;search_path&amp;" /stypes=""app*"&amp;JSV28&amp;"*"&amp;TEXT(JTC28-utc_offset/24,"YYYYMMDD")&amp;"*"" /stext="" "&amp;TEXT(JTC28-utc_offset/24,"HH")&amp;search_regexp&amp;""""</f>
        <v>#REF!</v>
      </c>
      <c r="JUA28" s="234" t="e">
        <f>astrogrep_path&amp;" /e /r /s /spath="&amp;search_path&amp;" /stypes=""app*"&amp;JSW28&amp;"*"&amp;TEXT(JTD28-utc_offset/24,"YYYYMMDD")&amp;"*"" /stext="" "&amp;TEXT(JTD28-utc_offset/24,"HH")&amp;search_regexp&amp;""""</f>
        <v>#REF!</v>
      </c>
      <c r="JUB28" s="234" t="e">
        <f>astrogrep_path&amp;" /e /r /s /spath="&amp;search_path&amp;" /stypes=""app*"&amp;JSX28&amp;"*"&amp;TEXT(JTE28-utc_offset/24,"YYYYMMDD")&amp;"*"" /stext="" "&amp;TEXT(JTE28-utc_offset/24,"HH")&amp;search_regexp&amp;""""</f>
        <v>#REF!</v>
      </c>
      <c r="JUC28" s="234" t="e">
        <f>astrogrep_path&amp;" /e /r /s /spath="&amp;search_path&amp;" /stypes=""app*"&amp;JSY28&amp;"*"&amp;TEXT(JTF28-utc_offset/24,"YYYYMMDD")&amp;"*"" /stext="" "&amp;TEXT(JTF28-utc_offset/24,"HH")&amp;search_regexp&amp;""""</f>
        <v>#REF!</v>
      </c>
      <c r="JUD28" s="234" t="e">
        <f>astrogrep_path&amp;" /e /r /s /spath="&amp;search_path&amp;" /stypes=""app*"&amp;JSZ28&amp;"*"&amp;TEXT(JTG28-utc_offset/24,"YYYYMMDD")&amp;"*"" /stext="" "&amp;TEXT(JTG28-utc_offset/24,"HH")&amp;search_regexp&amp;""""</f>
        <v>#REF!</v>
      </c>
      <c r="JUE28" s="234" t="e">
        <f>astrogrep_path&amp;" /e /r /s /spath="&amp;search_path&amp;" /stypes=""app*"&amp;JTA28&amp;"*"&amp;TEXT(JTH28-utc_offset/24,"YYYYMMDD")&amp;"*"" /stext="" "&amp;TEXT(JTH28-utc_offset/24,"HH")&amp;search_regexp&amp;""""</f>
        <v>#REF!</v>
      </c>
      <c r="JUF28" s="234" t="e">
        <f>astrogrep_path&amp;" /e /r /s /spath="&amp;search_path&amp;" /stypes=""app*"&amp;JTB28&amp;"*"&amp;TEXT(JTI28-utc_offset/24,"YYYYMMDD")&amp;"*"" /stext="" "&amp;TEXT(JTI28-utc_offset/24,"HH")&amp;search_regexp&amp;""""</f>
        <v>#REF!</v>
      </c>
      <c r="JUG28" s="234" t="e">
        <f>astrogrep_path&amp;" /e /r /s /spath="&amp;search_path&amp;" /stypes=""app*"&amp;JTC28&amp;"*"&amp;TEXT(JTJ28-utc_offset/24,"YYYYMMDD")&amp;"*"" /stext="" "&amp;TEXT(JTJ28-utc_offset/24,"HH")&amp;search_regexp&amp;""""</f>
        <v>#REF!</v>
      </c>
      <c r="JUH28" s="234" t="e">
        <f>astrogrep_path&amp;" /e /r /s /spath="&amp;search_path&amp;" /stypes=""app*"&amp;JTD28&amp;"*"&amp;TEXT(JTK28-utc_offset/24,"YYYYMMDD")&amp;"*"" /stext="" "&amp;TEXT(JTK28-utc_offset/24,"HH")&amp;search_regexp&amp;""""</f>
        <v>#REF!</v>
      </c>
      <c r="JUI28" s="234" t="e">
        <f>astrogrep_path&amp;" /e /r /s /spath="&amp;search_path&amp;" /stypes=""app*"&amp;JTE28&amp;"*"&amp;TEXT(JTL28-utc_offset/24,"YYYYMMDD")&amp;"*"" /stext="" "&amp;TEXT(JTL28-utc_offset/24,"HH")&amp;search_regexp&amp;""""</f>
        <v>#REF!</v>
      </c>
      <c r="JUJ28" s="234" t="e">
        <f>astrogrep_path&amp;" /e /r /s /spath="&amp;search_path&amp;" /stypes=""app*"&amp;JTF28&amp;"*"&amp;TEXT(JTM28-utc_offset/24,"YYYYMMDD")&amp;"*"" /stext="" "&amp;TEXT(JTM28-utc_offset/24,"HH")&amp;search_regexp&amp;""""</f>
        <v>#REF!</v>
      </c>
      <c r="JUK28" s="234" t="e">
        <f>astrogrep_path&amp;" /e /r /s /spath="&amp;search_path&amp;" /stypes=""app*"&amp;JTG28&amp;"*"&amp;TEXT(JTN28-utc_offset/24,"YYYYMMDD")&amp;"*"" /stext="" "&amp;TEXT(JTN28-utc_offset/24,"HH")&amp;search_regexp&amp;""""</f>
        <v>#REF!</v>
      </c>
      <c r="JUL28" s="234" t="e">
        <f>astrogrep_path&amp;" /e /r /s /spath="&amp;search_path&amp;" /stypes=""app*"&amp;JTH28&amp;"*"&amp;TEXT(JTO28-utc_offset/24,"YYYYMMDD")&amp;"*"" /stext="" "&amp;TEXT(JTO28-utc_offset/24,"HH")&amp;search_regexp&amp;""""</f>
        <v>#REF!</v>
      </c>
      <c r="JUM28" s="234" t="e">
        <f>astrogrep_path&amp;" /e /r /s /spath="&amp;search_path&amp;" /stypes=""app*"&amp;JTI28&amp;"*"&amp;TEXT(JTP28-utc_offset/24,"YYYYMMDD")&amp;"*"" /stext="" "&amp;TEXT(JTP28-utc_offset/24,"HH")&amp;search_regexp&amp;""""</f>
        <v>#REF!</v>
      </c>
      <c r="JUN28" s="234" t="e">
        <f>astrogrep_path&amp;" /e /r /s /spath="&amp;search_path&amp;" /stypes=""app*"&amp;JTJ28&amp;"*"&amp;TEXT(JTQ28-utc_offset/24,"YYYYMMDD")&amp;"*"" /stext="" "&amp;TEXT(JTQ28-utc_offset/24,"HH")&amp;search_regexp&amp;""""</f>
        <v>#REF!</v>
      </c>
      <c r="JUO28" s="234" t="e">
        <f>astrogrep_path&amp;" /e /r /s /spath="&amp;search_path&amp;" /stypes=""app*"&amp;JTK28&amp;"*"&amp;TEXT(JTR28-utc_offset/24,"YYYYMMDD")&amp;"*"" /stext="" "&amp;TEXT(JTR28-utc_offset/24,"HH")&amp;search_regexp&amp;""""</f>
        <v>#VALUE!</v>
      </c>
      <c r="JUP28" s="234" t="e">
        <f>astrogrep_path&amp;" /e /r /s /spath="&amp;search_path&amp;" /stypes=""app*"&amp;JTL28&amp;"*"&amp;TEXT(JTS28-utc_offset/24,"YYYYMMDD")&amp;"*"" /stext="" "&amp;TEXT(JTS28-utc_offset/24,"HH")&amp;search_regexp&amp;""""</f>
        <v>#VALUE!</v>
      </c>
      <c r="JUQ28" s="234" t="e">
        <f>astrogrep_path&amp;" /e /r /s /spath="&amp;search_path&amp;" /stypes=""app*"&amp;JTM28&amp;"*"&amp;TEXT(JTT28-utc_offset/24,"YYYYMMDD")&amp;"*"" /stext="" "&amp;TEXT(JTT28-utc_offset/24,"HH")&amp;search_regexp&amp;""""</f>
        <v>#REF!</v>
      </c>
      <c r="JUR28" s="234" t="e">
        <f>astrogrep_path&amp;" /e /r /s /spath="&amp;search_path&amp;" /stypes=""app*"&amp;JTN28&amp;"*"&amp;TEXT(JTU28-utc_offset/24,"YYYYMMDD")&amp;"*"" /stext="" "&amp;TEXT(JTU28-utc_offset/24,"HH")&amp;search_regexp&amp;""""</f>
        <v>#REF!</v>
      </c>
      <c r="JUS28" s="234" t="e">
        <f>astrogrep_path&amp;" /e /r /s /spath="&amp;search_path&amp;" /stypes=""app*"&amp;JTO28&amp;"*"&amp;TEXT(JTV28-utc_offset/24,"YYYYMMDD")&amp;"*"" /stext="" "&amp;TEXT(JTV28-utc_offset/24,"HH")&amp;search_regexp&amp;""""</f>
        <v>#VALUE!</v>
      </c>
      <c r="JUT28" s="234" t="e">
        <f>astrogrep_path&amp;" /e /r /s /spath="&amp;search_path&amp;" /stypes=""app*"&amp;JTP28&amp;"*"&amp;TEXT(JTW28-utc_offset/24,"YYYYMMDD")&amp;"*"" /stext="" "&amp;TEXT(JTW28-utc_offset/24,"HH")&amp;search_regexp&amp;""""</f>
        <v>#VALUE!</v>
      </c>
      <c r="JUU28" s="234" t="e">
        <f>astrogrep_path&amp;" /e /r /s /spath="&amp;search_path&amp;" /stypes=""app*"&amp;JTQ28&amp;"*"&amp;TEXT(JTX28-utc_offset/24,"YYYYMMDD")&amp;"*"" /stext="" "&amp;TEXT(JTX28-utc_offset/24,"HH")&amp;search_regexp&amp;""""</f>
        <v>#VALUE!</v>
      </c>
      <c r="JUV28" s="234" t="e">
        <f>astrogrep_path&amp;" /e /r /s /spath="&amp;search_path&amp;" /stypes=""app*"&amp;JTR28&amp;"*"&amp;TEXT(JTY28-utc_offset/24,"YYYYMMDD")&amp;"*"" /stext="" "&amp;TEXT(JTY28-utc_offset/24,"HH")&amp;search_regexp&amp;""""</f>
        <v>#VALUE!</v>
      </c>
      <c r="JUW28" s="234" t="e">
        <f>astrogrep_path&amp;" /e /r /s /spath="&amp;search_path&amp;" /stypes=""app*"&amp;JTS28&amp;"*"&amp;TEXT(JTZ28-utc_offset/24,"YYYYMMDD")&amp;"*"" /stext="" "&amp;TEXT(JTZ28-utc_offset/24,"HH")&amp;search_regexp&amp;""""</f>
        <v>#VALUE!</v>
      </c>
      <c r="JUX28" s="234" t="e">
        <f>astrogrep_path&amp;" /e /r /s /spath="&amp;search_path&amp;" /stypes=""app*"&amp;JTT28&amp;"*"&amp;TEXT(JUA28-utc_offset/24,"YYYYMMDD")&amp;"*"" /stext="" "&amp;TEXT(JUA28-utc_offset/24,"HH")&amp;search_regexp&amp;""""</f>
        <v>#REF!</v>
      </c>
      <c r="JUY28" s="234" t="e">
        <f>astrogrep_path&amp;" /e /r /s /spath="&amp;search_path&amp;" /stypes=""app*"&amp;JTU28&amp;"*"&amp;TEXT(JUB28-utc_offset/24,"YYYYMMDD")&amp;"*"" /stext="" "&amp;TEXT(JUB28-utc_offset/24,"HH")&amp;search_regexp&amp;""""</f>
        <v>#REF!</v>
      </c>
      <c r="JUZ28" s="234" t="e">
        <f>astrogrep_path&amp;" /e /r /s /spath="&amp;search_path&amp;" /stypes=""app*"&amp;JTV28&amp;"*"&amp;TEXT(JUC28-utc_offset/24,"YYYYMMDD")&amp;"*"" /stext="" "&amp;TEXT(JUC28-utc_offset/24,"HH")&amp;search_regexp&amp;""""</f>
        <v>#REF!</v>
      </c>
      <c r="JVA28" s="234" t="e">
        <f>astrogrep_path&amp;" /e /r /s /spath="&amp;search_path&amp;" /stypes=""app*"&amp;JTW28&amp;"*"&amp;TEXT(JUD28-utc_offset/24,"YYYYMMDD")&amp;"*"" /stext="" "&amp;TEXT(JUD28-utc_offset/24,"HH")&amp;search_regexp&amp;""""</f>
        <v>#REF!</v>
      </c>
      <c r="JVB28" s="234" t="e">
        <f>astrogrep_path&amp;" /e /r /s /spath="&amp;search_path&amp;" /stypes=""app*"&amp;JTX28&amp;"*"&amp;TEXT(JUE28-utc_offset/24,"YYYYMMDD")&amp;"*"" /stext="" "&amp;TEXT(JUE28-utc_offset/24,"HH")&amp;search_regexp&amp;""""</f>
        <v>#REF!</v>
      </c>
      <c r="JVC28" s="234" t="e">
        <f>astrogrep_path&amp;" /e /r /s /spath="&amp;search_path&amp;" /stypes=""app*"&amp;JTY28&amp;"*"&amp;TEXT(JUF28-utc_offset/24,"YYYYMMDD")&amp;"*"" /stext="" "&amp;TEXT(JUF28-utc_offset/24,"HH")&amp;search_regexp&amp;""""</f>
        <v>#REF!</v>
      </c>
      <c r="JVD28" s="234" t="e">
        <f>astrogrep_path&amp;" /e /r /s /spath="&amp;search_path&amp;" /stypes=""app*"&amp;JTZ28&amp;"*"&amp;TEXT(JUG28-utc_offset/24,"YYYYMMDD")&amp;"*"" /stext="" "&amp;TEXT(JUG28-utc_offset/24,"HH")&amp;search_regexp&amp;""""</f>
        <v>#REF!</v>
      </c>
      <c r="JVE28" s="234" t="e">
        <f>astrogrep_path&amp;" /e /r /s /spath="&amp;search_path&amp;" /stypes=""app*"&amp;JUA28&amp;"*"&amp;TEXT(JUH28-utc_offset/24,"YYYYMMDD")&amp;"*"" /stext="" "&amp;TEXT(JUH28-utc_offset/24,"HH")&amp;search_regexp&amp;""""</f>
        <v>#REF!</v>
      </c>
      <c r="JVF28" s="234" t="e">
        <f>astrogrep_path&amp;" /e /r /s /spath="&amp;search_path&amp;" /stypes=""app*"&amp;JUB28&amp;"*"&amp;TEXT(JUI28-utc_offset/24,"YYYYMMDD")&amp;"*"" /stext="" "&amp;TEXT(JUI28-utc_offset/24,"HH")&amp;search_regexp&amp;""""</f>
        <v>#REF!</v>
      </c>
      <c r="JVG28" s="234" t="e">
        <f>astrogrep_path&amp;" /e /r /s /spath="&amp;search_path&amp;" /stypes=""app*"&amp;JUC28&amp;"*"&amp;TEXT(JUJ28-utc_offset/24,"YYYYMMDD")&amp;"*"" /stext="" "&amp;TEXT(JUJ28-utc_offset/24,"HH")&amp;search_regexp&amp;""""</f>
        <v>#REF!</v>
      </c>
      <c r="JVH28" s="234" t="e">
        <f>astrogrep_path&amp;" /e /r /s /spath="&amp;search_path&amp;" /stypes=""app*"&amp;JUD28&amp;"*"&amp;TEXT(JUK28-utc_offset/24,"YYYYMMDD")&amp;"*"" /stext="" "&amp;TEXT(JUK28-utc_offset/24,"HH")&amp;search_regexp&amp;""""</f>
        <v>#REF!</v>
      </c>
      <c r="JVI28" s="234" t="e">
        <f>astrogrep_path&amp;" /e /r /s /spath="&amp;search_path&amp;" /stypes=""app*"&amp;JUE28&amp;"*"&amp;TEXT(JUL28-utc_offset/24,"YYYYMMDD")&amp;"*"" /stext="" "&amp;TEXT(JUL28-utc_offset/24,"HH")&amp;search_regexp&amp;""""</f>
        <v>#REF!</v>
      </c>
      <c r="JVJ28" s="234" t="e">
        <f>astrogrep_path&amp;" /e /r /s /spath="&amp;search_path&amp;" /stypes=""app*"&amp;JUF28&amp;"*"&amp;TEXT(JUM28-utc_offset/24,"YYYYMMDD")&amp;"*"" /stext="" "&amp;TEXT(JUM28-utc_offset/24,"HH")&amp;search_regexp&amp;""""</f>
        <v>#REF!</v>
      </c>
      <c r="JVK28" s="234" t="e">
        <f>astrogrep_path&amp;" /e /r /s /spath="&amp;search_path&amp;" /stypes=""app*"&amp;JUG28&amp;"*"&amp;TEXT(JUN28-utc_offset/24,"YYYYMMDD")&amp;"*"" /stext="" "&amp;TEXT(JUN28-utc_offset/24,"HH")&amp;search_regexp&amp;""""</f>
        <v>#REF!</v>
      </c>
      <c r="JVL28" s="234" t="e">
        <f>astrogrep_path&amp;" /e /r /s /spath="&amp;search_path&amp;" /stypes=""app*"&amp;JUH28&amp;"*"&amp;TEXT(JUO28-utc_offset/24,"YYYYMMDD")&amp;"*"" /stext="" "&amp;TEXT(JUO28-utc_offset/24,"HH")&amp;search_regexp&amp;""""</f>
        <v>#REF!</v>
      </c>
      <c r="JVM28" s="234" t="e">
        <f>astrogrep_path&amp;" /e /r /s /spath="&amp;search_path&amp;" /stypes=""app*"&amp;JUI28&amp;"*"&amp;TEXT(JUP28-utc_offset/24,"YYYYMMDD")&amp;"*"" /stext="" "&amp;TEXT(JUP28-utc_offset/24,"HH")&amp;search_regexp&amp;""""</f>
        <v>#REF!</v>
      </c>
      <c r="JVN28" s="234" t="e">
        <f>astrogrep_path&amp;" /e /r /s /spath="&amp;search_path&amp;" /stypes=""app*"&amp;JUJ28&amp;"*"&amp;TEXT(JUQ28-utc_offset/24,"YYYYMMDD")&amp;"*"" /stext="" "&amp;TEXT(JUQ28-utc_offset/24,"HH")&amp;search_regexp&amp;""""</f>
        <v>#REF!</v>
      </c>
      <c r="JVO28" s="234" t="e">
        <f>astrogrep_path&amp;" /e /r /s /spath="&amp;search_path&amp;" /stypes=""app*"&amp;JUK28&amp;"*"&amp;TEXT(JUR28-utc_offset/24,"YYYYMMDD")&amp;"*"" /stext="" "&amp;TEXT(JUR28-utc_offset/24,"HH")&amp;search_regexp&amp;""""</f>
        <v>#REF!</v>
      </c>
      <c r="JVP28" s="234" t="e">
        <f>astrogrep_path&amp;" /e /r /s /spath="&amp;search_path&amp;" /stypes=""app*"&amp;JUL28&amp;"*"&amp;TEXT(JUS28-utc_offset/24,"YYYYMMDD")&amp;"*"" /stext="" "&amp;TEXT(JUS28-utc_offset/24,"HH")&amp;search_regexp&amp;""""</f>
        <v>#REF!</v>
      </c>
      <c r="JVQ28" s="234" t="e">
        <f>astrogrep_path&amp;" /e /r /s /spath="&amp;search_path&amp;" /stypes=""app*"&amp;JUM28&amp;"*"&amp;TEXT(JUT28-utc_offset/24,"YYYYMMDD")&amp;"*"" /stext="" "&amp;TEXT(JUT28-utc_offset/24,"HH")&amp;search_regexp&amp;""""</f>
        <v>#REF!</v>
      </c>
      <c r="JVR28" s="234" t="e">
        <f>astrogrep_path&amp;" /e /r /s /spath="&amp;search_path&amp;" /stypes=""app*"&amp;JUN28&amp;"*"&amp;TEXT(JUU28-utc_offset/24,"YYYYMMDD")&amp;"*"" /stext="" "&amp;TEXT(JUU28-utc_offset/24,"HH")&amp;search_regexp&amp;""""</f>
        <v>#REF!</v>
      </c>
      <c r="JVS28" s="234" t="e">
        <f>astrogrep_path&amp;" /e /r /s /spath="&amp;search_path&amp;" /stypes=""app*"&amp;JUO28&amp;"*"&amp;TEXT(JUV28-utc_offset/24,"YYYYMMDD")&amp;"*"" /stext="" "&amp;TEXT(JUV28-utc_offset/24,"HH")&amp;search_regexp&amp;""""</f>
        <v>#VALUE!</v>
      </c>
      <c r="JVT28" s="234" t="e">
        <f>astrogrep_path&amp;" /e /r /s /spath="&amp;search_path&amp;" /stypes=""app*"&amp;JUP28&amp;"*"&amp;TEXT(JUW28-utc_offset/24,"YYYYMMDD")&amp;"*"" /stext="" "&amp;TEXT(JUW28-utc_offset/24,"HH")&amp;search_regexp&amp;""""</f>
        <v>#VALUE!</v>
      </c>
      <c r="JVU28" s="234" t="e">
        <f>astrogrep_path&amp;" /e /r /s /spath="&amp;search_path&amp;" /stypes=""app*"&amp;JUQ28&amp;"*"&amp;TEXT(JUX28-utc_offset/24,"YYYYMMDD")&amp;"*"" /stext="" "&amp;TEXT(JUX28-utc_offset/24,"HH")&amp;search_regexp&amp;""""</f>
        <v>#REF!</v>
      </c>
      <c r="JVV28" s="234" t="e">
        <f>astrogrep_path&amp;" /e /r /s /spath="&amp;search_path&amp;" /stypes=""app*"&amp;JUR28&amp;"*"&amp;TEXT(JUY28-utc_offset/24,"YYYYMMDD")&amp;"*"" /stext="" "&amp;TEXT(JUY28-utc_offset/24,"HH")&amp;search_regexp&amp;""""</f>
        <v>#REF!</v>
      </c>
      <c r="JVW28" s="234" t="e">
        <f>astrogrep_path&amp;" /e /r /s /spath="&amp;search_path&amp;" /stypes=""app*"&amp;JUS28&amp;"*"&amp;TEXT(JUZ28-utc_offset/24,"YYYYMMDD")&amp;"*"" /stext="" "&amp;TEXT(JUZ28-utc_offset/24,"HH")&amp;search_regexp&amp;""""</f>
        <v>#VALUE!</v>
      </c>
      <c r="JVX28" s="234" t="e">
        <f>astrogrep_path&amp;" /e /r /s /spath="&amp;search_path&amp;" /stypes=""app*"&amp;JUT28&amp;"*"&amp;TEXT(JVA28-utc_offset/24,"YYYYMMDD")&amp;"*"" /stext="" "&amp;TEXT(JVA28-utc_offset/24,"HH")&amp;search_regexp&amp;""""</f>
        <v>#VALUE!</v>
      </c>
      <c r="JVY28" s="234" t="e">
        <f>astrogrep_path&amp;" /e /r /s /spath="&amp;search_path&amp;" /stypes=""app*"&amp;JUU28&amp;"*"&amp;TEXT(JVB28-utc_offset/24,"YYYYMMDD")&amp;"*"" /stext="" "&amp;TEXT(JVB28-utc_offset/24,"HH")&amp;search_regexp&amp;""""</f>
        <v>#VALUE!</v>
      </c>
      <c r="JVZ28" s="234" t="e">
        <f>astrogrep_path&amp;" /e /r /s /spath="&amp;search_path&amp;" /stypes=""app*"&amp;JUV28&amp;"*"&amp;TEXT(JVC28-utc_offset/24,"YYYYMMDD")&amp;"*"" /stext="" "&amp;TEXT(JVC28-utc_offset/24,"HH")&amp;search_regexp&amp;""""</f>
        <v>#VALUE!</v>
      </c>
      <c r="JWA28" s="234" t="e">
        <f>astrogrep_path&amp;" /e /r /s /spath="&amp;search_path&amp;" /stypes=""app*"&amp;JUW28&amp;"*"&amp;TEXT(JVD28-utc_offset/24,"YYYYMMDD")&amp;"*"" /stext="" "&amp;TEXT(JVD28-utc_offset/24,"HH")&amp;search_regexp&amp;""""</f>
        <v>#VALUE!</v>
      </c>
      <c r="JWB28" s="234" t="e">
        <f>astrogrep_path&amp;" /e /r /s /spath="&amp;search_path&amp;" /stypes=""app*"&amp;JUX28&amp;"*"&amp;TEXT(JVE28-utc_offset/24,"YYYYMMDD")&amp;"*"" /stext="" "&amp;TEXT(JVE28-utc_offset/24,"HH")&amp;search_regexp&amp;""""</f>
        <v>#REF!</v>
      </c>
      <c r="JWC28" s="234" t="e">
        <f>astrogrep_path&amp;" /e /r /s /spath="&amp;search_path&amp;" /stypes=""app*"&amp;JUY28&amp;"*"&amp;TEXT(JVF28-utc_offset/24,"YYYYMMDD")&amp;"*"" /stext="" "&amp;TEXT(JVF28-utc_offset/24,"HH")&amp;search_regexp&amp;""""</f>
        <v>#REF!</v>
      </c>
      <c r="JWD28" s="234" t="e">
        <f>astrogrep_path&amp;" /e /r /s /spath="&amp;search_path&amp;" /stypes=""app*"&amp;JUZ28&amp;"*"&amp;TEXT(JVG28-utc_offset/24,"YYYYMMDD")&amp;"*"" /stext="" "&amp;TEXT(JVG28-utc_offset/24,"HH")&amp;search_regexp&amp;""""</f>
        <v>#REF!</v>
      </c>
      <c r="JWE28" s="234" t="e">
        <f>astrogrep_path&amp;" /e /r /s /spath="&amp;search_path&amp;" /stypes=""app*"&amp;JVA28&amp;"*"&amp;TEXT(JVH28-utc_offset/24,"YYYYMMDD")&amp;"*"" /stext="" "&amp;TEXT(JVH28-utc_offset/24,"HH")&amp;search_regexp&amp;""""</f>
        <v>#REF!</v>
      </c>
      <c r="JWF28" s="234" t="e">
        <f>astrogrep_path&amp;" /e /r /s /spath="&amp;search_path&amp;" /stypes=""app*"&amp;JVB28&amp;"*"&amp;TEXT(JVI28-utc_offset/24,"YYYYMMDD")&amp;"*"" /stext="" "&amp;TEXT(JVI28-utc_offset/24,"HH")&amp;search_regexp&amp;""""</f>
        <v>#REF!</v>
      </c>
      <c r="JWG28" s="234" t="e">
        <f>astrogrep_path&amp;" /e /r /s /spath="&amp;search_path&amp;" /stypes=""app*"&amp;JVC28&amp;"*"&amp;TEXT(JVJ28-utc_offset/24,"YYYYMMDD")&amp;"*"" /stext="" "&amp;TEXT(JVJ28-utc_offset/24,"HH")&amp;search_regexp&amp;""""</f>
        <v>#REF!</v>
      </c>
      <c r="JWH28" s="234" t="e">
        <f>astrogrep_path&amp;" /e /r /s /spath="&amp;search_path&amp;" /stypes=""app*"&amp;JVD28&amp;"*"&amp;TEXT(JVK28-utc_offset/24,"YYYYMMDD")&amp;"*"" /stext="" "&amp;TEXT(JVK28-utc_offset/24,"HH")&amp;search_regexp&amp;""""</f>
        <v>#REF!</v>
      </c>
      <c r="JWI28" s="234" t="e">
        <f>astrogrep_path&amp;" /e /r /s /spath="&amp;search_path&amp;" /stypes=""app*"&amp;JVE28&amp;"*"&amp;TEXT(JVL28-utc_offset/24,"YYYYMMDD")&amp;"*"" /stext="" "&amp;TEXT(JVL28-utc_offset/24,"HH")&amp;search_regexp&amp;""""</f>
        <v>#REF!</v>
      </c>
      <c r="JWJ28" s="234" t="e">
        <f>astrogrep_path&amp;" /e /r /s /spath="&amp;search_path&amp;" /stypes=""app*"&amp;JVF28&amp;"*"&amp;TEXT(JVM28-utc_offset/24,"YYYYMMDD")&amp;"*"" /stext="" "&amp;TEXT(JVM28-utc_offset/24,"HH")&amp;search_regexp&amp;""""</f>
        <v>#REF!</v>
      </c>
      <c r="JWK28" s="234" t="e">
        <f>astrogrep_path&amp;" /e /r /s /spath="&amp;search_path&amp;" /stypes=""app*"&amp;JVG28&amp;"*"&amp;TEXT(JVN28-utc_offset/24,"YYYYMMDD")&amp;"*"" /stext="" "&amp;TEXT(JVN28-utc_offset/24,"HH")&amp;search_regexp&amp;""""</f>
        <v>#REF!</v>
      </c>
      <c r="JWL28" s="234" t="e">
        <f>astrogrep_path&amp;" /e /r /s /spath="&amp;search_path&amp;" /stypes=""app*"&amp;JVH28&amp;"*"&amp;TEXT(JVO28-utc_offset/24,"YYYYMMDD")&amp;"*"" /stext="" "&amp;TEXT(JVO28-utc_offset/24,"HH")&amp;search_regexp&amp;""""</f>
        <v>#REF!</v>
      </c>
      <c r="JWM28" s="234" t="e">
        <f>astrogrep_path&amp;" /e /r /s /spath="&amp;search_path&amp;" /stypes=""app*"&amp;JVI28&amp;"*"&amp;TEXT(JVP28-utc_offset/24,"YYYYMMDD")&amp;"*"" /stext="" "&amp;TEXT(JVP28-utc_offset/24,"HH")&amp;search_regexp&amp;""""</f>
        <v>#REF!</v>
      </c>
      <c r="JWN28" s="234" t="e">
        <f>astrogrep_path&amp;" /e /r /s /spath="&amp;search_path&amp;" /stypes=""app*"&amp;JVJ28&amp;"*"&amp;TEXT(JVQ28-utc_offset/24,"YYYYMMDD")&amp;"*"" /stext="" "&amp;TEXT(JVQ28-utc_offset/24,"HH")&amp;search_regexp&amp;""""</f>
        <v>#REF!</v>
      </c>
      <c r="JWO28" s="234" t="e">
        <f>astrogrep_path&amp;" /e /r /s /spath="&amp;search_path&amp;" /stypes=""app*"&amp;JVK28&amp;"*"&amp;TEXT(JVR28-utc_offset/24,"YYYYMMDD")&amp;"*"" /stext="" "&amp;TEXT(JVR28-utc_offset/24,"HH")&amp;search_regexp&amp;""""</f>
        <v>#REF!</v>
      </c>
      <c r="JWP28" s="234" t="e">
        <f>astrogrep_path&amp;" /e /r /s /spath="&amp;search_path&amp;" /stypes=""app*"&amp;JVL28&amp;"*"&amp;TEXT(JVS28-utc_offset/24,"YYYYMMDD")&amp;"*"" /stext="" "&amp;TEXT(JVS28-utc_offset/24,"HH")&amp;search_regexp&amp;""""</f>
        <v>#REF!</v>
      </c>
      <c r="JWQ28" s="234" t="e">
        <f>astrogrep_path&amp;" /e /r /s /spath="&amp;search_path&amp;" /stypes=""app*"&amp;JVM28&amp;"*"&amp;TEXT(JVT28-utc_offset/24,"YYYYMMDD")&amp;"*"" /stext="" "&amp;TEXT(JVT28-utc_offset/24,"HH")&amp;search_regexp&amp;""""</f>
        <v>#REF!</v>
      </c>
      <c r="JWR28" s="234" t="e">
        <f>astrogrep_path&amp;" /e /r /s /spath="&amp;search_path&amp;" /stypes=""app*"&amp;JVN28&amp;"*"&amp;TEXT(JVU28-utc_offset/24,"YYYYMMDD")&amp;"*"" /stext="" "&amp;TEXT(JVU28-utc_offset/24,"HH")&amp;search_regexp&amp;""""</f>
        <v>#REF!</v>
      </c>
      <c r="JWS28" s="234" t="e">
        <f>astrogrep_path&amp;" /e /r /s /spath="&amp;search_path&amp;" /stypes=""app*"&amp;JVO28&amp;"*"&amp;TEXT(JVV28-utc_offset/24,"YYYYMMDD")&amp;"*"" /stext="" "&amp;TEXT(JVV28-utc_offset/24,"HH")&amp;search_regexp&amp;""""</f>
        <v>#REF!</v>
      </c>
      <c r="JWT28" s="234" t="e">
        <f>astrogrep_path&amp;" /e /r /s /spath="&amp;search_path&amp;" /stypes=""app*"&amp;JVP28&amp;"*"&amp;TEXT(JVW28-utc_offset/24,"YYYYMMDD")&amp;"*"" /stext="" "&amp;TEXT(JVW28-utc_offset/24,"HH")&amp;search_regexp&amp;""""</f>
        <v>#REF!</v>
      </c>
      <c r="JWU28" s="234" t="e">
        <f>astrogrep_path&amp;" /e /r /s /spath="&amp;search_path&amp;" /stypes=""app*"&amp;JVQ28&amp;"*"&amp;TEXT(JVX28-utc_offset/24,"YYYYMMDD")&amp;"*"" /stext="" "&amp;TEXT(JVX28-utc_offset/24,"HH")&amp;search_regexp&amp;""""</f>
        <v>#REF!</v>
      </c>
      <c r="JWV28" s="234" t="e">
        <f>astrogrep_path&amp;" /e /r /s /spath="&amp;search_path&amp;" /stypes=""app*"&amp;JVR28&amp;"*"&amp;TEXT(JVY28-utc_offset/24,"YYYYMMDD")&amp;"*"" /stext="" "&amp;TEXT(JVY28-utc_offset/24,"HH")&amp;search_regexp&amp;""""</f>
        <v>#REF!</v>
      </c>
      <c r="JWW28" s="234" t="e">
        <f>astrogrep_path&amp;" /e /r /s /spath="&amp;search_path&amp;" /stypes=""app*"&amp;JVS28&amp;"*"&amp;TEXT(JVZ28-utc_offset/24,"YYYYMMDD")&amp;"*"" /stext="" "&amp;TEXT(JVZ28-utc_offset/24,"HH")&amp;search_regexp&amp;""""</f>
        <v>#VALUE!</v>
      </c>
      <c r="JWX28" s="234" t="e">
        <f>astrogrep_path&amp;" /e /r /s /spath="&amp;search_path&amp;" /stypes=""app*"&amp;JVT28&amp;"*"&amp;TEXT(JWA28-utc_offset/24,"YYYYMMDD")&amp;"*"" /stext="" "&amp;TEXT(JWA28-utc_offset/24,"HH")&amp;search_regexp&amp;""""</f>
        <v>#VALUE!</v>
      </c>
      <c r="JWY28" s="234" t="e">
        <f>astrogrep_path&amp;" /e /r /s /spath="&amp;search_path&amp;" /stypes=""app*"&amp;JVU28&amp;"*"&amp;TEXT(JWB28-utc_offset/24,"YYYYMMDD")&amp;"*"" /stext="" "&amp;TEXT(JWB28-utc_offset/24,"HH")&amp;search_regexp&amp;""""</f>
        <v>#REF!</v>
      </c>
      <c r="JWZ28" s="234" t="e">
        <f>astrogrep_path&amp;" /e /r /s /spath="&amp;search_path&amp;" /stypes=""app*"&amp;JVV28&amp;"*"&amp;TEXT(JWC28-utc_offset/24,"YYYYMMDD")&amp;"*"" /stext="" "&amp;TEXT(JWC28-utc_offset/24,"HH")&amp;search_regexp&amp;""""</f>
        <v>#REF!</v>
      </c>
      <c r="JXA28" s="234" t="e">
        <f>astrogrep_path&amp;" /e /r /s /spath="&amp;search_path&amp;" /stypes=""app*"&amp;JVW28&amp;"*"&amp;TEXT(JWD28-utc_offset/24,"YYYYMMDD")&amp;"*"" /stext="" "&amp;TEXT(JWD28-utc_offset/24,"HH")&amp;search_regexp&amp;""""</f>
        <v>#VALUE!</v>
      </c>
      <c r="JXB28" s="234" t="e">
        <f>astrogrep_path&amp;" /e /r /s /spath="&amp;search_path&amp;" /stypes=""app*"&amp;JVX28&amp;"*"&amp;TEXT(JWE28-utc_offset/24,"YYYYMMDD")&amp;"*"" /stext="" "&amp;TEXT(JWE28-utc_offset/24,"HH")&amp;search_regexp&amp;""""</f>
        <v>#VALUE!</v>
      </c>
      <c r="JXC28" s="234" t="e">
        <f>astrogrep_path&amp;" /e /r /s /spath="&amp;search_path&amp;" /stypes=""app*"&amp;JVY28&amp;"*"&amp;TEXT(JWF28-utc_offset/24,"YYYYMMDD")&amp;"*"" /stext="" "&amp;TEXT(JWF28-utc_offset/24,"HH")&amp;search_regexp&amp;""""</f>
        <v>#VALUE!</v>
      </c>
      <c r="JXD28" s="234" t="e">
        <f>astrogrep_path&amp;" /e /r /s /spath="&amp;search_path&amp;" /stypes=""app*"&amp;JVZ28&amp;"*"&amp;TEXT(JWG28-utc_offset/24,"YYYYMMDD")&amp;"*"" /stext="" "&amp;TEXT(JWG28-utc_offset/24,"HH")&amp;search_regexp&amp;""""</f>
        <v>#VALUE!</v>
      </c>
      <c r="JXE28" s="234" t="e">
        <f>astrogrep_path&amp;" /e /r /s /spath="&amp;search_path&amp;" /stypes=""app*"&amp;JWA28&amp;"*"&amp;TEXT(JWH28-utc_offset/24,"YYYYMMDD")&amp;"*"" /stext="" "&amp;TEXT(JWH28-utc_offset/24,"HH")&amp;search_regexp&amp;""""</f>
        <v>#VALUE!</v>
      </c>
      <c r="JXF28" s="234" t="e">
        <f>astrogrep_path&amp;" /e /r /s /spath="&amp;search_path&amp;" /stypes=""app*"&amp;JWB28&amp;"*"&amp;TEXT(JWI28-utc_offset/24,"YYYYMMDD")&amp;"*"" /stext="" "&amp;TEXT(JWI28-utc_offset/24,"HH")&amp;search_regexp&amp;""""</f>
        <v>#REF!</v>
      </c>
      <c r="JXG28" s="234" t="e">
        <f>astrogrep_path&amp;" /e /r /s /spath="&amp;search_path&amp;" /stypes=""app*"&amp;JWC28&amp;"*"&amp;TEXT(JWJ28-utc_offset/24,"YYYYMMDD")&amp;"*"" /stext="" "&amp;TEXT(JWJ28-utc_offset/24,"HH")&amp;search_regexp&amp;""""</f>
        <v>#REF!</v>
      </c>
      <c r="JXH28" s="234" t="e">
        <f>astrogrep_path&amp;" /e /r /s /spath="&amp;search_path&amp;" /stypes=""app*"&amp;JWD28&amp;"*"&amp;TEXT(JWK28-utc_offset/24,"YYYYMMDD")&amp;"*"" /stext="" "&amp;TEXT(JWK28-utc_offset/24,"HH")&amp;search_regexp&amp;""""</f>
        <v>#REF!</v>
      </c>
      <c r="JXI28" s="234" t="e">
        <f>astrogrep_path&amp;" /e /r /s /spath="&amp;search_path&amp;" /stypes=""app*"&amp;JWE28&amp;"*"&amp;TEXT(JWL28-utc_offset/24,"YYYYMMDD")&amp;"*"" /stext="" "&amp;TEXT(JWL28-utc_offset/24,"HH")&amp;search_regexp&amp;""""</f>
        <v>#REF!</v>
      </c>
      <c r="JXJ28" s="234" t="e">
        <f>astrogrep_path&amp;" /e /r /s /spath="&amp;search_path&amp;" /stypes=""app*"&amp;JWF28&amp;"*"&amp;TEXT(JWM28-utc_offset/24,"YYYYMMDD")&amp;"*"" /stext="" "&amp;TEXT(JWM28-utc_offset/24,"HH")&amp;search_regexp&amp;""""</f>
        <v>#REF!</v>
      </c>
      <c r="JXK28" s="234" t="e">
        <f>astrogrep_path&amp;" /e /r /s /spath="&amp;search_path&amp;" /stypes=""app*"&amp;JWG28&amp;"*"&amp;TEXT(JWN28-utc_offset/24,"YYYYMMDD")&amp;"*"" /stext="" "&amp;TEXT(JWN28-utc_offset/24,"HH")&amp;search_regexp&amp;""""</f>
        <v>#REF!</v>
      </c>
      <c r="JXL28" s="234" t="e">
        <f>astrogrep_path&amp;" /e /r /s /spath="&amp;search_path&amp;" /stypes=""app*"&amp;JWH28&amp;"*"&amp;TEXT(JWO28-utc_offset/24,"YYYYMMDD")&amp;"*"" /stext="" "&amp;TEXT(JWO28-utc_offset/24,"HH")&amp;search_regexp&amp;""""</f>
        <v>#REF!</v>
      </c>
      <c r="JXM28" s="234" t="e">
        <f>astrogrep_path&amp;" /e /r /s /spath="&amp;search_path&amp;" /stypes=""app*"&amp;JWI28&amp;"*"&amp;TEXT(JWP28-utc_offset/24,"YYYYMMDD")&amp;"*"" /stext="" "&amp;TEXT(JWP28-utc_offset/24,"HH")&amp;search_regexp&amp;""""</f>
        <v>#REF!</v>
      </c>
      <c r="JXN28" s="234" t="e">
        <f>astrogrep_path&amp;" /e /r /s /spath="&amp;search_path&amp;" /stypes=""app*"&amp;JWJ28&amp;"*"&amp;TEXT(JWQ28-utc_offset/24,"YYYYMMDD")&amp;"*"" /stext="" "&amp;TEXT(JWQ28-utc_offset/24,"HH")&amp;search_regexp&amp;""""</f>
        <v>#REF!</v>
      </c>
      <c r="JXO28" s="234" t="e">
        <f>astrogrep_path&amp;" /e /r /s /spath="&amp;search_path&amp;" /stypes=""app*"&amp;JWK28&amp;"*"&amp;TEXT(JWR28-utc_offset/24,"YYYYMMDD")&amp;"*"" /stext="" "&amp;TEXT(JWR28-utc_offset/24,"HH")&amp;search_regexp&amp;""""</f>
        <v>#REF!</v>
      </c>
      <c r="JXP28" s="234" t="e">
        <f>astrogrep_path&amp;" /e /r /s /spath="&amp;search_path&amp;" /stypes=""app*"&amp;JWL28&amp;"*"&amp;TEXT(JWS28-utc_offset/24,"YYYYMMDD")&amp;"*"" /stext="" "&amp;TEXT(JWS28-utc_offset/24,"HH")&amp;search_regexp&amp;""""</f>
        <v>#REF!</v>
      </c>
      <c r="JXQ28" s="234" t="e">
        <f>astrogrep_path&amp;" /e /r /s /spath="&amp;search_path&amp;" /stypes=""app*"&amp;JWM28&amp;"*"&amp;TEXT(JWT28-utc_offset/24,"YYYYMMDD")&amp;"*"" /stext="" "&amp;TEXT(JWT28-utc_offset/24,"HH")&amp;search_regexp&amp;""""</f>
        <v>#REF!</v>
      </c>
      <c r="JXR28" s="234" t="e">
        <f>astrogrep_path&amp;" /e /r /s /spath="&amp;search_path&amp;" /stypes=""app*"&amp;JWN28&amp;"*"&amp;TEXT(JWU28-utc_offset/24,"YYYYMMDD")&amp;"*"" /stext="" "&amp;TEXT(JWU28-utc_offset/24,"HH")&amp;search_regexp&amp;""""</f>
        <v>#REF!</v>
      </c>
      <c r="JXS28" s="234" t="e">
        <f>astrogrep_path&amp;" /e /r /s /spath="&amp;search_path&amp;" /stypes=""app*"&amp;JWO28&amp;"*"&amp;TEXT(JWV28-utc_offset/24,"YYYYMMDD")&amp;"*"" /stext="" "&amp;TEXT(JWV28-utc_offset/24,"HH")&amp;search_regexp&amp;""""</f>
        <v>#REF!</v>
      </c>
      <c r="JXT28" s="234" t="e">
        <f>astrogrep_path&amp;" /e /r /s /spath="&amp;search_path&amp;" /stypes=""app*"&amp;JWP28&amp;"*"&amp;TEXT(JWW28-utc_offset/24,"YYYYMMDD")&amp;"*"" /stext="" "&amp;TEXT(JWW28-utc_offset/24,"HH")&amp;search_regexp&amp;""""</f>
        <v>#REF!</v>
      </c>
      <c r="JXU28" s="234" t="e">
        <f>astrogrep_path&amp;" /e /r /s /spath="&amp;search_path&amp;" /stypes=""app*"&amp;JWQ28&amp;"*"&amp;TEXT(JWX28-utc_offset/24,"YYYYMMDD")&amp;"*"" /stext="" "&amp;TEXT(JWX28-utc_offset/24,"HH")&amp;search_regexp&amp;""""</f>
        <v>#REF!</v>
      </c>
      <c r="JXV28" s="234" t="e">
        <f>astrogrep_path&amp;" /e /r /s /spath="&amp;search_path&amp;" /stypes=""app*"&amp;JWR28&amp;"*"&amp;TEXT(JWY28-utc_offset/24,"YYYYMMDD")&amp;"*"" /stext="" "&amp;TEXT(JWY28-utc_offset/24,"HH")&amp;search_regexp&amp;""""</f>
        <v>#REF!</v>
      </c>
      <c r="JXW28" s="234" t="e">
        <f>astrogrep_path&amp;" /e /r /s /spath="&amp;search_path&amp;" /stypes=""app*"&amp;JWS28&amp;"*"&amp;TEXT(JWZ28-utc_offset/24,"YYYYMMDD")&amp;"*"" /stext="" "&amp;TEXT(JWZ28-utc_offset/24,"HH")&amp;search_regexp&amp;""""</f>
        <v>#REF!</v>
      </c>
      <c r="JXX28" s="234" t="e">
        <f>astrogrep_path&amp;" /e /r /s /spath="&amp;search_path&amp;" /stypes=""app*"&amp;JWT28&amp;"*"&amp;TEXT(JXA28-utc_offset/24,"YYYYMMDD")&amp;"*"" /stext="" "&amp;TEXT(JXA28-utc_offset/24,"HH")&amp;search_regexp&amp;""""</f>
        <v>#REF!</v>
      </c>
      <c r="JXY28" s="234" t="e">
        <f>astrogrep_path&amp;" /e /r /s /spath="&amp;search_path&amp;" /stypes=""app*"&amp;JWU28&amp;"*"&amp;TEXT(JXB28-utc_offset/24,"YYYYMMDD")&amp;"*"" /stext="" "&amp;TEXT(JXB28-utc_offset/24,"HH")&amp;search_regexp&amp;""""</f>
        <v>#REF!</v>
      </c>
      <c r="JXZ28" s="234" t="e">
        <f>astrogrep_path&amp;" /e /r /s /spath="&amp;search_path&amp;" /stypes=""app*"&amp;JWV28&amp;"*"&amp;TEXT(JXC28-utc_offset/24,"YYYYMMDD")&amp;"*"" /stext="" "&amp;TEXT(JXC28-utc_offset/24,"HH")&amp;search_regexp&amp;""""</f>
        <v>#REF!</v>
      </c>
      <c r="JYA28" s="234" t="e">
        <f>astrogrep_path&amp;" /e /r /s /spath="&amp;search_path&amp;" /stypes=""app*"&amp;JWW28&amp;"*"&amp;TEXT(JXD28-utc_offset/24,"YYYYMMDD")&amp;"*"" /stext="" "&amp;TEXT(JXD28-utc_offset/24,"HH")&amp;search_regexp&amp;""""</f>
        <v>#VALUE!</v>
      </c>
      <c r="JYB28" s="234" t="e">
        <f>astrogrep_path&amp;" /e /r /s /spath="&amp;search_path&amp;" /stypes=""app*"&amp;JWX28&amp;"*"&amp;TEXT(JXE28-utc_offset/24,"YYYYMMDD")&amp;"*"" /stext="" "&amp;TEXT(JXE28-utc_offset/24,"HH")&amp;search_regexp&amp;""""</f>
        <v>#VALUE!</v>
      </c>
      <c r="JYC28" s="234" t="e">
        <f>astrogrep_path&amp;" /e /r /s /spath="&amp;search_path&amp;" /stypes=""app*"&amp;JWY28&amp;"*"&amp;TEXT(JXF28-utc_offset/24,"YYYYMMDD")&amp;"*"" /stext="" "&amp;TEXT(JXF28-utc_offset/24,"HH")&amp;search_regexp&amp;""""</f>
        <v>#REF!</v>
      </c>
      <c r="JYD28" s="234" t="e">
        <f>astrogrep_path&amp;" /e /r /s /spath="&amp;search_path&amp;" /stypes=""app*"&amp;JWZ28&amp;"*"&amp;TEXT(JXG28-utc_offset/24,"YYYYMMDD")&amp;"*"" /stext="" "&amp;TEXT(JXG28-utc_offset/24,"HH")&amp;search_regexp&amp;""""</f>
        <v>#REF!</v>
      </c>
      <c r="JYE28" s="234" t="e">
        <f>astrogrep_path&amp;" /e /r /s /spath="&amp;search_path&amp;" /stypes=""app*"&amp;JXA28&amp;"*"&amp;TEXT(JXH28-utc_offset/24,"YYYYMMDD")&amp;"*"" /stext="" "&amp;TEXT(JXH28-utc_offset/24,"HH")&amp;search_regexp&amp;""""</f>
        <v>#VALUE!</v>
      </c>
      <c r="JYF28" s="234" t="e">
        <f>astrogrep_path&amp;" /e /r /s /spath="&amp;search_path&amp;" /stypes=""app*"&amp;JXB28&amp;"*"&amp;TEXT(JXI28-utc_offset/24,"YYYYMMDD")&amp;"*"" /stext="" "&amp;TEXT(JXI28-utc_offset/24,"HH")&amp;search_regexp&amp;""""</f>
        <v>#VALUE!</v>
      </c>
      <c r="JYG28" s="234" t="e">
        <f>astrogrep_path&amp;" /e /r /s /spath="&amp;search_path&amp;" /stypes=""app*"&amp;JXC28&amp;"*"&amp;TEXT(JXJ28-utc_offset/24,"YYYYMMDD")&amp;"*"" /stext="" "&amp;TEXT(JXJ28-utc_offset/24,"HH")&amp;search_regexp&amp;""""</f>
        <v>#VALUE!</v>
      </c>
      <c r="JYH28" s="234" t="e">
        <f>astrogrep_path&amp;" /e /r /s /spath="&amp;search_path&amp;" /stypes=""app*"&amp;JXD28&amp;"*"&amp;TEXT(JXK28-utc_offset/24,"YYYYMMDD")&amp;"*"" /stext="" "&amp;TEXT(JXK28-utc_offset/24,"HH")&amp;search_regexp&amp;""""</f>
        <v>#VALUE!</v>
      </c>
      <c r="JYI28" s="234" t="e">
        <f>astrogrep_path&amp;" /e /r /s /spath="&amp;search_path&amp;" /stypes=""app*"&amp;JXE28&amp;"*"&amp;TEXT(JXL28-utc_offset/24,"YYYYMMDD")&amp;"*"" /stext="" "&amp;TEXT(JXL28-utc_offset/24,"HH")&amp;search_regexp&amp;""""</f>
        <v>#VALUE!</v>
      </c>
      <c r="JYJ28" s="234" t="e">
        <f>astrogrep_path&amp;" /e /r /s /spath="&amp;search_path&amp;" /stypes=""app*"&amp;JXF28&amp;"*"&amp;TEXT(JXM28-utc_offset/24,"YYYYMMDD")&amp;"*"" /stext="" "&amp;TEXT(JXM28-utc_offset/24,"HH")&amp;search_regexp&amp;""""</f>
        <v>#REF!</v>
      </c>
      <c r="JYK28" s="234" t="e">
        <f>astrogrep_path&amp;" /e /r /s /spath="&amp;search_path&amp;" /stypes=""app*"&amp;JXG28&amp;"*"&amp;TEXT(JXN28-utc_offset/24,"YYYYMMDD")&amp;"*"" /stext="" "&amp;TEXT(JXN28-utc_offset/24,"HH")&amp;search_regexp&amp;""""</f>
        <v>#REF!</v>
      </c>
      <c r="JYL28" s="234" t="e">
        <f>astrogrep_path&amp;" /e /r /s /spath="&amp;search_path&amp;" /stypes=""app*"&amp;JXH28&amp;"*"&amp;TEXT(JXO28-utc_offset/24,"YYYYMMDD")&amp;"*"" /stext="" "&amp;TEXT(JXO28-utc_offset/24,"HH")&amp;search_regexp&amp;""""</f>
        <v>#REF!</v>
      </c>
      <c r="JYM28" s="234" t="e">
        <f>astrogrep_path&amp;" /e /r /s /spath="&amp;search_path&amp;" /stypes=""app*"&amp;JXI28&amp;"*"&amp;TEXT(JXP28-utc_offset/24,"YYYYMMDD")&amp;"*"" /stext="" "&amp;TEXT(JXP28-utc_offset/24,"HH")&amp;search_regexp&amp;""""</f>
        <v>#REF!</v>
      </c>
      <c r="JYN28" s="234" t="e">
        <f>astrogrep_path&amp;" /e /r /s /spath="&amp;search_path&amp;" /stypes=""app*"&amp;JXJ28&amp;"*"&amp;TEXT(JXQ28-utc_offset/24,"YYYYMMDD")&amp;"*"" /stext="" "&amp;TEXT(JXQ28-utc_offset/24,"HH")&amp;search_regexp&amp;""""</f>
        <v>#REF!</v>
      </c>
      <c r="JYO28" s="234" t="e">
        <f>astrogrep_path&amp;" /e /r /s /spath="&amp;search_path&amp;" /stypes=""app*"&amp;JXK28&amp;"*"&amp;TEXT(JXR28-utc_offset/24,"YYYYMMDD")&amp;"*"" /stext="" "&amp;TEXT(JXR28-utc_offset/24,"HH")&amp;search_regexp&amp;""""</f>
        <v>#REF!</v>
      </c>
      <c r="JYP28" s="234" t="e">
        <f>astrogrep_path&amp;" /e /r /s /spath="&amp;search_path&amp;" /stypes=""app*"&amp;JXL28&amp;"*"&amp;TEXT(JXS28-utc_offset/24,"YYYYMMDD")&amp;"*"" /stext="" "&amp;TEXT(JXS28-utc_offset/24,"HH")&amp;search_regexp&amp;""""</f>
        <v>#REF!</v>
      </c>
      <c r="JYQ28" s="234" t="e">
        <f>astrogrep_path&amp;" /e /r /s /spath="&amp;search_path&amp;" /stypes=""app*"&amp;JXM28&amp;"*"&amp;TEXT(JXT28-utc_offset/24,"YYYYMMDD")&amp;"*"" /stext="" "&amp;TEXT(JXT28-utc_offset/24,"HH")&amp;search_regexp&amp;""""</f>
        <v>#REF!</v>
      </c>
      <c r="JYR28" s="234" t="e">
        <f>astrogrep_path&amp;" /e /r /s /spath="&amp;search_path&amp;" /stypes=""app*"&amp;JXN28&amp;"*"&amp;TEXT(JXU28-utc_offset/24,"YYYYMMDD")&amp;"*"" /stext="" "&amp;TEXT(JXU28-utc_offset/24,"HH")&amp;search_regexp&amp;""""</f>
        <v>#REF!</v>
      </c>
      <c r="JYS28" s="234" t="e">
        <f>astrogrep_path&amp;" /e /r /s /spath="&amp;search_path&amp;" /stypes=""app*"&amp;JXO28&amp;"*"&amp;TEXT(JXV28-utc_offset/24,"YYYYMMDD")&amp;"*"" /stext="" "&amp;TEXT(JXV28-utc_offset/24,"HH")&amp;search_regexp&amp;""""</f>
        <v>#REF!</v>
      </c>
      <c r="JYT28" s="234" t="e">
        <f>astrogrep_path&amp;" /e /r /s /spath="&amp;search_path&amp;" /stypes=""app*"&amp;JXP28&amp;"*"&amp;TEXT(JXW28-utc_offset/24,"YYYYMMDD")&amp;"*"" /stext="" "&amp;TEXT(JXW28-utc_offset/24,"HH")&amp;search_regexp&amp;""""</f>
        <v>#REF!</v>
      </c>
      <c r="JYU28" s="234" t="e">
        <f>astrogrep_path&amp;" /e /r /s /spath="&amp;search_path&amp;" /stypes=""app*"&amp;JXQ28&amp;"*"&amp;TEXT(JXX28-utc_offset/24,"YYYYMMDD")&amp;"*"" /stext="" "&amp;TEXT(JXX28-utc_offset/24,"HH")&amp;search_regexp&amp;""""</f>
        <v>#REF!</v>
      </c>
      <c r="JYV28" s="234" t="e">
        <f>astrogrep_path&amp;" /e /r /s /spath="&amp;search_path&amp;" /stypes=""app*"&amp;JXR28&amp;"*"&amp;TEXT(JXY28-utc_offset/24,"YYYYMMDD")&amp;"*"" /stext="" "&amp;TEXT(JXY28-utc_offset/24,"HH")&amp;search_regexp&amp;""""</f>
        <v>#REF!</v>
      </c>
      <c r="JYW28" s="234" t="e">
        <f>astrogrep_path&amp;" /e /r /s /spath="&amp;search_path&amp;" /stypes=""app*"&amp;JXS28&amp;"*"&amp;TEXT(JXZ28-utc_offset/24,"YYYYMMDD")&amp;"*"" /stext="" "&amp;TEXT(JXZ28-utc_offset/24,"HH")&amp;search_regexp&amp;""""</f>
        <v>#REF!</v>
      </c>
      <c r="JYX28" s="234" t="e">
        <f>astrogrep_path&amp;" /e /r /s /spath="&amp;search_path&amp;" /stypes=""app*"&amp;JXT28&amp;"*"&amp;TEXT(JYA28-utc_offset/24,"YYYYMMDD")&amp;"*"" /stext="" "&amp;TEXT(JYA28-utc_offset/24,"HH")&amp;search_regexp&amp;""""</f>
        <v>#REF!</v>
      </c>
      <c r="JYY28" s="234" t="e">
        <f>astrogrep_path&amp;" /e /r /s /spath="&amp;search_path&amp;" /stypes=""app*"&amp;JXU28&amp;"*"&amp;TEXT(JYB28-utc_offset/24,"YYYYMMDD")&amp;"*"" /stext="" "&amp;TEXT(JYB28-utc_offset/24,"HH")&amp;search_regexp&amp;""""</f>
        <v>#REF!</v>
      </c>
      <c r="JYZ28" s="234" t="e">
        <f>astrogrep_path&amp;" /e /r /s /spath="&amp;search_path&amp;" /stypes=""app*"&amp;JXV28&amp;"*"&amp;TEXT(JYC28-utc_offset/24,"YYYYMMDD")&amp;"*"" /stext="" "&amp;TEXT(JYC28-utc_offset/24,"HH")&amp;search_regexp&amp;""""</f>
        <v>#REF!</v>
      </c>
      <c r="JZA28" s="234" t="e">
        <f>astrogrep_path&amp;" /e /r /s /spath="&amp;search_path&amp;" /stypes=""app*"&amp;JXW28&amp;"*"&amp;TEXT(JYD28-utc_offset/24,"YYYYMMDD")&amp;"*"" /stext="" "&amp;TEXT(JYD28-utc_offset/24,"HH")&amp;search_regexp&amp;""""</f>
        <v>#REF!</v>
      </c>
      <c r="JZB28" s="234" t="e">
        <f>astrogrep_path&amp;" /e /r /s /spath="&amp;search_path&amp;" /stypes=""app*"&amp;JXX28&amp;"*"&amp;TEXT(JYE28-utc_offset/24,"YYYYMMDD")&amp;"*"" /stext="" "&amp;TEXT(JYE28-utc_offset/24,"HH")&amp;search_regexp&amp;""""</f>
        <v>#REF!</v>
      </c>
      <c r="JZC28" s="234" t="e">
        <f>astrogrep_path&amp;" /e /r /s /spath="&amp;search_path&amp;" /stypes=""app*"&amp;JXY28&amp;"*"&amp;TEXT(JYF28-utc_offset/24,"YYYYMMDD")&amp;"*"" /stext="" "&amp;TEXT(JYF28-utc_offset/24,"HH")&amp;search_regexp&amp;""""</f>
        <v>#REF!</v>
      </c>
      <c r="JZD28" s="234" t="e">
        <f>astrogrep_path&amp;" /e /r /s /spath="&amp;search_path&amp;" /stypes=""app*"&amp;JXZ28&amp;"*"&amp;TEXT(JYG28-utc_offset/24,"YYYYMMDD")&amp;"*"" /stext="" "&amp;TEXT(JYG28-utc_offset/24,"HH")&amp;search_regexp&amp;""""</f>
        <v>#REF!</v>
      </c>
      <c r="JZE28" s="234" t="e">
        <f>astrogrep_path&amp;" /e /r /s /spath="&amp;search_path&amp;" /stypes=""app*"&amp;JYA28&amp;"*"&amp;TEXT(JYH28-utc_offset/24,"YYYYMMDD")&amp;"*"" /stext="" "&amp;TEXT(JYH28-utc_offset/24,"HH")&amp;search_regexp&amp;""""</f>
        <v>#VALUE!</v>
      </c>
      <c r="JZF28" s="234" t="e">
        <f>astrogrep_path&amp;" /e /r /s /spath="&amp;search_path&amp;" /stypes=""app*"&amp;JYB28&amp;"*"&amp;TEXT(JYI28-utc_offset/24,"YYYYMMDD")&amp;"*"" /stext="" "&amp;TEXT(JYI28-utc_offset/24,"HH")&amp;search_regexp&amp;""""</f>
        <v>#VALUE!</v>
      </c>
      <c r="JZG28" s="234" t="e">
        <f>astrogrep_path&amp;" /e /r /s /spath="&amp;search_path&amp;" /stypes=""app*"&amp;JYC28&amp;"*"&amp;TEXT(JYJ28-utc_offset/24,"YYYYMMDD")&amp;"*"" /stext="" "&amp;TEXT(JYJ28-utc_offset/24,"HH")&amp;search_regexp&amp;""""</f>
        <v>#REF!</v>
      </c>
      <c r="JZH28" s="234" t="e">
        <f>astrogrep_path&amp;" /e /r /s /spath="&amp;search_path&amp;" /stypes=""app*"&amp;JYD28&amp;"*"&amp;TEXT(JYK28-utc_offset/24,"YYYYMMDD")&amp;"*"" /stext="" "&amp;TEXT(JYK28-utc_offset/24,"HH")&amp;search_regexp&amp;""""</f>
        <v>#REF!</v>
      </c>
      <c r="JZI28" s="234" t="e">
        <f>astrogrep_path&amp;" /e /r /s /spath="&amp;search_path&amp;" /stypes=""app*"&amp;JYE28&amp;"*"&amp;TEXT(JYL28-utc_offset/24,"YYYYMMDD")&amp;"*"" /stext="" "&amp;TEXT(JYL28-utc_offset/24,"HH")&amp;search_regexp&amp;""""</f>
        <v>#VALUE!</v>
      </c>
      <c r="JZJ28" s="234" t="e">
        <f>astrogrep_path&amp;" /e /r /s /spath="&amp;search_path&amp;" /stypes=""app*"&amp;JYF28&amp;"*"&amp;TEXT(JYM28-utc_offset/24,"YYYYMMDD")&amp;"*"" /stext="" "&amp;TEXT(JYM28-utc_offset/24,"HH")&amp;search_regexp&amp;""""</f>
        <v>#VALUE!</v>
      </c>
      <c r="JZK28" s="234" t="e">
        <f>astrogrep_path&amp;" /e /r /s /spath="&amp;search_path&amp;" /stypes=""app*"&amp;JYG28&amp;"*"&amp;TEXT(JYN28-utc_offset/24,"YYYYMMDD")&amp;"*"" /stext="" "&amp;TEXT(JYN28-utc_offset/24,"HH")&amp;search_regexp&amp;""""</f>
        <v>#VALUE!</v>
      </c>
      <c r="JZL28" s="234" t="e">
        <f>astrogrep_path&amp;" /e /r /s /spath="&amp;search_path&amp;" /stypes=""app*"&amp;JYH28&amp;"*"&amp;TEXT(JYO28-utc_offset/24,"YYYYMMDD")&amp;"*"" /stext="" "&amp;TEXT(JYO28-utc_offset/24,"HH")&amp;search_regexp&amp;""""</f>
        <v>#VALUE!</v>
      </c>
      <c r="JZM28" s="234" t="e">
        <f>astrogrep_path&amp;" /e /r /s /spath="&amp;search_path&amp;" /stypes=""app*"&amp;JYI28&amp;"*"&amp;TEXT(JYP28-utc_offset/24,"YYYYMMDD")&amp;"*"" /stext="" "&amp;TEXT(JYP28-utc_offset/24,"HH")&amp;search_regexp&amp;""""</f>
        <v>#VALUE!</v>
      </c>
      <c r="JZN28" s="234" t="e">
        <f>astrogrep_path&amp;" /e /r /s /spath="&amp;search_path&amp;" /stypes=""app*"&amp;JYJ28&amp;"*"&amp;TEXT(JYQ28-utc_offset/24,"YYYYMMDD")&amp;"*"" /stext="" "&amp;TEXT(JYQ28-utc_offset/24,"HH")&amp;search_regexp&amp;""""</f>
        <v>#REF!</v>
      </c>
      <c r="JZO28" s="234" t="e">
        <f>astrogrep_path&amp;" /e /r /s /spath="&amp;search_path&amp;" /stypes=""app*"&amp;JYK28&amp;"*"&amp;TEXT(JYR28-utc_offset/24,"YYYYMMDD")&amp;"*"" /stext="" "&amp;TEXT(JYR28-utc_offset/24,"HH")&amp;search_regexp&amp;""""</f>
        <v>#REF!</v>
      </c>
      <c r="JZP28" s="234" t="e">
        <f>astrogrep_path&amp;" /e /r /s /spath="&amp;search_path&amp;" /stypes=""app*"&amp;JYL28&amp;"*"&amp;TEXT(JYS28-utc_offset/24,"YYYYMMDD")&amp;"*"" /stext="" "&amp;TEXT(JYS28-utc_offset/24,"HH")&amp;search_regexp&amp;""""</f>
        <v>#REF!</v>
      </c>
      <c r="JZQ28" s="234" t="e">
        <f>astrogrep_path&amp;" /e /r /s /spath="&amp;search_path&amp;" /stypes=""app*"&amp;JYM28&amp;"*"&amp;TEXT(JYT28-utc_offset/24,"YYYYMMDD")&amp;"*"" /stext="" "&amp;TEXT(JYT28-utc_offset/24,"HH")&amp;search_regexp&amp;""""</f>
        <v>#REF!</v>
      </c>
      <c r="JZR28" s="234" t="e">
        <f>astrogrep_path&amp;" /e /r /s /spath="&amp;search_path&amp;" /stypes=""app*"&amp;JYN28&amp;"*"&amp;TEXT(JYU28-utc_offset/24,"YYYYMMDD")&amp;"*"" /stext="" "&amp;TEXT(JYU28-utc_offset/24,"HH")&amp;search_regexp&amp;""""</f>
        <v>#REF!</v>
      </c>
      <c r="JZS28" s="234" t="e">
        <f>astrogrep_path&amp;" /e /r /s /spath="&amp;search_path&amp;" /stypes=""app*"&amp;JYO28&amp;"*"&amp;TEXT(JYV28-utc_offset/24,"YYYYMMDD")&amp;"*"" /stext="" "&amp;TEXT(JYV28-utc_offset/24,"HH")&amp;search_regexp&amp;""""</f>
        <v>#REF!</v>
      </c>
      <c r="JZT28" s="234" t="e">
        <f>astrogrep_path&amp;" /e /r /s /spath="&amp;search_path&amp;" /stypes=""app*"&amp;JYP28&amp;"*"&amp;TEXT(JYW28-utc_offset/24,"YYYYMMDD")&amp;"*"" /stext="" "&amp;TEXT(JYW28-utc_offset/24,"HH")&amp;search_regexp&amp;""""</f>
        <v>#REF!</v>
      </c>
      <c r="JZU28" s="234" t="e">
        <f>astrogrep_path&amp;" /e /r /s /spath="&amp;search_path&amp;" /stypes=""app*"&amp;JYQ28&amp;"*"&amp;TEXT(JYX28-utc_offset/24,"YYYYMMDD")&amp;"*"" /stext="" "&amp;TEXT(JYX28-utc_offset/24,"HH")&amp;search_regexp&amp;""""</f>
        <v>#REF!</v>
      </c>
      <c r="JZV28" s="234" t="e">
        <f>astrogrep_path&amp;" /e /r /s /spath="&amp;search_path&amp;" /stypes=""app*"&amp;JYR28&amp;"*"&amp;TEXT(JYY28-utc_offset/24,"YYYYMMDD")&amp;"*"" /stext="" "&amp;TEXT(JYY28-utc_offset/24,"HH")&amp;search_regexp&amp;""""</f>
        <v>#REF!</v>
      </c>
      <c r="JZW28" s="234" t="e">
        <f>astrogrep_path&amp;" /e /r /s /spath="&amp;search_path&amp;" /stypes=""app*"&amp;JYS28&amp;"*"&amp;TEXT(JYZ28-utc_offset/24,"YYYYMMDD")&amp;"*"" /stext="" "&amp;TEXT(JYZ28-utc_offset/24,"HH")&amp;search_regexp&amp;""""</f>
        <v>#REF!</v>
      </c>
      <c r="JZX28" s="234" t="e">
        <f>astrogrep_path&amp;" /e /r /s /spath="&amp;search_path&amp;" /stypes=""app*"&amp;JYT28&amp;"*"&amp;TEXT(JZA28-utc_offset/24,"YYYYMMDD")&amp;"*"" /stext="" "&amp;TEXT(JZA28-utc_offset/24,"HH")&amp;search_regexp&amp;""""</f>
        <v>#REF!</v>
      </c>
      <c r="JZY28" s="234" t="e">
        <f>astrogrep_path&amp;" /e /r /s /spath="&amp;search_path&amp;" /stypes=""app*"&amp;JYU28&amp;"*"&amp;TEXT(JZB28-utc_offset/24,"YYYYMMDD")&amp;"*"" /stext="" "&amp;TEXT(JZB28-utc_offset/24,"HH")&amp;search_regexp&amp;""""</f>
        <v>#REF!</v>
      </c>
      <c r="JZZ28" s="234" t="e">
        <f>astrogrep_path&amp;" /e /r /s /spath="&amp;search_path&amp;" /stypes=""app*"&amp;JYV28&amp;"*"&amp;TEXT(JZC28-utc_offset/24,"YYYYMMDD")&amp;"*"" /stext="" "&amp;TEXT(JZC28-utc_offset/24,"HH")&amp;search_regexp&amp;""""</f>
        <v>#REF!</v>
      </c>
      <c r="KAA28" s="234" t="e">
        <f>astrogrep_path&amp;" /e /r /s /spath="&amp;search_path&amp;" /stypes=""app*"&amp;JYW28&amp;"*"&amp;TEXT(JZD28-utc_offset/24,"YYYYMMDD")&amp;"*"" /stext="" "&amp;TEXT(JZD28-utc_offset/24,"HH")&amp;search_regexp&amp;""""</f>
        <v>#REF!</v>
      </c>
      <c r="KAB28" s="234" t="e">
        <f>astrogrep_path&amp;" /e /r /s /spath="&amp;search_path&amp;" /stypes=""app*"&amp;JYX28&amp;"*"&amp;TEXT(JZE28-utc_offset/24,"YYYYMMDD")&amp;"*"" /stext="" "&amp;TEXT(JZE28-utc_offset/24,"HH")&amp;search_regexp&amp;""""</f>
        <v>#REF!</v>
      </c>
      <c r="KAC28" s="234" t="e">
        <f>astrogrep_path&amp;" /e /r /s /spath="&amp;search_path&amp;" /stypes=""app*"&amp;JYY28&amp;"*"&amp;TEXT(JZF28-utc_offset/24,"YYYYMMDD")&amp;"*"" /stext="" "&amp;TEXT(JZF28-utc_offset/24,"HH")&amp;search_regexp&amp;""""</f>
        <v>#REF!</v>
      </c>
      <c r="KAD28" s="234" t="e">
        <f>astrogrep_path&amp;" /e /r /s /spath="&amp;search_path&amp;" /stypes=""app*"&amp;JYZ28&amp;"*"&amp;TEXT(JZG28-utc_offset/24,"YYYYMMDD")&amp;"*"" /stext="" "&amp;TEXT(JZG28-utc_offset/24,"HH")&amp;search_regexp&amp;""""</f>
        <v>#REF!</v>
      </c>
      <c r="KAE28" s="234" t="e">
        <f>astrogrep_path&amp;" /e /r /s /spath="&amp;search_path&amp;" /stypes=""app*"&amp;JZA28&amp;"*"&amp;TEXT(JZH28-utc_offset/24,"YYYYMMDD")&amp;"*"" /stext="" "&amp;TEXT(JZH28-utc_offset/24,"HH")&amp;search_regexp&amp;""""</f>
        <v>#REF!</v>
      </c>
      <c r="KAF28" s="234" t="e">
        <f>astrogrep_path&amp;" /e /r /s /spath="&amp;search_path&amp;" /stypes=""app*"&amp;JZB28&amp;"*"&amp;TEXT(JZI28-utc_offset/24,"YYYYMMDD")&amp;"*"" /stext="" "&amp;TEXT(JZI28-utc_offset/24,"HH")&amp;search_regexp&amp;""""</f>
        <v>#REF!</v>
      </c>
      <c r="KAG28" s="234" t="e">
        <f>astrogrep_path&amp;" /e /r /s /spath="&amp;search_path&amp;" /stypes=""app*"&amp;JZC28&amp;"*"&amp;TEXT(JZJ28-utc_offset/24,"YYYYMMDD")&amp;"*"" /stext="" "&amp;TEXT(JZJ28-utc_offset/24,"HH")&amp;search_regexp&amp;""""</f>
        <v>#REF!</v>
      </c>
      <c r="KAH28" s="234" t="e">
        <f>astrogrep_path&amp;" /e /r /s /spath="&amp;search_path&amp;" /stypes=""app*"&amp;JZD28&amp;"*"&amp;TEXT(JZK28-utc_offset/24,"YYYYMMDD")&amp;"*"" /stext="" "&amp;TEXT(JZK28-utc_offset/24,"HH")&amp;search_regexp&amp;""""</f>
        <v>#REF!</v>
      </c>
      <c r="KAI28" s="234" t="e">
        <f>astrogrep_path&amp;" /e /r /s /spath="&amp;search_path&amp;" /stypes=""app*"&amp;JZE28&amp;"*"&amp;TEXT(JZL28-utc_offset/24,"YYYYMMDD")&amp;"*"" /stext="" "&amp;TEXT(JZL28-utc_offset/24,"HH")&amp;search_regexp&amp;""""</f>
        <v>#VALUE!</v>
      </c>
      <c r="KAJ28" s="234" t="e">
        <f>astrogrep_path&amp;" /e /r /s /spath="&amp;search_path&amp;" /stypes=""app*"&amp;JZF28&amp;"*"&amp;TEXT(JZM28-utc_offset/24,"YYYYMMDD")&amp;"*"" /stext="" "&amp;TEXT(JZM28-utc_offset/24,"HH")&amp;search_regexp&amp;""""</f>
        <v>#VALUE!</v>
      </c>
      <c r="KAK28" s="234" t="e">
        <f>astrogrep_path&amp;" /e /r /s /spath="&amp;search_path&amp;" /stypes=""app*"&amp;JZG28&amp;"*"&amp;TEXT(JZN28-utc_offset/24,"YYYYMMDD")&amp;"*"" /stext="" "&amp;TEXT(JZN28-utc_offset/24,"HH")&amp;search_regexp&amp;""""</f>
        <v>#REF!</v>
      </c>
      <c r="KAL28" s="234" t="e">
        <f>astrogrep_path&amp;" /e /r /s /spath="&amp;search_path&amp;" /stypes=""app*"&amp;JZH28&amp;"*"&amp;TEXT(JZO28-utc_offset/24,"YYYYMMDD")&amp;"*"" /stext="" "&amp;TEXT(JZO28-utc_offset/24,"HH")&amp;search_regexp&amp;""""</f>
        <v>#REF!</v>
      </c>
      <c r="KAM28" s="234" t="e">
        <f>astrogrep_path&amp;" /e /r /s /spath="&amp;search_path&amp;" /stypes=""app*"&amp;JZI28&amp;"*"&amp;TEXT(JZP28-utc_offset/24,"YYYYMMDD")&amp;"*"" /stext="" "&amp;TEXT(JZP28-utc_offset/24,"HH")&amp;search_regexp&amp;""""</f>
        <v>#VALUE!</v>
      </c>
      <c r="KAN28" s="234" t="e">
        <f>astrogrep_path&amp;" /e /r /s /spath="&amp;search_path&amp;" /stypes=""app*"&amp;JZJ28&amp;"*"&amp;TEXT(JZQ28-utc_offset/24,"YYYYMMDD")&amp;"*"" /stext="" "&amp;TEXT(JZQ28-utc_offset/24,"HH")&amp;search_regexp&amp;""""</f>
        <v>#VALUE!</v>
      </c>
      <c r="KAO28" s="234" t="e">
        <f>astrogrep_path&amp;" /e /r /s /spath="&amp;search_path&amp;" /stypes=""app*"&amp;JZK28&amp;"*"&amp;TEXT(JZR28-utc_offset/24,"YYYYMMDD")&amp;"*"" /stext="" "&amp;TEXT(JZR28-utc_offset/24,"HH")&amp;search_regexp&amp;""""</f>
        <v>#VALUE!</v>
      </c>
      <c r="KAP28" s="234" t="e">
        <f>astrogrep_path&amp;" /e /r /s /spath="&amp;search_path&amp;" /stypes=""app*"&amp;JZL28&amp;"*"&amp;TEXT(JZS28-utc_offset/24,"YYYYMMDD")&amp;"*"" /stext="" "&amp;TEXT(JZS28-utc_offset/24,"HH")&amp;search_regexp&amp;""""</f>
        <v>#VALUE!</v>
      </c>
      <c r="KAQ28" s="234" t="e">
        <f>astrogrep_path&amp;" /e /r /s /spath="&amp;search_path&amp;" /stypes=""app*"&amp;JZM28&amp;"*"&amp;TEXT(JZT28-utc_offset/24,"YYYYMMDD")&amp;"*"" /stext="" "&amp;TEXT(JZT28-utc_offset/24,"HH")&amp;search_regexp&amp;""""</f>
        <v>#VALUE!</v>
      </c>
      <c r="KAR28" s="234" t="e">
        <f>astrogrep_path&amp;" /e /r /s /spath="&amp;search_path&amp;" /stypes=""app*"&amp;JZN28&amp;"*"&amp;TEXT(JZU28-utc_offset/24,"YYYYMMDD")&amp;"*"" /stext="" "&amp;TEXT(JZU28-utc_offset/24,"HH")&amp;search_regexp&amp;""""</f>
        <v>#REF!</v>
      </c>
      <c r="KAS28" s="234" t="e">
        <f>astrogrep_path&amp;" /e /r /s /spath="&amp;search_path&amp;" /stypes=""app*"&amp;JZO28&amp;"*"&amp;TEXT(JZV28-utc_offset/24,"YYYYMMDD")&amp;"*"" /stext="" "&amp;TEXT(JZV28-utc_offset/24,"HH")&amp;search_regexp&amp;""""</f>
        <v>#REF!</v>
      </c>
      <c r="KAT28" s="234" t="e">
        <f>astrogrep_path&amp;" /e /r /s /spath="&amp;search_path&amp;" /stypes=""app*"&amp;JZP28&amp;"*"&amp;TEXT(JZW28-utc_offset/24,"YYYYMMDD")&amp;"*"" /stext="" "&amp;TEXT(JZW28-utc_offset/24,"HH")&amp;search_regexp&amp;""""</f>
        <v>#REF!</v>
      </c>
      <c r="KAU28" s="234" t="e">
        <f>astrogrep_path&amp;" /e /r /s /spath="&amp;search_path&amp;" /stypes=""app*"&amp;JZQ28&amp;"*"&amp;TEXT(JZX28-utc_offset/24,"YYYYMMDD")&amp;"*"" /stext="" "&amp;TEXT(JZX28-utc_offset/24,"HH")&amp;search_regexp&amp;""""</f>
        <v>#REF!</v>
      </c>
      <c r="KAV28" s="234" t="e">
        <f>astrogrep_path&amp;" /e /r /s /spath="&amp;search_path&amp;" /stypes=""app*"&amp;JZR28&amp;"*"&amp;TEXT(JZY28-utc_offset/24,"YYYYMMDD")&amp;"*"" /stext="" "&amp;TEXT(JZY28-utc_offset/24,"HH")&amp;search_regexp&amp;""""</f>
        <v>#REF!</v>
      </c>
      <c r="KAW28" s="234" t="e">
        <f>astrogrep_path&amp;" /e /r /s /spath="&amp;search_path&amp;" /stypes=""app*"&amp;JZS28&amp;"*"&amp;TEXT(JZZ28-utc_offset/24,"YYYYMMDD")&amp;"*"" /stext="" "&amp;TEXT(JZZ28-utc_offset/24,"HH")&amp;search_regexp&amp;""""</f>
        <v>#REF!</v>
      </c>
      <c r="KAX28" s="234" t="e">
        <f>astrogrep_path&amp;" /e /r /s /spath="&amp;search_path&amp;" /stypes=""app*"&amp;JZT28&amp;"*"&amp;TEXT(KAA28-utc_offset/24,"YYYYMMDD")&amp;"*"" /stext="" "&amp;TEXT(KAA28-utc_offset/24,"HH")&amp;search_regexp&amp;""""</f>
        <v>#REF!</v>
      </c>
      <c r="KAY28" s="234" t="e">
        <f>astrogrep_path&amp;" /e /r /s /spath="&amp;search_path&amp;" /stypes=""app*"&amp;JZU28&amp;"*"&amp;TEXT(KAB28-utc_offset/24,"YYYYMMDD")&amp;"*"" /stext="" "&amp;TEXT(KAB28-utc_offset/24,"HH")&amp;search_regexp&amp;""""</f>
        <v>#REF!</v>
      </c>
      <c r="KAZ28" s="234" t="e">
        <f>astrogrep_path&amp;" /e /r /s /spath="&amp;search_path&amp;" /stypes=""app*"&amp;JZV28&amp;"*"&amp;TEXT(KAC28-utc_offset/24,"YYYYMMDD")&amp;"*"" /stext="" "&amp;TEXT(KAC28-utc_offset/24,"HH")&amp;search_regexp&amp;""""</f>
        <v>#REF!</v>
      </c>
      <c r="KBA28" s="234" t="e">
        <f>astrogrep_path&amp;" /e /r /s /spath="&amp;search_path&amp;" /stypes=""app*"&amp;JZW28&amp;"*"&amp;TEXT(KAD28-utc_offset/24,"YYYYMMDD")&amp;"*"" /stext="" "&amp;TEXT(KAD28-utc_offset/24,"HH")&amp;search_regexp&amp;""""</f>
        <v>#REF!</v>
      </c>
      <c r="KBB28" s="234" t="e">
        <f>astrogrep_path&amp;" /e /r /s /spath="&amp;search_path&amp;" /stypes=""app*"&amp;JZX28&amp;"*"&amp;TEXT(KAE28-utc_offset/24,"YYYYMMDD")&amp;"*"" /stext="" "&amp;TEXT(KAE28-utc_offset/24,"HH")&amp;search_regexp&amp;""""</f>
        <v>#REF!</v>
      </c>
      <c r="KBC28" s="234" t="e">
        <f>astrogrep_path&amp;" /e /r /s /spath="&amp;search_path&amp;" /stypes=""app*"&amp;JZY28&amp;"*"&amp;TEXT(KAF28-utc_offset/24,"YYYYMMDD")&amp;"*"" /stext="" "&amp;TEXT(KAF28-utc_offset/24,"HH")&amp;search_regexp&amp;""""</f>
        <v>#REF!</v>
      </c>
      <c r="KBD28" s="234" t="e">
        <f>astrogrep_path&amp;" /e /r /s /spath="&amp;search_path&amp;" /stypes=""app*"&amp;JZZ28&amp;"*"&amp;TEXT(KAG28-utc_offset/24,"YYYYMMDD")&amp;"*"" /stext="" "&amp;TEXT(KAG28-utc_offset/24,"HH")&amp;search_regexp&amp;""""</f>
        <v>#REF!</v>
      </c>
      <c r="KBE28" s="234" t="e">
        <f>astrogrep_path&amp;" /e /r /s /spath="&amp;search_path&amp;" /stypes=""app*"&amp;KAA28&amp;"*"&amp;TEXT(KAH28-utc_offset/24,"YYYYMMDD")&amp;"*"" /stext="" "&amp;TEXT(KAH28-utc_offset/24,"HH")&amp;search_regexp&amp;""""</f>
        <v>#REF!</v>
      </c>
      <c r="KBF28" s="234" t="e">
        <f>astrogrep_path&amp;" /e /r /s /spath="&amp;search_path&amp;" /stypes=""app*"&amp;KAB28&amp;"*"&amp;TEXT(KAI28-utc_offset/24,"YYYYMMDD")&amp;"*"" /stext="" "&amp;TEXT(KAI28-utc_offset/24,"HH")&amp;search_regexp&amp;""""</f>
        <v>#REF!</v>
      </c>
      <c r="KBG28" s="234" t="e">
        <f>astrogrep_path&amp;" /e /r /s /spath="&amp;search_path&amp;" /stypes=""app*"&amp;KAC28&amp;"*"&amp;TEXT(KAJ28-utc_offset/24,"YYYYMMDD")&amp;"*"" /stext="" "&amp;TEXT(KAJ28-utc_offset/24,"HH")&amp;search_regexp&amp;""""</f>
        <v>#REF!</v>
      </c>
      <c r="KBH28" s="234" t="e">
        <f>astrogrep_path&amp;" /e /r /s /spath="&amp;search_path&amp;" /stypes=""app*"&amp;KAD28&amp;"*"&amp;TEXT(KAK28-utc_offset/24,"YYYYMMDD")&amp;"*"" /stext="" "&amp;TEXT(KAK28-utc_offset/24,"HH")&amp;search_regexp&amp;""""</f>
        <v>#REF!</v>
      </c>
      <c r="KBI28" s="234" t="e">
        <f>astrogrep_path&amp;" /e /r /s /spath="&amp;search_path&amp;" /stypes=""app*"&amp;KAE28&amp;"*"&amp;TEXT(KAL28-utc_offset/24,"YYYYMMDD")&amp;"*"" /stext="" "&amp;TEXT(KAL28-utc_offset/24,"HH")&amp;search_regexp&amp;""""</f>
        <v>#REF!</v>
      </c>
      <c r="KBJ28" s="234" t="e">
        <f>astrogrep_path&amp;" /e /r /s /spath="&amp;search_path&amp;" /stypes=""app*"&amp;KAF28&amp;"*"&amp;TEXT(KAM28-utc_offset/24,"YYYYMMDD")&amp;"*"" /stext="" "&amp;TEXT(KAM28-utc_offset/24,"HH")&amp;search_regexp&amp;""""</f>
        <v>#REF!</v>
      </c>
      <c r="KBK28" s="234" t="e">
        <f>astrogrep_path&amp;" /e /r /s /spath="&amp;search_path&amp;" /stypes=""app*"&amp;KAG28&amp;"*"&amp;TEXT(KAN28-utc_offset/24,"YYYYMMDD")&amp;"*"" /stext="" "&amp;TEXT(KAN28-utc_offset/24,"HH")&amp;search_regexp&amp;""""</f>
        <v>#REF!</v>
      </c>
      <c r="KBL28" s="234" t="e">
        <f>astrogrep_path&amp;" /e /r /s /spath="&amp;search_path&amp;" /stypes=""app*"&amp;KAH28&amp;"*"&amp;TEXT(KAO28-utc_offset/24,"YYYYMMDD")&amp;"*"" /stext="" "&amp;TEXT(KAO28-utc_offset/24,"HH")&amp;search_regexp&amp;""""</f>
        <v>#REF!</v>
      </c>
      <c r="KBM28" s="234" t="e">
        <f>astrogrep_path&amp;" /e /r /s /spath="&amp;search_path&amp;" /stypes=""app*"&amp;KAI28&amp;"*"&amp;TEXT(KAP28-utc_offset/24,"YYYYMMDD")&amp;"*"" /stext="" "&amp;TEXT(KAP28-utc_offset/24,"HH")&amp;search_regexp&amp;""""</f>
        <v>#VALUE!</v>
      </c>
      <c r="KBN28" s="234" t="e">
        <f>astrogrep_path&amp;" /e /r /s /spath="&amp;search_path&amp;" /stypes=""app*"&amp;KAJ28&amp;"*"&amp;TEXT(KAQ28-utc_offset/24,"YYYYMMDD")&amp;"*"" /stext="" "&amp;TEXT(KAQ28-utc_offset/24,"HH")&amp;search_regexp&amp;""""</f>
        <v>#VALUE!</v>
      </c>
      <c r="KBO28" s="234" t="e">
        <f>astrogrep_path&amp;" /e /r /s /spath="&amp;search_path&amp;" /stypes=""app*"&amp;KAK28&amp;"*"&amp;TEXT(KAR28-utc_offset/24,"YYYYMMDD")&amp;"*"" /stext="" "&amp;TEXT(KAR28-utc_offset/24,"HH")&amp;search_regexp&amp;""""</f>
        <v>#REF!</v>
      </c>
      <c r="KBP28" s="234" t="e">
        <f>astrogrep_path&amp;" /e /r /s /spath="&amp;search_path&amp;" /stypes=""app*"&amp;KAL28&amp;"*"&amp;TEXT(KAS28-utc_offset/24,"YYYYMMDD")&amp;"*"" /stext="" "&amp;TEXT(KAS28-utc_offset/24,"HH")&amp;search_regexp&amp;""""</f>
        <v>#REF!</v>
      </c>
      <c r="KBQ28" s="234" t="e">
        <f>astrogrep_path&amp;" /e /r /s /spath="&amp;search_path&amp;" /stypes=""app*"&amp;KAM28&amp;"*"&amp;TEXT(KAT28-utc_offset/24,"YYYYMMDD")&amp;"*"" /stext="" "&amp;TEXT(KAT28-utc_offset/24,"HH")&amp;search_regexp&amp;""""</f>
        <v>#VALUE!</v>
      </c>
      <c r="KBR28" s="234" t="e">
        <f>astrogrep_path&amp;" /e /r /s /spath="&amp;search_path&amp;" /stypes=""app*"&amp;KAN28&amp;"*"&amp;TEXT(KAU28-utc_offset/24,"YYYYMMDD")&amp;"*"" /stext="" "&amp;TEXT(KAU28-utc_offset/24,"HH")&amp;search_regexp&amp;""""</f>
        <v>#VALUE!</v>
      </c>
      <c r="KBS28" s="234" t="e">
        <f>astrogrep_path&amp;" /e /r /s /spath="&amp;search_path&amp;" /stypes=""app*"&amp;KAO28&amp;"*"&amp;TEXT(KAV28-utc_offset/24,"YYYYMMDD")&amp;"*"" /stext="" "&amp;TEXT(KAV28-utc_offset/24,"HH")&amp;search_regexp&amp;""""</f>
        <v>#VALUE!</v>
      </c>
      <c r="KBT28" s="234" t="e">
        <f>astrogrep_path&amp;" /e /r /s /spath="&amp;search_path&amp;" /stypes=""app*"&amp;KAP28&amp;"*"&amp;TEXT(KAW28-utc_offset/24,"YYYYMMDD")&amp;"*"" /stext="" "&amp;TEXT(KAW28-utc_offset/24,"HH")&amp;search_regexp&amp;""""</f>
        <v>#VALUE!</v>
      </c>
      <c r="KBU28" s="234" t="e">
        <f>astrogrep_path&amp;" /e /r /s /spath="&amp;search_path&amp;" /stypes=""app*"&amp;KAQ28&amp;"*"&amp;TEXT(KAX28-utc_offset/24,"YYYYMMDD")&amp;"*"" /stext="" "&amp;TEXT(KAX28-utc_offset/24,"HH")&amp;search_regexp&amp;""""</f>
        <v>#VALUE!</v>
      </c>
      <c r="KBV28" s="234" t="e">
        <f>astrogrep_path&amp;" /e /r /s /spath="&amp;search_path&amp;" /stypes=""app*"&amp;KAR28&amp;"*"&amp;TEXT(KAY28-utc_offset/24,"YYYYMMDD")&amp;"*"" /stext="" "&amp;TEXT(KAY28-utc_offset/24,"HH")&amp;search_regexp&amp;""""</f>
        <v>#REF!</v>
      </c>
      <c r="KBW28" s="234" t="e">
        <f>astrogrep_path&amp;" /e /r /s /spath="&amp;search_path&amp;" /stypes=""app*"&amp;KAS28&amp;"*"&amp;TEXT(KAZ28-utc_offset/24,"YYYYMMDD")&amp;"*"" /stext="" "&amp;TEXT(KAZ28-utc_offset/24,"HH")&amp;search_regexp&amp;""""</f>
        <v>#REF!</v>
      </c>
      <c r="KBX28" s="234" t="e">
        <f>astrogrep_path&amp;" /e /r /s /spath="&amp;search_path&amp;" /stypes=""app*"&amp;KAT28&amp;"*"&amp;TEXT(KBA28-utc_offset/24,"YYYYMMDD")&amp;"*"" /stext="" "&amp;TEXT(KBA28-utc_offset/24,"HH")&amp;search_regexp&amp;""""</f>
        <v>#REF!</v>
      </c>
      <c r="KBY28" s="234" t="e">
        <f>astrogrep_path&amp;" /e /r /s /spath="&amp;search_path&amp;" /stypes=""app*"&amp;KAU28&amp;"*"&amp;TEXT(KBB28-utc_offset/24,"YYYYMMDD")&amp;"*"" /stext="" "&amp;TEXT(KBB28-utc_offset/24,"HH")&amp;search_regexp&amp;""""</f>
        <v>#REF!</v>
      </c>
      <c r="KBZ28" s="234" t="e">
        <f>astrogrep_path&amp;" /e /r /s /spath="&amp;search_path&amp;" /stypes=""app*"&amp;KAV28&amp;"*"&amp;TEXT(KBC28-utc_offset/24,"YYYYMMDD")&amp;"*"" /stext="" "&amp;TEXT(KBC28-utc_offset/24,"HH")&amp;search_regexp&amp;""""</f>
        <v>#REF!</v>
      </c>
      <c r="KCA28" s="234" t="e">
        <f>astrogrep_path&amp;" /e /r /s /spath="&amp;search_path&amp;" /stypes=""app*"&amp;KAW28&amp;"*"&amp;TEXT(KBD28-utc_offset/24,"YYYYMMDD")&amp;"*"" /stext="" "&amp;TEXT(KBD28-utc_offset/24,"HH")&amp;search_regexp&amp;""""</f>
        <v>#REF!</v>
      </c>
      <c r="KCB28" s="234" t="e">
        <f>astrogrep_path&amp;" /e /r /s /spath="&amp;search_path&amp;" /stypes=""app*"&amp;KAX28&amp;"*"&amp;TEXT(KBE28-utc_offset/24,"YYYYMMDD")&amp;"*"" /stext="" "&amp;TEXT(KBE28-utc_offset/24,"HH")&amp;search_regexp&amp;""""</f>
        <v>#REF!</v>
      </c>
      <c r="KCC28" s="234" t="e">
        <f>astrogrep_path&amp;" /e /r /s /spath="&amp;search_path&amp;" /stypes=""app*"&amp;KAY28&amp;"*"&amp;TEXT(KBF28-utc_offset/24,"YYYYMMDD")&amp;"*"" /stext="" "&amp;TEXT(KBF28-utc_offset/24,"HH")&amp;search_regexp&amp;""""</f>
        <v>#REF!</v>
      </c>
      <c r="KCD28" s="234" t="e">
        <f>astrogrep_path&amp;" /e /r /s /spath="&amp;search_path&amp;" /stypes=""app*"&amp;KAZ28&amp;"*"&amp;TEXT(KBG28-utc_offset/24,"YYYYMMDD")&amp;"*"" /stext="" "&amp;TEXT(KBG28-utc_offset/24,"HH")&amp;search_regexp&amp;""""</f>
        <v>#REF!</v>
      </c>
      <c r="KCE28" s="234" t="e">
        <f>astrogrep_path&amp;" /e /r /s /spath="&amp;search_path&amp;" /stypes=""app*"&amp;KBA28&amp;"*"&amp;TEXT(KBH28-utc_offset/24,"YYYYMMDD")&amp;"*"" /stext="" "&amp;TEXT(KBH28-utc_offset/24,"HH")&amp;search_regexp&amp;""""</f>
        <v>#REF!</v>
      </c>
      <c r="KCF28" s="234" t="e">
        <f>astrogrep_path&amp;" /e /r /s /spath="&amp;search_path&amp;" /stypes=""app*"&amp;KBB28&amp;"*"&amp;TEXT(KBI28-utc_offset/24,"YYYYMMDD")&amp;"*"" /stext="" "&amp;TEXT(KBI28-utc_offset/24,"HH")&amp;search_regexp&amp;""""</f>
        <v>#REF!</v>
      </c>
      <c r="KCG28" s="234" t="e">
        <f>astrogrep_path&amp;" /e /r /s /spath="&amp;search_path&amp;" /stypes=""app*"&amp;KBC28&amp;"*"&amp;TEXT(KBJ28-utc_offset/24,"YYYYMMDD")&amp;"*"" /stext="" "&amp;TEXT(KBJ28-utc_offset/24,"HH")&amp;search_regexp&amp;""""</f>
        <v>#REF!</v>
      </c>
      <c r="KCH28" s="234" t="e">
        <f>astrogrep_path&amp;" /e /r /s /spath="&amp;search_path&amp;" /stypes=""app*"&amp;KBD28&amp;"*"&amp;TEXT(KBK28-utc_offset/24,"YYYYMMDD")&amp;"*"" /stext="" "&amp;TEXT(KBK28-utc_offset/24,"HH")&amp;search_regexp&amp;""""</f>
        <v>#REF!</v>
      </c>
      <c r="KCI28" s="234" t="e">
        <f>astrogrep_path&amp;" /e /r /s /spath="&amp;search_path&amp;" /stypes=""app*"&amp;KBE28&amp;"*"&amp;TEXT(KBL28-utc_offset/24,"YYYYMMDD")&amp;"*"" /stext="" "&amp;TEXT(KBL28-utc_offset/24,"HH")&amp;search_regexp&amp;""""</f>
        <v>#REF!</v>
      </c>
      <c r="KCJ28" s="234" t="e">
        <f>astrogrep_path&amp;" /e /r /s /spath="&amp;search_path&amp;" /stypes=""app*"&amp;KBF28&amp;"*"&amp;TEXT(KBM28-utc_offset/24,"YYYYMMDD")&amp;"*"" /stext="" "&amp;TEXT(KBM28-utc_offset/24,"HH")&amp;search_regexp&amp;""""</f>
        <v>#REF!</v>
      </c>
      <c r="KCK28" s="234" t="e">
        <f>astrogrep_path&amp;" /e /r /s /spath="&amp;search_path&amp;" /stypes=""app*"&amp;KBG28&amp;"*"&amp;TEXT(KBN28-utc_offset/24,"YYYYMMDD")&amp;"*"" /stext="" "&amp;TEXT(KBN28-utc_offset/24,"HH")&amp;search_regexp&amp;""""</f>
        <v>#REF!</v>
      </c>
      <c r="KCL28" s="234" t="e">
        <f>astrogrep_path&amp;" /e /r /s /spath="&amp;search_path&amp;" /stypes=""app*"&amp;KBH28&amp;"*"&amp;TEXT(KBO28-utc_offset/24,"YYYYMMDD")&amp;"*"" /stext="" "&amp;TEXT(KBO28-utc_offset/24,"HH")&amp;search_regexp&amp;""""</f>
        <v>#REF!</v>
      </c>
      <c r="KCM28" s="234" t="e">
        <f>astrogrep_path&amp;" /e /r /s /spath="&amp;search_path&amp;" /stypes=""app*"&amp;KBI28&amp;"*"&amp;TEXT(KBP28-utc_offset/24,"YYYYMMDD")&amp;"*"" /stext="" "&amp;TEXT(KBP28-utc_offset/24,"HH")&amp;search_regexp&amp;""""</f>
        <v>#REF!</v>
      </c>
      <c r="KCN28" s="234" t="e">
        <f>astrogrep_path&amp;" /e /r /s /spath="&amp;search_path&amp;" /stypes=""app*"&amp;KBJ28&amp;"*"&amp;TEXT(KBQ28-utc_offset/24,"YYYYMMDD")&amp;"*"" /stext="" "&amp;TEXT(KBQ28-utc_offset/24,"HH")&amp;search_regexp&amp;""""</f>
        <v>#REF!</v>
      </c>
      <c r="KCO28" s="234" t="e">
        <f>astrogrep_path&amp;" /e /r /s /spath="&amp;search_path&amp;" /stypes=""app*"&amp;KBK28&amp;"*"&amp;TEXT(KBR28-utc_offset/24,"YYYYMMDD")&amp;"*"" /stext="" "&amp;TEXT(KBR28-utc_offset/24,"HH")&amp;search_regexp&amp;""""</f>
        <v>#REF!</v>
      </c>
      <c r="KCP28" s="234" t="e">
        <f>astrogrep_path&amp;" /e /r /s /spath="&amp;search_path&amp;" /stypes=""app*"&amp;KBL28&amp;"*"&amp;TEXT(KBS28-utc_offset/24,"YYYYMMDD")&amp;"*"" /stext="" "&amp;TEXT(KBS28-utc_offset/24,"HH")&amp;search_regexp&amp;""""</f>
        <v>#REF!</v>
      </c>
      <c r="KCQ28" s="234" t="e">
        <f>astrogrep_path&amp;" /e /r /s /spath="&amp;search_path&amp;" /stypes=""app*"&amp;KBM28&amp;"*"&amp;TEXT(KBT28-utc_offset/24,"YYYYMMDD")&amp;"*"" /stext="" "&amp;TEXT(KBT28-utc_offset/24,"HH")&amp;search_regexp&amp;""""</f>
        <v>#VALUE!</v>
      </c>
      <c r="KCR28" s="234" t="e">
        <f>astrogrep_path&amp;" /e /r /s /spath="&amp;search_path&amp;" /stypes=""app*"&amp;KBN28&amp;"*"&amp;TEXT(KBU28-utc_offset/24,"YYYYMMDD")&amp;"*"" /stext="" "&amp;TEXT(KBU28-utc_offset/24,"HH")&amp;search_regexp&amp;""""</f>
        <v>#VALUE!</v>
      </c>
      <c r="KCS28" s="234" t="e">
        <f>astrogrep_path&amp;" /e /r /s /spath="&amp;search_path&amp;" /stypes=""app*"&amp;KBO28&amp;"*"&amp;TEXT(KBV28-utc_offset/24,"YYYYMMDD")&amp;"*"" /stext="" "&amp;TEXT(KBV28-utc_offset/24,"HH")&amp;search_regexp&amp;""""</f>
        <v>#REF!</v>
      </c>
      <c r="KCT28" s="234" t="e">
        <f>astrogrep_path&amp;" /e /r /s /spath="&amp;search_path&amp;" /stypes=""app*"&amp;KBP28&amp;"*"&amp;TEXT(KBW28-utc_offset/24,"YYYYMMDD")&amp;"*"" /stext="" "&amp;TEXT(KBW28-utc_offset/24,"HH")&amp;search_regexp&amp;""""</f>
        <v>#REF!</v>
      </c>
      <c r="KCU28" s="234" t="e">
        <f>astrogrep_path&amp;" /e /r /s /spath="&amp;search_path&amp;" /stypes=""app*"&amp;KBQ28&amp;"*"&amp;TEXT(KBX28-utc_offset/24,"YYYYMMDD")&amp;"*"" /stext="" "&amp;TEXT(KBX28-utc_offset/24,"HH")&amp;search_regexp&amp;""""</f>
        <v>#VALUE!</v>
      </c>
      <c r="KCV28" s="234" t="e">
        <f>astrogrep_path&amp;" /e /r /s /spath="&amp;search_path&amp;" /stypes=""app*"&amp;KBR28&amp;"*"&amp;TEXT(KBY28-utc_offset/24,"YYYYMMDD")&amp;"*"" /stext="" "&amp;TEXT(KBY28-utc_offset/24,"HH")&amp;search_regexp&amp;""""</f>
        <v>#VALUE!</v>
      </c>
      <c r="KCW28" s="234" t="e">
        <f>astrogrep_path&amp;" /e /r /s /spath="&amp;search_path&amp;" /stypes=""app*"&amp;KBS28&amp;"*"&amp;TEXT(KBZ28-utc_offset/24,"YYYYMMDD")&amp;"*"" /stext="" "&amp;TEXT(KBZ28-utc_offset/24,"HH")&amp;search_regexp&amp;""""</f>
        <v>#VALUE!</v>
      </c>
      <c r="KCX28" s="234" t="e">
        <f>astrogrep_path&amp;" /e /r /s /spath="&amp;search_path&amp;" /stypes=""app*"&amp;KBT28&amp;"*"&amp;TEXT(KCA28-utc_offset/24,"YYYYMMDD")&amp;"*"" /stext="" "&amp;TEXT(KCA28-utc_offset/24,"HH")&amp;search_regexp&amp;""""</f>
        <v>#VALUE!</v>
      </c>
      <c r="KCY28" s="234" t="e">
        <f>astrogrep_path&amp;" /e /r /s /spath="&amp;search_path&amp;" /stypes=""app*"&amp;KBU28&amp;"*"&amp;TEXT(KCB28-utc_offset/24,"YYYYMMDD")&amp;"*"" /stext="" "&amp;TEXT(KCB28-utc_offset/24,"HH")&amp;search_regexp&amp;""""</f>
        <v>#VALUE!</v>
      </c>
      <c r="KCZ28" s="234" t="e">
        <f>astrogrep_path&amp;" /e /r /s /spath="&amp;search_path&amp;" /stypes=""app*"&amp;KBV28&amp;"*"&amp;TEXT(KCC28-utc_offset/24,"YYYYMMDD")&amp;"*"" /stext="" "&amp;TEXT(KCC28-utc_offset/24,"HH")&amp;search_regexp&amp;""""</f>
        <v>#REF!</v>
      </c>
      <c r="KDA28" s="234" t="e">
        <f>astrogrep_path&amp;" /e /r /s /spath="&amp;search_path&amp;" /stypes=""app*"&amp;KBW28&amp;"*"&amp;TEXT(KCD28-utc_offset/24,"YYYYMMDD")&amp;"*"" /stext="" "&amp;TEXT(KCD28-utc_offset/24,"HH")&amp;search_regexp&amp;""""</f>
        <v>#REF!</v>
      </c>
      <c r="KDB28" s="234" t="e">
        <f>astrogrep_path&amp;" /e /r /s /spath="&amp;search_path&amp;" /stypes=""app*"&amp;KBX28&amp;"*"&amp;TEXT(KCE28-utc_offset/24,"YYYYMMDD")&amp;"*"" /stext="" "&amp;TEXT(KCE28-utc_offset/24,"HH")&amp;search_regexp&amp;""""</f>
        <v>#REF!</v>
      </c>
      <c r="KDC28" s="234" t="e">
        <f>astrogrep_path&amp;" /e /r /s /spath="&amp;search_path&amp;" /stypes=""app*"&amp;KBY28&amp;"*"&amp;TEXT(KCF28-utc_offset/24,"YYYYMMDD")&amp;"*"" /stext="" "&amp;TEXT(KCF28-utc_offset/24,"HH")&amp;search_regexp&amp;""""</f>
        <v>#REF!</v>
      </c>
      <c r="KDD28" s="234" t="e">
        <f>astrogrep_path&amp;" /e /r /s /spath="&amp;search_path&amp;" /stypes=""app*"&amp;KBZ28&amp;"*"&amp;TEXT(KCG28-utc_offset/24,"YYYYMMDD")&amp;"*"" /stext="" "&amp;TEXT(KCG28-utc_offset/24,"HH")&amp;search_regexp&amp;""""</f>
        <v>#REF!</v>
      </c>
      <c r="KDE28" s="234" t="e">
        <f>astrogrep_path&amp;" /e /r /s /spath="&amp;search_path&amp;" /stypes=""app*"&amp;KCA28&amp;"*"&amp;TEXT(KCH28-utc_offset/24,"YYYYMMDD")&amp;"*"" /stext="" "&amp;TEXT(KCH28-utc_offset/24,"HH")&amp;search_regexp&amp;""""</f>
        <v>#REF!</v>
      </c>
      <c r="KDF28" s="234" t="e">
        <f>astrogrep_path&amp;" /e /r /s /spath="&amp;search_path&amp;" /stypes=""app*"&amp;KCB28&amp;"*"&amp;TEXT(KCI28-utc_offset/24,"YYYYMMDD")&amp;"*"" /stext="" "&amp;TEXT(KCI28-utc_offset/24,"HH")&amp;search_regexp&amp;""""</f>
        <v>#REF!</v>
      </c>
      <c r="KDG28" s="234" t="e">
        <f>astrogrep_path&amp;" /e /r /s /spath="&amp;search_path&amp;" /stypes=""app*"&amp;KCC28&amp;"*"&amp;TEXT(KCJ28-utc_offset/24,"YYYYMMDD")&amp;"*"" /stext="" "&amp;TEXT(KCJ28-utc_offset/24,"HH")&amp;search_regexp&amp;""""</f>
        <v>#REF!</v>
      </c>
      <c r="KDH28" s="234" t="e">
        <f>astrogrep_path&amp;" /e /r /s /spath="&amp;search_path&amp;" /stypes=""app*"&amp;KCD28&amp;"*"&amp;TEXT(KCK28-utc_offset/24,"YYYYMMDD")&amp;"*"" /stext="" "&amp;TEXT(KCK28-utc_offset/24,"HH")&amp;search_regexp&amp;""""</f>
        <v>#REF!</v>
      </c>
      <c r="KDI28" s="234" t="e">
        <f>astrogrep_path&amp;" /e /r /s /spath="&amp;search_path&amp;" /stypes=""app*"&amp;KCE28&amp;"*"&amp;TEXT(KCL28-utc_offset/24,"YYYYMMDD")&amp;"*"" /stext="" "&amp;TEXT(KCL28-utc_offset/24,"HH")&amp;search_regexp&amp;""""</f>
        <v>#REF!</v>
      </c>
      <c r="KDJ28" s="234" t="e">
        <f>astrogrep_path&amp;" /e /r /s /spath="&amp;search_path&amp;" /stypes=""app*"&amp;KCF28&amp;"*"&amp;TEXT(KCM28-utc_offset/24,"YYYYMMDD")&amp;"*"" /stext="" "&amp;TEXT(KCM28-utc_offset/24,"HH")&amp;search_regexp&amp;""""</f>
        <v>#REF!</v>
      </c>
      <c r="KDK28" s="234" t="e">
        <f>astrogrep_path&amp;" /e /r /s /spath="&amp;search_path&amp;" /stypes=""app*"&amp;KCG28&amp;"*"&amp;TEXT(KCN28-utc_offset/24,"YYYYMMDD")&amp;"*"" /stext="" "&amp;TEXT(KCN28-utc_offset/24,"HH")&amp;search_regexp&amp;""""</f>
        <v>#REF!</v>
      </c>
      <c r="KDL28" s="234" t="e">
        <f>astrogrep_path&amp;" /e /r /s /spath="&amp;search_path&amp;" /stypes=""app*"&amp;KCH28&amp;"*"&amp;TEXT(KCO28-utc_offset/24,"YYYYMMDD")&amp;"*"" /stext="" "&amp;TEXT(KCO28-utc_offset/24,"HH")&amp;search_regexp&amp;""""</f>
        <v>#REF!</v>
      </c>
      <c r="KDM28" s="234" t="e">
        <f>astrogrep_path&amp;" /e /r /s /spath="&amp;search_path&amp;" /stypes=""app*"&amp;KCI28&amp;"*"&amp;TEXT(KCP28-utc_offset/24,"YYYYMMDD")&amp;"*"" /stext="" "&amp;TEXT(KCP28-utc_offset/24,"HH")&amp;search_regexp&amp;""""</f>
        <v>#REF!</v>
      </c>
      <c r="KDN28" s="234" t="e">
        <f>astrogrep_path&amp;" /e /r /s /spath="&amp;search_path&amp;" /stypes=""app*"&amp;KCJ28&amp;"*"&amp;TEXT(KCQ28-utc_offset/24,"YYYYMMDD")&amp;"*"" /stext="" "&amp;TEXT(KCQ28-utc_offset/24,"HH")&amp;search_regexp&amp;""""</f>
        <v>#REF!</v>
      </c>
      <c r="KDO28" s="234" t="e">
        <f>astrogrep_path&amp;" /e /r /s /spath="&amp;search_path&amp;" /stypes=""app*"&amp;KCK28&amp;"*"&amp;TEXT(KCR28-utc_offset/24,"YYYYMMDD")&amp;"*"" /stext="" "&amp;TEXT(KCR28-utc_offset/24,"HH")&amp;search_regexp&amp;""""</f>
        <v>#REF!</v>
      </c>
      <c r="KDP28" s="234" t="e">
        <f>astrogrep_path&amp;" /e /r /s /spath="&amp;search_path&amp;" /stypes=""app*"&amp;KCL28&amp;"*"&amp;TEXT(KCS28-utc_offset/24,"YYYYMMDD")&amp;"*"" /stext="" "&amp;TEXT(KCS28-utc_offset/24,"HH")&amp;search_regexp&amp;""""</f>
        <v>#REF!</v>
      </c>
      <c r="KDQ28" s="234" t="e">
        <f>astrogrep_path&amp;" /e /r /s /spath="&amp;search_path&amp;" /stypes=""app*"&amp;KCM28&amp;"*"&amp;TEXT(KCT28-utc_offset/24,"YYYYMMDD")&amp;"*"" /stext="" "&amp;TEXT(KCT28-utc_offset/24,"HH")&amp;search_regexp&amp;""""</f>
        <v>#REF!</v>
      </c>
      <c r="KDR28" s="234" t="e">
        <f>astrogrep_path&amp;" /e /r /s /spath="&amp;search_path&amp;" /stypes=""app*"&amp;KCN28&amp;"*"&amp;TEXT(KCU28-utc_offset/24,"YYYYMMDD")&amp;"*"" /stext="" "&amp;TEXT(KCU28-utc_offset/24,"HH")&amp;search_regexp&amp;""""</f>
        <v>#REF!</v>
      </c>
      <c r="KDS28" s="234" t="e">
        <f>astrogrep_path&amp;" /e /r /s /spath="&amp;search_path&amp;" /stypes=""app*"&amp;KCO28&amp;"*"&amp;TEXT(KCV28-utc_offset/24,"YYYYMMDD")&amp;"*"" /stext="" "&amp;TEXT(KCV28-utc_offset/24,"HH")&amp;search_regexp&amp;""""</f>
        <v>#REF!</v>
      </c>
      <c r="KDT28" s="234" t="e">
        <f>astrogrep_path&amp;" /e /r /s /spath="&amp;search_path&amp;" /stypes=""app*"&amp;KCP28&amp;"*"&amp;TEXT(KCW28-utc_offset/24,"YYYYMMDD")&amp;"*"" /stext="" "&amp;TEXT(KCW28-utc_offset/24,"HH")&amp;search_regexp&amp;""""</f>
        <v>#REF!</v>
      </c>
      <c r="KDU28" s="234" t="e">
        <f>astrogrep_path&amp;" /e /r /s /spath="&amp;search_path&amp;" /stypes=""app*"&amp;KCQ28&amp;"*"&amp;TEXT(KCX28-utc_offset/24,"YYYYMMDD")&amp;"*"" /stext="" "&amp;TEXT(KCX28-utc_offset/24,"HH")&amp;search_regexp&amp;""""</f>
        <v>#VALUE!</v>
      </c>
      <c r="KDV28" s="234" t="e">
        <f>astrogrep_path&amp;" /e /r /s /spath="&amp;search_path&amp;" /stypes=""app*"&amp;KCR28&amp;"*"&amp;TEXT(KCY28-utc_offset/24,"YYYYMMDD")&amp;"*"" /stext="" "&amp;TEXT(KCY28-utc_offset/24,"HH")&amp;search_regexp&amp;""""</f>
        <v>#VALUE!</v>
      </c>
      <c r="KDW28" s="234" t="e">
        <f>astrogrep_path&amp;" /e /r /s /spath="&amp;search_path&amp;" /stypes=""app*"&amp;KCS28&amp;"*"&amp;TEXT(KCZ28-utc_offset/24,"YYYYMMDD")&amp;"*"" /stext="" "&amp;TEXT(KCZ28-utc_offset/24,"HH")&amp;search_regexp&amp;""""</f>
        <v>#REF!</v>
      </c>
      <c r="KDX28" s="234" t="e">
        <f>astrogrep_path&amp;" /e /r /s /spath="&amp;search_path&amp;" /stypes=""app*"&amp;KCT28&amp;"*"&amp;TEXT(KDA28-utc_offset/24,"YYYYMMDD")&amp;"*"" /stext="" "&amp;TEXT(KDA28-utc_offset/24,"HH")&amp;search_regexp&amp;""""</f>
        <v>#REF!</v>
      </c>
      <c r="KDY28" s="234" t="e">
        <f>astrogrep_path&amp;" /e /r /s /spath="&amp;search_path&amp;" /stypes=""app*"&amp;KCU28&amp;"*"&amp;TEXT(KDB28-utc_offset/24,"YYYYMMDD")&amp;"*"" /stext="" "&amp;TEXT(KDB28-utc_offset/24,"HH")&amp;search_regexp&amp;""""</f>
        <v>#VALUE!</v>
      </c>
      <c r="KDZ28" s="234" t="e">
        <f>astrogrep_path&amp;" /e /r /s /spath="&amp;search_path&amp;" /stypes=""app*"&amp;KCV28&amp;"*"&amp;TEXT(KDC28-utc_offset/24,"YYYYMMDD")&amp;"*"" /stext="" "&amp;TEXT(KDC28-utc_offset/24,"HH")&amp;search_regexp&amp;""""</f>
        <v>#VALUE!</v>
      </c>
      <c r="KEA28" s="234" t="e">
        <f>astrogrep_path&amp;" /e /r /s /spath="&amp;search_path&amp;" /stypes=""app*"&amp;KCW28&amp;"*"&amp;TEXT(KDD28-utc_offset/24,"YYYYMMDD")&amp;"*"" /stext="" "&amp;TEXT(KDD28-utc_offset/24,"HH")&amp;search_regexp&amp;""""</f>
        <v>#VALUE!</v>
      </c>
      <c r="KEB28" s="234" t="e">
        <f>astrogrep_path&amp;" /e /r /s /spath="&amp;search_path&amp;" /stypes=""app*"&amp;KCX28&amp;"*"&amp;TEXT(KDE28-utc_offset/24,"YYYYMMDD")&amp;"*"" /stext="" "&amp;TEXT(KDE28-utc_offset/24,"HH")&amp;search_regexp&amp;""""</f>
        <v>#VALUE!</v>
      </c>
      <c r="KEC28" s="234" t="e">
        <f>astrogrep_path&amp;" /e /r /s /spath="&amp;search_path&amp;" /stypes=""app*"&amp;KCY28&amp;"*"&amp;TEXT(KDF28-utc_offset/24,"YYYYMMDD")&amp;"*"" /stext="" "&amp;TEXT(KDF28-utc_offset/24,"HH")&amp;search_regexp&amp;""""</f>
        <v>#VALUE!</v>
      </c>
      <c r="KED28" s="234" t="e">
        <f>astrogrep_path&amp;" /e /r /s /spath="&amp;search_path&amp;" /stypes=""app*"&amp;KCZ28&amp;"*"&amp;TEXT(KDG28-utc_offset/24,"YYYYMMDD")&amp;"*"" /stext="" "&amp;TEXT(KDG28-utc_offset/24,"HH")&amp;search_regexp&amp;""""</f>
        <v>#REF!</v>
      </c>
      <c r="KEE28" s="234" t="e">
        <f>astrogrep_path&amp;" /e /r /s /spath="&amp;search_path&amp;" /stypes=""app*"&amp;KDA28&amp;"*"&amp;TEXT(KDH28-utc_offset/24,"YYYYMMDD")&amp;"*"" /stext="" "&amp;TEXT(KDH28-utc_offset/24,"HH")&amp;search_regexp&amp;""""</f>
        <v>#REF!</v>
      </c>
      <c r="KEF28" s="234" t="e">
        <f>astrogrep_path&amp;" /e /r /s /spath="&amp;search_path&amp;" /stypes=""app*"&amp;KDB28&amp;"*"&amp;TEXT(KDI28-utc_offset/24,"YYYYMMDD")&amp;"*"" /stext="" "&amp;TEXT(KDI28-utc_offset/24,"HH")&amp;search_regexp&amp;""""</f>
        <v>#REF!</v>
      </c>
      <c r="KEG28" s="234" t="e">
        <f>astrogrep_path&amp;" /e /r /s /spath="&amp;search_path&amp;" /stypes=""app*"&amp;KDC28&amp;"*"&amp;TEXT(KDJ28-utc_offset/24,"YYYYMMDD")&amp;"*"" /stext="" "&amp;TEXT(KDJ28-utc_offset/24,"HH")&amp;search_regexp&amp;""""</f>
        <v>#REF!</v>
      </c>
      <c r="KEH28" s="234" t="e">
        <f>astrogrep_path&amp;" /e /r /s /spath="&amp;search_path&amp;" /stypes=""app*"&amp;KDD28&amp;"*"&amp;TEXT(KDK28-utc_offset/24,"YYYYMMDD")&amp;"*"" /stext="" "&amp;TEXT(KDK28-utc_offset/24,"HH")&amp;search_regexp&amp;""""</f>
        <v>#REF!</v>
      </c>
      <c r="KEI28" s="234" t="e">
        <f>astrogrep_path&amp;" /e /r /s /spath="&amp;search_path&amp;" /stypes=""app*"&amp;KDE28&amp;"*"&amp;TEXT(KDL28-utc_offset/24,"YYYYMMDD")&amp;"*"" /stext="" "&amp;TEXT(KDL28-utc_offset/24,"HH")&amp;search_regexp&amp;""""</f>
        <v>#REF!</v>
      </c>
      <c r="KEJ28" s="234" t="e">
        <f>astrogrep_path&amp;" /e /r /s /spath="&amp;search_path&amp;" /stypes=""app*"&amp;KDF28&amp;"*"&amp;TEXT(KDM28-utc_offset/24,"YYYYMMDD")&amp;"*"" /stext="" "&amp;TEXT(KDM28-utc_offset/24,"HH")&amp;search_regexp&amp;""""</f>
        <v>#REF!</v>
      </c>
      <c r="KEK28" s="234" t="e">
        <f>astrogrep_path&amp;" /e /r /s /spath="&amp;search_path&amp;" /stypes=""app*"&amp;KDG28&amp;"*"&amp;TEXT(KDN28-utc_offset/24,"YYYYMMDD")&amp;"*"" /stext="" "&amp;TEXT(KDN28-utc_offset/24,"HH")&amp;search_regexp&amp;""""</f>
        <v>#REF!</v>
      </c>
      <c r="KEL28" s="234" t="e">
        <f>astrogrep_path&amp;" /e /r /s /spath="&amp;search_path&amp;" /stypes=""app*"&amp;KDH28&amp;"*"&amp;TEXT(KDO28-utc_offset/24,"YYYYMMDD")&amp;"*"" /stext="" "&amp;TEXT(KDO28-utc_offset/24,"HH")&amp;search_regexp&amp;""""</f>
        <v>#REF!</v>
      </c>
      <c r="KEM28" s="234" t="e">
        <f>astrogrep_path&amp;" /e /r /s /spath="&amp;search_path&amp;" /stypes=""app*"&amp;KDI28&amp;"*"&amp;TEXT(KDP28-utc_offset/24,"YYYYMMDD")&amp;"*"" /stext="" "&amp;TEXT(KDP28-utc_offset/24,"HH")&amp;search_regexp&amp;""""</f>
        <v>#REF!</v>
      </c>
      <c r="KEN28" s="234" t="e">
        <f>astrogrep_path&amp;" /e /r /s /spath="&amp;search_path&amp;" /stypes=""app*"&amp;KDJ28&amp;"*"&amp;TEXT(KDQ28-utc_offset/24,"YYYYMMDD")&amp;"*"" /stext="" "&amp;TEXT(KDQ28-utc_offset/24,"HH")&amp;search_regexp&amp;""""</f>
        <v>#REF!</v>
      </c>
      <c r="KEO28" s="234" t="e">
        <f>astrogrep_path&amp;" /e /r /s /spath="&amp;search_path&amp;" /stypes=""app*"&amp;KDK28&amp;"*"&amp;TEXT(KDR28-utc_offset/24,"YYYYMMDD")&amp;"*"" /stext="" "&amp;TEXT(KDR28-utc_offset/24,"HH")&amp;search_regexp&amp;""""</f>
        <v>#REF!</v>
      </c>
      <c r="KEP28" s="234" t="e">
        <f>astrogrep_path&amp;" /e /r /s /spath="&amp;search_path&amp;" /stypes=""app*"&amp;KDL28&amp;"*"&amp;TEXT(KDS28-utc_offset/24,"YYYYMMDD")&amp;"*"" /stext="" "&amp;TEXT(KDS28-utc_offset/24,"HH")&amp;search_regexp&amp;""""</f>
        <v>#REF!</v>
      </c>
      <c r="KEQ28" s="234" t="e">
        <f>astrogrep_path&amp;" /e /r /s /spath="&amp;search_path&amp;" /stypes=""app*"&amp;KDM28&amp;"*"&amp;TEXT(KDT28-utc_offset/24,"YYYYMMDD")&amp;"*"" /stext="" "&amp;TEXT(KDT28-utc_offset/24,"HH")&amp;search_regexp&amp;""""</f>
        <v>#REF!</v>
      </c>
      <c r="KER28" s="234" t="e">
        <f>astrogrep_path&amp;" /e /r /s /spath="&amp;search_path&amp;" /stypes=""app*"&amp;KDN28&amp;"*"&amp;TEXT(KDU28-utc_offset/24,"YYYYMMDD")&amp;"*"" /stext="" "&amp;TEXT(KDU28-utc_offset/24,"HH")&amp;search_regexp&amp;""""</f>
        <v>#REF!</v>
      </c>
      <c r="KES28" s="234" t="e">
        <f>astrogrep_path&amp;" /e /r /s /spath="&amp;search_path&amp;" /stypes=""app*"&amp;KDO28&amp;"*"&amp;TEXT(KDV28-utc_offset/24,"YYYYMMDD")&amp;"*"" /stext="" "&amp;TEXT(KDV28-utc_offset/24,"HH")&amp;search_regexp&amp;""""</f>
        <v>#REF!</v>
      </c>
      <c r="KET28" s="234" t="e">
        <f>astrogrep_path&amp;" /e /r /s /spath="&amp;search_path&amp;" /stypes=""app*"&amp;KDP28&amp;"*"&amp;TEXT(KDW28-utc_offset/24,"YYYYMMDD")&amp;"*"" /stext="" "&amp;TEXT(KDW28-utc_offset/24,"HH")&amp;search_regexp&amp;""""</f>
        <v>#REF!</v>
      </c>
      <c r="KEU28" s="234" t="e">
        <f>astrogrep_path&amp;" /e /r /s /spath="&amp;search_path&amp;" /stypes=""app*"&amp;KDQ28&amp;"*"&amp;TEXT(KDX28-utc_offset/24,"YYYYMMDD")&amp;"*"" /stext="" "&amp;TEXT(KDX28-utc_offset/24,"HH")&amp;search_regexp&amp;""""</f>
        <v>#REF!</v>
      </c>
      <c r="KEV28" s="234" t="e">
        <f>astrogrep_path&amp;" /e /r /s /spath="&amp;search_path&amp;" /stypes=""app*"&amp;KDR28&amp;"*"&amp;TEXT(KDY28-utc_offset/24,"YYYYMMDD")&amp;"*"" /stext="" "&amp;TEXT(KDY28-utc_offset/24,"HH")&amp;search_regexp&amp;""""</f>
        <v>#REF!</v>
      </c>
      <c r="KEW28" s="234" t="e">
        <f>astrogrep_path&amp;" /e /r /s /spath="&amp;search_path&amp;" /stypes=""app*"&amp;KDS28&amp;"*"&amp;TEXT(KDZ28-utc_offset/24,"YYYYMMDD")&amp;"*"" /stext="" "&amp;TEXT(KDZ28-utc_offset/24,"HH")&amp;search_regexp&amp;""""</f>
        <v>#REF!</v>
      </c>
      <c r="KEX28" s="234" t="e">
        <f>astrogrep_path&amp;" /e /r /s /spath="&amp;search_path&amp;" /stypes=""app*"&amp;KDT28&amp;"*"&amp;TEXT(KEA28-utc_offset/24,"YYYYMMDD")&amp;"*"" /stext="" "&amp;TEXT(KEA28-utc_offset/24,"HH")&amp;search_regexp&amp;""""</f>
        <v>#REF!</v>
      </c>
      <c r="KEY28" s="234" t="e">
        <f>astrogrep_path&amp;" /e /r /s /spath="&amp;search_path&amp;" /stypes=""app*"&amp;KDU28&amp;"*"&amp;TEXT(KEB28-utc_offset/24,"YYYYMMDD")&amp;"*"" /stext="" "&amp;TEXT(KEB28-utc_offset/24,"HH")&amp;search_regexp&amp;""""</f>
        <v>#VALUE!</v>
      </c>
      <c r="KEZ28" s="234" t="e">
        <f>astrogrep_path&amp;" /e /r /s /spath="&amp;search_path&amp;" /stypes=""app*"&amp;KDV28&amp;"*"&amp;TEXT(KEC28-utc_offset/24,"YYYYMMDD")&amp;"*"" /stext="" "&amp;TEXT(KEC28-utc_offset/24,"HH")&amp;search_regexp&amp;""""</f>
        <v>#VALUE!</v>
      </c>
      <c r="KFA28" s="234" t="e">
        <f>astrogrep_path&amp;" /e /r /s /spath="&amp;search_path&amp;" /stypes=""app*"&amp;KDW28&amp;"*"&amp;TEXT(KED28-utc_offset/24,"YYYYMMDD")&amp;"*"" /stext="" "&amp;TEXT(KED28-utc_offset/24,"HH")&amp;search_regexp&amp;""""</f>
        <v>#REF!</v>
      </c>
      <c r="KFB28" s="234" t="e">
        <f>astrogrep_path&amp;" /e /r /s /spath="&amp;search_path&amp;" /stypes=""app*"&amp;KDX28&amp;"*"&amp;TEXT(KEE28-utc_offset/24,"YYYYMMDD")&amp;"*"" /stext="" "&amp;TEXT(KEE28-utc_offset/24,"HH")&amp;search_regexp&amp;""""</f>
        <v>#REF!</v>
      </c>
      <c r="KFC28" s="234" t="e">
        <f>astrogrep_path&amp;" /e /r /s /spath="&amp;search_path&amp;" /stypes=""app*"&amp;KDY28&amp;"*"&amp;TEXT(KEF28-utc_offset/24,"YYYYMMDD")&amp;"*"" /stext="" "&amp;TEXT(KEF28-utc_offset/24,"HH")&amp;search_regexp&amp;""""</f>
        <v>#VALUE!</v>
      </c>
      <c r="KFD28" s="234" t="e">
        <f>astrogrep_path&amp;" /e /r /s /spath="&amp;search_path&amp;" /stypes=""app*"&amp;KDZ28&amp;"*"&amp;TEXT(KEG28-utc_offset/24,"YYYYMMDD")&amp;"*"" /stext="" "&amp;TEXT(KEG28-utc_offset/24,"HH")&amp;search_regexp&amp;""""</f>
        <v>#VALUE!</v>
      </c>
      <c r="KFE28" s="234" t="e">
        <f>astrogrep_path&amp;" /e /r /s /spath="&amp;search_path&amp;" /stypes=""app*"&amp;KEA28&amp;"*"&amp;TEXT(KEH28-utc_offset/24,"YYYYMMDD")&amp;"*"" /stext="" "&amp;TEXT(KEH28-utc_offset/24,"HH")&amp;search_regexp&amp;""""</f>
        <v>#VALUE!</v>
      </c>
      <c r="KFF28" s="234" t="e">
        <f>astrogrep_path&amp;" /e /r /s /spath="&amp;search_path&amp;" /stypes=""app*"&amp;KEB28&amp;"*"&amp;TEXT(KEI28-utc_offset/24,"YYYYMMDD")&amp;"*"" /stext="" "&amp;TEXT(KEI28-utc_offset/24,"HH")&amp;search_regexp&amp;""""</f>
        <v>#VALUE!</v>
      </c>
      <c r="KFG28" s="234" t="e">
        <f>astrogrep_path&amp;" /e /r /s /spath="&amp;search_path&amp;" /stypes=""app*"&amp;KEC28&amp;"*"&amp;TEXT(KEJ28-utc_offset/24,"YYYYMMDD")&amp;"*"" /stext="" "&amp;TEXT(KEJ28-utc_offset/24,"HH")&amp;search_regexp&amp;""""</f>
        <v>#VALUE!</v>
      </c>
      <c r="KFH28" s="234" t="e">
        <f>astrogrep_path&amp;" /e /r /s /spath="&amp;search_path&amp;" /stypes=""app*"&amp;KED28&amp;"*"&amp;TEXT(KEK28-utc_offset/24,"YYYYMMDD")&amp;"*"" /stext="" "&amp;TEXT(KEK28-utc_offset/24,"HH")&amp;search_regexp&amp;""""</f>
        <v>#REF!</v>
      </c>
      <c r="KFI28" s="234" t="e">
        <f>astrogrep_path&amp;" /e /r /s /spath="&amp;search_path&amp;" /stypes=""app*"&amp;KEE28&amp;"*"&amp;TEXT(KEL28-utc_offset/24,"YYYYMMDD")&amp;"*"" /stext="" "&amp;TEXT(KEL28-utc_offset/24,"HH")&amp;search_regexp&amp;""""</f>
        <v>#REF!</v>
      </c>
      <c r="KFJ28" s="234" t="e">
        <f>astrogrep_path&amp;" /e /r /s /spath="&amp;search_path&amp;" /stypes=""app*"&amp;KEF28&amp;"*"&amp;TEXT(KEM28-utc_offset/24,"YYYYMMDD")&amp;"*"" /stext="" "&amp;TEXT(KEM28-utc_offset/24,"HH")&amp;search_regexp&amp;""""</f>
        <v>#REF!</v>
      </c>
      <c r="KFK28" s="234" t="e">
        <f>astrogrep_path&amp;" /e /r /s /spath="&amp;search_path&amp;" /stypes=""app*"&amp;KEG28&amp;"*"&amp;TEXT(KEN28-utc_offset/24,"YYYYMMDD")&amp;"*"" /stext="" "&amp;TEXT(KEN28-utc_offset/24,"HH")&amp;search_regexp&amp;""""</f>
        <v>#REF!</v>
      </c>
      <c r="KFL28" s="234" t="e">
        <f>astrogrep_path&amp;" /e /r /s /spath="&amp;search_path&amp;" /stypes=""app*"&amp;KEH28&amp;"*"&amp;TEXT(KEO28-utc_offset/24,"YYYYMMDD")&amp;"*"" /stext="" "&amp;TEXT(KEO28-utc_offset/24,"HH")&amp;search_regexp&amp;""""</f>
        <v>#REF!</v>
      </c>
      <c r="KFM28" s="234" t="e">
        <f>astrogrep_path&amp;" /e /r /s /spath="&amp;search_path&amp;" /stypes=""app*"&amp;KEI28&amp;"*"&amp;TEXT(KEP28-utc_offset/24,"YYYYMMDD")&amp;"*"" /stext="" "&amp;TEXT(KEP28-utc_offset/24,"HH")&amp;search_regexp&amp;""""</f>
        <v>#REF!</v>
      </c>
      <c r="KFN28" s="234" t="e">
        <f>astrogrep_path&amp;" /e /r /s /spath="&amp;search_path&amp;" /stypes=""app*"&amp;KEJ28&amp;"*"&amp;TEXT(KEQ28-utc_offset/24,"YYYYMMDD")&amp;"*"" /stext="" "&amp;TEXT(KEQ28-utc_offset/24,"HH")&amp;search_regexp&amp;""""</f>
        <v>#REF!</v>
      </c>
      <c r="KFO28" s="234" t="e">
        <f>astrogrep_path&amp;" /e /r /s /spath="&amp;search_path&amp;" /stypes=""app*"&amp;KEK28&amp;"*"&amp;TEXT(KER28-utc_offset/24,"YYYYMMDD")&amp;"*"" /stext="" "&amp;TEXT(KER28-utc_offset/24,"HH")&amp;search_regexp&amp;""""</f>
        <v>#REF!</v>
      </c>
      <c r="KFP28" s="234" t="e">
        <f>astrogrep_path&amp;" /e /r /s /spath="&amp;search_path&amp;" /stypes=""app*"&amp;KEL28&amp;"*"&amp;TEXT(KES28-utc_offset/24,"YYYYMMDD")&amp;"*"" /stext="" "&amp;TEXT(KES28-utc_offset/24,"HH")&amp;search_regexp&amp;""""</f>
        <v>#REF!</v>
      </c>
      <c r="KFQ28" s="234" t="e">
        <f>astrogrep_path&amp;" /e /r /s /spath="&amp;search_path&amp;" /stypes=""app*"&amp;KEM28&amp;"*"&amp;TEXT(KET28-utc_offset/24,"YYYYMMDD")&amp;"*"" /stext="" "&amp;TEXT(KET28-utc_offset/24,"HH")&amp;search_regexp&amp;""""</f>
        <v>#REF!</v>
      </c>
      <c r="KFR28" s="234" t="e">
        <f>astrogrep_path&amp;" /e /r /s /spath="&amp;search_path&amp;" /stypes=""app*"&amp;KEN28&amp;"*"&amp;TEXT(KEU28-utc_offset/24,"YYYYMMDD")&amp;"*"" /stext="" "&amp;TEXT(KEU28-utc_offset/24,"HH")&amp;search_regexp&amp;""""</f>
        <v>#REF!</v>
      </c>
      <c r="KFS28" s="234" t="e">
        <f>astrogrep_path&amp;" /e /r /s /spath="&amp;search_path&amp;" /stypes=""app*"&amp;KEO28&amp;"*"&amp;TEXT(KEV28-utc_offset/24,"YYYYMMDD")&amp;"*"" /stext="" "&amp;TEXT(KEV28-utc_offset/24,"HH")&amp;search_regexp&amp;""""</f>
        <v>#REF!</v>
      </c>
      <c r="KFT28" s="234" t="e">
        <f>astrogrep_path&amp;" /e /r /s /spath="&amp;search_path&amp;" /stypes=""app*"&amp;KEP28&amp;"*"&amp;TEXT(KEW28-utc_offset/24,"YYYYMMDD")&amp;"*"" /stext="" "&amp;TEXT(KEW28-utc_offset/24,"HH")&amp;search_regexp&amp;""""</f>
        <v>#REF!</v>
      </c>
      <c r="KFU28" s="234" t="e">
        <f>astrogrep_path&amp;" /e /r /s /spath="&amp;search_path&amp;" /stypes=""app*"&amp;KEQ28&amp;"*"&amp;TEXT(KEX28-utc_offset/24,"YYYYMMDD")&amp;"*"" /stext="" "&amp;TEXT(KEX28-utc_offset/24,"HH")&amp;search_regexp&amp;""""</f>
        <v>#REF!</v>
      </c>
      <c r="KFV28" s="234" t="e">
        <f>astrogrep_path&amp;" /e /r /s /spath="&amp;search_path&amp;" /stypes=""app*"&amp;KER28&amp;"*"&amp;TEXT(KEY28-utc_offset/24,"YYYYMMDD")&amp;"*"" /stext="" "&amp;TEXT(KEY28-utc_offset/24,"HH")&amp;search_regexp&amp;""""</f>
        <v>#REF!</v>
      </c>
      <c r="KFW28" s="234" t="e">
        <f>astrogrep_path&amp;" /e /r /s /spath="&amp;search_path&amp;" /stypes=""app*"&amp;KES28&amp;"*"&amp;TEXT(KEZ28-utc_offset/24,"YYYYMMDD")&amp;"*"" /stext="" "&amp;TEXT(KEZ28-utc_offset/24,"HH")&amp;search_regexp&amp;""""</f>
        <v>#REF!</v>
      </c>
      <c r="KFX28" s="234" t="e">
        <f>astrogrep_path&amp;" /e /r /s /spath="&amp;search_path&amp;" /stypes=""app*"&amp;KET28&amp;"*"&amp;TEXT(KFA28-utc_offset/24,"YYYYMMDD")&amp;"*"" /stext="" "&amp;TEXT(KFA28-utc_offset/24,"HH")&amp;search_regexp&amp;""""</f>
        <v>#REF!</v>
      </c>
      <c r="KFY28" s="234" t="e">
        <f>astrogrep_path&amp;" /e /r /s /spath="&amp;search_path&amp;" /stypes=""app*"&amp;KEU28&amp;"*"&amp;TEXT(KFB28-utc_offset/24,"YYYYMMDD")&amp;"*"" /stext="" "&amp;TEXT(KFB28-utc_offset/24,"HH")&amp;search_regexp&amp;""""</f>
        <v>#REF!</v>
      </c>
      <c r="KFZ28" s="234" t="e">
        <f>astrogrep_path&amp;" /e /r /s /spath="&amp;search_path&amp;" /stypes=""app*"&amp;KEV28&amp;"*"&amp;TEXT(KFC28-utc_offset/24,"YYYYMMDD")&amp;"*"" /stext="" "&amp;TEXT(KFC28-utc_offset/24,"HH")&amp;search_regexp&amp;""""</f>
        <v>#REF!</v>
      </c>
      <c r="KGA28" s="234" t="e">
        <f>astrogrep_path&amp;" /e /r /s /spath="&amp;search_path&amp;" /stypes=""app*"&amp;KEW28&amp;"*"&amp;TEXT(KFD28-utc_offset/24,"YYYYMMDD")&amp;"*"" /stext="" "&amp;TEXT(KFD28-utc_offset/24,"HH")&amp;search_regexp&amp;""""</f>
        <v>#REF!</v>
      </c>
      <c r="KGB28" s="234" t="e">
        <f>astrogrep_path&amp;" /e /r /s /spath="&amp;search_path&amp;" /stypes=""app*"&amp;KEX28&amp;"*"&amp;TEXT(KFE28-utc_offset/24,"YYYYMMDD")&amp;"*"" /stext="" "&amp;TEXT(KFE28-utc_offset/24,"HH")&amp;search_regexp&amp;""""</f>
        <v>#REF!</v>
      </c>
      <c r="KGC28" s="234" t="e">
        <f>astrogrep_path&amp;" /e /r /s /spath="&amp;search_path&amp;" /stypes=""app*"&amp;KEY28&amp;"*"&amp;TEXT(KFF28-utc_offset/24,"YYYYMMDD")&amp;"*"" /stext="" "&amp;TEXT(KFF28-utc_offset/24,"HH")&amp;search_regexp&amp;""""</f>
        <v>#VALUE!</v>
      </c>
      <c r="KGD28" s="234" t="e">
        <f>astrogrep_path&amp;" /e /r /s /spath="&amp;search_path&amp;" /stypes=""app*"&amp;KEZ28&amp;"*"&amp;TEXT(KFG28-utc_offset/24,"YYYYMMDD")&amp;"*"" /stext="" "&amp;TEXT(KFG28-utc_offset/24,"HH")&amp;search_regexp&amp;""""</f>
        <v>#VALUE!</v>
      </c>
      <c r="KGE28" s="234" t="e">
        <f>astrogrep_path&amp;" /e /r /s /spath="&amp;search_path&amp;" /stypes=""app*"&amp;KFA28&amp;"*"&amp;TEXT(KFH28-utc_offset/24,"YYYYMMDD")&amp;"*"" /stext="" "&amp;TEXT(KFH28-utc_offset/24,"HH")&amp;search_regexp&amp;""""</f>
        <v>#REF!</v>
      </c>
      <c r="KGF28" s="234" t="e">
        <f>astrogrep_path&amp;" /e /r /s /spath="&amp;search_path&amp;" /stypes=""app*"&amp;KFB28&amp;"*"&amp;TEXT(KFI28-utc_offset/24,"YYYYMMDD")&amp;"*"" /stext="" "&amp;TEXT(KFI28-utc_offset/24,"HH")&amp;search_regexp&amp;""""</f>
        <v>#REF!</v>
      </c>
      <c r="KGG28" s="234" t="e">
        <f>astrogrep_path&amp;" /e /r /s /spath="&amp;search_path&amp;" /stypes=""app*"&amp;KFC28&amp;"*"&amp;TEXT(KFJ28-utc_offset/24,"YYYYMMDD")&amp;"*"" /stext="" "&amp;TEXT(KFJ28-utc_offset/24,"HH")&amp;search_regexp&amp;""""</f>
        <v>#VALUE!</v>
      </c>
      <c r="KGH28" s="234" t="e">
        <f>astrogrep_path&amp;" /e /r /s /spath="&amp;search_path&amp;" /stypes=""app*"&amp;KFD28&amp;"*"&amp;TEXT(KFK28-utc_offset/24,"YYYYMMDD")&amp;"*"" /stext="" "&amp;TEXT(KFK28-utc_offset/24,"HH")&amp;search_regexp&amp;""""</f>
        <v>#VALUE!</v>
      </c>
      <c r="KGI28" s="234" t="e">
        <f>astrogrep_path&amp;" /e /r /s /spath="&amp;search_path&amp;" /stypes=""app*"&amp;KFE28&amp;"*"&amp;TEXT(KFL28-utc_offset/24,"YYYYMMDD")&amp;"*"" /stext="" "&amp;TEXT(KFL28-utc_offset/24,"HH")&amp;search_regexp&amp;""""</f>
        <v>#VALUE!</v>
      </c>
      <c r="KGJ28" s="234" t="e">
        <f>astrogrep_path&amp;" /e /r /s /spath="&amp;search_path&amp;" /stypes=""app*"&amp;KFF28&amp;"*"&amp;TEXT(KFM28-utc_offset/24,"YYYYMMDD")&amp;"*"" /stext="" "&amp;TEXT(KFM28-utc_offset/24,"HH")&amp;search_regexp&amp;""""</f>
        <v>#VALUE!</v>
      </c>
      <c r="KGK28" s="234" t="e">
        <f>astrogrep_path&amp;" /e /r /s /spath="&amp;search_path&amp;" /stypes=""app*"&amp;KFG28&amp;"*"&amp;TEXT(KFN28-utc_offset/24,"YYYYMMDD")&amp;"*"" /stext="" "&amp;TEXT(KFN28-utc_offset/24,"HH")&amp;search_regexp&amp;""""</f>
        <v>#VALUE!</v>
      </c>
      <c r="KGL28" s="234" t="e">
        <f>astrogrep_path&amp;" /e /r /s /spath="&amp;search_path&amp;" /stypes=""app*"&amp;KFH28&amp;"*"&amp;TEXT(KFO28-utc_offset/24,"YYYYMMDD")&amp;"*"" /stext="" "&amp;TEXT(KFO28-utc_offset/24,"HH")&amp;search_regexp&amp;""""</f>
        <v>#REF!</v>
      </c>
      <c r="KGM28" s="234" t="e">
        <f>astrogrep_path&amp;" /e /r /s /spath="&amp;search_path&amp;" /stypes=""app*"&amp;KFI28&amp;"*"&amp;TEXT(KFP28-utc_offset/24,"YYYYMMDD")&amp;"*"" /stext="" "&amp;TEXT(KFP28-utc_offset/24,"HH")&amp;search_regexp&amp;""""</f>
        <v>#REF!</v>
      </c>
      <c r="KGN28" s="234" t="e">
        <f>astrogrep_path&amp;" /e /r /s /spath="&amp;search_path&amp;" /stypes=""app*"&amp;KFJ28&amp;"*"&amp;TEXT(KFQ28-utc_offset/24,"YYYYMMDD")&amp;"*"" /stext="" "&amp;TEXT(KFQ28-utc_offset/24,"HH")&amp;search_regexp&amp;""""</f>
        <v>#REF!</v>
      </c>
      <c r="KGO28" s="234" t="e">
        <f>astrogrep_path&amp;" /e /r /s /spath="&amp;search_path&amp;" /stypes=""app*"&amp;KFK28&amp;"*"&amp;TEXT(KFR28-utc_offset/24,"YYYYMMDD")&amp;"*"" /stext="" "&amp;TEXT(KFR28-utc_offset/24,"HH")&amp;search_regexp&amp;""""</f>
        <v>#REF!</v>
      </c>
      <c r="KGP28" s="234" t="e">
        <f>astrogrep_path&amp;" /e /r /s /spath="&amp;search_path&amp;" /stypes=""app*"&amp;KFL28&amp;"*"&amp;TEXT(KFS28-utc_offset/24,"YYYYMMDD")&amp;"*"" /stext="" "&amp;TEXT(KFS28-utc_offset/24,"HH")&amp;search_regexp&amp;""""</f>
        <v>#REF!</v>
      </c>
      <c r="KGQ28" s="234" t="e">
        <f>astrogrep_path&amp;" /e /r /s /spath="&amp;search_path&amp;" /stypes=""app*"&amp;KFM28&amp;"*"&amp;TEXT(KFT28-utc_offset/24,"YYYYMMDD")&amp;"*"" /stext="" "&amp;TEXT(KFT28-utc_offset/24,"HH")&amp;search_regexp&amp;""""</f>
        <v>#REF!</v>
      </c>
      <c r="KGR28" s="234" t="e">
        <f>astrogrep_path&amp;" /e /r /s /spath="&amp;search_path&amp;" /stypes=""app*"&amp;KFN28&amp;"*"&amp;TEXT(KFU28-utc_offset/24,"YYYYMMDD")&amp;"*"" /stext="" "&amp;TEXT(KFU28-utc_offset/24,"HH")&amp;search_regexp&amp;""""</f>
        <v>#REF!</v>
      </c>
      <c r="KGS28" s="234" t="e">
        <f>astrogrep_path&amp;" /e /r /s /spath="&amp;search_path&amp;" /stypes=""app*"&amp;KFO28&amp;"*"&amp;TEXT(KFV28-utc_offset/24,"YYYYMMDD")&amp;"*"" /stext="" "&amp;TEXT(KFV28-utc_offset/24,"HH")&amp;search_regexp&amp;""""</f>
        <v>#REF!</v>
      </c>
      <c r="KGT28" s="234" t="e">
        <f>astrogrep_path&amp;" /e /r /s /spath="&amp;search_path&amp;" /stypes=""app*"&amp;KFP28&amp;"*"&amp;TEXT(KFW28-utc_offset/24,"YYYYMMDD")&amp;"*"" /stext="" "&amp;TEXT(KFW28-utc_offset/24,"HH")&amp;search_regexp&amp;""""</f>
        <v>#REF!</v>
      </c>
      <c r="KGU28" s="234" t="e">
        <f>astrogrep_path&amp;" /e /r /s /spath="&amp;search_path&amp;" /stypes=""app*"&amp;KFQ28&amp;"*"&amp;TEXT(KFX28-utc_offset/24,"YYYYMMDD")&amp;"*"" /stext="" "&amp;TEXT(KFX28-utc_offset/24,"HH")&amp;search_regexp&amp;""""</f>
        <v>#REF!</v>
      </c>
      <c r="KGV28" s="234" t="e">
        <f>astrogrep_path&amp;" /e /r /s /spath="&amp;search_path&amp;" /stypes=""app*"&amp;KFR28&amp;"*"&amp;TEXT(KFY28-utc_offset/24,"YYYYMMDD")&amp;"*"" /stext="" "&amp;TEXT(KFY28-utc_offset/24,"HH")&amp;search_regexp&amp;""""</f>
        <v>#REF!</v>
      </c>
      <c r="KGW28" s="234" t="e">
        <f>astrogrep_path&amp;" /e /r /s /spath="&amp;search_path&amp;" /stypes=""app*"&amp;KFS28&amp;"*"&amp;TEXT(KFZ28-utc_offset/24,"YYYYMMDD")&amp;"*"" /stext="" "&amp;TEXT(KFZ28-utc_offset/24,"HH")&amp;search_regexp&amp;""""</f>
        <v>#REF!</v>
      </c>
      <c r="KGX28" s="234" t="e">
        <f>astrogrep_path&amp;" /e /r /s /spath="&amp;search_path&amp;" /stypes=""app*"&amp;KFT28&amp;"*"&amp;TEXT(KGA28-utc_offset/24,"YYYYMMDD")&amp;"*"" /stext="" "&amp;TEXT(KGA28-utc_offset/24,"HH")&amp;search_regexp&amp;""""</f>
        <v>#REF!</v>
      </c>
      <c r="KGY28" s="234" t="e">
        <f>astrogrep_path&amp;" /e /r /s /spath="&amp;search_path&amp;" /stypes=""app*"&amp;KFU28&amp;"*"&amp;TEXT(KGB28-utc_offset/24,"YYYYMMDD")&amp;"*"" /stext="" "&amp;TEXT(KGB28-utc_offset/24,"HH")&amp;search_regexp&amp;""""</f>
        <v>#REF!</v>
      </c>
      <c r="KGZ28" s="234" t="e">
        <f>astrogrep_path&amp;" /e /r /s /spath="&amp;search_path&amp;" /stypes=""app*"&amp;KFV28&amp;"*"&amp;TEXT(KGC28-utc_offset/24,"YYYYMMDD")&amp;"*"" /stext="" "&amp;TEXT(KGC28-utc_offset/24,"HH")&amp;search_regexp&amp;""""</f>
        <v>#REF!</v>
      </c>
      <c r="KHA28" s="234" t="e">
        <f>astrogrep_path&amp;" /e /r /s /spath="&amp;search_path&amp;" /stypes=""app*"&amp;KFW28&amp;"*"&amp;TEXT(KGD28-utc_offset/24,"YYYYMMDD")&amp;"*"" /stext="" "&amp;TEXT(KGD28-utc_offset/24,"HH")&amp;search_regexp&amp;""""</f>
        <v>#REF!</v>
      </c>
      <c r="KHB28" s="234" t="e">
        <f>astrogrep_path&amp;" /e /r /s /spath="&amp;search_path&amp;" /stypes=""app*"&amp;KFX28&amp;"*"&amp;TEXT(KGE28-utc_offset/24,"YYYYMMDD")&amp;"*"" /stext="" "&amp;TEXT(KGE28-utc_offset/24,"HH")&amp;search_regexp&amp;""""</f>
        <v>#REF!</v>
      </c>
      <c r="KHC28" s="234" t="e">
        <f>astrogrep_path&amp;" /e /r /s /spath="&amp;search_path&amp;" /stypes=""app*"&amp;KFY28&amp;"*"&amp;TEXT(KGF28-utc_offset/24,"YYYYMMDD")&amp;"*"" /stext="" "&amp;TEXT(KGF28-utc_offset/24,"HH")&amp;search_regexp&amp;""""</f>
        <v>#REF!</v>
      </c>
      <c r="KHD28" s="234" t="e">
        <f>astrogrep_path&amp;" /e /r /s /spath="&amp;search_path&amp;" /stypes=""app*"&amp;KFZ28&amp;"*"&amp;TEXT(KGG28-utc_offset/24,"YYYYMMDD")&amp;"*"" /stext="" "&amp;TEXT(KGG28-utc_offset/24,"HH")&amp;search_regexp&amp;""""</f>
        <v>#REF!</v>
      </c>
      <c r="KHE28" s="234" t="e">
        <f>astrogrep_path&amp;" /e /r /s /spath="&amp;search_path&amp;" /stypes=""app*"&amp;KGA28&amp;"*"&amp;TEXT(KGH28-utc_offset/24,"YYYYMMDD")&amp;"*"" /stext="" "&amp;TEXT(KGH28-utc_offset/24,"HH")&amp;search_regexp&amp;""""</f>
        <v>#REF!</v>
      </c>
      <c r="KHF28" s="234" t="e">
        <f>astrogrep_path&amp;" /e /r /s /spath="&amp;search_path&amp;" /stypes=""app*"&amp;KGB28&amp;"*"&amp;TEXT(KGI28-utc_offset/24,"YYYYMMDD")&amp;"*"" /stext="" "&amp;TEXT(KGI28-utc_offset/24,"HH")&amp;search_regexp&amp;""""</f>
        <v>#REF!</v>
      </c>
      <c r="KHG28" s="234" t="e">
        <f>astrogrep_path&amp;" /e /r /s /spath="&amp;search_path&amp;" /stypes=""app*"&amp;KGC28&amp;"*"&amp;TEXT(KGJ28-utc_offset/24,"YYYYMMDD")&amp;"*"" /stext="" "&amp;TEXT(KGJ28-utc_offset/24,"HH")&amp;search_regexp&amp;""""</f>
        <v>#VALUE!</v>
      </c>
      <c r="KHH28" s="234" t="e">
        <f>astrogrep_path&amp;" /e /r /s /spath="&amp;search_path&amp;" /stypes=""app*"&amp;KGD28&amp;"*"&amp;TEXT(KGK28-utc_offset/24,"YYYYMMDD")&amp;"*"" /stext="" "&amp;TEXT(KGK28-utc_offset/24,"HH")&amp;search_regexp&amp;""""</f>
        <v>#VALUE!</v>
      </c>
      <c r="KHI28" s="234" t="e">
        <f>astrogrep_path&amp;" /e /r /s /spath="&amp;search_path&amp;" /stypes=""app*"&amp;KGE28&amp;"*"&amp;TEXT(KGL28-utc_offset/24,"YYYYMMDD")&amp;"*"" /stext="" "&amp;TEXT(KGL28-utc_offset/24,"HH")&amp;search_regexp&amp;""""</f>
        <v>#REF!</v>
      </c>
      <c r="KHJ28" s="234" t="e">
        <f>astrogrep_path&amp;" /e /r /s /spath="&amp;search_path&amp;" /stypes=""app*"&amp;KGF28&amp;"*"&amp;TEXT(KGM28-utc_offset/24,"YYYYMMDD")&amp;"*"" /stext="" "&amp;TEXT(KGM28-utc_offset/24,"HH")&amp;search_regexp&amp;""""</f>
        <v>#REF!</v>
      </c>
      <c r="KHK28" s="234" t="e">
        <f>astrogrep_path&amp;" /e /r /s /spath="&amp;search_path&amp;" /stypes=""app*"&amp;KGG28&amp;"*"&amp;TEXT(KGN28-utc_offset/24,"YYYYMMDD")&amp;"*"" /stext="" "&amp;TEXT(KGN28-utc_offset/24,"HH")&amp;search_regexp&amp;""""</f>
        <v>#VALUE!</v>
      </c>
      <c r="KHL28" s="234" t="e">
        <f>astrogrep_path&amp;" /e /r /s /spath="&amp;search_path&amp;" /stypes=""app*"&amp;KGH28&amp;"*"&amp;TEXT(KGO28-utc_offset/24,"YYYYMMDD")&amp;"*"" /stext="" "&amp;TEXT(KGO28-utc_offset/24,"HH")&amp;search_regexp&amp;""""</f>
        <v>#VALUE!</v>
      </c>
      <c r="KHM28" s="234" t="e">
        <f>astrogrep_path&amp;" /e /r /s /spath="&amp;search_path&amp;" /stypes=""app*"&amp;KGI28&amp;"*"&amp;TEXT(KGP28-utc_offset/24,"YYYYMMDD")&amp;"*"" /stext="" "&amp;TEXT(KGP28-utc_offset/24,"HH")&amp;search_regexp&amp;""""</f>
        <v>#VALUE!</v>
      </c>
      <c r="KHN28" s="234" t="e">
        <f>astrogrep_path&amp;" /e /r /s /spath="&amp;search_path&amp;" /stypes=""app*"&amp;KGJ28&amp;"*"&amp;TEXT(KGQ28-utc_offset/24,"YYYYMMDD")&amp;"*"" /stext="" "&amp;TEXT(KGQ28-utc_offset/24,"HH")&amp;search_regexp&amp;""""</f>
        <v>#VALUE!</v>
      </c>
      <c r="KHO28" s="234" t="e">
        <f>astrogrep_path&amp;" /e /r /s /spath="&amp;search_path&amp;" /stypes=""app*"&amp;KGK28&amp;"*"&amp;TEXT(KGR28-utc_offset/24,"YYYYMMDD")&amp;"*"" /stext="" "&amp;TEXT(KGR28-utc_offset/24,"HH")&amp;search_regexp&amp;""""</f>
        <v>#VALUE!</v>
      </c>
      <c r="KHP28" s="234" t="e">
        <f>astrogrep_path&amp;" /e /r /s /spath="&amp;search_path&amp;" /stypes=""app*"&amp;KGL28&amp;"*"&amp;TEXT(KGS28-utc_offset/24,"YYYYMMDD")&amp;"*"" /stext="" "&amp;TEXT(KGS28-utc_offset/24,"HH")&amp;search_regexp&amp;""""</f>
        <v>#REF!</v>
      </c>
      <c r="KHQ28" s="234" t="e">
        <f>astrogrep_path&amp;" /e /r /s /spath="&amp;search_path&amp;" /stypes=""app*"&amp;KGM28&amp;"*"&amp;TEXT(KGT28-utc_offset/24,"YYYYMMDD")&amp;"*"" /stext="" "&amp;TEXT(KGT28-utc_offset/24,"HH")&amp;search_regexp&amp;""""</f>
        <v>#REF!</v>
      </c>
      <c r="KHR28" s="234" t="e">
        <f>astrogrep_path&amp;" /e /r /s /spath="&amp;search_path&amp;" /stypes=""app*"&amp;KGN28&amp;"*"&amp;TEXT(KGU28-utc_offset/24,"YYYYMMDD")&amp;"*"" /stext="" "&amp;TEXT(KGU28-utc_offset/24,"HH")&amp;search_regexp&amp;""""</f>
        <v>#REF!</v>
      </c>
      <c r="KHS28" s="234" t="e">
        <f>astrogrep_path&amp;" /e /r /s /spath="&amp;search_path&amp;" /stypes=""app*"&amp;KGO28&amp;"*"&amp;TEXT(KGV28-utc_offset/24,"YYYYMMDD")&amp;"*"" /stext="" "&amp;TEXT(KGV28-utc_offset/24,"HH")&amp;search_regexp&amp;""""</f>
        <v>#REF!</v>
      </c>
      <c r="KHT28" s="234" t="e">
        <f>astrogrep_path&amp;" /e /r /s /spath="&amp;search_path&amp;" /stypes=""app*"&amp;KGP28&amp;"*"&amp;TEXT(KGW28-utc_offset/24,"YYYYMMDD")&amp;"*"" /stext="" "&amp;TEXT(KGW28-utc_offset/24,"HH")&amp;search_regexp&amp;""""</f>
        <v>#REF!</v>
      </c>
      <c r="KHU28" s="234" t="e">
        <f>astrogrep_path&amp;" /e /r /s /spath="&amp;search_path&amp;" /stypes=""app*"&amp;KGQ28&amp;"*"&amp;TEXT(KGX28-utc_offset/24,"YYYYMMDD")&amp;"*"" /stext="" "&amp;TEXT(KGX28-utc_offset/24,"HH")&amp;search_regexp&amp;""""</f>
        <v>#REF!</v>
      </c>
      <c r="KHV28" s="234" t="e">
        <f>astrogrep_path&amp;" /e /r /s /spath="&amp;search_path&amp;" /stypes=""app*"&amp;KGR28&amp;"*"&amp;TEXT(KGY28-utc_offset/24,"YYYYMMDD")&amp;"*"" /stext="" "&amp;TEXT(KGY28-utc_offset/24,"HH")&amp;search_regexp&amp;""""</f>
        <v>#REF!</v>
      </c>
      <c r="KHW28" s="234" t="e">
        <f>astrogrep_path&amp;" /e /r /s /spath="&amp;search_path&amp;" /stypes=""app*"&amp;KGS28&amp;"*"&amp;TEXT(KGZ28-utc_offset/24,"YYYYMMDD")&amp;"*"" /stext="" "&amp;TEXT(KGZ28-utc_offset/24,"HH")&amp;search_regexp&amp;""""</f>
        <v>#REF!</v>
      </c>
      <c r="KHX28" s="234" t="e">
        <f>astrogrep_path&amp;" /e /r /s /spath="&amp;search_path&amp;" /stypes=""app*"&amp;KGT28&amp;"*"&amp;TEXT(KHA28-utc_offset/24,"YYYYMMDD")&amp;"*"" /stext="" "&amp;TEXT(KHA28-utc_offset/24,"HH")&amp;search_regexp&amp;""""</f>
        <v>#REF!</v>
      </c>
      <c r="KHY28" s="234" t="e">
        <f>astrogrep_path&amp;" /e /r /s /spath="&amp;search_path&amp;" /stypes=""app*"&amp;KGU28&amp;"*"&amp;TEXT(KHB28-utc_offset/24,"YYYYMMDD")&amp;"*"" /stext="" "&amp;TEXT(KHB28-utc_offset/24,"HH")&amp;search_regexp&amp;""""</f>
        <v>#REF!</v>
      </c>
      <c r="KHZ28" s="234" t="e">
        <f>astrogrep_path&amp;" /e /r /s /spath="&amp;search_path&amp;" /stypes=""app*"&amp;KGV28&amp;"*"&amp;TEXT(KHC28-utc_offset/24,"YYYYMMDD")&amp;"*"" /stext="" "&amp;TEXT(KHC28-utc_offset/24,"HH")&amp;search_regexp&amp;""""</f>
        <v>#REF!</v>
      </c>
      <c r="KIA28" s="234" t="e">
        <f>astrogrep_path&amp;" /e /r /s /spath="&amp;search_path&amp;" /stypes=""app*"&amp;KGW28&amp;"*"&amp;TEXT(KHD28-utc_offset/24,"YYYYMMDD")&amp;"*"" /stext="" "&amp;TEXT(KHD28-utc_offset/24,"HH")&amp;search_regexp&amp;""""</f>
        <v>#REF!</v>
      </c>
      <c r="KIB28" s="234" t="e">
        <f>astrogrep_path&amp;" /e /r /s /spath="&amp;search_path&amp;" /stypes=""app*"&amp;KGX28&amp;"*"&amp;TEXT(KHE28-utc_offset/24,"YYYYMMDD")&amp;"*"" /stext="" "&amp;TEXT(KHE28-utc_offset/24,"HH")&amp;search_regexp&amp;""""</f>
        <v>#REF!</v>
      </c>
      <c r="KIC28" s="234" t="e">
        <f>astrogrep_path&amp;" /e /r /s /spath="&amp;search_path&amp;" /stypes=""app*"&amp;KGY28&amp;"*"&amp;TEXT(KHF28-utc_offset/24,"YYYYMMDD")&amp;"*"" /stext="" "&amp;TEXT(KHF28-utc_offset/24,"HH")&amp;search_regexp&amp;""""</f>
        <v>#REF!</v>
      </c>
      <c r="KID28" s="234" t="e">
        <f>astrogrep_path&amp;" /e /r /s /spath="&amp;search_path&amp;" /stypes=""app*"&amp;KGZ28&amp;"*"&amp;TEXT(KHG28-utc_offset/24,"YYYYMMDD")&amp;"*"" /stext="" "&amp;TEXT(KHG28-utc_offset/24,"HH")&amp;search_regexp&amp;""""</f>
        <v>#REF!</v>
      </c>
      <c r="KIE28" s="234" t="e">
        <f>astrogrep_path&amp;" /e /r /s /spath="&amp;search_path&amp;" /stypes=""app*"&amp;KHA28&amp;"*"&amp;TEXT(KHH28-utc_offset/24,"YYYYMMDD")&amp;"*"" /stext="" "&amp;TEXT(KHH28-utc_offset/24,"HH")&amp;search_regexp&amp;""""</f>
        <v>#REF!</v>
      </c>
      <c r="KIF28" s="234" t="e">
        <f>astrogrep_path&amp;" /e /r /s /spath="&amp;search_path&amp;" /stypes=""app*"&amp;KHB28&amp;"*"&amp;TEXT(KHI28-utc_offset/24,"YYYYMMDD")&amp;"*"" /stext="" "&amp;TEXT(KHI28-utc_offset/24,"HH")&amp;search_regexp&amp;""""</f>
        <v>#REF!</v>
      </c>
      <c r="KIG28" s="234" t="e">
        <f>astrogrep_path&amp;" /e /r /s /spath="&amp;search_path&amp;" /stypes=""app*"&amp;KHC28&amp;"*"&amp;TEXT(KHJ28-utc_offset/24,"YYYYMMDD")&amp;"*"" /stext="" "&amp;TEXT(KHJ28-utc_offset/24,"HH")&amp;search_regexp&amp;""""</f>
        <v>#REF!</v>
      </c>
      <c r="KIH28" s="234" t="e">
        <f>astrogrep_path&amp;" /e /r /s /spath="&amp;search_path&amp;" /stypes=""app*"&amp;KHD28&amp;"*"&amp;TEXT(KHK28-utc_offset/24,"YYYYMMDD")&amp;"*"" /stext="" "&amp;TEXT(KHK28-utc_offset/24,"HH")&amp;search_regexp&amp;""""</f>
        <v>#REF!</v>
      </c>
      <c r="KII28" s="234" t="e">
        <f>astrogrep_path&amp;" /e /r /s /spath="&amp;search_path&amp;" /stypes=""app*"&amp;KHE28&amp;"*"&amp;TEXT(KHL28-utc_offset/24,"YYYYMMDD")&amp;"*"" /stext="" "&amp;TEXT(KHL28-utc_offset/24,"HH")&amp;search_regexp&amp;""""</f>
        <v>#REF!</v>
      </c>
      <c r="KIJ28" s="234" t="e">
        <f>astrogrep_path&amp;" /e /r /s /spath="&amp;search_path&amp;" /stypes=""app*"&amp;KHF28&amp;"*"&amp;TEXT(KHM28-utc_offset/24,"YYYYMMDD")&amp;"*"" /stext="" "&amp;TEXT(KHM28-utc_offset/24,"HH")&amp;search_regexp&amp;""""</f>
        <v>#REF!</v>
      </c>
      <c r="KIK28" s="234" t="e">
        <f>astrogrep_path&amp;" /e /r /s /spath="&amp;search_path&amp;" /stypes=""app*"&amp;KHG28&amp;"*"&amp;TEXT(KHN28-utc_offset/24,"YYYYMMDD")&amp;"*"" /stext="" "&amp;TEXT(KHN28-utc_offset/24,"HH")&amp;search_regexp&amp;""""</f>
        <v>#VALUE!</v>
      </c>
      <c r="KIL28" s="234" t="e">
        <f>astrogrep_path&amp;" /e /r /s /spath="&amp;search_path&amp;" /stypes=""app*"&amp;KHH28&amp;"*"&amp;TEXT(KHO28-utc_offset/24,"YYYYMMDD")&amp;"*"" /stext="" "&amp;TEXT(KHO28-utc_offset/24,"HH")&amp;search_regexp&amp;""""</f>
        <v>#VALUE!</v>
      </c>
      <c r="KIM28" s="234" t="e">
        <f>astrogrep_path&amp;" /e /r /s /spath="&amp;search_path&amp;" /stypes=""app*"&amp;KHI28&amp;"*"&amp;TEXT(KHP28-utc_offset/24,"YYYYMMDD")&amp;"*"" /stext="" "&amp;TEXT(KHP28-utc_offset/24,"HH")&amp;search_regexp&amp;""""</f>
        <v>#REF!</v>
      </c>
      <c r="KIN28" s="234" t="e">
        <f>astrogrep_path&amp;" /e /r /s /spath="&amp;search_path&amp;" /stypes=""app*"&amp;KHJ28&amp;"*"&amp;TEXT(KHQ28-utc_offset/24,"YYYYMMDD")&amp;"*"" /stext="" "&amp;TEXT(KHQ28-utc_offset/24,"HH")&amp;search_regexp&amp;""""</f>
        <v>#REF!</v>
      </c>
      <c r="KIO28" s="234" t="e">
        <f>astrogrep_path&amp;" /e /r /s /spath="&amp;search_path&amp;" /stypes=""app*"&amp;KHK28&amp;"*"&amp;TEXT(KHR28-utc_offset/24,"YYYYMMDD")&amp;"*"" /stext="" "&amp;TEXT(KHR28-utc_offset/24,"HH")&amp;search_regexp&amp;""""</f>
        <v>#VALUE!</v>
      </c>
      <c r="KIP28" s="234" t="e">
        <f>astrogrep_path&amp;" /e /r /s /spath="&amp;search_path&amp;" /stypes=""app*"&amp;KHL28&amp;"*"&amp;TEXT(KHS28-utc_offset/24,"YYYYMMDD")&amp;"*"" /stext="" "&amp;TEXT(KHS28-utc_offset/24,"HH")&amp;search_regexp&amp;""""</f>
        <v>#VALUE!</v>
      </c>
      <c r="KIQ28" s="234" t="e">
        <f>astrogrep_path&amp;" /e /r /s /spath="&amp;search_path&amp;" /stypes=""app*"&amp;KHM28&amp;"*"&amp;TEXT(KHT28-utc_offset/24,"YYYYMMDD")&amp;"*"" /stext="" "&amp;TEXT(KHT28-utc_offset/24,"HH")&amp;search_regexp&amp;""""</f>
        <v>#VALUE!</v>
      </c>
      <c r="KIR28" s="234" t="e">
        <f>astrogrep_path&amp;" /e /r /s /spath="&amp;search_path&amp;" /stypes=""app*"&amp;KHN28&amp;"*"&amp;TEXT(KHU28-utc_offset/24,"YYYYMMDD")&amp;"*"" /stext="" "&amp;TEXT(KHU28-utc_offset/24,"HH")&amp;search_regexp&amp;""""</f>
        <v>#VALUE!</v>
      </c>
      <c r="KIS28" s="234" t="e">
        <f>astrogrep_path&amp;" /e /r /s /spath="&amp;search_path&amp;" /stypes=""app*"&amp;KHO28&amp;"*"&amp;TEXT(KHV28-utc_offset/24,"YYYYMMDD")&amp;"*"" /stext="" "&amp;TEXT(KHV28-utc_offset/24,"HH")&amp;search_regexp&amp;""""</f>
        <v>#VALUE!</v>
      </c>
      <c r="KIT28" s="234" t="e">
        <f>astrogrep_path&amp;" /e /r /s /spath="&amp;search_path&amp;" /stypes=""app*"&amp;KHP28&amp;"*"&amp;TEXT(KHW28-utc_offset/24,"YYYYMMDD")&amp;"*"" /stext="" "&amp;TEXT(KHW28-utc_offset/24,"HH")&amp;search_regexp&amp;""""</f>
        <v>#REF!</v>
      </c>
      <c r="KIU28" s="234" t="e">
        <f>astrogrep_path&amp;" /e /r /s /spath="&amp;search_path&amp;" /stypes=""app*"&amp;KHQ28&amp;"*"&amp;TEXT(KHX28-utc_offset/24,"YYYYMMDD")&amp;"*"" /stext="" "&amp;TEXT(KHX28-utc_offset/24,"HH")&amp;search_regexp&amp;""""</f>
        <v>#REF!</v>
      </c>
      <c r="KIV28" s="234" t="e">
        <f>astrogrep_path&amp;" /e /r /s /spath="&amp;search_path&amp;" /stypes=""app*"&amp;KHR28&amp;"*"&amp;TEXT(KHY28-utc_offset/24,"YYYYMMDD")&amp;"*"" /stext="" "&amp;TEXT(KHY28-utc_offset/24,"HH")&amp;search_regexp&amp;""""</f>
        <v>#REF!</v>
      </c>
      <c r="KIW28" s="234" t="e">
        <f>astrogrep_path&amp;" /e /r /s /spath="&amp;search_path&amp;" /stypes=""app*"&amp;KHS28&amp;"*"&amp;TEXT(KHZ28-utc_offset/24,"YYYYMMDD")&amp;"*"" /stext="" "&amp;TEXT(KHZ28-utc_offset/24,"HH")&amp;search_regexp&amp;""""</f>
        <v>#REF!</v>
      </c>
      <c r="KIX28" s="234" t="e">
        <f>astrogrep_path&amp;" /e /r /s /spath="&amp;search_path&amp;" /stypes=""app*"&amp;KHT28&amp;"*"&amp;TEXT(KIA28-utc_offset/24,"YYYYMMDD")&amp;"*"" /stext="" "&amp;TEXT(KIA28-utc_offset/24,"HH")&amp;search_regexp&amp;""""</f>
        <v>#REF!</v>
      </c>
      <c r="KIY28" s="234" t="e">
        <f>astrogrep_path&amp;" /e /r /s /spath="&amp;search_path&amp;" /stypes=""app*"&amp;KHU28&amp;"*"&amp;TEXT(KIB28-utc_offset/24,"YYYYMMDD")&amp;"*"" /stext="" "&amp;TEXT(KIB28-utc_offset/24,"HH")&amp;search_regexp&amp;""""</f>
        <v>#REF!</v>
      </c>
      <c r="KIZ28" s="234" t="e">
        <f>astrogrep_path&amp;" /e /r /s /spath="&amp;search_path&amp;" /stypes=""app*"&amp;KHV28&amp;"*"&amp;TEXT(KIC28-utc_offset/24,"YYYYMMDD")&amp;"*"" /stext="" "&amp;TEXT(KIC28-utc_offset/24,"HH")&amp;search_regexp&amp;""""</f>
        <v>#REF!</v>
      </c>
      <c r="KJA28" s="234" t="e">
        <f>astrogrep_path&amp;" /e /r /s /spath="&amp;search_path&amp;" /stypes=""app*"&amp;KHW28&amp;"*"&amp;TEXT(KID28-utc_offset/24,"YYYYMMDD")&amp;"*"" /stext="" "&amp;TEXT(KID28-utc_offset/24,"HH")&amp;search_regexp&amp;""""</f>
        <v>#REF!</v>
      </c>
      <c r="KJB28" s="234" t="e">
        <f>astrogrep_path&amp;" /e /r /s /spath="&amp;search_path&amp;" /stypes=""app*"&amp;KHX28&amp;"*"&amp;TEXT(KIE28-utc_offset/24,"YYYYMMDD")&amp;"*"" /stext="" "&amp;TEXT(KIE28-utc_offset/24,"HH")&amp;search_regexp&amp;""""</f>
        <v>#REF!</v>
      </c>
      <c r="KJC28" s="234" t="e">
        <f>astrogrep_path&amp;" /e /r /s /spath="&amp;search_path&amp;" /stypes=""app*"&amp;KHY28&amp;"*"&amp;TEXT(KIF28-utc_offset/24,"YYYYMMDD")&amp;"*"" /stext="" "&amp;TEXT(KIF28-utc_offset/24,"HH")&amp;search_regexp&amp;""""</f>
        <v>#REF!</v>
      </c>
      <c r="KJD28" s="234" t="e">
        <f>astrogrep_path&amp;" /e /r /s /spath="&amp;search_path&amp;" /stypes=""app*"&amp;KHZ28&amp;"*"&amp;TEXT(KIG28-utc_offset/24,"YYYYMMDD")&amp;"*"" /stext="" "&amp;TEXT(KIG28-utc_offset/24,"HH")&amp;search_regexp&amp;""""</f>
        <v>#REF!</v>
      </c>
      <c r="KJE28" s="234" t="e">
        <f>astrogrep_path&amp;" /e /r /s /spath="&amp;search_path&amp;" /stypes=""app*"&amp;KIA28&amp;"*"&amp;TEXT(KIH28-utc_offset/24,"YYYYMMDD")&amp;"*"" /stext="" "&amp;TEXT(KIH28-utc_offset/24,"HH")&amp;search_regexp&amp;""""</f>
        <v>#REF!</v>
      </c>
      <c r="KJF28" s="234" t="e">
        <f>astrogrep_path&amp;" /e /r /s /spath="&amp;search_path&amp;" /stypes=""app*"&amp;KIB28&amp;"*"&amp;TEXT(KII28-utc_offset/24,"YYYYMMDD")&amp;"*"" /stext="" "&amp;TEXT(KII28-utc_offset/24,"HH")&amp;search_regexp&amp;""""</f>
        <v>#REF!</v>
      </c>
      <c r="KJG28" s="234" t="e">
        <f>astrogrep_path&amp;" /e /r /s /spath="&amp;search_path&amp;" /stypes=""app*"&amp;KIC28&amp;"*"&amp;TEXT(KIJ28-utc_offset/24,"YYYYMMDD")&amp;"*"" /stext="" "&amp;TEXT(KIJ28-utc_offset/24,"HH")&amp;search_regexp&amp;""""</f>
        <v>#REF!</v>
      </c>
      <c r="KJH28" s="234" t="e">
        <f>astrogrep_path&amp;" /e /r /s /spath="&amp;search_path&amp;" /stypes=""app*"&amp;KID28&amp;"*"&amp;TEXT(KIK28-utc_offset/24,"YYYYMMDD")&amp;"*"" /stext="" "&amp;TEXT(KIK28-utc_offset/24,"HH")&amp;search_regexp&amp;""""</f>
        <v>#REF!</v>
      </c>
      <c r="KJI28" s="234" t="e">
        <f>astrogrep_path&amp;" /e /r /s /spath="&amp;search_path&amp;" /stypes=""app*"&amp;KIE28&amp;"*"&amp;TEXT(KIL28-utc_offset/24,"YYYYMMDD")&amp;"*"" /stext="" "&amp;TEXT(KIL28-utc_offset/24,"HH")&amp;search_regexp&amp;""""</f>
        <v>#REF!</v>
      </c>
      <c r="KJJ28" s="234" t="e">
        <f>astrogrep_path&amp;" /e /r /s /spath="&amp;search_path&amp;" /stypes=""app*"&amp;KIF28&amp;"*"&amp;TEXT(KIM28-utc_offset/24,"YYYYMMDD")&amp;"*"" /stext="" "&amp;TEXT(KIM28-utc_offset/24,"HH")&amp;search_regexp&amp;""""</f>
        <v>#REF!</v>
      </c>
      <c r="KJK28" s="234" t="e">
        <f>astrogrep_path&amp;" /e /r /s /spath="&amp;search_path&amp;" /stypes=""app*"&amp;KIG28&amp;"*"&amp;TEXT(KIN28-utc_offset/24,"YYYYMMDD")&amp;"*"" /stext="" "&amp;TEXT(KIN28-utc_offset/24,"HH")&amp;search_regexp&amp;""""</f>
        <v>#REF!</v>
      </c>
      <c r="KJL28" s="234" t="e">
        <f>astrogrep_path&amp;" /e /r /s /spath="&amp;search_path&amp;" /stypes=""app*"&amp;KIH28&amp;"*"&amp;TEXT(KIO28-utc_offset/24,"YYYYMMDD")&amp;"*"" /stext="" "&amp;TEXT(KIO28-utc_offset/24,"HH")&amp;search_regexp&amp;""""</f>
        <v>#REF!</v>
      </c>
      <c r="KJM28" s="234" t="e">
        <f>astrogrep_path&amp;" /e /r /s /spath="&amp;search_path&amp;" /stypes=""app*"&amp;KII28&amp;"*"&amp;TEXT(KIP28-utc_offset/24,"YYYYMMDD")&amp;"*"" /stext="" "&amp;TEXT(KIP28-utc_offset/24,"HH")&amp;search_regexp&amp;""""</f>
        <v>#REF!</v>
      </c>
      <c r="KJN28" s="234" t="e">
        <f>astrogrep_path&amp;" /e /r /s /spath="&amp;search_path&amp;" /stypes=""app*"&amp;KIJ28&amp;"*"&amp;TEXT(KIQ28-utc_offset/24,"YYYYMMDD")&amp;"*"" /stext="" "&amp;TEXT(KIQ28-utc_offset/24,"HH")&amp;search_regexp&amp;""""</f>
        <v>#REF!</v>
      </c>
      <c r="KJO28" s="234" t="e">
        <f>astrogrep_path&amp;" /e /r /s /spath="&amp;search_path&amp;" /stypes=""app*"&amp;KIK28&amp;"*"&amp;TEXT(KIR28-utc_offset/24,"YYYYMMDD")&amp;"*"" /stext="" "&amp;TEXT(KIR28-utc_offset/24,"HH")&amp;search_regexp&amp;""""</f>
        <v>#VALUE!</v>
      </c>
      <c r="KJP28" s="234" t="e">
        <f>astrogrep_path&amp;" /e /r /s /spath="&amp;search_path&amp;" /stypes=""app*"&amp;KIL28&amp;"*"&amp;TEXT(KIS28-utc_offset/24,"YYYYMMDD")&amp;"*"" /stext="" "&amp;TEXT(KIS28-utc_offset/24,"HH")&amp;search_regexp&amp;""""</f>
        <v>#VALUE!</v>
      </c>
      <c r="KJQ28" s="234" t="e">
        <f>astrogrep_path&amp;" /e /r /s /spath="&amp;search_path&amp;" /stypes=""app*"&amp;KIM28&amp;"*"&amp;TEXT(KIT28-utc_offset/24,"YYYYMMDD")&amp;"*"" /stext="" "&amp;TEXT(KIT28-utc_offset/24,"HH")&amp;search_regexp&amp;""""</f>
        <v>#REF!</v>
      </c>
      <c r="KJR28" s="234" t="e">
        <f>astrogrep_path&amp;" /e /r /s /spath="&amp;search_path&amp;" /stypes=""app*"&amp;KIN28&amp;"*"&amp;TEXT(KIU28-utc_offset/24,"YYYYMMDD")&amp;"*"" /stext="" "&amp;TEXT(KIU28-utc_offset/24,"HH")&amp;search_regexp&amp;""""</f>
        <v>#REF!</v>
      </c>
      <c r="KJS28" s="234" t="e">
        <f>astrogrep_path&amp;" /e /r /s /spath="&amp;search_path&amp;" /stypes=""app*"&amp;KIO28&amp;"*"&amp;TEXT(KIV28-utc_offset/24,"YYYYMMDD")&amp;"*"" /stext="" "&amp;TEXT(KIV28-utc_offset/24,"HH")&amp;search_regexp&amp;""""</f>
        <v>#VALUE!</v>
      </c>
      <c r="KJT28" s="234" t="e">
        <f>astrogrep_path&amp;" /e /r /s /spath="&amp;search_path&amp;" /stypes=""app*"&amp;KIP28&amp;"*"&amp;TEXT(KIW28-utc_offset/24,"YYYYMMDD")&amp;"*"" /stext="" "&amp;TEXT(KIW28-utc_offset/24,"HH")&amp;search_regexp&amp;""""</f>
        <v>#VALUE!</v>
      </c>
      <c r="KJU28" s="234" t="e">
        <f>astrogrep_path&amp;" /e /r /s /spath="&amp;search_path&amp;" /stypes=""app*"&amp;KIQ28&amp;"*"&amp;TEXT(KIX28-utc_offset/24,"YYYYMMDD")&amp;"*"" /stext="" "&amp;TEXT(KIX28-utc_offset/24,"HH")&amp;search_regexp&amp;""""</f>
        <v>#VALUE!</v>
      </c>
      <c r="KJV28" s="234" t="e">
        <f>astrogrep_path&amp;" /e /r /s /spath="&amp;search_path&amp;" /stypes=""app*"&amp;KIR28&amp;"*"&amp;TEXT(KIY28-utc_offset/24,"YYYYMMDD")&amp;"*"" /stext="" "&amp;TEXT(KIY28-utc_offset/24,"HH")&amp;search_regexp&amp;""""</f>
        <v>#VALUE!</v>
      </c>
      <c r="KJW28" s="234" t="e">
        <f>astrogrep_path&amp;" /e /r /s /spath="&amp;search_path&amp;" /stypes=""app*"&amp;KIS28&amp;"*"&amp;TEXT(KIZ28-utc_offset/24,"YYYYMMDD")&amp;"*"" /stext="" "&amp;TEXT(KIZ28-utc_offset/24,"HH")&amp;search_regexp&amp;""""</f>
        <v>#VALUE!</v>
      </c>
      <c r="KJX28" s="234" t="e">
        <f>astrogrep_path&amp;" /e /r /s /spath="&amp;search_path&amp;" /stypes=""app*"&amp;KIT28&amp;"*"&amp;TEXT(KJA28-utc_offset/24,"YYYYMMDD")&amp;"*"" /stext="" "&amp;TEXT(KJA28-utc_offset/24,"HH")&amp;search_regexp&amp;""""</f>
        <v>#REF!</v>
      </c>
      <c r="KJY28" s="234" t="e">
        <f>astrogrep_path&amp;" /e /r /s /spath="&amp;search_path&amp;" /stypes=""app*"&amp;KIU28&amp;"*"&amp;TEXT(KJB28-utc_offset/24,"YYYYMMDD")&amp;"*"" /stext="" "&amp;TEXT(KJB28-utc_offset/24,"HH")&amp;search_regexp&amp;""""</f>
        <v>#REF!</v>
      </c>
      <c r="KJZ28" s="234" t="e">
        <f>astrogrep_path&amp;" /e /r /s /spath="&amp;search_path&amp;" /stypes=""app*"&amp;KIV28&amp;"*"&amp;TEXT(KJC28-utc_offset/24,"YYYYMMDD")&amp;"*"" /stext="" "&amp;TEXT(KJC28-utc_offset/24,"HH")&amp;search_regexp&amp;""""</f>
        <v>#REF!</v>
      </c>
      <c r="KKA28" s="234" t="e">
        <f>astrogrep_path&amp;" /e /r /s /spath="&amp;search_path&amp;" /stypes=""app*"&amp;KIW28&amp;"*"&amp;TEXT(KJD28-utc_offset/24,"YYYYMMDD")&amp;"*"" /stext="" "&amp;TEXT(KJD28-utc_offset/24,"HH")&amp;search_regexp&amp;""""</f>
        <v>#REF!</v>
      </c>
      <c r="KKB28" s="234" t="e">
        <f>astrogrep_path&amp;" /e /r /s /spath="&amp;search_path&amp;" /stypes=""app*"&amp;KIX28&amp;"*"&amp;TEXT(KJE28-utc_offset/24,"YYYYMMDD")&amp;"*"" /stext="" "&amp;TEXT(KJE28-utc_offset/24,"HH")&amp;search_regexp&amp;""""</f>
        <v>#REF!</v>
      </c>
      <c r="KKC28" s="234" t="e">
        <f>astrogrep_path&amp;" /e /r /s /spath="&amp;search_path&amp;" /stypes=""app*"&amp;KIY28&amp;"*"&amp;TEXT(KJF28-utc_offset/24,"YYYYMMDD")&amp;"*"" /stext="" "&amp;TEXT(KJF28-utc_offset/24,"HH")&amp;search_regexp&amp;""""</f>
        <v>#REF!</v>
      </c>
      <c r="KKD28" s="234" t="e">
        <f>astrogrep_path&amp;" /e /r /s /spath="&amp;search_path&amp;" /stypes=""app*"&amp;KIZ28&amp;"*"&amp;TEXT(KJG28-utc_offset/24,"YYYYMMDD")&amp;"*"" /stext="" "&amp;TEXT(KJG28-utc_offset/24,"HH")&amp;search_regexp&amp;""""</f>
        <v>#REF!</v>
      </c>
      <c r="KKE28" s="234" t="e">
        <f>astrogrep_path&amp;" /e /r /s /spath="&amp;search_path&amp;" /stypes=""app*"&amp;KJA28&amp;"*"&amp;TEXT(KJH28-utc_offset/24,"YYYYMMDD")&amp;"*"" /stext="" "&amp;TEXT(KJH28-utc_offset/24,"HH")&amp;search_regexp&amp;""""</f>
        <v>#REF!</v>
      </c>
      <c r="KKF28" s="234" t="e">
        <f>astrogrep_path&amp;" /e /r /s /spath="&amp;search_path&amp;" /stypes=""app*"&amp;KJB28&amp;"*"&amp;TEXT(KJI28-utc_offset/24,"YYYYMMDD")&amp;"*"" /stext="" "&amp;TEXT(KJI28-utc_offset/24,"HH")&amp;search_regexp&amp;""""</f>
        <v>#REF!</v>
      </c>
      <c r="KKG28" s="234" t="e">
        <f>astrogrep_path&amp;" /e /r /s /spath="&amp;search_path&amp;" /stypes=""app*"&amp;KJC28&amp;"*"&amp;TEXT(KJJ28-utc_offset/24,"YYYYMMDD")&amp;"*"" /stext="" "&amp;TEXT(KJJ28-utc_offset/24,"HH")&amp;search_regexp&amp;""""</f>
        <v>#REF!</v>
      </c>
      <c r="KKH28" s="234" t="e">
        <f>astrogrep_path&amp;" /e /r /s /spath="&amp;search_path&amp;" /stypes=""app*"&amp;KJD28&amp;"*"&amp;TEXT(KJK28-utc_offset/24,"YYYYMMDD")&amp;"*"" /stext="" "&amp;TEXT(KJK28-utc_offset/24,"HH")&amp;search_regexp&amp;""""</f>
        <v>#REF!</v>
      </c>
      <c r="KKI28" s="234" t="e">
        <f>astrogrep_path&amp;" /e /r /s /spath="&amp;search_path&amp;" /stypes=""app*"&amp;KJE28&amp;"*"&amp;TEXT(KJL28-utc_offset/24,"YYYYMMDD")&amp;"*"" /stext="" "&amp;TEXT(KJL28-utc_offset/24,"HH")&amp;search_regexp&amp;""""</f>
        <v>#REF!</v>
      </c>
      <c r="KKJ28" s="234" t="e">
        <f>astrogrep_path&amp;" /e /r /s /spath="&amp;search_path&amp;" /stypes=""app*"&amp;KJF28&amp;"*"&amp;TEXT(KJM28-utc_offset/24,"YYYYMMDD")&amp;"*"" /stext="" "&amp;TEXT(KJM28-utc_offset/24,"HH")&amp;search_regexp&amp;""""</f>
        <v>#REF!</v>
      </c>
      <c r="KKK28" s="234" t="e">
        <f>astrogrep_path&amp;" /e /r /s /spath="&amp;search_path&amp;" /stypes=""app*"&amp;KJG28&amp;"*"&amp;TEXT(KJN28-utc_offset/24,"YYYYMMDD")&amp;"*"" /stext="" "&amp;TEXT(KJN28-utc_offset/24,"HH")&amp;search_regexp&amp;""""</f>
        <v>#REF!</v>
      </c>
      <c r="KKL28" s="234" t="e">
        <f>astrogrep_path&amp;" /e /r /s /spath="&amp;search_path&amp;" /stypes=""app*"&amp;KJH28&amp;"*"&amp;TEXT(KJO28-utc_offset/24,"YYYYMMDD")&amp;"*"" /stext="" "&amp;TEXT(KJO28-utc_offset/24,"HH")&amp;search_regexp&amp;""""</f>
        <v>#REF!</v>
      </c>
      <c r="KKM28" s="234" t="e">
        <f>astrogrep_path&amp;" /e /r /s /spath="&amp;search_path&amp;" /stypes=""app*"&amp;KJI28&amp;"*"&amp;TEXT(KJP28-utc_offset/24,"YYYYMMDD")&amp;"*"" /stext="" "&amp;TEXT(KJP28-utc_offset/24,"HH")&amp;search_regexp&amp;""""</f>
        <v>#REF!</v>
      </c>
      <c r="KKN28" s="234" t="e">
        <f>astrogrep_path&amp;" /e /r /s /spath="&amp;search_path&amp;" /stypes=""app*"&amp;KJJ28&amp;"*"&amp;TEXT(KJQ28-utc_offset/24,"YYYYMMDD")&amp;"*"" /stext="" "&amp;TEXT(KJQ28-utc_offset/24,"HH")&amp;search_regexp&amp;""""</f>
        <v>#REF!</v>
      </c>
      <c r="KKO28" s="234" t="e">
        <f>astrogrep_path&amp;" /e /r /s /spath="&amp;search_path&amp;" /stypes=""app*"&amp;KJK28&amp;"*"&amp;TEXT(KJR28-utc_offset/24,"YYYYMMDD")&amp;"*"" /stext="" "&amp;TEXT(KJR28-utc_offset/24,"HH")&amp;search_regexp&amp;""""</f>
        <v>#REF!</v>
      </c>
      <c r="KKP28" s="234" t="e">
        <f>astrogrep_path&amp;" /e /r /s /spath="&amp;search_path&amp;" /stypes=""app*"&amp;KJL28&amp;"*"&amp;TEXT(KJS28-utc_offset/24,"YYYYMMDD")&amp;"*"" /stext="" "&amp;TEXT(KJS28-utc_offset/24,"HH")&amp;search_regexp&amp;""""</f>
        <v>#REF!</v>
      </c>
      <c r="KKQ28" s="234" t="e">
        <f>astrogrep_path&amp;" /e /r /s /spath="&amp;search_path&amp;" /stypes=""app*"&amp;KJM28&amp;"*"&amp;TEXT(KJT28-utc_offset/24,"YYYYMMDD")&amp;"*"" /stext="" "&amp;TEXT(KJT28-utc_offset/24,"HH")&amp;search_regexp&amp;""""</f>
        <v>#REF!</v>
      </c>
      <c r="KKR28" s="234" t="e">
        <f>astrogrep_path&amp;" /e /r /s /spath="&amp;search_path&amp;" /stypes=""app*"&amp;KJN28&amp;"*"&amp;TEXT(KJU28-utc_offset/24,"YYYYMMDD")&amp;"*"" /stext="" "&amp;TEXT(KJU28-utc_offset/24,"HH")&amp;search_regexp&amp;""""</f>
        <v>#REF!</v>
      </c>
      <c r="KKS28" s="234" t="e">
        <f>astrogrep_path&amp;" /e /r /s /spath="&amp;search_path&amp;" /stypes=""app*"&amp;KJO28&amp;"*"&amp;TEXT(KJV28-utc_offset/24,"YYYYMMDD")&amp;"*"" /stext="" "&amp;TEXT(KJV28-utc_offset/24,"HH")&amp;search_regexp&amp;""""</f>
        <v>#VALUE!</v>
      </c>
      <c r="KKT28" s="234" t="e">
        <f>astrogrep_path&amp;" /e /r /s /spath="&amp;search_path&amp;" /stypes=""app*"&amp;KJP28&amp;"*"&amp;TEXT(KJW28-utc_offset/24,"YYYYMMDD")&amp;"*"" /stext="" "&amp;TEXT(KJW28-utc_offset/24,"HH")&amp;search_regexp&amp;""""</f>
        <v>#VALUE!</v>
      </c>
      <c r="KKU28" s="234" t="e">
        <f>astrogrep_path&amp;" /e /r /s /spath="&amp;search_path&amp;" /stypes=""app*"&amp;KJQ28&amp;"*"&amp;TEXT(KJX28-utc_offset/24,"YYYYMMDD")&amp;"*"" /stext="" "&amp;TEXT(KJX28-utc_offset/24,"HH")&amp;search_regexp&amp;""""</f>
        <v>#REF!</v>
      </c>
      <c r="KKV28" s="234" t="e">
        <f>astrogrep_path&amp;" /e /r /s /spath="&amp;search_path&amp;" /stypes=""app*"&amp;KJR28&amp;"*"&amp;TEXT(KJY28-utc_offset/24,"YYYYMMDD")&amp;"*"" /stext="" "&amp;TEXT(KJY28-utc_offset/24,"HH")&amp;search_regexp&amp;""""</f>
        <v>#REF!</v>
      </c>
      <c r="KKW28" s="234" t="e">
        <f>astrogrep_path&amp;" /e /r /s /spath="&amp;search_path&amp;" /stypes=""app*"&amp;KJS28&amp;"*"&amp;TEXT(KJZ28-utc_offset/24,"YYYYMMDD")&amp;"*"" /stext="" "&amp;TEXT(KJZ28-utc_offset/24,"HH")&amp;search_regexp&amp;""""</f>
        <v>#VALUE!</v>
      </c>
      <c r="KKX28" s="234" t="e">
        <f>astrogrep_path&amp;" /e /r /s /spath="&amp;search_path&amp;" /stypes=""app*"&amp;KJT28&amp;"*"&amp;TEXT(KKA28-utc_offset/24,"YYYYMMDD")&amp;"*"" /stext="" "&amp;TEXT(KKA28-utc_offset/24,"HH")&amp;search_regexp&amp;""""</f>
        <v>#VALUE!</v>
      </c>
      <c r="KKY28" s="234" t="e">
        <f>astrogrep_path&amp;" /e /r /s /spath="&amp;search_path&amp;" /stypes=""app*"&amp;KJU28&amp;"*"&amp;TEXT(KKB28-utc_offset/24,"YYYYMMDD")&amp;"*"" /stext="" "&amp;TEXT(KKB28-utc_offset/24,"HH")&amp;search_regexp&amp;""""</f>
        <v>#VALUE!</v>
      </c>
      <c r="KKZ28" s="234" t="e">
        <f>astrogrep_path&amp;" /e /r /s /spath="&amp;search_path&amp;" /stypes=""app*"&amp;KJV28&amp;"*"&amp;TEXT(KKC28-utc_offset/24,"YYYYMMDD")&amp;"*"" /stext="" "&amp;TEXT(KKC28-utc_offset/24,"HH")&amp;search_regexp&amp;""""</f>
        <v>#VALUE!</v>
      </c>
      <c r="KLA28" s="234" t="e">
        <f>astrogrep_path&amp;" /e /r /s /spath="&amp;search_path&amp;" /stypes=""app*"&amp;KJW28&amp;"*"&amp;TEXT(KKD28-utc_offset/24,"YYYYMMDD")&amp;"*"" /stext="" "&amp;TEXT(KKD28-utc_offset/24,"HH")&amp;search_regexp&amp;""""</f>
        <v>#VALUE!</v>
      </c>
      <c r="KLB28" s="234" t="e">
        <f>astrogrep_path&amp;" /e /r /s /spath="&amp;search_path&amp;" /stypes=""app*"&amp;KJX28&amp;"*"&amp;TEXT(KKE28-utc_offset/24,"YYYYMMDD")&amp;"*"" /stext="" "&amp;TEXT(KKE28-utc_offset/24,"HH")&amp;search_regexp&amp;""""</f>
        <v>#REF!</v>
      </c>
      <c r="KLC28" s="234" t="e">
        <f>astrogrep_path&amp;" /e /r /s /spath="&amp;search_path&amp;" /stypes=""app*"&amp;KJY28&amp;"*"&amp;TEXT(KKF28-utc_offset/24,"YYYYMMDD")&amp;"*"" /stext="" "&amp;TEXT(KKF28-utc_offset/24,"HH")&amp;search_regexp&amp;""""</f>
        <v>#REF!</v>
      </c>
      <c r="KLD28" s="234" t="e">
        <f>astrogrep_path&amp;" /e /r /s /spath="&amp;search_path&amp;" /stypes=""app*"&amp;KJZ28&amp;"*"&amp;TEXT(KKG28-utc_offset/24,"YYYYMMDD")&amp;"*"" /stext="" "&amp;TEXT(KKG28-utc_offset/24,"HH")&amp;search_regexp&amp;""""</f>
        <v>#REF!</v>
      </c>
      <c r="KLE28" s="234" t="e">
        <f>astrogrep_path&amp;" /e /r /s /spath="&amp;search_path&amp;" /stypes=""app*"&amp;KKA28&amp;"*"&amp;TEXT(KKH28-utc_offset/24,"YYYYMMDD")&amp;"*"" /stext="" "&amp;TEXT(KKH28-utc_offset/24,"HH")&amp;search_regexp&amp;""""</f>
        <v>#REF!</v>
      </c>
      <c r="KLF28" s="234" t="e">
        <f>astrogrep_path&amp;" /e /r /s /spath="&amp;search_path&amp;" /stypes=""app*"&amp;KKB28&amp;"*"&amp;TEXT(KKI28-utc_offset/24,"YYYYMMDD")&amp;"*"" /stext="" "&amp;TEXT(KKI28-utc_offset/24,"HH")&amp;search_regexp&amp;""""</f>
        <v>#REF!</v>
      </c>
      <c r="KLG28" s="234" t="e">
        <f>astrogrep_path&amp;" /e /r /s /spath="&amp;search_path&amp;" /stypes=""app*"&amp;KKC28&amp;"*"&amp;TEXT(KKJ28-utc_offset/24,"YYYYMMDD")&amp;"*"" /stext="" "&amp;TEXT(KKJ28-utc_offset/24,"HH")&amp;search_regexp&amp;""""</f>
        <v>#REF!</v>
      </c>
      <c r="KLH28" s="234" t="e">
        <f>astrogrep_path&amp;" /e /r /s /spath="&amp;search_path&amp;" /stypes=""app*"&amp;KKD28&amp;"*"&amp;TEXT(KKK28-utc_offset/24,"YYYYMMDD")&amp;"*"" /stext="" "&amp;TEXT(KKK28-utc_offset/24,"HH")&amp;search_regexp&amp;""""</f>
        <v>#REF!</v>
      </c>
      <c r="KLI28" s="234" t="e">
        <f>astrogrep_path&amp;" /e /r /s /spath="&amp;search_path&amp;" /stypes=""app*"&amp;KKE28&amp;"*"&amp;TEXT(KKL28-utc_offset/24,"YYYYMMDD")&amp;"*"" /stext="" "&amp;TEXT(KKL28-utc_offset/24,"HH")&amp;search_regexp&amp;""""</f>
        <v>#REF!</v>
      </c>
      <c r="KLJ28" s="234" t="e">
        <f>astrogrep_path&amp;" /e /r /s /spath="&amp;search_path&amp;" /stypes=""app*"&amp;KKF28&amp;"*"&amp;TEXT(KKM28-utc_offset/24,"YYYYMMDD")&amp;"*"" /stext="" "&amp;TEXT(KKM28-utc_offset/24,"HH")&amp;search_regexp&amp;""""</f>
        <v>#REF!</v>
      </c>
      <c r="KLK28" s="234" t="e">
        <f>astrogrep_path&amp;" /e /r /s /spath="&amp;search_path&amp;" /stypes=""app*"&amp;KKG28&amp;"*"&amp;TEXT(KKN28-utc_offset/24,"YYYYMMDD")&amp;"*"" /stext="" "&amp;TEXT(KKN28-utc_offset/24,"HH")&amp;search_regexp&amp;""""</f>
        <v>#REF!</v>
      </c>
      <c r="KLL28" s="234" t="e">
        <f>astrogrep_path&amp;" /e /r /s /spath="&amp;search_path&amp;" /stypes=""app*"&amp;KKH28&amp;"*"&amp;TEXT(KKO28-utc_offset/24,"YYYYMMDD")&amp;"*"" /stext="" "&amp;TEXT(KKO28-utc_offset/24,"HH")&amp;search_regexp&amp;""""</f>
        <v>#REF!</v>
      </c>
      <c r="KLM28" s="234" t="e">
        <f>astrogrep_path&amp;" /e /r /s /spath="&amp;search_path&amp;" /stypes=""app*"&amp;KKI28&amp;"*"&amp;TEXT(KKP28-utc_offset/24,"YYYYMMDD")&amp;"*"" /stext="" "&amp;TEXT(KKP28-utc_offset/24,"HH")&amp;search_regexp&amp;""""</f>
        <v>#REF!</v>
      </c>
      <c r="KLN28" s="234" t="e">
        <f>astrogrep_path&amp;" /e /r /s /spath="&amp;search_path&amp;" /stypes=""app*"&amp;KKJ28&amp;"*"&amp;TEXT(KKQ28-utc_offset/24,"YYYYMMDD")&amp;"*"" /stext="" "&amp;TEXT(KKQ28-utc_offset/24,"HH")&amp;search_regexp&amp;""""</f>
        <v>#REF!</v>
      </c>
      <c r="KLO28" s="234" t="e">
        <f>astrogrep_path&amp;" /e /r /s /spath="&amp;search_path&amp;" /stypes=""app*"&amp;KKK28&amp;"*"&amp;TEXT(KKR28-utc_offset/24,"YYYYMMDD")&amp;"*"" /stext="" "&amp;TEXT(KKR28-utc_offset/24,"HH")&amp;search_regexp&amp;""""</f>
        <v>#REF!</v>
      </c>
      <c r="KLP28" s="234" t="e">
        <f>astrogrep_path&amp;" /e /r /s /spath="&amp;search_path&amp;" /stypes=""app*"&amp;KKL28&amp;"*"&amp;TEXT(KKS28-utc_offset/24,"YYYYMMDD")&amp;"*"" /stext="" "&amp;TEXT(KKS28-utc_offset/24,"HH")&amp;search_regexp&amp;""""</f>
        <v>#REF!</v>
      </c>
      <c r="KLQ28" s="234" t="e">
        <f>astrogrep_path&amp;" /e /r /s /spath="&amp;search_path&amp;" /stypes=""app*"&amp;KKM28&amp;"*"&amp;TEXT(KKT28-utc_offset/24,"YYYYMMDD")&amp;"*"" /stext="" "&amp;TEXT(KKT28-utc_offset/24,"HH")&amp;search_regexp&amp;""""</f>
        <v>#REF!</v>
      </c>
      <c r="KLR28" s="234" t="e">
        <f>astrogrep_path&amp;" /e /r /s /spath="&amp;search_path&amp;" /stypes=""app*"&amp;KKN28&amp;"*"&amp;TEXT(KKU28-utc_offset/24,"YYYYMMDD")&amp;"*"" /stext="" "&amp;TEXT(KKU28-utc_offset/24,"HH")&amp;search_regexp&amp;""""</f>
        <v>#REF!</v>
      </c>
      <c r="KLS28" s="234" t="e">
        <f>astrogrep_path&amp;" /e /r /s /spath="&amp;search_path&amp;" /stypes=""app*"&amp;KKO28&amp;"*"&amp;TEXT(KKV28-utc_offset/24,"YYYYMMDD")&amp;"*"" /stext="" "&amp;TEXT(KKV28-utc_offset/24,"HH")&amp;search_regexp&amp;""""</f>
        <v>#REF!</v>
      </c>
      <c r="KLT28" s="234" t="e">
        <f>astrogrep_path&amp;" /e /r /s /spath="&amp;search_path&amp;" /stypes=""app*"&amp;KKP28&amp;"*"&amp;TEXT(KKW28-utc_offset/24,"YYYYMMDD")&amp;"*"" /stext="" "&amp;TEXT(KKW28-utc_offset/24,"HH")&amp;search_regexp&amp;""""</f>
        <v>#REF!</v>
      </c>
      <c r="KLU28" s="234" t="e">
        <f>astrogrep_path&amp;" /e /r /s /spath="&amp;search_path&amp;" /stypes=""app*"&amp;KKQ28&amp;"*"&amp;TEXT(KKX28-utc_offset/24,"YYYYMMDD")&amp;"*"" /stext="" "&amp;TEXT(KKX28-utc_offset/24,"HH")&amp;search_regexp&amp;""""</f>
        <v>#REF!</v>
      </c>
      <c r="KLV28" s="234" t="e">
        <f>astrogrep_path&amp;" /e /r /s /spath="&amp;search_path&amp;" /stypes=""app*"&amp;KKR28&amp;"*"&amp;TEXT(KKY28-utc_offset/24,"YYYYMMDD")&amp;"*"" /stext="" "&amp;TEXT(KKY28-utc_offset/24,"HH")&amp;search_regexp&amp;""""</f>
        <v>#REF!</v>
      </c>
      <c r="KLW28" s="234" t="e">
        <f>astrogrep_path&amp;" /e /r /s /spath="&amp;search_path&amp;" /stypes=""app*"&amp;KKS28&amp;"*"&amp;TEXT(KKZ28-utc_offset/24,"YYYYMMDD")&amp;"*"" /stext="" "&amp;TEXT(KKZ28-utc_offset/24,"HH")&amp;search_regexp&amp;""""</f>
        <v>#VALUE!</v>
      </c>
      <c r="KLX28" s="234" t="e">
        <f>astrogrep_path&amp;" /e /r /s /spath="&amp;search_path&amp;" /stypes=""app*"&amp;KKT28&amp;"*"&amp;TEXT(KLA28-utc_offset/24,"YYYYMMDD")&amp;"*"" /stext="" "&amp;TEXT(KLA28-utc_offset/24,"HH")&amp;search_regexp&amp;""""</f>
        <v>#VALUE!</v>
      </c>
      <c r="KLY28" s="234" t="e">
        <f>astrogrep_path&amp;" /e /r /s /spath="&amp;search_path&amp;" /stypes=""app*"&amp;KKU28&amp;"*"&amp;TEXT(KLB28-utc_offset/24,"YYYYMMDD")&amp;"*"" /stext="" "&amp;TEXT(KLB28-utc_offset/24,"HH")&amp;search_regexp&amp;""""</f>
        <v>#REF!</v>
      </c>
      <c r="KLZ28" s="234" t="e">
        <f>astrogrep_path&amp;" /e /r /s /spath="&amp;search_path&amp;" /stypes=""app*"&amp;KKV28&amp;"*"&amp;TEXT(KLC28-utc_offset/24,"YYYYMMDD")&amp;"*"" /stext="" "&amp;TEXT(KLC28-utc_offset/24,"HH")&amp;search_regexp&amp;""""</f>
        <v>#REF!</v>
      </c>
      <c r="KMA28" s="234" t="e">
        <f>astrogrep_path&amp;" /e /r /s /spath="&amp;search_path&amp;" /stypes=""app*"&amp;KKW28&amp;"*"&amp;TEXT(KLD28-utc_offset/24,"YYYYMMDD")&amp;"*"" /stext="" "&amp;TEXT(KLD28-utc_offset/24,"HH")&amp;search_regexp&amp;""""</f>
        <v>#VALUE!</v>
      </c>
      <c r="KMB28" s="234" t="e">
        <f>astrogrep_path&amp;" /e /r /s /spath="&amp;search_path&amp;" /stypes=""app*"&amp;KKX28&amp;"*"&amp;TEXT(KLE28-utc_offset/24,"YYYYMMDD")&amp;"*"" /stext="" "&amp;TEXT(KLE28-utc_offset/24,"HH")&amp;search_regexp&amp;""""</f>
        <v>#VALUE!</v>
      </c>
      <c r="KMC28" s="234" t="e">
        <f>astrogrep_path&amp;" /e /r /s /spath="&amp;search_path&amp;" /stypes=""app*"&amp;KKY28&amp;"*"&amp;TEXT(KLF28-utc_offset/24,"YYYYMMDD")&amp;"*"" /stext="" "&amp;TEXT(KLF28-utc_offset/24,"HH")&amp;search_regexp&amp;""""</f>
        <v>#VALUE!</v>
      </c>
      <c r="KMD28" s="234" t="e">
        <f>astrogrep_path&amp;" /e /r /s /spath="&amp;search_path&amp;" /stypes=""app*"&amp;KKZ28&amp;"*"&amp;TEXT(KLG28-utc_offset/24,"YYYYMMDD")&amp;"*"" /stext="" "&amp;TEXT(KLG28-utc_offset/24,"HH")&amp;search_regexp&amp;""""</f>
        <v>#VALUE!</v>
      </c>
      <c r="KME28" s="234" t="e">
        <f>astrogrep_path&amp;" /e /r /s /spath="&amp;search_path&amp;" /stypes=""app*"&amp;KLA28&amp;"*"&amp;TEXT(KLH28-utc_offset/24,"YYYYMMDD")&amp;"*"" /stext="" "&amp;TEXT(KLH28-utc_offset/24,"HH")&amp;search_regexp&amp;""""</f>
        <v>#VALUE!</v>
      </c>
      <c r="KMF28" s="234" t="e">
        <f>astrogrep_path&amp;" /e /r /s /spath="&amp;search_path&amp;" /stypes=""app*"&amp;KLB28&amp;"*"&amp;TEXT(KLI28-utc_offset/24,"YYYYMMDD")&amp;"*"" /stext="" "&amp;TEXT(KLI28-utc_offset/24,"HH")&amp;search_regexp&amp;""""</f>
        <v>#REF!</v>
      </c>
      <c r="KMG28" s="234" t="e">
        <f>astrogrep_path&amp;" /e /r /s /spath="&amp;search_path&amp;" /stypes=""app*"&amp;KLC28&amp;"*"&amp;TEXT(KLJ28-utc_offset/24,"YYYYMMDD")&amp;"*"" /stext="" "&amp;TEXT(KLJ28-utc_offset/24,"HH")&amp;search_regexp&amp;""""</f>
        <v>#REF!</v>
      </c>
      <c r="KMH28" s="234" t="e">
        <f>astrogrep_path&amp;" /e /r /s /spath="&amp;search_path&amp;" /stypes=""app*"&amp;KLD28&amp;"*"&amp;TEXT(KLK28-utc_offset/24,"YYYYMMDD")&amp;"*"" /stext="" "&amp;TEXT(KLK28-utc_offset/24,"HH")&amp;search_regexp&amp;""""</f>
        <v>#REF!</v>
      </c>
      <c r="KMI28" s="234" t="e">
        <f>astrogrep_path&amp;" /e /r /s /spath="&amp;search_path&amp;" /stypes=""app*"&amp;KLE28&amp;"*"&amp;TEXT(KLL28-utc_offset/24,"YYYYMMDD")&amp;"*"" /stext="" "&amp;TEXT(KLL28-utc_offset/24,"HH")&amp;search_regexp&amp;""""</f>
        <v>#REF!</v>
      </c>
      <c r="KMJ28" s="234" t="e">
        <f>astrogrep_path&amp;" /e /r /s /spath="&amp;search_path&amp;" /stypes=""app*"&amp;KLF28&amp;"*"&amp;TEXT(KLM28-utc_offset/24,"YYYYMMDD")&amp;"*"" /stext="" "&amp;TEXT(KLM28-utc_offset/24,"HH")&amp;search_regexp&amp;""""</f>
        <v>#REF!</v>
      </c>
      <c r="KMK28" s="234" t="e">
        <f>astrogrep_path&amp;" /e /r /s /spath="&amp;search_path&amp;" /stypes=""app*"&amp;KLG28&amp;"*"&amp;TEXT(KLN28-utc_offset/24,"YYYYMMDD")&amp;"*"" /stext="" "&amp;TEXT(KLN28-utc_offset/24,"HH")&amp;search_regexp&amp;""""</f>
        <v>#REF!</v>
      </c>
      <c r="KML28" s="234" t="e">
        <f>astrogrep_path&amp;" /e /r /s /spath="&amp;search_path&amp;" /stypes=""app*"&amp;KLH28&amp;"*"&amp;TEXT(KLO28-utc_offset/24,"YYYYMMDD")&amp;"*"" /stext="" "&amp;TEXT(KLO28-utc_offset/24,"HH")&amp;search_regexp&amp;""""</f>
        <v>#REF!</v>
      </c>
      <c r="KMM28" s="234" t="e">
        <f>astrogrep_path&amp;" /e /r /s /spath="&amp;search_path&amp;" /stypes=""app*"&amp;KLI28&amp;"*"&amp;TEXT(KLP28-utc_offset/24,"YYYYMMDD")&amp;"*"" /stext="" "&amp;TEXT(KLP28-utc_offset/24,"HH")&amp;search_regexp&amp;""""</f>
        <v>#REF!</v>
      </c>
      <c r="KMN28" s="234" t="e">
        <f>astrogrep_path&amp;" /e /r /s /spath="&amp;search_path&amp;" /stypes=""app*"&amp;KLJ28&amp;"*"&amp;TEXT(KLQ28-utc_offset/24,"YYYYMMDD")&amp;"*"" /stext="" "&amp;TEXT(KLQ28-utc_offset/24,"HH")&amp;search_regexp&amp;""""</f>
        <v>#REF!</v>
      </c>
      <c r="KMO28" s="234" t="e">
        <f>astrogrep_path&amp;" /e /r /s /spath="&amp;search_path&amp;" /stypes=""app*"&amp;KLK28&amp;"*"&amp;TEXT(KLR28-utc_offset/24,"YYYYMMDD")&amp;"*"" /stext="" "&amp;TEXT(KLR28-utc_offset/24,"HH")&amp;search_regexp&amp;""""</f>
        <v>#REF!</v>
      </c>
      <c r="KMP28" s="234" t="e">
        <f>astrogrep_path&amp;" /e /r /s /spath="&amp;search_path&amp;" /stypes=""app*"&amp;KLL28&amp;"*"&amp;TEXT(KLS28-utc_offset/24,"YYYYMMDD")&amp;"*"" /stext="" "&amp;TEXT(KLS28-utc_offset/24,"HH")&amp;search_regexp&amp;""""</f>
        <v>#REF!</v>
      </c>
      <c r="KMQ28" s="234" t="e">
        <f>astrogrep_path&amp;" /e /r /s /spath="&amp;search_path&amp;" /stypes=""app*"&amp;KLM28&amp;"*"&amp;TEXT(KLT28-utc_offset/24,"YYYYMMDD")&amp;"*"" /stext="" "&amp;TEXT(KLT28-utc_offset/24,"HH")&amp;search_regexp&amp;""""</f>
        <v>#REF!</v>
      </c>
      <c r="KMR28" s="234" t="e">
        <f>astrogrep_path&amp;" /e /r /s /spath="&amp;search_path&amp;" /stypes=""app*"&amp;KLN28&amp;"*"&amp;TEXT(KLU28-utc_offset/24,"YYYYMMDD")&amp;"*"" /stext="" "&amp;TEXT(KLU28-utc_offset/24,"HH")&amp;search_regexp&amp;""""</f>
        <v>#REF!</v>
      </c>
      <c r="KMS28" s="234" t="e">
        <f>astrogrep_path&amp;" /e /r /s /spath="&amp;search_path&amp;" /stypes=""app*"&amp;KLO28&amp;"*"&amp;TEXT(KLV28-utc_offset/24,"YYYYMMDD")&amp;"*"" /stext="" "&amp;TEXT(KLV28-utc_offset/24,"HH")&amp;search_regexp&amp;""""</f>
        <v>#REF!</v>
      </c>
      <c r="KMT28" s="234" t="e">
        <f>astrogrep_path&amp;" /e /r /s /spath="&amp;search_path&amp;" /stypes=""app*"&amp;KLP28&amp;"*"&amp;TEXT(KLW28-utc_offset/24,"YYYYMMDD")&amp;"*"" /stext="" "&amp;TEXT(KLW28-utc_offset/24,"HH")&amp;search_regexp&amp;""""</f>
        <v>#REF!</v>
      </c>
      <c r="KMU28" s="234" t="e">
        <f>astrogrep_path&amp;" /e /r /s /spath="&amp;search_path&amp;" /stypes=""app*"&amp;KLQ28&amp;"*"&amp;TEXT(KLX28-utc_offset/24,"YYYYMMDD")&amp;"*"" /stext="" "&amp;TEXT(KLX28-utc_offset/24,"HH")&amp;search_regexp&amp;""""</f>
        <v>#REF!</v>
      </c>
      <c r="KMV28" s="234" t="e">
        <f>astrogrep_path&amp;" /e /r /s /spath="&amp;search_path&amp;" /stypes=""app*"&amp;KLR28&amp;"*"&amp;TEXT(KLY28-utc_offset/24,"YYYYMMDD")&amp;"*"" /stext="" "&amp;TEXT(KLY28-utc_offset/24,"HH")&amp;search_regexp&amp;""""</f>
        <v>#REF!</v>
      </c>
      <c r="KMW28" s="234" t="e">
        <f>astrogrep_path&amp;" /e /r /s /spath="&amp;search_path&amp;" /stypes=""app*"&amp;KLS28&amp;"*"&amp;TEXT(KLZ28-utc_offset/24,"YYYYMMDD")&amp;"*"" /stext="" "&amp;TEXT(KLZ28-utc_offset/24,"HH")&amp;search_regexp&amp;""""</f>
        <v>#REF!</v>
      </c>
      <c r="KMX28" s="234" t="e">
        <f>astrogrep_path&amp;" /e /r /s /spath="&amp;search_path&amp;" /stypes=""app*"&amp;KLT28&amp;"*"&amp;TEXT(KMA28-utc_offset/24,"YYYYMMDD")&amp;"*"" /stext="" "&amp;TEXT(KMA28-utc_offset/24,"HH")&amp;search_regexp&amp;""""</f>
        <v>#REF!</v>
      </c>
      <c r="KMY28" s="234" t="e">
        <f>astrogrep_path&amp;" /e /r /s /spath="&amp;search_path&amp;" /stypes=""app*"&amp;KLU28&amp;"*"&amp;TEXT(KMB28-utc_offset/24,"YYYYMMDD")&amp;"*"" /stext="" "&amp;TEXT(KMB28-utc_offset/24,"HH")&amp;search_regexp&amp;""""</f>
        <v>#REF!</v>
      </c>
      <c r="KMZ28" s="234" t="e">
        <f>astrogrep_path&amp;" /e /r /s /spath="&amp;search_path&amp;" /stypes=""app*"&amp;KLV28&amp;"*"&amp;TEXT(KMC28-utc_offset/24,"YYYYMMDD")&amp;"*"" /stext="" "&amp;TEXT(KMC28-utc_offset/24,"HH")&amp;search_regexp&amp;""""</f>
        <v>#REF!</v>
      </c>
      <c r="KNA28" s="234" t="e">
        <f>astrogrep_path&amp;" /e /r /s /spath="&amp;search_path&amp;" /stypes=""app*"&amp;KLW28&amp;"*"&amp;TEXT(KMD28-utc_offset/24,"YYYYMMDD")&amp;"*"" /stext="" "&amp;TEXT(KMD28-utc_offset/24,"HH")&amp;search_regexp&amp;""""</f>
        <v>#VALUE!</v>
      </c>
      <c r="KNB28" s="234" t="e">
        <f>astrogrep_path&amp;" /e /r /s /spath="&amp;search_path&amp;" /stypes=""app*"&amp;KLX28&amp;"*"&amp;TEXT(KME28-utc_offset/24,"YYYYMMDD")&amp;"*"" /stext="" "&amp;TEXT(KME28-utc_offset/24,"HH")&amp;search_regexp&amp;""""</f>
        <v>#VALUE!</v>
      </c>
      <c r="KNC28" s="234" t="e">
        <f>astrogrep_path&amp;" /e /r /s /spath="&amp;search_path&amp;" /stypes=""app*"&amp;KLY28&amp;"*"&amp;TEXT(KMF28-utc_offset/24,"YYYYMMDD")&amp;"*"" /stext="" "&amp;TEXT(KMF28-utc_offset/24,"HH")&amp;search_regexp&amp;""""</f>
        <v>#REF!</v>
      </c>
      <c r="KND28" s="234" t="e">
        <f>astrogrep_path&amp;" /e /r /s /spath="&amp;search_path&amp;" /stypes=""app*"&amp;KLZ28&amp;"*"&amp;TEXT(KMG28-utc_offset/24,"YYYYMMDD")&amp;"*"" /stext="" "&amp;TEXT(KMG28-utc_offset/24,"HH")&amp;search_regexp&amp;""""</f>
        <v>#REF!</v>
      </c>
      <c r="KNE28" s="234" t="e">
        <f>astrogrep_path&amp;" /e /r /s /spath="&amp;search_path&amp;" /stypes=""app*"&amp;KMA28&amp;"*"&amp;TEXT(KMH28-utc_offset/24,"YYYYMMDD")&amp;"*"" /stext="" "&amp;TEXT(KMH28-utc_offset/24,"HH")&amp;search_regexp&amp;""""</f>
        <v>#VALUE!</v>
      </c>
      <c r="KNF28" s="234" t="e">
        <f>astrogrep_path&amp;" /e /r /s /spath="&amp;search_path&amp;" /stypes=""app*"&amp;KMB28&amp;"*"&amp;TEXT(KMI28-utc_offset/24,"YYYYMMDD")&amp;"*"" /stext="" "&amp;TEXT(KMI28-utc_offset/24,"HH")&amp;search_regexp&amp;""""</f>
        <v>#VALUE!</v>
      </c>
      <c r="KNG28" s="234" t="e">
        <f>astrogrep_path&amp;" /e /r /s /spath="&amp;search_path&amp;" /stypes=""app*"&amp;KMC28&amp;"*"&amp;TEXT(KMJ28-utc_offset/24,"YYYYMMDD")&amp;"*"" /stext="" "&amp;TEXT(KMJ28-utc_offset/24,"HH")&amp;search_regexp&amp;""""</f>
        <v>#VALUE!</v>
      </c>
      <c r="KNH28" s="234" t="e">
        <f>astrogrep_path&amp;" /e /r /s /spath="&amp;search_path&amp;" /stypes=""app*"&amp;KMD28&amp;"*"&amp;TEXT(KMK28-utc_offset/24,"YYYYMMDD")&amp;"*"" /stext="" "&amp;TEXT(KMK28-utc_offset/24,"HH")&amp;search_regexp&amp;""""</f>
        <v>#VALUE!</v>
      </c>
      <c r="KNI28" s="234" t="e">
        <f>astrogrep_path&amp;" /e /r /s /spath="&amp;search_path&amp;" /stypes=""app*"&amp;KME28&amp;"*"&amp;TEXT(KML28-utc_offset/24,"YYYYMMDD")&amp;"*"" /stext="" "&amp;TEXT(KML28-utc_offset/24,"HH")&amp;search_regexp&amp;""""</f>
        <v>#VALUE!</v>
      </c>
      <c r="KNJ28" s="234" t="e">
        <f>astrogrep_path&amp;" /e /r /s /spath="&amp;search_path&amp;" /stypes=""app*"&amp;KMF28&amp;"*"&amp;TEXT(KMM28-utc_offset/24,"YYYYMMDD")&amp;"*"" /stext="" "&amp;TEXT(KMM28-utc_offset/24,"HH")&amp;search_regexp&amp;""""</f>
        <v>#REF!</v>
      </c>
      <c r="KNK28" s="234" t="e">
        <f>astrogrep_path&amp;" /e /r /s /spath="&amp;search_path&amp;" /stypes=""app*"&amp;KMG28&amp;"*"&amp;TEXT(KMN28-utc_offset/24,"YYYYMMDD")&amp;"*"" /stext="" "&amp;TEXT(KMN28-utc_offset/24,"HH")&amp;search_regexp&amp;""""</f>
        <v>#REF!</v>
      </c>
      <c r="KNL28" s="234" t="e">
        <f>astrogrep_path&amp;" /e /r /s /spath="&amp;search_path&amp;" /stypes=""app*"&amp;KMH28&amp;"*"&amp;TEXT(KMO28-utc_offset/24,"YYYYMMDD")&amp;"*"" /stext="" "&amp;TEXT(KMO28-utc_offset/24,"HH")&amp;search_regexp&amp;""""</f>
        <v>#REF!</v>
      </c>
      <c r="KNM28" s="234" t="e">
        <f>astrogrep_path&amp;" /e /r /s /spath="&amp;search_path&amp;" /stypes=""app*"&amp;KMI28&amp;"*"&amp;TEXT(KMP28-utc_offset/24,"YYYYMMDD")&amp;"*"" /stext="" "&amp;TEXT(KMP28-utc_offset/24,"HH")&amp;search_regexp&amp;""""</f>
        <v>#REF!</v>
      </c>
      <c r="KNN28" s="234" t="e">
        <f>astrogrep_path&amp;" /e /r /s /spath="&amp;search_path&amp;" /stypes=""app*"&amp;KMJ28&amp;"*"&amp;TEXT(KMQ28-utc_offset/24,"YYYYMMDD")&amp;"*"" /stext="" "&amp;TEXT(KMQ28-utc_offset/24,"HH")&amp;search_regexp&amp;""""</f>
        <v>#REF!</v>
      </c>
      <c r="KNO28" s="234" t="e">
        <f>astrogrep_path&amp;" /e /r /s /spath="&amp;search_path&amp;" /stypes=""app*"&amp;KMK28&amp;"*"&amp;TEXT(KMR28-utc_offset/24,"YYYYMMDD")&amp;"*"" /stext="" "&amp;TEXT(KMR28-utc_offset/24,"HH")&amp;search_regexp&amp;""""</f>
        <v>#REF!</v>
      </c>
      <c r="KNP28" s="234" t="e">
        <f>astrogrep_path&amp;" /e /r /s /spath="&amp;search_path&amp;" /stypes=""app*"&amp;KML28&amp;"*"&amp;TEXT(KMS28-utc_offset/24,"YYYYMMDD")&amp;"*"" /stext="" "&amp;TEXT(KMS28-utc_offset/24,"HH")&amp;search_regexp&amp;""""</f>
        <v>#REF!</v>
      </c>
      <c r="KNQ28" s="234" t="e">
        <f>astrogrep_path&amp;" /e /r /s /spath="&amp;search_path&amp;" /stypes=""app*"&amp;KMM28&amp;"*"&amp;TEXT(KMT28-utc_offset/24,"YYYYMMDD")&amp;"*"" /stext="" "&amp;TEXT(KMT28-utc_offset/24,"HH")&amp;search_regexp&amp;""""</f>
        <v>#REF!</v>
      </c>
      <c r="KNR28" s="234" t="e">
        <f>astrogrep_path&amp;" /e /r /s /spath="&amp;search_path&amp;" /stypes=""app*"&amp;KMN28&amp;"*"&amp;TEXT(KMU28-utc_offset/24,"YYYYMMDD")&amp;"*"" /stext="" "&amp;TEXT(KMU28-utc_offset/24,"HH")&amp;search_regexp&amp;""""</f>
        <v>#REF!</v>
      </c>
      <c r="KNS28" s="234" t="e">
        <f>astrogrep_path&amp;" /e /r /s /spath="&amp;search_path&amp;" /stypes=""app*"&amp;KMO28&amp;"*"&amp;TEXT(KMV28-utc_offset/24,"YYYYMMDD")&amp;"*"" /stext="" "&amp;TEXT(KMV28-utc_offset/24,"HH")&amp;search_regexp&amp;""""</f>
        <v>#REF!</v>
      </c>
      <c r="KNT28" s="234" t="e">
        <f>astrogrep_path&amp;" /e /r /s /spath="&amp;search_path&amp;" /stypes=""app*"&amp;KMP28&amp;"*"&amp;TEXT(KMW28-utc_offset/24,"YYYYMMDD")&amp;"*"" /stext="" "&amp;TEXT(KMW28-utc_offset/24,"HH")&amp;search_regexp&amp;""""</f>
        <v>#REF!</v>
      </c>
      <c r="KNU28" s="234" t="e">
        <f>astrogrep_path&amp;" /e /r /s /spath="&amp;search_path&amp;" /stypes=""app*"&amp;KMQ28&amp;"*"&amp;TEXT(KMX28-utc_offset/24,"YYYYMMDD")&amp;"*"" /stext="" "&amp;TEXT(KMX28-utc_offset/24,"HH")&amp;search_regexp&amp;""""</f>
        <v>#REF!</v>
      </c>
      <c r="KNV28" s="234" t="e">
        <f>astrogrep_path&amp;" /e /r /s /spath="&amp;search_path&amp;" /stypes=""app*"&amp;KMR28&amp;"*"&amp;TEXT(KMY28-utc_offset/24,"YYYYMMDD")&amp;"*"" /stext="" "&amp;TEXT(KMY28-utc_offset/24,"HH")&amp;search_regexp&amp;""""</f>
        <v>#REF!</v>
      </c>
      <c r="KNW28" s="234" t="e">
        <f>astrogrep_path&amp;" /e /r /s /spath="&amp;search_path&amp;" /stypes=""app*"&amp;KMS28&amp;"*"&amp;TEXT(KMZ28-utc_offset/24,"YYYYMMDD")&amp;"*"" /stext="" "&amp;TEXT(KMZ28-utc_offset/24,"HH")&amp;search_regexp&amp;""""</f>
        <v>#REF!</v>
      </c>
      <c r="KNX28" s="234" t="e">
        <f>astrogrep_path&amp;" /e /r /s /spath="&amp;search_path&amp;" /stypes=""app*"&amp;KMT28&amp;"*"&amp;TEXT(KNA28-utc_offset/24,"YYYYMMDD")&amp;"*"" /stext="" "&amp;TEXT(KNA28-utc_offset/24,"HH")&amp;search_regexp&amp;""""</f>
        <v>#REF!</v>
      </c>
      <c r="KNY28" s="234" t="e">
        <f>astrogrep_path&amp;" /e /r /s /spath="&amp;search_path&amp;" /stypes=""app*"&amp;KMU28&amp;"*"&amp;TEXT(KNB28-utc_offset/24,"YYYYMMDD")&amp;"*"" /stext="" "&amp;TEXT(KNB28-utc_offset/24,"HH")&amp;search_regexp&amp;""""</f>
        <v>#REF!</v>
      </c>
      <c r="KNZ28" s="234" t="e">
        <f>astrogrep_path&amp;" /e /r /s /spath="&amp;search_path&amp;" /stypes=""app*"&amp;KMV28&amp;"*"&amp;TEXT(KNC28-utc_offset/24,"YYYYMMDD")&amp;"*"" /stext="" "&amp;TEXT(KNC28-utc_offset/24,"HH")&amp;search_regexp&amp;""""</f>
        <v>#REF!</v>
      </c>
      <c r="KOA28" s="234" t="e">
        <f>astrogrep_path&amp;" /e /r /s /spath="&amp;search_path&amp;" /stypes=""app*"&amp;KMW28&amp;"*"&amp;TEXT(KND28-utc_offset/24,"YYYYMMDD")&amp;"*"" /stext="" "&amp;TEXT(KND28-utc_offset/24,"HH")&amp;search_regexp&amp;""""</f>
        <v>#REF!</v>
      </c>
      <c r="KOB28" s="234" t="e">
        <f>astrogrep_path&amp;" /e /r /s /spath="&amp;search_path&amp;" /stypes=""app*"&amp;KMX28&amp;"*"&amp;TEXT(KNE28-utc_offset/24,"YYYYMMDD")&amp;"*"" /stext="" "&amp;TEXT(KNE28-utc_offset/24,"HH")&amp;search_regexp&amp;""""</f>
        <v>#REF!</v>
      </c>
      <c r="KOC28" s="234" t="e">
        <f>astrogrep_path&amp;" /e /r /s /spath="&amp;search_path&amp;" /stypes=""app*"&amp;KMY28&amp;"*"&amp;TEXT(KNF28-utc_offset/24,"YYYYMMDD")&amp;"*"" /stext="" "&amp;TEXT(KNF28-utc_offset/24,"HH")&amp;search_regexp&amp;""""</f>
        <v>#REF!</v>
      </c>
      <c r="KOD28" s="234" t="e">
        <f>astrogrep_path&amp;" /e /r /s /spath="&amp;search_path&amp;" /stypes=""app*"&amp;KMZ28&amp;"*"&amp;TEXT(KNG28-utc_offset/24,"YYYYMMDD")&amp;"*"" /stext="" "&amp;TEXT(KNG28-utc_offset/24,"HH")&amp;search_regexp&amp;""""</f>
        <v>#REF!</v>
      </c>
      <c r="KOE28" s="234" t="e">
        <f>astrogrep_path&amp;" /e /r /s /spath="&amp;search_path&amp;" /stypes=""app*"&amp;KNA28&amp;"*"&amp;TEXT(KNH28-utc_offset/24,"YYYYMMDD")&amp;"*"" /stext="" "&amp;TEXT(KNH28-utc_offset/24,"HH")&amp;search_regexp&amp;""""</f>
        <v>#VALUE!</v>
      </c>
      <c r="KOF28" s="234" t="e">
        <f>astrogrep_path&amp;" /e /r /s /spath="&amp;search_path&amp;" /stypes=""app*"&amp;KNB28&amp;"*"&amp;TEXT(KNI28-utc_offset/24,"YYYYMMDD")&amp;"*"" /stext="" "&amp;TEXT(KNI28-utc_offset/24,"HH")&amp;search_regexp&amp;""""</f>
        <v>#VALUE!</v>
      </c>
      <c r="KOG28" s="234" t="e">
        <f>astrogrep_path&amp;" /e /r /s /spath="&amp;search_path&amp;" /stypes=""app*"&amp;KNC28&amp;"*"&amp;TEXT(KNJ28-utc_offset/24,"YYYYMMDD")&amp;"*"" /stext="" "&amp;TEXT(KNJ28-utc_offset/24,"HH")&amp;search_regexp&amp;""""</f>
        <v>#REF!</v>
      </c>
      <c r="KOH28" s="234" t="e">
        <f>astrogrep_path&amp;" /e /r /s /spath="&amp;search_path&amp;" /stypes=""app*"&amp;KND28&amp;"*"&amp;TEXT(KNK28-utc_offset/24,"YYYYMMDD")&amp;"*"" /stext="" "&amp;TEXT(KNK28-utc_offset/24,"HH")&amp;search_regexp&amp;""""</f>
        <v>#REF!</v>
      </c>
      <c r="KOI28" s="234" t="e">
        <f>astrogrep_path&amp;" /e /r /s /spath="&amp;search_path&amp;" /stypes=""app*"&amp;KNE28&amp;"*"&amp;TEXT(KNL28-utc_offset/24,"YYYYMMDD")&amp;"*"" /stext="" "&amp;TEXT(KNL28-utc_offset/24,"HH")&amp;search_regexp&amp;""""</f>
        <v>#VALUE!</v>
      </c>
      <c r="KOJ28" s="234" t="e">
        <f>astrogrep_path&amp;" /e /r /s /spath="&amp;search_path&amp;" /stypes=""app*"&amp;KNF28&amp;"*"&amp;TEXT(KNM28-utc_offset/24,"YYYYMMDD")&amp;"*"" /stext="" "&amp;TEXT(KNM28-utc_offset/24,"HH")&amp;search_regexp&amp;""""</f>
        <v>#VALUE!</v>
      </c>
      <c r="KOK28" s="234" t="e">
        <f>astrogrep_path&amp;" /e /r /s /spath="&amp;search_path&amp;" /stypes=""app*"&amp;KNG28&amp;"*"&amp;TEXT(KNN28-utc_offset/24,"YYYYMMDD")&amp;"*"" /stext="" "&amp;TEXT(KNN28-utc_offset/24,"HH")&amp;search_regexp&amp;""""</f>
        <v>#VALUE!</v>
      </c>
      <c r="KOL28" s="234" t="e">
        <f>astrogrep_path&amp;" /e /r /s /spath="&amp;search_path&amp;" /stypes=""app*"&amp;KNH28&amp;"*"&amp;TEXT(KNO28-utc_offset/24,"YYYYMMDD")&amp;"*"" /stext="" "&amp;TEXT(KNO28-utc_offset/24,"HH")&amp;search_regexp&amp;""""</f>
        <v>#VALUE!</v>
      </c>
      <c r="KOM28" s="234" t="e">
        <f>astrogrep_path&amp;" /e /r /s /spath="&amp;search_path&amp;" /stypes=""app*"&amp;KNI28&amp;"*"&amp;TEXT(KNP28-utc_offset/24,"YYYYMMDD")&amp;"*"" /stext="" "&amp;TEXT(KNP28-utc_offset/24,"HH")&amp;search_regexp&amp;""""</f>
        <v>#VALUE!</v>
      </c>
      <c r="KON28" s="234" t="e">
        <f>astrogrep_path&amp;" /e /r /s /spath="&amp;search_path&amp;" /stypes=""app*"&amp;KNJ28&amp;"*"&amp;TEXT(KNQ28-utc_offset/24,"YYYYMMDD")&amp;"*"" /stext="" "&amp;TEXT(KNQ28-utc_offset/24,"HH")&amp;search_regexp&amp;""""</f>
        <v>#REF!</v>
      </c>
      <c r="KOO28" s="234" t="e">
        <f>astrogrep_path&amp;" /e /r /s /spath="&amp;search_path&amp;" /stypes=""app*"&amp;KNK28&amp;"*"&amp;TEXT(KNR28-utc_offset/24,"YYYYMMDD")&amp;"*"" /stext="" "&amp;TEXT(KNR28-utc_offset/24,"HH")&amp;search_regexp&amp;""""</f>
        <v>#REF!</v>
      </c>
      <c r="KOP28" s="234" t="e">
        <f>astrogrep_path&amp;" /e /r /s /spath="&amp;search_path&amp;" /stypes=""app*"&amp;KNL28&amp;"*"&amp;TEXT(KNS28-utc_offset/24,"YYYYMMDD")&amp;"*"" /stext="" "&amp;TEXT(KNS28-utc_offset/24,"HH")&amp;search_regexp&amp;""""</f>
        <v>#REF!</v>
      </c>
      <c r="KOQ28" s="234" t="e">
        <f>astrogrep_path&amp;" /e /r /s /spath="&amp;search_path&amp;" /stypes=""app*"&amp;KNM28&amp;"*"&amp;TEXT(KNT28-utc_offset/24,"YYYYMMDD")&amp;"*"" /stext="" "&amp;TEXT(KNT28-utc_offset/24,"HH")&amp;search_regexp&amp;""""</f>
        <v>#REF!</v>
      </c>
      <c r="KOR28" s="234" t="e">
        <f>astrogrep_path&amp;" /e /r /s /spath="&amp;search_path&amp;" /stypes=""app*"&amp;KNN28&amp;"*"&amp;TEXT(KNU28-utc_offset/24,"YYYYMMDD")&amp;"*"" /stext="" "&amp;TEXT(KNU28-utc_offset/24,"HH")&amp;search_regexp&amp;""""</f>
        <v>#REF!</v>
      </c>
      <c r="KOS28" s="234" t="e">
        <f>astrogrep_path&amp;" /e /r /s /spath="&amp;search_path&amp;" /stypes=""app*"&amp;KNO28&amp;"*"&amp;TEXT(KNV28-utc_offset/24,"YYYYMMDD")&amp;"*"" /stext="" "&amp;TEXT(KNV28-utc_offset/24,"HH")&amp;search_regexp&amp;""""</f>
        <v>#REF!</v>
      </c>
      <c r="KOT28" s="234" t="e">
        <f>astrogrep_path&amp;" /e /r /s /spath="&amp;search_path&amp;" /stypes=""app*"&amp;KNP28&amp;"*"&amp;TEXT(KNW28-utc_offset/24,"YYYYMMDD")&amp;"*"" /stext="" "&amp;TEXT(KNW28-utc_offset/24,"HH")&amp;search_regexp&amp;""""</f>
        <v>#REF!</v>
      </c>
      <c r="KOU28" s="234" t="e">
        <f>astrogrep_path&amp;" /e /r /s /spath="&amp;search_path&amp;" /stypes=""app*"&amp;KNQ28&amp;"*"&amp;TEXT(KNX28-utc_offset/24,"YYYYMMDD")&amp;"*"" /stext="" "&amp;TEXT(KNX28-utc_offset/24,"HH")&amp;search_regexp&amp;""""</f>
        <v>#REF!</v>
      </c>
      <c r="KOV28" s="234" t="e">
        <f>astrogrep_path&amp;" /e /r /s /spath="&amp;search_path&amp;" /stypes=""app*"&amp;KNR28&amp;"*"&amp;TEXT(KNY28-utc_offset/24,"YYYYMMDD")&amp;"*"" /stext="" "&amp;TEXT(KNY28-utc_offset/24,"HH")&amp;search_regexp&amp;""""</f>
        <v>#REF!</v>
      </c>
      <c r="KOW28" s="234" t="e">
        <f>astrogrep_path&amp;" /e /r /s /spath="&amp;search_path&amp;" /stypes=""app*"&amp;KNS28&amp;"*"&amp;TEXT(KNZ28-utc_offset/24,"YYYYMMDD")&amp;"*"" /stext="" "&amp;TEXT(KNZ28-utc_offset/24,"HH")&amp;search_regexp&amp;""""</f>
        <v>#REF!</v>
      </c>
      <c r="KOX28" s="234" t="e">
        <f>astrogrep_path&amp;" /e /r /s /spath="&amp;search_path&amp;" /stypes=""app*"&amp;KNT28&amp;"*"&amp;TEXT(KOA28-utc_offset/24,"YYYYMMDD")&amp;"*"" /stext="" "&amp;TEXT(KOA28-utc_offset/24,"HH")&amp;search_regexp&amp;""""</f>
        <v>#REF!</v>
      </c>
      <c r="KOY28" s="234" t="e">
        <f>astrogrep_path&amp;" /e /r /s /spath="&amp;search_path&amp;" /stypes=""app*"&amp;KNU28&amp;"*"&amp;TEXT(KOB28-utc_offset/24,"YYYYMMDD")&amp;"*"" /stext="" "&amp;TEXT(KOB28-utc_offset/24,"HH")&amp;search_regexp&amp;""""</f>
        <v>#REF!</v>
      </c>
      <c r="KOZ28" s="234" t="e">
        <f>astrogrep_path&amp;" /e /r /s /spath="&amp;search_path&amp;" /stypes=""app*"&amp;KNV28&amp;"*"&amp;TEXT(KOC28-utc_offset/24,"YYYYMMDD")&amp;"*"" /stext="" "&amp;TEXT(KOC28-utc_offset/24,"HH")&amp;search_regexp&amp;""""</f>
        <v>#REF!</v>
      </c>
      <c r="KPA28" s="234" t="e">
        <f>astrogrep_path&amp;" /e /r /s /spath="&amp;search_path&amp;" /stypes=""app*"&amp;KNW28&amp;"*"&amp;TEXT(KOD28-utc_offset/24,"YYYYMMDD")&amp;"*"" /stext="" "&amp;TEXT(KOD28-utc_offset/24,"HH")&amp;search_regexp&amp;""""</f>
        <v>#REF!</v>
      </c>
      <c r="KPB28" s="234" t="e">
        <f>astrogrep_path&amp;" /e /r /s /spath="&amp;search_path&amp;" /stypes=""app*"&amp;KNX28&amp;"*"&amp;TEXT(KOE28-utc_offset/24,"YYYYMMDD")&amp;"*"" /stext="" "&amp;TEXT(KOE28-utc_offset/24,"HH")&amp;search_regexp&amp;""""</f>
        <v>#REF!</v>
      </c>
      <c r="KPC28" s="234" t="e">
        <f>astrogrep_path&amp;" /e /r /s /spath="&amp;search_path&amp;" /stypes=""app*"&amp;KNY28&amp;"*"&amp;TEXT(KOF28-utc_offset/24,"YYYYMMDD")&amp;"*"" /stext="" "&amp;TEXT(KOF28-utc_offset/24,"HH")&amp;search_regexp&amp;""""</f>
        <v>#REF!</v>
      </c>
      <c r="KPD28" s="234" t="e">
        <f>astrogrep_path&amp;" /e /r /s /spath="&amp;search_path&amp;" /stypes=""app*"&amp;KNZ28&amp;"*"&amp;TEXT(KOG28-utc_offset/24,"YYYYMMDD")&amp;"*"" /stext="" "&amp;TEXT(KOG28-utc_offset/24,"HH")&amp;search_regexp&amp;""""</f>
        <v>#REF!</v>
      </c>
      <c r="KPE28" s="234" t="e">
        <f>astrogrep_path&amp;" /e /r /s /spath="&amp;search_path&amp;" /stypes=""app*"&amp;KOA28&amp;"*"&amp;TEXT(KOH28-utc_offset/24,"YYYYMMDD")&amp;"*"" /stext="" "&amp;TEXT(KOH28-utc_offset/24,"HH")&amp;search_regexp&amp;""""</f>
        <v>#REF!</v>
      </c>
      <c r="KPF28" s="234" t="e">
        <f>astrogrep_path&amp;" /e /r /s /spath="&amp;search_path&amp;" /stypes=""app*"&amp;KOB28&amp;"*"&amp;TEXT(KOI28-utc_offset/24,"YYYYMMDD")&amp;"*"" /stext="" "&amp;TEXT(KOI28-utc_offset/24,"HH")&amp;search_regexp&amp;""""</f>
        <v>#REF!</v>
      </c>
      <c r="KPG28" s="234" t="e">
        <f>astrogrep_path&amp;" /e /r /s /spath="&amp;search_path&amp;" /stypes=""app*"&amp;KOC28&amp;"*"&amp;TEXT(KOJ28-utc_offset/24,"YYYYMMDD")&amp;"*"" /stext="" "&amp;TEXT(KOJ28-utc_offset/24,"HH")&amp;search_regexp&amp;""""</f>
        <v>#REF!</v>
      </c>
      <c r="KPH28" s="234" t="e">
        <f>astrogrep_path&amp;" /e /r /s /spath="&amp;search_path&amp;" /stypes=""app*"&amp;KOD28&amp;"*"&amp;TEXT(KOK28-utc_offset/24,"YYYYMMDD")&amp;"*"" /stext="" "&amp;TEXT(KOK28-utc_offset/24,"HH")&amp;search_regexp&amp;""""</f>
        <v>#REF!</v>
      </c>
      <c r="KPI28" s="234" t="e">
        <f>astrogrep_path&amp;" /e /r /s /spath="&amp;search_path&amp;" /stypes=""app*"&amp;KOE28&amp;"*"&amp;TEXT(KOL28-utc_offset/24,"YYYYMMDD")&amp;"*"" /stext="" "&amp;TEXT(KOL28-utc_offset/24,"HH")&amp;search_regexp&amp;""""</f>
        <v>#VALUE!</v>
      </c>
      <c r="KPJ28" s="234" t="e">
        <f>astrogrep_path&amp;" /e /r /s /spath="&amp;search_path&amp;" /stypes=""app*"&amp;KOF28&amp;"*"&amp;TEXT(KOM28-utc_offset/24,"YYYYMMDD")&amp;"*"" /stext="" "&amp;TEXT(KOM28-utc_offset/24,"HH")&amp;search_regexp&amp;""""</f>
        <v>#VALUE!</v>
      </c>
      <c r="KPK28" s="234" t="e">
        <f>astrogrep_path&amp;" /e /r /s /spath="&amp;search_path&amp;" /stypes=""app*"&amp;KOG28&amp;"*"&amp;TEXT(KON28-utc_offset/24,"YYYYMMDD")&amp;"*"" /stext="" "&amp;TEXT(KON28-utc_offset/24,"HH")&amp;search_regexp&amp;""""</f>
        <v>#REF!</v>
      </c>
      <c r="KPL28" s="234" t="e">
        <f>astrogrep_path&amp;" /e /r /s /spath="&amp;search_path&amp;" /stypes=""app*"&amp;KOH28&amp;"*"&amp;TEXT(KOO28-utc_offset/24,"YYYYMMDD")&amp;"*"" /stext="" "&amp;TEXT(KOO28-utc_offset/24,"HH")&amp;search_regexp&amp;""""</f>
        <v>#REF!</v>
      </c>
      <c r="KPM28" s="234" t="e">
        <f>astrogrep_path&amp;" /e /r /s /spath="&amp;search_path&amp;" /stypes=""app*"&amp;KOI28&amp;"*"&amp;TEXT(KOP28-utc_offset/24,"YYYYMMDD")&amp;"*"" /stext="" "&amp;TEXT(KOP28-utc_offset/24,"HH")&amp;search_regexp&amp;""""</f>
        <v>#VALUE!</v>
      </c>
      <c r="KPN28" s="234" t="e">
        <f>astrogrep_path&amp;" /e /r /s /spath="&amp;search_path&amp;" /stypes=""app*"&amp;KOJ28&amp;"*"&amp;TEXT(KOQ28-utc_offset/24,"YYYYMMDD")&amp;"*"" /stext="" "&amp;TEXT(KOQ28-utc_offset/24,"HH")&amp;search_regexp&amp;""""</f>
        <v>#VALUE!</v>
      </c>
      <c r="KPO28" s="234" t="e">
        <f>astrogrep_path&amp;" /e /r /s /spath="&amp;search_path&amp;" /stypes=""app*"&amp;KOK28&amp;"*"&amp;TEXT(KOR28-utc_offset/24,"YYYYMMDD")&amp;"*"" /stext="" "&amp;TEXT(KOR28-utc_offset/24,"HH")&amp;search_regexp&amp;""""</f>
        <v>#VALUE!</v>
      </c>
      <c r="KPP28" s="234" t="e">
        <f>astrogrep_path&amp;" /e /r /s /spath="&amp;search_path&amp;" /stypes=""app*"&amp;KOL28&amp;"*"&amp;TEXT(KOS28-utc_offset/24,"YYYYMMDD")&amp;"*"" /stext="" "&amp;TEXT(KOS28-utc_offset/24,"HH")&amp;search_regexp&amp;""""</f>
        <v>#VALUE!</v>
      </c>
      <c r="KPQ28" s="234" t="e">
        <f>astrogrep_path&amp;" /e /r /s /spath="&amp;search_path&amp;" /stypes=""app*"&amp;KOM28&amp;"*"&amp;TEXT(KOT28-utc_offset/24,"YYYYMMDD")&amp;"*"" /stext="" "&amp;TEXT(KOT28-utc_offset/24,"HH")&amp;search_regexp&amp;""""</f>
        <v>#VALUE!</v>
      </c>
      <c r="KPR28" s="234" t="e">
        <f>astrogrep_path&amp;" /e /r /s /spath="&amp;search_path&amp;" /stypes=""app*"&amp;KON28&amp;"*"&amp;TEXT(KOU28-utc_offset/24,"YYYYMMDD")&amp;"*"" /stext="" "&amp;TEXT(KOU28-utc_offset/24,"HH")&amp;search_regexp&amp;""""</f>
        <v>#REF!</v>
      </c>
      <c r="KPS28" s="234" t="e">
        <f>astrogrep_path&amp;" /e /r /s /spath="&amp;search_path&amp;" /stypes=""app*"&amp;KOO28&amp;"*"&amp;TEXT(KOV28-utc_offset/24,"YYYYMMDD")&amp;"*"" /stext="" "&amp;TEXT(KOV28-utc_offset/24,"HH")&amp;search_regexp&amp;""""</f>
        <v>#REF!</v>
      </c>
      <c r="KPT28" s="234" t="e">
        <f>astrogrep_path&amp;" /e /r /s /spath="&amp;search_path&amp;" /stypes=""app*"&amp;KOP28&amp;"*"&amp;TEXT(KOW28-utc_offset/24,"YYYYMMDD")&amp;"*"" /stext="" "&amp;TEXT(KOW28-utc_offset/24,"HH")&amp;search_regexp&amp;""""</f>
        <v>#REF!</v>
      </c>
      <c r="KPU28" s="234" t="e">
        <f>astrogrep_path&amp;" /e /r /s /spath="&amp;search_path&amp;" /stypes=""app*"&amp;KOQ28&amp;"*"&amp;TEXT(KOX28-utc_offset/24,"YYYYMMDD")&amp;"*"" /stext="" "&amp;TEXT(KOX28-utc_offset/24,"HH")&amp;search_regexp&amp;""""</f>
        <v>#REF!</v>
      </c>
      <c r="KPV28" s="234" t="e">
        <f>astrogrep_path&amp;" /e /r /s /spath="&amp;search_path&amp;" /stypes=""app*"&amp;KOR28&amp;"*"&amp;TEXT(KOY28-utc_offset/24,"YYYYMMDD")&amp;"*"" /stext="" "&amp;TEXT(KOY28-utc_offset/24,"HH")&amp;search_regexp&amp;""""</f>
        <v>#REF!</v>
      </c>
      <c r="KPW28" s="234" t="e">
        <f>astrogrep_path&amp;" /e /r /s /spath="&amp;search_path&amp;" /stypes=""app*"&amp;KOS28&amp;"*"&amp;TEXT(KOZ28-utc_offset/24,"YYYYMMDD")&amp;"*"" /stext="" "&amp;TEXT(KOZ28-utc_offset/24,"HH")&amp;search_regexp&amp;""""</f>
        <v>#REF!</v>
      </c>
      <c r="KPX28" s="234" t="e">
        <f>astrogrep_path&amp;" /e /r /s /spath="&amp;search_path&amp;" /stypes=""app*"&amp;KOT28&amp;"*"&amp;TEXT(KPA28-utc_offset/24,"YYYYMMDD")&amp;"*"" /stext="" "&amp;TEXT(KPA28-utc_offset/24,"HH")&amp;search_regexp&amp;""""</f>
        <v>#REF!</v>
      </c>
      <c r="KPY28" s="234" t="e">
        <f>astrogrep_path&amp;" /e /r /s /spath="&amp;search_path&amp;" /stypes=""app*"&amp;KOU28&amp;"*"&amp;TEXT(KPB28-utc_offset/24,"YYYYMMDD")&amp;"*"" /stext="" "&amp;TEXT(KPB28-utc_offset/24,"HH")&amp;search_regexp&amp;""""</f>
        <v>#REF!</v>
      </c>
      <c r="KPZ28" s="234" t="e">
        <f>astrogrep_path&amp;" /e /r /s /spath="&amp;search_path&amp;" /stypes=""app*"&amp;KOV28&amp;"*"&amp;TEXT(KPC28-utc_offset/24,"YYYYMMDD")&amp;"*"" /stext="" "&amp;TEXT(KPC28-utc_offset/24,"HH")&amp;search_regexp&amp;""""</f>
        <v>#REF!</v>
      </c>
      <c r="KQA28" s="234" t="e">
        <f>astrogrep_path&amp;" /e /r /s /spath="&amp;search_path&amp;" /stypes=""app*"&amp;KOW28&amp;"*"&amp;TEXT(KPD28-utc_offset/24,"YYYYMMDD")&amp;"*"" /stext="" "&amp;TEXT(KPD28-utc_offset/24,"HH")&amp;search_regexp&amp;""""</f>
        <v>#REF!</v>
      </c>
      <c r="KQB28" s="234" t="e">
        <f>astrogrep_path&amp;" /e /r /s /spath="&amp;search_path&amp;" /stypes=""app*"&amp;KOX28&amp;"*"&amp;TEXT(KPE28-utc_offset/24,"YYYYMMDD")&amp;"*"" /stext="" "&amp;TEXT(KPE28-utc_offset/24,"HH")&amp;search_regexp&amp;""""</f>
        <v>#REF!</v>
      </c>
      <c r="KQC28" s="234" t="e">
        <f>astrogrep_path&amp;" /e /r /s /spath="&amp;search_path&amp;" /stypes=""app*"&amp;KOY28&amp;"*"&amp;TEXT(KPF28-utc_offset/24,"YYYYMMDD")&amp;"*"" /stext="" "&amp;TEXT(KPF28-utc_offset/24,"HH")&amp;search_regexp&amp;""""</f>
        <v>#REF!</v>
      </c>
      <c r="KQD28" s="234" t="e">
        <f>astrogrep_path&amp;" /e /r /s /spath="&amp;search_path&amp;" /stypes=""app*"&amp;KOZ28&amp;"*"&amp;TEXT(KPG28-utc_offset/24,"YYYYMMDD")&amp;"*"" /stext="" "&amp;TEXT(KPG28-utc_offset/24,"HH")&amp;search_regexp&amp;""""</f>
        <v>#REF!</v>
      </c>
      <c r="KQE28" s="234" t="e">
        <f>astrogrep_path&amp;" /e /r /s /spath="&amp;search_path&amp;" /stypes=""app*"&amp;KPA28&amp;"*"&amp;TEXT(KPH28-utc_offset/24,"YYYYMMDD")&amp;"*"" /stext="" "&amp;TEXT(KPH28-utc_offset/24,"HH")&amp;search_regexp&amp;""""</f>
        <v>#REF!</v>
      </c>
      <c r="KQF28" s="234" t="e">
        <f>astrogrep_path&amp;" /e /r /s /spath="&amp;search_path&amp;" /stypes=""app*"&amp;KPB28&amp;"*"&amp;TEXT(KPI28-utc_offset/24,"YYYYMMDD")&amp;"*"" /stext="" "&amp;TEXT(KPI28-utc_offset/24,"HH")&amp;search_regexp&amp;""""</f>
        <v>#REF!</v>
      </c>
      <c r="KQG28" s="234" t="e">
        <f>astrogrep_path&amp;" /e /r /s /spath="&amp;search_path&amp;" /stypes=""app*"&amp;KPC28&amp;"*"&amp;TEXT(KPJ28-utc_offset/24,"YYYYMMDD")&amp;"*"" /stext="" "&amp;TEXT(KPJ28-utc_offset/24,"HH")&amp;search_regexp&amp;""""</f>
        <v>#REF!</v>
      </c>
      <c r="KQH28" s="234" t="e">
        <f>astrogrep_path&amp;" /e /r /s /spath="&amp;search_path&amp;" /stypes=""app*"&amp;KPD28&amp;"*"&amp;TEXT(KPK28-utc_offset/24,"YYYYMMDD")&amp;"*"" /stext="" "&amp;TEXT(KPK28-utc_offset/24,"HH")&amp;search_regexp&amp;""""</f>
        <v>#REF!</v>
      </c>
      <c r="KQI28" s="234" t="e">
        <f>astrogrep_path&amp;" /e /r /s /spath="&amp;search_path&amp;" /stypes=""app*"&amp;KPE28&amp;"*"&amp;TEXT(KPL28-utc_offset/24,"YYYYMMDD")&amp;"*"" /stext="" "&amp;TEXT(KPL28-utc_offset/24,"HH")&amp;search_regexp&amp;""""</f>
        <v>#REF!</v>
      </c>
      <c r="KQJ28" s="234" t="e">
        <f>astrogrep_path&amp;" /e /r /s /spath="&amp;search_path&amp;" /stypes=""app*"&amp;KPF28&amp;"*"&amp;TEXT(KPM28-utc_offset/24,"YYYYMMDD")&amp;"*"" /stext="" "&amp;TEXT(KPM28-utc_offset/24,"HH")&amp;search_regexp&amp;""""</f>
        <v>#REF!</v>
      </c>
      <c r="KQK28" s="234" t="e">
        <f>astrogrep_path&amp;" /e /r /s /spath="&amp;search_path&amp;" /stypes=""app*"&amp;KPG28&amp;"*"&amp;TEXT(KPN28-utc_offset/24,"YYYYMMDD")&amp;"*"" /stext="" "&amp;TEXT(KPN28-utc_offset/24,"HH")&amp;search_regexp&amp;""""</f>
        <v>#REF!</v>
      </c>
      <c r="KQL28" s="234" t="e">
        <f>astrogrep_path&amp;" /e /r /s /spath="&amp;search_path&amp;" /stypes=""app*"&amp;KPH28&amp;"*"&amp;TEXT(KPO28-utc_offset/24,"YYYYMMDD")&amp;"*"" /stext="" "&amp;TEXT(KPO28-utc_offset/24,"HH")&amp;search_regexp&amp;""""</f>
        <v>#REF!</v>
      </c>
      <c r="KQM28" s="234" t="e">
        <f>astrogrep_path&amp;" /e /r /s /spath="&amp;search_path&amp;" /stypes=""app*"&amp;KPI28&amp;"*"&amp;TEXT(KPP28-utc_offset/24,"YYYYMMDD")&amp;"*"" /stext="" "&amp;TEXT(KPP28-utc_offset/24,"HH")&amp;search_regexp&amp;""""</f>
        <v>#VALUE!</v>
      </c>
      <c r="KQN28" s="234" t="e">
        <f>astrogrep_path&amp;" /e /r /s /spath="&amp;search_path&amp;" /stypes=""app*"&amp;KPJ28&amp;"*"&amp;TEXT(KPQ28-utc_offset/24,"YYYYMMDD")&amp;"*"" /stext="" "&amp;TEXT(KPQ28-utc_offset/24,"HH")&amp;search_regexp&amp;""""</f>
        <v>#VALUE!</v>
      </c>
      <c r="KQO28" s="234" t="e">
        <f>astrogrep_path&amp;" /e /r /s /spath="&amp;search_path&amp;" /stypes=""app*"&amp;KPK28&amp;"*"&amp;TEXT(KPR28-utc_offset/24,"YYYYMMDD")&amp;"*"" /stext="" "&amp;TEXT(KPR28-utc_offset/24,"HH")&amp;search_regexp&amp;""""</f>
        <v>#REF!</v>
      </c>
      <c r="KQP28" s="234" t="e">
        <f>astrogrep_path&amp;" /e /r /s /spath="&amp;search_path&amp;" /stypes=""app*"&amp;KPL28&amp;"*"&amp;TEXT(KPS28-utc_offset/24,"YYYYMMDD")&amp;"*"" /stext="" "&amp;TEXT(KPS28-utc_offset/24,"HH")&amp;search_regexp&amp;""""</f>
        <v>#REF!</v>
      </c>
      <c r="KQQ28" s="234" t="e">
        <f>astrogrep_path&amp;" /e /r /s /spath="&amp;search_path&amp;" /stypes=""app*"&amp;KPM28&amp;"*"&amp;TEXT(KPT28-utc_offset/24,"YYYYMMDD")&amp;"*"" /stext="" "&amp;TEXT(KPT28-utc_offset/24,"HH")&amp;search_regexp&amp;""""</f>
        <v>#VALUE!</v>
      </c>
      <c r="KQR28" s="234" t="e">
        <f>astrogrep_path&amp;" /e /r /s /spath="&amp;search_path&amp;" /stypes=""app*"&amp;KPN28&amp;"*"&amp;TEXT(KPU28-utc_offset/24,"YYYYMMDD")&amp;"*"" /stext="" "&amp;TEXT(KPU28-utc_offset/24,"HH")&amp;search_regexp&amp;""""</f>
        <v>#VALUE!</v>
      </c>
      <c r="KQS28" s="234" t="e">
        <f>astrogrep_path&amp;" /e /r /s /spath="&amp;search_path&amp;" /stypes=""app*"&amp;KPO28&amp;"*"&amp;TEXT(KPV28-utc_offset/24,"YYYYMMDD")&amp;"*"" /stext="" "&amp;TEXT(KPV28-utc_offset/24,"HH")&amp;search_regexp&amp;""""</f>
        <v>#VALUE!</v>
      </c>
      <c r="KQT28" s="234" t="e">
        <f>astrogrep_path&amp;" /e /r /s /spath="&amp;search_path&amp;" /stypes=""app*"&amp;KPP28&amp;"*"&amp;TEXT(KPW28-utc_offset/24,"YYYYMMDD")&amp;"*"" /stext="" "&amp;TEXT(KPW28-utc_offset/24,"HH")&amp;search_regexp&amp;""""</f>
        <v>#VALUE!</v>
      </c>
      <c r="KQU28" s="234" t="e">
        <f>astrogrep_path&amp;" /e /r /s /spath="&amp;search_path&amp;" /stypes=""app*"&amp;KPQ28&amp;"*"&amp;TEXT(KPX28-utc_offset/24,"YYYYMMDD")&amp;"*"" /stext="" "&amp;TEXT(KPX28-utc_offset/24,"HH")&amp;search_regexp&amp;""""</f>
        <v>#VALUE!</v>
      </c>
      <c r="KQV28" s="234" t="e">
        <f>astrogrep_path&amp;" /e /r /s /spath="&amp;search_path&amp;" /stypes=""app*"&amp;KPR28&amp;"*"&amp;TEXT(KPY28-utc_offset/24,"YYYYMMDD")&amp;"*"" /stext="" "&amp;TEXT(KPY28-utc_offset/24,"HH")&amp;search_regexp&amp;""""</f>
        <v>#REF!</v>
      </c>
      <c r="KQW28" s="234" t="e">
        <f>astrogrep_path&amp;" /e /r /s /spath="&amp;search_path&amp;" /stypes=""app*"&amp;KPS28&amp;"*"&amp;TEXT(KPZ28-utc_offset/24,"YYYYMMDD")&amp;"*"" /stext="" "&amp;TEXT(KPZ28-utc_offset/24,"HH")&amp;search_regexp&amp;""""</f>
        <v>#REF!</v>
      </c>
      <c r="KQX28" s="234" t="e">
        <f>astrogrep_path&amp;" /e /r /s /spath="&amp;search_path&amp;" /stypes=""app*"&amp;KPT28&amp;"*"&amp;TEXT(KQA28-utc_offset/24,"YYYYMMDD")&amp;"*"" /stext="" "&amp;TEXT(KQA28-utc_offset/24,"HH")&amp;search_regexp&amp;""""</f>
        <v>#REF!</v>
      </c>
      <c r="KQY28" s="234" t="e">
        <f>astrogrep_path&amp;" /e /r /s /spath="&amp;search_path&amp;" /stypes=""app*"&amp;KPU28&amp;"*"&amp;TEXT(KQB28-utc_offset/24,"YYYYMMDD")&amp;"*"" /stext="" "&amp;TEXT(KQB28-utc_offset/24,"HH")&amp;search_regexp&amp;""""</f>
        <v>#REF!</v>
      </c>
      <c r="KQZ28" s="234" t="e">
        <f>astrogrep_path&amp;" /e /r /s /spath="&amp;search_path&amp;" /stypes=""app*"&amp;KPV28&amp;"*"&amp;TEXT(KQC28-utc_offset/24,"YYYYMMDD")&amp;"*"" /stext="" "&amp;TEXT(KQC28-utc_offset/24,"HH")&amp;search_regexp&amp;""""</f>
        <v>#REF!</v>
      </c>
      <c r="KRA28" s="234" t="e">
        <f>astrogrep_path&amp;" /e /r /s /spath="&amp;search_path&amp;" /stypes=""app*"&amp;KPW28&amp;"*"&amp;TEXT(KQD28-utc_offset/24,"YYYYMMDD")&amp;"*"" /stext="" "&amp;TEXT(KQD28-utc_offset/24,"HH")&amp;search_regexp&amp;""""</f>
        <v>#REF!</v>
      </c>
      <c r="KRB28" s="234" t="e">
        <f>astrogrep_path&amp;" /e /r /s /spath="&amp;search_path&amp;" /stypes=""app*"&amp;KPX28&amp;"*"&amp;TEXT(KQE28-utc_offset/24,"YYYYMMDD")&amp;"*"" /stext="" "&amp;TEXT(KQE28-utc_offset/24,"HH")&amp;search_regexp&amp;""""</f>
        <v>#REF!</v>
      </c>
      <c r="KRC28" s="234" t="e">
        <f>astrogrep_path&amp;" /e /r /s /spath="&amp;search_path&amp;" /stypes=""app*"&amp;KPY28&amp;"*"&amp;TEXT(KQF28-utc_offset/24,"YYYYMMDD")&amp;"*"" /stext="" "&amp;TEXT(KQF28-utc_offset/24,"HH")&amp;search_regexp&amp;""""</f>
        <v>#REF!</v>
      </c>
      <c r="KRD28" s="234" t="e">
        <f>astrogrep_path&amp;" /e /r /s /spath="&amp;search_path&amp;" /stypes=""app*"&amp;KPZ28&amp;"*"&amp;TEXT(KQG28-utc_offset/24,"YYYYMMDD")&amp;"*"" /stext="" "&amp;TEXT(KQG28-utc_offset/24,"HH")&amp;search_regexp&amp;""""</f>
        <v>#REF!</v>
      </c>
      <c r="KRE28" s="234" t="e">
        <f>astrogrep_path&amp;" /e /r /s /spath="&amp;search_path&amp;" /stypes=""app*"&amp;KQA28&amp;"*"&amp;TEXT(KQH28-utc_offset/24,"YYYYMMDD")&amp;"*"" /stext="" "&amp;TEXT(KQH28-utc_offset/24,"HH")&amp;search_regexp&amp;""""</f>
        <v>#REF!</v>
      </c>
      <c r="KRF28" s="234" t="e">
        <f>astrogrep_path&amp;" /e /r /s /spath="&amp;search_path&amp;" /stypes=""app*"&amp;KQB28&amp;"*"&amp;TEXT(KQI28-utc_offset/24,"YYYYMMDD")&amp;"*"" /stext="" "&amp;TEXT(KQI28-utc_offset/24,"HH")&amp;search_regexp&amp;""""</f>
        <v>#REF!</v>
      </c>
      <c r="KRG28" s="234" t="e">
        <f>astrogrep_path&amp;" /e /r /s /spath="&amp;search_path&amp;" /stypes=""app*"&amp;KQC28&amp;"*"&amp;TEXT(KQJ28-utc_offset/24,"YYYYMMDD")&amp;"*"" /stext="" "&amp;TEXT(KQJ28-utc_offset/24,"HH")&amp;search_regexp&amp;""""</f>
        <v>#REF!</v>
      </c>
      <c r="KRH28" s="234" t="e">
        <f>astrogrep_path&amp;" /e /r /s /spath="&amp;search_path&amp;" /stypes=""app*"&amp;KQD28&amp;"*"&amp;TEXT(KQK28-utc_offset/24,"YYYYMMDD")&amp;"*"" /stext="" "&amp;TEXT(KQK28-utc_offset/24,"HH")&amp;search_regexp&amp;""""</f>
        <v>#REF!</v>
      </c>
      <c r="KRI28" s="234" t="e">
        <f>astrogrep_path&amp;" /e /r /s /spath="&amp;search_path&amp;" /stypes=""app*"&amp;KQE28&amp;"*"&amp;TEXT(KQL28-utc_offset/24,"YYYYMMDD")&amp;"*"" /stext="" "&amp;TEXT(KQL28-utc_offset/24,"HH")&amp;search_regexp&amp;""""</f>
        <v>#REF!</v>
      </c>
      <c r="KRJ28" s="234" t="e">
        <f>astrogrep_path&amp;" /e /r /s /spath="&amp;search_path&amp;" /stypes=""app*"&amp;KQF28&amp;"*"&amp;TEXT(KQM28-utc_offset/24,"YYYYMMDD")&amp;"*"" /stext="" "&amp;TEXT(KQM28-utc_offset/24,"HH")&amp;search_regexp&amp;""""</f>
        <v>#REF!</v>
      </c>
      <c r="KRK28" s="234" t="e">
        <f>astrogrep_path&amp;" /e /r /s /spath="&amp;search_path&amp;" /stypes=""app*"&amp;KQG28&amp;"*"&amp;TEXT(KQN28-utc_offset/24,"YYYYMMDD")&amp;"*"" /stext="" "&amp;TEXT(KQN28-utc_offset/24,"HH")&amp;search_regexp&amp;""""</f>
        <v>#REF!</v>
      </c>
      <c r="KRL28" s="234" t="e">
        <f>astrogrep_path&amp;" /e /r /s /spath="&amp;search_path&amp;" /stypes=""app*"&amp;KQH28&amp;"*"&amp;TEXT(KQO28-utc_offset/24,"YYYYMMDD")&amp;"*"" /stext="" "&amp;TEXT(KQO28-utc_offset/24,"HH")&amp;search_regexp&amp;""""</f>
        <v>#REF!</v>
      </c>
      <c r="KRM28" s="234" t="e">
        <f>astrogrep_path&amp;" /e /r /s /spath="&amp;search_path&amp;" /stypes=""app*"&amp;KQI28&amp;"*"&amp;TEXT(KQP28-utc_offset/24,"YYYYMMDD")&amp;"*"" /stext="" "&amp;TEXT(KQP28-utc_offset/24,"HH")&amp;search_regexp&amp;""""</f>
        <v>#REF!</v>
      </c>
      <c r="KRN28" s="234" t="e">
        <f>astrogrep_path&amp;" /e /r /s /spath="&amp;search_path&amp;" /stypes=""app*"&amp;KQJ28&amp;"*"&amp;TEXT(KQQ28-utc_offset/24,"YYYYMMDD")&amp;"*"" /stext="" "&amp;TEXT(KQQ28-utc_offset/24,"HH")&amp;search_regexp&amp;""""</f>
        <v>#REF!</v>
      </c>
      <c r="KRO28" s="234" t="e">
        <f>astrogrep_path&amp;" /e /r /s /spath="&amp;search_path&amp;" /stypes=""app*"&amp;KQK28&amp;"*"&amp;TEXT(KQR28-utc_offset/24,"YYYYMMDD")&amp;"*"" /stext="" "&amp;TEXT(KQR28-utc_offset/24,"HH")&amp;search_regexp&amp;""""</f>
        <v>#REF!</v>
      </c>
      <c r="KRP28" s="234" t="e">
        <f>astrogrep_path&amp;" /e /r /s /spath="&amp;search_path&amp;" /stypes=""app*"&amp;KQL28&amp;"*"&amp;TEXT(KQS28-utc_offset/24,"YYYYMMDD")&amp;"*"" /stext="" "&amp;TEXT(KQS28-utc_offset/24,"HH")&amp;search_regexp&amp;""""</f>
        <v>#REF!</v>
      </c>
      <c r="KRQ28" s="234" t="e">
        <f>astrogrep_path&amp;" /e /r /s /spath="&amp;search_path&amp;" /stypes=""app*"&amp;KQM28&amp;"*"&amp;TEXT(KQT28-utc_offset/24,"YYYYMMDD")&amp;"*"" /stext="" "&amp;TEXT(KQT28-utc_offset/24,"HH")&amp;search_regexp&amp;""""</f>
        <v>#VALUE!</v>
      </c>
      <c r="KRR28" s="234" t="e">
        <f>astrogrep_path&amp;" /e /r /s /spath="&amp;search_path&amp;" /stypes=""app*"&amp;KQN28&amp;"*"&amp;TEXT(KQU28-utc_offset/24,"YYYYMMDD")&amp;"*"" /stext="" "&amp;TEXT(KQU28-utc_offset/24,"HH")&amp;search_regexp&amp;""""</f>
        <v>#VALUE!</v>
      </c>
      <c r="KRS28" s="234" t="e">
        <f>astrogrep_path&amp;" /e /r /s /spath="&amp;search_path&amp;" /stypes=""app*"&amp;KQO28&amp;"*"&amp;TEXT(KQV28-utc_offset/24,"YYYYMMDD")&amp;"*"" /stext="" "&amp;TEXT(KQV28-utc_offset/24,"HH")&amp;search_regexp&amp;""""</f>
        <v>#REF!</v>
      </c>
      <c r="KRT28" s="234" t="e">
        <f>astrogrep_path&amp;" /e /r /s /spath="&amp;search_path&amp;" /stypes=""app*"&amp;KQP28&amp;"*"&amp;TEXT(KQW28-utc_offset/24,"YYYYMMDD")&amp;"*"" /stext="" "&amp;TEXT(KQW28-utc_offset/24,"HH")&amp;search_regexp&amp;""""</f>
        <v>#REF!</v>
      </c>
      <c r="KRU28" s="234" t="e">
        <f>astrogrep_path&amp;" /e /r /s /spath="&amp;search_path&amp;" /stypes=""app*"&amp;KQQ28&amp;"*"&amp;TEXT(KQX28-utc_offset/24,"YYYYMMDD")&amp;"*"" /stext="" "&amp;TEXT(KQX28-utc_offset/24,"HH")&amp;search_regexp&amp;""""</f>
        <v>#VALUE!</v>
      </c>
      <c r="KRV28" s="234" t="e">
        <f>astrogrep_path&amp;" /e /r /s /spath="&amp;search_path&amp;" /stypes=""app*"&amp;KQR28&amp;"*"&amp;TEXT(KQY28-utc_offset/24,"YYYYMMDD")&amp;"*"" /stext="" "&amp;TEXT(KQY28-utc_offset/24,"HH")&amp;search_regexp&amp;""""</f>
        <v>#VALUE!</v>
      </c>
      <c r="KRW28" s="234" t="e">
        <f>astrogrep_path&amp;" /e /r /s /spath="&amp;search_path&amp;" /stypes=""app*"&amp;KQS28&amp;"*"&amp;TEXT(KQZ28-utc_offset/24,"YYYYMMDD")&amp;"*"" /stext="" "&amp;TEXT(KQZ28-utc_offset/24,"HH")&amp;search_regexp&amp;""""</f>
        <v>#VALUE!</v>
      </c>
      <c r="KRX28" s="234" t="e">
        <f>astrogrep_path&amp;" /e /r /s /spath="&amp;search_path&amp;" /stypes=""app*"&amp;KQT28&amp;"*"&amp;TEXT(KRA28-utc_offset/24,"YYYYMMDD")&amp;"*"" /stext="" "&amp;TEXT(KRA28-utc_offset/24,"HH")&amp;search_regexp&amp;""""</f>
        <v>#VALUE!</v>
      </c>
      <c r="KRY28" s="234" t="e">
        <f>astrogrep_path&amp;" /e /r /s /spath="&amp;search_path&amp;" /stypes=""app*"&amp;KQU28&amp;"*"&amp;TEXT(KRB28-utc_offset/24,"YYYYMMDD")&amp;"*"" /stext="" "&amp;TEXT(KRB28-utc_offset/24,"HH")&amp;search_regexp&amp;""""</f>
        <v>#VALUE!</v>
      </c>
      <c r="KRZ28" s="234" t="e">
        <f>astrogrep_path&amp;" /e /r /s /spath="&amp;search_path&amp;" /stypes=""app*"&amp;KQV28&amp;"*"&amp;TEXT(KRC28-utc_offset/24,"YYYYMMDD")&amp;"*"" /stext="" "&amp;TEXT(KRC28-utc_offset/24,"HH")&amp;search_regexp&amp;""""</f>
        <v>#REF!</v>
      </c>
      <c r="KSA28" s="234" t="e">
        <f>astrogrep_path&amp;" /e /r /s /spath="&amp;search_path&amp;" /stypes=""app*"&amp;KQW28&amp;"*"&amp;TEXT(KRD28-utc_offset/24,"YYYYMMDD")&amp;"*"" /stext="" "&amp;TEXT(KRD28-utc_offset/24,"HH")&amp;search_regexp&amp;""""</f>
        <v>#REF!</v>
      </c>
      <c r="KSB28" s="234" t="e">
        <f>astrogrep_path&amp;" /e /r /s /spath="&amp;search_path&amp;" /stypes=""app*"&amp;KQX28&amp;"*"&amp;TEXT(KRE28-utc_offset/24,"YYYYMMDD")&amp;"*"" /stext="" "&amp;TEXT(KRE28-utc_offset/24,"HH")&amp;search_regexp&amp;""""</f>
        <v>#REF!</v>
      </c>
      <c r="KSC28" s="234" t="e">
        <f>astrogrep_path&amp;" /e /r /s /spath="&amp;search_path&amp;" /stypes=""app*"&amp;KQY28&amp;"*"&amp;TEXT(KRF28-utc_offset/24,"YYYYMMDD")&amp;"*"" /stext="" "&amp;TEXT(KRF28-utc_offset/24,"HH")&amp;search_regexp&amp;""""</f>
        <v>#REF!</v>
      </c>
      <c r="KSD28" s="234" t="e">
        <f>astrogrep_path&amp;" /e /r /s /spath="&amp;search_path&amp;" /stypes=""app*"&amp;KQZ28&amp;"*"&amp;TEXT(KRG28-utc_offset/24,"YYYYMMDD")&amp;"*"" /stext="" "&amp;TEXT(KRG28-utc_offset/24,"HH")&amp;search_regexp&amp;""""</f>
        <v>#REF!</v>
      </c>
      <c r="KSE28" s="234" t="e">
        <f>astrogrep_path&amp;" /e /r /s /spath="&amp;search_path&amp;" /stypes=""app*"&amp;KRA28&amp;"*"&amp;TEXT(KRH28-utc_offset/24,"YYYYMMDD")&amp;"*"" /stext="" "&amp;TEXT(KRH28-utc_offset/24,"HH")&amp;search_regexp&amp;""""</f>
        <v>#REF!</v>
      </c>
      <c r="KSF28" s="234" t="e">
        <f>astrogrep_path&amp;" /e /r /s /spath="&amp;search_path&amp;" /stypes=""app*"&amp;KRB28&amp;"*"&amp;TEXT(KRI28-utc_offset/24,"YYYYMMDD")&amp;"*"" /stext="" "&amp;TEXT(KRI28-utc_offset/24,"HH")&amp;search_regexp&amp;""""</f>
        <v>#REF!</v>
      </c>
      <c r="KSG28" s="234" t="e">
        <f>astrogrep_path&amp;" /e /r /s /spath="&amp;search_path&amp;" /stypes=""app*"&amp;KRC28&amp;"*"&amp;TEXT(KRJ28-utc_offset/24,"YYYYMMDD")&amp;"*"" /stext="" "&amp;TEXT(KRJ28-utc_offset/24,"HH")&amp;search_regexp&amp;""""</f>
        <v>#REF!</v>
      </c>
      <c r="KSH28" s="234" t="e">
        <f>astrogrep_path&amp;" /e /r /s /spath="&amp;search_path&amp;" /stypes=""app*"&amp;KRD28&amp;"*"&amp;TEXT(KRK28-utc_offset/24,"YYYYMMDD")&amp;"*"" /stext="" "&amp;TEXT(KRK28-utc_offset/24,"HH")&amp;search_regexp&amp;""""</f>
        <v>#REF!</v>
      </c>
      <c r="KSI28" s="234" t="e">
        <f>astrogrep_path&amp;" /e /r /s /spath="&amp;search_path&amp;" /stypes=""app*"&amp;KRE28&amp;"*"&amp;TEXT(KRL28-utc_offset/24,"YYYYMMDD")&amp;"*"" /stext="" "&amp;TEXT(KRL28-utc_offset/24,"HH")&amp;search_regexp&amp;""""</f>
        <v>#REF!</v>
      </c>
      <c r="KSJ28" s="234" t="e">
        <f>astrogrep_path&amp;" /e /r /s /spath="&amp;search_path&amp;" /stypes=""app*"&amp;KRF28&amp;"*"&amp;TEXT(KRM28-utc_offset/24,"YYYYMMDD")&amp;"*"" /stext="" "&amp;TEXT(KRM28-utc_offset/24,"HH")&amp;search_regexp&amp;""""</f>
        <v>#REF!</v>
      </c>
      <c r="KSK28" s="234" t="e">
        <f>astrogrep_path&amp;" /e /r /s /spath="&amp;search_path&amp;" /stypes=""app*"&amp;KRG28&amp;"*"&amp;TEXT(KRN28-utc_offset/24,"YYYYMMDD")&amp;"*"" /stext="" "&amp;TEXT(KRN28-utc_offset/24,"HH")&amp;search_regexp&amp;""""</f>
        <v>#REF!</v>
      </c>
      <c r="KSL28" s="234" t="e">
        <f>astrogrep_path&amp;" /e /r /s /spath="&amp;search_path&amp;" /stypes=""app*"&amp;KRH28&amp;"*"&amp;TEXT(KRO28-utc_offset/24,"YYYYMMDD")&amp;"*"" /stext="" "&amp;TEXT(KRO28-utc_offset/24,"HH")&amp;search_regexp&amp;""""</f>
        <v>#REF!</v>
      </c>
      <c r="KSM28" s="234" t="e">
        <f>astrogrep_path&amp;" /e /r /s /spath="&amp;search_path&amp;" /stypes=""app*"&amp;KRI28&amp;"*"&amp;TEXT(KRP28-utc_offset/24,"YYYYMMDD")&amp;"*"" /stext="" "&amp;TEXT(KRP28-utc_offset/24,"HH")&amp;search_regexp&amp;""""</f>
        <v>#REF!</v>
      </c>
      <c r="KSN28" s="234" t="e">
        <f>astrogrep_path&amp;" /e /r /s /spath="&amp;search_path&amp;" /stypes=""app*"&amp;KRJ28&amp;"*"&amp;TEXT(KRQ28-utc_offset/24,"YYYYMMDD")&amp;"*"" /stext="" "&amp;TEXT(KRQ28-utc_offset/24,"HH")&amp;search_regexp&amp;""""</f>
        <v>#REF!</v>
      </c>
      <c r="KSO28" s="234" t="e">
        <f>astrogrep_path&amp;" /e /r /s /spath="&amp;search_path&amp;" /stypes=""app*"&amp;KRK28&amp;"*"&amp;TEXT(KRR28-utc_offset/24,"YYYYMMDD")&amp;"*"" /stext="" "&amp;TEXT(KRR28-utc_offset/24,"HH")&amp;search_regexp&amp;""""</f>
        <v>#REF!</v>
      </c>
      <c r="KSP28" s="234" t="e">
        <f>astrogrep_path&amp;" /e /r /s /spath="&amp;search_path&amp;" /stypes=""app*"&amp;KRL28&amp;"*"&amp;TEXT(KRS28-utc_offset/24,"YYYYMMDD")&amp;"*"" /stext="" "&amp;TEXT(KRS28-utc_offset/24,"HH")&amp;search_regexp&amp;""""</f>
        <v>#REF!</v>
      </c>
      <c r="KSQ28" s="234" t="e">
        <f>astrogrep_path&amp;" /e /r /s /spath="&amp;search_path&amp;" /stypes=""app*"&amp;KRM28&amp;"*"&amp;TEXT(KRT28-utc_offset/24,"YYYYMMDD")&amp;"*"" /stext="" "&amp;TEXT(KRT28-utc_offset/24,"HH")&amp;search_regexp&amp;""""</f>
        <v>#REF!</v>
      </c>
      <c r="KSR28" s="234" t="e">
        <f>astrogrep_path&amp;" /e /r /s /spath="&amp;search_path&amp;" /stypes=""app*"&amp;KRN28&amp;"*"&amp;TEXT(KRU28-utc_offset/24,"YYYYMMDD")&amp;"*"" /stext="" "&amp;TEXT(KRU28-utc_offset/24,"HH")&amp;search_regexp&amp;""""</f>
        <v>#REF!</v>
      </c>
      <c r="KSS28" s="234" t="e">
        <f>astrogrep_path&amp;" /e /r /s /spath="&amp;search_path&amp;" /stypes=""app*"&amp;KRO28&amp;"*"&amp;TEXT(KRV28-utc_offset/24,"YYYYMMDD")&amp;"*"" /stext="" "&amp;TEXT(KRV28-utc_offset/24,"HH")&amp;search_regexp&amp;""""</f>
        <v>#REF!</v>
      </c>
      <c r="KST28" s="234" t="e">
        <f>astrogrep_path&amp;" /e /r /s /spath="&amp;search_path&amp;" /stypes=""app*"&amp;KRP28&amp;"*"&amp;TEXT(KRW28-utc_offset/24,"YYYYMMDD")&amp;"*"" /stext="" "&amp;TEXT(KRW28-utc_offset/24,"HH")&amp;search_regexp&amp;""""</f>
        <v>#REF!</v>
      </c>
      <c r="KSU28" s="234" t="e">
        <f>astrogrep_path&amp;" /e /r /s /spath="&amp;search_path&amp;" /stypes=""app*"&amp;KRQ28&amp;"*"&amp;TEXT(KRX28-utc_offset/24,"YYYYMMDD")&amp;"*"" /stext="" "&amp;TEXT(KRX28-utc_offset/24,"HH")&amp;search_regexp&amp;""""</f>
        <v>#VALUE!</v>
      </c>
      <c r="KSV28" s="234" t="e">
        <f>astrogrep_path&amp;" /e /r /s /spath="&amp;search_path&amp;" /stypes=""app*"&amp;KRR28&amp;"*"&amp;TEXT(KRY28-utc_offset/24,"YYYYMMDD")&amp;"*"" /stext="" "&amp;TEXT(KRY28-utc_offset/24,"HH")&amp;search_regexp&amp;""""</f>
        <v>#VALUE!</v>
      </c>
      <c r="KSW28" s="234" t="e">
        <f>astrogrep_path&amp;" /e /r /s /spath="&amp;search_path&amp;" /stypes=""app*"&amp;KRS28&amp;"*"&amp;TEXT(KRZ28-utc_offset/24,"YYYYMMDD")&amp;"*"" /stext="" "&amp;TEXT(KRZ28-utc_offset/24,"HH")&amp;search_regexp&amp;""""</f>
        <v>#REF!</v>
      </c>
      <c r="KSX28" s="234" t="e">
        <f>astrogrep_path&amp;" /e /r /s /spath="&amp;search_path&amp;" /stypes=""app*"&amp;KRT28&amp;"*"&amp;TEXT(KSA28-utc_offset/24,"YYYYMMDD")&amp;"*"" /stext="" "&amp;TEXT(KSA28-utc_offset/24,"HH")&amp;search_regexp&amp;""""</f>
        <v>#REF!</v>
      </c>
      <c r="KSY28" s="234" t="e">
        <f>astrogrep_path&amp;" /e /r /s /spath="&amp;search_path&amp;" /stypes=""app*"&amp;KRU28&amp;"*"&amp;TEXT(KSB28-utc_offset/24,"YYYYMMDD")&amp;"*"" /stext="" "&amp;TEXT(KSB28-utc_offset/24,"HH")&amp;search_regexp&amp;""""</f>
        <v>#VALUE!</v>
      </c>
      <c r="KSZ28" s="234" t="e">
        <f>astrogrep_path&amp;" /e /r /s /spath="&amp;search_path&amp;" /stypes=""app*"&amp;KRV28&amp;"*"&amp;TEXT(KSC28-utc_offset/24,"YYYYMMDD")&amp;"*"" /stext="" "&amp;TEXT(KSC28-utc_offset/24,"HH")&amp;search_regexp&amp;""""</f>
        <v>#VALUE!</v>
      </c>
      <c r="KTA28" s="234" t="e">
        <f>astrogrep_path&amp;" /e /r /s /spath="&amp;search_path&amp;" /stypes=""app*"&amp;KRW28&amp;"*"&amp;TEXT(KSD28-utc_offset/24,"YYYYMMDD")&amp;"*"" /stext="" "&amp;TEXT(KSD28-utc_offset/24,"HH")&amp;search_regexp&amp;""""</f>
        <v>#VALUE!</v>
      </c>
      <c r="KTB28" s="234" t="e">
        <f>astrogrep_path&amp;" /e /r /s /spath="&amp;search_path&amp;" /stypes=""app*"&amp;KRX28&amp;"*"&amp;TEXT(KSE28-utc_offset/24,"YYYYMMDD")&amp;"*"" /stext="" "&amp;TEXT(KSE28-utc_offset/24,"HH")&amp;search_regexp&amp;""""</f>
        <v>#VALUE!</v>
      </c>
      <c r="KTC28" s="234" t="e">
        <f>astrogrep_path&amp;" /e /r /s /spath="&amp;search_path&amp;" /stypes=""app*"&amp;KRY28&amp;"*"&amp;TEXT(KSF28-utc_offset/24,"YYYYMMDD")&amp;"*"" /stext="" "&amp;TEXT(KSF28-utc_offset/24,"HH")&amp;search_regexp&amp;""""</f>
        <v>#VALUE!</v>
      </c>
      <c r="KTD28" s="234" t="e">
        <f>astrogrep_path&amp;" /e /r /s /spath="&amp;search_path&amp;" /stypes=""app*"&amp;KRZ28&amp;"*"&amp;TEXT(KSG28-utc_offset/24,"YYYYMMDD")&amp;"*"" /stext="" "&amp;TEXT(KSG28-utc_offset/24,"HH")&amp;search_regexp&amp;""""</f>
        <v>#REF!</v>
      </c>
      <c r="KTE28" s="234" t="e">
        <f>astrogrep_path&amp;" /e /r /s /spath="&amp;search_path&amp;" /stypes=""app*"&amp;KSA28&amp;"*"&amp;TEXT(KSH28-utc_offset/24,"YYYYMMDD")&amp;"*"" /stext="" "&amp;TEXT(KSH28-utc_offset/24,"HH")&amp;search_regexp&amp;""""</f>
        <v>#REF!</v>
      </c>
      <c r="KTF28" s="234" t="e">
        <f>astrogrep_path&amp;" /e /r /s /spath="&amp;search_path&amp;" /stypes=""app*"&amp;KSB28&amp;"*"&amp;TEXT(KSI28-utc_offset/24,"YYYYMMDD")&amp;"*"" /stext="" "&amp;TEXT(KSI28-utc_offset/24,"HH")&amp;search_regexp&amp;""""</f>
        <v>#REF!</v>
      </c>
      <c r="KTG28" s="234" t="e">
        <f>astrogrep_path&amp;" /e /r /s /spath="&amp;search_path&amp;" /stypes=""app*"&amp;KSC28&amp;"*"&amp;TEXT(KSJ28-utc_offset/24,"YYYYMMDD")&amp;"*"" /stext="" "&amp;TEXT(KSJ28-utc_offset/24,"HH")&amp;search_regexp&amp;""""</f>
        <v>#REF!</v>
      </c>
      <c r="KTH28" s="234" t="e">
        <f>astrogrep_path&amp;" /e /r /s /spath="&amp;search_path&amp;" /stypes=""app*"&amp;KSD28&amp;"*"&amp;TEXT(KSK28-utc_offset/24,"YYYYMMDD")&amp;"*"" /stext="" "&amp;TEXT(KSK28-utc_offset/24,"HH")&amp;search_regexp&amp;""""</f>
        <v>#REF!</v>
      </c>
      <c r="KTI28" s="234" t="e">
        <f>astrogrep_path&amp;" /e /r /s /spath="&amp;search_path&amp;" /stypes=""app*"&amp;KSE28&amp;"*"&amp;TEXT(KSL28-utc_offset/24,"YYYYMMDD")&amp;"*"" /stext="" "&amp;TEXT(KSL28-utc_offset/24,"HH")&amp;search_regexp&amp;""""</f>
        <v>#REF!</v>
      </c>
      <c r="KTJ28" s="234" t="e">
        <f>astrogrep_path&amp;" /e /r /s /spath="&amp;search_path&amp;" /stypes=""app*"&amp;KSF28&amp;"*"&amp;TEXT(KSM28-utc_offset/24,"YYYYMMDD")&amp;"*"" /stext="" "&amp;TEXT(KSM28-utc_offset/24,"HH")&amp;search_regexp&amp;""""</f>
        <v>#REF!</v>
      </c>
      <c r="KTK28" s="234" t="e">
        <f>astrogrep_path&amp;" /e /r /s /spath="&amp;search_path&amp;" /stypes=""app*"&amp;KSG28&amp;"*"&amp;TEXT(KSN28-utc_offset/24,"YYYYMMDD")&amp;"*"" /stext="" "&amp;TEXT(KSN28-utc_offset/24,"HH")&amp;search_regexp&amp;""""</f>
        <v>#REF!</v>
      </c>
      <c r="KTL28" s="234" t="e">
        <f>astrogrep_path&amp;" /e /r /s /spath="&amp;search_path&amp;" /stypes=""app*"&amp;KSH28&amp;"*"&amp;TEXT(KSO28-utc_offset/24,"YYYYMMDD")&amp;"*"" /stext="" "&amp;TEXT(KSO28-utc_offset/24,"HH")&amp;search_regexp&amp;""""</f>
        <v>#REF!</v>
      </c>
      <c r="KTM28" s="234" t="e">
        <f>astrogrep_path&amp;" /e /r /s /spath="&amp;search_path&amp;" /stypes=""app*"&amp;KSI28&amp;"*"&amp;TEXT(KSP28-utc_offset/24,"YYYYMMDD")&amp;"*"" /stext="" "&amp;TEXT(KSP28-utc_offset/24,"HH")&amp;search_regexp&amp;""""</f>
        <v>#REF!</v>
      </c>
      <c r="KTN28" s="234" t="e">
        <f>astrogrep_path&amp;" /e /r /s /spath="&amp;search_path&amp;" /stypes=""app*"&amp;KSJ28&amp;"*"&amp;TEXT(KSQ28-utc_offset/24,"YYYYMMDD")&amp;"*"" /stext="" "&amp;TEXT(KSQ28-utc_offset/24,"HH")&amp;search_regexp&amp;""""</f>
        <v>#REF!</v>
      </c>
      <c r="KTO28" s="234" t="e">
        <f>astrogrep_path&amp;" /e /r /s /spath="&amp;search_path&amp;" /stypes=""app*"&amp;KSK28&amp;"*"&amp;TEXT(KSR28-utc_offset/24,"YYYYMMDD")&amp;"*"" /stext="" "&amp;TEXT(KSR28-utc_offset/24,"HH")&amp;search_regexp&amp;""""</f>
        <v>#REF!</v>
      </c>
      <c r="KTP28" s="234" t="e">
        <f>astrogrep_path&amp;" /e /r /s /spath="&amp;search_path&amp;" /stypes=""app*"&amp;KSL28&amp;"*"&amp;TEXT(KSS28-utc_offset/24,"YYYYMMDD")&amp;"*"" /stext="" "&amp;TEXT(KSS28-utc_offset/24,"HH")&amp;search_regexp&amp;""""</f>
        <v>#REF!</v>
      </c>
      <c r="KTQ28" s="234" t="e">
        <f>astrogrep_path&amp;" /e /r /s /spath="&amp;search_path&amp;" /stypes=""app*"&amp;KSM28&amp;"*"&amp;TEXT(KST28-utc_offset/24,"YYYYMMDD")&amp;"*"" /stext="" "&amp;TEXT(KST28-utc_offset/24,"HH")&amp;search_regexp&amp;""""</f>
        <v>#REF!</v>
      </c>
      <c r="KTR28" s="234" t="e">
        <f>astrogrep_path&amp;" /e /r /s /spath="&amp;search_path&amp;" /stypes=""app*"&amp;KSN28&amp;"*"&amp;TEXT(KSU28-utc_offset/24,"YYYYMMDD")&amp;"*"" /stext="" "&amp;TEXT(KSU28-utc_offset/24,"HH")&amp;search_regexp&amp;""""</f>
        <v>#REF!</v>
      </c>
      <c r="KTS28" s="234" t="e">
        <f>astrogrep_path&amp;" /e /r /s /spath="&amp;search_path&amp;" /stypes=""app*"&amp;KSO28&amp;"*"&amp;TEXT(KSV28-utc_offset/24,"YYYYMMDD")&amp;"*"" /stext="" "&amp;TEXT(KSV28-utc_offset/24,"HH")&amp;search_regexp&amp;""""</f>
        <v>#REF!</v>
      </c>
      <c r="KTT28" s="234" t="e">
        <f>astrogrep_path&amp;" /e /r /s /spath="&amp;search_path&amp;" /stypes=""app*"&amp;KSP28&amp;"*"&amp;TEXT(KSW28-utc_offset/24,"YYYYMMDD")&amp;"*"" /stext="" "&amp;TEXT(KSW28-utc_offset/24,"HH")&amp;search_regexp&amp;""""</f>
        <v>#REF!</v>
      </c>
      <c r="KTU28" s="234" t="e">
        <f>astrogrep_path&amp;" /e /r /s /spath="&amp;search_path&amp;" /stypes=""app*"&amp;KSQ28&amp;"*"&amp;TEXT(KSX28-utc_offset/24,"YYYYMMDD")&amp;"*"" /stext="" "&amp;TEXT(KSX28-utc_offset/24,"HH")&amp;search_regexp&amp;""""</f>
        <v>#REF!</v>
      </c>
      <c r="KTV28" s="234" t="e">
        <f>astrogrep_path&amp;" /e /r /s /spath="&amp;search_path&amp;" /stypes=""app*"&amp;KSR28&amp;"*"&amp;TEXT(KSY28-utc_offset/24,"YYYYMMDD")&amp;"*"" /stext="" "&amp;TEXT(KSY28-utc_offset/24,"HH")&amp;search_regexp&amp;""""</f>
        <v>#REF!</v>
      </c>
      <c r="KTW28" s="234" t="e">
        <f>astrogrep_path&amp;" /e /r /s /spath="&amp;search_path&amp;" /stypes=""app*"&amp;KSS28&amp;"*"&amp;TEXT(KSZ28-utc_offset/24,"YYYYMMDD")&amp;"*"" /stext="" "&amp;TEXT(KSZ28-utc_offset/24,"HH")&amp;search_regexp&amp;""""</f>
        <v>#REF!</v>
      </c>
      <c r="KTX28" s="234" t="e">
        <f>astrogrep_path&amp;" /e /r /s /spath="&amp;search_path&amp;" /stypes=""app*"&amp;KST28&amp;"*"&amp;TEXT(KTA28-utc_offset/24,"YYYYMMDD")&amp;"*"" /stext="" "&amp;TEXT(KTA28-utc_offset/24,"HH")&amp;search_regexp&amp;""""</f>
        <v>#REF!</v>
      </c>
      <c r="KTY28" s="234" t="e">
        <f>astrogrep_path&amp;" /e /r /s /spath="&amp;search_path&amp;" /stypes=""app*"&amp;KSU28&amp;"*"&amp;TEXT(KTB28-utc_offset/24,"YYYYMMDD")&amp;"*"" /stext="" "&amp;TEXT(KTB28-utc_offset/24,"HH")&amp;search_regexp&amp;""""</f>
        <v>#VALUE!</v>
      </c>
      <c r="KTZ28" s="234" t="e">
        <f>astrogrep_path&amp;" /e /r /s /spath="&amp;search_path&amp;" /stypes=""app*"&amp;KSV28&amp;"*"&amp;TEXT(KTC28-utc_offset/24,"YYYYMMDD")&amp;"*"" /stext="" "&amp;TEXT(KTC28-utc_offset/24,"HH")&amp;search_regexp&amp;""""</f>
        <v>#VALUE!</v>
      </c>
      <c r="KUA28" s="234" t="e">
        <f>astrogrep_path&amp;" /e /r /s /spath="&amp;search_path&amp;" /stypes=""app*"&amp;KSW28&amp;"*"&amp;TEXT(KTD28-utc_offset/24,"YYYYMMDD")&amp;"*"" /stext="" "&amp;TEXT(KTD28-utc_offset/24,"HH")&amp;search_regexp&amp;""""</f>
        <v>#REF!</v>
      </c>
      <c r="KUB28" s="234" t="e">
        <f>astrogrep_path&amp;" /e /r /s /spath="&amp;search_path&amp;" /stypes=""app*"&amp;KSX28&amp;"*"&amp;TEXT(KTE28-utc_offset/24,"YYYYMMDD")&amp;"*"" /stext="" "&amp;TEXT(KTE28-utc_offset/24,"HH")&amp;search_regexp&amp;""""</f>
        <v>#REF!</v>
      </c>
      <c r="KUC28" s="234" t="e">
        <f>astrogrep_path&amp;" /e /r /s /spath="&amp;search_path&amp;" /stypes=""app*"&amp;KSY28&amp;"*"&amp;TEXT(KTF28-utc_offset/24,"YYYYMMDD")&amp;"*"" /stext="" "&amp;TEXT(KTF28-utc_offset/24,"HH")&amp;search_regexp&amp;""""</f>
        <v>#VALUE!</v>
      </c>
      <c r="KUD28" s="234" t="e">
        <f>astrogrep_path&amp;" /e /r /s /spath="&amp;search_path&amp;" /stypes=""app*"&amp;KSZ28&amp;"*"&amp;TEXT(KTG28-utc_offset/24,"YYYYMMDD")&amp;"*"" /stext="" "&amp;TEXT(KTG28-utc_offset/24,"HH")&amp;search_regexp&amp;""""</f>
        <v>#VALUE!</v>
      </c>
      <c r="KUE28" s="234" t="e">
        <f>astrogrep_path&amp;" /e /r /s /spath="&amp;search_path&amp;" /stypes=""app*"&amp;KTA28&amp;"*"&amp;TEXT(KTH28-utc_offset/24,"YYYYMMDD")&amp;"*"" /stext="" "&amp;TEXT(KTH28-utc_offset/24,"HH")&amp;search_regexp&amp;""""</f>
        <v>#VALUE!</v>
      </c>
      <c r="KUF28" s="234" t="e">
        <f>astrogrep_path&amp;" /e /r /s /spath="&amp;search_path&amp;" /stypes=""app*"&amp;KTB28&amp;"*"&amp;TEXT(KTI28-utc_offset/24,"YYYYMMDD")&amp;"*"" /stext="" "&amp;TEXT(KTI28-utc_offset/24,"HH")&amp;search_regexp&amp;""""</f>
        <v>#VALUE!</v>
      </c>
      <c r="KUG28" s="234" t="e">
        <f>astrogrep_path&amp;" /e /r /s /spath="&amp;search_path&amp;" /stypes=""app*"&amp;KTC28&amp;"*"&amp;TEXT(KTJ28-utc_offset/24,"YYYYMMDD")&amp;"*"" /stext="" "&amp;TEXT(KTJ28-utc_offset/24,"HH")&amp;search_regexp&amp;""""</f>
        <v>#VALUE!</v>
      </c>
      <c r="KUH28" s="234" t="e">
        <f>astrogrep_path&amp;" /e /r /s /spath="&amp;search_path&amp;" /stypes=""app*"&amp;KTD28&amp;"*"&amp;TEXT(KTK28-utc_offset/24,"YYYYMMDD")&amp;"*"" /stext="" "&amp;TEXT(KTK28-utc_offset/24,"HH")&amp;search_regexp&amp;""""</f>
        <v>#REF!</v>
      </c>
      <c r="KUI28" s="234" t="e">
        <f>astrogrep_path&amp;" /e /r /s /spath="&amp;search_path&amp;" /stypes=""app*"&amp;KTE28&amp;"*"&amp;TEXT(KTL28-utc_offset/24,"YYYYMMDD")&amp;"*"" /stext="" "&amp;TEXT(KTL28-utc_offset/24,"HH")&amp;search_regexp&amp;""""</f>
        <v>#REF!</v>
      </c>
      <c r="KUJ28" s="234" t="e">
        <f>astrogrep_path&amp;" /e /r /s /spath="&amp;search_path&amp;" /stypes=""app*"&amp;KTF28&amp;"*"&amp;TEXT(KTM28-utc_offset/24,"YYYYMMDD")&amp;"*"" /stext="" "&amp;TEXT(KTM28-utc_offset/24,"HH")&amp;search_regexp&amp;""""</f>
        <v>#REF!</v>
      </c>
      <c r="KUK28" s="234" t="e">
        <f>astrogrep_path&amp;" /e /r /s /spath="&amp;search_path&amp;" /stypes=""app*"&amp;KTG28&amp;"*"&amp;TEXT(KTN28-utc_offset/24,"YYYYMMDD")&amp;"*"" /stext="" "&amp;TEXT(KTN28-utc_offset/24,"HH")&amp;search_regexp&amp;""""</f>
        <v>#REF!</v>
      </c>
      <c r="KUL28" s="234" t="e">
        <f>astrogrep_path&amp;" /e /r /s /spath="&amp;search_path&amp;" /stypes=""app*"&amp;KTH28&amp;"*"&amp;TEXT(KTO28-utc_offset/24,"YYYYMMDD")&amp;"*"" /stext="" "&amp;TEXT(KTO28-utc_offset/24,"HH")&amp;search_regexp&amp;""""</f>
        <v>#REF!</v>
      </c>
      <c r="KUM28" s="234" t="e">
        <f>astrogrep_path&amp;" /e /r /s /spath="&amp;search_path&amp;" /stypes=""app*"&amp;KTI28&amp;"*"&amp;TEXT(KTP28-utc_offset/24,"YYYYMMDD")&amp;"*"" /stext="" "&amp;TEXT(KTP28-utc_offset/24,"HH")&amp;search_regexp&amp;""""</f>
        <v>#REF!</v>
      </c>
      <c r="KUN28" s="234" t="e">
        <f>astrogrep_path&amp;" /e /r /s /spath="&amp;search_path&amp;" /stypes=""app*"&amp;KTJ28&amp;"*"&amp;TEXT(KTQ28-utc_offset/24,"YYYYMMDD")&amp;"*"" /stext="" "&amp;TEXT(KTQ28-utc_offset/24,"HH")&amp;search_regexp&amp;""""</f>
        <v>#REF!</v>
      </c>
      <c r="KUO28" s="234" t="e">
        <f>astrogrep_path&amp;" /e /r /s /spath="&amp;search_path&amp;" /stypes=""app*"&amp;KTK28&amp;"*"&amp;TEXT(KTR28-utc_offset/24,"YYYYMMDD")&amp;"*"" /stext="" "&amp;TEXT(KTR28-utc_offset/24,"HH")&amp;search_regexp&amp;""""</f>
        <v>#REF!</v>
      </c>
      <c r="KUP28" s="234" t="e">
        <f>astrogrep_path&amp;" /e /r /s /spath="&amp;search_path&amp;" /stypes=""app*"&amp;KTL28&amp;"*"&amp;TEXT(KTS28-utc_offset/24,"YYYYMMDD")&amp;"*"" /stext="" "&amp;TEXT(KTS28-utc_offset/24,"HH")&amp;search_regexp&amp;""""</f>
        <v>#REF!</v>
      </c>
      <c r="KUQ28" s="234" t="e">
        <f>astrogrep_path&amp;" /e /r /s /spath="&amp;search_path&amp;" /stypes=""app*"&amp;KTM28&amp;"*"&amp;TEXT(KTT28-utc_offset/24,"YYYYMMDD")&amp;"*"" /stext="" "&amp;TEXT(KTT28-utc_offset/24,"HH")&amp;search_regexp&amp;""""</f>
        <v>#REF!</v>
      </c>
      <c r="KUR28" s="234" t="e">
        <f>astrogrep_path&amp;" /e /r /s /spath="&amp;search_path&amp;" /stypes=""app*"&amp;KTN28&amp;"*"&amp;TEXT(KTU28-utc_offset/24,"YYYYMMDD")&amp;"*"" /stext="" "&amp;TEXT(KTU28-utc_offset/24,"HH")&amp;search_regexp&amp;""""</f>
        <v>#REF!</v>
      </c>
      <c r="KUS28" s="234" t="e">
        <f>astrogrep_path&amp;" /e /r /s /spath="&amp;search_path&amp;" /stypes=""app*"&amp;KTO28&amp;"*"&amp;TEXT(KTV28-utc_offset/24,"YYYYMMDD")&amp;"*"" /stext="" "&amp;TEXT(KTV28-utc_offset/24,"HH")&amp;search_regexp&amp;""""</f>
        <v>#REF!</v>
      </c>
      <c r="KUT28" s="234" t="e">
        <f>astrogrep_path&amp;" /e /r /s /spath="&amp;search_path&amp;" /stypes=""app*"&amp;KTP28&amp;"*"&amp;TEXT(KTW28-utc_offset/24,"YYYYMMDD")&amp;"*"" /stext="" "&amp;TEXT(KTW28-utc_offset/24,"HH")&amp;search_regexp&amp;""""</f>
        <v>#REF!</v>
      </c>
      <c r="KUU28" s="234" t="e">
        <f>astrogrep_path&amp;" /e /r /s /spath="&amp;search_path&amp;" /stypes=""app*"&amp;KTQ28&amp;"*"&amp;TEXT(KTX28-utc_offset/24,"YYYYMMDD")&amp;"*"" /stext="" "&amp;TEXT(KTX28-utc_offset/24,"HH")&amp;search_regexp&amp;""""</f>
        <v>#REF!</v>
      </c>
      <c r="KUV28" s="234" t="e">
        <f>astrogrep_path&amp;" /e /r /s /spath="&amp;search_path&amp;" /stypes=""app*"&amp;KTR28&amp;"*"&amp;TEXT(KTY28-utc_offset/24,"YYYYMMDD")&amp;"*"" /stext="" "&amp;TEXT(KTY28-utc_offset/24,"HH")&amp;search_regexp&amp;""""</f>
        <v>#REF!</v>
      </c>
      <c r="KUW28" s="234" t="e">
        <f>astrogrep_path&amp;" /e /r /s /spath="&amp;search_path&amp;" /stypes=""app*"&amp;KTS28&amp;"*"&amp;TEXT(KTZ28-utc_offset/24,"YYYYMMDD")&amp;"*"" /stext="" "&amp;TEXT(KTZ28-utc_offset/24,"HH")&amp;search_regexp&amp;""""</f>
        <v>#REF!</v>
      </c>
      <c r="KUX28" s="234" t="e">
        <f>astrogrep_path&amp;" /e /r /s /spath="&amp;search_path&amp;" /stypes=""app*"&amp;KTT28&amp;"*"&amp;TEXT(KUA28-utc_offset/24,"YYYYMMDD")&amp;"*"" /stext="" "&amp;TEXT(KUA28-utc_offset/24,"HH")&amp;search_regexp&amp;""""</f>
        <v>#REF!</v>
      </c>
      <c r="KUY28" s="234" t="e">
        <f>astrogrep_path&amp;" /e /r /s /spath="&amp;search_path&amp;" /stypes=""app*"&amp;KTU28&amp;"*"&amp;TEXT(KUB28-utc_offset/24,"YYYYMMDD")&amp;"*"" /stext="" "&amp;TEXT(KUB28-utc_offset/24,"HH")&amp;search_regexp&amp;""""</f>
        <v>#REF!</v>
      </c>
      <c r="KUZ28" s="234" t="e">
        <f>astrogrep_path&amp;" /e /r /s /spath="&amp;search_path&amp;" /stypes=""app*"&amp;KTV28&amp;"*"&amp;TEXT(KUC28-utc_offset/24,"YYYYMMDD")&amp;"*"" /stext="" "&amp;TEXT(KUC28-utc_offset/24,"HH")&amp;search_regexp&amp;""""</f>
        <v>#REF!</v>
      </c>
      <c r="KVA28" s="234" t="e">
        <f>astrogrep_path&amp;" /e /r /s /spath="&amp;search_path&amp;" /stypes=""app*"&amp;KTW28&amp;"*"&amp;TEXT(KUD28-utc_offset/24,"YYYYMMDD")&amp;"*"" /stext="" "&amp;TEXT(KUD28-utc_offset/24,"HH")&amp;search_regexp&amp;""""</f>
        <v>#REF!</v>
      </c>
      <c r="KVB28" s="234" t="e">
        <f>astrogrep_path&amp;" /e /r /s /spath="&amp;search_path&amp;" /stypes=""app*"&amp;KTX28&amp;"*"&amp;TEXT(KUE28-utc_offset/24,"YYYYMMDD")&amp;"*"" /stext="" "&amp;TEXT(KUE28-utc_offset/24,"HH")&amp;search_regexp&amp;""""</f>
        <v>#REF!</v>
      </c>
      <c r="KVC28" s="234" t="e">
        <f>astrogrep_path&amp;" /e /r /s /spath="&amp;search_path&amp;" /stypes=""app*"&amp;KTY28&amp;"*"&amp;TEXT(KUF28-utc_offset/24,"YYYYMMDD")&amp;"*"" /stext="" "&amp;TEXT(KUF28-utc_offset/24,"HH")&amp;search_regexp&amp;""""</f>
        <v>#VALUE!</v>
      </c>
      <c r="KVD28" s="234" t="e">
        <f>astrogrep_path&amp;" /e /r /s /spath="&amp;search_path&amp;" /stypes=""app*"&amp;KTZ28&amp;"*"&amp;TEXT(KUG28-utc_offset/24,"YYYYMMDD")&amp;"*"" /stext="" "&amp;TEXT(KUG28-utc_offset/24,"HH")&amp;search_regexp&amp;""""</f>
        <v>#VALUE!</v>
      </c>
      <c r="KVE28" s="234" t="e">
        <f>astrogrep_path&amp;" /e /r /s /spath="&amp;search_path&amp;" /stypes=""app*"&amp;KUA28&amp;"*"&amp;TEXT(KUH28-utc_offset/24,"YYYYMMDD")&amp;"*"" /stext="" "&amp;TEXT(KUH28-utc_offset/24,"HH")&amp;search_regexp&amp;""""</f>
        <v>#REF!</v>
      </c>
      <c r="KVF28" s="234" t="e">
        <f>astrogrep_path&amp;" /e /r /s /spath="&amp;search_path&amp;" /stypes=""app*"&amp;KUB28&amp;"*"&amp;TEXT(KUI28-utc_offset/24,"YYYYMMDD")&amp;"*"" /stext="" "&amp;TEXT(KUI28-utc_offset/24,"HH")&amp;search_regexp&amp;""""</f>
        <v>#REF!</v>
      </c>
      <c r="KVG28" s="234" t="e">
        <f>astrogrep_path&amp;" /e /r /s /spath="&amp;search_path&amp;" /stypes=""app*"&amp;KUC28&amp;"*"&amp;TEXT(KUJ28-utc_offset/24,"YYYYMMDD")&amp;"*"" /stext="" "&amp;TEXT(KUJ28-utc_offset/24,"HH")&amp;search_regexp&amp;""""</f>
        <v>#VALUE!</v>
      </c>
      <c r="KVH28" s="234" t="e">
        <f>astrogrep_path&amp;" /e /r /s /spath="&amp;search_path&amp;" /stypes=""app*"&amp;KUD28&amp;"*"&amp;TEXT(KUK28-utc_offset/24,"YYYYMMDD")&amp;"*"" /stext="" "&amp;TEXT(KUK28-utc_offset/24,"HH")&amp;search_regexp&amp;""""</f>
        <v>#VALUE!</v>
      </c>
      <c r="KVI28" s="234" t="e">
        <f>astrogrep_path&amp;" /e /r /s /spath="&amp;search_path&amp;" /stypes=""app*"&amp;KUE28&amp;"*"&amp;TEXT(KUL28-utc_offset/24,"YYYYMMDD")&amp;"*"" /stext="" "&amp;TEXT(KUL28-utc_offset/24,"HH")&amp;search_regexp&amp;""""</f>
        <v>#VALUE!</v>
      </c>
      <c r="KVJ28" s="234" t="e">
        <f>astrogrep_path&amp;" /e /r /s /spath="&amp;search_path&amp;" /stypes=""app*"&amp;KUF28&amp;"*"&amp;TEXT(KUM28-utc_offset/24,"YYYYMMDD")&amp;"*"" /stext="" "&amp;TEXT(KUM28-utc_offset/24,"HH")&amp;search_regexp&amp;""""</f>
        <v>#VALUE!</v>
      </c>
      <c r="KVK28" s="234" t="e">
        <f>astrogrep_path&amp;" /e /r /s /spath="&amp;search_path&amp;" /stypes=""app*"&amp;KUG28&amp;"*"&amp;TEXT(KUN28-utc_offset/24,"YYYYMMDD")&amp;"*"" /stext="" "&amp;TEXT(KUN28-utc_offset/24,"HH")&amp;search_regexp&amp;""""</f>
        <v>#VALUE!</v>
      </c>
      <c r="KVL28" s="234" t="e">
        <f>astrogrep_path&amp;" /e /r /s /spath="&amp;search_path&amp;" /stypes=""app*"&amp;KUH28&amp;"*"&amp;TEXT(KUO28-utc_offset/24,"YYYYMMDD")&amp;"*"" /stext="" "&amp;TEXT(KUO28-utc_offset/24,"HH")&amp;search_regexp&amp;""""</f>
        <v>#REF!</v>
      </c>
      <c r="KVM28" s="234" t="e">
        <f>astrogrep_path&amp;" /e /r /s /spath="&amp;search_path&amp;" /stypes=""app*"&amp;KUI28&amp;"*"&amp;TEXT(KUP28-utc_offset/24,"YYYYMMDD")&amp;"*"" /stext="" "&amp;TEXT(KUP28-utc_offset/24,"HH")&amp;search_regexp&amp;""""</f>
        <v>#REF!</v>
      </c>
      <c r="KVN28" s="234" t="e">
        <f>astrogrep_path&amp;" /e /r /s /spath="&amp;search_path&amp;" /stypes=""app*"&amp;KUJ28&amp;"*"&amp;TEXT(KUQ28-utc_offset/24,"YYYYMMDD")&amp;"*"" /stext="" "&amp;TEXT(KUQ28-utc_offset/24,"HH")&amp;search_regexp&amp;""""</f>
        <v>#REF!</v>
      </c>
      <c r="KVO28" s="234" t="e">
        <f>astrogrep_path&amp;" /e /r /s /spath="&amp;search_path&amp;" /stypes=""app*"&amp;KUK28&amp;"*"&amp;TEXT(KUR28-utc_offset/24,"YYYYMMDD")&amp;"*"" /stext="" "&amp;TEXT(KUR28-utc_offset/24,"HH")&amp;search_regexp&amp;""""</f>
        <v>#REF!</v>
      </c>
      <c r="KVP28" s="234" t="e">
        <f>astrogrep_path&amp;" /e /r /s /spath="&amp;search_path&amp;" /stypes=""app*"&amp;KUL28&amp;"*"&amp;TEXT(KUS28-utc_offset/24,"YYYYMMDD")&amp;"*"" /stext="" "&amp;TEXT(KUS28-utc_offset/24,"HH")&amp;search_regexp&amp;""""</f>
        <v>#REF!</v>
      </c>
      <c r="KVQ28" s="234" t="e">
        <f>astrogrep_path&amp;" /e /r /s /spath="&amp;search_path&amp;" /stypes=""app*"&amp;KUM28&amp;"*"&amp;TEXT(KUT28-utc_offset/24,"YYYYMMDD")&amp;"*"" /stext="" "&amp;TEXT(KUT28-utc_offset/24,"HH")&amp;search_regexp&amp;""""</f>
        <v>#REF!</v>
      </c>
      <c r="KVR28" s="234" t="e">
        <f>astrogrep_path&amp;" /e /r /s /spath="&amp;search_path&amp;" /stypes=""app*"&amp;KUN28&amp;"*"&amp;TEXT(KUU28-utc_offset/24,"YYYYMMDD")&amp;"*"" /stext="" "&amp;TEXT(KUU28-utc_offset/24,"HH")&amp;search_regexp&amp;""""</f>
        <v>#REF!</v>
      </c>
      <c r="KVS28" s="234" t="e">
        <f>astrogrep_path&amp;" /e /r /s /spath="&amp;search_path&amp;" /stypes=""app*"&amp;KUO28&amp;"*"&amp;TEXT(KUV28-utc_offset/24,"YYYYMMDD")&amp;"*"" /stext="" "&amp;TEXT(KUV28-utc_offset/24,"HH")&amp;search_regexp&amp;""""</f>
        <v>#REF!</v>
      </c>
      <c r="KVT28" s="234" t="e">
        <f>astrogrep_path&amp;" /e /r /s /spath="&amp;search_path&amp;" /stypes=""app*"&amp;KUP28&amp;"*"&amp;TEXT(KUW28-utc_offset/24,"YYYYMMDD")&amp;"*"" /stext="" "&amp;TEXT(KUW28-utc_offset/24,"HH")&amp;search_regexp&amp;""""</f>
        <v>#REF!</v>
      </c>
      <c r="KVU28" s="234" t="e">
        <f>astrogrep_path&amp;" /e /r /s /spath="&amp;search_path&amp;" /stypes=""app*"&amp;KUQ28&amp;"*"&amp;TEXT(KUX28-utc_offset/24,"YYYYMMDD")&amp;"*"" /stext="" "&amp;TEXT(KUX28-utc_offset/24,"HH")&amp;search_regexp&amp;""""</f>
        <v>#REF!</v>
      </c>
      <c r="KVV28" s="234" t="e">
        <f>astrogrep_path&amp;" /e /r /s /spath="&amp;search_path&amp;" /stypes=""app*"&amp;KUR28&amp;"*"&amp;TEXT(KUY28-utc_offset/24,"YYYYMMDD")&amp;"*"" /stext="" "&amp;TEXT(KUY28-utc_offset/24,"HH")&amp;search_regexp&amp;""""</f>
        <v>#REF!</v>
      </c>
      <c r="KVW28" s="234" t="e">
        <f>astrogrep_path&amp;" /e /r /s /spath="&amp;search_path&amp;" /stypes=""app*"&amp;KUS28&amp;"*"&amp;TEXT(KUZ28-utc_offset/24,"YYYYMMDD")&amp;"*"" /stext="" "&amp;TEXT(KUZ28-utc_offset/24,"HH")&amp;search_regexp&amp;""""</f>
        <v>#REF!</v>
      </c>
      <c r="KVX28" s="234" t="e">
        <f>astrogrep_path&amp;" /e /r /s /spath="&amp;search_path&amp;" /stypes=""app*"&amp;KUT28&amp;"*"&amp;TEXT(KVA28-utc_offset/24,"YYYYMMDD")&amp;"*"" /stext="" "&amp;TEXT(KVA28-utc_offset/24,"HH")&amp;search_regexp&amp;""""</f>
        <v>#REF!</v>
      </c>
      <c r="KVY28" s="234" t="e">
        <f>astrogrep_path&amp;" /e /r /s /spath="&amp;search_path&amp;" /stypes=""app*"&amp;KUU28&amp;"*"&amp;TEXT(KVB28-utc_offset/24,"YYYYMMDD")&amp;"*"" /stext="" "&amp;TEXT(KVB28-utc_offset/24,"HH")&amp;search_regexp&amp;""""</f>
        <v>#REF!</v>
      </c>
      <c r="KVZ28" s="234" t="e">
        <f>astrogrep_path&amp;" /e /r /s /spath="&amp;search_path&amp;" /stypes=""app*"&amp;KUV28&amp;"*"&amp;TEXT(KVC28-utc_offset/24,"YYYYMMDD")&amp;"*"" /stext="" "&amp;TEXT(KVC28-utc_offset/24,"HH")&amp;search_regexp&amp;""""</f>
        <v>#REF!</v>
      </c>
      <c r="KWA28" s="234" t="e">
        <f>astrogrep_path&amp;" /e /r /s /spath="&amp;search_path&amp;" /stypes=""app*"&amp;KUW28&amp;"*"&amp;TEXT(KVD28-utc_offset/24,"YYYYMMDD")&amp;"*"" /stext="" "&amp;TEXT(KVD28-utc_offset/24,"HH")&amp;search_regexp&amp;""""</f>
        <v>#REF!</v>
      </c>
      <c r="KWB28" s="234" t="e">
        <f>astrogrep_path&amp;" /e /r /s /spath="&amp;search_path&amp;" /stypes=""app*"&amp;KUX28&amp;"*"&amp;TEXT(KVE28-utc_offset/24,"YYYYMMDD")&amp;"*"" /stext="" "&amp;TEXT(KVE28-utc_offset/24,"HH")&amp;search_regexp&amp;""""</f>
        <v>#REF!</v>
      </c>
      <c r="KWC28" s="234" t="e">
        <f>astrogrep_path&amp;" /e /r /s /spath="&amp;search_path&amp;" /stypes=""app*"&amp;KUY28&amp;"*"&amp;TEXT(KVF28-utc_offset/24,"YYYYMMDD")&amp;"*"" /stext="" "&amp;TEXT(KVF28-utc_offset/24,"HH")&amp;search_regexp&amp;""""</f>
        <v>#REF!</v>
      </c>
      <c r="KWD28" s="234" t="e">
        <f>astrogrep_path&amp;" /e /r /s /spath="&amp;search_path&amp;" /stypes=""app*"&amp;KUZ28&amp;"*"&amp;TEXT(KVG28-utc_offset/24,"YYYYMMDD")&amp;"*"" /stext="" "&amp;TEXT(KVG28-utc_offset/24,"HH")&amp;search_regexp&amp;""""</f>
        <v>#REF!</v>
      </c>
      <c r="KWE28" s="234" t="e">
        <f>astrogrep_path&amp;" /e /r /s /spath="&amp;search_path&amp;" /stypes=""app*"&amp;KVA28&amp;"*"&amp;TEXT(KVH28-utc_offset/24,"YYYYMMDD")&amp;"*"" /stext="" "&amp;TEXT(KVH28-utc_offset/24,"HH")&amp;search_regexp&amp;""""</f>
        <v>#REF!</v>
      </c>
      <c r="KWF28" s="234" t="e">
        <f>astrogrep_path&amp;" /e /r /s /spath="&amp;search_path&amp;" /stypes=""app*"&amp;KVB28&amp;"*"&amp;TEXT(KVI28-utc_offset/24,"YYYYMMDD")&amp;"*"" /stext="" "&amp;TEXT(KVI28-utc_offset/24,"HH")&amp;search_regexp&amp;""""</f>
        <v>#REF!</v>
      </c>
      <c r="KWG28" s="234" t="e">
        <f>astrogrep_path&amp;" /e /r /s /spath="&amp;search_path&amp;" /stypes=""app*"&amp;KVC28&amp;"*"&amp;TEXT(KVJ28-utc_offset/24,"YYYYMMDD")&amp;"*"" /stext="" "&amp;TEXT(KVJ28-utc_offset/24,"HH")&amp;search_regexp&amp;""""</f>
        <v>#VALUE!</v>
      </c>
      <c r="KWH28" s="234" t="e">
        <f>astrogrep_path&amp;" /e /r /s /spath="&amp;search_path&amp;" /stypes=""app*"&amp;KVD28&amp;"*"&amp;TEXT(KVK28-utc_offset/24,"YYYYMMDD")&amp;"*"" /stext="" "&amp;TEXT(KVK28-utc_offset/24,"HH")&amp;search_regexp&amp;""""</f>
        <v>#VALUE!</v>
      </c>
      <c r="KWI28" s="234" t="e">
        <f>astrogrep_path&amp;" /e /r /s /spath="&amp;search_path&amp;" /stypes=""app*"&amp;KVE28&amp;"*"&amp;TEXT(KVL28-utc_offset/24,"YYYYMMDD")&amp;"*"" /stext="" "&amp;TEXT(KVL28-utc_offset/24,"HH")&amp;search_regexp&amp;""""</f>
        <v>#REF!</v>
      </c>
      <c r="KWJ28" s="234" t="e">
        <f>astrogrep_path&amp;" /e /r /s /spath="&amp;search_path&amp;" /stypes=""app*"&amp;KVF28&amp;"*"&amp;TEXT(KVM28-utc_offset/24,"YYYYMMDD")&amp;"*"" /stext="" "&amp;TEXT(KVM28-utc_offset/24,"HH")&amp;search_regexp&amp;""""</f>
        <v>#REF!</v>
      </c>
      <c r="KWK28" s="234" t="e">
        <f>astrogrep_path&amp;" /e /r /s /spath="&amp;search_path&amp;" /stypes=""app*"&amp;KVG28&amp;"*"&amp;TEXT(KVN28-utc_offset/24,"YYYYMMDD")&amp;"*"" /stext="" "&amp;TEXT(KVN28-utc_offset/24,"HH")&amp;search_regexp&amp;""""</f>
        <v>#VALUE!</v>
      </c>
      <c r="KWL28" s="234" t="e">
        <f>astrogrep_path&amp;" /e /r /s /spath="&amp;search_path&amp;" /stypes=""app*"&amp;KVH28&amp;"*"&amp;TEXT(KVO28-utc_offset/24,"YYYYMMDD")&amp;"*"" /stext="" "&amp;TEXT(KVO28-utc_offset/24,"HH")&amp;search_regexp&amp;""""</f>
        <v>#VALUE!</v>
      </c>
      <c r="KWM28" s="234" t="e">
        <f>astrogrep_path&amp;" /e /r /s /spath="&amp;search_path&amp;" /stypes=""app*"&amp;KVI28&amp;"*"&amp;TEXT(KVP28-utc_offset/24,"YYYYMMDD")&amp;"*"" /stext="" "&amp;TEXT(KVP28-utc_offset/24,"HH")&amp;search_regexp&amp;""""</f>
        <v>#VALUE!</v>
      </c>
      <c r="KWN28" s="234" t="e">
        <f>astrogrep_path&amp;" /e /r /s /spath="&amp;search_path&amp;" /stypes=""app*"&amp;KVJ28&amp;"*"&amp;TEXT(KVQ28-utc_offset/24,"YYYYMMDD")&amp;"*"" /stext="" "&amp;TEXT(KVQ28-utc_offset/24,"HH")&amp;search_regexp&amp;""""</f>
        <v>#VALUE!</v>
      </c>
      <c r="KWO28" s="234" t="e">
        <f>astrogrep_path&amp;" /e /r /s /spath="&amp;search_path&amp;" /stypes=""app*"&amp;KVK28&amp;"*"&amp;TEXT(KVR28-utc_offset/24,"YYYYMMDD")&amp;"*"" /stext="" "&amp;TEXT(KVR28-utc_offset/24,"HH")&amp;search_regexp&amp;""""</f>
        <v>#VALUE!</v>
      </c>
      <c r="KWP28" s="234" t="e">
        <f>astrogrep_path&amp;" /e /r /s /spath="&amp;search_path&amp;" /stypes=""app*"&amp;KVL28&amp;"*"&amp;TEXT(KVS28-utc_offset/24,"YYYYMMDD")&amp;"*"" /stext="" "&amp;TEXT(KVS28-utc_offset/24,"HH")&amp;search_regexp&amp;""""</f>
        <v>#REF!</v>
      </c>
      <c r="KWQ28" s="234" t="e">
        <f>astrogrep_path&amp;" /e /r /s /spath="&amp;search_path&amp;" /stypes=""app*"&amp;KVM28&amp;"*"&amp;TEXT(KVT28-utc_offset/24,"YYYYMMDD")&amp;"*"" /stext="" "&amp;TEXT(KVT28-utc_offset/24,"HH")&amp;search_regexp&amp;""""</f>
        <v>#REF!</v>
      </c>
      <c r="KWR28" s="234" t="e">
        <f>astrogrep_path&amp;" /e /r /s /spath="&amp;search_path&amp;" /stypes=""app*"&amp;KVN28&amp;"*"&amp;TEXT(KVU28-utc_offset/24,"YYYYMMDD")&amp;"*"" /stext="" "&amp;TEXT(KVU28-utc_offset/24,"HH")&amp;search_regexp&amp;""""</f>
        <v>#REF!</v>
      </c>
      <c r="KWS28" s="234" t="e">
        <f>astrogrep_path&amp;" /e /r /s /spath="&amp;search_path&amp;" /stypes=""app*"&amp;KVO28&amp;"*"&amp;TEXT(KVV28-utc_offset/24,"YYYYMMDD")&amp;"*"" /stext="" "&amp;TEXT(KVV28-utc_offset/24,"HH")&amp;search_regexp&amp;""""</f>
        <v>#REF!</v>
      </c>
      <c r="KWT28" s="234" t="e">
        <f>astrogrep_path&amp;" /e /r /s /spath="&amp;search_path&amp;" /stypes=""app*"&amp;KVP28&amp;"*"&amp;TEXT(KVW28-utc_offset/24,"YYYYMMDD")&amp;"*"" /stext="" "&amp;TEXT(KVW28-utc_offset/24,"HH")&amp;search_regexp&amp;""""</f>
        <v>#REF!</v>
      </c>
      <c r="KWU28" s="234" t="e">
        <f>astrogrep_path&amp;" /e /r /s /spath="&amp;search_path&amp;" /stypes=""app*"&amp;KVQ28&amp;"*"&amp;TEXT(KVX28-utc_offset/24,"YYYYMMDD")&amp;"*"" /stext="" "&amp;TEXT(KVX28-utc_offset/24,"HH")&amp;search_regexp&amp;""""</f>
        <v>#REF!</v>
      </c>
      <c r="KWV28" s="234" t="e">
        <f>astrogrep_path&amp;" /e /r /s /spath="&amp;search_path&amp;" /stypes=""app*"&amp;KVR28&amp;"*"&amp;TEXT(KVY28-utc_offset/24,"YYYYMMDD")&amp;"*"" /stext="" "&amp;TEXT(KVY28-utc_offset/24,"HH")&amp;search_regexp&amp;""""</f>
        <v>#REF!</v>
      </c>
      <c r="KWW28" s="234" t="e">
        <f>astrogrep_path&amp;" /e /r /s /spath="&amp;search_path&amp;" /stypes=""app*"&amp;KVS28&amp;"*"&amp;TEXT(KVZ28-utc_offset/24,"YYYYMMDD")&amp;"*"" /stext="" "&amp;TEXT(KVZ28-utc_offset/24,"HH")&amp;search_regexp&amp;""""</f>
        <v>#REF!</v>
      </c>
      <c r="KWX28" s="234" t="e">
        <f>astrogrep_path&amp;" /e /r /s /spath="&amp;search_path&amp;" /stypes=""app*"&amp;KVT28&amp;"*"&amp;TEXT(KWA28-utc_offset/24,"YYYYMMDD")&amp;"*"" /stext="" "&amp;TEXT(KWA28-utc_offset/24,"HH")&amp;search_regexp&amp;""""</f>
        <v>#REF!</v>
      </c>
      <c r="KWY28" s="234" t="e">
        <f>astrogrep_path&amp;" /e /r /s /spath="&amp;search_path&amp;" /stypes=""app*"&amp;KVU28&amp;"*"&amp;TEXT(KWB28-utc_offset/24,"YYYYMMDD")&amp;"*"" /stext="" "&amp;TEXT(KWB28-utc_offset/24,"HH")&amp;search_regexp&amp;""""</f>
        <v>#REF!</v>
      </c>
      <c r="KWZ28" s="234" t="e">
        <f>astrogrep_path&amp;" /e /r /s /spath="&amp;search_path&amp;" /stypes=""app*"&amp;KVV28&amp;"*"&amp;TEXT(KWC28-utc_offset/24,"YYYYMMDD")&amp;"*"" /stext="" "&amp;TEXT(KWC28-utc_offset/24,"HH")&amp;search_regexp&amp;""""</f>
        <v>#REF!</v>
      </c>
      <c r="KXA28" s="234" t="e">
        <f>astrogrep_path&amp;" /e /r /s /spath="&amp;search_path&amp;" /stypes=""app*"&amp;KVW28&amp;"*"&amp;TEXT(KWD28-utc_offset/24,"YYYYMMDD")&amp;"*"" /stext="" "&amp;TEXT(KWD28-utc_offset/24,"HH")&amp;search_regexp&amp;""""</f>
        <v>#REF!</v>
      </c>
      <c r="KXB28" s="234" t="e">
        <f>astrogrep_path&amp;" /e /r /s /spath="&amp;search_path&amp;" /stypes=""app*"&amp;KVX28&amp;"*"&amp;TEXT(KWE28-utc_offset/24,"YYYYMMDD")&amp;"*"" /stext="" "&amp;TEXT(KWE28-utc_offset/24,"HH")&amp;search_regexp&amp;""""</f>
        <v>#REF!</v>
      </c>
      <c r="KXC28" s="234" t="e">
        <f>astrogrep_path&amp;" /e /r /s /spath="&amp;search_path&amp;" /stypes=""app*"&amp;KVY28&amp;"*"&amp;TEXT(KWF28-utc_offset/24,"YYYYMMDD")&amp;"*"" /stext="" "&amp;TEXT(KWF28-utc_offset/24,"HH")&amp;search_regexp&amp;""""</f>
        <v>#REF!</v>
      </c>
      <c r="KXD28" s="234" t="e">
        <f>astrogrep_path&amp;" /e /r /s /spath="&amp;search_path&amp;" /stypes=""app*"&amp;KVZ28&amp;"*"&amp;TEXT(KWG28-utc_offset/24,"YYYYMMDD")&amp;"*"" /stext="" "&amp;TEXT(KWG28-utc_offset/24,"HH")&amp;search_regexp&amp;""""</f>
        <v>#REF!</v>
      </c>
      <c r="KXE28" s="234" t="e">
        <f>astrogrep_path&amp;" /e /r /s /spath="&amp;search_path&amp;" /stypes=""app*"&amp;KWA28&amp;"*"&amp;TEXT(KWH28-utc_offset/24,"YYYYMMDD")&amp;"*"" /stext="" "&amp;TEXT(KWH28-utc_offset/24,"HH")&amp;search_regexp&amp;""""</f>
        <v>#REF!</v>
      </c>
      <c r="KXF28" s="234" t="e">
        <f>astrogrep_path&amp;" /e /r /s /spath="&amp;search_path&amp;" /stypes=""app*"&amp;KWB28&amp;"*"&amp;TEXT(KWI28-utc_offset/24,"YYYYMMDD")&amp;"*"" /stext="" "&amp;TEXT(KWI28-utc_offset/24,"HH")&amp;search_regexp&amp;""""</f>
        <v>#REF!</v>
      </c>
      <c r="KXG28" s="234" t="e">
        <f>astrogrep_path&amp;" /e /r /s /spath="&amp;search_path&amp;" /stypes=""app*"&amp;KWC28&amp;"*"&amp;TEXT(KWJ28-utc_offset/24,"YYYYMMDD")&amp;"*"" /stext="" "&amp;TEXT(KWJ28-utc_offset/24,"HH")&amp;search_regexp&amp;""""</f>
        <v>#REF!</v>
      </c>
      <c r="KXH28" s="234" t="e">
        <f>astrogrep_path&amp;" /e /r /s /spath="&amp;search_path&amp;" /stypes=""app*"&amp;KWD28&amp;"*"&amp;TEXT(KWK28-utc_offset/24,"YYYYMMDD")&amp;"*"" /stext="" "&amp;TEXT(KWK28-utc_offset/24,"HH")&amp;search_regexp&amp;""""</f>
        <v>#REF!</v>
      </c>
      <c r="KXI28" s="234" t="e">
        <f>astrogrep_path&amp;" /e /r /s /spath="&amp;search_path&amp;" /stypes=""app*"&amp;KWE28&amp;"*"&amp;TEXT(KWL28-utc_offset/24,"YYYYMMDD")&amp;"*"" /stext="" "&amp;TEXT(KWL28-utc_offset/24,"HH")&amp;search_regexp&amp;""""</f>
        <v>#REF!</v>
      </c>
      <c r="KXJ28" s="234" t="e">
        <f>astrogrep_path&amp;" /e /r /s /spath="&amp;search_path&amp;" /stypes=""app*"&amp;KWF28&amp;"*"&amp;TEXT(KWM28-utc_offset/24,"YYYYMMDD")&amp;"*"" /stext="" "&amp;TEXT(KWM28-utc_offset/24,"HH")&amp;search_regexp&amp;""""</f>
        <v>#REF!</v>
      </c>
      <c r="KXK28" s="234" t="e">
        <f>astrogrep_path&amp;" /e /r /s /spath="&amp;search_path&amp;" /stypes=""app*"&amp;KWG28&amp;"*"&amp;TEXT(KWN28-utc_offset/24,"YYYYMMDD")&amp;"*"" /stext="" "&amp;TEXT(KWN28-utc_offset/24,"HH")&amp;search_regexp&amp;""""</f>
        <v>#VALUE!</v>
      </c>
      <c r="KXL28" s="234" t="e">
        <f>astrogrep_path&amp;" /e /r /s /spath="&amp;search_path&amp;" /stypes=""app*"&amp;KWH28&amp;"*"&amp;TEXT(KWO28-utc_offset/24,"YYYYMMDD")&amp;"*"" /stext="" "&amp;TEXT(KWO28-utc_offset/24,"HH")&amp;search_regexp&amp;""""</f>
        <v>#VALUE!</v>
      </c>
      <c r="KXM28" s="234" t="e">
        <f>astrogrep_path&amp;" /e /r /s /spath="&amp;search_path&amp;" /stypes=""app*"&amp;KWI28&amp;"*"&amp;TEXT(KWP28-utc_offset/24,"YYYYMMDD")&amp;"*"" /stext="" "&amp;TEXT(KWP28-utc_offset/24,"HH")&amp;search_regexp&amp;""""</f>
        <v>#REF!</v>
      </c>
      <c r="KXN28" s="234" t="e">
        <f>astrogrep_path&amp;" /e /r /s /spath="&amp;search_path&amp;" /stypes=""app*"&amp;KWJ28&amp;"*"&amp;TEXT(KWQ28-utc_offset/24,"YYYYMMDD")&amp;"*"" /stext="" "&amp;TEXT(KWQ28-utc_offset/24,"HH")&amp;search_regexp&amp;""""</f>
        <v>#REF!</v>
      </c>
      <c r="KXO28" s="234" t="e">
        <f>astrogrep_path&amp;" /e /r /s /spath="&amp;search_path&amp;" /stypes=""app*"&amp;KWK28&amp;"*"&amp;TEXT(KWR28-utc_offset/24,"YYYYMMDD")&amp;"*"" /stext="" "&amp;TEXT(KWR28-utc_offset/24,"HH")&amp;search_regexp&amp;""""</f>
        <v>#VALUE!</v>
      </c>
      <c r="KXP28" s="234" t="e">
        <f>astrogrep_path&amp;" /e /r /s /spath="&amp;search_path&amp;" /stypes=""app*"&amp;KWL28&amp;"*"&amp;TEXT(KWS28-utc_offset/24,"YYYYMMDD")&amp;"*"" /stext="" "&amp;TEXT(KWS28-utc_offset/24,"HH")&amp;search_regexp&amp;""""</f>
        <v>#VALUE!</v>
      </c>
      <c r="KXQ28" s="234" t="e">
        <f>astrogrep_path&amp;" /e /r /s /spath="&amp;search_path&amp;" /stypes=""app*"&amp;KWM28&amp;"*"&amp;TEXT(KWT28-utc_offset/24,"YYYYMMDD")&amp;"*"" /stext="" "&amp;TEXT(KWT28-utc_offset/24,"HH")&amp;search_regexp&amp;""""</f>
        <v>#VALUE!</v>
      </c>
      <c r="KXR28" s="234" t="e">
        <f>astrogrep_path&amp;" /e /r /s /spath="&amp;search_path&amp;" /stypes=""app*"&amp;KWN28&amp;"*"&amp;TEXT(KWU28-utc_offset/24,"YYYYMMDD")&amp;"*"" /stext="" "&amp;TEXT(KWU28-utc_offset/24,"HH")&amp;search_regexp&amp;""""</f>
        <v>#VALUE!</v>
      </c>
      <c r="KXS28" s="234" t="e">
        <f>astrogrep_path&amp;" /e /r /s /spath="&amp;search_path&amp;" /stypes=""app*"&amp;KWO28&amp;"*"&amp;TEXT(KWV28-utc_offset/24,"YYYYMMDD")&amp;"*"" /stext="" "&amp;TEXT(KWV28-utc_offset/24,"HH")&amp;search_regexp&amp;""""</f>
        <v>#VALUE!</v>
      </c>
      <c r="KXT28" s="234" t="e">
        <f>astrogrep_path&amp;" /e /r /s /spath="&amp;search_path&amp;" /stypes=""app*"&amp;KWP28&amp;"*"&amp;TEXT(KWW28-utc_offset/24,"YYYYMMDD")&amp;"*"" /stext="" "&amp;TEXT(KWW28-utc_offset/24,"HH")&amp;search_regexp&amp;""""</f>
        <v>#REF!</v>
      </c>
      <c r="KXU28" s="234" t="e">
        <f>astrogrep_path&amp;" /e /r /s /spath="&amp;search_path&amp;" /stypes=""app*"&amp;KWQ28&amp;"*"&amp;TEXT(KWX28-utc_offset/24,"YYYYMMDD")&amp;"*"" /stext="" "&amp;TEXT(KWX28-utc_offset/24,"HH")&amp;search_regexp&amp;""""</f>
        <v>#REF!</v>
      </c>
      <c r="KXV28" s="234" t="e">
        <f>astrogrep_path&amp;" /e /r /s /spath="&amp;search_path&amp;" /stypes=""app*"&amp;KWR28&amp;"*"&amp;TEXT(KWY28-utc_offset/24,"YYYYMMDD")&amp;"*"" /stext="" "&amp;TEXT(KWY28-utc_offset/24,"HH")&amp;search_regexp&amp;""""</f>
        <v>#REF!</v>
      </c>
      <c r="KXW28" s="234" t="e">
        <f>astrogrep_path&amp;" /e /r /s /spath="&amp;search_path&amp;" /stypes=""app*"&amp;KWS28&amp;"*"&amp;TEXT(KWZ28-utc_offset/24,"YYYYMMDD")&amp;"*"" /stext="" "&amp;TEXT(KWZ28-utc_offset/24,"HH")&amp;search_regexp&amp;""""</f>
        <v>#REF!</v>
      </c>
      <c r="KXX28" s="234" t="e">
        <f>astrogrep_path&amp;" /e /r /s /spath="&amp;search_path&amp;" /stypes=""app*"&amp;KWT28&amp;"*"&amp;TEXT(KXA28-utc_offset/24,"YYYYMMDD")&amp;"*"" /stext="" "&amp;TEXT(KXA28-utc_offset/24,"HH")&amp;search_regexp&amp;""""</f>
        <v>#REF!</v>
      </c>
      <c r="KXY28" s="234" t="e">
        <f>astrogrep_path&amp;" /e /r /s /spath="&amp;search_path&amp;" /stypes=""app*"&amp;KWU28&amp;"*"&amp;TEXT(KXB28-utc_offset/24,"YYYYMMDD")&amp;"*"" /stext="" "&amp;TEXT(KXB28-utc_offset/24,"HH")&amp;search_regexp&amp;""""</f>
        <v>#REF!</v>
      </c>
      <c r="KXZ28" s="234" t="e">
        <f>astrogrep_path&amp;" /e /r /s /spath="&amp;search_path&amp;" /stypes=""app*"&amp;KWV28&amp;"*"&amp;TEXT(KXC28-utc_offset/24,"YYYYMMDD")&amp;"*"" /stext="" "&amp;TEXT(KXC28-utc_offset/24,"HH")&amp;search_regexp&amp;""""</f>
        <v>#REF!</v>
      </c>
      <c r="KYA28" s="234" t="e">
        <f>astrogrep_path&amp;" /e /r /s /spath="&amp;search_path&amp;" /stypes=""app*"&amp;KWW28&amp;"*"&amp;TEXT(KXD28-utc_offset/24,"YYYYMMDD")&amp;"*"" /stext="" "&amp;TEXT(KXD28-utc_offset/24,"HH")&amp;search_regexp&amp;""""</f>
        <v>#REF!</v>
      </c>
      <c r="KYB28" s="234" t="e">
        <f>astrogrep_path&amp;" /e /r /s /spath="&amp;search_path&amp;" /stypes=""app*"&amp;KWX28&amp;"*"&amp;TEXT(KXE28-utc_offset/24,"YYYYMMDD")&amp;"*"" /stext="" "&amp;TEXT(KXE28-utc_offset/24,"HH")&amp;search_regexp&amp;""""</f>
        <v>#REF!</v>
      </c>
      <c r="KYC28" s="234" t="e">
        <f>astrogrep_path&amp;" /e /r /s /spath="&amp;search_path&amp;" /stypes=""app*"&amp;KWY28&amp;"*"&amp;TEXT(KXF28-utc_offset/24,"YYYYMMDD")&amp;"*"" /stext="" "&amp;TEXT(KXF28-utc_offset/24,"HH")&amp;search_regexp&amp;""""</f>
        <v>#REF!</v>
      </c>
      <c r="KYD28" s="234" t="e">
        <f>astrogrep_path&amp;" /e /r /s /spath="&amp;search_path&amp;" /stypes=""app*"&amp;KWZ28&amp;"*"&amp;TEXT(KXG28-utc_offset/24,"YYYYMMDD")&amp;"*"" /stext="" "&amp;TEXT(KXG28-utc_offset/24,"HH")&amp;search_regexp&amp;""""</f>
        <v>#REF!</v>
      </c>
      <c r="KYE28" s="234" t="e">
        <f>astrogrep_path&amp;" /e /r /s /spath="&amp;search_path&amp;" /stypes=""app*"&amp;KXA28&amp;"*"&amp;TEXT(KXH28-utc_offset/24,"YYYYMMDD")&amp;"*"" /stext="" "&amp;TEXT(KXH28-utc_offset/24,"HH")&amp;search_regexp&amp;""""</f>
        <v>#REF!</v>
      </c>
      <c r="KYF28" s="234" t="e">
        <f>astrogrep_path&amp;" /e /r /s /spath="&amp;search_path&amp;" /stypes=""app*"&amp;KXB28&amp;"*"&amp;TEXT(KXI28-utc_offset/24,"YYYYMMDD")&amp;"*"" /stext="" "&amp;TEXT(KXI28-utc_offset/24,"HH")&amp;search_regexp&amp;""""</f>
        <v>#REF!</v>
      </c>
      <c r="KYG28" s="234" t="e">
        <f>astrogrep_path&amp;" /e /r /s /spath="&amp;search_path&amp;" /stypes=""app*"&amp;KXC28&amp;"*"&amp;TEXT(KXJ28-utc_offset/24,"YYYYMMDD")&amp;"*"" /stext="" "&amp;TEXT(KXJ28-utc_offset/24,"HH")&amp;search_regexp&amp;""""</f>
        <v>#REF!</v>
      </c>
      <c r="KYH28" s="234" t="e">
        <f>astrogrep_path&amp;" /e /r /s /spath="&amp;search_path&amp;" /stypes=""app*"&amp;KXD28&amp;"*"&amp;TEXT(KXK28-utc_offset/24,"YYYYMMDD")&amp;"*"" /stext="" "&amp;TEXT(KXK28-utc_offset/24,"HH")&amp;search_regexp&amp;""""</f>
        <v>#REF!</v>
      </c>
      <c r="KYI28" s="234" t="e">
        <f>astrogrep_path&amp;" /e /r /s /spath="&amp;search_path&amp;" /stypes=""app*"&amp;KXE28&amp;"*"&amp;TEXT(KXL28-utc_offset/24,"YYYYMMDD")&amp;"*"" /stext="" "&amp;TEXT(KXL28-utc_offset/24,"HH")&amp;search_regexp&amp;""""</f>
        <v>#REF!</v>
      </c>
      <c r="KYJ28" s="234" t="e">
        <f>astrogrep_path&amp;" /e /r /s /spath="&amp;search_path&amp;" /stypes=""app*"&amp;KXF28&amp;"*"&amp;TEXT(KXM28-utc_offset/24,"YYYYMMDD")&amp;"*"" /stext="" "&amp;TEXT(KXM28-utc_offset/24,"HH")&amp;search_regexp&amp;""""</f>
        <v>#REF!</v>
      </c>
      <c r="KYK28" s="234" t="e">
        <f>astrogrep_path&amp;" /e /r /s /spath="&amp;search_path&amp;" /stypes=""app*"&amp;KXG28&amp;"*"&amp;TEXT(KXN28-utc_offset/24,"YYYYMMDD")&amp;"*"" /stext="" "&amp;TEXT(KXN28-utc_offset/24,"HH")&amp;search_regexp&amp;""""</f>
        <v>#REF!</v>
      </c>
      <c r="KYL28" s="234" t="e">
        <f>astrogrep_path&amp;" /e /r /s /spath="&amp;search_path&amp;" /stypes=""app*"&amp;KXH28&amp;"*"&amp;TEXT(KXO28-utc_offset/24,"YYYYMMDD")&amp;"*"" /stext="" "&amp;TEXT(KXO28-utc_offset/24,"HH")&amp;search_regexp&amp;""""</f>
        <v>#REF!</v>
      </c>
      <c r="KYM28" s="234" t="e">
        <f>astrogrep_path&amp;" /e /r /s /spath="&amp;search_path&amp;" /stypes=""app*"&amp;KXI28&amp;"*"&amp;TEXT(KXP28-utc_offset/24,"YYYYMMDD")&amp;"*"" /stext="" "&amp;TEXT(KXP28-utc_offset/24,"HH")&amp;search_regexp&amp;""""</f>
        <v>#REF!</v>
      </c>
      <c r="KYN28" s="234" t="e">
        <f>astrogrep_path&amp;" /e /r /s /spath="&amp;search_path&amp;" /stypes=""app*"&amp;KXJ28&amp;"*"&amp;TEXT(KXQ28-utc_offset/24,"YYYYMMDD")&amp;"*"" /stext="" "&amp;TEXT(KXQ28-utc_offset/24,"HH")&amp;search_regexp&amp;""""</f>
        <v>#REF!</v>
      </c>
      <c r="KYO28" s="234" t="e">
        <f>astrogrep_path&amp;" /e /r /s /spath="&amp;search_path&amp;" /stypes=""app*"&amp;KXK28&amp;"*"&amp;TEXT(KXR28-utc_offset/24,"YYYYMMDD")&amp;"*"" /stext="" "&amp;TEXT(KXR28-utc_offset/24,"HH")&amp;search_regexp&amp;""""</f>
        <v>#VALUE!</v>
      </c>
      <c r="KYP28" s="234" t="e">
        <f>astrogrep_path&amp;" /e /r /s /spath="&amp;search_path&amp;" /stypes=""app*"&amp;KXL28&amp;"*"&amp;TEXT(KXS28-utc_offset/24,"YYYYMMDD")&amp;"*"" /stext="" "&amp;TEXT(KXS28-utc_offset/24,"HH")&amp;search_regexp&amp;""""</f>
        <v>#VALUE!</v>
      </c>
      <c r="KYQ28" s="234" t="e">
        <f>astrogrep_path&amp;" /e /r /s /spath="&amp;search_path&amp;" /stypes=""app*"&amp;KXM28&amp;"*"&amp;TEXT(KXT28-utc_offset/24,"YYYYMMDD")&amp;"*"" /stext="" "&amp;TEXT(KXT28-utc_offset/24,"HH")&amp;search_regexp&amp;""""</f>
        <v>#REF!</v>
      </c>
      <c r="KYR28" s="234" t="e">
        <f>astrogrep_path&amp;" /e /r /s /spath="&amp;search_path&amp;" /stypes=""app*"&amp;KXN28&amp;"*"&amp;TEXT(KXU28-utc_offset/24,"YYYYMMDD")&amp;"*"" /stext="" "&amp;TEXT(KXU28-utc_offset/24,"HH")&amp;search_regexp&amp;""""</f>
        <v>#REF!</v>
      </c>
      <c r="KYS28" s="234" t="e">
        <f>astrogrep_path&amp;" /e /r /s /spath="&amp;search_path&amp;" /stypes=""app*"&amp;KXO28&amp;"*"&amp;TEXT(KXV28-utc_offset/24,"YYYYMMDD")&amp;"*"" /stext="" "&amp;TEXT(KXV28-utc_offset/24,"HH")&amp;search_regexp&amp;""""</f>
        <v>#VALUE!</v>
      </c>
      <c r="KYT28" s="234" t="e">
        <f>astrogrep_path&amp;" /e /r /s /spath="&amp;search_path&amp;" /stypes=""app*"&amp;KXP28&amp;"*"&amp;TEXT(KXW28-utc_offset/24,"YYYYMMDD")&amp;"*"" /stext="" "&amp;TEXT(KXW28-utc_offset/24,"HH")&amp;search_regexp&amp;""""</f>
        <v>#VALUE!</v>
      </c>
      <c r="KYU28" s="234" t="e">
        <f>astrogrep_path&amp;" /e /r /s /spath="&amp;search_path&amp;" /stypes=""app*"&amp;KXQ28&amp;"*"&amp;TEXT(KXX28-utc_offset/24,"YYYYMMDD")&amp;"*"" /stext="" "&amp;TEXT(KXX28-utc_offset/24,"HH")&amp;search_regexp&amp;""""</f>
        <v>#VALUE!</v>
      </c>
      <c r="KYV28" s="234" t="e">
        <f>astrogrep_path&amp;" /e /r /s /spath="&amp;search_path&amp;" /stypes=""app*"&amp;KXR28&amp;"*"&amp;TEXT(KXY28-utc_offset/24,"YYYYMMDD")&amp;"*"" /stext="" "&amp;TEXT(KXY28-utc_offset/24,"HH")&amp;search_regexp&amp;""""</f>
        <v>#VALUE!</v>
      </c>
      <c r="KYW28" s="234" t="e">
        <f>astrogrep_path&amp;" /e /r /s /spath="&amp;search_path&amp;" /stypes=""app*"&amp;KXS28&amp;"*"&amp;TEXT(KXZ28-utc_offset/24,"YYYYMMDD")&amp;"*"" /stext="" "&amp;TEXT(KXZ28-utc_offset/24,"HH")&amp;search_regexp&amp;""""</f>
        <v>#VALUE!</v>
      </c>
      <c r="KYX28" s="234" t="e">
        <f>astrogrep_path&amp;" /e /r /s /spath="&amp;search_path&amp;" /stypes=""app*"&amp;KXT28&amp;"*"&amp;TEXT(KYA28-utc_offset/24,"YYYYMMDD")&amp;"*"" /stext="" "&amp;TEXT(KYA28-utc_offset/24,"HH")&amp;search_regexp&amp;""""</f>
        <v>#REF!</v>
      </c>
      <c r="KYY28" s="234" t="e">
        <f>astrogrep_path&amp;" /e /r /s /spath="&amp;search_path&amp;" /stypes=""app*"&amp;KXU28&amp;"*"&amp;TEXT(KYB28-utc_offset/24,"YYYYMMDD")&amp;"*"" /stext="" "&amp;TEXT(KYB28-utc_offset/24,"HH")&amp;search_regexp&amp;""""</f>
        <v>#REF!</v>
      </c>
      <c r="KYZ28" s="234" t="e">
        <f>astrogrep_path&amp;" /e /r /s /spath="&amp;search_path&amp;" /stypes=""app*"&amp;KXV28&amp;"*"&amp;TEXT(KYC28-utc_offset/24,"YYYYMMDD")&amp;"*"" /stext="" "&amp;TEXT(KYC28-utc_offset/24,"HH")&amp;search_regexp&amp;""""</f>
        <v>#REF!</v>
      </c>
      <c r="KZA28" s="234" t="e">
        <f>astrogrep_path&amp;" /e /r /s /spath="&amp;search_path&amp;" /stypes=""app*"&amp;KXW28&amp;"*"&amp;TEXT(KYD28-utc_offset/24,"YYYYMMDD")&amp;"*"" /stext="" "&amp;TEXT(KYD28-utc_offset/24,"HH")&amp;search_regexp&amp;""""</f>
        <v>#REF!</v>
      </c>
      <c r="KZB28" s="234" t="e">
        <f>astrogrep_path&amp;" /e /r /s /spath="&amp;search_path&amp;" /stypes=""app*"&amp;KXX28&amp;"*"&amp;TEXT(KYE28-utc_offset/24,"YYYYMMDD")&amp;"*"" /stext="" "&amp;TEXT(KYE28-utc_offset/24,"HH")&amp;search_regexp&amp;""""</f>
        <v>#REF!</v>
      </c>
      <c r="KZC28" s="234" t="e">
        <f>astrogrep_path&amp;" /e /r /s /spath="&amp;search_path&amp;" /stypes=""app*"&amp;KXY28&amp;"*"&amp;TEXT(KYF28-utc_offset/24,"YYYYMMDD")&amp;"*"" /stext="" "&amp;TEXT(KYF28-utc_offset/24,"HH")&amp;search_regexp&amp;""""</f>
        <v>#REF!</v>
      </c>
      <c r="KZD28" s="234" t="e">
        <f>astrogrep_path&amp;" /e /r /s /spath="&amp;search_path&amp;" /stypes=""app*"&amp;KXZ28&amp;"*"&amp;TEXT(KYG28-utc_offset/24,"YYYYMMDD")&amp;"*"" /stext="" "&amp;TEXT(KYG28-utc_offset/24,"HH")&amp;search_regexp&amp;""""</f>
        <v>#REF!</v>
      </c>
      <c r="KZE28" s="234" t="e">
        <f>astrogrep_path&amp;" /e /r /s /spath="&amp;search_path&amp;" /stypes=""app*"&amp;KYA28&amp;"*"&amp;TEXT(KYH28-utc_offset/24,"YYYYMMDD")&amp;"*"" /stext="" "&amp;TEXT(KYH28-utc_offset/24,"HH")&amp;search_regexp&amp;""""</f>
        <v>#REF!</v>
      </c>
      <c r="KZF28" s="234" t="e">
        <f>astrogrep_path&amp;" /e /r /s /spath="&amp;search_path&amp;" /stypes=""app*"&amp;KYB28&amp;"*"&amp;TEXT(KYI28-utc_offset/24,"YYYYMMDD")&amp;"*"" /stext="" "&amp;TEXT(KYI28-utc_offset/24,"HH")&amp;search_regexp&amp;""""</f>
        <v>#REF!</v>
      </c>
      <c r="KZG28" s="234" t="e">
        <f>astrogrep_path&amp;" /e /r /s /spath="&amp;search_path&amp;" /stypes=""app*"&amp;KYC28&amp;"*"&amp;TEXT(KYJ28-utc_offset/24,"YYYYMMDD")&amp;"*"" /stext="" "&amp;TEXT(KYJ28-utc_offset/24,"HH")&amp;search_regexp&amp;""""</f>
        <v>#REF!</v>
      </c>
      <c r="KZH28" s="234" t="e">
        <f>astrogrep_path&amp;" /e /r /s /spath="&amp;search_path&amp;" /stypes=""app*"&amp;KYD28&amp;"*"&amp;TEXT(KYK28-utc_offset/24,"YYYYMMDD")&amp;"*"" /stext="" "&amp;TEXT(KYK28-utc_offset/24,"HH")&amp;search_regexp&amp;""""</f>
        <v>#REF!</v>
      </c>
      <c r="KZI28" s="234" t="e">
        <f>astrogrep_path&amp;" /e /r /s /spath="&amp;search_path&amp;" /stypes=""app*"&amp;KYE28&amp;"*"&amp;TEXT(KYL28-utc_offset/24,"YYYYMMDD")&amp;"*"" /stext="" "&amp;TEXT(KYL28-utc_offset/24,"HH")&amp;search_regexp&amp;""""</f>
        <v>#REF!</v>
      </c>
      <c r="KZJ28" s="234" t="e">
        <f>astrogrep_path&amp;" /e /r /s /spath="&amp;search_path&amp;" /stypes=""app*"&amp;KYF28&amp;"*"&amp;TEXT(KYM28-utc_offset/24,"YYYYMMDD")&amp;"*"" /stext="" "&amp;TEXT(KYM28-utc_offset/24,"HH")&amp;search_regexp&amp;""""</f>
        <v>#REF!</v>
      </c>
      <c r="KZK28" s="234" t="e">
        <f>astrogrep_path&amp;" /e /r /s /spath="&amp;search_path&amp;" /stypes=""app*"&amp;KYG28&amp;"*"&amp;TEXT(KYN28-utc_offset/24,"YYYYMMDD")&amp;"*"" /stext="" "&amp;TEXT(KYN28-utc_offset/24,"HH")&amp;search_regexp&amp;""""</f>
        <v>#REF!</v>
      </c>
      <c r="KZL28" s="234" t="e">
        <f>astrogrep_path&amp;" /e /r /s /spath="&amp;search_path&amp;" /stypes=""app*"&amp;KYH28&amp;"*"&amp;TEXT(KYO28-utc_offset/24,"YYYYMMDD")&amp;"*"" /stext="" "&amp;TEXT(KYO28-utc_offset/24,"HH")&amp;search_regexp&amp;""""</f>
        <v>#REF!</v>
      </c>
      <c r="KZM28" s="234" t="e">
        <f>astrogrep_path&amp;" /e /r /s /spath="&amp;search_path&amp;" /stypes=""app*"&amp;KYI28&amp;"*"&amp;TEXT(KYP28-utc_offset/24,"YYYYMMDD")&amp;"*"" /stext="" "&amp;TEXT(KYP28-utc_offset/24,"HH")&amp;search_regexp&amp;""""</f>
        <v>#REF!</v>
      </c>
      <c r="KZN28" s="234" t="e">
        <f>astrogrep_path&amp;" /e /r /s /spath="&amp;search_path&amp;" /stypes=""app*"&amp;KYJ28&amp;"*"&amp;TEXT(KYQ28-utc_offset/24,"YYYYMMDD")&amp;"*"" /stext="" "&amp;TEXT(KYQ28-utc_offset/24,"HH")&amp;search_regexp&amp;""""</f>
        <v>#REF!</v>
      </c>
      <c r="KZO28" s="234" t="e">
        <f>astrogrep_path&amp;" /e /r /s /spath="&amp;search_path&amp;" /stypes=""app*"&amp;KYK28&amp;"*"&amp;TEXT(KYR28-utc_offset/24,"YYYYMMDD")&amp;"*"" /stext="" "&amp;TEXT(KYR28-utc_offset/24,"HH")&amp;search_regexp&amp;""""</f>
        <v>#REF!</v>
      </c>
      <c r="KZP28" s="234" t="e">
        <f>astrogrep_path&amp;" /e /r /s /spath="&amp;search_path&amp;" /stypes=""app*"&amp;KYL28&amp;"*"&amp;TEXT(KYS28-utc_offset/24,"YYYYMMDD")&amp;"*"" /stext="" "&amp;TEXT(KYS28-utc_offset/24,"HH")&amp;search_regexp&amp;""""</f>
        <v>#REF!</v>
      </c>
      <c r="KZQ28" s="234" t="e">
        <f>astrogrep_path&amp;" /e /r /s /spath="&amp;search_path&amp;" /stypes=""app*"&amp;KYM28&amp;"*"&amp;TEXT(KYT28-utc_offset/24,"YYYYMMDD")&amp;"*"" /stext="" "&amp;TEXT(KYT28-utc_offset/24,"HH")&amp;search_regexp&amp;""""</f>
        <v>#REF!</v>
      </c>
      <c r="KZR28" s="234" t="e">
        <f>astrogrep_path&amp;" /e /r /s /spath="&amp;search_path&amp;" /stypes=""app*"&amp;KYN28&amp;"*"&amp;TEXT(KYU28-utc_offset/24,"YYYYMMDD")&amp;"*"" /stext="" "&amp;TEXT(KYU28-utc_offset/24,"HH")&amp;search_regexp&amp;""""</f>
        <v>#REF!</v>
      </c>
      <c r="KZS28" s="234" t="e">
        <f>astrogrep_path&amp;" /e /r /s /spath="&amp;search_path&amp;" /stypes=""app*"&amp;KYO28&amp;"*"&amp;TEXT(KYV28-utc_offset/24,"YYYYMMDD")&amp;"*"" /stext="" "&amp;TEXT(KYV28-utc_offset/24,"HH")&amp;search_regexp&amp;""""</f>
        <v>#VALUE!</v>
      </c>
      <c r="KZT28" s="234" t="e">
        <f>astrogrep_path&amp;" /e /r /s /spath="&amp;search_path&amp;" /stypes=""app*"&amp;KYP28&amp;"*"&amp;TEXT(KYW28-utc_offset/24,"YYYYMMDD")&amp;"*"" /stext="" "&amp;TEXT(KYW28-utc_offset/24,"HH")&amp;search_regexp&amp;""""</f>
        <v>#VALUE!</v>
      </c>
      <c r="KZU28" s="234" t="e">
        <f>astrogrep_path&amp;" /e /r /s /spath="&amp;search_path&amp;" /stypes=""app*"&amp;KYQ28&amp;"*"&amp;TEXT(KYX28-utc_offset/24,"YYYYMMDD")&amp;"*"" /stext="" "&amp;TEXT(KYX28-utc_offset/24,"HH")&amp;search_regexp&amp;""""</f>
        <v>#REF!</v>
      </c>
      <c r="KZV28" s="234" t="e">
        <f>astrogrep_path&amp;" /e /r /s /spath="&amp;search_path&amp;" /stypes=""app*"&amp;KYR28&amp;"*"&amp;TEXT(KYY28-utc_offset/24,"YYYYMMDD")&amp;"*"" /stext="" "&amp;TEXT(KYY28-utc_offset/24,"HH")&amp;search_regexp&amp;""""</f>
        <v>#REF!</v>
      </c>
      <c r="KZW28" s="234" t="e">
        <f>astrogrep_path&amp;" /e /r /s /spath="&amp;search_path&amp;" /stypes=""app*"&amp;KYS28&amp;"*"&amp;TEXT(KYZ28-utc_offset/24,"YYYYMMDD")&amp;"*"" /stext="" "&amp;TEXT(KYZ28-utc_offset/24,"HH")&amp;search_regexp&amp;""""</f>
        <v>#VALUE!</v>
      </c>
      <c r="KZX28" s="234" t="e">
        <f>astrogrep_path&amp;" /e /r /s /spath="&amp;search_path&amp;" /stypes=""app*"&amp;KYT28&amp;"*"&amp;TEXT(KZA28-utc_offset/24,"YYYYMMDD")&amp;"*"" /stext="" "&amp;TEXT(KZA28-utc_offset/24,"HH")&amp;search_regexp&amp;""""</f>
        <v>#VALUE!</v>
      </c>
      <c r="KZY28" s="234" t="e">
        <f>astrogrep_path&amp;" /e /r /s /spath="&amp;search_path&amp;" /stypes=""app*"&amp;KYU28&amp;"*"&amp;TEXT(KZB28-utc_offset/24,"YYYYMMDD")&amp;"*"" /stext="" "&amp;TEXT(KZB28-utc_offset/24,"HH")&amp;search_regexp&amp;""""</f>
        <v>#VALUE!</v>
      </c>
      <c r="KZZ28" s="234" t="e">
        <f>astrogrep_path&amp;" /e /r /s /spath="&amp;search_path&amp;" /stypes=""app*"&amp;KYV28&amp;"*"&amp;TEXT(KZC28-utc_offset/24,"YYYYMMDD")&amp;"*"" /stext="" "&amp;TEXT(KZC28-utc_offset/24,"HH")&amp;search_regexp&amp;""""</f>
        <v>#VALUE!</v>
      </c>
      <c r="LAA28" s="234" t="e">
        <f>astrogrep_path&amp;" /e /r /s /spath="&amp;search_path&amp;" /stypes=""app*"&amp;KYW28&amp;"*"&amp;TEXT(KZD28-utc_offset/24,"YYYYMMDD")&amp;"*"" /stext="" "&amp;TEXT(KZD28-utc_offset/24,"HH")&amp;search_regexp&amp;""""</f>
        <v>#VALUE!</v>
      </c>
      <c r="LAB28" s="234" t="e">
        <f>astrogrep_path&amp;" /e /r /s /spath="&amp;search_path&amp;" /stypes=""app*"&amp;KYX28&amp;"*"&amp;TEXT(KZE28-utc_offset/24,"YYYYMMDD")&amp;"*"" /stext="" "&amp;TEXT(KZE28-utc_offset/24,"HH")&amp;search_regexp&amp;""""</f>
        <v>#REF!</v>
      </c>
      <c r="LAC28" s="234" t="e">
        <f>astrogrep_path&amp;" /e /r /s /spath="&amp;search_path&amp;" /stypes=""app*"&amp;KYY28&amp;"*"&amp;TEXT(KZF28-utc_offset/24,"YYYYMMDD")&amp;"*"" /stext="" "&amp;TEXT(KZF28-utc_offset/24,"HH")&amp;search_regexp&amp;""""</f>
        <v>#REF!</v>
      </c>
      <c r="LAD28" s="234" t="e">
        <f>astrogrep_path&amp;" /e /r /s /spath="&amp;search_path&amp;" /stypes=""app*"&amp;KYZ28&amp;"*"&amp;TEXT(KZG28-utc_offset/24,"YYYYMMDD")&amp;"*"" /stext="" "&amp;TEXT(KZG28-utc_offset/24,"HH")&amp;search_regexp&amp;""""</f>
        <v>#REF!</v>
      </c>
      <c r="LAE28" s="234" t="e">
        <f>astrogrep_path&amp;" /e /r /s /spath="&amp;search_path&amp;" /stypes=""app*"&amp;KZA28&amp;"*"&amp;TEXT(KZH28-utc_offset/24,"YYYYMMDD")&amp;"*"" /stext="" "&amp;TEXT(KZH28-utc_offset/24,"HH")&amp;search_regexp&amp;""""</f>
        <v>#REF!</v>
      </c>
      <c r="LAF28" s="234" t="e">
        <f>astrogrep_path&amp;" /e /r /s /spath="&amp;search_path&amp;" /stypes=""app*"&amp;KZB28&amp;"*"&amp;TEXT(KZI28-utc_offset/24,"YYYYMMDD")&amp;"*"" /stext="" "&amp;TEXT(KZI28-utc_offset/24,"HH")&amp;search_regexp&amp;""""</f>
        <v>#REF!</v>
      </c>
      <c r="LAG28" s="234" t="e">
        <f>astrogrep_path&amp;" /e /r /s /spath="&amp;search_path&amp;" /stypes=""app*"&amp;KZC28&amp;"*"&amp;TEXT(KZJ28-utc_offset/24,"YYYYMMDD")&amp;"*"" /stext="" "&amp;TEXT(KZJ28-utc_offset/24,"HH")&amp;search_regexp&amp;""""</f>
        <v>#REF!</v>
      </c>
      <c r="LAH28" s="234" t="e">
        <f>astrogrep_path&amp;" /e /r /s /spath="&amp;search_path&amp;" /stypes=""app*"&amp;KZD28&amp;"*"&amp;TEXT(KZK28-utc_offset/24,"YYYYMMDD")&amp;"*"" /stext="" "&amp;TEXT(KZK28-utc_offset/24,"HH")&amp;search_regexp&amp;""""</f>
        <v>#REF!</v>
      </c>
      <c r="LAI28" s="234" t="e">
        <f>astrogrep_path&amp;" /e /r /s /spath="&amp;search_path&amp;" /stypes=""app*"&amp;KZE28&amp;"*"&amp;TEXT(KZL28-utc_offset/24,"YYYYMMDD")&amp;"*"" /stext="" "&amp;TEXT(KZL28-utc_offset/24,"HH")&amp;search_regexp&amp;""""</f>
        <v>#REF!</v>
      </c>
      <c r="LAJ28" s="234" t="e">
        <f>astrogrep_path&amp;" /e /r /s /spath="&amp;search_path&amp;" /stypes=""app*"&amp;KZF28&amp;"*"&amp;TEXT(KZM28-utc_offset/24,"YYYYMMDD")&amp;"*"" /stext="" "&amp;TEXT(KZM28-utc_offset/24,"HH")&amp;search_regexp&amp;""""</f>
        <v>#REF!</v>
      </c>
      <c r="LAK28" s="234" t="e">
        <f>astrogrep_path&amp;" /e /r /s /spath="&amp;search_path&amp;" /stypes=""app*"&amp;KZG28&amp;"*"&amp;TEXT(KZN28-utc_offset/24,"YYYYMMDD")&amp;"*"" /stext="" "&amp;TEXT(KZN28-utc_offset/24,"HH")&amp;search_regexp&amp;""""</f>
        <v>#REF!</v>
      </c>
      <c r="LAL28" s="234" t="e">
        <f>astrogrep_path&amp;" /e /r /s /spath="&amp;search_path&amp;" /stypes=""app*"&amp;KZH28&amp;"*"&amp;TEXT(KZO28-utc_offset/24,"YYYYMMDD")&amp;"*"" /stext="" "&amp;TEXT(KZO28-utc_offset/24,"HH")&amp;search_regexp&amp;""""</f>
        <v>#REF!</v>
      </c>
      <c r="LAM28" s="234" t="e">
        <f>astrogrep_path&amp;" /e /r /s /spath="&amp;search_path&amp;" /stypes=""app*"&amp;KZI28&amp;"*"&amp;TEXT(KZP28-utc_offset/24,"YYYYMMDD")&amp;"*"" /stext="" "&amp;TEXT(KZP28-utc_offset/24,"HH")&amp;search_regexp&amp;""""</f>
        <v>#REF!</v>
      </c>
      <c r="LAN28" s="234" t="e">
        <f>astrogrep_path&amp;" /e /r /s /spath="&amp;search_path&amp;" /stypes=""app*"&amp;KZJ28&amp;"*"&amp;TEXT(KZQ28-utc_offset/24,"YYYYMMDD")&amp;"*"" /stext="" "&amp;TEXT(KZQ28-utc_offset/24,"HH")&amp;search_regexp&amp;""""</f>
        <v>#REF!</v>
      </c>
      <c r="LAO28" s="234" t="e">
        <f>astrogrep_path&amp;" /e /r /s /spath="&amp;search_path&amp;" /stypes=""app*"&amp;KZK28&amp;"*"&amp;TEXT(KZR28-utc_offset/24,"YYYYMMDD")&amp;"*"" /stext="" "&amp;TEXT(KZR28-utc_offset/24,"HH")&amp;search_regexp&amp;""""</f>
        <v>#REF!</v>
      </c>
      <c r="LAP28" s="234" t="e">
        <f>astrogrep_path&amp;" /e /r /s /spath="&amp;search_path&amp;" /stypes=""app*"&amp;KZL28&amp;"*"&amp;TEXT(KZS28-utc_offset/24,"YYYYMMDD")&amp;"*"" /stext="" "&amp;TEXT(KZS28-utc_offset/24,"HH")&amp;search_regexp&amp;""""</f>
        <v>#REF!</v>
      </c>
      <c r="LAQ28" s="234" t="e">
        <f>astrogrep_path&amp;" /e /r /s /spath="&amp;search_path&amp;" /stypes=""app*"&amp;KZM28&amp;"*"&amp;TEXT(KZT28-utc_offset/24,"YYYYMMDD")&amp;"*"" /stext="" "&amp;TEXT(KZT28-utc_offset/24,"HH")&amp;search_regexp&amp;""""</f>
        <v>#REF!</v>
      </c>
      <c r="LAR28" s="234" t="e">
        <f>astrogrep_path&amp;" /e /r /s /spath="&amp;search_path&amp;" /stypes=""app*"&amp;KZN28&amp;"*"&amp;TEXT(KZU28-utc_offset/24,"YYYYMMDD")&amp;"*"" /stext="" "&amp;TEXT(KZU28-utc_offset/24,"HH")&amp;search_regexp&amp;""""</f>
        <v>#REF!</v>
      </c>
      <c r="LAS28" s="234" t="e">
        <f>astrogrep_path&amp;" /e /r /s /spath="&amp;search_path&amp;" /stypes=""app*"&amp;KZO28&amp;"*"&amp;TEXT(KZV28-utc_offset/24,"YYYYMMDD")&amp;"*"" /stext="" "&amp;TEXT(KZV28-utc_offset/24,"HH")&amp;search_regexp&amp;""""</f>
        <v>#REF!</v>
      </c>
      <c r="LAT28" s="234" t="e">
        <f>astrogrep_path&amp;" /e /r /s /spath="&amp;search_path&amp;" /stypes=""app*"&amp;KZP28&amp;"*"&amp;TEXT(KZW28-utc_offset/24,"YYYYMMDD")&amp;"*"" /stext="" "&amp;TEXT(KZW28-utc_offset/24,"HH")&amp;search_regexp&amp;""""</f>
        <v>#REF!</v>
      </c>
      <c r="LAU28" s="234" t="e">
        <f>astrogrep_path&amp;" /e /r /s /spath="&amp;search_path&amp;" /stypes=""app*"&amp;KZQ28&amp;"*"&amp;TEXT(KZX28-utc_offset/24,"YYYYMMDD")&amp;"*"" /stext="" "&amp;TEXT(KZX28-utc_offset/24,"HH")&amp;search_regexp&amp;""""</f>
        <v>#REF!</v>
      </c>
      <c r="LAV28" s="234" t="e">
        <f>astrogrep_path&amp;" /e /r /s /spath="&amp;search_path&amp;" /stypes=""app*"&amp;KZR28&amp;"*"&amp;TEXT(KZY28-utc_offset/24,"YYYYMMDD")&amp;"*"" /stext="" "&amp;TEXT(KZY28-utc_offset/24,"HH")&amp;search_regexp&amp;""""</f>
        <v>#REF!</v>
      </c>
      <c r="LAW28" s="234" t="e">
        <f>astrogrep_path&amp;" /e /r /s /spath="&amp;search_path&amp;" /stypes=""app*"&amp;KZS28&amp;"*"&amp;TEXT(KZZ28-utc_offset/24,"YYYYMMDD")&amp;"*"" /stext="" "&amp;TEXT(KZZ28-utc_offset/24,"HH")&amp;search_regexp&amp;""""</f>
        <v>#VALUE!</v>
      </c>
      <c r="LAX28" s="234" t="e">
        <f>astrogrep_path&amp;" /e /r /s /spath="&amp;search_path&amp;" /stypes=""app*"&amp;KZT28&amp;"*"&amp;TEXT(LAA28-utc_offset/24,"YYYYMMDD")&amp;"*"" /stext="" "&amp;TEXT(LAA28-utc_offset/24,"HH")&amp;search_regexp&amp;""""</f>
        <v>#VALUE!</v>
      </c>
      <c r="LAY28" s="234" t="e">
        <f>astrogrep_path&amp;" /e /r /s /spath="&amp;search_path&amp;" /stypes=""app*"&amp;KZU28&amp;"*"&amp;TEXT(LAB28-utc_offset/24,"YYYYMMDD")&amp;"*"" /stext="" "&amp;TEXT(LAB28-utc_offset/24,"HH")&amp;search_regexp&amp;""""</f>
        <v>#REF!</v>
      </c>
      <c r="LAZ28" s="234" t="e">
        <f>astrogrep_path&amp;" /e /r /s /spath="&amp;search_path&amp;" /stypes=""app*"&amp;KZV28&amp;"*"&amp;TEXT(LAC28-utc_offset/24,"YYYYMMDD")&amp;"*"" /stext="" "&amp;TEXT(LAC28-utc_offset/24,"HH")&amp;search_regexp&amp;""""</f>
        <v>#REF!</v>
      </c>
      <c r="LBA28" s="234" t="e">
        <f>astrogrep_path&amp;" /e /r /s /spath="&amp;search_path&amp;" /stypes=""app*"&amp;KZW28&amp;"*"&amp;TEXT(LAD28-utc_offset/24,"YYYYMMDD")&amp;"*"" /stext="" "&amp;TEXT(LAD28-utc_offset/24,"HH")&amp;search_regexp&amp;""""</f>
        <v>#VALUE!</v>
      </c>
      <c r="LBB28" s="234" t="e">
        <f>astrogrep_path&amp;" /e /r /s /spath="&amp;search_path&amp;" /stypes=""app*"&amp;KZX28&amp;"*"&amp;TEXT(LAE28-utc_offset/24,"YYYYMMDD")&amp;"*"" /stext="" "&amp;TEXT(LAE28-utc_offset/24,"HH")&amp;search_regexp&amp;""""</f>
        <v>#VALUE!</v>
      </c>
      <c r="LBC28" s="234" t="e">
        <f>astrogrep_path&amp;" /e /r /s /spath="&amp;search_path&amp;" /stypes=""app*"&amp;KZY28&amp;"*"&amp;TEXT(LAF28-utc_offset/24,"YYYYMMDD")&amp;"*"" /stext="" "&amp;TEXT(LAF28-utc_offset/24,"HH")&amp;search_regexp&amp;""""</f>
        <v>#VALUE!</v>
      </c>
      <c r="LBD28" s="234" t="e">
        <f>astrogrep_path&amp;" /e /r /s /spath="&amp;search_path&amp;" /stypes=""app*"&amp;KZZ28&amp;"*"&amp;TEXT(LAG28-utc_offset/24,"YYYYMMDD")&amp;"*"" /stext="" "&amp;TEXT(LAG28-utc_offset/24,"HH")&amp;search_regexp&amp;""""</f>
        <v>#VALUE!</v>
      </c>
      <c r="LBE28" s="234" t="e">
        <f>astrogrep_path&amp;" /e /r /s /spath="&amp;search_path&amp;" /stypes=""app*"&amp;LAA28&amp;"*"&amp;TEXT(LAH28-utc_offset/24,"YYYYMMDD")&amp;"*"" /stext="" "&amp;TEXT(LAH28-utc_offset/24,"HH")&amp;search_regexp&amp;""""</f>
        <v>#VALUE!</v>
      </c>
      <c r="LBF28" s="234" t="e">
        <f>astrogrep_path&amp;" /e /r /s /spath="&amp;search_path&amp;" /stypes=""app*"&amp;LAB28&amp;"*"&amp;TEXT(LAI28-utc_offset/24,"YYYYMMDD")&amp;"*"" /stext="" "&amp;TEXT(LAI28-utc_offset/24,"HH")&amp;search_regexp&amp;""""</f>
        <v>#REF!</v>
      </c>
      <c r="LBG28" s="234" t="e">
        <f>astrogrep_path&amp;" /e /r /s /spath="&amp;search_path&amp;" /stypes=""app*"&amp;LAC28&amp;"*"&amp;TEXT(LAJ28-utc_offset/24,"YYYYMMDD")&amp;"*"" /stext="" "&amp;TEXT(LAJ28-utc_offset/24,"HH")&amp;search_regexp&amp;""""</f>
        <v>#REF!</v>
      </c>
      <c r="LBH28" s="234" t="e">
        <f>astrogrep_path&amp;" /e /r /s /spath="&amp;search_path&amp;" /stypes=""app*"&amp;LAD28&amp;"*"&amp;TEXT(LAK28-utc_offset/24,"YYYYMMDD")&amp;"*"" /stext="" "&amp;TEXT(LAK28-utc_offset/24,"HH")&amp;search_regexp&amp;""""</f>
        <v>#REF!</v>
      </c>
      <c r="LBI28" s="234" t="e">
        <f>astrogrep_path&amp;" /e /r /s /spath="&amp;search_path&amp;" /stypes=""app*"&amp;LAE28&amp;"*"&amp;TEXT(LAL28-utc_offset/24,"YYYYMMDD")&amp;"*"" /stext="" "&amp;TEXT(LAL28-utc_offset/24,"HH")&amp;search_regexp&amp;""""</f>
        <v>#REF!</v>
      </c>
      <c r="LBJ28" s="234" t="e">
        <f>astrogrep_path&amp;" /e /r /s /spath="&amp;search_path&amp;" /stypes=""app*"&amp;LAF28&amp;"*"&amp;TEXT(LAM28-utc_offset/24,"YYYYMMDD")&amp;"*"" /stext="" "&amp;TEXT(LAM28-utc_offset/24,"HH")&amp;search_regexp&amp;""""</f>
        <v>#REF!</v>
      </c>
      <c r="LBK28" s="234" t="e">
        <f>astrogrep_path&amp;" /e /r /s /spath="&amp;search_path&amp;" /stypes=""app*"&amp;LAG28&amp;"*"&amp;TEXT(LAN28-utc_offset/24,"YYYYMMDD")&amp;"*"" /stext="" "&amp;TEXT(LAN28-utc_offset/24,"HH")&amp;search_regexp&amp;""""</f>
        <v>#REF!</v>
      </c>
      <c r="LBL28" s="234" t="e">
        <f>astrogrep_path&amp;" /e /r /s /spath="&amp;search_path&amp;" /stypes=""app*"&amp;LAH28&amp;"*"&amp;TEXT(LAO28-utc_offset/24,"YYYYMMDD")&amp;"*"" /stext="" "&amp;TEXT(LAO28-utc_offset/24,"HH")&amp;search_regexp&amp;""""</f>
        <v>#REF!</v>
      </c>
      <c r="LBM28" s="234" t="e">
        <f>astrogrep_path&amp;" /e /r /s /spath="&amp;search_path&amp;" /stypes=""app*"&amp;LAI28&amp;"*"&amp;TEXT(LAP28-utc_offset/24,"YYYYMMDD")&amp;"*"" /stext="" "&amp;TEXT(LAP28-utc_offset/24,"HH")&amp;search_regexp&amp;""""</f>
        <v>#REF!</v>
      </c>
      <c r="LBN28" s="234" t="e">
        <f>astrogrep_path&amp;" /e /r /s /spath="&amp;search_path&amp;" /stypes=""app*"&amp;LAJ28&amp;"*"&amp;TEXT(LAQ28-utc_offset/24,"YYYYMMDD")&amp;"*"" /stext="" "&amp;TEXT(LAQ28-utc_offset/24,"HH")&amp;search_regexp&amp;""""</f>
        <v>#REF!</v>
      </c>
      <c r="LBO28" s="234" t="e">
        <f>astrogrep_path&amp;" /e /r /s /spath="&amp;search_path&amp;" /stypes=""app*"&amp;LAK28&amp;"*"&amp;TEXT(LAR28-utc_offset/24,"YYYYMMDD")&amp;"*"" /stext="" "&amp;TEXT(LAR28-utc_offset/24,"HH")&amp;search_regexp&amp;""""</f>
        <v>#REF!</v>
      </c>
      <c r="LBP28" s="234" t="e">
        <f>astrogrep_path&amp;" /e /r /s /spath="&amp;search_path&amp;" /stypes=""app*"&amp;LAL28&amp;"*"&amp;TEXT(LAS28-utc_offset/24,"YYYYMMDD")&amp;"*"" /stext="" "&amp;TEXT(LAS28-utc_offset/24,"HH")&amp;search_regexp&amp;""""</f>
        <v>#REF!</v>
      </c>
      <c r="LBQ28" s="234" t="e">
        <f>astrogrep_path&amp;" /e /r /s /spath="&amp;search_path&amp;" /stypes=""app*"&amp;LAM28&amp;"*"&amp;TEXT(LAT28-utc_offset/24,"YYYYMMDD")&amp;"*"" /stext="" "&amp;TEXT(LAT28-utc_offset/24,"HH")&amp;search_regexp&amp;""""</f>
        <v>#REF!</v>
      </c>
      <c r="LBR28" s="234" t="e">
        <f>astrogrep_path&amp;" /e /r /s /spath="&amp;search_path&amp;" /stypes=""app*"&amp;LAN28&amp;"*"&amp;TEXT(LAU28-utc_offset/24,"YYYYMMDD")&amp;"*"" /stext="" "&amp;TEXT(LAU28-utc_offset/24,"HH")&amp;search_regexp&amp;""""</f>
        <v>#REF!</v>
      </c>
      <c r="LBS28" s="234" t="e">
        <f>astrogrep_path&amp;" /e /r /s /spath="&amp;search_path&amp;" /stypes=""app*"&amp;LAO28&amp;"*"&amp;TEXT(LAV28-utc_offset/24,"YYYYMMDD")&amp;"*"" /stext="" "&amp;TEXT(LAV28-utc_offset/24,"HH")&amp;search_regexp&amp;""""</f>
        <v>#REF!</v>
      </c>
      <c r="LBT28" s="234" t="e">
        <f>astrogrep_path&amp;" /e /r /s /spath="&amp;search_path&amp;" /stypes=""app*"&amp;LAP28&amp;"*"&amp;TEXT(LAW28-utc_offset/24,"YYYYMMDD")&amp;"*"" /stext="" "&amp;TEXT(LAW28-utc_offset/24,"HH")&amp;search_regexp&amp;""""</f>
        <v>#REF!</v>
      </c>
      <c r="LBU28" s="234" t="e">
        <f>astrogrep_path&amp;" /e /r /s /spath="&amp;search_path&amp;" /stypes=""app*"&amp;LAQ28&amp;"*"&amp;TEXT(LAX28-utc_offset/24,"YYYYMMDD")&amp;"*"" /stext="" "&amp;TEXT(LAX28-utc_offset/24,"HH")&amp;search_regexp&amp;""""</f>
        <v>#REF!</v>
      </c>
      <c r="LBV28" s="234" t="e">
        <f>astrogrep_path&amp;" /e /r /s /spath="&amp;search_path&amp;" /stypes=""app*"&amp;LAR28&amp;"*"&amp;TEXT(LAY28-utc_offset/24,"YYYYMMDD")&amp;"*"" /stext="" "&amp;TEXT(LAY28-utc_offset/24,"HH")&amp;search_regexp&amp;""""</f>
        <v>#REF!</v>
      </c>
      <c r="LBW28" s="234" t="e">
        <f>astrogrep_path&amp;" /e /r /s /spath="&amp;search_path&amp;" /stypes=""app*"&amp;LAS28&amp;"*"&amp;TEXT(LAZ28-utc_offset/24,"YYYYMMDD")&amp;"*"" /stext="" "&amp;TEXT(LAZ28-utc_offset/24,"HH")&amp;search_regexp&amp;""""</f>
        <v>#REF!</v>
      </c>
      <c r="LBX28" s="234" t="e">
        <f>astrogrep_path&amp;" /e /r /s /spath="&amp;search_path&amp;" /stypes=""app*"&amp;LAT28&amp;"*"&amp;TEXT(LBA28-utc_offset/24,"YYYYMMDD")&amp;"*"" /stext="" "&amp;TEXT(LBA28-utc_offset/24,"HH")&amp;search_regexp&amp;""""</f>
        <v>#REF!</v>
      </c>
      <c r="LBY28" s="234" t="e">
        <f>astrogrep_path&amp;" /e /r /s /spath="&amp;search_path&amp;" /stypes=""app*"&amp;LAU28&amp;"*"&amp;TEXT(LBB28-utc_offset/24,"YYYYMMDD")&amp;"*"" /stext="" "&amp;TEXT(LBB28-utc_offset/24,"HH")&amp;search_regexp&amp;""""</f>
        <v>#REF!</v>
      </c>
      <c r="LBZ28" s="234" t="e">
        <f>astrogrep_path&amp;" /e /r /s /spath="&amp;search_path&amp;" /stypes=""app*"&amp;LAV28&amp;"*"&amp;TEXT(LBC28-utc_offset/24,"YYYYMMDD")&amp;"*"" /stext="" "&amp;TEXT(LBC28-utc_offset/24,"HH")&amp;search_regexp&amp;""""</f>
        <v>#REF!</v>
      </c>
      <c r="LCA28" s="234" t="e">
        <f>astrogrep_path&amp;" /e /r /s /spath="&amp;search_path&amp;" /stypes=""app*"&amp;LAW28&amp;"*"&amp;TEXT(LBD28-utc_offset/24,"YYYYMMDD")&amp;"*"" /stext="" "&amp;TEXT(LBD28-utc_offset/24,"HH")&amp;search_regexp&amp;""""</f>
        <v>#VALUE!</v>
      </c>
      <c r="LCB28" s="234" t="e">
        <f>astrogrep_path&amp;" /e /r /s /spath="&amp;search_path&amp;" /stypes=""app*"&amp;LAX28&amp;"*"&amp;TEXT(LBE28-utc_offset/24,"YYYYMMDD")&amp;"*"" /stext="" "&amp;TEXT(LBE28-utc_offset/24,"HH")&amp;search_regexp&amp;""""</f>
        <v>#VALUE!</v>
      </c>
      <c r="LCC28" s="234" t="e">
        <f>astrogrep_path&amp;" /e /r /s /spath="&amp;search_path&amp;" /stypes=""app*"&amp;LAY28&amp;"*"&amp;TEXT(LBF28-utc_offset/24,"YYYYMMDD")&amp;"*"" /stext="" "&amp;TEXT(LBF28-utc_offset/24,"HH")&amp;search_regexp&amp;""""</f>
        <v>#REF!</v>
      </c>
      <c r="LCD28" s="234" t="e">
        <f>astrogrep_path&amp;" /e /r /s /spath="&amp;search_path&amp;" /stypes=""app*"&amp;LAZ28&amp;"*"&amp;TEXT(LBG28-utc_offset/24,"YYYYMMDD")&amp;"*"" /stext="" "&amp;TEXT(LBG28-utc_offset/24,"HH")&amp;search_regexp&amp;""""</f>
        <v>#REF!</v>
      </c>
      <c r="LCE28" s="234" t="e">
        <f>astrogrep_path&amp;" /e /r /s /spath="&amp;search_path&amp;" /stypes=""app*"&amp;LBA28&amp;"*"&amp;TEXT(LBH28-utc_offset/24,"YYYYMMDD")&amp;"*"" /stext="" "&amp;TEXT(LBH28-utc_offset/24,"HH")&amp;search_regexp&amp;""""</f>
        <v>#VALUE!</v>
      </c>
      <c r="LCF28" s="234" t="e">
        <f>astrogrep_path&amp;" /e /r /s /spath="&amp;search_path&amp;" /stypes=""app*"&amp;LBB28&amp;"*"&amp;TEXT(LBI28-utc_offset/24,"YYYYMMDD")&amp;"*"" /stext="" "&amp;TEXT(LBI28-utc_offset/24,"HH")&amp;search_regexp&amp;""""</f>
        <v>#VALUE!</v>
      </c>
      <c r="LCG28" s="234" t="e">
        <f>astrogrep_path&amp;" /e /r /s /spath="&amp;search_path&amp;" /stypes=""app*"&amp;LBC28&amp;"*"&amp;TEXT(LBJ28-utc_offset/24,"YYYYMMDD")&amp;"*"" /stext="" "&amp;TEXT(LBJ28-utc_offset/24,"HH")&amp;search_regexp&amp;""""</f>
        <v>#VALUE!</v>
      </c>
      <c r="LCH28" s="234" t="e">
        <f>astrogrep_path&amp;" /e /r /s /spath="&amp;search_path&amp;" /stypes=""app*"&amp;LBD28&amp;"*"&amp;TEXT(LBK28-utc_offset/24,"YYYYMMDD")&amp;"*"" /stext="" "&amp;TEXT(LBK28-utc_offset/24,"HH")&amp;search_regexp&amp;""""</f>
        <v>#VALUE!</v>
      </c>
      <c r="LCI28" s="234" t="e">
        <f>astrogrep_path&amp;" /e /r /s /spath="&amp;search_path&amp;" /stypes=""app*"&amp;LBE28&amp;"*"&amp;TEXT(LBL28-utc_offset/24,"YYYYMMDD")&amp;"*"" /stext="" "&amp;TEXT(LBL28-utc_offset/24,"HH")&amp;search_regexp&amp;""""</f>
        <v>#VALUE!</v>
      </c>
      <c r="LCJ28" s="234" t="e">
        <f>astrogrep_path&amp;" /e /r /s /spath="&amp;search_path&amp;" /stypes=""app*"&amp;LBF28&amp;"*"&amp;TEXT(LBM28-utc_offset/24,"YYYYMMDD")&amp;"*"" /stext="" "&amp;TEXT(LBM28-utc_offset/24,"HH")&amp;search_regexp&amp;""""</f>
        <v>#REF!</v>
      </c>
      <c r="LCK28" s="234" t="e">
        <f>astrogrep_path&amp;" /e /r /s /spath="&amp;search_path&amp;" /stypes=""app*"&amp;LBG28&amp;"*"&amp;TEXT(LBN28-utc_offset/24,"YYYYMMDD")&amp;"*"" /stext="" "&amp;TEXT(LBN28-utc_offset/24,"HH")&amp;search_regexp&amp;""""</f>
        <v>#REF!</v>
      </c>
      <c r="LCL28" s="234" t="e">
        <f>astrogrep_path&amp;" /e /r /s /spath="&amp;search_path&amp;" /stypes=""app*"&amp;LBH28&amp;"*"&amp;TEXT(LBO28-utc_offset/24,"YYYYMMDD")&amp;"*"" /stext="" "&amp;TEXT(LBO28-utc_offset/24,"HH")&amp;search_regexp&amp;""""</f>
        <v>#REF!</v>
      </c>
      <c r="LCM28" s="234" t="e">
        <f>astrogrep_path&amp;" /e /r /s /spath="&amp;search_path&amp;" /stypes=""app*"&amp;LBI28&amp;"*"&amp;TEXT(LBP28-utc_offset/24,"YYYYMMDD")&amp;"*"" /stext="" "&amp;TEXT(LBP28-utc_offset/24,"HH")&amp;search_regexp&amp;""""</f>
        <v>#REF!</v>
      </c>
      <c r="LCN28" s="234" t="e">
        <f>astrogrep_path&amp;" /e /r /s /spath="&amp;search_path&amp;" /stypes=""app*"&amp;LBJ28&amp;"*"&amp;TEXT(LBQ28-utc_offset/24,"YYYYMMDD")&amp;"*"" /stext="" "&amp;TEXT(LBQ28-utc_offset/24,"HH")&amp;search_regexp&amp;""""</f>
        <v>#REF!</v>
      </c>
      <c r="LCO28" s="234" t="e">
        <f>astrogrep_path&amp;" /e /r /s /spath="&amp;search_path&amp;" /stypes=""app*"&amp;LBK28&amp;"*"&amp;TEXT(LBR28-utc_offset/24,"YYYYMMDD")&amp;"*"" /stext="" "&amp;TEXT(LBR28-utc_offset/24,"HH")&amp;search_regexp&amp;""""</f>
        <v>#REF!</v>
      </c>
      <c r="LCP28" s="234" t="e">
        <f>astrogrep_path&amp;" /e /r /s /spath="&amp;search_path&amp;" /stypes=""app*"&amp;LBL28&amp;"*"&amp;TEXT(LBS28-utc_offset/24,"YYYYMMDD")&amp;"*"" /stext="" "&amp;TEXT(LBS28-utc_offset/24,"HH")&amp;search_regexp&amp;""""</f>
        <v>#REF!</v>
      </c>
      <c r="LCQ28" s="234" t="e">
        <f>astrogrep_path&amp;" /e /r /s /spath="&amp;search_path&amp;" /stypes=""app*"&amp;LBM28&amp;"*"&amp;TEXT(LBT28-utc_offset/24,"YYYYMMDD")&amp;"*"" /stext="" "&amp;TEXT(LBT28-utc_offset/24,"HH")&amp;search_regexp&amp;""""</f>
        <v>#REF!</v>
      </c>
      <c r="LCR28" s="234" t="e">
        <f>astrogrep_path&amp;" /e /r /s /spath="&amp;search_path&amp;" /stypes=""app*"&amp;LBN28&amp;"*"&amp;TEXT(LBU28-utc_offset/24,"YYYYMMDD")&amp;"*"" /stext="" "&amp;TEXT(LBU28-utc_offset/24,"HH")&amp;search_regexp&amp;""""</f>
        <v>#REF!</v>
      </c>
      <c r="LCS28" s="234" t="e">
        <f>astrogrep_path&amp;" /e /r /s /spath="&amp;search_path&amp;" /stypes=""app*"&amp;LBO28&amp;"*"&amp;TEXT(LBV28-utc_offset/24,"YYYYMMDD")&amp;"*"" /stext="" "&amp;TEXT(LBV28-utc_offset/24,"HH")&amp;search_regexp&amp;""""</f>
        <v>#REF!</v>
      </c>
      <c r="LCT28" s="234" t="e">
        <f>astrogrep_path&amp;" /e /r /s /spath="&amp;search_path&amp;" /stypes=""app*"&amp;LBP28&amp;"*"&amp;TEXT(LBW28-utc_offset/24,"YYYYMMDD")&amp;"*"" /stext="" "&amp;TEXT(LBW28-utc_offset/24,"HH")&amp;search_regexp&amp;""""</f>
        <v>#REF!</v>
      </c>
      <c r="LCU28" s="234" t="e">
        <f>astrogrep_path&amp;" /e /r /s /spath="&amp;search_path&amp;" /stypes=""app*"&amp;LBQ28&amp;"*"&amp;TEXT(LBX28-utc_offset/24,"YYYYMMDD")&amp;"*"" /stext="" "&amp;TEXT(LBX28-utc_offset/24,"HH")&amp;search_regexp&amp;""""</f>
        <v>#REF!</v>
      </c>
      <c r="LCV28" s="234" t="e">
        <f>astrogrep_path&amp;" /e /r /s /spath="&amp;search_path&amp;" /stypes=""app*"&amp;LBR28&amp;"*"&amp;TEXT(LBY28-utc_offset/24,"YYYYMMDD")&amp;"*"" /stext="" "&amp;TEXT(LBY28-utc_offset/24,"HH")&amp;search_regexp&amp;""""</f>
        <v>#REF!</v>
      </c>
      <c r="LCW28" s="234" t="e">
        <f>astrogrep_path&amp;" /e /r /s /spath="&amp;search_path&amp;" /stypes=""app*"&amp;LBS28&amp;"*"&amp;TEXT(LBZ28-utc_offset/24,"YYYYMMDD")&amp;"*"" /stext="" "&amp;TEXT(LBZ28-utc_offset/24,"HH")&amp;search_regexp&amp;""""</f>
        <v>#REF!</v>
      </c>
      <c r="LCX28" s="234" t="e">
        <f>astrogrep_path&amp;" /e /r /s /spath="&amp;search_path&amp;" /stypes=""app*"&amp;LBT28&amp;"*"&amp;TEXT(LCA28-utc_offset/24,"YYYYMMDD")&amp;"*"" /stext="" "&amp;TEXT(LCA28-utc_offset/24,"HH")&amp;search_regexp&amp;""""</f>
        <v>#REF!</v>
      </c>
      <c r="LCY28" s="234" t="e">
        <f>astrogrep_path&amp;" /e /r /s /spath="&amp;search_path&amp;" /stypes=""app*"&amp;LBU28&amp;"*"&amp;TEXT(LCB28-utc_offset/24,"YYYYMMDD")&amp;"*"" /stext="" "&amp;TEXT(LCB28-utc_offset/24,"HH")&amp;search_regexp&amp;""""</f>
        <v>#REF!</v>
      </c>
      <c r="LCZ28" s="234" t="e">
        <f>astrogrep_path&amp;" /e /r /s /spath="&amp;search_path&amp;" /stypes=""app*"&amp;LBV28&amp;"*"&amp;TEXT(LCC28-utc_offset/24,"YYYYMMDD")&amp;"*"" /stext="" "&amp;TEXT(LCC28-utc_offset/24,"HH")&amp;search_regexp&amp;""""</f>
        <v>#REF!</v>
      </c>
      <c r="LDA28" s="234" t="e">
        <f>astrogrep_path&amp;" /e /r /s /spath="&amp;search_path&amp;" /stypes=""app*"&amp;LBW28&amp;"*"&amp;TEXT(LCD28-utc_offset/24,"YYYYMMDD")&amp;"*"" /stext="" "&amp;TEXT(LCD28-utc_offset/24,"HH")&amp;search_regexp&amp;""""</f>
        <v>#REF!</v>
      </c>
      <c r="LDB28" s="234" t="e">
        <f>astrogrep_path&amp;" /e /r /s /spath="&amp;search_path&amp;" /stypes=""app*"&amp;LBX28&amp;"*"&amp;TEXT(LCE28-utc_offset/24,"YYYYMMDD")&amp;"*"" /stext="" "&amp;TEXT(LCE28-utc_offset/24,"HH")&amp;search_regexp&amp;""""</f>
        <v>#REF!</v>
      </c>
      <c r="LDC28" s="234" t="e">
        <f>astrogrep_path&amp;" /e /r /s /spath="&amp;search_path&amp;" /stypes=""app*"&amp;LBY28&amp;"*"&amp;TEXT(LCF28-utc_offset/24,"YYYYMMDD")&amp;"*"" /stext="" "&amp;TEXT(LCF28-utc_offset/24,"HH")&amp;search_regexp&amp;""""</f>
        <v>#REF!</v>
      </c>
      <c r="LDD28" s="234" t="e">
        <f>astrogrep_path&amp;" /e /r /s /spath="&amp;search_path&amp;" /stypes=""app*"&amp;LBZ28&amp;"*"&amp;TEXT(LCG28-utc_offset/24,"YYYYMMDD")&amp;"*"" /stext="" "&amp;TEXT(LCG28-utc_offset/24,"HH")&amp;search_regexp&amp;""""</f>
        <v>#REF!</v>
      </c>
      <c r="LDE28" s="234" t="e">
        <f>astrogrep_path&amp;" /e /r /s /spath="&amp;search_path&amp;" /stypes=""app*"&amp;LCA28&amp;"*"&amp;TEXT(LCH28-utc_offset/24,"YYYYMMDD")&amp;"*"" /stext="" "&amp;TEXT(LCH28-utc_offset/24,"HH")&amp;search_regexp&amp;""""</f>
        <v>#VALUE!</v>
      </c>
      <c r="LDF28" s="234" t="e">
        <f>astrogrep_path&amp;" /e /r /s /spath="&amp;search_path&amp;" /stypes=""app*"&amp;LCB28&amp;"*"&amp;TEXT(LCI28-utc_offset/24,"YYYYMMDD")&amp;"*"" /stext="" "&amp;TEXT(LCI28-utc_offset/24,"HH")&amp;search_regexp&amp;""""</f>
        <v>#VALUE!</v>
      </c>
      <c r="LDG28" s="234" t="e">
        <f>astrogrep_path&amp;" /e /r /s /spath="&amp;search_path&amp;" /stypes=""app*"&amp;LCC28&amp;"*"&amp;TEXT(LCJ28-utc_offset/24,"YYYYMMDD")&amp;"*"" /stext="" "&amp;TEXT(LCJ28-utc_offset/24,"HH")&amp;search_regexp&amp;""""</f>
        <v>#REF!</v>
      </c>
      <c r="LDH28" s="234" t="e">
        <f>astrogrep_path&amp;" /e /r /s /spath="&amp;search_path&amp;" /stypes=""app*"&amp;LCD28&amp;"*"&amp;TEXT(LCK28-utc_offset/24,"YYYYMMDD")&amp;"*"" /stext="" "&amp;TEXT(LCK28-utc_offset/24,"HH")&amp;search_regexp&amp;""""</f>
        <v>#REF!</v>
      </c>
      <c r="LDI28" s="234" t="e">
        <f>astrogrep_path&amp;" /e /r /s /spath="&amp;search_path&amp;" /stypes=""app*"&amp;LCE28&amp;"*"&amp;TEXT(LCL28-utc_offset/24,"YYYYMMDD")&amp;"*"" /stext="" "&amp;TEXT(LCL28-utc_offset/24,"HH")&amp;search_regexp&amp;""""</f>
        <v>#VALUE!</v>
      </c>
      <c r="LDJ28" s="234" t="e">
        <f>astrogrep_path&amp;" /e /r /s /spath="&amp;search_path&amp;" /stypes=""app*"&amp;LCF28&amp;"*"&amp;TEXT(LCM28-utc_offset/24,"YYYYMMDD")&amp;"*"" /stext="" "&amp;TEXT(LCM28-utc_offset/24,"HH")&amp;search_regexp&amp;""""</f>
        <v>#VALUE!</v>
      </c>
      <c r="LDK28" s="234" t="e">
        <f>astrogrep_path&amp;" /e /r /s /spath="&amp;search_path&amp;" /stypes=""app*"&amp;LCG28&amp;"*"&amp;TEXT(LCN28-utc_offset/24,"YYYYMMDD")&amp;"*"" /stext="" "&amp;TEXT(LCN28-utc_offset/24,"HH")&amp;search_regexp&amp;""""</f>
        <v>#VALUE!</v>
      </c>
      <c r="LDL28" s="234" t="e">
        <f>astrogrep_path&amp;" /e /r /s /spath="&amp;search_path&amp;" /stypes=""app*"&amp;LCH28&amp;"*"&amp;TEXT(LCO28-utc_offset/24,"YYYYMMDD")&amp;"*"" /stext="" "&amp;TEXT(LCO28-utc_offset/24,"HH")&amp;search_regexp&amp;""""</f>
        <v>#VALUE!</v>
      </c>
      <c r="LDM28" s="234" t="e">
        <f>astrogrep_path&amp;" /e /r /s /spath="&amp;search_path&amp;" /stypes=""app*"&amp;LCI28&amp;"*"&amp;TEXT(LCP28-utc_offset/24,"YYYYMMDD")&amp;"*"" /stext="" "&amp;TEXT(LCP28-utc_offset/24,"HH")&amp;search_regexp&amp;""""</f>
        <v>#VALUE!</v>
      </c>
      <c r="LDN28" s="234" t="e">
        <f>astrogrep_path&amp;" /e /r /s /spath="&amp;search_path&amp;" /stypes=""app*"&amp;LCJ28&amp;"*"&amp;TEXT(LCQ28-utc_offset/24,"YYYYMMDD")&amp;"*"" /stext="" "&amp;TEXT(LCQ28-utc_offset/24,"HH")&amp;search_regexp&amp;""""</f>
        <v>#REF!</v>
      </c>
      <c r="LDO28" s="234" t="e">
        <f>astrogrep_path&amp;" /e /r /s /spath="&amp;search_path&amp;" /stypes=""app*"&amp;LCK28&amp;"*"&amp;TEXT(LCR28-utc_offset/24,"YYYYMMDD")&amp;"*"" /stext="" "&amp;TEXT(LCR28-utc_offset/24,"HH")&amp;search_regexp&amp;""""</f>
        <v>#REF!</v>
      </c>
      <c r="LDP28" s="234" t="e">
        <f>astrogrep_path&amp;" /e /r /s /spath="&amp;search_path&amp;" /stypes=""app*"&amp;LCL28&amp;"*"&amp;TEXT(LCS28-utc_offset/24,"YYYYMMDD")&amp;"*"" /stext="" "&amp;TEXT(LCS28-utc_offset/24,"HH")&amp;search_regexp&amp;""""</f>
        <v>#REF!</v>
      </c>
      <c r="LDQ28" s="234" t="e">
        <f>astrogrep_path&amp;" /e /r /s /spath="&amp;search_path&amp;" /stypes=""app*"&amp;LCM28&amp;"*"&amp;TEXT(LCT28-utc_offset/24,"YYYYMMDD")&amp;"*"" /stext="" "&amp;TEXT(LCT28-utc_offset/24,"HH")&amp;search_regexp&amp;""""</f>
        <v>#REF!</v>
      </c>
      <c r="LDR28" s="234" t="e">
        <f>astrogrep_path&amp;" /e /r /s /spath="&amp;search_path&amp;" /stypes=""app*"&amp;LCN28&amp;"*"&amp;TEXT(LCU28-utc_offset/24,"YYYYMMDD")&amp;"*"" /stext="" "&amp;TEXT(LCU28-utc_offset/24,"HH")&amp;search_regexp&amp;""""</f>
        <v>#REF!</v>
      </c>
      <c r="LDS28" s="234" t="e">
        <f>astrogrep_path&amp;" /e /r /s /spath="&amp;search_path&amp;" /stypes=""app*"&amp;LCO28&amp;"*"&amp;TEXT(LCV28-utc_offset/24,"YYYYMMDD")&amp;"*"" /stext="" "&amp;TEXT(LCV28-utc_offset/24,"HH")&amp;search_regexp&amp;""""</f>
        <v>#REF!</v>
      </c>
      <c r="LDT28" s="234" t="e">
        <f>astrogrep_path&amp;" /e /r /s /spath="&amp;search_path&amp;" /stypes=""app*"&amp;LCP28&amp;"*"&amp;TEXT(LCW28-utc_offset/24,"YYYYMMDD")&amp;"*"" /stext="" "&amp;TEXT(LCW28-utc_offset/24,"HH")&amp;search_regexp&amp;""""</f>
        <v>#REF!</v>
      </c>
      <c r="LDU28" s="234" t="e">
        <f>astrogrep_path&amp;" /e /r /s /spath="&amp;search_path&amp;" /stypes=""app*"&amp;LCQ28&amp;"*"&amp;TEXT(LCX28-utc_offset/24,"YYYYMMDD")&amp;"*"" /stext="" "&amp;TEXT(LCX28-utc_offset/24,"HH")&amp;search_regexp&amp;""""</f>
        <v>#REF!</v>
      </c>
      <c r="LDV28" s="234" t="e">
        <f>astrogrep_path&amp;" /e /r /s /spath="&amp;search_path&amp;" /stypes=""app*"&amp;LCR28&amp;"*"&amp;TEXT(LCY28-utc_offset/24,"YYYYMMDD")&amp;"*"" /stext="" "&amp;TEXT(LCY28-utc_offset/24,"HH")&amp;search_regexp&amp;""""</f>
        <v>#REF!</v>
      </c>
      <c r="LDW28" s="234" t="e">
        <f>astrogrep_path&amp;" /e /r /s /spath="&amp;search_path&amp;" /stypes=""app*"&amp;LCS28&amp;"*"&amp;TEXT(LCZ28-utc_offset/24,"YYYYMMDD")&amp;"*"" /stext="" "&amp;TEXT(LCZ28-utc_offset/24,"HH")&amp;search_regexp&amp;""""</f>
        <v>#REF!</v>
      </c>
      <c r="LDX28" s="234" t="e">
        <f>astrogrep_path&amp;" /e /r /s /spath="&amp;search_path&amp;" /stypes=""app*"&amp;LCT28&amp;"*"&amp;TEXT(LDA28-utc_offset/24,"YYYYMMDD")&amp;"*"" /stext="" "&amp;TEXT(LDA28-utc_offset/24,"HH")&amp;search_regexp&amp;""""</f>
        <v>#REF!</v>
      </c>
      <c r="LDY28" s="234" t="e">
        <f>astrogrep_path&amp;" /e /r /s /spath="&amp;search_path&amp;" /stypes=""app*"&amp;LCU28&amp;"*"&amp;TEXT(LDB28-utc_offset/24,"YYYYMMDD")&amp;"*"" /stext="" "&amp;TEXT(LDB28-utc_offset/24,"HH")&amp;search_regexp&amp;""""</f>
        <v>#REF!</v>
      </c>
      <c r="LDZ28" s="234" t="e">
        <f>astrogrep_path&amp;" /e /r /s /spath="&amp;search_path&amp;" /stypes=""app*"&amp;LCV28&amp;"*"&amp;TEXT(LDC28-utc_offset/24,"YYYYMMDD")&amp;"*"" /stext="" "&amp;TEXT(LDC28-utc_offset/24,"HH")&amp;search_regexp&amp;""""</f>
        <v>#REF!</v>
      </c>
      <c r="LEA28" s="234" t="e">
        <f>astrogrep_path&amp;" /e /r /s /spath="&amp;search_path&amp;" /stypes=""app*"&amp;LCW28&amp;"*"&amp;TEXT(LDD28-utc_offset/24,"YYYYMMDD")&amp;"*"" /stext="" "&amp;TEXT(LDD28-utc_offset/24,"HH")&amp;search_regexp&amp;""""</f>
        <v>#REF!</v>
      </c>
      <c r="LEB28" s="234" t="e">
        <f>astrogrep_path&amp;" /e /r /s /spath="&amp;search_path&amp;" /stypes=""app*"&amp;LCX28&amp;"*"&amp;TEXT(LDE28-utc_offset/24,"YYYYMMDD")&amp;"*"" /stext="" "&amp;TEXT(LDE28-utc_offset/24,"HH")&amp;search_regexp&amp;""""</f>
        <v>#REF!</v>
      </c>
      <c r="LEC28" s="234" t="e">
        <f>astrogrep_path&amp;" /e /r /s /spath="&amp;search_path&amp;" /stypes=""app*"&amp;LCY28&amp;"*"&amp;TEXT(LDF28-utc_offset/24,"YYYYMMDD")&amp;"*"" /stext="" "&amp;TEXT(LDF28-utc_offset/24,"HH")&amp;search_regexp&amp;""""</f>
        <v>#REF!</v>
      </c>
      <c r="LED28" s="234" t="e">
        <f>astrogrep_path&amp;" /e /r /s /spath="&amp;search_path&amp;" /stypes=""app*"&amp;LCZ28&amp;"*"&amp;TEXT(LDG28-utc_offset/24,"YYYYMMDD")&amp;"*"" /stext="" "&amp;TEXT(LDG28-utc_offset/24,"HH")&amp;search_regexp&amp;""""</f>
        <v>#REF!</v>
      </c>
      <c r="LEE28" s="234" t="e">
        <f>astrogrep_path&amp;" /e /r /s /spath="&amp;search_path&amp;" /stypes=""app*"&amp;LDA28&amp;"*"&amp;TEXT(LDH28-utc_offset/24,"YYYYMMDD")&amp;"*"" /stext="" "&amp;TEXT(LDH28-utc_offset/24,"HH")&amp;search_regexp&amp;""""</f>
        <v>#REF!</v>
      </c>
      <c r="LEF28" s="234" t="e">
        <f>astrogrep_path&amp;" /e /r /s /spath="&amp;search_path&amp;" /stypes=""app*"&amp;LDB28&amp;"*"&amp;TEXT(LDI28-utc_offset/24,"YYYYMMDD")&amp;"*"" /stext="" "&amp;TEXT(LDI28-utc_offset/24,"HH")&amp;search_regexp&amp;""""</f>
        <v>#REF!</v>
      </c>
      <c r="LEG28" s="234" t="e">
        <f>astrogrep_path&amp;" /e /r /s /spath="&amp;search_path&amp;" /stypes=""app*"&amp;LDC28&amp;"*"&amp;TEXT(LDJ28-utc_offset/24,"YYYYMMDD")&amp;"*"" /stext="" "&amp;TEXT(LDJ28-utc_offset/24,"HH")&amp;search_regexp&amp;""""</f>
        <v>#REF!</v>
      </c>
      <c r="LEH28" s="234" t="e">
        <f>astrogrep_path&amp;" /e /r /s /spath="&amp;search_path&amp;" /stypes=""app*"&amp;LDD28&amp;"*"&amp;TEXT(LDK28-utc_offset/24,"YYYYMMDD")&amp;"*"" /stext="" "&amp;TEXT(LDK28-utc_offset/24,"HH")&amp;search_regexp&amp;""""</f>
        <v>#REF!</v>
      </c>
      <c r="LEI28" s="234" t="e">
        <f>astrogrep_path&amp;" /e /r /s /spath="&amp;search_path&amp;" /stypes=""app*"&amp;LDE28&amp;"*"&amp;TEXT(LDL28-utc_offset/24,"YYYYMMDD")&amp;"*"" /stext="" "&amp;TEXT(LDL28-utc_offset/24,"HH")&amp;search_regexp&amp;""""</f>
        <v>#VALUE!</v>
      </c>
      <c r="LEJ28" s="234" t="e">
        <f>astrogrep_path&amp;" /e /r /s /spath="&amp;search_path&amp;" /stypes=""app*"&amp;LDF28&amp;"*"&amp;TEXT(LDM28-utc_offset/24,"YYYYMMDD")&amp;"*"" /stext="" "&amp;TEXT(LDM28-utc_offset/24,"HH")&amp;search_regexp&amp;""""</f>
        <v>#VALUE!</v>
      </c>
      <c r="LEK28" s="234" t="e">
        <f>astrogrep_path&amp;" /e /r /s /spath="&amp;search_path&amp;" /stypes=""app*"&amp;LDG28&amp;"*"&amp;TEXT(LDN28-utc_offset/24,"YYYYMMDD")&amp;"*"" /stext="" "&amp;TEXT(LDN28-utc_offset/24,"HH")&amp;search_regexp&amp;""""</f>
        <v>#REF!</v>
      </c>
      <c r="LEL28" s="234" t="e">
        <f>astrogrep_path&amp;" /e /r /s /spath="&amp;search_path&amp;" /stypes=""app*"&amp;LDH28&amp;"*"&amp;TEXT(LDO28-utc_offset/24,"YYYYMMDD")&amp;"*"" /stext="" "&amp;TEXT(LDO28-utc_offset/24,"HH")&amp;search_regexp&amp;""""</f>
        <v>#REF!</v>
      </c>
      <c r="LEM28" s="234" t="e">
        <f>astrogrep_path&amp;" /e /r /s /spath="&amp;search_path&amp;" /stypes=""app*"&amp;LDI28&amp;"*"&amp;TEXT(LDP28-utc_offset/24,"YYYYMMDD")&amp;"*"" /stext="" "&amp;TEXT(LDP28-utc_offset/24,"HH")&amp;search_regexp&amp;""""</f>
        <v>#VALUE!</v>
      </c>
      <c r="LEN28" s="234" t="e">
        <f>astrogrep_path&amp;" /e /r /s /spath="&amp;search_path&amp;" /stypes=""app*"&amp;LDJ28&amp;"*"&amp;TEXT(LDQ28-utc_offset/24,"YYYYMMDD")&amp;"*"" /stext="" "&amp;TEXT(LDQ28-utc_offset/24,"HH")&amp;search_regexp&amp;""""</f>
        <v>#VALUE!</v>
      </c>
      <c r="LEO28" s="234" t="e">
        <f>astrogrep_path&amp;" /e /r /s /spath="&amp;search_path&amp;" /stypes=""app*"&amp;LDK28&amp;"*"&amp;TEXT(LDR28-utc_offset/24,"YYYYMMDD")&amp;"*"" /stext="" "&amp;TEXT(LDR28-utc_offset/24,"HH")&amp;search_regexp&amp;""""</f>
        <v>#VALUE!</v>
      </c>
      <c r="LEP28" s="234" t="e">
        <f>astrogrep_path&amp;" /e /r /s /spath="&amp;search_path&amp;" /stypes=""app*"&amp;LDL28&amp;"*"&amp;TEXT(LDS28-utc_offset/24,"YYYYMMDD")&amp;"*"" /stext="" "&amp;TEXT(LDS28-utc_offset/24,"HH")&amp;search_regexp&amp;""""</f>
        <v>#VALUE!</v>
      </c>
      <c r="LEQ28" s="234" t="e">
        <f>astrogrep_path&amp;" /e /r /s /spath="&amp;search_path&amp;" /stypes=""app*"&amp;LDM28&amp;"*"&amp;TEXT(LDT28-utc_offset/24,"YYYYMMDD")&amp;"*"" /stext="" "&amp;TEXT(LDT28-utc_offset/24,"HH")&amp;search_regexp&amp;""""</f>
        <v>#VALUE!</v>
      </c>
      <c r="LER28" s="234" t="e">
        <f>astrogrep_path&amp;" /e /r /s /spath="&amp;search_path&amp;" /stypes=""app*"&amp;LDN28&amp;"*"&amp;TEXT(LDU28-utc_offset/24,"YYYYMMDD")&amp;"*"" /stext="" "&amp;TEXT(LDU28-utc_offset/24,"HH")&amp;search_regexp&amp;""""</f>
        <v>#REF!</v>
      </c>
      <c r="LES28" s="234" t="e">
        <f>astrogrep_path&amp;" /e /r /s /spath="&amp;search_path&amp;" /stypes=""app*"&amp;LDO28&amp;"*"&amp;TEXT(LDV28-utc_offset/24,"YYYYMMDD")&amp;"*"" /stext="" "&amp;TEXT(LDV28-utc_offset/24,"HH")&amp;search_regexp&amp;""""</f>
        <v>#REF!</v>
      </c>
      <c r="LET28" s="234" t="e">
        <f>astrogrep_path&amp;" /e /r /s /spath="&amp;search_path&amp;" /stypes=""app*"&amp;LDP28&amp;"*"&amp;TEXT(LDW28-utc_offset/24,"YYYYMMDD")&amp;"*"" /stext="" "&amp;TEXT(LDW28-utc_offset/24,"HH")&amp;search_regexp&amp;""""</f>
        <v>#REF!</v>
      </c>
      <c r="LEU28" s="234" t="e">
        <f>astrogrep_path&amp;" /e /r /s /spath="&amp;search_path&amp;" /stypes=""app*"&amp;LDQ28&amp;"*"&amp;TEXT(LDX28-utc_offset/24,"YYYYMMDD")&amp;"*"" /stext="" "&amp;TEXT(LDX28-utc_offset/24,"HH")&amp;search_regexp&amp;""""</f>
        <v>#REF!</v>
      </c>
      <c r="LEV28" s="234" t="e">
        <f>astrogrep_path&amp;" /e /r /s /spath="&amp;search_path&amp;" /stypes=""app*"&amp;LDR28&amp;"*"&amp;TEXT(LDY28-utc_offset/24,"YYYYMMDD")&amp;"*"" /stext="" "&amp;TEXT(LDY28-utc_offset/24,"HH")&amp;search_regexp&amp;""""</f>
        <v>#REF!</v>
      </c>
      <c r="LEW28" s="234" t="e">
        <f>astrogrep_path&amp;" /e /r /s /spath="&amp;search_path&amp;" /stypes=""app*"&amp;LDS28&amp;"*"&amp;TEXT(LDZ28-utc_offset/24,"YYYYMMDD")&amp;"*"" /stext="" "&amp;TEXT(LDZ28-utc_offset/24,"HH")&amp;search_regexp&amp;""""</f>
        <v>#REF!</v>
      </c>
      <c r="LEX28" s="234" t="e">
        <f>astrogrep_path&amp;" /e /r /s /spath="&amp;search_path&amp;" /stypes=""app*"&amp;LDT28&amp;"*"&amp;TEXT(LEA28-utc_offset/24,"YYYYMMDD")&amp;"*"" /stext="" "&amp;TEXT(LEA28-utc_offset/24,"HH")&amp;search_regexp&amp;""""</f>
        <v>#REF!</v>
      </c>
      <c r="LEY28" s="234" t="e">
        <f>astrogrep_path&amp;" /e /r /s /spath="&amp;search_path&amp;" /stypes=""app*"&amp;LDU28&amp;"*"&amp;TEXT(LEB28-utc_offset/24,"YYYYMMDD")&amp;"*"" /stext="" "&amp;TEXT(LEB28-utc_offset/24,"HH")&amp;search_regexp&amp;""""</f>
        <v>#REF!</v>
      </c>
      <c r="LEZ28" s="234" t="e">
        <f>astrogrep_path&amp;" /e /r /s /spath="&amp;search_path&amp;" /stypes=""app*"&amp;LDV28&amp;"*"&amp;TEXT(LEC28-utc_offset/24,"YYYYMMDD")&amp;"*"" /stext="" "&amp;TEXT(LEC28-utc_offset/24,"HH")&amp;search_regexp&amp;""""</f>
        <v>#REF!</v>
      </c>
      <c r="LFA28" s="234" t="e">
        <f>astrogrep_path&amp;" /e /r /s /spath="&amp;search_path&amp;" /stypes=""app*"&amp;LDW28&amp;"*"&amp;TEXT(LED28-utc_offset/24,"YYYYMMDD")&amp;"*"" /stext="" "&amp;TEXT(LED28-utc_offset/24,"HH")&amp;search_regexp&amp;""""</f>
        <v>#REF!</v>
      </c>
      <c r="LFB28" s="234" t="e">
        <f>astrogrep_path&amp;" /e /r /s /spath="&amp;search_path&amp;" /stypes=""app*"&amp;LDX28&amp;"*"&amp;TEXT(LEE28-utc_offset/24,"YYYYMMDD")&amp;"*"" /stext="" "&amp;TEXT(LEE28-utc_offset/24,"HH")&amp;search_regexp&amp;""""</f>
        <v>#REF!</v>
      </c>
      <c r="LFC28" s="234" t="e">
        <f>astrogrep_path&amp;" /e /r /s /spath="&amp;search_path&amp;" /stypes=""app*"&amp;LDY28&amp;"*"&amp;TEXT(LEF28-utc_offset/24,"YYYYMMDD")&amp;"*"" /stext="" "&amp;TEXT(LEF28-utc_offset/24,"HH")&amp;search_regexp&amp;""""</f>
        <v>#REF!</v>
      </c>
      <c r="LFD28" s="234" t="e">
        <f>astrogrep_path&amp;" /e /r /s /spath="&amp;search_path&amp;" /stypes=""app*"&amp;LDZ28&amp;"*"&amp;TEXT(LEG28-utc_offset/24,"YYYYMMDD")&amp;"*"" /stext="" "&amp;TEXT(LEG28-utc_offset/24,"HH")&amp;search_regexp&amp;""""</f>
        <v>#REF!</v>
      </c>
      <c r="LFE28" s="234" t="e">
        <f>astrogrep_path&amp;" /e /r /s /spath="&amp;search_path&amp;" /stypes=""app*"&amp;LEA28&amp;"*"&amp;TEXT(LEH28-utc_offset/24,"YYYYMMDD")&amp;"*"" /stext="" "&amp;TEXT(LEH28-utc_offset/24,"HH")&amp;search_regexp&amp;""""</f>
        <v>#REF!</v>
      </c>
      <c r="LFF28" s="234" t="e">
        <f>astrogrep_path&amp;" /e /r /s /spath="&amp;search_path&amp;" /stypes=""app*"&amp;LEB28&amp;"*"&amp;TEXT(LEI28-utc_offset/24,"YYYYMMDD")&amp;"*"" /stext="" "&amp;TEXT(LEI28-utc_offset/24,"HH")&amp;search_regexp&amp;""""</f>
        <v>#REF!</v>
      </c>
      <c r="LFG28" s="234" t="e">
        <f>astrogrep_path&amp;" /e /r /s /spath="&amp;search_path&amp;" /stypes=""app*"&amp;LEC28&amp;"*"&amp;TEXT(LEJ28-utc_offset/24,"YYYYMMDD")&amp;"*"" /stext="" "&amp;TEXT(LEJ28-utc_offset/24,"HH")&amp;search_regexp&amp;""""</f>
        <v>#REF!</v>
      </c>
      <c r="LFH28" s="234" t="e">
        <f>astrogrep_path&amp;" /e /r /s /spath="&amp;search_path&amp;" /stypes=""app*"&amp;LED28&amp;"*"&amp;TEXT(LEK28-utc_offset/24,"YYYYMMDD")&amp;"*"" /stext="" "&amp;TEXT(LEK28-utc_offset/24,"HH")&amp;search_regexp&amp;""""</f>
        <v>#REF!</v>
      </c>
      <c r="LFI28" s="234" t="e">
        <f>astrogrep_path&amp;" /e /r /s /spath="&amp;search_path&amp;" /stypes=""app*"&amp;LEE28&amp;"*"&amp;TEXT(LEL28-utc_offset/24,"YYYYMMDD")&amp;"*"" /stext="" "&amp;TEXT(LEL28-utc_offset/24,"HH")&amp;search_regexp&amp;""""</f>
        <v>#REF!</v>
      </c>
      <c r="LFJ28" s="234" t="e">
        <f>astrogrep_path&amp;" /e /r /s /spath="&amp;search_path&amp;" /stypes=""app*"&amp;LEF28&amp;"*"&amp;TEXT(LEM28-utc_offset/24,"YYYYMMDD")&amp;"*"" /stext="" "&amp;TEXT(LEM28-utc_offset/24,"HH")&amp;search_regexp&amp;""""</f>
        <v>#REF!</v>
      </c>
      <c r="LFK28" s="234" t="e">
        <f>astrogrep_path&amp;" /e /r /s /spath="&amp;search_path&amp;" /stypes=""app*"&amp;LEG28&amp;"*"&amp;TEXT(LEN28-utc_offset/24,"YYYYMMDD")&amp;"*"" /stext="" "&amp;TEXT(LEN28-utc_offset/24,"HH")&amp;search_regexp&amp;""""</f>
        <v>#REF!</v>
      </c>
      <c r="LFL28" s="234" t="e">
        <f>astrogrep_path&amp;" /e /r /s /spath="&amp;search_path&amp;" /stypes=""app*"&amp;LEH28&amp;"*"&amp;TEXT(LEO28-utc_offset/24,"YYYYMMDD")&amp;"*"" /stext="" "&amp;TEXT(LEO28-utc_offset/24,"HH")&amp;search_regexp&amp;""""</f>
        <v>#REF!</v>
      </c>
      <c r="LFM28" s="234" t="e">
        <f>astrogrep_path&amp;" /e /r /s /spath="&amp;search_path&amp;" /stypes=""app*"&amp;LEI28&amp;"*"&amp;TEXT(LEP28-utc_offset/24,"YYYYMMDD")&amp;"*"" /stext="" "&amp;TEXT(LEP28-utc_offset/24,"HH")&amp;search_regexp&amp;""""</f>
        <v>#VALUE!</v>
      </c>
      <c r="LFN28" s="234" t="e">
        <f>astrogrep_path&amp;" /e /r /s /spath="&amp;search_path&amp;" /stypes=""app*"&amp;LEJ28&amp;"*"&amp;TEXT(LEQ28-utc_offset/24,"YYYYMMDD")&amp;"*"" /stext="" "&amp;TEXT(LEQ28-utc_offset/24,"HH")&amp;search_regexp&amp;""""</f>
        <v>#VALUE!</v>
      </c>
      <c r="LFO28" s="234" t="e">
        <f>astrogrep_path&amp;" /e /r /s /spath="&amp;search_path&amp;" /stypes=""app*"&amp;LEK28&amp;"*"&amp;TEXT(LER28-utc_offset/24,"YYYYMMDD")&amp;"*"" /stext="" "&amp;TEXT(LER28-utc_offset/24,"HH")&amp;search_regexp&amp;""""</f>
        <v>#REF!</v>
      </c>
      <c r="LFP28" s="234" t="e">
        <f>astrogrep_path&amp;" /e /r /s /spath="&amp;search_path&amp;" /stypes=""app*"&amp;LEL28&amp;"*"&amp;TEXT(LES28-utc_offset/24,"YYYYMMDD")&amp;"*"" /stext="" "&amp;TEXT(LES28-utc_offset/24,"HH")&amp;search_regexp&amp;""""</f>
        <v>#REF!</v>
      </c>
      <c r="LFQ28" s="234" t="e">
        <f>astrogrep_path&amp;" /e /r /s /spath="&amp;search_path&amp;" /stypes=""app*"&amp;LEM28&amp;"*"&amp;TEXT(LET28-utc_offset/24,"YYYYMMDD")&amp;"*"" /stext="" "&amp;TEXT(LET28-utc_offset/24,"HH")&amp;search_regexp&amp;""""</f>
        <v>#VALUE!</v>
      </c>
      <c r="LFR28" s="234" t="e">
        <f>astrogrep_path&amp;" /e /r /s /spath="&amp;search_path&amp;" /stypes=""app*"&amp;LEN28&amp;"*"&amp;TEXT(LEU28-utc_offset/24,"YYYYMMDD")&amp;"*"" /stext="" "&amp;TEXT(LEU28-utc_offset/24,"HH")&amp;search_regexp&amp;""""</f>
        <v>#VALUE!</v>
      </c>
      <c r="LFS28" s="234" t="e">
        <f>astrogrep_path&amp;" /e /r /s /spath="&amp;search_path&amp;" /stypes=""app*"&amp;LEO28&amp;"*"&amp;TEXT(LEV28-utc_offset/24,"YYYYMMDD")&amp;"*"" /stext="" "&amp;TEXT(LEV28-utc_offset/24,"HH")&amp;search_regexp&amp;""""</f>
        <v>#VALUE!</v>
      </c>
      <c r="LFT28" s="234" t="e">
        <f>astrogrep_path&amp;" /e /r /s /spath="&amp;search_path&amp;" /stypes=""app*"&amp;LEP28&amp;"*"&amp;TEXT(LEW28-utc_offset/24,"YYYYMMDD")&amp;"*"" /stext="" "&amp;TEXT(LEW28-utc_offset/24,"HH")&amp;search_regexp&amp;""""</f>
        <v>#VALUE!</v>
      </c>
      <c r="LFU28" s="234" t="e">
        <f>astrogrep_path&amp;" /e /r /s /spath="&amp;search_path&amp;" /stypes=""app*"&amp;LEQ28&amp;"*"&amp;TEXT(LEX28-utc_offset/24,"YYYYMMDD")&amp;"*"" /stext="" "&amp;TEXT(LEX28-utc_offset/24,"HH")&amp;search_regexp&amp;""""</f>
        <v>#VALUE!</v>
      </c>
      <c r="LFV28" s="234" t="e">
        <f>astrogrep_path&amp;" /e /r /s /spath="&amp;search_path&amp;" /stypes=""app*"&amp;LER28&amp;"*"&amp;TEXT(LEY28-utc_offset/24,"YYYYMMDD")&amp;"*"" /stext="" "&amp;TEXT(LEY28-utc_offset/24,"HH")&amp;search_regexp&amp;""""</f>
        <v>#REF!</v>
      </c>
      <c r="LFW28" s="234" t="e">
        <f>astrogrep_path&amp;" /e /r /s /spath="&amp;search_path&amp;" /stypes=""app*"&amp;LES28&amp;"*"&amp;TEXT(LEZ28-utc_offset/24,"YYYYMMDD")&amp;"*"" /stext="" "&amp;TEXT(LEZ28-utc_offset/24,"HH")&amp;search_regexp&amp;""""</f>
        <v>#REF!</v>
      </c>
      <c r="LFX28" s="234" t="e">
        <f>astrogrep_path&amp;" /e /r /s /spath="&amp;search_path&amp;" /stypes=""app*"&amp;LET28&amp;"*"&amp;TEXT(LFA28-utc_offset/24,"YYYYMMDD")&amp;"*"" /stext="" "&amp;TEXT(LFA28-utc_offset/24,"HH")&amp;search_regexp&amp;""""</f>
        <v>#REF!</v>
      </c>
      <c r="LFY28" s="234" t="e">
        <f>astrogrep_path&amp;" /e /r /s /spath="&amp;search_path&amp;" /stypes=""app*"&amp;LEU28&amp;"*"&amp;TEXT(LFB28-utc_offset/24,"YYYYMMDD")&amp;"*"" /stext="" "&amp;TEXT(LFB28-utc_offset/24,"HH")&amp;search_regexp&amp;""""</f>
        <v>#REF!</v>
      </c>
      <c r="LFZ28" s="234" t="e">
        <f>astrogrep_path&amp;" /e /r /s /spath="&amp;search_path&amp;" /stypes=""app*"&amp;LEV28&amp;"*"&amp;TEXT(LFC28-utc_offset/24,"YYYYMMDD")&amp;"*"" /stext="" "&amp;TEXT(LFC28-utc_offset/24,"HH")&amp;search_regexp&amp;""""</f>
        <v>#REF!</v>
      </c>
      <c r="LGA28" s="234" t="e">
        <f>astrogrep_path&amp;" /e /r /s /spath="&amp;search_path&amp;" /stypes=""app*"&amp;LEW28&amp;"*"&amp;TEXT(LFD28-utc_offset/24,"YYYYMMDD")&amp;"*"" /stext="" "&amp;TEXT(LFD28-utc_offset/24,"HH")&amp;search_regexp&amp;""""</f>
        <v>#REF!</v>
      </c>
      <c r="LGB28" s="234" t="e">
        <f>astrogrep_path&amp;" /e /r /s /spath="&amp;search_path&amp;" /stypes=""app*"&amp;LEX28&amp;"*"&amp;TEXT(LFE28-utc_offset/24,"YYYYMMDD")&amp;"*"" /stext="" "&amp;TEXT(LFE28-utc_offset/24,"HH")&amp;search_regexp&amp;""""</f>
        <v>#REF!</v>
      </c>
      <c r="LGC28" s="234" t="e">
        <f>astrogrep_path&amp;" /e /r /s /spath="&amp;search_path&amp;" /stypes=""app*"&amp;LEY28&amp;"*"&amp;TEXT(LFF28-utc_offset/24,"YYYYMMDD")&amp;"*"" /stext="" "&amp;TEXT(LFF28-utc_offset/24,"HH")&amp;search_regexp&amp;""""</f>
        <v>#REF!</v>
      </c>
      <c r="LGD28" s="234" t="e">
        <f>astrogrep_path&amp;" /e /r /s /spath="&amp;search_path&amp;" /stypes=""app*"&amp;LEZ28&amp;"*"&amp;TEXT(LFG28-utc_offset/24,"YYYYMMDD")&amp;"*"" /stext="" "&amp;TEXT(LFG28-utc_offset/24,"HH")&amp;search_regexp&amp;""""</f>
        <v>#REF!</v>
      </c>
      <c r="LGE28" s="234" t="e">
        <f>astrogrep_path&amp;" /e /r /s /spath="&amp;search_path&amp;" /stypes=""app*"&amp;LFA28&amp;"*"&amp;TEXT(LFH28-utc_offset/24,"YYYYMMDD")&amp;"*"" /stext="" "&amp;TEXT(LFH28-utc_offset/24,"HH")&amp;search_regexp&amp;""""</f>
        <v>#REF!</v>
      </c>
      <c r="LGF28" s="234" t="e">
        <f>astrogrep_path&amp;" /e /r /s /spath="&amp;search_path&amp;" /stypes=""app*"&amp;LFB28&amp;"*"&amp;TEXT(LFI28-utc_offset/24,"YYYYMMDD")&amp;"*"" /stext="" "&amp;TEXT(LFI28-utc_offset/24,"HH")&amp;search_regexp&amp;""""</f>
        <v>#REF!</v>
      </c>
      <c r="LGG28" s="234" t="e">
        <f>astrogrep_path&amp;" /e /r /s /spath="&amp;search_path&amp;" /stypes=""app*"&amp;LFC28&amp;"*"&amp;TEXT(LFJ28-utc_offset/24,"YYYYMMDD")&amp;"*"" /stext="" "&amp;TEXT(LFJ28-utc_offset/24,"HH")&amp;search_regexp&amp;""""</f>
        <v>#REF!</v>
      </c>
      <c r="LGH28" s="234" t="e">
        <f>astrogrep_path&amp;" /e /r /s /spath="&amp;search_path&amp;" /stypes=""app*"&amp;LFD28&amp;"*"&amp;TEXT(LFK28-utc_offset/24,"YYYYMMDD")&amp;"*"" /stext="" "&amp;TEXT(LFK28-utc_offset/24,"HH")&amp;search_regexp&amp;""""</f>
        <v>#REF!</v>
      </c>
      <c r="LGI28" s="234" t="e">
        <f>astrogrep_path&amp;" /e /r /s /spath="&amp;search_path&amp;" /stypes=""app*"&amp;LFE28&amp;"*"&amp;TEXT(LFL28-utc_offset/24,"YYYYMMDD")&amp;"*"" /stext="" "&amp;TEXT(LFL28-utc_offset/24,"HH")&amp;search_regexp&amp;""""</f>
        <v>#REF!</v>
      </c>
      <c r="LGJ28" s="234" t="e">
        <f>astrogrep_path&amp;" /e /r /s /spath="&amp;search_path&amp;" /stypes=""app*"&amp;LFF28&amp;"*"&amp;TEXT(LFM28-utc_offset/24,"YYYYMMDD")&amp;"*"" /stext="" "&amp;TEXT(LFM28-utc_offset/24,"HH")&amp;search_regexp&amp;""""</f>
        <v>#REF!</v>
      </c>
      <c r="LGK28" s="234" t="e">
        <f>astrogrep_path&amp;" /e /r /s /spath="&amp;search_path&amp;" /stypes=""app*"&amp;LFG28&amp;"*"&amp;TEXT(LFN28-utc_offset/24,"YYYYMMDD")&amp;"*"" /stext="" "&amp;TEXT(LFN28-utc_offset/24,"HH")&amp;search_regexp&amp;""""</f>
        <v>#REF!</v>
      </c>
      <c r="LGL28" s="234" t="e">
        <f>astrogrep_path&amp;" /e /r /s /spath="&amp;search_path&amp;" /stypes=""app*"&amp;LFH28&amp;"*"&amp;TEXT(LFO28-utc_offset/24,"YYYYMMDD")&amp;"*"" /stext="" "&amp;TEXT(LFO28-utc_offset/24,"HH")&amp;search_regexp&amp;""""</f>
        <v>#REF!</v>
      </c>
      <c r="LGM28" s="234" t="e">
        <f>astrogrep_path&amp;" /e /r /s /spath="&amp;search_path&amp;" /stypes=""app*"&amp;LFI28&amp;"*"&amp;TEXT(LFP28-utc_offset/24,"YYYYMMDD")&amp;"*"" /stext="" "&amp;TEXT(LFP28-utc_offset/24,"HH")&amp;search_regexp&amp;""""</f>
        <v>#REF!</v>
      </c>
      <c r="LGN28" s="234" t="e">
        <f>astrogrep_path&amp;" /e /r /s /spath="&amp;search_path&amp;" /stypes=""app*"&amp;LFJ28&amp;"*"&amp;TEXT(LFQ28-utc_offset/24,"YYYYMMDD")&amp;"*"" /stext="" "&amp;TEXT(LFQ28-utc_offset/24,"HH")&amp;search_regexp&amp;""""</f>
        <v>#REF!</v>
      </c>
      <c r="LGO28" s="234" t="e">
        <f>astrogrep_path&amp;" /e /r /s /spath="&amp;search_path&amp;" /stypes=""app*"&amp;LFK28&amp;"*"&amp;TEXT(LFR28-utc_offset/24,"YYYYMMDD")&amp;"*"" /stext="" "&amp;TEXT(LFR28-utc_offset/24,"HH")&amp;search_regexp&amp;""""</f>
        <v>#REF!</v>
      </c>
      <c r="LGP28" s="234" t="e">
        <f>astrogrep_path&amp;" /e /r /s /spath="&amp;search_path&amp;" /stypes=""app*"&amp;LFL28&amp;"*"&amp;TEXT(LFS28-utc_offset/24,"YYYYMMDD")&amp;"*"" /stext="" "&amp;TEXT(LFS28-utc_offset/24,"HH")&amp;search_regexp&amp;""""</f>
        <v>#REF!</v>
      </c>
      <c r="LGQ28" s="234" t="e">
        <f>astrogrep_path&amp;" /e /r /s /spath="&amp;search_path&amp;" /stypes=""app*"&amp;LFM28&amp;"*"&amp;TEXT(LFT28-utc_offset/24,"YYYYMMDD")&amp;"*"" /stext="" "&amp;TEXT(LFT28-utc_offset/24,"HH")&amp;search_regexp&amp;""""</f>
        <v>#VALUE!</v>
      </c>
      <c r="LGR28" s="234" t="e">
        <f>astrogrep_path&amp;" /e /r /s /spath="&amp;search_path&amp;" /stypes=""app*"&amp;LFN28&amp;"*"&amp;TEXT(LFU28-utc_offset/24,"YYYYMMDD")&amp;"*"" /stext="" "&amp;TEXT(LFU28-utc_offset/24,"HH")&amp;search_regexp&amp;""""</f>
        <v>#VALUE!</v>
      </c>
      <c r="LGS28" s="234" t="e">
        <f>astrogrep_path&amp;" /e /r /s /spath="&amp;search_path&amp;" /stypes=""app*"&amp;LFO28&amp;"*"&amp;TEXT(LFV28-utc_offset/24,"YYYYMMDD")&amp;"*"" /stext="" "&amp;TEXT(LFV28-utc_offset/24,"HH")&amp;search_regexp&amp;""""</f>
        <v>#REF!</v>
      </c>
      <c r="LGT28" s="234" t="e">
        <f>astrogrep_path&amp;" /e /r /s /spath="&amp;search_path&amp;" /stypes=""app*"&amp;LFP28&amp;"*"&amp;TEXT(LFW28-utc_offset/24,"YYYYMMDD")&amp;"*"" /stext="" "&amp;TEXT(LFW28-utc_offset/24,"HH")&amp;search_regexp&amp;""""</f>
        <v>#REF!</v>
      </c>
      <c r="LGU28" s="234" t="e">
        <f>astrogrep_path&amp;" /e /r /s /spath="&amp;search_path&amp;" /stypes=""app*"&amp;LFQ28&amp;"*"&amp;TEXT(LFX28-utc_offset/24,"YYYYMMDD")&amp;"*"" /stext="" "&amp;TEXT(LFX28-utc_offset/24,"HH")&amp;search_regexp&amp;""""</f>
        <v>#VALUE!</v>
      </c>
      <c r="LGV28" s="234" t="e">
        <f>astrogrep_path&amp;" /e /r /s /spath="&amp;search_path&amp;" /stypes=""app*"&amp;LFR28&amp;"*"&amp;TEXT(LFY28-utc_offset/24,"YYYYMMDD")&amp;"*"" /stext="" "&amp;TEXT(LFY28-utc_offset/24,"HH")&amp;search_regexp&amp;""""</f>
        <v>#VALUE!</v>
      </c>
      <c r="LGW28" s="234" t="e">
        <f>astrogrep_path&amp;" /e /r /s /spath="&amp;search_path&amp;" /stypes=""app*"&amp;LFS28&amp;"*"&amp;TEXT(LFZ28-utc_offset/24,"YYYYMMDD")&amp;"*"" /stext="" "&amp;TEXT(LFZ28-utc_offset/24,"HH")&amp;search_regexp&amp;""""</f>
        <v>#VALUE!</v>
      </c>
      <c r="LGX28" s="234" t="e">
        <f>astrogrep_path&amp;" /e /r /s /spath="&amp;search_path&amp;" /stypes=""app*"&amp;LFT28&amp;"*"&amp;TEXT(LGA28-utc_offset/24,"YYYYMMDD")&amp;"*"" /stext="" "&amp;TEXT(LGA28-utc_offset/24,"HH")&amp;search_regexp&amp;""""</f>
        <v>#VALUE!</v>
      </c>
      <c r="LGY28" s="234" t="e">
        <f>astrogrep_path&amp;" /e /r /s /spath="&amp;search_path&amp;" /stypes=""app*"&amp;LFU28&amp;"*"&amp;TEXT(LGB28-utc_offset/24,"YYYYMMDD")&amp;"*"" /stext="" "&amp;TEXT(LGB28-utc_offset/24,"HH")&amp;search_regexp&amp;""""</f>
        <v>#VALUE!</v>
      </c>
      <c r="LGZ28" s="234" t="e">
        <f>astrogrep_path&amp;" /e /r /s /spath="&amp;search_path&amp;" /stypes=""app*"&amp;LFV28&amp;"*"&amp;TEXT(LGC28-utc_offset/24,"YYYYMMDD")&amp;"*"" /stext="" "&amp;TEXT(LGC28-utc_offset/24,"HH")&amp;search_regexp&amp;""""</f>
        <v>#REF!</v>
      </c>
      <c r="LHA28" s="234" t="e">
        <f>astrogrep_path&amp;" /e /r /s /spath="&amp;search_path&amp;" /stypes=""app*"&amp;LFW28&amp;"*"&amp;TEXT(LGD28-utc_offset/24,"YYYYMMDD")&amp;"*"" /stext="" "&amp;TEXT(LGD28-utc_offset/24,"HH")&amp;search_regexp&amp;""""</f>
        <v>#REF!</v>
      </c>
      <c r="LHB28" s="234" t="e">
        <f>astrogrep_path&amp;" /e /r /s /spath="&amp;search_path&amp;" /stypes=""app*"&amp;LFX28&amp;"*"&amp;TEXT(LGE28-utc_offset/24,"YYYYMMDD")&amp;"*"" /stext="" "&amp;TEXT(LGE28-utc_offset/24,"HH")&amp;search_regexp&amp;""""</f>
        <v>#REF!</v>
      </c>
      <c r="LHC28" s="234" t="e">
        <f>astrogrep_path&amp;" /e /r /s /spath="&amp;search_path&amp;" /stypes=""app*"&amp;LFY28&amp;"*"&amp;TEXT(LGF28-utc_offset/24,"YYYYMMDD")&amp;"*"" /stext="" "&amp;TEXT(LGF28-utc_offset/24,"HH")&amp;search_regexp&amp;""""</f>
        <v>#REF!</v>
      </c>
      <c r="LHD28" s="234" t="e">
        <f>astrogrep_path&amp;" /e /r /s /spath="&amp;search_path&amp;" /stypes=""app*"&amp;LFZ28&amp;"*"&amp;TEXT(LGG28-utc_offset/24,"YYYYMMDD")&amp;"*"" /stext="" "&amp;TEXT(LGG28-utc_offset/24,"HH")&amp;search_regexp&amp;""""</f>
        <v>#REF!</v>
      </c>
      <c r="LHE28" s="234" t="e">
        <f>astrogrep_path&amp;" /e /r /s /spath="&amp;search_path&amp;" /stypes=""app*"&amp;LGA28&amp;"*"&amp;TEXT(LGH28-utc_offset/24,"YYYYMMDD")&amp;"*"" /stext="" "&amp;TEXT(LGH28-utc_offset/24,"HH")&amp;search_regexp&amp;""""</f>
        <v>#REF!</v>
      </c>
      <c r="LHF28" s="234" t="e">
        <f>astrogrep_path&amp;" /e /r /s /spath="&amp;search_path&amp;" /stypes=""app*"&amp;LGB28&amp;"*"&amp;TEXT(LGI28-utc_offset/24,"YYYYMMDD")&amp;"*"" /stext="" "&amp;TEXT(LGI28-utc_offset/24,"HH")&amp;search_regexp&amp;""""</f>
        <v>#REF!</v>
      </c>
      <c r="LHG28" s="234" t="e">
        <f>astrogrep_path&amp;" /e /r /s /spath="&amp;search_path&amp;" /stypes=""app*"&amp;LGC28&amp;"*"&amp;TEXT(LGJ28-utc_offset/24,"YYYYMMDD")&amp;"*"" /stext="" "&amp;TEXT(LGJ28-utc_offset/24,"HH")&amp;search_regexp&amp;""""</f>
        <v>#REF!</v>
      </c>
      <c r="LHH28" s="234" t="e">
        <f>astrogrep_path&amp;" /e /r /s /spath="&amp;search_path&amp;" /stypes=""app*"&amp;LGD28&amp;"*"&amp;TEXT(LGK28-utc_offset/24,"YYYYMMDD")&amp;"*"" /stext="" "&amp;TEXT(LGK28-utc_offset/24,"HH")&amp;search_regexp&amp;""""</f>
        <v>#REF!</v>
      </c>
      <c r="LHI28" s="234" t="e">
        <f>astrogrep_path&amp;" /e /r /s /spath="&amp;search_path&amp;" /stypes=""app*"&amp;LGE28&amp;"*"&amp;TEXT(LGL28-utc_offset/24,"YYYYMMDD")&amp;"*"" /stext="" "&amp;TEXT(LGL28-utc_offset/24,"HH")&amp;search_regexp&amp;""""</f>
        <v>#REF!</v>
      </c>
      <c r="LHJ28" s="234" t="e">
        <f>astrogrep_path&amp;" /e /r /s /spath="&amp;search_path&amp;" /stypes=""app*"&amp;LGF28&amp;"*"&amp;TEXT(LGM28-utc_offset/24,"YYYYMMDD")&amp;"*"" /stext="" "&amp;TEXT(LGM28-utc_offset/24,"HH")&amp;search_regexp&amp;""""</f>
        <v>#REF!</v>
      </c>
      <c r="LHK28" s="234" t="e">
        <f>astrogrep_path&amp;" /e /r /s /spath="&amp;search_path&amp;" /stypes=""app*"&amp;LGG28&amp;"*"&amp;TEXT(LGN28-utc_offset/24,"YYYYMMDD")&amp;"*"" /stext="" "&amp;TEXT(LGN28-utc_offset/24,"HH")&amp;search_regexp&amp;""""</f>
        <v>#REF!</v>
      </c>
      <c r="LHL28" s="234" t="e">
        <f>astrogrep_path&amp;" /e /r /s /spath="&amp;search_path&amp;" /stypes=""app*"&amp;LGH28&amp;"*"&amp;TEXT(LGO28-utc_offset/24,"YYYYMMDD")&amp;"*"" /stext="" "&amp;TEXT(LGO28-utc_offset/24,"HH")&amp;search_regexp&amp;""""</f>
        <v>#REF!</v>
      </c>
      <c r="LHM28" s="234" t="e">
        <f>astrogrep_path&amp;" /e /r /s /spath="&amp;search_path&amp;" /stypes=""app*"&amp;LGI28&amp;"*"&amp;TEXT(LGP28-utc_offset/24,"YYYYMMDD")&amp;"*"" /stext="" "&amp;TEXT(LGP28-utc_offset/24,"HH")&amp;search_regexp&amp;""""</f>
        <v>#REF!</v>
      </c>
      <c r="LHN28" s="234" t="e">
        <f>astrogrep_path&amp;" /e /r /s /spath="&amp;search_path&amp;" /stypes=""app*"&amp;LGJ28&amp;"*"&amp;TEXT(LGQ28-utc_offset/24,"YYYYMMDD")&amp;"*"" /stext="" "&amp;TEXT(LGQ28-utc_offset/24,"HH")&amp;search_regexp&amp;""""</f>
        <v>#REF!</v>
      </c>
      <c r="LHO28" s="234" t="e">
        <f>astrogrep_path&amp;" /e /r /s /spath="&amp;search_path&amp;" /stypes=""app*"&amp;LGK28&amp;"*"&amp;TEXT(LGR28-utc_offset/24,"YYYYMMDD")&amp;"*"" /stext="" "&amp;TEXT(LGR28-utc_offset/24,"HH")&amp;search_regexp&amp;""""</f>
        <v>#REF!</v>
      </c>
      <c r="LHP28" s="234" t="e">
        <f>astrogrep_path&amp;" /e /r /s /spath="&amp;search_path&amp;" /stypes=""app*"&amp;LGL28&amp;"*"&amp;TEXT(LGS28-utc_offset/24,"YYYYMMDD")&amp;"*"" /stext="" "&amp;TEXT(LGS28-utc_offset/24,"HH")&amp;search_regexp&amp;""""</f>
        <v>#REF!</v>
      </c>
      <c r="LHQ28" s="234" t="e">
        <f>astrogrep_path&amp;" /e /r /s /spath="&amp;search_path&amp;" /stypes=""app*"&amp;LGM28&amp;"*"&amp;TEXT(LGT28-utc_offset/24,"YYYYMMDD")&amp;"*"" /stext="" "&amp;TEXT(LGT28-utc_offset/24,"HH")&amp;search_regexp&amp;""""</f>
        <v>#REF!</v>
      </c>
      <c r="LHR28" s="234" t="e">
        <f>astrogrep_path&amp;" /e /r /s /spath="&amp;search_path&amp;" /stypes=""app*"&amp;LGN28&amp;"*"&amp;TEXT(LGU28-utc_offset/24,"YYYYMMDD")&amp;"*"" /stext="" "&amp;TEXT(LGU28-utc_offset/24,"HH")&amp;search_regexp&amp;""""</f>
        <v>#REF!</v>
      </c>
      <c r="LHS28" s="234" t="e">
        <f>astrogrep_path&amp;" /e /r /s /spath="&amp;search_path&amp;" /stypes=""app*"&amp;LGO28&amp;"*"&amp;TEXT(LGV28-utc_offset/24,"YYYYMMDD")&amp;"*"" /stext="" "&amp;TEXT(LGV28-utc_offset/24,"HH")&amp;search_regexp&amp;""""</f>
        <v>#REF!</v>
      </c>
      <c r="LHT28" s="234" t="e">
        <f>astrogrep_path&amp;" /e /r /s /spath="&amp;search_path&amp;" /stypes=""app*"&amp;LGP28&amp;"*"&amp;TEXT(LGW28-utc_offset/24,"YYYYMMDD")&amp;"*"" /stext="" "&amp;TEXT(LGW28-utc_offset/24,"HH")&amp;search_regexp&amp;""""</f>
        <v>#REF!</v>
      </c>
      <c r="LHU28" s="234" t="e">
        <f>astrogrep_path&amp;" /e /r /s /spath="&amp;search_path&amp;" /stypes=""app*"&amp;LGQ28&amp;"*"&amp;TEXT(LGX28-utc_offset/24,"YYYYMMDD")&amp;"*"" /stext="" "&amp;TEXT(LGX28-utc_offset/24,"HH")&amp;search_regexp&amp;""""</f>
        <v>#VALUE!</v>
      </c>
      <c r="LHV28" s="234" t="e">
        <f>astrogrep_path&amp;" /e /r /s /spath="&amp;search_path&amp;" /stypes=""app*"&amp;LGR28&amp;"*"&amp;TEXT(LGY28-utc_offset/24,"YYYYMMDD")&amp;"*"" /stext="" "&amp;TEXT(LGY28-utc_offset/24,"HH")&amp;search_regexp&amp;""""</f>
        <v>#VALUE!</v>
      </c>
      <c r="LHW28" s="234" t="e">
        <f>astrogrep_path&amp;" /e /r /s /spath="&amp;search_path&amp;" /stypes=""app*"&amp;LGS28&amp;"*"&amp;TEXT(LGZ28-utc_offset/24,"YYYYMMDD")&amp;"*"" /stext="" "&amp;TEXT(LGZ28-utc_offset/24,"HH")&amp;search_regexp&amp;""""</f>
        <v>#REF!</v>
      </c>
      <c r="LHX28" s="234" t="e">
        <f>astrogrep_path&amp;" /e /r /s /spath="&amp;search_path&amp;" /stypes=""app*"&amp;LGT28&amp;"*"&amp;TEXT(LHA28-utc_offset/24,"YYYYMMDD")&amp;"*"" /stext="" "&amp;TEXT(LHA28-utc_offset/24,"HH")&amp;search_regexp&amp;""""</f>
        <v>#REF!</v>
      </c>
      <c r="LHY28" s="234" t="e">
        <f>astrogrep_path&amp;" /e /r /s /spath="&amp;search_path&amp;" /stypes=""app*"&amp;LGU28&amp;"*"&amp;TEXT(LHB28-utc_offset/24,"YYYYMMDD")&amp;"*"" /stext="" "&amp;TEXT(LHB28-utc_offset/24,"HH")&amp;search_regexp&amp;""""</f>
        <v>#VALUE!</v>
      </c>
      <c r="LHZ28" s="234" t="e">
        <f>astrogrep_path&amp;" /e /r /s /spath="&amp;search_path&amp;" /stypes=""app*"&amp;LGV28&amp;"*"&amp;TEXT(LHC28-utc_offset/24,"YYYYMMDD")&amp;"*"" /stext="" "&amp;TEXT(LHC28-utc_offset/24,"HH")&amp;search_regexp&amp;""""</f>
        <v>#VALUE!</v>
      </c>
      <c r="LIA28" s="234" t="e">
        <f>astrogrep_path&amp;" /e /r /s /spath="&amp;search_path&amp;" /stypes=""app*"&amp;LGW28&amp;"*"&amp;TEXT(LHD28-utc_offset/24,"YYYYMMDD")&amp;"*"" /stext="" "&amp;TEXT(LHD28-utc_offset/24,"HH")&amp;search_regexp&amp;""""</f>
        <v>#VALUE!</v>
      </c>
      <c r="LIB28" s="234" t="e">
        <f>astrogrep_path&amp;" /e /r /s /spath="&amp;search_path&amp;" /stypes=""app*"&amp;LGX28&amp;"*"&amp;TEXT(LHE28-utc_offset/24,"YYYYMMDD")&amp;"*"" /stext="" "&amp;TEXT(LHE28-utc_offset/24,"HH")&amp;search_regexp&amp;""""</f>
        <v>#VALUE!</v>
      </c>
      <c r="LIC28" s="234" t="e">
        <f>astrogrep_path&amp;" /e /r /s /spath="&amp;search_path&amp;" /stypes=""app*"&amp;LGY28&amp;"*"&amp;TEXT(LHF28-utc_offset/24,"YYYYMMDD")&amp;"*"" /stext="" "&amp;TEXT(LHF28-utc_offset/24,"HH")&amp;search_regexp&amp;""""</f>
        <v>#VALUE!</v>
      </c>
      <c r="LID28" s="234" t="e">
        <f>astrogrep_path&amp;" /e /r /s /spath="&amp;search_path&amp;" /stypes=""app*"&amp;LGZ28&amp;"*"&amp;TEXT(LHG28-utc_offset/24,"YYYYMMDD")&amp;"*"" /stext="" "&amp;TEXT(LHG28-utc_offset/24,"HH")&amp;search_regexp&amp;""""</f>
        <v>#REF!</v>
      </c>
      <c r="LIE28" s="234" t="e">
        <f>astrogrep_path&amp;" /e /r /s /spath="&amp;search_path&amp;" /stypes=""app*"&amp;LHA28&amp;"*"&amp;TEXT(LHH28-utc_offset/24,"YYYYMMDD")&amp;"*"" /stext="" "&amp;TEXT(LHH28-utc_offset/24,"HH")&amp;search_regexp&amp;""""</f>
        <v>#REF!</v>
      </c>
      <c r="LIF28" s="234" t="e">
        <f>astrogrep_path&amp;" /e /r /s /spath="&amp;search_path&amp;" /stypes=""app*"&amp;LHB28&amp;"*"&amp;TEXT(LHI28-utc_offset/24,"YYYYMMDD")&amp;"*"" /stext="" "&amp;TEXT(LHI28-utc_offset/24,"HH")&amp;search_regexp&amp;""""</f>
        <v>#REF!</v>
      </c>
      <c r="LIG28" s="234" t="e">
        <f>astrogrep_path&amp;" /e /r /s /spath="&amp;search_path&amp;" /stypes=""app*"&amp;LHC28&amp;"*"&amp;TEXT(LHJ28-utc_offset/24,"YYYYMMDD")&amp;"*"" /stext="" "&amp;TEXT(LHJ28-utc_offset/24,"HH")&amp;search_regexp&amp;""""</f>
        <v>#REF!</v>
      </c>
      <c r="LIH28" s="234" t="e">
        <f>astrogrep_path&amp;" /e /r /s /spath="&amp;search_path&amp;" /stypes=""app*"&amp;LHD28&amp;"*"&amp;TEXT(LHK28-utc_offset/24,"YYYYMMDD")&amp;"*"" /stext="" "&amp;TEXT(LHK28-utc_offset/24,"HH")&amp;search_regexp&amp;""""</f>
        <v>#REF!</v>
      </c>
      <c r="LII28" s="234" t="e">
        <f>astrogrep_path&amp;" /e /r /s /spath="&amp;search_path&amp;" /stypes=""app*"&amp;LHE28&amp;"*"&amp;TEXT(LHL28-utc_offset/24,"YYYYMMDD")&amp;"*"" /stext="" "&amp;TEXT(LHL28-utc_offset/24,"HH")&amp;search_regexp&amp;""""</f>
        <v>#REF!</v>
      </c>
      <c r="LIJ28" s="234" t="e">
        <f>astrogrep_path&amp;" /e /r /s /spath="&amp;search_path&amp;" /stypes=""app*"&amp;LHF28&amp;"*"&amp;TEXT(LHM28-utc_offset/24,"YYYYMMDD")&amp;"*"" /stext="" "&amp;TEXT(LHM28-utc_offset/24,"HH")&amp;search_regexp&amp;""""</f>
        <v>#REF!</v>
      </c>
      <c r="LIK28" s="234" t="e">
        <f>astrogrep_path&amp;" /e /r /s /spath="&amp;search_path&amp;" /stypes=""app*"&amp;LHG28&amp;"*"&amp;TEXT(LHN28-utc_offset/24,"YYYYMMDD")&amp;"*"" /stext="" "&amp;TEXT(LHN28-utc_offset/24,"HH")&amp;search_regexp&amp;""""</f>
        <v>#REF!</v>
      </c>
      <c r="LIL28" s="234" t="e">
        <f>astrogrep_path&amp;" /e /r /s /spath="&amp;search_path&amp;" /stypes=""app*"&amp;LHH28&amp;"*"&amp;TEXT(LHO28-utc_offset/24,"YYYYMMDD")&amp;"*"" /stext="" "&amp;TEXT(LHO28-utc_offset/24,"HH")&amp;search_regexp&amp;""""</f>
        <v>#REF!</v>
      </c>
      <c r="LIM28" s="234" t="e">
        <f>astrogrep_path&amp;" /e /r /s /spath="&amp;search_path&amp;" /stypes=""app*"&amp;LHI28&amp;"*"&amp;TEXT(LHP28-utc_offset/24,"YYYYMMDD")&amp;"*"" /stext="" "&amp;TEXT(LHP28-utc_offset/24,"HH")&amp;search_regexp&amp;""""</f>
        <v>#REF!</v>
      </c>
      <c r="LIN28" s="234" t="e">
        <f>astrogrep_path&amp;" /e /r /s /spath="&amp;search_path&amp;" /stypes=""app*"&amp;LHJ28&amp;"*"&amp;TEXT(LHQ28-utc_offset/24,"YYYYMMDD")&amp;"*"" /stext="" "&amp;TEXT(LHQ28-utc_offset/24,"HH")&amp;search_regexp&amp;""""</f>
        <v>#REF!</v>
      </c>
      <c r="LIO28" s="234" t="e">
        <f>astrogrep_path&amp;" /e /r /s /spath="&amp;search_path&amp;" /stypes=""app*"&amp;LHK28&amp;"*"&amp;TEXT(LHR28-utc_offset/24,"YYYYMMDD")&amp;"*"" /stext="" "&amp;TEXT(LHR28-utc_offset/24,"HH")&amp;search_regexp&amp;""""</f>
        <v>#REF!</v>
      </c>
      <c r="LIP28" s="234" t="e">
        <f>astrogrep_path&amp;" /e /r /s /spath="&amp;search_path&amp;" /stypes=""app*"&amp;LHL28&amp;"*"&amp;TEXT(LHS28-utc_offset/24,"YYYYMMDD")&amp;"*"" /stext="" "&amp;TEXT(LHS28-utc_offset/24,"HH")&amp;search_regexp&amp;""""</f>
        <v>#REF!</v>
      </c>
      <c r="LIQ28" s="234" t="e">
        <f>astrogrep_path&amp;" /e /r /s /spath="&amp;search_path&amp;" /stypes=""app*"&amp;LHM28&amp;"*"&amp;TEXT(LHT28-utc_offset/24,"YYYYMMDD")&amp;"*"" /stext="" "&amp;TEXT(LHT28-utc_offset/24,"HH")&amp;search_regexp&amp;""""</f>
        <v>#REF!</v>
      </c>
      <c r="LIR28" s="234" t="e">
        <f>astrogrep_path&amp;" /e /r /s /spath="&amp;search_path&amp;" /stypes=""app*"&amp;LHN28&amp;"*"&amp;TEXT(LHU28-utc_offset/24,"YYYYMMDD")&amp;"*"" /stext="" "&amp;TEXT(LHU28-utc_offset/24,"HH")&amp;search_regexp&amp;""""</f>
        <v>#REF!</v>
      </c>
      <c r="LIS28" s="234" t="e">
        <f>astrogrep_path&amp;" /e /r /s /spath="&amp;search_path&amp;" /stypes=""app*"&amp;LHO28&amp;"*"&amp;TEXT(LHV28-utc_offset/24,"YYYYMMDD")&amp;"*"" /stext="" "&amp;TEXT(LHV28-utc_offset/24,"HH")&amp;search_regexp&amp;""""</f>
        <v>#REF!</v>
      </c>
      <c r="LIT28" s="234" t="e">
        <f>astrogrep_path&amp;" /e /r /s /spath="&amp;search_path&amp;" /stypes=""app*"&amp;LHP28&amp;"*"&amp;TEXT(LHW28-utc_offset/24,"YYYYMMDD")&amp;"*"" /stext="" "&amp;TEXT(LHW28-utc_offset/24,"HH")&amp;search_regexp&amp;""""</f>
        <v>#REF!</v>
      </c>
      <c r="LIU28" s="234" t="e">
        <f>astrogrep_path&amp;" /e /r /s /spath="&amp;search_path&amp;" /stypes=""app*"&amp;LHQ28&amp;"*"&amp;TEXT(LHX28-utc_offset/24,"YYYYMMDD")&amp;"*"" /stext="" "&amp;TEXT(LHX28-utc_offset/24,"HH")&amp;search_regexp&amp;""""</f>
        <v>#REF!</v>
      </c>
      <c r="LIV28" s="234" t="e">
        <f>astrogrep_path&amp;" /e /r /s /spath="&amp;search_path&amp;" /stypes=""app*"&amp;LHR28&amp;"*"&amp;TEXT(LHY28-utc_offset/24,"YYYYMMDD")&amp;"*"" /stext="" "&amp;TEXT(LHY28-utc_offset/24,"HH")&amp;search_regexp&amp;""""</f>
        <v>#REF!</v>
      </c>
      <c r="LIW28" s="234" t="e">
        <f>astrogrep_path&amp;" /e /r /s /spath="&amp;search_path&amp;" /stypes=""app*"&amp;LHS28&amp;"*"&amp;TEXT(LHZ28-utc_offset/24,"YYYYMMDD")&amp;"*"" /stext="" "&amp;TEXT(LHZ28-utc_offset/24,"HH")&amp;search_regexp&amp;""""</f>
        <v>#REF!</v>
      </c>
      <c r="LIX28" s="234" t="e">
        <f>astrogrep_path&amp;" /e /r /s /spath="&amp;search_path&amp;" /stypes=""app*"&amp;LHT28&amp;"*"&amp;TEXT(LIA28-utc_offset/24,"YYYYMMDD")&amp;"*"" /stext="" "&amp;TEXT(LIA28-utc_offset/24,"HH")&amp;search_regexp&amp;""""</f>
        <v>#REF!</v>
      </c>
      <c r="LIY28" s="234" t="e">
        <f>astrogrep_path&amp;" /e /r /s /spath="&amp;search_path&amp;" /stypes=""app*"&amp;LHU28&amp;"*"&amp;TEXT(LIB28-utc_offset/24,"YYYYMMDD")&amp;"*"" /stext="" "&amp;TEXT(LIB28-utc_offset/24,"HH")&amp;search_regexp&amp;""""</f>
        <v>#VALUE!</v>
      </c>
      <c r="LIZ28" s="234" t="e">
        <f>astrogrep_path&amp;" /e /r /s /spath="&amp;search_path&amp;" /stypes=""app*"&amp;LHV28&amp;"*"&amp;TEXT(LIC28-utc_offset/24,"YYYYMMDD")&amp;"*"" /stext="" "&amp;TEXT(LIC28-utc_offset/24,"HH")&amp;search_regexp&amp;""""</f>
        <v>#VALUE!</v>
      </c>
      <c r="LJA28" s="234" t="e">
        <f>astrogrep_path&amp;" /e /r /s /spath="&amp;search_path&amp;" /stypes=""app*"&amp;LHW28&amp;"*"&amp;TEXT(LID28-utc_offset/24,"YYYYMMDD")&amp;"*"" /stext="" "&amp;TEXT(LID28-utc_offset/24,"HH")&amp;search_regexp&amp;""""</f>
        <v>#REF!</v>
      </c>
      <c r="LJB28" s="234" t="e">
        <f>astrogrep_path&amp;" /e /r /s /spath="&amp;search_path&amp;" /stypes=""app*"&amp;LHX28&amp;"*"&amp;TEXT(LIE28-utc_offset/24,"YYYYMMDD")&amp;"*"" /stext="" "&amp;TEXT(LIE28-utc_offset/24,"HH")&amp;search_regexp&amp;""""</f>
        <v>#REF!</v>
      </c>
      <c r="LJC28" s="234" t="e">
        <f>astrogrep_path&amp;" /e /r /s /spath="&amp;search_path&amp;" /stypes=""app*"&amp;LHY28&amp;"*"&amp;TEXT(LIF28-utc_offset/24,"YYYYMMDD")&amp;"*"" /stext="" "&amp;TEXT(LIF28-utc_offset/24,"HH")&amp;search_regexp&amp;""""</f>
        <v>#VALUE!</v>
      </c>
      <c r="LJD28" s="234" t="e">
        <f>astrogrep_path&amp;" /e /r /s /spath="&amp;search_path&amp;" /stypes=""app*"&amp;LHZ28&amp;"*"&amp;TEXT(LIG28-utc_offset/24,"YYYYMMDD")&amp;"*"" /stext="" "&amp;TEXT(LIG28-utc_offset/24,"HH")&amp;search_regexp&amp;""""</f>
        <v>#VALUE!</v>
      </c>
      <c r="LJE28" s="234" t="e">
        <f>astrogrep_path&amp;" /e /r /s /spath="&amp;search_path&amp;" /stypes=""app*"&amp;LIA28&amp;"*"&amp;TEXT(LIH28-utc_offset/24,"YYYYMMDD")&amp;"*"" /stext="" "&amp;TEXT(LIH28-utc_offset/24,"HH")&amp;search_regexp&amp;""""</f>
        <v>#VALUE!</v>
      </c>
      <c r="LJF28" s="234" t="e">
        <f>astrogrep_path&amp;" /e /r /s /spath="&amp;search_path&amp;" /stypes=""app*"&amp;LIB28&amp;"*"&amp;TEXT(LII28-utc_offset/24,"YYYYMMDD")&amp;"*"" /stext="" "&amp;TEXT(LII28-utc_offset/24,"HH")&amp;search_regexp&amp;""""</f>
        <v>#VALUE!</v>
      </c>
      <c r="LJG28" s="234" t="e">
        <f>astrogrep_path&amp;" /e /r /s /spath="&amp;search_path&amp;" /stypes=""app*"&amp;LIC28&amp;"*"&amp;TEXT(LIJ28-utc_offset/24,"YYYYMMDD")&amp;"*"" /stext="" "&amp;TEXT(LIJ28-utc_offset/24,"HH")&amp;search_regexp&amp;""""</f>
        <v>#VALUE!</v>
      </c>
      <c r="LJH28" s="234" t="e">
        <f>astrogrep_path&amp;" /e /r /s /spath="&amp;search_path&amp;" /stypes=""app*"&amp;LID28&amp;"*"&amp;TEXT(LIK28-utc_offset/24,"YYYYMMDD")&amp;"*"" /stext="" "&amp;TEXT(LIK28-utc_offset/24,"HH")&amp;search_regexp&amp;""""</f>
        <v>#REF!</v>
      </c>
      <c r="LJI28" s="234" t="e">
        <f>astrogrep_path&amp;" /e /r /s /spath="&amp;search_path&amp;" /stypes=""app*"&amp;LIE28&amp;"*"&amp;TEXT(LIL28-utc_offset/24,"YYYYMMDD")&amp;"*"" /stext="" "&amp;TEXT(LIL28-utc_offset/24,"HH")&amp;search_regexp&amp;""""</f>
        <v>#REF!</v>
      </c>
      <c r="LJJ28" s="234" t="e">
        <f>astrogrep_path&amp;" /e /r /s /spath="&amp;search_path&amp;" /stypes=""app*"&amp;LIF28&amp;"*"&amp;TEXT(LIM28-utc_offset/24,"YYYYMMDD")&amp;"*"" /stext="" "&amp;TEXT(LIM28-utc_offset/24,"HH")&amp;search_regexp&amp;""""</f>
        <v>#REF!</v>
      </c>
      <c r="LJK28" s="234" t="e">
        <f>astrogrep_path&amp;" /e /r /s /spath="&amp;search_path&amp;" /stypes=""app*"&amp;LIG28&amp;"*"&amp;TEXT(LIN28-utc_offset/24,"YYYYMMDD")&amp;"*"" /stext="" "&amp;TEXT(LIN28-utc_offset/24,"HH")&amp;search_regexp&amp;""""</f>
        <v>#REF!</v>
      </c>
      <c r="LJL28" s="234" t="e">
        <f>astrogrep_path&amp;" /e /r /s /spath="&amp;search_path&amp;" /stypes=""app*"&amp;LIH28&amp;"*"&amp;TEXT(LIO28-utc_offset/24,"YYYYMMDD")&amp;"*"" /stext="" "&amp;TEXT(LIO28-utc_offset/24,"HH")&amp;search_regexp&amp;""""</f>
        <v>#REF!</v>
      </c>
      <c r="LJM28" s="234" t="e">
        <f>astrogrep_path&amp;" /e /r /s /spath="&amp;search_path&amp;" /stypes=""app*"&amp;LII28&amp;"*"&amp;TEXT(LIP28-utc_offset/24,"YYYYMMDD")&amp;"*"" /stext="" "&amp;TEXT(LIP28-utc_offset/24,"HH")&amp;search_regexp&amp;""""</f>
        <v>#REF!</v>
      </c>
      <c r="LJN28" s="234" t="e">
        <f>astrogrep_path&amp;" /e /r /s /spath="&amp;search_path&amp;" /stypes=""app*"&amp;LIJ28&amp;"*"&amp;TEXT(LIQ28-utc_offset/24,"YYYYMMDD")&amp;"*"" /stext="" "&amp;TEXT(LIQ28-utc_offset/24,"HH")&amp;search_regexp&amp;""""</f>
        <v>#REF!</v>
      </c>
      <c r="LJO28" s="234" t="e">
        <f>astrogrep_path&amp;" /e /r /s /spath="&amp;search_path&amp;" /stypes=""app*"&amp;LIK28&amp;"*"&amp;TEXT(LIR28-utc_offset/24,"YYYYMMDD")&amp;"*"" /stext="" "&amp;TEXT(LIR28-utc_offset/24,"HH")&amp;search_regexp&amp;""""</f>
        <v>#REF!</v>
      </c>
      <c r="LJP28" s="234" t="e">
        <f>astrogrep_path&amp;" /e /r /s /spath="&amp;search_path&amp;" /stypes=""app*"&amp;LIL28&amp;"*"&amp;TEXT(LIS28-utc_offset/24,"YYYYMMDD")&amp;"*"" /stext="" "&amp;TEXT(LIS28-utc_offset/24,"HH")&amp;search_regexp&amp;""""</f>
        <v>#REF!</v>
      </c>
      <c r="LJQ28" s="234" t="e">
        <f>astrogrep_path&amp;" /e /r /s /spath="&amp;search_path&amp;" /stypes=""app*"&amp;LIM28&amp;"*"&amp;TEXT(LIT28-utc_offset/24,"YYYYMMDD")&amp;"*"" /stext="" "&amp;TEXT(LIT28-utc_offset/24,"HH")&amp;search_regexp&amp;""""</f>
        <v>#REF!</v>
      </c>
      <c r="LJR28" s="234" t="e">
        <f>astrogrep_path&amp;" /e /r /s /spath="&amp;search_path&amp;" /stypes=""app*"&amp;LIN28&amp;"*"&amp;TEXT(LIU28-utc_offset/24,"YYYYMMDD")&amp;"*"" /stext="" "&amp;TEXT(LIU28-utc_offset/24,"HH")&amp;search_regexp&amp;""""</f>
        <v>#REF!</v>
      </c>
      <c r="LJS28" s="234" t="e">
        <f>astrogrep_path&amp;" /e /r /s /spath="&amp;search_path&amp;" /stypes=""app*"&amp;LIO28&amp;"*"&amp;TEXT(LIV28-utc_offset/24,"YYYYMMDD")&amp;"*"" /stext="" "&amp;TEXT(LIV28-utc_offset/24,"HH")&amp;search_regexp&amp;""""</f>
        <v>#REF!</v>
      </c>
      <c r="LJT28" s="234" t="e">
        <f>astrogrep_path&amp;" /e /r /s /spath="&amp;search_path&amp;" /stypes=""app*"&amp;LIP28&amp;"*"&amp;TEXT(LIW28-utc_offset/24,"YYYYMMDD")&amp;"*"" /stext="" "&amp;TEXT(LIW28-utc_offset/24,"HH")&amp;search_regexp&amp;""""</f>
        <v>#REF!</v>
      </c>
      <c r="LJU28" s="234" t="e">
        <f>astrogrep_path&amp;" /e /r /s /spath="&amp;search_path&amp;" /stypes=""app*"&amp;LIQ28&amp;"*"&amp;TEXT(LIX28-utc_offset/24,"YYYYMMDD")&amp;"*"" /stext="" "&amp;TEXT(LIX28-utc_offset/24,"HH")&amp;search_regexp&amp;""""</f>
        <v>#REF!</v>
      </c>
      <c r="LJV28" s="234" t="e">
        <f>astrogrep_path&amp;" /e /r /s /spath="&amp;search_path&amp;" /stypes=""app*"&amp;LIR28&amp;"*"&amp;TEXT(LIY28-utc_offset/24,"YYYYMMDD")&amp;"*"" /stext="" "&amp;TEXT(LIY28-utc_offset/24,"HH")&amp;search_regexp&amp;""""</f>
        <v>#REF!</v>
      </c>
      <c r="LJW28" s="234" t="e">
        <f>astrogrep_path&amp;" /e /r /s /spath="&amp;search_path&amp;" /stypes=""app*"&amp;LIS28&amp;"*"&amp;TEXT(LIZ28-utc_offset/24,"YYYYMMDD")&amp;"*"" /stext="" "&amp;TEXT(LIZ28-utc_offset/24,"HH")&amp;search_regexp&amp;""""</f>
        <v>#REF!</v>
      </c>
      <c r="LJX28" s="234" t="e">
        <f>astrogrep_path&amp;" /e /r /s /spath="&amp;search_path&amp;" /stypes=""app*"&amp;LIT28&amp;"*"&amp;TEXT(LJA28-utc_offset/24,"YYYYMMDD")&amp;"*"" /stext="" "&amp;TEXT(LJA28-utc_offset/24,"HH")&amp;search_regexp&amp;""""</f>
        <v>#REF!</v>
      </c>
      <c r="LJY28" s="234" t="e">
        <f>astrogrep_path&amp;" /e /r /s /spath="&amp;search_path&amp;" /stypes=""app*"&amp;LIU28&amp;"*"&amp;TEXT(LJB28-utc_offset/24,"YYYYMMDD")&amp;"*"" /stext="" "&amp;TEXT(LJB28-utc_offset/24,"HH")&amp;search_regexp&amp;""""</f>
        <v>#REF!</v>
      </c>
      <c r="LJZ28" s="234" t="e">
        <f>astrogrep_path&amp;" /e /r /s /spath="&amp;search_path&amp;" /stypes=""app*"&amp;LIV28&amp;"*"&amp;TEXT(LJC28-utc_offset/24,"YYYYMMDD")&amp;"*"" /stext="" "&amp;TEXT(LJC28-utc_offset/24,"HH")&amp;search_regexp&amp;""""</f>
        <v>#REF!</v>
      </c>
      <c r="LKA28" s="234" t="e">
        <f>astrogrep_path&amp;" /e /r /s /spath="&amp;search_path&amp;" /stypes=""app*"&amp;LIW28&amp;"*"&amp;TEXT(LJD28-utc_offset/24,"YYYYMMDD")&amp;"*"" /stext="" "&amp;TEXT(LJD28-utc_offset/24,"HH")&amp;search_regexp&amp;""""</f>
        <v>#REF!</v>
      </c>
      <c r="LKB28" s="234" t="e">
        <f>astrogrep_path&amp;" /e /r /s /spath="&amp;search_path&amp;" /stypes=""app*"&amp;LIX28&amp;"*"&amp;TEXT(LJE28-utc_offset/24,"YYYYMMDD")&amp;"*"" /stext="" "&amp;TEXT(LJE28-utc_offset/24,"HH")&amp;search_regexp&amp;""""</f>
        <v>#REF!</v>
      </c>
      <c r="LKC28" s="234" t="e">
        <f>astrogrep_path&amp;" /e /r /s /spath="&amp;search_path&amp;" /stypes=""app*"&amp;LIY28&amp;"*"&amp;TEXT(LJF28-utc_offset/24,"YYYYMMDD")&amp;"*"" /stext="" "&amp;TEXT(LJF28-utc_offset/24,"HH")&amp;search_regexp&amp;""""</f>
        <v>#VALUE!</v>
      </c>
      <c r="LKD28" s="234" t="e">
        <f>astrogrep_path&amp;" /e /r /s /spath="&amp;search_path&amp;" /stypes=""app*"&amp;LIZ28&amp;"*"&amp;TEXT(LJG28-utc_offset/24,"YYYYMMDD")&amp;"*"" /stext="" "&amp;TEXT(LJG28-utc_offset/24,"HH")&amp;search_regexp&amp;""""</f>
        <v>#VALUE!</v>
      </c>
      <c r="LKE28" s="234" t="e">
        <f>astrogrep_path&amp;" /e /r /s /spath="&amp;search_path&amp;" /stypes=""app*"&amp;LJA28&amp;"*"&amp;TEXT(LJH28-utc_offset/24,"YYYYMMDD")&amp;"*"" /stext="" "&amp;TEXT(LJH28-utc_offset/24,"HH")&amp;search_regexp&amp;""""</f>
        <v>#REF!</v>
      </c>
      <c r="LKF28" s="234" t="e">
        <f>astrogrep_path&amp;" /e /r /s /spath="&amp;search_path&amp;" /stypes=""app*"&amp;LJB28&amp;"*"&amp;TEXT(LJI28-utc_offset/24,"YYYYMMDD")&amp;"*"" /stext="" "&amp;TEXT(LJI28-utc_offset/24,"HH")&amp;search_regexp&amp;""""</f>
        <v>#REF!</v>
      </c>
      <c r="LKG28" s="234" t="e">
        <f>astrogrep_path&amp;" /e /r /s /spath="&amp;search_path&amp;" /stypes=""app*"&amp;LJC28&amp;"*"&amp;TEXT(LJJ28-utc_offset/24,"YYYYMMDD")&amp;"*"" /stext="" "&amp;TEXT(LJJ28-utc_offset/24,"HH")&amp;search_regexp&amp;""""</f>
        <v>#VALUE!</v>
      </c>
      <c r="LKH28" s="234" t="e">
        <f>astrogrep_path&amp;" /e /r /s /spath="&amp;search_path&amp;" /stypes=""app*"&amp;LJD28&amp;"*"&amp;TEXT(LJK28-utc_offset/24,"YYYYMMDD")&amp;"*"" /stext="" "&amp;TEXT(LJK28-utc_offset/24,"HH")&amp;search_regexp&amp;""""</f>
        <v>#VALUE!</v>
      </c>
      <c r="LKI28" s="234" t="e">
        <f>astrogrep_path&amp;" /e /r /s /spath="&amp;search_path&amp;" /stypes=""app*"&amp;LJE28&amp;"*"&amp;TEXT(LJL28-utc_offset/24,"YYYYMMDD")&amp;"*"" /stext="" "&amp;TEXT(LJL28-utc_offset/24,"HH")&amp;search_regexp&amp;""""</f>
        <v>#VALUE!</v>
      </c>
      <c r="LKJ28" s="234" t="e">
        <f>astrogrep_path&amp;" /e /r /s /spath="&amp;search_path&amp;" /stypes=""app*"&amp;LJF28&amp;"*"&amp;TEXT(LJM28-utc_offset/24,"YYYYMMDD")&amp;"*"" /stext="" "&amp;TEXT(LJM28-utc_offset/24,"HH")&amp;search_regexp&amp;""""</f>
        <v>#VALUE!</v>
      </c>
      <c r="LKK28" s="234" t="e">
        <f>astrogrep_path&amp;" /e /r /s /spath="&amp;search_path&amp;" /stypes=""app*"&amp;LJG28&amp;"*"&amp;TEXT(LJN28-utc_offset/24,"YYYYMMDD")&amp;"*"" /stext="" "&amp;TEXT(LJN28-utc_offset/24,"HH")&amp;search_regexp&amp;""""</f>
        <v>#VALUE!</v>
      </c>
      <c r="LKL28" s="234" t="e">
        <f>astrogrep_path&amp;" /e /r /s /spath="&amp;search_path&amp;" /stypes=""app*"&amp;LJH28&amp;"*"&amp;TEXT(LJO28-utc_offset/24,"YYYYMMDD")&amp;"*"" /stext="" "&amp;TEXT(LJO28-utc_offset/24,"HH")&amp;search_regexp&amp;""""</f>
        <v>#REF!</v>
      </c>
      <c r="LKM28" s="234" t="e">
        <f>astrogrep_path&amp;" /e /r /s /spath="&amp;search_path&amp;" /stypes=""app*"&amp;LJI28&amp;"*"&amp;TEXT(LJP28-utc_offset/24,"YYYYMMDD")&amp;"*"" /stext="" "&amp;TEXT(LJP28-utc_offset/24,"HH")&amp;search_regexp&amp;""""</f>
        <v>#REF!</v>
      </c>
      <c r="LKN28" s="234" t="e">
        <f>astrogrep_path&amp;" /e /r /s /spath="&amp;search_path&amp;" /stypes=""app*"&amp;LJJ28&amp;"*"&amp;TEXT(LJQ28-utc_offset/24,"YYYYMMDD")&amp;"*"" /stext="" "&amp;TEXT(LJQ28-utc_offset/24,"HH")&amp;search_regexp&amp;""""</f>
        <v>#REF!</v>
      </c>
      <c r="LKO28" s="234" t="e">
        <f>astrogrep_path&amp;" /e /r /s /spath="&amp;search_path&amp;" /stypes=""app*"&amp;LJK28&amp;"*"&amp;TEXT(LJR28-utc_offset/24,"YYYYMMDD")&amp;"*"" /stext="" "&amp;TEXT(LJR28-utc_offset/24,"HH")&amp;search_regexp&amp;""""</f>
        <v>#REF!</v>
      </c>
      <c r="LKP28" s="234" t="e">
        <f>astrogrep_path&amp;" /e /r /s /spath="&amp;search_path&amp;" /stypes=""app*"&amp;LJL28&amp;"*"&amp;TEXT(LJS28-utc_offset/24,"YYYYMMDD")&amp;"*"" /stext="" "&amp;TEXT(LJS28-utc_offset/24,"HH")&amp;search_regexp&amp;""""</f>
        <v>#REF!</v>
      </c>
      <c r="LKQ28" s="234" t="e">
        <f>astrogrep_path&amp;" /e /r /s /spath="&amp;search_path&amp;" /stypes=""app*"&amp;LJM28&amp;"*"&amp;TEXT(LJT28-utc_offset/24,"YYYYMMDD")&amp;"*"" /stext="" "&amp;TEXT(LJT28-utc_offset/24,"HH")&amp;search_regexp&amp;""""</f>
        <v>#REF!</v>
      </c>
      <c r="LKR28" s="234" t="e">
        <f>astrogrep_path&amp;" /e /r /s /spath="&amp;search_path&amp;" /stypes=""app*"&amp;LJN28&amp;"*"&amp;TEXT(LJU28-utc_offset/24,"YYYYMMDD")&amp;"*"" /stext="" "&amp;TEXT(LJU28-utc_offset/24,"HH")&amp;search_regexp&amp;""""</f>
        <v>#REF!</v>
      </c>
      <c r="LKS28" s="234" t="e">
        <f>astrogrep_path&amp;" /e /r /s /spath="&amp;search_path&amp;" /stypes=""app*"&amp;LJO28&amp;"*"&amp;TEXT(LJV28-utc_offset/24,"YYYYMMDD")&amp;"*"" /stext="" "&amp;TEXT(LJV28-utc_offset/24,"HH")&amp;search_regexp&amp;""""</f>
        <v>#REF!</v>
      </c>
      <c r="LKT28" s="234" t="e">
        <f>astrogrep_path&amp;" /e /r /s /spath="&amp;search_path&amp;" /stypes=""app*"&amp;LJP28&amp;"*"&amp;TEXT(LJW28-utc_offset/24,"YYYYMMDD")&amp;"*"" /stext="" "&amp;TEXT(LJW28-utc_offset/24,"HH")&amp;search_regexp&amp;""""</f>
        <v>#REF!</v>
      </c>
      <c r="LKU28" s="234" t="e">
        <f>astrogrep_path&amp;" /e /r /s /spath="&amp;search_path&amp;" /stypes=""app*"&amp;LJQ28&amp;"*"&amp;TEXT(LJX28-utc_offset/24,"YYYYMMDD")&amp;"*"" /stext="" "&amp;TEXT(LJX28-utc_offset/24,"HH")&amp;search_regexp&amp;""""</f>
        <v>#REF!</v>
      </c>
      <c r="LKV28" s="234" t="e">
        <f>astrogrep_path&amp;" /e /r /s /spath="&amp;search_path&amp;" /stypes=""app*"&amp;LJR28&amp;"*"&amp;TEXT(LJY28-utc_offset/24,"YYYYMMDD")&amp;"*"" /stext="" "&amp;TEXT(LJY28-utc_offset/24,"HH")&amp;search_regexp&amp;""""</f>
        <v>#REF!</v>
      </c>
      <c r="LKW28" s="234" t="e">
        <f>astrogrep_path&amp;" /e /r /s /spath="&amp;search_path&amp;" /stypes=""app*"&amp;LJS28&amp;"*"&amp;TEXT(LJZ28-utc_offset/24,"YYYYMMDD")&amp;"*"" /stext="" "&amp;TEXT(LJZ28-utc_offset/24,"HH")&amp;search_regexp&amp;""""</f>
        <v>#REF!</v>
      </c>
      <c r="LKX28" s="234" t="e">
        <f>astrogrep_path&amp;" /e /r /s /spath="&amp;search_path&amp;" /stypes=""app*"&amp;LJT28&amp;"*"&amp;TEXT(LKA28-utc_offset/24,"YYYYMMDD")&amp;"*"" /stext="" "&amp;TEXT(LKA28-utc_offset/24,"HH")&amp;search_regexp&amp;""""</f>
        <v>#REF!</v>
      </c>
      <c r="LKY28" s="234" t="e">
        <f>astrogrep_path&amp;" /e /r /s /spath="&amp;search_path&amp;" /stypes=""app*"&amp;LJU28&amp;"*"&amp;TEXT(LKB28-utc_offset/24,"YYYYMMDD")&amp;"*"" /stext="" "&amp;TEXT(LKB28-utc_offset/24,"HH")&amp;search_regexp&amp;""""</f>
        <v>#REF!</v>
      </c>
      <c r="LKZ28" s="234" t="e">
        <f>astrogrep_path&amp;" /e /r /s /spath="&amp;search_path&amp;" /stypes=""app*"&amp;LJV28&amp;"*"&amp;TEXT(LKC28-utc_offset/24,"YYYYMMDD")&amp;"*"" /stext="" "&amp;TEXT(LKC28-utc_offset/24,"HH")&amp;search_regexp&amp;""""</f>
        <v>#REF!</v>
      </c>
      <c r="LLA28" s="234" t="e">
        <f>astrogrep_path&amp;" /e /r /s /spath="&amp;search_path&amp;" /stypes=""app*"&amp;LJW28&amp;"*"&amp;TEXT(LKD28-utc_offset/24,"YYYYMMDD")&amp;"*"" /stext="" "&amp;TEXT(LKD28-utc_offset/24,"HH")&amp;search_regexp&amp;""""</f>
        <v>#REF!</v>
      </c>
      <c r="LLB28" s="234" t="e">
        <f>astrogrep_path&amp;" /e /r /s /spath="&amp;search_path&amp;" /stypes=""app*"&amp;LJX28&amp;"*"&amp;TEXT(LKE28-utc_offset/24,"YYYYMMDD")&amp;"*"" /stext="" "&amp;TEXT(LKE28-utc_offset/24,"HH")&amp;search_regexp&amp;""""</f>
        <v>#REF!</v>
      </c>
      <c r="LLC28" s="234" t="e">
        <f>astrogrep_path&amp;" /e /r /s /spath="&amp;search_path&amp;" /stypes=""app*"&amp;LJY28&amp;"*"&amp;TEXT(LKF28-utc_offset/24,"YYYYMMDD")&amp;"*"" /stext="" "&amp;TEXT(LKF28-utc_offset/24,"HH")&amp;search_regexp&amp;""""</f>
        <v>#REF!</v>
      </c>
      <c r="LLD28" s="234" t="e">
        <f>astrogrep_path&amp;" /e /r /s /spath="&amp;search_path&amp;" /stypes=""app*"&amp;LJZ28&amp;"*"&amp;TEXT(LKG28-utc_offset/24,"YYYYMMDD")&amp;"*"" /stext="" "&amp;TEXT(LKG28-utc_offset/24,"HH")&amp;search_regexp&amp;""""</f>
        <v>#REF!</v>
      </c>
      <c r="LLE28" s="234" t="e">
        <f>astrogrep_path&amp;" /e /r /s /spath="&amp;search_path&amp;" /stypes=""app*"&amp;LKA28&amp;"*"&amp;TEXT(LKH28-utc_offset/24,"YYYYMMDD")&amp;"*"" /stext="" "&amp;TEXT(LKH28-utc_offset/24,"HH")&amp;search_regexp&amp;""""</f>
        <v>#REF!</v>
      </c>
      <c r="LLF28" s="234" t="e">
        <f>astrogrep_path&amp;" /e /r /s /spath="&amp;search_path&amp;" /stypes=""app*"&amp;LKB28&amp;"*"&amp;TEXT(LKI28-utc_offset/24,"YYYYMMDD")&amp;"*"" /stext="" "&amp;TEXT(LKI28-utc_offset/24,"HH")&amp;search_regexp&amp;""""</f>
        <v>#REF!</v>
      </c>
      <c r="LLG28" s="234" t="e">
        <f>astrogrep_path&amp;" /e /r /s /spath="&amp;search_path&amp;" /stypes=""app*"&amp;LKC28&amp;"*"&amp;TEXT(LKJ28-utc_offset/24,"YYYYMMDD")&amp;"*"" /stext="" "&amp;TEXT(LKJ28-utc_offset/24,"HH")&amp;search_regexp&amp;""""</f>
        <v>#VALUE!</v>
      </c>
      <c r="LLH28" s="234" t="e">
        <f>astrogrep_path&amp;" /e /r /s /spath="&amp;search_path&amp;" /stypes=""app*"&amp;LKD28&amp;"*"&amp;TEXT(LKK28-utc_offset/24,"YYYYMMDD")&amp;"*"" /stext="" "&amp;TEXT(LKK28-utc_offset/24,"HH")&amp;search_regexp&amp;""""</f>
        <v>#VALUE!</v>
      </c>
      <c r="LLI28" s="234" t="e">
        <f>astrogrep_path&amp;" /e /r /s /spath="&amp;search_path&amp;" /stypes=""app*"&amp;LKE28&amp;"*"&amp;TEXT(LKL28-utc_offset/24,"YYYYMMDD")&amp;"*"" /stext="" "&amp;TEXT(LKL28-utc_offset/24,"HH")&amp;search_regexp&amp;""""</f>
        <v>#REF!</v>
      </c>
      <c r="LLJ28" s="234" t="e">
        <f>astrogrep_path&amp;" /e /r /s /spath="&amp;search_path&amp;" /stypes=""app*"&amp;LKF28&amp;"*"&amp;TEXT(LKM28-utc_offset/24,"YYYYMMDD")&amp;"*"" /stext="" "&amp;TEXT(LKM28-utc_offset/24,"HH")&amp;search_regexp&amp;""""</f>
        <v>#REF!</v>
      </c>
      <c r="LLK28" s="234" t="e">
        <f>astrogrep_path&amp;" /e /r /s /spath="&amp;search_path&amp;" /stypes=""app*"&amp;LKG28&amp;"*"&amp;TEXT(LKN28-utc_offset/24,"YYYYMMDD")&amp;"*"" /stext="" "&amp;TEXT(LKN28-utc_offset/24,"HH")&amp;search_regexp&amp;""""</f>
        <v>#VALUE!</v>
      </c>
      <c r="LLL28" s="234" t="e">
        <f>astrogrep_path&amp;" /e /r /s /spath="&amp;search_path&amp;" /stypes=""app*"&amp;LKH28&amp;"*"&amp;TEXT(LKO28-utc_offset/24,"YYYYMMDD")&amp;"*"" /stext="" "&amp;TEXT(LKO28-utc_offset/24,"HH")&amp;search_regexp&amp;""""</f>
        <v>#VALUE!</v>
      </c>
      <c r="LLM28" s="234" t="e">
        <f>astrogrep_path&amp;" /e /r /s /spath="&amp;search_path&amp;" /stypes=""app*"&amp;LKI28&amp;"*"&amp;TEXT(LKP28-utc_offset/24,"YYYYMMDD")&amp;"*"" /stext="" "&amp;TEXT(LKP28-utc_offset/24,"HH")&amp;search_regexp&amp;""""</f>
        <v>#VALUE!</v>
      </c>
      <c r="LLN28" s="234" t="e">
        <f>astrogrep_path&amp;" /e /r /s /spath="&amp;search_path&amp;" /stypes=""app*"&amp;LKJ28&amp;"*"&amp;TEXT(LKQ28-utc_offset/24,"YYYYMMDD")&amp;"*"" /stext="" "&amp;TEXT(LKQ28-utc_offset/24,"HH")&amp;search_regexp&amp;""""</f>
        <v>#VALUE!</v>
      </c>
      <c r="LLO28" s="234" t="e">
        <f>astrogrep_path&amp;" /e /r /s /spath="&amp;search_path&amp;" /stypes=""app*"&amp;LKK28&amp;"*"&amp;TEXT(LKR28-utc_offset/24,"YYYYMMDD")&amp;"*"" /stext="" "&amp;TEXT(LKR28-utc_offset/24,"HH")&amp;search_regexp&amp;""""</f>
        <v>#VALUE!</v>
      </c>
      <c r="LLP28" s="234" t="e">
        <f>astrogrep_path&amp;" /e /r /s /spath="&amp;search_path&amp;" /stypes=""app*"&amp;LKL28&amp;"*"&amp;TEXT(LKS28-utc_offset/24,"YYYYMMDD")&amp;"*"" /stext="" "&amp;TEXT(LKS28-utc_offset/24,"HH")&amp;search_regexp&amp;""""</f>
        <v>#REF!</v>
      </c>
      <c r="LLQ28" s="234" t="e">
        <f>astrogrep_path&amp;" /e /r /s /spath="&amp;search_path&amp;" /stypes=""app*"&amp;LKM28&amp;"*"&amp;TEXT(LKT28-utc_offset/24,"YYYYMMDD")&amp;"*"" /stext="" "&amp;TEXT(LKT28-utc_offset/24,"HH")&amp;search_regexp&amp;""""</f>
        <v>#REF!</v>
      </c>
      <c r="LLR28" s="234" t="e">
        <f>astrogrep_path&amp;" /e /r /s /spath="&amp;search_path&amp;" /stypes=""app*"&amp;LKN28&amp;"*"&amp;TEXT(LKU28-utc_offset/24,"YYYYMMDD")&amp;"*"" /stext="" "&amp;TEXT(LKU28-utc_offset/24,"HH")&amp;search_regexp&amp;""""</f>
        <v>#REF!</v>
      </c>
      <c r="LLS28" s="234" t="e">
        <f>astrogrep_path&amp;" /e /r /s /spath="&amp;search_path&amp;" /stypes=""app*"&amp;LKO28&amp;"*"&amp;TEXT(LKV28-utc_offset/24,"YYYYMMDD")&amp;"*"" /stext="" "&amp;TEXT(LKV28-utc_offset/24,"HH")&amp;search_regexp&amp;""""</f>
        <v>#REF!</v>
      </c>
      <c r="LLT28" s="234" t="e">
        <f>astrogrep_path&amp;" /e /r /s /spath="&amp;search_path&amp;" /stypes=""app*"&amp;LKP28&amp;"*"&amp;TEXT(LKW28-utc_offset/24,"YYYYMMDD")&amp;"*"" /stext="" "&amp;TEXT(LKW28-utc_offset/24,"HH")&amp;search_regexp&amp;""""</f>
        <v>#REF!</v>
      </c>
      <c r="LLU28" s="234" t="e">
        <f>astrogrep_path&amp;" /e /r /s /spath="&amp;search_path&amp;" /stypes=""app*"&amp;LKQ28&amp;"*"&amp;TEXT(LKX28-utc_offset/24,"YYYYMMDD")&amp;"*"" /stext="" "&amp;TEXT(LKX28-utc_offset/24,"HH")&amp;search_regexp&amp;""""</f>
        <v>#REF!</v>
      </c>
      <c r="LLV28" s="234" t="e">
        <f>astrogrep_path&amp;" /e /r /s /spath="&amp;search_path&amp;" /stypes=""app*"&amp;LKR28&amp;"*"&amp;TEXT(LKY28-utc_offset/24,"YYYYMMDD")&amp;"*"" /stext="" "&amp;TEXT(LKY28-utc_offset/24,"HH")&amp;search_regexp&amp;""""</f>
        <v>#REF!</v>
      </c>
      <c r="LLW28" s="234" t="e">
        <f>astrogrep_path&amp;" /e /r /s /spath="&amp;search_path&amp;" /stypes=""app*"&amp;LKS28&amp;"*"&amp;TEXT(LKZ28-utc_offset/24,"YYYYMMDD")&amp;"*"" /stext="" "&amp;TEXT(LKZ28-utc_offset/24,"HH")&amp;search_regexp&amp;""""</f>
        <v>#REF!</v>
      </c>
      <c r="LLX28" s="234" t="e">
        <f>astrogrep_path&amp;" /e /r /s /spath="&amp;search_path&amp;" /stypes=""app*"&amp;LKT28&amp;"*"&amp;TEXT(LLA28-utc_offset/24,"YYYYMMDD")&amp;"*"" /stext="" "&amp;TEXT(LLA28-utc_offset/24,"HH")&amp;search_regexp&amp;""""</f>
        <v>#REF!</v>
      </c>
      <c r="LLY28" s="234" t="e">
        <f>astrogrep_path&amp;" /e /r /s /spath="&amp;search_path&amp;" /stypes=""app*"&amp;LKU28&amp;"*"&amp;TEXT(LLB28-utc_offset/24,"YYYYMMDD")&amp;"*"" /stext="" "&amp;TEXT(LLB28-utc_offset/24,"HH")&amp;search_regexp&amp;""""</f>
        <v>#REF!</v>
      </c>
      <c r="LLZ28" s="234" t="e">
        <f>astrogrep_path&amp;" /e /r /s /spath="&amp;search_path&amp;" /stypes=""app*"&amp;LKV28&amp;"*"&amp;TEXT(LLC28-utc_offset/24,"YYYYMMDD")&amp;"*"" /stext="" "&amp;TEXT(LLC28-utc_offset/24,"HH")&amp;search_regexp&amp;""""</f>
        <v>#REF!</v>
      </c>
      <c r="LMA28" s="234" t="e">
        <f>astrogrep_path&amp;" /e /r /s /spath="&amp;search_path&amp;" /stypes=""app*"&amp;LKW28&amp;"*"&amp;TEXT(LLD28-utc_offset/24,"YYYYMMDD")&amp;"*"" /stext="" "&amp;TEXT(LLD28-utc_offset/24,"HH")&amp;search_regexp&amp;""""</f>
        <v>#REF!</v>
      </c>
      <c r="LMB28" s="234" t="e">
        <f>astrogrep_path&amp;" /e /r /s /spath="&amp;search_path&amp;" /stypes=""app*"&amp;LKX28&amp;"*"&amp;TEXT(LLE28-utc_offset/24,"YYYYMMDD")&amp;"*"" /stext="" "&amp;TEXT(LLE28-utc_offset/24,"HH")&amp;search_regexp&amp;""""</f>
        <v>#REF!</v>
      </c>
      <c r="LMC28" s="234" t="e">
        <f>astrogrep_path&amp;" /e /r /s /spath="&amp;search_path&amp;" /stypes=""app*"&amp;LKY28&amp;"*"&amp;TEXT(LLF28-utc_offset/24,"YYYYMMDD")&amp;"*"" /stext="" "&amp;TEXT(LLF28-utc_offset/24,"HH")&amp;search_regexp&amp;""""</f>
        <v>#REF!</v>
      </c>
      <c r="LMD28" s="234" t="e">
        <f>astrogrep_path&amp;" /e /r /s /spath="&amp;search_path&amp;" /stypes=""app*"&amp;LKZ28&amp;"*"&amp;TEXT(LLG28-utc_offset/24,"YYYYMMDD")&amp;"*"" /stext="" "&amp;TEXT(LLG28-utc_offset/24,"HH")&amp;search_regexp&amp;""""</f>
        <v>#REF!</v>
      </c>
      <c r="LME28" s="234" t="e">
        <f>astrogrep_path&amp;" /e /r /s /spath="&amp;search_path&amp;" /stypes=""app*"&amp;LLA28&amp;"*"&amp;TEXT(LLH28-utc_offset/24,"YYYYMMDD")&amp;"*"" /stext="" "&amp;TEXT(LLH28-utc_offset/24,"HH")&amp;search_regexp&amp;""""</f>
        <v>#REF!</v>
      </c>
      <c r="LMF28" s="234" t="e">
        <f>astrogrep_path&amp;" /e /r /s /spath="&amp;search_path&amp;" /stypes=""app*"&amp;LLB28&amp;"*"&amp;TEXT(LLI28-utc_offset/24,"YYYYMMDD")&amp;"*"" /stext="" "&amp;TEXT(LLI28-utc_offset/24,"HH")&amp;search_regexp&amp;""""</f>
        <v>#REF!</v>
      </c>
      <c r="LMG28" s="234" t="e">
        <f>astrogrep_path&amp;" /e /r /s /spath="&amp;search_path&amp;" /stypes=""app*"&amp;LLC28&amp;"*"&amp;TEXT(LLJ28-utc_offset/24,"YYYYMMDD")&amp;"*"" /stext="" "&amp;TEXT(LLJ28-utc_offset/24,"HH")&amp;search_regexp&amp;""""</f>
        <v>#REF!</v>
      </c>
      <c r="LMH28" s="234" t="e">
        <f>astrogrep_path&amp;" /e /r /s /spath="&amp;search_path&amp;" /stypes=""app*"&amp;LLD28&amp;"*"&amp;TEXT(LLK28-utc_offset/24,"YYYYMMDD")&amp;"*"" /stext="" "&amp;TEXT(LLK28-utc_offset/24,"HH")&amp;search_regexp&amp;""""</f>
        <v>#REF!</v>
      </c>
      <c r="LMI28" s="234" t="e">
        <f>astrogrep_path&amp;" /e /r /s /spath="&amp;search_path&amp;" /stypes=""app*"&amp;LLE28&amp;"*"&amp;TEXT(LLL28-utc_offset/24,"YYYYMMDD")&amp;"*"" /stext="" "&amp;TEXT(LLL28-utc_offset/24,"HH")&amp;search_regexp&amp;""""</f>
        <v>#REF!</v>
      </c>
      <c r="LMJ28" s="234" t="e">
        <f>astrogrep_path&amp;" /e /r /s /spath="&amp;search_path&amp;" /stypes=""app*"&amp;LLF28&amp;"*"&amp;TEXT(LLM28-utc_offset/24,"YYYYMMDD")&amp;"*"" /stext="" "&amp;TEXT(LLM28-utc_offset/24,"HH")&amp;search_regexp&amp;""""</f>
        <v>#REF!</v>
      </c>
      <c r="LMK28" s="234" t="e">
        <f>astrogrep_path&amp;" /e /r /s /spath="&amp;search_path&amp;" /stypes=""app*"&amp;LLG28&amp;"*"&amp;TEXT(LLN28-utc_offset/24,"YYYYMMDD")&amp;"*"" /stext="" "&amp;TEXT(LLN28-utc_offset/24,"HH")&amp;search_regexp&amp;""""</f>
        <v>#VALUE!</v>
      </c>
      <c r="LML28" s="234" t="e">
        <f>astrogrep_path&amp;" /e /r /s /spath="&amp;search_path&amp;" /stypes=""app*"&amp;LLH28&amp;"*"&amp;TEXT(LLO28-utc_offset/24,"YYYYMMDD")&amp;"*"" /stext="" "&amp;TEXT(LLO28-utc_offset/24,"HH")&amp;search_regexp&amp;""""</f>
        <v>#VALUE!</v>
      </c>
      <c r="LMM28" s="234" t="e">
        <f>astrogrep_path&amp;" /e /r /s /spath="&amp;search_path&amp;" /stypes=""app*"&amp;LLI28&amp;"*"&amp;TEXT(LLP28-utc_offset/24,"YYYYMMDD")&amp;"*"" /stext="" "&amp;TEXT(LLP28-utc_offset/24,"HH")&amp;search_regexp&amp;""""</f>
        <v>#REF!</v>
      </c>
      <c r="LMN28" s="234" t="e">
        <f>astrogrep_path&amp;" /e /r /s /spath="&amp;search_path&amp;" /stypes=""app*"&amp;LLJ28&amp;"*"&amp;TEXT(LLQ28-utc_offset/24,"YYYYMMDD")&amp;"*"" /stext="" "&amp;TEXT(LLQ28-utc_offset/24,"HH")&amp;search_regexp&amp;""""</f>
        <v>#REF!</v>
      </c>
      <c r="LMO28" s="234" t="e">
        <f>astrogrep_path&amp;" /e /r /s /spath="&amp;search_path&amp;" /stypes=""app*"&amp;LLK28&amp;"*"&amp;TEXT(LLR28-utc_offset/24,"YYYYMMDD")&amp;"*"" /stext="" "&amp;TEXT(LLR28-utc_offset/24,"HH")&amp;search_regexp&amp;""""</f>
        <v>#VALUE!</v>
      </c>
      <c r="LMP28" s="234" t="e">
        <f>astrogrep_path&amp;" /e /r /s /spath="&amp;search_path&amp;" /stypes=""app*"&amp;LLL28&amp;"*"&amp;TEXT(LLS28-utc_offset/24,"YYYYMMDD")&amp;"*"" /stext="" "&amp;TEXT(LLS28-utc_offset/24,"HH")&amp;search_regexp&amp;""""</f>
        <v>#VALUE!</v>
      </c>
      <c r="LMQ28" s="234" t="e">
        <f>astrogrep_path&amp;" /e /r /s /spath="&amp;search_path&amp;" /stypes=""app*"&amp;LLM28&amp;"*"&amp;TEXT(LLT28-utc_offset/24,"YYYYMMDD")&amp;"*"" /stext="" "&amp;TEXT(LLT28-utc_offset/24,"HH")&amp;search_regexp&amp;""""</f>
        <v>#VALUE!</v>
      </c>
      <c r="LMR28" s="234" t="e">
        <f>astrogrep_path&amp;" /e /r /s /spath="&amp;search_path&amp;" /stypes=""app*"&amp;LLN28&amp;"*"&amp;TEXT(LLU28-utc_offset/24,"YYYYMMDD")&amp;"*"" /stext="" "&amp;TEXT(LLU28-utc_offset/24,"HH")&amp;search_regexp&amp;""""</f>
        <v>#VALUE!</v>
      </c>
      <c r="LMS28" s="234" t="e">
        <f>astrogrep_path&amp;" /e /r /s /spath="&amp;search_path&amp;" /stypes=""app*"&amp;LLO28&amp;"*"&amp;TEXT(LLV28-utc_offset/24,"YYYYMMDD")&amp;"*"" /stext="" "&amp;TEXT(LLV28-utc_offset/24,"HH")&amp;search_regexp&amp;""""</f>
        <v>#VALUE!</v>
      </c>
      <c r="LMT28" s="234" t="e">
        <f>astrogrep_path&amp;" /e /r /s /spath="&amp;search_path&amp;" /stypes=""app*"&amp;LLP28&amp;"*"&amp;TEXT(LLW28-utc_offset/24,"YYYYMMDD")&amp;"*"" /stext="" "&amp;TEXT(LLW28-utc_offset/24,"HH")&amp;search_regexp&amp;""""</f>
        <v>#REF!</v>
      </c>
      <c r="LMU28" s="234" t="e">
        <f>astrogrep_path&amp;" /e /r /s /spath="&amp;search_path&amp;" /stypes=""app*"&amp;LLQ28&amp;"*"&amp;TEXT(LLX28-utc_offset/24,"YYYYMMDD")&amp;"*"" /stext="" "&amp;TEXT(LLX28-utc_offset/24,"HH")&amp;search_regexp&amp;""""</f>
        <v>#REF!</v>
      </c>
      <c r="LMV28" s="234" t="e">
        <f>astrogrep_path&amp;" /e /r /s /spath="&amp;search_path&amp;" /stypes=""app*"&amp;LLR28&amp;"*"&amp;TEXT(LLY28-utc_offset/24,"YYYYMMDD")&amp;"*"" /stext="" "&amp;TEXT(LLY28-utc_offset/24,"HH")&amp;search_regexp&amp;""""</f>
        <v>#REF!</v>
      </c>
      <c r="LMW28" s="234" t="e">
        <f>astrogrep_path&amp;" /e /r /s /spath="&amp;search_path&amp;" /stypes=""app*"&amp;LLS28&amp;"*"&amp;TEXT(LLZ28-utc_offset/24,"YYYYMMDD")&amp;"*"" /stext="" "&amp;TEXT(LLZ28-utc_offset/24,"HH")&amp;search_regexp&amp;""""</f>
        <v>#REF!</v>
      </c>
      <c r="LMX28" s="234" t="e">
        <f>astrogrep_path&amp;" /e /r /s /spath="&amp;search_path&amp;" /stypes=""app*"&amp;LLT28&amp;"*"&amp;TEXT(LMA28-utc_offset/24,"YYYYMMDD")&amp;"*"" /stext="" "&amp;TEXT(LMA28-utc_offset/24,"HH")&amp;search_regexp&amp;""""</f>
        <v>#REF!</v>
      </c>
      <c r="LMY28" s="234" t="e">
        <f>astrogrep_path&amp;" /e /r /s /spath="&amp;search_path&amp;" /stypes=""app*"&amp;LLU28&amp;"*"&amp;TEXT(LMB28-utc_offset/24,"YYYYMMDD")&amp;"*"" /stext="" "&amp;TEXT(LMB28-utc_offset/24,"HH")&amp;search_regexp&amp;""""</f>
        <v>#REF!</v>
      </c>
      <c r="LMZ28" s="234" t="e">
        <f>astrogrep_path&amp;" /e /r /s /spath="&amp;search_path&amp;" /stypes=""app*"&amp;LLV28&amp;"*"&amp;TEXT(LMC28-utc_offset/24,"YYYYMMDD")&amp;"*"" /stext="" "&amp;TEXT(LMC28-utc_offset/24,"HH")&amp;search_regexp&amp;""""</f>
        <v>#REF!</v>
      </c>
      <c r="LNA28" s="234" t="e">
        <f>astrogrep_path&amp;" /e /r /s /spath="&amp;search_path&amp;" /stypes=""app*"&amp;LLW28&amp;"*"&amp;TEXT(LMD28-utc_offset/24,"YYYYMMDD")&amp;"*"" /stext="" "&amp;TEXT(LMD28-utc_offset/24,"HH")&amp;search_regexp&amp;""""</f>
        <v>#REF!</v>
      </c>
      <c r="LNB28" s="234" t="e">
        <f>astrogrep_path&amp;" /e /r /s /spath="&amp;search_path&amp;" /stypes=""app*"&amp;LLX28&amp;"*"&amp;TEXT(LME28-utc_offset/24,"YYYYMMDD")&amp;"*"" /stext="" "&amp;TEXT(LME28-utc_offset/24,"HH")&amp;search_regexp&amp;""""</f>
        <v>#REF!</v>
      </c>
      <c r="LNC28" s="234" t="e">
        <f>astrogrep_path&amp;" /e /r /s /spath="&amp;search_path&amp;" /stypes=""app*"&amp;LLY28&amp;"*"&amp;TEXT(LMF28-utc_offset/24,"YYYYMMDD")&amp;"*"" /stext="" "&amp;TEXT(LMF28-utc_offset/24,"HH")&amp;search_regexp&amp;""""</f>
        <v>#REF!</v>
      </c>
      <c r="LND28" s="234" t="e">
        <f>astrogrep_path&amp;" /e /r /s /spath="&amp;search_path&amp;" /stypes=""app*"&amp;LLZ28&amp;"*"&amp;TEXT(LMG28-utc_offset/24,"YYYYMMDD")&amp;"*"" /stext="" "&amp;TEXT(LMG28-utc_offset/24,"HH")&amp;search_regexp&amp;""""</f>
        <v>#REF!</v>
      </c>
      <c r="LNE28" s="234" t="e">
        <f>astrogrep_path&amp;" /e /r /s /spath="&amp;search_path&amp;" /stypes=""app*"&amp;LMA28&amp;"*"&amp;TEXT(LMH28-utc_offset/24,"YYYYMMDD")&amp;"*"" /stext="" "&amp;TEXT(LMH28-utc_offset/24,"HH")&amp;search_regexp&amp;""""</f>
        <v>#REF!</v>
      </c>
      <c r="LNF28" s="234" t="e">
        <f>astrogrep_path&amp;" /e /r /s /spath="&amp;search_path&amp;" /stypes=""app*"&amp;LMB28&amp;"*"&amp;TEXT(LMI28-utc_offset/24,"YYYYMMDD")&amp;"*"" /stext="" "&amp;TEXT(LMI28-utc_offset/24,"HH")&amp;search_regexp&amp;""""</f>
        <v>#REF!</v>
      </c>
      <c r="LNG28" s="234" t="e">
        <f>astrogrep_path&amp;" /e /r /s /spath="&amp;search_path&amp;" /stypes=""app*"&amp;LMC28&amp;"*"&amp;TEXT(LMJ28-utc_offset/24,"YYYYMMDD")&amp;"*"" /stext="" "&amp;TEXT(LMJ28-utc_offset/24,"HH")&amp;search_regexp&amp;""""</f>
        <v>#REF!</v>
      </c>
      <c r="LNH28" s="234" t="e">
        <f>astrogrep_path&amp;" /e /r /s /spath="&amp;search_path&amp;" /stypes=""app*"&amp;LMD28&amp;"*"&amp;TEXT(LMK28-utc_offset/24,"YYYYMMDD")&amp;"*"" /stext="" "&amp;TEXT(LMK28-utc_offset/24,"HH")&amp;search_regexp&amp;""""</f>
        <v>#REF!</v>
      </c>
      <c r="LNI28" s="234" t="e">
        <f>astrogrep_path&amp;" /e /r /s /spath="&amp;search_path&amp;" /stypes=""app*"&amp;LME28&amp;"*"&amp;TEXT(LML28-utc_offset/24,"YYYYMMDD")&amp;"*"" /stext="" "&amp;TEXT(LML28-utc_offset/24,"HH")&amp;search_regexp&amp;""""</f>
        <v>#REF!</v>
      </c>
      <c r="LNJ28" s="234" t="e">
        <f>astrogrep_path&amp;" /e /r /s /spath="&amp;search_path&amp;" /stypes=""app*"&amp;LMF28&amp;"*"&amp;TEXT(LMM28-utc_offset/24,"YYYYMMDD")&amp;"*"" /stext="" "&amp;TEXT(LMM28-utc_offset/24,"HH")&amp;search_regexp&amp;""""</f>
        <v>#REF!</v>
      </c>
      <c r="LNK28" s="234" t="e">
        <f>astrogrep_path&amp;" /e /r /s /spath="&amp;search_path&amp;" /stypes=""app*"&amp;LMG28&amp;"*"&amp;TEXT(LMN28-utc_offset/24,"YYYYMMDD")&amp;"*"" /stext="" "&amp;TEXT(LMN28-utc_offset/24,"HH")&amp;search_regexp&amp;""""</f>
        <v>#REF!</v>
      </c>
      <c r="LNL28" s="234" t="e">
        <f>astrogrep_path&amp;" /e /r /s /spath="&amp;search_path&amp;" /stypes=""app*"&amp;LMH28&amp;"*"&amp;TEXT(LMO28-utc_offset/24,"YYYYMMDD")&amp;"*"" /stext="" "&amp;TEXT(LMO28-utc_offset/24,"HH")&amp;search_regexp&amp;""""</f>
        <v>#REF!</v>
      </c>
      <c r="LNM28" s="234" t="e">
        <f>astrogrep_path&amp;" /e /r /s /spath="&amp;search_path&amp;" /stypes=""app*"&amp;LMI28&amp;"*"&amp;TEXT(LMP28-utc_offset/24,"YYYYMMDD")&amp;"*"" /stext="" "&amp;TEXT(LMP28-utc_offset/24,"HH")&amp;search_regexp&amp;""""</f>
        <v>#REF!</v>
      </c>
      <c r="LNN28" s="234" t="e">
        <f>astrogrep_path&amp;" /e /r /s /spath="&amp;search_path&amp;" /stypes=""app*"&amp;LMJ28&amp;"*"&amp;TEXT(LMQ28-utc_offset/24,"YYYYMMDD")&amp;"*"" /stext="" "&amp;TEXT(LMQ28-utc_offset/24,"HH")&amp;search_regexp&amp;""""</f>
        <v>#REF!</v>
      </c>
      <c r="LNO28" s="234" t="e">
        <f>astrogrep_path&amp;" /e /r /s /spath="&amp;search_path&amp;" /stypes=""app*"&amp;LMK28&amp;"*"&amp;TEXT(LMR28-utc_offset/24,"YYYYMMDD")&amp;"*"" /stext="" "&amp;TEXT(LMR28-utc_offset/24,"HH")&amp;search_regexp&amp;""""</f>
        <v>#VALUE!</v>
      </c>
      <c r="LNP28" s="234" t="e">
        <f>astrogrep_path&amp;" /e /r /s /spath="&amp;search_path&amp;" /stypes=""app*"&amp;LML28&amp;"*"&amp;TEXT(LMS28-utc_offset/24,"YYYYMMDD")&amp;"*"" /stext="" "&amp;TEXT(LMS28-utc_offset/24,"HH")&amp;search_regexp&amp;""""</f>
        <v>#VALUE!</v>
      </c>
      <c r="LNQ28" s="234" t="e">
        <f>astrogrep_path&amp;" /e /r /s /spath="&amp;search_path&amp;" /stypes=""app*"&amp;LMM28&amp;"*"&amp;TEXT(LMT28-utc_offset/24,"YYYYMMDD")&amp;"*"" /stext="" "&amp;TEXT(LMT28-utc_offset/24,"HH")&amp;search_regexp&amp;""""</f>
        <v>#REF!</v>
      </c>
      <c r="LNR28" s="234" t="e">
        <f>astrogrep_path&amp;" /e /r /s /spath="&amp;search_path&amp;" /stypes=""app*"&amp;LMN28&amp;"*"&amp;TEXT(LMU28-utc_offset/24,"YYYYMMDD")&amp;"*"" /stext="" "&amp;TEXT(LMU28-utc_offset/24,"HH")&amp;search_regexp&amp;""""</f>
        <v>#REF!</v>
      </c>
      <c r="LNS28" s="234" t="e">
        <f>astrogrep_path&amp;" /e /r /s /spath="&amp;search_path&amp;" /stypes=""app*"&amp;LMO28&amp;"*"&amp;TEXT(LMV28-utc_offset/24,"YYYYMMDD")&amp;"*"" /stext="" "&amp;TEXT(LMV28-utc_offset/24,"HH")&amp;search_regexp&amp;""""</f>
        <v>#VALUE!</v>
      </c>
      <c r="LNT28" s="234" t="e">
        <f>astrogrep_path&amp;" /e /r /s /spath="&amp;search_path&amp;" /stypes=""app*"&amp;LMP28&amp;"*"&amp;TEXT(LMW28-utc_offset/24,"YYYYMMDD")&amp;"*"" /stext="" "&amp;TEXT(LMW28-utc_offset/24,"HH")&amp;search_regexp&amp;""""</f>
        <v>#VALUE!</v>
      </c>
      <c r="LNU28" s="234" t="e">
        <f>astrogrep_path&amp;" /e /r /s /spath="&amp;search_path&amp;" /stypes=""app*"&amp;LMQ28&amp;"*"&amp;TEXT(LMX28-utc_offset/24,"YYYYMMDD")&amp;"*"" /stext="" "&amp;TEXT(LMX28-utc_offset/24,"HH")&amp;search_regexp&amp;""""</f>
        <v>#VALUE!</v>
      </c>
      <c r="LNV28" s="234" t="e">
        <f>astrogrep_path&amp;" /e /r /s /spath="&amp;search_path&amp;" /stypes=""app*"&amp;LMR28&amp;"*"&amp;TEXT(LMY28-utc_offset/24,"YYYYMMDD")&amp;"*"" /stext="" "&amp;TEXT(LMY28-utc_offset/24,"HH")&amp;search_regexp&amp;""""</f>
        <v>#VALUE!</v>
      </c>
      <c r="LNW28" s="234" t="e">
        <f>astrogrep_path&amp;" /e /r /s /spath="&amp;search_path&amp;" /stypes=""app*"&amp;LMS28&amp;"*"&amp;TEXT(LMZ28-utc_offset/24,"YYYYMMDD")&amp;"*"" /stext="" "&amp;TEXT(LMZ28-utc_offset/24,"HH")&amp;search_regexp&amp;""""</f>
        <v>#VALUE!</v>
      </c>
      <c r="LNX28" s="234" t="e">
        <f>astrogrep_path&amp;" /e /r /s /spath="&amp;search_path&amp;" /stypes=""app*"&amp;LMT28&amp;"*"&amp;TEXT(LNA28-utc_offset/24,"YYYYMMDD")&amp;"*"" /stext="" "&amp;TEXT(LNA28-utc_offset/24,"HH")&amp;search_regexp&amp;""""</f>
        <v>#REF!</v>
      </c>
      <c r="LNY28" s="234" t="e">
        <f>astrogrep_path&amp;" /e /r /s /spath="&amp;search_path&amp;" /stypes=""app*"&amp;LMU28&amp;"*"&amp;TEXT(LNB28-utc_offset/24,"YYYYMMDD")&amp;"*"" /stext="" "&amp;TEXT(LNB28-utc_offset/24,"HH")&amp;search_regexp&amp;""""</f>
        <v>#REF!</v>
      </c>
      <c r="LNZ28" s="234" t="e">
        <f>astrogrep_path&amp;" /e /r /s /spath="&amp;search_path&amp;" /stypes=""app*"&amp;LMV28&amp;"*"&amp;TEXT(LNC28-utc_offset/24,"YYYYMMDD")&amp;"*"" /stext="" "&amp;TEXT(LNC28-utc_offset/24,"HH")&amp;search_regexp&amp;""""</f>
        <v>#REF!</v>
      </c>
      <c r="LOA28" s="234" t="e">
        <f>astrogrep_path&amp;" /e /r /s /spath="&amp;search_path&amp;" /stypes=""app*"&amp;LMW28&amp;"*"&amp;TEXT(LND28-utc_offset/24,"YYYYMMDD")&amp;"*"" /stext="" "&amp;TEXT(LND28-utc_offset/24,"HH")&amp;search_regexp&amp;""""</f>
        <v>#REF!</v>
      </c>
      <c r="LOB28" s="234" t="e">
        <f>astrogrep_path&amp;" /e /r /s /spath="&amp;search_path&amp;" /stypes=""app*"&amp;LMX28&amp;"*"&amp;TEXT(LNE28-utc_offset/24,"YYYYMMDD")&amp;"*"" /stext="" "&amp;TEXT(LNE28-utc_offset/24,"HH")&amp;search_regexp&amp;""""</f>
        <v>#REF!</v>
      </c>
      <c r="LOC28" s="234" t="e">
        <f>astrogrep_path&amp;" /e /r /s /spath="&amp;search_path&amp;" /stypes=""app*"&amp;LMY28&amp;"*"&amp;TEXT(LNF28-utc_offset/24,"YYYYMMDD")&amp;"*"" /stext="" "&amp;TEXT(LNF28-utc_offset/24,"HH")&amp;search_regexp&amp;""""</f>
        <v>#REF!</v>
      </c>
      <c r="LOD28" s="234" t="e">
        <f>astrogrep_path&amp;" /e /r /s /spath="&amp;search_path&amp;" /stypes=""app*"&amp;LMZ28&amp;"*"&amp;TEXT(LNG28-utc_offset/24,"YYYYMMDD")&amp;"*"" /stext="" "&amp;TEXT(LNG28-utc_offset/24,"HH")&amp;search_regexp&amp;""""</f>
        <v>#REF!</v>
      </c>
      <c r="LOE28" s="234" t="e">
        <f>astrogrep_path&amp;" /e /r /s /spath="&amp;search_path&amp;" /stypes=""app*"&amp;LNA28&amp;"*"&amp;TEXT(LNH28-utc_offset/24,"YYYYMMDD")&amp;"*"" /stext="" "&amp;TEXT(LNH28-utc_offset/24,"HH")&amp;search_regexp&amp;""""</f>
        <v>#REF!</v>
      </c>
      <c r="LOF28" s="234" t="e">
        <f>astrogrep_path&amp;" /e /r /s /spath="&amp;search_path&amp;" /stypes=""app*"&amp;LNB28&amp;"*"&amp;TEXT(LNI28-utc_offset/24,"YYYYMMDD")&amp;"*"" /stext="" "&amp;TEXT(LNI28-utc_offset/24,"HH")&amp;search_regexp&amp;""""</f>
        <v>#REF!</v>
      </c>
      <c r="LOG28" s="234" t="e">
        <f>astrogrep_path&amp;" /e /r /s /spath="&amp;search_path&amp;" /stypes=""app*"&amp;LNC28&amp;"*"&amp;TEXT(LNJ28-utc_offset/24,"YYYYMMDD")&amp;"*"" /stext="" "&amp;TEXT(LNJ28-utc_offset/24,"HH")&amp;search_regexp&amp;""""</f>
        <v>#REF!</v>
      </c>
      <c r="LOH28" s="234" t="e">
        <f>astrogrep_path&amp;" /e /r /s /spath="&amp;search_path&amp;" /stypes=""app*"&amp;LND28&amp;"*"&amp;TEXT(LNK28-utc_offset/24,"YYYYMMDD")&amp;"*"" /stext="" "&amp;TEXT(LNK28-utc_offset/24,"HH")&amp;search_regexp&amp;""""</f>
        <v>#REF!</v>
      </c>
      <c r="LOI28" s="234" t="e">
        <f>astrogrep_path&amp;" /e /r /s /spath="&amp;search_path&amp;" /stypes=""app*"&amp;LNE28&amp;"*"&amp;TEXT(LNL28-utc_offset/24,"YYYYMMDD")&amp;"*"" /stext="" "&amp;TEXT(LNL28-utc_offset/24,"HH")&amp;search_regexp&amp;""""</f>
        <v>#REF!</v>
      </c>
      <c r="LOJ28" s="234" t="e">
        <f>astrogrep_path&amp;" /e /r /s /spath="&amp;search_path&amp;" /stypes=""app*"&amp;LNF28&amp;"*"&amp;TEXT(LNM28-utc_offset/24,"YYYYMMDD")&amp;"*"" /stext="" "&amp;TEXT(LNM28-utc_offset/24,"HH")&amp;search_regexp&amp;""""</f>
        <v>#REF!</v>
      </c>
      <c r="LOK28" s="234" t="e">
        <f>astrogrep_path&amp;" /e /r /s /spath="&amp;search_path&amp;" /stypes=""app*"&amp;LNG28&amp;"*"&amp;TEXT(LNN28-utc_offset/24,"YYYYMMDD")&amp;"*"" /stext="" "&amp;TEXT(LNN28-utc_offset/24,"HH")&amp;search_regexp&amp;""""</f>
        <v>#REF!</v>
      </c>
      <c r="LOL28" s="234" t="e">
        <f>astrogrep_path&amp;" /e /r /s /spath="&amp;search_path&amp;" /stypes=""app*"&amp;LNH28&amp;"*"&amp;TEXT(LNO28-utc_offset/24,"YYYYMMDD")&amp;"*"" /stext="" "&amp;TEXT(LNO28-utc_offset/24,"HH")&amp;search_regexp&amp;""""</f>
        <v>#REF!</v>
      </c>
      <c r="LOM28" s="234" t="e">
        <f>astrogrep_path&amp;" /e /r /s /spath="&amp;search_path&amp;" /stypes=""app*"&amp;LNI28&amp;"*"&amp;TEXT(LNP28-utc_offset/24,"YYYYMMDD")&amp;"*"" /stext="" "&amp;TEXT(LNP28-utc_offset/24,"HH")&amp;search_regexp&amp;""""</f>
        <v>#REF!</v>
      </c>
      <c r="LON28" s="234" t="e">
        <f>astrogrep_path&amp;" /e /r /s /spath="&amp;search_path&amp;" /stypes=""app*"&amp;LNJ28&amp;"*"&amp;TEXT(LNQ28-utc_offset/24,"YYYYMMDD")&amp;"*"" /stext="" "&amp;TEXT(LNQ28-utc_offset/24,"HH")&amp;search_regexp&amp;""""</f>
        <v>#REF!</v>
      </c>
      <c r="LOO28" s="234" t="e">
        <f>astrogrep_path&amp;" /e /r /s /spath="&amp;search_path&amp;" /stypes=""app*"&amp;LNK28&amp;"*"&amp;TEXT(LNR28-utc_offset/24,"YYYYMMDD")&amp;"*"" /stext="" "&amp;TEXT(LNR28-utc_offset/24,"HH")&amp;search_regexp&amp;""""</f>
        <v>#REF!</v>
      </c>
      <c r="LOP28" s="234" t="e">
        <f>astrogrep_path&amp;" /e /r /s /spath="&amp;search_path&amp;" /stypes=""app*"&amp;LNL28&amp;"*"&amp;TEXT(LNS28-utc_offset/24,"YYYYMMDD")&amp;"*"" /stext="" "&amp;TEXT(LNS28-utc_offset/24,"HH")&amp;search_regexp&amp;""""</f>
        <v>#REF!</v>
      </c>
      <c r="LOQ28" s="234" t="e">
        <f>astrogrep_path&amp;" /e /r /s /spath="&amp;search_path&amp;" /stypes=""app*"&amp;LNM28&amp;"*"&amp;TEXT(LNT28-utc_offset/24,"YYYYMMDD")&amp;"*"" /stext="" "&amp;TEXT(LNT28-utc_offset/24,"HH")&amp;search_regexp&amp;""""</f>
        <v>#REF!</v>
      </c>
      <c r="LOR28" s="234" t="e">
        <f>astrogrep_path&amp;" /e /r /s /spath="&amp;search_path&amp;" /stypes=""app*"&amp;LNN28&amp;"*"&amp;TEXT(LNU28-utc_offset/24,"YYYYMMDD")&amp;"*"" /stext="" "&amp;TEXT(LNU28-utc_offset/24,"HH")&amp;search_regexp&amp;""""</f>
        <v>#REF!</v>
      </c>
      <c r="LOS28" s="234" t="e">
        <f>astrogrep_path&amp;" /e /r /s /spath="&amp;search_path&amp;" /stypes=""app*"&amp;LNO28&amp;"*"&amp;TEXT(LNV28-utc_offset/24,"YYYYMMDD")&amp;"*"" /stext="" "&amp;TEXT(LNV28-utc_offset/24,"HH")&amp;search_regexp&amp;""""</f>
        <v>#VALUE!</v>
      </c>
      <c r="LOT28" s="234" t="e">
        <f>astrogrep_path&amp;" /e /r /s /spath="&amp;search_path&amp;" /stypes=""app*"&amp;LNP28&amp;"*"&amp;TEXT(LNW28-utc_offset/24,"YYYYMMDD")&amp;"*"" /stext="" "&amp;TEXT(LNW28-utc_offset/24,"HH")&amp;search_regexp&amp;""""</f>
        <v>#VALUE!</v>
      </c>
      <c r="LOU28" s="234" t="e">
        <f>astrogrep_path&amp;" /e /r /s /spath="&amp;search_path&amp;" /stypes=""app*"&amp;LNQ28&amp;"*"&amp;TEXT(LNX28-utc_offset/24,"YYYYMMDD")&amp;"*"" /stext="" "&amp;TEXT(LNX28-utc_offset/24,"HH")&amp;search_regexp&amp;""""</f>
        <v>#REF!</v>
      </c>
      <c r="LOV28" s="234" t="e">
        <f>astrogrep_path&amp;" /e /r /s /spath="&amp;search_path&amp;" /stypes=""app*"&amp;LNR28&amp;"*"&amp;TEXT(LNY28-utc_offset/24,"YYYYMMDD")&amp;"*"" /stext="" "&amp;TEXT(LNY28-utc_offset/24,"HH")&amp;search_regexp&amp;""""</f>
        <v>#REF!</v>
      </c>
      <c r="LOW28" s="234" t="e">
        <f>astrogrep_path&amp;" /e /r /s /spath="&amp;search_path&amp;" /stypes=""app*"&amp;LNS28&amp;"*"&amp;TEXT(LNZ28-utc_offset/24,"YYYYMMDD")&amp;"*"" /stext="" "&amp;TEXT(LNZ28-utc_offset/24,"HH")&amp;search_regexp&amp;""""</f>
        <v>#VALUE!</v>
      </c>
      <c r="LOX28" s="234" t="e">
        <f>astrogrep_path&amp;" /e /r /s /spath="&amp;search_path&amp;" /stypes=""app*"&amp;LNT28&amp;"*"&amp;TEXT(LOA28-utc_offset/24,"YYYYMMDD")&amp;"*"" /stext="" "&amp;TEXT(LOA28-utc_offset/24,"HH")&amp;search_regexp&amp;""""</f>
        <v>#VALUE!</v>
      </c>
      <c r="LOY28" s="234" t="e">
        <f>astrogrep_path&amp;" /e /r /s /spath="&amp;search_path&amp;" /stypes=""app*"&amp;LNU28&amp;"*"&amp;TEXT(LOB28-utc_offset/24,"YYYYMMDD")&amp;"*"" /stext="" "&amp;TEXT(LOB28-utc_offset/24,"HH")&amp;search_regexp&amp;""""</f>
        <v>#VALUE!</v>
      </c>
      <c r="LOZ28" s="234" t="e">
        <f>astrogrep_path&amp;" /e /r /s /spath="&amp;search_path&amp;" /stypes=""app*"&amp;LNV28&amp;"*"&amp;TEXT(LOC28-utc_offset/24,"YYYYMMDD")&amp;"*"" /stext="" "&amp;TEXT(LOC28-utc_offset/24,"HH")&amp;search_regexp&amp;""""</f>
        <v>#VALUE!</v>
      </c>
      <c r="LPA28" s="234" t="e">
        <f>astrogrep_path&amp;" /e /r /s /spath="&amp;search_path&amp;" /stypes=""app*"&amp;LNW28&amp;"*"&amp;TEXT(LOD28-utc_offset/24,"YYYYMMDD")&amp;"*"" /stext="" "&amp;TEXT(LOD28-utc_offset/24,"HH")&amp;search_regexp&amp;""""</f>
        <v>#VALUE!</v>
      </c>
      <c r="LPB28" s="234" t="e">
        <f>astrogrep_path&amp;" /e /r /s /spath="&amp;search_path&amp;" /stypes=""app*"&amp;LNX28&amp;"*"&amp;TEXT(LOE28-utc_offset/24,"YYYYMMDD")&amp;"*"" /stext="" "&amp;TEXT(LOE28-utc_offset/24,"HH")&amp;search_regexp&amp;""""</f>
        <v>#REF!</v>
      </c>
      <c r="LPC28" s="234" t="e">
        <f>astrogrep_path&amp;" /e /r /s /spath="&amp;search_path&amp;" /stypes=""app*"&amp;LNY28&amp;"*"&amp;TEXT(LOF28-utc_offset/24,"YYYYMMDD")&amp;"*"" /stext="" "&amp;TEXT(LOF28-utc_offset/24,"HH")&amp;search_regexp&amp;""""</f>
        <v>#REF!</v>
      </c>
      <c r="LPD28" s="234" t="e">
        <f>astrogrep_path&amp;" /e /r /s /spath="&amp;search_path&amp;" /stypes=""app*"&amp;LNZ28&amp;"*"&amp;TEXT(LOG28-utc_offset/24,"YYYYMMDD")&amp;"*"" /stext="" "&amp;TEXT(LOG28-utc_offset/24,"HH")&amp;search_regexp&amp;""""</f>
        <v>#REF!</v>
      </c>
      <c r="LPE28" s="234" t="e">
        <f>astrogrep_path&amp;" /e /r /s /spath="&amp;search_path&amp;" /stypes=""app*"&amp;LOA28&amp;"*"&amp;TEXT(LOH28-utc_offset/24,"YYYYMMDD")&amp;"*"" /stext="" "&amp;TEXT(LOH28-utc_offset/24,"HH")&amp;search_regexp&amp;""""</f>
        <v>#REF!</v>
      </c>
      <c r="LPF28" s="234" t="e">
        <f>astrogrep_path&amp;" /e /r /s /spath="&amp;search_path&amp;" /stypes=""app*"&amp;LOB28&amp;"*"&amp;TEXT(LOI28-utc_offset/24,"YYYYMMDD")&amp;"*"" /stext="" "&amp;TEXT(LOI28-utc_offset/24,"HH")&amp;search_regexp&amp;""""</f>
        <v>#REF!</v>
      </c>
      <c r="LPG28" s="234" t="e">
        <f>astrogrep_path&amp;" /e /r /s /spath="&amp;search_path&amp;" /stypes=""app*"&amp;LOC28&amp;"*"&amp;TEXT(LOJ28-utc_offset/24,"YYYYMMDD")&amp;"*"" /stext="" "&amp;TEXT(LOJ28-utc_offset/24,"HH")&amp;search_regexp&amp;""""</f>
        <v>#REF!</v>
      </c>
      <c r="LPH28" s="234" t="e">
        <f>astrogrep_path&amp;" /e /r /s /spath="&amp;search_path&amp;" /stypes=""app*"&amp;LOD28&amp;"*"&amp;TEXT(LOK28-utc_offset/24,"YYYYMMDD")&amp;"*"" /stext="" "&amp;TEXT(LOK28-utc_offset/24,"HH")&amp;search_regexp&amp;""""</f>
        <v>#REF!</v>
      </c>
      <c r="LPI28" s="234" t="e">
        <f>astrogrep_path&amp;" /e /r /s /spath="&amp;search_path&amp;" /stypes=""app*"&amp;LOE28&amp;"*"&amp;TEXT(LOL28-utc_offset/24,"YYYYMMDD")&amp;"*"" /stext="" "&amp;TEXT(LOL28-utc_offset/24,"HH")&amp;search_regexp&amp;""""</f>
        <v>#REF!</v>
      </c>
      <c r="LPJ28" s="234" t="e">
        <f>astrogrep_path&amp;" /e /r /s /spath="&amp;search_path&amp;" /stypes=""app*"&amp;LOF28&amp;"*"&amp;TEXT(LOM28-utc_offset/24,"YYYYMMDD")&amp;"*"" /stext="" "&amp;TEXT(LOM28-utc_offset/24,"HH")&amp;search_regexp&amp;""""</f>
        <v>#REF!</v>
      </c>
      <c r="LPK28" s="234" t="e">
        <f>astrogrep_path&amp;" /e /r /s /spath="&amp;search_path&amp;" /stypes=""app*"&amp;LOG28&amp;"*"&amp;TEXT(LON28-utc_offset/24,"YYYYMMDD")&amp;"*"" /stext="" "&amp;TEXT(LON28-utc_offset/24,"HH")&amp;search_regexp&amp;""""</f>
        <v>#REF!</v>
      </c>
      <c r="LPL28" s="234" t="e">
        <f>astrogrep_path&amp;" /e /r /s /spath="&amp;search_path&amp;" /stypes=""app*"&amp;LOH28&amp;"*"&amp;TEXT(LOO28-utc_offset/24,"YYYYMMDD")&amp;"*"" /stext="" "&amp;TEXT(LOO28-utc_offset/24,"HH")&amp;search_regexp&amp;""""</f>
        <v>#REF!</v>
      </c>
      <c r="LPM28" s="234" t="e">
        <f>astrogrep_path&amp;" /e /r /s /spath="&amp;search_path&amp;" /stypes=""app*"&amp;LOI28&amp;"*"&amp;TEXT(LOP28-utc_offset/24,"YYYYMMDD")&amp;"*"" /stext="" "&amp;TEXT(LOP28-utc_offset/24,"HH")&amp;search_regexp&amp;""""</f>
        <v>#REF!</v>
      </c>
      <c r="LPN28" s="234" t="e">
        <f>astrogrep_path&amp;" /e /r /s /spath="&amp;search_path&amp;" /stypes=""app*"&amp;LOJ28&amp;"*"&amp;TEXT(LOQ28-utc_offset/24,"YYYYMMDD")&amp;"*"" /stext="" "&amp;TEXT(LOQ28-utc_offset/24,"HH")&amp;search_regexp&amp;""""</f>
        <v>#REF!</v>
      </c>
      <c r="LPO28" s="234" t="e">
        <f>astrogrep_path&amp;" /e /r /s /spath="&amp;search_path&amp;" /stypes=""app*"&amp;LOK28&amp;"*"&amp;TEXT(LOR28-utc_offset/24,"YYYYMMDD")&amp;"*"" /stext="" "&amp;TEXT(LOR28-utc_offset/24,"HH")&amp;search_regexp&amp;""""</f>
        <v>#REF!</v>
      </c>
      <c r="LPP28" s="234" t="e">
        <f>astrogrep_path&amp;" /e /r /s /spath="&amp;search_path&amp;" /stypes=""app*"&amp;LOL28&amp;"*"&amp;TEXT(LOS28-utc_offset/24,"YYYYMMDD")&amp;"*"" /stext="" "&amp;TEXT(LOS28-utc_offset/24,"HH")&amp;search_regexp&amp;""""</f>
        <v>#REF!</v>
      </c>
      <c r="LPQ28" s="234" t="e">
        <f>astrogrep_path&amp;" /e /r /s /spath="&amp;search_path&amp;" /stypes=""app*"&amp;LOM28&amp;"*"&amp;TEXT(LOT28-utc_offset/24,"YYYYMMDD")&amp;"*"" /stext="" "&amp;TEXT(LOT28-utc_offset/24,"HH")&amp;search_regexp&amp;""""</f>
        <v>#REF!</v>
      </c>
      <c r="LPR28" s="234" t="e">
        <f>astrogrep_path&amp;" /e /r /s /spath="&amp;search_path&amp;" /stypes=""app*"&amp;LON28&amp;"*"&amp;TEXT(LOU28-utc_offset/24,"YYYYMMDD")&amp;"*"" /stext="" "&amp;TEXT(LOU28-utc_offset/24,"HH")&amp;search_regexp&amp;""""</f>
        <v>#REF!</v>
      </c>
      <c r="LPS28" s="234" t="e">
        <f>astrogrep_path&amp;" /e /r /s /spath="&amp;search_path&amp;" /stypes=""app*"&amp;LOO28&amp;"*"&amp;TEXT(LOV28-utc_offset/24,"YYYYMMDD")&amp;"*"" /stext="" "&amp;TEXT(LOV28-utc_offset/24,"HH")&amp;search_regexp&amp;""""</f>
        <v>#REF!</v>
      </c>
      <c r="LPT28" s="234" t="e">
        <f>astrogrep_path&amp;" /e /r /s /spath="&amp;search_path&amp;" /stypes=""app*"&amp;LOP28&amp;"*"&amp;TEXT(LOW28-utc_offset/24,"YYYYMMDD")&amp;"*"" /stext="" "&amp;TEXT(LOW28-utc_offset/24,"HH")&amp;search_regexp&amp;""""</f>
        <v>#REF!</v>
      </c>
      <c r="LPU28" s="234" t="e">
        <f>astrogrep_path&amp;" /e /r /s /spath="&amp;search_path&amp;" /stypes=""app*"&amp;LOQ28&amp;"*"&amp;TEXT(LOX28-utc_offset/24,"YYYYMMDD")&amp;"*"" /stext="" "&amp;TEXT(LOX28-utc_offset/24,"HH")&amp;search_regexp&amp;""""</f>
        <v>#REF!</v>
      </c>
      <c r="LPV28" s="234" t="e">
        <f>astrogrep_path&amp;" /e /r /s /spath="&amp;search_path&amp;" /stypes=""app*"&amp;LOR28&amp;"*"&amp;TEXT(LOY28-utc_offset/24,"YYYYMMDD")&amp;"*"" /stext="" "&amp;TEXT(LOY28-utc_offset/24,"HH")&amp;search_regexp&amp;""""</f>
        <v>#REF!</v>
      </c>
      <c r="LPW28" s="234" t="e">
        <f>astrogrep_path&amp;" /e /r /s /spath="&amp;search_path&amp;" /stypes=""app*"&amp;LOS28&amp;"*"&amp;TEXT(LOZ28-utc_offset/24,"YYYYMMDD")&amp;"*"" /stext="" "&amp;TEXT(LOZ28-utc_offset/24,"HH")&amp;search_regexp&amp;""""</f>
        <v>#VALUE!</v>
      </c>
      <c r="LPX28" s="234" t="e">
        <f>astrogrep_path&amp;" /e /r /s /spath="&amp;search_path&amp;" /stypes=""app*"&amp;LOT28&amp;"*"&amp;TEXT(LPA28-utc_offset/24,"YYYYMMDD")&amp;"*"" /stext="" "&amp;TEXT(LPA28-utc_offset/24,"HH")&amp;search_regexp&amp;""""</f>
        <v>#VALUE!</v>
      </c>
      <c r="LPY28" s="234" t="e">
        <f>astrogrep_path&amp;" /e /r /s /spath="&amp;search_path&amp;" /stypes=""app*"&amp;LOU28&amp;"*"&amp;TEXT(LPB28-utc_offset/24,"YYYYMMDD")&amp;"*"" /stext="" "&amp;TEXT(LPB28-utc_offset/24,"HH")&amp;search_regexp&amp;""""</f>
        <v>#REF!</v>
      </c>
      <c r="LPZ28" s="234" t="e">
        <f>astrogrep_path&amp;" /e /r /s /spath="&amp;search_path&amp;" /stypes=""app*"&amp;LOV28&amp;"*"&amp;TEXT(LPC28-utc_offset/24,"YYYYMMDD")&amp;"*"" /stext="" "&amp;TEXT(LPC28-utc_offset/24,"HH")&amp;search_regexp&amp;""""</f>
        <v>#REF!</v>
      </c>
      <c r="LQA28" s="234" t="e">
        <f>astrogrep_path&amp;" /e /r /s /spath="&amp;search_path&amp;" /stypes=""app*"&amp;LOW28&amp;"*"&amp;TEXT(LPD28-utc_offset/24,"YYYYMMDD")&amp;"*"" /stext="" "&amp;TEXT(LPD28-utc_offset/24,"HH")&amp;search_regexp&amp;""""</f>
        <v>#VALUE!</v>
      </c>
      <c r="LQB28" s="234" t="e">
        <f>astrogrep_path&amp;" /e /r /s /spath="&amp;search_path&amp;" /stypes=""app*"&amp;LOX28&amp;"*"&amp;TEXT(LPE28-utc_offset/24,"YYYYMMDD")&amp;"*"" /stext="" "&amp;TEXT(LPE28-utc_offset/24,"HH")&amp;search_regexp&amp;""""</f>
        <v>#VALUE!</v>
      </c>
      <c r="LQC28" s="234" t="e">
        <f>astrogrep_path&amp;" /e /r /s /spath="&amp;search_path&amp;" /stypes=""app*"&amp;LOY28&amp;"*"&amp;TEXT(LPF28-utc_offset/24,"YYYYMMDD")&amp;"*"" /stext="" "&amp;TEXT(LPF28-utc_offset/24,"HH")&amp;search_regexp&amp;""""</f>
        <v>#VALUE!</v>
      </c>
      <c r="LQD28" s="234" t="e">
        <f>astrogrep_path&amp;" /e /r /s /spath="&amp;search_path&amp;" /stypes=""app*"&amp;LOZ28&amp;"*"&amp;TEXT(LPG28-utc_offset/24,"YYYYMMDD")&amp;"*"" /stext="" "&amp;TEXT(LPG28-utc_offset/24,"HH")&amp;search_regexp&amp;""""</f>
        <v>#VALUE!</v>
      </c>
      <c r="LQE28" s="234" t="e">
        <f>astrogrep_path&amp;" /e /r /s /spath="&amp;search_path&amp;" /stypes=""app*"&amp;LPA28&amp;"*"&amp;TEXT(LPH28-utc_offset/24,"YYYYMMDD")&amp;"*"" /stext="" "&amp;TEXT(LPH28-utc_offset/24,"HH")&amp;search_regexp&amp;""""</f>
        <v>#VALUE!</v>
      </c>
      <c r="LQF28" s="234" t="e">
        <f>astrogrep_path&amp;" /e /r /s /spath="&amp;search_path&amp;" /stypes=""app*"&amp;LPB28&amp;"*"&amp;TEXT(LPI28-utc_offset/24,"YYYYMMDD")&amp;"*"" /stext="" "&amp;TEXT(LPI28-utc_offset/24,"HH")&amp;search_regexp&amp;""""</f>
        <v>#REF!</v>
      </c>
      <c r="LQG28" s="234" t="e">
        <f>astrogrep_path&amp;" /e /r /s /spath="&amp;search_path&amp;" /stypes=""app*"&amp;LPC28&amp;"*"&amp;TEXT(LPJ28-utc_offset/24,"YYYYMMDD")&amp;"*"" /stext="" "&amp;TEXT(LPJ28-utc_offset/24,"HH")&amp;search_regexp&amp;""""</f>
        <v>#REF!</v>
      </c>
      <c r="LQH28" s="234" t="e">
        <f>astrogrep_path&amp;" /e /r /s /spath="&amp;search_path&amp;" /stypes=""app*"&amp;LPD28&amp;"*"&amp;TEXT(LPK28-utc_offset/24,"YYYYMMDD")&amp;"*"" /stext="" "&amp;TEXT(LPK28-utc_offset/24,"HH")&amp;search_regexp&amp;""""</f>
        <v>#REF!</v>
      </c>
      <c r="LQI28" s="234" t="e">
        <f>astrogrep_path&amp;" /e /r /s /spath="&amp;search_path&amp;" /stypes=""app*"&amp;LPE28&amp;"*"&amp;TEXT(LPL28-utc_offset/24,"YYYYMMDD")&amp;"*"" /stext="" "&amp;TEXT(LPL28-utc_offset/24,"HH")&amp;search_regexp&amp;""""</f>
        <v>#REF!</v>
      </c>
      <c r="LQJ28" s="234" t="e">
        <f>astrogrep_path&amp;" /e /r /s /spath="&amp;search_path&amp;" /stypes=""app*"&amp;LPF28&amp;"*"&amp;TEXT(LPM28-utc_offset/24,"YYYYMMDD")&amp;"*"" /stext="" "&amp;TEXT(LPM28-utc_offset/24,"HH")&amp;search_regexp&amp;""""</f>
        <v>#REF!</v>
      </c>
      <c r="LQK28" s="234" t="e">
        <f>astrogrep_path&amp;" /e /r /s /spath="&amp;search_path&amp;" /stypes=""app*"&amp;LPG28&amp;"*"&amp;TEXT(LPN28-utc_offset/24,"YYYYMMDD")&amp;"*"" /stext="" "&amp;TEXT(LPN28-utc_offset/24,"HH")&amp;search_regexp&amp;""""</f>
        <v>#REF!</v>
      </c>
      <c r="LQL28" s="234" t="e">
        <f>astrogrep_path&amp;" /e /r /s /spath="&amp;search_path&amp;" /stypes=""app*"&amp;LPH28&amp;"*"&amp;TEXT(LPO28-utc_offset/24,"YYYYMMDD")&amp;"*"" /stext="" "&amp;TEXT(LPO28-utc_offset/24,"HH")&amp;search_regexp&amp;""""</f>
        <v>#REF!</v>
      </c>
      <c r="LQM28" s="234" t="e">
        <f>astrogrep_path&amp;" /e /r /s /spath="&amp;search_path&amp;" /stypes=""app*"&amp;LPI28&amp;"*"&amp;TEXT(LPP28-utc_offset/24,"YYYYMMDD")&amp;"*"" /stext="" "&amp;TEXT(LPP28-utc_offset/24,"HH")&amp;search_regexp&amp;""""</f>
        <v>#REF!</v>
      </c>
      <c r="LQN28" s="234" t="e">
        <f>astrogrep_path&amp;" /e /r /s /spath="&amp;search_path&amp;" /stypes=""app*"&amp;LPJ28&amp;"*"&amp;TEXT(LPQ28-utc_offset/24,"YYYYMMDD")&amp;"*"" /stext="" "&amp;TEXT(LPQ28-utc_offset/24,"HH")&amp;search_regexp&amp;""""</f>
        <v>#REF!</v>
      </c>
      <c r="LQO28" s="234" t="e">
        <f>astrogrep_path&amp;" /e /r /s /spath="&amp;search_path&amp;" /stypes=""app*"&amp;LPK28&amp;"*"&amp;TEXT(LPR28-utc_offset/24,"YYYYMMDD")&amp;"*"" /stext="" "&amp;TEXT(LPR28-utc_offset/24,"HH")&amp;search_regexp&amp;""""</f>
        <v>#REF!</v>
      </c>
      <c r="LQP28" s="234" t="e">
        <f>astrogrep_path&amp;" /e /r /s /spath="&amp;search_path&amp;" /stypes=""app*"&amp;LPL28&amp;"*"&amp;TEXT(LPS28-utc_offset/24,"YYYYMMDD")&amp;"*"" /stext="" "&amp;TEXT(LPS28-utc_offset/24,"HH")&amp;search_regexp&amp;""""</f>
        <v>#REF!</v>
      </c>
      <c r="LQQ28" s="234" t="e">
        <f>astrogrep_path&amp;" /e /r /s /spath="&amp;search_path&amp;" /stypes=""app*"&amp;LPM28&amp;"*"&amp;TEXT(LPT28-utc_offset/24,"YYYYMMDD")&amp;"*"" /stext="" "&amp;TEXT(LPT28-utc_offset/24,"HH")&amp;search_regexp&amp;""""</f>
        <v>#REF!</v>
      </c>
      <c r="LQR28" s="234" t="e">
        <f>astrogrep_path&amp;" /e /r /s /spath="&amp;search_path&amp;" /stypes=""app*"&amp;LPN28&amp;"*"&amp;TEXT(LPU28-utc_offset/24,"YYYYMMDD")&amp;"*"" /stext="" "&amp;TEXT(LPU28-utc_offset/24,"HH")&amp;search_regexp&amp;""""</f>
        <v>#REF!</v>
      </c>
      <c r="LQS28" s="234" t="e">
        <f>astrogrep_path&amp;" /e /r /s /spath="&amp;search_path&amp;" /stypes=""app*"&amp;LPO28&amp;"*"&amp;TEXT(LPV28-utc_offset/24,"YYYYMMDD")&amp;"*"" /stext="" "&amp;TEXT(LPV28-utc_offset/24,"HH")&amp;search_regexp&amp;""""</f>
        <v>#REF!</v>
      </c>
      <c r="LQT28" s="234" t="e">
        <f>astrogrep_path&amp;" /e /r /s /spath="&amp;search_path&amp;" /stypes=""app*"&amp;LPP28&amp;"*"&amp;TEXT(LPW28-utc_offset/24,"YYYYMMDD")&amp;"*"" /stext="" "&amp;TEXT(LPW28-utc_offset/24,"HH")&amp;search_regexp&amp;""""</f>
        <v>#REF!</v>
      </c>
      <c r="LQU28" s="234" t="e">
        <f>astrogrep_path&amp;" /e /r /s /spath="&amp;search_path&amp;" /stypes=""app*"&amp;LPQ28&amp;"*"&amp;TEXT(LPX28-utc_offset/24,"YYYYMMDD")&amp;"*"" /stext="" "&amp;TEXT(LPX28-utc_offset/24,"HH")&amp;search_regexp&amp;""""</f>
        <v>#REF!</v>
      </c>
      <c r="LQV28" s="234" t="e">
        <f>astrogrep_path&amp;" /e /r /s /spath="&amp;search_path&amp;" /stypes=""app*"&amp;LPR28&amp;"*"&amp;TEXT(LPY28-utc_offset/24,"YYYYMMDD")&amp;"*"" /stext="" "&amp;TEXT(LPY28-utc_offset/24,"HH")&amp;search_regexp&amp;""""</f>
        <v>#REF!</v>
      </c>
      <c r="LQW28" s="234" t="e">
        <f>astrogrep_path&amp;" /e /r /s /spath="&amp;search_path&amp;" /stypes=""app*"&amp;LPS28&amp;"*"&amp;TEXT(LPZ28-utc_offset/24,"YYYYMMDD")&amp;"*"" /stext="" "&amp;TEXT(LPZ28-utc_offset/24,"HH")&amp;search_regexp&amp;""""</f>
        <v>#REF!</v>
      </c>
      <c r="LQX28" s="234" t="e">
        <f>astrogrep_path&amp;" /e /r /s /spath="&amp;search_path&amp;" /stypes=""app*"&amp;LPT28&amp;"*"&amp;TEXT(LQA28-utc_offset/24,"YYYYMMDD")&amp;"*"" /stext="" "&amp;TEXT(LQA28-utc_offset/24,"HH")&amp;search_regexp&amp;""""</f>
        <v>#REF!</v>
      </c>
      <c r="LQY28" s="234" t="e">
        <f>astrogrep_path&amp;" /e /r /s /spath="&amp;search_path&amp;" /stypes=""app*"&amp;LPU28&amp;"*"&amp;TEXT(LQB28-utc_offset/24,"YYYYMMDD")&amp;"*"" /stext="" "&amp;TEXT(LQB28-utc_offset/24,"HH")&amp;search_regexp&amp;""""</f>
        <v>#REF!</v>
      </c>
      <c r="LQZ28" s="234" t="e">
        <f>astrogrep_path&amp;" /e /r /s /spath="&amp;search_path&amp;" /stypes=""app*"&amp;LPV28&amp;"*"&amp;TEXT(LQC28-utc_offset/24,"YYYYMMDD")&amp;"*"" /stext="" "&amp;TEXT(LQC28-utc_offset/24,"HH")&amp;search_regexp&amp;""""</f>
        <v>#REF!</v>
      </c>
      <c r="LRA28" s="234" t="e">
        <f>astrogrep_path&amp;" /e /r /s /spath="&amp;search_path&amp;" /stypes=""app*"&amp;LPW28&amp;"*"&amp;TEXT(LQD28-utc_offset/24,"YYYYMMDD")&amp;"*"" /stext="" "&amp;TEXT(LQD28-utc_offset/24,"HH")&amp;search_regexp&amp;""""</f>
        <v>#VALUE!</v>
      </c>
      <c r="LRB28" s="234" t="e">
        <f>astrogrep_path&amp;" /e /r /s /spath="&amp;search_path&amp;" /stypes=""app*"&amp;LPX28&amp;"*"&amp;TEXT(LQE28-utc_offset/24,"YYYYMMDD")&amp;"*"" /stext="" "&amp;TEXT(LQE28-utc_offset/24,"HH")&amp;search_regexp&amp;""""</f>
        <v>#VALUE!</v>
      </c>
      <c r="LRC28" s="234" t="e">
        <f>astrogrep_path&amp;" /e /r /s /spath="&amp;search_path&amp;" /stypes=""app*"&amp;LPY28&amp;"*"&amp;TEXT(LQF28-utc_offset/24,"YYYYMMDD")&amp;"*"" /stext="" "&amp;TEXT(LQF28-utc_offset/24,"HH")&amp;search_regexp&amp;""""</f>
        <v>#REF!</v>
      </c>
      <c r="LRD28" s="234" t="e">
        <f>astrogrep_path&amp;" /e /r /s /spath="&amp;search_path&amp;" /stypes=""app*"&amp;LPZ28&amp;"*"&amp;TEXT(LQG28-utc_offset/24,"YYYYMMDD")&amp;"*"" /stext="" "&amp;TEXT(LQG28-utc_offset/24,"HH")&amp;search_regexp&amp;""""</f>
        <v>#REF!</v>
      </c>
      <c r="LRE28" s="234" t="e">
        <f>astrogrep_path&amp;" /e /r /s /spath="&amp;search_path&amp;" /stypes=""app*"&amp;LQA28&amp;"*"&amp;TEXT(LQH28-utc_offset/24,"YYYYMMDD")&amp;"*"" /stext="" "&amp;TEXT(LQH28-utc_offset/24,"HH")&amp;search_regexp&amp;""""</f>
        <v>#VALUE!</v>
      </c>
      <c r="LRF28" s="234" t="e">
        <f>astrogrep_path&amp;" /e /r /s /spath="&amp;search_path&amp;" /stypes=""app*"&amp;LQB28&amp;"*"&amp;TEXT(LQI28-utc_offset/24,"YYYYMMDD")&amp;"*"" /stext="" "&amp;TEXT(LQI28-utc_offset/24,"HH")&amp;search_regexp&amp;""""</f>
        <v>#VALUE!</v>
      </c>
      <c r="LRG28" s="234" t="e">
        <f>astrogrep_path&amp;" /e /r /s /spath="&amp;search_path&amp;" /stypes=""app*"&amp;LQC28&amp;"*"&amp;TEXT(LQJ28-utc_offset/24,"YYYYMMDD")&amp;"*"" /stext="" "&amp;TEXT(LQJ28-utc_offset/24,"HH")&amp;search_regexp&amp;""""</f>
        <v>#VALUE!</v>
      </c>
      <c r="LRH28" s="234" t="e">
        <f>astrogrep_path&amp;" /e /r /s /spath="&amp;search_path&amp;" /stypes=""app*"&amp;LQD28&amp;"*"&amp;TEXT(LQK28-utc_offset/24,"YYYYMMDD")&amp;"*"" /stext="" "&amp;TEXT(LQK28-utc_offset/24,"HH")&amp;search_regexp&amp;""""</f>
        <v>#VALUE!</v>
      </c>
      <c r="LRI28" s="234" t="e">
        <f>astrogrep_path&amp;" /e /r /s /spath="&amp;search_path&amp;" /stypes=""app*"&amp;LQE28&amp;"*"&amp;TEXT(LQL28-utc_offset/24,"YYYYMMDD")&amp;"*"" /stext="" "&amp;TEXT(LQL28-utc_offset/24,"HH")&amp;search_regexp&amp;""""</f>
        <v>#VALUE!</v>
      </c>
      <c r="LRJ28" s="234" t="e">
        <f>astrogrep_path&amp;" /e /r /s /spath="&amp;search_path&amp;" /stypes=""app*"&amp;LQF28&amp;"*"&amp;TEXT(LQM28-utc_offset/24,"YYYYMMDD")&amp;"*"" /stext="" "&amp;TEXT(LQM28-utc_offset/24,"HH")&amp;search_regexp&amp;""""</f>
        <v>#REF!</v>
      </c>
      <c r="LRK28" s="234" t="e">
        <f>astrogrep_path&amp;" /e /r /s /spath="&amp;search_path&amp;" /stypes=""app*"&amp;LQG28&amp;"*"&amp;TEXT(LQN28-utc_offset/24,"YYYYMMDD")&amp;"*"" /stext="" "&amp;TEXT(LQN28-utc_offset/24,"HH")&amp;search_regexp&amp;""""</f>
        <v>#REF!</v>
      </c>
      <c r="LRL28" s="234" t="e">
        <f>astrogrep_path&amp;" /e /r /s /spath="&amp;search_path&amp;" /stypes=""app*"&amp;LQH28&amp;"*"&amp;TEXT(LQO28-utc_offset/24,"YYYYMMDD")&amp;"*"" /stext="" "&amp;TEXT(LQO28-utc_offset/24,"HH")&amp;search_regexp&amp;""""</f>
        <v>#REF!</v>
      </c>
      <c r="LRM28" s="234" t="e">
        <f>astrogrep_path&amp;" /e /r /s /spath="&amp;search_path&amp;" /stypes=""app*"&amp;LQI28&amp;"*"&amp;TEXT(LQP28-utc_offset/24,"YYYYMMDD")&amp;"*"" /stext="" "&amp;TEXT(LQP28-utc_offset/24,"HH")&amp;search_regexp&amp;""""</f>
        <v>#REF!</v>
      </c>
      <c r="LRN28" s="234" t="e">
        <f>astrogrep_path&amp;" /e /r /s /spath="&amp;search_path&amp;" /stypes=""app*"&amp;LQJ28&amp;"*"&amp;TEXT(LQQ28-utc_offset/24,"YYYYMMDD")&amp;"*"" /stext="" "&amp;TEXT(LQQ28-utc_offset/24,"HH")&amp;search_regexp&amp;""""</f>
        <v>#REF!</v>
      </c>
      <c r="LRO28" s="234" t="e">
        <f>astrogrep_path&amp;" /e /r /s /spath="&amp;search_path&amp;" /stypes=""app*"&amp;LQK28&amp;"*"&amp;TEXT(LQR28-utc_offset/24,"YYYYMMDD")&amp;"*"" /stext="" "&amp;TEXT(LQR28-utc_offset/24,"HH")&amp;search_regexp&amp;""""</f>
        <v>#REF!</v>
      </c>
      <c r="LRP28" s="234" t="e">
        <f>astrogrep_path&amp;" /e /r /s /spath="&amp;search_path&amp;" /stypes=""app*"&amp;LQL28&amp;"*"&amp;TEXT(LQS28-utc_offset/24,"YYYYMMDD")&amp;"*"" /stext="" "&amp;TEXT(LQS28-utc_offset/24,"HH")&amp;search_regexp&amp;""""</f>
        <v>#REF!</v>
      </c>
      <c r="LRQ28" s="234" t="e">
        <f>astrogrep_path&amp;" /e /r /s /spath="&amp;search_path&amp;" /stypes=""app*"&amp;LQM28&amp;"*"&amp;TEXT(LQT28-utc_offset/24,"YYYYMMDD")&amp;"*"" /stext="" "&amp;TEXT(LQT28-utc_offset/24,"HH")&amp;search_regexp&amp;""""</f>
        <v>#REF!</v>
      </c>
      <c r="LRR28" s="234" t="e">
        <f>astrogrep_path&amp;" /e /r /s /spath="&amp;search_path&amp;" /stypes=""app*"&amp;LQN28&amp;"*"&amp;TEXT(LQU28-utc_offset/24,"YYYYMMDD")&amp;"*"" /stext="" "&amp;TEXT(LQU28-utc_offset/24,"HH")&amp;search_regexp&amp;""""</f>
        <v>#REF!</v>
      </c>
      <c r="LRS28" s="234" t="e">
        <f>astrogrep_path&amp;" /e /r /s /spath="&amp;search_path&amp;" /stypes=""app*"&amp;LQO28&amp;"*"&amp;TEXT(LQV28-utc_offset/24,"YYYYMMDD")&amp;"*"" /stext="" "&amp;TEXT(LQV28-utc_offset/24,"HH")&amp;search_regexp&amp;""""</f>
        <v>#REF!</v>
      </c>
      <c r="LRT28" s="234" t="e">
        <f>astrogrep_path&amp;" /e /r /s /spath="&amp;search_path&amp;" /stypes=""app*"&amp;LQP28&amp;"*"&amp;TEXT(LQW28-utc_offset/24,"YYYYMMDD")&amp;"*"" /stext="" "&amp;TEXT(LQW28-utc_offset/24,"HH")&amp;search_regexp&amp;""""</f>
        <v>#REF!</v>
      </c>
      <c r="LRU28" s="234" t="e">
        <f>astrogrep_path&amp;" /e /r /s /spath="&amp;search_path&amp;" /stypes=""app*"&amp;LQQ28&amp;"*"&amp;TEXT(LQX28-utc_offset/24,"YYYYMMDD")&amp;"*"" /stext="" "&amp;TEXT(LQX28-utc_offset/24,"HH")&amp;search_regexp&amp;""""</f>
        <v>#REF!</v>
      </c>
      <c r="LRV28" s="234" t="e">
        <f>astrogrep_path&amp;" /e /r /s /spath="&amp;search_path&amp;" /stypes=""app*"&amp;LQR28&amp;"*"&amp;TEXT(LQY28-utc_offset/24,"YYYYMMDD")&amp;"*"" /stext="" "&amp;TEXT(LQY28-utc_offset/24,"HH")&amp;search_regexp&amp;""""</f>
        <v>#REF!</v>
      </c>
      <c r="LRW28" s="234" t="e">
        <f>astrogrep_path&amp;" /e /r /s /spath="&amp;search_path&amp;" /stypes=""app*"&amp;LQS28&amp;"*"&amp;TEXT(LQZ28-utc_offset/24,"YYYYMMDD")&amp;"*"" /stext="" "&amp;TEXT(LQZ28-utc_offset/24,"HH")&amp;search_regexp&amp;""""</f>
        <v>#REF!</v>
      </c>
      <c r="LRX28" s="234" t="e">
        <f>astrogrep_path&amp;" /e /r /s /spath="&amp;search_path&amp;" /stypes=""app*"&amp;LQT28&amp;"*"&amp;TEXT(LRA28-utc_offset/24,"YYYYMMDD")&amp;"*"" /stext="" "&amp;TEXT(LRA28-utc_offset/24,"HH")&amp;search_regexp&amp;""""</f>
        <v>#REF!</v>
      </c>
      <c r="LRY28" s="234" t="e">
        <f>astrogrep_path&amp;" /e /r /s /spath="&amp;search_path&amp;" /stypes=""app*"&amp;LQU28&amp;"*"&amp;TEXT(LRB28-utc_offset/24,"YYYYMMDD")&amp;"*"" /stext="" "&amp;TEXT(LRB28-utc_offset/24,"HH")&amp;search_regexp&amp;""""</f>
        <v>#REF!</v>
      </c>
      <c r="LRZ28" s="234" t="e">
        <f>astrogrep_path&amp;" /e /r /s /spath="&amp;search_path&amp;" /stypes=""app*"&amp;LQV28&amp;"*"&amp;TEXT(LRC28-utc_offset/24,"YYYYMMDD")&amp;"*"" /stext="" "&amp;TEXT(LRC28-utc_offset/24,"HH")&amp;search_regexp&amp;""""</f>
        <v>#REF!</v>
      </c>
      <c r="LSA28" s="234" t="e">
        <f>astrogrep_path&amp;" /e /r /s /spath="&amp;search_path&amp;" /stypes=""app*"&amp;LQW28&amp;"*"&amp;TEXT(LRD28-utc_offset/24,"YYYYMMDD")&amp;"*"" /stext="" "&amp;TEXT(LRD28-utc_offset/24,"HH")&amp;search_regexp&amp;""""</f>
        <v>#REF!</v>
      </c>
      <c r="LSB28" s="234" t="e">
        <f>astrogrep_path&amp;" /e /r /s /spath="&amp;search_path&amp;" /stypes=""app*"&amp;LQX28&amp;"*"&amp;TEXT(LRE28-utc_offset/24,"YYYYMMDD")&amp;"*"" /stext="" "&amp;TEXT(LRE28-utc_offset/24,"HH")&amp;search_regexp&amp;""""</f>
        <v>#REF!</v>
      </c>
      <c r="LSC28" s="234" t="e">
        <f>astrogrep_path&amp;" /e /r /s /spath="&amp;search_path&amp;" /stypes=""app*"&amp;LQY28&amp;"*"&amp;TEXT(LRF28-utc_offset/24,"YYYYMMDD")&amp;"*"" /stext="" "&amp;TEXT(LRF28-utc_offset/24,"HH")&amp;search_regexp&amp;""""</f>
        <v>#REF!</v>
      </c>
      <c r="LSD28" s="234" t="e">
        <f>astrogrep_path&amp;" /e /r /s /spath="&amp;search_path&amp;" /stypes=""app*"&amp;LQZ28&amp;"*"&amp;TEXT(LRG28-utc_offset/24,"YYYYMMDD")&amp;"*"" /stext="" "&amp;TEXT(LRG28-utc_offset/24,"HH")&amp;search_regexp&amp;""""</f>
        <v>#REF!</v>
      </c>
      <c r="LSE28" s="234" t="e">
        <f>astrogrep_path&amp;" /e /r /s /spath="&amp;search_path&amp;" /stypes=""app*"&amp;LRA28&amp;"*"&amp;TEXT(LRH28-utc_offset/24,"YYYYMMDD")&amp;"*"" /stext="" "&amp;TEXT(LRH28-utc_offset/24,"HH")&amp;search_regexp&amp;""""</f>
        <v>#VALUE!</v>
      </c>
      <c r="LSF28" s="234" t="e">
        <f>astrogrep_path&amp;" /e /r /s /spath="&amp;search_path&amp;" /stypes=""app*"&amp;LRB28&amp;"*"&amp;TEXT(LRI28-utc_offset/24,"YYYYMMDD")&amp;"*"" /stext="" "&amp;TEXT(LRI28-utc_offset/24,"HH")&amp;search_regexp&amp;""""</f>
        <v>#VALUE!</v>
      </c>
      <c r="LSG28" s="234" t="e">
        <f>astrogrep_path&amp;" /e /r /s /spath="&amp;search_path&amp;" /stypes=""app*"&amp;LRC28&amp;"*"&amp;TEXT(LRJ28-utc_offset/24,"YYYYMMDD")&amp;"*"" /stext="" "&amp;TEXT(LRJ28-utc_offset/24,"HH")&amp;search_regexp&amp;""""</f>
        <v>#REF!</v>
      </c>
      <c r="LSH28" s="234" t="e">
        <f>astrogrep_path&amp;" /e /r /s /spath="&amp;search_path&amp;" /stypes=""app*"&amp;LRD28&amp;"*"&amp;TEXT(LRK28-utc_offset/24,"YYYYMMDD")&amp;"*"" /stext="" "&amp;TEXT(LRK28-utc_offset/24,"HH")&amp;search_regexp&amp;""""</f>
        <v>#REF!</v>
      </c>
      <c r="LSI28" s="234" t="e">
        <f>astrogrep_path&amp;" /e /r /s /spath="&amp;search_path&amp;" /stypes=""app*"&amp;LRE28&amp;"*"&amp;TEXT(LRL28-utc_offset/24,"YYYYMMDD")&amp;"*"" /stext="" "&amp;TEXT(LRL28-utc_offset/24,"HH")&amp;search_regexp&amp;""""</f>
        <v>#VALUE!</v>
      </c>
      <c r="LSJ28" s="234" t="e">
        <f>astrogrep_path&amp;" /e /r /s /spath="&amp;search_path&amp;" /stypes=""app*"&amp;LRF28&amp;"*"&amp;TEXT(LRM28-utc_offset/24,"YYYYMMDD")&amp;"*"" /stext="" "&amp;TEXT(LRM28-utc_offset/24,"HH")&amp;search_regexp&amp;""""</f>
        <v>#VALUE!</v>
      </c>
      <c r="LSK28" s="234" t="e">
        <f>astrogrep_path&amp;" /e /r /s /spath="&amp;search_path&amp;" /stypes=""app*"&amp;LRG28&amp;"*"&amp;TEXT(LRN28-utc_offset/24,"YYYYMMDD")&amp;"*"" /stext="" "&amp;TEXT(LRN28-utc_offset/24,"HH")&amp;search_regexp&amp;""""</f>
        <v>#VALUE!</v>
      </c>
      <c r="LSL28" s="234" t="e">
        <f>astrogrep_path&amp;" /e /r /s /spath="&amp;search_path&amp;" /stypes=""app*"&amp;LRH28&amp;"*"&amp;TEXT(LRO28-utc_offset/24,"YYYYMMDD")&amp;"*"" /stext="" "&amp;TEXT(LRO28-utc_offset/24,"HH")&amp;search_regexp&amp;""""</f>
        <v>#VALUE!</v>
      </c>
      <c r="LSM28" s="234" t="e">
        <f>astrogrep_path&amp;" /e /r /s /spath="&amp;search_path&amp;" /stypes=""app*"&amp;LRI28&amp;"*"&amp;TEXT(LRP28-utc_offset/24,"YYYYMMDD")&amp;"*"" /stext="" "&amp;TEXT(LRP28-utc_offset/24,"HH")&amp;search_regexp&amp;""""</f>
        <v>#VALUE!</v>
      </c>
      <c r="LSN28" s="234" t="e">
        <f>astrogrep_path&amp;" /e /r /s /spath="&amp;search_path&amp;" /stypes=""app*"&amp;LRJ28&amp;"*"&amp;TEXT(LRQ28-utc_offset/24,"YYYYMMDD")&amp;"*"" /stext="" "&amp;TEXT(LRQ28-utc_offset/24,"HH")&amp;search_regexp&amp;""""</f>
        <v>#REF!</v>
      </c>
      <c r="LSO28" s="234" t="e">
        <f>astrogrep_path&amp;" /e /r /s /spath="&amp;search_path&amp;" /stypes=""app*"&amp;LRK28&amp;"*"&amp;TEXT(LRR28-utc_offset/24,"YYYYMMDD")&amp;"*"" /stext="" "&amp;TEXT(LRR28-utc_offset/24,"HH")&amp;search_regexp&amp;""""</f>
        <v>#REF!</v>
      </c>
      <c r="LSP28" s="234" t="e">
        <f>astrogrep_path&amp;" /e /r /s /spath="&amp;search_path&amp;" /stypes=""app*"&amp;LRL28&amp;"*"&amp;TEXT(LRS28-utc_offset/24,"YYYYMMDD")&amp;"*"" /stext="" "&amp;TEXT(LRS28-utc_offset/24,"HH")&amp;search_regexp&amp;""""</f>
        <v>#REF!</v>
      </c>
      <c r="LSQ28" s="234" t="e">
        <f>astrogrep_path&amp;" /e /r /s /spath="&amp;search_path&amp;" /stypes=""app*"&amp;LRM28&amp;"*"&amp;TEXT(LRT28-utc_offset/24,"YYYYMMDD")&amp;"*"" /stext="" "&amp;TEXT(LRT28-utc_offset/24,"HH")&amp;search_regexp&amp;""""</f>
        <v>#REF!</v>
      </c>
      <c r="LSR28" s="234" t="e">
        <f>astrogrep_path&amp;" /e /r /s /spath="&amp;search_path&amp;" /stypes=""app*"&amp;LRN28&amp;"*"&amp;TEXT(LRU28-utc_offset/24,"YYYYMMDD")&amp;"*"" /stext="" "&amp;TEXT(LRU28-utc_offset/24,"HH")&amp;search_regexp&amp;""""</f>
        <v>#REF!</v>
      </c>
      <c r="LSS28" s="234" t="e">
        <f>astrogrep_path&amp;" /e /r /s /spath="&amp;search_path&amp;" /stypes=""app*"&amp;LRO28&amp;"*"&amp;TEXT(LRV28-utc_offset/24,"YYYYMMDD")&amp;"*"" /stext="" "&amp;TEXT(LRV28-utc_offset/24,"HH")&amp;search_regexp&amp;""""</f>
        <v>#REF!</v>
      </c>
      <c r="LST28" s="234" t="e">
        <f>astrogrep_path&amp;" /e /r /s /spath="&amp;search_path&amp;" /stypes=""app*"&amp;LRP28&amp;"*"&amp;TEXT(LRW28-utc_offset/24,"YYYYMMDD")&amp;"*"" /stext="" "&amp;TEXT(LRW28-utc_offset/24,"HH")&amp;search_regexp&amp;""""</f>
        <v>#REF!</v>
      </c>
      <c r="LSU28" s="234" t="e">
        <f>astrogrep_path&amp;" /e /r /s /spath="&amp;search_path&amp;" /stypes=""app*"&amp;LRQ28&amp;"*"&amp;TEXT(LRX28-utc_offset/24,"YYYYMMDD")&amp;"*"" /stext="" "&amp;TEXT(LRX28-utc_offset/24,"HH")&amp;search_regexp&amp;""""</f>
        <v>#REF!</v>
      </c>
      <c r="LSV28" s="234" t="e">
        <f>astrogrep_path&amp;" /e /r /s /spath="&amp;search_path&amp;" /stypes=""app*"&amp;LRR28&amp;"*"&amp;TEXT(LRY28-utc_offset/24,"YYYYMMDD")&amp;"*"" /stext="" "&amp;TEXT(LRY28-utc_offset/24,"HH")&amp;search_regexp&amp;""""</f>
        <v>#REF!</v>
      </c>
      <c r="LSW28" s="234" t="e">
        <f>astrogrep_path&amp;" /e /r /s /spath="&amp;search_path&amp;" /stypes=""app*"&amp;LRS28&amp;"*"&amp;TEXT(LRZ28-utc_offset/24,"YYYYMMDD")&amp;"*"" /stext="" "&amp;TEXT(LRZ28-utc_offset/24,"HH")&amp;search_regexp&amp;""""</f>
        <v>#REF!</v>
      </c>
      <c r="LSX28" s="234" t="e">
        <f>astrogrep_path&amp;" /e /r /s /spath="&amp;search_path&amp;" /stypes=""app*"&amp;LRT28&amp;"*"&amp;TEXT(LSA28-utc_offset/24,"YYYYMMDD")&amp;"*"" /stext="" "&amp;TEXT(LSA28-utc_offset/24,"HH")&amp;search_regexp&amp;""""</f>
        <v>#REF!</v>
      </c>
      <c r="LSY28" s="234" t="e">
        <f>astrogrep_path&amp;" /e /r /s /spath="&amp;search_path&amp;" /stypes=""app*"&amp;LRU28&amp;"*"&amp;TEXT(LSB28-utc_offset/24,"YYYYMMDD")&amp;"*"" /stext="" "&amp;TEXT(LSB28-utc_offset/24,"HH")&amp;search_regexp&amp;""""</f>
        <v>#REF!</v>
      </c>
      <c r="LSZ28" s="234" t="e">
        <f>astrogrep_path&amp;" /e /r /s /spath="&amp;search_path&amp;" /stypes=""app*"&amp;LRV28&amp;"*"&amp;TEXT(LSC28-utc_offset/24,"YYYYMMDD")&amp;"*"" /stext="" "&amp;TEXT(LSC28-utc_offset/24,"HH")&amp;search_regexp&amp;""""</f>
        <v>#REF!</v>
      </c>
      <c r="LTA28" s="234" t="e">
        <f>astrogrep_path&amp;" /e /r /s /spath="&amp;search_path&amp;" /stypes=""app*"&amp;LRW28&amp;"*"&amp;TEXT(LSD28-utc_offset/24,"YYYYMMDD")&amp;"*"" /stext="" "&amp;TEXT(LSD28-utc_offset/24,"HH")&amp;search_regexp&amp;""""</f>
        <v>#REF!</v>
      </c>
      <c r="LTB28" s="234" t="e">
        <f>astrogrep_path&amp;" /e /r /s /spath="&amp;search_path&amp;" /stypes=""app*"&amp;LRX28&amp;"*"&amp;TEXT(LSE28-utc_offset/24,"YYYYMMDD")&amp;"*"" /stext="" "&amp;TEXT(LSE28-utc_offset/24,"HH")&amp;search_regexp&amp;""""</f>
        <v>#REF!</v>
      </c>
      <c r="LTC28" s="234" t="e">
        <f>astrogrep_path&amp;" /e /r /s /spath="&amp;search_path&amp;" /stypes=""app*"&amp;LRY28&amp;"*"&amp;TEXT(LSF28-utc_offset/24,"YYYYMMDD")&amp;"*"" /stext="" "&amp;TEXT(LSF28-utc_offset/24,"HH")&amp;search_regexp&amp;""""</f>
        <v>#REF!</v>
      </c>
      <c r="LTD28" s="234" t="e">
        <f>astrogrep_path&amp;" /e /r /s /spath="&amp;search_path&amp;" /stypes=""app*"&amp;LRZ28&amp;"*"&amp;TEXT(LSG28-utc_offset/24,"YYYYMMDD")&amp;"*"" /stext="" "&amp;TEXT(LSG28-utc_offset/24,"HH")&amp;search_regexp&amp;""""</f>
        <v>#REF!</v>
      </c>
      <c r="LTE28" s="234" t="e">
        <f>astrogrep_path&amp;" /e /r /s /spath="&amp;search_path&amp;" /stypes=""app*"&amp;LSA28&amp;"*"&amp;TEXT(LSH28-utc_offset/24,"YYYYMMDD")&amp;"*"" /stext="" "&amp;TEXT(LSH28-utc_offset/24,"HH")&amp;search_regexp&amp;""""</f>
        <v>#REF!</v>
      </c>
      <c r="LTF28" s="234" t="e">
        <f>astrogrep_path&amp;" /e /r /s /spath="&amp;search_path&amp;" /stypes=""app*"&amp;LSB28&amp;"*"&amp;TEXT(LSI28-utc_offset/24,"YYYYMMDD")&amp;"*"" /stext="" "&amp;TEXT(LSI28-utc_offset/24,"HH")&amp;search_regexp&amp;""""</f>
        <v>#REF!</v>
      </c>
      <c r="LTG28" s="234" t="e">
        <f>astrogrep_path&amp;" /e /r /s /spath="&amp;search_path&amp;" /stypes=""app*"&amp;LSC28&amp;"*"&amp;TEXT(LSJ28-utc_offset/24,"YYYYMMDD")&amp;"*"" /stext="" "&amp;TEXT(LSJ28-utc_offset/24,"HH")&amp;search_regexp&amp;""""</f>
        <v>#REF!</v>
      </c>
      <c r="LTH28" s="234" t="e">
        <f>astrogrep_path&amp;" /e /r /s /spath="&amp;search_path&amp;" /stypes=""app*"&amp;LSD28&amp;"*"&amp;TEXT(LSK28-utc_offset/24,"YYYYMMDD")&amp;"*"" /stext="" "&amp;TEXT(LSK28-utc_offset/24,"HH")&amp;search_regexp&amp;""""</f>
        <v>#REF!</v>
      </c>
      <c r="LTI28" s="234" t="e">
        <f>astrogrep_path&amp;" /e /r /s /spath="&amp;search_path&amp;" /stypes=""app*"&amp;LSE28&amp;"*"&amp;TEXT(LSL28-utc_offset/24,"YYYYMMDD")&amp;"*"" /stext="" "&amp;TEXT(LSL28-utc_offset/24,"HH")&amp;search_regexp&amp;""""</f>
        <v>#VALUE!</v>
      </c>
      <c r="LTJ28" s="234" t="e">
        <f>astrogrep_path&amp;" /e /r /s /spath="&amp;search_path&amp;" /stypes=""app*"&amp;LSF28&amp;"*"&amp;TEXT(LSM28-utc_offset/24,"YYYYMMDD")&amp;"*"" /stext="" "&amp;TEXT(LSM28-utc_offset/24,"HH")&amp;search_regexp&amp;""""</f>
        <v>#VALUE!</v>
      </c>
      <c r="LTK28" s="234" t="e">
        <f>astrogrep_path&amp;" /e /r /s /spath="&amp;search_path&amp;" /stypes=""app*"&amp;LSG28&amp;"*"&amp;TEXT(LSN28-utc_offset/24,"YYYYMMDD")&amp;"*"" /stext="" "&amp;TEXT(LSN28-utc_offset/24,"HH")&amp;search_regexp&amp;""""</f>
        <v>#REF!</v>
      </c>
      <c r="LTL28" s="234" t="e">
        <f>astrogrep_path&amp;" /e /r /s /spath="&amp;search_path&amp;" /stypes=""app*"&amp;LSH28&amp;"*"&amp;TEXT(LSO28-utc_offset/24,"YYYYMMDD")&amp;"*"" /stext="" "&amp;TEXT(LSO28-utc_offset/24,"HH")&amp;search_regexp&amp;""""</f>
        <v>#REF!</v>
      </c>
      <c r="LTM28" s="234" t="e">
        <f>astrogrep_path&amp;" /e /r /s /spath="&amp;search_path&amp;" /stypes=""app*"&amp;LSI28&amp;"*"&amp;TEXT(LSP28-utc_offset/24,"YYYYMMDD")&amp;"*"" /stext="" "&amp;TEXT(LSP28-utc_offset/24,"HH")&amp;search_regexp&amp;""""</f>
        <v>#VALUE!</v>
      </c>
      <c r="LTN28" s="234" t="e">
        <f>astrogrep_path&amp;" /e /r /s /spath="&amp;search_path&amp;" /stypes=""app*"&amp;LSJ28&amp;"*"&amp;TEXT(LSQ28-utc_offset/24,"YYYYMMDD")&amp;"*"" /stext="" "&amp;TEXT(LSQ28-utc_offset/24,"HH")&amp;search_regexp&amp;""""</f>
        <v>#VALUE!</v>
      </c>
      <c r="LTO28" s="234" t="e">
        <f>astrogrep_path&amp;" /e /r /s /spath="&amp;search_path&amp;" /stypes=""app*"&amp;LSK28&amp;"*"&amp;TEXT(LSR28-utc_offset/24,"YYYYMMDD")&amp;"*"" /stext="" "&amp;TEXT(LSR28-utc_offset/24,"HH")&amp;search_regexp&amp;""""</f>
        <v>#VALUE!</v>
      </c>
      <c r="LTP28" s="234" t="e">
        <f>astrogrep_path&amp;" /e /r /s /spath="&amp;search_path&amp;" /stypes=""app*"&amp;LSL28&amp;"*"&amp;TEXT(LSS28-utc_offset/24,"YYYYMMDD")&amp;"*"" /stext="" "&amp;TEXT(LSS28-utc_offset/24,"HH")&amp;search_regexp&amp;""""</f>
        <v>#VALUE!</v>
      </c>
      <c r="LTQ28" s="234" t="e">
        <f>astrogrep_path&amp;" /e /r /s /spath="&amp;search_path&amp;" /stypes=""app*"&amp;LSM28&amp;"*"&amp;TEXT(LST28-utc_offset/24,"YYYYMMDD")&amp;"*"" /stext="" "&amp;TEXT(LST28-utc_offset/24,"HH")&amp;search_regexp&amp;""""</f>
        <v>#VALUE!</v>
      </c>
      <c r="LTR28" s="234" t="e">
        <f>astrogrep_path&amp;" /e /r /s /spath="&amp;search_path&amp;" /stypes=""app*"&amp;LSN28&amp;"*"&amp;TEXT(LSU28-utc_offset/24,"YYYYMMDD")&amp;"*"" /stext="" "&amp;TEXT(LSU28-utc_offset/24,"HH")&amp;search_regexp&amp;""""</f>
        <v>#REF!</v>
      </c>
      <c r="LTS28" s="234" t="e">
        <f>astrogrep_path&amp;" /e /r /s /spath="&amp;search_path&amp;" /stypes=""app*"&amp;LSO28&amp;"*"&amp;TEXT(LSV28-utc_offset/24,"YYYYMMDD")&amp;"*"" /stext="" "&amp;TEXT(LSV28-utc_offset/24,"HH")&amp;search_regexp&amp;""""</f>
        <v>#REF!</v>
      </c>
      <c r="LTT28" s="234" t="e">
        <f>astrogrep_path&amp;" /e /r /s /spath="&amp;search_path&amp;" /stypes=""app*"&amp;LSP28&amp;"*"&amp;TEXT(LSW28-utc_offset/24,"YYYYMMDD")&amp;"*"" /stext="" "&amp;TEXT(LSW28-utc_offset/24,"HH")&amp;search_regexp&amp;""""</f>
        <v>#REF!</v>
      </c>
      <c r="LTU28" s="234" t="e">
        <f>astrogrep_path&amp;" /e /r /s /spath="&amp;search_path&amp;" /stypes=""app*"&amp;LSQ28&amp;"*"&amp;TEXT(LSX28-utc_offset/24,"YYYYMMDD")&amp;"*"" /stext="" "&amp;TEXT(LSX28-utc_offset/24,"HH")&amp;search_regexp&amp;""""</f>
        <v>#REF!</v>
      </c>
      <c r="LTV28" s="234" t="e">
        <f>astrogrep_path&amp;" /e /r /s /spath="&amp;search_path&amp;" /stypes=""app*"&amp;LSR28&amp;"*"&amp;TEXT(LSY28-utc_offset/24,"YYYYMMDD")&amp;"*"" /stext="" "&amp;TEXT(LSY28-utc_offset/24,"HH")&amp;search_regexp&amp;""""</f>
        <v>#REF!</v>
      </c>
      <c r="LTW28" s="234" t="e">
        <f>astrogrep_path&amp;" /e /r /s /spath="&amp;search_path&amp;" /stypes=""app*"&amp;LSS28&amp;"*"&amp;TEXT(LSZ28-utc_offset/24,"YYYYMMDD")&amp;"*"" /stext="" "&amp;TEXT(LSZ28-utc_offset/24,"HH")&amp;search_regexp&amp;""""</f>
        <v>#REF!</v>
      </c>
      <c r="LTX28" s="234" t="e">
        <f>astrogrep_path&amp;" /e /r /s /spath="&amp;search_path&amp;" /stypes=""app*"&amp;LST28&amp;"*"&amp;TEXT(LTA28-utc_offset/24,"YYYYMMDD")&amp;"*"" /stext="" "&amp;TEXT(LTA28-utc_offset/24,"HH")&amp;search_regexp&amp;""""</f>
        <v>#REF!</v>
      </c>
      <c r="LTY28" s="234" t="e">
        <f>astrogrep_path&amp;" /e /r /s /spath="&amp;search_path&amp;" /stypes=""app*"&amp;LSU28&amp;"*"&amp;TEXT(LTB28-utc_offset/24,"YYYYMMDD")&amp;"*"" /stext="" "&amp;TEXT(LTB28-utc_offset/24,"HH")&amp;search_regexp&amp;""""</f>
        <v>#REF!</v>
      </c>
      <c r="LTZ28" s="234" t="e">
        <f>astrogrep_path&amp;" /e /r /s /spath="&amp;search_path&amp;" /stypes=""app*"&amp;LSV28&amp;"*"&amp;TEXT(LTC28-utc_offset/24,"YYYYMMDD")&amp;"*"" /stext="" "&amp;TEXT(LTC28-utc_offset/24,"HH")&amp;search_regexp&amp;""""</f>
        <v>#REF!</v>
      </c>
      <c r="LUA28" s="234" t="e">
        <f>astrogrep_path&amp;" /e /r /s /spath="&amp;search_path&amp;" /stypes=""app*"&amp;LSW28&amp;"*"&amp;TEXT(LTD28-utc_offset/24,"YYYYMMDD")&amp;"*"" /stext="" "&amp;TEXT(LTD28-utc_offset/24,"HH")&amp;search_regexp&amp;""""</f>
        <v>#REF!</v>
      </c>
      <c r="LUB28" s="234" t="e">
        <f>astrogrep_path&amp;" /e /r /s /spath="&amp;search_path&amp;" /stypes=""app*"&amp;LSX28&amp;"*"&amp;TEXT(LTE28-utc_offset/24,"YYYYMMDD")&amp;"*"" /stext="" "&amp;TEXT(LTE28-utc_offset/24,"HH")&amp;search_regexp&amp;""""</f>
        <v>#REF!</v>
      </c>
      <c r="LUC28" s="234" t="e">
        <f>astrogrep_path&amp;" /e /r /s /spath="&amp;search_path&amp;" /stypes=""app*"&amp;LSY28&amp;"*"&amp;TEXT(LTF28-utc_offset/24,"YYYYMMDD")&amp;"*"" /stext="" "&amp;TEXT(LTF28-utc_offset/24,"HH")&amp;search_regexp&amp;""""</f>
        <v>#REF!</v>
      </c>
      <c r="LUD28" s="234" t="e">
        <f>astrogrep_path&amp;" /e /r /s /spath="&amp;search_path&amp;" /stypes=""app*"&amp;LSZ28&amp;"*"&amp;TEXT(LTG28-utc_offset/24,"YYYYMMDD")&amp;"*"" /stext="" "&amp;TEXT(LTG28-utc_offset/24,"HH")&amp;search_regexp&amp;""""</f>
        <v>#REF!</v>
      </c>
      <c r="LUE28" s="234" t="e">
        <f>astrogrep_path&amp;" /e /r /s /spath="&amp;search_path&amp;" /stypes=""app*"&amp;LTA28&amp;"*"&amp;TEXT(LTH28-utc_offset/24,"YYYYMMDD")&amp;"*"" /stext="" "&amp;TEXT(LTH28-utc_offset/24,"HH")&amp;search_regexp&amp;""""</f>
        <v>#REF!</v>
      </c>
      <c r="LUF28" s="234" t="e">
        <f>astrogrep_path&amp;" /e /r /s /spath="&amp;search_path&amp;" /stypes=""app*"&amp;LTB28&amp;"*"&amp;TEXT(LTI28-utc_offset/24,"YYYYMMDD")&amp;"*"" /stext="" "&amp;TEXT(LTI28-utc_offset/24,"HH")&amp;search_regexp&amp;""""</f>
        <v>#REF!</v>
      </c>
      <c r="LUG28" s="234" t="e">
        <f>astrogrep_path&amp;" /e /r /s /spath="&amp;search_path&amp;" /stypes=""app*"&amp;LTC28&amp;"*"&amp;TEXT(LTJ28-utc_offset/24,"YYYYMMDD")&amp;"*"" /stext="" "&amp;TEXT(LTJ28-utc_offset/24,"HH")&amp;search_regexp&amp;""""</f>
        <v>#REF!</v>
      </c>
      <c r="LUH28" s="234" t="e">
        <f>astrogrep_path&amp;" /e /r /s /spath="&amp;search_path&amp;" /stypes=""app*"&amp;LTD28&amp;"*"&amp;TEXT(LTK28-utc_offset/24,"YYYYMMDD")&amp;"*"" /stext="" "&amp;TEXT(LTK28-utc_offset/24,"HH")&amp;search_regexp&amp;""""</f>
        <v>#REF!</v>
      </c>
      <c r="LUI28" s="234" t="e">
        <f>astrogrep_path&amp;" /e /r /s /spath="&amp;search_path&amp;" /stypes=""app*"&amp;LTE28&amp;"*"&amp;TEXT(LTL28-utc_offset/24,"YYYYMMDD")&amp;"*"" /stext="" "&amp;TEXT(LTL28-utc_offset/24,"HH")&amp;search_regexp&amp;""""</f>
        <v>#REF!</v>
      </c>
      <c r="LUJ28" s="234" t="e">
        <f>astrogrep_path&amp;" /e /r /s /spath="&amp;search_path&amp;" /stypes=""app*"&amp;LTF28&amp;"*"&amp;TEXT(LTM28-utc_offset/24,"YYYYMMDD")&amp;"*"" /stext="" "&amp;TEXT(LTM28-utc_offset/24,"HH")&amp;search_regexp&amp;""""</f>
        <v>#REF!</v>
      </c>
      <c r="LUK28" s="234" t="e">
        <f>astrogrep_path&amp;" /e /r /s /spath="&amp;search_path&amp;" /stypes=""app*"&amp;LTG28&amp;"*"&amp;TEXT(LTN28-utc_offset/24,"YYYYMMDD")&amp;"*"" /stext="" "&amp;TEXT(LTN28-utc_offset/24,"HH")&amp;search_regexp&amp;""""</f>
        <v>#REF!</v>
      </c>
      <c r="LUL28" s="234" t="e">
        <f>astrogrep_path&amp;" /e /r /s /spath="&amp;search_path&amp;" /stypes=""app*"&amp;LTH28&amp;"*"&amp;TEXT(LTO28-utc_offset/24,"YYYYMMDD")&amp;"*"" /stext="" "&amp;TEXT(LTO28-utc_offset/24,"HH")&amp;search_regexp&amp;""""</f>
        <v>#REF!</v>
      </c>
      <c r="LUM28" s="234" t="e">
        <f>astrogrep_path&amp;" /e /r /s /spath="&amp;search_path&amp;" /stypes=""app*"&amp;LTI28&amp;"*"&amp;TEXT(LTP28-utc_offset/24,"YYYYMMDD")&amp;"*"" /stext="" "&amp;TEXT(LTP28-utc_offset/24,"HH")&amp;search_regexp&amp;""""</f>
        <v>#VALUE!</v>
      </c>
      <c r="LUN28" s="234" t="e">
        <f>astrogrep_path&amp;" /e /r /s /spath="&amp;search_path&amp;" /stypes=""app*"&amp;LTJ28&amp;"*"&amp;TEXT(LTQ28-utc_offset/24,"YYYYMMDD")&amp;"*"" /stext="" "&amp;TEXT(LTQ28-utc_offset/24,"HH")&amp;search_regexp&amp;""""</f>
        <v>#VALUE!</v>
      </c>
      <c r="LUO28" s="234" t="e">
        <f>astrogrep_path&amp;" /e /r /s /spath="&amp;search_path&amp;" /stypes=""app*"&amp;LTK28&amp;"*"&amp;TEXT(LTR28-utc_offset/24,"YYYYMMDD")&amp;"*"" /stext="" "&amp;TEXT(LTR28-utc_offset/24,"HH")&amp;search_regexp&amp;""""</f>
        <v>#REF!</v>
      </c>
      <c r="LUP28" s="234" t="e">
        <f>astrogrep_path&amp;" /e /r /s /spath="&amp;search_path&amp;" /stypes=""app*"&amp;LTL28&amp;"*"&amp;TEXT(LTS28-utc_offset/24,"YYYYMMDD")&amp;"*"" /stext="" "&amp;TEXT(LTS28-utc_offset/24,"HH")&amp;search_regexp&amp;""""</f>
        <v>#REF!</v>
      </c>
      <c r="LUQ28" s="234" t="e">
        <f>astrogrep_path&amp;" /e /r /s /spath="&amp;search_path&amp;" /stypes=""app*"&amp;LTM28&amp;"*"&amp;TEXT(LTT28-utc_offset/24,"YYYYMMDD")&amp;"*"" /stext="" "&amp;TEXT(LTT28-utc_offset/24,"HH")&amp;search_regexp&amp;""""</f>
        <v>#VALUE!</v>
      </c>
      <c r="LUR28" s="234" t="e">
        <f>astrogrep_path&amp;" /e /r /s /spath="&amp;search_path&amp;" /stypes=""app*"&amp;LTN28&amp;"*"&amp;TEXT(LTU28-utc_offset/24,"YYYYMMDD")&amp;"*"" /stext="" "&amp;TEXT(LTU28-utc_offset/24,"HH")&amp;search_regexp&amp;""""</f>
        <v>#VALUE!</v>
      </c>
      <c r="LUS28" s="234" t="e">
        <f>astrogrep_path&amp;" /e /r /s /spath="&amp;search_path&amp;" /stypes=""app*"&amp;LTO28&amp;"*"&amp;TEXT(LTV28-utc_offset/24,"YYYYMMDD")&amp;"*"" /stext="" "&amp;TEXT(LTV28-utc_offset/24,"HH")&amp;search_regexp&amp;""""</f>
        <v>#VALUE!</v>
      </c>
      <c r="LUT28" s="234" t="e">
        <f>astrogrep_path&amp;" /e /r /s /spath="&amp;search_path&amp;" /stypes=""app*"&amp;LTP28&amp;"*"&amp;TEXT(LTW28-utc_offset/24,"YYYYMMDD")&amp;"*"" /stext="" "&amp;TEXT(LTW28-utc_offset/24,"HH")&amp;search_regexp&amp;""""</f>
        <v>#VALUE!</v>
      </c>
      <c r="LUU28" s="234" t="e">
        <f>astrogrep_path&amp;" /e /r /s /spath="&amp;search_path&amp;" /stypes=""app*"&amp;LTQ28&amp;"*"&amp;TEXT(LTX28-utc_offset/24,"YYYYMMDD")&amp;"*"" /stext="" "&amp;TEXT(LTX28-utc_offset/24,"HH")&amp;search_regexp&amp;""""</f>
        <v>#VALUE!</v>
      </c>
      <c r="LUV28" s="234" t="e">
        <f>astrogrep_path&amp;" /e /r /s /spath="&amp;search_path&amp;" /stypes=""app*"&amp;LTR28&amp;"*"&amp;TEXT(LTY28-utc_offset/24,"YYYYMMDD")&amp;"*"" /stext="" "&amp;TEXT(LTY28-utc_offset/24,"HH")&amp;search_regexp&amp;""""</f>
        <v>#REF!</v>
      </c>
      <c r="LUW28" s="234" t="e">
        <f>astrogrep_path&amp;" /e /r /s /spath="&amp;search_path&amp;" /stypes=""app*"&amp;LTS28&amp;"*"&amp;TEXT(LTZ28-utc_offset/24,"YYYYMMDD")&amp;"*"" /stext="" "&amp;TEXT(LTZ28-utc_offset/24,"HH")&amp;search_regexp&amp;""""</f>
        <v>#REF!</v>
      </c>
      <c r="LUX28" s="234" t="e">
        <f>astrogrep_path&amp;" /e /r /s /spath="&amp;search_path&amp;" /stypes=""app*"&amp;LTT28&amp;"*"&amp;TEXT(LUA28-utc_offset/24,"YYYYMMDD")&amp;"*"" /stext="" "&amp;TEXT(LUA28-utc_offset/24,"HH")&amp;search_regexp&amp;""""</f>
        <v>#REF!</v>
      </c>
      <c r="LUY28" s="234" t="e">
        <f>astrogrep_path&amp;" /e /r /s /spath="&amp;search_path&amp;" /stypes=""app*"&amp;LTU28&amp;"*"&amp;TEXT(LUB28-utc_offset/24,"YYYYMMDD")&amp;"*"" /stext="" "&amp;TEXT(LUB28-utc_offset/24,"HH")&amp;search_regexp&amp;""""</f>
        <v>#REF!</v>
      </c>
      <c r="LUZ28" s="234" t="e">
        <f>astrogrep_path&amp;" /e /r /s /spath="&amp;search_path&amp;" /stypes=""app*"&amp;LTV28&amp;"*"&amp;TEXT(LUC28-utc_offset/24,"YYYYMMDD")&amp;"*"" /stext="" "&amp;TEXT(LUC28-utc_offset/24,"HH")&amp;search_regexp&amp;""""</f>
        <v>#REF!</v>
      </c>
      <c r="LVA28" s="234" t="e">
        <f>astrogrep_path&amp;" /e /r /s /spath="&amp;search_path&amp;" /stypes=""app*"&amp;LTW28&amp;"*"&amp;TEXT(LUD28-utc_offset/24,"YYYYMMDD")&amp;"*"" /stext="" "&amp;TEXT(LUD28-utc_offset/24,"HH")&amp;search_regexp&amp;""""</f>
        <v>#REF!</v>
      </c>
      <c r="LVB28" s="234" t="e">
        <f>astrogrep_path&amp;" /e /r /s /spath="&amp;search_path&amp;" /stypes=""app*"&amp;LTX28&amp;"*"&amp;TEXT(LUE28-utc_offset/24,"YYYYMMDD")&amp;"*"" /stext="" "&amp;TEXT(LUE28-utc_offset/24,"HH")&amp;search_regexp&amp;""""</f>
        <v>#REF!</v>
      </c>
      <c r="LVC28" s="234" t="e">
        <f>astrogrep_path&amp;" /e /r /s /spath="&amp;search_path&amp;" /stypes=""app*"&amp;LTY28&amp;"*"&amp;TEXT(LUF28-utc_offset/24,"YYYYMMDD")&amp;"*"" /stext="" "&amp;TEXT(LUF28-utc_offset/24,"HH")&amp;search_regexp&amp;""""</f>
        <v>#REF!</v>
      </c>
      <c r="LVD28" s="234" t="e">
        <f>astrogrep_path&amp;" /e /r /s /spath="&amp;search_path&amp;" /stypes=""app*"&amp;LTZ28&amp;"*"&amp;TEXT(LUG28-utc_offset/24,"YYYYMMDD")&amp;"*"" /stext="" "&amp;TEXT(LUG28-utc_offset/24,"HH")&amp;search_regexp&amp;""""</f>
        <v>#REF!</v>
      </c>
      <c r="LVE28" s="234" t="e">
        <f>astrogrep_path&amp;" /e /r /s /spath="&amp;search_path&amp;" /stypes=""app*"&amp;LUA28&amp;"*"&amp;TEXT(LUH28-utc_offset/24,"YYYYMMDD")&amp;"*"" /stext="" "&amp;TEXT(LUH28-utc_offset/24,"HH")&amp;search_regexp&amp;""""</f>
        <v>#REF!</v>
      </c>
      <c r="LVF28" s="234" t="e">
        <f>astrogrep_path&amp;" /e /r /s /spath="&amp;search_path&amp;" /stypes=""app*"&amp;LUB28&amp;"*"&amp;TEXT(LUI28-utc_offset/24,"YYYYMMDD")&amp;"*"" /stext="" "&amp;TEXT(LUI28-utc_offset/24,"HH")&amp;search_regexp&amp;""""</f>
        <v>#REF!</v>
      </c>
      <c r="LVG28" s="234" t="e">
        <f>astrogrep_path&amp;" /e /r /s /spath="&amp;search_path&amp;" /stypes=""app*"&amp;LUC28&amp;"*"&amp;TEXT(LUJ28-utc_offset/24,"YYYYMMDD")&amp;"*"" /stext="" "&amp;TEXT(LUJ28-utc_offset/24,"HH")&amp;search_regexp&amp;""""</f>
        <v>#REF!</v>
      </c>
      <c r="LVH28" s="234" t="e">
        <f>astrogrep_path&amp;" /e /r /s /spath="&amp;search_path&amp;" /stypes=""app*"&amp;LUD28&amp;"*"&amp;TEXT(LUK28-utc_offset/24,"YYYYMMDD")&amp;"*"" /stext="" "&amp;TEXT(LUK28-utc_offset/24,"HH")&amp;search_regexp&amp;""""</f>
        <v>#REF!</v>
      </c>
      <c r="LVI28" s="234" t="e">
        <f>astrogrep_path&amp;" /e /r /s /spath="&amp;search_path&amp;" /stypes=""app*"&amp;LUE28&amp;"*"&amp;TEXT(LUL28-utc_offset/24,"YYYYMMDD")&amp;"*"" /stext="" "&amp;TEXT(LUL28-utc_offset/24,"HH")&amp;search_regexp&amp;""""</f>
        <v>#REF!</v>
      </c>
      <c r="LVJ28" s="234" t="e">
        <f>astrogrep_path&amp;" /e /r /s /spath="&amp;search_path&amp;" /stypes=""app*"&amp;LUF28&amp;"*"&amp;TEXT(LUM28-utc_offset/24,"YYYYMMDD")&amp;"*"" /stext="" "&amp;TEXT(LUM28-utc_offset/24,"HH")&amp;search_regexp&amp;""""</f>
        <v>#REF!</v>
      </c>
      <c r="LVK28" s="234" t="e">
        <f>astrogrep_path&amp;" /e /r /s /spath="&amp;search_path&amp;" /stypes=""app*"&amp;LUG28&amp;"*"&amp;TEXT(LUN28-utc_offset/24,"YYYYMMDD")&amp;"*"" /stext="" "&amp;TEXT(LUN28-utc_offset/24,"HH")&amp;search_regexp&amp;""""</f>
        <v>#REF!</v>
      </c>
      <c r="LVL28" s="234" t="e">
        <f>astrogrep_path&amp;" /e /r /s /spath="&amp;search_path&amp;" /stypes=""app*"&amp;LUH28&amp;"*"&amp;TEXT(LUO28-utc_offset/24,"YYYYMMDD")&amp;"*"" /stext="" "&amp;TEXT(LUO28-utc_offset/24,"HH")&amp;search_regexp&amp;""""</f>
        <v>#REF!</v>
      </c>
      <c r="LVM28" s="234" t="e">
        <f>astrogrep_path&amp;" /e /r /s /spath="&amp;search_path&amp;" /stypes=""app*"&amp;LUI28&amp;"*"&amp;TEXT(LUP28-utc_offset/24,"YYYYMMDD")&amp;"*"" /stext="" "&amp;TEXT(LUP28-utc_offset/24,"HH")&amp;search_regexp&amp;""""</f>
        <v>#REF!</v>
      </c>
      <c r="LVN28" s="234" t="e">
        <f>astrogrep_path&amp;" /e /r /s /spath="&amp;search_path&amp;" /stypes=""app*"&amp;LUJ28&amp;"*"&amp;TEXT(LUQ28-utc_offset/24,"YYYYMMDD")&amp;"*"" /stext="" "&amp;TEXT(LUQ28-utc_offset/24,"HH")&amp;search_regexp&amp;""""</f>
        <v>#REF!</v>
      </c>
      <c r="LVO28" s="234" t="e">
        <f>astrogrep_path&amp;" /e /r /s /spath="&amp;search_path&amp;" /stypes=""app*"&amp;LUK28&amp;"*"&amp;TEXT(LUR28-utc_offset/24,"YYYYMMDD")&amp;"*"" /stext="" "&amp;TEXT(LUR28-utc_offset/24,"HH")&amp;search_regexp&amp;""""</f>
        <v>#REF!</v>
      </c>
      <c r="LVP28" s="234" t="e">
        <f>astrogrep_path&amp;" /e /r /s /spath="&amp;search_path&amp;" /stypes=""app*"&amp;LUL28&amp;"*"&amp;TEXT(LUS28-utc_offset/24,"YYYYMMDD")&amp;"*"" /stext="" "&amp;TEXT(LUS28-utc_offset/24,"HH")&amp;search_regexp&amp;""""</f>
        <v>#REF!</v>
      </c>
      <c r="LVQ28" s="234" t="e">
        <f>astrogrep_path&amp;" /e /r /s /spath="&amp;search_path&amp;" /stypes=""app*"&amp;LUM28&amp;"*"&amp;TEXT(LUT28-utc_offset/24,"YYYYMMDD")&amp;"*"" /stext="" "&amp;TEXT(LUT28-utc_offset/24,"HH")&amp;search_regexp&amp;""""</f>
        <v>#VALUE!</v>
      </c>
      <c r="LVR28" s="234" t="e">
        <f>astrogrep_path&amp;" /e /r /s /spath="&amp;search_path&amp;" /stypes=""app*"&amp;LUN28&amp;"*"&amp;TEXT(LUU28-utc_offset/24,"YYYYMMDD")&amp;"*"" /stext="" "&amp;TEXT(LUU28-utc_offset/24,"HH")&amp;search_regexp&amp;""""</f>
        <v>#VALUE!</v>
      </c>
      <c r="LVS28" s="234" t="e">
        <f>astrogrep_path&amp;" /e /r /s /spath="&amp;search_path&amp;" /stypes=""app*"&amp;LUO28&amp;"*"&amp;TEXT(LUV28-utc_offset/24,"YYYYMMDD")&amp;"*"" /stext="" "&amp;TEXT(LUV28-utc_offset/24,"HH")&amp;search_regexp&amp;""""</f>
        <v>#REF!</v>
      </c>
      <c r="LVT28" s="234" t="e">
        <f>astrogrep_path&amp;" /e /r /s /spath="&amp;search_path&amp;" /stypes=""app*"&amp;LUP28&amp;"*"&amp;TEXT(LUW28-utc_offset/24,"YYYYMMDD")&amp;"*"" /stext="" "&amp;TEXT(LUW28-utc_offset/24,"HH")&amp;search_regexp&amp;""""</f>
        <v>#REF!</v>
      </c>
      <c r="LVU28" s="234" t="e">
        <f>astrogrep_path&amp;" /e /r /s /spath="&amp;search_path&amp;" /stypes=""app*"&amp;LUQ28&amp;"*"&amp;TEXT(LUX28-utc_offset/24,"YYYYMMDD")&amp;"*"" /stext="" "&amp;TEXT(LUX28-utc_offset/24,"HH")&amp;search_regexp&amp;""""</f>
        <v>#VALUE!</v>
      </c>
      <c r="LVV28" s="234" t="e">
        <f>astrogrep_path&amp;" /e /r /s /spath="&amp;search_path&amp;" /stypes=""app*"&amp;LUR28&amp;"*"&amp;TEXT(LUY28-utc_offset/24,"YYYYMMDD")&amp;"*"" /stext="" "&amp;TEXT(LUY28-utc_offset/24,"HH")&amp;search_regexp&amp;""""</f>
        <v>#VALUE!</v>
      </c>
      <c r="LVW28" s="234" t="e">
        <f>astrogrep_path&amp;" /e /r /s /spath="&amp;search_path&amp;" /stypes=""app*"&amp;LUS28&amp;"*"&amp;TEXT(LUZ28-utc_offset/24,"YYYYMMDD")&amp;"*"" /stext="" "&amp;TEXT(LUZ28-utc_offset/24,"HH")&amp;search_regexp&amp;""""</f>
        <v>#VALUE!</v>
      </c>
      <c r="LVX28" s="234" t="e">
        <f>astrogrep_path&amp;" /e /r /s /spath="&amp;search_path&amp;" /stypes=""app*"&amp;LUT28&amp;"*"&amp;TEXT(LVA28-utc_offset/24,"YYYYMMDD")&amp;"*"" /stext="" "&amp;TEXT(LVA28-utc_offset/24,"HH")&amp;search_regexp&amp;""""</f>
        <v>#VALUE!</v>
      </c>
      <c r="LVY28" s="234" t="e">
        <f>astrogrep_path&amp;" /e /r /s /spath="&amp;search_path&amp;" /stypes=""app*"&amp;LUU28&amp;"*"&amp;TEXT(LVB28-utc_offset/24,"YYYYMMDD")&amp;"*"" /stext="" "&amp;TEXT(LVB28-utc_offset/24,"HH")&amp;search_regexp&amp;""""</f>
        <v>#VALUE!</v>
      </c>
      <c r="LVZ28" s="234" t="e">
        <f>astrogrep_path&amp;" /e /r /s /spath="&amp;search_path&amp;" /stypes=""app*"&amp;LUV28&amp;"*"&amp;TEXT(LVC28-utc_offset/24,"YYYYMMDD")&amp;"*"" /stext="" "&amp;TEXT(LVC28-utc_offset/24,"HH")&amp;search_regexp&amp;""""</f>
        <v>#REF!</v>
      </c>
      <c r="LWA28" s="234" t="e">
        <f>astrogrep_path&amp;" /e /r /s /spath="&amp;search_path&amp;" /stypes=""app*"&amp;LUW28&amp;"*"&amp;TEXT(LVD28-utc_offset/24,"YYYYMMDD")&amp;"*"" /stext="" "&amp;TEXT(LVD28-utc_offset/24,"HH")&amp;search_regexp&amp;""""</f>
        <v>#REF!</v>
      </c>
      <c r="LWB28" s="234" t="e">
        <f>astrogrep_path&amp;" /e /r /s /spath="&amp;search_path&amp;" /stypes=""app*"&amp;LUX28&amp;"*"&amp;TEXT(LVE28-utc_offset/24,"YYYYMMDD")&amp;"*"" /stext="" "&amp;TEXT(LVE28-utc_offset/24,"HH")&amp;search_regexp&amp;""""</f>
        <v>#REF!</v>
      </c>
      <c r="LWC28" s="234" t="e">
        <f>astrogrep_path&amp;" /e /r /s /spath="&amp;search_path&amp;" /stypes=""app*"&amp;LUY28&amp;"*"&amp;TEXT(LVF28-utc_offset/24,"YYYYMMDD")&amp;"*"" /stext="" "&amp;TEXT(LVF28-utc_offset/24,"HH")&amp;search_regexp&amp;""""</f>
        <v>#REF!</v>
      </c>
      <c r="LWD28" s="234" t="e">
        <f>astrogrep_path&amp;" /e /r /s /spath="&amp;search_path&amp;" /stypes=""app*"&amp;LUZ28&amp;"*"&amp;TEXT(LVG28-utc_offset/24,"YYYYMMDD")&amp;"*"" /stext="" "&amp;TEXT(LVG28-utc_offset/24,"HH")&amp;search_regexp&amp;""""</f>
        <v>#REF!</v>
      </c>
      <c r="LWE28" s="234" t="e">
        <f>astrogrep_path&amp;" /e /r /s /spath="&amp;search_path&amp;" /stypes=""app*"&amp;LVA28&amp;"*"&amp;TEXT(LVH28-utc_offset/24,"YYYYMMDD")&amp;"*"" /stext="" "&amp;TEXT(LVH28-utc_offset/24,"HH")&amp;search_regexp&amp;""""</f>
        <v>#REF!</v>
      </c>
      <c r="LWF28" s="234" t="e">
        <f>astrogrep_path&amp;" /e /r /s /spath="&amp;search_path&amp;" /stypes=""app*"&amp;LVB28&amp;"*"&amp;TEXT(LVI28-utc_offset/24,"YYYYMMDD")&amp;"*"" /stext="" "&amp;TEXT(LVI28-utc_offset/24,"HH")&amp;search_regexp&amp;""""</f>
        <v>#REF!</v>
      </c>
      <c r="LWG28" s="234" t="e">
        <f>astrogrep_path&amp;" /e /r /s /spath="&amp;search_path&amp;" /stypes=""app*"&amp;LVC28&amp;"*"&amp;TEXT(LVJ28-utc_offset/24,"YYYYMMDD")&amp;"*"" /stext="" "&amp;TEXT(LVJ28-utc_offset/24,"HH")&amp;search_regexp&amp;""""</f>
        <v>#REF!</v>
      </c>
      <c r="LWH28" s="234" t="e">
        <f>astrogrep_path&amp;" /e /r /s /spath="&amp;search_path&amp;" /stypes=""app*"&amp;LVD28&amp;"*"&amp;TEXT(LVK28-utc_offset/24,"YYYYMMDD")&amp;"*"" /stext="" "&amp;TEXT(LVK28-utc_offset/24,"HH")&amp;search_regexp&amp;""""</f>
        <v>#REF!</v>
      </c>
      <c r="LWI28" s="234" t="e">
        <f>astrogrep_path&amp;" /e /r /s /spath="&amp;search_path&amp;" /stypes=""app*"&amp;LVE28&amp;"*"&amp;TEXT(LVL28-utc_offset/24,"YYYYMMDD")&amp;"*"" /stext="" "&amp;TEXT(LVL28-utc_offset/24,"HH")&amp;search_regexp&amp;""""</f>
        <v>#REF!</v>
      </c>
      <c r="LWJ28" s="234" t="e">
        <f>astrogrep_path&amp;" /e /r /s /spath="&amp;search_path&amp;" /stypes=""app*"&amp;LVF28&amp;"*"&amp;TEXT(LVM28-utc_offset/24,"YYYYMMDD")&amp;"*"" /stext="" "&amp;TEXT(LVM28-utc_offset/24,"HH")&amp;search_regexp&amp;""""</f>
        <v>#REF!</v>
      </c>
      <c r="LWK28" s="234" t="e">
        <f>astrogrep_path&amp;" /e /r /s /spath="&amp;search_path&amp;" /stypes=""app*"&amp;LVG28&amp;"*"&amp;TEXT(LVN28-utc_offset/24,"YYYYMMDD")&amp;"*"" /stext="" "&amp;TEXT(LVN28-utc_offset/24,"HH")&amp;search_regexp&amp;""""</f>
        <v>#REF!</v>
      </c>
      <c r="LWL28" s="234" t="e">
        <f>astrogrep_path&amp;" /e /r /s /spath="&amp;search_path&amp;" /stypes=""app*"&amp;LVH28&amp;"*"&amp;TEXT(LVO28-utc_offset/24,"YYYYMMDD")&amp;"*"" /stext="" "&amp;TEXT(LVO28-utc_offset/24,"HH")&amp;search_regexp&amp;""""</f>
        <v>#REF!</v>
      </c>
      <c r="LWM28" s="234" t="e">
        <f>astrogrep_path&amp;" /e /r /s /spath="&amp;search_path&amp;" /stypes=""app*"&amp;LVI28&amp;"*"&amp;TEXT(LVP28-utc_offset/24,"YYYYMMDD")&amp;"*"" /stext="" "&amp;TEXT(LVP28-utc_offset/24,"HH")&amp;search_regexp&amp;""""</f>
        <v>#REF!</v>
      </c>
      <c r="LWN28" s="234" t="e">
        <f>astrogrep_path&amp;" /e /r /s /spath="&amp;search_path&amp;" /stypes=""app*"&amp;LVJ28&amp;"*"&amp;TEXT(LVQ28-utc_offset/24,"YYYYMMDD")&amp;"*"" /stext="" "&amp;TEXT(LVQ28-utc_offset/24,"HH")&amp;search_regexp&amp;""""</f>
        <v>#REF!</v>
      </c>
      <c r="LWO28" s="234" t="e">
        <f>astrogrep_path&amp;" /e /r /s /spath="&amp;search_path&amp;" /stypes=""app*"&amp;LVK28&amp;"*"&amp;TEXT(LVR28-utc_offset/24,"YYYYMMDD")&amp;"*"" /stext="" "&amp;TEXT(LVR28-utc_offset/24,"HH")&amp;search_regexp&amp;""""</f>
        <v>#REF!</v>
      </c>
      <c r="LWP28" s="234" t="e">
        <f>astrogrep_path&amp;" /e /r /s /spath="&amp;search_path&amp;" /stypes=""app*"&amp;LVL28&amp;"*"&amp;TEXT(LVS28-utc_offset/24,"YYYYMMDD")&amp;"*"" /stext="" "&amp;TEXT(LVS28-utc_offset/24,"HH")&amp;search_regexp&amp;""""</f>
        <v>#REF!</v>
      </c>
      <c r="LWQ28" s="234" t="e">
        <f>astrogrep_path&amp;" /e /r /s /spath="&amp;search_path&amp;" /stypes=""app*"&amp;LVM28&amp;"*"&amp;TEXT(LVT28-utc_offset/24,"YYYYMMDD")&amp;"*"" /stext="" "&amp;TEXT(LVT28-utc_offset/24,"HH")&amp;search_regexp&amp;""""</f>
        <v>#REF!</v>
      </c>
      <c r="LWR28" s="234" t="e">
        <f>astrogrep_path&amp;" /e /r /s /spath="&amp;search_path&amp;" /stypes=""app*"&amp;LVN28&amp;"*"&amp;TEXT(LVU28-utc_offset/24,"YYYYMMDD")&amp;"*"" /stext="" "&amp;TEXT(LVU28-utc_offset/24,"HH")&amp;search_regexp&amp;""""</f>
        <v>#REF!</v>
      </c>
      <c r="LWS28" s="234" t="e">
        <f>astrogrep_path&amp;" /e /r /s /spath="&amp;search_path&amp;" /stypes=""app*"&amp;LVO28&amp;"*"&amp;TEXT(LVV28-utc_offset/24,"YYYYMMDD")&amp;"*"" /stext="" "&amp;TEXT(LVV28-utc_offset/24,"HH")&amp;search_regexp&amp;""""</f>
        <v>#REF!</v>
      </c>
      <c r="LWT28" s="234" t="e">
        <f>astrogrep_path&amp;" /e /r /s /spath="&amp;search_path&amp;" /stypes=""app*"&amp;LVP28&amp;"*"&amp;TEXT(LVW28-utc_offset/24,"YYYYMMDD")&amp;"*"" /stext="" "&amp;TEXT(LVW28-utc_offset/24,"HH")&amp;search_regexp&amp;""""</f>
        <v>#REF!</v>
      </c>
      <c r="LWU28" s="234" t="e">
        <f>astrogrep_path&amp;" /e /r /s /spath="&amp;search_path&amp;" /stypes=""app*"&amp;LVQ28&amp;"*"&amp;TEXT(LVX28-utc_offset/24,"YYYYMMDD")&amp;"*"" /stext="" "&amp;TEXT(LVX28-utc_offset/24,"HH")&amp;search_regexp&amp;""""</f>
        <v>#VALUE!</v>
      </c>
      <c r="LWV28" s="234" t="e">
        <f>astrogrep_path&amp;" /e /r /s /spath="&amp;search_path&amp;" /stypes=""app*"&amp;LVR28&amp;"*"&amp;TEXT(LVY28-utc_offset/24,"YYYYMMDD")&amp;"*"" /stext="" "&amp;TEXT(LVY28-utc_offset/24,"HH")&amp;search_regexp&amp;""""</f>
        <v>#VALUE!</v>
      </c>
      <c r="LWW28" s="234" t="e">
        <f>astrogrep_path&amp;" /e /r /s /spath="&amp;search_path&amp;" /stypes=""app*"&amp;LVS28&amp;"*"&amp;TEXT(LVZ28-utc_offset/24,"YYYYMMDD")&amp;"*"" /stext="" "&amp;TEXT(LVZ28-utc_offset/24,"HH")&amp;search_regexp&amp;""""</f>
        <v>#REF!</v>
      </c>
      <c r="LWX28" s="234" t="e">
        <f>astrogrep_path&amp;" /e /r /s /spath="&amp;search_path&amp;" /stypes=""app*"&amp;LVT28&amp;"*"&amp;TEXT(LWA28-utc_offset/24,"YYYYMMDD")&amp;"*"" /stext="" "&amp;TEXT(LWA28-utc_offset/24,"HH")&amp;search_regexp&amp;""""</f>
        <v>#REF!</v>
      </c>
      <c r="LWY28" s="234" t="e">
        <f>astrogrep_path&amp;" /e /r /s /spath="&amp;search_path&amp;" /stypes=""app*"&amp;LVU28&amp;"*"&amp;TEXT(LWB28-utc_offset/24,"YYYYMMDD")&amp;"*"" /stext="" "&amp;TEXT(LWB28-utc_offset/24,"HH")&amp;search_regexp&amp;""""</f>
        <v>#VALUE!</v>
      </c>
      <c r="LWZ28" s="234" t="e">
        <f>astrogrep_path&amp;" /e /r /s /spath="&amp;search_path&amp;" /stypes=""app*"&amp;LVV28&amp;"*"&amp;TEXT(LWC28-utc_offset/24,"YYYYMMDD")&amp;"*"" /stext="" "&amp;TEXT(LWC28-utc_offset/24,"HH")&amp;search_regexp&amp;""""</f>
        <v>#VALUE!</v>
      </c>
      <c r="LXA28" s="234" t="e">
        <f>astrogrep_path&amp;" /e /r /s /spath="&amp;search_path&amp;" /stypes=""app*"&amp;LVW28&amp;"*"&amp;TEXT(LWD28-utc_offset/24,"YYYYMMDD")&amp;"*"" /stext="" "&amp;TEXT(LWD28-utc_offset/24,"HH")&amp;search_regexp&amp;""""</f>
        <v>#VALUE!</v>
      </c>
      <c r="LXB28" s="234" t="e">
        <f>astrogrep_path&amp;" /e /r /s /spath="&amp;search_path&amp;" /stypes=""app*"&amp;LVX28&amp;"*"&amp;TEXT(LWE28-utc_offset/24,"YYYYMMDD")&amp;"*"" /stext="" "&amp;TEXT(LWE28-utc_offset/24,"HH")&amp;search_regexp&amp;""""</f>
        <v>#VALUE!</v>
      </c>
      <c r="LXC28" s="234" t="e">
        <f>astrogrep_path&amp;" /e /r /s /spath="&amp;search_path&amp;" /stypes=""app*"&amp;LVY28&amp;"*"&amp;TEXT(LWF28-utc_offset/24,"YYYYMMDD")&amp;"*"" /stext="" "&amp;TEXT(LWF28-utc_offset/24,"HH")&amp;search_regexp&amp;""""</f>
        <v>#VALUE!</v>
      </c>
      <c r="LXD28" s="234" t="e">
        <f>astrogrep_path&amp;" /e /r /s /spath="&amp;search_path&amp;" /stypes=""app*"&amp;LVZ28&amp;"*"&amp;TEXT(LWG28-utc_offset/24,"YYYYMMDD")&amp;"*"" /stext="" "&amp;TEXT(LWG28-utc_offset/24,"HH")&amp;search_regexp&amp;""""</f>
        <v>#REF!</v>
      </c>
      <c r="LXE28" s="234" t="e">
        <f>astrogrep_path&amp;" /e /r /s /spath="&amp;search_path&amp;" /stypes=""app*"&amp;LWA28&amp;"*"&amp;TEXT(LWH28-utc_offset/24,"YYYYMMDD")&amp;"*"" /stext="" "&amp;TEXT(LWH28-utc_offset/24,"HH")&amp;search_regexp&amp;""""</f>
        <v>#REF!</v>
      </c>
      <c r="LXF28" s="234" t="e">
        <f>astrogrep_path&amp;" /e /r /s /spath="&amp;search_path&amp;" /stypes=""app*"&amp;LWB28&amp;"*"&amp;TEXT(LWI28-utc_offset/24,"YYYYMMDD")&amp;"*"" /stext="" "&amp;TEXT(LWI28-utc_offset/24,"HH")&amp;search_regexp&amp;""""</f>
        <v>#REF!</v>
      </c>
      <c r="LXG28" s="234" t="e">
        <f>astrogrep_path&amp;" /e /r /s /spath="&amp;search_path&amp;" /stypes=""app*"&amp;LWC28&amp;"*"&amp;TEXT(LWJ28-utc_offset/24,"YYYYMMDD")&amp;"*"" /stext="" "&amp;TEXT(LWJ28-utc_offset/24,"HH")&amp;search_regexp&amp;""""</f>
        <v>#REF!</v>
      </c>
      <c r="LXH28" s="234" t="e">
        <f>astrogrep_path&amp;" /e /r /s /spath="&amp;search_path&amp;" /stypes=""app*"&amp;LWD28&amp;"*"&amp;TEXT(LWK28-utc_offset/24,"YYYYMMDD")&amp;"*"" /stext="" "&amp;TEXT(LWK28-utc_offset/24,"HH")&amp;search_regexp&amp;""""</f>
        <v>#REF!</v>
      </c>
      <c r="LXI28" s="234" t="e">
        <f>astrogrep_path&amp;" /e /r /s /spath="&amp;search_path&amp;" /stypes=""app*"&amp;LWE28&amp;"*"&amp;TEXT(LWL28-utc_offset/24,"YYYYMMDD")&amp;"*"" /stext="" "&amp;TEXT(LWL28-utc_offset/24,"HH")&amp;search_regexp&amp;""""</f>
        <v>#REF!</v>
      </c>
      <c r="LXJ28" s="234" t="e">
        <f>astrogrep_path&amp;" /e /r /s /spath="&amp;search_path&amp;" /stypes=""app*"&amp;LWF28&amp;"*"&amp;TEXT(LWM28-utc_offset/24,"YYYYMMDD")&amp;"*"" /stext="" "&amp;TEXT(LWM28-utc_offset/24,"HH")&amp;search_regexp&amp;""""</f>
        <v>#REF!</v>
      </c>
      <c r="LXK28" s="234" t="e">
        <f>astrogrep_path&amp;" /e /r /s /spath="&amp;search_path&amp;" /stypes=""app*"&amp;LWG28&amp;"*"&amp;TEXT(LWN28-utc_offset/24,"YYYYMMDD")&amp;"*"" /stext="" "&amp;TEXT(LWN28-utc_offset/24,"HH")&amp;search_regexp&amp;""""</f>
        <v>#REF!</v>
      </c>
      <c r="LXL28" s="234" t="e">
        <f>astrogrep_path&amp;" /e /r /s /spath="&amp;search_path&amp;" /stypes=""app*"&amp;LWH28&amp;"*"&amp;TEXT(LWO28-utc_offset/24,"YYYYMMDD")&amp;"*"" /stext="" "&amp;TEXT(LWO28-utc_offset/24,"HH")&amp;search_regexp&amp;""""</f>
        <v>#REF!</v>
      </c>
      <c r="LXM28" s="234" t="e">
        <f>astrogrep_path&amp;" /e /r /s /spath="&amp;search_path&amp;" /stypes=""app*"&amp;LWI28&amp;"*"&amp;TEXT(LWP28-utc_offset/24,"YYYYMMDD")&amp;"*"" /stext="" "&amp;TEXT(LWP28-utc_offset/24,"HH")&amp;search_regexp&amp;""""</f>
        <v>#REF!</v>
      </c>
      <c r="LXN28" s="234" t="e">
        <f>astrogrep_path&amp;" /e /r /s /spath="&amp;search_path&amp;" /stypes=""app*"&amp;LWJ28&amp;"*"&amp;TEXT(LWQ28-utc_offset/24,"YYYYMMDD")&amp;"*"" /stext="" "&amp;TEXT(LWQ28-utc_offset/24,"HH")&amp;search_regexp&amp;""""</f>
        <v>#REF!</v>
      </c>
      <c r="LXO28" s="234" t="e">
        <f>astrogrep_path&amp;" /e /r /s /spath="&amp;search_path&amp;" /stypes=""app*"&amp;LWK28&amp;"*"&amp;TEXT(LWR28-utc_offset/24,"YYYYMMDD")&amp;"*"" /stext="" "&amp;TEXT(LWR28-utc_offset/24,"HH")&amp;search_regexp&amp;""""</f>
        <v>#REF!</v>
      </c>
      <c r="LXP28" s="234" t="e">
        <f>astrogrep_path&amp;" /e /r /s /spath="&amp;search_path&amp;" /stypes=""app*"&amp;LWL28&amp;"*"&amp;TEXT(LWS28-utc_offset/24,"YYYYMMDD")&amp;"*"" /stext="" "&amp;TEXT(LWS28-utc_offset/24,"HH")&amp;search_regexp&amp;""""</f>
        <v>#REF!</v>
      </c>
      <c r="LXQ28" s="234" t="e">
        <f>astrogrep_path&amp;" /e /r /s /spath="&amp;search_path&amp;" /stypes=""app*"&amp;LWM28&amp;"*"&amp;TEXT(LWT28-utc_offset/24,"YYYYMMDD")&amp;"*"" /stext="" "&amp;TEXT(LWT28-utc_offset/24,"HH")&amp;search_regexp&amp;""""</f>
        <v>#REF!</v>
      </c>
      <c r="LXR28" s="234" t="e">
        <f>astrogrep_path&amp;" /e /r /s /spath="&amp;search_path&amp;" /stypes=""app*"&amp;LWN28&amp;"*"&amp;TEXT(LWU28-utc_offset/24,"YYYYMMDD")&amp;"*"" /stext="" "&amp;TEXT(LWU28-utc_offset/24,"HH")&amp;search_regexp&amp;""""</f>
        <v>#REF!</v>
      </c>
      <c r="LXS28" s="234" t="e">
        <f>astrogrep_path&amp;" /e /r /s /spath="&amp;search_path&amp;" /stypes=""app*"&amp;LWO28&amp;"*"&amp;TEXT(LWV28-utc_offset/24,"YYYYMMDD")&amp;"*"" /stext="" "&amp;TEXT(LWV28-utc_offset/24,"HH")&amp;search_regexp&amp;""""</f>
        <v>#REF!</v>
      </c>
      <c r="LXT28" s="234" t="e">
        <f>astrogrep_path&amp;" /e /r /s /spath="&amp;search_path&amp;" /stypes=""app*"&amp;LWP28&amp;"*"&amp;TEXT(LWW28-utc_offset/24,"YYYYMMDD")&amp;"*"" /stext="" "&amp;TEXT(LWW28-utc_offset/24,"HH")&amp;search_regexp&amp;""""</f>
        <v>#REF!</v>
      </c>
      <c r="LXU28" s="234" t="e">
        <f>astrogrep_path&amp;" /e /r /s /spath="&amp;search_path&amp;" /stypes=""app*"&amp;LWQ28&amp;"*"&amp;TEXT(LWX28-utc_offset/24,"YYYYMMDD")&amp;"*"" /stext="" "&amp;TEXT(LWX28-utc_offset/24,"HH")&amp;search_regexp&amp;""""</f>
        <v>#REF!</v>
      </c>
      <c r="LXV28" s="234" t="e">
        <f>astrogrep_path&amp;" /e /r /s /spath="&amp;search_path&amp;" /stypes=""app*"&amp;LWR28&amp;"*"&amp;TEXT(LWY28-utc_offset/24,"YYYYMMDD")&amp;"*"" /stext="" "&amp;TEXT(LWY28-utc_offset/24,"HH")&amp;search_regexp&amp;""""</f>
        <v>#REF!</v>
      </c>
      <c r="LXW28" s="234" t="e">
        <f>astrogrep_path&amp;" /e /r /s /spath="&amp;search_path&amp;" /stypes=""app*"&amp;LWS28&amp;"*"&amp;TEXT(LWZ28-utc_offset/24,"YYYYMMDD")&amp;"*"" /stext="" "&amp;TEXT(LWZ28-utc_offset/24,"HH")&amp;search_regexp&amp;""""</f>
        <v>#REF!</v>
      </c>
      <c r="LXX28" s="234" t="e">
        <f>astrogrep_path&amp;" /e /r /s /spath="&amp;search_path&amp;" /stypes=""app*"&amp;LWT28&amp;"*"&amp;TEXT(LXA28-utc_offset/24,"YYYYMMDD")&amp;"*"" /stext="" "&amp;TEXT(LXA28-utc_offset/24,"HH")&amp;search_regexp&amp;""""</f>
        <v>#REF!</v>
      </c>
      <c r="LXY28" s="234" t="e">
        <f>astrogrep_path&amp;" /e /r /s /spath="&amp;search_path&amp;" /stypes=""app*"&amp;LWU28&amp;"*"&amp;TEXT(LXB28-utc_offset/24,"YYYYMMDD")&amp;"*"" /stext="" "&amp;TEXT(LXB28-utc_offset/24,"HH")&amp;search_regexp&amp;""""</f>
        <v>#VALUE!</v>
      </c>
      <c r="LXZ28" s="234" t="e">
        <f>astrogrep_path&amp;" /e /r /s /spath="&amp;search_path&amp;" /stypes=""app*"&amp;LWV28&amp;"*"&amp;TEXT(LXC28-utc_offset/24,"YYYYMMDD")&amp;"*"" /stext="" "&amp;TEXT(LXC28-utc_offset/24,"HH")&amp;search_regexp&amp;""""</f>
        <v>#VALUE!</v>
      </c>
      <c r="LYA28" s="234" t="e">
        <f>astrogrep_path&amp;" /e /r /s /spath="&amp;search_path&amp;" /stypes=""app*"&amp;LWW28&amp;"*"&amp;TEXT(LXD28-utc_offset/24,"YYYYMMDD")&amp;"*"" /stext="" "&amp;TEXT(LXD28-utc_offset/24,"HH")&amp;search_regexp&amp;""""</f>
        <v>#REF!</v>
      </c>
      <c r="LYB28" s="234" t="e">
        <f>astrogrep_path&amp;" /e /r /s /spath="&amp;search_path&amp;" /stypes=""app*"&amp;LWX28&amp;"*"&amp;TEXT(LXE28-utc_offset/24,"YYYYMMDD")&amp;"*"" /stext="" "&amp;TEXT(LXE28-utc_offset/24,"HH")&amp;search_regexp&amp;""""</f>
        <v>#REF!</v>
      </c>
      <c r="LYC28" s="234" t="e">
        <f>astrogrep_path&amp;" /e /r /s /spath="&amp;search_path&amp;" /stypes=""app*"&amp;LWY28&amp;"*"&amp;TEXT(LXF28-utc_offset/24,"YYYYMMDD")&amp;"*"" /stext="" "&amp;TEXT(LXF28-utc_offset/24,"HH")&amp;search_regexp&amp;""""</f>
        <v>#VALUE!</v>
      </c>
      <c r="LYD28" s="234" t="e">
        <f>astrogrep_path&amp;" /e /r /s /spath="&amp;search_path&amp;" /stypes=""app*"&amp;LWZ28&amp;"*"&amp;TEXT(LXG28-utc_offset/24,"YYYYMMDD")&amp;"*"" /stext="" "&amp;TEXT(LXG28-utc_offset/24,"HH")&amp;search_regexp&amp;""""</f>
        <v>#VALUE!</v>
      </c>
      <c r="LYE28" s="234" t="e">
        <f>astrogrep_path&amp;" /e /r /s /spath="&amp;search_path&amp;" /stypes=""app*"&amp;LXA28&amp;"*"&amp;TEXT(LXH28-utc_offset/24,"YYYYMMDD")&amp;"*"" /stext="" "&amp;TEXT(LXH28-utc_offset/24,"HH")&amp;search_regexp&amp;""""</f>
        <v>#VALUE!</v>
      </c>
      <c r="LYF28" s="234" t="e">
        <f>astrogrep_path&amp;" /e /r /s /spath="&amp;search_path&amp;" /stypes=""app*"&amp;LXB28&amp;"*"&amp;TEXT(LXI28-utc_offset/24,"YYYYMMDD")&amp;"*"" /stext="" "&amp;TEXT(LXI28-utc_offset/24,"HH")&amp;search_regexp&amp;""""</f>
        <v>#VALUE!</v>
      </c>
      <c r="LYG28" s="234" t="e">
        <f>astrogrep_path&amp;" /e /r /s /spath="&amp;search_path&amp;" /stypes=""app*"&amp;LXC28&amp;"*"&amp;TEXT(LXJ28-utc_offset/24,"YYYYMMDD")&amp;"*"" /stext="" "&amp;TEXT(LXJ28-utc_offset/24,"HH")&amp;search_regexp&amp;""""</f>
        <v>#VALUE!</v>
      </c>
      <c r="LYH28" s="234" t="e">
        <f>astrogrep_path&amp;" /e /r /s /spath="&amp;search_path&amp;" /stypes=""app*"&amp;LXD28&amp;"*"&amp;TEXT(LXK28-utc_offset/24,"YYYYMMDD")&amp;"*"" /stext="" "&amp;TEXT(LXK28-utc_offset/24,"HH")&amp;search_regexp&amp;""""</f>
        <v>#REF!</v>
      </c>
      <c r="LYI28" s="234" t="e">
        <f>astrogrep_path&amp;" /e /r /s /spath="&amp;search_path&amp;" /stypes=""app*"&amp;LXE28&amp;"*"&amp;TEXT(LXL28-utc_offset/24,"YYYYMMDD")&amp;"*"" /stext="" "&amp;TEXT(LXL28-utc_offset/24,"HH")&amp;search_regexp&amp;""""</f>
        <v>#REF!</v>
      </c>
      <c r="LYJ28" s="234" t="e">
        <f>astrogrep_path&amp;" /e /r /s /spath="&amp;search_path&amp;" /stypes=""app*"&amp;LXF28&amp;"*"&amp;TEXT(LXM28-utc_offset/24,"YYYYMMDD")&amp;"*"" /stext="" "&amp;TEXT(LXM28-utc_offset/24,"HH")&amp;search_regexp&amp;""""</f>
        <v>#REF!</v>
      </c>
      <c r="LYK28" s="234" t="e">
        <f>astrogrep_path&amp;" /e /r /s /spath="&amp;search_path&amp;" /stypes=""app*"&amp;LXG28&amp;"*"&amp;TEXT(LXN28-utc_offset/24,"YYYYMMDD")&amp;"*"" /stext="" "&amp;TEXT(LXN28-utc_offset/24,"HH")&amp;search_regexp&amp;""""</f>
        <v>#REF!</v>
      </c>
      <c r="LYL28" s="234" t="e">
        <f>astrogrep_path&amp;" /e /r /s /spath="&amp;search_path&amp;" /stypes=""app*"&amp;LXH28&amp;"*"&amp;TEXT(LXO28-utc_offset/24,"YYYYMMDD")&amp;"*"" /stext="" "&amp;TEXT(LXO28-utc_offset/24,"HH")&amp;search_regexp&amp;""""</f>
        <v>#REF!</v>
      </c>
      <c r="LYM28" s="234" t="e">
        <f>astrogrep_path&amp;" /e /r /s /spath="&amp;search_path&amp;" /stypes=""app*"&amp;LXI28&amp;"*"&amp;TEXT(LXP28-utc_offset/24,"YYYYMMDD")&amp;"*"" /stext="" "&amp;TEXT(LXP28-utc_offset/24,"HH")&amp;search_regexp&amp;""""</f>
        <v>#REF!</v>
      </c>
      <c r="LYN28" s="234" t="e">
        <f>astrogrep_path&amp;" /e /r /s /spath="&amp;search_path&amp;" /stypes=""app*"&amp;LXJ28&amp;"*"&amp;TEXT(LXQ28-utc_offset/24,"YYYYMMDD")&amp;"*"" /stext="" "&amp;TEXT(LXQ28-utc_offset/24,"HH")&amp;search_regexp&amp;""""</f>
        <v>#REF!</v>
      </c>
      <c r="LYO28" s="234" t="e">
        <f>astrogrep_path&amp;" /e /r /s /spath="&amp;search_path&amp;" /stypes=""app*"&amp;LXK28&amp;"*"&amp;TEXT(LXR28-utc_offset/24,"YYYYMMDD")&amp;"*"" /stext="" "&amp;TEXT(LXR28-utc_offset/24,"HH")&amp;search_regexp&amp;""""</f>
        <v>#REF!</v>
      </c>
      <c r="LYP28" s="234" t="e">
        <f>astrogrep_path&amp;" /e /r /s /spath="&amp;search_path&amp;" /stypes=""app*"&amp;LXL28&amp;"*"&amp;TEXT(LXS28-utc_offset/24,"YYYYMMDD")&amp;"*"" /stext="" "&amp;TEXT(LXS28-utc_offset/24,"HH")&amp;search_regexp&amp;""""</f>
        <v>#REF!</v>
      </c>
      <c r="LYQ28" s="234" t="e">
        <f>astrogrep_path&amp;" /e /r /s /spath="&amp;search_path&amp;" /stypes=""app*"&amp;LXM28&amp;"*"&amp;TEXT(LXT28-utc_offset/24,"YYYYMMDD")&amp;"*"" /stext="" "&amp;TEXT(LXT28-utc_offset/24,"HH")&amp;search_regexp&amp;""""</f>
        <v>#REF!</v>
      </c>
      <c r="LYR28" s="234" t="e">
        <f>astrogrep_path&amp;" /e /r /s /spath="&amp;search_path&amp;" /stypes=""app*"&amp;LXN28&amp;"*"&amp;TEXT(LXU28-utc_offset/24,"YYYYMMDD")&amp;"*"" /stext="" "&amp;TEXT(LXU28-utc_offset/24,"HH")&amp;search_regexp&amp;""""</f>
        <v>#REF!</v>
      </c>
      <c r="LYS28" s="234" t="e">
        <f>astrogrep_path&amp;" /e /r /s /spath="&amp;search_path&amp;" /stypes=""app*"&amp;LXO28&amp;"*"&amp;TEXT(LXV28-utc_offset/24,"YYYYMMDD")&amp;"*"" /stext="" "&amp;TEXT(LXV28-utc_offset/24,"HH")&amp;search_regexp&amp;""""</f>
        <v>#REF!</v>
      </c>
      <c r="LYT28" s="234" t="e">
        <f>astrogrep_path&amp;" /e /r /s /spath="&amp;search_path&amp;" /stypes=""app*"&amp;LXP28&amp;"*"&amp;TEXT(LXW28-utc_offset/24,"YYYYMMDD")&amp;"*"" /stext="" "&amp;TEXT(LXW28-utc_offset/24,"HH")&amp;search_regexp&amp;""""</f>
        <v>#REF!</v>
      </c>
      <c r="LYU28" s="234" t="e">
        <f>astrogrep_path&amp;" /e /r /s /spath="&amp;search_path&amp;" /stypes=""app*"&amp;LXQ28&amp;"*"&amp;TEXT(LXX28-utc_offset/24,"YYYYMMDD")&amp;"*"" /stext="" "&amp;TEXT(LXX28-utc_offset/24,"HH")&amp;search_regexp&amp;""""</f>
        <v>#REF!</v>
      </c>
      <c r="LYV28" s="234" t="e">
        <f>astrogrep_path&amp;" /e /r /s /spath="&amp;search_path&amp;" /stypes=""app*"&amp;LXR28&amp;"*"&amp;TEXT(LXY28-utc_offset/24,"YYYYMMDD")&amp;"*"" /stext="" "&amp;TEXT(LXY28-utc_offset/24,"HH")&amp;search_regexp&amp;""""</f>
        <v>#REF!</v>
      </c>
      <c r="LYW28" s="234" t="e">
        <f>astrogrep_path&amp;" /e /r /s /spath="&amp;search_path&amp;" /stypes=""app*"&amp;LXS28&amp;"*"&amp;TEXT(LXZ28-utc_offset/24,"YYYYMMDD")&amp;"*"" /stext="" "&amp;TEXT(LXZ28-utc_offset/24,"HH")&amp;search_regexp&amp;""""</f>
        <v>#REF!</v>
      </c>
      <c r="LYX28" s="234" t="e">
        <f>astrogrep_path&amp;" /e /r /s /spath="&amp;search_path&amp;" /stypes=""app*"&amp;LXT28&amp;"*"&amp;TEXT(LYA28-utc_offset/24,"YYYYMMDD")&amp;"*"" /stext="" "&amp;TEXT(LYA28-utc_offset/24,"HH")&amp;search_regexp&amp;""""</f>
        <v>#REF!</v>
      </c>
      <c r="LYY28" s="234" t="e">
        <f>astrogrep_path&amp;" /e /r /s /spath="&amp;search_path&amp;" /stypes=""app*"&amp;LXU28&amp;"*"&amp;TEXT(LYB28-utc_offset/24,"YYYYMMDD")&amp;"*"" /stext="" "&amp;TEXT(LYB28-utc_offset/24,"HH")&amp;search_regexp&amp;""""</f>
        <v>#REF!</v>
      </c>
      <c r="LYZ28" s="234" t="e">
        <f>astrogrep_path&amp;" /e /r /s /spath="&amp;search_path&amp;" /stypes=""app*"&amp;LXV28&amp;"*"&amp;TEXT(LYC28-utc_offset/24,"YYYYMMDD")&amp;"*"" /stext="" "&amp;TEXT(LYC28-utc_offset/24,"HH")&amp;search_regexp&amp;""""</f>
        <v>#REF!</v>
      </c>
      <c r="LZA28" s="234" t="e">
        <f>astrogrep_path&amp;" /e /r /s /spath="&amp;search_path&amp;" /stypes=""app*"&amp;LXW28&amp;"*"&amp;TEXT(LYD28-utc_offset/24,"YYYYMMDD")&amp;"*"" /stext="" "&amp;TEXT(LYD28-utc_offset/24,"HH")&amp;search_regexp&amp;""""</f>
        <v>#REF!</v>
      </c>
      <c r="LZB28" s="234" t="e">
        <f>astrogrep_path&amp;" /e /r /s /spath="&amp;search_path&amp;" /stypes=""app*"&amp;LXX28&amp;"*"&amp;TEXT(LYE28-utc_offset/24,"YYYYMMDD")&amp;"*"" /stext="" "&amp;TEXT(LYE28-utc_offset/24,"HH")&amp;search_regexp&amp;""""</f>
        <v>#REF!</v>
      </c>
      <c r="LZC28" s="234" t="e">
        <f>astrogrep_path&amp;" /e /r /s /spath="&amp;search_path&amp;" /stypes=""app*"&amp;LXY28&amp;"*"&amp;TEXT(LYF28-utc_offset/24,"YYYYMMDD")&amp;"*"" /stext="" "&amp;TEXT(LYF28-utc_offset/24,"HH")&amp;search_regexp&amp;""""</f>
        <v>#VALUE!</v>
      </c>
      <c r="LZD28" s="234" t="e">
        <f>astrogrep_path&amp;" /e /r /s /spath="&amp;search_path&amp;" /stypes=""app*"&amp;LXZ28&amp;"*"&amp;TEXT(LYG28-utc_offset/24,"YYYYMMDD")&amp;"*"" /stext="" "&amp;TEXT(LYG28-utc_offset/24,"HH")&amp;search_regexp&amp;""""</f>
        <v>#VALUE!</v>
      </c>
      <c r="LZE28" s="234" t="e">
        <f>astrogrep_path&amp;" /e /r /s /spath="&amp;search_path&amp;" /stypes=""app*"&amp;LYA28&amp;"*"&amp;TEXT(LYH28-utc_offset/24,"YYYYMMDD")&amp;"*"" /stext="" "&amp;TEXT(LYH28-utc_offset/24,"HH")&amp;search_regexp&amp;""""</f>
        <v>#REF!</v>
      </c>
      <c r="LZF28" s="234" t="e">
        <f>astrogrep_path&amp;" /e /r /s /spath="&amp;search_path&amp;" /stypes=""app*"&amp;LYB28&amp;"*"&amp;TEXT(LYI28-utc_offset/24,"YYYYMMDD")&amp;"*"" /stext="" "&amp;TEXT(LYI28-utc_offset/24,"HH")&amp;search_regexp&amp;""""</f>
        <v>#REF!</v>
      </c>
      <c r="LZG28" s="234" t="e">
        <f>astrogrep_path&amp;" /e /r /s /spath="&amp;search_path&amp;" /stypes=""app*"&amp;LYC28&amp;"*"&amp;TEXT(LYJ28-utc_offset/24,"YYYYMMDD")&amp;"*"" /stext="" "&amp;TEXT(LYJ28-utc_offset/24,"HH")&amp;search_regexp&amp;""""</f>
        <v>#VALUE!</v>
      </c>
      <c r="LZH28" s="234" t="e">
        <f>astrogrep_path&amp;" /e /r /s /spath="&amp;search_path&amp;" /stypes=""app*"&amp;LYD28&amp;"*"&amp;TEXT(LYK28-utc_offset/24,"YYYYMMDD")&amp;"*"" /stext="" "&amp;TEXT(LYK28-utc_offset/24,"HH")&amp;search_regexp&amp;""""</f>
        <v>#VALUE!</v>
      </c>
      <c r="LZI28" s="234" t="e">
        <f>astrogrep_path&amp;" /e /r /s /spath="&amp;search_path&amp;" /stypes=""app*"&amp;LYE28&amp;"*"&amp;TEXT(LYL28-utc_offset/24,"YYYYMMDD")&amp;"*"" /stext="" "&amp;TEXT(LYL28-utc_offset/24,"HH")&amp;search_regexp&amp;""""</f>
        <v>#VALUE!</v>
      </c>
      <c r="LZJ28" s="234" t="e">
        <f>astrogrep_path&amp;" /e /r /s /spath="&amp;search_path&amp;" /stypes=""app*"&amp;LYF28&amp;"*"&amp;TEXT(LYM28-utc_offset/24,"YYYYMMDD")&amp;"*"" /stext="" "&amp;TEXT(LYM28-utc_offset/24,"HH")&amp;search_regexp&amp;""""</f>
        <v>#VALUE!</v>
      </c>
      <c r="LZK28" s="234" t="e">
        <f>astrogrep_path&amp;" /e /r /s /spath="&amp;search_path&amp;" /stypes=""app*"&amp;LYG28&amp;"*"&amp;TEXT(LYN28-utc_offset/24,"YYYYMMDD")&amp;"*"" /stext="" "&amp;TEXT(LYN28-utc_offset/24,"HH")&amp;search_regexp&amp;""""</f>
        <v>#VALUE!</v>
      </c>
      <c r="LZL28" s="234" t="e">
        <f>astrogrep_path&amp;" /e /r /s /spath="&amp;search_path&amp;" /stypes=""app*"&amp;LYH28&amp;"*"&amp;TEXT(LYO28-utc_offset/24,"YYYYMMDD")&amp;"*"" /stext="" "&amp;TEXT(LYO28-utc_offset/24,"HH")&amp;search_regexp&amp;""""</f>
        <v>#REF!</v>
      </c>
      <c r="LZM28" s="234" t="e">
        <f>astrogrep_path&amp;" /e /r /s /spath="&amp;search_path&amp;" /stypes=""app*"&amp;LYI28&amp;"*"&amp;TEXT(LYP28-utc_offset/24,"YYYYMMDD")&amp;"*"" /stext="" "&amp;TEXT(LYP28-utc_offset/24,"HH")&amp;search_regexp&amp;""""</f>
        <v>#REF!</v>
      </c>
      <c r="LZN28" s="234" t="e">
        <f>astrogrep_path&amp;" /e /r /s /spath="&amp;search_path&amp;" /stypes=""app*"&amp;LYJ28&amp;"*"&amp;TEXT(LYQ28-utc_offset/24,"YYYYMMDD")&amp;"*"" /stext="" "&amp;TEXT(LYQ28-utc_offset/24,"HH")&amp;search_regexp&amp;""""</f>
        <v>#REF!</v>
      </c>
      <c r="LZO28" s="234" t="e">
        <f>astrogrep_path&amp;" /e /r /s /spath="&amp;search_path&amp;" /stypes=""app*"&amp;LYK28&amp;"*"&amp;TEXT(LYR28-utc_offset/24,"YYYYMMDD")&amp;"*"" /stext="" "&amp;TEXT(LYR28-utc_offset/24,"HH")&amp;search_regexp&amp;""""</f>
        <v>#REF!</v>
      </c>
      <c r="LZP28" s="234" t="e">
        <f>astrogrep_path&amp;" /e /r /s /spath="&amp;search_path&amp;" /stypes=""app*"&amp;LYL28&amp;"*"&amp;TEXT(LYS28-utc_offset/24,"YYYYMMDD")&amp;"*"" /stext="" "&amp;TEXT(LYS28-utc_offset/24,"HH")&amp;search_regexp&amp;""""</f>
        <v>#REF!</v>
      </c>
      <c r="LZQ28" s="234" t="e">
        <f>astrogrep_path&amp;" /e /r /s /spath="&amp;search_path&amp;" /stypes=""app*"&amp;LYM28&amp;"*"&amp;TEXT(LYT28-utc_offset/24,"YYYYMMDD")&amp;"*"" /stext="" "&amp;TEXT(LYT28-utc_offset/24,"HH")&amp;search_regexp&amp;""""</f>
        <v>#REF!</v>
      </c>
      <c r="LZR28" s="234" t="e">
        <f>astrogrep_path&amp;" /e /r /s /spath="&amp;search_path&amp;" /stypes=""app*"&amp;LYN28&amp;"*"&amp;TEXT(LYU28-utc_offset/24,"YYYYMMDD")&amp;"*"" /stext="" "&amp;TEXT(LYU28-utc_offset/24,"HH")&amp;search_regexp&amp;""""</f>
        <v>#REF!</v>
      </c>
      <c r="LZS28" s="234" t="e">
        <f>astrogrep_path&amp;" /e /r /s /spath="&amp;search_path&amp;" /stypes=""app*"&amp;LYO28&amp;"*"&amp;TEXT(LYV28-utc_offset/24,"YYYYMMDD")&amp;"*"" /stext="" "&amp;TEXT(LYV28-utc_offset/24,"HH")&amp;search_regexp&amp;""""</f>
        <v>#REF!</v>
      </c>
      <c r="LZT28" s="234" t="e">
        <f>astrogrep_path&amp;" /e /r /s /spath="&amp;search_path&amp;" /stypes=""app*"&amp;LYP28&amp;"*"&amp;TEXT(LYW28-utc_offset/24,"YYYYMMDD")&amp;"*"" /stext="" "&amp;TEXT(LYW28-utc_offset/24,"HH")&amp;search_regexp&amp;""""</f>
        <v>#REF!</v>
      </c>
      <c r="LZU28" s="234" t="e">
        <f>astrogrep_path&amp;" /e /r /s /spath="&amp;search_path&amp;" /stypes=""app*"&amp;LYQ28&amp;"*"&amp;TEXT(LYX28-utc_offset/24,"YYYYMMDD")&amp;"*"" /stext="" "&amp;TEXT(LYX28-utc_offset/24,"HH")&amp;search_regexp&amp;""""</f>
        <v>#REF!</v>
      </c>
      <c r="LZV28" s="234" t="e">
        <f>astrogrep_path&amp;" /e /r /s /spath="&amp;search_path&amp;" /stypes=""app*"&amp;LYR28&amp;"*"&amp;TEXT(LYY28-utc_offset/24,"YYYYMMDD")&amp;"*"" /stext="" "&amp;TEXT(LYY28-utc_offset/24,"HH")&amp;search_regexp&amp;""""</f>
        <v>#REF!</v>
      </c>
      <c r="LZW28" s="234" t="e">
        <f>astrogrep_path&amp;" /e /r /s /spath="&amp;search_path&amp;" /stypes=""app*"&amp;LYS28&amp;"*"&amp;TEXT(LYZ28-utc_offset/24,"YYYYMMDD")&amp;"*"" /stext="" "&amp;TEXT(LYZ28-utc_offset/24,"HH")&amp;search_regexp&amp;""""</f>
        <v>#REF!</v>
      </c>
      <c r="LZX28" s="234" t="e">
        <f>astrogrep_path&amp;" /e /r /s /spath="&amp;search_path&amp;" /stypes=""app*"&amp;LYT28&amp;"*"&amp;TEXT(LZA28-utc_offset/24,"YYYYMMDD")&amp;"*"" /stext="" "&amp;TEXT(LZA28-utc_offset/24,"HH")&amp;search_regexp&amp;""""</f>
        <v>#REF!</v>
      </c>
      <c r="LZY28" s="234" t="e">
        <f>astrogrep_path&amp;" /e /r /s /spath="&amp;search_path&amp;" /stypes=""app*"&amp;LYU28&amp;"*"&amp;TEXT(LZB28-utc_offset/24,"YYYYMMDD")&amp;"*"" /stext="" "&amp;TEXT(LZB28-utc_offset/24,"HH")&amp;search_regexp&amp;""""</f>
        <v>#REF!</v>
      </c>
      <c r="LZZ28" s="234" t="e">
        <f>astrogrep_path&amp;" /e /r /s /spath="&amp;search_path&amp;" /stypes=""app*"&amp;LYV28&amp;"*"&amp;TEXT(LZC28-utc_offset/24,"YYYYMMDD")&amp;"*"" /stext="" "&amp;TEXT(LZC28-utc_offset/24,"HH")&amp;search_regexp&amp;""""</f>
        <v>#REF!</v>
      </c>
      <c r="MAA28" s="234" t="e">
        <f>astrogrep_path&amp;" /e /r /s /spath="&amp;search_path&amp;" /stypes=""app*"&amp;LYW28&amp;"*"&amp;TEXT(LZD28-utc_offset/24,"YYYYMMDD")&amp;"*"" /stext="" "&amp;TEXT(LZD28-utc_offset/24,"HH")&amp;search_regexp&amp;""""</f>
        <v>#REF!</v>
      </c>
      <c r="MAB28" s="234" t="e">
        <f>astrogrep_path&amp;" /e /r /s /spath="&amp;search_path&amp;" /stypes=""app*"&amp;LYX28&amp;"*"&amp;TEXT(LZE28-utc_offset/24,"YYYYMMDD")&amp;"*"" /stext="" "&amp;TEXT(LZE28-utc_offset/24,"HH")&amp;search_regexp&amp;""""</f>
        <v>#REF!</v>
      </c>
      <c r="MAC28" s="234" t="e">
        <f>astrogrep_path&amp;" /e /r /s /spath="&amp;search_path&amp;" /stypes=""app*"&amp;LYY28&amp;"*"&amp;TEXT(LZF28-utc_offset/24,"YYYYMMDD")&amp;"*"" /stext="" "&amp;TEXT(LZF28-utc_offset/24,"HH")&amp;search_regexp&amp;""""</f>
        <v>#REF!</v>
      </c>
      <c r="MAD28" s="234" t="e">
        <f>astrogrep_path&amp;" /e /r /s /spath="&amp;search_path&amp;" /stypes=""app*"&amp;LYZ28&amp;"*"&amp;TEXT(LZG28-utc_offset/24,"YYYYMMDD")&amp;"*"" /stext="" "&amp;TEXT(LZG28-utc_offset/24,"HH")&amp;search_regexp&amp;""""</f>
        <v>#REF!</v>
      </c>
      <c r="MAE28" s="234" t="e">
        <f>astrogrep_path&amp;" /e /r /s /spath="&amp;search_path&amp;" /stypes=""app*"&amp;LZA28&amp;"*"&amp;TEXT(LZH28-utc_offset/24,"YYYYMMDD")&amp;"*"" /stext="" "&amp;TEXT(LZH28-utc_offset/24,"HH")&amp;search_regexp&amp;""""</f>
        <v>#REF!</v>
      </c>
      <c r="MAF28" s="234" t="e">
        <f>astrogrep_path&amp;" /e /r /s /spath="&amp;search_path&amp;" /stypes=""app*"&amp;LZB28&amp;"*"&amp;TEXT(LZI28-utc_offset/24,"YYYYMMDD")&amp;"*"" /stext="" "&amp;TEXT(LZI28-utc_offset/24,"HH")&amp;search_regexp&amp;""""</f>
        <v>#REF!</v>
      </c>
      <c r="MAG28" s="234" t="e">
        <f>astrogrep_path&amp;" /e /r /s /spath="&amp;search_path&amp;" /stypes=""app*"&amp;LZC28&amp;"*"&amp;TEXT(LZJ28-utc_offset/24,"YYYYMMDD")&amp;"*"" /stext="" "&amp;TEXT(LZJ28-utc_offset/24,"HH")&amp;search_regexp&amp;""""</f>
        <v>#VALUE!</v>
      </c>
      <c r="MAH28" s="234" t="e">
        <f>astrogrep_path&amp;" /e /r /s /spath="&amp;search_path&amp;" /stypes=""app*"&amp;LZD28&amp;"*"&amp;TEXT(LZK28-utc_offset/24,"YYYYMMDD")&amp;"*"" /stext="" "&amp;TEXT(LZK28-utc_offset/24,"HH")&amp;search_regexp&amp;""""</f>
        <v>#VALUE!</v>
      </c>
      <c r="MAI28" s="234" t="e">
        <f>astrogrep_path&amp;" /e /r /s /spath="&amp;search_path&amp;" /stypes=""app*"&amp;LZE28&amp;"*"&amp;TEXT(LZL28-utc_offset/24,"YYYYMMDD")&amp;"*"" /stext="" "&amp;TEXT(LZL28-utc_offset/24,"HH")&amp;search_regexp&amp;""""</f>
        <v>#REF!</v>
      </c>
      <c r="MAJ28" s="234" t="e">
        <f>astrogrep_path&amp;" /e /r /s /spath="&amp;search_path&amp;" /stypes=""app*"&amp;LZF28&amp;"*"&amp;TEXT(LZM28-utc_offset/24,"YYYYMMDD")&amp;"*"" /stext="" "&amp;TEXT(LZM28-utc_offset/24,"HH")&amp;search_regexp&amp;""""</f>
        <v>#REF!</v>
      </c>
      <c r="MAK28" s="234" t="e">
        <f>astrogrep_path&amp;" /e /r /s /spath="&amp;search_path&amp;" /stypes=""app*"&amp;LZG28&amp;"*"&amp;TEXT(LZN28-utc_offset/24,"YYYYMMDD")&amp;"*"" /stext="" "&amp;TEXT(LZN28-utc_offset/24,"HH")&amp;search_regexp&amp;""""</f>
        <v>#VALUE!</v>
      </c>
      <c r="MAL28" s="234" t="e">
        <f>astrogrep_path&amp;" /e /r /s /spath="&amp;search_path&amp;" /stypes=""app*"&amp;LZH28&amp;"*"&amp;TEXT(LZO28-utc_offset/24,"YYYYMMDD")&amp;"*"" /stext="" "&amp;TEXT(LZO28-utc_offset/24,"HH")&amp;search_regexp&amp;""""</f>
        <v>#VALUE!</v>
      </c>
      <c r="MAM28" s="234" t="e">
        <f>astrogrep_path&amp;" /e /r /s /spath="&amp;search_path&amp;" /stypes=""app*"&amp;LZI28&amp;"*"&amp;TEXT(LZP28-utc_offset/24,"YYYYMMDD")&amp;"*"" /stext="" "&amp;TEXT(LZP28-utc_offset/24,"HH")&amp;search_regexp&amp;""""</f>
        <v>#VALUE!</v>
      </c>
      <c r="MAN28" s="234" t="e">
        <f>astrogrep_path&amp;" /e /r /s /spath="&amp;search_path&amp;" /stypes=""app*"&amp;LZJ28&amp;"*"&amp;TEXT(LZQ28-utc_offset/24,"YYYYMMDD")&amp;"*"" /stext="" "&amp;TEXT(LZQ28-utc_offset/24,"HH")&amp;search_regexp&amp;""""</f>
        <v>#VALUE!</v>
      </c>
      <c r="MAO28" s="234" t="e">
        <f>astrogrep_path&amp;" /e /r /s /spath="&amp;search_path&amp;" /stypes=""app*"&amp;LZK28&amp;"*"&amp;TEXT(LZR28-utc_offset/24,"YYYYMMDD")&amp;"*"" /stext="" "&amp;TEXT(LZR28-utc_offset/24,"HH")&amp;search_regexp&amp;""""</f>
        <v>#VALUE!</v>
      </c>
      <c r="MAP28" s="234" t="e">
        <f>astrogrep_path&amp;" /e /r /s /spath="&amp;search_path&amp;" /stypes=""app*"&amp;LZL28&amp;"*"&amp;TEXT(LZS28-utc_offset/24,"YYYYMMDD")&amp;"*"" /stext="" "&amp;TEXT(LZS28-utc_offset/24,"HH")&amp;search_regexp&amp;""""</f>
        <v>#REF!</v>
      </c>
      <c r="MAQ28" s="234" t="e">
        <f>astrogrep_path&amp;" /e /r /s /spath="&amp;search_path&amp;" /stypes=""app*"&amp;LZM28&amp;"*"&amp;TEXT(LZT28-utc_offset/24,"YYYYMMDD")&amp;"*"" /stext="" "&amp;TEXT(LZT28-utc_offset/24,"HH")&amp;search_regexp&amp;""""</f>
        <v>#REF!</v>
      </c>
      <c r="MAR28" s="234" t="e">
        <f>astrogrep_path&amp;" /e /r /s /spath="&amp;search_path&amp;" /stypes=""app*"&amp;LZN28&amp;"*"&amp;TEXT(LZU28-utc_offset/24,"YYYYMMDD")&amp;"*"" /stext="" "&amp;TEXT(LZU28-utc_offset/24,"HH")&amp;search_regexp&amp;""""</f>
        <v>#REF!</v>
      </c>
      <c r="MAS28" s="234" t="e">
        <f>astrogrep_path&amp;" /e /r /s /spath="&amp;search_path&amp;" /stypes=""app*"&amp;LZO28&amp;"*"&amp;TEXT(LZV28-utc_offset/24,"YYYYMMDD")&amp;"*"" /stext="" "&amp;TEXT(LZV28-utc_offset/24,"HH")&amp;search_regexp&amp;""""</f>
        <v>#REF!</v>
      </c>
      <c r="MAT28" s="234" t="e">
        <f>astrogrep_path&amp;" /e /r /s /spath="&amp;search_path&amp;" /stypes=""app*"&amp;LZP28&amp;"*"&amp;TEXT(LZW28-utc_offset/24,"YYYYMMDD")&amp;"*"" /stext="" "&amp;TEXT(LZW28-utc_offset/24,"HH")&amp;search_regexp&amp;""""</f>
        <v>#REF!</v>
      </c>
      <c r="MAU28" s="234" t="e">
        <f>astrogrep_path&amp;" /e /r /s /spath="&amp;search_path&amp;" /stypes=""app*"&amp;LZQ28&amp;"*"&amp;TEXT(LZX28-utc_offset/24,"YYYYMMDD")&amp;"*"" /stext="" "&amp;TEXT(LZX28-utc_offset/24,"HH")&amp;search_regexp&amp;""""</f>
        <v>#REF!</v>
      </c>
      <c r="MAV28" s="234" t="e">
        <f>astrogrep_path&amp;" /e /r /s /spath="&amp;search_path&amp;" /stypes=""app*"&amp;LZR28&amp;"*"&amp;TEXT(LZY28-utc_offset/24,"YYYYMMDD")&amp;"*"" /stext="" "&amp;TEXT(LZY28-utc_offset/24,"HH")&amp;search_regexp&amp;""""</f>
        <v>#REF!</v>
      </c>
      <c r="MAW28" s="234" t="e">
        <f>astrogrep_path&amp;" /e /r /s /spath="&amp;search_path&amp;" /stypes=""app*"&amp;LZS28&amp;"*"&amp;TEXT(LZZ28-utc_offset/24,"YYYYMMDD")&amp;"*"" /stext="" "&amp;TEXT(LZZ28-utc_offset/24,"HH")&amp;search_regexp&amp;""""</f>
        <v>#REF!</v>
      </c>
      <c r="MAX28" s="234" t="e">
        <f>astrogrep_path&amp;" /e /r /s /spath="&amp;search_path&amp;" /stypes=""app*"&amp;LZT28&amp;"*"&amp;TEXT(MAA28-utc_offset/24,"YYYYMMDD")&amp;"*"" /stext="" "&amp;TEXT(MAA28-utc_offset/24,"HH")&amp;search_regexp&amp;""""</f>
        <v>#REF!</v>
      </c>
      <c r="MAY28" s="234" t="e">
        <f>astrogrep_path&amp;" /e /r /s /spath="&amp;search_path&amp;" /stypes=""app*"&amp;LZU28&amp;"*"&amp;TEXT(MAB28-utc_offset/24,"YYYYMMDD")&amp;"*"" /stext="" "&amp;TEXT(MAB28-utc_offset/24,"HH")&amp;search_regexp&amp;""""</f>
        <v>#REF!</v>
      </c>
      <c r="MAZ28" s="234" t="e">
        <f>astrogrep_path&amp;" /e /r /s /spath="&amp;search_path&amp;" /stypes=""app*"&amp;LZV28&amp;"*"&amp;TEXT(MAC28-utc_offset/24,"YYYYMMDD")&amp;"*"" /stext="" "&amp;TEXT(MAC28-utc_offset/24,"HH")&amp;search_regexp&amp;""""</f>
        <v>#REF!</v>
      </c>
      <c r="MBA28" s="234" t="e">
        <f>astrogrep_path&amp;" /e /r /s /spath="&amp;search_path&amp;" /stypes=""app*"&amp;LZW28&amp;"*"&amp;TEXT(MAD28-utc_offset/24,"YYYYMMDD")&amp;"*"" /stext="" "&amp;TEXT(MAD28-utc_offset/24,"HH")&amp;search_regexp&amp;""""</f>
        <v>#REF!</v>
      </c>
      <c r="MBB28" s="234" t="e">
        <f>astrogrep_path&amp;" /e /r /s /spath="&amp;search_path&amp;" /stypes=""app*"&amp;LZX28&amp;"*"&amp;TEXT(MAE28-utc_offset/24,"YYYYMMDD")&amp;"*"" /stext="" "&amp;TEXT(MAE28-utc_offset/24,"HH")&amp;search_regexp&amp;""""</f>
        <v>#REF!</v>
      </c>
      <c r="MBC28" s="234" t="e">
        <f>astrogrep_path&amp;" /e /r /s /spath="&amp;search_path&amp;" /stypes=""app*"&amp;LZY28&amp;"*"&amp;TEXT(MAF28-utc_offset/24,"YYYYMMDD")&amp;"*"" /stext="" "&amp;TEXT(MAF28-utc_offset/24,"HH")&amp;search_regexp&amp;""""</f>
        <v>#REF!</v>
      </c>
      <c r="MBD28" s="234" t="e">
        <f>astrogrep_path&amp;" /e /r /s /spath="&amp;search_path&amp;" /stypes=""app*"&amp;LZZ28&amp;"*"&amp;TEXT(MAG28-utc_offset/24,"YYYYMMDD")&amp;"*"" /stext="" "&amp;TEXT(MAG28-utc_offset/24,"HH")&amp;search_regexp&amp;""""</f>
        <v>#REF!</v>
      </c>
      <c r="MBE28" s="234" t="e">
        <f>astrogrep_path&amp;" /e /r /s /spath="&amp;search_path&amp;" /stypes=""app*"&amp;MAA28&amp;"*"&amp;TEXT(MAH28-utc_offset/24,"YYYYMMDD")&amp;"*"" /stext="" "&amp;TEXT(MAH28-utc_offset/24,"HH")&amp;search_regexp&amp;""""</f>
        <v>#REF!</v>
      </c>
      <c r="MBF28" s="234" t="e">
        <f>astrogrep_path&amp;" /e /r /s /spath="&amp;search_path&amp;" /stypes=""app*"&amp;MAB28&amp;"*"&amp;TEXT(MAI28-utc_offset/24,"YYYYMMDD")&amp;"*"" /stext="" "&amp;TEXT(MAI28-utc_offset/24,"HH")&amp;search_regexp&amp;""""</f>
        <v>#REF!</v>
      </c>
      <c r="MBG28" s="234" t="e">
        <f>astrogrep_path&amp;" /e /r /s /spath="&amp;search_path&amp;" /stypes=""app*"&amp;MAC28&amp;"*"&amp;TEXT(MAJ28-utc_offset/24,"YYYYMMDD")&amp;"*"" /stext="" "&amp;TEXT(MAJ28-utc_offset/24,"HH")&amp;search_regexp&amp;""""</f>
        <v>#REF!</v>
      </c>
      <c r="MBH28" s="234" t="e">
        <f>astrogrep_path&amp;" /e /r /s /spath="&amp;search_path&amp;" /stypes=""app*"&amp;MAD28&amp;"*"&amp;TEXT(MAK28-utc_offset/24,"YYYYMMDD")&amp;"*"" /stext="" "&amp;TEXT(MAK28-utc_offset/24,"HH")&amp;search_regexp&amp;""""</f>
        <v>#REF!</v>
      </c>
      <c r="MBI28" s="234" t="e">
        <f>astrogrep_path&amp;" /e /r /s /spath="&amp;search_path&amp;" /stypes=""app*"&amp;MAE28&amp;"*"&amp;TEXT(MAL28-utc_offset/24,"YYYYMMDD")&amp;"*"" /stext="" "&amp;TEXT(MAL28-utc_offset/24,"HH")&amp;search_regexp&amp;""""</f>
        <v>#REF!</v>
      </c>
      <c r="MBJ28" s="234" t="e">
        <f>astrogrep_path&amp;" /e /r /s /spath="&amp;search_path&amp;" /stypes=""app*"&amp;MAF28&amp;"*"&amp;TEXT(MAM28-utc_offset/24,"YYYYMMDD")&amp;"*"" /stext="" "&amp;TEXT(MAM28-utc_offset/24,"HH")&amp;search_regexp&amp;""""</f>
        <v>#REF!</v>
      </c>
      <c r="MBK28" s="234" t="e">
        <f>astrogrep_path&amp;" /e /r /s /spath="&amp;search_path&amp;" /stypes=""app*"&amp;MAG28&amp;"*"&amp;TEXT(MAN28-utc_offset/24,"YYYYMMDD")&amp;"*"" /stext="" "&amp;TEXT(MAN28-utc_offset/24,"HH")&amp;search_regexp&amp;""""</f>
        <v>#VALUE!</v>
      </c>
      <c r="MBL28" s="234" t="e">
        <f>astrogrep_path&amp;" /e /r /s /spath="&amp;search_path&amp;" /stypes=""app*"&amp;MAH28&amp;"*"&amp;TEXT(MAO28-utc_offset/24,"YYYYMMDD")&amp;"*"" /stext="" "&amp;TEXT(MAO28-utc_offset/24,"HH")&amp;search_regexp&amp;""""</f>
        <v>#VALUE!</v>
      </c>
      <c r="MBM28" s="234" t="e">
        <f>astrogrep_path&amp;" /e /r /s /spath="&amp;search_path&amp;" /stypes=""app*"&amp;MAI28&amp;"*"&amp;TEXT(MAP28-utc_offset/24,"YYYYMMDD")&amp;"*"" /stext="" "&amp;TEXT(MAP28-utc_offset/24,"HH")&amp;search_regexp&amp;""""</f>
        <v>#REF!</v>
      </c>
      <c r="MBN28" s="234" t="e">
        <f>astrogrep_path&amp;" /e /r /s /spath="&amp;search_path&amp;" /stypes=""app*"&amp;MAJ28&amp;"*"&amp;TEXT(MAQ28-utc_offset/24,"YYYYMMDD")&amp;"*"" /stext="" "&amp;TEXT(MAQ28-utc_offset/24,"HH")&amp;search_regexp&amp;""""</f>
        <v>#REF!</v>
      </c>
      <c r="MBO28" s="234" t="e">
        <f>astrogrep_path&amp;" /e /r /s /spath="&amp;search_path&amp;" /stypes=""app*"&amp;MAK28&amp;"*"&amp;TEXT(MAR28-utc_offset/24,"YYYYMMDD")&amp;"*"" /stext="" "&amp;TEXT(MAR28-utc_offset/24,"HH")&amp;search_regexp&amp;""""</f>
        <v>#VALUE!</v>
      </c>
      <c r="MBP28" s="234" t="e">
        <f>astrogrep_path&amp;" /e /r /s /spath="&amp;search_path&amp;" /stypes=""app*"&amp;MAL28&amp;"*"&amp;TEXT(MAS28-utc_offset/24,"YYYYMMDD")&amp;"*"" /stext="" "&amp;TEXT(MAS28-utc_offset/24,"HH")&amp;search_regexp&amp;""""</f>
        <v>#VALUE!</v>
      </c>
      <c r="MBQ28" s="234" t="e">
        <f>astrogrep_path&amp;" /e /r /s /spath="&amp;search_path&amp;" /stypes=""app*"&amp;MAM28&amp;"*"&amp;TEXT(MAT28-utc_offset/24,"YYYYMMDD")&amp;"*"" /stext="" "&amp;TEXT(MAT28-utc_offset/24,"HH")&amp;search_regexp&amp;""""</f>
        <v>#VALUE!</v>
      </c>
      <c r="MBR28" s="234" t="e">
        <f>astrogrep_path&amp;" /e /r /s /spath="&amp;search_path&amp;" /stypes=""app*"&amp;MAN28&amp;"*"&amp;TEXT(MAU28-utc_offset/24,"YYYYMMDD")&amp;"*"" /stext="" "&amp;TEXT(MAU28-utc_offset/24,"HH")&amp;search_regexp&amp;""""</f>
        <v>#VALUE!</v>
      </c>
      <c r="MBS28" s="234" t="e">
        <f>astrogrep_path&amp;" /e /r /s /spath="&amp;search_path&amp;" /stypes=""app*"&amp;MAO28&amp;"*"&amp;TEXT(MAV28-utc_offset/24,"YYYYMMDD")&amp;"*"" /stext="" "&amp;TEXT(MAV28-utc_offset/24,"HH")&amp;search_regexp&amp;""""</f>
        <v>#VALUE!</v>
      </c>
      <c r="MBT28" s="234" t="e">
        <f>astrogrep_path&amp;" /e /r /s /spath="&amp;search_path&amp;" /stypes=""app*"&amp;MAP28&amp;"*"&amp;TEXT(MAW28-utc_offset/24,"YYYYMMDD")&amp;"*"" /stext="" "&amp;TEXT(MAW28-utc_offset/24,"HH")&amp;search_regexp&amp;""""</f>
        <v>#REF!</v>
      </c>
      <c r="MBU28" s="234" t="e">
        <f>astrogrep_path&amp;" /e /r /s /spath="&amp;search_path&amp;" /stypes=""app*"&amp;MAQ28&amp;"*"&amp;TEXT(MAX28-utc_offset/24,"YYYYMMDD")&amp;"*"" /stext="" "&amp;TEXT(MAX28-utc_offset/24,"HH")&amp;search_regexp&amp;""""</f>
        <v>#REF!</v>
      </c>
      <c r="MBV28" s="234" t="e">
        <f>astrogrep_path&amp;" /e /r /s /spath="&amp;search_path&amp;" /stypes=""app*"&amp;MAR28&amp;"*"&amp;TEXT(MAY28-utc_offset/24,"YYYYMMDD")&amp;"*"" /stext="" "&amp;TEXT(MAY28-utc_offset/24,"HH")&amp;search_regexp&amp;""""</f>
        <v>#REF!</v>
      </c>
      <c r="MBW28" s="234" t="e">
        <f>astrogrep_path&amp;" /e /r /s /spath="&amp;search_path&amp;" /stypes=""app*"&amp;MAS28&amp;"*"&amp;TEXT(MAZ28-utc_offset/24,"YYYYMMDD")&amp;"*"" /stext="" "&amp;TEXT(MAZ28-utc_offset/24,"HH")&amp;search_regexp&amp;""""</f>
        <v>#REF!</v>
      </c>
      <c r="MBX28" s="234" t="e">
        <f>astrogrep_path&amp;" /e /r /s /spath="&amp;search_path&amp;" /stypes=""app*"&amp;MAT28&amp;"*"&amp;TEXT(MBA28-utc_offset/24,"YYYYMMDD")&amp;"*"" /stext="" "&amp;TEXT(MBA28-utc_offset/24,"HH")&amp;search_regexp&amp;""""</f>
        <v>#REF!</v>
      </c>
      <c r="MBY28" s="234" t="e">
        <f>astrogrep_path&amp;" /e /r /s /spath="&amp;search_path&amp;" /stypes=""app*"&amp;MAU28&amp;"*"&amp;TEXT(MBB28-utc_offset/24,"YYYYMMDD")&amp;"*"" /stext="" "&amp;TEXT(MBB28-utc_offset/24,"HH")&amp;search_regexp&amp;""""</f>
        <v>#REF!</v>
      </c>
      <c r="MBZ28" s="234" t="e">
        <f>astrogrep_path&amp;" /e /r /s /spath="&amp;search_path&amp;" /stypes=""app*"&amp;MAV28&amp;"*"&amp;TEXT(MBC28-utc_offset/24,"YYYYMMDD")&amp;"*"" /stext="" "&amp;TEXT(MBC28-utc_offset/24,"HH")&amp;search_regexp&amp;""""</f>
        <v>#REF!</v>
      </c>
      <c r="MCA28" s="234" t="e">
        <f>astrogrep_path&amp;" /e /r /s /spath="&amp;search_path&amp;" /stypes=""app*"&amp;MAW28&amp;"*"&amp;TEXT(MBD28-utc_offset/24,"YYYYMMDD")&amp;"*"" /stext="" "&amp;TEXT(MBD28-utc_offset/24,"HH")&amp;search_regexp&amp;""""</f>
        <v>#REF!</v>
      </c>
      <c r="MCB28" s="234" t="e">
        <f>astrogrep_path&amp;" /e /r /s /spath="&amp;search_path&amp;" /stypes=""app*"&amp;MAX28&amp;"*"&amp;TEXT(MBE28-utc_offset/24,"YYYYMMDD")&amp;"*"" /stext="" "&amp;TEXT(MBE28-utc_offset/24,"HH")&amp;search_regexp&amp;""""</f>
        <v>#REF!</v>
      </c>
      <c r="MCC28" s="234" t="e">
        <f>astrogrep_path&amp;" /e /r /s /spath="&amp;search_path&amp;" /stypes=""app*"&amp;MAY28&amp;"*"&amp;TEXT(MBF28-utc_offset/24,"YYYYMMDD")&amp;"*"" /stext="" "&amp;TEXT(MBF28-utc_offset/24,"HH")&amp;search_regexp&amp;""""</f>
        <v>#REF!</v>
      </c>
      <c r="MCD28" s="234" t="e">
        <f>astrogrep_path&amp;" /e /r /s /spath="&amp;search_path&amp;" /stypes=""app*"&amp;MAZ28&amp;"*"&amp;TEXT(MBG28-utc_offset/24,"YYYYMMDD")&amp;"*"" /stext="" "&amp;TEXT(MBG28-utc_offset/24,"HH")&amp;search_regexp&amp;""""</f>
        <v>#REF!</v>
      </c>
      <c r="MCE28" s="234" t="e">
        <f>astrogrep_path&amp;" /e /r /s /spath="&amp;search_path&amp;" /stypes=""app*"&amp;MBA28&amp;"*"&amp;TEXT(MBH28-utc_offset/24,"YYYYMMDD")&amp;"*"" /stext="" "&amp;TEXT(MBH28-utc_offset/24,"HH")&amp;search_regexp&amp;""""</f>
        <v>#REF!</v>
      </c>
      <c r="MCF28" s="234" t="e">
        <f>astrogrep_path&amp;" /e /r /s /spath="&amp;search_path&amp;" /stypes=""app*"&amp;MBB28&amp;"*"&amp;TEXT(MBI28-utc_offset/24,"YYYYMMDD")&amp;"*"" /stext="" "&amp;TEXT(MBI28-utc_offset/24,"HH")&amp;search_regexp&amp;""""</f>
        <v>#REF!</v>
      </c>
      <c r="MCG28" s="234" t="e">
        <f>astrogrep_path&amp;" /e /r /s /spath="&amp;search_path&amp;" /stypes=""app*"&amp;MBC28&amp;"*"&amp;TEXT(MBJ28-utc_offset/24,"YYYYMMDD")&amp;"*"" /stext="" "&amp;TEXT(MBJ28-utc_offset/24,"HH")&amp;search_regexp&amp;""""</f>
        <v>#REF!</v>
      </c>
      <c r="MCH28" s="234" t="e">
        <f>astrogrep_path&amp;" /e /r /s /spath="&amp;search_path&amp;" /stypes=""app*"&amp;MBD28&amp;"*"&amp;TEXT(MBK28-utc_offset/24,"YYYYMMDD")&amp;"*"" /stext="" "&amp;TEXT(MBK28-utc_offset/24,"HH")&amp;search_regexp&amp;""""</f>
        <v>#REF!</v>
      </c>
      <c r="MCI28" s="234" t="e">
        <f>astrogrep_path&amp;" /e /r /s /spath="&amp;search_path&amp;" /stypes=""app*"&amp;MBE28&amp;"*"&amp;TEXT(MBL28-utc_offset/24,"YYYYMMDD")&amp;"*"" /stext="" "&amp;TEXT(MBL28-utc_offset/24,"HH")&amp;search_regexp&amp;""""</f>
        <v>#REF!</v>
      </c>
      <c r="MCJ28" s="234" t="e">
        <f>astrogrep_path&amp;" /e /r /s /spath="&amp;search_path&amp;" /stypes=""app*"&amp;MBF28&amp;"*"&amp;TEXT(MBM28-utc_offset/24,"YYYYMMDD")&amp;"*"" /stext="" "&amp;TEXT(MBM28-utc_offset/24,"HH")&amp;search_regexp&amp;""""</f>
        <v>#REF!</v>
      </c>
      <c r="MCK28" s="234" t="e">
        <f>astrogrep_path&amp;" /e /r /s /spath="&amp;search_path&amp;" /stypes=""app*"&amp;MBG28&amp;"*"&amp;TEXT(MBN28-utc_offset/24,"YYYYMMDD")&amp;"*"" /stext="" "&amp;TEXT(MBN28-utc_offset/24,"HH")&amp;search_regexp&amp;""""</f>
        <v>#REF!</v>
      </c>
      <c r="MCL28" s="234" t="e">
        <f>astrogrep_path&amp;" /e /r /s /spath="&amp;search_path&amp;" /stypes=""app*"&amp;MBH28&amp;"*"&amp;TEXT(MBO28-utc_offset/24,"YYYYMMDD")&amp;"*"" /stext="" "&amp;TEXT(MBO28-utc_offset/24,"HH")&amp;search_regexp&amp;""""</f>
        <v>#REF!</v>
      </c>
      <c r="MCM28" s="234" t="e">
        <f>astrogrep_path&amp;" /e /r /s /spath="&amp;search_path&amp;" /stypes=""app*"&amp;MBI28&amp;"*"&amp;TEXT(MBP28-utc_offset/24,"YYYYMMDD")&amp;"*"" /stext="" "&amp;TEXT(MBP28-utc_offset/24,"HH")&amp;search_regexp&amp;""""</f>
        <v>#REF!</v>
      </c>
      <c r="MCN28" s="234" t="e">
        <f>astrogrep_path&amp;" /e /r /s /spath="&amp;search_path&amp;" /stypes=""app*"&amp;MBJ28&amp;"*"&amp;TEXT(MBQ28-utc_offset/24,"YYYYMMDD")&amp;"*"" /stext="" "&amp;TEXT(MBQ28-utc_offset/24,"HH")&amp;search_regexp&amp;""""</f>
        <v>#REF!</v>
      </c>
      <c r="MCO28" s="234" t="e">
        <f>astrogrep_path&amp;" /e /r /s /spath="&amp;search_path&amp;" /stypes=""app*"&amp;MBK28&amp;"*"&amp;TEXT(MBR28-utc_offset/24,"YYYYMMDD")&amp;"*"" /stext="" "&amp;TEXT(MBR28-utc_offset/24,"HH")&amp;search_regexp&amp;""""</f>
        <v>#VALUE!</v>
      </c>
      <c r="MCP28" s="234" t="e">
        <f>astrogrep_path&amp;" /e /r /s /spath="&amp;search_path&amp;" /stypes=""app*"&amp;MBL28&amp;"*"&amp;TEXT(MBS28-utc_offset/24,"YYYYMMDD")&amp;"*"" /stext="" "&amp;TEXT(MBS28-utc_offset/24,"HH")&amp;search_regexp&amp;""""</f>
        <v>#VALUE!</v>
      </c>
      <c r="MCQ28" s="234" t="e">
        <f>astrogrep_path&amp;" /e /r /s /spath="&amp;search_path&amp;" /stypes=""app*"&amp;MBM28&amp;"*"&amp;TEXT(MBT28-utc_offset/24,"YYYYMMDD")&amp;"*"" /stext="" "&amp;TEXT(MBT28-utc_offset/24,"HH")&amp;search_regexp&amp;""""</f>
        <v>#REF!</v>
      </c>
      <c r="MCR28" s="234" t="e">
        <f>astrogrep_path&amp;" /e /r /s /spath="&amp;search_path&amp;" /stypes=""app*"&amp;MBN28&amp;"*"&amp;TEXT(MBU28-utc_offset/24,"YYYYMMDD")&amp;"*"" /stext="" "&amp;TEXT(MBU28-utc_offset/24,"HH")&amp;search_regexp&amp;""""</f>
        <v>#REF!</v>
      </c>
      <c r="MCS28" s="234" t="e">
        <f>astrogrep_path&amp;" /e /r /s /spath="&amp;search_path&amp;" /stypes=""app*"&amp;MBO28&amp;"*"&amp;TEXT(MBV28-utc_offset/24,"YYYYMMDD")&amp;"*"" /stext="" "&amp;TEXT(MBV28-utc_offset/24,"HH")&amp;search_regexp&amp;""""</f>
        <v>#VALUE!</v>
      </c>
      <c r="MCT28" s="234" t="e">
        <f>astrogrep_path&amp;" /e /r /s /spath="&amp;search_path&amp;" /stypes=""app*"&amp;MBP28&amp;"*"&amp;TEXT(MBW28-utc_offset/24,"YYYYMMDD")&amp;"*"" /stext="" "&amp;TEXT(MBW28-utc_offset/24,"HH")&amp;search_regexp&amp;""""</f>
        <v>#VALUE!</v>
      </c>
      <c r="MCU28" s="234" t="e">
        <f>astrogrep_path&amp;" /e /r /s /spath="&amp;search_path&amp;" /stypes=""app*"&amp;MBQ28&amp;"*"&amp;TEXT(MBX28-utc_offset/24,"YYYYMMDD")&amp;"*"" /stext="" "&amp;TEXT(MBX28-utc_offset/24,"HH")&amp;search_regexp&amp;""""</f>
        <v>#VALUE!</v>
      </c>
      <c r="MCV28" s="234" t="e">
        <f>astrogrep_path&amp;" /e /r /s /spath="&amp;search_path&amp;" /stypes=""app*"&amp;MBR28&amp;"*"&amp;TEXT(MBY28-utc_offset/24,"YYYYMMDD")&amp;"*"" /stext="" "&amp;TEXT(MBY28-utc_offset/24,"HH")&amp;search_regexp&amp;""""</f>
        <v>#VALUE!</v>
      </c>
      <c r="MCW28" s="234" t="e">
        <f>astrogrep_path&amp;" /e /r /s /spath="&amp;search_path&amp;" /stypes=""app*"&amp;MBS28&amp;"*"&amp;TEXT(MBZ28-utc_offset/24,"YYYYMMDD")&amp;"*"" /stext="" "&amp;TEXT(MBZ28-utc_offset/24,"HH")&amp;search_regexp&amp;""""</f>
        <v>#VALUE!</v>
      </c>
      <c r="MCX28" s="234" t="e">
        <f>astrogrep_path&amp;" /e /r /s /spath="&amp;search_path&amp;" /stypes=""app*"&amp;MBT28&amp;"*"&amp;TEXT(MCA28-utc_offset/24,"YYYYMMDD")&amp;"*"" /stext="" "&amp;TEXT(MCA28-utc_offset/24,"HH")&amp;search_regexp&amp;""""</f>
        <v>#REF!</v>
      </c>
      <c r="MCY28" s="234" t="e">
        <f>astrogrep_path&amp;" /e /r /s /spath="&amp;search_path&amp;" /stypes=""app*"&amp;MBU28&amp;"*"&amp;TEXT(MCB28-utc_offset/24,"YYYYMMDD")&amp;"*"" /stext="" "&amp;TEXT(MCB28-utc_offset/24,"HH")&amp;search_regexp&amp;""""</f>
        <v>#REF!</v>
      </c>
      <c r="MCZ28" s="234" t="e">
        <f>astrogrep_path&amp;" /e /r /s /spath="&amp;search_path&amp;" /stypes=""app*"&amp;MBV28&amp;"*"&amp;TEXT(MCC28-utc_offset/24,"YYYYMMDD")&amp;"*"" /stext="" "&amp;TEXT(MCC28-utc_offset/24,"HH")&amp;search_regexp&amp;""""</f>
        <v>#REF!</v>
      </c>
      <c r="MDA28" s="234" t="e">
        <f>astrogrep_path&amp;" /e /r /s /spath="&amp;search_path&amp;" /stypes=""app*"&amp;MBW28&amp;"*"&amp;TEXT(MCD28-utc_offset/24,"YYYYMMDD")&amp;"*"" /stext="" "&amp;TEXT(MCD28-utc_offset/24,"HH")&amp;search_regexp&amp;""""</f>
        <v>#REF!</v>
      </c>
      <c r="MDB28" s="234" t="e">
        <f>astrogrep_path&amp;" /e /r /s /spath="&amp;search_path&amp;" /stypes=""app*"&amp;MBX28&amp;"*"&amp;TEXT(MCE28-utc_offset/24,"YYYYMMDD")&amp;"*"" /stext="" "&amp;TEXT(MCE28-utc_offset/24,"HH")&amp;search_regexp&amp;""""</f>
        <v>#REF!</v>
      </c>
      <c r="MDC28" s="234" t="e">
        <f>astrogrep_path&amp;" /e /r /s /spath="&amp;search_path&amp;" /stypes=""app*"&amp;MBY28&amp;"*"&amp;TEXT(MCF28-utc_offset/24,"YYYYMMDD")&amp;"*"" /stext="" "&amp;TEXT(MCF28-utc_offset/24,"HH")&amp;search_regexp&amp;""""</f>
        <v>#REF!</v>
      </c>
      <c r="MDD28" s="234" t="e">
        <f>astrogrep_path&amp;" /e /r /s /spath="&amp;search_path&amp;" /stypes=""app*"&amp;MBZ28&amp;"*"&amp;TEXT(MCG28-utc_offset/24,"YYYYMMDD")&amp;"*"" /stext="" "&amp;TEXT(MCG28-utc_offset/24,"HH")&amp;search_regexp&amp;""""</f>
        <v>#REF!</v>
      </c>
      <c r="MDE28" s="234" t="e">
        <f>astrogrep_path&amp;" /e /r /s /spath="&amp;search_path&amp;" /stypes=""app*"&amp;MCA28&amp;"*"&amp;TEXT(MCH28-utc_offset/24,"YYYYMMDD")&amp;"*"" /stext="" "&amp;TEXT(MCH28-utc_offset/24,"HH")&amp;search_regexp&amp;""""</f>
        <v>#REF!</v>
      </c>
      <c r="MDF28" s="234" t="e">
        <f>astrogrep_path&amp;" /e /r /s /spath="&amp;search_path&amp;" /stypes=""app*"&amp;MCB28&amp;"*"&amp;TEXT(MCI28-utc_offset/24,"YYYYMMDD")&amp;"*"" /stext="" "&amp;TEXT(MCI28-utc_offset/24,"HH")&amp;search_regexp&amp;""""</f>
        <v>#REF!</v>
      </c>
      <c r="MDG28" s="234" t="e">
        <f>astrogrep_path&amp;" /e /r /s /spath="&amp;search_path&amp;" /stypes=""app*"&amp;MCC28&amp;"*"&amp;TEXT(MCJ28-utc_offset/24,"YYYYMMDD")&amp;"*"" /stext="" "&amp;TEXT(MCJ28-utc_offset/24,"HH")&amp;search_regexp&amp;""""</f>
        <v>#REF!</v>
      </c>
      <c r="MDH28" s="234" t="e">
        <f>astrogrep_path&amp;" /e /r /s /spath="&amp;search_path&amp;" /stypes=""app*"&amp;MCD28&amp;"*"&amp;TEXT(MCK28-utc_offset/24,"YYYYMMDD")&amp;"*"" /stext="" "&amp;TEXT(MCK28-utc_offset/24,"HH")&amp;search_regexp&amp;""""</f>
        <v>#REF!</v>
      </c>
      <c r="MDI28" s="234" t="e">
        <f>astrogrep_path&amp;" /e /r /s /spath="&amp;search_path&amp;" /stypes=""app*"&amp;MCE28&amp;"*"&amp;TEXT(MCL28-utc_offset/24,"YYYYMMDD")&amp;"*"" /stext="" "&amp;TEXT(MCL28-utc_offset/24,"HH")&amp;search_regexp&amp;""""</f>
        <v>#REF!</v>
      </c>
      <c r="MDJ28" s="234" t="e">
        <f>astrogrep_path&amp;" /e /r /s /spath="&amp;search_path&amp;" /stypes=""app*"&amp;MCF28&amp;"*"&amp;TEXT(MCM28-utc_offset/24,"YYYYMMDD")&amp;"*"" /stext="" "&amp;TEXT(MCM28-utc_offset/24,"HH")&amp;search_regexp&amp;""""</f>
        <v>#REF!</v>
      </c>
      <c r="MDK28" s="234" t="e">
        <f>astrogrep_path&amp;" /e /r /s /spath="&amp;search_path&amp;" /stypes=""app*"&amp;MCG28&amp;"*"&amp;TEXT(MCN28-utc_offset/24,"YYYYMMDD")&amp;"*"" /stext="" "&amp;TEXT(MCN28-utc_offset/24,"HH")&amp;search_regexp&amp;""""</f>
        <v>#REF!</v>
      </c>
      <c r="MDL28" s="234" t="e">
        <f>astrogrep_path&amp;" /e /r /s /spath="&amp;search_path&amp;" /stypes=""app*"&amp;MCH28&amp;"*"&amp;TEXT(MCO28-utc_offset/24,"YYYYMMDD")&amp;"*"" /stext="" "&amp;TEXT(MCO28-utc_offset/24,"HH")&amp;search_regexp&amp;""""</f>
        <v>#REF!</v>
      </c>
      <c r="MDM28" s="234" t="e">
        <f>astrogrep_path&amp;" /e /r /s /spath="&amp;search_path&amp;" /stypes=""app*"&amp;MCI28&amp;"*"&amp;TEXT(MCP28-utc_offset/24,"YYYYMMDD")&amp;"*"" /stext="" "&amp;TEXT(MCP28-utc_offset/24,"HH")&amp;search_regexp&amp;""""</f>
        <v>#REF!</v>
      </c>
      <c r="MDN28" s="234" t="e">
        <f>astrogrep_path&amp;" /e /r /s /spath="&amp;search_path&amp;" /stypes=""app*"&amp;MCJ28&amp;"*"&amp;TEXT(MCQ28-utc_offset/24,"YYYYMMDD")&amp;"*"" /stext="" "&amp;TEXT(MCQ28-utc_offset/24,"HH")&amp;search_regexp&amp;""""</f>
        <v>#REF!</v>
      </c>
      <c r="MDO28" s="234" t="e">
        <f>astrogrep_path&amp;" /e /r /s /spath="&amp;search_path&amp;" /stypes=""app*"&amp;MCK28&amp;"*"&amp;TEXT(MCR28-utc_offset/24,"YYYYMMDD")&amp;"*"" /stext="" "&amp;TEXT(MCR28-utc_offset/24,"HH")&amp;search_regexp&amp;""""</f>
        <v>#REF!</v>
      </c>
      <c r="MDP28" s="234" t="e">
        <f>astrogrep_path&amp;" /e /r /s /spath="&amp;search_path&amp;" /stypes=""app*"&amp;MCL28&amp;"*"&amp;TEXT(MCS28-utc_offset/24,"YYYYMMDD")&amp;"*"" /stext="" "&amp;TEXT(MCS28-utc_offset/24,"HH")&amp;search_regexp&amp;""""</f>
        <v>#REF!</v>
      </c>
      <c r="MDQ28" s="234" t="e">
        <f>astrogrep_path&amp;" /e /r /s /spath="&amp;search_path&amp;" /stypes=""app*"&amp;MCM28&amp;"*"&amp;TEXT(MCT28-utc_offset/24,"YYYYMMDD")&amp;"*"" /stext="" "&amp;TEXT(MCT28-utc_offset/24,"HH")&amp;search_regexp&amp;""""</f>
        <v>#REF!</v>
      </c>
      <c r="MDR28" s="234" t="e">
        <f>astrogrep_path&amp;" /e /r /s /spath="&amp;search_path&amp;" /stypes=""app*"&amp;MCN28&amp;"*"&amp;TEXT(MCU28-utc_offset/24,"YYYYMMDD")&amp;"*"" /stext="" "&amp;TEXT(MCU28-utc_offset/24,"HH")&amp;search_regexp&amp;""""</f>
        <v>#REF!</v>
      </c>
      <c r="MDS28" s="234" t="e">
        <f>astrogrep_path&amp;" /e /r /s /spath="&amp;search_path&amp;" /stypes=""app*"&amp;MCO28&amp;"*"&amp;TEXT(MCV28-utc_offset/24,"YYYYMMDD")&amp;"*"" /stext="" "&amp;TEXT(MCV28-utc_offset/24,"HH")&amp;search_regexp&amp;""""</f>
        <v>#VALUE!</v>
      </c>
      <c r="MDT28" s="234" t="e">
        <f>astrogrep_path&amp;" /e /r /s /spath="&amp;search_path&amp;" /stypes=""app*"&amp;MCP28&amp;"*"&amp;TEXT(MCW28-utc_offset/24,"YYYYMMDD")&amp;"*"" /stext="" "&amp;TEXT(MCW28-utc_offset/24,"HH")&amp;search_regexp&amp;""""</f>
        <v>#VALUE!</v>
      </c>
      <c r="MDU28" s="234" t="e">
        <f>astrogrep_path&amp;" /e /r /s /spath="&amp;search_path&amp;" /stypes=""app*"&amp;MCQ28&amp;"*"&amp;TEXT(MCX28-utc_offset/24,"YYYYMMDD")&amp;"*"" /stext="" "&amp;TEXT(MCX28-utc_offset/24,"HH")&amp;search_regexp&amp;""""</f>
        <v>#REF!</v>
      </c>
      <c r="MDV28" s="234" t="e">
        <f>astrogrep_path&amp;" /e /r /s /spath="&amp;search_path&amp;" /stypes=""app*"&amp;MCR28&amp;"*"&amp;TEXT(MCY28-utc_offset/24,"YYYYMMDD")&amp;"*"" /stext="" "&amp;TEXT(MCY28-utc_offset/24,"HH")&amp;search_regexp&amp;""""</f>
        <v>#REF!</v>
      </c>
      <c r="MDW28" s="234" t="e">
        <f>astrogrep_path&amp;" /e /r /s /spath="&amp;search_path&amp;" /stypes=""app*"&amp;MCS28&amp;"*"&amp;TEXT(MCZ28-utc_offset/24,"YYYYMMDD")&amp;"*"" /stext="" "&amp;TEXT(MCZ28-utc_offset/24,"HH")&amp;search_regexp&amp;""""</f>
        <v>#VALUE!</v>
      </c>
      <c r="MDX28" s="234" t="e">
        <f>astrogrep_path&amp;" /e /r /s /spath="&amp;search_path&amp;" /stypes=""app*"&amp;MCT28&amp;"*"&amp;TEXT(MDA28-utc_offset/24,"YYYYMMDD")&amp;"*"" /stext="" "&amp;TEXT(MDA28-utc_offset/24,"HH")&amp;search_regexp&amp;""""</f>
        <v>#VALUE!</v>
      </c>
      <c r="MDY28" s="234" t="e">
        <f>astrogrep_path&amp;" /e /r /s /spath="&amp;search_path&amp;" /stypes=""app*"&amp;MCU28&amp;"*"&amp;TEXT(MDB28-utc_offset/24,"YYYYMMDD")&amp;"*"" /stext="" "&amp;TEXT(MDB28-utc_offset/24,"HH")&amp;search_regexp&amp;""""</f>
        <v>#VALUE!</v>
      </c>
      <c r="MDZ28" s="234" t="e">
        <f>astrogrep_path&amp;" /e /r /s /spath="&amp;search_path&amp;" /stypes=""app*"&amp;MCV28&amp;"*"&amp;TEXT(MDC28-utc_offset/24,"YYYYMMDD")&amp;"*"" /stext="" "&amp;TEXT(MDC28-utc_offset/24,"HH")&amp;search_regexp&amp;""""</f>
        <v>#VALUE!</v>
      </c>
      <c r="MEA28" s="234" t="e">
        <f>astrogrep_path&amp;" /e /r /s /spath="&amp;search_path&amp;" /stypes=""app*"&amp;MCW28&amp;"*"&amp;TEXT(MDD28-utc_offset/24,"YYYYMMDD")&amp;"*"" /stext="" "&amp;TEXT(MDD28-utc_offset/24,"HH")&amp;search_regexp&amp;""""</f>
        <v>#VALUE!</v>
      </c>
      <c r="MEB28" s="234" t="e">
        <f>astrogrep_path&amp;" /e /r /s /spath="&amp;search_path&amp;" /stypes=""app*"&amp;MCX28&amp;"*"&amp;TEXT(MDE28-utc_offset/24,"YYYYMMDD")&amp;"*"" /stext="" "&amp;TEXT(MDE28-utc_offset/24,"HH")&amp;search_regexp&amp;""""</f>
        <v>#REF!</v>
      </c>
      <c r="MEC28" s="234" t="e">
        <f>astrogrep_path&amp;" /e /r /s /spath="&amp;search_path&amp;" /stypes=""app*"&amp;MCY28&amp;"*"&amp;TEXT(MDF28-utc_offset/24,"YYYYMMDD")&amp;"*"" /stext="" "&amp;TEXT(MDF28-utc_offset/24,"HH")&amp;search_regexp&amp;""""</f>
        <v>#REF!</v>
      </c>
      <c r="MED28" s="234" t="e">
        <f>astrogrep_path&amp;" /e /r /s /spath="&amp;search_path&amp;" /stypes=""app*"&amp;MCZ28&amp;"*"&amp;TEXT(MDG28-utc_offset/24,"YYYYMMDD")&amp;"*"" /stext="" "&amp;TEXT(MDG28-utc_offset/24,"HH")&amp;search_regexp&amp;""""</f>
        <v>#REF!</v>
      </c>
      <c r="MEE28" s="234" t="e">
        <f>astrogrep_path&amp;" /e /r /s /spath="&amp;search_path&amp;" /stypes=""app*"&amp;MDA28&amp;"*"&amp;TEXT(MDH28-utc_offset/24,"YYYYMMDD")&amp;"*"" /stext="" "&amp;TEXT(MDH28-utc_offset/24,"HH")&amp;search_regexp&amp;""""</f>
        <v>#REF!</v>
      </c>
      <c r="MEF28" s="234" t="e">
        <f>astrogrep_path&amp;" /e /r /s /spath="&amp;search_path&amp;" /stypes=""app*"&amp;MDB28&amp;"*"&amp;TEXT(MDI28-utc_offset/24,"YYYYMMDD")&amp;"*"" /stext="" "&amp;TEXT(MDI28-utc_offset/24,"HH")&amp;search_regexp&amp;""""</f>
        <v>#REF!</v>
      </c>
      <c r="MEG28" s="234" t="e">
        <f>astrogrep_path&amp;" /e /r /s /spath="&amp;search_path&amp;" /stypes=""app*"&amp;MDC28&amp;"*"&amp;TEXT(MDJ28-utc_offset/24,"YYYYMMDD")&amp;"*"" /stext="" "&amp;TEXT(MDJ28-utc_offset/24,"HH")&amp;search_regexp&amp;""""</f>
        <v>#REF!</v>
      </c>
      <c r="MEH28" s="234" t="e">
        <f>astrogrep_path&amp;" /e /r /s /spath="&amp;search_path&amp;" /stypes=""app*"&amp;MDD28&amp;"*"&amp;TEXT(MDK28-utc_offset/24,"YYYYMMDD")&amp;"*"" /stext="" "&amp;TEXT(MDK28-utc_offset/24,"HH")&amp;search_regexp&amp;""""</f>
        <v>#REF!</v>
      </c>
      <c r="MEI28" s="234" t="e">
        <f>astrogrep_path&amp;" /e /r /s /spath="&amp;search_path&amp;" /stypes=""app*"&amp;MDE28&amp;"*"&amp;TEXT(MDL28-utc_offset/24,"YYYYMMDD")&amp;"*"" /stext="" "&amp;TEXT(MDL28-utc_offset/24,"HH")&amp;search_regexp&amp;""""</f>
        <v>#REF!</v>
      </c>
      <c r="MEJ28" s="234" t="e">
        <f>astrogrep_path&amp;" /e /r /s /spath="&amp;search_path&amp;" /stypes=""app*"&amp;MDF28&amp;"*"&amp;TEXT(MDM28-utc_offset/24,"YYYYMMDD")&amp;"*"" /stext="" "&amp;TEXT(MDM28-utc_offset/24,"HH")&amp;search_regexp&amp;""""</f>
        <v>#REF!</v>
      </c>
      <c r="MEK28" s="234" t="e">
        <f>astrogrep_path&amp;" /e /r /s /spath="&amp;search_path&amp;" /stypes=""app*"&amp;MDG28&amp;"*"&amp;TEXT(MDN28-utc_offset/24,"YYYYMMDD")&amp;"*"" /stext="" "&amp;TEXT(MDN28-utc_offset/24,"HH")&amp;search_regexp&amp;""""</f>
        <v>#REF!</v>
      </c>
      <c r="MEL28" s="234" t="e">
        <f>astrogrep_path&amp;" /e /r /s /spath="&amp;search_path&amp;" /stypes=""app*"&amp;MDH28&amp;"*"&amp;TEXT(MDO28-utc_offset/24,"YYYYMMDD")&amp;"*"" /stext="" "&amp;TEXT(MDO28-utc_offset/24,"HH")&amp;search_regexp&amp;""""</f>
        <v>#REF!</v>
      </c>
      <c r="MEM28" s="234" t="e">
        <f>astrogrep_path&amp;" /e /r /s /spath="&amp;search_path&amp;" /stypes=""app*"&amp;MDI28&amp;"*"&amp;TEXT(MDP28-utc_offset/24,"YYYYMMDD")&amp;"*"" /stext="" "&amp;TEXT(MDP28-utc_offset/24,"HH")&amp;search_regexp&amp;""""</f>
        <v>#REF!</v>
      </c>
      <c r="MEN28" s="234" t="e">
        <f>astrogrep_path&amp;" /e /r /s /spath="&amp;search_path&amp;" /stypes=""app*"&amp;MDJ28&amp;"*"&amp;TEXT(MDQ28-utc_offset/24,"YYYYMMDD")&amp;"*"" /stext="" "&amp;TEXT(MDQ28-utc_offset/24,"HH")&amp;search_regexp&amp;""""</f>
        <v>#REF!</v>
      </c>
      <c r="MEO28" s="234" t="e">
        <f>astrogrep_path&amp;" /e /r /s /spath="&amp;search_path&amp;" /stypes=""app*"&amp;MDK28&amp;"*"&amp;TEXT(MDR28-utc_offset/24,"YYYYMMDD")&amp;"*"" /stext="" "&amp;TEXT(MDR28-utc_offset/24,"HH")&amp;search_regexp&amp;""""</f>
        <v>#REF!</v>
      </c>
      <c r="MEP28" s="234" t="e">
        <f>astrogrep_path&amp;" /e /r /s /spath="&amp;search_path&amp;" /stypes=""app*"&amp;MDL28&amp;"*"&amp;TEXT(MDS28-utc_offset/24,"YYYYMMDD")&amp;"*"" /stext="" "&amp;TEXT(MDS28-utc_offset/24,"HH")&amp;search_regexp&amp;""""</f>
        <v>#REF!</v>
      </c>
      <c r="MEQ28" s="234" t="e">
        <f>astrogrep_path&amp;" /e /r /s /spath="&amp;search_path&amp;" /stypes=""app*"&amp;MDM28&amp;"*"&amp;TEXT(MDT28-utc_offset/24,"YYYYMMDD")&amp;"*"" /stext="" "&amp;TEXT(MDT28-utc_offset/24,"HH")&amp;search_regexp&amp;""""</f>
        <v>#REF!</v>
      </c>
      <c r="MER28" s="234" t="e">
        <f>astrogrep_path&amp;" /e /r /s /spath="&amp;search_path&amp;" /stypes=""app*"&amp;MDN28&amp;"*"&amp;TEXT(MDU28-utc_offset/24,"YYYYMMDD")&amp;"*"" /stext="" "&amp;TEXT(MDU28-utc_offset/24,"HH")&amp;search_regexp&amp;""""</f>
        <v>#REF!</v>
      </c>
      <c r="MES28" s="234" t="e">
        <f>astrogrep_path&amp;" /e /r /s /spath="&amp;search_path&amp;" /stypes=""app*"&amp;MDO28&amp;"*"&amp;TEXT(MDV28-utc_offset/24,"YYYYMMDD")&amp;"*"" /stext="" "&amp;TEXT(MDV28-utc_offset/24,"HH")&amp;search_regexp&amp;""""</f>
        <v>#REF!</v>
      </c>
      <c r="MET28" s="234" t="e">
        <f>astrogrep_path&amp;" /e /r /s /spath="&amp;search_path&amp;" /stypes=""app*"&amp;MDP28&amp;"*"&amp;TEXT(MDW28-utc_offset/24,"YYYYMMDD")&amp;"*"" /stext="" "&amp;TEXT(MDW28-utc_offset/24,"HH")&amp;search_regexp&amp;""""</f>
        <v>#REF!</v>
      </c>
      <c r="MEU28" s="234" t="e">
        <f>astrogrep_path&amp;" /e /r /s /spath="&amp;search_path&amp;" /stypes=""app*"&amp;MDQ28&amp;"*"&amp;TEXT(MDX28-utc_offset/24,"YYYYMMDD")&amp;"*"" /stext="" "&amp;TEXT(MDX28-utc_offset/24,"HH")&amp;search_regexp&amp;""""</f>
        <v>#REF!</v>
      </c>
      <c r="MEV28" s="234" t="e">
        <f>astrogrep_path&amp;" /e /r /s /spath="&amp;search_path&amp;" /stypes=""app*"&amp;MDR28&amp;"*"&amp;TEXT(MDY28-utc_offset/24,"YYYYMMDD")&amp;"*"" /stext="" "&amp;TEXT(MDY28-utc_offset/24,"HH")&amp;search_regexp&amp;""""</f>
        <v>#REF!</v>
      </c>
      <c r="MEW28" s="234" t="e">
        <f>astrogrep_path&amp;" /e /r /s /spath="&amp;search_path&amp;" /stypes=""app*"&amp;MDS28&amp;"*"&amp;TEXT(MDZ28-utc_offset/24,"YYYYMMDD")&amp;"*"" /stext="" "&amp;TEXT(MDZ28-utc_offset/24,"HH")&amp;search_regexp&amp;""""</f>
        <v>#VALUE!</v>
      </c>
      <c r="MEX28" s="234" t="e">
        <f>astrogrep_path&amp;" /e /r /s /spath="&amp;search_path&amp;" /stypes=""app*"&amp;MDT28&amp;"*"&amp;TEXT(MEA28-utc_offset/24,"YYYYMMDD")&amp;"*"" /stext="" "&amp;TEXT(MEA28-utc_offset/24,"HH")&amp;search_regexp&amp;""""</f>
        <v>#VALUE!</v>
      </c>
      <c r="MEY28" s="234" t="e">
        <f>astrogrep_path&amp;" /e /r /s /spath="&amp;search_path&amp;" /stypes=""app*"&amp;MDU28&amp;"*"&amp;TEXT(MEB28-utc_offset/24,"YYYYMMDD")&amp;"*"" /stext="" "&amp;TEXT(MEB28-utc_offset/24,"HH")&amp;search_regexp&amp;""""</f>
        <v>#REF!</v>
      </c>
      <c r="MEZ28" s="234" t="e">
        <f>astrogrep_path&amp;" /e /r /s /spath="&amp;search_path&amp;" /stypes=""app*"&amp;MDV28&amp;"*"&amp;TEXT(MEC28-utc_offset/24,"YYYYMMDD")&amp;"*"" /stext="" "&amp;TEXT(MEC28-utc_offset/24,"HH")&amp;search_regexp&amp;""""</f>
        <v>#REF!</v>
      </c>
      <c r="MFA28" s="234" t="e">
        <f>astrogrep_path&amp;" /e /r /s /spath="&amp;search_path&amp;" /stypes=""app*"&amp;MDW28&amp;"*"&amp;TEXT(MED28-utc_offset/24,"YYYYMMDD")&amp;"*"" /stext="" "&amp;TEXT(MED28-utc_offset/24,"HH")&amp;search_regexp&amp;""""</f>
        <v>#VALUE!</v>
      </c>
      <c r="MFB28" s="234" t="e">
        <f>astrogrep_path&amp;" /e /r /s /spath="&amp;search_path&amp;" /stypes=""app*"&amp;MDX28&amp;"*"&amp;TEXT(MEE28-utc_offset/24,"YYYYMMDD")&amp;"*"" /stext="" "&amp;TEXT(MEE28-utc_offset/24,"HH")&amp;search_regexp&amp;""""</f>
        <v>#VALUE!</v>
      </c>
      <c r="MFC28" s="234" t="e">
        <f>astrogrep_path&amp;" /e /r /s /spath="&amp;search_path&amp;" /stypes=""app*"&amp;MDY28&amp;"*"&amp;TEXT(MEF28-utc_offset/24,"YYYYMMDD")&amp;"*"" /stext="" "&amp;TEXT(MEF28-utc_offset/24,"HH")&amp;search_regexp&amp;""""</f>
        <v>#VALUE!</v>
      </c>
      <c r="MFD28" s="234" t="e">
        <f>astrogrep_path&amp;" /e /r /s /spath="&amp;search_path&amp;" /stypes=""app*"&amp;MDZ28&amp;"*"&amp;TEXT(MEG28-utc_offset/24,"YYYYMMDD")&amp;"*"" /stext="" "&amp;TEXT(MEG28-utc_offset/24,"HH")&amp;search_regexp&amp;""""</f>
        <v>#VALUE!</v>
      </c>
      <c r="MFE28" s="234" t="e">
        <f>astrogrep_path&amp;" /e /r /s /spath="&amp;search_path&amp;" /stypes=""app*"&amp;MEA28&amp;"*"&amp;TEXT(MEH28-utc_offset/24,"YYYYMMDD")&amp;"*"" /stext="" "&amp;TEXT(MEH28-utc_offset/24,"HH")&amp;search_regexp&amp;""""</f>
        <v>#VALUE!</v>
      </c>
      <c r="MFF28" s="234" t="e">
        <f>astrogrep_path&amp;" /e /r /s /spath="&amp;search_path&amp;" /stypes=""app*"&amp;MEB28&amp;"*"&amp;TEXT(MEI28-utc_offset/24,"YYYYMMDD")&amp;"*"" /stext="" "&amp;TEXT(MEI28-utc_offset/24,"HH")&amp;search_regexp&amp;""""</f>
        <v>#REF!</v>
      </c>
      <c r="MFG28" s="234" t="e">
        <f>astrogrep_path&amp;" /e /r /s /spath="&amp;search_path&amp;" /stypes=""app*"&amp;MEC28&amp;"*"&amp;TEXT(MEJ28-utc_offset/24,"YYYYMMDD")&amp;"*"" /stext="" "&amp;TEXT(MEJ28-utc_offset/24,"HH")&amp;search_regexp&amp;""""</f>
        <v>#REF!</v>
      </c>
      <c r="MFH28" s="234" t="e">
        <f>astrogrep_path&amp;" /e /r /s /spath="&amp;search_path&amp;" /stypes=""app*"&amp;MED28&amp;"*"&amp;TEXT(MEK28-utc_offset/24,"YYYYMMDD")&amp;"*"" /stext="" "&amp;TEXT(MEK28-utc_offset/24,"HH")&amp;search_regexp&amp;""""</f>
        <v>#REF!</v>
      </c>
      <c r="MFI28" s="234" t="e">
        <f>astrogrep_path&amp;" /e /r /s /spath="&amp;search_path&amp;" /stypes=""app*"&amp;MEE28&amp;"*"&amp;TEXT(MEL28-utc_offset/24,"YYYYMMDD")&amp;"*"" /stext="" "&amp;TEXT(MEL28-utc_offset/24,"HH")&amp;search_regexp&amp;""""</f>
        <v>#REF!</v>
      </c>
      <c r="MFJ28" s="234" t="e">
        <f>astrogrep_path&amp;" /e /r /s /spath="&amp;search_path&amp;" /stypes=""app*"&amp;MEF28&amp;"*"&amp;TEXT(MEM28-utc_offset/24,"YYYYMMDD")&amp;"*"" /stext="" "&amp;TEXT(MEM28-utc_offset/24,"HH")&amp;search_regexp&amp;""""</f>
        <v>#REF!</v>
      </c>
      <c r="MFK28" s="234" t="e">
        <f>astrogrep_path&amp;" /e /r /s /spath="&amp;search_path&amp;" /stypes=""app*"&amp;MEG28&amp;"*"&amp;TEXT(MEN28-utc_offset/24,"YYYYMMDD")&amp;"*"" /stext="" "&amp;TEXT(MEN28-utc_offset/24,"HH")&amp;search_regexp&amp;""""</f>
        <v>#REF!</v>
      </c>
      <c r="MFL28" s="234" t="e">
        <f>astrogrep_path&amp;" /e /r /s /spath="&amp;search_path&amp;" /stypes=""app*"&amp;MEH28&amp;"*"&amp;TEXT(MEO28-utc_offset/24,"YYYYMMDD")&amp;"*"" /stext="" "&amp;TEXT(MEO28-utc_offset/24,"HH")&amp;search_regexp&amp;""""</f>
        <v>#REF!</v>
      </c>
      <c r="MFM28" s="234" t="e">
        <f>astrogrep_path&amp;" /e /r /s /spath="&amp;search_path&amp;" /stypes=""app*"&amp;MEI28&amp;"*"&amp;TEXT(MEP28-utc_offset/24,"YYYYMMDD")&amp;"*"" /stext="" "&amp;TEXT(MEP28-utc_offset/24,"HH")&amp;search_regexp&amp;""""</f>
        <v>#REF!</v>
      </c>
      <c r="MFN28" s="234" t="e">
        <f>astrogrep_path&amp;" /e /r /s /spath="&amp;search_path&amp;" /stypes=""app*"&amp;MEJ28&amp;"*"&amp;TEXT(MEQ28-utc_offset/24,"YYYYMMDD")&amp;"*"" /stext="" "&amp;TEXT(MEQ28-utc_offset/24,"HH")&amp;search_regexp&amp;""""</f>
        <v>#REF!</v>
      </c>
      <c r="MFO28" s="234" t="e">
        <f>astrogrep_path&amp;" /e /r /s /spath="&amp;search_path&amp;" /stypes=""app*"&amp;MEK28&amp;"*"&amp;TEXT(MER28-utc_offset/24,"YYYYMMDD")&amp;"*"" /stext="" "&amp;TEXT(MER28-utc_offset/24,"HH")&amp;search_regexp&amp;""""</f>
        <v>#REF!</v>
      </c>
      <c r="MFP28" s="234" t="e">
        <f>astrogrep_path&amp;" /e /r /s /spath="&amp;search_path&amp;" /stypes=""app*"&amp;MEL28&amp;"*"&amp;TEXT(MES28-utc_offset/24,"YYYYMMDD")&amp;"*"" /stext="" "&amp;TEXT(MES28-utc_offset/24,"HH")&amp;search_regexp&amp;""""</f>
        <v>#REF!</v>
      </c>
      <c r="MFQ28" s="234" t="e">
        <f>astrogrep_path&amp;" /e /r /s /spath="&amp;search_path&amp;" /stypes=""app*"&amp;MEM28&amp;"*"&amp;TEXT(MET28-utc_offset/24,"YYYYMMDD")&amp;"*"" /stext="" "&amp;TEXT(MET28-utc_offset/24,"HH")&amp;search_regexp&amp;""""</f>
        <v>#REF!</v>
      </c>
      <c r="MFR28" s="234" t="e">
        <f>astrogrep_path&amp;" /e /r /s /spath="&amp;search_path&amp;" /stypes=""app*"&amp;MEN28&amp;"*"&amp;TEXT(MEU28-utc_offset/24,"YYYYMMDD")&amp;"*"" /stext="" "&amp;TEXT(MEU28-utc_offset/24,"HH")&amp;search_regexp&amp;""""</f>
        <v>#REF!</v>
      </c>
      <c r="MFS28" s="234" t="e">
        <f>astrogrep_path&amp;" /e /r /s /spath="&amp;search_path&amp;" /stypes=""app*"&amp;MEO28&amp;"*"&amp;TEXT(MEV28-utc_offset/24,"YYYYMMDD")&amp;"*"" /stext="" "&amp;TEXT(MEV28-utc_offset/24,"HH")&amp;search_regexp&amp;""""</f>
        <v>#REF!</v>
      </c>
      <c r="MFT28" s="234" t="e">
        <f>astrogrep_path&amp;" /e /r /s /spath="&amp;search_path&amp;" /stypes=""app*"&amp;MEP28&amp;"*"&amp;TEXT(MEW28-utc_offset/24,"YYYYMMDD")&amp;"*"" /stext="" "&amp;TEXT(MEW28-utc_offset/24,"HH")&amp;search_regexp&amp;""""</f>
        <v>#REF!</v>
      </c>
      <c r="MFU28" s="234" t="e">
        <f>astrogrep_path&amp;" /e /r /s /spath="&amp;search_path&amp;" /stypes=""app*"&amp;MEQ28&amp;"*"&amp;TEXT(MEX28-utc_offset/24,"YYYYMMDD")&amp;"*"" /stext="" "&amp;TEXT(MEX28-utc_offset/24,"HH")&amp;search_regexp&amp;""""</f>
        <v>#REF!</v>
      </c>
      <c r="MFV28" s="234" t="e">
        <f>astrogrep_path&amp;" /e /r /s /spath="&amp;search_path&amp;" /stypes=""app*"&amp;MER28&amp;"*"&amp;TEXT(MEY28-utc_offset/24,"YYYYMMDD")&amp;"*"" /stext="" "&amp;TEXT(MEY28-utc_offset/24,"HH")&amp;search_regexp&amp;""""</f>
        <v>#REF!</v>
      </c>
      <c r="MFW28" s="234" t="e">
        <f>astrogrep_path&amp;" /e /r /s /spath="&amp;search_path&amp;" /stypes=""app*"&amp;MES28&amp;"*"&amp;TEXT(MEZ28-utc_offset/24,"YYYYMMDD")&amp;"*"" /stext="" "&amp;TEXT(MEZ28-utc_offset/24,"HH")&amp;search_regexp&amp;""""</f>
        <v>#REF!</v>
      </c>
      <c r="MFX28" s="234" t="e">
        <f>astrogrep_path&amp;" /e /r /s /spath="&amp;search_path&amp;" /stypes=""app*"&amp;MET28&amp;"*"&amp;TEXT(MFA28-utc_offset/24,"YYYYMMDD")&amp;"*"" /stext="" "&amp;TEXT(MFA28-utc_offset/24,"HH")&amp;search_regexp&amp;""""</f>
        <v>#REF!</v>
      </c>
      <c r="MFY28" s="234" t="e">
        <f>astrogrep_path&amp;" /e /r /s /spath="&amp;search_path&amp;" /stypes=""app*"&amp;MEU28&amp;"*"&amp;TEXT(MFB28-utc_offset/24,"YYYYMMDD")&amp;"*"" /stext="" "&amp;TEXT(MFB28-utc_offset/24,"HH")&amp;search_regexp&amp;""""</f>
        <v>#REF!</v>
      </c>
      <c r="MFZ28" s="234" t="e">
        <f>astrogrep_path&amp;" /e /r /s /spath="&amp;search_path&amp;" /stypes=""app*"&amp;MEV28&amp;"*"&amp;TEXT(MFC28-utc_offset/24,"YYYYMMDD")&amp;"*"" /stext="" "&amp;TEXT(MFC28-utc_offset/24,"HH")&amp;search_regexp&amp;""""</f>
        <v>#REF!</v>
      </c>
      <c r="MGA28" s="234" t="e">
        <f>astrogrep_path&amp;" /e /r /s /spath="&amp;search_path&amp;" /stypes=""app*"&amp;MEW28&amp;"*"&amp;TEXT(MFD28-utc_offset/24,"YYYYMMDD")&amp;"*"" /stext="" "&amp;TEXT(MFD28-utc_offset/24,"HH")&amp;search_regexp&amp;""""</f>
        <v>#VALUE!</v>
      </c>
      <c r="MGB28" s="234" t="e">
        <f>astrogrep_path&amp;" /e /r /s /spath="&amp;search_path&amp;" /stypes=""app*"&amp;MEX28&amp;"*"&amp;TEXT(MFE28-utc_offset/24,"YYYYMMDD")&amp;"*"" /stext="" "&amp;TEXT(MFE28-utc_offset/24,"HH")&amp;search_regexp&amp;""""</f>
        <v>#VALUE!</v>
      </c>
      <c r="MGC28" s="234" t="e">
        <f>astrogrep_path&amp;" /e /r /s /spath="&amp;search_path&amp;" /stypes=""app*"&amp;MEY28&amp;"*"&amp;TEXT(MFF28-utc_offset/24,"YYYYMMDD")&amp;"*"" /stext="" "&amp;TEXT(MFF28-utc_offset/24,"HH")&amp;search_regexp&amp;""""</f>
        <v>#REF!</v>
      </c>
      <c r="MGD28" s="234" t="e">
        <f>astrogrep_path&amp;" /e /r /s /spath="&amp;search_path&amp;" /stypes=""app*"&amp;MEZ28&amp;"*"&amp;TEXT(MFG28-utc_offset/24,"YYYYMMDD")&amp;"*"" /stext="" "&amp;TEXT(MFG28-utc_offset/24,"HH")&amp;search_regexp&amp;""""</f>
        <v>#REF!</v>
      </c>
      <c r="MGE28" s="234" t="e">
        <f>astrogrep_path&amp;" /e /r /s /spath="&amp;search_path&amp;" /stypes=""app*"&amp;MFA28&amp;"*"&amp;TEXT(MFH28-utc_offset/24,"YYYYMMDD")&amp;"*"" /stext="" "&amp;TEXT(MFH28-utc_offset/24,"HH")&amp;search_regexp&amp;""""</f>
        <v>#VALUE!</v>
      </c>
      <c r="MGF28" s="234" t="e">
        <f>astrogrep_path&amp;" /e /r /s /spath="&amp;search_path&amp;" /stypes=""app*"&amp;MFB28&amp;"*"&amp;TEXT(MFI28-utc_offset/24,"YYYYMMDD")&amp;"*"" /stext="" "&amp;TEXT(MFI28-utc_offset/24,"HH")&amp;search_regexp&amp;""""</f>
        <v>#VALUE!</v>
      </c>
      <c r="MGG28" s="234" t="e">
        <f>astrogrep_path&amp;" /e /r /s /spath="&amp;search_path&amp;" /stypes=""app*"&amp;MFC28&amp;"*"&amp;TEXT(MFJ28-utc_offset/24,"YYYYMMDD")&amp;"*"" /stext="" "&amp;TEXT(MFJ28-utc_offset/24,"HH")&amp;search_regexp&amp;""""</f>
        <v>#VALUE!</v>
      </c>
      <c r="MGH28" s="234" t="e">
        <f>astrogrep_path&amp;" /e /r /s /spath="&amp;search_path&amp;" /stypes=""app*"&amp;MFD28&amp;"*"&amp;TEXT(MFK28-utc_offset/24,"YYYYMMDD")&amp;"*"" /stext="" "&amp;TEXT(MFK28-utc_offset/24,"HH")&amp;search_regexp&amp;""""</f>
        <v>#VALUE!</v>
      </c>
      <c r="MGI28" s="234" t="e">
        <f>astrogrep_path&amp;" /e /r /s /spath="&amp;search_path&amp;" /stypes=""app*"&amp;MFE28&amp;"*"&amp;TEXT(MFL28-utc_offset/24,"YYYYMMDD")&amp;"*"" /stext="" "&amp;TEXT(MFL28-utc_offset/24,"HH")&amp;search_regexp&amp;""""</f>
        <v>#VALUE!</v>
      </c>
      <c r="MGJ28" s="234" t="e">
        <f>astrogrep_path&amp;" /e /r /s /spath="&amp;search_path&amp;" /stypes=""app*"&amp;MFF28&amp;"*"&amp;TEXT(MFM28-utc_offset/24,"YYYYMMDD")&amp;"*"" /stext="" "&amp;TEXT(MFM28-utc_offset/24,"HH")&amp;search_regexp&amp;""""</f>
        <v>#REF!</v>
      </c>
      <c r="MGK28" s="234" t="e">
        <f>astrogrep_path&amp;" /e /r /s /spath="&amp;search_path&amp;" /stypes=""app*"&amp;MFG28&amp;"*"&amp;TEXT(MFN28-utc_offset/24,"YYYYMMDD")&amp;"*"" /stext="" "&amp;TEXT(MFN28-utc_offset/24,"HH")&amp;search_regexp&amp;""""</f>
        <v>#REF!</v>
      </c>
      <c r="MGL28" s="234" t="e">
        <f>astrogrep_path&amp;" /e /r /s /spath="&amp;search_path&amp;" /stypes=""app*"&amp;MFH28&amp;"*"&amp;TEXT(MFO28-utc_offset/24,"YYYYMMDD")&amp;"*"" /stext="" "&amp;TEXT(MFO28-utc_offset/24,"HH")&amp;search_regexp&amp;""""</f>
        <v>#REF!</v>
      </c>
      <c r="MGM28" s="234" t="e">
        <f>astrogrep_path&amp;" /e /r /s /spath="&amp;search_path&amp;" /stypes=""app*"&amp;MFI28&amp;"*"&amp;TEXT(MFP28-utc_offset/24,"YYYYMMDD")&amp;"*"" /stext="" "&amp;TEXT(MFP28-utc_offset/24,"HH")&amp;search_regexp&amp;""""</f>
        <v>#REF!</v>
      </c>
      <c r="MGN28" s="234" t="e">
        <f>astrogrep_path&amp;" /e /r /s /spath="&amp;search_path&amp;" /stypes=""app*"&amp;MFJ28&amp;"*"&amp;TEXT(MFQ28-utc_offset/24,"YYYYMMDD")&amp;"*"" /stext="" "&amp;TEXT(MFQ28-utc_offset/24,"HH")&amp;search_regexp&amp;""""</f>
        <v>#REF!</v>
      </c>
      <c r="MGO28" s="234" t="e">
        <f>astrogrep_path&amp;" /e /r /s /spath="&amp;search_path&amp;" /stypes=""app*"&amp;MFK28&amp;"*"&amp;TEXT(MFR28-utc_offset/24,"YYYYMMDD")&amp;"*"" /stext="" "&amp;TEXT(MFR28-utc_offset/24,"HH")&amp;search_regexp&amp;""""</f>
        <v>#REF!</v>
      </c>
      <c r="MGP28" s="234" t="e">
        <f>astrogrep_path&amp;" /e /r /s /spath="&amp;search_path&amp;" /stypes=""app*"&amp;MFL28&amp;"*"&amp;TEXT(MFS28-utc_offset/24,"YYYYMMDD")&amp;"*"" /stext="" "&amp;TEXT(MFS28-utc_offset/24,"HH")&amp;search_regexp&amp;""""</f>
        <v>#REF!</v>
      </c>
      <c r="MGQ28" s="234" t="e">
        <f>astrogrep_path&amp;" /e /r /s /spath="&amp;search_path&amp;" /stypes=""app*"&amp;MFM28&amp;"*"&amp;TEXT(MFT28-utc_offset/24,"YYYYMMDD")&amp;"*"" /stext="" "&amp;TEXT(MFT28-utc_offset/24,"HH")&amp;search_regexp&amp;""""</f>
        <v>#REF!</v>
      </c>
      <c r="MGR28" s="234" t="e">
        <f>astrogrep_path&amp;" /e /r /s /spath="&amp;search_path&amp;" /stypes=""app*"&amp;MFN28&amp;"*"&amp;TEXT(MFU28-utc_offset/24,"YYYYMMDD")&amp;"*"" /stext="" "&amp;TEXT(MFU28-utc_offset/24,"HH")&amp;search_regexp&amp;""""</f>
        <v>#REF!</v>
      </c>
      <c r="MGS28" s="234" t="e">
        <f>astrogrep_path&amp;" /e /r /s /spath="&amp;search_path&amp;" /stypes=""app*"&amp;MFO28&amp;"*"&amp;TEXT(MFV28-utc_offset/24,"YYYYMMDD")&amp;"*"" /stext="" "&amp;TEXT(MFV28-utc_offset/24,"HH")&amp;search_regexp&amp;""""</f>
        <v>#REF!</v>
      </c>
      <c r="MGT28" s="234" t="e">
        <f>astrogrep_path&amp;" /e /r /s /spath="&amp;search_path&amp;" /stypes=""app*"&amp;MFP28&amp;"*"&amp;TEXT(MFW28-utc_offset/24,"YYYYMMDD")&amp;"*"" /stext="" "&amp;TEXT(MFW28-utc_offset/24,"HH")&amp;search_regexp&amp;""""</f>
        <v>#REF!</v>
      </c>
      <c r="MGU28" s="234" t="e">
        <f>astrogrep_path&amp;" /e /r /s /spath="&amp;search_path&amp;" /stypes=""app*"&amp;MFQ28&amp;"*"&amp;TEXT(MFX28-utc_offset/24,"YYYYMMDD")&amp;"*"" /stext="" "&amp;TEXT(MFX28-utc_offset/24,"HH")&amp;search_regexp&amp;""""</f>
        <v>#REF!</v>
      </c>
      <c r="MGV28" s="234" t="e">
        <f>astrogrep_path&amp;" /e /r /s /spath="&amp;search_path&amp;" /stypes=""app*"&amp;MFR28&amp;"*"&amp;TEXT(MFY28-utc_offset/24,"YYYYMMDD")&amp;"*"" /stext="" "&amp;TEXT(MFY28-utc_offset/24,"HH")&amp;search_regexp&amp;""""</f>
        <v>#REF!</v>
      </c>
      <c r="MGW28" s="234" t="e">
        <f>astrogrep_path&amp;" /e /r /s /spath="&amp;search_path&amp;" /stypes=""app*"&amp;MFS28&amp;"*"&amp;TEXT(MFZ28-utc_offset/24,"YYYYMMDD")&amp;"*"" /stext="" "&amp;TEXT(MFZ28-utc_offset/24,"HH")&amp;search_regexp&amp;""""</f>
        <v>#REF!</v>
      </c>
      <c r="MGX28" s="234" t="e">
        <f>astrogrep_path&amp;" /e /r /s /spath="&amp;search_path&amp;" /stypes=""app*"&amp;MFT28&amp;"*"&amp;TEXT(MGA28-utc_offset/24,"YYYYMMDD")&amp;"*"" /stext="" "&amp;TEXT(MGA28-utc_offset/24,"HH")&amp;search_regexp&amp;""""</f>
        <v>#REF!</v>
      </c>
      <c r="MGY28" s="234" t="e">
        <f>astrogrep_path&amp;" /e /r /s /spath="&amp;search_path&amp;" /stypes=""app*"&amp;MFU28&amp;"*"&amp;TEXT(MGB28-utc_offset/24,"YYYYMMDD")&amp;"*"" /stext="" "&amp;TEXT(MGB28-utc_offset/24,"HH")&amp;search_regexp&amp;""""</f>
        <v>#REF!</v>
      </c>
      <c r="MGZ28" s="234" t="e">
        <f>astrogrep_path&amp;" /e /r /s /spath="&amp;search_path&amp;" /stypes=""app*"&amp;MFV28&amp;"*"&amp;TEXT(MGC28-utc_offset/24,"YYYYMMDD")&amp;"*"" /stext="" "&amp;TEXT(MGC28-utc_offset/24,"HH")&amp;search_regexp&amp;""""</f>
        <v>#REF!</v>
      </c>
      <c r="MHA28" s="234" t="e">
        <f>astrogrep_path&amp;" /e /r /s /spath="&amp;search_path&amp;" /stypes=""app*"&amp;MFW28&amp;"*"&amp;TEXT(MGD28-utc_offset/24,"YYYYMMDD")&amp;"*"" /stext="" "&amp;TEXT(MGD28-utc_offset/24,"HH")&amp;search_regexp&amp;""""</f>
        <v>#REF!</v>
      </c>
      <c r="MHB28" s="234" t="e">
        <f>astrogrep_path&amp;" /e /r /s /spath="&amp;search_path&amp;" /stypes=""app*"&amp;MFX28&amp;"*"&amp;TEXT(MGE28-utc_offset/24,"YYYYMMDD")&amp;"*"" /stext="" "&amp;TEXT(MGE28-utc_offset/24,"HH")&amp;search_regexp&amp;""""</f>
        <v>#REF!</v>
      </c>
      <c r="MHC28" s="234" t="e">
        <f>astrogrep_path&amp;" /e /r /s /spath="&amp;search_path&amp;" /stypes=""app*"&amp;MFY28&amp;"*"&amp;TEXT(MGF28-utc_offset/24,"YYYYMMDD")&amp;"*"" /stext="" "&amp;TEXT(MGF28-utc_offset/24,"HH")&amp;search_regexp&amp;""""</f>
        <v>#REF!</v>
      </c>
      <c r="MHD28" s="234" t="e">
        <f>astrogrep_path&amp;" /e /r /s /spath="&amp;search_path&amp;" /stypes=""app*"&amp;MFZ28&amp;"*"&amp;TEXT(MGG28-utc_offset/24,"YYYYMMDD")&amp;"*"" /stext="" "&amp;TEXT(MGG28-utc_offset/24,"HH")&amp;search_regexp&amp;""""</f>
        <v>#REF!</v>
      </c>
      <c r="MHE28" s="234" t="e">
        <f>astrogrep_path&amp;" /e /r /s /spath="&amp;search_path&amp;" /stypes=""app*"&amp;MGA28&amp;"*"&amp;TEXT(MGH28-utc_offset/24,"YYYYMMDD")&amp;"*"" /stext="" "&amp;TEXT(MGH28-utc_offset/24,"HH")&amp;search_regexp&amp;""""</f>
        <v>#VALUE!</v>
      </c>
      <c r="MHF28" s="234" t="e">
        <f>astrogrep_path&amp;" /e /r /s /spath="&amp;search_path&amp;" /stypes=""app*"&amp;MGB28&amp;"*"&amp;TEXT(MGI28-utc_offset/24,"YYYYMMDD")&amp;"*"" /stext="" "&amp;TEXT(MGI28-utc_offset/24,"HH")&amp;search_regexp&amp;""""</f>
        <v>#VALUE!</v>
      </c>
      <c r="MHG28" s="234" t="e">
        <f>astrogrep_path&amp;" /e /r /s /spath="&amp;search_path&amp;" /stypes=""app*"&amp;MGC28&amp;"*"&amp;TEXT(MGJ28-utc_offset/24,"YYYYMMDD")&amp;"*"" /stext="" "&amp;TEXT(MGJ28-utc_offset/24,"HH")&amp;search_regexp&amp;""""</f>
        <v>#REF!</v>
      </c>
      <c r="MHH28" s="234" t="e">
        <f>astrogrep_path&amp;" /e /r /s /spath="&amp;search_path&amp;" /stypes=""app*"&amp;MGD28&amp;"*"&amp;TEXT(MGK28-utc_offset/24,"YYYYMMDD")&amp;"*"" /stext="" "&amp;TEXT(MGK28-utc_offset/24,"HH")&amp;search_regexp&amp;""""</f>
        <v>#REF!</v>
      </c>
      <c r="MHI28" s="234" t="e">
        <f>astrogrep_path&amp;" /e /r /s /spath="&amp;search_path&amp;" /stypes=""app*"&amp;MGE28&amp;"*"&amp;TEXT(MGL28-utc_offset/24,"YYYYMMDD")&amp;"*"" /stext="" "&amp;TEXT(MGL28-utc_offset/24,"HH")&amp;search_regexp&amp;""""</f>
        <v>#VALUE!</v>
      </c>
      <c r="MHJ28" s="234" t="e">
        <f>astrogrep_path&amp;" /e /r /s /spath="&amp;search_path&amp;" /stypes=""app*"&amp;MGF28&amp;"*"&amp;TEXT(MGM28-utc_offset/24,"YYYYMMDD")&amp;"*"" /stext="" "&amp;TEXT(MGM28-utc_offset/24,"HH")&amp;search_regexp&amp;""""</f>
        <v>#VALUE!</v>
      </c>
      <c r="MHK28" s="234" t="e">
        <f>astrogrep_path&amp;" /e /r /s /spath="&amp;search_path&amp;" /stypes=""app*"&amp;MGG28&amp;"*"&amp;TEXT(MGN28-utc_offset/24,"YYYYMMDD")&amp;"*"" /stext="" "&amp;TEXT(MGN28-utc_offset/24,"HH")&amp;search_regexp&amp;""""</f>
        <v>#VALUE!</v>
      </c>
      <c r="MHL28" s="234" t="e">
        <f>astrogrep_path&amp;" /e /r /s /spath="&amp;search_path&amp;" /stypes=""app*"&amp;MGH28&amp;"*"&amp;TEXT(MGO28-utc_offset/24,"YYYYMMDD")&amp;"*"" /stext="" "&amp;TEXT(MGO28-utc_offset/24,"HH")&amp;search_regexp&amp;""""</f>
        <v>#VALUE!</v>
      </c>
      <c r="MHM28" s="234" t="e">
        <f>astrogrep_path&amp;" /e /r /s /spath="&amp;search_path&amp;" /stypes=""app*"&amp;MGI28&amp;"*"&amp;TEXT(MGP28-utc_offset/24,"YYYYMMDD")&amp;"*"" /stext="" "&amp;TEXT(MGP28-utc_offset/24,"HH")&amp;search_regexp&amp;""""</f>
        <v>#VALUE!</v>
      </c>
      <c r="MHN28" s="234" t="e">
        <f>astrogrep_path&amp;" /e /r /s /spath="&amp;search_path&amp;" /stypes=""app*"&amp;MGJ28&amp;"*"&amp;TEXT(MGQ28-utc_offset/24,"YYYYMMDD")&amp;"*"" /stext="" "&amp;TEXT(MGQ28-utc_offset/24,"HH")&amp;search_regexp&amp;""""</f>
        <v>#REF!</v>
      </c>
      <c r="MHO28" s="234" t="e">
        <f>astrogrep_path&amp;" /e /r /s /spath="&amp;search_path&amp;" /stypes=""app*"&amp;MGK28&amp;"*"&amp;TEXT(MGR28-utc_offset/24,"YYYYMMDD")&amp;"*"" /stext="" "&amp;TEXT(MGR28-utc_offset/24,"HH")&amp;search_regexp&amp;""""</f>
        <v>#REF!</v>
      </c>
      <c r="MHP28" s="234" t="e">
        <f>astrogrep_path&amp;" /e /r /s /spath="&amp;search_path&amp;" /stypes=""app*"&amp;MGL28&amp;"*"&amp;TEXT(MGS28-utc_offset/24,"YYYYMMDD")&amp;"*"" /stext="" "&amp;TEXT(MGS28-utc_offset/24,"HH")&amp;search_regexp&amp;""""</f>
        <v>#REF!</v>
      </c>
      <c r="MHQ28" s="234" t="e">
        <f>astrogrep_path&amp;" /e /r /s /spath="&amp;search_path&amp;" /stypes=""app*"&amp;MGM28&amp;"*"&amp;TEXT(MGT28-utc_offset/24,"YYYYMMDD")&amp;"*"" /stext="" "&amp;TEXT(MGT28-utc_offset/24,"HH")&amp;search_regexp&amp;""""</f>
        <v>#REF!</v>
      </c>
      <c r="MHR28" s="234" t="e">
        <f>astrogrep_path&amp;" /e /r /s /spath="&amp;search_path&amp;" /stypes=""app*"&amp;MGN28&amp;"*"&amp;TEXT(MGU28-utc_offset/24,"YYYYMMDD")&amp;"*"" /stext="" "&amp;TEXT(MGU28-utc_offset/24,"HH")&amp;search_regexp&amp;""""</f>
        <v>#REF!</v>
      </c>
      <c r="MHS28" s="234" t="e">
        <f>astrogrep_path&amp;" /e /r /s /spath="&amp;search_path&amp;" /stypes=""app*"&amp;MGO28&amp;"*"&amp;TEXT(MGV28-utc_offset/24,"YYYYMMDD")&amp;"*"" /stext="" "&amp;TEXT(MGV28-utc_offset/24,"HH")&amp;search_regexp&amp;""""</f>
        <v>#REF!</v>
      </c>
      <c r="MHT28" s="234" t="e">
        <f>astrogrep_path&amp;" /e /r /s /spath="&amp;search_path&amp;" /stypes=""app*"&amp;MGP28&amp;"*"&amp;TEXT(MGW28-utc_offset/24,"YYYYMMDD")&amp;"*"" /stext="" "&amp;TEXT(MGW28-utc_offset/24,"HH")&amp;search_regexp&amp;""""</f>
        <v>#REF!</v>
      </c>
      <c r="MHU28" s="234" t="e">
        <f>astrogrep_path&amp;" /e /r /s /spath="&amp;search_path&amp;" /stypes=""app*"&amp;MGQ28&amp;"*"&amp;TEXT(MGX28-utc_offset/24,"YYYYMMDD")&amp;"*"" /stext="" "&amp;TEXT(MGX28-utc_offset/24,"HH")&amp;search_regexp&amp;""""</f>
        <v>#REF!</v>
      </c>
      <c r="MHV28" s="234" t="e">
        <f>astrogrep_path&amp;" /e /r /s /spath="&amp;search_path&amp;" /stypes=""app*"&amp;MGR28&amp;"*"&amp;TEXT(MGY28-utc_offset/24,"YYYYMMDD")&amp;"*"" /stext="" "&amp;TEXT(MGY28-utc_offset/24,"HH")&amp;search_regexp&amp;""""</f>
        <v>#REF!</v>
      </c>
      <c r="MHW28" s="234" t="e">
        <f>astrogrep_path&amp;" /e /r /s /spath="&amp;search_path&amp;" /stypes=""app*"&amp;MGS28&amp;"*"&amp;TEXT(MGZ28-utc_offset/24,"YYYYMMDD")&amp;"*"" /stext="" "&amp;TEXT(MGZ28-utc_offset/24,"HH")&amp;search_regexp&amp;""""</f>
        <v>#REF!</v>
      </c>
      <c r="MHX28" s="234" t="e">
        <f>astrogrep_path&amp;" /e /r /s /spath="&amp;search_path&amp;" /stypes=""app*"&amp;MGT28&amp;"*"&amp;TEXT(MHA28-utc_offset/24,"YYYYMMDD")&amp;"*"" /stext="" "&amp;TEXT(MHA28-utc_offset/24,"HH")&amp;search_regexp&amp;""""</f>
        <v>#REF!</v>
      </c>
      <c r="MHY28" s="234" t="e">
        <f>astrogrep_path&amp;" /e /r /s /spath="&amp;search_path&amp;" /stypes=""app*"&amp;MGU28&amp;"*"&amp;TEXT(MHB28-utc_offset/24,"YYYYMMDD")&amp;"*"" /stext="" "&amp;TEXT(MHB28-utc_offset/24,"HH")&amp;search_regexp&amp;""""</f>
        <v>#REF!</v>
      </c>
      <c r="MHZ28" s="234" t="e">
        <f>astrogrep_path&amp;" /e /r /s /spath="&amp;search_path&amp;" /stypes=""app*"&amp;MGV28&amp;"*"&amp;TEXT(MHC28-utc_offset/24,"YYYYMMDD")&amp;"*"" /stext="" "&amp;TEXT(MHC28-utc_offset/24,"HH")&amp;search_regexp&amp;""""</f>
        <v>#REF!</v>
      </c>
      <c r="MIA28" s="234" t="e">
        <f>astrogrep_path&amp;" /e /r /s /spath="&amp;search_path&amp;" /stypes=""app*"&amp;MGW28&amp;"*"&amp;TEXT(MHD28-utc_offset/24,"YYYYMMDD")&amp;"*"" /stext="" "&amp;TEXT(MHD28-utc_offset/24,"HH")&amp;search_regexp&amp;""""</f>
        <v>#REF!</v>
      </c>
      <c r="MIB28" s="234" t="e">
        <f>astrogrep_path&amp;" /e /r /s /spath="&amp;search_path&amp;" /stypes=""app*"&amp;MGX28&amp;"*"&amp;TEXT(MHE28-utc_offset/24,"YYYYMMDD")&amp;"*"" /stext="" "&amp;TEXT(MHE28-utc_offset/24,"HH")&amp;search_regexp&amp;""""</f>
        <v>#REF!</v>
      </c>
      <c r="MIC28" s="234" t="e">
        <f>astrogrep_path&amp;" /e /r /s /spath="&amp;search_path&amp;" /stypes=""app*"&amp;MGY28&amp;"*"&amp;TEXT(MHF28-utc_offset/24,"YYYYMMDD")&amp;"*"" /stext="" "&amp;TEXT(MHF28-utc_offset/24,"HH")&amp;search_regexp&amp;""""</f>
        <v>#REF!</v>
      </c>
      <c r="MID28" s="234" t="e">
        <f>astrogrep_path&amp;" /e /r /s /spath="&amp;search_path&amp;" /stypes=""app*"&amp;MGZ28&amp;"*"&amp;TEXT(MHG28-utc_offset/24,"YYYYMMDD")&amp;"*"" /stext="" "&amp;TEXT(MHG28-utc_offset/24,"HH")&amp;search_regexp&amp;""""</f>
        <v>#REF!</v>
      </c>
      <c r="MIE28" s="234" t="e">
        <f>astrogrep_path&amp;" /e /r /s /spath="&amp;search_path&amp;" /stypes=""app*"&amp;MHA28&amp;"*"&amp;TEXT(MHH28-utc_offset/24,"YYYYMMDD")&amp;"*"" /stext="" "&amp;TEXT(MHH28-utc_offset/24,"HH")&amp;search_regexp&amp;""""</f>
        <v>#REF!</v>
      </c>
      <c r="MIF28" s="234" t="e">
        <f>astrogrep_path&amp;" /e /r /s /spath="&amp;search_path&amp;" /stypes=""app*"&amp;MHB28&amp;"*"&amp;TEXT(MHI28-utc_offset/24,"YYYYMMDD")&amp;"*"" /stext="" "&amp;TEXT(MHI28-utc_offset/24,"HH")&amp;search_regexp&amp;""""</f>
        <v>#REF!</v>
      </c>
      <c r="MIG28" s="234" t="e">
        <f>astrogrep_path&amp;" /e /r /s /spath="&amp;search_path&amp;" /stypes=""app*"&amp;MHC28&amp;"*"&amp;TEXT(MHJ28-utc_offset/24,"YYYYMMDD")&amp;"*"" /stext="" "&amp;TEXT(MHJ28-utc_offset/24,"HH")&amp;search_regexp&amp;""""</f>
        <v>#REF!</v>
      </c>
      <c r="MIH28" s="234" t="e">
        <f>astrogrep_path&amp;" /e /r /s /spath="&amp;search_path&amp;" /stypes=""app*"&amp;MHD28&amp;"*"&amp;TEXT(MHK28-utc_offset/24,"YYYYMMDD")&amp;"*"" /stext="" "&amp;TEXT(MHK28-utc_offset/24,"HH")&amp;search_regexp&amp;""""</f>
        <v>#REF!</v>
      </c>
      <c r="MII28" s="234" t="e">
        <f>astrogrep_path&amp;" /e /r /s /spath="&amp;search_path&amp;" /stypes=""app*"&amp;MHE28&amp;"*"&amp;TEXT(MHL28-utc_offset/24,"YYYYMMDD")&amp;"*"" /stext="" "&amp;TEXT(MHL28-utc_offset/24,"HH")&amp;search_regexp&amp;""""</f>
        <v>#VALUE!</v>
      </c>
      <c r="MIJ28" s="234" t="e">
        <f>astrogrep_path&amp;" /e /r /s /spath="&amp;search_path&amp;" /stypes=""app*"&amp;MHF28&amp;"*"&amp;TEXT(MHM28-utc_offset/24,"YYYYMMDD")&amp;"*"" /stext="" "&amp;TEXT(MHM28-utc_offset/24,"HH")&amp;search_regexp&amp;""""</f>
        <v>#VALUE!</v>
      </c>
      <c r="MIK28" s="234" t="e">
        <f>astrogrep_path&amp;" /e /r /s /spath="&amp;search_path&amp;" /stypes=""app*"&amp;MHG28&amp;"*"&amp;TEXT(MHN28-utc_offset/24,"YYYYMMDD")&amp;"*"" /stext="" "&amp;TEXT(MHN28-utc_offset/24,"HH")&amp;search_regexp&amp;""""</f>
        <v>#REF!</v>
      </c>
      <c r="MIL28" s="234" t="e">
        <f>astrogrep_path&amp;" /e /r /s /spath="&amp;search_path&amp;" /stypes=""app*"&amp;MHH28&amp;"*"&amp;TEXT(MHO28-utc_offset/24,"YYYYMMDD")&amp;"*"" /stext="" "&amp;TEXT(MHO28-utc_offset/24,"HH")&amp;search_regexp&amp;""""</f>
        <v>#REF!</v>
      </c>
      <c r="MIM28" s="234" t="e">
        <f>astrogrep_path&amp;" /e /r /s /spath="&amp;search_path&amp;" /stypes=""app*"&amp;MHI28&amp;"*"&amp;TEXT(MHP28-utc_offset/24,"YYYYMMDD")&amp;"*"" /stext="" "&amp;TEXT(MHP28-utc_offset/24,"HH")&amp;search_regexp&amp;""""</f>
        <v>#VALUE!</v>
      </c>
      <c r="MIN28" s="234" t="e">
        <f>astrogrep_path&amp;" /e /r /s /spath="&amp;search_path&amp;" /stypes=""app*"&amp;MHJ28&amp;"*"&amp;TEXT(MHQ28-utc_offset/24,"YYYYMMDD")&amp;"*"" /stext="" "&amp;TEXT(MHQ28-utc_offset/24,"HH")&amp;search_regexp&amp;""""</f>
        <v>#VALUE!</v>
      </c>
      <c r="MIO28" s="234" t="e">
        <f>astrogrep_path&amp;" /e /r /s /spath="&amp;search_path&amp;" /stypes=""app*"&amp;MHK28&amp;"*"&amp;TEXT(MHR28-utc_offset/24,"YYYYMMDD")&amp;"*"" /stext="" "&amp;TEXT(MHR28-utc_offset/24,"HH")&amp;search_regexp&amp;""""</f>
        <v>#VALUE!</v>
      </c>
      <c r="MIP28" s="234" t="e">
        <f>astrogrep_path&amp;" /e /r /s /spath="&amp;search_path&amp;" /stypes=""app*"&amp;MHL28&amp;"*"&amp;TEXT(MHS28-utc_offset/24,"YYYYMMDD")&amp;"*"" /stext="" "&amp;TEXT(MHS28-utc_offset/24,"HH")&amp;search_regexp&amp;""""</f>
        <v>#VALUE!</v>
      </c>
      <c r="MIQ28" s="234" t="e">
        <f>astrogrep_path&amp;" /e /r /s /spath="&amp;search_path&amp;" /stypes=""app*"&amp;MHM28&amp;"*"&amp;TEXT(MHT28-utc_offset/24,"YYYYMMDD")&amp;"*"" /stext="" "&amp;TEXT(MHT28-utc_offset/24,"HH")&amp;search_regexp&amp;""""</f>
        <v>#VALUE!</v>
      </c>
      <c r="MIR28" s="234" t="e">
        <f>astrogrep_path&amp;" /e /r /s /spath="&amp;search_path&amp;" /stypes=""app*"&amp;MHN28&amp;"*"&amp;TEXT(MHU28-utc_offset/24,"YYYYMMDD")&amp;"*"" /stext="" "&amp;TEXT(MHU28-utc_offset/24,"HH")&amp;search_regexp&amp;""""</f>
        <v>#REF!</v>
      </c>
      <c r="MIS28" s="234" t="e">
        <f>astrogrep_path&amp;" /e /r /s /spath="&amp;search_path&amp;" /stypes=""app*"&amp;MHO28&amp;"*"&amp;TEXT(MHV28-utc_offset/24,"YYYYMMDD")&amp;"*"" /stext="" "&amp;TEXT(MHV28-utc_offset/24,"HH")&amp;search_regexp&amp;""""</f>
        <v>#REF!</v>
      </c>
      <c r="MIT28" s="234" t="e">
        <f>astrogrep_path&amp;" /e /r /s /spath="&amp;search_path&amp;" /stypes=""app*"&amp;MHP28&amp;"*"&amp;TEXT(MHW28-utc_offset/24,"YYYYMMDD")&amp;"*"" /stext="" "&amp;TEXT(MHW28-utc_offset/24,"HH")&amp;search_regexp&amp;""""</f>
        <v>#REF!</v>
      </c>
      <c r="MIU28" s="234" t="e">
        <f>astrogrep_path&amp;" /e /r /s /spath="&amp;search_path&amp;" /stypes=""app*"&amp;MHQ28&amp;"*"&amp;TEXT(MHX28-utc_offset/24,"YYYYMMDD")&amp;"*"" /stext="" "&amp;TEXT(MHX28-utc_offset/24,"HH")&amp;search_regexp&amp;""""</f>
        <v>#REF!</v>
      </c>
      <c r="MIV28" s="234" t="e">
        <f>astrogrep_path&amp;" /e /r /s /spath="&amp;search_path&amp;" /stypes=""app*"&amp;MHR28&amp;"*"&amp;TEXT(MHY28-utc_offset/24,"YYYYMMDD")&amp;"*"" /stext="" "&amp;TEXT(MHY28-utc_offset/24,"HH")&amp;search_regexp&amp;""""</f>
        <v>#REF!</v>
      </c>
      <c r="MIW28" s="234" t="e">
        <f>astrogrep_path&amp;" /e /r /s /spath="&amp;search_path&amp;" /stypes=""app*"&amp;MHS28&amp;"*"&amp;TEXT(MHZ28-utc_offset/24,"YYYYMMDD")&amp;"*"" /stext="" "&amp;TEXT(MHZ28-utc_offset/24,"HH")&amp;search_regexp&amp;""""</f>
        <v>#REF!</v>
      </c>
      <c r="MIX28" s="234" t="e">
        <f>astrogrep_path&amp;" /e /r /s /spath="&amp;search_path&amp;" /stypes=""app*"&amp;MHT28&amp;"*"&amp;TEXT(MIA28-utc_offset/24,"YYYYMMDD")&amp;"*"" /stext="" "&amp;TEXT(MIA28-utc_offset/24,"HH")&amp;search_regexp&amp;""""</f>
        <v>#REF!</v>
      </c>
      <c r="MIY28" s="234" t="e">
        <f>astrogrep_path&amp;" /e /r /s /spath="&amp;search_path&amp;" /stypes=""app*"&amp;MHU28&amp;"*"&amp;TEXT(MIB28-utc_offset/24,"YYYYMMDD")&amp;"*"" /stext="" "&amp;TEXT(MIB28-utc_offset/24,"HH")&amp;search_regexp&amp;""""</f>
        <v>#REF!</v>
      </c>
      <c r="MIZ28" s="234" t="e">
        <f>astrogrep_path&amp;" /e /r /s /spath="&amp;search_path&amp;" /stypes=""app*"&amp;MHV28&amp;"*"&amp;TEXT(MIC28-utc_offset/24,"YYYYMMDD")&amp;"*"" /stext="" "&amp;TEXT(MIC28-utc_offset/24,"HH")&amp;search_regexp&amp;""""</f>
        <v>#REF!</v>
      </c>
      <c r="MJA28" s="234" t="e">
        <f>astrogrep_path&amp;" /e /r /s /spath="&amp;search_path&amp;" /stypes=""app*"&amp;MHW28&amp;"*"&amp;TEXT(MID28-utc_offset/24,"YYYYMMDD")&amp;"*"" /stext="" "&amp;TEXT(MID28-utc_offset/24,"HH")&amp;search_regexp&amp;""""</f>
        <v>#REF!</v>
      </c>
      <c r="MJB28" s="234" t="e">
        <f>astrogrep_path&amp;" /e /r /s /spath="&amp;search_path&amp;" /stypes=""app*"&amp;MHX28&amp;"*"&amp;TEXT(MIE28-utc_offset/24,"YYYYMMDD")&amp;"*"" /stext="" "&amp;TEXT(MIE28-utc_offset/24,"HH")&amp;search_regexp&amp;""""</f>
        <v>#REF!</v>
      </c>
      <c r="MJC28" s="234" t="e">
        <f>astrogrep_path&amp;" /e /r /s /spath="&amp;search_path&amp;" /stypes=""app*"&amp;MHY28&amp;"*"&amp;TEXT(MIF28-utc_offset/24,"YYYYMMDD")&amp;"*"" /stext="" "&amp;TEXT(MIF28-utc_offset/24,"HH")&amp;search_regexp&amp;""""</f>
        <v>#REF!</v>
      </c>
      <c r="MJD28" s="234" t="e">
        <f>astrogrep_path&amp;" /e /r /s /spath="&amp;search_path&amp;" /stypes=""app*"&amp;MHZ28&amp;"*"&amp;TEXT(MIG28-utc_offset/24,"YYYYMMDD")&amp;"*"" /stext="" "&amp;TEXT(MIG28-utc_offset/24,"HH")&amp;search_regexp&amp;""""</f>
        <v>#REF!</v>
      </c>
      <c r="MJE28" s="234" t="e">
        <f>astrogrep_path&amp;" /e /r /s /spath="&amp;search_path&amp;" /stypes=""app*"&amp;MIA28&amp;"*"&amp;TEXT(MIH28-utc_offset/24,"YYYYMMDD")&amp;"*"" /stext="" "&amp;TEXT(MIH28-utc_offset/24,"HH")&amp;search_regexp&amp;""""</f>
        <v>#REF!</v>
      </c>
      <c r="MJF28" s="234" t="e">
        <f>astrogrep_path&amp;" /e /r /s /spath="&amp;search_path&amp;" /stypes=""app*"&amp;MIB28&amp;"*"&amp;TEXT(MII28-utc_offset/24,"YYYYMMDD")&amp;"*"" /stext="" "&amp;TEXT(MII28-utc_offset/24,"HH")&amp;search_regexp&amp;""""</f>
        <v>#REF!</v>
      </c>
      <c r="MJG28" s="234" t="e">
        <f>astrogrep_path&amp;" /e /r /s /spath="&amp;search_path&amp;" /stypes=""app*"&amp;MIC28&amp;"*"&amp;TEXT(MIJ28-utc_offset/24,"YYYYMMDD")&amp;"*"" /stext="" "&amp;TEXT(MIJ28-utc_offset/24,"HH")&amp;search_regexp&amp;""""</f>
        <v>#REF!</v>
      </c>
      <c r="MJH28" s="234" t="e">
        <f>astrogrep_path&amp;" /e /r /s /spath="&amp;search_path&amp;" /stypes=""app*"&amp;MID28&amp;"*"&amp;TEXT(MIK28-utc_offset/24,"YYYYMMDD")&amp;"*"" /stext="" "&amp;TEXT(MIK28-utc_offset/24,"HH")&amp;search_regexp&amp;""""</f>
        <v>#REF!</v>
      </c>
      <c r="MJI28" s="234" t="e">
        <f>astrogrep_path&amp;" /e /r /s /spath="&amp;search_path&amp;" /stypes=""app*"&amp;MIE28&amp;"*"&amp;TEXT(MIL28-utc_offset/24,"YYYYMMDD")&amp;"*"" /stext="" "&amp;TEXT(MIL28-utc_offset/24,"HH")&amp;search_regexp&amp;""""</f>
        <v>#REF!</v>
      </c>
      <c r="MJJ28" s="234" t="e">
        <f>astrogrep_path&amp;" /e /r /s /spath="&amp;search_path&amp;" /stypes=""app*"&amp;MIF28&amp;"*"&amp;TEXT(MIM28-utc_offset/24,"YYYYMMDD")&amp;"*"" /stext="" "&amp;TEXT(MIM28-utc_offset/24,"HH")&amp;search_regexp&amp;""""</f>
        <v>#REF!</v>
      </c>
      <c r="MJK28" s="234" t="e">
        <f>astrogrep_path&amp;" /e /r /s /spath="&amp;search_path&amp;" /stypes=""app*"&amp;MIG28&amp;"*"&amp;TEXT(MIN28-utc_offset/24,"YYYYMMDD")&amp;"*"" /stext="" "&amp;TEXT(MIN28-utc_offset/24,"HH")&amp;search_regexp&amp;""""</f>
        <v>#REF!</v>
      </c>
      <c r="MJL28" s="234" t="e">
        <f>astrogrep_path&amp;" /e /r /s /spath="&amp;search_path&amp;" /stypes=""app*"&amp;MIH28&amp;"*"&amp;TEXT(MIO28-utc_offset/24,"YYYYMMDD")&amp;"*"" /stext="" "&amp;TEXT(MIO28-utc_offset/24,"HH")&amp;search_regexp&amp;""""</f>
        <v>#REF!</v>
      </c>
      <c r="MJM28" s="234" t="e">
        <f>astrogrep_path&amp;" /e /r /s /spath="&amp;search_path&amp;" /stypes=""app*"&amp;MII28&amp;"*"&amp;TEXT(MIP28-utc_offset/24,"YYYYMMDD")&amp;"*"" /stext="" "&amp;TEXT(MIP28-utc_offset/24,"HH")&amp;search_regexp&amp;""""</f>
        <v>#VALUE!</v>
      </c>
      <c r="MJN28" s="234" t="e">
        <f>astrogrep_path&amp;" /e /r /s /spath="&amp;search_path&amp;" /stypes=""app*"&amp;MIJ28&amp;"*"&amp;TEXT(MIQ28-utc_offset/24,"YYYYMMDD")&amp;"*"" /stext="" "&amp;TEXT(MIQ28-utc_offset/24,"HH")&amp;search_regexp&amp;""""</f>
        <v>#VALUE!</v>
      </c>
      <c r="MJO28" s="234" t="e">
        <f>astrogrep_path&amp;" /e /r /s /spath="&amp;search_path&amp;" /stypes=""app*"&amp;MIK28&amp;"*"&amp;TEXT(MIR28-utc_offset/24,"YYYYMMDD")&amp;"*"" /stext="" "&amp;TEXT(MIR28-utc_offset/24,"HH")&amp;search_regexp&amp;""""</f>
        <v>#REF!</v>
      </c>
      <c r="MJP28" s="234" t="e">
        <f>astrogrep_path&amp;" /e /r /s /spath="&amp;search_path&amp;" /stypes=""app*"&amp;MIL28&amp;"*"&amp;TEXT(MIS28-utc_offset/24,"YYYYMMDD")&amp;"*"" /stext="" "&amp;TEXT(MIS28-utc_offset/24,"HH")&amp;search_regexp&amp;""""</f>
        <v>#REF!</v>
      </c>
      <c r="MJQ28" s="234" t="e">
        <f>astrogrep_path&amp;" /e /r /s /spath="&amp;search_path&amp;" /stypes=""app*"&amp;MIM28&amp;"*"&amp;TEXT(MIT28-utc_offset/24,"YYYYMMDD")&amp;"*"" /stext="" "&amp;TEXT(MIT28-utc_offset/24,"HH")&amp;search_regexp&amp;""""</f>
        <v>#VALUE!</v>
      </c>
      <c r="MJR28" s="234" t="e">
        <f>astrogrep_path&amp;" /e /r /s /spath="&amp;search_path&amp;" /stypes=""app*"&amp;MIN28&amp;"*"&amp;TEXT(MIU28-utc_offset/24,"YYYYMMDD")&amp;"*"" /stext="" "&amp;TEXT(MIU28-utc_offset/24,"HH")&amp;search_regexp&amp;""""</f>
        <v>#VALUE!</v>
      </c>
      <c r="MJS28" s="234" t="e">
        <f>astrogrep_path&amp;" /e /r /s /spath="&amp;search_path&amp;" /stypes=""app*"&amp;MIO28&amp;"*"&amp;TEXT(MIV28-utc_offset/24,"YYYYMMDD")&amp;"*"" /stext="" "&amp;TEXT(MIV28-utc_offset/24,"HH")&amp;search_regexp&amp;""""</f>
        <v>#VALUE!</v>
      </c>
      <c r="MJT28" s="234" t="e">
        <f>astrogrep_path&amp;" /e /r /s /spath="&amp;search_path&amp;" /stypes=""app*"&amp;MIP28&amp;"*"&amp;TEXT(MIW28-utc_offset/24,"YYYYMMDD")&amp;"*"" /stext="" "&amp;TEXT(MIW28-utc_offset/24,"HH")&amp;search_regexp&amp;""""</f>
        <v>#VALUE!</v>
      </c>
      <c r="MJU28" s="234" t="e">
        <f>astrogrep_path&amp;" /e /r /s /spath="&amp;search_path&amp;" /stypes=""app*"&amp;MIQ28&amp;"*"&amp;TEXT(MIX28-utc_offset/24,"YYYYMMDD")&amp;"*"" /stext="" "&amp;TEXT(MIX28-utc_offset/24,"HH")&amp;search_regexp&amp;""""</f>
        <v>#VALUE!</v>
      </c>
      <c r="MJV28" s="234" t="e">
        <f>astrogrep_path&amp;" /e /r /s /spath="&amp;search_path&amp;" /stypes=""app*"&amp;MIR28&amp;"*"&amp;TEXT(MIY28-utc_offset/24,"YYYYMMDD")&amp;"*"" /stext="" "&amp;TEXT(MIY28-utc_offset/24,"HH")&amp;search_regexp&amp;""""</f>
        <v>#REF!</v>
      </c>
      <c r="MJW28" s="234" t="e">
        <f>astrogrep_path&amp;" /e /r /s /spath="&amp;search_path&amp;" /stypes=""app*"&amp;MIS28&amp;"*"&amp;TEXT(MIZ28-utc_offset/24,"YYYYMMDD")&amp;"*"" /stext="" "&amp;TEXT(MIZ28-utc_offset/24,"HH")&amp;search_regexp&amp;""""</f>
        <v>#REF!</v>
      </c>
      <c r="MJX28" s="234" t="e">
        <f>astrogrep_path&amp;" /e /r /s /spath="&amp;search_path&amp;" /stypes=""app*"&amp;MIT28&amp;"*"&amp;TEXT(MJA28-utc_offset/24,"YYYYMMDD")&amp;"*"" /stext="" "&amp;TEXT(MJA28-utc_offset/24,"HH")&amp;search_regexp&amp;""""</f>
        <v>#REF!</v>
      </c>
      <c r="MJY28" s="234" t="e">
        <f>astrogrep_path&amp;" /e /r /s /spath="&amp;search_path&amp;" /stypes=""app*"&amp;MIU28&amp;"*"&amp;TEXT(MJB28-utc_offset/24,"YYYYMMDD")&amp;"*"" /stext="" "&amp;TEXT(MJB28-utc_offset/24,"HH")&amp;search_regexp&amp;""""</f>
        <v>#REF!</v>
      </c>
      <c r="MJZ28" s="234" t="e">
        <f>astrogrep_path&amp;" /e /r /s /spath="&amp;search_path&amp;" /stypes=""app*"&amp;MIV28&amp;"*"&amp;TEXT(MJC28-utc_offset/24,"YYYYMMDD")&amp;"*"" /stext="" "&amp;TEXT(MJC28-utc_offset/24,"HH")&amp;search_regexp&amp;""""</f>
        <v>#REF!</v>
      </c>
      <c r="MKA28" s="234" t="e">
        <f>astrogrep_path&amp;" /e /r /s /spath="&amp;search_path&amp;" /stypes=""app*"&amp;MIW28&amp;"*"&amp;TEXT(MJD28-utc_offset/24,"YYYYMMDD")&amp;"*"" /stext="" "&amp;TEXT(MJD28-utc_offset/24,"HH")&amp;search_regexp&amp;""""</f>
        <v>#REF!</v>
      </c>
      <c r="MKB28" s="234" t="e">
        <f>astrogrep_path&amp;" /e /r /s /spath="&amp;search_path&amp;" /stypes=""app*"&amp;MIX28&amp;"*"&amp;TEXT(MJE28-utc_offset/24,"YYYYMMDD")&amp;"*"" /stext="" "&amp;TEXT(MJE28-utc_offset/24,"HH")&amp;search_regexp&amp;""""</f>
        <v>#REF!</v>
      </c>
      <c r="MKC28" s="234" t="e">
        <f>astrogrep_path&amp;" /e /r /s /spath="&amp;search_path&amp;" /stypes=""app*"&amp;MIY28&amp;"*"&amp;TEXT(MJF28-utc_offset/24,"YYYYMMDD")&amp;"*"" /stext="" "&amp;TEXT(MJF28-utc_offset/24,"HH")&amp;search_regexp&amp;""""</f>
        <v>#REF!</v>
      </c>
      <c r="MKD28" s="234" t="e">
        <f>astrogrep_path&amp;" /e /r /s /spath="&amp;search_path&amp;" /stypes=""app*"&amp;MIZ28&amp;"*"&amp;TEXT(MJG28-utc_offset/24,"YYYYMMDD")&amp;"*"" /stext="" "&amp;TEXT(MJG28-utc_offset/24,"HH")&amp;search_regexp&amp;""""</f>
        <v>#REF!</v>
      </c>
      <c r="MKE28" s="234" t="e">
        <f>astrogrep_path&amp;" /e /r /s /spath="&amp;search_path&amp;" /stypes=""app*"&amp;MJA28&amp;"*"&amp;TEXT(MJH28-utc_offset/24,"YYYYMMDD")&amp;"*"" /stext="" "&amp;TEXT(MJH28-utc_offset/24,"HH")&amp;search_regexp&amp;""""</f>
        <v>#REF!</v>
      </c>
      <c r="MKF28" s="234" t="e">
        <f>astrogrep_path&amp;" /e /r /s /spath="&amp;search_path&amp;" /stypes=""app*"&amp;MJB28&amp;"*"&amp;TEXT(MJI28-utc_offset/24,"YYYYMMDD")&amp;"*"" /stext="" "&amp;TEXT(MJI28-utc_offset/24,"HH")&amp;search_regexp&amp;""""</f>
        <v>#REF!</v>
      </c>
      <c r="MKG28" s="234" t="e">
        <f>astrogrep_path&amp;" /e /r /s /spath="&amp;search_path&amp;" /stypes=""app*"&amp;MJC28&amp;"*"&amp;TEXT(MJJ28-utc_offset/24,"YYYYMMDD")&amp;"*"" /stext="" "&amp;TEXT(MJJ28-utc_offset/24,"HH")&amp;search_regexp&amp;""""</f>
        <v>#REF!</v>
      </c>
      <c r="MKH28" s="234" t="e">
        <f>astrogrep_path&amp;" /e /r /s /spath="&amp;search_path&amp;" /stypes=""app*"&amp;MJD28&amp;"*"&amp;TEXT(MJK28-utc_offset/24,"YYYYMMDD")&amp;"*"" /stext="" "&amp;TEXT(MJK28-utc_offset/24,"HH")&amp;search_regexp&amp;""""</f>
        <v>#REF!</v>
      </c>
      <c r="MKI28" s="234" t="e">
        <f>astrogrep_path&amp;" /e /r /s /spath="&amp;search_path&amp;" /stypes=""app*"&amp;MJE28&amp;"*"&amp;TEXT(MJL28-utc_offset/24,"YYYYMMDD")&amp;"*"" /stext="" "&amp;TEXT(MJL28-utc_offset/24,"HH")&amp;search_regexp&amp;""""</f>
        <v>#REF!</v>
      </c>
      <c r="MKJ28" s="234" t="e">
        <f>astrogrep_path&amp;" /e /r /s /spath="&amp;search_path&amp;" /stypes=""app*"&amp;MJF28&amp;"*"&amp;TEXT(MJM28-utc_offset/24,"YYYYMMDD")&amp;"*"" /stext="" "&amp;TEXT(MJM28-utc_offset/24,"HH")&amp;search_regexp&amp;""""</f>
        <v>#REF!</v>
      </c>
      <c r="MKK28" s="234" t="e">
        <f>astrogrep_path&amp;" /e /r /s /spath="&amp;search_path&amp;" /stypes=""app*"&amp;MJG28&amp;"*"&amp;TEXT(MJN28-utc_offset/24,"YYYYMMDD")&amp;"*"" /stext="" "&amp;TEXT(MJN28-utc_offset/24,"HH")&amp;search_regexp&amp;""""</f>
        <v>#REF!</v>
      </c>
      <c r="MKL28" s="234" t="e">
        <f>astrogrep_path&amp;" /e /r /s /spath="&amp;search_path&amp;" /stypes=""app*"&amp;MJH28&amp;"*"&amp;TEXT(MJO28-utc_offset/24,"YYYYMMDD")&amp;"*"" /stext="" "&amp;TEXT(MJO28-utc_offset/24,"HH")&amp;search_regexp&amp;""""</f>
        <v>#REF!</v>
      </c>
      <c r="MKM28" s="234" t="e">
        <f>astrogrep_path&amp;" /e /r /s /spath="&amp;search_path&amp;" /stypes=""app*"&amp;MJI28&amp;"*"&amp;TEXT(MJP28-utc_offset/24,"YYYYMMDD")&amp;"*"" /stext="" "&amp;TEXT(MJP28-utc_offset/24,"HH")&amp;search_regexp&amp;""""</f>
        <v>#REF!</v>
      </c>
      <c r="MKN28" s="234" t="e">
        <f>astrogrep_path&amp;" /e /r /s /spath="&amp;search_path&amp;" /stypes=""app*"&amp;MJJ28&amp;"*"&amp;TEXT(MJQ28-utc_offset/24,"YYYYMMDD")&amp;"*"" /stext="" "&amp;TEXT(MJQ28-utc_offset/24,"HH")&amp;search_regexp&amp;""""</f>
        <v>#REF!</v>
      </c>
      <c r="MKO28" s="234" t="e">
        <f>astrogrep_path&amp;" /e /r /s /spath="&amp;search_path&amp;" /stypes=""app*"&amp;MJK28&amp;"*"&amp;TEXT(MJR28-utc_offset/24,"YYYYMMDD")&amp;"*"" /stext="" "&amp;TEXT(MJR28-utc_offset/24,"HH")&amp;search_regexp&amp;""""</f>
        <v>#REF!</v>
      </c>
      <c r="MKP28" s="234" t="e">
        <f>astrogrep_path&amp;" /e /r /s /spath="&amp;search_path&amp;" /stypes=""app*"&amp;MJL28&amp;"*"&amp;TEXT(MJS28-utc_offset/24,"YYYYMMDD")&amp;"*"" /stext="" "&amp;TEXT(MJS28-utc_offset/24,"HH")&amp;search_regexp&amp;""""</f>
        <v>#REF!</v>
      </c>
      <c r="MKQ28" s="234" t="e">
        <f>astrogrep_path&amp;" /e /r /s /spath="&amp;search_path&amp;" /stypes=""app*"&amp;MJM28&amp;"*"&amp;TEXT(MJT28-utc_offset/24,"YYYYMMDD")&amp;"*"" /stext="" "&amp;TEXT(MJT28-utc_offset/24,"HH")&amp;search_regexp&amp;""""</f>
        <v>#VALUE!</v>
      </c>
      <c r="MKR28" s="234" t="e">
        <f>astrogrep_path&amp;" /e /r /s /spath="&amp;search_path&amp;" /stypes=""app*"&amp;MJN28&amp;"*"&amp;TEXT(MJU28-utc_offset/24,"YYYYMMDD")&amp;"*"" /stext="" "&amp;TEXT(MJU28-utc_offset/24,"HH")&amp;search_regexp&amp;""""</f>
        <v>#VALUE!</v>
      </c>
      <c r="MKS28" s="234" t="e">
        <f>astrogrep_path&amp;" /e /r /s /spath="&amp;search_path&amp;" /stypes=""app*"&amp;MJO28&amp;"*"&amp;TEXT(MJV28-utc_offset/24,"YYYYMMDD")&amp;"*"" /stext="" "&amp;TEXT(MJV28-utc_offset/24,"HH")&amp;search_regexp&amp;""""</f>
        <v>#REF!</v>
      </c>
      <c r="MKT28" s="234" t="e">
        <f>astrogrep_path&amp;" /e /r /s /spath="&amp;search_path&amp;" /stypes=""app*"&amp;MJP28&amp;"*"&amp;TEXT(MJW28-utc_offset/24,"YYYYMMDD")&amp;"*"" /stext="" "&amp;TEXT(MJW28-utc_offset/24,"HH")&amp;search_regexp&amp;""""</f>
        <v>#REF!</v>
      </c>
      <c r="MKU28" s="234" t="e">
        <f>astrogrep_path&amp;" /e /r /s /spath="&amp;search_path&amp;" /stypes=""app*"&amp;MJQ28&amp;"*"&amp;TEXT(MJX28-utc_offset/24,"YYYYMMDD")&amp;"*"" /stext="" "&amp;TEXT(MJX28-utc_offset/24,"HH")&amp;search_regexp&amp;""""</f>
        <v>#VALUE!</v>
      </c>
      <c r="MKV28" s="234" t="e">
        <f>astrogrep_path&amp;" /e /r /s /spath="&amp;search_path&amp;" /stypes=""app*"&amp;MJR28&amp;"*"&amp;TEXT(MJY28-utc_offset/24,"YYYYMMDD")&amp;"*"" /stext="" "&amp;TEXT(MJY28-utc_offset/24,"HH")&amp;search_regexp&amp;""""</f>
        <v>#VALUE!</v>
      </c>
      <c r="MKW28" s="234" t="e">
        <f>astrogrep_path&amp;" /e /r /s /spath="&amp;search_path&amp;" /stypes=""app*"&amp;MJS28&amp;"*"&amp;TEXT(MJZ28-utc_offset/24,"YYYYMMDD")&amp;"*"" /stext="" "&amp;TEXT(MJZ28-utc_offset/24,"HH")&amp;search_regexp&amp;""""</f>
        <v>#VALUE!</v>
      </c>
      <c r="MKX28" s="234" t="e">
        <f>astrogrep_path&amp;" /e /r /s /spath="&amp;search_path&amp;" /stypes=""app*"&amp;MJT28&amp;"*"&amp;TEXT(MKA28-utc_offset/24,"YYYYMMDD")&amp;"*"" /stext="" "&amp;TEXT(MKA28-utc_offset/24,"HH")&amp;search_regexp&amp;""""</f>
        <v>#VALUE!</v>
      </c>
      <c r="MKY28" s="234" t="e">
        <f>astrogrep_path&amp;" /e /r /s /spath="&amp;search_path&amp;" /stypes=""app*"&amp;MJU28&amp;"*"&amp;TEXT(MKB28-utc_offset/24,"YYYYMMDD")&amp;"*"" /stext="" "&amp;TEXT(MKB28-utc_offset/24,"HH")&amp;search_regexp&amp;""""</f>
        <v>#VALUE!</v>
      </c>
      <c r="MKZ28" s="234" t="e">
        <f>astrogrep_path&amp;" /e /r /s /spath="&amp;search_path&amp;" /stypes=""app*"&amp;MJV28&amp;"*"&amp;TEXT(MKC28-utc_offset/24,"YYYYMMDD")&amp;"*"" /stext="" "&amp;TEXT(MKC28-utc_offset/24,"HH")&amp;search_regexp&amp;""""</f>
        <v>#REF!</v>
      </c>
      <c r="MLA28" s="234" t="e">
        <f>astrogrep_path&amp;" /e /r /s /spath="&amp;search_path&amp;" /stypes=""app*"&amp;MJW28&amp;"*"&amp;TEXT(MKD28-utc_offset/24,"YYYYMMDD")&amp;"*"" /stext="" "&amp;TEXT(MKD28-utc_offset/24,"HH")&amp;search_regexp&amp;""""</f>
        <v>#REF!</v>
      </c>
      <c r="MLB28" s="234" t="e">
        <f>astrogrep_path&amp;" /e /r /s /spath="&amp;search_path&amp;" /stypes=""app*"&amp;MJX28&amp;"*"&amp;TEXT(MKE28-utc_offset/24,"YYYYMMDD")&amp;"*"" /stext="" "&amp;TEXT(MKE28-utc_offset/24,"HH")&amp;search_regexp&amp;""""</f>
        <v>#REF!</v>
      </c>
      <c r="MLC28" s="234" t="e">
        <f>astrogrep_path&amp;" /e /r /s /spath="&amp;search_path&amp;" /stypes=""app*"&amp;MJY28&amp;"*"&amp;TEXT(MKF28-utc_offset/24,"YYYYMMDD")&amp;"*"" /stext="" "&amp;TEXT(MKF28-utc_offset/24,"HH")&amp;search_regexp&amp;""""</f>
        <v>#REF!</v>
      </c>
      <c r="MLD28" s="234" t="e">
        <f>astrogrep_path&amp;" /e /r /s /spath="&amp;search_path&amp;" /stypes=""app*"&amp;MJZ28&amp;"*"&amp;TEXT(MKG28-utc_offset/24,"YYYYMMDD")&amp;"*"" /stext="" "&amp;TEXT(MKG28-utc_offset/24,"HH")&amp;search_regexp&amp;""""</f>
        <v>#REF!</v>
      </c>
      <c r="MLE28" s="234" t="e">
        <f>astrogrep_path&amp;" /e /r /s /spath="&amp;search_path&amp;" /stypes=""app*"&amp;MKA28&amp;"*"&amp;TEXT(MKH28-utc_offset/24,"YYYYMMDD")&amp;"*"" /stext="" "&amp;TEXT(MKH28-utc_offset/24,"HH")&amp;search_regexp&amp;""""</f>
        <v>#REF!</v>
      </c>
      <c r="MLF28" s="234" t="e">
        <f>astrogrep_path&amp;" /e /r /s /spath="&amp;search_path&amp;" /stypes=""app*"&amp;MKB28&amp;"*"&amp;TEXT(MKI28-utc_offset/24,"YYYYMMDD")&amp;"*"" /stext="" "&amp;TEXT(MKI28-utc_offset/24,"HH")&amp;search_regexp&amp;""""</f>
        <v>#REF!</v>
      </c>
      <c r="MLG28" s="234" t="e">
        <f>astrogrep_path&amp;" /e /r /s /spath="&amp;search_path&amp;" /stypes=""app*"&amp;MKC28&amp;"*"&amp;TEXT(MKJ28-utc_offset/24,"YYYYMMDD")&amp;"*"" /stext="" "&amp;TEXT(MKJ28-utc_offset/24,"HH")&amp;search_regexp&amp;""""</f>
        <v>#REF!</v>
      </c>
      <c r="MLH28" s="234" t="e">
        <f>astrogrep_path&amp;" /e /r /s /spath="&amp;search_path&amp;" /stypes=""app*"&amp;MKD28&amp;"*"&amp;TEXT(MKK28-utc_offset/24,"YYYYMMDD")&amp;"*"" /stext="" "&amp;TEXT(MKK28-utc_offset/24,"HH")&amp;search_regexp&amp;""""</f>
        <v>#REF!</v>
      </c>
      <c r="MLI28" s="234" t="e">
        <f>astrogrep_path&amp;" /e /r /s /spath="&amp;search_path&amp;" /stypes=""app*"&amp;MKE28&amp;"*"&amp;TEXT(MKL28-utc_offset/24,"YYYYMMDD")&amp;"*"" /stext="" "&amp;TEXT(MKL28-utc_offset/24,"HH")&amp;search_regexp&amp;""""</f>
        <v>#REF!</v>
      </c>
      <c r="MLJ28" s="234" t="e">
        <f>astrogrep_path&amp;" /e /r /s /spath="&amp;search_path&amp;" /stypes=""app*"&amp;MKF28&amp;"*"&amp;TEXT(MKM28-utc_offset/24,"YYYYMMDD")&amp;"*"" /stext="" "&amp;TEXT(MKM28-utc_offset/24,"HH")&amp;search_regexp&amp;""""</f>
        <v>#REF!</v>
      </c>
      <c r="MLK28" s="234" t="e">
        <f>astrogrep_path&amp;" /e /r /s /spath="&amp;search_path&amp;" /stypes=""app*"&amp;MKG28&amp;"*"&amp;TEXT(MKN28-utc_offset/24,"YYYYMMDD")&amp;"*"" /stext="" "&amp;TEXT(MKN28-utc_offset/24,"HH")&amp;search_regexp&amp;""""</f>
        <v>#REF!</v>
      </c>
      <c r="MLL28" s="234" t="e">
        <f>astrogrep_path&amp;" /e /r /s /spath="&amp;search_path&amp;" /stypes=""app*"&amp;MKH28&amp;"*"&amp;TEXT(MKO28-utc_offset/24,"YYYYMMDD")&amp;"*"" /stext="" "&amp;TEXT(MKO28-utc_offset/24,"HH")&amp;search_regexp&amp;""""</f>
        <v>#REF!</v>
      </c>
      <c r="MLM28" s="234" t="e">
        <f>astrogrep_path&amp;" /e /r /s /spath="&amp;search_path&amp;" /stypes=""app*"&amp;MKI28&amp;"*"&amp;TEXT(MKP28-utc_offset/24,"YYYYMMDD")&amp;"*"" /stext="" "&amp;TEXT(MKP28-utc_offset/24,"HH")&amp;search_regexp&amp;""""</f>
        <v>#REF!</v>
      </c>
      <c r="MLN28" s="234" t="e">
        <f>astrogrep_path&amp;" /e /r /s /spath="&amp;search_path&amp;" /stypes=""app*"&amp;MKJ28&amp;"*"&amp;TEXT(MKQ28-utc_offset/24,"YYYYMMDD")&amp;"*"" /stext="" "&amp;TEXT(MKQ28-utc_offset/24,"HH")&amp;search_regexp&amp;""""</f>
        <v>#REF!</v>
      </c>
      <c r="MLO28" s="234" t="e">
        <f>astrogrep_path&amp;" /e /r /s /spath="&amp;search_path&amp;" /stypes=""app*"&amp;MKK28&amp;"*"&amp;TEXT(MKR28-utc_offset/24,"YYYYMMDD")&amp;"*"" /stext="" "&amp;TEXT(MKR28-utc_offset/24,"HH")&amp;search_regexp&amp;""""</f>
        <v>#REF!</v>
      </c>
      <c r="MLP28" s="234" t="e">
        <f>astrogrep_path&amp;" /e /r /s /spath="&amp;search_path&amp;" /stypes=""app*"&amp;MKL28&amp;"*"&amp;TEXT(MKS28-utc_offset/24,"YYYYMMDD")&amp;"*"" /stext="" "&amp;TEXT(MKS28-utc_offset/24,"HH")&amp;search_regexp&amp;""""</f>
        <v>#REF!</v>
      </c>
      <c r="MLQ28" s="234" t="e">
        <f>astrogrep_path&amp;" /e /r /s /spath="&amp;search_path&amp;" /stypes=""app*"&amp;MKM28&amp;"*"&amp;TEXT(MKT28-utc_offset/24,"YYYYMMDD")&amp;"*"" /stext="" "&amp;TEXT(MKT28-utc_offset/24,"HH")&amp;search_regexp&amp;""""</f>
        <v>#REF!</v>
      </c>
      <c r="MLR28" s="234" t="e">
        <f>astrogrep_path&amp;" /e /r /s /spath="&amp;search_path&amp;" /stypes=""app*"&amp;MKN28&amp;"*"&amp;TEXT(MKU28-utc_offset/24,"YYYYMMDD")&amp;"*"" /stext="" "&amp;TEXT(MKU28-utc_offset/24,"HH")&amp;search_regexp&amp;""""</f>
        <v>#REF!</v>
      </c>
      <c r="MLS28" s="234" t="e">
        <f>astrogrep_path&amp;" /e /r /s /spath="&amp;search_path&amp;" /stypes=""app*"&amp;MKO28&amp;"*"&amp;TEXT(MKV28-utc_offset/24,"YYYYMMDD")&amp;"*"" /stext="" "&amp;TEXT(MKV28-utc_offset/24,"HH")&amp;search_regexp&amp;""""</f>
        <v>#REF!</v>
      </c>
      <c r="MLT28" s="234" t="e">
        <f>astrogrep_path&amp;" /e /r /s /spath="&amp;search_path&amp;" /stypes=""app*"&amp;MKP28&amp;"*"&amp;TEXT(MKW28-utc_offset/24,"YYYYMMDD")&amp;"*"" /stext="" "&amp;TEXT(MKW28-utc_offset/24,"HH")&amp;search_regexp&amp;""""</f>
        <v>#REF!</v>
      </c>
      <c r="MLU28" s="234" t="e">
        <f>astrogrep_path&amp;" /e /r /s /spath="&amp;search_path&amp;" /stypes=""app*"&amp;MKQ28&amp;"*"&amp;TEXT(MKX28-utc_offset/24,"YYYYMMDD")&amp;"*"" /stext="" "&amp;TEXT(MKX28-utc_offset/24,"HH")&amp;search_regexp&amp;""""</f>
        <v>#VALUE!</v>
      </c>
      <c r="MLV28" s="234" t="e">
        <f>astrogrep_path&amp;" /e /r /s /spath="&amp;search_path&amp;" /stypes=""app*"&amp;MKR28&amp;"*"&amp;TEXT(MKY28-utc_offset/24,"YYYYMMDD")&amp;"*"" /stext="" "&amp;TEXT(MKY28-utc_offset/24,"HH")&amp;search_regexp&amp;""""</f>
        <v>#VALUE!</v>
      </c>
      <c r="MLW28" s="234" t="e">
        <f>astrogrep_path&amp;" /e /r /s /spath="&amp;search_path&amp;" /stypes=""app*"&amp;MKS28&amp;"*"&amp;TEXT(MKZ28-utc_offset/24,"YYYYMMDD")&amp;"*"" /stext="" "&amp;TEXT(MKZ28-utc_offset/24,"HH")&amp;search_regexp&amp;""""</f>
        <v>#REF!</v>
      </c>
      <c r="MLX28" s="234" t="e">
        <f>astrogrep_path&amp;" /e /r /s /spath="&amp;search_path&amp;" /stypes=""app*"&amp;MKT28&amp;"*"&amp;TEXT(MLA28-utc_offset/24,"YYYYMMDD")&amp;"*"" /stext="" "&amp;TEXT(MLA28-utc_offset/24,"HH")&amp;search_regexp&amp;""""</f>
        <v>#REF!</v>
      </c>
      <c r="MLY28" s="234" t="e">
        <f>astrogrep_path&amp;" /e /r /s /spath="&amp;search_path&amp;" /stypes=""app*"&amp;MKU28&amp;"*"&amp;TEXT(MLB28-utc_offset/24,"YYYYMMDD")&amp;"*"" /stext="" "&amp;TEXT(MLB28-utc_offset/24,"HH")&amp;search_regexp&amp;""""</f>
        <v>#VALUE!</v>
      </c>
      <c r="MLZ28" s="234" t="e">
        <f>astrogrep_path&amp;" /e /r /s /spath="&amp;search_path&amp;" /stypes=""app*"&amp;MKV28&amp;"*"&amp;TEXT(MLC28-utc_offset/24,"YYYYMMDD")&amp;"*"" /stext="" "&amp;TEXT(MLC28-utc_offset/24,"HH")&amp;search_regexp&amp;""""</f>
        <v>#VALUE!</v>
      </c>
      <c r="MMA28" s="234" t="e">
        <f>astrogrep_path&amp;" /e /r /s /spath="&amp;search_path&amp;" /stypes=""app*"&amp;MKW28&amp;"*"&amp;TEXT(MLD28-utc_offset/24,"YYYYMMDD")&amp;"*"" /stext="" "&amp;TEXT(MLD28-utc_offset/24,"HH")&amp;search_regexp&amp;""""</f>
        <v>#VALUE!</v>
      </c>
      <c r="MMB28" s="234" t="e">
        <f>astrogrep_path&amp;" /e /r /s /spath="&amp;search_path&amp;" /stypes=""app*"&amp;MKX28&amp;"*"&amp;TEXT(MLE28-utc_offset/24,"YYYYMMDD")&amp;"*"" /stext="" "&amp;TEXT(MLE28-utc_offset/24,"HH")&amp;search_regexp&amp;""""</f>
        <v>#VALUE!</v>
      </c>
      <c r="MMC28" s="234" t="e">
        <f>astrogrep_path&amp;" /e /r /s /spath="&amp;search_path&amp;" /stypes=""app*"&amp;MKY28&amp;"*"&amp;TEXT(MLF28-utc_offset/24,"YYYYMMDD")&amp;"*"" /stext="" "&amp;TEXT(MLF28-utc_offset/24,"HH")&amp;search_regexp&amp;""""</f>
        <v>#VALUE!</v>
      </c>
      <c r="MMD28" s="234" t="e">
        <f>astrogrep_path&amp;" /e /r /s /spath="&amp;search_path&amp;" /stypes=""app*"&amp;MKZ28&amp;"*"&amp;TEXT(MLG28-utc_offset/24,"YYYYMMDD")&amp;"*"" /stext="" "&amp;TEXT(MLG28-utc_offset/24,"HH")&amp;search_regexp&amp;""""</f>
        <v>#REF!</v>
      </c>
      <c r="MME28" s="234" t="e">
        <f>astrogrep_path&amp;" /e /r /s /spath="&amp;search_path&amp;" /stypes=""app*"&amp;MLA28&amp;"*"&amp;TEXT(MLH28-utc_offset/24,"YYYYMMDD")&amp;"*"" /stext="" "&amp;TEXT(MLH28-utc_offset/24,"HH")&amp;search_regexp&amp;""""</f>
        <v>#REF!</v>
      </c>
      <c r="MMF28" s="234" t="e">
        <f>astrogrep_path&amp;" /e /r /s /spath="&amp;search_path&amp;" /stypes=""app*"&amp;MLB28&amp;"*"&amp;TEXT(MLI28-utc_offset/24,"YYYYMMDD")&amp;"*"" /stext="" "&amp;TEXT(MLI28-utc_offset/24,"HH")&amp;search_regexp&amp;""""</f>
        <v>#REF!</v>
      </c>
      <c r="MMG28" s="234" t="e">
        <f>astrogrep_path&amp;" /e /r /s /spath="&amp;search_path&amp;" /stypes=""app*"&amp;MLC28&amp;"*"&amp;TEXT(MLJ28-utc_offset/24,"YYYYMMDD")&amp;"*"" /stext="" "&amp;TEXT(MLJ28-utc_offset/24,"HH")&amp;search_regexp&amp;""""</f>
        <v>#REF!</v>
      </c>
      <c r="MMH28" s="234" t="e">
        <f>astrogrep_path&amp;" /e /r /s /spath="&amp;search_path&amp;" /stypes=""app*"&amp;MLD28&amp;"*"&amp;TEXT(MLK28-utc_offset/24,"YYYYMMDD")&amp;"*"" /stext="" "&amp;TEXT(MLK28-utc_offset/24,"HH")&amp;search_regexp&amp;""""</f>
        <v>#REF!</v>
      </c>
      <c r="MMI28" s="234" t="e">
        <f>astrogrep_path&amp;" /e /r /s /spath="&amp;search_path&amp;" /stypes=""app*"&amp;MLE28&amp;"*"&amp;TEXT(MLL28-utc_offset/24,"YYYYMMDD")&amp;"*"" /stext="" "&amp;TEXT(MLL28-utc_offset/24,"HH")&amp;search_regexp&amp;""""</f>
        <v>#REF!</v>
      </c>
      <c r="MMJ28" s="234" t="e">
        <f>astrogrep_path&amp;" /e /r /s /spath="&amp;search_path&amp;" /stypes=""app*"&amp;MLF28&amp;"*"&amp;TEXT(MLM28-utc_offset/24,"YYYYMMDD")&amp;"*"" /stext="" "&amp;TEXT(MLM28-utc_offset/24,"HH")&amp;search_regexp&amp;""""</f>
        <v>#REF!</v>
      </c>
      <c r="MMK28" s="234" t="e">
        <f>astrogrep_path&amp;" /e /r /s /spath="&amp;search_path&amp;" /stypes=""app*"&amp;MLG28&amp;"*"&amp;TEXT(MLN28-utc_offset/24,"YYYYMMDD")&amp;"*"" /stext="" "&amp;TEXT(MLN28-utc_offset/24,"HH")&amp;search_regexp&amp;""""</f>
        <v>#REF!</v>
      </c>
      <c r="MML28" s="234" t="e">
        <f>astrogrep_path&amp;" /e /r /s /spath="&amp;search_path&amp;" /stypes=""app*"&amp;MLH28&amp;"*"&amp;TEXT(MLO28-utc_offset/24,"YYYYMMDD")&amp;"*"" /stext="" "&amp;TEXT(MLO28-utc_offset/24,"HH")&amp;search_regexp&amp;""""</f>
        <v>#REF!</v>
      </c>
      <c r="MMM28" s="234" t="e">
        <f>astrogrep_path&amp;" /e /r /s /spath="&amp;search_path&amp;" /stypes=""app*"&amp;MLI28&amp;"*"&amp;TEXT(MLP28-utc_offset/24,"YYYYMMDD")&amp;"*"" /stext="" "&amp;TEXT(MLP28-utc_offset/24,"HH")&amp;search_regexp&amp;""""</f>
        <v>#REF!</v>
      </c>
      <c r="MMN28" s="234" t="e">
        <f>astrogrep_path&amp;" /e /r /s /spath="&amp;search_path&amp;" /stypes=""app*"&amp;MLJ28&amp;"*"&amp;TEXT(MLQ28-utc_offset/24,"YYYYMMDD")&amp;"*"" /stext="" "&amp;TEXT(MLQ28-utc_offset/24,"HH")&amp;search_regexp&amp;""""</f>
        <v>#REF!</v>
      </c>
      <c r="MMO28" s="234" t="e">
        <f>astrogrep_path&amp;" /e /r /s /spath="&amp;search_path&amp;" /stypes=""app*"&amp;MLK28&amp;"*"&amp;TEXT(MLR28-utc_offset/24,"YYYYMMDD")&amp;"*"" /stext="" "&amp;TEXT(MLR28-utc_offset/24,"HH")&amp;search_regexp&amp;""""</f>
        <v>#REF!</v>
      </c>
      <c r="MMP28" s="234" t="e">
        <f>astrogrep_path&amp;" /e /r /s /spath="&amp;search_path&amp;" /stypes=""app*"&amp;MLL28&amp;"*"&amp;TEXT(MLS28-utc_offset/24,"YYYYMMDD")&amp;"*"" /stext="" "&amp;TEXT(MLS28-utc_offset/24,"HH")&amp;search_regexp&amp;""""</f>
        <v>#REF!</v>
      </c>
      <c r="MMQ28" s="234" t="e">
        <f>astrogrep_path&amp;" /e /r /s /spath="&amp;search_path&amp;" /stypes=""app*"&amp;MLM28&amp;"*"&amp;TEXT(MLT28-utc_offset/24,"YYYYMMDD")&amp;"*"" /stext="" "&amp;TEXT(MLT28-utc_offset/24,"HH")&amp;search_regexp&amp;""""</f>
        <v>#REF!</v>
      </c>
      <c r="MMR28" s="234" t="e">
        <f>astrogrep_path&amp;" /e /r /s /spath="&amp;search_path&amp;" /stypes=""app*"&amp;MLN28&amp;"*"&amp;TEXT(MLU28-utc_offset/24,"YYYYMMDD")&amp;"*"" /stext="" "&amp;TEXT(MLU28-utc_offset/24,"HH")&amp;search_regexp&amp;""""</f>
        <v>#REF!</v>
      </c>
      <c r="MMS28" s="234" t="e">
        <f>astrogrep_path&amp;" /e /r /s /spath="&amp;search_path&amp;" /stypes=""app*"&amp;MLO28&amp;"*"&amp;TEXT(MLV28-utc_offset/24,"YYYYMMDD")&amp;"*"" /stext="" "&amp;TEXT(MLV28-utc_offset/24,"HH")&amp;search_regexp&amp;""""</f>
        <v>#REF!</v>
      </c>
      <c r="MMT28" s="234" t="e">
        <f>astrogrep_path&amp;" /e /r /s /spath="&amp;search_path&amp;" /stypes=""app*"&amp;MLP28&amp;"*"&amp;TEXT(MLW28-utc_offset/24,"YYYYMMDD")&amp;"*"" /stext="" "&amp;TEXT(MLW28-utc_offset/24,"HH")&amp;search_regexp&amp;""""</f>
        <v>#REF!</v>
      </c>
      <c r="MMU28" s="234" t="e">
        <f>astrogrep_path&amp;" /e /r /s /spath="&amp;search_path&amp;" /stypes=""app*"&amp;MLQ28&amp;"*"&amp;TEXT(MLX28-utc_offset/24,"YYYYMMDD")&amp;"*"" /stext="" "&amp;TEXT(MLX28-utc_offset/24,"HH")&amp;search_regexp&amp;""""</f>
        <v>#REF!</v>
      </c>
      <c r="MMV28" s="234" t="e">
        <f>astrogrep_path&amp;" /e /r /s /spath="&amp;search_path&amp;" /stypes=""app*"&amp;MLR28&amp;"*"&amp;TEXT(MLY28-utc_offset/24,"YYYYMMDD")&amp;"*"" /stext="" "&amp;TEXT(MLY28-utc_offset/24,"HH")&amp;search_regexp&amp;""""</f>
        <v>#REF!</v>
      </c>
      <c r="MMW28" s="234" t="e">
        <f>astrogrep_path&amp;" /e /r /s /spath="&amp;search_path&amp;" /stypes=""app*"&amp;MLS28&amp;"*"&amp;TEXT(MLZ28-utc_offset/24,"YYYYMMDD")&amp;"*"" /stext="" "&amp;TEXT(MLZ28-utc_offset/24,"HH")&amp;search_regexp&amp;""""</f>
        <v>#REF!</v>
      </c>
      <c r="MMX28" s="234" t="e">
        <f>astrogrep_path&amp;" /e /r /s /spath="&amp;search_path&amp;" /stypes=""app*"&amp;MLT28&amp;"*"&amp;TEXT(MMA28-utc_offset/24,"YYYYMMDD")&amp;"*"" /stext="" "&amp;TEXT(MMA28-utc_offset/24,"HH")&amp;search_regexp&amp;""""</f>
        <v>#REF!</v>
      </c>
      <c r="MMY28" s="234" t="e">
        <f>astrogrep_path&amp;" /e /r /s /spath="&amp;search_path&amp;" /stypes=""app*"&amp;MLU28&amp;"*"&amp;TEXT(MMB28-utc_offset/24,"YYYYMMDD")&amp;"*"" /stext="" "&amp;TEXT(MMB28-utc_offset/24,"HH")&amp;search_regexp&amp;""""</f>
        <v>#VALUE!</v>
      </c>
      <c r="MMZ28" s="234" t="e">
        <f>astrogrep_path&amp;" /e /r /s /spath="&amp;search_path&amp;" /stypes=""app*"&amp;MLV28&amp;"*"&amp;TEXT(MMC28-utc_offset/24,"YYYYMMDD")&amp;"*"" /stext="" "&amp;TEXT(MMC28-utc_offset/24,"HH")&amp;search_regexp&amp;""""</f>
        <v>#VALUE!</v>
      </c>
      <c r="MNA28" s="234" t="e">
        <f>astrogrep_path&amp;" /e /r /s /spath="&amp;search_path&amp;" /stypes=""app*"&amp;MLW28&amp;"*"&amp;TEXT(MMD28-utc_offset/24,"YYYYMMDD")&amp;"*"" /stext="" "&amp;TEXT(MMD28-utc_offset/24,"HH")&amp;search_regexp&amp;""""</f>
        <v>#REF!</v>
      </c>
      <c r="MNB28" s="234" t="e">
        <f>astrogrep_path&amp;" /e /r /s /spath="&amp;search_path&amp;" /stypes=""app*"&amp;MLX28&amp;"*"&amp;TEXT(MME28-utc_offset/24,"YYYYMMDD")&amp;"*"" /stext="" "&amp;TEXT(MME28-utc_offset/24,"HH")&amp;search_regexp&amp;""""</f>
        <v>#REF!</v>
      </c>
      <c r="MNC28" s="234" t="e">
        <f>astrogrep_path&amp;" /e /r /s /spath="&amp;search_path&amp;" /stypes=""app*"&amp;MLY28&amp;"*"&amp;TEXT(MMF28-utc_offset/24,"YYYYMMDD")&amp;"*"" /stext="" "&amp;TEXT(MMF28-utc_offset/24,"HH")&amp;search_regexp&amp;""""</f>
        <v>#VALUE!</v>
      </c>
      <c r="MND28" s="234" t="e">
        <f>astrogrep_path&amp;" /e /r /s /spath="&amp;search_path&amp;" /stypes=""app*"&amp;MLZ28&amp;"*"&amp;TEXT(MMG28-utc_offset/24,"YYYYMMDD")&amp;"*"" /stext="" "&amp;TEXT(MMG28-utc_offset/24,"HH")&amp;search_regexp&amp;""""</f>
        <v>#VALUE!</v>
      </c>
      <c r="MNE28" s="234" t="e">
        <f>astrogrep_path&amp;" /e /r /s /spath="&amp;search_path&amp;" /stypes=""app*"&amp;MMA28&amp;"*"&amp;TEXT(MMH28-utc_offset/24,"YYYYMMDD")&amp;"*"" /stext="" "&amp;TEXT(MMH28-utc_offset/24,"HH")&amp;search_regexp&amp;""""</f>
        <v>#VALUE!</v>
      </c>
      <c r="MNF28" s="234" t="e">
        <f>astrogrep_path&amp;" /e /r /s /spath="&amp;search_path&amp;" /stypes=""app*"&amp;MMB28&amp;"*"&amp;TEXT(MMI28-utc_offset/24,"YYYYMMDD")&amp;"*"" /stext="" "&amp;TEXT(MMI28-utc_offset/24,"HH")&amp;search_regexp&amp;""""</f>
        <v>#VALUE!</v>
      </c>
      <c r="MNG28" s="234" t="e">
        <f>astrogrep_path&amp;" /e /r /s /spath="&amp;search_path&amp;" /stypes=""app*"&amp;MMC28&amp;"*"&amp;TEXT(MMJ28-utc_offset/24,"YYYYMMDD")&amp;"*"" /stext="" "&amp;TEXT(MMJ28-utc_offset/24,"HH")&amp;search_regexp&amp;""""</f>
        <v>#VALUE!</v>
      </c>
      <c r="MNH28" s="234" t="e">
        <f>astrogrep_path&amp;" /e /r /s /spath="&amp;search_path&amp;" /stypes=""app*"&amp;MMD28&amp;"*"&amp;TEXT(MMK28-utc_offset/24,"YYYYMMDD")&amp;"*"" /stext="" "&amp;TEXT(MMK28-utc_offset/24,"HH")&amp;search_regexp&amp;""""</f>
        <v>#REF!</v>
      </c>
      <c r="MNI28" s="234" t="e">
        <f>astrogrep_path&amp;" /e /r /s /spath="&amp;search_path&amp;" /stypes=""app*"&amp;MME28&amp;"*"&amp;TEXT(MML28-utc_offset/24,"YYYYMMDD")&amp;"*"" /stext="" "&amp;TEXT(MML28-utc_offset/24,"HH")&amp;search_regexp&amp;""""</f>
        <v>#REF!</v>
      </c>
      <c r="MNJ28" s="234" t="e">
        <f>astrogrep_path&amp;" /e /r /s /spath="&amp;search_path&amp;" /stypes=""app*"&amp;MMF28&amp;"*"&amp;TEXT(MMM28-utc_offset/24,"YYYYMMDD")&amp;"*"" /stext="" "&amp;TEXT(MMM28-utc_offset/24,"HH")&amp;search_regexp&amp;""""</f>
        <v>#REF!</v>
      </c>
      <c r="MNK28" s="234" t="e">
        <f>astrogrep_path&amp;" /e /r /s /spath="&amp;search_path&amp;" /stypes=""app*"&amp;MMG28&amp;"*"&amp;TEXT(MMN28-utc_offset/24,"YYYYMMDD")&amp;"*"" /stext="" "&amp;TEXT(MMN28-utc_offset/24,"HH")&amp;search_regexp&amp;""""</f>
        <v>#REF!</v>
      </c>
      <c r="MNL28" s="234" t="e">
        <f>astrogrep_path&amp;" /e /r /s /spath="&amp;search_path&amp;" /stypes=""app*"&amp;MMH28&amp;"*"&amp;TEXT(MMO28-utc_offset/24,"YYYYMMDD")&amp;"*"" /stext="" "&amp;TEXT(MMO28-utc_offset/24,"HH")&amp;search_regexp&amp;""""</f>
        <v>#REF!</v>
      </c>
      <c r="MNM28" s="234" t="e">
        <f>astrogrep_path&amp;" /e /r /s /spath="&amp;search_path&amp;" /stypes=""app*"&amp;MMI28&amp;"*"&amp;TEXT(MMP28-utc_offset/24,"YYYYMMDD")&amp;"*"" /stext="" "&amp;TEXT(MMP28-utc_offset/24,"HH")&amp;search_regexp&amp;""""</f>
        <v>#REF!</v>
      </c>
      <c r="MNN28" s="234" t="e">
        <f>astrogrep_path&amp;" /e /r /s /spath="&amp;search_path&amp;" /stypes=""app*"&amp;MMJ28&amp;"*"&amp;TEXT(MMQ28-utc_offset/24,"YYYYMMDD")&amp;"*"" /stext="" "&amp;TEXT(MMQ28-utc_offset/24,"HH")&amp;search_regexp&amp;""""</f>
        <v>#REF!</v>
      </c>
      <c r="MNO28" s="234" t="e">
        <f>astrogrep_path&amp;" /e /r /s /spath="&amp;search_path&amp;" /stypes=""app*"&amp;MMK28&amp;"*"&amp;TEXT(MMR28-utc_offset/24,"YYYYMMDD")&amp;"*"" /stext="" "&amp;TEXT(MMR28-utc_offset/24,"HH")&amp;search_regexp&amp;""""</f>
        <v>#REF!</v>
      </c>
      <c r="MNP28" s="234" t="e">
        <f>astrogrep_path&amp;" /e /r /s /spath="&amp;search_path&amp;" /stypes=""app*"&amp;MML28&amp;"*"&amp;TEXT(MMS28-utc_offset/24,"YYYYMMDD")&amp;"*"" /stext="" "&amp;TEXT(MMS28-utc_offset/24,"HH")&amp;search_regexp&amp;""""</f>
        <v>#REF!</v>
      </c>
      <c r="MNQ28" s="234" t="e">
        <f>astrogrep_path&amp;" /e /r /s /spath="&amp;search_path&amp;" /stypes=""app*"&amp;MMM28&amp;"*"&amp;TEXT(MMT28-utc_offset/24,"YYYYMMDD")&amp;"*"" /stext="" "&amp;TEXT(MMT28-utc_offset/24,"HH")&amp;search_regexp&amp;""""</f>
        <v>#REF!</v>
      </c>
      <c r="MNR28" s="234" t="e">
        <f>astrogrep_path&amp;" /e /r /s /spath="&amp;search_path&amp;" /stypes=""app*"&amp;MMN28&amp;"*"&amp;TEXT(MMU28-utc_offset/24,"YYYYMMDD")&amp;"*"" /stext="" "&amp;TEXT(MMU28-utc_offset/24,"HH")&amp;search_regexp&amp;""""</f>
        <v>#REF!</v>
      </c>
      <c r="MNS28" s="234" t="e">
        <f>astrogrep_path&amp;" /e /r /s /spath="&amp;search_path&amp;" /stypes=""app*"&amp;MMO28&amp;"*"&amp;TEXT(MMV28-utc_offset/24,"YYYYMMDD")&amp;"*"" /stext="" "&amp;TEXT(MMV28-utc_offset/24,"HH")&amp;search_regexp&amp;""""</f>
        <v>#REF!</v>
      </c>
      <c r="MNT28" s="234" t="e">
        <f>astrogrep_path&amp;" /e /r /s /spath="&amp;search_path&amp;" /stypes=""app*"&amp;MMP28&amp;"*"&amp;TEXT(MMW28-utc_offset/24,"YYYYMMDD")&amp;"*"" /stext="" "&amp;TEXT(MMW28-utc_offset/24,"HH")&amp;search_regexp&amp;""""</f>
        <v>#REF!</v>
      </c>
      <c r="MNU28" s="234" t="e">
        <f>astrogrep_path&amp;" /e /r /s /spath="&amp;search_path&amp;" /stypes=""app*"&amp;MMQ28&amp;"*"&amp;TEXT(MMX28-utc_offset/24,"YYYYMMDD")&amp;"*"" /stext="" "&amp;TEXT(MMX28-utc_offset/24,"HH")&amp;search_regexp&amp;""""</f>
        <v>#REF!</v>
      </c>
      <c r="MNV28" s="234" t="e">
        <f>astrogrep_path&amp;" /e /r /s /spath="&amp;search_path&amp;" /stypes=""app*"&amp;MMR28&amp;"*"&amp;TEXT(MMY28-utc_offset/24,"YYYYMMDD")&amp;"*"" /stext="" "&amp;TEXT(MMY28-utc_offset/24,"HH")&amp;search_regexp&amp;""""</f>
        <v>#REF!</v>
      </c>
      <c r="MNW28" s="234" t="e">
        <f>astrogrep_path&amp;" /e /r /s /spath="&amp;search_path&amp;" /stypes=""app*"&amp;MMS28&amp;"*"&amp;TEXT(MMZ28-utc_offset/24,"YYYYMMDD")&amp;"*"" /stext="" "&amp;TEXT(MMZ28-utc_offset/24,"HH")&amp;search_regexp&amp;""""</f>
        <v>#REF!</v>
      </c>
      <c r="MNX28" s="234" t="e">
        <f>astrogrep_path&amp;" /e /r /s /spath="&amp;search_path&amp;" /stypes=""app*"&amp;MMT28&amp;"*"&amp;TEXT(MNA28-utc_offset/24,"YYYYMMDD")&amp;"*"" /stext="" "&amp;TEXT(MNA28-utc_offset/24,"HH")&amp;search_regexp&amp;""""</f>
        <v>#REF!</v>
      </c>
      <c r="MNY28" s="234" t="e">
        <f>astrogrep_path&amp;" /e /r /s /spath="&amp;search_path&amp;" /stypes=""app*"&amp;MMU28&amp;"*"&amp;TEXT(MNB28-utc_offset/24,"YYYYMMDD")&amp;"*"" /stext="" "&amp;TEXT(MNB28-utc_offset/24,"HH")&amp;search_regexp&amp;""""</f>
        <v>#REF!</v>
      </c>
      <c r="MNZ28" s="234" t="e">
        <f>astrogrep_path&amp;" /e /r /s /spath="&amp;search_path&amp;" /stypes=""app*"&amp;MMV28&amp;"*"&amp;TEXT(MNC28-utc_offset/24,"YYYYMMDD")&amp;"*"" /stext="" "&amp;TEXT(MNC28-utc_offset/24,"HH")&amp;search_regexp&amp;""""</f>
        <v>#REF!</v>
      </c>
      <c r="MOA28" s="234" t="e">
        <f>astrogrep_path&amp;" /e /r /s /spath="&amp;search_path&amp;" /stypes=""app*"&amp;MMW28&amp;"*"&amp;TEXT(MND28-utc_offset/24,"YYYYMMDD")&amp;"*"" /stext="" "&amp;TEXT(MND28-utc_offset/24,"HH")&amp;search_regexp&amp;""""</f>
        <v>#REF!</v>
      </c>
      <c r="MOB28" s="234" t="e">
        <f>astrogrep_path&amp;" /e /r /s /spath="&amp;search_path&amp;" /stypes=""app*"&amp;MMX28&amp;"*"&amp;TEXT(MNE28-utc_offset/24,"YYYYMMDD")&amp;"*"" /stext="" "&amp;TEXT(MNE28-utc_offset/24,"HH")&amp;search_regexp&amp;""""</f>
        <v>#REF!</v>
      </c>
      <c r="MOC28" s="234" t="e">
        <f>astrogrep_path&amp;" /e /r /s /spath="&amp;search_path&amp;" /stypes=""app*"&amp;MMY28&amp;"*"&amp;TEXT(MNF28-utc_offset/24,"YYYYMMDD")&amp;"*"" /stext="" "&amp;TEXT(MNF28-utc_offset/24,"HH")&amp;search_regexp&amp;""""</f>
        <v>#VALUE!</v>
      </c>
      <c r="MOD28" s="234" t="e">
        <f>astrogrep_path&amp;" /e /r /s /spath="&amp;search_path&amp;" /stypes=""app*"&amp;MMZ28&amp;"*"&amp;TEXT(MNG28-utc_offset/24,"YYYYMMDD")&amp;"*"" /stext="" "&amp;TEXT(MNG28-utc_offset/24,"HH")&amp;search_regexp&amp;""""</f>
        <v>#VALUE!</v>
      </c>
      <c r="MOE28" s="234" t="e">
        <f>astrogrep_path&amp;" /e /r /s /spath="&amp;search_path&amp;" /stypes=""app*"&amp;MNA28&amp;"*"&amp;TEXT(MNH28-utc_offset/24,"YYYYMMDD")&amp;"*"" /stext="" "&amp;TEXT(MNH28-utc_offset/24,"HH")&amp;search_regexp&amp;""""</f>
        <v>#REF!</v>
      </c>
      <c r="MOF28" s="234" t="e">
        <f>astrogrep_path&amp;" /e /r /s /spath="&amp;search_path&amp;" /stypes=""app*"&amp;MNB28&amp;"*"&amp;TEXT(MNI28-utc_offset/24,"YYYYMMDD")&amp;"*"" /stext="" "&amp;TEXT(MNI28-utc_offset/24,"HH")&amp;search_regexp&amp;""""</f>
        <v>#REF!</v>
      </c>
      <c r="MOG28" s="234" t="e">
        <f>astrogrep_path&amp;" /e /r /s /spath="&amp;search_path&amp;" /stypes=""app*"&amp;MNC28&amp;"*"&amp;TEXT(MNJ28-utc_offset/24,"YYYYMMDD")&amp;"*"" /stext="" "&amp;TEXT(MNJ28-utc_offset/24,"HH")&amp;search_regexp&amp;""""</f>
        <v>#VALUE!</v>
      </c>
      <c r="MOH28" s="234" t="e">
        <f>astrogrep_path&amp;" /e /r /s /spath="&amp;search_path&amp;" /stypes=""app*"&amp;MND28&amp;"*"&amp;TEXT(MNK28-utc_offset/24,"YYYYMMDD")&amp;"*"" /stext="" "&amp;TEXT(MNK28-utc_offset/24,"HH")&amp;search_regexp&amp;""""</f>
        <v>#VALUE!</v>
      </c>
      <c r="MOI28" s="234" t="e">
        <f>astrogrep_path&amp;" /e /r /s /spath="&amp;search_path&amp;" /stypes=""app*"&amp;MNE28&amp;"*"&amp;TEXT(MNL28-utc_offset/24,"YYYYMMDD")&amp;"*"" /stext="" "&amp;TEXT(MNL28-utc_offset/24,"HH")&amp;search_regexp&amp;""""</f>
        <v>#VALUE!</v>
      </c>
      <c r="MOJ28" s="234" t="e">
        <f>astrogrep_path&amp;" /e /r /s /spath="&amp;search_path&amp;" /stypes=""app*"&amp;MNF28&amp;"*"&amp;TEXT(MNM28-utc_offset/24,"YYYYMMDD")&amp;"*"" /stext="" "&amp;TEXT(MNM28-utc_offset/24,"HH")&amp;search_regexp&amp;""""</f>
        <v>#VALUE!</v>
      </c>
      <c r="MOK28" s="234" t="e">
        <f>astrogrep_path&amp;" /e /r /s /spath="&amp;search_path&amp;" /stypes=""app*"&amp;MNG28&amp;"*"&amp;TEXT(MNN28-utc_offset/24,"YYYYMMDD")&amp;"*"" /stext="" "&amp;TEXT(MNN28-utc_offset/24,"HH")&amp;search_regexp&amp;""""</f>
        <v>#VALUE!</v>
      </c>
      <c r="MOL28" s="234" t="e">
        <f>astrogrep_path&amp;" /e /r /s /spath="&amp;search_path&amp;" /stypes=""app*"&amp;MNH28&amp;"*"&amp;TEXT(MNO28-utc_offset/24,"YYYYMMDD")&amp;"*"" /stext="" "&amp;TEXT(MNO28-utc_offset/24,"HH")&amp;search_regexp&amp;""""</f>
        <v>#REF!</v>
      </c>
      <c r="MOM28" s="234" t="e">
        <f>astrogrep_path&amp;" /e /r /s /spath="&amp;search_path&amp;" /stypes=""app*"&amp;MNI28&amp;"*"&amp;TEXT(MNP28-utc_offset/24,"YYYYMMDD")&amp;"*"" /stext="" "&amp;TEXT(MNP28-utc_offset/24,"HH")&amp;search_regexp&amp;""""</f>
        <v>#REF!</v>
      </c>
      <c r="MON28" s="234" t="e">
        <f>astrogrep_path&amp;" /e /r /s /spath="&amp;search_path&amp;" /stypes=""app*"&amp;MNJ28&amp;"*"&amp;TEXT(MNQ28-utc_offset/24,"YYYYMMDD")&amp;"*"" /stext="" "&amp;TEXT(MNQ28-utc_offset/24,"HH")&amp;search_regexp&amp;""""</f>
        <v>#REF!</v>
      </c>
      <c r="MOO28" s="234" t="e">
        <f>astrogrep_path&amp;" /e /r /s /spath="&amp;search_path&amp;" /stypes=""app*"&amp;MNK28&amp;"*"&amp;TEXT(MNR28-utc_offset/24,"YYYYMMDD")&amp;"*"" /stext="" "&amp;TEXT(MNR28-utc_offset/24,"HH")&amp;search_regexp&amp;""""</f>
        <v>#REF!</v>
      </c>
      <c r="MOP28" s="234" t="e">
        <f>astrogrep_path&amp;" /e /r /s /spath="&amp;search_path&amp;" /stypes=""app*"&amp;MNL28&amp;"*"&amp;TEXT(MNS28-utc_offset/24,"YYYYMMDD")&amp;"*"" /stext="" "&amp;TEXT(MNS28-utc_offset/24,"HH")&amp;search_regexp&amp;""""</f>
        <v>#REF!</v>
      </c>
      <c r="MOQ28" s="234" t="e">
        <f>astrogrep_path&amp;" /e /r /s /spath="&amp;search_path&amp;" /stypes=""app*"&amp;MNM28&amp;"*"&amp;TEXT(MNT28-utc_offset/24,"YYYYMMDD")&amp;"*"" /stext="" "&amp;TEXT(MNT28-utc_offset/24,"HH")&amp;search_regexp&amp;""""</f>
        <v>#REF!</v>
      </c>
      <c r="MOR28" s="234" t="e">
        <f>astrogrep_path&amp;" /e /r /s /spath="&amp;search_path&amp;" /stypes=""app*"&amp;MNN28&amp;"*"&amp;TEXT(MNU28-utc_offset/24,"YYYYMMDD")&amp;"*"" /stext="" "&amp;TEXT(MNU28-utc_offset/24,"HH")&amp;search_regexp&amp;""""</f>
        <v>#REF!</v>
      </c>
      <c r="MOS28" s="234" t="e">
        <f>astrogrep_path&amp;" /e /r /s /spath="&amp;search_path&amp;" /stypes=""app*"&amp;MNO28&amp;"*"&amp;TEXT(MNV28-utc_offset/24,"YYYYMMDD")&amp;"*"" /stext="" "&amp;TEXT(MNV28-utc_offset/24,"HH")&amp;search_regexp&amp;""""</f>
        <v>#REF!</v>
      </c>
      <c r="MOT28" s="234" t="e">
        <f>astrogrep_path&amp;" /e /r /s /spath="&amp;search_path&amp;" /stypes=""app*"&amp;MNP28&amp;"*"&amp;TEXT(MNW28-utc_offset/24,"YYYYMMDD")&amp;"*"" /stext="" "&amp;TEXT(MNW28-utc_offset/24,"HH")&amp;search_regexp&amp;""""</f>
        <v>#REF!</v>
      </c>
      <c r="MOU28" s="234" t="e">
        <f>astrogrep_path&amp;" /e /r /s /spath="&amp;search_path&amp;" /stypes=""app*"&amp;MNQ28&amp;"*"&amp;TEXT(MNX28-utc_offset/24,"YYYYMMDD")&amp;"*"" /stext="" "&amp;TEXT(MNX28-utc_offset/24,"HH")&amp;search_regexp&amp;""""</f>
        <v>#REF!</v>
      </c>
      <c r="MOV28" s="234" t="e">
        <f>astrogrep_path&amp;" /e /r /s /spath="&amp;search_path&amp;" /stypes=""app*"&amp;MNR28&amp;"*"&amp;TEXT(MNY28-utc_offset/24,"YYYYMMDD")&amp;"*"" /stext="" "&amp;TEXT(MNY28-utc_offset/24,"HH")&amp;search_regexp&amp;""""</f>
        <v>#REF!</v>
      </c>
      <c r="MOW28" s="234" t="e">
        <f>astrogrep_path&amp;" /e /r /s /spath="&amp;search_path&amp;" /stypes=""app*"&amp;MNS28&amp;"*"&amp;TEXT(MNZ28-utc_offset/24,"YYYYMMDD")&amp;"*"" /stext="" "&amp;TEXT(MNZ28-utc_offset/24,"HH")&amp;search_regexp&amp;""""</f>
        <v>#REF!</v>
      </c>
      <c r="MOX28" s="234" t="e">
        <f>astrogrep_path&amp;" /e /r /s /spath="&amp;search_path&amp;" /stypes=""app*"&amp;MNT28&amp;"*"&amp;TEXT(MOA28-utc_offset/24,"YYYYMMDD")&amp;"*"" /stext="" "&amp;TEXT(MOA28-utc_offset/24,"HH")&amp;search_regexp&amp;""""</f>
        <v>#REF!</v>
      </c>
      <c r="MOY28" s="234" t="e">
        <f>astrogrep_path&amp;" /e /r /s /spath="&amp;search_path&amp;" /stypes=""app*"&amp;MNU28&amp;"*"&amp;TEXT(MOB28-utc_offset/24,"YYYYMMDD")&amp;"*"" /stext="" "&amp;TEXT(MOB28-utc_offset/24,"HH")&amp;search_regexp&amp;""""</f>
        <v>#REF!</v>
      </c>
      <c r="MOZ28" s="234" t="e">
        <f>astrogrep_path&amp;" /e /r /s /spath="&amp;search_path&amp;" /stypes=""app*"&amp;MNV28&amp;"*"&amp;TEXT(MOC28-utc_offset/24,"YYYYMMDD")&amp;"*"" /stext="" "&amp;TEXT(MOC28-utc_offset/24,"HH")&amp;search_regexp&amp;""""</f>
        <v>#REF!</v>
      </c>
      <c r="MPA28" s="234" t="e">
        <f>astrogrep_path&amp;" /e /r /s /spath="&amp;search_path&amp;" /stypes=""app*"&amp;MNW28&amp;"*"&amp;TEXT(MOD28-utc_offset/24,"YYYYMMDD")&amp;"*"" /stext="" "&amp;TEXT(MOD28-utc_offset/24,"HH")&amp;search_regexp&amp;""""</f>
        <v>#REF!</v>
      </c>
      <c r="MPB28" s="234" t="e">
        <f>astrogrep_path&amp;" /e /r /s /spath="&amp;search_path&amp;" /stypes=""app*"&amp;MNX28&amp;"*"&amp;TEXT(MOE28-utc_offset/24,"YYYYMMDD")&amp;"*"" /stext="" "&amp;TEXT(MOE28-utc_offset/24,"HH")&amp;search_regexp&amp;""""</f>
        <v>#REF!</v>
      </c>
      <c r="MPC28" s="234" t="e">
        <f>astrogrep_path&amp;" /e /r /s /spath="&amp;search_path&amp;" /stypes=""app*"&amp;MNY28&amp;"*"&amp;TEXT(MOF28-utc_offset/24,"YYYYMMDD")&amp;"*"" /stext="" "&amp;TEXT(MOF28-utc_offset/24,"HH")&amp;search_regexp&amp;""""</f>
        <v>#REF!</v>
      </c>
      <c r="MPD28" s="234" t="e">
        <f>astrogrep_path&amp;" /e /r /s /spath="&amp;search_path&amp;" /stypes=""app*"&amp;MNZ28&amp;"*"&amp;TEXT(MOG28-utc_offset/24,"YYYYMMDD")&amp;"*"" /stext="" "&amp;TEXT(MOG28-utc_offset/24,"HH")&amp;search_regexp&amp;""""</f>
        <v>#REF!</v>
      </c>
      <c r="MPE28" s="234" t="e">
        <f>astrogrep_path&amp;" /e /r /s /spath="&amp;search_path&amp;" /stypes=""app*"&amp;MOA28&amp;"*"&amp;TEXT(MOH28-utc_offset/24,"YYYYMMDD")&amp;"*"" /stext="" "&amp;TEXT(MOH28-utc_offset/24,"HH")&amp;search_regexp&amp;""""</f>
        <v>#REF!</v>
      </c>
      <c r="MPF28" s="234" t="e">
        <f>astrogrep_path&amp;" /e /r /s /spath="&amp;search_path&amp;" /stypes=""app*"&amp;MOB28&amp;"*"&amp;TEXT(MOI28-utc_offset/24,"YYYYMMDD")&amp;"*"" /stext="" "&amp;TEXT(MOI28-utc_offset/24,"HH")&amp;search_regexp&amp;""""</f>
        <v>#REF!</v>
      </c>
      <c r="MPG28" s="234" t="e">
        <f>astrogrep_path&amp;" /e /r /s /spath="&amp;search_path&amp;" /stypes=""app*"&amp;MOC28&amp;"*"&amp;TEXT(MOJ28-utc_offset/24,"YYYYMMDD")&amp;"*"" /stext="" "&amp;TEXT(MOJ28-utc_offset/24,"HH")&amp;search_regexp&amp;""""</f>
        <v>#VALUE!</v>
      </c>
      <c r="MPH28" s="234" t="e">
        <f>astrogrep_path&amp;" /e /r /s /spath="&amp;search_path&amp;" /stypes=""app*"&amp;MOD28&amp;"*"&amp;TEXT(MOK28-utc_offset/24,"YYYYMMDD")&amp;"*"" /stext="" "&amp;TEXT(MOK28-utc_offset/24,"HH")&amp;search_regexp&amp;""""</f>
        <v>#VALUE!</v>
      </c>
      <c r="MPI28" s="234" t="e">
        <f>astrogrep_path&amp;" /e /r /s /spath="&amp;search_path&amp;" /stypes=""app*"&amp;MOE28&amp;"*"&amp;TEXT(MOL28-utc_offset/24,"YYYYMMDD")&amp;"*"" /stext="" "&amp;TEXT(MOL28-utc_offset/24,"HH")&amp;search_regexp&amp;""""</f>
        <v>#REF!</v>
      </c>
      <c r="MPJ28" s="234" t="e">
        <f>astrogrep_path&amp;" /e /r /s /spath="&amp;search_path&amp;" /stypes=""app*"&amp;MOF28&amp;"*"&amp;TEXT(MOM28-utc_offset/24,"YYYYMMDD")&amp;"*"" /stext="" "&amp;TEXT(MOM28-utc_offset/24,"HH")&amp;search_regexp&amp;""""</f>
        <v>#REF!</v>
      </c>
      <c r="MPK28" s="234" t="e">
        <f>astrogrep_path&amp;" /e /r /s /spath="&amp;search_path&amp;" /stypes=""app*"&amp;MOG28&amp;"*"&amp;TEXT(MON28-utc_offset/24,"YYYYMMDD")&amp;"*"" /stext="" "&amp;TEXT(MON28-utc_offset/24,"HH")&amp;search_regexp&amp;""""</f>
        <v>#VALUE!</v>
      </c>
      <c r="MPL28" s="234" t="e">
        <f>astrogrep_path&amp;" /e /r /s /spath="&amp;search_path&amp;" /stypes=""app*"&amp;MOH28&amp;"*"&amp;TEXT(MOO28-utc_offset/24,"YYYYMMDD")&amp;"*"" /stext="" "&amp;TEXT(MOO28-utc_offset/24,"HH")&amp;search_regexp&amp;""""</f>
        <v>#VALUE!</v>
      </c>
      <c r="MPM28" s="234" t="e">
        <f>astrogrep_path&amp;" /e /r /s /spath="&amp;search_path&amp;" /stypes=""app*"&amp;MOI28&amp;"*"&amp;TEXT(MOP28-utc_offset/24,"YYYYMMDD")&amp;"*"" /stext="" "&amp;TEXT(MOP28-utc_offset/24,"HH")&amp;search_regexp&amp;""""</f>
        <v>#VALUE!</v>
      </c>
      <c r="MPN28" s="234" t="e">
        <f>astrogrep_path&amp;" /e /r /s /spath="&amp;search_path&amp;" /stypes=""app*"&amp;MOJ28&amp;"*"&amp;TEXT(MOQ28-utc_offset/24,"YYYYMMDD")&amp;"*"" /stext="" "&amp;TEXT(MOQ28-utc_offset/24,"HH")&amp;search_regexp&amp;""""</f>
        <v>#VALUE!</v>
      </c>
      <c r="MPO28" s="234" t="e">
        <f>astrogrep_path&amp;" /e /r /s /spath="&amp;search_path&amp;" /stypes=""app*"&amp;MOK28&amp;"*"&amp;TEXT(MOR28-utc_offset/24,"YYYYMMDD")&amp;"*"" /stext="" "&amp;TEXT(MOR28-utc_offset/24,"HH")&amp;search_regexp&amp;""""</f>
        <v>#VALUE!</v>
      </c>
      <c r="MPP28" s="234" t="e">
        <f>astrogrep_path&amp;" /e /r /s /spath="&amp;search_path&amp;" /stypes=""app*"&amp;MOL28&amp;"*"&amp;TEXT(MOS28-utc_offset/24,"YYYYMMDD")&amp;"*"" /stext="" "&amp;TEXT(MOS28-utc_offset/24,"HH")&amp;search_regexp&amp;""""</f>
        <v>#REF!</v>
      </c>
      <c r="MPQ28" s="234" t="e">
        <f>astrogrep_path&amp;" /e /r /s /spath="&amp;search_path&amp;" /stypes=""app*"&amp;MOM28&amp;"*"&amp;TEXT(MOT28-utc_offset/24,"YYYYMMDD")&amp;"*"" /stext="" "&amp;TEXT(MOT28-utc_offset/24,"HH")&amp;search_regexp&amp;""""</f>
        <v>#REF!</v>
      </c>
      <c r="MPR28" s="234" t="e">
        <f>astrogrep_path&amp;" /e /r /s /spath="&amp;search_path&amp;" /stypes=""app*"&amp;MON28&amp;"*"&amp;TEXT(MOU28-utc_offset/24,"YYYYMMDD")&amp;"*"" /stext="" "&amp;TEXT(MOU28-utc_offset/24,"HH")&amp;search_regexp&amp;""""</f>
        <v>#REF!</v>
      </c>
      <c r="MPS28" s="234" t="e">
        <f>astrogrep_path&amp;" /e /r /s /spath="&amp;search_path&amp;" /stypes=""app*"&amp;MOO28&amp;"*"&amp;TEXT(MOV28-utc_offset/24,"YYYYMMDD")&amp;"*"" /stext="" "&amp;TEXT(MOV28-utc_offset/24,"HH")&amp;search_regexp&amp;""""</f>
        <v>#REF!</v>
      </c>
      <c r="MPT28" s="234" t="e">
        <f>astrogrep_path&amp;" /e /r /s /spath="&amp;search_path&amp;" /stypes=""app*"&amp;MOP28&amp;"*"&amp;TEXT(MOW28-utc_offset/24,"YYYYMMDD")&amp;"*"" /stext="" "&amp;TEXT(MOW28-utc_offset/24,"HH")&amp;search_regexp&amp;""""</f>
        <v>#REF!</v>
      </c>
      <c r="MPU28" s="234" t="e">
        <f>astrogrep_path&amp;" /e /r /s /spath="&amp;search_path&amp;" /stypes=""app*"&amp;MOQ28&amp;"*"&amp;TEXT(MOX28-utc_offset/24,"YYYYMMDD")&amp;"*"" /stext="" "&amp;TEXT(MOX28-utc_offset/24,"HH")&amp;search_regexp&amp;""""</f>
        <v>#REF!</v>
      </c>
      <c r="MPV28" s="234" t="e">
        <f>astrogrep_path&amp;" /e /r /s /spath="&amp;search_path&amp;" /stypes=""app*"&amp;MOR28&amp;"*"&amp;TEXT(MOY28-utc_offset/24,"YYYYMMDD")&amp;"*"" /stext="" "&amp;TEXT(MOY28-utc_offset/24,"HH")&amp;search_regexp&amp;""""</f>
        <v>#REF!</v>
      </c>
      <c r="MPW28" s="234" t="e">
        <f>astrogrep_path&amp;" /e /r /s /spath="&amp;search_path&amp;" /stypes=""app*"&amp;MOS28&amp;"*"&amp;TEXT(MOZ28-utc_offset/24,"YYYYMMDD")&amp;"*"" /stext="" "&amp;TEXT(MOZ28-utc_offset/24,"HH")&amp;search_regexp&amp;""""</f>
        <v>#REF!</v>
      </c>
      <c r="MPX28" s="234" t="e">
        <f>astrogrep_path&amp;" /e /r /s /spath="&amp;search_path&amp;" /stypes=""app*"&amp;MOT28&amp;"*"&amp;TEXT(MPA28-utc_offset/24,"YYYYMMDD")&amp;"*"" /stext="" "&amp;TEXT(MPA28-utc_offset/24,"HH")&amp;search_regexp&amp;""""</f>
        <v>#REF!</v>
      </c>
      <c r="MPY28" s="234" t="e">
        <f>astrogrep_path&amp;" /e /r /s /spath="&amp;search_path&amp;" /stypes=""app*"&amp;MOU28&amp;"*"&amp;TEXT(MPB28-utc_offset/24,"YYYYMMDD")&amp;"*"" /stext="" "&amp;TEXT(MPB28-utc_offset/24,"HH")&amp;search_regexp&amp;""""</f>
        <v>#REF!</v>
      </c>
      <c r="MPZ28" s="234" t="e">
        <f>astrogrep_path&amp;" /e /r /s /spath="&amp;search_path&amp;" /stypes=""app*"&amp;MOV28&amp;"*"&amp;TEXT(MPC28-utc_offset/24,"YYYYMMDD")&amp;"*"" /stext="" "&amp;TEXT(MPC28-utc_offset/24,"HH")&amp;search_regexp&amp;""""</f>
        <v>#REF!</v>
      </c>
      <c r="MQA28" s="234" t="e">
        <f>astrogrep_path&amp;" /e /r /s /spath="&amp;search_path&amp;" /stypes=""app*"&amp;MOW28&amp;"*"&amp;TEXT(MPD28-utc_offset/24,"YYYYMMDD")&amp;"*"" /stext="" "&amp;TEXT(MPD28-utc_offset/24,"HH")&amp;search_regexp&amp;""""</f>
        <v>#REF!</v>
      </c>
      <c r="MQB28" s="234" t="e">
        <f>astrogrep_path&amp;" /e /r /s /spath="&amp;search_path&amp;" /stypes=""app*"&amp;MOX28&amp;"*"&amp;TEXT(MPE28-utc_offset/24,"YYYYMMDD")&amp;"*"" /stext="" "&amp;TEXT(MPE28-utc_offset/24,"HH")&amp;search_regexp&amp;""""</f>
        <v>#REF!</v>
      </c>
      <c r="MQC28" s="234" t="e">
        <f>astrogrep_path&amp;" /e /r /s /spath="&amp;search_path&amp;" /stypes=""app*"&amp;MOY28&amp;"*"&amp;TEXT(MPF28-utc_offset/24,"YYYYMMDD")&amp;"*"" /stext="" "&amp;TEXT(MPF28-utc_offset/24,"HH")&amp;search_regexp&amp;""""</f>
        <v>#REF!</v>
      </c>
      <c r="MQD28" s="234" t="e">
        <f>astrogrep_path&amp;" /e /r /s /spath="&amp;search_path&amp;" /stypes=""app*"&amp;MOZ28&amp;"*"&amp;TEXT(MPG28-utc_offset/24,"YYYYMMDD")&amp;"*"" /stext="" "&amp;TEXT(MPG28-utc_offset/24,"HH")&amp;search_regexp&amp;""""</f>
        <v>#REF!</v>
      </c>
      <c r="MQE28" s="234" t="e">
        <f>astrogrep_path&amp;" /e /r /s /spath="&amp;search_path&amp;" /stypes=""app*"&amp;MPA28&amp;"*"&amp;TEXT(MPH28-utc_offset/24,"YYYYMMDD")&amp;"*"" /stext="" "&amp;TEXT(MPH28-utc_offset/24,"HH")&amp;search_regexp&amp;""""</f>
        <v>#REF!</v>
      </c>
      <c r="MQF28" s="234" t="e">
        <f>astrogrep_path&amp;" /e /r /s /spath="&amp;search_path&amp;" /stypes=""app*"&amp;MPB28&amp;"*"&amp;TEXT(MPI28-utc_offset/24,"YYYYMMDD")&amp;"*"" /stext="" "&amp;TEXT(MPI28-utc_offset/24,"HH")&amp;search_regexp&amp;""""</f>
        <v>#REF!</v>
      </c>
      <c r="MQG28" s="234" t="e">
        <f>astrogrep_path&amp;" /e /r /s /spath="&amp;search_path&amp;" /stypes=""app*"&amp;MPC28&amp;"*"&amp;TEXT(MPJ28-utc_offset/24,"YYYYMMDD")&amp;"*"" /stext="" "&amp;TEXT(MPJ28-utc_offset/24,"HH")&amp;search_regexp&amp;""""</f>
        <v>#REF!</v>
      </c>
      <c r="MQH28" s="234" t="e">
        <f>astrogrep_path&amp;" /e /r /s /spath="&amp;search_path&amp;" /stypes=""app*"&amp;MPD28&amp;"*"&amp;TEXT(MPK28-utc_offset/24,"YYYYMMDD")&amp;"*"" /stext="" "&amp;TEXT(MPK28-utc_offset/24,"HH")&amp;search_regexp&amp;""""</f>
        <v>#REF!</v>
      </c>
      <c r="MQI28" s="234" t="e">
        <f>astrogrep_path&amp;" /e /r /s /spath="&amp;search_path&amp;" /stypes=""app*"&amp;MPE28&amp;"*"&amp;TEXT(MPL28-utc_offset/24,"YYYYMMDD")&amp;"*"" /stext="" "&amp;TEXT(MPL28-utc_offset/24,"HH")&amp;search_regexp&amp;""""</f>
        <v>#REF!</v>
      </c>
      <c r="MQJ28" s="234" t="e">
        <f>astrogrep_path&amp;" /e /r /s /spath="&amp;search_path&amp;" /stypes=""app*"&amp;MPF28&amp;"*"&amp;TEXT(MPM28-utc_offset/24,"YYYYMMDD")&amp;"*"" /stext="" "&amp;TEXT(MPM28-utc_offset/24,"HH")&amp;search_regexp&amp;""""</f>
        <v>#REF!</v>
      </c>
      <c r="MQK28" s="234" t="e">
        <f>astrogrep_path&amp;" /e /r /s /spath="&amp;search_path&amp;" /stypes=""app*"&amp;MPG28&amp;"*"&amp;TEXT(MPN28-utc_offset/24,"YYYYMMDD")&amp;"*"" /stext="" "&amp;TEXT(MPN28-utc_offset/24,"HH")&amp;search_regexp&amp;""""</f>
        <v>#VALUE!</v>
      </c>
      <c r="MQL28" s="234" t="e">
        <f>astrogrep_path&amp;" /e /r /s /spath="&amp;search_path&amp;" /stypes=""app*"&amp;MPH28&amp;"*"&amp;TEXT(MPO28-utc_offset/24,"YYYYMMDD")&amp;"*"" /stext="" "&amp;TEXT(MPO28-utc_offset/24,"HH")&amp;search_regexp&amp;""""</f>
        <v>#VALUE!</v>
      </c>
      <c r="MQM28" s="234" t="e">
        <f>astrogrep_path&amp;" /e /r /s /spath="&amp;search_path&amp;" /stypes=""app*"&amp;MPI28&amp;"*"&amp;TEXT(MPP28-utc_offset/24,"YYYYMMDD")&amp;"*"" /stext="" "&amp;TEXT(MPP28-utc_offset/24,"HH")&amp;search_regexp&amp;""""</f>
        <v>#REF!</v>
      </c>
      <c r="MQN28" s="234" t="e">
        <f>astrogrep_path&amp;" /e /r /s /spath="&amp;search_path&amp;" /stypes=""app*"&amp;MPJ28&amp;"*"&amp;TEXT(MPQ28-utc_offset/24,"YYYYMMDD")&amp;"*"" /stext="" "&amp;TEXT(MPQ28-utc_offset/24,"HH")&amp;search_regexp&amp;""""</f>
        <v>#REF!</v>
      </c>
      <c r="MQO28" s="234" t="e">
        <f>astrogrep_path&amp;" /e /r /s /spath="&amp;search_path&amp;" /stypes=""app*"&amp;MPK28&amp;"*"&amp;TEXT(MPR28-utc_offset/24,"YYYYMMDD")&amp;"*"" /stext="" "&amp;TEXT(MPR28-utc_offset/24,"HH")&amp;search_regexp&amp;""""</f>
        <v>#VALUE!</v>
      </c>
      <c r="MQP28" s="234" t="e">
        <f>astrogrep_path&amp;" /e /r /s /spath="&amp;search_path&amp;" /stypes=""app*"&amp;MPL28&amp;"*"&amp;TEXT(MPS28-utc_offset/24,"YYYYMMDD")&amp;"*"" /stext="" "&amp;TEXT(MPS28-utc_offset/24,"HH")&amp;search_regexp&amp;""""</f>
        <v>#VALUE!</v>
      </c>
      <c r="MQQ28" s="234" t="e">
        <f>astrogrep_path&amp;" /e /r /s /spath="&amp;search_path&amp;" /stypes=""app*"&amp;MPM28&amp;"*"&amp;TEXT(MPT28-utc_offset/24,"YYYYMMDD")&amp;"*"" /stext="" "&amp;TEXT(MPT28-utc_offset/24,"HH")&amp;search_regexp&amp;""""</f>
        <v>#VALUE!</v>
      </c>
      <c r="MQR28" s="234" t="e">
        <f>astrogrep_path&amp;" /e /r /s /spath="&amp;search_path&amp;" /stypes=""app*"&amp;MPN28&amp;"*"&amp;TEXT(MPU28-utc_offset/24,"YYYYMMDD")&amp;"*"" /stext="" "&amp;TEXT(MPU28-utc_offset/24,"HH")&amp;search_regexp&amp;""""</f>
        <v>#VALUE!</v>
      </c>
      <c r="MQS28" s="234" t="e">
        <f>astrogrep_path&amp;" /e /r /s /spath="&amp;search_path&amp;" /stypes=""app*"&amp;MPO28&amp;"*"&amp;TEXT(MPV28-utc_offset/24,"YYYYMMDD")&amp;"*"" /stext="" "&amp;TEXT(MPV28-utc_offset/24,"HH")&amp;search_regexp&amp;""""</f>
        <v>#VALUE!</v>
      </c>
      <c r="MQT28" s="234" t="e">
        <f>astrogrep_path&amp;" /e /r /s /spath="&amp;search_path&amp;" /stypes=""app*"&amp;MPP28&amp;"*"&amp;TEXT(MPW28-utc_offset/24,"YYYYMMDD")&amp;"*"" /stext="" "&amp;TEXT(MPW28-utc_offset/24,"HH")&amp;search_regexp&amp;""""</f>
        <v>#REF!</v>
      </c>
      <c r="MQU28" s="234" t="e">
        <f>astrogrep_path&amp;" /e /r /s /spath="&amp;search_path&amp;" /stypes=""app*"&amp;MPQ28&amp;"*"&amp;TEXT(MPX28-utc_offset/24,"YYYYMMDD")&amp;"*"" /stext="" "&amp;TEXT(MPX28-utc_offset/24,"HH")&amp;search_regexp&amp;""""</f>
        <v>#REF!</v>
      </c>
      <c r="MQV28" s="234" t="e">
        <f>astrogrep_path&amp;" /e /r /s /spath="&amp;search_path&amp;" /stypes=""app*"&amp;MPR28&amp;"*"&amp;TEXT(MPY28-utc_offset/24,"YYYYMMDD")&amp;"*"" /stext="" "&amp;TEXT(MPY28-utc_offset/24,"HH")&amp;search_regexp&amp;""""</f>
        <v>#REF!</v>
      </c>
      <c r="MQW28" s="234" t="e">
        <f>astrogrep_path&amp;" /e /r /s /spath="&amp;search_path&amp;" /stypes=""app*"&amp;MPS28&amp;"*"&amp;TEXT(MPZ28-utc_offset/24,"YYYYMMDD")&amp;"*"" /stext="" "&amp;TEXT(MPZ28-utc_offset/24,"HH")&amp;search_regexp&amp;""""</f>
        <v>#REF!</v>
      </c>
      <c r="MQX28" s="234" t="e">
        <f>astrogrep_path&amp;" /e /r /s /spath="&amp;search_path&amp;" /stypes=""app*"&amp;MPT28&amp;"*"&amp;TEXT(MQA28-utc_offset/24,"YYYYMMDD")&amp;"*"" /stext="" "&amp;TEXT(MQA28-utc_offset/24,"HH")&amp;search_regexp&amp;""""</f>
        <v>#REF!</v>
      </c>
      <c r="MQY28" s="234" t="e">
        <f>astrogrep_path&amp;" /e /r /s /spath="&amp;search_path&amp;" /stypes=""app*"&amp;MPU28&amp;"*"&amp;TEXT(MQB28-utc_offset/24,"YYYYMMDD")&amp;"*"" /stext="" "&amp;TEXT(MQB28-utc_offset/24,"HH")&amp;search_regexp&amp;""""</f>
        <v>#REF!</v>
      </c>
      <c r="MQZ28" s="234" t="e">
        <f>astrogrep_path&amp;" /e /r /s /spath="&amp;search_path&amp;" /stypes=""app*"&amp;MPV28&amp;"*"&amp;TEXT(MQC28-utc_offset/24,"YYYYMMDD")&amp;"*"" /stext="" "&amp;TEXT(MQC28-utc_offset/24,"HH")&amp;search_regexp&amp;""""</f>
        <v>#REF!</v>
      </c>
      <c r="MRA28" s="234" t="e">
        <f>astrogrep_path&amp;" /e /r /s /spath="&amp;search_path&amp;" /stypes=""app*"&amp;MPW28&amp;"*"&amp;TEXT(MQD28-utc_offset/24,"YYYYMMDD")&amp;"*"" /stext="" "&amp;TEXT(MQD28-utc_offset/24,"HH")&amp;search_regexp&amp;""""</f>
        <v>#REF!</v>
      </c>
      <c r="MRB28" s="234" t="e">
        <f>astrogrep_path&amp;" /e /r /s /spath="&amp;search_path&amp;" /stypes=""app*"&amp;MPX28&amp;"*"&amp;TEXT(MQE28-utc_offset/24,"YYYYMMDD")&amp;"*"" /stext="" "&amp;TEXT(MQE28-utc_offset/24,"HH")&amp;search_regexp&amp;""""</f>
        <v>#REF!</v>
      </c>
      <c r="MRC28" s="234" t="e">
        <f>astrogrep_path&amp;" /e /r /s /spath="&amp;search_path&amp;" /stypes=""app*"&amp;MPY28&amp;"*"&amp;TEXT(MQF28-utc_offset/24,"YYYYMMDD")&amp;"*"" /stext="" "&amp;TEXT(MQF28-utc_offset/24,"HH")&amp;search_regexp&amp;""""</f>
        <v>#REF!</v>
      </c>
      <c r="MRD28" s="234" t="e">
        <f>astrogrep_path&amp;" /e /r /s /spath="&amp;search_path&amp;" /stypes=""app*"&amp;MPZ28&amp;"*"&amp;TEXT(MQG28-utc_offset/24,"YYYYMMDD")&amp;"*"" /stext="" "&amp;TEXT(MQG28-utc_offset/24,"HH")&amp;search_regexp&amp;""""</f>
        <v>#REF!</v>
      </c>
      <c r="MRE28" s="234" t="e">
        <f>astrogrep_path&amp;" /e /r /s /spath="&amp;search_path&amp;" /stypes=""app*"&amp;MQA28&amp;"*"&amp;TEXT(MQH28-utc_offset/24,"YYYYMMDD")&amp;"*"" /stext="" "&amp;TEXT(MQH28-utc_offset/24,"HH")&amp;search_regexp&amp;""""</f>
        <v>#REF!</v>
      </c>
      <c r="MRF28" s="234" t="e">
        <f>astrogrep_path&amp;" /e /r /s /spath="&amp;search_path&amp;" /stypes=""app*"&amp;MQB28&amp;"*"&amp;TEXT(MQI28-utc_offset/24,"YYYYMMDD")&amp;"*"" /stext="" "&amp;TEXT(MQI28-utc_offset/24,"HH")&amp;search_regexp&amp;""""</f>
        <v>#REF!</v>
      </c>
      <c r="MRG28" s="234" t="e">
        <f>astrogrep_path&amp;" /e /r /s /spath="&amp;search_path&amp;" /stypes=""app*"&amp;MQC28&amp;"*"&amp;TEXT(MQJ28-utc_offset/24,"YYYYMMDD")&amp;"*"" /stext="" "&amp;TEXT(MQJ28-utc_offset/24,"HH")&amp;search_regexp&amp;""""</f>
        <v>#REF!</v>
      </c>
      <c r="MRH28" s="234" t="e">
        <f>astrogrep_path&amp;" /e /r /s /spath="&amp;search_path&amp;" /stypes=""app*"&amp;MQD28&amp;"*"&amp;TEXT(MQK28-utc_offset/24,"YYYYMMDD")&amp;"*"" /stext="" "&amp;TEXT(MQK28-utc_offset/24,"HH")&amp;search_regexp&amp;""""</f>
        <v>#REF!</v>
      </c>
      <c r="MRI28" s="234" t="e">
        <f>astrogrep_path&amp;" /e /r /s /spath="&amp;search_path&amp;" /stypes=""app*"&amp;MQE28&amp;"*"&amp;TEXT(MQL28-utc_offset/24,"YYYYMMDD")&amp;"*"" /stext="" "&amp;TEXT(MQL28-utc_offset/24,"HH")&amp;search_regexp&amp;""""</f>
        <v>#REF!</v>
      </c>
      <c r="MRJ28" s="234" t="e">
        <f>astrogrep_path&amp;" /e /r /s /spath="&amp;search_path&amp;" /stypes=""app*"&amp;MQF28&amp;"*"&amp;TEXT(MQM28-utc_offset/24,"YYYYMMDD")&amp;"*"" /stext="" "&amp;TEXT(MQM28-utc_offset/24,"HH")&amp;search_regexp&amp;""""</f>
        <v>#REF!</v>
      </c>
      <c r="MRK28" s="234" t="e">
        <f>astrogrep_path&amp;" /e /r /s /spath="&amp;search_path&amp;" /stypes=""app*"&amp;MQG28&amp;"*"&amp;TEXT(MQN28-utc_offset/24,"YYYYMMDD")&amp;"*"" /stext="" "&amp;TEXT(MQN28-utc_offset/24,"HH")&amp;search_regexp&amp;""""</f>
        <v>#REF!</v>
      </c>
      <c r="MRL28" s="234" t="e">
        <f>astrogrep_path&amp;" /e /r /s /spath="&amp;search_path&amp;" /stypes=""app*"&amp;MQH28&amp;"*"&amp;TEXT(MQO28-utc_offset/24,"YYYYMMDD")&amp;"*"" /stext="" "&amp;TEXT(MQO28-utc_offset/24,"HH")&amp;search_regexp&amp;""""</f>
        <v>#REF!</v>
      </c>
      <c r="MRM28" s="234" t="e">
        <f>astrogrep_path&amp;" /e /r /s /spath="&amp;search_path&amp;" /stypes=""app*"&amp;MQI28&amp;"*"&amp;TEXT(MQP28-utc_offset/24,"YYYYMMDD")&amp;"*"" /stext="" "&amp;TEXT(MQP28-utc_offset/24,"HH")&amp;search_regexp&amp;""""</f>
        <v>#REF!</v>
      </c>
      <c r="MRN28" s="234" t="e">
        <f>astrogrep_path&amp;" /e /r /s /spath="&amp;search_path&amp;" /stypes=""app*"&amp;MQJ28&amp;"*"&amp;TEXT(MQQ28-utc_offset/24,"YYYYMMDD")&amp;"*"" /stext="" "&amp;TEXT(MQQ28-utc_offset/24,"HH")&amp;search_regexp&amp;""""</f>
        <v>#REF!</v>
      </c>
      <c r="MRO28" s="234" t="e">
        <f>astrogrep_path&amp;" /e /r /s /spath="&amp;search_path&amp;" /stypes=""app*"&amp;MQK28&amp;"*"&amp;TEXT(MQR28-utc_offset/24,"YYYYMMDD")&amp;"*"" /stext="" "&amp;TEXT(MQR28-utc_offset/24,"HH")&amp;search_regexp&amp;""""</f>
        <v>#VALUE!</v>
      </c>
      <c r="MRP28" s="234" t="e">
        <f>astrogrep_path&amp;" /e /r /s /spath="&amp;search_path&amp;" /stypes=""app*"&amp;MQL28&amp;"*"&amp;TEXT(MQS28-utc_offset/24,"YYYYMMDD")&amp;"*"" /stext="" "&amp;TEXT(MQS28-utc_offset/24,"HH")&amp;search_regexp&amp;""""</f>
        <v>#VALUE!</v>
      </c>
      <c r="MRQ28" s="234" t="e">
        <f>astrogrep_path&amp;" /e /r /s /spath="&amp;search_path&amp;" /stypes=""app*"&amp;MQM28&amp;"*"&amp;TEXT(MQT28-utc_offset/24,"YYYYMMDD")&amp;"*"" /stext="" "&amp;TEXT(MQT28-utc_offset/24,"HH")&amp;search_regexp&amp;""""</f>
        <v>#REF!</v>
      </c>
      <c r="MRR28" s="234" t="e">
        <f>astrogrep_path&amp;" /e /r /s /spath="&amp;search_path&amp;" /stypes=""app*"&amp;MQN28&amp;"*"&amp;TEXT(MQU28-utc_offset/24,"YYYYMMDD")&amp;"*"" /stext="" "&amp;TEXT(MQU28-utc_offset/24,"HH")&amp;search_regexp&amp;""""</f>
        <v>#REF!</v>
      </c>
      <c r="MRS28" s="234" t="e">
        <f>astrogrep_path&amp;" /e /r /s /spath="&amp;search_path&amp;" /stypes=""app*"&amp;MQO28&amp;"*"&amp;TEXT(MQV28-utc_offset/24,"YYYYMMDD")&amp;"*"" /stext="" "&amp;TEXT(MQV28-utc_offset/24,"HH")&amp;search_regexp&amp;""""</f>
        <v>#VALUE!</v>
      </c>
      <c r="MRT28" s="234" t="e">
        <f>astrogrep_path&amp;" /e /r /s /spath="&amp;search_path&amp;" /stypes=""app*"&amp;MQP28&amp;"*"&amp;TEXT(MQW28-utc_offset/24,"YYYYMMDD")&amp;"*"" /stext="" "&amp;TEXT(MQW28-utc_offset/24,"HH")&amp;search_regexp&amp;""""</f>
        <v>#VALUE!</v>
      </c>
      <c r="MRU28" s="234" t="e">
        <f>astrogrep_path&amp;" /e /r /s /spath="&amp;search_path&amp;" /stypes=""app*"&amp;MQQ28&amp;"*"&amp;TEXT(MQX28-utc_offset/24,"YYYYMMDD")&amp;"*"" /stext="" "&amp;TEXT(MQX28-utc_offset/24,"HH")&amp;search_regexp&amp;""""</f>
        <v>#VALUE!</v>
      </c>
      <c r="MRV28" s="234" t="e">
        <f>astrogrep_path&amp;" /e /r /s /spath="&amp;search_path&amp;" /stypes=""app*"&amp;MQR28&amp;"*"&amp;TEXT(MQY28-utc_offset/24,"YYYYMMDD")&amp;"*"" /stext="" "&amp;TEXT(MQY28-utc_offset/24,"HH")&amp;search_regexp&amp;""""</f>
        <v>#VALUE!</v>
      </c>
      <c r="MRW28" s="234" t="e">
        <f>astrogrep_path&amp;" /e /r /s /spath="&amp;search_path&amp;" /stypes=""app*"&amp;MQS28&amp;"*"&amp;TEXT(MQZ28-utc_offset/24,"YYYYMMDD")&amp;"*"" /stext="" "&amp;TEXT(MQZ28-utc_offset/24,"HH")&amp;search_regexp&amp;""""</f>
        <v>#VALUE!</v>
      </c>
      <c r="MRX28" s="234" t="e">
        <f>astrogrep_path&amp;" /e /r /s /spath="&amp;search_path&amp;" /stypes=""app*"&amp;MQT28&amp;"*"&amp;TEXT(MRA28-utc_offset/24,"YYYYMMDD")&amp;"*"" /stext="" "&amp;TEXT(MRA28-utc_offset/24,"HH")&amp;search_regexp&amp;""""</f>
        <v>#REF!</v>
      </c>
      <c r="MRY28" s="234" t="e">
        <f>astrogrep_path&amp;" /e /r /s /spath="&amp;search_path&amp;" /stypes=""app*"&amp;MQU28&amp;"*"&amp;TEXT(MRB28-utc_offset/24,"YYYYMMDD")&amp;"*"" /stext="" "&amp;TEXT(MRB28-utc_offset/24,"HH")&amp;search_regexp&amp;""""</f>
        <v>#REF!</v>
      </c>
      <c r="MRZ28" s="234" t="e">
        <f>astrogrep_path&amp;" /e /r /s /spath="&amp;search_path&amp;" /stypes=""app*"&amp;MQV28&amp;"*"&amp;TEXT(MRC28-utc_offset/24,"YYYYMMDD")&amp;"*"" /stext="" "&amp;TEXT(MRC28-utc_offset/24,"HH")&amp;search_regexp&amp;""""</f>
        <v>#REF!</v>
      </c>
      <c r="MSA28" s="234" t="e">
        <f>astrogrep_path&amp;" /e /r /s /spath="&amp;search_path&amp;" /stypes=""app*"&amp;MQW28&amp;"*"&amp;TEXT(MRD28-utc_offset/24,"YYYYMMDD")&amp;"*"" /stext="" "&amp;TEXT(MRD28-utc_offset/24,"HH")&amp;search_regexp&amp;""""</f>
        <v>#REF!</v>
      </c>
      <c r="MSB28" s="234" t="e">
        <f>astrogrep_path&amp;" /e /r /s /spath="&amp;search_path&amp;" /stypes=""app*"&amp;MQX28&amp;"*"&amp;TEXT(MRE28-utc_offset/24,"YYYYMMDD")&amp;"*"" /stext="" "&amp;TEXT(MRE28-utc_offset/24,"HH")&amp;search_regexp&amp;""""</f>
        <v>#REF!</v>
      </c>
      <c r="MSC28" s="234" t="e">
        <f>astrogrep_path&amp;" /e /r /s /spath="&amp;search_path&amp;" /stypes=""app*"&amp;MQY28&amp;"*"&amp;TEXT(MRF28-utc_offset/24,"YYYYMMDD")&amp;"*"" /stext="" "&amp;TEXT(MRF28-utc_offset/24,"HH")&amp;search_regexp&amp;""""</f>
        <v>#REF!</v>
      </c>
      <c r="MSD28" s="234" t="e">
        <f>astrogrep_path&amp;" /e /r /s /spath="&amp;search_path&amp;" /stypes=""app*"&amp;MQZ28&amp;"*"&amp;TEXT(MRG28-utc_offset/24,"YYYYMMDD")&amp;"*"" /stext="" "&amp;TEXT(MRG28-utc_offset/24,"HH")&amp;search_regexp&amp;""""</f>
        <v>#REF!</v>
      </c>
      <c r="MSE28" s="234" t="e">
        <f>astrogrep_path&amp;" /e /r /s /spath="&amp;search_path&amp;" /stypes=""app*"&amp;MRA28&amp;"*"&amp;TEXT(MRH28-utc_offset/24,"YYYYMMDD")&amp;"*"" /stext="" "&amp;TEXT(MRH28-utc_offset/24,"HH")&amp;search_regexp&amp;""""</f>
        <v>#REF!</v>
      </c>
      <c r="MSF28" s="234" t="e">
        <f>astrogrep_path&amp;" /e /r /s /spath="&amp;search_path&amp;" /stypes=""app*"&amp;MRB28&amp;"*"&amp;TEXT(MRI28-utc_offset/24,"YYYYMMDD")&amp;"*"" /stext="" "&amp;TEXT(MRI28-utc_offset/24,"HH")&amp;search_regexp&amp;""""</f>
        <v>#REF!</v>
      </c>
      <c r="MSG28" s="234" t="e">
        <f>astrogrep_path&amp;" /e /r /s /spath="&amp;search_path&amp;" /stypes=""app*"&amp;MRC28&amp;"*"&amp;TEXT(MRJ28-utc_offset/24,"YYYYMMDD")&amp;"*"" /stext="" "&amp;TEXT(MRJ28-utc_offset/24,"HH")&amp;search_regexp&amp;""""</f>
        <v>#REF!</v>
      </c>
      <c r="MSH28" s="234" t="e">
        <f>astrogrep_path&amp;" /e /r /s /spath="&amp;search_path&amp;" /stypes=""app*"&amp;MRD28&amp;"*"&amp;TEXT(MRK28-utc_offset/24,"YYYYMMDD")&amp;"*"" /stext="" "&amp;TEXT(MRK28-utc_offset/24,"HH")&amp;search_regexp&amp;""""</f>
        <v>#REF!</v>
      </c>
      <c r="MSI28" s="234" t="e">
        <f>astrogrep_path&amp;" /e /r /s /spath="&amp;search_path&amp;" /stypes=""app*"&amp;MRE28&amp;"*"&amp;TEXT(MRL28-utc_offset/24,"YYYYMMDD")&amp;"*"" /stext="" "&amp;TEXT(MRL28-utc_offset/24,"HH")&amp;search_regexp&amp;""""</f>
        <v>#REF!</v>
      </c>
      <c r="MSJ28" s="234" t="e">
        <f>astrogrep_path&amp;" /e /r /s /spath="&amp;search_path&amp;" /stypes=""app*"&amp;MRF28&amp;"*"&amp;TEXT(MRM28-utc_offset/24,"YYYYMMDD")&amp;"*"" /stext="" "&amp;TEXT(MRM28-utc_offset/24,"HH")&amp;search_regexp&amp;""""</f>
        <v>#REF!</v>
      </c>
      <c r="MSK28" s="234" t="e">
        <f>astrogrep_path&amp;" /e /r /s /spath="&amp;search_path&amp;" /stypes=""app*"&amp;MRG28&amp;"*"&amp;TEXT(MRN28-utc_offset/24,"YYYYMMDD")&amp;"*"" /stext="" "&amp;TEXT(MRN28-utc_offset/24,"HH")&amp;search_regexp&amp;""""</f>
        <v>#REF!</v>
      </c>
      <c r="MSL28" s="234" t="e">
        <f>astrogrep_path&amp;" /e /r /s /spath="&amp;search_path&amp;" /stypes=""app*"&amp;MRH28&amp;"*"&amp;TEXT(MRO28-utc_offset/24,"YYYYMMDD")&amp;"*"" /stext="" "&amp;TEXT(MRO28-utc_offset/24,"HH")&amp;search_regexp&amp;""""</f>
        <v>#REF!</v>
      </c>
      <c r="MSM28" s="234" t="e">
        <f>astrogrep_path&amp;" /e /r /s /spath="&amp;search_path&amp;" /stypes=""app*"&amp;MRI28&amp;"*"&amp;TEXT(MRP28-utc_offset/24,"YYYYMMDD")&amp;"*"" /stext="" "&amp;TEXT(MRP28-utc_offset/24,"HH")&amp;search_regexp&amp;""""</f>
        <v>#REF!</v>
      </c>
      <c r="MSN28" s="234" t="e">
        <f>astrogrep_path&amp;" /e /r /s /spath="&amp;search_path&amp;" /stypes=""app*"&amp;MRJ28&amp;"*"&amp;TEXT(MRQ28-utc_offset/24,"YYYYMMDD")&amp;"*"" /stext="" "&amp;TEXT(MRQ28-utc_offset/24,"HH")&amp;search_regexp&amp;""""</f>
        <v>#REF!</v>
      </c>
      <c r="MSO28" s="234" t="e">
        <f>astrogrep_path&amp;" /e /r /s /spath="&amp;search_path&amp;" /stypes=""app*"&amp;MRK28&amp;"*"&amp;TEXT(MRR28-utc_offset/24,"YYYYMMDD")&amp;"*"" /stext="" "&amp;TEXT(MRR28-utc_offset/24,"HH")&amp;search_regexp&amp;""""</f>
        <v>#REF!</v>
      </c>
      <c r="MSP28" s="234" t="e">
        <f>astrogrep_path&amp;" /e /r /s /spath="&amp;search_path&amp;" /stypes=""app*"&amp;MRL28&amp;"*"&amp;TEXT(MRS28-utc_offset/24,"YYYYMMDD")&amp;"*"" /stext="" "&amp;TEXT(MRS28-utc_offset/24,"HH")&amp;search_regexp&amp;""""</f>
        <v>#REF!</v>
      </c>
      <c r="MSQ28" s="234" t="e">
        <f>astrogrep_path&amp;" /e /r /s /spath="&amp;search_path&amp;" /stypes=""app*"&amp;MRM28&amp;"*"&amp;TEXT(MRT28-utc_offset/24,"YYYYMMDD")&amp;"*"" /stext="" "&amp;TEXT(MRT28-utc_offset/24,"HH")&amp;search_regexp&amp;""""</f>
        <v>#REF!</v>
      </c>
      <c r="MSR28" s="234" t="e">
        <f>astrogrep_path&amp;" /e /r /s /spath="&amp;search_path&amp;" /stypes=""app*"&amp;MRN28&amp;"*"&amp;TEXT(MRU28-utc_offset/24,"YYYYMMDD")&amp;"*"" /stext="" "&amp;TEXT(MRU28-utc_offset/24,"HH")&amp;search_regexp&amp;""""</f>
        <v>#REF!</v>
      </c>
      <c r="MSS28" s="234" t="e">
        <f>astrogrep_path&amp;" /e /r /s /spath="&amp;search_path&amp;" /stypes=""app*"&amp;MRO28&amp;"*"&amp;TEXT(MRV28-utc_offset/24,"YYYYMMDD")&amp;"*"" /stext="" "&amp;TEXT(MRV28-utc_offset/24,"HH")&amp;search_regexp&amp;""""</f>
        <v>#VALUE!</v>
      </c>
      <c r="MST28" s="234" t="e">
        <f>astrogrep_path&amp;" /e /r /s /spath="&amp;search_path&amp;" /stypes=""app*"&amp;MRP28&amp;"*"&amp;TEXT(MRW28-utc_offset/24,"YYYYMMDD")&amp;"*"" /stext="" "&amp;TEXT(MRW28-utc_offset/24,"HH")&amp;search_regexp&amp;""""</f>
        <v>#VALUE!</v>
      </c>
      <c r="MSU28" s="234" t="e">
        <f>astrogrep_path&amp;" /e /r /s /spath="&amp;search_path&amp;" /stypes=""app*"&amp;MRQ28&amp;"*"&amp;TEXT(MRX28-utc_offset/24,"YYYYMMDD")&amp;"*"" /stext="" "&amp;TEXT(MRX28-utc_offset/24,"HH")&amp;search_regexp&amp;""""</f>
        <v>#REF!</v>
      </c>
      <c r="MSV28" s="234" t="e">
        <f>astrogrep_path&amp;" /e /r /s /spath="&amp;search_path&amp;" /stypes=""app*"&amp;MRR28&amp;"*"&amp;TEXT(MRY28-utc_offset/24,"YYYYMMDD")&amp;"*"" /stext="" "&amp;TEXT(MRY28-utc_offset/24,"HH")&amp;search_regexp&amp;""""</f>
        <v>#REF!</v>
      </c>
      <c r="MSW28" s="234" t="e">
        <f>astrogrep_path&amp;" /e /r /s /spath="&amp;search_path&amp;" /stypes=""app*"&amp;MRS28&amp;"*"&amp;TEXT(MRZ28-utc_offset/24,"YYYYMMDD")&amp;"*"" /stext="" "&amp;TEXT(MRZ28-utc_offset/24,"HH")&amp;search_regexp&amp;""""</f>
        <v>#VALUE!</v>
      </c>
      <c r="MSX28" s="234" t="e">
        <f>astrogrep_path&amp;" /e /r /s /spath="&amp;search_path&amp;" /stypes=""app*"&amp;MRT28&amp;"*"&amp;TEXT(MSA28-utc_offset/24,"YYYYMMDD")&amp;"*"" /stext="" "&amp;TEXT(MSA28-utc_offset/24,"HH")&amp;search_regexp&amp;""""</f>
        <v>#VALUE!</v>
      </c>
      <c r="MSY28" s="234" t="e">
        <f>astrogrep_path&amp;" /e /r /s /spath="&amp;search_path&amp;" /stypes=""app*"&amp;MRU28&amp;"*"&amp;TEXT(MSB28-utc_offset/24,"YYYYMMDD")&amp;"*"" /stext="" "&amp;TEXT(MSB28-utc_offset/24,"HH")&amp;search_regexp&amp;""""</f>
        <v>#VALUE!</v>
      </c>
      <c r="MSZ28" s="234" t="e">
        <f>astrogrep_path&amp;" /e /r /s /spath="&amp;search_path&amp;" /stypes=""app*"&amp;MRV28&amp;"*"&amp;TEXT(MSC28-utc_offset/24,"YYYYMMDD")&amp;"*"" /stext="" "&amp;TEXT(MSC28-utc_offset/24,"HH")&amp;search_regexp&amp;""""</f>
        <v>#VALUE!</v>
      </c>
      <c r="MTA28" s="234" t="e">
        <f>astrogrep_path&amp;" /e /r /s /spath="&amp;search_path&amp;" /stypes=""app*"&amp;MRW28&amp;"*"&amp;TEXT(MSD28-utc_offset/24,"YYYYMMDD")&amp;"*"" /stext="" "&amp;TEXT(MSD28-utc_offset/24,"HH")&amp;search_regexp&amp;""""</f>
        <v>#VALUE!</v>
      </c>
      <c r="MTB28" s="234" t="e">
        <f>astrogrep_path&amp;" /e /r /s /spath="&amp;search_path&amp;" /stypes=""app*"&amp;MRX28&amp;"*"&amp;TEXT(MSE28-utc_offset/24,"YYYYMMDD")&amp;"*"" /stext="" "&amp;TEXT(MSE28-utc_offset/24,"HH")&amp;search_regexp&amp;""""</f>
        <v>#REF!</v>
      </c>
      <c r="MTC28" s="234" t="e">
        <f>astrogrep_path&amp;" /e /r /s /spath="&amp;search_path&amp;" /stypes=""app*"&amp;MRY28&amp;"*"&amp;TEXT(MSF28-utc_offset/24,"YYYYMMDD")&amp;"*"" /stext="" "&amp;TEXT(MSF28-utc_offset/24,"HH")&amp;search_regexp&amp;""""</f>
        <v>#REF!</v>
      </c>
      <c r="MTD28" s="234" t="e">
        <f>astrogrep_path&amp;" /e /r /s /spath="&amp;search_path&amp;" /stypes=""app*"&amp;MRZ28&amp;"*"&amp;TEXT(MSG28-utc_offset/24,"YYYYMMDD")&amp;"*"" /stext="" "&amp;TEXT(MSG28-utc_offset/24,"HH")&amp;search_regexp&amp;""""</f>
        <v>#REF!</v>
      </c>
      <c r="MTE28" s="234" t="e">
        <f>astrogrep_path&amp;" /e /r /s /spath="&amp;search_path&amp;" /stypes=""app*"&amp;MSA28&amp;"*"&amp;TEXT(MSH28-utc_offset/24,"YYYYMMDD")&amp;"*"" /stext="" "&amp;TEXT(MSH28-utc_offset/24,"HH")&amp;search_regexp&amp;""""</f>
        <v>#REF!</v>
      </c>
      <c r="MTF28" s="234" t="e">
        <f>astrogrep_path&amp;" /e /r /s /spath="&amp;search_path&amp;" /stypes=""app*"&amp;MSB28&amp;"*"&amp;TEXT(MSI28-utc_offset/24,"YYYYMMDD")&amp;"*"" /stext="" "&amp;TEXT(MSI28-utc_offset/24,"HH")&amp;search_regexp&amp;""""</f>
        <v>#REF!</v>
      </c>
      <c r="MTG28" s="234" t="e">
        <f>astrogrep_path&amp;" /e /r /s /spath="&amp;search_path&amp;" /stypes=""app*"&amp;MSC28&amp;"*"&amp;TEXT(MSJ28-utc_offset/24,"YYYYMMDD")&amp;"*"" /stext="" "&amp;TEXT(MSJ28-utc_offset/24,"HH")&amp;search_regexp&amp;""""</f>
        <v>#REF!</v>
      </c>
      <c r="MTH28" s="234" t="e">
        <f>astrogrep_path&amp;" /e /r /s /spath="&amp;search_path&amp;" /stypes=""app*"&amp;MSD28&amp;"*"&amp;TEXT(MSK28-utc_offset/24,"YYYYMMDD")&amp;"*"" /stext="" "&amp;TEXT(MSK28-utc_offset/24,"HH")&amp;search_regexp&amp;""""</f>
        <v>#REF!</v>
      </c>
      <c r="MTI28" s="234" t="e">
        <f>astrogrep_path&amp;" /e /r /s /spath="&amp;search_path&amp;" /stypes=""app*"&amp;MSE28&amp;"*"&amp;TEXT(MSL28-utc_offset/24,"YYYYMMDD")&amp;"*"" /stext="" "&amp;TEXT(MSL28-utc_offset/24,"HH")&amp;search_regexp&amp;""""</f>
        <v>#REF!</v>
      </c>
      <c r="MTJ28" s="234" t="e">
        <f>astrogrep_path&amp;" /e /r /s /spath="&amp;search_path&amp;" /stypes=""app*"&amp;MSF28&amp;"*"&amp;TEXT(MSM28-utc_offset/24,"YYYYMMDD")&amp;"*"" /stext="" "&amp;TEXT(MSM28-utc_offset/24,"HH")&amp;search_regexp&amp;""""</f>
        <v>#REF!</v>
      </c>
      <c r="MTK28" s="234" t="e">
        <f>astrogrep_path&amp;" /e /r /s /spath="&amp;search_path&amp;" /stypes=""app*"&amp;MSG28&amp;"*"&amp;TEXT(MSN28-utc_offset/24,"YYYYMMDD")&amp;"*"" /stext="" "&amp;TEXT(MSN28-utc_offset/24,"HH")&amp;search_regexp&amp;""""</f>
        <v>#REF!</v>
      </c>
      <c r="MTL28" s="234" t="e">
        <f>astrogrep_path&amp;" /e /r /s /spath="&amp;search_path&amp;" /stypes=""app*"&amp;MSH28&amp;"*"&amp;TEXT(MSO28-utc_offset/24,"YYYYMMDD")&amp;"*"" /stext="" "&amp;TEXT(MSO28-utc_offset/24,"HH")&amp;search_regexp&amp;""""</f>
        <v>#REF!</v>
      </c>
      <c r="MTM28" s="234" t="e">
        <f>astrogrep_path&amp;" /e /r /s /spath="&amp;search_path&amp;" /stypes=""app*"&amp;MSI28&amp;"*"&amp;TEXT(MSP28-utc_offset/24,"YYYYMMDD")&amp;"*"" /stext="" "&amp;TEXT(MSP28-utc_offset/24,"HH")&amp;search_regexp&amp;""""</f>
        <v>#REF!</v>
      </c>
      <c r="MTN28" s="234" t="e">
        <f>astrogrep_path&amp;" /e /r /s /spath="&amp;search_path&amp;" /stypes=""app*"&amp;MSJ28&amp;"*"&amp;TEXT(MSQ28-utc_offset/24,"YYYYMMDD")&amp;"*"" /stext="" "&amp;TEXT(MSQ28-utc_offset/24,"HH")&amp;search_regexp&amp;""""</f>
        <v>#REF!</v>
      </c>
      <c r="MTO28" s="234" t="e">
        <f>astrogrep_path&amp;" /e /r /s /spath="&amp;search_path&amp;" /stypes=""app*"&amp;MSK28&amp;"*"&amp;TEXT(MSR28-utc_offset/24,"YYYYMMDD")&amp;"*"" /stext="" "&amp;TEXT(MSR28-utc_offset/24,"HH")&amp;search_regexp&amp;""""</f>
        <v>#REF!</v>
      </c>
      <c r="MTP28" s="234" t="e">
        <f>astrogrep_path&amp;" /e /r /s /spath="&amp;search_path&amp;" /stypes=""app*"&amp;MSL28&amp;"*"&amp;TEXT(MSS28-utc_offset/24,"YYYYMMDD")&amp;"*"" /stext="" "&amp;TEXT(MSS28-utc_offset/24,"HH")&amp;search_regexp&amp;""""</f>
        <v>#REF!</v>
      </c>
      <c r="MTQ28" s="234" t="e">
        <f>astrogrep_path&amp;" /e /r /s /spath="&amp;search_path&amp;" /stypes=""app*"&amp;MSM28&amp;"*"&amp;TEXT(MST28-utc_offset/24,"YYYYMMDD")&amp;"*"" /stext="" "&amp;TEXT(MST28-utc_offset/24,"HH")&amp;search_regexp&amp;""""</f>
        <v>#REF!</v>
      </c>
      <c r="MTR28" s="234" t="e">
        <f>astrogrep_path&amp;" /e /r /s /spath="&amp;search_path&amp;" /stypes=""app*"&amp;MSN28&amp;"*"&amp;TEXT(MSU28-utc_offset/24,"YYYYMMDD")&amp;"*"" /stext="" "&amp;TEXT(MSU28-utc_offset/24,"HH")&amp;search_regexp&amp;""""</f>
        <v>#REF!</v>
      </c>
      <c r="MTS28" s="234" t="e">
        <f>astrogrep_path&amp;" /e /r /s /spath="&amp;search_path&amp;" /stypes=""app*"&amp;MSO28&amp;"*"&amp;TEXT(MSV28-utc_offset/24,"YYYYMMDD")&amp;"*"" /stext="" "&amp;TEXT(MSV28-utc_offset/24,"HH")&amp;search_regexp&amp;""""</f>
        <v>#REF!</v>
      </c>
      <c r="MTT28" s="234" t="e">
        <f>astrogrep_path&amp;" /e /r /s /spath="&amp;search_path&amp;" /stypes=""app*"&amp;MSP28&amp;"*"&amp;TEXT(MSW28-utc_offset/24,"YYYYMMDD")&amp;"*"" /stext="" "&amp;TEXT(MSW28-utc_offset/24,"HH")&amp;search_regexp&amp;""""</f>
        <v>#REF!</v>
      </c>
      <c r="MTU28" s="234" t="e">
        <f>astrogrep_path&amp;" /e /r /s /spath="&amp;search_path&amp;" /stypes=""app*"&amp;MSQ28&amp;"*"&amp;TEXT(MSX28-utc_offset/24,"YYYYMMDD")&amp;"*"" /stext="" "&amp;TEXT(MSX28-utc_offset/24,"HH")&amp;search_regexp&amp;""""</f>
        <v>#REF!</v>
      </c>
      <c r="MTV28" s="234" t="e">
        <f>astrogrep_path&amp;" /e /r /s /spath="&amp;search_path&amp;" /stypes=""app*"&amp;MSR28&amp;"*"&amp;TEXT(MSY28-utc_offset/24,"YYYYMMDD")&amp;"*"" /stext="" "&amp;TEXT(MSY28-utc_offset/24,"HH")&amp;search_regexp&amp;""""</f>
        <v>#REF!</v>
      </c>
      <c r="MTW28" s="234" t="e">
        <f>astrogrep_path&amp;" /e /r /s /spath="&amp;search_path&amp;" /stypes=""app*"&amp;MSS28&amp;"*"&amp;TEXT(MSZ28-utc_offset/24,"YYYYMMDD")&amp;"*"" /stext="" "&amp;TEXT(MSZ28-utc_offset/24,"HH")&amp;search_regexp&amp;""""</f>
        <v>#VALUE!</v>
      </c>
      <c r="MTX28" s="234" t="e">
        <f>astrogrep_path&amp;" /e /r /s /spath="&amp;search_path&amp;" /stypes=""app*"&amp;MST28&amp;"*"&amp;TEXT(MTA28-utc_offset/24,"YYYYMMDD")&amp;"*"" /stext="" "&amp;TEXT(MTA28-utc_offset/24,"HH")&amp;search_regexp&amp;""""</f>
        <v>#VALUE!</v>
      </c>
      <c r="MTY28" s="234" t="e">
        <f>astrogrep_path&amp;" /e /r /s /spath="&amp;search_path&amp;" /stypes=""app*"&amp;MSU28&amp;"*"&amp;TEXT(MTB28-utc_offset/24,"YYYYMMDD")&amp;"*"" /stext="" "&amp;TEXT(MTB28-utc_offset/24,"HH")&amp;search_regexp&amp;""""</f>
        <v>#REF!</v>
      </c>
      <c r="MTZ28" s="234" t="e">
        <f>astrogrep_path&amp;" /e /r /s /spath="&amp;search_path&amp;" /stypes=""app*"&amp;MSV28&amp;"*"&amp;TEXT(MTC28-utc_offset/24,"YYYYMMDD")&amp;"*"" /stext="" "&amp;TEXT(MTC28-utc_offset/24,"HH")&amp;search_regexp&amp;""""</f>
        <v>#REF!</v>
      </c>
      <c r="MUA28" s="234" t="e">
        <f>astrogrep_path&amp;" /e /r /s /spath="&amp;search_path&amp;" /stypes=""app*"&amp;MSW28&amp;"*"&amp;TEXT(MTD28-utc_offset/24,"YYYYMMDD")&amp;"*"" /stext="" "&amp;TEXT(MTD28-utc_offset/24,"HH")&amp;search_regexp&amp;""""</f>
        <v>#VALUE!</v>
      </c>
      <c r="MUB28" s="234" t="e">
        <f>astrogrep_path&amp;" /e /r /s /spath="&amp;search_path&amp;" /stypes=""app*"&amp;MSX28&amp;"*"&amp;TEXT(MTE28-utc_offset/24,"YYYYMMDD")&amp;"*"" /stext="" "&amp;TEXT(MTE28-utc_offset/24,"HH")&amp;search_regexp&amp;""""</f>
        <v>#VALUE!</v>
      </c>
      <c r="MUC28" s="234" t="e">
        <f>astrogrep_path&amp;" /e /r /s /spath="&amp;search_path&amp;" /stypes=""app*"&amp;MSY28&amp;"*"&amp;TEXT(MTF28-utc_offset/24,"YYYYMMDD")&amp;"*"" /stext="" "&amp;TEXT(MTF28-utc_offset/24,"HH")&amp;search_regexp&amp;""""</f>
        <v>#VALUE!</v>
      </c>
      <c r="MUD28" s="234" t="e">
        <f>astrogrep_path&amp;" /e /r /s /spath="&amp;search_path&amp;" /stypes=""app*"&amp;MSZ28&amp;"*"&amp;TEXT(MTG28-utc_offset/24,"YYYYMMDD")&amp;"*"" /stext="" "&amp;TEXT(MTG28-utc_offset/24,"HH")&amp;search_regexp&amp;""""</f>
        <v>#VALUE!</v>
      </c>
      <c r="MUE28" s="234" t="e">
        <f>astrogrep_path&amp;" /e /r /s /spath="&amp;search_path&amp;" /stypes=""app*"&amp;MTA28&amp;"*"&amp;TEXT(MTH28-utc_offset/24,"YYYYMMDD")&amp;"*"" /stext="" "&amp;TEXT(MTH28-utc_offset/24,"HH")&amp;search_regexp&amp;""""</f>
        <v>#VALUE!</v>
      </c>
      <c r="MUF28" s="234" t="e">
        <f>astrogrep_path&amp;" /e /r /s /spath="&amp;search_path&amp;" /stypes=""app*"&amp;MTB28&amp;"*"&amp;TEXT(MTI28-utc_offset/24,"YYYYMMDD")&amp;"*"" /stext="" "&amp;TEXT(MTI28-utc_offset/24,"HH")&amp;search_regexp&amp;""""</f>
        <v>#REF!</v>
      </c>
      <c r="MUG28" s="234" t="e">
        <f>astrogrep_path&amp;" /e /r /s /spath="&amp;search_path&amp;" /stypes=""app*"&amp;MTC28&amp;"*"&amp;TEXT(MTJ28-utc_offset/24,"YYYYMMDD")&amp;"*"" /stext="" "&amp;TEXT(MTJ28-utc_offset/24,"HH")&amp;search_regexp&amp;""""</f>
        <v>#REF!</v>
      </c>
      <c r="MUH28" s="234" t="e">
        <f>astrogrep_path&amp;" /e /r /s /spath="&amp;search_path&amp;" /stypes=""app*"&amp;MTD28&amp;"*"&amp;TEXT(MTK28-utc_offset/24,"YYYYMMDD")&amp;"*"" /stext="" "&amp;TEXT(MTK28-utc_offset/24,"HH")&amp;search_regexp&amp;""""</f>
        <v>#REF!</v>
      </c>
      <c r="MUI28" s="234" t="e">
        <f>astrogrep_path&amp;" /e /r /s /spath="&amp;search_path&amp;" /stypes=""app*"&amp;MTE28&amp;"*"&amp;TEXT(MTL28-utc_offset/24,"YYYYMMDD")&amp;"*"" /stext="" "&amp;TEXT(MTL28-utc_offset/24,"HH")&amp;search_regexp&amp;""""</f>
        <v>#REF!</v>
      </c>
      <c r="MUJ28" s="234" t="e">
        <f>astrogrep_path&amp;" /e /r /s /spath="&amp;search_path&amp;" /stypes=""app*"&amp;MTF28&amp;"*"&amp;TEXT(MTM28-utc_offset/24,"YYYYMMDD")&amp;"*"" /stext="" "&amp;TEXT(MTM28-utc_offset/24,"HH")&amp;search_regexp&amp;""""</f>
        <v>#REF!</v>
      </c>
      <c r="MUK28" s="234" t="e">
        <f>astrogrep_path&amp;" /e /r /s /spath="&amp;search_path&amp;" /stypes=""app*"&amp;MTG28&amp;"*"&amp;TEXT(MTN28-utc_offset/24,"YYYYMMDD")&amp;"*"" /stext="" "&amp;TEXT(MTN28-utc_offset/24,"HH")&amp;search_regexp&amp;""""</f>
        <v>#REF!</v>
      </c>
      <c r="MUL28" s="234" t="e">
        <f>astrogrep_path&amp;" /e /r /s /spath="&amp;search_path&amp;" /stypes=""app*"&amp;MTH28&amp;"*"&amp;TEXT(MTO28-utc_offset/24,"YYYYMMDD")&amp;"*"" /stext="" "&amp;TEXT(MTO28-utc_offset/24,"HH")&amp;search_regexp&amp;""""</f>
        <v>#REF!</v>
      </c>
      <c r="MUM28" s="234" t="e">
        <f>astrogrep_path&amp;" /e /r /s /spath="&amp;search_path&amp;" /stypes=""app*"&amp;MTI28&amp;"*"&amp;TEXT(MTP28-utc_offset/24,"YYYYMMDD")&amp;"*"" /stext="" "&amp;TEXT(MTP28-utc_offset/24,"HH")&amp;search_regexp&amp;""""</f>
        <v>#REF!</v>
      </c>
      <c r="MUN28" s="234" t="e">
        <f>astrogrep_path&amp;" /e /r /s /spath="&amp;search_path&amp;" /stypes=""app*"&amp;MTJ28&amp;"*"&amp;TEXT(MTQ28-utc_offset/24,"YYYYMMDD")&amp;"*"" /stext="" "&amp;TEXT(MTQ28-utc_offset/24,"HH")&amp;search_regexp&amp;""""</f>
        <v>#REF!</v>
      </c>
      <c r="MUO28" s="234" t="e">
        <f>astrogrep_path&amp;" /e /r /s /spath="&amp;search_path&amp;" /stypes=""app*"&amp;MTK28&amp;"*"&amp;TEXT(MTR28-utc_offset/24,"YYYYMMDD")&amp;"*"" /stext="" "&amp;TEXT(MTR28-utc_offset/24,"HH")&amp;search_regexp&amp;""""</f>
        <v>#REF!</v>
      </c>
      <c r="MUP28" s="234" t="e">
        <f>astrogrep_path&amp;" /e /r /s /spath="&amp;search_path&amp;" /stypes=""app*"&amp;MTL28&amp;"*"&amp;TEXT(MTS28-utc_offset/24,"YYYYMMDD")&amp;"*"" /stext="" "&amp;TEXT(MTS28-utc_offset/24,"HH")&amp;search_regexp&amp;""""</f>
        <v>#REF!</v>
      </c>
      <c r="MUQ28" s="234" t="e">
        <f>astrogrep_path&amp;" /e /r /s /spath="&amp;search_path&amp;" /stypes=""app*"&amp;MTM28&amp;"*"&amp;TEXT(MTT28-utc_offset/24,"YYYYMMDD")&amp;"*"" /stext="" "&amp;TEXT(MTT28-utc_offset/24,"HH")&amp;search_regexp&amp;""""</f>
        <v>#REF!</v>
      </c>
      <c r="MUR28" s="234" t="e">
        <f>astrogrep_path&amp;" /e /r /s /spath="&amp;search_path&amp;" /stypes=""app*"&amp;MTN28&amp;"*"&amp;TEXT(MTU28-utc_offset/24,"YYYYMMDD")&amp;"*"" /stext="" "&amp;TEXT(MTU28-utc_offset/24,"HH")&amp;search_regexp&amp;""""</f>
        <v>#REF!</v>
      </c>
      <c r="MUS28" s="234" t="e">
        <f>astrogrep_path&amp;" /e /r /s /spath="&amp;search_path&amp;" /stypes=""app*"&amp;MTO28&amp;"*"&amp;TEXT(MTV28-utc_offset/24,"YYYYMMDD")&amp;"*"" /stext="" "&amp;TEXT(MTV28-utc_offset/24,"HH")&amp;search_regexp&amp;""""</f>
        <v>#REF!</v>
      </c>
      <c r="MUT28" s="234" t="e">
        <f>astrogrep_path&amp;" /e /r /s /spath="&amp;search_path&amp;" /stypes=""app*"&amp;MTP28&amp;"*"&amp;TEXT(MTW28-utc_offset/24,"YYYYMMDD")&amp;"*"" /stext="" "&amp;TEXT(MTW28-utc_offset/24,"HH")&amp;search_regexp&amp;""""</f>
        <v>#REF!</v>
      </c>
      <c r="MUU28" s="234" t="e">
        <f>astrogrep_path&amp;" /e /r /s /spath="&amp;search_path&amp;" /stypes=""app*"&amp;MTQ28&amp;"*"&amp;TEXT(MTX28-utc_offset/24,"YYYYMMDD")&amp;"*"" /stext="" "&amp;TEXT(MTX28-utc_offset/24,"HH")&amp;search_regexp&amp;""""</f>
        <v>#REF!</v>
      </c>
      <c r="MUV28" s="234" t="e">
        <f>astrogrep_path&amp;" /e /r /s /spath="&amp;search_path&amp;" /stypes=""app*"&amp;MTR28&amp;"*"&amp;TEXT(MTY28-utc_offset/24,"YYYYMMDD")&amp;"*"" /stext="" "&amp;TEXT(MTY28-utc_offset/24,"HH")&amp;search_regexp&amp;""""</f>
        <v>#REF!</v>
      </c>
      <c r="MUW28" s="234" t="e">
        <f>astrogrep_path&amp;" /e /r /s /spath="&amp;search_path&amp;" /stypes=""app*"&amp;MTS28&amp;"*"&amp;TEXT(MTZ28-utc_offset/24,"YYYYMMDD")&amp;"*"" /stext="" "&amp;TEXT(MTZ28-utc_offset/24,"HH")&amp;search_regexp&amp;""""</f>
        <v>#REF!</v>
      </c>
      <c r="MUX28" s="234" t="e">
        <f>astrogrep_path&amp;" /e /r /s /spath="&amp;search_path&amp;" /stypes=""app*"&amp;MTT28&amp;"*"&amp;TEXT(MUA28-utc_offset/24,"YYYYMMDD")&amp;"*"" /stext="" "&amp;TEXT(MUA28-utc_offset/24,"HH")&amp;search_regexp&amp;""""</f>
        <v>#REF!</v>
      </c>
      <c r="MUY28" s="234" t="e">
        <f>astrogrep_path&amp;" /e /r /s /spath="&amp;search_path&amp;" /stypes=""app*"&amp;MTU28&amp;"*"&amp;TEXT(MUB28-utc_offset/24,"YYYYMMDD")&amp;"*"" /stext="" "&amp;TEXT(MUB28-utc_offset/24,"HH")&amp;search_regexp&amp;""""</f>
        <v>#REF!</v>
      </c>
      <c r="MUZ28" s="234" t="e">
        <f>astrogrep_path&amp;" /e /r /s /spath="&amp;search_path&amp;" /stypes=""app*"&amp;MTV28&amp;"*"&amp;TEXT(MUC28-utc_offset/24,"YYYYMMDD")&amp;"*"" /stext="" "&amp;TEXT(MUC28-utc_offset/24,"HH")&amp;search_regexp&amp;""""</f>
        <v>#REF!</v>
      </c>
      <c r="MVA28" s="234" t="e">
        <f>astrogrep_path&amp;" /e /r /s /spath="&amp;search_path&amp;" /stypes=""app*"&amp;MTW28&amp;"*"&amp;TEXT(MUD28-utc_offset/24,"YYYYMMDD")&amp;"*"" /stext="" "&amp;TEXT(MUD28-utc_offset/24,"HH")&amp;search_regexp&amp;""""</f>
        <v>#VALUE!</v>
      </c>
      <c r="MVB28" s="234" t="e">
        <f>astrogrep_path&amp;" /e /r /s /spath="&amp;search_path&amp;" /stypes=""app*"&amp;MTX28&amp;"*"&amp;TEXT(MUE28-utc_offset/24,"YYYYMMDD")&amp;"*"" /stext="" "&amp;TEXT(MUE28-utc_offset/24,"HH")&amp;search_regexp&amp;""""</f>
        <v>#VALUE!</v>
      </c>
      <c r="MVC28" s="234" t="e">
        <f>astrogrep_path&amp;" /e /r /s /spath="&amp;search_path&amp;" /stypes=""app*"&amp;MTY28&amp;"*"&amp;TEXT(MUF28-utc_offset/24,"YYYYMMDD")&amp;"*"" /stext="" "&amp;TEXT(MUF28-utc_offset/24,"HH")&amp;search_regexp&amp;""""</f>
        <v>#REF!</v>
      </c>
      <c r="MVD28" s="234" t="e">
        <f>astrogrep_path&amp;" /e /r /s /spath="&amp;search_path&amp;" /stypes=""app*"&amp;MTZ28&amp;"*"&amp;TEXT(MUG28-utc_offset/24,"YYYYMMDD")&amp;"*"" /stext="" "&amp;TEXT(MUG28-utc_offset/24,"HH")&amp;search_regexp&amp;""""</f>
        <v>#REF!</v>
      </c>
      <c r="MVE28" s="234" t="e">
        <f>astrogrep_path&amp;" /e /r /s /spath="&amp;search_path&amp;" /stypes=""app*"&amp;MUA28&amp;"*"&amp;TEXT(MUH28-utc_offset/24,"YYYYMMDD")&amp;"*"" /stext="" "&amp;TEXT(MUH28-utc_offset/24,"HH")&amp;search_regexp&amp;""""</f>
        <v>#VALUE!</v>
      </c>
      <c r="MVF28" s="234" t="e">
        <f>astrogrep_path&amp;" /e /r /s /spath="&amp;search_path&amp;" /stypes=""app*"&amp;MUB28&amp;"*"&amp;TEXT(MUI28-utc_offset/24,"YYYYMMDD")&amp;"*"" /stext="" "&amp;TEXT(MUI28-utc_offset/24,"HH")&amp;search_regexp&amp;""""</f>
        <v>#VALUE!</v>
      </c>
      <c r="MVG28" s="234" t="e">
        <f>astrogrep_path&amp;" /e /r /s /spath="&amp;search_path&amp;" /stypes=""app*"&amp;MUC28&amp;"*"&amp;TEXT(MUJ28-utc_offset/24,"YYYYMMDD")&amp;"*"" /stext="" "&amp;TEXT(MUJ28-utc_offset/24,"HH")&amp;search_regexp&amp;""""</f>
        <v>#VALUE!</v>
      </c>
      <c r="MVH28" s="234" t="e">
        <f>astrogrep_path&amp;" /e /r /s /spath="&amp;search_path&amp;" /stypes=""app*"&amp;MUD28&amp;"*"&amp;TEXT(MUK28-utc_offset/24,"YYYYMMDD")&amp;"*"" /stext="" "&amp;TEXT(MUK28-utc_offset/24,"HH")&amp;search_regexp&amp;""""</f>
        <v>#VALUE!</v>
      </c>
      <c r="MVI28" s="234" t="e">
        <f>astrogrep_path&amp;" /e /r /s /spath="&amp;search_path&amp;" /stypes=""app*"&amp;MUE28&amp;"*"&amp;TEXT(MUL28-utc_offset/24,"YYYYMMDD")&amp;"*"" /stext="" "&amp;TEXT(MUL28-utc_offset/24,"HH")&amp;search_regexp&amp;""""</f>
        <v>#VALUE!</v>
      </c>
      <c r="MVJ28" s="234" t="e">
        <f>astrogrep_path&amp;" /e /r /s /spath="&amp;search_path&amp;" /stypes=""app*"&amp;MUF28&amp;"*"&amp;TEXT(MUM28-utc_offset/24,"YYYYMMDD")&amp;"*"" /stext="" "&amp;TEXT(MUM28-utc_offset/24,"HH")&amp;search_regexp&amp;""""</f>
        <v>#REF!</v>
      </c>
      <c r="MVK28" s="234" t="e">
        <f>astrogrep_path&amp;" /e /r /s /spath="&amp;search_path&amp;" /stypes=""app*"&amp;MUG28&amp;"*"&amp;TEXT(MUN28-utc_offset/24,"YYYYMMDD")&amp;"*"" /stext="" "&amp;TEXT(MUN28-utc_offset/24,"HH")&amp;search_regexp&amp;""""</f>
        <v>#REF!</v>
      </c>
      <c r="MVL28" s="234" t="e">
        <f>astrogrep_path&amp;" /e /r /s /spath="&amp;search_path&amp;" /stypes=""app*"&amp;MUH28&amp;"*"&amp;TEXT(MUO28-utc_offset/24,"YYYYMMDD")&amp;"*"" /stext="" "&amp;TEXT(MUO28-utc_offset/24,"HH")&amp;search_regexp&amp;""""</f>
        <v>#REF!</v>
      </c>
      <c r="MVM28" s="234" t="e">
        <f>astrogrep_path&amp;" /e /r /s /spath="&amp;search_path&amp;" /stypes=""app*"&amp;MUI28&amp;"*"&amp;TEXT(MUP28-utc_offset/24,"YYYYMMDD")&amp;"*"" /stext="" "&amp;TEXT(MUP28-utc_offset/24,"HH")&amp;search_regexp&amp;""""</f>
        <v>#REF!</v>
      </c>
      <c r="MVN28" s="234" t="e">
        <f>astrogrep_path&amp;" /e /r /s /spath="&amp;search_path&amp;" /stypes=""app*"&amp;MUJ28&amp;"*"&amp;TEXT(MUQ28-utc_offset/24,"YYYYMMDD")&amp;"*"" /stext="" "&amp;TEXT(MUQ28-utc_offset/24,"HH")&amp;search_regexp&amp;""""</f>
        <v>#REF!</v>
      </c>
      <c r="MVO28" s="234" t="e">
        <f>astrogrep_path&amp;" /e /r /s /spath="&amp;search_path&amp;" /stypes=""app*"&amp;MUK28&amp;"*"&amp;TEXT(MUR28-utc_offset/24,"YYYYMMDD")&amp;"*"" /stext="" "&amp;TEXT(MUR28-utc_offset/24,"HH")&amp;search_regexp&amp;""""</f>
        <v>#REF!</v>
      </c>
      <c r="MVP28" s="234" t="e">
        <f>astrogrep_path&amp;" /e /r /s /spath="&amp;search_path&amp;" /stypes=""app*"&amp;MUL28&amp;"*"&amp;TEXT(MUS28-utc_offset/24,"YYYYMMDD")&amp;"*"" /stext="" "&amp;TEXT(MUS28-utc_offset/24,"HH")&amp;search_regexp&amp;""""</f>
        <v>#REF!</v>
      </c>
      <c r="MVQ28" s="234" t="e">
        <f>astrogrep_path&amp;" /e /r /s /spath="&amp;search_path&amp;" /stypes=""app*"&amp;MUM28&amp;"*"&amp;TEXT(MUT28-utc_offset/24,"YYYYMMDD")&amp;"*"" /stext="" "&amp;TEXT(MUT28-utc_offset/24,"HH")&amp;search_regexp&amp;""""</f>
        <v>#REF!</v>
      </c>
      <c r="MVR28" s="234" t="e">
        <f>astrogrep_path&amp;" /e /r /s /spath="&amp;search_path&amp;" /stypes=""app*"&amp;MUN28&amp;"*"&amp;TEXT(MUU28-utc_offset/24,"YYYYMMDD")&amp;"*"" /stext="" "&amp;TEXT(MUU28-utc_offset/24,"HH")&amp;search_regexp&amp;""""</f>
        <v>#REF!</v>
      </c>
      <c r="MVS28" s="234" t="e">
        <f>astrogrep_path&amp;" /e /r /s /spath="&amp;search_path&amp;" /stypes=""app*"&amp;MUO28&amp;"*"&amp;TEXT(MUV28-utc_offset/24,"YYYYMMDD")&amp;"*"" /stext="" "&amp;TEXT(MUV28-utc_offset/24,"HH")&amp;search_regexp&amp;""""</f>
        <v>#REF!</v>
      </c>
      <c r="MVT28" s="234" t="e">
        <f>astrogrep_path&amp;" /e /r /s /spath="&amp;search_path&amp;" /stypes=""app*"&amp;MUP28&amp;"*"&amp;TEXT(MUW28-utc_offset/24,"YYYYMMDD")&amp;"*"" /stext="" "&amp;TEXT(MUW28-utc_offset/24,"HH")&amp;search_regexp&amp;""""</f>
        <v>#REF!</v>
      </c>
      <c r="MVU28" s="234" t="e">
        <f>astrogrep_path&amp;" /e /r /s /spath="&amp;search_path&amp;" /stypes=""app*"&amp;MUQ28&amp;"*"&amp;TEXT(MUX28-utc_offset/24,"YYYYMMDD")&amp;"*"" /stext="" "&amp;TEXT(MUX28-utc_offset/24,"HH")&amp;search_regexp&amp;""""</f>
        <v>#REF!</v>
      </c>
      <c r="MVV28" s="234" t="e">
        <f>astrogrep_path&amp;" /e /r /s /spath="&amp;search_path&amp;" /stypes=""app*"&amp;MUR28&amp;"*"&amp;TEXT(MUY28-utc_offset/24,"YYYYMMDD")&amp;"*"" /stext="" "&amp;TEXT(MUY28-utc_offset/24,"HH")&amp;search_regexp&amp;""""</f>
        <v>#REF!</v>
      </c>
      <c r="MVW28" s="234" t="e">
        <f>astrogrep_path&amp;" /e /r /s /spath="&amp;search_path&amp;" /stypes=""app*"&amp;MUS28&amp;"*"&amp;TEXT(MUZ28-utc_offset/24,"YYYYMMDD")&amp;"*"" /stext="" "&amp;TEXT(MUZ28-utc_offset/24,"HH")&amp;search_regexp&amp;""""</f>
        <v>#REF!</v>
      </c>
      <c r="MVX28" s="234" t="e">
        <f>astrogrep_path&amp;" /e /r /s /spath="&amp;search_path&amp;" /stypes=""app*"&amp;MUT28&amp;"*"&amp;TEXT(MVA28-utc_offset/24,"YYYYMMDD")&amp;"*"" /stext="" "&amp;TEXT(MVA28-utc_offset/24,"HH")&amp;search_regexp&amp;""""</f>
        <v>#REF!</v>
      </c>
      <c r="MVY28" s="234" t="e">
        <f>astrogrep_path&amp;" /e /r /s /spath="&amp;search_path&amp;" /stypes=""app*"&amp;MUU28&amp;"*"&amp;TEXT(MVB28-utc_offset/24,"YYYYMMDD")&amp;"*"" /stext="" "&amp;TEXT(MVB28-utc_offset/24,"HH")&amp;search_regexp&amp;""""</f>
        <v>#REF!</v>
      </c>
      <c r="MVZ28" s="234" t="e">
        <f>astrogrep_path&amp;" /e /r /s /spath="&amp;search_path&amp;" /stypes=""app*"&amp;MUV28&amp;"*"&amp;TEXT(MVC28-utc_offset/24,"YYYYMMDD")&amp;"*"" /stext="" "&amp;TEXT(MVC28-utc_offset/24,"HH")&amp;search_regexp&amp;""""</f>
        <v>#REF!</v>
      </c>
      <c r="MWA28" s="234" t="e">
        <f>astrogrep_path&amp;" /e /r /s /spath="&amp;search_path&amp;" /stypes=""app*"&amp;MUW28&amp;"*"&amp;TEXT(MVD28-utc_offset/24,"YYYYMMDD")&amp;"*"" /stext="" "&amp;TEXT(MVD28-utc_offset/24,"HH")&amp;search_regexp&amp;""""</f>
        <v>#REF!</v>
      </c>
      <c r="MWB28" s="234" t="e">
        <f>astrogrep_path&amp;" /e /r /s /spath="&amp;search_path&amp;" /stypes=""app*"&amp;MUX28&amp;"*"&amp;TEXT(MVE28-utc_offset/24,"YYYYMMDD")&amp;"*"" /stext="" "&amp;TEXT(MVE28-utc_offset/24,"HH")&amp;search_regexp&amp;""""</f>
        <v>#REF!</v>
      </c>
      <c r="MWC28" s="234" t="e">
        <f>astrogrep_path&amp;" /e /r /s /spath="&amp;search_path&amp;" /stypes=""app*"&amp;MUY28&amp;"*"&amp;TEXT(MVF28-utc_offset/24,"YYYYMMDD")&amp;"*"" /stext="" "&amp;TEXT(MVF28-utc_offset/24,"HH")&amp;search_regexp&amp;""""</f>
        <v>#REF!</v>
      </c>
      <c r="MWD28" s="234" t="e">
        <f>astrogrep_path&amp;" /e /r /s /spath="&amp;search_path&amp;" /stypes=""app*"&amp;MUZ28&amp;"*"&amp;TEXT(MVG28-utc_offset/24,"YYYYMMDD")&amp;"*"" /stext="" "&amp;TEXT(MVG28-utc_offset/24,"HH")&amp;search_regexp&amp;""""</f>
        <v>#REF!</v>
      </c>
      <c r="MWE28" s="234" t="e">
        <f>astrogrep_path&amp;" /e /r /s /spath="&amp;search_path&amp;" /stypes=""app*"&amp;MVA28&amp;"*"&amp;TEXT(MVH28-utc_offset/24,"YYYYMMDD")&amp;"*"" /stext="" "&amp;TEXT(MVH28-utc_offset/24,"HH")&amp;search_regexp&amp;""""</f>
        <v>#VALUE!</v>
      </c>
      <c r="MWF28" s="234" t="e">
        <f>astrogrep_path&amp;" /e /r /s /spath="&amp;search_path&amp;" /stypes=""app*"&amp;MVB28&amp;"*"&amp;TEXT(MVI28-utc_offset/24,"YYYYMMDD")&amp;"*"" /stext="" "&amp;TEXT(MVI28-utc_offset/24,"HH")&amp;search_regexp&amp;""""</f>
        <v>#VALUE!</v>
      </c>
      <c r="MWG28" s="234" t="e">
        <f>astrogrep_path&amp;" /e /r /s /spath="&amp;search_path&amp;" /stypes=""app*"&amp;MVC28&amp;"*"&amp;TEXT(MVJ28-utc_offset/24,"YYYYMMDD")&amp;"*"" /stext="" "&amp;TEXT(MVJ28-utc_offset/24,"HH")&amp;search_regexp&amp;""""</f>
        <v>#REF!</v>
      </c>
      <c r="MWH28" s="234" t="e">
        <f>astrogrep_path&amp;" /e /r /s /spath="&amp;search_path&amp;" /stypes=""app*"&amp;MVD28&amp;"*"&amp;TEXT(MVK28-utc_offset/24,"YYYYMMDD")&amp;"*"" /stext="" "&amp;TEXT(MVK28-utc_offset/24,"HH")&amp;search_regexp&amp;""""</f>
        <v>#REF!</v>
      </c>
      <c r="MWI28" s="234" t="e">
        <f>astrogrep_path&amp;" /e /r /s /spath="&amp;search_path&amp;" /stypes=""app*"&amp;MVE28&amp;"*"&amp;TEXT(MVL28-utc_offset/24,"YYYYMMDD")&amp;"*"" /stext="" "&amp;TEXT(MVL28-utc_offset/24,"HH")&amp;search_regexp&amp;""""</f>
        <v>#VALUE!</v>
      </c>
      <c r="MWJ28" s="234" t="e">
        <f>astrogrep_path&amp;" /e /r /s /spath="&amp;search_path&amp;" /stypes=""app*"&amp;MVF28&amp;"*"&amp;TEXT(MVM28-utc_offset/24,"YYYYMMDD")&amp;"*"" /stext="" "&amp;TEXT(MVM28-utc_offset/24,"HH")&amp;search_regexp&amp;""""</f>
        <v>#VALUE!</v>
      </c>
      <c r="MWK28" s="234" t="e">
        <f>astrogrep_path&amp;" /e /r /s /spath="&amp;search_path&amp;" /stypes=""app*"&amp;MVG28&amp;"*"&amp;TEXT(MVN28-utc_offset/24,"YYYYMMDD")&amp;"*"" /stext="" "&amp;TEXT(MVN28-utc_offset/24,"HH")&amp;search_regexp&amp;""""</f>
        <v>#VALUE!</v>
      </c>
      <c r="MWL28" s="234" t="e">
        <f>astrogrep_path&amp;" /e /r /s /spath="&amp;search_path&amp;" /stypes=""app*"&amp;MVH28&amp;"*"&amp;TEXT(MVO28-utc_offset/24,"YYYYMMDD")&amp;"*"" /stext="" "&amp;TEXT(MVO28-utc_offset/24,"HH")&amp;search_regexp&amp;""""</f>
        <v>#VALUE!</v>
      </c>
      <c r="MWM28" s="234" t="e">
        <f>astrogrep_path&amp;" /e /r /s /spath="&amp;search_path&amp;" /stypes=""app*"&amp;MVI28&amp;"*"&amp;TEXT(MVP28-utc_offset/24,"YYYYMMDD")&amp;"*"" /stext="" "&amp;TEXT(MVP28-utc_offset/24,"HH")&amp;search_regexp&amp;""""</f>
        <v>#VALUE!</v>
      </c>
      <c r="MWN28" s="234" t="e">
        <f>astrogrep_path&amp;" /e /r /s /spath="&amp;search_path&amp;" /stypes=""app*"&amp;MVJ28&amp;"*"&amp;TEXT(MVQ28-utc_offset/24,"YYYYMMDD")&amp;"*"" /stext="" "&amp;TEXT(MVQ28-utc_offset/24,"HH")&amp;search_regexp&amp;""""</f>
        <v>#REF!</v>
      </c>
      <c r="MWO28" s="234" t="e">
        <f>astrogrep_path&amp;" /e /r /s /spath="&amp;search_path&amp;" /stypes=""app*"&amp;MVK28&amp;"*"&amp;TEXT(MVR28-utc_offset/24,"YYYYMMDD")&amp;"*"" /stext="" "&amp;TEXT(MVR28-utc_offset/24,"HH")&amp;search_regexp&amp;""""</f>
        <v>#REF!</v>
      </c>
      <c r="MWP28" s="234" t="e">
        <f>astrogrep_path&amp;" /e /r /s /spath="&amp;search_path&amp;" /stypes=""app*"&amp;MVL28&amp;"*"&amp;TEXT(MVS28-utc_offset/24,"YYYYMMDD")&amp;"*"" /stext="" "&amp;TEXT(MVS28-utc_offset/24,"HH")&amp;search_regexp&amp;""""</f>
        <v>#REF!</v>
      </c>
      <c r="MWQ28" s="234" t="e">
        <f>astrogrep_path&amp;" /e /r /s /spath="&amp;search_path&amp;" /stypes=""app*"&amp;MVM28&amp;"*"&amp;TEXT(MVT28-utc_offset/24,"YYYYMMDD")&amp;"*"" /stext="" "&amp;TEXT(MVT28-utc_offset/24,"HH")&amp;search_regexp&amp;""""</f>
        <v>#REF!</v>
      </c>
      <c r="MWR28" s="234" t="e">
        <f>astrogrep_path&amp;" /e /r /s /spath="&amp;search_path&amp;" /stypes=""app*"&amp;MVN28&amp;"*"&amp;TEXT(MVU28-utc_offset/24,"YYYYMMDD")&amp;"*"" /stext="" "&amp;TEXT(MVU28-utc_offset/24,"HH")&amp;search_regexp&amp;""""</f>
        <v>#REF!</v>
      </c>
      <c r="MWS28" s="234" t="e">
        <f>astrogrep_path&amp;" /e /r /s /spath="&amp;search_path&amp;" /stypes=""app*"&amp;MVO28&amp;"*"&amp;TEXT(MVV28-utc_offset/24,"YYYYMMDD")&amp;"*"" /stext="" "&amp;TEXT(MVV28-utc_offset/24,"HH")&amp;search_regexp&amp;""""</f>
        <v>#REF!</v>
      </c>
      <c r="MWT28" s="234" t="e">
        <f>astrogrep_path&amp;" /e /r /s /spath="&amp;search_path&amp;" /stypes=""app*"&amp;MVP28&amp;"*"&amp;TEXT(MVW28-utc_offset/24,"YYYYMMDD")&amp;"*"" /stext="" "&amp;TEXT(MVW28-utc_offset/24,"HH")&amp;search_regexp&amp;""""</f>
        <v>#REF!</v>
      </c>
      <c r="MWU28" s="234" t="e">
        <f>astrogrep_path&amp;" /e /r /s /spath="&amp;search_path&amp;" /stypes=""app*"&amp;MVQ28&amp;"*"&amp;TEXT(MVX28-utc_offset/24,"YYYYMMDD")&amp;"*"" /stext="" "&amp;TEXT(MVX28-utc_offset/24,"HH")&amp;search_regexp&amp;""""</f>
        <v>#REF!</v>
      </c>
      <c r="MWV28" s="234" t="e">
        <f>astrogrep_path&amp;" /e /r /s /spath="&amp;search_path&amp;" /stypes=""app*"&amp;MVR28&amp;"*"&amp;TEXT(MVY28-utc_offset/24,"YYYYMMDD")&amp;"*"" /stext="" "&amp;TEXT(MVY28-utc_offset/24,"HH")&amp;search_regexp&amp;""""</f>
        <v>#REF!</v>
      </c>
      <c r="MWW28" s="234" t="e">
        <f>astrogrep_path&amp;" /e /r /s /spath="&amp;search_path&amp;" /stypes=""app*"&amp;MVS28&amp;"*"&amp;TEXT(MVZ28-utc_offset/24,"YYYYMMDD")&amp;"*"" /stext="" "&amp;TEXT(MVZ28-utc_offset/24,"HH")&amp;search_regexp&amp;""""</f>
        <v>#REF!</v>
      </c>
      <c r="MWX28" s="234" t="e">
        <f>astrogrep_path&amp;" /e /r /s /spath="&amp;search_path&amp;" /stypes=""app*"&amp;MVT28&amp;"*"&amp;TEXT(MWA28-utc_offset/24,"YYYYMMDD")&amp;"*"" /stext="" "&amp;TEXT(MWA28-utc_offset/24,"HH")&amp;search_regexp&amp;""""</f>
        <v>#REF!</v>
      </c>
      <c r="MWY28" s="234" t="e">
        <f>astrogrep_path&amp;" /e /r /s /spath="&amp;search_path&amp;" /stypes=""app*"&amp;MVU28&amp;"*"&amp;TEXT(MWB28-utc_offset/24,"YYYYMMDD")&amp;"*"" /stext="" "&amp;TEXT(MWB28-utc_offset/24,"HH")&amp;search_regexp&amp;""""</f>
        <v>#REF!</v>
      </c>
      <c r="MWZ28" s="234" t="e">
        <f>astrogrep_path&amp;" /e /r /s /spath="&amp;search_path&amp;" /stypes=""app*"&amp;MVV28&amp;"*"&amp;TEXT(MWC28-utc_offset/24,"YYYYMMDD")&amp;"*"" /stext="" "&amp;TEXT(MWC28-utc_offset/24,"HH")&amp;search_regexp&amp;""""</f>
        <v>#REF!</v>
      </c>
      <c r="MXA28" s="234" t="e">
        <f>astrogrep_path&amp;" /e /r /s /spath="&amp;search_path&amp;" /stypes=""app*"&amp;MVW28&amp;"*"&amp;TEXT(MWD28-utc_offset/24,"YYYYMMDD")&amp;"*"" /stext="" "&amp;TEXT(MWD28-utc_offset/24,"HH")&amp;search_regexp&amp;""""</f>
        <v>#REF!</v>
      </c>
      <c r="MXB28" s="234" t="e">
        <f>astrogrep_path&amp;" /e /r /s /spath="&amp;search_path&amp;" /stypes=""app*"&amp;MVX28&amp;"*"&amp;TEXT(MWE28-utc_offset/24,"YYYYMMDD")&amp;"*"" /stext="" "&amp;TEXT(MWE28-utc_offset/24,"HH")&amp;search_regexp&amp;""""</f>
        <v>#REF!</v>
      </c>
      <c r="MXC28" s="234" t="e">
        <f>astrogrep_path&amp;" /e /r /s /spath="&amp;search_path&amp;" /stypes=""app*"&amp;MVY28&amp;"*"&amp;TEXT(MWF28-utc_offset/24,"YYYYMMDD")&amp;"*"" /stext="" "&amp;TEXT(MWF28-utc_offset/24,"HH")&amp;search_regexp&amp;""""</f>
        <v>#REF!</v>
      </c>
      <c r="MXD28" s="234" t="e">
        <f>astrogrep_path&amp;" /e /r /s /spath="&amp;search_path&amp;" /stypes=""app*"&amp;MVZ28&amp;"*"&amp;TEXT(MWG28-utc_offset/24,"YYYYMMDD")&amp;"*"" /stext="" "&amp;TEXT(MWG28-utc_offset/24,"HH")&amp;search_regexp&amp;""""</f>
        <v>#REF!</v>
      </c>
      <c r="MXE28" s="234" t="e">
        <f>astrogrep_path&amp;" /e /r /s /spath="&amp;search_path&amp;" /stypes=""app*"&amp;MWA28&amp;"*"&amp;TEXT(MWH28-utc_offset/24,"YYYYMMDD")&amp;"*"" /stext="" "&amp;TEXT(MWH28-utc_offset/24,"HH")&amp;search_regexp&amp;""""</f>
        <v>#REF!</v>
      </c>
      <c r="MXF28" s="234" t="e">
        <f>astrogrep_path&amp;" /e /r /s /spath="&amp;search_path&amp;" /stypes=""app*"&amp;MWB28&amp;"*"&amp;TEXT(MWI28-utc_offset/24,"YYYYMMDD")&amp;"*"" /stext="" "&amp;TEXT(MWI28-utc_offset/24,"HH")&amp;search_regexp&amp;""""</f>
        <v>#REF!</v>
      </c>
      <c r="MXG28" s="234" t="e">
        <f>astrogrep_path&amp;" /e /r /s /spath="&amp;search_path&amp;" /stypes=""app*"&amp;MWC28&amp;"*"&amp;TEXT(MWJ28-utc_offset/24,"YYYYMMDD")&amp;"*"" /stext="" "&amp;TEXT(MWJ28-utc_offset/24,"HH")&amp;search_regexp&amp;""""</f>
        <v>#REF!</v>
      </c>
      <c r="MXH28" s="234" t="e">
        <f>astrogrep_path&amp;" /e /r /s /spath="&amp;search_path&amp;" /stypes=""app*"&amp;MWD28&amp;"*"&amp;TEXT(MWK28-utc_offset/24,"YYYYMMDD")&amp;"*"" /stext="" "&amp;TEXT(MWK28-utc_offset/24,"HH")&amp;search_regexp&amp;""""</f>
        <v>#REF!</v>
      </c>
      <c r="MXI28" s="234" t="e">
        <f>astrogrep_path&amp;" /e /r /s /spath="&amp;search_path&amp;" /stypes=""app*"&amp;MWE28&amp;"*"&amp;TEXT(MWL28-utc_offset/24,"YYYYMMDD")&amp;"*"" /stext="" "&amp;TEXT(MWL28-utc_offset/24,"HH")&amp;search_regexp&amp;""""</f>
        <v>#VALUE!</v>
      </c>
      <c r="MXJ28" s="234" t="e">
        <f>astrogrep_path&amp;" /e /r /s /spath="&amp;search_path&amp;" /stypes=""app*"&amp;MWF28&amp;"*"&amp;TEXT(MWM28-utc_offset/24,"YYYYMMDD")&amp;"*"" /stext="" "&amp;TEXT(MWM28-utc_offset/24,"HH")&amp;search_regexp&amp;""""</f>
        <v>#VALUE!</v>
      </c>
      <c r="MXK28" s="234" t="e">
        <f>astrogrep_path&amp;" /e /r /s /spath="&amp;search_path&amp;" /stypes=""app*"&amp;MWG28&amp;"*"&amp;TEXT(MWN28-utc_offset/24,"YYYYMMDD")&amp;"*"" /stext="" "&amp;TEXT(MWN28-utc_offset/24,"HH")&amp;search_regexp&amp;""""</f>
        <v>#REF!</v>
      </c>
      <c r="MXL28" s="234" t="e">
        <f>astrogrep_path&amp;" /e /r /s /spath="&amp;search_path&amp;" /stypes=""app*"&amp;MWH28&amp;"*"&amp;TEXT(MWO28-utc_offset/24,"YYYYMMDD")&amp;"*"" /stext="" "&amp;TEXT(MWO28-utc_offset/24,"HH")&amp;search_regexp&amp;""""</f>
        <v>#REF!</v>
      </c>
      <c r="MXM28" s="234" t="e">
        <f>astrogrep_path&amp;" /e /r /s /spath="&amp;search_path&amp;" /stypes=""app*"&amp;MWI28&amp;"*"&amp;TEXT(MWP28-utc_offset/24,"YYYYMMDD")&amp;"*"" /stext="" "&amp;TEXT(MWP28-utc_offset/24,"HH")&amp;search_regexp&amp;""""</f>
        <v>#VALUE!</v>
      </c>
      <c r="MXN28" s="234" t="e">
        <f>astrogrep_path&amp;" /e /r /s /spath="&amp;search_path&amp;" /stypes=""app*"&amp;MWJ28&amp;"*"&amp;TEXT(MWQ28-utc_offset/24,"YYYYMMDD")&amp;"*"" /stext="" "&amp;TEXT(MWQ28-utc_offset/24,"HH")&amp;search_regexp&amp;""""</f>
        <v>#VALUE!</v>
      </c>
      <c r="MXO28" s="234" t="e">
        <f>astrogrep_path&amp;" /e /r /s /spath="&amp;search_path&amp;" /stypes=""app*"&amp;MWK28&amp;"*"&amp;TEXT(MWR28-utc_offset/24,"YYYYMMDD")&amp;"*"" /stext="" "&amp;TEXT(MWR28-utc_offset/24,"HH")&amp;search_regexp&amp;""""</f>
        <v>#VALUE!</v>
      </c>
      <c r="MXP28" s="234" t="e">
        <f>astrogrep_path&amp;" /e /r /s /spath="&amp;search_path&amp;" /stypes=""app*"&amp;MWL28&amp;"*"&amp;TEXT(MWS28-utc_offset/24,"YYYYMMDD")&amp;"*"" /stext="" "&amp;TEXT(MWS28-utc_offset/24,"HH")&amp;search_regexp&amp;""""</f>
        <v>#VALUE!</v>
      </c>
      <c r="MXQ28" s="234" t="e">
        <f>astrogrep_path&amp;" /e /r /s /spath="&amp;search_path&amp;" /stypes=""app*"&amp;MWM28&amp;"*"&amp;TEXT(MWT28-utc_offset/24,"YYYYMMDD")&amp;"*"" /stext="" "&amp;TEXT(MWT28-utc_offset/24,"HH")&amp;search_regexp&amp;""""</f>
        <v>#VALUE!</v>
      </c>
      <c r="MXR28" s="234" t="e">
        <f>astrogrep_path&amp;" /e /r /s /spath="&amp;search_path&amp;" /stypes=""app*"&amp;MWN28&amp;"*"&amp;TEXT(MWU28-utc_offset/24,"YYYYMMDD")&amp;"*"" /stext="" "&amp;TEXT(MWU28-utc_offset/24,"HH")&amp;search_regexp&amp;""""</f>
        <v>#REF!</v>
      </c>
      <c r="MXS28" s="234" t="e">
        <f>astrogrep_path&amp;" /e /r /s /spath="&amp;search_path&amp;" /stypes=""app*"&amp;MWO28&amp;"*"&amp;TEXT(MWV28-utc_offset/24,"YYYYMMDD")&amp;"*"" /stext="" "&amp;TEXT(MWV28-utc_offset/24,"HH")&amp;search_regexp&amp;""""</f>
        <v>#REF!</v>
      </c>
      <c r="MXT28" s="234" t="e">
        <f>astrogrep_path&amp;" /e /r /s /spath="&amp;search_path&amp;" /stypes=""app*"&amp;MWP28&amp;"*"&amp;TEXT(MWW28-utc_offset/24,"YYYYMMDD")&amp;"*"" /stext="" "&amp;TEXT(MWW28-utc_offset/24,"HH")&amp;search_regexp&amp;""""</f>
        <v>#REF!</v>
      </c>
      <c r="MXU28" s="234" t="e">
        <f>astrogrep_path&amp;" /e /r /s /spath="&amp;search_path&amp;" /stypes=""app*"&amp;MWQ28&amp;"*"&amp;TEXT(MWX28-utc_offset/24,"YYYYMMDD")&amp;"*"" /stext="" "&amp;TEXT(MWX28-utc_offset/24,"HH")&amp;search_regexp&amp;""""</f>
        <v>#REF!</v>
      </c>
      <c r="MXV28" s="234" t="e">
        <f>astrogrep_path&amp;" /e /r /s /spath="&amp;search_path&amp;" /stypes=""app*"&amp;MWR28&amp;"*"&amp;TEXT(MWY28-utc_offset/24,"YYYYMMDD")&amp;"*"" /stext="" "&amp;TEXT(MWY28-utc_offset/24,"HH")&amp;search_regexp&amp;""""</f>
        <v>#REF!</v>
      </c>
      <c r="MXW28" s="234" t="e">
        <f>astrogrep_path&amp;" /e /r /s /spath="&amp;search_path&amp;" /stypes=""app*"&amp;MWS28&amp;"*"&amp;TEXT(MWZ28-utc_offset/24,"YYYYMMDD")&amp;"*"" /stext="" "&amp;TEXT(MWZ28-utc_offset/24,"HH")&amp;search_regexp&amp;""""</f>
        <v>#REF!</v>
      </c>
      <c r="MXX28" s="234" t="e">
        <f>astrogrep_path&amp;" /e /r /s /spath="&amp;search_path&amp;" /stypes=""app*"&amp;MWT28&amp;"*"&amp;TEXT(MXA28-utc_offset/24,"YYYYMMDD")&amp;"*"" /stext="" "&amp;TEXT(MXA28-utc_offset/24,"HH")&amp;search_regexp&amp;""""</f>
        <v>#REF!</v>
      </c>
      <c r="MXY28" s="234" t="e">
        <f>astrogrep_path&amp;" /e /r /s /spath="&amp;search_path&amp;" /stypes=""app*"&amp;MWU28&amp;"*"&amp;TEXT(MXB28-utc_offset/24,"YYYYMMDD")&amp;"*"" /stext="" "&amp;TEXT(MXB28-utc_offset/24,"HH")&amp;search_regexp&amp;""""</f>
        <v>#REF!</v>
      </c>
      <c r="MXZ28" s="234" t="e">
        <f>astrogrep_path&amp;" /e /r /s /spath="&amp;search_path&amp;" /stypes=""app*"&amp;MWV28&amp;"*"&amp;TEXT(MXC28-utc_offset/24,"YYYYMMDD")&amp;"*"" /stext="" "&amp;TEXT(MXC28-utc_offset/24,"HH")&amp;search_regexp&amp;""""</f>
        <v>#REF!</v>
      </c>
      <c r="MYA28" s="234" t="e">
        <f>astrogrep_path&amp;" /e /r /s /spath="&amp;search_path&amp;" /stypes=""app*"&amp;MWW28&amp;"*"&amp;TEXT(MXD28-utc_offset/24,"YYYYMMDD")&amp;"*"" /stext="" "&amp;TEXT(MXD28-utc_offset/24,"HH")&amp;search_regexp&amp;""""</f>
        <v>#REF!</v>
      </c>
      <c r="MYB28" s="234" t="e">
        <f>astrogrep_path&amp;" /e /r /s /spath="&amp;search_path&amp;" /stypes=""app*"&amp;MWX28&amp;"*"&amp;TEXT(MXE28-utc_offset/24,"YYYYMMDD")&amp;"*"" /stext="" "&amp;TEXT(MXE28-utc_offset/24,"HH")&amp;search_regexp&amp;""""</f>
        <v>#REF!</v>
      </c>
      <c r="MYC28" s="234" t="e">
        <f>astrogrep_path&amp;" /e /r /s /spath="&amp;search_path&amp;" /stypes=""app*"&amp;MWY28&amp;"*"&amp;TEXT(MXF28-utc_offset/24,"YYYYMMDD")&amp;"*"" /stext="" "&amp;TEXT(MXF28-utc_offset/24,"HH")&amp;search_regexp&amp;""""</f>
        <v>#REF!</v>
      </c>
      <c r="MYD28" s="234" t="e">
        <f>astrogrep_path&amp;" /e /r /s /spath="&amp;search_path&amp;" /stypes=""app*"&amp;MWZ28&amp;"*"&amp;TEXT(MXG28-utc_offset/24,"YYYYMMDD")&amp;"*"" /stext="" "&amp;TEXT(MXG28-utc_offset/24,"HH")&amp;search_regexp&amp;""""</f>
        <v>#REF!</v>
      </c>
      <c r="MYE28" s="234" t="e">
        <f>astrogrep_path&amp;" /e /r /s /spath="&amp;search_path&amp;" /stypes=""app*"&amp;MXA28&amp;"*"&amp;TEXT(MXH28-utc_offset/24,"YYYYMMDD")&amp;"*"" /stext="" "&amp;TEXT(MXH28-utc_offset/24,"HH")&amp;search_regexp&amp;""""</f>
        <v>#REF!</v>
      </c>
      <c r="MYF28" s="234" t="e">
        <f>astrogrep_path&amp;" /e /r /s /spath="&amp;search_path&amp;" /stypes=""app*"&amp;MXB28&amp;"*"&amp;TEXT(MXI28-utc_offset/24,"YYYYMMDD")&amp;"*"" /stext="" "&amp;TEXT(MXI28-utc_offset/24,"HH")&amp;search_regexp&amp;""""</f>
        <v>#REF!</v>
      </c>
      <c r="MYG28" s="234" t="e">
        <f>astrogrep_path&amp;" /e /r /s /spath="&amp;search_path&amp;" /stypes=""app*"&amp;MXC28&amp;"*"&amp;TEXT(MXJ28-utc_offset/24,"YYYYMMDD")&amp;"*"" /stext="" "&amp;TEXT(MXJ28-utc_offset/24,"HH")&amp;search_regexp&amp;""""</f>
        <v>#REF!</v>
      </c>
      <c r="MYH28" s="234" t="e">
        <f>astrogrep_path&amp;" /e /r /s /spath="&amp;search_path&amp;" /stypes=""app*"&amp;MXD28&amp;"*"&amp;TEXT(MXK28-utc_offset/24,"YYYYMMDD")&amp;"*"" /stext="" "&amp;TEXT(MXK28-utc_offset/24,"HH")&amp;search_regexp&amp;""""</f>
        <v>#REF!</v>
      </c>
      <c r="MYI28" s="234" t="e">
        <f>astrogrep_path&amp;" /e /r /s /spath="&amp;search_path&amp;" /stypes=""app*"&amp;MXE28&amp;"*"&amp;TEXT(MXL28-utc_offset/24,"YYYYMMDD")&amp;"*"" /stext="" "&amp;TEXT(MXL28-utc_offset/24,"HH")&amp;search_regexp&amp;""""</f>
        <v>#REF!</v>
      </c>
      <c r="MYJ28" s="234" t="e">
        <f>astrogrep_path&amp;" /e /r /s /spath="&amp;search_path&amp;" /stypes=""app*"&amp;MXF28&amp;"*"&amp;TEXT(MXM28-utc_offset/24,"YYYYMMDD")&amp;"*"" /stext="" "&amp;TEXT(MXM28-utc_offset/24,"HH")&amp;search_regexp&amp;""""</f>
        <v>#REF!</v>
      </c>
      <c r="MYK28" s="234" t="e">
        <f>astrogrep_path&amp;" /e /r /s /spath="&amp;search_path&amp;" /stypes=""app*"&amp;MXG28&amp;"*"&amp;TEXT(MXN28-utc_offset/24,"YYYYMMDD")&amp;"*"" /stext="" "&amp;TEXT(MXN28-utc_offset/24,"HH")&amp;search_regexp&amp;""""</f>
        <v>#REF!</v>
      </c>
      <c r="MYL28" s="234" t="e">
        <f>astrogrep_path&amp;" /e /r /s /spath="&amp;search_path&amp;" /stypes=""app*"&amp;MXH28&amp;"*"&amp;TEXT(MXO28-utc_offset/24,"YYYYMMDD")&amp;"*"" /stext="" "&amp;TEXT(MXO28-utc_offset/24,"HH")&amp;search_regexp&amp;""""</f>
        <v>#REF!</v>
      </c>
      <c r="MYM28" s="234" t="e">
        <f>astrogrep_path&amp;" /e /r /s /spath="&amp;search_path&amp;" /stypes=""app*"&amp;MXI28&amp;"*"&amp;TEXT(MXP28-utc_offset/24,"YYYYMMDD")&amp;"*"" /stext="" "&amp;TEXT(MXP28-utc_offset/24,"HH")&amp;search_regexp&amp;""""</f>
        <v>#VALUE!</v>
      </c>
      <c r="MYN28" s="234" t="e">
        <f>astrogrep_path&amp;" /e /r /s /spath="&amp;search_path&amp;" /stypes=""app*"&amp;MXJ28&amp;"*"&amp;TEXT(MXQ28-utc_offset/24,"YYYYMMDD")&amp;"*"" /stext="" "&amp;TEXT(MXQ28-utc_offset/24,"HH")&amp;search_regexp&amp;""""</f>
        <v>#VALUE!</v>
      </c>
      <c r="MYO28" s="234" t="e">
        <f>astrogrep_path&amp;" /e /r /s /spath="&amp;search_path&amp;" /stypes=""app*"&amp;MXK28&amp;"*"&amp;TEXT(MXR28-utc_offset/24,"YYYYMMDD")&amp;"*"" /stext="" "&amp;TEXT(MXR28-utc_offset/24,"HH")&amp;search_regexp&amp;""""</f>
        <v>#REF!</v>
      </c>
      <c r="MYP28" s="234" t="e">
        <f>astrogrep_path&amp;" /e /r /s /spath="&amp;search_path&amp;" /stypes=""app*"&amp;MXL28&amp;"*"&amp;TEXT(MXS28-utc_offset/24,"YYYYMMDD")&amp;"*"" /stext="" "&amp;TEXT(MXS28-utc_offset/24,"HH")&amp;search_regexp&amp;""""</f>
        <v>#REF!</v>
      </c>
      <c r="MYQ28" s="234" t="e">
        <f>astrogrep_path&amp;" /e /r /s /spath="&amp;search_path&amp;" /stypes=""app*"&amp;MXM28&amp;"*"&amp;TEXT(MXT28-utc_offset/24,"YYYYMMDD")&amp;"*"" /stext="" "&amp;TEXT(MXT28-utc_offset/24,"HH")&amp;search_regexp&amp;""""</f>
        <v>#VALUE!</v>
      </c>
      <c r="MYR28" s="234" t="e">
        <f>astrogrep_path&amp;" /e /r /s /spath="&amp;search_path&amp;" /stypes=""app*"&amp;MXN28&amp;"*"&amp;TEXT(MXU28-utc_offset/24,"YYYYMMDD")&amp;"*"" /stext="" "&amp;TEXT(MXU28-utc_offset/24,"HH")&amp;search_regexp&amp;""""</f>
        <v>#VALUE!</v>
      </c>
      <c r="MYS28" s="234" t="e">
        <f>astrogrep_path&amp;" /e /r /s /spath="&amp;search_path&amp;" /stypes=""app*"&amp;MXO28&amp;"*"&amp;TEXT(MXV28-utc_offset/24,"YYYYMMDD")&amp;"*"" /stext="" "&amp;TEXT(MXV28-utc_offset/24,"HH")&amp;search_regexp&amp;""""</f>
        <v>#VALUE!</v>
      </c>
      <c r="MYT28" s="234" t="e">
        <f>astrogrep_path&amp;" /e /r /s /spath="&amp;search_path&amp;" /stypes=""app*"&amp;MXP28&amp;"*"&amp;TEXT(MXW28-utc_offset/24,"YYYYMMDD")&amp;"*"" /stext="" "&amp;TEXT(MXW28-utc_offset/24,"HH")&amp;search_regexp&amp;""""</f>
        <v>#VALUE!</v>
      </c>
      <c r="MYU28" s="234" t="e">
        <f>astrogrep_path&amp;" /e /r /s /spath="&amp;search_path&amp;" /stypes=""app*"&amp;MXQ28&amp;"*"&amp;TEXT(MXX28-utc_offset/24,"YYYYMMDD")&amp;"*"" /stext="" "&amp;TEXT(MXX28-utc_offset/24,"HH")&amp;search_regexp&amp;""""</f>
        <v>#VALUE!</v>
      </c>
      <c r="MYV28" s="234" t="e">
        <f>astrogrep_path&amp;" /e /r /s /spath="&amp;search_path&amp;" /stypes=""app*"&amp;MXR28&amp;"*"&amp;TEXT(MXY28-utc_offset/24,"YYYYMMDD")&amp;"*"" /stext="" "&amp;TEXT(MXY28-utc_offset/24,"HH")&amp;search_regexp&amp;""""</f>
        <v>#REF!</v>
      </c>
      <c r="MYW28" s="234" t="e">
        <f>astrogrep_path&amp;" /e /r /s /spath="&amp;search_path&amp;" /stypes=""app*"&amp;MXS28&amp;"*"&amp;TEXT(MXZ28-utc_offset/24,"YYYYMMDD")&amp;"*"" /stext="" "&amp;TEXT(MXZ28-utc_offset/24,"HH")&amp;search_regexp&amp;""""</f>
        <v>#REF!</v>
      </c>
      <c r="MYX28" s="234" t="e">
        <f>astrogrep_path&amp;" /e /r /s /spath="&amp;search_path&amp;" /stypes=""app*"&amp;MXT28&amp;"*"&amp;TEXT(MYA28-utc_offset/24,"YYYYMMDD")&amp;"*"" /stext="" "&amp;TEXT(MYA28-utc_offset/24,"HH")&amp;search_regexp&amp;""""</f>
        <v>#REF!</v>
      </c>
      <c r="MYY28" s="234" t="e">
        <f>astrogrep_path&amp;" /e /r /s /spath="&amp;search_path&amp;" /stypes=""app*"&amp;MXU28&amp;"*"&amp;TEXT(MYB28-utc_offset/24,"YYYYMMDD")&amp;"*"" /stext="" "&amp;TEXT(MYB28-utc_offset/24,"HH")&amp;search_regexp&amp;""""</f>
        <v>#REF!</v>
      </c>
      <c r="MYZ28" s="234" t="e">
        <f>astrogrep_path&amp;" /e /r /s /spath="&amp;search_path&amp;" /stypes=""app*"&amp;MXV28&amp;"*"&amp;TEXT(MYC28-utc_offset/24,"YYYYMMDD")&amp;"*"" /stext="" "&amp;TEXT(MYC28-utc_offset/24,"HH")&amp;search_regexp&amp;""""</f>
        <v>#REF!</v>
      </c>
      <c r="MZA28" s="234" t="e">
        <f>astrogrep_path&amp;" /e /r /s /spath="&amp;search_path&amp;" /stypes=""app*"&amp;MXW28&amp;"*"&amp;TEXT(MYD28-utc_offset/24,"YYYYMMDD")&amp;"*"" /stext="" "&amp;TEXT(MYD28-utc_offset/24,"HH")&amp;search_regexp&amp;""""</f>
        <v>#REF!</v>
      </c>
      <c r="MZB28" s="234" t="e">
        <f>astrogrep_path&amp;" /e /r /s /spath="&amp;search_path&amp;" /stypes=""app*"&amp;MXX28&amp;"*"&amp;TEXT(MYE28-utc_offset/24,"YYYYMMDD")&amp;"*"" /stext="" "&amp;TEXT(MYE28-utc_offset/24,"HH")&amp;search_regexp&amp;""""</f>
        <v>#REF!</v>
      </c>
      <c r="MZC28" s="234" t="e">
        <f>astrogrep_path&amp;" /e /r /s /spath="&amp;search_path&amp;" /stypes=""app*"&amp;MXY28&amp;"*"&amp;TEXT(MYF28-utc_offset/24,"YYYYMMDD")&amp;"*"" /stext="" "&amp;TEXT(MYF28-utc_offset/24,"HH")&amp;search_regexp&amp;""""</f>
        <v>#REF!</v>
      </c>
      <c r="MZD28" s="234" t="e">
        <f>astrogrep_path&amp;" /e /r /s /spath="&amp;search_path&amp;" /stypes=""app*"&amp;MXZ28&amp;"*"&amp;TEXT(MYG28-utc_offset/24,"YYYYMMDD")&amp;"*"" /stext="" "&amp;TEXT(MYG28-utc_offset/24,"HH")&amp;search_regexp&amp;""""</f>
        <v>#REF!</v>
      </c>
      <c r="MZE28" s="234" t="e">
        <f>astrogrep_path&amp;" /e /r /s /spath="&amp;search_path&amp;" /stypes=""app*"&amp;MYA28&amp;"*"&amp;TEXT(MYH28-utc_offset/24,"YYYYMMDD")&amp;"*"" /stext="" "&amp;TEXT(MYH28-utc_offset/24,"HH")&amp;search_regexp&amp;""""</f>
        <v>#REF!</v>
      </c>
      <c r="MZF28" s="234" t="e">
        <f>astrogrep_path&amp;" /e /r /s /spath="&amp;search_path&amp;" /stypes=""app*"&amp;MYB28&amp;"*"&amp;TEXT(MYI28-utc_offset/24,"YYYYMMDD")&amp;"*"" /stext="" "&amp;TEXT(MYI28-utc_offset/24,"HH")&amp;search_regexp&amp;""""</f>
        <v>#REF!</v>
      </c>
      <c r="MZG28" s="234" t="e">
        <f>astrogrep_path&amp;" /e /r /s /spath="&amp;search_path&amp;" /stypes=""app*"&amp;MYC28&amp;"*"&amp;TEXT(MYJ28-utc_offset/24,"YYYYMMDD")&amp;"*"" /stext="" "&amp;TEXT(MYJ28-utc_offset/24,"HH")&amp;search_regexp&amp;""""</f>
        <v>#REF!</v>
      </c>
      <c r="MZH28" s="234" t="e">
        <f>astrogrep_path&amp;" /e /r /s /spath="&amp;search_path&amp;" /stypes=""app*"&amp;MYD28&amp;"*"&amp;TEXT(MYK28-utc_offset/24,"YYYYMMDD")&amp;"*"" /stext="" "&amp;TEXT(MYK28-utc_offset/24,"HH")&amp;search_regexp&amp;""""</f>
        <v>#REF!</v>
      </c>
      <c r="MZI28" s="234" t="e">
        <f>astrogrep_path&amp;" /e /r /s /spath="&amp;search_path&amp;" /stypes=""app*"&amp;MYE28&amp;"*"&amp;TEXT(MYL28-utc_offset/24,"YYYYMMDD")&amp;"*"" /stext="" "&amp;TEXT(MYL28-utc_offset/24,"HH")&amp;search_regexp&amp;""""</f>
        <v>#REF!</v>
      </c>
      <c r="MZJ28" s="234" t="e">
        <f>astrogrep_path&amp;" /e /r /s /spath="&amp;search_path&amp;" /stypes=""app*"&amp;MYF28&amp;"*"&amp;TEXT(MYM28-utc_offset/24,"YYYYMMDD")&amp;"*"" /stext="" "&amp;TEXT(MYM28-utc_offset/24,"HH")&amp;search_regexp&amp;""""</f>
        <v>#REF!</v>
      </c>
      <c r="MZK28" s="234" t="e">
        <f>astrogrep_path&amp;" /e /r /s /spath="&amp;search_path&amp;" /stypes=""app*"&amp;MYG28&amp;"*"&amp;TEXT(MYN28-utc_offset/24,"YYYYMMDD")&amp;"*"" /stext="" "&amp;TEXT(MYN28-utc_offset/24,"HH")&amp;search_regexp&amp;""""</f>
        <v>#REF!</v>
      </c>
      <c r="MZL28" s="234" t="e">
        <f>astrogrep_path&amp;" /e /r /s /spath="&amp;search_path&amp;" /stypes=""app*"&amp;MYH28&amp;"*"&amp;TEXT(MYO28-utc_offset/24,"YYYYMMDD")&amp;"*"" /stext="" "&amp;TEXT(MYO28-utc_offset/24,"HH")&amp;search_regexp&amp;""""</f>
        <v>#REF!</v>
      </c>
      <c r="MZM28" s="234" t="e">
        <f>astrogrep_path&amp;" /e /r /s /spath="&amp;search_path&amp;" /stypes=""app*"&amp;MYI28&amp;"*"&amp;TEXT(MYP28-utc_offset/24,"YYYYMMDD")&amp;"*"" /stext="" "&amp;TEXT(MYP28-utc_offset/24,"HH")&amp;search_regexp&amp;""""</f>
        <v>#REF!</v>
      </c>
      <c r="MZN28" s="234" t="e">
        <f>astrogrep_path&amp;" /e /r /s /spath="&amp;search_path&amp;" /stypes=""app*"&amp;MYJ28&amp;"*"&amp;TEXT(MYQ28-utc_offset/24,"YYYYMMDD")&amp;"*"" /stext="" "&amp;TEXT(MYQ28-utc_offset/24,"HH")&amp;search_regexp&amp;""""</f>
        <v>#REF!</v>
      </c>
      <c r="MZO28" s="234" t="e">
        <f>astrogrep_path&amp;" /e /r /s /spath="&amp;search_path&amp;" /stypes=""app*"&amp;MYK28&amp;"*"&amp;TEXT(MYR28-utc_offset/24,"YYYYMMDD")&amp;"*"" /stext="" "&amp;TEXT(MYR28-utc_offset/24,"HH")&amp;search_regexp&amp;""""</f>
        <v>#REF!</v>
      </c>
      <c r="MZP28" s="234" t="e">
        <f>astrogrep_path&amp;" /e /r /s /spath="&amp;search_path&amp;" /stypes=""app*"&amp;MYL28&amp;"*"&amp;TEXT(MYS28-utc_offset/24,"YYYYMMDD")&amp;"*"" /stext="" "&amp;TEXT(MYS28-utc_offset/24,"HH")&amp;search_regexp&amp;""""</f>
        <v>#REF!</v>
      </c>
      <c r="MZQ28" s="234" t="e">
        <f>astrogrep_path&amp;" /e /r /s /spath="&amp;search_path&amp;" /stypes=""app*"&amp;MYM28&amp;"*"&amp;TEXT(MYT28-utc_offset/24,"YYYYMMDD")&amp;"*"" /stext="" "&amp;TEXT(MYT28-utc_offset/24,"HH")&amp;search_regexp&amp;""""</f>
        <v>#VALUE!</v>
      </c>
      <c r="MZR28" s="234" t="e">
        <f>astrogrep_path&amp;" /e /r /s /spath="&amp;search_path&amp;" /stypes=""app*"&amp;MYN28&amp;"*"&amp;TEXT(MYU28-utc_offset/24,"YYYYMMDD")&amp;"*"" /stext="" "&amp;TEXT(MYU28-utc_offset/24,"HH")&amp;search_regexp&amp;""""</f>
        <v>#VALUE!</v>
      </c>
      <c r="MZS28" s="234" t="e">
        <f>astrogrep_path&amp;" /e /r /s /spath="&amp;search_path&amp;" /stypes=""app*"&amp;MYO28&amp;"*"&amp;TEXT(MYV28-utc_offset/24,"YYYYMMDD")&amp;"*"" /stext="" "&amp;TEXT(MYV28-utc_offset/24,"HH")&amp;search_regexp&amp;""""</f>
        <v>#REF!</v>
      </c>
      <c r="MZT28" s="234" t="e">
        <f>astrogrep_path&amp;" /e /r /s /spath="&amp;search_path&amp;" /stypes=""app*"&amp;MYP28&amp;"*"&amp;TEXT(MYW28-utc_offset/24,"YYYYMMDD")&amp;"*"" /stext="" "&amp;TEXT(MYW28-utc_offset/24,"HH")&amp;search_regexp&amp;""""</f>
        <v>#REF!</v>
      </c>
      <c r="MZU28" s="234" t="e">
        <f>astrogrep_path&amp;" /e /r /s /spath="&amp;search_path&amp;" /stypes=""app*"&amp;MYQ28&amp;"*"&amp;TEXT(MYX28-utc_offset/24,"YYYYMMDD")&amp;"*"" /stext="" "&amp;TEXT(MYX28-utc_offset/24,"HH")&amp;search_regexp&amp;""""</f>
        <v>#VALUE!</v>
      </c>
      <c r="MZV28" s="234" t="e">
        <f>astrogrep_path&amp;" /e /r /s /spath="&amp;search_path&amp;" /stypes=""app*"&amp;MYR28&amp;"*"&amp;TEXT(MYY28-utc_offset/24,"YYYYMMDD")&amp;"*"" /stext="" "&amp;TEXT(MYY28-utc_offset/24,"HH")&amp;search_regexp&amp;""""</f>
        <v>#VALUE!</v>
      </c>
      <c r="MZW28" s="234" t="e">
        <f>astrogrep_path&amp;" /e /r /s /spath="&amp;search_path&amp;" /stypes=""app*"&amp;MYS28&amp;"*"&amp;TEXT(MYZ28-utc_offset/24,"YYYYMMDD")&amp;"*"" /stext="" "&amp;TEXT(MYZ28-utc_offset/24,"HH")&amp;search_regexp&amp;""""</f>
        <v>#VALUE!</v>
      </c>
      <c r="MZX28" s="234" t="e">
        <f>astrogrep_path&amp;" /e /r /s /spath="&amp;search_path&amp;" /stypes=""app*"&amp;MYT28&amp;"*"&amp;TEXT(MZA28-utc_offset/24,"YYYYMMDD")&amp;"*"" /stext="" "&amp;TEXT(MZA28-utc_offset/24,"HH")&amp;search_regexp&amp;""""</f>
        <v>#VALUE!</v>
      </c>
      <c r="MZY28" s="234" t="e">
        <f>astrogrep_path&amp;" /e /r /s /spath="&amp;search_path&amp;" /stypes=""app*"&amp;MYU28&amp;"*"&amp;TEXT(MZB28-utc_offset/24,"YYYYMMDD")&amp;"*"" /stext="" "&amp;TEXT(MZB28-utc_offset/24,"HH")&amp;search_regexp&amp;""""</f>
        <v>#VALUE!</v>
      </c>
      <c r="MZZ28" s="234" t="e">
        <f>astrogrep_path&amp;" /e /r /s /spath="&amp;search_path&amp;" /stypes=""app*"&amp;MYV28&amp;"*"&amp;TEXT(MZC28-utc_offset/24,"YYYYMMDD")&amp;"*"" /stext="" "&amp;TEXT(MZC28-utc_offset/24,"HH")&amp;search_regexp&amp;""""</f>
        <v>#REF!</v>
      </c>
      <c r="NAA28" s="234" t="e">
        <f>astrogrep_path&amp;" /e /r /s /spath="&amp;search_path&amp;" /stypes=""app*"&amp;MYW28&amp;"*"&amp;TEXT(MZD28-utc_offset/24,"YYYYMMDD")&amp;"*"" /stext="" "&amp;TEXT(MZD28-utc_offset/24,"HH")&amp;search_regexp&amp;""""</f>
        <v>#REF!</v>
      </c>
      <c r="NAB28" s="234" t="e">
        <f>astrogrep_path&amp;" /e /r /s /spath="&amp;search_path&amp;" /stypes=""app*"&amp;MYX28&amp;"*"&amp;TEXT(MZE28-utc_offset/24,"YYYYMMDD")&amp;"*"" /stext="" "&amp;TEXT(MZE28-utc_offset/24,"HH")&amp;search_regexp&amp;""""</f>
        <v>#REF!</v>
      </c>
      <c r="NAC28" s="234" t="e">
        <f>astrogrep_path&amp;" /e /r /s /spath="&amp;search_path&amp;" /stypes=""app*"&amp;MYY28&amp;"*"&amp;TEXT(MZF28-utc_offset/24,"YYYYMMDD")&amp;"*"" /stext="" "&amp;TEXT(MZF28-utc_offset/24,"HH")&amp;search_regexp&amp;""""</f>
        <v>#REF!</v>
      </c>
      <c r="NAD28" s="234" t="e">
        <f>astrogrep_path&amp;" /e /r /s /spath="&amp;search_path&amp;" /stypes=""app*"&amp;MYZ28&amp;"*"&amp;TEXT(MZG28-utc_offset/24,"YYYYMMDD")&amp;"*"" /stext="" "&amp;TEXT(MZG28-utc_offset/24,"HH")&amp;search_regexp&amp;""""</f>
        <v>#REF!</v>
      </c>
      <c r="NAE28" s="234" t="e">
        <f>astrogrep_path&amp;" /e /r /s /spath="&amp;search_path&amp;" /stypes=""app*"&amp;MZA28&amp;"*"&amp;TEXT(MZH28-utc_offset/24,"YYYYMMDD")&amp;"*"" /stext="" "&amp;TEXT(MZH28-utc_offset/24,"HH")&amp;search_regexp&amp;""""</f>
        <v>#REF!</v>
      </c>
      <c r="NAF28" s="234" t="e">
        <f>astrogrep_path&amp;" /e /r /s /spath="&amp;search_path&amp;" /stypes=""app*"&amp;MZB28&amp;"*"&amp;TEXT(MZI28-utc_offset/24,"YYYYMMDD")&amp;"*"" /stext="" "&amp;TEXT(MZI28-utc_offset/24,"HH")&amp;search_regexp&amp;""""</f>
        <v>#REF!</v>
      </c>
      <c r="NAG28" s="234" t="e">
        <f>astrogrep_path&amp;" /e /r /s /spath="&amp;search_path&amp;" /stypes=""app*"&amp;MZC28&amp;"*"&amp;TEXT(MZJ28-utc_offset/24,"YYYYMMDD")&amp;"*"" /stext="" "&amp;TEXT(MZJ28-utc_offset/24,"HH")&amp;search_regexp&amp;""""</f>
        <v>#REF!</v>
      </c>
      <c r="NAH28" s="234" t="e">
        <f>astrogrep_path&amp;" /e /r /s /spath="&amp;search_path&amp;" /stypes=""app*"&amp;MZD28&amp;"*"&amp;TEXT(MZK28-utc_offset/24,"YYYYMMDD")&amp;"*"" /stext="" "&amp;TEXT(MZK28-utc_offset/24,"HH")&amp;search_regexp&amp;""""</f>
        <v>#REF!</v>
      </c>
      <c r="NAI28" s="234" t="e">
        <f>astrogrep_path&amp;" /e /r /s /spath="&amp;search_path&amp;" /stypes=""app*"&amp;MZE28&amp;"*"&amp;TEXT(MZL28-utc_offset/24,"YYYYMMDD")&amp;"*"" /stext="" "&amp;TEXT(MZL28-utc_offset/24,"HH")&amp;search_regexp&amp;""""</f>
        <v>#REF!</v>
      </c>
      <c r="NAJ28" s="234" t="e">
        <f>astrogrep_path&amp;" /e /r /s /spath="&amp;search_path&amp;" /stypes=""app*"&amp;MZF28&amp;"*"&amp;TEXT(MZM28-utc_offset/24,"YYYYMMDD")&amp;"*"" /stext="" "&amp;TEXT(MZM28-utc_offset/24,"HH")&amp;search_regexp&amp;""""</f>
        <v>#REF!</v>
      </c>
      <c r="NAK28" s="234" t="e">
        <f>astrogrep_path&amp;" /e /r /s /spath="&amp;search_path&amp;" /stypes=""app*"&amp;MZG28&amp;"*"&amp;TEXT(MZN28-utc_offset/24,"YYYYMMDD")&amp;"*"" /stext="" "&amp;TEXT(MZN28-utc_offset/24,"HH")&amp;search_regexp&amp;""""</f>
        <v>#REF!</v>
      </c>
      <c r="NAL28" s="234" t="e">
        <f>astrogrep_path&amp;" /e /r /s /spath="&amp;search_path&amp;" /stypes=""app*"&amp;MZH28&amp;"*"&amp;TEXT(MZO28-utc_offset/24,"YYYYMMDD")&amp;"*"" /stext="" "&amp;TEXT(MZO28-utc_offset/24,"HH")&amp;search_regexp&amp;""""</f>
        <v>#REF!</v>
      </c>
      <c r="NAM28" s="234" t="e">
        <f>astrogrep_path&amp;" /e /r /s /spath="&amp;search_path&amp;" /stypes=""app*"&amp;MZI28&amp;"*"&amp;TEXT(MZP28-utc_offset/24,"YYYYMMDD")&amp;"*"" /stext="" "&amp;TEXT(MZP28-utc_offset/24,"HH")&amp;search_regexp&amp;""""</f>
        <v>#REF!</v>
      </c>
      <c r="NAN28" s="234" t="e">
        <f>astrogrep_path&amp;" /e /r /s /spath="&amp;search_path&amp;" /stypes=""app*"&amp;MZJ28&amp;"*"&amp;TEXT(MZQ28-utc_offset/24,"YYYYMMDD")&amp;"*"" /stext="" "&amp;TEXT(MZQ28-utc_offset/24,"HH")&amp;search_regexp&amp;""""</f>
        <v>#REF!</v>
      </c>
      <c r="NAO28" s="234" t="e">
        <f>astrogrep_path&amp;" /e /r /s /spath="&amp;search_path&amp;" /stypes=""app*"&amp;MZK28&amp;"*"&amp;TEXT(MZR28-utc_offset/24,"YYYYMMDD")&amp;"*"" /stext="" "&amp;TEXT(MZR28-utc_offset/24,"HH")&amp;search_regexp&amp;""""</f>
        <v>#REF!</v>
      </c>
      <c r="NAP28" s="234" t="e">
        <f>astrogrep_path&amp;" /e /r /s /spath="&amp;search_path&amp;" /stypes=""app*"&amp;MZL28&amp;"*"&amp;TEXT(MZS28-utc_offset/24,"YYYYMMDD")&amp;"*"" /stext="" "&amp;TEXT(MZS28-utc_offset/24,"HH")&amp;search_regexp&amp;""""</f>
        <v>#REF!</v>
      </c>
      <c r="NAQ28" s="234" t="e">
        <f>astrogrep_path&amp;" /e /r /s /spath="&amp;search_path&amp;" /stypes=""app*"&amp;MZM28&amp;"*"&amp;TEXT(MZT28-utc_offset/24,"YYYYMMDD")&amp;"*"" /stext="" "&amp;TEXT(MZT28-utc_offset/24,"HH")&amp;search_regexp&amp;""""</f>
        <v>#REF!</v>
      </c>
      <c r="NAR28" s="234" t="e">
        <f>astrogrep_path&amp;" /e /r /s /spath="&amp;search_path&amp;" /stypes=""app*"&amp;MZN28&amp;"*"&amp;TEXT(MZU28-utc_offset/24,"YYYYMMDD")&amp;"*"" /stext="" "&amp;TEXT(MZU28-utc_offset/24,"HH")&amp;search_regexp&amp;""""</f>
        <v>#REF!</v>
      </c>
      <c r="NAS28" s="234" t="e">
        <f>astrogrep_path&amp;" /e /r /s /spath="&amp;search_path&amp;" /stypes=""app*"&amp;MZO28&amp;"*"&amp;TEXT(MZV28-utc_offset/24,"YYYYMMDD")&amp;"*"" /stext="" "&amp;TEXT(MZV28-utc_offset/24,"HH")&amp;search_regexp&amp;""""</f>
        <v>#REF!</v>
      </c>
      <c r="NAT28" s="234" t="e">
        <f>astrogrep_path&amp;" /e /r /s /spath="&amp;search_path&amp;" /stypes=""app*"&amp;MZP28&amp;"*"&amp;TEXT(MZW28-utc_offset/24,"YYYYMMDD")&amp;"*"" /stext="" "&amp;TEXT(MZW28-utc_offset/24,"HH")&amp;search_regexp&amp;""""</f>
        <v>#REF!</v>
      </c>
      <c r="NAU28" s="234" t="e">
        <f>astrogrep_path&amp;" /e /r /s /spath="&amp;search_path&amp;" /stypes=""app*"&amp;MZQ28&amp;"*"&amp;TEXT(MZX28-utc_offset/24,"YYYYMMDD")&amp;"*"" /stext="" "&amp;TEXT(MZX28-utc_offset/24,"HH")&amp;search_regexp&amp;""""</f>
        <v>#VALUE!</v>
      </c>
      <c r="NAV28" s="234" t="e">
        <f>astrogrep_path&amp;" /e /r /s /spath="&amp;search_path&amp;" /stypes=""app*"&amp;MZR28&amp;"*"&amp;TEXT(MZY28-utc_offset/24,"YYYYMMDD")&amp;"*"" /stext="" "&amp;TEXT(MZY28-utc_offset/24,"HH")&amp;search_regexp&amp;""""</f>
        <v>#VALUE!</v>
      </c>
      <c r="NAW28" s="234" t="e">
        <f>astrogrep_path&amp;" /e /r /s /spath="&amp;search_path&amp;" /stypes=""app*"&amp;MZS28&amp;"*"&amp;TEXT(MZZ28-utc_offset/24,"YYYYMMDD")&amp;"*"" /stext="" "&amp;TEXT(MZZ28-utc_offset/24,"HH")&amp;search_regexp&amp;""""</f>
        <v>#REF!</v>
      </c>
      <c r="NAX28" s="234" t="e">
        <f>astrogrep_path&amp;" /e /r /s /spath="&amp;search_path&amp;" /stypes=""app*"&amp;MZT28&amp;"*"&amp;TEXT(NAA28-utc_offset/24,"YYYYMMDD")&amp;"*"" /stext="" "&amp;TEXT(NAA28-utc_offset/24,"HH")&amp;search_regexp&amp;""""</f>
        <v>#REF!</v>
      </c>
      <c r="NAY28" s="234" t="e">
        <f>astrogrep_path&amp;" /e /r /s /spath="&amp;search_path&amp;" /stypes=""app*"&amp;MZU28&amp;"*"&amp;TEXT(NAB28-utc_offset/24,"YYYYMMDD")&amp;"*"" /stext="" "&amp;TEXT(NAB28-utc_offset/24,"HH")&amp;search_regexp&amp;""""</f>
        <v>#VALUE!</v>
      </c>
      <c r="NAZ28" s="234" t="e">
        <f>astrogrep_path&amp;" /e /r /s /spath="&amp;search_path&amp;" /stypes=""app*"&amp;MZV28&amp;"*"&amp;TEXT(NAC28-utc_offset/24,"YYYYMMDD")&amp;"*"" /stext="" "&amp;TEXT(NAC28-utc_offset/24,"HH")&amp;search_regexp&amp;""""</f>
        <v>#VALUE!</v>
      </c>
      <c r="NBA28" s="234" t="e">
        <f>astrogrep_path&amp;" /e /r /s /spath="&amp;search_path&amp;" /stypes=""app*"&amp;MZW28&amp;"*"&amp;TEXT(NAD28-utc_offset/24,"YYYYMMDD")&amp;"*"" /stext="" "&amp;TEXT(NAD28-utc_offset/24,"HH")&amp;search_regexp&amp;""""</f>
        <v>#VALUE!</v>
      </c>
      <c r="NBB28" s="234" t="e">
        <f>astrogrep_path&amp;" /e /r /s /spath="&amp;search_path&amp;" /stypes=""app*"&amp;MZX28&amp;"*"&amp;TEXT(NAE28-utc_offset/24,"YYYYMMDD")&amp;"*"" /stext="" "&amp;TEXT(NAE28-utc_offset/24,"HH")&amp;search_regexp&amp;""""</f>
        <v>#VALUE!</v>
      </c>
      <c r="NBC28" s="234" t="e">
        <f>astrogrep_path&amp;" /e /r /s /spath="&amp;search_path&amp;" /stypes=""app*"&amp;MZY28&amp;"*"&amp;TEXT(NAF28-utc_offset/24,"YYYYMMDD")&amp;"*"" /stext="" "&amp;TEXT(NAF28-utc_offset/24,"HH")&amp;search_regexp&amp;""""</f>
        <v>#VALUE!</v>
      </c>
      <c r="NBD28" s="234" t="e">
        <f>astrogrep_path&amp;" /e /r /s /spath="&amp;search_path&amp;" /stypes=""app*"&amp;MZZ28&amp;"*"&amp;TEXT(NAG28-utc_offset/24,"YYYYMMDD")&amp;"*"" /stext="" "&amp;TEXT(NAG28-utc_offset/24,"HH")&amp;search_regexp&amp;""""</f>
        <v>#REF!</v>
      </c>
      <c r="NBE28" s="234" t="e">
        <f>astrogrep_path&amp;" /e /r /s /spath="&amp;search_path&amp;" /stypes=""app*"&amp;NAA28&amp;"*"&amp;TEXT(NAH28-utc_offset/24,"YYYYMMDD")&amp;"*"" /stext="" "&amp;TEXT(NAH28-utc_offset/24,"HH")&amp;search_regexp&amp;""""</f>
        <v>#REF!</v>
      </c>
      <c r="NBF28" s="234" t="e">
        <f>astrogrep_path&amp;" /e /r /s /spath="&amp;search_path&amp;" /stypes=""app*"&amp;NAB28&amp;"*"&amp;TEXT(NAI28-utc_offset/24,"YYYYMMDD")&amp;"*"" /stext="" "&amp;TEXT(NAI28-utc_offset/24,"HH")&amp;search_regexp&amp;""""</f>
        <v>#REF!</v>
      </c>
      <c r="NBG28" s="234" t="e">
        <f>astrogrep_path&amp;" /e /r /s /spath="&amp;search_path&amp;" /stypes=""app*"&amp;NAC28&amp;"*"&amp;TEXT(NAJ28-utc_offset/24,"YYYYMMDD")&amp;"*"" /stext="" "&amp;TEXT(NAJ28-utc_offset/24,"HH")&amp;search_regexp&amp;""""</f>
        <v>#REF!</v>
      </c>
      <c r="NBH28" s="234" t="e">
        <f>astrogrep_path&amp;" /e /r /s /spath="&amp;search_path&amp;" /stypes=""app*"&amp;NAD28&amp;"*"&amp;TEXT(NAK28-utc_offset/24,"YYYYMMDD")&amp;"*"" /stext="" "&amp;TEXT(NAK28-utc_offset/24,"HH")&amp;search_regexp&amp;""""</f>
        <v>#REF!</v>
      </c>
      <c r="NBI28" s="234" t="e">
        <f>astrogrep_path&amp;" /e /r /s /spath="&amp;search_path&amp;" /stypes=""app*"&amp;NAE28&amp;"*"&amp;TEXT(NAL28-utc_offset/24,"YYYYMMDD")&amp;"*"" /stext="" "&amp;TEXT(NAL28-utc_offset/24,"HH")&amp;search_regexp&amp;""""</f>
        <v>#REF!</v>
      </c>
      <c r="NBJ28" s="234" t="e">
        <f>astrogrep_path&amp;" /e /r /s /spath="&amp;search_path&amp;" /stypes=""app*"&amp;NAF28&amp;"*"&amp;TEXT(NAM28-utc_offset/24,"YYYYMMDD")&amp;"*"" /stext="" "&amp;TEXT(NAM28-utc_offset/24,"HH")&amp;search_regexp&amp;""""</f>
        <v>#REF!</v>
      </c>
      <c r="NBK28" s="234" t="e">
        <f>astrogrep_path&amp;" /e /r /s /spath="&amp;search_path&amp;" /stypes=""app*"&amp;NAG28&amp;"*"&amp;TEXT(NAN28-utc_offset/24,"YYYYMMDD")&amp;"*"" /stext="" "&amp;TEXT(NAN28-utc_offset/24,"HH")&amp;search_regexp&amp;""""</f>
        <v>#REF!</v>
      </c>
      <c r="NBL28" s="234" t="e">
        <f>astrogrep_path&amp;" /e /r /s /spath="&amp;search_path&amp;" /stypes=""app*"&amp;NAH28&amp;"*"&amp;TEXT(NAO28-utc_offset/24,"YYYYMMDD")&amp;"*"" /stext="" "&amp;TEXT(NAO28-utc_offset/24,"HH")&amp;search_regexp&amp;""""</f>
        <v>#REF!</v>
      </c>
      <c r="NBM28" s="234" t="e">
        <f>astrogrep_path&amp;" /e /r /s /spath="&amp;search_path&amp;" /stypes=""app*"&amp;NAI28&amp;"*"&amp;TEXT(NAP28-utc_offset/24,"YYYYMMDD")&amp;"*"" /stext="" "&amp;TEXT(NAP28-utc_offset/24,"HH")&amp;search_regexp&amp;""""</f>
        <v>#REF!</v>
      </c>
      <c r="NBN28" s="234" t="e">
        <f>astrogrep_path&amp;" /e /r /s /spath="&amp;search_path&amp;" /stypes=""app*"&amp;NAJ28&amp;"*"&amp;TEXT(NAQ28-utc_offset/24,"YYYYMMDD")&amp;"*"" /stext="" "&amp;TEXT(NAQ28-utc_offset/24,"HH")&amp;search_regexp&amp;""""</f>
        <v>#REF!</v>
      </c>
      <c r="NBO28" s="234" t="e">
        <f>astrogrep_path&amp;" /e /r /s /spath="&amp;search_path&amp;" /stypes=""app*"&amp;NAK28&amp;"*"&amp;TEXT(NAR28-utc_offset/24,"YYYYMMDD")&amp;"*"" /stext="" "&amp;TEXT(NAR28-utc_offset/24,"HH")&amp;search_regexp&amp;""""</f>
        <v>#REF!</v>
      </c>
      <c r="NBP28" s="234" t="e">
        <f>astrogrep_path&amp;" /e /r /s /spath="&amp;search_path&amp;" /stypes=""app*"&amp;NAL28&amp;"*"&amp;TEXT(NAS28-utc_offset/24,"YYYYMMDD")&amp;"*"" /stext="" "&amp;TEXT(NAS28-utc_offset/24,"HH")&amp;search_regexp&amp;""""</f>
        <v>#REF!</v>
      </c>
      <c r="NBQ28" s="234" t="e">
        <f>astrogrep_path&amp;" /e /r /s /spath="&amp;search_path&amp;" /stypes=""app*"&amp;NAM28&amp;"*"&amp;TEXT(NAT28-utc_offset/24,"YYYYMMDD")&amp;"*"" /stext="" "&amp;TEXT(NAT28-utc_offset/24,"HH")&amp;search_regexp&amp;""""</f>
        <v>#REF!</v>
      </c>
      <c r="NBR28" s="234" t="e">
        <f>astrogrep_path&amp;" /e /r /s /spath="&amp;search_path&amp;" /stypes=""app*"&amp;NAN28&amp;"*"&amp;TEXT(NAU28-utc_offset/24,"YYYYMMDD")&amp;"*"" /stext="" "&amp;TEXT(NAU28-utc_offset/24,"HH")&amp;search_regexp&amp;""""</f>
        <v>#REF!</v>
      </c>
      <c r="NBS28" s="234" t="e">
        <f>astrogrep_path&amp;" /e /r /s /spath="&amp;search_path&amp;" /stypes=""app*"&amp;NAO28&amp;"*"&amp;TEXT(NAV28-utc_offset/24,"YYYYMMDD")&amp;"*"" /stext="" "&amp;TEXT(NAV28-utc_offset/24,"HH")&amp;search_regexp&amp;""""</f>
        <v>#REF!</v>
      </c>
      <c r="NBT28" s="234" t="e">
        <f>astrogrep_path&amp;" /e /r /s /spath="&amp;search_path&amp;" /stypes=""app*"&amp;NAP28&amp;"*"&amp;TEXT(NAW28-utc_offset/24,"YYYYMMDD")&amp;"*"" /stext="" "&amp;TEXT(NAW28-utc_offset/24,"HH")&amp;search_regexp&amp;""""</f>
        <v>#REF!</v>
      </c>
      <c r="NBU28" s="234" t="e">
        <f>astrogrep_path&amp;" /e /r /s /spath="&amp;search_path&amp;" /stypes=""app*"&amp;NAQ28&amp;"*"&amp;TEXT(NAX28-utc_offset/24,"YYYYMMDD")&amp;"*"" /stext="" "&amp;TEXT(NAX28-utc_offset/24,"HH")&amp;search_regexp&amp;""""</f>
        <v>#REF!</v>
      </c>
      <c r="NBV28" s="234" t="e">
        <f>astrogrep_path&amp;" /e /r /s /spath="&amp;search_path&amp;" /stypes=""app*"&amp;NAR28&amp;"*"&amp;TEXT(NAY28-utc_offset/24,"YYYYMMDD")&amp;"*"" /stext="" "&amp;TEXT(NAY28-utc_offset/24,"HH")&amp;search_regexp&amp;""""</f>
        <v>#REF!</v>
      </c>
      <c r="NBW28" s="234" t="e">
        <f>astrogrep_path&amp;" /e /r /s /spath="&amp;search_path&amp;" /stypes=""app*"&amp;NAS28&amp;"*"&amp;TEXT(NAZ28-utc_offset/24,"YYYYMMDD")&amp;"*"" /stext="" "&amp;TEXT(NAZ28-utc_offset/24,"HH")&amp;search_regexp&amp;""""</f>
        <v>#REF!</v>
      </c>
      <c r="NBX28" s="234" t="e">
        <f>astrogrep_path&amp;" /e /r /s /spath="&amp;search_path&amp;" /stypes=""app*"&amp;NAT28&amp;"*"&amp;TEXT(NBA28-utc_offset/24,"YYYYMMDD")&amp;"*"" /stext="" "&amp;TEXT(NBA28-utc_offset/24,"HH")&amp;search_regexp&amp;""""</f>
        <v>#REF!</v>
      </c>
      <c r="NBY28" s="234" t="e">
        <f>astrogrep_path&amp;" /e /r /s /spath="&amp;search_path&amp;" /stypes=""app*"&amp;NAU28&amp;"*"&amp;TEXT(NBB28-utc_offset/24,"YYYYMMDD")&amp;"*"" /stext="" "&amp;TEXT(NBB28-utc_offset/24,"HH")&amp;search_regexp&amp;""""</f>
        <v>#VALUE!</v>
      </c>
      <c r="NBZ28" s="234" t="e">
        <f>astrogrep_path&amp;" /e /r /s /spath="&amp;search_path&amp;" /stypes=""app*"&amp;NAV28&amp;"*"&amp;TEXT(NBC28-utc_offset/24,"YYYYMMDD")&amp;"*"" /stext="" "&amp;TEXT(NBC28-utc_offset/24,"HH")&amp;search_regexp&amp;""""</f>
        <v>#VALUE!</v>
      </c>
      <c r="NCA28" s="234" t="e">
        <f>astrogrep_path&amp;" /e /r /s /spath="&amp;search_path&amp;" /stypes=""app*"&amp;NAW28&amp;"*"&amp;TEXT(NBD28-utc_offset/24,"YYYYMMDD")&amp;"*"" /stext="" "&amp;TEXT(NBD28-utc_offset/24,"HH")&amp;search_regexp&amp;""""</f>
        <v>#REF!</v>
      </c>
      <c r="NCB28" s="234" t="e">
        <f>astrogrep_path&amp;" /e /r /s /spath="&amp;search_path&amp;" /stypes=""app*"&amp;NAX28&amp;"*"&amp;TEXT(NBE28-utc_offset/24,"YYYYMMDD")&amp;"*"" /stext="" "&amp;TEXT(NBE28-utc_offset/24,"HH")&amp;search_regexp&amp;""""</f>
        <v>#REF!</v>
      </c>
      <c r="NCC28" s="234" t="e">
        <f>astrogrep_path&amp;" /e /r /s /spath="&amp;search_path&amp;" /stypes=""app*"&amp;NAY28&amp;"*"&amp;TEXT(NBF28-utc_offset/24,"YYYYMMDD")&amp;"*"" /stext="" "&amp;TEXT(NBF28-utc_offset/24,"HH")&amp;search_regexp&amp;""""</f>
        <v>#VALUE!</v>
      </c>
      <c r="NCD28" s="234" t="e">
        <f>astrogrep_path&amp;" /e /r /s /spath="&amp;search_path&amp;" /stypes=""app*"&amp;NAZ28&amp;"*"&amp;TEXT(NBG28-utc_offset/24,"YYYYMMDD")&amp;"*"" /stext="" "&amp;TEXT(NBG28-utc_offset/24,"HH")&amp;search_regexp&amp;""""</f>
        <v>#VALUE!</v>
      </c>
      <c r="NCE28" s="234" t="e">
        <f>astrogrep_path&amp;" /e /r /s /spath="&amp;search_path&amp;" /stypes=""app*"&amp;NBA28&amp;"*"&amp;TEXT(NBH28-utc_offset/24,"YYYYMMDD")&amp;"*"" /stext="" "&amp;TEXT(NBH28-utc_offset/24,"HH")&amp;search_regexp&amp;""""</f>
        <v>#VALUE!</v>
      </c>
      <c r="NCF28" s="234" t="e">
        <f>astrogrep_path&amp;" /e /r /s /spath="&amp;search_path&amp;" /stypes=""app*"&amp;NBB28&amp;"*"&amp;TEXT(NBI28-utc_offset/24,"YYYYMMDD")&amp;"*"" /stext="" "&amp;TEXT(NBI28-utc_offset/24,"HH")&amp;search_regexp&amp;""""</f>
        <v>#VALUE!</v>
      </c>
      <c r="NCG28" s="234" t="e">
        <f>astrogrep_path&amp;" /e /r /s /spath="&amp;search_path&amp;" /stypes=""app*"&amp;NBC28&amp;"*"&amp;TEXT(NBJ28-utc_offset/24,"YYYYMMDD")&amp;"*"" /stext="" "&amp;TEXT(NBJ28-utc_offset/24,"HH")&amp;search_regexp&amp;""""</f>
        <v>#VALUE!</v>
      </c>
      <c r="NCH28" s="234" t="e">
        <f>astrogrep_path&amp;" /e /r /s /spath="&amp;search_path&amp;" /stypes=""app*"&amp;NBD28&amp;"*"&amp;TEXT(NBK28-utc_offset/24,"YYYYMMDD")&amp;"*"" /stext="" "&amp;TEXT(NBK28-utc_offset/24,"HH")&amp;search_regexp&amp;""""</f>
        <v>#REF!</v>
      </c>
      <c r="NCI28" s="234" t="e">
        <f>astrogrep_path&amp;" /e /r /s /spath="&amp;search_path&amp;" /stypes=""app*"&amp;NBE28&amp;"*"&amp;TEXT(NBL28-utc_offset/24,"YYYYMMDD")&amp;"*"" /stext="" "&amp;TEXT(NBL28-utc_offset/24,"HH")&amp;search_regexp&amp;""""</f>
        <v>#REF!</v>
      </c>
      <c r="NCJ28" s="234" t="e">
        <f>astrogrep_path&amp;" /e /r /s /spath="&amp;search_path&amp;" /stypes=""app*"&amp;NBF28&amp;"*"&amp;TEXT(NBM28-utc_offset/24,"YYYYMMDD")&amp;"*"" /stext="" "&amp;TEXT(NBM28-utc_offset/24,"HH")&amp;search_regexp&amp;""""</f>
        <v>#REF!</v>
      </c>
      <c r="NCK28" s="234" t="e">
        <f>astrogrep_path&amp;" /e /r /s /spath="&amp;search_path&amp;" /stypes=""app*"&amp;NBG28&amp;"*"&amp;TEXT(NBN28-utc_offset/24,"YYYYMMDD")&amp;"*"" /stext="" "&amp;TEXT(NBN28-utc_offset/24,"HH")&amp;search_regexp&amp;""""</f>
        <v>#REF!</v>
      </c>
      <c r="NCL28" s="234" t="e">
        <f>astrogrep_path&amp;" /e /r /s /spath="&amp;search_path&amp;" /stypes=""app*"&amp;NBH28&amp;"*"&amp;TEXT(NBO28-utc_offset/24,"YYYYMMDD")&amp;"*"" /stext="" "&amp;TEXT(NBO28-utc_offset/24,"HH")&amp;search_regexp&amp;""""</f>
        <v>#REF!</v>
      </c>
      <c r="NCM28" s="234" t="e">
        <f>astrogrep_path&amp;" /e /r /s /spath="&amp;search_path&amp;" /stypes=""app*"&amp;NBI28&amp;"*"&amp;TEXT(NBP28-utc_offset/24,"YYYYMMDD")&amp;"*"" /stext="" "&amp;TEXT(NBP28-utc_offset/24,"HH")&amp;search_regexp&amp;""""</f>
        <v>#REF!</v>
      </c>
      <c r="NCN28" s="234" t="e">
        <f>astrogrep_path&amp;" /e /r /s /spath="&amp;search_path&amp;" /stypes=""app*"&amp;NBJ28&amp;"*"&amp;TEXT(NBQ28-utc_offset/24,"YYYYMMDD")&amp;"*"" /stext="" "&amp;TEXT(NBQ28-utc_offset/24,"HH")&amp;search_regexp&amp;""""</f>
        <v>#REF!</v>
      </c>
      <c r="NCO28" s="234" t="e">
        <f>astrogrep_path&amp;" /e /r /s /spath="&amp;search_path&amp;" /stypes=""app*"&amp;NBK28&amp;"*"&amp;TEXT(NBR28-utc_offset/24,"YYYYMMDD")&amp;"*"" /stext="" "&amp;TEXT(NBR28-utc_offset/24,"HH")&amp;search_regexp&amp;""""</f>
        <v>#REF!</v>
      </c>
      <c r="NCP28" s="234" t="e">
        <f>astrogrep_path&amp;" /e /r /s /spath="&amp;search_path&amp;" /stypes=""app*"&amp;NBL28&amp;"*"&amp;TEXT(NBS28-utc_offset/24,"YYYYMMDD")&amp;"*"" /stext="" "&amp;TEXT(NBS28-utc_offset/24,"HH")&amp;search_regexp&amp;""""</f>
        <v>#REF!</v>
      </c>
      <c r="NCQ28" s="234" t="e">
        <f>astrogrep_path&amp;" /e /r /s /spath="&amp;search_path&amp;" /stypes=""app*"&amp;NBM28&amp;"*"&amp;TEXT(NBT28-utc_offset/24,"YYYYMMDD")&amp;"*"" /stext="" "&amp;TEXT(NBT28-utc_offset/24,"HH")&amp;search_regexp&amp;""""</f>
        <v>#REF!</v>
      </c>
      <c r="NCR28" s="234" t="e">
        <f>astrogrep_path&amp;" /e /r /s /spath="&amp;search_path&amp;" /stypes=""app*"&amp;NBN28&amp;"*"&amp;TEXT(NBU28-utc_offset/24,"YYYYMMDD")&amp;"*"" /stext="" "&amp;TEXT(NBU28-utc_offset/24,"HH")&amp;search_regexp&amp;""""</f>
        <v>#REF!</v>
      </c>
      <c r="NCS28" s="234" t="e">
        <f>astrogrep_path&amp;" /e /r /s /spath="&amp;search_path&amp;" /stypes=""app*"&amp;NBO28&amp;"*"&amp;TEXT(NBV28-utc_offset/24,"YYYYMMDD")&amp;"*"" /stext="" "&amp;TEXT(NBV28-utc_offset/24,"HH")&amp;search_regexp&amp;""""</f>
        <v>#REF!</v>
      </c>
      <c r="NCT28" s="234" t="e">
        <f>astrogrep_path&amp;" /e /r /s /spath="&amp;search_path&amp;" /stypes=""app*"&amp;NBP28&amp;"*"&amp;TEXT(NBW28-utc_offset/24,"YYYYMMDD")&amp;"*"" /stext="" "&amp;TEXT(NBW28-utc_offset/24,"HH")&amp;search_regexp&amp;""""</f>
        <v>#REF!</v>
      </c>
      <c r="NCU28" s="234" t="e">
        <f>astrogrep_path&amp;" /e /r /s /spath="&amp;search_path&amp;" /stypes=""app*"&amp;NBQ28&amp;"*"&amp;TEXT(NBX28-utc_offset/24,"YYYYMMDD")&amp;"*"" /stext="" "&amp;TEXT(NBX28-utc_offset/24,"HH")&amp;search_regexp&amp;""""</f>
        <v>#REF!</v>
      </c>
      <c r="NCV28" s="234" t="e">
        <f>astrogrep_path&amp;" /e /r /s /spath="&amp;search_path&amp;" /stypes=""app*"&amp;NBR28&amp;"*"&amp;TEXT(NBY28-utc_offset/24,"YYYYMMDD")&amp;"*"" /stext="" "&amp;TEXT(NBY28-utc_offset/24,"HH")&amp;search_regexp&amp;""""</f>
        <v>#REF!</v>
      </c>
      <c r="NCW28" s="234" t="e">
        <f>astrogrep_path&amp;" /e /r /s /spath="&amp;search_path&amp;" /stypes=""app*"&amp;NBS28&amp;"*"&amp;TEXT(NBZ28-utc_offset/24,"YYYYMMDD")&amp;"*"" /stext="" "&amp;TEXT(NBZ28-utc_offset/24,"HH")&amp;search_regexp&amp;""""</f>
        <v>#REF!</v>
      </c>
      <c r="NCX28" s="234" t="e">
        <f>astrogrep_path&amp;" /e /r /s /spath="&amp;search_path&amp;" /stypes=""app*"&amp;NBT28&amp;"*"&amp;TEXT(NCA28-utc_offset/24,"YYYYMMDD")&amp;"*"" /stext="" "&amp;TEXT(NCA28-utc_offset/24,"HH")&amp;search_regexp&amp;""""</f>
        <v>#REF!</v>
      </c>
      <c r="NCY28" s="234" t="e">
        <f>astrogrep_path&amp;" /e /r /s /spath="&amp;search_path&amp;" /stypes=""app*"&amp;NBU28&amp;"*"&amp;TEXT(NCB28-utc_offset/24,"YYYYMMDD")&amp;"*"" /stext="" "&amp;TEXT(NCB28-utc_offset/24,"HH")&amp;search_regexp&amp;""""</f>
        <v>#REF!</v>
      </c>
      <c r="NCZ28" s="234" t="e">
        <f>astrogrep_path&amp;" /e /r /s /spath="&amp;search_path&amp;" /stypes=""app*"&amp;NBV28&amp;"*"&amp;TEXT(NCC28-utc_offset/24,"YYYYMMDD")&amp;"*"" /stext="" "&amp;TEXT(NCC28-utc_offset/24,"HH")&amp;search_regexp&amp;""""</f>
        <v>#REF!</v>
      </c>
      <c r="NDA28" s="234" t="e">
        <f>astrogrep_path&amp;" /e /r /s /spath="&amp;search_path&amp;" /stypes=""app*"&amp;NBW28&amp;"*"&amp;TEXT(NCD28-utc_offset/24,"YYYYMMDD")&amp;"*"" /stext="" "&amp;TEXT(NCD28-utc_offset/24,"HH")&amp;search_regexp&amp;""""</f>
        <v>#REF!</v>
      </c>
      <c r="NDB28" s="234" t="e">
        <f>astrogrep_path&amp;" /e /r /s /spath="&amp;search_path&amp;" /stypes=""app*"&amp;NBX28&amp;"*"&amp;TEXT(NCE28-utc_offset/24,"YYYYMMDD")&amp;"*"" /stext="" "&amp;TEXT(NCE28-utc_offset/24,"HH")&amp;search_regexp&amp;""""</f>
        <v>#REF!</v>
      </c>
      <c r="NDC28" s="234" t="e">
        <f>astrogrep_path&amp;" /e /r /s /spath="&amp;search_path&amp;" /stypes=""app*"&amp;NBY28&amp;"*"&amp;TEXT(NCF28-utc_offset/24,"YYYYMMDD")&amp;"*"" /stext="" "&amp;TEXT(NCF28-utc_offset/24,"HH")&amp;search_regexp&amp;""""</f>
        <v>#VALUE!</v>
      </c>
      <c r="NDD28" s="234" t="e">
        <f>astrogrep_path&amp;" /e /r /s /spath="&amp;search_path&amp;" /stypes=""app*"&amp;NBZ28&amp;"*"&amp;TEXT(NCG28-utc_offset/24,"YYYYMMDD")&amp;"*"" /stext="" "&amp;TEXT(NCG28-utc_offset/24,"HH")&amp;search_regexp&amp;""""</f>
        <v>#VALUE!</v>
      </c>
      <c r="NDE28" s="234" t="e">
        <f>astrogrep_path&amp;" /e /r /s /spath="&amp;search_path&amp;" /stypes=""app*"&amp;NCA28&amp;"*"&amp;TEXT(NCH28-utc_offset/24,"YYYYMMDD")&amp;"*"" /stext="" "&amp;TEXT(NCH28-utc_offset/24,"HH")&amp;search_regexp&amp;""""</f>
        <v>#REF!</v>
      </c>
      <c r="NDF28" s="234" t="e">
        <f>astrogrep_path&amp;" /e /r /s /spath="&amp;search_path&amp;" /stypes=""app*"&amp;NCB28&amp;"*"&amp;TEXT(NCI28-utc_offset/24,"YYYYMMDD")&amp;"*"" /stext="" "&amp;TEXT(NCI28-utc_offset/24,"HH")&amp;search_regexp&amp;""""</f>
        <v>#REF!</v>
      </c>
      <c r="NDG28" s="234" t="e">
        <f>astrogrep_path&amp;" /e /r /s /spath="&amp;search_path&amp;" /stypes=""app*"&amp;NCC28&amp;"*"&amp;TEXT(NCJ28-utc_offset/24,"YYYYMMDD")&amp;"*"" /stext="" "&amp;TEXT(NCJ28-utc_offset/24,"HH")&amp;search_regexp&amp;""""</f>
        <v>#VALUE!</v>
      </c>
      <c r="NDH28" s="234" t="e">
        <f>astrogrep_path&amp;" /e /r /s /spath="&amp;search_path&amp;" /stypes=""app*"&amp;NCD28&amp;"*"&amp;TEXT(NCK28-utc_offset/24,"YYYYMMDD")&amp;"*"" /stext="" "&amp;TEXT(NCK28-utc_offset/24,"HH")&amp;search_regexp&amp;""""</f>
        <v>#VALUE!</v>
      </c>
      <c r="NDI28" s="234" t="e">
        <f>astrogrep_path&amp;" /e /r /s /spath="&amp;search_path&amp;" /stypes=""app*"&amp;NCE28&amp;"*"&amp;TEXT(NCL28-utc_offset/24,"YYYYMMDD")&amp;"*"" /stext="" "&amp;TEXT(NCL28-utc_offset/24,"HH")&amp;search_regexp&amp;""""</f>
        <v>#VALUE!</v>
      </c>
      <c r="NDJ28" s="234" t="e">
        <f>astrogrep_path&amp;" /e /r /s /spath="&amp;search_path&amp;" /stypes=""app*"&amp;NCF28&amp;"*"&amp;TEXT(NCM28-utc_offset/24,"YYYYMMDD")&amp;"*"" /stext="" "&amp;TEXT(NCM28-utc_offset/24,"HH")&amp;search_regexp&amp;""""</f>
        <v>#VALUE!</v>
      </c>
      <c r="NDK28" s="234" t="e">
        <f>astrogrep_path&amp;" /e /r /s /spath="&amp;search_path&amp;" /stypes=""app*"&amp;NCG28&amp;"*"&amp;TEXT(NCN28-utc_offset/24,"YYYYMMDD")&amp;"*"" /stext="" "&amp;TEXT(NCN28-utc_offset/24,"HH")&amp;search_regexp&amp;""""</f>
        <v>#VALUE!</v>
      </c>
      <c r="NDL28" s="234" t="e">
        <f>astrogrep_path&amp;" /e /r /s /spath="&amp;search_path&amp;" /stypes=""app*"&amp;NCH28&amp;"*"&amp;TEXT(NCO28-utc_offset/24,"YYYYMMDD")&amp;"*"" /stext="" "&amp;TEXT(NCO28-utc_offset/24,"HH")&amp;search_regexp&amp;""""</f>
        <v>#REF!</v>
      </c>
      <c r="NDM28" s="234" t="e">
        <f>astrogrep_path&amp;" /e /r /s /spath="&amp;search_path&amp;" /stypes=""app*"&amp;NCI28&amp;"*"&amp;TEXT(NCP28-utc_offset/24,"YYYYMMDD")&amp;"*"" /stext="" "&amp;TEXT(NCP28-utc_offset/24,"HH")&amp;search_regexp&amp;""""</f>
        <v>#REF!</v>
      </c>
      <c r="NDN28" s="234" t="e">
        <f>astrogrep_path&amp;" /e /r /s /spath="&amp;search_path&amp;" /stypes=""app*"&amp;NCJ28&amp;"*"&amp;TEXT(NCQ28-utc_offset/24,"YYYYMMDD")&amp;"*"" /stext="" "&amp;TEXT(NCQ28-utc_offset/24,"HH")&amp;search_regexp&amp;""""</f>
        <v>#REF!</v>
      </c>
      <c r="NDO28" s="234" t="e">
        <f>astrogrep_path&amp;" /e /r /s /spath="&amp;search_path&amp;" /stypes=""app*"&amp;NCK28&amp;"*"&amp;TEXT(NCR28-utc_offset/24,"YYYYMMDD")&amp;"*"" /stext="" "&amp;TEXT(NCR28-utc_offset/24,"HH")&amp;search_regexp&amp;""""</f>
        <v>#REF!</v>
      </c>
      <c r="NDP28" s="234" t="e">
        <f>astrogrep_path&amp;" /e /r /s /spath="&amp;search_path&amp;" /stypes=""app*"&amp;NCL28&amp;"*"&amp;TEXT(NCS28-utc_offset/24,"YYYYMMDD")&amp;"*"" /stext="" "&amp;TEXT(NCS28-utc_offset/24,"HH")&amp;search_regexp&amp;""""</f>
        <v>#REF!</v>
      </c>
      <c r="NDQ28" s="234" t="e">
        <f>astrogrep_path&amp;" /e /r /s /spath="&amp;search_path&amp;" /stypes=""app*"&amp;NCM28&amp;"*"&amp;TEXT(NCT28-utc_offset/24,"YYYYMMDD")&amp;"*"" /stext="" "&amp;TEXT(NCT28-utc_offset/24,"HH")&amp;search_regexp&amp;""""</f>
        <v>#REF!</v>
      </c>
      <c r="NDR28" s="234" t="e">
        <f>astrogrep_path&amp;" /e /r /s /spath="&amp;search_path&amp;" /stypes=""app*"&amp;NCN28&amp;"*"&amp;TEXT(NCU28-utc_offset/24,"YYYYMMDD")&amp;"*"" /stext="" "&amp;TEXT(NCU28-utc_offset/24,"HH")&amp;search_regexp&amp;""""</f>
        <v>#REF!</v>
      </c>
      <c r="NDS28" s="234" t="e">
        <f>astrogrep_path&amp;" /e /r /s /spath="&amp;search_path&amp;" /stypes=""app*"&amp;NCO28&amp;"*"&amp;TEXT(NCV28-utc_offset/24,"YYYYMMDD")&amp;"*"" /stext="" "&amp;TEXT(NCV28-utc_offset/24,"HH")&amp;search_regexp&amp;""""</f>
        <v>#REF!</v>
      </c>
      <c r="NDT28" s="234" t="e">
        <f>astrogrep_path&amp;" /e /r /s /spath="&amp;search_path&amp;" /stypes=""app*"&amp;NCP28&amp;"*"&amp;TEXT(NCW28-utc_offset/24,"YYYYMMDD")&amp;"*"" /stext="" "&amp;TEXT(NCW28-utc_offset/24,"HH")&amp;search_regexp&amp;""""</f>
        <v>#REF!</v>
      </c>
      <c r="NDU28" s="234" t="e">
        <f>astrogrep_path&amp;" /e /r /s /spath="&amp;search_path&amp;" /stypes=""app*"&amp;NCQ28&amp;"*"&amp;TEXT(NCX28-utc_offset/24,"YYYYMMDD")&amp;"*"" /stext="" "&amp;TEXT(NCX28-utc_offset/24,"HH")&amp;search_regexp&amp;""""</f>
        <v>#REF!</v>
      </c>
      <c r="NDV28" s="234" t="e">
        <f>astrogrep_path&amp;" /e /r /s /spath="&amp;search_path&amp;" /stypes=""app*"&amp;NCR28&amp;"*"&amp;TEXT(NCY28-utc_offset/24,"YYYYMMDD")&amp;"*"" /stext="" "&amp;TEXT(NCY28-utc_offset/24,"HH")&amp;search_regexp&amp;""""</f>
        <v>#REF!</v>
      </c>
      <c r="NDW28" s="234" t="e">
        <f>astrogrep_path&amp;" /e /r /s /spath="&amp;search_path&amp;" /stypes=""app*"&amp;NCS28&amp;"*"&amp;TEXT(NCZ28-utc_offset/24,"YYYYMMDD")&amp;"*"" /stext="" "&amp;TEXT(NCZ28-utc_offset/24,"HH")&amp;search_regexp&amp;""""</f>
        <v>#REF!</v>
      </c>
      <c r="NDX28" s="234" t="e">
        <f>astrogrep_path&amp;" /e /r /s /spath="&amp;search_path&amp;" /stypes=""app*"&amp;NCT28&amp;"*"&amp;TEXT(NDA28-utc_offset/24,"YYYYMMDD")&amp;"*"" /stext="" "&amp;TEXT(NDA28-utc_offset/24,"HH")&amp;search_regexp&amp;""""</f>
        <v>#REF!</v>
      </c>
      <c r="NDY28" s="234" t="e">
        <f>astrogrep_path&amp;" /e /r /s /spath="&amp;search_path&amp;" /stypes=""app*"&amp;NCU28&amp;"*"&amp;TEXT(NDB28-utc_offset/24,"YYYYMMDD")&amp;"*"" /stext="" "&amp;TEXT(NDB28-utc_offset/24,"HH")&amp;search_regexp&amp;""""</f>
        <v>#REF!</v>
      </c>
      <c r="NDZ28" s="234" t="e">
        <f>astrogrep_path&amp;" /e /r /s /spath="&amp;search_path&amp;" /stypes=""app*"&amp;NCV28&amp;"*"&amp;TEXT(NDC28-utc_offset/24,"YYYYMMDD")&amp;"*"" /stext="" "&amp;TEXT(NDC28-utc_offset/24,"HH")&amp;search_regexp&amp;""""</f>
        <v>#REF!</v>
      </c>
      <c r="NEA28" s="234" t="e">
        <f>astrogrep_path&amp;" /e /r /s /spath="&amp;search_path&amp;" /stypes=""app*"&amp;NCW28&amp;"*"&amp;TEXT(NDD28-utc_offset/24,"YYYYMMDD")&amp;"*"" /stext="" "&amp;TEXT(NDD28-utc_offset/24,"HH")&amp;search_regexp&amp;""""</f>
        <v>#REF!</v>
      </c>
      <c r="NEB28" s="234" t="e">
        <f>astrogrep_path&amp;" /e /r /s /spath="&amp;search_path&amp;" /stypes=""app*"&amp;NCX28&amp;"*"&amp;TEXT(NDE28-utc_offset/24,"YYYYMMDD")&amp;"*"" /stext="" "&amp;TEXT(NDE28-utc_offset/24,"HH")&amp;search_regexp&amp;""""</f>
        <v>#REF!</v>
      </c>
      <c r="NEC28" s="234" t="e">
        <f>astrogrep_path&amp;" /e /r /s /spath="&amp;search_path&amp;" /stypes=""app*"&amp;NCY28&amp;"*"&amp;TEXT(NDF28-utc_offset/24,"YYYYMMDD")&amp;"*"" /stext="" "&amp;TEXT(NDF28-utc_offset/24,"HH")&amp;search_regexp&amp;""""</f>
        <v>#REF!</v>
      </c>
      <c r="NED28" s="234" t="e">
        <f>astrogrep_path&amp;" /e /r /s /spath="&amp;search_path&amp;" /stypes=""app*"&amp;NCZ28&amp;"*"&amp;TEXT(NDG28-utc_offset/24,"YYYYMMDD")&amp;"*"" /stext="" "&amp;TEXT(NDG28-utc_offset/24,"HH")&amp;search_regexp&amp;""""</f>
        <v>#REF!</v>
      </c>
      <c r="NEE28" s="234" t="e">
        <f>astrogrep_path&amp;" /e /r /s /spath="&amp;search_path&amp;" /stypes=""app*"&amp;NDA28&amp;"*"&amp;TEXT(NDH28-utc_offset/24,"YYYYMMDD")&amp;"*"" /stext="" "&amp;TEXT(NDH28-utc_offset/24,"HH")&amp;search_regexp&amp;""""</f>
        <v>#REF!</v>
      </c>
      <c r="NEF28" s="234" t="e">
        <f>astrogrep_path&amp;" /e /r /s /spath="&amp;search_path&amp;" /stypes=""app*"&amp;NDB28&amp;"*"&amp;TEXT(NDI28-utc_offset/24,"YYYYMMDD")&amp;"*"" /stext="" "&amp;TEXT(NDI28-utc_offset/24,"HH")&amp;search_regexp&amp;""""</f>
        <v>#REF!</v>
      </c>
      <c r="NEG28" s="234" t="e">
        <f>astrogrep_path&amp;" /e /r /s /spath="&amp;search_path&amp;" /stypes=""app*"&amp;NDC28&amp;"*"&amp;TEXT(NDJ28-utc_offset/24,"YYYYMMDD")&amp;"*"" /stext="" "&amp;TEXT(NDJ28-utc_offset/24,"HH")&amp;search_regexp&amp;""""</f>
        <v>#VALUE!</v>
      </c>
      <c r="NEH28" s="234" t="e">
        <f>astrogrep_path&amp;" /e /r /s /spath="&amp;search_path&amp;" /stypes=""app*"&amp;NDD28&amp;"*"&amp;TEXT(NDK28-utc_offset/24,"YYYYMMDD")&amp;"*"" /stext="" "&amp;TEXT(NDK28-utc_offset/24,"HH")&amp;search_regexp&amp;""""</f>
        <v>#VALUE!</v>
      </c>
      <c r="NEI28" s="234" t="e">
        <f>astrogrep_path&amp;" /e /r /s /spath="&amp;search_path&amp;" /stypes=""app*"&amp;NDE28&amp;"*"&amp;TEXT(NDL28-utc_offset/24,"YYYYMMDD")&amp;"*"" /stext="" "&amp;TEXT(NDL28-utc_offset/24,"HH")&amp;search_regexp&amp;""""</f>
        <v>#REF!</v>
      </c>
      <c r="NEJ28" s="234" t="e">
        <f>astrogrep_path&amp;" /e /r /s /spath="&amp;search_path&amp;" /stypes=""app*"&amp;NDF28&amp;"*"&amp;TEXT(NDM28-utc_offset/24,"YYYYMMDD")&amp;"*"" /stext="" "&amp;TEXT(NDM28-utc_offset/24,"HH")&amp;search_regexp&amp;""""</f>
        <v>#REF!</v>
      </c>
      <c r="NEK28" s="234" t="e">
        <f>astrogrep_path&amp;" /e /r /s /spath="&amp;search_path&amp;" /stypes=""app*"&amp;NDG28&amp;"*"&amp;TEXT(NDN28-utc_offset/24,"YYYYMMDD")&amp;"*"" /stext="" "&amp;TEXT(NDN28-utc_offset/24,"HH")&amp;search_regexp&amp;""""</f>
        <v>#VALUE!</v>
      </c>
      <c r="NEL28" s="234" t="e">
        <f>astrogrep_path&amp;" /e /r /s /spath="&amp;search_path&amp;" /stypes=""app*"&amp;NDH28&amp;"*"&amp;TEXT(NDO28-utc_offset/24,"YYYYMMDD")&amp;"*"" /stext="" "&amp;TEXT(NDO28-utc_offset/24,"HH")&amp;search_regexp&amp;""""</f>
        <v>#VALUE!</v>
      </c>
      <c r="NEM28" s="234" t="e">
        <f>astrogrep_path&amp;" /e /r /s /spath="&amp;search_path&amp;" /stypes=""app*"&amp;NDI28&amp;"*"&amp;TEXT(NDP28-utc_offset/24,"YYYYMMDD")&amp;"*"" /stext="" "&amp;TEXT(NDP28-utc_offset/24,"HH")&amp;search_regexp&amp;""""</f>
        <v>#VALUE!</v>
      </c>
      <c r="NEN28" s="234" t="e">
        <f>astrogrep_path&amp;" /e /r /s /spath="&amp;search_path&amp;" /stypes=""app*"&amp;NDJ28&amp;"*"&amp;TEXT(NDQ28-utc_offset/24,"YYYYMMDD")&amp;"*"" /stext="" "&amp;TEXT(NDQ28-utc_offset/24,"HH")&amp;search_regexp&amp;""""</f>
        <v>#VALUE!</v>
      </c>
      <c r="NEO28" s="234" t="e">
        <f>astrogrep_path&amp;" /e /r /s /spath="&amp;search_path&amp;" /stypes=""app*"&amp;NDK28&amp;"*"&amp;TEXT(NDR28-utc_offset/24,"YYYYMMDD")&amp;"*"" /stext="" "&amp;TEXT(NDR28-utc_offset/24,"HH")&amp;search_regexp&amp;""""</f>
        <v>#VALUE!</v>
      </c>
      <c r="NEP28" s="234" t="e">
        <f>astrogrep_path&amp;" /e /r /s /spath="&amp;search_path&amp;" /stypes=""app*"&amp;NDL28&amp;"*"&amp;TEXT(NDS28-utc_offset/24,"YYYYMMDD")&amp;"*"" /stext="" "&amp;TEXT(NDS28-utc_offset/24,"HH")&amp;search_regexp&amp;""""</f>
        <v>#REF!</v>
      </c>
      <c r="NEQ28" s="234" t="e">
        <f>astrogrep_path&amp;" /e /r /s /spath="&amp;search_path&amp;" /stypes=""app*"&amp;NDM28&amp;"*"&amp;TEXT(NDT28-utc_offset/24,"YYYYMMDD")&amp;"*"" /stext="" "&amp;TEXT(NDT28-utc_offset/24,"HH")&amp;search_regexp&amp;""""</f>
        <v>#REF!</v>
      </c>
      <c r="NER28" s="234" t="e">
        <f>astrogrep_path&amp;" /e /r /s /spath="&amp;search_path&amp;" /stypes=""app*"&amp;NDN28&amp;"*"&amp;TEXT(NDU28-utc_offset/24,"YYYYMMDD")&amp;"*"" /stext="" "&amp;TEXT(NDU28-utc_offset/24,"HH")&amp;search_regexp&amp;""""</f>
        <v>#REF!</v>
      </c>
      <c r="NES28" s="234" t="e">
        <f>astrogrep_path&amp;" /e /r /s /spath="&amp;search_path&amp;" /stypes=""app*"&amp;NDO28&amp;"*"&amp;TEXT(NDV28-utc_offset/24,"YYYYMMDD")&amp;"*"" /stext="" "&amp;TEXT(NDV28-utc_offset/24,"HH")&amp;search_regexp&amp;""""</f>
        <v>#REF!</v>
      </c>
      <c r="NET28" s="234" t="e">
        <f>astrogrep_path&amp;" /e /r /s /spath="&amp;search_path&amp;" /stypes=""app*"&amp;NDP28&amp;"*"&amp;TEXT(NDW28-utc_offset/24,"YYYYMMDD")&amp;"*"" /stext="" "&amp;TEXT(NDW28-utc_offset/24,"HH")&amp;search_regexp&amp;""""</f>
        <v>#REF!</v>
      </c>
      <c r="NEU28" s="234" t="e">
        <f>astrogrep_path&amp;" /e /r /s /spath="&amp;search_path&amp;" /stypes=""app*"&amp;NDQ28&amp;"*"&amp;TEXT(NDX28-utc_offset/24,"YYYYMMDD")&amp;"*"" /stext="" "&amp;TEXT(NDX28-utc_offset/24,"HH")&amp;search_regexp&amp;""""</f>
        <v>#REF!</v>
      </c>
      <c r="NEV28" s="234" t="e">
        <f>astrogrep_path&amp;" /e /r /s /spath="&amp;search_path&amp;" /stypes=""app*"&amp;NDR28&amp;"*"&amp;TEXT(NDY28-utc_offset/24,"YYYYMMDD")&amp;"*"" /stext="" "&amp;TEXT(NDY28-utc_offset/24,"HH")&amp;search_regexp&amp;""""</f>
        <v>#REF!</v>
      </c>
      <c r="NEW28" s="234" t="e">
        <f>astrogrep_path&amp;" /e /r /s /spath="&amp;search_path&amp;" /stypes=""app*"&amp;NDS28&amp;"*"&amp;TEXT(NDZ28-utc_offset/24,"YYYYMMDD")&amp;"*"" /stext="" "&amp;TEXT(NDZ28-utc_offset/24,"HH")&amp;search_regexp&amp;""""</f>
        <v>#REF!</v>
      </c>
      <c r="NEX28" s="234" t="e">
        <f>astrogrep_path&amp;" /e /r /s /spath="&amp;search_path&amp;" /stypes=""app*"&amp;NDT28&amp;"*"&amp;TEXT(NEA28-utc_offset/24,"YYYYMMDD")&amp;"*"" /stext="" "&amp;TEXT(NEA28-utc_offset/24,"HH")&amp;search_regexp&amp;""""</f>
        <v>#REF!</v>
      </c>
      <c r="NEY28" s="234" t="e">
        <f>astrogrep_path&amp;" /e /r /s /spath="&amp;search_path&amp;" /stypes=""app*"&amp;NDU28&amp;"*"&amp;TEXT(NEB28-utc_offset/24,"YYYYMMDD")&amp;"*"" /stext="" "&amp;TEXT(NEB28-utc_offset/24,"HH")&amp;search_regexp&amp;""""</f>
        <v>#REF!</v>
      </c>
      <c r="NEZ28" s="234" t="e">
        <f>astrogrep_path&amp;" /e /r /s /spath="&amp;search_path&amp;" /stypes=""app*"&amp;NDV28&amp;"*"&amp;TEXT(NEC28-utc_offset/24,"YYYYMMDD")&amp;"*"" /stext="" "&amp;TEXT(NEC28-utc_offset/24,"HH")&amp;search_regexp&amp;""""</f>
        <v>#REF!</v>
      </c>
      <c r="NFA28" s="234" t="e">
        <f>astrogrep_path&amp;" /e /r /s /spath="&amp;search_path&amp;" /stypes=""app*"&amp;NDW28&amp;"*"&amp;TEXT(NED28-utc_offset/24,"YYYYMMDD")&amp;"*"" /stext="" "&amp;TEXT(NED28-utc_offset/24,"HH")&amp;search_regexp&amp;""""</f>
        <v>#REF!</v>
      </c>
      <c r="NFB28" s="234" t="e">
        <f>astrogrep_path&amp;" /e /r /s /spath="&amp;search_path&amp;" /stypes=""app*"&amp;NDX28&amp;"*"&amp;TEXT(NEE28-utc_offset/24,"YYYYMMDD")&amp;"*"" /stext="" "&amp;TEXT(NEE28-utc_offset/24,"HH")&amp;search_regexp&amp;""""</f>
        <v>#REF!</v>
      </c>
      <c r="NFC28" s="234" t="e">
        <f>astrogrep_path&amp;" /e /r /s /spath="&amp;search_path&amp;" /stypes=""app*"&amp;NDY28&amp;"*"&amp;TEXT(NEF28-utc_offset/24,"YYYYMMDD")&amp;"*"" /stext="" "&amp;TEXT(NEF28-utc_offset/24,"HH")&amp;search_regexp&amp;""""</f>
        <v>#REF!</v>
      </c>
      <c r="NFD28" s="234" t="e">
        <f>astrogrep_path&amp;" /e /r /s /spath="&amp;search_path&amp;" /stypes=""app*"&amp;NDZ28&amp;"*"&amp;TEXT(NEG28-utc_offset/24,"YYYYMMDD")&amp;"*"" /stext="" "&amp;TEXT(NEG28-utc_offset/24,"HH")&amp;search_regexp&amp;""""</f>
        <v>#REF!</v>
      </c>
      <c r="NFE28" s="234" t="e">
        <f>astrogrep_path&amp;" /e /r /s /spath="&amp;search_path&amp;" /stypes=""app*"&amp;NEA28&amp;"*"&amp;TEXT(NEH28-utc_offset/24,"YYYYMMDD")&amp;"*"" /stext="" "&amp;TEXT(NEH28-utc_offset/24,"HH")&amp;search_regexp&amp;""""</f>
        <v>#REF!</v>
      </c>
      <c r="NFF28" s="234" t="e">
        <f>astrogrep_path&amp;" /e /r /s /spath="&amp;search_path&amp;" /stypes=""app*"&amp;NEB28&amp;"*"&amp;TEXT(NEI28-utc_offset/24,"YYYYMMDD")&amp;"*"" /stext="" "&amp;TEXT(NEI28-utc_offset/24,"HH")&amp;search_regexp&amp;""""</f>
        <v>#REF!</v>
      </c>
      <c r="NFG28" s="234" t="e">
        <f>astrogrep_path&amp;" /e /r /s /spath="&amp;search_path&amp;" /stypes=""app*"&amp;NEC28&amp;"*"&amp;TEXT(NEJ28-utc_offset/24,"YYYYMMDD")&amp;"*"" /stext="" "&amp;TEXT(NEJ28-utc_offset/24,"HH")&amp;search_regexp&amp;""""</f>
        <v>#REF!</v>
      </c>
      <c r="NFH28" s="234" t="e">
        <f>astrogrep_path&amp;" /e /r /s /spath="&amp;search_path&amp;" /stypes=""app*"&amp;NED28&amp;"*"&amp;TEXT(NEK28-utc_offset/24,"YYYYMMDD")&amp;"*"" /stext="" "&amp;TEXT(NEK28-utc_offset/24,"HH")&amp;search_regexp&amp;""""</f>
        <v>#REF!</v>
      </c>
      <c r="NFI28" s="234" t="e">
        <f>astrogrep_path&amp;" /e /r /s /spath="&amp;search_path&amp;" /stypes=""app*"&amp;NEE28&amp;"*"&amp;TEXT(NEL28-utc_offset/24,"YYYYMMDD")&amp;"*"" /stext="" "&amp;TEXT(NEL28-utc_offset/24,"HH")&amp;search_regexp&amp;""""</f>
        <v>#REF!</v>
      </c>
      <c r="NFJ28" s="234" t="e">
        <f>astrogrep_path&amp;" /e /r /s /spath="&amp;search_path&amp;" /stypes=""app*"&amp;NEF28&amp;"*"&amp;TEXT(NEM28-utc_offset/24,"YYYYMMDD")&amp;"*"" /stext="" "&amp;TEXT(NEM28-utc_offset/24,"HH")&amp;search_regexp&amp;""""</f>
        <v>#REF!</v>
      </c>
      <c r="NFK28" s="234" t="e">
        <f>astrogrep_path&amp;" /e /r /s /spath="&amp;search_path&amp;" /stypes=""app*"&amp;NEG28&amp;"*"&amp;TEXT(NEN28-utc_offset/24,"YYYYMMDD")&amp;"*"" /stext="" "&amp;TEXT(NEN28-utc_offset/24,"HH")&amp;search_regexp&amp;""""</f>
        <v>#VALUE!</v>
      </c>
      <c r="NFL28" s="234" t="e">
        <f>astrogrep_path&amp;" /e /r /s /spath="&amp;search_path&amp;" /stypes=""app*"&amp;NEH28&amp;"*"&amp;TEXT(NEO28-utc_offset/24,"YYYYMMDD")&amp;"*"" /stext="" "&amp;TEXT(NEO28-utc_offset/24,"HH")&amp;search_regexp&amp;""""</f>
        <v>#VALUE!</v>
      </c>
      <c r="NFM28" s="234" t="e">
        <f>astrogrep_path&amp;" /e /r /s /spath="&amp;search_path&amp;" /stypes=""app*"&amp;NEI28&amp;"*"&amp;TEXT(NEP28-utc_offset/24,"YYYYMMDD")&amp;"*"" /stext="" "&amp;TEXT(NEP28-utc_offset/24,"HH")&amp;search_regexp&amp;""""</f>
        <v>#REF!</v>
      </c>
      <c r="NFN28" s="234" t="e">
        <f>astrogrep_path&amp;" /e /r /s /spath="&amp;search_path&amp;" /stypes=""app*"&amp;NEJ28&amp;"*"&amp;TEXT(NEQ28-utc_offset/24,"YYYYMMDD")&amp;"*"" /stext="" "&amp;TEXT(NEQ28-utc_offset/24,"HH")&amp;search_regexp&amp;""""</f>
        <v>#REF!</v>
      </c>
      <c r="NFO28" s="234" t="e">
        <f>astrogrep_path&amp;" /e /r /s /spath="&amp;search_path&amp;" /stypes=""app*"&amp;NEK28&amp;"*"&amp;TEXT(NER28-utc_offset/24,"YYYYMMDD")&amp;"*"" /stext="" "&amp;TEXT(NER28-utc_offset/24,"HH")&amp;search_regexp&amp;""""</f>
        <v>#VALUE!</v>
      </c>
      <c r="NFP28" s="234" t="e">
        <f>astrogrep_path&amp;" /e /r /s /spath="&amp;search_path&amp;" /stypes=""app*"&amp;NEL28&amp;"*"&amp;TEXT(NES28-utc_offset/24,"YYYYMMDD")&amp;"*"" /stext="" "&amp;TEXT(NES28-utc_offset/24,"HH")&amp;search_regexp&amp;""""</f>
        <v>#VALUE!</v>
      </c>
      <c r="NFQ28" s="234" t="e">
        <f>astrogrep_path&amp;" /e /r /s /spath="&amp;search_path&amp;" /stypes=""app*"&amp;NEM28&amp;"*"&amp;TEXT(NET28-utc_offset/24,"YYYYMMDD")&amp;"*"" /stext="" "&amp;TEXT(NET28-utc_offset/24,"HH")&amp;search_regexp&amp;""""</f>
        <v>#VALUE!</v>
      </c>
      <c r="NFR28" s="234" t="e">
        <f>astrogrep_path&amp;" /e /r /s /spath="&amp;search_path&amp;" /stypes=""app*"&amp;NEN28&amp;"*"&amp;TEXT(NEU28-utc_offset/24,"YYYYMMDD")&amp;"*"" /stext="" "&amp;TEXT(NEU28-utc_offset/24,"HH")&amp;search_regexp&amp;""""</f>
        <v>#VALUE!</v>
      </c>
      <c r="NFS28" s="234" t="e">
        <f>astrogrep_path&amp;" /e /r /s /spath="&amp;search_path&amp;" /stypes=""app*"&amp;NEO28&amp;"*"&amp;TEXT(NEV28-utc_offset/24,"YYYYMMDD")&amp;"*"" /stext="" "&amp;TEXT(NEV28-utc_offset/24,"HH")&amp;search_regexp&amp;""""</f>
        <v>#VALUE!</v>
      </c>
      <c r="NFT28" s="234" t="e">
        <f>astrogrep_path&amp;" /e /r /s /spath="&amp;search_path&amp;" /stypes=""app*"&amp;NEP28&amp;"*"&amp;TEXT(NEW28-utc_offset/24,"YYYYMMDD")&amp;"*"" /stext="" "&amp;TEXT(NEW28-utc_offset/24,"HH")&amp;search_regexp&amp;""""</f>
        <v>#REF!</v>
      </c>
      <c r="NFU28" s="234" t="e">
        <f>astrogrep_path&amp;" /e /r /s /spath="&amp;search_path&amp;" /stypes=""app*"&amp;NEQ28&amp;"*"&amp;TEXT(NEX28-utc_offset/24,"YYYYMMDD")&amp;"*"" /stext="" "&amp;TEXT(NEX28-utc_offset/24,"HH")&amp;search_regexp&amp;""""</f>
        <v>#REF!</v>
      </c>
      <c r="NFV28" s="234" t="e">
        <f>astrogrep_path&amp;" /e /r /s /spath="&amp;search_path&amp;" /stypes=""app*"&amp;NER28&amp;"*"&amp;TEXT(NEY28-utc_offset/24,"YYYYMMDD")&amp;"*"" /stext="" "&amp;TEXT(NEY28-utc_offset/24,"HH")&amp;search_regexp&amp;""""</f>
        <v>#REF!</v>
      </c>
      <c r="NFW28" s="234" t="e">
        <f>astrogrep_path&amp;" /e /r /s /spath="&amp;search_path&amp;" /stypes=""app*"&amp;NES28&amp;"*"&amp;TEXT(NEZ28-utc_offset/24,"YYYYMMDD")&amp;"*"" /stext="" "&amp;TEXT(NEZ28-utc_offset/24,"HH")&amp;search_regexp&amp;""""</f>
        <v>#REF!</v>
      </c>
      <c r="NFX28" s="234" t="e">
        <f>astrogrep_path&amp;" /e /r /s /spath="&amp;search_path&amp;" /stypes=""app*"&amp;NET28&amp;"*"&amp;TEXT(NFA28-utc_offset/24,"YYYYMMDD")&amp;"*"" /stext="" "&amp;TEXT(NFA28-utc_offset/24,"HH")&amp;search_regexp&amp;""""</f>
        <v>#REF!</v>
      </c>
      <c r="NFY28" s="234" t="e">
        <f>astrogrep_path&amp;" /e /r /s /spath="&amp;search_path&amp;" /stypes=""app*"&amp;NEU28&amp;"*"&amp;TEXT(NFB28-utc_offset/24,"YYYYMMDD")&amp;"*"" /stext="" "&amp;TEXT(NFB28-utc_offset/24,"HH")&amp;search_regexp&amp;""""</f>
        <v>#REF!</v>
      </c>
      <c r="NFZ28" s="234" t="e">
        <f>astrogrep_path&amp;" /e /r /s /spath="&amp;search_path&amp;" /stypes=""app*"&amp;NEV28&amp;"*"&amp;TEXT(NFC28-utc_offset/24,"YYYYMMDD")&amp;"*"" /stext="" "&amp;TEXT(NFC28-utc_offset/24,"HH")&amp;search_regexp&amp;""""</f>
        <v>#REF!</v>
      </c>
      <c r="NGA28" s="234" t="e">
        <f>astrogrep_path&amp;" /e /r /s /spath="&amp;search_path&amp;" /stypes=""app*"&amp;NEW28&amp;"*"&amp;TEXT(NFD28-utc_offset/24,"YYYYMMDD")&amp;"*"" /stext="" "&amp;TEXT(NFD28-utc_offset/24,"HH")&amp;search_regexp&amp;""""</f>
        <v>#REF!</v>
      </c>
      <c r="NGB28" s="234" t="e">
        <f>astrogrep_path&amp;" /e /r /s /spath="&amp;search_path&amp;" /stypes=""app*"&amp;NEX28&amp;"*"&amp;TEXT(NFE28-utc_offset/24,"YYYYMMDD")&amp;"*"" /stext="" "&amp;TEXT(NFE28-utc_offset/24,"HH")&amp;search_regexp&amp;""""</f>
        <v>#REF!</v>
      </c>
      <c r="NGC28" s="234" t="e">
        <f>astrogrep_path&amp;" /e /r /s /spath="&amp;search_path&amp;" /stypes=""app*"&amp;NEY28&amp;"*"&amp;TEXT(NFF28-utc_offset/24,"YYYYMMDD")&amp;"*"" /stext="" "&amp;TEXT(NFF28-utc_offset/24,"HH")&amp;search_regexp&amp;""""</f>
        <v>#REF!</v>
      </c>
      <c r="NGD28" s="234" t="e">
        <f>astrogrep_path&amp;" /e /r /s /spath="&amp;search_path&amp;" /stypes=""app*"&amp;NEZ28&amp;"*"&amp;TEXT(NFG28-utc_offset/24,"YYYYMMDD")&amp;"*"" /stext="" "&amp;TEXT(NFG28-utc_offset/24,"HH")&amp;search_regexp&amp;""""</f>
        <v>#REF!</v>
      </c>
      <c r="NGE28" s="234" t="e">
        <f>astrogrep_path&amp;" /e /r /s /spath="&amp;search_path&amp;" /stypes=""app*"&amp;NFA28&amp;"*"&amp;TEXT(NFH28-utc_offset/24,"YYYYMMDD")&amp;"*"" /stext="" "&amp;TEXT(NFH28-utc_offset/24,"HH")&amp;search_regexp&amp;""""</f>
        <v>#REF!</v>
      </c>
      <c r="NGF28" s="234" t="e">
        <f>astrogrep_path&amp;" /e /r /s /spath="&amp;search_path&amp;" /stypes=""app*"&amp;NFB28&amp;"*"&amp;TEXT(NFI28-utc_offset/24,"YYYYMMDD")&amp;"*"" /stext="" "&amp;TEXT(NFI28-utc_offset/24,"HH")&amp;search_regexp&amp;""""</f>
        <v>#REF!</v>
      </c>
      <c r="NGG28" s="234" t="e">
        <f>astrogrep_path&amp;" /e /r /s /spath="&amp;search_path&amp;" /stypes=""app*"&amp;NFC28&amp;"*"&amp;TEXT(NFJ28-utc_offset/24,"YYYYMMDD")&amp;"*"" /stext="" "&amp;TEXT(NFJ28-utc_offset/24,"HH")&amp;search_regexp&amp;""""</f>
        <v>#REF!</v>
      </c>
      <c r="NGH28" s="234" t="e">
        <f>astrogrep_path&amp;" /e /r /s /spath="&amp;search_path&amp;" /stypes=""app*"&amp;NFD28&amp;"*"&amp;TEXT(NFK28-utc_offset/24,"YYYYMMDD")&amp;"*"" /stext="" "&amp;TEXT(NFK28-utc_offset/24,"HH")&amp;search_regexp&amp;""""</f>
        <v>#REF!</v>
      </c>
      <c r="NGI28" s="234" t="e">
        <f>astrogrep_path&amp;" /e /r /s /spath="&amp;search_path&amp;" /stypes=""app*"&amp;NFE28&amp;"*"&amp;TEXT(NFL28-utc_offset/24,"YYYYMMDD")&amp;"*"" /stext="" "&amp;TEXT(NFL28-utc_offset/24,"HH")&amp;search_regexp&amp;""""</f>
        <v>#REF!</v>
      </c>
      <c r="NGJ28" s="234" t="e">
        <f>astrogrep_path&amp;" /e /r /s /spath="&amp;search_path&amp;" /stypes=""app*"&amp;NFF28&amp;"*"&amp;TEXT(NFM28-utc_offset/24,"YYYYMMDD")&amp;"*"" /stext="" "&amp;TEXT(NFM28-utc_offset/24,"HH")&amp;search_regexp&amp;""""</f>
        <v>#REF!</v>
      </c>
      <c r="NGK28" s="234" t="e">
        <f>astrogrep_path&amp;" /e /r /s /spath="&amp;search_path&amp;" /stypes=""app*"&amp;NFG28&amp;"*"&amp;TEXT(NFN28-utc_offset/24,"YYYYMMDD")&amp;"*"" /stext="" "&amp;TEXT(NFN28-utc_offset/24,"HH")&amp;search_regexp&amp;""""</f>
        <v>#REF!</v>
      </c>
      <c r="NGL28" s="234" t="e">
        <f>astrogrep_path&amp;" /e /r /s /spath="&amp;search_path&amp;" /stypes=""app*"&amp;NFH28&amp;"*"&amp;TEXT(NFO28-utc_offset/24,"YYYYMMDD")&amp;"*"" /stext="" "&amp;TEXT(NFO28-utc_offset/24,"HH")&amp;search_regexp&amp;""""</f>
        <v>#REF!</v>
      </c>
      <c r="NGM28" s="234" t="e">
        <f>astrogrep_path&amp;" /e /r /s /spath="&amp;search_path&amp;" /stypes=""app*"&amp;NFI28&amp;"*"&amp;TEXT(NFP28-utc_offset/24,"YYYYMMDD")&amp;"*"" /stext="" "&amp;TEXT(NFP28-utc_offset/24,"HH")&amp;search_regexp&amp;""""</f>
        <v>#REF!</v>
      </c>
      <c r="NGN28" s="234" t="e">
        <f>astrogrep_path&amp;" /e /r /s /spath="&amp;search_path&amp;" /stypes=""app*"&amp;NFJ28&amp;"*"&amp;TEXT(NFQ28-utc_offset/24,"YYYYMMDD")&amp;"*"" /stext="" "&amp;TEXT(NFQ28-utc_offset/24,"HH")&amp;search_regexp&amp;""""</f>
        <v>#REF!</v>
      </c>
      <c r="NGO28" s="234" t="e">
        <f>astrogrep_path&amp;" /e /r /s /spath="&amp;search_path&amp;" /stypes=""app*"&amp;NFK28&amp;"*"&amp;TEXT(NFR28-utc_offset/24,"YYYYMMDD")&amp;"*"" /stext="" "&amp;TEXT(NFR28-utc_offset/24,"HH")&amp;search_regexp&amp;""""</f>
        <v>#VALUE!</v>
      </c>
      <c r="NGP28" s="234" t="e">
        <f>astrogrep_path&amp;" /e /r /s /spath="&amp;search_path&amp;" /stypes=""app*"&amp;NFL28&amp;"*"&amp;TEXT(NFS28-utc_offset/24,"YYYYMMDD")&amp;"*"" /stext="" "&amp;TEXT(NFS28-utc_offset/24,"HH")&amp;search_regexp&amp;""""</f>
        <v>#VALUE!</v>
      </c>
      <c r="NGQ28" s="234" t="e">
        <f>astrogrep_path&amp;" /e /r /s /spath="&amp;search_path&amp;" /stypes=""app*"&amp;NFM28&amp;"*"&amp;TEXT(NFT28-utc_offset/24,"YYYYMMDD")&amp;"*"" /stext="" "&amp;TEXT(NFT28-utc_offset/24,"HH")&amp;search_regexp&amp;""""</f>
        <v>#REF!</v>
      </c>
      <c r="NGR28" s="234" t="e">
        <f>astrogrep_path&amp;" /e /r /s /spath="&amp;search_path&amp;" /stypes=""app*"&amp;NFN28&amp;"*"&amp;TEXT(NFU28-utc_offset/24,"YYYYMMDD")&amp;"*"" /stext="" "&amp;TEXT(NFU28-utc_offset/24,"HH")&amp;search_regexp&amp;""""</f>
        <v>#REF!</v>
      </c>
      <c r="NGS28" s="234" t="e">
        <f>astrogrep_path&amp;" /e /r /s /spath="&amp;search_path&amp;" /stypes=""app*"&amp;NFO28&amp;"*"&amp;TEXT(NFV28-utc_offset/24,"YYYYMMDD")&amp;"*"" /stext="" "&amp;TEXT(NFV28-utc_offset/24,"HH")&amp;search_regexp&amp;""""</f>
        <v>#VALUE!</v>
      </c>
      <c r="NGT28" s="234" t="e">
        <f>astrogrep_path&amp;" /e /r /s /spath="&amp;search_path&amp;" /stypes=""app*"&amp;NFP28&amp;"*"&amp;TEXT(NFW28-utc_offset/24,"YYYYMMDD")&amp;"*"" /stext="" "&amp;TEXT(NFW28-utc_offset/24,"HH")&amp;search_regexp&amp;""""</f>
        <v>#VALUE!</v>
      </c>
      <c r="NGU28" s="234" t="e">
        <f>astrogrep_path&amp;" /e /r /s /spath="&amp;search_path&amp;" /stypes=""app*"&amp;NFQ28&amp;"*"&amp;TEXT(NFX28-utc_offset/24,"YYYYMMDD")&amp;"*"" /stext="" "&amp;TEXT(NFX28-utc_offset/24,"HH")&amp;search_regexp&amp;""""</f>
        <v>#VALUE!</v>
      </c>
      <c r="NGV28" s="234" t="e">
        <f>astrogrep_path&amp;" /e /r /s /spath="&amp;search_path&amp;" /stypes=""app*"&amp;NFR28&amp;"*"&amp;TEXT(NFY28-utc_offset/24,"YYYYMMDD")&amp;"*"" /stext="" "&amp;TEXT(NFY28-utc_offset/24,"HH")&amp;search_regexp&amp;""""</f>
        <v>#VALUE!</v>
      </c>
      <c r="NGW28" s="234" t="e">
        <f>astrogrep_path&amp;" /e /r /s /spath="&amp;search_path&amp;" /stypes=""app*"&amp;NFS28&amp;"*"&amp;TEXT(NFZ28-utc_offset/24,"YYYYMMDD")&amp;"*"" /stext="" "&amp;TEXT(NFZ28-utc_offset/24,"HH")&amp;search_regexp&amp;""""</f>
        <v>#VALUE!</v>
      </c>
      <c r="NGX28" s="234" t="e">
        <f>astrogrep_path&amp;" /e /r /s /spath="&amp;search_path&amp;" /stypes=""app*"&amp;NFT28&amp;"*"&amp;TEXT(NGA28-utc_offset/24,"YYYYMMDD")&amp;"*"" /stext="" "&amp;TEXT(NGA28-utc_offset/24,"HH")&amp;search_regexp&amp;""""</f>
        <v>#REF!</v>
      </c>
      <c r="NGY28" s="234" t="e">
        <f>astrogrep_path&amp;" /e /r /s /spath="&amp;search_path&amp;" /stypes=""app*"&amp;NFU28&amp;"*"&amp;TEXT(NGB28-utc_offset/24,"YYYYMMDD")&amp;"*"" /stext="" "&amp;TEXT(NGB28-utc_offset/24,"HH")&amp;search_regexp&amp;""""</f>
        <v>#REF!</v>
      </c>
      <c r="NGZ28" s="234" t="e">
        <f>astrogrep_path&amp;" /e /r /s /spath="&amp;search_path&amp;" /stypes=""app*"&amp;NFV28&amp;"*"&amp;TEXT(NGC28-utc_offset/24,"YYYYMMDD")&amp;"*"" /stext="" "&amp;TEXT(NGC28-utc_offset/24,"HH")&amp;search_regexp&amp;""""</f>
        <v>#REF!</v>
      </c>
      <c r="NHA28" s="234" t="e">
        <f>astrogrep_path&amp;" /e /r /s /spath="&amp;search_path&amp;" /stypes=""app*"&amp;NFW28&amp;"*"&amp;TEXT(NGD28-utc_offset/24,"YYYYMMDD")&amp;"*"" /stext="" "&amp;TEXT(NGD28-utc_offset/24,"HH")&amp;search_regexp&amp;""""</f>
        <v>#REF!</v>
      </c>
      <c r="NHB28" s="234" t="e">
        <f>astrogrep_path&amp;" /e /r /s /spath="&amp;search_path&amp;" /stypes=""app*"&amp;NFX28&amp;"*"&amp;TEXT(NGE28-utc_offset/24,"YYYYMMDD")&amp;"*"" /stext="" "&amp;TEXT(NGE28-utc_offset/24,"HH")&amp;search_regexp&amp;""""</f>
        <v>#REF!</v>
      </c>
      <c r="NHC28" s="234" t="e">
        <f>astrogrep_path&amp;" /e /r /s /spath="&amp;search_path&amp;" /stypes=""app*"&amp;NFY28&amp;"*"&amp;TEXT(NGF28-utc_offset/24,"YYYYMMDD")&amp;"*"" /stext="" "&amp;TEXT(NGF28-utc_offset/24,"HH")&amp;search_regexp&amp;""""</f>
        <v>#REF!</v>
      </c>
      <c r="NHD28" s="234" t="e">
        <f>astrogrep_path&amp;" /e /r /s /spath="&amp;search_path&amp;" /stypes=""app*"&amp;NFZ28&amp;"*"&amp;TEXT(NGG28-utc_offset/24,"YYYYMMDD")&amp;"*"" /stext="" "&amp;TEXT(NGG28-utc_offset/24,"HH")&amp;search_regexp&amp;""""</f>
        <v>#REF!</v>
      </c>
      <c r="NHE28" s="234" t="e">
        <f>astrogrep_path&amp;" /e /r /s /spath="&amp;search_path&amp;" /stypes=""app*"&amp;NGA28&amp;"*"&amp;TEXT(NGH28-utc_offset/24,"YYYYMMDD")&amp;"*"" /stext="" "&amp;TEXT(NGH28-utc_offset/24,"HH")&amp;search_regexp&amp;""""</f>
        <v>#REF!</v>
      </c>
      <c r="NHF28" s="234" t="e">
        <f>astrogrep_path&amp;" /e /r /s /spath="&amp;search_path&amp;" /stypes=""app*"&amp;NGB28&amp;"*"&amp;TEXT(NGI28-utc_offset/24,"YYYYMMDD")&amp;"*"" /stext="" "&amp;TEXT(NGI28-utc_offset/24,"HH")&amp;search_regexp&amp;""""</f>
        <v>#REF!</v>
      </c>
      <c r="NHG28" s="234" t="e">
        <f>astrogrep_path&amp;" /e /r /s /spath="&amp;search_path&amp;" /stypes=""app*"&amp;NGC28&amp;"*"&amp;TEXT(NGJ28-utc_offset/24,"YYYYMMDD")&amp;"*"" /stext="" "&amp;TEXT(NGJ28-utc_offset/24,"HH")&amp;search_regexp&amp;""""</f>
        <v>#REF!</v>
      </c>
      <c r="NHH28" s="234" t="e">
        <f>astrogrep_path&amp;" /e /r /s /spath="&amp;search_path&amp;" /stypes=""app*"&amp;NGD28&amp;"*"&amp;TEXT(NGK28-utc_offset/24,"YYYYMMDD")&amp;"*"" /stext="" "&amp;TEXT(NGK28-utc_offset/24,"HH")&amp;search_regexp&amp;""""</f>
        <v>#REF!</v>
      </c>
      <c r="NHI28" s="234" t="e">
        <f>astrogrep_path&amp;" /e /r /s /spath="&amp;search_path&amp;" /stypes=""app*"&amp;NGE28&amp;"*"&amp;TEXT(NGL28-utc_offset/24,"YYYYMMDD")&amp;"*"" /stext="" "&amp;TEXT(NGL28-utc_offset/24,"HH")&amp;search_regexp&amp;""""</f>
        <v>#REF!</v>
      </c>
      <c r="NHJ28" s="234" t="e">
        <f>astrogrep_path&amp;" /e /r /s /spath="&amp;search_path&amp;" /stypes=""app*"&amp;NGF28&amp;"*"&amp;TEXT(NGM28-utc_offset/24,"YYYYMMDD")&amp;"*"" /stext="" "&amp;TEXT(NGM28-utc_offset/24,"HH")&amp;search_regexp&amp;""""</f>
        <v>#REF!</v>
      </c>
      <c r="NHK28" s="234" t="e">
        <f>astrogrep_path&amp;" /e /r /s /spath="&amp;search_path&amp;" /stypes=""app*"&amp;NGG28&amp;"*"&amp;TEXT(NGN28-utc_offset/24,"YYYYMMDD")&amp;"*"" /stext="" "&amp;TEXT(NGN28-utc_offset/24,"HH")&amp;search_regexp&amp;""""</f>
        <v>#REF!</v>
      </c>
      <c r="NHL28" s="234" t="e">
        <f>astrogrep_path&amp;" /e /r /s /spath="&amp;search_path&amp;" /stypes=""app*"&amp;NGH28&amp;"*"&amp;TEXT(NGO28-utc_offset/24,"YYYYMMDD")&amp;"*"" /stext="" "&amp;TEXT(NGO28-utc_offset/24,"HH")&amp;search_regexp&amp;""""</f>
        <v>#REF!</v>
      </c>
      <c r="NHM28" s="234" t="e">
        <f>astrogrep_path&amp;" /e /r /s /spath="&amp;search_path&amp;" /stypes=""app*"&amp;NGI28&amp;"*"&amp;TEXT(NGP28-utc_offset/24,"YYYYMMDD")&amp;"*"" /stext="" "&amp;TEXT(NGP28-utc_offset/24,"HH")&amp;search_regexp&amp;""""</f>
        <v>#REF!</v>
      </c>
      <c r="NHN28" s="234" t="e">
        <f>astrogrep_path&amp;" /e /r /s /spath="&amp;search_path&amp;" /stypes=""app*"&amp;NGJ28&amp;"*"&amp;TEXT(NGQ28-utc_offset/24,"YYYYMMDD")&amp;"*"" /stext="" "&amp;TEXT(NGQ28-utc_offset/24,"HH")&amp;search_regexp&amp;""""</f>
        <v>#REF!</v>
      </c>
      <c r="NHO28" s="234" t="e">
        <f>astrogrep_path&amp;" /e /r /s /spath="&amp;search_path&amp;" /stypes=""app*"&amp;NGK28&amp;"*"&amp;TEXT(NGR28-utc_offset/24,"YYYYMMDD")&amp;"*"" /stext="" "&amp;TEXT(NGR28-utc_offset/24,"HH")&amp;search_regexp&amp;""""</f>
        <v>#REF!</v>
      </c>
      <c r="NHP28" s="234" t="e">
        <f>astrogrep_path&amp;" /e /r /s /spath="&amp;search_path&amp;" /stypes=""app*"&amp;NGL28&amp;"*"&amp;TEXT(NGS28-utc_offset/24,"YYYYMMDD")&amp;"*"" /stext="" "&amp;TEXT(NGS28-utc_offset/24,"HH")&amp;search_regexp&amp;""""</f>
        <v>#REF!</v>
      </c>
      <c r="NHQ28" s="234" t="e">
        <f>astrogrep_path&amp;" /e /r /s /spath="&amp;search_path&amp;" /stypes=""app*"&amp;NGM28&amp;"*"&amp;TEXT(NGT28-utc_offset/24,"YYYYMMDD")&amp;"*"" /stext="" "&amp;TEXT(NGT28-utc_offset/24,"HH")&amp;search_regexp&amp;""""</f>
        <v>#REF!</v>
      </c>
      <c r="NHR28" s="234" t="e">
        <f>astrogrep_path&amp;" /e /r /s /spath="&amp;search_path&amp;" /stypes=""app*"&amp;NGN28&amp;"*"&amp;TEXT(NGU28-utc_offset/24,"YYYYMMDD")&amp;"*"" /stext="" "&amp;TEXT(NGU28-utc_offset/24,"HH")&amp;search_regexp&amp;""""</f>
        <v>#REF!</v>
      </c>
      <c r="NHS28" s="234" t="e">
        <f>astrogrep_path&amp;" /e /r /s /spath="&amp;search_path&amp;" /stypes=""app*"&amp;NGO28&amp;"*"&amp;TEXT(NGV28-utc_offset/24,"YYYYMMDD")&amp;"*"" /stext="" "&amp;TEXT(NGV28-utc_offset/24,"HH")&amp;search_regexp&amp;""""</f>
        <v>#VALUE!</v>
      </c>
      <c r="NHT28" s="234" t="e">
        <f>astrogrep_path&amp;" /e /r /s /spath="&amp;search_path&amp;" /stypes=""app*"&amp;NGP28&amp;"*"&amp;TEXT(NGW28-utc_offset/24,"YYYYMMDD")&amp;"*"" /stext="" "&amp;TEXT(NGW28-utc_offset/24,"HH")&amp;search_regexp&amp;""""</f>
        <v>#VALUE!</v>
      </c>
      <c r="NHU28" s="234" t="e">
        <f>astrogrep_path&amp;" /e /r /s /spath="&amp;search_path&amp;" /stypes=""app*"&amp;NGQ28&amp;"*"&amp;TEXT(NGX28-utc_offset/24,"YYYYMMDD")&amp;"*"" /stext="" "&amp;TEXT(NGX28-utc_offset/24,"HH")&amp;search_regexp&amp;""""</f>
        <v>#REF!</v>
      </c>
      <c r="NHV28" s="234" t="e">
        <f>astrogrep_path&amp;" /e /r /s /spath="&amp;search_path&amp;" /stypes=""app*"&amp;NGR28&amp;"*"&amp;TEXT(NGY28-utc_offset/24,"YYYYMMDD")&amp;"*"" /stext="" "&amp;TEXT(NGY28-utc_offset/24,"HH")&amp;search_regexp&amp;""""</f>
        <v>#REF!</v>
      </c>
      <c r="NHW28" s="234" t="e">
        <f>astrogrep_path&amp;" /e /r /s /spath="&amp;search_path&amp;" /stypes=""app*"&amp;NGS28&amp;"*"&amp;TEXT(NGZ28-utc_offset/24,"YYYYMMDD")&amp;"*"" /stext="" "&amp;TEXT(NGZ28-utc_offset/24,"HH")&amp;search_regexp&amp;""""</f>
        <v>#VALUE!</v>
      </c>
      <c r="NHX28" s="234" t="e">
        <f>astrogrep_path&amp;" /e /r /s /spath="&amp;search_path&amp;" /stypes=""app*"&amp;NGT28&amp;"*"&amp;TEXT(NHA28-utc_offset/24,"YYYYMMDD")&amp;"*"" /stext="" "&amp;TEXT(NHA28-utc_offset/24,"HH")&amp;search_regexp&amp;""""</f>
        <v>#VALUE!</v>
      </c>
      <c r="NHY28" s="234" t="e">
        <f>astrogrep_path&amp;" /e /r /s /spath="&amp;search_path&amp;" /stypes=""app*"&amp;NGU28&amp;"*"&amp;TEXT(NHB28-utc_offset/24,"YYYYMMDD")&amp;"*"" /stext="" "&amp;TEXT(NHB28-utc_offset/24,"HH")&amp;search_regexp&amp;""""</f>
        <v>#VALUE!</v>
      </c>
      <c r="NHZ28" s="234" t="e">
        <f>astrogrep_path&amp;" /e /r /s /spath="&amp;search_path&amp;" /stypes=""app*"&amp;NGV28&amp;"*"&amp;TEXT(NHC28-utc_offset/24,"YYYYMMDD")&amp;"*"" /stext="" "&amp;TEXT(NHC28-utc_offset/24,"HH")&amp;search_regexp&amp;""""</f>
        <v>#VALUE!</v>
      </c>
      <c r="NIA28" s="234" t="e">
        <f>astrogrep_path&amp;" /e /r /s /spath="&amp;search_path&amp;" /stypes=""app*"&amp;NGW28&amp;"*"&amp;TEXT(NHD28-utc_offset/24,"YYYYMMDD")&amp;"*"" /stext="" "&amp;TEXT(NHD28-utc_offset/24,"HH")&amp;search_regexp&amp;""""</f>
        <v>#VALUE!</v>
      </c>
      <c r="NIB28" s="234" t="e">
        <f>astrogrep_path&amp;" /e /r /s /spath="&amp;search_path&amp;" /stypes=""app*"&amp;NGX28&amp;"*"&amp;TEXT(NHE28-utc_offset/24,"YYYYMMDD")&amp;"*"" /stext="" "&amp;TEXT(NHE28-utc_offset/24,"HH")&amp;search_regexp&amp;""""</f>
        <v>#REF!</v>
      </c>
      <c r="NIC28" s="234" t="e">
        <f>astrogrep_path&amp;" /e /r /s /spath="&amp;search_path&amp;" /stypes=""app*"&amp;NGY28&amp;"*"&amp;TEXT(NHF28-utc_offset/24,"YYYYMMDD")&amp;"*"" /stext="" "&amp;TEXT(NHF28-utc_offset/24,"HH")&amp;search_regexp&amp;""""</f>
        <v>#REF!</v>
      </c>
      <c r="NID28" s="234" t="e">
        <f>astrogrep_path&amp;" /e /r /s /spath="&amp;search_path&amp;" /stypes=""app*"&amp;NGZ28&amp;"*"&amp;TEXT(NHG28-utc_offset/24,"YYYYMMDD")&amp;"*"" /stext="" "&amp;TEXT(NHG28-utc_offset/24,"HH")&amp;search_regexp&amp;""""</f>
        <v>#REF!</v>
      </c>
      <c r="NIE28" s="234" t="e">
        <f>astrogrep_path&amp;" /e /r /s /spath="&amp;search_path&amp;" /stypes=""app*"&amp;NHA28&amp;"*"&amp;TEXT(NHH28-utc_offset/24,"YYYYMMDD")&amp;"*"" /stext="" "&amp;TEXT(NHH28-utc_offset/24,"HH")&amp;search_regexp&amp;""""</f>
        <v>#REF!</v>
      </c>
      <c r="NIF28" s="234" t="e">
        <f>astrogrep_path&amp;" /e /r /s /spath="&amp;search_path&amp;" /stypes=""app*"&amp;NHB28&amp;"*"&amp;TEXT(NHI28-utc_offset/24,"YYYYMMDD")&amp;"*"" /stext="" "&amp;TEXT(NHI28-utc_offset/24,"HH")&amp;search_regexp&amp;""""</f>
        <v>#REF!</v>
      </c>
      <c r="NIG28" s="234" t="e">
        <f>astrogrep_path&amp;" /e /r /s /spath="&amp;search_path&amp;" /stypes=""app*"&amp;NHC28&amp;"*"&amp;TEXT(NHJ28-utc_offset/24,"YYYYMMDD")&amp;"*"" /stext="" "&amp;TEXT(NHJ28-utc_offset/24,"HH")&amp;search_regexp&amp;""""</f>
        <v>#REF!</v>
      </c>
      <c r="NIH28" s="234" t="e">
        <f>astrogrep_path&amp;" /e /r /s /spath="&amp;search_path&amp;" /stypes=""app*"&amp;NHD28&amp;"*"&amp;TEXT(NHK28-utc_offset/24,"YYYYMMDD")&amp;"*"" /stext="" "&amp;TEXT(NHK28-utc_offset/24,"HH")&amp;search_regexp&amp;""""</f>
        <v>#REF!</v>
      </c>
      <c r="NII28" s="234" t="e">
        <f>astrogrep_path&amp;" /e /r /s /spath="&amp;search_path&amp;" /stypes=""app*"&amp;NHE28&amp;"*"&amp;TEXT(NHL28-utc_offset/24,"YYYYMMDD")&amp;"*"" /stext="" "&amp;TEXT(NHL28-utc_offset/24,"HH")&amp;search_regexp&amp;""""</f>
        <v>#REF!</v>
      </c>
      <c r="NIJ28" s="234" t="e">
        <f>astrogrep_path&amp;" /e /r /s /spath="&amp;search_path&amp;" /stypes=""app*"&amp;NHF28&amp;"*"&amp;TEXT(NHM28-utc_offset/24,"YYYYMMDD")&amp;"*"" /stext="" "&amp;TEXT(NHM28-utc_offset/24,"HH")&amp;search_regexp&amp;""""</f>
        <v>#REF!</v>
      </c>
      <c r="NIK28" s="234" t="e">
        <f>astrogrep_path&amp;" /e /r /s /spath="&amp;search_path&amp;" /stypes=""app*"&amp;NHG28&amp;"*"&amp;TEXT(NHN28-utc_offset/24,"YYYYMMDD")&amp;"*"" /stext="" "&amp;TEXT(NHN28-utc_offset/24,"HH")&amp;search_regexp&amp;""""</f>
        <v>#REF!</v>
      </c>
      <c r="NIL28" s="234" t="e">
        <f>astrogrep_path&amp;" /e /r /s /spath="&amp;search_path&amp;" /stypes=""app*"&amp;NHH28&amp;"*"&amp;TEXT(NHO28-utc_offset/24,"YYYYMMDD")&amp;"*"" /stext="" "&amp;TEXT(NHO28-utc_offset/24,"HH")&amp;search_regexp&amp;""""</f>
        <v>#REF!</v>
      </c>
      <c r="NIM28" s="234" t="e">
        <f>astrogrep_path&amp;" /e /r /s /spath="&amp;search_path&amp;" /stypes=""app*"&amp;NHI28&amp;"*"&amp;TEXT(NHP28-utc_offset/24,"YYYYMMDD")&amp;"*"" /stext="" "&amp;TEXT(NHP28-utc_offset/24,"HH")&amp;search_regexp&amp;""""</f>
        <v>#REF!</v>
      </c>
      <c r="NIN28" s="234" t="e">
        <f>astrogrep_path&amp;" /e /r /s /spath="&amp;search_path&amp;" /stypes=""app*"&amp;NHJ28&amp;"*"&amp;TEXT(NHQ28-utc_offset/24,"YYYYMMDD")&amp;"*"" /stext="" "&amp;TEXT(NHQ28-utc_offset/24,"HH")&amp;search_regexp&amp;""""</f>
        <v>#REF!</v>
      </c>
      <c r="NIO28" s="234" t="e">
        <f>astrogrep_path&amp;" /e /r /s /spath="&amp;search_path&amp;" /stypes=""app*"&amp;NHK28&amp;"*"&amp;TEXT(NHR28-utc_offset/24,"YYYYMMDD")&amp;"*"" /stext="" "&amp;TEXT(NHR28-utc_offset/24,"HH")&amp;search_regexp&amp;""""</f>
        <v>#REF!</v>
      </c>
      <c r="NIP28" s="234" t="e">
        <f>astrogrep_path&amp;" /e /r /s /spath="&amp;search_path&amp;" /stypes=""app*"&amp;NHL28&amp;"*"&amp;TEXT(NHS28-utc_offset/24,"YYYYMMDD")&amp;"*"" /stext="" "&amp;TEXT(NHS28-utc_offset/24,"HH")&amp;search_regexp&amp;""""</f>
        <v>#REF!</v>
      </c>
      <c r="NIQ28" s="234" t="e">
        <f>astrogrep_path&amp;" /e /r /s /spath="&amp;search_path&amp;" /stypes=""app*"&amp;NHM28&amp;"*"&amp;TEXT(NHT28-utc_offset/24,"YYYYMMDD")&amp;"*"" /stext="" "&amp;TEXT(NHT28-utc_offset/24,"HH")&amp;search_regexp&amp;""""</f>
        <v>#REF!</v>
      </c>
      <c r="NIR28" s="234" t="e">
        <f>astrogrep_path&amp;" /e /r /s /spath="&amp;search_path&amp;" /stypes=""app*"&amp;NHN28&amp;"*"&amp;TEXT(NHU28-utc_offset/24,"YYYYMMDD")&amp;"*"" /stext="" "&amp;TEXT(NHU28-utc_offset/24,"HH")&amp;search_regexp&amp;""""</f>
        <v>#REF!</v>
      </c>
      <c r="NIS28" s="234" t="e">
        <f>astrogrep_path&amp;" /e /r /s /spath="&amp;search_path&amp;" /stypes=""app*"&amp;NHO28&amp;"*"&amp;TEXT(NHV28-utc_offset/24,"YYYYMMDD")&amp;"*"" /stext="" "&amp;TEXT(NHV28-utc_offset/24,"HH")&amp;search_regexp&amp;""""</f>
        <v>#REF!</v>
      </c>
      <c r="NIT28" s="234" t="e">
        <f>astrogrep_path&amp;" /e /r /s /spath="&amp;search_path&amp;" /stypes=""app*"&amp;NHP28&amp;"*"&amp;TEXT(NHW28-utc_offset/24,"YYYYMMDD")&amp;"*"" /stext="" "&amp;TEXT(NHW28-utc_offset/24,"HH")&amp;search_regexp&amp;""""</f>
        <v>#REF!</v>
      </c>
      <c r="NIU28" s="234" t="e">
        <f>astrogrep_path&amp;" /e /r /s /spath="&amp;search_path&amp;" /stypes=""app*"&amp;NHQ28&amp;"*"&amp;TEXT(NHX28-utc_offset/24,"YYYYMMDD")&amp;"*"" /stext="" "&amp;TEXT(NHX28-utc_offset/24,"HH")&amp;search_regexp&amp;""""</f>
        <v>#REF!</v>
      </c>
      <c r="NIV28" s="234" t="e">
        <f>astrogrep_path&amp;" /e /r /s /spath="&amp;search_path&amp;" /stypes=""app*"&amp;NHR28&amp;"*"&amp;TEXT(NHY28-utc_offset/24,"YYYYMMDD")&amp;"*"" /stext="" "&amp;TEXT(NHY28-utc_offset/24,"HH")&amp;search_regexp&amp;""""</f>
        <v>#REF!</v>
      </c>
      <c r="NIW28" s="234" t="e">
        <f>astrogrep_path&amp;" /e /r /s /spath="&amp;search_path&amp;" /stypes=""app*"&amp;NHS28&amp;"*"&amp;TEXT(NHZ28-utc_offset/24,"YYYYMMDD")&amp;"*"" /stext="" "&amp;TEXT(NHZ28-utc_offset/24,"HH")&amp;search_regexp&amp;""""</f>
        <v>#VALUE!</v>
      </c>
      <c r="NIX28" s="234" t="e">
        <f>astrogrep_path&amp;" /e /r /s /spath="&amp;search_path&amp;" /stypes=""app*"&amp;NHT28&amp;"*"&amp;TEXT(NIA28-utc_offset/24,"YYYYMMDD")&amp;"*"" /stext="" "&amp;TEXT(NIA28-utc_offset/24,"HH")&amp;search_regexp&amp;""""</f>
        <v>#VALUE!</v>
      </c>
      <c r="NIY28" s="234" t="e">
        <f>astrogrep_path&amp;" /e /r /s /spath="&amp;search_path&amp;" /stypes=""app*"&amp;NHU28&amp;"*"&amp;TEXT(NIB28-utc_offset/24,"YYYYMMDD")&amp;"*"" /stext="" "&amp;TEXT(NIB28-utc_offset/24,"HH")&amp;search_regexp&amp;""""</f>
        <v>#REF!</v>
      </c>
      <c r="NIZ28" s="234" t="e">
        <f>astrogrep_path&amp;" /e /r /s /spath="&amp;search_path&amp;" /stypes=""app*"&amp;NHV28&amp;"*"&amp;TEXT(NIC28-utc_offset/24,"YYYYMMDD")&amp;"*"" /stext="" "&amp;TEXT(NIC28-utc_offset/24,"HH")&amp;search_regexp&amp;""""</f>
        <v>#REF!</v>
      </c>
      <c r="NJA28" s="234" t="e">
        <f>astrogrep_path&amp;" /e /r /s /spath="&amp;search_path&amp;" /stypes=""app*"&amp;NHW28&amp;"*"&amp;TEXT(NID28-utc_offset/24,"YYYYMMDD")&amp;"*"" /stext="" "&amp;TEXT(NID28-utc_offset/24,"HH")&amp;search_regexp&amp;""""</f>
        <v>#VALUE!</v>
      </c>
      <c r="NJB28" s="234" t="e">
        <f>astrogrep_path&amp;" /e /r /s /spath="&amp;search_path&amp;" /stypes=""app*"&amp;NHX28&amp;"*"&amp;TEXT(NIE28-utc_offset/24,"YYYYMMDD")&amp;"*"" /stext="" "&amp;TEXT(NIE28-utc_offset/24,"HH")&amp;search_regexp&amp;""""</f>
        <v>#VALUE!</v>
      </c>
      <c r="NJC28" s="234" t="e">
        <f>astrogrep_path&amp;" /e /r /s /spath="&amp;search_path&amp;" /stypes=""app*"&amp;NHY28&amp;"*"&amp;TEXT(NIF28-utc_offset/24,"YYYYMMDD")&amp;"*"" /stext="" "&amp;TEXT(NIF28-utc_offset/24,"HH")&amp;search_regexp&amp;""""</f>
        <v>#VALUE!</v>
      </c>
      <c r="NJD28" s="234" t="e">
        <f>astrogrep_path&amp;" /e /r /s /spath="&amp;search_path&amp;" /stypes=""app*"&amp;NHZ28&amp;"*"&amp;TEXT(NIG28-utc_offset/24,"YYYYMMDD")&amp;"*"" /stext="" "&amp;TEXT(NIG28-utc_offset/24,"HH")&amp;search_regexp&amp;""""</f>
        <v>#VALUE!</v>
      </c>
      <c r="NJE28" s="234" t="e">
        <f>astrogrep_path&amp;" /e /r /s /spath="&amp;search_path&amp;" /stypes=""app*"&amp;NIA28&amp;"*"&amp;TEXT(NIH28-utc_offset/24,"YYYYMMDD")&amp;"*"" /stext="" "&amp;TEXT(NIH28-utc_offset/24,"HH")&amp;search_regexp&amp;""""</f>
        <v>#VALUE!</v>
      </c>
      <c r="NJF28" s="234" t="e">
        <f>astrogrep_path&amp;" /e /r /s /spath="&amp;search_path&amp;" /stypes=""app*"&amp;NIB28&amp;"*"&amp;TEXT(NII28-utc_offset/24,"YYYYMMDD")&amp;"*"" /stext="" "&amp;TEXT(NII28-utc_offset/24,"HH")&amp;search_regexp&amp;""""</f>
        <v>#REF!</v>
      </c>
      <c r="NJG28" s="234" t="e">
        <f>astrogrep_path&amp;" /e /r /s /spath="&amp;search_path&amp;" /stypes=""app*"&amp;NIC28&amp;"*"&amp;TEXT(NIJ28-utc_offset/24,"YYYYMMDD")&amp;"*"" /stext="" "&amp;TEXT(NIJ28-utc_offset/24,"HH")&amp;search_regexp&amp;""""</f>
        <v>#REF!</v>
      </c>
      <c r="NJH28" s="234" t="e">
        <f>astrogrep_path&amp;" /e /r /s /spath="&amp;search_path&amp;" /stypes=""app*"&amp;NID28&amp;"*"&amp;TEXT(NIK28-utc_offset/24,"YYYYMMDD")&amp;"*"" /stext="" "&amp;TEXT(NIK28-utc_offset/24,"HH")&amp;search_regexp&amp;""""</f>
        <v>#REF!</v>
      </c>
      <c r="NJI28" s="234" t="e">
        <f>astrogrep_path&amp;" /e /r /s /spath="&amp;search_path&amp;" /stypes=""app*"&amp;NIE28&amp;"*"&amp;TEXT(NIL28-utc_offset/24,"YYYYMMDD")&amp;"*"" /stext="" "&amp;TEXT(NIL28-utc_offset/24,"HH")&amp;search_regexp&amp;""""</f>
        <v>#REF!</v>
      </c>
      <c r="NJJ28" s="234" t="e">
        <f>astrogrep_path&amp;" /e /r /s /spath="&amp;search_path&amp;" /stypes=""app*"&amp;NIF28&amp;"*"&amp;TEXT(NIM28-utc_offset/24,"YYYYMMDD")&amp;"*"" /stext="" "&amp;TEXT(NIM28-utc_offset/24,"HH")&amp;search_regexp&amp;""""</f>
        <v>#REF!</v>
      </c>
      <c r="NJK28" s="234" t="e">
        <f>astrogrep_path&amp;" /e /r /s /spath="&amp;search_path&amp;" /stypes=""app*"&amp;NIG28&amp;"*"&amp;TEXT(NIN28-utc_offset/24,"YYYYMMDD")&amp;"*"" /stext="" "&amp;TEXT(NIN28-utc_offset/24,"HH")&amp;search_regexp&amp;""""</f>
        <v>#REF!</v>
      </c>
      <c r="NJL28" s="234" t="e">
        <f>astrogrep_path&amp;" /e /r /s /spath="&amp;search_path&amp;" /stypes=""app*"&amp;NIH28&amp;"*"&amp;TEXT(NIO28-utc_offset/24,"YYYYMMDD")&amp;"*"" /stext="" "&amp;TEXT(NIO28-utc_offset/24,"HH")&amp;search_regexp&amp;""""</f>
        <v>#REF!</v>
      </c>
      <c r="NJM28" s="234" t="e">
        <f>astrogrep_path&amp;" /e /r /s /spath="&amp;search_path&amp;" /stypes=""app*"&amp;NII28&amp;"*"&amp;TEXT(NIP28-utc_offset/24,"YYYYMMDD")&amp;"*"" /stext="" "&amp;TEXT(NIP28-utc_offset/24,"HH")&amp;search_regexp&amp;""""</f>
        <v>#REF!</v>
      </c>
      <c r="NJN28" s="234" t="e">
        <f>astrogrep_path&amp;" /e /r /s /spath="&amp;search_path&amp;" /stypes=""app*"&amp;NIJ28&amp;"*"&amp;TEXT(NIQ28-utc_offset/24,"YYYYMMDD")&amp;"*"" /stext="" "&amp;TEXT(NIQ28-utc_offset/24,"HH")&amp;search_regexp&amp;""""</f>
        <v>#REF!</v>
      </c>
      <c r="NJO28" s="234" t="e">
        <f>astrogrep_path&amp;" /e /r /s /spath="&amp;search_path&amp;" /stypes=""app*"&amp;NIK28&amp;"*"&amp;TEXT(NIR28-utc_offset/24,"YYYYMMDD")&amp;"*"" /stext="" "&amp;TEXT(NIR28-utc_offset/24,"HH")&amp;search_regexp&amp;""""</f>
        <v>#REF!</v>
      </c>
      <c r="NJP28" s="234" t="e">
        <f>astrogrep_path&amp;" /e /r /s /spath="&amp;search_path&amp;" /stypes=""app*"&amp;NIL28&amp;"*"&amp;TEXT(NIS28-utc_offset/24,"YYYYMMDD")&amp;"*"" /stext="" "&amp;TEXT(NIS28-utc_offset/24,"HH")&amp;search_regexp&amp;""""</f>
        <v>#REF!</v>
      </c>
      <c r="NJQ28" s="234" t="e">
        <f>astrogrep_path&amp;" /e /r /s /spath="&amp;search_path&amp;" /stypes=""app*"&amp;NIM28&amp;"*"&amp;TEXT(NIT28-utc_offset/24,"YYYYMMDD")&amp;"*"" /stext="" "&amp;TEXT(NIT28-utc_offset/24,"HH")&amp;search_regexp&amp;""""</f>
        <v>#REF!</v>
      </c>
      <c r="NJR28" s="234" t="e">
        <f>astrogrep_path&amp;" /e /r /s /spath="&amp;search_path&amp;" /stypes=""app*"&amp;NIN28&amp;"*"&amp;TEXT(NIU28-utc_offset/24,"YYYYMMDD")&amp;"*"" /stext="" "&amp;TEXT(NIU28-utc_offset/24,"HH")&amp;search_regexp&amp;""""</f>
        <v>#REF!</v>
      </c>
      <c r="NJS28" s="234" t="e">
        <f>astrogrep_path&amp;" /e /r /s /spath="&amp;search_path&amp;" /stypes=""app*"&amp;NIO28&amp;"*"&amp;TEXT(NIV28-utc_offset/24,"YYYYMMDD")&amp;"*"" /stext="" "&amp;TEXT(NIV28-utc_offset/24,"HH")&amp;search_regexp&amp;""""</f>
        <v>#REF!</v>
      </c>
      <c r="NJT28" s="234" t="e">
        <f>astrogrep_path&amp;" /e /r /s /spath="&amp;search_path&amp;" /stypes=""app*"&amp;NIP28&amp;"*"&amp;TEXT(NIW28-utc_offset/24,"YYYYMMDD")&amp;"*"" /stext="" "&amp;TEXT(NIW28-utc_offset/24,"HH")&amp;search_regexp&amp;""""</f>
        <v>#REF!</v>
      </c>
      <c r="NJU28" s="234" t="e">
        <f>astrogrep_path&amp;" /e /r /s /spath="&amp;search_path&amp;" /stypes=""app*"&amp;NIQ28&amp;"*"&amp;TEXT(NIX28-utc_offset/24,"YYYYMMDD")&amp;"*"" /stext="" "&amp;TEXT(NIX28-utc_offset/24,"HH")&amp;search_regexp&amp;""""</f>
        <v>#REF!</v>
      </c>
      <c r="NJV28" s="234" t="e">
        <f>astrogrep_path&amp;" /e /r /s /spath="&amp;search_path&amp;" /stypes=""app*"&amp;NIR28&amp;"*"&amp;TEXT(NIY28-utc_offset/24,"YYYYMMDD")&amp;"*"" /stext="" "&amp;TEXT(NIY28-utc_offset/24,"HH")&amp;search_regexp&amp;""""</f>
        <v>#REF!</v>
      </c>
      <c r="NJW28" s="234" t="e">
        <f>astrogrep_path&amp;" /e /r /s /spath="&amp;search_path&amp;" /stypes=""app*"&amp;NIS28&amp;"*"&amp;TEXT(NIZ28-utc_offset/24,"YYYYMMDD")&amp;"*"" /stext="" "&amp;TEXT(NIZ28-utc_offset/24,"HH")&amp;search_regexp&amp;""""</f>
        <v>#REF!</v>
      </c>
      <c r="NJX28" s="234" t="e">
        <f>astrogrep_path&amp;" /e /r /s /spath="&amp;search_path&amp;" /stypes=""app*"&amp;NIT28&amp;"*"&amp;TEXT(NJA28-utc_offset/24,"YYYYMMDD")&amp;"*"" /stext="" "&amp;TEXT(NJA28-utc_offset/24,"HH")&amp;search_regexp&amp;""""</f>
        <v>#REF!</v>
      </c>
      <c r="NJY28" s="234" t="e">
        <f>astrogrep_path&amp;" /e /r /s /spath="&amp;search_path&amp;" /stypes=""app*"&amp;NIU28&amp;"*"&amp;TEXT(NJB28-utc_offset/24,"YYYYMMDD")&amp;"*"" /stext="" "&amp;TEXT(NJB28-utc_offset/24,"HH")&amp;search_regexp&amp;""""</f>
        <v>#REF!</v>
      </c>
      <c r="NJZ28" s="234" t="e">
        <f>astrogrep_path&amp;" /e /r /s /spath="&amp;search_path&amp;" /stypes=""app*"&amp;NIV28&amp;"*"&amp;TEXT(NJC28-utc_offset/24,"YYYYMMDD")&amp;"*"" /stext="" "&amp;TEXT(NJC28-utc_offset/24,"HH")&amp;search_regexp&amp;""""</f>
        <v>#REF!</v>
      </c>
      <c r="NKA28" s="234" t="e">
        <f>astrogrep_path&amp;" /e /r /s /spath="&amp;search_path&amp;" /stypes=""app*"&amp;NIW28&amp;"*"&amp;TEXT(NJD28-utc_offset/24,"YYYYMMDD")&amp;"*"" /stext="" "&amp;TEXT(NJD28-utc_offset/24,"HH")&amp;search_regexp&amp;""""</f>
        <v>#VALUE!</v>
      </c>
      <c r="NKB28" s="234" t="e">
        <f>astrogrep_path&amp;" /e /r /s /spath="&amp;search_path&amp;" /stypes=""app*"&amp;NIX28&amp;"*"&amp;TEXT(NJE28-utc_offset/24,"YYYYMMDD")&amp;"*"" /stext="" "&amp;TEXT(NJE28-utc_offset/24,"HH")&amp;search_regexp&amp;""""</f>
        <v>#VALUE!</v>
      </c>
      <c r="NKC28" s="234" t="e">
        <f>astrogrep_path&amp;" /e /r /s /spath="&amp;search_path&amp;" /stypes=""app*"&amp;NIY28&amp;"*"&amp;TEXT(NJF28-utc_offset/24,"YYYYMMDD")&amp;"*"" /stext="" "&amp;TEXT(NJF28-utc_offset/24,"HH")&amp;search_regexp&amp;""""</f>
        <v>#REF!</v>
      </c>
      <c r="NKD28" s="234" t="e">
        <f>astrogrep_path&amp;" /e /r /s /spath="&amp;search_path&amp;" /stypes=""app*"&amp;NIZ28&amp;"*"&amp;TEXT(NJG28-utc_offset/24,"YYYYMMDD")&amp;"*"" /stext="" "&amp;TEXT(NJG28-utc_offset/24,"HH")&amp;search_regexp&amp;""""</f>
        <v>#REF!</v>
      </c>
      <c r="NKE28" s="234" t="e">
        <f>astrogrep_path&amp;" /e /r /s /spath="&amp;search_path&amp;" /stypes=""app*"&amp;NJA28&amp;"*"&amp;TEXT(NJH28-utc_offset/24,"YYYYMMDD")&amp;"*"" /stext="" "&amp;TEXT(NJH28-utc_offset/24,"HH")&amp;search_regexp&amp;""""</f>
        <v>#VALUE!</v>
      </c>
      <c r="NKF28" s="234" t="e">
        <f>astrogrep_path&amp;" /e /r /s /spath="&amp;search_path&amp;" /stypes=""app*"&amp;NJB28&amp;"*"&amp;TEXT(NJI28-utc_offset/24,"YYYYMMDD")&amp;"*"" /stext="" "&amp;TEXT(NJI28-utc_offset/24,"HH")&amp;search_regexp&amp;""""</f>
        <v>#VALUE!</v>
      </c>
      <c r="NKG28" s="234" t="e">
        <f>astrogrep_path&amp;" /e /r /s /spath="&amp;search_path&amp;" /stypes=""app*"&amp;NJC28&amp;"*"&amp;TEXT(NJJ28-utc_offset/24,"YYYYMMDD")&amp;"*"" /stext="" "&amp;TEXT(NJJ28-utc_offset/24,"HH")&amp;search_regexp&amp;""""</f>
        <v>#VALUE!</v>
      </c>
      <c r="NKH28" s="234" t="e">
        <f>astrogrep_path&amp;" /e /r /s /spath="&amp;search_path&amp;" /stypes=""app*"&amp;NJD28&amp;"*"&amp;TEXT(NJK28-utc_offset/24,"YYYYMMDD")&amp;"*"" /stext="" "&amp;TEXT(NJK28-utc_offset/24,"HH")&amp;search_regexp&amp;""""</f>
        <v>#VALUE!</v>
      </c>
      <c r="NKI28" s="234" t="e">
        <f>astrogrep_path&amp;" /e /r /s /spath="&amp;search_path&amp;" /stypes=""app*"&amp;NJE28&amp;"*"&amp;TEXT(NJL28-utc_offset/24,"YYYYMMDD")&amp;"*"" /stext="" "&amp;TEXT(NJL28-utc_offset/24,"HH")&amp;search_regexp&amp;""""</f>
        <v>#VALUE!</v>
      </c>
      <c r="NKJ28" s="234" t="e">
        <f>astrogrep_path&amp;" /e /r /s /spath="&amp;search_path&amp;" /stypes=""app*"&amp;NJF28&amp;"*"&amp;TEXT(NJM28-utc_offset/24,"YYYYMMDD")&amp;"*"" /stext="" "&amp;TEXT(NJM28-utc_offset/24,"HH")&amp;search_regexp&amp;""""</f>
        <v>#REF!</v>
      </c>
      <c r="NKK28" s="234" t="e">
        <f>astrogrep_path&amp;" /e /r /s /spath="&amp;search_path&amp;" /stypes=""app*"&amp;NJG28&amp;"*"&amp;TEXT(NJN28-utc_offset/24,"YYYYMMDD")&amp;"*"" /stext="" "&amp;TEXT(NJN28-utc_offset/24,"HH")&amp;search_regexp&amp;""""</f>
        <v>#REF!</v>
      </c>
      <c r="NKL28" s="234" t="e">
        <f>astrogrep_path&amp;" /e /r /s /spath="&amp;search_path&amp;" /stypes=""app*"&amp;NJH28&amp;"*"&amp;TEXT(NJO28-utc_offset/24,"YYYYMMDD")&amp;"*"" /stext="" "&amp;TEXT(NJO28-utc_offset/24,"HH")&amp;search_regexp&amp;""""</f>
        <v>#REF!</v>
      </c>
      <c r="NKM28" s="234" t="e">
        <f>astrogrep_path&amp;" /e /r /s /spath="&amp;search_path&amp;" /stypes=""app*"&amp;NJI28&amp;"*"&amp;TEXT(NJP28-utc_offset/24,"YYYYMMDD")&amp;"*"" /stext="" "&amp;TEXT(NJP28-utc_offset/24,"HH")&amp;search_regexp&amp;""""</f>
        <v>#REF!</v>
      </c>
      <c r="NKN28" s="234" t="e">
        <f>astrogrep_path&amp;" /e /r /s /spath="&amp;search_path&amp;" /stypes=""app*"&amp;NJJ28&amp;"*"&amp;TEXT(NJQ28-utc_offset/24,"YYYYMMDD")&amp;"*"" /stext="" "&amp;TEXT(NJQ28-utc_offset/24,"HH")&amp;search_regexp&amp;""""</f>
        <v>#REF!</v>
      </c>
      <c r="NKO28" s="234" t="e">
        <f>astrogrep_path&amp;" /e /r /s /spath="&amp;search_path&amp;" /stypes=""app*"&amp;NJK28&amp;"*"&amp;TEXT(NJR28-utc_offset/24,"YYYYMMDD")&amp;"*"" /stext="" "&amp;TEXT(NJR28-utc_offset/24,"HH")&amp;search_regexp&amp;""""</f>
        <v>#REF!</v>
      </c>
      <c r="NKP28" s="234" t="e">
        <f>astrogrep_path&amp;" /e /r /s /spath="&amp;search_path&amp;" /stypes=""app*"&amp;NJL28&amp;"*"&amp;TEXT(NJS28-utc_offset/24,"YYYYMMDD")&amp;"*"" /stext="" "&amp;TEXT(NJS28-utc_offset/24,"HH")&amp;search_regexp&amp;""""</f>
        <v>#REF!</v>
      </c>
      <c r="NKQ28" s="234" t="e">
        <f>astrogrep_path&amp;" /e /r /s /spath="&amp;search_path&amp;" /stypes=""app*"&amp;NJM28&amp;"*"&amp;TEXT(NJT28-utc_offset/24,"YYYYMMDD")&amp;"*"" /stext="" "&amp;TEXT(NJT28-utc_offset/24,"HH")&amp;search_regexp&amp;""""</f>
        <v>#REF!</v>
      </c>
      <c r="NKR28" s="234" t="e">
        <f>astrogrep_path&amp;" /e /r /s /spath="&amp;search_path&amp;" /stypes=""app*"&amp;NJN28&amp;"*"&amp;TEXT(NJU28-utc_offset/24,"YYYYMMDD")&amp;"*"" /stext="" "&amp;TEXT(NJU28-utc_offset/24,"HH")&amp;search_regexp&amp;""""</f>
        <v>#REF!</v>
      </c>
      <c r="NKS28" s="234" t="e">
        <f>astrogrep_path&amp;" /e /r /s /spath="&amp;search_path&amp;" /stypes=""app*"&amp;NJO28&amp;"*"&amp;TEXT(NJV28-utc_offset/24,"YYYYMMDD")&amp;"*"" /stext="" "&amp;TEXT(NJV28-utc_offset/24,"HH")&amp;search_regexp&amp;""""</f>
        <v>#REF!</v>
      </c>
      <c r="NKT28" s="234" t="e">
        <f>astrogrep_path&amp;" /e /r /s /spath="&amp;search_path&amp;" /stypes=""app*"&amp;NJP28&amp;"*"&amp;TEXT(NJW28-utc_offset/24,"YYYYMMDD")&amp;"*"" /stext="" "&amp;TEXT(NJW28-utc_offset/24,"HH")&amp;search_regexp&amp;""""</f>
        <v>#REF!</v>
      </c>
      <c r="NKU28" s="234" t="e">
        <f>astrogrep_path&amp;" /e /r /s /spath="&amp;search_path&amp;" /stypes=""app*"&amp;NJQ28&amp;"*"&amp;TEXT(NJX28-utc_offset/24,"YYYYMMDD")&amp;"*"" /stext="" "&amp;TEXT(NJX28-utc_offset/24,"HH")&amp;search_regexp&amp;""""</f>
        <v>#REF!</v>
      </c>
      <c r="NKV28" s="234" t="e">
        <f>astrogrep_path&amp;" /e /r /s /spath="&amp;search_path&amp;" /stypes=""app*"&amp;NJR28&amp;"*"&amp;TEXT(NJY28-utc_offset/24,"YYYYMMDD")&amp;"*"" /stext="" "&amp;TEXT(NJY28-utc_offset/24,"HH")&amp;search_regexp&amp;""""</f>
        <v>#REF!</v>
      </c>
      <c r="NKW28" s="234" t="e">
        <f>astrogrep_path&amp;" /e /r /s /spath="&amp;search_path&amp;" /stypes=""app*"&amp;NJS28&amp;"*"&amp;TEXT(NJZ28-utc_offset/24,"YYYYMMDD")&amp;"*"" /stext="" "&amp;TEXT(NJZ28-utc_offset/24,"HH")&amp;search_regexp&amp;""""</f>
        <v>#REF!</v>
      </c>
      <c r="NKX28" s="234" t="e">
        <f>astrogrep_path&amp;" /e /r /s /spath="&amp;search_path&amp;" /stypes=""app*"&amp;NJT28&amp;"*"&amp;TEXT(NKA28-utc_offset/24,"YYYYMMDD")&amp;"*"" /stext="" "&amp;TEXT(NKA28-utc_offset/24,"HH")&amp;search_regexp&amp;""""</f>
        <v>#REF!</v>
      </c>
      <c r="NKY28" s="234" t="e">
        <f>astrogrep_path&amp;" /e /r /s /spath="&amp;search_path&amp;" /stypes=""app*"&amp;NJU28&amp;"*"&amp;TEXT(NKB28-utc_offset/24,"YYYYMMDD")&amp;"*"" /stext="" "&amp;TEXT(NKB28-utc_offset/24,"HH")&amp;search_regexp&amp;""""</f>
        <v>#REF!</v>
      </c>
      <c r="NKZ28" s="234" t="e">
        <f>astrogrep_path&amp;" /e /r /s /spath="&amp;search_path&amp;" /stypes=""app*"&amp;NJV28&amp;"*"&amp;TEXT(NKC28-utc_offset/24,"YYYYMMDD")&amp;"*"" /stext="" "&amp;TEXT(NKC28-utc_offset/24,"HH")&amp;search_regexp&amp;""""</f>
        <v>#REF!</v>
      </c>
      <c r="NLA28" s="234" t="e">
        <f>astrogrep_path&amp;" /e /r /s /spath="&amp;search_path&amp;" /stypes=""app*"&amp;NJW28&amp;"*"&amp;TEXT(NKD28-utc_offset/24,"YYYYMMDD")&amp;"*"" /stext="" "&amp;TEXT(NKD28-utc_offset/24,"HH")&amp;search_regexp&amp;""""</f>
        <v>#REF!</v>
      </c>
      <c r="NLB28" s="234" t="e">
        <f>astrogrep_path&amp;" /e /r /s /spath="&amp;search_path&amp;" /stypes=""app*"&amp;NJX28&amp;"*"&amp;TEXT(NKE28-utc_offset/24,"YYYYMMDD")&amp;"*"" /stext="" "&amp;TEXT(NKE28-utc_offset/24,"HH")&amp;search_regexp&amp;""""</f>
        <v>#REF!</v>
      </c>
      <c r="NLC28" s="234" t="e">
        <f>astrogrep_path&amp;" /e /r /s /spath="&amp;search_path&amp;" /stypes=""app*"&amp;NJY28&amp;"*"&amp;TEXT(NKF28-utc_offset/24,"YYYYMMDD")&amp;"*"" /stext="" "&amp;TEXT(NKF28-utc_offset/24,"HH")&amp;search_regexp&amp;""""</f>
        <v>#REF!</v>
      </c>
      <c r="NLD28" s="234" t="e">
        <f>astrogrep_path&amp;" /e /r /s /spath="&amp;search_path&amp;" /stypes=""app*"&amp;NJZ28&amp;"*"&amp;TEXT(NKG28-utc_offset/24,"YYYYMMDD")&amp;"*"" /stext="" "&amp;TEXT(NKG28-utc_offset/24,"HH")&amp;search_regexp&amp;""""</f>
        <v>#REF!</v>
      </c>
      <c r="NLE28" s="234" t="e">
        <f>astrogrep_path&amp;" /e /r /s /spath="&amp;search_path&amp;" /stypes=""app*"&amp;NKA28&amp;"*"&amp;TEXT(NKH28-utc_offset/24,"YYYYMMDD")&amp;"*"" /stext="" "&amp;TEXT(NKH28-utc_offset/24,"HH")&amp;search_regexp&amp;""""</f>
        <v>#VALUE!</v>
      </c>
      <c r="NLF28" s="234" t="e">
        <f>astrogrep_path&amp;" /e /r /s /spath="&amp;search_path&amp;" /stypes=""app*"&amp;NKB28&amp;"*"&amp;TEXT(NKI28-utc_offset/24,"YYYYMMDD")&amp;"*"" /stext="" "&amp;TEXT(NKI28-utc_offset/24,"HH")&amp;search_regexp&amp;""""</f>
        <v>#VALUE!</v>
      </c>
      <c r="NLG28" s="234" t="e">
        <f>astrogrep_path&amp;" /e /r /s /spath="&amp;search_path&amp;" /stypes=""app*"&amp;NKC28&amp;"*"&amp;TEXT(NKJ28-utc_offset/24,"YYYYMMDD")&amp;"*"" /stext="" "&amp;TEXT(NKJ28-utc_offset/24,"HH")&amp;search_regexp&amp;""""</f>
        <v>#REF!</v>
      </c>
      <c r="NLH28" s="234" t="e">
        <f>astrogrep_path&amp;" /e /r /s /spath="&amp;search_path&amp;" /stypes=""app*"&amp;NKD28&amp;"*"&amp;TEXT(NKK28-utc_offset/24,"YYYYMMDD")&amp;"*"" /stext="" "&amp;TEXT(NKK28-utc_offset/24,"HH")&amp;search_regexp&amp;""""</f>
        <v>#REF!</v>
      </c>
      <c r="NLI28" s="234" t="e">
        <f>astrogrep_path&amp;" /e /r /s /spath="&amp;search_path&amp;" /stypes=""app*"&amp;NKE28&amp;"*"&amp;TEXT(NKL28-utc_offset/24,"YYYYMMDD")&amp;"*"" /stext="" "&amp;TEXT(NKL28-utc_offset/24,"HH")&amp;search_regexp&amp;""""</f>
        <v>#VALUE!</v>
      </c>
      <c r="NLJ28" s="234" t="e">
        <f>astrogrep_path&amp;" /e /r /s /spath="&amp;search_path&amp;" /stypes=""app*"&amp;NKF28&amp;"*"&amp;TEXT(NKM28-utc_offset/24,"YYYYMMDD")&amp;"*"" /stext="" "&amp;TEXT(NKM28-utc_offset/24,"HH")&amp;search_regexp&amp;""""</f>
        <v>#VALUE!</v>
      </c>
      <c r="NLK28" s="234" t="e">
        <f>astrogrep_path&amp;" /e /r /s /spath="&amp;search_path&amp;" /stypes=""app*"&amp;NKG28&amp;"*"&amp;TEXT(NKN28-utc_offset/24,"YYYYMMDD")&amp;"*"" /stext="" "&amp;TEXT(NKN28-utc_offset/24,"HH")&amp;search_regexp&amp;""""</f>
        <v>#VALUE!</v>
      </c>
      <c r="NLL28" s="234" t="e">
        <f>astrogrep_path&amp;" /e /r /s /spath="&amp;search_path&amp;" /stypes=""app*"&amp;NKH28&amp;"*"&amp;TEXT(NKO28-utc_offset/24,"YYYYMMDD")&amp;"*"" /stext="" "&amp;TEXT(NKO28-utc_offset/24,"HH")&amp;search_regexp&amp;""""</f>
        <v>#VALUE!</v>
      </c>
      <c r="NLM28" s="234" t="e">
        <f>astrogrep_path&amp;" /e /r /s /spath="&amp;search_path&amp;" /stypes=""app*"&amp;NKI28&amp;"*"&amp;TEXT(NKP28-utc_offset/24,"YYYYMMDD")&amp;"*"" /stext="" "&amp;TEXT(NKP28-utc_offset/24,"HH")&amp;search_regexp&amp;""""</f>
        <v>#VALUE!</v>
      </c>
      <c r="NLN28" s="234" t="e">
        <f>astrogrep_path&amp;" /e /r /s /spath="&amp;search_path&amp;" /stypes=""app*"&amp;NKJ28&amp;"*"&amp;TEXT(NKQ28-utc_offset/24,"YYYYMMDD")&amp;"*"" /stext="" "&amp;TEXT(NKQ28-utc_offset/24,"HH")&amp;search_regexp&amp;""""</f>
        <v>#REF!</v>
      </c>
      <c r="NLO28" s="234" t="e">
        <f>astrogrep_path&amp;" /e /r /s /spath="&amp;search_path&amp;" /stypes=""app*"&amp;NKK28&amp;"*"&amp;TEXT(NKR28-utc_offset/24,"YYYYMMDD")&amp;"*"" /stext="" "&amp;TEXT(NKR28-utc_offset/24,"HH")&amp;search_regexp&amp;""""</f>
        <v>#REF!</v>
      </c>
      <c r="NLP28" s="234" t="e">
        <f>astrogrep_path&amp;" /e /r /s /spath="&amp;search_path&amp;" /stypes=""app*"&amp;NKL28&amp;"*"&amp;TEXT(NKS28-utc_offset/24,"YYYYMMDD")&amp;"*"" /stext="" "&amp;TEXT(NKS28-utc_offset/24,"HH")&amp;search_regexp&amp;""""</f>
        <v>#REF!</v>
      </c>
      <c r="NLQ28" s="234" t="e">
        <f>astrogrep_path&amp;" /e /r /s /spath="&amp;search_path&amp;" /stypes=""app*"&amp;NKM28&amp;"*"&amp;TEXT(NKT28-utc_offset/24,"YYYYMMDD")&amp;"*"" /stext="" "&amp;TEXT(NKT28-utc_offset/24,"HH")&amp;search_regexp&amp;""""</f>
        <v>#REF!</v>
      </c>
      <c r="NLR28" s="234" t="e">
        <f>astrogrep_path&amp;" /e /r /s /spath="&amp;search_path&amp;" /stypes=""app*"&amp;NKN28&amp;"*"&amp;TEXT(NKU28-utc_offset/24,"YYYYMMDD")&amp;"*"" /stext="" "&amp;TEXT(NKU28-utc_offset/24,"HH")&amp;search_regexp&amp;""""</f>
        <v>#REF!</v>
      </c>
      <c r="NLS28" s="234" t="e">
        <f>astrogrep_path&amp;" /e /r /s /spath="&amp;search_path&amp;" /stypes=""app*"&amp;NKO28&amp;"*"&amp;TEXT(NKV28-utc_offset/24,"YYYYMMDD")&amp;"*"" /stext="" "&amp;TEXT(NKV28-utc_offset/24,"HH")&amp;search_regexp&amp;""""</f>
        <v>#REF!</v>
      </c>
      <c r="NLT28" s="234" t="e">
        <f>astrogrep_path&amp;" /e /r /s /spath="&amp;search_path&amp;" /stypes=""app*"&amp;NKP28&amp;"*"&amp;TEXT(NKW28-utc_offset/24,"YYYYMMDD")&amp;"*"" /stext="" "&amp;TEXT(NKW28-utc_offset/24,"HH")&amp;search_regexp&amp;""""</f>
        <v>#REF!</v>
      </c>
      <c r="NLU28" s="234" t="e">
        <f>astrogrep_path&amp;" /e /r /s /spath="&amp;search_path&amp;" /stypes=""app*"&amp;NKQ28&amp;"*"&amp;TEXT(NKX28-utc_offset/24,"YYYYMMDD")&amp;"*"" /stext="" "&amp;TEXT(NKX28-utc_offset/24,"HH")&amp;search_regexp&amp;""""</f>
        <v>#REF!</v>
      </c>
      <c r="NLV28" s="234" t="e">
        <f>astrogrep_path&amp;" /e /r /s /spath="&amp;search_path&amp;" /stypes=""app*"&amp;NKR28&amp;"*"&amp;TEXT(NKY28-utc_offset/24,"YYYYMMDD")&amp;"*"" /stext="" "&amp;TEXT(NKY28-utc_offset/24,"HH")&amp;search_regexp&amp;""""</f>
        <v>#REF!</v>
      </c>
      <c r="NLW28" s="234" t="e">
        <f>astrogrep_path&amp;" /e /r /s /spath="&amp;search_path&amp;" /stypes=""app*"&amp;NKS28&amp;"*"&amp;TEXT(NKZ28-utc_offset/24,"YYYYMMDD")&amp;"*"" /stext="" "&amp;TEXT(NKZ28-utc_offset/24,"HH")&amp;search_regexp&amp;""""</f>
        <v>#REF!</v>
      </c>
      <c r="NLX28" s="234" t="e">
        <f>astrogrep_path&amp;" /e /r /s /spath="&amp;search_path&amp;" /stypes=""app*"&amp;NKT28&amp;"*"&amp;TEXT(NLA28-utc_offset/24,"YYYYMMDD")&amp;"*"" /stext="" "&amp;TEXT(NLA28-utc_offset/24,"HH")&amp;search_regexp&amp;""""</f>
        <v>#REF!</v>
      </c>
      <c r="NLY28" s="234" t="e">
        <f>astrogrep_path&amp;" /e /r /s /spath="&amp;search_path&amp;" /stypes=""app*"&amp;NKU28&amp;"*"&amp;TEXT(NLB28-utc_offset/24,"YYYYMMDD")&amp;"*"" /stext="" "&amp;TEXT(NLB28-utc_offset/24,"HH")&amp;search_regexp&amp;""""</f>
        <v>#REF!</v>
      </c>
      <c r="NLZ28" s="234" t="e">
        <f>astrogrep_path&amp;" /e /r /s /spath="&amp;search_path&amp;" /stypes=""app*"&amp;NKV28&amp;"*"&amp;TEXT(NLC28-utc_offset/24,"YYYYMMDD")&amp;"*"" /stext="" "&amp;TEXT(NLC28-utc_offset/24,"HH")&amp;search_regexp&amp;""""</f>
        <v>#REF!</v>
      </c>
      <c r="NMA28" s="234" t="e">
        <f>astrogrep_path&amp;" /e /r /s /spath="&amp;search_path&amp;" /stypes=""app*"&amp;NKW28&amp;"*"&amp;TEXT(NLD28-utc_offset/24,"YYYYMMDD")&amp;"*"" /stext="" "&amp;TEXT(NLD28-utc_offset/24,"HH")&amp;search_regexp&amp;""""</f>
        <v>#REF!</v>
      </c>
      <c r="NMB28" s="234" t="e">
        <f>astrogrep_path&amp;" /e /r /s /spath="&amp;search_path&amp;" /stypes=""app*"&amp;NKX28&amp;"*"&amp;TEXT(NLE28-utc_offset/24,"YYYYMMDD")&amp;"*"" /stext="" "&amp;TEXT(NLE28-utc_offset/24,"HH")&amp;search_regexp&amp;""""</f>
        <v>#REF!</v>
      </c>
      <c r="NMC28" s="234" t="e">
        <f>astrogrep_path&amp;" /e /r /s /spath="&amp;search_path&amp;" /stypes=""app*"&amp;NKY28&amp;"*"&amp;TEXT(NLF28-utc_offset/24,"YYYYMMDD")&amp;"*"" /stext="" "&amp;TEXT(NLF28-utc_offset/24,"HH")&amp;search_regexp&amp;""""</f>
        <v>#REF!</v>
      </c>
      <c r="NMD28" s="234" t="e">
        <f>astrogrep_path&amp;" /e /r /s /spath="&amp;search_path&amp;" /stypes=""app*"&amp;NKZ28&amp;"*"&amp;TEXT(NLG28-utc_offset/24,"YYYYMMDD")&amp;"*"" /stext="" "&amp;TEXT(NLG28-utc_offset/24,"HH")&amp;search_regexp&amp;""""</f>
        <v>#REF!</v>
      </c>
      <c r="NME28" s="234" t="e">
        <f>astrogrep_path&amp;" /e /r /s /spath="&amp;search_path&amp;" /stypes=""app*"&amp;NLA28&amp;"*"&amp;TEXT(NLH28-utc_offset/24,"YYYYMMDD")&amp;"*"" /stext="" "&amp;TEXT(NLH28-utc_offset/24,"HH")&amp;search_regexp&amp;""""</f>
        <v>#REF!</v>
      </c>
      <c r="NMF28" s="234" t="e">
        <f>astrogrep_path&amp;" /e /r /s /spath="&amp;search_path&amp;" /stypes=""app*"&amp;NLB28&amp;"*"&amp;TEXT(NLI28-utc_offset/24,"YYYYMMDD")&amp;"*"" /stext="" "&amp;TEXT(NLI28-utc_offset/24,"HH")&amp;search_regexp&amp;""""</f>
        <v>#REF!</v>
      </c>
      <c r="NMG28" s="234" t="e">
        <f>astrogrep_path&amp;" /e /r /s /spath="&amp;search_path&amp;" /stypes=""app*"&amp;NLC28&amp;"*"&amp;TEXT(NLJ28-utc_offset/24,"YYYYMMDD")&amp;"*"" /stext="" "&amp;TEXT(NLJ28-utc_offset/24,"HH")&amp;search_regexp&amp;""""</f>
        <v>#REF!</v>
      </c>
      <c r="NMH28" s="234" t="e">
        <f>astrogrep_path&amp;" /e /r /s /spath="&amp;search_path&amp;" /stypes=""app*"&amp;NLD28&amp;"*"&amp;TEXT(NLK28-utc_offset/24,"YYYYMMDD")&amp;"*"" /stext="" "&amp;TEXT(NLK28-utc_offset/24,"HH")&amp;search_regexp&amp;""""</f>
        <v>#REF!</v>
      </c>
      <c r="NMI28" s="234" t="e">
        <f>astrogrep_path&amp;" /e /r /s /spath="&amp;search_path&amp;" /stypes=""app*"&amp;NLE28&amp;"*"&amp;TEXT(NLL28-utc_offset/24,"YYYYMMDD")&amp;"*"" /stext="" "&amp;TEXT(NLL28-utc_offset/24,"HH")&amp;search_regexp&amp;""""</f>
        <v>#VALUE!</v>
      </c>
      <c r="NMJ28" s="234" t="e">
        <f>astrogrep_path&amp;" /e /r /s /spath="&amp;search_path&amp;" /stypes=""app*"&amp;NLF28&amp;"*"&amp;TEXT(NLM28-utc_offset/24,"YYYYMMDD")&amp;"*"" /stext="" "&amp;TEXT(NLM28-utc_offset/24,"HH")&amp;search_regexp&amp;""""</f>
        <v>#VALUE!</v>
      </c>
      <c r="NMK28" s="234" t="e">
        <f>astrogrep_path&amp;" /e /r /s /spath="&amp;search_path&amp;" /stypes=""app*"&amp;NLG28&amp;"*"&amp;TEXT(NLN28-utc_offset/24,"YYYYMMDD")&amp;"*"" /stext="" "&amp;TEXT(NLN28-utc_offset/24,"HH")&amp;search_regexp&amp;""""</f>
        <v>#REF!</v>
      </c>
      <c r="NML28" s="234" t="e">
        <f>astrogrep_path&amp;" /e /r /s /spath="&amp;search_path&amp;" /stypes=""app*"&amp;NLH28&amp;"*"&amp;TEXT(NLO28-utc_offset/24,"YYYYMMDD")&amp;"*"" /stext="" "&amp;TEXT(NLO28-utc_offset/24,"HH")&amp;search_regexp&amp;""""</f>
        <v>#REF!</v>
      </c>
      <c r="NMM28" s="234" t="e">
        <f>astrogrep_path&amp;" /e /r /s /spath="&amp;search_path&amp;" /stypes=""app*"&amp;NLI28&amp;"*"&amp;TEXT(NLP28-utc_offset/24,"YYYYMMDD")&amp;"*"" /stext="" "&amp;TEXT(NLP28-utc_offset/24,"HH")&amp;search_regexp&amp;""""</f>
        <v>#VALUE!</v>
      </c>
      <c r="NMN28" s="234" t="e">
        <f>astrogrep_path&amp;" /e /r /s /spath="&amp;search_path&amp;" /stypes=""app*"&amp;NLJ28&amp;"*"&amp;TEXT(NLQ28-utc_offset/24,"YYYYMMDD")&amp;"*"" /stext="" "&amp;TEXT(NLQ28-utc_offset/24,"HH")&amp;search_regexp&amp;""""</f>
        <v>#VALUE!</v>
      </c>
      <c r="NMO28" s="234" t="e">
        <f>astrogrep_path&amp;" /e /r /s /spath="&amp;search_path&amp;" /stypes=""app*"&amp;NLK28&amp;"*"&amp;TEXT(NLR28-utc_offset/24,"YYYYMMDD")&amp;"*"" /stext="" "&amp;TEXT(NLR28-utc_offset/24,"HH")&amp;search_regexp&amp;""""</f>
        <v>#VALUE!</v>
      </c>
      <c r="NMP28" s="234" t="e">
        <f>astrogrep_path&amp;" /e /r /s /spath="&amp;search_path&amp;" /stypes=""app*"&amp;NLL28&amp;"*"&amp;TEXT(NLS28-utc_offset/24,"YYYYMMDD")&amp;"*"" /stext="" "&amp;TEXT(NLS28-utc_offset/24,"HH")&amp;search_regexp&amp;""""</f>
        <v>#VALUE!</v>
      </c>
      <c r="NMQ28" s="234" t="e">
        <f>astrogrep_path&amp;" /e /r /s /spath="&amp;search_path&amp;" /stypes=""app*"&amp;NLM28&amp;"*"&amp;TEXT(NLT28-utc_offset/24,"YYYYMMDD")&amp;"*"" /stext="" "&amp;TEXT(NLT28-utc_offset/24,"HH")&amp;search_regexp&amp;""""</f>
        <v>#VALUE!</v>
      </c>
      <c r="NMR28" s="234" t="e">
        <f>astrogrep_path&amp;" /e /r /s /spath="&amp;search_path&amp;" /stypes=""app*"&amp;NLN28&amp;"*"&amp;TEXT(NLU28-utc_offset/24,"YYYYMMDD")&amp;"*"" /stext="" "&amp;TEXT(NLU28-utc_offset/24,"HH")&amp;search_regexp&amp;""""</f>
        <v>#REF!</v>
      </c>
      <c r="NMS28" s="234" t="e">
        <f>astrogrep_path&amp;" /e /r /s /spath="&amp;search_path&amp;" /stypes=""app*"&amp;NLO28&amp;"*"&amp;TEXT(NLV28-utc_offset/24,"YYYYMMDD")&amp;"*"" /stext="" "&amp;TEXT(NLV28-utc_offset/24,"HH")&amp;search_regexp&amp;""""</f>
        <v>#REF!</v>
      </c>
      <c r="NMT28" s="234" t="e">
        <f>astrogrep_path&amp;" /e /r /s /spath="&amp;search_path&amp;" /stypes=""app*"&amp;NLP28&amp;"*"&amp;TEXT(NLW28-utc_offset/24,"YYYYMMDD")&amp;"*"" /stext="" "&amp;TEXT(NLW28-utc_offset/24,"HH")&amp;search_regexp&amp;""""</f>
        <v>#REF!</v>
      </c>
      <c r="NMU28" s="234" t="e">
        <f>astrogrep_path&amp;" /e /r /s /spath="&amp;search_path&amp;" /stypes=""app*"&amp;NLQ28&amp;"*"&amp;TEXT(NLX28-utc_offset/24,"YYYYMMDD")&amp;"*"" /stext="" "&amp;TEXT(NLX28-utc_offset/24,"HH")&amp;search_regexp&amp;""""</f>
        <v>#REF!</v>
      </c>
      <c r="NMV28" s="234" t="e">
        <f>astrogrep_path&amp;" /e /r /s /spath="&amp;search_path&amp;" /stypes=""app*"&amp;NLR28&amp;"*"&amp;TEXT(NLY28-utc_offset/24,"YYYYMMDD")&amp;"*"" /stext="" "&amp;TEXT(NLY28-utc_offset/24,"HH")&amp;search_regexp&amp;""""</f>
        <v>#REF!</v>
      </c>
      <c r="NMW28" s="234" t="e">
        <f>astrogrep_path&amp;" /e /r /s /spath="&amp;search_path&amp;" /stypes=""app*"&amp;NLS28&amp;"*"&amp;TEXT(NLZ28-utc_offset/24,"YYYYMMDD")&amp;"*"" /stext="" "&amp;TEXT(NLZ28-utc_offset/24,"HH")&amp;search_regexp&amp;""""</f>
        <v>#REF!</v>
      </c>
      <c r="NMX28" s="234" t="e">
        <f>astrogrep_path&amp;" /e /r /s /spath="&amp;search_path&amp;" /stypes=""app*"&amp;NLT28&amp;"*"&amp;TEXT(NMA28-utc_offset/24,"YYYYMMDD")&amp;"*"" /stext="" "&amp;TEXT(NMA28-utc_offset/24,"HH")&amp;search_regexp&amp;""""</f>
        <v>#REF!</v>
      </c>
      <c r="NMY28" s="234" t="e">
        <f>astrogrep_path&amp;" /e /r /s /spath="&amp;search_path&amp;" /stypes=""app*"&amp;NLU28&amp;"*"&amp;TEXT(NMB28-utc_offset/24,"YYYYMMDD")&amp;"*"" /stext="" "&amp;TEXT(NMB28-utc_offset/24,"HH")&amp;search_regexp&amp;""""</f>
        <v>#REF!</v>
      </c>
      <c r="NMZ28" s="234" t="e">
        <f>astrogrep_path&amp;" /e /r /s /spath="&amp;search_path&amp;" /stypes=""app*"&amp;NLV28&amp;"*"&amp;TEXT(NMC28-utc_offset/24,"YYYYMMDD")&amp;"*"" /stext="" "&amp;TEXT(NMC28-utc_offset/24,"HH")&amp;search_regexp&amp;""""</f>
        <v>#REF!</v>
      </c>
      <c r="NNA28" s="234" t="e">
        <f>astrogrep_path&amp;" /e /r /s /spath="&amp;search_path&amp;" /stypes=""app*"&amp;NLW28&amp;"*"&amp;TEXT(NMD28-utc_offset/24,"YYYYMMDD")&amp;"*"" /stext="" "&amp;TEXT(NMD28-utc_offset/24,"HH")&amp;search_regexp&amp;""""</f>
        <v>#REF!</v>
      </c>
      <c r="NNB28" s="234" t="e">
        <f>astrogrep_path&amp;" /e /r /s /spath="&amp;search_path&amp;" /stypes=""app*"&amp;NLX28&amp;"*"&amp;TEXT(NME28-utc_offset/24,"YYYYMMDD")&amp;"*"" /stext="" "&amp;TEXT(NME28-utc_offset/24,"HH")&amp;search_regexp&amp;""""</f>
        <v>#REF!</v>
      </c>
      <c r="NNC28" s="234" t="e">
        <f>astrogrep_path&amp;" /e /r /s /spath="&amp;search_path&amp;" /stypes=""app*"&amp;NLY28&amp;"*"&amp;TEXT(NMF28-utc_offset/24,"YYYYMMDD")&amp;"*"" /stext="" "&amp;TEXT(NMF28-utc_offset/24,"HH")&amp;search_regexp&amp;""""</f>
        <v>#REF!</v>
      </c>
      <c r="NND28" s="234" t="e">
        <f>astrogrep_path&amp;" /e /r /s /spath="&amp;search_path&amp;" /stypes=""app*"&amp;NLZ28&amp;"*"&amp;TEXT(NMG28-utc_offset/24,"YYYYMMDD")&amp;"*"" /stext="" "&amp;TEXT(NMG28-utc_offset/24,"HH")&amp;search_regexp&amp;""""</f>
        <v>#REF!</v>
      </c>
      <c r="NNE28" s="234" t="e">
        <f>astrogrep_path&amp;" /e /r /s /spath="&amp;search_path&amp;" /stypes=""app*"&amp;NMA28&amp;"*"&amp;TEXT(NMH28-utc_offset/24,"YYYYMMDD")&amp;"*"" /stext="" "&amp;TEXT(NMH28-utc_offset/24,"HH")&amp;search_regexp&amp;""""</f>
        <v>#REF!</v>
      </c>
      <c r="NNF28" s="234" t="e">
        <f>astrogrep_path&amp;" /e /r /s /spath="&amp;search_path&amp;" /stypes=""app*"&amp;NMB28&amp;"*"&amp;TEXT(NMI28-utc_offset/24,"YYYYMMDD")&amp;"*"" /stext="" "&amp;TEXT(NMI28-utc_offset/24,"HH")&amp;search_regexp&amp;""""</f>
        <v>#REF!</v>
      </c>
      <c r="NNG28" s="234" t="e">
        <f>astrogrep_path&amp;" /e /r /s /spath="&amp;search_path&amp;" /stypes=""app*"&amp;NMC28&amp;"*"&amp;TEXT(NMJ28-utc_offset/24,"YYYYMMDD")&amp;"*"" /stext="" "&amp;TEXT(NMJ28-utc_offset/24,"HH")&amp;search_regexp&amp;""""</f>
        <v>#REF!</v>
      </c>
      <c r="NNH28" s="234" t="e">
        <f>astrogrep_path&amp;" /e /r /s /spath="&amp;search_path&amp;" /stypes=""app*"&amp;NMD28&amp;"*"&amp;TEXT(NMK28-utc_offset/24,"YYYYMMDD")&amp;"*"" /stext="" "&amp;TEXT(NMK28-utc_offset/24,"HH")&amp;search_regexp&amp;""""</f>
        <v>#REF!</v>
      </c>
      <c r="NNI28" s="234" t="e">
        <f>astrogrep_path&amp;" /e /r /s /spath="&amp;search_path&amp;" /stypes=""app*"&amp;NME28&amp;"*"&amp;TEXT(NML28-utc_offset/24,"YYYYMMDD")&amp;"*"" /stext="" "&amp;TEXT(NML28-utc_offset/24,"HH")&amp;search_regexp&amp;""""</f>
        <v>#REF!</v>
      </c>
      <c r="NNJ28" s="234" t="e">
        <f>astrogrep_path&amp;" /e /r /s /spath="&amp;search_path&amp;" /stypes=""app*"&amp;NMF28&amp;"*"&amp;TEXT(NMM28-utc_offset/24,"YYYYMMDD")&amp;"*"" /stext="" "&amp;TEXT(NMM28-utc_offset/24,"HH")&amp;search_regexp&amp;""""</f>
        <v>#REF!</v>
      </c>
      <c r="NNK28" s="234" t="e">
        <f>astrogrep_path&amp;" /e /r /s /spath="&amp;search_path&amp;" /stypes=""app*"&amp;NMG28&amp;"*"&amp;TEXT(NMN28-utc_offset/24,"YYYYMMDD")&amp;"*"" /stext="" "&amp;TEXT(NMN28-utc_offset/24,"HH")&amp;search_regexp&amp;""""</f>
        <v>#REF!</v>
      </c>
      <c r="NNL28" s="234" t="e">
        <f>astrogrep_path&amp;" /e /r /s /spath="&amp;search_path&amp;" /stypes=""app*"&amp;NMH28&amp;"*"&amp;TEXT(NMO28-utc_offset/24,"YYYYMMDD")&amp;"*"" /stext="" "&amp;TEXT(NMO28-utc_offset/24,"HH")&amp;search_regexp&amp;""""</f>
        <v>#REF!</v>
      </c>
      <c r="NNM28" s="234" t="e">
        <f>astrogrep_path&amp;" /e /r /s /spath="&amp;search_path&amp;" /stypes=""app*"&amp;NMI28&amp;"*"&amp;TEXT(NMP28-utc_offset/24,"YYYYMMDD")&amp;"*"" /stext="" "&amp;TEXT(NMP28-utc_offset/24,"HH")&amp;search_regexp&amp;""""</f>
        <v>#VALUE!</v>
      </c>
      <c r="NNN28" s="234" t="e">
        <f>astrogrep_path&amp;" /e /r /s /spath="&amp;search_path&amp;" /stypes=""app*"&amp;NMJ28&amp;"*"&amp;TEXT(NMQ28-utc_offset/24,"YYYYMMDD")&amp;"*"" /stext="" "&amp;TEXT(NMQ28-utc_offset/24,"HH")&amp;search_regexp&amp;""""</f>
        <v>#VALUE!</v>
      </c>
      <c r="NNO28" s="234" t="e">
        <f>astrogrep_path&amp;" /e /r /s /spath="&amp;search_path&amp;" /stypes=""app*"&amp;NMK28&amp;"*"&amp;TEXT(NMR28-utc_offset/24,"YYYYMMDD")&amp;"*"" /stext="" "&amp;TEXT(NMR28-utc_offset/24,"HH")&amp;search_regexp&amp;""""</f>
        <v>#REF!</v>
      </c>
      <c r="NNP28" s="234" t="e">
        <f>astrogrep_path&amp;" /e /r /s /spath="&amp;search_path&amp;" /stypes=""app*"&amp;NML28&amp;"*"&amp;TEXT(NMS28-utc_offset/24,"YYYYMMDD")&amp;"*"" /stext="" "&amp;TEXT(NMS28-utc_offset/24,"HH")&amp;search_regexp&amp;""""</f>
        <v>#REF!</v>
      </c>
      <c r="NNQ28" s="234" t="e">
        <f>astrogrep_path&amp;" /e /r /s /spath="&amp;search_path&amp;" /stypes=""app*"&amp;NMM28&amp;"*"&amp;TEXT(NMT28-utc_offset/24,"YYYYMMDD")&amp;"*"" /stext="" "&amp;TEXT(NMT28-utc_offset/24,"HH")&amp;search_regexp&amp;""""</f>
        <v>#VALUE!</v>
      </c>
      <c r="NNR28" s="234" t="e">
        <f>astrogrep_path&amp;" /e /r /s /spath="&amp;search_path&amp;" /stypes=""app*"&amp;NMN28&amp;"*"&amp;TEXT(NMU28-utc_offset/24,"YYYYMMDD")&amp;"*"" /stext="" "&amp;TEXT(NMU28-utc_offset/24,"HH")&amp;search_regexp&amp;""""</f>
        <v>#VALUE!</v>
      </c>
      <c r="NNS28" s="234" t="e">
        <f>astrogrep_path&amp;" /e /r /s /spath="&amp;search_path&amp;" /stypes=""app*"&amp;NMO28&amp;"*"&amp;TEXT(NMV28-utc_offset/24,"YYYYMMDD")&amp;"*"" /stext="" "&amp;TEXT(NMV28-utc_offset/24,"HH")&amp;search_regexp&amp;""""</f>
        <v>#VALUE!</v>
      </c>
      <c r="NNT28" s="234" t="e">
        <f>astrogrep_path&amp;" /e /r /s /spath="&amp;search_path&amp;" /stypes=""app*"&amp;NMP28&amp;"*"&amp;TEXT(NMW28-utc_offset/24,"YYYYMMDD")&amp;"*"" /stext="" "&amp;TEXT(NMW28-utc_offset/24,"HH")&amp;search_regexp&amp;""""</f>
        <v>#VALUE!</v>
      </c>
      <c r="NNU28" s="234" t="e">
        <f>astrogrep_path&amp;" /e /r /s /spath="&amp;search_path&amp;" /stypes=""app*"&amp;NMQ28&amp;"*"&amp;TEXT(NMX28-utc_offset/24,"YYYYMMDD")&amp;"*"" /stext="" "&amp;TEXT(NMX28-utc_offset/24,"HH")&amp;search_regexp&amp;""""</f>
        <v>#VALUE!</v>
      </c>
      <c r="NNV28" s="234" t="e">
        <f>astrogrep_path&amp;" /e /r /s /spath="&amp;search_path&amp;" /stypes=""app*"&amp;NMR28&amp;"*"&amp;TEXT(NMY28-utc_offset/24,"YYYYMMDD")&amp;"*"" /stext="" "&amp;TEXT(NMY28-utc_offset/24,"HH")&amp;search_regexp&amp;""""</f>
        <v>#REF!</v>
      </c>
      <c r="NNW28" s="234" t="e">
        <f>astrogrep_path&amp;" /e /r /s /spath="&amp;search_path&amp;" /stypes=""app*"&amp;NMS28&amp;"*"&amp;TEXT(NMZ28-utc_offset/24,"YYYYMMDD")&amp;"*"" /stext="" "&amp;TEXT(NMZ28-utc_offset/24,"HH")&amp;search_regexp&amp;""""</f>
        <v>#REF!</v>
      </c>
      <c r="NNX28" s="234" t="e">
        <f>astrogrep_path&amp;" /e /r /s /spath="&amp;search_path&amp;" /stypes=""app*"&amp;NMT28&amp;"*"&amp;TEXT(NNA28-utc_offset/24,"YYYYMMDD")&amp;"*"" /stext="" "&amp;TEXT(NNA28-utc_offset/24,"HH")&amp;search_regexp&amp;""""</f>
        <v>#REF!</v>
      </c>
      <c r="NNY28" s="234" t="e">
        <f>astrogrep_path&amp;" /e /r /s /spath="&amp;search_path&amp;" /stypes=""app*"&amp;NMU28&amp;"*"&amp;TEXT(NNB28-utc_offset/24,"YYYYMMDD")&amp;"*"" /stext="" "&amp;TEXT(NNB28-utc_offset/24,"HH")&amp;search_regexp&amp;""""</f>
        <v>#REF!</v>
      </c>
      <c r="NNZ28" s="234" t="e">
        <f>astrogrep_path&amp;" /e /r /s /spath="&amp;search_path&amp;" /stypes=""app*"&amp;NMV28&amp;"*"&amp;TEXT(NNC28-utc_offset/24,"YYYYMMDD")&amp;"*"" /stext="" "&amp;TEXT(NNC28-utc_offset/24,"HH")&amp;search_regexp&amp;""""</f>
        <v>#REF!</v>
      </c>
      <c r="NOA28" s="234" t="e">
        <f>astrogrep_path&amp;" /e /r /s /spath="&amp;search_path&amp;" /stypes=""app*"&amp;NMW28&amp;"*"&amp;TEXT(NND28-utc_offset/24,"YYYYMMDD")&amp;"*"" /stext="" "&amp;TEXT(NND28-utc_offset/24,"HH")&amp;search_regexp&amp;""""</f>
        <v>#REF!</v>
      </c>
      <c r="NOB28" s="234" t="e">
        <f>astrogrep_path&amp;" /e /r /s /spath="&amp;search_path&amp;" /stypes=""app*"&amp;NMX28&amp;"*"&amp;TEXT(NNE28-utc_offset/24,"YYYYMMDD")&amp;"*"" /stext="" "&amp;TEXT(NNE28-utc_offset/24,"HH")&amp;search_regexp&amp;""""</f>
        <v>#REF!</v>
      </c>
      <c r="NOC28" s="234" t="e">
        <f>astrogrep_path&amp;" /e /r /s /spath="&amp;search_path&amp;" /stypes=""app*"&amp;NMY28&amp;"*"&amp;TEXT(NNF28-utc_offset/24,"YYYYMMDD")&amp;"*"" /stext="" "&amp;TEXT(NNF28-utc_offset/24,"HH")&amp;search_regexp&amp;""""</f>
        <v>#REF!</v>
      </c>
      <c r="NOD28" s="234" t="e">
        <f>astrogrep_path&amp;" /e /r /s /spath="&amp;search_path&amp;" /stypes=""app*"&amp;NMZ28&amp;"*"&amp;TEXT(NNG28-utc_offset/24,"YYYYMMDD")&amp;"*"" /stext="" "&amp;TEXT(NNG28-utc_offset/24,"HH")&amp;search_regexp&amp;""""</f>
        <v>#REF!</v>
      </c>
      <c r="NOE28" s="234" t="e">
        <f>astrogrep_path&amp;" /e /r /s /spath="&amp;search_path&amp;" /stypes=""app*"&amp;NNA28&amp;"*"&amp;TEXT(NNH28-utc_offset/24,"YYYYMMDD")&amp;"*"" /stext="" "&amp;TEXT(NNH28-utc_offset/24,"HH")&amp;search_regexp&amp;""""</f>
        <v>#REF!</v>
      </c>
      <c r="NOF28" s="234" t="e">
        <f>astrogrep_path&amp;" /e /r /s /spath="&amp;search_path&amp;" /stypes=""app*"&amp;NNB28&amp;"*"&amp;TEXT(NNI28-utc_offset/24,"YYYYMMDD")&amp;"*"" /stext="" "&amp;TEXT(NNI28-utc_offset/24,"HH")&amp;search_regexp&amp;""""</f>
        <v>#REF!</v>
      </c>
      <c r="NOG28" s="234" t="e">
        <f>astrogrep_path&amp;" /e /r /s /spath="&amp;search_path&amp;" /stypes=""app*"&amp;NNC28&amp;"*"&amp;TEXT(NNJ28-utc_offset/24,"YYYYMMDD")&amp;"*"" /stext="" "&amp;TEXT(NNJ28-utc_offset/24,"HH")&amp;search_regexp&amp;""""</f>
        <v>#REF!</v>
      </c>
      <c r="NOH28" s="234" t="e">
        <f>astrogrep_path&amp;" /e /r /s /spath="&amp;search_path&amp;" /stypes=""app*"&amp;NND28&amp;"*"&amp;TEXT(NNK28-utc_offset/24,"YYYYMMDD")&amp;"*"" /stext="" "&amp;TEXT(NNK28-utc_offset/24,"HH")&amp;search_regexp&amp;""""</f>
        <v>#REF!</v>
      </c>
      <c r="NOI28" s="234" t="e">
        <f>astrogrep_path&amp;" /e /r /s /spath="&amp;search_path&amp;" /stypes=""app*"&amp;NNE28&amp;"*"&amp;TEXT(NNL28-utc_offset/24,"YYYYMMDD")&amp;"*"" /stext="" "&amp;TEXT(NNL28-utc_offset/24,"HH")&amp;search_regexp&amp;""""</f>
        <v>#REF!</v>
      </c>
      <c r="NOJ28" s="234" t="e">
        <f>astrogrep_path&amp;" /e /r /s /spath="&amp;search_path&amp;" /stypes=""app*"&amp;NNF28&amp;"*"&amp;TEXT(NNM28-utc_offset/24,"YYYYMMDD")&amp;"*"" /stext="" "&amp;TEXT(NNM28-utc_offset/24,"HH")&amp;search_regexp&amp;""""</f>
        <v>#REF!</v>
      </c>
      <c r="NOK28" s="234" t="e">
        <f>astrogrep_path&amp;" /e /r /s /spath="&amp;search_path&amp;" /stypes=""app*"&amp;NNG28&amp;"*"&amp;TEXT(NNN28-utc_offset/24,"YYYYMMDD")&amp;"*"" /stext="" "&amp;TEXT(NNN28-utc_offset/24,"HH")&amp;search_regexp&amp;""""</f>
        <v>#REF!</v>
      </c>
      <c r="NOL28" s="234" t="e">
        <f>astrogrep_path&amp;" /e /r /s /spath="&amp;search_path&amp;" /stypes=""app*"&amp;NNH28&amp;"*"&amp;TEXT(NNO28-utc_offset/24,"YYYYMMDD")&amp;"*"" /stext="" "&amp;TEXT(NNO28-utc_offset/24,"HH")&amp;search_regexp&amp;""""</f>
        <v>#REF!</v>
      </c>
      <c r="NOM28" s="234" t="e">
        <f>astrogrep_path&amp;" /e /r /s /spath="&amp;search_path&amp;" /stypes=""app*"&amp;NNI28&amp;"*"&amp;TEXT(NNP28-utc_offset/24,"YYYYMMDD")&amp;"*"" /stext="" "&amp;TEXT(NNP28-utc_offset/24,"HH")&amp;search_regexp&amp;""""</f>
        <v>#REF!</v>
      </c>
      <c r="NON28" s="234" t="e">
        <f>astrogrep_path&amp;" /e /r /s /spath="&amp;search_path&amp;" /stypes=""app*"&amp;NNJ28&amp;"*"&amp;TEXT(NNQ28-utc_offset/24,"YYYYMMDD")&amp;"*"" /stext="" "&amp;TEXT(NNQ28-utc_offset/24,"HH")&amp;search_regexp&amp;""""</f>
        <v>#REF!</v>
      </c>
      <c r="NOO28" s="234" t="e">
        <f>astrogrep_path&amp;" /e /r /s /spath="&amp;search_path&amp;" /stypes=""app*"&amp;NNK28&amp;"*"&amp;TEXT(NNR28-utc_offset/24,"YYYYMMDD")&amp;"*"" /stext="" "&amp;TEXT(NNR28-utc_offset/24,"HH")&amp;search_regexp&amp;""""</f>
        <v>#REF!</v>
      </c>
      <c r="NOP28" s="234" t="e">
        <f>astrogrep_path&amp;" /e /r /s /spath="&amp;search_path&amp;" /stypes=""app*"&amp;NNL28&amp;"*"&amp;TEXT(NNS28-utc_offset/24,"YYYYMMDD")&amp;"*"" /stext="" "&amp;TEXT(NNS28-utc_offset/24,"HH")&amp;search_regexp&amp;""""</f>
        <v>#REF!</v>
      </c>
      <c r="NOQ28" s="234" t="e">
        <f>astrogrep_path&amp;" /e /r /s /spath="&amp;search_path&amp;" /stypes=""app*"&amp;NNM28&amp;"*"&amp;TEXT(NNT28-utc_offset/24,"YYYYMMDD")&amp;"*"" /stext="" "&amp;TEXT(NNT28-utc_offset/24,"HH")&amp;search_regexp&amp;""""</f>
        <v>#VALUE!</v>
      </c>
      <c r="NOR28" s="234" t="e">
        <f>astrogrep_path&amp;" /e /r /s /spath="&amp;search_path&amp;" /stypes=""app*"&amp;NNN28&amp;"*"&amp;TEXT(NNU28-utc_offset/24,"YYYYMMDD")&amp;"*"" /stext="" "&amp;TEXT(NNU28-utc_offset/24,"HH")&amp;search_regexp&amp;""""</f>
        <v>#VALUE!</v>
      </c>
      <c r="NOS28" s="234" t="e">
        <f>astrogrep_path&amp;" /e /r /s /spath="&amp;search_path&amp;" /stypes=""app*"&amp;NNO28&amp;"*"&amp;TEXT(NNV28-utc_offset/24,"YYYYMMDD")&amp;"*"" /stext="" "&amp;TEXT(NNV28-utc_offset/24,"HH")&amp;search_regexp&amp;""""</f>
        <v>#REF!</v>
      </c>
      <c r="NOT28" s="234" t="e">
        <f>astrogrep_path&amp;" /e /r /s /spath="&amp;search_path&amp;" /stypes=""app*"&amp;NNP28&amp;"*"&amp;TEXT(NNW28-utc_offset/24,"YYYYMMDD")&amp;"*"" /stext="" "&amp;TEXT(NNW28-utc_offset/24,"HH")&amp;search_regexp&amp;""""</f>
        <v>#REF!</v>
      </c>
      <c r="NOU28" s="234" t="e">
        <f>astrogrep_path&amp;" /e /r /s /spath="&amp;search_path&amp;" /stypes=""app*"&amp;NNQ28&amp;"*"&amp;TEXT(NNX28-utc_offset/24,"YYYYMMDD")&amp;"*"" /stext="" "&amp;TEXT(NNX28-utc_offset/24,"HH")&amp;search_regexp&amp;""""</f>
        <v>#VALUE!</v>
      </c>
      <c r="NOV28" s="234" t="e">
        <f>astrogrep_path&amp;" /e /r /s /spath="&amp;search_path&amp;" /stypes=""app*"&amp;NNR28&amp;"*"&amp;TEXT(NNY28-utc_offset/24,"YYYYMMDD")&amp;"*"" /stext="" "&amp;TEXT(NNY28-utc_offset/24,"HH")&amp;search_regexp&amp;""""</f>
        <v>#VALUE!</v>
      </c>
      <c r="NOW28" s="234" t="e">
        <f>astrogrep_path&amp;" /e /r /s /spath="&amp;search_path&amp;" /stypes=""app*"&amp;NNS28&amp;"*"&amp;TEXT(NNZ28-utc_offset/24,"YYYYMMDD")&amp;"*"" /stext="" "&amp;TEXT(NNZ28-utc_offset/24,"HH")&amp;search_regexp&amp;""""</f>
        <v>#VALUE!</v>
      </c>
      <c r="NOX28" s="234" t="e">
        <f>astrogrep_path&amp;" /e /r /s /spath="&amp;search_path&amp;" /stypes=""app*"&amp;NNT28&amp;"*"&amp;TEXT(NOA28-utc_offset/24,"YYYYMMDD")&amp;"*"" /stext="" "&amp;TEXT(NOA28-utc_offset/24,"HH")&amp;search_regexp&amp;""""</f>
        <v>#VALUE!</v>
      </c>
      <c r="NOY28" s="234" t="e">
        <f>astrogrep_path&amp;" /e /r /s /spath="&amp;search_path&amp;" /stypes=""app*"&amp;NNU28&amp;"*"&amp;TEXT(NOB28-utc_offset/24,"YYYYMMDD")&amp;"*"" /stext="" "&amp;TEXT(NOB28-utc_offset/24,"HH")&amp;search_regexp&amp;""""</f>
        <v>#VALUE!</v>
      </c>
      <c r="NOZ28" s="234" t="e">
        <f>astrogrep_path&amp;" /e /r /s /spath="&amp;search_path&amp;" /stypes=""app*"&amp;NNV28&amp;"*"&amp;TEXT(NOC28-utc_offset/24,"YYYYMMDD")&amp;"*"" /stext="" "&amp;TEXT(NOC28-utc_offset/24,"HH")&amp;search_regexp&amp;""""</f>
        <v>#REF!</v>
      </c>
      <c r="NPA28" s="234" t="e">
        <f>astrogrep_path&amp;" /e /r /s /spath="&amp;search_path&amp;" /stypes=""app*"&amp;NNW28&amp;"*"&amp;TEXT(NOD28-utc_offset/24,"YYYYMMDD")&amp;"*"" /stext="" "&amp;TEXT(NOD28-utc_offset/24,"HH")&amp;search_regexp&amp;""""</f>
        <v>#REF!</v>
      </c>
      <c r="NPB28" s="234" t="e">
        <f>astrogrep_path&amp;" /e /r /s /spath="&amp;search_path&amp;" /stypes=""app*"&amp;NNX28&amp;"*"&amp;TEXT(NOE28-utc_offset/24,"YYYYMMDD")&amp;"*"" /stext="" "&amp;TEXT(NOE28-utc_offset/24,"HH")&amp;search_regexp&amp;""""</f>
        <v>#REF!</v>
      </c>
      <c r="NPC28" s="234" t="e">
        <f>astrogrep_path&amp;" /e /r /s /spath="&amp;search_path&amp;" /stypes=""app*"&amp;NNY28&amp;"*"&amp;TEXT(NOF28-utc_offset/24,"YYYYMMDD")&amp;"*"" /stext="" "&amp;TEXT(NOF28-utc_offset/24,"HH")&amp;search_regexp&amp;""""</f>
        <v>#REF!</v>
      </c>
      <c r="NPD28" s="234" t="e">
        <f>astrogrep_path&amp;" /e /r /s /spath="&amp;search_path&amp;" /stypes=""app*"&amp;NNZ28&amp;"*"&amp;TEXT(NOG28-utc_offset/24,"YYYYMMDD")&amp;"*"" /stext="" "&amp;TEXT(NOG28-utc_offset/24,"HH")&amp;search_regexp&amp;""""</f>
        <v>#REF!</v>
      </c>
      <c r="NPE28" s="234" t="e">
        <f>astrogrep_path&amp;" /e /r /s /spath="&amp;search_path&amp;" /stypes=""app*"&amp;NOA28&amp;"*"&amp;TEXT(NOH28-utc_offset/24,"YYYYMMDD")&amp;"*"" /stext="" "&amp;TEXT(NOH28-utc_offset/24,"HH")&amp;search_regexp&amp;""""</f>
        <v>#REF!</v>
      </c>
      <c r="NPF28" s="234" t="e">
        <f>astrogrep_path&amp;" /e /r /s /spath="&amp;search_path&amp;" /stypes=""app*"&amp;NOB28&amp;"*"&amp;TEXT(NOI28-utc_offset/24,"YYYYMMDD")&amp;"*"" /stext="" "&amp;TEXT(NOI28-utc_offset/24,"HH")&amp;search_regexp&amp;""""</f>
        <v>#REF!</v>
      </c>
      <c r="NPG28" s="234" t="e">
        <f>astrogrep_path&amp;" /e /r /s /spath="&amp;search_path&amp;" /stypes=""app*"&amp;NOC28&amp;"*"&amp;TEXT(NOJ28-utc_offset/24,"YYYYMMDD")&amp;"*"" /stext="" "&amp;TEXT(NOJ28-utc_offset/24,"HH")&amp;search_regexp&amp;""""</f>
        <v>#REF!</v>
      </c>
      <c r="NPH28" s="234" t="e">
        <f>astrogrep_path&amp;" /e /r /s /spath="&amp;search_path&amp;" /stypes=""app*"&amp;NOD28&amp;"*"&amp;TEXT(NOK28-utc_offset/24,"YYYYMMDD")&amp;"*"" /stext="" "&amp;TEXT(NOK28-utc_offset/24,"HH")&amp;search_regexp&amp;""""</f>
        <v>#REF!</v>
      </c>
      <c r="NPI28" s="234" t="e">
        <f>astrogrep_path&amp;" /e /r /s /spath="&amp;search_path&amp;" /stypes=""app*"&amp;NOE28&amp;"*"&amp;TEXT(NOL28-utc_offset/24,"YYYYMMDD")&amp;"*"" /stext="" "&amp;TEXT(NOL28-utc_offset/24,"HH")&amp;search_regexp&amp;""""</f>
        <v>#REF!</v>
      </c>
      <c r="NPJ28" s="234" t="e">
        <f>astrogrep_path&amp;" /e /r /s /spath="&amp;search_path&amp;" /stypes=""app*"&amp;NOF28&amp;"*"&amp;TEXT(NOM28-utc_offset/24,"YYYYMMDD")&amp;"*"" /stext="" "&amp;TEXT(NOM28-utc_offset/24,"HH")&amp;search_regexp&amp;""""</f>
        <v>#REF!</v>
      </c>
      <c r="NPK28" s="234" t="e">
        <f>astrogrep_path&amp;" /e /r /s /spath="&amp;search_path&amp;" /stypes=""app*"&amp;NOG28&amp;"*"&amp;TEXT(NON28-utc_offset/24,"YYYYMMDD")&amp;"*"" /stext="" "&amp;TEXT(NON28-utc_offset/24,"HH")&amp;search_regexp&amp;""""</f>
        <v>#REF!</v>
      </c>
      <c r="NPL28" s="234" t="e">
        <f>astrogrep_path&amp;" /e /r /s /spath="&amp;search_path&amp;" /stypes=""app*"&amp;NOH28&amp;"*"&amp;TEXT(NOO28-utc_offset/24,"YYYYMMDD")&amp;"*"" /stext="" "&amp;TEXT(NOO28-utc_offset/24,"HH")&amp;search_regexp&amp;""""</f>
        <v>#REF!</v>
      </c>
      <c r="NPM28" s="234" t="e">
        <f>astrogrep_path&amp;" /e /r /s /spath="&amp;search_path&amp;" /stypes=""app*"&amp;NOI28&amp;"*"&amp;TEXT(NOP28-utc_offset/24,"YYYYMMDD")&amp;"*"" /stext="" "&amp;TEXT(NOP28-utc_offset/24,"HH")&amp;search_regexp&amp;""""</f>
        <v>#REF!</v>
      </c>
      <c r="NPN28" s="234" t="e">
        <f>astrogrep_path&amp;" /e /r /s /spath="&amp;search_path&amp;" /stypes=""app*"&amp;NOJ28&amp;"*"&amp;TEXT(NOQ28-utc_offset/24,"YYYYMMDD")&amp;"*"" /stext="" "&amp;TEXT(NOQ28-utc_offset/24,"HH")&amp;search_regexp&amp;""""</f>
        <v>#REF!</v>
      </c>
      <c r="NPO28" s="234" t="e">
        <f>astrogrep_path&amp;" /e /r /s /spath="&amp;search_path&amp;" /stypes=""app*"&amp;NOK28&amp;"*"&amp;TEXT(NOR28-utc_offset/24,"YYYYMMDD")&amp;"*"" /stext="" "&amp;TEXT(NOR28-utc_offset/24,"HH")&amp;search_regexp&amp;""""</f>
        <v>#REF!</v>
      </c>
      <c r="NPP28" s="234" t="e">
        <f>astrogrep_path&amp;" /e /r /s /spath="&amp;search_path&amp;" /stypes=""app*"&amp;NOL28&amp;"*"&amp;TEXT(NOS28-utc_offset/24,"YYYYMMDD")&amp;"*"" /stext="" "&amp;TEXT(NOS28-utc_offset/24,"HH")&amp;search_regexp&amp;""""</f>
        <v>#REF!</v>
      </c>
      <c r="NPQ28" s="234" t="e">
        <f>astrogrep_path&amp;" /e /r /s /spath="&amp;search_path&amp;" /stypes=""app*"&amp;NOM28&amp;"*"&amp;TEXT(NOT28-utc_offset/24,"YYYYMMDD")&amp;"*"" /stext="" "&amp;TEXT(NOT28-utc_offset/24,"HH")&amp;search_regexp&amp;""""</f>
        <v>#REF!</v>
      </c>
      <c r="NPR28" s="234" t="e">
        <f>astrogrep_path&amp;" /e /r /s /spath="&amp;search_path&amp;" /stypes=""app*"&amp;NON28&amp;"*"&amp;TEXT(NOU28-utc_offset/24,"YYYYMMDD")&amp;"*"" /stext="" "&amp;TEXT(NOU28-utc_offset/24,"HH")&amp;search_regexp&amp;""""</f>
        <v>#REF!</v>
      </c>
      <c r="NPS28" s="234" t="e">
        <f>astrogrep_path&amp;" /e /r /s /spath="&amp;search_path&amp;" /stypes=""app*"&amp;NOO28&amp;"*"&amp;TEXT(NOV28-utc_offset/24,"YYYYMMDD")&amp;"*"" /stext="" "&amp;TEXT(NOV28-utc_offset/24,"HH")&amp;search_regexp&amp;""""</f>
        <v>#REF!</v>
      </c>
      <c r="NPT28" s="234" t="e">
        <f>astrogrep_path&amp;" /e /r /s /spath="&amp;search_path&amp;" /stypes=""app*"&amp;NOP28&amp;"*"&amp;TEXT(NOW28-utc_offset/24,"YYYYMMDD")&amp;"*"" /stext="" "&amp;TEXT(NOW28-utc_offset/24,"HH")&amp;search_regexp&amp;""""</f>
        <v>#REF!</v>
      </c>
      <c r="NPU28" s="234" t="e">
        <f>astrogrep_path&amp;" /e /r /s /spath="&amp;search_path&amp;" /stypes=""app*"&amp;NOQ28&amp;"*"&amp;TEXT(NOX28-utc_offset/24,"YYYYMMDD")&amp;"*"" /stext="" "&amp;TEXT(NOX28-utc_offset/24,"HH")&amp;search_regexp&amp;""""</f>
        <v>#VALUE!</v>
      </c>
      <c r="NPV28" s="234" t="e">
        <f>astrogrep_path&amp;" /e /r /s /spath="&amp;search_path&amp;" /stypes=""app*"&amp;NOR28&amp;"*"&amp;TEXT(NOY28-utc_offset/24,"YYYYMMDD")&amp;"*"" /stext="" "&amp;TEXT(NOY28-utc_offset/24,"HH")&amp;search_regexp&amp;""""</f>
        <v>#VALUE!</v>
      </c>
      <c r="NPW28" s="234" t="e">
        <f>astrogrep_path&amp;" /e /r /s /spath="&amp;search_path&amp;" /stypes=""app*"&amp;NOS28&amp;"*"&amp;TEXT(NOZ28-utc_offset/24,"YYYYMMDD")&amp;"*"" /stext="" "&amp;TEXT(NOZ28-utc_offset/24,"HH")&amp;search_regexp&amp;""""</f>
        <v>#REF!</v>
      </c>
      <c r="NPX28" s="234" t="e">
        <f>astrogrep_path&amp;" /e /r /s /spath="&amp;search_path&amp;" /stypes=""app*"&amp;NOT28&amp;"*"&amp;TEXT(NPA28-utc_offset/24,"YYYYMMDD")&amp;"*"" /stext="" "&amp;TEXT(NPA28-utc_offset/24,"HH")&amp;search_regexp&amp;""""</f>
        <v>#REF!</v>
      </c>
      <c r="NPY28" s="234" t="e">
        <f>astrogrep_path&amp;" /e /r /s /spath="&amp;search_path&amp;" /stypes=""app*"&amp;NOU28&amp;"*"&amp;TEXT(NPB28-utc_offset/24,"YYYYMMDD")&amp;"*"" /stext="" "&amp;TEXT(NPB28-utc_offset/24,"HH")&amp;search_regexp&amp;""""</f>
        <v>#VALUE!</v>
      </c>
      <c r="NPZ28" s="234" t="e">
        <f>astrogrep_path&amp;" /e /r /s /spath="&amp;search_path&amp;" /stypes=""app*"&amp;NOV28&amp;"*"&amp;TEXT(NPC28-utc_offset/24,"YYYYMMDD")&amp;"*"" /stext="" "&amp;TEXT(NPC28-utc_offset/24,"HH")&amp;search_regexp&amp;""""</f>
        <v>#VALUE!</v>
      </c>
      <c r="NQA28" s="234" t="e">
        <f>astrogrep_path&amp;" /e /r /s /spath="&amp;search_path&amp;" /stypes=""app*"&amp;NOW28&amp;"*"&amp;TEXT(NPD28-utc_offset/24,"YYYYMMDD")&amp;"*"" /stext="" "&amp;TEXT(NPD28-utc_offset/24,"HH")&amp;search_regexp&amp;""""</f>
        <v>#VALUE!</v>
      </c>
      <c r="NQB28" s="234" t="e">
        <f>astrogrep_path&amp;" /e /r /s /spath="&amp;search_path&amp;" /stypes=""app*"&amp;NOX28&amp;"*"&amp;TEXT(NPE28-utc_offset/24,"YYYYMMDD")&amp;"*"" /stext="" "&amp;TEXT(NPE28-utc_offset/24,"HH")&amp;search_regexp&amp;""""</f>
        <v>#VALUE!</v>
      </c>
      <c r="NQC28" s="234" t="e">
        <f>astrogrep_path&amp;" /e /r /s /spath="&amp;search_path&amp;" /stypes=""app*"&amp;NOY28&amp;"*"&amp;TEXT(NPF28-utc_offset/24,"YYYYMMDD")&amp;"*"" /stext="" "&amp;TEXT(NPF28-utc_offset/24,"HH")&amp;search_regexp&amp;""""</f>
        <v>#VALUE!</v>
      </c>
      <c r="NQD28" s="234" t="e">
        <f>astrogrep_path&amp;" /e /r /s /spath="&amp;search_path&amp;" /stypes=""app*"&amp;NOZ28&amp;"*"&amp;TEXT(NPG28-utc_offset/24,"YYYYMMDD")&amp;"*"" /stext="" "&amp;TEXT(NPG28-utc_offset/24,"HH")&amp;search_regexp&amp;""""</f>
        <v>#REF!</v>
      </c>
      <c r="NQE28" s="234" t="e">
        <f>astrogrep_path&amp;" /e /r /s /spath="&amp;search_path&amp;" /stypes=""app*"&amp;NPA28&amp;"*"&amp;TEXT(NPH28-utc_offset/24,"YYYYMMDD")&amp;"*"" /stext="" "&amp;TEXT(NPH28-utc_offset/24,"HH")&amp;search_regexp&amp;""""</f>
        <v>#REF!</v>
      </c>
      <c r="NQF28" s="234" t="e">
        <f>astrogrep_path&amp;" /e /r /s /spath="&amp;search_path&amp;" /stypes=""app*"&amp;NPB28&amp;"*"&amp;TEXT(NPI28-utc_offset/24,"YYYYMMDD")&amp;"*"" /stext="" "&amp;TEXT(NPI28-utc_offset/24,"HH")&amp;search_regexp&amp;""""</f>
        <v>#REF!</v>
      </c>
      <c r="NQG28" s="234" t="e">
        <f>astrogrep_path&amp;" /e /r /s /spath="&amp;search_path&amp;" /stypes=""app*"&amp;NPC28&amp;"*"&amp;TEXT(NPJ28-utc_offset/24,"YYYYMMDD")&amp;"*"" /stext="" "&amp;TEXT(NPJ28-utc_offset/24,"HH")&amp;search_regexp&amp;""""</f>
        <v>#REF!</v>
      </c>
      <c r="NQH28" s="234" t="e">
        <f>astrogrep_path&amp;" /e /r /s /spath="&amp;search_path&amp;" /stypes=""app*"&amp;NPD28&amp;"*"&amp;TEXT(NPK28-utc_offset/24,"YYYYMMDD")&amp;"*"" /stext="" "&amp;TEXT(NPK28-utc_offset/24,"HH")&amp;search_regexp&amp;""""</f>
        <v>#REF!</v>
      </c>
      <c r="NQI28" s="234" t="e">
        <f>astrogrep_path&amp;" /e /r /s /spath="&amp;search_path&amp;" /stypes=""app*"&amp;NPE28&amp;"*"&amp;TEXT(NPL28-utc_offset/24,"YYYYMMDD")&amp;"*"" /stext="" "&amp;TEXT(NPL28-utc_offset/24,"HH")&amp;search_regexp&amp;""""</f>
        <v>#REF!</v>
      </c>
      <c r="NQJ28" s="234" t="e">
        <f>astrogrep_path&amp;" /e /r /s /spath="&amp;search_path&amp;" /stypes=""app*"&amp;NPF28&amp;"*"&amp;TEXT(NPM28-utc_offset/24,"YYYYMMDD")&amp;"*"" /stext="" "&amp;TEXT(NPM28-utc_offset/24,"HH")&amp;search_regexp&amp;""""</f>
        <v>#REF!</v>
      </c>
      <c r="NQK28" s="234" t="e">
        <f>astrogrep_path&amp;" /e /r /s /spath="&amp;search_path&amp;" /stypes=""app*"&amp;NPG28&amp;"*"&amp;TEXT(NPN28-utc_offset/24,"YYYYMMDD")&amp;"*"" /stext="" "&amp;TEXT(NPN28-utc_offset/24,"HH")&amp;search_regexp&amp;""""</f>
        <v>#REF!</v>
      </c>
      <c r="NQL28" s="234" t="e">
        <f>astrogrep_path&amp;" /e /r /s /spath="&amp;search_path&amp;" /stypes=""app*"&amp;NPH28&amp;"*"&amp;TEXT(NPO28-utc_offset/24,"YYYYMMDD")&amp;"*"" /stext="" "&amp;TEXT(NPO28-utc_offset/24,"HH")&amp;search_regexp&amp;""""</f>
        <v>#REF!</v>
      </c>
      <c r="NQM28" s="234" t="e">
        <f>astrogrep_path&amp;" /e /r /s /spath="&amp;search_path&amp;" /stypes=""app*"&amp;NPI28&amp;"*"&amp;TEXT(NPP28-utc_offset/24,"YYYYMMDD")&amp;"*"" /stext="" "&amp;TEXT(NPP28-utc_offset/24,"HH")&amp;search_regexp&amp;""""</f>
        <v>#REF!</v>
      </c>
      <c r="NQN28" s="234" t="e">
        <f>astrogrep_path&amp;" /e /r /s /spath="&amp;search_path&amp;" /stypes=""app*"&amp;NPJ28&amp;"*"&amp;TEXT(NPQ28-utc_offset/24,"YYYYMMDD")&amp;"*"" /stext="" "&amp;TEXT(NPQ28-utc_offset/24,"HH")&amp;search_regexp&amp;""""</f>
        <v>#REF!</v>
      </c>
      <c r="NQO28" s="234" t="e">
        <f>astrogrep_path&amp;" /e /r /s /spath="&amp;search_path&amp;" /stypes=""app*"&amp;NPK28&amp;"*"&amp;TEXT(NPR28-utc_offset/24,"YYYYMMDD")&amp;"*"" /stext="" "&amp;TEXT(NPR28-utc_offset/24,"HH")&amp;search_regexp&amp;""""</f>
        <v>#REF!</v>
      </c>
      <c r="NQP28" s="234" t="e">
        <f>astrogrep_path&amp;" /e /r /s /spath="&amp;search_path&amp;" /stypes=""app*"&amp;NPL28&amp;"*"&amp;TEXT(NPS28-utc_offset/24,"YYYYMMDD")&amp;"*"" /stext="" "&amp;TEXT(NPS28-utc_offset/24,"HH")&amp;search_regexp&amp;""""</f>
        <v>#REF!</v>
      </c>
      <c r="NQQ28" s="234" t="e">
        <f>astrogrep_path&amp;" /e /r /s /spath="&amp;search_path&amp;" /stypes=""app*"&amp;NPM28&amp;"*"&amp;TEXT(NPT28-utc_offset/24,"YYYYMMDD")&amp;"*"" /stext="" "&amp;TEXT(NPT28-utc_offset/24,"HH")&amp;search_regexp&amp;""""</f>
        <v>#REF!</v>
      </c>
      <c r="NQR28" s="234" t="e">
        <f>astrogrep_path&amp;" /e /r /s /spath="&amp;search_path&amp;" /stypes=""app*"&amp;NPN28&amp;"*"&amp;TEXT(NPU28-utc_offset/24,"YYYYMMDD")&amp;"*"" /stext="" "&amp;TEXT(NPU28-utc_offset/24,"HH")&amp;search_regexp&amp;""""</f>
        <v>#REF!</v>
      </c>
      <c r="NQS28" s="234" t="e">
        <f>astrogrep_path&amp;" /e /r /s /spath="&amp;search_path&amp;" /stypes=""app*"&amp;NPO28&amp;"*"&amp;TEXT(NPV28-utc_offset/24,"YYYYMMDD")&amp;"*"" /stext="" "&amp;TEXT(NPV28-utc_offset/24,"HH")&amp;search_regexp&amp;""""</f>
        <v>#REF!</v>
      </c>
      <c r="NQT28" s="234" t="e">
        <f>astrogrep_path&amp;" /e /r /s /spath="&amp;search_path&amp;" /stypes=""app*"&amp;NPP28&amp;"*"&amp;TEXT(NPW28-utc_offset/24,"YYYYMMDD")&amp;"*"" /stext="" "&amp;TEXT(NPW28-utc_offset/24,"HH")&amp;search_regexp&amp;""""</f>
        <v>#REF!</v>
      </c>
      <c r="NQU28" s="234" t="e">
        <f>astrogrep_path&amp;" /e /r /s /spath="&amp;search_path&amp;" /stypes=""app*"&amp;NPQ28&amp;"*"&amp;TEXT(NPX28-utc_offset/24,"YYYYMMDD")&amp;"*"" /stext="" "&amp;TEXT(NPX28-utc_offset/24,"HH")&amp;search_regexp&amp;""""</f>
        <v>#REF!</v>
      </c>
      <c r="NQV28" s="234" t="e">
        <f>astrogrep_path&amp;" /e /r /s /spath="&amp;search_path&amp;" /stypes=""app*"&amp;NPR28&amp;"*"&amp;TEXT(NPY28-utc_offset/24,"YYYYMMDD")&amp;"*"" /stext="" "&amp;TEXT(NPY28-utc_offset/24,"HH")&amp;search_regexp&amp;""""</f>
        <v>#REF!</v>
      </c>
      <c r="NQW28" s="234" t="e">
        <f>astrogrep_path&amp;" /e /r /s /spath="&amp;search_path&amp;" /stypes=""app*"&amp;NPS28&amp;"*"&amp;TEXT(NPZ28-utc_offset/24,"YYYYMMDD")&amp;"*"" /stext="" "&amp;TEXT(NPZ28-utc_offset/24,"HH")&amp;search_regexp&amp;""""</f>
        <v>#REF!</v>
      </c>
      <c r="NQX28" s="234" t="e">
        <f>astrogrep_path&amp;" /e /r /s /spath="&amp;search_path&amp;" /stypes=""app*"&amp;NPT28&amp;"*"&amp;TEXT(NQA28-utc_offset/24,"YYYYMMDD")&amp;"*"" /stext="" "&amp;TEXT(NQA28-utc_offset/24,"HH")&amp;search_regexp&amp;""""</f>
        <v>#REF!</v>
      </c>
      <c r="NQY28" s="234" t="e">
        <f>astrogrep_path&amp;" /e /r /s /spath="&amp;search_path&amp;" /stypes=""app*"&amp;NPU28&amp;"*"&amp;TEXT(NQB28-utc_offset/24,"YYYYMMDD")&amp;"*"" /stext="" "&amp;TEXT(NQB28-utc_offset/24,"HH")&amp;search_regexp&amp;""""</f>
        <v>#VALUE!</v>
      </c>
      <c r="NQZ28" s="234" t="e">
        <f>astrogrep_path&amp;" /e /r /s /spath="&amp;search_path&amp;" /stypes=""app*"&amp;NPV28&amp;"*"&amp;TEXT(NQC28-utc_offset/24,"YYYYMMDD")&amp;"*"" /stext="" "&amp;TEXT(NQC28-utc_offset/24,"HH")&amp;search_regexp&amp;""""</f>
        <v>#VALUE!</v>
      </c>
      <c r="NRA28" s="234" t="e">
        <f>astrogrep_path&amp;" /e /r /s /spath="&amp;search_path&amp;" /stypes=""app*"&amp;NPW28&amp;"*"&amp;TEXT(NQD28-utc_offset/24,"YYYYMMDD")&amp;"*"" /stext="" "&amp;TEXT(NQD28-utc_offset/24,"HH")&amp;search_regexp&amp;""""</f>
        <v>#REF!</v>
      </c>
      <c r="NRB28" s="234" t="e">
        <f>astrogrep_path&amp;" /e /r /s /spath="&amp;search_path&amp;" /stypes=""app*"&amp;NPX28&amp;"*"&amp;TEXT(NQE28-utc_offset/24,"YYYYMMDD")&amp;"*"" /stext="" "&amp;TEXT(NQE28-utc_offset/24,"HH")&amp;search_regexp&amp;""""</f>
        <v>#REF!</v>
      </c>
      <c r="NRC28" s="234" t="e">
        <f>astrogrep_path&amp;" /e /r /s /spath="&amp;search_path&amp;" /stypes=""app*"&amp;NPY28&amp;"*"&amp;TEXT(NQF28-utc_offset/24,"YYYYMMDD")&amp;"*"" /stext="" "&amp;TEXT(NQF28-utc_offset/24,"HH")&amp;search_regexp&amp;""""</f>
        <v>#VALUE!</v>
      </c>
      <c r="NRD28" s="234" t="e">
        <f>astrogrep_path&amp;" /e /r /s /spath="&amp;search_path&amp;" /stypes=""app*"&amp;NPZ28&amp;"*"&amp;TEXT(NQG28-utc_offset/24,"YYYYMMDD")&amp;"*"" /stext="" "&amp;TEXT(NQG28-utc_offset/24,"HH")&amp;search_regexp&amp;""""</f>
        <v>#VALUE!</v>
      </c>
      <c r="NRE28" s="234" t="e">
        <f>astrogrep_path&amp;" /e /r /s /spath="&amp;search_path&amp;" /stypes=""app*"&amp;NQA28&amp;"*"&amp;TEXT(NQH28-utc_offset/24,"YYYYMMDD")&amp;"*"" /stext="" "&amp;TEXT(NQH28-utc_offset/24,"HH")&amp;search_regexp&amp;""""</f>
        <v>#VALUE!</v>
      </c>
      <c r="NRF28" s="234" t="e">
        <f>astrogrep_path&amp;" /e /r /s /spath="&amp;search_path&amp;" /stypes=""app*"&amp;NQB28&amp;"*"&amp;TEXT(NQI28-utc_offset/24,"YYYYMMDD")&amp;"*"" /stext="" "&amp;TEXT(NQI28-utc_offset/24,"HH")&amp;search_regexp&amp;""""</f>
        <v>#VALUE!</v>
      </c>
      <c r="NRG28" s="234" t="e">
        <f>astrogrep_path&amp;" /e /r /s /spath="&amp;search_path&amp;" /stypes=""app*"&amp;NQC28&amp;"*"&amp;TEXT(NQJ28-utc_offset/24,"YYYYMMDD")&amp;"*"" /stext="" "&amp;TEXT(NQJ28-utc_offset/24,"HH")&amp;search_regexp&amp;""""</f>
        <v>#VALUE!</v>
      </c>
      <c r="NRH28" s="234" t="e">
        <f>astrogrep_path&amp;" /e /r /s /spath="&amp;search_path&amp;" /stypes=""app*"&amp;NQD28&amp;"*"&amp;TEXT(NQK28-utc_offset/24,"YYYYMMDD")&amp;"*"" /stext="" "&amp;TEXT(NQK28-utc_offset/24,"HH")&amp;search_regexp&amp;""""</f>
        <v>#REF!</v>
      </c>
      <c r="NRI28" s="234" t="e">
        <f>astrogrep_path&amp;" /e /r /s /spath="&amp;search_path&amp;" /stypes=""app*"&amp;NQE28&amp;"*"&amp;TEXT(NQL28-utc_offset/24,"YYYYMMDD")&amp;"*"" /stext="" "&amp;TEXT(NQL28-utc_offset/24,"HH")&amp;search_regexp&amp;""""</f>
        <v>#REF!</v>
      </c>
      <c r="NRJ28" s="234" t="e">
        <f>astrogrep_path&amp;" /e /r /s /spath="&amp;search_path&amp;" /stypes=""app*"&amp;NQF28&amp;"*"&amp;TEXT(NQM28-utc_offset/24,"YYYYMMDD")&amp;"*"" /stext="" "&amp;TEXT(NQM28-utc_offset/24,"HH")&amp;search_regexp&amp;""""</f>
        <v>#REF!</v>
      </c>
      <c r="NRK28" s="234" t="e">
        <f>astrogrep_path&amp;" /e /r /s /spath="&amp;search_path&amp;" /stypes=""app*"&amp;NQG28&amp;"*"&amp;TEXT(NQN28-utc_offset/24,"YYYYMMDD")&amp;"*"" /stext="" "&amp;TEXT(NQN28-utc_offset/24,"HH")&amp;search_regexp&amp;""""</f>
        <v>#REF!</v>
      </c>
      <c r="NRL28" s="234" t="e">
        <f>astrogrep_path&amp;" /e /r /s /spath="&amp;search_path&amp;" /stypes=""app*"&amp;NQH28&amp;"*"&amp;TEXT(NQO28-utc_offset/24,"YYYYMMDD")&amp;"*"" /stext="" "&amp;TEXT(NQO28-utc_offset/24,"HH")&amp;search_regexp&amp;""""</f>
        <v>#REF!</v>
      </c>
      <c r="NRM28" s="234" t="e">
        <f>astrogrep_path&amp;" /e /r /s /spath="&amp;search_path&amp;" /stypes=""app*"&amp;NQI28&amp;"*"&amp;TEXT(NQP28-utc_offset/24,"YYYYMMDD")&amp;"*"" /stext="" "&amp;TEXT(NQP28-utc_offset/24,"HH")&amp;search_regexp&amp;""""</f>
        <v>#REF!</v>
      </c>
      <c r="NRN28" s="234" t="e">
        <f>astrogrep_path&amp;" /e /r /s /spath="&amp;search_path&amp;" /stypes=""app*"&amp;NQJ28&amp;"*"&amp;TEXT(NQQ28-utc_offset/24,"YYYYMMDD")&amp;"*"" /stext="" "&amp;TEXT(NQQ28-utc_offset/24,"HH")&amp;search_regexp&amp;""""</f>
        <v>#REF!</v>
      </c>
      <c r="NRO28" s="234" t="e">
        <f>astrogrep_path&amp;" /e /r /s /spath="&amp;search_path&amp;" /stypes=""app*"&amp;NQK28&amp;"*"&amp;TEXT(NQR28-utc_offset/24,"YYYYMMDD")&amp;"*"" /stext="" "&amp;TEXT(NQR28-utc_offset/24,"HH")&amp;search_regexp&amp;""""</f>
        <v>#REF!</v>
      </c>
      <c r="NRP28" s="234" t="e">
        <f>astrogrep_path&amp;" /e /r /s /spath="&amp;search_path&amp;" /stypes=""app*"&amp;NQL28&amp;"*"&amp;TEXT(NQS28-utc_offset/24,"YYYYMMDD")&amp;"*"" /stext="" "&amp;TEXT(NQS28-utc_offset/24,"HH")&amp;search_regexp&amp;""""</f>
        <v>#REF!</v>
      </c>
      <c r="NRQ28" s="234" t="e">
        <f>astrogrep_path&amp;" /e /r /s /spath="&amp;search_path&amp;" /stypes=""app*"&amp;NQM28&amp;"*"&amp;TEXT(NQT28-utc_offset/24,"YYYYMMDD")&amp;"*"" /stext="" "&amp;TEXT(NQT28-utc_offset/24,"HH")&amp;search_regexp&amp;""""</f>
        <v>#REF!</v>
      </c>
      <c r="NRR28" s="234" t="e">
        <f>astrogrep_path&amp;" /e /r /s /spath="&amp;search_path&amp;" /stypes=""app*"&amp;NQN28&amp;"*"&amp;TEXT(NQU28-utc_offset/24,"YYYYMMDD")&amp;"*"" /stext="" "&amp;TEXT(NQU28-utc_offset/24,"HH")&amp;search_regexp&amp;""""</f>
        <v>#REF!</v>
      </c>
      <c r="NRS28" s="234" t="e">
        <f>astrogrep_path&amp;" /e /r /s /spath="&amp;search_path&amp;" /stypes=""app*"&amp;NQO28&amp;"*"&amp;TEXT(NQV28-utc_offset/24,"YYYYMMDD")&amp;"*"" /stext="" "&amp;TEXT(NQV28-utc_offset/24,"HH")&amp;search_regexp&amp;""""</f>
        <v>#REF!</v>
      </c>
      <c r="NRT28" s="234" t="e">
        <f>astrogrep_path&amp;" /e /r /s /spath="&amp;search_path&amp;" /stypes=""app*"&amp;NQP28&amp;"*"&amp;TEXT(NQW28-utc_offset/24,"YYYYMMDD")&amp;"*"" /stext="" "&amp;TEXT(NQW28-utc_offset/24,"HH")&amp;search_regexp&amp;""""</f>
        <v>#REF!</v>
      </c>
      <c r="NRU28" s="234" t="e">
        <f>astrogrep_path&amp;" /e /r /s /spath="&amp;search_path&amp;" /stypes=""app*"&amp;NQQ28&amp;"*"&amp;TEXT(NQX28-utc_offset/24,"YYYYMMDD")&amp;"*"" /stext="" "&amp;TEXT(NQX28-utc_offset/24,"HH")&amp;search_regexp&amp;""""</f>
        <v>#REF!</v>
      </c>
      <c r="NRV28" s="234" t="e">
        <f>astrogrep_path&amp;" /e /r /s /spath="&amp;search_path&amp;" /stypes=""app*"&amp;NQR28&amp;"*"&amp;TEXT(NQY28-utc_offset/24,"YYYYMMDD")&amp;"*"" /stext="" "&amp;TEXT(NQY28-utc_offset/24,"HH")&amp;search_regexp&amp;""""</f>
        <v>#REF!</v>
      </c>
      <c r="NRW28" s="234" t="e">
        <f>astrogrep_path&amp;" /e /r /s /spath="&amp;search_path&amp;" /stypes=""app*"&amp;NQS28&amp;"*"&amp;TEXT(NQZ28-utc_offset/24,"YYYYMMDD")&amp;"*"" /stext="" "&amp;TEXT(NQZ28-utc_offset/24,"HH")&amp;search_regexp&amp;""""</f>
        <v>#REF!</v>
      </c>
      <c r="NRX28" s="234" t="e">
        <f>astrogrep_path&amp;" /e /r /s /spath="&amp;search_path&amp;" /stypes=""app*"&amp;NQT28&amp;"*"&amp;TEXT(NRA28-utc_offset/24,"YYYYMMDD")&amp;"*"" /stext="" "&amp;TEXT(NRA28-utc_offset/24,"HH")&amp;search_regexp&amp;""""</f>
        <v>#REF!</v>
      </c>
      <c r="NRY28" s="234" t="e">
        <f>astrogrep_path&amp;" /e /r /s /spath="&amp;search_path&amp;" /stypes=""app*"&amp;NQU28&amp;"*"&amp;TEXT(NRB28-utc_offset/24,"YYYYMMDD")&amp;"*"" /stext="" "&amp;TEXT(NRB28-utc_offset/24,"HH")&amp;search_regexp&amp;""""</f>
        <v>#REF!</v>
      </c>
      <c r="NRZ28" s="234" t="e">
        <f>astrogrep_path&amp;" /e /r /s /spath="&amp;search_path&amp;" /stypes=""app*"&amp;NQV28&amp;"*"&amp;TEXT(NRC28-utc_offset/24,"YYYYMMDD")&amp;"*"" /stext="" "&amp;TEXT(NRC28-utc_offset/24,"HH")&amp;search_regexp&amp;""""</f>
        <v>#REF!</v>
      </c>
      <c r="NSA28" s="234" t="e">
        <f>astrogrep_path&amp;" /e /r /s /spath="&amp;search_path&amp;" /stypes=""app*"&amp;NQW28&amp;"*"&amp;TEXT(NRD28-utc_offset/24,"YYYYMMDD")&amp;"*"" /stext="" "&amp;TEXT(NRD28-utc_offset/24,"HH")&amp;search_regexp&amp;""""</f>
        <v>#REF!</v>
      </c>
      <c r="NSB28" s="234" t="e">
        <f>astrogrep_path&amp;" /e /r /s /spath="&amp;search_path&amp;" /stypes=""app*"&amp;NQX28&amp;"*"&amp;TEXT(NRE28-utc_offset/24,"YYYYMMDD")&amp;"*"" /stext="" "&amp;TEXT(NRE28-utc_offset/24,"HH")&amp;search_regexp&amp;""""</f>
        <v>#REF!</v>
      </c>
      <c r="NSC28" s="234" t="e">
        <f>astrogrep_path&amp;" /e /r /s /spath="&amp;search_path&amp;" /stypes=""app*"&amp;NQY28&amp;"*"&amp;TEXT(NRF28-utc_offset/24,"YYYYMMDD")&amp;"*"" /stext="" "&amp;TEXT(NRF28-utc_offset/24,"HH")&amp;search_regexp&amp;""""</f>
        <v>#VALUE!</v>
      </c>
      <c r="NSD28" s="234" t="e">
        <f>astrogrep_path&amp;" /e /r /s /spath="&amp;search_path&amp;" /stypes=""app*"&amp;NQZ28&amp;"*"&amp;TEXT(NRG28-utc_offset/24,"YYYYMMDD")&amp;"*"" /stext="" "&amp;TEXT(NRG28-utc_offset/24,"HH")&amp;search_regexp&amp;""""</f>
        <v>#VALUE!</v>
      </c>
      <c r="NSE28" s="234" t="e">
        <f>astrogrep_path&amp;" /e /r /s /spath="&amp;search_path&amp;" /stypes=""app*"&amp;NRA28&amp;"*"&amp;TEXT(NRH28-utc_offset/24,"YYYYMMDD")&amp;"*"" /stext="" "&amp;TEXT(NRH28-utc_offset/24,"HH")&amp;search_regexp&amp;""""</f>
        <v>#REF!</v>
      </c>
      <c r="NSF28" s="234" t="e">
        <f>astrogrep_path&amp;" /e /r /s /spath="&amp;search_path&amp;" /stypes=""app*"&amp;NRB28&amp;"*"&amp;TEXT(NRI28-utc_offset/24,"YYYYMMDD")&amp;"*"" /stext="" "&amp;TEXT(NRI28-utc_offset/24,"HH")&amp;search_regexp&amp;""""</f>
        <v>#REF!</v>
      </c>
      <c r="NSG28" s="234" t="e">
        <f>astrogrep_path&amp;" /e /r /s /spath="&amp;search_path&amp;" /stypes=""app*"&amp;NRC28&amp;"*"&amp;TEXT(NRJ28-utc_offset/24,"YYYYMMDD")&amp;"*"" /stext="" "&amp;TEXT(NRJ28-utc_offset/24,"HH")&amp;search_regexp&amp;""""</f>
        <v>#VALUE!</v>
      </c>
      <c r="NSH28" s="234" t="e">
        <f>astrogrep_path&amp;" /e /r /s /spath="&amp;search_path&amp;" /stypes=""app*"&amp;NRD28&amp;"*"&amp;TEXT(NRK28-utc_offset/24,"YYYYMMDD")&amp;"*"" /stext="" "&amp;TEXT(NRK28-utc_offset/24,"HH")&amp;search_regexp&amp;""""</f>
        <v>#VALUE!</v>
      </c>
      <c r="NSI28" s="234" t="e">
        <f>astrogrep_path&amp;" /e /r /s /spath="&amp;search_path&amp;" /stypes=""app*"&amp;NRE28&amp;"*"&amp;TEXT(NRL28-utc_offset/24,"YYYYMMDD")&amp;"*"" /stext="" "&amp;TEXT(NRL28-utc_offset/24,"HH")&amp;search_regexp&amp;""""</f>
        <v>#VALUE!</v>
      </c>
      <c r="NSJ28" s="234" t="e">
        <f>astrogrep_path&amp;" /e /r /s /spath="&amp;search_path&amp;" /stypes=""app*"&amp;NRF28&amp;"*"&amp;TEXT(NRM28-utc_offset/24,"YYYYMMDD")&amp;"*"" /stext="" "&amp;TEXT(NRM28-utc_offset/24,"HH")&amp;search_regexp&amp;""""</f>
        <v>#VALUE!</v>
      </c>
      <c r="NSK28" s="234" t="e">
        <f>astrogrep_path&amp;" /e /r /s /spath="&amp;search_path&amp;" /stypes=""app*"&amp;NRG28&amp;"*"&amp;TEXT(NRN28-utc_offset/24,"YYYYMMDD")&amp;"*"" /stext="" "&amp;TEXT(NRN28-utc_offset/24,"HH")&amp;search_regexp&amp;""""</f>
        <v>#VALUE!</v>
      </c>
      <c r="NSL28" s="234" t="e">
        <f>astrogrep_path&amp;" /e /r /s /spath="&amp;search_path&amp;" /stypes=""app*"&amp;NRH28&amp;"*"&amp;TEXT(NRO28-utc_offset/24,"YYYYMMDD")&amp;"*"" /stext="" "&amp;TEXT(NRO28-utc_offset/24,"HH")&amp;search_regexp&amp;""""</f>
        <v>#REF!</v>
      </c>
      <c r="NSM28" s="234" t="e">
        <f>astrogrep_path&amp;" /e /r /s /spath="&amp;search_path&amp;" /stypes=""app*"&amp;NRI28&amp;"*"&amp;TEXT(NRP28-utc_offset/24,"YYYYMMDD")&amp;"*"" /stext="" "&amp;TEXT(NRP28-utc_offset/24,"HH")&amp;search_regexp&amp;""""</f>
        <v>#REF!</v>
      </c>
      <c r="NSN28" s="234" t="e">
        <f>astrogrep_path&amp;" /e /r /s /spath="&amp;search_path&amp;" /stypes=""app*"&amp;NRJ28&amp;"*"&amp;TEXT(NRQ28-utc_offset/24,"YYYYMMDD")&amp;"*"" /stext="" "&amp;TEXT(NRQ28-utc_offset/24,"HH")&amp;search_regexp&amp;""""</f>
        <v>#REF!</v>
      </c>
      <c r="NSO28" s="234" t="e">
        <f>astrogrep_path&amp;" /e /r /s /spath="&amp;search_path&amp;" /stypes=""app*"&amp;NRK28&amp;"*"&amp;TEXT(NRR28-utc_offset/24,"YYYYMMDD")&amp;"*"" /stext="" "&amp;TEXT(NRR28-utc_offset/24,"HH")&amp;search_regexp&amp;""""</f>
        <v>#REF!</v>
      </c>
      <c r="NSP28" s="234" t="e">
        <f>astrogrep_path&amp;" /e /r /s /spath="&amp;search_path&amp;" /stypes=""app*"&amp;NRL28&amp;"*"&amp;TEXT(NRS28-utc_offset/24,"YYYYMMDD")&amp;"*"" /stext="" "&amp;TEXT(NRS28-utc_offset/24,"HH")&amp;search_regexp&amp;""""</f>
        <v>#REF!</v>
      </c>
      <c r="NSQ28" s="234" t="e">
        <f>astrogrep_path&amp;" /e /r /s /spath="&amp;search_path&amp;" /stypes=""app*"&amp;NRM28&amp;"*"&amp;TEXT(NRT28-utc_offset/24,"YYYYMMDD")&amp;"*"" /stext="" "&amp;TEXT(NRT28-utc_offset/24,"HH")&amp;search_regexp&amp;""""</f>
        <v>#REF!</v>
      </c>
      <c r="NSR28" s="234" t="e">
        <f>astrogrep_path&amp;" /e /r /s /spath="&amp;search_path&amp;" /stypes=""app*"&amp;NRN28&amp;"*"&amp;TEXT(NRU28-utc_offset/24,"YYYYMMDD")&amp;"*"" /stext="" "&amp;TEXT(NRU28-utc_offset/24,"HH")&amp;search_regexp&amp;""""</f>
        <v>#REF!</v>
      </c>
      <c r="NSS28" s="234" t="e">
        <f>astrogrep_path&amp;" /e /r /s /spath="&amp;search_path&amp;" /stypes=""app*"&amp;NRO28&amp;"*"&amp;TEXT(NRV28-utc_offset/24,"YYYYMMDD")&amp;"*"" /stext="" "&amp;TEXT(NRV28-utc_offset/24,"HH")&amp;search_regexp&amp;""""</f>
        <v>#REF!</v>
      </c>
      <c r="NST28" s="234" t="e">
        <f>astrogrep_path&amp;" /e /r /s /spath="&amp;search_path&amp;" /stypes=""app*"&amp;NRP28&amp;"*"&amp;TEXT(NRW28-utc_offset/24,"YYYYMMDD")&amp;"*"" /stext="" "&amp;TEXT(NRW28-utc_offset/24,"HH")&amp;search_regexp&amp;""""</f>
        <v>#REF!</v>
      </c>
      <c r="NSU28" s="234" t="e">
        <f>astrogrep_path&amp;" /e /r /s /spath="&amp;search_path&amp;" /stypes=""app*"&amp;NRQ28&amp;"*"&amp;TEXT(NRX28-utc_offset/24,"YYYYMMDD")&amp;"*"" /stext="" "&amp;TEXT(NRX28-utc_offset/24,"HH")&amp;search_regexp&amp;""""</f>
        <v>#REF!</v>
      </c>
      <c r="NSV28" s="234" t="e">
        <f>astrogrep_path&amp;" /e /r /s /spath="&amp;search_path&amp;" /stypes=""app*"&amp;NRR28&amp;"*"&amp;TEXT(NRY28-utc_offset/24,"YYYYMMDD")&amp;"*"" /stext="" "&amp;TEXT(NRY28-utc_offset/24,"HH")&amp;search_regexp&amp;""""</f>
        <v>#REF!</v>
      </c>
      <c r="NSW28" s="234" t="e">
        <f>astrogrep_path&amp;" /e /r /s /spath="&amp;search_path&amp;" /stypes=""app*"&amp;NRS28&amp;"*"&amp;TEXT(NRZ28-utc_offset/24,"YYYYMMDD")&amp;"*"" /stext="" "&amp;TEXT(NRZ28-utc_offset/24,"HH")&amp;search_regexp&amp;""""</f>
        <v>#REF!</v>
      </c>
      <c r="NSX28" s="234" t="e">
        <f>astrogrep_path&amp;" /e /r /s /spath="&amp;search_path&amp;" /stypes=""app*"&amp;NRT28&amp;"*"&amp;TEXT(NSA28-utc_offset/24,"YYYYMMDD")&amp;"*"" /stext="" "&amp;TEXT(NSA28-utc_offset/24,"HH")&amp;search_regexp&amp;""""</f>
        <v>#REF!</v>
      </c>
      <c r="NSY28" s="234" t="e">
        <f>astrogrep_path&amp;" /e /r /s /spath="&amp;search_path&amp;" /stypes=""app*"&amp;NRU28&amp;"*"&amp;TEXT(NSB28-utc_offset/24,"YYYYMMDD")&amp;"*"" /stext="" "&amp;TEXT(NSB28-utc_offset/24,"HH")&amp;search_regexp&amp;""""</f>
        <v>#REF!</v>
      </c>
      <c r="NSZ28" s="234" t="e">
        <f>astrogrep_path&amp;" /e /r /s /spath="&amp;search_path&amp;" /stypes=""app*"&amp;NRV28&amp;"*"&amp;TEXT(NSC28-utc_offset/24,"YYYYMMDD")&amp;"*"" /stext="" "&amp;TEXT(NSC28-utc_offset/24,"HH")&amp;search_regexp&amp;""""</f>
        <v>#REF!</v>
      </c>
      <c r="NTA28" s="234" t="e">
        <f>astrogrep_path&amp;" /e /r /s /spath="&amp;search_path&amp;" /stypes=""app*"&amp;NRW28&amp;"*"&amp;TEXT(NSD28-utc_offset/24,"YYYYMMDD")&amp;"*"" /stext="" "&amp;TEXT(NSD28-utc_offset/24,"HH")&amp;search_regexp&amp;""""</f>
        <v>#REF!</v>
      </c>
      <c r="NTB28" s="234" t="e">
        <f>astrogrep_path&amp;" /e /r /s /spath="&amp;search_path&amp;" /stypes=""app*"&amp;NRX28&amp;"*"&amp;TEXT(NSE28-utc_offset/24,"YYYYMMDD")&amp;"*"" /stext="" "&amp;TEXT(NSE28-utc_offset/24,"HH")&amp;search_regexp&amp;""""</f>
        <v>#REF!</v>
      </c>
      <c r="NTC28" s="234" t="e">
        <f>astrogrep_path&amp;" /e /r /s /spath="&amp;search_path&amp;" /stypes=""app*"&amp;NRY28&amp;"*"&amp;TEXT(NSF28-utc_offset/24,"YYYYMMDD")&amp;"*"" /stext="" "&amp;TEXT(NSF28-utc_offset/24,"HH")&amp;search_regexp&amp;""""</f>
        <v>#REF!</v>
      </c>
      <c r="NTD28" s="234" t="e">
        <f>astrogrep_path&amp;" /e /r /s /spath="&amp;search_path&amp;" /stypes=""app*"&amp;NRZ28&amp;"*"&amp;TEXT(NSG28-utc_offset/24,"YYYYMMDD")&amp;"*"" /stext="" "&amp;TEXT(NSG28-utc_offset/24,"HH")&amp;search_regexp&amp;""""</f>
        <v>#REF!</v>
      </c>
      <c r="NTE28" s="234" t="e">
        <f>astrogrep_path&amp;" /e /r /s /spath="&amp;search_path&amp;" /stypes=""app*"&amp;NSA28&amp;"*"&amp;TEXT(NSH28-utc_offset/24,"YYYYMMDD")&amp;"*"" /stext="" "&amp;TEXT(NSH28-utc_offset/24,"HH")&amp;search_regexp&amp;""""</f>
        <v>#REF!</v>
      </c>
      <c r="NTF28" s="234" t="e">
        <f>astrogrep_path&amp;" /e /r /s /spath="&amp;search_path&amp;" /stypes=""app*"&amp;NSB28&amp;"*"&amp;TEXT(NSI28-utc_offset/24,"YYYYMMDD")&amp;"*"" /stext="" "&amp;TEXT(NSI28-utc_offset/24,"HH")&amp;search_regexp&amp;""""</f>
        <v>#REF!</v>
      </c>
      <c r="NTG28" s="234" t="e">
        <f>astrogrep_path&amp;" /e /r /s /spath="&amp;search_path&amp;" /stypes=""app*"&amp;NSC28&amp;"*"&amp;TEXT(NSJ28-utc_offset/24,"YYYYMMDD")&amp;"*"" /stext="" "&amp;TEXT(NSJ28-utc_offset/24,"HH")&amp;search_regexp&amp;""""</f>
        <v>#VALUE!</v>
      </c>
      <c r="NTH28" s="234" t="e">
        <f>astrogrep_path&amp;" /e /r /s /spath="&amp;search_path&amp;" /stypes=""app*"&amp;NSD28&amp;"*"&amp;TEXT(NSK28-utc_offset/24,"YYYYMMDD")&amp;"*"" /stext="" "&amp;TEXT(NSK28-utc_offset/24,"HH")&amp;search_regexp&amp;""""</f>
        <v>#VALUE!</v>
      </c>
      <c r="NTI28" s="234" t="e">
        <f>astrogrep_path&amp;" /e /r /s /spath="&amp;search_path&amp;" /stypes=""app*"&amp;NSE28&amp;"*"&amp;TEXT(NSL28-utc_offset/24,"YYYYMMDD")&amp;"*"" /stext="" "&amp;TEXT(NSL28-utc_offset/24,"HH")&amp;search_regexp&amp;""""</f>
        <v>#REF!</v>
      </c>
      <c r="NTJ28" s="234" t="e">
        <f>astrogrep_path&amp;" /e /r /s /spath="&amp;search_path&amp;" /stypes=""app*"&amp;NSF28&amp;"*"&amp;TEXT(NSM28-utc_offset/24,"YYYYMMDD")&amp;"*"" /stext="" "&amp;TEXT(NSM28-utc_offset/24,"HH")&amp;search_regexp&amp;""""</f>
        <v>#REF!</v>
      </c>
      <c r="NTK28" s="234" t="e">
        <f>astrogrep_path&amp;" /e /r /s /spath="&amp;search_path&amp;" /stypes=""app*"&amp;NSG28&amp;"*"&amp;TEXT(NSN28-utc_offset/24,"YYYYMMDD")&amp;"*"" /stext="" "&amp;TEXT(NSN28-utc_offset/24,"HH")&amp;search_regexp&amp;""""</f>
        <v>#VALUE!</v>
      </c>
      <c r="NTL28" s="234" t="e">
        <f>astrogrep_path&amp;" /e /r /s /spath="&amp;search_path&amp;" /stypes=""app*"&amp;NSH28&amp;"*"&amp;TEXT(NSO28-utc_offset/24,"YYYYMMDD")&amp;"*"" /stext="" "&amp;TEXT(NSO28-utc_offset/24,"HH")&amp;search_regexp&amp;""""</f>
        <v>#VALUE!</v>
      </c>
      <c r="NTM28" s="234" t="e">
        <f>astrogrep_path&amp;" /e /r /s /spath="&amp;search_path&amp;" /stypes=""app*"&amp;NSI28&amp;"*"&amp;TEXT(NSP28-utc_offset/24,"YYYYMMDD")&amp;"*"" /stext="" "&amp;TEXT(NSP28-utc_offset/24,"HH")&amp;search_regexp&amp;""""</f>
        <v>#VALUE!</v>
      </c>
      <c r="NTN28" s="234" t="e">
        <f>astrogrep_path&amp;" /e /r /s /spath="&amp;search_path&amp;" /stypes=""app*"&amp;NSJ28&amp;"*"&amp;TEXT(NSQ28-utc_offset/24,"YYYYMMDD")&amp;"*"" /stext="" "&amp;TEXT(NSQ28-utc_offset/24,"HH")&amp;search_regexp&amp;""""</f>
        <v>#VALUE!</v>
      </c>
      <c r="NTO28" s="234" t="e">
        <f>astrogrep_path&amp;" /e /r /s /spath="&amp;search_path&amp;" /stypes=""app*"&amp;NSK28&amp;"*"&amp;TEXT(NSR28-utc_offset/24,"YYYYMMDD")&amp;"*"" /stext="" "&amp;TEXT(NSR28-utc_offset/24,"HH")&amp;search_regexp&amp;""""</f>
        <v>#VALUE!</v>
      </c>
      <c r="NTP28" s="234" t="e">
        <f>astrogrep_path&amp;" /e /r /s /spath="&amp;search_path&amp;" /stypes=""app*"&amp;NSL28&amp;"*"&amp;TEXT(NSS28-utc_offset/24,"YYYYMMDD")&amp;"*"" /stext="" "&amp;TEXT(NSS28-utc_offset/24,"HH")&amp;search_regexp&amp;""""</f>
        <v>#REF!</v>
      </c>
      <c r="NTQ28" s="234" t="e">
        <f>astrogrep_path&amp;" /e /r /s /spath="&amp;search_path&amp;" /stypes=""app*"&amp;NSM28&amp;"*"&amp;TEXT(NST28-utc_offset/24,"YYYYMMDD")&amp;"*"" /stext="" "&amp;TEXT(NST28-utc_offset/24,"HH")&amp;search_regexp&amp;""""</f>
        <v>#REF!</v>
      </c>
      <c r="NTR28" s="234" t="e">
        <f>astrogrep_path&amp;" /e /r /s /spath="&amp;search_path&amp;" /stypes=""app*"&amp;NSN28&amp;"*"&amp;TEXT(NSU28-utc_offset/24,"YYYYMMDD")&amp;"*"" /stext="" "&amp;TEXT(NSU28-utc_offset/24,"HH")&amp;search_regexp&amp;""""</f>
        <v>#REF!</v>
      </c>
      <c r="NTS28" s="234" t="e">
        <f>astrogrep_path&amp;" /e /r /s /spath="&amp;search_path&amp;" /stypes=""app*"&amp;NSO28&amp;"*"&amp;TEXT(NSV28-utc_offset/24,"YYYYMMDD")&amp;"*"" /stext="" "&amp;TEXT(NSV28-utc_offset/24,"HH")&amp;search_regexp&amp;""""</f>
        <v>#REF!</v>
      </c>
      <c r="NTT28" s="234" t="e">
        <f>astrogrep_path&amp;" /e /r /s /spath="&amp;search_path&amp;" /stypes=""app*"&amp;NSP28&amp;"*"&amp;TEXT(NSW28-utc_offset/24,"YYYYMMDD")&amp;"*"" /stext="" "&amp;TEXT(NSW28-utc_offset/24,"HH")&amp;search_regexp&amp;""""</f>
        <v>#REF!</v>
      </c>
      <c r="NTU28" s="234" t="e">
        <f>astrogrep_path&amp;" /e /r /s /spath="&amp;search_path&amp;" /stypes=""app*"&amp;NSQ28&amp;"*"&amp;TEXT(NSX28-utc_offset/24,"YYYYMMDD")&amp;"*"" /stext="" "&amp;TEXT(NSX28-utc_offset/24,"HH")&amp;search_regexp&amp;""""</f>
        <v>#REF!</v>
      </c>
      <c r="NTV28" s="234" t="e">
        <f>astrogrep_path&amp;" /e /r /s /spath="&amp;search_path&amp;" /stypes=""app*"&amp;NSR28&amp;"*"&amp;TEXT(NSY28-utc_offset/24,"YYYYMMDD")&amp;"*"" /stext="" "&amp;TEXT(NSY28-utc_offset/24,"HH")&amp;search_regexp&amp;""""</f>
        <v>#REF!</v>
      </c>
      <c r="NTW28" s="234" t="e">
        <f>astrogrep_path&amp;" /e /r /s /spath="&amp;search_path&amp;" /stypes=""app*"&amp;NSS28&amp;"*"&amp;TEXT(NSZ28-utc_offset/24,"YYYYMMDD")&amp;"*"" /stext="" "&amp;TEXT(NSZ28-utc_offset/24,"HH")&amp;search_regexp&amp;""""</f>
        <v>#REF!</v>
      </c>
      <c r="NTX28" s="234" t="e">
        <f>astrogrep_path&amp;" /e /r /s /spath="&amp;search_path&amp;" /stypes=""app*"&amp;NST28&amp;"*"&amp;TEXT(NTA28-utc_offset/24,"YYYYMMDD")&amp;"*"" /stext="" "&amp;TEXT(NTA28-utc_offset/24,"HH")&amp;search_regexp&amp;""""</f>
        <v>#REF!</v>
      </c>
      <c r="NTY28" s="234" t="e">
        <f>astrogrep_path&amp;" /e /r /s /spath="&amp;search_path&amp;" /stypes=""app*"&amp;NSU28&amp;"*"&amp;TEXT(NTB28-utc_offset/24,"YYYYMMDD")&amp;"*"" /stext="" "&amp;TEXT(NTB28-utc_offset/24,"HH")&amp;search_regexp&amp;""""</f>
        <v>#REF!</v>
      </c>
      <c r="NTZ28" s="234" t="e">
        <f>astrogrep_path&amp;" /e /r /s /spath="&amp;search_path&amp;" /stypes=""app*"&amp;NSV28&amp;"*"&amp;TEXT(NTC28-utc_offset/24,"YYYYMMDD")&amp;"*"" /stext="" "&amp;TEXT(NTC28-utc_offset/24,"HH")&amp;search_regexp&amp;""""</f>
        <v>#REF!</v>
      </c>
      <c r="NUA28" s="234" t="e">
        <f>astrogrep_path&amp;" /e /r /s /spath="&amp;search_path&amp;" /stypes=""app*"&amp;NSW28&amp;"*"&amp;TEXT(NTD28-utc_offset/24,"YYYYMMDD")&amp;"*"" /stext="" "&amp;TEXT(NTD28-utc_offset/24,"HH")&amp;search_regexp&amp;""""</f>
        <v>#REF!</v>
      </c>
      <c r="NUB28" s="234" t="e">
        <f>astrogrep_path&amp;" /e /r /s /spath="&amp;search_path&amp;" /stypes=""app*"&amp;NSX28&amp;"*"&amp;TEXT(NTE28-utc_offset/24,"YYYYMMDD")&amp;"*"" /stext="" "&amp;TEXT(NTE28-utc_offset/24,"HH")&amp;search_regexp&amp;""""</f>
        <v>#REF!</v>
      </c>
      <c r="NUC28" s="234" t="e">
        <f>astrogrep_path&amp;" /e /r /s /spath="&amp;search_path&amp;" /stypes=""app*"&amp;NSY28&amp;"*"&amp;TEXT(NTF28-utc_offset/24,"YYYYMMDD")&amp;"*"" /stext="" "&amp;TEXT(NTF28-utc_offset/24,"HH")&amp;search_regexp&amp;""""</f>
        <v>#REF!</v>
      </c>
      <c r="NUD28" s="234" t="e">
        <f>astrogrep_path&amp;" /e /r /s /spath="&amp;search_path&amp;" /stypes=""app*"&amp;NSZ28&amp;"*"&amp;TEXT(NTG28-utc_offset/24,"YYYYMMDD")&amp;"*"" /stext="" "&amp;TEXT(NTG28-utc_offset/24,"HH")&amp;search_regexp&amp;""""</f>
        <v>#REF!</v>
      </c>
      <c r="NUE28" s="234" t="e">
        <f>astrogrep_path&amp;" /e /r /s /spath="&amp;search_path&amp;" /stypes=""app*"&amp;NTA28&amp;"*"&amp;TEXT(NTH28-utc_offset/24,"YYYYMMDD")&amp;"*"" /stext="" "&amp;TEXT(NTH28-utc_offset/24,"HH")&amp;search_regexp&amp;""""</f>
        <v>#REF!</v>
      </c>
      <c r="NUF28" s="234" t="e">
        <f>astrogrep_path&amp;" /e /r /s /spath="&amp;search_path&amp;" /stypes=""app*"&amp;NTB28&amp;"*"&amp;TEXT(NTI28-utc_offset/24,"YYYYMMDD")&amp;"*"" /stext="" "&amp;TEXT(NTI28-utc_offset/24,"HH")&amp;search_regexp&amp;""""</f>
        <v>#REF!</v>
      </c>
      <c r="NUG28" s="234" t="e">
        <f>astrogrep_path&amp;" /e /r /s /spath="&amp;search_path&amp;" /stypes=""app*"&amp;NTC28&amp;"*"&amp;TEXT(NTJ28-utc_offset/24,"YYYYMMDD")&amp;"*"" /stext="" "&amp;TEXT(NTJ28-utc_offset/24,"HH")&amp;search_regexp&amp;""""</f>
        <v>#REF!</v>
      </c>
      <c r="NUH28" s="234" t="e">
        <f>astrogrep_path&amp;" /e /r /s /spath="&amp;search_path&amp;" /stypes=""app*"&amp;NTD28&amp;"*"&amp;TEXT(NTK28-utc_offset/24,"YYYYMMDD")&amp;"*"" /stext="" "&amp;TEXT(NTK28-utc_offset/24,"HH")&amp;search_regexp&amp;""""</f>
        <v>#REF!</v>
      </c>
      <c r="NUI28" s="234" t="e">
        <f>astrogrep_path&amp;" /e /r /s /spath="&amp;search_path&amp;" /stypes=""app*"&amp;NTE28&amp;"*"&amp;TEXT(NTL28-utc_offset/24,"YYYYMMDD")&amp;"*"" /stext="" "&amp;TEXT(NTL28-utc_offset/24,"HH")&amp;search_regexp&amp;""""</f>
        <v>#REF!</v>
      </c>
      <c r="NUJ28" s="234" t="e">
        <f>astrogrep_path&amp;" /e /r /s /spath="&amp;search_path&amp;" /stypes=""app*"&amp;NTF28&amp;"*"&amp;TEXT(NTM28-utc_offset/24,"YYYYMMDD")&amp;"*"" /stext="" "&amp;TEXT(NTM28-utc_offset/24,"HH")&amp;search_regexp&amp;""""</f>
        <v>#REF!</v>
      </c>
      <c r="NUK28" s="234" t="e">
        <f>astrogrep_path&amp;" /e /r /s /spath="&amp;search_path&amp;" /stypes=""app*"&amp;NTG28&amp;"*"&amp;TEXT(NTN28-utc_offset/24,"YYYYMMDD")&amp;"*"" /stext="" "&amp;TEXT(NTN28-utc_offset/24,"HH")&amp;search_regexp&amp;""""</f>
        <v>#VALUE!</v>
      </c>
      <c r="NUL28" s="234" t="e">
        <f>astrogrep_path&amp;" /e /r /s /spath="&amp;search_path&amp;" /stypes=""app*"&amp;NTH28&amp;"*"&amp;TEXT(NTO28-utc_offset/24,"YYYYMMDD")&amp;"*"" /stext="" "&amp;TEXT(NTO28-utc_offset/24,"HH")&amp;search_regexp&amp;""""</f>
        <v>#VALUE!</v>
      </c>
      <c r="NUM28" s="234" t="e">
        <f>astrogrep_path&amp;" /e /r /s /spath="&amp;search_path&amp;" /stypes=""app*"&amp;NTI28&amp;"*"&amp;TEXT(NTP28-utc_offset/24,"YYYYMMDD")&amp;"*"" /stext="" "&amp;TEXT(NTP28-utc_offset/24,"HH")&amp;search_regexp&amp;""""</f>
        <v>#REF!</v>
      </c>
      <c r="NUN28" s="234" t="e">
        <f>astrogrep_path&amp;" /e /r /s /spath="&amp;search_path&amp;" /stypes=""app*"&amp;NTJ28&amp;"*"&amp;TEXT(NTQ28-utc_offset/24,"YYYYMMDD")&amp;"*"" /stext="" "&amp;TEXT(NTQ28-utc_offset/24,"HH")&amp;search_regexp&amp;""""</f>
        <v>#REF!</v>
      </c>
      <c r="NUO28" s="234" t="e">
        <f>astrogrep_path&amp;" /e /r /s /spath="&amp;search_path&amp;" /stypes=""app*"&amp;NTK28&amp;"*"&amp;TEXT(NTR28-utc_offset/24,"YYYYMMDD")&amp;"*"" /stext="" "&amp;TEXT(NTR28-utc_offset/24,"HH")&amp;search_regexp&amp;""""</f>
        <v>#VALUE!</v>
      </c>
      <c r="NUP28" s="234" t="e">
        <f>astrogrep_path&amp;" /e /r /s /spath="&amp;search_path&amp;" /stypes=""app*"&amp;NTL28&amp;"*"&amp;TEXT(NTS28-utc_offset/24,"YYYYMMDD")&amp;"*"" /stext="" "&amp;TEXT(NTS28-utc_offset/24,"HH")&amp;search_regexp&amp;""""</f>
        <v>#VALUE!</v>
      </c>
      <c r="NUQ28" s="234" t="e">
        <f>astrogrep_path&amp;" /e /r /s /spath="&amp;search_path&amp;" /stypes=""app*"&amp;NTM28&amp;"*"&amp;TEXT(NTT28-utc_offset/24,"YYYYMMDD")&amp;"*"" /stext="" "&amp;TEXT(NTT28-utc_offset/24,"HH")&amp;search_regexp&amp;""""</f>
        <v>#VALUE!</v>
      </c>
      <c r="NUR28" s="234" t="e">
        <f>astrogrep_path&amp;" /e /r /s /spath="&amp;search_path&amp;" /stypes=""app*"&amp;NTN28&amp;"*"&amp;TEXT(NTU28-utc_offset/24,"YYYYMMDD")&amp;"*"" /stext="" "&amp;TEXT(NTU28-utc_offset/24,"HH")&amp;search_regexp&amp;""""</f>
        <v>#VALUE!</v>
      </c>
      <c r="NUS28" s="234" t="e">
        <f>astrogrep_path&amp;" /e /r /s /spath="&amp;search_path&amp;" /stypes=""app*"&amp;NTO28&amp;"*"&amp;TEXT(NTV28-utc_offset/24,"YYYYMMDD")&amp;"*"" /stext="" "&amp;TEXT(NTV28-utc_offset/24,"HH")&amp;search_regexp&amp;""""</f>
        <v>#VALUE!</v>
      </c>
      <c r="NUT28" s="234" t="e">
        <f>astrogrep_path&amp;" /e /r /s /spath="&amp;search_path&amp;" /stypes=""app*"&amp;NTP28&amp;"*"&amp;TEXT(NTW28-utc_offset/24,"YYYYMMDD")&amp;"*"" /stext="" "&amp;TEXT(NTW28-utc_offset/24,"HH")&amp;search_regexp&amp;""""</f>
        <v>#REF!</v>
      </c>
      <c r="NUU28" s="234" t="e">
        <f>astrogrep_path&amp;" /e /r /s /spath="&amp;search_path&amp;" /stypes=""app*"&amp;NTQ28&amp;"*"&amp;TEXT(NTX28-utc_offset/24,"YYYYMMDD")&amp;"*"" /stext="" "&amp;TEXT(NTX28-utc_offset/24,"HH")&amp;search_regexp&amp;""""</f>
        <v>#REF!</v>
      </c>
      <c r="NUV28" s="234" t="e">
        <f>astrogrep_path&amp;" /e /r /s /spath="&amp;search_path&amp;" /stypes=""app*"&amp;NTR28&amp;"*"&amp;TEXT(NTY28-utc_offset/24,"YYYYMMDD")&amp;"*"" /stext="" "&amp;TEXT(NTY28-utc_offset/24,"HH")&amp;search_regexp&amp;""""</f>
        <v>#REF!</v>
      </c>
      <c r="NUW28" s="234" t="e">
        <f>astrogrep_path&amp;" /e /r /s /spath="&amp;search_path&amp;" /stypes=""app*"&amp;NTS28&amp;"*"&amp;TEXT(NTZ28-utc_offset/24,"YYYYMMDD")&amp;"*"" /stext="" "&amp;TEXT(NTZ28-utc_offset/24,"HH")&amp;search_regexp&amp;""""</f>
        <v>#REF!</v>
      </c>
      <c r="NUX28" s="234" t="e">
        <f>astrogrep_path&amp;" /e /r /s /spath="&amp;search_path&amp;" /stypes=""app*"&amp;NTT28&amp;"*"&amp;TEXT(NUA28-utc_offset/24,"YYYYMMDD")&amp;"*"" /stext="" "&amp;TEXT(NUA28-utc_offset/24,"HH")&amp;search_regexp&amp;""""</f>
        <v>#REF!</v>
      </c>
      <c r="NUY28" s="234" t="e">
        <f>astrogrep_path&amp;" /e /r /s /spath="&amp;search_path&amp;" /stypes=""app*"&amp;NTU28&amp;"*"&amp;TEXT(NUB28-utc_offset/24,"YYYYMMDD")&amp;"*"" /stext="" "&amp;TEXT(NUB28-utc_offset/24,"HH")&amp;search_regexp&amp;""""</f>
        <v>#REF!</v>
      </c>
      <c r="NUZ28" s="234" t="e">
        <f>astrogrep_path&amp;" /e /r /s /spath="&amp;search_path&amp;" /stypes=""app*"&amp;NTV28&amp;"*"&amp;TEXT(NUC28-utc_offset/24,"YYYYMMDD")&amp;"*"" /stext="" "&amp;TEXT(NUC28-utc_offset/24,"HH")&amp;search_regexp&amp;""""</f>
        <v>#REF!</v>
      </c>
      <c r="NVA28" s="234" t="e">
        <f>astrogrep_path&amp;" /e /r /s /spath="&amp;search_path&amp;" /stypes=""app*"&amp;NTW28&amp;"*"&amp;TEXT(NUD28-utc_offset/24,"YYYYMMDD")&amp;"*"" /stext="" "&amp;TEXT(NUD28-utc_offset/24,"HH")&amp;search_regexp&amp;""""</f>
        <v>#REF!</v>
      </c>
      <c r="NVB28" s="234" t="e">
        <f>astrogrep_path&amp;" /e /r /s /spath="&amp;search_path&amp;" /stypes=""app*"&amp;NTX28&amp;"*"&amp;TEXT(NUE28-utc_offset/24,"YYYYMMDD")&amp;"*"" /stext="" "&amp;TEXT(NUE28-utc_offset/24,"HH")&amp;search_regexp&amp;""""</f>
        <v>#REF!</v>
      </c>
      <c r="NVC28" s="234" t="e">
        <f>astrogrep_path&amp;" /e /r /s /spath="&amp;search_path&amp;" /stypes=""app*"&amp;NTY28&amp;"*"&amp;TEXT(NUF28-utc_offset/24,"YYYYMMDD")&amp;"*"" /stext="" "&amp;TEXT(NUF28-utc_offset/24,"HH")&amp;search_regexp&amp;""""</f>
        <v>#REF!</v>
      </c>
      <c r="NVD28" s="234" t="e">
        <f>astrogrep_path&amp;" /e /r /s /spath="&amp;search_path&amp;" /stypes=""app*"&amp;NTZ28&amp;"*"&amp;TEXT(NUG28-utc_offset/24,"YYYYMMDD")&amp;"*"" /stext="" "&amp;TEXT(NUG28-utc_offset/24,"HH")&amp;search_regexp&amp;""""</f>
        <v>#REF!</v>
      </c>
      <c r="NVE28" s="234" t="e">
        <f>astrogrep_path&amp;" /e /r /s /spath="&amp;search_path&amp;" /stypes=""app*"&amp;NUA28&amp;"*"&amp;TEXT(NUH28-utc_offset/24,"YYYYMMDD")&amp;"*"" /stext="" "&amp;TEXT(NUH28-utc_offset/24,"HH")&amp;search_regexp&amp;""""</f>
        <v>#REF!</v>
      </c>
      <c r="NVF28" s="234" t="e">
        <f>astrogrep_path&amp;" /e /r /s /spath="&amp;search_path&amp;" /stypes=""app*"&amp;NUB28&amp;"*"&amp;TEXT(NUI28-utc_offset/24,"YYYYMMDD")&amp;"*"" /stext="" "&amp;TEXT(NUI28-utc_offset/24,"HH")&amp;search_regexp&amp;""""</f>
        <v>#REF!</v>
      </c>
      <c r="NVG28" s="234" t="e">
        <f>astrogrep_path&amp;" /e /r /s /spath="&amp;search_path&amp;" /stypes=""app*"&amp;NUC28&amp;"*"&amp;TEXT(NUJ28-utc_offset/24,"YYYYMMDD")&amp;"*"" /stext="" "&amp;TEXT(NUJ28-utc_offset/24,"HH")&amp;search_regexp&amp;""""</f>
        <v>#REF!</v>
      </c>
      <c r="NVH28" s="234" t="e">
        <f>astrogrep_path&amp;" /e /r /s /spath="&amp;search_path&amp;" /stypes=""app*"&amp;NUD28&amp;"*"&amp;TEXT(NUK28-utc_offset/24,"YYYYMMDD")&amp;"*"" /stext="" "&amp;TEXT(NUK28-utc_offset/24,"HH")&amp;search_regexp&amp;""""</f>
        <v>#REF!</v>
      </c>
      <c r="NVI28" s="234" t="e">
        <f>astrogrep_path&amp;" /e /r /s /spath="&amp;search_path&amp;" /stypes=""app*"&amp;NUE28&amp;"*"&amp;TEXT(NUL28-utc_offset/24,"YYYYMMDD")&amp;"*"" /stext="" "&amp;TEXT(NUL28-utc_offset/24,"HH")&amp;search_regexp&amp;""""</f>
        <v>#REF!</v>
      </c>
      <c r="NVJ28" s="234" t="e">
        <f>astrogrep_path&amp;" /e /r /s /spath="&amp;search_path&amp;" /stypes=""app*"&amp;NUF28&amp;"*"&amp;TEXT(NUM28-utc_offset/24,"YYYYMMDD")&amp;"*"" /stext="" "&amp;TEXT(NUM28-utc_offset/24,"HH")&amp;search_regexp&amp;""""</f>
        <v>#REF!</v>
      </c>
      <c r="NVK28" s="234" t="e">
        <f>astrogrep_path&amp;" /e /r /s /spath="&amp;search_path&amp;" /stypes=""app*"&amp;NUG28&amp;"*"&amp;TEXT(NUN28-utc_offset/24,"YYYYMMDD")&amp;"*"" /stext="" "&amp;TEXT(NUN28-utc_offset/24,"HH")&amp;search_regexp&amp;""""</f>
        <v>#REF!</v>
      </c>
      <c r="NVL28" s="234" t="e">
        <f>astrogrep_path&amp;" /e /r /s /spath="&amp;search_path&amp;" /stypes=""app*"&amp;NUH28&amp;"*"&amp;TEXT(NUO28-utc_offset/24,"YYYYMMDD")&amp;"*"" /stext="" "&amp;TEXT(NUO28-utc_offset/24,"HH")&amp;search_regexp&amp;""""</f>
        <v>#REF!</v>
      </c>
      <c r="NVM28" s="234" t="e">
        <f>astrogrep_path&amp;" /e /r /s /spath="&amp;search_path&amp;" /stypes=""app*"&amp;NUI28&amp;"*"&amp;TEXT(NUP28-utc_offset/24,"YYYYMMDD")&amp;"*"" /stext="" "&amp;TEXT(NUP28-utc_offset/24,"HH")&amp;search_regexp&amp;""""</f>
        <v>#REF!</v>
      </c>
      <c r="NVN28" s="234" t="e">
        <f>astrogrep_path&amp;" /e /r /s /spath="&amp;search_path&amp;" /stypes=""app*"&amp;NUJ28&amp;"*"&amp;TEXT(NUQ28-utc_offset/24,"YYYYMMDD")&amp;"*"" /stext="" "&amp;TEXT(NUQ28-utc_offset/24,"HH")&amp;search_regexp&amp;""""</f>
        <v>#REF!</v>
      </c>
      <c r="NVO28" s="234" t="e">
        <f>astrogrep_path&amp;" /e /r /s /spath="&amp;search_path&amp;" /stypes=""app*"&amp;NUK28&amp;"*"&amp;TEXT(NUR28-utc_offset/24,"YYYYMMDD")&amp;"*"" /stext="" "&amp;TEXT(NUR28-utc_offset/24,"HH")&amp;search_regexp&amp;""""</f>
        <v>#VALUE!</v>
      </c>
      <c r="NVP28" s="234" t="e">
        <f>astrogrep_path&amp;" /e /r /s /spath="&amp;search_path&amp;" /stypes=""app*"&amp;NUL28&amp;"*"&amp;TEXT(NUS28-utc_offset/24,"YYYYMMDD")&amp;"*"" /stext="" "&amp;TEXT(NUS28-utc_offset/24,"HH")&amp;search_regexp&amp;""""</f>
        <v>#VALUE!</v>
      </c>
      <c r="NVQ28" s="234" t="e">
        <f>astrogrep_path&amp;" /e /r /s /spath="&amp;search_path&amp;" /stypes=""app*"&amp;NUM28&amp;"*"&amp;TEXT(NUT28-utc_offset/24,"YYYYMMDD")&amp;"*"" /stext="" "&amp;TEXT(NUT28-utc_offset/24,"HH")&amp;search_regexp&amp;""""</f>
        <v>#REF!</v>
      </c>
      <c r="NVR28" s="234" t="e">
        <f>astrogrep_path&amp;" /e /r /s /spath="&amp;search_path&amp;" /stypes=""app*"&amp;NUN28&amp;"*"&amp;TEXT(NUU28-utc_offset/24,"YYYYMMDD")&amp;"*"" /stext="" "&amp;TEXT(NUU28-utc_offset/24,"HH")&amp;search_regexp&amp;""""</f>
        <v>#REF!</v>
      </c>
      <c r="NVS28" s="234" t="e">
        <f>astrogrep_path&amp;" /e /r /s /spath="&amp;search_path&amp;" /stypes=""app*"&amp;NUO28&amp;"*"&amp;TEXT(NUV28-utc_offset/24,"YYYYMMDD")&amp;"*"" /stext="" "&amp;TEXT(NUV28-utc_offset/24,"HH")&amp;search_regexp&amp;""""</f>
        <v>#VALUE!</v>
      </c>
      <c r="NVT28" s="234" t="e">
        <f>astrogrep_path&amp;" /e /r /s /spath="&amp;search_path&amp;" /stypes=""app*"&amp;NUP28&amp;"*"&amp;TEXT(NUW28-utc_offset/24,"YYYYMMDD")&amp;"*"" /stext="" "&amp;TEXT(NUW28-utc_offset/24,"HH")&amp;search_regexp&amp;""""</f>
        <v>#VALUE!</v>
      </c>
      <c r="NVU28" s="234" t="e">
        <f>astrogrep_path&amp;" /e /r /s /spath="&amp;search_path&amp;" /stypes=""app*"&amp;NUQ28&amp;"*"&amp;TEXT(NUX28-utc_offset/24,"YYYYMMDD")&amp;"*"" /stext="" "&amp;TEXT(NUX28-utc_offset/24,"HH")&amp;search_regexp&amp;""""</f>
        <v>#VALUE!</v>
      </c>
      <c r="NVV28" s="234" t="e">
        <f>astrogrep_path&amp;" /e /r /s /spath="&amp;search_path&amp;" /stypes=""app*"&amp;NUR28&amp;"*"&amp;TEXT(NUY28-utc_offset/24,"YYYYMMDD")&amp;"*"" /stext="" "&amp;TEXT(NUY28-utc_offset/24,"HH")&amp;search_regexp&amp;""""</f>
        <v>#VALUE!</v>
      </c>
      <c r="NVW28" s="234" t="e">
        <f>astrogrep_path&amp;" /e /r /s /spath="&amp;search_path&amp;" /stypes=""app*"&amp;NUS28&amp;"*"&amp;TEXT(NUZ28-utc_offset/24,"YYYYMMDD")&amp;"*"" /stext="" "&amp;TEXT(NUZ28-utc_offset/24,"HH")&amp;search_regexp&amp;""""</f>
        <v>#VALUE!</v>
      </c>
      <c r="NVX28" s="234" t="e">
        <f>astrogrep_path&amp;" /e /r /s /spath="&amp;search_path&amp;" /stypes=""app*"&amp;NUT28&amp;"*"&amp;TEXT(NVA28-utc_offset/24,"YYYYMMDD")&amp;"*"" /stext="" "&amp;TEXT(NVA28-utc_offset/24,"HH")&amp;search_regexp&amp;""""</f>
        <v>#REF!</v>
      </c>
      <c r="NVY28" s="234" t="e">
        <f>astrogrep_path&amp;" /e /r /s /spath="&amp;search_path&amp;" /stypes=""app*"&amp;NUU28&amp;"*"&amp;TEXT(NVB28-utc_offset/24,"YYYYMMDD")&amp;"*"" /stext="" "&amp;TEXT(NVB28-utc_offset/24,"HH")&amp;search_regexp&amp;""""</f>
        <v>#REF!</v>
      </c>
      <c r="NVZ28" s="234" t="e">
        <f>astrogrep_path&amp;" /e /r /s /spath="&amp;search_path&amp;" /stypes=""app*"&amp;NUV28&amp;"*"&amp;TEXT(NVC28-utc_offset/24,"YYYYMMDD")&amp;"*"" /stext="" "&amp;TEXT(NVC28-utc_offset/24,"HH")&amp;search_regexp&amp;""""</f>
        <v>#REF!</v>
      </c>
      <c r="NWA28" s="234" t="e">
        <f>astrogrep_path&amp;" /e /r /s /spath="&amp;search_path&amp;" /stypes=""app*"&amp;NUW28&amp;"*"&amp;TEXT(NVD28-utc_offset/24,"YYYYMMDD")&amp;"*"" /stext="" "&amp;TEXT(NVD28-utc_offset/24,"HH")&amp;search_regexp&amp;""""</f>
        <v>#REF!</v>
      </c>
      <c r="NWB28" s="234" t="e">
        <f>astrogrep_path&amp;" /e /r /s /spath="&amp;search_path&amp;" /stypes=""app*"&amp;NUX28&amp;"*"&amp;TEXT(NVE28-utc_offset/24,"YYYYMMDD")&amp;"*"" /stext="" "&amp;TEXT(NVE28-utc_offset/24,"HH")&amp;search_regexp&amp;""""</f>
        <v>#REF!</v>
      </c>
      <c r="NWC28" s="234" t="e">
        <f>astrogrep_path&amp;" /e /r /s /spath="&amp;search_path&amp;" /stypes=""app*"&amp;NUY28&amp;"*"&amp;TEXT(NVF28-utc_offset/24,"YYYYMMDD")&amp;"*"" /stext="" "&amp;TEXT(NVF28-utc_offset/24,"HH")&amp;search_regexp&amp;""""</f>
        <v>#REF!</v>
      </c>
      <c r="NWD28" s="234" t="e">
        <f>astrogrep_path&amp;" /e /r /s /spath="&amp;search_path&amp;" /stypes=""app*"&amp;NUZ28&amp;"*"&amp;TEXT(NVG28-utc_offset/24,"YYYYMMDD")&amp;"*"" /stext="" "&amp;TEXT(NVG28-utc_offset/24,"HH")&amp;search_regexp&amp;""""</f>
        <v>#REF!</v>
      </c>
      <c r="NWE28" s="234" t="e">
        <f>astrogrep_path&amp;" /e /r /s /spath="&amp;search_path&amp;" /stypes=""app*"&amp;NVA28&amp;"*"&amp;TEXT(NVH28-utc_offset/24,"YYYYMMDD")&amp;"*"" /stext="" "&amp;TEXT(NVH28-utc_offset/24,"HH")&amp;search_regexp&amp;""""</f>
        <v>#REF!</v>
      </c>
      <c r="NWF28" s="234" t="e">
        <f>astrogrep_path&amp;" /e /r /s /spath="&amp;search_path&amp;" /stypes=""app*"&amp;NVB28&amp;"*"&amp;TEXT(NVI28-utc_offset/24,"YYYYMMDD")&amp;"*"" /stext="" "&amp;TEXT(NVI28-utc_offset/24,"HH")&amp;search_regexp&amp;""""</f>
        <v>#REF!</v>
      </c>
      <c r="NWG28" s="234" t="e">
        <f>astrogrep_path&amp;" /e /r /s /spath="&amp;search_path&amp;" /stypes=""app*"&amp;NVC28&amp;"*"&amp;TEXT(NVJ28-utc_offset/24,"YYYYMMDD")&amp;"*"" /stext="" "&amp;TEXT(NVJ28-utc_offset/24,"HH")&amp;search_regexp&amp;""""</f>
        <v>#REF!</v>
      </c>
      <c r="NWH28" s="234" t="e">
        <f>astrogrep_path&amp;" /e /r /s /spath="&amp;search_path&amp;" /stypes=""app*"&amp;NVD28&amp;"*"&amp;TEXT(NVK28-utc_offset/24,"YYYYMMDD")&amp;"*"" /stext="" "&amp;TEXT(NVK28-utc_offset/24,"HH")&amp;search_regexp&amp;""""</f>
        <v>#REF!</v>
      </c>
      <c r="NWI28" s="234" t="e">
        <f>astrogrep_path&amp;" /e /r /s /spath="&amp;search_path&amp;" /stypes=""app*"&amp;NVE28&amp;"*"&amp;TEXT(NVL28-utc_offset/24,"YYYYMMDD")&amp;"*"" /stext="" "&amp;TEXT(NVL28-utc_offset/24,"HH")&amp;search_regexp&amp;""""</f>
        <v>#REF!</v>
      </c>
      <c r="NWJ28" s="234" t="e">
        <f>astrogrep_path&amp;" /e /r /s /spath="&amp;search_path&amp;" /stypes=""app*"&amp;NVF28&amp;"*"&amp;TEXT(NVM28-utc_offset/24,"YYYYMMDD")&amp;"*"" /stext="" "&amp;TEXT(NVM28-utc_offset/24,"HH")&amp;search_regexp&amp;""""</f>
        <v>#REF!</v>
      </c>
      <c r="NWK28" s="234" t="e">
        <f>astrogrep_path&amp;" /e /r /s /spath="&amp;search_path&amp;" /stypes=""app*"&amp;NVG28&amp;"*"&amp;TEXT(NVN28-utc_offset/24,"YYYYMMDD")&amp;"*"" /stext="" "&amp;TEXT(NVN28-utc_offset/24,"HH")&amp;search_regexp&amp;""""</f>
        <v>#REF!</v>
      </c>
      <c r="NWL28" s="234" t="e">
        <f>astrogrep_path&amp;" /e /r /s /spath="&amp;search_path&amp;" /stypes=""app*"&amp;NVH28&amp;"*"&amp;TEXT(NVO28-utc_offset/24,"YYYYMMDD")&amp;"*"" /stext="" "&amp;TEXT(NVO28-utc_offset/24,"HH")&amp;search_regexp&amp;""""</f>
        <v>#REF!</v>
      </c>
      <c r="NWM28" s="234" t="e">
        <f>astrogrep_path&amp;" /e /r /s /spath="&amp;search_path&amp;" /stypes=""app*"&amp;NVI28&amp;"*"&amp;TEXT(NVP28-utc_offset/24,"YYYYMMDD")&amp;"*"" /stext="" "&amp;TEXT(NVP28-utc_offset/24,"HH")&amp;search_regexp&amp;""""</f>
        <v>#REF!</v>
      </c>
      <c r="NWN28" s="234" t="e">
        <f>astrogrep_path&amp;" /e /r /s /spath="&amp;search_path&amp;" /stypes=""app*"&amp;NVJ28&amp;"*"&amp;TEXT(NVQ28-utc_offset/24,"YYYYMMDD")&amp;"*"" /stext="" "&amp;TEXT(NVQ28-utc_offset/24,"HH")&amp;search_regexp&amp;""""</f>
        <v>#REF!</v>
      </c>
      <c r="NWO28" s="234" t="e">
        <f>astrogrep_path&amp;" /e /r /s /spath="&amp;search_path&amp;" /stypes=""app*"&amp;NVK28&amp;"*"&amp;TEXT(NVR28-utc_offset/24,"YYYYMMDD")&amp;"*"" /stext="" "&amp;TEXT(NVR28-utc_offset/24,"HH")&amp;search_regexp&amp;""""</f>
        <v>#REF!</v>
      </c>
      <c r="NWP28" s="234" t="e">
        <f>astrogrep_path&amp;" /e /r /s /spath="&amp;search_path&amp;" /stypes=""app*"&amp;NVL28&amp;"*"&amp;TEXT(NVS28-utc_offset/24,"YYYYMMDD")&amp;"*"" /stext="" "&amp;TEXT(NVS28-utc_offset/24,"HH")&amp;search_regexp&amp;""""</f>
        <v>#REF!</v>
      </c>
      <c r="NWQ28" s="234" t="e">
        <f>astrogrep_path&amp;" /e /r /s /spath="&amp;search_path&amp;" /stypes=""app*"&amp;NVM28&amp;"*"&amp;TEXT(NVT28-utc_offset/24,"YYYYMMDD")&amp;"*"" /stext="" "&amp;TEXT(NVT28-utc_offset/24,"HH")&amp;search_regexp&amp;""""</f>
        <v>#REF!</v>
      </c>
      <c r="NWR28" s="234" t="e">
        <f>astrogrep_path&amp;" /e /r /s /spath="&amp;search_path&amp;" /stypes=""app*"&amp;NVN28&amp;"*"&amp;TEXT(NVU28-utc_offset/24,"YYYYMMDD")&amp;"*"" /stext="" "&amp;TEXT(NVU28-utc_offset/24,"HH")&amp;search_regexp&amp;""""</f>
        <v>#REF!</v>
      </c>
      <c r="NWS28" s="234" t="e">
        <f>astrogrep_path&amp;" /e /r /s /spath="&amp;search_path&amp;" /stypes=""app*"&amp;NVO28&amp;"*"&amp;TEXT(NVV28-utc_offset/24,"YYYYMMDD")&amp;"*"" /stext="" "&amp;TEXT(NVV28-utc_offset/24,"HH")&amp;search_regexp&amp;""""</f>
        <v>#VALUE!</v>
      </c>
      <c r="NWT28" s="234" t="e">
        <f>astrogrep_path&amp;" /e /r /s /spath="&amp;search_path&amp;" /stypes=""app*"&amp;NVP28&amp;"*"&amp;TEXT(NVW28-utc_offset/24,"YYYYMMDD")&amp;"*"" /stext="" "&amp;TEXT(NVW28-utc_offset/24,"HH")&amp;search_regexp&amp;""""</f>
        <v>#VALUE!</v>
      </c>
      <c r="NWU28" s="234" t="e">
        <f>astrogrep_path&amp;" /e /r /s /spath="&amp;search_path&amp;" /stypes=""app*"&amp;NVQ28&amp;"*"&amp;TEXT(NVX28-utc_offset/24,"YYYYMMDD")&amp;"*"" /stext="" "&amp;TEXT(NVX28-utc_offset/24,"HH")&amp;search_regexp&amp;""""</f>
        <v>#REF!</v>
      </c>
      <c r="NWV28" s="234" t="e">
        <f>astrogrep_path&amp;" /e /r /s /spath="&amp;search_path&amp;" /stypes=""app*"&amp;NVR28&amp;"*"&amp;TEXT(NVY28-utc_offset/24,"YYYYMMDD")&amp;"*"" /stext="" "&amp;TEXT(NVY28-utc_offset/24,"HH")&amp;search_regexp&amp;""""</f>
        <v>#REF!</v>
      </c>
      <c r="NWW28" s="234" t="e">
        <f>astrogrep_path&amp;" /e /r /s /spath="&amp;search_path&amp;" /stypes=""app*"&amp;NVS28&amp;"*"&amp;TEXT(NVZ28-utc_offset/24,"YYYYMMDD")&amp;"*"" /stext="" "&amp;TEXT(NVZ28-utc_offset/24,"HH")&amp;search_regexp&amp;""""</f>
        <v>#VALUE!</v>
      </c>
      <c r="NWX28" s="234" t="e">
        <f>astrogrep_path&amp;" /e /r /s /spath="&amp;search_path&amp;" /stypes=""app*"&amp;NVT28&amp;"*"&amp;TEXT(NWA28-utc_offset/24,"YYYYMMDD")&amp;"*"" /stext="" "&amp;TEXT(NWA28-utc_offset/24,"HH")&amp;search_regexp&amp;""""</f>
        <v>#VALUE!</v>
      </c>
      <c r="NWY28" s="234" t="e">
        <f>astrogrep_path&amp;" /e /r /s /spath="&amp;search_path&amp;" /stypes=""app*"&amp;NVU28&amp;"*"&amp;TEXT(NWB28-utc_offset/24,"YYYYMMDD")&amp;"*"" /stext="" "&amp;TEXT(NWB28-utc_offset/24,"HH")&amp;search_regexp&amp;""""</f>
        <v>#VALUE!</v>
      </c>
      <c r="NWZ28" s="234" t="e">
        <f>astrogrep_path&amp;" /e /r /s /spath="&amp;search_path&amp;" /stypes=""app*"&amp;NVV28&amp;"*"&amp;TEXT(NWC28-utc_offset/24,"YYYYMMDD")&amp;"*"" /stext="" "&amp;TEXT(NWC28-utc_offset/24,"HH")&amp;search_regexp&amp;""""</f>
        <v>#VALUE!</v>
      </c>
      <c r="NXA28" s="234" t="e">
        <f>astrogrep_path&amp;" /e /r /s /spath="&amp;search_path&amp;" /stypes=""app*"&amp;NVW28&amp;"*"&amp;TEXT(NWD28-utc_offset/24,"YYYYMMDD")&amp;"*"" /stext="" "&amp;TEXT(NWD28-utc_offset/24,"HH")&amp;search_regexp&amp;""""</f>
        <v>#VALUE!</v>
      </c>
      <c r="NXB28" s="234" t="e">
        <f>astrogrep_path&amp;" /e /r /s /spath="&amp;search_path&amp;" /stypes=""app*"&amp;NVX28&amp;"*"&amp;TEXT(NWE28-utc_offset/24,"YYYYMMDD")&amp;"*"" /stext="" "&amp;TEXT(NWE28-utc_offset/24,"HH")&amp;search_regexp&amp;""""</f>
        <v>#REF!</v>
      </c>
      <c r="NXC28" s="234" t="e">
        <f>astrogrep_path&amp;" /e /r /s /spath="&amp;search_path&amp;" /stypes=""app*"&amp;NVY28&amp;"*"&amp;TEXT(NWF28-utc_offset/24,"YYYYMMDD")&amp;"*"" /stext="" "&amp;TEXT(NWF28-utc_offset/24,"HH")&amp;search_regexp&amp;""""</f>
        <v>#REF!</v>
      </c>
      <c r="NXD28" s="234" t="e">
        <f>astrogrep_path&amp;" /e /r /s /spath="&amp;search_path&amp;" /stypes=""app*"&amp;NVZ28&amp;"*"&amp;TEXT(NWG28-utc_offset/24,"YYYYMMDD")&amp;"*"" /stext="" "&amp;TEXT(NWG28-utc_offset/24,"HH")&amp;search_regexp&amp;""""</f>
        <v>#REF!</v>
      </c>
      <c r="NXE28" s="234" t="e">
        <f>astrogrep_path&amp;" /e /r /s /spath="&amp;search_path&amp;" /stypes=""app*"&amp;NWA28&amp;"*"&amp;TEXT(NWH28-utc_offset/24,"YYYYMMDD")&amp;"*"" /stext="" "&amp;TEXT(NWH28-utc_offset/24,"HH")&amp;search_regexp&amp;""""</f>
        <v>#REF!</v>
      </c>
      <c r="NXF28" s="234" t="e">
        <f>astrogrep_path&amp;" /e /r /s /spath="&amp;search_path&amp;" /stypes=""app*"&amp;NWB28&amp;"*"&amp;TEXT(NWI28-utc_offset/24,"YYYYMMDD")&amp;"*"" /stext="" "&amp;TEXT(NWI28-utc_offset/24,"HH")&amp;search_regexp&amp;""""</f>
        <v>#REF!</v>
      </c>
      <c r="NXG28" s="234" t="e">
        <f>astrogrep_path&amp;" /e /r /s /spath="&amp;search_path&amp;" /stypes=""app*"&amp;NWC28&amp;"*"&amp;TEXT(NWJ28-utc_offset/24,"YYYYMMDD")&amp;"*"" /stext="" "&amp;TEXT(NWJ28-utc_offset/24,"HH")&amp;search_regexp&amp;""""</f>
        <v>#REF!</v>
      </c>
      <c r="NXH28" s="234" t="e">
        <f>astrogrep_path&amp;" /e /r /s /spath="&amp;search_path&amp;" /stypes=""app*"&amp;NWD28&amp;"*"&amp;TEXT(NWK28-utc_offset/24,"YYYYMMDD")&amp;"*"" /stext="" "&amp;TEXT(NWK28-utc_offset/24,"HH")&amp;search_regexp&amp;""""</f>
        <v>#REF!</v>
      </c>
      <c r="NXI28" s="234" t="e">
        <f>astrogrep_path&amp;" /e /r /s /spath="&amp;search_path&amp;" /stypes=""app*"&amp;NWE28&amp;"*"&amp;TEXT(NWL28-utc_offset/24,"YYYYMMDD")&amp;"*"" /stext="" "&amp;TEXT(NWL28-utc_offset/24,"HH")&amp;search_regexp&amp;""""</f>
        <v>#REF!</v>
      </c>
      <c r="NXJ28" s="234" t="e">
        <f>astrogrep_path&amp;" /e /r /s /spath="&amp;search_path&amp;" /stypes=""app*"&amp;NWF28&amp;"*"&amp;TEXT(NWM28-utc_offset/24,"YYYYMMDD")&amp;"*"" /stext="" "&amp;TEXT(NWM28-utc_offset/24,"HH")&amp;search_regexp&amp;""""</f>
        <v>#REF!</v>
      </c>
      <c r="NXK28" s="234" t="e">
        <f>astrogrep_path&amp;" /e /r /s /spath="&amp;search_path&amp;" /stypes=""app*"&amp;NWG28&amp;"*"&amp;TEXT(NWN28-utc_offset/24,"YYYYMMDD")&amp;"*"" /stext="" "&amp;TEXT(NWN28-utc_offset/24,"HH")&amp;search_regexp&amp;""""</f>
        <v>#REF!</v>
      </c>
      <c r="NXL28" s="234" t="e">
        <f>astrogrep_path&amp;" /e /r /s /spath="&amp;search_path&amp;" /stypes=""app*"&amp;NWH28&amp;"*"&amp;TEXT(NWO28-utc_offset/24,"YYYYMMDD")&amp;"*"" /stext="" "&amp;TEXT(NWO28-utc_offset/24,"HH")&amp;search_regexp&amp;""""</f>
        <v>#REF!</v>
      </c>
      <c r="NXM28" s="234" t="e">
        <f>astrogrep_path&amp;" /e /r /s /spath="&amp;search_path&amp;" /stypes=""app*"&amp;NWI28&amp;"*"&amp;TEXT(NWP28-utc_offset/24,"YYYYMMDD")&amp;"*"" /stext="" "&amp;TEXT(NWP28-utc_offset/24,"HH")&amp;search_regexp&amp;""""</f>
        <v>#REF!</v>
      </c>
      <c r="NXN28" s="234" t="e">
        <f>astrogrep_path&amp;" /e /r /s /spath="&amp;search_path&amp;" /stypes=""app*"&amp;NWJ28&amp;"*"&amp;TEXT(NWQ28-utc_offset/24,"YYYYMMDD")&amp;"*"" /stext="" "&amp;TEXT(NWQ28-utc_offset/24,"HH")&amp;search_regexp&amp;""""</f>
        <v>#REF!</v>
      </c>
      <c r="NXO28" s="234" t="e">
        <f>astrogrep_path&amp;" /e /r /s /spath="&amp;search_path&amp;" /stypes=""app*"&amp;NWK28&amp;"*"&amp;TEXT(NWR28-utc_offset/24,"YYYYMMDD")&amp;"*"" /stext="" "&amp;TEXT(NWR28-utc_offset/24,"HH")&amp;search_regexp&amp;""""</f>
        <v>#REF!</v>
      </c>
      <c r="NXP28" s="234" t="e">
        <f>astrogrep_path&amp;" /e /r /s /spath="&amp;search_path&amp;" /stypes=""app*"&amp;NWL28&amp;"*"&amp;TEXT(NWS28-utc_offset/24,"YYYYMMDD")&amp;"*"" /stext="" "&amp;TEXT(NWS28-utc_offset/24,"HH")&amp;search_regexp&amp;""""</f>
        <v>#REF!</v>
      </c>
      <c r="NXQ28" s="234" t="e">
        <f>astrogrep_path&amp;" /e /r /s /spath="&amp;search_path&amp;" /stypes=""app*"&amp;NWM28&amp;"*"&amp;TEXT(NWT28-utc_offset/24,"YYYYMMDD")&amp;"*"" /stext="" "&amp;TEXT(NWT28-utc_offset/24,"HH")&amp;search_regexp&amp;""""</f>
        <v>#REF!</v>
      </c>
      <c r="NXR28" s="234" t="e">
        <f>astrogrep_path&amp;" /e /r /s /spath="&amp;search_path&amp;" /stypes=""app*"&amp;NWN28&amp;"*"&amp;TEXT(NWU28-utc_offset/24,"YYYYMMDD")&amp;"*"" /stext="" "&amp;TEXT(NWU28-utc_offset/24,"HH")&amp;search_regexp&amp;""""</f>
        <v>#REF!</v>
      </c>
      <c r="NXS28" s="234" t="e">
        <f>astrogrep_path&amp;" /e /r /s /spath="&amp;search_path&amp;" /stypes=""app*"&amp;NWO28&amp;"*"&amp;TEXT(NWV28-utc_offset/24,"YYYYMMDD")&amp;"*"" /stext="" "&amp;TEXT(NWV28-utc_offset/24,"HH")&amp;search_regexp&amp;""""</f>
        <v>#REF!</v>
      </c>
      <c r="NXT28" s="234" t="e">
        <f>astrogrep_path&amp;" /e /r /s /spath="&amp;search_path&amp;" /stypes=""app*"&amp;NWP28&amp;"*"&amp;TEXT(NWW28-utc_offset/24,"YYYYMMDD")&amp;"*"" /stext="" "&amp;TEXT(NWW28-utc_offset/24,"HH")&amp;search_regexp&amp;""""</f>
        <v>#REF!</v>
      </c>
      <c r="NXU28" s="234" t="e">
        <f>astrogrep_path&amp;" /e /r /s /spath="&amp;search_path&amp;" /stypes=""app*"&amp;NWQ28&amp;"*"&amp;TEXT(NWX28-utc_offset/24,"YYYYMMDD")&amp;"*"" /stext="" "&amp;TEXT(NWX28-utc_offset/24,"HH")&amp;search_regexp&amp;""""</f>
        <v>#REF!</v>
      </c>
      <c r="NXV28" s="234" t="e">
        <f>astrogrep_path&amp;" /e /r /s /spath="&amp;search_path&amp;" /stypes=""app*"&amp;NWR28&amp;"*"&amp;TEXT(NWY28-utc_offset/24,"YYYYMMDD")&amp;"*"" /stext="" "&amp;TEXT(NWY28-utc_offset/24,"HH")&amp;search_regexp&amp;""""</f>
        <v>#REF!</v>
      </c>
      <c r="NXW28" s="234" t="e">
        <f>astrogrep_path&amp;" /e /r /s /spath="&amp;search_path&amp;" /stypes=""app*"&amp;NWS28&amp;"*"&amp;TEXT(NWZ28-utc_offset/24,"YYYYMMDD")&amp;"*"" /stext="" "&amp;TEXT(NWZ28-utc_offset/24,"HH")&amp;search_regexp&amp;""""</f>
        <v>#VALUE!</v>
      </c>
      <c r="NXX28" s="234" t="e">
        <f>astrogrep_path&amp;" /e /r /s /spath="&amp;search_path&amp;" /stypes=""app*"&amp;NWT28&amp;"*"&amp;TEXT(NXA28-utc_offset/24,"YYYYMMDD")&amp;"*"" /stext="" "&amp;TEXT(NXA28-utc_offset/24,"HH")&amp;search_regexp&amp;""""</f>
        <v>#VALUE!</v>
      </c>
      <c r="NXY28" s="234" t="e">
        <f>astrogrep_path&amp;" /e /r /s /spath="&amp;search_path&amp;" /stypes=""app*"&amp;NWU28&amp;"*"&amp;TEXT(NXB28-utc_offset/24,"YYYYMMDD")&amp;"*"" /stext="" "&amp;TEXT(NXB28-utc_offset/24,"HH")&amp;search_regexp&amp;""""</f>
        <v>#REF!</v>
      </c>
      <c r="NXZ28" s="234" t="e">
        <f>astrogrep_path&amp;" /e /r /s /spath="&amp;search_path&amp;" /stypes=""app*"&amp;NWV28&amp;"*"&amp;TEXT(NXC28-utc_offset/24,"YYYYMMDD")&amp;"*"" /stext="" "&amp;TEXT(NXC28-utc_offset/24,"HH")&amp;search_regexp&amp;""""</f>
        <v>#REF!</v>
      </c>
      <c r="NYA28" s="234" t="e">
        <f>astrogrep_path&amp;" /e /r /s /spath="&amp;search_path&amp;" /stypes=""app*"&amp;NWW28&amp;"*"&amp;TEXT(NXD28-utc_offset/24,"YYYYMMDD")&amp;"*"" /stext="" "&amp;TEXT(NXD28-utc_offset/24,"HH")&amp;search_regexp&amp;""""</f>
        <v>#VALUE!</v>
      </c>
      <c r="NYB28" s="234" t="e">
        <f>astrogrep_path&amp;" /e /r /s /spath="&amp;search_path&amp;" /stypes=""app*"&amp;NWX28&amp;"*"&amp;TEXT(NXE28-utc_offset/24,"YYYYMMDD")&amp;"*"" /stext="" "&amp;TEXT(NXE28-utc_offset/24,"HH")&amp;search_regexp&amp;""""</f>
        <v>#VALUE!</v>
      </c>
      <c r="NYC28" s="234" t="e">
        <f>astrogrep_path&amp;" /e /r /s /spath="&amp;search_path&amp;" /stypes=""app*"&amp;NWY28&amp;"*"&amp;TEXT(NXF28-utc_offset/24,"YYYYMMDD")&amp;"*"" /stext="" "&amp;TEXT(NXF28-utc_offset/24,"HH")&amp;search_regexp&amp;""""</f>
        <v>#VALUE!</v>
      </c>
      <c r="NYD28" s="234" t="e">
        <f>astrogrep_path&amp;" /e /r /s /spath="&amp;search_path&amp;" /stypes=""app*"&amp;NWZ28&amp;"*"&amp;TEXT(NXG28-utc_offset/24,"YYYYMMDD")&amp;"*"" /stext="" "&amp;TEXT(NXG28-utc_offset/24,"HH")&amp;search_regexp&amp;""""</f>
        <v>#VALUE!</v>
      </c>
      <c r="NYE28" s="234" t="e">
        <f>astrogrep_path&amp;" /e /r /s /spath="&amp;search_path&amp;" /stypes=""app*"&amp;NXA28&amp;"*"&amp;TEXT(NXH28-utc_offset/24,"YYYYMMDD")&amp;"*"" /stext="" "&amp;TEXT(NXH28-utc_offset/24,"HH")&amp;search_regexp&amp;""""</f>
        <v>#VALUE!</v>
      </c>
      <c r="NYF28" s="234" t="e">
        <f>astrogrep_path&amp;" /e /r /s /spath="&amp;search_path&amp;" /stypes=""app*"&amp;NXB28&amp;"*"&amp;TEXT(NXI28-utc_offset/24,"YYYYMMDD")&amp;"*"" /stext="" "&amp;TEXT(NXI28-utc_offset/24,"HH")&amp;search_regexp&amp;""""</f>
        <v>#REF!</v>
      </c>
      <c r="NYG28" s="234" t="e">
        <f>astrogrep_path&amp;" /e /r /s /spath="&amp;search_path&amp;" /stypes=""app*"&amp;NXC28&amp;"*"&amp;TEXT(NXJ28-utc_offset/24,"YYYYMMDD")&amp;"*"" /stext="" "&amp;TEXT(NXJ28-utc_offset/24,"HH")&amp;search_regexp&amp;""""</f>
        <v>#REF!</v>
      </c>
      <c r="NYH28" s="234" t="e">
        <f>astrogrep_path&amp;" /e /r /s /spath="&amp;search_path&amp;" /stypes=""app*"&amp;NXD28&amp;"*"&amp;TEXT(NXK28-utc_offset/24,"YYYYMMDD")&amp;"*"" /stext="" "&amp;TEXT(NXK28-utc_offset/24,"HH")&amp;search_regexp&amp;""""</f>
        <v>#REF!</v>
      </c>
      <c r="NYI28" s="234" t="e">
        <f>astrogrep_path&amp;" /e /r /s /spath="&amp;search_path&amp;" /stypes=""app*"&amp;NXE28&amp;"*"&amp;TEXT(NXL28-utc_offset/24,"YYYYMMDD")&amp;"*"" /stext="" "&amp;TEXT(NXL28-utc_offset/24,"HH")&amp;search_regexp&amp;""""</f>
        <v>#REF!</v>
      </c>
      <c r="NYJ28" s="234" t="e">
        <f>astrogrep_path&amp;" /e /r /s /spath="&amp;search_path&amp;" /stypes=""app*"&amp;NXF28&amp;"*"&amp;TEXT(NXM28-utc_offset/24,"YYYYMMDD")&amp;"*"" /stext="" "&amp;TEXT(NXM28-utc_offset/24,"HH")&amp;search_regexp&amp;""""</f>
        <v>#REF!</v>
      </c>
      <c r="NYK28" s="234" t="e">
        <f>astrogrep_path&amp;" /e /r /s /spath="&amp;search_path&amp;" /stypes=""app*"&amp;NXG28&amp;"*"&amp;TEXT(NXN28-utc_offset/24,"YYYYMMDD")&amp;"*"" /stext="" "&amp;TEXT(NXN28-utc_offset/24,"HH")&amp;search_regexp&amp;""""</f>
        <v>#REF!</v>
      </c>
      <c r="NYL28" s="234" t="e">
        <f>astrogrep_path&amp;" /e /r /s /spath="&amp;search_path&amp;" /stypes=""app*"&amp;NXH28&amp;"*"&amp;TEXT(NXO28-utc_offset/24,"YYYYMMDD")&amp;"*"" /stext="" "&amp;TEXT(NXO28-utc_offset/24,"HH")&amp;search_regexp&amp;""""</f>
        <v>#REF!</v>
      </c>
      <c r="NYM28" s="234" t="e">
        <f>astrogrep_path&amp;" /e /r /s /spath="&amp;search_path&amp;" /stypes=""app*"&amp;NXI28&amp;"*"&amp;TEXT(NXP28-utc_offset/24,"YYYYMMDD")&amp;"*"" /stext="" "&amp;TEXT(NXP28-utc_offset/24,"HH")&amp;search_regexp&amp;""""</f>
        <v>#REF!</v>
      </c>
      <c r="NYN28" s="234" t="e">
        <f>astrogrep_path&amp;" /e /r /s /spath="&amp;search_path&amp;" /stypes=""app*"&amp;NXJ28&amp;"*"&amp;TEXT(NXQ28-utc_offset/24,"YYYYMMDD")&amp;"*"" /stext="" "&amp;TEXT(NXQ28-utc_offset/24,"HH")&amp;search_regexp&amp;""""</f>
        <v>#REF!</v>
      </c>
      <c r="NYO28" s="234" t="e">
        <f>astrogrep_path&amp;" /e /r /s /spath="&amp;search_path&amp;" /stypes=""app*"&amp;NXK28&amp;"*"&amp;TEXT(NXR28-utc_offset/24,"YYYYMMDD")&amp;"*"" /stext="" "&amp;TEXT(NXR28-utc_offset/24,"HH")&amp;search_regexp&amp;""""</f>
        <v>#REF!</v>
      </c>
      <c r="NYP28" s="234" t="e">
        <f>astrogrep_path&amp;" /e /r /s /spath="&amp;search_path&amp;" /stypes=""app*"&amp;NXL28&amp;"*"&amp;TEXT(NXS28-utc_offset/24,"YYYYMMDD")&amp;"*"" /stext="" "&amp;TEXT(NXS28-utc_offset/24,"HH")&amp;search_regexp&amp;""""</f>
        <v>#REF!</v>
      </c>
      <c r="NYQ28" s="234" t="e">
        <f>astrogrep_path&amp;" /e /r /s /spath="&amp;search_path&amp;" /stypes=""app*"&amp;NXM28&amp;"*"&amp;TEXT(NXT28-utc_offset/24,"YYYYMMDD")&amp;"*"" /stext="" "&amp;TEXT(NXT28-utc_offset/24,"HH")&amp;search_regexp&amp;""""</f>
        <v>#REF!</v>
      </c>
      <c r="NYR28" s="234" t="e">
        <f>astrogrep_path&amp;" /e /r /s /spath="&amp;search_path&amp;" /stypes=""app*"&amp;NXN28&amp;"*"&amp;TEXT(NXU28-utc_offset/24,"YYYYMMDD")&amp;"*"" /stext="" "&amp;TEXT(NXU28-utc_offset/24,"HH")&amp;search_regexp&amp;""""</f>
        <v>#REF!</v>
      </c>
      <c r="NYS28" s="234" t="e">
        <f>astrogrep_path&amp;" /e /r /s /spath="&amp;search_path&amp;" /stypes=""app*"&amp;NXO28&amp;"*"&amp;TEXT(NXV28-utc_offset/24,"YYYYMMDD")&amp;"*"" /stext="" "&amp;TEXT(NXV28-utc_offset/24,"HH")&amp;search_regexp&amp;""""</f>
        <v>#REF!</v>
      </c>
      <c r="NYT28" s="234" t="e">
        <f>astrogrep_path&amp;" /e /r /s /spath="&amp;search_path&amp;" /stypes=""app*"&amp;NXP28&amp;"*"&amp;TEXT(NXW28-utc_offset/24,"YYYYMMDD")&amp;"*"" /stext="" "&amp;TEXT(NXW28-utc_offset/24,"HH")&amp;search_regexp&amp;""""</f>
        <v>#REF!</v>
      </c>
      <c r="NYU28" s="234" t="e">
        <f>astrogrep_path&amp;" /e /r /s /spath="&amp;search_path&amp;" /stypes=""app*"&amp;NXQ28&amp;"*"&amp;TEXT(NXX28-utc_offset/24,"YYYYMMDD")&amp;"*"" /stext="" "&amp;TEXT(NXX28-utc_offset/24,"HH")&amp;search_regexp&amp;""""</f>
        <v>#REF!</v>
      </c>
      <c r="NYV28" s="234" t="e">
        <f>astrogrep_path&amp;" /e /r /s /spath="&amp;search_path&amp;" /stypes=""app*"&amp;NXR28&amp;"*"&amp;TEXT(NXY28-utc_offset/24,"YYYYMMDD")&amp;"*"" /stext="" "&amp;TEXT(NXY28-utc_offset/24,"HH")&amp;search_regexp&amp;""""</f>
        <v>#REF!</v>
      </c>
      <c r="NYW28" s="234" t="e">
        <f>astrogrep_path&amp;" /e /r /s /spath="&amp;search_path&amp;" /stypes=""app*"&amp;NXS28&amp;"*"&amp;TEXT(NXZ28-utc_offset/24,"YYYYMMDD")&amp;"*"" /stext="" "&amp;TEXT(NXZ28-utc_offset/24,"HH")&amp;search_regexp&amp;""""</f>
        <v>#REF!</v>
      </c>
      <c r="NYX28" s="234" t="e">
        <f>astrogrep_path&amp;" /e /r /s /spath="&amp;search_path&amp;" /stypes=""app*"&amp;NXT28&amp;"*"&amp;TEXT(NYA28-utc_offset/24,"YYYYMMDD")&amp;"*"" /stext="" "&amp;TEXT(NYA28-utc_offset/24,"HH")&amp;search_regexp&amp;""""</f>
        <v>#REF!</v>
      </c>
      <c r="NYY28" s="234" t="e">
        <f>astrogrep_path&amp;" /e /r /s /spath="&amp;search_path&amp;" /stypes=""app*"&amp;NXU28&amp;"*"&amp;TEXT(NYB28-utc_offset/24,"YYYYMMDD")&amp;"*"" /stext="" "&amp;TEXT(NYB28-utc_offset/24,"HH")&amp;search_regexp&amp;""""</f>
        <v>#REF!</v>
      </c>
      <c r="NYZ28" s="234" t="e">
        <f>astrogrep_path&amp;" /e /r /s /spath="&amp;search_path&amp;" /stypes=""app*"&amp;NXV28&amp;"*"&amp;TEXT(NYC28-utc_offset/24,"YYYYMMDD")&amp;"*"" /stext="" "&amp;TEXT(NYC28-utc_offset/24,"HH")&amp;search_regexp&amp;""""</f>
        <v>#REF!</v>
      </c>
      <c r="NZA28" s="234" t="e">
        <f>astrogrep_path&amp;" /e /r /s /spath="&amp;search_path&amp;" /stypes=""app*"&amp;NXW28&amp;"*"&amp;TEXT(NYD28-utc_offset/24,"YYYYMMDD")&amp;"*"" /stext="" "&amp;TEXT(NYD28-utc_offset/24,"HH")&amp;search_regexp&amp;""""</f>
        <v>#VALUE!</v>
      </c>
      <c r="NZB28" s="234" t="e">
        <f>astrogrep_path&amp;" /e /r /s /spath="&amp;search_path&amp;" /stypes=""app*"&amp;NXX28&amp;"*"&amp;TEXT(NYE28-utc_offset/24,"YYYYMMDD")&amp;"*"" /stext="" "&amp;TEXT(NYE28-utc_offset/24,"HH")&amp;search_regexp&amp;""""</f>
        <v>#VALUE!</v>
      </c>
      <c r="NZC28" s="234" t="e">
        <f>astrogrep_path&amp;" /e /r /s /spath="&amp;search_path&amp;" /stypes=""app*"&amp;NXY28&amp;"*"&amp;TEXT(NYF28-utc_offset/24,"YYYYMMDD")&amp;"*"" /stext="" "&amp;TEXT(NYF28-utc_offset/24,"HH")&amp;search_regexp&amp;""""</f>
        <v>#REF!</v>
      </c>
      <c r="NZD28" s="234" t="e">
        <f>astrogrep_path&amp;" /e /r /s /spath="&amp;search_path&amp;" /stypes=""app*"&amp;NXZ28&amp;"*"&amp;TEXT(NYG28-utc_offset/24,"YYYYMMDD")&amp;"*"" /stext="" "&amp;TEXT(NYG28-utc_offset/24,"HH")&amp;search_regexp&amp;""""</f>
        <v>#REF!</v>
      </c>
      <c r="NZE28" s="234" t="e">
        <f>astrogrep_path&amp;" /e /r /s /spath="&amp;search_path&amp;" /stypes=""app*"&amp;NYA28&amp;"*"&amp;TEXT(NYH28-utc_offset/24,"YYYYMMDD")&amp;"*"" /stext="" "&amp;TEXT(NYH28-utc_offset/24,"HH")&amp;search_regexp&amp;""""</f>
        <v>#VALUE!</v>
      </c>
      <c r="NZF28" s="234" t="e">
        <f>astrogrep_path&amp;" /e /r /s /spath="&amp;search_path&amp;" /stypes=""app*"&amp;NYB28&amp;"*"&amp;TEXT(NYI28-utc_offset/24,"YYYYMMDD")&amp;"*"" /stext="" "&amp;TEXT(NYI28-utc_offset/24,"HH")&amp;search_regexp&amp;""""</f>
        <v>#VALUE!</v>
      </c>
      <c r="NZG28" s="234" t="e">
        <f>astrogrep_path&amp;" /e /r /s /spath="&amp;search_path&amp;" /stypes=""app*"&amp;NYC28&amp;"*"&amp;TEXT(NYJ28-utc_offset/24,"YYYYMMDD")&amp;"*"" /stext="" "&amp;TEXT(NYJ28-utc_offset/24,"HH")&amp;search_regexp&amp;""""</f>
        <v>#VALUE!</v>
      </c>
      <c r="NZH28" s="234" t="e">
        <f>astrogrep_path&amp;" /e /r /s /spath="&amp;search_path&amp;" /stypes=""app*"&amp;NYD28&amp;"*"&amp;TEXT(NYK28-utc_offset/24,"YYYYMMDD")&amp;"*"" /stext="" "&amp;TEXT(NYK28-utc_offset/24,"HH")&amp;search_regexp&amp;""""</f>
        <v>#VALUE!</v>
      </c>
      <c r="NZI28" s="234" t="e">
        <f>astrogrep_path&amp;" /e /r /s /spath="&amp;search_path&amp;" /stypes=""app*"&amp;NYE28&amp;"*"&amp;TEXT(NYL28-utc_offset/24,"YYYYMMDD")&amp;"*"" /stext="" "&amp;TEXT(NYL28-utc_offset/24,"HH")&amp;search_regexp&amp;""""</f>
        <v>#VALUE!</v>
      </c>
      <c r="NZJ28" s="234" t="e">
        <f>astrogrep_path&amp;" /e /r /s /spath="&amp;search_path&amp;" /stypes=""app*"&amp;NYF28&amp;"*"&amp;TEXT(NYM28-utc_offset/24,"YYYYMMDD")&amp;"*"" /stext="" "&amp;TEXT(NYM28-utc_offset/24,"HH")&amp;search_regexp&amp;""""</f>
        <v>#REF!</v>
      </c>
      <c r="NZK28" s="234" t="e">
        <f>astrogrep_path&amp;" /e /r /s /spath="&amp;search_path&amp;" /stypes=""app*"&amp;NYG28&amp;"*"&amp;TEXT(NYN28-utc_offset/24,"YYYYMMDD")&amp;"*"" /stext="" "&amp;TEXT(NYN28-utc_offset/24,"HH")&amp;search_regexp&amp;""""</f>
        <v>#REF!</v>
      </c>
      <c r="NZL28" s="234" t="e">
        <f>astrogrep_path&amp;" /e /r /s /spath="&amp;search_path&amp;" /stypes=""app*"&amp;NYH28&amp;"*"&amp;TEXT(NYO28-utc_offset/24,"YYYYMMDD")&amp;"*"" /stext="" "&amp;TEXT(NYO28-utc_offset/24,"HH")&amp;search_regexp&amp;""""</f>
        <v>#REF!</v>
      </c>
      <c r="NZM28" s="234" t="e">
        <f>astrogrep_path&amp;" /e /r /s /spath="&amp;search_path&amp;" /stypes=""app*"&amp;NYI28&amp;"*"&amp;TEXT(NYP28-utc_offset/24,"YYYYMMDD")&amp;"*"" /stext="" "&amp;TEXT(NYP28-utc_offset/24,"HH")&amp;search_regexp&amp;""""</f>
        <v>#REF!</v>
      </c>
      <c r="NZN28" s="234" t="e">
        <f>astrogrep_path&amp;" /e /r /s /spath="&amp;search_path&amp;" /stypes=""app*"&amp;NYJ28&amp;"*"&amp;TEXT(NYQ28-utc_offset/24,"YYYYMMDD")&amp;"*"" /stext="" "&amp;TEXT(NYQ28-utc_offset/24,"HH")&amp;search_regexp&amp;""""</f>
        <v>#REF!</v>
      </c>
      <c r="NZO28" s="234" t="e">
        <f>astrogrep_path&amp;" /e /r /s /spath="&amp;search_path&amp;" /stypes=""app*"&amp;NYK28&amp;"*"&amp;TEXT(NYR28-utc_offset/24,"YYYYMMDD")&amp;"*"" /stext="" "&amp;TEXT(NYR28-utc_offset/24,"HH")&amp;search_regexp&amp;""""</f>
        <v>#REF!</v>
      </c>
      <c r="NZP28" s="234" t="e">
        <f>astrogrep_path&amp;" /e /r /s /spath="&amp;search_path&amp;" /stypes=""app*"&amp;NYL28&amp;"*"&amp;TEXT(NYS28-utc_offset/24,"YYYYMMDD")&amp;"*"" /stext="" "&amp;TEXT(NYS28-utc_offset/24,"HH")&amp;search_regexp&amp;""""</f>
        <v>#REF!</v>
      </c>
      <c r="NZQ28" s="234" t="e">
        <f>astrogrep_path&amp;" /e /r /s /spath="&amp;search_path&amp;" /stypes=""app*"&amp;NYM28&amp;"*"&amp;TEXT(NYT28-utc_offset/24,"YYYYMMDD")&amp;"*"" /stext="" "&amp;TEXT(NYT28-utc_offset/24,"HH")&amp;search_regexp&amp;""""</f>
        <v>#REF!</v>
      </c>
      <c r="NZR28" s="234" t="e">
        <f>astrogrep_path&amp;" /e /r /s /spath="&amp;search_path&amp;" /stypes=""app*"&amp;NYN28&amp;"*"&amp;TEXT(NYU28-utc_offset/24,"YYYYMMDD")&amp;"*"" /stext="" "&amp;TEXT(NYU28-utc_offset/24,"HH")&amp;search_regexp&amp;""""</f>
        <v>#REF!</v>
      </c>
      <c r="NZS28" s="234" t="e">
        <f>astrogrep_path&amp;" /e /r /s /spath="&amp;search_path&amp;" /stypes=""app*"&amp;NYO28&amp;"*"&amp;TEXT(NYV28-utc_offset/24,"YYYYMMDD")&amp;"*"" /stext="" "&amp;TEXT(NYV28-utc_offset/24,"HH")&amp;search_regexp&amp;""""</f>
        <v>#REF!</v>
      </c>
      <c r="NZT28" s="234" t="e">
        <f>astrogrep_path&amp;" /e /r /s /spath="&amp;search_path&amp;" /stypes=""app*"&amp;NYP28&amp;"*"&amp;TEXT(NYW28-utc_offset/24,"YYYYMMDD")&amp;"*"" /stext="" "&amp;TEXT(NYW28-utc_offset/24,"HH")&amp;search_regexp&amp;""""</f>
        <v>#REF!</v>
      </c>
      <c r="NZU28" s="234" t="e">
        <f>astrogrep_path&amp;" /e /r /s /spath="&amp;search_path&amp;" /stypes=""app*"&amp;NYQ28&amp;"*"&amp;TEXT(NYX28-utc_offset/24,"YYYYMMDD")&amp;"*"" /stext="" "&amp;TEXT(NYX28-utc_offset/24,"HH")&amp;search_regexp&amp;""""</f>
        <v>#REF!</v>
      </c>
      <c r="NZV28" s="234" t="e">
        <f>astrogrep_path&amp;" /e /r /s /spath="&amp;search_path&amp;" /stypes=""app*"&amp;NYR28&amp;"*"&amp;TEXT(NYY28-utc_offset/24,"YYYYMMDD")&amp;"*"" /stext="" "&amp;TEXT(NYY28-utc_offset/24,"HH")&amp;search_regexp&amp;""""</f>
        <v>#REF!</v>
      </c>
      <c r="NZW28" s="234" t="e">
        <f>astrogrep_path&amp;" /e /r /s /spath="&amp;search_path&amp;" /stypes=""app*"&amp;NYS28&amp;"*"&amp;TEXT(NYZ28-utc_offset/24,"YYYYMMDD")&amp;"*"" /stext="" "&amp;TEXT(NYZ28-utc_offset/24,"HH")&amp;search_regexp&amp;""""</f>
        <v>#REF!</v>
      </c>
      <c r="NZX28" s="234" t="e">
        <f>astrogrep_path&amp;" /e /r /s /spath="&amp;search_path&amp;" /stypes=""app*"&amp;NYT28&amp;"*"&amp;TEXT(NZA28-utc_offset/24,"YYYYMMDD")&amp;"*"" /stext="" "&amp;TEXT(NZA28-utc_offset/24,"HH")&amp;search_regexp&amp;""""</f>
        <v>#REF!</v>
      </c>
      <c r="NZY28" s="234" t="e">
        <f>astrogrep_path&amp;" /e /r /s /spath="&amp;search_path&amp;" /stypes=""app*"&amp;NYU28&amp;"*"&amp;TEXT(NZB28-utc_offset/24,"YYYYMMDD")&amp;"*"" /stext="" "&amp;TEXT(NZB28-utc_offset/24,"HH")&amp;search_regexp&amp;""""</f>
        <v>#REF!</v>
      </c>
      <c r="NZZ28" s="234" t="e">
        <f>astrogrep_path&amp;" /e /r /s /spath="&amp;search_path&amp;" /stypes=""app*"&amp;NYV28&amp;"*"&amp;TEXT(NZC28-utc_offset/24,"YYYYMMDD")&amp;"*"" /stext="" "&amp;TEXT(NZC28-utc_offset/24,"HH")&amp;search_regexp&amp;""""</f>
        <v>#REF!</v>
      </c>
      <c r="OAA28" s="234" t="e">
        <f>astrogrep_path&amp;" /e /r /s /spath="&amp;search_path&amp;" /stypes=""app*"&amp;NYW28&amp;"*"&amp;TEXT(NZD28-utc_offset/24,"YYYYMMDD")&amp;"*"" /stext="" "&amp;TEXT(NZD28-utc_offset/24,"HH")&amp;search_regexp&amp;""""</f>
        <v>#REF!</v>
      </c>
      <c r="OAB28" s="234" t="e">
        <f>astrogrep_path&amp;" /e /r /s /spath="&amp;search_path&amp;" /stypes=""app*"&amp;NYX28&amp;"*"&amp;TEXT(NZE28-utc_offset/24,"YYYYMMDD")&amp;"*"" /stext="" "&amp;TEXT(NZE28-utc_offset/24,"HH")&amp;search_regexp&amp;""""</f>
        <v>#REF!</v>
      </c>
      <c r="OAC28" s="234" t="e">
        <f>astrogrep_path&amp;" /e /r /s /spath="&amp;search_path&amp;" /stypes=""app*"&amp;NYY28&amp;"*"&amp;TEXT(NZF28-utc_offset/24,"YYYYMMDD")&amp;"*"" /stext="" "&amp;TEXT(NZF28-utc_offset/24,"HH")&amp;search_regexp&amp;""""</f>
        <v>#REF!</v>
      </c>
      <c r="OAD28" s="234" t="e">
        <f>astrogrep_path&amp;" /e /r /s /spath="&amp;search_path&amp;" /stypes=""app*"&amp;NYZ28&amp;"*"&amp;TEXT(NZG28-utc_offset/24,"YYYYMMDD")&amp;"*"" /stext="" "&amp;TEXT(NZG28-utc_offset/24,"HH")&amp;search_regexp&amp;""""</f>
        <v>#REF!</v>
      </c>
      <c r="OAE28" s="234" t="e">
        <f>astrogrep_path&amp;" /e /r /s /spath="&amp;search_path&amp;" /stypes=""app*"&amp;NZA28&amp;"*"&amp;TEXT(NZH28-utc_offset/24,"YYYYMMDD")&amp;"*"" /stext="" "&amp;TEXT(NZH28-utc_offset/24,"HH")&amp;search_regexp&amp;""""</f>
        <v>#VALUE!</v>
      </c>
      <c r="OAF28" s="234" t="e">
        <f>astrogrep_path&amp;" /e /r /s /spath="&amp;search_path&amp;" /stypes=""app*"&amp;NZB28&amp;"*"&amp;TEXT(NZI28-utc_offset/24,"YYYYMMDD")&amp;"*"" /stext="" "&amp;TEXT(NZI28-utc_offset/24,"HH")&amp;search_regexp&amp;""""</f>
        <v>#VALUE!</v>
      </c>
      <c r="OAG28" s="234" t="e">
        <f>astrogrep_path&amp;" /e /r /s /spath="&amp;search_path&amp;" /stypes=""app*"&amp;NZC28&amp;"*"&amp;TEXT(NZJ28-utc_offset/24,"YYYYMMDD")&amp;"*"" /stext="" "&amp;TEXT(NZJ28-utc_offset/24,"HH")&amp;search_regexp&amp;""""</f>
        <v>#REF!</v>
      </c>
      <c r="OAH28" s="234" t="e">
        <f>astrogrep_path&amp;" /e /r /s /spath="&amp;search_path&amp;" /stypes=""app*"&amp;NZD28&amp;"*"&amp;TEXT(NZK28-utc_offset/24,"YYYYMMDD")&amp;"*"" /stext="" "&amp;TEXT(NZK28-utc_offset/24,"HH")&amp;search_regexp&amp;""""</f>
        <v>#REF!</v>
      </c>
      <c r="OAI28" s="234" t="e">
        <f>astrogrep_path&amp;" /e /r /s /spath="&amp;search_path&amp;" /stypes=""app*"&amp;NZE28&amp;"*"&amp;TEXT(NZL28-utc_offset/24,"YYYYMMDD")&amp;"*"" /stext="" "&amp;TEXT(NZL28-utc_offset/24,"HH")&amp;search_regexp&amp;""""</f>
        <v>#VALUE!</v>
      </c>
      <c r="OAJ28" s="234" t="e">
        <f>astrogrep_path&amp;" /e /r /s /spath="&amp;search_path&amp;" /stypes=""app*"&amp;NZF28&amp;"*"&amp;TEXT(NZM28-utc_offset/24,"YYYYMMDD")&amp;"*"" /stext="" "&amp;TEXT(NZM28-utc_offset/24,"HH")&amp;search_regexp&amp;""""</f>
        <v>#VALUE!</v>
      </c>
      <c r="OAK28" s="234" t="e">
        <f>astrogrep_path&amp;" /e /r /s /spath="&amp;search_path&amp;" /stypes=""app*"&amp;NZG28&amp;"*"&amp;TEXT(NZN28-utc_offset/24,"YYYYMMDD")&amp;"*"" /stext="" "&amp;TEXT(NZN28-utc_offset/24,"HH")&amp;search_regexp&amp;""""</f>
        <v>#VALUE!</v>
      </c>
      <c r="OAL28" s="234" t="e">
        <f>astrogrep_path&amp;" /e /r /s /spath="&amp;search_path&amp;" /stypes=""app*"&amp;NZH28&amp;"*"&amp;TEXT(NZO28-utc_offset/24,"YYYYMMDD")&amp;"*"" /stext="" "&amp;TEXT(NZO28-utc_offset/24,"HH")&amp;search_regexp&amp;""""</f>
        <v>#VALUE!</v>
      </c>
      <c r="OAM28" s="234" t="e">
        <f>astrogrep_path&amp;" /e /r /s /spath="&amp;search_path&amp;" /stypes=""app*"&amp;NZI28&amp;"*"&amp;TEXT(NZP28-utc_offset/24,"YYYYMMDD")&amp;"*"" /stext="" "&amp;TEXT(NZP28-utc_offset/24,"HH")&amp;search_regexp&amp;""""</f>
        <v>#VALUE!</v>
      </c>
      <c r="OAN28" s="234" t="e">
        <f>astrogrep_path&amp;" /e /r /s /spath="&amp;search_path&amp;" /stypes=""app*"&amp;NZJ28&amp;"*"&amp;TEXT(NZQ28-utc_offset/24,"YYYYMMDD")&amp;"*"" /stext="" "&amp;TEXT(NZQ28-utc_offset/24,"HH")&amp;search_regexp&amp;""""</f>
        <v>#REF!</v>
      </c>
      <c r="OAO28" s="234" t="e">
        <f>astrogrep_path&amp;" /e /r /s /spath="&amp;search_path&amp;" /stypes=""app*"&amp;NZK28&amp;"*"&amp;TEXT(NZR28-utc_offset/24,"YYYYMMDD")&amp;"*"" /stext="" "&amp;TEXT(NZR28-utc_offset/24,"HH")&amp;search_regexp&amp;""""</f>
        <v>#REF!</v>
      </c>
      <c r="OAP28" s="234" t="e">
        <f>astrogrep_path&amp;" /e /r /s /spath="&amp;search_path&amp;" /stypes=""app*"&amp;NZL28&amp;"*"&amp;TEXT(NZS28-utc_offset/24,"YYYYMMDD")&amp;"*"" /stext="" "&amp;TEXT(NZS28-utc_offset/24,"HH")&amp;search_regexp&amp;""""</f>
        <v>#REF!</v>
      </c>
      <c r="OAQ28" s="234" t="e">
        <f>astrogrep_path&amp;" /e /r /s /spath="&amp;search_path&amp;" /stypes=""app*"&amp;NZM28&amp;"*"&amp;TEXT(NZT28-utc_offset/24,"YYYYMMDD")&amp;"*"" /stext="" "&amp;TEXT(NZT28-utc_offset/24,"HH")&amp;search_regexp&amp;""""</f>
        <v>#REF!</v>
      </c>
      <c r="OAR28" s="234" t="e">
        <f>astrogrep_path&amp;" /e /r /s /spath="&amp;search_path&amp;" /stypes=""app*"&amp;NZN28&amp;"*"&amp;TEXT(NZU28-utc_offset/24,"YYYYMMDD")&amp;"*"" /stext="" "&amp;TEXT(NZU28-utc_offset/24,"HH")&amp;search_regexp&amp;""""</f>
        <v>#REF!</v>
      </c>
      <c r="OAS28" s="234" t="e">
        <f>astrogrep_path&amp;" /e /r /s /spath="&amp;search_path&amp;" /stypes=""app*"&amp;NZO28&amp;"*"&amp;TEXT(NZV28-utc_offset/24,"YYYYMMDD")&amp;"*"" /stext="" "&amp;TEXT(NZV28-utc_offset/24,"HH")&amp;search_regexp&amp;""""</f>
        <v>#REF!</v>
      </c>
      <c r="OAT28" s="234" t="e">
        <f>astrogrep_path&amp;" /e /r /s /spath="&amp;search_path&amp;" /stypes=""app*"&amp;NZP28&amp;"*"&amp;TEXT(NZW28-utc_offset/24,"YYYYMMDD")&amp;"*"" /stext="" "&amp;TEXT(NZW28-utc_offset/24,"HH")&amp;search_regexp&amp;""""</f>
        <v>#REF!</v>
      </c>
      <c r="OAU28" s="234" t="e">
        <f>astrogrep_path&amp;" /e /r /s /spath="&amp;search_path&amp;" /stypes=""app*"&amp;NZQ28&amp;"*"&amp;TEXT(NZX28-utc_offset/24,"YYYYMMDD")&amp;"*"" /stext="" "&amp;TEXT(NZX28-utc_offset/24,"HH")&amp;search_regexp&amp;""""</f>
        <v>#REF!</v>
      </c>
      <c r="OAV28" s="234" t="e">
        <f>astrogrep_path&amp;" /e /r /s /spath="&amp;search_path&amp;" /stypes=""app*"&amp;NZR28&amp;"*"&amp;TEXT(NZY28-utc_offset/24,"YYYYMMDD")&amp;"*"" /stext="" "&amp;TEXT(NZY28-utc_offset/24,"HH")&amp;search_regexp&amp;""""</f>
        <v>#REF!</v>
      </c>
      <c r="OAW28" s="234" t="e">
        <f>astrogrep_path&amp;" /e /r /s /spath="&amp;search_path&amp;" /stypes=""app*"&amp;NZS28&amp;"*"&amp;TEXT(NZZ28-utc_offset/24,"YYYYMMDD")&amp;"*"" /stext="" "&amp;TEXT(NZZ28-utc_offset/24,"HH")&amp;search_regexp&amp;""""</f>
        <v>#REF!</v>
      </c>
      <c r="OAX28" s="234" t="e">
        <f>astrogrep_path&amp;" /e /r /s /spath="&amp;search_path&amp;" /stypes=""app*"&amp;NZT28&amp;"*"&amp;TEXT(OAA28-utc_offset/24,"YYYYMMDD")&amp;"*"" /stext="" "&amp;TEXT(OAA28-utc_offset/24,"HH")&amp;search_regexp&amp;""""</f>
        <v>#REF!</v>
      </c>
      <c r="OAY28" s="234" t="e">
        <f>astrogrep_path&amp;" /e /r /s /spath="&amp;search_path&amp;" /stypes=""app*"&amp;NZU28&amp;"*"&amp;TEXT(OAB28-utc_offset/24,"YYYYMMDD")&amp;"*"" /stext="" "&amp;TEXT(OAB28-utc_offset/24,"HH")&amp;search_regexp&amp;""""</f>
        <v>#REF!</v>
      </c>
      <c r="OAZ28" s="234" t="e">
        <f>astrogrep_path&amp;" /e /r /s /spath="&amp;search_path&amp;" /stypes=""app*"&amp;NZV28&amp;"*"&amp;TEXT(OAC28-utc_offset/24,"YYYYMMDD")&amp;"*"" /stext="" "&amp;TEXT(OAC28-utc_offset/24,"HH")&amp;search_regexp&amp;""""</f>
        <v>#REF!</v>
      </c>
      <c r="OBA28" s="234" t="e">
        <f>astrogrep_path&amp;" /e /r /s /spath="&amp;search_path&amp;" /stypes=""app*"&amp;NZW28&amp;"*"&amp;TEXT(OAD28-utc_offset/24,"YYYYMMDD")&amp;"*"" /stext="" "&amp;TEXT(OAD28-utc_offset/24,"HH")&amp;search_regexp&amp;""""</f>
        <v>#REF!</v>
      </c>
      <c r="OBB28" s="234" t="e">
        <f>astrogrep_path&amp;" /e /r /s /spath="&amp;search_path&amp;" /stypes=""app*"&amp;NZX28&amp;"*"&amp;TEXT(OAE28-utc_offset/24,"YYYYMMDD")&amp;"*"" /stext="" "&amp;TEXT(OAE28-utc_offset/24,"HH")&amp;search_regexp&amp;""""</f>
        <v>#REF!</v>
      </c>
      <c r="OBC28" s="234" t="e">
        <f>astrogrep_path&amp;" /e /r /s /spath="&amp;search_path&amp;" /stypes=""app*"&amp;NZY28&amp;"*"&amp;TEXT(OAF28-utc_offset/24,"YYYYMMDD")&amp;"*"" /stext="" "&amp;TEXT(OAF28-utc_offset/24,"HH")&amp;search_regexp&amp;""""</f>
        <v>#REF!</v>
      </c>
      <c r="OBD28" s="234" t="e">
        <f>astrogrep_path&amp;" /e /r /s /spath="&amp;search_path&amp;" /stypes=""app*"&amp;NZZ28&amp;"*"&amp;TEXT(OAG28-utc_offset/24,"YYYYMMDD")&amp;"*"" /stext="" "&amp;TEXT(OAG28-utc_offset/24,"HH")&amp;search_regexp&amp;""""</f>
        <v>#REF!</v>
      </c>
      <c r="OBE28" s="234" t="e">
        <f>astrogrep_path&amp;" /e /r /s /spath="&amp;search_path&amp;" /stypes=""app*"&amp;OAA28&amp;"*"&amp;TEXT(OAH28-utc_offset/24,"YYYYMMDD")&amp;"*"" /stext="" "&amp;TEXT(OAH28-utc_offset/24,"HH")&amp;search_regexp&amp;""""</f>
        <v>#REF!</v>
      </c>
      <c r="OBF28" s="234" t="e">
        <f>astrogrep_path&amp;" /e /r /s /spath="&amp;search_path&amp;" /stypes=""app*"&amp;OAB28&amp;"*"&amp;TEXT(OAI28-utc_offset/24,"YYYYMMDD")&amp;"*"" /stext="" "&amp;TEXT(OAI28-utc_offset/24,"HH")&amp;search_regexp&amp;""""</f>
        <v>#REF!</v>
      </c>
      <c r="OBG28" s="234" t="e">
        <f>astrogrep_path&amp;" /e /r /s /spath="&amp;search_path&amp;" /stypes=""app*"&amp;OAC28&amp;"*"&amp;TEXT(OAJ28-utc_offset/24,"YYYYMMDD")&amp;"*"" /stext="" "&amp;TEXT(OAJ28-utc_offset/24,"HH")&amp;search_regexp&amp;""""</f>
        <v>#REF!</v>
      </c>
      <c r="OBH28" s="234" t="e">
        <f>astrogrep_path&amp;" /e /r /s /spath="&amp;search_path&amp;" /stypes=""app*"&amp;OAD28&amp;"*"&amp;TEXT(OAK28-utc_offset/24,"YYYYMMDD")&amp;"*"" /stext="" "&amp;TEXT(OAK28-utc_offset/24,"HH")&amp;search_regexp&amp;""""</f>
        <v>#REF!</v>
      </c>
      <c r="OBI28" s="234" t="e">
        <f>astrogrep_path&amp;" /e /r /s /spath="&amp;search_path&amp;" /stypes=""app*"&amp;OAE28&amp;"*"&amp;TEXT(OAL28-utc_offset/24,"YYYYMMDD")&amp;"*"" /stext="" "&amp;TEXT(OAL28-utc_offset/24,"HH")&amp;search_regexp&amp;""""</f>
        <v>#VALUE!</v>
      </c>
      <c r="OBJ28" s="234" t="e">
        <f>astrogrep_path&amp;" /e /r /s /spath="&amp;search_path&amp;" /stypes=""app*"&amp;OAF28&amp;"*"&amp;TEXT(OAM28-utc_offset/24,"YYYYMMDD")&amp;"*"" /stext="" "&amp;TEXT(OAM28-utc_offset/24,"HH")&amp;search_regexp&amp;""""</f>
        <v>#VALUE!</v>
      </c>
      <c r="OBK28" s="234" t="e">
        <f>astrogrep_path&amp;" /e /r /s /spath="&amp;search_path&amp;" /stypes=""app*"&amp;OAG28&amp;"*"&amp;TEXT(OAN28-utc_offset/24,"YYYYMMDD")&amp;"*"" /stext="" "&amp;TEXT(OAN28-utc_offset/24,"HH")&amp;search_regexp&amp;""""</f>
        <v>#REF!</v>
      </c>
      <c r="OBL28" s="234" t="e">
        <f>astrogrep_path&amp;" /e /r /s /spath="&amp;search_path&amp;" /stypes=""app*"&amp;OAH28&amp;"*"&amp;TEXT(OAO28-utc_offset/24,"YYYYMMDD")&amp;"*"" /stext="" "&amp;TEXT(OAO28-utc_offset/24,"HH")&amp;search_regexp&amp;""""</f>
        <v>#REF!</v>
      </c>
      <c r="OBM28" s="234" t="e">
        <f>astrogrep_path&amp;" /e /r /s /spath="&amp;search_path&amp;" /stypes=""app*"&amp;OAI28&amp;"*"&amp;TEXT(OAP28-utc_offset/24,"YYYYMMDD")&amp;"*"" /stext="" "&amp;TEXT(OAP28-utc_offset/24,"HH")&amp;search_regexp&amp;""""</f>
        <v>#VALUE!</v>
      </c>
      <c r="OBN28" s="234" t="e">
        <f>astrogrep_path&amp;" /e /r /s /spath="&amp;search_path&amp;" /stypes=""app*"&amp;OAJ28&amp;"*"&amp;TEXT(OAQ28-utc_offset/24,"YYYYMMDD")&amp;"*"" /stext="" "&amp;TEXT(OAQ28-utc_offset/24,"HH")&amp;search_regexp&amp;""""</f>
        <v>#VALUE!</v>
      </c>
      <c r="OBO28" s="234" t="e">
        <f>astrogrep_path&amp;" /e /r /s /spath="&amp;search_path&amp;" /stypes=""app*"&amp;OAK28&amp;"*"&amp;TEXT(OAR28-utc_offset/24,"YYYYMMDD")&amp;"*"" /stext="" "&amp;TEXT(OAR28-utc_offset/24,"HH")&amp;search_regexp&amp;""""</f>
        <v>#VALUE!</v>
      </c>
      <c r="OBP28" s="234" t="e">
        <f>astrogrep_path&amp;" /e /r /s /spath="&amp;search_path&amp;" /stypes=""app*"&amp;OAL28&amp;"*"&amp;TEXT(OAS28-utc_offset/24,"YYYYMMDD")&amp;"*"" /stext="" "&amp;TEXT(OAS28-utc_offset/24,"HH")&amp;search_regexp&amp;""""</f>
        <v>#VALUE!</v>
      </c>
      <c r="OBQ28" s="234" t="e">
        <f>astrogrep_path&amp;" /e /r /s /spath="&amp;search_path&amp;" /stypes=""app*"&amp;OAM28&amp;"*"&amp;TEXT(OAT28-utc_offset/24,"YYYYMMDD")&amp;"*"" /stext="" "&amp;TEXT(OAT28-utc_offset/24,"HH")&amp;search_regexp&amp;""""</f>
        <v>#VALUE!</v>
      </c>
      <c r="OBR28" s="234" t="e">
        <f>astrogrep_path&amp;" /e /r /s /spath="&amp;search_path&amp;" /stypes=""app*"&amp;OAN28&amp;"*"&amp;TEXT(OAU28-utc_offset/24,"YYYYMMDD")&amp;"*"" /stext="" "&amp;TEXT(OAU28-utc_offset/24,"HH")&amp;search_regexp&amp;""""</f>
        <v>#REF!</v>
      </c>
      <c r="OBS28" s="234" t="e">
        <f>astrogrep_path&amp;" /e /r /s /spath="&amp;search_path&amp;" /stypes=""app*"&amp;OAO28&amp;"*"&amp;TEXT(OAV28-utc_offset/24,"YYYYMMDD")&amp;"*"" /stext="" "&amp;TEXT(OAV28-utc_offset/24,"HH")&amp;search_regexp&amp;""""</f>
        <v>#REF!</v>
      </c>
      <c r="OBT28" s="234" t="e">
        <f>astrogrep_path&amp;" /e /r /s /spath="&amp;search_path&amp;" /stypes=""app*"&amp;OAP28&amp;"*"&amp;TEXT(OAW28-utc_offset/24,"YYYYMMDD")&amp;"*"" /stext="" "&amp;TEXT(OAW28-utc_offset/24,"HH")&amp;search_regexp&amp;""""</f>
        <v>#REF!</v>
      </c>
      <c r="OBU28" s="234" t="e">
        <f>astrogrep_path&amp;" /e /r /s /spath="&amp;search_path&amp;" /stypes=""app*"&amp;OAQ28&amp;"*"&amp;TEXT(OAX28-utc_offset/24,"YYYYMMDD")&amp;"*"" /stext="" "&amp;TEXT(OAX28-utc_offset/24,"HH")&amp;search_regexp&amp;""""</f>
        <v>#REF!</v>
      </c>
      <c r="OBV28" s="234" t="e">
        <f>astrogrep_path&amp;" /e /r /s /spath="&amp;search_path&amp;" /stypes=""app*"&amp;OAR28&amp;"*"&amp;TEXT(OAY28-utc_offset/24,"YYYYMMDD")&amp;"*"" /stext="" "&amp;TEXT(OAY28-utc_offset/24,"HH")&amp;search_regexp&amp;""""</f>
        <v>#REF!</v>
      </c>
      <c r="OBW28" s="234" t="e">
        <f>astrogrep_path&amp;" /e /r /s /spath="&amp;search_path&amp;" /stypes=""app*"&amp;OAS28&amp;"*"&amp;TEXT(OAZ28-utc_offset/24,"YYYYMMDD")&amp;"*"" /stext="" "&amp;TEXT(OAZ28-utc_offset/24,"HH")&amp;search_regexp&amp;""""</f>
        <v>#REF!</v>
      </c>
      <c r="OBX28" s="234" t="e">
        <f>astrogrep_path&amp;" /e /r /s /spath="&amp;search_path&amp;" /stypes=""app*"&amp;OAT28&amp;"*"&amp;TEXT(OBA28-utc_offset/24,"YYYYMMDD")&amp;"*"" /stext="" "&amp;TEXT(OBA28-utc_offset/24,"HH")&amp;search_regexp&amp;""""</f>
        <v>#REF!</v>
      </c>
      <c r="OBY28" s="234" t="e">
        <f>astrogrep_path&amp;" /e /r /s /spath="&amp;search_path&amp;" /stypes=""app*"&amp;OAU28&amp;"*"&amp;TEXT(OBB28-utc_offset/24,"YYYYMMDD")&amp;"*"" /stext="" "&amp;TEXT(OBB28-utc_offset/24,"HH")&amp;search_regexp&amp;""""</f>
        <v>#REF!</v>
      </c>
      <c r="OBZ28" s="234" t="e">
        <f>astrogrep_path&amp;" /e /r /s /spath="&amp;search_path&amp;" /stypes=""app*"&amp;OAV28&amp;"*"&amp;TEXT(OBC28-utc_offset/24,"YYYYMMDD")&amp;"*"" /stext="" "&amp;TEXT(OBC28-utc_offset/24,"HH")&amp;search_regexp&amp;""""</f>
        <v>#REF!</v>
      </c>
      <c r="OCA28" s="234" t="e">
        <f>astrogrep_path&amp;" /e /r /s /spath="&amp;search_path&amp;" /stypes=""app*"&amp;OAW28&amp;"*"&amp;TEXT(OBD28-utc_offset/24,"YYYYMMDD")&amp;"*"" /stext="" "&amp;TEXT(OBD28-utc_offset/24,"HH")&amp;search_regexp&amp;""""</f>
        <v>#REF!</v>
      </c>
      <c r="OCB28" s="234" t="e">
        <f>astrogrep_path&amp;" /e /r /s /spath="&amp;search_path&amp;" /stypes=""app*"&amp;OAX28&amp;"*"&amp;TEXT(OBE28-utc_offset/24,"YYYYMMDD")&amp;"*"" /stext="" "&amp;TEXT(OBE28-utc_offset/24,"HH")&amp;search_regexp&amp;""""</f>
        <v>#REF!</v>
      </c>
      <c r="OCC28" s="234" t="e">
        <f>astrogrep_path&amp;" /e /r /s /spath="&amp;search_path&amp;" /stypes=""app*"&amp;OAY28&amp;"*"&amp;TEXT(OBF28-utc_offset/24,"YYYYMMDD")&amp;"*"" /stext="" "&amp;TEXT(OBF28-utc_offset/24,"HH")&amp;search_regexp&amp;""""</f>
        <v>#REF!</v>
      </c>
      <c r="OCD28" s="234" t="e">
        <f>astrogrep_path&amp;" /e /r /s /spath="&amp;search_path&amp;" /stypes=""app*"&amp;OAZ28&amp;"*"&amp;TEXT(OBG28-utc_offset/24,"YYYYMMDD")&amp;"*"" /stext="" "&amp;TEXT(OBG28-utc_offset/24,"HH")&amp;search_regexp&amp;""""</f>
        <v>#REF!</v>
      </c>
      <c r="OCE28" s="234" t="e">
        <f>astrogrep_path&amp;" /e /r /s /spath="&amp;search_path&amp;" /stypes=""app*"&amp;OBA28&amp;"*"&amp;TEXT(OBH28-utc_offset/24,"YYYYMMDD")&amp;"*"" /stext="" "&amp;TEXT(OBH28-utc_offset/24,"HH")&amp;search_regexp&amp;""""</f>
        <v>#REF!</v>
      </c>
      <c r="OCF28" s="234" t="e">
        <f>astrogrep_path&amp;" /e /r /s /spath="&amp;search_path&amp;" /stypes=""app*"&amp;OBB28&amp;"*"&amp;TEXT(OBI28-utc_offset/24,"YYYYMMDD")&amp;"*"" /stext="" "&amp;TEXT(OBI28-utc_offset/24,"HH")&amp;search_regexp&amp;""""</f>
        <v>#REF!</v>
      </c>
      <c r="OCG28" s="234" t="e">
        <f>astrogrep_path&amp;" /e /r /s /spath="&amp;search_path&amp;" /stypes=""app*"&amp;OBC28&amp;"*"&amp;TEXT(OBJ28-utc_offset/24,"YYYYMMDD")&amp;"*"" /stext="" "&amp;TEXT(OBJ28-utc_offset/24,"HH")&amp;search_regexp&amp;""""</f>
        <v>#REF!</v>
      </c>
      <c r="OCH28" s="234" t="e">
        <f>astrogrep_path&amp;" /e /r /s /spath="&amp;search_path&amp;" /stypes=""app*"&amp;OBD28&amp;"*"&amp;TEXT(OBK28-utc_offset/24,"YYYYMMDD")&amp;"*"" /stext="" "&amp;TEXT(OBK28-utc_offset/24,"HH")&amp;search_regexp&amp;""""</f>
        <v>#REF!</v>
      </c>
      <c r="OCI28" s="234" t="e">
        <f>astrogrep_path&amp;" /e /r /s /spath="&amp;search_path&amp;" /stypes=""app*"&amp;OBE28&amp;"*"&amp;TEXT(OBL28-utc_offset/24,"YYYYMMDD")&amp;"*"" /stext="" "&amp;TEXT(OBL28-utc_offset/24,"HH")&amp;search_regexp&amp;""""</f>
        <v>#REF!</v>
      </c>
      <c r="OCJ28" s="234" t="e">
        <f>astrogrep_path&amp;" /e /r /s /spath="&amp;search_path&amp;" /stypes=""app*"&amp;OBF28&amp;"*"&amp;TEXT(OBM28-utc_offset/24,"YYYYMMDD")&amp;"*"" /stext="" "&amp;TEXT(OBM28-utc_offset/24,"HH")&amp;search_regexp&amp;""""</f>
        <v>#REF!</v>
      </c>
      <c r="OCK28" s="234" t="e">
        <f>astrogrep_path&amp;" /e /r /s /spath="&amp;search_path&amp;" /stypes=""app*"&amp;OBG28&amp;"*"&amp;TEXT(OBN28-utc_offset/24,"YYYYMMDD")&amp;"*"" /stext="" "&amp;TEXT(OBN28-utc_offset/24,"HH")&amp;search_regexp&amp;""""</f>
        <v>#REF!</v>
      </c>
      <c r="OCL28" s="234" t="e">
        <f>astrogrep_path&amp;" /e /r /s /spath="&amp;search_path&amp;" /stypes=""app*"&amp;OBH28&amp;"*"&amp;TEXT(OBO28-utc_offset/24,"YYYYMMDD")&amp;"*"" /stext="" "&amp;TEXT(OBO28-utc_offset/24,"HH")&amp;search_regexp&amp;""""</f>
        <v>#REF!</v>
      </c>
      <c r="OCM28" s="234" t="e">
        <f>astrogrep_path&amp;" /e /r /s /spath="&amp;search_path&amp;" /stypes=""app*"&amp;OBI28&amp;"*"&amp;TEXT(OBP28-utc_offset/24,"YYYYMMDD")&amp;"*"" /stext="" "&amp;TEXT(OBP28-utc_offset/24,"HH")&amp;search_regexp&amp;""""</f>
        <v>#VALUE!</v>
      </c>
      <c r="OCN28" s="234" t="e">
        <f>astrogrep_path&amp;" /e /r /s /spath="&amp;search_path&amp;" /stypes=""app*"&amp;OBJ28&amp;"*"&amp;TEXT(OBQ28-utc_offset/24,"YYYYMMDD")&amp;"*"" /stext="" "&amp;TEXT(OBQ28-utc_offset/24,"HH")&amp;search_regexp&amp;""""</f>
        <v>#VALUE!</v>
      </c>
      <c r="OCO28" s="234" t="e">
        <f>astrogrep_path&amp;" /e /r /s /spath="&amp;search_path&amp;" /stypes=""app*"&amp;OBK28&amp;"*"&amp;TEXT(OBR28-utc_offset/24,"YYYYMMDD")&amp;"*"" /stext="" "&amp;TEXT(OBR28-utc_offset/24,"HH")&amp;search_regexp&amp;""""</f>
        <v>#REF!</v>
      </c>
      <c r="OCP28" s="234" t="e">
        <f>astrogrep_path&amp;" /e /r /s /spath="&amp;search_path&amp;" /stypes=""app*"&amp;OBL28&amp;"*"&amp;TEXT(OBS28-utc_offset/24,"YYYYMMDD")&amp;"*"" /stext="" "&amp;TEXT(OBS28-utc_offset/24,"HH")&amp;search_regexp&amp;""""</f>
        <v>#REF!</v>
      </c>
      <c r="OCQ28" s="234" t="e">
        <f>astrogrep_path&amp;" /e /r /s /spath="&amp;search_path&amp;" /stypes=""app*"&amp;OBM28&amp;"*"&amp;TEXT(OBT28-utc_offset/24,"YYYYMMDD")&amp;"*"" /stext="" "&amp;TEXT(OBT28-utc_offset/24,"HH")&amp;search_regexp&amp;""""</f>
        <v>#VALUE!</v>
      </c>
      <c r="OCR28" s="234" t="e">
        <f>astrogrep_path&amp;" /e /r /s /spath="&amp;search_path&amp;" /stypes=""app*"&amp;OBN28&amp;"*"&amp;TEXT(OBU28-utc_offset/24,"YYYYMMDD")&amp;"*"" /stext="" "&amp;TEXT(OBU28-utc_offset/24,"HH")&amp;search_regexp&amp;""""</f>
        <v>#VALUE!</v>
      </c>
      <c r="OCS28" s="234" t="e">
        <f>astrogrep_path&amp;" /e /r /s /spath="&amp;search_path&amp;" /stypes=""app*"&amp;OBO28&amp;"*"&amp;TEXT(OBV28-utc_offset/24,"YYYYMMDD")&amp;"*"" /stext="" "&amp;TEXT(OBV28-utc_offset/24,"HH")&amp;search_regexp&amp;""""</f>
        <v>#VALUE!</v>
      </c>
      <c r="OCT28" s="234" t="e">
        <f>astrogrep_path&amp;" /e /r /s /spath="&amp;search_path&amp;" /stypes=""app*"&amp;OBP28&amp;"*"&amp;TEXT(OBW28-utc_offset/24,"YYYYMMDD")&amp;"*"" /stext="" "&amp;TEXT(OBW28-utc_offset/24,"HH")&amp;search_regexp&amp;""""</f>
        <v>#VALUE!</v>
      </c>
      <c r="OCU28" s="234" t="e">
        <f>astrogrep_path&amp;" /e /r /s /spath="&amp;search_path&amp;" /stypes=""app*"&amp;OBQ28&amp;"*"&amp;TEXT(OBX28-utc_offset/24,"YYYYMMDD")&amp;"*"" /stext="" "&amp;TEXT(OBX28-utc_offset/24,"HH")&amp;search_regexp&amp;""""</f>
        <v>#VALUE!</v>
      </c>
      <c r="OCV28" s="234" t="e">
        <f>astrogrep_path&amp;" /e /r /s /spath="&amp;search_path&amp;" /stypes=""app*"&amp;OBR28&amp;"*"&amp;TEXT(OBY28-utc_offset/24,"YYYYMMDD")&amp;"*"" /stext="" "&amp;TEXT(OBY28-utc_offset/24,"HH")&amp;search_regexp&amp;""""</f>
        <v>#REF!</v>
      </c>
      <c r="OCW28" s="234" t="e">
        <f>astrogrep_path&amp;" /e /r /s /spath="&amp;search_path&amp;" /stypes=""app*"&amp;OBS28&amp;"*"&amp;TEXT(OBZ28-utc_offset/24,"YYYYMMDD")&amp;"*"" /stext="" "&amp;TEXT(OBZ28-utc_offset/24,"HH")&amp;search_regexp&amp;""""</f>
        <v>#REF!</v>
      </c>
      <c r="OCX28" s="234" t="e">
        <f>astrogrep_path&amp;" /e /r /s /spath="&amp;search_path&amp;" /stypes=""app*"&amp;OBT28&amp;"*"&amp;TEXT(OCA28-utc_offset/24,"YYYYMMDD")&amp;"*"" /stext="" "&amp;TEXT(OCA28-utc_offset/24,"HH")&amp;search_regexp&amp;""""</f>
        <v>#REF!</v>
      </c>
      <c r="OCY28" s="234" t="e">
        <f>astrogrep_path&amp;" /e /r /s /spath="&amp;search_path&amp;" /stypes=""app*"&amp;OBU28&amp;"*"&amp;TEXT(OCB28-utc_offset/24,"YYYYMMDD")&amp;"*"" /stext="" "&amp;TEXT(OCB28-utc_offset/24,"HH")&amp;search_regexp&amp;""""</f>
        <v>#REF!</v>
      </c>
      <c r="OCZ28" s="234" t="e">
        <f>astrogrep_path&amp;" /e /r /s /spath="&amp;search_path&amp;" /stypes=""app*"&amp;OBV28&amp;"*"&amp;TEXT(OCC28-utc_offset/24,"YYYYMMDD")&amp;"*"" /stext="" "&amp;TEXT(OCC28-utc_offset/24,"HH")&amp;search_regexp&amp;""""</f>
        <v>#REF!</v>
      </c>
      <c r="ODA28" s="234" t="e">
        <f>astrogrep_path&amp;" /e /r /s /spath="&amp;search_path&amp;" /stypes=""app*"&amp;OBW28&amp;"*"&amp;TEXT(OCD28-utc_offset/24,"YYYYMMDD")&amp;"*"" /stext="" "&amp;TEXT(OCD28-utc_offset/24,"HH")&amp;search_regexp&amp;""""</f>
        <v>#REF!</v>
      </c>
      <c r="ODB28" s="234" t="e">
        <f>astrogrep_path&amp;" /e /r /s /spath="&amp;search_path&amp;" /stypes=""app*"&amp;OBX28&amp;"*"&amp;TEXT(OCE28-utc_offset/24,"YYYYMMDD")&amp;"*"" /stext="" "&amp;TEXT(OCE28-utc_offset/24,"HH")&amp;search_regexp&amp;""""</f>
        <v>#REF!</v>
      </c>
      <c r="ODC28" s="234" t="e">
        <f>astrogrep_path&amp;" /e /r /s /spath="&amp;search_path&amp;" /stypes=""app*"&amp;OBY28&amp;"*"&amp;TEXT(OCF28-utc_offset/24,"YYYYMMDD")&amp;"*"" /stext="" "&amp;TEXT(OCF28-utc_offset/24,"HH")&amp;search_regexp&amp;""""</f>
        <v>#REF!</v>
      </c>
      <c r="ODD28" s="234" t="e">
        <f>astrogrep_path&amp;" /e /r /s /spath="&amp;search_path&amp;" /stypes=""app*"&amp;OBZ28&amp;"*"&amp;TEXT(OCG28-utc_offset/24,"YYYYMMDD")&amp;"*"" /stext="" "&amp;TEXT(OCG28-utc_offset/24,"HH")&amp;search_regexp&amp;""""</f>
        <v>#REF!</v>
      </c>
      <c r="ODE28" s="234" t="e">
        <f>astrogrep_path&amp;" /e /r /s /spath="&amp;search_path&amp;" /stypes=""app*"&amp;OCA28&amp;"*"&amp;TEXT(OCH28-utc_offset/24,"YYYYMMDD")&amp;"*"" /stext="" "&amp;TEXT(OCH28-utc_offset/24,"HH")&amp;search_regexp&amp;""""</f>
        <v>#REF!</v>
      </c>
      <c r="ODF28" s="234" t="e">
        <f>astrogrep_path&amp;" /e /r /s /spath="&amp;search_path&amp;" /stypes=""app*"&amp;OCB28&amp;"*"&amp;TEXT(OCI28-utc_offset/24,"YYYYMMDD")&amp;"*"" /stext="" "&amp;TEXT(OCI28-utc_offset/24,"HH")&amp;search_regexp&amp;""""</f>
        <v>#REF!</v>
      </c>
      <c r="ODG28" s="234" t="e">
        <f>astrogrep_path&amp;" /e /r /s /spath="&amp;search_path&amp;" /stypes=""app*"&amp;OCC28&amp;"*"&amp;TEXT(OCJ28-utc_offset/24,"YYYYMMDD")&amp;"*"" /stext="" "&amp;TEXT(OCJ28-utc_offset/24,"HH")&amp;search_regexp&amp;""""</f>
        <v>#REF!</v>
      </c>
      <c r="ODH28" s="234" t="e">
        <f>astrogrep_path&amp;" /e /r /s /spath="&amp;search_path&amp;" /stypes=""app*"&amp;OCD28&amp;"*"&amp;TEXT(OCK28-utc_offset/24,"YYYYMMDD")&amp;"*"" /stext="" "&amp;TEXT(OCK28-utc_offset/24,"HH")&amp;search_regexp&amp;""""</f>
        <v>#REF!</v>
      </c>
      <c r="ODI28" s="234" t="e">
        <f>astrogrep_path&amp;" /e /r /s /spath="&amp;search_path&amp;" /stypes=""app*"&amp;OCE28&amp;"*"&amp;TEXT(OCL28-utc_offset/24,"YYYYMMDD")&amp;"*"" /stext="" "&amp;TEXT(OCL28-utc_offset/24,"HH")&amp;search_regexp&amp;""""</f>
        <v>#REF!</v>
      </c>
      <c r="ODJ28" s="234" t="e">
        <f>astrogrep_path&amp;" /e /r /s /spath="&amp;search_path&amp;" /stypes=""app*"&amp;OCF28&amp;"*"&amp;TEXT(OCM28-utc_offset/24,"YYYYMMDD")&amp;"*"" /stext="" "&amp;TEXT(OCM28-utc_offset/24,"HH")&amp;search_regexp&amp;""""</f>
        <v>#REF!</v>
      </c>
      <c r="ODK28" s="234" t="e">
        <f>astrogrep_path&amp;" /e /r /s /spath="&amp;search_path&amp;" /stypes=""app*"&amp;OCG28&amp;"*"&amp;TEXT(OCN28-utc_offset/24,"YYYYMMDD")&amp;"*"" /stext="" "&amp;TEXT(OCN28-utc_offset/24,"HH")&amp;search_regexp&amp;""""</f>
        <v>#REF!</v>
      </c>
      <c r="ODL28" s="234" t="e">
        <f>astrogrep_path&amp;" /e /r /s /spath="&amp;search_path&amp;" /stypes=""app*"&amp;OCH28&amp;"*"&amp;TEXT(OCO28-utc_offset/24,"YYYYMMDD")&amp;"*"" /stext="" "&amp;TEXT(OCO28-utc_offset/24,"HH")&amp;search_regexp&amp;""""</f>
        <v>#REF!</v>
      </c>
      <c r="ODM28" s="234" t="e">
        <f>astrogrep_path&amp;" /e /r /s /spath="&amp;search_path&amp;" /stypes=""app*"&amp;OCI28&amp;"*"&amp;TEXT(OCP28-utc_offset/24,"YYYYMMDD")&amp;"*"" /stext="" "&amp;TEXT(OCP28-utc_offset/24,"HH")&amp;search_regexp&amp;""""</f>
        <v>#REF!</v>
      </c>
      <c r="ODN28" s="234" t="e">
        <f>astrogrep_path&amp;" /e /r /s /spath="&amp;search_path&amp;" /stypes=""app*"&amp;OCJ28&amp;"*"&amp;TEXT(OCQ28-utc_offset/24,"YYYYMMDD")&amp;"*"" /stext="" "&amp;TEXT(OCQ28-utc_offset/24,"HH")&amp;search_regexp&amp;""""</f>
        <v>#REF!</v>
      </c>
      <c r="ODO28" s="234" t="e">
        <f>astrogrep_path&amp;" /e /r /s /spath="&amp;search_path&amp;" /stypes=""app*"&amp;OCK28&amp;"*"&amp;TEXT(OCR28-utc_offset/24,"YYYYMMDD")&amp;"*"" /stext="" "&amp;TEXT(OCR28-utc_offset/24,"HH")&amp;search_regexp&amp;""""</f>
        <v>#REF!</v>
      </c>
      <c r="ODP28" s="234" t="e">
        <f>astrogrep_path&amp;" /e /r /s /spath="&amp;search_path&amp;" /stypes=""app*"&amp;OCL28&amp;"*"&amp;TEXT(OCS28-utc_offset/24,"YYYYMMDD")&amp;"*"" /stext="" "&amp;TEXT(OCS28-utc_offset/24,"HH")&amp;search_regexp&amp;""""</f>
        <v>#REF!</v>
      </c>
      <c r="ODQ28" s="234" t="e">
        <f>astrogrep_path&amp;" /e /r /s /spath="&amp;search_path&amp;" /stypes=""app*"&amp;OCM28&amp;"*"&amp;TEXT(OCT28-utc_offset/24,"YYYYMMDD")&amp;"*"" /stext="" "&amp;TEXT(OCT28-utc_offset/24,"HH")&amp;search_regexp&amp;""""</f>
        <v>#VALUE!</v>
      </c>
      <c r="ODR28" s="234" t="e">
        <f>astrogrep_path&amp;" /e /r /s /spath="&amp;search_path&amp;" /stypes=""app*"&amp;OCN28&amp;"*"&amp;TEXT(OCU28-utc_offset/24,"YYYYMMDD")&amp;"*"" /stext="" "&amp;TEXT(OCU28-utc_offset/24,"HH")&amp;search_regexp&amp;""""</f>
        <v>#VALUE!</v>
      </c>
      <c r="ODS28" s="234" t="e">
        <f>astrogrep_path&amp;" /e /r /s /spath="&amp;search_path&amp;" /stypes=""app*"&amp;OCO28&amp;"*"&amp;TEXT(OCV28-utc_offset/24,"YYYYMMDD")&amp;"*"" /stext="" "&amp;TEXT(OCV28-utc_offset/24,"HH")&amp;search_regexp&amp;""""</f>
        <v>#REF!</v>
      </c>
      <c r="ODT28" s="234" t="e">
        <f>astrogrep_path&amp;" /e /r /s /spath="&amp;search_path&amp;" /stypes=""app*"&amp;OCP28&amp;"*"&amp;TEXT(OCW28-utc_offset/24,"YYYYMMDD")&amp;"*"" /stext="" "&amp;TEXT(OCW28-utc_offset/24,"HH")&amp;search_regexp&amp;""""</f>
        <v>#REF!</v>
      </c>
      <c r="ODU28" s="234" t="e">
        <f>astrogrep_path&amp;" /e /r /s /spath="&amp;search_path&amp;" /stypes=""app*"&amp;OCQ28&amp;"*"&amp;TEXT(OCX28-utc_offset/24,"YYYYMMDD")&amp;"*"" /stext="" "&amp;TEXT(OCX28-utc_offset/24,"HH")&amp;search_regexp&amp;""""</f>
        <v>#VALUE!</v>
      </c>
      <c r="ODV28" s="234" t="e">
        <f>astrogrep_path&amp;" /e /r /s /spath="&amp;search_path&amp;" /stypes=""app*"&amp;OCR28&amp;"*"&amp;TEXT(OCY28-utc_offset/24,"YYYYMMDD")&amp;"*"" /stext="" "&amp;TEXT(OCY28-utc_offset/24,"HH")&amp;search_regexp&amp;""""</f>
        <v>#VALUE!</v>
      </c>
      <c r="ODW28" s="234" t="e">
        <f>astrogrep_path&amp;" /e /r /s /spath="&amp;search_path&amp;" /stypes=""app*"&amp;OCS28&amp;"*"&amp;TEXT(OCZ28-utc_offset/24,"YYYYMMDD")&amp;"*"" /stext="" "&amp;TEXT(OCZ28-utc_offset/24,"HH")&amp;search_regexp&amp;""""</f>
        <v>#VALUE!</v>
      </c>
      <c r="ODX28" s="234" t="e">
        <f>astrogrep_path&amp;" /e /r /s /spath="&amp;search_path&amp;" /stypes=""app*"&amp;OCT28&amp;"*"&amp;TEXT(ODA28-utc_offset/24,"YYYYMMDD")&amp;"*"" /stext="" "&amp;TEXT(ODA28-utc_offset/24,"HH")&amp;search_regexp&amp;""""</f>
        <v>#VALUE!</v>
      </c>
      <c r="ODY28" s="234" t="e">
        <f>astrogrep_path&amp;" /e /r /s /spath="&amp;search_path&amp;" /stypes=""app*"&amp;OCU28&amp;"*"&amp;TEXT(ODB28-utc_offset/24,"YYYYMMDD")&amp;"*"" /stext="" "&amp;TEXT(ODB28-utc_offset/24,"HH")&amp;search_regexp&amp;""""</f>
        <v>#VALUE!</v>
      </c>
      <c r="ODZ28" s="234" t="e">
        <f>astrogrep_path&amp;" /e /r /s /spath="&amp;search_path&amp;" /stypes=""app*"&amp;OCV28&amp;"*"&amp;TEXT(ODC28-utc_offset/24,"YYYYMMDD")&amp;"*"" /stext="" "&amp;TEXT(ODC28-utc_offset/24,"HH")&amp;search_regexp&amp;""""</f>
        <v>#REF!</v>
      </c>
      <c r="OEA28" s="234" t="e">
        <f>astrogrep_path&amp;" /e /r /s /spath="&amp;search_path&amp;" /stypes=""app*"&amp;OCW28&amp;"*"&amp;TEXT(ODD28-utc_offset/24,"YYYYMMDD")&amp;"*"" /stext="" "&amp;TEXT(ODD28-utc_offset/24,"HH")&amp;search_regexp&amp;""""</f>
        <v>#REF!</v>
      </c>
      <c r="OEB28" s="234" t="e">
        <f>astrogrep_path&amp;" /e /r /s /spath="&amp;search_path&amp;" /stypes=""app*"&amp;OCX28&amp;"*"&amp;TEXT(ODE28-utc_offset/24,"YYYYMMDD")&amp;"*"" /stext="" "&amp;TEXT(ODE28-utc_offset/24,"HH")&amp;search_regexp&amp;""""</f>
        <v>#REF!</v>
      </c>
      <c r="OEC28" s="234" t="e">
        <f>astrogrep_path&amp;" /e /r /s /spath="&amp;search_path&amp;" /stypes=""app*"&amp;OCY28&amp;"*"&amp;TEXT(ODF28-utc_offset/24,"YYYYMMDD")&amp;"*"" /stext="" "&amp;TEXT(ODF28-utc_offset/24,"HH")&amp;search_regexp&amp;""""</f>
        <v>#REF!</v>
      </c>
      <c r="OED28" s="234" t="e">
        <f>astrogrep_path&amp;" /e /r /s /spath="&amp;search_path&amp;" /stypes=""app*"&amp;OCZ28&amp;"*"&amp;TEXT(ODG28-utc_offset/24,"YYYYMMDD")&amp;"*"" /stext="" "&amp;TEXT(ODG28-utc_offset/24,"HH")&amp;search_regexp&amp;""""</f>
        <v>#REF!</v>
      </c>
      <c r="OEE28" s="234" t="e">
        <f>astrogrep_path&amp;" /e /r /s /spath="&amp;search_path&amp;" /stypes=""app*"&amp;ODA28&amp;"*"&amp;TEXT(ODH28-utc_offset/24,"YYYYMMDD")&amp;"*"" /stext="" "&amp;TEXT(ODH28-utc_offset/24,"HH")&amp;search_regexp&amp;""""</f>
        <v>#REF!</v>
      </c>
      <c r="OEF28" s="234" t="e">
        <f>astrogrep_path&amp;" /e /r /s /spath="&amp;search_path&amp;" /stypes=""app*"&amp;ODB28&amp;"*"&amp;TEXT(ODI28-utc_offset/24,"YYYYMMDD")&amp;"*"" /stext="" "&amp;TEXT(ODI28-utc_offset/24,"HH")&amp;search_regexp&amp;""""</f>
        <v>#REF!</v>
      </c>
      <c r="OEG28" s="234" t="e">
        <f>astrogrep_path&amp;" /e /r /s /spath="&amp;search_path&amp;" /stypes=""app*"&amp;ODC28&amp;"*"&amp;TEXT(ODJ28-utc_offset/24,"YYYYMMDD")&amp;"*"" /stext="" "&amp;TEXT(ODJ28-utc_offset/24,"HH")&amp;search_regexp&amp;""""</f>
        <v>#REF!</v>
      </c>
      <c r="OEH28" s="234" t="e">
        <f>astrogrep_path&amp;" /e /r /s /spath="&amp;search_path&amp;" /stypes=""app*"&amp;ODD28&amp;"*"&amp;TEXT(ODK28-utc_offset/24,"YYYYMMDD")&amp;"*"" /stext="" "&amp;TEXT(ODK28-utc_offset/24,"HH")&amp;search_regexp&amp;""""</f>
        <v>#REF!</v>
      </c>
      <c r="OEI28" s="234" t="e">
        <f>astrogrep_path&amp;" /e /r /s /spath="&amp;search_path&amp;" /stypes=""app*"&amp;ODE28&amp;"*"&amp;TEXT(ODL28-utc_offset/24,"YYYYMMDD")&amp;"*"" /stext="" "&amp;TEXT(ODL28-utc_offset/24,"HH")&amp;search_regexp&amp;""""</f>
        <v>#REF!</v>
      </c>
      <c r="OEJ28" s="234" t="e">
        <f>astrogrep_path&amp;" /e /r /s /spath="&amp;search_path&amp;" /stypes=""app*"&amp;ODF28&amp;"*"&amp;TEXT(ODM28-utc_offset/24,"YYYYMMDD")&amp;"*"" /stext="" "&amp;TEXT(ODM28-utc_offset/24,"HH")&amp;search_regexp&amp;""""</f>
        <v>#REF!</v>
      </c>
      <c r="OEK28" s="234" t="e">
        <f>astrogrep_path&amp;" /e /r /s /spath="&amp;search_path&amp;" /stypes=""app*"&amp;ODG28&amp;"*"&amp;TEXT(ODN28-utc_offset/24,"YYYYMMDD")&amp;"*"" /stext="" "&amp;TEXT(ODN28-utc_offset/24,"HH")&amp;search_regexp&amp;""""</f>
        <v>#REF!</v>
      </c>
      <c r="OEL28" s="234" t="e">
        <f>astrogrep_path&amp;" /e /r /s /spath="&amp;search_path&amp;" /stypes=""app*"&amp;ODH28&amp;"*"&amp;TEXT(ODO28-utc_offset/24,"YYYYMMDD")&amp;"*"" /stext="" "&amp;TEXT(ODO28-utc_offset/24,"HH")&amp;search_regexp&amp;""""</f>
        <v>#REF!</v>
      </c>
      <c r="OEM28" s="234" t="e">
        <f>astrogrep_path&amp;" /e /r /s /spath="&amp;search_path&amp;" /stypes=""app*"&amp;ODI28&amp;"*"&amp;TEXT(ODP28-utc_offset/24,"YYYYMMDD")&amp;"*"" /stext="" "&amp;TEXT(ODP28-utc_offset/24,"HH")&amp;search_regexp&amp;""""</f>
        <v>#REF!</v>
      </c>
      <c r="OEN28" s="234" t="e">
        <f>astrogrep_path&amp;" /e /r /s /spath="&amp;search_path&amp;" /stypes=""app*"&amp;ODJ28&amp;"*"&amp;TEXT(ODQ28-utc_offset/24,"YYYYMMDD")&amp;"*"" /stext="" "&amp;TEXT(ODQ28-utc_offset/24,"HH")&amp;search_regexp&amp;""""</f>
        <v>#REF!</v>
      </c>
      <c r="OEO28" s="234" t="e">
        <f>astrogrep_path&amp;" /e /r /s /spath="&amp;search_path&amp;" /stypes=""app*"&amp;ODK28&amp;"*"&amp;TEXT(ODR28-utc_offset/24,"YYYYMMDD")&amp;"*"" /stext="" "&amp;TEXT(ODR28-utc_offset/24,"HH")&amp;search_regexp&amp;""""</f>
        <v>#REF!</v>
      </c>
      <c r="OEP28" s="234" t="e">
        <f>astrogrep_path&amp;" /e /r /s /spath="&amp;search_path&amp;" /stypes=""app*"&amp;ODL28&amp;"*"&amp;TEXT(ODS28-utc_offset/24,"YYYYMMDD")&amp;"*"" /stext="" "&amp;TEXT(ODS28-utc_offset/24,"HH")&amp;search_regexp&amp;""""</f>
        <v>#REF!</v>
      </c>
      <c r="OEQ28" s="234" t="e">
        <f>astrogrep_path&amp;" /e /r /s /spath="&amp;search_path&amp;" /stypes=""app*"&amp;ODM28&amp;"*"&amp;TEXT(ODT28-utc_offset/24,"YYYYMMDD")&amp;"*"" /stext="" "&amp;TEXT(ODT28-utc_offset/24,"HH")&amp;search_regexp&amp;""""</f>
        <v>#REF!</v>
      </c>
      <c r="OER28" s="234" t="e">
        <f>astrogrep_path&amp;" /e /r /s /spath="&amp;search_path&amp;" /stypes=""app*"&amp;ODN28&amp;"*"&amp;TEXT(ODU28-utc_offset/24,"YYYYMMDD")&amp;"*"" /stext="" "&amp;TEXT(ODU28-utc_offset/24,"HH")&amp;search_regexp&amp;""""</f>
        <v>#REF!</v>
      </c>
      <c r="OES28" s="234" t="e">
        <f>astrogrep_path&amp;" /e /r /s /spath="&amp;search_path&amp;" /stypes=""app*"&amp;ODO28&amp;"*"&amp;TEXT(ODV28-utc_offset/24,"YYYYMMDD")&amp;"*"" /stext="" "&amp;TEXT(ODV28-utc_offset/24,"HH")&amp;search_regexp&amp;""""</f>
        <v>#REF!</v>
      </c>
      <c r="OET28" s="234" t="e">
        <f>astrogrep_path&amp;" /e /r /s /spath="&amp;search_path&amp;" /stypes=""app*"&amp;ODP28&amp;"*"&amp;TEXT(ODW28-utc_offset/24,"YYYYMMDD")&amp;"*"" /stext="" "&amp;TEXT(ODW28-utc_offset/24,"HH")&amp;search_regexp&amp;""""</f>
        <v>#REF!</v>
      </c>
      <c r="OEU28" s="234" t="e">
        <f>astrogrep_path&amp;" /e /r /s /spath="&amp;search_path&amp;" /stypes=""app*"&amp;ODQ28&amp;"*"&amp;TEXT(ODX28-utc_offset/24,"YYYYMMDD")&amp;"*"" /stext="" "&amp;TEXT(ODX28-utc_offset/24,"HH")&amp;search_regexp&amp;""""</f>
        <v>#VALUE!</v>
      </c>
      <c r="OEV28" s="234" t="e">
        <f>astrogrep_path&amp;" /e /r /s /spath="&amp;search_path&amp;" /stypes=""app*"&amp;ODR28&amp;"*"&amp;TEXT(ODY28-utc_offset/24,"YYYYMMDD")&amp;"*"" /stext="" "&amp;TEXT(ODY28-utc_offset/24,"HH")&amp;search_regexp&amp;""""</f>
        <v>#VALUE!</v>
      </c>
      <c r="OEW28" s="234" t="e">
        <f>astrogrep_path&amp;" /e /r /s /spath="&amp;search_path&amp;" /stypes=""app*"&amp;ODS28&amp;"*"&amp;TEXT(ODZ28-utc_offset/24,"YYYYMMDD")&amp;"*"" /stext="" "&amp;TEXT(ODZ28-utc_offset/24,"HH")&amp;search_regexp&amp;""""</f>
        <v>#REF!</v>
      </c>
      <c r="OEX28" s="234" t="e">
        <f>astrogrep_path&amp;" /e /r /s /spath="&amp;search_path&amp;" /stypes=""app*"&amp;ODT28&amp;"*"&amp;TEXT(OEA28-utc_offset/24,"YYYYMMDD")&amp;"*"" /stext="" "&amp;TEXT(OEA28-utc_offset/24,"HH")&amp;search_regexp&amp;""""</f>
        <v>#REF!</v>
      </c>
      <c r="OEY28" s="234" t="e">
        <f>astrogrep_path&amp;" /e /r /s /spath="&amp;search_path&amp;" /stypes=""app*"&amp;ODU28&amp;"*"&amp;TEXT(OEB28-utc_offset/24,"YYYYMMDD")&amp;"*"" /stext="" "&amp;TEXT(OEB28-utc_offset/24,"HH")&amp;search_regexp&amp;""""</f>
        <v>#VALUE!</v>
      </c>
      <c r="OEZ28" s="234" t="e">
        <f>astrogrep_path&amp;" /e /r /s /spath="&amp;search_path&amp;" /stypes=""app*"&amp;ODV28&amp;"*"&amp;TEXT(OEC28-utc_offset/24,"YYYYMMDD")&amp;"*"" /stext="" "&amp;TEXT(OEC28-utc_offset/24,"HH")&amp;search_regexp&amp;""""</f>
        <v>#VALUE!</v>
      </c>
      <c r="OFA28" s="234" t="e">
        <f>astrogrep_path&amp;" /e /r /s /spath="&amp;search_path&amp;" /stypes=""app*"&amp;ODW28&amp;"*"&amp;TEXT(OED28-utc_offset/24,"YYYYMMDD")&amp;"*"" /stext="" "&amp;TEXT(OED28-utc_offset/24,"HH")&amp;search_regexp&amp;""""</f>
        <v>#VALUE!</v>
      </c>
      <c r="OFB28" s="234" t="e">
        <f>astrogrep_path&amp;" /e /r /s /spath="&amp;search_path&amp;" /stypes=""app*"&amp;ODX28&amp;"*"&amp;TEXT(OEE28-utc_offset/24,"YYYYMMDD")&amp;"*"" /stext="" "&amp;TEXT(OEE28-utc_offset/24,"HH")&amp;search_regexp&amp;""""</f>
        <v>#VALUE!</v>
      </c>
      <c r="OFC28" s="234" t="e">
        <f>astrogrep_path&amp;" /e /r /s /spath="&amp;search_path&amp;" /stypes=""app*"&amp;ODY28&amp;"*"&amp;TEXT(OEF28-utc_offset/24,"YYYYMMDD")&amp;"*"" /stext="" "&amp;TEXT(OEF28-utc_offset/24,"HH")&amp;search_regexp&amp;""""</f>
        <v>#VALUE!</v>
      </c>
      <c r="OFD28" s="234" t="e">
        <f>astrogrep_path&amp;" /e /r /s /spath="&amp;search_path&amp;" /stypes=""app*"&amp;ODZ28&amp;"*"&amp;TEXT(OEG28-utc_offset/24,"YYYYMMDD")&amp;"*"" /stext="" "&amp;TEXT(OEG28-utc_offset/24,"HH")&amp;search_regexp&amp;""""</f>
        <v>#REF!</v>
      </c>
      <c r="OFE28" s="234" t="e">
        <f>astrogrep_path&amp;" /e /r /s /spath="&amp;search_path&amp;" /stypes=""app*"&amp;OEA28&amp;"*"&amp;TEXT(OEH28-utc_offset/24,"YYYYMMDD")&amp;"*"" /stext="" "&amp;TEXT(OEH28-utc_offset/24,"HH")&amp;search_regexp&amp;""""</f>
        <v>#REF!</v>
      </c>
      <c r="OFF28" s="234" t="e">
        <f>astrogrep_path&amp;" /e /r /s /spath="&amp;search_path&amp;" /stypes=""app*"&amp;OEB28&amp;"*"&amp;TEXT(OEI28-utc_offset/24,"YYYYMMDD")&amp;"*"" /stext="" "&amp;TEXT(OEI28-utc_offset/24,"HH")&amp;search_regexp&amp;""""</f>
        <v>#REF!</v>
      </c>
      <c r="OFG28" s="234" t="e">
        <f>astrogrep_path&amp;" /e /r /s /spath="&amp;search_path&amp;" /stypes=""app*"&amp;OEC28&amp;"*"&amp;TEXT(OEJ28-utc_offset/24,"YYYYMMDD")&amp;"*"" /stext="" "&amp;TEXT(OEJ28-utc_offset/24,"HH")&amp;search_regexp&amp;""""</f>
        <v>#REF!</v>
      </c>
      <c r="OFH28" s="234" t="e">
        <f>astrogrep_path&amp;" /e /r /s /spath="&amp;search_path&amp;" /stypes=""app*"&amp;OED28&amp;"*"&amp;TEXT(OEK28-utc_offset/24,"YYYYMMDD")&amp;"*"" /stext="" "&amp;TEXT(OEK28-utc_offset/24,"HH")&amp;search_regexp&amp;""""</f>
        <v>#REF!</v>
      </c>
      <c r="OFI28" s="234" t="e">
        <f>astrogrep_path&amp;" /e /r /s /spath="&amp;search_path&amp;" /stypes=""app*"&amp;OEE28&amp;"*"&amp;TEXT(OEL28-utc_offset/24,"YYYYMMDD")&amp;"*"" /stext="" "&amp;TEXT(OEL28-utc_offset/24,"HH")&amp;search_regexp&amp;""""</f>
        <v>#REF!</v>
      </c>
      <c r="OFJ28" s="234" t="e">
        <f>astrogrep_path&amp;" /e /r /s /spath="&amp;search_path&amp;" /stypes=""app*"&amp;OEF28&amp;"*"&amp;TEXT(OEM28-utc_offset/24,"YYYYMMDD")&amp;"*"" /stext="" "&amp;TEXT(OEM28-utc_offset/24,"HH")&amp;search_regexp&amp;""""</f>
        <v>#REF!</v>
      </c>
      <c r="OFK28" s="234" t="e">
        <f>astrogrep_path&amp;" /e /r /s /spath="&amp;search_path&amp;" /stypes=""app*"&amp;OEG28&amp;"*"&amp;TEXT(OEN28-utc_offset/24,"YYYYMMDD")&amp;"*"" /stext="" "&amp;TEXT(OEN28-utc_offset/24,"HH")&amp;search_regexp&amp;""""</f>
        <v>#REF!</v>
      </c>
      <c r="OFL28" s="234" t="e">
        <f>astrogrep_path&amp;" /e /r /s /spath="&amp;search_path&amp;" /stypes=""app*"&amp;OEH28&amp;"*"&amp;TEXT(OEO28-utc_offset/24,"YYYYMMDD")&amp;"*"" /stext="" "&amp;TEXT(OEO28-utc_offset/24,"HH")&amp;search_regexp&amp;""""</f>
        <v>#REF!</v>
      </c>
      <c r="OFM28" s="234" t="e">
        <f>astrogrep_path&amp;" /e /r /s /spath="&amp;search_path&amp;" /stypes=""app*"&amp;OEI28&amp;"*"&amp;TEXT(OEP28-utc_offset/24,"YYYYMMDD")&amp;"*"" /stext="" "&amp;TEXT(OEP28-utc_offset/24,"HH")&amp;search_regexp&amp;""""</f>
        <v>#REF!</v>
      </c>
      <c r="OFN28" s="234" t="e">
        <f>astrogrep_path&amp;" /e /r /s /spath="&amp;search_path&amp;" /stypes=""app*"&amp;OEJ28&amp;"*"&amp;TEXT(OEQ28-utc_offset/24,"YYYYMMDD")&amp;"*"" /stext="" "&amp;TEXT(OEQ28-utc_offset/24,"HH")&amp;search_regexp&amp;""""</f>
        <v>#REF!</v>
      </c>
      <c r="OFO28" s="234" t="e">
        <f>astrogrep_path&amp;" /e /r /s /spath="&amp;search_path&amp;" /stypes=""app*"&amp;OEK28&amp;"*"&amp;TEXT(OER28-utc_offset/24,"YYYYMMDD")&amp;"*"" /stext="" "&amp;TEXT(OER28-utc_offset/24,"HH")&amp;search_regexp&amp;""""</f>
        <v>#REF!</v>
      </c>
      <c r="OFP28" s="234" t="e">
        <f>astrogrep_path&amp;" /e /r /s /spath="&amp;search_path&amp;" /stypes=""app*"&amp;OEL28&amp;"*"&amp;TEXT(OES28-utc_offset/24,"YYYYMMDD")&amp;"*"" /stext="" "&amp;TEXT(OES28-utc_offset/24,"HH")&amp;search_regexp&amp;""""</f>
        <v>#REF!</v>
      </c>
      <c r="OFQ28" s="234" t="e">
        <f>astrogrep_path&amp;" /e /r /s /spath="&amp;search_path&amp;" /stypes=""app*"&amp;OEM28&amp;"*"&amp;TEXT(OET28-utc_offset/24,"YYYYMMDD")&amp;"*"" /stext="" "&amp;TEXT(OET28-utc_offset/24,"HH")&amp;search_regexp&amp;""""</f>
        <v>#REF!</v>
      </c>
      <c r="OFR28" s="234" t="e">
        <f>astrogrep_path&amp;" /e /r /s /spath="&amp;search_path&amp;" /stypes=""app*"&amp;OEN28&amp;"*"&amp;TEXT(OEU28-utc_offset/24,"YYYYMMDD")&amp;"*"" /stext="" "&amp;TEXT(OEU28-utc_offset/24,"HH")&amp;search_regexp&amp;""""</f>
        <v>#REF!</v>
      </c>
      <c r="OFS28" s="234" t="e">
        <f>astrogrep_path&amp;" /e /r /s /spath="&amp;search_path&amp;" /stypes=""app*"&amp;OEO28&amp;"*"&amp;TEXT(OEV28-utc_offset/24,"YYYYMMDD")&amp;"*"" /stext="" "&amp;TEXT(OEV28-utc_offset/24,"HH")&amp;search_regexp&amp;""""</f>
        <v>#REF!</v>
      </c>
      <c r="OFT28" s="234" t="e">
        <f>astrogrep_path&amp;" /e /r /s /spath="&amp;search_path&amp;" /stypes=""app*"&amp;OEP28&amp;"*"&amp;TEXT(OEW28-utc_offset/24,"YYYYMMDD")&amp;"*"" /stext="" "&amp;TEXT(OEW28-utc_offset/24,"HH")&amp;search_regexp&amp;""""</f>
        <v>#REF!</v>
      </c>
      <c r="OFU28" s="234" t="e">
        <f>astrogrep_path&amp;" /e /r /s /spath="&amp;search_path&amp;" /stypes=""app*"&amp;OEQ28&amp;"*"&amp;TEXT(OEX28-utc_offset/24,"YYYYMMDD")&amp;"*"" /stext="" "&amp;TEXT(OEX28-utc_offset/24,"HH")&amp;search_regexp&amp;""""</f>
        <v>#REF!</v>
      </c>
      <c r="OFV28" s="234" t="e">
        <f>astrogrep_path&amp;" /e /r /s /spath="&amp;search_path&amp;" /stypes=""app*"&amp;OER28&amp;"*"&amp;TEXT(OEY28-utc_offset/24,"YYYYMMDD")&amp;"*"" /stext="" "&amp;TEXT(OEY28-utc_offset/24,"HH")&amp;search_regexp&amp;""""</f>
        <v>#REF!</v>
      </c>
      <c r="OFW28" s="234" t="e">
        <f>astrogrep_path&amp;" /e /r /s /spath="&amp;search_path&amp;" /stypes=""app*"&amp;OES28&amp;"*"&amp;TEXT(OEZ28-utc_offset/24,"YYYYMMDD")&amp;"*"" /stext="" "&amp;TEXT(OEZ28-utc_offset/24,"HH")&amp;search_regexp&amp;""""</f>
        <v>#REF!</v>
      </c>
      <c r="OFX28" s="234" t="e">
        <f>astrogrep_path&amp;" /e /r /s /spath="&amp;search_path&amp;" /stypes=""app*"&amp;OET28&amp;"*"&amp;TEXT(OFA28-utc_offset/24,"YYYYMMDD")&amp;"*"" /stext="" "&amp;TEXT(OFA28-utc_offset/24,"HH")&amp;search_regexp&amp;""""</f>
        <v>#REF!</v>
      </c>
      <c r="OFY28" s="234" t="e">
        <f>astrogrep_path&amp;" /e /r /s /spath="&amp;search_path&amp;" /stypes=""app*"&amp;OEU28&amp;"*"&amp;TEXT(OFB28-utc_offset/24,"YYYYMMDD")&amp;"*"" /stext="" "&amp;TEXT(OFB28-utc_offset/24,"HH")&amp;search_regexp&amp;""""</f>
        <v>#VALUE!</v>
      </c>
      <c r="OFZ28" s="234" t="e">
        <f>astrogrep_path&amp;" /e /r /s /spath="&amp;search_path&amp;" /stypes=""app*"&amp;OEV28&amp;"*"&amp;TEXT(OFC28-utc_offset/24,"YYYYMMDD")&amp;"*"" /stext="" "&amp;TEXT(OFC28-utc_offset/24,"HH")&amp;search_regexp&amp;""""</f>
        <v>#VALUE!</v>
      </c>
      <c r="OGA28" s="234" t="e">
        <f>astrogrep_path&amp;" /e /r /s /spath="&amp;search_path&amp;" /stypes=""app*"&amp;OEW28&amp;"*"&amp;TEXT(OFD28-utc_offset/24,"YYYYMMDD")&amp;"*"" /stext="" "&amp;TEXT(OFD28-utc_offset/24,"HH")&amp;search_regexp&amp;""""</f>
        <v>#REF!</v>
      </c>
      <c r="OGB28" s="234" t="e">
        <f>astrogrep_path&amp;" /e /r /s /spath="&amp;search_path&amp;" /stypes=""app*"&amp;OEX28&amp;"*"&amp;TEXT(OFE28-utc_offset/24,"YYYYMMDD")&amp;"*"" /stext="" "&amp;TEXT(OFE28-utc_offset/24,"HH")&amp;search_regexp&amp;""""</f>
        <v>#REF!</v>
      </c>
      <c r="OGC28" s="234" t="e">
        <f>astrogrep_path&amp;" /e /r /s /spath="&amp;search_path&amp;" /stypes=""app*"&amp;OEY28&amp;"*"&amp;TEXT(OFF28-utc_offset/24,"YYYYMMDD")&amp;"*"" /stext="" "&amp;TEXT(OFF28-utc_offset/24,"HH")&amp;search_regexp&amp;""""</f>
        <v>#VALUE!</v>
      </c>
      <c r="OGD28" s="234" t="e">
        <f>astrogrep_path&amp;" /e /r /s /spath="&amp;search_path&amp;" /stypes=""app*"&amp;OEZ28&amp;"*"&amp;TEXT(OFG28-utc_offset/24,"YYYYMMDD")&amp;"*"" /stext="" "&amp;TEXT(OFG28-utc_offset/24,"HH")&amp;search_regexp&amp;""""</f>
        <v>#VALUE!</v>
      </c>
      <c r="OGE28" s="234" t="e">
        <f>astrogrep_path&amp;" /e /r /s /spath="&amp;search_path&amp;" /stypes=""app*"&amp;OFA28&amp;"*"&amp;TEXT(OFH28-utc_offset/24,"YYYYMMDD")&amp;"*"" /stext="" "&amp;TEXT(OFH28-utc_offset/24,"HH")&amp;search_regexp&amp;""""</f>
        <v>#VALUE!</v>
      </c>
      <c r="OGF28" s="234" t="e">
        <f>astrogrep_path&amp;" /e /r /s /spath="&amp;search_path&amp;" /stypes=""app*"&amp;OFB28&amp;"*"&amp;TEXT(OFI28-utc_offset/24,"YYYYMMDD")&amp;"*"" /stext="" "&amp;TEXT(OFI28-utc_offset/24,"HH")&amp;search_regexp&amp;""""</f>
        <v>#VALUE!</v>
      </c>
      <c r="OGG28" s="234" t="e">
        <f>astrogrep_path&amp;" /e /r /s /spath="&amp;search_path&amp;" /stypes=""app*"&amp;OFC28&amp;"*"&amp;TEXT(OFJ28-utc_offset/24,"YYYYMMDD")&amp;"*"" /stext="" "&amp;TEXT(OFJ28-utc_offset/24,"HH")&amp;search_regexp&amp;""""</f>
        <v>#VALUE!</v>
      </c>
      <c r="OGH28" s="234" t="e">
        <f>astrogrep_path&amp;" /e /r /s /spath="&amp;search_path&amp;" /stypes=""app*"&amp;OFD28&amp;"*"&amp;TEXT(OFK28-utc_offset/24,"YYYYMMDD")&amp;"*"" /stext="" "&amp;TEXT(OFK28-utc_offset/24,"HH")&amp;search_regexp&amp;""""</f>
        <v>#REF!</v>
      </c>
      <c r="OGI28" s="234" t="e">
        <f>astrogrep_path&amp;" /e /r /s /spath="&amp;search_path&amp;" /stypes=""app*"&amp;OFE28&amp;"*"&amp;TEXT(OFL28-utc_offset/24,"YYYYMMDD")&amp;"*"" /stext="" "&amp;TEXT(OFL28-utc_offset/24,"HH")&amp;search_regexp&amp;""""</f>
        <v>#REF!</v>
      </c>
      <c r="OGJ28" s="234" t="e">
        <f>astrogrep_path&amp;" /e /r /s /spath="&amp;search_path&amp;" /stypes=""app*"&amp;OFF28&amp;"*"&amp;TEXT(OFM28-utc_offset/24,"YYYYMMDD")&amp;"*"" /stext="" "&amp;TEXT(OFM28-utc_offset/24,"HH")&amp;search_regexp&amp;""""</f>
        <v>#REF!</v>
      </c>
      <c r="OGK28" s="234" t="e">
        <f>astrogrep_path&amp;" /e /r /s /spath="&amp;search_path&amp;" /stypes=""app*"&amp;OFG28&amp;"*"&amp;TEXT(OFN28-utc_offset/24,"YYYYMMDD")&amp;"*"" /stext="" "&amp;TEXT(OFN28-utc_offset/24,"HH")&amp;search_regexp&amp;""""</f>
        <v>#REF!</v>
      </c>
      <c r="OGL28" s="234" t="e">
        <f>astrogrep_path&amp;" /e /r /s /spath="&amp;search_path&amp;" /stypes=""app*"&amp;OFH28&amp;"*"&amp;TEXT(OFO28-utc_offset/24,"YYYYMMDD")&amp;"*"" /stext="" "&amp;TEXT(OFO28-utc_offset/24,"HH")&amp;search_regexp&amp;""""</f>
        <v>#REF!</v>
      </c>
      <c r="OGM28" s="234" t="e">
        <f>astrogrep_path&amp;" /e /r /s /spath="&amp;search_path&amp;" /stypes=""app*"&amp;OFI28&amp;"*"&amp;TEXT(OFP28-utc_offset/24,"YYYYMMDD")&amp;"*"" /stext="" "&amp;TEXT(OFP28-utc_offset/24,"HH")&amp;search_regexp&amp;""""</f>
        <v>#REF!</v>
      </c>
      <c r="OGN28" s="234" t="e">
        <f>astrogrep_path&amp;" /e /r /s /spath="&amp;search_path&amp;" /stypes=""app*"&amp;OFJ28&amp;"*"&amp;TEXT(OFQ28-utc_offset/24,"YYYYMMDD")&amp;"*"" /stext="" "&amp;TEXT(OFQ28-utc_offset/24,"HH")&amp;search_regexp&amp;""""</f>
        <v>#REF!</v>
      </c>
      <c r="OGO28" s="234" t="e">
        <f>astrogrep_path&amp;" /e /r /s /spath="&amp;search_path&amp;" /stypes=""app*"&amp;OFK28&amp;"*"&amp;TEXT(OFR28-utc_offset/24,"YYYYMMDD")&amp;"*"" /stext="" "&amp;TEXT(OFR28-utc_offset/24,"HH")&amp;search_regexp&amp;""""</f>
        <v>#REF!</v>
      </c>
      <c r="OGP28" s="234" t="e">
        <f>astrogrep_path&amp;" /e /r /s /spath="&amp;search_path&amp;" /stypes=""app*"&amp;OFL28&amp;"*"&amp;TEXT(OFS28-utc_offset/24,"YYYYMMDD")&amp;"*"" /stext="" "&amp;TEXT(OFS28-utc_offset/24,"HH")&amp;search_regexp&amp;""""</f>
        <v>#REF!</v>
      </c>
      <c r="OGQ28" s="234" t="e">
        <f>astrogrep_path&amp;" /e /r /s /spath="&amp;search_path&amp;" /stypes=""app*"&amp;OFM28&amp;"*"&amp;TEXT(OFT28-utc_offset/24,"YYYYMMDD")&amp;"*"" /stext="" "&amp;TEXT(OFT28-utc_offset/24,"HH")&amp;search_regexp&amp;""""</f>
        <v>#REF!</v>
      </c>
      <c r="OGR28" s="234" t="e">
        <f>astrogrep_path&amp;" /e /r /s /spath="&amp;search_path&amp;" /stypes=""app*"&amp;OFN28&amp;"*"&amp;TEXT(OFU28-utc_offset/24,"YYYYMMDD")&amp;"*"" /stext="" "&amp;TEXT(OFU28-utc_offset/24,"HH")&amp;search_regexp&amp;""""</f>
        <v>#REF!</v>
      </c>
      <c r="OGS28" s="234" t="e">
        <f>astrogrep_path&amp;" /e /r /s /spath="&amp;search_path&amp;" /stypes=""app*"&amp;OFO28&amp;"*"&amp;TEXT(OFV28-utc_offset/24,"YYYYMMDD")&amp;"*"" /stext="" "&amp;TEXT(OFV28-utc_offset/24,"HH")&amp;search_regexp&amp;""""</f>
        <v>#REF!</v>
      </c>
      <c r="OGT28" s="234" t="e">
        <f>astrogrep_path&amp;" /e /r /s /spath="&amp;search_path&amp;" /stypes=""app*"&amp;OFP28&amp;"*"&amp;TEXT(OFW28-utc_offset/24,"YYYYMMDD")&amp;"*"" /stext="" "&amp;TEXT(OFW28-utc_offset/24,"HH")&amp;search_regexp&amp;""""</f>
        <v>#REF!</v>
      </c>
      <c r="OGU28" s="234" t="e">
        <f>astrogrep_path&amp;" /e /r /s /spath="&amp;search_path&amp;" /stypes=""app*"&amp;OFQ28&amp;"*"&amp;TEXT(OFX28-utc_offset/24,"YYYYMMDD")&amp;"*"" /stext="" "&amp;TEXT(OFX28-utc_offset/24,"HH")&amp;search_regexp&amp;""""</f>
        <v>#REF!</v>
      </c>
      <c r="OGV28" s="234" t="e">
        <f>astrogrep_path&amp;" /e /r /s /spath="&amp;search_path&amp;" /stypes=""app*"&amp;OFR28&amp;"*"&amp;TEXT(OFY28-utc_offset/24,"YYYYMMDD")&amp;"*"" /stext="" "&amp;TEXT(OFY28-utc_offset/24,"HH")&amp;search_regexp&amp;""""</f>
        <v>#REF!</v>
      </c>
      <c r="OGW28" s="234" t="e">
        <f>astrogrep_path&amp;" /e /r /s /spath="&amp;search_path&amp;" /stypes=""app*"&amp;OFS28&amp;"*"&amp;TEXT(OFZ28-utc_offset/24,"YYYYMMDD")&amp;"*"" /stext="" "&amp;TEXT(OFZ28-utc_offset/24,"HH")&amp;search_regexp&amp;""""</f>
        <v>#REF!</v>
      </c>
      <c r="OGX28" s="234" t="e">
        <f>astrogrep_path&amp;" /e /r /s /spath="&amp;search_path&amp;" /stypes=""app*"&amp;OFT28&amp;"*"&amp;TEXT(OGA28-utc_offset/24,"YYYYMMDD")&amp;"*"" /stext="" "&amp;TEXT(OGA28-utc_offset/24,"HH")&amp;search_regexp&amp;""""</f>
        <v>#REF!</v>
      </c>
      <c r="OGY28" s="234" t="e">
        <f>astrogrep_path&amp;" /e /r /s /spath="&amp;search_path&amp;" /stypes=""app*"&amp;OFU28&amp;"*"&amp;TEXT(OGB28-utc_offset/24,"YYYYMMDD")&amp;"*"" /stext="" "&amp;TEXT(OGB28-utc_offset/24,"HH")&amp;search_regexp&amp;""""</f>
        <v>#REF!</v>
      </c>
      <c r="OGZ28" s="234" t="e">
        <f>astrogrep_path&amp;" /e /r /s /spath="&amp;search_path&amp;" /stypes=""app*"&amp;OFV28&amp;"*"&amp;TEXT(OGC28-utc_offset/24,"YYYYMMDD")&amp;"*"" /stext="" "&amp;TEXT(OGC28-utc_offset/24,"HH")&amp;search_regexp&amp;""""</f>
        <v>#REF!</v>
      </c>
      <c r="OHA28" s="234" t="e">
        <f>astrogrep_path&amp;" /e /r /s /spath="&amp;search_path&amp;" /stypes=""app*"&amp;OFW28&amp;"*"&amp;TEXT(OGD28-utc_offset/24,"YYYYMMDD")&amp;"*"" /stext="" "&amp;TEXT(OGD28-utc_offset/24,"HH")&amp;search_regexp&amp;""""</f>
        <v>#REF!</v>
      </c>
      <c r="OHB28" s="234" t="e">
        <f>astrogrep_path&amp;" /e /r /s /spath="&amp;search_path&amp;" /stypes=""app*"&amp;OFX28&amp;"*"&amp;TEXT(OGE28-utc_offset/24,"YYYYMMDD")&amp;"*"" /stext="" "&amp;TEXT(OGE28-utc_offset/24,"HH")&amp;search_regexp&amp;""""</f>
        <v>#REF!</v>
      </c>
      <c r="OHC28" s="234" t="e">
        <f>astrogrep_path&amp;" /e /r /s /spath="&amp;search_path&amp;" /stypes=""app*"&amp;OFY28&amp;"*"&amp;TEXT(OGF28-utc_offset/24,"YYYYMMDD")&amp;"*"" /stext="" "&amp;TEXT(OGF28-utc_offset/24,"HH")&amp;search_regexp&amp;""""</f>
        <v>#VALUE!</v>
      </c>
      <c r="OHD28" s="234" t="e">
        <f>astrogrep_path&amp;" /e /r /s /spath="&amp;search_path&amp;" /stypes=""app*"&amp;OFZ28&amp;"*"&amp;TEXT(OGG28-utc_offset/24,"YYYYMMDD")&amp;"*"" /stext="" "&amp;TEXT(OGG28-utc_offset/24,"HH")&amp;search_regexp&amp;""""</f>
        <v>#VALUE!</v>
      </c>
      <c r="OHE28" s="234" t="e">
        <f>astrogrep_path&amp;" /e /r /s /spath="&amp;search_path&amp;" /stypes=""app*"&amp;OGA28&amp;"*"&amp;TEXT(OGH28-utc_offset/24,"YYYYMMDD")&amp;"*"" /stext="" "&amp;TEXT(OGH28-utc_offset/24,"HH")&amp;search_regexp&amp;""""</f>
        <v>#REF!</v>
      </c>
      <c r="OHF28" s="234" t="e">
        <f>astrogrep_path&amp;" /e /r /s /spath="&amp;search_path&amp;" /stypes=""app*"&amp;OGB28&amp;"*"&amp;TEXT(OGI28-utc_offset/24,"YYYYMMDD")&amp;"*"" /stext="" "&amp;TEXT(OGI28-utc_offset/24,"HH")&amp;search_regexp&amp;""""</f>
        <v>#REF!</v>
      </c>
      <c r="OHG28" s="234" t="e">
        <f>astrogrep_path&amp;" /e /r /s /spath="&amp;search_path&amp;" /stypes=""app*"&amp;OGC28&amp;"*"&amp;TEXT(OGJ28-utc_offset/24,"YYYYMMDD")&amp;"*"" /stext="" "&amp;TEXT(OGJ28-utc_offset/24,"HH")&amp;search_regexp&amp;""""</f>
        <v>#VALUE!</v>
      </c>
      <c r="OHH28" s="234" t="e">
        <f>astrogrep_path&amp;" /e /r /s /spath="&amp;search_path&amp;" /stypes=""app*"&amp;OGD28&amp;"*"&amp;TEXT(OGK28-utc_offset/24,"YYYYMMDD")&amp;"*"" /stext="" "&amp;TEXT(OGK28-utc_offset/24,"HH")&amp;search_regexp&amp;""""</f>
        <v>#VALUE!</v>
      </c>
      <c r="OHI28" s="234" t="e">
        <f>astrogrep_path&amp;" /e /r /s /spath="&amp;search_path&amp;" /stypes=""app*"&amp;OGE28&amp;"*"&amp;TEXT(OGL28-utc_offset/24,"YYYYMMDD")&amp;"*"" /stext="" "&amp;TEXT(OGL28-utc_offset/24,"HH")&amp;search_regexp&amp;""""</f>
        <v>#VALUE!</v>
      </c>
      <c r="OHJ28" s="234" t="e">
        <f>astrogrep_path&amp;" /e /r /s /spath="&amp;search_path&amp;" /stypes=""app*"&amp;OGF28&amp;"*"&amp;TEXT(OGM28-utc_offset/24,"YYYYMMDD")&amp;"*"" /stext="" "&amp;TEXT(OGM28-utc_offset/24,"HH")&amp;search_regexp&amp;""""</f>
        <v>#VALUE!</v>
      </c>
      <c r="OHK28" s="234" t="e">
        <f>astrogrep_path&amp;" /e /r /s /spath="&amp;search_path&amp;" /stypes=""app*"&amp;OGG28&amp;"*"&amp;TEXT(OGN28-utc_offset/24,"YYYYMMDD")&amp;"*"" /stext="" "&amp;TEXT(OGN28-utc_offset/24,"HH")&amp;search_regexp&amp;""""</f>
        <v>#VALUE!</v>
      </c>
      <c r="OHL28" s="234" t="e">
        <f>astrogrep_path&amp;" /e /r /s /spath="&amp;search_path&amp;" /stypes=""app*"&amp;OGH28&amp;"*"&amp;TEXT(OGO28-utc_offset/24,"YYYYMMDD")&amp;"*"" /stext="" "&amp;TEXT(OGO28-utc_offset/24,"HH")&amp;search_regexp&amp;""""</f>
        <v>#REF!</v>
      </c>
      <c r="OHM28" s="234" t="e">
        <f>astrogrep_path&amp;" /e /r /s /spath="&amp;search_path&amp;" /stypes=""app*"&amp;OGI28&amp;"*"&amp;TEXT(OGP28-utc_offset/24,"YYYYMMDD")&amp;"*"" /stext="" "&amp;TEXT(OGP28-utc_offset/24,"HH")&amp;search_regexp&amp;""""</f>
        <v>#REF!</v>
      </c>
      <c r="OHN28" s="234" t="e">
        <f>astrogrep_path&amp;" /e /r /s /spath="&amp;search_path&amp;" /stypes=""app*"&amp;OGJ28&amp;"*"&amp;TEXT(OGQ28-utc_offset/24,"YYYYMMDD")&amp;"*"" /stext="" "&amp;TEXT(OGQ28-utc_offset/24,"HH")&amp;search_regexp&amp;""""</f>
        <v>#REF!</v>
      </c>
      <c r="OHO28" s="234" t="e">
        <f>astrogrep_path&amp;" /e /r /s /spath="&amp;search_path&amp;" /stypes=""app*"&amp;OGK28&amp;"*"&amp;TEXT(OGR28-utc_offset/24,"YYYYMMDD")&amp;"*"" /stext="" "&amp;TEXT(OGR28-utc_offset/24,"HH")&amp;search_regexp&amp;""""</f>
        <v>#REF!</v>
      </c>
      <c r="OHP28" s="234" t="e">
        <f>astrogrep_path&amp;" /e /r /s /spath="&amp;search_path&amp;" /stypes=""app*"&amp;OGL28&amp;"*"&amp;TEXT(OGS28-utc_offset/24,"YYYYMMDD")&amp;"*"" /stext="" "&amp;TEXT(OGS28-utc_offset/24,"HH")&amp;search_regexp&amp;""""</f>
        <v>#REF!</v>
      </c>
      <c r="OHQ28" s="234" t="e">
        <f>astrogrep_path&amp;" /e /r /s /spath="&amp;search_path&amp;" /stypes=""app*"&amp;OGM28&amp;"*"&amp;TEXT(OGT28-utc_offset/24,"YYYYMMDD")&amp;"*"" /stext="" "&amp;TEXT(OGT28-utc_offset/24,"HH")&amp;search_regexp&amp;""""</f>
        <v>#REF!</v>
      </c>
      <c r="OHR28" s="234" t="e">
        <f>astrogrep_path&amp;" /e /r /s /spath="&amp;search_path&amp;" /stypes=""app*"&amp;OGN28&amp;"*"&amp;TEXT(OGU28-utc_offset/24,"YYYYMMDD")&amp;"*"" /stext="" "&amp;TEXT(OGU28-utc_offset/24,"HH")&amp;search_regexp&amp;""""</f>
        <v>#REF!</v>
      </c>
      <c r="OHS28" s="234" t="e">
        <f>astrogrep_path&amp;" /e /r /s /spath="&amp;search_path&amp;" /stypes=""app*"&amp;OGO28&amp;"*"&amp;TEXT(OGV28-utc_offset/24,"YYYYMMDD")&amp;"*"" /stext="" "&amp;TEXT(OGV28-utc_offset/24,"HH")&amp;search_regexp&amp;""""</f>
        <v>#REF!</v>
      </c>
      <c r="OHT28" s="234" t="e">
        <f>astrogrep_path&amp;" /e /r /s /spath="&amp;search_path&amp;" /stypes=""app*"&amp;OGP28&amp;"*"&amp;TEXT(OGW28-utc_offset/24,"YYYYMMDD")&amp;"*"" /stext="" "&amp;TEXT(OGW28-utc_offset/24,"HH")&amp;search_regexp&amp;""""</f>
        <v>#REF!</v>
      </c>
      <c r="OHU28" s="234" t="e">
        <f>astrogrep_path&amp;" /e /r /s /spath="&amp;search_path&amp;" /stypes=""app*"&amp;OGQ28&amp;"*"&amp;TEXT(OGX28-utc_offset/24,"YYYYMMDD")&amp;"*"" /stext="" "&amp;TEXT(OGX28-utc_offset/24,"HH")&amp;search_regexp&amp;""""</f>
        <v>#REF!</v>
      </c>
      <c r="OHV28" s="234" t="e">
        <f>astrogrep_path&amp;" /e /r /s /spath="&amp;search_path&amp;" /stypes=""app*"&amp;OGR28&amp;"*"&amp;TEXT(OGY28-utc_offset/24,"YYYYMMDD")&amp;"*"" /stext="" "&amp;TEXT(OGY28-utc_offset/24,"HH")&amp;search_regexp&amp;""""</f>
        <v>#REF!</v>
      </c>
      <c r="OHW28" s="234" t="e">
        <f>astrogrep_path&amp;" /e /r /s /spath="&amp;search_path&amp;" /stypes=""app*"&amp;OGS28&amp;"*"&amp;TEXT(OGZ28-utc_offset/24,"YYYYMMDD")&amp;"*"" /stext="" "&amp;TEXT(OGZ28-utc_offset/24,"HH")&amp;search_regexp&amp;""""</f>
        <v>#REF!</v>
      </c>
      <c r="OHX28" s="234" t="e">
        <f>astrogrep_path&amp;" /e /r /s /spath="&amp;search_path&amp;" /stypes=""app*"&amp;OGT28&amp;"*"&amp;TEXT(OHA28-utc_offset/24,"YYYYMMDD")&amp;"*"" /stext="" "&amp;TEXT(OHA28-utc_offset/24,"HH")&amp;search_regexp&amp;""""</f>
        <v>#REF!</v>
      </c>
      <c r="OHY28" s="234" t="e">
        <f>astrogrep_path&amp;" /e /r /s /spath="&amp;search_path&amp;" /stypes=""app*"&amp;OGU28&amp;"*"&amp;TEXT(OHB28-utc_offset/24,"YYYYMMDD")&amp;"*"" /stext="" "&amp;TEXT(OHB28-utc_offset/24,"HH")&amp;search_regexp&amp;""""</f>
        <v>#REF!</v>
      </c>
      <c r="OHZ28" s="234" t="e">
        <f>astrogrep_path&amp;" /e /r /s /spath="&amp;search_path&amp;" /stypes=""app*"&amp;OGV28&amp;"*"&amp;TEXT(OHC28-utc_offset/24,"YYYYMMDD")&amp;"*"" /stext="" "&amp;TEXT(OHC28-utc_offset/24,"HH")&amp;search_regexp&amp;""""</f>
        <v>#REF!</v>
      </c>
      <c r="OIA28" s="234" t="e">
        <f>astrogrep_path&amp;" /e /r /s /spath="&amp;search_path&amp;" /stypes=""app*"&amp;OGW28&amp;"*"&amp;TEXT(OHD28-utc_offset/24,"YYYYMMDD")&amp;"*"" /stext="" "&amp;TEXT(OHD28-utc_offset/24,"HH")&amp;search_regexp&amp;""""</f>
        <v>#REF!</v>
      </c>
      <c r="OIB28" s="234" t="e">
        <f>astrogrep_path&amp;" /e /r /s /spath="&amp;search_path&amp;" /stypes=""app*"&amp;OGX28&amp;"*"&amp;TEXT(OHE28-utc_offset/24,"YYYYMMDD")&amp;"*"" /stext="" "&amp;TEXT(OHE28-utc_offset/24,"HH")&amp;search_regexp&amp;""""</f>
        <v>#REF!</v>
      </c>
      <c r="OIC28" s="234" t="e">
        <f>astrogrep_path&amp;" /e /r /s /spath="&amp;search_path&amp;" /stypes=""app*"&amp;OGY28&amp;"*"&amp;TEXT(OHF28-utc_offset/24,"YYYYMMDD")&amp;"*"" /stext="" "&amp;TEXT(OHF28-utc_offset/24,"HH")&amp;search_regexp&amp;""""</f>
        <v>#REF!</v>
      </c>
      <c r="OID28" s="234" t="e">
        <f>astrogrep_path&amp;" /e /r /s /spath="&amp;search_path&amp;" /stypes=""app*"&amp;OGZ28&amp;"*"&amp;TEXT(OHG28-utc_offset/24,"YYYYMMDD")&amp;"*"" /stext="" "&amp;TEXT(OHG28-utc_offset/24,"HH")&amp;search_regexp&amp;""""</f>
        <v>#REF!</v>
      </c>
      <c r="OIE28" s="234" t="e">
        <f>astrogrep_path&amp;" /e /r /s /spath="&amp;search_path&amp;" /stypes=""app*"&amp;OHA28&amp;"*"&amp;TEXT(OHH28-utc_offset/24,"YYYYMMDD")&amp;"*"" /stext="" "&amp;TEXT(OHH28-utc_offset/24,"HH")&amp;search_regexp&amp;""""</f>
        <v>#REF!</v>
      </c>
      <c r="OIF28" s="234" t="e">
        <f>astrogrep_path&amp;" /e /r /s /spath="&amp;search_path&amp;" /stypes=""app*"&amp;OHB28&amp;"*"&amp;TEXT(OHI28-utc_offset/24,"YYYYMMDD")&amp;"*"" /stext="" "&amp;TEXT(OHI28-utc_offset/24,"HH")&amp;search_regexp&amp;""""</f>
        <v>#REF!</v>
      </c>
      <c r="OIG28" s="234" t="e">
        <f>astrogrep_path&amp;" /e /r /s /spath="&amp;search_path&amp;" /stypes=""app*"&amp;OHC28&amp;"*"&amp;TEXT(OHJ28-utc_offset/24,"YYYYMMDD")&amp;"*"" /stext="" "&amp;TEXT(OHJ28-utc_offset/24,"HH")&amp;search_regexp&amp;""""</f>
        <v>#VALUE!</v>
      </c>
      <c r="OIH28" s="234" t="e">
        <f>astrogrep_path&amp;" /e /r /s /spath="&amp;search_path&amp;" /stypes=""app*"&amp;OHD28&amp;"*"&amp;TEXT(OHK28-utc_offset/24,"YYYYMMDD")&amp;"*"" /stext="" "&amp;TEXT(OHK28-utc_offset/24,"HH")&amp;search_regexp&amp;""""</f>
        <v>#VALUE!</v>
      </c>
      <c r="OII28" s="234" t="e">
        <f>astrogrep_path&amp;" /e /r /s /spath="&amp;search_path&amp;" /stypes=""app*"&amp;OHE28&amp;"*"&amp;TEXT(OHL28-utc_offset/24,"YYYYMMDD")&amp;"*"" /stext="" "&amp;TEXT(OHL28-utc_offset/24,"HH")&amp;search_regexp&amp;""""</f>
        <v>#REF!</v>
      </c>
      <c r="OIJ28" s="234" t="e">
        <f>astrogrep_path&amp;" /e /r /s /spath="&amp;search_path&amp;" /stypes=""app*"&amp;OHF28&amp;"*"&amp;TEXT(OHM28-utc_offset/24,"YYYYMMDD")&amp;"*"" /stext="" "&amp;TEXT(OHM28-utc_offset/24,"HH")&amp;search_regexp&amp;""""</f>
        <v>#REF!</v>
      </c>
      <c r="OIK28" s="234" t="e">
        <f>astrogrep_path&amp;" /e /r /s /spath="&amp;search_path&amp;" /stypes=""app*"&amp;OHG28&amp;"*"&amp;TEXT(OHN28-utc_offset/24,"YYYYMMDD")&amp;"*"" /stext="" "&amp;TEXT(OHN28-utc_offset/24,"HH")&amp;search_regexp&amp;""""</f>
        <v>#VALUE!</v>
      </c>
      <c r="OIL28" s="234" t="e">
        <f>astrogrep_path&amp;" /e /r /s /spath="&amp;search_path&amp;" /stypes=""app*"&amp;OHH28&amp;"*"&amp;TEXT(OHO28-utc_offset/24,"YYYYMMDD")&amp;"*"" /stext="" "&amp;TEXT(OHO28-utc_offset/24,"HH")&amp;search_regexp&amp;""""</f>
        <v>#VALUE!</v>
      </c>
      <c r="OIM28" s="234" t="e">
        <f>astrogrep_path&amp;" /e /r /s /spath="&amp;search_path&amp;" /stypes=""app*"&amp;OHI28&amp;"*"&amp;TEXT(OHP28-utc_offset/24,"YYYYMMDD")&amp;"*"" /stext="" "&amp;TEXT(OHP28-utc_offset/24,"HH")&amp;search_regexp&amp;""""</f>
        <v>#VALUE!</v>
      </c>
      <c r="OIN28" s="234" t="e">
        <f>astrogrep_path&amp;" /e /r /s /spath="&amp;search_path&amp;" /stypes=""app*"&amp;OHJ28&amp;"*"&amp;TEXT(OHQ28-utc_offset/24,"YYYYMMDD")&amp;"*"" /stext="" "&amp;TEXT(OHQ28-utc_offset/24,"HH")&amp;search_regexp&amp;""""</f>
        <v>#VALUE!</v>
      </c>
      <c r="OIO28" s="234" t="e">
        <f>astrogrep_path&amp;" /e /r /s /spath="&amp;search_path&amp;" /stypes=""app*"&amp;OHK28&amp;"*"&amp;TEXT(OHR28-utc_offset/24,"YYYYMMDD")&amp;"*"" /stext="" "&amp;TEXT(OHR28-utc_offset/24,"HH")&amp;search_regexp&amp;""""</f>
        <v>#VALUE!</v>
      </c>
      <c r="OIP28" s="234" t="e">
        <f>astrogrep_path&amp;" /e /r /s /spath="&amp;search_path&amp;" /stypes=""app*"&amp;OHL28&amp;"*"&amp;TEXT(OHS28-utc_offset/24,"YYYYMMDD")&amp;"*"" /stext="" "&amp;TEXT(OHS28-utc_offset/24,"HH")&amp;search_regexp&amp;""""</f>
        <v>#REF!</v>
      </c>
      <c r="OIQ28" s="234" t="e">
        <f>astrogrep_path&amp;" /e /r /s /spath="&amp;search_path&amp;" /stypes=""app*"&amp;OHM28&amp;"*"&amp;TEXT(OHT28-utc_offset/24,"YYYYMMDD")&amp;"*"" /stext="" "&amp;TEXT(OHT28-utc_offset/24,"HH")&amp;search_regexp&amp;""""</f>
        <v>#REF!</v>
      </c>
      <c r="OIR28" s="234" t="e">
        <f>astrogrep_path&amp;" /e /r /s /spath="&amp;search_path&amp;" /stypes=""app*"&amp;OHN28&amp;"*"&amp;TEXT(OHU28-utc_offset/24,"YYYYMMDD")&amp;"*"" /stext="" "&amp;TEXT(OHU28-utc_offset/24,"HH")&amp;search_regexp&amp;""""</f>
        <v>#REF!</v>
      </c>
      <c r="OIS28" s="234" t="e">
        <f>astrogrep_path&amp;" /e /r /s /spath="&amp;search_path&amp;" /stypes=""app*"&amp;OHO28&amp;"*"&amp;TEXT(OHV28-utc_offset/24,"YYYYMMDD")&amp;"*"" /stext="" "&amp;TEXT(OHV28-utc_offset/24,"HH")&amp;search_regexp&amp;""""</f>
        <v>#REF!</v>
      </c>
      <c r="OIT28" s="234" t="e">
        <f>astrogrep_path&amp;" /e /r /s /spath="&amp;search_path&amp;" /stypes=""app*"&amp;OHP28&amp;"*"&amp;TEXT(OHW28-utc_offset/24,"YYYYMMDD")&amp;"*"" /stext="" "&amp;TEXT(OHW28-utc_offset/24,"HH")&amp;search_regexp&amp;""""</f>
        <v>#REF!</v>
      </c>
      <c r="OIU28" s="234" t="e">
        <f>astrogrep_path&amp;" /e /r /s /spath="&amp;search_path&amp;" /stypes=""app*"&amp;OHQ28&amp;"*"&amp;TEXT(OHX28-utc_offset/24,"YYYYMMDD")&amp;"*"" /stext="" "&amp;TEXT(OHX28-utc_offset/24,"HH")&amp;search_regexp&amp;""""</f>
        <v>#REF!</v>
      </c>
      <c r="OIV28" s="234" t="e">
        <f>astrogrep_path&amp;" /e /r /s /spath="&amp;search_path&amp;" /stypes=""app*"&amp;OHR28&amp;"*"&amp;TEXT(OHY28-utc_offset/24,"YYYYMMDD")&amp;"*"" /stext="" "&amp;TEXT(OHY28-utc_offset/24,"HH")&amp;search_regexp&amp;""""</f>
        <v>#REF!</v>
      </c>
      <c r="OIW28" s="234" t="e">
        <f>astrogrep_path&amp;" /e /r /s /spath="&amp;search_path&amp;" /stypes=""app*"&amp;OHS28&amp;"*"&amp;TEXT(OHZ28-utc_offset/24,"YYYYMMDD")&amp;"*"" /stext="" "&amp;TEXT(OHZ28-utc_offset/24,"HH")&amp;search_regexp&amp;""""</f>
        <v>#REF!</v>
      </c>
      <c r="OIX28" s="234" t="e">
        <f>astrogrep_path&amp;" /e /r /s /spath="&amp;search_path&amp;" /stypes=""app*"&amp;OHT28&amp;"*"&amp;TEXT(OIA28-utc_offset/24,"YYYYMMDD")&amp;"*"" /stext="" "&amp;TEXT(OIA28-utc_offset/24,"HH")&amp;search_regexp&amp;""""</f>
        <v>#REF!</v>
      </c>
      <c r="OIY28" s="234" t="e">
        <f>astrogrep_path&amp;" /e /r /s /spath="&amp;search_path&amp;" /stypes=""app*"&amp;OHU28&amp;"*"&amp;TEXT(OIB28-utc_offset/24,"YYYYMMDD")&amp;"*"" /stext="" "&amp;TEXT(OIB28-utc_offset/24,"HH")&amp;search_regexp&amp;""""</f>
        <v>#REF!</v>
      </c>
      <c r="OIZ28" s="234" t="e">
        <f>astrogrep_path&amp;" /e /r /s /spath="&amp;search_path&amp;" /stypes=""app*"&amp;OHV28&amp;"*"&amp;TEXT(OIC28-utc_offset/24,"YYYYMMDD")&amp;"*"" /stext="" "&amp;TEXT(OIC28-utc_offset/24,"HH")&amp;search_regexp&amp;""""</f>
        <v>#REF!</v>
      </c>
      <c r="OJA28" s="234" t="e">
        <f>astrogrep_path&amp;" /e /r /s /spath="&amp;search_path&amp;" /stypes=""app*"&amp;OHW28&amp;"*"&amp;TEXT(OID28-utc_offset/24,"YYYYMMDD")&amp;"*"" /stext="" "&amp;TEXT(OID28-utc_offset/24,"HH")&amp;search_regexp&amp;""""</f>
        <v>#REF!</v>
      </c>
      <c r="OJB28" s="234" t="e">
        <f>astrogrep_path&amp;" /e /r /s /spath="&amp;search_path&amp;" /stypes=""app*"&amp;OHX28&amp;"*"&amp;TEXT(OIE28-utc_offset/24,"YYYYMMDD")&amp;"*"" /stext="" "&amp;TEXT(OIE28-utc_offset/24,"HH")&amp;search_regexp&amp;""""</f>
        <v>#REF!</v>
      </c>
      <c r="OJC28" s="234" t="e">
        <f>astrogrep_path&amp;" /e /r /s /spath="&amp;search_path&amp;" /stypes=""app*"&amp;OHY28&amp;"*"&amp;TEXT(OIF28-utc_offset/24,"YYYYMMDD")&amp;"*"" /stext="" "&amp;TEXT(OIF28-utc_offset/24,"HH")&amp;search_regexp&amp;""""</f>
        <v>#REF!</v>
      </c>
      <c r="OJD28" s="234" t="e">
        <f>astrogrep_path&amp;" /e /r /s /spath="&amp;search_path&amp;" /stypes=""app*"&amp;OHZ28&amp;"*"&amp;TEXT(OIG28-utc_offset/24,"YYYYMMDD")&amp;"*"" /stext="" "&amp;TEXT(OIG28-utc_offset/24,"HH")&amp;search_regexp&amp;""""</f>
        <v>#REF!</v>
      </c>
      <c r="OJE28" s="234" t="e">
        <f>astrogrep_path&amp;" /e /r /s /spath="&amp;search_path&amp;" /stypes=""app*"&amp;OIA28&amp;"*"&amp;TEXT(OIH28-utc_offset/24,"YYYYMMDD")&amp;"*"" /stext="" "&amp;TEXT(OIH28-utc_offset/24,"HH")&amp;search_regexp&amp;""""</f>
        <v>#REF!</v>
      </c>
      <c r="OJF28" s="234" t="e">
        <f>astrogrep_path&amp;" /e /r /s /spath="&amp;search_path&amp;" /stypes=""app*"&amp;OIB28&amp;"*"&amp;TEXT(OII28-utc_offset/24,"YYYYMMDD")&amp;"*"" /stext="" "&amp;TEXT(OII28-utc_offset/24,"HH")&amp;search_regexp&amp;""""</f>
        <v>#REF!</v>
      </c>
      <c r="OJG28" s="234" t="e">
        <f>astrogrep_path&amp;" /e /r /s /spath="&amp;search_path&amp;" /stypes=""app*"&amp;OIC28&amp;"*"&amp;TEXT(OIJ28-utc_offset/24,"YYYYMMDD")&amp;"*"" /stext="" "&amp;TEXT(OIJ28-utc_offset/24,"HH")&amp;search_regexp&amp;""""</f>
        <v>#REF!</v>
      </c>
      <c r="OJH28" s="234" t="e">
        <f>astrogrep_path&amp;" /e /r /s /spath="&amp;search_path&amp;" /stypes=""app*"&amp;OID28&amp;"*"&amp;TEXT(OIK28-utc_offset/24,"YYYYMMDD")&amp;"*"" /stext="" "&amp;TEXT(OIK28-utc_offset/24,"HH")&amp;search_regexp&amp;""""</f>
        <v>#REF!</v>
      </c>
      <c r="OJI28" s="234" t="e">
        <f>astrogrep_path&amp;" /e /r /s /spath="&amp;search_path&amp;" /stypes=""app*"&amp;OIE28&amp;"*"&amp;TEXT(OIL28-utc_offset/24,"YYYYMMDD")&amp;"*"" /stext="" "&amp;TEXT(OIL28-utc_offset/24,"HH")&amp;search_regexp&amp;""""</f>
        <v>#REF!</v>
      </c>
      <c r="OJJ28" s="234" t="e">
        <f>astrogrep_path&amp;" /e /r /s /spath="&amp;search_path&amp;" /stypes=""app*"&amp;OIF28&amp;"*"&amp;TEXT(OIM28-utc_offset/24,"YYYYMMDD")&amp;"*"" /stext="" "&amp;TEXT(OIM28-utc_offset/24,"HH")&amp;search_regexp&amp;""""</f>
        <v>#REF!</v>
      </c>
      <c r="OJK28" s="234" t="e">
        <f>astrogrep_path&amp;" /e /r /s /spath="&amp;search_path&amp;" /stypes=""app*"&amp;OIG28&amp;"*"&amp;TEXT(OIN28-utc_offset/24,"YYYYMMDD")&amp;"*"" /stext="" "&amp;TEXT(OIN28-utc_offset/24,"HH")&amp;search_regexp&amp;""""</f>
        <v>#VALUE!</v>
      </c>
      <c r="OJL28" s="234" t="e">
        <f>astrogrep_path&amp;" /e /r /s /spath="&amp;search_path&amp;" /stypes=""app*"&amp;OIH28&amp;"*"&amp;TEXT(OIO28-utc_offset/24,"YYYYMMDD")&amp;"*"" /stext="" "&amp;TEXT(OIO28-utc_offset/24,"HH")&amp;search_regexp&amp;""""</f>
        <v>#VALUE!</v>
      </c>
      <c r="OJM28" s="234" t="e">
        <f>astrogrep_path&amp;" /e /r /s /spath="&amp;search_path&amp;" /stypes=""app*"&amp;OII28&amp;"*"&amp;TEXT(OIP28-utc_offset/24,"YYYYMMDD")&amp;"*"" /stext="" "&amp;TEXT(OIP28-utc_offset/24,"HH")&amp;search_regexp&amp;""""</f>
        <v>#REF!</v>
      </c>
      <c r="OJN28" s="234" t="e">
        <f>astrogrep_path&amp;" /e /r /s /spath="&amp;search_path&amp;" /stypes=""app*"&amp;OIJ28&amp;"*"&amp;TEXT(OIQ28-utc_offset/24,"YYYYMMDD")&amp;"*"" /stext="" "&amp;TEXT(OIQ28-utc_offset/24,"HH")&amp;search_regexp&amp;""""</f>
        <v>#REF!</v>
      </c>
      <c r="OJO28" s="234" t="e">
        <f>astrogrep_path&amp;" /e /r /s /spath="&amp;search_path&amp;" /stypes=""app*"&amp;OIK28&amp;"*"&amp;TEXT(OIR28-utc_offset/24,"YYYYMMDD")&amp;"*"" /stext="" "&amp;TEXT(OIR28-utc_offset/24,"HH")&amp;search_regexp&amp;""""</f>
        <v>#VALUE!</v>
      </c>
      <c r="OJP28" s="234" t="e">
        <f>astrogrep_path&amp;" /e /r /s /spath="&amp;search_path&amp;" /stypes=""app*"&amp;OIL28&amp;"*"&amp;TEXT(OIS28-utc_offset/24,"YYYYMMDD")&amp;"*"" /stext="" "&amp;TEXT(OIS28-utc_offset/24,"HH")&amp;search_regexp&amp;""""</f>
        <v>#VALUE!</v>
      </c>
      <c r="OJQ28" s="234" t="e">
        <f>astrogrep_path&amp;" /e /r /s /spath="&amp;search_path&amp;" /stypes=""app*"&amp;OIM28&amp;"*"&amp;TEXT(OIT28-utc_offset/24,"YYYYMMDD")&amp;"*"" /stext="" "&amp;TEXT(OIT28-utc_offset/24,"HH")&amp;search_regexp&amp;""""</f>
        <v>#VALUE!</v>
      </c>
      <c r="OJR28" s="234" t="e">
        <f>astrogrep_path&amp;" /e /r /s /spath="&amp;search_path&amp;" /stypes=""app*"&amp;OIN28&amp;"*"&amp;TEXT(OIU28-utc_offset/24,"YYYYMMDD")&amp;"*"" /stext="" "&amp;TEXT(OIU28-utc_offset/24,"HH")&amp;search_regexp&amp;""""</f>
        <v>#VALUE!</v>
      </c>
      <c r="OJS28" s="234" t="e">
        <f>astrogrep_path&amp;" /e /r /s /spath="&amp;search_path&amp;" /stypes=""app*"&amp;OIO28&amp;"*"&amp;TEXT(OIV28-utc_offset/24,"YYYYMMDD")&amp;"*"" /stext="" "&amp;TEXT(OIV28-utc_offset/24,"HH")&amp;search_regexp&amp;""""</f>
        <v>#VALUE!</v>
      </c>
      <c r="OJT28" s="234" t="e">
        <f>astrogrep_path&amp;" /e /r /s /spath="&amp;search_path&amp;" /stypes=""app*"&amp;OIP28&amp;"*"&amp;TEXT(OIW28-utc_offset/24,"YYYYMMDD")&amp;"*"" /stext="" "&amp;TEXT(OIW28-utc_offset/24,"HH")&amp;search_regexp&amp;""""</f>
        <v>#REF!</v>
      </c>
      <c r="OJU28" s="234" t="e">
        <f>astrogrep_path&amp;" /e /r /s /spath="&amp;search_path&amp;" /stypes=""app*"&amp;OIQ28&amp;"*"&amp;TEXT(OIX28-utc_offset/24,"YYYYMMDD")&amp;"*"" /stext="" "&amp;TEXT(OIX28-utc_offset/24,"HH")&amp;search_regexp&amp;""""</f>
        <v>#REF!</v>
      </c>
      <c r="OJV28" s="234" t="e">
        <f>astrogrep_path&amp;" /e /r /s /spath="&amp;search_path&amp;" /stypes=""app*"&amp;OIR28&amp;"*"&amp;TEXT(OIY28-utc_offset/24,"YYYYMMDD")&amp;"*"" /stext="" "&amp;TEXT(OIY28-utc_offset/24,"HH")&amp;search_regexp&amp;""""</f>
        <v>#REF!</v>
      </c>
      <c r="OJW28" s="234" t="e">
        <f>astrogrep_path&amp;" /e /r /s /spath="&amp;search_path&amp;" /stypes=""app*"&amp;OIS28&amp;"*"&amp;TEXT(OIZ28-utc_offset/24,"YYYYMMDD")&amp;"*"" /stext="" "&amp;TEXT(OIZ28-utc_offset/24,"HH")&amp;search_regexp&amp;""""</f>
        <v>#REF!</v>
      </c>
      <c r="OJX28" s="234" t="e">
        <f>astrogrep_path&amp;" /e /r /s /spath="&amp;search_path&amp;" /stypes=""app*"&amp;OIT28&amp;"*"&amp;TEXT(OJA28-utc_offset/24,"YYYYMMDD")&amp;"*"" /stext="" "&amp;TEXT(OJA28-utc_offset/24,"HH")&amp;search_regexp&amp;""""</f>
        <v>#REF!</v>
      </c>
      <c r="OJY28" s="234" t="e">
        <f>astrogrep_path&amp;" /e /r /s /spath="&amp;search_path&amp;" /stypes=""app*"&amp;OIU28&amp;"*"&amp;TEXT(OJB28-utc_offset/24,"YYYYMMDD")&amp;"*"" /stext="" "&amp;TEXT(OJB28-utc_offset/24,"HH")&amp;search_regexp&amp;""""</f>
        <v>#REF!</v>
      </c>
      <c r="OJZ28" s="234" t="e">
        <f>astrogrep_path&amp;" /e /r /s /spath="&amp;search_path&amp;" /stypes=""app*"&amp;OIV28&amp;"*"&amp;TEXT(OJC28-utc_offset/24,"YYYYMMDD")&amp;"*"" /stext="" "&amp;TEXT(OJC28-utc_offset/24,"HH")&amp;search_regexp&amp;""""</f>
        <v>#REF!</v>
      </c>
      <c r="OKA28" s="234" t="e">
        <f>astrogrep_path&amp;" /e /r /s /spath="&amp;search_path&amp;" /stypes=""app*"&amp;OIW28&amp;"*"&amp;TEXT(OJD28-utc_offset/24,"YYYYMMDD")&amp;"*"" /stext="" "&amp;TEXT(OJD28-utc_offset/24,"HH")&amp;search_regexp&amp;""""</f>
        <v>#REF!</v>
      </c>
      <c r="OKB28" s="234" t="e">
        <f>astrogrep_path&amp;" /e /r /s /spath="&amp;search_path&amp;" /stypes=""app*"&amp;OIX28&amp;"*"&amp;TEXT(OJE28-utc_offset/24,"YYYYMMDD")&amp;"*"" /stext="" "&amp;TEXT(OJE28-utc_offset/24,"HH")&amp;search_regexp&amp;""""</f>
        <v>#REF!</v>
      </c>
      <c r="OKC28" s="234" t="e">
        <f>astrogrep_path&amp;" /e /r /s /spath="&amp;search_path&amp;" /stypes=""app*"&amp;OIY28&amp;"*"&amp;TEXT(OJF28-utc_offset/24,"YYYYMMDD")&amp;"*"" /stext="" "&amp;TEXT(OJF28-utc_offset/24,"HH")&amp;search_regexp&amp;""""</f>
        <v>#REF!</v>
      </c>
      <c r="OKD28" s="234" t="e">
        <f>astrogrep_path&amp;" /e /r /s /spath="&amp;search_path&amp;" /stypes=""app*"&amp;OIZ28&amp;"*"&amp;TEXT(OJG28-utc_offset/24,"YYYYMMDD")&amp;"*"" /stext="" "&amp;TEXT(OJG28-utc_offset/24,"HH")&amp;search_regexp&amp;""""</f>
        <v>#REF!</v>
      </c>
      <c r="OKE28" s="234" t="e">
        <f>astrogrep_path&amp;" /e /r /s /spath="&amp;search_path&amp;" /stypes=""app*"&amp;OJA28&amp;"*"&amp;TEXT(OJH28-utc_offset/24,"YYYYMMDD")&amp;"*"" /stext="" "&amp;TEXT(OJH28-utc_offset/24,"HH")&amp;search_regexp&amp;""""</f>
        <v>#REF!</v>
      </c>
      <c r="OKF28" s="234" t="e">
        <f>astrogrep_path&amp;" /e /r /s /spath="&amp;search_path&amp;" /stypes=""app*"&amp;OJB28&amp;"*"&amp;TEXT(OJI28-utc_offset/24,"YYYYMMDD")&amp;"*"" /stext="" "&amp;TEXT(OJI28-utc_offset/24,"HH")&amp;search_regexp&amp;""""</f>
        <v>#REF!</v>
      </c>
      <c r="OKG28" s="234" t="e">
        <f>astrogrep_path&amp;" /e /r /s /spath="&amp;search_path&amp;" /stypes=""app*"&amp;OJC28&amp;"*"&amp;TEXT(OJJ28-utc_offset/24,"YYYYMMDD")&amp;"*"" /stext="" "&amp;TEXT(OJJ28-utc_offset/24,"HH")&amp;search_regexp&amp;""""</f>
        <v>#REF!</v>
      </c>
      <c r="OKH28" s="234" t="e">
        <f>astrogrep_path&amp;" /e /r /s /spath="&amp;search_path&amp;" /stypes=""app*"&amp;OJD28&amp;"*"&amp;TEXT(OJK28-utc_offset/24,"YYYYMMDD")&amp;"*"" /stext="" "&amp;TEXT(OJK28-utc_offset/24,"HH")&amp;search_regexp&amp;""""</f>
        <v>#REF!</v>
      </c>
      <c r="OKI28" s="234" t="e">
        <f>astrogrep_path&amp;" /e /r /s /spath="&amp;search_path&amp;" /stypes=""app*"&amp;OJE28&amp;"*"&amp;TEXT(OJL28-utc_offset/24,"YYYYMMDD")&amp;"*"" /stext="" "&amp;TEXT(OJL28-utc_offset/24,"HH")&amp;search_regexp&amp;""""</f>
        <v>#REF!</v>
      </c>
      <c r="OKJ28" s="234" t="e">
        <f>astrogrep_path&amp;" /e /r /s /spath="&amp;search_path&amp;" /stypes=""app*"&amp;OJF28&amp;"*"&amp;TEXT(OJM28-utc_offset/24,"YYYYMMDD")&amp;"*"" /stext="" "&amp;TEXT(OJM28-utc_offset/24,"HH")&amp;search_regexp&amp;""""</f>
        <v>#REF!</v>
      </c>
      <c r="OKK28" s="234" t="e">
        <f>astrogrep_path&amp;" /e /r /s /spath="&amp;search_path&amp;" /stypes=""app*"&amp;OJG28&amp;"*"&amp;TEXT(OJN28-utc_offset/24,"YYYYMMDD")&amp;"*"" /stext="" "&amp;TEXT(OJN28-utc_offset/24,"HH")&amp;search_regexp&amp;""""</f>
        <v>#REF!</v>
      </c>
      <c r="OKL28" s="234" t="e">
        <f>astrogrep_path&amp;" /e /r /s /spath="&amp;search_path&amp;" /stypes=""app*"&amp;OJH28&amp;"*"&amp;TEXT(OJO28-utc_offset/24,"YYYYMMDD")&amp;"*"" /stext="" "&amp;TEXT(OJO28-utc_offset/24,"HH")&amp;search_regexp&amp;""""</f>
        <v>#REF!</v>
      </c>
      <c r="OKM28" s="234" t="e">
        <f>astrogrep_path&amp;" /e /r /s /spath="&amp;search_path&amp;" /stypes=""app*"&amp;OJI28&amp;"*"&amp;TEXT(OJP28-utc_offset/24,"YYYYMMDD")&amp;"*"" /stext="" "&amp;TEXT(OJP28-utc_offset/24,"HH")&amp;search_regexp&amp;""""</f>
        <v>#REF!</v>
      </c>
      <c r="OKN28" s="234" t="e">
        <f>astrogrep_path&amp;" /e /r /s /spath="&amp;search_path&amp;" /stypes=""app*"&amp;OJJ28&amp;"*"&amp;TEXT(OJQ28-utc_offset/24,"YYYYMMDD")&amp;"*"" /stext="" "&amp;TEXT(OJQ28-utc_offset/24,"HH")&amp;search_regexp&amp;""""</f>
        <v>#REF!</v>
      </c>
      <c r="OKO28" s="234" t="e">
        <f>astrogrep_path&amp;" /e /r /s /spath="&amp;search_path&amp;" /stypes=""app*"&amp;OJK28&amp;"*"&amp;TEXT(OJR28-utc_offset/24,"YYYYMMDD")&amp;"*"" /stext="" "&amp;TEXT(OJR28-utc_offset/24,"HH")&amp;search_regexp&amp;""""</f>
        <v>#VALUE!</v>
      </c>
      <c r="OKP28" s="234" t="e">
        <f>astrogrep_path&amp;" /e /r /s /spath="&amp;search_path&amp;" /stypes=""app*"&amp;OJL28&amp;"*"&amp;TEXT(OJS28-utc_offset/24,"YYYYMMDD")&amp;"*"" /stext="" "&amp;TEXT(OJS28-utc_offset/24,"HH")&amp;search_regexp&amp;""""</f>
        <v>#VALUE!</v>
      </c>
      <c r="OKQ28" s="234" t="e">
        <f>astrogrep_path&amp;" /e /r /s /spath="&amp;search_path&amp;" /stypes=""app*"&amp;OJM28&amp;"*"&amp;TEXT(OJT28-utc_offset/24,"YYYYMMDD")&amp;"*"" /stext="" "&amp;TEXT(OJT28-utc_offset/24,"HH")&amp;search_regexp&amp;""""</f>
        <v>#REF!</v>
      </c>
      <c r="OKR28" s="234" t="e">
        <f>astrogrep_path&amp;" /e /r /s /spath="&amp;search_path&amp;" /stypes=""app*"&amp;OJN28&amp;"*"&amp;TEXT(OJU28-utc_offset/24,"YYYYMMDD")&amp;"*"" /stext="" "&amp;TEXT(OJU28-utc_offset/24,"HH")&amp;search_regexp&amp;""""</f>
        <v>#REF!</v>
      </c>
      <c r="OKS28" s="234" t="e">
        <f>astrogrep_path&amp;" /e /r /s /spath="&amp;search_path&amp;" /stypes=""app*"&amp;OJO28&amp;"*"&amp;TEXT(OJV28-utc_offset/24,"YYYYMMDD")&amp;"*"" /stext="" "&amp;TEXT(OJV28-utc_offset/24,"HH")&amp;search_regexp&amp;""""</f>
        <v>#VALUE!</v>
      </c>
      <c r="OKT28" s="234" t="e">
        <f>astrogrep_path&amp;" /e /r /s /spath="&amp;search_path&amp;" /stypes=""app*"&amp;OJP28&amp;"*"&amp;TEXT(OJW28-utc_offset/24,"YYYYMMDD")&amp;"*"" /stext="" "&amp;TEXT(OJW28-utc_offset/24,"HH")&amp;search_regexp&amp;""""</f>
        <v>#VALUE!</v>
      </c>
      <c r="OKU28" s="234" t="e">
        <f>astrogrep_path&amp;" /e /r /s /spath="&amp;search_path&amp;" /stypes=""app*"&amp;OJQ28&amp;"*"&amp;TEXT(OJX28-utc_offset/24,"YYYYMMDD")&amp;"*"" /stext="" "&amp;TEXT(OJX28-utc_offset/24,"HH")&amp;search_regexp&amp;""""</f>
        <v>#VALUE!</v>
      </c>
      <c r="OKV28" s="234" t="e">
        <f>astrogrep_path&amp;" /e /r /s /spath="&amp;search_path&amp;" /stypes=""app*"&amp;OJR28&amp;"*"&amp;TEXT(OJY28-utc_offset/24,"YYYYMMDD")&amp;"*"" /stext="" "&amp;TEXT(OJY28-utc_offset/24,"HH")&amp;search_regexp&amp;""""</f>
        <v>#VALUE!</v>
      </c>
      <c r="OKW28" s="234" t="e">
        <f>astrogrep_path&amp;" /e /r /s /spath="&amp;search_path&amp;" /stypes=""app*"&amp;OJS28&amp;"*"&amp;TEXT(OJZ28-utc_offset/24,"YYYYMMDD")&amp;"*"" /stext="" "&amp;TEXT(OJZ28-utc_offset/24,"HH")&amp;search_regexp&amp;""""</f>
        <v>#VALUE!</v>
      </c>
      <c r="OKX28" s="234" t="e">
        <f>astrogrep_path&amp;" /e /r /s /spath="&amp;search_path&amp;" /stypes=""app*"&amp;OJT28&amp;"*"&amp;TEXT(OKA28-utc_offset/24,"YYYYMMDD")&amp;"*"" /stext="" "&amp;TEXT(OKA28-utc_offset/24,"HH")&amp;search_regexp&amp;""""</f>
        <v>#REF!</v>
      </c>
      <c r="OKY28" s="234" t="e">
        <f>astrogrep_path&amp;" /e /r /s /spath="&amp;search_path&amp;" /stypes=""app*"&amp;OJU28&amp;"*"&amp;TEXT(OKB28-utc_offset/24,"YYYYMMDD")&amp;"*"" /stext="" "&amp;TEXT(OKB28-utc_offset/24,"HH")&amp;search_regexp&amp;""""</f>
        <v>#REF!</v>
      </c>
      <c r="OKZ28" s="234" t="e">
        <f>astrogrep_path&amp;" /e /r /s /spath="&amp;search_path&amp;" /stypes=""app*"&amp;OJV28&amp;"*"&amp;TEXT(OKC28-utc_offset/24,"YYYYMMDD")&amp;"*"" /stext="" "&amp;TEXT(OKC28-utc_offset/24,"HH")&amp;search_regexp&amp;""""</f>
        <v>#REF!</v>
      </c>
      <c r="OLA28" s="234" t="e">
        <f>astrogrep_path&amp;" /e /r /s /spath="&amp;search_path&amp;" /stypes=""app*"&amp;OJW28&amp;"*"&amp;TEXT(OKD28-utc_offset/24,"YYYYMMDD")&amp;"*"" /stext="" "&amp;TEXT(OKD28-utc_offset/24,"HH")&amp;search_regexp&amp;""""</f>
        <v>#REF!</v>
      </c>
      <c r="OLB28" s="234" t="e">
        <f>astrogrep_path&amp;" /e /r /s /spath="&amp;search_path&amp;" /stypes=""app*"&amp;OJX28&amp;"*"&amp;TEXT(OKE28-utc_offset/24,"YYYYMMDD")&amp;"*"" /stext="" "&amp;TEXT(OKE28-utc_offset/24,"HH")&amp;search_regexp&amp;""""</f>
        <v>#REF!</v>
      </c>
      <c r="OLC28" s="234" t="e">
        <f>astrogrep_path&amp;" /e /r /s /spath="&amp;search_path&amp;" /stypes=""app*"&amp;OJY28&amp;"*"&amp;TEXT(OKF28-utc_offset/24,"YYYYMMDD")&amp;"*"" /stext="" "&amp;TEXT(OKF28-utc_offset/24,"HH")&amp;search_regexp&amp;""""</f>
        <v>#REF!</v>
      </c>
      <c r="OLD28" s="234" t="e">
        <f>astrogrep_path&amp;" /e /r /s /spath="&amp;search_path&amp;" /stypes=""app*"&amp;OJZ28&amp;"*"&amp;TEXT(OKG28-utc_offset/24,"YYYYMMDD")&amp;"*"" /stext="" "&amp;TEXT(OKG28-utc_offset/24,"HH")&amp;search_regexp&amp;""""</f>
        <v>#REF!</v>
      </c>
      <c r="OLE28" s="234" t="e">
        <f>astrogrep_path&amp;" /e /r /s /spath="&amp;search_path&amp;" /stypes=""app*"&amp;OKA28&amp;"*"&amp;TEXT(OKH28-utc_offset/24,"YYYYMMDD")&amp;"*"" /stext="" "&amp;TEXT(OKH28-utc_offset/24,"HH")&amp;search_regexp&amp;""""</f>
        <v>#REF!</v>
      </c>
      <c r="OLF28" s="234" t="e">
        <f>astrogrep_path&amp;" /e /r /s /spath="&amp;search_path&amp;" /stypes=""app*"&amp;OKB28&amp;"*"&amp;TEXT(OKI28-utc_offset/24,"YYYYMMDD")&amp;"*"" /stext="" "&amp;TEXT(OKI28-utc_offset/24,"HH")&amp;search_regexp&amp;""""</f>
        <v>#REF!</v>
      </c>
      <c r="OLG28" s="234" t="e">
        <f>astrogrep_path&amp;" /e /r /s /spath="&amp;search_path&amp;" /stypes=""app*"&amp;OKC28&amp;"*"&amp;TEXT(OKJ28-utc_offset/24,"YYYYMMDD")&amp;"*"" /stext="" "&amp;TEXT(OKJ28-utc_offset/24,"HH")&amp;search_regexp&amp;""""</f>
        <v>#REF!</v>
      </c>
      <c r="OLH28" s="234" t="e">
        <f>astrogrep_path&amp;" /e /r /s /spath="&amp;search_path&amp;" /stypes=""app*"&amp;OKD28&amp;"*"&amp;TEXT(OKK28-utc_offset/24,"YYYYMMDD")&amp;"*"" /stext="" "&amp;TEXT(OKK28-utc_offset/24,"HH")&amp;search_regexp&amp;""""</f>
        <v>#REF!</v>
      </c>
      <c r="OLI28" s="234" t="e">
        <f>astrogrep_path&amp;" /e /r /s /spath="&amp;search_path&amp;" /stypes=""app*"&amp;OKE28&amp;"*"&amp;TEXT(OKL28-utc_offset/24,"YYYYMMDD")&amp;"*"" /stext="" "&amp;TEXT(OKL28-utc_offset/24,"HH")&amp;search_regexp&amp;""""</f>
        <v>#REF!</v>
      </c>
      <c r="OLJ28" s="234" t="e">
        <f>astrogrep_path&amp;" /e /r /s /spath="&amp;search_path&amp;" /stypes=""app*"&amp;OKF28&amp;"*"&amp;TEXT(OKM28-utc_offset/24,"YYYYMMDD")&amp;"*"" /stext="" "&amp;TEXT(OKM28-utc_offset/24,"HH")&amp;search_regexp&amp;""""</f>
        <v>#REF!</v>
      </c>
      <c r="OLK28" s="234" t="e">
        <f>astrogrep_path&amp;" /e /r /s /spath="&amp;search_path&amp;" /stypes=""app*"&amp;OKG28&amp;"*"&amp;TEXT(OKN28-utc_offset/24,"YYYYMMDD")&amp;"*"" /stext="" "&amp;TEXT(OKN28-utc_offset/24,"HH")&amp;search_regexp&amp;""""</f>
        <v>#REF!</v>
      </c>
      <c r="OLL28" s="234" t="e">
        <f>astrogrep_path&amp;" /e /r /s /spath="&amp;search_path&amp;" /stypes=""app*"&amp;OKH28&amp;"*"&amp;TEXT(OKO28-utc_offset/24,"YYYYMMDD")&amp;"*"" /stext="" "&amp;TEXT(OKO28-utc_offset/24,"HH")&amp;search_regexp&amp;""""</f>
        <v>#REF!</v>
      </c>
      <c r="OLM28" s="234" t="e">
        <f>astrogrep_path&amp;" /e /r /s /spath="&amp;search_path&amp;" /stypes=""app*"&amp;OKI28&amp;"*"&amp;TEXT(OKP28-utc_offset/24,"YYYYMMDD")&amp;"*"" /stext="" "&amp;TEXT(OKP28-utc_offset/24,"HH")&amp;search_regexp&amp;""""</f>
        <v>#REF!</v>
      </c>
      <c r="OLN28" s="234" t="e">
        <f>astrogrep_path&amp;" /e /r /s /spath="&amp;search_path&amp;" /stypes=""app*"&amp;OKJ28&amp;"*"&amp;TEXT(OKQ28-utc_offset/24,"YYYYMMDD")&amp;"*"" /stext="" "&amp;TEXT(OKQ28-utc_offset/24,"HH")&amp;search_regexp&amp;""""</f>
        <v>#REF!</v>
      </c>
      <c r="OLO28" s="234" t="e">
        <f>astrogrep_path&amp;" /e /r /s /spath="&amp;search_path&amp;" /stypes=""app*"&amp;OKK28&amp;"*"&amp;TEXT(OKR28-utc_offset/24,"YYYYMMDD")&amp;"*"" /stext="" "&amp;TEXT(OKR28-utc_offset/24,"HH")&amp;search_regexp&amp;""""</f>
        <v>#REF!</v>
      </c>
      <c r="OLP28" s="234" t="e">
        <f>astrogrep_path&amp;" /e /r /s /spath="&amp;search_path&amp;" /stypes=""app*"&amp;OKL28&amp;"*"&amp;TEXT(OKS28-utc_offset/24,"YYYYMMDD")&amp;"*"" /stext="" "&amp;TEXT(OKS28-utc_offset/24,"HH")&amp;search_regexp&amp;""""</f>
        <v>#REF!</v>
      </c>
      <c r="OLQ28" s="234" t="e">
        <f>astrogrep_path&amp;" /e /r /s /spath="&amp;search_path&amp;" /stypes=""app*"&amp;OKM28&amp;"*"&amp;TEXT(OKT28-utc_offset/24,"YYYYMMDD")&amp;"*"" /stext="" "&amp;TEXT(OKT28-utc_offset/24,"HH")&amp;search_regexp&amp;""""</f>
        <v>#REF!</v>
      </c>
      <c r="OLR28" s="234" t="e">
        <f>astrogrep_path&amp;" /e /r /s /spath="&amp;search_path&amp;" /stypes=""app*"&amp;OKN28&amp;"*"&amp;TEXT(OKU28-utc_offset/24,"YYYYMMDD")&amp;"*"" /stext="" "&amp;TEXT(OKU28-utc_offset/24,"HH")&amp;search_regexp&amp;""""</f>
        <v>#REF!</v>
      </c>
      <c r="OLS28" s="234" t="e">
        <f>astrogrep_path&amp;" /e /r /s /spath="&amp;search_path&amp;" /stypes=""app*"&amp;OKO28&amp;"*"&amp;TEXT(OKV28-utc_offset/24,"YYYYMMDD")&amp;"*"" /stext="" "&amp;TEXT(OKV28-utc_offset/24,"HH")&amp;search_regexp&amp;""""</f>
        <v>#VALUE!</v>
      </c>
      <c r="OLT28" s="234" t="e">
        <f>astrogrep_path&amp;" /e /r /s /spath="&amp;search_path&amp;" /stypes=""app*"&amp;OKP28&amp;"*"&amp;TEXT(OKW28-utc_offset/24,"YYYYMMDD")&amp;"*"" /stext="" "&amp;TEXT(OKW28-utc_offset/24,"HH")&amp;search_regexp&amp;""""</f>
        <v>#VALUE!</v>
      </c>
      <c r="OLU28" s="234" t="e">
        <f>astrogrep_path&amp;" /e /r /s /spath="&amp;search_path&amp;" /stypes=""app*"&amp;OKQ28&amp;"*"&amp;TEXT(OKX28-utc_offset/24,"YYYYMMDD")&amp;"*"" /stext="" "&amp;TEXT(OKX28-utc_offset/24,"HH")&amp;search_regexp&amp;""""</f>
        <v>#REF!</v>
      </c>
      <c r="OLV28" s="234" t="e">
        <f>astrogrep_path&amp;" /e /r /s /spath="&amp;search_path&amp;" /stypes=""app*"&amp;OKR28&amp;"*"&amp;TEXT(OKY28-utc_offset/24,"YYYYMMDD")&amp;"*"" /stext="" "&amp;TEXT(OKY28-utc_offset/24,"HH")&amp;search_regexp&amp;""""</f>
        <v>#REF!</v>
      </c>
      <c r="OLW28" s="234" t="e">
        <f>astrogrep_path&amp;" /e /r /s /spath="&amp;search_path&amp;" /stypes=""app*"&amp;OKS28&amp;"*"&amp;TEXT(OKZ28-utc_offset/24,"YYYYMMDD")&amp;"*"" /stext="" "&amp;TEXT(OKZ28-utc_offset/24,"HH")&amp;search_regexp&amp;""""</f>
        <v>#VALUE!</v>
      </c>
      <c r="OLX28" s="234" t="e">
        <f>astrogrep_path&amp;" /e /r /s /spath="&amp;search_path&amp;" /stypes=""app*"&amp;OKT28&amp;"*"&amp;TEXT(OLA28-utc_offset/24,"YYYYMMDD")&amp;"*"" /stext="" "&amp;TEXT(OLA28-utc_offset/24,"HH")&amp;search_regexp&amp;""""</f>
        <v>#VALUE!</v>
      </c>
      <c r="OLY28" s="234" t="e">
        <f>astrogrep_path&amp;" /e /r /s /spath="&amp;search_path&amp;" /stypes=""app*"&amp;OKU28&amp;"*"&amp;TEXT(OLB28-utc_offset/24,"YYYYMMDD")&amp;"*"" /stext="" "&amp;TEXT(OLB28-utc_offset/24,"HH")&amp;search_regexp&amp;""""</f>
        <v>#VALUE!</v>
      </c>
      <c r="OLZ28" s="234" t="e">
        <f>astrogrep_path&amp;" /e /r /s /spath="&amp;search_path&amp;" /stypes=""app*"&amp;OKV28&amp;"*"&amp;TEXT(OLC28-utc_offset/24,"YYYYMMDD")&amp;"*"" /stext="" "&amp;TEXT(OLC28-utc_offset/24,"HH")&amp;search_regexp&amp;""""</f>
        <v>#VALUE!</v>
      </c>
      <c r="OMA28" s="234" t="e">
        <f>astrogrep_path&amp;" /e /r /s /spath="&amp;search_path&amp;" /stypes=""app*"&amp;OKW28&amp;"*"&amp;TEXT(OLD28-utc_offset/24,"YYYYMMDD")&amp;"*"" /stext="" "&amp;TEXT(OLD28-utc_offset/24,"HH")&amp;search_regexp&amp;""""</f>
        <v>#VALUE!</v>
      </c>
      <c r="OMB28" s="234" t="e">
        <f>astrogrep_path&amp;" /e /r /s /spath="&amp;search_path&amp;" /stypes=""app*"&amp;OKX28&amp;"*"&amp;TEXT(OLE28-utc_offset/24,"YYYYMMDD")&amp;"*"" /stext="" "&amp;TEXT(OLE28-utc_offset/24,"HH")&amp;search_regexp&amp;""""</f>
        <v>#REF!</v>
      </c>
      <c r="OMC28" s="234" t="e">
        <f>astrogrep_path&amp;" /e /r /s /spath="&amp;search_path&amp;" /stypes=""app*"&amp;OKY28&amp;"*"&amp;TEXT(OLF28-utc_offset/24,"YYYYMMDD")&amp;"*"" /stext="" "&amp;TEXT(OLF28-utc_offset/24,"HH")&amp;search_regexp&amp;""""</f>
        <v>#REF!</v>
      </c>
      <c r="OMD28" s="234" t="e">
        <f>astrogrep_path&amp;" /e /r /s /spath="&amp;search_path&amp;" /stypes=""app*"&amp;OKZ28&amp;"*"&amp;TEXT(OLG28-utc_offset/24,"YYYYMMDD")&amp;"*"" /stext="" "&amp;TEXT(OLG28-utc_offset/24,"HH")&amp;search_regexp&amp;""""</f>
        <v>#REF!</v>
      </c>
      <c r="OME28" s="234" t="e">
        <f>astrogrep_path&amp;" /e /r /s /spath="&amp;search_path&amp;" /stypes=""app*"&amp;OLA28&amp;"*"&amp;TEXT(OLH28-utc_offset/24,"YYYYMMDD")&amp;"*"" /stext="" "&amp;TEXT(OLH28-utc_offset/24,"HH")&amp;search_regexp&amp;""""</f>
        <v>#REF!</v>
      </c>
      <c r="OMF28" s="234" t="e">
        <f>astrogrep_path&amp;" /e /r /s /spath="&amp;search_path&amp;" /stypes=""app*"&amp;OLB28&amp;"*"&amp;TEXT(OLI28-utc_offset/24,"YYYYMMDD")&amp;"*"" /stext="" "&amp;TEXT(OLI28-utc_offset/24,"HH")&amp;search_regexp&amp;""""</f>
        <v>#REF!</v>
      </c>
      <c r="OMG28" s="234" t="e">
        <f>astrogrep_path&amp;" /e /r /s /spath="&amp;search_path&amp;" /stypes=""app*"&amp;OLC28&amp;"*"&amp;TEXT(OLJ28-utc_offset/24,"YYYYMMDD")&amp;"*"" /stext="" "&amp;TEXT(OLJ28-utc_offset/24,"HH")&amp;search_regexp&amp;""""</f>
        <v>#REF!</v>
      </c>
      <c r="OMH28" s="234" t="e">
        <f>astrogrep_path&amp;" /e /r /s /spath="&amp;search_path&amp;" /stypes=""app*"&amp;OLD28&amp;"*"&amp;TEXT(OLK28-utc_offset/24,"YYYYMMDD")&amp;"*"" /stext="" "&amp;TEXT(OLK28-utc_offset/24,"HH")&amp;search_regexp&amp;""""</f>
        <v>#REF!</v>
      </c>
      <c r="OMI28" s="234" t="e">
        <f>astrogrep_path&amp;" /e /r /s /spath="&amp;search_path&amp;" /stypes=""app*"&amp;OLE28&amp;"*"&amp;TEXT(OLL28-utc_offset/24,"YYYYMMDD")&amp;"*"" /stext="" "&amp;TEXT(OLL28-utc_offset/24,"HH")&amp;search_regexp&amp;""""</f>
        <v>#REF!</v>
      </c>
      <c r="OMJ28" s="234" t="e">
        <f>astrogrep_path&amp;" /e /r /s /spath="&amp;search_path&amp;" /stypes=""app*"&amp;OLF28&amp;"*"&amp;TEXT(OLM28-utc_offset/24,"YYYYMMDD")&amp;"*"" /stext="" "&amp;TEXT(OLM28-utc_offset/24,"HH")&amp;search_regexp&amp;""""</f>
        <v>#REF!</v>
      </c>
      <c r="OMK28" s="234" t="e">
        <f>astrogrep_path&amp;" /e /r /s /spath="&amp;search_path&amp;" /stypes=""app*"&amp;OLG28&amp;"*"&amp;TEXT(OLN28-utc_offset/24,"YYYYMMDD")&amp;"*"" /stext="" "&amp;TEXT(OLN28-utc_offset/24,"HH")&amp;search_regexp&amp;""""</f>
        <v>#REF!</v>
      </c>
      <c r="OML28" s="234" t="e">
        <f>astrogrep_path&amp;" /e /r /s /spath="&amp;search_path&amp;" /stypes=""app*"&amp;OLH28&amp;"*"&amp;TEXT(OLO28-utc_offset/24,"YYYYMMDD")&amp;"*"" /stext="" "&amp;TEXT(OLO28-utc_offset/24,"HH")&amp;search_regexp&amp;""""</f>
        <v>#REF!</v>
      </c>
      <c r="OMM28" s="234" t="e">
        <f>astrogrep_path&amp;" /e /r /s /spath="&amp;search_path&amp;" /stypes=""app*"&amp;OLI28&amp;"*"&amp;TEXT(OLP28-utc_offset/24,"YYYYMMDD")&amp;"*"" /stext="" "&amp;TEXT(OLP28-utc_offset/24,"HH")&amp;search_regexp&amp;""""</f>
        <v>#REF!</v>
      </c>
      <c r="OMN28" s="234" t="e">
        <f>astrogrep_path&amp;" /e /r /s /spath="&amp;search_path&amp;" /stypes=""app*"&amp;OLJ28&amp;"*"&amp;TEXT(OLQ28-utc_offset/24,"YYYYMMDD")&amp;"*"" /stext="" "&amp;TEXT(OLQ28-utc_offset/24,"HH")&amp;search_regexp&amp;""""</f>
        <v>#REF!</v>
      </c>
      <c r="OMO28" s="234" t="e">
        <f>astrogrep_path&amp;" /e /r /s /spath="&amp;search_path&amp;" /stypes=""app*"&amp;OLK28&amp;"*"&amp;TEXT(OLR28-utc_offset/24,"YYYYMMDD")&amp;"*"" /stext="" "&amp;TEXT(OLR28-utc_offset/24,"HH")&amp;search_regexp&amp;""""</f>
        <v>#REF!</v>
      </c>
      <c r="OMP28" s="234" t="e">
        <f>astrogrep_path&amp;" /e /r /s /spath="&amp;search_path&amp;" /stypes=""app*"&amp;OLL28&amp;"*"&amp;TEXT(OLS28-utc_offset/24,"YYYYMMDD")&amp;"*"" /stext="" "&amp;TEXT(OLS28-utc_offset/24,"HH")&amp;search_regexp&amp;""""</f>
        <v>#REF!</v>
      </c>
      <c r="OMQ28" s="234" t="e">
        <f>astrogrep_path&amp;" /e /r /s /spath="&amp;search_path&amp;" /stypes=""app*"&amp;OLM28&amp;"*"&amp;TEXT(OLT28-utc_offset/24,"YYYYMMDD")&amp;"*"" /stext="" "&amp;TEXT(OLT28-utc_offset/24,"HH")&amp;search_regexp&amp;""""</f>
        <v>#REF!</v>
      </c>
      <c r="OMR28" s="234" t="e">
        <f>astrogrep_path&amp;" /e /r /s /spath="&amp;search_path&amp;" /stypes=""app*"&amp;OLN28&amp;"*"&amp;TEXT(OLU28-utc_offset/24,"YYYYMMDD")&amp;"*"" /stext="" "&amp;TEXT(OLU28-utc_offset/24,"HH")&amp;search_regexp&amp;""""</f>
        <v>#REF!</v>
      </c>
      <c r="OMS28" s="234" t="e">
        <f>astrogrep_path&amp;" /e /r /s /spath="&amp;search_path&amp;" /stypes=""app*"&amp;OLO28&amp;"*"&amp;TEXT(OLV28-utc_offset/24,"YYYYMMDD")&amp;"*"" /stext="" "&amp;TEXT(OLV28-utc_offset/24,"HH")&amp;search_regexp&amp;""""</f>
        <v>#REF!</v>
      </c>
      <c r="OMT28" s="234" t="e">
        <f>astrogrep_path&amp;" /e /r /s /spath="&amp;search_path&amp;" /stypes=""app*"&amp;OLP28&amp;"*"&amp;TEXT(OLW28-utc_offset/24,"YYYYMMDD")&amp;"*"" /stext="" "&amp;TEXT(OLW28-utc_offset/24,"HH")&amp;search_regexp&amp;""""</f>
        <v>#REF!</v>
      </c>
      <c r="OMU28" s="234" t="e">
        <f>astrogrep_path&amp;" /e /r /s /spath="&amp;search_path&amp;" /stypes=""app*"&amp;OLQ28&amp;"*"&amp;TEXT(OLX28-utc_offset/24,"YYYYMMDD")&amp;"*"" /stext="" "&amp;TEXT(OLX28-utc_offset/24,"HH")&amp;search_regexp&amp;""""</f>
        <v>#REF!</v>
      </c>
      <c r="OMV28" s="234" t="e">
        <f>astrogrep_path&amp;" /e /r /s /spath="&amp;search_path&amp;" /stypes=""app*"&amp;OLR28&amp;"*"&amp;TEXT(OLY28-utc_offset/24,"YYYYMMDD")&amp;"*"" /stext="" "&amp;TEXT(OLY28-utc_offset/24,"HH")&amp;search_regexp&amp;""""</f>
        <v>#REF!</v>
      </c>
      <c r="OMW28" s="234" t="e">
        <f>astrogrep_path&amp;" /e /r /s /spath="&amp;search_path&amp;" /stypes=""app*"&amp;OLS28&amp;"*"&amp;TEXT(OLZ28-utc_offset/24,"YYYYMMDD")&amp;"*"" /stext="" "&amp;TEXT(OLZ28-utc_offset/24,"HH")&amp;search_regexp&amp;""""</f>
        <v>#VALUE!</v>
      </c>
      <c r="OMX28" s="234" t="e">
        <f>astrogrep_path&amp;" /e /r /s /spath="&amp;search_path&amp;" /stypes=""app*"&amp;OLT28&amp;"*"&amp;TEXT(OMA28-utc_offset/24,"YYYYMMDD")&amp;"*"" /stext="" "&amp;TEXT(OMA28-utc_offset/24,"HH")&amp;search_regexp&amp;""""</f>
        <v>#VALUE!</v>
      </c>
      <c r="OMY28" s="234" t="e">
        <f>astrogrep_path&amp;" /e /r /s /spath="&amp;search_path&amp;" /stypes=""app*"&amp;OLU28&amp;"*"&amp;TEXT(OMB28-utc_offset/24,"YYYYMMDD")&amp;"*"" /stext="" "&amp;TEXT(OMB28-utc_offset/24,"HH")&amp;search_regexp&amp;""""</f>
        <v>#REF!</v>
      </c>
      <c r="OMZ28" s="234" t="e">
        <f>astrogrep_path&amp;" /e /r /s /spath="&amp;search_path&amp;" /stypes=""app*"&amp;OLV28&amp;"*"&amp;TEXT(OMC28-utc_offset/24,"YYYYMMDD")&amp;"*"" /stext="" "&amp;TEXT(OMC28-utc_offset/24,"HH")&amp;search_regexp&amp;""""</f>
        <v>#REF!</v>
      </c>
      <c r="ONA28" s="234" t="e">
        <f>astrogrep_path&amp;" /e /r /s /spath="&amp;search_path&amp;" /stypes=""app*"&amp;OLW28&amp;"*"&amp;TEXT(OMD28-utc_offset/24,"YYYYMMDD")&amp;"*"" /stext="" "&amp;TEXT(OMD28-utc_offset/24,"HH")&amp;search_regexp&amp;""""</f>
        <v>#VALUE!</v>
      </c>
      <c r="ONB28" s="234" t="e">
        <f>astrogrep_path&amp;" /e /r /s /spath="&amp;search_path&amp;" /stypes=""app*"&amp;OLX28&amp;"*"&amp;TEXT(OME28-utc_offset/24,"YYYYMMDD")&amp;"*"" /stext="" "&amp;TEXT(OME28-utc_offset/24,"HH")&amp;search_regexp&amp;""""</f>
        <v>#VALUE!</v>
      </c>
      <c r="ONC28" s="234" t="e">
        <f>astrogrep_path&amp;" /e /r /s /spath="&amp;search_path&amp;" /stypes=""app*"&amp;OLY28&amp;"*"&amp;TEXT(OMF28-utc_offset/24,"YYYYMMDD")&amp;"*"" /stext="" "&amp;TEXT(OMF28-utc_offset/24,"HH")&amp;search_regexp&amp;""""</f>
        <v>#VALUE!</v>
      </c>
      <c r="OND28" s="234" t="e">
        <f>astrogrep_path&amp;" /e /r /s /spath="&amp;search_path&amp;" /stypes=""app*"&amp;OLZ28&amp;"*"&amp;TEXT(OMG28-utc_offset/24,"YYYYMMDD")&amp;"*"" /stext="" "&amp;TEXT(OMG28-utc_offset/24,"HH")&amp;search_regexp&amp;""""</f>
        <v>#VALUE!</v>
      </c>
      <c r="ONE28" s="234" t="e">
        <f>astrogrep_path&amp;" /e /r /s /spath="&amp;search_path&amp;" /stypes=""app*"&amp;OMA28&amp;"*"&amp;TEXT(OMH28-utc_offset/24,"YYYYMMDD")&amp;"*"" /stext="" "&amp;TEXT(OMH28-utc_offset/24,"HH")&amp;search_regexp&amp;""""</f>
        <v>#VALUE!</v>
      </c>
      <c r="ONF28" s="234" t="e">
        <f>astrogrep_path&amp;" /e /r /s /spath="&amp;search_path&amp;" /stypes=""app*"&amp;OMB28&amp;"*"&amp;TEXT(OMI28-utc_offset/24,"YYYYMMDD")&amp;"*"" /stext="" "&amp;TEXT(OMI28-utc_offset/24,"HH")&amp;search_regexp&amp;""""</f>
        <v>#REF!</v>
      </c>
      <c r="ONG28" s="234" t="e">
        <f>astrogrep_path&amp;" /e /r /s /spath="&amp;search_path&amp;" /stypes=""app*"&amp;OMC28&amp;"*"&amp;TEXT(OMJ28-utc_offset/24,"YYYYMMDD")&amp;"*"" /stext="" "&amp;TEXT(OMJ28-utc_offset/24,"HH")&amp;search_regexp&amp;""""</f>
        <v>#REF!</v>
      </c>
      <c r="ONH28" s="234" t="e">
        <f>astrogrep_path&amp;" /e /r /s /spath="&amp;search_path&amp;" /stypes=""app*"&amp;OMD28&amp;"*"&amp;TEXT(OMK28-utc_offset/24,"YYYYMMDD")&amp;"*"" /stext="" "&amp;TEXT(OMK28-utc_offset/24,"HH")&amp;search_regexp&amp;""""</f>
        <v>#REF!</v>
      </c>
      <c r="ONI28" s="234" t="e">
        <f>astrogrep_path&amp;" /e /r /s /spath="&amp;search_path&amp;" /stypes=""app*"&amp;OME28&amp;"*"&amp;TEXT(OML28-utc_offset/24,"YYYYMMDD")&amp;"*"" /stext="" "&amp;TEXT(OML28-utc_offset/24,"HH")&amp;search_regexp&amp;""""</f>
        <v>#REF!</v>
      </c>
      <c r="ONJ28" s="234" t="e">
        <f>astrogrep_path&amp;" /e /r /s /spath="&amp;search_path&amp;" /stypes=""app*"&amp;OMF28&amp;"*"&amp;TEXT(OMM28-utc_offset/24,"YYYYMMDD")&amp;"*"" /stext="" "&amp;TEXT(OMM28-utc_offset/24,"HH")&amp;search_regexp&amp;""""</f>
        <v>#REF!</v>
      </c>
      <c r="ONK28" s="234" t="e">
        <f>astrogrep_path&amp;" /e /r /s /spath="&amp;search_path&amp;" /stypes=""app*"&amp;OMG28&amp;"*"&amp;TEXT(OMN28-utc_offset/24,"YYYYMMDD")&amp;"*"" /stext="" "&amp;TEXT(OMN28-utc_offset/24,"HH")&amp;search_regexp&amp;""""</f>
        <v>#REF!</v>
      </c>
      <c r="ONL28" s="234" t="e">
        <f>astrogrep_path&amp;" /e /r /s /spath="&amp;search_path&amp;" /stypes=""app*"&amp;OMH28&amp;"*"&amp;TEXT(OMO28-utc_offset/24,"YYYYMMDD")&amp;"*"" /stext="" "&amp;TEXT(OMO28-utc_offset/24,"HH")&amp;search_regexp&amp;""""</f>
        <v>#REF!</v>
      </c>
      <c r="ONM28" s="234" t="e">
        <f>astrogrep_path&amp;" /e /r /s /spath="&amp;search_path&amp;" /stypes=""app*"&amp;OMI28&amp;"*"&amp;TEXT(OMP28-utc_offset/24,"YYYYMMDD")&amp;"*"" /stext="" "&amp;TEXT(OMP28-utc_offset/24,"HH")&amp;search_regexp&amp;""""</f>
        <v>#REF!</v>
      </c>
      <c r="ONN28" s="234" t="e">
        <f>astrogrep_path&amp;" /e /r /s /spath="&amp;search_path&amp;" /stypes=""app*"&amp;OMJ28&amp;"*"&amp;TEXT(OMQ28-utc_offset/24,"YYYYMMDD")&amp;"*"" /stext="" "&amp;TEXT(OMQ28-utc_offset/24,"HH")&amp;search_regexp&amp;""""</f>
        <v>#REF!</v>
      </c>
      <c r="ONO28" s="234" t="e">
        <f>astrogrep_path&amp;" /e /r /s /spath="&amp;search_path&amp;" /stypes=""app*"&amp;OMK28&amp;"*"&amp;TEXT(OMR28-utc_offset/24,"YYYYMMDD")&amp;"*"" /stext="" "&amp;TEXT(OMR28-utc_offset/24,"HH")&amp;search_regexp&amp;""""</f>
        <v>#REF!</v>
      </c>
      <c r="ONP28" s="234" t="e">
        <f>astrogrep_path&amp;" /e /r /s /spath="&amp;search_path&amp;" /stypes=""app*"&amp;OML28&amp;"*"&amp;TEXT(OMS28-utc_offset/24,"YYYYMMDD")&amp;"*"" /stext="" "&amp;TEXT(OMS28-utc_offset/24,"HH")&amp;search_regexp&amp;""""</f>
        <v>#REF!</v>
      </c>
      <c r="ONQ28" s="234" t="e">
        <f>astrogrep_path&amp;" /e /r /s /spath="&amp;search_path&amp;" /stypes=""app*"&amp;OMM28&amp;"*"&amp;TEXT(OMT28-utc_offset/24,"YYYYMMDD")&amp;"*"" /stext="" "&amp;TEXT(OMT28-utc_offset/24,"HH")&amp;search_regexp&amp;""""</f>
        <v>#REF!</v>
      </c>
      <c r="ONR28" s="234" t="e">
        <f>astrogrep_path&amp;" /e /r /s /spath="&amp;search_path&amp;" /stypes=""app*"&amp;OMN28&amp;"*"&amp;TEXT(OMU28-utc_offset/24,"YYYYMMDD")&amp;"*"" /stext="" "&amp;TEXT(OMU28-utc_offset/24,"HH")&amp;search_regexp&amp;""""</f>
        <v>#REF!</v>
      </c>
      <c r="ONS28" s="234" t="e">
        <f>astrogrep_path&amp;" /e /r /s /spath="&amp;search_path&amp;" /stypes=""app*"&amp;OMO28&amp;"*"&amp;TEXT(OMV28-utc_offset/24,"YYYYMMDD")&amp;"*"" /stext="" "&amp;TEXT(OMV28-utc_offset/24,"HH")&amp;search_regexp&amp;""""</f>
        <v>#REF!</v>
      </c>
      <c r="ONT28" s="234" t="e">
        <f>astrogrep_path&amp;" /e /r /s /spath="&amp;search_path&amp;" /stypes=""app*"&amp;OMP28&amp;"*"&amp;TEXT(OMW28-utc_offset/24,"YYYYMMDD")&amp;"*"" /stext="" "&amp;TEXT(OMW28-utc_offset/24,"HH")&amp;search_regexp&amp;""""</f>
        <v>#REF!</v>
      </c>
      <c r="ONU28" s="234" t="e">
        <f>astrogrep_path&amp;" /e /r /s /spath="&amp;search_path&amp;" /stypes=""app*"&amp;OMQ28&amp;"*"&amp;TEXT(OMX28-utc_offset/24,"YYYYMMDD")&amp;"*"" /stext="" "&amp;TEXT(OMX28-utc_offset/24,"HH")&amp;search_regexp&amp;""""</f>
        <v>#REF!</v>
      </c>
      <c r="ONV28" s="234" t="e">
        <f>astrogrep_path&amp;" /e /r /s /spath="&amp;search_path&amp;" /stypes=""app*"&amp;OMR28&amp;"*"&amp;TEXT(OMY28-utc_offset/24,"YYYYMMDD")&amp;"*"" /stext="" "&amp;TEXT(OMY28-utc_offset/24,"HH")&amp;search_regexp&amp;""""</f>
        <v>#REF!</v>
      </c>
      <c r="ONW28" s="234" t="e">
        <f>astrogrep_path&amp;" /e /r /s /spath="&amp;search_path&amp;" /stypes=""app*"&amp;OMS28&amp;"*"&amp;TEXT(OMZ28-utc_offset/24,"YYYYMMDD")&amp;"*"" /stext="" "&amp;TEXT(OMZ28-utc_offset/24,"HH")&amp;search_regexp&amp;""""</f>
        <v>#REF!</v>
      </c>
      <c r="ONX28" s="234" t="e">
        <f>astrogrep_path&amp;" /e /r /s /spath="&amp;search_path&amp;" /stypes=""app*"&amp;OMT28&amp;"*"&amp;TEXT(ONA28-utc_offset/24,"YYYYMMDD")&amp;"*"" /stext="" "&amp;TEXT(ONA28-utc_offset/24,"HH")&amp;search_regexp&amp;""""</f>
        <v>#REF!</v>
      </c>
      <c r="ONY28" s="234" t="e">
        <f>astrogrep_path&amp;" /e /r /s /spath="&amp;search_path&amp;" /stypes=""app*"&amp;OMU28&amp;"*"&amp;TEXT(ONB28-utc_offset/24,"YYYYMMDD")&amp;"*"" /stext="" "&amp;TEXT(ONB28-utc_offset/24,"HH")&amp;search_regexp&amp;""""</f>
        <v>#REF!</v>
      </c>
      <c r="ONZ28" s="234" t="e">
        <f>astrogrep_path&amp;" /e /r /s /spath="&amp;search_path&amp;" /stypes=""app*"&amp;OMV28&amp;"*"&amp;TEXT(ONC28-utc_offset/24,"YYYYMMDD")&amp;"*"" /stext="" "&amp;TEXT(ONC28-utc_offset/24,"HH")&amp;search_regexp&amp;""""</f>
        <v>#REF!</v>
      </c>
      <c r="OOA28" s="234" t="e">
        <f>astrogrep_path&amp;" /e /r /s /spath="&amp;search_path&amp;" /stypes=""app*"&amp;OMW28&amp;"*"&amp;TEXT(OND28-utc_offset/24,"YYYYMMDD")&amp;"*"" /stext="" "&amp;TEXT(OND28-utc_offset/24,"HH")&amp;search_regexp&amp;""""</f>
        <v>#VALUE!</v>
      </c>
      <c r="OOB28" s="234" t="e">
        <f>astrogrep_path&amp;" /e /r /s /spath="&amp;search_path&amp;" /stypes=""app*"&amp;OMX28&amp;"*"&amp;TEXT(ONE28-utc_offset/24,"YYYYMMDD")&amp;"*"" /stext="" "&amp;TEXT(ONE28-utc_offset/24,"HH")&amp;search_regexp&amp;""""</f>
        <v>#VALUE!</v>
      </c>
      <c r="OOC28" s="234" t="e">
        <f>astrogrep_path&amp;" /e /r /s /spath="&amp;search_path&amp;" /stypes=""app*"&amp;OMY28&amp;"*"&amp;TEXT(ONF28-utc_offset/24,"YYYYMMDD")&amp;"*"" /stext="" "&amp;TEXT(ONF28-utc_offset/24,"HH")&amp;search_regexp&amp;""""</f>
        <v>#REF!</v>
      </c>
      <c r="OOD28" s="234" t="e">
        <f>astrogrep_path&amp;" /e /r /s /spath="&amp;search_path&amp;" /stypes=""app*"&amp;OMZ28&amp;"*"&amp;TEXT(ONG28-utc_offset/24,"YYYYMMDD")&amp;"*"" /stext="" "&amp;TEXT(ONG28-utc_offset/24,"HH")&amp;search_regexp&amp;""""</f>
        <v>#REF!</v>
      </c>
      <c r="OOE28" s="234" t="e">
        <f>astrogrep_path&amp;" /e /r /s /spath="&amp;search_path&amp;" /stypes=""app*"&amp;ONA28&amp;"*"&amp;TEXT(ONH28-utc_offset/24,"YYYYMMDD")&amp;"*"" /stext="" "&amp;TEXT(ONH28-utc_offset/24,"HH")&amp;search_regexp&amp;""""</f>
        <v>#VALUE!</v>
      </c>
      <c r="OOF28" s="234" t="e">
        <f>astrogrep_path&amp;" /e /r /s /spath="&amp;search_path&amp;" /stypes=""app*"&amp;ONB28&amp;"*"&amp;TEXT(ONI28-utc_offset/24,"YYYYMMDD")&amp;"*"" /stext="" "&amp;TEXT(ONI28-utc_offset/24,"HH")&amp;search_regexp&amp;""""</f>
        <v>#VALUE!</v>
      </c>
      <c r="OOG28" s="234" t="e">
        <f>astrogrep_path&amp;" /e /r /s /spath="&amp;search_path&amp;" /stypes=""app*"&amp;ONC28&amp;"*"&amp;TEXT(ONJ28-utc_offset/24,"YYYYMMDD")&amp;"*"" /stext="" "&amp;TEXT(ONJ28-utc_offset/24,"HH")&amp;search_regexp&amp;""""</f>
        <v>#VALUE!</v>
      </c>
      <c r="OOH28" s="234" t="e">
        <f>astrogrep_path&amp;" /e /r /s /spath="&amp;search_path&amp;" /stypes=""app*"&amp;OND28&amp;"*"&amp;TEXT(ONK28-utc_offset/24,"YYYYMMDD")&amp;"*"" /stext="" "&amp;TEXT(ONK28-utc_offset/24,"HH")&amp;search_regexp&amp;""""</f>
        <v>#VALUE!</v>
      </c>
      <c r="OOI28" s="234" t="e">
        <f>astrogrep_path&amp;" /e /r /s /spath="&amp;search_path&amp;" /stypes=""app*"&amp;ONE28&amp;"*"&amp;TEXT(ONL28-utc_offset/24,"YYYYMMDD")&amp;"*"" /stext="" "&amp;TEXT(ONL28-utc_offset/24,"HH")&amp;search_regexp&amp;""""</f>
        <v>#VALUE!</v>
      </c>
      <c r="OOJ28" s="234" t="e">
        <f>astrogrep_path&amp;" /e /r /s /spath="&amp;search_path&amp;" /stypes=""app*"&amp;ONF28&amp;"*"&amp;TEXT(ONM28-utc_offset/24,"YYYYMMDD")&amp;"*"" /stext="" "&amp;TEXT(ONM28-utc_offset/24,"HH")&amp;search_regexp&amp;""""</f>
        <v>#REF!</v>
      </c>
      <c r="OOK28" s="234" t="e">
        <f>astrogrep_path&amp;" /e /r /s /spath="&amp;search_path&amp;" /stypes=""app*"&amp;ONG28&amp;"*"&amp;TEXT(ONN28-utc_offset/24,"YYYYMMDD")&amp;"*"" /stext="" "&amp;TEXT(ONN28-utc_offset/24,"HH")&amp;search_regexp&amp;""""</f>
        <v>#REF!</v>
      </c>
      <c r="OOL28" s="234" t="e">
        <f>astrogrep_path&amp;" /e /r /s /spath="&amp;search_path&amp;" /stypes=""app*"&amp;ONH28&amp;"*"&amp;TEXT(ONO28-utc_offset/24,"YYYYMMDD")&amp;"*"" /stext="" "&amp;TEXT(ONO28-utc_offset/24,"HH")&amp;search_regexp&amp;""""</f>
        <v>#REF!</v>
      </c>
      <c r="OOM28" s="234" t="e">
        <f>astrogrep_path&amp;" /e /r /s /spath="&amp;search_path&amp;" /stypes=""app*"&amp;ONI28&amp;"*"&amp;TEXT(ONP28-utc_offset/24,"YYYYMMDD")&amp;"*"" /stext="" "&amp;TEXT(ONP28-utc_offset/24,"HH")&amp;search_regexp&amp;""""</f>
        <v>#REF!</v>
      </c>
      <c r="OON28" s="234" t="e">
        <f>astrogrep_path&amp;" /e /r /s /spath="&amp;search_path&amp;" /stypes=""app*"&amp;ONJ28&amp;"*"&amp;TEXT(ONQ28-utc_offset/24,"YYYYMMDD")&amp;"*"" /stext="" "&amp;TEXT(ONQ28-utc_offset/24,"HH")&amp;search_regexp&amp;""""</f>
        <v>#REF!</v>
      </c>
      <c r="OOO28" s="234" t="e">
        <f>astrogrep_path&amp;" /e /r /s /spath="&amp;search_path&amp;" /stypes=""app*"&amp;ONK28&amp;"*"&amp;TEXT(ONR28-utc_offset/24,"YYYYMMDD")&amp;"*"" /stext="" "&amp;TEXT(ONR28-utc_offset/24,"HH")&amp;search_regexp&amp;""""</f>
        <v>#REF!</v>
      </c>
      <c r="OOP28" s="234" t="e">
        <f>astrogrep_path&amp;" /e /r /s /spath="&amp;search_path&amp;" /stypes=""app*"&amp;ONL28&amp;"*"&amp;TEXT(ONS28-utc_offset/24,"YYYYMMDD")&amp;"*"" /stext="" "&amp;TEXT(ONS28-utc_offset/24,"HH")&amp;search_regexp&amp;""""</f>
        <v>#REF!</v>
      </c>
      <c r="OOQ28" s="234" t="e">
        <f>astrogrep_path&amp;" /e /r /s /spath="&amp;search_path&amp;" /stypes=""app*"&amp;ONM28&amp;"*"&amp;TEXT(ONT28-utc_offset/24,"YYYYMMDD")&amp;"*"" /stext="" "&amp;TEXT(ONT28-utc_offset/24,"HH")&amp;search_regexp&amp;""""</f>
        <v>#REF!</v>
      </c>
      <c r="OOR28" s="234" t="e">
        <f>astrogrep_path&amp;" /e /r /s /spath="&amp;search_path&amp;" /stypes=""app*"&amp;ONN28&amp;"*"&amp;TEXT(ONU28-utc_offset/24,"YYYYMMDD")&amp;"*"" /stext="" "&amp;TEXT(ONU28-utc_offset/24,"HH")&amp;search_regexp&amp;""""</f>
        <v>#REF!</v>
      </c>
      <c r="OOS28" s="234" t="e">
        <f>astrogrep_path&amp;" /e /r /s /spath="&amp;search_path&amp;" /stypes=""app*"&amp;ONO28&amp;"*"&amp;TEXT(ONV28-utc_offset/24,"YYYYMMDD")&amp;"*"" /stext="" "&amp;TEXT(ONV28-utc_offset/24,"HH")&amp;search_regexp&amp;""""</f>
        <v>#REF!</v>
      </c>
      <c r="OOT28" s="234" t="e">
        <f>astrogrep_path&amp;" /e /r /s /spath="&amp;search_path&amp;" /stypes=""app*"&amp;ONP28&amp;"*"&amp;TEXT(ONW28-utc_offset/24,"YYYYMMDD")&amp;"*"" /stext="" "&amp;TEXT(ONW28-utc_offset/24,"HH")&amp;search_regexp&amp;""""</f>
        <v>#REF!</v>
      </c>
      <c r="OOU28" s="234" t="e">
        <f>astrogrep_path&amp;" /e /r /s /spath="&amp;search_path&amp;" /stypes=""app*"&amp;ONQ28&amp;"*"&amp;TEXT(ONX28-utc_offset/24,"YYYYMMDD")&amp;"*"" /stext="" "&amp;TEXT(ONX28-utc_offset/24,"HH")&amp;search_regexp&amp;""""</f>
        <v>#REF!</v>
      </c>
      <c r="OOV28" s="234" t="e">
        <f>astrogrep_path&amp;" /e /r /s /spath="&amp;search_path&amp;" /stypes=""app*"&amp;ONR28&amp;"*"&amp;TEXT(ONY28-utc_offset/24,"YYYYMMDD")&amp;"*"" /stext="" "&amp;TEXT(ONY28-utc_offset/24,"HH")&amp;search_regexp&amp;""""</f>
        <v>#REF!</v>
      </c>
      <c r="OOW28" s="234" t="e">
        <f>astrogrep_path&amp;" /e /r /s /spath="&amp;search_path&amp;" /stypes=""app*"&amp;ONS28&amp;"*"&amp;TEXT(ONZ28-utc_offset/24,"YYYYMMDD")&amp;"*"" /stext="" "&amp;TEXT(ONZ28-utc_offset/24,"HH")&amp;search_regexp&amp;""""</f>
        <v>#REF!</v>
      </c>
      <c r="OOX28" s="234" t="e">
        <f>astrogrep_path&amp;" /e /r /s /spath="&amp;search_path&amp;" /stypes=""app*"&amp;ONT28&amp;"*"&amp;TEXT(OOA28-utc_offset/24,"YYYYMMDD")&amp;"*"" /stext="" "&amp;TEXT(OOA28-utc_offset/24,"HH")&amp;search_regexp&amp;""""</f>
        <v>#REF!</v>
      </c>
      <c r="OOY28" s="234" t="e">
        <f>astrogrep_path&amp;" /e /r /s /spath="&amp;search_path&amp;" /stypes=""app*"&amp;ONU28&amp;"*"&amp;TEXT(OOB28-utc_offset/24,"YYYYMMDD")&amp;"*"" /stext="" "&amp;TEXT(OOB28-utc_offset/24,"HH")&amp;search_regexp&amp;""""</f>
        <v>#REF!</v>
      </c>
      <c r="OOZ28" s="234" t="e">
        <f>astrogrep_path&amp;" /e /r /s /spath="&amp;search_path&amp;" /stypes=""app*"&amp;ONV28&amp;"*"&amp;TEXT(OOC28-utc_offset/24,"YYYYMMDD")&amp;"*"" /stext="" "&amp;TEXT(OOC28-utc_offset/24,"HH")&amp;search_regexp&amp;""""</f>
        <v>#REF!</v>
      </c>
      <c r="OPA28" s="234" t="e">
        <f>astrogrep_path&amp;" /e /r /s /spath="&amp;search_path&amp;" /stypes=""app*"&amp;ONW28&amp;"*"&amp;TEXT(OOD28-utc_offset/24,"YYYYMMDD")&amp;"*"" /stext="" "&amp;TEXT(OOD28-utc_offset/24,"HH")&amp;search_regexp&amp;""""</f>
        <v>#REF!</v>
      </c>
      <c r="OPB28" s="234" t="e">
        <f>astrogrep_path&amp;" /e /r /s /spath="&amp;search_path&amp;" /stypes=""app*"&amp;ONX28&amp;"*"&amp;TEXT(OOE28-utc_offset/24,"YYYYMMDD")&amp;"*"" /stext="" "&amp;TEXT(OOE28-utc_offset/24,"HH")&amp;search_regexp&amp;""""</f>
        <v>#REF!</v>
      </c>
      <c r="OPC28" s="234" t="e">
        <f>astrogrep_path&amp;" /e /r /s /spath="&amp;search_path&amp;" /stypes=""app*"&amp;ONY28&amp;"*"&amp;TEXT(OOF28-utc_offset/24,"YYYYMMDD")&amp;"*"" /stext="" "&amp;TEXT(OOF28-utc_offset/24,"HH")&amp;search_regexp&amp;""""</f>
        <v>#REF!</v>
      </c>
      <c r="OPD28" s="234" t="e">
        <f>astrogrep_path&amp;" /e /r /s /spath="&amp;search_path&amp;" /stypes=""app*"&amp;ONZ28&amp;"*"&amp;TEXT(OOG28-utc_offset/24,"YYYYMMDD")&amp;"*"" /stext="" "&amp;TEXT(OOG28-utc_offset/24,"HH")&amp;search_regexp&amp;""""</f>
        <v>#REF!</v>
      </c>
      <c r="OPE28" s="234" t="e">
        <f>astrogrep_path&amp;" /e /r /s /spath="&amp;search_path&amp;" /stypes=""app*"&amp;OOA28&amp;"*"&amp;TEXT(OOH28-utc_offset/24,"YYYYMMDD")&amp;"*"" /stext="" "&amp;TEXT(OOH28-utc_offset/24,"HH")&amp;search_regexp&amp;""""</f>
        <v>#VALUE!</v>
      </c>
      <c r="OPF28" s="234" t="e">
        <f>astrogrep_path&amp;" /e /r /s /spath="&amp;search_path&amp;" /stypes=""app*"&amp;OOB28&amp;"*"&amp;TEXT(OOI28-utc_offset/24,"YYYYMMDD")&amp;"*"" /stext="" "&amp;TEXT(OOI28-utc_offset/24,"HH")&amp;search_regexp&amp;""""</f>
        <v>#VALUE!</v>
      </c>
      <c r="OPG28" s="234" t="e">
        <f>astrogrep_path&amp;" /e /r /s /spath="&amp;search_path&amp;" /stypes=""app*"&amp;OOC28&amp;"*"&amp;TEXT(OOJ28-utc_offset/24,"YYYYMMDD")&amp;"*"" /stext="" "&amp;TEXT(OOJ28-utc_offset/24,"HH")&amp;search_regexp&amp;""""</f>
        <v>#REF!</v>
      </c>
      <c r="OPH28" s="234" t="e">
        <f>astrogrep_path&amp;" /e /r /s /spath="&amp;search_path&amp;" /stypes=""app*"&amp;OOD28&amp;"*"&amp;TEXT(OOK28-utc_offset/24,"YYYYMMDD")&amp;"*"" /stext="" "&amp;TEXT(OOK28-utc_offset/24,"HH")&amp;search_regexp&amp;""""</f>
        <v>#REF!</v>
      </c>
      <c r="OPI28" s="234" t="e">
        <f>astrogrep_path&amp;" /e /r /s /spath="&amp;search_path&amp;" /stypes=""app*"&amp;OOE28&amp;"*"&amp;TEXT(OOL28-utc_offset/24,"YYYYMMDD")&amp;"*"" /stext="" "&amp;TEXT(OOL28-utc_offset/24,"HH")&amp;search_regexp&amp;""""</f>
        <v>#VALUE!</v>
      </c>
      <c r="OPJ28" s="234" t="e">
        <f>astrogrep_path&amp;" /e /r /s /spath="&amp;search_path&amp;" /stypes=""app*"&amp;OOF28&amp;"*"&amp;TEXT(OOM28-utc_offset/24,"YYYYMMDD")&amp;"*"" /stext="" "&amp;TEXT(OOM28-utc_offset/24,"HH")&amp;search_regexp&amp;""""</f>
        <v>#VALUE!</v>
      </c>
      <c r="OPK28" s="234" t="e">
        <f>astrogrep_path&amp;" /e /r /s /spath="&amp;search_path&amp;" /stypes=""app*"&amp;OOG28&amp;"*"&amp;TEXT(OON28-utc_offset/24,"YYYYMMDD")&amp;"*"" /stext="" "&amp;TEXT(OON28-utc_offset/24,"HH")&amp;search_regexp&amp;""""</f>
        <v>#VALUE!</v>
      </c>
      <c r="OPL28" s="234" t="e">
        <f>astrogrep_path&amp;" /e /r /s /spath="&amp;search_path&amp;" /stypes=""app*"&amp;OOH28&amp;"*"&amp;TEXT(OOO28-utc_offset/24,"YYYYMMDD")&amp;"*"" /stext="" "&amp;TEXT(OOO28-utc_offset/24,"HH")&amp;search_regexp&amp;""""</f>
        <v>#VALUE!</v>
      </c>
      <c r="OPM28" s="234" t="e">
        <f>astrogrep_path&amp;" /e /r /s /spath="&amp;search_path&amp;" /stypes=""app*"&amp;OOI28&amp;"*"&amp;TEXT(OOP28-utc_offset/24,"YYYYMMDD")&amp;"*"" /stext="" "&amp;TEXT(OOP28-utc_offset/24,"HH")&amp;search_regexp&amp;""""</f>
        <v>#VALUE!</v>
      </c>
      <c r="OPN28" s="234" t="e">
        <f>astrogrep_path&amp;" /e /r /s /spath="&amp;search_path&amp;" /stypes=""app*"&amp;OOJ28&amp;"*"&amp;TEXT(OOQ28-utc_offset/24,"YYYYMMDD")&amp;"*"" /stext="" "&amp;TEXT(OOQ28-utc_offset/24,"HH")&amp;search_regexp&amp;""""</f>
        <v>#REF!</v>
      </c>
      <c r="OPO28" s="234" t="e">
        <f>astrogrep_path&amp;" /e /r /s /spath="&amp;search_path&amp;" /stypes=""app*"&amp;OOK28&amp;"*"&amp;TEXT(OOR28-utc_offset/24,"YYYYMMDD")&amp;"*"" /stext="" "&amp;TEXT(OOR28-utc_offset/24,"HH")&amp;search_regexp&amp;""""</f>
        <v>#REF!</v>
      </c>
      <c r="OPP28" s="234" t="e">
        <f>astrogrep_path&amp;" /e /r /s /spath="&amp;search_path&amp;" /stypes=""app*"&amp;OOL28&amp;"*"&amp;TEXT(OOS28-utc_offset/24,"YYYYMMDD")&amp;"*"" /stext="" "&amp;TEXT(OOS28-utc_offset/24,"HH")&amp;search_regexp&amp;""""</f>
        <v>#REF!</v>
      </c>
      <c r="OPQ28" s="234" t="e">
        <f>astrogrep_path&amp;" /e /r /s /spath="&amp;search_path&amp;" /stypes=""app*"&amp;OOM28&amp;"*"&amp;TEXT(OOT28-utc_offset/24,"YYYYMMDD")&amp;"*"" /stext="" "&amp;TEXT(OOT28-utc_offset/24,"HH")&amp;search_regexp&amp;""""</f>
        <v>#REF!</v>
      </c>
      <c r="OPR28" s="234" t="e">
        <f>astrogrep_path&amp;" /e /r /s /spath="&amp;search_path&amp;" /stypes=""app*"&amp;OON28&amp;"*"&amp;TEXT(OOU28-utc_offset/24,"YYYYMMDD")&amp;"*"" /stext="" "&amp;TEXT(OOU28-utc_offset/24,"HH")&amp;search_regexp&amp;""""</f>
        <v>#REF!</v>
      </c>
      <c r="OPS28" s="234" t="e">
        <f>astrogrep_path&amp;" /e /r /s /spath="&amp;search_path&amp;" /stypes=""app*"&amp;OOO28&amp;"*"&amp;TEXT(OOV28-utc_offset/24,"YYYYMMDD")&amp;"*"" /stext="" "&amp;TEXT(OOV28-utc_offset/24,"HH")&amp;search_regexp&amp;""""</f>
        <v>#REF!</v>
      </c>
      <c r="OPT28" s="234" t="e">
        <f>astrogrep_path&amp;" /e /r /s /spath="&amp;search_path&amp;" /stypes=""app*"&amp;OOP28&amp;"*"&amp;TEXT(OOW28-utc_offset/24,"YYYYMMDD")&amp;"*"" /stext="" "&amp;TEXT(OOW28-utc_offset/24,"HH")&amp;search_regexp&amp;""""</f>
        <v>#REF!</v>
      </c>
      <c r="OPU28" s="234" t="e">
        <f>astrogrep_path&amp;" /e /r /s /spath="&amp;search_path&amp;" /stypes=""app*"&amp;OOQ28&amp;"*"&amp;TEXT(OOX28-utc_offset/24,"YYYYMMDD")&amp;"*"" /stext="" "&amp;TEXT(OOX28-utc_offset/24,"HH")&amp;search_regexp&amp;""""</f>
        <v>#REF!</v>
      </c>
      <c r="OPV28" s="234" t="e">
        <f>astrogrep_path&amp;" /e /r /s /spath="&amp;search_path&amp;" /stypes=""app*"&amp;OOR28&amp;"*"&amp;TEXT(OOY28-utc_offset/24,"YYYYMMDD")&amp;"*"" /stext="" "&amp;TEXT(OOY28-utc_offset/24,"HH")&amp;search_regexp&amp;""""</f>
        <v>#REF!</v>
      </c>
      <c r="OPW28" s="234" t="e">
        <f>astrogrep_path&amp;" /e /r /s /spath="&amp;search_path&amp;" /stypes=""app*"&amp;OOS28&amp;"*"&amp;TEXT(OOZ28-utc_offset/24,"YYYYMMDD")&amp;"*"" /stext="" "&amp;TEXT(OOZ28-utc_offset/24,"HH")&amp;search_regexp&amp;""""</f>
        <v>#REF!</v>
      </c>
      <c r="OPX28" s="234" t="e">
        <f>astrogrep_path&amp;" /e /r /s /spath="&amp;search_path&amp;" /stypes=""app*"&amp;OOT28&amp;"*"&amp;TEXT(OPA28-utc_offset/24,"YYYYMMDD")&amp;"*"" /stext="" "&amp;TEXT(OPA28-utc_offset/24,"HH")&amp;search_regexp&amp;""""</f>
        <v>#REF!</v>
      </c>
      <c r="OPY28" s="234" t="e">
        <f>astrogrep_path&amp;" /e /r /s /spath="&amp;search_path&amp;" /stypes=""app*"&amp;OOU28&amp;"*"&amp;TEXT(OPB28-utc_offset/24,"YYYYMMDD")&amp;"*"" /stext="" "&amp;TEXT(OPB28-utc_offset/24,"HH")&amp;search_regexp&amp;""""</f>
        <v>#REF!</v>
      </c>
      <c r="OPZ28" s="234" t="e">
        <f>astrogrep_path&amp;" /e /r /s /spath="&amp;search_path&amp;" /stypes=""app*"&amp;OOV28&amp;"*"&amp;TEXT(OPC28-utc_offset/24,"YYYYMMDD")&amp;"*"" /stext="" "&amp;TEXT(OPC28-utc_offset/24,"HH")&amp;search_regexp&amp;""""</f>
        <v>#REF!</v>
      </c>
      <c r="OQA28" s="234" t="e">
        <f>astrogrep_path&amp;" /e /r /s /spath="&amp;search_path&amp;" /stypes=""app*"&amp;OOW28&amp;"*"&amp;TEXT(OPD28-utc_offset/24,"YYYYMMDD")&amp;"*"" /stext="" "&amp;TEXT(OPD28-utc_offset/24,"HH")&amp;search_regexp&amp;""""</f>
        <v>#REF!</v>
      </c>
      <c r="OQB28" s="234" t="e">
        <f>astrogrep_path&amp;" /e /r /s /spath="&amp;search_path&amp;" /stypes=""app*"&amp;OOX28&amp;"*"&amp;TEXT(OPE28-utc_offset/24,"YYYYMMDD")&amp;"*"" /stext="" "&amp;TEXT(OPE28-utc_offset/24,"HH")&amp;search_regexp&amp;""""</f>
        <v>#REF!</v>
      </c>
      <c r="OQC28" s="234" t="e">
        <f>astrogrep_path&amp;" /e /r /s /spath="&amp;search_path&amp;" /stypes=""app*"&amp;OOY28&amp;"*"&amp;TEXT(OPF28-utc_offset/24,"YYYYMMDD")&amp;"*"" /stext="" "&amp;TEXT(OPF28-utc_offset/24,"HH")&amp;search_regexp&amp;""""</f>
        <v>#REF!</v>
      </c>
      <c r="OQD28" s="234" t="e">
        <f>astrogrep_path&amp;" /e /r /s /spath="&amp;search_path&amp;" /stypes=""app*"&amp;OOZ28&amp;"*"&amp;TEXT(OPG28-utc_offset/24,"YYYYMMDD")&amp;"*"" /stext="" "&amp;TEXT(OPG28-utc_offset/24,"HH")&amp;search_regexp&amp;""""</f>
        <v>#REF!</v>
      </c>
      <c r="OQE28" s="234" t="e">
        <f>astrogrep_path&amp;" /e /r /s /spath="&amp;search_path&amp;" /stypes=""app*"&amp;OPA28&amp;"*"&amp;TEXT(OPH28-utc_offset/24,"YYYYMMDD")&amp;"*"" /stext="" "&amp;TEXT(OPH28-utc_offset/24,"HH")&amp;search_regexp&amp;""""</f>
        <v>#REF!</v>
      </c>
      <c r="OQF28" s="234" t="e">
        <f>astrogrep_path&amp;" /e /r /s /spath="&amp;search_path&amp;" /stypes=""app*"&amp;OPB28&amp;"*"&amp;TEXT(OPI28-utc_offset/24,"YYYYMMDD")&amp;"*"" /stext="" "&amp;TEXT(OPI28-utc_offset/24,"HH")&amp;search_regexp&amp;""""</f>
        <v>#REF!</v>
      </c>
      <c r="OQG28" s="234" t="e">
        <f>astrogrep_path&amp;" /e /r /s /spath="&amp;search_path&amp;" /stypes=""app*"&amp;OPC28&amp;"*"&amp;TEXT(OPJ28-utc_offset/24,"YYYYMMDD")&amp;"*"" /stext="" "&amp;TEXT(OPJ28-utc_offset/24,"HH")&amp;search_regexp&amp;""""</f>
        <v>#REF!</v>
      </c>
      <c r="OQH28" s="234" t="e">
        <f>astrogrep_path&amp;" /e /r /s /spath="&amp;search_path&amp;" /stypes=""app*"&amp;OPD28&amp;"*"&amp;TEXT(OPK28-utc_offset/24,"YYYYMMDD")&amp;"*"" /stext="" "&amp;TEXT(OPK28-utc_offset/24,"HH")&amp;search_regexp&amp;""""</f>
        <v>#REF!</v>
      </c>
      <c r="OQI28" s="234" t="e">
        <f>astrogrep_path&amp;" /e /r /s /spath="&amp;search_path&amp;" /stypes=""app*"&amp;OPE28&amp;"*"&amp;TEXT(OPL28-utc_offset/24,"YYYYMMDD")&amp;"*"" /stext="" "&amp;TEXT(OPL28-utc_offset/24,"HH")&amp;search_regexp&amp;""""</f>
        <v>#VALUE!</v>
      </c>
      <c r="OQJ28" s="234" t="e">
        <f>astrogrep_path&amp;" /e /r /s /spath="&amp;search_path&amp;" /stypes=""app*"&amp;OPF28&amp;"*"&amp;TEXT(OPM28-utc_offset/24,"YYYYMMDD")&amp;"*"" /stext="" "&amp;TEXT(OPM28-utc_offset/24,"HH")&amp;search_regexp&amp;""""</f>
        <v>#VALUE!</v>
      </c>
      <c r="OQK28" s="234" t="e">
        <f>astrogrep_path&amp;" /e /r /s /spath="&amp;search_path&amp;" /stypes=""app*"&amp;OPG28&amp;"*"&amp;TEXT(OPN28-utc_offset/24,"YYYYMMDD")&amp;"*"" /stext="" "&amp;TEXT(OPN28-utc_offset/24,"HH")&amp;search_regexp&amp;""""</f>
        <v>#REF!</v>
      </c>
      <c r="OQL28" s="234" t="e">
        <f>astrogrep_path&amp;" /e /r /s /spath="&amp;search_path&amp;" /stypes=""app*"&amp;OPH28&amp;"*"&amp;TEXT(OPO28-utc_offset/24,"YYYYMMDD")&amp;"*"" /stext="" "&amp;TEXT(OPO28-utc_offset/24,"HH")&amp;search_regexp&amp;""""</f>
        <v>#REF!</v>
      </c>
      <c r="OQM28" s="234" t="e">
        <f>astrogrep_path&amp;" /e /r /s /spath="&amp;search_path&amp;" /stypes=""app*"&amp;OPI28&amp;"*"&amp;TEXT(OPP28-utc_offset/24,"YYYYMMDD")&amp;"*"" /stext="" "&amp;TEXT(OPP28-utc_offset/24,"HH")&amp;search_regexp&amp;""""</f>
        <v>#VALUE!</v>
      </c>
      <c r="OQN28" s="234" t="e">
        <f>astrogrep_path&amp;" /e /r /s /spath="&amp;search_path&amp;" /stypes=""app*"&amp;OPJ28&amp;"*"&amp;TEXT(OPQ28-utc_offset/24,"YYYYMMDD")&amp;"*"" /stext="" "&amp;TEXT(OPQ28-utc_offset/24,"HH")&amp;search_regexp&amp;""""</f>
        <v>#VALUE!</v>
      </c>
      <c r="OQO28" s="234" t="e">
        <f>astrogrep_path&amp;" /e /r /s /spath="&amp;search_path&amp;" /stypes=""app*"&amp;OPK28&amp;"*"&amp;TEXT(OPR28-utc_offset/24,"YYYYMMDD")&amp;"*"" /stext="" "&amp;TEXT(OPR28-utc_offset/24,"HH")&amp;search_regexp&amp;""""</f>
        <v>#VALUE!</v>
      </c>
      <c r="OQP28" s="234" t="e">
        <f>astrogrep_path&amp;" /e /r /s /spath="&amp;search_path&amp;" /stypes=""app*"&amp;OPL28&amp;"*"&amp;TEXT(OPS28-utc_offset/24,"YYYYMMDD")&amp;"*"" /stext="" "&amp;TEXT(OPS28-utc_offset/24,"HH")&amp;search_regexp&amp;""""</f>
        <v>#VALUE!</v>
      </c>
      <c r="OQQ28" s="234" t="e">
        <f>astrogrep_path&amp;" /e /r /s /spath="&amp;search_path&amp;" /stypes=""app*"&amp;OPM28&amp;"*"&amp;TEXT(OPT28-utc_offset/24,"YYYYMMDD")&amp;"*"" /stext="" "&amp;TEXT(OPT28-utc_offset/24,"HH")&amp;search_regexp&amp;""""</f>
        <v>#VALUE!</v>
      </c>
      <c r="OQR28" s="234" t="e">
        <f>astrogrep_path&amp;" /e /r /s /spath="&amp;search_path&amp;" /stypes=""app*"&amp;OPN28&amp;"*"&amp;TEXT(OPU28-utc_offset/24,"YYYYMMDD")&amp;"*"" /stext="" "&amp;TEXT(OPU28-utc_offset/24,"HH")&amp;search_regexp&amp;""""</f>
        <v>#REF!</v>
      </c>
      <c r="OQS28" s="234" t="e">
        <f>astrogrep_path&amp;" /e /r /s /spath="&amp;search_path&amp;" /stypes=""app*"&amp;OPO28&amp;"*"&amp;TEXT(OPV28-utc_offset/24,"YYYYMMDD")&amp;"*"" /stext="" "&amp;TEXT(OPV28-utc_offset/24,"HH")&amp;search_regexp&amp;""""</f>
        <v>#REF!</v>
      </c>
      <c r="OQT28" s="234" t="e">
        <f>astrogrep_path&amp;" /e /r /s /spath="&amp;search_path&amp;" /stypes=""app*"&amp;OPP28&amp;"*"&amp;TEXT(OPW28-utc_offset/24,"YYYYMMDD")&amp;"*"" /stext="" "&amp;TEXT(OPW28-utc_offset/24,"HH")&amp;search_regexp&amp;""""</f>
        <v>#REF!</v>
      </c>
      <c r="OQU28" s="234" t="e">
        <f>astrogrep_path&amp;" /e /r /s /spath="&amp;search_path&amp;" /stypes=""app*"&amp;OPQ28&amp;"*"&amp;TEXT(OPX28-utc_offset/24,"YYYYMMDD")&amp;"*"" /stext="" "&amp;TEXT(OPX28-utc_offset/24,"HH")&amp;search_regexp&amp;""""</f>
        <v>#REF!</v>
      </c>
      <c r="OQV28" s="234" t="e">
        <f>astrogrep_path&amp;" /e /r /s /spath="&amp;search_path&amp;" /stypes=""app*"&amp;OPR28&amp;"*"&amp;TEXT(OPY28-utc_offset/24,"YYYYMMDD")&amp;"*"" /stext="" "&amp;TEXT(OPY28-utc_offset/24,"HH")&amp;search_regexp&amp;""""</f>
        <v>#REF!</v>
      </c>
      <c r="OQW28" s="234" t="e">
        <f>astrogrep_path&amp;" /e /r /s /spath="&amp;search_path&amp;" /stypes=""app*"&amp;OPS28&amp;"*"&amp;TEXT(OPZ28-utc_offset/24,"YYYYMMDD")&amp;"*"" /stext="" "&amp;TEXT(OPZ28-utc_offset/24,"HH")&amp;search_regexp&amp;""""</f>
        <v>#REF!</v>
      </c>
      <c r="OQX28" s="234" t="e">
        <f>astrogrep_path&amp;" /e /r /s /spath="&amp;search_path&amp;" /stypes=""app*"&amp;OPT28&amp;"*"&amp;TEXT(OQA28-utc_offset/24,"YYYYMMDD")&amp;"*"" /stext="" "&amp;TEXT(OQA28-utc_offset/24,"HH")&amp;search_regexp&amp;""""</f>
        <v>#REF!</v>
      </c>
      <c r="OQY28" s="234" t="e">
        <f>astrogrep_path&amp;" /e /r /s /spath="&amp;search_path&amp;" /stypes=""app*"&amp;OPU28&amp;"*"&amp;TEXT(OQB28-utc_offset/24,"YYYYMMDD")&amp;"*"" /stext="" "&amp;TEXT(OQB28-utc_offset/24,"HH")&amp;search_regexp&amp;""""</f>
        <v>#REF!</v>
      </c>
      <c r="OQZ28" s="234" t="e">
        <f>astrogrep_path&amp;" /e /r /s /spath="&amp;search_path&amp;" /stypes=""app*"&amp;OPV28&amp;"*"&amp;TEXT(OQC28-utc_offset/24,"YYYYMMDD")&amp;"*"" /stext="" "&amp;TEXT(OQC28-utc_offset/24,"HH")&amp;search_regexp&amp;""""</f>
        <v>#REF!</v>
      </c>
      <c r="ORA28" s="234" t="e">
        <f>astrogrep_path&amp;" /e /r /s /spath="&amp;search_path&amp;" /stypes=""app*"&amp;OPW28&amp;"*"&amp;TEXT(OQD28-utc_offset/24,"YYYYMMDD")&amp;"*"" /stext="" "&amp;TEXT(OQD28-utc_offset/24,"HH")&amp;search_regexp&amp;""""</f>
        <v>#REF!</v>
      </c>
      <c r="ORB28" s="234" t="e">
        <f>astrogrep_path&amp;" /e /r /s /spath="&amp;search_path&amp;" /stypes=""app*"&amp;OPX28&amp;"*"&amp;TEXT(OQE28-utc_offset/24,"YYYYMMDD")&amp;"*"" /stext="" "&amp;TEXT(OQE28-utc_offset/24,"HH")&amp;search_regexp&amp;""""</f>
        <v>#REF!</v>
      </c>
      <c r="ORC28" s="234" t="e">
        <f>astrogrep_path&amp;" /e /r /s /spath="&amp;search_path&amp;" /stypes=""app*"&amp;OPY28&amp;"*"&amp;TEXT(OQF28-utc_offset/24,"YYYYMMDD")&amp;"*"" /stext="" "&amp;TEXT(OQF28-utc_offset/24,"HH")&amp;search_regexp&amp;""""</f>
        <v>#REF!</v>
      </c>
      <c r="ORD28" s="234" t="e">
        <f>astrogrep_path&amp;" /e /r /s /spath="&amp;search_path&amp;" /stypes=""app*"&amp;OPZ28&amp;"*"&amp;TEXT(OQG28-utc_offset/24,"YYYYMMDD")&amp;"*"" /stext="" "&amp;TEXT(OQG28-utc_offset/24,"HH")&amp;search_regexp&amp;""""</f>
        <v>#REF!</v>
      </c>
      <c r="ORE28" s="234" t="e">
        <f>astrogrep_path&amp;" /e /r /s /spath="&amp;search_path&amp;" /stypes=""app*"&amp;OQA28&amp;"*"&amp;TEXT(OQH28-utc_offset/24,"YYYYMMDD")&amp;"*"" /stext="" "&amp;TEXT(OQH28-utc_offset/24,"HH")&amp;search_regexp&amp;""""</f>
        <v>#REF!</v>
      </c>
      <c r="ORF28" s="234" t="e">
        <f>astrogrep_path&amp;" /e /r /s /spath="&amp;search_path&amp;" /stypes=""app*"&amp;OQB28&amp;"*"&amp;TEXT(OQI28-utc_offset/24,"YYYYMMDD")&amp;"*"" /stext="" "&amp;TEXT(OQI28-utc_offset/24,"HH")&amp;search_regexp&amp;""""</f>
        <v>#REF!</v>
      </c>
      <c r="ORG28" s="234" t="e">
        <f>astrogrep_path&amp;" /e /r /s /spath="&amp;search_path&amp;" /stypes=""app*"&amp;OQC28&amp;"*"&amp;TEXT(OQJ28-utc_offset/24,"YYYYMMDD")&amp;"*"" /stext="" "&amp;TEXT(OQJ28-utc_offset/24,"HH")&amp;search_regexp&amp;""""</f>
        <v>#REF!</v>
      </c>
      <c r="ORH28" s="234" t="e">
        <f>astrogrep_path&amp;" /e /r /s /spath="&amp;search_path&amp;" /stypes=""app*"&amp;OQD28&amp;"*"&amp;TEXT(OQK28-utc_offset/24,"YYYYMMDD")&amp;"*"" /stext="" "&amp;TEXT(OQK28-utc_offset/24,"HH")&amp;search_regexp&amp;""""</f>
        <v>#REF!</v>
      </c>
      <c r="ORI28" s="234" t="e">
        <f>astrogrep_path&amp;" /e /r /s /spath="&amp;search_path&amp;" /stypes=""app*"&amp;OQE28&amp;"*"&amp;TEXT(OQL28-utc_offset/24,"YYYYMMDD")&amp;"*"" /stext="" "&amp;TEXT(OQL28-utc_offset/24,"HH")&amp;search_regexp&amp;""""</f>
        <v>#REF!</v>
      </c>
      <c r="ORJ28" s="234" t="e">
        <f>astrogrep_path&amp;" /e /r /s /spath="&amp;search_path&amp;" /stypes=""app*"&amp;OQF28&amp;"*"&amp;TEXT(OQM28-utc_offset/24,"YYYYMMDD")&amp;"*"" /stext="" "&amp;TEXT(OQM28-utc_offset/24,"HH")&amp;search_regexp&amp;""""</f>
        <v>#REF!</v>
      </c>
      <c r="ORK28" s="234" t="e">
        <f>astrogrep_path&amp;" /e /r /s /spath="&amp;search_path&amp;" /stypes=""app*"&amp;OQG28&amp;"*"&amp;TEXT(OQN28-utc_offset/24,"YYYYMMDD")&amp;"*"" /stext="" "&amp;TEXT(OQN28-utc_offset/24,"HH")&amp;search_regexp&amp;""""</f>
        <v>#REF!</v>
      </c>
      <c r="ORL28" s="234" t="e">
        <f>astrogrep_path&amp;" /e /r /s /spath="&amp;search_path&amp;" /stypes=""app*"&amp;OQH28&amp;"*"&amp;TEXT(OQO28-utc_offset/24,"YYYYMMDD")&amp;"*"" /stext="" "&amp;TEXT(OQO28-utc_offset/24,"HH")&amp;search_regexp&amp;""""</f>
        <v>#REF!</v>
      </c>
      <c r="ORM28" s="234" t="e">
        <f>astrogrep_path&amp;" /e /r /s /spath="&amp;search_path&amp;" /stypes=""app*"&amp;OQI28&amp;"*"&amp;TEXT(OQP28-utc_offset/24,"YYYYMMDD")&amp;"*"" /stext="" "&amp;TEXT(OQP28-utc_offset/24,"HH")&amp;search_regexp&amp;""""</f>
        <v>#VALUE!</v>
      </c>
      <c r="ORN28" s="234" t="e">
        <f>astrogrep_path&amp;" /e /r /s /spath="&amp;search_path&amp;" /stypes=""app*"&amp;OQJ28&amp;"*"&amp;TEXT(OQQ28-utc_offset/24,"YYYYMMDD")&amp;"*"" /stext="" "&amp;TEXT(OQQ28-utc_offset/24,"HH")&amp;search_regexp&amp;""""</f>
        <v>#VALUE!</v>
      </c>
      <c r="ORO28" s="234" t="e">
        <f>astrogrep_path&amp;" /e /r /s /spath="&amp;search_path&amp;" /stypes=""app*"&amp;OQK28&amp;"*"&amp;TEXT(OQR28-utc_offset/24,"YYYYMMDD")&amp;"*"" /stext="" "&amp;TEXT(OQR28-utc_offset/24,"HH")&amp;search_regexp&amp;""""</f>
        <v>#REF!</v>
      </c>
      <c r="ORP28" s="234" t="e">
        <f>astrogrep_path&amp;" /e /r /s /spath="&amp;search_path&amp;" /stypes=""app*"&amp;OQL28&amp;"*"&amp;TEXT(OQS28-utc_offset/24,"YYYYMMDD")&amp;"*"" /stext="" "&amp;TEXT(OQS28-utc_offset/24,"HH")&amp;search_regexp&amp;""""</f>
        <v>#REF!</v>
      </c>
      <c r="ORQ28" s="234" t="e">
        <f>astrogrep_path&amp;" /e /r /s /spath="&amp;search_path&amp;" /stypes=""app*"&amp;OQM28&amp;"*"&amp;TEXT(OQT28-utc_offset/24,"YYYYMMDD")&amp;"*"" /stext="" "&amp;TEXT(OQT28-utc_offset/24,"HH")&amp;search_regexp&amp;""""</f>
        <v>#VALUE!</v>
      </c>
      <c r="ORR28" s="234" t="e">
        <f>astrogrep_path&amp;" /e /r /s /spath="&amp;search_path&amp;" /stypes=""app*"&amp;OQN28&amp;"*"&amp;TEXT(OQU28-utc_offset/24,"YYYYMMDD")&amp;"*"" /stext="" "&amp;TEXT(OQU28-utc_offset/24,"HH")&amp;search_regexp&amp;""""</f>
        <v>#VALUE!</v>
      </c>
      <c r="ORS28" s="234" t="e">
        <f>astrogrep_path&amp;" /e /r /s /spath="&amp;search_path&amp;" /stypes=""app*"&amp;OQO28&amp;"*"&amp;TEXT(OQV28-utc_offset/24,"YYYYMMDD")&amp;"*"" /stext="" "&amp;TEXT(OQV28-utc_offset/24,"HH")&amp;search_regexp&amp;""""</f>
        <v>#VALUE!</v>
      </c>
      <c r="ORT28" s="234" t="e">
        <f>astrogrep_path&amp;" /e /r /s /spath="&amp;search_path&amp;" /stypes=""app*"&amp;OQP28&amp;"*"&amp;TEXT(OQW28-utc_offset/24,"YYYYMMDD")&amp;"*"" /stext="" "&amp;TEXT(OQW28-utc_offset/24,"HH")&amp;search_regexp&amp;""""</f>
        <v>#VALUE!</v>
      </c>
      <c r="ORU28" s="234" t="e">
        <f>astrogrep_path&amp;" /e /r /s /spath="&amp;search_path&amp;" /stypes=""app*"&amp;OQQ28&amp;"*"&amp;TEXT(OQX28-utc_offset/24,"YYYYMMDD")&amp;"*"" /stext="" "&amp;TEXT(OQX28-utc_offset/24,"HH")&amp;search_regexp&amp;""""</f>
        <v>#VALUE!</v>
      </c>
      <c r="ORV28" s="234" t="e">
        <f>astrogrep_path&amp;" /e /r /s /spath="&amp;search_path&amp;" /stypes=""app*"&amp;OQR28&amp;"*"&amp;TEXT(OQY28-utc_offset/24,"YYYYMMDD")&amp;"*"" /stext="" "&amp;TEXT(OQY28-utc_offset/24,"HH")&amp;search_regexp&amp;""""</f>
        <v>#REF!</v>
      </c>
      <c r="ORW28" s="234" t="e">
        <f>astrogrep_path&amp;" /e /r /s /spath="&amp;search_path&amp;" /stypes=""app*"&amp;OQS28&amp;"*"&amp;TEXT(OQZ28-utc_offset/24,"YYYYMMDD")&amp;"*"" /stext="" "&amp;TEXT(OQZ28-utc_offset/24,"HH")&amp;search_regexp&amp;""""</f>
        <v>#REF!</v>
      </c>
      <c r="ORX28" s="234" t="e">
        <f>astrogrep_path&amp;" /e /r /s /spath="&amp;search_path&amp;" /stypes=""app*"&amp;OQT28&amp;"*"&amp;TEXT(ORA28-utc_offset/24,"YYYYMMDD")&amp;"*"" /stext="" "&amp;TEXT(ORA28-utc_offset/24,"HH")&amp;search_regexp&amp;""""</f>
        <v>#REF!</v>
      </c>
      <c r="ORY28" s="234" t="e">
        <f>astrogrep_path&amp;" /e /r /s /spath="&amp;search_path&amp;" /stypes=""app*"&amp;OQU28&amp;"*"&amp;TEXT(ORB28-utc_offset/24,"YYYYMMDD")&amp;"*"" /stext="" "&amp;TEXT(ORB28-utc_offset/24,"HH")&amp;search_regexp&amp;""""</f>
        <v>#REF!</v>
      </c>
      <c r="ORZ28" s="234" t="e">
        <f>astrogrep_path&amp;" /e /r /s /spath="&amp;search_path&amp;" /stypes=""app*"&amp;OQV28&amp;"*"&amp;TEXT(ORC28-utc_offset/24,"YYYYMMDD")&amp;"*"" /stext="" "&amp;TEXT(ORC28-utc_offset/24,"HH")&amp;search_regexp&amp;""""</f>
        <v>#REF!</v>
      </c>
      <c r="OSA28" s="234" t="e">
        <f>astrogrep_path&amp;" /e /r /s /spath="&amp;search_path&amp;" /stypes=""app*"&amp;OQW28&amp;"*"&amp;TEXT(ORD28-utc_offset/24,"YYYYMMDD")&amp;"*"" /stext="" "&amp;TEXT(ORD28-utc_offset/24,"HH")&amp;search_regexp&amp;""""</f>
        <v>#REF!</v>
      </c>
      <c r="OSB28" s="234" t="e">
        <f>astrogrep_path&amp;" /e /r /s /spath="&amp;search_path&amp;" /stypes=""app*"&amp;OQX28&amp;"*"&amp;TEXT(ORE28-utc_offset/24,"YYYYMMDD")&amp;"*"" /stext="" "&amp;TEXT(ORE28-utc_offset/24,"HH")&amp;search_regexp&amp;""""</f>
        <v>#REF!</v>
      </c>
      <c r="OSC28" s="234" t="e">
        <f>astrogrep_path&amp;" /e /r /s /spath="&amp;search_path&amp;" /stypes=""app*"&amp;OQY28&amp;"*"&amp;TEXT(ORF28-utc_offset/24,"YYYYMMDD")&amp;"*"" /stext="" "&amp;TEXT(ORF28-utc_offset/24,"HH")&amp;search_regexp&amp;""""</f>
        <v>#REF!</v>
      </c>
      <c r="OSD28" s="234" t="e">
        <f>astrogrep_path&amp;" /e /r /s /spath="&amp;search_path&amp;" /stypes=""app*"&amp;OQZ28&amp;"*"&amp;TEXT(ORG28-utc_offset/24,"YYYYMMDD")&amp;"*"" /stext="" "&amp;TEXT(ORG28-utc_offset/24,"HH")&amp;search_regexp&amp;""""</f>
        <v>#REF!</v>
      </c>
      <c r="OSE28" s="234" t="e">
        <f>astrogrep_path&amp;" /e /r /s /spath="&amp;search_path&amp;" /stypes=""app*"&amp;ORA28&amp;"*"&amp;TEXT(ORH28-utc_offset/24,"YYYYMMDD")&amp;"*"" /stext="" "&amp;TEXT(ORH28-utc_offset/24,"HH")&amp;search_regexp&amp;""""</f>
        <v>#REF!</v>
      </c>
      <c r="OSF28" s="234" t="e">
        <f>astrogrep_path&amp;" /e /r /s /spath="&amp;search_path&amp;" /stypes=""app*"&amp;ORB28&amp;"*"&amp;TEXT(ORI28-utc_offset/24,"YYYYMMDD")&amp;"*"" /stext="" "&amp;TEXT(ORI28-utc_offset/24,"HH")&amp;search_regexp&amp;""""</f>
        <v>#REF!</v>
      </c>
      <c r="OSG28" s="234" t="e">
        <f>astrogrep_path&amp;" /e /r /s /spath="&amp;search_path&amp;" /stypes=""app*"&amp;ORC28&amp;"*"&amp;TEXT(ORJ28-utc_offset/24,"YYYYMMDD")&amp;"*"" /stext="" "&amp;TEXT(ORJ28-utc_offset/24,"HH")&amp;search_regexp&amp;""""</f>
        <v>#REF!</v>
      </c>
      <c r="OSH28" s="234" t="e">
        <f>astrogrep_path&amp;" /e /r /s /spath="&amp;search_path&amp;" /stypes=""app*"&amp;ORD28&amp;"*"&amp;TEXT(ORK28-utc_offset/24,"YYYYMMDD")&amp;"*"" /stext="" "&amp;TEXT(ORK28-utc_offset/24,"HH")&amp;search_regexp&amp;""""</f>
        <v>#REF!</v>
      </c>
      <c r="OSI28" s="234" t="e">
        <f>astrogrep_path&amp;" /e /r /s /spath="&amp;search_path&amp;" /stypes=""app*"&amp;ORE28&amp;"*"&amp;TEXT(ORL28-utc_offset/24,"YYYYMMDD")&amp;"*"" /stext="" "&amp;TEXT(ORL28-utc_offset/24,"HH")&amp;search_regexp&amp;""""</f>
        <v>#REF!</v>
      </c>
      <c r="OSJ28" s="234" t="e">
        <f>astrogrep_path&amp;" /e /r /s /spath="&amp;search_path&amp;" /stypes=""app*"&amp;ORF28&amp;"*"&amp;TEXT(ORM28-utc_offset/24,"YYYYMMDD")&amp;"*"" /stext="" "&amp;TEXT(ORM28-utc_offset/24,"HH")&amp;search_regexp&amp;""""</f>
        <v>#REF!</v>
      </c>
      <c r="OSK28" s="234" t="e">
        <f>astrogrep_path&amp;" /e /r /s /spath="&amp;search_path&amp;" /stypes=""app*"&amp;ORG28&amp;"*"&amp;TEXT(ORN28-utc_offset/24,"YYYYMMDD")&amp;"*"" /stext="" "&amp;TEXT(ORN28-utc_offset/24,"HH")&amp;search_regexp&amp;""""</f>
        <v>#REF!</v>
      </c>
      <c r="OSL28" s="234" t="e">
        <f>astrogrep_path&amp;" /e /r /s /spath="&amp;search_path&amp;" /stypes=""app*"&amp;ORH28&amp;"*"&amp;TEXT(ORO28-utc_offset/24,"YYYYMMDD")&amp;"*"" /stext="" "&amp;TEXT(ORO28-utc_offset/24,"HH")&amp;search_regexp&amp;""""</f>
        <v>#REF!</v>
      </c>
      <c r="OSM28" s="234" t="e">
        <f>astrogrep_path&amp;" /e /r /s /spath="&amp;search_path&amp;" /stypes=""app*"&amp;ORI28&amp;"*"&amp;TEXT(ORP28-utc_offset/24,"YYYYMMDD")&amp;"*"" /stext="" "&amp;TEXT(ORP28-utc_offset/24,"HH")&amp;search_regexp&amp;""""</f>
        <v>#REF!</v>
      </c>
      <c r="OSN28" s="234" t="e">
        <f>astrogrep_path&amp;" /e /r /s /spath="&amp;search_path&amp;" /stypes=""app*"&amp;ORJ28&amp;"*"&amp;TEXT(ORQ28-utc_offset/24,"YYYYMMDD")&amp;"*"" /stext="" "&amp;TEXT(ORQ28-utc_offset/24,"HH")&amp;search_regexp&amp;""""</f>
        <v>#REF!</v>
      </c>
      <c r="OSO28" s="234" t="e">
        <f>astrogrep_path&amp;" /e /r /s /spath="&amp;search_path&amp;" /stypes=""app*"&amp;ORK28&amp;"*"&amp;TEXT(ORR28-utc_offset/24,"YYYYMMDD")&amp;"*"" /stext="" "&amp;TEXT(ORR28-utc_offset/24,"HH")&amp;search_regexp&amp;""""</f>
        <v>#REF!</v>
      </c>
      <c r="OSP28" s="234" t="e">
        <f>astrogrep_path&amp;" /e /r /s /spath="&amp;search_path&amp;" /stypes=""app*"&amp;ORL28&amp;"*"&amp;TEXT(ORS28-utc_offset/24,"YYYYMMDD")&amp;"*"" /stext="" "&amp;TEXT(ORS28-utc_offset/24,"HH")&amp;search_regexp&amp;""""</f>
        <v>#REF!</v>
      </c>
      <c r="OSQ28" s="234" t="e">
        <f>astrogrep_path&amp;" /e /r /s /spath="&amp;search_path&amp;" /stypes=""app*"&amp;ORM28&amp;"*"&amp;TEXT(ORT28-utc_offset/24,"YYYYMMDD")&amp;"*"" /stext="" "&amp;TEXT(ORT28-utc_offset/24,"HH")&amp;search_regexp&amp;""""</f>
        <v>#VALUE!</v>
      </c>
      <c r="OSR28" s="234" t="e">
        <f>astrogrep_path&amp;" /e /r /s /spath="&amp;search_path&amp;" /stypes=""app*"&amp;ORN28&amp;"*"&amp;TEXT(ORU28-utc_offset/24,"YYYYMMDD")&amp;"*"" /stext="" "&amp;TEXT(ORU28-utc_offset/24,"HH")&amp;search_regexp&amp;""""</f>
        <v>#VALUE!</v>
      </c>
      <c r="OSS28" s="234" t="e">
        <f>astrogrep_path&amp;" /e /r /s /spath="&amp;search_path&amp;" /stypes=""app*"&amp;ORO28&amp;"*"&amp;TEXT(ORV28-utc_offset/24,"YYYYMMDD")&amp;"*"" /stext="" "&amp;TEXT(ORV28-utc_offset/24,"HH")&amp;search_regexp&amp;""""</f>
        <v>#REF!</v>
      </c>
      <c r="OST28" s="234" t="e">
        <f>astrogrep_path&amp;" /e /r /s /spath="&amp;search_path&amp;" /stypes=""app*"&amp;ORP28&amp;"*"&amp;TEXT(ORW28-utc_offset/24,"YYYYMMDD")&amp;"*"" /stext="" "&amp;TEXT(ORW28-utc_offset/24,"HH")&amp;search_regexp&amp;""""</f>
        <v>#REF!</v>
      </c>
      <c r="OSU28" s="234" t="e">
        <f>astrogrep_path&amp;" /e /r /s /spath="&amp;search_path&amp;" /stypes=""app*"&amp;ORQ28&amp;"*"&amp;TEXT(ORX28-utc_offset/24,"YYYYMMDD")&amp;"*"" /stext="" "&amp;TEXT(ORX28-utc_offset/24,"HH")&amp;search_regexp&amp;""""</f>
        <v>#VALUE!</v>
      </c>
      <c r="OSV28" s="234" t="e">
        <f>astrogrep_path&amp;" /e /r /s /spath="&amp;search_path&amp;" /stypes=""app*"&amp;ORR28&amp;"*"&amp;TEXT(ORY28-utc_offset/24,"YYYYMMDD")&amp;"*"" /stext="" "&amp;TEXT(ORY28-utc_offset/24,"HH")&amp;search_regexp&amp;""""</f>
        <v>#VALUE!</v>
      </c>
      <c r="OSW28" s="234" t="e">
        <f>astrogrep_path&amp;" /e /r /s /spath="&amp;search_path&amp;" /stypes=""app*"&amp;ORS28&amp;"*"&amp;TEXT(ORZ28-utc_offset/24,"YYYYMMDD")&amp;"*"" /stext="" "&amp;TEXT(ORZ28-utc_offset/24,"HH")&amp;search_regexp&amp;""""</f>
        <v>#VALUE!</v>
      </c>
      <c r="OSX28" s="234" t="e">
        <f>astrogrep_path&amp;" /e /r /s /spath="&amp;search_path&amp;" /stypes=""app*"&amp;ORT28&amp;"*"&amp;TEXT(OSA28-utc_offset/24,"YYYYMMDD")&amp;"*"" /stext="" "&amp;TEXT(OSA28-utc_offset/24,"HH")&amp;search_regexp&amp;""""</f>
        <v>#VALUE!</v>
      </c>
      <c r="OSY28" s="234" t="e">
        <f>astrogrep_path&amp;" /e /r /s /spath="&amp;search_path&amp;" /stypes=""app*"&amp;ORU28&amp;"*"&amp;TEXT(OSB28-utc_offset/24,"YYYYMMDD")&amp;"*"" /stext="" "&amp;TEXT(OSB28-utc_offset/24,"HH")&amp;search_regexp&amp;""""</f>
        <v>#VALUE!</v>
      </c>
      <c r="OSZ28" s="234" t="e">
        <f>astrogrep_path&amp;" /e /r /s /spath="&amp;search_path&amp;" /stypes=""app*"&amp;ORV28&amp;"*"&amp;TEXT(OSC28-utc_offset/24,"YYYYMMDD")&amp;"*"" /stext="" "&amp;TEXT(OSC28-utc_offset/24,"HH")&amp;search_regexp&amp;""""</f>
        <v>#REF!</v>
      </c>
      <c r="OTA28" s="234" t="e">
        <f>astrogrep_path&amp;" /e /r /s /spath="&amp;search_path&amp;" /stypes=""app*"&amp;ORW28&amp;"*"&amp;TEXT(OSD28-utc_offset/24,"YYYYMMDD")&amp;"*"" /stext="" "&amp;TEXT(OSD28-utc_offset/24,"HH")&amp;search_regexp&amp;""""</f>
        <v>#REF!</v>
      </c>
      <c r="OTB28" s="234" t="e">
        <f>astrogrep_path&amp;" /e /r /s /spath="&amp;search_path&amp;" /stypes=""app*"&amp;ORX28&amp;"*"&amp;TEXT(OSE28-utc_offset/24,"YYYYMMDD")&amp;"*"" /stext="" "&amp;TEXT(OSE28-utc_offset/24,"HH")&amp;search_regexp&amp;""""</f>
        <v>#REF!</v>
      </c>
      <c r="OTC28" s="234" t="e">
        <f>astrogrep_path&amp;" /e /r /s /spath="&amp;search_path&amp;" /stypes=""app*"&amp;ORY28&amp;"*"&amp;TEXT(OSF28-utc_offset/24,"YYYYMMDD")&amp;"*"" /stext="" "&amp;TEXT(OSF28-utc_offset/24,"HH")&amp;search_regexp&amp;""""</f>
        <v>#REF!</v>
      </c>
      <c r="OTD28" s="234" t="e">
        <f>astrogrep_path&amp;" /e /r /s /spath="&amp;search_path&amp;" /stypes=""app*"&amp;ORZ28&amp;"*"&amp;TEXT(OSG28-utc_offset/24,"YYYYMMDD")&amp;"*"" /stext="" "&amp;TEXT(OSG28-utc_offset/24,"HH")&amp;search_regexp&amp;""""</f>
        <v>#REF!</v>
      </c>
      <c r="OTE28" s="234" t="e">
        <f>astrogrep_path&amp;" /e /r /s /spath="&amp;search_path&amp;" /stypes=""app*"&amp;OSA28&amp;"*"&amp;TEXT(OSH28-utc_offset/24,"YYYYMMDD")&amp;"*"" /stext="" "&amp;TEXT(OSH28-utc_offset/24,"HH")&amp;search_regexp&amp;""""</f>
        <v>#REF!</v>
      </c>
      <c r="OTF28" s="234" t="e">
        <f>astrogrep_path&amp;" /e /r /s /spath="&amp;search_path&amp;" /stypes=""app*"&amp;OSB28&amp;"*"&amp;TEXT(OSI28-utc_offset/24,"YYYYMMDD")&amp;"*"" /stext="" "&amp;TEXT(OSI28-utc_offset/24,"HH")&amp;search_regexp&amp;""""</f>
        <v>#REF!</v>
      </c>
      <c r="OTG28" s="234" t="e">
        <f>astrogrep_path&amp;" /e /r /s /spath="&amp;search_path&amp;" /stypes=""app*"&amp;OSC28&amp;"*"&amp;TEXT(OSJ28-utc_offset/24,"YYYYMMDD")&amp;"*"" /stext="" "&amp;TEXT(OSJ28-utc_offset/24,"HH")&amp;search_regexp&amp;""""</f>
        <v>#REF!</v>
      </c>
      <c r="OTH28" s="234" t="e">
        <f>astrogrep_path&amp;" /e /r /s /spath="&amp;search_path&amp;" /stypes=""app*"&amp;OSD28&amp;"*"&amp;TEXT(OSK28-utc_offset/24,"YYYYMMDD")&amp;"*"" /stext="" "&amp;TEXT(OSK28-utc_offset/24,"HH")&amp;search_regexp&amp;""""</f>
        <v>#REF!</v>
      </c>
      <c r="OTI28" s="234" t="e">
        <f>astrogrep_path&amp;" /e /r /s /spath="&amp;search_path&amp;" /stypes=""app*"&amp;OSE28&amp;"*"&amp;TEXT(OSL28-utc_offset/24,"YYYYMMDD")&amp;"*"" /stext="" "&amp;TEXT(OSL28-utc_offset/24,"HH")&amp;search_regexp&amp;""""</f>
        <v>#REF!</v>
      </c>
      <c r="OTJ28" s="234" t="e">
        <f>astrogrep_path&amp;" /e /r /s /spath="&amp;search_path&amp;" /stypes=""app*"&amp;OSF28&amp;"*"&amp;TEXT(OSM28-utc_offset/24,"YYYYMMDD")&amp;"*"" /stext="" "&amp;TEXT(OSM28-utc_offset/24,"HH")&amp;search_regexp&amp;""""</f>
        <v>#REF!</v>
      </c>
      <c r="OTK28" s="234" t="e">
        <f>astrogrep_path&amp;" /e /r /s /spath="&amp;search_path&amp;" /stypes=""app*"&amp;OSG28&amp;"*"&amp;TEXT(OSN28-utc_offset/24,"YYYYMMDD")&amp;"*"" /stext="" "&amp;TEXT(OSN28-utc_offset/24,"HH")&amp;search_regexp&amp;""""</f>
        <v>#REF!</v>
      </c>
      <c r="OTL28" s="234" t="e">
        <f>astrogrep_path&amp;" /e /r /s /spath="&amp;search_path&amp;" /stypes=""app*"&amp;OSH28&amp;"*"&amp;TEXT(OSO28-utc_offset/24,"YYYYMMDD")&amp;"*"" /stext="" "&amp;TEXT(OSO28-utc_offset/24,"HH")&amp;search_regexp&amp;""""</f>
        <v>#REF!</v>
      </c>
      <c r="OTM28" s="234" t="e">
        <f>astrogrep_path&amp;" /e /r /s /spath="&amp;search_path&amp;" /stypes=""app*"&amp;OSI28&amp;"*"&amp;TEXT(OSP28-utc_offset/24,"YYYYMMDD")&amp;"*"" /stext="" "&amp;TEXT(OSP28-utc_offset/24,"HH")&amp;search_regexp&amp;""""</f>
        <v>#REF!</v>
      </c>
      <c r="OTN28" s="234" t="e">
        <f>astrogrep_path&amp;" /e /r /s /spath="&amp;search_path&amp;" /stypes=""app*"&amp;OSJ28&amp;"*"&amp;TEXT(OSQ28-utc_offset/24,"YYYYMMDD")&amp;"*"" /stext="" "&amp;TEXT(OSQ28-utc_offset/24,"HH")&amp;search_regexp&amp;""""</f>
        <v>#REF!</v>
      </c>
      <c r="OTO28" s="234" t="e">
        <f>astrogrep_path&amp;" /e /r /s /spath="&amp;search_path&amp;" /stypes=""app*"&amp;OSK28&amp;"*"&amp;TEXT(OSR28-utc_offset/24,"YYYYMMDD")&amp;"*"" /stext="" "&amp;TEXT(OSR28-utc_offset/24,"HH")&amp;search_regexp&amp;""""</f>
        <v>#REF!</v>
      </c>
      <c r="OTP28" s="234" t="e">
        <f>astrogrep_path&amp;" /e /r /s /spath="&amp;search_path&amp;" /stypes=""app*"&amp;OSL28&amp;"*"&amp;TEXT(OSS28-utc_offset/24,"YYYYMMDD")&amp;"*"" /stext="" "&amp;TEXT(OSS28-utc_offset/24,"HH")&amp;search_regexp&amp;""""</f>
        <v>#REF!</v>
      </c>
      <c r="OTQ28" s="234" t="e">
        <f>astrogrep_path&amp;" /e /r /s /spath="&amp;search_path&amp;" /stypes=""app*"&amp;OSM28&amp;"*"&amp;TEXT(OST28-utc_offset/24,"YYYYMMDD")&amp;"*"" /stext="" "&amp;TEXT(OST28-utc_offset/24,"HH")&amp;search_regexp&amp;""""</f>
        <v>#REF!</v>
      </c>
      <c r="OTR28" s="234" t="e">
        <f>astrogrep_path&amp;" /e /r /s /spath="&amp;search_path&amp;" /stypes=""app*"&amp;OSN28&amp;"*"&amp;TEXT(OSU28-utc_offset/24,"YYYYMMDD")&amp;"*"" /stext="" "&amp;TEXT(OSU28-utc_offset/24,"HH")&amp;search_regexp&amp;""""</f>
        <v>#REF!</v>
      </c>
      <c r="OTS28" s="234" t="e">
        <f>astrogrep_path&amp;" /e /r /s /spath="&amp;search_path&amp;" /stypes=""app*"&amp;OSO28&amp;"*"&amp;TEXT(OSV28-utc_offset/24,"YYYYMMDD")&amp;"*"" /stext="" "&amp;TEXT(OSV28-utc_offset/24,"HH")&amp;search_regexp&amp;""""</f>
        <v>#REF!</v>
      </c>
      <c r="OTT28" s="234" t="e">
        <f>astrogrep_path&amp;" /e /r /s /spath="&amp;search_path&amp;" /stypes=""app*"&amp;OSP28&amp;"*"&amp;TEXT(OSW28-utc_offset/24,"YYYYMMDD")&amp;"*"" /stext="" "&amp;TEXT(OSW28-utc_offset/24,"HH")&amp;search_regexp&amp;""""</f>
        <v>#REF!</v>
      </c>
      <c r="OTU28" s="234" t="e">
        <f>astrogrep_path&amp;" /e /r /s /spath="&amp;search_path&amp;" /stypes=""app*"&amp;OSQ28&amp;"*"&amp;TEXT(OSX28-utc_offset/24,"YYYYMMDD")&amp;"*"" /stext="" "&amp;TEXT(OSX28-utc_offset/24,"HH")&amp;search_regexp&amp;""""</f>
        <v>#VALUE!</v>
      </c>
      <c r="OTV28" s="234" t="e">
        <f>astrogrep_path&amp;" /e /r /s /spath="&amp;search_path&amp;" /stypes=""app*"&amp;OSR28&amp;"*"&amp;TEXT(OSY28-utc_offset/24,"YYYYMMDD")&amp;"*"" /stext="" "&amp;TEXT(OSY28-utc_offset/24,"HH")&amp;search_regexp&amp;""""</f>
        <v>#VALUE!</v>
      </c>
      <c r="OTW28" s="234" t="e">
        <f>astrogrep_path&amp;" /e /r /s /spath="&amp;search_path&amp;" /stypes=""app*"&amp;OSS28&amp;"*"&amp;TEXT(OSZ28-utc_offset/24,"YYYYMMDD")&amp;"*"" /stext="" "&amp;TEXT(OSZ28-utc_offset/24,"HH")&amp;search_regexp&amp;""""</f>
        <v>#REF!</v>
      </c>
      <c r="OTX28" s="234" t="e">
        <f>astrogrep_path&amp;" /e /r /s /spath="&amp;search_path&amp;" /stypes=""app*"&amp;OST28&amp;"*"&amp;TEXT(OTA28-utc_offset/24,"YYYYMMDD")&amp;"*"" /stext="" "&amp;TEXT(OTA28-utc_offset/24,"HH")&amp;search_regexp&amp;""""</f>
        <v>#REF!</v>
      </c>
      <c r="OTY28" s="234" t="e">
        <f>astrogrep_path&amp;" /e /r /s /spath="&amp;search_path&amp;" /stypes=""app*"&amp;OSU28&amp;"*"&amp;TEXT(OTB28-utc_offset/24,"YYYYMMDD")&amp;"*"" /stext="" "&amp;TEXT(OTB28-utc_offset/24,"HH")&amp;search_regexp&amp;""""</f>
        <v>#VALUE!</v>
      </c>
      <c r="OTZ28" s="234" t="e">
        <f>astrogrep_path&amp;" /e /r /s /spath="&amp;search_path&amp;" /stypes=""app*"&amp;OSV28&amp;"*"&amp;TEXT(OTC28-utc_offset/24,"YYYYMMDD")&amp;"*"" /stext="" "&amp;TEXT(OTC28-utc_offset/24,"HH")&amp;search_regexp&amp;""""</f>
        <v>#VALUE!</v>
      </c>
      <c r="OUA28" s="234" t="e">
        <f>astrogrep_path&amp;" /e /r /s /spath="&amp;search_path&amp;" /stypes=""app*"&amp;OSW28&amp;"*"&amp;TEXT(OTD28-utc_offset/24,"YYYYMMDD")&amp;"*"" /stext="" "&amp;TEXT(OTD28-utc_offset/24,"HH")&amp;search_regexp&amp;""""</f>
        <v>#VALUE!</v>
      </c>
      <c r="OUB28" s="234" t="e">
        <f>astrogrep_path&amp;" /e /r /s /spath="&amp;search_path&amp;" /stypes=""app*"&amp;OSX28&amp;"*"&amp;TEXT(OTE28-utc_offset/24,"YYYYMMDD")&amp;"*"" /stext="" "&amp;TEXT(OTE28-utc_offset/24,"HH")&amp;search_regexp&amp;""""</f>
        <v>#VALUE!</v>
      </c>
      <c r="OUC28" s="234" t="e">
        <f>astrogrep_path&amp;" /e /r /s /spath="&amp;search_path&amp;" /stypes=""app*"&amp;OSY28&amp;"*"&amp;TEXT(OTF28-utc_offset/24,"YYYYMMDD")&amp;"*"" /stext="" "&amp;TEXT(OTF28-utc_offset/24,"HH")&amp;search_regexp&amp;""""</f>
        <v>#VALUE!</v>
      </c>
      <c r="OUD28" s="234" t="e">
        <f>astrogrep_path&amp;" /e /r /s /spath="&amp;search_path&amp;" /stypes=""app*"&amp;OSZ28&amp;"*"&amp;TEXT(OTG28-utc_offset/24,"YYYYMMDD")&amp;"*"" /stext="" "&amp;TEXT(OTG28-utc_offset/24,"HH")&amp;search_regexp&amp;""""</f>
        <v>#REF!</v>
      </c>
      <c r="OUE28" s="234" t="e">
        <f>astrogrep_path&amp;" /e /r /s /spath="&amp;search_path&amp;" /stypes=""app*"&amp;OTA28&amp;"*"&amp;TEXT(OTH28-utc_offset/24,"YYYYMMDD")&amp;"*"" /stext="" "&amp;TEXT(OTH28-utc_offset/24,"HH")&amp;search_regexp&amp;""""</f>
        <v>#REF!</v>
      </c>
      <c r="OUF28" s="234" t="e">
        <f>astrogrep_path&amp;" /e /r /s /spath="&amp;search_path&amp;" /stypes=""app*"&amp;OTB28&amp;"*"&amp;TEXT(OTI28-utc_offset/24,"YYYYMMDD")&amp;"*"" /stext="" "&amp;TEXT(OTI28-utc_offset/24,"HH")&amp;search_regexp&amp;""""</f>
        <v>#REF!</v>
      </c>
      <c r="OUG28" s="234" t="e">
        <f>astrogrep_path&amp;" /e /r /s /spath="&amp;search_path&amp;" /stypes=""app*"&amp;OTC28&amp;"*"&amp;TEXT(OTJ28-utc_offset/24,"YYYYMMDD")&amp;"*"" /stext="" "&amp;TEXT(OTJ28-utc_offset/24,"HH")&amp;search_regexp&amp;""""</f>
        <v>#REF!</v>
      </c>
      <c r="OUH28" s="234" t="e">
        <f>astrogrep_path&amp;" /e /r /s /spath="&amp;search_path&amp;" /stypes=""app*"&amp;OTD28&amp;"*"&amp;TEXT(OTK28-utc_offset/24,"YYYYMMDD")&amp;"*"" /stext="" "&amp;TEXT(OTK28-utc_offset/24,"HH")&amp;search_regexp&amp;""""</f>
        <v>#REF!</v>
      </c>
      <c r="OUI28" s="234" t="e">
        <f>astrogrep_path&amp;" /e /r /s /spath="&amp;search_path&amp;" /stypes=""app*"&amp;OTE28&amp;"*"&amp;TEXT(OTL28-utc_offset/24,"YYYYMMDD")&amp;"*"" /stext="" "&amp;TEXT(OTL28-utc_offset/24,"HH")&amp;search_regexp&amp;""""</f>
        <v>#REF!</v>
      </c>
      <c r="OUJ28" s="234" t="e">
        <f>astrogrep_path&amp;" /e /r /s /spath="&amp;search_path&amp;" /stypes=""app*"&amp;OTF28&amp;"*"&amp;TEXT(OTM28-utc_offset/24,"YYYYMMDD")&amp;"*"" /stext="" "&amp;TEXT(OTM28-utc_offset/24,"HH")&amp;search_regexp&amp;""""</f>
        <v>#REF!</v>
      </c>
      <c r="OUK28" s="234" t="e">
        <f>astrogrep_path&amp;" /e /r /s /spath="&amp;search_path&amp;" /stypes=""app*"&amp;OTG28&amp;"*"&amp;TEXT(OTN28-utc_offset/24,"YYYYMMDD")&amp;"*"" /stext="" "&amp;TEXT(OTN28-utc_offset/24,"HH")&amp;search_regexp&amp;""""</f>
        <v>#REF!</v>
      </c>
      <c r="OUL28" s="234" t="e">
        <f>astrogrep_path&amp;" /e /r /s /spath="&amp;search_path&amp;" /stypes=""app*"&amp;OTH28&amp;"*"&amp;TEXT(OTO28-utc_offset/24,"YYYYMMDD")&amp;"*"" /stext="" "&amp;TEXT(OTO28-utc_offset/24,"HH")&amp;search_regexp&amp;""""</f>
        <v>#REF!</v>
      </c>
      <c r="OUM28" s="234" t="e">
        <f>astrogrep_path&amp;" /e /r /s /spath="&amp;search_path&amp;" /stypes=""app*"&amp;OTI28&amp;"*"&amp;TEXT(OTP28-utc_offset/24,"YYYYMMDD")&amp;"*"" /stext="" "&amp;TEXT(OTP28-utc_offset/24,"HH")&amp;search_regexp&amp;""""</f>
        <v>#REF!</v>
      </c>
      <c r="OUN28" s="234" t="e">
        <f>astrogrep_path&amp;" /e /r /s /spath="&amp;search_path&amp;" /stypes=""app*"&amp;OTJ28&amp;"*"&amp;TEXT(OTQ28-utc_offset/24,"YYYYMMDD")&amp;"*"" /stext="" "&amp;TEXT(OTQ28-utc_offset/24,"HH")&amp;search_regexp&amp;""""</f>
        <v>#REF!</v>
      </c>
      <c r="OUO28" s="234" t="e">
        <f>astrogrep_path&amp;" /e /r /s /spath="&amp;search_path&amp;" /stypes=""app*"&amp;OTK28&amp;"*"&amp;TEXT(OTR28-utc_offset/24,"YYYYMMDD")&amp;"*"" /stext="" "&amp;TEXT(OTR28-utc_offset/24,"HH")&amp;search_regexp&amp;""""</f>
        <v>#REF!</v>
      </c>
      <c r="OUP28" s="234" t="e">
        <f>astrogrep_path&amp;" /e /r /s /spath="&amp;search_path&amp;" /stypes=""app*"&amp;OTL28&amp;"*"&amp;TEXT(OTS28-utc_offset/24,"YYYYMMDD")&amp;"*"" /stext="" "&amp;TEXT(OTS28-utc_offset/24,"HH")&amp;search_regexp&amp;""""</f>
        <v>#REF!</v>
      </c>
      <c r="OUQ28" s="234" t="e">
        <f>astrogrep_path&amp;" /e /r /s /spath="&amp;search_path&amp;" /stypes=""app*"&amp;OTM28&amp;"*"&amp;TEXT(OTT28-utc_offset/24,"YYYYMMDD")&amp;"*"" /stext="" "&amp;TEXT(OTT28-utc_offset/24,"HH")&amp;search_regexp&amp;""""</f>
        <v>#REF!</v>
      </c>
      <c r="OUR28" s="234" t="e">
        <f>astrogrep_path&amp;" /e /r /s /spath="&amp;search_path&amp;" /stypes=""app*"&amp;OTN28&amp;"*"&amp;TEXT(OTU28-utc_offset/24,"YYYYMMDD")&amp;"*"" /stext="" "&amp;TEXT(OTU28-utc_offset/24,"HH")&amp;search_regexp&amp;""""</f>
        <v>#REF!</v>
      </c>
      <c r="OUS28" s="234" t="e">
        <f>astrogrep_path&amp;" /e /r /s /spath="&amp;search_path&amp;" /stypes=""app*"&amp;OTO28&amp;"*"&amp;TEXT(OTV28-utc_offset/24,"YYYYMMDD")&amp;"*"" /stext="" "&amp;TEXT(OTV28-utc_offset/24,"HH")&amp;search_regexp&amp;""""</f>
        <v>#REF!</v>
      </c>
      <c r="OUT28" s="234" t="e">
        <f>astrogrep_path&amp;" /e /r /s /spath="&amp;search_path&amp;" /stypes=""app*"&amp;OTP28&amp;"*"&amp;TEXT(OTW28-utc_offset/24,"YYYYMMDD")&amp;"*"" /stext="" "&amp;TEXT(OTW28-utc_offset/24,"HH")&amp;search_regexp&amp;""""</f>
        <v>#REF!</v>
      </c>
      <c r="OUU28" s="234" t="e">
        <f>astrogrep_path&amp;" /e /r /s /spath="&amp;search_path&amp;" /stypes=""app*"&amp;OTQ28&amp;"*"&amp;TEXT(OTX28-utc_offset/24,"YYYYMMDD")&amp;"*"" /stext="" "&amp;TEXT(OTX28-utc_offset/24,"HH")&amp;search_regexp&amp;""""</f>
        <v>#REF!</v>
      </c>
      <c r="OUV28" s="234" t="e">
        <f>astrogrep_path&amp;" /e /r /s /spath="&amp;search_path&amp;" /stypes=""app*"&amp;OTR28&amp;"*"&amp;TEXT(OTY28-utc_offset/24,"YYYYMMDD")&amp;"*"" /stext="" "&amp;TEXT(OTY28-utc_offset/24,"HH")&amp;search_regexp&amp;""""</f>
        <v>#REF!</v>
      </c>
      <c r="OUW28" s="234" t="e">
        <f>astrogrep_path&amp;" /e /r /s /spath="&amp;search_path&amp;" /stypes=""app*"&amp;OTS28&amp;"*"&amp;TEXT(OTZ28-utc_offset/24,"YYYYMMDD")&amp;"*"" /stext="" "&amp;TEXT(OTZ28-utc_offset/24,"HH")&amp;search_regexp&amp;""""</f>
        <v>#REF!</v>
      </c>
      <c r="OUX28" s="234" t="e">
        <f>astrogrep_path&amp;" /e /r /s /spath="&amp;search_path&amp;" /stypes=""app*"&amp;OTT28&amp;"*"&amp;TEXT(OUA28-utc_offset/24,"YYYYMMDD")&amp;"*"" /stext="" "&amp;TEXT(OUA28-utc_offset/24,"HH")&amp;search_regexp&amp;""""</f>
        <v>#REF!</v>
      </c>
      <c r="OUY28" s="234" t="e">
        <f>astrogrep_path&amp;" /e /r /s /spath="&amp;search_path&amp;" /stypes=""app*"&amp;OTU28&amp;"*"&amp;TEXT(OUB28-utc_offset/24,"YYYYMMDD")&amp;"*"" /stext="" "&amp;TEXT(OUB28-utc_offset/24,"HH")&amp;search_regexp&amp;""""</f>
        <v>#VALUE!</v>
      </c>
      <c r="OUZ28" s="234" t="e">
        <f>astrogrep_path&amp;" /e /r /s /spath="&amp;search_path&amp;" /stypes=""app*"&amp;OTV28&amp;"*"&amp;TEXT(OUC28-utc_offset/24,"YYYYMMDD")&amp;"*"" /stext="" "&amp;TEXT(OUC28-utc_offset/24,"HH")&amp;search_regexp&amp;""""</f>
        <v>#VALUE!</v>
      </c>
      <c r="OVA28" s="234" t="e">
        <f>astrogrep_path&amp;" /e /r /s /spath="&amp;search_path&amp;" /stypes=""app*"&amp;OTW28&amp;"*"&amp;TEXT(OUD28-utc_offset/24,"YYYYMMDD")&amp;"*"" /stext="" "&amp;TEXT(OUD28-utc_offset/24,"HH")&amp;search_regexp&amp;""""</f>
        <v>#REF!</v>
      </c>
      <c r="OVB28" s="234" t="e">
        <f>astrogrep_path&amp;" /e /r /s /spath="&amp;search_path&amp;" /stypes=""app*"&amp;OTX28&amp;"*"&amp;TEXT(OUE28-utc_offset/24,"YYYYMMDD")&amp;"*"" /stext="" "&amp;TEXT(OUE28-utc_offset/24,"HH")&amp;search_regexp&amp;""""</f>
        <v>#REF!</v>
      </c>
      <c r="OVC28" s="234" t="e">
        <f>astrogrep_path&amp;" /e /r /s /spath="&amp;search_path&amp;" /stypes=""app*"&amp;OTY28&amp;"*"&amp;TEXT(OUF28-utc_offset/24,"YYYYMMDD")&amp;"*"" /stext="" "&amp;TEXT(OUF28-utc_offset/24,"HH")&amp;search_regexp&amp;""""</f>
        <v>#VALUE!</v>
      </c>
      <c r="OVD28" s="234" t="e">
        <f>astrogrep_path&amp;" /e /r /s /spath="&amp;search_path&amp;" /stypes=""app*"&amp;OTZ28&amp;"*"&amp;TEXT(OUG28-utc_offset/24,"YYYYMMDD")&amp;"*"" /stext="" "&amp;TEXT(OUG28-utc_offset/24,"HH")&amp;search_regexp&amp;""""</f>
        <v>#VALUE!</v>
      </c>
      <c r="OVE28" s="234" t="e">
        <f>astrogrep_path&amp;" /e /r /s /spath="&amp;search_path&amp;" /stypes=""app*"&amp;OUA28&amp;"*"&amp;TEXT(OUH28-utc_offset/24,"YYYYMMDD")&amp;"*"" /stext="" "&amp;TEXT(OUH28-utc_offset/24,"HH")&amp;search_regexp&amp;""""</f>
        <v>#VALUE!</v>
      </c>
      <c r="OVF28" s="234" t="e">
        <f>astrogrep_path&amp;" /e /r /s /spath="&amp;search_path&amp;" /stypes=""app*"&amp;OUB28&amp;"*"&amp;TEXT(OUI28-utc_offset/24,"YYYYMMDD")&amp;"*"" /stext="" "&amp;TEXT(OUI28-utc_offset/24,"HH")&amp;search_regexp&amp;""""</f>
        <v>#VALUE!</v>
      </c>
      <c r="OVG28" s="234" t="e">
        <f>astrogrep_path&amp;" /e /r /s /spath="&amp;search_path&amp;" /stypes=""app*"&amp;OUC28&amp;"*"&amp;TEXT(OUJ28-utc_offset/24,"YYYYMMDD")&amp;"*"" /stext="" "&amp;TEXT(OUJ28-utc_offset/24,"HH")&amp;search_regexp&amp;""""</f>
        <v>#VALUE!</v>
      </c>
      <c r="OVH28" s="234" t="e">
        <f>astrogrep_path&amp;" /e /r /s /spath="&amp;search_path&amp;" /stypes=""app*"&amp;OUD28&amp;"*"&amp;TEXT(OUK28-utc_offset/24,"YYYYMMDD")&amp;"*"" /stext="" "&amp;TEXT(OUK28-utc_offset/24,"HH")&amp;search_regexp&amp;""""</f>
        <v>#REF!</v>
      </c>
      <c r="OVI28" s="234" t="e">
        <f>astrogrep_path&amp;" /e /r /s /spath="&amp;search_path&amp;" /stypes=""app*"&amp;OUE28&amp;"*"&amp;TEXT(OUL28-utc_offset/24,"YYYYMMDD")&amp;"*"" /stext="" "&amp;TEXT(OUL28-utc_offset/24,"HH")&amp;search_regexp&amp;""""</f>
        <v>#REF!</v>
      </c>
      <c r="OVJ28" s="234" t="e">
        <f>astrogrep_path&amp;" /e /r /s /spath="&amp;search_path&amp;" /stypes=""app*"&amp;OUF28&amp;"*"&amp;TEXT(OUM28-utc_offset/24,"YYYYMMDD")&amp;"*"" /stext="" "&amp;TEXT(OUM28-utc_offset/24,"HH")&amp;search_regexp&amp;""""</f>
        <v>#REF!</v>
      </c>
      <c r="OVK28" s="234" t="e">
        <f>astrogrep_path&amp;" /e /r /s /spath="&amp;search_path&amp;" /stypes=""app*"&amp;OUG28&amp;"*"&amp;TEXT(OUN28-utc_offset/24,"YYYYMMDD")&amp;"*"" /stext="" "&amp;TEXT(OUN28-utc_offset/24,"HH")&amp;search_regexp&amp;""""</f>
        <v>#REF!</v>
      </c>
      <c r="OVL28" s="234" t="e">
        <f>astrogrep_path&amp;" /e /r /s /spath="&amp;search_path&amp;" /stypes=""app*"&amp;OUH28&amp;"*"&amp;TEXT(OUO28-utc_offset/24,"YYYYMMDD")&amp;"*"" /stext="" "&amp;TEXT(OUO28-utc_offset/24,"HH")&amp;search_regexp&amp;""""</f>
        <v>#REF!</v>
      </c>
      <c r="OVM28" s="234" t="e">
        <f>astrogrep_path&amp;" /e /r /s /spath="&amp;search_path&amp;" /stypes=""app*"&amp;OUI28&amp;"*"&amp;TEXT(OUP28-utc_offset/24,"YYYYMMDD")&amp;"*"" /stext="" "&amp;TEXT(OUP28-utc_offset/24,"HH")&amp;search_regexp&amp;""""</f>
        <v>#REF!</v>
      </c>
      <c r="OVN28" s="234" t="e">
        <f>astrogrep_path&amp;" /e /r /s /spath="&amp;search_path&amp;" /stypes=""app*"&amp;OUJ28&amp;"*"&amp;TEXT(OUQ28-utc_offset/24,"YYYYMMDD")&amp;"*"" /stext="" "&amp;TEXT(OUQ28-utc_offset/24,"HH")&amp;search_regexp&amp;""""</f>
        <v>#REF!</v>
      </c>
      <c r="OVO28" s="234" t="e">
        <f>astrogrep_path&amp;" /e /r /s /spath="&amp;search_path&amp;" /stypes=""app*"&amp;OUK28&amp;"*"&amp;TEXT(OUR28-utc_offset/24,"YYYYMMDD")&amp;"*"" /stext="" "&amp;TEXT(OUR28-utc_offset/24,"HH")&amp;search_regexp&amp;""""</f>
        <v>#REF!</v>
      </c>
      <c r="OVP28" s="234" t="e">
        <f>astrogrep_path&amp;" /e /r /s /spath="&amp;search_path&amp;" /stypes=""app*"&amp;OUL28&amp;"*"&amp;TEXT(OUS28-utc_offset/24,"YYYYMMDD")&amp;"*"" /stext="" "&amp;TEXT(OUS28-utc_offset/24,"HH")&amp;search_regexp&amp;""""</f>
        <v>#REF!</v>
      </c>
      <c r="OVQ28" s="234" t="e">
        <f>astrogrep_path&amp;" /e /r /s /spath="&amp;search_path&amp;" /stypes=""app*"&amp;OUM28&amp;"*"&amp;TEXT(OUT28-utc_offset/24,"YYYYMMDD")&amp;"*"" /stext="" "&amp;TEXT(OUT28-utc_offset/24,"HH")&amp;search_regexp&amp;""""</f>
        <v>#REF!</v>
      </c>
      <c r="OVR28" s="234" t="e">
        <f>astrogrep_path&amp;" /e /r /s /spath="&amp;search_path&amp;" /stypes=""app*"&amp;OUN28&amp;"*"&amp;TEXT(OUU28-utc_offset/24,"YYYYMMDD")&amp;"*"" /stext="" "&amp;TEXT(OUU28-utc_offset/24,"HH")&amp;search_regexp&amp;""""</f>
        <v>#REF!</v>
      </c>
      <c r="OVS28" s="234" t="e">
        <f>astrogrep_path&amp;" /e /r /s /spath="&amp;search_path&amp;" /stypes=""app*"&amp;OUO28&amp;"*"&amp;TEXT(OUV28-utc_offset/24,"YYYYMMDD")&amp;"*"" /stext="" "&amp;TEXT(OUV28-utc_offset/24,"HH")&amp;search_regexp&amp;""""</f>
        <v>#REF!</v>
      </c>
      <c r="OVT28" s="234" t="e">
        <f>astrogrep_path&amp;" /e /r /s /spath="&amp;search_path&amp;" /stypes=""app*"&amp;OUP28&amp;"*"&amp;TEXT(OUW28-utc_offset/24,"YYYYMMDD")&amp;"*"" /stext="" "&amp;TEXT(OUW28-utc_offset/24,"HH")&amp;search_regexp&amp;""""</f>
        <v>#REF!</v>
      </c>
      <c r="OVU28" s="234" t="e">
        <f>astrogrep_path&amp;" /e /r /s /spath="&amp;search_path&amp;" /stypes=""app*"&amp;OUQ28&amp;"*"&amp;TEXT(OUX28-utc_offset/24,"YYYYMMDD")&amp;"*"" /stext="" "&amp;TEXT(OUX28-utc_offset/24,"HH")&amp;search_regexp&amp;""""</f>
        <v>#REF!</v>
      </c>
      <c r="OVV28" s="234" t="e">
        <f>astrogrep_path&amp;" /e /r /s /spath="&amp;search_path&amp;" /stypes=""app*"&amp;OUR28&amp;"*"&amp;TEXT(OUY28-utc_offset/24,"YYYYMMDD")&amp;"*"" /stext="" "&amp;TEXT(OUY28-utc_offset/24,"HH")&amp;search_regexp&amp;""""</f>
        <v>#REF!</v>
      </c>
      <c r="OVW28" s="234" t="e">
        <f>astrogrep_path&amp;" /e /r /s /spath="&amp;search_path&amp;" /stypes=""app*"&amp;OUS28&amp;"*"&amp;TEXT(OUZ28-utc_offset/24,"YYYYMMDD")&amp;"*"" /stext="" "&amp;TEXT(OUZ28-utc_offset/24,"HH")&amp;search_regexp&amp;""""</f>
        <v>#REF!</v>
      </c>
      <c r="OVX28" s="234" t="e">
        <f>astrogrep_path&amp;" /e /r /s /spath="&amp;search_path&amp;" /stypes=""app*"&amp;OUT28&amp;"*"&amp;TEXT(OVA28-utc_offset/24,"YYYYMMDD")&amp;"*"" /stext="" "&amp;TEXT(OVA28-utc_offset/24,"HH")&amp;search_regexp&amp;""""</f>
        <v>#REF!</v>
      </c>
      <c r="OVY28" s="234" t="e">
        <f>astrogrep_path&amp;" /e /r /s /spath="&amp;search_path&amp;" /stypes=""app*"&amp;OUU28&amp;"*"&amp;TEXT(OVB28-utc_offset/24,"YYYYMMDD")&amp;"*"" /stext="" "&amp;TEXT(OVB28-utc_offset/24,"HH")&amp;search_regexp&amp;""""</f>
        <v>#REF!</v>
      </c>
      <c r="OVZ28" s="234" t="e">
        <f>astrogrep_path&amp;" /e /r /s /spath="&amp;search_path&amp;" /stypes=""app*"&amp;OUV28&amp;"*"&amp;TEXT(OVC28-utc_offset/24,"YYYYMMDD")&amp;"*"" /stext="" "&amp;TEXT(OVC28-utc_offset/24,"HH")&amp;search_regexp&amp;""""</f>
        <v>#REF!</v>
      </c>
      <c r="OWA28" s="234" t="e">
        <f>astrogrep_path&amp;" /e /r /s /spath="&amp;search_path&amp;" /stypes=""app*"&amp;OUW28&amp;"*"&amp;TEXT(OVD28-utc_offset/24,"YYYYMMDD")&amp;"*"" /stext="" "&amp;TEXT(OVD28-utc_offset/24,"HH")&amp;search_regexp&amp;""""</f>
        <v>#REF!</v>
      </c>
      <c r="OWB28" s="234" t="e">
        <f>astrogrep_path&amp;" /e /r /s /spath="&amp;search_path&amp;" /stypes=""app*"&amp;OUX28&amp;"*"&amp;TEXT(OVE28-utc_offset/24,"YYYYMMDD")&amp;"*"" /stext="" "&amp;TEXT(OVE28-utc_offset/24,"HH")&amp;search_regexp&amp;""""</f>
        <v>#REF!</v>
      </c>
      <c r="OWC28" s="234" t="e">
        <f>astrogrep_path&amp;" /e /r /s /spath="&amp;search_path&amp;" /stypes=""app*"&amp;OUY28&amp;"*"&amp;TEXT(OVF28-utc_offset/24,"YYYYMMDD")&amp;"*"" /stext="" "&amp;TEXT(OVF28-utc_offset/24,"HH")&amp;search_regexp&amp;""""</f>
        <v>#VALUE!</v>
      </c>
      <c r="OWD28" s="234" t="e">
        <f>astrogrep_path&amp;" /e /r /s /spath="&amp;search_path&amp;" /stypes=""app*"&amp;OUZ28&amp;"*"&amp;TEXT(OVG28-utc_offset/24,"YYYYMMDD")&amp;"*"" /stext="" "&amp;TEXT(OVG28-utc_offset/24,"HH")&amp;search_regexp&amp;""""</f>
        <v>#VALUE!</v>
      </c>
      <c r="OWE28" s="234" t="e">
        <f>astrogrep_path&amp;" /e /r /s /spath="&amp;search_path&amp;" /stypes=""app*"&amp;OVA28&amp;"*"&amp;TEXT(OVH28-utc_offset/24,"YYYYMMDD")&amp;"*"" /stext="" "&amp;TEXT(OVH28-utc_offset/24,"HH")&amp;search_regexp&amp;""""</f>
        <v>#REF!</v>
      </c>
      <c r="OWF28" s="234" t="e">
        <f>astrogrep_path&amp;" /e /r /s /spath="&amp;search_path&amp;" /stypes=""app*"&amp;OVB28&amp;"*"&amp;TEXT(OVI28-utc_offset/24,"YYYYMMDD")&amp;"*"" /stext="" "&amp;TEXT(OVI28-utc_offset/24,"HH")&amp;search_regexp&amp;""""</f>
        <v>#REF!</v>
      </c>
      <c r="OWG28" s="234" t="e">
        <f>astrogrep_path&amp;" /e /r /s /spath="&amp;search_path&amp;" /stypes=""app*"&amp;OVC28&amp;"*"&amp;TEXT(OVJ28-utc_offset/24,"YYYYMMDD")&amp;"*"" /stext="" "&amp;TEXT(OVJ28-utc_offset/24,"HH")&amp;search_regexp&amp;""""</f>
        <v>#VALUE!</v>
      </c>
      <c r="OWH28" s="234" t="e">
        <f>astrogrep_path&amp;" /e /r /s /spath="&amp;search_path&amp;" /stypes=""app*"&amp;OVD28&amp;"*"&amp;TEXT(OVK28-utc_offset/24,"YYYYMMDD")&amp;"*"" /stext="" "&amp;TEXT(OVK28-utc_offset/24,"HH")&amp;search_regexp&amp;""""</f>
        <v>#VALUE!</v>
      </c>
      <c r="OWI28" s="234" t="e">
        <f>astrogrep_path&amp;" /e /r /s /spath="&amp;search_path&amp;" /stypes=""app*"&amp;OVE28&amp;"*"&amp;TEXT(OVL28-utc_offset/24,"YYYYMMDD")&amp;"*"" /stext="" "&amp;TEXT(OVL28-utc_offset/24,"HH")&amp;search_regexp&amp;""""</f>
        <v>#VALUE!</v>
      </c>
      <c r="OWJ28" s="234" t="e">
        <f>astrogrep_path&amp;" /e /r /s /spath="&amp;search_path&amp;" /stypes=""app*"&amp;OVF28&amp;"*"&amp;TEXT(OVM28-utc_offset/24,"YYYYMMDD")&amp;"*"" /stext="" "&amp;TEXT(OVM28-utc_offset/24,"HH")&amp;search_regexp&amp;""""</f>
        <v>#VALUE!</v>
      </c>
      <c r="OWK28" s="234" t="e">
        <f>astrogrep_path&amp;" /e /r /s /spath="&amp;search_path&amp;" /stypes=""app*"&amp;OVG28&amp;"*"&amp;TEXT(OVN28-utc_offset/24,"YYYYMMDD")&amp;"*"" /stext="" "&amp;TEXT(OVN28-utc_offset/24,"HH")&amp;search_regexp&amp;""""</f>
        <v>#VALUE!</v>
      </c>
      <c r="OWL28" s="234" t="e">
        <f>astrogrep_path&amp;" /e /r /s /spath="&amp;search_path&amp;" /stypes=""app*"&amp;OVH28&amp;"*"&amp;TEXT(OVO28-utc_offset/24,"YYYYMMDD")&amp;"*"" /stext="" "&amp;TEXT(OVO28-utc_offset/24,"HH")&amp;search_regexp&amp;""""</f>
        <v>#REF!</v>
      </c>
      <c r="OWM28" s="234" t="e">
        <f>astrogrep_path&amp;" /e /r /s /spath="&amp;search_path&amp;" /stypes=""app*"&amp;OVI28&amp;"*"&amp;TEXT(OVP28-utc_offset/24,"YYYYMMDD")&amp;"*"" /stext="" "&amp;TEXT(OVP28-utc_offset/24,"HH")&amp;search_regexp&amp;""""</f>
        <v>#REF!</v>
      </c>
      <c r="OWN28" s="234" t="e">
        <f>astrogrep_path&amp;" /e /r /s /spath="&amp;search_path&amp;" /stypes=""app*"&amp;OVJ28&amp;"*"&amp;TEXT(OVQ28-utc_offset/24,"YYYYMMDD")&amp;"*"" /stext="" "&amp;TEXT(OVQ28-utc_offset/24,"HH")&amp;search_regexp&amp;""""</f>
        <v>#REF!</v>
      </c>
      <c r="OWO28" s="234" t="e">
        <f>astrogrep_path&amp;" /e /r /s /spath="&amp;search_path&amp;" /stypes=""app*"&amp;OVK28&amp;"*"&amp;TEXT(OVR28-utc_offset/24,"YYYYMMDD")&amp;"*"" /stext="" "&amp;TEXT(OVR28-utc_offset/24,"HH")&amp;search_regexp&amp;""""</f>
        <v>#REF!</v>
      </c>
      <c r="OWP28" s="234" t="e">
        <f>astrogrep_path&amp;" /e /r /s /spath="&amp;search_path&amp;" /stypes=""app*"&amp;OVL28&amp;"*"&amp;TEXT(OVS28-utc_offset/24,"YYYYMMDD")&amp;"*"" /stext="" "&amp;TEXT(OVS28-utc_offset/24,"HH")&amp;search_regexp&amp;""""</f>
        <v>#REF!</v>
      </c>
      <c r="OWQ28" s="234" t="e">
        <f>astrogrep_path&amp;" /e /r /s /spath="&amp;search_path&amp;" /stypes=""app*"&amp;OVM28&amp;"*"&amp;TEXT(OVT28-utc_offset/24,"YYYYMMDD")&amp;"*"" /stext="" "&amp;TEXT(OVT28-utc_offset/24,"HH")&amp;search_regexp&amp;""""</f>
        <v>#REF!</v>
      </c>
      <c r="OWR28" s="234" t="e">
        <f>astrogrep_path&amp;" /e /r /s /spath="&amp;search_path&amp;" /stypes=""app*"&amp;OVN28&amp;"*"&amp;TEXT(OVU28-utc_offset/24,"YYYYMMDD")&amp;"*"" /stext="" "&amp;TEXT(OVU28-utc_offset/24,"HH")&amp;search_regexp&amp;""""</f>
        <v>#REF!</v>
      </c>
      <c r="OWS28" s="234" t="e">
        <f>astrogrep_path&amp;" /e /r /s /spath="&amp;search_path&amp;" /stypes=""app*"&amp;OVO28&amp;"*"&amp;TEXT(OVV28-utc_offset/24,"YYYYMMDD")&amp;"*"" /stext="" "&amp;TEXT(OVV28-utc_offset/24,"HH")&amp;search_regexp&amp;""""</f>
        <v>#REF!</v>
      </c>
      <c r="OWT28" s="234" t="e">
        <f>astrogrep_path&amp;" /e /r /s /spath="&amp;search_path&amp;" /stypes=""app*"&amp;OVP28&amp;"*"&amp;TEXT(OVW28-utc_offset/24,"YYYYMMDD")&amp;"*"" /stext="" "&amp;TEXT(OVW28-utc_offset/24,"HH")&amp;search_regexp&amp;""""</f>
        <v>#REF!</v>
      </c>
      <c r="OWU28" s="234" t="e">
        <f>astrogrep_path&amp;" /e /r /s /spath="&amp;search_path&amp;" /stypes=""app*"&amp;OVQ28&amp;"*"&amp;TEXT(OVX28-utc_offset/24,"YYYYMMDD")&amp;"*"" /stext="" "&amp;TEXT(OVX28-utc_offset/24,"HH")&amp;search_regexp&amp;""""</f>
        <v>#REF!</v>
      </c>
      <c r="OWV28" s="234" t="e">
        <f>astrogrep_path&amp;" /e /r /s /spath="&amp;search_path&amp;" /stypes=""app*"&amp;OVR28&amp;"*"&amp;TEXT(OVY28-utc_offset/24,"YYYYMMDD")&amp;"*"" /stext="" "&amp;TEXT(OVY28-utc_offset/24,"HH")&amp;search_regexp&amp;""""</f>
        <v>#REF!</v>
      </c>
      <c r="OWW28" s="234" t="e">
        <f>astrogrep_path&amp;" /e /r /s /spath="&amp;search_path&amp;" /stypes=""app*"&amp;OVS28&amp;"*"&amp;TEXT(OVZ28-utc_offset/24,"YYYYMMDD")&amp;"*"" /stext="" "&amp;TEXT(OVZ28-utc_offset/24,"HH")&amp;search_regexp&amp;""""</f>
        <v>#REF!</v>
      </c>
      <c r="OWX28" s="234" t="e">
        <f>astrogrep_path&amp;" /e /r /s /spath="&amp;search_path&amp;" /stypes=""app*"&amp;OVT28&amp;"*"&amp;TEXT(OWA28-utc_offset/24,"YYYYMMDD")&amp;"*"" /stext="" "&amp;TEXT(OWA28-utc_offset/24,"HH")&amp;search_regexp&amp;""""</f>
        <v>#REF!</v>
      </c>
      <c r="OWY28" s="234" t="e">
        <f>astrogrep_path&amp;" /e /r /s /spath="&amp;search_path&amp;" /stypes=""app*"&amp;OVU28&amp;"*"&amp;TEXT(OWB28-utc_offset/24,"YYYYMMDD")&amp;"*"" /stext="" "&amp;TEXT(OWB28-utc_offset/24,"HH")&amp;search_regexp&amp;""""</f>
        <v>#REF!</v>
      </c>
      <c r="OWZ28" s="234" t="e">
        <f>astrogrep_path&amp;" /e /r /s /spath="&amp;search_path&amp;" /stypes=""app*"&amp;OVV28&amp;"*"&amp;TEXT(OWC28-utc_offset/24,"YYYYMMDD")&amp;"*"" /stext="" "&amp;TEXT(OWC28-utc_offset/24,"HH")&amp;search_regexp&amp;""""</f>
        <v>#REF!</v>
      </c>
      <c r="OXA28" s="234" t="e">
        <f>astrogrep_path&amp;" /e /r /s /spath="&amp;search_path&amp;" /stypes=""app*"&amp;OVW28&amp;"*"&amp;TEXT(OWD28-utc_offset/24,"YYYYMMDD")&amp;"*"" /stext="" "&amp;TEXT(OWD28-utc_offset/24,"HH")&amp;search_regexp&amp;""""</f>
        <v>#REF!</v>
      </c>
      <c r="OXB28" s="234" t="e">
        <f>astrogrep_path&amp;" /e /r /s /spath="&amp;search_path&amp;" /stypes=""app*"&amp;OVX28&amp;"*"&amp;TEXT(OWE28-utc_offset/24,"YYYYMMDD")&amp;"*"" /stext="" "&amp;TEXT(OWE28-utc_offset/24,"HH")&amp;search_regexp&amp;""""</f>
        <v>#REF!</v>
      </c>
      <c r="OXC28" s="234" t="e">
        <f>astrogrep_path&amp;" /e /r /s /spath="&amp;search_path&amp;" /stypes=""app*"&amp;OVY28&amp;"*"&amp;TEXT(OWF28-utc_offset/24,"YYYYMMDD")&amp;"*"" /stext="" "&amp;TEXT(OWF28-utc_offset/24,"HH")&amp;search_regexp&amp;""""</f>
        <v>#REF!</v>
      </c>
      <c r="OXD28" s="234" t="e">
        <f>astrogrep_path&amp;" /e /r /s /spath="&amp;search_path&amp;" /stypes=""app*"&amp;OVZ28&amp;"*"&amp;TEXT(OWG28-utc_offset/24,"YYYYMMDD")&amp;"*"" /stext="" "&amp;TEXT(OWG28-utc_offset/24,"HH")&amp;search_regexp&amp;""""</f>
        <v>#REF!</v>
      </c>
      <c r="OXE28" s="234" t="e">
        <f>astrogrep_path&amp;" /e /r /s /spath="&amp;search_path&amp;" /stypes=""app*"&amp;OWA28&amp;"*"&amp;TEXT(OWH28-utc_offset/24,"YYYYMMDD")&amp;"*"" /stext="" "&amp;TEXT(OWH28-utc_offset/24,"HH")&amp;search_regexp&amp;""""</f>
        <v>#REF!</v>
      </c>
      <c r="OXF28" s="234" t="e">
        <f>astrogrep_path&amp;" /e /r /s /spath="&amp;search_path&amp;" /stypes=""app*"&amp;OWB28&amp;"*"&amp;TEXT(OWI28-utc_offset/24,"YYYYMMDD")&amp;"*"" /stext="" "&amp;TEXT(OWI28-utc_offset/24,"HH")&amp;search_regexp&amp;""""</f>
        <v>#REF!</v>
      </c>
      <c r="OXG28" s="234" t="e">
        <f>astrogrep_path&amp;" /e /r /s /spath="&amp;search_path&amp;" /stypes=""app*"&amp;OWC28&amp;"*"&amp;TEXT(OWJ28-utc_offset/24,"YYYYMMDD")&amp;"*"" /stext="" "&amp;TEXT(OWJ28-utc_offset/24,"HH")&amp;search_regexp&amp;""""</f>
        <v>#VALUE!</v>
      </c>
      <c r="OXH28" s="234" t="e">
        <f>astrogrep_path&amp;" /e /r /s /spath="&amp;search_path&amp;" /stypes=""app*"&amp;OWD28&amp;"*"&amp;TEXT(OWK28-utc_offset/24,"YYYYMMDD")&amp;"*"" /stext="" "&amp;TEXT(OWK28-utc_offset/24,"HH")&amp;search_regexp&amp;""""</f>
        <v>#VALUE!</v>
      </c>
      <c r="OXI28" s="234" t="e">
        <f>astrogrep_path&amp;" /e /r /s /spath="&amp;search_path&amp;" /stypes=""app*"&amp;OWE28&amp;"*"&amp;TEXT(OWL28-utc_offset/24,"YYYYMMDD")&amp;"*"" /stext="" "&amp;TEXT(OWL28-utc_offset/24,"HH")&amp;search_regexp&amp;""""</f>
        <v>#REF!</v>
      </c>
      <c r="OXJ28" s="234" t="e">
        <f>astrogrep_path&amp;" /e /r /s /spath="&amp;search_path&amp;" /stypes=""app*"&amp;OWF28&amp;"*"&amp;TEXT(OWM28-utc_offset/24,"YYYYMMDD")&amp;"*"" /stext="" "&amp;TEXT(OWM28-utc_offset/24,"HH")&amp;search_regexp&amp;""""</f>
        <v>#REF!</v>
      </c>
      <c r="OXK28" s="234" t="e">
        <f>astrogrep_path&amp;" /e /r /s /spath="&amp;search_path&amp;" /stypes=""app*"&amp;OWG28&amp;"*"&amp;TEXT(OWN28-utc_offset/24,"YYYYMMDD")&amp;"*"" /stext="" "&amp;TEXT(OWN28-utc_offset/24,"HH")&amp;search_regexp&amp;""""</f>
        <v>#VALUE!</v>
      </c>
      <c r="OXL28" s="234" t="e">
        <f>astrogrep_path&amp;" /e /r /s /spath="&amp;search_path&amp;" /stypes=""app*"&amp;OWH28&amp;"*"&amp;TEXT(OWO28-utc_offset/24,"YYYYMMDD")&amp;"*"" /stext="" "&amp;TEXT(OWO28-utc_offset/24,"HH")&amp;search_regexp&amp;""""</f>
        <v>#VALUE!</v>
      </c>
      <c r="OXM28" s="234" t="e">
        <f>astrogrep_path&amp;" /e /r /s /spath="&amp;search_path&amp;" /stypes=""app*"&amp;OWI28&amp;"*"&amp;TEXT(OWP28-utc_offset/24,"YYYYMMDD")&amp;"*"" /stext="" "&amp;TEXT(OWP28-utc_offset/24,"HH")&amp;search_regexp&amp;""""</f>
        <v>#VALUE!</v>
      </c>
      <c r="OXN28" s="234" t="e">
        <f>astrogrep_path&amp;" /e /r /s /spath="&amp;search_path&amp;" /stypes=""app*"&amp;OWJ28&amp;"*"&amp;TEXT(OWQ28-utc_offset/24,"YYYYMMDD")&amp;"*"" /stext="" "&amp;TEXT(OWQ28-utc_offset/24,"HH")&amp;search_regexp&amp;""""</f>
        <v>#VALUE!</v>
      </c>
      <c r="OXO28" s="234" t="e">
        <f>astrogrep_path&amp;" /e /r /s /spath="&amp;search_path&amp;" /stypes=""app*"&amp;OWK28&amp;"*"&amp;TEXT(OWR28-utc_offset/24,"YYYYMMDD")&amp;"*"" /stext="" "&amp;TEXT(OWR28-utc_offset/24,"HH")&amp;search_regexp&amp;""""</f>
        <v>#VALUE!</v>
      </c>
      <c r="OXP28" s="234" t="e">
        <f>astrogrep_path&amp;" /e /r /s /spath="&amp;search_path&amp;" /stypes=""app*"&amp;OWL28&amp;"*"&amp;TEXT(OWS28-utc_offset/24,"YYYYMMDD")&amp;"*"" /stext="" "&amp;TEXT(OWS28-utc_offset/24,"HH")&amp;search_regexp&amp;""""</f>
        <v>#REF!</v>
      </c>
      <c r="OXQ28" s="234" t="e">
        <f>astrogrep_path&amp;" /e /r /s /spath="&amp;search_path&amp;" /stypes=""app*"&amp;OWM28&amp;"*"&amp;TEXT(OWT28-utc_offset/24,"YYYYMMDD")&amp;"*"" /stext="" "&amp;TEXT(OWT28-utc_offset/24,"HH")&amp;search_regexp&amp;""""</f>
        <v>#REF!</v>
      </c>
      <c r="OXR28" s="234" t="e">
        <f>astrogrep_path&amp;" /e /r /s /spath="&amp;search_path&amp;" /stypes=""app*"&amp;OWN28&amp;"*"&amp;TEXT(OWU28-utc_offset/24,"YYYYMMDD")&amp;"*"" /stext="" "&amp;TEXT(OWU28-utc_offset/24,"HH")&amp;search_regexp&amp;""""</f>
        <v>#REF!</v>
      </c>
      <c r="OXS28" s="234" t="e">
        <f>astrogrep_path&amp;" /e /r /s /spath="&amp;search_path&amp;" /stypes=""app*"&amp;OWO28&amp;"*"&amp;TEXT(OWV28-utc_offset/24,"YYYYMMDD")&amp;"*"" /stext="" "&amp;TEXT(OWV28-utc_offset/24,"HH")&amp;search_regexp&amp;""""</f>
        <v>#REF!</v>
      </c>
      <c r="OXT28" s="234" t="e">
        <f>astrogrep_path&amp;" /e /r /s /spath="&amp;search_path&amp;" /stypes=""app*"&amp;OWP28&amp;"*"&amp;TEXT(OWW28-utc_offset/24,"YYYYMMDD")&amp;"*"" /stext="" "&amp;TEXT(OWW28-utc_offset/24,"HH")&amp;search_regexp&amp;""""</f>
        <v>#REF!</v>
      </c>
      <c r="OXU28" s="234" t="e">
        <f>astrogrep_path&amp;" /e /r /s /spath="&amp;search_path&amp;" /stypes=""app*"&amp;OWQ28&amp;"*"&amp;TEXT(OWX28-utc_offset/24,"YYYYMMDD")&amp;"*"" /stext="" "&amp;TEXT(OWX28-utc_offset/24,"HH")&amp;search_regexp&amp;""""</f>
        <v>#REF!</v>
      </c>
      <c r="OXV28" s="234" t="e">
        <f>astrogrep_path&amp;" /e /r /s /spath="&amp;search_path&amp;" /stypes=""app*"&amp;OWR28&amp;"*"&amp;TEXT(OWY28-utc_offset/24,"YYYYMMDD")&amp;"*"" /stext="" "&amp;TEXT(OWY28-utc_offset/24,"HH")&amp;search_regexp&amp;""""</f>
        <v>#REF!</v>
      </c>
      <c r="OXW28" s="234" t="e">
        <f>astrogrep_path&amp;" /e /r /s /spath="&amp;search_path&amp;" /stypes=""app*"&amp;OWS28&amp;"*"&amp;TEXT(OWZ28-utc_offset/24,"YYYYMMDD")&amp;"*"" /stext="" "&amp;TEXT(OWZ28-utc_offset/24,"HH")&amp;search_regexp&amp;""""</f>
        <v>#REF!</v>
      </c>
      <c r="OXX28" s="234" t="e">
        <f>astrogrep_path&amp;" /e /r /s /spath="&amp;search_path&amp;" /stypes=""app*"&amp;OWT28&amp;"*"&amp;TEXT(OXA28-utc_offset/24,"YYYYMMDD")&amp;"*"" /stext="" "&amp;TEXT(OXA28-utc_offset/24,"HH")&amp;search_regexp&amp;""""</f>
        <v>#REF!</v>
      </c>
      <c r="OXY28" s="234" t="e">
        <f>astrogrep_path&amp;" /e /r /s /spath="&amp;search_path&amp;" /stypes=""app*"&amp;OWU28&amp;"*"&amp;TEXT(OXB28-utc_offset/24,"YYYYMMDD")&amp;"*"" /stext="" "&amp;TEXT(OXB28-utc_offset/24,"HH")&amp;search_regexp&amp;""""</f>
        <v>#REF!</v>
      </c>
      <c r="OXZ28" s="234" t="e">
        <f>astrogrep_path&amp;" /e /r /s /spath="&amp;search_path&amp;" /stypes=""app*"&amp;OWV28&amp;"*"&amp;TEXT(OXC28-utc_offset/24,"YYYYMMDD")&amp;"*"" /stext="" "&amp;TEXT(OXC28-utc_offset/24,"HH")&amp;search_regexp&amp;""""</f>
        <v>#REF!</v>
      </c>
      <c r="OYA28" s="234" t="e">
        <f>astrogrep_path&amp;" /e /r /s /spath="&amp;search_path&amp;" /stypes=""app*"&amp;OWW28&amp;"*"&amp;TEXT(OXD28-utc_offset/24,"YYYYMMDD")&amp;"*"" /stext="" "&amp;TEXT(OXD28-utc_offset/24,"HH")&amp;search_regexp&amp;""""</f>
        <v>#REF!</v>
      </c>
      <c r="OYB28" s="234" t="e">
        <f>astrogrep_path&amp;" /e /r /s /spath="&amp;search_path&amp;" /stypes=""app*"&amp;OWX28&amp;"*"&amp;TEXT(OXE28-utc_offset/24,"YYYYMMDD")&amp;"*"" /stext="" "&amp;TEXT(OXE28-utc_offset/24,"HH")&amp;search_regexp&amp;""""</f>
        <v>#REF!</v>
      </c>
      <c r="OYC28" s="234" t="e">
        <f>astrogrep_path&amp;" /e /r /s /spath="&amp;search_path&amp;" /stypes=""app*"&amp;OWY28&amp;"*"&amp;TEXT(OXF28-utc_offset/24,"YYYYMMDD")&amp;"*"" /stext="" "&amp;TEXT(OXF28-utc_offset/24,"HH")&amp;search_regexp&amp;""""</f>
        <v>#REF!</v>
      </c>
      <c r="OYD28" s="234" t="e">
        <f>astrogrep_path&amp;" /e /r /s /spath="&amp;search_path&amp;" /stypes=""app*"&amp;OWZ28&amp;"*"&amp;TEXT(OXG28-utc_offset/24,"YYYYMMDD")&amp;"*"" /stext="" "&amp;TEXT(OXG28-utc_offset/24,"HH")&amp;search_regexp&amp;""""</f>
        <v>#REF!</v>
      </c>
      <c r="OYE28" s="234" t="e">
        <f>astrogrep_path&amp;" /e /r /s /spath="&amp;search_path&amp;" /stypes=""app*"&amp;OXA28&amp;"*"&amp;TEXT(OXH28-utc_offset/24,"YYYYMMDD")&amp;"*"" /stext="" "&amp;TEXT(OXH28-utc_offset/24,"HH")&amp;search_regexp&amp;""""</f>
        <v>#REF!</v>
      </c>
      <c r="OYF28" s="234" t="e">
        <f>astrogrep_path&amp;" /e /r /s /spath="&amp;search_path&amp;" /stypes=""app*"&amp;OXB28&amp;"*"&amp;TEXT(OXI28-utc_offset/24,"YYYYMMDD")&amp;"*"" /stext="" "&amp;TEXT(OXI28-utc_offset/24,"HH")&amp;search_regexp&amp;""""</f>
        <v>#REF!</v>
      </c>
      <c r="OYG28" s="234" t="e">
        <f>astrogrep_path&amp;" /e /r /s /spath="&amp;search_path&amp;" /stypes=""app*"&amp;OXC28&amp;"*"&amp;TEXT(OXJ28-utc_offset/24,"YYYYMMDD")&amp;"*"" /stext="" "&amp;TEXT(OXJ28-utc_offset/24,"HH")&amp;search_regexp&amp;""""</f>
        <v>#REF!</v>
      </c>
      <c r="OYH28" s="234" t="e">
        <f>astrogrep_path&amp;" /e /r /s /spath="&amp;search_path&amp;" /stypes=""app*"&amp;OXD28&amp;"*"&amp;TEXT(OXK28-utc_offset/24,"YYYYMMDD")&amp;"*"" /stext="" "&amp;TEXT(OXK28-utc_offset/24,"HH")&amp;search_regexp&amp;""""</f>
        <v>#REF!</v>
      </c>
      <c r="OYI28" s="234" t="e">
        <f>astrogrep_path&amp;" /e /r /s /spath="&amp;search_path&amp;" /stypes=""app*"&amp;OXE28&amp;"*"&amp;TEXT(OXL28-utc_offset/24,"YYYYMMDD")&amp;"*"" /stext="" "&amp;TEXT(OXL28-utc_offset/24,"HH")&amp;search_regexp&amp;""""</f>
        <v>#REF!</v>
      </c>
      <c r="OYJ28" s="234" t="e">
        <f>astrogrep_path&amp;" /e /r /s /spath="&amp;search_path&amp;" /stypes=""app*"&amp;OXF28&amp;"*"&amp;TEXT(OXM28-utc_offset/24,"YYYYMMDD")&amp;"*"" /stext="" "&amp;TEXT(OXM28-utc_offset/24,"HH")&amp;search_regexp&amp;""""</f>
        <v>#REF!</v>
      </c>
      <c r="OYK28" s="234" t="e">
        <f>astrogrep_path&amp;" /e /r /s /spath="&amp;search_path&amp;" /stypes=""app*"&amp;OXG28&amp;"*"&amp;TEXT(OXN28-utc_offset/24,"YYYYMMDD")&amp;"*"" /stext="" "&amp;TEXT(OXN28-utc_offset/24,"HH")&amp;search_regexp&amp;""""</f>
        <v>#VALUE!</v>
      </c>
      <c r="OYL28" s="234" t="e">
        <f>astrogrep_path&amp;" /e /r /s /spath="&amp;search_path&amp;" /stypes=""app*"&amp;OXH28&amp;"*"&amp;TEXT(OXO28-utc_offset/24,"YYYYMMDD")&amp;"*"" /stext="" "&amp;TEXT(OXO28-utc_offset/24,"HH")&amp;search_regexp&amp;""""</f>
        <v>#VALUE!</v>
      </c>
      <c r="OYM28" s="234" t="e">
        <f>astrogrep_path&amp;" /e /r /s /spath="&amp;search_path&amp;" /stypes=""app*"&amp;OXI28&amp;"*"&amp;TEXT(OXP28-utc_offset/24,"YYYYMMDD")&amp;"*"" /stext="" "&amp;TEXT(OXP28-utc_offset/24,"HH")&amp;search_regexp&amp;""""</f>
        <v>#REF!</v>
      </c>
      <c r="OYN28" s="234" t="e">
        <f>astrogrep_path&amp;" /e /r /s /spath="&amp;search_path&amp;" /stypes=""app*"&amp;OXJ28&amp;"*"&amp;TEXT(OXQ28-utc_offset/24,"YYYYMMDD")&amp;"*"" /stext="" "&amp;TEXT(OXQ28-utc_offset/24,"HH")&amp;search_regexp&amp;""""</f>
        <v>#REF!</v>
      </c>
      <c r="OYO28" s="234" t="e">
        <f>astrogrep_path&amp;" /e /r /s /spath="&amp;search_path&amp;" /stypes=""app*"&amp;OXK28&amp;"*"&amp;TEXT(OXR28-utc_offset/24,"YYYYMMDD")&amp;"*"" /stext="" "&amp;TEXT(OXR28-utc_offset/24,"HH")&amp;search_regexp&amp;""""</f>
        <v>#VALUE!</v>
      </c>
      <c r="OYP28" s="234" t="e">
        <f>astrogrep_path&amp;" /e /r /s /spath="&amp;search_path&amp;" /stypes=""app*"&amp;OXL28&amp;"*"&amp;TEXT(OXS28-utc_offset/24,"YYYYMMDD")&amp;"*"" /stext="" "&amp;TEXT(OXS28-utc_offset/24,"HH")&amp;search_regexp&amp;""""</f>
        <v>#VALUE!</v>
      </c>
      <c r="OYQ28" s="234" t="e">
        <f>astrogrep_path&amp;" /e /r /s /spath="&amp;search_path&amp;" /stypes=""app*"&amp;OXM28&amp;"*"&amp;TEXT(OXT28-utc_offset/24,"YYYYMMDD")&amp;"*"" /stext="" "&amp;TEXT(OXT28-utc_offset/24,"HH")&amp;search_regexp&amp;""""</f>
        <v>#VALUE!</v>
      </c>
      <c r="OYR28" s="234" t="e">
        <f>astrogrep_path&amp;" /e /r /s /spath="&amp;search_path&amp;" /stypes=""app*"&amp;OXN28&amp;"*"&amp;TEXT(OXU28-utc_offset/24,"YYYYMMDD")&amp;"*"" /stext="" "&amp;TEXT(OXU28-utc_offset/24,"HH")&amp;search_regexp&amp;""""</f>
        <v>#VALUE!</v>
      </c>
      <c r="OYS28" s="234" t="e">
        <f>astrogrep_path&amp;" /e /r /s /spath="&amp;search_path&amp;" /stypes=""app*"&amp;OXO28&amp;"*"&amp;TEXT(OXV28-utc_offset/24,"YYYYMMDD")&amp;"*"" /stext="" "&amp;TEXT(OXV28-utc_offset/24,"HH")&amp;search_regexp&amp;""""</f>
        <v>#VALUE!</v>
      </c>
      <c r="OYT28" s="234" t="e">
        <f>astrogrep_path&amp;" /e /r /s /spath="&amp;search_path&amp;" /stypes=""app*"&amp;OXP28&amp;"*"&amp;TEXT(OXW28-utc_offset/24,"YYYYMMDD")&amp;"*"" /stext="" "&amp;TEXT(OXW28-utc_offset/24,"HH")&amp;search_regexp&amp;""""</f>
        <v>#REF!</v>
      </c>
      <c r="OYU28" s="234" t="e">
        <f>astrogrep_path&amp;" /e /r /s /spath="&amp;search_path&amp;" /stypes=""app*"&amp;OXQ28&amp;"*"&amp;TEXT(OXX28-utc_offset/24,"YYYYMMDD")&amp;"*"" /stext="" "&amp;TEXT(OXX28-utc_offset/24,"HH")&amp;search_regexp&amp;""""</f>
        <v>#REF!</v>
      </c>
      <c r="OYV28" s="234" t="e">
        <f>astrogrep_path&amp;" /e /r /s /spath="&amp;search_path&amp;" /stypes=""app*"&amp;OXR28&amp;"*"&amp;TEXT(OXY28-utc_offset/24,"YYYYMMDD")&amp;"*"" /stext="" "&amp;TEXT(OXY28-utc_offset/24,"HH")&amp;search_regexp&amp;""""</f>
        <v>#REF!</v>
      </c>
      <c r="OYW28" s="234" t="e">
        <f>astrogrep_path&amp;" /e /r /s /spath="&amp;search_path&amp;" /stypes=""app*"&amp;OXS28&amp;"*"&amp;TEXT(OXZ28-utc_offset/24,"YYYYMMDD")&amp;"*"" /stext="" "&amp;TEXT(OXZ28-utc_offset/24,"HH")&amp;search_regexp&amp;""""</f>
        <v>#REF!</v>
      </c>
      <c r="OYX28" s="234" t="e">
        <f>astrogrep_path&amp;" /e /r /s /spath="&amp;search_path&amp;" /stypes=""app*"&amp;OXT28&amp;"*"&amp;TEXT(OYA28-utc_offset/24,"YYYYMMDD")&amp;"*"" /stext="" "&amp;TEXT(OYA28-utc_offset/24,"HH")&amp;search_regexp&amp;""""</f>
        <v>#REF!</v>
      </c>
      <c r="OYY28" s="234" t="e">
        <f>astrogrep_path&amp;" /e /r /s /spath="&amp;search_path&amp;" /stypes=""app*"&amp;OXU28&amp;"*"&amp;TEXT(OYB28-utc_offset/24,"YYYYMMDD")&amp;"*"" /stext="" "&amp;TEXT(OYB28-utc_offset/24,"HH")&amp;search_regexp&amp;""""</f>
        <v>#REF!</v>
      </c>
      <c r="OYZ28" s="234" t="e">
        <f>astrogrep_path&amp;" /e /r /s /spath="&amp;search_path&amp;" /stypes=""app*"&amp;OXV28&amp;"*"&amp;TEXT(OYC28-utc_offset/24,"YYYYMMDD")&amp;"*"" /stext="" "&amp;TEXT(OYC28-utc_offset/24,"HH")&amp;search_regexp&amp;""""</f>
        <v>#REF!</v>
      </c>
      <c r="OZA28" s="234" t="e">
        <f>astrogrep_path&amp;" /e /r /s /spath="&amp;search_path&amp;" /stypes=""app*"&amp;OXW28&amp;"*"&amp;TEXT(OYD28-utc_offset/24,"YYYYMMDD")&amp;"*"" /stext="" "&amp;TEXT(OYD28-utc_offset/24,"HH")&amp;search_regexp&amp;""""</f>
        <v>#REF!</v>
      </c>
      <c r="OZB28" s="234" t="e">
        <f>astrogrep_path&amp;" /e /r /s /spath="&amp;search_path&amp;" /stypes=""app*"&amp;OXX28&amp;"*"&amp;TEXT(OYE28-utc_offset/24,"YYYYMMDD")&amp;"*"" /stext="" "&amp;TEXT(OYE28-utc_offset/24,"HH")&amp;search_regexp&amp;""""</f>
        <v>#REF!</v>
      </c>
      <c r="OZC28" s="234" t="e">
        <f>astrogrep_path&amp;" /e /r /s /spath="&amp;search_path&amp;" /stypes=""app*"&amp;OXY28&amp;"*"&amp;TEXT(OYF28-utc_offset/24,"YYYYMMDD")&amp;"*"" /stext="" "&amp;TEXT(OYF28-utc_offset/24,"HH")&amp;search_regexp&amp;""""</f>
        <v>#REF!</v>
      </c>
      <c r="OZD28" s="234" t="e">
        <f>astrogrep_path&amp;" /e /r /s /spath="&amp;search_path&amp;" /stypes=""app*"&amp;OXZ28&amp;"*"&amp;TEXT(OYG28-utc_offset/24,"YYYYMMDD")&amp;"*"" /stext="" "&amp;TEXT(OYG28-utc_offset/24,"HH")&amp;search_regexp&amp;""""</f>
        <v>#REF!</v>
      </c>
      <c r="OZE28" s="234" t="e">
        <f>astrogrep_path&amp;" /e /r /s /spath="&amp;search_path&amp;" /stypes=""app*"&amp;OYA28&amp;"*"&amp;TEXT(OYH28-utc_offset/24,"YYYYMMDD")&amp;"*"" /stext="" "&amp;TEXT(OYH28-utc_offset/24,"HH")&amp;search_regexp&amp;""""</f>
        <v>#REF!</v>
      </c>
      <c r="OZF28" s="234" t="e">
        <f>astrogrep_path&amp;" /e /r /s /spath="&amp;search_path&amp;" /stypes=""app*"&amp;OYB28&amp;"*"&amp;TEXT(OYI28-utc_offset/24,"YYYYMMDD")&amp;"*"" /stext="" "&amp;TEXT(OYI28-utc_offset/24,"HH")&amp;search_regexp&amp;""""</f>
        <v>#REF!</v>
      </c>
      <c r="OZG28" s="234" t="e">
        <f>astrogrep_path&amp;" /e /r /s /spath="&amp;search_path&amp;" /stypes=""app*"&amp;OYC28&amp;"*"&amp;TEXT(OYJ28-utc_offset/24,"YYYYMMDD")&amp;"*"" /stext="" "&amp;TEXT(OYJ28-utc_offset/24,"HH")&amp;search_regexp&amp;""""</f>
        <v>#REF!</v>
      </c>
      <c r="OZH28" s="234" t="e">
        <f>astrogrep_path&amp;" /e /r /s /spath="&amp;search_path&amp;" /stypes=""app*"&amp;OYD28&amp;"*"&amp;TEXT(OYK28-utc_offset/24,"YYYYMMDD")&amp;"*"" /stext="" "&amp;TEXT(OYK28-utc_offset/24,"HH")&amp;search_regexp&amp;""""</f>
        <v>#REF!</v>
      </c>
      <c r="OZI28" s="234" t="e">
        <f>astrogrep_path&amp;" /e /r /s /spath="&amp;search_path&amp;" /stypes=""app*"&amp;OYE28&amp;"*"&amp;TEXT(OYL28-utc_offset/24,"YYYYMMDD")&amp;"*"" /stext="" "&amp;TEXT(OYL28-utc_offset/24,"HH")&amp;search_regexp&amp;""""</f>
        <v>#REF!</v>
      </c>
      <c r="OZJ28" s="234" t="e">
        <f>astrogrep_path&amp;" /e /r /s /spath="&amp;search_path&amp;" /stypes=""app*"&amp;OYF28&amp;"*"&amp;TEXT(OYM28-utc_offset/24,"YYYYMMDD")&amp;"*"" /stext="" "&amp;TEXT(OYM28-utc_offset/24,"HH")&amp;search_regexp&amp;""""</f>
        <v>#REF!</v>
      </c>
      <c r="OZK28" s="234" t="e">
        <f>astrogrep_path&amp;" /e /r /s /spath="&amp;search_path&amp;" /stypes=""app*"&amp;OYG28&amp;"*"&amp;TEXT(OYN28-utc_offset/24,"YYYYMMDD")&amp;"*"" /stext="" "&amp;TEXT(OYN28-utc_offset/24,"HH")&amp;search_regexp&amp;""""</f>
        <v>#REF!</v>
      </c>
      <c r="OZL28" s="234" t="e">
        <f>astrogrep_path&amp;" /e /r /s /spath="&amp;search_path&amp;" /stypes=""app*"&amp;OYH28&amp;"*"&amp;TEXT(OYO28-utc_offset/24,"YYYYMMDD")&amp;"*"" /stext="" "&amp;TEXT(OYO28-utc_offset/24,"HH")&amp;search_regexp&amp;""""</f>
        <v>#REF!</v>
      </c>
      <c r="OZM28" s="234" t="e">
        <f>astrogrep_path&amp;" /e /r /s /spath="&amp;search_path&amp;" /stypes=""app*"&amp;OYI28&amp;"*"&amp;TEXT(OYP28-utc_offset/24,"YYYYMMDD")&amp;"*"" /stext="" "&amp;TEXT(OYP28-utc_offset/24,"HH")&amp;search_regexp&amp;""""</f>
        <v>#REF!</v>
      </c>
      <c r="OZN28" s="234" t="e">
        <f>astrogrep_path&amp;" /e /r /s /spath="&amp;search_path&amp;" /stypes=""app*"&amp;OYJ28&amp;"*"&amp;TEXT(OYQ28-utc_offset/24,"YYYYMMDD")&amp;"*"" /stext="" "&amp;TEXT(OYQ28-utc_offset/24,"HH")&amp;search_regexp&amp;""""</f>
        <v>#REF!</v>
      </c>
      <c r="OZO28" s="234" t="e">
        <f>astrogrep_path&amp;" /e /r /s /spath="&amp;search_path&amp;" /stypes=""app*"&amp;OYK28&amp;"*"&amp;TEXT(OYR28-utc_offset/24,"YYYYMMDD")&amp;"*"" /stext="" "&amp;TEXT(OYR28-utc_offset/24,"HH")&amp;search_regexp&amp;""""</f>
        <v>#VALUE!</v>
      </c>
      <c r="OZP28" s="234" t="e">
        <f>astrogrep_path&amp;" /e /r /s /spath="&amp;search_path&amp;" /stypes=""app*"&amp;OYL28&amp;"*"&amp;TEXT(OYS28-utc_offset/24,"YYYYMMDD")&amp;"*"" /stext="" "&amp;TEXT(OYS28-utc_offset/24,"HH")&amp;search_regexp&amp;""""</f>
        <v>#VALUE!</v>
      </c>
      <c r="OZQ28" s="234" t="e">
        <f>astrogrep_path&amp;" /e /r /s /spath="&amp;search_path&amp;" /stypes=""app*"&amp;OYM28&amp;"*"&amp;TEXT(OYT28-utc_offset/24,"YYYYMMDD")&amp;"*"" /stext="" "&amp;TEXT(OYT28-utc_offset/24,"HH")&amp;search_regexp&amp;""""</f>
        <v>#REF!</v>
      </c>
      <c r="OZR28" s="234" t="e">
        <f>astrogrep_path&amp;" /e /r /s /spath="&amp;search_path&amp;" /stypes=""app*"&amp;OYN28&amp;"*"&amp;TEXT(OYU28-utc_offset/24,"YYYYMMDD")&amp;"*"" /stext="" "&amp;TEXT(OYU28-utc_offset/24,"HH")&amp;search_regexp&amp;""""</f>
        <v>#REF!</v>
      </c>
      <c r="OZS28" s="234" t="e">
        <f>astrogrep_path&amp;" /e /r /s /spath="&amp;search_path&amp;" /stypes=""app*"&amp;OYO28&amp;"*"&amp;TEXT(OYV28-utc_offset/24,"YYYYMMDD")&amp;"*"" /stext="" "&amp;TEXT(OYV28-utc_offset/24,"HH")&amp;search_regexp&amp;""""</f>
        <v>#VALUE!</v>
      </c>
      <c r="OZT28" s="234" t="e">
        <f>astrogrep_path&amp;" /e /r /s /spath="&amp;search_path&amp;" /stypes=""app*"&amp;OYP28&amp;"*"&amp;TEXT(OYW28-utc_offset/24,"YYYYMMDD")&amp;"*"" /stext="" "&amp;TEXT(OYW28-utc_offset/24,"HH")&amp;search_regexp&amp;""""</f>
        <v>#VALUE!</v>
      </c>
      <c r="OZU28" s="234" t="e">
        <f>astrogrep_path&amp;" /e /r /s /spath="&amp;search_path&amp;" /stypes=""app*"&amp;OYQ28&amp;"*"&amp;TEXT(OYX28-utc_offset/24,"YYYYMMDD")&amp;"*"" /stext="" "&amp;TEXT(OYX28-utc_offset/24,"HH")&amp;search_regexp&amp;""""</f>
        <v>#VALUE!</v>
      </c>
      <c r="OZV28" s="234" t="e">
        <f>astrogrep_path&amp;" /e /r /s /spath="&amp;search_path&amp;" /stypes=""app*"&amp;OYR28&amp;"*"&amp;TEXT(OYY28-utc_offset/24,"YYYYMMDD")&amp;"*"" /stext="" "&amp;TEXT(OYY28-utc_offset/24,"HH")&amp;search_regexp&amp;""""</f>
        <v>#VALUE!</v>
      </c>
      <c r="OZW28" s="234" t="e">
        <f>astrogrep_path&amp;" /e /r /s /spath="&amp;search_path&amp;" /stypes=""app*"&amp;OYS28&amp;"*"&amp;TEXT(OYZ28-utc_offset/24,"YYYYMMDD")&amp;"*"" /stext="" "&amp;TEXT(OYZ28-utc_offset/24,"HH")&amp;search_regexp&amp;""""</f>
        <v>#VALUE!</v>
      </c>
      <c r="OZX28" s="234" t="e">
        <f>astrogrep_path&amp;" /e /r /s /spath="&amp;search_path&amp;" /stypes=""app*"&amp;OYT28&amp;"*"&amp;TEXT(OZA28-utc_offset/24,"YYYYMMDD")&amp;"*"" /stext="" "&amp;TEXT(OZA28-utc_offset/24,"HH")&amp;search_regexp&amp;""""</f>
        <v>#REF!</v>
      </c>
      <c r="OZY28" s="234" t="e">
        <f>astrogrep_path&amp;" /e /r /s /spath="&amp;search_path&amp;" /stypes=""app*"&amp;OYU28&amp;"*"&amp;TEXT(OZB28-utc_offset/24,"YYYYMMDD")&amp;"*"" /stext="" "&amp;TEXT(OZB28-utc_offset/24,"HH")&amp;search_regexp&amp;""""</f>
        <v>#REF!</v>
      </c>
      <c r="OZZ28" s="234" t="e">
        <f>astrogrep_path&amp;" /e /r /s /spath="&amp;search_path&amp;" /stypes=""app*"&amp;OYV28&amp;"*"&amp;TEXT(OZC28-utc_offset/24,"YYYYMMDD")&amp;"*"" /stext="" "&amp;TEXT(OZC28-utc_offset/24,"HH")&amp;search_regexp&amp;""""</f>
        <v>#REF!</v>
      </c>
      <c r="PAA28" s="234" t="e">
        <f>astrogrep_path&amp;" /e /r /s /spath="&amp;search_path&amp;" /stypes=""app*"&amp;OYW28&amp;"*"&amp;TEXT(OZD28-utc_offset/24,"YYYYMMDD")&amp;"*"" /stext="" "&amp;TEXT(OZD28-utc_offset/24,"HH")&amp;search_regexp&amp;""""</f>
        <v>#REF!</v>
      </c>
      <c r="PAB28" s="234" t="e">
        <f>astrogrep_path&amp;" /e /r /s /spath="&amp;search_path&amp;" /stypes=""app*"&amp;OYX28&amp;"*"&amp;TEXT(OZE28-utc_offset/24,"YYYYMMDD")&amp;"*"" /stext="" "&amp;TEXT(OZE28-utc_offset/24,"HH")&amp;search_regexp&amp;""""</f>
        <v>#REF!</v>
      </c>
      <c r="PAC28" s="234" t="e">
        <f>astrogrep_path&amp;" /e /r /s /spath="&amp;search_path&amp;" /stypes=""app*"&amp;OYY28&amp;"*"&amp;TEXT(OZF28-utc_offset/24,"YYYYMMDD")&amp;"*"" /stext="" "&amp;TEXT(OZF28-utc_offset/24,"HH")&amp;search_regexp&amp;""""</f>
        <v>#REF!</v>
      </c>
      <c r="PAD28" s="234" t="e">
        <f>astrogrep_path&amp;" /e /r /s /spath="&amp;search_path&amp;" /stypes=""app*"&amp;OYZ28&amp;"*"&amp;TEXT(OZG28-utc_offset/24,"YYYYMMDD")&amp;"*"" /stext="" "&amp;TEXT(OZG28-utc_offset/24,"HH")&amp;search_regexp&amp;""""</f>
        <v>#REF!</v>
      </c>
      <c r="PAE28" s="234" t="e">
        <f>astrogrep_path&amp;" /e /r /s /spath="&amp;search_path&amp;" /stypes=""app*"&amp;OZA28&amp;"*"&amp;TEXT(OZH28-utc_offset/24,"YYYYMMDD")&amp;"*"" /stext="" "&amp;TEXT(OZH28-utc_offset/24,"HH")&amp;search_regexp&amp;""""</f>
        <v>#REF!</v>
      </c>
      <c r="PAF28" s="234" t="e">
        <f>astrogrep_path&amp;" /e /r /s /spath="&amp;search_path&amp;" /stypes=""app*"&amp;OZB28&amp;"*"&amp;TEXT(OZI28-utc_offset/24,"YYYYMMDD")&amp;"*"" /stext="" "&amp;TEXT(OZI28-utc_offset/24,"HH")&amp;search_regexp&amp;""""</f>
        <v>#REF!</v>
      </c>
      <c r="PAG28" s="234" t="e">
        <f>astrogrep_path&amp;" /e /r /s /spath="&amp;search_path&amp;" /stypes=""app*"&amp;OZC28&amp;"*"&amp;TEXT(OZJ28-utc_offset/24,"YYYYMMDD")&amp;"*"" /stext="" "&amp;TEXT(OZJ28-utc_offset/24,"HH")&amp;search_regexp&amp;""""</f>
        <v>#REF!</v>
      </c>
      <c r="PAH28" s="234" t="e">
        <f>astrogrep_path&amp;" /e /r /s /spath="&amp;search_path&amp;" /stypes=""app*"&amp;OZD28&amp;"*"&amp;TEXT(OZK28-utc_offset/24,"YYYYMMDD")&amp;"*"" /stext="" "&amp;TEXT(OZK28-utc_offset/24,"HH")&amp;search_regexp&amp;""""</f>
        <v>#REF!</v>
      </c>
      <c r="PAI28" s="234" t="e">
        <f>astrogrep_path&amp;" /e /r /s /spath="&amp;search_path&amp;" /stypes=""app*"&amp;OZE28&amp;"*"&amp;TEXT(OZL28-utc_offset/24,"YYYYMMDD")&amp;"*"" /stext="" "&amp;TEXT(OZL28-utc_offset/24,"HH")&amp;search_regexp&amp;""""</f>
        <v>#REF!</v>
      </c>
      <c r="PAJ28" s="234" t="e">
        <f>astrogrep_path&amp;" /e /r /s /spath="&amp;search_path&amp;" /stypes=""app*"&amp;OZF28&amp;"*"&amp;TEXT(OZM28-utc_offset/24,"YYYYMMDD")&amp;"*"" /stext="" "&amp;TEXT(OZM28-utc_offset/24,"HH")&amp;search_regexp&amp;""""</f>
        <v>#REF!</v>
      </c>
      <c r="PAK28" s="234" t="e">
        <f>astrogrep_path&amp;" /e /r /s /spath="&amp;search_path&amp;" /stypes=""app*"&amp;OZG28&amp;"*"&amp;TEXT(OZN28-utc_offset/24,"YYYYMMDD")&amp;"*"" /stext="" "&amp;TEXT(OZN28-utc_offset/24,"HH")&amp;search_regexp&amp;""""</f>
        <v>#REF!</v>
      </c>
      <c r="PAL28" s="234" t="e">
        <f>astrogrep_path&amp;" /e /r /s /spath="&amp;search_path&amp;" /stypes=""app*"&amp;OZH28&amp;"*"&amp;TEXT(OZO28-utc_offset/24,"YYYYMMDD")&amp;"*"" /stext="" "&amp;TEXT(OZO28-utc_offset/24,"HH")&amp;search_regexp&amp;""""</f>
        <v>#REF!</v>
      </c>
      <c r="PAM28" s="234" t="e">
        <f>astrogrep_path&amp;" /e /r /s /spath="&amp;search_path&amp;" /stypes=""app*"&amp;OZI28&amp;"*"&amp;TEXT(OZP28-utc_offset/24,"YYYYMMDD")&amp;"*"" /stext="" "&amp;TEXT(OZP28-utc_offset/24,"HH")&amp;search_regexp&amp;""""</f>
        <v>#REF!</v>
      </c>
      <c r="PAN28" s="234" t="e">
        <f>astrogrep_path&amp;" /e /r /s /spath="&amp;search_path&amp;" /stypes=""app*"&amp;OZJ28&amp;"*"&amp;TEXT(OZQ28-utc_offset/24,"YYYYMMDD")&amp;"*"" /stext="" "&amp;TEXT(OZQ28-utc_offset/24,"HH")&amp;search_regexp&amp;""""</f>
        <v>#REF!</v>
      </c>
      <c r="PAO28" s="234" t="e">
        <f>astrogrep_path&amp;" /e /r /s /spath="&amp;search_path&amp;" /stypes=""app*"&amp;OZK28&amp;"*"&amp;TEXT(OZR28-utc_offset/24,"YYYYMMDD")&amp;"*"" /stext="" "&amp;TEXT(OZR28-utc_offset/24,"HH")&amp;search_regexp&amp;""""</f>
        <v>#REF!</v>
      </c>
      <c r="PAP28" s="234" t="e">
        <f>astrogrep_path&amp;" /e /r /s /spath="&amp;search_path&amp;" /stypes=""app*"&amp;OZL28&amp;"*"&amp;TEXT(OZS28-utc_offset/24,"YYYYMMDD")&amp;"*"" /stext="" "&amp;TEXT(OZS28-utc_offset/24,"HH")&amp;search_regexp&amp;""""</f>
        <v>#REF!</v>
      </c>
      <c r="PAQ28" s="234" t="e">
        <f>astrogrep_path&amp;" /e /r /s /spath="&amp;search_path&amp;" /stypes=""app*"&amp;OZM28&amp;"*"&amp;TEXT(OZT28-utc_offset/24,"YYYYMMDD")&amp;"*"" /stext="" "&amp;TEXT(OZT28-utc_offset/24,"HH")&amp;search_regexp&amp;""""</f>
        <v>#REF!</v>
      </c>
      <c r="PAR28" s="234" t="e">
        <f>astrogrep_path&amp;" /e /r /s /spath="&amp;search_path&amp;" /stypes=""app*"&amp;OZN28&amp;"*"&amp;TEXT(OZU28-utc_offset/24,"YYYYMMDD")&amp;"*"" /stext="" "&amp;TEXT(OZU28-utc_offset/24,"HH")&amp;search_regexp&amp;""""</f>
        <v>#REF!</v>
      </c>
      <c r="PAS28" s="234" t="e">
        <f>astrogrep_path&amp;" /e /r /s /spath="&amp;search_path&amp;" /stypes=""app*"&amp;OZO28&amp;"*"&amp;TEXT(OZV28-utc_offset/24,"YYYYMMDD")&amp;"*"" /stext="" "&amp;TEXT(OZV28-utc_offset/24,"HH")&amp;search_regexp&amp;""""</f>
        <v>#VALUE!</v>
      </c>
      <c r="PAT28" s="234" t="e">
        <f>astrogrep_path&amp;" /e /r /s /spath="&amp;search_path&amp;" /stypes=""app*"&amp;OZP28&amp;"*"&amp;TEXT(OZW28-utc_offset/24,"YYYYMMDD")&amp;"*"" /stext="" "&amp;TEXT(OZW28-utc_offset/24,"HH")&amp;search_regexp&amp;""""</f>
        <v>#VALUE!</v>
      </c>
      <c r="PAU28" s="234" t="e">
        <f>astrogrep_path&amp;" /e /r /s /spath="&amp;search_path&amp;" /stypes=""app*"&amp;OZQ28&amp;"*"&amp;TEXT(OZX28-utc_offset/24,"YYYYMMDD")&amp;"*"" /stext="" "&amp;TEXT(OZX28-utc_offset/24,"HH")&amp;search_regexp&amp;""""</f>
        <v>#REF!</v>
      </c>
      <c r="PAV28" s="234" t="e">
        <f>astrogrep_path&amp;" /e /r /s /spath="&amp;search_path&amp;" /stypes=""app*"&amp;OZR28&amp;"*"&amp;TEXT(OZY28-utc_offset/24,"YYYYMMDD")&amp;"*"" /stext="" "&amp;TEXT(OZY28-utc_offset/24,"HH")&amp;search_regexp&amp;""""</f>
        <v>#REF!</v>
      </c>
      <c r="PAW28" s="234" t="e">
        <f>astrogrep_path&amp;" /e /r /s /spath="&amp;search_path&amp;" /stypes=""app*"&amp;OZS28&amp;"*"&amp;TEXT(OZZ28-utc_offset/24,"YYYYMMDD")&amp;"*"" /stext="" "&amp;TEXT(OZZ28-utc_offset/24,"HH")&amp;search_regexp&amp;""""</f>
        <v>#VALUE!</v>
      </c>
      <c r="PAX28" s="234" t="e">
        <f>astrogrep_path&amp;" /e /r /s /spath="&amp;search_path&amp;" /stypes=""app*"&amp;OZT28&amp;"*"&amp;TEXT(PAA28-utc_offset/24,"YYYYMMDD")&amp;"*"" /stext="" "&amp;TEXT(PAA28-utc_offset/24,"HH")&amp;search_regexp&amp;""""</f>
        <v>#VALUE!</v>
      </c>
      <c r="PAY28" s="234" t="e">
        <f>astrogrep_path&amp;" /e /r /s /spath="&amp;search_path&amp;" /stypes=""app*"&amp;OZU28&amp;"*"&amp;TEXT(PAB28-utc_offset/24,"YYYYMMDD")&amp;"*"" /stext="" "&amp;TEXT(PAB28-utc_offset/24,"HH")&amp;search_regexp&amp;""""</f>
        <v>#VALUE!</v>
      </c>
      <c r="PAZ28" s="234" t="e">
        <f>astrogrep_path&amp;" /e /r /s /spath="&amp;search_path&amp;" /stypes=""app*"&amp;OZV28&amp;"*"&amp;TEXT(PAC28-utc_offset/24,"YYYYMMDD")&amp;"*"" /stext="" "&amp;TEXT(PAC28-utc_offset/24,"HH")&amp;search_regexp&amp;""""</f>
        <v>#VALUE!</v>
      </c>
      <c r="PBA28" s="234" t="e">
        <f>astrogrep_path&amp;" /e /r /s /spath="&amp;search_path&amp;" /stypes=""app*"&amp;OZW28&amp;"*"&amp;TEXT(PAD28-utc_offset/24,"YYYYMMDD")&amp;"*"" /stext="" "&amp;TEXT(PAD28-utc_offset/24,"HH")&amp;search_regexp&amp;""""</f>
        <v>#VALUE!</v>
      </c>
      <c r="PBB28" s="234" t="e">
        <f>astrogrep_path&amp;" /e /r /s /spath="&amp;search_path&amp;" /stypes=""app*"&amp;OZX28&amp;"*"&amp;TEXT(PAE28-utc_offset/24,"YYYYMMDD")&amp;"*"" /stext="" "&amp;TEXT(PAE28-utc_offset/24,"HH")&amp;search_regexp&amp;""""</f>
        <v>#REF!</v>
      </c>
      <c r="PBC28" s="234" t="e">
        <f>astrogrep_path&amp;" /e /r /s /spath="&amp;search_path&amp;" /stypes=""app*"&amp;OZY28&amp;"*"&amp;TEXT(PAF28-utc_offset/24,"YYYYMMDD")&amp;"*"" /stext="" "&amp;TEXT(PAF28-utc_offset/24,"HH")&amp;search_regexp&amp;""""</f>
        <v>#REF!</v>
      </c>
      <c r="PBD28" s="234" t="e">
        <f>astrogrep_path&amp;" /e /r /s /spath="&amp;search_path&amp;" /stypes=""app*"&amp;OZZ28&amp;"*"&amp;TEXT(PAG28-utc_offset/24,"YYYYMMDD")&amp;"*"" /stext="" "&amp;TEXT(PAG28-utc_offset/24,"HH")&amp;search_regexp&amp;""""</f>
        <v>#REF!</v>
      </c>
      <c r="PBE28" s="234" t="e">
        <f>astrogrep_path&amp;" /e /r /s /spath="&amp;search_path&amp;" /stypes=""app*"&amp;PAA28&amp;"*"&amp;TEXT(PAH28-utc_offset/24,"YYYYMMDD")&amp;"*"" /stext="" "&amp;TEXT(PAH28-utc_offset/24,"HH")&amp;search_regexp&amp;""""</f>
        <v>#REF!</v>
      </c>
      <c r="PBF28" s="234" t="e">
        <f>astrogrep_path&amp;" /e /r /s /spath="&amp;search_path&amp;" /stypes=""app*"&amp;PAB28&amp;"*"&amp;TEXT(PAI28-utc_offset/24,"YYYYMMDD")&amp;"*"" /stext="" "&amp;TEXT(PAI28-utc_offset/24,"HH")&amp;search_regexp&amp;""""</f>
        <v>#REF!</v>
      </c>
      <c r="PBG28" s="234" t="e">
        <f>astrogrep_path&amp;" /e /r /s /spath="&amp;search_path&amp;" /stypes=""app*"&amp;PAC28&amp;"*"&amp;TEXT(PAJ28-utc_offset/24,"YYYYMMDD")&amp;"*"" /stext="" "&amp;TEXT(PAJ28-utc_offset/24,"HH")&amp;search_regexp&amp;""""</f>
        <v>#REF!</v>
      </c>
      <c r="PBH28" s="234" t="e">
        <f>astrogrep_path&amp;" /e /r /s /spath="&amp;search_path&amp;" /stypes=""app*"&amp;PAD28&amp;"*"&amp;TEXT(PAK28-utc_offset/24,"YYYYMMDD")&amp;"*"" /stext="" "&amp;TEXT(PAK28-utc_offset/24,"HH")&amp;search_regexp&amp;""""</f>
        <v>#REF!</v>
      </c>
      <c r="PBI28" s="234" t="e">
        <f>astrogrep_path&amp;" /e /r /s /spath="&amp;search_path&amp;" /stypes=""app*"&amp;PAE28&amp;"*"&amp;TEXT(PAL28-utc_offset/24,"YYYYMMDD")&amp;"*"" /stext="" "&amp;TEXT(PAL28-utc_offset/24,"HH")&amp;search_regexp&amp;""""</f>
        <v>#REF!</v>
      </c>
      <c r="PBJ28" s="234" t="e">
        <f>astrogrep_path&amp;" /e /r /s /spath="&amp;search_path&amp;" /stypes=""app*"&amp;PAF28&amp;"*"&amp;TEXT(PAM28-utc_offset/24,"YYYYMMDD")&amp;"*"" /stext="" "&amp;TEXT(PAM28-utc_offset/24,"HH")&amp;search_regexp&amp;""""</f>
        <v>#REF!</v>
      </c>
      <c r="PBK28" s="234" t="e">
        <f>astrogrep_path&amp;" /e /r /s /spath="&amp;search_path&amp;" /stypes=""app*"&amp;PAG28&amp;"*"&amp;TEXT(PAN28-utc_offset/24,"YYYYMMDD")&amp;"*"" /stext="" "&amp;TEXT(PAN28-utc_offset/24,"HH")&amp;search_regexp&amp;""""</f>
        <v>#REF!</v>
      </c>
      <c r="PBL28" s="234" t="e">
        <f>astrogrep_path&amp;" /e /r /s /spath="&amp;search_path&amp;" /stypes=""app*"&amp;PAH28&amp;"*"&amp;TEXT(PAO28-utc_offset/24,"YYYYMMDD")&amp;"*"" /stext="" "&amp;TEXT(PAO28-utc_offset/24,"HH")&amp;search_regexp&amp;""""</f>
        <v>#REF!</v>
      </c>
      <c r="PBM28" s="234" t="e">
        <f>astrogrep_path&amp;" /e /r /s /spath="&amp;search_path&amp;" /stypes=""app*"&amp;PAI28&amp;"*"&amp;TEXT(PAP28-utc_offset/24,"YYYYMMDD")&amp;"*"" /stext="" "&amp;TEXT(PAP28-utc_offset/24,"HH")&amp;search_regexp&amp;""""</f>
        <v>#REF!</v>
      </c>
      <c r="PBN28" s="234" t="e">
        <f>astrogrep_path&amp;" /e /r /s /spath="&amp;search_path&amp;" /stypes=""app*"&amp;PAJ28&amp;"*"&amp;TEXT(PAQ28-utc_offset/24,"YYYYMMDD")&amp;"*"" /stext="" "&amp;TEXT(PAQ28-utc_offset/24,"HH")&amp;search_regexp&amp;""""</f>
        <v>#REF!</v>
      </c>
      <c r="PBO28" s="234" t="e">
        <f>astrogrep_path&amp;" /e /r /s /spath="&amp;search_path&amp;" /stypes=""app*"&amp;PAK28&amp;"*"&amp;TEXT(PAR28-utc_offset/24,"YYYYMMDD")&amp;"*"" /stext="" "&amp;TEXT(PAR28-utc_offset/24,"HH")&amp;search_regexp&amp;""""</f>
        <v>#REF!</v>
      </c>
      <c r="PBP28" s="234" t="e">
        <f>astrogrep_path&amp;" /e /r /s /spath="&amp;search_path&amp;" /stypes=""app*"&amp;PAL28&amp;"*"&amp;TEXT(PAS28-utc_offset/24,"YYYYMMDD")&amp;"*"" /stext="" "&amp;TEXT(PAS28-utc_offset/24,"HH")&amp;search_regexp&amp;""""</f>
        <v>#REF!</v>
      </c>
      <c r="PBQ28" s="234" t="e">
        <f>astrogrep_path&amp;" /e /r /s /spath="&amp;search_path&amp;" /stypes=""app*"&amp;PAM28&amp;"*"&amp;TEXT(PAT28-utc_offset/24,"YYYYMMDD")&amp;"*"" /stext="" "&amp;TEXT(PAT28-utc_offset/24,"HH")&amp;search_regexp&amp;""""</f>
        <v>#REF!</v>
      </c>
      <c r="PBR28" s="234" t="e">
        <f>astrogrep_path&amp;" /e /r /s /spath="&amp;search_path&amp;" /stypes=""app*"&amp;PAN28&amp;"*"&amp;TEXT(PAU28-utc_offset/24,"YYYYMMDD")&amp;"*"" /stext="" "&amp;TEXT(PAU28-utc_offset/24,"HH")&amp;search_regexp&amp;""""</f>
        <v>#REF!</v>
      </c>
      <c r="PBS28" s="234" t="e">
        <f>astrogrep_path&amp;" /e /r /s /spath="&amp;search_path&amp;" /stypes=""app*"&amp;PAO28&amp;"*"&amp;TEXT(PAV28-utc_offset/24,"YYYYMMDD")&amp;"*"" /stext="" "&amp;TEXT(PAV28-utc_offset/24,"HH")&amp;search_regexp&amp;""""</f>
        <v>#REF!</v>
      </c>
      <c r="PBT28" s="234" t="e">
        <f>astrogrep_path&amp;" /e /r /s /spath="&amp;search_path&amp;" /stypes=""app*"&amp;PAP28&amp;"*"&amp;TEXT(PAW28-utc_offset/24,"YYYYMMDD")&amp;"*"" /stext="" "&amp;TEXT(PAW28-utc_offset/24,"HH")&amp;search_regexp&amp;""""</f>
        <v>#REF!</v>
      </c>
      <c r="PBU28" s="234" t="e">
        <f>astrogrep_path&amp;" /e /r /s /spath="&amp;search_path&amp;" /stypes=""app*"&amp;PAQ28&amp;"*"&amp;TEXT(PAX28-utc_offset/24,"YYYYMMDD")&amp;"*"" /stext="" "&amp;TEXT(PAX28-utc_offset/24,"HH")&amp;search_regexp&amp;""""</f>
        <v>#REF!</v>
      </c>
      <c r="PBV28" s="234" t="e">
        <f>astrogrep_path&amp;" /e /r /s /spath="&amp;search_path&amp;" /stypes=""app*"&amp;PAR28&amp;"*"&amp;TEXT(PAY28-utc_offset/24,"YYYYMMDD")&amp;"*"" /stext="" "&amp;TEXT(PAY28-utc_offset/24,"HH")&amp;search_regexp&amp;""""</f>
        <v>#REF!</v>
      </c>
      <c r="PBW28" s="234" t="e">
        <f>astrogrep_path&amp;" /e /r /s /spath="&amp;search_path&amp;" /stypes=""app*"&amp;PAS28&amp;"*"&amp;TEXT(PAZ28-utc_offset/24,"YYYYMMDD")&amp;"*"" /stext="" "&amp;TEXT(PAZ28-utc_offset/24,"HH")&amp;search_regexp&amp;""""</f>
        <v>#VALUE!</v>
      </c>
      <c r="PBX28" s="234" t="e">
        <f>astrogrep_path&amp;" /e /r /s /spath="&amp;search_path&amp;" /stypes=""app*"&amp;PAT28&amp;"*"&amp;TEXT(PBA28-utc_offset/24,"YYYYMMDD")&amp;"*"" /stext="" "&amp;TEXT(PBA28-utc_offset/24,"HH")&amp;search_regexp&amp;""""</f>
        <v>#VALUE!</v>
      </c>
      <c r="PBY28" s="234" t="e">
        <f>astrogrep_path&amp;" /e /r /s /spath="&amp;search_path&amp;" /stypes=""app*"&amp;PAU28&amp;"*"&amp;TEXT(PBB28-utc_offset/24,"YYYYMMDD")&amp;"*"" /stext="" "&amp;TEXT(PBB28-utc_offset/24,"HH")&amp;search_regexp&amp;""""</f>
        <v>#REF!</v>
      </c>
      <c r="PBZ28" s="234" t="e">
        <f>astrogrep_path&amp;" /e /r /s /spath="&amp;search_path&amp;" /stypes=""app*"&amp;PAV28&amp;"*"&amp;TEXT(PBC28-utc_offset/24,"YYYYMMDD")&amp;"*"" /stext="" "&amp;TEXT(PBC28-utc_offset/24,"HH")&amp;search_regexp&amp;""""</f>
        <v>#REF!</v>
      </c>
      <c r="PCA28" s="234" t="e">
        <f>astrogrep_path&amp;" /e /r /s /spath="&amp;search_path&amp;" /stypes=""app*"&amp;PAW28&amp;"*"&amp;TEXT(PBD28-utc_offset/24,"YYYYMMDD")&amp;"*"" /stext="" "&amp;TEXT(PBD28-utc_offset/24,"HH")&amp;search_regexp&amp;""""</f>
        <v>#VALUE!</v>
      </c>
      <c r="PCB28" s="234" t="e">
        <f>astrogrep_path&amp;" /e /r /s /spath="&amp;search_path&amp;" /stypes=""app*"&amp;PAX28&amp;"*"&amp;TEXT(PBE28-utc_offset/24,"YYYYMMDD")&amp;"*"" /stext="" "&amp;TEXT(PBE28-utc_offset/24,"HH")&amp;search_regexp&amp;""""</f>
        <v>#VALUE!</v>
      </c>
      <c r="PCC28" s="234" t="e">
        <f>astrogrep_path&amp;" /e /r /s /spath="&amp;search_path&amp;" /stypes=""app*"&amp;PAY28&amp;"*"&amp;TEXT(PBF28-utc_offset/24,"YYYYMMDD")&amp;"*"" /stext="" "&amp;TEXT(PBF28-utc_offset/24,"HH")&amp;search_regexp&amp;""""</f>
        <v>#VALUE!</v>
      </c>
      <c r="PCD28" s="234" t="e">
        <f>astrogrep_path&amp;" /e /r /s /spath="&amp;search_path&amp;" /stypes=""app*"&amp;PAZ28&amp;"*"&amp;TEXT(PBG28-utc_offset/24,"YYYYMMDD")&amp;"*"" /stext="" "&amp;TEXT(PBG28-utc_offset/24,"HH")&amp;search_regexp&amp;""""</f>
        <v>#VALUE!</v>
      </c>
      <c r="PCE28" s="234" t="e">
        <f>astrogrep_path&amp;" /e /r /s /spath="&amp;search_path&amp;" /stypes=""app*"&amp;PBA28&amp;"*"&amp;TEXT(PBH28-utc_offset/24,"YYYYMMDD")&amp;"*"" /stext="" "&amp;TEXT(PBH28-utc_offset/24,"HH")&amp;search_regexp&amp;""""</f>
        <v>#VALUE!</v>
      </c>
      <c r="PCF28" s="234" t="e">
        <f>astrogrep_path&amp;" /e /r /s /spath="&amp;search_path&amp;" /stypes=""app*"&amp;PBB28&amp;"*"&amp;TEXT(PBI28-utc_offset/24,"YYYYMMDD")&amp;"*"" /stext="" "&amp;TEXT(PBI28-utc_offset/24,"HH")&amp;search_regexp&amp;""""</f>
        <v>#REF!</v>
      </c>
      <c r="PCG28" s="234" t="e">
        <f>astrogrep_path&amp;" /e /r /s /spath="&amp;search_path&amp;" /stypes=""app*"&amp;PBC28&amp;"*"&amp;TEXT(PBJ28-utc_offset/24,"YYYYMMDD")&amp;"*"" /stext="" "&amp;TEXT(PBJ28-utc_offset/24,"HH")&amp;search_regexp&amp;""""</f>
        <v>#REF!</v>
      </c>
      <c r="PCH28" s="234" t="e">
        <f>astrogrep_path&amp;" /e /r /s /spath="&amp;search_path&amp;" /stypes=""app*"&amp;PBD28&amp;"*"&amp;TEXT(PBK28-utc_offset/24,"YYYYMMDD")&amp;"*"" /stext="" "&amp;TEXT(PBK28-utc_offset/24,"HH")&amp;search_regexp&amp;""""</f>
        <v>#REF!</v>
      </c>
      <c r="PCI28" s="234" t="e">
        <f>astrogrep_path&amp;" /e /r /s /spath="&amp;search_path&amp;" /stypes=""app*"&amp;PBE28&amp;"*"&amp;TEXT(PBL28-utc_offset/24,"YYYYMMDD")&amp;"*"" /stext="" "&amp;TEXT(PBL28-utc_offset/24,"HH")&amp;search_regexp&amp;""""</f>
        <v>#REF!</v>
      </c>
      <c r="PCJ28" s="234" t="e">
        <f>astrogrep_path&amp;" /e /r /s /spath="&amp;search_path&amp;" /stypes=""app*"&amp;PBF28&amp;"*"&amp;TEXT(PBM28-utc_offset/24,"YYYYMMDD")&amp;"*"" /stext="" "&amp;TEXT(PBM28-utc_offset/24,"HH")&amp;search_regexp&amp;""""</f>
        <v>#REF!</v>
      </c>
      <c r="PCK28" s="234" t="e">
        <f>astrogrep_path&amp;" /e /r /s /spath="&amp;search_path&amp;" /stypes=""app*"&amp;PBG28&amp;"*"&amp;TEXT(PBN28-utc_offset/24,"YYYYMMDD")&amp;"*"" /stext="" "&amp;TEXT(PBN28-utc_offset/24,"HH")&amp;search_regexp&amp;""""</f>
        <v>#REF!</v>
      </c>
      <c r="PCL28" s="234" t="e">
        <f>astrogrep_path&amp;" /e /r /s /spath="&amp;search_path&amp;" /stypes=""app*"&amp;PBH28&amp;"*"&amp;TEXT(PBO28-utc_offset/24,"YYYYMMDD")&amp;"*"" /stext="" "&amp;TEXT(PBO28-utc_offset/24,"HH")&amp;search_regexp&amp;""""</f>
        <v>#REF!</v>
      </c>
      <c r="PCM28" s="234" t="e">
        <f>astrogrep_path&amp;" /e /r /s /spath="&amp;search_path&amp;" /stypes=""app*"&amp;PBI28&amp;"*"&amp;TEXT(PBP28-utc_offset/24,"YYYYMMDD")&amp;"*"" /stext="" "&amp;TEXT(PBP28-utc_offset/24,"HH")&amp;search_regexp&amp;""""</f>
        <v>#REF!</v>
      </c>
      <c r="PCN28" s="234" t="e">
        <f>astrogrep_path&amp;" /e /r /s /spath="&amp;search_path&amp;" /stypes=""app*"&amp;PBJ28&amp;"*"&amp;TEXT(PBQ28-utc_offset/24,"YYYYMMDD")&amp;"*"" /stext="" "&amp;TEXT(PBQ28-utc_offset/24,"HH")&amp;search_regexp&amp;""""</f>
        <v>#REF!</v>
      </c>
      <c r="PCO28" s="234" t="e">
        <f>astrogrep_path&amp;" /e /r /s /spath="&amp;search_path&amp;" /stypes=""app*"&amp;PBK28&amp;"*"&amp;TEXT(PBR28-utc_offset/24,"YYYYMMDD")&amp;"*"" /stext="" "&amp;TEXT(PBR28-utc_offset/24,"HH")&amp;search_regexp&amp;""""</f>
        <v>#REF!</v>
      </c>
      <c r="PCP28" s="234" t="e">
        <f>astrogrep_path&amp;" /e /r /s /spath="&amp;search_path&amp;" /stypes=""app*"&amp;PBL28&amp;"*"&amp;TEXT(PBS28-utc_offset/24,"YYYYMMDD")&amp;"*"" /stext="" "&amp;TEXT(PBS28-utc_offset/24,"HH")&amp;search_regexp&amp;""""</f>
        <v>#REF!</v>
      </c>
      <c r="PCQ28" s="234" t="e">
        <f>astrogrep_path&amp;" /e /r /s /spath="&amp;search_path&amp;" /stypes=""app*"&amp;PBM28&amp;"*"&amp;TEXT(PBT28-utc_offset/24,"YYYYMMDD")&amp;"*"" /stext="" "&amp;TEXT(PBT28-utc_offset/24,"HH")&amp;search_regexp&amp;""""</f>
        <v>#REF!</v>
      </c>
      <c r="PCR28" s="234" t="e">
        <f>astrogrep_path&amp;" /e /r /s /spath="&amp;search_path&amp;" /stypes=""app*"&amp;PBN28&amp;"*"&amp;TEXT(PBU28-utc_offset/24,"YYYYMMDD")&amp;"*"" /stext="" "&amp;TEXT(PBU28-utc_offset/24,"HH")&amp;search_regexp&amp;""""</f>
        <v>#REF!</v>
      </c>
      <c r="PCS28" s="234" t="e">
        <f>astrogrep_path&amp;" /e /r /s /spath="&amp;search_path&amp;" /stypes=""app*"&amp;PBO28&amp;"*"&amp;TEXT(PBV28-utc_offset/24,"YYYYMMDD")&amp;"*"" /stext="" "&amp;TEXT(PBV28-utc_offset/24,"HH")&amp;search_regexp&amp;""""</f>
        <v>#REF!</v>
      </c>
      <c r="PCT28" s="234" t="e">
        <f>astrogrep_path&amp;" /e /r /s /spath="&amp;search_path&amp;" /stypes=""app*"&amp;PBP28&amp;"*"&amp;TEXT(PBW28-utc_offset/24,"YYYYMMDD")&amp;"*"" /stext="" "&amp;TEXT(PBW28-utc_offset/24,"HH")&amp;search_regexp&amp;""""</f>
        <v>#REF!</v>
      </c>
      <c r="PCU28" s="234" t="e">
        <f>astrogrep_path&amp;" /e /r /s /spath="&amp;search_path&amp;" /stypes=""app*"&amp;PBQ28&amp;"*"&amp;TEXT(PBX28-utc_offset/24,"YYYYMMDD")&amp;"*"" /stext="" "&amp;TEXT(PBX28-utc_offset/24,"HH")&amp;search_regexp&amp;""""</f>
        <v>#REF!</v>
      </c>
      <c r="PCV28" s="234" t="e">
        <f>astrogrep_path&amp;" /e /r /s /spath="&amp;search_path&amp;" /stypes=""app*"&amp;PBR28&amp;"*"&amp;TEXT(PBY28-utc_offset/24,"YYYYMMDD")&amp;"*"" /stext="" "&amp;TEXT(PBY28-utc_offset/24,"HH")&amp;search_regexp&amp;""""</f>
        <v>#REF!</v>
      </c>
      <c r="PCW28" s="234" t="e">
        <f>astrogrep_path&amp;" /e /r /s /spath="&amp;search_path&amp;" /stypes=""app*"&amp;PBS28&amp;"*"&amp;TEXT(PBZ28-utc_offset/24,"YYYYMMDD")&amp;"*"" /stext="" "&amp;TEXT(PBZ28-utc_offset/24,"HH")&amp;search_regexp&amp;""""</f>
        <v>#REF!</v>
      </c>
      <c r="PCX28" s="234" t="e">
        <f>astrogrep_path&amp;" /e /r /s /spath="&amp;search_path&amp;" /stypes=""app*"&amp;PBT28&amp;"*"&amp;TEXT(PCA28-utc_offset/24,"YYYYMMDD")&amp;"*"" /stext="" "&amp;TEXT(PCA28-utc_offset/24,"HH")&amp;search_regexp&amp;""""</f>
        <v>#REF!</v>
      </c>
      <c r="PCY28" s="234" t="e">
        <f>astrogrep_path&amp;" /e /r /s /spath="&amp;search_path&amp;" /stypes=""app*"&amp;PBU28&amp;"*"&amp;TEXT(PCB28-utc_offset/24,"YYYYMMDD")&amp;"*"" /stext="" "&amp;TEXT(PCB28-utc_offset/24,"HH")&amp;search_regexp&amp;""""</f>
        <v>#REF!</v>
      </c>
      <c r="PCZ28" s="234" t="e">
        <f>astrogrep_path&amp;" /e /r /s /spath="&amp;search_path&amp;" /stypes=""app*"&amp;PBV28&amp;"*"&amp;TEXT(PCC28-utc_offset/24,"YYYYMMDD")&amp;"*"" /stext="" "&amp;TEXT(PCC28-utc_offset/24,"HH")&amp;search_regexp&amp;""""</f>
        <v>#REF!</v>
      </c>
      <c r="PDA28" s="234" t="e">
        <f>astrogrep_path&amp;" /e /r /s /spath="&amp;search_path&amp;" /stypes=""app*"&amp;PBW28&amp;"*"&amp;TEXT(PCD28-utc_offset/24,"YYYYMMDD")&amp;"*"" /stext="" "&amp;TEXT(PCD28-utc_offset/24,"HH")&amp;search_regexp&amp;""""</f>
        <v>#VALUE!</v>
      </c>
      <c r="PDB28" s="234" t="e">
        <f>astrogrep_path&amp;" /e /r /s /spath="&amp;search_path&amp;" /stypes=""app*"&amp;PBX28&amp;"*"&amp;TEXT(PCE28-utc_offset/24,"YYYYMMDD")&amp;"*"" /stext="" "&amp;TEXT(PCE28-utc_offset/24,"HH")&amp;search_regexp&amp;""""</f>
        <v>#VALUE!</v>
      </c>
      <c r="PDC28" s="234" t="e">
        <f>astrogrep_path&amp;" /e /r /s /spath="&amp;search_path&amp;" /stypes=""app*"&amp;PBY28&amp;"*"&amp;TEXT(PCF28-utc_offset/24,"YYYYMMDD")&amp;"*"" /stext="" "&amp;TEXT(PCF28-utc_offset/24,"HH")&amp;search_regexp&amp;""""</f>
        <v>#REF!</v>
      </c>
      <c r="PDD28" s="234" t="e">
        <f>astrogrep_path&amp;" /e /r /s /spath="&amp;search_path&amp;" /stypes=""app*"&amp;PBZ28&amp;"*"&amp;TEXT(PCG28-utc_offset/24,"YYYYMMDD")&amp;"*"" /stext="" "&amp;TEXT(PCG28-utc_offset/24,"HH")&amp;search_regexp&amp;""""</f>
        <v>#REF!</v>
      </c>
      <c r="PDE28" s="234" t="e">
        <f>astrogrep_path&amp;" /e /r /s /spath="&amp;search_path&amp;" /stypes=""app*"&amp;PCA28&amp;"*"&amp;TEXT(PCH28-utc_offset/24,"YYYYMMDD")&amp;"*"" /stext="" "&amp;TEXT(PCH28-utc_offset/24,"HH")&amp;search_regexp&amp;""""</f>
        <v>#VALUE!</v>
      </c>
      <c r="PDF28" s="234" t="e">
        <f>astrogrep_path&amp;" /e /r /s /spath="&amp;search_path&amp;" /stypes=""app*"&amp;PCB28&amp;"*"&amp;TEXT(PCI28-utc_offset/24,"YYYYMMDD")&amp;"*"" /stext="" "&amp;TEXT(PCI28-utc_offset/24,"HH")&amp;search_regexp&amp;""""</f>
        <v>#VALUE!</v>
      </c>
      <c r="PDG28" s="234" t="e">
        <f>astrogrep_path&amp;" /e /r /s /spath="&amp;search_path&amp;" /stypes=""app*"&amp;PCC28&amp;"*"&amp;TEXT(PCJ28-utc_offset/24,"YYYYMMDD")&amp;"*"" /stext="" "&amp;TEXT(PCJ28-utc_offset/24,"HH")&amp;search_regexp&amp;""""</f>
        <v>#VALUE!</v>
      </c>
      <c r="PDH28" s="234" t="e">
        <f>astrogrep_path&amp;" /e /r /s /spath="&amp;search_path&amp;" /stypes=""app*"&amp;PCD28&amp;"*"&amp;TEXT(PCK28-utc_offset/24,"YYYYMMDD")&amp;"*"" /stext="" "&amp;TEXT(PCK28-utc_offset/24,"HH")&amp;search_regexp&amp;""""</f>
        <v>#VALUE!</v>
      </c>
      <c r="PDI28" s="234" t="e">
        <f>astrogrep_path&amp;" /e /r /s /spath="&amp;search_path&amp;" /stypes=""app*"&amp;PCE28&amp;"*"&amp;TEXT(PCL28-utc_offset/24,"YYYYMMDD")&amp;"*"" /stext="" "&amp;TEXT(PCL28-utc_offset/24,"HH")&amp;search_regexp&amp;""""</f>
        <v>#VALUE!</v>
      </c>
      <c r="PDJ28" s="234" t="e">
        <f>astrogrep_path&amp;" /e /r /s /spath="&amp;search_path&amp;" /stypes=""app*"&amp;PCF28&amp;"*"&amp;TEXT(PCM28-utc_offset/24,"YYYYMMDD")&amp;"*"" /stext="" "&amp;TEXT(PCM28-utc_offset/24,"HH")&amp;search_regexp&amp;""""</f>
        <v>#REF!</v>
      </c>
      <c r="PDK28" s="234" t="e">
        <f>astrogrep_path&amp;" /e /r /s /spath="&amp;search_path&amp;" /stypes=""app*"&amp;PCG28&amp;"*"&amp;TEXT(PCN28-utc_offset/24,"YYYYMMDD")&amp;"*"" /stext="" "&amp;TEXT(PCN28-utc_offset/24,"HH")&amp;search_regexp&amp;""""</f>
        <v>#REF!</v>
      </c>
      <c r="PDL28" s="234" t="e">
        <f>astrogrep_path&amp;" /e /r /s /spath="&amp;search_path&amp;" /stypes=""app*"&amp;PCH28&amp;"*"&amp;TEXT(PCO28-utc_offset/24,"YYYYMMDD")&amp;"*"" /stext="" "&amp;TEXT(PCO28-utc_offset/24,"HH")&amp;search_regexp&amp;""""</f>
        <v>#REF!</v>
      </c>
      <c r="PDM28" s="234" t="e">
        <f>astrogrep_path&amp;" /e /r /s /spath="&amp;search_path&amp;" /stypes=""app*"&amp;PCI28&amp;"*"&amp;TEXT(PCP28-utc_offset/24,"YYYYMMDD")&amp;"*"" /stext="" "&amp;TEXT(PCP28-utc_offset/24,"HH")&amp;search_regexp&amp;""""</f>
        <v>#REF!</v>
      </c>
      <c r="PDN28" s="234" t="e">
        <f>astrogrep_path&amp;" /e /r /s /spath="&amp;search_path&amp;" /stypes=""app*"&amp;PCJ28&amp;"*"&amp;TEXT(PCQ28-utc_offset/24,"YYYYMMDD")&amp;"*"" /stext="" "&amp;TEXT(PCQ28-utc_offset/24,"HH")&amp;search_regexp&amp;""""</f>
        <v>#REF!</v>
      </c>
      <c r="PDO28" s="234" t="e">
        <f>astrogrep_path&amp;" /e /r /s /spath="&amp;search_path&amp;" /stypes=""app*"&amp;PCK28&amp;"*"&amp;TEXT(PCR28-utc_offset/24,"YYYYMMDD")&amp;"*"" /stext="" "&amp;TEXT(PCR28-utc_offset/24,"HH")&amp;search_regexp&amp;""""</f>
        <v>#REF!</v>
      </c>
      <c r="PDP28" s="234" t="e">
        <f>astrogrep_path&amp;" /e /r /s /spath="&amp;search_path&amp;" /stypes=""app*"&amp;PCL28&amp;"*"&amp;TEXT(PCS28-utc_offset/24,"YYYYMMDD")&amp;"*"" /stext="" "&amp;TEXT(PCS28-utc_offset/24,"HH")&amp;search_regexp&amp;""""</f>
        <v>#REF!</v>
      </c>
      <c r="PDQ28" s="234" t="e">
        <f>astrogrep_path&amp;" /e /r /s /spath="&amp;search_path&amp;" /stypes=""app*"&amp;PCM28&amp;"*"&amp;TEXT(PCT28-utc_offset/24,"YYYYMMDD")&amp;"*"" /stext="" "&amp;TEXT(PCT28-utc_offset/24,"HH")&amp;search_regexp&amp;""""</f>
        <v>#REF!</v>
      </c>
      <c r="PDR28" s="234" t="e">
        <f>astrogrep_path&amp;" /e /r /s /spath="&amp;search_path&amp;" /stypes=""app*"&amp;PCN28&amp;"*"&amp;TEXT(PCU28-utc_offset/24,"YYYYMMDD")&amp;"*"" /stext="" "&amp;TEXT(PCU28-utc_offset/24,"HH")&amp;search_regexp&amp;""""</f>
        <v>#REF!</v>
      </c>
      <c r="PDS28" s="234" t="e">
        <f>astrogrep_path&amp;" /e /r /s /spath="&amp;search_path&amp;" /stypes=""app*"&amp;PCO28&amp;"*"&amp;TEXT(PCV28-utc_offset/24,"YYYYMMDD")&amp;"*"" /stext="" "&amp;TEXT(PCV28-utc_offset/24,"HH")&amp;search_regexp&amp;""""</f>
        <v>#REF!</v>
      </c>
      <c r="PDT28" s="234" t="e">
        <f>astrogrep_path&amp;" /e /r /s /spath="&amp;search_path&amp;" /stypes=""app*"&amp;PCP28&amp;"*"&amp;TEXT(PCW28-utc_offset/24,"YYYYMMDD")&amp;"*"" /stext="" "&amp;TEXT(PCW28-utc_offset/24,"HH")&amp;search_regexp&amp;""""</f>
        <v>#REF!</v>
      </c>
      <c r="PDU28" s="234" t="e">
        <f>astrogrep_path&amp;" /e /r /s /spath="&amp;search_path&amp;" /stypes=""app*"&amp;PCQ28&amp;"*"&amp;TEXT(PCX28-utc_offset/24,"YYYYMMDD")&amp;"*"" /stext="" "&amp;TEXT(PCX28-utc_offset/24,"HH")&amp;search_regexp&amp;""""</f>
        <v>#REF!</v>
      </c>
      <c r="PDV28" s="234" t="e">
        <f>astrogrep_path&amp;" /e /r /s /spath="&amp;search_path&amp;" /stypes=""app*"&amp;PCR28&amp;"*"&amp;TEXT(PCY28-utc_offset/24,"YYYYMMDD")&amp;"*"" /stext="" "&amp;TEXT(PCY28-utc_offset/24,"HH")&amp;search_regexp&amp;""""</f>
        <v>#REF!</v>
      </c>
      <c r="PDW28" s="234" t="e">
        <f>astrogrep_path&amp;" /e /r /s /spath="&amp;search_path&amp;" /stypes=""app*"&amp;PCS28&amp;"*"&amp;TEXT(PCZ28-utc_offset/24,"YYYYMMDD")&amp;"*"" /stext="" "&amp;TEXT(PCZ28-utc_offset/24,"HH")&amp;search_regexp&amp;""""</f>
        <v>#REF!</v>
      </c>
      <c r="PDX28" s="234" t="e">
        <f>astrogrep_path&amp;" /e /r /s /spath="&amp;search_path&amp;" /stypes=""app*"&amp;PCT28&amp;"*"&amp;TEXT(PDA28-utc_offset/24,"YYYYMMDD")&amp;"*"" /stext="" "&amp;TEXT(PDA28-utc_offset/24,"HH")&amp;search_regexp&amp;""""</f>
        <v>#REF!</v>
      </c>
      <c r="PDY28" s="234" t="e">
        <f>astrogrep_path&amp;" /e /r /s /spath="&amp;search_path&amp;" /stypes=""app*"&amp;PCU28&amp;"*"&amp;TEXT(PDB28-utc_offset/24,"YYYYMMDD")&amp;"*"" /stext="" "&amp;TEXT(PDB28-utc_offset/24,"HH")&amp;search_regexp&amp;""""</f>
        <v>#REF!</v>
      </c>
      <c r="PDZ28" s="234" t="e">
        <f>astrogrep_path&amp;" /e /r /s /spath="&amp;search_path&amp;" /stypes=""app*"&amp;PCV28&amp;"*"&amp;TEXT(PDC28-utc_offset/24,"YYYYMMDD")&amp;"*"" /stext="" "&amp;TEXT(PDC28-utc_offset/24,"HH")&amp;search_regexp&amp;""""</f>
        <v>#REF!</v>
      </c>
      <c r="PEA28" s="234" t="e">
        <f>astrogrep_path&amp;" /e /r /s /spath="&amp;search_path&amp;" /stypes=""app*"&amp;PCW28&amp;"*"&amp;TEXT(PDD28-utc_offset/24,"YYYYMMDD")&amp;"*"" /stext="" "&amp;TEXT(PDD28-utc_offset/24,"HH")&amp;search_regexp&amp;""""</f>
        <v>#REF!</v>
      </c>
      <c r="PEB28" s="234" t="e">
        <f>astrogrep_path&amp;" /e /r /s /spath="&amp;search_path&amp;" /stypes=""app*"&amp;PCX28&amp;"*"&amp;TEXT(PDE28-utc_offset/24,"YYYYMMDD")&amp;"*"" /stext="" "&amp;TEXT(PDE28-utc_offset/24,"HH")&amp;search_regexp&amp;""""</f>
        <v>#REF!</v>
      </c>
      <c r="PEC28" s="234" t="e">
        <f>astrogrep_path&amp;" /e /r /s /spath="&amp;search_path&amp;" /stypes=""app*"&amp;PCY28&amp;"*"&amp;TEXT(PDF28-utc_offset/24,"YYYYMMDD")&amp;"*"" /stext="" "&amp;TEXT(PDF28-utc_offset/24,"HH")&amp;search_regexp&amp;""""</f>
        <v>#REF!</v>
      </c>
      <c r="PED28" s="234" t="e">
        <f>astrogrep_path&amp;" /e /r /s /spath="&amp;search_path&amp;" /stypes=""app*"&amp;PCZ28&amp;"*"&amp;TEXT(PDG28-utc_offset/24,"YYYYMMDD")&amp;"*"" /stext="" "&amp;TEXT(PDG28-utc_offset/24,"HH")&amp;search_regexp&amp;""""</f>
        <v>#REF!</v>
      </c>
      <c r="PEE28" s="234" t="e">
        <f>astrogrep_path&amp;" /e /r /s /spath="&amp;search_path&amp;" /stypes=""app*"&amp;PDA28&amp;"*"&amp;TEXT(PDH28-utc_offset/24,"YYYYMMDD")&amp;"*"" /stext="" "&amp;TEXT(PDH28-utc_offset/24,"HH")&amp;search_regexp&amp;""""</f>
        <v>#VALUE!</v>
      </c>
      <c r="PEF28" s="234" t="e">
        <f>astrogrep_path&amp;" /e /r /s /spath="&amp;search_path&amp;" /stypes=""app*"&amp;PDB28&amp;"*"&amp;TEXT(PDI28-utc_offset/24,"YYYYMMDD")&amp;"*"" /stext="" "&amp;TEXT(PDI28-utc_offset/24,"HH")&amp;search_regexp&amp;""""</f>
        <v>#VALUE!</v>
      </c>
      <c r="PEG28" s="234" t="e">
        <f>astrogrep_path&amp;" /e /r /s /spath="&amp;search_path&amp;" /stypes=""app*"&amp;PDC28&amp;"*"&amp;TEXT(PDJ28-utc_offset/24,"YYYYMMDD")&amp;"*"" /stext="" "&amp;TEXT(PDJ28-utc_offset/24,"HH")&amp;search_regexp&amp;""""</f>
        <v>#REF!</v>
      </c>
      <c r="PEH28" s="234" t="e">
        <f>astrogrep_path&amp;" /e /r /s /spath="&amp;search_path&amp;" /stypes=""app*"&amp;PDD28&amp;"*"&amp;TEXT(PDK28-utc_offset/24,"YYYYMMDD")&amp;"*"" /stext="" "&amp;TEXT(PDK28-utc_offset/24,"HH")&amp;search_regexp&amp;""""</f>
        <v>#REF!</v>
      </c>
      <c r="PEI28" s="234" t="e">
        <f>astrogrep_path&amp;" /e /r /s /spath="&amp;search_path&amp;" /stypes=""app*"&amp;PDE28&amp;"*"&amp;TEXT(PDL28-utc_offset/24,"YYYYMMDD")&amp;"*"" /stext="" "&amp;TEXT(PDL28-utc_offset/24,"HH")&amp;search_regexp&amp;""""</f>
        <v>#VALUE!</v>
      </c>
      <c r="PEJ28" s="234" t="e">
        <f>astrogrep_path&amp;" /e /r /s /spath="&amp;search_path&amp;" /stypes=""app*"&amp;PDF28&amp;"*"&amp;TEXT(PDM28-utc_offset/24,"YYYYMMDD")&amp;"*"" /stext="" "&amp;TEXT(PDM28-utc_offset/24,"HH")&amp;search_regexp&amp;""""</f>
        <v>#VALUE!</v>
      </c>
      <c r="PEK28" s="234" t="e">
        <f>astrogrep_path&amp;" /e /r /s /spath="&amp;search_path&amp;" /stypes=""app*"&amp;PDG28&amp;"*"&amp;TEXT(PDN28-utc_offset/24,"YYYYMMDD")&amp;"*"" /stext="" "&amp;TEXT(PDN28-utc_offset/24,"HH")&amp;search_regexp&amp;""""</f>
        <v>#VALUE!</v>
      </c>
      <c r="PEL28" s="234" t="e">
        <f>astrogrep_path&amp;" /e /r /s /spath="&amp;search_path&amp;" /stypes=""app*"&amp;PDH28&amp;"*"&amp;TEXT(PDO28-utc_offset/24,"YYYYMMDD")&amp;"*"" /stext="" "&amp;TEXT(PDO28-utc_offset/24,"HH")&amp;search_regexp&amp;""""</f>
        <v>#VALUE!</v>
      </c>
      <c r="PEM28" s="234" t="e">
        <f>astrogrep_path&amp;" /e /r /s /spath="&amp;search_path&amp;" /stypes=""app*"&amp;PDI28&amp;"*"&amp;TEXT(PDP28-utc_offset/24,"YYYYMMDD")&amp;"*"" /stext="" "&amp;TEXT(PDP28-utc_offset/24,"HH")&amp;search_regexp&amp;""""</f>
        <v>#VALUE!</v>
      </c>
      <c r="PEN28" s="234" t="e">
        <f>astrogrep_path&amp;" /e /r /s /spath="&amp;search_path&amp;" /stypes=""app*"&amp;PDJ28&amp;"*"&amp;TEXT(PDQ28-utc_offset/24,"YYYYMMDD")&amp;"*"" /stext="" "&amp;TEXT(PDQ28-utc_offset/24,"HH")&amp;search_regexp&amp;""""</f>
        <v>#REF!</v>
      </c>
      <c r="PEO28" s="234" t="e">
        <f>astrogrep_path&amp;" /e /r /s /spath="&amp;search_path&amp;" /stypes=""app*"&amp;PDK28&amp;"*"&amp;TEXT(PDR28-utc_offset/24,"YYYYMMDD")&amp;"*"" /stext="" "&amp;TEXT(PDR28-utc_offset/24,"HH")&amp;search_regexp&amp;""""</f>
        <v>#REF!</v>
      </c>
      <c r="PEP28" s="234" t="e">
        <f>astrogrep_path&amp;" /e /r /s /spath="&amp;search_path&amp;" /stypes=""app*"&amp;PDL28&amp;"*"&amp;TEXT(PDS28-utc_offset/24,"YYYYMMDD")&amp;"*"" /stext="" "&amp;TEXT(PDS28-utc_offset/24,"HH")&amp;search_regexp&amp;""""</f>
        <v>#REF!</v>
      </c>
      <c r="PEQ28" s="234" t="e">
        <f>astrogrep_path&amp;" /e /r /s /spath="&amp;search_path&amp;" /stypes=""app*"&amp;PDM28&amp;"*"&amp;TEXT(PDT28-utc_offset/24,"YYYYMMDD")&amp;"*"" /stext="" "&amp;TEXT(PDT28-utc_offset/24,"HH")&amp;search_regexp&amp;""""</f>
        <v>#REF!</v>
      </c>
      <c r="PER28" s="234" t="e">
        <f>astrogrep_path&amp;" /e /r /s /spath="&amp;search_path&amp;" /stypes=""app*"&amp;PDN28&amp;"*"&amp;TEXT(PDU28-utc_offset/24,"YYYYMMDD")&amp;"*"" /stext="" "&amp;TEXT(PDU28-utc_offset/24,"HH")&amp;search_regexp&amp;""""</f>
        <v>#REF!</v>
      </c>
      <c r="PES28" s="234" t="e">
        <f>astrogrep_path&amp;" /e /r /s /spath="&amp;search_path&amp;" /stypes=""app*"&amp;PDO28&amp;"*"&amp;TEXT(PDV28-utc_offset/24,"YYYYMMDD")&amp;"*"" /stext="" "&amp;TEXT(PDV28-utc_offset/24,"HH")&amp;search_regexp&amp;""""</f>
        <v>#REF!</v>
      </c>
      <c r="PET28" s="234" t="e">
        <f>astrogrep_path&amp;" /e /r /s /spath="&amp;search_path&amp;" /stypes=""app*"&amp;PDP28&amp;"*"&amp;TEXT(PDW28-utc_offset/24,"YYYYMMDD")&amp;"*"" /stext="" "&amp;TEXT(PDW28-utc_offset/24,"HH")&amp;search_regexp&amp;""""</f>
        <v>#REF!</v>
      </c>
      <c r="PEU28" s="234" t="e">
        <f>astrogrep_path&amp;" /e /r /s /spath="&amp;search_path&amp;" /stypes=""app*"&amp;PDQ28&amp;"*"&amp;TEXT(PDX28-utc_offset/24,"YYYYMMDD")&amp;"*"" /stext="" "&amp;TEXT(PDX28-utc_offset/24,"HH")&amp;search_regexp&amp;""""</f>
        <v>#REF!</v>
      </c>
      <c r="PEV28" s="234" t="e">
        <f>astrogrep_path&amp;" /e /r /s /spath="&amp;search_path&amp;" /stypes=""app*"&amp;PDR28&amp;"*"&amp;TEXT(PDY28-utc_offset/24,"YYYYMMDD")&amp;"*"" /stext="" "&amp;TEXT(PDY28-utc_offset/24,"HH")&amp;search_regexp&amp;""""</f>
        <v>#REF!</v>
      </c>
      <c r="PEW28" s="234" t="e">
        <f>astrogrep_path&amp;" /e /r /s /spath="&amp;search_path&amp;" /stypes=""app*"&amp;PDS28&amp;"*"&amp;TEXT(PDZ28-utc_offset/24,"YYYYMMDD")&amp;"*"" /stext="" "&amp;TEXT(PDZ28-utc_offset/24,"HH")&amp;search_regexp&amp;""""</f>
        <v>#REF!</v>
      </c>
      <c r="PEX28" s="234" t="e">
        <f>astrogrep_path&amp;" /e /r /s /spath="&amp;search_path&amp;" /stypes=""app*"&amp;PDT28&amp;"*"&amp;TEXT(PEA28-utc_offset/24,"YYYYMMDD")&amp;"*"" /stext="" "&amp;TEXT(PEA28-utc_offset/24,"HH")&amp;search_regexp&amp;""""</f>
        <v>#REF!</v>
      </c>
      <c r="PEY28" s="234" t="e">
        <f>astrogrep_path&amp;" /e /r /s /spath="&amp;search_path&amp;" /stypes=""app*"&amp;PDU28&amp;"*"&amp;TEXT(PEB28-utc_offset/24,"YYYYMMDD")&amp;"*"" /stext="" "&amp;TEXT(PEB28-utc_offset/24,"HH")&amp;search_regexp&amp;""""</f>
        <v>#REF!</v>
      </c>
      <c r="PEZ28" s="234" t="e">
        <f>astrogrep_path&amp;" /e /r /s /spath="&amp;search_path&amp;" /stypes=""app*"&amp;PDV28&amp;"*"&amp;TEXT(PEC28-utc_offset/24,"YYYYMMDD")&amp;"*"" /stext="" "&amp;TEXT(PEC28-utc_offset/24,"HH")&amp;search_regexp&amp;""""</f>
        <v>#REF!</v>
      </c>
      <c r="PFA28" s="234" t="e">
        <f>astrogrep_path&amp;" /e /r /s /spath="&amp;search_path&amp;" /stypes=""app*"&amp;PDW28&amp;"*"&amp;TEXT(PED28-utc_offset/24,"YYYYMMDD")&amp;"*"" /stext="" "&amp;TEXT(PED28-utc_offset/24,"HH")&amp;search_regexp&amp;""""</f>
        <v>#REF!</v>
      </c>
      <c r="PFB28" s="234" t="e">
        <f>astrogrep_path&amp;" /e /r /s /spath="&amp;search_path&amp;" /stypes=""app*"&amp;PDX28&amp;"*"&amp;TEXT(PEE28-utc_offset/24,"YYYYMMDD")&amp;"*"" /stext="" "&amp;TEXT(PEE28-utc_offset/24,"HH")&amp;search_regexp&amp;""""</f>
        <v>#REF!</v>
      </c>
      <c r="PFC28" s="234" t="e">
        <f>astrogrep_path&amp;" /e /r /s /spath="&amp;search_path&amp;" /stypes=""app*"&amp;PDY28&amp;"*"&amp;TEXT(PEF28-utc_offset/24,"YYYYMMDD")&amp;"*"" /stext="" "&amp;TEXT(PEF28-utc_offset/24,"HH")&amp;search_regexp&amp;""""</f>
        <v>#REF!</v>
      </c>
      <c r="PFD28" s="234" t="e">
        <f>astrogrep_path&amp;" /e /r /s /spath="&amp;search_path&amp;" /stypes=""app*"&amp;PDZ28&amp;"*"&amp;TEXT(PEG28-utc_offset/24,"YYYYMMDD")&amp;"*"" /stext="" "&amp;TEXT(PEG28-utc_offset/24,"HH")&amp;search_regexp&amp;""""</f>
        <v>#REF!</v>
      </c>
      <c r="PFE28" s="234" t="e">
        <f>astrogrep_path&amp;" /e /r /s /spath="&amp;search_path&amp;" /stypes=""app*"&amp;PEA28&amp;"*"&amp;TEXT(PEH28-utc_offset/24,"YYYYMMDD")&amp;"*"" /stext="" "&amp;TEXT(PEH28-utc_offset/24,"HH")&amp;search_regexp&amp;""""</f>
        <v>#REF!</v>
      </c>
      <c r="PFF28" s="234" t="e">
        <f>astrogrep_path&amp;" /e /r /s /spath="&amp;search_path&amp;" /stypes=""app*"&amp;PEB28&amp;"*"&amp;TEXT(PEI28-utc_offset/24,"YYYYMMDD")&amp;"*"" /stext="" "&amp;TEXT(PEI28-utc_offset/24,"HH")&amp;search_regexp&amp;""""</f>
        <v>#REF!</v>
      </c>
      <c r="PFG28" s="234" t="e">
        <f>astrogrep_path&amp;" /e /r /s /spath="&amp;search_path&amp;" /stypes=""app*"&amp;PEC28&amp;"*"&amp;TEXT(PEJ28-utc_offset/24,"YYYYMMDD")&amp;"*"" /stext="" "&amp;TEXT(PEJ28-utc_offset/24,"HH")&amp;search_regexp&amp;""""</f>
        <v>#REF!</v>
      </c>
      <c r="PFH28" s="234" t="e">
        <f>astrogrep_path&amp;" /e /r /s /spath="&amp;search_path&amp;" /stypes=""app*"&amp;PED28&amp;"*"&amp;TEXT(PEK28-utc_offset/24,"YYYYMMDD")&amp;"*"" /stext="" "&amp;TEXT(PEK28-utc_offset/24,"HH")&amp;search_regexp&amp;""""</f>
        <v>#REF!</v>
      </c>
      <c r="PFI28" s="234" t="e">
        <f>astrogrep_path&amp;" /e /r /s /spath="&amp;search_path&amp;" /stypes=""app*"&amp;PEE28&amp;"*"&amp;TEXT(PEL28-utc_offset/24,"YYYYMMDD")&amp;"*"" /stext="" "&amp;TEXT(PEL28-utc_offset/24,"HH")&amp;search_regexp&amp;""""</f>
        <v>#VALUE!</v>
      </c>
      <c r="PFJ28" s="234" t="e">
        <f>astrogrep_path&amp;" /e /r /s /spath="&amp;search_path&amp;" /stypes=""app*"&amp;PEF28&amp;"*"&amp;TEXT(PEM28-utc_offset/24,"YYYYMMDD")&amp;"*"" /stext="" "&amp;TEXT(PEM28-utc_offset/24,"HH")&amp;search_regexp&amp;""""</f>
        <v>#VALUE!</v>
      </c>
      <c r="PFK28" s="234" t="e">
        <f>astrogrep_path&amp;" /e /r /s /spath="&amp;search_path&amp;" /stypes=""app*"&amp;PEG28&amp;"*"&amp;TEXT(PEN28-utc_offset/24,"YYYYMMDD")&amp;"*"" /stext="" "&amp;TEXT(PEN28-utc_offset/24,"HH")&amp;search_regexp&amp;""""</f>
        <v>#REF!</v>
      </c>
      <c r="PFL28" s="234" t="e">
        <f>astrogrep_path&amp;" /e /r /s /spath="&amp;search_path&amp;" /stypes=""app*"&amp;PEH28&amp;"*"&amp;TEXT(PEO28-utc_offset/24,"YYYYMMDD")&amp;"*"" /stext="" "&amp;TEXT(PEO28-utc_offset/24,"HH")&amp;search_regexp&amp;""""</f>
        <v>#REF!</v>
      </c>
      <c r="PFM28" s="234" t="e">
        <f>astrogrep_path&amp;" /e /r /s /spath="&amp;search_path&amp;" /stypes=""app*"&amp;PEI28&amp;"*"&amp;TEXT(PEP28-utc_offset/24,"YYYYMMDD")&amp;"*"" /stext="" "&amp;TEXT(PEP28-utc_offset/24,"HH")&amp;search_regexp&amp;""""</f>
        <v>#VALUE!</v>
      </c>
      <c r="PFN28" s="234" t="e">
        <f>astrogrep_path&amp;" /e /r /s /spath="&amp;search_path&amp;" /stypes=""app*"&amp;PEJ28&amp;"*"&amp;TEXT(PEQ28-utc_offset/24,"YYYYMMDD")&amp;"*"" /stext="" "&amp;TEXT(PEQ28-utc_offset/24,"HH")&amp;search_regexp&amp;""""</f>
        <v>#VALUE!</v>
      </c>
      <c r="PFO28" s="234" t="e">
        <f>astrogrep_path&amp;" /e /r /s /spath="&amp;search_path&amp;" /stypes=""app*"&amp;PEK28&amp;"*"&amp;TEXT(PER28-utc_offset/24,"YYYYMMDD")&amp;"*"" /stext="" "&amp;TEXT(PER28-utc_offset/24,"HH")&amp;search_regexp&amp;""""</f>
        <v>#VALUE!</v>
      </c>
      <c r="PFP28" s="234" t="e">
        <f>astrogrep_path&amp;" /e /r /s /spath="&amp;search_path&amp;" /stypes=""app*"&amp;PEL28&amp;"*"&amp;TEXT(PES28-utc_offset/24,"YYYYMMDD")&amp;"*"" /stext="" "&amp;TEXT(PES28-utc_offset/24,"HH")&amp;search_regexp&amp;""""</f>
        <v>#VALUE!</v>
      </c>
      <c r="PFQ28" s="234" t="e">
        <f>astrogrep_path&amp;" /e /r /s /spath="&amp;search_path&amp;" /stypes=""app*"&amp;PEM28&amp;"*"&amp;TEXT(PET28-utc_offset/24,"YYYYMMDD")&amp;"*"" /stext="" "&amp;TEXT(PET28-utc_offset/24,"HH")&amp;search_regexp&amp;""""</f>
        <v>#VALUE!</v>
      </c>
      <c r="PFR28" s="234" t="e">
        <f>astrogrep_path&amp;" /e /r /s /spath="&amp;search_path&amp;" /stypes=""app*"&amp;PEN28&amp;"*"&amp;TEXT(PEU28-utc_offset/24,"YYYYMMDD")&amp;"*"" /stext="" "&amp;TEXT(PEU28-utc_offset/24,"HH")&amp;search_regexp&amp;""""</f>
        <v>#REF!</v>
      </c>
      <c r="PFS28" s="234" t="e">
        <f>astrogrep_path&amp;" /e /r /s /spath="&amp;search_path&amp;" /stypes=""app*"&amp;PEO28&amp;"*"&amp;TEXT(PEV28-utc_offset/24,"YYYYMMDD")&amp;"*"" /stext="" "&amp;TEXT(PEV28-utc_offset/24,"HH")&amp;search_regexp&amp;""""</f>
        <v>#REF!</v>
      </c>
      <c r="PFT28" s="234" t="e">
        <f>astrogrep_path&amp;" /e /r /s /spath="&amp;search_path&amp;" /stypes=""app*"&amp;PEP28&amp;"*"&amp;TEXT(PEW28-utc_offset/24,"YYYYMMDD")&amp;"*"" /stext="" "&amp;TEXT(PEW28-utc_offset/24,"HH")&amp;search_regexp&amp;""""</f>
        <v>#REF!</v>
      </c>
      <c r="PFU28" s="234" t="e">
        <f>astrogrep_path&amp;" /e /r /s /spath="&amp;search_path&amp;" /stypes=""app*"&amp;PEQ28&amp;"*"&amp;TEXT(PEX28-utc_offset/24,"YYYYMMDD")&amp;"*"" /stext="" "&amp;TEXT(PEX28-utc_offset/24,"HH")&amp;search_regexp&amp;""""</f>
        <v>#REF!</v>
      </c>
      <c r="PFV28" s="234" t="e">
        <f>astrogrep_path&amp;" /e /r /s /spath="&amp;search_path&amp;" /stypes=""app*"&amp;PER28&amp;"*"&amp;TEXT(PEY28-utc_offset/24,"YYYYMMDD")&amp;"*"" /stext="" "&amp;TEXT(PEY28-utc_offset/24,"HH")&amp;search_regexp&amp;""""</f>
        <v>#REF!</v>
      </c>
      <c r="PFW28" s="234" t="e">
        <f>astrogrep_path&amp;" /e /r /s /spath="&amp;search_path&amp;" /stypes=""app*"&amp;PES28&amp;"*"&amp;TEXT(PEZ28-utc_offset/24,"YYYYMMDD")&amp;"*"" /stext="" "&amp;TEXT(PEZ28-utc_offset/24,"HH")&amp;search_regexp&amp;""""</f>
        <v>#REF!</v>
      </c>
      <c r="PFX28" s="234" t="e">
        <f>astrogrep_path&amp;" /e /r /s /spath="&amp;search_path&amp;" /stypes=""app*"&amp;PET28&amp;"*"&amp;TEXT(PFA28-utc_offset/24,"YYYYMMDD")&amp;"*"" /stext="" "&amp;TEXT(PFA28-utc_offset/24,"HH")&amp;search_regexp&amp;""""</f>
        <v>#REF!</v>
      </c>
      <c r="PFY28" s="234" t="e">
        <f>astrogrep_path&amp;" /e /r /s /spath="&amp;search_path&amp;" /stypes=""app*"&amp;PEU28&amp;"*"&amp;TEXT(PFB28-utc_offset/24,"YYYYMMDD")&amp;"*"" /stext="" "&amp;TEXT(PFB28-utc_offset/24,"HH")&amp;search_regexp&amp;""""</f>
        <v>#REF!</v>
      </c>
      <c r="PFZ28" s="234" t="e">
        <f>astrogrep_path&amp;" /e /r /s /spath="&amp;search_path&amp;" /stypes=""app*"&amp;PEV28&amp;"*"&amp;TEXT(PFC28-utc_offset/24,"YYYYMMDD")&amp;"*"" /stext="" "&amp;TEXT(PFC28-utc_offset/24,"HH")&amp;search_regexp&amp;""""</f>
        <v>#REF!</v>
      </c>
      <c r="PGA28" s="234" t="e">
        <f>astrogrep_path&amp;" /e /r /s /spath="&amp;search_path&amp;" /stypes=""app*"&amp;PEW28&amp;"*"&amp;TEXT(PFD28-utc_offset/24,"YYYYMMDD")&amp;"*"" /stext="" "&amp;TEXT(PFD28-utc_offset/24,"HH")&amp;search_regexp&amp;""""</f>
        <v>#REF!</v>
      </c>
      <c r="PGB28" s="234" t="e">
        <f>astrogrep_path&amp;" /e /r /s /spath="&amp;search_path&amp;" /stypes=""app*"&amp;PEX28&amp;"*"&amp;TEXT(PFE28-utc_offset/24,"YYYYMMDD")&amp;"*"" /stext="" "&amp;TEXT(PFE28-utc_offset/24,"HH")&amp;search_regexp&amp;""""</f>
        <v>#REF!</v>
      </c>
      <c r="PGC28" s="234" t="e">
        <f>astrogrep_path&amp;" /e /r /s /spath="&amp;search_path&amp;" /stypes=""app*"&amp;PEY28&amp;"*"&amp;TEXT(PFF28-utc_offset/24,"YYYYMMDD")&amp;"*"" /stext="" "&amp;TEXT(PFF28-utc_offset/24,"HH")&amp;search_regexp&amp;""""</f>
        <v>#REF!</v>
      </c>
      <c r="PGD28" s="234" t="e">
        <f>astrogrep_path&amp;" /e /r /s /spath="&amp;search_path&amp;" /stypes=""app*"&amp;PEZ28&amp;"*"&amp;TEXT(PFG28-utc_offset/24,"YYYYMMDD")&amp;"*"" /stext="" "&amp;TEXT(PFG28-utc_offset/24,"HH")&amp;search_regexp&amp;""""</f>
        <v>#REF!</v>
      </c>
      <c r="PGE28" s="234" t="e">
        <f>astrogrep_path&amp;" /e /r /s /spath="&amp;search_path&amp;" /stypes=""app*"&amp;PFA28&amp;"*"&amp;TEXT(PFH28-utc_offset/24,"YYYYMMDD")&amp;"*"" /stext="" "&amp;TEXT(PFH28-utc_offset/24,"HH")&amp;search_regexp&amp;""""</f>
        <v>#REF!</v>
      </c>
      <c r="PGF28" s="234" t="e">
        <f>astrogrep_path&amp;" /e /r /s /spath="&amp;search_path&amp;" /stypes=""app*"&amp;PFB28&amp;"*"&amp;TEXT(PFI28-utc_offset/24,"YYYYMMDD")&amp;"*"" /stext="" "&amp;TEXT(PFI28-utc_offset/24,"HH")&amp;search_regexp&amp;""""</f>
        <v>#REF!</v>
      </c>
      <c r="PGG28" s="234" t="e">
        <f>astrogrep_path&amp;" /e /r /s /spath="&amp;search_path&amp;" /stypes=""app*"&amp;PFC28&amp;"*"&amp;TEXT(PFJ28-utc_offset/24,"YYYYMMDD")&amp;"*"" /stext="" "&amp;TEXT(PFJ28-utc_offset/24,"HH")&amp;search_regexp&amp;""""</f>
        <v>#REF!</v>
      </c>
      <c r="PGH28" s="234" t="e">
        <f>astrogrep_path&amp;" /e /r /s /spath="&amp;search_path&amp;" /stypes=""app*"&amp;PFD28&amp;"*"&amp;TEXT(PFK28-utc_offset/24,"YYYYMMDD")&amp;"*"" /stext="" "&amp;TEXT(PFK28-utc_offset/24,"HH")&amp;search_regexp&amp;""""</f>
        <v>#REF!</v>
      </c>
      <c r="PGI28" s="234" t="e">
        <f>astrogrep_path&amp;" /e /r /s /spath="&amp;search_path&amp;" /stypes=""app*"&amp;PFE28&amp;"*"&amp;TEXT(PFL28-utc_offset/24,"YYYYMMDD")&amp;"*"" /stext="" "&amp;TEXT(PFL28-utc_offset/24,"HH")&amp;search_regexp&amp;""""</f>
        <v>#REF!</v>
      </c>
      <c r="PGJ28" s="234" t="e">
        <f>astrogrep_path&amp;" /e /r /s /spath="&amp;search_path&amp;" /stypes=""app*"&amp;PFF28&amp;"*"&amp;TEXT(PFM28-utc_offset/24,"YYYYMMDD")&amp;"*"" /stext="" "&amp;TEXT(PFM28-utc_offset/24,"HH")&amp;search_regexp&amp;""""</f>
        <v>#REF!</v>
      </c>
      <c r="PGK28" s="234" t="e">
        <f>astrogrep_path&amp;" /e /r /s /spath="&amp;search_path&amp;" /stypes=""app*"&amp;PFG28&amp;"*"&amp;TEXT(PFN28-utc_offset/24,"YYYYMMDD")&amp;"*"" /stext="" "&amp;TEXT(PFN28-utc_offset/24,"HH")&amp;search_regexp&amp;""""</f>
        <v>#REF!</v>
      </c>
      <c r="PGL28" s="234" t="e">
        <f>astrogrep_path&amp;" /e /r /s /spath="&amp;search_path&amp;" /stypes=""app*"&amp;PFH28&amp;"*"&amp;TEXT(PFO28-utc_offset/24,"YYYYMMDD")&amp;"*"" /stext="" "&amp;TEXT(PFO28-utc_offset/24,"HH")&amp;search_regexp&amp;""""</f>
        <v>#REF!</v>
      </c>
      <c r="PGM28" s="234" t="e">
        <f>astrogrep_path&amp;" /e /r /s /spath="&amp;search_path&amp;" /stypes=""app*"&amp;PFI28&amp;"*"&amp;TEXT(PFP28-utc_offset/24,"YYYYMMDD")&amp;"*"" /stext="" "&amp;TEXT(PFP28-utc_offset/24,"HH")&amp;search_regexp&amp;""""</f>
        <v>#VALUE!</v>
      </c>
      <c r="PGN28" s="234" t="e">
        <f>astrogrep_path&amp;" /e /r /s /spath="&amp;search_path&amp;" /stypes=""app*"&amp;PFJ28&amp;"*"&amp;TEXT(PFQ28-utc_offset/24,"YYYYMMDD")&amp;"*"" /stext="" "&amp;TEXT(PFQ28-utc_offset/24,"HH")&amp;search_regexp&amp;""""</f>
        <v>#VALUE!</v>
      </c>
      <c r="PGO28" s="234" t="e">
        <f>astrogrep_path&amp;" /e /r /s /spath="&amp;search_path&amp;" /stypes=""app*"&amp;PFK28&amp;"*"&amp;TEXT(PFR28-utc_offset/24,"YYYYMMDD")&amp;"*"" /stext="" "&amp;TEXT(PFR28-utc_offset/24,"HH")&amp;search_regexp&amp;""""</f>
        <v>#REF!</v>
      </c>
      <c r="PGP28" s="234" t="e">
        <f>astrogrep_path&amp;" /e /r /s /spath="&amp;search_path&amp;" /stypes=""app*"&amp;PFL28&amp;"*"&amp;TEXT(PFS28-utc_offset/24,"YYYYMMDD")&amp;"*"" /stext="" "&amp;TEXT(PFS28-utc_offset/24,"HH")&amp;search_regexp&amp;""""</f>
        <v>#REF!</v>
      </c>
      <c r="PGQ28" s="234" t="e">
        <f>astrogrep_path&amp;" /e /r /s /spath="&amp;search_path&amp;" /stypes=""app*"&amp;PFM28&amp;"*"&amp;TEXT(PFT28-utc_offset/24,"YYYYMMDD")&amp;"*"" /stext="" "&amp;TEXT(PFT28-utc_offset/24,"HH")&amp;search_regexp&amp;""""</f>
        <v>#VALUE!</v>
      </c>
      <c r="PGR28" s="234" t="e">
        <f>astrogrep_path&amp;" /e /r /s /spath="&amp;search_path&amp;" /stypes=""app*"&amp;PFN28&amp;"*"&amp;TEXT(PFU28-utc_offset/24,"YYYYMMDD")&amp;"*"" /stext="" "&amp;TEXT(PFU28-utc_offset/24,"HH")&amp;search_regexp&amp;""""</f>
        <v>#VALUE!</v>
      </c>
      <c r="PGS28" s="234" t="e">
        <f>astrogrep_path&amp;" /e /r /s /spath="&amp;search_path&amp;" /stypes=""app*"&amp;PFO28&amp;"*"&amp;TEXT(PFV28-utc_offset/24,"YYYYMMDD")&amp;"*"" /stext="" "&amp;TEXT(PFV28-utc_offset/24,"HH")&amp;search_regexp&amp;""""</f>
        <v>#VALUE!</v>
      </c>
      <c r="PGT28" s="234" t="e">
        <f>astrogrep_path&amp;" /e /r /s /spath="&amp;search_path&amp;" /stypes=""app*"&amp;PFP28&amp;"*"&amp;TEXT(PFW28-utc_offset/24,"YYYYMMDD")&amp;"*"" /stext="" "&amp;TEXT(PFW28-utc_offset/24,"HH")&amp;search_regexp&amp;""""</f>
        <v>#VALUE!</v>
      </c>
      <c r="PGU28" s="234" t="e">
        <f>astrogrep_path&amp;" /e /r /s /spath="&amp;search_path&amp;" /stypes=""app*"&amp;PFQ28&amp;"*"&amp;TEXT(PFX28-utc_offset/24,"YYYYMMDD")&amp;"*"" /stext="" "&amp;TEXT(PFX28-utc_offset/24,"HH")&amp;search_regexp&amp;""""</f>
        <v>#VALUE!</v>
      </c>
      <c r="PGV28" s="234" t="e">
        <f>astrogrep_path&amp;" /e /r /s /spath="&amp;search_path&amp;" /stypes=""app*"&amp;PFR28&amp;"*"&amp;TEXT(PFY28-utc_offset/24,"YYYYMMDD")&amp;"*"" /stext="" "&amp;TEXT(PFY28-utc_offset/24,"HH")&amp;search_regexp&amp;""""</f>
        <v>#REF!</v>
      </c>
      <c r="PGW28" s="234" t="e">
        <f>astrogrep_path&amp;" /e /r /s /spath="&amp;search_path&amp;" /stypes=""app*"&amp;PFS28&amp;"*"&amp;TEXT(PFZ28-utc_offset/24,"YYYYMMDD")&amp;"*"" /stext="" "&amp;TEXT(PFZ28-utc_offset/24,"HH")&amp;search_regexp&amp;""""</f>
        <v>#REF!</v>
      </c>
      <c r="PGX28" s="234" t="e">
        <f>astrogrep_path&amp;" /e /r /s /spath="&amp;search_path&amp;" /stypes=""app*"&amp;PFT28&amp;"*"&amp;TEXT(PGA28-utc_offset/24,"YYYYMMDD")&amp;"*"" /stext="" "&amp;TEXT(PGA28-utc_offset/24,"HH")&amp;search_regexp&amp;""""</f>
        <v>#REF!</v>
      </c>
      <c r="PGY28" s="234" t="e">
        <f>astrogrep_path&amp;" /e /r /s /spath="&amp;search_path&amp;" /stypes=""app*"&amp;PFU28&amp;"*"&amp;TEXT(PGB28-utc_offset/24,"YYYYMMDD")&amp;"*"" /stext="" "&amp;TEXT(PGB28-utc_offset/24,"HH")&amp;search_regexp&amp;""""</f>
        <v>#REF!</v>
      </c>
      <c r="PGZ28" s="234" t="e">
        <f>astrogrep_path&amp;" /e /r /s /spath="&amp;search_path&amp;" /stypes=""app*"&amp;PFV28&amp;"*"&amp;TEXT(PGC28-utc_offset/24,"YYYYMMDD")&amp;"*"" /stext="" "&amp;TEXT(PGC28-utc_offset/24,"HH")&amp;search_regexp&amp;""""</f>
        <v>#REF!</v>
      </c>
      <c r="PHA28" s="234" t="e">
        <f>astrogrep_path&amp;" /e /r /s /spath="&amp;search_path&amp;" /stypes=""app*"&amp;PFW28&amp;"*"&amp;TEXT(PGD28-utc_offset/24,"YYYYMMDD")&amp;"*"" /stext="" "&amp;TEXT(PGD28-utc_offset/24,"HH")&amp;search_regexp&amp;""""</f>
        <v>#REF!</v>
      </c>
      <c r="PHB28" s="234" t="e">
        <f>astrogrep_path&amp;" /e /r /s /spath="&amp;search_path&amp;" /stypes=""app*"&amp;PFX28&amp;"*"&amp;TEXT(PGE28-utc_offset/24,"YYYYMMDD")&amp;"*"" /stext="" "&amp;TEXT(PGE28-utc_offset/24,"HH")&amp;search_regexp&amp;""""</f>
        <v>#REF!</v>
      </c>
      <c r="PHC28" s="234" t="e">
        <f>astrogrep_path&amp;" /e /r /s /spath="&amp;search_path&amp;" /stypes=""app*"&amp;PFY28&amp;"*"&amp;TEXT(PGF28-utc_offset/24,"YYYYMMDD")&amp;"*"" /stext="" "&amp;TEXT(PGF28-utc_offset/24,"HH")&amp;search_regexp&amp;""""</f>
        <v>#REF!</v>
      </c>
      <c r="PHD28" s="234" t="e">
        <f>astrogrep_path&amp;" /e /r /s /spath="&amp;search_path&amp;" /stypes=""app*"&amp;PFZ28&amp;"*"&amp;TEXT(PGG28-utc_offset/24,"YYYYMMDD")&amp;"*"" /stext="" "&amp;TEXT(PGG28-utc_offset/24,"HH")&amp;search_regexp&amp;""""</f>
        <v>#REF!</v>
      </c>
      <c r="PHE28" s="234" t="e">
        <f>astrogrep_path&amp;" /e /r /s /spath="&amp;search_path&amp;" /stypes=""app*"&amp;PGA28&amp;"*"&amp;TEXT(PGH28-utc_offset/24,"YYYYMMDD")&amp;"*"" /stext="" "&amp;TEXT(PGH28-utc_offset/24,"HH")&amp;search_regexp&amp;""""</f>
        <v>#REF!</v>
      </c>
      <c r="PHF28" s="234" t="e">
        <f>astrogrep_path&amp;" /e /r /s /spath="&amp;search_path&amp;" /stypes=""app*"&amp;PGB28&amp;"*"&amp;TEXT(PGI28-utc_offset/24,"YYYYMMDD")&amp;"*"" /stext="" "&amp;TEXT(PGI28-utc_offset/24,"HH")&amp;search_regexp&amp;""""</f>
        <v>#REF!</v>
      </c>
      <c r="PHG28" s="234" t="e">
        <f>astrogrep_path&amp;" /e /r /s /spath="&amp;search_path&amp;" /stypes=""app*"&amp;PGC28&amp;"*"&amp;TEXT(PGJ28-utc_offset/24,"YYYYMMDD")&amp;"*"" /stext="" "&amp;TEXT(PGJ28-utc_offset/24,"HH")&amp;search_regexp&amp;""""</f>
        <v>#REF!</v>
      </c>
      <c r="PHH28" s="234" t="e">
        <f>astrogrep_path&amp;" /e /r /s /spath="&amp;search_path&amp;" /stypes=""app*"&amp;PGD28&amp;"*"&amp;TEXT(PGK28-utc_offset/24,"YYYYMMDD")&amp;"*"" /stext="" "&amp;TEXT(PGK28-utc_offset/24,"HH")&amp;search_regexp&amp;""""</f>
        <v>#REF!</v>
      </c>
      <c r="PHI28" s="234" t="e">
        <f>astrogrep_path&amp;" /e /r /s /spath="&amp;search_path&amp;" /stypes=""app*"&amp;PGE28&amp;"*"&amp;TEXT(PGL28-utc_offset/24,"YYYYMMDD")&amp;"*"" /stext="" "&amp;TEXT(PGL28-utc_offset/24,"HH")&amp;search_regexp&amp;""""</f>
        <v>#REF!</v>
      </c>
      <c r="PHJ28" s="234" t="e">
        <f>astrogrep_path&amp;" /e /r /s /spath="&amp;search_path&amp;" /stypes=""app*"&amp;PGF28&amp;"*"&amp;TEXT(PGM28-utc_offset/24,"YYYYMMDD")&amp;"*"" /stext="" "&amp;TEXT(PGM28-utc_offset/24,"HH")&amp;search_regexp&amp;""""</f>
        <v>#REF!</v>
      </c>
      <c r="PHK28" s="234" t="e">
        <f>astrogrep_path&amp;" /e /r /s /spath="&amp;search_path&amp;" /stypes=""app*"&amp;PGG28&amp;"*"&amp;TEXT(PGN28-utc_offset/24,"YYYYMMDD")&amp;"*"" /stext="" "&amp;TEXT(PGN28-utc_offset/24,"HH")&amp;search_regexp&amp;""""</f>
        <v>#REF!</v>
      </c>
      <c r="PHL28" s="234" t="e">
        <f>astrogrep_path&amp;" /e /r /s /spath="&amp;search_path&amp;" /stypes=""app*"&amp;PGH28&amp;"*"&amp;TEXT(PGO28-utc_offset/24,"YYYYMMDD")&amp;"*"" /stext="" "&amp;TEXT(PGO28-utc_offset/24,"HH")&amp;search_regexp&amp;""""</f>
        <v>#REF!</v>
      </c>
      <c r="PHM28" s="234" t="e">
        <f>astrogrep_path&amp;" /e /r /s /spath="&amp;search_path&amp;" /stypes=""app*"&amp;PGI28&amp;"*"&amp;TEXT(PGP28-utc_offset/24,"YYYYMMDD")&amp;"*"" /stext="" "&amp;TEXT(PGP28-utc_offset/24,"HH")&amp;search_regexp&amp;""""</f>
        <v>#REF!</v>
      </c>
      <c r="PHN28" s="234" t="e">
        <f>astrogrep_path&amp;" /e /r /s /spath="&amp;search_path&amp;" /stypes=""app*"&amp;PGJ28&amp;"*"&amp;TEXT(PGQ28-utc_offset/24,"YYYYMMDD")&amp;"*"" /stext="" "&amp;TEXT(PGQ28-utc_offset/24,"HH")&amp;search_regexp&amp;""""</f>
        <v>#REF!</v>
      </c>
      <c r="PHO28" s="234" t="e">
        <f>astrogrep_path&amp;" /e /r /s /spath="&amp;search_path&amp;" /stypes=""app*"&amp;PGK28&amp;"*"&amp;TEXT(PGR28-utc_offset/24,"YYYYMMDD")&amp;"*"" /stext="" "&amp;TEXT(PGR28-utc_offset/24,"HH")&amp;search_regexp&amp;""""</f>
        <v>#REF!</v>
      </c>
      <c r="PHP28" s="234" t="e">
        <f>astrogrep_path&amp;" /e /r /s /spath="&amp;search_path&amp;" /stypes=""app*"&amp;PGL28&amp;"*"&amp;TEXT(PGS28-utc_offset/24,"YYYYMMDD")&amp;"*"" /stext="" "&amp;TEXT(PGS28-utc_offset/24,"HH")&amp;search_regexp&amp;""""</f>
        <v>#REF!</v>
      </c>
      <c r="PHQ28" s="234" t="e">
        <f>astrogrep_path&amp;" /e /r /s /spath="&amp;search_path&amp;" /stypes=""app*"&amp;PGM28&amp;"*"&amp;TEXT(PGT28-utc_offset/24,"YYYYMMDD")&amp;"*"" /stext="" "&amp;TEXT(PGT28-utc_offset/24,"HH")&amp;search_regexp&amp;""""</f>
        <v>#VALUE!</v>
      </c>
      <c r="PHR28" s="234" t="e">
        <f>astrogrep_path&amp;" /e /r /s /spath="&amp;search_path&amp;" /stypes=""app*"&amp;PGN28&amp;"*"&amp;TEXT(PGU28-utc_offset/24,"YYYYMMDD")&amp;"*"" /stext="" "&amp;TEXT(PGU28-utc_offset/24,"HH")&amp;search_regexp&amp;""""</f>
        <v>#VALUE!</v>
      </c>
      <c r="PHS28" s="234" t="e">
        <f>astrogrep_path&amp;" /e /r /s /spath="&amp;search_path&amp;" /stypes=""app*"&amp;PGO28&amp;"*"&amp;TEXT(PGV28-utc_offset/24,"YYYYMMDD")&amp;"*"" /stext="" "&amp;TEXT(PGV28-utc_offset/24,"HH")&amp;search_regexp&amp;""""</f>
        <v>#REF!</v>
      </c>
      <c r="PHT28" s="234" t="e">
        <f>astrogrep_path&amp;" /e /r /s /spath="&amp;search_path&amp;" /stypes=""app*"&amp;PGP28&amp;"*"&amp;TEXT(PGW28-utc_offset/24,"YYYYMMDD")&amp;"*"" /stext="" "&amp;TEXT(PGW28-utc_offset/24,"HH")&amp;search_regexp&amp;""""</f>
        <v>#REF!</v>
      </c>
      <c r="PHU28" s="234" t="e">
        <f>astrogrep_path&amp;" /e /r /s /spath="&amp;search_path&amp;" /stypes=""app*"&amp;PGQ28&amp;"*"&amp;TEXT(PGX28-utc_offset/24,"YYYYMMDD")&amp;"*"" /stext="" "&amp;TEXT(PGX28-utc_offset/24,"HH")&amp;search_regexp&amp;""""</f>
        <v>#VALUE!</v>
      </c>
      <c r="PHV28" s="234" t="e">
        <f>astrogrep_path&amp;" /e /r /s /spath="&amp;search_path&amp;" /stypes=""app*"&amp;PGR28&amp;"*"&amp;TEXT(PGY28-utc_offset/24,"YYYYMMDD")&amp;"*"" /stext="" "&amp;TEXT(PGY28-utc_offset/24,"HH")&amp;search_regexp&amp;""""</f>
        <v>#VALUE!</v>
      </c>
      <c r="PHW28" s="234" t="e">
        <f>astrogrep_path&amp;" /e /r /s /spath="&amp;search_path&amp;" /stypes=""app*"&amp;PGS28&amp;"*"&amp;TEXT(PGZ28-utc_offset/24,"YYYYMMDD")&amp;"*"" /stext="" "&amp;TEXT(PGZ28-utc_offset/24,"HH")&amp;search_regexp&amp;""""</f>
        <v>#VALUE!</v>
      </c>
      <c r="PHX28" s="234" t="e">
        <f>astrogrep_path&amp;" /e /r /s /spath="&amp;search_path&amp;" /stypes=""app*"&amp;PGT28&amp;"*"&amp;TEXT(PHA28-utc_offset/24,"YYYYMMDD")&amp;"*"" /stext="" "&amp;TEXT(PHA28-utc_offset/24,"HH")&amp;search_regexp&amp;""""</f>
        <v>#VALUE!</v>
      </c>
      <c r="PHY28" s="234" t="e">
        <f>astrogrep_path&amp;" /e /r /s /spath="&amp;search_path&amp;" /stypes=""app*"&amp;PGU28&amp;"*"&amp;TEXT(PHB28-utc_offset/24,"YYYYMMDD")&amp;"*"" /stext="" "&amp;TEXT(PHB28-utc_offset/24,"HH")&amp;search_regexp&amp;""""</f>
        <v>#VALUE!</v>
      </c>
      <c r="PHZ28" s="234" t="e">
        <f>astrogrep_path&amp;" /e /r /s /spath="&amp;search_path&amp;" /stypes=""app*"&amp;PGV28&amp;"*"&amp;TEXT(PHC28-utc_offset/24,"YYYYMMDD")&amp;"*"" /stext="" "&amp;TEXT(PHC28-utc_offset/24,"HH")&amp;search_regexp&amp;""""</f>
        <v>#REF!</v>
      </c>
      <c r="PIA28" s="234" t="e">
        <f>astrogrep_path&amp;" /e /r /s /spath="&amp;search_path&amp;" /stypes=""app*"&amp;PGW28&amp;"*"&amp;TEXT(PHD28-utc_offset/24,"YYYYMMDD")&amp;"*"" /stext="" "&amp;TEXT(PHD28-utc_offset/24,"HH")&amp;search_regexp&amp;""""</f>
        <v>#REF!</v>
      </c>
      <c r="PIB28" s="234" t="e">
        <f>astrogrep_path&amp;" /e /r /s /spath="&amp;search_path&amp;" /stypes=""app*"&amp;PGX28&amp;"*"&amp;TEXT(PHE28-utc_offset/24,"YYYYMMDD")&amp;"*"" /stext="" "&amp;TEXT(PHE28-utc_offset/24,"HH")&amp;search_regexp&amp;""""</f>
        <v>#REF!</v>
      </c>
      <c r="PIC28" s="234" t="e">
        <f>astrogrep_path&amp;" /e /r /s /spath="&amp;search_path&amp;" /stypes=""app*"&amp;PGY28&amp;"*"&amp;TEXT(PHF28-utc_offset/24,"YYYYMMDD")&amp;"*"" /stext="" "&amp;TEXT(PHF28-utc_offset/24,"HH")&amp;search_regexp&amp;""""</f>
        <v>#REF!</v>
      </c>
      <c r="PID28" s="234" t="e">
        <f>astrogrep_path&amp;" /e /r /s /spath="&amp;search_path&amp;" /stypes=""app*"&amp;PGZ28&amp;"*"&amp;TEXT(PHG28-utc_offset/24,"YYYYMMDD")&amp;"*"" /stext="" "&amp;TEXT(PHG28-utc_offset/24,"HH")&amp;search_regexp&amp;""""</f>
        <v>#REF!</v>
      </c>
      <c r="PIE28" s="234" t="e">
        <f>astrogrep_path&amp;" /e /r /s /spath="&amp;search_path&amp;" /stypes=""app*"&amp;PHA28&amp;"*"&amp;TEXT(PHH28-utc_offset/24,"YYYYMMDD")&amp;"*"" /stext="" "&amp;TEXT(PHH28-utc_offset/24,"HH")&amp;search_regexp&amp;""""</f>
        <v>#REF!</v>
      </c>
      <c r="PIF28" s="234" t="e">
        <f>astrogrep_path&amp;" /e /r /s /spath="&amp;search_path&amp;" /stypes=""app*"&amp;PHB28&amp;"*"&amp;TEXT(PHI28-utc_offset/24,"YYYYMMDD")&amp;"*"" /stext="" "&amp;TEXT(PHI28-utc_offset/24,"HH")&amp;search_regexp&amp;""""</f>
        <v>#REF!</v>
      </c>
      <c r="PIG28" s="234" t="e">
        <f>astrogrep_path&amp;" /e /r /s /spath="&amp;search_path&amp;" /stypes=""app*"&amp;PHC28&amp;"*"&amp;TEXT(PHJ28-utc_offset/24,"YYYYMMDD")&amp;"*"" /stext="" "&amp;TEXT(PHJ28-utc_offset/24,"HH")&amp;search_regexp&amp;""""</f>
        <v>#REF!</v>
      </c>
      <c r="PIH28" s="234" t="e">
        <f>astrogrep_path&amp;" /e /r /s /spath="&amp;search_path&amp;" /stypes=""app*"&amp;PHD28&amp;"*"&amp;TEXT(PHK28-utc_offset/24,"YYYYMMDD")&amp;"*"" /stext="" "&amp;TEXT(PHK28-utc_offset/24,"HH")&amp;search_regexp&amp;""""</f>
        <v>#REF!</v>
      </c>
      <c r="PII28" s="234" t="e">
        <f>astrogrep_path&amp;" /e /r /s /spath="&amp;search_path&amp;" /stypes=""app*"&amp;PHE28&amp;"*"&amp;TEXT(PHL28-utc_offset/24,"YYYYMMDD")&amp;"*"" /stext="" "&amp;TEXT(PHL28-utc_offset/24,"HH")&amp;search_regexp&amp;""""</f>
        <v>#REF!</v>
      </c>
      <c r="PIJ28" s="234" t="e">
        <f>astrogrep_path&amp;" /e /r /s /spath="&amp;search_path&amp;" /stypes=""app*"&amp;PHF28&amp;"*"&amp;TEXT(PHM28-utc_offset/24,"YYYYMMDD")&amp;"*"" /stext="" "&amp;TEXT(PHM28-utc_offset/24,"HH")&amp;search_regexp&amp;""""</f>
        <v>#REF!</v>
      </c>
      <c r="PIK28" s="234" t="e">
        <f>astrogrep_path&amp;" /e /r /s /spath="&amp;search_path&amp;" /stypes=""app*"&amp;PHG28&amp;"*"&amp;TEXT(PHN28-utc_offset/24,"YYYYMMDD")&amp;"*"" /stext="" "&amp;TEXT(PHN28-utc_offset/24,"HH")&amp;search_regexp&amp;""""</f>
        <v>#REF!</v>
      </c>
      <c r="PIL28" s="234" t="e">
        <f>astrogrep_path&amp;" /e /r /s /spath="&amp;search_path&amp;" /stypes=""app*"&amp;PHH28&amp;"*"&amp;TEXT(PHO28-utc_offset/24,"YYYYMMDD")&amp;"*"" /stext="" "&amp;TEXT(PHO28-utc_offset/24,"HH")&amp;search_regexp&amp;""""</f>
        <v>#REF!</v>
      </c>
      <c r="PIM28" s="234" t="e">
        <f>astrogrep_path&amp;" /e /r /s /spath="&amp;search_path&amp;" /stypes=""app*"&amp;PHI28&amp;"*"&amp;TEXT(PHP28-utc_offset/24,"YYYYMMDD")&amp;"*"" /stext="" "&amp;TEXT(PHP28-utc_offset/24,"HH")&amp;search_regexp&amp;""""</f>
        <v>#REF!</v>
      </c>
      <c r="PIN28" s="234" t="e">
        <f>astrogrep_path&amp;" /e /r /s /spath="&amp;search_path&amp;" /stypes=""app*"&amp;PHJ28&amp;"*"&amp;TEXT(PHQ28-utc_offset/24,"YYYYMMDD")&amp;"*"" /stext="" "&amp;TEXT(PHQ28-utc_offset/24,"HH")&amp;search_regexp&amp;""""</f>
        <v>#REF!</v>
      </c>
      <c r="PIO28" s="234" t="e">
        <f>astrogrep_path&amp;" /e /r /s /spath="&amp;search_path&amp;" /stypes=""app*"&amp;PHK28&amp;"*"&amp;TEXT(PHR28-utc_offset/24,"YYYYMMDD")&amp;"*"" /stext="" "&amp;TEXT(PHR28-utc_offset/24,"HH")&amp;search_regexp&amp;""""</f>
        <v>#REF!</v>
      </c>
      <c r="PIP28" s="234" t="e">
        <f>astrogrep_path&amp;" /e /r /s /spath="&amp;search_path&amp;" /stypes=""app*"&amp;PHL28&amp;"*"&amp;TEXT(PHS28-utc_offset/24,"YYYYMMDD")&amp;"*"" /stext="" "&amp;TEXT(PHS28-utc_offset/24,"HH")&amp;search_regexp&amp;""""</f>
        <v>#REF!</v>
      </c>
      <c r="PIQ28" s="234" t="e">
        <f>astrogrep_path&amp;" /e /r /s /spath="&amp;search_path&amp;" /stypes=""app*"&amp;PHM28&amp;"*"&amp;TEXT(PHT28-utc_offset/24,"YYYYMMDD")&amp;"*"" /stext="" "&amp;TEXT(PHT28-utc_offset/24,"HH")&amp;search_regexp&amp;""""</f>
        <v>#REF!</v>
      </c>
      <c r="PIR28" s="234" t="e">
        <f>astrogrep_path&amp;" /e /r /s /spath="&amp;search_path&amp;" /stypes=""app*"&amp;PHN28&amp;"*"&amp;TEXT(PHU28-utc_offset/24,"YYYYMMDD")&amp;"*"" /stext="" "&amp;TEXT(PHU28-utc_offset/24,"HH")&amp;search_regexp&amp;""""</f>
        <v>#REF!</v>
      </c>
      <c r="PIS28" s="234" t="e">
        <f>astrogrep_path&amp;" /e /r /s /spath="&amp;search_path&amp;" /stypes=""app*"&amp;PHO28&amp;"*"&amp;TEXT(PHV28-utc_offset/24,"YYYYMMDD")&amp;"*"" /stext="" "&amp;TEXT(PHV28-utc_offset/24,"HH")&amp;search_regexp&amp;""""</f>
        <v>#REF!</v>
      </c>
      <c r="PIT28" s="234" t="e">
        <f>astrogrep_path&amp;" /e /r /s /spath="&amp;search_path&amp;" /stypes=""app*"&amp;PHP28&amp;"*"&amp;TEXT(PHW28-utc_offset/24,"YYYYMMDD")&amp;"*"" /stext="" "&amp;TEXT(PHW28-utc_offset/24,"HH")&amp;search_regexp&amp;""""</f>
        <v>#REF!</v>
      </c>
      <c r="PIU28" s="234" t="e">
        <f>astrogrep_path&amp;" /e /r /s /spath="&amp;search_path&amp;" /stypes=""app*"&amp;PHQ28&amp;"*"&amp;TEXT(PHX28-utc_offset/24,"YYYYMMDD")&amp;"*"" /stext="" "&amp;TEXT(PHX28-utc_offset/24,"HH")&amp;search_regexp&amp;""""</f>
        <v>#VALUE!</v>
      </c>
      <c r="PIV28" s="234" t="e">
        <f>astrogrep_path&amp;" /e /r /s /spath="&amp;search_path&amp;" /stypes=""app*"&amp;PHR28&amp;"*"&amp;TEXT(PHY28-utc_offset/24,"YYYYMMDD")&amp;"*"" /stext="" "&amp;TEXT(PHY28-utc_offset/24,"HH")&amp;search_regexp&amp;""""</f>
        <v>#VALUE!</v>
      </c>
      <c r="PIW28" s="234" t="e">
        <f>astrogrep_path&amp;" /e /r /s /spath="&amp;search_path&amp;" /stypes=""app*"&amp;PHS28&amp;"*"&amp;TEXT(PHZ28-utc_offset/24,"YYYYMMDD")&amp;"*"" /stext="" "&amp;TEXT(PHZ28-utc_offset/24,"HH")&amp;search_regexp&amp;""""</f>
        <v>#REF!</v>
      </c>
      <c r="PIX28" s="234" t="e">
        <f>astrogrep_path&amp;" /e /r /s /spath="&amp;search_path&amp;" /stypes=""app*"&amp;PHT28&amp;"*"&amp;TEXT(PIA28-utc_offset/24,"YYYYMMDD")&amp;"*"" /stext="" "&amp;TEXT(PIA28-utc_offset/24,"HH")&amp;search_regexp&amp;""""</f>
        <v>#REF!</v>
      </c>
      <c r="PIY28" s="234" t="e">
        <f>astrogrep_path&amp;" /e /r /s /spath="&amp;search_path&amp;" /stypes=""app*"&amp;PHU28&amp;"*"&amp;TEXT(PIB28-utc_offset/24,"YYYYMMDD")&amp;"*"" /stext="" "&amp;TEXT(PIB28-utc_offset/24,"HH")&amp;search_regexp&amp;""""</f>
        <v>#VALUE!</v>
      </c>
      <c r="PIZ28" s="234" t="e">
        <f>astrogrep_path&amp;" /e /r /s /spath="&amp;search_path&amp;" /stypes=""app*"&amp;PHV28&amp;"*"&amp;TEXT(PIC28-utc_offset/24,"YYYYMMDD")&amp;"*"" /stext="" "&amp;TEXT(PIC28-utc_offset/24,"HH")&amp;search_regexp&amp;""""</f>
        <v>#VALUE!</v>
      </c>
      <c r="PJA28" s="234" t="e">
        <f>astrogrep_path&amp;" /e /r /s /spath="&amp;search_path&amp;" /stypes=""app*"&amp;PHW28&amp;"*"&amp;TEXT(PID28-utc_offset/24,"YYYYMMDD")&amp;"*"" /stext="" "&amp;TEXT(PID28-utc_offset/24,"HH")&amp;search_regexp&amp;""""</f>
        <v>#VALUE!</v>
      </c>
      <c r="PJB28" s="234" t="e">
        <f>astrogrep_path&amp;" /e /r /s /spath="&amp;search_path&amp;" /stypes=""app*"&amp;PHX28&amp;"*"&amp;TEXT(PIE28-utc_offset/24,"YYYYMMDD")&amp;"*"" /stext="" "&amp;TEXT(PIE28-utc_offset/24,"HH")&amp;search_regexp&amp;""""</f>
        <v>#VALUE!</v>
      </c>
      <c r="PJC28" s="234" t="e">
        <f>astrogrep_path&amp;" /e /r /s /spath="&amp;search_path&amp;" /stypes=""app*"&amp;PHY28&amp;"*"&amp;TEXT(PIF28-utc_offset/24,"YYYYMMDD")&amp;"*"" /stext="" "&amp;TEXT(PIF28-utc_offset/24,"HH")&amp;search_regexp&amp;""""</f>
        <v>#VALUE!</v>
      </c>
      <c r="PJD28" s="234" t="e">
        <f>astrogrep_path&amp;" /e /r /s /spath="&amp;search_path&amp;" /stypes=""app*"&amp;PHZ28&amp;"*"&amp;TEXT(PIG28-utc_offset/24,"YYYYMMDD")&amp;"*"" /stext="" "&amp;TEXT(PIG28-utc_offset/24,"HH")&amp;search_regexp&amp;""""</f>
        <v>#REF!</v>
      </c>
      <c r="PJE28" s="234" t="e">
        <f>astrogrep_path&amp;" /e /r /s /spath="&amp;search_path&amp;" /stypes=""app*"&amp;PIA28&amp;"*"&amp;TEXT(PIH28-utc_offset/24,"YYYYMMDD")&amp;"*"" /stext="" "&amp;TEXT(PIH28-utc_offset/24,"HH")&amp;search_regexp&amp;""""</f>
        <v>#REF!</v>
      </c>
      <c r="PJF28" s="234" t="e">
        <f>astrogrep_path&amp;" /e /r /s /spath="&amp;search_path&amp;" /stypes=""app*"&amp;PIB28&amp;"*"&amp;TEXT(PII28-utc_offset/24,"YYYYMMDD")&amp;"*"" /stext="" "&amp;TEXT(PII28-utc_offset/24,"HH")&amp;search_regexp&amp;""""</f>
        <v>#REF!</v>
      </c>
      <c r="PJG28" s="234" t="e">
        <f>astrogrep_path&amp;" /e /r /s /spath="&amp;search_path&amp;" /stypes=""app*"&amp;PIC28&amp;"*"&amp;TEXT(PIJ28-utc_offset/24,"YYYYMMDD")&amp;"*"" /stext="" "&amp;TEXT(PIJ28-utc_offset/24,"HH")&amp;search_regexp&amp;""""</f>
        <v>#REF!</v>
      </c>
      <c r="PJH28" s="234" t="e">
        <f>astrogrep_path&amp;" /e /r /s /spath="&amp;search_path&amp;" /stypes=""app*"&amp;PID28&amp;"*"&amp;TEXT(PIK28-utc_offset/24,"YYYYMMDD")&amp;"*"" /stext="" "&amp;TEXT(PIK28-utc_offset/24,"HH")&amp;search_regexp&amp;""""</f>
        <v>#REF!</v>
      </c>
      <c r="PJI28" s="234" t="e">
        <f>astrogrep_path&amp;" /e /r /s /spath="&amp;search_path&amp;" /stypes=""app*"&amp;PIE28&amp;"*"&amp;TEXT(PIL28-utc_offset/24,"YYYYMMDD")&amp;"*"" /stext="" "&amp;TEXT(PIL28-utc_offset/24,"HH")&amp;search_regexp&amp;""""</f>
        <v>#REF!</v>
      </c>
      <c r="PJJ28" s="234" t="e">
        <f>astrogrep_path&amp;" /e /r /s /spath="&amp;search_path&amp;" /stypes=""app*"&amp;PIF28&amp;"*"&amp;TEXT(PIM28-utc_offset/24,"YYYYMMDD")&amp;"*"" /stext="" "&amp;TEXT(PIM28-utc_offset/24,"HH")&amp;search_regexp&amp;""""</f>
        <v>#REF!</v>
      </c>
      <c r="PJK28" s="234" t="e">
        <f>astrogrep_path&amp;" /e /r /s /spath="&amp;search_path&amp;" /stypes=""app*"&amp;PIG28&amp;"*"&amp;TEXT(PIN28-utc_offset/24,"YYYYMMDD")&amp;"*"" /stext="" "&amp;TEXT(PIN28-utc_offset/24,"HH")&amp;search_regexp&amp;""""</f>
        <v>#REF!</v>
      </c>
      <c r="PJL28" s="234" t="e">
        <f>astrogrep_path&amp;" /e /r /s /spath="&amp;search_path&amp;" /stypes=""app*"&amp;PIH28&amp;"*"&amp;TEXT(PIO28-utc_offset/24,"YYYYMMDD")&amp;"*"" /stext="" "&amp;TEXT(PIO28-utc_offset/24,"HH")&amp;search_regexp&amp;""""</f>
        <v>#REF!</v>
      </c>
      <c r="PJM28" s="234" t="e">
        <f>astrogrep_path&amp;" /e /r /s /spath="&amp;search_path&amp;" /stypes=""app*"&amp;PII28&amp;"*"&amp;TEXT(PIP28-utc_offset/24,"YYYYMMDD")&amp;"*"" /stext="" "&amp;TEXT(PIP28-utc_offset/24,"HH")&amp;search_regexp&amp;""""</f>
        <v>#REF!</v>
      </c>
      <c r="PJN28" s="234" t="e">
        <f>astrogrep_path&amp;" /e /r /s /spath="&amp;search_path&amp;" /stypes=""app*"&amp;PIJ28&amp;"*"&amp;TEXT(PIQ28-utc_offset/24,"YYYYMMDD")&amp;"*"" /stext="" "&amp;TEXT(PIQ28-utc_offset/24,"HH")&amp;search_regexp&amp;""""</f>
        <v>#REF!</v>
      </c>
      <c r="PJO28" s="234" t="e">
        <f>astrogrep_path&amp;" /e /r /s /spath="&amp;search_path&amp;" /stypes=""app*"&amp;PIK28&amp;"*"&amp;TEXT(PIR28-utc_offset/24,"YYYYMMDD")&amp;"*"" /stext="" "&amp;TEXT(PIR28-utc_offset/24,"HH")&amp;search_regexp&amp;""""</f>
        <v>#REF!</v>
      </c>
      <c r="PJP28" s="234" t="e">
        <f>astrogrep_path&amp;" /e /r /s /spath="&amp;search_path&amp;" /stypes=""app*"&amp;PIL28&amp;"*"&amp;TEXT(PIS28-utc_offset/24,"YYYYMMDD")&amp;"*"" /stext="" "&amp;TEXT(PIS28-utc_offset/24,"HH")&amp;search_regexp&amp;""""</f>
        <v>#REF!</v>
      </c>
      <c r="PJQ28" s="234" t="e">
        <f>astrogrep_path&amp;" /e /r /s /spath="&amp;search_path&amp;" /stypes=""app*"&amp;PIM28&amp;"*"&amp;TEXT(PIT28-utc_offset/24,"YYYYMMDD")&amp;"*"" /stext="" "&amp;TEXT(PIT28-utc_offset/24,"HH")&amp;search_regexp&amp;""""</f>
        <v>#REF!</v>
      </c>
      <c r="PJR28" s="234" t="e">
        <f>astrogrep_path&amp;" /e /r /s /spath="&amp;search_path&amp;" /stypes=""app*"&amp;PIN28&amp;"*"&amp;TEXT(PIU28-utc_offset/24,"YYYYMMDD")&amp;"*"" /stext="" "&amp;TEXT(PIU28-utc_offset/24,"HH")&amp;search_regexp&amp;""""</f>
        <v>#REF!</v>
      </c>
      <c r="PJS28" s="234" t="e">
        <f>astrogrep_path&amp;" /e /r /s /spath="&amp;search_path&amp;" /stypes=""app*"&amp;PIO28&amp;"*"&amp;TEXT(PIV28-utc_offset/24,"YYYYMMDD")&amp;"*"" /stext="" "&amp;TEXT(PIV28-utc_offset/24,"HH")&amp;search_regexp&amp;""""</f>
        <v>#REF!</v>
      </c>
      <c r="PJT28" s="234" t="e">
        <f>astrogrep_path&amp;" /e /r /s /spath="&amp;search_path&amp;" /stypes=""app*"&amp;PIP28&amp;"*"&amp;TEXT(PIW28-utc_offset/24,"YYYYMMDD")&amp;"*"" /stext="" "&amp;TEXT(PIW28-utc_offset/24,"HH")&amp;search_regexp&amp;""""</f>
        <v>#REF!</v>
      </c>
      <c r="PJU28" s="234" t="e">
        <f>astrogrep_path&amp;" /e /r /s /spath="&amp;search_path&amp;" /stypes=""app*"&amp;PIQ28&amp;"*"&amp;TEXT(PIX28-utc_offset/24,"YYYYMMDD")&amp;"*"" /stext="" "&amp;TEXT(PIX28-utc_offset/24,"HH")&amp;search_regexp&amp;""""</f>
        <v>#REF!</v>
      </c>
      <c r="PJV28" s="234" t="e">
        <f>astrogrep_path&amp;" /e /r /s /spath="&amp;search_path&amp;" /stypes=""app*"&amp;PIR28&amp;"*"&amp;TEXT(PIY28-utc_offset/24,"YYYYMMDD")&amp;"*"" /stext="" "&amp;TEXT(PIY28-utc_offset/24,"HH")&amp;search_regexp&amp;""""</f>
        <v>#REF!</v>
      </c>
      <c r="PJW28" s="234" t="e">
        <f>astrogrep_path&amp;" /e /r /s /spath="&amp;search_path&amp;" /stypes=""app*"&amp;PIS28&amp;"*"&amp;TEXT(PIZ28-utc_offset/24,"YYYYMMDD")&amp;"*"" /stext="" "&amp;TEXT(PIZ28-utc_offset/24,"HH")&amp;search_regexp&amp;""""</f>
        <v>#REF!</v>
      </c>
      <c r="PJX28" s="234" t="e">
        <f>astrogrep_path&amp;" /e /r /s /spath="&amp;search_path&amp;" /stypes=""app*"&amp;PIT28&amp;"*"&amp;TEXT(PJA28-utc_offset/24,"YYYYMMDD")&amp;"*"" /stext="" "&amp;TEXT(PJA28-utc_offset/24,"HH")&amp;search_regexp&amp;""""</f>
        <v>#REF!</v>
      </c>
      <c r="PJY28" s="234" t="e">
        <f>astrogrep_path&amp;" /e /r /s /spath="&amp;search_path&amp;" /stypes=""app*"&amp;PIU28&amp;"*"&amp;TEXT(PJB28-utc_offset/24,"YYYYMMDD")&amp;"*"" /stext="" "&amp;TEXT(PJB28-utc_offset/24,"HH")&amp;search_regexp&amp;""""</f>
        <v>#VALUE!</v>
      </c>
      <c r="PJZ28" s="234" t="e">
        <f>astrogrep_path&amp;" /e /r /s /spath="&amp;search_path&amp;" /stypes=""app*"&amp;PIV28&amp;"*"&amp;TEXT(PJC28-utc_offset/24,"YYYYMMDD")&amp;"*"" /stext="" "&amp;TEXT(PJC28-utc_offset/24,"HH")&amp;search_regexp&amp;""""</f>
        <v>#VALUE!</v>
      </c>
      <c r="PKA28" s="234" t="e">
        <f>astrogrep_path&amp;" /e /r /s /spath="&amp;search_path&amp;" /stypes=""app*"&amp;PIW28&amp;"*"&amp;TEXT(PJD28-utc_offset/24,"YYYYMMDD")&amp;"*"" /stext="" "&amp;TEXT(PJD28-utc_offset/24,"HH")&amp;search_regexp&amp;""""</f>
        <v>#REF!</v>
      </c>
      <c r="PKB28" s="234" t="e">
        <f>astrogrep_path&amp;" /e /r /s /spath="&amp;search_path&amp;" /stypes=""app*"&amp;PIX28&amp;"*"&amp;TEXT(PJE28-utc_offset/24,"YYYYMMDD")&amp;"*"" /stext="" "&amp;TEXT(PJE28-utc_offset/24,"HH")&amp;search_regexp&amp;""""</f>
        <v>#REF!</v>
      </c>
      <c r="PKC28" s="234" t="e">
        <f>astrogrep_path&amp;" /e /r /s /spath="&amp;search_path&amp;" /stypes=""app*"&amp;PIY28&amp;"*"&amp;TEXT(PJF28-utc_offset/24,"YYYYMMDD")&amp;"*"" /stext="" "&amp;TEXT(PJF28-utc_offset/24,"HH")&amp;search_regexp&amp;""""</f>
        <v>#VALUE!</v>
      </c>
      <c r="PKD28" s="234" t="e">
        <f>astrogrep_path&amp;" /e /r /s /spath="&amp;search_path&amp;" /stypes=""app*"&amp;PIZ28&amp;"*"&amp;TEXT(PJG28-utc_offset/24,"YYYYMMDD")&amp;"*"" /stext="" "&amp;TEXT(PJG28-utc_offset/24,"HH")&amp;search_regexp&amp;""""</f>
        <v>#VALUE!</v>
      </c>
      <c r="PKE28" s="234" t="e">
        <f>astrogrep_path&amp;" /e /r /s /spath="&amp;search_path&amp;" /stypes=""app*"&amp;PJA28&amp;"*"&amp;TEXT(PJH28-utc_offset/24,"YYYYMMDD")&amp;"*"" /stext="" "&amp;TEXT(PJH28-utc_offset/24,"HH")&amp;search_regexp&amp;""""</f>
        <v>#VALUE!</v>
      </c>
      <c r="PKF28" s="234" t="e">
        <f>astrogrep_path&amp;" /e /r /s /spath="&amp;search_path&amp;" /stypes=""app*"&amp;PJB28&amp;"*"&amp;TEXT(PJI28-utc_offset/24,"YYYYMMDD")&amp;"*"" /stext="" "&amp;TEXT(PJI28-utc_offset/24,"HH")&amp;search_regexp&amp;""""</f>
        <v>#VALUE!</v>
      </c>
      <c r="PKG28" s="234" t="e">
        <f>astrogrep_path&amp;" /e /r /s /spath="&amp;search_path&amp;" /stypes=""app*"&amp;PJC28&amp;"*"&amp;TEXT(PJJ28-utc_offset/24,"YYYYMMDD")&amp;"*"" /stext="" "&amp;TEXT(PJJ28-utc_offset/24,"HH")&amp;search_regexp&amp;""""</f>
        <v>#VALUE!</v>
      </c>
      <c r="PKH28" s="234" t="e">
        <f>astrogrep_path&amp;" /e /r /s /spath="&amp;search_path&amp;" /stypes=""app*"&amp;PJD28&amp;"*"&amp;TEXT(PJK28-utc_offset/24,"YYYYMMDD")&amp;"*"" /stext="" "&amp;TEXT(PJK28-utc_offset/24,"HH")&amp;search_regexp&amp;""""</f>
        <v>#REF!</v>
      </c>
      <c r="PKI28" s="234" t="e">
        <f>astrogrep_path&amp;" /e /r /s /spath="&amp;search_path&amp;" /stypes=""app*"&amp;PJE28&amp;"*"&amp;TEXT(PJL28-utc_offset/24,"YYYYMMDD")&amp;"*"" /stext="" "&amp;TEXT(PJL28-utc_offset/24,"HH")&amp;search_regexp&amp;""""</f>
        <v>#REF!</v>
      </c>
      <c r="PKJ28" s="234" t="e">
        <f>astrogrep_path&amp;" /e /r /s /spath="&amp;search_path&amp;" /stypes=""app*"&amp;PJF28&amp;"*"&amp;TEXT(PJM28-utc_offset/24,"YYYYMMDD")&amp;"*"" /stext="" "&amp;TEXT(PJM28-utc_offset/24,"HH")&amp;search_regexp&amp;""""</f>
        <v>#REF!</v>
      </c>
      <c r="PKK28" s="234" t="e">
        <f>astrogrep_path&amp;" /e /r /s /spath="&amp;search_path&amp;" /stypes=""app*"&amp;PJG28&amp;"*"&amp;TEXT(PJN28-utc_offset/24,"YYYYMMDD")&amp;"*"" /stext="" "&amp;TEXT(PJN28-utc_offset/24,"HH")&amp;search_regexp&amp;""""</f>
        <v>#REF!</v>
      </c>
      <c r="PKL28" s="234" t="e">
        <f>astrogrep_path&amp;" /e /r /s /spath="&amp;search_path&amp;" /stypes=""app*"&amp;PJH28&amp;"*"&amp;TEXT(PJO28-utc_offset/24,"YYYYMMDD")&amp;"*"" /stext="" "&amp;TEXT(PJO28-utc_offset/24,"HH")&amp;search_regexp&amp;""""</f>
        <v>#REF!</v>
      </c>
      <c r="PKM28" s="234" t="e">
        <f>astrogrep_path&amp;" /e /r /s /spath="&amp;search_path&amp;" /stypes=""app*"&amp;PJI28&amp;"*"&amp;TEXT(PJP28-utc_offset/24,"YYYYMMDD")&amp;"*"" /stext="" "&amp;TEXT(PJP28-utc_offset/24,"HH")&amp;search_regexp&amp;""""</f>
        <v>#REF!</v>
      </c>
      <c r="PKN28" s="234" t="e">
        <f>astrogrep_path&amp;" /e /r /s /spath="&amp;search_path&amp;" /stypes=""app*"&amp;PJJ28&amp;"*"&amp;TEXT(PJQ28-utc_offset/24,"YYYYMMDD")&amp;"*"" /stext="" "&amp;TEXT(PJQ28-utc_offset/24,"HH")&amp;search_regexp&amp;""""</f>
        <v>#REF!</v>
      </c>
      <c r="PKO28" s="234" t="e">
        <f>astrogrep_path&amp;" /e /r /s /spath="&amp;search_path&amp;" /stypes=""app*"&amp;PJK28&amp;"*"&amp;TEXT(PJR28-utc_offset/24,"YYYYMMDD")&amp;"*"" /stext="" "&amp;TEXT(PJR28-utc_offset/24,"HH")&amp;search_regexp&amp;""""</f>
        <v>#REF!</v>
      </c>
      <c r="PKP28" s="234" t="e">
        <f>astrogrep_path&amp;" /e /r /s /spath="&amp;search_path&amp;" /stypes=""app*"&amp;PJL28&amp;"*"&amp;TEXT(PJS28-utc_offset/24,"YYYYMMDD")&amp;"*"" /stext="" "&amp;TEXT(PJS28-utc_offset/24,"HH")&amp;search_regexp&amp;""""</f>
        <v>#REF!</v>
      </c>
      <c r="PKQ28" s="234" t="e">
        <f>astrogrep_path&amp;" /e /r /s /spath="&amp;search_path&amp;" /stypes=""app*"&amp;PJM28&amp;"*"&amp;TEXT(PJT28-utc_offset/24,"YYYYMMDD")&amp;"*"" /stext="" "&amp;TEXT(PJT28-utc_offset/24,"HH")&amp;search_regexp&amp;""""</f>
        <v>#REF!</v>
      </c>
      <c r="PKR28" s="234" t="e">
        <f>astrogrep_path&amp;" /e /r /s /spath="&amp;search_path&amp;" /stypes=""app*"&amp;PJN28&amp;"*"&amp;TEXT(PJU28-utc_offset/24,"YYYYMMDD")&amp;"*"" /stext="" "&amp;TEXT(PJU28-utc_offset/24,"HH")&amp;search_regexp&amp;""""</f>
        <v>#REF!</v>
      </c>
      <c r="PKS28" s="234" t="e">
        <f>astrogrep_path&amp;" /e /r /s /spath="&amp;search_path&amp;" /stypes=""app*"&amp;PJO28&amp;"*"&amp;TEXT(PJV28-utc_offset/24,"YYYYMMDD")&amp;"*"" /stext="" "&amp;TEXT(PJV28-utc_offset/24,"HH")&amp;search_regexp&amp;""""</f>
        <v>#REF!</v>
      </c>
      <c r="PKT28" s="234" t="e">
        <f>astrogrep_path&amp;" /e /r /s /spath="&amp;search_path&amp;" /stypes=""app*"&amp;PJP28&amp;"*"&amp;TEXT(PJW28-utc_offset/24,"YYYYMMDD")&amp;"*"" /stext="" "&amp;TEXT(PJW28-utc_offset/24,"HH")&amp;search_regexp&amp;""""</f>
        <v>#REF!</v>
      </c>
      <c r="PKU28" s="234" t="e">
        <f>astrogrep_path&amp;" /e /r /s /spath="&amp;search_path&amp;" /stypes=""app*"&amp;PJQ28&amp;"*"&amp;TEXT(PJX28-utc_offset/24,"YYYYMMDD")&amp;"*"" /stext="" "&amp;TEXT(PJX28-utc_offset/24,"HH")&amp;search_regexp&amp;""""</f>
        <v>#REF!</v>
      </c>
      <c r="PKV28" s="234" t="e">
        <f>astrogrep_path&amp;" /e /r /s /spath="&amp;search_path&amp;" /stypes=""app*"&amp;PJR28&amp;"*"&amp;TEXT(PJY28-utc_offset/24,"YYYYMMDD")&amp;"*"" /stext="" "&amp;TEXT(PJY28-utc_offset/24,"HH")&amp;search_regexp&amp;""""</f>
        <v>#REF!</v>
      </c>
      <c r="PKW28" s="234" t="e">
        <f>astrogrep_path&amp;" /e /r /s /spath="&amp;search_path&amp;" /stypes=""app*"&amp;PJS28&amp;"*"&amp;TEXT(PJZ28-utc_offset/24,"YYYYMMDD")&amp;"*"" /stext="" "&amp;TEXT(PJZ28-utc_offset/24,"HH")&amp;search_regexp&amp;""""</f>
        <v>#REF!</v>
      </c>
      <c r="PKX28" s="234" t="e">
        <f>astrogrep_path&amp;" /e /r /s /spath="&amp;search_path&amp;" /stypes=""app*"&amp;PJT28&amp;"*"&amp;TEXT(PKA28-utc_offset/24,"YYYYMMDD")&amp;"*"" /stext="" "&amp;TEXT(PKA28-utc_offset/24,"HH")&amp;search_regexp&amp;""""</f>
        <v>#REF!</v>
      </c>
      <c r="PKY28" s="234" t="e">
        <f>astrogrep_path&amp;" /e /r /s /spath="&amp;search_path&amp;" /stypes=""app*"&amp;PJU28&amp;"*"&amp;TEXT(PKB28-utc_offset/24,"YYYYMMDD")&amp;"*"" /stext="" "&amp;TEXT(PKB28-utc_offset/24,"HH")&amp;search_regexp&amp;""""</f>
        <v>#REF!</v>
      </c>
      <c r="PKZ28" s="234" t="e">
        <f>astrogrep_path&amp;" /e /r /s /spath="&amp;search_path&amp;" /stypes=""app*"&amp;PJV28&amp;"*"&amp;TEXT(PKC28-utc_offset/24,"YYYYMMDD")&amp;"*"" /stext="" "&amp;TEXT(PKC28-utc_offset/24,"HH")&amp;search_regexp&amp;""""</f>
        <v>#REF!</v>
      </c>
      <c r="PLA28" s="234" t="e">
        <f>astrogrep_path&amp;" /e /r /s /spath="&amp;search_path&amp;" /stypes=""app*"&amp;PJW28&amp;"*"&amp;TEXT(PKD28-utc_offset/24,"YYYYMMDD")&amp;"*"" /stext="" "&amp;TEXT(PKD28-utc_offset/24,"HH")&amp;search_regexp&amp;""""</f>
        <v>#REF!</v>
      </c>
      <c r="PLB28" s="234" t="e">
        <f>astrogrep_path&amp;" /e /r /s /spath="&amp;search_path&amp;" /stypes=""app*"&amp;PJX28&amp;"*"&amp;TEXT(PKE28-utc_offset/24,"YYYYMMDD")&amp;"*"" /stext="" "&amp;TEXT(PKE28-utc_offset/24,"HH")&amp;search_regexp&amp;""""</f>
        <v>#REF!</v>
      </c>
      <c r="PLC28" s="234" t="e">
        <f>astrogrep_path&amp;" /e /r /s /spath="&amp;search_path&amp;" /stypes=""app*"&amp;PJY28&amp;"*"&amp;TEXT(PKF28-utc_offset/24,"YYYYMMDD")&amp;"*"" /stext="" "&amp;TEXT(PKF28-utc_offset/24,"HH")&amp;search_regexp&amp;""""</f>
        <v>#VALUE!</v>
      </c>
      <c r="PLD28" s="234" t="e">
        <f>astrogrep_path&amp;" /e /r /s /spath="&amp;search_path&amp;" /stypes=""app*"&amp;PJZ28&amp;"*"&amp;TEXT(PKG28-utc_offset/24,"YYYYMMDD")&amp;"*"" /stext="" "&amp;TEXT(PKG28-utc_offset/24,"HH")&amp;search_regexp&amp;""""</f>
        <v>#VALUE!</v>
      </c>
      <c r="PLE28" s="234" t="e">
        <f>astrogrep_path&amp;" /e /r /s /spath="&amp;search_path&amp;" /stypes=""app*"&amp;PKA28&amp;"*"&amp;TEXT(PKH28-utc_offset/24,"YYYYMMDD")&amp;"*"" /stext="" "&amp;TEXT(PKH28-utc_offset/24,"HH")&amp;search_regexp&amp;""""</f>
        <v>#REF!</v>
      </c>
      <c r="PLF28" s="234" t="e">
        <f>astrogrep_path&amp;" /e /r /s /spath="&amp;search_path&amp;" /stypes=""app*"&amp;PKB28&amp;"*"&amp;TEXT(PKI28-utc_offset/24,"YYYYMMDD")&amp;"*"" /stext="" "&amp;TEXT(PKI28-utc_offset/24,"HH")&amp;search_regexp&amp;""""</f>
        <v>#REF!</v>
      </c>
      <c r="PLG28" s="234" t="e">
        <f>astrogrep_path&amp;" /e /r /s /spath="&amp;search_path&amp;" /stypes=""app*"&amp;PKC28&amp;"*"&amp;TEXT(PKJ28-utc_offset/24,"YYYYMMDD")&amp;"*"" /stext="" "&amp;TEXT(PKJ28-utc_offset/24,"HH")&amp;search_regexp&amp;""""</f>
        <v>#VALUE!</v>
      </c>
      <c r="PLH28" s="234" t="e">
        <f>astrogrep_path&amp;" /e /r /s /spath="&amp;search_path&amp;" /stypes=""app*"&amp;PKD28&amp;"*"&amp;TEXT(PKK28-utc_offset/24,"YYYYMMDD")&amp;"*"" /stext="" "&amp;TEXT(PKK28-utc_offset/24,"HH")&amp;search_regexp&amp;""""</f>
        <v>#VALUE!</v>
      </c>
      <c r="PLI28" s="234" t="e">
        <f>astrogrep_path&amp;" /e /r /s /spath="&amp;search_path&amp;" /stypes=""app*"&amp;PKE28&amp;"*"&amp;TEXT(PKL28-utc_offset/24,"YYYYMMDD")&amp;"*"" /stext="" "&amp;TEXT(PKL28-utc_offset/24,"HH")&amp;search_regexp&amp;""""</f>
        <v>#VALUE!</v>
      </c>
      <c r="PLJ28" s="234" t="e">
        <f>astrogrep_path&amp;" /e /r /s /spath="&amp;search_path&amp;" /stypes=""app*"&amp;PKF28&amp;"*"&amp;TEXT(PKM28-utc_offset/24,"YYYYMMDD")&amp;"*"" /stext="" "&amp;TEXT(PKM28-utc_offset/24,"HH")&amp;search_regexp&amp;""""</f>
        <v>#VALUE!</v>
      </c>
      <c r="PLK28" s="234" t="e">
        <f>astrogrep_path&amp;" /e /r /s /spath="&amp;search_path&amp;" /stypes=""app*"&amp;PKG28&amp;"*"&amp;TEXT(PKN28-utc_offset/24,"YYYYMMDD")&amp;"*"" /stext="" "&amp;TEXT(PKN28-utc_offset/24,"HH")&amp;search_regexp&amp;""""</f>
        <v>#VALUE!</v>
      </c>
      <c r="PLL28" s="234" t="e">
        <f>astrogrep_path&amp;" /e /r /s /spath="&amp;search_path&amp;" /stypes=""app*"&amp;PKH28&amp;"*"&amp;TEXT(PKO28-utc_offset/24,"YYYYMMDD")&amp;"*"" /stext="" "&amp;TEXT(PKO28-utc_offset/24,"HH")&amp;search_regexp&amp;""""</f>
        <v>#REF!</v>
      </c>
      <c r="PLM28" s="234" t="e">
        <f>astrogrep_path&amp;" /e /r /s /spath="&amp;search_path&amp;" /stypes=""app*"&amp;PKI28&amp;"*"&amp;TEXT(PKP28-utc_offset/24,"YYYYMMDD")&amp;"*"" /stext="" "&amp;TEXT(PKP28-utc_offset/24,"HH")&amp;search_regexp&amp;""""</f>
        <v>#REF!</v>
      </c>
      <c r="PLN28" s="234" t="e">
        <f>astrogrep_path&amp;" /e /r /s /spath="&amp;search_path&amp;" /stypes=""app*"&amp;PKJ28&amp;"*"&amp;TEXT(PKQ28-utc_offset/24,"YYYYMMDD")&amp;"*"" /stext="" "&amp;TEXT(PKQ28-utc_offset/24,"HH")&amp;search_regexp&amp;""""</f>
        <v>#REF!</v>
      </c>
      <c r="PLO28" s="234" t="e">
        <f>astrogrep_path&amp;" /e /r /s /spath="&amp;search_path&amp;" /stypes=""app*"&amp;PKK28&amp;"*"&amp;TEXT(PKR28-utc_offset/24,"YYYYMMDD")&amp;"*"" /stext="" "&amp;TEXT(PKR28-utc_offset/24,"HH")&amp;search_regexp&amp;""""</f>
        <v>#REF!</v>
      </c>
      <c r="PLP28" s="234" t="e">
        <f>astrogrep_path&amp;" /e /r /s /spath="&amp;search_path&amp;" /stypes=""app*"&amp;PKL28&amp;"*"&amp;TEXT(PKS28-utc_offset/24,"YYYYMMDD")&amp;"*"" /stext="" "&amp;TEXT(PKS28-utc_offset/24,"HH")&amp;search_regexp&amp;""""</f>
        <v>#REF!</v>
      </c>
      <c r="PLQ28" s="234" t="e">
        <f>astrogrep_path&amp;" /e /r /s /spath="&amp;search_path&amp;" /stypes=""app*"&amp;PKM28&amp;"*"&amp;TEXT(PKT28-utc_offset/24,"YYYYMMDD")&amp;"*"" /stext="" "&amp;TEXT(PKT28-utc_offset/24,"HH")&amp;search_regexp&amp;""""</f>
        <v>#REF!</v>
      </c>
      <c r="PLR28" s="234" t="e">
        <f>astrogrep_path&amp;" /e /r /s /spath="&amp;search_path&amp;" /stypes=""app*"&amp;PKN28&amp;"*"&amp;TEXT(PKU28-utc_offset/24,"YYYYMMDD")&amp;"*"" /stext="" "&amp;TEXT(PKU28-utc_offset/24,"HH")&amp;search_regexp&amp;""""</f>
        <v>#REF!</v>
      </c>
      <c r="PLS28" s="234" t="e">
        <f>astrogrep_path&amp;" /e /r /s /spath="&amp;search_path&amp;" /stypes=""app*"&amp;PKO28&amp;"*"&amp;TEXT(PKV28-utc_offset/24,"YYYYMMDD")&amp;"*"" /stext="" "&amp;TEXT(PKV28-utc_offset/24,"HH")&amp;search_regexp&amp;""""</f>
        <v>#REF!</v>
      </c>
      <c r="PLT28" s="234" t="e">
        <f>astrogrep_path&amp;" /e /r /s /spath="&amp;search_path&amp;" /stypes=""app*"&amp;PKP28&amp;"*"&amp;TEXT(PKW28-utc_offset/24,"YYYYMMDD")&amp;"*"" /stext="" "&amp;TEXT(PKW28-utc_offset/24,"HH")&amp;search_regexp&amp;""""</f>
        <v>#REF!</v>
      </c>
      <c r="PLU28" s="234" t="e">
        <f>astrogrep_path&amp;" /e /r /s /spath="&amp;search_path&amp;" /stypes=""app*"&amp;PKQ28&amp;"*"&amp;TEXT(PKX28-utc_offset/24,"YYYYMMDD")&amp;"*"" /stext="" "&amp;TEXT(PKX28-utc_offset/24,"HH")&amp;search_regexp&amp;""""</f>
        <v>#REF!</v>
      </c>
      <c r="PLV28" s="234" t="e">
        <f>astrogrep_path&amp;" /e /r /s /spath="&amp;search_path&amp;" /stypes=""app*"&amp;PKR28&amp;"*"&amp;TEXT(PKY28-utc_offset/24,"YYYYMMDD")&amp;"*"" /stext="" "&amp;TEXT(PKY28-utc_offset/24,"HH")&amp;search_regexp&amp;""""</f>
        <v>#REF!</v>
      </c>
      <c r="PLW28" s="234" t="e">
        <f>astrogrep_path&amp;" /e /r /s /spath="&amp;search_path&amp;" /stypes=""app*"&amp;PKS28&amp;"*"&amp;TEXT(PKZ28-utc_offset/24,"YYYYMMDD")&amp;"*"" /stext="" "&amp;TEXT(PKZ28-utc_offset/24,"HH")&amp;search_regexp&amp;""""</f>
        <v>#REF!</v>
      </c>
      <c r="PLX28" s="234" t="e">
        <f>astrogrep_path&amp;" /e /r /s /spath="&amp;search_path&amp;" /stypes=""app*"&amp;PKT28&amp;"*"&amp;TEXT(PLA28-utc_offset/24,"YYYYMMDD")&amp;"*"" /stext="" "&amp;TEXT(PLA28-utc_offset/24,"HH")&amp;search_regexp&amp;""""</f>
        <v>#REF!</v>
      </c>
      <c r="PLY28" s="234" t="e">
        <f>astrogrep_path&amp;" /e /r /s /spath="&amp;search_path&amp;" /stypes=""app*"&amp;PKU28&amp;"*"&amp;TEXT(PLB28-utc_offset/24,"YYYYMMDD")&amp;"*"" /stext="" "&amp;TEXT(PLB28-utc_offset/24,"HH")&amp;search_regexp&amp;""""</f>
        <v>#REF!</v>
      </c>
      <c r="PLZ28" s="234" t="e">
        <f>astrogrep_path&amp;" /e /r /s /spath="&amp;search_path&amp;" /stypes=""app*"&amp;PKV28&amp;"*"&amp;TEXT(PLC28-utc_offset/24,"YYYYMMDD")&amp;"*"" /stext="" "&amp;TEXT(PLC28-utc_offset/24,"HH")&amp;search_regexp&amp;""""</f>
        <v>#REF!</v>
      </c>
      <c r="PMA28" s="234" t="e">
        <f>astrogrep_path&amp;" /e /r /s /spath="&amp;search_path&amp;" /stypes=""app*"&amp;PKW28&amp;"*"&amp;TEXT(PLD28-utc_offset/24,"YYYYMMDD")&amp;"*"" /stext="" "&amp;TEXT(PLD28-utc_offset/24,"HH")&amp;search_regexp&amp;""""</f>
        <v>#REF!</v>
      </c>
      <c r="PMB28" s="234" t="e">
        <f>astrogrep_path&amp;" /e /r /s /spath="&amp;search_path&amp;" /stypes=""app*"&amp;PKX28&amp;"*"&amp;TEXT(PLE28-utc_offset/24,"YYYYMMDD")&amp;"*"" /stext="" "&amp;TEXT(PLE28-utc_offset/24,"HH")&amp;search_regexp&amp;""""</f>
        <v>#REF!</v>
      </c>
      <c r="PMC28" s="234" t="e">
        <f>astrogrep_path&amp;" /e /r /s /spath="&amp;search_path&amp;" /stypes=""app*"&amp;PKY28&amp;"*"&amp;TEXT(PLF28-utc_offset/24,"YYYYMMDD")&amp;"*"" /stext="" "&amp;TEXT(PLF28-utc_offset/24,"HH")&amp;search_regexp&amp;""""</f>
        <v>#REF!</v>
      </c>
      <c r="PMD28" s="234" t="e">
        <f>astrogrep_path&amp;" /e /r /s /spath="&amp;search_path&amp;" /stypes=""app*"&amp;PKZ28&amp;"*"&amp;TEXT(PLG28-utc_offset/24,"YYYYMMDD")&amp;"*"" /stext="" "&amp;TEXT(PLG28-utc_offset/24,"HH")&amp;search_regexp&amp;""""</f>
        <v>#REF!</v>
      </c>
      <c r="PME28" s="234" t="e">
        <f>astrogrep_path&amp;" /e /r /s /spath="&amp;search_path&amp;" /stypes=""app*"&amp;PLA28&amp;"*"&amp;TEXT(PLH28-utc_offset/24,"YYYYMMDD")&amp;"*"" /stext="" "&amp;TEXT(PLH28-utc_offset/24,"HH")&amp;search_regexp&amp;""""</f>
        <v>#REF!</v>
      </c>
      <c r="PMF28" s="234" t="e">
        <f>astrogrep_path&amp;" /e /r /s /spath="&amp;search_path&amp;" /stypes=""app*"&amp;PLB28&amp;"*"&amp;TEXT(PLI28-utc_offset/24,"YYYYMMDD")&amp;"*"" /stext="" "&amp;TEXT(PLI28-utc_offset/24,"HH")&amp;search_regexp&amp;""""</f>
        <v>#REF!</v>
      </c>
      <c r="PMG28" s="234" t="e">
        <f>astrogrep_path&amp;" /e /r /s /spath="&amp;search_path&amp;" /stypes=""app*"&amp;PLC28&amp;"*"&amp;TEXT(PLJ28-utc_offset/24,"YYYYMMDD")&amp;"*"" /stext="" "&amp;TEXT(PLJ28-utc_offset/24,"HH")&amp;search_regexp&amp;""""</f>
        <v>#VALUE!</v>
      </c>
      <c r="PMH28" s="234" t="e">
        <f>astrogrep_path&amp;" /e /r /s /spath="&amp;search_path&amp;" /stypes=""app*"&amp;PLD28&amp;"*"&amp;TEXT(PLK28-utc_offset/24,"YYYYMMDD")&amp;"*"" /stext="" "&amp;TEXT(PLK28-utc_offset/24,"HH")&amp;search_regexp&amp;""""</f>
        <v>#VALUE!</v>
      </c>
      <c r="PMI28" s="234" t="e">
        <f>astrogrep_path&amp;" /e /r /s /spath="&amp;search_path&amp;" /stypes=""app*"&amp;PLE28&amp;"*"&amp;TEXT(PLL28-utc_offset/24,"YYYYMMDD")&amp;"*"" /stext="" "&amp;TEXT(PLL28-utc_offset/24,"HH")&amp;search_regexp&amp;""""</f>
        <v>#REF!</v>
      </c>
      <c r="PMJ28" s="234" t="e">
        <f>astrogrep_path&amp;" /e /r /s /spath="&amp;search_path&amp;" /stypes=""app*"&amp;PLF28&amp;"*"&amp;TEXT(PLM28-utc_offset/24,"YYYYMMDD")&amp;"*"" /stext="" "&amp;TEXT(PLM28-utc_offset/24,"HH")&amp;search_regexp&amp;""""</f>
        <v>#REF!</v>
      </c>
      <c r="PMK28" s="234" t="e">
        <f>astrogrep_path&amp;" /e /r /s /spath="&amp;search_path&amp;" /stypes=""app*"&amp;PLG28&amp;"*"&amp;TEXT(PLN28-utc_offset/24,"YYYYMMDD")&amp;"*"" /stext="" "&amp;TEXT(PLN28-utc_offset/24,"HH")&amp;search_regexp&amp;""""</f>
        <v>#VALUE!</v>
      </c>
      <c r="PML28" s="234" t="e">
        <f>astrogrep_path&amp;" /e /r /s /spath="&amp;search_path&amp;" /stypes=""app*"&amp;PLH28&amp;"*"&amp;TEXT(PLO28-utc_offset/24,"YYYYMMDD")&amp;"*"" /stext="" "&amp;TEXT(PLO28-utc_offset/24,"HH")&amp;search_regexp&amp;""""</f>
        <v>#VALUE!</v>
      </c>
      <c r="PMM28" s="234" t="e">
        <f>astrogrep_path&amp;" /e /r /s /spath="&amp;search_path&amp;" /stypes=""app*"&amp;PLI28&amp;"*"&amp;TEXT(PLP28-utc_offset/24,"YYYYMMDD")&amp;"*"" /stext="" "&amp;TEXT(PLP28-utc_offset/24,"HH")&amp;search_regexp&amp;""""</f>
        <v>#VALUE!</v>
      </c>
      <c r="PMN28" s="234" t="e">
        <f>astrogrep_path&amp;" /e /r /s /spath="&amp;search_path&amp;" /stypes=""app*"&amp;PLJ28&amp;"*"&amp;TEXT(PLQ28-utc_offset/24,"YYYYMMDD")&amp;"*"" /stext="" "&amp;TEXT(PLQ28-utc_offset/24,"HH")&amp;search_regexp&amp;""""</f>
        <v>#VALUE!</v>
      </c>
      <c r="PMO28" s="234" t="e">
        <f>astrogrep_path&amp;" /e /r /s /spath="&amp;search_path&amp;" /stypes=""app*"&amp;PLK28&amp;"*"&amp;TEXT(PLR28-utc_offset/24,"YYYYMMDD")&amp;"*"" /stext="" "&amp;TEXT(PLR28-utc_offset/24,"HH")&amp;search_regexp&amp;""""</f>
        <v>#VALUE!</v>
      </c>
      <c r="PMP28" s="234" t="e">
        <f>astrogrep_path&amp;" /e /r /s /spath="&amp;search_path&amp;" /stypes=""app*"&amp;PLL28&amp;"*"&amp;TEXT(PLS28-utc_offset/24,"YYYYMMDD")&amp;"*"" /stext="" "&amp;TEXT(PLS28-utc_offset/24,"HH")&amp;search_regexp&amp;""""</f>
        <v>#REF!</v>
      </c>
      <c r="PMQ28" s="234" t="e">
        <f>astrogrep_path&amp;" /e /r /s /spath="&amp;search_path&amp;" /stypes=""app*"&amp;PLM28&amp;"*"&amp;TEXT(PLT28-utc_offset/24,"YYYYMMDD")&amp;"*"" /stext="" "&amp;TEXT(PLT28-utc_offset/24,"HH")&amp;search_regexp&amp;""""</f>
        <v>#REF!</v>
      </c>
      <c r="PMR28" s="234" t="e">
        <f>astrogrep_path&amp;" /e /r /s /spath="&amp;search_path&amp;" /stypes=""app*"&amp;PLN28&amp;"*"&amp;TEXT(PLU28-utc_offset/24,"YYYYMMDD")&amp;"*"" /stext="" "&amp;TEXT(PLU28-utc_offset/24,"HH")&amp;search_regexp&amp;""""</f>
        <v>#REF!</v>
      </c>
      <c r="PMS28" s="234" t="e">
        <f>astrogrep_path&amp;" /e /r /s /spath="&amp;search_path&amp;" /stypes=""app*"&amp;PLO28&amp;"*"&amp;TEXT(PLV28-utc_offset/24,"YYYYMMDD")&amp;"*"" /stext="" "&amp;TEXT(PLV28-utc_offset/24,"HH")&amp;search_regexp&amp;""""</f>
        <v>#REF!</v>
      </c>
      <c r="PMT28" s="234" t="e">
        <f>astrogrep_path&amp;" /e /r /s /spath="&amp;search_path&amp;" /stypes=""app*"&amp;PLP28&amp;"*"&amp;TEXT(PLW28-utc_offset/24,"YYYYMMDD")&amp;"*"" /stext="" "&amp;TEXT(PLW28-utc_offset/24,"HH")&amp;search_regexp&amp;""""</f>
        <v>#REF!</v>
      </c>
      <c r="PMU28" s="234" t="e">
        <f>astrogrep_path&amp;" /e /r /s /spath="&amp;search_path&amp;" /stypes=""app*"&amp;PLQ28&amp;"*"&amp;TEXT(PLX28-utc_offset/24,"YYYYMMDD")&amp;"*"" /stext="" "&amp;TEXT(PLX28-utc_offset/24,"HH")&amp;search_regexp&amp;""""</f>
        <v>#REF!</v>
      </c>
      <c r="PMV28" s="234" t="e">
        <f>astrogrep_path&amp;" /e /r /s /spath="&amp;search_path&amp;" /stypes=""app*"&amp;PLR28&amp;"*"&amp;TEXT(PLY28-utc_offset/24,"YYYYMMDD")&amp;"*"" /stext="" "&amp;TEXT(PLY28-utc_offset/24,"HH")&amp;search_regexp&amp;""""</f>
        <v>#REF!</v>
      </c>
      <c r="PMW28" s="234" t="e">
        <f>astrogrep_path&amp;" /e /r /s /spath="&amp;search_path&amp;" /stypes=""app*"&amp;PLS28&amp;"*"&amp;TEXT(PLZ28-utc_offset/24,"YYYYMMDD")&amp;"*"" /stext="" "&amp;TEXT(PLZ28-utc_offset/24,"HH")&amp;search_regexp&amp;""""</f>
        <v>#REF!</v>
      </c>
      <c r="PMX28" s="234" t="e">
        <f>astrogrep_path&amp;" /e /r /s /spath="&amp;search_path&amp;" /stypes=""app*"&amp;PLT28&amp;"*"&amp;TEXT(PMA28-utc_offset/24,"YYYYMMDD")&amp;"*"" /stext="" "&amp;TEXT(PMA28-utc_offset/24,"HH")&amp;search_regexp&amp;""""</f>
        <v>#REF!</v>
      </c>
      <c r="PMY28" s="234" t="e">
        <f>astrogrep_path&amp;" /e /r /s /spath="&amp;search_path&amp;" /stypes=""app*"&amp;PLU28&amp;"*"&amp;TEXT(PMB28-utc_offset/24,"YYYYMMDD")&amp;"*"" /stext="" "&amp;TEXT(PMB28-utc_offset/24,"HH")&amp;search_regexp&amp;""""</f>
        <v>#REF!</v>
      </c>
      <c r="PMZ28" s="234" t="e">
        <f>astrogrep_path&amp;" /e /r /s /spath="&amp;search_path&amp;" /stypes=""app*"&amp;PLV28&amp;"*"&amp;TEXT(PMC28-utc_offset/24,"YYYYMMDD")&amp;"*"" /stext="" "&amp;TEXT(PMC28-utc_offset/24,"HH")&amp;search_regexp&amp;""""</f>
        <v>#REF!</v>
      </c>
      <c r="PNA28" s="234" t="e">
        <f>astrogrep_path&amp;" /e /r /s /spath="&amp;search_path&amp;" /stypes=""app*"&amp;PLW28&amp;"*"&amp;TEXT(PMD28-utc_offset/24,"YYYYMMDD")&amp;"*"" /stext="" "&amp;TEXT(PMD28-utc_offset/24,"HH")&amp;search_regexp&amp;""""</f>
        <v>#REF!</v>
      </c>
      <c r="PNB28" s="234" t="e">
        <f>astrogrep_path&amp;" /e /r /s /spath="&amp;search_path&amp;" /stypes=""app*"&amp;PLX28&amp;"*"&amp;TEXT(PME28-utc_offset/24,"YYYYMMDD")&amp;"*"" /stext="" "&amp;TEXT(PME28-utc_offset/24,"HH")&amp;search_regexp&amp;""""</f>
        <v>#REF!</v>
      </c>
      <c r="PNC28" s="234" t="e">
        <f>astrogrep_path&amp;" /e /r /s /spath="&amp;search_path&amp;" /stypes=""app*"&amp;PLY28&amp;"*"&amp;TEXT(PMF28-utc_offset/24,"YYYYMMDD")&amp;"*"" /stext="" "&amp;TEXT(PMF28-utc_offset/24,"HH")&amp;search_regexp&amp;""""</f>
        <v>#REF!</v>
      </c>
      <c r="PND28" s="234" t="e">
        <f>astrogrep_path&amp;" /e /r /s /spath="&amp;search_path&amp;" /stypes=""app*"&amp;PLZ28&amp;"*"&amp;TEXT(PMG28-utc_offset/24,"YYYYMMDD")&amp;"*"" /stext="" "&amp;TEXT(PMG28-utc_offset/24,"HH")&amp;search_regexp&amp;""""</f>
        <v>#REF!</v>
      </c>
      <c r="PNE28" s="234" t="e">
        <f>astrogrep_path&amp;" /e /r /s /spath="&amp;search_path&amp;" /stypes=""app*"&amp;PMA28&amp;"*"&amp;TEXT(PMH28-utc_offset/24,"YYYYMMDD")&amp;"*"" /stext="" "&amp;TEXT(PMH28-utc_offset/24,"HH")&amp;search_regexp&amp;""""</f>
        <v>#REF!</v>
      </c>
      <c r="PNF28" s="234" t="e">
        <f>astrogrep_path&amp;" /e /r /s /spath="&amp;search_path&amp;" /stypes=""app*"&amp;PMB28&amp;"*"&amp;TEXT(PMI28-utc_offset/24,"YYYYMMDD")&amp;"*"" /stext="" "&amp;TEXT(PMI28-utc_offset/24,"HH")&amp;search_regexp&amp;""""</f>
        <v>#REF!</v>
      </c>
      <c r="PNG28" s="234" t="e">
        <f>astrogrep_path&amp;" /e /r /s /spath="&amp;search_path&amp;" /stypes=""app*"&amp;PMC28&amp;"*"&amp;TEXT(PMJ28-utc_offset/24,"YYYYMMDD")&amp;"*"" /stext="" "&amp;TEXT(PMJ28-utc_offset/24,"HH")&amp;search_regexp&amp;""""</f>
        <v>#REF!</v>
      </c>
      <c r="PNH28" s="234" t="e">
        <f>astrogrep_path&amp;" /e /r /s /spath="&amp;search_path&amp;" /stypes=""app*"&amp;PMD28&amp;"*"&amp;TEXT(PMK28-utc_offset/24,"YYYYMMDD")&amp;"*"" /stext="" "&amp;TEXT(PMK28-utc_offset/24,"HH")&amp;search_regexp&amp;""""</f>
        <v>#REF!</v>
      </c>
      <c r="PNI28" s="234" t="e">
        <f>astrogrep_path&amp;" /e /r /s /spath="&amp;search_path&amp;" /stypes=""app*"&amp;PME28&amp;"*"&amp;TEXT(PML28-utc_offset/24,"YYYYMMDD")&amp;"*"" /stext="" "&amp;TEXT(PML28-utc_offset/24,"HH")&amp;search_regexp&amp;""""</f>
        <v>#REF!</v>
      </c>
      <c r="PNJ28" s="234" t="e">
        <f>astrogrep_path&amp;" /e /r /s /spath="&amp;search_path&amp;" /stypes=""app*"&amp;PMF28&amp;"*"&amp;TEXT(PMM28-utc_offset/24,"YYYYMMDD")&amp;"*"" /stext="" "&amp;TEXT(PMM28-utc_offset/24,"HH")&amp;search_regexp&amp;""""</f>
        <v>#REF!</v>
      </c>
      <c r="PNK28" s="234" t="e">
        <f>astrogrep_path&amp;" /e /r /s /spath="&amp;search_path&amp;" /stypes=""app*"&amp;PMG28&amp;"*"&amp;TEXT(PMN28-utc_offset/24,"YYYYMMDD")&amp;"*"" /stext="" "&amp;TEXT(PMN28-utc_offset/24,"HH")&amp;search_regexp&amp;""""</f>
        <v>#VALUE!</v>
      </c>
      <c r="PNL28" s="234" t="e">
        <f>astrogrep_path&amp;" /e /r /s /spath="&amp;search_path&amp;" /stypes=""app*"&amp;PMH28&amp;"*"&amp;TEXT(PMO28-utc_offset/24,"YYYYMMDD")&amp;"*"" /stext="" "&amp;TEXT(PMO28-utc_offset/24,"HH")&amp;search_regexp&amp;""""</f>
        <v>#VALUE!</v>
      </c>
      <c r="PNM28" s="234" t="e">
        <f>astrogrep_path&amp;" /e /r /s /spath="&amp;search_path&amp;" /stypes=""app*"&amp;PMI28&amp;"*"&amp;TEXT(PMP28-utc_offset/24,"YYYYMMDD")&amp;"*"" /stext="" "&amp;TEXT(PMP28-utc_offset/24,"HH")&amp;search_regexp&amp;""""</f>
        <v>#REF!</v>
      </c>
      <c r="PNN28" s="234" t="e">
        <f>astrogrep_path&amp;" /e /r /s /spath="&amp;search_path&amp;" /stypes=""app*"&amp;PMJ28&amp;"*"&amp;TEXT(PMQ28-utc_offset/24,"YYYYMMDD")&amp;"*"" /stext="" "&amp;TEXT(PMQ28-utc_offset/24,"HH")&amp;search_regexp&amp;""""</f>
        <v>#REF!</v>
      </c>
      <c r="PNO28" s="234" t="e">
        <f>astrogrep_path&amp;" /e /r /s /spath="&amp;search_path&amp;" /stypes=""app*"&amp;PMK28&amp;"*"&amp;TEXT(PMR28-utc_offset/24,"YYYYMMDD")&amp;"*"" /stext="" "&amp;TEXT(PMR28-utc_offset/24,"HH")&amp;search_regexp&amp;""""</f>
        <v>#VALUE!</v>
      </c>
      <c r="PNP28" s="234" t="e">
        <f>astrogrep_path&amp;" /e /r /s /spath="&amp;search_path&amp;" /stypes=""app*"&amp;PML28&amp;"*"&amp;TEXT(PMS28-utc_offset/24,"YYYYMMDD")&amp;"*"" /stext="" "&amp;TEXT(PMS28-utc_offset/24,"HH")&amp;search_regexp&amp;""""</f>
        <v>#VALUE!</v>
      </c>
      <c r="PNQ28" s="234" t="e">
        <f>astrogrep_path&amp;" /e /r /s /spath="&amp;search_path&amp;" /stypes=""app*"&amp;PMM28&amp;"*"&amp;TEXT(PMT28-utc_offset/24,"YYYYMMDD")&amp;"*"" /stext="" "&amp;TEXT(PMT28-utc_offset/24,"HH")&amp;search_regexp&amp;""""</f>
        <v>#VALUE!</v>
      </c>
      <c r="PNR28" s="234" t="e">
        <f>astrogrep_path&amp;" /e /r /s /spath="&amp;search_path&amp;" /stypes=""app*"&amp;PMN28&amp;"*"&amp;TEXT(PMU28-utc_offset/24,"YYYYMMDD")&amp;"*"" /stext="" "&amp;TEXT(PMU28-utc_offset/24,"HH")&amp;search_regexp&amp;""""</f>
        <v>#VALUE!</v>
      </c>
      <c r="PNS28" s="234" t="e">
        <f>astrogrep_path&amp;" /e /r /s /spath="&amp;search_path&amp;" /stypes=""app*"&amp;PMO28&amp;"*"&amp;TEXT(PMV28-utc_offset/24,"YYYYMMDD")&amp;"*"" /stext="" "&amp;TEXT(PMV28-utc_offset/24,"HH")&amp;search_regexp&amp;""""</f>
        <v>#VALUE!</v>
      </c>
      <c r="PNT28" s="234" t="e">
        <f>astrogrep_path&amp;" /e /r /s /spath="&amp;search_path&amp;" /stypes=""app*"&amp;PMP28&amp;"*"&amp;TEXT(PMW28-utc_offset/24,"YYYYMMDD")&amp;"*"" /stext="" "&amp;TEXT(PMW28-utc_offset/24,"HH")&amp;search_regexp&amp;""""</f>
        <v>#REF!</v>
      </c>
      <c r="PNU28" s="234" t="e">
        <f>astrogrep_path&amp;" /e /r /s /spath="&amp;search_path&amp;" /stypes=""app*"&amp;PMQ28&amp;"*"&amp;TEXT(PMX28-utc_offset/24,"YYYYMMDD")&amp;"*"" /stext="" "&amp;TEXT(PMX28-utc_offset/24,"HH")&amp;search_regexp&amp;""""</f>
        <v>#REF!</v>
      </c>
      <c r="PNV28" s="234" t="e">
        <f>astrogrep_path&amp;" /e /r /s /spath="&amp;search_path&amp;" /stypes=""app*"&amp;PMR28&amp;"*"&amp;TEXT(PMY28-utc_offset/24,"YYYYMMDD")&amp;"*"" /stext="" "&amp;TEXT(PMY28-utc_offset/24,"HH")&amp;search_regexp&amp;""""</f>
        <v>#REF!</v>
      </c>
      <c r="PNW28" s="234" t="e">
        <f>astrogrep_path&amp;" /e /r /s /spath="&amp;search_path&amp;" /stypes=""app*"&amp;PMS28&amp;"*"&amp;TEXT(PMZ28-utc_offset/24,"YYYYMMDD")&amp;"*"" /stext="" "&amp;TEXT(PMZ28-utc_offset/24,"HH")&amp;search_regexp&amp;""""</f>
        <v>#REF!</v>
      </c>
      <c r="PNX28" s="234" t="e">
        <f>astrogrep_path&amp;" /e /r /s /spath="&amp;search_path&amp;" /stypes=""app*"&amp;PMT28&amp;"*"&amp;TEXT(PNA28-utc_offset/24,"YYYYMMDD")&amp;"*"" /stext="" "&amp;TEXT(PNA28-utc_offset/24,"HH")&amp;search_regexp&amp;""""</f>
        <v>#REF!</v>
      </c>
      <c r="PNY28" s="234" t="e">
        <f>astrogrep_path&amp;" /e /r /s /spath="&amp;search_path&amp;" /stypes=""app*"&amp;PMU28&amp;"*"&amp;TEXT(PNB28-utc_offset/24,"YYYYMMDD")&amp;"*"" /stext="" "&amp;TEXT(PNB28-utc_offset/24,"HH")&amp;search_regexp&amp;""""</f>
        <v>#REF!</v>
      </c>
      <c r="PNZ28" s="234" t="e">
        <f>astrogrep_path&amp;" /e /r /s /spath="&amp;search_path&amp;" /stypes=""app*"&amp;PMV28&amp;"*"&amp;TEXT(PNC28-utc_offset/24,"YYYYMMDD")&amp;"*"" /stext="" "&amp;TEXT(PNC28-utc_offset/24,"HH")&amp;search_regexp&amp;""""</f>
        <v>#REF!</v>
      </c>
      <c r="POA28" s="234" t="e">
        <f>astrogrep_path&amp;" /e /r /s /spath="&amp;search_path&amp;" /stypes=""app*"&amp;PMW28&amp;"*"&amp;TEXT(PND28-utc_offset/24,"YYYYMMDD")&amp;"*"" /stext="" "&amp;TEXT(PND28-utc_offset/24,"HH")&amp;search_regexp&amp;""""</f>
        <v>#REF!</v>
      </c>
      <c r="POB28" s="234" t="e">
        <f>astrogrep_path&amp;" /e /r /s /spath="&amp;search_path&amp;" /stypes=""app*"&amp;PMX28&amp;"*"&amp;TEXT(PNE28-utc_offset/24,"YYYYMMDD")&amp;"*"" /stext="" "&amp;TEXT(PNE28-utc_offset/24,"HH")&amp;search_regexp&amp;""""</f>
        <v>#REF!</v>
      </c>
      <c r="POC28" s="234" t="e">
        <f>astrogrep_path&amp;" /e /r /s /spath="&amp;search_path&amp;" /stypes=""app*"&amp;PMY28&amp;"*"&amp;TEXT(PNF28-utc_offset/24,"YYYYMMDD")&amp;"*"" /stext="" "&amp;TEXT(PNF28-utc_offset/24,"HH")&amp;search_regexp&amp;""""</f>
        <v>#REF!</v>
      </c>
      <c r="POD28" s="234" t="e">
        <f>astrogrep_path&amp;" /e /r /s /spath="&amp;search_path&amp;" /stypes=""app*"&amp;PMZ28&amp;"*"&amp;TEXT(PNG28-utc_offset/24,"YYYYMMDD")&amp;"*"" /stext="" "&amp;TEXT(PNG28-utc_offset/24,"HH")&amp;search_regexp&amp;""""</f>
        <v>#REF!</v>
      </c>
      <c r="POE28" s="234" t="e">
        <f>astrogrep_path&amp;" /e /r /s /spath="&amp;search_path&amp;" /stypes=""app*"&amp;PNA28&amp;"*"&amp;TEXT(PNH28-utc_offset/24,"YYYYMMDD")&amp;"*"" /stext="" "&amp;TEXT(PNH28-utc_offset/24,"HH")&amp;search_regexp&amp;""""</f>
        <v>#REF!</v>
      </c>
      <c r="POF28" s="234" t="e">
        <f>astrogrep_path&amp;" /e /r /s /spath="&amp;search_path&amp;" /stypes=""app*"&amp;PNB28&amp;"*"&amp;TEXT(PNI28-utc_offset/24,"YYYYMMDD")&amp;"*"" /stext="" "&amp;TEXT(PNI28-utc_offset/24,"HH")&amp;search_regexp&amp;""""</f>
        <v>#REF!</v>
      </c>
      <c r="POG28" s="234" t="e">
        <f>astrogrep_path&amp;" /e /r /s /spath="&amp;search_path&amp;" /stypes=""app*"&amp;PNC28&amp;"*"&amp;TEXT(PNJ28-utc_offset/24,"YYYYMMDD")&amp;"*"" /stext="" "&amp;TEXT(PNJ28-utc_offset/24,"HH")&amp;search_regexp&amp;""""</f>
        <v>#REF!</v>
      </c>
      <c r="POH28" s="234" t="e">
        <f>astrogrep_path&amp;" /e /r /s /spath="&amp;search_path&amp;" /stypes=""app*"&amp;PND28&amp;"*"&amp;TEXT(PNK28-utc_offset/24,"YYYYMMDD")&amp;"*"" /stext="" "&amp;TEXT(PNK28-utc_offset/24,"HH")&amp;search_regexp&amp;""""</f>
        <v>#REF!</v>
      </c>
      <c r="POI28" s="234" t="e">
        <f>astrogrep_path&amp;" /e /r /s /spath="&amp;search_path&amp;" /stypes=""app*"&amp;PNE28&amp;"*"&amp;TEXT(PNL28-utc_offset/24,"YYYYMMDD")&amp;"*"" /stext="" "&amp;TEXT(PNL28-utc_offset/24,"HH")&amp;search_regexp&amp;""""</f>
        <v>#REF!</v>
      </c>
      <c r="POJ28" s="234" t="e">
        <f>astrogrep_path&amp;" /e /r /s /spath="&amp;search_path&amp;" /stypes=""app*"&amp;PNF28&amp;"*"&amp;TEXT(PNM28-utc_offset/24,"YYYYMMDD")&amp;"*"" /stext="" "&amp;TEXT(PNM28-utc_offset/24,"HH")&amp;search_regexp&amp;""""</f>
        <v>#REF!</v>
      </c>
      <c r="POK28" s="234" t="e">
        <f>astrogrep_path&amp;" /e /r /s /spath="&amp;search_path&amp;" /stypes=""app*"&amp;PNG28&amp;"*"&amp;TEXT(PNN28-utc_offset/24,"YYYYMMDD")&amp;"*"" /stext="" "&amp;TEXT(PNN28-utc_offset/24,"HH")&amp;search_regexp&amp;""""</f>
        <v>#REF!</v>
      </c>
      <c r="POL28" s="234" t="e">
        <f>astrogrep_path&amp;" /e /r /s /spath="&amp;search_path&amp;" /stypes=""app*"&amp;PNH28&amp;"*"&amp;TEXT(PNO28-utc_offset/24,"YYYYMMDD")&amp;"*"" /stext="" "&amp;TEXT(PNO28-utc_offset/24,"HH")&amp;search_regexp&amp;""""</f>
        <v>#REF!</v>
      </c>
      <c r="POM28" s="234" t="e">
        <f>astrogrep_path&amp;" /e /r /s /spath="&amp;search_path&amp;" /stypes=""app*"&amp;PNI28&amp;"*"&amp;TEXT(PNP28-utc_offset/24,"YYYYMMDD")&amp;"*"" /stext="" "&amp;TEXT(PNP28-utc_offset/24,"HH")&amp;search_regexp&amp;""""</f>
        <v>#REF!</v>
      </c>
      <c r="PON28" s="234" t="e">
        <f>astrogrep_path&amp;" /e /r /s /spath="&amp;search_path&amp;" /stypes=""app*"&amp;PNJ28&amp;"*"&amp;TEXT(PNQ28-utc_offset/24,"YYYYMMDD")&amp;"*"" /stext="" "&amp;TEXT(PNQ28-utc_offset/24,"HH")&amp;search_regexp&amp;""""</f>
        <v>#REF!</v>
      </c>
      <c r="POO28" s="234" t="e">
        <f>astrogrep_path&amp;" /e /r /s /spath="&amp;search_path&amp;" /stypes=""app*"&amp;PNK28&amp;"*"&amp;TEXT(PNR28-utc_offset/24,"YYYYMMDD")&amp;"*"" /stext="" "&amp;TEXT(PNR28-utc_offset/24,"HH")&amp;search_regexp&amp;""""</f>
        <v>#VALUE!</v>
      </c>
      <c r="POP28" s="234" t="e">
        <f>astrogrep_path&amp;" /e /r /s /spath="&amp;search_path&amp;" /stypes=""app*"&amp;PNL28&amp;"*"&amp;TEXT(PNS28-utc_offset/24,"YYYYMMDD")&amp;"*"" /stext="" "&amp;TEXT(PNS28-utc_offset/24,"HH")&amp;search_regexp&amp;""""</f>
        <v>#VALUE!</v>
      </c>
      <c r="POQ28" s="234" t="e">
        <f>astrogrep_path&amp;" /e /r /s /spath="&amp;search_path&amp;" /stypes=""app*"&amp;PNM28&amp;"*"&amp;TEXT(PNT28-utc_offset/24,"YYYYMMDD")&amp;"*"" /stext="" "&amp;TEXT(PNT28-utc_offset/24,"HH")&amp;search_regexp&amp;""""</f>
        <v>#REF!</v>
      </c>
      <c r="POR28" s="234" t="e">
        <f>astrogrep_path&amp;" /e /r /s /spath="&amp;search_path&amp;" /stypes=""app*"&amp;PNN28&amp;"*"&amp;TEXT(PNU28-utc_offset/24,"YYYYMMDD")&amp;"*"" /stext="" "&amp;TEXT(PNU28-utc_offset/24,"HH")&amp;search_regexp&amp;""""</f>
        <v>#REF!</v>
      </c>
      <c r="POS28" s="234" t="e">
        <f>astrogrep_path&amp;" /e /r /s /spath="&amp;search_path&amp;" /stypes=""app*"&amp;PNO28&amp;"*"&amp;TEXT(PNV28-utc_offset/24,"YYYYMMDD")&amp;"*"" /stext="" "&amp;TEXT(PNV28-utc_offset/24,"HH")&amp;search_regexp&amp;""""</f>
        <v>#VALUE!</v>
      </c>
      <c r="POT28" s="234" t="e">
        <f>astrogrep_path&amp;" /e /r /s /spath="&amp;search_path&amp;" /stypes=""app*"&amp;PNP28&amp;"*"&amp;TEXT(PNW28-utc_offset/24,"YYYYMMDD")&amp;"*"" /stext="" "&amp;TEXT(PNW28-utc_offset/24,"HH")&amp;search_regexp&amp;""""</f>
        <v>#VALUE!</v>
      </c>
      <c r="POU28" s="234" t="e">
        <f>astrogrep_path&amp;" /e /r /s /spath="&amp;search_path&amp;" /stypes=""app*"&amp;PNQ28&amp;"*"&amp;TEXT(PNX28-utc_offset/24,"YYYYMMDD")&amp;"*"" /stext="" "&amp;TEXT(PNX28-utc_offset/24,"HH")&amp;search_regexp&amp;""""</f>
        <v>#VALUE!</v>
      </c>
      <c r="POV28" s="234" t="e">
        <f>astrogrep_path&amp;" /e /r /s /spath="&amp;search_path&amp;" /stypes=""app*"&amp;PNR28&amp;"*"&amp;TEXT(PNY28-utc_offset/24,"YYYYMMDD")&amp;"*"" /stext="" "&amp;TEXT(PNY28-utc_offset/24,"HH")&amp;search_regexp&amp;""""</f>
        <v>#VALUE!</v>
      </c>
      <c r="POW28" s="234" t="e">
        <f>astrogrep_path&amp;" /e /r /s /spath="&amp;search_path&amp;" /stypes=""app*"&amp;PNS28&amp;"*"&amp;TEXT(PNZ28-utc_offset/24,"YYYYMMDD")&amp;"*"" /stext="" "&amp;TEXT(PNZ28-utc_offset/24,"HH")&amp;search_regexp&amp;""""</f>
        <v>#VALUE!</v>
      </c>
      <c r="POX28" s="234" t="e">
        <f>astrogrep_path&amp;" /e /r /s /spath="&amp;search_path&amp;" /stypes=""app*"&amp;PNT28&amp;"*"&amp;TEXT(POA28-utc_offset/24,"YYYYMMDD")&amp;"*"" /stext="" "&amp;TEXT(POA28-utc_offset/24,"HH")&amp;search_regexp&amp;""""</f>
        <v>#REF!</v>
      </c>
      <c r="POY28" s="234" t="e">
        <f>astrogrep_path&amp;" /e /r /s /spath="&amp;search_path&amp;" /stypes=""app*"&amp;PNU28&amp;"*"&amp;TEXT(POB28-utc_offset/24,"YYYYMMDD")&amp;"*"" /stext="" "&amp;TEXT(POB28-utc_offset/24,"HH")&amp;search_regexp&amp;""""</f>
        <v>#REF!</v>
      </c>
      <c r="POZ28" s="234" t="e">
        <f>astrogrep_path&amp;" /e /r /s /spath="&amp;search_path&amp;" /stypes=""app*"&amp;PNV28&amp;"*"&amp;TEXT(POC28-utc_offset/24,"YYYYMMDD")&amp;"*"" /stext="" "&amp;TEXT(POC28-utc_offset/24,"HH")&amp;search_regexp&amp;""""</f>
        <v>#REF!</v>
      </c>
      <c r="PPA28" s="234" t="e">
        <f>astrogrep_path&amp;" /e /r /s /spath="&amp;search_path&amp;" /stypes=""app*"&amp;PNW28&amp;"*"&amp;TEXT(POD28-utc_offset/24,"YYYYMMDD")&amp;"*"" /stext="" "&amp;TEXT(POD28-utc_offset/24,"HH")&amp;search_regexp&amp;""""</f>
        <v>#REF!</v>
      </c>
      <c r="PPB28" s="234" t="e">
        <f>astrogrep_path&amp;" /e /r /s /spath="&amp;search_path&amp;" /stypes=""app*"&amp;PNX28&amp;"*"&amp;TEXT(POE28-utc_offset/24,"YYYYMMDD")&amp;"*"" /stext="" "&amp;TEXT(POE28-utc_offset/24,"HH")&amp;search_regexp&amp;""""</f>
        <v>#REF!</v>
      </c>
      <c r="PPC28" s="234" t="e">
        <f>astrogrep_path&amp;" /e /r /s /spath="&amp;search_path&amp;" /stypes=""app*"&amp;PNY28&amp;"*"&amp;TEXT(POF28-utc_offset/24,"YYYYMMDD")&amp;"*"" /stext="" "&amp;TEXT(POF28-utc_offset/24,"HH")&amp;search_regexp&amp;""""</f>
        <v>#REF!</v>
      </c>
      <c r="PPD28" s="234" t="e">
        <f>astrogrep_path&amp;" /e /r /s /spath="&amp;search_path&amp;" /stypes=""app*"&amp;PNZ28&amp;"*"&amp;TEXT(POG28-utc_offset/24,"YYYYMMDD")&amp;"*"" /stext="" "&amp;TEXT(POG28-utc_offset/24,"HH")&amp;search_regexp&amp;""""</f>
        <v>#REF!</v>
      </c>
      <c r="PPE28" s="234" t="e">
        <f>astrogrep_path&amp;" /e /r /s /spath="&amp;search_path&amp;" /stypes=""app*"&amp;POA28&amp;"*"&amp;TEXT(POH28-utc_offset/24,"YYYYMMDD")&amp;"*"" /stext="" "&amp;TEXT(POH28-utc_offset/24,"HH")&amp;search_regexp&amp;""""</f>
        <v>#REF!</v>
      </c>
      <c r="PPF28" s="234" t="e">
        <f>astrogrep_path&amp;" /e /r /s /spath="&amp;search_path&amp;" /stypes=""app*"&amp;POB28&amp;"*"&amp;TEXT(POI28-utc_offset/24,"YYYYMMDD")&amp;"*"" /stext="" "&amp;TEXT(POI28-utc_offset/24,"HH")&amp;search_regexp&amp;""""</f>
        <v>#REF!</v>
      </c>
      <c r="PPG28" s="234" t="e">
        <f>astrogrep_path&amp;" /e /r /s /spath="&amp;search_path&amp;" /stypes=""app*"&amp;POC28&amp;"*"&amp;TEXT(POJ28-utc_offset/24,"YYYYMMDD")&amp;"*"" /stext="" "&amp;TEXT(POJ28-utc_offset/24,"HH")&amp;search_regexp&amp;""""</f>
        <v>#REF!</v>
      </c>
      <c r="PPH28" s="234" t="e">
        <f>astrogrep_path&amp;" /e /r /s /spath="&amp;search_path&amp;" /stypes=""app*"&amp;POD28&amp;"*"&amp;TEXT(POK28-utc_offset/24,"YYYYMMDD")&amp;"*"" /stext="" "&amp;TEXT(POK28-utc_offset/24,"HH")&amp;search_regexp&amp;""""</f>
        <v>#REF!</v>
      </c>
      <c r="PPI28" s="234" t="e">
        <f>astrogrep_path&amp;" /e /r /s /spath="&amp;search_path&amp;" /stypes=""app*"&amp;POE28&amp;"*"&amp;TEXT(POL28-utc_offset/24,"YYYYMMDD")&amp;"*"" /stext="" "&amp;TEXT(POL28-utc_offset/24,"HH")&amp;search_regexp&amp;""""</f>
        <v>#REF!</v>
      </c>
      <c r="PPJ28" s="234" t="e">
        <f>astrogrep_path&amp;" /e /r /s /spath="&amp;search_path&amp;" /stypes=""app*"&amp;POF28&amp;"*"&amp;TEXT(POM28-utc_offset/24,"YYYYMMDD")&amp;"*"" /stext="" "&amp;TEXT(POM28-utc_offset/24,"HH")&amp;search_regexp&amp;""""</f>
        <v>#REF!</v>
      </c>
      <c r="PPK28" s="234" t="e">
        <f>astrogrep_path&amp;" /e /r /s /spath="&amp;search_path&amp;" /stypes=""app*"&amp;POG28&amp;"*"&amp;TEXT(PON28-utc_offset/24,"YYYYMMDD")&amp;"*"" /stext="" "&amp;TEXT(PON28-utc_offset/24,"HH")&amp;search_regexp&amp;""""</f>
        <v>#REF!</v>
      </c>
      <c r="PPL28" s="234" t="e">
        <f>astrogrep_path&amp;" /e /r /s /spath="&amp;search_path&amp;" /stypes=""app*"&amp;POH28&amp;"*"&amp;TEXT(POO28-utc_offset/24,"YYYYMMDD")&amp;"*"" /stext="" "&amp;TEXT(POO28-utc_offset/24,"HH")&amp;search_regexp&amp;""""</f>
        <v>#REF!</v>
      </c>
      <c r="PPM28" s="234" t="e">
        <f>astrogrep_path&amp;" /e /r /s /spath="&amp;search_path&amp;" /stypes=""app*"&amp;POI28&amp;"*"&amp;TEXT(POP28-utc_offset/24,"YYYYMMDD")&amp;"*"" /stext="" "&amp;TEXT(POP28-utc_offset/24,"HH")&amp;search_regexp&amp;""""</f>
        <v>#REF!</v>
      </c>
      <c r="PPN28" s="234" t="e">
        <f>astrogrep_path&amp;" /e /r /s /spath="&amp;search_path&amp;" /stypes=""app*"&amp;POJ28&amp;"*"&amp;TEXT(POQ28-utc_offset/24,"YYYYMMDD")&amp;"*"" /stext="" "&amp;TEXT(POQ28-utc_offset/24,"HH")&amp;search_regexp&amp;""""</f>
        <v>#REF!</v>
      </c>
      <c r="PPO28" s="234" t="e">
        <f>astrogrep_path&amp;" /e /r /s /spath="&amp;search_path&amp;" /stypes=""app*"&amp;POK28&amp;"*"&amp;TEXT(POR28-utc_offset/24,"YYYYMMDD")&amp;"*"" /stext="" "&amp;TEXT(POR28-utc_offset/24,"HH")&amp;search_regexp&amp;""""</f>
        <v>#REF!</v>
      </c>
      <c r="PPP28" s="234" t="e">
        <f>astrogrep_path&amp;" /e /r /s /spath="&amp;search_path&amp;" /stypes=""app*"&amp;POL28&amp;"*"&amp;TEXT(POS28-utc_offset/24,"YYYYMMDD")&amp;"*"" /stext="" "&amp;TEXT(POS28-utc_offset/24,"HH")&amp;search_regexp&amp;""""</f>
        <v>#REF!</v>
      </c>
      <c r="PPQ28" s="234" t="e">
        <f>astrogrep_path&amp;" /e /r /s /spath="&amp;search_path&amp;" /stypes=""app*"&amp;POM28&amp;"*"&amp;TEXT(POT28-utc_offset/24,"YYYYMMDD")&amp;"*"" /stext="" "&amp;TEXT(POT28-utc_offset/24,"HH")&amp;search_regexp&amp;""""</f>
        <v>#REF!</v>
      </c>
      <c r="PPR28" s="234" t="e">
        <f>astrogrep_path&amp;" /e /r /s /spath="&amp;search_path&amp;" /stypes=""app*"&amp;PON28&amp;"*"&amp;TEXT(POU28-utc_offset/24,"YYYYMMDD")&amp;"*"" /stext="" "&amp;TEXT(POU28-utc_offset/24,"HH")&amp;search_regexp&amp;""""</f>
        <v>#REF!</v>
      </c>
      <c r="PPS28" s="234" t="e">
        <f>astrogrep_path&amp;" /e /r /s /spath="&amp;search_path&amp;" /stypes=""app*"&amp;POO28&amp;"*"&amp;TEXT(POV28-utc_offset/24,"YYYYMMDD")&amp;"*"" /stext="" "&amp;TEXT(POV28-utc_offset/24,"HH")&amp;search_regexp&amp;""""</f>
        <v>#VALUE!</v>
      </c>
      <c r="PPT28" s="234" t="e">
        <f>astrogrep_path&amp;" /e /r /s /spath="&amp;search_path&amp;" /stypes=""app*"&amp;POP28&amp;"*"&amp;TEXT(POW28-utc_offset/24,"YYYYMMDD")&amp;"*"" /stext="" "&amp;TEXT(POW28-utc_offset/24,"HH")&amp;search_regexp&amp;""""</f>
        <v>#VALUE!</v>
      </c>
      <c r="PPU28" s="234" t="e">
        <f>astrogrep_path&amp;" /e /r /s /spath="&amp;search_path&amp;" /stypes=""app*"&amp;POQ28&amp;"*"&amp;TEXT(POX28-utc_offset/24,"YYYYMMDD")&amp;"*"" /stext="" "&amp;TEXT(POX28-utc_offset/24,"HH")&amp;search_regexp&amp;""""</f>
        <v>#REF!</v>
      </c>
      <c r="PPV28" s="234" t="e">
        <f>astrogrep_path&amp;" /e /r /s /spath="&amp;search_path&amp;" /stypes=""app*"&amp;POR28&amp;"*"&amp;TEXT(POY28-utc_offset/24,"YYYYMMDD")&amp;"*"" /stext="" "&amp;TEXT(POY28-utc_offset/24,"HH")&amp;search_regexp&amp;""""</f>
        <v>#REF!</v>
      </c>
      <c r="PPW28" s="234" t="e">
        <f>astrogrep_path&amp;" /e /r /s /spath="&amp;search_path&amp;" /stypes=""app*"&amp;POS28&amp;"*"&amp;TEXT(POZ28-utc_offset/24,"YYYYMMDD")&amp;"*"" /stext="" "&amp;TEXT(POZ28-utc_offset/24,"HH")&amp;search_regexp&amp;""""</f>
        <v>#VALUE!</v>
      </c>
      <c r="PPX28" s="234" t="e">
        <f>astrogrep_path&amp;" /e /r /s /spath="&amp;search_path&amp;" /stypes=""app*"&amp;POT28&amp;"*"&amp;TEXT(PPA28-utc_offset/24,"YYYYMMDD")&amp;"*"" /stext="" "&amp;TEXT(PPA28-utc_offset/24,"HH")&amp;search_regexp&amp;""""</f>
        <v>#VALUE!</v>
      </c>
      <c r="PPY28" s="234" t="e">
        <f>astrogrep_path&amp;" /e /r /s /spath="&amp;search_path&amp;" /stypes=""app*"&amp;POU28&amp;"*"&amp;TEXT(PPB28-utc_offset/24,"YYYYMMDD")&amp;"*"" /stext="" "&amp;TEXT(PPB28-utc_offset/24,"HH")&amp;search_regexp&amp;""""</f>
        <v>#VALUE!</v>
      </c>
      <c r="PPZ28" s="234" t="e">
        <f>astrogrep_path&amp;" /e /r /s /spath="&amp;search_path&amp;" /stypes=""app*"&amp;POV28&amp;"*"&amp;TEXT(PPC28-utc_offset/24,"YYYYMMDD")&amp;"*"" /stext="" "&amp;TEXT(PPC28-utc_offset/24,"HH")&amp;search_regexp&amp;""""</f>
        <v>#VALUE!</v>
      </c>
      <c r="PQA28" s="234" t="e">
        <f>astrogrep_path&amp;" /e /r /s /spath="&amp;search_path&amp;" /stypes=""app*"&amp;POW28&amp;"*"&amp;TEXT(PPD28-utc_offset/24,"YYYYMMDD")&amp;"*"" /stext="" "&amp;TEXT(PPD28-utc_offset/24,"HH")&amp;search_regexp&amp;""""</f>
        <v>#VALUE!</v>
      </c>
      <c r="PQB28" s="234" t="e">
        <f>astrogrep_path&amp;" /e /r /s /spath="&amp;search_path&amp;" /stypes=""app*"&amp;POX28&amp;"*"&amp;TEXT(PPE28-utc_offset/24,"YYYYMMDD")&amp;"*"" /stext="" "&amp;TEXT(PPE28-utc_offset/24,"HH")&amp;search_regexp&amp;""""</f>
        <v>#REF!</v>
      </c>
      <c r="PQC28" s="234" t="e">
        <f>astrogrep_path&amp;" /e /r /s /spath="&amp;search_path&amp;" /stypes=""app*"&amp;POY28&amp;"*"&amp;TEXT(PPF28-utc_offset/24,"YYYYMMDD")&amp;"*"" /stext="" "&amp;TEXT(PPF28-utc_offset/24,"HH")&amp;search_regexp&amp;""""</f>
        <v>#REF!</v>
      </c>
      <c r="PQD28" s="234" t="e">
        <f>astrogrep_path&amp;" /e /r /s /spath="&amp;search_path&amp;" /stypes=""app*"&amp;POZ28&amp;"*"&amp;TEXT(PPG28-utc_offset/24,"YYYYMMDD")&amp;"*"" /stext="" "&amp;TEXT(PPG28-utc_offset/24,"HH")&amp;search_regexp&amp;""""</f>
        <v>#REF!</v>
      </c>
      <c r="PQE28" s="234" t="e">
        <f>astrogrep_path&amp;" /e /r /s /spath="&amp;search_path&amp;" /stypes=""app*"&amp;PPA28&amp;"*"&amp;TEXT(PPH28-utc_offset/24,"YYYYMMDD")&amp;"*"" /stext="" "&amp;TEXT(PPH28-utc_offset/24,"HH")&amp;search_regexp&amp;""""</f>
        <v>#REF!</v>
      </c>
      <c r="PQF28" s="234" t="e">
        <f>astrogrep_path&amp;" /e /r /s /spath="&amp;search_path&amp;" /stypes=""app*"&amp;PPB28&amp;"*"&amp;TEXT(PPI28-utc_offset/24,"YYYYMMDD")&amp;"*"" /stext="" "&amp;TEXT(PPI28-utc_offset/24,"HH")&amp;search_regexp&amp;""""</f>
        <v>#REF!</v>
      </c>
      <c r="PQG28" s="234" t="e">
        <f>astrogrep_path&amp;" /e /r /s /spath="&amp;search_path&amp;" /stypes=""app*"&amp;PPC28&amp;"*"&amp;TEXT(PPJ28-utc_offset/24,"YYYYMMDD")&amp;"*"" /stext="" "&amp;TEXT(PPJ28-utc_offset/24,"HH")&amp;search_regexp&amp;""""</f>
        <v>#REF!</v>
      </c>
      <c r="PQH28" s="234" t="e">
        <f>astrogrep_path&amp;" /e /r /s /spath="&amp;search_path&amp;" /stypes=""app*"&amp;PPD28&amp;"*"&amp;TEXT(PPK28-utc_offset/24,"YYYYMMDD")&amp;"*"" /stext="" "&amp;TEXT(PPK28-utc_offset/24,"HH")&amp;search_regexp&amp;""""</f>
        <v>#REF!</v>
      </c>
      <c r="PQI28" s="234" t="e">
        <f>astrogrep_path&amp;" /e /r /s /spath="&amp;search_path&amp;" /stypes=""app*"&amp;PPE28&amp;"*"&amp;TEXT(PPL28-utc_offset/24,"YYYYMMDD")&amp;"*"" /stext="" "&amp;TEXT(PPL28-utc_offset/24,"HH")&amp;search_regexp&amp;""""</f>
        <v>#REF!</v>
      </c>
      <c r="PQJ28" s="234" t="e">
        <f>astrogrep_path&amp;" /e /r /s /spath="&amp;search_path&amp;" /stypes=""app*"&amp;PPF28&amp;"*"&amp;TEXT(PPM28-utc_offset/24,"YYYYMMDD")&amp;"*"" /stext="" "&amp;TEXT(PPM28-utc_offset/24,"HH")&amp;search_regexp&amp;""""</f>
        <v>#REF!</v>
      </c>
      <c r="PQK28" s="234" t="e">
        <f>astrogrep_path&amp;" /e /r /s /spath="&amp;search_path&amp;" /stypes=""app*"&amp;PPG28&amp;"*"&amp;TEXT(PPN28-utc_offset/24,"YYYYMMDD")&amp;"*"" /stext="" "&amp;TEXT(PPN28-utc_offset/24,"HH")&amp;search_regexp&amp;""""</f>
        <v>#REF!</v>
      </c>
      <c r="PQL28" s="234" t="e">
        <f>astrogrep_path&amp;" /e /r /s /spath="&amp;search_path&amp;" /stypes=""app*"&amp;PPH28&amp;"*"&amp;TEXT(PPO28-utc_offset/24,"YYYYMMDD")&amp;"*"" /stext="" "&amp;TEXT(PPO28-utc_offset/24,"HH")&amp;search_regexp&amp;""""</f>
        <v>#REF!</v>
      </c>
      <c r="PQM28" s="234" t="e">
        <f>astrogrep_path&amp;" /e /r /s /spath="&amp;search_path&amp;" /stypes=""app*"&amp;PPI28&amp;"*"&amp;TEXT(PPP28-utc_offset/24,"YYYYMMDD")&amp;"*"" /stext="" "&amp;TEXT(PPP28-utc_offset/24,"HH")&amp;search_regexp&amp;""""</f>
        <v>#REF!</v>
      </c>
      <c r="PQN28" s="234" t="e">
        <f>astrogrep_path&amp;" /e /r /s /spath="&amp;search_path&amp;" /stypes=""app*"&amp;PPJ28&amp;"*"&amp;TEXT(PPQ28-utc_offset/24,"YYYYMMDD")&amp;"*"" /stext="" "&amp;TEXT(PPQ28-utc_offset/24,"HH")&amp;search_regexp&amp;""""</f>
        <v>#REF!</v>
      </c>
      <c r="PQO28" s="234" t="e">
        <f>astrogrep_path&amp;" /e /r /s /spath="&amp;search_path&amp;" /stypes=""app*"&amp;PPK28&amp;"*"&amp;TEXT(PPR28-utc_offset/24,"YYYYMMDD")&amp;"*"" /stext="" "&amp;TEXT(PPR28-utc_offset/24,"HH")&amp;search_regexp&amp;""""</f>
        <v>#REF!</v>
      </c>
      <c r="PQP28" s="234" t="e">
        <f>astrogrep_path&amp;" /e /r /s /spath="&amp;search_path&amp;" /stypes=""app*"&amp;PPL28&amp;"*"&amp;TEXT(PPS28-utc_offset/24,"YYYYMMDD")&amp;"*"" /stext="" "&amp;TEXT(PPS28-utc_offset/24,"HH")&amp;search_regexp&amp;""""</f>
        <v>#REF!</v>
      </c>
      <c r="PQQ28" s="234" t="e">
        <f>astrogrep_path&amp;" /e /r /s /spath="&amp;search_path&amp;" /stypes=""app*"&amp;PPM28&amp;"*"&amp;TEXT(PPT28-utc_offset/24,"YYYYMMDD")&amp;"*"" /stext="" "&amp;TEXT(PPT28-utc_offset/24,"HH")&amp;search_regexp&amp;""""</f>
        <v>#REF!</v>
      </c>
      <c r="PQR28" s="234" t="e">
        <f>astrogrep_path&amp;" /e /r /s /spath="&amp;search_path&amp;" /stypes=""app*"&amp;PPN28&amp;"*"&amp;TEXT(PPU28-utc_offset/24,"YYYYMMDD")&amp;"*"" /stext="" "&amp;TEXT(PPU28-utc_offset/24,"HH")&amp;search_regexp&amp;""""</f>
        <v>#REF!</v>
      </c>
      <c r="PQS28" s="234" t="e">
        <f>astrogrep_path&amp;" /e /r /s /spath="&amp;search_path&amp;" /stypes=""app*"&amp;PPO28&amp;"*"&amp;TEXT(PPV28-utc_offset/24,"YYYYMMDD")&amp;"*"" /stext="" "&amp;TEXT(PPV28-utc_offset/24,"HH")&amp;search_regexp&amp;""""</f>
        <v>#REF!</v>
      </c>
      <c r="PQT28" s="234" t="e">
        <f>astrogrep_path&amp;" /e /r /s /spath="&amp;search_path&amp;" /stypes=""app*"&amp;PPP28&amp;"*"&amp;TEXT(PPW28-utc_offset/24,"YYYYMMDD")&amp;"*"" /stext="" "&amp;TEXT(PPW28-utc_offset/24,"HH")&amp;search_regexp&amp;""""</f>
        <v>#REF!</v>
      </c>
      <c r="PQU28" s="234" t="e">
        <f>astrogrep_path&amp;" /e /r /s /spath="&amp;search_path&amp;" /stypes=""app*"&amp;PPQ28&amp;"*"&amp;TEXT(PPX28-utc_offset/24,"YYYYMMDD")&amp;"*"" /stext="" "&amp;TEXT(PPX28-utc_offset/24,"HH")&amp;search_regexp&amp;""""</f>
        <v>#REF!</v>
      </c>
      <c r="PQV28" s="234" t="e">
        <f>astrogrep_path&amp;" /e /r /s /spath="&amp;search_path&amp;" /stypes=""app*"&amp;PPR28&amp;"*"&amp;TEXT(PPY28-utc_offset/24,"YYYYMMDD")&amp;"*"" /stext="" "&amp;TEXT(PPY28-utc_offset/24,"HH")&amp;search_regexp&amp;""""</f>
        <v>#REF!</v>
      </c>
      <c r="PQW28" s="234" t="e">
        <f>astrogrep_path&amp;" /e /r /s /spath="&amp;search_path&amp;" /stypes=""app*"&amp;PPS28&amp;"*"&amp;TEXT(PPZ28-utc_offset/24,"YYYYMMDD")&amp;"*"" /stext="" "&amp;TEXT(PPZ28-utc_offset/24,"HH")&amp;search_regexp&amp;""""</f>
        <v>#VALUE!</v>
      </c>
      <c r="PQX28" s="234" t="e">
        <f>astrogrep_path&amp;" /e /r /s /spath="&amp;search_path&amp;" /stypes=""app*"&amp;PPT28&amp;"*"&amp;TEXT(PQA28-utc_offset/24,"YYYYMMDD")&amp;"*"" /stext="" "&amp;TEXT(PQA28-utc_offset/24,"HH")&amp;search_regexp&amp;""""</f>
        <v>#VALUE!</v>
      </c>
      <c r="PQY28" s="234" t="e">
        <f>astrogrep_path&amp;" /e /r /s /spath="&amp;search_path&amp;" /stypes=""app*"&amp;PPU28&amp;"*"&amp;TEXT(PQB28-utc_offset/24,"YYYYMMDD")&amp;"*"" /stext="" "&amp;TEXT(PQB28-utc_offset/24,"HH")&amp;search_regexp&amp;""""</f>
        <v>#REF!</v>
      </c>
      <c r="PQZ28" s="234" t="e">
        <f>astrogrep_path&amp;" /e /r /s /spath="&amp;search_path&amp;" /stypes=""app*"&amp;PPV28&amp;"*"&amp;TEXT(PQC28-utc_offset/24,"YYYYMMDD")&amp;"*"" /stext="" "&amp;TEXT(PQC28-utc_offset/24,"HH")&amp;search_regexp&amp;""""</f>
        <v>#REF!</v>
      </c>
      <c r="PRA28" s="234" t="e">
        <f>astrogrep_path&amp;" /e /r /s /spath="&amp;search_path&amp;" /stypes=""app*"&amp;PPW28&amp;"*"&amp;TEXT(PQD28-utc_offset/24,"YYYYMMDD")&amp;"*"" /stext="" "&amp;TEXT(PQD28-utc_offset/24,"HH")&amp;search_regexp&amp;""""</f>
        <v>#VALUE!</v>
      </c>
      <c r="PRB28" s="234" t="e">
        <f>astrogrep_path&amp;" /e /r /s /spath="&amp;search_path&amp;" /stypes=""app*"&amp;PPX28&amp;"*"&amp;TEXT(PQE28-utc_offset/24,"YYYYMMDD")&amp;"*"" /stext="" "&amp;TEXT(PQE28-utc_offset/24,"HH")&amp;search_regexp&amp;""""</f>
        <v>#VALUE!</v>
      </c>
      <c r="PRC28" s="234" t="e">
        <f>astrogrep_path&amp;" /e /r /s /spath="&amp;search_path&amp;" /stypes=""app*"&amp;PPY28&amp;"*"&amp;TEXT(PQF28-utc_offset/24,"YYYYMMDD")&amp;"*"" /stext="" "&amp;TEXT(PQF28-utc_offset/24,"HH")&amp;search_regexp&amp;""""</f>
        <v>#VALUE!</v>
      </c>
      <c r="PRD28" s="234" t="e">
        <f>astrogrep_path&amp;" /e /r /s /spath="&amp;search_path&amp;" /stypes=""app*"&amp;PPZ28&amp;"*"&amp;TEXT(PQG28-utc_offset/24,"YYYYMMDD")&amp;"*"" /stext="" "&amp;TEXT(PQG28-utc_offset/24,"HH")&amp;search_regexp&amp;""""</f>
        <v>#VALUE!</v>
      </c>
      <c r="PRE28" s="234" t="e">
        <f>astrogrep_path&amp;" /e /r /s /spath="&amp;search_path&amp;" /stypes=""app*"&amp;PQA28&amp;"*"&amp;TEXT(PQH28-utc_offset/24,"YYYYMMDD")&amp;"*"" /stext="" "&amp;TEXT(PQH28-utc_offset/24,"HH")&amp;search_regexp&amp;""""</f>
        <v>#VALUE!</v>
      </c>
      <c r="PRF28" s="234" t="e">
        <f>astrogrep_path&amp;" /e /r /s /spath="&amp;search_path&amp;" /stypes=""app*"&amp;PQB28&amp;"*"&amp;TEXT(PQI28-utc_offset/24,"YYYYMMDD")&amp;"*"" /stext="" "&amp;TEXT(PQI28-utc_offset/24,"HH")&amp;search_regexp&amp;""""</f>
        <v>#REF!</v>
      </c>
      <c r="PRG28" s="234" t="e">
        <f>astrogrep_path&amp;" /e /r /s /spath="&amp;search_path&amp;" /stypes=""app*"&amp;PQC28&amp;"*"&amp;TEXT(PQJ28-utc_offset/24,"YYYYMMDD")&amp;"*"" /stext="" "&amp;TEXT(PQJ28-utc_offset/24,"HH")&amp;search_regexp&amp;""""</f>
        <v>#REF!</v>
      </c>
      <c r="PRH28" s="234" t="e">
        <f>astrogrep_path&amp;" /e /r /s /spath="&amp;search_path&amp;" /stypes=""app*"&amp;PQD28&amp;"*"&amp;TEXT(PQK28-utc_offset/24,"YYYYMMDD")&amp;"*"" /stext="" "&amp;TEXT(PQK28-utc_offset/24,"HH")&amp;search_regexp&amp;""""</f>
        <v>#REF!</v>
      </c>
      <c r="PRI28" s="234" t="e">
        <f>astrogrep_path&amp;" /e /r /s /spath="&amp;search_path&amp;" /stypes=""app*"&amp;PQE28&amp;"*"&amp;TEXT(PQL28-utc_offset/24,"YYYYMMDD")&amp;"*"" /stext="" "&amp;TEXT(PQL28-utc_offset/24,"HH")&amp;search_regexp&amp;""""</f>
        <v>#REF!</v>
      </c>
      <c r="PRJ28" s="234" t="e">
        <f>astrogrep_path&amp;" /e /r /s /spath="&amp;search_path&amp;" /stypes=""app*"&amp;PQF28&amp;"*"&amp;TEXT(PQM28-utc_offset/24,"YYYYMMDD")&amp;"*"" /stext="" "&amp;TEXT(PQM28-utc_offset/24,"HH")&amp;search_regexp&amp;""""</f>
        <v>#REF!</v>
      </c>
      <c r="PRK28" s="234" t="e">
        <f>astrogrep_path&amp;" /e /r /s /spath="&amp;search_path&amp;" /stypes=""app*"&amp;PQG28&amp;"*"&amp;TEXT(PQN28-utc_offset/24,"YYYYMMDD")&amp;"*"" /stext="" "&amp;TEXT(PQN28-utc_offset/24,"HH")&amp;search_regexp&amp;""""</f>
        <v>#REF!</v>
      </c>
      <c r="PRL28" s="234" t="e">
        <f>astrogrep_path&amp;" /e /r /s /spath="&amp;search_path&amp;" /stypes=""app*"&amp;PQH28&amp;"*"&amp;TEXT(PQO28-utc_offset/24,"YYYYMMDD")&amp;"*"" /stext="" "&amp;TEXT(PQO28-utc_offset/24,"HH")&amp;search_regexp&amp;""""</f>
        <v>#REF!</v>
      </c>
      <c r="PRM28" s="234" t="e">
        <f>astrogrep_path&amp;" /e /r /s /spath="&amp;search_path&amp;" /stypes=""app*"&amp;PQI28&amp;"*"&amp;TEXT(PQP28-utc_offset/24,"YYYYMMDD")&amp;"*"" /stext="" "&amp;TEXT(PQP28-utc_offset/24,"HH")&amp;search_regexp&amp;""""</f>
        <v>#REF!</v>
      </c>
      <c r="PRN28" s="234" t="e">
        <f>astrogrep_path&amp;" /e /r /s /spath="&amp;search_path&amp;" /stypes=""app*"&amp;PQJ28&amp;"*"&amp;TEXT(PQQ28-utc_offset/24,"YYYYMMDD")&amp;"*"" /stext="" "&amp;TEXT(PQQ28-utc_offset/24,"HH")&amp;search_regexp&amp;""""</f>
        <v>#REF!</v>
      </c>
      <c r="PRO28" s="234" t="e">
        <f>astrogrep_path&amp;" /e /r /s /spath="&amp;search_path&amp;" /stypes=""app*"&amp;PQK28&amp;"*"&amp;TEXT(PQR28-utc_offset/24,"YYYYMMDD")&amp;"*"" /stext="" "&amp;TEXT(PQR28-utc_offset/24,"HH")&amp;search_regexp&amp;""""</f>
        <v>#REF!</v>
      </c>
      <c r="PRP28" s="234" t="e">
        <f>astrogrep_path&amp;" /e /r /s /spath="&amp;search_path&amp;" /stypes=""app*"&amp;PQL28&amp;"*"&amp;TEXT(PQS28-utc_offset/24,"YYYYMMDD")&amp;"*"" /stext="" "&amp;TEXT(PQS28-utc_offset/24,"HH")&amp;search_regexp&amp;""""</f>
        <v>#REF!</v>
      </c>
      <c r="PRQ28" s="234" t="e">
        <f>astrogrep_path&amp;" /e /r /s /spath="&amp;search_path&amp;" /stypes=""app*"&amp;PQM28&amp;"*"&amp;TEXT(PQT28-utc_offset/24,"YYYYMMDD")&amp;"*"" /stext="" "&amp;TEXT(PQT28-utc_offset/24,"HH")&amp;search_regexp&amp;""""</f>
        <v>#REF!</v>
      </c>
      <c r="PRR28" s="234" t="e">
        <f>astrogrep_path&amp;" /e /r /s /spath="&amp;search_path&amp;" /stypes=""app*"&amp;PQN28&amp;"*"&amp;TEXT(PQU28-utc_offset/24,"YYYYMMDD")&amp;"*"" /stext="" "&amp;TEXT(PQU28-utc_offset/24,"HH")&amp;search_regexp&amp;""""</f>
        <v>#REF!</v>
      </c>
      <c r="PRS28" s="234" t="e">
        <f>astrogrep_path&amp;" /e /r /s /spath="&amp;search_path&amp;" /stypes=""app*"&amp;PQO28&amp;"*"&amp;TEXT(PQV28-utc_offset/24,"YYYYMMDD")&amp;"*"" /stext="" "&amp;TEXT(PQV28-utc_offset/24,"HH")&amp;search_regexp&amp;""""</f>
        <v>#REF!</v>
      </c>
      <c r="PRT28" s="234" t="e">
        <f>astrogrep_path&amp;" /e /r /s /spath="&amp;search_path&amp;" /stypes=""app*"&amp;PQP28&amp;"*"&amp;TEXT(PQW28-utc_offset/24,"YYYYMMDD")&amp;"*"" /stext="" "&amp;TEXT(PQW28-utc_offset/24,"HH")&amp;search_regexp&amp;""""</f>
        <v>#REF!</v>
      </c>
      <c r="PRU28" s="234" t="e">
        <f>astrogrep_path&amp;" /e /r /s /spath="&amp;search_path&amp;" /stypes=""app*"&amp;PQQ28&amp;"*"&amp;TEXT(PQX28-utc_offset/24,"YYYYMMDD")&amp;"*"" /stext="" "&amp;TEXT(PQX28-utc_offset/24,"HH")&amp;search_regexp&amp;""""</f>
        <v>#REF!</v>
      </c>
      <c r="PRV28" s="234" t="e">
        <f>astrogrep_path&amp;" /e /r /s /spath="&amp;search_path&amp;" /stypes=""app*"&amp;PQR28&amp;"*"&amp;TEXT(PQY28-utc_offset/24,"YYYYMMDD")&amp;"*"" /stext="" "&amp;TEXT(PQY28-utc_offset/24,"HH")&amp;search_regexp&amp;""""</f>
        <v>#REF!</v>
      </c>
      <c r="PRW28" s="234" t="e">
        <f>astrogrep_path&amp;" /e /r /s /spath="&amp;search_path&amp;" /stypes=""app*"&amp;PQS28&amp;"*"&amp;TEXT(PQZ28-utc_offset/24,"YYYYMMDD")&amp;"*"" /stext="" "&amp;TEXT(PQZ28-utc_offset/24,"HH")&amp;search_regexp&amp;""""</f>
        <v>#REF!</v>
      </c>
      <c r="PRX28" s="234" t="e">
        <f>astrogrep_path&amp;" /e /r /s /spath="&amp;search_path&amp;" /stypes=""app*"&amp;PQT28&amp;"*"&amp;TEXT(PRA28-utc_offset/24,"YYYYMMDD")&amp;"*"" /stext="" "&amp;TEXT(PRA28-utc_offset/24,"HH")&amp;search_regexp&amp;""""</f>
        <v>#REF!</v>
      </c>
      <c r="PRY28" s="234" t="e">
        <f>astrogrep_path&amp;" /e /r /s /spath="&amp;search_path&amp;" /stypes=""app*"&amp;PQU28&amp;"*"&amp;TEXT(PRB28-utc_offset/24,"YYYYMMDD")&amp;"*"" /stext="" "&amp;TEXT(PRB28-utc_offset/24,"HH")&amp;search_regexp&amp;""""</f>
        <v>#REF!</v>
      </c>
      <c r="PRZ28" s="234" t="e">
        <f>astrogrep_path&amp;" /e /r /s /spath="&amp;search_path&amp;" /stypes=""app*"&amp;PQV28&amp;"*"&amp;TEXT(PRC28-utc_offset/24,"YYYYMMDD")&amp;"*"" /stext="" "&amp;TEXT(PRC28-utc_offset/24,"HH")&amp;search_regexp&amp;""""</f>
        <v>#REF!</v>
      </c>
      <c r="PSA28" s="234" t="e">
        <f>astrogrep_path&amp;" /e /r /s /spath="&amp;search_path&amp;" /stypes=""app*"&amp;PQW28&amp;"*"&amp;TEXT(PRD28-utc_offset/24,"YYYYMMDD")&amp;"*"" /stext="" "&amp;TEXT(PRD28-utc_offset/24,"HH")&amp;search_regexp&amp;""""</f>
        <v>#VALUE!</v>
      </c>
      <c r="PSB28" s="234" t="e">
        <f>astrogrep_path&amp;" /e /r /s /spath="&amp;search_path&amp;" /stypes=""app*"&amp;PQX28&amp;"*"&amp;TEXT(PRE28-utc_offset/24,"YYYYMMDD")&amp;"*"" /stext="" "&amp;TEXT(PRE28-utc_offset/24,"HH")&amp;search_regexp&amp;""""</f>
        <v>#VALUE!</v>
      </c>
      <c r="PSC28" s="234" t="e">
        <f>astrogrep_path&amp;" /e /r /s /spath="&amp;search_path&amp;" /stypes=""app*"&amp;PQY28&amp;"*"&amp;TEXT(PRF28-utc_offset/24,"YYYYMMDD")&amp;"*"" /stext="" "&amp;TEXT(PRF28-utc_offset/24,"HH")&amp;search_regexp&amp;""""</f>
        <v>#REF!</v>
      </c>
      <c r="PSD28" s="234" t="e">
        <f>astrogrep_path&amp;" /e /r /s /spath="&amp;search_path&amp;" /stypes=""app*"&amp;PQZ28&amp;"*"&amp;TEXT(PRG28-utc_offset/24,"YYYYMMDD")&amp;"*"" /stext="" "&amp;TEXT(PRG28-utc_offset/24,"HH")&amp;search_regexp&amp;""""</f>
        <v>#REF!</v>
      </c>
      <c r="PSE28" s="234" t="e">
        <f>astrogrep_path&amp;" /e /r /s /spath="&amp;search_path&amp;" /stypes=""app*"&amp;PRA28&amp;"*"&amp;TEXT(PRH28-utc_offset/24,"YYYYMMDD")&amp;"*"" /stext="" "&amp;TEXT(PRH28-utc_offset/24,"HH")&amp;search_regexp&amp;""""</f>
        <v>#VALUE!</v>
      </c>
      <c r="PSF28" s="234" t="e">
        <f>astrogrep_path&amp;" /e /r /s /spath="&amp;search_path&amp;" /stypes=""app*"&amp;PRB28&amp;"*"&amp;TEXT(PRI28-utc_offset/24,"YYYYMMDD")&amp;"*"" /stext="" "&amp;TEXT(PRI28-utc_offset/24,"HH")&amp;search_regexp&amp;""""</f>
        <v>#VALUE!</v>
      </c>
      <c r="PSG28" s="234" t="e">
        <f>astrogrep_path&amp;" /e /r /s /spath="&amp;search_path&amp;" /stypes=""app*"&amp;PRC28&amp;"*"&amp;TEXT(PRJ28-utc_offset/24,"YYYYMMDD")&amp;"*"" /stext="" "&amp;TEXT(PRJ28-utc_offset/24,"HH")&amp;search_regexp&amp;""""</f>
        <v>#VALUE!</v>
      </c>
      <c r="PSH28" s="234" t="e">
        <f>astrogrep_path&amp;" /e /r /s /spath="&amp;search_path&amp;" /stypes=""app*"&amp;PRD28&amp;"*"&amp;TEXT(PRK28-utc_offset/24,"YYYYMMDD")&amp;"*"" /stext="" "&amp;TEXT(PRK28-utc_offset/24,"HH")&amp;search_regexp&amp;""""</f>
        <v>#VALUE!</v>
      </c>
      <c r="PSI28" s="234" t="e">
        <f>astrogrep_path&amp;" /e /r /s /spath="&amp;search_path&amp;" /stypes=""app*"&amp;PRE28&amp;"*"&amp;TEXT(PRL28-utc_offset/24,"YYYYMMDD")&amp;"*"" /stext="" "&amp;TEXT(PRL28-utc_offset/24,"HH")&amp;search_regexp&amp;""""</f>
        <v>#VALUE!</v>
      </c>
      <c r="PSJ28" s="234" t="e">
        <f>astrogrep_path&amp;" /e /r /s /spath="&amp;search_path&amp;" /stypes=""app*"&amp;PRF28&amp;"*"&amp;TEXT(PRM28-utc_offset/24,"YYYYMMDD")&amp;"*"" /stext="" "&amp;TEXT(PRM28-utc_offset/24,"HH")&amp;search_regexp&amp;""""</f>
        <v>#REF!</v>
      </c>
      <c r="PSK28" s="234" t="e">
        <f>astrogrep_path&amp;" /e /r /s /spath="&amp;search_path&amp;" /stypes=""app*"&amp;PRG28&amp;"*"&amp;TEXT(PRN28-utc_offset/24,"YYYYMMDD")&amp;"*"" /stext="" "&amp;TEXT(PRN28-utc_offset/24,"HH")&amp;search_regexp&amp;""""</f>
        <v>#REF!</v>
      </c>
      <c r="PSL28" s="234" t="e">
        <f>astrogrep_path&amp;" /e /r /s /spath="&amp;search_path&amp;" /stypes=""app*"&amp;PRH28&amp;"*"&amp;TEXT(PRO28-utc_offset/24,"YYYYMMDD")&amp;"*"" /stext="" "&amp;TEXT(PRO28-utc_offset/24,"HH")&amp;search_regexp&amp;""""</f>
        <v>#REF!</v>
      </c>
      <c r="PSM28" s="234" t="e">
        <f>astrogrep_path&amp;" /e /r /s /spath="&amp;search_path&amp;" /stypes=""app*"&amp;PRI28&amp;"*"&amp;TEXT(PRP28-utc_offset/24,"YYYYMMDD")&amp;"*"" /stext="" "&amp;TEXT(PRP28-utc_offset/24,"HH")&amp;search_regexp&amp;""""</f>
        <v>#REF!</v>
      </c>
      <c r="PSN28" s="234" t="e">
        <f>astrogrep_path&amp;" /e /r /s /spath="&amp;search_path&amp;" /stypes=""app*"&amp;PRJ28&amp;"*"&amp;TEXT(PRQ28-utc_offset/24,"YYYYMMDD")&amp;"*"" /stext="" "&amp;TEXT(PRQ28-utc_offset/24,"HH")&amp;search_regexp&amp;""""</f>
        <v>#REF!</v>
      </c>
      <c r="PSO28" s="234" t="e">
        <f>astrogrep_path&amp;" /e /r /s /spath="&amp;search_path&amp;" /stypes=""app*"&amp;PRK28&amp;"*"&amp;TEXT(PRR28-utc_offset/24,"YYYYMMDD")&amp;"*"" /stext="" "&amp;TEXT(PRR28-utc_offset/24,"HH")&amp;search_regexp&amp;""""</f>
        <v>#REF!</v>
      </c>
      <c r="PSP28" s="234" t="e">
        <f>astrogrep_path&amp;" /e /r /s /spath="&amp;search_path&amp;" /stypes=""app*"&amp;PRL28&amp;"*"&amp;TEXT(PRS28-utc_offset/24,"YYYYMMDD")&amp;"*"" /stext="" "&amp;TEXT(PRS28-utc_offset/24,"HH")&amp;search_regexp&amp;""""</f>
        <v>#REF!</v>
      </c>
      <c r="PSQ28" s="234" t="e">
        <f>astrogrep_path&amp;" /e /r /s /spath="&amp;search_path&amp;" /stypes=""app*"&amp;PRM28&amp;"*"&amp;TEXT(PRT28-utc_offset/24,"YYYYMMDD")&amp;"*"" /stext="" "&amp;TEXT(PRT28-utc_offset/24,"HH")&amp;search_regexp&amp;""""</f>
        <v>#REF!</v>
      </c>
      <c r="PSR28" s="234" t="e">
        <f>astrogrep_path&amp;" /e /r /s /spath="&amp;search_path&amp;" /stypes=""app*"&amp;PRN28&amp;"*"&amp;TEXT(PRU28-utc_offset/24,"YYYYMMDD")&amp;"*"" /stext="" "&amp;TEXT(PRU28-utc_offset/24,"HH")&amp;search_regexp&amp;""""</f>
        <v>#REF!</v>
      </c>
      <c r="PSS28" s="234" t="e">
        <f>astrogrep_path&amp;" /e /r /s /spath="&amp;search_path&amp;" /stypes=""app*"&amp;PRO28&amp;"*"&amp;TEXT(PRV28-utc_offset/24,"YYYYMMDD")&amp;"*"" /stext="" "&amp;TEXT(PRV28-utc_offset/24,"HH")&amp;search_regexp&amp;""""</f>
        <v>#REF!</v>
      </c>
      <c r="PST28" s="234" t="e">
        <f>astrogrep_path&amp;" /e /r /s /spath="&amp;search_path&amp;" /stypes=""app*"&amp;PRP28&amp;"*"&amp;TEXT(PRW28-utc_offset/24,"YYYYMMDD")&amp;"*"" /stext="" "&amp;TEXT(PRW28-utc_offset/24,"HH")&amp;search_regexp&amp;""""</f>
        <v>#REF!</v>
      </c>
      <c r="PSU28" s="234" t="e">
        <f>astrogrep_path&amp;" /e /r /s /spath="&amp;search_path&amp;" /stypes=""app*"&amp;PRQ28&amp;"*"&amp;TEXT(PRX28-utc_offset/24,"YYYYMMDD")&amp;"*"" /stext="" "&amp;TEXT(PRX28-utc_offset/24,"HH")&amp;search_regexp&amp;""""</f>
        <v>#REF!</v>
      </c>
      <c r="PSV28" s="234" t="e">
        <f>astrogrep_path&amp;" /e /r /s /spath="&amp;search_path&amp;" /stypes=""app*"&amp;PRR28&amp;"*"&amp;TEXT(PRY28-utc_offset/24,"YYYYMMDD")&amp;"*"" /stext="" "&amp;TEXT(PRY28-utc_offset/24,"HH")&amp;search_regexp&amp;""""</f>
        <v>#REF!</v>
      </c>
      <c r="PSW28" s="234" t="e">
        <f>astrogrep_path&amp;" /e /r /s /spath="&amp;search_path&amp;" /stypes=""app*"&amp;PRS28&amp;"*"&amp;TEXT(PRZ28-utc_offset/24,"YYYYMMDD")&amp;"*"" /stext="" "&amp;TEXT(PRZ28-utc_offset/24,"HH")&amp;search_regexp&amp;""""</f>
        <v>#REF!</v>
      </c>
      <c r="PSX28" s="234" t="e">
        <f>astrogrep_path&amp;" /e /r /s /spath="&amp;search_path&amp;" /stypes=""app*"&amp;PRT28&amp;"*"&amp;TEXT(PSA28-utc_offset/24,"YYYYMMDD")&amp;"*"" /stext="" "&amp;TEXT(PSA28-utc_offset/24,"HH")&amp;search_regexp&amp;""""</f>
        <v>#REF!</v>
      </c>
      <c r="PSY28" s="234" t="e">
        <f>astrogrep_path&amp;" /e /r /s /spath="&amp;search_path&amp;" /stypes=""app*"&amp;PRU28&amp;"*"&amp;TEXT(PSB28-utc_offset/24,"YYYYMMDD")&amp;"*"" /stext="" "&amp;TEXT(PSB28-utc_offset/24,"HH")&amp;search_regexp&amp;""""</f>
        <v>#REF!</v>
      </c>
      <c r="PSZ28" s="234" t="e">
        <f>astrogrep_path&amp;" /e /r /s /spath="&amp;search_path&amp;" /stypes=""app*"&amp;PRV28&amp;"*"&amp;TEXT(PSC28-utc_offset/24,"YYYYMMDD")&amp;"*"" /stext="" "&amp;TEXT(PSC28-utc_offset/24,"HH")&amp;search_regexp&amp;""""</f>
        <v>#REF!</v>
      </c>
      <c r="PTA28" s="234" t="e">
        <f>astrogrep_path&amp;" /e /r /s /spath="&amp;search_path&amp;" /stypes=""app*"&amp;PRW28&amp;"*"&amp;TEXT(PSD28-utc_offset/24,"YYYYMMDD")&amp;"*"" /stext="" "&amp;TEXT(PSD28-utc_offset/24,"HH")&amp;search_regexp&amp;""""</f>
        <v>#REF!</v>
      </c>
      <c r="PTB28" s="234" t="e">
        <f>astrogrep_path&amp;" /e /r /s /spath="&amp;search_path&amp;" /stypes=""app*"&amp;PRX28&amp;"*"&amp;TEXT(PSE28-utc_offset/24,"YYYYMMDD")&amp;"*"" /stext="" "&amp;TEXT(PSE28-utc_offset/24,"HH")&amp;search_regexp&amp;""""</f>
        <v>#REF!</v>
      </c>
      <c r="PTC28" s="234" t="e">
        <f>astrogrep_path&amp;" /e /r /s /spath="&amp;search_path&amp;" /stypes=""app*"&amp;PRY28&amp;"*"&amp;TEXT(PSF28-utc_offset/24,"YYYYMMDD")&amp;"*"" /stext="" "&amp;TEXT(PSF28-utc_offset/24,"HH")&amp;search_regexp&amp;""""</f>
        <v>#REF!</v>
      </c>
      <c r="PTD28" s="234" t="e">
        <f>astrogrep_path&amp;" /e /r /s /spath="&amp;search_path&amp;" /stypes=""app*"&amp;PRZ28&amp;"*"&amp;TEXT(PSG28-utc_offset/24,"YYYYMMDD")&amp;"*"" /stext="" "&amp;TEXT(PSG28-utc_offset/24,"HH")&amp;search_regexp&amp;""""</f>
        <v>#REF!</v>
      </c>
      <c r="PTE28" s="234" t="e">
        <f>astrogrep_path&amp;" /e /r /s /spath="&amp;search_path&amp;" /stypes=""app*"&amp;PSA28&amp;"*"&amp;TEXT(PSH28-utc_offset/24,"YYYYMMDD")&amp;"*"" /stext="" "&amp;TEXT(PSH28-utc_offset/24,"HH")&amp;search_regexp&amp;""""</f>
        <v>#VALUE!</v>
      </c>
      <c r="PTF28" s="234" t="e">
        <f>astrogrep_path&amp;" /e /r /s /spath="&amp;search_path&amp;" /stypes=""app*"&amp;PSB28&amp;"*"&amp;TEXT(PSI28-utc_offset/24,"YYYYMMDD")&amp;"*"" /stext="" "&amp;TEXT(PSI28-utc_offset/24,"HH")&amp;search_regexp&amp;""""</f>
        <v>#VALUE!</v>
      </c>
      <c r="PTG28" s="234" t="e">
        <f>astrogrep_path&amp;" /e /r /s /spath="&amp;search_path&amp;" /stypes=""app*"&amp;PSC28&amp;"*"&amp;TEXT(PSJ28-utc_offset/24,"YYYYMMDD")&amp;"*"" /stext="" "&amp;TEXT(PSJ28-utc_offset/24,"HH")&amp;search_regexp&amp;""""</f>
        <v>#REF!</v>
      </c>
      <c r="PTH28" s="234" t="e">
        <f>astrogrep_path&amp;" /e /r /s /spath="&amp;search_path&amp;" /stypes=""app*"&amp;PSD28&amp;"*"&amp;TEXT(PSK28-utc_offset/24,"YYYYMMDD")&amp;"*"" /stext="" "&amp;TEXT(PSK28-utc_offset/24,"HH")&amp;search_regexp&amp;""""</f>
        <v>#REF!</v>
      </c>
      <c r="PTI28" s="234" t="e">
        <f>astrogrep_path&amp;" /e /r /s /spath="&amp;search_path&amp;" /stypes=""app*"&amp;PSE28&amp;"*"&amp;TEXT(PSL28-utc_offset/24,"YYYYMMDD")&amp;"*"" /stext="" "&amp;TEXT(PSL28-utc_offset/24,"HH")&amp;search_regexp&amp;""""</f>
        <v>#VALUE!</v>
      </c>
      <c r="PTJ28" s="234" t="e">
        <f>astrogrep_path&amp;" /e /r /s /spath="&amp;search_path&amp;" /stypes=""app*"&amp;PSF28&amp;"*"&amp;TEXT(PSM28-utc_offset/24,"YYYYMMDD")&amp;"*"" /stext="" "&amp;TEXT(PSM28-utc_offset/24,"HH")&amp;search_regexp&amp;""""</f>
        <v>#VALUE!</v>
      </c>
      <c r="PTK28" s="234" t="e">
        <f>astrogrep_path&amp;" /e /r /s /spath="&amp;search_path&amp;" /stypes=""app*"&amp;PSG28&amp;"*"&amp;TEXT(PSN28-utc_offset/24,"YYYYMMDD")&amp;"*"" /stext="" "&amp;TEXT(PSN28-utc_offset/24,"HH")&amp;search_regexp&amp;""""</f>
        <v>#VALUE!</v>
      </c>
      <c r="PTL28" s="234" t="e">
        <f>astrogrep_path&amp;" /e /r /s /spath="&amp;search_path&amp;" /stypes=""app*"&amp;PSH28&amp;"*"&amp;TEXT(PSO28-utc_offset/24,"YYYYMMDD")&amp;"*"" /stext="" "&amp;TEXT(PSO28-utc_offset/24,"HH")&amp;search_regexp&amp;""""</f>
        <v>#VALUE!</v>
      </c>
      <c r="PTM28" s="234" t="e">
        <f>astrogrep_path&amp;" /e /r /s /spath="&amp;search_path&amp;" /stypes=""app*"&amp;PSI28&amp;"*"&amp;TEXT(PSP28-utc_offset/24,"YYYYMMDD")&amp;"*"" /stext="" "&amp;TEXT(PSP28-utc_offset/24,"HH")&amp;search_regexp&amp;""""</f>
        <v>#VALUE!</v>
      </c>
      <c r="PTN28" s="234" t="e">
        <f>astrogrep_path&amp;" /e /r /s /spath="&amp;search_path&amp;" /stypes=""app*"&amp;PSJ28&amp;"*"&amp;TEXT(PSQ28-utc_offset/24,"YYYYMMDD")&amp;"*"" /stext="" "&amp;TEXT(PSQ28-utc_offset/24,"HH")&amp;search_regexp&amp;""""</f>
        <v>#REF!</v>
      </c>
      <c r="PTO28" s="234" t="e">
        <f>astrogrep_path&amp;" /e /r /s /spath="&amp;search_path&amp;" /stypes=""app*"&amp;PSK28&amp;"*"&amp;TEXT(PSR28-utc_offset/24,"YYYYMMDD")&amp;"*"" /stext="" "&amp;TEXT(PSR28-utc_offset/24,"HH")&amp;search_regexp&amp;""""</f>
        <v>#REF!</v>
      </c>
      <c r="PTP28" s="234" t="e">
        <f>astrogrep_path&amp;" /e /r /s /spath="&amp;search_path&amp;" /stypes=""app*"&amp;PSL28&amp;"*"&amp;TEXT(PSS28-utc_offset/24,"YYYYMMDD")&amp;"*"" /stext="" "&amp;TEXT(PSS28-utc_offset/24,"HH")&amp;search_regexp&amp;""""</f>
        <v>#REF!</v>
      </c>
      <c r="PTQ28" s="234" t="e">
        <f>astrogrep_path&amp;" /e /r /s /spath="&amp;search_path&amp;" /stypes=""app*"&amp;PSM28&amp;"*"&amp;TEXT(PST28-utc_offset/24,"YYYYMMDD")&amp;"*"" /stext="" "&amp;TEXT(PST28-utc_offset/24,"HH")&amp;search_regexp&amp;""""</f>
        <v>#REF!</v>
      </c>
      <c r="PTR28" s="234" t="e">
        <f>astrogrep_path&amp;" /e /r /s /spath="&amp;search_path&amp;" /stypes=""app*"&amp;PSN28&amp;"*"&amp;TEXT(PSU28-utc_offset/24,"YYYYMMDD")&amp;"*"" /stext="" "&amp;TEXT(PSU28-utc_offset/24,"HH")&amp;search_regexp&amp;""""</f>
        <v>#REF!</v>
      </c>
      <c r="PTS28" s="234" t="e">
        <f>astrogrep_path&amp;" /e /r /s /spath="&amp;search_path&amp;" /stypes=""app*"&amp;PSO28&amp;"*"&amp;TEXT(PSV28-utc_offset/24,"YYYYMMDD")&amp;"*"" /stext="" "&amp;TEXT(PSV28-utc_offset/24,"HH")&amp;search_regexp&amp;""""</f>
        <v>#REF!</v>
      </c>
      <c r="PTT28" s="234" t="e">
        <f>astrogrep_path&amp;" /e /r /s /spath="&amp;search_path&amp;" /stypes=""app*"&amp;PSP28&amp;"*"&amp;TEXT(PSW28-utc_offset/24,"YYYYMMDD")&amp;"*"" /stext="" "&amp;TEXT(PSW28-utc_offset/24,"HH")&amp;search_regexp&amp;""""</f>
        <v>#REF!</v>
      </c>
      <c r="PTU28" s="234" t="e">
        <f>astrogrep_path&amp;" /e /r /s /spath="&amp;search_path&amp;" /stypes=""app*"&amp;PSQ28&amp;"*"&amp;TEXT(PSX28-utc_offset/24,"YYYYMMDD")&amp;"*"" /stext="" "&amp;TEXT(PSX28-utc_offset/24,"HH")&amp;search_regexp&amp;""""</f>
        <v>#REF!</v>
      </c>
      <c r="PTV28" s="234" t="e">
        <f>astrogrep_path&amp;" /e /r /s /spath="&amp;search_path&amp;" /stypes=""app*"&amp;PSR28&amp;"*"&amp;TEXT(PSY28-utc_offset/24,"YYYYMMDD")&amp;"*"" /stext="" "&amp;TEXT(PSY28-utc_offset/24,"HH")&amp;search_regexp&amp;""""</f>
        <v>#REF!</v>
      </c>
      <c r="PTW28" s="234" t="e">
        <f>astrogrep_path&amp;" /e /r /s /spath="&amp;search_path&amp;" /stypes=""app*"&amp;PSS28&amp;"*"&amp;TEXT(PSZ28-utc_offset/24,"YYYYMMDD")&amp;"*"" /stext="" "&amp;TEXT(PSZ28-utc_offset/24,"HH")&amp;search_regexp&amp;""""</f>
        <v>#REF!</v>
      </c>
      <c r="PTX28" s="234" t="e">
        <f>astrogrep_path&amp;" /e /r /s /spath="&amp;search_path&amp;" /stypes=""app*"&amp;PST28&amp;"*"&amp;TEXT(PTA28-utc_offset/24,"YYYYMMDD")&amp;"*"" /stext="" "&amp;TEXT(PTA28-utc_offset/24,"HH")&amp;search_regexp&amp;""""</f>
        <v>#REF!</v>
      </c>
      <c r="PTY28" s="234" t="e">
        <f>astrogrep_path&amp;" /e /r /s /spath="&amp;search_path&amp;" /stypes=""app*"&amp;PSU28&amp;"*"&amp;TEXT(PTB28-utc_offset/24,"YYYYMMDD")&amp;"*"" /stext="" "&amp;TEXT(PTB28-utc_offset/24,"HH")&amp;search_regexp&amp;""""</f>
        <v>#REF!</v>
      </c>
      <c r="PTZ28" s="234" t="e">
        <f>astrogrep_path&amp;" /e /r /s /spath="&amp;search_path&amp;" /stypes=""app*"&amp;PSV28&amp;"*"&amp;TEXT(PTC28-utc_offset/24,"YYYYMMDD")&amp;"*"" /stext="" "&amp;TEXT(PTC28-utc_offset/24,"HH")&amp;search_regexp&amp;""""</f>
        <v>#REF!</v>
      </c>
      <c r="PUA28" s="234" t="e">
        <f>astrogrep_path&amp;" /e /r /s /spath="&amp;search_path&amp;" /stypes=""app*"&amp;PSW28&amp;"*"&amp;TEXT(PTD28-utc_offset/24,"YYYYMMDD")&amp;"*"" /stext="" "&amp;TEXT(PTD28-utc_offset/24,"HH")&amp;search_regexp&amp;""""</f>
        <v>#REF!</v>
      </c>
      <c r="PUB28" s="234" t="e">
        <f>astrogrep_path&amp;" /e /r /s /spath="&amp;search_path&amp;" /stypes=""app*"&amp;PSX28&amp;"*"&amp;TEXT(PTE28-utc_offset/24,"YYYYMMDD")&amp;"*"" /stext="" "&amp;TEXT(PTE28-utc_offset/24,"HH")&amp;search_regexp&amp;""""</f>
        <v>#REF!</v>
      </c>
      <c r="PUC28" s="234" t="e">
        <f>astrogrep_path&amp;" /e /r /s /spath="&amp;search_path&amp;" /stypes=""app*"&amp;PSY28&amp;"*"&amp;TEXT(PTF28-utc_offset/24,"YYYYMMDD")&amp;"*"" /stext="" "&amp;TEXT(PTF28-utc_offset/24,"HH")&amp;search_regexp&amp;""""</f>
        <v>#REF!</v>
      </c>
      <c r="PUD28" s="234" t="e">
        <f>astrogrep_path&amp;" /e /r /s /spath="&amp;search_path&amp;" /stypes=""app*"&amp;PSZ28&amp;"*"&amp;TEXT(PTG28-utc_offset/24,"YYYYMMDD")&amp;"*"" /stext="" "&amp;TEXT(PTG28-utc_offset/24,"HH")&amp;search_regexp&amp;""""</f>
        <v>#REF!</v>
      </c>
      <c r="PUE28" s="234" t="e">
        <f>astrogrep_path&amp;" /e /r /s /spath="&amp;search_path&amp;" /stypes=""app*"&amp;PTA28&amp;"*"&amp;TEXT(PTH28-utc_offset/24,"YYYYMMDD")&amp;"*"" /stext="" "&amp;TEXT(PTH28-utc_offset/24,"HH")&amp;search_regexp&amp;""""</f>
        <v>#REF!</v>
      </c>
      <c r="PUF28" s="234" t="e">
        <f>astrogrep_path&amp;" /e /r /s /spath="&amp;search_path&amp;" /stypes=""app*"&amp;PTB28&amp;"*"&amp;TEXT(PTI28-utc_offset/24,"YYYYMMDD")&amp;"*"" /stext="" "&amp;TEXT(PTI28-utc_offset/24,"HH")&amp;search_regexp&amp;""""</f>
        <v>#REF!</v>
      </c>
      <c r="PUG28" s="234" t="e">
        <f>astrogrep_path&amp;" /e /r /s /spath="&amp;search_path&amp;" /stypes=""app*"&amp;PTC28&amp;"*"&amp;TEXT(PTJ28-utc_offset/24,"YYYYMMDD")&amp;"*"" /stext="" "&amp;TEXT(PTJ28-utc_offset/24,"HH")&amp;search_regexp&amp;""""</f>
        <v>#REF!</v>
      </c>
      <c r="PUH28" s="234" t="e">
        <f>astrogrep_path&amp;" /e /r /s /spath="&amp;search_path&amp;" /stypes=""app*"&amp;PTD28&amp;"*"&amp;TEXT(PTK28-utc_offset/24,"YYYYMMDD")&amp;"*"" /stext="" "&amp;TEXT(PTK28-utc_offset/24,"HH")&amp;search_regexp&amp;""""</f>
        <v>#REF!</v>
      </c>
      <c r="PUI28" s="234" t="e">
        <f>astrogrep_path&amp;" /e /r /s /spath="&amp;search_path&amp;" /stypes=""app*"&amp;PTE28&amp;"*"&amp;TEXT(PTL28-utc_offset/24,"YYYYMMDD")&amp;"*"" /stext="" "&amp;TEXT(PTL28-utc_offset/24,"HH")&amp;search_regexp&amp;""""</f>
        <v>#VALUE!</v>
      </c>
      <c r="PUJ28" s="234" t="e">
        <f>astrogrep_path&amp;" /e /r /s /spath="&amp;search_path&amp;" /stypes=""app*"&amp;PTF28&amp;"*"&amp;TEXT(PTM28-utc_offset/24,"YYYYMMDD")&amp;"*"" /stext="" "&amp;TEXT(PTM28-utc_offset/24,"HH")&amp;search_regexp&amp;""""</f>
        <v>#VALUE!</v>
      </c>
      <c r="PUK28" s="234" t="e">
        <f>astrogrep_path&amp;" /e /r /s /spath="&amp;search_path&amp;" /stypes=""app*"&amp;PTG28&amp;"*"&amp;TEXT(PTN28-utc_offset/24,"YYYYMMDD")&amp;"*"" /stext="" "&amp;TEXT(PTN28-utc_offset/24,"HH")&amp;search_regexp&amp;""""</f>
        <v>#REF!</v>
      </c>
      <c r="PUL28" s="234" t="e">
        <f>astrogrep_path&amp;" /e /r /s /spath="&amp;search_path&amp;" /stypes=""app*"&amp;PTH28&amp;"*"&amp;TEXT(PTO28-utc_offset/24,"YYYYMMDD")&amp;"*"" /stext="" "&amp;TEXT(PTO28-utc_offset/24,"HH")&amp;search_regexp&amp;""""</f>
        <v>#REF!</v>
      </c>
      <c r="PUM28" s="234" t="e">
        <f>astrogrep_path&amp;" /e /r /s /spath="&amp;search_path&amp;" /stypes=""app*"&amp;PTI28&amp;"*"&amp;TEXT(PTP28-utc_offset/24,"YYYYMMDD")&amp;"*"" /stext="" "&amp;TEXT(PTP28-utc_offset/24,"HH")&amp;search_regexp&amp;""""</f>
        <v>#VALUE!</v>
      </c>
      <c r="PUN28" s="234" t="e">
        <f>astrogrep_path&amp;" /e /r /s /spath="&amp;search_path&amp;" /stypes=""app*"&amp;PTJ28&amp;"*"&amp;TEXT(PTQ28-utc_offset/24,"YYYYMMDD")&amp;"*"" /stext="" "&amp;TEXT(PTQ28-utc_offset/24,"HH")&amp;search_regexp&amp;""""</f>
        <v>#VALUE!</v>
      </c>
      <c r="PUO28" s="234" t="e">
        <f>astrogrep_path&amp;" /e /r /s /spath="&amp;search_path&amp;" /stypes=""app*"&amp;PTK28&amp;"*"&amp;TEXT(PTR28-utc_offset/24,"YYYYMMDD")&amp;"*"" /stext="" "&amp;TEXT(PTR28-utc_offset/24,"HH")&amp;search_regexp&amp;""""</f>
        <v>#VALUE!</v>
      </c>
      <c r="PUP28" s="234" t="e">
        <f>astrogrep_path&amp;" /e /r /s /spath="&amp;search_path&amp;" /stypes=""app*"&amp;PTL28&amp;"*"&amp;TEXT(PTS28-utc_offset/24,"YYYYMMDD")&amp;"*"" /stext="" "&amp;TEXT(PTS28-utc_offset/24,"HH")&amp;search_regexp&amp;""""</f>
        <v>#VALUE!</v>
      </c>
      <c r="PUQ28" s="234" t="e">
        <f>astrogrep_path&amp;" /e /r /s /spath="&amp;search_path&amp;" /stypes=""app*"&amp;PTM28&amp;"*"&amp;TEXT(PTT28-utc_offset/24,"YYYYMMDD")&amp;"*"" /stext="" "&amp;TEXT(PTT28-utc_offset/24,"HH")&amp;search_regexp&amp;""""</f>
        <v>#VALUE!</v>
      </c>
      <c r="PUR28" s="234" t="e">
        <f>astrogrep_path&amp;" /e /r /s /spath="&amp;search_path&amp;" /stypes=""app*"&amp;PTN28&amp;"*"&amp;TEXT(PTU28-utc_offset/24,"YYYYMMDD")&amp;"*"" /stext="" "&amp;TEXT(PTU28-utc_offset/24,"HH")&amp;search_regexp&amp;""""</f>
        <v>#REF!</v>
      </c>
      <c r="PUS28" s="234" t="e">
        <f>astrogrep_path&amp;" /e /r /s /spath="&amp;search_path&amp;" /stypes=""app*"&amp;PTO28&amp;"*"&amp;TEXT(PTV28-utc_offset/24,"YYYYMMDD")&amp;"*"" /stext="" "&amp;TEXT(PTV28-utc_offset/24,"HH")&amp;search_regexp&amp;""""</f>
        <v>#REF!</v>
      </c>
      <c r="PUT28" s="234" t="e">
        <f>astrogrep_path&amp;" /e /r /s /spath="&amp;search_path&amp;" /stypes=""app*"&amp;PTP28&amp;"*"&amp;TEXT(PTW28-utc_offset/24,"YYYYMMDD")&amp;"*"" /stext="" "&amp;TEXT(PTW28-utc_offset/24,"HH")&amp;search_regexp&amp;""""</f>
        <v>#REF!</v>
      </c>
      <c r="PUU28" s="234" t="e">
        <f>astrogrep_path&amp;" /e /r /s /spath="&amp;search_path&amp;" /stypes=""app*"&amp;PTQ28&amp;"*"&amp;TEXT(PTX28-utc_offset/24,"YYYYMMDD")&amp;"*"" /stext="" "&amp;TEXT(PTX28-utc_offset/24,"HH")&amp;search_regexp&amp;""""</f>
        <v>#REF!</v>
      </c>
      <c r="PUV28" s="234" t="e">
        <f>astrogrep_path&amp;" /e /r /s /spath="&amp;search_path&amp;" /stypes=""app*"&amp;PTR28&amp;"*"&amp;TEXT(PTY28-utc_offset/24,"YYYYMMDD")&amp;"*"" /stext="" "&amp;TEXT(PTY28-utc_offset/24,"HH")&amp;search_regexp&amp;""""</f>
        <v>#REF!</v>
      </c>
      <c r="PUW28" s="234" t="e">
        <f>astrogrep_path&amp;" /e /r /s /spath="&amp;search_path&amp;" /stypes=""app*"&amp;PTS28&amp;"*"&amp;TEXT(PTZ28-utc_offset/24,"YYYYMMDD")&amp;"*"" /stext="" "&amp;TEXT(PTZ28-utc_offset/24,"HH")&amp;search_regexp&amp;""""</f>
        <v>#REF!</v>
      </c>
      <c r="PUX28" s="234" t="e">
        <f>astrogrep_path&amp;" /e /r /s /spath="&amp;search_path&amp;" /stypes=""app*"&amp;PTT28&amp;"*"&amp;TEXT(PUA28-utc_offset/24,"YYYYMMDD")&amp;"*"" /stext="" "&amp;TEXT(PUA28-utc_offset/24,"HH")&amp;search_regexp&amp;""""</f>
        <v>#REF!</v>
      </c>
      <c r="PUY28" s="234" t="e">
        <f>astrogrep_path&amp;" /e /r /s /spath="&amp;search_path&amp;" /stypes=""app*"&amp;PTU28&amp;"*"&amp;TEXT(PUB28-utc_offset/24,"YYYYMMDD")&amp;"*"" /stext="" "&amp;TEXT(PUB28-utc_offset/24,"HH")&amp;search_regexp&amp;""""</f>
        <v>#REF!</v>
      </c>
      <c r="PUZ28" s="234" t="e">
        <f>astrogrep_path&amp;" /e /r /s /spath="&amp;search_path&amp;" /stypes=""app*"&amp;PTV28&amp;"*"&amp;TEXT(PUC28-utc_offset/24,"YYYYMMDD")&amp;"*"" /stext="" "&amp;TEXT(PUC28-utc_offset/24,"HH")&amp;search_regexp&amp;""""</f>
        <v>#REF!</v>
      </c>
      <c r="PVA28" s="234" t="e">
        <f>astrogrep_path&amp;" /e /r /s /spath="&amp;search_path&amp;" /stypes=""app*"&amp;PTW28&amp;"*"&amp;TEXT(PUD28-utc_offset/24,"YYYYMMDD")&amp;"*"" /stext="" "&amp;TEXT(PUD28-utc_offset/24,"HH")&amp;search_regexp&amp;""""</f>
        <v>#REF!</v>
      </c>
      <c r="PVB28" s="234" t="e">
        <f>astrogrep_path&amp;" /e /r /s /spath="&amp;search_path&amp;" /stypes=""app*"&amp;PTX28&amp;"*"&amp;TEXT(PUE28-utc_offset/24,"YYYYMMDD")&amp;"*"" /stext="" "&amp;TEXT(PUE28-utc_offset/24,"HH")&amp;search_regexp&amp;""""</f>
        <v>#REF!</v>
      </c>
      <c r="PVC28" s="234" t="e">
        <f>astrogrep_path&amp;" /e /r /s /spath="&amp;search_path&amp;" /stypes=""app*"&amp;PTY28&amp;"*"&amp;TEXT(PUF28-utc_offset/24,"YYYYMMDD")&amp;"*"" /stext="" "&amp;TEXT(PUF28-utc_offset/24,"HH")&amp;search_regexp&amp;""""</f>
        <v>#REF!</v>
      </c>
      <c r="PVD28" s="234" t="e">
        <f>astrogrep_path&amp;" /e /r /s /spath="&amp;search_path&amp;" /stypes=""app*"&amp;PTZ28&amp;"*"&amp;TEXT(PUG28-utc_offset/24,"YYYYMMDD")&amp;"*"" /stext="" "&amp;TEXT(PUG28-utc_offset/24,"HH")&amp;search_regexp&amp;""""</f>
        <v>#REF!</v>
      </c>
      <c r="PVE28" s="234" t="e">
        <f>astrogrep_path&amp;" /e /r /s /spath="&amp;search_path&amp;" /stypes=""app*"&amp;PUA28&amp;"*"&amp;TEXT(PUH28-utc_offset/24,"YYYYMMDD")&amp;"*"" /stext="" "&amp;TEXT(PUH28-utc_offset/24,"HH")&amp;search_regexp&amp;""""</f>
        <v>#REF!</v>
      </c>
      <c r="PVF28" s="234" t="e">
        <f>astrogrep_path&amp;" /e /r /s /spath="&amp;search_path&amp;" /stypes=""app*"&amp;PUB28&amp;"*"&amp;TEXT(PUI28-utc_offset/24,"YYYYMMDD")&amp;"*"" /stext="" "&amp;TEXT(PUI28-utc_offset/24,"HH")&amp;search_regexp&amp;""""</f>
        <v>#REF!</v>
      </c>
      <c r="PVG28" s="234" t="e">
        <f>astrogrep_path&amp;" /e /r /s /spath="&amp;search_path&amp;" /stypes=""app*"&amp;PUC28&amp;"*"&amp;TEXT(PUJ28-utc_offset/24,"YYYYMMDD")&amp;"*"" /stext="" "&amp;TEXT(PUJ28-utc_offset/24,"HH")&amp;search_regexp&amp;""""</f>
        <v>#REF!</v>
      </c>
      <c r="PVH28" s="234" t="e">
        <f>astrogrep_path&amp;" /e /r /s /spath="&amp;search_path&amp;" /stypes=""app*"&amp;PUD28&amp;"*"&amp;TEXT(PUK28-utc_offset/24,"YYYYMMDD")&amp;"*"" /stext="" "&amp;TEXT(PUK28-utc_offset/24,"HH")&amp;search_regexp&amp;""""</f>
        <v>#REF!</v>
      </c>
      <c r="PVI28" s="234" t="e">
        <f>astrogrep_path&amp;" /e /r /s /spath="&amp;search_path&amp;" /stypes=""app*"&amp;PUE28&amp;"*"&amp;TEXT(PUL28-utc_offset/24,"YYYYMMDD")&amp;"*"" /stext="" "&amp;TEXT(PUL28-utc_offset/24,"HH")&amp;search_regexp&amp;""""</f>
        <v>#REF!</v>
      </c>
      <c r="PVJ28" s="234" t="e">
        <f>astrogrep_path&amp;" /e /r /s /spath="&amp;search_path&amp;" /stypes=""app*"&amp;PUF28&amp;"*"&amp;TEXT(PUM28-utc_offset/24,"YYYYMMDD")&amp;"*"" /stext="" "&amp;TEXT(PUM28-utc_offset/24,"HH")&amp;search_regexp&amp;""""</f>
        <v>#REF!</v>
      </c>
      <c r="PVK28" s="234" t="e">
        <f>astrogrep_path&amp;" /e /r /s /spath="&amp;search_path&amp;" /stypes=""app*"&amp;PUG28&amp;"*"&amp;TEXT(PUN28-utc_offset/24,"YYYYMMDD")&amp;"*"" /stext="" "&amp;TEXT(PUN28-utc_offset/24,"HH")&amp;search_regexp&amp;""""</f>
        <v>#REF!</v>
      </c>
      <c r="PVL28" s="234" t="e">
        <f>astrogrep_path&amp;" /e /r /s /spath="&amp;search_path&amp;" /stypes=""app*"&amp;PUH28&amp;"*"&amp;TEXT(PUO28-utc_offset/24,"YYYYMMDD")&amp;"*"" /stext="" "&amp;TEXT(PUO28-utc_offset/24,"HH")&amp;search_regexp&amp;""""</f>
        <v>#REF!</v>
      </c>
      <c r="PVM28" s="234" t="e">
        <f>astrogrep_path&amp;" /e /r /s /spath="&amp;search_path&amp;" /stypes=""app*"&amp;PUI28&amp;"*"&amp;TEXT(PUP28-utc_offset/24,"YYYYMMDD")&amp;"*"" /stext="" "&amp;TEXT(PUP28-utc_offset/24,"HH")&amp;search_regexp&amp;""""</f>
        <v>#VALUE!</v>
      </c>
      <c r="PVN28" s="234" t="e">
        <f>astrogrep_path&amp;" /e /r /s /spath="&amp;search_path&amp;" /stypes=""app*"&amp;PUJ28&amp;"*"&amp;TEXT(PUQ28-utc_offset/24,"YYYYMMDD")&amp;"*"" /stext="" "&amp;TEXT(PUQ28-utc_offset/24,"HH")&amp;search_regexp&amp;""""</f>
        <v>#VALUE!</v>
      </c>
      <c r="PVO28" s="234" t="e">
        <f>astrogrep_path&amp;" /e /r /s /spath="&amp;search_path&amp;" /stypes=""app*"&amp;PUK28&amp;"*"&amp;TEXT(PUR28-utc_offset/24,"YYYYMMDD")&amp;"*"" /stext="" "&amp;TEXT(PUR28-utc_offset/24,"HH")&amp;search_regexp&amp;""""</f>
        <v>#REF!</v>
      </c>
      <c r="PVP28" s="234" t="e">
        <f>astrogrep_path&amp;" /e /r /s /spath="&amp;search_path&amp;" /stypes=""app*"&amp;PUL28&amp;"*"&amp;TEXT(PUS28-utc_offset/24,"YYYYMMDD")&amp;"*"" /stext="" "&amp;TEXT(PUS28-utc_offset/24,"HH")&amp;search_regexp&amp;""""</f>
        <v>#REF!</v>
      </c>
      <c r="PVQ28" s="234" t="e">
        <f>astrogrep_path&amp;" /e /r /s /spath="&amp;search_path&amp;" /stypes=""app*"&amp;PUM28&amp;"*"&amp;TEXT(PUT28-utc_offset/24,"YYYYMMDD")&amp;"*"" /stext="" "&amp;TEXT(PUT28-utc_offset/24,"HH")&amp;search_regexp&amp;""""</f>
        <v>#VALUE!</v>
      </c>
      <c r="PVR28" s="234" t="e">
        <f>astrogrep_path&amp;" /e /r /s /spath="&amp;search_path&amp;" /stypes=""app*"&amp;PUN28&amp;"*"&amp;TEXT(PUU28-utc_offset/24,"YYYYMMDD")&amp;"*"" /stext="" "&amp;TEXT(PUU28-utc_offset/24,"HH")&amp;search_regexp&amp;""""</f>
        <v>#VALUE!</v>
      </c>
      <c r="PVS28" s="234" t="e">
        <f>astrogrep_path&amp;" /e /r /s /spath="&amp;search_path&amp;" /stypes=""app*"&amp;PUO28&amp;"*"&amp;TEXT(PUV28-utc_offset/24,"YYYYMMDD")&amp;"*"" /stext="" "&amp;TEXT(PUV28-utc_offset/24,"HH")&amp;search_regexp&amp;""""</f>
        <v>#VALUE!</v>
      </c>
      <c r="PVT28" s="234" t="e">
        <f>astrogrep_path&amp;" /e /r /s /spath="&amp;search_path&amp;" /stypes=""app*"&amp;PUP28&amp;"*"&amp;TEXT(PUW28-utc_offset/24,"YYYYMMDD")&amp;"*"" /stext="" "&amp;TEXT(PUW28-utc_offset/24,"HH")&amp;search_regexp&amp;""""</f>
        <v>#VALUE!</v>
      </c>
      <c r="PVU28" s="234" t="e">
        <f>astrogrep_path&amp;" /e /r /s /spath="&amp;search_path&amp;" /stypes=""app*"&amp;PUQ28&amp;"*"&amp;TEXT(PUX28-utc_offset/24,"YYYYMMDD")&amp;"*"" /stext="" "&amp;TEXT(PUX28-utc_offset/24,"HH")&amp;search_regexp&amp;""""</f>
        <v>#VALUE!</v>
      </c>
      <c r="PVV28" s="234" t="e">
        <f>astrogrep_path&amp;" /e /r /s /spath="&amp;search_path&amp;" /stypes=""app*"&amp;PUR28&amp;"*"&amp;TEXT(PUY28-utc_offset/24,"YYYYMMDD")&amp;"*"" /stext="" "&amp;TEXT(PUY28-utc_offset/24,"HH")&amp;search_regexp&amp;""""</f>
        <v>#REF!</v>
      </c>
      <c r="PVW28" s="234" t="e">
        <f>astrogrep_path&amp;" /e /r /s /spath="&amp;search_path&amp;" /stypes=""app*"&amp;PUS28&amp;"*"&amp;TEXT(PUZ28-utc_offset/24,"YYYYMMDD")&amp;"*"" /stext="" "&amp;TEXT(PUZ28-utc_offset/24,"HH")&amp;search_regexp&amp;""""</f>
        <v>#REF!</v>
      </c>
      <c r="PVX28" s="234" t="e">
        <f>astrogrep_path&amp;" /e /r /s /spath="&amp;search_path&amp;" /stypes=""app*"&amp;PUT28&amp;"*"&amp;TEXT(PVA28-utc_offset/24,"YYYYMMDD")&amp;"*"" /stext="" "&amp;TEXT(PVA28-utc_offset/24,"HH")&amp;search_regexp&amp;""""</f>
        <v>#REF!</v>
      </c>
      <c r="PVY28" s="234" t="e">
        <f>astrogrep_path&amp;" /e /r /s /spath="&amp;search_path&amp;" /stypes=""app*"&amp;PUU28&amp;"*"&amp;TEXT(PVB28-utc_offset/24,"YYYYMMDD")&amp;"*"" /stext="" "&amp;TEXT(PVB28-utc_offset/24,"HH")&amp;search_regexp&amp;""""</f>
        <v>#REF!</v>
      </c>
      <c r="PVZ28" s="234" t="e">
        <f>astrogrep_path&amp;" /e /r /s /spath="&amp;search_path&amp;" /stypes=""app*"&amp;PUV28&amp;"*"&amp;TEXT(PVC28-utc_offset/24,"YYYYMMDD")&amp;"*"" /stext="" "&amp;TEXT(PVC28-utc_offset/24,"HH")&amp;search_regexp&amp;""""</f>
        <v>#REF!</v>
      </c>
      <c r="PWA28" s="234" t="e">
        <f>astrogrep_path&amp;" /e /r /s /spath="&amp;search_path&amp;" /stypes=""app*"&amp;PUW28&amp;"*"&amp;TEXT(PVD28-utc_offset/24,"YYYYMMDD")&amp;"*"" /stext="" "&amp;TEXT(PVD28-utc_offset/24,"HH")&amp;search_regexp&amp;""""</f>
        <v>#REF!</v>
      </c>
      <c r="PWB28" s="234" t="e">
        <f>astrogrep_path&amp;" /e /r /s /spath="&amp;search_path&amp;" /stypes=""app*"&amp;PUX28&amp;"*"&amp;TEXT(PVE28-utc_offset/24,"YYYYMMDD")&amp;"*"" /stext="" "&amp;TEXT(PVE28-utc_offset/24,"HH")&amp;search_regexp&amp;""""</f>
        <v>#REF!</v>
      </c>
      <c r="PWC28" s="234" t="e">
        <f>astrogrep_path&amp;" /e /r /s /spath="&amp;search_path&amp;" /stypes=""app*"&amp;PUY28&amp;"*"&amp;TEXT(PVF28-utc_offset/24,"YYYYMMDD")&amp;"*"" /stext="" "&amp;TEXT(PVF28-utc_offset/24,"HH")&amp;search_regexp&amp;""""</f>
        <v>#REF!</v>
      </c>
      <c r="PWD28" s="234" t="e">
        <f>astrogrep_path&amp;" /e /r /s /spath="&amp;search_path&amp;" /stypes=""app*"&amp;PUZ28&amp;"*"&amp;TEXT(PVG28-utc_offset/24,"YYYYMMDD")&amp;"*"" /stext="" "&amp;TEXT(PVG28-utc_offset/24,"HH")&amp;search_regexp&amp;""""</f>
        <v>#REF!</v>
      </c>
      <c r="PWE28" s="234" t="e">
        <f>astrogrep_path&amp;" /e /r /s /spath="&amp;search_path&amp;" /stypes=""app*"&amp;PVA28&amp;"*"&amp;TEXT(PVH28-utc_offset/24,"YYYYMMDD")&amp;"*"" /stext="" "&amp;TEXT(PVH28-utc_offset/24,"HH")&amp;search_regexp&amp;""""</f>
        <v>#REF!</v>
      </c>
      <c r="PWF28" s="234" t="e">
        <f>astrogrep_path&amp;" /e /r /s /spath="&amp;search_path&amp;" /stypes=""app*"&amp;PVB28&amp;"*"&amp;TEXT(PVI28-utc_offset/24,"YYYYMMDD")&amp;"*"" /stext="" "&amp;TEXT(PVI28-utc_offset/24,"HH")&amp;search_regexp&amp;""""</f>
        <v>#REF!</v>
      </c>
      <c r="PWG28" s="234" t="e">
        <f>astrogrep_path&amp;" /e /r /s /spath="&amp;search_path&amp;" /stypes=""app*"&amp;PVC28&amp;"*"&amp;TEXT(PVJ28-utc_offset/24,"YYYYMMDD")&amp;"*"" /stext="" "&amp;TEXT(PVJ28-utc_offset/24,"HH")&amp;search_regexp&amp;""""</f>
        <v>#REF!</v>
      </c>
      <c r="PWH28" s="234" t="e">
        <f>astrogrep_path&amp;" /e /r /s /spath="&amp;search_path&amp;" /stypes=""app*"&amp;PVD28&amp;"*"&amp;TEXT(PVK28-utc_offset/24,"YYYYMMDD")&amp;"*"" /stext="" "&amp;TEXT(PVK28-utc_offset/24,"HH")&amp;search_regexp&amp;""""</f>
        <v>#REF!</v>
      </c>
      <c r="PWI28" s="234" t="e">
        <f>astrogrep_path&amp;" /e /r /s /spath="&amp;search_path&amp;" /stypes=""app*"&amp;PVE28&amp;"*"&amp;TEXT(PVL28-utc_offset/24,"YYYYMMDD")&amp;"*"" /stext="" "&amp;TEXT(PVL28-utc_offset/24,"HH")&amp;search_regexp&amp;""""</f>
        <v>#REF!</v>
      </c>
      <c r="PWJ28" s="234" t="e">
        <f>astrogrep_path&amp;" /e /r /s /spath="&amp;search_path&amp;" /stypes=""app*"&amp;PVF28&amp;"*"&amp;TEXT(PVM28-utc_offset/24,"YYYYMMDD")&amp;"*"" /stext="" "&amp;TEXT(PVM28-utc_offset/24,"HH")&amp;search_regexp&amp;""""</f>
        <v>#REF!</v>
      </c>
      <c r="PWK28" s="234" t="e">
        <f>astrogrep_path&amp;" /e /r /s /spath="&amp;search_path&amp;" /stypes=""app*"&amp;PVG28&amp;"*"&amp;TEXT(PVN28-utc_offset/24,"YYYYMMDD")&amp;"*"" /stext="" "&amp;TEXT(PVN28-utc_offset/24,"HH")&amp;search_regexp&amp;""""</f>
        <v>#REF!</v>
      </c>
      <c r="PWL28" s="234" t="e">
        <f>astrogrep_path&amp;" /e /r /s /spath="&amp;search_path&amp;" /stypes=""app*"&amp;PVH28&amp;"*"&amp;TEXT(PVO28-utc_offset/24,"YYYYMMDD")&amp;"*"" /stext="" "&amp;TEXT(PVO28-utc_offset/24,"HH")&amp;search_regexp&amp;""""</f>
        <v>#REF!</v>
      </c>
      <c r="PWM28" s="234" t="e">
        <f>astrogrep_path&amp;" /e /r /s /spath="&amp;search_path&amp;" /stypes=""app*"&amp;PVI28&amp;"*"&amp;TEXT(PVP28-utc_offset/24,"YYYYMMDD")&amp;"*"" /stext="" "&amp;TEXT(PVP28-utc_offset/24,"HH")&amp;search_regexp&amp;""""</f>
        <v>#REF!</v>
      </c>
      <c r="PWN28" s="234" t="e">
        <f>astrogrep_path&amp;" /e /r /s /spath="&amp;search_path&amp;" /stypes=""app*"&amp;PVJ28&amp;"*"&amp;TEXT(PVQ28-utc_offset/24,"YYYYMMDD")&amp;"*"" /stext="" "&amp;TEXT(PVQ28-utc_offset/24,"HH")&amp;search_regexp&amp;""""</f>
        <v>#REF!</v>
      </c>
      <c r="PWO28" s="234" t="e">
        <f>astrogrep_path&amp;" /e /r /s /spath="&amp;search_path&amp;" /stypes=""app*"&amp;PVK28&amp;"*"&amp;TEXT(PVR28-utc_offset/24,"YYYYMMDD")&amp;"*"" /stext="" "&amp;TEXT(PVR28-utc_offset/24,"HH")&amp;search_regexp&amp;""""</f>
        <v>#REF!</v>
      </c>
      <c r="PWP28" s="234" t="e">
        <f>astrogrep_path&amp;" /e /r /s /spath="&amp;search_path&amp;" /stypes=""app*"&amp;PVL28&amp;"*"&amp;TEXT(PVS28-utc_offset/24,"YYYYMMDD")&amp;"*"" /stext="" "&amp;TEXT(PVS28-utc_offset/24,"HH")&amp;search_regexp&amp;""""</f>
        <v>#REF!</v>
      </c>
      <c r="PWQ28" s="234" t="e">
        <f>astrogrep_path&amp;" /e /r /s /spath="&amp;search_path&amp;" /stypes=""app*"&amp;PVM28&amp;"*"&amp;TEXT(PVT28-utc_offset/24,"YYYYMMDD")&amp;"*"" /stext="" "&amp;TEXT(PVT28-utc_offset/24,"HH")&amp;search_regexp&amp;""""</f>
        <v>#VALUE!</v>
      </c>
      <c r="PWR28" s="234" t="e">
        <f>astrogrep_path&amp;" /e /r /s /spath="&amp;search_path&amp;" /stypes=""app*"&amp;PVN28&amp;"*"&amp;TEXT(PVU28-utc_offset/24,"YYYYMMDD")&amp;"*"" /stext="" "&amp;TEXT(PVU28-utc_offset/24,"HH")&amp;search_regexp&amp;""""</f>
        <v>#VALUE!</v>
      </c>
      <c r="PWS28" s="234" t="e">
        <f>astrogrep_path&amp;" /e /r /s /spath="&amp;search_path&amp;" /stypes=""app*"&amp;PVO28&amp;"*"&amp;TEXT(PVV28-utc_offset/24,"YYYYMMDD")&amp;"*"" /stext="" "&amp;TEXT(PVV28-utc_offset/24,"HH")&amp;search_regexp&amp;""""</f>
        <v>#REF!</v>
      </c>
      <c r="PWT28" s="234" t="e">
        <f>astrogrep_path&amp;" /e /r /s /spath="&amp;search_path&amp;" /stypes=""app*"&amp;PVP28&amp;"*"&amp;TEXT(PVW28-utc_offset/24,"YYYYMMDD")&amp;"*"" /stext="" "&amp;TEXT(PVW28-utc_offset/24,"HH")&amp;search_regexp&amp;""""</f>
        <v>#REF!</v>
      </c>
      <c r="PWU28" s="234" t="e">
        <f>astrogrep_path&amp;" /e /r /s /spath="&amp;search_path&amp;" /stypes=""app*"&amp;PVQ28&amp;"*"&amp;TEXT(PVX28-utc_offset/24,"YYYYMMDD")&amp;"*"" /stext="" "&amp;TEXT(PVX28-utc_offset/24,"HH")&amp;search_regexp&amp;""""</f>
        <v>#VALUE!</v>
      </c>
      <c r="PWV28" s="234" t="e">
        <f>astrogrep_path&amp;" /e /r /s /spath="&amp;search_path&amp;" /stypes=""app*"&amp;PVR28&amp;"*"&amp;TEXT(PVY28-utc_offset/24,"YYYYMMDD")&amp;"*"" /stext="" "&amp;TEXT(PVY28-utc_offset/24,"HH")&amp;search_regexp&amp;""""</f>
        <v>#VALUE!</v>
      </c>
      <c r="PWW28" s="234" t="e">
        <f>astrogrep_path&amp;" /e /r /s /spath="&amp;search_path&amp;" /stypes=""app*"&amp;PVS28&amp;"*"&amp;TEXT(PVZ28-utc_offset/24,"YYYYMMDD")&amp;"*"" /stext="" "&amp;TEXT(PVZ28-utc_offset/24,"HH")&amp;search_regexp&amp;""""</f>
        <v>#VALUE!</v>
      </c>
      <c r="PWX28" s="234" t="e">
        <f>astrogrep_path&amp;" /e /r /s /spath="&amp;search_path&amp;" /stypes=""app*"&amp;PVT28&amp;"*"&amp;TEXT(PWA28-utc_offset/24,"YYYYMMDD")&amp;"*"" /stext="" "&amp;TEXT(PWA28-utc_offset/24,"HH")&amp;search_regexp&amp;""""</f>
        <v>#VALUE!</v>
      </c>
      <c r="PWY28" s="234" t="e">
        <f>astrogrep_path&amp;" /e /r /s /spath="&amp;search_path&amp;" /stypes=""app*"&amp;PVU28&amp;"*"&amp;TEXT(PWB28-utc_offset/24,"YYYYMMDD")&amp;"*"" /stext="" "&amp;TEXT(PWB28-utc_offset/24,"HH")&amp;search_regexp&amp;""""</f>
        <v>#VALUE!</v>
      </c>
      <c r="PWZ28" s="234" t="e">
        <f>astrogrep_path&amp;" /e /r /s /spath="&amp;search_path&amp;" /stypes=""app*"&amp;PVV28&amp;"*"&amp;TEXT(PWC28-utc_offset/24,"YYYYMMDD")&amp;"*"" /stext="" "&amp;TEXT(PWC28-utc_offset/24,"HH")&amp;search_regexp&amp;""""</f>
        <v>#REF!</v>
      </c>
      <c r="PXA28" s="234" t="e">
        <f>astrogrep_path&amp;" /e /r /s /spath="&amp;search_path&amp;" /stypes=""app*"&amp;PVW28&amp;"*"&amp;TEXT(PWD28-utc_offset/24,"YYYYMMDD")&amp;"*"" /stext="" "&amp;TEXT(PWD28-utc_offset/24,"HH")&amp;search_regexp&amp;""""</f>
        <v>#REF!</v>
      </c>
      <c r="PXB28" s="234" t="e">
        <f>astrogrep_path&amp;" /e /r /s /spath="&amp;search_path&amp;" /stypes=""app*"&amp;PVX28&amp;"*"&amp;TEXT(PWE28-utc_offset/24,"YYYYMMDD")&amp;"*"" /stext="" "&amp;TEXT(PWE28-utc_offset/24,"HH")&amp;search_regexp&amp;""""</f>
        <v>#REF!</v>
      </c>
      <c r="PXC28" s="234" t="e">
        <f>astrogrep_path&amp;" /e /r /s /spath="&amp;search_path&amp;" /stypes=""app*"&amp;PVY28&amp;"*"&amp;TEXT(PWF28-utc_offset/24,"YYYYMMDD")&amp;"*"" /stext="" "&amp;TEXT(PWF28-utc_offset/24,"HH")&amp;search_regexp&amp;""""</f>
        <v>#REF!</v>
      </c>
      <c r="PXD28" s="234" t="e">
        <f>astrogrep_path&amp;" /e /r /s /spath="&amp;search_path&amp;" /stypes=""app*"&amp;PVZ28&amp;"*"&amp;TEXT(PWG28-utc_offset/24,"YYYYMMDD")&amp;"*"" /stext="" "&amp;TEXT(PWG28-utc_offset/24,"HH")&amp;search_regexp&amp;""""</f>
        <v>#REF!</v>
      </c>
      <c r="PXE28" s="234" t="e">
        <f>astrogrep_path&amp;" /e /r /s /spath="&amp;search_path&amp;" /stypes=""app*"&amp;PWA28&amp;"*"&amp;TEXT(PWH28-utc_offset/24,"YYYYMMDD")&amp;"*"" /stext="" "&amp;TEXT(PWH28-utc_offset/24,"HH")&amp;search_regexp&amp;""""</f>
        <v>#REF!</v>
      </c>
      <c r="PXF28" s="234" t="e">
        <f>astrogrep_path&amp;" /e /r /s /spath="&amp;search_path&amp;" /stypes=""app*"&amp;PWB28&amp;"*"&amp;TEXT(PWI28-utc_offset/24,"YYYYMMDD")&amp;"*"" /stext="" "&amp;TEXT(PWI28-utc_offset/24,"HH")&amp;search_regexp&amp;""""</f>
        <v>#REF!</v>
      </c>
      <c r="PXG28" s="234" t="e">
        <f>astrogrep_path&amp;" /e /r /s /spath="&amp;search_path&amp;" /stypes=""app*"&amp;PWC28&amp;"*"&amp;TEXT(PWJ28-utc_offset/24,"YYYYMMDD")&amp;"*"" /stext="" "&amp;TEXT(PWJ28-utc_offset/24,"HH")&amp;search_regexp&amp;""""</f>
        <v>#REF!</v>
      </c>
      <c r="PXH28" s="234" t="e">
        <f>astrogrep_path&amp;" /e /r /s /spath="&amp;search_path&amp;" /stypes=""app*"&amp;PWD28&amp;"*"&amp;TEXT(PWK28-utc_offset/24,"YYYYMMDD")&amp;"*"" /stext="" "&amp;TEXT(PWK28-utc_offset/24,"HH")&amp;search_regexp&amp;""""</f>
        <v>#REF!</v>
      </c>
      <c r="PXI28" s="234" t="e">
        <f>astrogrep_path&amp;" /e /r /s /spath="&amp;search_path&amp;" /stypes=""app*"&amp;PWE28&amp;"*"&amp;TEXT(PWL28-utc_offset/24,"YYYYMMDD")&amp;"*"" /stext="" "&amp;TEXT(PWL28-utc_offset/24,"HH")&amp;search_regexp&amp;""""</f>
        <v>#REF!</v>
      </c>
      <c r="PXJ28" s="234" t="e">
        <f>astrogrep_path&amp;" /e /r /s /spath="&amp;search_path&amp;" /stypes=""app*"&amp;PWF28&amp;"*"&amp;TEXT(PWM28-utc_offset/24,"YYYYMMDD")&amp;"*"" /stext="" "&amp;TEXT(PWM28-utc_offset/24,"HH")&amp;search_regexp&amp;""""</f>
        <v>#REF!</v>
      </c>
      <c r="PXK28" s="234" t="e">
        <f>astrogrep_path&amp;" /e /r /s /spath="&amp;search_path&amp;" /stypes=""app*"&amp;PWG28&amp;"*"&amp;TEXT(PWN28-utc_offset/24,"YYYYMMDD")&amp;"*"" /stext="" "&amp;TEXT(PWN28-utc_offset/24,"HH")&amp;search_regexp&amp;""""</f>
        <v>#REF!</v>
      </c>
      <c r="PXL28" s="234" t="e">
        <f>astrogrep_path&amp;" /e /r /s /spath="&amp;search_path&amp;" /stypes=""app*"&amp;PWH28&amp;"*"&amp;TEXT(PWO28-utc_offset/24,"YYYYMMDD")&amp;"*"" /stext="" "&amp;TEXT(PWO28-utc_offset/24,"HH")&amp;search_regexp&amp;""""</f>
        <v>#REF!</v>
      </c>
      <c r="PXM28" s="234" t="e">
        <f>astrogrep_path&amp;" /e /r /s /spath="&amp;search_path&amp;" /stypes=""app*"&amp;PWI28&amp;"*"&amp;TEXT(PWP28-utc_offset/24,"YYYYMMDD")&amp;"*"" /stext="" "&amp;TEXT(PWP28-utc_offset/24,"HH")&amp;search_regexp&amp;""""</f>
        <v>#REF!</v>
      </c>
      <c r="PXN28" s="234" t="e">
        <f>astrogrep_path&amp;" /e /r /s /spath="&amp;search_path&amp;" /stypes=""app*"&amp;PWJ28&amp;"*"&amp;TEXT(PWQ28-utc_offset/24,"YYYYMMDD")&amp;"*"" /stext="" "&amp;TEXT(PWQ28-utc_offset/24,"HH")&amp;search_regexp&amp;""""</f>
        <v>#REF!</v>
      </c>
      <c r="PXO28" s="234" t="e">
        <f>astrogrep_path&amp;" /e /r /s /spath="&amp;search_path&amp;" /stypes=""app*"&amp;PWK28&amp;"*"&amp;TEXT(PWR28-utc_offset/24,"YYYYMMDD")&amp;"*"" /stext="" "&amp;TEXT(PWR28-utc_offset/24,"HH")&amp;search_regexp&amp;""""</f>
        <v>#REF!</v>
      </c>
      <c r="PXP28" s="234" t="e">
        <f>astrogrep_path&amp;" /e /r /s /spath="&amp;search_path&amp;" /stypes=""app*"&amp;PWL28&amp;"*"&amp;TEXT(PWS28-utc_offset/24,"YYYYMMDD")&amp;"*"" /stext="" "&amp;TEXT(PWS28-utc_offset/24,"HH")&amp;search_regexp&amp;""""</f>
        <v>#REF!</v>
      </c>
      <c r="PXQ28" s="234" t="e">
        <f>astrogrep_path&amp;" /e /r /s /spath="&amp;search_path&amp;" /stypes=""app*"&amp;PWM28&amp;"*"&amp;TEXT(PWT28-utc_offset/24,"YYYYMMDD")&amp;"*"" /stext="" "&amp;TEXT(PWT28-utc_offset/24,"HH")&amp;search_regexp&amp;""""</f>
        <v>#REF!</v>
      </c>
      <c r="PXR28" s="234" t="e">
        <f>astrogrep_path&amp;" /e /r /s /spath="&amp;search_path&amp;" /stypes=""app*"&amp;PWN28&amp;"*"&amp;TEXT(PWU28-utc_offset/24,"YYYYMMDD")&amp;"*"" /stext="" "&amp;TEXT(PWU28-utc_offset/24,"HH")&amp;search_regexp&amp;""""</f>
        <v>#REF!</v>
      </c>
      <c r="PXS28" s="234" t="e">
        <f>astrogrep_path&amp;" /e /r /s /spath="&amp;search_path&amp;" /stypes=""app*"&amp;PWO28&amp;"*"&amp;TEXT(PWV28-utc_offset/24,"YYYYMMDD")&amp;"*"" /stext="" "&amp;TEXT(PWV28-utc_offset/24,"HH")&amp;search_regexp&amp;""""</f>
        <v>#REF!</v>
      </c>
      <c r="PXT28" s="234" t="e">
        <f>astrogrep_path&amp;" /e /r /s /spath="&amp;search_path&amp;" /stypes=""app*"&amp;PWP28&amp;"*"&amp;TEXT(PWW28-utc_offset/24,"YYYYMMDD")&amp;"*"" /stext="" "&amp;TEXT(PWW28-utc_offset/24,"HH")&amp;search_regexp&amp;""""</f>
        <v>#REF!</v>
      </c>
      <c r="PXU28" s="234" t="e">
        <f>astrogrep_path&amp;" /e /r /s /spath="&amp;search_path&amp;" /stypes=""app*"&amp;PWQ28&amp;"*"&amp;TEXT(PWX28-utc_offset/24,"YYYYMMDD")&amp;"*"" /stext="" "&amp;TEXT(PWX28-utc_offset/24,"HH")&amp;search_regexp&amp;""""</f>
        <v>#VALUE!</v>
      </c>
      <c r="PXV28" s="234" t="e">
        <f>astrogrep_path&amp;" /e /r /s /spath="&amp;search_path&amp;" /stypes=""app*"&amp;PWR28&amp;"*"&amp;TEXT(PWY28-utc_offset/24,"YYYYMMDD")&amp;"*"" /stext="" "&amp;TEXT(PWY28-utc_offset/24,"HH")&amp;search_regexp&amp;""""</f>
        <v>#VALUE!</v>
      </c>
      <c r="PXW28" s="234" t="e">
        <f>astrogrep_path&amp;" /e /r /s /spath="&amp;search_path&amp;" /stypes=""app*"&amp;PWS28&amp;"*"&amp;TEXT(PWZ28-utc_offset/24,"YYYYMMDD")&amp;"*"" /stext="" "&amp;TEXT(PWZ28-utc_offset/24,"HH")&amp;search_regexp&amp;""""</f>
        <v>#REF!</v>
      </c>
      <c r="PXX28" s="234" t="e">
        <f>astrogrep_path&amp;" /e /r /s /spath="&amp;search_path&amp;" /stypes=""app*"&amp;PWT28&amp;"*"&amp;TEXT(PXA28-utc_offset/24,"YYYYMMDD")&amp;"*"" /stext="" "&amp;TEXT(PXA28-utc_offset/24,"HH")&amp;search_regexp&amp;""""</f>
        <v>#REF!</v>
      </c>
      <c r="PXY28" s="234" t="e">
        <f>astrogrep_path&amp;" /e /r /s /spath="&amp;search_path&amp;" /stypes=""app*"&amp;PWU28&amp;"*"&amp;TEXT(PXB28-utc_offset/24,"YYYYMMDD")&amp;"*"" /stext="" "&amp;TEXT(PXB28-utc_offset/24,"HH")&amp;search_regexp&amp;""""</f>
        <v>#VALUE!</v>
      </c>
      <c r="PXZ28" s="234" t="e">
        <f>astrogrep_path&amp;" /e /r /s /spath="&amp;search_path&amp;" /stypes=""app*"&amp;PWV28&amp;"*"&amp;TEXT(PXC28-utc_offset/24,"YYYYMMDD")&amp;"*"" /stext="" "&amp;TEXT(PXC28-utc_offset/24,"HH")&amp;search_regexp&amp;""""</f>
        <v>#VALUE!</v>
      </c>
      <c r="PYA28" s="234" t="e">
        <f>astrogrep_path&amp;" /e /r /s /spath="&amp;search_path&amp;" /stypes=""app*"&amp;PWW28&amp;"*"&amp;TEXT(PXD28-utc_offset/24,"YYYYMMDD")&amp;"*"" /stext="" "&amp;TEXT(PXD28-utc_offset/24,"HH")&amp;search_regexp&amp;""""</f>
        <v>#VALUE!</v>
      </c>
      <c r="PYB28" s="234" t="e">
        <f>astrogrep_path&amp;" /e /r /s /spath="&amp;search_path&amp;" /stypes=""app*"&amp;PWX28&amp;"*"&amp;TEXT(PXE28-utc_offset/24,"YYYYMMDD")&amp;"*"" /stext="" "&amp;TEXT(PXE28-utc_offset/24,"HH")&amp;search_regexp&amp;""""</f>
        <v>#VALUE!</v>
      </c>
      <c r="PYC28" s="234" t="e">
        <f>astrogrep_path&amp;" /e /r /s /spath="&amp;search_path&amp;" /stypes=""app*"&amp;PWY28&amp;"*"&amp;TEXT(PXF28-utc_offset/24,"YYYYMMDD")&amp;"*"" /stext="" "&amp;TEXT(PXF28-utc_offset/24,"HH")&amp;search_regexp&amp;""""</f>
        <v>#VALUE!</v>
      </c>
      <c r="PYD28" s="234" t="e">
        <f>astrogrep_path&amp;" /e /r /s /spath="&amp;search_path&amp;" /stypes=""app*"&amp;PWZ28&amp;"*"&amp;TEXT(PXG28-utc_offset/24,"YYYYMMDD")&amp;"*"" /stext="" "&amp;TEXT(PXG28-utc_offset/24,"HH")&amp;search_regexp&amp;""""</f>
        <v>#REF!</v>
      </c>
      <c r="PYE28" s="234" t="e">
        <f>astrogrep_path&amp;" /e /r /s /spath="&amp;search_path&amp;" /stypes=""app*"&amp;PXA28&amp;"*"&amp;TEXT(PXH28-utc_offset/24,"YYYYMMDD")&amp;"*"" /stext="" "&amp;TEXT(PXH28-utc_offset/24,"HH")&amp;search_regexp&amp;""""</f>
        <v>#REF!</v>
      </c>
      <c r="PYF28" s="234" t="e">
        <f>astrogrep_path&amp;" /e /r /s /spath="&amp;search_path&amp;" /stypes=""app*"&amp;PXB28&amp;"*"&amp;TEXT(PXI28-utc_offset/24,"YYYYMMDD")&amp;"*"" /stext="" "&amp;TEXT(PXI28-utc_offset/24,"HH")&amp;search_regexp&amp;""""</f>
        <v>#REF!</v>
      </c>
      <c r="PYG28" s="234" t="e">
        <f>astrogrep_path&amp;" /e /r /s /spath="&amp;search_path&amp;" /stypes=""app*"&amp;PXC28&amp;"*"&amp;TEXT(PXJ28-utc_offset/24,"YYYYMMDD")&amp;"*"" /stext="" "&amp;TEXT(PXJ28-utc_offset/24,"HH")&amp;search_regexp&amp;""""</f>
        <v>#REF!</v>
      </c>
      <c r="PYH28" s="234" t="e">
        <f>astrogrep_path&amp;" /e /r /s /spath="&amp;search_path&amp;" /stypes=""app*"&amp;PXD28&amp;"*"&amp;TEXT(PXK28-utc_offset/24,"YYYYMMDD")&amp;"*"" /stext="" "&amp;TEXT(PXK28-utc_offset/24,"HH")&amp;search_regexp&amp;""""</f>
        <v>#REF!</v>
      </c>
      <c r="PYI28" s="234" t="e">
        <f>astrogrep_path&amp;" /e /r /s /spath="&amp;search_path&amp;" /stypes=""app*"&amp;PXE28&amp;"*"&amp;TEXT(PXL28-utc_offset/24,"YYYYMMDD")&amp;"*"" /stext="" "&amp;TEXT(PXL28-utc_offset/24,"HH")&amp;search_regexp&amp;""""</f>
        <v>#REF!</v>
      </c>
      <c r="PYJ28" s="234" t="e">
        <f>astrogrep_path&amp;" /e /r /s /spath="&amp;search_path&amp;" /stypes=""app*"&amp;PXF28&amp;"*"&amp;TEXT(PXM28-utc_offset/24,"YYYYMMDD")&amp;"*"" /stext="" "&amp;TEXT(PXM28-utc_offset/24,"HH")&amp;search_regexp&amp;""""</f>
        <v>#REF!</v>
      </c>
      <c r="PYK28" s="234" t="e">
        <f>astrogrep_path&amp;" /e /r /s /spath="&amp;search_path&amp;" /stypes=""app*"&amp;PXG28&amp;"*"&amp;TEXT(PXN28-utc_offset/24,"YYYYMMDD")&amp;"*"" /stext="" "&amp;TEXT(PXN28-utc_offset/24,"HH")&amp;search_regexp&amp;""""</f>
        <v>#REF!</v>
      </c>
      <c r="PYL28" s="234" t="e">
        <f>astrogrep_path&amp;" /e /r /s /spath="&amp;search_path&amp;" /stypes=""app*"&amp;PXH28&amp;"*"&amp;TEXT(PXO28-utc_offset/24,"YYYYMMDD")&amp;"*"" /stext="" "&amp;TEXT(PXO28-utc_offset/24,"HH")&amp;search_regexp&amp;""""</f>
        <v>#REF!</v>
      </c>
      <c r="PYM28" s="234" t="e">
        <f>astrogrep_path&amp;" /e /r /s /spath="&amp;search_path&amp;" /stypes=""app*"&amp;PXI28&amp;"*"&amp;TEXT(PXP28-utc_offset/24,"YYYYMMDD")&amp;"*"" /stext="" "&amp;TEXT(PXP28-utc_offset/24,"HH")&amp;search_regexp&amp;""""</f>
        <v>#REF!</v>
      </c>
      <c r="PYN28" s="234" t="e">
        <f>astrogrep_path&amp;" /e /r /s /spath="&amp;search_path&amp;" /stypes=""app*"&amp;PXJ28&amp;"*"&amp;TEXT(PXQ28-utc_offset/24,"YYYYMMDD")&amp;"*"" /stext="" "&amp;TEXT(PXQ28-utc_offset/24,"HH")&amp;search_regexp&amp;""""</f>
        <v>#REF!</v>
      </c>
      <c r="PYO28" s="234" t="e">
        <f>astrogrep_path&amp;" /e /r /s /spath="&amp;search_path&amp;" /stypes=""app*"&amp;PXK28&amp;"*"&amp;TEXT(PXR28-utc_offset/24,"YYYYMMDD")&amp;"*"" /stext="" "&amp;TEXT(PXR28-utc_offset/24,"HH")&amp;search_regexp&amp;""""</f>
        <v>#REF!</v>
      </c>
      <c r="PYP28" s="234" t="e">
        <f>astrogrep_path&amp;" /e /r /s /spath="&amp;search_path&amp;" /stypes=""app*"&amp;PXL28&amp;"*"&amp;TEXT(PXS28-utc_offset/24,"YYYYMMDD")&amp;"*"" /stext="" "&amp;TEXT(PXS28-utc_offset/24,"HH")&amp;search_regexp&amp;""""</f>
        <v>#REF!</v>
      </c>
      <c r="PYQ28" s="234" t="e">
        <f>astrogrep_path&amp;" /e /r /s /spath="&amp;search_path&amp;" /stypes=""app*"&amp;PXM28&amp;"*"&amp;TEXT(PXT28-utc_offset/24,"YYYYMMDD")&amp;"*"" /stext="" "&amp;TEXT(PXT28-utc_offset/24,"HH")&amp;search_regexp&amp;""""</f>
        <v>#REF!</v>
      </c>
      <c r="PYR28" s="234" t="e">
        <f>astrogrep_path&amp;" /e /r /s /spath="&amp;search_path&amp;" /stypes=""app*"&amp;PXN28&amp;"*"&amp;TEXT(PXU28-utc_offset/24,"YYYYMMDD")&amp;"*"" /stext="" "&amp;TEXT(PXU28-utc_offset/24,"HH")&amp;search_regexp&amp;""""</f>
        <v>#REF!</v>
      </c>
      <c r="PYS28" s="234" t="e">
        <f>astrogrep_path&amp;" /e /r /s /spath="&amp;search_path&amp;" /stypes=""app*"&amp;PXO28&amp;"*"&amp;TEXT(PXV28-utc_offset/24,"YYYYMMDD")&amp;"*"" /stext="" "&amp;TEXT(PXV28-utc_offset/24,"HH")&amp;search_regexp&amp;""""</f>
        <v>#REF!</v>
      </c>
      <c r="PYT28" s="234" t="e">
        <f>astrogrep_path&amp;" /e /r /s /spath="&amp;search_path&amp;" /stypes=""app*"&amp;PXP28&amp;"*"&amp;TEXT(PXW28-utc_offset/24,"YYYYMMDD")&amp;"*"" /stext="" "&amp;TEXT(PXW28-utc_offset/24,"HH")&amp;search_regexp&amp;""""</f>
        <v>#REF!</v>
      </c>
      <c r="PYU28" s="234" t="e">
        <f>astrogrep_path&amp;" /e /r /s /spath="&amp;search_path&amp;" /stypes=""app*"&amp;PXQ28&amp;"*"&amp;TEXT(PXX28-utc_offset/24,"YYYYMMDD")&amp;"*"" /stext="" "&amp;TEXT(PXX28-utc_offset/24,"HH")&amp;search_regexp&amp;""""</f>
        <v>#REF!</v>
      </c>
      <c r="PYV28" s="234" t="e">
        <f>astrogrep_path&amp;" /e /r /s /spath="&amp;search_path&amp;" /stypes=""app*"&amp;PXR28&amp;"*"&amp;TEXT(PXY28-utc_offset/24,"YYYYMMDD")&amp;"*"" /stext="" "&amp;TEXT(PXY28-utc_offset/24,"HH")&amp;search_regexp&amp;""""</f>
        <v>#REF!</v>
      </c>
      <c r="PYW28" s="234" t="e">
        <f>astrogrep_path&amp;" /e /r /s /spath="&amp;search_path&amp;" /stypes=""app*"&amp;PXS28&amp;"*"&amp;TEXT(PXZ28-utc_offset/24,"YYYYMMDD")&amp;"*"" /stext="" "&amp;TEXT(PXZ28-utc_offset/24,"HH")&amp;search_regexp&amp;""""</f>
        <v>#REF!</v>
      </c>
      <c r="PYX28" s="234" t="e">
        <f>astrogrep_path&amp;" /e /r /s /spath="&amp;search_path&amp;" /stypes=""app*"&amp;PXT28&amp;"*"&amp;TEXT(PYA28-utc_offset/24,"YYYYMMDD")&amp;"*"" /stext="" "&amp;TEXT(PYA28-utc_offset/24,"HH")&amp;search_regexp&amp;""""</f>
        <v>#REF!</v>
      </c>
      <c r="PYY28" s="234" t="e">
        <f>astrogrep_path&amp;" /e /r /s /spath="&amp;search_path&amp;" /stypes=""app*"&amp;PXU28&amp;"*"&amp;TEXT(PYB28-utc_offset/24,"YYYYMMDD")&amp;"*"" /stext="" "&amp;TEXT(PYB28-utc_offset/24,"HH")&amp;search_regexp&amp;""""</f>
        <v>#VALUE!</v>
      </c>
      <c r="PYZ28" s="234" t="e">
        <f>astrogrep_path&amp;" /e /r /s /spath="&amp;search_path&amp;" /stypes=""app*"&amp;PXV28&amp;"*"&amp;TEXT(PYC28-utc_offset/24,"YYYYMMDD")&amp;"*"" /stext="" "&amp;TEXT(PYC28-utc_offset/24,"HH")&amp;search_regexp&amp;""""</f>
        <v>#VALUE!</v>
      </c>
      <c r="PZA28" s="234" t="e">
        <f>astrogrep_path&amp;" /e /r /s /spath="&amp;search_path&amp;" /stypes=""app*"&amp;PXW28&amp;"*"&amp;TEXT(PYD28-utc_offset/24,"YYYYMMDD")&amp;"*"" /stext="" "&amp;TEXT(PYD28-utc_offset/24,"HH")&amp;search_regexp&amp;""""</f>
        <v>#REF!</v>
      </c>
      <c r="PZB28" s="234" t="e">
        <f>astrogrep_path&amp;" /e /r /s /spath="&amp;search_path&amp;" /stypes=""app*"&amp;PXX28&amp;"*"&amp;TEXT(PYE28-utc_offset/24,"YYYYMMDD")&amp;"*"" /stext="" "&amp;TEXT(PYE28-utc_offset/24,"HH")&amp;search_regexp&amp;""""</f>
        <v>#REF!</v>
      </c>
      <c r="PZC28" s="234" t="e">
        <f>astrogrep_path&amp;" /e /r /s /spath="&amp;search_path&amp;" /stypes=""app*"&amp;PXY28&amp;"*"&amp;TEXT(PYF28-utc_offset/24,"YYYYMMDD")&amp;"*"" /stext="" "&amp;TEXT(PYF28-utc_offset/24,"HH")&amp;search_regexp&amp;""""</f>
        <v>#VALUE!</v>
      </c>
      <c r="PZD28" s="234" t="e">
        <f>astrogrep_path&amp;" /e /r /s /spath="&amp;search_path&amp;" /stypes=""app*"&amp;PXZ28&amp;"*"&amp;TEXT(PYG28-utc_offset/24,"YYYYMMDD")&amp;"*"" /stext="" "&amp;TEXT(PYG28-utc_offset/24,"HH")&amp;search_regexp&amp;""""</f>
        <v>#VALUE!</v>
      </c>
      <c r="PZE28" s="234" t="e">
        <f>astrogrep_path&amp;" /e /r /s /spath="&amp;search_path&amp;" /stypes=""app*"&amp;PYA28&amp;"*"&amp;TEXT(PYH28-utc_offset/24,"YYYYMMDD")&amp;"*"" /stext="" "&amp;TEXT(PYH28-utc_offset/24,"HH")&amp;search_regexp&amp;""""</f>
        <v>#VALUE!</v>
      </c>
      <c r="PZF28" s="234" t="e">
        <f>astrogrep_path&amp;" /e /r /s /spath="&amp;search_path&amp;" /stypes=""app*"&amp;PYB28&amp;"*"&amp;TEXT(PYI28-utc_offset/24,"YYYYMMDD")&amp;"*"" /stext="" "&amp;TEXT(PYI28-utc_offset/24,"HH")&amp;search_regexp&amp;""""</f>
        <v>#VALUE!</v>
      </c>
      <c r="PZG28" s="234" t="e">
        <f>astrogrep_path&amp;" /e /r /s /spath="&amp;search_path&amp;" /stypes=""app*"&amp;PYC28&amp;"*"&amp;TEXT(PYJ28-utc_offset/24,"YYYYMMDD")&amp;"*"" /stext="" "&amp;TEXT(PYJ28-utc_offset/24,"HH")&amp;search_regexp&amp;""""</f>
        <v>#VALUE!</v>
      </c>
      <c r="PZH28" s="234" t="e">
        <f>astrogrep_path&amp;" /e /r /s /spath="&amp;search_path&amp;" /stypes=""app*"&amp;PYD28&amp;"*"&amp;TEXT(PYK28-utc_offset/24,"YYYYMMDD")&amp;"*"" /stext="" "&amp;TEXT(PYK28-utc_offset/24,"HH")&amp;search_regexp&amp;""""</f>
        <v>#REF!</v>
      </c>
      <c r="PZI28" s="234" t="e">
        <f>astrogrep_path&amp;" /e /r /s /spath="&amp;search_path&amp;" /stypes=""app*"&amp;PYE28&amp;"*"&amp;TEXT(PYL28-utc_offset/24,"YYYYMMDD")&amp;"*"" /stext="" "&amp;TEXT(PYL28-utc_offset/24,"HH")&amp;search_regexp&amp;""""</f>
        <v>#REF!</v>
      </c>
      <c r="PZJ28" s="234" t="e">
        <f>astrogrep_path&amp;" /e /r /s /spath="&amp;search_path&amp;" /stypes=""app*"&amp;PYF28&amp;"*"&amp;TEXT(PYM28-utc_offset/24,"YYYYMMDD")&amp;"*"" /stext="" "&amp;TEXT(PYM28-utc_offset/24,"HH")&amp;search_regexp&amp;""""</f>
        <v>#REF!</v>
      </c>
      <c r="PZK28" s="234" t="e">
        <f>astrogrep_path&amp;" /e /r /s /spath="&amp;search_path&amp;" /stypes=""app*"&amp;PYG28&amp;"*"&amp;TEXT(PYN28-utc_offset/24,"YYYYMMDD")&amp;"*"" /stext="" "&amp;TEXT(PYN28-utc_offset/24,"HH")&amp;search_regexp&amp;""""</f>
        <v>#REF!</v>
      </c>
      <c r="PZL28" s="234" t="e">
        <f>astrogrep_path&amp;" /e /r /s /spath="&amp;search_path&amp;" /stypes=""app*"&amp;PYH28&amp;"*"&amp;TEXT(PYO28-utc_offset/24,"YYYYMMDD")&amp;"*"" /stext="" "&amp;TEXT(PYO28-utc_offset/24,"HH")&amp;search_regexp&amp;""""</f>
        <v>#REF!</v>
      </c>
      <c r="PZM28" s="234" t="e">
        <f>astrogrep_path&amp;" /e /r /s /spath="&amp;search_path&amp;" /stypes=""app*"&amp;PYI28&amp;"*"&amp;TEXT(PYP28-utc_offset/24,"YYYYMMDD")&amp;"*"" /stext="" "&amp;TEXT(PYP28-utc_offset/24,"HH")&amp;search_regexp&amp;""""</f>
        <v>#REF!</v>
      </c>
      <c r="PZN28" s="234" t="e">
        <f>astrogrep_path&amp;" /e /r /s /spath="&amp;search_path&amp;" /stypes=""app*"&amp;PYJ28&amp;"*"&amp;TEXT(PYQ28-utc_offset/24,"YYYYMMDD")&amp;"*"" /stext="" "&amp;TEXT(PYQ28-utc_offset/24,"HH")&amp;search_regexp&amp;""""</f>
        <v>#REF!</v>
      </c>
      <c r="PZO28" s="234" t="e">
        <f>astrogrep_path&amp;" /e /r /s /spath="&amp;search_path&amp;" /stypes=""app*"&amp;PYK28&amp;"*"&amp;TEXT(PYR28-utc_offset/24,"YYYYMMDD")&amp;"*"" /stext="" "&amp;TEXT(PYR28-utc_offset/24,"HH")&amp;search_regexp&amp;""""</f>
        <v>#REF!</v>
      </c>
      <c r="PZP28" s="234" t="e">
        <f>astrogrep_path&amp;" /e /r /s /spath="&amp;search_path&amp;" /stypes=""app*"&amp;PYL28&amp;"*"&amp;TEXT(PYS28-utc_offset/24,"YYYYMMDD")&amp;"*"" /stext="" "&amp;TEXT(PYS28-utc_offset/24,"HH")&amp;search_regexp&amp;""""</f>
        <v>#REF!</v>
      </c>
      <c r="PZQ28" s="234" t="e">
        <f>astrogrep_path&amp;" /e /r /s /spath="&amp;search_path&amp;" /stypes=""app*"&amp;PYM28&amp;"*"&amp;TEXT(PYT28-utc_offset/24,"YYYYMMDD")&amp;"*"" /stext="" "&amp;TEXT(PYT28-utc_offset/24,"HH")&amp;search_regexp&amp;""""</f>
        <v>#REF!</v>
      </c>
      <c r="PZR28" s="234" t="e">
        <f>astrogrep_path&amp;" /e /r /s /spath="&amp;search_path&amp;" /stypes=""app*"&amp;PYN28&amp;"*"&amp;TEXT(PYU28-utc_offset/24,"YYYYMMDD")&amp;"*"" /stext="" "&amp;TEXT(PYU28-utc_offset/24,"HH")&amp;search_regexp&amp;""""</f>
        <v>#REF!</v>
      </c>
      <c r="PZS28" s="234" t="e">
        <f>astrogrep_path&amp;" /e /r /s /spath="&amp;search_path&amp;" /stypes=""app*"&amp;PYO28&amp;"*"&amp;TEXT(PYV28-utc_offset/24,"YYYYMMDD")&amp;"*"" /stext="" "&amp;TEXT(PYV28-utc_offset/24,"HH")&amp;search_regexp&amp;""""</f>
        <v>#REF!</v>
      </c>
      <c r="PZT28" s="234" t="e">
        <f>astrogrep_path&amp;" /e /r /s /spath="&amp;search_path&amp;" /stypes=""app*"&amp;PYP28&amp;"*"&amp;TEXT(PYW28-utc_offset/24,"YYYYMMDD")&amp;"*"" /stext="" "&amp;TEXT(PYW28-utc_offset/24,"HH")&amp;search_regexp&amp;""""</f>
        <v>#REF!</v>
      </c>
      <c r="PZU28" s="234" t="e">
        <f>astrogrep_path&amp;" /e /r /s /spath="&amp;search_path&amp;" /stypes=""app*"&amp;PYQ28&amp;"*"&amp;TEXT(PYX28-utc_offset/24,"YYYYMMDD")&amp;"*"" /stext="" "&amp;TEXT(PYX28-utc_offset/24,"HH")&amp;search_regexp&amp;""""</f>
        <v>#REF!</v>
      </c>
      <c r="PZV28" s="234" t="e">
        <f>astrogrep_path&amp;" /e /r /s /spath="&amp;search_path&amp;" /stypes=""app*"&amp;PYR28&amp;"*"&amp;TEXT(PYY28-utc_offset/24,"YYYYMMDD")&amp;"*"" /stext="" "&amp;TEXT(PYY28-utc_offset/24,"HH")&amp;search_regexp&amp;""""</f>
        <v>#REF!</v>
      </c>
      <c r="PZW28" s="234" t="e">
        <f>astrogrep_path&amp;" /e /r /s /spath="&amp;search_path&amp;" /stypes=""app*"&amp;PYS28&amp;"*"&amp;TEXT(PYZ28-utc_offset/24,"YYYYMMDD")&amp;"*"" /stext="" "&amp;TEXT(PYZ28-utc_offset/24,"HH")&amp;search_regexp&amp;""""</f>
        <v>#REF!</v>
      </c>
      <c r="PZX28" s="234" t="e">
        <f>astrogrep_path&amp;" /e /r /s /spath="&amp;search_path&amp;" /stypes=""app*"&amp;PYT28&amp;"*"&amp;TEXT(PZA28-utc_offset/24,"YYYYMMDD")&amp;"*"" /stext="" "&amp;TEXT(PZA28-utc_offset/24,"HH")&amp;search_regexp&amp;""""</f>
        <v>#REF!</v>
      </c>
      <c r="PZY28" s="234" t="e">
        <f>astrogrep_path&amp;" /e /r /s /spath="&amp;search_path&amp;" /stypes=""app*"&amp;PYU28&amp;"*"&amp;TEXT(PZB28-utc_offset/24,"YYYYMMDD")&amp;"*"" /stext="" "&amp;TEXT(PZB28-utc_offset/24,"HH")&amp;search_regexp&amp;""""</f>
        <v>#REF!</v>
      </c>
      <c r="PZZ28" s="234" t="e">
        <f>astrogrep_path&amp;" /e /r /s /spath="&amp;search_path&amp;" /stypes=""app*"&amp;PYV28&amp;"*"&amp;TEXT(PZC28-utc_offset/24,"YYYYMMDD")&amp;"*"" /stext="" "&amp;TEXT(PZC28-utc_offset/24,"HH")&amp;search_regexp&amp;""""</f>
        <v>#REF!</v>
      </c>
      <c r="QAA28" s="234" t="e">
        <f>astrogrep_path&amp;" /e /r /s /spath="&amp;search_path&amp;" /stypes=""app*"&amp;PYW28&amp;"*"&amp;TEXT(PZD28-utc_offset/24,"YYYYMMDD")&amp;"*"" /stext="" "&amp;TEXT(PZD28-utc_offset/24,"HH")&amp;search_regexp&amp;""""</f>
        <v>#REF!</v>
      </c>
      <c r="QAB28" s="234" t="e">
        <f>astrogrep_path&amp;" /e /r /s /spath="&amp;search_path&amp;" /stypes=""app*"&amp;PYX28&amp;"*"&amp;TEXT(PZE28-utc_offset/24,"YYYYMMDD")&amp;"*"" /stext="" "&amp;TEXT(PZE28-utc_offset/24,"HH")&amp;search_regexp&amp;""""</f>
        <v>#REF!</v>
      </c>
      <c r="QAC28" s="234" t="e">
        <f>astrogrep_path&amp;" /e /r /s /spath="&amp;search_path&amp;" /stypes=""app*"&amp;PYY28&amp;"*"&amp;TEXT(PZF28-utc_offset/24,"YYYYMMDD")&amp;"*"" /stext="" "&amp;TEXT(PZF28-utc_offset/24,"HH")&amp;search_regexp&amp;""""</f>
        <v>#VALUE!</v>
      </c>
      <c r="QAD28" s="234" t="e">
        <f>astrogrep_path&amp;" /e /r /s /spath="&amp;search_path&amp;" /stypes=""app*"&amp;PYZ28&amp;"*"&amp;TEXT(PZG28-utc_offset/24,"YYYYMMDD")&amp;"*"" /stext="" "&amp;TEXT(PZG28-utc_offset/24,"HH")&amp;search_regexp&amp;""""</f>
        <v>#VALUE!</v>
      </c>
      <c r="QAE28" s="234" t="e">
        <f>astrogrep_path&amp;" /e /r /s /spath="&amp;search_path&amp;" /stypes=""app*"&amp;PZA28&amp;"*"&amp;TEXT(PZH28-utc_offset/24,"YYYYMMDD")&amp;"*"" /stext="" "&amp;TEXT(PZH28-utc_offset/24,"HH")&amp;search_regexp&amp;""""</f>
        <v>#REF!</v>
      </c>
      <c r="QAF28" s="234" t="e">
        <f>astrogrep_path&amp;" /e /r /s /spath="&amp;search_path&amp;" /stypes=""app*"&amp;PZB28&amp;"*"&amp;TEXT(PZI28-utc_offset/24,"YYYYMMDD")&amp;"*"" /stext="" "&amp;TEXT(PZI28-utc_offset/24,"HH")&amp;search_regexp&amp;""""</f>
        <v>#REF!</v>
      </c>
      <c r="QAG28" s="234" t="e">
        <f>astrogrep_path&amp;" /e /r /s /spath="&amp;search_path&amp;" /stypes=""app*"&amp;PZC28&amp;"*"&amp;TEXT(PZJ28-utc_offset/24,"YYYYMMDD")&amp;"*"" /stext="" "&amp;TEXT(PZJ28-utc_offset/24,"HH")&amp;search_regexp&amp;""""</f>
        <v>#VALUE!</v>
      </c>
      <c r="QAH28" s="234" t="e">
        <f>astrogrep_path&amp;" /e /r /s /spath="&amp;search_path&amp;" /stypes=""app*"&amp;PZD28&amp;"*"&amp;TEXT(PZK28-utc_offset/24,"YYYYMMDD")&amp;"*"" /stext="" "&amp;TEXT(PZK28-utc_offset/24,"HH")&amp;search_regexp&amp;""""</f>
        <v>#VALUE!</v>
      </c>
      <c r="QAI28" s="234" t="e">
        <f>astrogrep_path&amp;" /e /r /s /spath="&amp;search_path&amp;" /stypes=""app*"&amp;PZE28&amp;"*"&amp;TEXT(PZL28-utc_offset/24,"YYYYMMDD")&amp;"*"" /stext="" "&amp;TEXT(PZL28-utc_offset/24,"HH")&amp;search_regexp&amp;""""</f>
        <v>#VALUE!</v>
      </c>
      <c r="QAJ28" s="234" t="e">
        <f>astrogrep_path&amp;" /e /r /s /spath="&amp;search_path&amp;" /stypes=""app*"&amp;PZF28&amp;"*"&amp;TEXT(PZM28-utc_offset/24,"YYYYMMDD")&amp;"*"" /stext="" "&amp;TEXT(PZM28-utc_offset/24,"HH")&amp;search_regexp&amp;""""</f>
        <v>#VALUE!</v>
      </c>
      <c r="QAK28" s="234" t="e">
        <f>astrogrep_path&amp;" /e /r /s /spath="&amp;search_path&amp;" /stypes=""app*"&amp;PZG28&amp;"*"&amp;TEXT(PZN28-utc_offset/24,"YYYYMMDD")&amp;"*"" /stext="" "&amp;TEXT(PZN28-utc_offset/24,"HH")&amp;search_regexp&amp;""""</f>
        <v>#VALUE!</v>
      </c>
      <c r="QAL28" s="234" t="e">
        <f>astrogrep_path&amp;" /e /r /s /spath="&amp;search_path&amp;" /stypes=""app*"&amp;PZH28&amp;"*"&amp;TEXT(PZO28-utc_offset/24,"YYYYMMDD")&amp;"*"" /stext="" "&amp;TEXT(PZO28-utc_offset/24,"HH")&amp;search_regexp&amp;""""</f>
        <v>#REF!</v>
      </c>
      <c r="QAM28" s="234" t="e">
        <f>astrogrep_path&amp;" /e /r /s /spath="&amp;search_path&amp;" /stypes=""app*"&amp;PZI28&amp;"*"&amp;TEXT(PZP28-utc_offset/24,"YYYYMMDD")&amp;"*"" /stext="" "&amp;TEXT(PZP28-utc_offset/24,"HH")&amp;search_regexp&amp;""""</f>
        <v>#REF!</v>
      </c>
      <c r="QAN28" s="234" t="e">
        <f>astrogrep_path&amp;" /e /r /s /spath="&amp;search_path&amp;" /stypes=""app*"&amp;PZJ28&amp;"*"&amp;TEXT(PZQ28-utc_offset/24,"YYYYMMDD")&amp;"*"" /stext="" "&amp;TEXT(PZQ28-utc_offset/24,"HH")&amp;search_regexp&amp;""""</f>
        <v>#REF!</v>
      </c>
      <c r="QAO28" s="234" t="e">
        <f>astrogrep_path&amp;" /e /r /s /spath="&amp;search_path&amp;" /stypes=""app*"&amp;PZK28&amp;"*"&amp;TEXT(PZR28-utc_offset/24,"YYYYMMDD")&amp;"*"" /stext="" "&amp;TEXT(PZR28-utc_offset/24,"HH")&amp;search_regexp&amp;""""</f>
        <v>#REF!</v>
      </c>
      <c r="QAP28" s="234" t="e">
        <f>astrogrep_path&amp;" /e /r /s /spath="&amp;search_path&amp;" /stypes=""app*"&amp;PZL28&amp;"*"&amp;TEXT(PZS28-utc_offset/24,"YYYYMMDD")&amp;"*"" /stext="" "&amp;TEXT(PZS28-utc_offset/24,"HH")&amp;search_regexp&amp;""""</f>
        <v>#REF!</v>
      </c>
      <c r="QAQ28" s="234" t="e">
        <f>astrogrep_path&amp;" /e /r /s /spath="&amp;search_path&amp;" /stypes=""app*"&amp;PZM28&amp;"*"&amp;TEXT(PZT28-utc_offset/24,"YYYYMMDD")&amp;"*"" /stext="" "&amp;TEXT(PZT28-utc_offset/24,"HH")&amp;search_regexp&amp;""""</f>
        <v>#REF!</v>
      </c>
      <c r="QAR28" s="234" t="e">
        <f>astrogrep_path&amp;" /e /r /s /spath="&amp;search_path&amp;" /stypes=""app*"&amp;PZN28&amp;"*"&amp;TEXT(PZU28-utc_offset/24,"YYYYMMDD")&amp;"*"" /stext="" "&amp;TEXT(PZU28-utc_offset/24,"HH")&amp;search_regexp&amp;""""</f>
        <v>#REF!</v>
      </c>
      <c r="QAS28" s="234" t="e">
        <f>astrogrep_path&amp;" /e /r /s /spath="&amp;search_path&amp;" /stypes=""app*"&amp;PZO28&amp;"*"&amp;TEXT(PZV28-utc_offset/24,"YYYYMMDD")&amp;"*"" /stext="" "&amp;TEXT(PZV28-utc_offset/24,"HH")&amp;search_regexp&amp;""""</f>
        <v>#REF!</v>
      </c>
      <c r="QAT28" s="234" t="e">
        <f>astrogrep_path&amp;" /e /r /s /spath="&amp;search_path&amp;" /stypes=""app*"&amp;PZP28&amp;"*"&amp;TEXT(PZW28-utc_offset/24,"YYYYMMDD")&amp;"*"" /stext="" "&amp;TEXT(PZW28-utc_offset/24,"HH")&amp;search_regexp&amp;""""</f>
        <v>#REF!</v>
      </c>
      <c r="QAU28" s="234" t="e">
        <f>astrogrep_path&amp;" /e /r /s /spath="&amp;search_path&amp;" /stypes=""app*"&amp;PZQ28&amp;"*"&amp;TEXT(PZX28-utc_offset/24,"YYYYMMDD")&amp;"*"" /stext="" "&amp;TEXT(PZX28-utc_offset/24,"HH")&amp;search_regexp&amp;""""</f>
        <v>#REF!</v>
      </c>
      <c r="QAV28" s="234" t="e">
        <f>astrogrep_path&amp;" /e /r /s /spath="&amp;search_path&amp;" /stypes=""app*"&amp;PZR28&amp;"*"&amp;TEXT(PZY28-utc_offset/24,"YYYYMMDD")&amp;"*"" /stext="" "&amp;TEXT(PZY28-utc_offset/24,"HH")&amp;search_regexp&amp;""""</f>
        <v>#REF!</v>
      </c>
      <c r="QAW28" s="234" t="e">
        <f>astrogrep_path&amp;" /e /r /s /spath="&amp;search_path&amp;" /stypes=""app*"&amp;PZS28&amp;"*"&amp;TEXT(PZZ28-utc_offset/24,"YYYYMMDD")&amp;"*"" /stext="" "&amp;TEXT(PZZ28-utc_offset/24,"HH")&amp;search_regexp&amp;""""</f>
        <v>#REF!</v>
      </c>
      <c r="QAX28" s="234" t="e">
        <f>astrogrep_path&amp;" /e /r /s /spath="&amp;search_path&amp;" /stypes=""app*"&amp;PZT28&amp;"*"&amp;TEXT(QAA28-utc_offset/24,"YYYYMMDD")&amp;"*"" /stext="" "&amp;TEXT(QAA28-utc_offset/24,"HH")&amp;search_regexp&amp;""""</f>
        <v>#REF!</v>
      </c>
      <c r="QAY28" s="234" t="e">
        <f>astrogrep_path&amp;" /e /r /s /spath="&amp;search_path&amp;" /stypes=""app*"&amp;PZU28&amp;"*"&amp;TEXT(QAB28-utc_offset/24,"YYYYMMDD")&amp;"*"" /stext="" "&amp;TEXT(QAB28-utc_offset/24,"HH")&amp;search_regexp&amp;""""</f>
        <v>#REF!</v>
      </c>
      <c r="QAZ28" s="234" t="e">
        <f>astrogrep_path&amp;" /e /r /s /spath="&amp;search_path&amp;" /stypes=""app*"&amp;PZV28&amp;"*"&amp;TEXT(QAC28-utc_offset/24,"YYYYMMDD")&amp;"*"" /stext="" "&amp;TEXT(QAC28-utc_offset/24,"HH")&amp;search_regexp&amp;""""</f>
        <v>#REF!</v>
      </c>
      <c r="QBA28" s="234" t="e">
        <f>astrogrep_path&amp;" /e /r /s /spath="&amp;search_path&amp;" /stypes=""app*"&amp;PZW28&amp;"*"&amp;TEXT(QAD28-utc_offset/24,"YYYYMMDD")&amp;"*"" /stext="" "&amp;TEXT(QAD28-utc_offset/24,"HH")&amp;search_regexp&amp;""""</f>
        <v>#REF!</v>
      </c>
      <c r="QBB28" s="234" t="e">
        <f>astrogrep_path&amp;" /e /r /s /spath="&amp;search_path&amp;" /stypes=""app*"&amp;PZX28&amp;"*"&amp;TEXT(QAE28-utc_offset/24,"YYYYMMDD")&amp;"*"" /stext="" "&amp;TEXT(QAE28-utc_offset/24,"HH")&amp;search_regexp&amp;""""</f>
        <v>#REF!</v>
      </c>
      <c r="QBC28" s="234" t="e">
        <f>astrogrep_path&amp;" /e /r /s /spath="&amp;search_path&amp;" /stypes=""app*"&amp;PZY28&amp;"*"&amp;TEXT(QAF28-utc_offset/24,"YYYYMMDD")&amp;"*"" /stext="" "&amp;TEXT(QAF28-utc_offset/24,"HH")&amp;search_regexp&amp;""""</f>
        <v>#REF!</v>
      </c>
      <c r="QBD28" s="234" t="e">
        <f>astrogrep_path&amp;" /e /r /s /spath="&amp;search_path&amp;" /stypes=""app*"&amp;PZZ28&amp;"*"&amp;TEXT(QAG28-utc_offset/24,"YYYYMMDD")&amp;"*"" /stext="" "&amp;TEXT(QAG28-utc_offset/24,"HH")&amp;search_regexp&amp;""""</f>
        <v>#REF!</v>
      </c>
      <c r="QBE28" s="234" t="e">
        <f>astrogrep_path&amp;" /e /r /s /spath="&amp;search_path&amp;" /stypes=""app*"&amp;QAA28&amp;"*"&amp;TEXT(QAH28-utc_offset/24,"YYYYMMDD")&amp;"*"" /stext="" "&amp;TEXT(QAH28-utc_offset/24,"HH")&amp;search_regexp&amp;""""</f>
        <v>#REF!</v>
      </c>
      <c r="QBF28" s="234" t="e">
        <f>astrogrep_path&amp;" /e /r /s /spath="&amp;search_path&amp;" /stypes=""app*"&amp;QAB28&amp;"*"&amp;TEXT(QAI28-utc_offset/24,"YYYYMMDD")&amp;"*"" /stext="" "&amp;TEXT(QAI28-utc_offset/24,"HH")&amp;search_regexp&amp;""""</f>
        <v>#REF!</v>
      </c>
      <c r="QBG28" s="234" t="e">
        <f>astrogrep_path&amp;" /e /r /s /spath="&amp;search_path&amp;" /stypes=""app*"&amp;QAC28&amp;"*"&amp;TEXT(QAJ28-utc_offset/24,"YYYYMMDD")&amp;"*"" /stext="" "&amp;TEXT(QAJ28-utc_offset/24,"HH")&amp;search_regexp&amp;""""</f>
        <v>#VALUE!</v>
      </c>
      <c r="QBH28" s="234" t="e">
        <f>astrogrep_path&amp;" /e /r /s /spath="&amp;search_path&amp;" /stypes=""app*"&amp;QAD28&amp;"*"&amp;TEXT(QAK28-utc_offset/24,"YYYYMMDD")&amp;"*"" /stext="" "&amp;TEXT(QAK28-utc_offset/24,"HH")&amp;search_regexp&amp;""""</f>
        <v>#VALUE!</v>
      </c>
      <c r="QBI28" s="234" t="e">
        <f>astrogrep_path&amp;" /e /r /s /spath="&amp;search_path&amp;" /stypes=""app*"&amp;QAE28&amp;"*"&amp;TEXT(QAL28-utc_offset/24,"YYYYMMDD")&amp;"*"" /stext="" "&amp;TEXT(QAL28-utc_offset/24,"HH")&amp;search_regexp&amp;""""</f>
        <v>#REF!</v>
      </c>
      <c r="QBJ28" s="234" t="e">
        <f>astrogrep_path&amp;" /e /r /s /spath="&amp;search_path&amp;" /stypes=""app*"&amp;QAF28&amp;"*"&amp;TEXT(QAM28-utc_offset/24,"YYYYMMDD")&amp;"*"" /stext="" "&amp;TEXT(QAM28-utc_offset/24,"HH")&amp;search_regexp&amp;""""</f>
        <v>#REF!</v>
      </c>
      <c r="QBK28" s="234" t="e">
        <f>astrogrep_path&amp;" /e /r /s /spath="&amp;search_path&amp;" /stypes=""app*"&amp;QAG28&amp;"*"&amp;TEXT(QAN28-utc_offset/24,"YYYYMMDD")&amp;"*"" /stext="" "&amp;TEXT(QAN28-utc_offset/24,"HH")&amp;search_regexp&amp;""""</f>
        <v>#VALUE!</v>
      </c>
      <c r="QBL28" s="234" t="e">
        <f>astrogrep_path&amp;" /e /r /s /spath="&amp;search_path&amp;" /stypes=""app*"&amp;QAH28&amp;"*"&amp;TEXT(QAO28-utc_offset/24,"YYYYMMDD")&amp;"*"" /stext="" "&amp;TEXT(QAO28-utc_offset/24,"HH")&amp;search_regexp&amp;""""</f>
        <v>#VALUE!</v>
      </c>
      <c r="QBM28" s="234" t="e">
        <f>astrogrep_path&amp;" /e /r /s /spath="&amp;search_path&amp;" /stypes=""app*"&amp;QAI28&amp;"*"&amp;TEXT(QAP28-utc_offset/24,"YYYYMMDD")&amp;"*"" /stext="" "&amp;TEXT(QAP28-utc_offset/24,"HH")&amp;search_regexp&amp;""""</f>
        <v>#VALUE!</v>
      </c>
      <c r="QBN28" s="234" t="e">
        <f>astrogrep_path&amp;" /e /r /s /spath="&amp;search_path&amp;" /stypes=""app*"&amp;QAJ28&amp;"*"&amp;TEXT(QAQ28-utc_offset/24,"YYYYMMDD")&amp;"*"" /stext="" "&amp;TEXT(QAQ28-utc_offset/24,"HH")&amp;search_regexp&amp;""""</f>
        <v>#VALUE!</v>
      </c>
      <c r="QBO28" s="234" t="e">
        <f>astrogrep_path&amp;" /e /r /s /spath="&amp;search_path&amp;" /stypes=""app*"&amp;QAK28&amp;"*"&amp;TEXT(QAR28-utc_offset/24,"YYYYMMDD")&amp;"*"" /stext="" "&amp;TEXT(QAR28-utc_offset/24,"HH")&amp;search_regexp&amp;""""</f>
        <v>#VALUE!</v>
      </c>
      <c r="QBP28" s="234" t="e">
        <f>astrogrep_path&amp;" /e /r /s /spath="&amp;search_path&amp;" /stypes=""app*"&amp;QAL28&amp;"*"&amp;TEXT(QAS28-utc_offset/24,"YYYYMMDD")&amp;"*"" /stext="" "&amp;TEXT(QAS28-utc_offset/24,"HH")&amp;search_regexp&amp;""""</f>
        <v>#REF!</v>
      </c>
      <c r="QBQ28" s="234" t="e">
        <f>astrogrep_path&amp;" /e /r /s /spath="&amp;search_path&amp;" /stypes=""app*"&amp;QAM28&amp;"*"&amp;TEXT(QAT28-utc_offset/24,"YYYYMMDD")&amp;"*"" /stext="" "&amp;TEXT(QAT28-utc_offset/24,"HH")&amp;search_regexp&amp;""""</f>
        <v>#REF!</v>
      </c>
      <c r="QBR28" s="234" t="e">
        <f>astrogrep_path&amp;" /e /r /s /spath="&amp;search_path&amp;" /stypes=""app*"&amp;QAN28&amp;"*"&amp;TEXT(QAU28-utc_offset/24,"YYYYMMDD")&amp;"*"" /stext="" "&amp;TEXT(QAU28-utc_offset/24,"HH")&amp;search_regexp&amp;""""</f>
        <v>#REF!</v>
      </c>
      <c r="QBS28" s="234" t="e">
        <f>astrogrep_path&amp;" /e /r /s /spath="&amp;search_path&amp;" /stypes=""app*"&amp;QAO28&amp;"*"&amp;TEXT(QAV28-utc_offset/24,"YYYYMMDD")&amp;"*"" /stext="" "&amp;TEXT(QAV28-utc_offset/24,"HH")&amp;search_regexp&amp;""""</f>
        <v>#REF!</v>
      </c>
      <c r="QBT28" s="234" t="e">
        <f>astrogrep_path&amp;" /e /r /s /spath="&amp;search_path&amp;" /stypes=""app*"&amp;QAP28&amp;"*"&amp;TEXT(QAW28-utc_offset/24,"YYYYMMDD")&amp;"*"" /stext="" "&amp;TEXT(QAW28-utc_offset/24,"HH")&amp;search_regexp&amp;""""</f>
        <v>#REF!</v>
      </c>
      <c r="QBU28" s="234" t="e">
        <f>astrogrep_path&amp;" /e /r /s /spath="&amp;search_path&amp;" /stypes=""app*"&amp;QAQ28&amp;"*"&amp;TEXT(QAX28-utc_offset/24,"YYYYMMDD")&amp;"*"" /stext="" "&amp;TEXT(QAX28-utc_offset/24,"HH")&amp;search_regexp&amp;""""</f>
        <v>#REF!</v>
      </c>
      <c r="QBV28" s="234" t="e">
        <f>astrogrep_path&amp;" /e /r /s /spath="&amp;search_path&amp;" /stypes=""app*"&amp;QAR28&amp;"*"&amp;TEXT(QAY28-utc_offset/24,"YYYYMMDD")&amp;"*"" /stext="" "&amp;TEXT(QAY28-utc_offset/24,"HH")&amp;search_regexp&amp;""""</f>
        <v>#REF!</v>
      </c>
      <c r="QBW28" s="234" t="e">
        <f>astrogrep_path&amp;" /e /r /s /spath="&amp;search_path&amp;" /stypes=""app*"&amp;QAS28&amp;"*"&amp;TEXT(QAZ28-utc_offset/24,"YYYYMMDD")&amp;"*"" /stext="" "&amp;TEXT(QAZ28-utc_offset/24,"HH")&amp;search_regexp&amp;""""</f>
        <v>#REF!</v>
      </c>
      <c r="QBX28" s="234" t="e">
        <f>astrogrep_path&amp;" /e /r /s /spath="&amp;search_path&amp;" /stypes=""app*"&amp;QAT28&amp;"*"&amp;TEXT(QBA28-utc_offset/24,"YYYYMMDD")&amp;"*"" /stext="" "&amp;TEXT(QBA28-utc_offset/24,"HH")&amp;search_regexp&amp;""""</f>
        <v>#REF!</v>
      </c>
      <c r="QBY28" s="234" t="e">
        <f>astrogrep_path&amp;" /e /r /s /spath="&amp;search_path&amp;" /stypes=""app*"&amp;QAU28&amp;"*"&amp;TEXT(QBB28-utc_offset/24,"YYYYMMDD")&amp;"*"" /stext="" "&amp;TEXT(QBB28-utc_offset/24,"HH")&amp;search_regexp&amp;""""</f>
        <v>#REF!</v>
      </c>
      <c r="QBZ28" s="234" t="e">
        <f>astrogrep_path&amp;" /e /r /s /spath="&amp;search_path&amp;" /stypes=""app*"&amp;QAV28&amp;"*"&amp;TEXT(QBC28-utc_offset/24,"YYYYMMDD")&amp;"*"" /stext="" "&amp;TEXT(QBC28-utc_offset/24,"HH")&amp;search_regexp&amp;""""</f>
        <v>#REF!</v>
      </c>
      <c r="QCA28" s="234" t="e">
        <f>astrogrep_path&amp;" /e /r /s /spath="&amp;search_path&amp;" /stypes=""app*"&amp;QAW28&amp;"*"&amp;TEXT(QBD28-utc_offset/24,"YYYYMMDD")&amp;"*"" /stext="" "&amp;TEXT(QBD28-utc_offset/24,"HH")&amp;search_regexp&amp;""""</f>
        <v>#REF!</v>
      </c>
      <c r="QCB28" s="234" t="e">
        <f>astrogrep_path&amp;" /e /r /s /spath="&amp;search_path&amp;" /stypes=""app*"&amp;QAX28&amp;"*"&amp;TEXT(QBE28-utc_offset/24,"YYYYMMDD")&amp;"*"" /stext="" "&amp;TEXT(QBE28-utc_offset/24,"HH")&amp;search_regexp&amp;""""</f>
        <v>#REF!</v>
      </c>
      <c r="QCC28" s="234" t="e">
        <f>astrogrep_path&amp;" /e /r /s /spath="&amp;search_path&amp;" /stypes=""app*"&amp;QAY28&amp;"*"&amp;TEXT(QBF28-utc_offset/24,"YYYYMMDD")&amp;"*"" /stext="" "&amp;TEXT(QBF28-utc_offset/24,"HH")&amp;search_regexp&amp;""""</f>
        <v>#REF!</v>
      </c>
      <c r="QCD28" s="234" t="e">
        <f>astrogrep_path&amp;" /e /r /s /spath="&amp;search_path&amp;" /stypes=""app*"&amp;QAZ28&amp;"*"&amp;TEXT(QBG28-utc_offset/24,"YYYYMMDD")&amp;"*"" /stext="" "&amp;TEXT(QBG28-utc_offset/24,"HH")&amp;search_regexp&amp;""""</f>
        <v>#REF!</v>
      </c>
      <c r="QCE28" s="234" t="e">
        <f>astrogrep_path&amp;" /e /r /s /spath="&amp;search_path&amp;" /stypes=""app*"&amp;QBA28&amp;"*"&amp;TEXT(QBH28-utc_offset/24,"YYYYMMDD")&amp;"*"" /stext="" "&amp;TEXT(QBH28-utc_offset/24,"HH")&amp;search_regexp&amp;""""</f>
        <v>#REF!</v>
      </c>
      <c r="QCF28" s="234" t="e">
        <f>astrogrep_path&amp;" /e /r /s /spath="&amp;search_path&amp;" /stypes=""app*"&amp;QBB28&amp;"*"&amp;TEXT(QBI28-utc_offset/24,"YYYYMMDD")&amp;"*"" /stext="" "&amp;TEXT(QBI28-utc_offset/24,"HH")&amp;search_regexp&amp;""""</f>
        <v>#REF!</v>
      </c>
      <c r="QCG28" s="234" t="e">
        <f>astrogrep_path&amp;" /e /r /s /spath="&amp;search_path&amp;" /stypes=""app*"&amp;QBC28&amp;"*"&amp;TEXT(QBJ28-utc_offset/24,"YYYYMMDD")&amp;"*"" /stext="" "&amp;TEXT(QBJ28-utc_offset/24,"HH")&amp;search_regexp&amp;""""</f>
        <v>#REF!</v>
      </c>
      <c r="QCH28" s="234" t="e">
        <f>astrogrep_path&amp;" /e /r /s /spath="&amp;search_path&amp;" /stypes=""app*"&amp;QBD28&amp;"*"&amp;TEXT(QBK28-utc_offset/24,"YYYYMMDD")&amp;"*"" /stext="" "&amp;TEXT(QBK28-utc_offset/24,"HH")&amp;search_regexp&amp;""""</f>
        <v>#REF!</v>
      </c>
      <c r="QCI28" s="234" t="e">
        <f>astrogrep_path&amp;" /e /r /s /spath="&amp;search_path&amp;" /stypes=""app*"&amp;QBE28&amp;"*"&amp;TEXT(QBL28-utc_offset/24,"YYYYMMDD")&amp;"*"" /stext="" "&amp;TEXT(QBL28-utc_offset/24,"HH")&amp;search_regexp&amp;""""</f>
        <v>#REF!</v>
      </c>
      <c r="QCJ28" s="234" t="e">
        <f>astrogrep_path&amp;" /e /r /s /spath="&amp;search_path&amp;" /stypes=""app*"&amp;QBF28&amp;"*"&amp;TEXT(QBM28-utc_offset/24,"YYYYMMDD")&amp;"*"" /stext="" "&amp;TEXT(QBM28-utc_offset/24,"HH")&amp;search_regexp&amp;""""</f>
        <v>#REF!</v>
      </c>
      <c r="QCK28" s="234" t="e">
        <f>astrogrep_path&amp;" /e /r /s /spath="&amp;search_path&amp;" /stypes=""app*"&amp;QBG28&amp;"*"&amp;TEXT(QBN28-utc_offset/24,"YYYYMMDD")&amp;"*"" /stext="" "&amp;TEXT(QBN28-utc_offset/24,"HH")&amp;search_regexp&amp;""""</f>
        <v>#VALUE!</v>
      </c>
      <c r="QCL28" s="234" t="e">
        <f>astrogrep_path&amp;" /e /r /s /spath="&amp;search_path&amp;" /stypes=""app*"&amp;QBH28&amp;"*"&amp;TEXT(QBO28-utc_offset/24,"YYYYMMDD")&amp;"*"" /stext="" "&amp;TEXT(QBO28-utc_offset/24,"HH")&amp;search_regexp&amp;""""</f>
        <v>#VALUE!</v>
      </c>
      <c r="QCM28" s="234" t="e">
        <f>astrogrep_path&amp;" /e /r /s /spath="&amp;search_path&amp;" /stypes=""app*"&amp;QBI28&amp;"*"&amp;TEXT(QBP28-utc_offset/24,"YYYYMMDD")&amp;"*"" /stext="" "&amp;TEXT(QBP28-utc_offset/24,"HH")&amp;search_regexp&amp;""""</f>
        <v>#REF!</v>
      </c>
      <c r="QCN28" s="234" t="e">
        <f>astrogrep_path&amp;" /e /r /s /spath="&amp;search_path&amp;" /stypes=""app*"&amp;QBJ28&amp;"*"&amp;TEXT(QBQ28-utc_offset/24,"YYYYMMDD")&amp;"*"" /stext="" "&amp;TEXT(QBQ28-utc_offset/24,"HH")&amp;search_regexp&amp;""""</f>
        <v>#REF!</v>
      </c>
      <c r="QCO28" s="234" t="e">
        <f>astrogrep_path&amp;" /e /r /s /spath="&amp;search_path&amp;" /stypes=""app*"&amp;QBK28&amp;"*"&amp;TEXT(QBR28-utc_offset/24,"YYYYMMDD")&amp;"*"" /stext="" "&amp;TEXT(QBR28-utc_offset/24,"HH")&amp;search_regexp&amp;""""</f>
        <v>#VALUE!</v>
      </c>
      <c r="QCP28" s="234" t="e">
        <f>astrogrep_path&amp;" /e /r /s /spath="&amp;search_path&amp;" /stypes=""app*"&amp;QBL28&amp;"*"&amp;TEXT(QBS28-utc_offset/24,"YYYYMMDD")&amp;"*"" /stext="" "&amp;TEXT(QBS28-utc_offset/24,"HH")&amp;search_regexp&amp;""""</f>
        <v>#VALUE!</v>
      </c>
      <c r="QCQ28" s="234" t="e">
        <f>astrogrep_path&amp;" /e /r /s /spath="&amp;search_path&amp;" /stypes=""app*"&amp;QBM28&amp;"*"&amp;TEXT(QBT28-utc_offset/24,"YYYYMMDD")&amp;"*"" /stext="" "&amp;TEXT(QBT28-utc_offset/24,"HH")&amp;search_regexp&amp;""""</f>
        <v>#VALUE!</v>
      </c>
      <c r="QCR28" s="234" t="e">
        <f>astrogrep_path&amp;" /e /r /s /spath="&amp;search_path&amp;" /stypes=""app*"&amp;QBN28&amp;"*"&amp;TEXT(QBU28-utc_offset/24,"YYYYMMDD")&amp;"*"" /stext="" "&amp;TEXT(QBU28-utc_offset/24,"HH")&amp;search_regexp&amp;""""</f>
        <v>#VALUE!</v>
      </c>
      <c r="QCS28" s="234" t="e">
        <f>astrogrep_path&amp;" /e /r /s /spath="&amp;search_path&amp;" /stypes=""app*"&amp;QBO28&amp;"*"&amp;TEXT(QBV28-utc_offset/24,"YYYYMMDD")&amp;"*"" /stext="" "&amp;TEXT(QBV28-utc_offset/24,"HH")&amp;search_regexp&amp;""""</f>
        <v>#VALUE!</v>
      </c>
      <c r="QCT28" s="234" t="e">
        <f>astrogrep_path&amp;" /e /r /s /spath="&amp;search_path&amp;" /stypes=""app*"&amp;QBP28&amp;"*"&amp;TEXT(QBW28-utc_offset/24,"YYYYMMDD")&amp;"*"" /stext="" "&amp;TEXT(QBW28-utc_offset/24,"HH")&amp;search_regexp&amp;""""</f>
        <v>#REF!</v>
      </c>
      <c r="QCU28" s="234" t="e">
        <f>astrogrep_path&amp;" /e /r /s /spath="&amp;search_path&amp;" /stypes=""app*"&amp;QBQ28&amp;"*"&amp;TEXT(QBX28-utc_offset/24,"YYYYMMDD")&amp;"*"" /stext="" "&amp;TEXT(QBX28-utc_offset/24,"HH")&amp;search_regexp&amp;""""</f>
        <v>#REF!</v>
      </c>
      <c r="QCV28" s="234" t="e">
        <f>astrogrep_path&amp;" /e /r /s /spath="&amp;search_path&amp;" /stypes=""app*"&amp;QBR28&amp;"*"&amp;TEXT(QBY28-utc_offset/24,"YYYYMMDD")&amp;"*"" /stext="" "&amp;TEXT(QBY28-utc_offset/24,"HH")&amp;search_regexp&amp;""""</f>
        <v>#REF!</v>
      </c>
      <c r="QCW28" s="234" t="e">
        <f>astrogrep_path&amp;" /e /r /s /spath="&amp;search_path&amp;" /stypes=""app*"&amp;QBS28&amp;"*"&amp;TEXT(QBZ28-utc_offset/24,"YYYYMMDD")&amp;"*"" /stext="" "&amp;TEXT(QBZ28-utc_offset/24,"HH")&amp;search_regexp&amp;""""</f>
        <v>#REF!</v>
      </c>
      <c r="QCX28" s="234" t="e">
        <f>astrogrep_path&amp;" /e /r /s /spath="&amp;search_path&amp;" /stypes=""app*"&amp;QBT28&amp;"*"&amp;TEXT(QCA28-utc_offset/24,"YYYYMMDD")&amp;"*"" /stext="" "&amp;TEXT(QCA28-utc_offset/24,"HH")&amp;search_regexp&amp;""""</f>
        <v>#REF!</v>
      </c>
      <c r="QCY28" s="234" t="e">
        <f>astrogrep_path&amp;" /e /r /s /spath="&amp;search_path&amp;" /stypes=""app*"&amp;QBU28&amp;"*"&amp;TEXT(QCB28-utc_offset/24,"YYYYMMDD")&amp;"*"" /stext="" "&amp;TEXT(QCB28-utc_offset/24,"HH")&amp;search_regexp&amp;""""</f>
        <v>#REF!</v>
      </c>
      <c r="QCZ28" s="234" t="e">
        <f>astrogrep_path&amp;" /e /r /s /spath="&amp;search_path&amp;" /stypes=""app*"&amp;QBV28&amp;"*"&amp;TEXT(QCC28-utc_offset/24,"YYYYMMDD")&amp;"*"" /stext="" "&amp;TEXT(QCC28-utc_offset/24,"HH")&amp;search_regexp&amp;""""</f>
        <v>#REF!</v>
      </c>
      <c r="QDA28" s="234" t="e">
        <f>astrogrep_path&amp;" /e /r /s /spath="&amp;search_path&amp;" /stypes=""app*"&amp;QBW28&amp;"*"&amp;TEXT(QCD28-utc_offset/24,"YYYYMMDD")&amp;"*"" /stext="" "&amp;TEXT(QCD28-utc_offset/24,"HH")&amp;search_regexp&amp;""""</f>
        <v>#REF!</v>
      </c>
      <c r="QDB28" s="234" t="e">
        <f>astrogrep_path&amp;" /e /r /s /spath="&amp;search_path&amp;" /stypes=""app*"&amp;QBX28&amp;"*"&amp;TEXT(QCE28-utc_offset/24,"YYYYMMDD")&amp;"*"" /stext="" "&amp;TEXT(QCE28-utc_offset/24,"HH")&amp;search_regexp&amp;""""</f>
        <v>#REF!</v>
      </c>
      <c r="QDC28" s="234" t="e">
        <f>astrogrep_path&amp;" /e /r /s /spath="&amp;search_path&amp;" /stypes=""app*"&amp;QBY28&amp;"*"&amp;TEXT(QCF28-utc_offset/24,"YYYYMMDD")&amp;"*"" /stext="" "&amp;TEXT(QCF28-utc_offset/24,"HH")&amp;search_regexp&amp;""""</f>
        <v>#REF!</v>
      </c>
      <c r="QDD28" s="234" t="e">
        <f>astrogrep_path&amp;" /e /r /s /spath="&amp;search_path&amp;" /stypes=""app*"&amp;QBZ28&amp;"*"&amp;TEXT(QCG28-utc_offset/24,"YYYYMMDD")&amp;"*"" /stext="" "&amp;TEXT(QCG28-utc_offset/24,"HH")&amp;search_regexp&amp;""""</f>
        <v>#REF!</v>
      </c>
      <c r="QDE28" s="234" t="e">
        <f>astrogrep_path&amp;" /e /r /s /spath="&amp;search_path&amp;" /stypes=""app*"&amp;QCA28&amp;"*"&amp;TEXT(QCH28-utc_offset/24,"YYYYMMDD")&amp;"*"" /stext="" "&amp;TEXT(QCH28-utc_offset/24,"HH")&amp;search_regexp&amp;""""</f>
        <v>#REF!</v>
      </c>
      <c r="QDF28" s="234" t="e">
        <f>astrogrep_path&amp;" /e /r /s /spath="&amp;search_path&amp;" /stypes=""app*"&amp;QCB28&amp;"*"&amp;TEXT(QCI28-utc_offset/24,"YYYYMMDD")&amp;"*"" /stext="" "&amp;TEXT(QCI28-utc_offset/24,"HH")&amp;search_regexp&amp;""""</f>
        <v>#REF!</v>
      </c>
      <c r="QDG28" s="234" t="e">
        <f>astrogrep_path&amp;" /e /r /s /spath="&amp;search_path&amp;" /stypes=""app*"&amp;QCC28&amp;"*"&amp;TEXT(QCJ28-utc_offset/24,"YYYYMMDD")&amp;"*"" /stext="" "&amp;TEXT(QCJ28-utc_offset/24,"HH")&amp;search_regexp&amp;""""</f>
        <v>#REF!</v>
      </c>
      <c r="QDH28" s="234" t="e">
        <f>astrogrep_path&amp;" /e /r /s /spath="&amp;search_path&amp;" /stypes=""app*"&amp;QCD28&amp;"*"&amp;TEXT(QCK28-utc_offset/24,"YYYYMMDD")&amp;"*"" /stext="" "&amp;TEXT(QCK28-utc_offset/24,"HH")&amp;search_regexp&amp;""""</f>
        <v>#REF!</v>
      </c>
      <c r="QDI28" s="234" t="e">
        <f>astrogrep_path&amp;" /e /r /s /spath="&amp;search_path&amp;" /stypes=""app*"&amp;QCE28&amp;"*"&amp;TEXT(QCL28-utc_offset/24,"YYYYMMDD")&amp;"*"" /stext="" "&amp;TEXT(QCL28-utc_offset/24,"HH")&amp;search_regexp&amp;""""</f>
        <v>#REF!</v>
      </c>
      <c r="QDJ28" s="234" t="e">
        <f>astrogrep_path&amp;" /e /r /s /spath="&amp;search_path&amp;" /stypes=""app*"&amp;QCF28&amp;"*"&amp;TEXT(QCM28-utc_offset/24,"YYYYMMDD")&amp;"*"" /stext="" "&amp;TEXT(QCM28-utc_offset/24,"HH")&amp;search_regexp&amp;""""</f>
        <v>#REF!</v>
      </c>
      <c r="QDK28" s="234" t="e">
        <f>astrogrep_path&amp;" /e /r /s /spath="&amp;search_path&amp;" /stypes=""app*"&amp;QCG28&amp;"*"&amp;TEXT(QCN28-utc_offset/24,"YYYYMMDD")&amp;"*"" /stext="" "&amp;TEXT(QCN28-utc_offset/24,"HH")&amp;search_regexp&amp;""""</f>
        <v>#REF!</v>
      </c>
      <c r="QDL28" s="234" t="e">
        <f>astrogrep_path&amp;" /e /r /s /spath="&amp;search_path&amp;" /stypes=""app*"&amp;QCH28&amp;"*"&amp;TEXT(QCO28-utc_offset/24,"YYYYMMDD")&amp;"*"" /stext="" "&amp;TEXT(QCO28-utc_offset/24,"HH")&amp;search_regexp&amp;""""</f>
        <v>#REF!</v>
      </c>
      <c r="QDM28" s="234" t="e">
        <f>astrogrep_path&amp;" /e /r /s /spath="&amp;search_path&amp;" /stypes=""app*"&amp;QCI28&amp;"*"&amp;TEXT(QCP28-utc_offset/24,"YYYYMMDD")&amp;"*"" /stext="" "&amp;TEXT(QCP28-utc_offset/24,"HH")&amp;search_regexp&amp;""""</f>
        <v>#REF!</v>
      </c>
      <c r="QDN28" s="234" t="e">
        <f>astrogrep_path&amp;" /e /r /s /spath="&amp;search_path&amp;" /stypes=""app*"&amp;QCJ28&amp;"*"&amp;TEXT(QCQ28-utc_offset/24,"YYYYMMDD")&amp;"*"" /stext="" "&amp;TEXT(QCQ28-utc_offset/24,"HH")&amp;search_regexp&amp;""""</f>
        <v>#REF!</v>
      </c>
      <c r="QDO28" s="234" t="e">
        <f>astrogrep_path&amp;" /e /r /s /spath="&amp;search_path&amp;" /stypes=""app*"&amp;QCK28&amp;"*"&amp;TEXT(QCR28-utc_offset/24,"YYYYMMDD")&amp;"*"" /stext="" "&amp;TEXT(QCR28-utc_offset/24,"HH")&amp;search_regexp&amp;""""</f>
        <v>#VALUE!</v>
      </c>
      <c r="QDP28" s="234" t="e">
        <f>astrogrep_path&amp;" /e /r /s /spath="&amp;search_path&amp;" /stypes=""app*"&amp;QCL28&amp;"*"&amp;TEXT(QCS28-utc_offset/24,"YYYYMMDD")&amp;"*"" /stext="" "&amp;TEXT(QCS28-utc_offset/24,"HH")&amp;search_regexp&amp;""""</f>
        <v>#VALUE!</v>
      </c>
      <c r="QDQ28" s="234" t="e">
        <f>astrogrep_path&amp;" /e /r /s /spath="&amp;search_path&amp;" /stypes=""app*"&amp;QCM28&amp;"*"&amp;TEXT(QCT28-utc_offset/24,"YYYYMMDD")&amp;"*"" /stext="" "&amp;TEXT(QCT28-utc_offset/24,"HH")&amp;search_regexp&amp;""""</f>
        <v>#REF!</v>
      </c>
      <c r="QDR28" s="234" t="e">
        <f>astrogrep_path&amp;" /e /r /s /spath="&amp;search_path&amp;" /stypes=""app*"&amp;QCN28&amp;"*"&amp;TEXT(QCU28-utc_offset/24,"YYYYMMDD")&amp;"*"" /stext="" "&amp;TEXT(QCU28-utc_offset/24,"HH")&amp;search_regexp&amp;""""</f>
        <v>#REF!</v>
      </c>
      <c r="QDS28" s="234" t="e">
        <f>astrogrep_path&amp;" /e /r /s /spath="&amp;search_path&amp;" /stypes=""app*"&amp;QCO28&amp;"*"&amp;TEXT(QCV28-utc_offset/24,"YYYYMMDD")&amp;"*"" /stext="" "&amp;TEXT(QCV28-utc_offset/24,"HH")&amp;search_regexp&amp;""""</f>
        <v>#VALUE!</v>
      </c>
      <c r="QDT28" s="234" t="e">
        <f>astrogrep_path&amp;" /e /r /s /spath="&amp;search_path&amp;" /stypes=""app*"&amp;QCP28&amp;"*"&amp;TEXT(QCW28-utc_offset/24,"YYYYMMDD")&amp;"*"" /stext="" "&amp;TEXT(QCW28-utc_offset/24,"HH")&amp;search_regexp&amp;""""</f>
        <v>#VALUE!</v>
      </c>
      <c r="QDU28" s="234" t="e">
        <f>astrogrep_path&amp;" /e /r /s /spath="&amp;search_path&amp;" /stypes=""app*"&amp;QCQ28&amp;"*"&amp;TEXT(QCX28-utc_offset/24,"YYYYMMDD")&amp;"*"" /stext="" "&amp;TEXT(QCX28-utc_offset/24,"HH")&amp;search_regexp&amp;""""</f>
        <v>#VALUE!</v>
      </c>
      <c r="QDV28" s="234" t="e">
        <f>astrogrep_path&amp;" /e /r /s /spath="&amp;search_path&amp;" /stypes=""app*"&amp;QCR28&amp;"*"&amp;TEXT(QCY28-utc_offset/24,"YYYYMMDD")&amp;"*"" /stext="" "&amp;TEXT(QCY28-utc_offset/24,"HH")&amp;search_regexp&amp;""""</f>
        <v>#VALUE!</v>
      </c>
      <c r="QDW28" s="234" t="e">
        <f>astrogrep_path&amp;" /e /r /s /spath="&amp;search_path&amp;" /stypes=""app*"&amp;QCS28&amp;"*"&amp;TEXT(QCZ28-utc_offset/24,"YYYYMMDD")&amp;"*"" /stext="" "&amp;TEXT(QCZ28-utc_offset/24,"HH")&amp;search_regexp&amp;""""</f>
        <v>#VALUE!</v>
      </c>
      <c r="QDX28" s="234" t="e">
        <f>astrogrep_path&amp;" /e /r /s /spath="&amp;search_path&amp;" /stypes=""app*"&amp;QCT28&amp;"*"&amp;TEXT(QDA28-utc_offset/24,"YYYYMMDD")&amp;"*"" /stext="" "&amp;TEXT(QDA28-utc_offset/24,"HH")&amp;search_regexp&amp;""""</f>
        <v>#REF!</v>
      </c>
      <c r="QDY28" s="234" t="e">
        <f>astrogrep_path&amp;" /e /r /s /spath="&amp;search_path&amp;" /stypes=""app*"&amp;QCU28&amp;"*"&amp;TEXT(QDB28-utc_offset/24,"YYYYMMDD")&amp;"*"" /stext="" "&amp;TEXT(QDB28-utc_offset/24,"HH")&amp;search_regexp&amp;""""</f>
        <v>#REF!</v>
      </c>
      <c r="QDZ28" s="234" t="e">
        <f>astrogrep_path&amp;" /e /r /s /spath="&amp;search_path&amp;" /stypes=""app*"&amp;QCV28&amp;"*"&amp;TEXT(QDC28-utc_offset/24,"YYYYMMDD")&amp;"*"" /stext="" "&amp;TEXT(QDC28-utc_offset/24,"HH")&amp;search_regexp&amp;""""</f>
        <v>#REF!</v>
      </c>
      <c r="QEA28" s="234" t="e">
        <f>astrogrep_path&amp;" /e /r /s /spath="&amp;search_path&amp;" /stypes=""app*"&amp;QCW28&amp;"*"&amp;TEXT(QDD28-utc_offset/24,"YYYYMMDD")&amp;"*"" /stext="" "&amp;TEXT(QDD28-utc_offset/24,"HH")&amp;search_regexp&amp;""""</f>
        <v>#REF!</v>
      </c>
      <c r="QEB28" s="234" t="e">
        <f>astrogrep_path&amp;" /e /r /s /spath="&amp;search_path&amp;" /stypes=""app*"&amp;QCX28&amp;"*"&amp;TEXT(QDE28-utc_offset/24,"YYYYMMDD")&amp;"*"" /stext="" "&amp;TEXT(QDE28-utc_offset/24,"HH")&amp;search_regexp&amp;""""</f>
        <v>#REF!</v>
      </c>
      <c r="QEC28" s="234" t="e">
        <f>astrogrep_path&amp;" /e /r /s /spath="&amp;search_path&amp;" /stypes=""app*"&amp;QCY28&amp;"*"&amp;TEXT(QDF28-utc_offset/24,"YYYYMMDD")&amp;"*"" /stext="" "&amp;TEXT(QDF28-utc_offset/24,"HH")&amp;search_regexp&amp;""""</f>
        <v>#REF!</v>
      </c>
      <c r="QED28" s="234" t="e">
        <f>astrogrep_path&amp;" /e /r /s /spath="&amp;search_path&amp;" /stypes=""app*"&amp;QCZ28&amp;"*"&amp;TEXT(QDG28-utc_offset/24,"YYYYMMDD")&amp;"*"" /stext="" "&amp;TEXT(QDG28-utc_offset/24,"HH")&amp;search_regexp&amp;""""</f>
        <v>#REF!</v>
      </c>
      <c r="QEE28" s="234" t="e">
        <f>astrogrep_path&amp;" /e /r /s /spath="&amp;search_path&amp;" /stypes=""app*"&amp;QDA28&amp;"*"&amp;TEXT(QDH28-utc_offset/24,"YYYYMMDD")&amp;"*"" /stext="" "&amp;TEXT(QDH28-utc_offset/24,"HH")&amp;search_regexp&amp;""""</f>
        <v>#REF!</v>
      </c>
      <c r="QEF28" s="234" t="e">
        <f>astrogrep_path&amp;" /e /r /s /spath="&amp;search_path&amp;" /stypes=""app*"&amp;QDB28&amp;"*"&amp;TEXT(QDI28-utc_offset/24,"YYYYMMDD")&amp;"*"" /stext="" "&amp;TEXT(QDI28-utc_offset/24,"HH")&amp;search_regexp&amp;""""</f>
        <v>#REF!</v>
      </c>
      <c r="QEG28" s="234" t="e">
        <f>astrogrep_path&amp;" /e /r /s /spath="&amp;search_path&amp;" /stypes=""app*"&amp;QDC28&amp;"*"&amp;TEXT(QDJ28-utc_offset/24,"YYYYMMDD")&amp;"*"" /stext="" "&amp;TEXT(QDJ28-utc_offset/24,"HH")&amp;search_regexp&amp;""""</f>
        <v>#REF!</v>
      </c>
      <c r="QEH28" s="234" t="e">
        <f>astrogrep_path&amp;" /e /r /s /spath="&amp;search_path&amp;" /stypes=""app*"&amp;QDD28&amp;"*"&amp;TEXT(QDK28-utc_offset/24,"YYYYMMDD")&amp;"*"" /stext="" "&amp;TEXT(QDK28-utc_offset/24,"HH")&amp;search_regexp&amp;""""</f>
        <v>#REF!</v>
      </c>
      <c r="QEI28" s="234" t="e">
        <f>astrogrep_path&amp;" /e /r /s /spath="&amp;search_path&amp;" /stypes=""app*"&amp;QDE28&amp;"*"&amp;TEXT(QDL28-utc_offset/24,"YYYYMMDD")&amp;"*"" /stext="" "&amp;TEXT(QDL28-utc_offset/24,"HH")&amp;search_regexp&amp;""""</f>
        <v>#REF!</v>
      </c>
      <c r="QEJ28" s="234" t="e">
        <f>astrogrep_path&amp;" /e /r /s /spath="&amp;search_path&amp;" /stypes=""app*"&amp;QDF28&amp;"*"&amp;TEXT(QDM28-utc_offset/24,"YYYYMMDD")&amp;"*"" /stext="" "&amp;TEXT(QDM28-utc_offset/24,"HH")&amp;search_regexp&amp;""""</f>
        <v>#REF!</v>
      </c>
      <c r="QEK28" s="234" t="e">
        <f>astrogrep_path&amp;" /e /r /s /spath="&amp;search_path&amp;" /stypes=""app*"&amp;QDG28&amp;"*"&amp;TEXT(QDN28-utc_offset/24,"YYYYMMDD")&amp;"*"" /stext="" "&amp;TEXT(QDN28-utc_offset/24,"HH")&amp;search_regexp&amp;""""</f>
        <v>#REF!</v>
      </c>
      <c r="QEL28" s="234" t="e">
        <f>astrogrep_path&amp;" /e /r /s /spath="&amp;search_path&amp;" /stypes=""app*"&amp;QDH28&amp;"*"&amp;TEXT(QDO28-utc_offset/24,"YYYYMMDD")&amp;"*"" /stext="" "&amp;TEXT(QDO28-utc_offset/24,"HH")&amp;search_regexp&amp;""""</f>
        <v>#REF!</v>
      </c>
      <c r="QEM28" s="234" t="e">
        <f>astrogrep_path&amp;" /e /r /s /spath="&amp;search_path&amp;" /stypes=""app*"&amp;QDI28&amp;"*"&amp;TEXT(QDP28-utc_offset/24,"YYYYMMDD")&amp;"*"" /stext="" "&amp;TEXT(QDP28-utc_offset/24,"HH")&amp;search_regexp&amp;""""</f>
        <v>#REF!</v>
      </c>
      <c r="QEN28" s="234" t="e">
        <f>astrogrep_path&amp;" /e /r /s /spath="&amp;search_path&amp;" /stypes=""app*"&amp;QDJ28&amp;"*"&amp;TEXT(QDQ28-utc_offset/24,"YYYYMMDD")&amp;"*"" /stext="" "&amp;TEXT(QDQ28-utc_offset/24,"HH")&amp;search_regexp&amp;""""</f>
        <v>#REF!</v>
      </c>
      <c r="QEO28" s="234" t="e">
        <f>astrogrep_path&amp;" /e /r /s /spath="&amp;search_path&amp;" /stypes=""app*"&amp;QDK28&amp;"*"&amp;TEXT(QDR28-utc_offset/24,"YYYYMMDD")&amp;"*"" /stext="" "&amp;TEXT(QDR28-utc_offset/24,"HH")&amp;search_regexp&amp;""""</f>
        <v>#REF!</v>
      </c>
      <c r="QEP28" s="234" t="e">
        <f>astrogrep_path&amp;" /e /r /s /spath="&amp;search_path&amp;" /stypes=""app*"&amp;QDL28&amp;"*"&amp;TEXT(QDS28-utc_offset/24,"YYYYMMDD")&amp;"*"" /stext="" "&amp;TEXT(QDS28-utc_offset/24,"HH")&amp;search_regexp&amp;""""</f>
        <v>#REF!</v>
      </c>
      <c r="QEQ28" s="234" t="e">
        <f>astrogrep_path&amp;" /e /r /s /spath="&amp;search_path&amp;" /stypes=""app*"&amp;QDM28&amp;"*"&amp;TEXT(QDT28-utc_offset/24,"YYYYMMDD")&amp;"*"" /stext="" "&amp;TEXT(QDT28-utc_offset/24,"HH")&amp;search_regexp&amp;""""</f>
        <v>#REF!</v>
      </c>
      <c r="QER28" s="234" t="e">
        <f>astrogrep_path&amp;" /e /r /s /spath="&amp;search_path&amp;" /stypes=""app*"&amp;QDN28&amp;"*"&amp;TEXT(QDU28-utc_offset/24,"YYYYMMDD")&amp;"*"" /stext="" "&amp;TEXT(QDU28-utc_offset/24,"HH")&amp;search_regexp&amp;""""</f>
        <v>#REF!</v>
      </c>
      <c r="QES28" s="234" t="e">
        <f>astrogrep_path&amp;" /e /r /s /spath="&amp;search_path&amp;" /stypes=""app*"&amp;QDO28&amp;"*"&amp;TEXT(QDV28-utc_offset/24,"YYYYMMDD")&amp;"*"" /stext="" "&amp;TEXT(QDV28-utc_offset/24,"HH")&amp;search_regexp&amp;""""</f>
        <v>#VALUE!</v>
      </c>
      <c r="QET28" s="234" t="e">
        <f>astrogrep_path&amp;" /e /r /s /spath="&amp;search_path&amp;" /stypes=""app*"&amp;QDP28&amp;"*"&amp;TEXT(QDW28-utc_offset/24,"YYYYMMDD")&amp;"*"" /stext="" "&amp;TEXT(QDW28-utc_offset/24,"HH")&amp;search_regexp&amp;""""</f>
        <v>#VALUE!</v>
      </c>
      <c r="QEU28" s="234" t="e">
        <f>astrogrep_path&amp;" /e /r /s /spath="&amp;search_path&amp;" /stypes=""app*"&amp;QDQ28&amp;"*"&amp;TEXT(QDX28-utc_offset/24,"YYYYMMDD")&amp;"*"" /stext="" "&amp;TEXT(QDX28-utc_offset/24,"HH")&amp;search_regexp&amp;""""</f>
        <v>#REF!</v>
      </c>
      <c r="QEV28" s="234" t="e">
        <f>astrogrep_path&amp;" /e /r /s /spath="&amp;search_path&amp;" /stypes=""app*"&amp;QDR28&amp;"*"&amp;TEXT(QDY28-utc_offset/24,"YYYYMMDD")&amp;"*"" /stext="" "&amp;TEXT(QDY28-utc_offset/24,"HH")&amp;search_regexp&amp;""""</f>
        <v>#REF!</v>
      </c>
      <c r="QEW28" s="234" t="e">
        <f>astrogrep_path&amp;" /e /r /s /spath="&amp;search_path&amp;" /stypes=""app*"&amp;QDS28&amp;"*"&amp;TEXT(QDZ28-utc_offset/24,"YYYYMMDD")&amp;"*"" /stext="" "&amp;TEXT(QDZ28-utc_offset/24,"HH")&amp;search_regexp&amp;""""</f>
        <v>#VALUE!</v>
      </c>
      <c r="QEX28" s="234" t="e">
        <f>astrogrep_path&amp;" /e /r /s /spath="&amp;search_path&amp;" /stypes=""app*"&amp;QDT28&amp;"*"&amp;TEXT(QEA28-utc_offset/24,"YYYYMMDD")&amp;"*"" /stext="" "&amp;TEXT(QEA28-utc_offset/24,"HH")&amp;search_regexp&amp;""""</f>
        <v>#VALUE!</v>
      </c>
      <c r="QEY28" s="234" t="e">
        <f>astrogrep_path&amp;" /e /r /s /spath="&amp;search_path&amp;" /stypes=""app*"&amp;QDU28&amp;"*"&amp;TEXT(QEB28-utc_offset/24,"YYYYMMDD")&amp;"*"" /stext="" "&amp;TEXT(QEB28-utc_offset/24,"HH")&amp;search_regexp&amp;""""</f>
        <v>#VALUE!</v>
      </c>
      <c r="QEZ28" s="234" t="e">
        <f>astrogrep_path&amp;" /e /r /s /spath="&amp;search_path&amp;" /stypes=""app*"&amp;QDV28&amp;"*"&amp;TEXT(QEC28-utc_offset/24,"YYYYMMDD")&amp;"*"" /stext="" "&amp;TEXT(QEC28-utc_offset/24,"HH")&amp;search_regexp&amp;""""</f>
        <v>#VALUE!</v>
      </c>
      <c r="QFA28" s="234" t="e">
        <f>astrogrep_path&amp;" /e /r /s /spath="&amp;search_path&amp;" /stypes=""app*"&amp;QDW28&amp;"*"&amp;TEXT(QED28-utc_offset/24,"YYYYMMDD")&amp;"*"" /stext="" "&amp;TEXT(QED28-utc_offset/24,"HH")&amp;search_regexp&amp;""""</f>
        <v>#VALUE!</v>
      </c>
      <c r="QFB28" s="234" t="e">
        <f>astrogrep_path&amp;" /e /r /s /spath="&amp;search_path&amp;" /stypes=""app*"&amp;QDX28&amp;"*"&amp;TEXT(QEE28-utc_offset/24,"YYYYMMDD")&amp;"*"" /stext="" "&amp;TEXT(QEE28-utc_offset/24,"HH")&amp;search_regexp&amp;""""</f>
        <v>#REF!</v>
      </c>
      <c r="QFC28" s="234" t="e">
        <f>astrogrep_path&amp;" /e /r /s /spath="&amp;search_path&amp;" /stypes=""app*"&amp;QDY28&amp;"*"&amp;TEXT(QEF28-utc_offset/24,"YYYYMMDD")&amp;"*"" /stext="" "&amp;TEXT(QEF28-utc_offset/24,"HH")&amp;search_regexp&amp;""""</f>
        <v>#REF!</v>
      </c>
      <c r="QFD28" s="234" t="e">
        <f>astrogrep_path&amp;" /e /r /s /spath="&amp;search_path&amp;" /stypes=""app*"&amp;QDZ28&amp;"*"&amp;TEXT(QEG28-utc_offset/24,"YYYYMMDD")&amp;"*"" /stext="" "&amp;TEXT(QEG28-utc_offset/24,"HH")&amp;search_regexp&amp;""""</f>
        <v>#REF!</v>
      </c>
      <c r="QFE28" s="234" t="e">
        <f>astrogrep_path&amp;" /e /r /s /spath="&amp;search_path&amp;" /stypes=""app*"&amp;QEA28&amp;"*"&amp;TEXT(QEH28-utc_offset/24,"YYYYMMDD")&amp;"*"" /stext="" "&amp;TEXT(QEH28-utc_offset/24,"HH")&amp;search_regexp&amp;""""</f>
        <v>#REF!</v>
      </c>
      <c r="QFF28" s="234" t="e">
        <f>astrogrep_path&amp;" /e /r /s /spath="&amp;search_path&amp;" /stypes=""app*"&amp;QEB28&amp;"*"&amp;TEXT(QEI28-utc_offset/24,"YYYYMMDD")&amp;"*"" /stext="" "&amp;TEXT(QEI28-utc_offset/24,"HH")&amp;search_regexp&amp;""""</f>
        <v>#REF!</v>
      </c>
      <c r="QFG28" s="234" t="e">
        <f>astrogrep_path&amp;" /e /r /s /spath="&amp;search_path&amp;" /stypes=""app*"&amp;QEC28&amp;"*"&amp;TEXT(QEJ28-utc_offset/24,"YYYYMMDD")&amp;"*"" /stext="" "&amp;TEXT(QEJ28-utc_offset/24,"HH")&amp;search_regexp&amp;""""</f>
        <v>#REF!</v>
      </c>
      <c r="QFH28" s="234" t="e">
        <f>astrogrep_path&amp;" /e /r /s /spath="&amp;search_path&amp;" /stypes=""app*"&amp;QED28&amp;"*"&amp;TEXT(QEK28-utc_offset/24,"YYYYMMDD")&amp;"*"" /stext="" "&amp;TEXT(QEK28-utc_offset/24,"HH")&amp;search_regexp&amp;""""</f>
        <v>#REF!</v>
      </c>
      <c r="QFI28" s="234" t="e">
        <f>astrogrep_path&amp;" /e /r /s /spath="&amp;search_path&amp;" /stypes=""app*"&amp;QEE28&amp;"*"&amp;TEXT(QEL28-utc_offset/24,"YYYYMMDD")&amp;"*"" /stext="" "&amp;TEXT(QEL28-utc_offset/24,"HH")&amp;search_regexp&amp;""""</f>
        <v>#REF!</v>
      </c>
      <c r="QFJ28" s="234" t="e">
        <f>astrogrep_path&amp;" /e /r /s /spath="&amp;search_path&amp;" /stypes=""app*"&amp;QEF28&amp;"*"&amp;TEXT(QEM28-utc_offset/24,"YYYYMMDD")&amp;"*"" /stext="" "&amp;TEXT(QEM28-utc_offset/24,"HH")&amp;search_regexp&amp;""""</f>
        <v>#REF!</v>
      </c>
      <c r="QFK28" s="234" t="e">
        <f>astrogrep_path&amp;" /e /r /s /spath="&amp;search_path&amp;" /stypes=""app*"&amp;QEG28&amp;"*"&amp;TEXT(QEN28-utc_offset/24,"YYYYMMDD")&amp;"*"" /stext="" "&amp;TEXT(QEN28-utc_offset/24,"HH")&amp;search_regexp&amp;""""</f>
        <v>#REF!</v>
      </c>
      <c r="QFL28" s="234" t="e">
        <f>astrogrep_path&amp;" /e /r /s /spath="&amp;search_path&amp;" /stypes=""app*"&amp;QEH28&amp;"*"&amp;TEXT(QEO28-utc_offset/24,"YYYYMMDD")&amp;"*"" /stext="" "&amp;TEXT(QEO28-utc_offset/24,"HH")&amp;search_regexp&amp;""""</f>
        <v>#REF!</v>
      </c>
      <c r="QFM28" s="234" t="e">
        <f>astrogrep_path&amp;" /e /r /s /spath="&amp;search_path&amp;" /stypes=""app*"&amp;QEI28&amp;"*"&amp;TEXT(QEP28-utc_offset/24,"YYYYMMDD")&amp;"*"" /stext="" "&amp;TEXT(QEP28-utc_offset/24,"HH")&amp;search_regexp&amp;""""</f>
        <v>#REF!</v>
      </c>
      <c r="QFN28" s="234" t="e">
        <f>astrogrep_path&amp;" /e /r /s /spath="&amp;search_path&amp;" /stypes=""app*"&amp;QEJ28&amp;"*"&amp;TEXT(QEQ28-utc_offset/24,"YYYYMMDD")&amp;"*"" /stext="" "&amp;TEXT(QEQ28-utc_offset/24,"HH")&amp;search_regexp&amp;""""</f>
        <v>#REF!</v>
      </c>
      <c r="QFO28" s="234" t="e">
        <f>astrogrep_path&amp;" /e /r /s /spath="&amp;search_path&amp;" /stypes=""app*"&amp;QEK28&amp;"*"&amp;TEXT(QER28-utc_offset/24,"YYYYMMDD")&amp;"*"" /stext="" "&amp;TEXT(QER28-utc_offset/24,"HH")&amp;search_regexp&amp;""""</f>
        <v>#REF!</v>
      </c>
      <c r="QFP28" s="234" t="e">
        <f>astrogrep_path&amp;" /e /r /s /spath="&amp;search_path&amp;" /stypes=""app*"&amp;QEL28&amp;"*"&amp;TEXT(QES28-utc_offset/24,"YYYYMMDD")&amp;"*"" /stext="" "&amp;TEXT(QES28-utc_offset/24,"HH")&amp;search_regexp&amp;""""</f>
        <v>#REF!</v>
      </c>
      <c r="QFQ28" s="234" t="e">
        <f>astrogrep_path&amp;" /e /r /s /spath="&amp;search_path&amp;" /stypes=""app*"&amp;QEM28&amp;"*"&amp;TEXT(QET28-utc_offset/24,"YYYYMMDD")&amp;"*"" /stext="" "&amp;TEXT(QET28-utc_offset/24,"HH")&amp;search_regexp&amp;""""</f>
        <v>#REF!</v>
      </c>
      <c r="QFR28" s="234" t="e">
        <f>astrogrep_path&amp;" /e /r /s /spath="&amp;search_path&amp;" /stypes=""app*"&amp;QEN28&amp;"*"&amp;TEXT(QEU28-utc_offset/24,"YYYYMMDD")&amp;"*"" /stext="" "&amp;TEXT(QEU28-utc_offset/24,"HH")&amp;search_regexp&amp;""""</f>
        <v>#REF!</v>
      </c>
      <c r="QFS28" s="234" t="e">
        <f>astrogrep_path&amp;" /e /r /s /spath="&amp;search_path&amp;" /stypes=""app*"&amp;QEO28&amp;"*"&amp;TEXT(QEV28-utc_offset/24,"YYYYMMDD")&amp;"*"" /stext="" "&amp;TEXT(QEV28-utc_offset/24,"HH")&amp;search_regexp&amp;""""</f>
        <v>#REF!</v>
      </c>
      <c r="QFT28" s="234" t="e">
        <f>astrogrep_path&amp;" /e /r /s /spath="&amp;search_path&amp;" /stypes=""app*"&amp;QEP28&amp;"*"&amp;TEXT(QEW28-utc_offset/24,"YYYYMMDD")&amp;"*"" /stext="" "&amp;TEXT(QEW28-utc_offset/24,"HH")&amp;search_regexp&amp;""""</f>
        <v>#REF!</v>
      </c>
      <c r="QFU28" s="234" t="e">
        <f>astrogrep_path&amp;" /e /r /s /spath="&amp;search_path&amp;" /stypes=""app*"&amp;QEQ28&amp;"*"&amp;TEXT(QEX28-utc_offset/24,"YYYYMMDD")&amp;"*"" /stext="" "&amp;TEXT(QEX28-utc_offset/24,"HH")&amp;search_regexp&amp;""""</f>
        <v>#REF!</v>
      </c>
      <c r="QFV28" s="234" t="e">
        <f>astrogrep_path&amp;" /e /r /s /spath="&amp;search_path&amp;" /stypes=""app*"&amp;QER28&amp;"*"&amp;TEXT(QEY28-utc_offset/24,"YYYYMMDD")&amp;"*"" /stext="" "&amp;TEXT(QEY28-utc_offset/24,"HH")&amp;search_regexp&amp;""""</f>
        <v>#REF!</v>
      </c>
      <c r="QFW28" s="234" t="e">
        <f>astrogrep_path&amp;" /e /r /s /spath="&amp;search_path&amp;" /stypes=""app*"&amp;QES28&amp;"*"&amp;TEXT(QEZ28-utc_offset/24,"YYYYMMDD")&amp;"*"" /stext="" "&amp;TEXT(QEZ28-utc_offset/24,"HH")&amp;search_regexp&amp;""""</f>
        <v>#VALUE!</v>
      </c>
      <c r="QFX28" s="234" t="e">
        <f>astrogrep_path&amp;" /e /r /s /spath="&amp;search_path&amp;" /stypes=""app*"&amp;QET28&amp;"*"&amp;TEXT(QFA28-utc_offset/24,"YYYYMMDD")&amp;"*"" /stext="" "&amp;TEXT(QFA28-utc_offset/24,"HH")&amp;search_regexp&amp;""""</f>
        <v>#VALUE!</v>
      </c>
      <c r="QFY28" s="234" t="e">
        <f>astrogrep_path&amp;" /e /r /s /spath="&amp;search_path&amp;" /stypes=""app*"&amp;QEU28&amp;"*"&amp;TEXT(QFB28-utc_offset/24,"YYYYMMDD")&amp;"*"" /stext="" "&amp;TEXT(QFB28-utc_offset/24,"HH")&amp;search_regexp&amp;""""</f>
        <v>#REF!</v>
      </c>
      <c r="QFZ28" s="234" t="e">
        <f>astrogrep_path&amp;" /e /r /s /spath="&amp;search_path&amp;" /stypes=""app*"&amp;QEV28&amp;"*"&amp;TEXT(QFC28-utc_offset/24,"YYYYMMDD")&amp;"*"" /stext="" "&amp;TEXT(QFC28-utc_offset/24,"HH")&amp;search_regexp&amp;""""</f>
        <v>#REF!</v>
      </c>
      <c r="QGA28" s="234" t="e">
        <f>astrogrep_path&amp;" /e /r /s /spath="&amp;search_path&amp;" /stypes=""app*"&amp;QEW28&amp;"*"&amp;TEXT(QFD28-utc_offset/24,"YYYYMMDD")&amp;"*"" /stext="" "&amp;TEXT(QFD28-utc_offset/24,"HH")&amp;search_regexp&amp;""""</f>
        <v>#VALUE!</v>
      </c>
      <c r="QGB28" s="234" t="e">
        <f>astrogrep_path&amp;" /e /r /s /spath="&amp;search_path&amp;" /stypes=""app*"&amp;QEX28&amp;"*"&amp;TEXT(QFE28-utc_offset/24,"YYYYMMDD")&amp;"*"" /stext="" "&amp;TEXT(QFE28-utc_offset/24,"HH")&amp;search_regexp&amp;""""</f>
        <v>#VALUE!</v>
      </c>
      <c r="QGC28" s="234" t="e">
        <f>astrogrep_path&amp;" /e /r /s /spath="&amp;search_path&amp;" /stypes=""app*"&amp;QEY28&amp;"*"&amp;TEXT(QFF28-utc_offset/24,"YYYYMMDD")&amp;"*"" /stext="" "&amp;TEXT(QFF28-utc_offset/24,"HH")&amp;search_regexp&amp;""""</f>
        <v>#VALUE!</v>
      </c>
      <c r="QGD28" s="234" t="e">
        <f>astrogrep_path&amp;" /e /r /s /spath="&amp;search_path&amp;" /stypes=""app*"&amp;QEZ28&amp;"*"&amp;TEXT(QFG28-utc_offset/24,"YYYYMMDD")&amp;"*"" /stext="" "&amp;TEXT(QFG28-utc_offset/24,"HH")&amp;search_regexp&amp;""""</f>
        <v>#VALUE!</v>
      </c>
      <c r="QGE28" s="234" t="e">
        <f>astrogrep_path&amp;" /e /r /s /spath="&amp;search_path&amp;" /stypes=""app*"&amp;QFA28&amp;"*"&amp;TEXT(QFH28-utc_offset/24,"YYYYMMDD")&amp;"*"" /stext="" "&amp;TEXT(QFH28-utc_offset/24,"HH")&amp;search_regexp&amp;""""</f>
        <v>#VALUE!</v>
      </c>
      <c r="QGF28" s="234" t="e">
        <f>astrogrep_path&amp;" /e /r /s /spath="&amp;search_path&amp;" /stypes=""app*"&amp;QFB28&amp;"*"&amp;TEXT(QFI28-utc_offset/24,"YYYYMMDD")&amp;"*"" /stext="" "&amp;TEXT(QFI28-utc_offset/24,"HH")&amp;search_regexp&amp;""""</f>
        <v>#REF!</v>
      </c>
      <c r="QGG28" s="234" t="e">
        <f>astrogrep_path&amp;" /e /r /s /spath="&amp;search_path&amp;" /stypes=""app*"&amp;QFC28&amp;"*"&amp;TEXT(QFJ28-utc_offset/24,"YYYYMMDD")&amp;"*"" /stext="" "&amp;TEXT(QFJ28-utc_offset/24,"HH")&amp;search_regexp&amp;""""</f>
        <v>#REF!</v>
      </c>
      <c r="QGH28" s="234" t="e">
        <f>astrogrep_path&amp;" /e /r /s /spath="&amp;search_path&amp;" /stypes=""app*"&amp;QFD28&amp;"*"&amp;TEXT(QFK28-utc_offset/24,"YYYYMMDD")&amp;"*"" /stext="" "&amp;TEXT(QFK28-utc_offset/24,"HH")&amp;search_regexp&amp;""""</f>
        <v>#REF!</v>
      </c>
      <c r="QGI28" s="234" t="e">
        <f>astrogrep_path&amp;" /e /r /s /spath="&amp;search_path&amp;" /stypes=""app*"&amp;QFE28&amp;"*"&amp;TEXT(QFL28-utc_offset/24,"YYYYMMDD")&amp;"*"" /stext="" "&amp;TEXT(QFL28-utc_offset/24,"HH")&amp;search_regexp&amp;""""</f>
        <v>#REF!</v>
      </c>
      <c r="QGJ28" s="234" t="e">
        <f>astrogrep_path&amp;" /e /r /s /spath="&amp;search_path&amp;" /stypes=""app*"&amp;QFF28&amp;"*"&amp;TEXT(QFM28-utc_offset/24,"YYYYMMDD")&amp;"*"" /stext="" "&amp;TEXT(QFM28-utc_offset/24,"HH")&amp;search_regexp&amp;""""</f>
        <v>#REF!</v>
      </c>
      <c r="QGK28" s="234" t="e">
        <f>astrogrep_path&amp;" /e /r /s /spath="&amp;search_path&amp;" /stypes=""app*"&amp;QFG28&amp;"*"&amp;TEXT(QFN28-utc_offset/24,"YYYYMMDD")&amp;"*"" /stext="" "&amp;TEXT(QFN28-utc_offset/24,"HH")&amp;search_regexp&amp;""""</f>
        <v>#REF!</v>
      </c>
      <c r="QGL28" s="234" t="e">
        <f>astrogrep_path&amp;" /e /r /s /spath="&amp;search_path&amp;" /stypes=""app*"&amp;QFH28&amp;"*"&amp;TEXT(QFO28-utc_offset/24,"YYYYMMDD")&amp;"*"" /stext="" "&amp;TEXT(QFO28-utc_offset/24,"HH")&amp;search_regexp&amp;""""</f>
        <v>#REF!</v>
      </c>
      <c r="QGM28" s="234" t="e">
        <f>astrogrep_path&amp;" /e /r /s /spath="&amp;search_path&amp;" /stypes=""app*"&amp;QFI28&amp;"*"&amp;TEXT(QFP28-utc_offset/24,"YYYYMMDD")&amp;"*"" /stext="" "&amp;TEXT(QFP28-utc_offset/24,"HH")&amp;search_regexp&amp;""""</f>
        <v>#REF!</v>
      </c>
      <c r="QGN28" s="234" t="e">
        <f>astrogrep_path&amp;" /e /r /s /spath="&amp;search_path&amp;" /stypes=""app*"&amp;QFJ28&amp;"*"&amp;TEXT(QFQ28-utc_offset/24,"YYYYMMDD")&amp;"*"" /stext="" "&amp;TEXT(QFQ28-utc_offset/24,"HH")&amp;search_regexp&amp;""""</f>
        <v>#REF!</v>
      </c>
      <c r="QGO28" s="234" t="e">
        <f>astrogrep_path&amp;" /e /r /s /spath="&amp;search_path&amp;" /stypes=""app*"&amp;QFK28&amp;"*"&amp;TEXT(QFR28-utc_offset/24,"YYYYMMDD")&amp;"*"" /stext="" "&amp;TEXT(QFR28-utc_offset/24,"HH")&amp;search_regexp&amp;""""</f>
        <v>#REF!</v>
      </c>
      <c r="QGP28" s="234" t="e">
        <f>astrogrep_path&amp;" /e /r /s /spath="&amp;search_path&amp;" /stypes=""app*"&amp;QFL28&amp;"*"&amp;TEXT(QFS28-utc_offset/24,"YYYYMMDD")&amp;"*"" /stext="" "&amp;TEXT(QFS28-utc_offset/24,"HH")&amp;search_regexp&amp;""""</f>
        <v>#REF!</v>
      </c>
      <c r="QGQ28" s="234" t="e">
        <f>astrogrep_path&amp;" /e /r /s /spath="&amp;search_path&amp;" /stypes=""app*"&amp;QFM28&amp;"*"&amp;TEXT(QFT28-utc_offset/24,"YYYYMMDD")&amp;"*"" /stext="" "&amp;TEXT(QFT28-utc_offset/24,"HH")&amp;search_regexp&amp;""""</f>
        <v>#REF!</v>
      </c>
      <c r="QGR28" s="234" t="e">
        <f>astrogrep_path&amp;" /e /r /s /spath="&amp;search_path&amp;" /stypes=""app*"&amp;QFN28&amp;"*"&amp;TEXT(QFU28-utc_offset/24,"YYYYMMDD")&amp;"*"" /stext="" "&amp;TEXT(QFU28-utc_offset/24,"HH")&amp;search_regexp&amp;""""</f>
        <v>#REF!</v>
      </c>
      <c r="QGS28" s="234" t="e">
        <f>astrogrep_path&amp;" /e /r /s /spath="&amp;search_path&amp;" /stypes=""app*"&amp;QFO28&amp;"*"&amp;TEXT(QFV28-utc_offset/24,"YYYYMMDD")&amp;"*"" /stext="" "&amp;TEXT(QFV28-utc_offset/24,"HH")&amp;search_regexp&amp;""""</f>
        <v>#REF!</v>
      </c>
      <c r="QGT28" s="234" t="e">
        <f>astrogrep_path&amp;" /e /r /s /spath="&amp;search_path&amp;" /stypes=""app*"&amp;QFP28&amp;"*"&amp;TEXT(QFW28-utc_offset/24,"YYYYMMDD")&amp;"*"" /stext="" "&amp;TEXT(QFW28-utc_offset/24,"HH")&amp;search_regexp&amp;""""</f>
        <v>#REF!</v>
      </c>
      <c r="QGU28" s="234" t="e">
        <f>astrogrep_path&amp;" /e /r /s /spath="&amp;search_path&amp;" /stypes=""app*"&amp;QFQ28&amp;"*"&amp;TEXT(QFX28-utc_offset/24,"YYYYMMDD")&amp;"*"" /stext="" "&amp;TEXT(QFX28-utc_offset/24,"HH")&amp;search_regexp&amp;""""</f>
        <v>#REF!</v>
      </c>
      <c r="QGV28" s="234" t="e">
        <f>astrogrep_path&amp;" /e /r /s /spath="&amp;search_path&amp;" /stypes=""app*"&amp;QFR28&amp;"*"&amp;TEXT(QFY28-utc_offset/24,"YYYYMMDD")&amp;"*"" /stext="" "&amp;TEXT(QFY28-utc_offset/24,"HH")&amp;search_regexp&amp;""""</f>
        <v>#REF!</v>
      </c>
      <c r="QGW28" s="234" t="e">
        <f>astrogrep_path&amp;" /e /r /s /spath="&amp;search_path&amp;" /stypes=""app*"&amp;QFS28&amp;"*"&amp;TEXT(QFZ28-utc_offset/24,"YYYYMMDD")&amp;"*"" /stext="" "&amp;TEXT(QFZ28-utc_offset/24,"HH")&amp;search_regexp&amp;""""</f>
        <v>#REF!</v>
      </c>
      <c r="QGX28" s="234" t="e">
        <f>astrogrep_path&amp;" /e /r /s /spath="&amp;search_path&amp;" /stypes=""app*"&amp;QFT28&amp;"*"&amp;TEXT(QGA28-utc_offset/24,"YYYYMMDD")&amp;"*"" /stext="" "&amp;TEXT(QGA28-utc_offset/24,"HH")&amp;search_regexp&amp;""""</f>
        <v>#REF!</v>
      </c>
      <c r="QGY28" s="234" t="e">
        <f>astrogrep_path&amp;" /e /r /s /spath="&amp;search_path&amp;" /stypes=""app*"&amp;QFU28&amp;"*"&amp;TEXT(QGB28-utc_offset/24,"YYYYMMDD")&amp;"*"" /stext="" "&amp;TEXT(QGB28-utc_offset/24,"HH")&amp;search_regexp&amp;""""</f>
        <v>#REF!</v>
      </c>
      <c r="QGZ28" s="234" t="e">
        <f>astrogrep_path&amp;" /e /r /s /spath="&amp;search_path&amp;" /stypes=""app*"&amp;QFV28&amp;"*"&amp;TEXT(QGC28-utc_offset/24,"YYYYMMDD")&amp;"*"" /stext="" "&amp;TEXT(QGC28-utc_offset/24,"HH")&amp;search_regexp&amp;""""</f>
        <v>#REF!</v>
      </c>
      <c r="QHA28" s="234" t="e">
        <f>astrogrep_path&amp;" /e /r /s /spath="&amp;search_path&amp;" /stypes=""app*"&amp;QFW28&amp;"*"&amp;TEXT(QGD28-utc_offset/24,"YYYYMMDD")&amp;"*"" /stext="" "&amp;TEXT(QGD28-utc_offset/24,"HH")&amp;search_regexp&amp;""""</f>
        <v>#VALUE!</v>
      </c>
      <c r="QHB28" s="234" t="e">
        <f>astrogrep_path&amp;" /e /r /s /spath="&amp;search_path&amp;" /stypes=""app*"&amp;QFX28&amp;"*"&amp;TEXT(QGE28-utc_offset/24,"YYYYMMDD")&amp;"*"" /stext="" "&amp;TEXT(QGE28-utc_offset/24,"HH")&amp;search_regexp&amp;""""</f>
        <v>#VALUE!</v>
      </c>
      <c r="QHC28" s="234" t="e">
        <f>astrogrep_path&amp;" /e /r /s /spath="&amp;search_path&amp;" /stypes=""app*"&amp;QFY28&amp;"*"&amp;TEXT(QGF28-utc_offset/24,"YYYYMMDD")&amp;"*"" /stext="" "&amp;TEXT(QGF28-utc_offset/24,"HH")&amp;search_regexp&amp;""""</f>
        <v>#REF!</v>
      </c>
      <c r="QHD28" s="234" t="e">
        <f>astrogrep_path&amp;" /e /r /s /spath="&amp;search_path&amp;" /stypes=""app*"&amp;QFZ28&amp;"*"&amp;TEXT(QGG28-utc_offset/24,"YYYYMMDD")&amp;"*"" /stext="" "&amp;TEXT(QGG28-utc_offset/24,"HH")&amp;search_regexp&amp;""""</f>
        <v>#REF!</v>
      </c>
      <c r="QHE28" s="234" t="e">
        <f>astrogrep_path&amp;" /e /r /s /spath="&amp;search_path&amp;" /stypes=""app*"&amp;QGA28&amp;"*"&amp;TEXT(QGH28-utc_offset/24,"YYYYMMDD")&amp;"*"" /stext="" "&amp;TEXT(QGH28-utc_offset/24,"HH")&amp;search_regexp&amp;""""</f>
        <v>#VALUE!</v>
      </c>
      <c r="QHF28" s="234" t="e">
        <f>astrogrep_path&amp;" /e /r /s /spath="&amp;search_path&amp;" /stypes=""app*"&amp;QGB28&amp;"*"&amp;TEXT(QGI28-utc_offset/24,"YYYYMMDD")&amp;"*"" /stext="" "&amp;TEXT(QGI28-utc_offset/24,"HH")&amp;search_regexp&amp;""""</f>
        <v>#VALUE!</v>
      </c>
      <c r="QHG28" s="234" t="e">
        <f>astrogrep_path&amp;" /e /r /s /spath="&amp;search_path&amp;" /stypes=""app*"&amp;QGC28&amp;"*"&amp;TEXT(QGJ28-utc_offset/24,"YYYYMMDD")&amp;"*"" /stext="" "&amp;TEXT(QGJ28-utc_offset/24,"HH")&amp;search_regexp&amp;""""</f>
        <v>#VALUE!</v>
      </c>
      <c r="QHH28" s="234" t="e">
        <f>astrogrep_path&amp;" /e /r /s /spath="&amp;search_path&amp;" /stypes=""app*"&amp;QGD28&amp;"*"&amp;TEXT(QGK28-utc_offset/24,"YYYYMMDD")&amp;"*"" /stext="" "&amp;TEXT(QGK28-utc_offset/24,"HH")&amp;search_regexp&amp;""""</f>
        <v>#VALUE!</v>
      </c>
      <c r="QHI28" s="234" t="e">
        <f>astrogrep_path&amp;" /e /r /s /spath="&amp;search_path&amp;" /stypes=""app*"&amp;QGE28&amp;"*"&amp;TEXT(QGL28-utc_offset/24,"YYYYMMDD")&amp;"*"" /stext="" "&amp;TEXT(QGL28-utc_offset/24,"HH")&amp;search_regexp&amp;""""</f>
        <v>#VALUE!</v>
      </c>
      <c r="QHJ28" s="234" t="e">
        <f>astrogrep_path&amp;" /e /r /s /spath="&amp;search_path&amp;" /stypes=""app*"&amp;QGF28&amp;"*"&amp;TEXT(QGM28-utc_offset/24,"YYYYMMDD")&amp;"*"" /stext="" "&amp;TEXT(QGM28-utc_offset/24,"HH")&amp;search_regexp&amp;""""</f>
        <v>#REF!</v>
      </c>
      <c r="QHK28" s="234" t="e">
        <f>astrogrep_path&amp;" /e /r /s /spath="&amp;search_path&amp;" /stypes=""app*"&amp;QGG28&amp;"*"&amp;TEXT(QGN28-utc_offset/24,"YYYYMMDD")&amp;"*"" /stext="" "&amp;TEXT(QGN28-utc_offset/24,"HH")&amp;search_regexp&amp;""""</f>
        <v>#REF!</v>
      </c>
      <c r="QHL28" s="234" t="e">
        <f>astrogrep_path&amp;" /e /r /s /spath="&amp;search_path&amp;" /stypes=""app*"&amp;QGH28&amp;"*"&amp;TEXT(QGO28-utc_offset/24,"YYYYMMDD")&amp;"*"" /stext="" "&amp;TEXT(QGO28-utc_offset/24,"HH")&amp;search_regexp&amp;""""</f>
        <v>#REF!</v>
      </c>
      <c r="QHM28" s="234" t="e">
        <f>astrogrep_path&amp;" /e /r /s /spath="&amp;search_path&amp;" /stypes=""app*"&amp;QGI28&amp;"*"&amp;TEXT(QGP28-utc_offset/24,"YYYYMMDD")&amp;"*"" /stext="" "&amp;TEXT(QGP28-utc_offset/24,"HH")&amp;search_regexp&amp;""""</f>
        <v>#REF!</v>
      </c>
      <c r="QHN28" s="234" t="e">
        <f>astrogrep_path&amp;" /e /r /s /spath="&amp;search_path&amp;" /stypes=""app*"&amp;QGJ28&amp;"*"&amp;TEXT(QGQ28-utc_offset/24,"YYYYMMDD")&amp;"*"" /stext="" "&amp;TEXT(QGQ28-utc_offset/24,"HH")&amp;search_regexp&amp;""""</f>
        <v>#REF!</v>
      </c>
      <c r="QHO28" s="234" t="e">
        <f>astrogrep_path&amp;" /e /r /s /spath="&amp;search_path&amp;" /stypes=""app*"&amp;QGK28&amp;"*"&amp;TEXT(QGR28-utc_offset/24,"YYYYMMDD")&amp;"*"" /stext="" "&amp;TEXT(QGR28-utc_offset/24,"HH")&amp;search_regexp&amp;""""</f>
        <v>#REF!</v>
      </c>
      <c r="QHP28" s="234" t="e">
        <f>astrogrep_path&amp;" /e /r /s /spath="&amp;search_path&amp;" /stypes=""app*"&amp;QGL28&amp;"*"&amp;TEXT(QGS28-utc_offset/24,"YYYYMMDD")&amp;"*"" /stext="" "&amp;TEXT(QGS28-utc_offset/24,"HH")&amp;search_regexp&amp;""""</f>
        <v>#REF!</v>
      </c>
      <c r="QHQ28" s="234" t="e">
        <f>astrogrep_path&amp;" /e /r /s /spath="&amp;search_path&amp;" /stypes=""app*"&amp;QGM28&amp;"*"&amp;TEXT(QGT28-utc_offset/24,"YYYYMMDD")&amp;"*"" /stext="" "&amp;TEXT(QGT28-utc_offset/24,"HH")&amp;search_regexp&amp;""""</f>
        <v>#REF!</v>
      </c>
      <c r="QHR28" s="234" t="e">
        <f>astrogrep_path&amp;" /e /r /s /spath="&amp;search_path&amp;" /stypes=""app*"&amp;QGN28&amp;"*"&amp;TEXT(QGU28-utc_offset/24,"YYYYMMDD")&amp;"*"" /stext="" "&amp;TEXT(QGU28-utc_offset/24,"HH")&amp;search_regexp&amp;""""</f>
        <v>#REF!</v>
      </c>
      <c r="QHS28" s="234" t="e">
        <f>astrogrep_path&amp;" /e /r /s /spath="&amp;search_path&amp;" /stypes=""app*"&amp;QGO28&amp;"*"&amp;TEXT(QGV28-utc_offset/24,"YYYYMMDD")&amp;"*"" /stext="" "&amp;TEXT(QGV28-utc_offset/24,"HH")&amp;search_regexp&amp;""""</f>
        <v>#REF!</v>
      </c>
      <c r="QHT28" s="234" t="e">
        <f>astrogrep_path&amp;" /e /r /s /spath="&amp;search_path&amp;" /stypes=""app*"&amp;QGP28&amp;"*"&amp;TEXT(QGW28-utc_offset/24,"YYYYMMDD")&amp;"*"" /stext="" "&amp;TEXT(QGW28-utc_offset/24,"HH")&amp;search_regexp&amp;""""</f>
        <v>#REF!</v>
      </c>
      <c r="QHU28" s="234" t="e">
        <f>astrogrep_path&amp;" /e /r /s /spath="&amp;search_path&amp;" /stypes=""app*"&amp;QGQ28&amp;"*"&amp;TEXT(QGX28-utc_offset/24,"YYYYMMDD")&amp;"*"" /stext="" "&amp;TEXT(QGX28-utc_offset/24,"HH")&amp;search_regexp&amp;""""</f>
        <v>#REF!</v>
      </c>
      <c r="QHV28" s="234" t="e">
        <f>astrogrep_path&amp;" /e /r /s /spath="&amp;search_path&amp;" /stypes=""app*"&amp;QGR28&amp;"*"&amp;TEXT(QGY28-utc_offset/24,"YYYYMMDD")&amp;"*"" /stext="" "&amp;TEXT(QGY28-utc_offset/24,"HH")&amp;search_regexp&amp;""""</f>
        <v>#REF!</v>
      </c>
      <c r="QHW28" s="234" t="e">
        <f>astrogrep_path&amp;" /e /r /s /spath="&amp;search_path&amp;" /stypes=""app*"&amp;QGS28&amp;"*"&amp;TEXT(QGZ28-utc_offset/24,"YYYYMMDD")&amp;"*"" /stext="" "&amp;TEXT(QGZ28-utc_offset/24,"HH")&amp;search_regexp&amp;""""</f>
        <v>#REF!</v>
      </c>
      <c r="QHX28" s="234" t="e">
        <f>astrogrep_path&amp;" /e /r /s /spath="&amp;search_path&amp;" /stypes=""app*"&amp;QGT28&amp;"*"&amp;TEXT(QHA28-utc_offset/24,"YYYYMMDD")&amp;"*"" /stext="" "&amp;TEXT(QHA28-utc_offset/24,"HH")&amp;search_regexp&amp;""""</f>
        <v>#REF!</v>
      </c>
      <c r="QHY28" s="234" t="e">
        <f>astrogrep_path&amp;" /e /r /s /spath="&amp;search_path&amp;" /stypes=""app*"&amp;QGU28&amp;"*"&amp;TEXT(QHB28-utc_offset/24,"YYYYMMDD")&amp;"*"" /stext="" "&amp;TEXT(QHB28-utc_offset/24,"HH")&amp;search_regexp&amp;""""</f>
        <v>#REF!</v>
      </c>
      <c r="QHZ28" s="234" t="e">
        <f>astrogrep_path&amp;" /e /r /s /spath="&amp;search_path&amp;" /stypes=""app*"&amp;QGV28&amp;"*"&amp;TEXT(QHC28-utc_offset/24,"YYYYMMDD")&amp;"*"" /stext="" "&amp;TEXT(QHC28-utc_offset/24,"HH")&amp;search_regexp&amp;""""</f>
        <v>#REF!</v>
      </c>
      <c r="QIA28" s="234" t="e">
        <f>astrogrep_path&amp;" /e /r /s /spath="&amp;search_path&amp;" /stypes=""app*"&amp;QGW28&amp;"*"&amp;TEXT(QHD28-utc_offset/24,"YYYYMMDD")&amp;"*"" /stext="" "&amp;TEXT(QHD28-utc_offset/24,"HH")&amp;search_regexp&amp;""""</f>
        <v>#REF!</v>
      </c>
      <c r="QIB28" s="234" t="e">
        <f>astrogrep_path&amp;" /e /r /s /spath="&amp;search_path&amp;" /stypes=""app*"&amp;QGX28&amp;"*"&amp;TEXT(QHE28-utc_offset/24,"YYYYMMDD")&amp;"*"" /stext="" "&amp;TEXT(QHE28-utc_offset/24,"HH")&amp;search_regexp&amp;""""</f>
        <v>#REF!</v>
      </c>
      <c r="QIC28" s="234" t="e">
        <f>astrogrep_path&amp;" /e /r /s /spath="&amp;search_path&amp;" /stypes=""app*"&amp;QGY28&amp;"*"&amp;TEXT(QHF28-utc_offset/24,"YYYYMMDD")&amp;"*"" /stext="" "&amp;TEXT(QHF28-utc_offset/24,"HH")&amp;search_regexp&amp;""""</f>
        <v>#REF!</v>
      </c>
      <c r="QID28" s="234" t="e">
        <f>astrogrep_path&amp;" /e /r /s /spath="&amp;search_path&amp;" /stypes=""app*"&amp;QGZ28&amp;"*"&amp;TEXT(QHG28-utc_offset/24,"YYYYMMDD")&amp;"*"" /stext="" "&amp;TEXT(QHG28-utc_offset/24,"HH")&amp;search_regexp&amp;""""</f>
        <v>#REF!</v>
      </c>
      <c r="QIE28" s="234" t="e">
        <f>astrogrep_path&amp;" /e /r /s /spath="&amp;search_path&amp;" /stypes=""app*"&amp;QHA28&amp;"*"&amp;TEXT(QHH28-utc_offset/24,"YYYYMMDD")&amp;"*"" /stext="" "&amp;TEXT(QHH28-utc_offset/24,"HH")&amp;search_regexp&amp;""""</f>
        <v>#VALUE!</v>
      </c>
      <c r="QIF28" s="234" t="e">
        <f>astrogrep_path&amp;" /e /r /s /spath="&amp;search_path&amp;" /stypes=""app*"&amp;QHB28&amp;"*"&amp;TEXT(QHI28-utc_offset/24,"YYYYMMDD")&amp;"*"" /stext="" "&amp;TEXT(QHI28-utc_offset/24,"HH")&amp;search_regexp&amp;""""</f>
        <v>#VALUE!</v>
      </c>
      <c r="QIG28" s="234" t="e">
        <f>astrogrep_path&amp;" /e /r /s /spath="&amp;search_path&amp;" /stypes=""app*"&amp;QHC28&amp;"*"&amp;TEXT(QHJ28-utc_offset/24,"YYYYMMDD")&amp;"*"" /stext="" "&amp;TEXT(QHJ28-utc_offset/24,"HH")&amp;search_regexp&amp;""""</f>
        <v>#REF!</v>
      </c>
      <c r="QIH28" s="234" t="e">
        <f>astrogrep_path&amp;" /e /r /s /spath="&amp;search_path&amp;" /stypes=""app*"&amp;QHD28&amp;"*"&amp;TEXT(QHK28-utc_offset/24,"YYYYMMDD")&amp;"*"" /stext="" "&amp;TEXT(QHK28-utc_offset/24,"HH")&amp;search_regexp&amp;""""</f>
        <v>#REF!</v>
      </c>
      <c r="QII28" s="234" t="e">
        <f>astrogrep_path&amp;" /e /r /s /spath="&amp;search_path&amp;" /stypes=""app*"&amp;QHE28&amp;"*"&amp;TEXT(QHL28-utc_offset/24,"YYYYMMDD")&amp;"*"" /stext="" "&amp;TEXT(QHL28-utc_offset/24,"HH")&amp;search_regexp&amp;""""</f>
        <v>#VALUE!</v>
      </c>
      <c r="QIJ28" s="234" t="e">
        <f>astrogrep_path&amp;" /e /r /s /spath="&amp;search_path&amp;" /stypes=""app*"&amp;QHF28&amp;"*"&amp;TEXT(QHM28-utc_offset/24,"YYYYMMDD")&amp;"*"" /stext="" "&amp;TEXT(QHM28-utc_offset/24,"HH")&amp;search_regexp&amp;""""</f>
        <v>#VALUE!</v>
      </c>
      <c r="QIK28" s="234" t="e">
        <f>astrogrep_path&amp;" /e /r /s /spath="&amp;search_path&amp;" /stypes=""app*"&amp;QHG28&amp;"*"&amp;TEXT(QHN28-utc_offset/24,"YYYYMMDD")&amp;"*"" /stext="" "&amp;TEXT(QHN28-utc_offset/24,"HH")&amp;search_regexp&amp;""""</f>
        <v>#VALUE!</v>
      </c>
      <c r="QIL28" s="234" t="e">
        <f>astrogrep_path&amp;" /e /r /s /spath="&amp;search_path&amp;" /stypes=""app*"&amp;QHH28&amp;"*"&amp;TEXT(QHO28-utc_offset/24,"YYYYMMDD")&amp;"*"" /stext="" "&amp;TEXT(QHO28-utc_offset/24,"HH")&amp;search_regexp&amp;""""</f>
        <v>#VALUE!</v>
      </c>
      <c r="QIM28" s="234" t="e">
        <f>astrogrep_path&amp;" /e /r /s /spath="&amp;search_path&amp;" /stypes=""app*"&amp;QHI28&amp;"*"&amp;TEXT(QHP28-utc_offset/24,"YYYYMMDD")&amp;"*"" /stext="" "&amp;TEXT(QHP28-utc_offset/24,"HH")&amp;search_regexp&amp;""""</f>
        <v>#VALUE!</v>
      </c>
      <c r="QIN28" s="234" t="e">
        <f>astrogrep_path&amp;" /e /r /s /spath="&amp;search_path&amp;" /stypes=""app*"&amp;QHJ28&amp;"*"&amp;TEXT(QHQ28-utc_offset/24,"YYYYMMDD")&amp;"*"" /stext="" "&amp;TEXT(QHQ28-utc_offset/24,"HH")&amp;search_regexp&amp;""""</f>
        <v>#REF!</v>
      </c>
      <c r="QIO28" s="234" t="e">
        <f>astrogrep_path&amp;" /e /r /s /spath="&amp;search_path&amp;" /stypes=""app*"&amp;QHK28&amp;"*"&amp;TEXT(QHR28-utc_offset/24,"YYYYMMDD")&amp;"*"" /stext="" "&amp;TEXT(QHR28-utc_offset/24,"HH")&amp;search_regexp&amp;""""</f>
        <v>#REF!</v>
      </c>
      <c r="QIP28" s="234" t="e">
        <f>astrogrep_path&amp;" /e /r /s /spath="&amp;search_path&amp;" /stypes=""app*"&amp;QHL28&amp;"*"&amp;TEXT(QHS28-utc_offset/24,"YYYYMMDD")&amp;"*"" /stext="" "&amp;TEXT(QHS28-utc_offset/24,"HH")&amp;search_regexp&amp;""""</f>
        <v>#REF!</v>
      </c>
      <c r="QIQ28" s="234" t="e">
        <f>astrogrep_path&amp;" /e /r /s /spath="&amp;search_path&amp;" /stypes=""app*"&amp;QHM28&amp;"*"&amp;TEXT(QHT28-utc_offset/24,"YYYYMMDD")&amp;"*"" /stext="" "&amp;TEXT(QHT28-utc_offset/24,"HH")&amp;search_regexp&amp;""""</f>
        <v>#REF!</v>
      </c>
      <c r="QIR28" s="234" t="e">
        <f>astrogrep_path&amp;" /e /r /s /spath="&amp;search_path&amp;" /stypes=""app*"&amp;QHN28&amp;"*"&amp;TEXT(QHU28-utc_offset/24,"YYYYMMDD")&amp;"*"" /stext="" "&amp;TEXT(QHU28-utc_offset/24,"HH")&amp;search_regexp&amp;""""</f>
        <v>#REF!</v>
      </c>
      <c r="QIS28" s="234" t="e">
        <f>astrogrep_path&amp;" /e /r /s /spath="&amp;search_path&amp;" /stypes=""app*"&amp;QHO28&amp;"*"&amp;TEXT(QHV28-utc_offset/24,"YYYYMMDD")&amp;"*"" /stext="" "&amp;TEXT(QHV28-utc_offset/24,"HH")&amp;search_regexp&amp;""""</f>
        <v>#REF!</v>
      </c>
      <c r="QIT28" s="234" t="e">
        <f>astrogrep_path&amp;" /e /r /s /spath="&amp;search_path&amp;" /stypes=""app*"&amp;QHP28&amp;"*"&amp;TEXT(QHW28-utc_offset/24,"YYYYMMDD")&amp;"*"" /stext="" "&amp;TEXT(QHW28-utc_offset/24,"HH")&amp;search_regexp&amp;""""</f>
        <v>#REF!</v>
      </c>
      <c r="QIU28" s="234" t="e">
        <f>astrogrep_path&amp;" /e /r /s /spath="&amp;search_path&amp;" /stypes=""app*"&amp;QHQ28&amp;"*"&amp;TEXT(QHX28-utc_offset/24,"YYYYMMDD")&amp;"*"" /stext="" "&amp;TEXT(QHX28-utc_offset/24,"HH")&amp;search_regexp&amp;""""</f>
        <v>#REF!</v>
      </c>
      <c r="QIV28" s="234" t="e">
        <f>astrogrep_path&amp;" /e /r /s /spath="&amp;search_path&amp;" /stypes=""app*"&amp;QHR28&amp;"*"&amp;TEXT(QHY28-utc_offset/24,"YYYYMMDD")&amp;"*"" /stext="" "&amp;TEXT(QHY28-utc_offset/24,"HH")&amp;search_regexp&amp;""""</f>
        <v>#REF!</v>
      </c>
      <c r="QIW28" s="234" t="e">
        <f>astrogrep_path&amp;" /e /r /s /spath="&amp;search_path&amp;" /stypes=""app*"&amp;QHS28&amp;"*"&amp;TEXT(QHZ28-utc_offset/24,"YYYYMMDD")&amp;"*"" /stext="" "&amp;TEXT(QHZ28-utc_offset/24,"HH")&amp;search_regexp&amp;""""</f>
        <v>#REF!</v>
      </c>
      <c r="QIX28" s="234" t="e">
        <f>astrogrep_path&amp;" /e /r /s /spath="&amp;search_path&amp;" /stypes=""app*"&amp;QHT28&amp;"*"&amp;TEXT(QIA28-utc_offset/24,"YYYYMMDD")&amp;"*"" /stext="" "&amp;TEXT(QIA28-utc_offset/24,"HH")&amp;search_regexp&amp;""""</f>
        <v>#REF!</v>
      </c>
      <c r="QIY28" s="234" t="e">
        <f>astrogrep_path&amp;" /e /r /s /spath="&amp;search_path&amp;" /stypes=""app*"&amp;QHU28&amp;"*"&amp;TEXT(QIB28-utc_offset/24,"YYYYMMDD")&amp;"*"" /stext="" "&amp;TEXT(QIB28-utc_offset/24,"HH")&amp;search_regexp&amp;""""</f>
        <v>#REF!</v>
      </c>
      <c r="QIZ28" s="234" t="e">
        <f>astrogrep_path&amp;" /e /r /s /spath="&amp;search_path&amp;" /stypes=""app*"&amp;QHV28&amp;"*"&amp;TEXT(QIC28-utc_offset/24,"YYYYMMDD")&amp;"*"" /stext="" "&amp;TEXT(QIC28-utc_offset/24,"HH")&amp;search_regexp&amp;""""</f>
        <v>#REF!</v>
      </c>
      <c r="QJA28" s="234" t="e">
        <f>astrogrep_path&amp;" /e /r /s /spath="&amp;search_path&amp;" /stypes=""app*"&amp;QHW28&amp;"*"&amp;TEXT(QID28-utc_offset/24,"YYYYMMDD")&amp;"*"" /stext="" "&amp;TEXT(QID28-utc_offset/24,"HH")&amp;search_regexp&amp;""""</f>
        <v>#REF!</v>
      </c>
      <c r="QJB28" s="234" t="e">
        <f>astrogrep_path&amp;" /e /r /s /spath="&amp;search_path&amp;" /stypes=""app*"&amp;QHX28&amp;"*"&amp;TEXT(QIE28-utc_offset/24,"YYYYMMDD")&amp;"*"" /stext="" "&amp;TEXT(QIE28-utc_offset/24,"HH")&amp;search_regexp&amp;""""</f>
        <v>#REF!</v>
      </c>
      <c r="QJC28" s="234" t="e">
        <f>astrogrep_path&amp;" /e /r /s /spath="&amp;search_path&amp;" /stypes=""app*"&amp;QHY28&amp;"*"&amp;TEXT(QIF28-utc_offset/24,"YYYYMMDD")&amp;"*"" /stext="" "&amp;TEXT(QIF28-utc_offset/24,"HH")&amp;search_regexp&amp;""""</f>
        <v>#REF!</v>
      </c>
      <c r="QJD28" s="234" t="e">
        <f>astrogrep_path&amp;" /e /r /s /spath="&amp;search_path&amp;" /stypes=""app*"&amp;QHZ28&amp;"*"&amp;TEXT(QIG28-utc_offset/24,"YYYYMMDD")&amp;"*"" /stext="" "&amp;TEXT(QIG28-utc_offset/24,"HH")&amp;search_regexp&amp;""""</f>
        <v>#REF!</v>
      </c>
      <c r="QJE28" s="234" t="e">
        <f>astrogrep_path&amp;" /e /r /s /spath="&amp;search_path&amp;" /stypes=""app*"&amp;QIA28&amp;"*"&amp;TEXT(QIH28-utc_offset/24,"YYYYMMDD")&amp;"*"" /stext="" "&amp;TEXT(QIH28-utc_offset/24,"HH")&amp;search_regexp&amp;""""</f>
        <v>#REF!</v>
      </c>
      <c r="QJF28" s="234" t="e">
        <f>astrogrep_path&amp;" /e /r /s /spath="&amp;search_path&amp;" /stypes=""app*"&amp;QIB28&amp;"*"&amp;TEXT(QII28-utc_offset/24,"YYYYMMDD")&amp;"*"" /stext="" "&amp;TEXT(QII28-utc_offset/24,"HH")&amp;search_regexp&amp;""""</f>
        <v>#REF!</v>
      </c>
      <c r="QJG28" s="234" t="e">
        <f>astrogrep_path&amp;" /e /r /s /spath="&amp;search_path&amp;" /stypes=""app*"&amp;QIC28&amp;"*"&amp;TEXT(QIJ28-utc_offset/24,"YYYYMMDD")&amp;"*"" /stext="" "&amp;TEXT(QIJ28-utc_offset/24,"HH")&amp;search_regexp&amp;""""</f>
        <v>#REF!</v>
      </c>
      <c r="QJH28" s="234" t="e">
        <f>astrogrep_path&amp;" /e /r /s /spath="&amp;search_path&amp;" /stypes=""app*"&amp;QID28&amp;"*"&amp;TEXT(QIK28-utc_offset/24,"YYYYMMDD")&amp;"*"" /stext="" "&amp;TEXT(QIK28-utc_offset/24,"HH")&amp;search_regexp&amp;""""</f>
        <v>#REF!</v>
      </c>
      <c r="QJI28" s="234" t="e">
        <f>astrogrep_path&amp;" /e /r /s /spath="&amp;search_path&amp;" /stypes=""app*"&amp;QIE28&amp;"*"&amp;TEXT(QIL28-utc_offset/24,"YYYYMMDD")&amp;"*"" /stext="" "&amp;TEXT(QIL28-utc_offset/24,"HH")&amp;search_regexp&amp;""""</f>
        <v>#VALUE!</v>
      </c>
      <c r="QJJ28" s="234" t="e">
        <f>astrogrep_path&amp;" /e /r /s /spath="&amp;search_path&amp;" /stypes=""app*"&amp;QIF28&amp;"*"&amp;TEXT(QIM28-utc_offset/24,"YYYYMMDD")&amp;"*"" /stext="" "&amp;TEXT(QIM28-utc_offset/24,"HH")&amp;search_regexp&amp;""""</f>
        <v>#VALUE!</v>
      </c>
      <c r="QJK28" s="234" t="e">
        <f>astrogrep_path&amp;" /e /r /s /spath="&amp;search_path&amp;" /stypes=""app*"&amp;QIG28&amp;"*"&amp;TEXT(QIN28-utc_offset/24,"YYYYMMDD")&amp;"*"" /stext="" "&amp;TEXT(QIN28-utc_offset/24,"HH")&amp;search_regexp&amp;""""</f>
        <v>#REF!</v>
      </c>
      <c r="QJL28" s="234" t="e">
        <f>astrogrep_path&amp;" /e /r /s /spath="&amp;search_path&amp;" /stypes=""app*"&amp;QIH28&amp;"*"&amp;TEXT(QIO28-utc_offset/24,"YYYYMMDD")&amp;"*"" /stext="" "&amp;TEXT(QIO28-utc_offset/24,"HH")&amp;search_regexp&amp;""""</f>
        <v>#REF!</v>
      </c>
      <c r="QJM28" s="234" t="e">
        <f>astrogrep_path&amp;" /e /r /s /spath="&amp;search_path&amp;" /stypes=""app*"&amp;QII28&amp;"*"&amp;TEXT(QIP28-utc_offset/24,"YYYYMMDD")&amp;"*"" /stext="" "&amp;TEXT(QIP28-utc_offset/24,"HH")&amp;search_regexp&amp;""""</f>
        <v>#VALUE!</v>
      </c>
      <c r="QJN28" s="234" t="e">
        <f>astrogrep_path&amp;" /e /r /s /spath="&amp;search_path&amp;" /stypes=""app*"&amp;QIJ28&amp;"*"&amp;TEXT(QIQ28-utc_offset/24,"YYYYMMDD")&amp;"*"" /stext="" "&amp;TEXT(QIQ28-utc_offset/24,"HH")&amp;search_regexp&amp;""""</f>
        <v>#VALUE!</v>
      </c>
      <c r="QJO28" s="234" t="e">
        <f>astrogrep_path&amp;" /e /r /s /spath="&amp;search_path&amp;" /stypes=""app*"&amp;QIK28&amp;"*"&amp;TEXT(QIR28-utc_offset/24,"YYYYMMDD")&amp;"*"" /stext="" "&amp;TEXT(QIR28-utc_offset/24,"HH")&amp;search_regexp&amp;""""</f>
        <v>#VALUE!</v>
      </c>
      <c r="QJP28" s="234" t="e">
        <f>astrogrep_path&amp;" /e /r /s /spath="&amp;search_path&amp;" /stypes=""app*"&amp;QIL28&amp;"*"&amp;TEXT(QIS28-utc_offset/24,"YYYYMMDD")&amp;"*"" /stext="" "&amp;TEXT(QIS28-utc_offset/24,"HH")&amp;search_regexp&amp;""""</f>
        <v>#VALUE!</v>
      </c>
      <c r="QJQ28" s="234" t="e">
        <f>astrogrep_path&amp;" /e /r /s /spath="&amp;search_path&amp;" /stypes=""app*"&amp;QIM28&amp;"*"&amp;TEXT(QIT28-utc_offset/24,"YYYYMMDD")&amp;"*"" /stext="" "&amp;TEXT(QIT28-utc_offset/24,"HH")&amp;search_regexp&amp;""""</f>
        <v>#VALUE!</v>
      </c>
      <c r="QJR28" s="234" t="e">
        <f>astrogrep_path&amp;" /e /r /s /spath="&amp;search_path&amp;" /stypes=""app*"&amp;QIN28&amp;"*"&amp;TEXT(QIU28-utc_offset/24,"YYYYMMDD")&amp;"*"" /stext="" "&amp;TEXT(QIU28-utc_offset/24,"HH")&amp;search_regexp&amp;""""</f>
        <v>#REF!</v>
      </c>
      <c r="QJS28" s="234" t="e">
        <f>astrogrep_path&amp;" /e /r /s /spath="&amp;search_path&amp;" /stypes=""app*"&amp;QIO28&amp;"*"&amp;TEXT(QIV28-utc_offset/24,"YYYYMMDD")&amp;"*"" /stext="" "&amp;TEXT(QIV28-utc_offset/24,"HH")&amp;search_regexp&amp;""""</f>
        <v>#REF!</v>
      </c>
      <c r="QJT28" s="234" t="e">
        <f>astrogrep_path&amp;" /e /r /s /spath="&amp;search_path&amp;" /stypes=""app*"&amp;QIP28&amp;"*"&amp;TEXT(QIW28-utc_offset/24,"YYYYMMDD")&amp;"*"" /stext="" "&amp;TEXT(QIW28-utc_offset/24,"HH")&amp;search_regexp&amp;""""</f>
        <v>#REF!</v>
      </c>
      <c r="QJU28" s="234" t="e">
        <f>astrogrep_path&amp;" /e /r /s /spath="&amp;search_path&amp;" /stypes=""app*"&amp;QIQ28&amp;"*"&amp;TEXT(QIX28-utc_offset/24,"YYYYMMDD")&amp;"*"" /stext="" "&amp;TEXT(QIX28-utc_offset/24,"HH")&amp;search_regexp&amp;""""</f>
        <v>#REF!</v>
      </c>
      <c r="QJV28" s="234" t="e">
        <f>astrogrep_path&amp;" /e /r /s /spath="&amp;search_path&amp;" /stypes=""app*"&amp;QIR28&amp;"*"&amp;TEXT(QIY28-utc_offset/24,"YYYYMMDD")&amp;"*"" /stext="" "&amp;TEXT(QIY28-utc_offset/24,"HH")&amp;search_regexp&amp;""""</f>
        <v>#REF!</v>
      </c>
      <c r="QJW28" s="234" t="e">
        <f>astrogrep_path&amp;" /e /r /s /spath="&amp;search_path&amp;" /stypes=""app*"&amp;QIS28&amp;"*"&amp;TEXT(QIZ28-utc_offset/24,"YYYYMMDD")&amp;"*"" /stext="" "&amp;TEXT(QIZ28-utc_offset/24,"HH")&amp;search_regexp&amp;""""</f>
        <v>#REF!</v>
      </c>
      <c r="QJX28" s="234" t="e">
        <f>astrogrep_path&amp;" /e /r /s /spath="&amp;search_path&amp;" /stypes=""app*"&amp;QIT28&amp;"*"&amp;TEXT(QJA28-utc_offset/24,"YYYYMMDD")&amp;"*"" /stext="" "&amp;TEXT(QJA28-utc_offset/24,"HH")&amp;search_regexp&amp;""""</f>
        <v>#REF!</v>
      </c>
      <c r="QJY28" s="234" t="e">
        <f>astrogrep_path&amp;" /e /r /s /spath="&amp;search_path&amp;" /stypes=""app*"&amp;QIU28&amp;"*"&amp;TEXT(QJB28-utc_offset/24,"YYYYMMDD")&amp;"*"" /stext="" "&amp;TEXT(QJB28-utc_offset/24,"HH")&amp;search_regexp&amp;""""</f>
        <v>#REF!</v>
      </c>
      <c r="QJZ28" s="234" t="e">
        <f>astrogrep_path&amp;" /e /r /s /spath="&amp;search_path&amp;" /stypes=""app*"&amp;QIV28&amp;"*"&amp;TEXT(QJC28-utc_offset/24,"YYYYMMDD")&amp;"*"" /stext="" "&amp;TEXT(QJC28-utc_offset/24,"HH")&amp;search_regexp&amp;""""</f>
        <v>#REF!</v>
      </c>
      <c r="QKA28" s="234" t="e">
        <f>astrogrep_path&amp;" /e /r /s /spath="&amp;search_path&amp;" /stypes=""app*"&amp;QIW28&amp;"*"&amp;TEXT(QJD28-utc_offset/24,"YYYYMMDD")&amp;"*"" /stext="" "&amp;TEXT(QJD28-utc_offset/24,"HH")&amp;search_regexp&amp;""""</f>
        <v>#REF!</v>
      </c>
      <c r="QKB28" s="234" t="e">
        <f>astrogrep_path&amp;" /e /r /s /spath="&amp;search_path&amp;" /stypes=""app*"&amp;QIX28&amp;"*"&amp;TEXT(QJE28-utc_offset/24,"YYYYMMDD")&amp;"*"" /stext="" "&amp;TEXT(QJE28-utc_offset/24,"HH")&amp;search_regexp&amp;""""</f>
        <v>#REF!</v>
      </c>
      <c r="QKC28" s="234" t="e">
        <f>astrogrep_path&amp;" /e /r /s /spath="&amp;search_path&amp;" /stypes=""app*"&amp;QIY28&amp;"*"&amp;TEXT(QJF28-utc_offset/24,"YYYYMMDD")&amp;"*"" /stext="" "&amp;TEXT(QJF28-utc_offset/24,"HH")&amp;search_regexp&amp;""""</f>
        <v>#REF!</v>
      </c>
      <c r="QKD28" s="234" t="e">
        <f>astrogrep_path&amp;" /e /r /s /spath="&amp;search_path&amp;" /stypes=""app*"&amp;QIZ28&amp;"*"&amp;TEXT(QJG28-utc_offset/24,"YYYYMMDD")&amp;"*"" /stext="" "&amp;TEXT(QJG28-utc_offset/24,"HH")&amp;search_regexp&amp;""""</f>
        <v>#REF!</v>
      </c>
      <c r="QKE28" s="234" t="e">
        <f>astrogrep_path&amp;" /e /r /s /spath="&amp;search_path&amp;" /stypes=""app*"&amp;QJA28&amp;"*"&amp;TEXT(QJH28-utc_offset/24,"YYYYMMDD")&amp;"*"" /stext="" "&amp;TEXT(QJH28-utc_offset/24,"HH")&amp;search_regexp&amp;""""</f>
        <v>#REF!</v>
      </c>
      <c r="QKF28" s="234" t="e">
        <f>astrogrep_path&amp;" /e /r /s /spath="&amp;search_path&amp;" /stypes=""app*"&amp;QJB28&amp;"*"&amp;TEXT(QJI28-utc_offset/24,"YYYYMMDD")&amp;"*"" /stext="" "&amp;TEXT(QJI28-utc_offset/24,"HH")&amp;search_regexp&amp;""""</f>
        <v>#REF!</v>
      </c>
      <c r="QKG28" s="234" t="e">
        <f>astrogrep_path&amp;" /e /r /s /spath="&amp;search_path&amp;" /stypes=""app*"&amp;QJC28&amp;"*"&amp;TEXT(QJJ28-utc_offset/24,"YYYYMMDD")&amp;"*"" /stext="" "&amp;TEXT(QJJ28-utc_offset/24,"HH")&amp;search_regexp&amp;""""</f>
        <v>#REF!</v>
      </c>
      <c r="QKH28" s="234" t="e">
        <f>astrogrep_path&amp;" /e /r /s /spath="&amp;search_path&amp;" /stypes=""app*"&amp;QJD28&amp;"*"&amp;TEXT(QJK28-utc_offset/24,"YYYYMMDD")&amp;"*"" /stext="" "&amp;TEXT(QJK28-utc_offset/24,"HH")&amp;search_regexp&amp;""""</f>
        <v>#REF!</v>
      </c>
      <c r="QKI28" s="234" t="e">
        <f>astrogrep_path&amp;" /e /r /s /spath="&amp;search_path&amp;" /stypes=""app*"&amp;QJE28&amp;"*"&amp;TEXT(QJL28-utc_offset/24,"YYYYMMDD")&amp;"*"" /stext="" "&amp;TEXT(QJL28-utc_offset/24,"HH")&amp;search_regexp&amp;""""</f>
        <v>#REF!</v>
      </c>
      <c r="QKJ28" s="234" t="e">
        <f>astrogrep_path&amp;" /e /r /s /spath="&amp;search_path&amp;" /stypes=""app*"&amp;QJF28&amp;"*"&amp;TEXT(QJM28-utc_offset/24,"YYYYMMDD")&amp;"*"" /stext="" "&amp;TEXT(QJM28-utc_offset/24,"HH")&amp;search_regexp&amp;""""</f>
        <v>#REF!</v>
      </c>
      <c r="QKK28" s="234" t="e">
        <f>astrogrep_path&amp;" /e /r /s /spath="&amp;search_path&amp;" /stypes=""app*"&amp;QJG28&amp;"*"&amp;TEXT(QJN28-utc_offset/24,"YYYYMMDD")&amp;"*"" /stext="" "&amp;TEXT(QJN28-utc_offset/24,"HH")&amp;search_regexp&amp;""""</f>
        <v>#REF!</v>
      </c>
      <c r="QKL28" s="234" t="e">
        <f>astrogrep_path&amp;" /e /r /s /spath="&amp;search_path&amp;" /stypes=""app*"&amp;QJH28&amp;"*"&amp;TEXT(QJO28-utc_offset/24,"YYYYMMDD")&amp;"*"" /stext="" "&amp;TEXT(QJO28-utc_offset/24,"HH")&amp;search_regexp&amp;""""</f>
        <v>#REF!</v>
      </c>
      <c r="QKM28" s="234" t="e">
        <f>astrogrep_path&amp;" /e /r /s /spath="&amp;search_path&amp;" /stypes=""app*"&amp;QJI28&amp;"*"&amp;TEXT(QJP28-utc_offset/24,"YYYYMMDD")&amp;"*"" /stext="" "&amp;TEXT(QJP28-utc_offset/24,"HH")&amp;search_regexp&amp;""""</f>
        <v>#VALUE!</v>
      </c>
      <c r="QKN28" s="234" t="e">
        <f>astrogrep_path&amp;" /e /r /s /spath="&amp;search_path&amp;" /stypes=""app*"&amp;QJJ28&amp;"*"&amp;TEXT(QJQ28-utc_offset/24,"YYYYMMDD")&amp;"*"" /stext="" "&amp;TEXT(QJQ28-utc_offset/24,"HH")&amp;search_regexp&amp;""""</f>
        <v>#VALUE!</v>
      </c>
      <c r="QKO28" s="234" t="e">
        <f>astrogrep_path&amp;" /e /r /s /spath="&amp;search_path&amp;" /stypes=""app*"&amp;QJK28&amp;"*"&amp;TEXT(QJR28-utc_offset/24,"YYYYMMDD")&amp;"*"" /stext="" "&amp;TEXT(QJR28-utc_offset/24,"HH")&amp;search_regexp&amp;""""</f>
        <v>#REF!</v>
      </c>
      <c r="QKP28" s="234" t="e">
        <f>astrogrep_path&amp;" /e /r /s /spath="&amp;search_path&amp;" /stypes=""app*"&amp;QJL28&amp;"*"&amp;TEXT(QJS28-utc_offset/24,"YYYYMMDD")&amp;"*"" /stext="" "&amp;TEXT(QJS28-utc_offset/24,"HH")&amp;search_regexp&amp;""""</f>
        <v>#REF!</v>
      </c>
      <c r="QKQ28" s="234" t="e">
        <f>astrogrep_path&amp;" /e /r /s /spath="&amp;search_path&amp;" /stypes=""app*"&amp;QJM28&amp;"*"&amp;TEXT(QJT28-utc_offset/24,"YYYYMMDD")&amp;"*"" /stext="" "&amp;TEXT(QJT28-utc_offset/24,"HH")&amp;search_regexp&amp;""""</f>
        <v>#VALUE!</v>
      </c>
      <c r="QKR28" s="234" t="e">
        <f>astrogrep_path&amp;" /e /r /s /spath="&amp;search_path&amp;" /stypes=""app*"&amp;QJN28&amp;"*"&amp;TEXT(QJU28-utc_offset/24,"YYYYMMDD")&amp;"*"" /stext="" "&amp;TEXT(QJU28-utc_offset/24,"HH")&amp;search_regexp&amp;""""</f>
        <v>#VALUE!</v>
      </c>
      <c r="QKS28" s="234" t="e">
        <f>astrogrep_path&amp;" /e /r /s /spath="&amp;search_path&amp;" /stypes=""app*"&amp;QJO28&amp;"*"&amp;TEXT(QJV28-utc_offset/24,"YYYYMMDD")&amp;"*"" /stext="" "&amp;TEXT(QJV28-utc_offset/24,"HH")&amp;search_regexp&amp;""""</f>
        <v>#VALUE!</v>
      </c>
      <c r="QKT28" s="234" t="e">
        <f>astrogrep_path&amp;" /e /r /s /spath="&amp;search_path&amp;" /stypes=""app*"&amp;QJP28&amp;"*"&amp;TEXT(QJW28-utc_offset/24,"YYYYMMDD")&amp;"*"" /stext="" "&amp;TEXT(QJW28-utc_offset/24,"HH")&amp;search_regexp&amp;""""</f>
        <v>#VALUE!</v>
      </c>
      <c r="QKU28" s="234" t="e">
        <f>astrogrep_path&amp;" /e /r /s /spath="&amp;search_path&amp;" /stypes=""app*"&amp;QJQ28&amp;"*"&amp;TEXT(QJX28-utc_offset/24,"YYYYMMDD")&amp;"*"" /stext="" "&amp;TEXT(QJX28-utc_offset/24,"HH")&amp;search_regexp&amp;""""</f>
        <v>#VALUE!</v>
      </c>
      <c r="QKV28" s="234" t="e">
        <f>astrogrep_path&amp;" /e /r /s /spath="&amp;search_path&amp;" /stypes=""app*"&amp;QJR28&amp;"*"&amp;TEXT(QJY28-utc_offset/24,"YYYYMMDD")&amp;"*"" /stext="" "&amp;TEXT(QJY28-utc_offset/24,"HH")&amp;search_regexp&amp;""""</f>
        <v>#REF!</v>
      </c>
      <c r="QKW28" s="234" t="e">
        <f>astrogrep_path&amp;" /e /r /s /spath="&amp;search_path&amp;" /stypes=""app*"&amp;QJS28&amp;"*"&amp;TEXT(QJZ28-utc_offset/24,"YYYYMMDD")&amp;"*"" /stext="" "&amp;TEXT(QJZ28-utc_offset/24,"HH")&amp;search_regexp&amp;""""</f>
        <v>#REF!</v>
      </c>
      <c r="QKX28" s="234" t="e">
        <f>astrogrep_path&amp;" /e /r /s /spath="&amp;search_path&amp;" /stypes=""app*"&amp;QJT28&amp;"*"&amp;TEXT(QKA28-utc_offset/24,"YYYYMMDD")&amp;"*"" /stext="" "&amp;TEXT(QKA28-utc_offset/24,"HH")&amp;search_regexp&amp;""""</f>
        <v>#REF!</v>
      </c>
      <c r="QKY28" s="234" t="e">
        <f>astrogrep_path&amp;" /e /r /s /spath="&amp;search_path&amp;" /stypes=""app*"&amp;QJU28&amp;"*"&amp;TEXT(QKB28-utc_offset/24,"YYYYMMDD")&amp;"*"" /stext="" "&amp;TEXT(QKB28-utc_offset/24,"HH")&amp;search_regexp&amp;""""</f>
        <v>#REF!</v>
      </c>
      <c r="QKZ28" s="234" t="e">
        <f>astrogrep_path&amp;" /e /r /s /spath="&amp;search_path&amp;" /stypes=""app*"&amp;QJV28&amp;"*"&amp;TEXT(QKC28-utc_offset/24,"YYYYMMDD")&amp;"*"" /stext="" "&amp;TEXT(QKC28-utc_offset/24,"HH")&amp;search_regexp&amp;""""</f>
        <v>#REF!</v>
      </c>
      <c r="QLA28" s="234" t="e">
        <f>astrogrep_path&amp;" /e /r /s /spath="&amp;search_path&amp;" /stypes=""app*"&amp;QJW28&amp;"*"&amp;TEXT(QKD28-utc_offset/24,"YYYYMMDD")&amp;"*"" /stext="" "&amp;TEXT(QKD28-utc_offset/24,"HH")&amp;search_regexp&amp;""""</f>
        <v>#REF!</v>
      </c>
      <c r="QLB28" s="234" t="e">
        <f>astrogrep_path&amp;" /e /r /s /spath="&amp;search_path&amp;" /stypes=""app*"&amp;QJX28&amp;"*"&amp;TEXT(QKE28-utc_offset/24,"YYYYMMDD")&amp;"*"" /stext="" "&amp;TEXT(QKE28-utc_offset/24,"HH")&amp;search_regexp&amp;""""</f>
        <v>#REF!</v>
      </c>
      <c r="QLC28" s="234" t="e">
        <f>astrogrep_path&amp;" /e /r /s /spath="&amp;search_path&amp;" /stypes=""app*"&amp;QJY28&amp;"*"&amp;TEXT(QKF28-utc_offset/24,"YYYYMMDD")&amp;"*"" /stext="" "&amp;TEXT(QKF28-utc_offset/24,"HH")&amp;search_regexp&amp;""""</f>
        <v>#REF!</v>
      </c>
      <c r="QLD28" s="234" t="e">
        <f>astrogrep_path&amp;" /e /r /s /spath="&amp;search_path&amp;" /stypes=""app*"&amp;QJZ28&amp;"*"&amp;TEXT(QKG28-utc_offset/24,"YYYYMMDD")&amp;"*"" /stext="" "&amp;TEXT(QKG28-utc_offset/24,"HH")&amp;search_regexp&amp;""""</f>
        <v>#REF!</v>
      </c>
      <c r="QLE28" s="234" t="e">
        <f>astrogrep_path&amp;" /e /r /s /spath="&amp;search_path&amp;" /stypes=""app*"&amp;QKA28&amp;"*"&amp;TEXT(QKH28-utc_offset/24,"YYYYMMDD")&amp;"*"" /stext="" "&amp;TEXT(QKH28-utc_offset/24,"HH")&amp;search_regexp&amp;""""</f>
        <v>#REF!</v>
      </c>
      <c r="QLF28" s="234" t="e">
        <f>astrogrep_path&amp;" /e /r /s /spath="&amp;search_path&amp;" /stypes=""app*"&amp;QKB28&amp;"*"&amp;TEXT(QKI28-utc_offset/24,"YYYYMMDD")&amp;"*"" /stext="" "&amp;TEXT(QKI28-utc_offset/24,"HH")&amp;search_regexp&amp;""""</f>
        <v>#REF!</v>
      </c>
      <c r="QLG28" s="234" t="e">
        <f>astrogrep_path&amp;" /e /r /s /spath="&amp;search_path&amp;" /stypes=""app*"&amp;QKC28&amp;"*"&amp;TEXT(QKJ28-utc_offset/24,"YYYYMMDD")&amp;"*"" /stext="" "&amp;TEXT(QKJ28-utc_offset/24,"HH")&amp;search_regexp&amp;""""</f>
        <v>#REF!</v>
      </c>
      <c r="QLH28" s="234" t="e">
        <f>astrogrep_path&amp;" /e /r /s /spath="&amp;search_path&amp;" /stypes=""app*"&amp;QKD28&amp;"*"&amp;TEXT(QKK28-utc_offset/24,"YYYYMMDD")&amp;"*"" /stext="" "&amp;TEXT(QKK28-utc_offset/24,"HH")&amp;search_regexp&amp;""""</f>
        <v>#REF!</v>
      </c>
      <c r="QLI28" s="234" t="e">
        <f>astrogrep_path&amp;" /e /r /s /spath="&amp;search_path&amp;" /stypes=""app*"&amp;QKE28&amp;"*"&amp;TEXT(QKL28-utc_offset/24,"YYYYMMDD")&amp;"*"" /stext="" "&amp;TEXT(QKL28-utc_offset/24,"HH")&amp;search_regexp&amp;""""</f>
        <v>#REF!</v>
      </c>
      <c r="QLJ28" s="234" t="e">
        <f>astrogrep_path&amp;" /e /r /s /spath="&amp;search_path&amp;" /stypes=""app*"&amp;QKF28&amp;"*"&amp;TEXT(QKM28-utc_offset/24,"YYYYMMDD")&amp;"*"" /stext="" "&amp;TEXT(QKM28-utc_offset/24,"HH")&amp;search_regexp&amp;""""</f>
        <v>#REF!</v>
      </c>
      <c r="QLK28" s="234" t="e">
        <f>astrogrep_path&amp;" /e /r /s /spath="&amp;search_path&amp;" /stypes=""app*"&amp;QKG28&amp;"*"&amp;TEXT(QKN28-utc_offset/24,"YYYYMMDD")&amp;"*"" /stext="" "&amp;TEXT(QKN28-utc_offset/24,"HH")&amp;search_regexp&amp;""""</f>
        <v>#REF!</v>
      </c>
      <c r="QLL28" s="234" t="e">
        <f>astrogrep_path&amp;" /e /r /s /spath="&amp;search_path&amp;" /stypes=""app*"&amp;QKH28&amp;"*"&amp;TEXT(QKO28-utc_offset/24,"YYYYMMDD")&amp;"*"" /stext="" "&amp;TEXT(QKO28-utc_offset/24,"HH")&amp;search_regexp&amp;""""</f>
        <v>#REF!</v>
      </c>
      <c r="QLM28" s="234" t="e">
        <f>astrogrep_path&amp;" /e /r /s /spath="&amp;search_path&amp;" /stypes=""app*"&amp;QKI28&amp;"*"&amp;TEXT(QKP28-utc_offset/24,"YYYYMMDD")&amp;"*"" /stext="" "&amp;TEXT(QKP28-utc_offset/24,"HH")&amp;search_regexp&amp;""""</f>
        <v>#REF!</v>
      </c>
      <c r="QLN28" s="234" t="e">
        <f>astrogrep_path&amp;" /e /r /s /spath="&amp;search_path&amp;" /stypes=""app*"&amp;QKJ28&amp;"*"&amp;TEXT(QKQ28-utc_offset/24,"YYYYMMDD")&amp;"*"" /stext="" "&amp;TEXT(QKQ28-utc_offset/24,"HH")&amp;search_regexp&amp;""""</f>
        <v>#REF!</v>
      </c>
      <c r="QLO28" s="234" t="e">
        <f>astrogrep_path&amp;" /e /r /s /spath="&amp;search_path&amp;" /stypes=""app*"&amp;QKK28&amp;"*"&amp;TEXT(QKR28-utc_offset/24,"YYYYMMDD")&amp;"*"" /stext="" "&amp;TEXT(QKR28-utc_offset/24,"HH")&amp;search_regexp&amp;""""</f>
        <v>#REF!</v>
      </c>
      <c r="QLP28" s="234" t="e">
        <f>astrogrep_path&amp;" /e /r /s /spath="&amp;search_path&amp;" /stypes=""app*"&amp;QKL28&amp;"*"&amp;TEXT(QKS28-utc_offset/24,"YYYYMMDD")&amp;"*"" /stext="" "&amp;TEXT(QKS28-utc_offset/24,"HH")&amp;search_regexp&amp;""""</f>
        <v>#REF!</v>
      </c>
      <c r="QLQ28" s="234" t="e">
        <f>astrogrep_path&amp;" /e /r /s /spath="&amp;search_path&amp;" /stypes=""app*"&amp;QKM28&amp;"*"&amp;TEXT(QKT28-utc_offset/24,"YYYYMMDD")&amp;"*"" /stext="" "&amp;TEXT(QKT28-utc_offset/24,"HH")&amp;search_regexp&amp;""""</f>
        <v>#VALUE!</v>
      </c>
      <c r="QLR28" s="234" t="e">
        <f>astrogrep_path&amp;" /e /r /s /spath="&amp;search_path&amp;" /stypes=""app*"&amp;QKN28&amp;"*"&amp;TEXT(QKU28-utc_offset/24,"YYYYMMDD")&amp;"*"" /stext="" "&amp;TEXT(QKU28-utc_offset/24,"HH")&amp;search_regexp&amp;""""</f>
        <v>#VALUE!</v>
      </c>
      <c r="QLS28" s="234" t="e">
        <f>astrogrep_path&amp;" /e /r /s /spath="&amp;search_path&amp;" /stypes=""app*"&amp;QKO28&amp;"*"&amp;TEXT(QKV28-utc_offset/24,"YYYYMMDD")&amp;"*"" /stext="" "&amp;TEXT(QKV28-utc_offset/24,"HH")&amp;search_regexp&amp;""""</f>
        <v>#REF!</v>
      </c>
      <c r="QLT28" s="234" t="e">
        <f>astrogrep_path&amp;" /e /r /s /spath="&amp;search_path&amp;" /stypes=""app*"&amp;QKP28&amp;"*"&amp;TEXT(QKW28-utc_offset/24,"YYYYMMDD")&amp;"*"" /stext="" "&amp;TEXT(QKW28-utc_offset/24,"HH")&amp;search_regexp&amp;""""</f>
        <v>#REF!</v>
      </c>
      <c r="QLU28" s="234" t="e">
        <f>astrogrep_path&amp;" /e /r /s /spath="&amp;search_path&amp;" /stypes=""app*"&amp;QKQ28&amp;"*"&amp;TEXT(QKX28-utc_offset/24,"YYYYMMDD")&amp;"*"" /stext="" "&amp;TEXT(QKX28-utc_offset/24,"HH")&amp;search_regexp&amp;""""</f>
        <v>#VALUE!</v>
      </c>
      <c r="QLV28" s="234" t="e">
        <f>astrogrep_path&amp;" /e /r /s /spath="&amp;search_path&amp;" /stypes=""app*"&amp;QKR28&amp;"*"&amp;TEXT(QKY28-utc_offset/24,"YYYYMMDD")&amp;"*"" /stext="" "&amp;TEXT(QKY28-utc_offset/24,"HH")&amp;search_regexp&amp;""""</f>
        <v>#VALUE!</v>
      </c>
      <c r="QLW28" s="234" t="e">
        <f>astrogrep_path&amp;" /e /r /s /spath="&amp;search_path&amp;" /stypes=""app*"&amp;QKS28&amp;"*"&amp;TEXT(QKZ28-utc_offset/24,"YYYYMMDD")&amp;"*"" /stext="" "&amp;TEXT(QKZ28-utc_offset/24,"HH")&amp;search_regexp&amp;""""</f>
        <v>#VALUE!</v>
      </c>
      <c r="QLX28" s="234" t="e">
        <f>astrogrep_path&amp;" /e /r /s /spath="&amp;search_path&amp;" /stypes=""app*"&amp;QKT28&amp;"*"&amp;TEXT(QLA28-utc_offset/24,"YYYYMMDD")&amp;"*"" /stext="" "&amp;TEXT(QLA28-utc_offset/24,"HH")&amp;search_regexp&amp;""""</f>
        <v>#VALUE!</v>
      </c>
      <c r="QLY28" s="234" t="e">
        <f>astrogrep_path&amp;" /e /r /s /spath="&amp;search_path&amp;" /stypes=""app*"&amp;QKU28&amp;"*"&amp;TEXT(QLB28-utc_offset/24,"YYYYMMDD")&amp;"*"" /stext="" "&amp;TEXT(QLB28-utc_offset/24,"HH")&amp;search_regexp&amp;""""</f>
        <v>#VALUE!</v>
      </c>
      <c r="QLZ28" s="234" t="e">
        <f>astrogrep_path&amp;" /e /r /s /spath="&amp;search_path&amp;" /stypes=""app*"&amp;QKV28&amp;"*"&amp;TEXT(QLC28-utc_offset/24,"YYYYMMDD")&amp;"*"" /stext="" "&amp;TEXT(QLC28-utc_offset/24,"HH")&amp;search_regexp&amp;""""</f>
        <v>#REF!</v>
      </c>
      <c r="QMA28" s="234" t="e">
        <f>astrogrep_path&amp;" /e /r /s /spath="&amp;search_path&amp;" /stypes=""app*"&amp;QKW28&amp;"*"&amp;TEXT(QLD28-utc_offset/24,"YYYYMMDD")&amp;"*"" /stext="" "&amp;TEXT(QLD28-utc_offset/24,"HH")&amp;search_regexp&amp;""""</f>
        <v>#REF!</v>
      </c>
      <c r="QMB28" s="234" t="e">
        <f>astrogrep_path&amp;" /e /r /s /spath="&amp;search_path&amp;" /stypes=""app*"&amp;QKX28&amp;"*"&amp;TEXT(QLE28-utc_offset/24,"YYYYMMDD")&amp;"*"" /stext="" "&amp;TEXT(QLE28-utc_offset/24,"HH")&amp;search_regexp&amp;""""</f>
        <v>#REF!</v>
      </c>
      <c r="QMC28" s="234" t="e">
        <f>astrogrep_path&amp;" /e /r /s /spath="&amp;search_path&amp;" /stypes=""app*"&amp;QKY28&amp;"*"&amp;TEXT(QLF28-utc_offset/24,"YYYYMMDD")&amp;"*"" /stext="" "&amp;TEXT(QLF28-utc_offset/24,"HH")&amp;search_regexp&amp;""""</f>
        <v>#REF!</v>
      </c>
      <c r="QMD28" s="234" t="e">
        <f>astrogrep_path&amp;" /e /r /s /spath="&amp;search_path&amp;" /stypes=""app*"&amp;QKZ28&amp;"*"&amp;TEXT(QLG28-utc_offset/24,"YYYYMMDD")&amp;"*"" /stext="" "&amp;TEXT(QLG28-utc_offset/24,"HH")&amp;search_regexp&amp;""""</f>
        <v>#REF!</v>
      </c>
      <c r="QME28" s="234" t="e">
        <f>astrogrep_path&amp;" /e /r /s /spath="&amp;search_path&amp;" /stypes=""app*"&amp;QLA28&amp;"*"&amp;TEXT(QLH28-utc_offset/24,"YYYYMMDD")&amp;"*"" /stext="" "&amp;TEXT(QLH28-utc_offset/24,"HH")&amp;search_regexp&amp;""""</f>
        <v>#REF!</v>
      </c>
      <c r="QMF28" s="234" t="e">
        <f>astrogrep_path&amp;" /e /r /s /spath="&amp;search_path&amp;" /stypes=""app*"&amp;QLB28&amp;"*"&amp;TEXT(QLI28-utc_offset/24,"YYYYMMDD")&amp;"*"" /stext="" "&amp;TEXT(QLI28-utc_offset/24,"HH")&amp;search_regexp&amp;""""</f>
        <v>#REF!</v>
      </c>
      <c r="QMG28" s="234" t="e">
        <f>astrogrep_path&amp;" /e /r /s /spath="&amp;search_path&amp;" /stypes=""app*"&amp;QLC28&amp;"*"&amp;TEXT(QLJ28-utc_offset/24,"YYYYMMDD")&amp;"*"" /stext="" "&amp;TEXT(QLJ28-utc_offset/24,"HH")&amp;search_regexp&amp;""""</f>
        <v>#REF!</v>
      </c>
      <c r="QMH28" s="234" t="e">
        <f>astrogrep_path&amp;" /e /r /s /spath="&amp;search_path&amp;" /stypes=""app*"&amp;QLD28&amp;"*"&amp;TEXT(QLK28-utc_offset/24,"YYYYMMDD")&amp;"*"" /stext="" "&amp;TEXT(QLK28-utc_offset/24,"HH")&amp;search_regexp&amp;""""</f>
        <v>#REF!</v>
      </c>
      <c r="QMI28" s="234" t="e">
        <f>astrogrep_path&amp;" /e /r /s /spath="&amp;search_path&amp;" /stypes=""app*"&amp;QLE28&amp;"*"&amp;TEXT(QLL28-utc_offset/24,"YYYYMMDD")&amp;"*"" /stext="" "&amp;TEXT(QLL28-utc_offset/24,"HH")&amp;search_regexp&amp;""""</f>
        <v>#REF!</v>
      </c>
      <c r="QMJ28" s="234" t="e">
        <f>astrogrep_path&amp;" /e /r /s /spath="&amp;search_path&amp;" /stypes=""app*"&amp;QLF28&amp;"*"&amp;TEXT(QLM28-utc_offset/24,"YYYYMMDD")&amp;"*"" /stext="" "&amp;TEXT(QLM28-utc_offset/24,"HH")&amp;search_regexp&amp;""""</f>
        <v>#REF!</v>
      </c>
      <c r="QMK28" s="234" t="e">
        <f>astrogrep_path&amp;" /e /r /s /spath="&amp;search_path&amp;" /stypes=""app*"&amp;QLG28&amp;"*"&amp;TEXT(QLN28-utc_offset/24,"YYYYMMDD")&amp;"*"" /stext="" "&amp;TEXT(QLN28-utc_offset/24,"HH")&amp;search_regexp&amp;""""</f>
        <v>#REF!</v>
      </c>
      <c r="QML28" s="234" t="e">
        <f>astrogrep_path&amp;" /e /r /s /spath="&amp;search_path&amp;" /stypes=""app*"&amp;QLH28&amp;"*"&amp;TEXT(QLO28-utc_offset/24,"YYYYMMDD")&amp;"*"" /stext="" "&amp;TEXT(QLO28-utc_offset/24,"HH")&amp;search_regexp&amp;""""</f>
        <v>#REF!</v>
      </c>
      <c r="QMM28" s="234" t="e">
        <f>astrogrep_path&amp;" /e /r /s /spath="&amp;search_path&amp;" /stypes=""app*"&amp;QLI28&amp;"*"&amp;TEXT(QLP28-utc_offset/24,"YYYYMMDD")&amp;"*"" /stext="" "&amp;TEXT(QLP28-utc_offset/24,"HH")&amp;search_regexp&amp;""""</f>
        <v>#REF!</v>
      </c>
      <c r="QMN28" s="234" t="e">
        <f>astrogrep_path&amp;" /e /r /s /spath="&amp;search_path&amp;" /stypes=""app*"&amp;QLJ28&amp;"*"&amp;TEXT(QLQ28-utc_offset/24,"YYYYMMDD")&amp;"*"" /stext="" "&amp;TEXT(QLQ28-utc_offset/24,"HH")&amp;search_regexp&amp;""""</f>
        <v>#REF!</v>
      </c>
      <c r="QMO28" s="234" t="e">
        <f>astrogrep_path&amp;" /e /r /s /spath="&amp;search_path&amp;" /stypes=""app*"&amp;QLK28&amp;"*"&amp;TEXT(QLR28-utc_offset/24,"YYYYMMDD")&amp;"*"" /stext="" "&amp;TEXT(QLR28-utc_offset/24,"HH")&amp;search_regexp&amp;""""</f>
        <v>#REF!</v>
      </c>
      <c r="QMP28" s="234" t="e">
        <f>astrogrep_path&amp;" /e /r /s /spath="&amp;search_path&amp;" /stypes=""app*"&amp;QLL28&amp;"*"&amp;TEXT(QLS28-utc_offset/24,"YYYYMMDD")&amp;"*"" /stext="" "&amp;TEXT(QLS28-utc_offset/24,"HH")&amp;search_regexp&amp;""""</f>
        <v>#REF!</v>
      </c>
      <c r="QMQ28" s="234" t="e">
        <f>astrogrep_path&amp;" /e /r /s /spath="&amp;search_path&amp;" /stypes=""app*"&amp;QLM28&amp;"*"&amp;TEXT(QLT28-utc_offset/24,"YYYYMMDD")&amp;"*"" /stext="" "&amp;TEXT(QLT28-utc_offset/24,"HH")&amp;search_regexp&amp;""""</f>
        <v>#REF!</v>
      </c>
      <c r="QMR28" s="234" t="e">
        <f>astrogrep_path&amp;" /e /r /s /spath="&amp;search_path&amp;" /stypes=""app*"&amp;QLN28&amp;"*"&amp;TEXT(QLU28-utc_offset/24,"YYYYMMDD")&amp;"*"" /stext="" "&amp;TEXT(QLU28-utc_offset/24,"HH")&amp;search_regexp&amp;""""</f>
        <v>#REF!</v>
      </c>
      <c r="QMS28" s="234" t="e">
        <f>astrogrep_path&amp;" /e /r /s /spath="&amp;search_path&amp;" /stypes=""app*"&amp;QLO28&amp;"*"&amp;TEXT(QLV28-utc_offset/24,"YYYYMMDD")&amp;"*"" /stext="" "&amp;TEXT(QLV28-utc_offset/24,"HH")&amp;search_regexp&amp;""""</f>
        <v>#REF!</v>
      </c>
      <c r="QMT28" s="234" t="e">
        <f>astrogrep_path&amp;" /e /r /s /spath="&amp;search_path&amp;" /stypes=""app*"&amp;QLP28&amp;"*"&amp;TEXT(QLW28-utc_offset/24,"YYYYMMDD")&amp;"*"" /stext="" "&amp;TEXT(QLW28-utc_offset/24,"HH")&amp;search_regexp&amp;""""</f>
        <v>#REF!</v>
      </c>
      <c r="QMU28" s="234" t="e">
        <f>astrogrep_path&amp;" /e /r /s /spath="&amp;search_path&amp;" /stypes=""app*"&amp;QLQ28&amp;"*"&amp;TEXT(QLX28-utc_offset/24,"YYYYMMDD")&amp;"*"" /stext="" "&amp;TEXT(QLX28-utc_offset/24,"HH")&amp;search_regexp&amp;""""</f>
        <v>#VALUE!</v>
      </c>
      <c r="QMV28" s="234" t="e">
        <f>astrogrep_path&amp;" /e /r /s /spath="&amp;search_path&amp;" /stypes=""app*"&amp;QLR28&amp;"*"&amp;TEXT(QLY28-utc_offset/24,"YYYYMMDD")&amp;"*"" /stext="" "&amp;TEXT(QLY28-utc_offset/24,"HH")&amp;search_regexp&amp;""""</f>
        <v>#VALUE!</v>
      </c>
      <c r="QMW28" s="234" t="e">
        <f>astrogrep_path&amp;" /e /r /s /spath="&amp;search_path&amp;" /stypes=""app*"&amp;QLS28&amp;"*"&amp;TEXT(QLZ28-utc_offset/24,"YYYYMMDD")&amp;"*"" /stext="" "&amp;TEXT(QLZ28-utc_offset/24,"HH")&amp;search_regexp&amp;""""</f>
        <v>#REF!</v>
      </c>
      <c r="QMX28" s="234" t="e">
        <f>astrogrep_path&amp;" /e /r /s /spath="&amp;search_path&amp;" /stypes=""app*"&amp;QLT28&amp;"*"&amp;TEXT(QMA28-utc_offset/24,"YYYYMMDD")&amp;"*"" /stext="" "&amp;TEXT(QMA28-utc_offset/24,"HH")&amp;search_regexp&amp;""""</f>
        <v>#REF!</v>
      </c>
      <c r="QMY28" s="234" t="e">
        <f>astrogrep_path&amp;" /e /r /s /spath="&amp;search_path&amp;" /stypes=""app*"&amp;QLU28&amp;"*"&amp;TEXT(QMB28-utc_offset/24,"YYYYMMDD")&amp;"*"" /stext="" "&amp;TEXT(QMB28-utc_offset/24,"HH")&amp;search_regexp&amp;""""</f>
        <v>#VALUE!</v>
      </c>
      <c r="QMZ28" s="234" t="e">
        <f>astrogrep_path&amp;" /e /r /s /spath="&amp;search_path&amp;" /stypes=""app*"&amp;QLV28&amp;"*"&amp;TEXT(QMC28-utc_offset/24,"YYYYMMDD")&amp;"*"" /stext="" "&amp;TEXT(QMC28-utc_offset/24,"HH")&amp;search_regexp&amp;""""</f>
        <v>#VALUE!</v>
      </c>
      <c r="QNA28" s="234" t="e">
        <f>astrogrep_path&amp;" /e /r /s /spath="&amp;search_path&amp;" /stypes=""app*"&amp;QLW28&amp;"*"&amp;TEXT(QMD28-utc_offset/24,"YYYYMMDD")&amp;"*"" /stext="" "&amp;TEXT(QMD28-utc_offset/24,"HH")&amp;search_regexp&amp;""""</f>
        <v>#VALUE!</v>
      </c>
      <c r="QNB28" s="234" t="e">
        <f>astrogrep_path&amp;" /e /r /s /spath="&amp;search_path&amp;" /stypes=""app*"&amp;QLX28&amp;"*"&amp;TEXT(QME28-utc_offset/24,"YYYYMMDD")&amp;"*"" /stext="" "&amp;TEXT(QME28-utc_offset/24,"HH")&amp;search_regexp&amp;""""</f>
        <v>#VALUE!</v>
      </c>
      <c r="QNC28" s="234" t="e">
        <f>astrogrep_path&amp;" /e /r /s /spath="&amp;search_path&amp;" /stypes=""app*"&amp;QLY28&amp;"*"&amp;TEXT(QMF28-utc_offset/24,"YYYYMMDD")&amp;"*"" /stext="" "&amp;TEXT(QMF28-utc_offset/24,"HH")&amp;search_regexp&amp;""""</f>
        <v>#VALUE!</v>
      </c>
      <c r="QND28" s="234" t="e">
        <f>astrogrep_path&amp;" /e /r /s /spath="&amp;search_path&amp;" /stypes=""app*"&amp;QLZ28&amp;"*"&amp;TEXT(QMG28-utc_offset/24,"YYYYMMDD")&amp;"*"" /stext="" "&amp;TEXT(QMG28-utc_offset/24,"HH")&amp;search_regexp&amp;""""</f>
        <v>#REF!</v>
      </c>
      <c r="QNE28" s="234" t="e">
        <f>astrogrep_path&amp;" /e /r /s /spath="&amp;search_path&amp;" /stypes=""app*"&amp;QMA28&amp;"*"&amp;TEXT(QMH28-utc_offset/24,"YYYYMMDD")&amp;"*"" /stext="" "&amp;TEXT(QMH28-utc_offset/24,"HH")&amp;search_regexp&amp;""""</f>
        <v>#REF!</v>
      </c>
      <c r="QNF28" s="234" t="e">
        <f>astrogrep_path&amp;" /e /r /s /spath="&amp;search_path&amp;" /stypes=""app*"&amp;QMB28&amp;"*"&amp;TEXT(QMI28-utc_offset/24,"YYYYMMDD")&amp;"*"" /stext="" "&amp;TEXT(QMI28-utc_offset/24,"HH")&amp;search_regexp&amp;""""</f>
        <v>#REF!</v>
      </c>
      <c r="QNG28" s="234" t="e">
        <f>astrogrep_path&amp;" /e /r /s /spath="&amp;search_path&amp;" /stypes=""app*"&amp;QMC28&amp;"*"&amp;TEXT(QMJ28-utc_offset/24,"YYYYMMDD")&amp;"*"" /stext="" "&amp;TEXT(QMJ28-utc_offset/24,"HH")&amp;search_regexp&amp;""""</f>
        <v>#REF!</v>
      </c>
      <c r="QNH28" s="234" t="e">
        <f>astrogrep_path&amp;" /e /r /s /spath="&amp;search_path&amp;" /stypes=""app*"&amp;QMD28&amp;"*"&amp;TEXT(QMK28-utc_offset/24,"YYYYMMDD")&amp;"*"" /stext="" "&amp;TEXT(QMK28-utc_offset/24,"HH")&amp;search_regexp&amp;""""</f>
        <v>#REF!</v>
      </c>
      <c r="QNI28" s="234" t="e">
        <f>astrogrep_path&amp;" /e /r /s /spath="&amp;search_path&amp;" /stypes=""app*"&amp;QME28&amp;"*"&amp;TEXT(QML28-utc_offset/24,"YYYYMMDD")&amp;"*"" /stext="" "&amp;TEXT(QML28-utc_offset/24,"HH")&amp;search_regexp&amp;""""</f>
        <v>#REF!</v>
      </c>
      <c r="QNJ28" s="234" t="e">
        <f>astrogrep_path&amp;" /e /r /s /spath="&amp;search_path&amp;" /stypes=""app*"&amp;QMF28&amp;"*"&amp;TEXT(QMM28-utc_offset/24,"YYYYMMDD")&amp;"*"" /stext="" "&amp;TEXT(QMM28-utc_offset/24,"HH")&amp;search_regexp&amp;""""</f>
        <v>#REF!</v>
      </c>
      <c r="QNK28" s="234" t="e">
        <f>astrogrep_path&amp;" /e /r /s /spath="&amp;search_path&amp;" /stypes=""app*"&amp;QMG28&amp;"*"&amp;TEXT(QMN28-utc_offset/24,"YYYYMMDD")&amp;"*"" /stext="" "&amp;TEXT(QMN28-utc_offset/24,"HH")&amp;search_regexp&amp;""""</f>
        <v>#REF!</v>
      </c>
      <c r="QNL28" s="234" t="e">
        <f>astrogrep_path&amp;" /e /r /s /spath="&amp;search_path&amp;" /stypes=""app*"&amp;QMH28&amp;"*"&amp;TEXT(QMO28-utc_offset/24,"YYYYMMDD")&amp;"*"" /stext="" "&amp;TEXT(QMO28-utc_offset/24,"HH")&amp;search_regexp&amp;""""</f>
        <v>#REF!</v>
      </c>
      <c r="QNM28" s="234" t="e">
        <f>astrogrep_path&amp;" /e /r /s /spath="&amp;search_path&amp;" /stypes=""app*"&amp;QMI28&amp;"*"&amp;TEXT(QMP28-utc_offset/24,"YYYYMMDD")&amp;"*"" /stext="" "&amp;TEXT(QMP28-utc_offset/24,"HH")&amp;search_regexp&amp;""""</f>
        <v>#REF!</v>
      </c>
      <c r="QNN28" s="234" t="e">
        <f>astrogrep_path&amp;" /e /r /s /spath="&amp;search_path&amp;" /stypes=""app*"&amp;QMJ28&amp;"*"&amp;TEXT(QMQ28-utc_offset/24,"YYYYMMDD")&amp;"*"" /stext="" "&amp;TEXT(QMQ28-utc_offset/24,"HH")&amp;search_regexp&amp;""""</f>
        <v>#REF!</v>
      </c>
      <c r="QNO28" s="234" t="e">
        <f>astrogrep_path&amp;" /e /r /s /spath="&amp;search_path&amp;" /stypes=""app*"&amp;QMK28&amp;"*"&amp;TEXT(QMR28-utc_offset/24,"YYYYMMDD")&amp;"*"" /stext="" "&amp;TEXT(QMR28-utc_offset/24,"HH")&amp;search_regexp&amp;""""</f>
        <v>#REF!</v>
      </c>
      <c r="QNP28" s="234" t="e">
        <f>astrogrep_path&amp;" /e /r /s /spath="&amp;search_path&amp;" /stypes=""app*"&amp;QML28&amp;"*"&amp;TEXT(QMS28-utc_offset/24,"YYYYMMDD")&amp;"*"" /stext="" "&amp;TEXT(QMS28-utc_offset/24,"HH")&amp;search_regexp&amp;""""</f>
        <v>#REF!</v>
      </c>
      <c r="QNQ28" s="234" t="e">
        <f>astrogrep_path&amp;" /e /r /s /spath="&amp;search_path&amp;" /stypes=""app*"&amp;QMM28&amp;"*"&amp;TEXT(QMT28-utc_offset/24,"YYYYMMDD")&amp;"*"" /stext="" "&amp;TEXT(QMT28-utc_offset/24,"HH")&amp;search_regexp&amp;""""</f>
        <v>#REF!</v>
      </c>
      <c r="QNR28" s="234" t="e">
        <f>astrogrep_path&amp;" /e /r /s /spath="&amp;search_path&amp;" /stypes=""app*"&amp;QMN28&amp;"*"&amp;TEXT(QMU28-utc_offset/24,"YYYYMMDD")&amp;"*"" /stext="" "&amp;TEXT(QMU28-utc_offset/24,"HH")&amp;search_regexp&amp;""""</f>
        <v>#REF!</v>
      </c>
      <c r="QNS28" s="234" t="e">
        <f>astrogrep_path&amp;" /e /r /s /spath="&amp;search_path&amp;" /stypes=""app*"&amp;QMO28&amp;"*"&amp;TEXT(QMV28-utc_offset/24,"YYYYMMDD")&amp;"*"" /stext="" "&amp;TEXT(QMV28-utc_offset/24,"HH")&amp;search_regexp&amp;""""</f>
        <v>#REF!</v>
      </c>
      <c r="QNT28" s="234" t="e">
        <f>astrogrep_path&amp;" /e /r /s /spath="&amp;search_path&amp;" /stypes=""app*"&amp;QMP28&amp;"*"&amp;TEXT(QMW28-utc_offset/24,"YYYYMMDD")&amp;"*"" /stext="" "&amp;TEXT(QMW28-utc_offset/24,"HH")&amp;search_regexp&amp;""""</f>
        <v>#REF!</v>
      </c>
      <c r="QNU28" s="234" t="e">
        <f>astrogrep_path&amp;" /e /r /s /spath="&amp;search_path&amp;" /stypes=""app*"&amp;QMQ28&amp;"*"&amp;TEXT(QMX28-utc_offset/24,"YYYYMMDD")&amp;"*"" /stext="" "&amp;TEXT(QMX28-utc_offset/24,"HH")&amp;search_regexp&amp;""""</f>
        <v>#REF!</v>
      </c>
      <c r="QNV28" s="234" t="e">
        <f>astrogrep_path&amp;" /e /r /s /spath="&amp;search_path&amp;" /stypes=""app*"&amp;QMR28&amp;"*"&amp;TEXT(QMY28-utc_offset/24,"YYYYMMDD")&amp;"*"" /stext="" "&amp;TEXT(QMY28-utc_offset/24,"HH")&amp;search_regexp&amp;""""</f>
        <v>#REF!</v>
      </c>
      <c r="QNW28" s="234" t="e">
        <f>astrogrep_path&amp;" /e /r /s /spath="&amp;search_path&amp;" /stypes=""app*"&amp;QMS28&amp;"*"&amp;TEXT(QMZ28-utc_offset/24,"YYYYMMDD")&amp;"*"" /stext="" "&amp;TEXT(QMZ28-utc_offset/24,"HH")&amp;search_regexp&amp;""""</f>
        <v>#REF!</v>
      </c>
      <c r="QNX28" s="234" t="e">
        <f>astrogrep_path&amp;" /e /r /s /spath="&amp;search_path&amp;" /stypes=""app*"&amp;QMT28&amp;"*"&amp;TEXT(QNA28-utc_offset/24,"YYYYMMDD")&amp;"*"" /stext="" "&amp;TEXT(QNA28-utc_offset/24,"HH")&amp;search_regexp&amp;""""</f>
        <v>#REF!</v>
      </c>
      <c r="QNY28" s="234" t="e">
        <f>astrogrep_path&amp;" /e /r /s /spath="&amp;search_path&amp;" /stypes=""app*"&amp;QMU28&amp;"*"&amp;TEXT(QNB28-utc_offset/24,"YYYYMMDD")&amp;"*"" /stext="" "&amp;TEXT(QNB28-utc_offset/24,"HH")&amp;search_regexp&amp;""""</f>
        <v>#VALUE!</v>
      </c>
      <c r="QNZ28" s="234" t="e">
        <f>astrogrep_path&amp;" /e /r /s /spath="&amp;search_path&amp;" /stypes=""app*"&amp;QMV28&amp;"*"&amp;TEXT(QNC28-utc_offset/24,"YYYYMMDD")&amp;"*"" /stext="" "&amp;TEXT(QNC28-utc_offset/24,"HH")&amp;search_regexp&amp;""""</f>
        <v>#VALUE!</v>
      </c>
      <c r="QOA28" s="234" t="e">
        <f>astrogrep_path&amp;" /e /r /s /spath="&amp;search_path&amp;" /stypes=""app*"&amp;QMW28&amp;"*"&amp;TEXT(QND28-utc_offset/24,"YYYYMMDD")&amp;"*"" /stext="" "&amp;TEXT(QND28-utc_offset/24,"HH")&amp;search_regexp&amp;""""</f>
        <v>#REF!</v>
      </c>
      <c r="QOB28" s="234" t="e">
        <f>astrogrep_path&amp;" /e /r /s /spath="&amp;search_path&amp;" /stypes=""app*"&amp;QMX28&amp;"*"&amp;TEXT(QNE28-utc_offset/24,"YYYYMMDD")&amp;"*"" /stext="" "&amp;TEXT(QNE28-utc_offset/24,"HH")&amp;search_regexp&amp;""""</f>
        <v>#REF!</v>
      </c>
      <c r="QOC28" s="234" t="e">
        <f>astrogrep_path&amp;" /e /r /s /spath="&amp;search_path&amp;" /stypes=""app*"&amp;QMY28&amp;"*"&amp;TEXT(QNF28-utc_offset/24,"YYYYMMDD")&amp;"*"" /stext="" "&amp;TEXT(QNF28-utc_offset/24,"HH")&amp;search_regexp&amp;""""</f>
        <v>#VALUE!</v>
      </c>
      <c r="QOD28" s="234" t="e">
        <f>astrogrep_path&amp;" /e /r /s /spath="&amp;search_path&amp;" /stypes=""app*"&amp;QMZ28&amp;"*"&amp;TEXT(QNG28-utc_offset/24,"YYYYMMDD")&amp;"*"" /stext="" "&amp;TEXT(QNG28-utc_offset/24,"HH")&amp;search_regexp&amp;""""</f>
        <v>#VALUE!</v>
      </c>
      <c r="QOE28" s="234" t="e">
        <f>astrogrep_path&amp;" /e /r /s /spath="&amp;search_path&amp;" /stypes=""app*"&amp;QNA28&amp;"*"&amp;TEXT(QNH28-utc_offset/24,"YYYYMMDD")&amp;"*"" /stext="" "&amp;TEXT(QNH28-utc_offset/24,"HH")&amp;search_regexp&amp;""""</f>
        <v>#VALUE!</v>
      </c>
      <c r="QOF28" s="234" t="e">
        <f>astrogrep_path&amp;" /e /r /s /spath="&amp;search_path&amp;" /stypes=""app*"&amp;QNB28&amp;"*"&amp;TEXT(QNI28-utc_offset/24,"YYYYMMDD")&amp;"*"" /stext="" "&amp;TEXT(QNI28-utc_offset/24,"HH")&amp;search_regexp&amp;""""</f>
        <v>#VALUE!</v>
      </c>
      <c r="QOG28" s="234" t="e">
        <f>astrogrep_path&amp;" /e /r /s /spath="&amp;search_path&amp;" /stypes=""app*"&amp;QNC28&amp;"*"&amp;TEXT(QNJ28-utc_offset/24,"YYYYMMDD")&amp;"*"" /stext="" "&amp;TEXT(QNJ28-utc_offset/24,"HH")&amp;search_regexp&amp;""""</f>
        <v>#VALUE!</v>
      </c>
      <c r="QOH28" s="234" t="e">
        <f>astrogrep_path&amp;" /e /r /s /spath="&amp;search_path&amp;" /stypes=""app*"&amp;QND28&amp;"*"&amp;TEXT(QNK28-utc_offset/24,"YYYYMMDD")&amp;"*"" /stext="" "&amp;TEXT(QNK28-utc_offset/24,"HH")&amp;search_regexp&amp;""""</f>
        <v>#REF!</v>
      </c>
      <c r="QOI28" s="234" t="e">
        <f>astrogrep_path&amp;" /e /r /s /spath="&amp;search_path&amp;" /stypes=""app*"&amp;QNE28&amp;"*"&amp;TEXT(QNL28-utc_offset/24,"YYYYMMDD")&amp;"*"" /stext="" "&amp;TEXT(QNL28-utc_offset/24,"HH")&amp;search_regexp&amp;""""</f>
        <v>#REF!</v>
      </c>
      <c r="QOJ28" s="234" t="e">
        <f>astrogrep_path&amp;" /e /r /s /spath="&amp;search_path&amp;" /stypes=""app*"&amp;QNF28&amp;"*"&amp;TEXT(QNM28-utc_offset/24,"YYYYMMDD")&amp;"*"" /stext="" "&amp;TEXT(QNM28-utc_offset/24,"HH")&amp;search_regexp&amp;""""</f>
        <v>#REF!</v>
      </c>
      <c r="QOK28" s="234" t="e">
        <f>astrogrep_path&amp;" /e /r /s /spath="&amp;search_path&amp;" /stypes=""app*"&amp;QNG28&amp;"*"&amp;TEXT(QNN28-utc_offset/24,"YYYYMMDD")&amp;"*"" /stext="" "&amp;TEXT(QNN28-utc_offset/24,"HH")&amp;search_regexp&amp;""""</f>
        <v>#REF!</v>
      </c>
      <c r="QOL28" s="234" t="e">
        <f>astrogrep_path&amp;" /e /r /s /spath="&amp;search_path&amp;" /stypes=""app*"&amp;QNH28&amp;"*"&amp;TEXT(QNO28-utc_offset/24,"YYYYMMDD")&amp;"*"" /stext="" "&amp;TEXT(QNO28-utc_offset/24,"HH")&amp;search_regexp&amp;""""</f>
        <v>#REF!</v>
      </c>
      <c r="QOM28" s="234" t="e">
        <f>astrogrep_path&amp;" /e /r /s /spath="&amp;search_path&amp;" /stypes=""app*"&amp;QNI28&amp;"*"&amp;TEXT(QNP28-utc_offset/24,"YYYYMMDD")&amp;"*"" /stext="" "&amp;TEXT(QNP28-utc_offset/24,"HH")&amp;search_regexp&amp;""""</f>
        <v>#REF!</v>
      </c>
      <c r="QON28" s="234" t="e">
        <f>astrogrep_path&amp;" /e /r /s /spath="&amp;search_path&amp;" /stypes=""app*"&amp;QNJ28&amp;"*"&amp;TEXT(QNQ28-utc_offset/24,"YYYYMMDD")&amp;"*"" /stext="" "&amp;TEXT(QNQ28-utc_offset/24,"HH")&amp;search_regexp&amp;""""</f>
        <v>#REF!</v>
      </c>
      <c r="QOO28" s="234" t="e">
        <f>astrogrep_path&amp;" /e /r /s /spath="&amp;search_path&amp;" /stypes=""app*"&amp;QNK28&amp;"*"&amp;TEXT(QNR28-utc_offset/24,"YYYYMMDD")&amp;"*"" /stext="" "&amp;TEXT(QNR28-utc_offset/24,"HH")&amp;search_regexp&amp;""""</f>
        <v>#REF!</v>
      </c>
      <c r="QOP28" s="234" t="e">
        <f>astrogrep_path&amp;" /e /r /s /spath="&amp;search_path&amp;" /stypes=""app*"&amp;QNL28&amp;"*"&amp;TEXT(QNS28-utc_offset/24,"YYYYMMDD")&amp;"*"" /stext="" "&amp;TEXT(QNS28-utc_offset/24,"HH")&amp;search_regexp&amp;""""</f>
        <v>#REF!</v>
      </c>
      <c r="QOQ28" s="234" t="e">
        <f>astrogrep_path&amp;" /e /r /s /spath="&amp;search_path&amp;" /stypes=""app*"&amp;QNM28&amp;"*"&amp;TEXT(QNT28-utc_offset/24,"YYYYMMDD")&amp;"*"" /stext="" "&amp;TEXT(QNT28-utc_offset/24,"HH")&amp;search_regexp&amp;""""</f>
        <v>#REF!</v>
      </c>
      <c r="QOR28" s="234" t="e">
        <f>astrogrep_path&amp;" /e /r /s /spath="&amp;search_path&amp;" /stypes=""app*"&amp;QNN28&amp;"*"&amp;TEXT(QNU28-utc_offset/24,"YYYYMMDD")&amp;"*"" /stext="" "&amp;TEXT(QNU28-utc_offset/24,"HH")&amp;search_regexp&amp;""""</f>
        <v>#REF!</v>
      </c>
      <c r="QOS28" s="234" t="e">
        <f>astrogrep_path&amp;" /e /r /s /spath="&amp;search_path&amp;" /stypes=""app*"&amp;QNO28&amp;"*"&amp;TEXT(QNV28-utc_offset/24,"YYYYMMDD")&amp;"*"" /stext="" "&amp;TEXT(QNV28-utc_offset/24,"HH")&amp;search_regexp&amp;""""</f>
        <v>#REF!</v>
      </c>
      <c r="QOT28" s="234" t="e">
        <f>astrogrep_path&amp;" /e /r /s /spath="&amp;search_path&amp;" /stypes=""app*"&amp;QNP28&amp;"*"&amp;TEXT(QNW28-utc_offset/24,"YYYYMMDD")&amp;"*"" /stext="" "&amp;TEXT(QNW28-utc_offset/24,"HH")&amp;search_regexp&amp;""""</f>
        <v>#REF!</v>
      </c>
      <c r="QOU28" s="234" t="e">
        <f>astrogrep_path&amp;" /e /r /s /spath="&amp;search_path&amp;" /stypes=""app*"&amp;QNQ28&amp;"*"&amp;TEXT(QNX28-utc_offset/24,"YYYYMMDD")&amp;"*"" /stext="" "&amp;TEXT(QNX28-utc_offset/24,"HH")&amp;search_regexp&amp;""""</f>
        <v>#REF!</v>
      </c>
      <c r="QOV28" s="234" t="e">
        <f>astrogrep_path&amp;" /e /r /s /spath="&amp;search_path&amp;" /stypes=""app*"&amp;QNR28&amp;"*"&amp;TEXT(QNY28-utc_offset/24,"YYYYMMDD")&amp;"*"" /stext="" "&amp;TEXT(QNY28-utc_offset/24,"HH")&amp;search_regexp&amp;""""</f>
        <v>#REF!</v>
      </c>
      <c r="QOW28" s="234" t="e">
        <f>astrogrep_path&amp;" /e /r /s /spath="&amp;search_path&amp;" /stypes=""app*"&amp;QNS28&amp;"*"&amp;TEXT(QNZ28-utc_offset/24,"YYYYMMDD")&amp;"*"" /stext="" "&amp;TEXT(QNZ28-utc_offset/24,"HH")&amp;search_regexp&amp;""""</f>
        <v>#REF!</v>
      </c>
      <c r="QOX28" s="234" t="e">
        <f>astrogrep_path&amp;" /e /r /s /spath="&amp;search_path&amp;" /stypes=""app*"&amp;QNT28&amp;"*"&amp;TEXT(QOA28-utc_offset/24,"YYYYMMDD")&amp;"*"" /stext="" "&amp;TEXT(QOA28-utc_offset/24,"HH")&amp;search_regexp&amp;""""</f>
        <v>#REF!</v>
      </c>
      <c r="QOY28" s="234" t="e">
        <f>astrogrep_path&amp;" /e /r /s /spath="&amp;search_path&amp;" /stypes=""app*"&amp;QNU28&amp;"*"&amp;TEXT(QOB28-utc_offset/24,"YYYYMMDD")&amp;"*"" /stext="" "&amp;TEXT(QOB28-utc_offset/24,"HH")&amp;search_regexp&amp;""""</f>
        <v>#REF!</v>
      </c>
      <c r="QOZ28" s="234" t="e">
        <f>astrogrep_path&amp;" /e /r /s /spath="&amp;search_path&amp;" /stypes=""app*"&amp;QNV28&amp;"*"&amp;TEXT(QOC28-utc_offset/24,"YYYYMMDD")&amp;"*"" /stext="" "&amp;TEXT(QOC28-utc_offset/24,"HH")&amp;search_regexp&amp;""""</f>
        <v>#REF!</v>
      </c>
      <c r="QPA28" s="234" t="e">
        <f>astrogrep_path&amp;" /e /r /s /spath="&amp;search_path&amp;" /stypes=""app*"&amp;QNW28&amp;"*"&amp;TEXT(QOD28-utc_offset/24,"YYYYMMDD")&amp;"*"" /stext="" "&amp;TEXT(QOD28-utc_offset/24,"HH")&amp;search_regexp&amp;""""</f>
        <v>#REF!</v>
      </c>
      <c r="QPB28" s="234" t="e">
        <f>astrogrep_path&amp;" /e /r /s /spath="&amp;search_path&amp;" /stypes=""app*"&amp;QNX28&amp;"*"&amp;TEXT(QOE28-utc_offset/24,"YYYYMMDD")&amp;"*"" /stext="" "&amp;TEXT(QOE28-utc_offset/24,"HH")&amp;search_regexp&amp;""""</f>
        <v>#REF!</v>
      </c>
      <c r="QPC28" s="234" t="e">
        <f>astrogrep_path&amp;" /e /r /s /spath="&amp;search_path&amp;" /stypes=""app*"&amp;QNY28&amp;"*"&amp;TEXT(QOF28-utc_offset/24,"YYYYMMDD")&amp;"*"" /stext="" "&amp;TEXT(QOF28-utc_offset/24,"HH")&amp;search_regexp&amp;""""</f>
        <v>#VALUE!</v>
      </c>
      <c r="QPD28" s="234" t="e">
        <f>astrogrep_path&amp;" /e /r /s /spath="&amp;search_path&amp;" /stypes=""app*"&amp;QNZ28&amp;"*"&amp;TEXT(QOG28-utc_offset/24,"YYYYMMDD")&amp;"*"" /stext="" "&amp;TEXT(QOG28-utc_offset/24,"HH")&amp;search_regexp&amp;""""</f>
        <v>#VALUE!</v>
      </c>
      <c r="QPE28" s="234" t="e">
        <f>astrogrep_path&amp;" /e /r /s /spath="&amp;search_path&amp;" /stypes=""app*"&amp;QOA28&amp;"*"&amp;TEXT(QOH28-utc_offset/24,"YYYYMMDD")&amp;"*"" /stext="" "&amp;TEXT(QOH28-utc_offset/24,"HH")&amp;search_regexp&amp;""""</f>
        <v>#REF!</v>
      </c>
      <c r="QPF28" s="234" t="e">
        <f>astrogrep_path&amp;" /e /r /s /spath="&amp;search_path&amp;" /stypes=""app*"&amp;QOB28&amp;"*"&amp;TEXT(QOI28-utc_offset/24,"YYYYMMDD")&amp;"*"" /stext="" "&amp;TEXT(QOI28-utc_offset/24,"HH")&amp;search_regexp&amp;""""</f>
        <v>#REF!</v>
      </c>
      <c r="QPG28" s="234" t="e">
        <f>astrogrep_path&amp;" /e /r /s /spath="&amp;search_path&amp;" /stypes=""app*"&amp;QOC28&amp;"*"&amp;TEXT(QOJ28-utc_offset/24,"YYYYMMDD")&amp;"*"" /stext="" "&amp;TEXT(QOJ28-utc_offset/24,"HH")&amp;search_regexp&amp;""""</f>
        <v>#VALUE!</v>
      </c>
      <c r="QPH28" s="234" t="e">
        <f>astrogrep_path&amp;" /e /r /s /spath="&amp;search_path&amp;" /stypes=""app*"&amp;QOD28&amp;"*"&amp;TEXT(QOK28-utc_offset/24,"YYYYMMDD")&amp;"*"" /stext="" "&amp;TEXT(QOK28-utc_offset/24,"HH")&amp;search_regexp&amp;""""</f>
        <v>#VALUE!</v>
      </c>
      <c r="QPI28" s="234" t="e">
        <f>astrogrep_path&amp;" /e /r /s /spath="&amp;search_path&amp;" /stypes=""app*"&amp;QOE28&amp;"*"&amp;TEXT(QOL28-utc_offset/24,"YYYYMMDD")&amp;"*"" /stext="" "&amp;TEXT(QOL28-utc_offset/24,"HH")&amp;search_regexp&amp;""""</f>
        <v>#VALUE!</v>
      </c>
      <c r="QPJ28" s="234" t="e">
        <f>astrogrep_path&amp;" /e /r /s /spath="&amp;search_path&amp;" /stypes=""app*"&amp;QOF28&amp;"*"&amp;TEXT(QOM28-utc_offset/24,"YYYYMMDD")&amp;"*"" /stext="" "&amp;TEXT(QOM28-utc_offset/24,"HH")&amp;search_regexp&amp;""""</f>
        <v>#VALUE!</v>
      </c>
      <c r="QPK28" s="234" t="e">
        <f>astrogrep_path&amp;" /e /r /s /spath="&amp;search_path&amp;" /stypes=""app*"&amp;QOG28&amp;"*"&amp;TEXT(QON28-utc_offset/24,"YYYYMMDD")&amp;"*"" /stext="" "&amp;TEXT(QON28-utc_offset/24,"HH")&amp;search_regexp&amp;""""</f>
        <v>#VALUE!</v>
      </c>
      <c r="QPL28" s="234" t="e">
        <f>astrogrep_path&amp;" /e /r /s /spath="&amp;search_path&amp;" /stypes=""app*"&amp;QOH28&amp;"*"&amp;TEXT(QOO28-utc_offset/24,"YYYYMMDD")&amp;"*"" /stext="" "&amp;TEXT(QOO28-utc_offset/24,"HH")&amp;search_regexp&amp;""""</f>
        <v>#REF!</v>
      </c>
      <c r="QPM28" s="234" t="e">
        <f>astrogrep_path&amp;" /e /r /s /spath="&amp;search_path&amp;" /stypes=""app*"&amp;QOI28&amp;"*"&amp;TEXT(QOP28-utc_offset/24,"YYYYMMDD")&amp;"*"" /stext="" "&amp;TEXT(QOP28-utc_offset/24,"HH")&amp;search_regexp&amp;""""</f>
        <v>#REF!</v>
      </c>
      <c r="QPN28" s="234" t="e">
        <f>astrogrep_path&amp;" /e /r /s /spath="&amp;search_path&amp;" /stypes=""app*"&amp;QOJ28&amp;"*"&amp;TEXT(QOQ28-utc_offset/24,"YYYYMMDD")&amp;"*"" /stext="" "&amp;TEXT(QOQ28-utc_offset/24,"HH")&amp;search_regexp&amp;""""</f>
        <v>#REF!</v>
      </c>
      <c r="QPO28" s="234" t="e">
        <f>astrogrep_path&amp;" /e /r /s /spath="&amp;search_path&amp;" /stypes=""app*"&amp;QOK28&amp;"*"&amp;TEXT(QOR28-utc_offset/24,"YYYYMMDD")&amp;"*"" /stext="" "&amp;TEXT(QOR28-utc_offset/24,"HH")&amp;search_regexp&amp;""""</f>
        <v>#REF!</v>
      </c>
      <c r="QPP28" s="234" t="e">
        <f>astrogrep_path&amp;" /e /r /s /spath="&amp;search_path&amp;" /stypes=""app*"&amp;QOL28&amp;"*"&amp;TEXT(QOS28-utc_offset/24,"YYYYMMDD")&amp;"*"" /stext="" "&amp;TEXT(QOS28-utc_offset/24,"HH")&amp;search_regexp&amp;""""</f>
        <v>#REF!</v>
      </c>
      <c r="QPQ28" s="234" t="e">
        <f>astrogrep_path&amp;" /e /r /s /spath="&amp;search_path&amp;" /stypes=""app*"&amp;QOM28&amp;"*"&amp;TEXT(QOT28-utc_offset/24,"YYYYMMDD")&amp;"*"" /stext="" "&amp;TEXT(QOT28-utc_offset/24,"HH")&amp;search_regexp&amp;""""</f>
        <v>#REF!</v>
      </c>
      <c r="QPR28" s="234" t="e">
        <f>astrogrep_path&amp;" /e /r /s /spath="&amp;search_path&amp;" /stypes=""app*"&amp;QON28&amp;"*"&amp;TEXT(QOU28-utc_offset/24,"YYYYMMDD")&amp;"*"" /stext="" "&amp;TEXT(QOU28-utc_offset/24,"HH")&amp;search_regexp&amp;""""</f>
        <v>#REF!</v>
      </c>
      <c r="QPS28" s="234" t="e">
        <f>astrogrep_path&amp;" /e /r /s /spath="&amp;search_path&amp;" /stypes=""app*"&amp;QOO28&amp;"*"&amp;TEXT(QOV28-utc_offset/24,"YYYYMMDD")&amp;"*"" /stext="" "&amp;TEXT(QOV28-utc_offset/24,"HH")&amp;search_regexp&amp;""""</f>
        <v>#REF!</v>
      </c>
      <c r="QPT28" s="234" t="e">
        <f>astrogrep_path&amp;" /e /r /s /spath="&amp;search_path&amp;" /stypes=""app*"&amp;QOP28&amp;"*"&amp;TEXT(QOW28-utc_offset/24,"YYYYMMDD")&amp;"*"" /stext="" "&amp;TEXT(QOW28-utc_offset/24,"HH")&amp;search_regexp&amp;""""</f>
        <v>#REF!</v>
      </c>
      <c r="QPU28" s="234" t="e">
        <f>astrogrep_path&amp;" /e /r /s /spath="&amp;search_path&amp;" /stypes=""app*"&amp;QOQ28&amp;"*"&amp;TEXT(QOX28-utc_offset/24,"YYYYMMDD")&amp;"*"" /stext="" "&amp;TEXT(QOX28-utc_offset/24,"HH")&amp;search_regexp&amp;""""</f>
        <v>#REF!</v>
      </c>
      <c r="QPV28" s="234" t="e">
        <f>astrogrep_path&amp;" /e /r /s /spath="&amp;search_path&amp;" /stypes=""app*"&amp;QOR28&amp;"*"&amp;TEXT(QOY28-utc_offset/24,"YYYYMMDD")&amp;"*"" /stext="" "&amp;TEXT(QOY28-utc_offset/24,"HH")&amp;search_regexp&amp;""""</f>
        <v>#REF!</v>
      </c>
      <c r="QPW28" s="234" t="e">
        <f>astrogrep_path&amp;" /e /r /s /spath="&amp;search_path&amp;" /stypes=""app*"&amp;QOS28&amp;"*"&amp;TEXT(QOZ28-utc_offset/24,"YYYYMMDD")&amp;"*"" /stext="" "&amp;TEXT(QOZ28-utc_offset/24,"HH")&amp;search_regexp&amp;""""</f>
        <v>#REF!</v>
      </c>
      <c r="QPX28" s="234" t="e">
        <f>astrogrep_path&amp;" /e /r /s /spath="&amp;search_path&amp;" /stypes=""app*"&amp;QOT28&amp;"*"&amp;TEXT(QPA28-utc_offset/24,"YYYYMMDD")&amp;"*"" /stext="" "&amp;TEXT(QPA28-utc_offset/24,"HH")&amp;search_regexp&amp;""""</f>
        <v>#REF!</v>
      </c>
      <c r="QPY28" s="234" t="e">
        <f>astrogrep_path&amp;" /e /r /s /spath="&amp;search_path&amp;" /stypes=""app*"&amp;QOU28&amp;"*"&amp;TEXT(QPB28-utc_offset/24,"YYYYMMDD")&amp;"*"" /stext="" "&amp;TEXT(QPB28-utc_offset/24,"HH")&amp;search_regexp&amp;""""</f>
        <v>#REF!</v>
      </c>
      <c r="QPZ28" s="234" t="e">
        <f>astrogrep_path&amp;" /e /r /s /spath="&amp;search_path&amp;" /stypes=""app*"&amp;QOV28&amp;"*"&amp;TEXT(QPC28-utc_offset/24,"YYYYMMDD")&amp;"*"" /stext="" "&amp;TEXT(QPC28-utc_offset/24,"HH")&amp;search_regexp&amp;""""</f>
        <v>#REF!</v>
      </c>
      <c r="QQA28" s="234" t="e">
        <f>astrogrep_path&amp;" /e /r /s /spath="&amp;search_path&amp;" /stypes=""app*"&amp;QOW28&amp;"*"&amp;TEXT(QPD28-utc_offset/24,"YYYYMMDD")&amp;"*"" /stext="" "&amp;TEXT(QPD28-utc_offset/24,"HH")&amp;search_regexp&amp;""""</f>
        <v>#REF!</v>
      </c>
      <c r="QQB28" s="234" t="e">
        <f>astrogrep_path&amp;" /e /r /s /spath="&amp;search_path&amp;" /stypes=""app*"&amp;QOX28&amp;"*"&amp;TEXT(QPE28-utc_offset/24,"YYYYMMDD")&amp;"*"" /stext="" "&amp;TEXT(QPE28-utc_offset/24,"HH")&amp;search_regexp&amp;""""</f>
        <v>#REF!</v>
      </c>
      <c r="QQC28" s="234" t="e">
        <f>astrogrep_path&amp;" /e /r /s /spath="&amp;search_path&amp;" /stypes=""app*"&amp;QOY28&amp;"*"&amp;TEXT(QPF28-utc_offset/24,"YYYYMMDD")&amp;"*"" /stext="" "&amp;TEXT(QPF28-utc_offset/24,"HH")&amp;search_regexp&amp;""""</f>
        <v>#REF!</v>
      </c>
      <c r="QQD28" s="234" t="e">
        <f>astrogrep_path&amp;" /e /r /s /spath="&amp;search_path&amp;" /stypes=""app*"&amp;QOZ28&amp;"*"&amp;TEXT(QPG28-utc_offset/24,"YYYYMMDD")&amp;"*"" /stext="" "&amp;TEXT(QPG28-utc_offset/24,"HH")&amp;search_regexp&amp;""""</f>
        <v>#REF!</v>
      </c>
      <c r="QQE28" s="234" t="e">
        <f>astrogrep_path&amp;" /e /r /s /spath="&amp;search_path&amp;" /stypes=""app*"&amp;QPA28&amp;"*"&amp;TEXT(QPH28-utc_offset/24,"YYYYMMDD")&amp;"*"" /stext="" "&amp;TEXT(QPH28-utc_offset/24,"HH")&amp;search_regexp&amp;""""</f>
        <v>#REF!</v>
      </c>
      <c r="QQF28" s="234" t="e">
        <f>astrogrep_path&amp;" /e /r /s /spath="&amp;search_path&amp;" /stypes=""app*"&amp;QPB28&amp;"*"&amp;TEXT(QPI28-utc_offset/24,"YYYYMMDD")&amp;"*"" /stext="" "&amp;TEXT(QPI28-utc_offset/24,"HH")&amp;search_regexp&amp;""""</f>
        <v>#REF!</v>
      </c>
      <c r="QQG28" s="234" t="e">
        <f>astrogrep_path&amp;" /e /r /s /spath="&amp;search_path&amp;" /stypes=""app*"&amp;QPC28&amp;"*"&amp;TEXT(QPJ28-utc_offset/24,"YYYYMMDD")&amp;"*"" /stext="" "&amp;TEXT(QPJ28-utc_offset/24,"HH")&amp;search_regexp&amp;""""</f>
        <v>#VALUE!</v>
      </c>
      <c r="QQH28" s="234" t="e">
        <f>astrogrep_path&amp;" /e /r /s /spath="&amp;search_path&amp;" /stypes=""app*"&amp;QPD28&amp;"*"&amp;TEXT(QPK28-utc_offset/24,"YYYYMMDD")&amp;"*"" /stext="" "&amp;TEXT(QPK28-utc_offset/24,"HH")&amp;search_regexp&amp;""""</f>
        <v>#VALUE!</v>
      </c>
      <c r="QQI28" s="234" t="e">
        <f>astrogrep_path&amp;" /e /r /s /spath="&amp;search_path&amp;" /stypes=""app*"&amp;QPE28&amp;"*"&amp;TEXT(QPL28-utc_offset/24,"YYYYMMDD")&amp;"*"" /stext="" "&amp;TEXT(QPL28-utc_offset/24,"HH")&amp;search_regexp&amp;""""</f>
        <v>#REF!</v>
      </c>
      <c r="QQJ28" s="234" t="e">
        <f>astrogrep_path&amp;" /e /r /s /spath="&amp;search_path&amp;" /stypes=""app*"&amp;QPF28&amp;"*"&amp;TEXT(QPM28-utc_offset/24,"YYYYMMDD")&amp;"*"" /stext="" "&amp;TEXT(QPM28-utc_offset/24,"HH")&amp;search_regexp&amp;""""</f>
        <v>#REF!</v>
      </c>
      <c r="QQK28" s="234" t="e">
        <f>astrogrep_path&amp;" /e /r /s /spath="&amp;search_path&amp;" /stypes=""app*"&amp;QPG28&amp;"*"&amp;TEXT(QPN28-utc_offset/24,"YYYYMMDD")&amp;"*"" /stext="" "&amp;TEXT(QPN28-utc_offset/24,"HH")&amp;search_regexp&amp;""""</f>
        <v>#VALUE!</v>
      </c>
      <c r="QQL28" s="234" t="e">
        <f>astrogrep_path&amp;" /e /r /s /spath="&amp;search_path&amp;" /stypes=""app*"&amp;QPH28&amp;"*"&amp;TEXT(QPO28-utc_offset/24,"YYYYMMDD")&amp;"*"" /stext="" "&amp;TEXT(QPO28-utc_offset/24,"HH")&amp;search_regexp&amp;""""</f>
        <v>#VALUE!</v>
      </c>
      <c r="QQM28" s="234" t="e">
        <f>astrogrep_path&amp;" /e /r /s /spath="&amp;search_path&amp;" /stypes=""app*"&amp;QPI28&amp;"*"&amp;TEXT(QPP28-utc_offset/24,"YYYYMMDD")&amp;"*"" /stext="" "&amp;TEXT(QPP28-utc_offset/24,"HH")&amp;search_regexp&amp;""""</f>
        <v>#VALUE!</v>
      </c>
      <c r="QQN28" s="234" t="e">
        <f>astrogrep_path&amp;" /e /r /s /spath="&amp;search_path&amp;" /stypes=""app*"&amp;QPJ28&amp;"*"&amp;TEXT(QPQ28-utc_offset/24,"YYYYMMDD")&amp;"*"" /stext="" "&amp;TEXT(QPQ28-utc_offset/24,"HH")&amp;search_regexp&amp;""""</f>
        <v>#VALUE!</v>
      </c>
      <c r="QQO28" s="234" t="e">
        <f>astrogrep_path&amp;" /e /r /s /spath="&amp;search_path&amp;" /stypes=""app*"&amp;QPK28&amp;"*"&amp;TEXT(QPR28-utc_offset/24,"YYYYMMDD")&amp;"*"" /stext="" "&amp;TEXT(QPR28-utc_offset/24,"HH")&amp;search_regexp&amp;""""</f>
        <v>#VALUE!</v>
      </c>
      <c r="QQP28" s="234" t="e">
        <f>astrogrep_path&amp;" /e /r /s /spath="&amp;search_path&amp;" /stypes=""app*"&amp;QPL28&amp;"*"&amp;TEXT(QPS28-utc_offset/24,"YYYYMMDD")&amp;"*"" /stext="" "&amp;TEXT(QPS28-utc_offset/24,"HH")&amp;search_regexp&amp;""""</f>
        <v>#REF!</v>
      </c>
      <c r="QQQ28" s="234" t="e">
        <f>astrogrep_path&amp;" /e /r /s /spath="&amp;search_path&amp;" /stypes=""app*"&amp;QPM28&amp;"*"&amp;TEXT(QPT28-utc_offset/24,"YYYYMMDD")&amp;"*"" /stext="" "&amp;TEXT(QPT28-utc_offset/24,"HH")&amp;search_regexp&amp;""""</f>
        <v>#REF!</v>
      </c>
      <c r="QQR28" s="234" t="e">
        <f>astrogrep_path&amp;" /e /r /s /spath="&amp;search_path&amp;" /stypes=""app*"&amp;QPN28&amp;"*"&amp;TEXT(QPU28-utc_offset/24,"YYYYMMDD")&amp;"*"" /stext="" "&amp;TEXT(QPU28-utc_offset/24,"HH")&amp;search_regexp&amp;""""</f>
        <v>#REF!</v>
      </c>
      <c r="QQS28" s="234" t="e">
        <f>astrogrep_path&amp;" /e /r /s /spath="&amp;search_path&amp;" /stypes=""app*"&amp;QPO28&amp;"*"&amp;TEXT(QPV28-utc_offset/24,"YYYYMMDD")&amp;"*"" /stext="" "&amp;TEXT(QPV28-utc_offset/24,"HH")&amp;search_regexp&amp;""""</f>
        <v>#REF!</v>
      </c>
      <c r="QQT28" s="234" t="e">
        <f>astrogrep_path&amp;" /e /r /s /spath="&amp;search_path&amp;" /stypes=""app*"&amp;QPP28&amp;"*"&amp;TEXT(QPW28-utc_offset/24,"YYYYMMDD")&amp;"*"" /stext="" "&amp;TEXT(QPW28-utc_offset/24,"HH")&amp;search_regexp&amp;""""</f>
        <v>#REF!</v>
      </c>
      <c r="QQU28" s="234" t="e">
        <f>astrogrep_path&amp;" /e /r /s /spath="&amp;search_path&amp;" /stypes=""app*"&amp;QPQ28&amp;"*"&amp;TEXT(QPX28-utc_offset/24,"YYYYMMDD")&amp;"*"" /stext="" "&amp;TEXT(QPX28-utc_offset/24,"HH")&amp;search_regexp&amp;""""</f>
        <v>#REF!</v>
      </c>
      <c r="QQV28" s="234" t="e">
        <f>astrogrep_path&amp;" /e /r /s /spath="&amp;search_path&amp;" /stypes=""app*"&amp;QPR28&amp;"*"&amp;TEXT(QPY28-utc_offset/24,"YYYYMMDD")&amp;"*"" /stext="" "&amp;TEXT(QPY28-utc_offset/24,"HH")&amp;search_regexp&amp;""""</f>
        <v>#REF!</v>
      </c>
      <c r="QQW28" s="234" t="e">
        <f>astrogrep_path&amp;" /e /r /s /spath="&amp;search_path&amp;" /stypes=""app*"&amp;QPS28&amp;"*"&amp;TEXT(QPZ28-utc_offset/24,"YYYYMMDD")&amp;"*"" /stext="" "&amp;TEXT(QPZ28-utc_offset/24,"HH")&amp;search_regexp&amp;""""</f>
        <v>#REF!</v>
      </c>
      <c r="QQX28" s="234" t="e">
        <f>astrogrep_path&amp;" /e /r /s /spath="&amp;search_path&amp;" /stypes=""app*"&amp;QPT28&amp;"*"&amp;TEXT(QQA28-utc_offset/24,"YYYYMMDD")&amp;"*"" /stext="" "&amp;TEXT(QQA28-utc_offset/24,"HH")&amp;search_regexp&amp;""""</f>
        <v>#REF!</v>
      </c>
      <c r="QQY28" s="234" t="e">
        <f>astrogrep_path&amp;" /e /r /s /spath="&amp;search_path&amp;" /stypes=""app*"&amp;QPU28&amp;"*"&amp;TEXT(QQB28-utc_offset/24,"YYYYMMDD")&amp;"*"" /stext="" "&amp;TEXT(QQB28-utc_offset/24,"HH")&amp;search_regexp&amp;""""</f>
        <v>#REF!</v>
      </c>
      <c r="QQZ28" s="234" t="e">
        <f>astrogrep_path&amp;" /e /r /s /spath="&amp;search_path&amp;" /stypes=""app*"&amp;QPV28&amp;"*"&amp;TEXT(QQC28-utc_offset/24,"YYYYMMDD")&amp;"*"" /stext="" "&amp;TEXT(QQC28-utc_offset/24,"HH")&amp;search_regexp&amp;""""</f>
        <v>#REF!</v>
      </c>
      <c r="QRA28" s="234" t="e">
        <f>astrogrep_path&amp;" /e /r /s /spath="&amp;search_path&amp;" /stypes=""app*"&amp;QPW28&amp;"*"&amp;TEXT(QQD28-utc_offset/24,"YYYYMMDD")&amp;"*"" /stext="" "&amp;TEXT(QQD28-utc_offset/24,"HH")&amp;search_regexp&amp;""""</f>
        <v>#REF!</v>
      </c>
      <c r="QRB28" s="234" t="e">
        <f>astrogrep_path&amp;" /e /r /s /spath="&amp;search_path&amp;" /stypes=""app*"&amp;QPX28&amp;"*"&amp;TEXT(QQE28-utc_offset/24,"YYYYMMDD")&amp;"*"" /stext="" "&amp;TEXT(QQE28-utc_offset/24,"HH")&amp;search_regexp&amp;""""</f>
        <v>#REF!</v>
      </c>
      <c r="QRC28" s="234" t="e">
        <f>astrogrep_path&amp;" /e /r /s /spath="&amp;search_path&amp;" /stypes=""app*"&amp;QPY28&amp;"*"&amp;TEXT(QQF28-utc_offset/24,"YYYYMMDD")&amp;"*"" /stext="" "&amp;TEXT(QQF28-utc_offset/24,"HH")&amp;search_regexp&amp;""""</f>
        <v>#REF!</v>
      </c>
      <c r="QRD28" s="234" t="e">
        <f>astrogrep_path&amp;" /e /r /s /spath="&amp;search_path&amp;" /stypes=""app*"&amp;QPZ28&amp;"*"&amp;TEXT(QQG28-utc_offset/24,"YYYYMMDD")&amp;"*"" /stext="" "&amp;TEXT(QQG28-utc_offset/24,"HH")&amp;search_regexp&amp;""""</f>
        <v>#REF!</v>
      </c>
      <c r="QRE28" s="234" t="e">
        <f>astrogrep_path&amp;" /e /r /s /spath="&amp;search_path&amp;" /stypes=""app*"&amp;QQA28&amp;"*"&amp;TEXT(QQH28-utc_offset/24,"YYYYMMDD")&amp;"*"" /stext="" "&amp;TEXT(QQH28-utc_offset/24,"HH")&amp;search_regexp&amp;""""</f>
        <v>#REF!</v>
      </c>
      <c r="QRF28" s="234" t="e">
        <f>astrogrep_path&amp;" /e /r /s /spath="&amp;search_path&amp;" /stypes=""app*"&amp;QQB28&amp;"*"&amp;TEXT(QQI28-utc_offset/24,"YYYYMMDD")&amp;"*"" /stext="" "&amp;TEXT(QQI28-utc_offset/24,"HH")&amp;search_regexp&amp;""""</f>
        <v>#REF!</v>
      </c>
      <c r="QRG28" s="234" t="e">
        <f>astrogrep_path&amp;" /e /r /s /spath="&amp;search_path&amp;" /stypes=""app*"&amp;QQC28&amp;"*"&amp;TEXT(QQJ28-utc_offset/24,"YYYYMMDD")&amp;"*"" /stext="" "&amp;TEXT(QQJ28-utc_offset/24,"HH")&amp;search_regexp&amp;""""</f>
        <v>#REF!</v>
      </c>
      <c r="QRH28" s="234" t="e">
        <f>astrogrep_path&amp;" /e /r /s /spath="&amp;search_path&amp;" /stypes=""app*"&amp;QQD28&amp;"*"&amp;TEXT(QQK28-utc_offset/24,"YYYYMMDD")&amp;"*"" /stext="" "&amp;TEXT(QQK28-utc_offset/24,"HH")&amp;search_regexp&amp;""""</f>
        <v>#REF!</v>
      </c>
      <c r="QRI28" s="234" t="e">
        <f>astrogrep_path&amp;" /e /r /s /spath="&amp;search_path&amp;" /stypes=""app*"&amp;QQE28&amp;"*"&amp;TEXT(QQL28-utc_offset/24,"YYYYMMDD")&amp;"*"" /stext="" "&amp;TEXT(QQL28-utc_offset/24,"HH")&amp;search_regexp&amp;""""</f>
        <v>#REF!</v>
      </c>
      <c r="QRJ28" s="234" t="e">
        <f>astrogrep_path&amp;" /e /r /s /spath="&amp;search_path&amp;" /stypes=""app*"&amp;QQF28&amp;"*"&amp;TEXT(QQM28-utc_offset/24,"YYYYMMDD")&amp;"*"" /stext="" "&amp;TEXT(QQM28-utc_offset/24,"HH")&amp;search_regexp&amp;""""</f>
        <v>#REF!</v>
      </c>
      <c r="QRK28" s="234" t="e">
        <f>astrogrep_path&amp;" /e /r /s /spath="&amp;search_path&amp;" /stypes=""app*"&amp;QQG28&amp;"*"&amp;TEXT(QQN28-utc_offset/24,"YYYYMMDD")&amp;"*"" /stext="" "&amp;TEXT(QQN28-utc_offset/24,"HH")&amp;search_regexp&amp;""""</f>
        <v>#VALUE!</v>
      </c>
      <c r="QRL28" s="234" t="e">
        <f>astrogrep_path&amp;" /e /r /s /spath="&amp;search_path&amp;" /stypes=""app*"&amp;QQH28&amp;"*"&amp;TEXT(QQO28-utc_offset/24,"YYYYMMDD")&amp;"*"" /stext="" "&amp;TEXT(QQO28-utc_offset/24,"HH")&amp;search_regexp&amp;""""</f>
        <v>#VALUE!</v>
      </c>
      <c r="QRM28" s="234" t="e">
        <f>astrogrep_path&amp;" /e /r /s /spath="&amp;search_path&amp;" /stypes=""app*"&amp;QQI28&amp;"*"&amp;TEXT(QQP28-utc_offset/24,"YYYYMMDD")&amp;"*"" /stext="" "&amp;TEXT(QQP28-utc_offset/24,"HH")&amp;search_regexp&amp;""""</f>
        <v>#REF!</v>
      </c>
      <c r="QRN28" s="234" t="e">
        <f>astrogrep_path&amp;" /e /r /s /spath="&amp;search_path&amp;" /stypes=""app*"&amp;QQJ28&amp;"*"&amp;TEXT(QQQ28-utc_offset/24,"YYYYMMDD")&amp;"*"" /stext="" "&amp;TEXT(QQQ28-utc_offset/24,"HH")&amp;search_regexp&amp;""""</f>
        <v>#REF!</v>
      </c>
      <c r="QRO28" s="234" t="e">
        <f>astrogrep_path&amp;" /e /r /s /spath="&amp;search_path&amp;" /stypes=""app*"&amp;QQK28&amp;"*"&amp;TEXT(QQR28-utc_offset/24,"YYYYMMDD")&amp;"*"" /stext="" "&amp;TEXT(QQR28-utc_offset/24,"HH")&amp;search_regexp&amp;""""</f>
        <v>#VALUE!</v>
      </c>
      <c r="QRP28" s="234" t="e">
        <f>astrogrep_path&amp;" /e /r /s /spath="&amp;search_path&amp;" /stypes=""app*"&amp;QQL28&amp;"*"&amp;TEXT(QQS28-utc_offset/24,"YYYYMMDD")&amp;"*"" /stext="" "&amp;TEXT(QQS28-utc_offset/24,"HH")&amp;search_regexp&amp;""""</f>
        <v>#VALUE!</v>
      </c>
      <c r="QRQ28" s="234" t="e">
        <f>astrogrep_path&amp;" /e /r /s /spath="&amp;search_path&amp;" /stypes=""app*"&amp;QQM28&amp;"*"&amp;TEXT(QQT28-utc_offset/24,"YYYYMMDD")&amp;"*"" /stext="" "&amp;TEXT(QQT28-utc_offset/24,"HH")&amp;search_regexp&amp;""""</f>
        <v>#VALUE!</v>
      </c>
      <c r="QRR28" s="234" t="e">
        <f>astrogrep_path&amp;" /e /r /s /spath="&amp;search_path&amp;" /stypes=""app*"&amp;QQN28&amp;"*"&amp;TEXT(QQU28-utc_offset/24,"YYYYMMDD")&amp;"*"" /stext="" "&amp;TEXT(QQU28-utc_offset/24,"HH")&amp;search_regexp&amp;""""</f>
        <v>#VALUE!</v>
      </c>
      <c r="QRS28" s="234" t="e">
        <f>astrogrep_path&amp;" /e /r /s /spath="&amp;search_path&amp;" /stypes=""app*"&amp;QQO28&amp;"*"&amp;TEXT(QQV28-utc_offset/24,"YYYYMMDD")&amp;"*"" /stext="" "&amp;TEXT(QQV28-utc_offset/24,"HH")&amp;search_regexp&amp;""""</f>
        <v>#VALUE!</v>
      </c>
      <c r="QRT28" s="234" t="e">
        <f>astrogrep_path&amp;" /e /r /s /spath="&amp;search_path&amp;" /stypes=""app*"&amp;QQP28&amp;"*"&amp;TEXT(QQW28-utc_offset/24,"YYYYMMDD")&amp;"*"" /stext="" "&amp;TEXT(QQW28-utc_offset/24,"HH")&amp;search_regexp&amp;""""</f>
        <v>#REF!</v>
      </c>
      <c r="QRU28" s="234" t="e">
        <f>astrogrep_path&amp;" /e /r /s /spath="&amp;search_path&amp;" /stypes=""app*"&amp;QQQ28&amp;"*"&amp;TEXT(QQX28-utc_offset/24,"YYYYMMDD")&amp;"*"" /stext="" "&amp;TEXT(QQX28-utc_offset/24,"HH")&amp;search_regexp&amp;""""</f>
        <v>#REF!</v>
      </c>
      <c r="QRV28" s="234" t="e">
        <f>astrogrep_path&amp;" /e /r /s /spath="&amp;search_path&amp;" /stypes=""app*"&amp;QQR28&amp;"*"&amp;TEXT(QQY28-utc_offset/24,"YYYYMMDD")&amp;"*"" /stext="" "&amp;TEXT(QQY28-utc_offset/24,"HH")&amp;search_regexp&amp;""""</f>
        <v>#REF!</v>
      </c>
      <c r="QRW28" s="234" t="e">
        <f>astrogrep_path&amp;" /e /r /s /spath="&amp;search_path&amp;" /stypes=""app*"&amp;QQS28&amp;"*"&amp;TEXT(QQZ28-utc_offset/24,"YYYYMMDD")&amp;"*"" /stext="" "&amp;TEXT(QQZ28-utc_offset/24,"HH")&amp;search_regexp&amp;""""</f>
        <v>#REF!</v>
      </c>
      <c r="QRX28" s="234" t="e">
        <f>astrogrep_path&amp;" /e /r /s /spath="&amp;search_path&amp;" /stypes=""app*"&amp;QQT28&amp;"*"&amp;TEXT(QRA28-utc_offset/24,"YYYYMMDD")&amp;"*"" /stext="" "&amp;TEXT(QRA28-utc_offset/24,"HH")&amp;search_regexp&amp;""""</f>
        <v>#REF!</v>
      </c>
      <c r="QRY28" s="234" t="e">
        <f>astrogrep_path&amp;" /e /r /s /spath="&amp;search_path&amp;" /stypes=""app*"&amp;QQU28&amp;"*"&amp;TEXT(QRB28-utc_offset/24,"YYYYMMDD")&amp;"*"" /stext="" "&amp;TEXT(QRB28-utc_offset/24,"HH")&amp;search_regexp&amp;""""</f>
        <v>#REF!</v>
      </c>
      <c r="QRZ28" s="234" t="e">
        <f>astrogrep_path&amp;" /e /r /s /spath="&amp;search_path&amp;" /stypes=""app*"&amp;QQV28&amp;"*"&amp;TEXT(QRC28-utc_offset/24,"YYYYMMDD")&amp;"*"" /stext="" "&amp;TEXT(QRC28-utc_offset/24,"HH")&amp;search_regexp&amp;""""</f>
        <v>#REF!</v>
      </c>
      <c r="QSA28" s="234" t="e">
        <f>astrogrep_path&amp;" /e /r /s /spath="&amp;search_path&amp;" /stypes=""app*"&amp;QQW28&amp;"*"&amp;TEXT(QRD28-utc_offset/24,"YYYYMMDD")&amp;"*"" /stext="" "&amp;TEXT(QRD28-utc_offset/24,"HH")&amp;search_regexp&amp;""""</f>
        <v>#REF!</v>
      </c>
      <c r="QSB28" s="234" t="e">
        <f>astrogrep_path&amp;" /e /r /s /spath="&amp;search_path&amp;" /stypes=""app*"&amp;QQX28&amp;"*"&amp;TEXT(QRE28-utc_offset/24,"YYYYMMDD")&amp;"*"" /stext="" "&amp;TEXT(QRE28-utc_offset/24,"HH")&amp;search_regexp&amp;""""</f>
        <v>#REF!</v>
      </c>
      <c r="QSC28" s="234" t="e">
        <f>astrogrep_path&amp;" /e /r /s /spath="&amp;search_path&amp;" /stypes=""app*"&amp;QQY28&amp;"*"&amp;TEXT(QRF28-utc_offset/24,"YYYYMMDD")&amp;"*"" /stext="" "&amp;TEXT(QRF28-utc_offset/24,"HH")&amp;search_regexp&amp;""""</f>
        <v>#REF!</v>
      </c>
      <c r="QSD28" s="234" t="e">
        <f>astrogrep_path&amp;" /e /r /s /spath="&amp;search_path&amp;" /stypes=""app*"&amp;QQZ28&amp;"*"&amp;TEXT(QRG28-utc_offset/24,"YYYYMMDD")&amp;"*"" /stext="" "&amp;TEXT(QRG28-utc_offset/24,"HH")&amp;search_regexp&amp;""""</f>
        <v>#REF!</v>
      </c>
      <c r="QSE28" s="234" t="e">
        <f>astrogrep_path&amp;" /e /r /s /spath="&amp;search_path&amp;" /stypes=""app*"&amp;QRA28&amp;"*"&amp;TEXT(QRH28-utc_offset/24,"YYYYMMDD")&amp;"*"" /stext="" "&amp;TEXT(QRH28-utc_offset/24,"HH")&amp;search_regexp&amp;""""</f>
        <v>#REF!</v>
      </c>
      <c r="QSF28" s="234" t="e">
        <f>astrogrep_path&amp;" /e /r /s /spath="&amp;search_path&amp;" /stypes=""app*"&amp;QRB28&amp;"*"&amp;TEXT(QRI28-utc_offset/24,"YYYYMMDD")&amp;"*"" /stext="" "&amp;TEXT(QRI28-utc_offset/24,"HH")&amp;search_regexp&amp;""""</f>
        <v>#REF!</v>
      </c>
      <c r="QSG28" s="234" t="e">
        <f>astrogrep_path&amp;" /e /r /s /spath="&amp;search_path&amp;" /stypes=""app*"&amp;QRC28&amp;"*"&amp;TEXT(QRJ28-utc_offset/24,"YYYYMMDD")&amp;"*"" /stext="" "&amp;TEXT(QRJ28-utc_offset/24,"HH")&amp;search_regexp&amp;""""</f>
        <v>#REF!</v>
      </c>
      <c r="QSH28" s="234" t="e">
        <f>astrogrep_path&amp;" /e /r /s /spath="&amp;search_path&amp;" /stypes=""app*"&amp;QRD28&amp;"*"&amp;TEXT(QRK28-utc_offset/24,"YYYYMMDD")&amp;"*"" /stext="" "&amp;TEXT(QRK28-utc_offset/24,"HH")&amp;search_regexp&amp;""""</f>
        <v>#REF!</v>
      </c>
      <c r="QSI28" s="234" t="e">
        <f>astrogrep_path&amp;" /e /r /s /spath="&amp;search_path&amp;" /stypes=""app*"&amp;QRE28&amp;"*"&amp;TEXT(QRL28-utc_offset/24,"YYYYMMDD")&amp;"*"" /stext="" "&amp;TEXT(QRL28-utc_offset/24,"HH")&amp;search_regexp&amp;""""</f>
        <v>#REF!</v>
      </c>
      <c r="QSJ28" s="234" t="e">
        <f>astrogrep_path&amp;" /e /r /s /spath="&amp;search_path&amp;" /stypes=""app*"&amp;QRF28&amp;"*"&amp;TEXT(QRM28-utc_offset/24,"YYYYMMDD")&amp;"*"" /stext="" "&amp;TEXT(QRM28-utc_offset/24,"HH")&amp;search_regexp&amp;""""</f>
        <v>#REF!</v>
      </c>
      <c r="QSK28" s="234" t="e">
        <f>astrogrep_path&amp;" /e /r /s /spath="&amp;search_path&amp;" /stypes=""app*"&amp;QRG28&amp;"*"&amp;TEXT(QRN28-utc_offset/24,"YYYYMMDD")&amp;"*"" /stext="" "&amp;TEXT(QRN28-utc_offset/24,"HH")&amp;search_regexp&amp;""""</f>
        <v>#REF!</v>
      </c>
      <c r="QSL28" s="234" t="e">
        <f>astrogrep_path&amp;" /e /r /s /spath="&amp;search_path&amp;" /stypes=""app*"&amp;QRH28&amp;"*"&amp;TEXT(QRO28-utc_offset/24,"YYYYMMDD")&amp;"*"" /stext="" "&amp;TEXT(QRO28-utc_offset/24,"HH")&amp;search_regexp&amp;""""</f>
        <v>#REF!</v>
      </c>
      <c r="QSM28" s="234" t="e">
        <f>astrogrep_path&amp;" /e /r /s /spath="&amp;search_path&amp;" /stypes=""app*"&amp;QRI28&amp;"*"&amp;TEXT(QRP28-utc_offset/24,"YYYYMMDD")&amp;"*"" /stext="" "&amp;TEXT(QRP28-utc_offset/24,"HH")&amp;search_regexp&amp;""""</f>
        <v>#REF!</v>
      </c>
      <c r="QSN28" s="234" t="e">
        <f>astrogrep_path&amp;" /e /r /s /spath="&amp;search_path&amp;" /stypes=""app*"&amp;QRJ28&amp;"*"&amp;TEXT(QRQ28-utc_offset/24,"YYYYMMDD")&amp;"*"" /stext="" "&amp;TEXT(QRQ28-utc_offset/24,"HH")&amp;search_regexp&amp;""""</f>
        <v>#REF!</v>
      </c>
      <c r="QSO28" s="234" t="e">
        <f>astrogrep_path&amp;" /e /r /s /spath="&amp;search_path&amp;" /stypes=""app*"&amp;QRK28&amp;"*"&amp;TEXT(QRR28-utc_offset/24,"YYYYMMDD")&amp;"*"" /stext="" "&amp;TEXT(QRR28-utc_offset/24,"HH")&amp;search_regexp&amp;""""</f>
        <v>#VALUE!</v>
      </c>
      <c r="QSP28" s="234" t="e">
        <f>astrogrep_path&amp;" /e /r /s /spath="&amp;search_path&amp;" /stypes=""app*"&amp;QRL28&amp;"*"&amp;TEXT(QRS28-utc_offset/24,"YYYYMMDD")&amp;"*"" /stext="" "&amp;TEXT(QRS28-utc_offset/24,"HH")&amp;search_regexp&amp;""""</f>
        <v>#VALUE!</v>
      </c>
      <c r="QSQ28" s="234" t="e">
        <f>astrogrep_path&amp;" /e /r /s /spath="&amp;search_path&amp;" /stypes=""app*"&amp;QRM28&amp;"*"&amp;TEXT(QRT28-utc_offset/24,"YYYYMMDD")&amp;"*"" /stext="" "&amp;TEXT(QRT28-utc_offset/24,"HH")&amp;search_regexp&amp;""""</f>
        <v>#REF!</v>
      </c>
      <c r="QSR28" s="234" t="e">
        <f>astrogrep_path&amp;" /e /r /s /spath="&amp;search_path&amp;" /stypes=""app*"&amp;QRN28&amp;"*"&amp;TEXT(QRU28-utc_offset/24,"YYYYMMDD")&amp;"*"" /stext="" "&amp;TEXT(QRU28-utc_offset/24,"HH")&amp;search_regexp&amp;""""</f>
        <v>#REF!</v>
      </c>
      <c r="QSS28" s="234" t="e">
        <f>astrogrep_path&amp;" /e /r /s /spath="&amp;search_path&amp;" /stypes=""app*"&amp;QRO28&amp;"*"&amp;TEXT(QRV28-utc_offset/24,"YYYYMMDD")&amp;"*"" /stext="" "&amp;TEXT(QRV28-utc_offset/24,"HH")&amp;search_regexp&amp;""""</f>
        <v>#VALUE!</v>
      </c>
      <c r="QST28" s="234" t="e">
        <f>astrogrep_path&amp;" /e /r /s /spath="&amp;search_path&amp;" /stypes=""app*"&amp;QRP28&amp;"*"&amp;TEXT(QRW28-utc_offset/24,"YYYYMMDD")&amp;"*"" /stext="" "&amp;TEXT(QRW28-utc_offset/24,"HH")&amp;search_regexp&amp;""""</f>
        <v>#VALUE!</v>
      </c>
      <c r="QSU28" s="234" t="e">
        <f>astrogrep_path&amp;" /e /r /s /spath="&amp;search_path&amp;" /stypes=""app*"&amp;QRQ28&amp;"*"&amp;TEXT(QRX28-utc_offset/24,"YYYYMMDD")&amp;"*"" /stext="" "&amp;TEXT(QRX28-utc_offset/24,"HH")&amp;search_regexp&amp;""""</f>
        <v>#VALUE!</v>
      </c>
      <c r="QSV28" s="234" t="e">
        <f>astrogrep_path&amp;" /e /r /s /spath="&amp;search_path&amp;" /stypes=""app*"&amp;QRR28&amp;"*"&amp;TEXT(QRY28-utc_offset/24,"YYYYMMDD")&amp;"*"" /stext="" "&amp;TEXT(QRY28-utc_offset/24,"HH")&amp;search_regexp&amp;""""</f>
        <v>#VALUE!</v>
      </c>
      <c r="QSW28" s="234" t="e">
        <f>astrogrep_path&amp;" /e /r /s /spath="&amp;search_path&amp;" /stypes=""app*"&amp;QRS28&amp;"*"&amp;TEXT(QRZ28-utc_offset/24,"YYYYMMDD")&amp;"*"" /stext="" "&amp;TEXT(QRZ28-utc_offset/24,"HH")&amp;search_regexp&amp;""""</f>
        <v>#VALUE!</v>
      </c>
      <c r="QSX28" s="234" t="e">
        <f>astrogrep_path&amp;" /e /r /s /spath="&amp;search_path&amp;" /stypes=""app*"&amp;QRT28&amp;"*"&amp;TEXT(QSA28-utc_offset/24,"YYYYMMDD")&amp;"*"" /stext="" "&amp;TEXT(QSA28-utc_offset/24,"HH")&amp;search_regexp&amp;""""</f>
        <v>#REF!</v>
      </c>
      <c r="QSY28" s="234" t="e">
        <f>astrogrep_path&amp;" /e /r /s /spath="&amp;search_path&amp;" /stypes=""app*"&amp;QRU28&amp;"*"&amp;TEXT(QSB28-utc_offset/24,"YYYYMMDD")&amp;"*"" /stext="" "&amp;TEXT(QSB28-utc_offset/24,"HH")&amp;search_regexp&amp;""""</f>
        <v>#REF!</v>
      </c>
      <c r="QSZ28" s="234" t="e">
        <f>astrogrep_path&amp;" /e /r /s /spath="&amp;search_path&amp;" /stypes=""app*"&amp;QRV28&amp;"*"&amp;TEXT(QSC28-utc_offset/24,"YYYYMMDD")&amp;"*"" /stext="" "&amp;TEXT(QSC28-utc_offset/24,"HH")&amp;search_regexp&amp;""""</f>
        <v>#REF!</v>
      </c>
      <c r="QTA28" s="234" t="e">
        <f>astrogrep_path&amp;" /e /r /s /spath="&amp;search_path&amp;" /stypes=""app*"&amp;QRW28&amp;"*"&amp;TEXT(QSD28-utc_offset/24,"YYYYMMDD")&amp;"*"" /stext="" "&amp;TEXT(QSD28-utc_offset/24,"HH")&amp;search_regexp&amp;""""</f>
        <v>#REF!</v>
      </c>
      <c r="QTB28" s="234" t="e">
        <f>astrogrep_path&amp;" /e /r /s /spath="&amp;search_path&amp;" /stypes=""app*"&amp;QRX28&amp;"*"&amp;TEXT(QSE28-utc_offset/24,"YYYYMMDD")&amp;"*"" /stext="" "&amp;TEXT(QSE28-utc_offset/24,"HH")&amp;search_regexp&amp;""""</f>
        <v>#REF!</v>
      </c>
      <c r="QTC28" s="234" t="e">
        <f>astrogrep_path&amp;" /e /r /s /spath="&amp;search_path&amp;" /stypes=""app*"&amp;QRY28&amp;"*"&amp;TEXT(QSF28-utc_offset/24,"YYYYMMDD")&amp;"*"" /stext="" "&amp;TEXT(QSF28-utc_offset/24,"HH")&amp;search_regexp&amp;""""</f>
        <v>#REF!</v>
      </c>
      <c r="QTD28" s="234" t="e">
        <f>astrogrep_path&amp;" /e /r /s /spath="&amp;search_path&amp;" /stypes=""app*"&amp;QRZ28&amp;"*"&amp;TEXT(QSG28-utc_offset/24,"YYYYMMDD")&amp;"*"" /stext="" "&amp;TEXT(QSG28-utc_offset/24,"HH")&amp;search_regexp&amp;""""</f>
        <v>#REF!</v>
      </c>
      <c r="QTE28" s="234" t="e">
        <f>astrogrep_path&amp;" /e /r /s /spath="&amp;search_path&amp;" /stypes=""app*"&amp;QSA28&amp;"*"&amp;TEXT(QSH28-utc_offset/24,"YYYYMMDD")&amp;"*"" /stext="" "&amp;TEXT(QSH28-utc_offset/24,"HH")&amp;search_regexp&amp;""""</f>
        <v>#REF!</v>
      </c>
      <c r="QTF28" s="234" t="e">
        <f>astrogrep_path&amp;" /e /r /s /spath="&amp;search_path&amp;" /stypes=""app*"&amp;QSB28&amp;"*"&amp;TEXT(QSI28-utc_offset/24,"YYYYMMDD")&amp;"*"" /stext="" "&amp;TEXT(QSI28-utc_offset/24,"HH")&amp;search_regexp&amp;""""</f>
        <v>#REF!</v>
      </c>
      <c r="QTG28" s="234" t="e">
        <f>astrogrep_path&amp;" /e /r /s /spath="&amp;search_path&amp;" /stypes=""app*"&amp;QSC28&amp;"*"&amp;TEXT(QSJ28-utc_offset/24,"YYYYMMDD")&amp;"*"" /stext="" "&amp;TEXT(QSJ28-utc_offset/24,"HH")&amp;search_regexp&amp;""""</f>
        <v>#REF!</v>
      </c>
      <c r="QTH28" s="234" t="e">
        <f>astrogrep_path&amp;" /e /r /s /spath="&amp;search_path&amp;" /stypes=""app*"&amp;QSD28&amp;"*"&amp;TEXT(QSK28-utc_offset/24,"YYYYMMDD")&amp;"*"" /stext="" "&amp;TEXT(QSK28-utc_offset/24,"HH")&amp;search_regexp&amp;""""</f>
        <v>#REF!</v>
      </c>
      <c r="QTI28" s="234" t="e">
        <f>astrogrep_path&amp;" /e /r /s /spath="&amp;search_path&amp;" /stypes=""app*"&amp;QSE28&amp;"*"&amp;TEXT(QSL28-utc_offset/24,"YYYYMMDD")&amp;"*"" /stext="" "&amp;TEXT(QSL28-utc_offset/24,"HH")&amp;search_regexp&amp;""""</f>
        <v>#REF!</v>
      </c>
      <c r="QTJ28" s="234" t="e">
        <f>astrogrep_path&amp;" /e /r /s /spath="&amp;search_path&amp;" /stypes=""app*"&amp;QSF28&amp;"*"&amp;TEXT(QSM28-utc_offset/24,"YYYYMMDD")&amp;"*"" /stext="" "&amp;TEXT(QSM28-utc_offset/24,"HH")&amp;search_regexp&amp;""""</f>
        <v>#REF!</v>
      </c>
      <c r="QTK28" s="234" t="e">
        <f>astrogrep_path&amp;" /e /r /s /spath="&amp;search_path&amp;" /stypes=""app*"&amp;QSG28&amp;"*"&amp;TEXT(QSN28-utc_offset/24,"YYYYMMDD")&amp;"*"" /stext="" "&amp;TEXT(QSN28-utc_offset/24,"HH")&amp;search_regexp&amp;""""</f>
        <v>#REF!</v>
      </c>
      <c r="QTL28" s="234" t="e">
        <f>astrogrep_path&amp;" /e /r /s /spath="&amp;search_path&amp;" /stypes=""app*"&amp;QSH28&amp;"*"&amp;TEXT(QSO28-utc_offset/24,"YYYYMMDD")&amp;"*"" /stext="" "&amp;TEXT(QSO28-utc_offset/24,"HH")&amp;search_regexp&amp;""""</f>
        <v>#REF!</v>
      </c>
      <c r="QTM28" s="234" t="e">
        <f>astrogrep_path&amp;" /e /r /s /spath="&amp;search_path&amp;" /stypes=""app*"&amp;QSI28&amp;"*"&amp;TEXT(QSP28-utc_offset/24,"YYYYMMDD")&amp;"*"" /stext="" "&amp;TEXT(QSP28-utc_offset/24,"HH")&amp;search_regexp&amp;""""</f>
        <v>#REF!</v>
      </c>
      <c r="QTN28" s="234" t="e">
        <f>astrogrep_path&amp;" /e /r /s /spath="&amp;search_path&amp;" /stypes=""app*"&amp;QSJ28&amp;"*"&amp;TEXT(QSQ28-utc_offset/24,"YYYYMMDD")&amp;"*"" /stext="" "&amp;TEXT(QSQ28-utc_offset/24,"HH")&amp;search_regexp&amp;""""</f>
        <v>#REF!</v>
      </c>
      <c r="QTO28" s="234" t="e">
        <f>astrogrep_path&amp;" /e /r /s /spath="&amp;search_path&amp;" /stypes=""app*"&amp;QSK28&amp;"*"&amp;TEXT(QSR28-utc_offset/24,"YYYYMMDD")&amp;"*"" /stext="" "&amp;TEXT(QSR28-utc_offset/24,"HH")&amp;search_regexp&amp;""""</f>
        <v>#REF!</v>
      </c>
      <c r="QTP28" s="234" t="e">
        <f>astrogrep_path&amp;" /e /r /s /spath="&amp;search_path&amp;" /stypes=""app*"&amp;QSL28&amp;"*"&amp;TEXT(QSS28-utc_offset/24,"YYYYMMDD")&amp;"*"" /stext="" "&amp;TEXT(QSS28-utc_offset/24,"HH")&amp;search_regexp&amp;""""</f>
        <v>#REF!</v>
      </c>
      <c r="QTQ28" s="234" t="e">
        <f>astrogrep_path&amp;" /e /r /s /spath="&amp;search_path&amp;" /stypes=""app*"&amp;QSM28&amp;"*"&amp;TEXT(QST28-utc_offset/24,"YYYYMMDD")&amp;"*"" /stext="" "&amp;TEXT(QST28-utc_offset/24,"HH")&amp;search_regexp&amp;""""</f>
        <v>#REF!</v>
      </c>
      <c r="QTR28" s="234" t="e">
        <f>astrogrep_path&amp;" /e /r /s /spath="&amp;search_path&amp;" /stypes=""app*"&amp;QSN28&amp;"*"&amp;TEXT(QSU28-utc_offset/24,"YYYYMMDD")&amp;"*"" /stext="" "&amp;TEXT(QSU28-utc_offset/24,"HH")&amp;search_regexp&amp;""""</f>
        <v>#REF!</v>
      </c>
      <c r="QTS28" s="234" t="e">
        <f>astrogrep_path&amp;" /e /r /s /spath="&amp;search_path&amp;" /stypes=""app*"&amp;QSO28&amp;"*"&amp;TEXT(QSV28-utc_offset/24,"YYYYMMDD")&amp;"*"" /stext="" "&amp;TEXT(QSV28-utc_offset/24,"HH")&amp;search_regexp&amp;""""</f>
        <v>#VALUE!</v>
      </c>
      <c r="QTT28" s="234" t="e">
        <f>astrogrep_path&amp;" /e /r /s /spath="&amp;search_path&amp;" /stypes=""app*"&amp;QSP28&amp;"*"&amp;TEXT(QSW28-utc_offset/24,"YYYYMMDD")&amp;"*"" /stext="" "&amp;TEXT(QSW28-utc_offset/24,"HH")&amp;search_regexp&amp;""""</f>
        <v>#VALUE!</v>
      </c>
      <c r="QTU28" s="234" t="e">
        <f>astrogrep_path&amp;" /e /r /s /spath="&amp;search_path&amp;" /stypes=""app*"&amp;QSQ28&amp;"*"&amp;TEXT(QSX28-utc_offset/24,"YYYYMMDD")&amp;"*"" /stext="" "&amp;TEXT(QSX28-utc_offset/24,"HH")&amp;search_regexp&amp;""""</f>
        <v>#REF!</v>
      </c>
      <c r="QTV28" s="234" t="e">
        <f>astrogrep_path&amp;" /e /r /s /spath="&amp;search_path&amp;" /stypes=""app*"&amp;QSR28&amp;"*"&amp;TEXT(QSY28-utc_offset/24,"YYYYMMDD")&amp;"*"" /stext="" "&amp;TEXT(QSY28-utc_offset/24,"HH")&amp;search_regexp&amp;""""</f>
        <v>#REF!</v>
      </c>
      <c r="QTW28" s="234" t="e">
        <f>astrogrep_path&amp;" /e /r /s /spath="&amp;search_path&amp;" /stypes=""app*"&amp;QSS28&amp;"*"&amp;TEXT(QSZ28-utc_offset/24,"YYYYMMDD")&amp;"*"" /stext="" "&amp;TEXT(QSZ28-utc_offset/24,"HH")&amp;search_regexp&amp;""""</f>
        <v>#VALUE!</v>
      </c>
      <c r="QTX28" s="234" t="e">
        <f>astrogrep_path&amp;" /e /r /s /spath="&amp;search_path&amp;" /stypes=""app*"&amp;QST28&amp;"*"&amp;TEXT(QTA28-utc_offset/24,"YYYYMMDD")&amp;"*"" /stext="" "&amp;TEXT(QTA28-utc_offset/24,"HH")&amp;search_regexp&amp;""""</f>
        <v>#VALUE!</v>
      </c>
      <c r="QTY28" s="234" t="e">
        <f>astrogrep_path&amp;" /e /r /s /spath="&amp;search_path&amp;" /stypes=""app*"&amp;QSU28&amp;"*"&amp;TEXT(QTB28-utc_offset/24,"YYYYMMDD")&amp;"*"" /stext="" "&amp;TEXT(QTB28-utc_offset/24,"HH")&amp;search_regexp&amp;""""</f>
        <v>#VALUE!</v>
      </c>
      <c r="QTZ28" s="234" t="e">
        <f>astrogrep_path&amp;" /e /r /s /spath="&amp;search_path&amp;" /stypes=""app*"&amp;QSV28&amp;"*"&amp;TEXT(QTC28-utc_offset/24,"YYYYMMDD")&amp;"*"" /stext="" "&amp;TEXT(QTC28-utc_offset/24,"HH")&amp;search_regexp&amp;""""</f>
        <v>#VALUE!</v>
      </c>
      <c r="QUA28" s="234" t="e">
        <f>astrogrep_path&amp;" /e /r /s /spath="&amp;search_path&amp;" /stypes=""app*"&amp;QSW28&amp;"*"&amp;TEXT(QTD28-utc_offset/24,"YYYYMMDD")&amp;"*"" /stext="" "&amp;TEXT(QTD28-utc_offset/24,"HH")&amp;search_regexp&amp;""""</f>
        <v>#VALUE!</v>
      </c>
      <c r="QUB28" s="234" t="e">
        <f>astrogrep_path&amp;" /e /r /s /spath="&amp;search_path&amp;" /stypes=""app*"&amp;QSX28&amp;"*"&amp;TEXT(QTE28-utc_offset/24,"YYYYMMDD")&amp;"*"" /stext="" "&amp;TEXT(QTE28-utc_offset/24,"HH")&amp;search_regexp&amp;""""</f>
        <v>#REF!</v>
      </c>
      <c r="QUC28" s="234" t="e">
        <f>astrogrep_path&amp;" /e /r /s /spath="&amp;search_path&amp;" /stypes=""app*"&amp;QSY28&amp;"*"&amp;TEXT(QTF28-utc_offset/24,"YYYYMMDD")&amp;"*"" /stext="" "&amp;TEXT(QTF28-utc_offset/24,"HH")&amp;search_regexp&amp;""""</f>
        <v>#REF!</v>
      </c>
      <c r="QUD28" s="234" t="e">
        <f>astrogrep_path&amp;" /e /r /s /spath="&amp;search_path&amp;" /stypes=""app*"&amp;QSZ28&amp;"*"&amp;TEXT(QTG28-utc_offset/24,"YYYYMMDD")&amp;"*"" /stext="" "&amp;TEXT(QTG28-utc_offset/24,"HH")&amp;search_regexp&amp;""""</f>
        <v>#REF!</v>
      </c>
      <c r="QUE28" s="234" t="e">
        <f>astrogrep_path&amp;" /e /r /s /spath="&amp;search_path&amp;" /stypes=""app*"&amp;QTA28&amp;"*"&amp;TEXT(QTH28-utc_offset/24,"YYYYMMDD")&amp;"*"" /stext="" "&amp;TEXT(QTH28-utc_offset/24,"HH")&amp;search_regexp&amp;""""</f>
        <v>#REF!</v>
      </c>
      <c r="QUF28" s="234" t="e">
        <f>astrogrep_path&amp;" /e /r /s /spath="&amp;search_path&amp;" /stypes=""app*"&amp;QTB28&amp;"*"&amp;TEXT(QTI28-utc_offset/24,"YYYYMMDD")&amp;"*"" /stext="" "&amp;TEXT(QTI28-utc_offset/24,"HH")&amp;search_regexp&amp;""""</f>
        <v>#REF!</v>
      </c>
      <c r="QUG28" s="234" t="e">
        <f>astrogrep_path&amp;" /e /r /s /spath="&amp;search_path&amp;" /stypes=""app*"&amp;QTC28&amp;"*"&amp;TEXT(QTJ28-utc_offset/24,"YYYYMMDD")&amp;"*"" /stext="" "&amp;TEXT(QTJ28-utc_offset/24,"HH")&amp;search_regexp&amp;""""</f>
        <v>#REF!</v>
      </c>
      <c r="QUH28" s="234" t="e">
        <f>astrogrep_path&amp;" /e /r /s /spath="&amp;search_path&amp;" /stypes=""app*"&amp;QTD28&amp;"*"&amp;TEXT(QTK28-utc_offset/24,"YYYYMMDD")&amp;"*"" /stext="" "&amp;TEXT(QTK28-utc_offset/24,"HH")&amp;search_regexp&amp;""""</f>
        <v>#REF!</v>
      </c>
      <c r="QUI28" s="234" t="e">
        <f>astrogrep_path&amp;" /e /r /s /spath="&amp;search_path&amp;" /stypes=""app*"&amp;QTE28&amp;"*"&amp;TEXT(QTL28-utc_offset/24,"YYYYMMDD")&amp;"*"" /stext="" "&amp;TEXT(QTL28-utc_offset/24,"HH")&amp;search_regexp&amp;""""</f>
        <v>#REF!</v>
      </c>
      <c r="QUJ28" s="234" t="e">
        <f>astrogrep_path&amp;" /e /r /s /spath="&amp;search_path&amp;" /stypes=""app*"&amp;QTF28&amp;"*"&amp;TEXT(QTM28-utc_offset/24,"YYYYMMDD")&amp;"*"" /stext="" "&amp;TEXT(QTM28-utc_offset/24,"HH")&amp;search_regexp&amp;""""</f>
        <v>#REF!</v>
      </c>
      <c r="QUK28" s="234" t="e">
        <f>astrogrep_path&amp;" /e /r /s /spath="&amp;search_path&amp;" /stypes=""app*"&amp;QTG28&amp;"*"&amp;TEXT(QTN28-utc_offset/24,"YYYYMMDD")&amp;"*"" /stext="" "&amp;TEXT(QTN28-utc_offset/24,"HH")&amp;search_regexp&amp;""""</f>
        <v>#REF!</v>
      </c>
      <c r="QUL28" s="234" t="e">
        <f>astrogrep_path&amp;" /e /r /s /spath="&amp;search_path&amp;" /stypes=""app*"&amp;QTH28&amp;"*"&amp;TEXT(QTO28-utc_offset/24,"YYYYMMDD")&amp;"*"" /stext="" "&amp;TEXT(QTO28-utc_offset/24,"HH")&amp;search_regexp&amp;""""</f>
        <v>#REF!</v>
      </c>
      <c r="QUM28" s="234" t="e">
        <f>astrogrep_path&amp;" /e /r /s /spath="&amp;search_path&amp;" /stypes=""app*"&amp;QTI28&amp;"*"&amp;TEXT(QTP28-utc_offset/24,"YYYYMMDD")&amp;"*"" /stext="" "&amp;TEXT(QTP28-utc_offset/24,"HH")&amp;search_regexp&amp;""""</f>
        <v>#REF!</v>
      </c>
      <c r="QUN28" s="234" t="e">
        <f>astrogrep_path&amp;" /e /r /s /spath="&amp;search_path&amp;" /stypes=""app*"&amp;QTJ28&amp;"*"&amp;TEXT(QTQ28-utc_offset/24,"YYYYMMDD")&amp;"*"" /stext="" "&amp;TEXT(QTQ28-utc_offset/24,"HH")&amp;search_regexp&amp;""""</f>
        <v>#REF!</v>
      </c>
      <c r="QUO28" s="234" t="e">
        <f>astrogrep_path&amp;" /e /r /s /spath="&amp;search_path&amp;" /stypes=""app*"&amp;QTK28&amp;"*"&amp;TEXT(QTR28-utc_offset/24,"YYYYMMDD")&amp;"*"" /stext="" "&amp;TEXT(QTR28-utc_offset/24,"HH")&amp;search_regexp&amp;""""</f>
        <v>#REF!</v>
      </c>
      <c r="QUP28" s="234" t="e">
        <f>astrogrep_path&amp;" /e /r /s /spath="&amp;search_path&amp;" /stypes=""app*"&amp;QTL28&amp;"*"&amp;TEXT(QTS28-utc_offset/24,"YYYYMMDD")&amp;"*"" /stext="" "&amp;TEXT(QTS28-utc_offset/24,"HH")&amp;search_regexp&amp;""""</f>
        <v>#REF!</v>
      </c>
      <c r="QUQ28" s="234" t="e">
        <f>astrogrep_path&amp;" /e /r /s /spath="&amp;search_path&amp;" /stypes=""app*"&amp;QTM28&amp;"*"&amp;TEXT(QTT28-utc_offset/24,"YYYYMMDD")&amp;"*"" /stext="" "&amp;TEXT(QTT28-utc_offset/24,"HH")&amp;search_regexp&amp;""""</f>
        <v>#REF!</v>
      </c>
      <c r="QUR28" s="234" t="e">
        <f>astrogrep_path&amp;" /e /r /s /spath="&amp;search_path&amp;" /stypes=""app*"&amp;QTN28&amp;"*"&amp;TEXT(QTU28-utc_offset/24,"YYYYMMDD")&amp;"*"" /stext="" "&amp;TEXT(QTU28-utc_offset/24,"HH")&amp;search_regexp&amp;""""</f>
        <v>#REF!</v>
      </c>
      <c r="QUS28" s="234" t="e">
        <f>astrogrep_path&amp;" /e /r /s /spath="&amp;search_path&amp;" /stypes=""app*"&amp;QTO28&amp;"*"&amp;TEXT(QTV28-utc_offset/24,"YYYYMMDD")&amp;"*"" /stext="" "&amp;TEXT(QTV28-utc_offset/24,"HH")&amp;search_regexp&amp;""""</f>
        <v>#REF!</v>
      </c>
      <c r="QUT28" s="234" t="e">
        <f>astrogrep_path&amp;" /e /r /s /spath="&amp;search_path&amp;" /stypes=""app*"&amp;QTP28&amp;"*"&amp;TEXT(QTW28-utc_offset/24,"YYYYMMDD")&amp;"*"" /stext="" "&amp;TEXT(QTW28-utc_offset/24,"HH")&amp;search_regexp&amp;""""</f>
        <v>#REF!</v>
      </c>
      <c r="QUU28" s="234" t="e">
        <f>astrogrep_path&amp;" /e /r /s /spath="&amp;search_path&amp;" /stypes=""app*"&amp;QTQ28&amp;"*"&amp;TEXT(QTX28-utc_offset/24,"YYYYMMDD")&amp;"*"" /stext="" "&amp;TEXT(QTX28-utc_offset/24,"HH")&amp;search_regexp&amp;""""</f>
        <v>#REF!</v>
      </c>
      <c r="QUV28" s="234" t="e">
        <f>astrogrep_path&amp;" /e /r /s /spath="&amp;search_path&amp;" /stypes=""app*"&amp;QTR28&amp;"*"&amp;TEXT(QTY28-utc_offset/24,"YYYYMMDD")&amp;"*"" /stext="" "&amp;TEXT(QTY28-utc_offset/24,"HH")&amp;search_regexp&amp;""""</f>
        <v>#REF!</v>
      </c>
      <c r="QUW28" s="234" t="e">
        <f>astrogrep_path&amp;" /e /r /s /spath="&amp;search_path&amp;" /stypes=""app*"&amp;QTS28&amp;"*"&amp;TEXT(QTZ28-utc_offset/24,"YYYYMMDD")&amp;"*"" /stext="" "&amp;TEXT(QTZ28-utc_offset/24,"HH")&amp;search_regexp&amp;""""</f>
        <v>#VALUE!</v>
      </c>
      <c r="QUX28" s="234" t="e">
        <f>astrogrep_path&amp;" /e /r /s /spath="&amp;search_path&amp;" /stypes=""app*"&amp;QTT28&amp;"*"&amp;TEXT(QUA28-utc_offset/24,"YYYYMMDD")&amp;"*"" /stext="" "&amp;TEXT(QUA28-utc_offset/24,"HH")&amp;search_regexp&amp;""""</f>
        <v>#VALUE!</v>
      </c>
      <c r="QUY28" s="234" t="e">
        <f>astrogrep_path&amp;" /e /r /s /spath="&amp;search_path&amp;" /stypes=""app*"&amp;QTU28&amp;"*"&amp;TEXT(QUB28-utc_offset/24,"YYYYMMDD")&amp;"*"" /stext="" "&amp;TEXT(QUB28-utc_offset/24,"HH")&amp;search_regexp&amp;""""</f>
        <v>#REF!</v>
      </c>
      <c r="QUZ28" s="234" t="e">
        <f>astrogrep_path&amp;" /e /r /s /spath="&amp;search_path&amp;" /stypes=""app*"&amp;QTV28&amp;"*"&amp;TEXT(QUC28-utc_offset/24,"YYYYMMDD")&amp;"*"" /stext="" "&amp;TEXT(QUC28-utc_offset/24,"HH")&amp;search_regexp&amp;""""</f>
        <v>#REF!</v>
      </c>
      <c r="QVA28" s="234" t="e">
        <f>astrogrep_path&amp;" /e /r /s /spath="&amp;search_path&amp;" /stypes=""app*"&amp;QTW28&amp;"*"&amp;TEXT(QUD28-utc_offset/24,"YYYYMMDD")&amp;"*"" /stext="" "&amp;TEXT(QUD28-utc_offset/24,"HH")&amp;search_regexp&amp;""""</f>
        <v>#VALUE!</v>
      </c>
      <c r="QVB28" s="234" t="e">
        <f>astrogrep_path&amp;" /e /r /s /spath="&amp;search_path&amp;" /stypes=""app*"&amp;QTX28&amp;"*"&amp;TEXT(QUE28-utc_offset/24,"YYYYMMDD")&amp;"*"" /stext="" "&amp;TEXT(QUE28-utc_offset/24,"HH")&amp;search_regexp&amp;""""</f>
        <v>#VALUE!</v>
      </c>
      <c r="QVC28" s="234" t="e">
        <f>astrogrep_path&amp;" /e /r /s /spath="&amp;search_path&amp;" /stypes=""app*"&amp;QTY28&amp;"*"&amp;TEXT(QUF28-utc_offset/24,"YYYYMMDD")&amp;"*"" /stext="" "&amp;TEXT(QUF28-utc_offset/24,"HH")&amp;search_regexp&amp;""""</f>
        <v>#VALUE!</v>
      </c>
      <c r="QVD28" s="234" t="e">
        <f>astrogrep_path&amp;" /e /r /s /spath="&amp;search_path&amp;" /stypes=""app*"&amp;QTZ28&amp;"*"&amp;TEXT(QUG28-utc_offset/24,"YYYYMMDD")&amp;"*"" /stext="" "&amp;TEXT(QUG28-utc_offset/24,"HH")&amp;search_regexp&amp;""""</f>
        <v>#VALUE!</v>
      </c>
      <c r="QVE28" s="234" t="e">
        <f>astrogrep_path&amp;" /e /r /s /spath="&amp;search_path&amp;" /stypes=""app*"&amp;QUA28&amp;"*"&amp;TEXT(QUH28-utc_offset/24,"YYYYMMDD")&amp;"*"" /stext="" "&amp;TEXT(QUH28-utc_offset/24,"HH")&amp;search_regexp&amp;""""</f>
        <v>#VALUE!</v>
      </c>
      <c r="QVF28" s="234" t="e">
        <f>astrogrep_path&amp;" /e /r /s /spath="&amp;search_path&amp;" /stypes=""app*"&amp;QUB28&amp;"*"&amp;TEXT(QUI28-utc_offset/24,"YYYYMMDD")&amp;"*"" /stext="" "&amp;TEXT(QUI28-utc_offset/24,"HH")&amp;search_regexp&amp;""""</f>
        <v>#REF!</v>
      </c>
      <c r="QVG28" s="234" t="e">
        <f>astrogrep_path&amp;" /e /r /s /spath="&amp;search_path&amp;" /stypes=""app*"&amp;QUC28&amp;"*"&amp;TEXT(QUJ28-utc_offset/24,"YYYYMMDD")&amp;"*"" /stext="" "&amp;TEXT(QUJ28-utc_offset/24,"HH")&amp;search_regexp&amp;""""</f>
        <v>#REF!</v>
      </c>
      <c r="QVH28" s="234" t="e">
        <f>astrogrep_path&amp;" /e /r /s /spath="&amp;search_path&amp;" /stypes=""app*"&amp;QUD28&amp;"*"&amp;TEXT(QUK28-utc_offset/24,"YYYYMMDD")&amp;"*"" /stext="" "&amp;TEXT(QUK28-utc_offset/24,"HH")&amp;search_regexp&amp;""""</f>
        <v>#REF!</v>
      </c>
      <c r="QVI28" s="234" t="e">
        <f>astrogrep_path&amp;" /e /r /s /spath="&amp;search_path&amp;" /stypes=""app*"&amp;QUE28&amp;"*"&amp;TEXT(QUL28-utc_offset/24,"YYYYMMDD")&amp;"*"" /stext="" "&amp;TEXT(QUL28-utc_offset/24,"HH")&amp;search_regexp&amp;""""</f>
        <v>#REF!</v>
      </c>
      <c r="QVJ28" s="234" t="e">
        <f>astrogrep_path&amp;" /e /r /s /spath="&amp;search_path&amp;" /stypes=""app*"&amp;QUF28&amp;"*"&amp;TEXT(QUM28-utc_offset/24,"YYYYMMDD")&amp;"*"" /stext="" "&amp;TEXT(QUM28-utc_offset/24,"HH")&amp;search_regexp&amp;""""</f>
        <v>#REF!</v>
      </c>
      <c r="QVK28" s="234" t="e">
        <f>astrogrep_path&amp;" /e /r /s /spath="&amp;search_path&amp;" /stypes=""app*"&amp;QUG28&amp;"*"&amp;TEXT(QUN28-utc_offset/24,"YYYYMMDD")&amp;"*"" /stext="" "&amp;TEXT(QUN28-utc_offset/24,"HH")&amp;search_regexp&amp;""""</f>
        <v>#REF!</v>
      </c>
      <c r="QVL28" s="234" t="e">
        <f>astrogrep_path&amp;" /e /r /s /spath="&amp;search_path&amp;" /stypes=""app*"&amp;QUH28&amp;"*"&amp;TEXT(QUO28-utc_offset/24,"YYYYMMDD")&amp;"*"" /stext="" "&amp;TEXT(QUO28-utc_offset/24,"HH")&amp;search_regexp&amp;""""</f>
        <v>#REF!</v>
      </c>
      <c r="QVM28" s="234" t="e">
        <f>astrogrep_path&amp;" /e /r /s /spath="&amp;search_path&amp;" /stypes=""app*"&amp;QUI28&amp;"*"&amp;TEXT(QUP28-utc_offset/24,"YYYYMMDD")&amp;"*"" /stext="" "&amp;TEXT(QUP28-utc_offset/24,"HH")&amp;search_regexp&amp;""""</f>
        <v>#REF!</v>
      </c>
      <c r="QVN28" s="234" t="e">
        <f>astrogrep_path&amp;" /e /r /s /spath="&amp;search_path&amp;" /stypes=""app*"&amp;QUJ28&amp;"*"&amp;TEXT(QUQ28-utc_offset/24,"YYYYMMDD")&amp;"*"" /stext="" "&amp;TEXT(QUQ28-utc_offset/24,"HH")&amp;search_regexp&amp;""""</f>
        <v>#REF!</v>
      </c>
      <c r="QVO28" s="234" t="e">
        <f>astrogrep_path&amp;" /e /r /s /spath="&amp;search_path&amp;" /stypes=""app*"&amp;QUK28&amp;"*"&amp;TEXT(QUR28-utc_offset/24,"YYYYMMDD")&amp;"*"" /stext="" "&amp;TEXT(QUR28-utc_offset/24,"HH")&amp;search_regexp&amp;""""</f>
        <v>#REF!</v>
      </c>
      <c r="QVP28" s="234" t="e">
        <f>astrogrep_path&amp;" /e /r /s /spath="&amp;search_path&amp;" /stypes=""app*"&amp;QUL28&amp;"*"&amp;TEXT(QUS28-utc_offset/24,"YYYYMMDD")&amp;"*"" /stext="" "&amp;TEXT(QUS28-utc_offset/24,"HH")&amp;search_regexp&amp;""""</f>
        <v>#REF!</v>
      </c>
      <c r="QVQ28" s="234" t="e">
        <f>astrogrep_path&amp;" /e /r /s /spath="&amp;search_path&amp;" /stypes=""app*"&amp;QUM28&amp;"*"&amp;TEXT(QUT28-utc_offset/24,"YYYYMMDD")&amp;"*"" /stext="" "&amp;TEXT(QUT28-utc_offset/24,"HH")&amp;search_regexp&amp;""""</f>
        <v>#REF!</v>
      </c>
      <c r="QVR28" s="234" t="e">
        <f>astrogrep_path&amp;" /e /r /s /spath="&amp;search_path&amp;" /stypes=""app*"&amp;QUN28&amp;"*"&amp;TEXT(QUU28-utc_offset/24,"YYYYMMDD")&amp;"*"" /stext="" "&amp;TEXT(QUU28-utc_offset/24,"HH")&amp;search_regexp&amp;""""</f>
        <v>#REF!</v>
      </c>
      <c r="QVS28" s="234" t="e">
        <f>astrogrep_path&amp;" /e /r /s /spath="&amp;search_path&amp;" /stypes=""app*"&amp;QUO28&amp;"*"&amp;TEXT(QUV28-utc_offset/24,"YYYYMMDD")&amp;"*"" /stext="" "&amp;TEXT(QUV28-utc_offset/24,"HH")&amp;search_regexp&amp;""""</f>
        <v>#REF!</v>
      </c>
      <c r="QVT28" s="234" t="e">
        <f>astrogrep_path&amp;" /e /r /s /spath="&amp;search_path&amp;" /stypes=""app*"&amp;QUP28&amp;"*"&amp;TEXT(QUW28-utc_offset/24,"YYYYMMDD")&amp;"*"" /stext="" "&amp;TEXT(QUW28-utc_offset/24,"HH")&amp;search_regexp&amp;""""</f>
        <v>#REF!</v>
      </c>
      <c r="QVU28" s="234" t="e">
        <f>astrogrep_path&amp;" /e /r /s /spath="&amp;search_path&amp;" /stypes=""app*"&amp;QUQ28&amp;"*"&amp;TEXT(QUX28-utc_offset/24,"YYYYMMDD")&amp;"*"" /stext="" "&amp;TEXT(QUX28-utc_offset/24,"HH")&amp;search_regexp&amp;""""</f>
        <v>#REF!</v>
      </c>
      <c r="QVV28" s="234" t="e">
        <f>astrogrep_path&amp;" /e /r /s /spath="&amp;search_path&amp;" /stypes=""app*"&amp;QUR28&amp;"*"&amp;TEXT(QUY28-utc_offset/24,"YYYYMMDD")&amp;"*"" /stext="" "&amp;TEXT(QUY28-utc_offset/24,"HH")&amp;search_regexp&amp;""""</f>
        <v>#REF!</v>
      </c>
      <c r="QVW28" s="234" t="e">
        <f>astrogrep_path&amp;" /e /r /s /spath="&amp;search_path&amp;" /stypes=""app*"&amp;QUS28&amp;"*"&amp;TEXT(QUZ28-utc_offset/24,"YYYYMMDD")&amp;"*"" /stext="" "&amp;TEXT(QUZ28-utc_offset/24,"HH")&amp;search_regexp&amp;""""</f>
        <v>#REF!</v>
      </c>
      <c r="QVX28" s="234" t="e">
        <f>astrogrep_path&amp;" /e /r /s /spath="&amp;search_path&amp;" /stypes=""app*"&amp;QUT28&amp;"*"&amp;TEXT(QVA28-utc_offset/24,"YYYYMMDD")&amp;"*"" /stext="" "&amp;TEXT(QVA28-utc_offset/24,"HH")&amp;search_regexp&amp;""""</f>
        <v>#REF!</v>
      </c>
      <c r="QVY28" s="234" t="e">
        <f>astrogrep_path&amp;" /e /r /s /spath="&amp;search_path&amp;" /stypes=""app*"&amp;QUU28&amp;"*"&amp;TEXT(QVB28-utc_offset/24,"YYYYMMDD")&amp;"*"" /stext="" "&amp;TEXT(QVB28-utc_offset/24,"HH")&amp;search_regexp&amp;""""</f>
        <v>#REF!</v>
      </c>
      <c r="QVZ28" s="234" t="e">
        <f>astrogrep_path&amp;" /e /r /s /spath="&amp;search_path&amp;" /stypes=""app*"&amp;QUV28&amp;"*"&amp;TEXT(QVC28-utc_offset/24,"YYYYMMDD")&amp;"*"" /stext="" "&amp;TEXT(QVC28-utc_offset/24,"HH")&amp;search_regexp&amp;""""</f>
        <v>#REF!</v>
      </c>
      <c r="QWA28" s="234" t="e">
        <f>astrogrep_path&amp;" /e /r /s /spath="&amp;search_path&amp;" /stypes=""app*"&amp;QUW28&amp;"*"&amp;TEXT(QVD28-utc_offset/24,"YYYYMMDD")&amp;"*"" /stext="" "&amp;TEXT(QVD28-utc_offset/24,"HH")&amp;search_regexp&amp;""""</f>
        <v>#VALUE!</v>
      </c>
      <c r="QWB28" s="234" t="e">
        <f>astrogrep_path&amp;" /e /r /s /spath="&amp;search_path&amp;" /stypes=""app*"&amp;QUX28&amp;"*"&amp;TEXT(QVE28-utc_offset/24,"YYYYMMDD")&amp;"*"" /stext="" "&amp;TEXT(QVE28-utc_offset/24,"HH")&amp;search_regexp&amp;""""</f>
        <v>#VALUE!</v>
      </c>
      <c r="QWC28" s="234" t="e">
        <f>astrogrep_path&amp;" /e /r /s /spath="&amp;search_path&amp;" /stypes=""app*"&amp;QUY28&amp;"*"&amp;TEXT(QVF28-utc_offset/24,"YYYYMMDD")&amp;"*"" /stext="" "&amp;TEXT(QVF28-utc_offset/24,"HH")&amp;search_regexp&amp;""""</f>
        <v>#REF!</v>
      </c>
      <c r="QWD28" s="234" t="e">
        <f>astrogrep_path&amp;" /e /r /s /spath="&amp;search_path&amp;" /stypes=""app*"&amp;QUZ28&amp;"*"&amp;TEXT(QVG28-utc_offset/24,"YYYYMMDD")&amp;"*"" /stext="" "&amp;TEXT(QVG28-utc_offset/24,"HH")&amp;search_regexp&amp;""""</f>
        <v>#REF!</v>
      </c>
      <c r="QWE28" s="234" t="e">
        <f>astrogrep_path&amp;" /e /r /s /spath="&amp;search_path&amp;" /stypes=""app*"&amp;QVA28&amp;"*"&amp;TEXT(QVH28-utc_offset/24,"YYYYMMDD")&amp;"*"" /stext="" "&amp;TEXT(QVH28-utc_offset/24,"HH")&amp;search_regexp&amp;""""</f>
        <v>#VALUE!</v>
      </c>
      <c r="QWF28" s="234" t="e">
        <f>astrogrep_path&amp;" /e /r /s /spath="&amp;search_path&amp;" /stypes=""app*"&amp;QVB28&amp;"*"&amp;TEXT(QVI28-utc_offset/24,"YYYYMMDD")&amp;"*"" /stext="" "&amp;TEXT(QVI28-utc_offset/24,"HH")&amp;search_regexp&amp;""""</f>
        <v>#VALUE!</v>
      </c>
      <c r="QWG28" s="234" t="e">
        <f>astrogrep_path&amp;" /e /r /s /spath="&amp;search_path&amp;" /stypes=""app*"&amp;QVC28&amp;"*"&amp;TEXT(QVJ28-utc_offset/24,"YYYYMMDD")&amp;"*"" /stext="" "&amp;TEXT(QVJ28-utc_offset/24,"HH")&amp;search_regexp&amp;""""</f>
        <v>#VALUE!</v>
      </c>
      <c r="QWH28" s="234" t="e">
        <f>astrogrep_path&amp;" /e /r /s /spath="&amp;search_path&amp;" /stypes=""app*"&amp;QVD28&amp;"*"&amp;TEXT(QVK28-utc_offset/24,"YYYYMMDD")&amp;"*"" /stext="" "&amp;TEXT(QVK28-utc_offset/24,"HH")&amp;search_regexp&amp;""""</f>
        <v>#VALUE!</v>
      </c>
      <c r="QWI28" s="234" t="e">
        <f>astrogrep_path&amp;" /e /r /s /spath="&amp;search_path&amp;" /stypes=""app*"&amp;QVE28&amp;"*"&amp;TEXT(QVL28-utc_offset/24,"YYYYMMDD")&amp;"*"" /stext="" "&amp;TEXT(QVL28-utc_offset/24,"HH")&amp;search_regexp&amp;""""</f>
        <v>#VALUE!</v>
      </c>
      <c r="QWJ28" s="234" t="e">
        <f>astrogrep_path&amp;" /e /r /s /spath="&amp;search_path&amp;" /stypes=""app*"&amp;QVF28&amp;"*"&amp;TEXT(QVM28-utc_offset/24,"YYYYMMDD")&amp;"*"" /stext="" "&amp;TEXT(QVM28-utc_offset/24,"HH")&amp;search_regexp&amp;""""</f>
        <v>#REF!</v>
      </c>
      <c r="QWK28" s="234" t="e">
        <f>astrogrep_path&amp;" /e /r /s /spath="&amp;search_path&amp;" /stypes=""app*"&amp;QVG28&amp;"*"&amp;TEXT(QVN28-utc_offset/24,"YYYYMMDD")&amp;"*"" /stext="" "&amp;TEXT(QVN28-utc_offset/24,"HH")&amp;search_regexp&amp;""""</f>
        <v>#REF!</v>
      </c>
      <c r="QWL28" s="234" t="e">
        <f>astrogrep_path&amp;" /e /r /s /spath="&amp;search_path&amp;" /stypes=""app*"&amp;QVH28&amp;"*"&amp;TEXT(QVO28-utc_offset/24,"YYYYMMDD")&amp;"*"" /stext="" "&amp;TEXT(QVO28-utc_offset/24,"HH")&amp;search_regexp&amp;""""</f>
        <v>#REF!</v>
      </c>
      <c r="QWM28" s="234" t="e">
        <f>astrogrep_path&amp;" /e /r /s /spath="&amp;search_path&amp;" /stypes=""app*"&amp;QVI28&amp;"*"&amp;TEXT(QVP28-utc_offset/24,"YYYYMMDD")&amp;"*"" /stext="" "&amp;TEXT(QVP28-utc_offset/24,"HH")&amp;search_regexp&amp;""""</f>
        <v>#REF!</v>
      </c>
      <c r="QWN28" s="234" t="e">
        <f>astrogrep_path&amp;" /e /r /s /spath="&amp;search_path&amp;" /stypes=""app*"&amp;QVJ28&amp;"*"&amp;TEXT(QVQ28-utc_offset/24,"YYYYMMDD")&amp;"*"" /stext="" "&amp;TEXT(QVQ28-utc_offset/24,"HH")&amp;search_regexp&amp;""""</f>
        <v>#REF!</v>
      </c>
      <c r="QWO28" s="234" t="e">
        <f>astrogrep_path&amp;" /e /r /s /spath="&amp;search_path&amp;" /stypes=""app*"&amp;QVK28&amp;"*"&amp;TEXT(QVR28-utc_offset/24,"YYYYMMDD")&amp;"*"" /stext="" "&amp;TEXT(QVR28-utc_offset/24,"HH")&amp;search_regexp&amp;""""</f>
        <v>#REF!</v>
      </c>
      <c r="QWP28" s="234" t="e">
        <f>astrogrep_path&amp;" /e /r /s /spath="&amp;search_path&amp;" /stypes=""app*"&amp;QVL28&amp;"*"&amp;TEXT(QVS28-utc_offset/24,"YYYYMMDD")&amp;"*"" /stext="" "&amp;TEXT(QVS28-utc_offset/24,"HH")&amp;search_regexp&amp;""""</f>
        <v>#REF!</v>
      </c>
      <c r="QWQ28" s="234" t="e">
        <f>astrogrep_path&amp;" /e /r /s /spath="&amp;search_path&amp;" /stypes=""app*"&amp;QVM28&amp;"*"&amp;TEXT(QVT28-utc_offset/24,"YYYYMMDD")&amp;"*"" /stext="" "&amp;TEXT(QVT28-utc_offset/24,"HH")&amp;search_regexp&amp;""""</f>
        <v>#REF!</v>
      </c>
      <c r="QWR28" s="234" t="e">
        <f>astrogrep_path&amp;" /e /r /s /spath="&amp;search_path&amp;" /stypes=""app*"&amp;QVN28&amp;"*"&amp;TEXT(QVU28-utc_offset/24,"YYYYMMDD")&amp;"*"" /stext="" "&amp;TEXT(QVU28-utc_offset/24,"HH")&amp;search_regexp&amp;""""</f>
        <v>#REF!</v>
      </c>
      <c r="QWS28" s="234" t="e">
        <f>astrogrep_path&amp;" /e /r /s /spath="&amp;search_path&amp;" /stypes=""app*"&amp;QVO28&amp;"*"&amp;TEXT(QVV28-utc_offset/24,"YYYYMMDD")&amp;"*"" /stext="" "&amp;TEXT(QVV28-utc_offset/24,"HH")&amp;search_regexp&amp;""""</f>
        <v>#REF!</v>
      </c>
      <c r="QWT28" s="234" t="e">
        <f>astrogrep_path&amp;" /e /r /s /spath="&amp;search_path&amp;" /stypes=""app*"&amp;QVP28&amp;"*"&amp;TEXT(QVW28-utc_offset/24,"YYYYMMDD")&amp;"*"" /stext="" "&amp;TEXT(QVW28-utc_offset/24,"HH")&amp;search_regexp&amp;""""</f>
        <v>#REF!</v>
      </c>
      <c r="QWU28" s="234" t="e">
        <f>astrogrep_path&amp;" /e /r /s /spath="&amp;search_path&amp;" /stypes=""app*"&amp;QVQ28&amp;"*"&amp;TEXT(QVX28-utc_offset/24,"YYYYMMDD")&amp;"*"" /stext="" "&amp;TEXT(QVX28-utc_offset/24,"HH")&amp;search_regexp&amp;""""</f>
        <v>#REF!</v>
      </c>
      <c r="QWV28" s="234" t="e">
        <f>astrogrep_path&amp;" /e /r /s /spath="&amp;search_path&amp;" /stypes=""app*"&amp;QVR28&amp;"*"&amp;TEXT(QVY28-utc_offset/24,"YYYYMMDD")&amp;"*"" /stext="" "&amp;TEXT(QVY28-utc_offset/24,"HH")&amp;search_regexp&amp;""""</f>
        <v>#REF!</v>
      </c>
      <c r="QWW28" s="234" t="e">
        <f>astrogrep_path&amp;" /e /r /s /spath="&amp;search_path&amp;" /stypes=""app*"&amp;QVS28&amp;"*"&amp;TEXT(QVZ28-utc_offset/24,"YYYYMMDD")&amp;"*"" /stext="" "&amp;TEXT(QVZ28-utc_offset/24,"HH")&amp;search_regexp&amp;""""</f>
        <v>#REF!</v>
      </c>
      <c r="QWX28" s="234" t="e">
        <f>astrogrep_path&amp;" /e /r /s /spath="&amp;search_path&amp;" /stypes=""app*"&amp;QVT28&amp;"*"&amp;TEXT(QWA28-utc_offset/24,"YYYYMMDD")&amp;"*"" /stext="" "&amp;TEXT(QWA28-utc_offset/24,"HH")&amp;search_regexp&amp;""""</f>
        <v>#REF!</v>
      </c>
      <c r="QWY28" s="234" t="e">
        <f>astrogrep_path&amp;" /e /r /s /spath="&amp;search_path&amp;" /stypes=""app*"&amp;QVU28&amp;"*"&amp;TEXT(QWB28-utc_offset/24,"YYYYMMDD")&amp;"*"" /stext="" "&amp;TEXT(QWB28-utc_offset/24,"HH")&amp;search_regexp&amp;""""</f>
        <v>#REF!</v>
      </c>
      <c r="QWZ28" s="234" t="e">
        <f>astrogrep_path&amp;" /e /r /s /spath="&amp;search_path&amp;" /stypes=""app*"&amp;QVV28&amp;"*"&amp;TEXT(QWC28-utc_offset/24,"YYYYMMDD")&amp;"*"" /stext="" "&amp;TEXT(QWC28-utc_offset/24,"HH")&amp;search_regexp&amp;""""</f>
        <v>#REF!</v>
      </c>
      <c r="QXA28" s="234" t="e">
        <f>astrogrep_path&amp;" /e /r /s /spath="&amp;search_path&amp;" /stypes=""app*"&amp;QVW28&amp;"*"&amp;TEXT(QWD28-utc_offset/24,"YYYYMMDD")&amp;"*"" /stext="" "&amp;TEXT(QWD28-utc_offset/24,"HH")&amp;search_regexp&amp;""""</f>
        <v>#REF!</v>
      </c>
      <c r="QXB28" s="234" t="e">
        <f>astrogrep_path&amp;" /e /r /s /spath="&amp;search_path&amp;" /stypes=""app*"&amp;QVX28&amp;"*"&amp;TEXT(QWE28-utc_offset/24,"YYYYMMDD")&amp;"*"" /stext="" "&amp;TEXT(QWE28-utc_offset/24,"HH")&amp;search_regexp&amp;""""</f>
        <v>#REF!</v>
      </c>
      <c r="QXC28" s="234" t="e">
        <f>astrogrep_path&amp;" /e /r /s /spath="&amp;search_path&amp;" /stypes=""app*"&amp;QVY28&amp;"*"&amp;TEXT(QWF28-utc_offset/24,"YYYYMMDD")&amp;"*"" /stext="" "&amp;TEXT(QWF28-utc_offset/24,"HH")&amp;search_regexp&amp;""""</f>
        <v>#REF!</v>
      </c>
      <c r="QXD28" s="234" t="e">
        <f>astrogrep_path&amp;" /e /r /s /spath="&amp;search_path&amp;" /stypes=""app*"&amp;QVZ28&amp;"*"&amp;TEXT(QWG28-utc_offset/24,"YYYYMMDD")&amp;"*"" /stext="" "&amp;TEXT(QWG28-utc_offset/24,"HH")&amp;search_regexp&amp;""""</f>
        <v>#REF!</v>
      </c>
      <c r="QXE28" s="234" t="e">
        <f>astrogrep_path&amp;" /e /r /s /spath="&amp;search_path&amp;" /stypes=""app*"&amp;QWA28&amp;"*"&amp;TEXT(QWH28-utc_offset/24,"YYYYMMDD")&amp;"*"" /stext="" "&amp;TEXT(QWH28-utc_offset/24,"HH")&amp;search_regexp&amp;""""</f>
        <v>#VALUE!</v>
      </c>
      <c r="QXF28" s="234" t="e">
        <f>astrogrep_path&amp;" /e /r /s /spath="&amp;search_path&amp;" /stypes=""app*"&amp;QWB28&amp;"*"&amp;TEXT(QWI28-utc_offset/24,"YYYYMMDD")&amp;"*"" /stext="" "&amp;TEXT(QWI28-utc_offset/24,"HH")&amp;search_regexp&amp;""""</f>
        <v>#VALUE!</v>
      </c>
      <c r="QXG28" s="234" t="e">
        <f>astrogrep_path&amp;" /e /r /s /spath="&amp;search_path&amp;" /stypes=""app*"&amp;QWC28&amp;"*"&amp;TEXT(QWJ28-utc_offset/24,"YYYYMMDD")&amp;"*"" /stext="" "&amp;TEXT(QWJ28-utc_offset/24,"HH")&amp;search_regexp&amp;""""</f>
        <v>#REF!</v>
      </c>
      <c r="QXH28" s="234" t="e">
        <f>astrogrep_path&amp;" /e /r /s /spath="&amp;search_path&amp;" /stypes=""app*"&amp;QWD28&amp;"*"&amp;TEXT(QWK28-utc_offset/24,"YYYYMMDD")&amp;"*"" /stext="" "&amp;TEXT(QWK28-utc_offset/24,"HH")&amp;search_regexp&amp;""""</f>
        <v>#REF!</v>
      </c>
      <c r="QXI28" s="234" t="e">
        <f>astrogrep_path&amp;" /e /r /s /spath="&amp;search_path&amp;" /stypes=""app*"&amp;QWE28&amp;"*"&amp;TEXT(QWL28-utc_offset/24,"YYYYMMDD")&amp;"*"" /stext="" "&amp;TEXT(QWL28-utc_offset/24,"HH")&amp;search_regexp&amp;""""</f>
        <v>#VALUE!</v>
      </c>
      <c r="QXJ28" s="234" t="e">
        <f>astrogrep_path&amp;" /e /r /s /spath="&amp;search_path&amp;" /stypes=""app*"&amp;QWF28&amp;"*"&amp;TEXT(QWM28-utc_offset/24,"YYYYMMDD")&amp;"*"" /stext="" "&amp;TEXT(QWM28-utc_offset/24,"HH")&amp;search_regexp&amp;""""</f>
        <v>#VALUE!</v>
      </c>
      <c r="QXK28" s="234" t="e">
        <f>astrogrep_path&amp;" /e /r /s /spath="&amp;search_path&amp;" /stypes=""app*"&amp;QWG28&amp;"*"&amp;TEXT(QWN28-utc_offset/24,"YYYYMMDD")&amp;"*"" /stext="" "&amp;TEXT(QWN28-utc_offset/24,"HH")&amp;search_regexp&amp;""""</f>
        <v>#VALUE!</v>
      </c>
      <c r="QXL28" s="234" t="e">
        <f>astrogrep_path&amp;" /e /r /s /spath="&amp;search_path&amp;" /stypes=""app*"&amp;QWH28&amp;"*"&amp;TEXT(QWO28-utc_offset/24,"YYYYMMDD")&amp;"*"" /stext="" "&amp;TEXT(QWO28-utc_offset/24,"HH")&amp;search_regexp&amp;""""</f>
        <v>#VALUE!</v>
      </c>
      <c r="QXM28" s="234" t="e">
        <f>astrogrep_path&amp;" /e /r /s /spath="&amp;search_path&amp;" /stypes=""app*"&amp;QWI28&amp;"*"&amp;TEXT(QWP28-utc_offset/24,"YYYYMMDD")&amp;"*"" /stext="" "&amp;TEXT(QWP28-utc_offset/24,"HH")&amp;search_regexp&amp;""""</f>
        <v>#VALUE!</v>
      </c>
      <c r="QXN28" s="234" t="e">
        <f>astrogrep_path&amp;" /e /r /s /spath="&amp;search_path&amp;" /stypes=""app*"&amp;QWJ28&amp;"*"&amp;TEXT(QWQ28-utc_offset/24,"YYYYMMDD")&amp;"*"" /stext="" "&amp;TEXT(QWQ28-utc_offset/24,"HH")&amp;search_regexp&amp;""""</f>
        <v>#REF!</v>
      </c>
      <c r="QXO28" s="234" t="e">
        <f>astrogrep_path&amp;" /e /r /s /spath="&amp;search_path&amp;" /stypes=""app*"&amp;QWK28&amp;"*"&amp;TEXT(QWR28-utc_offset/24,"YYYYMMDD")&amp;"*"" /stext="" "&amp;TEXT(QWR28-utc_offset/24,"HH")&amp;search_regexp&amp;""""</f>
        <v>#REF!</v>
      </c>
      <c r="QXP28" s="234" t="e">
        <f>astrogrep_path&amp;" /e /r /s /spath="&amp;search_path&amp;" /stypes=""app*"&amp;QWL28&amp;"*"&amp;TEXT(QWS28-utc_offset/24,"YYYYMMDD")&amp;"*"" /stext="" "&amp;TEXT(QWS28-utc_offset/24,"HH")&amp;search_regexp&amp;""""</f>
        <v>#REF!</v>
      </c>
      <c r="QXQ28" s="234" t="e">
        <f>astrogrep_path&amp;" /e /r /s /spath="&amp;search_path&amp;" /stypes=""app*"&amp;QWM28&amp;"*"&amp;TEXT(QWT28-utc_offset/24,"YYYYMMDD")&amp;"*"" /stext="" "&amp;TEXT(QWT28-utc_offset/24,"HH")&amp;search_regexp&amp;""""</f>
        <v>#REF!</v>
      </c>
      <c r="QXR28" s="234" t="e">
        <f>astrogrep_path&amp;" /e /r /s /spath="&amp;search_path&amp;" /stypes=""app*"&amp;QWN28&amp;"*"&amp;TEXT(QWU28-utc_offset/24,"YYYYMMDD")&amp;"*"" /stext="" "&amp;TEXT(QWU28-utc_offset/24,"HH")&amp;search_regexp&amp;""""</f>
        <v>#REF!</v>
      </c>
      <c r="QXS28" s="234" t="e">
        <f>astrogrep_path&amp;" /e /r /s /spath="&amp;search_path&amp;" /stypes=""app*"&amp;QWO28&amp;"*"&amp;TEXT(QWV28-utc_offset/24,"YYYYMMDD")&amp;"*"" /stext="" "&amp;TEXT(QWV28-utc_offset/24,"HH")&amp;search_regexp&amp;""""</f>
        <v>#REF!</v>
      </c>
      <c r="QXT28" s="234" t="e">
        <f>astrogrep_path&amp;" /e /r /s /spath="&amp;search_path&amp;" /stypes=""app*"&amp;QWP28&amp;"*"&amp;TEXT(QWW28-utc_offset/24,"YYYYMMDD")&amp;"*"" /stext="" "&amp;TEXT(QWW28-utc_offset/24,"HH")&amp;search_regexp&amp;""""</f>
        <v>#REF!</v>
      </c>
      <c r="QXU28" s="234" t="e">
        <f>astrogrep_path&amp;" /e /r /s /spath="&amp;search_path&amp;" /stypes=""app*"&amp;QWQ28&amp;"*"&amp;TEXT(QWX28-utc_offset/24,"YYYYMMDD")&amp;"*"" /stext="" "&amp;TEXT(QWX28-utc_offset/24,"HH")&amp;search_regexp&amp;""""</f>
        <v>#REF!</v>
      </c>
      <c r="QXV28" s="234" t="e">
        <f>astrogrep_path&amp;" /e /r /s /spath="&amp;search_path&amp;" /stypes=""app*"&amp;QWR28&amp;"*"&amp;TEXT(QWY28-utc_offset/24,"YYYYMMDD")&amp;"*"" /stext="" "&amp;TEXT(QWY28-utc_offset/24,"HH")&amp;search_regexp&amp;""""</f>
        <v>#REF!</v>
      </c>
      <c r="QXW28" s="234" t="e">
        <f>astrogrep_path&amp;" /e /r /s /spath="&amp;search_path&amp;" /stypes=""app*"&amp;QWS28&amp;"*"&amp;TEXT(QWZ28-utc_offset/24,"YYYYMMDD")&amp;"*"" /stext="" "&amp;TEXT(QWZ28-utc_offset/24,"HH")&amp;search_regexp&amp;""""</f>
        <v>#REF!</v>
      </c>
      <c r="QXX28" s="234" t="e">
        <f>astrogrep_path&amp;" /e /r /s /spath="&amp;search_path&amp;" /stypes=""app*"&amp;QWT28&amp;"*"&amp;TEXT(QXA28-utc_offset/24,"YYYYMMDD")&amp;"*"" /stext="" "&amp;TEXT(QXA28-utc_offset/24,"HH")&amp;search_regexp&amp;""""</f>
        <v>#REF!</v>
      </c>
      <c r="QXY28" s="234" t="e">
        <f>astrogrep_path&amp;" /e /r /s /spath="&amp;search_path&amp;" /stypes=""app*"&amp;QWU28&amp;"*"&amp;TEXT(QXB28-utc_offset/24,"YYYYMMDD")&amp;"*"" /stext="" "&amp;TEXT(QXB28-utc_offset/24,"HH")&amp;search_regexp&amp;""""</f>
        <v>#REF!</v>
      </c>
      <c r="QXZ28" s="234" t="e">
        <f>astrogrep_path&amp;" /e /r /s /spath="&amp;search_path&amp;" /stypes=""app*"&amp;QWV28&amp;"*"&amp;TEXT(QXC28-utc_offset/24,"YYYYMMDD")&amp;"*"" /stext="" "&amp;TEXT(QXC28-utc_offset/24,"HH")&amp;search_regexp&amp;""""</f>
        <v>#REF!</v>
      </c>
      <c r="QYA28" s="234" t="e">
        <f>astrogrep_path&amp;" /e /r /s /spath="&amp;search_path&amp;" /stypes=""app*"&amp;QWW28&amp;"*"&amp;TEXT(QXD28-utc_offset/24,"YYYYMMDD")&amp;"*"" /stext="" "&amp;TEXT(QXD28-utc_offset/24,"HH")&amp;search_regexp&amp;""""</f>
        <v>#REF!</v>
      </c>
      <c r="QYB28" s="234" t="e">
        <f>astrogrep_path&amp;" /e /r /s /spath="&amp;search_path&amp;" /stypes=""app*"&amp;QWX28&amp;"*"&amp;TEXT(QXE28-utc_offset/24,"YYYYMMDD")&amp;"*"" /stext="" "&amp;TEXT(QXE28-utc_offset/24,"HH")&amp;search_regexp&amp;""""</f>
        <v>#REF!</v>
      </c>
      <c r="QYC28" s="234" t="e">
        <f>astrogrep_path&amp;" /e /r /s /spath="&amp;search_path&amp;" /stypes=""app*"&amp;QWY28&amp;"*"&amp;TEXT(QXF28-utc_offset/24,"YYYYMMDD")&amp;"*"" /stext="" "&amp;TEXT(QXF28-utc_offset/24,"HH")&amp;search_regexp&amp;""""</f>
        <v>#REF!</v>
      </c>
      <c r="QYD28" s="234" t="e">
        <f>astrogrep_path&amp;" /e /r /s /spath="&amp;search_path&amp;" /stypes=""app*"&amp;QWZ28&amp;"*"&amp;TEXT(QXG28-utc_offset/24,"YYYYMMDD")&amp;"*"" /stext="" "&amp;TEXT(QXG28-utc_offset/24,"HH")&amp;search_regexp&amp;""""</f>
        <v>#REF!</v>
      </c>
      <c r="QYE28" s="234" t="e">
        <f>astrogrep_path&amp;" /e /r /s /spath="&amp;search_path&amp;" /stypes=""app*"&amp;QXA28&amp;"*"&amp;TEXT(QXH28-utc_offset/24,"YYYYMMDD")&amp;"*"" /stext="" "&amp;TEXT(QXH28-utc_offset/24,"HH")&amp;search_regexp&amp;""""</f>
        <v>#REF!</v>
      </c>
      <c r="QYF28" s="234" t="e">
        <f>astrogrep_path&amp;" /e /r /s /spath="&amp;search_path&amp;" /stypes=""app*"&amp;QXB28&amp;"*"&amp;TEXT(QXI28-utc_offset/24,"YYYYMMDD")&amp;"*"" /stext="" "&amp;TEXT(QXI28-utc_offset/24,"HH")&amp;search_regexp&amp;""""</f>
        <v>#REF!</v>
      </c>
      <c r="QYG28" s="234" t="e">
        <f>astrogrep_path&amp;" /e /r /s /spath="&amp;search_path&amp;" /stypes=""app*"&amp;QXC28&amp;"*"&amp;TEXT(QXJ28-utc_offset/24,"YYYYMMDD")&amp;"*"" /stext="" "&amp;TEXT(QXJ28-utc_offset/24,"HH")&amp;search_regexp&amp;""""</f>
        <v>#REF!</v>
      </c>
      <c r="QYH28" s="234" t="e">
        <f>astrogrep_path&amp;" /e /r /s /spath="&amp;search_path&amp;" /stypes=""app*"&amp;QXD28&amp;"*"&amp;TEXT(QXK28-utc_offset/24,"YYYYMMDD")&amp;"*"" /stext="" "&amp;TEXT(QXK28-utc_offset/24,"HH")&amp;search_regexp&amp;""""</f>
        <v>#REF!</v>
      </c>
      <c r="QYI28" s="234" t="e">
        <f>astrogrep_path&amp;" /e /r /s /spath="&amp;search_path&amp;" /stypes=""app*"&amp;QXE28&amp;"*"&amp;TEXT(QXL28-utc_offset/24,"YYYYMMDD")&amp;"*"" /stext="" "&amp;TEXT(QXL28-utc_offset/24,"HH")&amp;search_regexp&amp;""""</f>
        <v>#VALUE!</v>
      </c>
      <c r="QYJ28" s="234" t="e">
        <f>astrogrep_path&amp;" /e /r /s /spath="&amp;search_path&amp;" /stypes=""app*"&amp;QXF28&amp;"*"&amp;TEXT(QXM28-utc_offset/24,"YYYYMMDD")&amp;"*"" /stext="" "&amp;TEXT(QXM28-utc_offset/24,"HH")&amp;search_regexp&amp;""""</f>
        <v>#VALUE!</v>
      </c>
      <c r="QYK28" s="234" t="e">
        <f>astrogrep_path&amp;" /e /r /s /spath="&amp;search_path&amp;" /stypes=""app*"&amp;QXG28&amp;"*"&amp;TEXT(QXN28-utc_offset/24,"YYYYMMDD")&amp;"*"" /stext="" "&amp;TEXT(QXN28-utc_offset/24,"HH")&amp;search_regexp&amp;""""</f>
        <v>#REF!</v>
      </c>
      <c r="QYL28" s="234" t="e">
        <f>astrogrep_path&amp;" /e /r /s /spath="&amp;search_path&amp;" /stypes=""app*"&amp;QXH28&amp;"*"&amp;TEXT(QXO28-utc_offset/24,"YYYYMMDD")&amp;"*"" /stext="" "&amp;TEXT(QXO28-utc_offset/24,"HH")&amp;search_regexp&amp;""""</f>
        <v>#REF!</v>
      </c>
      <c r="QYM28" s="234" t="e">
        <f>astrogrep_path&amp;" /e /r /s /spath="&amp;search_path&amp;" /stypes=""app*"&amp;QXI28&amp;"*"&amp;TEXT(QXP28-utc_offset/24,"YYYYMMDD")&amp;"*"" /stext="" "&amp;TEXT(QXP28-utc_offset/24,"HH")&amp;search_regexp&amp;""""</f>
        <v>#VALUE!</v>
      </c>
      <c r="QYN28" s="234" t="e">
        <f>astrogrep_path&amp;" /e /r /s /spath="&amp;search_path&amp;" /stypes=""app*"&amp;QXJ28&amp;"*"&amp;TEXT(QXQ28-utc_offset/24,"YYYYMMDD")&amp;"*"" /stext="" "&amp;TEXT(QXQ28-utc_offset/24,"HH")&amp;search_regexp&amp;""""</f>
        <v>#VALUE!</v>
      </c>
      <c r="QYO28" s="234" t="e">
        <f>astrogrep_path&amp;" /e /r /s /spath="&amp;search_path&amp;" /stypes=""app*"&amp;QXK28&amp;"*"&amp;TEXT(QXR28-utc_offset/24,"YYYYMMDD")&amp;"*"" /stext="" "&amp;TEXT(QXR28-utc_offset/24,"HH")&amp;search_regexp&amp;""""</f>
        <v>#VALUE!</v>
      </c>
      <c r="QYP28" s="234" t="e">
        <f>astrogrep_path&amp;" /e /r /s /spath="&amp;search_path&amp;" /stypes=""app*"&amp;QXL28&amp;"*"&amp;TEXT(QXS28-utc_offset/24,"YYYYMMDD")&amp;"*"" /stext="" "&amp;TEXT(QXS28-utc_offset/24,"HH")&amp;search_regexp&amp;""""</f>
        <v>#VALUE!</v>
      </c>
      <c r="QYQ28" s="234" t="e">
        <f>astrogrep_path&amp;" /e /r /s /spath="&amp;search_path&amp;" /stypes=""app*"&amp;QXM28&amp;"*"&amp;TEXT(QXT28-utc_offset/24,"YYYYMMDD")&amp;"*"" /stext="" "&amp;TEXT(QXT28-utc_offset/24,"HH")&amp;search_regexp&amp;""""</f>
        <v>#VALUE!</v>
      </c>
      <c r="QYR28" s="234" t="e">
        <f>astrogrep_path&amp;" /e /r /s /spath="&amp;search_path&amp;" /stypes=""app*"&amp;QXN28&amp;"*"&amp;TEXT(QXU28-utc_offset/24,"YYYYMMDD")&amp;"*"" /stext="" "&amp;TEXT(QXU28-utc_offset/24,"HH")&amp;search_regexp&amp;""""</f>
        <v>#REF!</v>
      </c>
      <c r="QYS28" s="234" t="e">
        <f>astrogrep_path&amp;" /e /r /s /spath="&amp;search_path&amp;" /stypes=""app*"&amp;QXO28&amp;"*"&amp;TEXT(QXV28-utc_offset/24,"YYYYMMDD")&amp;"*"" /stext="" "&amp;TEXT(QXV28-utc_offset/24,"HH")&amp;search_regexp&amp;""""</f>
        <v>#REF!</v>
      </c>
      <c r="QYT28" s="234" t="e">
        <f>astrogrep_path&amp;" /e /r /s /spath="&amp;search_path&amp;" /stypes=""app*"&amp;QXP28&amp;"*"&amp;TEXT(QXW28-utc_offset/24,"YYYYMMDD")&amp;"*"" /stext="" "&amp;TEXT(QXW28-utc_offset/24,"HH")&amp;search_regexp&amp;""""</f>
        <v>#REF!</v>
      </c>
      <c r="QYU28" s="234" t="e">
        <f>astrogrep_path&amp;" /e /r /s /spath="&amp;search_path&amp;" /stypes=""app*"&amp;QXQ28&amp;"*"&amp;TEXT(QXX28-utc_offset/24,"YYYYMMDD")&amp;"*"" /stext="" "&amp;TEXT(QXX28-utc_offset/24,"HH")&amp;search_regexp&amp;""""</f>
        <v>#REF!</v>
      </c>
      <c r="QYV28" s="234" t="e">
        <f>astrogrep_path&amp;" /e /r /s /spath="&amp;search_path&amp;" /stypes=""app*"&amp;QXR28&amp;"*"&amp;TEXT(QXY28-utc_offset/24,"YYYYMMDD")&amp;"*"" /stext="" "&amp;TEXT(QXY28-utc_offset/24,"HH")&amp;search_regexp&amp;""""</f>
        <v>#REF!</v>
      </c>
      <c r="QYW28" s="234" t="e">
        <f>astrogrep_path&amp;" /e /r /s /spath="&amp;search_path&amp;" /stypes=""app*"&amp;QXS28&amp;"*"&amp;TEXT(QXZ28-utc_offset/24,"YYYYMMDD")&amp;"*"" /stext="" "&amp;TEXT(QXZ28-utc_offset/24,"HH")&amp;search_regexp&amp;""""</f>
        <v>#REF!</v>
      </c>
      <c r="QYX28" s="234" t="e">
        <f>astrogrep_path&amp;" /e /r /s /spath="&amp;search_path&amp;" /stypes=""app*"&amp;QXT28&amp;"*"&amp;TEXT(QYA28-utc_offset/24,"YYYYMMDD")&amp;"*"" /stext="" "&amp;TEXT(QYA28-utc_offset/24,"HH")&amp;search_regexp&amp;""""</f>
        <v>#REF!</v>
      </c>
      <c r="QYY28" s="234" t="e">
        <f>astrogrep_path&amp;" /e /r /s /spath="&amp;search_path&amp;" /stypes=""app*"&amp;QXU28&amp;"*"&amp;TEXT(QYB28-utc_offset/24,"YYYYMMDD")&amp;"*"" /stext="" "&amp;TEXT(QYB28-utc_offset/24,"HH")&amp;search_regexp&amp;""""</f>
        <v>#REF!</v>
      </c>
      <c r="QYZ28" s="234" t="e">
        <f>astrogrep_path&amp;" /e /r /s /spath="&amp;search_path&amp;" /stypes=""app*"&amp;QXV28&amp;"*"&amp;TEXT(QYC28-utc_offset/24,"YYYYMMDD")&amp;"*"" /stext="" "&amp;TEXT(QYC28-utc_offset/24,"HH")&amp;search_regexp&amp;""""</f>
        <v>#REF!</v>
      </c>
      <c r="QZA28" s="234" t="e">
        <f>astrogrep_path&amp;" /e /r /s /spath="&amp;search_path&amp;" /stypes=""app*"&amp;QXW28&amp;"*"&amp;TEXT(QYD28-utc_offset/24,"YYYYMMDD")&amp;"*"" /stext="" "&amp;TEXT(QYD28-utc_offset/24,"HH")&amp;search_regexp&amp;""""</f>
        <v>#REF!</v>
      </c>
      <c r="QZB28" s="234" t="e">
        <f>astrogrep_path&amp;" /e /r /s /spath="&amp;search_path&amp;" /stypes=""app*"&amp;QXX28&amp;"*"&amp;TEXT(QYE28-utc_offset/24,"YYYYMMDD")&amp;"*"" /stext="" "&amp;TEXT(QYE28-utc_offset/24,"HH")&amp;search_regexp&amp;""""</f>
        <v>#REF!</v>
      </c>
      <c r="QZC28" s="234" t="e">
        <f>astrogrep_path&amp;" /e /r /s /spath="&amp;search_path&amp;" /stypes=""app*"&amp;QXY28&amp;"*"&amp;TEXT(QYF28-utc_offset/24,"YYYYMMDD")&amp;"*"" /stext="" "&amp;TEXT(QYF28-utc_offset/24,"HH")&amp;search_regexp&amp;""""</f>
        <v>#REF!</v>
      </c>
      <c r="QZD28" s="234" t="e">
        <f>astrogrep_path&amp;" /e /r /s /spath="&amp;search_path&amp;" /stypes=""app*"&amp;QXZ28&amp;"*"&amp;TEXT(QYG28-utc_offset/24,"YYYYMMDD")&amp;"*"" /stext="" "&amp;TEXT(QYG28-utc_offset/24,"HH")&amp;search_regexp&amp;""""</f>
        <v>#REF!</v>
      </c>
      <c r="QZE28" s="234" t="e">
        <f>astrogrep_path&amp;" /e /r /s /spath="&amp;search_path&amp;" /stypes=""app*"&amp;QYA28&amp;"*"&amp;TEXT(QYH28-utc_offset/24,"YYYYMMDD")&amp;"*"" /stext="" "&amp;TEXT(QYH28-utc_offset/24,"HH")&amp;search_regexp&amp;""""</f>
        <v>#REF!</v>
      </c>
      <c r="QZF28" s="234" t="e">
        <f>astrogrep_path&amp;" /e /r /s /spath="&amp;search_path&amp;" /stypes=""app*"&amp;QYB28&amp;"*"&amp;TEXT(QYI28-utc_offset/24,"YYYYMMDD")&amp;"*"" /stext="" "&amp;TEXT(QYI28-utc_offset/24,"HH")&amp;search_regexp&amp;""""</f>
        <v>#REF!</v>
      </c>
      <c r="QZG28" s="234" t="e">
        <f>astrogrep_path&amp;" /e /r /s /spath="&amp;search_path&amp;" /stypes=""app*"&amp;QYC28&amp;"*"&amp;TEXT(QYJ28-utc_offset/24,"YYYYMMDD")&amp;"*"" /stext="" "&amp;TEXT(QYJ28-utc_offset/24,"HH")&amp;search_regexp&amp;""""</f>
        <v>#REF!</v>
      </c>
      <c r="QZH28" s="234" t="e">
        <f>astrogrep_path&amp;" /e /r /s /spath="&amp;search_path&amp;" /stypes=""app*"&amp;QYD28&amp;"*"&amp;TEXT(QYK28-utc_offset/24,"YYYYMMDD")&amp;"*"" /stext="" "&amp;TEXT(QYK28-utc_offset/24,"HH")&amp;search_regexp&amp;""""</f>
        <v>#REF!</v>
      </c>
      <c r="QZI28" s="234" t="e">
        <f>astrogrep_path&amp;" /e /r /s /spath="&amp;search_path&amp;" /stypes=""app*"&amp;QYE28&amp;"*"&amp;TEXT(QYL28-utc_offset/24,"YYYYMMDD")&amp;"*"" /stext="" "&amp;TEXT(QYL28-utc_offset/24,"HH")&amp;search_regexp&amp;""""</f>
        <v>#REF!</v>
      </c>
      <c r="QZJ28" s="234" t="e">
        <f>astrogrep_path&amp;" /e /r /s /spath="&amp;search_path&amp;" /stypes=""app*"&amp;QYF28&amp;"*"&amp;TEXT(QYM28-utc_offset/24,"YYYYMMDD")&amp;"*"" /stext="" "&amp;TEXT(QYM28-utc_offset/24,"HH")&amp;search_regexp&amp;""""</f>
        <v>#REF!</v>
      </c>
      <c r="QZK28" s="234" t="e">
        <f>astrogrep_path&amp;" /e /r /s /spath="&amp;search_path&amp;" /stypes=""app*"&amp;QYG28&amp;"*"&amp;TEXT(QYN28-utc_offset/24,"YYYYMMDD")&amp;"*"" /stext="" "&amp;TEXT(QYN28-utc_offset/24,"HH")&amp;search_regexp&amp;""""</f>
        <v>#REF!</v>
      </c>
      <c r="QZL28" s="234" t="e">
        <f>astrogrep_path&amp;" /e /r /s /spath="&amp;search_path&amp;" /stypes=""app*"&amp;QYH28&amp;"*"&amp;TEXT(QYO28-utc_offset/24,"YYYYMMDD")&amp;"*"" /stext="" "&amp;TEXT(QYO28-utc_offset/24,"HH")&amp;search_regexp&amp;""""</f>
        <v>#REF!</v>
      </c>
      <c r="QZM28" s="234" t="e">
        <f>astrogrep_path&amp;" /e /r /s /spath="&amp;search_path&amp;" /stypes=""app*"&amp;QYI28&amp;"*"&amp;TEXT(QYP28-utc_offset/24,"YYYYMMDD")&amp;"*"" /stext="" "&amp;TEXT(QYP28-utc_offset/24,"HH")&amp;search_regexp&amp;""""</f>
        <v>#VALUE!</v>
      </c>
      <c r="QZN28" s="234" t="e">
        <f>astrogrep_path&amp;" /e /r /s /spath="&amp;search_path&amp;" /stypes=""app*"&amp;QYJ28&amp;"*"&amp;TEXT(QYQ28-utc_offset/24,"YYYYMMDD")&amp;"*"" /stext="" "&amp;TEXT(QYQ28-utc_offset/24,"HH")&amp;search_regexp&amp;""""</f>
        <v>#VALUE!</v>
      </c>
      <c r="QZO28" s="234" t="e">
        <f>astrogrep_path&amp;" /e /r /s /spath="&amp;search_path&amp;" /stypes=""app*"&amp;QYK28&amp;"*"&amp;TEXT(QYR28-utc_offset/24,"YYYYMMDD")&amp;"*"" /stext="" "&amp;TEXT(QYR28-utc_offset/24,"HH")&amp;search_regexp&amp;""""</f>
        <v>#REF!</v>
      </c>
      <c r="QZP28" s="234" t="e">
        <f>astrogrep_path&amp;" /e /r /s /spath="&amp;search_path&amp;" /stypes=""app*"&amp;QYL28&amp;"*"&amp;TEXT(QYS28-utc_offset/24,"YYYYMMDD")&amp;"*"" /stext="" "&amp;TEXT(QYS28-utc_offset/24,"HH")&amp;search_regexp&amp;""""</f>
        <v>#REF!</v>
      </c>
      <c r="QZQ28" s="234" t="e">
        <f>astrogrep_path&amp;" /e /r /s /spath="&amp;search_path&amp;" /stypes=""app*"&amp;QYM28&amp;"*"&amp;TEXT(QYT28-utc_offset/24,"YYYYMMDD")&amp;"*"" /stext="" "&amp;TEXT(QYT28-utc_offset/24,"HH")&amp;search_regexp&amp;""""</f>
        <v>#VALUE!</v>
      </c>
      <c r="QZR28" s="234" t="e">
        <f>astrogrep_path&amp;" /e /r /s /spath="&amp;search_path&amp;" /stypes=""app*"&amp;QYN28&amp;"*"&amp;TEXT(QYU28-utc_offset/24,"YYYYMMDD")&amp;"*"" /stext="" "&amp;TEXT(QYU28-utc_offset/24,"HH")&amp;search_regexp&amp;""""</f>
        <v>#VALUE!</v>
      </c>
      <c r="QZS28" s="234" t="e">
        <f>astrogrep_path&amp;" /e /r /s /spath="&amp;search_path&amp;" /stypes=""app*"&amp;QYO28&amp;"*"&amp;TEXT(QYV28-utc_offset/24,"YYYYMMDD")&amp;"*"" /stext="" "&amp;TEXT(QYV28-utc_offset/24,"HH")&amp;search_regexp&amp;""""</f>
        <v>#VALUE!</v>
      </c>
      <c r="QZT28" s="234" t="e">
        <f>astrogrep_path&amp;" /e /r /s /spath="&amp;search_path&amp;" /stypes=""app*"&amp;QYP28&amp;"*"&amp;TEXT(QYW28-utc_offset/24,"YYYYMMDD")&amp;"*"" /stext="" "&amp;TEXT(QYW28-utc_offset/24,"HH")&amp;search_regexp&amp;""""</f>
        <v>#VALUE!</v>
      </c>
      <c r="QZU28" s="234" t="e">
        <f>astrogrep_path&amp;" /e /r /s /spath="&amp;search_path&amp;" /stypes=""app*"&amp;QYQ28&amp;"*"&amp;TEXT(QYX28-utc_offset/24,"YYYYMMDD")&amp;"*"" /stext="" "&amp;TEXT(QYX28-utc_offset/24,"HH")&amp;search_regexp&amp;""""</f>
        <v>#VALUE!</v>
      </c>
      <c r="QZV28" s="234" t="e">
        <f>astrogrep_path&amp;" /e /r /s /spath="&amp;search_path&amp;" /stypes=""app*"&amp;QYR28&amp;"*"&amp;TEXT(QYY28-utc_offset/24,"YYYYMMDD")&amp;"*"" /stext="" "&amp;TEXT(QYY28-utc_offset/24,"HH")&amp;search_regexp&amp;""""</f>
        <v>#REF!</v>
      </c>
      <c r="QZW28" s="234" t="e">
        <f>astrogrep_path&amp;" /e /r /s /spath="&amp;search_path&amp;" /stypes=""app*"&amp;QYS28&amp;"*"&amp;TEXT(QYZ28-utc_offset/24,"YYYYMMDD")&amp;"*"" /stext="" "&amp;TEXT(QYZ28-utc_offset/24,"HH")&amp;search_regexp&amp;""""</f>
        <v>#REF!</v>
      </c>
      <c r="QZX28" s="234" t="e">
        <f>astrogrep_path&amp;" /e /r /s /spath="&amp;search_path&amp;" /stypes=""app*"&amp;QYT28&amp;"*"&amp;TEXT(QZA28-utc_offset/24,"YYYYMMDD")&amp;"*"" /stext="" "&amp;TEXT(QZA28-utc_offset/24,"HH")&amp;search_regexp&amp;""""</f>
        <v>#REF!</v>
      </c>
      <c r="QZY28" s="234" t="e">
        <f>astrogrep_path&amp;" /e /r /s /spath="&amp;search_path&amp;" /stypes=""app*"&amp;QYU28&amp;"*"&amp;TEXT(QZB28-utc_offset/24,"YYYYMMDD")&amp;"*"" /stext="" "&amp;TEXT(QZB28-utc_offset/24,"HH")&amp;search_regexp&amp;""""</f>
        <v>#REF!</v>
      </c>
      <c r="QZZ28" s="234" t="e">
        <f>astrogrep_path&amp;" /e /r /s /spath="&amp;search_path&amp;" /stypes=""app*"&amp;QYV28&amp;"*"&amp;TEXT(QZC28-utc_offset/24,"YYYYMMDD")&amp;"*"" /stext="" "&amp;TEXT(QZC28-utc_offset/24,"HH")&amp;search_regexp&amp;""""</f>
        <v>#REF!</v>
      </c>
      <c r="RAA28" s="234" t="e">
        <f>astrogrep_path&amp;" /e /r /s /spath="&amp;search_path&amp;" /stypes=""app*"&amp;QYW28&amp;"*"&amp;TEXT(QZD28-utc_offset/24,"YYYYMMDD")&amp;"*"" /stext="" "&amp;TEXT(QZD28-utc_offset/24,"HH")&amp;search_regexp&amp;""""</f>
        <v>#REF!</v>
      </c>
      <c r="RAB28" s="234" t="e">
        <f>astrogrep_path&amp;" /e /r /s /spath="&amp;search_path&amp;" /stypes=""app*"&amp;QYX28&amp;"*"&amp;TEXT(QZE28-utc_offset/24,"YYYYMMDD")&amp;"*"" /stext="" "&amp;TEXT(QZE28-utc_offset/24,"HH")&amp;search_regexp&amp;""""</f>
        <v>#REF!</v>
      </c>
      <c r="RAC28" s="234" t="e">
        <f>astrogrep_path&amp;" /e /r /s /spath="&amp;search_path&amp;" /stypes=""app*"&amp;QYY28&amp;"*"&amp;TEXT(QZF28-utc_offset/24,"YYYYMMDD")&amp;"*"" /stext="" "&amp;TEXT(QZF28-utc_offset/24,"HH")&amp;search_regexp&amp;""""</f>
        <v>#REF!</v>
      </c>
      <c r="RAD28" s="234" t="e">
        <f>astrogrep_path&amp;" /e /r /s /spath="&amp;search_path&amp;" /stypes=""app*"&amp;QYZ28&amp;"*"&amp;TEXT(QZG28-utc_offset/24,"YYYYMMDD")&amp;"*"" /stext="" "&amp;TEXT(QZG28-utc_offset/24,"HH")&amp;search_regexp&amp;""""</f>
        <v>#REF!</v>
      </c>
      <c r="RAE28" s="234" t="e">
        <f>astrogrep_path&amp;" /e /r /s /spath="&amp;search_path&amp;" /stypes=""app*"&amp;QZA28&amp;"*"&amp;TEXT(QZH28-utc_offset/24,"YYYYMMDD")&amp;"*"" /stext="" "&amp;TEXT(QZH28-utc_offset/24,"HH")&amp;search_regexp&amp;""""</f>
        <v>#REF!</v>
      </c>
      <c r="RAF28" s="234" t="e">
        <f>astrogrep_path&amp;" /e /r /s /spath="&amp;search_path&amp;" /stypes=""app*"&amp;QZB28&amp;"*"&amp;TEXT(QZI28-utc_offset/24,"YYYYMMDD")&amp;"*"" /stext="" "&amp;TEXT(QZI28-utc_offset/24,"HH")&amp;search_regexp&amp;""""</f>
        <v>#REF!</v>
      </c>
      <c r="RAG28" s="234" t="e">
        <f>astrogrep_path&amp;" /e /r /s /spath="&amp;search_path&amp;" /stypes=""app*"&amp;QZC28&amp;"*"&amp;TEXT(QZJ28-utc_offset/24,"YYYYMMDD")&amp;"*"" /stext="" "&amp;TEXT(QZJ28-utc_offset/24,"HH")&amp;search_regexp&amp;""""</f>
        <v>#REF!</v>
      </c>
      <c r="RAH28" s="234" t="e">
        <f>astrogrep_path&amp;" /e /r /s /spath="&amp;search_path&amp;" /stypes=""app*"&amp;QZD28&amp;"*"&amp;TEXT(QZK28-utc_offset/24,"YYYYMMDD")&amp;"*"" /stext="" "&amp;TEXT(QZK28-utc_offset/24,"HH")&amp;search_regexp&amp;""""</f>
        <v>#REF!</v>
      </c>
      <c r="RAI28" s="234" t="e">
        <f>astrogrep_path&amp;" /e /r /s /spath="&amp;search_path&amp;" /stypes=""app*"&amp;QZE28&amp;"*"&amp;TEXT(QZL28-utc_offset/24,"YYYYMMDD")&amp;"*"" /stext="" "&amp;TEXT(QZL28-utc_offset/24,"HH")&amp;search_regexp&amp;""""</f>
        <v>#REF!</v>
      </c>
      <c r="RAJ28" s="234" t="e">
        <f>astrogrep_path&amp;" /e /r /s /spath="&amp;search_path&amp;" /stypes=""app*"&amp;QZF28&amp;"*"&amp;TEXT(QZM28-utc_offset/24,"YYYYMMDD")&amp;"*"" /stext="" "&amp;TEXT(QZM28-utc_offset/24,"HH")&amp;search_regexp&amp;""""</f>
        <v>#REF!</v>
      </c>
      <c r="RAK28" s="234" t="e">
        <f>astrogrep_path&amp;" /e /r /s /spath="&amp;search_path&amp;" /stypes=""app*"&amp;QZG28&amp;"*"&amp;TEXT(QZN28-utc_offset/24,"YYYYMMDD")&amp;"*"" /stext="" "&amp;TEXT(QZN28-utc_offset/24,"HH")&amp;search_regexp&amp;""""</f>
        <v>#REF!</v>
      </c>
      <c r="RAL28" s="234" t="e">
        <f>astrogrep_path&amp;" /e /r /s /spath="&amp;search_path&amp;" /stypes=""app*"&amp;QZH28&amp;"*"&amp;TEXT(QZO28-utc_offset/24,"YYYYMMDD")&amp;"*"" /stext="" "&amp;TEXT(QZO28-utc_offset/24,"HH")&amp;search_regexp&amp;""""</f>
        <v>#REF!</v>
      </c>
      <c r="RAM28" s="234" t="e">
        <f>astrogrep_path&amp;" /e /r /s /spath="&amp;search_path&amp;" /stypes=""app*"&amp;QZI28&amp;"*"&amp;TEXT(QZP28-utc_offset/24,"YYYYMMDD")&amp;"*"" /stext="" "&amp;TEXT(QZP28-utc_offset/24,"HH")&amp;search_regexp&amp;""""</f>
        <v>#REF!</v>
      </c>
      <c r="RAN28" s="234" t="e">
        <f>astrogrep_path&amp;" /e /r /s /spath="&amp;search_path&amp;" /stypes=""app*"&amp;QZJ28&amp;"*"&amp;TEXT(QZQ28-utc_offset/24,"YYYYMMDD")&amp;"*"" /stext="" "&amp;TEXT(QZQ28-utc_offset/24,"HH")&amp;search_regexp&amp;""""</f>
        <v>#REF!</v>
      </c>
      <c r="RAO28" s="234" t="e">
        <f>astrogrep_path&amp;" /e /r /s /spath="&amp;search_path&amp;" /stypes=""app*"&amp;QZK28&amp;"*"&amp;TEXT(QZR28-utc_offset/24,"YYYYMMDD")&amp;"*"" /stext="" "&amp;TEXT(QZR28-utc_offset/24,"HH")&amp;search_regexp&amp;""""</f>
        <v>#REF!</v>
      </c>
      <c r="RAP28" s="234" t="e">
        <f>astrogrep_path&amp;" /e /r /s /spath="&amp;search_path&amp;" /stypes=""app*"&amp;QZL28&amp;"*"&amp;TEXT(QZS28-utc_offset/24,"YYYYMMDD")&amp;"*"" /stext="" "&amp;TEXT(QZS28-utc_offset/24,"HH")&amp;search_regexp&amp;""""</f>
        <v>#REF!</v>
      </c>
      <c r="RAQ28" s="234" t="e">
        <f>astrogrep_path&amp;" /e /r /s /spath="&amp;search_path&amp;" /stypes=""app*"&amp;QZM28&amp;"*"&amp;TEXT(QZT28-utc_offset/24,"YYYYMMDD")&amp;"*"" /stext="" "&amp;TEXT(QZT28-utc_offset/24,"HH")&amp;search_regexp&amp;""""</f>
        <v>#VALUE!</v>
      </c>
      <c r="RAR28" s="234" t="e">
        <f>astrogrep_path&amp;" /e /r /s /spath="&amp;search_path&amp;" /stypes=""app*"&amp;QZN28&amp;"*"&amp;TEXT(QZU28-utc_offset/24,"YYYYMMDD")&amp;"*"" /stext="" "&amp;TEXT(QZU28-utc_offset/24,"HH")&amp;search_regexp&amp;""""</f>
        <v>#VALUE!</v>
      </c>
      <c r="RAS28" s="234" t="e">
        <f>astrogrep_path&amp;" /e /r /s /spath="&amp;search_path&amp;" /stypes=""app*"&amp;QZO28&amp;"*"&amp;TEXT(QZV28-utc_offset/24,"YYYYMMDD")&amp;"*"" /stext="" "&amp;TEXT(QZV28-utc_offset/24,"HH")&amp;search_regexp&amp;""""</f>
        <v>#REF!</v>
      </c>
      <c r="RAT28" s="234" t="e">
        <f>astrogrep_path&amp;" /e /r /s /spath="&amp;search_path&amp;" /stypes=""app*"&amp;QZP28&amp;"*"&amp;TEXT(QZW28-utc_offset/24,"YYYYMMDD")&amp;"*"" /stext="" "&amp;TEXT(QZW28-utc_offset/24,"HH")&amp;search_regexp&amp;""""</f>
        <v>#REF!</v>
      </c>
      <c r="RAU28" s="234" t="e">
        <f>astrogrep_path&amp;" /e /r /s /spath="&amp;search_path&amp;" /stypes=""app*"&amp;QZQ28&amp;"*"&amp;TEXT(QZX28-utc_offset/24,"YYYYMMDD")&amp;"*"" /stext="" "&amp;TEXT(QZX28-utc_offset/24,"HH")&amp;search_regexp&amp;""""</f>
        <v>#VALUE!</v>
      </c>
      <c r="RAV28" s="234" t="e">
        <f>astrogrep_path&amp;" /e /r /s /spath="&amp;search_path&amp;" /stypes=""app*"&amp;QZR28&amp;"*"&amp;TEXT(QZY28-utc_offset/24,"YYYYMMDD")&amp;"*"" /stext="" "&amp;TEXT(QZY28-utc_offset/24,"HH")&amp;search_regexp&amp;""""</f>
        <v>#VALUE!</v>
      </c>
      <c r="RAW28" s="234" t="e">
        <f>astrogrep_path&amp;" /e /r /s /spath="&amp;search_path&amp;" /stypes=""app*"&amp;QZS28&amp;"*"&amp;TEXT(QZZ28-utc_offset/24,"YYYYMMDD")&amp;"*"" /stext="" "&amp;TEXT(QZZ28-utc_offset/24,"HH")&amp;search_regexp&amp;""""</f>
        <v>#VALUE!</v>
      </c>
      <c r="RAX28" s="234" t="e">
        <f>astrogrep_path&amp;" /e /r /s /spath="&amp;search_path&amp;" /stypes=""app*"&amp;QZT28&amp;"*"&amp;TEXT(RAA28-utc_offset/24,"YYYYMMDD")&amp;"*"" /stext="" "&amp;TEXT(RAA28-utc_offset/24,"HH")&amp;search_regexp&amp;""""</f>
        <v>#VALUE!</v>
      </c>
      <c r="RAY28" s="234" t="e">
        <f>astrogrep_path&amp;" /e /r /s /spath="&amp;search_path&amp;" /stypes=""app*"&amp;QZU28&amp;"*"&amp;TEXT(RAB28-utc_offset/24,"YYYYMMDD")&amp;"*"" /stext="" "&amp;TEXT(RAB28-utc_offset/24,"HH")&amp;search_regexp&amp;""""</f>
        <v>#VALUE!</v>
      </c>
      <c r="RAZ28" s="234" t="e">
        <f>astrogrep_path&amp;" /e /r /s /spath="&amp;search_path&amp;" /stypes=""app*"&amp;QZV28&amp;"*"&amp;TEXT(RAC28-utc_offset/24,"YYYYMMDD")&amp;"*"" /stext="" "&amp;TEXT(RAC28-utc_offset/24,"HH")&amp;search_regexp&amp;""""</f>
        <v>#REF!</v>
      </c>
      <c r="RBA28" s="234" t="e">
        <f>astrogrep_path&amp;" /e /r /s /spath="&amp;search_path&amp;" /stypes=""app*"&amp;QZW28&amp;"*"&amp;TEXT(RAD28-utc_offset/24,"YYYYMMDD")&amp;"*"" /stext="" "&amp;TEXT(RAD28-utc_offset/24,"HH")&amp;search_regexp&amp;""""</f>
        <v>#REF!</v>
      </c>
      <c r="RBB28" s="234" t="e">
        <f>astrogrep_path&amp;" /e /r /s /spath="&amp;search_path&amp;" /stypes=""app*"&amp;QZX28&amp;"*"&amp;TEXT(RAE28-utc_offset/24,"YYYYMMDD")&amp;"*"" /stext="" "&amp;TEXT(RAE28-utc_offset/24,"HH")&amp;search_regexp&amp;""""</f>
        <v>#REF!</v>
      </c>
      <c r="RBC28" s="234" t="e">
        <f>astrogrep_path&amp;" /e /r /s /spath="&amp;search_path&amp;" /stypes=""app*"&amp;QZY28&amp;"*"&amp;TEXT(RAF28-utc_offset/24,"YYYYMMDD")&amp;"*"" /stext="" "&amp;TEXT(RAF28-utc_offset/24,"HH")&amp;search_regexp&amp;""""</f>
        <v>#REF!</v>
      </c>
      <c r="RBD28" s="234" t="e">
        <f>astrogrep_path&amp;" /e /r /s /spath="&amp;search_path&amp;" /stypes=""app*"&amp;QZZ28&amp;"*"&amp;TEXT(RAG28-utc_offset/24,"YYYYMMDD")&amp;"*"" /stext="" "&amp;TEXT(RAG28-utc_offset/24,"HH")&amp;search_regexp&amp;""""</f>
        <v>#REF!</v>
      </c>
      <c r="RBE28" s="234" t="e">
        <f>astrogrep_path&amp;" /e /r /s /spath="&amp;search_path&amp;" /stypes=""app*"&amp;RAA28&amp;"*"&amp;TEXT(RAH28-utc_offset/24,"YYYYMMDD")&amp;"*"" /stext="" "&amp;TEXT(RAH28-utc_offset/24,"HH")&amp;search_regexp&amp;""""</f>
        <v>#REF!</v>
      </c>
      <c r="RBF28" s="234" t="e">
        <f>astrogrep_path&amp;" /e /r /s /spath="&amp;search_path&amp;" /stypes=""app*"&amp;RAB28&amp;"*"&amp;TEXT(RAI28-utc_offset/24,"YYYYMMDD")&amp;"*"" /stext="" "&amp;TEXT(RAI28-utc_offset/24,"HH")&amp;search_regexp&amp;""""</f>
        <v>#REF!</v>
      </c>
      <c r="RBG28" s="234" t="e">
        <f>astrogrep_path&amp;" /e /r /s /spath="&amp;search_path&amp;" /stypes=""app*"&amp;RAC28&amp;"*"&amp;TEXT(RAJ28-utc_offset/24,"YYYYMMDD")&amp;"*"" /stext="" "&amp;TEXT(RAJ28-utc_offset/24,"HH")&amp;search_regexp&amp;""""</f>
        <v>#REF!</v>
      </c>
      <c r="RBH28" s="234" t="e">
        <f>astrogrep_path&amp;" /e /r /s /spath="&amp;search_path&amp;" /stypes=""app*"&amp;RAD28&amp;"*"&amp;TEXT(RAK28-utc_offset/24,"YYYYMMDD")&amp;"*"" /stext="" "&amp;TEXT(RAK28-utc_offset/24,"HH")&amp;search_regexp&amp;""""</f>
        <v>#REF!</v>
      </c>
      <c r="RBI28" s="234" t="e">
        <f>astrogrep_path&amp;" /e /r /s /spath="&amp;search_path&amp;" /stypes=""app*"&amp;RAE28&amp;"*"&amp;TEXT(RAL28-utc_offset/24,"YYYYMMDD")&amp;"*"" /stext="" "&amp;TEXT(RAL28-utc_offset/24,"HH")&amp;search_regexp&amp;""""</f>
        <v>#REF!</v>
      </c>
      <c r="RBJ28" s="234" t="e">
        <f>astrogrep_path&amp;" /e /r /s /spath="&amp;search_path&amp;" /stypes=""app*"&amp;RAF28&amp;"*"&amp;TEXT(RAM28-utc_offset/24,"YYYYMMDD")&amp;"*"" /stext="" "&amp;TEXT(RAM28-utc_offset/24,"HH")&amp;search_regexp&amp;""""</f>
        <v>#REF!</v>
      </c>
      <c r="RBK28" s="234" t="e">
        <f>astrogrep_path&amp;" /e /r /s /spath="&amp;search_path&amp;" /stypes=""app*"&amp;RAG28&amp;"*"&amp;TEXT(RAN28-utc_offset/24,"YYYYMMDD")&amp;"*"" /stext="" "&amp;TEXT(RAN28-utc_offset/24,"HH")&amp;search_regexp&amp;""""</f>
        <v>#REF!</v>
      </c>
      <c r="RBL28" s="234" t="e">
        <f>astrogrep_path&amp;" /e /r /s /spath="&amp;search_path&amp;" /stypes=""app*"&amp;RAH28&amp;"*"&amp;TEXT(RAO28-utc_offset/24,"YYYYMMDD")&amp;"*"" /stext="" "&amp;TEXT(RAO28-utc_offset/24,"HH")&amp;search_regexp&amp;""""</f>
        <v>#REF!</v>
      </c>
      <c r="RBM28" s="234" t="e">
        <f>astrogrep_path&amp;" /e /r /s /spath="&amp;search_path&amp;" /stypes=""app*"&amp;RAI28&amp;"*"&amp;TEXT(RAP28-utc_offset/24,"YYYYMMDD")&amp;"*"" /stext="" "&amp;TEXT(RAP28-utc_offset/24,"HH")&amp;search_regexp&amp;""""</f>
        <v>#REF!</v>
      </c>
      <c r="RBN28" s="234" t="e">
        <f>astrogrep_path&amp;" /e /r /s /spath="&amp;search_path&amp;" /stypes=""app*"&amp;RAJ28&amp;"*"&amp;TEXT(RAQ28-utc_offset/24,"YYYYMMDD")&amp;"*"" /stext="" "&amp;TEXT(RAQ28-utc_offset/24,"HH")&amp;search_regexp&amp;""""</f>
        <v>#REF!</v>
      </c>
      <c r="RBO28" s="234" t="e">
        <f>astrogrep_path&amp;" /e /r /s /spath="&amp;search_path&amp;" /stypes=""app*"&amp;RAK28&amp;"*"&amp;TEXT(RAR28-utc_offset/24,"YYYYMMDD")&amp;"*"" /stext="" "&amp;TEXT(RAR28-utc_offset/24,"HH")&amp;search_regexp&amp;""""</f>
        <v>#REF!</v>
      </c>
      <c r="RBP28" s="234" t="e">
        <f>astrogrep_path&amp;" /e /r /s /spath="&amp;search_path&amp;" /stypes=""app*"&amp;RAL28&amp;"*"&amp;TEXT(RAS28-utc_offset/24,"YYYYMMDD")&amp;"*"" /stext="" "&amp;TEXT(RAS28-utc_offset/24,"HH")&amp;search_regexp&amp;""""</f>
        <v>#REF!</v>
      </c>
      <c r="RBQ28" s="234" t="e">
        <f>astrogrep_path&amp;" /e /r /s /spath="&amp;search_path&amp;" /stypes=""app*"&amp;RAM28&amp;"*"&amp;TEXT(RAT28-utc_offset/24,"YYYYMMDD")&amp;"*"" /stext="" "&amp;TEXT(RAT28-utc_offset/24,"HH")&amp;search_regexp&amp;""""</f>
        <v>#REF!</v>
      </c>
      <c r="RBR28" s="234" t="e">
        <f>astrogrep_path&amp;" /e /r /s /spath="&amp;search_path&amp;" /stypes=""app*"&amp;RAN28&amp;"*"&amp;TEXT(RAU28-utc_offset/24,"YYYYMMDD")&amp;"*"" /stext="" "&amp;TEXT(RAU28-utc_offset/24,"HH")&amp;search_regexp&amp;""""</f>
        <v>#REF!</v>
      </c>
      <c r="RBS28" s="234" t="e">
        <f>astrogrep_path&amp;" /e /r /s /spath="&amp;search_path&amp;" /stypes=""app*"&amp;RAO28&amp;"*"&amp;TEXT(RAV28-utc_offset/24,"YYYYMMDD")&amp;"*"" /stext="" "&amp;TEXT(RAV28-utc_offset/24,"HH")&amp;search_regexp&amp;""""</f>
        <v>#REF!</v>
      </c>
      <c r="RBT28" s="234" t="e">
        <f>astrogrep_path&amp;" /e /r /s /spath="&amp;search_path&amp;" /stypes=""app*"&amp;RAP28&amp;"*"&amp;TEXT(RAW28-utc_offset/24,"YYYYMMDD")&amp;"*"" /stext="" "&amp;TEXT(RAW28-utc_offset/24,"HH")&amp;search_regexp&amp;""""</f>
        <v>#REF!</v>
      </c>
      <c r="RBU28" s="234" t="e">
        <f>astrogrep_path&amp;" /e /r /s /spath="&amp;search_path&amp;" /stypes=""app*"&amp;RAQ28&amp;"*"&amp;TEXT(RAX28-utc_offset/24,"YYYYMMDD")&amp;"*"" /stext="" "&amp;TEXT(RAX28-utc_offset/24,"HH")&amp;search_regexp&amp;""""</f>
        <v>#VALUE!</v>
      </c>
      <c r="RBV28" s="234" t="e">
        <f>astrogrep_path&amp;" /e /r /s /spath="&amp;search_path&amp;" /stypes=""app*"&amp;RAR28&amp;"*"&amp;TEXT(RAY28-utc_offset/24,"YYYYMMDD")&amp;"*"" /stext="" "&amp;TEXT(RAY28-utc_offset/24,"HH")&amp;search_regexp&amp;""""</f>
        <v>#VALUE!</v>
      </c>
      <c r="RBW28" s="234" t="e">
        <f>astrogrep_path&amp;" /e /r /s /spath="&amp;search_path&amp;" /stypes=""app*"&amp;RAS28&amp;"*"&amp;TEXT(RAZ28-utc_offset/24,"YYYYMMDD")&amp;"*"" /stext="" "&amp;TEXT(RAZ28-utc_offset/24,"HH")&amp;search_regexp&amp;""""</f>
        <v>#REF!</v>
      </c>
      <c r="RBX28" s="234" t="e">
        <f>astrogrep_path&amp;" /e /r /s /spath="&amp;search_path&amp;" /stypes=""app*"&amp;RAT28&amp;"*"&amp;TEXT(RBA28-utc_offset/24,"YYYYMMDD")&amp;"*"" /stext="" "&amp;TEXT(RBA28-utc_offset/24,"HH")&amp;search_regexp&amp;""""</f>
        <v>#REF!</v>
      </c>
      <c r="RBY28" s="234" t="e">
        <f>astrogrep_path&amp;" /e /r /s /spath="&amp;search_path&amp;" /stypes=""app*"&amp;RAU28&amp;"*"&amp;TEXT(RBB28-utc_offset/24,"YYYYMMDD")&amp;"*"" /stext="" "&amp;TEXT(RBB28-utc_offset/24,"HH")&amp;search_regexp&amp;""""</f>
        <v>#VALUE!</v>
      </c>
      <c r="RBZ28" s="234" t="e">
        <f>astrogrep_path&amp;" /e /r /s /spath="&amp;search_path&amp;" /stypes=""app*"&amp;RAV28&amp;"*"&amp;TEXT(RBC28-utc_offset/24,"YYYYMMDD")&amp;"*"" /stext="" "&amp;TEXT(RBC28-utc_offset/24,"HH")&amp;search_regexp&amp;""""</f>
        <v>#VALUE!</v>
      </c>
      <c r="RCA28" s="234" t="e">
        <f>astrogrep_path&amp;" /e /r /s /spath="&amp;search_path&amp;" /stypes=""app*"&amp;RAW28&amp;"*"&amp;TEXT(RBD28-utc_offset/24,"YYYYMMDD")&amp;"*"" /stext="" "&amp;TEXT(RBD28-utc_offset/24,"HH")&amp;search_regexp&amp;""""</f>
        <v>#VALUE!</v>
      </c>
      <c r="RCB28" s="234" t="e">
        <f>astrogrep_path&amp;" /e /r /s /spath="&amp;search_path&amp;" /stypes=""app*"&amp;RAX28&amp;"*"&amp;TEXT(RBE28-utc_offset/24,"YYYYMMDD")&amp;"*"" /stext="" "&amp;TEXT(RBE28-utc_offset/24,"HH")&amp;search_regexp&amp;""""</f>
        <v>#VALUE!</v>
      </c>
      <c r="RCC28" s="234" t="e">
        <f>astrogrep_path&amp;" /e /r /s /spath="&amp;search_path&amp;" /stypes=""app*"&amp;RAY28&amp;"*"&amp;TEXT(RBF28-utc_offset/24,"YYYYMMDD")&amp;"*"" /stext="" "&amp;TEXT(RBF28-utc_offset/24,"HH")&amp;search_regexp&amp;""""</f>
        <v>#VALUE!</v>
      </c>
      <c r="RCD28" s="234" t="e">
        <f>astrogrep_path&amp;" /e /r /s /spath="&amp;search_path&amp;" /stypes=""app*"&amp;RAZ28&amp;"*"&amp;TEXT(RBG28-utc_offset/24,"YYYYMMDD")&amp;"*"" /stext="" "&amp;TEXT(RBG28-utc_offset/24,"HH")&amp;search_regexp&amp;""""</f>
        <v>#REF!</v>
      </c>
      <c r="RCE28" s="234" t="e">
        <f>astrogrep_path&amp;" /e /r /s /spath="&amp;search_path&amp;" /stypes=""app*"&amp;RBA28&amp;"*"&amp;TEXT(RBH28-utc_offset/24,"YYYYMMDD")&amp;"*"" /stext="" "&amp;TEXT(RBH28-utc_offset/24,"HH")&amp;search_regexp&amp;""""</f>
        <v>#REF!</v>
      </c>
      <c r="RCF28" s="234" t="e">
        <f>astrogrep_path&amp;" /e /r /s /spath="&amp;search_path&amp;" /stypes=""app*"&amp;RBB28&amp;"*"&amp;TEXT(RBI28-utc_offset/24,"YYYYMMDD")&amp;"*"" /stext="" "&amp;TEXT(RBI28-utc_offset/24,"HH")&amp;search_regexp&amp;""""</f>
        <v>#REF!</v>
      </c>
      <c r="RCG28" s="234" t="e">
        <f>astrogrep_path&amp;" /e /r /s /spath="&amp;search_path&amp;" /stypes=""app*"&amp;RBC28&amp;"*"&amp;TEXT(RBJ28-utc_offset/24,"YYYYMMDD")&amp;"*"" /stext="" "&amp;TEXT(RBJ28-utc_offset/24,"HH")&amp;search_regexp&amp;""""</f>
        <v>#REF!</v>
      </c>
      <c r="RCH28" s="234" t="e">
        <f>astrogrep_path&amp;" /e /r /s /spath="&amp;search_path&amp;" /stypes=""app*"&amp;RBD28&amp;"*"&amp;TEXT(RBK28-utc_offset/24,"YYYYMMDD")&amp;"*"" /stext="" "&amp;TEXT(RBK28-utc_offset/24,"HH")&amp;search_regexp&amp;""""</f>
        <v>#REF!</v>
      </c>
      <c r="RCI28" s="234" t="e">
        <f>astrogrep_path&amp;" /e /r /s /spath="&amp;search_path&amp;" /stypes=""app*"&amp;RBE28&amp;"*"&amp;TEXT(RBL28-utc_offset/24,"YYYYMMDD")&amp;"*"" /stext="" "&amp;TEXT(RBL28-utc_offset/24,"HH")&amp;search_regexp&amp;""""</f>
        <v>#REF!</v>
      </c>
      <c r="RCJ28" s="234" t="e">
        <f>astrogrep_path&amp;" /e /r /s /spath="&amp;search_path&amp;" /stypes=""app*"&amp;RBF28&amp;"*"&amp;TEXT(RBM28-utc_offset/24,"YYYYMMDD")&amp;"*"" /stext="" "&amp;TEXT(RBM28-utc_offset/24,"HH")&amp;search_regexp&amp;""""</f>
        <v>#REF!</v>
      </c>
      <c r="RCK28" s="234" t="e">
        <f>astrogrep_path&amp;" /e /r /s /spath="&amp;search_path&amp;" /stypes=""app*"&amp;RBG28&amp;"*"&amp;TEXT(RBN28-utc_offset/24,"YYYYMMDD")&amp;"*"" /stext="" "&amp;TEXT(RBN28-utc_offset/24,"HH")&amp;search_regexp&amp;""""</f>
        <v>#REF!</v>
      </c>
      <c r="RCL28" s="234" t="e">
        <f>astrogrep_path&amp;" /e /r /s /spath="&amp;search_path&amp;" /stypes=""app*"&amp;RBH28&amp;"*"&amp;TEXT(RBO28-utc_offset/24,"YYYYMMDD")&amp;"*"" /stext="" "&amp;TEXT(RBO28-utc_offset/24,"HH")&amp;search_regexp&amp;""""</f>
        <v>#REF!</v>
      </c>
      <c r="RCM28" s="234" t="e">
        <f>astrogrep_path&amp;" /e /r /s /spath="&amp;search_path&amp;" /stypes=""app*"&amp;RBI28&amp;"*"&amp;TEXT(RBP28-utc_offset/24,"YYYYMMDD")&amp;"*"" /stext="" "&amp;TEXT(RBP28-utc_offset/24,"HH")&amp;search_regexp&amp;""""</f>
        <v>#REF!</v>
      </c>
      <c r="RCN28" s="234" t="e">
        <f>astrogrep_path&amp;" /e /r /s /spath="&amp;search_path&amp;" /stypes=""app*"&amp;RBJ28&amp;"*"&amp;TEXT(RBQ28-utc_offset/24,"YYYYMMDD")&amp;"*"" /stext="" "&amp;TEXT(RBQ28-utc_offset/24,"HH")&amp;search_regexp&amp;""""</f>
        <v>#REF!</v>
      </c>
      <c r="RCO28" s="234" t="e">
        <f>astrogrep_path&amp;" /e /r /s /spath="&amp;search_path&amp;" /stypes=""app*"&amp;RBK28&amp;"*"&amp;TEXT(RBR28-utc_offset/24,"YYYYMMDD")&amp;"*"" /stext="" "&amp;TEXT(RBR28-utc_offset/24,"HH")&amp;search_regexp&amp;""""</f>
        <v>#REF!</v>
      </c>
      <c r="RCP28" s="234" t="e">
        <f>astrogrep_path&amp;" /e /r /s /spath="&amp;search_path&amp;" /stypes=""app*"&amp;RBL28&amp;"*"&amp;TEXT(RBS28-utc_offset/24,"YYYYMMDD")&amp;"*"" /stext="" "&amp;TEXT(RBS28-utc_offset/24,"HH")&amp;search_regexp&amp;""""</f>
        <v>#REF!</v>
      </c>
      <c r="RCQ28" s="234" t="e">
        <f>astrogrep_path&amp;" /e /r /s /spath="&amp;search_path&amp;" /stypes=""app*"&amp;RBM28&amp;"*"&amp;TEXT(RBT28-utc_offset/24,"YYYYMMDD")&amp;"*"" /stext="" "&amp;TEXT(RBT28-utc_offset/24,"HH")&amp;search_regexp&amp;""""</f>
        <v>#REF!</v>
      </c>
      <c r="RCR28" s="234" t="e">
        <f>astrogrep_path&amp;" /e /r /s /spath="&amp;search_path&amp;" /stypes=""app*"&amp;RBN28&amp;"*"&amp;TEXT(RBU28-utc_offset/24,"YYYYMMDD")&amp;"*"" /stext="" "&amp;TEXT(RBU28-utc_offset/24,"HH")&amp;search_regexp&amp;""""</f>
        <v>#REF!</v>
      </c>
      <c r="RCS28" s="234" t="e">
        <f>astrogrep_path&amp;" /e /r /s /spath="&amp;search_path&amp;" /stypes=""app*"&amp;RBO28&amp;"*"&amp;TEXT(RBV28-utc_offset/24,"YYYYMMDD")&amp;"*"" /stext="" "&amp;TEXT(RBV28-utc_offset/24,"HH")&amp;search_regexp&amp;""""</f>
        <v>#REF!</v>
      </c>
      <c r="RCT28" s="234" t="e">
        <f>astrogrep_path&amp;" /e /r /s /spath="&amp;search_path&amp;" /stypes=""app*"&amp;RBP28&amp;"*"&amp;TEXT(RBW28-utc_offset/24,"YYYYMMDD")&amp;"*"" /stext="" "&amp;TEXT(RBW28-utc_offset/24,"HH")&amp;search_regexp&amp;""""</f>
        <v>#REF!</v>
      </c>
      <c r="RCU28" s="234" t="e">
        <f>astrogrep_path&amp;" /e /r /s /spath="&amp;search_path&amp;" /stypes=""app*"&amp;RBQ28&amp;"*"&amp;TEXT(RBX28-utc_offset/24,"YYYYMMDD")&amp;"*"" /stext="" "&amp;TEXT(RBX28-utc_offset/24,"HH")&amp;search_regexp&amp;""""</f>
        <v>#REF!</v>
      </c>
      <c r="RCV28" s="234" t="e">
        <f>astrogrep_path&amp;" /e /r /s /spath="&amp;search_path&amp;" /stypes=""app*"&amp;RBR28&amp;"*"&amp;TEXT(RBY28-utc_offset/24,"YYYYMMDD")&amp;"*"" /stext="" "&amp;TEXT(RBY28-utc_offset/24,"HH")&amp;search_regexp&amp;""""</f>
        <v>#REF!</v>
      </c>
      <c r="RCW28" s="234" t="e">
        <f>astrogrep_path&amp;" /e /r /s /spath="&amp;search_path&amp;" /stypes=""app*"&amp;RBS28&amp;"*"&amp;TEXT(RBZ28-utc_offset/24,"YYYYMMDD")&amp;"*"" /stext="" "&amp;TEXT(RBZ28-utc_offset/24,"HH")&amp;search_regexp&amp;""""</f>
        <v>#REF!</v>
      </c>
      <c r="RCX28" s="234" t="e">
        <f>astrogrep_path&amp;" /e /r /s /spath="&amp;search_path&amp;" /stypes=""app*"&amp;RBT28&amp;"*"&amp;TEXT(RCA28-utc_offset/24,"YYYYMMDD")&amp;"*"" /stext="" "&amp;TEXT(RCA28-utc_offset/24,"HH")&amp;search_regexp&amp;""""</f>
        <v>#REF!</v>
      </c>
      <c r="RCY28" s="234" t="e">
        <f>astrogrep_path&amp;" /e /r /s /spath="&amp;search_path&amp;" /stypes=""app*"&amp;RBU28&amp;"*"&amp;TEXT(RCB28-utc_offset/24,"YYYYMMDD")&amp;"*"" /stext="" "&amp;TEXT(RCB28-utc_offset/24,"HH")&amp;search_regexp&amp;""""</f>
        <v>#VALUE!</v>
      </c>
      <c r="RCZ28" s="234" t="e">
        <f>astrogrep_path&amp;" /e /r /s /spath="&amp;search_path&amp;" /stypes=""app*"&amp;RBV28&amp;"*"&amp;TEXT(RCC28-utc_offset/24,"YYYYMMDD")&amp;"*"" /stext="" "&amp;TEXT(RCC28-utc_offset/24,"HH")&amp;search_regexp&amp;""""</f>
        <v>#VALUE!</v>
      </c>
      <c r="RDA28" s="234" t="e">
        <f>astrogrep_path&amp;" /e /r /s /spath="&amp;search_path&amp;" /stypes=""app*"&amp;RBW28&amp;"*"&amp;TEXT(RCD28-utc_offset/24,"YYYYMMDD")&amp;"*"" /stext="" "&amp;TEXT(RCD28-utc_offset/24,"HH")&amp;search_regexp&amp;""""</f>
        <v>#REF!</v>
      </c>
      <c r="RDB28" s="234" t="e">
        <f>astrogrep_path&amp;" /e /r /s /spath="&amp;search_path&amp;" /stypes=""app*"&amp;RBX28&amp;"*"&amp;TEXT(RCE28-utc_offset/24,"YYYYMMDD")&amp;"*"" /stext="" "&amp;TEXT(RCE28-utc_offset/24,"HH")&amp;search_regexp&amp;""""</f>
        <v>#REF!</v>
      </c>
      <c r="RDC28" s="234" t="e">
        <f>astrogrep_path&amp;" /e /r /s /spath="&amp;search_path&amp;" /stypes=""app*"&amp;RBY28&amp;"*"&amp;TEXT(RCF28-utc_offset/24,"YYYYMMDD")&amp;"*"" /stext="" "&amp;TEXT(RCF28-utc_offset/24,"HH")&amp;search_regexp&amp;""""</f>
        <v>#VALUE!</v>
      </c>
      <c r="RDD28" s="234" t="e">
        <f>astrogrep_path&amp;" /e /r /s /spath="&amp;search_path&amp;" /stypes=""app*"&amp;RBZ28&amp;"*"&amp;TEXT(RCG28-utc_offset/24,"YYYYMMDD")&amp;"*"" /stext="" "&amp;TEXT(RCG28-utc_offset/24,"HH")&amp;search_regexp&amp;""""</f>
        <v>#VALUE!</v>
      </c>
      <c r="RDE28" s="234" t="e">
        <f>astrogrep_path&amp;" /e /r /s /spath="&amp;search_path&amp;" /stypes=""app*"&amp;RCA28&amp;"*"&amp;TEXT(RCH28-utc_offset/24,"YYYYMMDD")&amp;"*"" /stext="" "&amp;TEXT(RCH28-utc_offset/24,"HH")&amp;search_regexp&amp;""""</f>
        <v>#VALUE!</v>
      </c>
      <c r="RDF28" s="234" t="e">
        <f>astrogrep_path&amp;" /e /r /s /spath="&amp;search_path&amp;" /stypes=""app*"&amp;RCB28&amp;"*"&amp;TEXT(RCI28-utc_offset/24,"YYYYMMDD")&amp;"*"" /stext="" "&amp;TEXT(RCI28-utc_offset/24,"HH")&amp;search_regexp&amp;""""</f>
        <v>#VALUE!</v>
      </c>
      <c r="RDG28" s="234" t="e">
        <f>astrogrep_path&amp;" /e /r /s /spath="&amp;search_path&amp;" /stypes=""app*"&amp;RCC28&amp;"*"&amp;TEXT(RCJ28-utc_offset/24,"YYYYMMDD")&amp;"*"" /stext="" "&amp;TEXT(RCJ28-utc_offset/24,"HH")&amp;search_regexp&amp;""""</f>
        <v>#VALUE!</v>
      </c>
      <c r="RDH28" s="234" t="e">
        <f>astrogrep_path&amp;" /e /r /s /spath="&amp;search_path&amp;" /stypes=""app*"&amp;RCD28&amp;"*"&amp;TEXT(RCK28-utc_offset/24,"YYYYMMDD")&amp;"*"" /stext="" "&amp;TEXT(RCK28-utc_offset/24,"HH")&amp;search_regexp&amp;""""</f>
        <v>#REF!</v>
      </c>
      <c r="RDI28" s="234" t="e">
        <f>astrogrep_path&amp;" /e /r /s /spath="&amp;search_path&amp;" /stypes=""app*"&amp;RCE28&amp;"*"&amp;TEXT(RCL28-utc_offset/24,"YYYYMMDD")&amp;"*"" /stext="" "&amp;TEXT(RCL28-utc_offset/24,"HH")&amp;search_regexp&amp;""""</f>
        <v>#REF!</v>
      </c>
      <c r="RDJ28" s="234" t="e">
        <f>astrogrep_path&amp;" /e /r /s /spath="&amp;search_path&amp;" /stypes=""app*"&amp;RCF28&amp;"*"&amp;TEXT(RCM28-utc_offset/24,"YYYYMMDD")&amp;"*"" /stext="" "&amp;TEXT(RCM28-utc_offset/24,"HH")&amp;search_regexp&amp;""""</f>
        <v>#REF!</v>
      </c>
      <c r="RDK28" s="234" t="e">
        <f>astrogrep_path&amp;" /e /r /s /spath="&amp;search_path&amp;" /stypes=""app*"&amp;RCG28&amp;"*"&amp;TEXT(RCN28-utc_offset/24,"YYYYMMDD")&amp;"*"" /stext="" "&amp;TEXT(RCN28-utc_offset/24,"HH")&amp;search_regexp&amp;""""</f>
        <v>#REF!</v>
      </c>
      <c r="RDL28" s="234" t="e">
        <f>astrogrep_path&amp;" /e /r /s /spath="&amp;search_path&amp;" /stypes=""app*"&amp;RCH28&amp;"*"&amp;TEXT(RCO28-utc_offset/24,"YYYYMMDD")&amp;"*"" /stext="" "&amp;TEXT(RCO28-utc_offset/24,"HH")&amp;search_regexp&amp;""""</f>
        <v>#REF!</v>
      </c>
      <c r="RDM28" s="234" t="e">
        <f>astrogrep_path&amp;" /e /r /s /spath="&amp;search_path&amp;" /stypes=""app*"&amp;RCI28&amp;"*"&amp;TEXT(RCP28-utc_offset/24,"YYYYMMDD")&amp;"*"" /stext="" "&amp;TEXT(RCP28-utc_offset/24,"HH")&amp;search_regexp&amp;""""</f>
        <v>#REF!</v>
      </c>
      <c r="RDN28" s="234" t="e">
        <f>astrogrep_path&amp;" /e /r /s /spath="&amp;search_path&amp;" /stypes=""app*"&amp;RCJ28&amp;"*"&amp;TEXT(RCQ28-utc_offset/24,"YYYYMMDD")&amp;"*"" /stext="" "&amp;TEXT(RCQ28-utc_offset/24,"HH")&amp;search_regexp&amp;""""</f>
        <v>#REF!</v>
      </c>
      <c r="RDO28" s="234" t="e">
        <f>astrogrep_path&amp;" /e /r /s /spath="&amp;search_path&amp;" /stypes=""app*"&amp;RCK28&amp;"*"&amp;TEXT(RCR28-utc_offset/24,"YYYYMMDD")&amp;"*"" /stext="" "&amp;TEXT(RCR28-utc_offset/24,"HH")&amp;search_regexp&amp;""""</f>
        <v>#REF!</v>
      </c>
      <c r="RDP28" s="234" t="e">
        <f>astrogrep_path&amp;" /e /r /s /spath="&amp;search_path&amp;" /stypes=""app*"&amp;RCL28&amp;"*"&amp;TEXT(RCS28-utc_offset/24,"YYYYMMDD")&amp;"*"" /stext="" "&amp;TEXT(RCS28-utc_offset/24,"HH")&amp;search_regexp&amp;""""</f>
        <v>#REF!</v>
      </c>
      <c r="RDQ28" s="234" t="e">
        <f>astrogrep_path&amp;" /e /r /s /spath="&amp;search_path&amp;" /stypes=""app*"&amp;RCM28&amp;"*"&amp;TEXT(RCT28-utc_offset/24,"YYYYMMDD")&amp;"*"" /stext="" "&amp;TEXT(RCT28-utc_offset/24,"HH")&amp;search_regexp&amp;""""</f>
        <v>#REF!</v>
      </c>
      <c r="RDR28" s="234" t="e">
        <f>astrogrep_path&amp;" /e /r /s /spath="&amp;search_path&amp;" /stypes=""app*"&amp;RCN28&amp;"*"&amp;TEXT(RCU28-utc_offset/24,"YYYYMMDD")&amp;"*"" /stext="" "&amp;TEXT(RCU28-utc_offset/24,"HH")&amp;search_regexp&amp;""""</f>
        <v>#REF!</v>
      </c>
      <c r="RDS28" s="234" t="e">
        <f>astrogrep_path&amp;" /e /r /s /spath="&amp;search_path&amp;" /stypes=""app*"&amp;RCO28&amp;"*"&amp;TEXT(RCV28-utc_offset/24,"YYYYMMDD")&amp;"*"" /stext="" "&amp;TEXT(RCV28-utc_offset/24,"HH")&amp;search_regexp&amp;""""</f>
        <v>#REF!</v>
      </c>
      <c r="RDT28" s="234" t="e">
        <f>astrogrep_path&amp;" /e /r /s /spath="&amp;search_path&amp;" /stypes=""app*"&amp;RCP28&amp;"*"&amp;TEXT(RCW28-utc_offset/24,"YYYYMMDD")&amp;"*"" /stext="" "&amp;TEXT(RCW28-utc_offset/24,"HH")&amp;search_regexp&amp;""""</f>
        <v>#REF!</v>
      </c>
      <c r="RDU28" s="234" t="e">
        <f>astrogrep_path&amp;" /e /r /s /spath="&amp;search_path&amp;" /stypes=""app*"&amp;RCQ28&amp;"*"&amp;TEXT(RCX28-utc_offset/24,"YYYYMMDD")&amp;"*"" /stext="" "&amp;TEXT(RCX28-utc_offset/24,"HH")&amp;search_regexp&amp;""""</f>
        <v>#REF!</v>
      </c>
      <c r="RDV28" s="234" t="e">
        <f>astrogrep_path&amp;" /e /r /s /spath="&amp;search_path&amp;" /stypes=""app*"&amp;RCR28&amp;"*"&amp;TEXT(RCY28-utc_offset/24,"YYYYMMDD")&amp;"*"" /stext="" "&amp;TEXT(RCY28-utc_offset/24,"HH")&amp;search_regexp&amp;""""</f>
        <v>#REF!</v>
      </c>
      <c r="RDW28" s="234" t="e">
        <f>astrogrep_path&amp;" /e /r /s /spath="&amp;search_path&amp;" /stypes=""app*"&amp;RCS28&amp;"*"&amp;TEXT(RCZ28-utc_offset/24,"YYYYMMDD")&amp;"*"" /stext="" "&amp;TEXT(RCZ28-utc_offset/24,"HH")&amp;search_regexp&amp;""""</f>
        <v>#REF!</v>
      </c>
      <c r="RDX28" s="234" t="e">
        <f>astrogrep_path&amp;" /e /r /s /spath="&amp;search_path&amp;" /stypes=""app*"&amp;RCT28&amp;"*"&amp;TEXT(RDA28-utc_offset/24,"YYYYMMDD")&amp;"*"" /stext="" "&amp;TEXT(RDA28-utc_offset/24,"HH")&amp;search_regexp&amp;""""</f>
        <v>#REF!</v>
      </c>
      <c r="RDY28" s="234" t="e">
        <f>astrogrep_path&amp;" /e /r /s /spath="&amp;search_path&amp;" /stypes=""app*"&amp;RCU28&amp;"*"&amp;TEXT(RDB28-utc_offset/24,"YYYYMMDD")&amp;"*"" /stext="" "&amp;TEXT(RDB28-utc_offset/24,"HH")&amp;search_regexp&amp;""""</f>
        <v>#REF!</v>
      </c>
      <c r="RDZ28" s="234" t="e">
        <f>astrogrep_path&amp;" /e /r /s /spath="&amp;search_path&amp;" /stypes=""app*"&amp;RCV28&amp;"*"&amp;TEXT(RDC28-utc_offset/24,"YYYYMMDD")&amp;"*"" /stext="" "&amp;TEXT(RDC28-utc_offset/24,"HH")&amp;search_regexp&amp;""""</f>
        <v>#REF!</v>
      </c>
      <c r="REA28" s="234" t="e">
        <f>astrogrep_path&amp;" /e /r /s /spath="&amp;search_path&amp;" /stypes=""app*"&amp;RCW28&amp;"*"&amp;TEXT(RDD28-utc_offset/24,"YYYYMMDD")&amp;"*"" /stext="" "&amp;TEXT(RDD28-utc_offset/24,"HH")&amp;search_regexp&amp;""""</f>
        <v>#REF!</v>
      </c>
      <c r="REB28" s="234" t="e">
        <f>astrogrep_path&amp;" /e /r /s /spath="&amp;search_path&amp;" /stypes=""app*"&amp;RCX28&amp;"*"&amp;TEXT(RDE28-utc_offset/24,"YYYYMMDD")&amp;"*"" /stext="" "&amp;TEXT(RDE28-utc_offset/24,"HH")&amp;search_regexp&amp;""""</f>
        <v>#REF!</v>
      </c>
      <c r="REC28" s="234" t="e">
        <f>astrogrep_path&amp;" /e /r /s /spath="&amp;search_path&amp;" /stypes=""app*"&amp;RCY28&amp;"*"&amp;TEXT(RDF28-utc_offset/24,"YYYYMMDD")&amp;"*"" /stext="" "&amp;TEXT(RDF28-utc_offset/24,"HH")&amp;search_regexp&amp;""""</f>
        <v>#VALUE!</v>
      </c>
      <c r="RED28" s="234" t="e">
        <f>astrogrep_path&amp;" /e /r /s /spath="&amp;search_path&amp;" /stypes=""app*"&amp;RCZ28&amp;"*"&amp;TEXT(RDG28-utc_offset/24,"YYYYMMDD")&amp;"*"" /stext="" "&amp;TEXT(RDG28-utc_offset/24,"HH")&amp;search_regexp&amp;""""</f>
        <v>#VALUE!</v>
      </c>
      <c r="REE28" s="234" t="e">
        <f>astrogrep_path&amp;" /e /r /s /spath="&amp;search_path&amp;" /stypes=""app*"&amp;RDA28&amp;"*"&amp;TEXT(RDH28-utc_offset/24,"YYYYMMDD")&amp;"*"" /stext="" "&amp;TEXT(RDH28-utc_offset/24,"HH")&amp;search_regexp&amp;""""</f>
        <v>#REF!</v>
      </c>
      <c r="REF28" s="234" t="e">
        <f>astrogrep_path&amp;" /e /r /s /spath="&amp;search_path&amp;" /stypes=""app*"&amp;RDB28&amp;"*"&amp;TEXT(RDI28-utc_offset/24,"YYYYMMDD")&amp;"*"" /stext="" "&amp;TEXT(RDI28-utc_offset/24,"HH")&amp;search_regexp&amp;""""</f>
        <v>#REF!</v>
      </c>
      <c r="REG28" s="234" t="e">
        <f>astrogrep_path&amp;" /e /r /s /spath="&amp;search_path&amp;" /stypes=""app*"&amp;RDC28&amp;"*"&amp;TEXT(RDJ28-utc_offset/24,"YYYYMMDD")&amp;"*"" /stext="" "&amp;TEXT(RDJ28-utc_offset/24,"HH")&amp;search_regexp&amp;""""</f>
        <v>#VALUE!</v>
      </c>
      <c r="REH28" s="234" t="e">
        <f>astrogrep_path&amp;" /e /r /s /spath="&amp;search_path&amp;" /stypes=""app*"&amp;RDD28&amp;"*"&amp;TEXT(RDK28-utc_offset/24,"YYYYMMDD")&amp;"*"" /stext="" "&amp;TEXT(RDK28-utc_offset/24,"HH")&amp;search_regexp&amp;""""</f>
        <v>#VALUE!</v>
      </c>
      <c r="REI28" s="234" t="e">
        <f>astrogrep_path&amp;" /e /r /s /spath="&amp;search_path&amp;" /stypes=""app*"&amp;RDE28&amp;"*"&amp;TEXT(RDL28-utc_offset/24,"YYYYMMDD")&amp;"*"" /stext="" "&amp;TEXT(RDL28-utc_offset/24,"HH")&amp;search_regexp&amp;""""</f>
        <v>#VALUE!</v>
      </c>
      <c r="REJ28" s="234" t="e">
        <f>astrogrep_path&amp;" /e /r /s /spath="&amp;search_path&amp;" /stypes=""app*"&amp;RDF28&amp;"*"&amp;TEXT(RDM28-utc_offset/24,"YYYYMMDD")&amp;"*"" /stext="" "&amp;TEXT(RDM28-utc_offset/24,"HH")&amp;search_regexp&amp;""""</f>
        <v>#VALUE!</v>
      </c>
      <c r="REK28" s="234" t="e">
        <f>astrogrep_path&amp;" /e /r /s /spath="&amp;search_path&amp;" /stypes=""app*"&amp;RDG28&amp;"*"&amp;TEXT(RDN28-utc_offset/24,"YYYYMMDD")&amp;"*"" /stext="" "&amp;TEXT(RDN28-utc_offset/24,"HH")&amp;search_regexp&amp;""""</f>
        <v>#VALUE!</v>
      </c>
      <c r="REL28" s="234" t="e">
        <f>astrogrep_path&amp;" /e /r /s /spath="&amp;search_path&amp;" /stypes=""app*"&amp;RDH28&amp;"*"&amp;TEXT(RDO28-utc_offset/24,"YYYYMMDD")&amp;"*"" /stext="" "&amp;TEXT(RDO28-utc_offset/24,"HH")&amp;search_regexp&amp;""""</f>
        <v>#REF!</v>
      </c>
      <c r="REM28" s="234" t="e">
        <f>astrogrep_path&amp;" /e /r /s /spath="&amp;search_path&amp;" /stypes=""app*"&amp;RDI28&amp;"*"&amp;TEXT(RDP28-utc_offset/24,"YYYYMMDD")&amp;"*"" /stext="" "&amp;TEXT(RDP28-utc_offset/24,"HH")&amp;search_regexp&amp;""""</f>
        <v>#REF!</v>
      </c>
      <c r="REN28" s="234" t="e">
        <f>astrogrep_path&amp;" /e /r /s /spath="&amp;search_path&amp;" /stypes=""app*"&amp;RDJ28&amp;"*"&amp;TEXT(RDQ28-utc_offset/24,"YYYYMMDD")&amp;"*"" /stext="" "&amp;TEXT(RDQ28-utc_offset/24,"HH")&amp;search_regexp&amp;""""</f>
        <v>#REF!</v>
      </c>
      <c r="REO28" s="234" t="e">
        <f>astrogrep_path&amp;" /e /r /s /spath="&amp;search_path&amp;" /stypes=""app*"&amp;RDK28&amp;"*"&amp;TEXT(RDR28-utc_offset/24,"YYYYMMDD")&amp;"*"" /stext="" "&amp;TEXT(RDR28-utc_offset/24,"HH")&amp;search_regexp&amp;""""</f>
        <v>#REF!</v>
      </c>
      <c r="REP28" s="234" t="e">
        <f>astrogrep_path&amp;" /e /r /s /spath="&amp;search_path&amp;" /stypes=""app*"&amp;RDL28&amp;"*"&amp;TEXT(RDS28-utc_offset/24,"YYYYMMDD")&amp;"*"" /stext="" "&amp;TEXT(RDS28-utc_offset/24,"HH")&amp;search_regexp&amp;""""</f>
        <v>#REF!</v>
      </c>
      <c r="REQ28" s="234" t="e">
        <f>astrogrep_path&amp;" /e /r /s /spath="&amp;search_path&amp;" /stypes=""app*"&amp;RDM28&amp;"*"&amp;TEXT(RDT28-utc_offset/24,"YYYYMMDD")&amp;"*"" /stext="" "&amp;TEXT(RDT28-utc_offset/24,"HH")&amp;search_regexp&amp;""""</f>
        <v>#REF!</v>
      </c>
      <c r="RER28" s="234" t="e">
        <f>astrogrep_path&amp;" /e /r /s /spath="&amp;search_path&amp;" /stypes=""app*"&amp;RDN28&amp;"*"&amp;TEXT(RDU28-utc_offset/24,"YYYYMMDD")&amp;"*"" /stext="" "&amp;TEXT(RDU28-utc_offset/24,"HH")&amp;search_regexp&amp;""""</f>
        <v>#REF!</v>
      </c>
      <c r="RES28" s="234" t="e">
        <f>astrogrep_path&amp;" /e /r /s /spath="&amp;search_path&amp;" /stypes=""app*"&amp;RDO28&amp;"*"&amp;TEXT(RDV28-utc_offset/24,"YYYYMMDD")&amp;"*"" /stext="" "&amp;TEXT(RDV28-utc_offset/24,"HH")&amp;search_regexp&amp;""""</f>
        <v>#REF!</v>
      </c>
      <c r="RET28" s="234" t="e">
        <f>astrogrep_path&amp;" /e /r /s /spath="&amp;search_path&amp;" /stypes=""app*"&amp;RDP28&amp;"*"&amp;TEXT(RDW28-utc_offset/24,"YYYYMMDD")&amp;"*"" /stext="" "&amp;TEXT(RDW28-utc_offset/24,"HH")&amp;search_regexp&amp;""""</f>
        <v>#REF!</v>
      </c>
      <c r="REU28" s="234" t="e">
        <f>astrogrep_path&amp;" /e /r /s /spath="&amp;search_path&amp;" /stypes=""app*"&amp;RDQ28&amp;"*"&amp;TEXT(RDX28-utc_offset/24,"YYYYMMDD")&amp;"*"" /stext="" "&amp;TEXT(RDX28-utc_offset/24,"HH")&amp;search_regexp&amp;""""</f>
        <v>#REF!</v>
      </c>
      <c r="REV28" s="234" t="e">
        <f>astrogrep_path&amp;" /e /r /s /spath="&amp;search_path&amp;" /stypes=""app*"&amp;RDR28&amp;"*"&amp;TEXT(RDY28-utc_offset/24,"YYYYMMDD")&amp;"*"" /stext="" "&amp;TEXT(RDY28-utc_offset/24,"HH")&amp;search_regexp&amp;""""</f>
        <v>#REF!</v>
      </c>
      <c r="REW28" s="234" t="e">
        <f>astrogrep_path&amp;" /e /r /s /spath="&amp;search_path&amp;" /stypes=""app*"&amp;RDS28&amp;"*"&amp;TEXT(RDZ28-utc_offset/24,"YYYYMMDD")&amp;"*"" /stext="" "&amp;TEXT(RDZ28-utc_offset/24,"HH")&amp;search_regexp&amp;""""</f>
        <v>#REF!</v>
      </c>
      <c r="REX28" s="234" t="e">
        <f>astrogrep_path&amp;" /e /r /s /spath="&amp;search_path&amp;" /stypes=""app*"&amp;RDT28&amp;"*"&amp;TEXT(REA28-utc_offset/24,"YYYYMMDD")&amp;"*"" /stext="" "&amp;TEXT(REA28-utc_offset/24,"HH")&amp;search_regexp&amp;""""</f>
        <v>#REF!</v>
      </c>
      <c r="REY28" s="234" t="e">
        <f>astrogrep_path&amp;" /e /r /s /spath="&amp;search_path&amp;" /stypes=""app*"&amp;RDU28&amp;"*"&amp;TEXT(REB28-utc_offset/24,"YYYYMMDD")&amp;"*"" /stext="" "&amp;TEXT(REB28-utc_offset/24,"HH")&amp;search_regexp&amp;""""</f>
        <v>#REF!</v>
      </c>
      <c r="REZ28" s="234" t="e">
        <f>astrogrep_path&amp;" /e /r /s /spath="&amp;search_path&amp;" /stypes=""app*"&amp;RDV28&amp;"*"&amp;TEXT(REC28-utc_offset/24,"YYYYMMDD")&amp;"*"" /stext="" "&amp;TEXT(REC28-utc_offset/24,"HH")&amp;search_regexp&amp;""""</f>
        <v>#REF!</v>
      </c>
      <c r="RFA28" s="234" t="e">
        <f>astrogrep_path&amp;" /e /r /s /spath="&amp;search_path&amp;" /stypes=""app*"&amp;RDW28&amp;"*"&amp;TEXT(RED28-utc_offset/24,"YYYYMMDD")&amp;"*"" /stext="" "&amp;TEXT(RED28-utc_offset/24,"HH")&amp;search_regexp&amp;""""</f>
        <v>#REF!</v>
      </c>
      <c r="RFB28" s="234" t="e">
        <f>astrogrep_path&amp;" /e /r /s /spath="&amp;search_path&amp;" /stypes=""app*"&amp;RDX28&amp;"*"&amp;TEXT(REE28-utc_offset/24,"YYYYMMDD")&amp;"*"" /stext="" "&amp;TEXT(REE28-utc_offset/24,"HH")&amp;search_regexp&amp;""""</f>
        <v>#REF!</v>
      </c>
      <c r="RFC28" s="234" t="e">
        <f>astrogrep_path&amp;" /e /r /s /spath="&amp;search_path&amp;" /stypes=""app*"&amp;RDY28&amp;"*"&amp;TEXT(REF28-utc_offset/24,"YYYYMMDD")&amp;"*"" /stext="" "&amp;TEXT(REF28-utc_offset/24,"HH")&amp;search_regexp&amp;""""</f>
        <v>#REF!</v>
      </c>
      <c r="RFD28" s="234" t="e">
        <f>astrogrep_path&amp;" /e /r /s /spath="&amp;search_path&amp;" /stypes=""app*"&amp;RDZ28&amp;"*"&amp;TEXT(REG28-utc_offset/24,"YYYYMMDD")&amp;"*"" /stext="" "&amp;TEXT(REG28-utc_offset/24,"HH")&amp;search_regexp&amp;""""</f>
        <v>#REF!</v>
      </c>
      <c r="RFE28" s="234" t="e">
        <f>astrogrep_path&amp;" /e /r /s /spath="&amp;search_path&amp;" /stypes=""app*"&amp;REA28&amp;"*"&amp;TEXT(REH28-utc_offset/24,"YYYYMMDD")&amp;"*"" /stext="" "&amp;TEXT(REH28-utc_offset/24,"HH")&amp;search_regexp&amp;""""</f>
        <v>#REF!</v>
      </c>
      <c r="RFF28" s="234" t="e">
        <f>astrogrep_path&amp;" /e /r /s /spath="&amp;search_path&amp;" /stypes=""app*"&amp;REB28&amp;"*"&amp;TEXT(REI28-utc_offset/24,"YYYYMMDD")&amp;"*"" /stext="" "&amp;TEXT(REI28-utc_offset/24,"HH")&amp;search_regexp&amp;""""</f>
        <v>#REF!</v>
      </c>
      <c r="RFG28" s="234" t="e">
        <f>astrogrep_path&amp;" /e /r /s /spath="&amp;search_path&amp;" /stypes=""app*"&amp;REC28&amp;"*"&amp;TEXT(REJ28-utc_offset/24,"YYYYMMDD")&amp;"*"" /stext="" "&amp;TEXT(REJ28-utc_offset/24,"HH")&amp;search_regexp&amp;""""</f>
        <v>#VALUE!</v>
      </c>
      <c r="RFH28" s="234" t="e">
        <f>astrogrep_path&amp;" /e /r /s /spath="&amp;search_path&amp;" /stypes=""app*"&amp;RED28&amp;"*"&amp;TEXT(REK28-utc_offset/24,"YYYYMMDD")&amp;"*"" /stext="" "&amp;TEXT(REK28-utc_offset/24,"HH")&amp;search_regexp&amp;""""</f>
        <v>#VALUE!</v>
      </c>
      <c r="RFI28" s="234" t="e">
        <f>astrogrep_path&amp;" /e /r /s /spath="&amp;search_path&amp;" /stypes=""app*"&amp;REE28&amp;"*"&amp;TEXT(REL28-utc_offset/24,"YYYYMMDD")&amp;"*"" /stext="" "&amp;TEXT(REL28-utc_offset/24,"HH")&amp;search_regexp&amp;""""</f>
        <v>#REF!</v>
      </c>
      <c r="RFJ28" s="234" t="e">
        <f>astrogrep_path&amp;" /e /r /s /spath="&amp;search_path&amp;" /stypes=""app*"&amp;REF28&amp;"*"&amp;TEXT(REM28-utc_offset/24,"YYYYMMDD")&amp;"*"" /stext="" "&amp;TEXT(REM28-utc_offset/24,"HH")&amp;search_regexp&amp;""""</f>
        <v>#REF!</v>
      </c>
      <c r="RFK28" s="234" t="e">
        <f>astrogrep_path&amp;" /e /r /s /spath="&amp;search_path&amp;" /stypes=""app*"&amp;REG28&amp;"*"&amp;TEXT(REN28-utc_offset/24,"YYYYMMDD")&amp;"*"" /stext="" "&amp;TEXT(REN28-utc_offset/24,"HH")&amp;search_regexp&amp;""""</f>
        <v>#VALUE!</v>
      </c>
      <c r="RFL28" s="234" t="e">
        <f>astrogrep_path&amp;" /e /r /s /spath="&amp;search_path&amp;" /stypes=""app*"&amp;REH28&amp;"*"&amp;TEXT(REO28-utc_offset/24,"YYYYMMDD")&amp;"*"" /stext="" "&amp;TEXT(REO28-utc_offset/24,"HH")&amp;search_regexp&amp;""""</f>
        <v>#VALUE!</v>
      </c>
      <c r="RFM28" s="234" t="e">
        <f>astrogrep_path&amp;" /e /r /s /spath="&amp;search_path&amp;" /stypes=""app*"&amp;REI28&amp;"*"&amp;TEXT(REP28-utc_offset/24,"YYYYMMDD")&amp;"*"" /stext="" "&amp;TEXT(REP28-utc_offset/24,"HH")&amp;search_regexp&amp;""""</f>
        <v>#VALUE!</v>
      </c>
      <c r="RFN28" s="234" t="e">
        <f>astrogrep_path&amp;" /e /r /s /spath="&amp;search_path&amp;" /stypes=""app*"&amp;REJ28&amp;"*"&amp;TEXT(REQ28-utc_offset/24,"YYYYMMDD")&amp;"*"" /stext="" "&amp;TEXT(REQ28-utc_offset/24,"HH")&amp;search_regexp&amp;""""</f>
        <v>#VALUE!</v>
      </c>
      <c r="RFO28" s="234" t="e">
        <f>astrogrep_path&amp;" /e /r /s /spath="&amp;search_path&amp;" /stypes=""app*"&amp;REK28&amp;"*"&amp;TEXT(RER28-utc_offset/24,"YYYYMMDD")&amp;"*"" /stext="" "&amp;TEXT(RER28-utc_offset/24,"HH")&amp;search_regexp&amp;""""</f>
        <v>#VALUE!</v>
      </c>
      <c r="RFP28" s="234" t="e">
        <f>astrogrep_path&amp;" /e /r /s /spath="&amp;search_path&amp;" /stypes=""app*"&amp;REL28&amp;"*"&amp;TEXT(RES28-utc_offset/24,"YYYYMMDD")&amp;"*"" /stext="" "&amp;TEXT(RES28-utc_offset/24,"HH")&amp;search_regexp&amp;""""</f>
        <v>#REF!</v>
      </c>
      <c r="RFQ28" s="234" t="e">
        <f>astrogrep_path&amp;" /e /r /s /spath="&amp;search_path&amp;" /stypes=""app*"&amp;REM28&amp;"*"&amp;TEXT(RET28-utc_offset/24,"YYYYMMDD")&amp;"*"" /stext="" "&amp;TEXT(RET28-utc_offset/24,"HH")&amp;search_regexp&amp;""""</f>
        <v>#REF!</v>
      </c>
      <c r="RFR28" s="234" t="e">
        <f>astrogrep_path&amp;" /e /r /s /spath="&amp;search_path&amp;" /stypes=""app*"&amp;REN28&amp;"*"&amp;TEXT(REU28-utc_offset/24,"YYYYMMDD")&amp;"*"" /stext="" "&amp;TEXT(REU28-utc_offset/24,"HH")&amp;search_regexp&amp;""""</f>
        <v>#REF!</v>
      </c>
      <c r="RFS28" s="234" t="e">
        <f>astrogrep_path&amp;" /e /r /s /spath="&amp;search_path&amp;" /stypes=""app*"&amp;REO28&amp;"*"&amp;TEXT(REV28-utc_offset/24,"YYYYMMDD")&amp;"*"" /stext="" "&amp;TEXT(REV28-utc_offset/24,"HH")&amp;search_regexp&amp;""""</f>
        <v>#REF!</v>
      </c>
      <c r="RFT28" s="234" t="e">
        <f>astrogrep_path&amp;" /e /r /s /spath="&amp;search_path&amp;" /stypes=""app*"&amp;REP28&amp;"*"&amp;TEXT(REW28-utc_offset/24,"YYYYMMDD")&amp;"*"" /stext="" "&amp;TEXT(REW28-utc_offset/24,"HH")&amp;search_regexp&amp;""""</f>
        <v>#REF!</v>
      </c>
      <c r="RFU28" s="234" t="e">
        <f>astrogrep_path&amp;" /e /r /s /spath="&amp;search_path&amp;" /stypes=""app*"&amp;REQ28&amp;"*"&amp;TEXT(REX28-utc_offset/24,"YYYYMMDD")&amp;"*"" /stext="" "&amp;TEXT(REX28-utc_offset/24,"HH")&amp;search_regexp&amp;""""</f>
        <v>#REF!</v>
      </c>
      <c r="RFV28" s="234" t="e">
        <f>astrogrep_path&amp;" /e /r /s /spath="&amp;search_path&amp;" /stypes=""app*"&amp;RER28&amp;"*"&amp;TEXT(REY28-utc_offset/24,"YYYYMMDD")&amp;"*"" /stext="" "&amp;TEXT(REY28-utc_offset/24,"HH")&amp;search_regexp&amp;""""</f>
        <v>#REF!</v>
      </c>
      <c r="RFW28" s="234" t="e">
        <f>astrogrep_path&amp;" /e /r /s /spath="&amp;search_path&amp;" /stypes=""app*"&amp;RES28&amp;"*"&amp;TEXT(REZ28-utc_offset/24,"YYYYMMDD")&amp;"*"" /stext="" "&amp;TEXT(REZ28-utc_offset/24,"HH")&amp;search_regexp&amp;""""</f>
        <v>#REF!</v>
      </c>
      <c r="RFX28" s="234" t="e">
        <f>astrogrep_path&amp;" /e /r /s /spath="&amp;search_path&amp;" /stypes=""app*"&amp;RET28&amp;"*"&amp;TEXT(RFA28-utc_offset/24,"YYYYMMDD")&amp;"*"" /stext="" "&amp;TEXT(RFA28-utc_offset/24,"HH")&amp;search_regexp&amp;""""</f>
        <v>#REF!</v>
      </c>
      <c r="RFY28" s="234" t="e">
        <f>astrogrep_path&amp;" /e /r /s /spath="&amp;search_path&amp;" /stypes=""app*"&amp;REU28&amp;"*"&amp;TEXT(RFB28-utc_offset/24,"YYYYMMDD")&amp;"*"" /stext="" "&amp;TEXT(RFB28-utc_offset/24,"HH")&amp;search_regexp&amp;""""</f>
        <v>#REF!</v>
      </c>
      <c r="RFZ28" s="234" t="e">
        <f>astrogrep_path&amp;" /e /r /s /spath="&amp;search_path&amp;" /stypes=""app*"&amp;REV28&amp;"*"&amp;TEXT(RFC28-utc_offset/24,"YYYYMMDD")&amp;"*"" /stext="" "&amp;TEXT(RFC28-utc_offset/24,"HH")&amp;search_regexp&amp;""""</f>
        <v>#REF!</v>
      </c>
      <c r="RGA28" s="234" t="e">
        <f>astrogrep_path&amp;" /e /r /s /spath="&amp;search_path&amp;" /stypes=""app*"&amp;REW28&amp;"*"&amp;TEXT(RFD28-utc_offset/24,"YYYYMMDD")&amp;"*"" /stext="" "&amp;TEXT(RFD28-utc_offset/24,"HH")&amp;search_regexp&amp;""""</f>
        <v>#REF!</v>
      </c>
      <c r="RGB28" s="234" t="e">
        <f>astrogrep_path&amp;" /e /r /s /spath="&amp;search_path&amp;" /stypes=""app*"&amp;REX28&amp;"*"&amp;TEXT(RFE28-utc_offset/24,"YYYYMMDD")&amp;"*"" /stext="" "&amp;TEXT(RFE28-utc_offset/24,"HH")&amp;search_regexp&amp;""""</f>
        <v>#REF!</v>
      </c>
      <c r="RGC28" s="234" t="e">
        <f>astrogrep_path&amp;" /e /r /s /spath="&amp;search_path&amp;" /stypes=""app*"&amp;REY28&amp;"*"&amp;TEXT(RFF28-utc_offset/24,"YYYYMMDD")&amp;"*"" /stext="" "&amp;TEXT(RFF28-utc_offset/24,"HH")&amp;search_regexp&amp;""""</f>
        <v>#REF!</v>
      </c>
      <c r="RGD28" s="234" t="e">
        <f>astrogrep_path&amp;" /e /r /s /spath="&amp;search_path&amp;" /stypes=""app*"&amp;REZ28&amp;"*"&amp;TEXT(RFG28-utc_offset/24,"YYYYMMDD")&amp;"*"" /stext="" "&amp;TEXT(RFG28-utc_offset/24,"HH")&amp;search_regexp&amp;""""</f>
        <v>#REF!</v>
      </c>
      <c r="RGE28" s="234" t="e">
        <f>astrogrep_path&amp;" /e /r /s /spath="&amp;search_path&amp;" /stypes=""app*"&amp;RFA28&amp;"*"&amp;TEXT(RFH28-utc_offset/24,"YYYYMMDD")&amp;"*"" /stext="" "&amp;TEXT(RFH28-utc_offset/24,"HH")&amp;search_regexp&amp;""""</f>
        <v>#REF!</v>
      </c>
      <c r="RGF28" s="234" t="e">
        <f>astrogrep_path&amp;" /e /r /s /spath="&amp;search_path&amp;" /stypes=""app*"&amp;RFB28&amp;"*"&amp;TEXT(RFI28-utc_offset/24,"YYYYMMDD")&amp;"*"" /stext="" "&amp;TEXT(RFI28-utc_offset/24,"HH")&amp;search_regexp&amp;""""</f>
        <v>#REF!</v>
      </c>
      <c r="RGG28" s="234" t="e">
        <f>astrogrep_path&amp;" /e /r /s /spath="&amp;search_path&amp;" /stypes=""app*"&amp;RFC28&amp;"*"&amp;TEXT(RFJ28-utc_offset/24,"YYYYMMDD")&amp;"*"" /stext="" "&amp;TEXT(RFJ28-utc_offset/24,"HH")&amp;search_regexp&amp;""""</f>
        <v>#REF!</v>
      </c>
      <c r="RGH28" s="234" t="e">
        <f>astrogrep_path&amp;" /e /r /s /spath="&amp;search_path&amp;" /stypes=""app*"&amp;RFD28&amp;"*"&amp;TEXT(RFK28-utc_offset/24,"YYYYMMDD")&amp;"*"" /stext="" "&amp;TEXT(RFK28-utc_offset/24,"HH")&amp;search_regexp&amp;""""</f>
        <v>#REF!</v>
      </c>
      <c r="RGI28" s="234" t="e">
        <f>astrogrep_path&amp;" /e /r /s /spath="&amp;search_path&amp;" /stypes=""app*"&amp;RFE28&amp;"*"&amp;TEXT(RFL28-utc_offset/24,"YYYYMMDD")&amp;"*"" /stext="" "&amp;TEXT(RFL28-utc_offset/24,"HH")&amp;search_regexp&amp;""""</f>
        <v>#REF!</v>
      </c>
      <c r="RGJ28" s="234" t="e">
        <f>astrogrep_path&amp;" /e /r /s /spath="&amp;search_path&amp;" /stypes=""app*"&amp;RFF28&amp;"*"&amp;TEXT(RFM28-utc_offset/24,"YYYYMMDD")&amp;"*"" /stext="" "&amp;TEXT(RFM28-utc_offset/24,"HH")&amp;search_regexp&amp;""""</f>
        <v>#REF!</v>
      </c>
      <c r="RGK28" s="234" t="e">
        <f>astrogrep_path&amp;" /e /r /s /spath="&amp;search_path&amp;" /stypes=""app*"&amp;RFG28&amp;"*"&amp;TEXT(RFN28-utc_offset/24,"YYYYMMDD")&amp;"*"" /stext="" "&amp;TEXT(RFN28-utc_offset/24,"HH")&amp;search_regexp&amp;""""</f>
        <v>#VALUE!</v>
      </c>
      <c r="RGL28" s="234" t="e">
        <f>astrogrep_path&amp;" /e /r /s /spath="&amp;search_path&amp;" /stypes=""app*"&amp;RFH28&amp;"*"&amp;TEXT(RFO28-utc_offset/24,"YYYYMMDD")&amp;"*"" /stext="" "&amp;TEXT(RFO28-utc_offset/24,"HH")&amp;search_regexp&amp;""""</f>
        <v>#VALUE!</v>
      </c>
      <c r="RGM28" s="234" t="e">
        <f>astrogrep_path&amp;" /e /r /s /spath="&amp;search_path&amp;" /stypes=""app*"&amp;RFI28&amp;"*"&amp;TEXT(RFP28-utc_offset/24,"YYYYMMDD")&amp;"*"" /stext="" "&amp;TEXT(RFP28-utc_offset/24,"HH")&amp;search_regexp&amp;""""</f>
        <v>#REF!</v>
      </c>
      <c r="RGN28" s="234" t="e">
        <f>astrogrep_path&amp;" /e /r /s /spath="&amp;search_path&amp;" /stypes=""app*"&amp;RFJ28&amp;"*"&amp;TEXT(RFQ28-utc_offset/24,"YYYYMMDD")&amp;"*"" /stext="" "&amp;TEXT(RFQ28-utc_offset/24,"HH")&amp;search_regexp&amp;""""</f>
        <v>#REF!</v>
      </c>
      <c r="RGO28" s="234" t="e">
        <f>astrogrep_path&amp;" /e /r /s /spath="&amp;search_path&amp;" /stypes=""app*"&amp;RFK28&amp;"*"&amp;TEXT(RFR28-utc_offset/24,"YYYYMMDD")&amp;"*"" /stext="" "&amp;TEXT(RFR28-utc_offset/24,"HH")&amp;search_regexp&amp;""""</f>
        <v>#VALUE!</v>
      </c>
      <c r="RGP28" s="234" t="e">
        <f>astrogrep_path&amp;" /e /r /s /spath="&amp;search_path&amp;" /stypes=""app*"&amp;RFL28&amp;"*"&amp;TEXT(RFS28-utc_offset/24,"YYYYMMDD")&amp;"*"" /stext="" "&amp;TEXT(RFS28-utc_offset/24,"HH")&amp;search_regexp&amp;""""</f>
        <v>#VALUE!</v>
      </c>
      <c r="RGQ28" s="234" t="e">
        <f>astrogrep_path&amp;" /e /r /s /spath="&amp;search_path&amp;" /stypes=""app*"&amp;RFM28&amp;"*"&amp;TEXT(RFT28-utc_offset/24,"YYYYMMDD")&amp;"*"" /stext="" "&amp;TEXT(RFT28-utc_offset/24,"HH")&amp;search_regexp&amp;""""</f>
        <v>#VALUE!</v>
      </c>
      <c r="RGR28" s="234" t="e">
        <f>astrogrep_path&amp;" /e /r /s /spath="&amp;search_path&amp;" /stypes=""app*"&amp;RFN28&amp;"*"&amp;TEXT(RFU28-utc_offset/24,"YYYYMMDD")&amp;"*"" /stext="" "&amp;TEXT(RFU28-utc_offset/24,"HH")&amp;search_regexp&amp;""""</f>
        <v>#VALUE!</v>
      </c>
      <c r="RGS28" s="234" t="e">
        <f>astrogrep_path&amp;" /e /r /s /spath="&amp;search_path&amp;" /stypes=""app*"&amp;RFO28&amp;"*"&amp;TEXT(RFV28-utc_offset/24,"YYYYMMDD")&amp;"*"" /stext="" "&amp;TEXT(RFV28-utc_offset/24,"HH")&amp;search_regexp&amp;""""</f>
        <v>#VALUE!</v>
      </c>
      <c r="RGT28" s="234" t="e">
        <f>astrogrep_path&amp;" /e /r /s /spath="&amp;search_path&amp;" /stypes=""app*"&amp;RFP28&amp;"*"&amp;TEXT(RFW28-utc_offset/24,"YYYYMMDD")&amp;"*"" /stext="" "&amp;TEXT(RFW28-utc_offset/24,"HH")&amp;search_regexp&amp;""""</f>
        <v>#REF!</v>
      </c>
      <c r="RGU28" s="234" t="e">
        <f>astrogrep_path&amp;" /e /r /s /spath="&amp;search_path&amp;" /stypes=""app*"&amp;RFQ28&amp;"*"&amp;TEXT(RFX28-utc_offset/24,"YYYYMMDD")&amp;"*"" /stext="" "&amp;TEXT(RFX28-utc_offset/24,"HH")&amp;search_regexp&amp;""""</f>
        <v>#REF!</v>
      </c>
      <c r="RGV28" s="234" t="e">
        <f>astrogrep_path&amp;" /e /r /s /spath="&amp;search_path&amp;" /stypes=""app*"&amp;RFR28&amp;"*"&amp;TEXT(RFY28-utc_offset/24,"YYYYMMDD")&amp;"*"" /stext="" "&amp;TEXT(RFY28-utc_offset/24,"HH")&amp;search_regexp&amp;""""</f>
        <v>#REF!</v>
      </c>
      <c r="RGW28" s="234" t="e">
        <f>astrogrep_path&amp;" /e /r /s /spath="&amp;search_path&amp;" /stypes=""app*"&amp;RFS28&amp;"*"&amp;TEXT(RFZ28-utc_offset/24,"YYYYMMDD")&amp;"*"" /stext="" "&amp;TEXT(RFZ28-utc_offset/24,"HH")&amp;search_regexp&amp;""""</f>
        <v>#REF!</v>
      </c>
      <c r="RGX28" s="234" t="e">
        <f>astrogrep_path&amp;" /e /r /s /spath="&amp;search_path&amp;" /stypes=""app*"&amp;RFT28&amp;"*"&amp;TEXT(RGA28-utc_offset/24,"YYYYMMDD")&amp;"*"" /stext="" "&amp;TEXT(RGA28-utc_offset/24,"HH")&amp;search_regexp&amp;""""</f>
        <v>#REF!</v>
      </c>
      <c r="RGY28" s="234" t="e">
        <f>astrogrep_path&amp;" /e /r /s /spath="&amp;search_path&amp;" /stypes=""app*"&amp;RFU28&amp;"*"&amp;TEXT(RGB28-utc_offset/24,"YYYYMMDD")&amp;"*"" /stext="" "&amp;TEXT(RGB28-utc_offset/24,"HH")&amp;search_regexp&amp;""""</f>
        <v>#REF!</v>
      </c>
      <c r="RGZ28" s="234" t="e">
        <f>astrogrep_path&amp;" /e /r /s /spath="&amp;search_path&amp;" /stypes=""app*"&amp;RFV28&amp;"*"&amp;TEXT(RGC28-utc_offset/24,"YYYYMMDD")&amp;"*"" /stext="" "&amp;TEXT(RGC28-utc_offset/24,"HH")&amp;search_regexp&amp;""""</f>
        <v>#REF!</v>
      </c>
      <c r="RHA28" s="234" t="e">
        <f>astrogrep_path&amp;" /e /r /s /spath="&amp;search_path&amp;" /stypes=""app*"&amp;RFW28&amp;"*"&amp;TEXT(RGD28-utc_offset/24,"YYYYMMDD")&amp;"*"" /stext="" "&amp;TEXT(RGD28-utc_offset/24,"HH")&amp;search_regexp&amp;""""</f>
        <v>#REF!</v>
      </c>
      <c r="RHB28" s="234" t="e">
        <f>astrogrep_path&amp;" /e /r /s /spath="&amp;search_path&amp;" /stypes=""app*"&amp;RFX28&amp;"*"&amp;TEXT(RGE28-utc_offset/24,"YYYYMMDD")&amp;"*"" /stext="" "&amp;TEXT(RGE28-utc_offset/24,"HH")&amp;search_regexp&amp;""""</f>
        <v>#REF!</v>
      </c>
      <c r="RHC28" s="234" t="e">
        <f>astrogrep_path&amp;" /e /r /s /spath="&amp;search_path&amp;" /stypes=""app*"&amp;RFY28&amp;"*"&amp;TEXT(RGF28-utc_offset/24,"YYYYMMDD")&amp;"*"" /stext="" "&amp;TEXT(RGF28-utc_offset/24,"HH")&amp;search_regexp&amp;""""</f>
        <v>#REF!</v>
      </c>
      <c r="RHD28" s="234" t="e">
        <f>astrogrep_path&amp;" /e /r /s /spath="&amp;search_path&amp;" /stypes=""app*"&amp;RFZ28&amp;"*"&amp;TEXT(RGG28-utc_offset/24,"YYYYMMDD")&amp;"*"" /stext="" "&amp;TEXT(RGG28-utc_offset/24,"HH")&amp;search_regexp&amp;""""</f>
        <v>#REF!</v>
      </c>
      <c r="RHE28" s="234" t="e">
        <f>astrogrep_path&amp;" /e /r /s /spath="&amp;search_path&amp;" /stypes=""app*"&amp;RGA28&amp;"*"&amp;TEXT(RGH28-utc_offset/24,"YYYYMMDD")&amp;"*"" /stext="" "&amp;TEXT(RGH28-utc_offset/24,"HH")&amp;search_regexp&amp;""""</f>
        <v>#REF!</v>
      </c>
      <c r="RHF28" s="234" t="e">
        <f>astrogrep_path&amp;" /e /r /s /spath="&amp;search_path&amp;" /stypes=""app*"&amp;RGB28&amp;"*"&amp;TEXT(RGI28-utc_offset/24,"YYYYMMDD")&amp;"*"" /stext="" "&amp;TEXT(RGI28-utc_offset/24,"HH")&amp;search_regexp&amp;""""</f>
        <v>#REF!</v>
      </c>
      <c r="RHG28" s="234" t="e">
        <f>astrogrep_path&amp;" /e /r /s /spath="&amp;search_path&amp;" /stypes=""app*"&amp;RGC28&amp;"*"&amp;TEXT(RGJ28-utc_offset/24,"YYYYMMDD")&amp;"*"" /stext="" "&amp;TEXT(RGJ28-utc_offset/24,"HH")&amp;search_regexp&amp;""""</f>
        <v>#REF!</v>
      </c>
      <c r="RHH28" s="234" t="e">
        <f>astrogrep_path&amp;" /e /r /s /spath="&amp;search_path&amp;" /stypes=""app*"&amp;RGD28&amp;"*"&amp;TEXT(RGK28-utc_offset/24,"YYYYMMDD")&amp;"*"" /stext="" "&amp;TEXT(RGK28-utc_offset/24,"HH")&amp;search_regexp&amp;""""</f>
        <v>#REF!</v>
      </c>
      <c r="RHI28" s="234" t="e">
        <f>astrogrep_path&amp;" /e /r /s /spath="&amp;search_path&amp;" /stypes=""app*"&amp;RGE28&amp;"*"&amp;TEXT(RGL28-utc_offset/24,"YYYYMMDD")&amp;"*"" /stext="" "&amp;TEXT(RGL28-utc_offset/24,"HH")&amp;search_regexp&amp;""""</f>
        <v>#REF!</v>
      </c>
      <c r="RHJ28" s="234" t="e">
        <f>astrogrep_path&amp;" /e /r /s /spath="&amp;search_path&amp;" /stypes=""app*"&amp;RGF28&amp;"*"&amp;TEXT(RGM28-utc_offset/24,"YYYYMMDD")&amp;"*"" /stext="" "&amp;TEXT(RGM28-utc_offset/24,"HH")&amp;search_regexp&amp;""""</f>
        <v>#REF!</v>
      </c>
      <c r="RHK28" s="234" t="e">
        <f>astrogrep_path&amp;" /e /r /s /spath="&amp;search_path&amp;" /stypes=""app*"&amp;RGG28&amp;"*"&amp;TEXT(RGN28-utc_offset/24,"YYYYMMDD")&amp;"*"" /stext="" "&amp;TEXT(RGN28-utc_offset/24,"HH")&amp;search_regexp&amp;""""</f>
        <v>#REF!</v>
      </c>
      <c r="RHL28" s="234" t="e">
        <f>astrogrep_path&amp;" /e /r /s /spath="&amp;search_path&amp;" /stypes=""app*"&amp;RGH28&amp;"*"&amp;TEXT(RGO28-utc_offset/24,"YYYYMMDD")&amp;"*"" /stext="" "&amp;TEXT(RGO28-utc_offset/24,"HH")&amp;search_regexp&amp;""""</f>
        <v>#REF!</v>
      </c>
      <c r="RHM28" s="234" t="e">
        <f>astrogrep_path&amp;" /e /r /s /spath="&amp;search_path&amp;" /stypes=""app*"&amp;RGI28&amp;"*"&amp;TEXT(RGP28-utc_offset/24,"YYYYMMDD")&amp;"*"" /stext="" "&amp;TEXT(RGP28-utc_offset/24,"HH")&amp;search_regexp&amp;""""</f>
        <v>#REF!</v>
      </c>
      <c r="RHN28" s="234" t="e">
        <f>astrogrep_path&amp;" /e /r /s /spath="&amp;search_path&amp;" /stypes=""app*"&amp;RGJ28&amp;"*"&amp;TEXT(RGQ28-utc_offset/24,"YYYYMMDD")&amp;"*"" /stext="" "&amp;TEXT(RGQ28-utc_offset/24,"HH")&amp;search_regexp&amp;""""</f>
        <v>#REF!</v>
      </c>
      <c r="RHO28" s="234" t="e">
        <f>astrogrep_path&amp;" /e /r /s /spath="&amp;search_path&amp;" /stypes=""app*"&amp;RGK28&amp;"*"&amp;TEXT(RGR28-utc_offset/24,"YYYYMMDD")&amp;"*"" /stext="" "&amp;TEXT(RGR28-utc_offset/24,"HH")&amp;search_regexp&amp;""""</f>
        <v>#VALUE!</v>
      </c>
      <c r="RHP28" s="234" t="e">
        <f>astrogrep_path&amp;" /e /r /s /spath="&amp;search_path&amp;" /stypes=""app*"&amp;RGL28&amp;"*"&amp;TEXT(RGS28-utc_offset/24,"YYYYMMDD")&amp;"*"" /stext="" "&amp;TEXT(RGS28-utc_offset/24,"HH")&amp;search_regexp&amp;""""</f>
        <v>#VALUE!</v>
      </c>
      <c r="RHQ28" s="234" t="e">
        <f>astrogrep_path&amp;" /e /r /s /spath="&amp;search_path&amp;" /stypes=""app*"&amp;RGM28&amp;"*"&amp;TEXT(RGT28-utc_offset/24,"YYYYMMDD")&amp;"*"" /stext="" "&amp;TEXT(RGT28-utc_offset/24,"HH")&amp;search_regexp&amp;""""</f>
        <v>#REF!</v>
      </c>
      <c r="RHR28" s="234" t="e">
        <f>astrogrep_path&amp;" /e /r /s /spath="&amp;search_path&amp;" /stypes=""app*"&amp;RGN28&amp;"*"&amp;TEXT(RGU28-utc_offset/24,"YYYYMMDD")&amp;"*"" /stext="" "&amp;TEXT(RGU28-utc_offset/24,"HH")&amp;search_regexp&amp;""""</f>
        <v>#REF!</v>
      </c>
      <c r="RHS28" s="234" t="e">
        <f>astrogrep_path&amp;" /e /r /s /spath="&amp;search_path&amp;" /stypes=""app*"&amp;RGO28&amp;"*"&amp;TEXT(RGV28-utc_offset/24,"YYYYMMDD")&amp;"*"" /stext="" "&amp;TEXT(RGV28-utc_offset/24,"HH")&amp;search_regexp&amp;""""</f>
        <v>#VALUE!</v>
      </c>
      <c r="RHT28" s="234" t="e">
        <f>astrogrep_path&amp;" /e /r /s /spath="&amp;search_path&amp;" /stypes=""app*"&amp;RGP28&amp;"*"&amp;TEXT(RGW28-utc_offset/24,"YYYYMMDD")&amp;"*"" /stext="" "&amp;TEXT(RGW28-utc_offset/24,"HH")&amp;search_regexp&amp;""""</f>
        <v>#VALUE!</v>
      </c>
      <c r="RHU28" s="234" t="e">
        <f>astrogrep_path&amp;" /e /r /s /spath="&amp;search_path&amp;" /stypes=""app*"&amp;RGQ28&amp;"*"&amp;TEXT(RGX28-utc_offset/24,"YYYYMMDD")&amp;"*"" /stext="" "&amp;TEXT(RGX28-utc_offset/24,"HH")&amp;search_regexp&amp;""""</f>
        <v>#VALUE!</v>
      </c>
      <c r="RHV28" s="234" t="e">
        <f>astrogrep_path&amp;" /e /r /s /spath="&amp;search_path&amp;" /stypes=""app*"&amp;RGR28&amp;"*"&amp;TEXT(RGY28-utc_offset/24,"YYYYMMDD")&amp;"*"" /stext="" "&amp;TEXT(RGY28-utc_offset/24,"HH")&amp;search_regexp&amp;""""</f>
        <v>#VALUE!</v>
      </c>
      <c r="RHW28" s="234" t="e">
        <f>astrogrep_path&amp;" /e /r /s /spath="&amp;search_path&amp;" /stypes=""app*"&amp;RGS28&amp;"*"&amp;TEXT(RGZ28-utc_offset/24,"YYYYMMDD")&amp;"*"" /stext="" "&amp;TEXT(RGZ28-utc_offset/24,"HH")&amp;search_regexp&amp;""""</f>
        <v>#VALUE!</v>
      </c>
      <c r="RHX28" s="234" t="e">
        <f>astrogrep_path&amp;" /e /r /s /spath="&amp;search_path&amp;" /stypes=""app*"&amp;RGT28&amp;"*"&amp;TEXT(RHA28-utc_offset/24,"YYYYMMDD")&amp;"*"" /stext="" "&amp;TEXT(RHA28-utc_offset/24,"HH")&amp;search_regexp&amp;""""</f>
        <v>#REF!</v>
      </c>
      <c r="RHY28" s="234" t="e">
        <f>astrogrep_path&amp;" /e /r /s /spath="&amp;search_path&amp;" /stypes=""app*"&amp;RGU28&amp;"*"&amp;TEXT(RHB28-utc_offset/24,"YYYYMMDD")&amp;"*"" /stext="" "&amp;TEXT(RHB28-utc_offset/24,"HH")&amp;search_regexp&amp;""""</f>
        <v>#REF!</v>
      </c>
      <c r="RHZ28" s="234" t="e">
        <f>astrogrep_path&amp;" /e /r /s /spath="&amp;search_path&amp;" /stypes=""app*"&amp;RGV28&amp;"*"&amp;TEXT(RHC28-utc_offset/24,"YYYYMMDD")&amp;"*"" /stext="" "&amp;TEXT(RHC28-utc_offset/24,"HH")&amp;search_regexp&amp;""""</f>
        <v>#REF!</v>
      </c>
      <c r="RIA28" s="234" t="e">
        <f>astrogrep_path&amp;" /e /r /s /spath="&amp;search_path&amp;" /stypes=""app*"&amp;RGW28&amp;"*"&amp;TEXT(RHD28-utc_offset/24,"YYYYMMDD")&amp;"*"" /stext="" "&amp;TEXT(RHD28-utc_offset/24,"HH")&amp;search_regexp&amp;""""</f>
        <v>#REF!</v>
      </c>
      <c r="RIB28" s="234" t="e">
        <f>astrogrep_path&amp;" /e /r /s /spath="&amp;search_path&amp;" /stypes=""app*"&amp;RGX28&amp;"*"&amp;TEXT(RHE28-utc_offset/24,"YYYYMMDD")&amp;"*"" /stext="" "&amp;TEXT(RHE28-utc_offset/24,"HH")&amp;search_regexp&amp;""""</f>
        <v>#REF!</v>
      </c>
      <c r="RIC28" s="234" t="e">
        <f>astrogrep_path&amp;" /e /r /s /spath="&amp;search_path&amp;" /stypes=""app*"&amp;RGY28&amp;"*"&amp;TEXT(RHF28-utc_offset/24,"YYYYMMDD")&amp;"*"" /stext="" "&amp;TEXT(RHF28-utc_offset/24,"HH")&amp;search_regexp&amp;""""</f>
        <v>#REF!</v>
      </c>
      <c r="RID28" s="234" t="e">
        <f>astrogrep_path&amp;" /e /r /s /spath="&amp;search_path&amp;" /stypes=""app*"&amp;RGZ28&amp;"*"&amp;TEXT(RHG28-utc_offset/24,"YYYYMMDD")&amp;"*"" /stext="" "&amp;TEXT(RHG28-utc_offset/24,"HH")&amp;search_regexp&amp;""""</f>
        <v>#REF!</v>
      </c>
      <c r="RIE28" s="234" t="e">
        <f>astrogrep_path&amp;" /e /r /s /spath="&amp;search_path&amp;" /stypes=""app*"&amp;RHA28&amp;"*"&amp;TEXT(RHH28-utc_offset/24,"YYYYMMDD")&amp;"*"" /stext="" "&amp;TEXT(RHH28-utc_offset/24,"HH")&amp;search_regexp&amp;""""</f>
        <v>#REF!</v>
      </c>
      <c r="RIF28" s="234" t="e">
        <f>astrogrep_path&amp;" /e /r /s /spath="&amp;search_path&amp;" /stypes=""app*"&amp;RHB28&amp;"*"&amp;TEXT(RHI28-utc_offset/24,"YYYYMMDD")&amp;"*"" /stext="" "&amp;TEXT(RHI28-utc_offset/24,"HH")&amp;search_regexp&amp;""""</f>
        <v>#REF!</v>
      </c>
      <c r="RIG28" s="234" t="e">
        <f>astrogrep_path&amp;" /e /r /s /spath="&amp;search_path&amp;" /stypes=""app*"&amp;RHC28&amp;"*"&amp;TEXT(RHJ28-utc_offset/24,"YYYYMMDD")&amp;"*"" /stext="" "&amp;TEXT(RHJ28-utc_offset/24,"HH")&amp;search_regexp&amp;""""</f>
        <v>#REF!</v>
      </c>
      <c r="RIH28" s="234" t="e">
        <f>astrogrep_path&amp;" /e /r /s /spath="&amp;search_path&amp;" /stypes=""app*"&amp;RHD28&amp;"*"&amp;TEXT(RHK28-utc_offset/24,"YYYYMMDD")&amp;"*"" /stext="" "&amp;TEXT(RHK28-utc_offset/24,"HH")&amp;search_regexp&amp;""""</f>
        <v>#REF!</v>
      </c>
      <c r="RII28" s="234" t="e">
        <f>astrogrep_path&amp;" /e /r /s /spath="&amp;search_path&amp;" /stypes=""app*"&amp;RHE28&amp;"*"&amp;TEXT(RHL28-utc_offset/24,"YYYYMMDD")&amp;"*"" /stext="" "&amp;TEXT(RHL28-utc_offset/24,"HH")&amp;search_regexp&amp;""""</f>
        <v>#REF!</v>
      </c>
      <c r="RIJ28" s="234" t="e">
        <f>astrogrep_path&amp;" /e /r /s /spath="&amp;search_path&amp;" /stypes=""app*"&amp;RHF28&amp;"*"&amp;TEXT(RHM28-utc_offset/24,"YYYYMMDD")&amp;"*"" /stext="" "&amp;TEXT(RHM28-utc_offset/24,"HH")&amp;search_regexp&amp;""""</f>
        <v>#REF!</v>
      </c>
      <c r="RIK28" s="234" t="e">
        <f>astrogrep_path&amp;" /e /r /s /spath="&amp;search_path&amp;" /stypes=""app*"&amp;RHG28&amp;"*"&amp;TEXT(RHN28-utc_offset/24,"YYYYMMDD")&amp;"*"" /stext="" "&amp;TEXT(RHN28-utc_offset/24,"HH")&amp;search_regexp&amp;""""</f>
        <v>#REF!</v>
      </c>
      <c r="RIL28" s="234" t="e">
        <f>astrogrep_path&amp;" /e /r /s /spath="&amp;search_path&amp;" /stypes=""app*"&amp;RHH28&amp;"*"&amp;TEXT(RHO28-utc_offset/24,"YYYYMMDD")&amp;"*"" /stext="" "&amp;TEXT(RHO28-utc_offset/24,"HH")&amp;search_regexp&amp;""""</f>
        <v>#REF!</v>
      </c>
      <c r="RIM28" s="234" t="e">
        <f>astrogrep_path&amp;" /e /r /s /spath="&amp;search_path&amp;" /stypes=""app*"&amp;RHI28&amp;"*"&amp;TEXT(RHP28-utc_offset/24,"YYYYMMDD")&amp;"*"" /stext="" "&amp;TEXT(RHP28-utc_offset/24,"HH")&amp;search_regexp&amp;""""</f>
        <v>#REF!</v>
      </c>
      <c r="RIN28" s="234" t="e">
        <f>astrogrep_path&amp;" /e /r /s /spath="&amp;search_path&amp;" /stypes=""app*"&amp;RHJ28&amp;"*"&amp;TEXT(RHQ28-utc_offset/24,"YYYYMMDD")&amp;"*"" /stext="" "&amp;TEXT(RHQ28-utc_offset/24,"HH")&amp;search_regexp&amp;""""</f>
        <v>#REF!</v>
      </c>
      <c r="RIO28" s="234" t="e">
        <f>astrogrep_path&amp;" /e /r /s /spath="&amp;search_path&amp;" /stypes=""app*"&amp;RHK28&amp;"*"&amp;TEXT(RHR28-utc_offset/24,"YYYYMMDD")&amp;"*"" /stext="" "&amp;TEXT(RHR28-utc_offset/24,"HH")&amp;search_regexp&amp;""""</f>
        <v>#REF!</v>
      </c>
      <c r="RIP28" s="234" t="e">
        <f>astrogrep_path&amp;" /e /r /s /spath="&amp;search_path&amp;" /stypes=""app*"&amp;RHL28&amp;"*"&amp;TEXT(RHS28-utc_offset/24,"YYYYMMDD")&amp;"*"" /stext="" "&amp;TEXT(RHS28-utc_offset/24,"HH")&amp;search_regexp&amp;""""</f>
        <v>#REF!</v>
      </c>
      <c r="RIQ28" s="234" t="e">
        <f>astrogrep_path&amp;" /e /r /s /spath="&amp;search_path&amp;" /stypes=""app*"&amp;RHM28&amp;"*"&amp;TEXT(RHT28-utc_offset/24,"YYYYMMDD")&amp;"*"" /stext="" "&amp;TEXT(RHT28-utc_offset/24,"HH")&amp;search_regexp&amp;""""</f>
        <v>#REF!</v>
      </c>
      <c r="RIR28" s="234" t="e">
        <f>astrogrep_path&amp;" /e /r /s /spath="&amp;search_path&amp;" /stypes=""app*"&amp;RHN28&amp;"*"&amp;TEXT(RHU28-utc_offset/24,"YYYYMMDD")&amp;"*"" /stext="" "&amp;TEXT(RHU28-utc_offset/24,"HH")&amp;search_regexp&amp;""""</f>
        <v>#REF!</v>
      </c>
      <c r="RIS28" s="234" t="e">
        <f>astrogrep_path&amp;" /e /r /s /spath="&amp;search_path&amp;" /stypes=""app*"&amp;RHO28&amp;"*"&amp;TEXT(RHV28-utc_offset/24,"YYYYMMDD")&amp;"*"" /stext="" "&amp;TEXT(RHV28-utc_offset/24,"HH")&amp;search_regexp&amp;""""</f>
        <v>#VALUE!</v>
      </c>
      <c r="RIT28" s="234" t="e">
        <f>astrogrep_path&amp;" /e /r /s /spath="&amp;search_path&amp;" /stypes=""app*"&amp;RHP28&amp;"*"&amp;TEXT(RHW28-utc_offset/24,"YYYYMMDD")&amp;"*"" /stext="" "&amp;TEXT(RHW28-utc_offset/24,"HH")&amp;search_regexp&amp;""""</f>
        <v>#VALUE!</v>
      </c>
      <c r="RIU28" s="234" t="e">
        <f>astrogrep_path&amp;" /e /r /s /spath="&amp;search_path&amp;" /stypes=""app*"&amp;RHQ28&amp;"*"&amp;TEXT(RHX28-utc_offset/24,"YYYYMMDD")&amp;"*"" /stext="" "&amp;TEXT(RHX28-utc_offset/24,"HH")&amp;search_regexp&amp;""""</f>
        <v>#REF!</v>
      </c>
      <c r="RIV28" s="234" t="e">
        <f>astrogrep_path&amp;" /e /r /s /spath="&amp;search_path&amp;" /stypes=""app*"&amp;RHR28&amp;"*"&amp;TEXT(RHY28-utc_offset/24,"YYYYMMDD")&amp;"*"" /stext="" "&amp;TEXT(RHY28-utc_offset/24,"HH")&amp;search_regexp&amp;""""</f>
        <v>#REF!</v>
      </c>
      <c r="RIW28" s="234" t="e">
        <f>astrogrep_path&amp;" /e /r /s /spath="&amp;search_path&amp;" /stypes=""app*"&amp;RHS28&amp;"*"&amp;TEXT(RHZ28-utc_offset/24,"YYYYMMDD")&amp;"*"" /stext="" "&amp;TEXT(RHZ28-utc_offset/24,"HH")&amp;search_regexp&amp;""""</f>
        <v>#VALUE!</v>
      </c>
      <c r="RIX28" s="234" t="e">
        <f>astrogrep_path&amp;" /e /r /s /spath="&amp;search_path&amp;" /stypes=""app*"&amp;RHT28&amp;"*"&amp;TEXT(RIA28-utc_offset/24,"YYYYMMDD")&amp;"*"" /stext="" "&amp;TEXT(RIA28-utc_offset/24,"HH")&amp;search_regexp&amp;""""</f>
        <v>#VALUE!</v>
      </c>
      <c r="RIY28" s="234" t="e">
        <f>astrogrep_path&amp;" /e /r /s /spath="&amp;search_path&amp;" /stypes=""app*"&amp;RHU28&amp;"*"&amp;TEXT(RIB28-utc_offset/24,"YYYYMMDD")&amp;"*"" /stext="" "&amp;TEXT(RIB28-utc_offset/24,"HH")&amp;search_regexp&amp;""""</f>
        <v>#VALUE!</v>
      </c>
      <c r="RIZ28" s="234" t="e">
        <f>astrogrep_path&amp;" /e /r /s /spath="&amp;search_path&amp;" /stypes=""app*"&amp;RHV28&amp;"*"&amp;TEXT(RIC28-utc_offset/24,"YYYYMMDD")&amp;"*"" /stext="" "&amp;TEXT(RIC28-utc_offset/24,"HH")&amp;search_regexp&amp;""""</f>
        <v>#VALUE!</v>
      </c>
      <c r="RJA28" s="234" t="e">
        <f>astrogrep_path&amp;" /e /r /s /spath="&amp;search_path&amp;" /stypes=""app*"&amp;RHW28&amp;"*"&amp;TEXT(RID28-utc_offset/24,"YYYYMMDD")&amp;"*"" /stext="" "&amp;TEXT(RID28-utc_offset/24,"HH")&amp;search_regexp&amp;""""</f>
        <v>#VALUE!</v>
      </c>
      <c r="RJB28" s="234" t="e">
        <f>astrogrep_path&amp;" /e /r /s /spath="&amp;search_path&amp;" /stypes=""app*"&amp;RHX28&amp;"*"&amp;TEXT(RIE28-utc_offset/24,"YYYYMMDD")&amp;"*"" /stext="" "&amp;TEXT(RIE28-utc_offset/24,"HH")&amp;search_regexp&amp;""""</f>
        <v>#REF!</v>
      </c>
      <c r="RJC28" s="234" t="e">
        <f>astrogrep_path&amp;" /e /r /s /spath="&amp;search_path&amp;" /stypes=""app*"&amp;RHY28&amp;"*"&amp;TEXT(RIF28-utc_offset/24,"YYYYMMDD")&amp;"*"" /stext="" "&amp;TEXT(RIF28-utc_offset/24,"HH")&amp;search_regexp&amp;""""</f>
        <v>#REF!</v>
      </c>
      <c r="RJD28" s="234" t="e">
        <f>astrogrep_path&amp;" /e /r /s /spath="&amp;search_path&amp;" /stypes=""app*"&amp;RHZ28&amp;"*"&amp;TEXT(RIG28-utc_offset/24,"YYYYMMDD")&amp;"*"" /stext="" "&amp;TEXT(RIG28-utc_offset/24,"HH")&amp;search_regexp&amp;""""</f>
        <v>#REF!</v>
      </c>
      <c r="RJE28" s="234" t="e">
        <f>astrogrep_path&amp;" /e /r /s /spath="&amp;search_path&amp;" /stypes=""app*"&amp;RIA28&amp;"*"&amp;TEXT(RIH28-utc_offset/24,"YYYYMMDD")&amp;"*"" /stext="" "&amp;TEXT(RIH28-utc_offset/24,"HH")&amp;search_regexp&amp;""""</f>
        <v>#REF!</v>
      </c>
      <c r="RJF28" s="234" t="e">
        <f>astrogrep_path&amp;" /e /r /s /spath="&amp;search_path&amp;" /stypes=""app*"&amp;RIB28&amp;"*"&amp;TEXT(RII28-utc_offset/24,"YYYYMMDD")&amp;"*"" /stext="" "&amp;TEXT(RII28-utc_offset/24,"HH")&amp;search_regexp&amp;""""</f>
        <v>#REF!</v>
      </c>
      <c r="RJG28" s="234" t="e">
        <f>astrogrep_path&amp;" /e /r /s /spath="&amp;search_path&amp;" /stypes=""app*"&amp;RIC28&amp;"*"&amp;TEXT(RIJ28-utc_offset/24,"YYYYMMDD")&amp;"*"" /stext="" "&amp;TEXT(RIJ28-utc_offset/24,"HH")&amp;search_regexp&amp;""""</f>
        <v>#REF!</v>
      </c>
      <c r="RJH28" s="234" t="e">
        <f>astrogrep_path&amp;" /e /r /s /spath="&amp;search_path&amp;" /stypes=""app*"&amp;RID28&amp;"*"&amp;TEXT(RIK28-utc_offset/24,"YYYYMMDD")&amp;"*"" /stext="" "&amp;TEXT(RIK28-utc_offset/24,"HH")&amp;search_regexp&amp;""""</f>
        <v>#REF!</v>
      </c>
      <c r="RJI28" s="234" t="e">
        <f>astrogrep_path&amp;" /e /r /s /spath="&amp;search_path&amp;" /stypes=""app*"&amp;RIE28&amp;"*"&amp;TEXT(RIL28-utc_offset/24,"YYYYMMDD")&amp;"*"" /stext="" "&amp;TEXT(RIL28-utc_offset/24,"HH")&amp;search_regexp&amp;""""</f>
        <v>#REF!</v>
      </c>
      <c r="RJJ28" s="234" t="e">
        <f>astrogrep_path&amp;" /e /r /s /spath="&amp;search_path&amp;" /stypes=""app*"&amp;RIF28&amp;"*"&amp;TEXT(RIM28-utc_offset/24,"YYYYMMDD")&amp;"*"" /stext="" "&amp;TEXT(RIM28-utc_offset/24,"HH")&amp;search_regexp&amp;""""</f>
        <v>#REF!</v>
      </c>
      <c r="RJK28" s="234" t="e">
        <f>astrogrep_path&amp;" /e /r /s /spath="&amp;search_path&amp;" /stypes=""app*"&amp;RIG28&amp;"*"&amp;TEXT(RIN28-utc_offset/24,"YYYYMMDD")&amp;"*"" /stext="" "&amp;TEXT(RIN28-utc_offset/24,"HH")&amp;search_regexp&amp;""""</f>
        <v>#REF!</v>
      </c>
      <c r="RJL28" s="234" t="e">
        <f>astrogrep_path&amp;" /e /r /s /spath="&amp;search_path&amp;" /stypes=""app*"&amp;RIH28&amp;"*"&amp;TEXT(RIO28-utc_offset/24,"YYYYMMDD")&amp;"*"" /stext="" "&amp;TEXT(RIO28-utc_offset/24,"HH")&amp;search_regexp&amp;""""</f>
        <v>#REF!</v>
      </c>
      <c r="RJM28" s="234" t="e">
        <f>astrogrep_path&amp;" /e /r /s /spath="&amp;search_path&amp;" /stypes=""app*"&amp;RII28&amp;"*"&amp;TEXT(RIP28-utc_offset/24,"YYYYMMDD")&amp;"*"" /stext="" "&amp;TEXT(RIP28-utc_offset/24,"HH")&amp;search_regexp&amp;""""</f>
        <v>#REF!</v>
      </c>
      <c r="RJN28" s="234" t="e">
        <f>astrogrep_path&amp;" /e /r /s /spath="&amp;search_path&amp;" /stypes=""app*"&amp;RIJ28&amp;"*"&amp;TEXT(RIQ28-utc_offset/24,"YYYYMMDD")&amp;"*"" /stext="" "&amp;TEXT(RIQ28-utc_offset/24,"HH")&amp;search_regexp&amp;""""</f>
        <v>#REF!</v>
      </c>
      <c r="RJO28" s="234" t="e">
        <f>astrogrep_path&amp;" /e /r /s /spath="&amp;search_path&amp;" /stypes=""app*"&amp;RIK28&amp;"*"&amp;TEXT(RIR28-utc_offset/24,"YYYYMMDD")&amp;"*"" /stext="" "&amp;TEXT(RIR28-utc_offset/24,"HH")&amp;search_regexp&amp;""""</f>
        <v>#REF!</v>
      </c>
      <c r="RJP28" s="234" t="e">
        <f>astrogrep_path&amp;" /e /r /s /spath="&amp;search_path&amp;" /stypes=""app*"&amp;RIL28&amp;"*"&amp;TEXT(RIS28-utc_offset/24,"YYYYMMDD")&amp;"*"" /stext="" "&amp;TEXT(RIS28-utc_offset/24,"HH")&amp;search_regexp&amp;""""</f>
        <v>#REF!</v>
      </c>
      <c r="RJQ28" s="234" t="e">
        <f>astrogrep_path&amp;" /e /r /s /spath="&amp;search_path&amp;" /stypes=""app*"&amp;RIM28&amp;"*"&amp;TEXT(RIT28-utc_offset/24,"YYYYMMDD")&amp;"*"" /stext="" "&amp;TEXT(RIT28-utc_offset/24,"HH")&amp;search_regexp&amp;""""</f>
        <v>#REF!</v>
      </c>
      <c r="RJR28" s="234" t="e">
        <f>astrogrep_path&amp;" /e /r /s /spath="&amp;search_path&amp;" /stypes=""app*"&amp;RIN28&amp;"*"&amp;TEXT(RIU28-utc_offset/24,"YYYYMMDD")&amp;"*"" /stext="" "&amp;TEXT(RIU28-utc_offset/24,"HH")&amp;search_regexp&amp;""""</f>
        <v>#REF!</v>
      </c>
      <c r="RJS28" s="234" t="e">
        <f>astrogrep_path&amp;" /e /r /s /spath="&amp;search_path&amp;" /stypes=""app*"&amp;RIO28&amp;"*"&amp;TEXT(RIV28-utc_offset/24,"YYYYMMDD")&amp;"*"" /stext="" "&amp;TEXT(RIV28-utc_offset/24,"HH")&amp;search_regexp&amp;""""</f>
        <v>#REF!</v>
      </c>
      <c r="RJT28" s="234" t="e">
        <f>astrogrep_path&amp;" /e /r /s /spath="&amp;search_path&amp;" /stypes=""app*"&amp;RIP28&amp;"*"&amp;TEXT(RIW28-utc_offset/24,"YYYYMMDD")&amp;"*"" /stext="" "&amp;TEXT(RIW28-utc_offset/24,"HH")&amp;search_regexp&amp;""""</f>
        <v>#REF!</v>
      </c>
      <c r="RJU28" s="234" t="e">
        <f>astrogrep_path&amp;" /e /r /s /spath="&amp;search_path&amp;" /stypes=""app*"&amp;RIQ28&amp;"*"&amp;TEXT(RIX28-utc_offset/24,"YYYYMMDD")&amp;"*"" /stext="" "&amp;TEXT(RIX28-utc_offset/24,"HH")&amp;search_regexp&amp;""""</f>
        <v>#REF!</v>
      </c>
      <c r="RJV28" s="234" t="e">
        <f>astrogrep_path&amp;" /e /r /s /spath="&amp;search_path&amp;" /stypes=""app*"&amp;RIR28&amp;"*"&amp;TEXT(RIY28-utc_offset/24,"YYYYMMDD")&amp;"*"" /stext="" "&amp;TEXT(RIY28-utc_offset/24,"HH")&amp;search_regexp&amp;""""</f>
        <v>#REF!</v>
      </c>
      <c r="RJW28" s="234" t="e">
        <f>astrogrep_path&amp;" /e /r /s /spath="&amp;search_path&amp;" /stypes=""app*"&amp;RIS28&amp;"*"&amp;TEXT(RIZ28-utc_offset/24,"YYYYMMDD")&amp;"*"" /stext="" "&amp;TEXT(RIZ28-utc_offset/24,"HH")&amp;search_regexp&amp;""""</f>
        <v>#VALUE!</v>
      </c>
      <c r="RJX28" s="234" t="e">
        <f>astrogrep_path&amp;" /e /r /s /spath="&amp;search_path&amp;" /stypes=""app*"&amp;RIT28&amp;"*"&amp;TEXT(RJA28-utc_offset/24,"YYYYMMDD")&amp;"*"" /stext="" "&amp;TEXT(RJA28-utc_offset/24,"HH")&amp;search_regexp&amp;""""</f>
        <v>#VALUE!</v>
      </c>
      <c r="RJY28" s="234" t="e">
        <f>astrogrep_path&amp;" /e /r /s /spath="&amp;search_path&amp;" /stypes=""app*"&amp;RIU28&amp;"*"&amp;TEXT(RJB28-utc_offset/24,"YYYYMMDD")&amp;"*"" /stext="" "&amp;TEXT(RJB28-utc_offset/24,"HH")&amp;search_regexp&amp;""""</f>
        <v>#REF!</v>
      </c>
      <c r="RJZ28" s="234" t="e">
        <f>astrogrep_path&amp;" /e /r /s /spath="&amp;search_path&amp;" /stypes=""app*"&amp;RIV28&amp;"*"&amp;TEXT(RJC28-utc_offset/24,"YYYYMMDD")&amp;"*"" /stext="" "&amp;TEXT(RJC28-utc_offset/24,"HH")&amp;search_regexp&amp;""""</f>
        <v>#REF!</v>
      </c>
      <c r="RKA28" s="234" t="e">
        <f>astrogrep_path&amp;" /e /r /s /spath="&amp;search_path&amp;" /stypes=""app*"&amp;RIW28&amp;"*"&amp;TEXT(RJD28-utc_offset/24,"YYYYMMDD")&amp;"*"" /stext="" "&amp;TEXT(RJD28-utc_offset/24,"HH")&amp;search_regexp&amp;""""</f>
        <v>#VALUE!</v>
      </c>
      <c r="RKB28" s="234" t="e">
        <f>astrogrep_path&amp;" /e /r /s /spath="&amp;search_path&amp;" /stypes=""app*"&amp;RIX28&amp;"*"&amp;TEXT(RJE28-utc_offset/24,"YYYYMMDD")&amp;"*"" /stext="" "&amp;TEXT(RJE28-utc_offset/24,"HH")&amp;search_regexp&amp;""""</f>
        <v>#VALUE!</v>
      </c>
      <c r="RKC28" s="234" t="e">
        <f>astrogrep_path&amp;" /e /r /s /spath="&amp;search_path&amp;" /stypes=""app*"&amp;RIY28&amp;"*"&amp;TEXT(RJF28-utc_offset/24,"YYYYMMDD")&amp;"*"" /stext="" "&amp;TEXT(RJF28-utc_offset/24,"HH")&amp;search_regexp&amp;""""</f>
        <v>#VALUE!</v>
      </c>
      <c r="RKD28" s="234" t="e">
        <f>astrogrep_path&amp;" /e /r /s /spath="&amp;search_path&amp;" /stypes=""app*"&amp;RIZ28&amp;"*"&amp;TEXT(RJG28-utc_offset/24,"YYYYMMDD")&amp;"*"" /stext="" "&amp;TEXT(RJG28-utc_offset/24,"HH")&amp;search_regexp&amp;""""</f>
        <v>#VALUE!</v>
      </c>
      <c r="RKE28" s="234" t="e">
        <f>astrogrep_path&amp;" /e /r /s /spath="&amp;search_path&amp;" /stypes=""app*"&amp;RJA28&amp;"*"&amp;TEXT(RJH28-utc_offset/24,"YYYYMMDD")&amp;"*"" /stext="" "&amp;TEXT(RJH28-utc_offset/24,"HH")&amp;search_regexp&amp;""""</f>
        <v>#VALUE!</v>
      </c>
      <c r="RKF28" s="234" t="e">
        <f>astrogrep_path&amp;" /e /r /s /spath="&amp;search_path&amp;" /stypes=""app*"&amp;RJB28&amp;"*"&amp;TEXT(RJI28-utc_offset/24,"YYYYMMDD")&amp;"*"" /stext="" "&amp;TEXT(RJI28-utc_offset/24,"HH")&amp;search_regexp&amp;""""</f>
        <v>#REF!</v>
      </c>
      <c r="RKG28" s="234" t="e">
        <f>astrogrep_path&amp;" /e /r /s /spath="&amp;search_path&amp;" /stypes=""app*"&amp;RJC28&amp;"*"&amp;TEXT(RJJ28-utc_offset/24,"YYYYMMDD")&amp;"*"" /stext="" "&amp;TEXT(RJJ28-utc_offset/24,"HH")&amp;search_regexp&amp;""""</f>
        <v>#REF!</v>
      </c>
      <c r="RKH28" s="234" t="e">
        <f>astrogrep_path&amp;" /e /r /s /spath="&amp;search_path&amp;" /stypes=""app*"&amp;RJD28&amp;"*"&amp;TEXT(RJK28-utc_offset/24,"YYYYMMDD")&amp;"*"" /stext="" "&amp;TEXT(RJK28-utc_offset/24,"HH")&amp;search_regexp&amp;""""</f>
        <v>#REF!</v>
      </c>
      <c r="RKI28" s="234" t="e">
        <f>astrogrep_path&amp;" /e /r /s /spath="&amp;search_path&amp;" /stypes=""app*"&amp;RJE28&amp;"*"&amp;TEXT(RJL28-utc_offset/24,"YYYYMMDD")&amp;"*"" /stext="" "&amp;TEXT(RJL28-utc_offset/24,"HH")&amp;search_regexp&amp;""""</f>
        <v>#REF!</v>
      </c>
      <c r="RKJ28" s="234" t="e">
        <f>astrogrep_path&amp;" /e /r /s /spath="&amp;search_path&amp;" /stypes=""app*"&amp;RJF28&amp;"*"&amp;TEXT(RJM28-utc_offset/24,"YYYYMMDD")&amp;"*"" /stext="" "&amp;TEXT(RJM28-utc_offset/24,"HH")&amp;search_regexp&amp;""""</f>
        <v>#REF!</v>
      </c>
      <c r="RKK28" s="234" t="e">
        <f>astrogrep_path&amp;" /e /r /s /spath="&amp;search_path&amp;" /stypes=""app*"&amp;RJG28&amp;"*"&amp;TEXT(RJN28-utc_offset/24,"YYYYMMDD")&amp;"*"" /stext="" "&amp;TEXT(RJN28-utc_offset/24,"HH")&amp;search_regexp&amp;""""</f>
        <v>#REF!</v>
      </c>
      <c r="RKL28" s="234" t="e">
        <f>astrogrep_path&amp;" /e /r /s /spath="&amp;search_path&amp;" /stypes=""app*"&amp;RJH28&amp;"*"&amp;TEXT(RJO28-utc_offset/24,"YYYYMMDD")&amp;"*"" /stext="" "&amp;TEXT(RJO28-utc_offset/24,"HH")&amp;search_regexp&amp;""""</f>
        <v>#REF!</v>
      </c>
      <c r="RKM28" s="234" t="e">
        <f>astrogrep_path&amp;" /e /r /s /spath="&amp;search_path&amp;" /stypes=""app*"&amp;RJI28&amp;"*"&amp;TEXT(RJP28-utc_offset/24,"YYYYMMDD")&amp;"*"" /stext="" "&amp;TEXT(RJP28-utc_offset/24,"HH")&amp;search_regexp&amp;""""</f>
        <v>#REF!</v>
      </c>
      <c r="RKN28" s="234" t="e">
        <f>astrogrep_path&amp;" /e /r /s /spath="&amp;search_path&amp;" /stypes=""app*"&amp;RJJ28&amp;"*"&amp;TEXT(RJQ28-utc_offset/24,"YYYYMMDD")&amp;"*"" /stext="" "&amp;TEXT(RJQ28-utc_offset/24,"HH")&amp;search_regexp&amp;""""</f>
        <v>#REF!</v>
      </c>
      <c r="RKO28" s="234" t="e">
        <f>astrogrep_path&amp;" /e /r /s /spath="&amp;search_path&amp;" /stypes=""app*"&amp;RJK28&amp;"*"&amp;TEXT(RJR28-utc_offset/24,"YYYYMMDD")&amp;"*"" /stext="" "&amp;TEXT(RJR28-utc_offset/24,"HH")&amp;search_regexp&amp;""""</f>
        <v>#REF!</v>
      </c>
      <c r="RKP28" s="234" t="e">
        <f>astrogrep_path&amp;" /e /r /s /spath="&amp;search_path&amp;" /stypes=""app*"&amp;RJL28&amp;"*"&amp;TEXT(RJS28-utc_offset/24,"YYYYMMDD")&amp;"*"" /stext="" "&amp;TEXT(RJS28-utc_offset/24,"HH")&amp;search_regexp&amp;""""</f>
        <v>#REF!</v>
      </c>
      <c r="RKQ28" s="234" t="e">
        <f>astrogrep_path&amp;" /e /r /s /spath="&amp;search_path&amp;" /stypes=""app*"&amp;RJM28&amp;"*"&amp;TEXT(RJT28-utc_offset/24,"YYYYMMDD")&amp;"*"" /stext="" "&amp;TEXT(RJT28-utc_offset/24,"HH")&amp;search_regexp&amp;""""</f>
        <v>#REF!</v>
      </c>
      <c r="RKR28" s="234" t="e">
        <f>astrogrep_path&amp;" /e /r /s /spath="&amp;search_path&amp;" /stypes=""app*"&amp;RJN28&amp;"*"&amp;TEXT(RJU28-utc_offset/24,"YYYYMMDD")&amp;"*"" /stext="" "&amp;TEXT(RJU28-utc_offset/24,"HH")&amp;search_regexp&amp;""""</f>
        <v>#REF!</v>
      </c>
      <c r="RKS28" s="234" t="e">
        <f>astrogrep_path&amp;" /e /r /s /spath="&amp;search_path&amp;" /stypes=""app*"&amp;RJO28&amp;"*"&amp;TEXT(RJV28-utc_offset/24,"YYYYMMDD")&amp;"*"" /stext="" "&amp;TEXT(RJV28-utc_offset/24,"HH")&amp;search_regexp&amp;""""</f>
        <v>#REF!</v>
      </c>
      <c r="RKT28" s="234" t="e">
        <f>astrogrep_path&amp;" /e /r /s /spath="&amp;search_path&amp;" /stypes=""app*"&amp;RJP28&amp;"*"&amp;TEXT(RJW28-utc_offset/24,"YYYYMMDD")&amp;"*"" /stext="" "&amp;TEXT(RJW28-utc_offset/24,"HH")&amp;search_regexp&amp;""""</f>
        <v>#REF!</v>
      </c>
      <c r="RKU28" s="234" t="e">
        <f>astrogrep_path&amp;" /e /r /s /spath="&amp;search_path&amp;" /stypes=""app*"&amp;RJQ28&amp;"*"&amp;TEXT(RJX28-utc_offset/24,"YYYYMMDD")&amp;"*"" /stext="" "&amp;TEXT(RJX28-utc_offset/24,"HH")&amp;search_regexp&amp;""""</f>
        <v>#REF!</v>
      </c>
      <c r="RKV28" s="234" t="e">
        <f>astrogrep_path&amp;" /e /r /s /spath="&amp;search_path&amp;" /stypes=""app*"&amp;RJR28&amp;"*"&amp;TEXT(RJY28-utc_offset/24,"YYYYMMDD")&amp;"*"" /stext="" "&amp;TEXT(RJY28-utc_offset/24,"HH")&amp;search_regexp&amp;""""</f>
        <v>#REF!</v>
      </c>
      <c r="RKW28" s="234" t="e">
        <f>astrogrep_path&amp;" /e /r /s /spath="&amp;search_path&amp;" /stypes=""app*"&amp;RJS28&amp;"*"&amp;TEXT(RJZ28-utc_offset/24,"YYYYMMDD")&amp;"*"" /stext="" "&amp;TEXT(RJZ28-utc_offset/24,"HH")&amp;search_regexp&amp;""""</f>
        <v>#REF!</v>
      </c>
      <c r="RKX28" s="234" t="e">
        <f>astrogrep_path&amp;" /e /r /s /spath="&amp;search_path&amp;" /stypes=""app*"&amp;RJT28&amp;"*"&amp;TEXT(RKA28-utc_offset/24,"YYYYMMDD")&amp;"*"" /stext="" "&amp;TEXT(RKA28-utc_offset/24,"HH")&amp;search_regexp&amp;""""</f>
        <v>#REF!</v>
      </c>
      <c r="RKY28" s="234" t="e">
        <f>astrogrep_path&amp;" /e /r /s /spath="&amp;search_path&amp;" /stypes=""app*"&amp;RJU28&amp;"*"&amp;TEXT(RKB28-utc_offset/24,"YYYYMMDD")&amp;"*"" /stext="" "&amp;TEXT(RKB28-utc_offset/24,"HH")&amp;search_regexp&amp;""""</f>
        <v>#REF!</v>
      </c>
      <c r="RKZ28" s="234" t="e">
        <f>astrogrep_path&amp;" /e /r /s /spath="&amp;search_path&amp;" /stypes=""app*"&amp;RJV28&amp;"*"&amp;TEXT(RKC28-utc_offset/24,"YYYYMMDD")&amp;"*"" /stext="" "&amp;TEXT(RKC28-utc_offset/24,"HH")&amp;search_regexp&amp;""""</f>
        <v>#REF!</v>
      </c>
      <c r="RLA28" s="234" t="e">
        <f>astrogrep_path&amp;" /e /r /s /spath="&amp;search_path&amp;" /stypes=""app*"&amp;RJW28&amp;"*"&amp;TEXT(RKD28-utc_offset/24,"YYYYMMDD")&amp;"*"" /stext="" "&amp;TEXT(RKD28-utc_offset/24,"HH")&amp;search_regexp&amp;""""</f>
        <v>#VALUE!</v>
      </c>
      <c r="RLB28" s="234" t="e">
        <f>astrogrep_path&amp;" /e /r /s /spath="&amp;search_path&amp;" /stypes=""app*"&amp;RJX28&amp;"*"&amp;TEXT(RKE28-utc_offset/24,"YYYYMMDD")&amp;"*"" /stext="" "&amp;TEXT(RKE28-utc_offset/24,"HH")&amp;search_regexp&amp;""""</f>
        <v>#VALUE!</v>
      </c>
      <c r="RLC28" s="234" t="e">
        <f>astrogrep_path&amp;" /e /r /s /spath="&amp;search_path&amp;" /stypes=""app*"&amp;RJY28&amp;"*"&amp;TEXT(RKF28-utc_offset/24,"YYYYMMDD")&amp;"*"" /stext="" "&amp;TEXT(RKF28-utc_offset/24,"HH")&amp;search_regexp&amp;""""</f>
        <v>#REF!</v>
      </c>
      <c r="RLD28" s="234" t="e">
        <f>astrogrep_path&amp;" /e /r /s /spath="&amp;search_path&amp;" /stypes=""app*"&amp;RJZ28&amp;"*"&amp;TEXT(RKG28-utc_offset/24,"YYYYMMDD")&amp;"*"" /stext="" "&amp;TEXT(RKG28-utc_offset/24,"HH")&amp;search_regexp&amp;""""</f>
        <v>#REF!</v>
      </c>
      <c r="RLE28" s="234" t="e">
        <f>astrogrep_path&amp;" /e /r /s /spath="&amp;search_path&amp;" /stypes=""app*"&amp;RKA28&amp;"*"&amp;TEXT(RKH28-utc_offset/24,"YYYYMMDD")&amp;"*"" /stext="" "&amp;TEXT(RKH28-utc_offset/24,"HH")&amp;search_regexp&amp;""""</f>
        <v>#VALUE!</v>
      </c>
      <c r="RLF28" s="234" t="e">
        <f>astrogrep_path&amp;" /e /r /s /spath="&amp;search_path&amp;" /stypes=""app*"&amp;RKB28&amp;"*"&amp;TEXT(RKI28-utc_offset/24,"YYYYMMDD")&amp;"*"" /stext="" "&amp;TEXT(RKI28-utc_offset/24,"HH")&amp;search_regexp&amp;""""</f>
        <v>#VALUE!</v>
      </c>
      <c r="RLG28" s="234" t="e">
        <f>astrogrep_path&amp;" /e /r /s /spath="&amp;search_path&amp;" /stypes=""app*"&amp;RKC28&amp;"*"&amp;TEXT(RKJ28-utc_offset/24,"YYYYMMDD")&amp;"*"" /stext="" "&amp;TEXT(RKJ28-utc_offset/24,"HH")&amp;search_regexp&amp;""""</f>
        <v>#VALUE!</v>
      </c>
      <c r="RLH28" s="234" t="e">
        <f>astrogrep_path&amp;" /e /r /s /spath="&amp;search_path&amp;" /stypes=""app*"&amp;RKD28&amp;"*"&amp;TEXT(RKK28-utc_offset/24,"YYYYMMDD")&amp;"*"" /stext="" "&amp;TEXT(RKK28-utc_offset/24,"HH")&amp;search_regexp&amp;""""</f>
        <v>#VALUE!</v>
      </c>
      <c r="RLI28" s="234" t="e">
        <f>astrogrep_path&amp;" /e /r /s /spath="&amp;search_path&amp;" /stypes=""app*"&amp;RKE28&amp;"*"&amp;TEXT(RKL28-utc_offset/24,"YYYYMMDD")&amp;"*"" /stext="" "&amp;TEXT(RKL28-utc_offset/24,"HH")&amp;search_regexp&amp;""""</f>
        <v>#VALUE!</v>
      </c>
      <c r="RLJ28" s="234" t="e">
        <f>astrogrep_path&amp;" /e /r /s /spath="&amp;search_path&amp;" /stypes=""app*"&amp;RKF28&amp;"*"&amp;TEXT(RKM28-utc_offset/24,"YYYYMMDD")&amp;"*"" /stext="" "&amp;TEXT(RKM28-utc_offset/24,"HH")&amp;search_regexp&amp;""""</f>
        <v>#REF!</v>
      </c>
      <c r="RLK28" s="234" t="e">
        <f>astrogrep_path&amp;" /e /r /s /spath="&amp;search_path&amp;" /stypes=""app*"&amp;RKG28&amp;"*"&amp;TEXT(RKN28-utc_offset/24,"YYYYMMDD")&amp;"*"" /stext="" "&amp;TEXT(RKN28-utc_offset/24,"HH")&amp;search_regexp&amp;""""</f>
        <v>#REF!</v>
      </c>
      <c r="RLL28" s="234" t="e">
        <f>astrogrep_path&amp;" /e /r /s /spath="&amp;search_path&amp;" /stypes=""app*"&amp;RKH28&amp;"*"&amp;TEXT(RKO28-utc_offset/24,"YYYYMMDD")&amp;"*"" /stext="" "&amp;TEXT(RKO28-utc_offset/24,"HH")&amp;search_regexp&amp;""""</f>
        <v>#REF!</v>
      </c>
      <c r="RLM28" s="234" t="e">
        <f>astrogrep_path&amp;" /e /r /s /spath="&amp;search_path&amp;" /stypes=""app*"&amp;RKI28&amp;"*"&amp;TEXT(RKP28-utc_offset/24,"YYYYMMDD")&amp;"*"" /stext="" "&amp;TEXT(RKP28-utc_offset/24,"HH")&amp;search_regexp&amp;""""</f>
        <v>#REF!</v>
      </c>
      <c r="RLN28" s="234" t="e">
        <f>astrogrep_path&amp;" /e /r /s /spath="&amp;search_path&amp;" /stypes=""app*"&amp;RKJ28&amp;"*"&amp;TEXT(RKQ28-utc_offset/24,"YYYYMMDD")&amp;"*"" /stext="" "&amp;TEXT(RKQ28-utc_offset/24,"HH")&amp;search_regexp&amp;""""</f>
        <v>#REF!</v>
      </c>
      <c r="RLO28" s="234" t="e">
        <f>astrogrep_path&amp;" /e /r /s /spath="&amp;search_path&amp;" /stypes=""app*"&amp;RKK28&amp;"*"&amp;TEXT(RKR28-utc_offset/24,"YYYYMMDD")&amp;"*"" /stext="" "&amp;TEXT(RKR28-utc_offset/24,"HH")&amp;search_regexp&amp;""""</f>
        <v>#REF!</v>
      </c>
      <c r="RLP28" s="234" t="e">
        <f>astrogrep_path&amp;" /e /r /s /spath="&amp;search_path&amp;" /stypes=""app*"&amp;RKL28&amp;"*"&amp;TEXT(RKS28-utc_offset/24,"YYYYMMDD")&amp;"*"" /stext="" "&amp;TEXT(RKS28-utc_offset/24,"HH")&amp;search_regexp&amp;""""</f>
        <v>#REF!</v>
      </c>
      <c r="RLQ28" s="234" t="e">
        <f>astrogrep_path&amp;" /e /r /s /spath="&amp;search_path&amp;" /stypes=""app*"&amp;RKM28&amp;"*"&amp;TEXT(RKT28-utc_offset/24,"YYYYMMDD")&amp;"*"" /stext="" "&amp;TEXT(RKT28-utc_offset/24,"HH")&amp;search_regexp&amp;""""</f>
        <v>#REF!</v>
      </c>
      <c r="RLR28" s="234" t="e">
        <f>astrogrep_path&amp;" /e /r /s /spath="&amp;search_path&amp;" /stypes=""app*"&amp;RKN28&amp;"*"&amp;TEXT(RKU28-utc_offset/24,"YYYYMMDD")&amp;"*"" /stext="" "&amp;TEXT(RKU28-utc_offset/24,"HH")&amp;search_regexp&amp;""""</f>
        <v>#REF!</v>
      </c>
      <c r="RLS28" s="234" t="e">
        <f>astrogrep_path&amp;" /e /r /s /spath="&amp;search_path&amp;" /stypes=""app*"&amp;RKO28&amp;"*"&amp;TEXT(RKV28-utc_offset/24,"YYYYMMDD")&amp;"*"" /stext="" "&amp;TEXT(RKV28-utc_offset/24,"HH")&amp;search_regexp&amp;""""</f>
        <v>#REF!</v>
      </c>
      <c r="RLT28" s="234" t="e">
        <f>astrogrep_path&amp;" /e /r /s /spath="&amp;search_path&amp;" /stypes=""app*"&amp;RKP28&amp;"*"&amp;TEXT(RKW28-utc_offset/24,"YYYYMMDD")&amp;"*"" /stext="" "&amp;TEXT(RKW28-utc_offset/24,"HH")&amp;search_regexp&amp;""""</f>
        <v>#REF!</v>
      </c>
      <c r="RLU28" s="234" t="e">
        <f>astrogrep_path&amp;" /e /r /s /spath="&amp;search_path&amp;" /stypes=""app*"&amp;RKQ28&amp;"*"&amp;TEXT(RKX28-utc_offset/24,"YYYYMMDD")&amp;"*"" /stext="" "&amp;TEXT(RKX28-utc_offset/24,"HH")&amp;search_regexp&amp;""""</f>
        <v>#REF!</v>
      </c>
      <c r="RLV28" s="234" t="e">
        <f>astrogrep_path&amp;" /e /r /s /spath="&amp;search_path&amp;" /stypes=""app*"&amp;RKR28&amp;"*"&amp;TEXT(RKY28-utc_offset/24,"YYYYMMDD")&amp;"*"" /stext="" "&amp;TEXT(RKY28-utc_offset/24,"HH")&amp;search_regexp&amp;""""</f>
        <v>#REF!</v>
      </c>
      <c r="RLW28" s="234" t="e">
        <f>astrogrep_path&amp;" /e /r /s /spath="&amp;search_path&amp;" /stypes=""app*"&amp;RKS28&amp;"*"&amp;TEXT(RKZ28-utc_offset/24,"YYYYMMDD")&amp;"*"" /stext="" "&amp;TEXT(RKZ28-utc_offset/24,"HH")&amp;search_regexp&amp;""""</f>
        <v>#REF!</v>
      </c>
      <c r="RLX28" s="234" t="e">
        <f>astrogrep_path&amp;" /e /r /s /spath="&amp;search_path&amp;" /stypes=""app*"&amp;RKT28&amp;"*"&amp;TEXT(RLA28-utc_offset/24,"YYYYMMDD")&amp;"*"" /stext="" "&amp;TEXT(RLA28-utc_offset/24,"HH")&amp;search_regexp&amp;""""</f>
        <v>#REF!</v>
      </c>
      <c r="RLY28" s="234" t="e">
        <f>astrogrep_path&amp;" /e /r /s /spath="&amp;search_path&amp;" /stypes=""app*"&amp;RKU28&amp;"*"&amp;TEXT(RLB28-utc_offset/24,"YYYYMMDD")&amp;"*"" /stext="" "&amp;TEXT(RLB28-utc_offset/24,"HH")&amp;search_regexp&amp;""""</f>
        <v>#REF!</v>
      </c>
      <c r="RLZ28" s="234" t="e">
        <f>astrogrep_path&amp;" /e /r /s /spath="&amp;search_path&amp;" /stypes=""app*"&amp;RKV28&amp;"*"&amp;TEXT(RLC28-utc_offset/24,"YYYYMMDD")&amp;"*"" /stext="" "&amp;TEXT(RLC28-utc_offset/24,"HH")&amp;search_regexp&amp;""""</f>
        <v>#REF!</v>
      </c>
      <c r="RMA28" s="234" t="e">
        <f>astrogrep_path&amp;" /e /r /s /spath="&amp;search_path&amp;" /stypes=""app*"&amp;RKW28&amp;"*"&amp;TEXT(RLD28-utc_offset/24,"YYYYMMDD")&amp;"*"" /stext="" "&amp;TEXT(RLD28-utc_offset/24,"HH")&amp;search_regexp&amp;""""</f>
        <v>#REF!</v>
      </c>
      <c r="RMB28" s="234" t="e">
        <f>astrogrep_path&amp;" /e /r /s /spath="&amp;search_path&amp;" /stypes=""app*"&amp;RKX28&amp;"*"&amp;TEXT(RLE28-utc_offset/24,"YYYYMMDD")&amp;"*"" /stext="" "&amp;TEXT(RLE28-utc_offset/24,"HH")&amp;search_regexp&amp;""""</f>
        <v>#REF!</v>
      </c>
      <c r="RMC28" s="234" t="e">
        <f>astrogrep_path&amp;" /e /r /s /spath="&amp;search_path&amp;" /stypes=""app*"&amp;RKY28&amp;"*"&amp;TEXT(RLF28-utc_offset/24,"YYYYMMDD")&amp;"*"" /stext="" "&amp;TEXT(RLF28-utc_offset/24,"HH")&amp;search_regexp&amp;""""</f>
        <v>#REF!</v>
      </c>
      <c r="RMD28" s="234" t="e">
        <f>astrogrep_path&amp;" /e /r /s /spath="&amp;search_path&amp;" /stypes=""app*"&amp;RKZ28&amp;"*"&amp;TEXT(RLG28-utc_offset/24,"YYYYMMDD")&amp;"*"" /stext="" "&amp;TEXT(RLG28-utc_offset/24,"HH")&amp;search_regexp&amp;""""</f>
        <v>#REF!</v>
      </c>
      <c r="RME28" s="234" t="e">
        <f>astrogrep_path&amp;" /e /r /s /spath="&amp;search_path&amp;" /stypes=""app*"&amp;RLA28&amp;"*"&amp;TEXT(RLH28-utc_offset/24,"YYYYMMDD")&amp;"*"" /stext="" "&amp;TEXT(RLH28-utc_offset/24,"HH")&amp;search_regexp&amp;""""</f>
        <v>#VALUE!</v>
      </c>
      <c r="RMF28" s="234" t="e">
        <f>astrogrep_path&amp;" /e /r /s /spath="&amp;search_path&amp;" /stypes=""app*"&amp;RLB28&amp;"*"&amp;TEXT(RLI28-utc_offset/24,"YYYYMMDD")&amp;"*"" /stext="" "&amp;TEXT(RLI28-utc_offset/24,"HH")&amp;search_regexp&amp;""""</f>
        <v>#VALUE!</v>
      </c>
      <c r="RMG28" s="234" t="e">
        <f>astrogrep_path&amp;" /e /r /s /spath="&amp;search_path&amp;" /stypes=""app*"&amp;RLC28&amp;"*"&amp;TEXT(RLJ28-utc_offset/24,"YYYYMMDD")&amp;"*"" /stext="" "&amp;TEXT(RLJ28-utc_offset/24,"HH")&amp;search_regexp&amp;""""</f>
        <v>#REF!</v>
      </c>
      <c r="RMH28" s="234" t="e">
        <f>astrogrep_path&amp;" /e /r /s /spath="&amp;search_path&amp;" /stypes=""app*"&amp;RLD28&amp;"*"&amp;TEXT(RLK28-utc_offset/24,"YYYYMMDD")&amp;"*"" /stext="" "&amp;TEXT(RLK28-utc_offset/24,"HH")&amp;search_regexp&amp;""""</f>
        <v>#REF!</v>
      </c>
      <c r="RMI28" s="234" t="e">
        <f>astrogrep_path&amp;" /e /r /s /spath="&amp;search_path&amp;" /stypes=""app*"&amp;RLE28&amp;"*"&amp;TEXT(RLL28-utc_offset/24,"YYYYMMDD")&amp;"*"" /stext="" "&amp;TEXT(RLL28-utc_offset/24,"HH")&amp;search_regexp&amp;""""</f>
        <v>#VALUE!</v>
      </c>
      <c r="RMJ28" s="234" t="e">
        <f>astrogrep_path&amp;" /e /r /s /spath="&amp;search_path&amp;" /stypes=""app*"&amp;RLF28&amp;"*"&amp;TEXT(RLM28-utc_offset/24,"YYYYMMDD")&amp;"*"" /stext="" "&amp;TEXT(RLM28-utc_offset/24,"HH")&amp;search_regexp&amp;""""</f>
        <v>#VALUE!</v>
      </c>
      <c r="RMK28" s="234" t="e">
        <f>astrogrep_path&amp;" /e /r /s /spath="&amp;search_path&amp;" /stypes=""app*"&amp;RLG28&amp;"*"&amp;TEXT(RLN28-utc_offset/24,"YYYYMMDD")&amp;"*"" /stext="" "&amp;TEXT(RLN28-utc_offset/24,"HH")&amp;search_regexp&amp;""""</f>
        <v>#VALUE!</v>
      </c>
      <c r="RML28" s="234" t="e">
        <f>astrogrep_path&amp;" /e /r /s /spath="&amp;search_path&amp;" /stypes=""app*"&amp;RLH28&amp;"*"&amp;TEXT(RLO28-utc_offset/24,"YYYYMMDD")&amp;"*"" /stext="" "&amp;TEXT(RLO28-utc_offset/24,"HH")&amp;search_regexp&amp;""""</f>
        <v>#VALUE!</v>
      </c>
      <c r="RMM28" s="234" t="e">
        <f>astrogrep_path&amp;" /e /r /s /spath="&amp;search_path&amp;" /stypes=""app*"&amp;RLI28&amp;"*"&amp;TEXT(RLP28-utc_offset/24,"YYYYMMDD")&amp;"*"" /stext="" "&amp;TEXT(RLP28-utc_offset/24,"HH")&amp;search_regexp&amp;""""</f>
        <v>#VALUE!</v>
      </c>
      <c r="RMN28" s="234" t="e">
        <f>astrogrep_path&amp;" /e /r /s /spath="&amp;search_path&amp;" /stypes=""app*"&amp;RLJ28&amp;"*"&amp;TEXT(RLQ28-utc_offset/24,"YYYYMMDD")&amp;"*"" /stext="" "&amp;TEXT(RLQ28-utc_offset/24,"HH")&amp;search_regexp&amp;""""</f>
        <v>#REF!</v>
      </c>
      <c r="RMO28" s="234" t="e">
        <f>astrogrep_path&amp;" /e /r /s /spath="&amp;search_path&amp;" /stypes=""app*"&amp;RLK28&amp;"*"&amp;TEXT(RLR28-utc_offset/24,"YYYYMMDD")&amp;"*"" /stext="" "&amp;TEXT(RLR28-utc_offset/24,"HH")&amp;search_regexp&amp;""""</f>
        <v>#REF!</v>
      </c>
      <c r="RMP28" s="234" t="e">
        <f>astrogrep_path&amp;" /e /r /s /spath="&amp;search_path&amp;" /stypes=""app*"&amp;RLL28&amp;"*"&amp;TEXT(RLS28-utc_offset/24,"YYYYMMDD")&amp;"*"" /stext="" "&amp;TEXT(RLS28-utc_offset/24,"HH")&amp;search_regexp&amp;""""</f>
        <v>#REF!</v>
      </c>
      <c r="RMQ28" s="234" t="e">
        <f>astrogrep_path&amp;" /e /r /s /spath="&amp;search_path&amp;" /stypes=""app*"&amp;RLM28&amp;"*"&amp;TEXT(RLT28-utc_offset/24,"YYYYMMDD")&amp;"*"" /stext="" "&amp;TEXT(RLT28-utc_offset/24,"HH")&amp;search_regexp&amp;""""</f>
        <v>#REF!</v>
      </c>
      <c r="RMR28" s="234" t="e">
        <f>astrogrep_path&amp;" /e /r /s /spath="&amp;search_path&amp;" /stypes=""app*"&amp;RLN28&amp;"*"&amp;TEXT(RLU28-utc_offset/24,"YYYYMMDD")&amp;"*"" /stext="" "&amp;TEXT(RLU28-utc_offset/24,"HH")&amp;search_regexp&amp;""""</f>
        <v>#REF!</v>
      </c>
      <c r="RMS28" s="234" t="e">
        <f>astrogrep_path&amp;" /e /r /s /spath="&amp;search_path&amp;" /stypes=""app*"&amp;RLO28&amp;"*"&amp;TEXT(RLV28-utc_offset/24,"YYYYMMDD")&amp;"*"" /stext="" "&amp;TEXT(RLV28-utc_offset/24,"HH")&amp;search_regexp&amp;""""</f>
        <v>#REF!</v>
      </c>
      <c r="RMT28" s="234" t="e">
        <f>astrogrep_path&amp;" /e /r /s /spath="&amp;search_path&amp;" /stypes=""app*"&amp;RLP28&amp;"*"&amp;TEXT(RLW28-utc_offset/24,"YYYYMMDD")&amp;"*"" /stext="" "&amp;TEXT(RLW28-utc_offset/24,"HH")&amp;search_regexp&amp;""""</f>
        <v>#REF!</v>
      </c>
      <c r="RMU28" s="234" t="e">
        <f>astrogrep_path&amp;" /e /r /s /spath="&amp;search_path&amp;" /stypes=""app*"&amp;RLQ28&amp;"*"&amp;TEXT(RLX28-utc_offset/24,"YYYYMMDD")&amp;"*"" /stext="" "&amp;TEXT(RLX28-utc_offset/24,"HH")&amp;search_regexp&amp;""""</f>
        <v>#REF!</v>
      </c>
      <c r="RMV28" s="234" t="e">
        <f>astrogrep_path&amp;" /e /r /s /spath="&amp;search_path&amp;" /stypes=""app*"&amp;RLR28&amp;"*"&amp;TEXT(RLY28-utc_offset/24,"YYYYMMDD")&amp;"*"" /stext="" "&amp;TEXT(RLY28-utc_offset/24,"HH")&amp;search_regexp&amp;""""</f>
        <v>#REF!</v>
      </c>
      <c r="RMW28" s="234" t="e">
        <f>astrogrep_path&amp;" /e /r /s /spath="&amp;search_path&amp;" /stypes=""app*"&amp;RLS28&amp;"*"&amp;TEXT(RLZ28-utc_offset/24,"YYYYMMDD")&amp;"*"" /stext="" "&amp;TEXT(RLZ28-utc_offset/24,"HH")&amp;search_regexp&amp;""""</f>
        <v>#REF!</v>
      </c>
      <c r="RMX28" s="234" t="e">
        <f>astrogrep_path&amp;" /e /r /s /spath="&amp;search_path&amp;" /stypes=""app*"&amp;RLT28&amp;"*"&amp;TEXT(RMA28-utc_offset/24,"YYYYMMDD")&amp;"*"" /stext="" "&amp;TEXT(RMA28-utc_offset/24,"HH")&amp;search_regexp&amp;""""</f>
        <v>#REF!</v>
      </c>
      <c r="RMY28" s="234" t="e">
        <f>astrogrep_path&amp;" /e /r /s /spath="&amp;search_path&amp;" /stypes=""app*"&amp;RLU28&amp;"*"&amp;TEXT(RMB28-utc_offset/24,"YYYYMMDD")&amp;"*"" /stext="" "&amp;TEXT(RMB28-utc_offset/24,"HH")&amp;search_regexp&amp;""""</f>
        <v>#REF!</v>
      </c>
      <c r="RMZ28" s="234" t="e">
        <f>astrogrep_path&amp;" /e /r /s /spath="&amp;search_path&amp;" /stypes=""app*"&amp;RLV28&amp;"*"&amp;TEXT(RMC28-utc_offset/24,"YYYYMMDD")&amp;"*"" /stext="" "&amp;TEXT(RMC28-utc_offset/24,"HH")&amp;search_regexp&amp;""""</f>
        <v>#REF!</v>
      </c>
      <c r="RNA28" s="234" t="e">
        <f>astrogrep_path&amp;" /e /r /s /spath="&amp;search_path&amp;" /stypes=""app*"&amp;RLW28&amp;"*"&amp;TEXT(RMD28-utc_offset/24,"YYYYMMDD")&amp;"*"" /stext="" "&amp;TEXT(RMD28-utc_offset/24,"HH")&amp;search_regexp&amp;""""</f>
        <v>#REF!</v>
      </c>
      <c r="RNB28" s="234" t="e">
        <f>astrogrep_path&amp;" /e /r /s /spath="&amp;search_path&amp;" /stypes=""app*"&amp;RLX28&amp;"*"&amp;TEXT(RME28-utc_offset/24,"YYYYMMDD")&amp;"*"" /stext="" "&amp;TEXT(RME28-utc_offset/24,"HH")&amp;search_regexp&amp;""""</f>
        <v>#REF!</v>
      </c>
      <c r="RNC28" s="234" t="e">
        <f>astrogrep_path&amp;" /e /r /s /spath="&amp;search_path&amp;" /stypes=""app*"&amp;RLY28&amp;"*"&amp;TEXT(RMF28-utc_offset/24,"YYYYMMDD")&amp;"*"" /stext="" "&amp;TEXT(RMF28-utc_offset/24,"HH")&amp;search_regexp&amp;""""</f>
        <v>#REF!</v>
      </c>
      <c r="RND28" s="234" t="e">
        <f>astrogrep_path&amp;" /e /r /s /spath="&amp;search_path&amp;" /stypes=""app*"&amp;RLZ28&amp;"*"&amp;TEXT(RMG28-utc_offset/24,"YYYYMMDD")&amp;"*"" /stext="" "&amp;TEXT(RMG28-utc_offset/24,"HH")&amp;search_regexp&amp;""""</f>
        <v>#REF!</v>
      </c>
      <c r="RNE28" s="234" t="e">
        <f>astrogrep_path&amp;" /e /r /s /spath="&amp;search_path&amp;" /stypes=""app*"&amp;RMA28&amp;"*"&amp;TEXT(RMH28-utc_offset/24,"YYYYMMDD")&amp;"*"" /stext="" "&amp;TEXT(RMH28-utc_offset/24,"HH")&amp;search_regexp&amp;""""</f>
        <v>#REF!</v>
      </c>
      <c r="RNF28" s="234" t="e">
        <f>astrogrep_path&amp;" /e /r /s /spath="&amp;search_path&amp;" /stypes=""app*"&amp;RMB28&amp;"*"&amp;TEXT(RMI28-utc_offset/24,"YYYYMMDD")&amp;"*"" /stext="" "&amp;TEXT(RMI28-utc_offset/24,"HH")&amp;search_regexp&amp;""""</f>
        <v>#REF!</v>
      </c>
      <c r="RNG28" s="234" t="e">
        <f>astrogrep_path&amp;" /e /r /s /spath="&amp;search_path&amp;" /stypes=""app*"&amp;RMC28&amp;"*"&amp;TEXT(RMJ28-utc_offset/24,"YYYYMMDD")&amp;"*"" /stext="" "&amp;TEXT(RMJ28-utc_offset/24,"HH")&amp;search_regexp&amp;""""</f>
        <v>#REF!</v>
      </c>
      <c r="RNH28" s="234" t="e">
        <f>astrogrep_path&amp;" /e /r /s /spath="&amp;search_path&amp;" /stypes=""app*"&amp;RMD28&amp;"*"&amp;TEXT(RMK28-utc_offset/24,"YYYYMMDD")&amp;"*"" /stext="" "&amp;TEXT(RMK28-utc_offset/24,"HH")&amp;search_regexp&amp;""""</f>
        <v>#REF!</v>
      </c>
      <c r="RNI28" s="234" t="e">
        <f>astrogrep_path&amp;" /e /r /s /spath="&amp;search_path&amp;" /stypes=""app*"&amp;RME28&amp;"*"&amp;TEXT(RML28-utc_offset/24,"YYYYMMDD")&amp;"*"" /stext="" "&amp;TEXT(RML28-utc_offset/24,"HH")&amp;search_regexp&amp;""""</f>
        <v>#VALUE!</v>
      </c>
      <c r="RNJ28" s="234" t="e">
        <f>astrogrep_path&amp;" /e /r /s /spath="&amp;search_path&amp;" /stypes=""app*"&amp;RMF28&amp;"*"&amp;TEXT(RMM28-utc_offset/24,"YYYYMMDD")&amp;"*"" /stext="" "&amp;TEXT(RMM28-utc_offset/24,"HH")&amp;search_regexp&amp;""""</f>
        <v>#VALUE!</v>
      </c>
      <c r="RNK28" s="234" t="e">
        <f>astrogrep_path&amp;" /e /r /s /spath="&amp;search_path&amp;" /stypes=""app*"&amp;RMG28&amp;"*"&amp;TEXT(RMN28-utc_offset/24,"YYYYMMDD")&amp;"*"" /stext="" "&amp;TEXT(RMN28-utc_offset/24,"HH")&amp;search_regexp&amp;""""</f>
        <v>#REF!</v>
      </c>
      <c r="RNL28" s="234" t="e">
        <f>astrogrep_path&amp;" /e /r /s /spath="&amp;search_path&amp;" /stypes=""app*"&amp;RMH28&amp;"*"&amp;TEXT(RMO28-utc_offset/24,"YYYYMMDD")&amp;"*"" /stext="" "&amp;TEXT(RMO28-utc_offset/24,"HH")&amp;search_regexp&amp;""""</f>
        <v>#REF!</v>
      </c>
      <c r="RNM28" s="234" t="e">
        <f>astrogrep_path&amp;" /e /r /s /spath="&amp;search_path&amp;" /stypes=""app*"&amp;RMI28&amp;"*"&amp;TEXT(RMP28-utc_offset/24,"YYYYMMDD")&amp;"*"" /stext="" "&amp;TEXT(RMP28-utc_offset/24,"HH")&amp;search_regexp&amp;""""</f>
        <v>#VALUE!</v>
      </c>
      <c r="RNN28" s="234" t="e">
        <f>astrogrep_path&amp;" /e /r /s /spath="&amp;search_path&amp;" /stypes=""app*"&amp;RMJ28&amp;"*"&amp;TEXT(RMQ28-utc_offset/24,"YYYYMMDD")&amp;"*"" /stext="" "&amp;TEXT(RMQ28-utc_offset/24,"HH")&amp;search_regexp&amp;""""</f>
        <v>#VALUE!</v>
      </c>
      <c r="RNO28" s="234" t="e">
        <f>astrogrep_path&amp;" /e /r /s /spath="&amp;search_path&amp;" /stypes=""app*"&amp;RMK28&amp;"*"&amp;TEXT(RMR28-utc_offset/24,"YYYYMMDD")&amp;"*"" /stext="" "&amp;TEXT(RMR28-utc_offset/24,"HH")&amp;search_regexp&amp;""""</f>
        <v>#VALUE!</v>
      </c>
      <c r="RNP28" s="234" t="e">
        <f>astrogrep_path&amp;" /e /r /s /spath="&amp;search_path&amp;" /stypes=""app*"&amp;RML28&amp;"*"&amp;TEXT(RMS28-utc_offset/24,"YYYYMMDD")&amp;"*"" /stext="" "&amp;TEXT(RMS28-utc_offset/24,"HH")&amp;search_regexp&amp;""""</f>
        <v>#VALUE!</v>
      </c>
      <c r="RNQ28" s="234" t="e">
        <f>astrogrep_path&amp;" /e /r /s /spath="&amp;search_path&amp;" /stypes=""app*"&amp;RMM28&amp;"*"&amp;TEXT(RMT28-utc_offset/24,"YYYYMMDD")&amp;"*"" /stext="" "&amp;TEXT(RMT28-utc_offset/24,"HH")&amp;search_regexp&amp;""""</f>
        <v>#VALUE!</v>
      </c>
      <c r="RNR28" s="234" t="e">
        <f>astrogrep_path&amp;" /e /r /s /spath="&amp;search_path&amp;" /stypes=""app*"&amp;RMN28&amp;"*"&amp;TEXT(RMU28-utc_offset/24,"YYYYMMDD")&amp;"*"" /stext="" "&amp;TEXT(RMU28-utc_offset/24,"HH")&amp;search_regexp&amp;""""</f>
        <v>#REF!</v>
      </c>
      <c r="RNS28" s="234" t="e">
        <f>astrogrep_path&amp;" /e /r /s /spath="&amp;search_path&amp;" /stypes=""app*"&amp;RMO28&amp;"*"&amp;TEXT(RMV28-utc_offset/24,"YYYYMMDD")&amp;"*"" /stext="" "&amp;TEXT(RMV28-utc_offset/24,"HH")&amp;search_regexp&amp;""""</f>
        <v>#REF!</v>
      </c>
      <c r="RNT28" s="234" t="e">
        <f>astrogrep_path&amp;" /e /r /s /spath="&amp;search_path&amp;" /stypes=""app*"&amp;RMP28&amp;"*"&amp;TEXT(RMW28-utc_offset/24,"YYYYMMDD")&amp;"*"" /stext="" "&amp;TEXT(RMW28-utc_offset/24,"HH")&amp;search_regexp&amp;""""</f>
        <v>#REF!</v>
      </c>
      <c r="RNU28" s="234" t="e">
        <f>astrogrep_path&amp;" /e /r /s /spath="&amp;search_path&amp;" /stypes=""app*"&amp;RMQ28&amp;"*"&amp;TEXT(RMX28-utc_offset/24,"YYYYMMDD")&amp;"*"" /stext="" "&amp;TEXT(RMX28-utc_offset/24,"HH")&amp;search_regexp&amp;""""</f>
        <v>#REF!</v>
      </c>
      <c r="RNV28" s="234" t="e">
        <f>astrogrep_path&amp;" /e /r /s /spath="&amp;search_path&amp;" /stypes=""app*"&amp;RMR28&amp;"*"&amp;TEXT(RMY28-utc_offset/24,"YYYYMMDD")&amp;"*"" /stext="" "&amp;TEXT(RMY28-utc_offset/24,"HH")&amp;search_regexp&amp;""""</f>
        <v>#REF!</v>
      </c>
      <c r="RNW28" s="234" t="e">
        <f>astrogrep_path&amp;" /e /r /s /spath="&amp;search_path&amp;" /stypes=""app*"&amp;RMS28&amp;"*"&amp;TEXT(RMZ28-utc_offset/24,"YYYYMMDD")&amp;"*"" /stext="" "&amp;TEXT(RMZ28-utc_offset/24,"HH")&amp;search_regexp&amp;""""</f>
        <v>#REF!</v>
      </c>
      <c r="RNX28" s="234" t="e">
        <f>astrogrep_path&amp;" /e /r /s /spath="&amp;search_path&amp;" /stypes=""app*"&amp;RMT28&amp;"*"&amp;TEXT(RNA28-utc_offset/24,"YYYYMMDD")&amp;"*"" /stext="" "&amp;TEXT(RNA28-utc_offset/24,"HH")&amp;search_regexp&amp;""""</f>
        <v>#REF!</v>
      </c>
      <c r="RNY28" s="234" t="e">
        <f>astrogrep_path&amp;" /e /r /s /spath="&amp;search_path&amp;" /stypes=""app*"&amp;RMU28&amp;"*"&amp;TEXT(RNB28-utc_offset/24,"YYYYMMDD")&amp;"*"" /stext="" "&amp;TEXT(RNB28-utc_offset/24,"HH")&amp;search_regexp&amp;""""</f>
        <v>#REF!</v>
      </c>
      <c r="RNZ28" s="234" t="e">
        <f>astrogrep_path&amp;" /e /r /s /spath="&amp;search_path&amp;" /stypes=""app*"&amp;RMV28&amp;"*"&amp;TEXT(RNC28-utc_offset/24,"YYYYMMDD")&amp;"*"" /stext="" "&amp;TEXT(RNC28-utc_offset/24,"HH")&amp;search_regexp&amp;""""</f>
        <v>#REF!</v>
      </c>
      <c r="ROA28" s="234" t="e">
        <f>astrogrep_path&amp;" /e /r /s /spath="&amp;search_path&amp;" /stypes=""app*"&amp;RMW28&amp;"*"&amp;TEXT(RND28-utc_offset/24,"YYYYMMDD")&amp;"*"" /stext="" "&amp;TEXT(RND28-utc_offset/24,"HH")&amp;search_regexp&amp;""""</f>
        <v>#REF!</v>
      </c>
      <c r="ROB28" s="234" t="e">
        <f>astrogrep_path&amp;" /e /r /s /spath="&amp;search_path&amp;" /stypes=""app*"&amp;RMX28&amp;"*"&amp;TEXT(RNE28-utc_offset/24,"YYYYMMDD")&amp;"*"" /stext="" "&amp;TEXT(RNE28-utc_offset/24,"HH")&amp;search_regexp&amp;""""</f>
        <v>#REF!</v>
      </c>
      <c r="ROC28" s="234" t="e">
        <f>astrogrep_path&amp;" /e /r /s /spath="&amp;search_path&amp;" /stypes=""app*"&amp;RMY28&amp;"*"&amp;TEXT(RNF28-utc_offset/24,"YYYYMMDD")&amp;"*"" /stext="" "&amp;TEXT(RNF28-utc_offset/24,"HH")&amp;search_regexp&amp;""""</f>
        <v>#REF!</v>
      </c>
      <c r="ROD28" s="234" t="e">
        <f>astrogrep_path&amp;" /e /r /s /spath="&amp;search_path&amp;" /stypes=""app*"&amp;RMZ28&amp;"*"&amp;TEXT(RNG28-utc_offset/24,"YYYYMMDD")&amp;"*"" /stext="" "&amp;TEXT(RNG28-utc_offset/24,"HH")&amp;search_regexp&amp;""""</f>
        <v>#REF!</v>
      </c>
      <c r="ROE28" s="234" t="e">
        <f>astrogrep_path&amp;" /e /r /s /spath="&amp;search_path&amp;" /stypes=""app*"&amp;RNA28&amp;"*"&amp;TEXT(RNH28-utc_offset/24,"YYYYMMDD")&amp;"*"" /stext="" "&amp;TEXT(RNH28-utc_offset/24,"HH")&amp;search_regexp&amp;""""</f>
        <v>#REF!</v>
      </c>
      <c r="ROF28" s="234" t="e">
        <f>astrogrep_path&amp;" /e /r /s /spath="&amp;search_path&amp;" /stypes=""app*"&amp;RNB28&amp;"*"&amp;TEXT(RNI28-utc_offset/24,"YYYYMMDD")&amp;"*"" /stext="" "&amp;TEXT(RNI28-utc_offset/24,"HH")&amp;search_regexp&amp;""""</f>
        <v>#REF!</v>
      </c>
      <c r="ROG28" s="234" t="e">
        <f>astrogrep_path&amp;" /e /r /s /spath="&amp;search_path&amp;" /stypes=""app*"&amp;RNC28&amp;"*"&amp;TEXT(RNJ28-utc_offset/24,"YYYYMMDD")&amp;"*"" /stext="" "&amp;TEXT(RNJ28-utc_offset/24,"HH")&amp;search_regexp&amp;""""</f>
        <v>#REF!</v>
      </c>
      <c r="ROH28" s="234" t="e">
        <f>astrogrep_path&amp;" /e /r /s /spath="&amp;search_path&amp;" /stypes=""app*"&amp;RND28&amp;"*"&amp;TEXT(RNK28-utc_offset/24,"YYYYMMDD")&amp;"*"" /stext="" "&amp;TEXT(RNK28-utc_offset/24,"HH")&amp;search_regexp&amp;""""</f>
        <v>#REF!</v>
      </c>
      <c r="ROI28" s="234" t="e">
        <f>astrogrep_path&amp;" /e /r /s /spath="&amp;search_path&amp;" /stypes=""app*"&amp;RNE28&amp;"*"&amp;TEXT(RNL28-utc_offset/24,"YYYYMMDD")&amp;"*"" /stext="" "&amp;TEXT(RNL28-utc_offset/24,"HH")&amp;search_regexp&amp;""""</f>
        <v>#REF!</v>
      </c>
      <c r="ROJ28" s="234" t="e">
        <f>astrogrep_path&amp;" /e /r /s /spath="&amp;search_path&amp;" /stypes=""app*"&amp;RNF28&amp;"*"&amp;TEXT(RNM28-utc_offset/24,"YYYYMMDD")&amp;"*"" /stext="" "&amp;TEXT(RNM28-utc_offset/24,"HH")&amp;search_regexp&amp;""""</f>
        <v>#REF!</v>
      </c>
      <c r="ROK28" s="234" t="e">
        <f>astrogrep_path&amp;" /e /r /s /spath="&amp;search_path&amp;" /stypes=""app*"&amp;RNG28&amp;"*"&amp;TEXT(RNN28-utc_offset/24,"YYYYMMDD")&amp;"*"" /stext="" "&amp;TEXT(RNN28-utc_offset/24,"HH")&amp;search_regexp&amp;""""</f>
        <v>#REF!</v>
      </c>
      <c r="ROL28" s="234" t="e">
        <f>astrogrep_path&amp;" /e /r /s /spath="&amp;search_path&amp;" /stypes=""app*"&amp;RNH28&amp;"*"&amp;TEXT(RNO28-utc_offset/24,"YYYYMMDD")&amp;"*"" /stext="" "&amp;TEXT(RNO28-utc_offset/24,"HH")&amp;search_regexp&amp;""""</f>
        <v>#REF!</v>
      </c>
      <c r="ROM28" s="234" t="e">
        <f>astrogrep_path&amp;" /e /r /s /spath="&amp;search_path&amp;" /stypes=""app*"&amp;RNI28&amp;"*"&amp;TEXT(RNP28-utc_offset/24,"YYYYMMDD")&amp;"*"" /stext="" "&amp;TEXT(RNP28-utc_offset/24,"HH")&amp;search_regexp&amp;""""</f>
        <v>#VALUE!</v>
      </c>
      <c r="RON28" s="234" t="e">
        <f>astrogrep_path&amp;" /e /r /s /spath="&amp;search_path&amp;" /stypes=""app*"&amp;RNJ28&amp;"*"&amp;TEXT(RNQ28-utc_offset/24,"YYYYMMDD")&amp;"*"" /stext="" "&amp;TEXT(RNQ28-utc_offset/24,"HH")&amp;search_regexp&amp;""""</f>
        <v>#VALUE!</v>
      </c>
      <c r="ROO28" s="234" t="e">
        <f>astrogrep_path&amp;" /e /r /s /spath="&amp;search_path&amp;" /stypes=""app*"&amp;RNK28&amp;"*"&amp;TEXT(RNR28-utc_offset/24,"YYYYMMDD")&amp;"*"" /stext="" "&amp;TEXT(RNR28-utc_offset/24,"HH")&amp;search_regexp&amp;""""</f>
        <v>#REF!</v>
      </c>
      <c r="ROP28" s="234" t="e">
        <f>astrogrep_path&amp;" /e /r /s /spath="&amp;search_path&amp;" /stypes=""app*"&amp;RNL28&amp;"*"&amp;TEXT(RNS28-utc_offset/24,"YYYYMMDD")&amp;"*"" /stext="" "&amp;TEXT(RNS28-utc_offset/24,"HH")&amp;search_regexp&amp;""""</f>
        <v>#REF!</v>
      </c>
      <c r="ROQ28" s="234" t="e">
        <f>astrogrep_path&amp;" /e /r /s /spath="&amp;search_path&amp;" /stypes=""app*"&amp;RNM28&amp;"*"&amp;TEXT(RNT28-utc_offset/24,"YYYYMMDD")&amp;"*"" /stext="" "&amp;TEXT(RNT28-utc_offset/24,"HH")&amp;search_regexp&amp;""""</f>
        <v>#VALUE!</v>
      </c>
      <c r="ROR28" s="234" t="e">
        <f>astrogrep_path&amp;" /e /r /s /spath="&amp;search_path&amp;" /stypes=""app*"&amp;RNN28&amp;"*"&amp;TEXT(RNU28-utc_offset/24,"YYYYMMDD")&amp;"*"" /stext="" "&amp;TEXT(RNU28-utc_offset/24,"HH")&amp;search_regexp&amp;""""</f>
        <v>#VALUE!</v>
      </c>
      <c r="ROS28" s="234" t="e">
        <f>astrogrep_path&amp;" /e /r /s /spath="&amp;search_path&amp;" /stypes=""app*"&amp;RNO28&amp;"*"&amp;TEXT(RNV28-utc_offset/24,"YYYYMMDD")&amp;"*"" /stext="" "&amp;TEXT(RNV28-utc_offset/24,"HH")&amp;search_regexp&amp;""""</f>
        <v>#VALUE!</v>
      </c>
      <c r="ROT28" s="234" t="e">
        <f>astrogrep_path&amp;" /e /r /s /spath="&amp;search_path&amp;" /stypes=""app*"&amp;RNP28&amp;"*"&amp;TEXT(RNW28-utc_offset/24,"YYYYMMDD")&amp;"*"" /stext="" "&amp;TEXT(RNW28-utc_offset/24,"HH")&amp;search_regexp&amp;""""</f>
        <v>#VALUE!</v>
      </c>
      <c r="ROU28" s="234" t="e">
        <f>astrogrep_path&amp;" /e /r /s /spath="&amp;search_path&amp;" /stypes=""app*"&amp;RNQ28&amp;"*"&amp;TEXT(RNX28-utc_offset/24,"YYYYMMDD")&amp;"*"" /stext="" "&amp;TEXT(RNX28-utc_offset/24,"HH")&amp;search_regexp&amp;""""</f>
        <v>#VALUE!</v>
      </c>
      <c r="ROV28" s="234" t="e">
        <f>astrogrep_path&amp;" /e /r /s /spath="&amp;search_path&amp;" /stypes=""app*"&amp;RNR28&amp;"*"&amp;TEXT(RNY28-utc_offset/24,"YYYYMMDD")&amp;"*"" /stext="" "&amp;TEXT(RNY28-utc_offset/24,"HH")&amp;search_regexp&amp;""""</f>
        <v>#REF!</v>
      </c>
      <c r="ROW28" s="234" t="e">
        <f>astrogrep_path&amp;" /e /r /s /spath="&amp;search_path&amp;" /stypes=""app*"&amp;RNS28&amp;"*"&amp;TEXT(RNZ28-utc_offset/24,"YYYYMMDD")&amp;"*"" /stext="" "&amp;TEXT(RNZ28-utc_offset/24,"HH")&amp;search_regexp&amp;""""</f>
        <v>#REF!</v>
      </c>
      <c r="ROX28" s="234" t="e">
        <f>astrogrep_path&amp;" /e /r /s /spath="&amp;search_path&amp;" /stypes=""app*"&amp;RNT28&amp;"*"&amp;TEXT(ROA28-utc_offset/24,"YYYYMMDD")&amp;"*"" /stext="" "&amp;TEXT(ROA28-utc_offset/24,"HH")&amp;search_regexp&amp;""""</f>
        <v>#REF!</v>
      </c>
      <c r="ROY28" s="234" t="e">
        <f>astrogrep_path&amp;" /e /r /s /spath="&amp;search_path&amp;" /stypes=""app*"&amp;RNU28&amp;"*"&amp;TEXT(ROB28-utc_offset/24,"YYYYMMDD")&amp;"*"" /stext="" "&amp;TEXT(ROB28-utc_offset/24,"HH")&amp;search_regexp&amp;""""</f>
        <v>#REF!</v>
      </c>
      <c r="ROZ28" s="234" t="e">
        <f>astrogrep_path&amp;" /e /r /s /spath="&amp;search_path&amp;" /stypes=""app*"&amp;RNV28&amp;"*"&amp;TEXT(ROC28-utc_offset/24,"YYYYMMDD")&amp;"*"" /stext="" "&amp;TEXT(ROC28-utc_offset/24,"HH")&amp;search_regexp&amp;""""</f>
        <v>#REF!</v>
      </c>
      <c r="RPA28" s="234" t="e">
        <f>astrogrep_path&amp;" /e /r /s /spath="&amp;search_path&amp;" /stypes=""app*"&amp;RNW28&amp;"*"&amp;TEXT(ROD28-utc_offset/24,"YYYYMMDD")&amp;"*"" /stext="" "&amp;TEXT(ROD28-utc_offset/24,"HH")&amp;search_regexp&amp;""""</f>
        <v>#REF!</v>
      </c>
      <c r="RPB28" s="234" t="e">
        <f>astrogrep_path&amp;" /e /r /s /spath="&amp;search_path&amp;" /stypes=""app*"&amp;RNX28&amp;"*"&amp;TEXT(ROE28-utc_offset/24,"YYYYMMDD")&amp;"*"" /stext="" "&amp;TEXT(ROE28-utc_offset/24,"HH")&amp;search_regexp&amp;""""</f>
        <v>#REF!</v>
      </c>
      <c r="RPC28" s="234" t="e">
        <f>astrogrep_path&amp;" /e /r /s /spath="&amp;search_path&amp;" /stypes=""app*"&amp;RNY28&amp;"*"&amp;TEXT(ROF28-utc_offset/24,"YYYYMMDD")&amp;"*"" /stext="" "&amp;TEXT(ROF28-utc_offset/24,"HH")&amp;search_regexp&amp;""""</f>
        <v>#REF!</v>
      </c>
      <c r="RPD28" s="234" t="e">
        <f>astrogrep_path&amp;" /e /r /s /spath="&amp;search_path&amp;" /stypes=""app*"&amp;RNZ28&amp;"*"&amp;TEXT(ROG28-utc_offset/24,"YYYYMMDD")&amp;"*"" /stext="" "&amp;TEXT(ROG28-utc_offset/24,"HH")&amp;search_regexp&amp;""""</f>
        <v>#REF!</v>
      </c>
      <c r="RPE28" s="234" t="e">
        <f>astrogrep_path&amp;" /e /r /s /spath="&amp;search_path&amp;" /stypes=""app*"&amp;ROA28&amp;"*"&amp;TEXT(ROH28-utc_offset/24,"YYYYMMDD")&amp;"*"" /stext="" "&amp;TEXT(ROH28-utc_offset/24,"HH")&amp;search_regexp&amp;""""</f>
        <v>#REF!</v>
      </c>
      <c r="RPF28" s="234" t="e">
        <f>astrogrep_path&amp;" /e /r /s /spath="&amp;search_path&amp;" /stypes=""app*"&amp;ROB28&amp;"*"&amp;TEXT(ROI28-utc_offset/24,"YYYYMMDD")&amp;"*"" /stext="" "&amp;TEXT(ROI28-utc_offset/24,"HH")&amp;search_regexp&amp;""""</f>
        <v>#REF!</v>
      </c>
      <c r="RPG28" s="234" t="e">
        <f>astrogrep_path&amp;" /e /r /s /spath="&amp;search_path&amp;" /stypes=""app*"&amp;ROC28&amp;"*"&amp;TEXT(ROJ28-utc_offset/24,"YYYYMMDD")&amp;"*"" /stext="" "&amp;TEXT(ROJ28-utc_offset/24,"HH")&amp;search_regexp&amp;""""</f>
        <v>#REF!</v>
      </c>
      <c r="RPH28" s="234" t="e">
        <f>astrogrep_path&amp;" /e /r /s /spath="&amp;search_path&amp;" /stypes=""app*"&amp;ROD28&amp;"*"&amp;TEXT(ROK28-utc_offset/24,"YYYYMMDD")&amp;"*"" /stext="" "&amp;TEXT(ROK28-utc_offset/24,"HH")&amp;search_regexp&amp;""""</f>
        <v>#REF!</v>
      </c>
      <c r="RPI28" s="234" t="e">
        <f>astrogrep_path&amp;" /e /r /s /spath="&amp;search_path&amp;" /stypes=""app*"&amp;ROE28&amp;"*"&amp;TEXT(ROL28-utc_offset/24,"YYYYMMDD")&amp;"*"" /stext="" "&amp;TEXT(ROL28-utc_offset/24,"HH")&amp;search_regexp&amp;""""</f>
        <v>#REF!</v>
      </c>
      <c r="RPJ28" s="234" t="e">
        <f>astrogrep_path&amp;" /e /r /s /spath="&amp;search_path&amp;" /stypes=""app*"&amp;ROF28&amp;"*"&amp;TEXT(ROM28-utc_offset/24,"YYYYMMDD")&amp;"*"" /stext="" "&amp;TEXT(ROM28-utc_offset/24,"HH")&amp;search_regexp&amp;""""</f>
        <v>#REF!</v>
      </c>
      <c r="RPK28" s="234" t="e">
        <f>astrogrep_path&amp;" /e /r /s /spath="&amp;search_path&amp;" /stypes=""app*"&amp;ROG28&amp;"*"&amp;TEXT(RON28-utc_offset/24,"YYYYMMDD")&amp;"*"" /stext="" "&amp;TEXT(RON28-utc_offset/24,"HH")&amp;search_regexp&amp;""""</f>
        <v>#REF!</v>
      </c>
      <c r="RPL28" s="234" t="e">
        <f>astrogrep_path&amp;" /e /r /s /spath="&amp;search_path&amp;" /stypes=""app*"&amp;ROH28&amp;"*"&amp;TEXT(ROO28-utc_offset/24,"YYYYMMDD")&amp;"*"" /stext="" "&amp;TEXT(ROO28-utc_offset/24,"HH")&amp;search_regexp&amp;""""</f>
        <v>#REF!</v>
      </c>
      <c r="RPM28" s="234" t="e">
        <f>astrogrep_path&amp;" /e /r /s /spath="&amp;search_path&amp;" /stypes=""app*"&amp;ROI28&amp;"*"&amp;TEXT(ROP28-utc_offset/24,"YYYYMMDD")&amp;"*"" /stext="" "&amp;TEXT(ROP28-utc_offset/24,"HH")&amp;search_regexp&amp;""""</f>
        <v>#REF!</v>
      </c>
      <c r="RPN28" s="234" t="e">
        <f>astrogrep_path&amp;" /e /r /s /spath="&amp;search_path&amp;" /stypes=""app*"&amp;ROJ28&amp;"*"&amp;TEXT(ROQ28-utc_offset/24,"YYYYMMDD")&amp;"*"" /stext="" "&amp;TEXT(ROQ28-utc_offset/24,"HH")&amp;search_regexp&amp;""""</f>
        <v>#REF!</v>
      </c>
      <c r="RPO28" s="234" t="e">
        <f>astrogrep_path&amp;" /e /r /s /spath="&amp;search_path&amp;" /stypes=""app*"&amp;ROK28&amp;"*"&amp;TEXT(ROR28-utc_offset/24,"YYYYMMDD")&amp;"*"" /stext="" "&amp;TEXT(ROR28-utc_offset/24,"HH")&amp;search_regexp&amp;""""</f>
        <v>#REF!</v>
      </c>
      <c r="RPP28" s="234" t="e">
        <f>astrogrep_path&amp;" /e /r /s /spath="&amp;search_path&amp;" /stypes=""app*"&amp;ROL28&amp;"*"&amp;TEXT(ROS28-utc_offset/24,"YYYYMMDD")&amp;"*"" /stext="" "&amp;TEXT(ROS28-utc_offset/24,"HH")&amp;search_regexp&amp;""""</f>
        <v>#REF!</v>
      </c>
      <c r="RPQ28" s="234" t="e">
        <f>astrogrep_path&amp;" /e /r /s /spath="&amp;search_path&amp;" /stypes=""app*"&amp;ROM28&amp;"*"&amp;TEXT(ROT28-utc_offset/24,"YYYYMMDD")&amp;"*"" /stext="" "&amp;TEXT(ROT28-utc_offset/24,"HH")&amp;search_regexp&amp;""""</f>
        <v>#VALUE!</v>
      </c>
      <c r="RPR28" s="234" t="e">
        <f>astrogrep_path&amp;" /e /r /s /spath="&amp;search_path&amp;" /stypes=""app*"&amp;RON28&amp;"*"&amp;TEXT(ROU28-utc_offset/24,"YYYYMMDD")&amp;"*"" /stext="" "&amp;TEXT(ROU28-utc_offset/24,"HH")&amp;search_regexp&amp;""""</f>
        <v>#VALUE!</v>
      </c>
      <c r="RPS28" s="234" t="e">
        <f>astrogrep_path&amp;" /e /r /s /spath="&amp;search_path&amp;" /stypes=""app*"&amp;ROO28&amp;"*"&amp;TEXT(ROV28-utc_offset/24,"YYYYMMDD")&amp;"*"" /stext="" "&amp;TEXT(ROV28-utc_offset/24,"HH")&amp;search_regexp&amp;""""</f>
        <v>#REF!</v>
      </c>
      <c r="RPT28" s="234" t="e">
        <f>astrogrep_path&amp;" /e /r /s /spath="&amp;search_path&amp;" /stypes=""app*"&amp;ROP28&amp;"*"&amp;TEXT(ROW28-utc_offset/24,"YYYYMMDD")&amp;"*"" /stext="" "&amp;TEXT(ROW28-utc_offset/24,"HH")&amp;search_regexp&amp;""""</f>
        <v>#REF!</v>
      </c>
      <c r="RPU28" s="234" t="e">
        <f>astrogrep_path&amp;" /e /r /s /spath="&amp;search_path&amp;" /stypes=""app*"&amp;ROQ28&amp;"*"&amp;TEXT(ROX28-utc_offset/24,"YYYYMMDD")&amp;"*"" /stext="" "&amp;TEXT(ROX28-utc_offset/24,"HH")&amp;search_regexp&amp;""""</f>
        <v>#VALUE!</v>
      </c>
      <c r="RPV28" s="234" t="e">
        <f>astrogrep_path&amp;" /e /r /s /spath="&amp;search_path&amp;" /stypes=""app*"&amp;ROR28&amp;"*"&amp;TEXT(ROY28-utc_offset/24,"YYYYMMDD")&amp;"*"" /stext="" "&amp;TEXT(ROY28-utc_offset/24,"HH")&amp;search_regexp&amp;""""</f>
        <v>#VALUE!</v>
      </c>
      <c r="RPW28" s="234" t="e">
        <f>astrogrep_path&amp;" /e /r /s /spath="&amp;search_path&amp;" /stypes=""app*"&amp;ROS28&amp;"*"&amp;TEXT(ROZ28-utc_offset/24,"YYYYMMDD")&amp;"*"" /stext="" "&amp;TEXT(ROZ28-utc_offset/24,"HH")&amp;search_regexp&amp;""""</f>
        <v>#VALUE!</v>
      </c>
      <c r="RPX28" s="234" t="e">
        <f>astrogrep_path&amp;" /e /r /s /spath="&amp;search_path&amp;" /stypes=""app*"&amp;ROT28&amp;"*"&amp;TEXT(RPA28-utc_offset/24,"YYYYMMDD")&amp;"*"" /stext="" "&amp;TEXT(RPA28-utc_offset/24,"HH")&amp;search_regexp&amp;""""</f>
        <v>#VALUE!</v>
      </c>
      <c r="RPY28" s="234" t="e">
        <f>astrogrep_path&amp;" /e /r /s /spath="&amp;search_path&amp;" /stypes=""app*"&amp;ROU28&amp;"*"&amp;TEXT(RPB28-utc_offset/24,"YYYYMMDD")&amp;"*"" /stext="" "&amp;TEXT(RPB28-utc_offset/24,"HH")&amp;search_regexp&amp;""""</f>
        <v>#VALUE!</v>
      </c>
      <c r="RPZ28" s="234" t="e">
        <f>astrogrep_path&amp;" /e /r /s /spath="&amp;search_path&amp;" /stypes=""app*"&amp;ROV28&amp;"*"&amp;TEXT(RPC28-utc_offset/24,"YYYYMMDD")&amp;"*"" /stext="" "&amp;TEXT(RPC28-utc_offset/24,"HH")&amp;search_regexp&amp;""""</f>
        <v>#REF!</v>
      </c>
      <c r="RQA28" s="234" t="e">
        <f>astrogrep_path&amp;" /e /r /s /spath="&amp;search_path&amp;" /stypes=""app*"&amp;ROW28&amp;"*"&amp;TEXT(RPD28-utc_offset/24,"YYYYMMDD")&amp;"*"" /stext="" "&amp;TEXT(RPD28-utc_offset/24,"HH")&amp;search_regexp&amp;""""</f>
        <v>#REF!</v>
      </c>
      <c r="RQB28" s="234" t="e">
        <f>astrogrep_path&amp;" /e /r /s /spath="&amp;search_path&amp;" /stypes=""app*"&amp;ROX28&amp;"*"&amp;TEXT(RPE28-utc_offset/24,"YYYYMMDD")&amp;"*"" /stext="" "&amp;TEXT(RPE28-utc_offset/24,"HH")&amp;search_regexp&amp;""""</f>
        <v>#REF!</v>
      </c>
      <c r="RQC28" s="234" t="e">
        <f>astrogrep_path&amp;" /e /r /s /spath="&amp;search_path&amp;" /stypes=""app*"&amp;ROY28&amp;"*"&amp;TEXT(RPF28-utc_offset/24,"YYYYMMDD")&amp;"*"" /stext="" "&amp;TEXT(RPF28-utc_offset/24,"HH")&amp;search_regexp&amp;""""</f>
        <v>#REF!</v>
      </c>
      <c r="RQD28" s="234" t="e">
        <f>astrogrep_path&amp;" /e /r /s /spath="&amp;search_path&amp;" /stypes=""app*"&amp;ROZ28&amp;"*"&amp;TEXT(RPG28-utc_offset/24,"YYYYMMDD")&amp;"*"" /stext="" "&amp;TEXT(RPG28-utc_offset/24,"HH")&amp;search_regexp&amp;""""</f>
        <v>#REF!</v>
      </c>
      <c r="RQE28" s="234" t="e">
        <f>astrogrep_path&amp;" /e /r /s /spath="&amp;search_path&amp;" /stypes=""app*"&amp;RPA28&amp;"*"&amp;TEXT(RPH28-utc_offset/24,"YYYYMMDD")&amp;"*"" /stext="" "&amp;TEXT(RPH28-utc_offset/24,"HH")&amp;search_regexp&amp;""""</f>
        <v>#REF!</v>
      </c>
      <c r="RQF28" s="234" t="e">
        <f>astrogrep_path&amp;" /e /r /s /spath="&amp;search_path&amp;" /stypes=""app*"&amp;RPB28&amp;"*"&amp;TEXT(RPI28-utc_offset/24,"YYYYMMDD")&amp;"*"" /stext="" "&amp;TEXT(RPI28-utc_offset/24,"HH")&amp;search_regexp&amp;""""</f>
        <v>#REF!</v>
      </c>
      <c r="RQG28" s="234" t="e">
        <f>astrogrep_path&amp;" /e /r /s /spath="&amp;search_path&amp;" /stypes=""app*"&amp;RPC28&amp;"*"&amp;TEXT(RPJ28-utc_offset/24,"YYYYMMDD")&amp;"*"" /stext="" "&amp;TEXT(RPJ28-utc_offset/24,"HH")&amp;search_regexp&amp;""""</f>
        <v>#REF!</v>
      </c>
      <c r="RQH28" s="234" t="e">
        <f>astrogrep_path&amp;" /e /r /s /spath="&amp;search_path&amp;" /stypes=""app*"&amp;RPD28&amp;"*"&amp;TEXT(RPK28-utc_offset/24,"YYYYMMDD")&amp;"*"" /stext="" "&amp;TEXT(RPK28-utc_offset/24,"HH")&amp;search_regexp&amp;""""</f>
        <v>#REF!</v>
      </c>
      <c r="RQI28" s="234" t="e">
        <f>astrogrep_path&amp;" /e /r /s /spath="&amp;search_path&amp;" /stypes=""app*"&amp;RPE28&amp;"*"&amp;TEXT(RPL28-utc_offset/24,"YYYYMMDD")&amp;"*"" /stext="" "&amp;TEXT(RPL28-utc_offset/24,"HH")&amp;search_regexp&amp;""""</f>
        <v>#REF!</v>
      </c>
      <c r="RQJ28" s="234" t="e">
        <f>astrogrep_path&amp;" /e /r /s /spath="&amp;search_path&amp;" /stypes=""app*"&amp;RPF28&amp;"*"&amp;TEXT(RPM28-utc_offset/24,"YYYYMMDD")&amp;"*"" /stext="" "&amp;TEXT(RPM28-utc_offset/24,"HH")&amp;search_regexp&amp;""""</f>
        <v>#REF!</v>
      </c>
      <c r="RQK28" s="234" t="e">
        <f>astrogrep_path&amp;" /e /r /s /spath="&amp;search_path&amp;" /stypes=""app*"&amp;RPG28&amp;"*"&amp;TEXT(RPN28-utc_offset/24,"YYYYMMDD")&amp;"*"" /stext="" "&amp;TEXT(RPN28-utc_offset/24,"HH")&amp;search_regexp&amp;""""</f>
        <v>#REF!</v>
      </c>
      <c r="RQL28" s="234" t="e">
        <f>astrogrep_path&amp;" /e /r /s /spath="&amp;search_path&amp;" /stypes=""app*"&amp;RPH28&amp;"*"&amp;TEXT(RPO28-utc_offset/24,"YYYYMMDD")&amp;"*"" /stext="" "&amp;TEXT(RPO28-utc_offset/24,"HH")&amp;search_regexp&amp;""""</f>
        <v>#REF!</v>
      </c>
      <c r="RQM28" s="234" t="e">
        <f>astrogrep_path&amp;" /e /r /s /spath="&amp;search_path&amp;" /stypes=""app*"&amp;RPI28&amp;"*"&amp;TEXT(RPP28-utc_offset/24,"YYYYMMDD")&amp;"*"" /stext="" "&amp;TEXT(RPP28-utc_offset/24,"HH")&amp;search_regexp&amp;""""</f>
        <v>#REF!</v>
      </c>
      <c r="RQN28" s="234" t="e">
        <f>astrogrep_path&amp;" /e /r /s /spath="&amp;search_path&amp;" /stypes=""app*"&amp;RPJ28&amp;"*"&amp;TEXT(RPQ28-utc_offset/24,"YYYYMMDD")&amp;"*"" /stext="" "&amp;TEXT(RPQ28-utc_offset/24,"HH")&amp;search_regexp&amp;""""</f>
        <v>#REF!</v>
      </c>
      <c r="RQO28" s="234" t="e">
        <f>astrogrep_path&amp;" /e /r /s /spath="&amp;search_path&amp;" /stypes=""app*"&amp;RPK28&amp;"*"&amp;TEXT(RPR28-utc_offset/24,"YYYYMMDD")&amp;"*"" /stext="" "&amp;TEXT(RPR28-utc_offset/24,"HH")&amp;search_regexp&amp;""""</f>
        <v>#REF!</v>
      </c>
      <c r="RQP28" s="234" t="e">
        <f>astrogrep_path&amp;" /e /r /s /spath="&amp;search_path&amp;" /stypes=""app*"&amp;RPL28&amp;"*"&amp;TEXT(RPS28-utc_offset/24,"YYYYMMDD")&amp;"*"" /stext="" "&amp;TEXT(RPS28-utc_offset/24,"HH")&amp;search_regexp&amp;""""</f>
        <v>#REF!</v>
      </c>
      <c r="RQQ28" s="234" t="e">
        <f>astrogrep_path&amp;" /e /r /s /spath="&amp;search_path&amp;" /stypes=""app*"&amp;RPM28&amp;"*"&amp;TEXT(RPT28-utc_offset/24,"YYYYMMDD")&amp;"*"" /stext="" "&amp;TEXT(RPT28-utc_offset/24,"HH")&amp;search_regexp&amp;""""</f>
        <v>#REF!</v>
      </c>
      <c r="RQR28" s="234" t="e">
        <f>astrogrep_path&amp;" /e /r /s /spath="&amp;search_path&amp;" /stypes=""app*"&amp;RPN28&amp;"*"&amp;TEXT(RPU28-utc_offset/24,"YYYYMMDD")&amp;"*"" /stext="" "&amp;TEXT(RPU28-utc_offset/24,"HH")&amp;search_regexp&amp;""""</f>
        <v>#REF!</v>
      </c>
      <c r="RQS28" s="234" t="e">
        <f>astrogrep_path&amp;" /e /r /s /spath="&amp;search_path&amp;" /stypes=""app*"&amp;RPO28&amp;"*"&amp;TEXT(RPV28-utc_offset/24,"YYYYMMDD")&amp;"*"" /stext="" "&amp;TEXT(RPV28-utc_offset/24,"HH")&amp;search_regexp&amp;""""</f>
        <v>#REF!</v>
      </c>
      <c r="RQT28" s="234" t="e">
        <f>astrogrep_path&amp;" /e /r /s /spath="&amp;search_path&amp;" /stypes=""app*"&amp;RPP28&amp;"*"&amp;TEXT(RPW28-utc_offset/24,"YYYYMMDD")&amp;"*"" /stext="" "&amp;TEXT(RPW28-utc_offset/24,"HH")&amp;search_regexp&amp;""""</f>
        <v>#REF!</v>
      </c>
      <c r="RQU28" s="234" t="e">
        <f>astrogrep_path&amp;" /e /r /s /spath="&amp;search_path&amp;" /stypes=""app*"&amp;RPQ28&amp;"*"&amp;TEXT(RPX28-utc_offset/24,"YYYYMMDD")&amp;"*"" /stext="" "&amp;TEXT(RPX28-utc_offset/24,"HH")&amp;search_regexp&amp;""""</f>
        <v>#VALUE!</v>
      </c>
      <c r="RQV28" s="234" t="e">
        <f>astrogrep_path&amp;" /e /r /s /spath="&amp;search_path&amp;" /stypes=""app*"&amp;RPR28&amp;"*"&amp;TEXT(RPY28-utc_offset/24,"YYYYMMDD")&amp;"*"" /stext="" "&amp;TEXT(RPY28-utc_offset/24,"HH")&amp;search_regexp&amp;""""</f>
        <v>#VALUE!</v>
      </c>
      <c r="RQW28" s="234" t="e">
        <f>astrogrep_path&amp;" /e /r /s /spath="&amp;search_path&amp;" /stypes=""app*"&amp;RPS28&amp;"*"&amp;TEXT(RPZ28-utc_offset/24,"YYYYMMDD")&amp;"*"" /stext="" "&amp;TEXT(RPZ28-utc_offset/24,"HH")&amp;search_regexp&amp;""""</f>
        <v>#REF!</v>
      </c>
      <c r="RQX28" s="234" t="e">
        <f>astrogrep_path&amp;" /e /r /s /spath="&amp;search_path&amp;" /stypes=""app*"&amp;RPT28&amp;"*"&amp;TEXT(RQA28-utc_offset/24,"YYYYMMDD")&amp;"*"" /stext="" "&amp;TEXT(RQA28-utc_offset/24,"HH")&amp;search_regexp&amp;""""</f>
        <v>#REF!</v>
      </c>
      <c r="RQY28" s="234" t="e">
        <f>astrogrep_path&amp;" /e /r /s /spath="&amp;search_path&amp;" /stypes=""app*"&amp;RPU28&amp;"*"&amp;TEXT(RQB28-utc_offset/24,"YYYYMMDD")&amp;"*"" /stext="" "&amp;TEXT(RQB28-utc_offset/24,"HH")&amp;search_regexp&amp;""""</f>
        <v>#VALUE!</v>
      </c>
      <c r="RQZ28" s="234" t="e">
        <f>astrogrep_path&amp;" /e /r /s /spath="&amp;search_path&amp;" /stypes=""app*"&amp;RPV28&amp;"*"&amp;TEXT(RQC28-utc_offset/24,"YYYYMMDD")&amp;"*"" /stext="" "&amp;TEXT(RQC28-utc_offset/24,"HH")&amp;search_regexp&amp;""""</f>
        <v>#VALUE!</v>
      </c>
      <c r="RRA28" s="234" t="e">
        <f>astrogrep_path&amp;" /e /r /s /spath="&amp;search_path&amp;" /stypes=""app*"&amp;RPW28&amp;"*"&amp;TEXT(RQD28-utc_offset/24,"YYYYMMDD")&amp;"*"" /stext="" "&amp;TEXT(RQD28-utc_offset/24,"HH")&amp;search_regexp&amp;""""</f>
        <v>#VALUE!</v>
      </c>
      <c r="RRB28" s="234" t="e">
        <f>astrogrep_path&amp;" /e /r /s /spath="&amp;search_path&amp;" /stypes=""app*"&amp;RPX28&amp;"*"&amp;TEXT(RQE28-utc_offset/24,"YYYYMMDD")&amp;"*"" /stext="" "&amp;TEXT(RQE28-utc_offset/24,"HH")&amp;search_regexp&amp;""""</f>
        <v>#VALUE!</v>
      </c>
      <c r="RRC28" s="234" t="e">
        <f>astrogrep_path&amp;" /e /r /s /spath="&amp;search_path&amp;" /stypes=""app*"&amp;RPY28&amp;"*"&amp;TEXT(RQF28-utc_offset/24,"YYYYMMDD")&amp;"*"" /stext="" "&amp;TEXT(RQF28-utc_offset/24,"HH")&amp;search_regexp&amp;""""</f>
        <v>#VALUE!</v>
      </c>
      <c r="RRD28" s="234" t="e">
        <f>astrogrep_path&amp;" /e /r /s /spath="&amp;search_path&amp;" /stypes=""app*"&amp;RPZ28&amp;"*"&amp;TEXT(RQG28-utc_offset/24,"YYYYMMDD")&amp;"*"" /stext="" "&amp;TEXT(RQG28-utc_offset/24,"HH")&amp;search_regexp&amp;""""</f>
        <v>#REF!</v>
      </c>
      <c r="RRE28" s="234" t="e">
        <f>astrogrep_path&amp;" /e /r /s /spath="&amp;search_path&amp;" /stypes=""app*"&amp;RQA28&amp;"*"&amp;TEXT(RQH28-utc_offset/24,"YYYYMMDD")&amp;"*"" /stext="" "&amp;TEXT(RQH28-utc_offset/24,"HH")&amp;search_regexp&amp;""""</f>
        <v>#REF!</v>
      </c>
      <c r="RRF28" s="234" t="e">
        <f>astrogrep_path&amp;" /e /r /s /spath="&amp;search_path&amp;" /stypes=""app*"&amp;RQB28&amp;"*"&amp;TEXT(RQI28-utc_offset/24,"YYYYMMDD")&amp;"*"" /stext="" "&amp;TEXT(RQI28-utc_offset/24,"HH")&amp;search_regexp&amp;""""</f>
        <v>#REF!</v>
      </c>
      <c r="RRG28" s="234" t="e">
        <f>astrogrep_path&amp;" /e /r /s /spath="&amp;search_path&amp;" /stypes=""app*"&amp;RQC28&amp;"*"&amp;TEXT(RQJ28-utc_offset/24,"YYYYMMDD")&amp;"*"" /stext="" "&amp;TEXT(RQJ28-utc_offset/24,"HH")&amp;search_regexp&amp;""""</f>
        <v>#REF!</v>
      </c>
      <c r="RRH28" s="234" t="e">
        <f>astrogrep_path&amp;" /e /r /s /spath="&amp;search_path&amp;" /stypes=""app*"&amp;RQD28&amp;"*"&amp;TEXT(RQK28-utc_offset/24,"YYYYMMDD")&amp;"*"" /stext="" "&amp;TEXT(RQK28-utc_offset/24,"HH")&amp;search_regexp&amp;""""</f>
        <v>#REF!</v>
      </c>
      <c r="RRI28" s="234" t="e">
        <f>astrogrep_path&amp;" /e /r /s /spath="&amp;search_path&amp;" /stypes=""app*"&amp;RQE28&amp;"*"&amp;TEXT(RQL28-utc_offset/24,"YYYYMMDD")&amp;"*"" /stext="" "&amp;TEXT(RQL28-utc_offset/24,"HH")&amp;search_regexp&amp;""""</f>
        <v>#REF!</v>
      </c>
      <c r="RRJ28" s="234" t="e">
        <f>astrogrep_path&amp;" /e /r /s /spath="&amp;search_path&amp;" /stypes=""app*"&amp;RQF28&amp;"*"&amp;TEXT(RQM28-utc_offset/24,"YYYYMMDD")&amp;"*"" /stext="" "&amp;TEXT(RQM28-utc_offset/24,"HH")&amp;search_regexp&amp;""""</f>
        <v>#REF!</v>
      </c>
      <c r="RRK28" s="234" t="e">
        <f>astrogrep_path&amp;" /e /r /s /spath="&amp;search_path&amp;" /stypes=""app*"&amp;RQG28&amp;"*"&amp;TEXT(RQN28-utc_offset/24,"YYYYMMDD")&amp;"*"" /stext="" "&amp;TEXT(RQN28-utc_offset/24,"HH")&amp;search_regexp&amp;""""</f>
        <v>#REF!</v>
      </c>
      <c r="RRL28" s="234" t="e">
        <f>astrogrep_path&amp;" /e /r /s /spath="&amp;search_path&amp;" /stypes=""app*"&amp;RQH28&amp;"*"&amp;TEXT(RQO28-utc_offset/24,"YYYYMMDD")&amp;"*"" /stext="" "&amp;TEXT(RQO28-utc_offset/24,"HH")&amp;search_regexp&amp;""""</f>
        <v>#REF!</v>
      </c>
      <c r="RRM28" s="234" t="e">
        <f>astrogrep_path&amp;" /e /r /s /spath="&amp;search_path&amp;" /stypes=""app*"&amp;RQI28&amp;"*"&amp;TEXT(RQP28-utc_offset/24,"YYYYMMDD")&amp;"*"" /stext="" "&amp;TEXT(RQP28-utc_offset/24,"HH")&amp;search_regexp&amp;""""</f>
        <v>#REF!</v>
      </c>
      <c r="RRN28" s="234" t="e">
        <f>astrogrep_path&amp;" /e /r /s /spath="&amp;search_path&amp;" /stypes=""app*"&amp;RQJ28&amp;"*"&amp;TEXT(RQQ28-utc_offset/24,"YYYYMMDD")&amp;"*"" /stext="" "&amp;TEXT(RQQ28-utc_offset/24,"HH")&amp;search_regexp&amp;""""</f>
        <v>#REF!</v>
      </c>
      <c r="RRO28" s="234" t="e">
        <f>astrogrep_path&amp;" /e /r /s /spath="&amp;search_path&amp;" /stypes=""app*"&amp;RQK28&amp;"*"&amp;TEXT(RQR28-utc_offset/24,"YYYYMMDD")&amp;"*"" /stext="" "&amp;TEXT(RQR28-utc_offset/24,"HH")&amp;search_regexp&amp;""""</f>
        <v>#REF!</v>
      </c>
      <c r="RRP28" s="234" t="e">
        <f>astrogrep_path&amp;" /e /r /s /spath="&amp;search_path&amp;" /stypes=""app*"&amp;RQL28&amp;"*"&amp;TEXT(RQS28-utc_offset/24,"YYYYMMDD")&amp;"*"" /stext="" "&amp;TEXT(RQS28-utc_offset/24,"HH")&amp;search_regexp&amp;""""</f>
        <v>#REF!</v>
      </c>
      <c r="RRQ28" s="234" t="e">
        <f>astrogrep_path&amp;" /e /r /s /spath="&amp;search_path&amp;" /stypes=""app*"&amp;RQM28&amp;"*"&amp;TEXT(RQT28-utc_offset/24,"YYYYMMDD")&amp;"*"" /stext="" "&amp;TEXT(RQT28-utc_offset/24,"HH")&amp;search_regexp&amp;""""</f>
        <v>#REF!</v>
      </c>
      <c r="RRR28" s="234" t="e">
        <f>astrogrep_path&amp;" /e /r /s /spath="&amp;search_path&amp;" /stypes=""app*"&amp;RQN28&amp;"*"&amp;TEXT(RQU28-utc_offset/24,"YYYYMMDD")&amp;"*"" /stext="" "&amp;TEXT(RQU28-utc_offset/24,"HH")&amp;search_regexp&amp;""""</f>
        <v>#REF!</v>
      </c>
      <c r="RRS28" s="234" t="e">
        <f>astrogrep_path&amp;" /e /r /s /spath="&amp;search_path&amp;" /stypes=""app*"&amp;RQO28&amp;"*"&amp;TEXT(RQV28-utc_offset/24,"YYYYMMDD")&amp;"*"" /stext="" "&amp;TEXT(RQV28-utc_offset/24,"HH")&amp;search_regexp&amp;""""</f>
        <v>#REF!</v>
      </c>
      <c r="RRT28" s="234" t="e">
        <f>astrogrep_path&amp;" /e /r /s /spath="&amp;search_path&amp;" /stypes=""app*"&amp;RQP28&amp;"*"&amp;TEXT(RQW28-utc_offset/24,"YYYYMMDD")&amp;"*"" /stext="" "&amp;TEXT(RQW28-utc_offset/24,"HH")&amp;search_regexp&amp;""""</f>
        <v>#REF!</v>
      </c>
      <c r="RRU28" s="234" t="e">
        <f>astrogrep_path&amp;" /e /r /s /spath="&amp;search_path&amp;" /stypes=""app*"&amp;RQQ28&amp;"*"&amp;TEXT(RQX28-utc_offset/24,"YYYYMMDD")&amp;"*"" /stext="" "&amp;TEXT(RQX28-utc_offset/24,"HH")&amp;search_regexp&amp;""""</f>
        <v>#REF!</v>
      </c>
      <c r="RRV28" s="234" t="e">
        <f>astrogrep_path&amp;" /e /r /s /spath="&amp;search_path&amp;" /stypes=""app*"&amp;RQR28&amp;"*"&amp;TEXT(RQY28-utc_offset/24,"YYYYMMDD")&amp;"*"" /stext="" "&amp;TEXT(RQY28-utc_offset/24,"HH")&amp;search_regexp&amp;""""</f>
        <v>#REF!</v>
      </c>
      <c r="RRW28" s="234" t="e">
        <f>astrogrep_path&amp;" /e /r /s /spath="&amp;search_path&amp;" /stypes=""app*"&amp;RQS28&amp;"*"&amp;TEXT(RQZ28-utc_offset/24,"YYYYMMDD")&amp;"*"" /stext="" "&amp;TEXT(RQZ28-utc_offset/24,"HH")&amp;search_regexp&amp;""""</f>
        <v>#REF!</v>
      </c>
      <c r="RRX28" s="234" t="e">
        <f>astrogrep_path&amp;" /e /r /s /spath="&amp;search_path&amp;" /stypes=""app*"&amp;RQT28&amp;"*"&amp;TEXT(RRA28-utc_offset/24,"YYYYMMDD")&amp;"*"" /stext="" "&amp;TEXT(RRA28-utc_offset/24,"HH")&amp;search_regexp&amp;""""</f>
        <v>#REF!</v>
      </c>
      <c r="RRY28" s="234" t="e">
        <f>astrogrep_path&amp;" /e /r /s /spath="&amp;search_path&amp;" /stypes=""app*"&amp;RQU28&amp;"*"&amp;TEXT(RRB28-utc_offset/24,"YYYYMMDD")&amp;"*"" /stext="" "&amp;TEXT(RRB28-utc_offset/24,"HH")&amp;search_regexp&amp;""""</f>
        <v>#VALUE!</v>
      </c>
      <c r="RRZ28" s="234" t="e">
        <f>astrogrep_path&amp;" /e /r /s /spath="&amp;search_path&amp;" /stypes=""app*"&amp;RQV28&amp;"*"&amp;TEXT(RRC28-utc_offset/24,"YYYYMMDD")&amp;"*"" /stext="" "&amp;TEXT(RRC28-utc_offset/24,"HH")&amp;search_regexp&amp;""""</f>
        <v>#VALUE!</v>
      </c>
      <c r="RSA28" s="234" t="e">
        <f>astrogrep_path&amp;" /e /r /s /spath="&amp;search_path&amp;" /stypes=""app*"&amp;RQW28&amp;"*"&amp;TEXT(RRD28-utc_offset/24,"YYYYMMDD")&amp;"*"" /stext="" "&amp;TEXT(RRD28-utc_offset/24,"HH")&amp;search_regexp&amp;""""</f>
        <v>#REF!</v>
      </c>
      <c r="RSB28" s="234" t="e">
        <f>astrogrep_path&amp;" /e /r /s /spath="&amp;search_path&amp;" /stypes=""app*"&amp;RQX28&amp;"*"&amp;TEXT(RRE28-utc_offset/24,"YYYYMMDD")&amp;"*"" /stext="" "&amp;TEXT(RRE28-utc_offset/24,"HH")&amp;search_regexp&amp;""""</f>
        <v>#REF!</v>
      </c>
      <c r="RSC28" s="234" t="e">
        <f>astrogrep_path&amp;" /e /r /s /spath="&amp;search_path&amp;" /stypes=""app*"&amp;RQY28&amp;"*"&amp;TEXT(RRF28-utc_offset/24,"YYYYMMDD")&amp;"*"" /stext="" "&amp;TEXT(RRF28-utc_offset/24,"HH")&amp;search_regexp&amp;""""</f>
        <v>#VALUE!</v>
      </c>
      <c r="RSD28" s="234" t="e">
        <f>astrogrep_path&amp;" /e /r /s /spath="&amp;search_path&amp;" /stypes=""app*"&amp;RQZ28&amp;"*"&amp;TEXT(RRG28-utc_offset/24,"YYYYMMDD")&amp;"*"" /stext="" "&amp;TEXT(RRG28-utc_offset/24,"HH")&amp;search_regexp&amp;""""</f>
        <v>#VALUE!</v>
      </c>
      <c r="RSE28" s="234" t="e">
        <f>astrogrep_path&amp;" /e /r /s /spath="&amp;search_path&amp;" /stypes=""app*"&amp;RRA28&amp;"*"&amp;TEXT(RRH28-utc_offset/24,"YYYYMMDD")&amp;"*"" /stext="" "&amp;TEXT(RRH28-utc_offset/24,"HH")&amp;search_regexp&amp;""""</f>
        <v>#VALUE!</v>
      </c>
      <c r="RSF28" s="234" t="e">
        <f>astrogrep_path&amp;" /e /r /s /spath="&amp;search_path&amp;" /stypes=""app*"&amp;RRB28&amp;"*"&amp;TEXT(RRI28-utc_offset/24,"YYYYMMDD")&amp;"*"" /stext="" "&amp;TEXT(RRI28-utc_offset/24,"HH")&amp;search_regexp&amp;""""</f>
        <v>#VALUE!</v>
      </c>
      <c r="RSG28" s="234" t="e">
        <f>astrogrep_path&amp;" /e /r /s /spath="&amp;search_path&amp;" /stypes=""app*"&amp;RRC28&amp;"*"&amp;TEXT(RRJ28-utc_offset/24,"YYYYMMDD")&amp;"*"" /stext="" "&amp;TEXT(RRJ28-utc_offset/24,"HH")&amp;search_regexp&amp;""""</f>
        <v>#VALUE!</v>
      </c>
      <c r="RSH28" s="234" t="e">
        <f>astrogrep_path&amp;" /e /r /s /spath="&amp;search_path&amp;" /stypes=""app*"&amp;RRD28&amp;"*"&amp;TEXT(RRK28-utc_offset/24,"YYYYMMDD")&amp;"*"" /stext="" "&amp;TEXT(RRK28-utc_offset/24,"HH")&amp;search_regexp&amp;""""</f>
        <v>#REF!</v>
      </c>
      <c r="RSI28" s="234" t="e">
        <f>astrogrep_path&amp;" /e /r /s /spath="&amp;search_path&amp;" /stypes=""app*"&amp;RRE28&amp;"*"&amp;TEXT(RRL28-utc_offset/24,"YYYYMMDD")&amp;"*"" /stext="" "&amp;TEXT(RRL28-utc_offset/24,"HH")&amp;search_regexp&amp;""""</f>
        <v>#REF!</v>
      </c>
      <c r="RSJ28" s="234" t="e">
        <f>astrogrep_path&amp;" /e /r /s /spath="&amp;search_path&amp;" /stypes=""app*"&amp;RRF28&amp;"*"&amp;TEXT(RRM28-utc_offset/24,"YYYYMMDD")&amp;"*"" /stext="" "&amp;TEXT(RRM28-utc_offset/24,"HH")&amp;search_regexp&amp;""""</f>
        <v>#REF!</v>
      </c>
      <c r="RSK28" s="234" t="e">
        <f>astrogrep_path&amp;" /e /r /s /spath="&amp;search_path&amp;" /stypes=""app*"&amp;RRG28&amp;"*"&amp;TEXT(RRN28-utc_offset/24,"YYYYMMDD")&amp;"*"" /stext="" "&amp;TEXT(RRN28-utc_offset/24,"HH")&amp;search_regexp&amp;""""</f>
        <v>#REF!</v>
      </c>
      <c r="RSL28" s="234" t="e">
        <f>astrogrep_path&amp;" /e /r /s /spath="&amp;search_path&amp;" /stypes=""app*"&amp;RRH28&amp;"*"&amp;TEXT(RRO28-utc_offset/24,"YYYYMMDD")&amp;"*"" /stext="" "&amp;TEXT(RRO28-utc_offset/24,"HH")&amp;search_regexp&amp;""""</f>
        <v>#REF!</v>
      </c>
      <c r="RSM28" s="234" t="e">
        <f>astrogrep_path&amp;" /e /r /s /spath="&amp;search_path&amp;" /stypes=""app*"&amp;RRI28&amp;"*"&amp;TEXT(RRP28-utc_offset/24,"YYYYMMDD")&amp;"*"" /stext="" "&amp;TEXT(RRP28-utc_offset/24,"HH")&amp;search_regexp&amp;""""</f>
        <v>#REF!</v>
      </c>
      <c r="RSN28" s="234" t="e">
        <f>astrogrep_path&amp;" /e /r /s /spath="&amp;search_path&amp;" /stypes=""app*"&amp;RRJ28&amp;"*"&amp;TEXT(RRQ28-utc_offset/24,"YYYYMMDD")&amp;"*"" /stext="" "&amp;TEXT(RRQ28-utc_offset/24,"HH")&amp;search_regexp&amp;""""</f>
        <v>#REF!</v>
      </c>
      <c r="RSO28" s="234" t="e">
        <f>astrogrep_path&amp;" /e /r /s /spath="&amp;search_path&amp;" /stypes=""app*"&amp;RRK28&amp;"*"&amp;TEXT(RRR28-utc_offset/24,"YYYYMMDD")&amp;"*"" /stext="" "&amp;TEXT(RRR28-utc_offset/24,"HH")&amp;search_regexp&amp;""""</f>
        <v>#REF!</v>
      </c>
      <c r="RSP28" s="234" t="e">
        <f>astrogrep_path&amp;" /e /r /s /spath="&amp;search_path&amp;" /stypes=""app*"&amp;RRL28&amp;"*"&amp;TEXT(RRS28-utc_offset/24,"YYYYMMDD")&amp;"*"" /stext="" "&amp;TEXT(RRS28-utc_offset/24,"HH")&amp;search_regexp&amp;""""</f>
        <v>#REF!</v>
      </c>
      <c r="RSQ28" s="234" t="e">
        <f>astrogrep_path&amp;" /e /r /s /spath="&amp;search_path&amp;" /stypes=""app*"&amp;RRM28&amp;"*"&amp;TEXT(RRT28-utc_offset/24,"YYYYMMDD")&amp;"*"" /stext="" "&amp;TEXT(RRT28-utc_offset/24,"HH")&amp;search_regexp&amp;""""</f>
        <v>#REF!</v>
      </c>
      <c r="RSR28" s="234" t="e">
        <f>astrogrep_path&amp;" /e /r /s /spath="&amp;search_path&amp;" /stypes=""app*"&amp;RRN28&amp;"*"&amp;TEXT(RRU28-utc_offset/24,"YYYYMMDD")&amp;"*"" /stext="" "&amp;TEXT(RRU28-utc_offset/24,"HH")&amp;search_regexp&amp;""""</f>
        <v>#REF!</v>
      </c>
      <c r="RSS28" s="234" t="e">
        <f>astrogrep_path&amp;" /e /r /s /spath="&amp;search_path&amp;" /stypes=""app*"&amp;RRO28&amp;"*"&amp;TEXT(RRV28-utc_offset/24,"YYYYMMDD")&amp;"*"" /stext="" "&amp;TEXT(RRV28-utc_offset/24,"HH")&amp;search_regexp&amp;""""</f>
        <v>#REF!</v>
      </c>
      <c r="RST28" s="234" t="e">
        <f>astrogrep_path&amp;" /e /r /s /spath="&amp;search_path&amp;" /stypes=""app*"&amp;RRP28&amp;"*"&amp;TEXT(RRW28-utc_offset/24,"YYYYMMDD")&amp;"*"" /stext="" "&amp;TEXT(RRW28-utc_offset/24,"HH")&amp;search_regexp&amp;""""</f>
        <v>#REF!</v>
      </c>
      <c r="RSU28" s="234" t="e">
        <f>astrogrep_path&amp;" /e /r /s /spath="&amp;search_path&amp;" /stypes=""app*"&amp;RRQ28&amp;"*"&amp;TEXT(RRX28-utc_offset/24,"YYYYMMDD")&amp;"*"" /stext="" "&amp;TEXT(RRX28-utc_offset/24,"HH")&amp;search_regexp&amp;""""</f>
        <v>#REF!</v>
      </c>
      <c r="RSV28" s="234" t="e">
        <f>astrogrep_path&amp;" /e /r /s /spath="&amp;search_path&amp;" /stypes=""app*"&amp;RRR28&amp;"*"&amp;TEXT(RRY28-utc_offset/24,"YYYYMMDD")&amp;"*"" /stext="" "&amp;TEXT(RRY28-utc_offset/24,"HH")&amp;search_regexp&amp;""""</f>
        <v>#REF!</v>
      </c>
      <c r="RSW28" s="234" t="e">
        <f>astrogrep_path&amp;" /e /r /s /spath="&amp;search_path&amp;" /stypes=""app*"&amp;RRS28&amp;"*"&amp;TEXT(RRZ28-utc_offset/24,"YYYYMMDD")&amp;"*"" /stext="" "&amp;TEXT(RRZ28-utc_offset/24,"HH")&amp;search_regexp&amp;""""</f>
        <v>#REF!</v>
      </c>
      <c r="RSX28" s="234" t="e">
        <f>astrogrep_path&amp;" /e /r /s /spath="&amp;search_path&amp;" /stypes=""app*"&amp;RRT28&amp;"*"&amp;TEXT(RSA28-utc_offset/24,"YYYYMMDD")&amp;"*"" /stext="" "&amp;TEXT(RSA28-utc_offset/24,"HH")&amp;search_regexp&amp;""""</f>
        <v>#REF!</v>
      </c>
      <c r="RSY28" s="234" t="e">
        <f>astrogrep_path&amp;" /e /r /s /spath="&amp;search_path&amp;" /stypes=""app*"&amp;RRU28&amp;"*"&amp;TEXT(RSB28-utc_offset/24,"YYYYMMDD")&amp;"*"" /stext="" "&amp;TEXT(RSB28-utc_offset/24,"HH")&amp;search_regexp&amp;""""</f>
        <v>#REF!</v>
      </c>
      <c r="RSZ28" s="234" t="e">
        <f>astrogrep_path&amp;" /e /r /s /spath="&amp;search_path&amp;" /stypes=""app*"&amp;RRV28&amp;"*"&amp;TEXT(RSC28-utc_offset/24,"YYYYMMDD")&amp;"*"" /stext="" "&amp;TEXT(RSC28-utc_offset/24,"HH")&amp;search_regexp&amp;""""</f>
        <v>#REF!</v>
      </c>
      <c r="RTA28" s="234" t="e">
        <f>astrogrep_path&amp;" /e /r /s /spath="&amp;search_path&amp;" /stypes=""app*"&amp;RRW28&amp;"*"&amp;TEXT(RSD28-utc_offset/24,"YYYYMMDD")&amp;"*"" /stext="" "&amp;TEXT(RSD28-utc_offset/24,"HH")&amp;search_regexp&amp;""""</f>
        <v>#REF!</v>
      </c>
      <c r="RTB28" s="234" t="e">
        <f>astrogrep_path&amp;" /e /r /s /spath="&amp;search_path&amp;" /stypes=""app*"&amp;RRX28&amp;"*"&amp;TEXT(RSE28-utc_offset/24,"YYYYMMDD")&amp;"*"" /stext="" "&amp;TEXT(RSE28-utc_offset/24,"HH")&amp;search_regexp&amp;""""</f>
        <v>#REF!</v>
      </c>
      <c r="RTC28" s="234" t="e">
        <f>astrogrep_path&amp;" /e /r /s /spath="&amp;search_path&amp;" /stypes=""app*"&amp;RRY28&amp;"*"&amp;TEXT(RSF28-utc_offset/24,"YYYYMMDD")&amp;"*"" /stext="" "&amp;TEXT(RSF28-utc_offset/24,"HH")&amp;search_regexp&amp;""""</f>
        <v>#VALUE!</v>
      </c>
      <c r="RTD28" s="234" t="e">
        <f>astrogrep_path&amp;" /e /r /s /spath="&amp;search_path&amp;" /stypes=""app*"&amp;RRZ28&amp;"*"&amp;TEXT(RSG28-utc_offset/24,"YYYYMMDD")&amp;"*"" /stext="" "&amp;TEXT(RSG28-utc_offset/24,"HH")&amp;search_regexp&amp;""""</f>
        <v>#VALUE!</v>
      </c>
      <c r="RTE28" s="234" t="e">
        <f>astrogrep_path&amp;" /e /r /s /spath="&amp;search_path&amp;" /stypes=""app*"&amp;RSA28&amp;"*"&amp;TEXT(RSH28-utc_offset/24,"YYYYMMDD")&amp;"*"" /stext="" "&amp;TEXT(RSH28-utc_offset/24,"HH")&amp;search_regexp&amp;""""</f>
        <v>#REF!</v>
      </c>
      <c r="RTF28" s="234" t="e">
        <f>astrogrep_path&amp;" /e /r /s /spath="&amp;search_path&amp;" /stypes=""app*"&amp;RSB28&amp;"*"&amp;TEXT(RSI28-utc_offset/24,"YYYYMMDD")&amp;"*"" /stext="" "&amp;TEXT(RSI28-utc_offset/24,"HH")&amp;search_regexp&amp;""""</f>
        <v>#REF!</v>
      </c>
      <c r="RTG28" s="234" t="e">
        <f>astrogrep_path&amp;" /e /r /s /spath="&amp;search_path&amp;" /stypes=""app*"&amp;RSC28&amp;"*"&amp;TEXT(RSJ28-utc_offset/24,"YYYYMMDD")&amp;"*"" /stext="" "&amp;TEXT(RSJ28-utc_offset/24,"HH")&amp;search_regexp&amp;""""</f>
        <v>#VALUE!</v>
      </c>
      <c r="RTH28" s="234" t="e">
        <f>astrogrep_path&amp;" /e /r /s /spath="&amp;search_path&amp;" /stypes=""app*"&amp;RSD28&amp;"*"&amp;TEXT(RSK28-utc_offset/24,"YYYYMMDD")&amp;"*"" /stext="" "&amp;TEXT(RSK28-utc_offset/24,"HH")&amp;search_regexp&amp;""""</f>
        <v>#VALUE!</v>
      </c>
      <c r="RTI28" s="234" t="e">
        <f>astrogrep_path&amp;" /e /r /s /spath="&amp;search_path&amp;" /stypes=""app*"&amp;RSE28&amp;"*"&amp;TEXT(RSL28-utc_offset/24,"YYYYMMDD")&amp;"*"" /stext="" "&amp;TEXT(RSL28-utc_offset/24,"HH")&amp;search_regexp&amp;""""</f>
        <v>#VALUE!</v>
      </c>
      <c r="RTJ28" s="234" t="e">
        <f>astrogrep_path&amp;" /e /r /s /spath="&amp;search_path&amp;" /stypes=""app*"&amp;RSF28&amp;"*"&amp;TEXT(RSM28-utc_offset/24,"YYYYMMDD")&amp;"*"" /stext="" "&amp;TEXT(RSM28-utc_offset/24,"HH")&amp;search_regexp&amp;""""</f>
        <v>#VALUE!</v>
      </c>
      <c r="RTK28" s="234" t="e">
        <f>astrogrep_path&amp;" /e /r /s /spath="&amp;search_path&amp;" /stypes=""app*"&amp;RSG28&amp;"*"&amp;TEXT(RSN28-utc_offset/24,"YYYYMMDD")&amp;"*"" /stext="" "&amp;TEXT(RSN28-utc_offset/24,"HH")&amp;search_regexp&amp;""""</f>
        <v>#VALUE!</v>
      </c>
      <c r="RTL28" s="234" t="e">
        <f>astrogrep_path&amp;" /e /r /s /spath="&amp;search_path&amp;" /stypes=""app*"&amp;RSH28&amp;"*"&amp;TEXT(RSO28-utc_offset/24,"YYYYMMDD")&amp;"*"" /stext="" "&amp;TEXT(RSO28-utc_offset/24,"HH")&amp;search_regexp&amp;""""</f>
        <v>#REF!</v>
      </c>
      <c r="RTM28" s="234" t="e">
        <f>astrogrep_path&amp;" /e /r /s /spath="&amp;search_path&amp;" /stypes=""app*"&amp;RSI28&amp;"*"&amp;TEXT(RSP28-utc_offset/24,"YYYYMMDD")&amp;"*"" /stext="" "&amp;TEXT(RSP28-utc_offset/24,"HH")&amp;search_regexp&amp;""""</f>
        <v>#REF!</v>
      </c>
      <c r="RTN28" s="234" t="e">
        <f>astrogrep_path&amp;" /e /r /s /spath="&amp;search_path&amp;" /stypes=""app*"&amp;RSJ28&amp;"*"&amp;TEXT(RSQ28-utc_offset/24,"YYYYMMDD")&amp;"*"" /stext="" "&amp;TEXT(RSQ28-utc_offset/24,"HH")&amp;search_regexp&amp;""""</f>
        <v>#REF!</v>
      </c>
      <c r="RTO28" s="234" t="e">
        <f>astrogrep_path&amp;" /e /r /s /spath="&amp;search_path&amp;" /stypes=""app*"&amp;RSK28&amp;"*"&amp;TEXT(RSR28-utc_offset/24,"YYYYMMDD")&amp;"*"" /stext="" "&amp;TEXT(RSR28-utc_offset/24,"HH")&amp;search_regexp&amp;""""</f>
        <v>#REF!</v>
      </c>
      <c r="RTP28" s="234" t="e">
        <f>astrogrep_path&amp;" /e /r /s /spath="&amp;search_path&amp;" /stypes=""app*"&amp;RSL28&amp;"*"&amp;TEXT(RSS28-utc_offset/24,"YYYYMMDD")&amp;"*"" /stext="" "&amp;TEXT(RSS28-utc_offset/24,"HH")&amp;search_regexp&amp;""""</f>
        <v>#REF!</v>
      </c>
      <c r="RTQ28" s="234" t="e">
        <f>astrogrep_path&amp;" /e /r /s /spath="&amp;search_path&amp;" /stypes=""app*"&amp;RSM28&amp;"*"&amp;TEXT(RST28-utc_offset/24,"YYYYMMDD")&amp;"*"" /stext="" "&amp;TEXT(RST28-utc_offset/24,"HH")&amp;search_regexp&amp;""""</f>
        <v>#REF!</v>
      </c>
      <c r="RTR28" s="234" t="e">
        <f>astrogrep_path&amp;" /e /r /s /spath="&amp;search_path&amp;" /stypes=""app*"&amp;RSN28&amp;"*"&amp;TEXT(RSU28-utc_offset/24,"YYYYMMDD")&amp;"*"" /stext="" "&amp;TEXT(RSU28-utc_offset/24,"HH")&amp;search_regexp&amp;""""</f>
        <v>#REF!</v>
      </c>
      <c r="RTS28" s="234" t="e">
        <f>astrogrep_path&amp;" /e /r /s /spath="&amp;search_path&amp;" /stypes=""app*"&amp;RSO28&amp;"*"&amp;TEXT(RSV28-utc_offset/24,"YYYYMMDD")&amp;"*"" /stext="" "&amp;TEXT(RSV28-utc_offset/24,"HH")&amp;search_regexp&amp;""""</f>
        <v>#REF!</v>
      </c>
      <c r="RTT28" s="234" t="e">
        <f>astrogrep_path&amp;" /e /r /s /spath="&amp;search_path&amp;" /stypes=""app*"&amp;RSP28&amp;"*"&amp;TEXT(RSW28-utc_offset/24,"YYYYMMDD")&amp;"*"" /stext="" "&amp;TEXT(RSW28-utc_offset/24,"HH")&amp;search_regexp&amp;""""</f>
        <v>#REF!</v>
      </c>
      <c r="RTU28" s="234" t="e">
        <f>astrogrep_path&amp;" /e /r /s /spath="&amp;search_path&amp;" /stypes=""app*"&amp;RSQ28&amp;"*"&amp;TEXT(RSX28-utc_offset/24,"YYYYMMDD")&amp;"*"" /stext="" "&amp;TEXT(RSX28-utc_offset/24,"HH")&amp;search_regexp&amp;""""</f>
        <v>#REF!</v>
      </c>
      <c r="RTV28" s="234" t="e">
        <f>astrogrep_path&amp;" /e /r /s /spath="&amp;search_path&amp;" /stypes=""app*"&amp;RSR28&amp;"*"&amp;TEXT(RSY28-utc_offset/24,"YYYYMMDD")&amp;"*"" /stext="" "&amp;TEXT(RSY28-utc_offset/24,"HH")&amp;search_regexp&amp;""""</f>
        <v>#REF!</v>
      </c>
      <c r="RTW28" s="234" t="e">
        <f>astrogrep_path&amp;" /e /r /s /spath="&amp;search_path&amp;" /stypes=""app*"&amp;RSS28&amp;"*"&amp;TEXT(RSZ28-utc_offset/24,"YYYYMMDD")&amp;"*"" /stext="" "&amp;TEXT(RSZ28-utc_offset/24,"HH")&amp;search_regexp&amp;""""</f>
        <v>#REF!</v>
      </c>
      <c r="RTX28" s="234" t="e">
        <f>astrogrep_path&amp;" /e /r /s /spath="&amp;search_path&amp;" /stypes=""app*"&amp;RST28&amp;"*"&amp;TEXT(RTA28-utc_offset/24,"YYYYMMDD")&amp;"*"" /stext="" "&amp;TEXT(RTA28-utc_offset/24,"HH")&amp;search_regexp&amp;""""</f>
        <v>#REF!</v>
      </c>
      <c r="RTY28" s="234" t="e">
        <f>astrogrep_path&amp;" /e /r /s /spath="&amp;search_path&amp;" /stypes=""app*"&amp;RSU28&amp;"*"&amp;TEXT(RTB28-utc_offset/24,"YYYYMMDD")&amp;"*"" /stext="" "&amp;TEXT(RTB28-utc_offset/24,"HH")&amp;search_regexp&amp;""""</f>
        <v>#REF!</v>
      </c>
      <c r="RTZ28" s="234" t="e">
        <f>astrogrep_path&amp;" /e /r /s /spath="&amp;search_path&amp;" /stypes=""app*"&amp;RSV28&amp;"*"&amp;TEXT(RTC28-utc_offset/24,"YYYYMMDD")&amp;"*"" /stext="" "&amp;TEXT(RTC28-utc_offset/24,"HH")&amp;search_regexp&amp;""""</f>
        <v>#REF!</v>
      </c>
      <c r="RUA28" s="234" t="e">
        <f>astrogrep_path&amp;" /e /r /s /spath="&amp;search_path&amp;" /stypes=""app*"&amp;RSW28&amp;"*"&amp;TEXT(RTD28-utc_offset/24,"YYYYMMDD")&amp;"*"" /stext="" "&amp;TEXT(RTD28-utc_offset/24,"HH")&amp;search_regexp&amp;""""</f>
        <v>#REF!</v>
      </c>
      <c r="RUB28" s="234" t="e">
        <f>astrogrep_path&amp;" /e /r /s /spath="&amp;search_path&amp;" /stypes=""app*"&amp;RSX28&amp;"*"&amp;TEXT(RTE28-utc_offset/24,"YYYYMMDD")&amp;"*"" /stext="" "&amp;TEXT(RTE28-utc_offset/24,"HH")&amp;search_regexp&amp;""""</f>
        <v>#REF!</v>
      </c>
      <c r="RUC28" s="234" t="e">
        <f>astrogrep_path&amp;" /e /r /s /spath="&amp;search_path&amp;" /stypes=""app*"&amp;RSY28&amp;"*"&amp;TEXT(RTF28-utc_offset/24,"YYYYMMDD")&amp;"*"" /stext="" "&amp;TEXT(RTF28-utc_offset/24,"HH")&amp;search_regexp&amp;""""</f>
        <v>#REF!</v>
      </c>
      <c r="RUD28" s="234" t="e">
        <f>astrogrep_path&amp;" /e /r /s /spath="&amp;search_path&amp;" /stypes=""app*"&amp;RSZ28&amp;"*"&amp;TEXT(RTG28-utc_offset/24,"YYYYMMDD")&amp;"*"" /stext="" "&amp;TEXT(RTG28-utc_offset/24,"HH")&amp;search_regexp&amp;""""</f>
        <v>#REF!</v>
      </c>
      <c r="RUE28" s="234" t="e">
        <f>astrogrep_path&amp;" /e /r /s /spath="&amp;search_path&amp;" /stypes=""app*"&amp;RTA28&amp;"*"&amp;TEXT(RTH28-utc_offset/24,"YYYYMMDD")&amp;"*"" /stext="" "&amp;TEXT(RTH28-utc_offset/24,"HH")&amp;search_regexp&amp;""""</f>
        <v>#REF!</v>
      </c>
      <c r="RUF28" s="234" t="e">
        <f>astrogrep_path&amp;" /e /r /s /spath="&amp;search_path&amp;" /stypes=""app*"&amp;RTB28&amp;"*"&amp;TEXT(RTI28-utc_offset/24,"YYYYMMDD")&amp;"*"" /stext="" "&amp;TEXT(RTI28-utc_offset/24,"HH")&amp;search_regexp&amp;""""</f>
        <v>#REF!</v>
      </c>
      <c r="RUG28" s="234" t="e">
        <f>astrogrep_path&amp;" /e /r /s /spath="&amp;search_path&amp;" /stypes=""app*"&amp;RTC28&amp;"*"&amp;TEXT(RTJ28-utc_offset/24,"YYYYMMDD")&amp;"*"" /stext="" "&amp;TEXT(RTJ28-utc_offset/24,"HH")&amp;search_regexp&amp;""""</f>
        <v>#VALUE!</v>
      </c>
      <c r="RUH28" s="234" t="e">
        <f>astrogrep_path&amp;" /e /r /s /spath="&amp;search_path&amp;" /stypes=""app*"&amp;RTD28&amp;"*"&amp;TEXT(RTK28-utc_offset/24,"YYYYMMDD")&amp;"*"" /stext="" "&amp;TEXT(RTK28-utc_offset/24,"HH")&amp;search_regexp&amp;""""</f>
        <v>#VALUE!</v>
      </c>
      <c r="RUI28" s="234" t="e">
        <f>astrogrep_path&amp;" /e /r /s /spath="&amp;search_path&amp;" /stypes=""app*"&amp;RTE28&amp;"*"&amp;TEXT(RTL28-utc_offset/24,"YYYYMMDD")&amp;"*"" /stext="" "&amp;TEXT(RTL28-utc_offset/24,"HH")&amp;search_regexp&amp;""""</f>
        <v>#REF!</v>
      </c>
      <c r="RUJ28" s="234" t="e">
        <f>astrogrep_path&amp;" /e /r /s /spath="&amp;search_path&amp;" /stypes=""app*"&amp;RTF28&amp;"*"&amp;TEXT(RTM28-utc_offset/24,"YYYYMMDD")&amp;"*"" /stext="" "&amp;TEXT(RTM28-utc_offset/24,"HH")&amp;search_regexp&amp;""""</f>
        <v>#REF!</v>
      </c>
      <c r="RUK28" s="234" t="e">
        <f>astrogrep_path&amp;" /e /r /s /spath="&amp;search_path&amp;" /stypes=""app*"&amp;RTG28&amp;"*"&amp;TEXT(RTN28-utc_offset/24,"YYYYMMDD")&amp;"*"" /stext="" "&amp;TEXT(RTN28-utc_offset/24,"HH")&amp;search_regexp&amp;""""</f>
        <v>#VALUE!</v>
      </c>
      <c r="RUL28" s="234" t="e">
        <f>astrogrep_path&amp;" /e /r /s /spath="&amp;search_path&amp;" /stypes=""app*"&amp;RTH28&amp;"*"&amp;TEXT(RTO28-utc_offset/24,"YYYYMMDD")&amp;"*"" /stext="" "&amp;TEXT(RTO28-utc_offset/24,"HH")&amp;search_regexp&amp;""""</f>
        <v>#VALUE!</v>
      </c>
      <c r="RUM28" s="234" t="e">
        <f>astrogrep_path&amp;" /e /r /s /spath="&amp;search_path&amp;" /stypes=""app*"&amp;RTI28&amp;"*"&amp;TEXT(RTP28-utc_offset/24,"YYYYMMDD")&amp;"*"" /stext="" "&amp;TEXT(RTP28-utc_offset/24,"HH")&amp;search_regexp&amp;""""</f>
        <v>#VALUE!</v>
      </c>
      <c r="RUN28" s="234" t="e">
        <f>astrogrep_path&amp;" /e /r /s /spath="&amp;search_path&amp;" /stypes=""app*"&amp;RTJ28&amp;"*"&amp;TEXT(RTQ28-utc_offset/24,"YYYYMMDD")&amp;"*"" /stext="" "&amp;TEXT(RTQ28-utc_offset/24,"HH")&amp;search_regexp&amp;""""</f>
        <v>#VALUE!</v>
      </c>
      <c r="RUO28" s="234" t="e">
        <f>astrogrep_path&amp;" /e /r /s /spath="&amp;search_path&amp;" /stypes=""app*"&amp;RTK28&amp;"*"&amp;TEXT(RTR28-utc_offset/24,"YYYYMMDD")&amp;"*"" /stext="" "&amp;TEXT(RTR28-utc_offset/24,"HH")&amp;search_regexp&amp;""""</f>
        <v>#VALUE!</v>
      </c>
      <c r="RUP28" s="234" t="e">
        <f>astrogrep_path&amp;" /e /r /s /spath="&amp;search_path&amp;" /stypes=""app*"&amp;RTL28&amp;"*"&amp;TEXT(RTS28-utc_offset/24,"YYYYMMDD")&amp;"*"" /stext="" "&amp;TEXT(RTS28-utc_offset/24,"HH")&amp;search_regexp&amp;""""</f>
        <v>#REF!</v>
      </c>
      <c r="RUQ28" s="234" t="e">
        <f>astrogrep_path&amp;" /e /r /s /spath="&amp;search_path&amp;" /stypes=""app*"&amp;RTM28&amp;"*"&amp;TEXT(RTT28-utc_offset/24,"YYYYMMDD")&amp;"*"" /stext="" "&amp;TEXT(RTT28-utc_offset/24,"HH")&amp;search_regexp&amp;""""</f>
        <v>#REF!</v>
      </c>
      <c r="RUR28" s="234" t="e">
        <f>astrogrep_path&amp;" /e /r /s /spath="&amp;search_path&amp;" /stypes=""app*"&amp;RTN28&amp;"*"&amp;TEXT(RTU28-utc_offset/24,"YYYYMMDD")&amp;"*"" /stext="" "&amp;TEXT(RTU28-utc_offset/24,"HH")&amp;search_regexp&amp;""""</f>
        <v>#REF!</v>
      </c>
      <c r="RUS28" s="234" t="e">
        <f>astrogrep_path&amp;" /e /r /s /spath="&amp;search_path&amp;" /stypes=""app*"&amp;RTO28&amp;"*"&amp;TEXT(RTV28-utc_offset/24,"YYYYMMDD")&amp;"*"" /stext="" "&amp;TEXT(RTV28-utc_offset/24,"HH")&amp;search_regexp&amp;""""</f>
        <v>#REF!</v>
      </c>
      <c r="RUT28" s="234" t="e">
        <f>astrogrep_path&amp;" /e /r /s /spath="&amp;search_path&amp;" /stypes=""app*"&amp;RTP28&amp;"*"&amp;TEXT(RTW28-utc_offset/24,"YYYYMMDD")&amp;"*"" /stext="" "&amp;TEXT(RTW28-utc_offset/24,"HH")&amp;search_regexp&amp;""""</f>
        <v>#REF!</v>
      </c>
      <c r="RUU28" s="234" t="e">
        <f>astrogrep_path&amp;" /e /r /s /spath="&amp;search_path&amp;" /stypes=""app*"&amp;RTQ28&amp;"*"&amp;TEXT(RTX28-utc_offset/24,"YYYYMMDD")&amp;"*"" /stext="" "&amp;TEXT(RTX28-utc_offset/24,"HH")&amp;search_regexp&amp;""""</f>
        <v>#REF!</v>
      </c>
      <c r="RUV28" s="234" t="e">
        <f>astrogrep_path&amp;" /e /r /s /spath="&amp;search_path&amp;" /stypes=""app*"&amp;RTR28&amp;"*"&amp;TEXT(RTY28-utc_offset/24,"YYYYMMDD")&amp;"*"" /stext="" "&amp;TEXT(RTY28-utc_offset/24,"HH")&amp;search_regexp&amp;""""</f>
        <v>#REF!</v>
      </c>
      <c r="RUW28" s="234" t="e">
        <f>astrogrep_path&amp;" /e /r /s /spath="&amp;search_path&amp;" /stypes=""app*"&amp;RTS28&amp;"*"&amp;TEXT(RTZ28-utc_offset/24,"YYYYMMDD")&amp;"*"" /stext="" "&amp;TEXT(RTZ28-utc_offset/24,"HH")&amp;search_regexp&amp;""""</f>
        <v>#REF!</v>
      </c>
      <c r="RUX28" s="234" t="e">
        <f>astrogrep_path&amp;" /e /r /s /spath="&amp;search_path&amp;" /stypes=""app*"&amp;RTT28&amp;"*"&amp;TEXT(RUA28-utc_offset/24,"YYYYMMDD")&amp;"*"" /stext="" "&amp;TEXT(RUA28-utc_offset/24,"HH")&amp;search_regexp&amp;""""</f>
        <v>#REF!</v>
      </c>
      <c r="RUY28" s="234" t="e">
        <f>astrogrep_path&amp;" /e /r /s /spath="&amp;search_path&amp;" /stypes=""app*"&amp;RTU28&amp;"*"&amp;TEXT(RUB28-utc_offset/24,"YYYYMMDD")&amp;"*"" /stext="" "&amp;TEXT(RUB28-utc_offset/24,"HH")&amp;search_regexp&amp;""""</f>
        <v>#REF!</v>
      </c>
      <c r="RUZ28" s="234" t="e">
        <f>astrogrep_path&amp;" /e /r /s /spath="&amp;search_path&amp;" /stypes=""app*"&amp;RTV28&amp;"*"&amp;TEXT(RUC28-utc_offset/24,"YYYYMMDD")&amp;"*"" /stext="" "&amp;TEXT(RUC28-utc_offset/24,"HH")&amp;search_regexp&amp;""""</f>
        <v>#REF!</v>
      </c>
      <c r="RVA28" s="234" t="e">
        <f>astrogrep_path&amp;" /e /r /s /spath="&amp;search_path&amp;" /stypes=""app*"&amp;RTW28&amp;"*"&amp;TEXT(RUD28-utc_offset/24,"YYYYMMDD")&amp;"*"" /stext="" "&amp;TEXT(RUD28-utc_offset/24,"HH")&amp;search_regexp&amp;""""</f>
        <v>#REF!</v>
      </c>
      <c r="RVB28" s="234" t="e">
        <f>astrogrep_path&amp;" /e /r /s /spath="&amp;search_path&amp;" /stypes=""app*"&amp;RTX28&amp;"*"&amp;TEXT(RUE28-utc_offset/24,"YYYYMMDD")&amp;"*"" /stext="" "&amp;TEXT(RUE28-utc_offset/24,"HH")&amp;search_regexp&amp;""""</f>
        <v>#REF!</v>
      </c>
      <c r="RVC28" s="234" t="e">
        <f>astrogrep_path&amp;" /e /r /s /spath="&amp;search_path&amp;" /stypes=""app*"&amp;RTY28&amp;"*"&amp;TEXT(RUF28-utc_offset/24,"YYYYMMDD")&amp;"*"" /stext="" "&amp;TEXT(RUF28-utc_offset/24,"HH")&amp;search_regexp&amp;""""</f>
        <v>#REF!</v>
      </c>
      <c r="RVD28" s="234" t="e">
        <f>astrogrep_path&amp;" /e /r /s /spath="&amp;search_path&amp;" /stypes=""app*"&amp;RTZ28&amp;"*"&amp;TEXT(RUG28-utc_offset/24,"YYYYMMDD")&amp;"*"" /stext="" "&amp;TEXT(RUG28-utc_offset/24,"HH")&amp;search_regexp&amp;""""</f>
        <v>#REF!</v>
      </c>
      <c r="RVE28" s="234" t="e">
        <f>astrogrep_path&amp;" /e /r /s /spath="&amp;search_path&amp;" /stypes=""app*"&amp;RUA28&amp;"*"&amp;TEXT(RUH28-utc_offset/24,"YYYYMMDD")&amp;"*"" /stext="" "&amp;TEXT(RUH28-utc_offset/24,"HH")&amp;search_regexp&amp;""""</f>
        <v>#REF!</v>
      </c>
      <c r="RVF28" s="234" t="e">
        <f>astrogrep_path&amp;" /e /r /s /spath="&amp;search_path&amp;" /stypes=""app*"&amp;RUB28&amp;"*"&amp;TEXT(RUI28-utc_offset/24,"YYYYMMDD")&amp;"*"" /stext="" "&amp;TEXT(RUI28-utc_offset/24,"HH")&amp;search_regexp&amp;""""</f>
        <v>#REF!</v>
      </c>
      <c r="RVG28" s="234" t="e">
        <f>astrogrep_path&amp;" /e /r /s /spath="&amp;search_path&amp;" /stypes=""app*"&amp;RUC28&amp;"*"&amp;TEXT(RUJ28-utc_offset/24,"YYYYMMDD")&amp;"*"" /stext="" "&amp;TEXT(RUJ28-utc_offset/24,"HH")&amp;search_regexp&amp;""""</f>
        <v>#REF!</v>
      </c>
      <c r="RVH28" s="234" t="e">
        <f>astrogrep_path&amp;" /e /r /s /spath="&amp;search_path&amp;" /stypes=""app*"&amp;RUD28&amp;"*"&amp;TEXT(RUK28-utc_offset/24,"YYYYMMDD")&amp;"*"" /stext="" "&amp;TEXT(RUK28-utc_offset/24,"HH")&amp;search_regexp&amp;""""</f>
        <v>#REF!</v>
      </c>
      <c r="RVI28" s="234" t="e">
        <f>astrogrep_path&amp;" /e /r /s /spath="&amp;search_path&amp;" /stypes=""app*"&amp;RUE28&amp;"*"&amp;TEXT(RUL28-utc_offset/24,"YYYYMMDD")&amp;"*"" /stext="" "&amp;TEXT(RUL28-utc_offset/24,"HH")&amp;search_regexp&amp;""""</f>
        <v>#REF!</v>
      </c>
      <c r="RVJ28" s="234" t="e">
        <f>astrogrep_path&amp;" /e /r /s /spath="&amp;search_path&amp;" /stypes=""app*"&amp;RUF28&amp;"*"&amp;TEXT(RUM28-utc_offset/24,"YYYYMMDD")&amp;"*"" /stext="" "&amp;TEXT(RUM28-utc_offset/24,"HH")&amp;search_regexp&amp;""""</f>
        <v>#REF!</v>
      </c>
      <c r="RVK28" s="234" t="e">
        <f>astrogrep_path&amp;" /e /r /s /spath="&amp;search_path&amp;" /stypes=""app*"&amp;RUG28&amp;"*"&amp;TEXT(RUN28-utc_offset/24,"YYYYMMDD")&amp;"*"" /stext="" "&amp;TEXT(RUN28-utc_offset/24,"HH")&amp;search_regexp&amp;""""</f>
        <v>#VALUE!</v>
      </c>
      <c r="RVL28" s="234" t="e">
        <f>astrogrep_path&amp;" /e /r /s /spath="&amp;search_path&amp;" /stypes=""app*"&amp;RUH28&amp;"*"&amp;TEXT(RUO28-utc_offset/24,"YYYYMMDD")&amp;"*"" /stext="" "&amp;TEXT(RUO28-utc_offset/24,"HH")&amp;search_regexp&amp;""""</f>
        <v>#VALUE!</v>
      </c>
      <c r="RVM28" s="234" t="e">
        <f>astrogrep_path&amp;" /e /r /s /spath="&amp;search_path&amp;" /stypes=""app*"&amp;RUI28&amp;"*"&amp;TEXT(RUP28-utc_offset/24,"YYYYMMDD")&amp;"*"" /stext="" "&amp;TEXT(RUP28-utc_offset/24,"HH")&amp;search_regexp&amp;""""</f>
        <v>#REF!</v>
      </c>
      <c r="RVN28" s="234" t="e">
        <f>astrogrep_path&amp;" /e /r /s /spath="&amp;search_path&amp;" /stypes=""app*"&amp;RUJ28&amp;"*"&amp;TEXT(RUQ28-utc_offset/24,"YYYYMMDD")&amp;"*"" /stext="" "&amp;TEXT(RUQ28-utc_offset/24,"HH")&amp;search_regexp&amp;""""</f>
        <v>#REF!</v>
      </c>
      <c r="RVO28" s="234" t="e">
        <f>astrogrep_path&amp;" /e /r /s /spath="&amp;search_path&amp;" /stypes=""app*"&amp;RUK28&amp;"*"&amp;TEXT(RUR28-utc_offset/24,"YYYYMMDD")&amp;"*"" /stext="" "&amp;TEXT(RUR28-utc_offset/24,"HH")&amp;search_regexp&amp;""""</f>
        <v>#VALUE!</v>
      </c>
      <c r="RVP28" s="234" t="e">
        <f>astrogrep_path&amp;" /e /r /s /spath="&amp;search_path&amp;" /stypes=""app*"&amp;RUL28&amp;"*"&amp;TEXT(RUS28-utc_offset/24,"YYYYMMDD")&amp;"*"" /stext="" "&amp;TEXT(RUS28-utc_offset/24,"HH")&amp;search_regexp&amp;""""</f>
        <v>#VALUE!</v>
      </c>
      <c r="RVQ28" s="234" t="e">
        <f>astrogrep_path&amp;" /e /r /s /spath="&amp;search_path&amp;" /stypes=""app*"&amp;RUM28&amp;"*"&amp;TEXT(RUT28-utc_offset/24,"YYYYMMDD")&amp;"*"" /stext="" "&amp;TEXT(RUT28-utc_offset/24,"HH")&amp;search_regexp&amp;""""</f>
        <v>#VALUE!</v>
      </c>
      <c r="RVR28" s="234" t="e">
        <f>astrogrep_path&amp;" /e /r /s /spath="&amp;search_path&amp;" /stypes=""app*"&amp;RUN28&amp;"*"&amp;TEXT(RUU28-utc_offset/24,"YYYYMMDD")&amp;"*"" /stext="" "&amp;TEXT(RUU28-utc_offset/24,"HH")&amp;search_regexp&amp;""""</f>
        <v>#VALUE!</v>
      </c>
      <c r="RVS28" s="234" t="e">
        <f>astrogrep_path&amp;" /e /r /s /spath="&amp;search_path&amp;" /stypes=""app*"&amp;RUO28&amp;"*"&amp;TEXT(RUV28-utc_offset/24,"YYYYMMDD")&amp;"*"" /stext="" "&amp;TEXT(RUV28-utc_offset/24,"HH")&amp;search_regexp&amp;""""</f>
        <v>#VALUE!</v>
      </c>
      <c r="RVT28" s="234" t="e">
        <f>astrogrep_path&amp;" /e /r /s /spath="&amp;search_path&amp;" /stypes=""app*"&amp;RUP28&amp;"*"&amp;TEXT(RUW28-utc_offset/24,"YYYYMMDD")&amp;"*"" /stext="" "&amp;TEXT(RUW28-utc_offset/24,"HH")&amp;search_regexp&amp;""""</f>
        <v>#REF!</v>
      </c>
      <c r="RVU28" s="234" t="e">
        <f>astrogrep_path&amp;" /e /r /s /spath="&amp;search_path&amp;" /stypes=""app*"&amp;RUQ28&amp;"*"&amp;TEXT(RUX28-utc_offset/24,"YYYYMMDD")&amp;"*"" /stext="" "&amp;TEXT(RUX28-utc_offset/24,"HH")&amp;search_regexp&amp;""""</f>
        <v>#REF!</v>
      </c>
      <c r="RVV28" s="234" t="e">
        <f>astrogrep_path&amp;" /e /r /s /spath="&amp;search_path&amp;" /stypes=""app*"&amp;RUR28&amp;"*"&amp;TEXT(RUY28-utc_offset/24,"YYYYMMDD")&amp;"*"" /stext="" "&amp;TEXT(RUY28-utc_offset/24,"HH")&amp;search_regexp&amp;""""</f>
        <v>#REF!</v>
      </c>
      <c r="RVW28" s="234" t="e">
        <f>astrogrep_path&amp;" /e /r /s /spath="&amp;search_path&amp;" /stypes=""app*"&amp;RUS28&amp;"*"&amp;TEXT(RUZ28-utc_offset/24,"YYYYMMDD")&amp;"*"" /stext="" "&amp;TEXT(RUZ28-utc_offset/24,"HH")&amp;search_regexp&amp;""""</f>
        <v>#REF!</v>
      </c>
      <c r="RVX28" s="234" t="e">
        <f>astrogrep_path&amp;" /e /r /s /spath="&amp;search_path&amp;" /stypes=""app*"&amp;RUT28&amp;"*"&amp;TEXT(RVA28-utc_offset/24,"YYYYMMDD")&amp;"*"" /stext="" "&amp;TEXT(RVA28-utc_offset/24,"HH")&amp;search_regexp&amp;""""</f>
        <v>#REF!</v>
      </c>
      <c r="RVY28" s="234" t="e">
        <f>astrogrep_path&amp;" /e /r /s /spath="&amp;search_path&amp;" /stypes=""app*"&amp;RUU28&amp;"*"&amp;TEXT(RVB28-utc_offset/24,"YYYYMMDD")&amp;"*"" /stext="" "&amp;TEXT(RVB28-utc_offset/24,"HH")&amp;search_regexp&amp;""""</f>
        <v>#REF!</v>
      </c>
      <c r="RVZ28" s="234" t="e">
        <f>astrogrep_path&amp;" /e /r /s /spath="&amp;search_path&amp;" /stypes=""app*"&amp;RUV28&amp;"*"&amp;TEXT(RVC28-utc_offset/24,"YYYYMMDD")&amp;"*"" /stext="" "&amp;TEXT(RVC28-utc_offset/24,"HH")&amp;search_regexp&amp;""""</f>
        <v>#REF!</v>
      </c>
      <c r="RWA28" s="234" t="e">
        <f>astrogrep_path&amp;" /e /r /s /spath="&amp;search_path&amp;" /stypes=""app*"&amp;RUW28&amp;"*"&amp;TEXT(RVD28-utc_offset/24,"YYYYMMDD")&amp;"*"" /stext="" "&amp;TEXT(RVD28-utc_offset/24,"HH")&amp;search_regexp&amp;""""</f>
        <v>#REF!</v>
      </c>
      <c r="RWB28" s="234" t="e">
        <f>astrogrep_path&amp;" /e /r /s /spath="&amp;search_path&amp;" /stypes=""app*"&amp;RUX28&amp;"*"&amp;TEXT(RVE28-utc_offset/24,"YYYYMMDD")&amp;"*"" /stext="" "&amp;TEXT(RVE28-utc_offset/24,"HH")&amp;search_regexp&amp;""""</f>
        <v>#REF!</v>
      </c>
      <c r="RWC28" s="234" t="e">
        <f>astrogrep_path&amp;" /e /r /s /spath="&amp;search_path&amp;" /stypes=""app*"&amp;RUY28&amp;"*"&amp;TEXT(RVF28-utc_offset/24,"YYYYMMDD")&amp;"*"" /stext="" "&amp;TEXT(RVF28-utc_offset/24,"HH")&amp;search_regexp&amp;""""</f>
        <v>#REF!</v>
      </c>
      <c r="RWD28" s="234" t="e">
        <f>astrogrep_path&amp;" /e /r /s /spath="&amp;search_path&amp;" /stypes=""app*"&amp;RUZ28&amp;"*"&amp;TEXT(RVG28-utc_offset/24,"YYYYMMDD")&amp;"*"" /stext="" "&amp;TEXT(RVG28-utc_offset/24,"HH")&amp;search_regexp&amp;""""</f>
        <v>#REF!</v>
      </c>
      <c r="RWE28" s="234" t="e">
        <f>astrogrep_path&amp;" /e /r /s /spath="&amp;search_path&amp;" /stypes=""app*"&amp;RVA28&amp;"*"&amp;TEXT(RVH28-utc_offset/24,"YYYYMMDD")&amp;"*"" /stext="" "&amp;TEXT(RVH28-utc_offset/24,"HH")&amp;search_regexp&amp;""""</f>
        <v>#REF!</v>
      </c>
      <c r="RWF28" s="234" t="e">
        <f>astrogrep_path&amp;" /e /r /s /spath="&amp;search_path&amp;" /stypes=""app*"&amp;RVB28&amp;"*"&amp;TEXT(RVI28-utc_offset/24,"YYYYMMDD")&amp;"*"" /stext="" "&amp;TEXT(RVI28-utc_offset/24,"HH")&amp;search_regexp&amp;""""</f>
        <v>#REF!</v>
      </c>
      <c r="RWG28" s="234" t="e">
        <f>astrogrep_path&amp;" /e /r /s /spath="&amp;search_path&amp;" /stypes=""app*"&amp;RVC28&amp;"*"&amp;TEXT(RVJ28-utc_offset/24,"YYYYMMDD")&amp;"*"" /stext="" "&amp;TEXT(RVJ28-utc_offset/24,"HH")&amp;search_regexp&amp;""""</f>
        <v>#REF!</v>
      </c>
      <c r="RWH28" s="234" t="e">
        <f>astrogrep_path&amp;" /e /r /s /spath="&amp;search_path&amp;" /stypes=""app*"&amp;RVD28&amp;"*"&amp;TEXT(RVK28-utc_offset/24,"YYYYMMDD")&amp;"*"" /stext="" "&amp;TEXT(RVK28-utc_offset/24,"HH")&amp;search_regexp&amp;""""</f>
        <v>#REF!</v>
      </c>
      <c r="RWI28" s="234" t="e">
        <f>astrogrep_path&amp;" /e /r /s /spath="&amp;search_path&amp;" /stypes=""app*"&amp;RVE28&amp;"*"&amp;TEXT(RVL28-utc_offset/24,"YYYYMMDD")&amp;"*"" /stext="" "&amp;TEXT(RVL28-utc_offset/24,"HH")&amp;search_regexp&amp;""""</f>
        <v>#REF!</v>
      </c>
      <c r="RWJ28" s="234" t="e">
        <f>astrogrep_path&amp;" /e /r /s /spath="&amp;search_path&amp;" /stypes=""app*"&amp;RVF28&amp;"*"&amp;TEXT(RVM28-utc_offset/24,"YYYYMMDD")&amp;"*"" /stext="" "&amp;TEXT(RVM28-utc_offset/24,"HH")&amp;search_regexp&amp;""""</f>
        <v>#REF!</v>
      </c>
      <c r="RWK28" s="234" t="e">
        <f>astrogrep_path&amp;" /e /r /s /spath="&amp;search_path&amp;" /stypes=""app*"&amp;RVG28&amp;"*"&amp;TEXT(RVN28-utc_offset/24,"YYYYMMDD")&amp;"*"" /stext="" "&amp;TEXT(RVN28-utc_offset/24,"HH")&amp;search_regexp&amp;""""</f>
        <v>#REF!</v>
      </c>
      <c r="RWL28" s="234" t="e">
        <f>astrogrep_path&amp;" /e /r /s /spath="&amp;search_path&amp;" /stypes=""app*"&amp;RVH28&amp;"*"&amp;TEXT(RVO28-utc_offset/24,"YYYYMMDD")&amp;"*"" /stext="" "&amp;TEXT(RVO28-utc_offset/24,"HH")&amp;search_regexp&amp;""""</f>
        <v>#REF!</v>
      </c>
      <c r="RWM28" s="234" t="e">
        <f>astrogrep_path&amp;" /e /r /s /spath="&amp;search_path&amp;" /stypes=""app*"&amp;RVI28&amp;"*"&amp;TEXT(RVP28-utc_offset/24,"YYYYMMDD")&amp;"*"" /stext="" "&amp;TEXT(RVP28-utc_offset/24,"HH")&amp;search_regexp&amp;""""</f>
        <v>#REF!</v>
      </c>
      <c r="RWN28" s="234" t="e">
        <f>astrogrep_path&amp;" /e /r /s /spath="&amp;search_path&amp;" /stypes=""app*"&amp;RVJ28&amp;"*"&amp;TEXT(RVQ28-utc_offset/24,"YYYYMMDD")&amp;"*"" /stext="" "&amp;TEXT(RVQ28-utc_offset/24,"HH")&amp;search_regexp&amp;""""</f>
        <v>#REF!</v>
      </c>
      <c r="RWO28" s="234" t="e">
        <f>astrogrep_path&amp;" /e /r /s /spath="&amp;search_path&amp;" /stypes=""app*"&amp;RVK28&amp;"*"&amp;TEXT(RVR28-utc_offset/24,"YYYYMMDD")&amp;"*"" /stext="" "&amp;TEXT(RVR28-utc_offset/24,"HH")&amp;search_regexp&amp;""""</f>
        <v>#VALUE!</v>
      </c>
      <c r="RWP28" s="234" t="e">
        <f>astrogrep_path&amp;" /e /r /s /spath="&amp;search_path&amp;" /stypes=""app*"&amp;RVL28&amp;"*"&amp;TEXT(RVS28-utc_offset/24,"YYYYMMDD")&amp;"*"" /stext="" "&amp;TEXT(RVS28-utc_offset/24,"HH")&amp;search_regexp&amp;""""</f>
        <v>#VALUE!</v>
      </c>
      <c r="RWQ28" s="234" t="e">
        <f>astrogrep_path&amp;" /e /r /s /spath="&amp;search_path&amp;" /stypes=""app*"&amp;RVM28&amp;"*"&amp;TEXT(RVT28-utc_offset/24,"YYYYMMDD")&amp;"*"" /stext="" "&amp;TEXT(RVT28-utc_offset/24,"HH")&amp;search_regexp&amp;""""</f>
        <v>#REF!</v>
      </c>
      <c r="RWR28" s="234" t="e">
        <f>astrogrep_path&amp;" /e /r /s /spath="&amp;search_path&amp;" /stypes=""app*"&amp;RVN28&amp;"*"&amp;TEXT(RVU28-utc_offset/24,"YYYYMMDD")&amp;"*"" /stext="" "&amp;TEXT(RVU28-utc_offset/24,"HH")&amp;search_regexp&amp;""""</f>
        <v>#REF!</v>
      </c>
      <c r="RWS28" s="234" t="e">
        <f>astrogrep_path&amp;" /e /r /s /spath="&amp;search_path&amp;" /stypes=""app*"&amp;RVO28&amp;"*"&amp;TEXT(RVV28-utc_offset/24,"YYYYMMDD")&amp;"*"" /stext="" "&amp;TEXT(RVV28-utc_offset/24,"HH")&amp;search_regexp&amp;""""</f>
        <v>#VALUE!</v>
      </c>
      <c r="RWT28" s="234" t="e">
        <f>astrogrep_path&amp;" /e /r /s /spath="&amp;search_path&amp;" /stypes=""app*"&amp;RVP28&amp;"*"&amp;TEXT(RVW28-utc_offset/24,"YYYYMMDD")&amp;"*"" /stext="" "&amp;TEXT(RVW28-utc_offset/24,"HH")&amp;search_regexp&amp;""""</f>
        <v>#VALUE!</v>
      </c>
      <c r="RWU28" s="234" t="e">
        <f>astrogrep_path&amp;" /e /r /s /spath="&amp;search_path&amp;" /stypes=""app*"&amp;RVQ28&amp;"*"&amp;TEXT(RVX28-utc_offset/24,"YYYYMMDD")&amp;"*"" /stext="" "&amp;TEXT(RVX28-utc_offset/24,"HH")&amp;search_regexp&amp;""""</f>
        <v>#VALUE!</v>
      </c>
      <c r="RWV28" s="234" t="e">
        <f>astrogrep_path&amp;" /e /r /s /spath="&amp;search_path&amp;" /stypes=""app*"&amp;RVR28&amp;"*"&amp;TEXT(RVY28-utc_offset/24,"YYYYMMDD")&amp;"*"" /stext="" "&amp;TEXT(RVY28-utc_offset/24,"HH")&amp;search_regexp&amp;""""</f>
        <v>#VALUE!</v>
      </c>
      <c r="RWW28" s="234" t="e">
        <f>astrogrep_path&amp;" /e /r /s /spath="&amp;search_path&amp;" /stypes=""app*"&amp;RVS28&amp;"*"&amp;TEXT(RVZ28-utc_offset/24,"YYYYMMDD")&amp;"*"" /stext="" "&amp;TEXT(RVZ28-utc_offset/24,"HH")&amp;search_regexp&amp;""""</f>
        <v>#VALUE!</v>
      </c>
      <c r="RWX28" s="234" t="e">
        <f>astrogrep_path&amp;" /e /r /s /spath="&amp;search_path&amp;" /stypes=""app*"&amp;RVT28&amp;"*"&amp;TEXT(RWA28-utc_offset/24,"YYYYMMDD")&amp;"*"" /stext="" "&amp;TEXT(RWA28-utc_offset/24,"HH")&amp;search_regexp&amp;""""</f>
        <v>#REF!</v>
      </c>
      <c r="RWY28" s="234" t="e">
        <f>astrogrep_path&amp;" /e /r /s /spath="&amp;search_path&amp;" /stypes=""app*"&amp;RVU28&amp;"*"&amp;TEXT(RWB28-utc_offset/24,"YYYYMMDD")&amp;"*"" /stext="" "&amp;TEXT(RWB28-utc_offset/24,"HH")&amp;search_regexp&amp;""""</f>
        <v>#REF!</v>
      </c>
      <c r="RWZ28" s="234" t="e">
        <f>astrogrep_path&amp;" /e /r /s /spath="&amp;search_path&amp;" /stypes=""app*"&amp;RVV28&amp;"*"&amp;TEXT(RWC28-utc_offset/24,"YYYYMMDD")&amp;"*"" /stext="" "&amp;TEXT(RWC28-utc_offset/24,"HH")&amp;search_regexp&amp;""""</f>
        <v>#REF!</v>
      </c>
      <c r="RXA28" s="234" t="e">
        <f>astrogrep_path&amp;" /e /r /s /spath="&amp;search_path&amp;" /stypes=""app*"&amp;RVW28&amp;"*"&amp;TEXT(RWD28-utc_offset/24,"YYYYMMDD")&amp;"*"" /stext="" "&amp;TEXT(RWD28-utc_offset/24,"HH")&amp;search_regexp&amp;""""</f>
        <v>#REF!</v>
      </c>
      <c r="RXB28" s="234" t="e">
        <f>astrogrep_path&amp;" /e /r /s /spath="&amp;search_path&amp;" /stypes=""app*"&amp;RVX28&amp;"*"&amp;TEXT(RWE28-utc_offset/24,"YYYYMMDD")&amp;"*"" /stext="" "&amp;TEXT(RWE28-utc_offset/24,"HH")&amp;search_regexp&amp;""""</f>
        <v>#REF!</v>
      </c>
      <c r="RXC28" s="234" t="e">
        <f>astrogrep_path&amp;" /e /r /s /spath="&amp;search_path&amp;" /stypes=""app*"&amp;RVY28&amp;"*"&amp;TEXT(RWF28-utc_offset/24,"YYYYMMDD")&amp;"*"" /stext="" "&amp;TEXT(RWF28-utc_offset/24,"HH")&amp;search_regexp&amp;""""</f>
        <v>#REF!</v>
      </c>
      <c r="RXD28" s="234" t="e">
        <f>astrogrep_path&amp;" /e /r /s /spath="&amp;search_path&amp;" /stypes=""app*"&amp;RVZ28&amp;"*"&amp;TEXT(RWG28-utc_offset/24,"YYYYMMDD")&amp;"*"" /stext="" "&amp;TEXT(RWG28-utc_offset/24,"HH")&amp;search_regexp&amp;""""</f>
        <v>#REF!</v>
      </c>
      <c r="RXE28" s="234" t="e">
        <f>astrogrep_path&amp;" /e /r /s /spath="&amp;search_path&amp;" /stypes=""app*"&amp;RWA28&amp;"*"&amp;TEXT(RWH28-utc_offset/24,"YYYYMMDD")&amp;"*"" /stext="" "&amp;TEXT(RWH28-utc_offset/24,"HH")&amp;search_regexp&amp;""""</f>
        <v>#REF!</v>
      </c>
      <c r="RXF28" s="234" t="e">
        <f>astrogrep_path&amp;" /e /r /s /spath="&amp;search_path&amp;" /stypes=""app*"&amp;RWB28&amp;"*"&amp;TEXT(RWI28-utc_offset/24,"YYYYMMDD")&amp;"*"" /stext="" "&amp;TEXT(RWI28-utc_offset/24,"HH")&amp;search_regexp&amp;""""</f>
        <v>#REF!</v>
      </c>
      <c r="RXG28" s="234" t="e">
        <f>astrogrep_path&amp;" /e /r /s /spath="&amp;search_path&amp;" /stypes=""app*"&amp;RWC28&amp;"*"&amp;TEXT(RWJ28-utc_offset/24,"YYYYMMDD")&amp;"*"" /stext="" "&amp;TEXT(RWJ28-utc_offset/24,"HH")&amp;search_regexp&amp;""""</f>
        <v>#REF!</v>
      </c>
      <c r="RXH28" s="234" t="e">
        <f>astrogrep_path&amp;" /e /r /s /spath="&amp;search_path&amp;" /stypes=""app*"&amp;RWD28&amp;"*"&amp;TEXT(RWK28-utc_offset/24,"YYYYMMDD")&amp;"*"" /stext="" "&amp;TEXT(RWK28-utc_offset/24,"HH")&amp;search_regexp&amp;""""</f>
        <v>#REF!</v>
      </c>
      <c r="RXI28" s="234" t="e">
        <f>astrogrep_path&amp;" /e /r /s /spath="&amp;search_path&amp;" /stypes=""app*"&amp;RWE28&amp;"*"&amp;TEXT(RWL28-utc_offset/24,"YYYYMMDD")&amp;"*"" /stext="" "&amp;TEXT(RWL28-utc_offset/24,"HH")&amp;search_regexp&amp;""""</f>
        <v>#REF!</v>
      </c>
      <c r="RXJ28" s="234" t="e">
        <f>astrogrep_path&amp;" /e /r /s /spath="&amp;search_path&amp;" /stypes=""app*"&amp;RWF28&amp;"*"&amp;TEXT(RWM28-utc_offset/24,"YYYYMMDD")&amp;"*"" /stext="" "&amp;TEXT(RWM28-utc_offset/24,"HH")&amp;search_regexp&amp;""""</f>
        <v>#REF!</v>
      </c>
      <c r="RXK28" s="234" t="e">
        <f>astrogrep_path&amp;" /e /r /s /spath="&amp;search_path&amp;" /stypes=""app*"&amp;RWG28&amp;"*"&amp;TEXT(RWN28-utc_offset/24,"YYYYMMDD")&amp;"*"" /stext="" "&amp;TEXT(RWN28-utc_offset/24,"HH")&amp;search_regexp&amp;""""</f>
        <v>#REF!</v>
      </c>
      <c r="RXL28" s="234" t="e">
        <f>astrogrep_path&amp;" /e /r /s /spath="&amp;search_path&amp;" /stypes=""app*"&amp;RWH28&amp;"*"&amp;TEXT(RWO28-utc_offset/24,"YYYYMMDD")&amp;"*"" /stext="" "&amp;TEXT(RWO28-utc_offset/24,"HH")&amp;search_regexp&amp;""""</f>
        <v>#REF!</v>
      </c>
      <c r="RXM28" s="234" t="e">
        <f>astrogrep_path&amp;" /e /r /s /spath="&amp;search_path&amp;" /stypes=""app*"&amp;RWI28&amp;"*"&amp;TEXT(RWP28-utc_offset/24,"YYYYMMDD")&amp;"*"" /stext="" "&amp;TEXT(RWP28-utc_offset/24,"HH")&amp;search_regexp&amp;""""</f>
        <v>#REF!</v>
      </c>
      <c r="RXN28" s="234" t="e">
        <f>astrogrep_path&amp;" /e /r /s /spath="&amp;search_path&amp;" /stypes=""app*"&amp;RWJ28&amp;"*"&amp;TEXT(RWQ28-utc_offset/24,"YYYYMMDD")&amp;"*"" /stext="" "&amp;TEXT(RWQ28-utc_offset/24,"HH")&amp;search_regexp&amp;""""</f>
        <v>#REF!</v>
      </c>
      <c r="RXO28" s="234" t="e">
        <f>astrogrep_path&amp;" /e /r /s /spath="&amp;search_path&amp;" /stypes=""app*"&amp;RWK28&amp;"*"&amp;TEXT(RWR28-utc_offset/24,"YYYYMMDD")&amp;"*"" /stext="" "&amp;TEXT(RWR28-utc_offset/24,"HH")&amp;search_regexp&amp;""""</f>
        <v>#REF!</v>
      </c>
      <c r="RXP28" s="234" t="e">
        <f>astrogrep_path&amp;" /e /r /s /spath="&amp;search_path&amp;" /stypes=""app*"&amp;RWL28&amp;"*"&amp;TEXT(RWS28-utc_offset/24,"YYYYMMDD")&amp;"*"" /stext="" "&amp;TEXT(RWS28-utc_offset/24,"HH")&amp;search_regexp&amp;""""</f>
        <v>#REF!</v>
      </c>
      <c r="RXQ28" s="234" t="e">
        <f>astrogrep_path&amp;" /e /r /s /spath="&amp;search_path&amp;" /stypes=""app*"&amp;RWM28&amp;"*"&amp;TEXT(RWT28-utc_offset/24,"YYYYMMDD")&amp;"*"" /stext="" "&amp;TEXT(RWT28-utc_offset/24,"HH")&amp;search_regexp&amp;""""</f>
        <v>#REF!</v>
      </c>
      <c r="RXR28" s="234" t="e">
        <f>astrogrep_path&amp;" /e /r /s /spath="&amp;search_path&amp;" /stypes=""app*"&amp;RWN28&amp;"*"&amp;TEXT(RWU28-utc_offset/24,"YYYYMMDD")&amp;"*"" /stext="" "&amp;TEXT(RWU28-utc_offset/24,"HH")&amp;search_regexp&amp;""""</f>
        <v>#REF!</v>
      </c>
      <c r="RXS28" s="234" t="e">
        <f>astrogrep_path&amp;" /e /r /s /spath="&amp;search_path&amp;" /stypes=""app*"&amp;RWO28&amp;"*"&amp;TEXT(RWV28-utc_offset/24,"YYYYMMDD")&amp;"*"" /stext="" "&amp;TEXT(RWV28-utc_offset/24,"HH")&amp;search_regexp&amp;""""</f>
        <v>#VALUE!</v>
      </c>
      <c r="RXT28" s="234" t="e">
        <f>astrogrep_path&amp;" /e /r /s /spath="&amp;search_path&amp;" /stypes=""app*"&amp;RWP28&amp;"*"&amp;TEXT(RWW28-utc_offset/24,"YYYYMMDD")&amp;"*"" /stext="" "&amp;TEXT(RWW28-utc_offset/24,"HH")&amp;search_regexp&amp;""""</f>
        <v>#VALUE!</v>
      </c>
      <c r="RXU28" s="234" t="e">
        <f>astrogrep_path&amp;" /e /r /s /spath="&amp;search_path&amp;" /stypes=""app*"&amp;RWQ28&amp;"*"&amp;TEXT(RWX28-utc_offset/24,"YYYYMMDD")&amp;"*"" /stext="" "&amp;TEXT(RWX28-utc_offset/24,"HH")&amp;search_regexp&amp;""""</f>
        <v>#REF!</v>
      </c>
      <c r="RXV28" s="234" t="e">
        <f>astrogrep_path&amp;" /e /r /s /spath="&amp;search_path&amp;" /stypes=""app*"&amp;RWR28&amp;"*"&amp;TEXT(RWY28-utc_offset/24,"YYYYMMDD")&amp;"*"" /stext="" "&amp;TEXT(RWY28-utc_offset/24,"HH")&amp;search_regexp&amp;""""</f>
        <v>#REF!</v>
      </c>
      <c r="RXW28" s="234" t="e">
        <f>astrogrep_path&amp;" /e /r /s /spath="&amp;search_path&amp;" /stypes=""app*"&amp;RWS28&amp;"*"&amp;TEXT(RWZ28-utc_offset/24,"YYYYMMDD")&amp;"*"" /stext="" "&amp;TEXT(RWZ28-utc_offset/24,"HH")&amp;search_regexp&amp;""""</f>
        <v>#VALUE!</v>
      </c>
      <c r="RXX28" s="234" t="e">
        <f>astrogrep_path&amp;" /e /r /s /spath="&amp;search_path&amp;" /stypes=""app*"&amp;RWT28&amp;"*"&amp;TEXT(RXA28-utc_offset/24,"YYYYMMDD")&amp;"*"" /stext="" "&amp;TEXT(RXA28-utc_offset/24,"HH")&amp;search_regexp&amp;""""</f>
        <v>#VALUE!</v>
      </c>
      <c r="RXY28" s="234" t="e">
        <f>astrogrep_path&amp;" /e /r /s /spath="&amp;search_path&amp;" /stypes=""app*"&amp;RWU28&amp;"*"&amp;TEXT(RXB28-utc_offset/24,"YYYYMMDD")&amp;"*"" /stext="" "&amp;TEXT(RXB28-utc_offset/24,"HH")&amp;search_regexp&amp;""""</f>
        <v>#VALUE!</v>
      </c>
      <c r="RXZ28" s="234" t="e">
        <f>astrogrep_path&amp;" /e /r /s /spath="&amp;search_path&amp;" /stypes=""app*"&amp;RWV28&amp;"*"&amp;TEXT(RXC28-utc_offset/24,"YYYYMMDD")&amp;"*"" /stext="" "&amp;TEXT(RXC28-utc_offset/24,"HH")&amp;search_regexp&amp;""""</f>
        <v>#VALUE!</v>
      </c>
      <c r="RYA28" s="234" t="e">
        <f>astrogrep_path&amp;" /e /r /s /spath="&amp;search_path&amp;" /stypes=""app*"&amp;RWW28&amp;"*"&amp;TEXT(RXD28-utc_offset/24,"YYYYMMDD")&amp;"*"" /stext="" "&amp;TEXT(RXD28-utc_offset/24,"HH")&amp;search_regexp&amp;""""</f>
        <v>#VALUE!</v>
      </c>
      <c r="RYB28" s="234" t="e">
        <f>astrogrep_path&amp;" /e /r /s /spath="&amp;search_path&amp;" /stypes=""app*"&amp;RWX28&amp;"*"&amp;TEXT(RXE28-utc_offset/24,"YYYYMMDD")&amp;"*"" /stext="" "&amp;TEXT(RXE28-utc_offset/24,"HH")&amp;search_regexp&amp;""""</f>
        <v>#REF!</v>
      </c>
      <c r="RYC28" s="234" t="e">
        <f>astrogrep_path&amp;" /e /r /s /spath="&amp;search_path&amp;" /stypes=""app*"&amp;RWY28&amp;"*"&amp;TEXT(RXF28-utc_offset/24,"YYYYMMDD")&amp;"*"" /stext="" "&amp;TEXT(RXF28-utc_offset/24,"HH")&amp;search_regexp&amp;""""</f>
        <v>#REF!</v>
      </c>
      <c r="RYD28" s="234" t="e">
        <f>astrogrep_path&amp;" /e /r /s /spath="&amp;search_path&amp;" /stypes=""app*"&amp;RWZ28&amp;"*"&amp;TEXT(RXG28-utc_offset/24,"YYYYMMDD")&amp;"*"" /stext="" "&amp;TEXT(RXG28-utc_offset/24,"HH")&amp;search_regexp&amp;""""</f>
        <v>#REF!</v>
      </c>
      <c r="RYE28" s="234" t="e">
        <f>astrogrep_path&amp;" /e /r /s /spath="&amp;search_path&amp;" /stypes=""app*"&amp;RXA28&amp;"*"&amp;TEXT(RXH28-utc_offset/24,"YYYYMMDD")&amp;"*"" /stext="" "&amp;TEXT(RXH28-utc_offset/24,"HH")&amp;search_regexp&amp;""""</f>
        <v>#REF!</v>
      </c>
      <c r="RYF28" s="234" t="e">
        <f>astrogrep_path&amp;" /e /r /s /spath="&amp;search_path&amp;" /stypes=""app*"&amp;RXB28&amp;"*"&amp;TEXT(RXI28-utc_offset/24,"YYYYMMDD")&amp;"*"" /stext="" "&amp;TEXT(RXI28-utc_offset/24,"HH")&amp;search_regexp&amp;""""</f>
        <v>#REF!</v>
      </c>
      <c r="RYG28" s="234" t="e">
        <f>astrogrep_path&amp;" /e /r /s /spath="&amp;search_path&amp;" /stypes=""app*"&amp;RXC28&amp;"*"&amp;TEXT(RXJ28-utc_offset/24,"YYYYMMDD")&amp;"*"" /stext="" "&amp;TEXT(RXJ28-utc_offset/24,"HH")&amp;search_regexp&amp;""""</f>
        <v>#REF!</v>
      </c>
      <c r="RYH28" s="234" t="e">
        <f>astrogrep_path&amp;" /e /r /s /spath="&amp;search_path&amp;" /stypes=""app*"&amp;RXD28&amp;"*"&amp;TEXT(RXK28-utc_offset/24,"YYYYMMDD")&amp;"*"" /stext="" "&amp;TEXT(RXK28-utc_offset/24,"HH")&amp;search_regexp&amp;""""</f>
        <v>#REF!</v>
      </c>
      <c r="RYI28" s="234" t="e">
        <f>astrogrep_path&amp;" /e /r /s /spath="&amp;search_path&amp;" /stypes=""app*"&amp;RXE28&amp;"*"&amp;TEXT(RXL28-utc_offset/24,"YYYYMMDD")&amp;"*"" /stext="" "&amp;TEXT(RXL28-utc_offset/24,"HH")&amp;search_regexp&amp;""""</f>
        <v>#REF!</v>
      </c>
      <c r="RYJ28" s="234" t="e">
        <f>astrogrep_path&amp;" /e /r /s /spath="&amp;search_path&amp;" /stypes=""app*"&amp;RXF28&amp;"*"&amp;TEXT(RXM28-utc_offset/24,"YYYYMMDD")&amp;"*"" /stext="" "&amp;TEXT(RXM28-utc_offset/24,"HH")&amp;search_regexp&amp;""""</f>
        <v>#REF!</v>
      </c>
      <c r="RYK28" s="234" t="e">
        <f>astrogrep_path&amp;" /e /r /s /spath="&amp;search_path&amp;" /stypes=""app*"&amp;RXG28&amp;"*"&amp;TEXT(RXN28-utc_offset/24,"YYYYMMDD")&amp;"*"" /stext="" "&amp;TEXT(RXN28-utc_offset/24,"HH")&amp;search_regexp&amp;""""</f>
        <v>#REF!</v>
      </c>
      <c r="RYL28" s="234" t="e">
        <f>astrogrep_path&amp;" /e /r /s /spath="&amp;search_path&amp;" /stypes=""app*"&amp;RXH28&amp;"*"&amp;TEXT(RXO28-utc_offset/24,"YYYYMMDD")&amp;"*"" /stext="" "&amp;TEXT(RXO28-utc_offset/24,"HH")&amp;search_regexp&amp;""""</f>
        <v>#REF!</v>
      </c>
      <c r="RYM28" s="234" t="e">
        <f>astrogrep_path&amp;" /e /r /s /spath="&amp;search_path&amp;" /stypes=""app*"&amp;RXI28&amp;"*"&amp;TEXT(RXP28-utc_offset/24,"YYYYMMDD")&amp;"*"" /stext="" "&amp;TEXT(RXP28-utc_offset/24,"HH")&amp;search_regexp&amp;""""</f>
        <v>#REF!</v>
      </c>
      <c r="RYN28" s="234" t="e">
        <f>astrogrep_path&amp;" /e /r /s /spath="&amp;search_path&amp;" /stypes=""app*"&amp;RXJ28&amp;"*"&amp;TEXT(RXQ28-utc_offset/24,"YYYYMMDD")&amp;"*"" /stext="" "&amp;TEXT(RXQ28-utc_offset/24,"HH")&amp;search_regexp&amp;""""</f>
        <v>#REF!</v>
      </c>
      <c r="RYO28" s="234" t="e">
        <f>astrogrep_path&amp;" /e /r /s /spath="&amp;search_path&amp;" /stypes=""app*"&amp;RXK28&amp;"*"&amp;TEXT(RXR28-utc_offset/24,"YYYYMMDD")&amp;"*"" /stext="" "&amp;TEXT(RXR28-utc_offset/24,"HH")&amp;search_regexp&amp;""""</f>
        <v>#REF!</v>
      </c>
      <c r="RYP28" s="234" t="e">
        <f>astrogrep_path&amp;" /e /r /s /spath="&amp;search_path&amp;" /stypes=""app*"&amp;RXL28&amp;"*"&amp;TEXT(RXS28-utc_offset/24,"YYYYMMDD")&amp;"*"" /stext="" "&amp;TEXT(RXS28-utc_offset/24,"HH")&amp;search_regexp&amp;""""</f>
        <v>#REF!</v>
      </c>
      <c r="RYQ28" s="234" t="e">
        <f>astrogrep_path&amp;" /e /r /s /spath="&amp;search_path&amp;" /stypes=""app*"&amp;RXM28&amp;"*"&amp;TEXT(RXT28-utc_offset/24,"YYYYMMDD")&amp;"*"" /stext="" "&amp;TEXT(RXT28-utc_offset/24,"HH")&amp;search_regexp&amp;""""</f>
        <v>#REF!</v>
      </c>
      <c r="RYR28" s="234" t="e">
        <f>astrogrep_path&amp;" /e /r /s /spath="&amp;search_path&amp;" /stypes=""app*"&amp;RXN28&amp;"*"&amp;TEXT(RXU28-utc_offset/24,"YYYYMMDD")&amp;"*"" /stext="" "&amp;TEXT(RXU28-utc_offset/24,"HH")&amp;search_regexp&amp;""""</f>
        <v>#REF!</v>
      </c>
      <c r="RYS28" s="234" t="e">
        <f>astrogrep_path&amp;" /e /r /s /spath="&amp;search_path&amp;" /stypes=""app*"&amp;RXO28&amp;"*"&amp;TEXT(RXV28-utc_offset/24,"YYYYMMDD")&amp;"*"" /stext="" "&amp;TEXT(RXV28-utc_offset/24,"HH")&amp;search_regexp&amp;""""</f>
        <v>#REF!</v>
      </c>
      <c r="RYT28" s="234" t="e">
        <f>astrogrep_path&amp;" /e /r /s /spath="&amp;search_path&amp;" /stypes=""app*"&amp;RXP28&amp;"*"&amp;TEXT(RXW28-utc_offset/24,"YYYYMMDD")&amp;"*"" /stext="" "&amp;TEXT(RXW28-utc_offset/24,"HH")&amp;search_regexp&amp;""""</f>
        <v>#REF!</v>
      </c>
      <c r="RYU28" s="234" t="e">
        <f>astrogrep_path&amp;" /e /r /s /spath="&amp;search_path&amp;" /stypes=""app*"&amp;RXQ28&amp;"*"&amp;TEXT(RXX28-utc_offset/24,"YYYYMMDD")&amp;"*"" /stext="" "&amp;TEXT(RXX28-utc_offset/24,"HH")&amp;search_regexp&amp;""""</f>
        <v>#REF!</v>
      </c>
      <c r="RYV28" s="234" t="e">
        <f>astrogrep_path&amp;" /e /r /s /spath="&amp;search_path&amp;" /stypes=""app*"&amp;RXR28&amp;"*"&amp;TEXT(RXY28-utc_offset/24,"YYYYMMDD")&amp;"*"" /stext="" "&amp;TEXT(RXY28-utc_offset/24,"HH")&amp;search_regexp&amp;""""</f>
        <v>#REF!</v>
      </c>
      <c r="RYW28" s="234" t="e">
        <f>astrogrep_path&amp;" /e /r /s /spath="&amp;search_path&amp;" /stypes=""app*"&amp;RXS28&amp;"*"&amp;TEXT(RXZ28-utc_offset/24,"YYYYMMDD")&amp;"*"" /stext="" "&amp;TEXT(RXZ28-utc_offset/24,"HH")&amp;search_regexp&amp;""""</f>
        <v>#VALUE!</v>
      </c>
      <c r="RYX28" s="234" t="e">
        <f>astrogrep_path&amp;" /e /r /s /spath="&amp;search_path&amp;" /stypes=""app*"&amp;RXT28&amp;"*"&amp;TEXT(RYA28-utc_offset/24,"YYYYMMDD")&amp;"*"" /stext="" "&amp;TEXT(RYA28-utc_offset/24,"HH")&amp;search_regexp&amp;""""</f>
        <v>#VALUE!</v>
      </c>
      <c r="RYY28" s="234" t="e">
        <f>astrogrep_path&amp;" /e /r /s /spath="&amp;search_path&amp;" /stypes=""app*"&amp;RXU28&amp;"*"&amp;TEXT(RYB28-utc_offset/24,"YYYYMMDD")&amp;"*"" /stext="" "&amp;TEXT(RYB28-utc_offset/24,"HH")&amp;search_regexp&amp;""""</f>
        <v>#REF!</v>
      </c>
      <c r="RYZ28" s="234" t="e">
        <f>astrogrep_path&amp;" /e /r /s /spath="&amp;search_path&amp;" /stypes=""app*"&amp;RXV28&amp;"*"&amp;TEXT(RYC28-utc_offset/24,"YYYYMMDD")&amp;"*"" /stext="" "&amp;TEXT(RYC28-utc_offset/24,"HH")&amp;search_regexp&amp;""""</f>
        <v>#REF!</v>
      </c>
      <c r="RZA28" s="234" t="e">
        <f>astrogrep_path&amp;" /e /r /s /spath="&amp;search_path&amp;" /stypes=""app*"&amp;RXW28&amp;"*"&amp;TEXT(RYD28-utc_offset/24,"YYYYMMDD")&amp;"*"" /stext="" "&amp;TEXT(RYD28-utc_offset/24,"HH")&amp;search_regexp&amp;""""</f>
        <v>#VALUE!</v>
      </c>
      <c r="RZB28" s="234" t="e">
        <f>astrogrep_path&amp;" /e /r /s /spath="&amp;search_path&amp;" /stypes=""app*"&amp;RXX28&amp;"*"&amp;TEXT(RYE28-utc_offset/24,"YYYYMMDD")&amp;"*"" /stext="" "&amp;TEXT(RYE28-utc_offset/24,"HH")&amp;search_regexp&amp;""""</f>
        <v>#VALUE!</v>
      </c>
      <c r="RZC28" s="234" t="e">
        <f>astrogrep_path&amp;" /e /r /s /spath="&amp;search_path&amp;" /stypes=""app*"&amp;RXY28&amp;"*"&amp;TEXT(RYF28-utc_offset/24,"YYYYMMDD")&amp;"*"" /stext="" "&amp;TEXT(RYF28-utc_offset/24,"HH")&amp;search_regexp&amp;""""</f>
        <v>#VALUE!</v>
      </c>
      <c r="RZD28" s="234" t="e">
        <f>astrogrep_path&amp;" /e /r /s /spath="&amp;search_path&amp;" /stypes=""app*"&amp;RXZ28&amp;"*"&amp;TEXT(RYG28-utc_offset/24,"YYYYMMDD")&amp;"*"" /stext="" "&amp;TEXT(RYG28-utc_offset/24,"HH")&amp;search_regexp&amp;""""</f>
        <v>#VALUE!</v>
      </c>
      <c r="RZE28" s="234" t="e">
        <f>astrogrep_path&amp;" /e /r /s /spath="&amp;search_path&amp;" /stypes=""app*"&amp;RYA28&amp;"*"&amp;TEXT(RYH28-utc_offset/24,"YYYYMMDD")&amp;"*"" /stext="" "&amp;TEXT(RYH28-utc_offset/24,"HH")&amp;search_regexp&amp;""""</f>
        <v>#VALUE!</v>
      </c>
      <c r="RZF28" s="234" t="e">
        <f>astrogrep_path&amp;" /e /r /s /spath="&amp;search_path&amp;" /stypes=""app*"&amp;RYB28&amp;"*"&amp;TEXT(RYI28-utc_offset/24,"YYYYMMDD")&amp;"*"" /stext="" "&amp;TEXT(RYI28-utc_offset/24,"HH")&amp;search_regexp&amp;""""</f>
        <v>#REF!</v>
      </c>
      <c r="RZG28" s="234" t="e">
        <f>astrogrep_path&amp;" /e /r /s /spath="&amp;search_path&amp;" /stypes=""app*"&amp;RYC28&amp;"*"&amp;TEXT(RYJ28-utc_offset/24,"YYYYMMDD")&amp;"*"" /stext="" "&amp;TEXT(RYJ28-utc_offset/24,"HH")&amp;search_regexp&amp;""""</f>
        <v>#REF!</v>
      </c>
      <c r="RZH28" s="234" t="e">
        <f>astrogrep_path&amp;" /e /r /s /spath="&amp;search_path&amp;" /stypes=""app*"&amp;RYD28&amp;"*"&amp;TEXT(RYK28-utc_offset/24,"YYYYMMDD")&amp;"*"" /stext="" "&amp;TEXT(RYK28-utc_offset/24,"HH")&amp;search_regexp&amp;""""</f>
        <v>#REF!</v>
      </c>
      <c r="RZI28" s="234" t="e">
        <f>astrogrep_path&amp;" /e /r /s /spath="&amp;search_path&amp;" /stypes=""app*"&amp;RYE28&amp;"*"&amp;TEXT(RYL28-utc_offset/24,"YYYYMMDD")&amp;"*"" /stext="" "&amp;TEXT(RYL28-utc_offset/24,"HH")&amp;search_regexp&amp;""""</f>
        <v>#REF!</v>
      </c>
      <c r="RZJ28" s="234" t="e">
        <f>astrogrep_path&amp;" /e /r /s /spath="&amp;search_path&amp;" /stypes=""app*"&amp;RYF28&amp;"*"&amp;TEXT(RYM28-utc_offset/24,"YYYYMMDD")&amp;"*"" /stext="" "&amp;TEXT(RYM28-utc_offset/24,"HH")&amp;search_regexp&amp;""""</f>
        <v>#REF!</v>
      </c>
      <c r="RZK28" s="234" t="e">
        <f>astrogrep_path&amp;" /e /r /s /spath="&amp;search_path&amp;" /stypes=""app*"&amp;RYG28&amp;"*"&amp;TEXT(RYN28-utc_offset/24,"YYYYMMDD")&amp;"*"" /stext="" "&amp;TEXT(RYN28-utc_offset/24,"HH")&amp;search_regexp&amp;""""</f>
        <v>#REF!</v>
      </c>
      <c r="RZL28" s="234" t="e">
        <f>astrogrep_path&amp;" /e /r /s /spath="&amp;search_path&amp;" /stypes=""app*"&amp;RYH28&amp;"*"&amp;TEXT(RYO28-utc_offset/24,"YYYYMMDD")&amp;"*"" /stext="" "&amp;TEXT(RYO28-utc_offset/24,"HH")&amp;search_regexp&amp;""""</f>
        <v>#REF!</v>
      </c>
      <c r="RZM28" s="234" t="e">
        <f>astrogrep_path&amp;" /e /r /s /spath="&amp;search_path&amp;" /stypes=""app*"&amp;RYI28&amp;"*"&amp;TEXT(RYP28-utc_offset/24,"YYYYMMDD")&amp;"*"" /stext="" "&amp;TEXT(RYP28-utc_offset/24,"HH")&amp;search_regexp&amp;""""</f>
        <v>#REF!</v>
      </c>
      <c r="RZN28" s="234" t="e">
        <f>astrogrep_path&amp;" /e /r /s /spath="&amp;search_path&amp;" /stypes=""app*"&amp;RYJ28&amp;"*"&amp;TEXT(RYQ28-utc_offset/24,"YYYYMMDD")&amp;"*"" /stext="" "&amp;TEXT(RYQ28-utc_offset/24,"HH")&amp;search_regexp&amp;""""</f>
        <v>#REF!</v>
      </c>
      <c r="RZO28" s="234" t="e">
        <f>astrogrep_path&amp;" /e /r /s /spath="&amp;search_path&amp;" /stypes=""app*"&amp;RYK28&amp;"*"&amp;TEXT(RYR28-utc_offset/24,"YYYYMMDD")&amp;"*"" /stext="" "&amp;TEXT(RYR28-utc_offset/24,"HH")&amp;search_regexp&amp;""""</f>
        <v>#REF!</v>
      </c>
      <c r="RZP28" s="234" t="e">
        <f>astrogrep_path&amp;" /e /r /s /spath="&amp;search_path&amp;" /stypes=""app*"&amp;RYL28&amp;"*"&amp;TEXT(RYS28-utc_offset/24,"YYYYMMDD")&amp;"*"" /stext="" "&amp;TEXT(RYS28-utc_offset/24,"HH")&amp;search_regexp&amp;""""</f>
        <v>#REF!</v>
      </c>
      <c r="RZQ28" s="234" t="e">
        <f>astrogrep_path&amp;" /e /r /s /spath="&amp;search_path&amp;" /stypes=""app*"&amp;RYM28&amp;"*"&amp;TEXT(RYT28-utc_offset/24,"YYYYMMDD")&amp;"*"" /stext="" "&amp;TEXT(RYT28-utc_offset/24,"HH")&amp;search_regexp&amp;""""</f>
        <v>#REF!</v>
      </c>
      <c r="RZR28" s="234" t="e">
        <f>astrogrep_path&amp;" /e /r /s /spath="&amp;search_path&amp;" /stypes=""app*"&amp;RYN28&amp;"*"&amp;TEXT(RYU28-utc_offset/24,"YYYYMMDD")&amp;"*"" /stext="" "&amp;TEXT(RYU28-utc_offset/24,"HH")&amp;search_regexp&amp;""""</f>
        <v>#REF!</v>
      </c>
      <c r="RZS28" s="234" t="e">
        <f>astrogrep_path&amp;" /e /r /s /spath="&amp;search_path&amp;" /stypes=""app*"&amp;RYO28&amp;"*"&amp;TEXT(RYV28-utc_offset/24,"YYYYMMDD")&amp;"*"" /stext="" "&amp;TEXT(RYV28-utc_offset/24,"HH")&amp;search_regexp&amp;""""</f>
        <v>#REF!</v>
      </c>
      <c r="RZT28" s="234" t="e">
        <f>astrogrep_path&amp;" /e /r /s /spath="&amp;search_path&amp;" /stypes=""app*"&amp;RYP28&amp;"*"&amp;TEXT(RYW28-utc_offset/24,"YYYYMMDD")&amp;"*"" /stext="" "&amp;TEXT(RYW28-utc_offset/24,"HH")&amp;search_regexp&amp;""""</f>
        <v>#REF!</v>
      </c>
      <c r="RZU28" s="234" t="e">
        <f>astrogrep_path&amp;" /e /r /s /spath="&amp;search_path&amp;" /stypes=""app*"&amp;RYQ28&amp;"*"&amp;TEXT(RYX28-utc_offset/24,"YYYYMMDD")&amp;"*"" /stext="" "&amp;TEXT(RYX28-utc_offset/24,"HH")&amp;search_regexp&amp;""""</f>
        <v>#REF!</v>
      </c>
      <c r="RZV28" s="234" t="e">
        <f>astrogrep_path&amp;" /e /r /s /spath="&amp;search_path&amp;" /stypes=""app*"&amp;RYR28&amp;"*"&amp;TEXT(RYY28-utc_offset/24,"YYYYMMDD")&amp;"*"" /stext="" "&amp;TEXT(RYY28-utc_offset/24,"HH")&amp;search_regexp&amp;""""</f>
        <v>#REF!</v>
      </c>
      <c r="RZW28" s="234" t="e">
        <f>astrogrep_path&amp;" /e /r /s /spath="&amp;search_path&amp;" /stypes=""app*"&amp;RYS28&amp;"*"&amp;TEXT(RYZ28-utc_offset/24,"YYYYMMDD")&amp;"*"" /stext="" "&amp;TEXT(RYZ28-utc_offset/24,"HH")&amp;search_regexp&amp;""""</f>
        <v>#REF!</v>
      </c>
      <c r="RZX28" s="234" t="e">
        <f>astrogrep_path&amp;" /e /r /s /spath="&amp;search_path&amp;" /stypes=""app*"&amp;RYT28&amp;"*"&amp;TEXT(RZA28-utc_offset/24,"YYYYMMDD")&amp;"*"" /stext="" "&amp;TEXT(RZA28-utc_offset/24,"HH")&amp;search_regexp&amp;""""</f>
        <v>#REF!</v>
      </c>
      <c r="RZY28" s="234" t="e">
        <f>astrogrep_path&amp;" /e /r /s /spath="&amp;search_path&amp;" /stypes=""app*"&amp;RYU28&amp;"*"&amp;TEXT(RZB28-utc_offset/24,"YYYYMMDD")&amp;"*"" /stext="" "&amp;TEXT(RZB28-utc_offset/24,"HH")&amp;search_regexp&amp;""""</f>
        <v>#REF!</v>
      </c>
      <c r="RZZ28" s="234" t="e">
        <f>astrogrep_path&amp;" /e /r /s /spath="&amp;search_path&amp;" /stypes=""app*"&amp;RYV28&amp;"*"&amp;TEXT(RZC28-utc_offset/24,"YYYYMMDD")&amp;"*"" /stext="" "&amp;TEXT(RZC28-utc_offset/24,"HH")&amp;search_regexp&amp;""""</f>
        <v>#REF!</v>
      </c>
      <c r="SAA28" s="234" t="e">
        <f>astrogrep_path&amp;" /e /r /s /spath="&amp;search_path&amp;" /stypes=""app*"&amp;RYW28&amp;"*"&amp;TEXT(RZD28-utc_offset/24,"YYYYMMDD")&amp;"*"" /stext="" "&amp;TEXT(RZD28-utc_offset/24,"HH")&amp;search_regexp&amp;""""</f>
        <v>#VALUE!</v>
      </c>
      <c r="SAB28" s="234" t="e">
        <f>astrogrep_path&amp;" /e /r /s /spath="&amp;search_path&amp;" /stypes=""app*"&amp;RYX28&amp;"*"&amp;TEXT(RZE28-utc_offset/24,"YYYYMMDD")&amp;"*"" /stext="" "&amp;TEXT(RZE28-utc_offset/24,"HH")&amp;search_regexp&amp;""""</f>
        <v>#VALUE!</v>
      </c>
      <c r="SAC28" s="234" t="e">
        <f>astrogrep_path&amp;" /e /r /s /spath="&amp;search_path&amp;" /stypes=""app*"&amp;RYY28&amp;"*"&amp;TEXT(RZF28-utc_offset/24,"YYYYMMDD")&amp;"*"" /stext="" "&amp;TEXT(RZF28-utc_offset/24,"HH")&amp;search_regexp&amp;""""</f>
        <v>#REF!</v>
      </c>
      <c r="SAD28" s="234" t="e">
        <f>astrogrep_path&amp;" /e /r /s /spath="&amp;search_path&amp;" /stypes=""app*"&amp;RYZ28&amp;"*"&amp;TEXT(RZG28-utc_offset/24,"YYYYMMDD")&amp;"*"" /stext="" "&amp;TEXT(RZG28-utc_offset/24,"HH")&amp;search_regexp&amp;""""</f>
        <v>#REF!</v>
      </c>
      <c r="SAE28" s="234" t="e">
        <f>astrogrep_path&amp;" /e /r /s /spath="&amp;search_path&amp;" /stypes=""app*"&amp;RZA28&amp;"*"&amp;TEXT(RZH28-utc_offset/24,"YYYYMMDD")&amp;"*"" /stext="" "&amp;TEXT(RZH28-utc_offset/24,"HH")&amp;search_regexp&amp;""""</f>
        <v>#VALUE!</v>
      </c>
      <c r="SAF28" s="234" t="e">
        <f>astrogrep_path&amp;" /e /r /s /spath="&amp;search_path&amp;" /stypes=""app*"&amp;RZB28&amp;"*"&amp;TEXT(RZI28-utc_offset/24,"YYYYMMDD")&amp;"*"" /stext="" "&amp;TEXT(RZI28-utc_offset/24,"HH")&amp;search_regexp&amp;""""</f>
        <v>#VALUE!</v>
      </c>
      <c r="SAG28" s="234" t="e">
        <f>astrogrep_path&amp;" /e /r /s /spath="&amp;search_path&amp;" /stypes=""app*"&amp;RZC28&amp;"*"&amp;TEXT(RZJ28-utc_offset/24,"YYYYMMDD")&amp;"*"" /stext="" "&amp;TEXT(RZJ28-utc_offset/24,"HH")&amp;search_regexp&amp;""""</f>
        <v>#VALUE!</v>
      </c>
      <c r="SAH28" s="234" t="e">
        <f>astrogrep_path&amp;" /e /r /s /spath="&amp;search_path&amp;" /stypes=""app*"&amp;RZD28&amp;"*"&amp;TEXT(RZK28-utc_offset/24,"YYYYMMDD")&amp;"*"" /stext="" "&amp;TEXT(RZK28-utc_offset/24,"HH")&amp;search_regexp&amp;""""</f>
        <v>#VALUE!</v>
      </c>
      <c r="SAI28" s="234" t="e">
        <f>astrogrep_path&amp;" /e /r /s /spath="&amp;search_path&amp;" /stypes=""app*"&amp;RZE28&amp;"*"&amp;TEXT(RZL28-utc_offset/24,"YYYYMMDD")&amp;"*"" /stext="" "&amp;TEXT(RZL28-utc_offset/24,"HH")&amp;search_regexp&amp;""""</f>
        <v>#VALUE!</v>
      </c>
      <c r="SAJ28" s="234" t="e">
        <f>astrogrep_path&amp;" /e /r /s /spath="&amp;search_path&amp;" /stypes=""app*"&amp;RZF28&amp;"*"&amp;TEXT(RZM28-utc_offset/24,"YYYYMMDD")&amp;"*"" /stext="" "&amp;TEXT(RZM28-utc_offset/24,"HH")&amp;search_regexp&amp;""""</f>
        <v>#REF!</v>
      </c>
      <c r="SAK28" s="234" t="e">
        <f>astrogrep_path&amp;" /e /r /s /spath="&amp;search_path&amp;" /stypes=""app*"&amp;RZG28&amp;"*"&amp;TEXT(RZN28-utc_offset/24,"YYYYMMDD")&amp;"*"" /stext="" "&amp;TEXT(RZN28-utc_offset/24,"HH")&amp;search_regexp&amp;""""</f>
        <v>#REF!</v>
      </c>
      <c r="SAL28" s="234" t="e">
        <f>astrogrep_path&amp;" /e /r /s /spath="&amp;search_path&amp;" /stypes=""app*"&amp;RZH28&amp;"*"&amp;TEXT(RZO28-utc_offset/24,"YYYYMMDD")&amp;"*"" /stext="" "&amp;TEXT(RZO28-utc_offset/24,"HH")&amp;search_regexp&amp;""""</f>
        <v>#REF!</v>
      </c>
      <c r="SAM28" s="234" t="e">
        <f>astrogrep_path&amp;" /e /r /s /spath="&amp;search_path&amp;" /stypes=""app*"&amp;RZI28&amp;"*"&amp;TEXT(RZP28-utc_offset/24,"YYYYMMDD")&amp;"*"" /stext="" "&amp;TEXT(RZP28-utc_offset/24,"HH")&amp;search_regexp&amp;""""</f>
        <v>#REF!</v>
      </c>
      <c r="SAN28" s="234" t="e">
        <f>astrogrep_path&amp;" /e /r /s /spath="&amp;search_path&amp;" /stypes=""app*"&amp;RZJ28&amp;"*"&amp;TEXT(RZQ28-utc_offset/24,"YYYYMMDD")&amp;"*"" /stext="" "&amp;TEXT(RZQ28-utc_offset/24,"HH")&amp;search_regexp&amp;""""</f>
        <v>#REF!</v>
      </c>
      <c r="SAO28" s="234" t="e">
        <f>astrogrep_path&amp;" /e /r /s /spath="&amp;search_path&amp;" /stypes=""app*"&amp;RZK28&amp;"*"&amp;TEXT(RZR28-utc_offset/24,"YYYYMMDD")&amp;"*"" /stext="" "&amp;TEXT(RZR28-utc_offset/24,"HH")&amp;search_regexp&amp;""""</f>
        <v>#REF!</v>
      </c>
      <c r="SAP28" s="234" t="e">
        <f>astrogrep_path&amp;" /e /r /s /spath="&amp;search_path&amp;" /stypes=""app*"&amp;RZL28&amp;"*"&amp;TEXT(RZS28-utc_offset/24,"YYYYMMDD")&amp;"*"" /stext="" "&amp;TEXT(RZS28-utc_offset/24,"HH")&amp;search_regexp&amp;""""</f>
        <v>#REF!</v>
      </c>
      <c r="SAQ28" s="234" t="e">
        <f>astrogrep_path&amp;" /e /r /s /spath="&amp;search_path&amp;" /stypes=""app*"&amp;RZM28&amp;"*"&amp;TEXT(RZT28-utc_offset/24,"YYYYMMDD")&amp;"*"" /stext="" "&amp;TEXT(RZT28-utc_offset/24,"HH")&amp;search_regexp&amp;""""</f>
        <v>#REF!</v>
      </c>
      <c r="SAR28" s="234" t="e">
        <f>astrogrep_path&amp;" /e /r /s /spath="&amp;search_path&amp;" /stypes=""app*"&amp;RZN28&amp;"*"&amp;TEXT(RZU28-utc_offset/24,"YYYYMMDD")&amp;"*"" /stext="" "&amp;TEXT(RZU28-utc_offset/24,"HH")&amp;search_regexp&amp;""""</f>
        <v>#REF!</v>
      </c>
      <c r="SAS28" s="234" t="e">
        <f>astrogrep_path&amp;" /e /r /s /spath="&amp;search_path&amp;" /stypes=""app*"&amp;RZO28&amp;"*"&amp;TEXT(RZV28-utc_offset/24,"YYYYMMDD")&amp;"*"" /stext="" "&amp;TEXT(RZV28-utc_offset/24,"HH")&amp;search_regexp&amp;""""</f>
        <v>#REF!</v>
      </c>
      <c r="SAT28" s="234" t="e">
        <f>astrogrep_path&amp;" /e /r /s /spath="&amp;search_path&amp;" /stypes=""app*"&amp;RZP28&amp;"*"&amp;TEXT(RZW28-utc_offset/24,"YYYYMMDD")&amp;"*"" /stext="" "&amp;TEXT(RZW28-utc_offset/24,"HH")&amp;search_regexp&amp;""""</f>
        <v>#REF!</v>
      </c>
      <c r="SAU28" s="234" t="e">
        <f>astrogrep_path&amp;" /e /r /s /spath="&amp;search_path&amp;" /stypes=""app*"&amp;RZQ28&amp;"*"&amp;TEXT(RZX28-utc_offset/24,"YYYYMMDD")&amp;"*"" /stext="" "&amp;TEXT(RZX28-utc_offset/24,"HH")&amp;search_regexp&amp;""""</f>
        <v>#REF!</v>
      </c>
      <c r="SAV28" s="234" t="e">
        <f>astrogrep_path&amp;" /e /r /s /spath="&amp;search_path&amp;" /stypes=""app*"&amp;RZR28&amp;"*"&amp;TEXT(RZY28-utc_offset/24,"YYYYMMDD")&amp;"*"" /stext="" "&amp;TEXT(RZY28-utc_offset/24,"HH")&amp;search_regexp&amp;""""</f>
        <v>#REF!</v>
      </c>
      <c r="SAW28" s="234" t="e">
        <f>astrogrep_path&amp;" /e /r /s /spath="&amp;search_path&amp;" /stypes=""app*"&amp;RZS28&amp;"*"&amp;TEXT(RZZ28-utc_offset/24,"YYYYMMDD")&amp;"*"" /stext="" "&amp;TEXT(RZZ28-utc_offset/24,"HH")&amp;search_regexp&amp;""""</f>
        <v>#REF!</v>
      </c>
      <c r="SAX28" s="234" t="e">
        <f>astrogrep_path&amp;" /e /r /s /spath="&amp;search_path&amp;" /stypes=""app*"&amp;RZT28&amp;"*"&amp;TEXT(SAA28-utc_offset/24,"YYYYMMDD")&amp;"*"" /stext="" "&amp;TEXT(SAA28-utc_offset/24,"HH")&amp;search_regexp&amp;""""</f>
        <v>#REF!</v>
      </c>
      <c r="SAY28" s="234" t="e">
        <f>astrogrep_path&amp;" /e /r /s /spath="&amp;search_path&amp;" /stypes=""app*"&amp;RZU28&amp;"*"&amp;TEXT(SAB28-utc_offset/24,"YYYYMMDD")&amp;"*"" /stext="" "&amp;TEXT(SAB28-utc_offset/24,"HH")&amp;search_regexp&amp;""""</f>
        <v>#REF!</v>
      </c>
      <c r="SAZ28" s="234" t="e">
        <f>astrogrep_path&amp;" /e /r /s /spath="&amp;search_path&amp;" /stypes=""app*"&amp;RZV28&amp;"*"&amp;TEXT(SAC28-utc_offset/24,"YYYYMMDD")&amp;"*"" /stext="" "&amp;TEXT(SAC28-utc_offset/24,"HH")&amp;search_regexp&amp;""""</f>
        <v>#REF!</v>
      </c>
      <c r="SBA28" s="234" t="e">
        <f>astrogrep_path&amp;" /e /r /s /spath="&amp;search_path&amp;" /stypes=""app*"&amp;RZW28&amp;"*"&amp;TEXT(SAD28-utc_offset/24,"YYYYMMDD")&amp;"*"" /stext="" "&amp;TEXT(SAD28-utc_offset/24,"HH")&amp;search_regexp&amp;""""</f>
        <v>#REF!</v>
      </c>
      <c r="SBB28" s="234" t="e">
        <f>astrogrep_path&amp;" /e /r /s /spath="&amp;search_path&amp;" /stypes=""app*"&amp;RZX28&amp;"*"&amp;TEXT(SAE28-utc_offset/24,"YYYYMMDD")&amp;"*"" /stext="" "&amp;TEXT(SAE28-utc_offset/24,"HH")&amp;search_regexp&amp;""""</f>
        <v>#REF!</v>
      </c>
      <c r="SBC28" s="234" t="e">
        <f>astrogrep_path&amp;" /e /r /s /spath="&amp;search_path&amp;" /stypes=""app*"&amp;RZY28&amp;"*"&amp;TEXT(SAF28-utc_offset/24,"YYYYMMDD")&amp;"*"" /stext="" "&amp;TEXT(SAF28-utc_offset/24,"HH")&amp;search_regexp&amp;""""</f>
        <v>#REF!</v>
      </c>
      <c r="SBD28" s="234" t="e">
        <f>astrogrep_path&amp;" /e /r /s /spath="&amp;search_path&amp;" /stypes=""app*"&amp;RZZ28&amp;"*"&amp;TEXT(SAG28-utc_offset/24,"YYYYMMDD")&amp;"*"" /stext="" "&amp;TEXT(SAG28-utc_offset/24,"HH")&amp;search_regexp&amp;""""</f>
        <v>#REF!</v>
      </c>
      <c r="SBE28" s="234" t="e">
        <f>astrogrep_path&amp;" /e /r /s /spath="&amp;search_path&amp;" /stypes=""app*"&amp;SAA28&amp;"*"&amp;TEXT(SAH28-utc_offset/24,"YYYYMMDD")&amp;"*"" /stext="" "&amp;TEXT(SAH28-utc_offset/24,"HH")&amp;search_regexp&amp;""""</f>
        <v>#VALUE!</v>
      </c>
      <c r="SBF28" s="234" t="e">
        <f>astrogrep_path&amp;" /e /r /s /spath="&amp;search_path&amp;" /stypes=""app*"&amp;SAB28&amp;"*"&amp;TEXT(SAI28-utc_offset/24,"YYYYMMDD")&amp;"*"" /stext="" "&amp;TEXT(SAI28-utc_offset/24,"HH")&amp;search_regexp&amp;""""</f>
        <v>#VALUE!</v>
      </c>
      <c r="SBG28" s="234" t="e">
        <f>astrogrep_path&amp;" /e /r /s /spath="&amp;search_path&amp;" /stypes=""app*"&amp;SAC28&amp;"*"&amp;TEXT(SAJ28-utc_offset/24,"YYYYMMDD")&amp;"*"" /stext="" "&amp;TEXT(SAJ28-utc_offset/24,"HH")&amp;search_regexp&amp;""""</f>
        <v>#REF!</v>
      </c>
      <c r="SBH28" s="234" t="e">
        <f>astrogrep_path&amp;" /e /r /s /spath="&amp;search_path&amp;" /stypes=""app*"&amp;SAD28&amp;"*"&amp;TEXT(SAK28-utc_offset/24,"YYYYMMDD")&amp;"*"" /stext="" "&amp;TEXT(SAK28-utc_offset/24,"HH")&amp;search_regexp&amp;""""</f>
        <v>#REF!</v>
      </c>
      <c r="SBI28" s="234" t="e">
        <f>astrogrep_path&amp;" /e /r /s /spath="&amp;search_path&amp;" /stypes=""app*"&amp;SAE28&amp;"*"&amp;TEXT(SAL28-utc_offset/24,"YYYYMMDD")&amp;"*"" /stext="" "&amp;TEXT(SAL28-utc_offset/24,"HH")&amp;search_regexp&amp;""""</f>
        <v>#VALUE!</v>
      </c>
      <c r="SBJ28" s="234" t="e">
        <f>astrogrep_path&amp;" /e /r /s /spath="&amp;search_path&amp;" /stypes=""app*"&amp;SAF28&amp;"*"&amp;TEXT(SAM28-utc_offset/24,"YYYYMMDD")&amp;"*"" /stext="" "&amp;TEXT(SAM28-utc_offset/24,"HH")&amp;search_regexp&amp;""""</f>
        <v>#VALUE!</v>
      </c>
      <c r="SBK28" s="234" t="e">
        <f>astrogrep_path&amp;" /e /r /s /spath="&amp;search_path&amp;" /stypes=""app*"&amp;SAG28&amp;"*"&amp;TEXT(SAN28-utc_offset/24,"YYYYMMDD")&amp;"*"" /stext="" "&amp;TEXT(SAN28-utc_offset/24,"HH")&amp;search_regexp&amp;""""</f>
        <v>#VALUE!</v>
      </c>
      <c r="SBL28" s="234" t="e">
        <f>astrogrep_path&amp;" /e /r /s /spath="&amp;search_path&amp;" /stypes=""app*"&amp;SAH28&amp;"*"&amp;TEXT(SAO28-utc_offset/24,"YYYYMMDD")&amp;"*"" /stext="" "&amp;TEXT(SAO28-utc_offset/24,"HH")&amp;search_regexp&amp;""""</f>
        <v>#VALUE!</v>
      </c>
      <c r="SBM28" s="234" t="e">
        <f>astrogrep_path&amp;" /e /r /s /spath="&amp;search_path&amp;" /stypes=""app*"&amp;SAI28&amp;"*"&amp;TEXT(SAP28-utc_offset/24,"YYYYMMDD")&amp;"*"" /stext="" "&amp;TEXT(SAP28-utc_offset/24,"HH")&amp;search_regexp&amp;""""</f>
        <v>#VALUE!</v>
      </c>
      <c r="SBN28" s="234" t="e">
        <f>astrogrep_path&amp;" /e /r /s /spath="&amp;search_path&amp;" /stypes=""app*"&amp;SAJ28&amp;"*"&amp;TEXT(SAQ28-utc_offset/24,"YYYYMMDD")&amp;"*"" /stext="" "&amp;TEXT(SAQ28-utc_offset/24,"HH")&amp;search_regexp&amp;""""</f>
        <v>#REF!</v>
      </c>
      <c r="SBO28" s="234" t="e">
        <f>astrogrep_path&amp;" /e /r /s /spath="&amp;search_path&amp;" /stypes=""app*"&amp;SAK28&amp;"*"&amp;TEXT(SAR28-utc_offset/24,"YYYYMMDD")&amp;"*"" /stext="" "&amp;TEXT(SAR28-utc_offset/24,"HH")&amp;search_regexp&amp;""""</f>
        <v>#REF!</v>
      </c>
      <c r="SBP28" s="234" t="e">
        <f>astrogrep_path&amp;" /e /r /s /spath="&amp;search_path&amp;" /stypes=""app*"&amp;SAL28&amp;"*"&amp;TEXT(SAS28-utc_offset/24,"YYYYMMDD")&amp;"*"" /stext="" "&amp;TEXT(SAS28-utc_offset/24,"HH")&amp;search_regexp&amp;""""</f>
        <v>#REF!</v>
      </c>
      <c r="SBQ28" s="234" t="e">
        <f>astrogrep_path&amp;" /e /r /s /spath="&amp;search_path&amp;" /stypes=""app*"&amp;SAM28&amp;"*"&amp;TEXT(SAT28-utc_offset/24,"YYYYMMDD")&amp;"*"" /stext="" "&amp;TEXT(SAT28-utc_offset/24,"HH")&amp;search_regexp&amp;""""</f>
        <v>#REF!</v>
      </c>
      <c r="SBR28" s="234" t="e">
        <f>astrogrep_path&amp;" /e /r /s /spath="&amp;search_path&amp;" /stypes=""app*"&amp;SAN28&amp;"*"&amp;TEXT(SAU28-utc_offset/24,"YYYYMMDD")&amp;"*"" /stext="" "&amp;TEXT(SAU28-utc_offset/24,"HH")&amp;search_regexp&amp;""""</f>
        <v>#REF!</v>
      </c>
      <c r="SBS28" s="234" t="e">
        <f>astrogrep_path&amp;" /e /r /s /spath="&amp;search_path&amp;" /stypes=""app*"&amp;SAO28&amp;"*"&amp;TEXT(SAV28-utc_offset/24,"YYYYMMDD")&amp;"*"" /stext="" "&amp;TEXT(SAV28-utc_offset/24,"HH")&amp;search_regexp&amp;""""</f>
        <v>#REF!</v>
      </c>
      <c r="SBT28" s="234" t="e">
        <f>astrogrep_path&amp;" /e /r /s /spath="&amp;search_path&amp;" /stypes=""app*"&amp;SAP28&amp;"*"&amp;TEXT(SAW28-utc_offset/24,"YYYYMMDD")&amp;"*"" /stext="" "&amp;TEXT(SAW28-utc_offset/24,"HH")&amp;search_regexp&amp;""""</f>
        <v>#REF!</v>
      </c>
      <c r="SBU28" s="234" t="e">
        <f>astrogrep_path&amp;" /e /r /s /spath="&amp;search_path&amp;" /stypes=""app*"&amp;SAQ28&amp;"*"&amp;TEXT(SAX28-utc_offset/24,"YYYYMMDD")&amp;"*"" /stext="" "&amp;TEXT(SAX28-utc_offset/24,"HH")&amp;search_regexp&amp;""""</f>
        <v>#REF!</v>
      </c>
      <c r="SBV28" s="234" t="e">
        <f>astrogrep_path&amp;" /e /r /s /spath="&amp;search_path&amp;" /stypes=""app*"&amp;SAR28&amp;"*"&amp;TEXT(SAY28-utc_offset/24,"YYYYMMDD")&amp;"*"" /stext="" "&amp;TEXT(SAY28-utc_offset/24,"HH")&amp;search_regexp&amp;""""</f>
        <v>#REF!</v>
      </c>
      <c r="SBW28" s="234" t="e">
        <f>astrogrep_path&amp;" /e /r /s /spath="&amp;search_path&amp;" /stypes=""app*"&amp;SAS28&amp;"*"&amp;TEXT(SAZ28-utc_offset/24,"YYYYMMDD")&amp;"*"" /stext="" "&amp;TEXT(SAZ28-utc_offset/24,"HH")&amp;search_regexp&amp;""""</f>
        <v>#REF!</v>
      </c>
      <c r="SBX28" s="234" t="e">
        <f>astrogrep_path&amp;" /e /r /s /spath="&amp;search_path&amp;" /stypes=""app*"&amp;SAT28&amp;"*"&amp;TEXT(SBA28-utc_offset/24,"YYYYMMDD")&amp;"*"" /stext="" "&amp;TEXT(SBA28-utc_offset/24,"HH")&amp;search_regexp&amp;""""</f>
        <v>#REF!</v>
      </c>
      <c r="SBY28" s="234" t="e">
        <f>astrogrep_path&amp;" /e /r /s /spath="&amp;search_path&amp;" /stypes=""app*"&amp;SAU28&amp;"*"&amp;TEXT(SBB28-utc_offset/24,"YYYYMMDD")&amp;"*"" /stext="" "&amp;TEXT(SBB28-utc_offset/24,"HH")&amp;search_regexp&amp;""""</f>
        <v>#REF!</v>
      </c>
      <c r="SBZ28" s="234" t="e">
        <f>astrogrep_path&amp;" /e /r /s /spath="&amp;search_path&amp;" /stypes=""app*"&amp;SAV28&amp;"*"&amp;TEXT(SBC28-utc_offset/24,"YYYYMMDD")&amp;"*"" /stext="" "&amp;TEXT(SBC28-utc_offset/24,"HH")&amp;search_regexp&amp;""""</f>
        <v>#REF!</v>
      </c>
      <c r="SCA28" s="234" t="e">
        <f>astrogrep_path&amp;" /e /r /s /spath="&amp;search_path&amp;" /stypes=""app*"&amp;SAW28&amp;"*"&amp;TEXT(SBD28-utc_offset/24,"YYYYMMDD")&amp;"*"" /stext="" "&amp;TEXT(SBD28-utc_offset/24,"HH")&amp;search_regexp&amp;""""</f>
        <v>#REF!</v>
      </c>
      <c r="SCB28" s="234" t="e">
        <f>astrogrep_path&amp;" /e /r /s /spath="&amp;search_path&amp;" /stypes=""app*"&amp;SAX28&amp;"*"&amp;TEXT(SBE28-utc_offset/24,"YYYYMMDD")&amp;"*"" /stext="" "&amp;TEXT(SBE28-utc_offset/24,"HH")&amp;search_regexp&amp;""""</f>
        <v>#REF!</v>
      </c>
      <c r="SCC28" s="234" t="e">
        <f>astrogrep_path&amp;" /e /r /s /spath="&amp;search_path&amp;" /stypes=""app*"&amp;SAY28&amp;"*"&amp;TEXT(SBF28-utc_offset/24,"YYYYMMDD")&amp;"*"" /stext="" "&amp;TEXT(SBF28-utc_offset/24,"HH")&amp;search_regexp&amp;""""</f>
        <v>#REF!</v>
      </c>
      <c r="SCD28" s="234" t="e">
        <f>astrogrep_path&amp;" /e /r /s /spath="&amp;search_path&amp;" /stypes=""app*"&amp;SAZ28&amp;"*"&amp;TEXT(SBG28-utc_offset/24,"YYYYMMDD")&amp;"*"" /stext="" "&amp;TEXT(SBG28-utc_offset/24,"HH")&amp;search_regexp&amp;""""</f>
        <v>#REF!</v>
      </c>
      <c r="SCE28" s="234" t="e">
        <f>astrogrep_path&amp;" /e /r /s /spath="&amp;search_path&amp;" /stypes=""app*"&amp;SBA28&amp;"*"&amp;TEXT(SBH28-utc_offset/24,"YYYYMMDD")&amp;"*"" /stext="" "&amp;TEXT(SBH28-utc_offset/24,"HH")&amp;search_regexp&amp;""""</f>
        <v>#REF!</v>
      </c>
      <c r="SCF28" s="234" t="e">
        <f>astrogrep_path&amp;" /e /r /s /spath="&amp;search_path&amp;" /stypes=""app*"&amp;SBB28&amp;"*"&amp;TEXT(SBI28-utc_offset/24,"YYYYMMDD")&amp;"*"" /stext="" "&amp;TEXT(SBI28-utc_offset/24,"HH")&amp;search_regexp&amp;""""</f>
        <v>#REF!</v>
      </c>
      <c r="SCG28" s="234" t="e">
        <f>astrogrep_path&amp;" /e /r /s /spath="&amp;search_path&amp;" /stypes=""app*"&amp;SBC28&amp;"*"&amp;TEXT(SBJ28-utc_offset/24,"YYYYMMDD")&amp;"*"" /stext="" "&amp;TEXT(SBJ28-utc_offset/24,"HH")&amp;search_regexp&amp;""""</f>
        <v>#REF!</v>
      </c>
      <c r="SCH28" s="234" t="e">
        <f>astrogrep_path&amp;" /e /r /s /spath="&amp;search_path&amp;" /stypes=""app*"&amp;SBD28&amp;"*"&amp;TEXT(SBK28-utc_offset/24,"YYYYMMDD")&amp;"*"" /stext="" "&amp;TEXT(SBK28-utc_offset/24,"HH")&amp;search_regexp&amp;""""</f>
        <v>#REF!</v>
      </c>
      <c r="SCI28" s="234" t="e">
        <f>astrogrep_path&amp;" /e /r /s /spath="&amp;search_path&amp;" /stypes=""app*"&amp;SBE28&amp;"*"&amp;TEXT(SBL28-utc_offset/24,"YYYYMMDD")&amp;"*"" /stext="" "&amp;TEXT(SBL28-utc_offset/24,"HH")&amp;search_regexp&amp;""""</f>
        <v>#VALUE!</v>
      </c>
      <c r="SCJ28" s="234" t="e">
        <f>astrogrep_path&amp;" /e /r /s /spath="&amp;search_path&amp;" /stypes=""app*"&amp;SBF28&amp;"*"&amp;TEXT(SBM28-utc_offset/24,"YYYYMMDD")&amp;"*"" /stext="" "&amp;TEXT(SBM28-utc_offset/24,"HH")&amp;search_regexp&amp;""""</f>
        <v>#VALUE!</v>
      </c>
      <c r="SCK28" s="234" t="e">
        <f>astrogrep_path&amp;" /e /r /s /spath="&amp;search_path&amp;" /stypes=""app*"&amp;SBG28&amp;"*"&amp;TEXT(SBN28-utc_offset/24,"YYYYMMDD")&amp;"*"" /stext="" "&amp;TEXT(SBN28-utc_offset/24,"HH")&amp;search_regexp&amp;""""</f>
        <v>#REF!</v>
      </c>
      <c r="SCL28" s="234" t="e">
        <f>astrogrep_path&amp;" /e /r /s /spath="&amp;search_path&amp;" /stypes=""app*"&amp;SBH28&amp;"*"&amp;TEXT(SBO28-utc_offset/24,"YYYYMMDD")&amp;"*"" /stext="" "&amp;TEXT(SBO28-utc_offset/24,"HH")&amp;search_regexp&amp;""""</f>
        <v>#REF!</v>
      </c>
      <c r="SCM28" s="234" t="e">
        <f>astrogrep_path&amp;" /e /r /s /spath="&amp;search_path&amp;" /stypes=""app*"&amp;SBI28&amp;"*"&amp;TEXT(SBP28-utc_offset/24,"YYYYMMDD")&amp;"*"" /stext="" "&amp;TEXT(SBP28-utc_offset/24,"HH")&amp;search_regexp&amp;""""</f>
        <v>#VALUE!</v>
      </c>
      <c r="SCN28" s="234" t="e">
        <f>astrogrep_path&amp;" /e /r /s /spath="&amp;search_path&amp;" /stypes=""app*"&amp;SBJ28&amp;"*"&amp;TEXT(SBQ28-utc_offset/24,"YYYYMMDD")&amp;"*"" /stext="" "&amp;TEXT(SBQ28-utc_offset/24,"HH")&amp;search_regexp&amp;""""</f>
        <v>#VALUE!</v>
      </c>
      <c r="SCO28" s="234" t="e">
        <f>astrogrep_path&amp;" /e /r /s /spath="&amp;search_path&amp;" /stypes=""app*"&amp;SBK28&amp;"*"&amp;TEXT(SBR28-utc_offset/24,"YYYYMMDD")&amp;"*"" /stext="" "&amp;TEXT(SBR28-utc_offset/24,"HH")&amp;search_regexp&amp;""""</f>
        <v>#VALUE!</v>
      </c>
      <c r="SCP28" s="234" t="e">
        <f>astrogrep_path&amp;" /e /r /s /spath="&amp;search_path&amp;" /stypes=""app*"&amp;SBL28&amp;"*"&amp;TEXT(SBS28-utc_offset/24,"YYYYMMDD")&amp;"*"" /stext="" "&amp;TEXT(SBS28-utc_offset/24,"HH")&amp;search_regexp&amp;""""</f>
        <v>#VALUE!</v>
      </c>
      <c r="SCQ28" s="234" t="e">
        <f>astrogrep_path&amp;" /e /r /s /spath="&amp;search_path&amp;" /stypes=""app*"&amp;SBM28&amp;"*"&amp;TEXT(SBT28-utc_offset/24,"YYYYMMDD")&amp;"*"" /stext="" "&amp;TEXT(SBT28-utc_offset/24,"HH")&amp;search_regexp&amp;""""</f>
        <v>#VALUE!</v>
      </c>
      <c r="SCR28" s="234" t="e">
        <f>astrogrep_path&amp;" /e /r /s /spath="&amp;search_path&amp;" /stypes=""app*"&amp;SBN28&amp;"*"&amp;TEXT(SBU28-utc_offset/24,"YYYYMMDD")&amp;"*"" /stext="" "&amp;TEXT(SBU28-utc_offset/24,"HH")&amp;search_regexp&amp;""""</f>
        <v>#REF!</v>
      </c>
      <c r="SCS28" s="234" t="e">
        <f>astrogrep_path&amp;" /e /r /s /spath="&amp;search_path&amp;" /stypes=""app*"&amp;SBO28&amp;"*"&amp;TEXT(SBV28-utc_offset/24,"YYYYMMDD")&amp;"*"" /stext="" "&amp;TEXT(SBV28-utc_offset/24,"HH")&amp;search_regexp&amp;""""</f>
        <v>#REF!</v>
      </c>
      <c r="SCT28" s="234" t="e">
        <f>astrogrep_path&amp;" /e /r /s /spath="&amp;search_path&amp;" /stypes=""app*"&amp;SBP28&amp;"*"&amp;TEXT(SBW28-utc_offset/24,"YYYYMMDD")&amp;"*"" /stext="" "&amp;TEXT(SBW28-utc_offset/24,"HH")&amp;search_regexp&amp;""""</f>
        <v>#REF!</v>
      </c>
      <c r="SCU28" s="234" t="e">
        <f>astrogrep_path&amp;" /e /r /s /spath="&amp;search_path&amp;" /stypes=""app*"&amp;SBQ28&amp;"*"&amp;TEXT(SBX28-utc_offset/24,"YYYYMMDD")&amp;"*"" /stext="" "&amp;TEXT(SBX28-utc_offset/24,"HH")&amp;search_regexp&amp;""""</f>
        <v>#REF!</v>
      </c>
      <c r="SCV28" s="234" t="e">
        <f>astrogrep_path&amp;" /e /r /s /spath="&amp;search_path&amp;" /stypes=""app*"&amp;SBR28&amp;"*"&amp;TEXT(SBY28-utc_offset/24,"YYYYMMDD")&amp;"*"" /stext="" "&amp;TEXT(SBY28-utc_offset/24,"HH")&amp;search_regexp&amp;""""</f>
        <v>#REF!</v>
      </c>
      <c r="SCW28" s="234" t="e">
        <f>astrogrep_path&amp;" /e /r /s /spath="&amp;search_path&amp;" /stypes=""app*"&amp;SBS28&amp;"*"&amp;TEXT(SBZ28-utc_offset/24,"YYYYMMDD")&amp;"*"" /stext="" "&amp;TEXT(SBZ28-utc_offset/24,"HH")&amp;search_regexp&amp;""""</f>
        <v>#REF!</v>
      </c>
      <c r="SCX28" s="234" t="e">
        <f>astrogrep_path&amp;" /e /r /s /spath="&amp;search_path&amp;" /stypes=""app*"&amp;SBT28&amp;"*"&amp;TEXT(SCA28-utc_offset/24,"YYYYMMDD")&amp;"*"" /stext="" "&amp;TEXT(SCA28-utc_offset/24,"HH")&amp;search_regexp&amp;""""</f>
        <v>#REF!</v>
      </c>
      <c r="SCY28" s="234" t="e">
        <f>astrogrep_path&amp;" /e /r /s /spath="&amp;search_path&amp;" /stypes=""app*"&amp;SBU28&amp;"*"&amp;TEXT(SCB28-utc_offset/24,"YYYYMMDD")&amp;"*"" /stext="" "&amp;TEXT(SCB28-utc_offset/24,"HH")&amp;search_regexp&amp;""""</f>
        <v>#REF!</v>
      </c>
      <c r="SCZ28" s="234" t="e">
        <f>astrogrep_path&amp;" /e /r /s /spath="&amp;search_path&amp;" /stypes=""app*"&amp;SBV28&amp;"*"&amp;TEXT(SCC28-utc_offset/24,"YYYYMMDD")&amp;"*"" /stext="" "&amp;TEXT(SCC28-utc_offset/24,"HH")&amp;search_regexp&amp;""""</f>
        <v>#REF!</v>
      </c>
      <c r="SDA28" s="234" t="e">
        <f>astrogrep_path&amp;" /e /r /s /spath="&amp;search_path&amp;" /stypes=""app*"&amp;SBW28&amp;"*"&amp;TEXT(SCD28-utc_offset/24,"YYYYMMDD")&amp;"*"" /stext="" "&amp;TEXT(SCD28-utc_offset/24,"HH")&amp;search_regexp&amp;""""</f>
        <v>#REF!</v>
      </c>
      <c r="SDB28" s="234" t="e">
        <f>astrogrep_path&amp;" /e /r /s /spath="&amp;search_path&amp;" /stypes=""app*"&amp;SBX28&amp;"*"&amp;TEXT(SCE28-utc_offset/24,"YYYYMMDD")&amp;"*"" /stext="" "&amp;TEXT(SCE28-utc_offset/24,"HH")&amp;search_regexp&amp;""""</f>
        <v>#REF!</v>
      </c>
      <c r="SDC28" s="234" t="e">
        <f>astrogrep_path&amp;" /e /r /s /spath="&amp;search_path&amp;" /stypes=""app*"&amp;SBY28&amp;"*"&amp;TEXT(SCF28-utc_offset/24,"YYYYMMDD")&amp;"*"" /stext="" "&amp;TEXT(SCF28-utc_offset/24,"HH")&amp;search_regexp&amp;""""</f>
        <v>#REF!</v>
      </c>
      <c r="SDD28" s="234" t="e">
        <f>astrogrep_path&amp;" /e /r /s /spath="&amp;search_path&amp;" /stypes=""app*"&amp;SBZ28&amp;"*"&amp;TEXT(SCG28-utc_offset/24,"YYYYMMDD")&amp;"*"" /stext="" "&amp;TEXT(SCG28-utc_offset/24,"HH")&amp;search_regexp&amp;""""</f>
        <v>#REF!</v>
      </c>
      <c r="SDE28" s="234" t="e">
        <f>astrogrep_path&amp;" /e /r /s /spath="&amp;search_path&amp;" /stypes=""app*"&amp;SCA28&amp;"*"&amp;TEXT(SCH28-utc_offset/24,"YYYYMMDD")&amp;"*"" /stext="" "&amp;TEXT(SCH28-utc_offset/24,"HH")&amp;search_regexp&amp;""""</f>
        <v>#REF!</v>
      </c>
      <c r="SDF28" s="234" t="e">
        <f>astrogrep_path&amp;" /e /r /s /spath="&amp;search_path&amp;" /stypes=""app*"&amp;SCB28&amp;"*"&amp;TEXT(SCI28-utc_offset/24,"YYYYMMDD")&amp;"*"" /stext="" "&amp;TEXT(SCI28-utc_offset/24,"HH")&amp;search_regexp&amp;""""</f>
        <v>#REF!</v>
      </c>
      <c r="SDG28" s="234" t="e">
        <f>astrogrep_path&amp;" /e /r /s /spath="&amp;search_path&amp;" /stypes=""app*"&amp;SCC28&amp;"*"&amp;TEXT(SCJ28-utc_offset/24,"YYYYMMDD")&amp;"*"" /stext="" "&amp;TEXT(SCJ28-utc_offset/24,"HH")&amp;search_regexp&amp;""""</f>
        <v>#REF!</v>
      </c>
      <c r="SDH28" s="234" t="e">
        <f>astrogrep_path&amp;" /e /r /s /spath="&amp;search_path&amp;" /stypes=""app*"&amp;SCD28&amp;"*"&amp;TEXT(SCK28-utc_offset/24,"YYYYMMDD")&amp;"*"" /stext="" "&amp;TEXT(SCK28-utc_offset/24,"HH")&amp;search_regexp&amp;""""</f>
        <v>#REF!</v>
      </c>
      <c r="SDI28" s="234" t="e">
        <f>astrogrep_path&amp;" /e /r /s /spath="&amp;search_path&amp;" /stypes=""app*"&amp;SCE28&amp;"*"&amp;TEXT(SCL28-utc_offset/24,"YYYYMMDD")&amp;"*"" /stext="" "&amp;TEXT(SCL28-utc_offset/24,"HH")&amp;search_regexp&amp;""""</f>
        <v>#REF!</v>
      </c>
      <c r="SDJ28" s="234" t="e">
        <f>astrogrep_path&amp;" /e /r /s /spath="&amp;search_path&amp;" /stypes=""app*"&amp;SCF28&amp;"*"&amp;TEXT(SCM28-utc_offset/24,"YYYYMMDD")&amp;"*"" /stext="" "&amp;TEXT(SCM28-utc_offset/24,"HH")&amp;search_regexp&amp;""""</f>
        <v>#REF!</v>
      </c>
      <c r="SDK28" s="234" t="e">
        <f>astrogrep_path&amp;" /e /r /s /spath="&amp;search_path&amp;" /stypes=""app*"&amp;SCG28&amp;"*"&amp;TEXT(SCN28-utc_offset/24,"YYYYMMDD")&amp;"*"" /stext="" "&amp;TEXT(SCN28-utc_offset/24,"HH")&amp;search_regexp&amp;""""</f>
        <v>#REF!</v>
      </c>
      <c r="SDL28" s="234" t="e">
        <f>astrogrep_path&amp;" /e /r /s /spath="&amp;search_path&amp;" /stypes=""app*"&amp;SCH28&amp;"*"&amp;TEXT(SCO28-utc_offset/24,"YYYYMMDD")&amp;"*"" /stext="" "&amp;TEXT(SCO28-utc_offset/24,"HH")&amp;search_regexp&amp;""""</f>
        <v>#REF!</v>
      </c>
      <c r="SDM28" s="234" t="e">
        <f>astrogrep_path&amp;" /e /r /s /spath="&amp;search_path&amp;" /stypes=""app*"&amp;SCI28&amp;"*"&amp;TEXT(SCP28-utc_offset/24,"YYYYMMDD")&amp;"*"" /stext="" "&amp;TEXT(SCP28-utc_offset/24,"HH")&amp;search_regexp&amp;""""</f>
        <v>#VALUE!</v>
      </c>
      <c r="SDN28" s="234" t="e">
        <f>astrogrep_path&amp;" /e /r /s /spath="&amp;search_path&amp;" /stypes=""app*"&amp;SCJ28&amp;"*"&amp;TEXT(SCQ28-utc_offset/24,"YYYYMMDD")&amp;"*"" /stext="" "&amp;TEXT(SCQ28-utc_offset/24,"HH")&amp;search_regexp&amp;""""</f>
        <v>#VALUE!</v>
      </c>
      <c r="SDO28" s="234" t="e">
        <f>astrogrep_path&amp;" /e /r /s /spath="&amp;search_path&amp;" /stypes=""app*"&amp;SCK28&amp;"*"&amp;TEXT(SCR28-utc_offset/24,"YYYYMMDD")&amp;"*"" /stext="" "&amp;TEXT(SCR28-utc_offset/24,"HH")&amp;search_regexp&amp;""""</f>
        <v>#REF!</v>
      </c>
      <c r="SDP28" s="234" t="e">
        <f>astrogrep_path&amp;" /e /r /s /spath="&amp;search_path&amp;" /stypes=""app*"&amp;SCL28&amp;"*"&amp;TEXT(SCS28-utc_offset/24,"YYYYMMDD")&amp;"*"" /stext="" "&amp;TEXT(SCS28-utc_offset/24,"HH")&amp;search_regexp&amp;""""</f>
        <v>#REF!</v>
      </c>
      <c r="SDQ28" s="234" t="e">
        <f>astrogrep_path&amp;" /e /r /s /spath="&amp;search_path&amp;" /stypes=""app*"&amp;SCM28&amp;"*"&amp;TEXT(SCT28-utc_offset/24,"YYYYMMDD")&amp;"*"" /stext="" "&amp;TEXT(SCT28-utc_offset/24,"HH")&amp;search_regexp&amp;""""</f>
        <v>#VALUE!</v>
      </c>
      <c r="SDR28" s="234" t="e">
        <f>astrogrep_path&amp;" /e /r /s /spath="&amp;search_path&amp;" /stypes=""app*"&amp;SCN28&amp;"*"&amp;TEXT(SCU28-utc_offset/24,"YYYYMMDD")&amp;"*"" /stext="" "&amp;TEXT(SCU28-utc_offset/24,"HH")&amp;search_regexp&amp;""""</f>
        <v>#VALUE!</v>
      </c>
      <c r="SDS28" s="234" t="e">
        <f>astrogrep_path&amp;" /e /r /s /spath="&amp;search_path&amp;" /stypes=""app*"&amp;SCO28&amp;"*"&amp;TEXT(SCV28-utc_offset/24,"YYYYMMDD")&amp;"*"" /stext="" "&amp;TEXT(SCV28-utc_offset/24,"HH")&amp;search_regexp&amp;""""</f>
        <v>#VALUE!</v>
      </c>
      <c r="SDT28" s="234" t="e">
        <f>astrogrep_path&amp;" /e /r /s /spath="&amp;search_path&amp;" /stypes=""app*"&amp;SCP28&amp;"*"&amp;TEXT(SCW28-utc_offset/24,"YYYYMMDD")&amp;"*"" /stext="" "&amp;TEXT(SCW28-utc_offset/24,"HH")&amp;search_regexp&amp;""""</f>
        <v>#VALUE!</v>
      </c>
      <c r="SDU28" s="234" t="e">
        <f>astrogrep_path&amp;" /e /r /s /spath="&amp;search_path&amp;" /stypes=""app*"&amp;SCQ28&amp;"*"&amp;TEXT(SCX28-utc_offset/24,"YYYYMMDD")&amp;"*"" /stext="" "&amp;TEXT(SCX28-utc_offset/24,"HH")&amp;search_regexp&amp;""""</f>
        <v>#VALUE!</v>
      </c>
      <c r="SDV28" s="234" t="e">
        <f>astrogrep_path&amp;" /e /r /s /spath="&amp;search_path&amp;" /stypes=""app*"&amp;SCR28&amp;"*"&amp;TEXT(SCY28-utc_offset/24,"YYYYMMDD")&amp;"*"" /stext="" "&amp;TEXT(SCY28-utc_offset/24,"HH")&amp;search_regexp&amp;""""</f>
        <v>#REF!</v>
      </c>
      <c r="SDW28" s="234" t="e">
        <f>astrogrep_path&amp;" /e /r /s /spath="&amp;search_path&amp;" /stypes=""app*"&amp;SCS28&amp;"*"&amp;TEXT(SCZ28-utc_offset/24,"YYYYMMDD")&amp;"*"" /stext="" "&amp;TEXT(SCZ28-utc_offset/24,"HH")&amp;search_regexp&amp;""""</f>
        <v>#REF!</v>
      </c>
      <c r="SDX28" s="234" t="e">
        <f>astrogrep_path&amp;" /e /r /s /spath="&amp;search_path&amp;" /stypes=""app*"&amp;SCT28&amp;"*"&amp;TEXT(SDA28-utc_offset/24,"YYYYMMDD")&amp;"*"" /stext="" "&amp;TEXT(SDA28-utc_offset/24,"HH")&amp;search_regexp&amp;""""</f>
        <v>#REF!</v>
      </c>
      <c r="SDY28" s="234" t="e">
        <f>astrogrep_path&amp;" /e /r /s /spath="&amp;search_path&amp;" /stypes=""app*"&amp;SCU28&amp;"*"&amp;TEXT(SDB28-utc_offset/24,"YYYYMMDD")&amp;"*"" /stext="" "&amp;TEXT(SDB28-utc_offset/24,"HH")&amp;search_regexp&amp;""""</f>
        <v>#REF!</v>
      </c>
      <c r="SDZ28" s="234" t="e">
        <f>astrogrep_path&amp;" /e /r /s /spath="&amp;search_path&amp;" /stypes=""app*"&amp;SCV28&amp;"*"&amp;TEXT(SDC28-utc_offset/24,"YYYYMMDD")&amp;"*"" /stext="" "&amp;TEXT(SDC28-utc_offset/24,"HH")&amp;search_regexp&amp;""""</f>
        <v>#REF!</v>
      </c>
      <c r="SEA28" s="234" t="e">
        <f>astrogrep_path&amp;" /e /r /s /spath="&amp;search_path&amp;" /stypes=""app*"&amp;SCW28&amp;"*"&amp;TEXT(SDD28-utc_offset/24,"YYYYMMDD")&amp;"*"" /stext="" "&amp;TEXT(SDD28-utc_offset/24,"HH")&amp;search_regexp&amp;""""</f>
        <v>#REF!</v>
      </c>
      <c r="SEB28" s="234" t="e">
        <f>astrogrep_path&amp;" /e /r /s /spath="&amp;search_path&amp;" /stypes=""app*"&amp;SCX28&amp;"*"&amp;TEXT(SDE28-utc_offset/24,"YYYYMMDD")&amp;"*"" /stext="" "&amp;TEXT(SDE28-utc_offset/24,"HH")&amp;search_regexp&amp;""""</f>
        <v>#REF!</v>
      </c>
      <c r="SEC28" s="234" t="e">
        <f>astrogrep_path&amp;" /e /r /s /spath="&amp;search_path&amp;" /stypes=""app*"&amp;SCY28&amp;"*"&amp;TEXT(SDF28-utc_offset/24,"YYYYMMDD")&amp;"*"" /stext="" "&amp;TEXT(SDF28-utc_offset/24,"HH")&amp;search_regexp&amp;""""</f>
        <v>#REF!</v>
      </c>
      <c r="SED28" s="234" t="e">
        <f>astrogrep_path&amp;" /e /r /s /spath="&amp;search_path&amp;" /stypes=""app*"&amp;SCZ28&amp;"*"&amp;TEXT(SDG28-utc_offset/24,"YYYYMMDD")&amp;"*"" /stext="" "&amp;TEXT(SDG28-utc_offset/24,"HH")&amp;search_regexp&amp;""""</f>
        <v>#REF!</v>
      </c>
      <c r="SEE28" s="234" t="e">
        <f>astrogrep_path&amp;" /e /r /s /spath="&amp;search_path&amp;" /stypes=""app*"&amp;SDA28&amp;"*"&amp;TEXT(SDH28-utc_offset/24,"YYYYMMDD")&amp;"*"" /stext="" "&amp;TEXT(SDH28-utc_offset/24,"HH")&amp;search_regexp&amp;""""</f>
        <v>#REF!</v>
      </c>
      <c r="SEF28" s="234" t="e">
        <f>astrogrep_path&amp;" /e /r /s /spath="&amp;search_path&amp;" /stypes=""app*"&amp;SDB28&amp;"*"&amp;TEXT(SDI28-utc_offset/24,"YYYYMMDD")&amp;"*"" /stext="" "&amp;TEXT(SDI28-utc_offset/24,"HH")&amp;search_regexp&amp;""""</f>
        <v>#REF!</v>
      </c>
      <c r="SEG28" s="234" t="e">
        <f>astrogrep_path&amp;" /e /r /s /spath="&amp;search_path&amp;" /stypes=""app*"&amp;SDC28&amp;"*"&amp;TEXT(SDJ28-utc_offset/24,"YYYYMMDD")&amp;"*"" /stext="" "&amp;TEXT(SDJ28-utc_offset/24,"HH")&amp;search_regexp&amp;""""</f>
        <v>#REF!</v>
      </c>
      <c r="SEH28" s="234" t="e">
        <f>astrogrep_path&amp;" /e /r /s /spath="&amp;search_path&amp;" /stypes=""app*"&amp;SDD28&amp;"*"&amp;TEXT(SDK28-utc_offset/24,"YYYYMMDD")&amp;"*"" /stext="" "&amp;TEXT(SDK28-utc_offset/24,"HH")&amp;search_regexp&amp;""""</f>
        <v>#REF!</v>
      </c>
      <c r="SEI28" s="234" t="e">
        <f>astrogrep_path&amp;" /e /r /s /spath="&amp;search_path&amp;" /stypes=""app*"&amp;SDE28&amp;"*"&amp;TEXT(SDL28-utc_offset/24,"YYYYMMDD")&amp;"*"" /stext="" "&amp;TEXT(SDL28-utc_offset/24,"HH")&amp;search_regexp&amp;""""</f>
        <v>#REF!</v>
      </c>
      <c r="SEJ28" s="234" t="e">
        <f>astrogrep_path&amp;" /e /r /s /spath="&amp;search_path&amp;" /stypes=""app*"&amp;SDF28&amp;"*"&amp;TEXT(SDM28-utc_offset/24,"YYYYMMDD")&amp;"*"" /stext="" "&amp;TEXT(SDM28-utc_offset/24,"HH")&amp;search_regexp&amp;""""</f>
        <v>#REF!</v>
      </c>
      <c r="SEK28" s="234" t="e">
        <f>astrogrep_path&amp;" /e /r /s /spath="&amp;search_path&amp;" /stypes=""app*"&amp;SDG28&amp;"*"&amp;TEXT(SDN28-utc_offset/24,"YYYYMMDD")&amp;"*"" /stext="" "&amp;TEXT(SDN28-utc_offset/24,"HH")&amp;search_regexp&amp;""""</f>
        <v>#REF!</v>
      </c>
      <c r="SEL28" s="234" t="e">
        <f>astrogrep_path&amp;" /e /r /s /spath="&amp;search_path&amp;" /stypes=""app*"&amp;SDH28&amp;"*"&amp;TEXT(SDO28-utc_offset/24,"YYYYMMDD")&amp;"*"" /stext="" "&amp;TEXT(SDO28-utc_offset/24,"HH")&amp;search_regexp&amp;""""</f>
        <v>#REF!</v>
      </c>
      <c r="SEM28" s="234" t="e">
        <f>astrogrep_path&amp;" /e /r /s /spath="&amp;search_path&amp;" /stypes=""app*"&amp;SDI28&amp;"*"&amp;TEXT(SDP28-utc_offset/24,"YYYYMMDD")&amp;"*"" /stext="" "&amp;TEXT(SDP28-utc_offset/24,"HH")&amp;search_regexp&amp;""""</f>
        <v>#REF!</v>
      </c>
      <c r="SEN28" s="234" t="e">
        <f>astrogrep_path&amp;" /e /r /s /spath="&amp;search_path&amp;" /stypes=""app*"&amp;SDJ28&amp;"*"&amp;TEXT(SDQ28-utc_offset/24,"YYYYMMDD")&amp;"*"" /stext="" "&amp;TEXT(SDQ28-utc_offset/24,"HH")&amp;search_regexp&amp;""""</f>
        <v>#REF!</v>
      </c>
      <c r="SEO28" s="234" t="e">
        <f>astrogrep_path&amp;" /e /r /s /spath="&amp;search_path&amp;" /stypes=""app*"&amp;SDK28&amp;"*"&amp;TEXT(SDR28-utc_offset/24,"YYYYMMDD")&amp;"*"" /stext="" "&amp;TEXT(SDR28-utc_offset/24,"HH")&amp;search_regexp&amp;""""</f>
        <v>#REF!</v>
      </c>
      <c r="SEP28" s="234" t="e">
        <f>astrogrep_path&amp;" /e /r /s /spath="&amp;search_path&amp;" /stypes=""app*"&amp;SDL28&amp;"*"&amp;TEXT(SDS28-utc_offset/24,"YYYYMMDD")&amp;"*"" /stext="" "&amp;TEXT(SDS28-utc_offset/24,"HH")&amp;search_regexp&amp;""""</f>
        <v>#REF!</v>
      </c>
      <c r="SEQ28" s="234" t="e">
        <f>astrogrep_path&amp;" /e /r /s /spath="&amp;search_path&amp;" /stypes=""app*"&amp;SDM28&amp;"*"&amp;TEXT(SDT28-utc_offset/24,"YYYYMMDD")&amp;"*"" /stext="" "&amp;TEXT(SDT28-utc_offset/24,"HH")&amp;search_regexp&amp;""""</f>
        <v>#VALUE!</v>
      </c>
      <c r="SER28" s="234" t="e">
        <f>astrogrep_path&amp;" /e /r /s /spath="&amp;search_path&amp;" /stypes=""app*"&amp;SDN28&amp;"*"&amp;TEXT(SDU28-utc_offset/24,"YYYYMMDD")&amp;"*"" /stext="" "&amp;TEXT(SDU28-utc_offset/24,"HH")&amp;search_regexp&amp;""""</f>
        <v>#VALUE!</v>
      </c>
      <c r="SES28" s="234" t="e">
        <f>astrogrep_path&amp;" /e /r /s /spath="&amp;search_path&amp;" /stypes=""app*"&amp;SDO28&amp;"*"&amp;TEXT(SDV28-utc_offset/24,"YYYYMMDD")&amp;"*"" /stext="" "&amp;TEXT(SDV28-utc_offset/24,"HH")&amp;search_regexp&amp;""""</f>
        <v>#REF!</v>
      </c>
      <c r="SET28" s="234" t="e">
        <f>astrogrep_path&amp;" /e /r /s /spath="&amp;search_path&amp;" /stypes=""app*"&amp;SDP28&amp;"*"&amp;TEXT(SDW28-utc_offset/24,"YYYYMMDD")&amp;"*"" /stext="" "&amp;TEXT(SDW28-utc_offset/24,"HH")&amp;search_regexp&amp;""""</f>
        <v>#REF!</v>
      </c>
      <c r="SEU28" s="234" t="e">
        <f>astrogrep_path&amp;" /e /r /s /spath="&amp;search_path&amp;" /stypes=""app*"&amp;SDQ28&amp;"*"&amp;TEXT(SDX28-utc_offset/24,"YYYYMMDD")&amp;"*"" /stext="" "&amp;TEXT(SDX28-utc_offset/24,"HH")&amp;search_regexp&amp;""""</f>
        <v>#VALUE!</v>
      </c>
      <c r="SEV28" s="234" t="e">
        <f>astrogrep_path&amp;" /e /r /s /spath="&amp;search_path&amp;" /stypes=""app*"&amp;SDR28&amp;"*"&amp;TEXT(SDY28-utc_offset/24,"YYYYMMDD")&amp;"*"" /stext="" "&amp;TEXT(SDY28-utc_offset/24,"HH")&amp;search_regexp&amp;""""</f>
        <v>#VALUE!</v>
      </c>
      <c r="SEW28" s="234" t="e">
        <f>astrogrep_path&amp;" /e /r /s /spath="&amp;search_path&amp;" /stypes=""app*"&amp;SDS28&amp;"*"&amp;TEXT(SDZ28-utc_offset/24,"YYYYMMDD")&amp;"*"" /stext="" "&amp;TEXT(SDZ28-utc_offset/24,"HH")&amp;search_regexp&amp;""""</f>
        <v>#VALUE!</v>
      </c>
      <c r="SEX28" s="234" t="e">
        <f>astrogrep_path&amp;" /e /r /s /spath="&amp;search_path&amp;" /stypes=""app*"&amp;SDT28&amp;"*"&amp;TEXT(SEA28-utc_offset/24,"YYYYMMDD")&amp;"*"" /stext="" "&amp;TEXT(SEA28-utc_offset/24,"HH")&amp;search_regexp&amp;""""</f>
        <v>#VALUE!</v>
      </c>
      <c r="SEY28" s="234" t="e">
        <f>astrogrep_path&amp;" /e /r /s /spath="&amp;search_path&amp;" /stypes=""app*"&amp;SDU28&amp;"*"&amp;TEXT(SEB28-utc_offset/24,"YYYYMMDD")&amp;"*"" /stext="" "&amp;TEXT(SEB28-utc_offset/24,"HH")&amp;search_regexp&amp;""""</f>
        <v>#VALUE!</v>
      </c>
      <c r="SEZ28" s="234" t="e">
        <f>astrogrep_path&amp;" /e /r /s /spath="&amp;search_path&amp;" /stypes=""app*"&amp;SDV28&amp;"*"&amp;TEXT(SEC28-utc_offset/24,"YYYYMMDD")&amp;"*"" /stext="" "&amp;TEXT(SEC28-utc_offset/24,"HH")&amp;search_regexp&amp;""""</f>
        <v>#REF!</v>
      </c>
      <c r="SFA28" s="234" t="e">
        <f>astrogrep_path&amp;" /e /r /s /spath="&amp;search_path&amp;" /stypes=""app*"&amp;SDW28&amp;"*"&amp;TEXT(SED28-utc_offset/24,"YYYYMMDD")&amp;"*"" /stext="" "&amp;TEXT(SED28-utc_offset/24,"HH")&amp;search_regexp&amp;""""</f>
        <v>#REF!</v>
      </c>
      <c r="SFB28" s="234" t="e">
        <f>astrogrep_path&amp;" /e /r /s /spath="&amp;search_path&amp;" /stypes=""app*"&amp;SDX28&amp;"*"&amp;TEXT(SEE28-utc_offset/24,"YYYYMMDD")&amp;"*"" /stext="" "&amp;TEXT(SEE28-utc_offset/24,"HH")&amp;search_regexp&amp;""""</f>
        <v>#REF!</v>
      </c>
      <c r="SFC28" s="234" t="e">
        <f>astrogrep_path&amp;" /e /r /s /spath="&amp;search_path&amp;" /stypes=""app*"&amp;SDY28&amp;"*"&amp;TEXT(SEF28-utc_offset/24,"YYYYMMDD")&amp;"*"" /stext="" "&amp;TEXT(SEF28-utc_offset/24,"HH")&amp;search_regexp&amp;""""</f>
        <v>#REF!</v>
      </c>
      <c r="SFD28" s="234" t="e">
        <f>astrogrep_path&amp;" /e /r /s /spath="&amp;search_path&amp;" /stypes=""app*"&amp;SDZ28&amp;"*"&amp;TEXT(SEG28-utc_offset/24,"YYYYMMDD")&amp;"*"" /stext="" "&amp;TEXT(SEG28-utc_offset/24,"HH")&amp;search_regexp&amp;""""</f>
        <v>#REF!</v>
      </c>
      <c r="SFE28" s="234" t="e">
        <f>astrogrep_path&amp;" /e /r /s /spath="&amp;search_path&amp;" /stypes=""app*"&amp;SEA28&amp;"*"&amp;TEXT(SEH28-utc_offset/24,"YYYYMMDD")&amp;"*"" /stext="" "&amp;TEXT(SEH28-utc_offset/24,"HH")&amp;search_regexp&amp;""""</f>
        <v>#REF!</v>
      </c>
      <c r="SFF28" s="234" t="e">
        <f>astrogrep_path&amp;" /e /r /s /spath="&amp;search_path&amp;" /stypes=""app*"&amp;SEB28&amp;"*"&amp;TEXT(SEI28-utc_offset/24,"YYYYMMDD")&amp;"*"" /stext="" "&amp;TEXT(SEI28-utc_offset/24,"HH")&amp;search_regexp&amp;""""</f>
        <v>#REF!</v>
      </c>
      <c r="SFG28" s="234" t="e">
        <f>astrogrep_path&amp;" /e /r /s /spath="&amp;search_path&amp;" /stypes=""app*"&amp;SEC28&amp;"*"&amp;TEXT(SEJ28-utc_offset/24,"YYYYMMDD")&amp;"*"" /stext="" "&amp;TEXT(SEJ28-utc_offset/24,"HH")&amp;search_regexp&amp;""""</f>
        <v>#REF!</v>
      </c>
      <c r="SFH28" s="234" t="e">
        <f>astrogrep_path&amp;" /e /r /s /spath="&amp;search_path&amp;" /stypes=""app*"&amp;SED28&amp;"*"&amp;TEXT(SEK28-utc_offset/24,"YYYYMMDD")&amp;"*"" /stext="" "&amp;TEXT(SEK28-utc_offset/24,"HH")&amp;search_regexp&amp;""""</f>
        <v>#REF!</v>
      </c>
      <c r="SFI28" s="234" t="e">
        <f>astrogrep_path&amp;" /e /r /s /spath="&amp;search_path&amp;" /stypes=""app*"&amp;SEE28&amp;"*"&amp;TEXT(SEL28-utc_offset/24,"YYYYMMDD")&amp;"*"" /stext="" "&amp;TEXT(SEL28-utc_offset/24,"HH")&amp;search_regexp&amp;""""</f>
        <v>#REF!</v>
      </c>
      <c r="SFJ28" s="234" t="e">
        <f>astrogrep_path&amp;" /e /r /s /spath="&amp;search_path&amp;" /stypes=""app*"&amp;SEF28&amp;"*"&amp;TEXT(SEM28-utc_offset/24,"YYYYMMDD")&amp;"*"" /stext="" "&amp;TEXT(SEM28-utc_offset/24,"HH")&amp;search_regexp&amp;""""</f>
        <v>#REF!</v>
      </c>
      <c r="SFK28" s="234" t="e">
        <f>astrogrep_path&amp;" /e /r /s /spath="&amp;search_path&amp;" /stypes=""app*"&amp;SEG28&amp;"*"&amp;TEXT(SEN28-utc_offset/24,"YYYYMMDD")&amp;"*"" /stext="" "&amp;TEXT(SEN28-utc_offset/24,"HH")&amp;search_regexp&amp;""""</f>
        <v>#REF!</v>
      </c>
      <c r="SFL28" s="234" t="e">
        <f>astrogrep_path&amp;" /e /r /s /spath="&amp;search_path&amp;" /stypes=""app*"&amp;SEH28&amp;"*"&amp;TEXT(SEO28-utc_offset/24,"YYYYMMDD")&amp;"*"" /stext="" "&amp;TEXT(SEO28-utc_offset/24,"HH")&amp;search_regexp&amp;""""</f>
        <v>#REF!</v>
      </c>
      <c r="SFM28" s="234" t="e">
        <f>astrogrep_path&amp;" /e /r /s /spath="&amp;search_path&amp;" /stypes=""app*"&amp;SEI28&amp;"*"&amp;TEXT(SEP28-utc_offset/24,"YYYYMMDD")&amp;"*"" /stext="" "&amp;TEXT(SEP28-utc_offset/24,"HH")&amp;search_regexp&amp;""""</f>
        <v>#REF!</v>
      </c>
      <c r="SFN28" s="234" t="e">
        <f>astrogrep_path&amp;" /e /r /s /spath="&amp;search_path&amp;" /stypes=""app*"&amp;SEJ28&amp;"*"&amp;TEXT(SEQ28-utc_offset/24,"YYYYMMDD")&amp;"*"" /stext="" "&amp;TEXT(SEQ28-utc_offset/24,"HH")&amp;search_regexp&amp;""""</f>
        <v>#REF!</v>
      </c>
      <c r="SFO28" s="234" t="e">
        <f>astrogrep_path&amp;" /e /r /s /spath="&amp;search_path&amp;" /stypes=""app*"&amp;SEK28&amp;"*"&amp;TEXT(SER28-utc_offset/24,"YYYYMMDD")&amp;"*"" /stext="" "&amp;TEXT(SER28-utc_offset/24,"HH")&amp;search_regexp&amp;""""</f>
        <v>#REF!</v>
      </c>
      <c r="SFP28" s="234" t="e">
        <f>astrogrep_path&amp;" /e /r /s /spath="&amp;search_path&amp;" /stypes=""app*"&amp;SEL28&amp;"*"&amp;TEXT(SES28-utc_offset/24,"YYYYMMDD")&amp;"*"" /stext="" "&amp;TEXT(SES28-utc_offset/24,"HH")&amp;search_regexp&amp;""""</f>
        <v>#REF!</v>
      </c>
      <c r="SFQ28" s="234" t="e">
        <f>astrogrep_path&amp;" /e /r /s /spath="&amp;search_path&amp;" /stypes=""app*"&amp;SEM28&amp;"*"&amp;TEXT(SET28-utc_offset/24,"YYYYMMDD")&amp;"*"" /stext="" "&amp;TEXT(SET28-utc_offset/24,"HH")&amp;search_regexp&amp;""""</f>
        <v>#REF!</v>
      </c>
      <c r="SFR28" s="234" t="e">
        <f>astrogrep_path&amp;" /e /r /s /spath="&amp;search_path&amp;" /stypes=""app*"&amp;SEN28&amp;"*"&amp;TEXT(SEU28-utc_offset/24,"YYYYMMDD")&amp;"*"" /stext="" "&amp;TEXT(SEU28-utc_offset/24,"HH")&amp;search_regexp&amp;""""</f>
        <v>#REF!</v>
      </c>
      <c r="SFS28" s="234" t="e">
        <f>astrogrep_path&amp;" /e /r /s /spath="&amp;search_path&amp;" /stypes=""app*"&amp;SEO28&amp;"*"&amp;TEXT(SEV28-utc_offset/24,"YYYYMMDD")&amp;"*"" /stext="" "&amp;TEXT(SEV28-utc_offset/24,"HH")&amp;search_regexp&amp;""""</f>
        <v>#REF!</v>
      </c>
      <c r="SFT28" s="234" t="e">
        <f>astrogrep_path&amp;" /e /r /s /spath="&amp;search_path&amp;" /stypes=""app*"&amp;SEP28&amp;"*"&amp;TEXT(SEW28-utc_offset/24,"YYYYMMDD")&amp;"*"" /stext="" "&amp;TEXT(SEW28-utc_offset/24,"HH")&amp;search_regexp&amp;""""</f>
        <v>#REF!</v>
      </c>
      <c r="SFU28" s="234" t="e">
        <f>astrogrep_path&amp;" /e /r /s /spath="&amp;search_path&amp;" /stypes=""app*"&amp;SEQ28&amp;"*"&amp;TEXT(SEX28-utc_offset/24,"YYYYMMDD")&amp;"*"" /stext="" "&amp;TEXT(SEX28-utc_offset/24,"HH")&amp;search_regexp&amp;""""</f>
        <v>#VALUE!</v>
      </c>
      <c r="SFV28" s="234" t="e">
        <f>astrogrep_path&amp;" /e /r /s /spath="&amp;search_path&amp;" /stypes=""app*"&amp;SER28&amp;"*"&amp;TEXT(SEY28-utc_offset/24,"YYYYMMDD")&amp;"*"" /stext="" "&amp;TEXT(SEY28-utc_offset/24,"HH")&amp;search_regexp&amp;""""</f>
        <v>#VALUE!</v>
      </c>
      <c r="SFW28" s="234" t="e">
        <f>astrogrep_path&amp;" /e /r /s /spath="&amp;search_path&amp;" /stypes=""app*"&amp;SES28&amp;"*"&amp;TEXT(SEZ28-utc_offset/24,"YYYYMMDD")&amp;"*"" /stext="" "&amp;TEXT(SEZ28-utc_offset/24,"HH")&amp;search_regexp&amp;""""</f>
        <v>#REF!</v>
      </c>
      <c r="SFX28" s="234" t="e">
        <f>astrogrep_path&amp;" /e /r /s /spath="&amp;search_path&amp;" /stypes=""app*"&amp;SET28&amp;"*"&amp;TEXT(SFA28-utc_offset/24,"YYYYMMDD")&amp;"*"" /stext="" "&amp;TEXT(SFA28-utc_offset/24,"HH")&amp;search_regexp&amp;""""</f>
        <v>#REF!</v>
      </c>
      <c r="SFY28" s="234" t="e">
        <f>astrogrep_path&amp;" /e /r /s /spath="&amp;search_path&amp;" /stypes=""app*"&amp;SEU28&amp;"*"&amp;TEXT(SFB28-utc_offset/24,"YYYYMMDD")&amp;"*"" /stext="" "&amp;TEXT(SFB28-utc_offset/24,"HH")&amp;search_regexp&amp;""""</f>
        <v>#VALUE!</v>
      </c>
      <c r="SFZ28" s="234" t="e">
        <f>astrogrep_path&amp;" /e /r /s /spath="&amp;search_path&amp;" /stypes=""app*"&amp;SEV28&amp;"*"&amp;TEXT(SFC28-utc_offset/24,"YYYYMMDD")&amp;"*"" /stext="" "&amp;TEXT(SFC28-utc_offset/24,"HH")&amp;search_regexp&amp;""""</f>
        <v>#VALUE!</v>
      </c>
      <c r="SGA28" s="234" t="e">
        <f>astrogrep_path&amp;" /e /r /s /spath="&amp;search_path&amp;" /stypes=""app*"&amp;SEW28&amp;"*"&amp;TEXT(SFD28-utc_offset/24,"YYYYMMDD")&amp;"*"" /stext="" "&amp;TEXT(SFD28-utc_offset/24,"HH")&amp;search_regexp&amp;""""</f>
        <v>#VALUE!</v>
      </c>
      <c r="SGB28" s="234" t="e">
        <f>astrogrep_path&amp;" /e /r /s /spath="&amp;search_path&amp;" /stypes=""app*"&amp;SEX28&amp;"*"&amp;TEXT(SFE28-utc_offset/24,"YYYYMMDD")&amp;"*"" /stext="" "&amp;TEXT(SFE28-utc_offset/24,"HH")&amp;search_regexp&amp;""""</f>
        <v>#VALUE!</v>
      </c>
      <c r="SGC28" s="234" t="e">
        <f>astrogrep_path&amp;" /e /r /s /spath="&amp;search_path&amp;" /stypes=""app*"&amp;SEY28&amp;"*"&amp;TEXT(SFF28-utc_offset/24,"YYYYMMDD")&amp;"*"" /stext="" "&amp;TEXT(SFF28-utc_offset/24,"HH")&amp;search_regexp&amp;""""</f>
        <v>#VALUE!</v>
      </c>
      <c r="SGD28" s="234" t="e">
        <f>astrogrep_path&amp;" /e /r /s /spath="&amp;search_path&amp;" /stypes=""app*"&amp;SEZ28&amp;"*"&amp;TEXT(SFG28-utc_offset/24,"YYYYMMDD")&amp;"*"" /stext="" "&amp;TEXT(SFG28-utc_offset/24,"HH")&amp;search_regexp&amp;""""</f>
        <v>#REF!</v>
      </c>
      <c r="SGE28" s="234" t="e">
        <f>astrogrep_path&amp;" /e /r /s /spath="&amp;search_path&amp;" /stypes=""app*"&amp;SFA28&amp;"*"&amp;TEXT(SFH28-utc_offset/24,"YYYYMMDD")&amp;"*"" /stext="" "&amp;TEXT(SFH28-utc_offset/24,"HH")&amp;search_regexp&amp;""""</f>
        <v>#REF!</v>
      </c>
      <c r="SGF28" s="234" t="e">
        <f>astrogrep_path&amp;" /e /r /s /spath="&amp;search_path&amp;" /stypes=""app*"&amp;SFB28&amp;"*"&amp;TEXT(SFI28-utc_offset/24,"YYYYMMDD")&amp;"*"" /stext="" "&amp;TEXT(SFI28-utc_offset/24,"HH")&amp;search_regexp&amp;""""</f>
        <v>#REF!</v>
      </c>
      <c r="SGG28" s="234" t="e">
        <f>astrogrep_path&amp;" /e /r /s /spath="&amp;search_path&amp;" /stypes=""app*"&amp;SFC28&amp;"*"&amp;TEXT(SFJ28-utc_offset/24,"YYYYMMDD")&amp;"*"" /stext="" "&amp;TEXT(SFJ28-utc_offset/24,"HH")&amp;search_regexp&amp;""""</f>
        <v>#REF!</v>
      </c>
      <c r="SGH28" s="234" t="e">
        <f>astrogrep_path&amp;" /e /r /s /spath="&amp;search_path&amp;" /stypes=""app*"&amp;SFD28&amp;"*"&amp;TEXT(SFK28-utc_offset/24,"YYYYMMDD")&amp;"*"" /stext="" "&amp;TEXT(SFK28-utc_offset/24,"HH")&amp;search_regexp&amp;""""</f>
        <v>#REF!</v>
      </c>
      <c r="SGI28" s="234" t="e">
        <f>astrogrep_path&amp;" /e /r /s /spath="&amp;search_path&amp;" /stypes=""app*"&amp;SFE28&amp;"*"&amp;TEXT(SFL28-utc_offset/24,"YYYYMMDD")&amp;"*"" /stext="" "&amp;TEXT(SFL28-utc_offset/24,"HH")&amp;search_regexp&amp;""""</f>
        <v>#REF!</v>
      </c>
      <c r="SGJ28" s="234" t="e">
        <f>astrogrep_path&amp;" /e /r /s /spath="&amp;search_path&amp;" /stypes=""app*"&amp;SFF28&amp;"*"&amp;TEXT(SFM28-utc_offset/24,"YYYYMMDD")&amp;"*"" /stext="" "&amp;TEXT(SFM28-utc_offset/24,"HH")&amp;search_regexp&amp;""""</f>
        <v>#REF!</v>
      </c>
      <c r="SGK28" s="234" t="e">
        <f>astrogrep_path&amp;" /e /r /s /spath="&amp;search_path&amp;" /stypes=""app*"&amp;SFG28&amp;"*"&amp;TEXT(SFN28-utc_offset/24,"YYYYMMDD")&amp;"*"" /stext="" "&amp;TEXT(SFN28-utc_offset/24,"HH")&amp;search_regexp&amp;""""</f>
        <v>#REF!</v>
      </c>
      <c r="SGL28" s="234" t="e">
        <f>astrogrep_path&amp;" /e /r /s /spath="&amp;search_path&amp;" /stypes=""app*"&amp;SFH28&amp;"*"&amp;TEXT(SFO28-utc_offset/24,"YYYYMMDD")&amp;"*"" /stext="" "&amp;TEXT(SFO28-utc_offset/24,"HH")&amp;search_regexp&amp;""""</f>
        <v>#REF!</v>
      </c>
      <c r="SGM28" s="234" t="e">
        <f>astrogrep_path&amp;" /e /r /s /spath="&amp;search_path&amp;" /stypes=""app*"&amp;SFI28&amp;"*"&amp;TEXT(SFP28-utc_offset/24,"YYYYMMDD")&amp;"*"" /stext="" "&amp;TEXT(SFP28-utc_offset/24,"HH")&amp;search_regexp&amp;""""</f>
        <v>#REF!</v>
      </c>
      <c r="SGN28" s="234" t="e">
        <f>astrogrep_path&amp;" /e /r /s /spath="&amp;search_path&amp;" /stypes=""app*"&amp;SFJ28&amp;"*"&amp;TEXT(SFQ28-utc_offset/24,"YYYYMMDD")&amp;"*"" /stext="" "&amp;TEXT(SFQ28-utc_offset/24,"HH")&amp;search_regexp&amp;""""</f>
        <v>#REF!</v>
      </c>
      <c r="SGO28" s="234" t="e">
        <f>astrogrep_path&amp;" /e /r /s /spath="&amp;search_path&amp;" /stypes=""app*"&amp;SFK28&amp;"*"&amp;TEXT(SFR28-utc_offset/24,"YYYYMMDD")&amp;"*"" /stext="" "&amp;TEXT(SFR28-utc_offset/24,"HH")&amp;search_regexp&amp;""""</f>
        <v>#REF!</v>
      </c>
      <c r="SGP28" s="234" t="e">
        <f>astrogrep_path&amp;" /e /r /s /spath="&amp;search_path&amp;" /stypes=""app*"&amp;SFL28&amp;"*"&amp;TEXT(SFS28-utc_offset/24,"YYYYMMDD")&amp;"*"" /stext="" "&amp;TEXT(SFS28-utc_offset/24,"HH")&amp;search_regexp&amp;""""</f>
        <v>#REF!</v>
      </c>
      <c r="SGQ28" s="234" t="e">
        <f>astrogrep_path&amp;" /e /r /s /spath="&amp;search_path&amp;" /stypes=""app*"&amp;SFM28&amp;"*"&amp;TEXT(SFT28-utc_offset/24,"YYYYMMDD")&amp;"*"" /stext="" "&amp;TEXT(SFT28-utc_offset/24,"HH")&amp;search_regexp&amp;""""</f>
        <v>#REF!</v>
      </c>
      <c r="SGR28" s="234" t="e">
        <f>astrogrep_path&amp;" /e /r /s /spath="&amp;search_path&amp;" /stypes=""app*"&amp;SFN28&amp;"*"&amp;TEXT(SFU28-utc_offset/24,"YYYYMMDD")&amp;"*"" /stext="" "&amp;TEXT(SFU28-utc_offset/24,"HH")&amp;search_regexp&amp;""""</f>
        <v>#REF!</v>
      </c>
      <c r="SGS28" s="234" t="e">
        <f>astrogrep_path&amp;" /e /r /s /spath="&amp;search_path&amp;" /stypes=""app*"&amp;SFO28&amp;"*"&amp;TEXT(SFV28-utc_offset/24,"YYYYMMDD")&amp;"*"" /stext="" "&amp;TEXT(SFV28-utc_offset/24,"HH")&amp;search_regexp&amp;""""</f>
        <v>#REF!</v>
      </c>
      <c r="SGT28" s="234" t="e">
        <f>astrogrep_path&amp;" /e /r /s /spath="&amp;search_path&amp;" /stypes=""app*"&amp;SFP28&amp;"*"&amp;TEXT(SFW28-utc_offset/24,"YYYYMMDD")&amp;"*"" /stext="" "&amp;TEXT(SFW28-utc_offset/24,"HH")&amp;search_regexp&amp;""""</f>
        <v>#REF!</v>
      </c>
      <c r="SGU28" s="234" t="e">
        <f>astrogrep_path&amp;" /e /r /s /spath="&amp;search_path&amp;" /stypes=""app*"&amp;SFQ28&amp;"*"&amp;TEXT(SFX28-utc_offset/24,"YYYYMMDD")&amp;"*"" /stext="" "&amp;TEXT(SFX28-utc_offset/24,"HH")&amp;search_regexp&amp;""""</f>
        <v>#REF!</v>
      </c>
      <c r="SGV28" s="234" t="e">
        <f>astrogrep_path&amp;" /e /r /s /spath="&amp;search_path&amp;" /stypes=""app*"&amp;SFR28&amp;"*"&amp;TEXT(SFY28-utc_offset/24,"YYYYMMDD")&amp;"*"" /stext="" "&amp;TEXT(SFY28-utc_offset/24,"HH")&amp;search_regexp&amp;""""</f>
        <v>#REF!</v>
      </c>
      <c r="SGW28" s="234" t="e">
        <f>astrogrep_path&amp;" /e /r /s /spath="&amp;search_path&amp;" /stypes=""app*"&amp;SFS28&amp;"*"&amp;TEXT(SFZ28-utc_offset/24,"YYYYMMDD")&amp;"*"" /stext="" "&amp;TEXT(SFZ28-utc_offset/24,"HH")&amp;search_regexp&amp;""""</f>
        <v>#REF!</v>
      </c>
      <c r="SGX28" s="234" t="e">
        <f>astrogrep_path&amp;" /e /r /s /spath="&amp;search_path&amp;" /stypes=""app*"&amp;SFT28&amp;"*"&amp;TEXT(SGA28-utc_offset/24,"YYYYMMDD")&amp;"*"" /stext="" "&amp;TEXT(SGA28-utc_offset/24,"HH")&amp;search_regexp&amp;""""</f>
        <v>#REF!</v>
      </c>
      <c r="SGY28" s="234" t="e">
        <f>astrogrep_path&amp;" /e /r /s /spath="&amp;search_path&amp;" /stypes=""app*"&amp;SFU28&amp;"*"&amp;TEXT(SGB28-utc_offset/24,"YYYYMMDD")&amp;"*"" /stext="" "&amp;TEXT(SGB28-utc_offset/24,"HH")&amp;search_regexp&amp;""""</f>
        <v>#VALUE!</v>
      </c>
      <c r="SGZ28" s="234" t="e">
        <f>astrogrep_path&amp;" /e /r /s /spath="&amp;search_path&amp;" /stypes=""app*"&amp;SFV28&amp;"*"&amp;TEXT(SGC28-utc_offset/24,"YYYYMMDD")&amp;"*"" /stext="" "&amp;TEXT(SGC28-utc_offset/24,"HH")&amp;search_regexp&amp;""""</f>
        <v>#VALUE!</v>
      </c>
      <c r="SHA28" s="234" t="e">
        <f>astrogrep_path&amp;" /e /r /s /spath="&amp;search_path&amp;" /stypes=""app*"&amp;SFW28&amp;"*"&amp;TEXT(SGD28-utc_offset/24,"YYYYMMDD")&amp;"*"" /stext="" "&amp;TEXT(SGD28-utc_offset/24,"HH")&amp;search_regexp&amp;""""</f>
        <v>#REF!</v>
      </c>
      <c r="SHB28" s="234" t="e">
        <f>astrogrep_path&amp;" /e /r /s /spath="&amp;search_path&amp;" /stypes=""app*"&amp;SFX28&amp;"*"&amp;TEXT(SGE28-utc_offset/24,"YYYYMMDD")&amp;"*"" /stext="" "&amp;TEXT(SGE28-utc_offset/24,"HH")&amp;search_regexp&amp;""""</f>
        <v>#REF!</v>
      </c>
      <c r="SHC28" s="234" t="e">
        <f>astrogrep_path&amp;" /e /r /s /spath="&amp;search_path&amp;" /stypes=""app*"&amp;SFY28&amp;"*"&amp;TEXT(SGF28-utc_offset/24,"YYYYMMDD")&amp;"*"" /stext="" "&amp;TEXT(SGF28-utc_offset/24,"HH")&amp;search_regexp&amp;""""</f>
        <v>#VALUE!</v>
      </c>
      <c r="SHD28" s="234" t="e">
        <f>astrogrep_path&amp;" /e /r /s /spath="&amp;search_path&amp;" /stypes=""app*"&amp;SFZ28&amp;"*"&amp;TEXT(SGG28-utc_offset/24,"YYYYMMDD")&amp;"*"" /stext="" "&amp;TEXT(SGG28-utc_offset/24,"HH")&amp;search_regexp&amp;""""</f>
        <v>#VALUE!</v>
      </c>
      <c r="SHE28" s="234" t="e">
        <f>astrogrep_path&amp;" /e /r /s /spath="&amp;search_path&amp;" /stypes=""app*"&amp;SGA28&amp;"*"&amp;TEXT(SGH28-utc_offset/24,"YYYYMMDD")&amp;"*"" /stext="" "&amp;TEXT(SGH28-utc_offset/24,"HH")&amp;search_regexp&amp;""""</f>
        <v>#VALUE!</v>
      </c>
      <c r="SHF28" s="234" t="e">
        <f>astrogrep_path&amp;" /e /r /s /spath="&amp;search_path&amp;" /stypes=""app*"&amp;SGB28&amp;"*"&amp;TEXT(SGI28-utc_offset/24,"YYYYMMDD")&amp;"*"" /stext="" "&amp;TEXT(SGI28-utc_offset/24,"HH")&amp;search_regexp&amp;""""</f>
        <v>#VALUE!</v>
      </c>
      <c r="SHG28" s="234" t="e">
        <f>astrogrep_path&amp;" /e /r /s /spath="&amp;search_path&amp;" /stypes=""app*"&amp;SGC28&amp;"*"&amp;TEXT(SGJ28-utc_offset/24,"YYYYMMDD")&amp;"*"" /stext="" "&amp;TEXT(SGJ28-utc_offset/24,"HH")&amp;search_regexp&amp;""""</f>
        <v>#VALUE!</v>
      </c>
      <c r="SHH28" s="234" t="e">
        <f>astrogrep_path&amp;" /e /r /s /spath="&amp;search_path&amp;" /stypes=""app*"&amp;SGD28&amp;"*"&amp;TEXT(SGK28-utc_offset/24,"YYYYMMDD")&amp;"*"" /stext="" "&amp;TEXT(SGK28-utc_offset/24,"HH")&amp;search_regexp&amp;""""</f>
        <v>#REF!</v>
      </c>
      <c r="SHI28" s="234" t="e">
        <f>astrogrep_path&amp;" /e /r /s /spath="&amp;search_path&amp;" /stypes=""app*"&amp;SGE28&amp;"*"&amp;TEXT(SGL28-utc_offset/24,"YYYYMMDD")&amp;"*"" /stext="" "&amp;TEXT(SGL28-utc_offset/24,"HH")&amp;search_regexp&amp;""""</f>
        <v>#REF!</v>
      </c>
      <c r="SHJ28" s="234" t="e">
        <f>astrogrep_path&amp;" /e /r /s /spath="&amp;search_path&amp;" /stypes=""app*"&amp;SGF28&amp;"*"&amp;TEXT(SGM28-utc_offset/24,"YYYYMMDD")&amp;"*"" /stext="" "&amp;TEXT(SGM28-utc_offset/24,"HH")&amp;search_regexp&amp;""""</f>
        <v>#REF!</v>
      </c>
      <c r="SHK28" s="234" t="e">
        <f>astrogrep_path&amp;" /e /r /s /spath="&amp;search_path&amp;" /stypes=""app*"&amp;SGG28&amp;"*"&amp;TEXT(SGN28-utc_offset/24,"YYYYMMDD")&amp;"*"" /stext="" "&amp;TEXT(SGN28-utc_offset/24,"HH")&amp;search_regexp&amp;""""</f>
        <v>#REF!</v>
      </c>
      <c r="SHL28" s="234" t="e">
        <f>astrogrep_path&amp;" /e /r /s /spath="&amp;search_path&amp;" /stypes=""app*"&amp;SGH28&amp;"*"&amp;TEXT(SGO28-utc_offset/24,"YYYYMMDD")&amp;"*"" /stext="" "&amp;TEXT(SGO28-utc_offset/24,"HH")&amp;search_regexp&amp;""""</f>
        <v>#REF!</v>
      </c>
      <c r="SHM28" s="234" t="e">
        <f>astrogrep_path&amp;" /e /r /s /spath="&amp;search_path&amp;" /stypes=""app*"&amp;SGI28&amp;"*"&amp;TEXT(SGP28-utc_offset/24,"YYYYMMDD")&amp;"*"" /stext="" "&amp;TEXT(SGP28-utc_offset/24,"HH")&amp;search_regexp&amp;""""</f>
        <v>#REF!</v>
      </c>
      <c r="SHN28" s="234" t="e">
        <f>astrogrep_path&amp;" /e /r /s /spath="&amp;search_path&amp;" /stypes=""app*"&amp;SGJ28&amp;"*"&amp;TEXT(SGQ28-utc_offset/24,"YYYYMMDD")&amp;"*"" /stext="" "&amp;TEXT(SGQ28-utc_offset/24,"HH")&amp;search_regexp&amp;""""</f>
        <v>#REF!</v>
      </c>
      <c r="SHO28" s="234" t="e">
        <f>astrogrep_path&amp;" /e /r /s /spath="&amp;search_path&amp;" /stypes=""app*"&amp;SGK28&amp;"*"&amp;TEXT(SGR28-utc_offset/24,"YYYYMMDD")&amp;"*"" /stext="" "&amp;TEXT(SGR28-utc_offset/24,"HH")&amp;search_regexp&amp;""""</f>
        <v>#REF!</v>
      </c>
      <c r="SHP28" s="234" t="e">
        <f>astrogrep_path&amp;" /e /r /s /spath="&amp;search_path&amp;" /stypes=""app*"&amp;SGL28&amp;"*"&amp;TEXT(SGS28-utc_offset/24,"YYYYMMDD")&amp;"*"" /stext="" "&amp;TEXT(SGS28-utc_offset/24,"HH")&amp;search_regexp&amp;""""</f>
        <v>#REF!</v>
      </c>
      <c r="SHQ28" s="234" t="e">
        <f>astrogrep_path&amp;" /e /r /s /spath="&amp;search_path&amp;" /stypes=""app*"&amp;SGM28&amp;"*"&amp;TEXT(SGT28-utc_offset/24,"YYYYMMDD")&amp;"*"" /stext="" "&amp;TEXT(SGT28-utc_offset/24,"HH")&amp;search_regexp&amp;""""</f>
        <v>#REF!</v>
      </c>
      <c r="SHR28" s="234" t="e">
        <f>astrogrep_path&amp;" /e /r /s /spath="&amp;search_path&amp;" /stypes=""app*"&amp;SGN28&amp;"*"&amp;TEXT(SGU28-utc_offset/24,"YYYYMMDD")&amp;"*"" /stext="" "&amp;TEXT(SGU28-utc_offset/24,"HH")&amp;search_regexp&amp;""""</f>
        <v>#REF!</v>
      </c>
      <c r="SHS28" s="234" t="e">
        <f>astrogrep_path&amp;" /e /r /s /spath="&amp;search_path&amp;" /stypes=""app*"&amp;SGO28&amp;"*"&amp;TEXT(SGV28-utc_offset/24,"YYYYMMDD")&amp;"*"" /stext="" "&amp;TEXT(SGV28-utc_offset/24,"HH")&amp;search_regexp&amp;""""</f>
        <v>#REF!</v>
      </c>
      <c r="SHT28" s="234" t="e">
        <f>astrogrep_path&amp;" /e /r /s /spath="&amp;search_path&amp;" /stypes=""app*"&amp;SGP28&amp;"*"&amp;TEXT(SGW28-utc_offset/24,"YYYYMMDD")&amp;"*"" /stext="" "&amp;TEXT(SGW28-utc_offset/24,"HH")&amp;search_regexp&amp;""""</f>
        <v>#REF!</v>
      </c>
      <c r="SHU28" s="234" t="e">
        <f>astrogrep_path&amp;" /e /r /s /spath="&amp;search_path&amp;" /stypes=""app*"&amp;SGQ28&amp;"*"&amp;TEXT(SGX28-utc_offset/24,"YYYYMMDD")&amp;"*"" /stext="" "&amp;TEXT(SGX28-utc_offset/24,"HH")&amp;search_regexp&amp;""""</f>
        <v>#REF!</v>
      </c>
      <c r="SHV28" s="234" t="e">
        <f>astrogrep_path&amp;" /e /r /s /spath="&amp;search_path&amp;" /stypes=""app*"&amp;SGR28&amp;"*"&amp;TEXT(SGY28-utc_offset/24,"YYYYMMDD")&amp;"*"" /stext="" "&amp;TEXT(SGY28-utc_offset/24,"HH")&amp;search_regexp&amp;""""</f>
        <v>#REF!</v>
      </c>
      <c r="SHW28" s="234" t="e">
        <f>astrogrep_path&amp;" /e /r /s /spath="&amp;search_path&amp;" /stypes=""app*"&amp;SGS28&amp;"*"&amp;TEXT(SGZ28-utc_offset/24,"YYYYMMDD")&amp;"*"" /stext="" "&amp;TEXT(SGZ28-utc_offset/24,"HH")&amp;search_regexp&amp;""""</f>
        <v>#REF!</v>
      </c>
      <c r="SHX28" s="234" t="e">
        <f>astrogrep_path&amp;" /e /r /s /spath="&amp;search_path&amp;" /stypes=""app*"&amp;SGT28&amp;"*"&amp;TEXT(SHA28-utc_offset/24,"YYYYMMDD")&amp;"*"" /stext="" "&amp;TEXT(SHA28-utc_offset/24,"HH")&amp;search_regexp&amp;""""</f>
        <v>#REF!</v>
      </c>
      <c r="SHY28" s="234" t="e">
        <f>astrogrep_path&amp;" /e /r /s /spath="&amp;search_path&amp;" /stypes=""app*"&amp;SGU28&amp;"*"&amp;TEXT(SHB28-utc_offset/24,"YYYYMMDD")&amp;"*"" /stext="" "&amp;TEXT(SHB28-utc_offset/24,"HH")&amp;search_regexp&amp;""""</f>
        <v>#REF!</v>
      </c>
      <c r="SHZ28" s="234" t="e">
        <f>astrogrep_path&amp;" /e /r /s /spath="&amp;search_path&amp;" /stypes=""app*"&amp;SGV28&amp;"*"&amp;TEXT(SHC28-utc_offset/24,"YYYYMMDD")&amp;"*"" /stext="" "&amp;TEXT(SHC28-utc_offset/24,"HH")&amp;search_regexp&amp;""""</f>
        <v>#REF!</v>
      </c>
      <c r="SIA28" s="234" t="e">
        <f>astrogrep_path&amp;" /e /r /s /spath="&amp;search_path&amp;" /stypes=""app*"&amp;SGW28&amp;"*"&amp;TEXT(SHD28-utc_offset/24,"YYYYMMDD")&amp;"*"" /stext="" "&amp;TEXT(SHD28-utc_offset/24,"HH")&amp;search_regexp&amp;""""</f>
        <v>#REF!</v>
      </c>
      <c r="SIB28" s="234" t="e">
        <f>astrogrep_path&amp;" /e /r /s /spath="&amp;search_path&amp;" /stypes=""app*"&amp;SGX28&amp;"*"&amp;TEXT(SHE28-utc_offset/24,"YYYYMMDD")&amp;"*"" /stext="" "&amp;TEXT(SHE28-utc_offset/24,"HH")&amp;search_regexp&amp;""""</f>
        <v>#REF!</v>
      </c>
      <c r="SIC28" s="234" t="e">
        <f>astrogrep_path&amp;" /e /r /s /spath="&amp;search_path&amp;" /stypes=""app*"&amp;SGY28&amp;"*"&amp;TEXT(SHF28-utc_offset/24,"YYYYMMDD")&amp;"*"" /stext="" "&amp;TEXT(SHF28-utc_offset/24,"HH")&amp;search_regexp&amp;""""</f>
        <v>#VALUE!</v>
      </c>
      <c r="SID28" s="234" t="e">
        <f>astrogrep_path&amp;" /e /r /s /spath="&amp;search_path&amp;" /stypes=""app*"&amp;SGZ28&amp;"*"&amp;TEXT(SHG28-utc_offset/24,"YYYYMMDD")&amp;"*"" /stext="" "&amp;TEXT(SHG28-utc_offset/24,"HH")&amp;search_regexp&amp;""""</f>
        <v>#VALUE!</v>
      </c>
      <c r="SIE28" s="234" t="e">
        <f>astrogrep_path&amp;" /e /r /s /spath="&amp;search_path&amp;" /stypes=""app*"&amp;SHA28&amp;"*"&amp;TEXT(SHH28-utc_offset/24,"YYYYMMDD")&amp;"*"" /stext="" "&amp;TEXT(SHH28-utc_offset/24,"HH")&amp;search_regexp&amp;""""</f>
        <v>#REF!</v>
      </c>
      <c r="SIF28" s="234" t="e">
        <f>astrogrep_path&amp;" /e /r /s /spath="&amp;search_path&amp;" /stypes=""app*"&amp;SHB28&amp;"*"&amp;TEXT(SHI28-utc_offset/24,"YYYYMMDD")&amp;"*"" /stext="" "&amp;TEXT(SHI28-utc_offset/24,"HH")&amp;search_regexp&amp;""""</f>
        <v>#REF!</v>
      </c>
      <c r="SIG28" s="234" t="e">
        <f>astrogrep_path&amp;" /e /r /s /spath="&amp;search_path&amp;" /stypes=""app*"&amp;SHC28&amp;"*"&amp;TEXT(SHJ28-utc_offset/24,"YYYYMMDD")&amp;"*"" /stext="" "&amp;TEXT(SHJ28-utc_offset/24,"HH")&amp;search_regexp&amp;""""</f>
        <v>#VALUE!</v>
      </c>
      <c r="SIH28" s="234" t="e">
        <f>astrogrep_path&amp;" /e /r /s /spath="&amp;search_path&amp;" /stypes=""app*"&amp;SHD28&amp;"*"&amp;TEXT(SHK28-utc_offset/24,"YYYYMMDD")&amp;"*"" /stext="" "&amp;TEXT(SHK28-utc_offset/24,"HH")&amp;search_regexp&amp;""""</f>
        <v>#VALUE!</v>
      </c>
      <c r="SII28" s="234" t="e">
        <f>astrogrep_path&amp;" /e /r /s /spath="&amp;search_path&amp;" /stypes=""app*"&amp;SHE28&amp;"*"&amp;TEXT(SHL28-utc_offset/24,"YYYYMMDD")&amp;"*"" /stext="" "&amp;TEXT(SHL28-utc_offset/24,"HH")&amp;search_regexp&amp;""""</f>
        <v>#VALUE!</v>
      </c>
      <c r="SIJ28" s="234" t="e">
        <f>astrogrep_path&amp;" /e /r /s /spath="&amp;search_path&amp;" /stypes=""app*"&amp;SHF28&amp;"*"&amp;TEXT(SHM28-utc_offset/24,"YYYYMMDD")&amp;"*"" /stext="" "&amp;TEXT(SHM28-utc_offset/24,"HH")&amp;search_regexp&amp;""""</f>
        <v>#VALUE!</v>
      </c>
      <c r="SIK28" s="234" t="e">
        <f>astrogrep_path&amp;" /e /r /s /spath="&amp;search_path&amp;" /stypes=""app*"&amp;SHG28&amp;"*"&amp;TEXT(SHN28-utc_offset/24,"YYYYMMDD")&amp;"*"" /stext="" "&amp;TEXT(SHN28-utc_offset/24,"HH")&amp;search_regexp&amp;""""</f>
        <v>#VALUE!</v>
      </c>
      <c r="SIL28" s="234" t="e">
        <f>astrogrep_path&amp;" /e /r /s /spath="&amp;search_path&amp;" /stypes=""app*"&amp;SHH28&amp;"*"&amp;TEXT(SHO28-utc_offset/24,"YYYYMMDD")&amp;"*"" /stext="" "&amp;TEXT(SHO28-utc_offset/24,"HH")&amp;search_regexp&amp;""""</f>
        <v>#REF!</v>
      </c>
      <c r="SIM28" s="234" t="e">
        <f>astrogrep_path&amp;" /e /r /s /spath="&amp;search_path&amp;" /stypes=""app*"&amp;SHI28&amp;"*"&amp;TEXT(SHP28-utc_offset/24,"YYYYMMDD")&amp;"*"" /stext="" "&amp;TEXT(SHP28-utc_offset/24,"HH")&amp;search_regexp&amp;""""</f>
        <v>#REF!</v>
      </c>
      <c r="SIN28" s="234" t="e">
        <f>astrogrep_path&amp;" /e /r /s /spath="&amp;search_path&amp;" /stypes=""app*"&amp;SHJ28&amp;"*"&amp;TEXT(SHQ28-utc_offset/24,"YYYYMMDD")&amp;"*"" /stext="" "&amp;TEXT(SHQ28-utc_offset/24,"HH")&amp;search_regexp&amp;""""</f>
        <v>#REF!</v>
      </c>
      <c r="SIO28" s="234" t="e">
        <f>astrogrep_path&amp;" /e /r /s /spath="&amp;search_path&amp;" /stypes=""app*"&amp;SHK28&amp;"*"&amp;TEXT(SHR28-utc_offset/24,"YYYYMMDD")&amp;"*"" /stext="" "&amp;TEXT(SHR28-utc_offset/24,"HH")&amp;search_regexp&amp;""""</f>
        <v>#REF!</v>
      </c>
      <c r="SIP28" s="234" t="e">
        <f>astrogrep_path&amp;" /e /r /s /spath="&amp;search_path&amp;" /stypes=""app*"&amp;SHL28&amp;"*"&amp;TEXT(SHS28-utc_offset/24,"YYYYMMDD")&amp;"*"" /stext="" "&amp;TEXT(SHS28-utc_offset/24,"HH")&amp;search_regexp&amp;""""</f>
        <v>#REF!</v>
      </c>
      <c r="SIQ28" s="234" t="e">
        <f>astrogrep_path&amp;" /e /r /s /spath="&amp;search_path&amp;" /stypes=""app*"&amp;SHM28&amp;"*"&amp;TEXT(SHT28-utc_offset/24,"YYYYMMDD")&amp;"*"" /stext="" "&amp;TEXT(SHT28-utc_offset/24,"HH")&amp;search_regexp&amp;""""</f>
        <v>#REF!</v>
      </c>
      <c r="SIR28" s="234" t="e">
        <f>astrogrep_path&amp;" /e /r /s /spath="&amp;search_path&amp;" /stypes=""app*"&amp;SHN28&amp;"*"&amp;TEXT(SHU28-utc_offset/24,"YYYYMMDD")&amp;"*"" /stext="" "&amp;TEXT(SHU28-utc_offset/24,"HH")&amp;search_regexp&amp;""""</f>
        <v>#REF!</v>
      </c>
      <c r="SIS28" s="234" t="e">
        <f>astrogrep_path&amp;" /e /r /s /spath="&amp;search_path&amp;" /stypes=""app*"&amp;SHO28&amp;"*"&amp;TEXT(SHV28-utc_offset/24,"YYYYMMDD")&amp;"*"" /stext="" "&amp;TEXT(SHV28-utc_offset/24,"HH")&amp;search_regexp&amp;""""</f>
        <v>#REF!</v>
      </c>
      <c r="SIT28" s="234" t="e">
        <f>astrogrep_path&amp;" /e /r /s /spath="&amp;search_path&amp;" /stypes=""app*"&amp;SHP28&amp;"*"&amp;TEXT(SHW28-utc_offset/24,"YYYYMMDD")&amp;"*"" /stext="" "&amp;TEXT(SHW28-utc_offset/24,"HH")&amp;search_regexp&amp;""""</f>
        <v>#REF!</v>
      </c>
      <c r="SIU28" s="234" t="e">
        <f>astrogrep_path&amp;" /e /r /s /spath="&amp;search_path&amp;" /stypes=""app*"&amp;SHQ28&amp;"*"&amp;TEXT(SHX28-utc_offset/24,"YYYYMMDD")&amp;"*"" /stext="" "&amp;TEXT(SHX28-utc_offset/24,"HH")&amp;search_regexp&amp;""""</f>
        <v>#REF!</v>
      </c>
      <c r="SIV28" s="234" t="e">
        <f>astrogrep_path&amp;" /e /r /s /spath="&amp;search_path&amp;" /stypes=""app*"&amp;SHR28&amp;"*"&amp;TEXT(SHY28-utc_offset/24,"YYYYMMDD")&amp;"*"" /stext="" "&amp;TEXT(SHY28-utc_offset/24,"HH")&amp;search_regexp&amp;""""</f>
        <v>#REF!</v>
      </c>
      <c r="SIW28" s="234" t="e">
        <f>astrogrep_path&amp;" /e /r /s /spath="&amp;search_path&amp;" /stypes=""app*"&amp;SHS28&amp;"*"&amp;TEXT(SHZ28-utc_offset/24,"YYYYMMDD")&amp;"*"" /stext="" "&amp;TEXT(SHZ28-utc_offset/24,"HH")&amp;search_regexp&amp;""""</f>
        <v>#REF!</v>
      </c>
      <c r="SIX28" s="234" t="e">
        <f>astrogrep_path&amp;" /e /r /s /spath="&amp;search_path&amp;" /stypes=""app*"&amp;SHT28&amp;"*"&amp;TEXT(SIA28-utc_offset/24,"YYYYMMDD")&amp;"*"" /stext="" "&amp;TEXT(SIA28-utc_offset/24,"HH")&amp;search_regexp&amp;""""</f>
        <v>#REF!</v>
      </c>
      <c r="SIY28" s="234" t="e">
        <f>astrogrep_path&amp;" /e /r /s /spath="&amp;search_path&amp;" /stypes=""app*"&amp;SHU28&amp;"*"&amp;TEXT(SIB28-utc_offset/24,"YYYYMMDD")&amp;"*"" /stext="" "&amp;TEXT(SIB28-utc_offset/24,"HH")&amp;search_regexp&amp;""""</f>
        <v>#REF!</v>
      </c>
      <c r="SIZ28" s="234" t="e">
        <f>astrogrep_path&amp;" /e /r /s /spath="&amp;search_path&amp;" /stypes=""app*"&amp;SHV28&amp;"*"&amp;TEXT(SIC28-utc_offset/24,"YYYYMMDD")&amp;"*"" /stext="" "&amp;TEXT(SIC28-utc_offset/24,"HH")&amp;search_regexp&amp;""""</f>
        <v>#REF!</v>
      </c>
      <c r="SJA28" s="234" t="e">
        <f>astrogrep_path&amp;" /e /r /s /spath="&amp;search_path&amp;" /stypes=""app*"&amp;SHW28&amp;"*"&amp;TEXT(SID28-utc_offset/24,"YYYYMMDD")&amp;"*"" /stext="" "&amp;TEXT(SID28-utc_offset/24,"HH")&amp;search_regexp&amp;""""</f>
        <v>#REF!</v>
      </c>
      <c r="SJB28" s="234" t="e">
        <f>astrogrep_path&amp;" /e /r /s /spath="&amp;search_path&amp;" /stypes=""app*"&amp;SHX28&amp;"*"&amp;TEXT(SIE28-utc_offset/24,"YYYYMMDD")&amp;"*"" /stext="" "&amp;TEXT(SIE28-utc_offset/24,"HH")&amp;search_regexp&amp;""""</f>
        <v>#REF!</v>
      </c>
      <c r="SJC28" s="234" t="e">
        <f>astrogrep_path&amp;" /e /r /s /spath="&amp;search_path&amp;" /stypes=""app*"&amp;SHY28&amp;"*"&amp;TEXT(SIF28-utc_offset/24,"YYYYMMDD")&amp;"*"" /stext="" "&amp;TEXT(SIF28-utc_offset/24,"HH")&amp;search_regexp&amp;""""</f>
        <v>#REF!</v>
      </c>
      <c r="SJD28" s="234" t="e">
        <f>astrogrep_path&amp;" /e /r /s /spath="&amp;search_path&amp;" /stypes=""app*"&amp;SHZ28&amp;"*"&amp;TEXT(SIG28-utc_offset/24,"YYYYMMDD")&amp;"*"" /stext="" "&amp;TEXT(SIG28-utc_offset/24,"HH")&amp;search_regexp&amp;""""</f>
        <v>#REF!</v>
      </c>
      <c r="SJE28" s="234" t="e">
        <f>astrogrep_path&amp;" /e /r /s /spath="&amp;search_path&amp;" /stypes=""app*"&amp;SIA28&amp;"*"&amp;TEXT(SIH28-utc_offset/24,"YYYYMMDD")&amp;"*"" /stext="" "&amp;TEXT(SIH28-utc_offset/24,"HH")&amp;search_regexp&amp;""""</f>
        <v>#REF!</v>
      </c>
      <c r="SJF28" s="234" t="e">
        <f>astrogrep_path&amp;" /e /r /s /spath="&amp;search_path&amp;" /stypes=""app*"&amp;SIB28&amp;"*"&amp;TEXT(SII28-utc_offset/24,"YYYYMMDD")&amp;"*"" /stext="" "&amp;TEXT(SII28-utc_offset/24,"HH")&amp;search_regexp&amp;""""</f>
        <v>#REF!</v>
      </c>
      <c r="SJG28" s="234" t="e">
        <f>astrogrep_path&amp;" /e /r /s /spath="&amp;search_path&amp;" /stypes=""app*"&amp;SIC28&amp;"*"&amp;TEXT(SIJ28-utc_offset/24,"YYYYMMDD")&amp;"*"" /stext="" "&amp;TEXT(SIJ28-utc_offset/24,"HH")&amp;search_regexp&amp;""""</f>
        <v>#VALUE!</v>
      </c>
      <c r="SJH28" s="234" t="e">
        <f>astrogrep_path&amp;" /e /r /s /spath="&amp;search_path&amp;" /stypes=""app*"&amp;SID28&amp;"*"&amp;TEXT(SIK28-utc_offset/24,"YYYYMMDD")&amp;"*"" /stext="" "&amp;TEXT(SIK28-utc_offset/24,"HH")&amp;search_regexp&amp;""""</f>
        <v>#VALUE!</v>
      </c>
      <c r="SJI28" s="234" t="e">
        <f>astrogrep_path&amp;" /e /r /s /spath="&amp;search_path&amp;" /stypes=""app*"&amp;SIE28&amp;"*"&amp;TEXT(SIL28-utc_offset/24,"YYYYMMDD")&amp;"*"" /stext="" "&amp;TEXT(SIL28-utc_offset/24,"HH")&amp;search_regexp&amp;""""</f>
        <v>#REF!</v>
      </c>
      <c r="SJJ28" s="234" t="e">
        <f>astrogrep_path&amp;" /e /r /s /spath="&amp;search_path&amp;" /stypes=""app*"&amp;SIF28&amp;"*"&amp;TEXT(SIM28-utc_offset/24,"YYYYMMDD")&amp;"*"" /stext="" "&amp;TEXT(SIM28-utc_offset/24,"HH")&amp;search_regexp&amp;""""</f>
        <v>#REF!</v>
      </c>
      <c r="SJK28" s="234" t="e">
        <f>astrogrep_path&amp;" /e /r /s /spath="&amp;search_path&amp;" /stypes=""app*"&amp;SIG28&amp;"*"&amp;TEXT(SIN28-utc_offset/24,"YYYYMMDD")&amp;"*"" /stext="" "&amp;TEXT(SIN28-utc_offset/24,"HH")&amp;search_regexp&amp;""""</f>
        <v>#VALUE!</v>
      </c>
      <c r="SJL28" s="234" t="e">
        <f>astrogrep_path&amp;" /e /r /s /spath="&amp;search_path&amp;" /stypes=""app*"&amp;SIH28&amp;"*"&amp;TEXT(SIO28-utc_offset/24,"YYYYMMDD")&amp;"*"" /stext="" "&amp;TEXT(SIO28-utc_offset/24,"HH")&amp;search_regexp&amp;""""</f>
        <v>#VALUE!</v>
      </c>
      <c r="SJM28" s="234" t="e">
        <f>astrogrep_path&amp;" /e /r /s /spath="&amp;search_path&amp;" /stypes=""app*"&amp;SII28&amp;"*"&amp;TEXT(SIP28-utc_offset/24,"YYYYMMDD")&amp;"*"" /stext="" "&amp;TEXT(SIP28-utc_offset/24,"HH")&amp;search_regexp&amp;""""</f>
        <v>#VALUE!</v>
      </c>
      <c r="SJN28" s="234" t="e">
        <f>astrogrep_path&amp;" /e /r /s /spath="&amp;search_path&amp;" /stypes=""app*"&amp;SIJ28&amp;"*"&amp;TEXT(SIQ28-utc_offset/24,"YYYYMMDD")&amp;"*"" /stext="" "&amp;TEXT(SIQ28-utc_offset/24,"HH")&amp;search_regexp&amp;""""</f>
        <v>#VALUE!</v>
      </c>
      <c r="SJO28" s="234" t="e">
        <f>astrogrep_path&amp;" /e /r /s /spath="&amp;search_path&amp;" /stypes=""app*"&amp;SIK28&amp;"*"&amp;TEXT(SIR28-utc_offset/24,"YYYYMMDD")&amp;"*"" /stext="" "&amp;TEXT(SIR28-utc_offset/24,"HH")&amp;search_regexp&amp;""""</f>
        <v>#VALUE!</v>
      </c>
      <c r="SJP28" s="234" t="e">
        <f>astrogrep_path&amp;" /e /r /s /spath="&amp;search_path&amp;" /stypes=""app*"&amp;SIL28&amp;"*"&amp;TEXT(SIS28-utc_offset/24,"YYYYMMDD")&amp;"*"" /stext="" "&amp;TEXT(SIS28-utc_offset/24,"HH")&amp;search_regexp&amp;""""</f>
        <v>#REF!</v>
      </c>
      <c r="SJQ28" s="234" t="e">
        <f>astrogrep_path&amp;" /e /r /s /spath="&amp;search_path&amp;" /stypes=""app*"&amp;SIM28&amp;"*"&amp;TEXT(SIT28-utc_offset/24,"YYYYMMDD")&amp;"*"" /stext="" "&amp;TEXT(SIT28-utc_offset/24,"HH")&amp;search_regexp&amp;""""</f>
        <v>#REF!</v>
      </c>
      <c r="SJR28" s="234" t="e">
        <f>astrogrep_path&amp;" /e /r /s /spath="&amp;search_path&amp;" /stypes=""app*"&amp;SIN28&amp;"*"&amp;TEXT(SIU28-utc_offset/24,"YYYYMMDD")&amp;"*"" /stext="" "&amp;TEXT(SIU28-utc_offset/24,"HH")&amp;search_regexp&amp;""""</f>
        <v>#REF!</v>
      </c>
      <c r="SJS28" s="234" t="e">
        <f>astrogrep_path&amp;" /e /r /s /spath="&amp;search_path&amp;" /stypes=""app*"&amp;SIO28&amp;"*"&amp;TEXT(SIV28-utc_offset/24,"YYYYMMDD")&amp;"*"" /stext="" "&amp;TEXT(SIV28-utc_offset/24,"HH")&amp;search_regexp&amp;""""</f>
        <v>#REF!</v>
      </c>
      <c r="SJT28" s="234" t="e">
        <f>astrogrep_path&amp;" /e /r /s /spath="&amp;search_path&amp;" /stypes=""app*"&amp;SIP28&amp;"*"&amp;TEXT(SIW28-utc_offset/24,"YYYYMMDD")&amp;"*"" /stext="" "&amp;TEXT(SIW28-utc_offset/24,"HH")&amp;search_regexp&amp;""""</f>
        <v>#REF!</v>
      </c>
      <c r="SJU28" s="234" t="e">
        <f>astrogrep_path&amp;" /e /r /s /spath="&amp;search_path&amp;" /stypes=""app*"&amp;SIQ28&amp;"*"&amp;TEXT(SIX28-utc_offset/24,"YYYYMMDD")&amp;"*"" /stext="" "&amp;TEXT(SIX28-utc_offset/24,"HH")&amp;search_regexp&amp;""""</f>
        <v>#REF!</v>
      </c>
      <c r="SJV28" s="234" t="e">
        <f>astrogrep_path&amp;" /e /r /s /spath="&amp;search_path&amp;" /stypes=""app*"&amp;SIR28&amp;"*"&amp;TEXT(SIY28-utc_offset/24,"YYYYMMDD")&amp;"*"" /stext="" "&amp;TEXT(SIY28-utc_offset/24,"HH")&amp;search_regexp&amp;""""</f>
        <v>#REF!</v>
      </c>
      <c r="SJW28" s="234" t="e">
        <f>astrogrep_path&amp;" /e /r /s /spath="&amp;search_path&amp;" /stypes=""app*"&amp;SIS28&amp;"*"&amp;TEXT(SIZ28-utc_offset/24,"YYYYMMDD")&amp;"*"" /stext="" "&amp;TEXT(SIZ28-utc_offset/24,"HH")&amp;search_regexp&amp;""""</f>
        <v>#REF!</v>
      </c>
      <c r="SJX28" s="234" t="e">
        <f>astrogrep_path&amp;" /e /r /s /spath="&amp;search_path&amp;" /stypes=""app*"&amp;SIT28&amp;"*"&amp;TEXT(SJA28-utc_offset/24,"YYYYMMDD")&amp;"*"" /stext="" "&amp;TEXT(SJA28-utc_offset/24,"HH")&amp;search_regexp&amp;""""</f>
        <v>#REF!</v>
      </c>
      <c r="SJY28" s="234" t="e">
        <f>astrogrep_path&amp;" /e /r /s /spath="&amp;search_path&amp;" /stypes=""app*"&amp;SIU28&amp;"*"&amp;TEXT(SJB28-utc_offset/24,"YYYYMMDD")&amp;"*"" /stext="" "&amp;TEXT(SJB28-utc_offset/24,"HH")&amp;search_regexp&amp;""""</f>
        <v>#REF!</v>
      </c>
      <c r="SJZ28" s="234" t="e">
        <f>astrogrep_path&amp;" /e /r /s /spath="&amp;search_path&amp;" /stypes=""app*"&amp;SIV28&amp;"*"&amp;TEXT(SJC28-utc_offset/24,"YYYYMMDD")&amp;"*"" /stext="" "&amp;TEXT(SJC28-utc_offset/24,"HH")&amp;search_regexp&amp;""""</f>
        <v>#REF!</v>
      </c>
      <c r="SKA28" s="234" t="e">
        <f>astrogrep_path&amp;" /e /r /s /spath="&amp;search_path&amp;" /stypes=""app*"&amp;SIW28&amp;"*"&amp;TEXT(SJD28-utc_offset/24,"YYYYMMDD")&amp;"*"" /stext="" "&amp;TEXT(SJD28-utc_offset/24,"HH")&amp;search_regexp&amp;""""</f>
        <v>#REF!</v>
      </c>
      <c r="SKB28" s="234" t="e">
        <f>astrogrep_path&amp;" /e /r /s /spath="&amp;search_path&amp;" /stypes=""app*"&amp;SIX28&amp;"*"&amp;TEXT(SJE28-utc_offset/24,"YYYYMMDD")&amp;"*"" /stext="" "&amp;TEXT(SJE28-utc_offset/24,"HH")&amp;search_regexp&amp;""""</f>
        <v>#REF!</v>
      </c>
      <c r="SKC28" s="234" t="e">
        <f>astrogrep_path&amp;" /e /r /s /spath="&amp;search_path&amp;" /stypes=""app*"&amp;SIY28&amp;"*"&amp;TEXT(SJF28-utc_offset/24,"YYYYMMDD")&amp;"*"" /stext="" "&amp;TEXT(SJF28-utc_offset/24,"HH")&amp;search_regexp&amp;""""</f>
        <v>#REF!</v>
      </c>
      <c r="SKD28" s="234" t="e">
        <f>astrogrep_path&amp;" /e /r /s /spath="&amp;search_path&amp;" /stypes=""app*"&amp;SIZ28&amp;"*"&amp;TEXT(SJG28-utc_offset/24,"YYYYMMDD")&amp;"*"" /stext="" "&amp;TEXT(SJG28-utc_offset/24,"HH")&amp;search_regexp&amp;""""</f>
        <v>#REF!</v>
      </c>
      <c r="SKE28" s="234" t="e">
        <f>astrogrep_path&amp;" /e /r /s /spath="&amp;search_path&amp;" /stypes=""app*"&amp;SJA28&amp;"*"&amp;TEXT(SJH28-utc_offset/24,"YYYYMMDD")&amp;"*"" /stext="" "&amp;TEXT(SJH28-utc_offset/24,"HH")&amp;search_regexp&amp;""""</f>
        <v>#REF!</v>
      </c>
      <c r="SKF28" s="234" t="e">
        <f>astrogrep_path&amp;" /e /r /s /spath="&amp;search_path&amp;" /stypes=""app*"&amp;SJB28&amp;"*"&amp;TEXT(SJI28-utc_offset/24,"YYYYMMDD")&amp;"*"" /stext="" "&amp;TEXT(SJI28-utc_offset/24,"HH")&amp;search_regexp&amp;""""</f>
        <v>#REF!</v>
      </c>
      <c r="SKG28" s="234" t="e">
        <f>astrogrep_path&amp;" /e /r /s /spath="&amp;search_path&amp;" /stypes=""app*"&amp;SJC28&amp;"*"&amp;TEXT(SJJ28-utc_offset/24,"YYYYMMDD")&amp;"*"" /stext="" "&amp;TEXT(SJJ28-utc_offset/24,"HH")&amp;search_regexp&amp;""""</f>
        <v>#REF!</v>
      </c>
      <c r="SKH28" s="234" t="e">
        <f>astrogrep_path&amp;" /e /r /s /spath="&amp;search_path&amp;" /stypes=""app*"&amp;SJD28&amp;"*"&amp;TEXT(SJK28-utc_offset/24,"YYYYMMDD")&amp;"*"" /stext="" "&amp;TEXT(SJK28-utc_offset/24,"HH")&amp;search_regexp&amp;""""</f>
        <v>#REF!</v>
      </c>
      <c r="SKI28" s="234" t="e">
        <f>astrogrep_path&amp;" /e /r /s /spath="&amp;search_path&amp;" /stypes=""app*"&amp;SJE28&amp;"*"&amp;TEXT(SJL28-utc_offset/24,"YYYYMMDD")&amp;"*"" /stext="" "&amp;TEXT(SJL28-utc_offset/24,"HH")&amp;search_regexp&amp;""""</f>
        <v>#REF!</v>
      </c>
      <c r="SKJ28" s="234" t="e">
        <f>astrogrep_path&amp;" /e /r /s /spath="&amp;search_path&amp;" /stypes=""app*"&amp;SJF28&amp;"*"&amp;TEXT(SJM28-utc_offset/24,"YYYYMMDD")&amp;"*"" /stext="" "&amp;TEXT(SJM28-utc_offset/24,"HH")&amp;search_regexp&amp;""""</f>
        <v>#REF!</v>
      </c>
      <c r="SKK28" s="234" t="e">
        <f>astrogrep_path&amp;" /e /r /s /spath="&amp;search_path&amp;" /stypes=""app*"&amp;SJG28&amp;"*"&amp;TEXT(SJN28-utc_offset/24,"YYYYMMDD")&amp;"*"" /stext="" "&amp;TEXT(SJN28-utc_offset/24,"HH")&amp;search_regexp&amp;""""</f>
        <v>#VALUE!</v>
      </c>
      <c r="SKL28" s="234" t="e">
        <f>astrogrep_path&amp;" /e /r /s /spath="&amp;search_path&amp;" /stypes=""app*"&amp;SJH28&amp;"*"&amp;TEXT(SJO28-utc_offset/24,"YYYYMMDD")&amp;"*"" /stext="" "&amp;TEXT(SJO28-utc_offset/24,"HH")&amp;search_regexp&amp;""""</f>
        <v>#VALUE!</v>
      </c>
      <c r="SKM28" s="234" t="e">
        <f>astrogrep_path&amp;" /e /r /s /spath="&amp;search_path&amp;" /stypes=""app*"&amp;SJI28&amp;"*"&amp;TEXT(SJP28-utc_offset/24,"YYYYMMDD")&amp;"*"" /stext="" "&amp;TEXT(SJP28-utc_offset/24,"HH")&amp;search_regexp&amp;""""</f>
        <v>#REF!</v>
      </c>
      <c r="SKN28" s="234" t="e">
        <f>astrogrep_path&amp;" /e /r /s /spath="&amp;search_path&amp;" /stypes=""app*"&amp;SJJ28&amp;"*"&amp;TEXT(SJQ28-utc_offset/24,"YYYYMMDD")&amp;"*"" /stext="" "&amp;TEXT(SJQ28-utc_offset/24,"HH")&amp;search_regexp&amp;""""</f>
        <v>#REF!</v>
      </c>
      <c r="SKO28" s="234" t="e">
        <f>astrogrep_path&amp;" /e /r /s /spath="&amp;search_path&amp;" /stypes=""app*"&amp;SJK28&amp;"*"&amp;TEXT(SJR28-utc_offset/24,"YYYYMMDD")&amp;"*"" /stext="" "&amp;TEXT(SJR28-utc_offset/24,"HH")&amp;search_regexp&amp;""""</f>
        <v>#VALUE!</v>
      </c>
      <c r="SKP28" s="234" t="e">
        <f>astrogrep_path&amp;" /e /r /s /spath="&amp;search_path&amp;" /stypes=""app*"&amp;SJL28&amp;"*"&amp;TEXT(SJS28-utc_offset/24,"YYYYMMDD")&amp;"*"" /stext="" "&amp;TEXT(SJS28-utc_offset/24,"HH")&amp;search_regexp&amp;""""</f>
        <v>#VALUE!</v>
      </c>
      <c r="SKQ28" s="234" t="e">
        <f>astrogrep_path&amp;" /e /r /s /spath="&amp;search_path&amp;" /stypes=""app*"&amp;SJM28&amp;"*"&amp;TEXT(SJT28-utc_offset/24,"YYYYMMDD")&amp;"*"" /stext="" "&amp;TEXT(SJT28-utc_offset/24,"HH")&amp;search_regexp&amp;""""</f>
        <v>#VALUE!</v>
      </c>
      <c r="SKR28" s="234" t="e">
        <f>astrogrep_path&amp;" /e /r /s /spath="&amp;search_path&amp;" /stypes=""app*"&amp;SJN28&amp;"*"&amp;TEXT(SJU28-utc_offset/24,"YYYYMMDD")&amp;"*"" /stext="" "&amp;TEXT(SJU28-utc_offset/24,"HH")&amp;search_regexp&amp;""""</f>
        <v>#VALUE!</v>
      </c>
      <c r="SKS28" s="234" t="e">
        <f>astrogrep_path&amp;" /e /r /s /spath="&amp;search_path&amp;" /stypes=""app*"&amp;SJO28&amp;"*"&amp;TEXT(SJV28-utc_offset/24,"YYYYMMDD")&amp;"*"" /stext="" "&amp;TEXT(SJV28-utc_offset/24,"HH")&amp;search_regexp&amp;""""</f>
        <v>#VALUE!</v>
      </c>
      <c r="SKT28" s="234" t="e">
        <f>astrogrep_path&amp;" /e /r /s /spath="&amp;search_path&amp;" /stypes=""app*"&amp;SJP28&amp;"*"&amp;TEXT(SJW28-utc_offset/24,"YYYYMMDD")&amp;"*"" /stext="" "&amp;TEXT(SJW28-utc_offset/24,"HH")&amp;search_regexp&amp;""""</f>
        <v>#REF!</v>
      </c>
      <c r="SKU28" s="234" t="e">
        <f>astrogrep_path&amp;" /e /r /s /spath="&amp;search_path&amp;" /stypes=""app*"&amp;SJQ28&amp;"*"&amp;TEXT(SJX28-utc_offset/24,"YYYYMMDD")&amp;"*"" /stext="" "&amp;TEXT(SJX28-utc_offset/24,"HH")&amp;search_regexp&amp;""""</f>
        <v>#REF!</v>
      </c>
      <c r="SKV28" s="234" t="e">
        <f>astrogrep_path&amp;" /e /r /s /spath="&amp;search_path&amp;" /stypes=""app*"&amp;SJR28&amp;"*"&amp;TEXT(SJY28-utc_offset/24,"YYYYMMDD")&amp;"*"" /stext="" "&amp;TEXT(SJY28-utc_offset/24,"HH")&amp;search_regexp&amp;""""</f>
        <v>#REF!</v>
      </c>
      <c r="SKW28" s="234" t="e">
        <f>astrogrep_path&amp;" /e /r /s /spath="&amp;search_path&amp;" /stypes=""app*"&amp;SJS28&amp;"*"&amp;TEXT(SJZ28-utc_offset/24,"YYYYMMDD")&amp;"*"" /stext="" "&amp;TEXT(SJZ28-utc_offset/24,"HH")&amp;search_regexp&amp;""""</f>
        <v>#REF!</v>
      </c>
      <c r="SKX28" s="234" t="e">
        <f>astrogrep_path&amp;" /e /r /s /spath="&amp;search_path&amp;" /stypes=""app*"&amp;SJT28&amp;"*"&amp;TEXT(SKA28-utc_offset/24,"YYYYMMDD")&amp;"*"" /stext="" "&amp;TEXT(SKA28-utc_offset/24,"HH")&amp;search_regexp&amp;""""</f>
        <v>#REF!</v>
      </c>
      <c r="SKY28" s="234" t="e">
        <f>astrogrep_path&amp;" /e /r /s /spath="&amp;search_path&amp;" /stypes=""app*"&amp;SJU28&amp;"*"&amp;TEXT(SKB28-utc_offset/24,"YYYYMMDD")&amp;"*"" /stext="" "&amp;TEXT(SKB28-utc_offset/24,"HH")&amp;search_regexp&amp;""""</f>
        <v>#REF!</v>
      </c>
      <c r="SKZ28" s="234" t="e">
        <f>astrogrep_path&amp;" /e /r /s /spath="&amp;search_path&amp;" /stypes=""app*"&amp;SJV28&amp;"*"&amp;TEXT(SKC28-utc_offset/24,"YYYYMMDD")&amp;"*"" /stext="" "&amp;TEXT(SKC28-utc_offset/24,"HH")&amp;search_regexp&amp;""""</f>
        <v>#REF!</v>
      </c>
      <c r="SLA28" s="234" t="e">
        <f>astrogrep_path&amp;" /e /r /s /spath="&amp;search_path&amp;" /stypes=""app*"&amp;SJW28&amp;"*"&amp;TEXT(SKD28-utc_offset/24,"YYYYMMDD")&amp;"*"" /stext="" "&amp;TEXT(SKD28-utc_offset/24,"HH")&amp;search_regexp&amp;""""</f>
        <v>#REF!</v>
      </c>
      <c r="SLB28" s="234" t="e">
        <f>astrogrep_path&amp;" /e /r /s /spath="&amp;search_path&amp;" /stypes=""app*"&amp;SJX28&amp;"*"&amp;TEXT(SKE28-utc_offset/24,"YYYYMMDD")&amp;"*"" /stext="" "&amp;TEXT(SKE28-utc_offset/24,"HH")&amp;search_regexp&amp;""""</f>
        <v>#REF!</v>
      </c>
      <c r="SLC28" s="234" t="e">
        <f>astrogrep_path&amp;" /e /r /s /spath="&amp;search_path&amp;" /stypes=""app*"&amp;SJY28&amp;"*"&amp;TEXT(SKF28-utc_offset/24,"YYYYMMDD")&amp;"*"" /stext="" "&amp;TEXT(SKF28-utc_offset/24,"HH")&amp;search_regexp&amp;""""</f>
        <v>#REF!</v>
      </c>
      <c r="SLD28" s="234" t="e">
        <f>astrogrep_path&amp;" /e /r /s /spath="&amp;search_path&amp;" /stypes=""app*"&amp;SJZ28&amp;"*"&amp;TEXT(SKG28-utc_offset/24,"YYYYMMDD")&amp;"*"" /stext="" "&amp;TEXT(SKG28-utc_offset/24,"HH")&amp;search_regexp&amp;""""</f>
        <v>#REF!</v>
      </c>
      <c r="SLE28" s="234" t="e">
        <f>astrogrep_path&amp;" /e /r /s /spath="&amp;search_path&amp;" /stypes=""app*"&amp;SKA28&amp;"*"&amp;TEXT(SKH28-utc_offset/24,"YYYYMMDD")&amp;"*"" /stext="" "&amp;TEXT(SKH28-utc_offset/24,"HH")&amp;search_regexp&amp;""""</f>
        <v>#REF!</v>
      </c>
      <c r="SLF28" s="234" t="e">
        <f>astrogrep_path&amp;" /e /r /s /spath="&amp;search_path&amp;" /stypes=""app*"&amp;SKB28&amp;"*"&amp;TEXT(SKI28-utc_offset/24,"YYYYMMDD")&amp;"*"" /stext="" "&amp;TEXT(SKI28-utc_offset/24,"HH")&amp;search_regexp&amp;""""</f>
        <v>#REF!</v>
      </c>
      <c r="SLG28" s="234" t="e">
        <f>astrogrep_path&amp;" /e /r /s /spath="&amp;search_path&amp;" /stypes=""app*"&amp;SKC28&amp;"*"&amp;TEXT(SKJ28-utc_offset/24,"YYYYMMDD")&amp;"*"" /stext="" "&amp;TEXT(SKJ28-utc_offset/24,"HH")&amp;search_regexp&amp;""""</f>
        <v>#REF!</v>
      </c>
      <c r="SLH28" s="234" t="e">
        <f>astrogrep_path&amp;" /e /r /s /spath="&amp;search_path&amp;" /stypes=""app*"&amp;SKD28&amp;"*"&amp;TEXT(SKK28-utc_offset/24,"YYYYMMDD")&amp;"*"" /stext="" "&amp;TEXT(SKK28-utc_offset/24,"HH")&amp;search_regexp&amp;""""</f>
        <v>#REF!</v>
      </c>
      <c r="SLI28" s="234" t="e">
        <f>astrogrep_path&amp;" /e /r /s /spath="&amp;search_path&amp;" /stypes=""app*"&amp;SKE28&amp;"*"&amp;TEXT(SKL28-utc_offset/24,"YYYYMMDD")&amp;"*"" /stext="" "&amp;TEXT(SKL28-utc_offset/24,"HH")&amp;search_regexp&amp;""""</f>
        <v>#REF!</v>
      </c>
      <c r="SLJ28" s="234" t="e">
        <f>astrogrep_path&amp;" /e /r /s /spath="&amp;search_path&amp;" /stypes=""app*"&amp;SKF28&amp;"*"&amp;TEXT(SKM28-utc_offset/24,"YYYYMMDD")&amp;"*"" /stext="" "&amp;TEXT(SKM28-utc_offset/24,"HH")&amp;search_regexp&amp;""""</f>
        <v>#REF!</v>
      </c>
      <c r="SLK28" s="234" t="e">
        <f>astrogrep_path&amp;" /e /r /s /spath="&amp;search_path&amp;" /stypes=""app*"&amp;SKG28&amp;"*"&amp;TEXT(SKN28-utc_offset/24,"YYYYMMDD")&amp;"*"" /stext="" "&amp;TEXT(SKN28-utc_offset/24,"HH")&amp;search_regexp&amp;""""</f>
        <v>#REF!</v>
      </c>
      <c r="SLL28" s="234" t="e">
        <f>astrogrep_path&amp;" /e /r /s /spath="&amp;search_path&amp;" /stypes=""app*"&amp;SKH28&amp;"*"&amp;TEXT(SKO28-utc_offset/24,"YYYYMMDD")&amp;"*"" /stext="" "&amp;TEXT(SKO28-utc_offset/24,"HH")&amp;search_regexp&amp;""""</f>
        <v>#REF!</v>
      </c>
      <c r="SLM28" s="234" t="e">
        <f>astrogrep_path&amp;" /e /r /s /spath="&amp;search_path&amp;" /stypes=""app*"&amp;SKI28&amp;"*"&amp;TEXT(SKP28-utc_offset/24,"YYYYMMDD")&amp;"*"" /stext="" "&amp;TEXT(SKP28-utc_offset/24,"HH")&amp;search_regexp&amp;""""</f>
        <v>#REF!</v>
      </c>
      <c r="SLN28" s="234" t="e">
        <f>astrogrep_path&amp;" /e /r /s /spath="&amp;search_path&amp;" /stypes=""app*"&amp;SKJ28&amp;"*"&amp;TEXT(SKQ28-utc_offset/24,"YYYYMMDD")&amp;"*"" /stext="" "&amp;TEXT(SKQ28-utc_offset/24,"HH")&amp;search_regexp&amp;""""</f>
        <v>#REF!</v>
      </c>
      <c r="SLO28" s="234" t="e">
        <f>astrogrep_path&amp;" /e /r /s /spath="&amp;search_path&amp;" /stypes=""app*"&amp;SKK28&amp;"*"&amp;TEXT(SKR28-utc_offset/24,"YYYYMMDD")&amp;"*"" /stext="" "&amp;TEXT(SKR28-utc_offset/24,"HH")&amp;search_regexp&amp;""""</f>
        <v>#VALUE!</v>
      </c>
      <c r="SLP28" s="234" t="e">
        <f>astrogrep_path&amp;" /e /r /s /spath="&amp;search_path&amp;" /stypes=""app*"&amp;SKL28&amp;"*"&amp;TEXT(SKS28-utc_offset/24,"YYYYMMDD")&amp;"*"" /stext="" "&amp;TEXT(SKS28-utc_offset/24,"HH")&amp;search_regexp&amp;""""</f>
        <v>#VALUE!</v>
      </c>
      <c r="SLQ28" s="234" t="e">
        <f>astrogrep_path&amp;" /e /r /s /spath="&amp;search_path&amp;" /stypes=""app*"&amp;SKM28&amp;"*"&amp;TEXT(SKT28-utc_offset/24,"YYYYMMDD")&amp;"*"" /stext="" "&amp;TEXT(SKT28-utc_offset/24,"HH")&amp;search_regexp&amp;""""</f>
        <v>#REF!</v>
      </c>
      <c r="SLR28" s="234" t="e">
        <f>astrogrep_path&amp;" /e /r /s /spath="&amp;search_path&amp;" /stypes=""app*"&amp;SKN28&amp;"*"&amp;TEXT(SKU28-utc_offset/24,"YYYYMMDD")&amp;"*"" /stext="" "&amp;TEXT(SKU28-utc_offset/24,"HH")&amp;search_regexp&amp;""""</f>
        <v>#REF!</v>
      </c>
      <c r="SLS28" s="234" t="e">
        <f>astrogrep_path&amp;" /e /r /s /spath="&amp;search_path&amp;" /stypes=""app*"&amp;SKO28&amp;"*"&amp;TEXT(SKV28-utc_offset/24,"YYYYMMDD")&amp;"*"" /stext="" "&amp;TEXT(SKV28-utc_offset/24,"HH")&amp;search_regexp&amp;""""</f>
        <v>#VALUE!</v>
      </c>
      <c r="SLT28" s="234" t="e">
        <f>astrogrep_path&amp;" /e /r /s /spath="&amp;search_path&amp;" /stypes=""app*"&amp;SKP28&amp;"*"&amp;TEXT(SKW28-utc_offset/24,"YYYYMMDD")&amp;"*"" /stext="" "&amp;TEXT(SKW28-utc_offset/24,"HH")&amp;search_regexp&amp;""""</f>
        <v>#VALUE!</v>
      </c>
      <c r="SLU28" s="234" t="e">
        <f>astrogrep_path&amp;" /e /r /s /spath="&amp;search_path&amp;" /stypes=""app*"&amp;SKQ28&amp;"*"&amp;TEXT(SKX28-utc_offset/24,"YYYYMMDD")&amp;"*"" /stext="" "&amp;TEXT(SKX28-utc_offset/24,"HH")&amp;search_regexp&amp;""""</f>
        <v>#VALUE!</v>
      </c>
      <c r="SLV28" s="234" t="e">
        <f>astrogrep_path&amp;" /e /r /s /spath="&amp;search_path&amp;" /stypes=""app*"&amp;SKR28&amp;"*"&amp;TEXT(SKY28-utc_offset/24,"YYYYMMDD")&amp;"*"" /stext="" "&amp;TEXT(SKY28-utc_offset/24,"HH")&amp;search_regexp&amp;""""</f>
        <v>#VALUE!</v>
      </c>
      <c r="SLW28" s="234" t="e">
        <f>astrogrep_path&amp;" /e /r /s /spath="&amp;search_path&amp;" /stypes=""app*"&amp;SKS28&amp;"*"&amp;TEXT(SKZ28-utc_offset/24,"YYYYMMDD")&amp;"*"" /stext="" "&amp;TEXT(SKZ28-utc_offset/24,"HH")&amp;search_regexp&amp;""""</f>
        <v>#VALUE!</v>
      </c>
      <c r="SLX28" s="234" t="e">
        <f>astrogrep_path&amp;" /e /r /s /spath="&amp;search_path&amp;" /stypes=""app*"&amp;SKT28&amp;"*"&amp;TEXT(SLA28-utc_offset/24,"YYYYMMDD")&amp;"*"" /stext="" "&amp;TEXT(SLA28-utc_offset/24,"HH")&amp;search_regexp&amp;""""</f>
        <v>#REF!</v>
      </c>
      <c r="SLY28" s="234" t="e">
        <f>astrogrep_path&amp;" /e /r /s /spath="&amp;search_path&amp;" /stypes=""app*"&amp;SKU28&amp;"*"&amp;TEXT(SLB28-utc_offset/24,"YYYYMMDD")&amp;"*"" /stext="" "&amp;TEXT(SLB28-utc_offset/24,"HH")&amp;search_regexp&amp;""""</f>
        <v>#REF!</v>
      </c>
      <c r="SLZ28" s="234" t="e">
        <f>astrogrep_path&amp;" /e /r /s /spath="&amp;search_path&amp;" /stypes=""app*"&amp;SKV28&amp;"*"&amp;TEXT(SLC28-utc_offset/24,"YYYYMMDD")&amp;"*"" /stext="" "&amp;TEXT(SLC28-utc_offset/24,"HH")&amp;search_regexp&amp;""""</f>
        <v>#REF!</v>
      </c>
      <c r="SMA28" s="234" t="e">
        <f>astrogrep_path&amp;" /e /r /s /spath="&amp;search_path&amp;" /stypes=""app*"&amp;SKW28&amp;"*"&amp;TEXT(SLD28-utc_offset/24,"YYYYMMDD")&amp;"*"" /stext="" "&amp;TEXT(SLD28-utc_offset/24,"HH")&amp;search_regexp&amp;""""</f>
        <v>#REF!</v>
      </c>
      <c r="SMB28" s="234" t="e">
        <f>astrogrep_path&amp;" /e /r /s /spath="&amp;search_path&amp;" /stypes=""app*"&amp;SKX28&amp;"*"&amp;TEXT(SLE28-utc_offset/24,"YYYYMMDD")&amp;"*"" /stext="" "&amp;TEXT(SLE28-utc_offset/24,"HH")&amp;search_regexp&amp;""""</f>
        <v>#REF!</v>
      </c>
      <c r="SMC28" s="234" t="e">
        <f>astrogrep_path&amp;" /e /r /s /spath="&amp;search_path&amp;" /stypes=""app*"&amp;SKY28&amp;"*"&amp;TEXT(SLF28-utc_offset/24,"YYYYMMDD")&amp;"*"" /stext="" "&amp;TEXT(SLF28-utc_offset/24,"HH")&amp;search_regexp&amp;""""</f>
        <v>#REF!</v>
      </c>
      <c r="SMD28" s="234" t="e">
        <f>astrogrep_path&amp;" /e /r /s /spath="&amp;search_path&amp;" /stypes=""app*"&amp;SKZ28&amp;"*"&amp;TEXT(SLG28-utc_offset/24,"YYYYMMDD")&amp;"*"" /stext="" "&amp;TEXT(SLG28-utc_offset/24,"HH")&amp;search_regexp&amp;""""</f>
        <v>#REF!</v>
      </c>
      <c r="SME28" s="234" t="e">
        <f>astrogrep_path&amp;" /e /r /s /spath="&amp;search_path&amp;" /stypes=""app*"&amp;SLA28&amp;"*"&amp;TEXT(SLH28-utc_offset/24,"YYYYMMDD")&amp;"*"" /stext="" "&amp;TEXT(SLH28-utc_offset/24,"HH")&amp;search_regexp&amp;""""</f>
        <v>#REF!</v>
      </c>
      <c r="SMF28" s="234" t="e">
        <f>astrogrep_path&amp;" /e /r /s /spath="&amp;search_path&amp;" /stypes=""app*"&amp;SLB28&amp;"*"&amp;TEXT(SLI28-utc_offset/24,"YYYYMMDD")&amp;"*"" /stext="" "&amp;TEXT(SLI28-utc_offset/24,"HH")&amp;search_regexp&amp;""""</f>
        <v>#REF!</v>
      </c>
      <c r="SMG28" s="234" t="e">
        <f>astrogrep_path&amp;" /e /r /s /spath="&amp;search_path&amp;" /stypes=""app*"&amp;SLC28&amp;"*"&amp;TEXT(SLJ28-utc_offset/24,"YYYYMMDD")&amp;"*"" /stext="" "&amp;TEXT(SLJ28-utc_offset/24,"HH")&amp;search_regexp&amp;""""</f>
        <v>#REF!</v>
      </c>
      <c r="SMH28" s="234" t="e">
        <f>astrogrep_path&amp;" /e /r /s /spath="&amp;search_path&amp;" /stypes=""app*"&amp;SLD28&amp;"*"&amp;TEXT(SLK28-utc_offset/24,"YYYYMMDD")&amp;"*"" /stext="" "&amp;TEXT(SLK28-utc_offset/24,"HH")&amp;search_regexp&amp;""""</f>
        <v>#REF!</v>
      </c>
      <c r="SMI28" s="234" t="e">
        <f>astrogrep_path&amp;" /e /r /s /spath="&amp;search_path&amp;" /stypes=""app*"&amp;SLE28&amp;"*"&amp;TEXT(SLL28-utc_offset/24,"YYYYMMDD")&amp;"*"" /stext="" "&amp;TEXT(SLL28-utc_offset/24,"HH")&amp;search_regexp&amp;""""</f>
        <v>#REF!</v>
      </c>
      <c r="SMJ28" s="234" t="e">
        <f>astrogrep_path&amp;" /e /r /s /spath="&amp;search_path&amp;" /stypes=""app*"&amp;SLF28&amp;"*"&amp;TEXT(SLM28-utc_offset/24,"YYYYMMDD")&amp;"*"" /stext="" "&amp;TEXT(SLM28-utc_offset/24,"HH")&amp;search_regexp&amp;""""</f>
        <v>#REF!</v>
      </c>
      <c r="SMK28" s="234" t="e">
        <f>astrogrep_path&amp;" /e /r /s /spath="&amp;search_path&amp;" /stypes=""app*"&amp;SLG28&amp;"*"&amp;TEXT(SLN28-utc_offset/24,"YYYYMMDD")&amp;"*"" /stext="" "&amp;TEXT(SLN28-utc_offset/24,"HH")&amp;search_regexp&amp;""""</f>
        <v>#REF!</v>
      </c>
      <c r="SML28" s="234" t="e">
        <f>astrogrep_path&amp;" /e /r /s /spath="&amp;search_path&amp;" /stypes=""app*"&amp;SLH28&amp;"*"&amp;TEXT(SLO28-utc_offset/24,"YYYYMMDD")&amp;"*"" /stext="" "&amp;TEXT(SLO28-utc_offset/24,"HH")&amp;search_regexp&amp;""""</f>
        <v>#REF!</v>
      </c>
      <c r="SMM28" s="234" t="e">
        <f>astrogrep_path&amp;" /e /r /s /spath="&amp;search_path&amp;" /stypes=""app*"&amp;SLI28&amp;"*"&amp;TEXT(SLP28-utc_offset/24,"YYYYMMDD")&amp;"*"" /stext="" "&amp;TEXT(SLP28-utc_offset/24,"HH")&amp;search_regexp&amp;""""</f>
        <v>#REF!</v>
      </c>
      <c r="SMN28" s="234" t="e">
        <f>astrogrep_path&amp;" /e /r /s /spath="&amp;search_path&amp;" /stypes=""app*"&amp;SLJ28&amp;"*"&amp;TEXT(SLQ28-utc_offset/24,"YYYYMMDD")&amp;"*"" /stext="" "&amp;TEXT(SLQ28-utc_offset/24,"HH")&amp;search_regexp&amp;""""</f>
        <v>#REF!</v>
      </c>
      <c r="SMO28" s="234" t="e">
        <f>astrogrep_path&amp;" /e /r /s /spath="&amp;search_path&amp;" /stypes=""app*"&amp;SLK28&amp;"*"&amp;TEXT(SLR28-utc_offset/24,"YYYYMMDD")&amp;"*"" /stext="" "&amp;TEXT(SLR28-utc_offset/24,"HH")&amp;search_regexp&amp;""""</f>
        <v>#REF!</v>
      </c>
      <c r="SMP28" s="234" t="e">
        <f>astrogrep_path&amp;" /e /r /s /spath="&amp;search_path&amp;" /stypes=""app*"&amp;SLL28&amp;"*"&amp;TEXT(SLS28-utc_offset/24,"YYYYMMDD")&amp;"*"" /stext="" "&amp;TEXT(SLS28-utc_offset/24,"HH")&amp;search_regexp&amp;""""</f>
        <v>#REF!</v>
      </c>
      <c r="SMQ28" s="234" t="e">
        <f>astrogrep_path&amp;" /e /r /s /spath="&amp;search_path&amp;" /stypes=""app*"&amp;SLM28&amp;"*"&amp;TEXT(SLT28-utc_offset/24,"YYYYMMDD")&amp;"*"" /stext="" "&amp;TEXT(SLT28-utc_offset/24,"HH")&amp;search_regexp&amp;""""</f>
        <v>#REF!</v>
      </c>
      <c r="SMR28" s="234" t="e">
        <f>astrogrep_path&amp;" /e /r /s /spath="&amp;search_path&amp;" /stypes=""app*"&amp;SLN28&amp;"*"&amp;TEXT(SLU28-utc_offset/24,"YYYYMMDD")&amp;"*"" /stext="" "&amp;TEXT(SLU28-utc_offset/24,"HH")&amp;search_regexp&amp;""""</f>
        <v>#REF!</v>
      </c>
      <c r="SMS28" s="234" t="e">
        <f>astrogrep_path&amp;" /e /r /s /spath="&amp;search_path&amp;" /stypes=""app*"&amp;SLO28&amp;"*"&amp;TEXT(SLV28-utc_offset/24,"YYYYMMDD")&amp;"*"" /stext="" "&amp;TEXT(SLV28-utc_offset/24,"HH")&amp;search_regexp&amp;""""</f>
        <v>#VALUE!</v>
      </c>
      <c r="SMT28" s="234" t="e">
        <f>astrogrep_path&amp;" /e /r /s /spath="&amp;search_path&amp;" /stypes=""app*"&amp;SLP28&amp;"*"&amp;TEXT(SLW28-utc_offset/24,"YYYYMMDD")&amp;"*"" /stext="" "&amp;TEXT(SLW28-utc_offset/24,"HH")&amp;search_regexp&amp;""""</f>
        <v>#VALUE!</v>
      </c>
      <c r="SMU28" s="234" t="e">
        <f>astrogrep_path&amp;" /e /r /s /spath="&amp;search_path&amp;" /stypes=""app*"&amp;SLQ28&amp;"*"&amp;TEXT(SLX28-utc_offset/24,"YYYYMMDD")&amp;"*"" /stext="" "&amp;TEXT(SLX28-utc_offset/24,"HH")&amp;search_regexp&amp;""""</f>
        <v>#REF!</v>
      </c>
      <c r="SMV28" s="234" t="e">
        <f>astrogrep_path&amp;" /e /r /s /spath="&amp;search_path&amp;" /stypes=""app*"&amp;SLR28&amp;"*"&amp;TEXT(SLY28-utc_offset/24,"YYYYMMDD")&amp;"*"" /stext="" "&amp;TEXT(SLY28-utc_offset/24,"HH")&amp;search_regexp&amp;""""</f>
        <v>#REF!</v>
      </c>
      <c r="SMW28" s="234" t="e">
        <f>astrogrep_path&amp;" /e /r /s /spath="&amp;search_path&amp;" /stypes=""app*"&amp;SLS28&amp;"*"&amp;TEXT(SLZ28-utc_offset/24,"YYYYMMDD")&amp;"*"" /stext="" "&amp;TEXT(SLZ28-utc_offset/24,"HH")&amp;search_regexp&amp;""""</f>
        <v>#VALUE!</v>
      </c>
      <c r="SMX28" s="234" t="e">
        <f>astrogrep_path&amp;" /e /r /s /spath="&amp;search_path&amp;" /stypes=""app*"&amp;SLT28&amp;"*"&amp;TEXT(SMA28-utc_offset/24,"YYYYMMDD")&amp;"*"" /stext="" "&amp;TEXT(SMA28-utc_offset/24,"HH")&amp;search_regexp&amp;""""</f>
        <v>#VALUE!</v>
      </c>
      <c r="SMY28" s="234" t="e">
        <f>astrogrep_path&amp;" /e /r /s /spath="&amp;search_path&amp;" /stypes=""app*"&amp;SLU28&amp;"*"&amp;TEXT(SMB28-utc_offset/24,"YYYYMMDD")&amp;"*"" /stext="" "&amp;TEXT(SMB28-utc_offset/24,"HH")&amp;search_regexp&amp;""""</f>
        <v>#VALUE!</v>
      </c>
      <c r="SMZ28" s="234" t="e">
        <f>astrogrep_path&amp;" /e /r /s /spath="&amp;search_path&amp;" /stypes=""app*"&amp;SLV28&amp;"*"&amp;TEXT(SMC28-utc_offset/24,"YYYYMMDD")&amp;"*"" /stext="" "&amp;TEXT(SMC28-utc_offset/24,"HH")&amp;search_regexp&amp;""""</f>
        <v>#VALUE!</v>
      </c>
      <c r="SNA28" s="234" t="e">
        <f>astrogrep_path&amp;" /e /r /s /spath="&amp;search_path&amp;" /stypes=""app*"&amp;SLW28&amp;"*"&amp;TEXT(SMD28-utc_offset/24,"YYYYMMDD")&amp;"*"" /stext="" "&amp;TEXT(SMD28-utc_offset/24,"HH")&amp;search_regexp&amp;""""</f>
        <v>#VALUE!</v>
      </c>
      <c r="SNB28" s="234" t="e">
        <f>astrogrep_path&amp;" /e /r /s /spath="&amp;search_path&amp;" /stypes=""app*"&amp;SLX28&amp;"*"&amp;TEXT(SME28-utc_offset/24,"YYYYMMDD")&amp;"*"" /stext="" "&amp;TEXT(SME28-utc_offset/24,"HH")&amp;search_regexp&amp;""""</f>
        <v>#REF!</v>
      </c>
      <c r="SNC28" s="234" t="e">
        <f>astrogrep_path&amp;" /e /r /s /spath="&amp;search_path&amp;" /stypes=""app*"&amp;SLY28&amp;"*"&amp;TEXT(SMF28-utc_offset/24,"YYYYMMDD")&amp;"*"" /stext="" "&amp;TEXT(SMF28-utc_offset/24,"HH")&amp;search_regexp&amp;""""</f>
        <v>#REF!</v>
      </c>
      <c r="SND28" s="234" t="e">
        <f>astrogrep_path&amp;" /e /r /s /spath="&amp;search_path&amp;" /stypes=""app*"&amp;SLZ28&amp;"*"&amp;TEXT(SMG28-utc_offset/24,"YYYYMMDD")&amp;"*"" /stext="" "&amp;TEXT(SMG28-utc_offset/24,"HH")&amp;search_regexp&amp;""""</f>
        <v>#REF!</v>
      </c>
      <c r="SNE28" s="234" t="e">
        <f>astrogrep_path&amp;" /e /r /s /spath="&amp;search_path&amp;" /stypes=""app*"&amp;SMA28&amp;"*"&amp;TEXT(SMH28-utc_offset/24,"YYYYMMDD")&amp;"*"" /stext="" "&amp;TEXT(SMH28-utc_offset/24,"HH")&amp;search_regexp&amp;""""</f>
        <v>#REF!</v>
      </c>
      <c r="SNF28" s="234" t="e">
        <f>astrogrep_path&amp;" /e /r /s /spath="&amp;search_path&amp;" /stypes=""app*"&amp;SMB28&amp;"*"&amp;TEXT(SMI28-utc_offset/24,"YYYYMMDD")&amp;"*"" /stext="" "&amp;TEXT(SMI28-utc_offset/24,"HH")&amp;search_regexp&amp;""""</f>
        <v>#REF!</v>
      </c>
      <c r="SNG28" s="234" t="e">
        <f>astrogrep_path&amp;" /e /r /s /spath="&amp;search_path&amp;" /stypes=""app*"&amp;SMC28&amp;"*"&amp;TEXT(SMJ28-utc_offset/24,"YYYYMMDD")&amp;"*"" /stext="" "&amp;TEXT(SMJ28-utc_offset/24,"HH")&amp;search_regexp&amp;""""</f>
        <v>#REF!</v>
      </c>
      <c r="SNH28" s="234" t="e">
        <f>astrogrep_path&amp;" /e /r /s /spath="&amp;search_path&amp;" /stypes=""app*"&amp;SMD28&amp;"*"&amp;TEXT(SMK28-utc_offset/24,"YYYYMMDD")&amp;"*"" /stext="" "&amp;TEXT(SMK28-utc_offset/24,"HH")&amp;search_regexp&amp;""""</f>
        <v>#REF!</v>
      </c>
      <c r="SNI28" s="234" t="e">
        <f>astrogrep_path&amp;" /e /r /s /spath="&amp;search_path&amp;" /stypes=""app*"&amp;SME28&amp;"*"&amp;TEXT(SML28-utc_offset/24,"YYYYMMDD")&amp;"*"" /stext="" "&amp;TEXT(SML28-utc_offset/24,"HH")&amp;search_regexp&amp;""""</f>
        <v>#REF!</v>
      </c>
      <c r="SNJ28" s="234" t="e">
        <f>astrogrep_path&amp;" /e /r /s /spath="&amp;search_path&amp;" /stypes=""app*"&amp;SMF28&amp;"*"&amp;TEXT(SMM28-utc_offset/24,"YYYYMMDD")&amp;"*"" /stext="" "&amp;TEXT(SMM28-utc_offset/24,"HH")&amp;search_regexp&amp;""""</f>
        <v>#REF!</v>
      </c>
      <c r="SNK28" s="234" t="e">
        <f>astrogrep_path&amp;" /e /r /s /spath="&amp;search_path&amp;" /stypes=""app*"&amp;SMG28&amp;"*"&amp;TEXT(SMN28-utc_offset/24,"YYYYMMDD")&amp;"*"" /stext="" "&amp;TEXT(SMN28-utc_offset/24,"HH")&amp;search_regexp&amp;""""</f>
        <v>#REF!</v>
      </c>
      <c r="SNL28" s="234" t="e">
        <f>astrogrep_path&amp;" /e /r /s /spath="&amp;search_path&amp;" /stypes=""app*"&amp;SMH28&amp;"*"&amp;TEXT(SMO28-utc_offset/24,"YYYYMMDD")&amp;"*"" /stext="" "&amp;TEXT(SMO28-utc_offset/24,"HH")&amp;search_regexp&amp;""""</f>
        <v>#REF!</v>
      </c>
      <c r="SNM28" s="234" t="e">
        <f>astrogrep_path&amp;" /e /r /s /spath="&amp;search_path&amp;" /stypes=""app*"&amp;SMI28&amp;"*"&amp;TEXT(SMP28-utc_offset/24,"YYYYMMDD")&amp;"*"" /stext="" "&amp;TEXT(SMP28-utc_offset/24,"HH")&amp;search_regexp&amp;""""</f>
        <v>#REF!</v>
      </c>
      <c r="SNN28" s="234" t="e">
        <f>astrogrep_path&amp;" /e /r /s /spath="&amp;search_path&amp;" /stypes=""app*"&amp;SMJ28&amp;"*"&amp;TEXT(SMQ28-utc_offset/24,"YYYYMMDD")&amp;"*"" /stext="" "&amp;TEXT(SMQ28-utc_offset/24,"HH")&amp;search_regexp&amp;""""</f>
        <v>#REF!</v>
      </c>
      <c r="SNO28" s="234" t="e">
        <f>astrogrep_path&amp;" /e /r /s /spath="&amp;search_path&amp;" /stypes=""app*"&amp;SMK28&amp;"*"&amp;TEXT(SMR28-utc_offset/24,"YYYYMMDD")&amp;"*"" /stext="" "&amp;TEXT(SMR28-utc_offset/24,"HH")&amp;search_regexp&amp;""""</f>
        <v>#REF!</v>
      </c>
      <c r="SNP28" s="234" t="e">
        <f>astrogrep_path&amp;" /e /r /s /spath="&amp;search_path&amp;" /stypes=""app*"&amp;SML28&amp;"*"&amp;TEXT(SMS28-utc_offset/24,"YYYYMMDD")&amp;"*"" /stext="" "&amp;TEXT(SMS28-utc_offset/24,"HH")&amp;search_regexp&amp;""""</f>
        <v>#REF!</v>
      </c>
      <c r="SNQ28" s="234" t="e">
        <f>astrogrep_path&amp;" /e /r /s /spath="&amp;search_path&amp;" /stypes=""app*"&amp;SMM28&amp;"*"&amp;TEXT(SMT28-utc_offset/24,"YYYYMMDD")&amp;"*"" /stext="" "&amp;TEXT(SMT28-utc_offset/24,"HH")&amp;search_regexp&amp;""""</f>
        <v>#REF!</v>
      </c>
      <c r="SNR28" s="234" t="e">
        <f>astrogrep_path&amp;" /e /r /s /spath="&amp;search_path&amp;" /stypes=""app*"&amp;SMN28&amp;"*"&amp;TEXT(SMU28-utc_offset/24,"YYYYMMDD")&amp;"*"" /stext="" "&amp;TEXT(SMU28-utc_offset/24,"HH")&amp;search_regexp&amp;""""</f>
        <v>#REF!</v>
      </c>
      <c r="SNS28" s="234" t="e">
        <f>astrogrep_path&amp;" /e /r /s /spath="&amp;search_path&amp;" /stypes=""app*"&amp;SMO28&amp;"*"&amp;TEXT(SMV28-utc_offset/24,"YYYYMMDD")&amp;"*"" /stext="" "&amp;TEXT(SMV28-utc_offset/24,"HH")&amp;search_regexp&amp;""""</f>
        <v>#REF!</v>
      </c>
      <c r="SNT28" s="234" t="e">
        <f>astrogrep_path&amp;" /e /r /s /spath="&amp;search_path&amp;" /stypes=""app*"&amp;SMP28&amp;"*"&amp;TEXT(SMW28-utc_offset/24,"YYYYMMDD")&amp;"*"" /stext="" "&amp;TEXT(SMW28-utc_offset/24,"HH")&amp;search_regexp&amp;""""</f>
        <v>#REF!</v>
      </c>
      <c r="SNU28" s="234" t="e">
        <f>astrogrep_path&amp;" /e /r /s /spath="&amp;search_path&amp;" /stypes=""app*"&amp;SMQ28&amp;"*"&amp;TEXT(SMX28-utc_offset/24,"YYYYMMDD")&amp;"*"" /stext="" "&amp;TEXT(SMX28-utc_offset/24,"HH")&amp;search_regexp&amp;""""</f>
        <v>#REF!</v>
      </c>
      <c r="SNV28" s="234" t="e">
        <f>astrogrep_path&amp;" /e /r /s /spath="&amp;search_path&amp;" /stypes=""app*"&amp;SMR28&amp;"*"&amp;TEXT(SMY28-utc_offset/24,"YYYYMMDD")&amp;"*"" /stext="" "&amp;TEXT(SMY28-utc_offset/24,"HH")&amp;search_regexp&amp;""""</f>
        <v>#REF!</v>
      </c>
      <c r="SNW28" s="234" t="e">
        <f>astrogrep_path&amp;" /e /r /s /spath="&amp;search_path&amp;" /stypes=""app*"&amp;SMS28&amp;"*"&amp;TEXT(SMZ28-utc_offset/24,"YYYYMMDD")&amp;"*"" /stext="" "&amp;TEXT(SMZ28-utc_offset/24,"HH")&amp;search_regexp&amp;""""</f>
        <v>#VALUE!</v>
      </c>
      <c r="SNX28" s="234" t="e">
        <f>astrogrep_path&amp;" /e /r /s /spath="&amp;search_path&amp;" /stypes=""app*"&amp;SMT28&amp;"*"&amp;TEXT(SNA28-utc_offset/24,"YYYYMMDD")&amp;"*"" /stext="" "&amp;TEXT(SNA28-utc_offset/24,"HH")&amp;search_regexp&amp;""""</f>
        <v>#VALUE!</v>
      </c>
      <c r="SNY28" s="234" t="e">
        <f>astrogrep_path&amp;" /e /r /s /spath="&amp;search_path&amp;" /stypes=""app*"&amp;SMU28&amp;"*"&amp;TEXT(SNB28-utc_offset/24,"YYYYMMDD")&amp;"*"" /stext="" "&amp;TEXT(SNB28-utc_offset/24,"HH")&amp;search_regexp&amp;""""</f>
        <v>#REF!</v>
      </c>
      <c r="SNZ28" s="234" t="e">
        <f>astrogrep_path&amp;" /e /r /s /spath="&amp;search_path&amp;" /stypes=""app*"&amp;SMV28&amp;"*"&amp;TEXT(SNC28-utc_offset/24,"YYYYMMDD")&amp;"*"" /stext="" "&amp;TEXT(SNC28-utc_offset/24,"HH")&amp;search_regexp&amp;""""</f>
        <v>#REF!</v>
      </c>
      <c r="SOA28" s="234" t="e">
        <f>astrogrep_path&amp;" /e /r /s /spath="&amp;search_path&amp;" /stypes=""app*"&amp;SMW28&amp;"*"&amp;TEXT(SND28-utc_offset/24,"YYYYMMDD")&amp;"*"" /stext="" "&amp;TEXT(SND28-utc_offset/24,"HH")&amp;search_regexp&amp;""""</f>
        <v>#VALUE!</v>
      </c>
      <c r="SOB28" s="234" t="e">
        <f>astrogrep_path&amp;" /e /r /s /spath="&amp;search_path&amp;" /stypes=""app*"&amp;SMX28&amp;"*"&amp;TEXT(SNE28-utc_offset/24,"YYYYMMDD")&amp;"*"" /stext="" "&amp;TEXT(SNE28-utc_offset/24,"HH")&amp;search_regexp&amp;""""</f>
        <v>#VALUE!</v>
      </c>
      <c r="SOC28" s="234" t="e">
        <f>astrogrep_path&amp;" /e /r /s /spath="&amp;search_path&amp;" /stypes=""app*"&amp;SMY28&amp;"*"&amp;TEXT(SNF28-utc_offset/24,"YYYYMMDD")&amp;"*"" /stext="" "&amp;TEXT(SNF28-utc_offset/24,"HH")&amp;search_regexp&amp;""""</f>
        <v>#VALUE!</v>
      </c>
      <c r="SOD28" s="234" t="e">
        <f>astrogrep_path&amp;" /e /r /s /spath="&amp;search_path&amp;" /stypes=""app*"&amp;SMZ28&amp;"*"&amp;TEXT(SNG28-utc_offset/24,"YYYYMMDD")&amp;"*"" /stext="" "&amp;TEXT(SNG28-utc_offset/24,"HH")&amp;search_regexp&amp;""""</f>
        <v>#VALUE!</v>
      </c>
      <c r="SOE28" s="234" t="e">
        <f>astrogrep_path&amp;" /e /r /s /spath="&amp;search_path&amp;" /stypes=""app*"&amp;SNA28&amp;"*"&amp;TEXT(SNH28-utc_offset/24,"YYYYMMDD")&amp;"*"" /stext="" "&amp;TEXT(SNH28-utc_offset/24,"HH")&amp;search_regexp&amp;""""</f>
        <v>#VALUE!</v>
      </c>
      <c r="SOF28" s="234" t="e">
        <f>astrogrep_path&amp;" /e /r /s /spath="&amp;search_path&amp;" /stypes=""app*"&amp;SNB28&amp;"*"&amp;TEXT(SNI28-utc_offset/24,"YYYYMMDD")&amp;"*"" /stext="" "&amp;TEXT(SNI28-utc_offset/24,"HH")&amp;search_regexp&amp;""""</f>
        <v>#REF!</v>
      </c>
      <c r="SOG28" s="234" t="e">
        <f>astrogrep_path&amp;" /e /r /s /spath="&amp;search_path&amp;" /stypes=""app*"&amp;SNC28&amp;"*"&amp;TEXT(SNJ28-utc_offset/24,"YYYYMMDD")&amp;"*"" /stext="" "&amp;TEXT(SNJ28-utc_offset/24,"HH")&amp;search_regexp&amp;""""</f>
        <v>#REF!</v>
      </c>
      <c r="SOH28" s="234" t="e">
        <f>astrogrep_path&amp;" /e /r /s /spath="&amp;search_path&amp;" /stypes=""app*"&amp;SND28&amp;"*"&amp;TEXT(SNK28-utc_offset/24,"YYYYMMDD")&amp;"*"" /stext="" "&amp;TEXT(SNK28-utc_offset/24,"HH")&amp;search_regexp&amp;""""</f>
        <v>#REF!</v>
      </c>
      <c r="SOI28" s="234" t="e">
        <f>astrogrep_path&amp;" /e /r /s /spath="&amp;search_path&amp;" /stypes=""app*"&amp;SNE28&amp;"*"&amp;TEXT(SNL28-utc_offset/24,"YYYYMMDD")&amp;"*"" /stext="" "&amp;TEXT(SNL28-utc_offset/24,"HH")&amp;search_regexp&amp;""""</f>
        <v>#REF!</v>
      </c>
      <c r="SOJ28" s="234" t="e">
        <f>astrogrep_path&amp;" /e /r /s /spath="&amp;search_path&amp;" /stypes=""app*"&amp;SNF28&amp;"*"&amp;TEXT(SNM28-utc_offset/24,"YYYYMMDD")&amp;"*"" /stext="" "&amp;TEXT(SNM28-utc_offset/24,"HH")&amp;search_regexp&amp;""""</f>
        <v>#REF!</v>
      </c>
      <c r="SOK28" s="234" t="e">
        <f>astrogrep_path&amp;" /e /r /s /spath="&amp;search_path&amp;" /stypes=""app*"&amp;SNG28&amp;"*"&amp;TEXT(SNN28-utc_offset/24,"YYYYMMDD")&amp;"*"" /stext="" "&amp;TEXT(SNN28-utc_offset/24,"HH")&amp;search_regexp&amp;""""</f>
        <v>#REF!</v>
      </c>
      <c r="SOL28" s="234" t="e">
        <f>astrogrep_path&amp;" /e /r /s /spath="&amp;search_path&amp;" /stypes=""app*"&amp;SNH28&amp;"*"&amp;TEXT(SNO28-utc_offset/24,"YYYYMMDD")&amp;"*"" /stext="" "&amp;TEXT(SNO28-utc_offset/24,"HH")&amp;search_regexp&amp;""""</f>
        <v>#REF!</v>
      </c>
      <c r="SOM28" s="234" t="e">
        <f>astrogrep_path&amp;" /e /r /s /spath="&amp;search_path&amp;" /stypes=""app*"&amp;SNI28&amp;"*"&amp;TEXT(SNP28-utc_offset/24,"YYYYMMDD")&amp;"*"" /stext="" "&amp;TEXT(SNP28-utc_offset/24,"HH")&amp;search_regexp&amp;""""</f>
        <v>#REF!</v>
      </c>
      <c r="SON28" s="234" t="e">
        <f>astrogrep_path&amp;" /e /r /s /spath="&amp;search_path&amp;" /stypes=""app*"&amp;SNJ28&amp;"*"&amp;TEXT(SNQ28-utc_offset/24,"YYYYMMDD")&amp;"*"" /stext="" "&amp;TEXT(SNQ28-utc_offset/24,"HH")&amp;search_regexp&amp;""""</f>
        <v>#REF!</v>
      </c>
      <c r="SOO28" s="234" t="e">
        <f>astrogrep_path&amp;" /e /r /s /spath="&amp;search_path&amp;" /stypes=""app*"&amp;SNK28&amp;"*"&amp;TEXT(SNR28-utc_offset/24,"YYYYMMDD")&amp;"*"" /stext="" "&amp;TEXT(SNR28-utc_offset/24,"HH")&amp;search_regexp&amp;""""</f>
        <v>#REF!</v>
      </c>
      <c r="SOP28" s="234" t="e">
        <f>astrogrep_path&amp;" /e /r /s /spath="&amp;search_path&amp;" /stypes=""app*"&amp;SNL28&amp;"*"&amp;TEXT(SNS28-utc_offset/24,"YYYYMMDD")&amp;"*"" /stext="" "&amp;TEXT(SNS28-utc_offset/24,"HH")&amp;search_regexp&amp;""""</f>
        <v>#REF!</v>
      </c>
      <c r="SOQ28" s="234" t="e">
        <f>astrogrep_path&amp;" /e /r /s /spath="&amp;search_path&amp;" /stypes=""app*"&amp;SNM28&amp;"*"&amp;TEXT(SNT28-utc_offset/24,"YYYYMMDD")&amp;"*"" /stext="" "&amp;TEXT(SNT28-utc_offset/24,"HH")&amp;search_regexp&amp;""""</f>
        <v>#REF!</v>
      </c>
      <c r="SOR28" s="234" t="e">
        <f>astrogrep_path&amp;" /e /r /s /spath="&amp;search_path&amp;" /stypes=""app*"&amp;SNN28&amp;"*"&amp;TEXT(SNU28-utc_offset/24,"YYYYMMDD")&amp;"*"" /stext="" "&amp;TEXT(SNU28-utc_offset/24,"HH")&amp;search_regexp&amp;""""</f>
        <v>#REF!</v>
      </c>
      <c r="SOS28" s="234" t="e">
        <f>astrogrep_path&amp;" /e /r /s /spath="&amp;search_path&amp;" /stypes=""app*"&amp;SNO28&amp;"*"&amp;TEXT(SNV28-utc_offset/24,"YYYYMMDD")&amp;"*"" /stext="" "&amp;TEXT(SNV28-utc_offset/24,"HH")&amp;search_regexp&amp;""""</f>
        <v>#REF!</v>
      </c>
      <c r="SOT28" s="234" t="e">
        <f>astrogrep_path&amp;" /e /r /s /spath="&amp;search_path&amp;" /stypes=""app*"&amp;SNP28&amp;"*"&amp;TEXT(SNW28-utc_offset/24,"YYYYMMDD")&amp;"*"" /stext="" "&amp;TEXT(SNW28-utc_offset/24,"HH")&amp;search_regexp&amp;""""</f>
        <v>#REF!</v>
      </c>
      <c r="SOU28" s="234" t="e">
        <f>astrogrep_path&amp;" /e /r /s /spath="&amp;search_path&amp;" /stypes=""app*"&amp;SNQ28&amp;"*"&amp;TEXT(SNX28-utc_offset/24,"YYYYMMDD")&amp;"*"" /stext="" "&amp;TEXT(SNX28-utc_offset/24,"HH")&amp;search_regexp&amp;""""</f>
        <v>#REF!</v>
      </c>
      <c r="SOV28" s="234" t="e">
        <f>astrogrep_path&amp;" /e /r /s /spath="&amp;search_path&amp;" /stypes=""app*"&amp;SNR28&amp;"*"&amp;TEXT(SNY28-utc_offset/24,"YYYYMMDD")&amp;"*"" /stext="" "&amp;TEXT(SNY28-utc_offset/24,"HH")&amp;search_regexp&amp;""""</f>
        <v>#REF!</v>
      </c>
      <c r="SOW28" s="234" t="e">
        <f>astrogrep_path&amp;" /e /r /s /spath="&amp;search_path&amp;" /stypes=""app*"&amp;SNS28&amp;"*"&amp;TEXT(SNZ28-utc_offset/24,"YYYYMMDD")&amp;"*"" /stext="" "&amp;TEXT(SNZ28-utc_offset/24,"HH")&amp;search_regexp&amp;""""</f>
        <v>#REF!</v>
      </c>
      <c r="SOX28" s="234" t="e">
        <f>astrogrep_path&amp;" /e /r /s /spath="&amp;search_path&amp;" /stypes=""app*"&amp;SNT28&amp;"*"&amp;TEXT(SOA28-utc_offset/24,"YYYYMMDD")&amp;"*"" /stext="" "&amp;TEXT(SOA28-utc_offset/24,"HH")&amp;search_regexp&amp;""""</f>
        <v>#REF!</v>
      </c>
      <c r="SOY28" s="234" t="e">
        <f>astrogrep_path&amp;" /e /r /s /spath="&amp;search_path&amp;" /stypes=""app*"&amp;SNU28&amp;"*"&amp;TEXT(SOB28-utc_offset/24,"YYYYMMDD")&amp;"*"" /stext="" "&amp;TEXT(SOB28-utc_offset/24,"HH")&amp;search_regexp&amp;""""</f>
        <v>#REF!</v>
      </c>
      <c r="SOZ28" s="234" t="e">
        <f>astrogrep_path&amp;" /e /r /s /spath="&amp;search_path&amp;" /stypes=""app*"&amp;SNV28&amp;"*"&amp;TEXT(SOC28-utc_offset/24,"YYYYMMDD")&amp;"*"" /stext="" "&amp;TEXT(SOC28-utc_offset/24,"HH")&amp;search_regexp&amp;""""</f>
        <v>#REF!</v>
      </c>
      <c r="SPA28" s="234" t="e">
        <f>astrogrep_path&amp;" /e /r /s /spath="&amp;search_path&amp;" /stypes=""app*"&amp;SNW28&amp;"*"&amp;TEXT(SOD28-utc_offset/24,"YYYYMMDD")&amp;"*"" /stext="" "&amp;TEXT(SOD28-utc_offset/24,"HH")&amp;search_regexp&amp;""""</f>
        <v>#VALUE!</v>
      </c>
      <c r="SPB28" s="234" t="e">
        <f>astrogrep_path&amp;" /e /r /s /spath="&amp;search_path&amp;" /stypes=""app*"&amp;SNX28&amp;"*"&amp;TEXT(SOE28-utc_offset/24,"YYYYMMDD")&amp;"*"" /stext="" "&amp;TEXT(SOE28-utc_offset/24,"HH")&amp;search_regexp&amp;""""</f>
        <v>#VALUE!</v>
      </c>
      <c r="SPC28" s="234" t="e">
        <f>astrogrep_path&amp;" /e /r /s /spath="&amp;search_path&amp;" /stypes=""app*"&amp;SNY28&amp;"*"&amp;TEXT(SOF28-utc_offset/24,"YYYYMMDD")&amp;"*"" /stext="" "&amp;TEXT(SOF28-utc_offset/24,"HH")&amp;search_regexp&amp;""""</f>
        <v>#REF!</v>
      </c>
      <c r="SPD28" s="234" t="e">
        <f>astrogrep_path&amp;" /e /r /s /spath="&amp;search_path&amp;" /stypes=""app*"&amp;SNZ28&amp;"*"&amp;TEXT(SOG28-utc_offset/24,"YYYYMMDD")&amp;"*"" /stext="" "&amp;TEXT(SOG28-utc_offset/24,"HH")&amp;search_regexp&amp;""""</f>
        <v>#REF!</v>
      </c>
      <c r="SPE28" s="234" t="e">
        <f>astrogrep_path&amp;" /e /r /s /spath="&amp;search_path&amp;" /stypes=""app*"&amp;SOA28&amp;"*"&amp;TEXT(SOH28-utc_offset/24,"YYYYMMDD")&amp;"*"" /stext="" "&amp;TEXT(SOH28-utc_offset/24,"HH")&amp;search_regexp&amp;""""</f>
        <v>#VALUE!</v>
      </c>
      <c r="SPF28" s="234" t="e">
        <f>astrogrep_path&amp;" /e /r /s /spath="&amp;search_path&amp;" /stypes=""app*"&amp;SOB28&amp;"*"&amp;TEXT(SOI28-utc_offset/24,"YYYYMMDD")&amp;"*"" /stext="" "&amp;TEXT(SOI28-utc_offset/24,"HH")&amp;search_regexp&amp;""""</f>
        <v>#VALUE!</v>
      </c>
      <c r="SPG28" s="234" t="e">
        <f>astrogrep_path&amp;" /e /r /s /spath="&amp;search_path&amp;" /stypes=""app*"&amp;SOC28&amp;"*"&amp;TEXT(SOJ28-utc_offset/24,"YYYYMMDD")&amp;"*"" /stext="" "&amp;TEXT(SOJ28-utc_offset/24,"HH")&amp;search_regexp&amp;""""</f>
        <v>#VALUE!</v>
      </c>
      <c r="SPH28" s="234" t="e">
        <f>astrogrep_path&amp;" /e /r /s /spath="&amp;search_path&amp;" /stypes=""app*"&amp;SOD28&amp;"*"&amp;TEXT(SOK28-utc_offset/24,"YYYYMMDD")&amp;"*"" /stext="" "&amp;TEXT(SOK28-utc_offset/24,"HH")&amp;search_regexp&amp;""""</f>
        <v>#VALUE!</v>
      </c>
      <c r="SPI28" s="234" t="e">
        <f>astrogrep_path&amp;" /e /r /s /spath="&amp;search_path&amp;" /stypes=""app*"&amp;SOE28&amp;"*"&amp;TEXT(SOL28-utc_offset/24,"YYYYMMDD")&amp;"*"" /stext="" "&amp;TEXT(SOL28-utc_offset/24,"HH")&amp;search_regexp&amp;""""</f>
        <v>#VALUE!</v>
      </c>
      <c r="SPJ28" s="234" t="e">
        <f>astrogrep_path&amp;" /e /r /s /spath="&amp;search_path&amp;" /stypes=""app*"&amp;SOF28&amp;"*"&amp;TEXT(SOM28-utc_offset/24,"YYYYMMDD")&amp;"*"" /stext="" "&amp;TEXT(SOM28-utc_offset/24,"HH")&amp;search_regexp&amp;""""</f>
        <v>#REF!</v>
      </c>
      <c r="SPK28" s="234" t="e">
        <f>astrogrep_path&amp;" /e /r /s /spath="&amp;search_path&amp;" /stypes=""app*"&amp;SOG28&amp;"*"&amp;TEXT(SON28-utc_offset/24,"YYYYMMDD")&amp;"*"" /stext="" "&amp;TEXT(SON28-utc_offset/24,"HH")&amp;search_regexp&amp;""""</f>
        <v>#REF!</v>
      </c>
      <c r="SPL28" s="234" t="e">
        <f>astrogrep_path&amp;" /e /r /s /spath="&amp;search_path&amp;" /stypes=""app*"&amp;SOH28&amp;"*"&amp;TEXT(SOO28-utc_offset/24,"YYYYMMDD")&amp;"*"" /stext="" "&amp;TEXT(SOO28-utc_offset/24,"HH")&amp;search_regexp&amp;""""</f>
        <v>#REF!</v>
      </c>
      <c r="SPM28" s="234" t="e">
        <f>astrogrep_path&amp;" /e /r /s /spath="&amp;search_path&amp;" /stypes=""app*"&amp;SOI28&amp;"*"&amp;TEXT(SOP28-utc_offset/24,"YYYYMMDD")&amp;"*"" /stext="" "&amp;TEXT(SOP28-utc_offset/24,"HH")&amp;search_regexp&amp;""""</f>
        <v>#REF!</v>
      </c>
      <c r="SPN28" s="234" t="e">
        <f>astrogrep_path&amp;" /e /r /s /spath="&amp;search_path&amp;" /stypes=""app*"&amp;SOJ28&amp;"*"&amp;TEXT(SOQ28-utc_offset/24,"YYYYMMDD")&amp;"*"" /stext="" "&amp;TEXT(SOQ28-utc_offset/24,"HH")&amp;search_regexp&amp;""""</f>
        <v>#REF!</v>
      </c>
      <c r="SPO28" s="234" t="e">
        <f>astrogrep_path&amp;" /e /r /s /spath="&amp;search_path&amp;" /stypes=""app*"&amp;SOK28&amp;"*"&amp;TEXT(SOR28-utc_offset/24,"YYYYMMDD")&amp;"*"" /stext="" "&amp;TEXT(SOR28-utc_offset/24,"HH")&amp;search_regexp&amp;""""</f>
        <v>#REF!</v>
      </c>
      <c r="SPP28" s="234" t="e">
        <f>astrogrep_path&amp;" /e /r /s /spath="&amp;search_path&amp;" /stypes=""app*"&amp;SOL28&amp;"*"&amp;TEXT(SOS28-utc_offset/24,"YYYYMMDD")&amp;"*"" /stext="" "&amp;TEXT(SOS28-utc_offset/24,"HH")&amp;search_regexp&amp;""""</f>
        <v>#REF!</v>
      </c>
      <c r="SPQ28" s="234" t="e">
        <f>astrogrep_path&amp;" /e /r /s /spath="&amp;search_path&amp;" /stypes=""app*"&amp;SOM28&amp;"*"&amp;TEXT(SOT28-utc_offset/24,"YYYYMMDD")&amp;"*"" /stext="" "&amp;TEXT(SOT28-utc_offset/24,"HH")&amp;search_regexp&amp;""""</f>
        <v>#REF!</v>
      </c>
      <c r="SPR28" s="234" t="e">
        <f>astrogrep_path&amp;" /e /r /s /spath="&amp;search_path&amp;" /stypes=""app*"&amp;SON28&amp;"*"&amp;TEXT(SOU28-utc_offset/24,"YYYYMMDD")&amp;"*"" /stext="" "&amp;TEXT(SOU28-utc_offset/24,"HH")&amp;search_regexp&amp;""""</f>
        <v>#REF!</v>
      </c>
      <c r="SPS28" s="234" t="e">
        <f>astrogrep_path&amp;" /e /r /s /spath="&amp;search_path&amp;" /stypes=""app*"&amp;SOO28&amp;"*"&amp;TEXT(SOV28-utc_offset/24,"YYYYMMDD")&amp;"*"" /stext="" "&amp;TEXT(SOV28-utc_offset/24,"HH")&amp;search_regexp&amp;""""</f>
        <v>#REF!</v>
      </c>
      <c r="SPT28" s="234" t="e">
        <f>astrogrep_path&amp;" /e /r /s /spath="&amp;search_path&amp;" /stypes=""app*"&amp;SOP28&amp;"*"&amp;TEXT(SOW28-utc_offset/24,"YYYYMMDD")&amp;"*"" /stext="" "&amp;TEXT(SOW28-utc_offset/24,"HH")&amp;search_regexp&amp;""""</f>
        <v>#REF!</v>
      </c>
      <c r="SPU28" s="234" t="e">
        <f>astrogrep_path&amp;" /e /r /s /spath="&amp;search_path&amp;" /stypes=""app*"&amp;SOQ28&amp;"*"&amp;TEXT(SOX28-utc_offset/24,"YYYYMMDD")&amp;"*"" /stext="" "&amp;TEXT(SOX28-utc_offset/24,"HH")&amp;search_regexp&amp;""""</f>
        <v>#REF!</v>
      </c>
      <c r="SPV28" s="234" t="e">
        <f>astrogrep_path&amp;" /e /r /s /spath="&amp;search_path&amp;" /stypes=""app*"&amp;SOR28&amp;"*"&amp;TEXT(SOY28-utc_offset/24,"YYYYMMDD")&amp;"*"" /stext="" "&amp;TEXT(SOY28-utc_offset/24,"HH")&amp;search_regexp&amp;""""</f>
        <v>#REF!</v>
      </c>
      <c r="SPW28" s="234" t="e">
        <f>astrogrep_path&amp;" /e /r /s /spath="&amp;search_path&amp;" /stypes=""app*"&amp;SOS28&amp;"*"&amp;TEXT(SOZ28-utc_offset/24,"YYYYMMDD")&amp;"*"" /stext="" "&amp;TEXT(SOZ28-utc_offset/24,"HH")&amp;search_regexp&amp;""""</f>
        <v>#REF!</v>
      </c>
      <c r="SPX28" s="234" t="e">
        <f>astrogrep_path&amp;" /e /r /s /spath="&amp;search_path&amp;" /stypes=""app*"&amp;SOT28&amp;"*"&amp;TEXT(SPA28-utc_offset/24,"YYYYMMDD")&amp;"*"" /stext="" "&amp;TEXT(SPA28-utc_offset/24,"HH")&amp;search_regexp&amp;""""</f>
        <v>#REF!</v>
      </c>
      <c r="SPY28" s="234" t="e">
        <f>astrogrep_path&amp;" /e /r /s /spath="&amp;search_path&amp;" /stypes=""app*"&amp;SOU28&amp;"*"&amp;TEXT(SPB28-utc_offset/24,"YYYYMMDD")&amp;"*"" /stext="" "&amp;TEXT(SPB28-utc_offset/24,"HH")&amp;search_regexp&amp;""""</f>
        <v>#REF!</v>
      </c>
      <c r="SPZ28" s="234" t="e">
        <f>astrogrep_path&amp;" /e /r /s /spath="&amp;search_path&amp;" /stypes=""app*"&amp;SOV28&amp;"*"&amp;TEXT(SPC28-utc_offset/24,"YYYYMMDD")&amp;"*"" /stext="" "&amp;TEXT(SPC28-utc_offset/24,"HH")&amp;search_regexp&amp;""""</f>
        <v>#REF!</v>
      </c>
      <c r="SQA28" s="234" t="e">
        <f>astrogrep_path&amp;" /e /r /s /spath="&amp;search_path&amp;" /stypes=""app*"&amp;SOW28&amp;"*"&amp;TEXT(SPD28-utc_offset/24,"YYYYMMDD")&amp;"*"" /stext="" "&amp;TEXT(SPD28-utc_offset/24,"HH")&amp;search_regexp&amp;""""</f>
        <v>#REF!</v>
      </c>
      <c r="SQB28" s="234" t="e">
        <f>astrogrep_path&amp;" /e /r /s /spath="&amp;search_path&amp;" /stypes=""app*"&amp;SOX28&amp;"*"&amp;TEXT(SPE28-utc_offset/24,"YYYYMMDD")&amp;"*"" /stext="" "&amp;TEXT(SPE28-utc_offset/24,"HH")&amp;search_regexp&amp;""""</f>
        <v>#REF!</v>
      </c>
      <c r="SQC28" s="234" t="e">
        <f>astrogrep_path&amp;" /e /r /s /spath="&amp;search_path&amp;" /stypes=""app*"&amp;SOY28&amp;"*"&amp;TEXT(SPF28-utc_offset/24,"YYYYMMDD")&amp;"*"" /stext="" "&amp;TEXT(SPF28-utc_offset/24,"HH")&amp;search_regexp&amp;""""</f>
        <v>#REF!</v>
      </c>
      <c r="SQD28" s="234" t="e">
        <f>astrogrep_path&amp;" /e /r /s /spath="&amp;search_path&amp;" /stypes=""app*"&amp;SOZ28&amp;"*"&amp;TEXT(SPG28-utc_offset/24,"YYYYMMDD")&amp;"*"" /stext="" "&amp;TEXT(SPG28-utc_offset/24,"HH")&amp;search_regexp&amp;""""</f>
        <v>#REF!</v>
      </c>
      <c r="SQE28" s="234" t="e">
        <f>astrogrep_path&amp;" /e /r /s /spath="&amp;search_path&amp;" /stypes=""app*"&amp;SPA28&amp;"*"&amp;TEXT(SPH28-utc_offset/24,"YYYYMMDD")&amp;"*"" /stext="" "&amp;TEXT(SPH28-utc_offset/24,"HH")&amp;search_regexp&amp;""""</f>
        <v>#VALUE!</v>
      </c>
      <c r="SQF28" s="234" t="e">
        <f>astrogrep_path&amp;" /e /r /s /spath="&amp;search_path&amp;" /stypes=""app*"&amp;SPB28&amp;"*"&amp;TEXT(SPI28-utc_offset/24,"YYYYMMDD")&amp;"*"" /stext="" "&amp;TEXT(SPI28-utc_offset/24,"HH")&amp;search_regexp&amp;""""</f>
        <v>#VALUE!</v>
      </c>
      <c r="SQG28" s="234" t="e">
        <f>astrogrep_path&amp;" /e /r /s /spath="&amp;search_path&amp;" /stypes=""app*"&amp;SPC28&amp;"*"&amp;TEXT(SPJ28-utc_offset/24,"YYYYMMDD")&amp;"*"" /stext="" "&amp;TEXT(SPJ28-utc_offset/24,"HH")&amp;search_regexp&amp;""""</f>
        <v>#REF!</v>
      </c>
      <c r="SQH28" s="234" t="e">
        <f>astrogrep_path&amp;" /e /r /s /spath="&amp;search_path&amp;" /stypes=""app*"&amp;SPD28&amp;"*"&amp;TEXT(SPK28-utc_offset/24,"YYYYMMDD")&amp;"*"" /stext="" "&amp;TEXT(SPK28-utc_offset/24,"HH")&amp;search_regexp&amp;""""</f>
        <v>#REF!</v>
      </c>
      <c r="SQI28" s="234" t="e">
        <f>astrogrep_path&amp;" /e /r /s /spath="&amp;search_path&amp;" /stypes=""app*"&amp;SPE28&amp;"*"&amp;TEXT(SPL28-utc_offset/24,"YYYYMMDD")&amp;"*"" /stext="" "&amp;TEXT(SPL28-utc_offset/24,"HH")&amp;search_regexp&amp;""""</f>
        <v>#VALUE!</v>
      </c>
      <c r="SQJ28" s="234" t="e">
        <f>astrogrep_path&amp;" /e /r /s /spath="&amp;search_path&amp;" /stypes=""app*"&amp;SPF28&amp;"*"&amp;TEXT(SPM28-utc_offset/24,"YYYYMMDD")&amp;"*"" /stext="" "&amp;TEXT(SPM28-utc_offset/24,"HH")&amp;search_regexp&amp;""""</f>
        <v>#VALUE!</v>
      </c>
      <c r="SQK28" s="234" t="e">
        <f>astrogrep_path&amp;" /e /r /s /spath="&amp;search_path&amp;" /stypes=""app*"&amp;SPG28&amp;"*"&amp;TEXT(SPN28-utc_offset/24,"YYYYMMDD")&amp;"*"" /stext="" "&amp;TEXT(SPN28-utc_offset/24,"HH")&amp;search_regexp&amp;""""</f>
        <v>#VALUE!</v>
      </c>
      <c r="SQL28" s="234" t="e">
        <f>astrogrep_path&amp;" /e /r /s /spath="&amp;search_path&amp;" /stypes=""app*"&amp;SPH28&amp;"*"&amp;TEXT(SPO28-utc_offset/24,"YYYYMMDD")&amp;"*"" /stext="" "&amp;TEXT(SPO28-utc_offset/24,"HH")&amp;search_regexp&amp;""""</f>
        <v>#VALUE!</v>
      </c>
      <c r="SQM28" s="234" t="e">
        <f>astrogrep_path&amp;" /e /r /s /spath="&amp;search_path&amp;" /stypes=""app*"&amp;SPI28&amp;"*"&amp;TEXT(SPP28-utc_offset/24,"YYYYMMDD")&amp;"*"" /stext="" "&amp;TEXT(SPP28-utc_offset/24,"HH")&amp;search_regexp&amp;""""</f>
        <v>#VALUE!</v>
      </c>
      <c r="SQN28" s="234" t="e">
        <f>astrogrep_path&amp;" /e /r /s /spath="&amp;search_path&amp;" /stypes=""app*"&amp;SPJ28&amp;"*"&amp;TEXT(SPQ28-utc_offset/24,"YYYYMMDD")&amp;"*"" /stext="" "&amp;TEXT(SPQ28-utc_offset/24,"HH")&amp;search_regexp&amp;""""</f>
        <v>#REF!</v>
      </c>
      <c r="SQO28" s="234" t="e">
        <f>astrogrep_path&amp;" /e /r /s /spath="&amp;search_path&amp;" /stypes=""app*"&amp;SPK28&amp;"*"&amp;TEXT(SPR28-utc_offset/24,"YYYYMMDD")&amp;"*"" /stext="" "&amp;TEXT(SPR28-utc_offset/24,"HH")&amp;search_regexp&amp;""""</f>
        <v>#REF!</v>
      </c>
      <c r="SQP28" s="234" t="e">
        <f>astrogrep_path&amp;" /e /r /s /spath="&amp;search_path&amp;" /stypes=""app*"&amp;SPL28&amp;"*"&amp;TEXT(SPS28-utc_offset/24,"YYYYMMDD")&amp;"*"" /stext="" "&amp;TEXT(SPS28-utc_offset/24,"HH")&amp;search_regexp&amp;""""</f>
        <v>#REF!</v>
      </c>
      <c r="SQQ28" s="234" t="e">
        <f>astrogrep_path&amp;" /e /r /s /spath="&amp;search_path&amp;" /stypes=""app*"&amp;SPM28&amp;"*"&amp;TEXT(SPT28-utc_offset/24,"YYYYMMDD")&amp;"*"" /stext="" "&amp;TEXT(SPT28-utc_offset/24,"HH")&amp;search_regexp&amp;""""</f>
        <v>#REF!</v>
      </c>
      <c r="SQR28" s="234" t="e">
        <f>astrogrep_path&amp;" /e /r /s /spath="&amp;search_path&amp;" /stypes=""app*"&amp;SPN28&amp;"*"&amp;TEXT(SPU28-utc_offset/24,"YYYYMMDD")&amp;"*"" /stext="" "&amp;TEXT(SPU28-utc_offset/24,"HH")&amp;search_regexp&amp;""""</f>
        <v>#REF!</v>
      </c>
      <c r="SQS28" s="234" t="e">
        <f>astrogrep_path&amp;" /e /r /s /spath="&amp;search_path&amp;" /stypes=""app*"&amp;SPO28&amp;"*"&amp;TEXT(SPV28-utc_offset/24,"YYYYMMDD")&amp;"*"" /stext="" "&amp;TEXT(SPV28-utc_offset/24,"HH")&amp;search_regexp&amp;""""</f>
        <v>#REF!</v>
      </c>
      <c r="SQT28" s="234" t="e">
        <f>astrogrep_path&amp;" /e /r /s /spath="&amp;search_path&amp;" /stypes=""app*"&amp;SPP28&amp;"*"&amp;TEXT(SPW28-utc_offset/24,"YYYYMMDD")&amp;"*"" /stext="" "&amp;TEXT(SPW28-utc_offset/24,"HH")&amp;search_regexp&amp;""""</f>
        <v>#REF!</v>
      </c>
      <c r="SQU28" s="234" t="e">
        <f>astrogrep_path&amp;" /e /r /s /spath="&amp;search_path&amp;" /stypes=""app*"&amp;SPQ28&amp;"*"&amp;TEXT(SPX28-utc_offset/24,"YYYYMMDD")&amp;"*"" /stext="" "&amp;TEXT(SPX28-utc_offset/24,"HH")&amp;search_regexp&amp;""""</f>
        <v>#REF!</v>
      </c>
      <c r="SQV28" s="234" t="e">
        <f>astrogrep_path&amp;" /e /r /s /spath="&amp;search_path&amp;" /stypes=""app*"&amp;SPR28&amp;"*"&amp;TEXT(SPY28-utc_offset/24,"YYYYMMDD")&amp;"*"" /stext="" "&amp;TEXT(SPY28-utc_offset/24,"HH")&amp;search_regexp&amp;""""</f>
        <v>#REF!</v>
      </c>
      <c r="SQW28" s="234" t="e">
        <f>astrogrep_path&amp;" /e /r /s /spath="&amp;search_path&amp;" /stypes=""app*"&amp;SPS28&amp;"*"&amp;TEXT(SPZ28-utc_offset/24,"YYYYMMDD")&amp;"*"" /stext="" "&amp;TEXT(SPZ28-utc_offset/24,"HH")&amp;search_regexp&amp;""""</f>
        <v>#REF!</v>
      </c>
      <c r="SQX28" s="234" t="e">
        <f>astrogrep_path&amp;" /e /r /s /spath="&amp;search_path&amp;" /stypes=""app*"&amp;SPT28&amp;"*"&amp;TEXT(SQA28-utc_offset/24,"YYYYMMDD")&amp;"*"" /stext="" "&amp;TEXT(SQA28-utc_offset/24,"HH")&amp;search_regexp&amp;""""</f>
        <v>#REF!</v>
      </c>
      <c r="SQY28" s="234" t="e">
        <f>astrogrep_path&amp;" /e /r /s /spath="&amp;search_path&amp;" /stypes=""app*"&amp;SPU28&amp;"*"&amp;TEXT(SQB28-utc_offset/24,"YYYYMMDD")&amp;"*"" /stext="" "&amp;TEXT(SQB28-utc_offset/24,"HH")&amp;search_regexp&amp;""""</f>
        <v>#REF!</v>
      </c>
      <c r="SQZ28" s="234" t="e">
        <f>astrogrep_path&amp;" /e /r /s /spath="&amp;search_path&amp;" /stypes=""app*"&amp;SPV28&amp;"*"&amp;TEXT(SQC28-utc_offset/24,"YYYYMMDD")&amp;"*"" /stext="" "&amp;TEXT(SQC28-utc_offset/24,"HH")&amp;search_regexp&amp;""""</f>
        <v>#REF!</v>
      </c>
      <c r="SRA28" s="234" t="e">
        <f>astrogrep_path&amp;" /e /r /s /spath="&amp;search_path&amp;" /stypes=""app*"&amp;SPW28&amp;"*"&amp;TEXT(SQD28-utc_offset/24,"YYYYMMDD")&amp;"*"" /stext="" "&amp;TEXT(SQD28-utc_offset/24,"HH")&amp;search_regexp&amp;""""</f>
        <v>#REF!</v>
      </c>
      <c r="SRB28" s="234" t="e">
        <f>astrogrep_path&amp;" /e /r /s /spath="&amp;search_path&amp;" /stypes=""app*"&amp;SPX28&amp;"*"&amp;TEXT(SQE28-utc_offset/24,"YYYYMMDD")&amp;"*"" /stext="" "&amp;TEXT(SQE28-utc_offset/24,"HH")&amp;search_regexp&amp;""""</f>
        <v>#REF!</v>
      </c>
      <c r="SRC28" s="234" t="e">
        <f>astrogrep_path&amp;" /e /r /s /spath="&amp;search_path&amp;" /stypes=""app*"&amp;SPY28&amp;"*"&amp;TEXT(SQF28-utc_offset/24,"YYYYMMDD")&amp;"*"" /stext="" "&amp;TEXT(SQF28-utc_offset/24,"HH")&amp;search_regexp&amp;""""</f>
        <v>#REF!</v>
      </c>
      <c r="SRD28" s="234" t="e">
        <f>astrogrep_path&amp;" /e /r /s /spath="&amp;search_path&amp;" /stypes=""app*"&amp;SPZ28&amp;"*"&amp;TEXT(SQG28-utc_offset/24,"YYYYMMDD")&amp;"*"" /stext="" "&amp;TEXT(SQG28-utc_offset/24,"HH")&amp;search_regexp&amp;""""</f>
        <v>#REF!</v>
      </c>
      <c r="SRE28" s="234" t="e">
        <f>astrogrep_path&amp;" /e /r /s /spath="&amp;search_path&amp;" /stypes=""app*"&amp;SQA28&amp;"*"&amp;TEXT(SQH28-utc_offset/24,"YYYYMMDD")&amp;"*"" /stext="" "&amp;TEXT(SQH28-utc_offset/24,"HH")&amp;search_regexp&amp;""""</f>
        <v>#REF!</v>
      </c>
      <c r="SRF28" s="234" t="e">
        <f>astrogrep_path&amp;" /e /r /s /spath="&amp;search_path&amp;" /stypes=""app*"&amp;SQB28&amp;"*"&amp;TEXT(SQI28-utc_offset/24,"YYYYMMDD")&amp;"*"" /stext="" "&amp;TEXT(SQI28-utc_offset/24,"HH")&amp;search_regexp&amp;""""</f>
        <v>#REF!</v>
      </c>
      <c r="SRG28" s="234" t="e">
        <f>astrogrep_path&amp;" /e /r /s /spath="&amp;search_path&amp;" /stypes=""app*"&amp;SQC28&amp;"*"&amp;TEXT(SQJ28-utc_offset/24,"YYYYMMDD")&amp;"*"" /stext="" "&amp;TEXT(SQJ28-utc_offset/24,"HH")&amp;search_regexp&amp;""""</f>
        <v>#REF!</v>
      </c>
      <c r="SRH28" s="234" t="e">
        <f>astrogrep_path&amp;" /e /r /s /spath="&amp;search_path&amp;" /stypes=""app*"&amp;SQD28&amp;"*"&amp;TEXT(SQK28-utc_offset/24,"YYYYMMDD")&amp;"*"" /stext="" "&amp;TEXT(SQK28-utc_offset/24,"HH")&amp;search_regexp&amp;""""</f>
        <v>#REF!</v>
      </c>
      <c r="SRI28" s="234" t="e">
        <f>astrogrep_path&amp;" /e /r /s /spath="&amp;search_path&amp;" /stypes=""app*"&amp;SQE28&amp;"*"&amp;TEXT(SQL28-utc_offset/24,"YYYYMMDD")&amp;"*"" /stext="" "&amp;TEXT(SQL28-utc_offset/24,"HH")&amp;search_regexp&amp;""""</f>
        <v>#VALUE!</v>
      </c>
      <c r="SRJ28" s="234" t="e">
        <f>astrogrep_path&amp;" /e /r /s /spath="&amp;search_path&amp;" /stypes=""app*"&amp;SQF28&amp;"*"&amp;TEXT(SQM28-utc_offset/24,"YYYYMMDD")&amp;"*"" /stext="" "&amp;TEXT(SQM28-utc_offset/24,"HH")&amp;search_regexp&amp;""""</f>
        <v>#VALUE!</v>
      </c>
      <c r="SRK28" s="234" t="e">
        <f>astrogrep_path&amp;" /e /r /s /spath="&amp;search_path&amp;" /stypes=""app*"&amp;SQG28&amp;"*"&amp;TEXT(SQN28-utc_offset/24,"YYYYMMDD")&amp;"*"" /stext="" "&amp;TEXT(SQN28-utc_offset/24,"HH")&amp;search_regexp&amp;""""</f>
        <v>#REF!</v>
      </c>
      <c r="SRL28" s="234" t="e">
        <f>astrogrep_path&amp;" /e /r /s /spath="&amp;search_path&amp;" /stypes=""app*"&amp;SQH28&amp;"*"&amp;TEXT(SQO28-utc_offset/24,"YYYYMMDD")&amp;"*"" /stext="" "&amp;TEXT(SQO28-utc_offset/24,"HH")&amp;search_regexp&amp;""""</f>
        <v>#REF!</v>
      </c>
      <c r="SRM28" s="234" t="e">
        <f>astrogrep_path&amp;" /e /r /s /spath="&amp;search_path&amp;" /stypes=""app*"&amp;SQI28&amp;"*"&amp;TEXT(SQP28-utc_offset/24,"YYYYMMDD")&amp;"*"" /stext="" "&amp;TEXT(SQP28-utc_offset/24,"HH")&amp;search_regexp&amp;""""</f>
        <v>#VALUE!</v>
      </c>
      <c r="SRN28" s="234" t="e">
        <f>astrogrep_path&amp;" /e /r /s /spath="&amp;search_path&amp;" /stypes=""app*"&amp;SQJ28&amp;"*"&amp;TEXT(SQQ28-utc_offset/24,"YYYYMMDD")&amp;"*"" /stext="" "&amp;TEXT(SQQ28-utc_offset/24,"HH")&amp;search_regexp&amp;""""</f>
        <v>#VALUE!</v>
      </c>
      <c r="SRO28" s="234" t="e">
        <f>astrogrep_path&amp;" /e /r /s /spath="&amp;search_path&amp;" /stypes=""app*"&amp;SQK28&amp;"*"&amp;TEXT(SQR28-utc_offset/24,"YYYYMMDD")&amp;"*"" /stext="" "&amp;TEXT(SQR28-utc_offset/24,"HH")&amp;search_regexp&amp;""""</f>
        <v>#VALUE!</v>
      </c>
      <c r="SRP28" s="234" t="e">
        <f>astrogrep_path&amp;" /e /r /s /spath="&amp;search_path&amp;" /stypes=""app*"&amp;SQL28&amp;"*"&amp;TEXT(SQS28-utc_offset/24,"YYYYMMDD")&amp;"*"" /stext="" "&amp;TEXT(SQS28-utc_offset/24,"HH")&amp;search_regexp&amp;""""</f>
        <v>#VALUE!</v>
      </c>
      <c r="SRQ28" s="234" t="e">
        <f>astrogrep_path&amp;" /e /r /s /spath="&amp;search_path&amp;" /stypes=""app*"&amp;SQM28&amp;"*"&amp;TEXT(SQT28-utc_offset/24,"YYYYMMDD")&amp;"*"" /stext="" "&amp;TEXT(SQT28-utc_offset/24,"HH")&amp;search_regexp&amp;""""</f>
        <v>#VALUE!</v>
      </c>
      <c r="SRR28" s="234" t="e">
        <f>astrogrep_path&amp;" /e /r /s /spath="&amp;search_path&amp;" /stypes=""app*"&amp;SQN28&amp;"*"&amp;TEXT(SQU28-utc_offset/24,"YYYYMMDD")&amp;"*"" /stext="" "&amp;TEXT(SQU28-utc_offset/24,"HH")&amp;search_regexp&amp;""""</f>
        <v>#REF!</v>
      </c>
      <c r="SRS28" s="234" t="e">
        <f>astrogrep_path&amp;" /e /r /s /spath="&amp;search_path&amp;" /stypes=""app*"&amp;SQO28&amp;"*"&amp;TEXT(SQV28-utc_offset/24,"YYYYMMDD")&amp;"*"" /stext="" "&amp;TEXT(SQV28-utc_offset/24,"HH")&amp;search_regexp&amp;""""</f>
        <v>#REF!</v>
      </c>
      <c r="SRT28" s="234" t="e">
        <f>astrogrep_path&amp;" /e /r /s /spath="&amp;search_path&amp;" /stypes=""app*"&amp;SQP28&amp;"*"&amp;TEXT(SQW28-utc_offset/24,"YYYYMMDD")&amp;"*"" /stext="" "&amp;TEXT(SQW28-utc_offset/24,"HH")&amp;search_regexp&amp;""""</f>
        <v>#REF!</v>
      </c>
      <c r="SRU28" s="234" t="e">
        <f>astrogrep_path&amp;" /e /r /s /spath="&amp;search_path&amp;" /stypes=""app*"&amp;SQQ28&amp;"*"&amp;TEXT(SQX28-utc_offset/24,"YYYYMMDD")&amp;"*"" /stext="" "&amp;TEXT(SQX28-utc_offset/24,"HH")&amp;search_regexp&amp;""""</f>
        <v>#REF!</v>
      </c>
      <c r="SRV28" s="234" t="e">
        <f>astrogrep_path&amp;" /e /r /s /spath="&amp;search_path&amp;" /stypes=""app*"&amp;SQR28&amp;"*"&amp;TEXT(SQY28-utc_offset/24,"YYYYMMDD")&amp;"*"" /stext="" "&amp;TEXT(SQY28-utc_offset/24,"HH")&amp;search_regexp&amp;""""</f>
        <v>#REF!</v>
      </c>
      <c r="SRW28" s="234" t="e">
        <f>astrogrep_path&amp;" /e /r /s /spath="&amp;search_path&amp;" /stypes=""app*"&amp;SQS28&amp;"*"&amp;TEXT(SQZ28-utc_offset/24,"YYYYMMDD")&amp;"*"" /stext="" "&amp;TEXT(SQZ28-utc_offset/24,"HH")&amp;search_regexp&amp;""""</f>
        <v>#REF!</v>
      </c>
      <c r="SRX28" s="234" t="e">
        <f>astrogrep_path&amp;" /e /r /s /spath="&amp;search_path&amp;" /stypes=""app*"&amp;SQT28&amp;"*"&amp;TEXT(SRA28-utc_offset/24,"YYYYMMDD")&amp;"*"" /stext="" "&amp;TEXT(SRA28-utc_offset/24,"HH")&amp;search_regexp&amp;""""</f>
        <v>#REF!</v>
      </c>
      <c r="SRY28" s="234" t="e">
        <f>astrogrep_path&amp;" /e /r /s /spath="&amp;search_path&amp;" /stypes=""app*"&amp;SQU28&amp;"*"&amp;TEXT(SRB28-utc_offset/24,"YYYYMMDD")&amp;"*"" /stext="" "&amp;TEXT(SRB28-utc_offset/24,"HH")&amp;search_regexp&amp;""""</f>
        <v>#REF!</v>
      </c>
      <c r="SRZ28" s="234" t="e">
        <f>astrogrep_path&amp;" /e /r /s /spath="&amp;search_path&amp;" /stypes=""app*"&amp;SQV28&amp;"*"&amp;TEXT(SRC28-utc_offset/24,"YYYYMMDD")&amp;"*"" /stext="" "&amp;TEXT(SRC28-utc_offset/24,"HH")&amp;search_regexp&amp;""""</f>
        <v>#REF!</v>
      </c>
      <c r="SSA28" s="234" t="e">
        <f>astrogrep_path&amp;" /e /r /s /spath="&amp;search_path&amp;" /stypes=""app*"&amp;SQW28&amp;"*"&amp;TEXT(SRD28-utc_offset/24,"YYYYMMDD")&amp;"*"" /stext="" "&amp;TEXT(SRD28-utc_offset/24,"HH")&amp;search_regexp&amp;""""</f>
        <v>#REF!</v>
      </c>
      <c r="SSB28" s="234" t="e">
        <f>astrogrep_path&amp;" /e /r /s /spath="&amp;search_path&amp;" /stypes=""app*"&amp;SQX28&amp;"*"&amp;TEXT(SRE28-utc_offset/24,"YYYYMMDD")&amp;"*"" /stext="" "&amp;TEXT(SRE28-utc_offset/24,"HH")&amp;search_regexp&amp;""""</f>
        <v>#REF!</v>
      </c>
      <c r="SSC28" s="234" t="e">
        <f>astrogrep_path&amp;" /e /r /s /spath="&amp;search_path&amp;" /stypes=""app*"&amp;SQY28&amp;"*"&amp;TEXT(SRF28-utc_offset/24,"YYYYMMDD")&amp;"*"" /stext="" "&amp;TEXT(SRF28-utc_offset/24,"HH")&amp;search_regexp&amp;""""</f>
        <v>#REF!</v>
      </c>
      <c r="SSD28" s="234" t="e">
        <f>astrogrep_path&amp;" /e /r /s /spath="&amp;search_path&amp;" /stypes=""app*"&amp;SQZ28&amp;"*"&amp;TEXT(SRG28-utc_offset/24,"YYYYMMDD")&amp;"*"" /stext="" "&amp;TEXT(SRG28-utc_offset/24,"HH")&amp;search_regexp&amp;""""</f>
        <v>#REF!</v>
      </c>
      <c r="SSE28" s="234" t="e">
        <f>astrogrep_path&amp;" /e /r /s /spath="&amp;search_path&amp;" /stypes=""app*"&amp;SRA28&amp;"*"&amp;TEXT(SRH28-utc_offset/24,"YYYYMMDD")&amp;"*"" /stext="" "&amp;TEXT(SRH28-utc_offset/24,"HH")&amp;search_regexp&amp;""""</f>
        <v>#REF!</v>
      </c>
      <c r="SSF28" s="234" t="e">
        <f>astrogrep_path&amp;" /e /r /s /spath="&amp;search_path&amp;" /stypes=""app*"&amp;SRB28&amp;"*"&amp;TEXT(SRI28-utc_offset/24,"YYYYMMDD")&amp;"*"" /stext="" "&amp;TEXT(SRI28-utc_offset/24,"HH")&amp;search_regexp&amp;""""</f>
        <v>#REF!</v>
      </c>
      <c r="SSG28" s="234" t="e">
        <f>astrogrep_path&amp;" /e /r /s /spath="&amp;search_path&amp;" /stypes=""app*"&amp;SRC28&amp;"*"&amp;TEXT(SRJ28-utc_offset/24,"YYYYMMDD")&amp;"*"" /stext="" "&amp;TEXT(SRJ28-utc_offset/24,"HH")&amp;search_regexp&amp;""""</f>
        <v>#REF!</v>
      </c>
      <c r="SSH28" s="234" t="e">
        <f>astrogrep_path&amp;" /e /r /s /spath="&amp;search_path&amp;" /stypes=""app*"&amp;SRD28&amp;"*"&amp;TEXT(SRK28-utc_offset/24,"YYYYMMDD")&amp;"*"" /stext="" "&amp;TEXT(SRK28-utc_offset/24,"HH")&amp;search_regexp&amp;""""</f>
        <v>#REF!</v>
      </c>
      <c r="SSI28" s="234" t="e">
        <f>astrogrep_path&amp;" /e /r /s /spath="&amp;search_path&amp;" /stypes=""app*"&amp;SRE28&amp;"*"&amp;TEXT(SRL28-utc_offset/24,"YYYYMMDD")&amp;"*"" /stext="" "&amp;TEXT(SRL28-utc_offset/24,"HH")&amp;search_regexp&amp;""""</f>
        <v>#REF!</v>
      </c>
      <c r="SSJ28" s="234" t="e">
        <f>astrogrep_path&amp;" /e /r /s /spath="&amp;search_path&amp;" /stypes=""app*"&amp;SRF28&amp;"*"&amp;TEXT(SRM28-utc_offset/24,"YYYYMMDD")&amp;"*"" /stext="" "&amp;TEXT(SRM28-utc_offset/24,"HH")&amp;search_regexp&amp;""""</f>
        <v>#REF!</v>
      </c>
      <c r="SSK28" s="234" t="e">
        <f>astrogrep_path&amp;" /e /r /s /spath="&amp;search_path&amp;" /stypes=""app*"&amp;SRG28&amp;"*"&amp;TEXT(SRN28-utc_offset/24,"YYYYMMDD")&amp;"*"" /stext="" "&amp;TEXT(SRN28-utc_offset/24,"HH")&amp;search_regexp&amp;""""</f>
        <v>#REF!</v>
      </c>
      <c r="SSL28" s="234" t="e">
        <f>astrogrep_path&amp;" /e /r /s /spath="&amp;search_path&amp;" /stypes=""app*"&amp;SRH28&amp;"*"&amp;TEXT(SRO28-utc_offset/24,"YYYYMMDD")&amp;"*"" /stext="" "&amp;TEXT(SRO28-utc_offset/24,"HH")&amp;search_regexp&amp;""""</f>
        <v>#REF!</v>
      </c>
      <c r="SSM28" s="234" t="e">
        <f>astrogrep_path&amp;" /e /r /s /spath="&amp;search_path&amp;" /stypes=""app*"&amp;SRI28&amp;"*"&amp;TEXT(SRP28-utc_offset/24,"YYYYMMDD")&amp;"*"" /stext="" "&amp;TEXT(SRP28-utc_offset/24,"HH")&amp;search_regexp&amp;""""</f>
        <v>#VALUE!</v>
      </c>
      <c r="SSN28" s="234" t="e">
        <f>astrogrep_path&amp;" /e /r /s /spath="&amp;search_path&amp;" /stypes=""app*"&amp;SRJ28&amp;"*"&amp;TEXT(SRQ28-utc_offset/24,"YYYYMMDD")&amp;"*"" /stext="" "&amp;TEXT(SRQ28-utc_offset/24,"HH")&amp;search_regexp&amp;""""</f>
        <v>#VALUE!</v>
      </c>
      <c r="SSO28" s="234" t="e">
        <f>astrogrep_path&amp;" /e /r /s /spath="&amp;search_path&amp;" /stypes=""app*"&amp;SRK28&amp;"*"&amp;TEXT(SRR28-utc_offset/24,"YYYYMMDD")&amp;"*"" /stext="" "&amp;TEXT(SRR28-utc_offset/24,"HH")&amp;search_regexp&amp;""""</f>
        <v>#REF!</v>
      </c>
      <c r="SSP28" s="234" t="e">
        <f>astrogrep_path&amp;" /e /r /s /spath="&amp;search_path&amp;" /stypes=""app*"&amp;SRL28&amp;"*"&amp;TEXT(SRS28-utc_offset/24,"YYYYMMDD")&amp;"*"" /stext="" "&amp;TEXT(SRS28-utc_offset/24,"HH")&amp;search_regexp&amp;""""</f>
        <v>#REF!</v>
      </c>
      <c r="SSQ28" s="234" t="e">
        <f>astrogrep_path&amp;" /e /r /s /spath="&amp;search_path&amp;" /stypes=""app*"&amp;SRM28&amp;"*"&amp;TEXT(SRT28-utc_offset/24,"YYYYMMDD")&amp;"*"" /stext="" "&amp;TEXT(SRT28-utc_offset/24,"HH")&amp;search_regexp&amp;""""</f>
        <v>#VALUE!</v>
      </c>
      <c r="SSR28" s="234" t="e">
        <f>astrogrep_path&amp;" /e /r /s /spath="&amp;search_path&amp;" /stypes=""app*"&amp;SRN28&amp;"*"&amp;TEXT(SRU28-utc_offset/24,"YYYYMMDD")&amp;"*"" /stext="" "&amp;TEXT(SRU28-utc_offset/24,"HH")&amp;search_regexp&amp;""""</f>
        <v>#VALUE!</v>
      </c>
      <c r="SSS28" s="234" t="e">
        <f>astrogrep_path&amp;" /e /r /s /spath="&amp;search_path&amp;" /stypes=""app*"&amp;SRO28&amp;"*"&amp;TEXT(SRV28-utc_offset/24,"YYYYMMDD")&amp;"*"" /stext="" "&amp;TEXT(SRV28-utc_offset/24,"HH")&amp;search_regexp&amp;""""</f>
        <v>#VALUE!</v>
      </c>
      <c r="SST28" s="234" t="e">
        <f>astrogrep_path&amp;" /e /r /s /spath="&amp;search_path&amp;" /stypes=""app*"&amp;SRP28&amp;"*"&amp;TEXT(SRW28-utc_offset/24,"YYYYMMDD")&amp;"*"" /stext="" "&amp;TEXT(SRW28-utc_offset/24,"HH")&amp;search_regexp&amp;""""</f>
        <v>#VALUE!</v>
      </c>
      <c r="SSU28" s="234" t="e">
        <f>astrogrep_path&amp;" /e /r /s /spath="&amp;search_path&amp;" /stypes=""app*"&amp;SRQ28&amp;"*"&amp;TEXT(SRX28-utc_offset/24,"YYYYMMDD")&amp;"*"" /stext="" "&amp;TEXT(SRX28-utc_offset/24,"HH")&amp;search_regexp&amp;""""</f>
        <v>#VALUE!</v>
      </c>
      <c r="SSV28" s="234" t="e">
        <f>astrogrep_path&amp;" /e /r /s /spath="&amp;search_path&amp;" /stypes=""app*"&amp;SRR28&amp;"*"&amp;TEXT(SRY28-utc_offset/24,"YYYYMMDD")&amp;"*"" /stext="" "&amp;TEXT(SRY28-utc_offset/24,"HH")&amp;search_regexp&amp;""""</f>
        <v>#REF!</v>
      </c>
      <c r="SSW28" s="234" t="e">
        <f>astrogrep_path&amp;" /e /r /s /spath="&amp;search_path&amp;" /stypes=""app*"&amp;SRS28&amp;"*"&amp;TEXT(SRZ28-utc_offset/24,"YYYYMMDD")&amp;"*"" /stext="" "&amp;TEXT(SRZ28-utc_offset/24,"HH")&amp;search_regexp&amp;""""</f>
        <v>#REF!</v>
      </c>
      <c r="SSX28" s="234" t="e">
        <f>astrogrep_path&amp;" /e /r /s /spath="&amp;search_path&amp;" /stypes=""app*"&amp;SRT28&amp;"*"&amp;TEXT(SSA28-utc_offset/24,"YYYYMMDD")&amp;"*"" /stext="" "&amp;TEXT(SSA28-utc_offset/24,"HH")&amp;search_regexp&amp;""""</f>
        <v>#REF!</v>
      </c>
      <c r="SSY28" s="234" t="e">
        <f>astrogrep_path&amp;" /e /r /s /spath="&amp;search_path&amp;" /stypes=""app*"&amp;SRU28&amp;"*"&amp;TEXT(SSB28-utc_offset/24,"YYYYMMDD")&amp;"*"" /stext="" "&amp;TEXT(SSB28-utc_offset/24,"HH")&amp;search_regexp&amp;""""</f>
        <v>#REF!</v>
      </c>
      <c r="SSZ28" s="234" t="e">
        <f>astrogrep_path&amp;" /e /r /s /spath="&amp;search_path&amp;" /stypes=""app*"&amp;SRV28&amp;"*"&amp;TEXT(SSC28-utc_offset/24,"YYYYMMDD")&amp;"*"" /stext="" "&amp;TEXT(SSC28-utc_offset/24,"HH")&amp;search_regexp&amp;""""</f>
        <v>#REF!</v>
      </c>
      <c r="STA28" s="234" t="e">
        <f>astrogrep_path&amp;" /e /r /s /spath="&amp;search_path&amp;" /stypes=""app*"&amp;SRW28&amp;"*"&amp;TEXT(SSD28-utc_offset/24,"YYYYMMDD")&amp;"*"" /stext="" "&amp;TEXT(SSD28-utc_offset/24,"HH")&amp;search_regexp&amp;""""</f>
        <v>#REF!</v>
      </c>
      <c r="STB28" s="234" t="e">
        <f>astrogrep_path&amp;" /e /r /s /spath="&amp;search_path&amp;" /stypes=""app*"&amp;SRX28&amp;"*"&amp;TEXT(SSE28-utc_offset/24,"YYYYMMDD")&amp;"*"" /stext="" "&amp;TEXT(SSE28-utc_offset/24,"HH")&amp;search_regexp&amp;""""</f>
        <v>#REF!</v>
      </c>
      <c r="STC28" s="234" t="e">
        <f>astrogrep_path&amp;" /e /r /s /spath="&amp;search_path&amp;" /stypes=""app*"&amp;SRY28&amp;"*"&amp;TEXT(SSF28-utc_offset/24,"YYYYMMDD")&amp;"*"" /stext="" "&amp;TEXT(SSF28-utc_offset/24,"HH")&amp;search_regexp&amp;""""</f>
        <v>#REF!</v>
      </c>
      <c r="STD28" s="234" t="e">
        <f>astrogrep_path&amp;" /e /r /s /spath="&amp;search_path&amp;" /stypes=""app*"&amp;SRZ28&amp;"*"&amp;TEXT(SSG28-utc_offset/24,"YYYYMMDD")&amp;"*"" /stext="" "&amp;TEXT(SSG28-utc_offset/24,"HH")&amp;search_regexp&amp;""""</f>
        <v>#REF!</v>
      </c>
      <c r="STE28" s="234" t="e">
        <f>astrogrep_path&amp;" /e /r /s /spath="&amp;search_path&amp;" /stypes=""app*"&amp;SSA28&amp;"*"&amp;TEXT(SSH28-utc_offset/24,"YYYYMMDD")&amp;"*"" /stext="" "&amp;TEXT(SSH28-utc_offset/24,"HH")&amp;search_regexp&amp;""""</f>
        <v>#REF!</v>
      </c>
      <c r="STF28" s="234" t="e">
        <f>astrogrep_path&amp;" /e /r /s /spath="&amp;search_path&amp;" /stypes=""app*"&amp;SSB28&amp;"*"&amp;TEXT(SSI28-utc_offset/24,"YYYYMMDD")&amp;"*"" /stext="" "&amp;TEXT(SSI28-utc_offset/24,"HH")&amp;search_regexp&amp;""""</f>
        <v>#REF!</v>
      </c>
      <c r="STG28" s="234" t="e">
        <f>astrogrep_path&amp;" /e /r /s /spath="&amp;search_path&amp;" /stypes=""app*"&amp;SSC28&amp;"*"&amp;TEXT(SSJ28-utc_offset/24,"YYYYMMDD")&amp;"*"" /stext="" "&amp;TEXT(SSJ28-utc_offset/24,"HH")&amp;search_regexp&amp;""""</f>
        <v>#REF!</v>
      </c>
      <c r="STH28" s="234" t="e">
        <f>astrogrep_path&amp;" /e /r /s /spath="&amp;search_path&amp;" /stypes=""app*"&amp;SSD28&amp;"*"&amp;TEXT(SSK28-utc_offset/24,"YYYYMMDD")&amp;"*"" /stext="" "&amp;TEXT(SSK28-utc_offset/24,"HH")&amp;search_regexp&amp;""""</f>
        <v>#REF!</v>
      </c>
      <c r="STI28" s="234" t="e">
        <f>astrogrep_path&amp;" /e /r /s /spath="&amp;search_path&amp;" /stypes=""app*"&amp;SSE28&amp;"*"&amp;TEXT(SSL28-utc_offset/24,"YYYYMMDD")&amp;"*"" /stext="" "&amp;TEXT(SSL28-utc_offset/24,"HH")&amp;search_regexp&amp;""""</f>
        <v>#REF!</v>
      </c>
      <c r="STJ28" s="234" t="e">
        <f>astrogrep_path&amp;" /e /r /s /spath="&amp;search_path&amp;" /stypes=""app*"&amp;SSF28&amp;"*"&amp;TEXT(SSM28-utc_offset/24,"YYYYMMDD")&amp;"*"" /stext="" "&amp;TEXT(SSM28-utc_offset/24,"HH")&amp;search_regexp&amp;""""</f>
        <v>#REF!</v>
      </c>
      <c r="STK28" s="234" t="e">
        <f>astrogrep_path&amp;" /e /r /s /spath="&amp;search_path&amp;" /stypes=""app*"&amp;SSG28&amp;"*"&amp;TEXT(SSN28-utc_offset/24,"YYYYMMDD")&amp;"*"" /stext="" "&amp;TEXT(SSN28-utc_offset/24,"HH")&amp;search_regexp&amp;""""</f>
        <v>#REF!</v>
      </c>
      <c r="STL28" s="234" t="e">
        <f>astrogrep_path&amp;" /e /r /s /spath="&amp;search_path&amp;" /stypes=""app*"&amp;SSH28&amp;"*"&amp;TEXT(SSO28-utc_offset/24,"YYYYMMDD")&amp;"*"" /stext="" "&amp;TEXT(SSO28-utc_offset/24,"HH")&amp;search_regexp&amp;""""</f>
        <v>#REF!</v>
      </c>
      <c r="STM28" s="234" t="e">
        <f>astrogrep_path&amp;" /e /r /s /spath="&amp;search_path&amp;" /stypes=""app*"&amp;SSI28&amp;"*"&amp;TEXT(SSP28-utc_offset/24,"YYYYMMDD")&amp;"*"" /stext="" "&amp;TEXT(SSP28-utc_offset/24,"HH")&amp;search_regexp&amp;""""</f>
        <v>#REF!</v>
      </c>
      <c r="STN28" s="234" t="e">
        <f>astrogrep_path&amp;" /e /r /s /spath="&amp;search_path&amp;" /stypes=""app*"&amp;SSJ28&amp;"*"&amp;TEXT(SSQ28-utc_offset/24,"YYYYMMDD")&amp;"*"" /stext="" "&amp;TEXT(SSQ28-utc_offset/24,"HH")&amp;search_regexp&amp;""""</f>
        <v>#REF!</v>
      </c>
      <c r="STO28" s="234" t="e">
        <f>astrogrep_path&amp;" /e /r /s /spath="&amp;search_path&amp;" /stypes=""app*"&amp;SSK28&amp;"*"&amp;TEXT(SSR28-utc_offset/24,"YYYYMMDD")&amp;"*"" /stext="" "&amp;TEXT(SSR28-utc_offset/24,"HH")&amp;search_regexp&amp;""""</f>
        <v>#REF!</v>
      </c>
      <c r="STP28" s="234" t="e">
        <f>astrogrep_path&amp;" /e /r /s /spath="&amp;search_path&amp;" /stypes=""app*"&amp;SSL28&amp;"*"&amp;TEXT(SSS28-utc_offset/24,"YYYYMMDD")&amp;"*"" /stext="" "&amp;TEXT(SSS28-utc_offset/24,"HH")&amp;search_regexp&amp;""""</f>
        <v>#REF!</v>
      </c>
      <c r="STQ28" s="234" t="e">
        <f>astrogrep_path&amp;" /e /r /s /spath="&amp;search_path&amp;" /stypes=""app*"&amp;SSM28&amp;"*"&amp;TEXT(SST28-utc_offset/24,"YYYYMMDD")&amp;"*"" /stext="" "&amp;TEXT(SST28-utc_offset/24,"HH")&amp;search_regexp&amp;""""</f>
        <v>#VALUE!</v>
      </c>
      <c r="STR28" s="234" t="e">
        <f>astrogrep_path&amp;" /e /r /s /spath="&amp;search_path&amp;" /stypes=""app*"&amp;SSN28&amp;"*"&amp;TEXT(SSU28-utc_offset/24,"YYYYMMDD")&amp;"*"" /stext="" "&amp;TEXT(SSU28-utc_offset/24,"HH")&amp;search_regexp&amp;""""</f>
        <v>#VALUE!</v>
      </c>
      <c r="STS28" s="234" t="e">
        <f>astrogrep_path&amp;" /e /r /s /spath="&amp;search_path&amp;" /stypes=""app*"&amp;SSO28&amp;"*"&amp;TEXT(SSV28-utc_offset/24,"YYYYMMDD")&amp;"*"" /stext="" "&amp;TEXT(SSV28-utc_offset/24,"HH")&amp;search_regexp&amp;""""</f>
        <v>#REF!</v>
      </c>
      <c r="STT28" s="234" t="e">
        <f>astrogrep_path&amp;" /e /r /s /spath="&amp;search_path&amp;" /stypes=""app*"&amp;SSP28&amp;"*"&amp;TEXT(SSW28-utc_offset/24,"YYYYMMDD")&amp;"*"" /stext="" "&amp;TEXT(SSW28-utc_offset/24,"HH")&amp;search_regexp&amp;""""</f>
        <v>#REF!</v>
      </c>
      <c r="STU28" s="234" t="e">
        <f>astrogrep_path&amp;" /e /r /s /spath="&amp;search_path&amp;" /stypes=""app*"&amp;SSQ28&amp;"*"&amp;TEXT(SSX28-utc_offset/24,"YYYYMMDD")&amp;"*"" /stext="" "&amp;TEXT(SSX28-utc_offset/24,"HH")&amp;search_regexp&amp;""""</f>
        <v>#VALUE!</v>
      </c>
      <c r="STV28" s="234" t="e">
        <f>astrogrep_path&amp;" /e /r /s /spath="&amp;search_path&amp;" /stypes=""app*"&amp;SSR28&amp;"*"&amp;TEXT(SSY28-utc_offset/24,"YYYYMMDD")&amp;"*"" /stext="" "&amp;TEXT(SSY28-utc_offset/24,"HH")&amp;search_regexp&amp;""""</f>
        <v>#VALUE!</v>
      </c>
      <c r="STW28" s="234" t="e">
        <f>astrogrep_path&amp;" /e /r /s /spath="&amp;search_path&amp;" /stypes=""app*"&amp;SSS28&amp;"*"&amp;TEXT(SSZ28-utc_offset/24,"YYYYMMDD")&amp;"*"" /stext="" "&amp;TEXT(SSZ28-utc_offset/24,"HH")&amp;search_regexp&amp;""""</f>
        <v>#VALUE!</v>
      </c>
      <c r="STX28" s="234" t="e">
        <f>astrogrep_path&amp;" /e /r /s /spath="&amp;search_path&amp;" /stypes=""app*"&amp;SST28&amp;"*"&amp;TEXT(STA28-utc_offset/24,"YYYYMMDD")&amp;"*"" /stext="" "&amp;TEXT(STA28-utc_offset/24,"HH")&amp;search_regexp&amp;""""</f>
        <v>#VALUE!</v>
      </c>
      <c r="STY28" s="234" t="e">
        <f>astrogrep_path&amp;" /e /r /s /spath="&amp;search_path&amp;" /stypes=""app*"&amp;SSU28&amp;"*"&amp;TEXT(STB28-utc_offset/24,"YYYYMMDD")&amp;"*"" /stext="" "&amp;TEXT(STB28-utc_offset/24,"HH")&amp;search_regexp&amp;""""</f>
        <v>#VALUE!</v>
      </c>
      <c r="STZ28" s="234" t="e">
        <f>astrogrep_path&amp;" /e /r /s /spath="&amp;search_path&amp;" /stypes=""app*"&amp;SSV28&amp;"*"&amp;TEXT(STC28-utc_offset/24,"YYYYMMDD")&amp;"*"" /stext="" "&amp;TEXT(STC28-utc_offset/24,"HH")&amp;search_regexp&amp;""""</f>
        <v>#REF!</v>
      </c>
      <c r="SUA28" s="234" t="e">
        <f>astrogrep_path&amp;" /e /r /s /spath="&amp;search_path&amp;" /stypes=""app*"&amp;SSW28&amp;"*"&amp;TEXT(STD28-utc_offset/24,"YYYYMMDD")&amp;"*"" /stext="" "&amp;TEXT(STD28-utc_offset/24,"HH")&amp;search_regexp&amp;""""</f>
        <v>#REF!</v>
      </c>
      <c r="SUB28" s="234" t="e">
        <f>astrogrep_path&amp;" /e /r /s /spath="&amp;search_path&amp;" /stypes=""app*"&amp;SSX28&amp;"*"&amp;TEXT(STE28-utc_offset/24,"YYYYMMDD")&amp;"*"" /stext="" "&amp;TEXT(STE28-utc_offset/24,"HH")&amp;search_regexp&amp;""""</f>
        <v>#REF!</v>
      </c>
      <c r="SUC28" s="234" t="e">
        <f>astrogrep_path&amp;" /e /r /s /spath="&amp;search_path&amp;" /stypes=""app*"&amp;SSY28&amp;"*"&amp;TEXT(STF28-utc_offset/24,"YYYYMMDD")&amp;"*"" /stext="" "&amp;TEXT(STF28-utc_offset/24,"HH")&amp;search_regexp&amp;""""</f>
        <v>#REF!</v>
      </c>
      <c r="SUD28" s="234" t="e">
        <f>astrogrep_path&amp;" /e /r /s /spath="&amp;search_path&amp;" /stypes=""app*"&amp;SSZ28&amp;"*"&amp;TEXT(STG28-utc_offset/24,"YYYYMMDD")&amp;"*"" /stext="" "&amp;TEXT(STG28-utc_offset/24,"HH")&amp;search_regexp&amp;""""</f>
        <v>#REF!</v>
      </c>
      <c r="SUE28" s="234" t="e">
        <f>astrogrep_path&amp;" /e /r /s /spath="&amp;search_path&amp;" /stypes=""app*"&amp;STA28&amp;"*"&amp;TEXT(STH28-utc_offset/24,"YYYYMMDD")&amp;"*"" /stext="" "&amp;TEXT(STH28-utc_offset/24,"HH")&amp;search_regexp&amp;""""</f>
        <v>#REF!</v>
      </c>
      <c r="SUF28" s="234" t="e">
        <f>astrogrep_path&amp;" /e /r /s /spath="&amp;search_path&amp;" /stypes=""app*"&amp;STB28&amp;"*"&amp;TEXT(STI28-utc_offset/24,"YYYYMMDD")&amp;"*"" /stext="" "&amp;TEXT(STI28-utc_offset/24,"HH")&amp;search_regexp&amp;""""</f>
        <v>#REF!</v>
      </c>
      <c r="SUG28" s="234" t="e">
        <f>astrogrep_path&amp;" /e /r /s /spath="&amp;search_path&amp;" /stypes=""app*"&amp;STC28&amp;"*"&amp;TEXT(STJ28-utc_offset/24,"YYYYMMDD")&amp;"*"" /stext="" "&amp;TEXT(STJ28-utc_offset/24,"HH")&amp;search_regexp&amp;""""</f>
        <v>#REF!</v>
      </c>
      <c r="SUH28" s="234" t="e">
        <f>astrogrep_path&amp;" /e /r /s /spath="&amp;search_path&amp;" /stypes=""app*"&amp;STD28&amp;"*"&amp;TEXT(STK28-utc_offset/24,"YYYYMMDD")&amp;"*"" /stext="" "&amp;TEXT(STK28-utc_offset/24,"HH")&amp;search_regexp&amp;""""</f>
        <v>#REF!</v>
      </c>
      <c r="SUI28" s="234" t="e">
        <f>astrogrep_path&amp;" /e /r /s /spath="&amp;search_path&amp;" /stypes=""app*"&amp;STE28&amp;"*"&amp;TEXT(STL28-utc_offset/24,"YYYYMMDD")&amp;"*"" /stext="" "&amp;TEXT(STL28-utc_offset/24,"HH")&amp;search_regexp&amp;""""</f>
        <v>#REF!</v>
      </c>
      <c r="SUJ28" s="234" t="e">
        <f>astrogrep_path&amp;" /e /r /s /spath="&amp;search_path&amp;" /stypes=""app*"&amp;STF28&amp;"*"&amp;TEXT(STM28-utc_offset/24,"YYYYMMDD")&amp;"*"" /stext="" "&amp;TEXT(STM28-utc_offset/24,"HH")&amp;search_regexp&amp;""""</f>
        <v>#REF!</v>
      </c>
      <c r="SUK28" s="234" t="e">
        <f>astrogrep_path&amp;" /e /r /s /spath="&amp;search_path&amp;" /stypes=""app*"&amp;STG28&amp;"*"&amp;TEXT(STN28-utc_offset/24,"YYYYMMDD")&amp;"*"" /stext="" "&amp;TEXT(STN28-utc_offset/24,"HH")&amp;search_regexp&amp;""""</f>
        <v>#REF!</v>
      </c>
      <c r="SUL28" s="234" t="e">
        <f>astrogrep_path&amp;" /e /r /s /spath="&amp;search_path&amp;" /stypes=""app*"&amp;STH28&amp;"*"&amp;TEXT(STO28-utc_offset/24,"YYYYMMDD")&amp;"*"" /stext="" "&amp;TEXT(STO28-utc_offset/24,"HH")&amp;search_regexp&amp;""""</f>
        <v>#REF!</v>
      </c>
      <c r="SUM28" s="234" t="e">
        <f>astrogrep_path&amp;" /e /r /s /spath="&amp;search_path&amp;" /stypes=""app*"&amp;STI28&amp;"*"&amp;TEXT(STP28-utc_offset/24,"YYYYMMDD")&amp;"*"" /stext="" "&amp;TEXT(STP28-utc_offset/24,"HH")&amp;search_regexp&amp;""""</f>
        <v>#REF!</v>
      </c>
      <c r="SUN28" s="234" t="e">
        <f>astrogrep_path&amp;" /e /r /s /spath="&amp;search_path&amp;" /stypes=""app*"&amp;STJ28&amp;"*"&amp;TEXT(STQ28-utc_offset/24,"YYYYMMDD")&amp;"*"" /stext="" "&amp;TEXT(STQ28-utc_offset/24,"HH")&amp;search_regexp&amp;""""</f>
        <v>#REF!</v>
      </c>
      <c r="SUO28" s="234" t="e">
        <f>astrogrep_path&amp;" /e /r /s /spath="&amp;search_path&amp;" /stypes=""app*"&amp;STK28&amp;"*"&amp;TEXT(STR28-utc_offset/24,"YYYYMMDD")&amp;"*"" /stext="" "&amp;TEXT(STR28-utc_offset/24,"HH")&amp;search_regexp&amp;""""</f>
        <v>#REF!</v>
      </c>
      <c r="SUP28" s="234" t="e">
        <f>astrogrep_path&amp;" /e /r /s /spath="&amp;search_path&amp;" /stypes=""app*"&amp;STL28&amp;"*"&amp;TEXT(STS28-utc_offset/24,"YYYYMMDD")&amp;"*"" /stext="" "&amp;TEXT(STS28-utc_offset/24,"HH")&amp;search_regexp&amp;""""</f>
        <v>#REF!</v>
      </c>
      <c r="SUQ28" s="234" t="e">
        <f>astrogrep_path&amp;" /e /r /s /spath="&amp;search_path&amp;" /stypes=""app*"&amp;STM28&amp;"*"&amp;TEXT(STT28-utc_offset/24,"YYYYMMDD")&amp;"*"" /stext="" "&amp;TEXT(STT28-utc_offset/24,"HH")&amp;search_regexp&amp;""""</f>
        <v>#REF!</v>
      </c>
      <c r="SUR28" s="234" t="e">
        <f>astrogrep_path&amp;" /e /r /s /spath="&amp;search_path&amp;" /stypes=""app*"&amp;STN28&amp;"*"&amp;TEXT(STU28-utc_offset/24,"YYYYMMDD")&amp;"*"" /stext="" "&amp;TEXT(STU28-utc_offset/24,"HH")&amp;search_regexp&amp;""""</f>
        <v>#REF!</v>
      </c>
      <c r="SUS28" s="234" t="e">
        <f>astrogrep_path&amp;" /e /r /s /spath="&amp;search_path&amp;" /stypes=""app*"&amp;STO28&amp;"*"&amp;TEXT(STV28-utc_offset/24,"YYYYMMDD")&amp;"*"" /stext="" "&amp;TEXT(STV28-utc_offset/24,"HH")&amp;search_regexp&amp;""""</f>
        <v>#REF!</v>
      </c>
      <c r="SUT28" s="234" t="e">
        <f>astrogrep_path&amp;" /e /r /s /spath="&amp;search_path&amp;" /stypes=""app*"&amp;STP28&amp;"*"&amp;TEXT(STW28-utc_offset/24,"YYYYMMDD")&amp;"*"" /stext="" "&amp;TEXT(STW28-utc_offset/24,"HH")&amp;search_regexp&amp;""""</f>
        <v>#REF!</v>
      </c>
      <c r="SUU28" s="234" t="e">
        <f>astrogrep_path&amp;" /e /r /s /spath="&amp;search_path&amp;" /stypes=""app*"&amp;STQ28&amp;"*"&amp;TEXT(STX28-utc_offset/24,"YYYYMMDD")&amp;"*"" /stext="" "&amp;TEXT(STX28-utc_offset/24,"HH")&amp;search_regexp&amp;""""</f>
        <v>#VALUE!</v>
      </c>
      <c r="SUV28" s="234" t="e">
        <f>astrogrep_path&amp;" /e /r /s /spath="&amp;search_path&amp;" /stypes=""app*"&amp;STR28&amp;"*"&amp;TEXT(STY28-utc_offset/24,"YYYYMMDD")&amp;"*"" /stext="" "&amp;TEXT(STY28-utc_offset/24,"HH")&amp;search_regexp&amp;""""</f>
        <v>#VALUE!</v>
      </c>
      <c r="SUW28" s="234" t="e">
        <f>astrogrep_path&amp;" /e /r /s /spath="&amp;search_path&amp;" /stypes=""app*"&amp;STS28&amp;"*"&amp;TEXT(STZ28-utc_offset/24,"YYYYMMDD")&amp;"*"" /stext="" "&amp;TEXT(STZ28-utc_offset/24,"HH")&amp;search_regexp&amp;""""</f>
        <v>#REF!</v>
      </c>
      <c r="SUX28" s="234" t="e">
        <f>astrogrep_path&amp;" /e /r /s /spath="&amp;search_path&amp;" /stypes=""app*"&amp;STT28&amp;"*"&amp;TEXT(SUA28-utc_offset/24,"YYYYMMDD")&amp;"*"" /stext="" "&amp;TEXT(SUA28-utc_offset/24,"HH")&amp;search_regexp&amp;""""</f>
        <v>#REF!</v>
      </c>
      <c r="SUY28" s="234" t="e">
        <f>astrogrep_path&amp;" /e /r /s /spath="&amp;search_path&amp;" /stypes=""app*"&amp;STU28&amp;"*"&amp;TEXT(SUB28-utc_offset/24,"YYYYMMDD")&amp;"*"" /stext="" "&amp;TEXT(SUB28-utc_offset/24,"HH")&amp;search_regexp&amp;""""</f>
        <v>#VALUE!</v>
      </c>
      <c r="SUZ28" s="234" t="e">
        <f>astrogrep_path&amp;" /e /r /s /spath="&amp;search_path&amp;" /stypes=""app*"&amp;STV28&amp;"*"&amp;TEXT(SUC28-utc_offset/24,"YYYYMMDD")&amp;"*"" /stext="" "&amp;TEXT(SUC28-utc_offset/24,"HH")&amp;search_regexp&amp;""""</f>
        <v>#VALUE!</v>
      </c>
      <c r="SVA28" s="234" t="e">
        <f>astrogrep_path&amp;" /e /r /s /spath="&amp;search_path&amp;" /stypes=""app*"&amp;STW28&amp;"*"&amp;TEXT(SUD28-utc_offset/24,"YYYYMMDD")&amp;"*"" /stext="" "&amp;TEXT(SUD28-utc_offset/24,"HH")&amp;search_regexp&amp;""""</f>
        <v>#VALUE!</v>
      </c>
      <c r="SVB28" s="234" t="e">
        <f>astrogrep_path&amp;" /e /r /s /spath="&amp;search_path&amp;" /stypes=""app*"&amp;STX28&amp;"*"&amp;TEXT(SUE28-utc_offset/24,"YYYYMMDD")&amp;"*"" /stext="" "&amp;TEXT(SUE28-utc_offset/24,"HH")&amp;search_regexp&amp;""""</f>
        <v>#VALUE!</v>
      </c>
      <c r="SVC28" s="234" t="e">
        <f>astrogrep_path&amp;" /e /r /s /spath="&amp;search_path&amp;" /stypes=""app*"&amp;STY28&amp;"*"&amp;TEXT(SUF28-utc_offset/24,"YYYYMMDD")&amp;"*"" /stext="" "&amp;TEXT(SUF28-utc_offset/24,"HH")&amp;search_regexp&amp;""""</f>
        <v>#VALUE!</v>
      </c>
      <c r="SVD28" s="234" t="e">
        <f>astrogrep_path&amp;" /e /r /s /spath="&amp;search_path&amp;" /stypes=""app*"&amp;STZ28&amp;"*"&amp;TEXT(SUG28-utc_offset/24,"YYYYMMDD")&amp;"*"" /stext="" "&amp;TEXT(SUG28-utc_offset/24,"HH")&amp;search_regexp&amp;""""</f>
        <v>#REF!</v>
      </c>
      <c r="SVE28" s="234" t="e">
        <f>astrogrep_path&amp;" /e /r /s /spath="&amp;search_path&amp;" /stypes=""app*"&amp;SUA28&amp;"*"&amp;TEXT(SUH28-utc_offset/24,"YYYYMMDD")&amp;"*"" /stext="" "&amp;TEXT(SUH28-utc_offset/24,"HH")&amp;search_regexp&amp;""""</f>
        <v>#REF!</v>
      </c>
      <c r="SVF28" s="234" t="e">
        <f>astrogrep_path&amp;" /e /r /s /spath="&amp;search_path&amp;" /stypes=""app*"&amp;SUB28&amp;"*"&amp;TEXT(SUI28-utc_offset/24,"YYYYMMDD")&amp;"*"" /stext="" "&amp;TEXT(SUI28-utc_offset/24,"HH")&amp;search_regexp&amp;""""</f>
        <v>#REF!</v>
      </c>
      <c r="SVG28" s="234" t="e">
        <f>astrogrep_path&amp;" /e /r /s /spath="&amp;search_path&amp;" /stypes=""app*"&amp;SUC28&amp;"*"&amp;TEXT(SUJ28-utc_offset/24,"YYYYMMDD")&amp;"*"" /stext="" "&amp;TEXT(SUJ28-utc_offset/24,"HH")&amp;search_regexp&amp;""""</f>
        <v>#REF!</v>
      </c>
      <c r="SVH28" s="234" t="e">
        <f>astrogrep_path&amp;" /e /r /s /spath="&amp;search_path&amp;" /stypes=""app*"&amp;SUD28&amp;"*"&amp;TEXT(SUK28-utc_offset/24,"YYYYMMDD")&amp;"*"" /stext="" "&amp;TEXT(SUK28-utc_offset/24,"HH")&amp;search_regexp&amp;""""</f>
        <v>#REF!</v>
      </c>
      <c r="SVI28" s="234" t="e">
        <f>astrogrep_path&amp;" /e /r /s /spath="&amp;search_path&amp;" /stypes=""app*"&amp;SUE28&amp;"*"&amp;TEXT(SUL28-utc_offset/24,"YYYYMMDD")&amp;"*"" /stext="" "&amp;TEXT(SUL28-utc_offset/24,"HH")&amp;search_regexp&amp;""""</f>
        <v>#REF!</v>
      </c>
      <c r="SVJ28" s="234" t="e">
        <f>astrogrep_path&amp;" /e /r /s /spath="&amp;search_path&amp;" /stypes=""app*"&amp;SUF28&amp;"*"&amp;TEXT(SUM28-utc_offset/24,"YYYYMMDD")&amp;"*"" /stext="" "&amp;TEXT(SUM28-utc_offset/24,"HH")&amp;search_regexp&amp;""""</f>
        <v>#REF!</v>
      </c>
      <c r="SVK28" s="234" t="e">
        <f>astrogrep_path&amp;" /e /r /s /spath="&amp;search_path&amp;" /stypes=""app*"&amp;SUG28&amp;"*"&amp;TEXT(SUN28-utc_offset/24,"YYYYMMDD")&amp;"*"" /stext="" "&amp;TEXT(SUN28-utc_offset/24,"HH")&amp;search_regexp&amp;""""</f>
        <v>#REF!</v>
      </c>
      <c r="SVL28" s="234" t="e">
        <f>astrogrep_path&amp;" /e /r /s /spath="&amp;search_path&amp;" /stypes=""app*"&amp;SUH28&amp;"*"&amp;TEXT(SUO28-utc_offset/24,"YYYYMMDD")&amp;"*"" /stext="" "&amp;TEXT(SUO28-utc_offset/24,"HH")&amp;search_regexp&amp;""""</f>
        <v>#REF!</v>
      </c>
      <c r="SVM28" s="234" t="e">
        <f>astrogrep_path&amp;" /e /r /s /spath="&amp;search_path&amp;" /stypes=""app*"&amp;SUI28&amp;"*"&amp;TEXT(SUP28-utc_offset/24,"YYYYMMDD")&amp;"*"" /stext="" "&amp;TEXT(SUP28-utc_offset/24,"HH")&amp;search_regexp&amp;""""</f>
        <v>#REF!</v>
      </c>
      <c r="SVN28" s="234" t="e">
        <f>astrogrep_path&amp;" /e /r /s /spath="&amp;search_path&amp;" /stypes=""app*"&amp;SUJ28&amp;"*"&amp;TEXT(SUQ28-utc_offset/24,"YYYYMMDD")&amp;"*"" /stext="" "&amp;TEXT(SUQ28-utc_offset/24,"HH")&amp;search_regexp&amp;""""</f>
        <v>#REF!</v>
      </c>
      <c r="SVO28" s="234" t="e">
        <f>astrogrep_path&amp;" /e /r /s /spath="&amp;search_path&amp;" /stypes=""app*"&amp;SUK28&amp;"*"&amp;TEXT(SUR28-utc_offset/24,"YYYYMMDD")&amp;"*"" /stext="" "&amp;TEXT(SUR28-utc_offset/24,"HH")&amp;search_regexp&amp;""""</f>
        <v>#REF!</v>
      </c>
      <c r="SVP28" s="234" t="e">
        <f>astrogrep_path&amp;" /e /r /s /spath="&amp;search_path&amp;" /stypes=""app*"&amp;SUL28&amp;"*"&amp;TEXT(SUS28-utc_offset/24,"YYYYMMDD")&amp;"*"" /stext="" "&amp;TEXT(SUS28-utc_offset/24,"HH")&amp;search_regexp&amp;""""</f>
        <v>#REF!</v>
      </c>
      <c r="SVQ28" s="234" t="e">
        <f>astrogrep_path&amp;" /e /r /s /spath="&amp;search_path&amp;" /stypes=""app*"&amp;SUM28&amp;"*"&amp;TEXT(SUT28-utc_offset/24,"YYYYMMDD")&amp;"*"" /stext="" "&amp;TEXT(SUT28-utc_offset/24,"HH")&amp;search_regexp&amp;""""</f>
        <v>#REF!</v>
      </c>
      <c r="SVR28" s="234" t="e">
        <f>astrogrep_path&amp;" /e /r /s /spath="&amp;search_path&amp;" /stypes=""app*"&amp;SUN28&amp;"*"&amp;TEXT(SUU28-utc_offset/24,"YYYYMMDD")&amp;"*"" /stext="" "&amp;TEXT(SUU28-utc_offset/24,"HH")&amp;search_regexp&amp;""""</f>
        <v>#REF!</v>
      </c>
      <c r="SVS28" s="234" t="e">
        <f>astrogrep_path&amp;" /e /r /s /spath="&amp;search_path&amp;" /stypes=""app*"&amp;SUO28&amp;"*"&amp;TEXT(SUV28-utc_offset/24,"YYYYMMDD")&amp;"*"" /stext="" "&amp;TEXT(SUV28-utc_offset/24,"HH")&amp;search_regexp&amp;""""</f>
        <v>#REF!</v>
      </c>
      <c r="SVT28" s="234" t="e">
        <f>astrogrep_path&amp;" /e /r /s /spath="&amp;search_path&amp;" /stypes=""app*"&amp;SUP28&amp;"*"&amp;TEXT(SUW28-utc_offset/24,"YYYYMMDD")&amp;"*"" /stext="" "&amp;TEXT(SUW28-utc_offset/24,"HH")&amp;search_regexp&amp;""""</f>
        <v>#REF!</v>
      </c>
      <c r="SVU28" s="234" t="e">
        <f>astrogrep_path&amp;" /e /r /s /spath="&amp;search_path&amp;" /stypes=""app*"&amp;SUQ28&amp;"*"&amp;TEXT(SUX28-utc_offset/24,"YYYYMMDD")&amp;"*"" /stext="" "&amp;TEXT(SUX28-utc_offset/24,"HH")&amp;search_regexp&amp;""""</f>
        <v>#REF!</v>
      </c>
      <c r="SVV28" s="234" t="e">
        <f>astrogrep_path&amp;" /e /r /s /spath="&amp;search_path&amp;" /stypes=""app*"&amp;SUR28&amp;"*"&amp;TEXT(SUY28-utc_offset/24,"YYYYMMDD")&amp;"*"" /stext="" "&amp;TEXT(SUY28-utc_offset/24,"HH")&amp;search_regexp&amp;""""</f>
        <v>#REF!</v>
      </c>
      <c r="SVW28" s="234" t="e">
        <f>astrogrep_path&amp;" /e /r /s /spath="&amp;search_path&amp;" /stypes=""app*"&amp;SUS28&amp;"*"&amp;TEXT(SUZ28-utc_offset/24,"YYYYMMDD")&amp;"*"" /stext="" "&amp;TEXT(SUZ28-utc_offset/24,"HH")&amp;search_regexp&amp;""""</f>
        <v>#REF!</v>
      </c>
      <c r="SVX28" s="234" t="e">
        <f>astrogrep_path&amp;" /e /r /s /spath="&amp;search_path&amp;" /stypes=""app*"&amp;SUT28&amp;"*"&amp;TEXT(SVA28-utc_offset/24,"YYYYMMDD")&amp;"*"" /stext="" "&amp;TEXT(SVA28-utc_offset/24,"HH")&amp;search_regexp&amp;""""</f>
        <v>#REF!</v>
      </c>
      <c r="SVY28" s="234" t="e">
        <f>astrogrep_path&amp;" /e /r /s /spath="&amp;search_path&amp;" /stypes=""app*"&amp;SUU28&amp;"*"&amp;TEXT(SVB28-utc_offset/24,"YYYYMMDD")&amp;"*"" /stext="" "&amp;TEXT(SVB28-utc_offset/24,"HH")&amp;search_regexp&amp;""""</f>
        <v>#VALUE!</v>
      </c>
      <c r="SVZ28" s="234" t="e">
        <f>astrogrep_path&amp;" /e /r /s /spath="&amp;search_path&amp;" /stypes=""app*"&amp;SUV28&amp;"*"&amp;TEXT(SVC28-utc_offset/24,"YYYYMMDD")&amp;"*"" /stext="" "&amp;TEXT(SVC28-utc_offset/24,"HH")&amp;search_regexp&amp;""""</f>
        <v>#VALUE!</v>
      </c>
      <c r="SWA28" s="234" t="e">
        <f>astrogrep_path&amp;" /e /r /s /spath="&amp;search_path&amp;" /stypes=""app*"&amp;SUW28&amp;"*"&amp;TEXT(SVD28-utc_offset/24,"YYYYMMDD")&amp;"*"" /stext="" "&amp;TEXT(SVD28-utc_offset/24,"HH")&amp;search_regexp&amp;""""</f>
        <v>#REF!</v>
      </c>
      <c r="SWB28" s="234" t="e">
        <f>astrogrep_path&amp;" /e /r /s /spath="&amp;search_path&amp;" /stypes=""app*"&amp;SUX28&amp;"*"&amp;TEXT(SVE28-utc_offset/24,"YYYYMMDD")&amp;"*"" /stext="" "&amp;TEXT(SVE28-utc_offset/24,"HH")&amp;search_regexp&amp;""""</f>
        <v>#REF!</v>
      </c>
      <c r="SWC28" s="234" t="e">
        <f>astrogrep_path&amp;" /e /r /s /spath="&amp;search_path&amp;" /stypes=""app*"&amp;SUY28&amp;"*"&amp;TEXT(SVF28-utc_offset/24,"YYYYMMDD")&amp;"*"" /stext="" "&amp;TEXT(SVF28-utc_offset/24,"HH")&amp;search_regexp&amp;""""</f>
        <v>#VALUE!</v>
      </c>
      <c r="SWD28" s="234" t="e">
        <f>astrogrep_path&amp;" /e /r /s /spath="&amp;search_path&amp;" /stypes=""app*"&amp;SUZ28&amp;"*"&amp;TEXT(SVG28-utc_offset/24,"YYYYMMDD")&amp;"*"" /stext="" "&amp;TEXT(SVG28-utc_offset/24,"HH")&amp;search_regexp&amp;""""</f>
        <v>#VALUE!</v>
      </c>
      <c r="SWE28" s="234" t="e">
        <f>astrogrep_path&amp;" /e /r /s /spath="&amp;search_path&amp;" /stypes=""app*"&amp;SVA28&amp;"*"&amp;TEXT(SVH28-utc_offset/24,"YYYYMMDD")&amp;"*"" /stext="" "&amp;TEXT(SVH28-utc_offset/24,"HH")&amp;search_regexp&amp;""""</f>
        <v>#VALUE!</v>
      </c>
      <c r="SWF28" s="234" t="e">
        <f>astrogrep_path&amp;" /e /r /s /spath="&amp;search_path&amp;" /stypes=""app*"&amp;SVB28&amp;"*"&amp;TEXT(SVI28-utc_offset/24,"YYYYMMDD")&amp;"*"" /stext="" "&amp;TEXT(SVI28-utc_offset/24,"HH")&amp;search_regexp&amp;""""</f>
        <v>#VALUE!</v>
      </c>
      <c r="SWG28" s="234" t="e">
        <f>astrogrep_path&amp;" /e /r /s /spath="&amp;search_path&amp;" /stypes=""app*"&amp;SVC28&amp;"*"&amp;TEXT(SVJ28-utc_offset/24,"YYYYMMDD")&amp;"*"" /stext="" "&amp;TEXT(SVJ28-utc_offset/24,"HH")&amp;search_regexp&amp;""""</f>
        <v>#VALUE!</v>
      </c>
      <c r="SWH28" s="234" t="e">
        <f>astrogrep_path&amp;" /e /r /s /spath="&amp;search_path&amp;" /stypes=""app*"&amp;SVD28&amp;"*"&amp;TEXT(SVK28-utc_offset/24,"YYYYMMDD")&amp;"*"" /stext="" "&amp;TEXT(SVK28-utc_offset/24,"HH")&amp;search_regexp&amp;""""</f>
        <v>#REF!</v>
      </c>
      <c r="SWI28" s="234" t="e">
        <f>astrogrep_path&amp;" /e /r /s /spath="&amp;search_path&amp;" /stypes=""app*"&amp;SVE28&amp;"*"&amp;TEXT(SVL28-utc_offset/24,"YYYYMMDD")&amp;"*"" /stext="" "&amp;TEXT(SVL28-utc_offset/24,"HH")&amp;search_regexp&amp;""""</f>
        <v>#REF!</v>
      </c>
      <c r="SWJ28" s="234" t="e">
        <f>astrogrep_path&amp;" /e /r /s /spath="&amp;search_path&amp;" /stypes=""app*"&amp;SVF28&amp;"*"&amp;TEXT(SVM28-utc_offset/24,"YYYYMMDD")&amp;"*"" /stext="" "&amp;TEXT(SVM28-utc_offset/24,"HH")&amp;search_regexp&amp;""""</f>
        <v>#REF!</v>
      </c>
      <c r="SWK28" s="234" t="e">
        <f>astrogrep_path&amp;" /e /r /s /spath="&amp;search_path&amp;" /stypes=""app*"&amp;SVG28&amp;"*"&amp;TEXT(SVN28-utc_offset/24,"YYYYMMDD")&amp;"*"" /stext="" "&amp;TEXT(SVN28-utc_offset/24,"HH")&amp;search_regexp&amp;""""</f>
        <v>#REF!</v>
      </c>
      <c r="SWL28" s="234" t="e">
        <f>astrogrep_path&amp;" /e /r /s /spath="&amp;search_path&amp;" /stypes=""app*"&amp;SVH28&amp;"*"&amp;TEXT(SVO28-utc_offset/24,"YYYYMMDD")&amp;"*"" /stext="" "&amp;TEXT(SVO28-utc_offset/24,"HH")&amp;search_regexp&amp;""""</f>
        <v>#REF!</v>
      </c>
      <c r="SWM28" s="234" t="e">
        <f>astrogrep_path&amp;" /e /r /s /spath="&amp;search_path&amp;" /stypes=""app*"&amp;SVI28&amp;"*"&amp;TEXT(SVP28-utc_offset/24,"YYYYMMDD")&amp;"*"" /stext="" "&amp;TEXT(SVP28-utc_offset/24,"HH")&amp;search_regexp&amp;""""</f>
        <v>#REF!</v>
      </c>
      <c r="SWN28" s="234" t="e">
        <f>astrogrep_path&amp;" /e /r /s /spath="&amp;search_path&amp;" /stypes=""app*"&amp;SVJ28&amp;"*"&amp;TEXT(SVQ28-utc_offset/24,"YYYYMMDD")&amp;"*"" /stext="" "&amp;TEXT(SVQ28-utc_offset/24,"HH")&amp;search_regexp&amp;""""</f>
        <v>#REF!</v>
      </c>
      <c r="SWO28" s="234" t="e">
        <f>astrogrep_path&amp;" /e /r /s /spath="&amp;search_path&amp;" /stypes=""app*"&amp;SVK28&amp;"*"&amp;TEXT(SVR28-utc_offset/24,"YYYYMMDD")&amp;"*"" /stext="" "&amp;TEXT(SVR28-utc_offset/24,"HH")&amp;search_regexp&amp;""""</f>
        <v>#REF!</v>
      </c>
      <c r="SWP28" s="234" t="e">
        <f>astrogrep_path&amp;" /e /r /s /spath="&amp;search_path&amp;" /stypes=""app*"&amp;SVL28&amp;"*"&amp;TEXT(SVS28-utc_offset/24,"YYYYMMDD")&amp;"*"" /stext="" "&amp;TEXT(SVS28-utc_offset/24,"HH")&amp;search_regexp&amp;""""</f>
        <v>#REF!</v>
      </c>
      <c r="SWQ28" s="234" t="e">
        <f>astrogrep_path&amp;" /e /r /s /spath="&amp;search_path&amp;" /stypes=""app*"&amp;SVM28&amp;"*"&amp;TEXT(SVT28-utc_offset/24,"YYYYMMDD")&amp;"*"" /stext="" "&amp;TEXT(SVT28-utc_offset/24,"HH")&amp;search_regexp&amp;""""</f>
        <v>#REF!</v>
      </c>
      <c r="SWR28" s="234" t="e">
        <f>astrogrep_path&amp;" /e /r /s /spath="&amp;search_path&amp;" /stypes=""app*"&amp;SVN28&amp;"*"&amp;TEXT(SVU28-utc_offset/24,"YYYYMMDD")&amp;"*"" /stext="" "&amp;TEXT(SVU28-utc_offset/24,"HH")&amp;search_regexp&amp;""""</f>
        <v>#REF!</v>
      </c>
      <c r="SWS28" s="234" t="e">
        <f>astrogrep_path&amp;" /e /r /s /spath="&amp;search_path&amp;" /stypes=""app*"&amp;SVO28&amp;"*"&amp;TEXT(SVV28-utc_offset/24,"YYYYMMDD")&amp;"*"" /stext="" "&amp;TEXT(SVV28-utc_offset/24,"HH")&amp;search_regexp&amp;""""</f>
        <v>#REF!</v>
      </c>
      <c r="SWT28" s="234" t="e">
        <f>astrogrep_path&amp;" /e /r /s /spath="&amp;search_path&amp;" /stypes=""app*"&amp;SVP28&amp;"*"&amp;TEXT(SVW28-utc_offset/24,"YYYYMMDD")&amp;"*"" /stext="" "&amp;TEXT(SVW28-utc_offset/24,"HH")&amp;search_regexp&amp;""""</f>
        <v>#REF!</v>
      </c>
      <c r="SWU28" s="234" t="e">
        <f>astrogrep_path&amp;" /e /r /s /spath="&amp;search_path&amp;" /stypes=""app*"&amp;SVQ28&amp;"*"&amp;TEXT(SVX28-utc_offset/24,"YYYYMMDD")&amp;"*"" /stext="" "&amp;TEXT(SVX28-utc_offset/24,"HH")&amp;search_regexp&amp;""""</f>
        <v>#REF!</v>
      </c>
      <c r="SWV28" s="234" t="e">
        <f>astrogrep_path&amp;" /e /r /s /spath="&amp;search_path&amp;" /stypes=""app*"&amp;SVR28&amp;"*"&amp;TEXT(SVY28-utc_offset/24,"YYYYMMDD")&amp;"*"" /stext="" "&amp;TEXT(SVY28-utc_offset/24,"HH")&amp;search_regexp&amp;""""</f>
        <v>#REF!</v>
      </c>
      <c r="SWW28" s="234" t="e">
        <f>astrogrep_path&amp;" /e /r /s /spath="&amp;search_path&amp;" /stypes=""app*"&amp;SVS28&amp;"*"&amp;TEXT(SVZ28-utc_offset/24,"YYYYMMDD")&amp;"*"" /stext="" "&amp;TEXT(SVZ28-utc_offset/24,"HH")&amp;search_regexp&amp;""""</f>
        <v>#REF!</v>
      </c>
      <c r="SWX28" s="234" t="e">
        <f>astrogrep_path&amp;" /e /r /s /spath="&amp;search_path&amp;" /stypes=""app*"&amp;SVT28&amp;"*"&amp;TEXT(SWA28-utc_offset/24,"YYYYMMDD")&amp;"*"" /stext="" "&amp;TEXT(SWA28-utc_offset/24,"HH")&amp;search_regexp&amp;""""</f>
        <v>#REF!</v>
      </c>
      <c r="SWY28" s="234" t="e">
        <f>astrogrep_path&amp;" /e /r /s /spath="&amp;search_path&amp;" /stypes=""app*"&amp;SVU28&amp;"*"&amp;TEXT(SWB28-utc_offset/24,"YYYYMMDD")&amp;"*"" /stext="" "&amp;TEXT(SWB28-utc_offset/24,"HH")&amp;search_regexp&amp;""""</f>
        <v>#REF!</v>
      </c>
      <c r="SWZ28" s="234" t="e">
        <f>astrogrep_path&amp;" /e /r /s /spath="&amp;search_path&amp;" /stypes=""app*"&amp;SVV28&amp;"*"&amp;TEXT(SWC28-utc_offset/24,"YYYYMMDD")&amp;"*"" /stext="" "&amp;TEXT(SWC28-utc_offset/24,"HH")&amp;search_regexp&amp;""""</f>
        <v>#REF!</v>
      </c>
      <c r="SXA28" s="234" t="e">
        <f>astrogrep_path&amp;" /e /r /s /spath="&amp;search_path&amp;" /stypes=""app*"&amp;SVW28&amp;"*"&amp;TEXT(SWD28-utc_offset/24,"YYYYMMDD")&amp;"*"" /stext="" "&amp;TEXT(SWD28-utc_offset/24,"HH")&amp;search_regexp&amp;""""</f>
        <v>#REF!</v>
      </c>
      <c r="SXB28" s="234" t="e">
        <f>astrogrep_path&amp;" /e /r /s /spath="&amp;search_path&amp;" /stypes=""app*"&amp;SVX28&amp;"*"&amp;TEXT(SWE28-utc_offset/24,"YYYYMMDD")&amp;"*"" /stext="" "&amp;TEXT(SWE28-utc_offset/24,"HH")&amp;search_regexp&amp;""""</f>
        <v>#REF!</v>
      </c>
      <c r="SXC28" s="234" t="e">
        <f>astrogrep_path&amp;" /e /r /s /spath="&amp;search_path&amp;" /stypes=""app*"&amp;SVY28&amp;"*"&amp;TEXT(SWF28-utc_offset/24,"YYYYMMDD")&amp;"*"" /stext="" "&amp;TEXT(SWF28-utc_offset/24,"HH")&amp;search_regexp&amp;""""</f>
        <v>#VALUE!</v>
      </c>
      <c r="SXD28" s="234" t="e">
        <f>astrogrep_path&amp;" /e /r /s /spath="&amp;search_path&amp;" /stypes=""app*"&amp;SVZ28&amp;"*"&amp;TEXT(SWG28-utc_offset/24,"YYYYMMDD")&amp;"*"" /stext="" "&amp;TEXT(SWG28-utc_offset/24,"HH")&amp;search_regexp&amp;""""</f>
        <v>#VALUE!</v>
      </c>
      <c r="SXE28" s="234" t="e">
        <f>astrogrep_path&amp;" /e /r /s /spath="&amp;search_path&amp;" /stypes=""app*"&amp;SWA28&amp;"*"&amp;TEXT(SWH28-utc_offset/24,"YYYYMMDD")&amp;"*"" /stext="" "&amp;TEXT(SWH28-utc_offset/24,"HH")&amp;search_regexp&amp;""""</f>
        <v>#REF!</v>
      </c>
      <c r="SXF28" s="234" t="e">
        <f>astrogrep_path&amp;" /e /r /s /spath="&amp;search_path&amp;" /stypes=""app*"&amp;SWB28&amp;"*"&amp;TEXT(SWI28-utc_offset/24,"YYYYMMDD")&amp;"*"" /stext="" "&amp;TEXT(SWI28-utc_offset/24,"HH")&amp;search_regexp&amp;""""</f>
        <v>#REF!</v>
      </c>
      <c r="SXG28" s="234" t="e">
        <f>astrogrep_path&amp;" /e /r /s /spath="&amp;search_path&amp;" /stypes=""app*"&amp;SWC28&amp;"*"&amp;TEXT(SWJ28-utc_offset/24,"YYYYMMDD")&amp;"*"" /stext="" "&amp;TEXT(SWJ28-utc_offset/24,"HH")&amp;search_regexp&amp;""""</f>
        <v>#VALUE!</v>
      </c>
      <c r="SXH28" s="234" t="e">
        <f>astrogrep_path&amp;" /e /r /s /spath="&amp;search_path&amp;" /stypes=""app*"&amp;SWD28&amp;"*"&amp;TEXT(SWK28-utc_offset/24,"YYYYMMDD")&amp;"*"" /stext="" "&amp;TEXT(SWK28-utc_offset/24,"HH")&amp;search_regexp&amp;""""</f>
        <v>#VALUE!</v>
      </c>
      <c r="SXI28" s="234" t="e">
        <f>astrogrep_path&amp;" /e /r /s /spath="&amp;search_path&amp;" /stypes=""app*"&amp;SWE28&amp;"*"&amp;TEXT(SWL28-utc_offset/24,"YYYYMMDD")&amp;"*"" /stext="" "&amp;TEXT(SWL28-utc_offset/24,"HH")&amp;search_regexp&amp;""""</f>
        <v>#VALUE!</v>
      </c>
      <c r="SXJ28" s="234" t="e">
        <f>astrogrep_path&amp;" /e /r /s /spath="&amp;search_path&amp;" /stypes=""app*"&amp;SWF28&amp;"*"&amp;TEXT(SWM28-utc_offset/24,"YYYYMMDD")&amp;"*"" /stext="" "&amp;TEXT(SWM28-utc_offset/24,"HH")&amp;search_regexp&amp;""""</f>
        <v>#VALUE!</v>
      </c>
      <c r="SXK28" s="234" t="e">
        <f>astrogrep_path&amp;" /e /r /s /spath="&amp;search_path&amp;" /stypes=""app*"&amp;SWG28&amp;"*"&amp;TEXT(SWN28-utc_offset/24,"YYYYMMDD")&amp;"*"" /stext="" "&amp;TEXT(SWN28-utc_offset/24,"HH")&amp;search_regexp&amp;""""</f>
        <v>#VALUE!</v>
      </c>
      <c r="SXL28" s="234" t="e">
        <f>astrogrep_path&amp;" /e /r /s /spath="&amp;search_path&amp;" /stypes=""app*"&amp;SWH28&amp;"*"&amp;TEXT(SWO28-utc_offset/24,"YYYYMMDD")&amp;"*"" /stext="" "&amp;TEXT(SWO28-utc_offset/24,"HH")&amp;search_regexp&amp;""""</f>
        <v>#REF!</v>
      </c>
      <c r="SXM28" s="234" t="e">
        <f>astrogrep_path&amp;" /e /r /s /spath="&amp;search_path&amp;" /stypes=""app*"&amp;SWI28&amp;"*"&amp;TEXT(SWP28-utc_offset/24,"YYYYMMDD")&amp;"*"" /stext="" "&amp;TEXT(SWP28-utc_offset/24,"HH")&amp;search_regexp&amp;""""</f>
        <v>#REF!</v>
      </c>
      <c r="SXN28" s="234" t="e">
        <f>astrogrep_path&amp;" /e /r /s /spath="&amp;search_path&amp;" /stypes=""app*"&amp;SWJ28&amp;"*"&amp;TEXT(SWQ28-utc_offset/24,"YYYYMMDD")&amp;"*"" /stext="" "&amp;TEXT(SWQ28-utc_offset/24,"HH")&amp;search_regexp&amp;""""</f>
        <v>#REF!</v>
      </c>
      <c r="SXO28" s="234" t="e">
        <f>astrogrep_path&amp;" /e /r /s /spath="&amp;search_path&amp;" /stypes=""app*"&amp;SWK28&amp;"*"&amp;TEXT(SWR28-utc_offset/24,"YYYYMMDD")&amp;"*"" /stext="" "&amp;TEXT(SWR28-utc_offset/24,"HH")&amp;search_regexp&amp;""""</f>
        <v>#REF!</v>
      </c>
      <c r="SXP28" s="234" t="e">
        <f>astrogrep_path&amp;" /e /r /s /spath="&amp;search_path&amp;" /stypes=""app*"&amp;SWL28&amp;"*"&amp;TEXT(SWS28-utc_offset/24,"YYYYMMDD")&amp;"*"" /stext="" "&amp;TEXT(SWS28-utc_offset/24,"HH")&amp;search_regexp&amp;""""</f>
        <v>#REF!</v>
      </c>
      <c r="SXQ28" s="234" t="e">
        <f>astrogrep_path&amp;" /e /r /s /spath="&amp;search_path&amp;" /stypes=""app*"&amp;SWM28&amp;"*"&amp;TEXT(SWT28-utc_offset/24,"YYYYMMDD")&amp;"*"" /stext="" "&amp;TEXT(SWT28-utc_offset/24,"HH")&amp;search_regexp&amp;""""</f>
        <v>#REF!</v>
      </c>
      <c r="SXR28" s="234" t="e">
        <f>astrogrep_path&amp;" /e /r /s /spath="&amp;search_path&amp;" /stypes=""app*"&amp;SWN28&amp;"*"&amp;TEXT(SWU28-utc_offset/24,"YYYYMMDD")&amp;"*"" /stext="" "&amp;TEXT(SWU28-utc_offset/24,"HH")&amp;search_regexp&amp;""""</f>
        <v>#REF!</v>
      </c>
      <c r="SXS28" s="234" t="e">
        <f>astrogrep_path&amp;" /e /r /s /spath="&amp;search_path&amp;" /stypes=""app*"&amp;SWO28&amp;"*"&amp;TEXT(SWV28-utc_offset/24,"YYYYMMDD")&amp;"*"" /stext="" "&amp;TEXT(SWV28-utc_offset/24,"HH")&amp;search_regexp&amp;""""</f>
        <v>#REF!</v>
      </c>
      <c r="SXT28" s="234" t="e">
        <f>astrogrep_path&amp;" /e /r /s /spath="&amp;search_path&amp;" /stypes=""app*"&amp;SWP28&amp;"*"&amp;TEXT(SWW28-utc_offset/24,"YYYYMMDD")&amp;"*"" /stext="" "&amp;TEXT(SWW28-utc_offset/24,"HH")&amp;search_regexp&amp;""""</f>
        <v>#REF!</v>
      </c>
      <c r="SXU28" s="234" t="e">
        <f>astrogrep_path&amp;" /e /r /s /spath="&amp;search_path&amp;" /stypes=""app*"&amp;SWQ28&amp;"*"&amp;TEXT(SWX28-utc_offset/24,"YYYYMMDD")&amp;"*"" /stext="" "&amp;TEXT(SWX28-utc_offset/24,"HH")&amp;search_regexp&amp;""""</f>
        <v>#REF!</v>
      </c>
      <c r="SXV28" s="234" t="e">
        <f>astrogrep_path&amp;" /e /r /s /spath="&amp;search_path&amp;" /stypes=""app*"&amp;SWR28&amp;"*"&amp;TEXT(SWY28-utc_offset/24,"YYYYMMDD")&amp;"*"" /stext="" "&amp;TEXT(SWY28-utc_offset/24,"HH")&amp;search_regexp&amp;""""</f>
        <v>#REF!</v>
      </c>
      <c r="SXW28" s="234" t="e">
        <f>astrogrep_path&amp;" /e /r /s /spath="&amp;search_path&amp;" /stypes=""app*"&amp;SWS28&amp;"*"&amp;TEXT(SWZ28-utc_offset/24,"YYYYMMDD")&amp;"*"" /stext="" "&amp;TEXT(SWZ28-utc_offset/24,"HH")&amp;search_regexp&amp;""""</f>
        <v>#REF!</v>
      </c>
      <c r="SXX28" s="234" t="e">
        <f>astrogrep_path&amp;" /e /r /s /spath="&amp;search_path&amp;" /stypes=""app*"&amp;SWT28&amp;"*"&amp;TEXT(SXA28-utc_offset/24,"YYYYMMDD")&amp;"*"" /stext="" "&amp;TEXT(SXA28-utc_offset/24,"HH")&amp;search_regexp&amp;""""</f>
        <v>#REF!</v>
      </c>
      <c r="SXY28" s="234" t="e">
        <f>astrogrep_path&amp;" /e /r /s /spath="&amp;search_path&amp;" /stypes=""app*"&amp;SWU28&amp;"*"&amp;TEXT(SXB28-utc_offset/24,"YYYYMMDD")&amp;"*"" /stext="" "&amp;TEXT(SXB28-utc_offset/24,"HH")&amp;search_regexp&amp;""""</f>
        <v>#REF!</v>
      </c>
      <c r="SXZ28" s="234" t="e">
        <f>astrogrep_path&amp;" /e /r /s /spath="&amp;search_path&amp;" /stypes=""app*"&amp;SWV28&amp;"*"&amp;TEXT(SXC28-utc_offset/24,"YYYYMMDD")&amp;"*"" /stext="" "&amp;TEXT(SXC28-utc_offset/24,"HH")&amp;search_regexp&amp;""""</f>
        <v>#REF!</v>
      </c>
      <c r="SYA28" s="234" t="e">
        <f>astrogrep_path&amp;" /e /r /s /spath="&amp;search_path&amp;" /stypes=""app*"&amp;SWW28&amp;"*"&amp;TEXT(SXD28-utc_offset/24,"YYYYMMDD")&amp;"*"" /stext="" "&amp;TEXT(SXD28-utc_offset/24,"HH")&amp;search_regexp&amp;""""</f>
        <v>#REF!</v>
      </c>
      <c r="SYB28" s="234" t="e">
        <f>astrogrep_path&amp;" /e /r /s /spath="&amp;search_path&amp;" /stypes=""app*"&amp;SWX28&amp;"*"&amp;TEXT(SXE28-utc_offset/24,"YYYYMMDD")&amp;"*"" /stext="" "&amp;TEXT(SXE28-utc_offset/24,"HH")&amp;search_regexp&amp;""""</f>
        <v>#REF!</v>
      </c>
      <c r="SYC28" s="234" t="e">
        <f>astrogrep_path&amp;" /e /r /s /spath="&amp;search_path&amp;" /stypes=""app*"&amp;SWY28&amp;"*"&amp;TEXT(SXF28-utc_offset/24,"YYYYMMDD")&amp;"*"" /stext="" "&amp;TEXT(SXF28-utc_offset/24,"HH")&amp;search_regexp&amp;""""</f>
        <v>#REF!</v>
      </c>
      <c r="SYD28" s="234" t="e">
        <f>astrogrep_path&amp;" /e /r /s /spath="&amp;search_path&amp;" /stypes=""app*"&amp;SWZ28&amp;"*"&amp;TEXT(SXG28-utc_offset/24,"YYYYMMDD")&amp;"*"" /stext="" "&amp;TEXT(SXG28-utc_offset/24,"HH")&amp;search_regexp&amp;""""</f>
        <v>#REF!</v>
      </c>
      <c r="SYE28" s="234" t="e">
        <f>astrogrep_path&amp;" /e /r /s /spath="&amp;search_path&amp;" /stypes=""app*"&amp;SXA28&amp;"*"&amp;TEXT(SXH28-utc_offset/24,"YYYYMMDD")&amp;"*"" /stext="" "&amp;TEXT(SXH28-utc_offset/24,"HH")&amp;search_regexp&amp;""""</f>
        <v>#REF!</v>
      </c>
      <c r="SYF28" s="234" t="e">
        <f>astrogrep_path&amp;" /e /r /s /spath="&amp;search_path&amp;" /stypes=""app*"&amp;SXB28&amp;"*"&amp;TEXT(SXI28-utc_offset/24,"YYYYMMDD")&amp;"*"" /stext="" "&amp;TEXT(SXI28-utc_offset/24,"HH")&amp;search_regexp&amp;""""</f>
        <v>#REF!</v>
      </c>
      <c r="SYG28" s="234" t="e">
        <f>astrogrep_path&amp;" /e /r /s /spath="&amp;search_path&amp;" /stypes=""app*"&amp;SXC28&amp;"*"&amp;TEXT(SXJ28-utc_offset/24,"YYYYMMDD")&amp;"*"" /stext="" "&amp;TEXT(SXJ28-utc_offset/24,"HH")&amp;search_regexp&amp;""""</f>
        <v>#VALUE!</v>
      </c>
      <c r="SYH28" s="234" t="e">
        <f>astrogrep_path&amp;" /e /r /s /spath="&amp;search_path&amp;" /stypes=""app*"&amp;SXD28&amp;"*"&amp;TEXT(SXK28-utc_offset/24,"YYYYMMDD")&amp;"*"" /stext="" "&amp;TEXT(SXK28-utc_offset/24,"HH")&amp;search_regexp&amp;""""</f>
        <v>#VALUE!</v>
      </c>
      <c r="SYI28" s="234" t="e">
        <f>astrogrep_path&amp;" /e /r /s /spath="&amp;search_path&amp;" /stypes=""app*"&amp;SXE28&amp;"*"&amp;TEXT(SXL28-utc_offset/24,"YYYYMMDD")&amp;"*"" /stext="" "&amp;TEXT(SXL28-utc_offset/24,"HH")&amp;search_regexp&amp;""""</f>
        <v>#REF!</v>
      </c>
      <c r="SYJ28" s="234" t="e">
        <f>astrogrep_path&amp;" /e /r /s /spath="&amp;search_path&amp;" /stypes=""app*"&amp;SXF28&amp;"*"&amp;TEXT(SXM28-utc_offset/24,"YYYYMMDD")&amp;"*"" /stext="" "&amp;TEXT(SXM28-utc_offset/24,"HH")&amp;search_regexp&amp;""""</f>
        <v>#REF!</v>
      </c>
      <c r="SYK28" s="234" t="e">
        <f>astrogrep_path&amp;" /e /r /s /spath="&amp;search_path&amp;" /stypes=""app*"&amp;SXG28&amp;"*"&amp;TEXT(SXN28-utc_offset/24,"YYYYMMDD")&amp;"*"" /stext="" "&amp;TEXT(SXN28-utc_offset/24,"HH")&amp;search_regexp&amp;""""</f>
        <v>#VALUE!</v>
      </c>
      <c r="SYL28" s="234" t="e">
        <f>astrogrep_path&amp;" /e /r /s /spath="&amp;search_path&amp;" /stypes=""app*"&amp;SXH28&amp;"*"&amp;TEXT(SXO28-utc_offset/24,"YYYYMMDD")&amp;"*"" /stext="" "&amp;TEXT(SXO28-utc_offset/24,"HH")&amp;search_regexp&amp;""""</f>
        <v>#VALUE!</v>
      </c>
      <c r="SYM28" s="234" t="e">
        <f>astrogrep_path&amp;" /e /r /s /spath="&amp;search_path&amp;" /stypes=""app*"&amp;SXI28&amp;"*"&amp;TEXT(SXP28-utc_offset/24,"YYYYMMDD")&amp;"*"" /stext="" "&amp;TEXT(SXP28-utc_offset/24,"HH")&amp;search_regexp&amp;""""</f>
        <v>#VALUE!</v>
      </c>
      <c r="SYN28" s="234" t="e">
        <f>astrogrep_path&amp;" /e /r /s /spath="&amp;search_path&amp;" /stypes=""app*"&amp;SXJ28&amp;"*"&amp;TEXT(SXQ28-utc_offset/24,"YYYYMMDD")&amp;"*"" /stext="" "&amp;TEXT(SXQ28-utc_offset/24,"HH")&amp;search_regexp&amp;""""</f>
        <v>#VALUE!</v>
      </c>
      <c r="SYO28" s="234" t="e">
        <f>astrogrep_path&amp;" /e /r /s /spath="&amp;search_path&amp;" /stypes=""app*"&amp;SXK28&amp;"*"&amp;TEXT(SXR28-utc_offset/24,"YYYYMMDD")&amp;"*"" /stext="" "&amp;TEXT(SXR28-utc_offset/24,"HH")&amp;search_regexp&amp;""""</f>
        <v>#VALUE!</v>
      </c>
      <c r="SYP28" s="234" t="e">
        <f>astrogrep_path&amp;" /e /r /s /spath="&amp;search_path&amp;" /stypes=""app*"&amp;SXL28&amp;"*"&amp;TEXT(SXS28-utc_offset/24,"YYYYMMDD")&amp;"*"" /stext="" "&amp;TEXT(SXS28-utc_offset/24,"HH")&amp;search_regexp&amp;""""</f>
        <v>#REF!</v>
      </c>
      <c r="SYQ28" s="234" t="e">
        <f>astrogrep_path&amp;" /e /r /s /spath="&amp;search_path&amp;" /stypes=""app*"&amp;SXM28&amp;"*"&amp;TEXT(SXT28-utc_offset/24,"YYYYMMDD")&amp;"*"" /stext="" "&amp;TEXT(SXT28-utc_offset/24,"HH")&amp;search_regexp&amp;""""</f>
        <v>#REF!</v>
      </c>
      <c r="SYR28" s="234" t="e">
        <f>astrogrep_path&amp;" /e /r /s /spath="&amp;search_path&amp;" /stypes=""app*"&amp;SXN28&amp;"*"&amp;TEXT(SXU28-utc_offset/24,"YYYYMMDD")&amp;"*"" /stext="" "&amp;TEXT(SXU28-utc_offset/24,"HH")&amp;search_regexp&amp;""""</f>
        <v>#REF!</v>
      </c>
      <c r="SYS28" s="234" t="e">
        <f>astrogrep_path&amp;" /e /r /s /spath="&amp;search_path&amp;" /stypes=""app*"&amp;SXO28&amp;"*"&amp;TEXT(SXV28-utc_offset/24,"YYYYMMDD")&amp;"*"" /stext="" "&amp;TEXT(SXV28-utc_offset/24,"HH")&amp;search_regexp&amp;""""</f>
        <v>#REF!</v>
      </c>
      <c r="SYT28" s="234" t="e">
        <f>astrogrep_path&amp;" /e /r /s /spath="&amp;search_path&amp;" /stypes=""app*"&amp;SXP28&amp;"*"&amp;TEXT(SXW28-utc_offset/24,"YYYYMMDD")&amp;"*"" /stext="" "&amp;TEXT(SXW28-utc_offset/24,"HH")&amp;search_regexp&amp;""""</f>
        <v>#REF!</v>
      </c>
      <c r="SYU28" s="234" t="e">
        <f>astrogrep_path&amp;" /e /r /s /spath="&amp;search_path&amp;" /stypes=""app*"&amp;SXQ28&amp;"*"&amp;TEXT(SXX28-utc_offset/24,"YYYYMMDD")&amp;"*"" /stext="" "&amp;TEXT(SXX28-utc_offset/24,"HH")&amp;search_regexp&amp;""""</f>
        <v>#REF!</v>
      </c>
      <c r="SYV28" s="234" t="e">
        <f>astrogrep_path&amp;" /e /r /s /spath="&amp;search_path&amp;" /stypes=""app*"&amp;SXR28&amp;"*"&amp;TEXT(SXY28-utc_offset/24,"YYYYMMDD")&amp;"*"" /stext="" "&amp;TEXT(SXY28-utc_offset/24,"HH")&amp;search_regexp&amp;""""</f>
        <v>#REF!</v>
      </c>
      <c r="SYW28" s="234" t="e">
        <f>astrogrep_path&amp;" /e /r /s /spath="&amp;search_path&amp;" /stypes=""app*"&amp;SXS28&amp;"*"&amp;TEXT(SXZ28-utc_offset/24,"YYYYMMDD")&amp;"*"" /stext="" "&amp;TEXT(SXZ28-utc_offset/24,"HH")&amp;search_regexp&amp;""""</f>
        <v>#REF!</v>
      </c>
      <c r="SYX28" s="234" t="e">
        <f>astrogrep_path&amp;" /e /r /s /spath="&amp;search_path&amp;" /stypes=""app*"&amp;SXT28&amp;"*"&amp;TEXT(SYA28-utc_offset/24,"YYYYMMDD")&amp;"*"" /stext="" "&amp;TEXT(SYA28-utc_offset/24,"HH")&amp;search_regexp&amp;""""</f>
        <v>#REF!</v>
      </c>
      <c r="SYY28" s="234" t="e">
        <f>astrogrep_path&amp;" /e /r /s /spath="&amp;search_path&amp;" /stypes=""app*"&amp;SXU28&amp;"*"&amp;TEXT(SYB28-utc_offset/24,"YYYYMMDD")&amp;"*"" /stext="" "&amp;TEXT(SYB28-utc_offset/24,"HH")&amp;search_regexp&amp;""""</f>
        <v>#REF!</v>
      </c>
      <c r="SYZ28" s="234" t="e">
        <f>astrogrep_path&amp;" /e /r /s /spath="&amp;search_path&amp;" /stypes=""app*"&amp;SXV28&amp;"*"&amp;TEXT(SYC28-utc_offset/24,"YYYYMMDD")&amp;"*"" /stext="" "&amp;TEXT(SYC28-utc_offset/24,"HH")&amp;search_regexp&amp;""""</f>
        <v>#REF!</v>
      </c>
      <c r="SZA28" s="234" t="e">
        <f>astrogrep_path&amp;" /e /r /s /spath="&amp;search_path&amp;" /stypes=""app*"&amp;SXW28&amp;"*"&amp;TEXT(SYD28-utc_offset/24,"YYYYMMDD")&amp;"*"" /stext="" "&amp;TEXT(SYD28-utc_offset/24,"HH")&amp;search_regexp&amp;""""</f>
        <v>#REF!</v>
      </c>
      <c r="SZB28" s="234" t="e">
        <f>astrogrep_path&amp;" /e /r /s /spath="&amp;search_path&amp;" /stypes=""app*"&amp;SXX28&amp;"*"&amp;TEXT(SYE28-utc_offset/24,"YYYYMMDD")&amp;"*"" /stext="" "&amp;TEXT(SYE28-utc_offset/24,"HH")&amp;search_regexp&amp;""""</f>
        <v>#REF!</v>
      </c>
      <c r="SZC28" s="234" t="e">
        <f>astrogrep_path&amp;" /e /r /s /spath="&amp;search_path&amp;" /stypes=""app*"&amp;SXY28&amp;"*"&amp;TEXT(SYF28-utc_offset/24,"YYYYMMDD")&amp;"*"" /stext="" "&amp;TEXT(SYF28-utc_offset/24,"HH")&amp;search_regexp&amp;""""</f>
        <v>#REF!</v>
      </c>
      <c r="SZD28" s="234" t="e">
        <f>astrogrep_path&amp;" /e /r /s /spath="&amp;search_path&amp;" /stypes=""app*"&amp;SXZ28&amp;"*"&amp;TEXT(SYG28-utc_offset/24,"YYYYMMDD")&amp;"*"" /stext="" "&amp;TEXT(SYG28-utc_offset/24,"HH")&amp;search_regexp&amp;""""</f>
        <v>#REF!</v>
      </c>
      <c r="SZE28" s="234" t="e">
        <f>astrogrep_path&amp;" /e /r /s /spath="&amp;search_path&amp;" /stypes=""app*"&amp;SYA28&amp;"*"&amp;TEXT(SYH28-utc_offset/24,"YYYYMMDD")&amp;"*"" /stext="" "&amp;TEXT(SYH28-utc_offset/24,"HH")&amp;search_regexp&amp;""""</f>
        <v>#REF!</v>
      </c>
      <c r="SZF28" s="234" t="e">
        <f>astrogrep_path&amp;" /e /r /s /spath="&amp;search_path&amp;" /stypes=""app*"&amp;SYB28&amp;"*"&amp;TEXT(SYI28-utc_offset/24,"YYYYMMDD")&amp;"*"" /stext="" "&amp;TEXT(SYI28-utc_offset/24,"HH")&amp;search_regexp&amp;""""</f>
        <v>#REF!</v>
      </c>
      <c r="SZG28" s="234" t="e">
        <f>astrogrep_path&amp;" /e /r /s /spath="&amp;search_path&amp;" /stypes=""app*"&amp;SYC28&amp;"*"&amp;TEXT(SYJ28-utc_offset/24,"YYYYMMDD")&amp;"*"" /stext="" "&amp;TEXT(SYJ28-utc_offset/24,"HH")&amp;search_regexp&amp;""""</f>
        <v>#REF!</v>
      </c>
      <c r="SZH28" s="234" t="e">
        <f>astrogrep_path&amp;" /e /r /s /spath="&amp;search_path&amp;" /stypes=""app*"&amp;SYD28&amp;"*"&amp;TEXT(SYK28-utc_offset/24,"YYYYMMDD")&amp;"*"" /stext="" "&amp;TEXT(SYK28-utc_offset/24,"HH")&amp;search_regexp&amp;""""</f>
        <v>#REF!</v>
      </c>
      <c r="SZI28" s="234" t="e">
        <f>astrogrep_path&amp;" /e /r /s /spath="&amp;search_path&amp;" /stypes=""app*"&amp;SYE28&amp;"*"&amp;TEXT(SYL28-utc_offset/24,"YYYYMMDD")&amp;"*"" /stext="" "&amp;TEXT(SYL28-utc_offset/24,"HH")&amp;search_regexp&amp;""""</f>
        <v>#REF!</v>
      </c>
      <c r="SZJ28" s="234" t="e">
        <f>astrogrep_path&amp;" /e /r /s /spath="&amp;search_path&amp;" /stypes=""app*"&amp;SYF28&amp;"*"&amp;TEXT(SYM28-utc_offset/24,"YYYYMMDD")&amp;"*"" /stext="" "&amp;TEXT(SYM28-utc_offset/24,"HH")&amp;search_regexp&amp;""""</f>
        <v>#REF!</v>
      </c>
      <c r="SZK28" s="234" t="e">
        <f>astrogrep_path&amp;" /e /r /s /spath="&amp;search_path&amp;" /stypes=""app*"&amp;SYG28&amp;"*"&amp;TEXT(SYN28-utc_offset/24,"YYYYMMDD")&amp;"*"" /stext="" "&amp;TEXT(SYN28-utc_offset/24,"HH")&amp;search_regexp&amp;""""</f>
        <v>#VALUE!</v>
      </c>
      <c r="SZL28" s="234" t="e">
        <f>astrogrep_path&amp;" /e /r /s /spath="&amp;search_path&amp;" /stypes=""app*"&amp;SYH28&amp;"*"&amp;TEXT(SYO28-utc_offset/24,"YYYYMMDD")&amp;"*"" /stext="" "&amp;TEXT(SYO28-utc_offset/24,"HH")&amp;search_regexp&amp;""""</f>
        <v>#VALUE!</v>
      </c>
      <c r="SZM28" s="234" t="e">
        <f>astrogrep_path&amp;" /e /r /s /spath="&amp;search_path&amp;" /stypes=""app*"&amp;SYI28&amp;"*"&amp;TEXT(SYP28-utc_offset/24,"YYYYMMDD")&amp;"*"" /stext="" "&amp;TEXT(SYP28-utc_offset/24,"HH")&amp;search_regexp&amp;""""</f>
        <v>#REF!</v>
      </c>
      <c r="SZN28" s="234" t="e">
        <f>astrogrep_path&amp;" /e /r /s /spath="&amp;search_path&amp;" /stypes=""app*"&amp;SYJ28&amp;"*"&amp;TEXT(SYQ28-utc_offset/24,"YYYYMMDD")&amp;"*"" /stext="" "&amp;TEXT(SYQ28-utc_offset/24,"HH")&amp;search_regexp&amp;""""</f>
        <v>#REF!</v>
      </c>
      <c r="SZO28" s="234" t="e">
        <f>astrogrep_path&amp;" /e /r /s /spath="&amp;search_path&amp;" /stypes=""app*"&amp;SYK28&amp;"*"&amp;TEXT(SYR28-utc_offset/24,"YYYYMMDD")&amp;"*"" /stext="" "&amp;TEXT(SYR28-utc_offset/24,"HH")&amp;search_regexp&amp;""""</f>
        <v>#VALUE!</v>
      </c>
      <c r="SZP28" s="234" t="e">
        <f>astrogrep_path&amp;" /e /r /s /spath="&amp;search_path&amp;" /stypes=""app*"&amp;SYL28&amp;"*"&amp;TEXT(SYS28-utc_offset/24,"YYYYMMDD")&amp;"*"" /stext="" "&amp;TEXT(SYS28-utc_offset/24,"HH")&amp;search_regexp&amp;""""</f>
        <v>#VALUE!</v>
      </c>
      <c r="SZQ28" s="234" t="e">
        <f>astrogrep_path&amp;" /e /r /s /spath="&amp;search_path&amp;" /stypes=""app*"&amp;SYM28&amp;"*"&amp;TEXT(SYT28-utc_offset/24,"YYYYMMDD")&amp;"*"" /stext="" "&amp;TEXT(SYT28-utc_offset/24,"HH")&amp;search_regexp&amp;""""</f>
        <v>#VALUE!</v>
      </c>
      <c r="SZR28" s="234" t="e">
        <f>astrogrep_path&amp;" /e /r /s /spath="&amp;search_path&amp;" /stypes=""app*"&amp;SYN28&amp;"*"&amp;TEXT(SYU28-utc_offset/24,"YYYYMMDD")&amp;"*"" /stext="" "&amp;TEXT(SYU28-utc_offset/24,"HH")&amp;search_regexp&amp;""""</f>
        <v>#VALUE!</v>
      </c>
      <c r="SZS28" s="234" t="e">
        <f>astrogrep_path&amp;" /e /r /s /spath="&amp;search_path&amp;" /stypes=""app*"&amp;SYO28&amp;"*"&amp;TEXT(SYV28-utc_offset/24,"YYYYMMDD")&amp;"*"" /stext="" "&amp;TEXT(SYV28-utc_offset/24,"HH")&amp;search_regexp&amp;""""</f>
        <v>#VALUE!</v>
      </c>
      <c r="SZT28" s="234" t="e">
        <f>astrogrep_path&amp;" /e /r /s /spath="&amp;search_path&amp;" /stypes=""app*"&amp;SYP28&amp;"*"&amp;TEXT(SYW28-utc_offset/24,"YYYYMMDD")&amp;"*"" /stext="" "&amp;TEXT(SYW28-utc_offset/24,"HH")&amp;search_regexp&amp;""""</f>
        <v>#REF!</v>
      </c>
      <c r="SZU28" s="234" t="e">
        <f>astrogrep_path&amp;" /e /r /s /spath="&amp;search_path&amp;" /stypes=""app*"&amp;SYQ28&amp;"*"&amp;TEXT(SYX28-utc_offset/24,"YYYYMMDD")&amp;"*"" /stext="" "&amp;TEXT(SYX28-utc_offset/24,"HH")&amp;search_regexp&amp;""""</f>
        <v>#REF!</v>
      </c>
      <c r="SZV28" s="234" t="e">
        <f>astrogrep_path&amp;" /e /r /s /spath="&amp;search_path&amp;" /stypes=""app*"&amp;SYR28&amp;"*"&amp;TEXT(SYY28-utc_offset/24,"YYYYMMDD")&amp;"*"" /stext="" "&amp;TEXT(SYY28-utc_offset/24,"HH")&amp;search_regexp&amp;""""</f>
        <v>#REF!</v>
      </c>
      <c r="SZW28" s="234" t="e">
        <f>astrogrep_path&amp;" /e /r /s /spath="&amp;search_path&amp;" /stypes=""app*"&amp;SYS28&amp;"*"&amp;TEXT(SYZ28-utc_offset/24,"YYYYMMDD")&amp;"*"" /stext="" "&amp;TEXT(SYZ28-utc_offset/24,"HH")&amp;search_regexp&amp;""""</f>
        <v>#REF!</v>
      </c>
      <c r="SZX28" s="234" t="e">
        <f>astrogrep_path&amp;" /e /r /s /spath="&amp;search_path&amp;" /stypes=""app*"&amp;SYT28&amp;"*"&amp;TEXT(SZA28-utc_offset/24,"YYYYMMDD")&amp;"*"" /stext="" "&amp;TEXT(SZA28-utc_offset/24,"HH")&amp;search_regexp&amp;""""</f>
        <v>#REF!</v>
      </c>
      <c r="SZY28" s="234" t="e">
        <f>astrogrep_path&amp;" /e /r /s /spath="&amp;search_path&amp;" /stypes=""app*"&amp;SYU28&amp;"*"&amp;TEXT(SZB28-utc_offset/24,"YYYYMMDD")&amp;"*"" /stext="" "&amp;TEXT(SZB28-utc_offset/24,"HH")&amp;search_regexp&amp;""""</f>
        <v>#REF!</v>
      </c>
      <c r="SZZ28" s="234" t="e">
        <f>astrogrep_path&amp;" /e /r /s /spath="&amp;search_path&amp;" /stypes=""app*"&amp;SYV28&amp;"*"&amp;TEXT(SZC28-utc_offset/24,"YYYYMMDD")&amp;"*"" /stext="" "&amp;TEXT(SZC28-utc_offset/24,"HH")&amp;search_regexp&amp;""""</f>
        <v>#REF!</v>
      </c>
      <c r="TAA28" s="234" t="e">
        <f>astrogrep_path&amp;" /e /r /s /spath="&amp;search_path&amp;" /stypes=""app*"&amp;SYW28&amp;"*"&amp;TEXT(SZD28-utc_offset/24,"YYYYMMDD")&amp;"*"" /stext="" "&amp;TEXT(SZD28-utc_offset/24,"HH")&amp;search_regexp&amp;""""</f>
        <v>#REF!</v>
      </c>
      <c r="TAB28" s="234" t="e">
        <f>astrogrep_path&amp;" /e /r /s /spath="&amp;search_path&amp;" /stypes=""app*"&amp;SYX28&amp;"*"&amp;TEXT(SZE28-utc_offset/24,"YYYYMMDD")&amp;"*"" /stext="" "&amp;TEXT(SZE28-utc_offset/24,"HH")&amp;search_regexp&amp;""""</f>
        <v>#REF!</v>
      </c>
      <c r="TAC28" s="234" t="e">
        <f>astrogrep_path&amp;" /e /r /s /spath="&amp;search_path&amp;" /stypes=""app*"&amp;SYY28&amp;"*"&amp;TEXT(SZF28-utc_offset/24,"YYYYMMDD")&amp;"*"" /stext="" "&amp;TEXT(SZF28-utc_offset/24,"HH")&amp;search_regexp&amp;""""</f>
        <v>#REF!</v>
      </c>
      <c r="TAD28" s="234" t="e">
        <f>astrogrep_path&amp;" /e /r /s /spath="&amp;search_path&amp;" /stypes=""app*"&amp;SYZ28&amp;"*"&amp;TEXT(SZG28-utc_offset/24,"YYYYMMDD")&amp;"*"" /stext="" "&amp;TEXT(SZG28-utc_offset/24,"HH")&amp;search_regexp&amp;""""</f>
        <v>#REF!</v>
      </c>
      <c r="TAE28" s="234" t="e">
        <f>astrogrep_path&amp;" /e /r /s /spath="&amp;search_path&amp;" /stypes=""app*"&amp;SZA28&amp;"*"&amp;TEXT(SZH28-utc_offset/24,"YYYYMMDD")&amp;"*"" /stext="" "&amp;TEXT(SZH28-utc_offset/24,"HH")&amp;search_regexp&amp;""""</f>
        <v>#REF!</v>
      </c>
      <c r="TAF28" s="234" t="e">
        <f>astrogrep_path&amp;" /e /r /s /spath="&amp;search_path&amp;" /stypes=""app*"&amp;SZB28&amp;"*"&amp;TEXT(SZI28-utc_offset/24,"YYYYMMDD")&amp;"*"" /stext="" "&amp;TEXT(SZI28-utc_offset/24,"HH")&amp;search_regexp&amp;""""</f>
        <v>#REF!</v>
      </c>
      <c r="TAG28" s="234" t="e">
        <f>astrogrep_path&amp;" /e /r /s /spath="&amp;search_path&amp;" /stypes=""app*"&amp;SZC28&amp;"*"&amp;TEXT(SZJ28-utc_offset/24,"YYYYMMDD")&amp;"*"" /stext="" "&amp;TEXT(SZJ28-utc_offset/24,"HH")&amp;search_regexp&amp;""""</f>
        <v>#REF!</v>
      </c>
      <c r="TAH28" s="234" t="e">
        <f>astrogrep_path&amp;" /e /r /s /spath="&amp;search_path&amp;" /stypes=""app*"&amp;SZD28&amp;"*"&amp;TEXT(SZK28-utc_offset/24,"YYYYMMDD")&amp;"*"" /stext="" "&amp;TEXT(SZK28-utc_offset/24,"HH")&amp;search_regexp&amp;""""</f>
        <v>#REF!</v>
      </c>
      <c r="TAI28" s="234" t="e">
        <f>astrogrep_path&amp;" /e /r /s /spath="&amp;search_path&amp;" /stypes=""app*"&amp;SZE28&amp;"*"&amp;TEXT(SZL28-utc_offset/24,"YYYYMMDD")&amp;"*"" /stext="" "&amp;TEXT(SZL28-utc_offset/24,"HH")&amp;search_regexp&amp;""""</f>
        <v>#REF!</v>
      </c>
      <c r="TAJ28" s="234" t="e">
        <f>astrogrep_path&amp;" /e /r /s /spath="&amp;search_path&amp;" /stypes=""app*"&amp;SZF28&amp;"*"&amp;TEXT(SZM28-utc_offset/24,"YYYYMMDD")&amp;"*"" /stext="" "&amp;TEXT(SZM28-utc_offset/24,"HH")&amp;search_regexp&amp;""""</f>
        <v>#REF!</v>
      </c>
      <c r="TAK28" s="234" t="e">
        <f>astrogrep_path&amp;" /e /r /s /spath="&amp;search_path&amp;" /stypes=""app*"&amp;SZG28&amp;"*"&amp;TEXT(SZN28-utc_offset/24,"YYYYMMDD")&amp;"*"" /stext="" "&amp;TEXT(SZN28-utc_offset/24,"HH")&amp;search_regexp&amp;""""</f>
        <v>#REF!</v>
      </c>
      <c r="TAL28" s="234" t="e">
        <f>astrogrep_path&amp;" /e /r /s /spath="&amp;search_path&amp;" /stypes=""app*"&amp;SZH28&amp;"*"&amp;TEXT(SZO28-utc_offset/24,"YYYYMMDD")&amp;"*"" /stext="" "&amp;TEXT(SZO28-utc_offset/24,"HH")&amp;search_regexp&amp;""""</f>
        <v>#REF!</v>
      </c>
      <c r="TAM28" s="234" t="e">
        <f>astrogrep_path&amp;" /e /r /s /spath="&amp;search_path&amp;" /stypes=""app*"&amp;SZI28&amp;"*"&amp;TEXT(SZP28-utc_offset/24,"YYYYMMDD")&amp;"*"" /stext="" "&amp;TEXT(SZP28-utc_offset/24,"HH")&amp;search_regexp&amp;""""</f>
        <v>#REF!</v>
      </c>
      <c r="TAN28" s="234" t="e">
        <f>astrogrep_path&amp;" /e /r /s /spath="&amp;search_path&amp;" /stypes=""app*"&amp;SZJ28&amp;"*"&amp;TEXT(SZQ28-utc_offset/24,"YYYYMMDD")&amp;"*"" /stext="" "&amp;TEXT(SZQ28-utc_offset/24,"HH")&amp;search_regexp&amp;""""</f>
        <v>#REF!</v>
      </c>
      <c r="TAO28" s="234" t="e">
        <f>astrogrep_path&amp;" /e /r /s /spath="&amp;search_path&amp;" /stypes=""app*"&amp;SZK28&amp;"*"&amp;TEXT(SZR28-utc_offset/24,"YYYYMMDD")&amp;"*"" /stext="" "&amp;TEXT(SZR28-utc_offset/24,"HH")&amp;search_regexp&amp;""""</f>
        <v>#VALUE!</v>
      </c>
      <c r="TAP28" s="234" t="e">
        <f>astrogrep_path&amp;" /e /r /s /spath="&amp;search_path&amp;" /stypes=""app*"&amp;SZL28&amp;"*"&amp;TEXT(SZS28-utc_offset/24,"YYYYMMDD")&amp;"*"" /stext="" "&amp;TEXT(SZS28-utc_offset/24,"HH")&amp;search_regexp&amp;""""</f>
        <v>#VALUE!</v>
      </c>
      <c r="TAQ28" s="234" t="e">
        <f>astrogrep_path&amp;" /e /r /s /spath="&amp;search_path&amp;" /stypes=""app*"&amp;SZM28&amp;"*"&amp;TEXT(SZT28-utc_offset/24,"YYYYMMDD")&amp;"*"" /stext="" "&amp;TEXT(SZT28-utc_offset/24,"HH")&amp;search_regexp&amp;""""</f>
        <v>#REF!</v>
      </c>
      <c r="TAR28" s="234" t="e">
        <f>astrogrep_path&amp;" /e /r /s /spath="&amp;search_path&amp;" /stypes=""app*"&amp;SZN28&amp;"*"&amp;TEXT(SZU28-utc_offset/24,"YYYYMMDD")&amp;"*"" /stext="" "&amp;TEXT(SZU28-utc_offset/24,"HH")&amp;search_regexp&amp;""""</f>
        <v>#REF!</v>
      </c>
      <c r="TAS28" s="234" t="e">
        <f>astrogrep_path&amp;" /e /r /s /spath="&amp;search_path&amp;" /stypes=""app*"&amp;SZO28&amp;"*"&amp;TEXT(SZV28-utc_offset/24,"YYYYMMDD")&amp;"*"" /stext="" "&amp;TEXT(SZV28-utc_offset/24,"HH")&amp;search_regexp&amp;""""</f>
        <v>#VALUE!</v>
      </c>
      <c r="TAT28" s="234" t="e">
        <f>astrogrep_path&amp;" /e /r /s /spath="&amp;search_path&amp;" /stypes=""app*"&amp;SZP28&amp;"*"&amp;TEXT(SZW28-utc_offset/24,"YYYYMMDD")&amp;"*"" /stext="" "&amp;TEXT(SZW28-utc_offset/24,"HH")&amp;search_regexp&amp;""""</f>
        <v>#VALUE!</v>
      </c>
      <c r="TAU28" s="234" t="e">
        <f>astrogrep_path&amp;" /e /r /s /spath="&amp;search_path&amp;" /stypes=""app*"&amp;SZQ28&amp;"*"&amp;TEXT(SZX28-utc_offset/24,"YYYYMMDD")&amp;"*"" /stext="" "&amp;TEXT(SZX28-utc_offset/24,"HH")&amp;search_regexp&amp;""""</f>
        <v>#VALUE!</v>
      </c>
      <c r="TAV28" s="234" t="e">
        <f>astrogrep_path&amp;" /e /r /s /spath="&amp;search_path&amp;" /stypes=""app*"&amp;SZR28&amp;"*"&amp;TEXT(SZY28-utc_offset/24,"YYYYMMDD")&amp;"*"" /stext="" "&amp;TEXT(SZY28-utc_offset/24,"HH")&amp;search_regexp&amp;""""</f>
        <v>#VALUE!</v>
      </c>
      <c r="TAW28" s="234" t="e">
        <f>astrogrep_path&amp;" /e /r /s /spath="&amp;search_path&amp;" /stypes=""app*"&amp;SZS28&amp;"*"&amp;TEXT(SZZ28-utc_offset/24,"YYYYMMDD")&amp;"*"" /stext="" "&amp;TEXT(SZZ28-utc_offset/24,"HH")&amp;search_regexp&amp;""""</f>
        <v>#VALUE!</v>
      </c>
      <c r="TAX28" s="234" t="e">
        <f>astrogrep_path&amp;" /e /r /s /spath="&amp;search_path&amp;" /stypes=""app*"&amp;SZT28&amp;"*"&amp;TEXT(TAA28-utc_offset/24,"YYYYMMDD")&amp;"*"" /stext="" "&amp;TEXT(TAA28-utc_offset/24,"HH")&amp;search_regexp&amp;""""</f>
        <v>#REF!</v>
      </c>
      <c r="TAY28" s="234" t="e">
        <f>astrogrep_path&amp;" /e /r /s /spath="&amp;search_path&amp;" /stypes=""app*"&amp;SZU28&amp;"*"&amp;TEXT(TAB28-utc_offset/24,"YYYYMMDD")&amp;"*"" /stext="" "&amp;TEXT(TAB28-utc_offset/24,"HH")&amp;search_regexp&amp;""""</f>
        <v>#REF!</v>
      </c>
      <c r="TAZ28" s="234" t="e">
        <f>astrogrep_path&amp;" /e /r /s /spath="&amp;search_path&amp;" /stypes=""app*"&amp;SZV28&amp;"*"&amp;TEXT(TAC28-utc_offset/24,"YYYYMMDD")&amp;"*"" /stext="" "&amp;TEXT(TAC28-utc_offset/24,"HH")&amp;search_regexp&amp;""""</f>
        <v>#REF!</v>
      </c>
      <c r="TBA28" s="234" t="e">
        <f>astrogrep_path&amp;" /e /r /s /spath="&amp;search_path&amp;" /stypes=""app*"&amp;SZW28&amp;"*"&amp;TEXT(TAD28-utc_offset/24,"YYYYMMDD")&amp;"*"" /stext="" "&amp;TEXT(TAD28-utc_offset/24,"HH")&amp;search_regexp&amp;""""</f>
        <v>#REF!</v>
      </c>
      <c r="TBB28" s="234" t="e">
        <f>astrogrep_path&amp;" /e /r /s /spath="&amp;search_path&amp;" /stypes=""app*"&amp;SZX28&amp;"*"&amp;TEXT(TAE28-utc_offset/24,"YYYYMMDD")&amp;"*"" /stext="" "&amp;TEXT(TAE28-utc_offset/24,"HH")&amp;search_regexp&amp;""""</f>
        <v>#REF!</v>
      </c>
      <c r="TBC28" s="234" t="e">
        <f>astrogrep_path&amp;" /e /r /s /spath="&amp;search_path&amp;" /stypes=""app*"&amp;SZY28&amp;"*"&amp;TEXT(TAF28-utc_offset/24,"YYYYMMDD")&amp;"*"" /stext="" "&amp;TEXT(TAF28-utc_offset/24,"HH")&amp;search_regexp&amp;""""</f>
        <v>#REF!</v>
      </c>
      <c r="TBD28" s="234" t="e">
        <f>astrogrep_path&amp;" /e /r /s /spath="&amp;search_path&amp;" /stypes=""app*"&amp;SZZ28&amp;"*"&amp;TEXT(TAG28-utc_offset/24,"YYYYMMDD")&amp;"*"" /stext="" "&amp;TEXT(TAG28-utc_offset/24,"HH")&amp;search_regexp&amp;""""</f>
        <v>#REF!</v>
      </c>
      <c r="TBE28" s="234" t="e">
        <f>astrogrep_path&amp;" /e /r /s /spath="&amp;search_path&amp;" /stypes=""app*"&amp;TAA28&amp;"*"&amp;TEXT(TAH28-utc_offset/24,"YYYYMMDD")&amp;"*"" /stext="" "&amp;TEXT(TAH28-utc_offset/24,"HH")&amp;search_regexp&amp;""""</f>
        <v>#REF!</v>
      </c>
      <c r="TBF28" s="234" t="e">
        <f>astrogrep_path&amp;" /e /r /s /spath="&amp;search_path&amp;" /stypes=""app*"&amp;TAB28&amp;"*"&amp;TEXT(TAI28-utc_offset/24,"YYYYMMDD")&amp;"*"" /stext="" "&amp;TEXT(TAI28-utc_offset/24,"HH")&amp;search_regexp&amp;""""</f>
        <v>#REF!</v>
      </c>
      <c r="TBG28" s="234" t="e">
        <f>astrogrep_path&amp;" /e /r /s /spath="&amp;search_path&amp;" /stypes=""app*"&amp;TAC28&amp;"*"&amp;TEXT(TAJ28-utc_offset/24,"YYYYMMDD")&amp;"*"" /stext="" "&amp;TEXT(TAJ28-utc_offset/24,"HH")&amp;search_regexp&amp;""""</f>
        <v>#REF!</v>
      </c>
      <c r="TBH28" s="234" t="e">
        <f>astrogrep_path&amp;" /e /r /s /spath="&amp;search_path&amp;" /stypes=""app*"&amp;TAD28&amp;"*"&amp;TEXT(TAK28-utc_offset/24,"YYYYMMDD")&amp;"*"" /stext="" "&amp;TEXT(TAK28-utc_offset/24,"HH")&amp;search_regexp&amp;""""</f>
        <v>#REF!</v>
      </c>
      <c r="TBI28" s="234" t="e">
        <f>astrogrep_path&amp;" /e /r /s /spath="&amp;search_path&amp;" /stypes=""app*"&amp;TAE28&amp;"*"&amp;TEXT(TAL28-utc_offset/24,"YYYYMMDD")&amp;"*"" /stext="" "&amp;TEXT(TAL28-utc_offset/24,"HH")&amp;search_regexp&amp;""""</f>
        <v>#REF!</v>
      </c>
      <c r="TBJ28" s="234" t="e">
        <f>astrogrep_path&amp;" /e /r /s /spath="&amp;search_path&amp;" /stypes=""app*"&amp;TAF28&amp;"*"&amp;TEXT(TAM28-utc_offset/24,"YYYYMMDD")&amp;"*"" /stext="" "&amp;TEXT(TAM28-utc_offset/24,"HH")&amp;search_regexp&amp;""""</f>
        <v>#REF!</v>
      </c>
      <c r="TBK28" s="234" t="e">
        <f>astrogrep_path&amp;" /e /r /s /spath="&amp;search_path&amp;" /stypes=""app*"&amp;TAG28&amp;"*"&amp;TEXT(TAN28-utc_offset/24,"YYYYMMDD")&amp;"*"" /stext="" "&amp;TEXT(TAN28-utc_offset/24,"HH")&amp;search_regexp&amp;""""</f>
        <v>#REF!</v>
      </c>
      <c r="TBL28" s="234" t="e">
        <f>astrogrep_path&amp;" /e /r /s /spath="&amp;search_path&amp;" /stypes=""app*"&amp;TAH28&amp;"*"&amp;TEXT(TAO28-utc_offset/24,"YYYYMMDD")&amp;"*"" /stext="" "&amp;TEXT(TAO28-utc_offset/24,"HH")&amp;search_regexp&amp;""""</f>
        <v>#REF!</v>
      </c>
      <c r="TBM28" s="234" t="e">
        <f>astrogrep_path&amp;" /e /r /s /spath="&amp;search_path&amp;" /stypes=""app*"&amp;TAI28&amp;"*"&amp;TEXT(TAP28-utc_offset/24,"YYYYMMDD")&amp;"*"" /stext="" "&amp;TEXT(TAP28-utc_offset/24,"HH")&amp;search_regexp&amp;""""</f>
        <v>#REF!</v>
      </c>
      <c r="TBN28" s="234" t="e">
        <f>astrogrep_path&amp;" /e /r /s /spath="&amp;search_path&amp;" /stypes=""app*"&amp;TAJ28&amp;"*"&amp;TEXT(TAQ28-utc_offset/24,"YYYYMMDD")&amp;"*"" /stext="" "&amp;TEXT(TAQ28-utc_offset/24,"HH")&amp;search_regexp&amp;""""</f>
        <v>#REF!</v>
      </c>
      <c r="TBO28" s="234" t="e">
        <f>astrogrep_path&amp;" /e /r /s /spath="&amp;search_path&amp;" /stypes=""app*"&amp;TAK28&amp;"*"&amp;TEXT(TAR28-utc_offset/24,"YYYYMMDD")&amp;"*"" /stext="" "&amp;TEXT(TAR28-utc_offset/24,"HH")&amp;search_regexp&amp;""""</f>
        <v>#REF!</v>
      </c>
      <c r="TBP28" s="234" t="e">
        <f>astrogrep_path&amp;" /e /r /s /spath="&amp;search_path&amp;" /stypes=""app*"&amp;TAL28&amp;"*"&amp;TEXT(TAS28-utc_offset/24,"YYYYMMDD")&amp;"*"" /stext="" "&amp;TEXT(TAS28-utc_offset/24,"HH")&amp;search_regexp&amp;""""</f>
        <v>#REF!</v>
      </c>
      <c r="TBQ28" s="234" t="e">
        <f>astrogrep_path&amp;" /e /r /s /spath="&amp;search_path&amp;" /stypes=""app*"&amp;TAM28&amp;"*"&amp;TEXT(TAT28-utc_offset/24,"YYYYMMDD")&amp;"*"" /stext="" "&amp;TEXT(TAT28-utc_offset/24,"HH")&amp;search_regexp&amp;""""</f>
        <v>#REF!</v>
      </c>
      <c r="TBR28" s="234" t="e">
        <f>astrogrep_path&amp;" /e /r /s /spath="&amp;search_path&amp;" /stypes=""app*"&amp;TAN28&amp;"*"&amp;TEXT(TAU28-utc_offset/24,"YYYYMMDD")&amp;"*"" /stext="" "&amp;TEXT(TAU28-utc_offset/24,"HH")&amp;search_regexp&amp;""""</f>
        <v>#REF!</v>
      </c>
      <c r="TBS28" s="234" t="e">
        <f>astrogrep_path&amp;" /e /r /s /spath="&amp;search_path&amp;" /stypes=""app*"&amp;TAO28&amp;"*"&amp;TEXT(TAV28-utc_offset/24,"YYYYMMDD")&amp;"*"" /stext="" "&amp;TEXT(TAV28-utc_offset/24,"HH")&amp;search_regexp&amp;""""</f>
        <v>#VALUE!</v>
      </c>
      <c r="TBT28" s="234" t="e">
        <f>astrogrep_path&amp;" /e /r /s /spath="&amp;search_path&amp;" /stypes=""app*"&amp;TAP28&amp;"*"&amp;TEXT(TAW28-utc_offset/24,"YYYYMMDD")&amp;"*"" /stext="" "&amp;TEXT(TAW28-utc_offset/24,"HH")&amp;search_regexp&amp;""""</f>
        <v>#VALUE!</v>
      </c>
      <c r="TBU28" s="234" t="e">
        <f>astrogrep_path&amp;" /e /r /s /spath="&amp;search_path&amp;" /stypes=""app*"&amp;TAQ28&amp;"*"&amp;TEXT(TAX28-utc_offset/24,"YYYYMMDD")&amp;"*"" /stext="" "&amp;TEXT(TAX28-utc_offset/24,"HH")&amp;search_regexp&amp;""""</f>
        <v>#REF!</v>
      </c>
      <c r="TBV28" s="234" t="e">
        <f>astrogrep_path&amp;" /e /r /s /spath="&amp;search_path&amp;" /stypes=""app*"&amp;TAR28&amp;"*"&amp;TEXT(TAY28-utc_offset/24,"YYYYMMDD")&amp;"*"" /stext="" "&amp;TEXT(TAY28-utc_offset/24,"HH")&amp;search_regexp&amp;""""</f>
        <v>#REF!</v>
      </c>
      <c r="TBW28" s="234" t="e">
        <f>astrogrep_path&amp;" /e /r /s /spath="&amp;search_path&amp;" /stypes=""app*"&amp;TAS28&amp;"*"&amp;TEXT(TAZ28-utc_offset/24,"YYYYMMDD")&amp;"*"" /stext="" "&amp;TEXT(TAZ28-utc_offset/24,"HH")&amp;search_regexp&amp;""""</f>
        <v>#VALUE!</v>
      </c>
      <c r="TBX28" s="234" t="e">
        <f>astrogrep_path&amp;" /e /r /s /spath="&amp;search_path&amp;" /stypes=""app*"&amp;TAT28&amp;"*"&amp;TEXT(TBA28-utc_offset/24,"YYYYMMDD")&amp;"*"" /stext="" "&amp;TEXT(TBA28-utc_offset/24,"HH")&amp;search_regexp&amp;""""</f>
        <v>#VALUE!</v>
      </c>
      <c r="TBY28" s="234" t="e">
        <f>astrogrep_path&amp;" /e /r /s /spath="&amp;search_path&amp;" /stypes=""app*"&amp;TAU28&amp;"*"&amp;TEXT(TBB28-utc_offset/24,"YYYYMMDD")&amp;"*"" /stext="" "&amp;TEXT(TBB28-utc_offset/24,"HH")&amp;search_regexp&amp;""""</f>
        <v>#VALUE!</v>
      </c>
      <c r="TBZ28" s="234" t="e">
        <f>astrogrep_path&amp;" /e /r /s /spath="&amp;search_path&amp;" /stypes=""app*"&amp;TAV28&amp;"*"&amp;TEXT(TBC28-utc_offset/24,"YYYYMMDD")&amp;"*"" /stext="" "&amp;TEXT(TBC28-utc_offset/24,"HH")&amp;search_regexp&amp;""""</f>
        <v>#VALUE!</v>
      </c>
      <c r="TCA28" s="234" t="e">
        <f>astrogrep_path&amp;" /e /r /s /spath="&amp;search_path&amp;" /stypes=""app*"&amp;TAW28&amp;"*"&amp;TEXT(TBD28-utc_offset/24,"YYYYMMDD")&amp;"*"" /stext="" "&amp;TEXT(TBD28-utc_offset/24,"HH")&amp;search_regexp&amp;""""</f>
        <v>#VALUE!</v>
      </c>
      <c r="TCB28" s="234" t="e">
        <f>astrogrep_path&amp;" /e /r /s /spath="&amp;search_path&amp;" /stypes=""app*"&amp;TAX28&amp;"*"&amp;TEXT(TBE28-utc_offset/24,"YYYYMMDD")&amp;"*"" /stext="" "&amp;TEXT(TBE28-utc_offset/24,"HH")&amp;search_regexp&amp;""""</f>
        <v>#REF!</v>
      </c>
      <c r="TCC28" s="234" t="e">
        <f>astrogrep_path&amp;" /e /r /s /spath="&amp;search_path&amp;" /stypes=""app*"&amp;TAY28&amp;"*"&amp;TEXT(TBF28-utc_offset/24,"YYYYMMDD")&amp;"*"" /stext="" "&amp;TEXT(TBF28-utc_offset/24,"HH")&amp;search_regexp&amp;""""</f>
        <v>#REF!</v>
      </c>
      <c r="TCD28" s="234" t="e">
        <f>astrogrep_path&amp;" /e /r /s /spath="&amp;search_path&amp;" /stypes=""app*"&amp;TAZ28&amp;"*"&amp;TEXT(TBG28-utc_offset/24,"YYYYMMDD")&amp;"*"" /stext="" "&amp;TEXT(TBG28-utc_offset/24,"HH")&amp;search_regexp&amp;""""</f>
        <v>#REF!</v>
      </c>
      <c r="TCE28" s="234" t="e">
        <f>astrogrep_path&amp;" /e /r /s /spath="&amp;search_path&amp;" /stypes=""app*"&amp;TBA28&amp;"*"&amp;TEXT(TBH28-utc_offset/24,"YYYYMMDD")&amp;"*"" /stext="" "&amp;TEXT(TBH28-utc_offset/24,"HH")&amp;search_regexp&amp;""""</f>
        <v>#REF!</v>
      </c>
      <c r="TCF28" s="234" t="e">
        <f>astrogrep_path&amp;" /e /r /s /spath="&amp;search_path&amp;" /stypes=""app*"&amp;TBB28&amp;"*"&amp;TEXT(TBI28-utc_offset/24,"YYYYMMDD")&amp;"*"" /stext="" "&amp;TEXT(TBI28-utc_offset/24,"HH")&amp;search_regexp&amp;""""</f>
        <v>#REF!</v>
      </c>
      <c r="TCG28" s="234" t="e">
        <f>astrogrep_path&amp;" /e /r /s /spath="&amp;search_path&amp;" /stypes=""app*"&amp;TBC28&amp;"*"&amp;TEXT(TBJ28-utc_offset/24,"YYYYMMDD")&amp;"*"" /stext="" "&amp;TEXT(TBJ28-utc_offset/24,"HH")&amp;search_regexp&amp;""""</f>
        <v>#REF!</v>
      </c>
      <c r="TCH28" s="234" t="e">
        <f>astrogrep_path&amp;" /e /r /s /spath="&amp;search_path&amp;" /stypes=""app*"&amp;TBD28&amp;"*"&amp;TEXT(TBK28-utc_offset/24,"YYYYMMDD")&amp;"*"" /stext="" "&amp;TEXT(TBK28-utc_offset/24,"HH")&amp;search_regexp&amp;""""</f>
        <v>#REF!</v>
      </c>
      <c r="TCI28" s="234" t="e">
        <f>astrogrep_path&amp;" /e /r /s /spath="&amp;search_path&amp;" /stypes=""app*"&amp;TBE28&amp;"*"&amp;TEXT(TBL28-utc_offset/24,"YYYYMMDD")&amp;"*"" /stext="" "&amp;TEXT(TBL28-utc_offset/24,"HH")&amp;search_regexp&amp;""""</f>
        <v>#REF!</v>
      </c>
      <c r="TCJ28" s="234" t="e">
        <f>astrogrep_path&amp;" /e /r /s /spath="&amp;search_path&amp;" /stypes=""app*"&amp;TBF28&amp;"*"&amp;TEXT(TBM28-utc_offset/24,"YYYYMMDD")&amp;"*"" /stext="" "&amp;TEXT(TBM28-utc_offset/24,"HH")&amp;search_regexp&amp;""""</f>
        <v>#REF!</v>
      </c>
      <c r="TCK28" s="234" t="e">
        <f>astrogrep_path&amp;" /e /r /s /spath="&amp;search_path&amp;" /stypes=""app*"&amp;TBG28&amp;"*"&amp;TEXT(TBN28-utc_offset/24,"YYYYMMDD")&amp;"*"" /stext="" "&amp;TEXT(TBN28-utc_offset/24,"HH")&amp;search_regexp&amp;""""</f>
        <v>#REF!</v>
      </c>
      <c r="TCL28" s="234" t="e">
        <f>astrogrep_path&amp;" /e /r /s /spath="&amp;search_path&amp;" /stypes=""app*"&amp;TBH28&amp;"*"&amp;TEXT(TBO28-utc_offset/24,"YYYYMMDD")&amp;"*"" /stext="" "&amp;TEXT(TBO28-utc_offset/24,"HH")&amp;search_regexp&amp;""""</f>
        <v>#REF!</v>
      </c>
      <c r="TCM28" s="234" t="e">
        <f>astrogrep_path&amp;" /e /r /s /spath="&amp;search_path&amp;" /stypes=""app*"&amp;TBI28&amp;"*"&amp;TEXT(TBP28-utc_offset/24,"YYYYMMDD")&amp;"*"" /stext="" "&amp;TEXT(TBP28-utc_offset/24,"HH")&amp;search_regexp&amp;""""</f>
        <v>#REF!</v>
      </c>
      <c r="TCN28" s="234" t="e">
        <f>astrogrep_path&amp;" /e /r /s /spath="&amp;search_path&amp;" /stypes=""app*"&amp;TBJ28&amp;"*"&amp;TEXT(TBQ28-utc_offset/24,"YYYYMMDD")&amp;"*"" /stext="" "&amp;TEXT(TBQ28-utc_offset/24,"HH")&amp;search_regexp&amp;""""</f>
        <v>#REF!</v>
      </c>
      <c r="TCO28" s="234" t="e">
        <f>astrogrep_path&amp;" /e /r /s /spath="&amp;search_path&amp;" /stypes=""app*"&amp;TBK28&amp;"*"&amp;TEXT(TBR28-utc_offset/24,"YYYYMMDD")&amp;"*"" /stext="" "&amp;TEXT(TBR28-utc_offset/24,"HH")&amp;search_regexp&amp;""""</f>
        <v>#REF!</v>
      </c>
      <c r="TCP28" s="234" t="e">
        <f>astrogrep_path&amp;" /e /r /s /spath="&amp;search_path&amp;" /stypes=""app*"&amp;TBL28&amp;"*"&amp;TEXT(TBS28-utc_offset/24,"YYYYMMDD")&amp;"*"" /stext="" "&amp;TEXT(TBS28-utc_offset/24,"HH")&amp;search_regexp&amp;""""</f>
        <v>#REF!</v>
      </c>
      <c r="TCQ28" s="234" t="e">
        <f>astrogrep_path&amp;" /e /r /s /spath="&amp;search_path&amp;" /stypes=""app*"&amp;TBM28&amp;"*"&amp;TEXT(TBT28-utc_offset/24,"YYYYMMDD")&amp;"*"" /stext="" "&amp;TEXT(TBT28-utc_offset/24,"HH")&amp;search_regexp&amp;""""</f>
        <v>#REF!</v>
      </c>
      <c r="TCR28" s="234" t="e">
        <f>astrogrep_path&amp;" /e /r /s /spath="&amp;search_path&amp;" /stypes=""app*"&amp;TBN28&amp;"*"&amp;TEXT(TBU28-utc_offset/24,"YYYYMMDD")&amp;"*"" /stext="" "&amp;TEXT(TBU28-utc_offset/24,"HH")&amp;search_regexp&amp;""""</f>
        <v>#REF!</v>
      </c>
      <c r="TCS28" s="234" t="e">
        <f>astrogrep_path&amp;" /e /r /s /spath="&amp;search_path&amp;" /stypes=""app*"&amp;TBO28&amp;"*"&amp;TEXT(TBV28-utc_offset/24,"YYYYMMDD")&amp;"*"" /stext="" "&amp;TEXT(TBV28-utc_offset/24,"HH")&amp;search_regexp&amp;""""</f>
        <v>#REF!</v>
      </c>
      <c r="TCT28" s="234" t="e">
        <f>astrogrep_path&amp;" /e /r /s /spath="&amp;search_path&amp;" /stypes=""app*"&amp;TBP28&amp;"*"&amp;TEXT(TBW28-utc_offset/24,"YYYYMMDD")&amp;"*"" /stext="" "&amp;TEXT(TBW28-utc_offset/24,"HH")&amp;search_regexp&amp;""""</f>
        <v>#REF!</v>
      </c>
      <c r="TCU28" s="234" t="e">
        <f>astrogrep_path&amp;" /e /r /s /spath="&amp;search_path&amp;" /stypes=""app*"&amp;TBQ28&amp;"*"&amp;TEXT(TBX28-utc_offset/24,"YYYYMMDD")&amp;"*"" /stext="" "&amp;TEXT(TBX28-utc_offset/24,"HH")&amp;search_regexp&amp;""""</f>
        <v>#REF!</v>
      </c>
      <c r="TCV28" s="234" t="e">
        <f>astrogrep_path&amp;" /e /r /s /spath="&amp;search_path&amp;" /stypes=""app*"&amp;TBR28&amp;"*"&amp;TEXT(TBY28-utc_offset/24,"YYYYMMDD")&amp;"*"" /stext="" "&amp;TEXT(TBY28-utc_offset/24,"HH")&amp;search_regexp&amp;""""</f>
        <v>#REF!</v>
      </c>
      <c r="TCW28" s="234" t="e">
        <f>astrogrep_path&amp;" /e /r /s /spath="&amp;search_path&amp;" /stypes=""app*"&amp;TBS28&amp;"*"&amp;TEXT(TBZ28-utc_offset/24,"YYYYMMDD")&amp;"*"" /stext="" "&amp;TEXT(TBZ28-utc_offset/24,"HH")&amp;search_regexp&amp;""""</f>
        <v>#VALUE!</v>
      </c>
      <c r="TCX28" s="234" t="e">
        <f>astrogrep_path&amp;" /e /r /s /spath="&amp;search_path&amp;" /stypes=""app*"&amp;TBT28&amp;"*"&amp;TEXT(TCA28-utc_offset/24,"YYYYMMDD")&amp;"*"" /stext="" "&amp;TEXT(TCA28-utc_offset/24,"HH")&amp;search_regexp&amp;""""</f>
        <v>#VALUE!</v>
      </c>
      <c r="TCY28" s="234" t="e">
        <f>astrogrep_path&amp;" /e /r /s /spath="&amp;search_path&amp;" /stypes=""app*"&amp;TBU28&amp;"*"&amp;TEXT(TCB28-utc_offset/24,"YYYYMMDD")&amp;"*"" /stext="" "&amp;TEXT(TCB28-utc_offset/24,"HH")&amp;search_regexp&amp;""""</f>
        <v>#REF!</v>
      </c>
      <c r="TCZ28" s="234" t="e">
        <f>astrogrep_path&amp;" /e /r /s /spath="&amp;search_path&amp;" /stypes=""app*"&amp;TBV28&amp;"*"&amp;TEXT(TCC28-utc_offset/24,"YYYYMMDD")&amp;"*"" /stext="" "&amp;TEXT(TCC28-utc_offset/24,"HH")&amp;search_regexp&amp;""""</f>
        <v>#REF!</v>
      </c>
      <c r="TDA28" s="234" t="e">
        <f>astrogrep_path&amp;" /e /r /s /spath="&amp;search_path&amp;" /stypes=""app*"&amp;TBW28&amp;"*"&amp;TEXT(TCD28-utc_offset/24,"YYYYMMDD")&amp;"*"" /stext="" "&amp;TEXT(TCD28-utc_offset/24,"HH")&amp;search_regexp&amp;""""</f>
        <v>#VALUE!</v>
      </c>
      <c r="TDB28" s="234" t="e">
        <f>astrogrep_path&amp;" /e /r /s /spath="&amp;search_path&amp;" /stypes=""app*"&amp;TBX28&amp;"*"&amp;TEXT(TCE28-utc_offset/24,"YYYYMMDD")&amp;"*"" /stext="" "&amp;TEXT(TCE28-utc_offset/24,"HH")&amp;search_regexp&amp;""""</f>
        <v>#VALUE!</v>
      </c>
      <c r="TDC28" s="234" t="e">
        <f>astrogrep_path&amp;" /e /r /s /spath="&amp;search_path&amp;" /stypes=""app*"&amp;TBY28&amp;"*"&amp;TEXT(TCF28-utc_offset/24,"YYYYMMDD")&amp;"*"" /stext="" "&amp;TEXT(TCF28-utc_offset/24,"HH")&amp;search_regexp&amp;""""</f>
        <v>#VALUE!</v>
      </c>
      <c r="TDD28" s="234" t="e">
        <f>astrogrep_path&amp;" /e /r /s /spath="&amp;search_path&amp;" /stypes=""app*"&amp;TBZ28&amp;"*"&amp;TEXT(TCG28-utc_offset/24,"YYYYMMDD")&amp;"*"" /stext="" "&amp;TEXT(TCG28-utc_offset/24,"HH")&amp;search_regexp&amp;""""</f>
        <v>#VALUE!</v>
      </c>
      <c r="TDE28" s="234" t="e">
        <f>astrogrep_path&amp;" /e /r /s /spath="&amp;search_path&amp;" /stypes=""app*"&amp;TCA28&amp;"*"&amp;TEXT(TCH28-utc_offset/24,"YYYYMMDD")&amp;"*"" /stext="" "&amp;TEXT(TCH28-utc_offset/24,"HH")&amp;search_regexp&amp;""""</f>
        <v>#VALUE!</v>
      </c>
      <c r="TDF28" s="234" t="e">
        <f>astrogrep_path&amp;" /e /r /s /spath="&amp;search_path&amp;" /stypes=""app*"&amp;TCB28&amp;"*"&amp;TEXT(TCI28-utc_offset/24,"YYYYMMDD")&amp;"*"" /stext="" "&amp;TEXT(TCI28-utc_offset/24,"HH")&amp;search_regexp&amp;""""</f>
        <v>#REF!</v>
      </c>
      <c r="TDG28" s="234" t="e">
        <f>astrogrep_path&amp;" /e /r /s /spath="&amp;search_path&amp;" /stypes=""app*"&amp;TCC28&amp;"*"&amp;TEXT(TCJ28-utc_offset/24,"YYYYMMDD")&amp;"*"" /stext="" "&amp;TEXT(TCJ28-utc_offset/24,"HH")&amp;search_regexp&amp;""""</f>
        <v>#REF!</v>
      </c>
      <c r="TDH28" s="234" t="e">
        <f>astrogrep_path&amp;" /e /r /s /spath="&amp;search_path&amp;" /stypes=""app*"&amp;TCD28&amp;"*"&amp;TEXT(TCK28-utc_offset/24,"YYYYMMDD")&amp;"*"" /stext="" "&amp;TEXT(TCK28-utc_offset/24,"HH")&amp;search_regexp&amp;""""</f>
        <v>#REF!</v>
      </c>
      <c r="TDI28" s="234" t="e">
        <f>astrogrep_path&amp;" /e /r /s /spath="&amp;search_path&amp;" /stypes=""app*"&amp;TCE28&amp;"*"&amp;TEXT(TCL28-utc_offset/24,"YYYYMMDD")&amp;"*"" /stext="" "&amp;TEXT(TCL28-utc_offset/24,"HH")&amp;search_regexp&amp;""""</f>
        <v>#REF!</v>
      </c>
      <c r="TDJ28" s="234" t="e">
        <f>astrogrep_path&amp;" /e /r /s /spath="&amp;search_path&amp;" /stypes=""app*"&amp;TCF28&amp;"*"&amp;TEXT(TCM28-utc_offset/24,"YYYYMMDD")&amp;"*"" /stext="" "&amp;TEXT(TCM28-utc_offset/24,"HH")&amp;search_regexp&amp;""""</f>
        <v>#REF!</v>
      </c>
      <c r="TDK28" s="234" t="e">
        <f>astrogrep_path&amp;" /e /r /s /spath="&amp;search_path&amp;" /stypes=""app*"&amp;TCG28&amp;"*"&amp;TEXT(TCN28-utc_offset/24,"YYYYMMDD")&amp;"*"" /stext="" "&amp;TEXT(TCN28-utc_offset/24,"HH")&amp;search_regexp&amp;""""</f>
        <v>#REF!</v>
      </c>
      <c r="TDL28" s="234" t="e">
        <f>astrogrep_path&amp;" /e /r /s /spath="&amp;search_path&amp;" /stypes=""app*"&amp;TCH28&amp;"*"&amp;TEXT(TCO28-utc_offset/24,"YYYYMMDD")&amp;"*"" /stext="" "&amp;TEXT(TCO28-utc_offset/24,"HH")&amp;search_regexp&amp;""""</f>
        <v>#REF!</v>
      </c>
      <c r="TDM28" s="234" t="e">
        <f>astrogrep_path&amp;" /e /r /s /spath="&amp;search_path&amp;" /stypes=""app*"&amp;TCI28&amp;"*"&amp;TEXT(TCP28-utc_offset/24,"YYYYMMDD")&amp;"*"" /stext="" "&amp;TEXT(TCP28-utc_offset/24,"HH")&amp;search_regexp&amp;""""</f>
        <v>#REF!</v>
      </c>
      <c r="TDN28" s="234" t="e">
        <f>astrogrep_path&amp;" /e /r /s /spath="&amp;search_path&amp;" /stypes=""app*"&amp;TCJ28&amp;"*"&amp;TEXT(TCQ28-utc_offset/24,"YYYYMMDD")&amp;"*"" /stext="" "&amp;TEXT(TCQ28-utc_offset/24,"HH")&amp;search_regexp&amp;""""</f>
        <v>#REF!</v>
      </c>
      <c r="TDO28" s="234" t="e">
        <f>astrogrep_path&amp;" /e /r /s /spath="&amp;search_path&amp;" /stypes=""app*"&amp;TCK28&amp;"*"&amp;TEXT(TCR28-utc_offset/24,"YYYYMMDD")&amp;"*"" /stext="" "&amp;TEXT(TCR28-utc_offset/24,"HH")&amp;search_regexp&amp;""""</f>
        <v>#REF!</v>
      </c>
      <c r="TDP28" s="234" t="e">
        <f>astrogrep_path&amp;" /e /r /s /spath="&amp;search_path&amp;" /stypes=""app*"&amp;TCL28&amp;"*"&amp;TEXT(TCS28-utc_offset/24,"YYYYMMDD")&amp;"*"" /stext="" "&amp;TEXT(TCS28-utc_offset/24,"HH")&amp;search_regexp&amp;""""</f>
        <v>#REF!</v>
      </c>
      <c r="TDQ28" s="234" t="e">
        <f>astrogrep_path&amp;" /e /r /s /spath="&amp;search_path&amp;" /stypes=""app*"&amp;TCM28&amp;"*"&amp;TEXT(TCT28-utc_offset/24,"YYYYMMDD")&amp;"*"" /stext="" "&amp;TEXT(TCT28-utc_offset/24,"HH")&amp;search_regexp&amp;""""</f>
        <v>#REF!</v>
      </c>
      <c r="TDR28" s="234" t="e">
        <f>astrogrep_path&amp;" /e /r /s /spath="&amp;search_path&amp;" /stypes=""app*"&amp;TCN28&amp;"*"&amp;TEXT(TCU28-utc_offset/24,"YYYYMMDD")&amp;"*"" /stext="" "&amp;TEXT(TCU28-utc_offset/24,"HH")&amp;search_regexp&amp;""""</f>
        <v>#REF!</v>
      </c>
      <c r="TDS28" s="234" t="e">
        <f>astrogrep_path&amp;" /e /r /s /spath="&amp;search_path&amp;" /stypes=""app*"&amp;TCO28&amp;"*"&amp;TEXT(TCV28-utc_offset/24,"YYYYMMDD")&amp;"*"" /stext="" "&amp;TEXT(TCV28-utc_offset/24,"HH")&amp;search_regexp&amp;""""</f>
        <v>#REF!</v>
      </c>
      <c r="TDT28" s="234" t="e">
        <f>astrogrep_path&amp;" /e /r /s /spath="&amp;search_path&amp;" /stypes=""app*"&amp;TCP28&amp;"*"&amp;TEXT(TCW28-utc_offset/24,"YYYYMMDD")&amp;"*"" /stext="" "&amp;TEXT(TCW28-utc_offset/24,"HH")&amp;search_regexp&amp;""""</f>
        <v>#REF!</v>
      </c>
      <c r="TDU28" s="234" t="e">
        <f>astrogrep_path&amp;" /e /r /s /spath="&amp;search_path&amp;" /stypes=""app*"&amp;TCQ28&amp;"*"&amp;TEXT(TCX28-utc_offset/24,"YYYYMMDD")&amp;"*"" /stext="" "&amp;TEXT(TCX28-utc_offset/24,"HH")&amp;search_regexp&amp;""""</f>
        <v>#REF!</v>
      </c>
      <c r="TDV28" s="234" t="e">
        <f>astrogrep_path&amp;" /e /r /s /spath="&amp;search_path&amp;" /stypes=""app*"&amp;TCR28&amp;"*"&amp;TEXT(TCY28-utc_offset/24,"YYYYMMDD")&amp;"*"" /stext="" "&amp;TEXT(TCY28-utc_offset/24,"HH")&amp;search_regexp&amp;""""</f>
        <v>#REF!</v>
      </c>
      <c r="TDW28" s="234" t="e">
        <f>astrogrep_path&amp;" /e /r /s /spath="&amp;search_path&amp;" /stypes=""app*"&amp;TCS28&amp;"*"&amp;TEXT(TCZ28-utc_offset/24,"YYYYMMDD")&amp;"*"" /stext="" "&amp;TEXT(TCZ28-utc_offset/24,"HH")&amp;search_regexp&amp;""""</f>
        <v>#REF!</v>
      </c>
      <c r="TDX28" s="234" t="e">
        <f>astrogrep_path&amp;" /e /r /s /spath="&amp;search_path&amp;" /stypes=""app*"&amp;TCT28&amp;"*"&amp;TEXT(TDA28-utc_offset/24,"YYYYMMDD")&amp;"*"" /stext="" "&amp;TEXT(TDA28-utc_offset/24,"HH")&amp;search_regexp&amp;""""</f>
        <v>#REF!</v>
      </c>
      <c r="TDY28" s="234" t="e">
        <f>astrogrep_path&amp;" /e /r /s /spath="&amp;search_path&amp;" /stypes=""app*"&amp;TCU28&amp;"*"&amp;TEXT(TDB28-utc_offset/24,"YYYYMMDD")&amp;"*"" /stext="" "&amp;TEXT(TDB28-utc_offset/24,"HH")&amp;search_regexp&amp;""""</f>
        <v>#REF!</v>
      </c>
      <c r="TDZ28" s="234" t="e">
        <f>astrogrep_path&amp;" /e /r /s /spath="&amp;search_path&amp;" /stypes=""app*"&amp;TCV28&amp;"*"&amp;TEXT(TDC28-utc_offset/24,"YYYYMMDD")&amp;"*"" /stext="" "&amp;TEXT(TDC28-utc_offset/24,"HH")&amp;search_regexp&amp;""""</f>
        <v>#REF!</v>
      </c>
      <c r="TEA28" s="234" t="e">
        <f>astrogrep_path&amp;" /e /r /s /spath="&amp;search_path&amp;" /stypes=""app*"&amp;TCW28&amp;"*"&amp;TEXT(TDD28-utc_offset/24,"YYYYMMDD")&amp;"*"" /stext="" "&amp;TEXT(TDD28-utc_offset/24,"HH")&amp;search_regexp&amp;""""</f>
        <v>#VALUE!</v>
      </c>
      <c r="TEB28" s="234" t="e">
        <f>astrogrep_path&amp;" /e /r /s /spath="&amp;search_path&amp;" /stypes=""app*"&amp;TCX28&amp;"*"&amp;TEXT(TDE28-utc_offset/24,"YYYYMMDD")&amp;"*"" /stext="" "&amp;TEXT(TDE28-utc_offset/24,"HH")&amp;search_regexp&amp;""""</f>
        <v>#VALUE!</v>
      </c>
      <c r="TEC28" s="234" t="e">
        <f>astrogrep_path&amp;" /e /r /s /spath="&amp;search_path&amp;" /stypes=""app*"&amp;TCY28&amp;"*"&amp;TEXT(TDF28-utc_offset/24,"YYYYMMDD")&amp;"*"" /stext="" "&amp;TEXT(TDF28-utc_offset/24,"HH")&amp;search_regexp&amp;""""</f>
        <v>#REF!</v>
      </c>
      <c r="TED28" s="234" t="e">
        <f>astrogrep_path&amp;" /e /r /s /spath="&amp;search_path&amp;" /stypes=""app*"&amp;TCZ28&amp;"*"&amp;TEXT(TDG28-utc_offset/24,"YYYYMMDD")&amp;"*"" /stext="" "&amp;TEXT(TDG28-utc_offset/24,"HH")&amp;search_regexp&amp;""""</f>
        <v>#REF!</v>
      </c>
      <c r="TEE28" s="234" t="e">
        <f>astrogrep_path&amp;" /e /r /s /spath="&amp;search_path&amp;" /stypes=""app*"&amp;TDA28&amp;"*"&amp;TEXT(TDH28-utc_offset/24,"YYYYMMDD")&amp;"*"" /stext="" "&amp;TEXT(TDH28-utc_offset/24,"HH")&amp;search_regexp&amp;""""</f>
        <v>#VALUE!</v>
      </c>
      <c r="TEF28" s="234" t="e">
        <f>astrogrep_path&amp;" /e /r /s /spath="&amp;search_path&amp;" /stypes=""app*"&amp;TDB28&amp;"*"&amp;TEXT(TDI28-utc_offset/24,"YYYYMMDD")&amp;"*"" /stext="" "&amp;TEXT(TDI28-utc_offset/24,"HH")&amp;search_regexp&amp;""""</f>
        <v>#VALUE!</v>
      </c>
      <c r="TEG28" s="234" t="e">
        <f>astrogrep_path&amp;" /e /r /s /spath="&amp;search_path&amp;" /stypes=""app*"&amp;TDC28&amp;"*"&amp;TEXT(TDJ28-utc_offset/24,"YYYYMMDD")&amp;"*"" /stext="" "&amp;TEXT(TDJ28-utc_offset/24,"HH")&amp;search_regexp&amp;""""</f>
        <v>#VALUE!</v>
      </c>
      <c r="TEH28" s="234" t="e">
        <f>astrogrep_path&amp;" /e /r /s /spath="&amp;search_path&amp;" /stypes=""app*"&amp;TDD28&amp;"*"&amp;TEXT(TDK28-utc_offset/24,"YYYYMMDD")&amp;"*"" /stext="" "&amp;TEXT(TDK28-utc_offset/24,"HH")&amp;search_regexp&amp;""""</f>
        <v>#VALUE!</v>
      </c>
      <c r="TEI28" s="234" t="e">
        <f>astrogrep_path&amp;" /e /r /s /spath="&amp;search_path&amp;" /stypes=""app*"&amp;TDE28&amp;"*"&amp;TEXT(TDL28-utc_offset/24,"YYYYMMDD")&amp;"*"" /stext="" "&amp;TEXT(TDL28-utc_offset/24,"HH")&amp;search_regexp&amp;""""</f>
        <v>#VALUE!</v>
      </c>
      <c r="TEJ28" s="234" t="e">
        <f>astrogrep_path&amp;" /e /r /s /spath="&amp;search_path&amp;" /stypes=""app*"&amp;TDF28&amp;"*"&amp;TEXT(TDM28-utc_offset/24,"YYYYMMDD")&amp;"*"" /stext="" "&amp;TEXT(TDM28-utc_offset/24,"HH")&amp;search_regexp&amp;""""</f>
        <v>#REF!</v>
      </c>
      <c r="TEK28" s="234" t="e">
        <f>astrogrep_path&amp;" /e /r /s /spath="&amp;search_path&amp;" /stypes=""app*"&amp;TDG28&amp;"*"&amp;TEXT(TDN28-utc_offset/24,"YYYYMMDD")&amp;"*"" /stext="" "&amp;TEXT(TDN28-utc_offset/24,"HH")&amp;search_regexp&amp;""""</f>
        <v>#REF!</v>
      </c>
      <c r="TEL28" s="234" t="e">
        <f>astrogrep_path&amp;" /e /r /s /spath="&amp;search_path&amp;" /stypes=""app*"&amp;TDH28&amp;"*"&amp;TEXT(TDO28-utc_offset/24,"YYYYMMDD")&amp;"*"" /stext="" "&amp;TEXT(TDO28-utc_offset/24,"HH")&amp;search_regexp&amp;""""</f>
        <v>#REF!</v>
      </c>
      <c r="TEM28" s="234" t="e">
        <f>astrogrep_path&amp;" /e /r /s /spath="&amp;search_path&amp;" /stypes=""app*"&amp;TDI28&amp;"*"&amp;TEXT(TDP28-utc_offset/24,"YYYYMMDD")&amp;"*"" /stext="" "&amp;TEXT(TDP28-utc_offset/24,"HH")&amp;search_regexp&amp;""""</f>
        <v>#REF!</v>
      </c>
      <c r="TEN28" s="234" t="e">
        <f>astrogrep_path&amp;" /e /r /s /spath="&amp;search_path&amp;" /stypes=""app*"&amp;TDJ28&amp;"*"&amp;TEXT(TDQ28-utc_offset/24,"YYYYMMDD")&amp;"*"" /stext="" "&amp;TEXT(TDQ28-utc_offset/24,"HH")&amp;search_regexp&amp;""""</f>
        <v>#REF!</v>
      </c>
      <c r="TEO28" s="234" t="e">
        <f>astrogrep_path&amp;" /e /r /s /spath="&amp;search_path&amp;" /stypes=""app*"&amp;TDK28&amp;"*"&amp;TEXT(TDR28-utc_offset/24,"YYYYMMDD")&amp;"*"" /stext="" "&amp;TEXT(TDR28-utc_offset/24,"HH")&amp;search_regexp&amp;""""</f>
        <v>#REF!</v>
      </c>
      <c r="TEP28" s="234" t="e">
        <f>astrogrep_path&amp;" /e /r /s /spath="&amp;search_path&amp;" /stypes=""app*"&amp;TDL28&amp;"*"&amp;TEXT(TDS28-utc_offset/24,"YYYYMMDD")&amp;"*"" /stext="" "&amp;TEXT(TDS28-utc_offset/24,"HH")&amp;search_regexp&amp;""""</f>
        <v>#REF!</v>
      </c>
      <c r="TEQ28" s="234" t="e">
        <f>astrogrep_path&amp;" /e /r /s /spath="&amp;search_path&amp;" /stypes=""app*"&amp;TDM28&amp;"*"&amp;TEXT(TDT28-utc_offset/24,"YYYYMMDD")&amp;"*"" /stext="" "&amp;TEXT(TDT28-utc_offset/24,"HH")&amp;search_regexp&amp;""""</f>
        <v>#REF!</v>
      </c>
      <c r="TER28" s="234" t="e">
        <f>astrogrep_path&amp;" /e /r /s /spath="&amp;search_path&amp;" /stypes=""app*"&amp;TDN28&amp;"*"&amp;TEXT(TDU28-utc_offset/24,"YYYYMMDD")&amp;"*"" /stext="" "&amp;TEXT(TDU28-utc_offset/24,"HH")&amp;search_regexp&amp;""""</f>
        <v>#REF!</v>
      </c>
      <c r="TES28" s="234" t="e">
        <f>astrogrep_path&amp;" /e /r /s /spath="&amp;search_path&amp;" /stypes=""app*"&amp;TDO28&amp;"*"&amp;TEXT(TDV28-utc_offset/24,"YYYYMMDD")&amp;"*"" /stext="" "&amp;TEXT(TDV28-utc_offset/24,"HH")&amp;search_regexp&amp;""""</f>
        <v>#REF!</v>
      </c>
      <c r="TET28" s="234" t="e">
        <f>astrogrep_path&amp;" /e /r /s /spath="&amp;search_path&amp;" /stypes=""app*"&amp;TDP28&amp;"*"&amp;TEXT(TDW28-utc_offset/24,"YYYYMMDD")&amp;"*"" /stext="" "&amp;TEXT(TDW28-utc_offset/24,"HH")&amp;search_regexp&amp;""""</f>
        <v>#REF!</v>
      </c>
      <c r="TEU28" s="234" t="e">
        <f>astrogrep_path&amp;" /e /r /s /spath="&amp;search_path&amp;" /stypes=""app*"&amp;TDQ28&amp;"*"&amp;TEXT(TDX28-utc_offset/24,"YYYYMMDD")&amp;"*"" /stext="" "&amp;TEXT(TDX28-utc_offset/24,"HH")&amp;search_regexp&amp;""""</f>
        <v>#REF!</v>
      </c>
      <c r="TEV28" s="234" t="e">
        <f>astrogrep_path&amp;" /e /r /s /spath="&amp;search_path&amp;" /stypes=""app*"&amp;TDR28&amp;"*"&amp;TEXT(TDY28-utc_offset/24,"YYYYMMDD")&amp;"*"" /stext="" "&amp;TEXT(TDY28-utc_offset/24,"HH")&amp;search_regexp&amp;""""</f>
        <v>#REF!</v>
      </c>
      <c r="TEW28" s="234" t="e">
        <f>astrogrep_path&amp;" /e /r /s /spath="&amp;search_path&amp;" /stypes=""app*"&amp;TDS28&amp;"*"&amp;TEXT(TDZ28-utc_offset/24,"YYYYMMDD")&amp;"*"" /stext="" "&amp;TEXT(TDZ28-utc_offset/24,"HH")&amp;search_regexp&amp;""""</f>
        <v>#REF!</v>
      </c>
      <c r="TEX28" s="234" t="e">
        <f>astrogrep_path&amp;" /e /r /s /spath="&amp;search_path&amp;" /stypes=""app*"&amp;TDT28&amp;"*"&amp;TEXT(TEA28-utc_offset/24,"YYYYMMDD")&amp;"*"" /stext="" "&amp;TEXT(TEA28-utc_offset/24,"HH")&amp;search_regexp&amp;""""</f>
        <v>#REF!</v>
      </c>
      <c r="TEY28" s="234" t="e">
        <f>astrogrep_path&amp;" /e /r /s /spath="&amp;search_path&amp;" /stypes=""app*"&amp;TDU28&amp;"*"&amp;TEXT(TEB28-utc_offset/24,"YYYYMMDD")&amp;"*"" /stext="" "&amp;TEXT(TEB28-utc_offset/24,"HH")&amp;search_regexp&amp;""""</f>
        <v>#REF!</v>
      </c>
      <c r="TEZ28" s="234" t="e">
        <f>astrogrep_path&amp;" /e /r /s /spath="&amp;search_path&amp;" /stypes=""app*"&amp;TDV28&amp;"*"&amp;TEXT(TEC28-utc_offset/24,"YYYYMMDD")&amp;"*"" /stext="" "&amp;TEXT(TEC28-utc_offset/24,"HH")&amp;search_regexp&amp;""""</f>
        <v>#REF!</v>
      </c>
      <c r="TFA28" s="234" t="e">
        <f>astrogrep_path&amp;" /e /r /s /spath="&amp;search_path&amp;" /stypes=""app*"&amp;TDW28&amp;"*"&amp;TEXT(TED28-utc_offset/24,"YYYYMMDD")&amp;"*"" /stext="" "&amp;TEXT(TED28-utc_offset/24,"HH")&amp;search_regexp&amp;""""</f>
        <v>#REF!</v>
      </c>
      <c r="TFB28" s="234" t="e">
        <f>astrogrep_path&amp;" /e /r /s /spath="&amp;search_path&amp;" /stypes=""app*"&amp;TDX28&amp;"*"&amp;TEXT(TEE28-utc_offset/24,"YYYYMMDD")&amp;"*"" /stext="" "&amp;TEXT(TEE28-utc_offset/24,"HH")&amp;search_regexp&amp;""""</f>
        <v>#REF!</v>
      </c>
      <c r="TFC28" s="234" t="e">
        <f>astrogrep_path&amp;" /e /r /s /spath="&amp;search_path&amp;" /stypes=""app*"&amp;TDY28&amp;"*"&amp;TEXT(TEF28-utc_offset/24,"YYYYMMDD")&amp;"*"" /stext="" "&amp;TEXT(TEF28-utc_offset/24,"HH")&amp;search_regexp&amp;""""</f>
        <v>#REF!</v>
      </c>
      <c r="TFD28" s="234" t="e">
        <f>astrogrep_path&amp;" /e /r /s /spath="&amp;search_path&amp;" /stypes=""app*"&amp;TDZ28&amp;"*"&amp;TEXT(TEG28-utc_offset/24,"YYYYMMDD")&amp;"*"" /stext="" "&amp;TEXT(TEG28-utc_offset/24,"HH")&amp;search_regexp&amp;""""</f>
        <v>#REF!</v>
      </c>
      <c r="TFE28" s="234" t="e">
        <f>astrogrep_path&amp;" /e /r /s /spath="&amp;search_path&amp;" /stypes=""app*"&amp;TEA28&amp;"*"&amp;TEXT(TEH28-utc_offset/24,"YYYYMMDD")&amp;"*"" /stext="" "&amp;TEXT(TEH28-utc_offset/24,"HH")&amp;search_regexp&amp;""""</f>
        <v>#VALUE!</v>
      </c>
      <c r="TFF28" s="234" t="e">
        <f>astrogrep_path&amp;" /e /r /s /spath="&amp;search_path&amp;" /stypes=""app*"&amp;TEB28&amp;"*"&amp;TEXT(TEI28-utc_offset/24,"YYYYMMDD")&amp;"*"" /stext="" "&amp;TEXT(TEI28-utc_offset/24,"HH")&amp;search_regexp&amp;""""</f>
        <v>#VALUE!</v>
      </c>
      <c r="TFG28" s="234" t="e">
        <f>astrogrep_path&amp;" /e /r /s /spath="&amp;search_path&amp;" /stypes=""app*"&amp;TEC28&amp;"*"&amp;TEXT(TEJ28-utc_offset/24,"YYYYMMDD")&amp;"*"" /stext="" "&amp;TEXT(TEJ28-utc_offset/24,"HH")&amp;search_regexp&amp;""""</f>
        <v>#REF!</v>
      </c>
      <c r="TFH28" s="234" t="e">
        <f>astrogrep_path&amp;" /e /r /s /spath="&amp;search_path&amp;" /stypes=""app*"&amp;TED28&amp;"*"&amp;TEXT(TEK28-utc_offset/24,"YYYYMMDD")&amp;"*"" /stext="" "&amp;TEXT(TEK28-utc_offset/24,"HH")&amp;search_regexp&amp;""""</f>
        <v>#REF!</v>
      </c>
      <c r="TFI28" s="234" t="e">
        <f>astrogrep_path&amp;" /e /r /s /spath="&amp;search_path&amp;" /stypes=""app*"&amp;TEE28&amp;"*"&amp;TEXT(TEL28-utc_offset/24,"YYYYMMDD")&amp;"*"" /stext="" "&amp;TEXT(TEL28-utc_offset/24,"HH")&amp;search_regexp&amp;""""</f>
        <v>#VALUE!</v>
      </c>
      <c r="TFJ28" s="234" t="e">
        <f>astrogrep_path&amp;" /e /r /s /spath="&amp;search_path&amp;" /stypes=""app*"&amp;TEF28&amp;"*"&amp;TEXT(TEM28-utc_offset/24,"YYYYMMDD")&amp;"*"" /stext="" "&amp;TEXT(TEM28-utc_offset/24,"HH")&amp;search_regexp&amp;""""</f>
        <v>#VALUE!</v>
      </c>
      <c r="TFK28" s="234" t="e">
        <f>astrogrep_path&amp;" /e /r /s /spath="&amp;search_path&amp;" /stypes=""app*"&amp;TEG28&amp;"*"&amp;TEXT(TEN28-utc_offset/24,"YYYYMMDD")&amp;"*"" /stext="" "&amp;TEXT(TEN28-utc_offset/24,"HH")&amp;search_regexp&amp;""""</f>
        <v>#VALUE!</v>
      </c>
      <c r="TFL28" s="234" t="e">
        <f>astrogrep_path&amp;" /e /r /s /spath="&amp;search_path&amp;" /stypes=""app*"&amp;TEH28&amp;"*"&amp;TEXT(TEO28-utc_offset/24,"YYYYMMDD")&amp;"*"" /stext="" "&amp;TEXT(TEO28-utc_offset/24,"HH")&amp;search_regexp&amp;""""</f>
        <v>#VALUE!</v>
      </c>
      <c r="TFM28" s="234" t="e">
        <f>astrogrep_path&amp;" /e /r /s /spath="&amp;search_path&amp;" /stypes=""app*"&amp;TEI28&amp;"*"&amp;TEXT(TEP28-utc_offset/24,"YYYYMMDD")&amp;"*"" /stext="" "&amp;TEXT(TEP28-utc_offset/24,"HH")&amp;search_regexp&amp;""""</f>
        <v>#VALUE!</v>
      </c>
      <c r="TFN28" s="234" t="e">
        <f>astrogrep_path&amp;" /e /r /s /spath="&amp;search_path&amp;" /stypes=""app*"&amp;TEJ28&amp;"*"&amp;TEXT(TEQ28-utc_offset/24,"YYYYMMDD")&amp;"*"" /stext="" "&amp;TEXT(TEQ28-utc_offset/24,"HH")&amp;search_regexp&amp;""""</f>
        <v>#REF!</v>
      </c>
      <c r="TFO28" s="234" t="e">
        <f>astrogrep_path&amp;" /e /r /s /spath="&amp;search_path&amp;" /stypes=""app*"&amp;TEK28&amp;"*"&amp;TEXT(TER28-utc_offset/24,"YYYYMMDD")&amp;"*"" /stext="" "&amp;TEXT(TER28-utc_offset/24,"HH")&amp;search_regexp&amp;""""</f>
        <v>#REF!</v>
      </c>
      <c r="TFP28" s="234" t="e">
        <f>astrogrep_path&amp;" /e /r /s /spath="&amp;search_path&amp;" /stypes=""app*"&amp;TEL28&amp;"*"&amp;TEXT(TES28-utc_offset/24,"YYYYMMDD")&amp;"*"" /stext="" "&amp;TEXT(TES28-utc_offset/24,"HH")&amp;search_regexp&amp;""""</f>
        <v>#REF!</v>
      </c>
      <c r="TFQ28" s="234" t="e">
        <f>astrogrep_path&amp;" /e /r /s /spath="&amp;search_path&amp;" /stypes=""app*"&amp;TEM28&amp;"*"&amp;TEXT(TET28-utc_offset/24,"YYYYMMDD")&amp;"*"" /stext="" "&amp;TEXT(TET28-utc_offset/24,"HH")&amp;search_regexp&amp;""""</f>
        <v>#REF!</v>
      </c>
      <c r="TFR28" s="234" t="e">
        <f>astrogrep_path&amp;" /e /r /s /spath="&amp;search_path&amp;" /stypes=""app*"&amp;TEN28&amp;"*"&amp;TEXT(TEU28-utc_offset/24,"YYYYMMDD")&amp;"*"" /stext="" "&amp;TEXT(TEU28-utc_offset/24,"HH")&amp;search_regexp&amp;""""</f>
        <v>#REF!</v>
      </c>
      <c r="TFS28" s="234" t="e">
        <f>astrogrep_path&amp;" /e /r /s /spath="&amp;search_path&amp;" /stypes=""app*"&amp;TEO28&amp;"*"&amp;TEXT(TEV28-utc_offset/24,"YYYYMMDD")&amp;"*"" /stext="" "&amp;TEXT(TEV28-utc_offset/24,"HH")&amp;search_regexp&amp;""""</f>
        <v>#REF!</v>
      </c>
      <c r="TFT28" s="234" t="e">
        <f>astrogrep_path&amp;" /e /r /s /spath="&amp;search_path&amp;" /stypes=""app*"&amp;TEP28&amp;"*"&amp;TEXT(TEW28-utc_offset/24,"YYYYMMDD")&amp;"*"" /stext="" "&amp;TEXT(TEW28-utc_offset/24,"HH")&amp;search_regexp&amp;""""</f>
        <v>#REF!</v>
      </c>
      <c r="TFU28" s="234" t="e">
        <f>astrogrep_path&amp;" /e /r /s /spath="&amp;search_path&amp;" /stypes=""app*"&amp;TEQ28&amp;"*"&amp;TEXT(TEX28-utc_offset/24,"YYYYMMDD")&amp;"*"" /stext="" "&amp;TEXT(TEX28-utc_offset/24,"HH")&amp;search_regexp&amp;""""</f>
        <v>#REF!</v>
      </c>
      <c r="TFV28" s="234" t="e">
        <f>astrogrep_path&amp;" /e /r /s /spath="&amp;search_path&amp;" /stypes=""app*"&amp;TER28&amp;"*"&amp;TEXT(TEY28-utc_offset/24,"YYYYMMDD")&amp;"*"" /stext="" "&amp;TEXT(TEY28-utc_offset/24,"HH")&amp;search_regexp&amp;""""</f>
        <v>#REF!</v>
      </c>
      <c r="TFW28" s="234" t="e">
        <f>astrogrep_path&amp;" /e /r /s /spath="&amp;search_path&amp;" /stypes=""app*"&amp;TES28&amp;"*"&amp;TEXT(TEZ28-utc_offset/24,"YYYYMMDD")&amp;"*"" /stext="" "&amp;TEXT(TEZ28-utc_offset/24,"HH")&amp;search_regexp&amp;""""</f>
        <v>#REF!</v>
      </c>
      <c r="TFX28" s="234" t="e">
        <f>astrogrep_path&amp;" /e /r /s /spath="&amp;search_path&amp;" /stypes=""app*"&amp;TET28&amp;"*"&amp;TEXT(TFA28-utc_offset/24,"YYYYMMDD")&amp;"*"" /stext="" "&amp;TEXT(TFA28-utc_offset/24,"HH")&amp;search_regexp&amp;""""</f>
        <v>#REF!</v>
      </c>
      <c r="TFY28" s="234" t="e">
        <f>astrogrep_path&amp;" /e /r /s /spath="&amp;search_path&amp;" /stypes=""app*"&amp;TEU28&amp;"*"&amp;TEXT(TFB28-utc_offset/24,"YYYYMMDD")&amp;"*"" /stext="" "&amp;TEXT(TFB28-utc_offset/24,"HH")&amp;search_regexp&amp;""""</f>
        <v>#REF!</v>
      </c>
      <c r="TFZ28" s="234" t="e">
        <f>astrogrep_path&amp;" /e /r /s /spath="&amp;search_path&amp;" /stypes=""app*"&amp;TEV28&amp;"*"&amp;TEXT(TFC28-utc_offset/24,"YYYYMMDD")&amp;"*"" /stext="" "&amp;TEXT(TFC28-utc_offset/24,"HH")&amp;search_regexp&amp;""""</f>
        <v>#REF!</v>
      </c>
      <c r="TGA28" s="234" t="e">
        <f>astrogrep_path&amp;" /e /r /s /spath="&amp;search_path&amp;" /stypes=""app*"&amp;TEW28&amp;"*"&amp;TEXT(TFD28-utc_offset/24,"YYYYMMDD")&amp;"*"" /stext="" "&amp;TEXT(TFD28-utc_offset/24,"HH")&amp;search_regexp&amp;""""</f>
        <v>#REF!</v>
      </c>
      <c r="TGB28" s="234" t="e">
        <f>astrogrep_path&amp;" /e /r /s /spath="&amp;search_path&amp;" /stypes=""app*"&amp;TEX28&amp;"*"&amp;TEXT(TFE28-utc_offset/24,"YYYYMMDD")&amp;"*"" /stext="" "&amp;TEXT(TFE28-utc_offset/24,"HH")&amp;search_regexp&amp;""""</f>
        <v>#REF!</v>
      </c>
      <c r="TGC28" s="234" t="e">
        <f>astrogrep_path&amp;" /e /r /s /spath="&amp;search_path&amp;" /stypes=""app*"&amp;TEY28&amp;"*"&amp;TEXT(TFF28-utc_offset/24,"YYYYMMDD")&amp;"*"" /stext="" "&amp;TEXT(TFF28-utc_offset/24,"HH")&amp;search_regexp&amp;""""</f>
        <v>#REF!</v>
      </c>
      <c r="TGD28" s="234" t="e">
        <f>astrogrep_path&amp;" /e /r /s /spath="&amp;search_path&amp;" /stypes=""app*"&amp;TEZ28&amp;"*"&amp;TEXT(TFG28-utc_offset/24,"YYYYMMDD")&amp;"*"" /stext="" "&amp;TEXT(TFG28-utc_offset/24,"HH")&amp;search_regexp&amp;""""</f>
        <v>#REF!</v>
      </c>
      <c r="TGE28" s="234" t="e">
        <f>astrogrep_path&amp;" /e /r /s /spath="&amp;search_path&amp;" /stypes=""app*"&amp;TFA28&amp;"*"&amp;TEXT(TFH28-utc_offset/24,"YYYYMMDD")&amp;"*"" /stext="" "&amp;TEXT(TFH28-utc_offset/24,"HH")&amp;search_regexp&amp;""""</f>
        <v>#REF!</v>
      </c>
      <c r="TGF28" s="234" t="e">
        <f>astrogrep_path&amp;" /e /r /s /spath="&amp;search_path&amp;" /stypes=""app*"&amp;TFB28&amp;"*"&amp;TEXT(TFI28-utc_offset/24,"YYYYMMDD")&amp;"*"" /stext="" "&amp;TEXT(TFI28-utc_offset/24,"HH")&amp;search_regexp&amp;""""</f>
        <v>#REF!</v>
      </c>
      <c r="TGG28" s="234" t="e">
        <f>astrogrep_path&amp;" /e /r /s /spath="&amp;search_path&amp;" /stypes=""app*"&amp;TFC28&amp;"*"&amp;TEXT(TFJ28-utc_offset/24,"YYYYMMDD")&amp;"*"" /stext="" "&amp;TEXT(TFJ28-utc_offset/24,"HH")&amp;search_regexp&amp;""""</f>
        <v>#REF!</v>
      </c>
      <c r="TGH28" s="234" t="e">
        <f>astrogrep_path&amp;" /e /r /s /spath="&amp;search_path&amp;" /stypes=""app*"&amp;TFD28&amp;"*"&amp;TEXT(TFK28-utc_offset/24,"YYYYMMDD")&amp;"*"" /stext="" "&amp;TEXT(TFK28-utc_offset/24,"HH")&amp;search_regexp&amp;""""</f>
        <v>#REF!</v>
      </c>
      <c r="TGI28" s="234" t="e">
        <f>astrogrep_path&amp;" /e /r /s /spath="&amp;search_path&amp;" /stypes=""app*"&amp;TFE28&amp;"*"&amp;TEXT(TFL28-utc_offset/24,"YYYYMMDD")&amp;"*"" /stext="" "&amp;TEXT(TFL28-utc_offset/24,"HH")&amp;search_regexp&amp;""""</f>
        <v>#VALUE!</v>
      </c>
      <c r="TGJ28" s="234" t="e">
        <f>astrogrep_path&amp;" /e /r /s /spath="&amp;search_path&amp;" /stypes=""app*"&amp;TFF28&amp;"*"&amp;TEXT(TFM28-utc_offset/24,"YYYYMMDD")&amp;"*"" /stext="" "&amp;TEXT(TFM28-utc_offset/24,"HH")&amp;search_regexp&amp;""""</f>
        <v>#VALUE!</v>
      </c>
      <c r="TGK28" s="234" t="e">
        <f>astrogrep_path&amp;" /e /r /s /spath="&amp;search_path&amp;" /stypes=""app*"&amp;TFG28&amp;"*"&amp;TEXT(TFN28-utc_offset/24,"YYYYMMDD")&amp;"*"" /stext="" "&amp;TEXT(TFN28-utc_offset/24,"HH")&amp;search_regexp&amp;""""</f>
        <v>#REF!</v>
      </c>
      <c r="TGL28" s="234" t="e">
        <f>astrogrep_path&amp;" /e /r /s /spath="&amp;search_path&amp;" /stypes=""app*"&amp;TFH28&amp;"*"&amp;TEXT(TFO28-utc_offset/24,"YYYYMMDD")&amp;"*"" /stext="" "&amp;TEXT(TFO28-utc_offset/24,"HH")&amp;search_regexp&amp;""""</f>
        <v>#REF!</v>
      </c>
      <c r="TGM28" s="234" t="e">
        <f>astrogrep_path&amp;" /e /r /s /spath="&amp;search_path&amp;" /stypes=""app*"&amp;TFI28&amp;"*"&amp;TEXT(TFP28-utc_offset/24,"YYYYMMDD")&amp;"*"" /stext="" "&amp;TEXT(TFP28-utc_offset/24,"HH")&amp;search_regexp&amp;""""</f>
        <v>#VALUE!</v>
      </c>
      <c r="TGN28" s="234" t="e">
        <f>astrogrep_path&amp;" /e /r /s /spath="&amp;search_path&amp;" /stypes=""app*"&amp;TFJ28&amp;"*"&amp;TEXT(TFQ28-utc_offset/24,"YYYYMMDD")&amp;"*"" /stext="" "&amp;TEXT(TFQ28-utc_offset/24,"HH")&amp;search_regexp&amp;""""</f>
        <v>#VALUE!</v>
      </c>
      <c r="TGO28" s="234" t="e">
        <f>astrogrep_path&amp;" /e /r /s /spath="&amp;search_path&amp;" /stypes=""app*"&amp;TFK28&amp;"*"&amp;TEXT(TFR28-utc_offset/24,"YYYYMMDD")&amp;"*"" /stext="" "&amp;TEXT(TFR28-utc_offset/24,"HH")&amp;search_regexp&amp;""""</f>
        <v>#VALUE!</v>
      </c>
      <c r="TGP28" s="234" t="e">
        <f>astrogrep_path&amp;" /e /r /s /spath="&amp;search_path&amp;" /stypes=""app*"&amp;TFL28&amp;"*"&amp;TEXT(TFS28-utc_offset/24,"YYYYMMDD")&amp;"*"" /stext="" "&amp;TEXT(TFS28-utc_offset/24,"HH")&amp;search_regexp&amp;""""</f>
        <v>#VALUE!</v>
      </c>
      <c r="TGQ28" s="234" t="e">
        <f>astrogrep_path&amp;" /e /r /s /spath="&amp;search_path&amp;" /stypes=""app*"&amp;TFM28&amp;"*"&amp;TEXT(TFT28-utc_offset/24,"YYYYMMDD")&amp;"*"" /stext="" "&amp;TEXT(TFT28-utc_offset/24,"HH")&amp;search_regexp&amp;""""</f>
        <v>#VALUE!</v>
      </c>
      <c r="TGR28" s="234" t="e">
        <f>astrogrep_path&amp;" /e /r /s /spath="&amp;search_path&amp;" /stypes=""app*"&amp;TFN28&amp;"*"&amp;TEXT(TFU28-utc_offset/24,"YYYYMMDD")&amp;"*"" /stext="" "&amp;TEXT(TFU28-utc_offset/24,"HH")&amp;search_regexp&amp;""""</f>
        <v>#REF!</v>
      </c>
      <c r="TGS28" s="234" t="e">
        <f>astrogrep_path&amp;" /e /r /s /spath="&amp;search_path&amp;" /stypes=""app*"&amp;TFO28&amp;"*"&amp;TEXT(TFV28-utc_offset/24,"YYYYMMDD")&amp;"*"" /stext="" "&amp;TEXT(TFV28-utc_offset/24,"HH")&amp;search_regexp&amp;""""</f>
        <v>#REF!</v>
      </c>
      <c r="TGT28" s="234" t="e">
        <f>astrogrep_path&amp;" /e /r /s /spath="&amp;search_path&amp;" /stypes=""app*"&amp;TFP28&amp;"*"&amp;TEXT(TFW28-utc_offset/24,"YYYYMMDD")&amp;"*"" /stext="" "&amp;TEXT(TFW28-utc_offset/24,"HH")&amp;search_regexp&amp;""""</f>
        <v>#REF!</v>
      </c>
      <c r="TGU28" s="234" t="e">
        <f>astrogrep_path&amp;" /e /r /s /spath="&amp;search_path&amp;" /stypes=""app*"&amp;TFQ28&amp;"*"&amp;TEXT(TFX28-utc_offset/24,"YYYYMMDD")&amp;"*"" /stext="" "&amp;TEXT(TFX28-utc_offset/24,"HH")&amp;search_regexp&amp;""""</f>
        <v>#REF!</v>
      </c>
      <c r="TGV28" s="234" t="e">
        <f>astrogrep_path&amp;" /e /r /s /spath="&amp;search_path&amp;" /stypes=""app*"&amp;TFR28&amp;"*"&amp;TEXT(TFY28-utc_offset/24,"YYYYMMDD")&amp;"*"" /stext="" "&amp;TEXT(TFY28-utc_offset/24,"HH")&amp;search_regexp&amp;""""</f>
        <v>#REF!</v>
      </c>
      <c r="TGW28" s="234" t="e">
        <f>astrogrep_path&amp;" /e /r /s /spath="&amp;search_path&amp;" /stypes=""app*"&amp;TFS28&amp;"*"&amp;TEXT(TFZ28-utc_offset/24,"YYYYMMDD")&amp;"*"" /stext="" "&amp;TEXT(TFZ28-utc_offset/24,"HH")&amp;search_regexp&amp;""""</f>
        <v>#REF!</v>
      </c>
      <c r="TGX28" s="234" t="e">
        <f>astrogrep_path&amp;" /e /r /s /spath="&amp;search_path&amp;" /stypes=""app*"&amp;TFT28&amp;"*"&amp;TEXT(TGA28-utc_offset/24,"YYYYMMDD")&amp;"*"" /stext="" "&amp;TEXT(TGA28-utc_offset/24,"HH")&amp;search_regexp&amp;""""</f>
        <v>#REF!</v>
      </c>
      <c r="TGY28" s="234" t="e">
        <f>astrogrep_path&amp;" /e /r /s /spath="&amp;search_path&amp;" /stypes=""app*"&amp;TFU28&amp;"*"&amp;TEXT(TGB28-utc_offset/24,"YYYYMMDD")&amp;"*"" /stext="" "&amp;TEXT(TGB28-utc_offset/24,"HH")&amp;search_regexp&amp;""""</f>
        <v>#REF!</v>
      </c>
      <c r="TGZ28" s="234" t="e">
        <f>astrogrep_path&amp;" /e /r /s /spath="&amp;search_path&amp;" /stypes=""app*"&amp;TFV28&amp;"*"&amp;TEXT(TGC28-utc_offset/24,"YYYYMMDD")&amp;"*"" /stext="" "&amp;TEXT(TGC28-utc_offset/24,"HH")&amp;search_regexp&amp;""""</f>
        <v>#REF!</v>
      </c>
      <c r="THA28" s="234" t="e">
        <f>astrogrep_path&amp;" /e /r /s /spath="&amp;search_path&amp;" /stypes=""app*"&amp;TFW28&amp;"*"&amp;TEXT(TGD28-utc_offset/24,"YYYYMMDD")&amp;"*"" /stext="" "&amp;TEXT(TGD28-utc_offset/24,"HH")&amp;search_regexp&amp;""""</f>
        <v>#REF!</v>
      </c>
      <c r="THB28" s="234" t="e">
        <f>astrogrep_path&amp;" /e /r /s /spath="&amp;search_path&amp;" /stypes=""app*"&amp;TFX28&amp;"*"&amp;TEXT(TGE28-utc_offset/24,"YYYYMMDD")&amp;"*"" /stext="" "&amp;TEXT(TGE28-utc_offset/24,"HH")&amp;search_regexp&amp;""""</f>
        <v>#REF!</v>
      </c>
      <c r="THC28" s="234" t="e">
        <f>astrogrep_path&amp;" /e /r /s /spath="&amp;search_path&amp;" /stypes=""app*"&amp;TFY28&amp;"*"&amp;TEXT(TGF28-utc_offset/24,"YYYYMMDD")&amp;"*"" /stext="" "&amp;TEXT(TGF28-utc_offset/24,"HH")&amp;search_regexp&amp;""""</f>
        <v>#REF!</v>
      </c>
      <c r="THD28" s="234" t="e">
        <f>astrogrep_path&amp;" /e /r /s /spath="&amp;search_path&amp;" /stypes=""app*"&amp;TFZ28&amp;"*"&amp;TEXT(TGG28-utc_offset/24,"YYYYMMDD")&amp;"*"" /stext="" "&amp;TEXT(TGG28-utc_offset/24,"HH")&amp;search_regexp&amp;""""</f>
        <v>#REF!</v>
      </c>
      <c r="THE28" s="234" t="e">
        <f>astrogrep_path&amp;" /e /r /s /spath="&amp;search_path&amp;" /stypes=""app*"&amp;TGA28&amp;"*"&amp;TEXT(TGH28-utc_offset/24,"YYYYMMDD")&amp;"*"" /stext="" "&amp;TEXT(TGH28-utc_offset/24,"HH")&amp;search_regexp&amp;""""</f>
        <v>#REF!</v>
      </c>
      <c r="THF28" s="234" t="e">
        <f>astrogrep_path&amp;" /e /r /s /spath="&amp;search_path&amp;" /stypes=""app*"&amp;TGB28&amp;"*"&amp;TEXT(TGI28-utc_offset/24,"YYYYMMDD")&amp;"*"" /stext="" "&amp;TEXT(TGI28-utc_offset/24,"HH")&amp;search_regexp&amp;""""</f>
        <v>#REF!</v>
      </c>
      <c r="THG28" s="234" t="e">
        <f>astrogrep_path&amp;" /e /r /s /spath="&amp;search_path&amp;" /stypes=""app*"&amp;TGC28&amp;"*"&amp;TEXT(TGJ28-utc_offset/24,"YYYYMMDD")&amp;"*"" /stext="" "&amp;TEXT(TGJ28-utc_offset/24,"HH")&amp;search_regexp&amp;""""</f>
        <v>#REF!</v>
      </c>
      <c r="THH28" s="234" t="e">
        <f>astrogrep_path&amp;" /e /r /s /spath="&amp;search_path&amp;" /stypes=""app*"&amp;TGD28&amp;"*"&amp;TEXT(TGK28-utc_offset/24,"YYYYMMDD")&amp;"*"" /stext="" "&amp;TEXT(TGK28-utc_offset/24,"HH")&amp;search_regexp&amp;""""</f>
        <v>#REF!</v>
      </c>
      <c r="THI28" s="234" t="e">
        <f>astrogrep_path&amp;" /e /r /s /spath="&amp;search_path&amp;" /stypes=""app*"&amp;TGE28&amp;"*"&amp;TEXT(TGL28-utc_offset/24,"YYYYMMDD")&amp;"*"" /stext="" "&amp;TEXT(TGL28-utc_offset/24,"HH")&amp;search_regexp&amp;""""</f>
        <v>#REF!</v>
      </c>
      <c r="THJ28" s="234" t="e">
        <f>astrogrep_path&amp;" /e /r /s /spath="&amp;search_path&amp;" /stypes=""app*"&amp;TGF28&amp;"*"&amp;TEXT(TGM28-utc_offset/24,"YYYYMMDD")&amp;"*"" /stext="" "&amp;TEXT(TGM28-utc_offset/24,"HH")&amp;search_regexp&amp;""""</f>
        <v>#REF!</v>
      </c>
      <c r="THK28" s="234" t="e">
        <f>astrogrep_path&amp;" /e /r /s /spath="&amp;search_path&amp;" /stypes=""app*"&amp;TGG28&amp;"*"&amp;TEXT(TGN28-utc_offset/24,"YYYYMMDD")&amp;"*"" /stext="" "&amp;TEXT(TGN28-utc_offset/24,"HH")&amp;search_regexp&amp;""""</f>
        <v>#REF!</v>
      </c>
      <c r="THL28" s="234" t="e">
        <f>astrogrep_path&amp;" /e /r /s /spath="&amp;search_path&amp;" /stypes=""app*"&amp;TGH28&amp;"*"&amp;TEXT(TGO28-utc_offset/24,"YYYYMMDD")&amp;"*"" /stext="" "&amp;TEXT(TGO28-utc_offset/24,"HH")&amp;search_regexp&amp;""""</f>
        <v>#REF!</v>
      </c>
      <c r="THM28" s="234" t="e">
        <f>astrogrep_path&amp;" /e /r /s /spath="&amp;search_path&amp;" /stypes=""app*"&amp;TGI28&amp;"*"&amp;TEXT(TGP28-utc_offset/24,"YYYYMMDD")&amp;"*"" /stext="" "&amp;TEXT(TGP28-utc_offset/24,"HH")&amp;search_regexp&amp;""""</f>
        <v>#VALUE!</v>
      </c>
      <c r="THN28" s="234" t="e">
        <f>astrogrep_path&amp;" /e /r /s /spath="&amp;search_path&amp;" /stypes=""app*"&amp;TGJ28&amp;"*"&amp;TEXT(TGQ28-utc_offset/24,"YYYYMMDD")&amp;"*"" /stext="" "&amp;TEXT(TGQ28-utc_offset/24,"HH")&amp;search_regexp&amp;""""</f>
        <v>#VALUE!</v>
      </c>
      <c r="THO28" s="234" t="e">
        <f>astrogrep_path&amp;" /e /r /s /spath="&amp;search_path&amp;" /stypes=""app*"&amp;TGK28&amp;"*"&amp;TEXT(TGR28-utc_offset/24,"YYYYMMDD")&amp;"*"" /stext="" "&amp;TEXT(TGR28-utc_offset/24,"HH")&amp;search_regexp&amp;""""</f>
        <v>#REF!</v>
      </c>
      <c r="THP28" s="234" t="e">
        <f>astrogrep_path&amp;" /e /r /s /spath="&amp;search_path&amp;" /stypes=""app*"&amp;TGL28&amp;"*"&amp;TEXT(TGS28-utc_offset/24,"YYYYMMDD")&amp;"*"" /stext="" "&amp;TEXT(TGS28-utc_offset/24,"HH")&amp;search_regexp&amp;""""</f>
        <v>#REF!</v>
      </c>
      <c r="THQ28" s="234" t="e">
        <f>astrogrep_path&amp;" /e /r /s /spath="&amp;search_path&amp;" /stypes=""app*"&amp;TGM28&amp;"*"&amp;TEXT(TGT28-utc_offset/24,"YYYYMMDD")&amp;"*"" /stext="" "&amp;TEXT(TGT28-utc_offset/24,"HH")&amp;search_regexp&amp;""""</f>
        <v>#VALUE!</v>
      </c>
      <c r="THR28" s="234" t="e">
        <f>astrogrep_path&amp;" /e /r /s /spath="&amp;search_path&amp;" /stypes=""app*"&amp;TGN28&amp;"*"&amp;TEXT(TGU28-utc_offset/24,"YYYYMMDD")&amp;"*"" /stext="" "&amp;TEXT(TGU28-utc_offset/24,"HH")&amp;search_regexp&amp;""""</f>
        <v>#VALUE!</v>
      </c>
      <c r="THS28" s="234" t="e">
        <f>astrogrep_path&amp;" /e /r /s /spath="&amp;search_path&amp;" /stypes=""app*"&amp;TGO28&amp;"*"&amp;TEXT(TGV28-utc_offset/24,"YYYYMMDD")&amp;"*"" /stext="" "&amp;TEXT(TGV28-utc_offset/24,"HH")&amp;search_regexp&amp;""""</f>
        <v>#VALUE!</v>
      </c>
      <c r="THT28" s="234" t="e">
        <f>astrogrep_path&amp;" /e /r /s /spath="&amp;search_path&amp;" /stypes=""app*"&amp;TGP28&amp;"*"&amp;TEXT(TGW28-utc_offset/24,"YYYYMMDD")&amp;"*"" /stext="" "&amp;TEXT(TGW28-utc_offset/24,"HH")&amp;search_regexp&amp;""""</f>
        <v>#VALUE!</v>
      </c>
      <c r="THU28" s="234" t="e">
        <f>astrogrep_path&amp;" /e /r /s /spath="&amp;search_path&amp;" /stypes=""app*"&amp;TGQ28&amp;"*"&amp;TEXT(TGX28-utc_offset/24,"YYYYMMDD")&amp;"*"" /stext="" "&amp;TEXT(TGX28-utc_offset/24,"HH")&amp;search_regexp&amp;""""</f>
        <v>#VALUE!</v>
      </c>
      <c r="THV28" s="234" t="e">
        <f>astrogrep_path&amp;" /e /r /s /spath="&amp;search_path&amp;" /stypes=""app*"&amp;TGR28&amp;"*"&amp;TEXT(TGY28-utc_offset/24,"YYYYMMDD")&amp;"*"" /stext="" "&amp;TEXT(TGY28-utc_offset/24,"HH")&amp;search_regexp&amp;""""</f>
        <v>#REF!</v>
      </c>
      <c r="THW28" s="234" t="e">
        <f>astrogrep_path&amp;" /e /r /s /spath="&amp;search_path&amp;" /stypes=""app*"&amp;TGS28&amp;"*"&amp;TEXT(TGZ28-utc_offset/24,"YYYYMMDD")&amp;"*"" /stext="" "&amp;TEXT(TGZ28-utc_offset/24,"HH")&amp;search_regexp&amp;""""</f>
        <v>#REF!</v>
      </c>
      <c r="THX28" s="234" t="e">
        <f>astrogrep_path&amp;" /e /r /s /spath="&amp;search_path&amp;" /stypes=""app*"&amp;TGT28&amp;"*"&amp;TEXT(THA28-utc_offset/24,"YYYYMMDD")&amp;"*"" /stext="" "&amp;TEXT(THA28-utc_offset/24,"HH")&amp;search_regexp&amp;""""</f>
        <v>#REF!</v>
      </c>
      <c r="THY28" s="234" t="e">
        <f>astrogrep_path&amp;" /e /r /s /spath="&amp;search_path&amp;" /stypes=""app*"&amp;TGU28&amp;"*"&amp;TEXT(THB28-utc_offset/24,"YYYYMMDD")&amp;"*"" /stext="" "&amp;TEXT(THB28-utc_offset/24,"HH")&amp;search_regexp&amp;""""</f>
        <v>#REF!</v>
      </c>
      <c r="THZ28" s="234" t="e">
        <f>astrogrep_path&amp;" /e /r /s /spath="&amp;search_path&amp;" /stypes=""app*"&amp;TGV28&amp;"*"&amp;TEXT(THC28-utc_offset/24,"YYYYMMDD")&amp;"*"" /stext="" "&amp;TEXT(THC28-utc_offset/24,"HH")&amp;search_regexp&amp;""""</f>
        <v>#REF!</v>
      </c>
      <c r="TIA28" s="234" t="e">
        <f>astrogrep_path&amp;" /e /r /s /spath="&amp;search_path&amp;" /stypes=""app*"&amp;TGW28&amp;"*"&amp;TEXT(THD28-utc_offset/24,"YYYYMMDD")&amp;"*"" /stext="" "&amp;TEXT(THD28-utc_offset/24,"HH")&amp;search_regexp&amp;""""</f>
        <v>#REF!</v>
      </c>
      <c r="TIB28" s="234" t="e">
        <f>astrogrep_path&amp;" /e /r /s /spath="&amp;search_path&amp;" /stypes=""app*"&amp;TGX28&amp;"*"&amp;TEXT(THE28-utc_offset/24,"YYYYMMDD")&amp;"*"" /stext="" "&amp;TEXT(THE28-utc_offset/24,"HH")&amp;search_regexp&amp;""""</f>
        <v>#REF!</v>
      </c>
      <c r="TIC28" s="234" t="e">
        <f>astrogrep_path&amp;" /e /r /s /spath="&amp;search_path&amp;" /stypes=""app*"&amp;TGY28&amp;"*"&amp;TEXT(THF28-utc_offset/24,"YYYYMMDD")&amp;"*"" /stext="" "&amp;TEXT(THF28-utc_offset/24,"HH")&amp;search_regexp&amp;""""</f>
        <v>#REF!</v>
      </c>
      <c r="TID28" s="234" t="e">
        <f>astrogrep_path&amp;" /e /r /s /spath="&amp;search_path&amp;" /stypes=""app*"&amp;TGZ28&amp;"*"&amp;TEXT(THG28-utc_offset/24,"YYYYMMDD")&amp;"*"" /stext="" "&amp;TEXT(THG28-utc_offset/24,"HH")&amp;search_regexp&amp;""""</f>
        <v>#REF!</v>
      </c>
      <c r="TIE28" s="234" t="e">
        <f>astrogrep_path&amp;" /e /r /s /spath="&amp;search_path&amp;" /stypes=""app*"&amp;THA28&amp;"*"&amp;TEXT(THH28-utc_offset/24,"YYYYMMDD")&amp;"*"" /stext="" "&amp;TEXT(THH28-utc_offset/24,"HH")&amp;search_regexp&amp;""""</f>
        <v>#REF!</v>
      </c>
      <c r="TIF28" s="234" t="e">
        <f>astrogrep_path&amp;" /e /r /s /spath="&amp;search_path&amp;" /stypes=""app*"&amp;THB28&amp;"*"&amp;TEXT(THI28-utc_offset/24,"YYYYMMDD")&amp;"*"" /stext="" "&amp;TEXT(THI28-utc_offset/24,"HH")&amp;search_regexp&amp;""""</f>
        <v>#REF!</v>
      </c>
      <c r="TIG28" s="234" t="e">
        <f>astrogrep_path&amp;" /e /r /s /spath="&amp;search_path&amp;" /stypes=""app*"&amp;THC28&amp;"*"&amp;TEXT(THJ28-utc_offset/24,"YYYYMMDD")&amp;"*"" /stext="" "&amp;TEXT(THJ28-utc_offset/24,"HH")&amp;search_regexp&amp;""""</f>
        <v>#REF!</v>
      </c>
      <c r="TIH28" s="234" t="e">
        <f>astrogrep_path&amp;" /e /r /s /spath="&amp;search_path&amp;" /stypes=""app*"&amp;THD28&amp;"*"&amp;TEXT(THK28-utc_offset/24,"YYYYMMDD")&amp;"*"" /stext="" "&amp;TEXT(THK28-utc_offset/24,"HH")&amp;search_regexp&amp;""""</f>
        <v>#REF!</v>
      </c>
      <c r="TII28" s="234" t="e">
        <f>astrogrep_path&amp;" /e /r /s /spath="&amp;search_path&amp;" /stypes=""app*"&amp;THE28&amp;"*"&amp;TEXT(THL28-utc_offset/24,"YYYYMMDD")&amp;"*"" /stext="" "&amp;TEXT(THL28-utc_offset/24,"HH")&amp;search_regexp&amp;""""</f>
        <v>#REF!</v>
      </c>
      <c r="TIJ28" s="234" t="e">
        <f>astrogrep_path&amp;" /e /r /s /spath="&amp;search_path&amp;" /stypes=""app*"&amp;THF28&amp;"*"&amp;TEXT(THM28-utc_offset/24,"YYYYMMDD")&amp;"*"" /stext="" "&amp;TEXT(THM28-utc_offset/24,"HH")&amp;search_regexp&amp;""""</f>
        <v>#REF!</v>
      </c>
      <c r="TIK28" s="234" t="e">
        <f>astrogrep_path&amp;" /e /r /s /spath="&amp;search_path&amp;" /stypes=""app*"&amp;THG28&amp;"*"&amp;TEXT(THN28-utc_offset/24,"YYYYMMDD")&amp;"*"" /stext="" "&amp;TEXT(THN28-utc_offset/24,"HH")&amp;search_regexp&amp;""""</f>
        <v>#REF!</v>
      </c>
      <c r="TIL28" s="234" t="e">
        <f>astrogrep_path&amp;" /e /r /s /spath="&amp;search_path&amp;" /stypes=""app*"&amp;THH28&amp;"*"&amp;TEXT(THO28-utc_offset/24,"YYYYMMDD")&amp;"*"" /stext="" "&amp;TEXT(THO28-utc_offset/24,"HH")&amp;search_regexp&amp;""""</f>
        <v>#REF!</v>
      </c>
      <c r="TIM28" s="234" t="e">
        <f>astrogrep_path&amp;" /e /r /s /spath="&amp;search_path&amp;" /stypes=""app*"&amp;THI28&amp;"*"&amp;TEXT(THP28-utc_offset/24,"YYYYMMDD")&amp;"*"" /stext="" "&amp;TEXT(THP28-utc_offset/24,"HH")&amp;search_regexp&amp;""""</f>
        <v>#REF!</v>
      </c>
      <c r="TIN28" s="234" t="e">
        <f>astrogrep_path&amp;" /e /r /s /spath="&amp;search_path&amp;" /stypes=""app*"&amp;THJ28&amp;"*"&amp;TEXT(THQ28-utc_offset/24,"YYYYMMDD")&amp;"*"" /stext="" "&amp;TEXT(THQ28-utc_offset/24,"HH")&amp;search_regexp&amp;""""</f>
        <v>#REF!</v>
      </c>
      <c r="TIO28" s="234" t="e">
        <f>astrogrep_path&amp;" /e /r /s /spath="&amp;search_path&amp;" /stypes=""app*"&amp;THK28&amp;"*"&amp;TEXT(THR28-utc_offset/24,"YYYYMMDD")&amp;"*"" /stext="" "&amp;TEXT(THR28-utc_offset/24,"HH")&amp;search_regexp&amp;""""</f>
        <v>#REF!</v>
      </c>
      <c r="TIP28" s="234" t="e">
        <f>astrogrep_path&amp;" /e /r /s /spath="&amp;search_path&amp;" /stypes=""app*"&amp;THL28&amp;"*"&amp;TEXT(THS28-utc_offset/24,"YYYYMMDD")&amp;"*"" /stext="" "&amp;TEXT(THS28-utc_offset/24,"HH")&amp;search_regexp&amp;""""</f>
        <v>#REF!</v>
      </c>
      <c r="TIQ28" s="234" t="e">
        <f>astrogrep_path&amp;" /e /r /s /spath="&amp;search_path&amp;" /stypes=""app*"&amp;THM28&amp;"*"&amp;TEXT(THT28-utc_offset/24,"YYYYMMDD")&amp;"*"" /stext="" "&amp;TEXT(THT28-utc_offset/24,"HH")&amp;search_regexp&amp;""""</f>
        <v>#VALUE!</v>
      </c>
      <c r="TIR28" s="234" t="e">
        <f>astrogrep_path&amp;" /e /r /s /spath="&amp;search_path&amp;" /stypes=""app*"&amp;THN28&amp;"*"&amp;TEXT(THU28-utc_offset/24,"YYYYMMDD")&amp;"*"" /stext="" "&amp;TEXT(THU28-utc_offset/24,"HH")&amp;search_regexp&amp;""""</f>
        <v>#VALUE!</v>
      </c>
      <c r="TIS28" s="234" t="e">
        <f>astrogrep_path&amp;" /e /r /s /spath="&amp;search_path&amp;" /stypes=""app*"&amp;THO28&amp;"*"&amp;TEXT(THV28-utc_offset/24,"YYYYMMDD")&amp;"*"" /stext="" "&amp;TEXT(THV28-utc_offset/24,"HH")&amp;search_regexp&amp;""""</f>
        <v>#REF!</v>
      </c>
      <c r="TIT28" s="234" t="e">
        <f>astrogrep_path&amp;" /e /r /s /spath="&amp;search_path&amp;" /stypes=""app*"&amp;THP28&amp;"*"&amp;TEXT(THW28-utc_offset/24,"YYYYMMDD")&amp;"*"" /stext="" "&amp;TEXT(THW28-utc_offset/24,"HH")&amp;search_regexp&amp;""""</f>
        <v>#REF!</v>
      </c>
      <c r="TIU28" s="234" t="e">
        <f>astrogrep_path&amp;" /e /r /s /spath="&amp;search_path&amp;" /stypes=""app*"&amp;THQ28&amp;"*"&amp;TEXT(THX28-utc_offset/24,"YYYYMMDD")&amp;"*"" /stext="" "&amp;TEXT(THX28-utc_offset/24,"HH")&amp;search_regexp&amp;""""</f>
        <v>#VALUE!</v>
      </c>
      <c r="TIV28" s="234" t="e">
        <f>astrogrep_path&amp;" /e /r /s /spath="&amp;search_path&amp;" /stypes=""app*"&amp;THR28&amp;"*"&amp;TEXT(THY28-utc_offset/24,"YYYYMMDD")&amp;"*"" /stext="" "&amp;TEXT(THY28-utc_offset/24,"HH")&amp;search_regexp&amp;""""</f>
        <v>#VALUE!</v>
      </c>
      <c r="TIW28" s="234" t="e">
        <f>astrogrep_path&amp;" /e /r /s /spath="&amp;search_path&amp;" /stypes=""app*"&amp;THS28&amp;"*"&amp;TEXT(THZ28-utc_offset/24,"YYYYMMDD")&amp;"*"" /stext="" "&amp;TEXT(THZ28-utc_offset/24,"HH")&amp;search_regexp&amp;""""</f>
        <v>#VALUE!</v>
      </c>
      <c r="TIX28" s="234" t="e">
        <f>astrogrep_path&amp;" /e /r /s /spath="&amp;search_path&amp;" /stypes=""app*"&amp;THT28&amp;"*"&amp;TEXT(TIA28-utc_offset/24,"YYYYMMDD")&amp;"*"" /stext="" "&amp;TEXT(TIA28-utc_offset/24,"HH")&amp;search_regexp&amp;""""</f>
        <v>#VALUE!</v>
      </c>
      <c r="TIY28" s="234" t="e">
        <f>astrogrep_path&amp;" /e /r /s /spath="&amp;search_path&amp;" /stypes=""app*"&amp;THU28&amp;"*"&amp;TEXT(TIB28-utc_offset/24,"YYYYMMDD")&amp;"*"" /stext="" "&amp;TEXT(TIB28-utc_offset/24,"HH")&amp;search_regexp&amp;""""</f>
        <v>#VALUE!</v>
      </c>
      <c r="TIZ28" s="234" t="e">
        <f>astrogrep_path&amp;" /e /r /s /spath="&amp;search_path&amp;" /stypes=""app*"&amp;THV28&amp;"*"&amp;TEXT(TIC28-utc_offset/24,"YYYYMMDD")&amp;"*"" /stext="" "&amp;TEXT(TIC28-utc_offset/24,"HH")&amp;search_regexp&amp;""""</f>
        <v>#REF!</v>
      </c>
      <c r="TJA28" s="234" t="e">
        <f>astrogrep_path&amp;" /e /r /s /spath="&amp;search_path&amp;" /stypes=""app*"&amp;THW28&amp;"*"&amp;TEXT(TID28-utc_offset/24,"YYYYMMDD")&amp;"*"" /stext="" "&amp;TEXT(TID28-utc_offset/24,"HH")&amp;search_regexp&amp;""""</f>
        <v>#REF!</v>
      </c>
      <c r="TJB28" s="234" t="e">
        <f>astrogrep_path&amp;" /e /r /s /spath="&amp;search_path&amp;" /stypes=""app*"&amp;THX28&amp;"*"&amp;TEXT(TIE28-utc_offset/24,"YYYYMMDD")&amp;"*"" /stext="" "&amp;TEXT(TIE28-utc_offset/24,"HH")&amp;search_regexp&amp;""""</f>
        <v>#REF!</v>
      </c>
      <c r="TJC28" s="234" t="e">
        <f>astrogrep_path&amp;" /e /r /s /spath="&amp;search_path&amp;" /stypes=""app*"&amp;THY28&amp;"*"&amp;TEXT(TIF28-utc_offset/24,"YYYYMMDD")&amp;"*"" /stext="" "&amp;TEXT(TIF28-utc_offset/24,"HH")&amp;search_regexp&amp;""""</f>
        <v>#REF!</v>
      </c>
      <c r="TJD28" s="234" t="e">
        <f>astrogrep_path&amp;" /e /r /s /spath="&amp;search_path&amp;" /stypes=""app*"&amp;THZ28&amp;"*"&amp;TEXT(TIG28-utc_offset/24,"YYYYMMDD")&amp;"*"" /stext="" "&amp;TEXT(TIG28-utc_offset/24,"HH")&amp;search_regexp&amp;""""</f>
        <v>#REF!</v>
      </c>
      <c r="TJE28" s="234" t="e">
        <f>astrogrep_path&amp;" /e /r /s /spath="&amp;search_path&amp;" /stypes=""app*"&amp;TIA28&amp;"*"&amp;TEXT(TIH28-utc_offset/24,"YYYYMMDD")&amp;"*"" /stext="" "&amp;TEXT(TIH28-utc_offset/24,"HH")&amp;search_regexp&amp;""""</f>
        <v>#REF!</v>
      </c>
      <c r="TJF28" s="234" t="e">
        <f>astrogrep_path&amp;" /e /r /s /spath="&amp;search_path&amp;" /stypes=""app*"&amp;TIB28&amp;"*"&amp;TEXT(TII28-utc_offset/24,"YYYYMMDD")&amp;"*"" /stext="" "&amp;TEXT(TII28-utc_offset/24,"HH")&amp;search_regexp&amp;""""</f>
        <v>#REF!</v>
      </c>
      <c r="TJG28" s="234" t="e">
        <f>astrogrep_path&amp;" /e /r /s /spath="&amp;search_path&amp;" /stypes=""app*"&amp;TIC28&amp;"*"&amp;TEXT(TIJ28-utc_offset/24,"YYYYMMDD")&amp;"*"" /stext="" "&amp;TEXT(TIJ28-utc_offset/24,"HH")&amp;search_regexp&amp;""""</f>
        <v>#REF!</v>
      </c>
      <c r="TJH28" s="234" t="e">
        <f>astrogrep_path&amp;" /e /r /s /spath="&amp;search_path&amp;" /stypes=""app*"&amp;TID28&amp;"*"&amp;TEXT(TIK28-utc_offset/24,"YYYYMMDD")&amp;"*"" /stext="" "&amp;TEXT(TIK28-utc_offset/24,"HH")&amp;search_regexp&amp;""""</f>
        <v>#REF!</v>
      </c>
      <c r="TJI28" s="234" t="e">
        <f>astrogrep_path&amp;" /e /r /s /spath="&amp;search_path&amp;" /stypes=""app*"&amp;TIE28&amp;"*"&amp;TEXT(TIL28-utc_offset/24,"YYYYMMDD")&amp;"*"" /stext="" "&amp;TEXT(TIL28-utc_offset/24,"HH")&amp;search_regexp&amp;""""</f>
        <v>#REF!</v>
      </c>
      <c r="TJJ28" s="234" t="e">
        <f>astrogrep_path&amp;" /e /r /s /spath="&amp;search_path&amp;" /stypes=""app*"&amp;TIF28&amp;"*"&amp;TEXT(TIM28-utc_offset/24,"YYYYMMDD")&amp;"*"" /stext="" "&amp;TEXT(TIM28-utc_offset/24,"HH")&amp;search_regexp&amp;""""</f>
        <v>#REF!</v>
      </c>
      <c r="TJK28" s="234" t="e">
        <f>astrogrep_path&amp;" /e /r /s /spath="&amp;search_path&amp;" /stypes=""app*"&amp;TIG28&amp;"*"&amp;TEXT(TIN28-utc_offset/24,"YYYYMMDD")&amp;"*"" /stext="" "&amp;TEXT(TIN28-utc_offset/24,"HH")&amp;search_regexp&amp;""""</f>
        <v>#REF!</v>
      </c>
      <c r="TJL28" s="234" t="e">
        <f>astrogrep_path&amp;" /e /r /s /spath="&amp;search_path&amp;" /stypes=""app*"&amp;TIH28&amp;"*"&amp;TEXT(TIO28-utc_offset/24,"YYYYMMDD")&amp;"*"" /stext="" "&amp;TEXT(TIO28-utc_offset/24,"HH")&amp;search_regexp&amp;""""</f>
        <v>#REF!</v>
      </c>
      <c r="TJM28" s="234" t="e">
        <f>astrogrep_path&amp;" /e /r /s /spath="&amp;search_path&amp;" /stypes=""app*"&amp;TII28&amp;"*"&amp;TEXT(TIP28-utc_offset/24,"YYYYMMDD")&amp;"*"" /stext="" "&amp;TEXT(TIP28-utc_offset/24,"HH")&amp;search_regexp&amp;""""</f>
        <v>#REF!</v>
      </c>
      <c r="TJN28" s="234" t="e">
        <f>astrogrep_path&amp;" /e /r /s /spath="&amp;search_path&amp;" /stypes=""app*"&amp;TIJ28&amp;"*"&amp;TEXT(TIQ28-utc_offset/24,"YYYYMMDD")&amp;"*"" /stext="" "&amp;TEXT(TIQ28-utc_offset/24,"HH")&amp;search_regexp&amp;""""</f>
        <v>#REF!</v>
      </c>
      <c r="TJO28" s="234" t="e">
        <f>astrogrep_path&amp;" /e /r /s /spath="&amp;search_path&amp;" /stypes=""app*"&amp;TIK28&amp;"*"&amp;TEXT(TIR28-utc_offset/24,"YYYYMMDD")&amp;"*"" /stext="" "&amp;TEXT(TIR28-utc_offset/24,"HH")&amp;search_regexp&amp;""""</f>
        <v>#REF!</v>
      </c>
      <c r="TJP28" s="234" t="e">
        <f>astrogrep_path&amp;" /e /r /s /spath="&amp;search_path&amp;" /stypes=""app*"&amp;TIL28&amp;"*"&amp;TEXT(TIS28-utc_offset/24,"YYYYMMDD")&amp;"*"" /stext="" "&amp;TEXT(TIS28-utc_offset/24,"HH")&amp;search_regexp&amp;""""</f>
        <v>#REF!</v>
      </c>
      <c r="TJQ28" s="234" t="e">
        <f>astrogrep_path&amp;" /e /r /s /spath="&amp;search_path&amp;" /stypes=""app*"&amp;TIM28&amp;"*"&amp;TEXT(TIT28-utc_offset/24,"YYYYMMDD")&amp;"*"" /stext="" "&amp;TEXT(TIT28-utc_offset/24,"HH")&amp;search_regexp&amp;""""</f>
        <v>#REF!</v>
      </c>
      <c r="TJR28" s="234" t="e">
        <f>astrogrep_path&amp;" /e /r /s /spath="&amp;search_path&amp;" /stypes=""app*"&amp;TIN28&amp;"*"&amp;TEXT(TIU28-utc_offset/24,"YYYYMMDD")&amp;"*"" /stext="" "&amp;TEXT(TIU28-utc_offset/24,"HH")&amp;search_regexp&amp;""""</f>
        <v>#REF!</v>
      </c>
      <c r="TJS28" s="234" t="e">
        <f>astrogrep_path&amp;" /e /r /s /spath="&amp;search_path&amp;" /stypes=""app*"&amp;TIO28&amp;"*"&amp;TEXT(TIV28-utc_offset/24,"YYYYMMDD")&amp;"*"" /stext="" "&amp;TEXT(TIV28-utc_offset/24,"HH")&amp;search_regexp&amp;""""</f>
        <v>#REF!</v>
      </c>
      <c r="TJT28" s="234" t="e">
        <f>astrogrep_path&amp;" /e /r /s /spath="&amp;search_path&amp;" /stypes=""app*"&amp;TIP28&amp;"*"&amp;TEXT(TIW28-utc_offset/24,"YYYYMMDD")&amp;"*"" /stext="" "&amp;TEXT(TIW28-utc_offset/24,"HH")&amp;search_regexp&amp;""""</f>
        <v>#REF!</v>
      </c>
      <c r="TJU28" s="234" t="e">
        <f>astrogrep_path&amp;" /e /r /s /spath="&amp;search_path&amp;" /stypes=""app*"&amp;TIQ28&amp;"*"&amp;TEXT(TIX28-utc_offset/24,"YYYYMMDD")&amp;"*"" /stext="" "&amp;TEXT(TIX28-utc_offset/24,"HH")&amp;search_regexp&amp;""""</f>
        <v>#VALUE!</v>
      </c>
      <c r="TJV28" s="234" t="e">
        <f>astrogrep_path&amp;" /e /r /s /spath="&amp;search_path&amp;" /stypes=""app*"&amp;TIR28&amp;"*"&amp;TEXT(TIY28-utc_offset/24,"YYYYMMDD")&amp;"*"" /stext="" "&amp;TEXT(TIY28-utc_offset/24,"HH")&amp;search_regexp&amp;""""</f>
        <v>#VALUE!</v>
      </c>
      <c r="TJW28" s="234" t="e">
        <f>astrogrep_path&amp;" /e /r /s /spath="&amp;search_path&amp;" /stypes=""app*"&amp;TIS28&amp;"*"&amp;TEXT(TIZ28-utc_offset/24,"YYYYMMDD")&amp;"*"" /stext="" "&amp;TEXT(TIZ28-utc_offset/24,"HH")&amp;search_regexp&amp;""""</f>
        <v>#REF!</v>
      </c>
      <c r="TJX28" s="234" t="e">
        <f>astrogrep_path&amp;" /e /r /s /spath="&amp;search_path&amp;" /stypes=""app*"&amp;TIT28&amp;"*"&amp;TEXT(TJA28-utc_offset/24,"YYYYMMDD")&amp;"*"" /stext="" "&amp;TEXT(TJA28-utc_offset/24,"HH")&amp;search_regexp&amp;""""</f>
        <v>#REF!</v>
      </c>
      <c r="TJY28" s="234" t="e">
        <f>astrogrep_path&amp;" /e /r /s /spath="&amp;search_path&amp;" /stypes=""app*"&amp;TIU28&amp;"*"&amp;TEXT(TJB28-utc_offset/24,"YYYYMMDD")&amp;"*"" /stext="" "&amp;TEXT(TJB28-utc_offset/24,"HH")&amp;search_regexp&amp;""""</f>
        <v>#VALUE!</v>
      </c>
      <c r="TJZ28" s="234" t="e">
        <f>astrogrep_path&amp;" /e /r /s /spath="&amp;search_path&amp;" /stypes=""app*"&amp;TIV28&amp;"*"&amp;TEXT(TJC28-utc_offset/24,"YYYYMMDD")&amp;"*"" /stext="" "&amp;TEXT(TJC28-utc_offset/24,"HH")&amp;search_regexp&amp;""""</f>
        <v>#VALUE!</v>
      </c>
      <c r="TKA28" s="234" t="e">
        <f>astrogrep_path&amp;" /e /r /s /spath="&amp;search_path&amp;" /stypes=""app*"&amp;TIW28&amp;"*"&amp;TEXT(TJD28-utc_offset/24,"YYYYMMDD")&amp;"*"" /stext="" "&amp;TEXT(TJD28-utc_offset/24,"HH")&amp;search_regexp&amp;""""</f>
        <v>#VALUE!</v>
      </c>
      <c r="TKB28" s="234" t="e">
        <f>astrogrep_path&amp;" /e /r /s /spath="&amp;search_path&amp;" /stypes=""app*"&amp;TIX28&amp;"*"&amp;TEXT(TJE28-utc_offset/24,"YYYYMMDD")&amp;"*"" /stext="" "&amp;TEXT(TJE28-utc_offset/24,"HH")&amp;search_regexp&amp;""""</f>
        <v>#VALUE!</v>
      </c>
      <c r="TKC28" s="234" t="e">
        <f>astrogrep_path&amp;" /e /r /s /spath="&amp;search_path&amp;" /stypes=""app*"&amp;TIY28&amp;"*"&amp;TEXT(TJF28-utc_offset/24,"YYYYMMDD")&amp;"*"" /stext="" "&amp;TEXT(TJF28-utc_offset/24,"HH")&amp;search_regexp&amp;""""</f>
        <v>#VALUE!</v>
      </c>
      <c r="TKD28" s="234" t="e">
        <f>astrogrep_path&amp;" /e /r /s /spath="&amp;search_path&amp;" /stypes=""app*"&amp;TIZ28&amp;"*"&amp;TEXT(TJG28-utc_offset/24,"YYYYMMDD")&amp;"*"" /stext="" "&amp;TEXT(TJG28-utc_offset/24,"HH")&amp;search_regexp&amp;""""</f>
        <v>#REF!</v>
      </c>
      <c r="TKE28" s="234" t="e">
        <f>astrogrep_path&amp;" /e /r /s /spath="&amp;search_path&amp;" /stypes=""app*"&amp;TJA28&amp;"*"&amp;TEXT(TJH28-utc_offset/24,"YYYYMMDD")&amp;"*"" /stext="" "&amp;TEXT(TJH28-utc_offset/24,"HH")&amp;search_regexp&amp;""""</f>
        <v>#REF!</v>
      </c>
      <c r="TKF28" s="234" t="e">
        <f>astrogrep_path&amp;" /e /r /s /spath="&amp;search_path&amp;" /stypes=""app*"&amp;TJB28&amp;"*"&amp;TEXT(TJI28-utc_offset/24,"YYYYMMDD")&amp;"*"" /stext="" "&amp;TEXT(TJI28-utc_offset/24,"HH")&amp;search_regexp&amp;""""</f>
        <v>#REF!</v>
      </c>
      <c r="TKG28" s="234" t="e">
        <f>astrogrep_path&amp;" /e /r /s /spath="&amp;search_path&amp;" /stypes=""app*"&amp;TJC28&amp;"*"&amp;TEXT(TJJ28-utc_offset/24,"YYYYMMDD")&amp;"*"" /stext="" "&amp;TEXT(TJJ28-utc_offset/24,"HH")&amp;search_regexp&amp;""""</f>
        <v>#REF!</v>
      </c>
      <c r="TKH28" s="234" t="e">
        <f>astrogrep_path&amp;" /e /r /s /spath="&amp;search_path&amp;" /stypes=""app*"&amp;TJD28&amp;"*"&amp;TEXT(TJK28-utc_offset/24,"YYYYMMDD")&amp;"*"" /stext="" "&amp;TEXT(TJK28-utc_offset/24,"HH")&amp;search_regexp&amp;""""</f>
        <v>#REF!</v>
      </c>
      <c r="TKI28" s="234" t="e">
        <f>astrogrep_path&amp;" /e /r /s /spath="&amp;search_path&amp;" /stypes=""app*"&amp;TJE28&amp;"*"&amp;TEXT(TJL28-utc_offset/24,"YYYYMMDD")&amp;"*"" /stext="" "&amp;TEXT(TJL28-utc_offset/24,"HH")&amp;search_regexp&amp;""""</f>
        <v>#REF!</v>
      </c>
      <c r="TKJ28" s="234" t="e">
        <f>astrogrep_path&amp;" /e /r /s /spath="&amp;search_path&amp;" /stypes=""app*"&amp;TJF28&amp;"*"&amp;TEXT(TJM28-utc_offset/24,"YYYYMMDD")&amp;"*"" /stext="" "&amp;TEXT(TJM28-utc_offset/24,"HH")&amp;search_regexp&amp;""""</f>
        <v>#REF!</v>
      </c>
      <c r="TKK28" s="234" t="e">
        <f>astrogrep_path&amp;" /e /r /s /spath="&amp;search_path&amp;" /stypes=""app*"&amp;TJG28&amp;"*"&amp;TEXT(TJN28-utc_offset/24,"YYYYMMDD")&amp;"*"" /stext="" "&amp;TEXT(TJN28-utc_offset/24,"HH")&amp;search_regexp&amp;""""</f>
        <v>#REF!</v>
      </c>
      <c r="TKL28" s="234" t="e">
        <f>astrogrep_path&amp;" /e /r /s /spath="&amp;search_path&amp;" /stypes=""app*"&amp;TJH28&amp;"*"&amp;TEXT(TJO28-utc_offset/24,"YYYYMMDD")&amp;"*"" /stext="" "&amp;TEXT(TJO28-utc_offset/24,"HH")&amp;search_regexp&amp;""""</f>
        <v>#REF!</v>
      </c>
      <c r="TKM28" s="234" t="e">
        <f>astrogrep_path&amp;" /e /r /s /spath="&amp;search_path&amp;" /stypes=""app*"&amp;TJI28&amp;"*"&amp;TEXT(TJP28-utc_offset/24,"YYYYMMDD")&amp;"*"" /stext="" "&amp;TEXT(TJP28-utc_offset/24,"HH")&amp;search_regexp&amp;""""</f>
        <v>#REF!</v>
      </c>
      <c r="TKN28" s="234" t="e">
        <f>astrogrep_path&amp;" /e /r /s /spath="&amp;search_path&amp;" /stypes=""app*"&amp;TJJ28&amp;"*"&amp;TEXT(TJQ28-utc_offset/24,"YYYYMMDD")&amp;"*"" /stext="" "&amp;TEXT(TJQ28-utc_offset/24,"HH")&amp;search_regexp&amp;""""</f>
        <v>#REF!</v>
      </c>
      <c r="TKO28" s="234" t="e">
        <f>astrogrep_path&amp;" /e /r /s /spath="&amp;search_path&amp;" /stypes=""app*"&amp;TJK28&amp;"*"&amp;TEXT(TJR28-utc_offset/24,"YYYYMMDD")&amp;"*"" /stext="" "&amp;TEXT(TJR28-utc_offset/24,"HH")&amp;search_regexp&amp;""""</f>
        <v>#REF!</v>
      </c>
      <c r="TKP28" s="234" t="e">
        <f>astrogrep_path&amp;" /e /r /s /spath="&amp;search_path&amp;" /stypes=""app*"&amp;TJL28&amp;"*"&amp;TEXT(TJS28-utc_offset/24,"YYYYMMDD")&amp;"*"" /stext="" "&amp;TEXT(TJS28-utc_offset/24,"HH")&amp;search_regexp&amp;""""</f>
        <v>#REF!</v>
      </c>
      <c r="TKQ28" s="234" t="e">
        <f>astrogrep_path&amp;" /e /r /s /spath="&amp;search_path&amp;" /stypes=""app*"&amp;TJM28&amp;"*"&amp;TEXT(TJT28-utc_offset/24,"YYYYMMDD")&amp;"*"" /stext="" "&amp;TEXT(TJT28-utc_offset/24,"HH")&amp;search_regexp&amp;""""</f>
        <v>#REF!</v>
      </c>
      <c r="TKR28" s="234" t="e">
        <f>astrogrep_path&amp;" /e /r /s /spath="&amp;search_path&amp;" /stypes=""app*"&amp;TJN28&amp;"*"&amp;TEXT(TJU28-utc_offset/24,"YYYYMMDD")&amp;"*"" /stext="" "&amp;TEXT(TJU28-utc_offset/24,"HH")&amp;search_regexp&amp;""""</f>
        <v>#REF!</v>
      </c>
      <c r="TKS28" s="234" t="e">
        <f>astrogrep_path&amp;" /e /r /s /spath="&amp;search_path&amp;" /stypes=""app*"&amp;TJO28&amp;"*"&amp;TEXT(TJV28-utc_offset/24,"YYYYMMDD")&amp;"*"" /stext="" "&amp;TEXT(TJV28-utc_offset/24,"HH")&amp;search_regexp&amp;""""</f>
        <v>#REF!</v>
      </c>
      <c r="TKT28" s="234" t="e">
        <f>astrogrep_path&amp;" /e /r /s /spath="&amp;search_path&amp;" /stypes=""app*"&amp;TJP28&amp;"*"&amp;TEXT(TJW28-utc_offset/24,"YYYYMMDD")&amp;"*"" /stext="" "&amp;TEXT(TJW28-utc_offset/24,"HH")&amp;search_regexp&amp;""""</f>
        <v>#REF!</v>
      </c>
      <c r="TKU28" s="234" t="e">
        <f>astrogrep_path&amp;" /e /r /s /spath="&amp;search_path&amp;" /stypes=""app*"&amp;TJQ28&amp;"*"&amp;TEXT(TJX28-utc_offset/24,"YYYYMMDD")&amp;"*"" /stext="" "&amp;TEXT(TJX28-utc_offset/24,"HH")&amp;search_regexp&amp;""""</f>
        <v>#REF!</v>
      </c>
      <c r="TKV28" s="234" t="e">
        <f>astrogrep_path&amp;" /e /r /s /spath="&amp;search_path&amp;" /stypes=""app*"&amp;TJR28&amp;"*"&amp;TEXT(TJY28-utc_offset/24,"YYYYMMDD")&amp;"*"" /stext="" "&amp;TEXT(TJY28-utc_offset/24,"HH")&amp;search_regexp&amp;""""</f>
        <v>#REF!</v>
      </c>
      <c r="TKW28" s="234" t="e">
        <f>astrogrep_path&amp;" /e /r /s /spath="&amp;search_path&amp;" /stypes=""app*"&amp;TJS28&amp;"*"&amp;TEXT(TJZ28-utc_offset/24,"YYYYMMDD")&amp;"*"" /stext="" "&amp;TEXT(TJZ28-utc_offset/24,"HH")&amp;search_regexp&amp;""""</f>
        <v>#REF!</v>
      </c>
      <c r="TKX28" s="234" t="e">
        <f>astrogrep_path&amp;" /e /r /s /spath="&amp;search_path&amp;" /stypes=""app*"&amp;TJT28&amp;"*"&amp;TEXT(TKA28-utc_offset/24,"YYYYMMDD")&amp;"*"" /stext="" "&amp;TEXT(TKA28-utc_offset/24,"HH")&amp;search_regexp&amp;""""</f>
        <v>#REF!</v>
      </c>
      <c r="TKY28" s="234" t="e">
        <f>astrogrep_path&amp;" /e /r /s /spath="&amp;search_path&amp;" /stypes=""app*"&amp;TJU28&amp;"*"&amp;TEXT(TKB28-utc_offset/24,"YYYYMMDD")&amp;"*"" /stext="" "&amp;TEXT(TKB28-utc_offset/24,"HH")&amp;search_regexp&amp;""""</f>
        <v>#VALUE!</v>
      </c>
      <c r="TKZ28" s="234" t="e">
        <f>astrogrep_path&amp;" /e /r /s /spath="&amp;search_path&amp;" /stypes=""app*"&amp;TJV28&amp;"*"&amp;TEXT(TKC28-utc_offset/24,"YYYYMMDD")&amp;"*"" /stext="" "&amp;TEXT(TKC28-utc_offset/24,"HH")&amp;search_regexp&amp;""""</f>
        <v>#VALUE!</v>
      </c>
      <c r="TLA28" s="234" t="e">
        <f>astrogrep_path&amp;" /e /r /s /spath="&amp;search_path&amp;" /stypes=""app*"&amp;TJW28&amp;"*"&amp;TEXT(TKD28-utc_offset/24,"YYYYMMDD")&amp;"*"" /stext="" "&amp;TEXT(TKD28-utc_offset/24,"HH")&amp;search_regexp&amp;""""</f>
        <v>#REF!</v>
      </c>
      <c r="TLB28" s="234" t="e">
        <f>astrogrep_path&amp;" /e /r /s /spath="&amp;search_path&amp;" /stypes=""app*"&amp;TJX28&amp;"*"&amp;TEXT(TKE28-utc_offset/24,"YYYYMMDD")&amp;"*"" /stext="" "&amp;TEXT(TKE28-utc_offset/24,"HH")&amp;search_regexp&amp;""""</f>
        <v>#REF!</v>
      </c>
      <c r="TLC28" s="234" t="e">
        <f>astrogrep_path&amp;" /e /r /s /spath="&amp;search_path&amp;" /stypes=""app*"&amp;TJY28&amp;"*"&amp;TEXT(TKF28-utc_offset/24,"YYYYMMDD")&amp;"*"" /stext="" "&amp;TEXT(TKF28-utc_offset/24,"HH")&amp;search_regexp&amp;""""</f>
        <v>#VALUE!</v>
      </c>
      <c r="TLD28" s="234" t="e">
        <f>astrogrep_path&amp;" /e /r /s /spath="&amp;search_path&amp;" /stypes=""app*"&amp;TJZ28&amp;"*"&amp;TEXT(TKG28-utc_offset/24,"YYYYMMDD")&amp;"*"" /stext="" "&amp;TEXT(TKG28-utc_offset/24,"HH")&amp;search_regexp&amp;""""</f>
        <v>#VALUE!</v>
      </c>
      <c r="TLE28" s="234" t="e">
        <f>astrogrep_path&amp;" /e /r /s /spath="&amp;search_path&amp;" /stypes=""app*"&amp;TKA28&amp;"*"&amp;TEXT(TKH28-utc_offset/24,"YYYYMMDD")&amp;"*"" /stext="" "&amp;TEXT(TKH28-utc_offset/24,"HH")&amp;search_regexp&amp;""""</f>
        <v>#VALUE!</v>
      </c>
      <c r="TLF28" s="234" t="e">
        <f>astrogrep_path&amp;" /e /r /s /spath="&amp;search_path&amp;" /stypes=""app*"&amp;TKB28&amp;"*"&amp;TEXT(TKI28-utc_offset/24,"YYYYMMDD")&amp;"*"" /stext="" "&amp;TEXT(TKI28-utc_offset/24,"HH")&amp;search_regexp&amp;""""</f>
        <v>#VALUE!</v>
      </c>
      <c r="TLG28" s="234" t="e">
        <f>astrogrep_path&amp;" /e /r /s /spath="&amp;search_path&amp;" /stypes=""app*"&amp;TKC28&amp;"*"&amp;TEXT(TKJ28-utc_offset/24,"YYYYMMDD")&amp;"*"" /stext="" "&amp;TEXT(TKJ28-utc_offset/24,"HH")&amp;search_regexp&amp;""""</f>
        <v>#VALUE!</v>
      </c>
      <c r="TLH28" s="234" t="e">
        <f>astrogrep_path&amp;" /e /r /s /spath="&amp;search_path&amp;" /stypes=""app*"&amp;TKD28&amp;"*"&amp;TEXT(TKK28-utc_offset/24,"YYYYMMDD")&amp;"*"" /stext="" "&amp;TEXT(TKK28-utc_offset/24,"HH")&amp;search_regexp&amp;""""</f>
        <v>#REF!</v>
      </c>
      <c r="TLI28" s="234" t="e">
        <f>astrogrep_path&amp;" /e /r /s /spath="&amp;search_path&amp;" /stypes=""app*"&amp;TKE28&amp;"*"&amp;TEXT(TKL28-utc_offset/24,"YYYYMMDD")&amp;"*"" /stext="" "&amp;TEXT(TKL28-utc_offset/24,"HH")&amp;search_regexp&amp;""""</f>
        <v>#REF!</v>
      </c>
      <c r="TLJ28" s="234" t="e">
        <f>astrogrep_path&amp;" /e /r /s /spath="&amp;search_path&amp;" /stypes=""app*"&amp;TKF28&amp;"*"&amp;TEXT(TKM28-utc_offset/24,"YYYYMMDD")&amp;"*"" /stext="" "&amp;TEXT(TKM28-utc_offset/24,"HH")&amp;search_regexp&amp;""""</f>
        <v>#REF!</v>
      </c>
      <c r="TLK28" s="234" t="e">
        <f>astrogrep_path&amp;" /e /r /s /spath="&amp;search_path&amp;" /stypes=""app*"&amp;TKG28&amp;"*"&amp;TEXT(TKN28-utc_offset/24,"YYYYMMDD")&amp;"*"" /stext="" "&amp;TEXT(TKN28-utc_offset/24,"HH")&amp;search_regexp&amp;""""</f>
        <v>#REF!</v>
      </c>
      <c r="TLL28" s="234" t="e">
        <f>astrogrep_path&amp;" /e /r /s /spath="&amp;search_path&amp;" /stypes=""app*"&amp;TKH28&amp;"*"&amp;TEXT(TKO28-utc_offset/24,"YYYYMMDD")&amp;"*"" /stext="" "&amp;TEXT(TKO28-utc_offset/24,"HH")&amp;search_regexp&amp;""""</f>
        <v>#REF!</v>
      </c>
      <c r="TLM28" s="234" t="e">
        <f>astrogrep_path&amp;" /e /r /s /spath="&amp;search_path&amp;" /stypes=""app*"&amp;TKI28&amp;"*"&amp;TEXT(TKP28-utc_offset/24,"YYYYMMDD")&amp;"*"" /stext="" "&amp;TEXT(TKP28-utc_offset/24,"HH")&amp;search_regexp&amp;""""</f>
        <v>#REF!</v>
      </c>
      <c r="TLN28" s="234" t="e">
        <f>astrogrep_path&amp;" /e /r /s /spath="&amp;search_path&amp;" /stypes=""app*"&amp;TKJ28&amp;"*"&amp;TEXT(TKQ28-utc_offset/24,"YYYYMMDD")&amp;"*"" /stext="" "&amp;TEXT(TKQ28-utc_offset/24,"HH")&amp;search_regexp&amp;""""</f>
        <v>#REF!</v>
      </c>
      <c r="TLO28" s="234" t="e">
        <f>astrogrep_path&amp;" /e /r /s /spath="&amp;search_path&amp;" /stypes=""app*"&amp;TKK28&amp;"*"&amp;TEXT(TKR28-utc_offset/24,"YYYYMMDD")&amp;"*"" /stext="" "&amp;TEXT(TKR28-utc_offset/24,"HH")&amp;search_regexp&amp;""""</f>
        <v>#REF!</v>
      </c>
      <c r="TLP28" s="234" t="e">
        <f>astrogrep_path&amp;" /e /r /s /spath="&amp;search_path&amp;" /stypes=""app*"&amp;TKL28&amp;"*"&amp;TEXT(TKS28-utc_offset/24,"YYYYMMDD")&amp;"*"" /stext="" "&amp;TEXT(TKS28-utc_offset/24,"HH")&amp;search_regexp&amp;""""</f>
        <v>#REF!</v>
      </c>
      <c r="TLQ28" s="234" t="e">
        <f>astrogrep_path&amp;" /e /r /s /spath="&amp;search_path&amp;" /stypes=""app*"&amp;TKM28&amp;"*"&amp;TEXT(TKT28-utc_offset/24,"YYYYMMDD")&amp;"*"" /stext="" "&amp;TEXT(TKT28-utc_offset/24,"HH")&amp;search_regexp&amp;""""</f>
        <v>#REF!</v>
      </c>
      <c r="TLR28" s="234" t="e">
        <f>astrogrep_path&amp;" /e /r /s /spath="&amp;search_path&amp;" /stypes=""app*"&amp;TKN28&amp;"*"&amp;TEXT(TKU28-utc_offset/24,"YYYYMMDD")&amp;"*"" /stext="" "&amp;TEXT(TKU28-utc_offset/24,"HH")&amp;search_regexp&amp;""""</f>
        <v>#REF!</v>
      </c>
      <c r="TLS28" s="234" t="e">
        <f>astrogrep_path&amp;" /e /r /s /spath="&amp;search_path&amp;" /stypes=""app*"&amp;TKO28&amp;"*"&amp;TEXT(TKV28-utc_offset/24,"YYYYMMDD")&amp;"*"" /stext="" "&amp;TEXT(TKV28-utc_offset/24,"HH")&amp;search_regexp&amp;""""</f>
        <v>#REF!</v>
      </c>
      <c r="TLT28" s="234" t="e">
        <f>astrogrep_path&amp;" /e /r /s /spath="&amp;search_path&amp;" /stypes=""app*"&amp;TKP28&amp;"*"&amp;TEXT(TKW28-utc_offset/24,"YYYYMMDD")&amp;"*"" /stext="" "&amp;TEXT(TKW28-utc_offset/24,"HH")&amp;search_regexp&amp;""""</f>
        <v>#REF!</v>
      </c>
      <c r="TLU28" s="234" t="e">
        <f>astrogrep_path&amp;" /e /r /s /spath="&amp;search_path&amp;" /stypes=""app*"&amp;TKQ28&amp;"*"&amp;TEXT(TKX28-utc_offset/24,"YYYYMMDD")&amp;"*"" /stext="" "&amp;TEXT(TKX28-utc_offset/24,"HH")&amp;search_regexp&amp;""""</f>
        <v>#REF!</v>
      </c>
      <c r="TLV28" s="234" t="e">
        <f>astrogrep_path&amp;" /e /r /s /spath="&amp;search_path&amp;" /stypes=""app*"&amp;TKR28&amp;"*"&amp;TEXT(TKY28-utc_offset/24,"YYYYMMDD")&amp;"*"" /stext="" "&amp;TEXT(TKY28-utc_offset/24,"HH")&amp;search_regexp&amp;""""</f>
        <v>#REF!</v>
      </c>
      <c r="TLW28" s="234" t="e">
        <f>astrogrep_path&amp;" /e /r /s /spath="&amp;search_path&amp;" /stypes=""app*"&amp;TKS28&amp;"*"&amp;TEXT(TKZ28-utc_offset/24,"YYYYMMDD")&amp;"*"" /stext="" "&amp;TEXT(TKZ28-utc_offset/24,"HH")&amp;search_regexp&amp;""""</f>
        <v>#REF!</v>
      </c>
      <c r="TLX28" s="234" t="e">
        <f>astrogrep_path&amp;" /e /r /s /spath="&amp;search_path&amp;" /stypes=""app*"&amp;TKT28&amp;"*"&amp;TEXT(TLA28-utc_offset/24,"YYYYMMDD")&amp;"*"" /stext="" "&amp;TEXT(TLA28-utc_offset/24,"HH")&amp;search_regexp&amp;""""</f>
        <v>#REF!</v>
      </c>
      <c r="TLY28" s="234" t="e">
        <f>astrogrep_path&amp;" /e /r /s /spath="&amp;search_path&amp;" /stypes=""app*"&amp;TKU28&amp;"*"&amp;TEXT(TLB28-utc_offset/24,"YYYYMMDD")&amp;"*"" /stext="" "&amp;TEXT(TLB28-utc_offset/24,"HH")&amp;search_regexp&amp;""""</f>
        <v>#REF!</v>
      </c>
      <c r="TLZ28" s="234" t="e">
        <f>astrogrep_path&amp;" /e /r /s /spath="&amp;search_path&amp;" /stypes=""app*"&amp;TKV28&amp;"*"&amp;TEXT(TLC28-utc_offset/24,"YYYYMMDD")&amp;"*"" /stext="" "&amp;TEXT(TLC28-utc_offset/24,"HH")&amp;search_regexp&amp;""""</f>
        <v>#REF!</v>
      </c>
      <c r="TMA28" s="234" t="e">
        <f>astrogrep_path&amp;" /e /r /s /spath="&amp;search_path&amp;" /stypes=""app*"&amp;TKW28&amp;"*"&amp;TEXT(TLD28-utc_offset/24,"YYYYMMDD")&amp;"*"" /stext="" "&amp;TEXT(TLD28-utc_offset/24,"HH")&amp;search_regexp&amp;""""</f>
        <v>#REF!</v>
      </c>
      <c r="TMB28" s="234" t="e">
        <f>astrogrep_path&amp;" /e /r /s /spath="&amp;search_path&amp;" /stypes=""app*"&amp;TKX28&amp;"*"&amp;TEXT(TLE28-utc_offset/24,"YYYYMMDD")&amp;"*"" /stext="" "&amp;TEXT(TLE28-utc_offset/24,"HH")&amp;search_regexp&amp;""""</f>
        <v>#REF!</v>
      </c>
      <c r="TMC28" s="234" t="e">
        <f>astrogrep_path&amp;" /e /r /s /spath="&amp;search_path&amp;" /stypes=""app*"&amp;TKY28&amp;"*"&amp;TEXT(TLF28-utc_offset/24,"YYYYMMDD")&amp;"*"" /stext="" "&amp;TEXT(TLF28-utc_offset/24,"HH")&amp;search_regexp&amp;""""</f>
        <v>#VALUE!</v>
      </c>
      <c r="TMD28" s="234" t="e">
        <f>astrogrep_path&amp;" /e /r /s /spath="&amp;search_path&amp;" /stypes=""app*"&amp;TKZ28&amp;"*"&amp;TEXT(TLG28-utc_offset/24,"YYYYMMDD")&amp;"*"" /stext="" "&amp;TEXT(TLG28-utc_offset/24,"HH")&amp;search_regexp&amp;""""</f>
        <v>#VALUE!</v>
      </c>
      <c r="TME28" s="234" t="e">
        <f>astrogrep_path&amp;" /e /r /s /spath="&amp;search_path&amp;" /stypes=""app*"&amp;TLA28&amp;"*"&amp;TEXT(TLH28-utc_offset/24,"YYYYMMDD")&amp;"*"" /stext="" "&amp;TEXT(TLH28-utc_offset/24,"HH")&amp;search_regexp&amp;""""</f>
        <v>#REF!</v>
      </c>
      <c r="TMF28" s="234" t="e">
        <f>astrogrep_path&amp;" /e /r /s /spath="&amp;search_path&amp;" /stypes=""app*"&amp;TLB28&amp;"*"&amp;TEXT(TLI28-utc_offset/24,"YYYYMMDD")&amp;"*"" /stext="" "&amp;TEXT(TLI28-utc_offset/24,"HH")&amp;search_regexp&amp;""""</f>
        <v>#REF!</v>
      </c>
      <c r="TMG28" s="234" t="e">
        <f>astrogrep_path&amp;" /e /r /s /spath="&amp;search_path&amp;" /stypes=""app*"&amp;TLC28&amp;"*"&amp;TEXT(TLJ28-utc_offset/24,"YYYYMMDD")&amp;"*"" /stext="" "&amp;TEXT(TLJ28-utc_offset/24,"HH")&amp;search_regexp&amp;""""</f>
        <v>#VALUE!</v>
      </c>
      <c r="TMH28" s="234" t="e">
        <f>astrogrep_path&amp;" /e /r /s /spath="&amp;search_path&amp;" /stypes=""app*"&amp;TLD28&amp;"*"&amp;TEXT(TLK28-utc_offset/24,"YYYYMMDD")&amp;"*"" /stext="" "&amp;TEXT(TLK28-utc_offset/24,"HH")&amp;search_regexp&amp;""""</f>
        <v>#VALUE!</v>
      </c>
      <c r="TMI28" s="234" t="e">
        <f>astrogrep_path&amp;" /e /r /s /spath="&amp;search_path&amp;" /stypes=""app*"&amp;TLE28&amp;"*"&amp;TEXT(TLL28-utc_offset/24,"YYYYMMDD")&amp;"*"" /stext="" "&amp;TEXT(TLL28-utc_offset/24,"HH")&amp;search_regexp&amp;""""</f>
        <v>#VALUE!</v>
      </c>
      <c r="TMJ28" s="234" t="e">
        <f>astrogrep_path&amp;" /e /r /s /spath="&amp;search_path&amp;" /stypes=""app*"&amp;TLF28&amp;"*"&amp;TEXT(TLM28-utc_offset/24,"YYYYMMDD")&amp;"*"" /stext="" "&amp;TEXT(TLM28-utc_offset/24,"HH")&amp;search_regexp&amp;""""</f>
        <v>#VALUE!</v>
      </c>
      <c r="TMK28" s="234" t="e">
        <f>astrogrep_path&amp;" /e /r /s /spath="&amp;search_path&amp;" /stypes=""app*"&amp;TLG28&amp;"*"&amp;TEXT(TLN28-utc_offset/24,"YYYYMMDD")&amp;"*"" /stext="" "&amp;TEXT(TLN28-utc_offset/24,"HH")&amp;search_regexp&amp;""""</f>
        <v>#VALUE!</v>
      </c>
      <c r="TML28" s="234" t="e">
        <f>astrogrep_path&amp;" /e /r /s /spath="&amp;search_path&amp;" /stypes=""app*"&amp;TLH28&amp;"*"&amp;TEXT(TLO28-utc_offset/24,"YYYYMMDD")&amp;"*"" /stext="" "&amp;TEXT(TLO28-utc_offset/24,"HH")&amp;search_regexp&amp;""""</f>
        <v>#REF!</v>
      </c>
      <c r="TMM28" s="234" t="e">
        <f>astrogrep_path&amp;" /e /r /s /spath="&amp;search_path&amp;" /stypes=""app*"&amp;TLI28&amp;"*"&amp;TEXT(TLP28-utc_offset/24,"YYYYMMDD")&amp;"*"" /stext="" "&amp;TEXT(TLP28-utc_offset/24,"HH")&amp;search_regexp&amp;""""</f>
        <v>#REF!</v>
      </c>
      <c r="TMN28" s="234" t="e">
        <f>astrogrep_path&amp;" /e /r /s /spath="&amp;search_path&amp;" /stypes=""app*"&amp;TLJ28&amp;"*"&amp;TEXT(TLQ28-utc_offset/24,"YYYYMMDD")&amp;"*"" /stext="" "&amp;TEXT(TLQ28-utc_offset/24,"HH")&amp;search_regexp&amp;""""</f>
        <v>#REF!</v>
      </c>
      <c r="TMO28" s="234" t="e">
        <f>astrogrep_path&amp;" /e /r /s /spath="&amp;search_path&amp;" /stypes=""app*"&amp;TLK28&amp;"*"&amp;TEXT(TLR28-utc_offset/24,"YYYYMMDD")&amp;"*"" /stext="" "&amp;TEXT(TLR28-utc_offset/24,"HH")&amp;search_regexp&amp;""""</f>
        <v>#REF!</v>
      </c>
      <c r="TMP28" s="234" t="e">
        <f>astrogrep_path&amp;" /e /r /s /spath="&amp;search_path&amp;" /stypes=""app*"&amp;TLL28&amp;"*"&amp;TEXT(TLS28-utc_offset/24,"YYYYMMDD")&amp;"*"" /stext="" "&amp;TEXT(TLS28-utc_offset/24,"HH")&amp;search_regexp&amp;""""</f>
        <v>#REF!</v>
      </c>
      <c r="TMQ28" s="234" t="e">
        <f>astrogrep_path&amp;" /e /r /s /spath="&amp;search_path&amp;" /stypes=""app*"&amp;TLM28&amp;"*"&amp;TEXT(TLT28-utc_offset/24,"YYYYMMDD")&amp;"*"" /stext="" "&amp;TEXT(TLT28-utc_offset/24,"HH")&amp;search_regexp&amp;""""</f>
        <v>#REF!</v>
      </c>
      <c r="TMR28" s="234" t="e">
        <f>astrogrep_path&amp;" /e /r /s /spath="&amp;search_path&amp;" /stypes=""app*"&amp;TLN28&amp;"*"&amp;TEXT(TLU28-utc_offset/24,"YYYYMMDD")&amp;"*"" /stext="" "&amp;TEXT(TLU28-utc_offset/24,"HH")&amp;search_regexp&amp;""""</f>
        <v>#REF!</v>
      </c>
      <c r="TMS28" s="234" t="e">
        <f>astrogrep_path&amp;" /e /r /s /spath="&amp;search_path&amp;" /stypes=""app*"&amp;TLO28&amp;"*"&amp;TEXT(TLV28-utc_offset/24,"YYYYMMDD")&amp;"*"" /stext="" "&amp;TEXT(TLV28-utc_offset/24,"HH")&amp;search_regexp&amp;""""</f>
        <v>#REF!</v>
      </c>
      <c r="TMT28" s="234" t="e">
        <f>astrogrep_path&amp;" /e /r /s /spath="&amp;search_path&amp;" /stypes=""app*"&amp;TLP28&amp;"*"&amp;TEXT(TLW28-utc_offset/24,"YYYYMMDD")&amp;"*"" /stext="" "&amp;TEXT(TLW28-utc_offset/24,"HH")&amp;search_regexp&amp;""""</f>
        <v>#REF!</v>
      </c>
      <c r="TMU28" s="234" t="e">
        <f>astrogrep_path&amp;" /e /r /s /spath="&amp;search_path&amp;" /stypes=""app*"&amp;TLQ28&amp;"*"&amp;TEXT(TLX28-utc_offset/24,"YYYYMMDD")&amp;"*"" /stext="" "&amp;TEXT(TLX28-utc_offset/24,"HH")&amp;search_regexp&amp;""""</f>
        <v>#REF!</v>
      </c>
      <c r="TMV28" s="234" t="e">
        <f>astrogrep_path&amp;" /e /r /s /spath="&amp;search_path&amp;" /stypes=""app*"&amp;TLR28&amp;"*"&amp;TEXT(TLY28-utc_offset/24,"YYYYMMDD")&amp;"*"" /stext="" "&amp;TEXT(TLY28-utc_offset/24,"HH")&amp;search_regexp&amp;""""</f>
        <v>#REF!</v>
      </c>
      <c r="TMW28" s="234" t="e">
        <f>astrogrep_path&amp;" /e /r /s /spath="&amp;search_path&amp;" /stypes=""app*"&amp;TLS28&amp;"*"&amp;TEXT(TLZ28-utc_offset/24,"YYYYMMDD")&amp;"*"" /stext="" "&amp;TEXT(TLZ28-utc_offset/24,"HH")&amp;search_regexp&amp;""""</f>
        <v>#REF!</v>
      </c>
      <c r="TMX28" s="234" t="e">
        <f>astrogrep_path&amp;" /e /r /s /spath="&amp;search_path&amp;" /stypes=""app*"&amp;TLT28&amp;"*"&amp;TEXT(TMA28-utc_offset/24,"YYYYMMDD")&amp;"*"" /stext="" "&amp;TEXT(TMA28-utc_offset/24,"HH")&amp;search_regexp&amp;""""</f>
        <v>#REF!</v>
      </c>
      <c r="TMY28" s="234" t="e">
        <f>astrogrep_path&amp;" /e /r /s /spath="&amp;search_path&amp;" /stypes=""app*"&amp;TLU28&amp;"*"&amp;TEXT(TMB28-utc_offset/24,"YYYYMMDD")&amp;"*"" /stext="" "&amp;TEXT(TMB28-utc_offset/24,"HH")&amp;search_regexp&amp;""""</f>
        <v>#REF!</v>
      </c>
      <c r="TMZ28" s="234" t="e">
        <f>astrogrep_path&amp;" /e /r /s /spath="&amp;search_path&amp;" /stypes=""app*"&amp;TLV28&amp;"*"&amp;TEXT(TMC28-utc_offset/24,"YYYYMMDD")&amp;"*"" /stext="" "&amp;TEXT(TMC28-utc_offset/24,"HH")&amp;search_regexp&amp;""""</f>
        <v>#REF!</v>
      </c>
      <c r="TNA28" s="234" t="e">
        <f>astrogrep_path&amp;" /e /r /s /spath="&amp;search_path&amp;" /stypes=""app*"&amp;TLW28&amp;"*"&amp;TEXT(TMD28-utc_offset/24,"YYYYMMDD")&amp;"*"" /stext="" "&amp;TEXT(TMD28-utc_offset/24,"HH")&amp;search_regexp&amp;""""</f>
        <v>#REF!</v>
      </c>
      <c r="TNB28" s="234" t="e">
        <f>astrogrep_path&amp;" /e /r /s /spath="&amp;search_path&amp;" /stypes=""app*"&amp;TLX28&amp;"*"&amp;TEXT(TME28-utc_offset/24,"YYYYMMDD")&amp;"*"" /stext="" "&amp;TEXT(TME28-utc_offset/24,"HH")&amp;search_regexp&amp;""""</f>
        <v>#REF!</v>
      </c>
      <c r="TNC28" s="234" t="e">
        <f>astrogrep_path&amp;" /e /r /s /spath="&amp;search_path&amp;" /stypes=""app*"&amp;TLY28&amp;"*"&amp;TEXT(TMF28-utc_offset/24,"YYYYMMDD")&amp;"*"" /stext="" "&amp;TEXT(TMF28-utc_offset/24,"HH")&amp;search_regexp&amp;""""</f>
        <v>#REF!</v>
      </c>
      <c r="TND28" s="234" t="e">
        <f>astrogrep_path&amp;" /e /r /s /spath="&amp;search_path&amp;" /stypes=""app*"&amp;TLZ28&amp;"*"&amp;TEXT(TMG28-utc_offset/24,"YYYYMMDD")&amp;"*"" /stext="" "&amp;TEXT(TMG28-utc_offset/24,"HH")&amp;search_regexp&amp;""""</f>
        <v>#REF!</v>
      </c>
      <c r="TNE28" s="234" t="e">
        <f>astrogrep_path&amp;" /e /r /s /spath="&amp;search_path&amp;" /stypes=""app*"&amp;TMA28&amp;"*"&amp;TEXT(TMH28-utc_offset/24,"YYYYMMDD")&amp;"*"" /stext="" "&amp;TEXT(TMH28-utc_offset/24,"HH")&amp;search_regexp&amp;""""</f>
        <v>#REF!</v>
      </c>
      <c r="TNF28" s="234" t="e">
        <f>astrogrep_path&amp;" /e /r /s /spath="&amp;search_path&amp;" /stypes=""app*"&amp;TMB28&amp;"*"&amp;TEXT(TMI28-utc_offset/24,"YYYYMMDD")&amp;"*"" /stext="" "&amp;TEXT(TMI28-utc_offset/24,"HH")&amp;search_regexp&amp;""""</f>
        <v>#REF!</v>
      </c>
      <c r="TNG28" s="234" t="e">
        <f>astrogrep_path&amp;" /e /r /s /spath="&amp;search_path&amp;" /stypes=""app*"&amp;TMC28&amp;"*"&amp;TEXT(TMJ28-utc_offset/24,"YYYYMMDD")&amp;"*"" /stext="" "&amp;TEXT(TMJ28-utc_offset/24,"HH")&amp;search_regexp&amp;""""</f>
        <v>#VALUE!</v>
      </c>
      <c r="TNH28" s="234" t="e">
        <f>astrogrep_path&amp;" /e /r /s /spath="&amp;search_path&amp;" /stypes=""app*"&amp;TMD28&amp;"*"&amp;TEXT(TMK28-utc_offset/24,"YYYYMMDD")&amp;"*"" /stext="" "&amp;TEXT(TMK28-utc_offset/24,"HH")&amp;search_regexp&amp;""""</f>
        <v>#VALUE!</v>
      </c>
      <c r="TNI28" s="234" t="e">
        <f>astrogrep_path&amp;" /e /r /s /spath="&amp;search_path&amp;" /stypes=""app*"&amp;TME28&amp;"*"&amp;TEXT(TML28-utc_offset/24,"YYYYMMDD")&amp;"*"" /stext="" "&amp;TEXT(TML28-utc_offset/24,"HH")&amp;search_regexp&amp;""""</f>
        <v>#REF!</v>
      </c>
      <c r="TNJ28" s="234" t="e">
        <f>astrogrep_path&amp;" /e /r /s /spath="&amp;search_path&amp;" /stypes=""app*"&amp;TMF28&amp;"*"&amp;TEXT(TMM28-utc_offset/24,"YYYYMMDD")&amp;"*"" /stext="" "&amp;TEXT(TMM28-utc_offset/24,"HH")&amp;search_regexp&amp;""""</f>
        <v>#REF!</v>
      </c>
      <c r="TNK28" s="234" t="e">
        <f>astrogrep_path&amp;" /e /r /s /spath="&amp;search_path&amp;" /stypes=""app*"&amp;TMG28&amp;"*"&amp;TEXT(TMN28-utc_offset/24,"YYYYMMDD")&amp;"*"" /stext="" "&amp;TEXT(TMN28-utc_offset/24,"HH")&amp;search_regexp&amp;""""</f>
        <v>#VALUE!</v>
      </c>
      <c r="TNL28" s="234" t="e">
        <f>astrogrep_path&amp;" /e /r /s /spath="&amp;search_path&amp;" /stypes=""app*"&amp;TMH28&amp;"*"&amp;TEXT(TMO28-utc_offset/24,"YYYYMMDD")&amp;"*"" /stext="" "&amp;TEXT(TMO28-utc_offset/24,"HH")&amp;search_regexp&amp;""""</f>
        <v>#VALUE!</v>
      </c>
      <c r="TNM28" s="234" t="e">
        <f>astrogrep_path&amp;" /e /r /s /spath="&amp;search_path&amp;" /stypes=""app*"&amp;TMI28&amp;"*"&amp;TEXT(TMP28-utc_offset/24,"YYYYMMDD")&amp;"*"" /stext="" "&amp;TEXT(TMP28-utc_offset/24,"HH")&amp;search_regexp&amp;""""</f>
        <v>#VALUE!</v>
      </c>
      <c r="TNN28" s="234" t="e">
        <f>astrogrep_path&amp;" /e /r /s /spath="&amp;search_path&amp;" /stypes=""app*"&amp;TMJ28&amp;"*"&amp;TEXT(TMQ28-utc_offset/24,"YYYYMMDD")&amp;"*"" /stext="" "&amp;TEXT(TMQ28-utc_offset/24,"HH")&amp;search_regexp&amp;""""</f>
        <v>#VALUE!</v>
      </c>
      <c r="TNO28" s="234" t="e">
        <f>astrogrep_path&amp;" /e /r /s /spath="&amp;search_path&amp;" /stypes=""app*"&amp;TMK28&amp;"*"&amp;TEXT(TMR28-utc_offset/24,"YYYYMMDD")&amp;"*"" /stext="" "&amp;TEXT(TMR28-utc_offset/24,"HH")&amp;search_regexp&amp;""""</f>
        <v>#VALUE!</v>
      </c>
      <c r="TNP28" s="234" t="e">
        <f>astrogrep_path&amp;" /e /r /s /spath="&amp;search_path&amp;" /stypes=""app*"&amp;TML28&amp;"*"&amp;TEXT(TMS28-utc_offset/24,"YYYYMMDD")&amp;"*"" /stext="" "&amp;TEXT(TMS28-utc_offset/24,"HH")&amp;search_regexp&amp;""""</f>
        <v>#REF!</v>
      </c>
      <c r="TNQ28" s="234" t="e">
        <f>astrogrep_path&amp;" /e /r /s /spath="&amp;search_path&amp;" /stypes=""app*"&amp;TMM28&amp;"*"&amp;TEXT(TMT28-utc_offset/24,"YYYYMMDD")&amp;"*"" /stext="" "&amp;TEXT(TMT28-utc_offset/24,"HH")&amp;search_regexp&amp;""""</f>
        <v>#REF!</v>
      </c>
      <c r="TNR28" s="234" t="e">
        <f>astrogrep_path&amp;" /e /r /s /spath="&amp;search_path&amp;" /stypes=""app*"&amp;TMN28&amp;"*"&amp;TEXT(TMU28-utc_offset/24,"YYYYMMDD")&amp;"*"" /stext="" "&amp;TEXT(TMU28-utc_offset/24,"HH")&amp;search_regexp&amp;""""</f>
        <v>#REF!</v>
      </c>
      <c r="TNS28" s="234" t="e">
        <f>astrogrep_path&amp;" /e /r /s /spath="&amp;search_path&amp;" /stypes=""app*"&amp;TMO28&amp;"*"&amp;TEXT(TMV28-utc_offset/24,"YYYYMMDD")&amp;"*"" /stext="" "&amp;TEXT(TMV28-utc_offset/24,"HH")&amp;search_regexp&amp;""""</f>
        <v>#REF!</v>
      </c>
      <c r="TNT28" s="234" t="e">
        <f>astrogrep_path&amp;" /e /r /s /spath="&amp;search_path&amp;" /stypes=""app*"&amp;TMP28&amp;"*"&amp;TEXT(TMW28-utc_offset/24,"YYYYMMDD")&amp;"*"" /stext="" "&amp;TEXT(TMW28-utc_offset/24,"HH")&amp;search_regexp&amp;""""</f>
        <v>#REF!</v>
      </c>
      <c r="TNU28" s="234" t="e">
        <f>astrogrep_path&amp;" /e /r /s /spath="&amp;search_path&amp;" /stypes=""app*"&amp;TMQ28&amp;"*"&amp;TEXT(TMX28-utc_offset/24,"YYYYMMDD")&amp;"*"" /stext="" "&amp;TEXT(TMX28-utc_offset/24,"HH")&amp;search_regexp&amp;""""</f>
        <v>#REF!</v>
      </c>
      <c r="TNV28" s="234" t="e">
        <f>astrogrep_path&amp;" /e /r /s /spath="&amp;search_path&amp;" /stypes=""app*"&amp;TMR28&amp;"*"&amp;TEXT(TMY28-utc_offset/24,"YYYYMMDD")&amp;"*"" /stext="" "&amp;TEXT(TMY28-utc_offset/24,"HH")&amp;search_regexp&amp;""""</f>
        <v>#REF!</v>
      </c>
      <c r="TNW28" s="234" t="e">
        <f>astrogrep_path&amp;" /e /r /s /spath="&amp;search_path&amp;" /stypes=""app*"&amp;TMS28&amp;"*"&amp;TEXT(TMZ28-utc_offset/24,"YYYYMMDD")&amp;"*"" /stext="" "&amp;TEXT(TMZ28-utc_offset/24,"HH")&amp;search_regexp&amp;""""</f>
        <v>#REF!</v>
      </c>
      <c r="TNX28" s="234" t="e">
        <f>astrogrep_path&amp;" /e /r /s /spath="&amp;search_path&amp;" /stypes=""app*"&amp;TMT28&amp;"*"&amp;TEXT(TNA28-utc_offset/24,"YYYYMMDD")&amp;"*"" /stext="" "&amp;TEXT(TNA28-utc_offset/24,"HH")&amp;search_regexp&amp;""""</f>
        <v>#REF!</v>
      </c>
      <c r="TNY28" s="234" t="e">
        <f>astrogrep_path&amp;" /e /r /s /spath="&amp;search_path&amp;" /stypes=""app*"&amp;TMU28&amp;"*"&amp;TEXT(TNB28-utc_offset/24,"YYYYMMDD")&amp;"*"" /stext="" "&amp;TEXT(TNB28-utc_offset/24,"HH")&amp;search_regexp&amp;""""</f>
        <v>#REF!</v>
      </c>
      <c r="TNZ28" s="234" t="e">
        <f>astrogrep_path&amp;" /e /r /s /spath="&amp;search_path&amp;" /stypes=""app*"&amp;TMV28&amp;"*"&amp;TEXT(TNC28-utc_offset/24,"YYYYMMDD")&amp;"*"" /stext="" "&amp;TEXT(TNC28-utc_offset/24,"HH")&amp;search_regexp&amp;""""</f>
        <v>#REF!</v>
      </c>
      <c r="TOA28" s="234" t="e">
        <f>astrogrep_path&amp;" /e /r /s /spath="&amp;search_path&amp;" /stypes=""app*"&amp;TMW28&amp;"*"&amp;TEXT(TND28-utc_offset/24,"YYYYMMDD")&amp;"*"" /stext="" "&amp;TEXT(TND28-utc_offset/24,"HH")&amp;search_regexp&amp;""""</f>
        <v>#REF!</v>
      </c>
      <c r="TOB28" s="234" t="e">
        <f>astrogrep_path&amp;" /e /r /s /spath="&amp;search_path&amp;" /stypes=""app*"&amp;TMX28&amp;"*"&amp;TEXT(TNE28-utc_offset/24,"YYYYMMDD")&amp;"*"" /stext="" "&amp;TEXT(TNE28-utc_offset/24,"HH")&amp;search_regexp&amp;""""</f>
        <v>#REF!</v>
      </c>
      <c r="TOC28" s="234" t="e">
        <f>astrogrep_path&amp;" /e /r /s /spath="&amp;search_path&amp;" /stypes=""app*"&amp;TMY28&amp;"*"&amp;TEXT(TNF28-utc_offset/24,"YYYYMMDD")&amp;"*"" /stext="" "&amp;TEXT(TNF28-utc_offset/24,"HH")&amp;search_regexp&amp;""""</f>
        <v>#REF!</v>
      </c>
      <c r="TOD28" s="234" t="e">
        <f>astrogrep_path&amp;" /e /r /s /spath="&amp;search_path&amp;" /stypes=""app*"&amp;TMZ28&amp;"*"&amp;TEXT(TNG28-utc_offset/24,"YYYYMMDD")&amp;"*"" /stext="" "&amp;TEXT(TNG28-utc_offset/24,"HH")&amp;search_regexp&amp;""""</f>
        <v>#REF!</v>
      </c>
      <c r="TOE28" s="234" t="e">
        <f>astrogrep_path&amp;" /e /r /s /spath="&amp;search_path&amp;" /stypes=""app*"&amp;TNA28&amp;"*"&amp;TEXT(TNH28-utc_offset/24,"YYYYMMDD")&amp;"*"" /stext="" "&amp;TEXT(TNH28-utc_offset/24,"HH")&amp;search_regexp&amp;""""</f>
        <v>#REF!</v>
      </c>
      <c r="TOF28" s="234" t="e">
        <f>astrogrep_path&amp;" /e /r /s /spath="&amp;search_path&amp;" /stypes=""app*"&amp;TNB28&amp;"*"&amp;TEXT(TNI28-utc_offset/24,"YYYYMMDD")&amp;"*"" /stext="" "&amp;TEXT(TNI28-utc_offset/24,"HH")&amp;search_regexp&amp;""""</f>
        <v>#REF!</v>
      </c>
      <c r="TOG28" s="234" t="e">
        <f>astrogrep_path&amp;" /e /r /s /spath="&amp;search_path&amp;" /stypes=""app*"&amp;TNC28&amp;"*"&amp;TEXT(TNJ28-utc_offset/24,"YYYYMMDD")&amp;"*"" /stext="" "&amp;TEXT(TNJ28-utc_offset/24,"HH")&amp;search_regexp&amp;""""</f>
        <v>#REF!</v>
      </c>
      <c r="TOH28" s="234" t="e">
        <f>astrogrep_path&amp;" /e /r /s /spath="&amp;search_path&amp;" /stypes=""app*"&amp;TND28&amp;"*"&amp;TEXT(TNK28-utc_offset/24,"YYYYMMDD")&amp;"*"" /stext="" "&amp;TEXT(TNK28-utc_offset/24,"HH")&amp;search_regexp&amp;""""</f>
        <v>#REF!</v>
      </c>
      <c r="TOI28" s="234" t="e">
        <f>astrogrep_path&amp;" /e /r /s /spath="&amp;search_path&amp;" /stypes=""app*"&amp;TNE28&amp;"*"&amp;TEXT(TNL28-utc_offset/24,"YYYYMMDD")&amp;"*"" /stext="" "&amp;TEXT(TNL28-utc_offset/24,"HH")&amp;search_regexp&amp;""""</f>
        <v>#REF!</v>
      </c>
      <c r="TOJ28" s="234" t="e">
        <f>astrogrep_path&amp;" /e /r /s /spath="&amp;search_path&amp;" /stypes=""app*"&amp;TNF28&amp;"*"&amp;TEXT(TNM28-utc_offset/24,"YYYYMMDD")&amp;"*"" /stext="" "&amp;TEXT(TNM28-utc_offset/24,"HH")&amp;search_regexp&amp;""""</f>
        <v>#REF!</v>
      </c>
      <c r="TOK28" s="234" t="e">
        <f>astrogrep_path&amp;" /e /r /s /spath="&amp;search_path&amp;" /stypes=""app*"&amp;TNG28&amp;"*"&amp;TEXT(TNN28-utc_offset/24,"YYYYMMDD")&amp;"*"" /stext="" "&amp;TEXT(TNN28-utc_offset/24,"HH")&amp;search_regexp&amp;""""</f>
        <v>#VALUE!</v>
      </c>
      <c r="TOL28" s="234" t="e">
        <f>astrogrep_path&amp;" /e /r /s /spath="&amp;search_path&amp;" /stypes=""app*"&amp;TNH28&amp;"*"&amp;TEXT(TNO28-utc_offset/24,"YYYYMMDD")&amp;"*"" /stext="" "&amp;TEXT(TNO28-utc_offset/24,"HH")&amp;search_regexp&amp;""""</f>
        <v>#VALUE!</v>
      </c>
      <c r="TOM28" s="234" t="e">
        <f>astrogrep_path&amp;" /e /r /s /spath="&amp;search_path&amp;" /stypes=""app*"&amp;TNI28&amp;"*"&amp;TEXT(TNP28-utc_offset/24,"YYYYMMDD")&amp;"*"" /stext="" "&amp;TEXT(TNP28-utc_offset/24,"HH")&amp;search_regexp&amp;""""</f>
        <v>#REF!</v>
      </c>
      <c r="TON28" s="234" t="e">
        <f>astrogrep_path&amp;" /e /r /s /spath="&amp;search_path&amp;" /stypes=""app*"&amp;TNJ28&amp;"*"&amp;TEXT(TNQ28-utc_offset/24,"YYYYMMDD")&amp;"*"" /stext="" "&amp;TEXT(TNQ28-utc_offset/24,"HH")&amp;search_regexp&amp;""""</f>
        <v>#REF!</v>
      </c>
      <c r="TOO28" s="234" t="e">
        <f>astrogrep_path&amp;" /e /r /s /spath="&amp;search_path&amp;" /stypes=""app*"&amp;TNK28&amp;"*"&amp;TEXT(TNR28-utc_offset/24,"YYYYMMDD")&amp;"*"" /stext="" "&amp;TEXT(TNR28-utc_offset/24,"HH")&amp;search_regexp&amp;""""</f>
        <v>#VALUE!</v>
      </c>
      <c r="TOP28" s="234" t="e">
        <f>astrogrep_path&amp;" /e /r /s /spath="&amp;search_path&amp;" /stypes=""app*"&amp;TNL28&amp;"*"&amp;TEXT(TNS28-utc_offset/24,"YYYYMMDD")&amp;"*"" /stext="" "&amp;TEXT(TNS28-utc_offset/24,"HH")&amp;search_regexp&amp;""""</f>
        <v>#VALUE!</v>
      </c>
      <c r="TOQ28" s="234" t="e">
        <f>astrogrep_path&amp;" /e /r /s /spath="&amp;search_path&amp;" /stypes=""app*"&amp;TNM28&amp;"*"&amp;TEXT(TNT28-utc_offset/24,"YYYYMMDD")&amp;"*"" /stext="" "&amp;TEXT(TNT28-utc_offset/24,"HH")&amp;search_regexp&amp;""""</f>
        <v>#VALUE!</v>
      </c>
      <c r="TOR28" s="234" t="e">
        <f>astrogrep_path&amp;" /e /r /s /spath="&amp;search_path&amp;" /stypes=""app*"&amp;TNN28&amp;"*"&amp;TEXT(TNU28-utc_offset/24,"YYYYMMDD")&amp;"*"" /stext="" "&amp;TEXT(TNU28-utc_offset/24,"HH")&amp;search_regexp&amp;""""</f>
        <v>#VALUE!</v>
      </c>
      <c r="TOS28" s="234" t="e">
        <f>astrogrep_path&amp;" /e /r /s /spath="&amp;search_path&amp;" /stypes=""app*"&amp;TNO28&amp;"*"&amp;TEXT(TNV28-utc_offset/24,"YYYYMMDD")&amp;"*"" /stext="" "&amp;TEXT(TNV28-utc_offset/24,"HH")&amp;search_regexp&amp;""""</f>
        <v>#VALUE!</v>
      </c>
      <c r="TOT28" s="234" t="e">
        <f>astrogrep_path&amp;" /e /r /s /spath="&amp;search_path&amp;" /stypes=""app*"&amp;TNP28&amp;"*"&amp;TEXT(TNW28-utc_offset/24,"YYYYMMDD")&amp;"*"" /stext="" "&amp;TEXT(TNW28-utc_offset/24,"HH")&amp;search_regexp&amp;""""</f>
        <v>#REF!</v>
      </c>
      <c r="TOU28" s="234" t="e">
        <f>astrogrep_path&amp;" /e /r /s /spath="&amp;search_path&amp;" /stypes=""app*"&amp;TNQ28&amp;"*"&amp;TEXT(TNX28-utc_offset/24,"YYYYMMDD")&amp;"*"" /stext="" "&amp;TEXT(TNX28-utc_offset/24,"HH")&amp;search_regexp&amp;""""</f>
        <v>#REF!</v>
      </c>
      <c r="TOV28" s="234" t="e">
        <f>astrogrep_path&amp;" /e /r /s /spath="&amp;search_path&amp;" /stypes=""app*"&amp;TNR28&amp;"*"&amp;TEXT(TNY28-utc_offset/24,"YYYYMMDD")&amp;"*"" /stext="" "&amp;TEXT(TNY28-utc_offset/24,"HH")&amp;search_regexp&amp;""""</f>
        <v>#REF!</v>
      </c>
      <c r="TOW28" s="234" t="e">
        <f>astrogrep_path&amp;" /e /r /s /spath="&amp;search_path&amp;" /stypes=""app*"&amp;TNS28&amp;"*"&amp;TEXT(TNZ28-utc_offset/24,"YYYYMMDD")&amp;"*"" /stext="" "&amp;TEXT(TNZ28-utc_offset/24,"HH")&amp;search_regexp&amp;""""</f>
        <v>#REF!</v>
      </c>
      <c r="TOX28" s="234" t="e">
        <f>astrogrep_path&amp;" /e /r /s /spath="&amp;search_path&amp;" /stypes=""app*"&amp;TNT28&amp;"*"&amp;TEXT(TOA28-utc_offset/24,"YYYYMMDD")&amp;"*"" /stext="" "&amp;TEXT(TOA28-utc_offset/24,"HH")&amp;search_regexp&amp;""""</f>
        <v>#REF!</v>
      </c>
      <c r="TOY28" s="234" t="e">
        <f>astrogrep_path&amp;" /e /r /s /spath="&amp;search_path&amp;" /stypes=""app*"&amp;TNU28&amp;"*"&amp;TEXT(TOB28-utc_offset/24,"YYYYMMDD")&amp;"*"" /stext="" "&amp;TEXT(TOB28-utc_offset/24,"HH")&amp;search_regexp&amp;""""</f>
        <v>#REF!</v>
      </c>
      <c r="TOZ28" s="234" t="e">
        <f>astrogrep_path&amp;" /e /r /s /spath="&amp;search_path&amp;" /stypes=""app*"&amp;TNV28&amp;"*"&amp;TEXT(TOC28-utc_offset/24,"YYYYMMDD")&amp;"*"" /stext="" "&amp;TEXT(TOC28-utc_offset/24,"HH")&amp;search_regexp&amp;""""</f>
        <v>#REF!</v>
      </c>
      <c r="TPA28" s="234" t="e">
        <f>astrogrep_path&amp;" /e /r /s /spath="&amp;search_path&amp;" /stypes=""app*"&amp;TNW28&amp;"*"&amp;TEXT(TOD28-utc_offset/24,"YYYYMMDD")&amp;"*"" /stext="" "&amp;TEXT(TOD28-utc_offset/24,"HH")&amp;search_regexp&amp;""""</f>
        <v>#REF!</v>
      </c>
      <c r="TPB28" s="234" t="e">
        <f>astrogrep_path&amp;" /e /r /s /spath="&amp;search_path&amp;" /stypes=""app*"&amp;TNX28&amp;"*"&amp;TEXT(TOE28-utc_offset/24,"YYYYMMDD")&amp;"*"" /stext="" "&amp;TEXT(TOE28-utc_offset/24,"HH")&amp;search_regexp&amp;""""</f>
        <v>#REF!</v>
      </c>
      <c r="TPC28" s="234" t="e">
        <f>astrogrep_path&amp;" /e /r /s /spath="&amp;search_path&amp;" /stypes=""app*"&amp;TNY28&amp;"*"&amp;TEXT(TOF28-utc_offset/24,"YYYYMMDD")&amp;"*"" /stext="" "&amp;TEXT(TOF28-utc_offset/24,"HH")&amp;search_regexp&amp;""""</f>
        <v>#REF!</v>
      </c>
      <c r="TPD28" s="234" t="e">
        <f>astrogrep_path&amp;" /e /r /s /spath="&amp;search_path&amp;" /stypes=""app*"&amp;TNZ28&amp;"*"&amp;TEXT(TOG28-utc_offset/24,"YYYYMMDD")&amp;"*"" /stext="" "&amp;TEXT(TOG28-utc_offset/24,"HH")&amp;search_regexp&amp;""""</f>
        <v>#REF!</v>
      </c>
      <c r="TPE28" s="234" t="e">
        <f>astrogrep_path&amp;" /e /r /s /spath="&amp;search_path&amp;" /stypes=""app*"&amp;TOA28&amp;"*"&amp;TEXT(TOH28-utc_offset/24,"YYYYMMDD")&amp;"*"" /stext="" "&amp;TEXT(TOH28-utc_offset/24,"HH")&amp;search_regexp&amp;""""</f>
        <v>#REF!</v>
      </c>
      <c r="TPF28" s="234" t="e">
        <f>astrogrep_path&amp;" /e /r /s /spath="&amp;search_path&amp;" /stypes=""app*"&amp;TOB28&amp;"*"&amp;TEXT(TOI28-utc_offset/24,"YYYYMMDD")&amp;"*"" /stext="" "&amp;TEXT(TOI28-utc_offset/24,"HH")&amp;search_regexp&amp;""""</f>
        <v>#REF!</v>
      </c>
      <c r="TPG28" s="234" t="e">
        <f>astrogrep_path&amp;" /e /r /s /spath="&amp;search_path&amp;" /stypes=""app*"&amp;TOC28&amp;"*"&amp;TEXT(TOJ28-utc_offset/24,"YYYYMMDD")&amp;"*"" /stext="" "&amp;TEXT(TOJ28-utc_offset/24,"HH")&amp;search_regexp&amp;""""</f>
        <v>#REF!</v>
      </c>
      <c r="TPH28" s="234" t="e">
        <f>astrogrep_path&amp;" /e /r /s /spath="&amp;search_path&amp;" /stypes=""app*"&amp;TOD28&amp;"*"&amp;TEXT(TOK28-utc_offset/24,"YYYYMMDD")&amp;"*"" /stext="" "&amp;TEXT(TOK28-utc_offset/24,"HH")&amp;search_regexp&amp;""""</f>
        <v>#REF!</v>
      </c>
      <c r="TPI28" s="234" t="e">
        <f>astrogrep_path&amp;" /e /r /s /spath="&amp;search_path&amp;" /stypes=""app*"&amp;TOE28&amp;"*"&amp;TEXT(TOL28-utc_offset/24,"YYYYMMDD")&amp;"*"" /stext="" "&amp;TEXT(TOL28-utc_offset/24,"HH")&amp;search_regexp&amp;""""</f>
        <v>#REF!</v>
      </c>
      <c r="TPJ28" s="234" t="e">
        <f>astrogrep_path&amp;" /e /r /s /spath="&amp;search_path&amp;" /stypes=""app*"&amp;TOF28&amp;"*"&amp;TEXT(TOM28-utc_offset/24,"YYYYMMDD")&amp;"*"" /stext="" "&amp;TEXT(TOM28-utc_offset/24,"HH")&amp;search_regexp&amp;""""</f>
        <v>#REF!</v>
      </c>
      <c r="TPK28" s="234" t="e">
        <f>astrogrep_path&amp;" /e /r /s /spath="&amp;search_path&amp;" /stypes=""app*"&amp;TOG28&amp;"*"&amp;TEXT(TON28-utc_offset/24,"YYYYMMDD")&amp;"*"" /stext="" "&amp;TEXT(TON28-utc_offset/24,"HH")&amp;search_regexp&amp;""""</f>
        <v>#REF!</v>
      </c>
      <c r="TPL28" s="234" t="e">
        <f>astrogrep_path&amp;" /e /r /s /spath="&amp;search_path&amp;" /stypes=""app*"&amp;TOH28&amp;"*"&amp;TEXT(TOO28-utc_offset/24,"YYYYMMDD")&amp;"*"" /stext="" "&amp;TEXT(TOO28-utc_offset/24,"HH")&amp;search_regexp&amp;""""</f>
        <v>#REF!</v>
      </c>
      <c r="TPM28" s="234" t="e">
        <f>astrogrep_path&amp;" /e /r /s /spath="&amp;search_path&amp;" /stypes=""app*"&amp;TOI28&amp;"*"&amp;TEXT(TOP28-utc_offset/24,"YYYYMMDD")&amp;"*"" /stext="" "&amp;TEXT(TOP28-utc_offset/24,"HH")&amp;search_regexp&amp;""""</f>
        <v>#REF!</v>
      </c>
      <c r="TPN28" s="234" t="e">
        <f>astrogrep_path&amp;" /e /r /s /spath="&amp;search_path&amp;" /stypes=""app*"&amp;TOJ28&amp;"*"&amp;TEXT(TOQ28-utc_offset/24,"YYYYMMDD")&amp;"*"" /stext="" "&amp;TEXT(TOQ28-utc_offset/24,"HH")&amp;search_regexp&amp;""""</f>
        <v>#REF!</v>
      </c>
      <c r="TPO28" s="234" t="e">
        <f>astrogrep_path&amp;" /e /r /s /spath="&amp;search_path&amp;" /stypes=""app*"&amp;TOK28&amp;"*"&amp;TEXT(TOR28-utc_offset/24,"YYYYMMDD")&amp;"*"" /stext="" "&amp;TEXT(TOR28-utc_offset/24,"HH")&amp;search_regexp&amp;""""</f>
        <v>#VALUE!</v>
      </c>
      <c r="TPP28" s="234" t="e">
        <f>astrogrep_path&amp;" /e /r /s /spath="&amp;search_path&amp;" /stypes=""app*"&amp;TOL28&amp;"*"&amp;TEXT(TOS28-utc_offset/24,"YYYYMMDD")&amp;"*"" /stext="" "&amp;TEXT(TOS28-utc_offset/24,"HH")&amp;search_regexp&amp;""""</f>
        <v>#VALUE!</v>
      </c>
      <c r="TPQ28" s="234" t="e">
        <f>astrogrep_path&amp;" /e /r /s /spath="&amp;search_path&amp;" /stypes=""app*"&amp;TOM28&amp;"*"&amp;TEXT(TOT28-utc_offset/24,"YYYYMMDD")&amp;"*"" /stext="" "&amp;TEXT(TOT28-utc_offset/24,"HH")&amp;search_regexp&amp;""""</f>
        <v>#REF!</v>
      </c>
      <c r="TPR28" s="234" t="e">
        <f>astrogrep_path&amp;" /e /r /s /spath="&amp;search_path&amp;" /stypes=""app*"&amp;TON28&amp;"*"&amp;TEXT(TOU28-utc_offset/24,"YYYYMMDD")&amp;"*"" /stext="" "&amp;TEXT(TOU28-utc_offset/24,"HH")&amp;search_regexp&amp;""""</f>
        <v>#REF!</v>
      </c>
      <c r="TPS28" s="234" t="e">
        <f>astrogrep_path&amp;" /e /r /s /spath="&amp;search_path&amp;" /stypes=""app*"&amp;TOO28&amp;"*"&amp;TEXT(TOV28-utc_offset/24,"YYYYMMDD")&amp;"*"" /stext="" "&amp;TEXT(TOV28-utc_offset/24,"HH")&amp;search_regexp&amp;""""</f>
        <v>#VALUE!</v>
      </c>
      <c r="TPT28" s="234" t="e">
        <f>astrogrep_path&amp;" /e /r /s /spath="&amp;search_path&amp;" /stypes=""app*"&amp;TOP28&amp;"*"&amp;TEXT(TOW28-utc_offset/24,"YYYYMMDD")&amp;"*"" /stext="" "&amp;TEXT(TOW28-utc_offset/24,"HH")&amp;search_regexp&amp;""""</f>
        <v>#VALUE!</v>
      </c>
      <c r="TPU28" s="234" t="e">
        <f>astrogrep_path&amp;" /e /r /s /spath="&amp;search_path&amp;" /stypes=""app*"&amp;TOQ28&amp;"*"&amp;TEXT(TOX28-utc_offset/24,"YYYYMMDD")&amp;"*"" /stext="" "&amp;TEXT(TOX28-utc_offset/24,"HH")&amp;search_regexp&amp;""""</f>
        <v>#VALUE!</v>
      </c>
      <c r="TPV28" s="234" t="e">
        <f>astrogrep_path&amp;" /e /r /s /spath="&amp;search_path&amp;" /stypes=""app*"&amp;TOR28&amp;"*"&amp;TEXT(TOY28-utc_offset/24,"YYYYMMDD")&amp;"*"" /stext="" "&amp;TEXT(TOY28-utc_offset/24,"HH")&amp;search_regexp&amp;""""</f>
        <v>#VALUE!</v>
      </c>
      <c r="TPW28" s="234" t="e">
        <f>astrogrep_path&amp;" /e /r /s /spath="&amp;search_path&amp;" /stypes=""app*"&amp;TOS28&amp;"*"&amp;TEXT(TOZ28-utc_offset/24,"YYYYMMDD")&amp;"*"" /stext="" "&amp;TEXT(TOZ28-utc_offset/24,"HH")&amp;search_regexp&amp;""""</f>
        <v>#VALUE!</v>
      </c>
      <c r="TPX28" s="234" t="e">
        <f>astrogrep_path&amp;" /e /r /s /spath="&amp;search_path&amp;" /stypes=""app*"&amp;TOT28&amp;"*"&amp;TEXT(TPA28-utc_offset/24,"YYYYMMDD")&amp;"*"" /stext="" "&amp;TEXT(TPA28-utc_offset/24,"HH")&amp;search_regexp&amp;""""</f>
        <v>#REF!</v>
      </c>
      <c r="TPY28" s="234" t="e">
        <f>astrogrep_path&amp;" /e /r /s /spath="&amp;search_path&amp;" /stypes=""app*"&amp;TOU28&amp;"*"&amp;TEXT(TPB28-utc_offset/24,"YYYYMMDD")&amp;"*"" /stext="" "&amp;TEXT(TPB28-utc_offset/24,"HH")&amp;search_regexp&amp;""""</f>
        <v>#REF!</v>
      </c>
      <c r="TPZ28" s="234" t="e">
        <f>astrogrep_path&amp;" /e /r /s /spath="&amp;search_path&amp;" /stypes=""app*"&amp;TOV28&amp;"*"&amp;TEXT(TPC28-utc_offset/24,"YYYYMMDD")&amp;"*"" /stext="" "&amp;TEXT(TPC28-utc_offset/24,"HH")&amp;search_regexp&amp;""""</f>
        <v>#REF!</v>
      </c>
      <c r="TQA28" s="234" t="e">
        <f>astrogrep_path&amp;" /e /r /s /spath="&amp;search_path&amp;" /stypes=""app*"&amp;TOW28&amp;"*"&amp;TEXT(TPD28-utc_offset/24,"YYYYMMDD")&amp;"*"" /stext="" "&amp;TEXT(TPD28-utc_offset/24,"HH")&amp;search_regexp&amp;""""</f>
        <v>#REF!</v>
      </c>
      <c r="TQB28" s="234" t="e">
        <f>astrogrep_path&amp;" /e /r /s /spath="&amp;search_path&amp;" /stypes=""app*"&amp;TOX28&amp;"*"&amp;TEXT(TPE28-utc_offset/24,"YYYYMMDD")&amp;"*"" /stext="" "&amp;TEXT(TPE28-utc_offset/24,"HH")&amp;search_regexp&amp;""""</f>
        <v>#REF!</v>
      </c>
      <c r="TQC28" s="234" t="e">
        <f>astrogrep_path&amp;" /e /r /s /spath="&amp;search_path&amp;" /stypes=""app*"&amp;TOY28&amp;"*"&amp;TEXT(TPF28-utc_offset/24,"YYYYMMDD")&amp;"*"" /stext="" "&amp;TEXT(TPF28-utc_offset/24,"HH")&amp;search_regexp&amp;""""</f>
        <v>#REF!</v>
      </c>
      <c r="TQD28" s="234" t="e">
        <f>astrogrep_path&amp;" /e /r /s /spath="&amp;search_path&amp;" /stypes=""app*"&amp;TOZ28&amp;"*"&amp;TEXT(TPG28-utc_offset/24,"YYYYMMDD")&amp;"*"" /stext="" "&amp;TEXT(TPG28-utc_offset/24,"HH")&amp;search_regexp&amp;""""</f>
        <v>#REF!</v>
      </c>
      <c r="TQE28" s="234" t="e">
        <f>astrogrep_path&amp;" /e /r /s /spath="&amp;search_path&amp;" /stypes=""app*"&amp;TPA28&amp;"*"&amp;TEXT(TPH28-utc_offset/24,"YYYYMMDD")&amp;"*"" /stext="" "&amp;TEXT(TPH28-utc_offset/24,"HH")&amp;search_regexp&amp;""""</f>
        <v>#REF!</v>
      </c>
      <c r="TQF28" s="234" t="e">
        <f>astrogrep_path&amp;" /e /r /s /spath="&amp;search_path&amp;" /stypes=""app*"&amp;TPB28&amp;"*"&amp;TEXT(TPI28-utc_offset/24,"YYYYMMDD")&amp;"*"" /stext="" "&amp;TEXT(TPI28-utc_offset/24,"HH")&amp;search_regexp&amp;""""</f>
        <v>#REF!</v>
      </c>
      <c r="TQG28" s="234" t="e">
        <f>astrogrep_path&amp;" /e /r /s /spath="&amp;search_path&amp;" /stypes=""app*"&amp;TPC28&amp;"*"&amp;TEXT(TPJ28-utc_offset/24,"YYYYMMDD")&amp;"*"" /stext="" "&amp;TEXT(TPJ28-utc_offset/24,"HH")&amp;search_regexp&amp;""""</f>
        <v>#REF!</v>
      </c>
      <c r="TQH28" s="234" t="e">
        <f>astrogrep_path&amp;" /e /r /s /spath="&amp;search_path&amp;" /stypes=""app*"&amp;TPD28&amp;"*"&amp;TEXT(TPK28-utc_offset/24,"YYYYMMDD")&amp;"*"" /stext="" "&amp;TEXT(TPK28-utc_offset/24,"HH")&amp;search_regexp&amp;""""</f>
        <v>#REF!</v>
      </c>
      <c r="TQI28" s="234" t="e">
        <f>astrogrep_path&amp;" /e /r /s /spath="&amp;search_path&amp;" /stypes=""app*"&amp;TPE28&amp;"*"&amp;TEXT(TPL28-utc_offset/24,"YYYYMMDD")&amp;"*"" /stext="" "&amp;TEXT(TPL28-utc_offset/24,"HH")&amp;search_regexp&amp;""""</f>
        <v>#REF!</v>
      </c>
      <c r="TQJ28" s="234" t="e">
        <f>astrogrep_path&amp;" /e /r /s /spath="&amp;search_path&amp;" /stypes=""app*"&amp;TPF28&amp;"*"&amp;TEXT(TPM28-utc_offset/24,"YYYYMMDD")&amp;"*"" /stext="" "&amp;TEXT(TPM28-utc_offset/24,"HH")&amp;search_regexp&amp;""""</f>
        <v>#REF!</v>
      </c>
      <c r="TQK28" s="234" t="e">
        <f>astrogrep_path&amp;" /e /r /s /spath="&amp;search_path&amp;" /stypes=""app*"&amp;TPG28&amp;"*"&amp;TEXT(TPN28-utc_offset/24,"YYYYMMDD")&amp;"*"" /stext="" "&amp;TEXT(TPN28-utc_offset/24,"HH")&amp;search_regexp&amp;""""</f>
        <v>#REF!</v>
      </c>
      <c r="TQL28" s="234" t="e">
        <f>astrogrep_path&amp;" /e /r /s /spath="&amp;search_path&amp;" /stypes=""app*"&amp;TPH28&amp;"*"&amp;TEXT(TPO28-utc_offset/24,"YYYYMMDD")&amp;"*"" /stext="" "&amp;TEXT(TPO28-utc_offset/24,"HH")&amp;search_regexp&amp;""""</f>
        <v>#REF!</v>
      </c>
      <c r="TQM28" s="234" t="e">
        <f>astrogrep_path&amp;" /e /r /s /spath="&amp;search_path&amp;" /stypes=""app*"&amp;TPI28&amp;"*"&amp;TEXT(TPP28-utc_offset/24,"YYYYMMDD")&amp;"*"" /stext="" "&amp;TEXT(TPP28-utc_offset/24,"HH")&amp;search_regexp&amp;""""</f>
        <v>#REF!</v>
      </c>
      <c r="TQN28" s="234" t="e">
        <f>astrogrep_path&amp;" /e /r /s /spath="&amp;search_path&amp;" /stypes=""app*"&amp;TPJ28&amp;"*"&amp;TEXT(TPQ28-utc_offset/24,"YYYYMMDD")&amp;"*"" /stext="" "&amp;TEXT(TPQ28-utc_offset/24,"HH")&amp;search_regexp&amp;""""</f>
        <v>#REF!</v>
      </c>
      <c r="TQO28" s="234" t="e">
        <f>astrogrep_path&amp;" /e /r /s /spath="&amp;search_path&amp;" /stypes=""app*"&amp;TPK28&amp;"*"&amp;TEXT(TPR28-utc_offset/24,"YYYYMMDD")&amp;"*"" /stext="" "&amp;TEXT(TPR28-utc_offset/24,"HH")&amp;search_regexp&amp;""""</f>
        <v>#REF!</v>
      </c>
      <c r="TQP28" s="234" t="e">
        <f>astrogrep_path&amp;" /e /r /s /spath="&amp;search_path&amp;" /stypes=""app*"&amp;TPL28&amp;"*"&amp;TEXT(TPS28-utc_offset/24,"YYYYMMDD")&amp;"*"" /stext="" "&amp;TEXT(TPS28-utc_offset/24,"HH")&amp;search_regexp&amp;""""</f>
        <v>#REF!</v>
      </c>
      <c r="TQQ28" s="234" t="e">
        <f>astrogrep_path&amp;" /e /r /s /spath="&amp;search_path&amp;" /stypes=""app*"&amp;TPM28&amp;"*"&amp;TEXT(TPT28-utc_offset/24,"YYYYMMDD")&amp;"*"" /stext="" "&amp;TEXT(TPT28-utc_offset/24,"HH")&amp;search_regexp&amp;""""</f>
        <v>#REF!</v>
      </c>
      <c r="TQR28" s="234" t="e">
        <f>astrogrep_path&amp;" /e /r /s /spath="&amp;search_path&amp;" /stypes=""app*"&amp;TPN28&amp;"*"&amp;TEXT(TPU28-utc_offset/24,"YYYYMMDD")&amp;"*"" /stext="" "&amp;TEXT(TPU28-utc_offset/24,"HH")&amp;search_regexp&amp;""""</f>
        <v>#REF!</v>
      </c>
      <c r="TQS28" s="234" t="e">
        <f>astrogrep_path&amp;" /e /r /s /spath="&amp;search_path&amp;" /stypes=""app*"&amp;TPO28&amp;"*"&amp;TEXT(TPV28-utc_offset/24,"YYYYMMDD")&amp;"*"" /stext="" "&amp;TEXT(TPV28-utc_offset/24,"HH")&amp;search_regexp&amp;""""</f>
        <v>#VALUE!</v>
      </c>
      <c r="TQT28" s="234" t="e">
        <f>astrogrep_path&amp;" /e /r /s /spath="&amp;search_path&amp;" /stypes=""app*"&amp;TPP28&amp;"*"&amp;TEXT(TPW28-utc_offset/24,"YYYYMMDD")&amp;"*"" /stext="" "&amp;TEXT(TPW28-utc_offset/24,"HH")&amp;search_regexp&amp;""""</f>
        <v>#VALUE!</v>
      </c>
      <c r="TQU28" s="234" t="e">
        <f>astrogrep_path&amp;" /e /r /s /spath="&amp;search_path&amp;" /stypes=""app*"&amp;TPQ28&amp;"*"&amp;TEXT(TPX28-utc_offset/24,"YYYYMMDD")&amp;"*"" /stext="" "&amp;TEXT(TPX28-utc_offset/24,"HH")&amp;search_regexp&amp;""""</f>
        <v>#REF!</v>
      </c>
      <c r="TQV28" s="234" t="e">
        <f>astrogrep_path&amp;" /e /r /s /spath="&amp;search_path&amp;" /stypes=""app*"&amp;TPR28&amp;"*"&amp;TEXT(TPY28-utc_offset/24,"YYYYMMDD")&amp;"*"" /stext="" "&amp;TEXT(TPY28-utc_offset/24,"HH")&amp;search_regexp&amp;""""</f>
        <v>#REF!</v>
      </c>
      <c r="TQW28" s="234" t="e">
        <f>astrogrep_path&amp;" /e /r /s /spath="&amp;search_path&amp;" /stypes=""app*"&amp;TPS28&amp;"*"&amp;TEXT(TPZ28-utc_offset/24,"YYYYMMDD")&amp;"*"" /stext="" "&amp;TEXT(TPZ28-utc_offset/24,"HH")&amp;search_regexp&amp;""""</f>
        <v>#VALUE!</v>
      </c>
      <c r="TQX28" s="234" t="e">
        <f>astrogrep_path&amp;" /e /r /s /spath="&amp;search_path&amp;" /stypes=""app*"&amp;TPT28&amp;"*"&amp;TEXT(TQA28-utc_offset/24,"YYYYMMDD")&amp;"*"" /stext="" "&amp;TEXT(TQA28-utc_offset/24,"HH")&amp;search_regexp&amp;""""</f>
        <v>#VALUE!</v>
      </c>
      <c r="TQY28" s="234" t="e">
        <f>astrogrep_path&amp;" /e /r /s /spath="&amp;search_path&amp;" /stypes=""app*"&amp;TPU28&amp;"*"&amp;TEXT(TQB28-utc_offset/24,"YYYYMMDD")&amp;"*"" /stext="" "&amp;TEXT(TQB28-utc_offset/24,"HH")&amp;search_regexp&amp;""""</f>
        <v>#VALUE!</v>
      </c>
      <c r="TQZ28" s="234" t="e">
        <f>astrogrep_path&amp;" /e /r /s /spath="&amp;search_path&amp;" /stypes=""app*"&amp;TPV28&amp;"*"&amp;TEXT(TQC28-utc_offset/24,"YYYYMMDD")&amp;"*"" /stext="" "&amp;TEXT(TQC28-utc_offset/24,"HH")&amp;search_regexp&amp;""""</f>
        <v>#VALUE!</v>
      </c>
      <c r="TRA28" s="234" t="e">
        <f>astrogrep_path&amp;" /e /r /s /spath="&amp;search_path&amp;" /stypes=""app*"&amp;TPW28&amp;"*"&amp;TEXT(TQD28-utc_offset/24,"YYYYMMDD")&amp;"*"" /stext="" "&amp;TEXT(TQD28-utc_offset/24,"HH")&amp;search_regexp&amp;""""</f>
        <v>#VALUE!</v>
      </c>
      <c r="TRB28" s="234" t="e">
        <f>astrogrep_path&amp;" /e /r /s /spath="&amp;search_path&amp;" /stypes=""app*"&amp;TPX28&amp;"*"&amp;TEXT(TQE28-utc_offset/24,"YYYYMMDD")&amp;"*"" /stext="" "&amp;TEXT(TQE28-utc_offset/24,"HH")&amp;search_regexp&amp;""""</f>
        <v>#REF!</v>
      </c>
      <c r="TRC28" s="234" t="e">
        <f>astrogrep_path&amp;" /e /r /s /spath="&amp;search_path&amp;" /stypes=""app*"&amp;TPY28&amp;"*"&amp;TEXT(TQF28-utc_offset/24,"YYYYMMDD")&amp;"*"" /stext="" "&amp;TEXT(TQF28-utc_offset/24,"HH")&amp;search_regexp&amp;""""</f>
        <v>#REF!</v>
      </c>
      <c r="TRD28" s="234" t="e">
        <f>astrogrep_path&amp;" /e /r /s /spath="&amp;search_path&amp;" /stypes=""app*"&amp;TPZ28&amp;"*"&amp;TEXT(TQG28-utc_offset/24,"YYYYMMDD")&amp;"*"" /stext="" "&amp;TEXT(TQG28-utc_offset/24,"HH")&amp;search_regexp&amp;""""</f>
        <v>#REF!</v>
      </c>
      <c r="TRE28" s="234" t="e">
        <f>astrogrep_path&amp;" /e /r /s /spath="&amp;search_path&amp;" /stypes=""app*"&amp;TQA28&amp;"*"&amp;TEXT(TQH28-utc_offset/24,"YYYYMMDD")&amp;"*"" /stext="" "&amp;TEXT(TQH28-utc_offset/24,"HH")&amp;search_regexp&amp;""""</f>
        <v>#REF!</v>
      </c>
      <c r="TRF28" s="234" t="e">
        <f>astrogrep_path&amp;" /e /r /s /spath="&amp;search_path&amp;" /stypes=""app*"&amp;TQB28&amp;"*"&amp;TEXT(TQI28-utc_offset/24,"YYYYMMDD")&amp;"*"" /stext="" "&amp;TEXT(TQI28-utc_offset/24,"HH")&amp;search_regexp&amp;""""</f>
        <v>#REF!</v>
      </c>
      <c r="TRG28" s="234" t="e">
        <f>astrogrep_path&amp;" /e /r /s /spath="&amp;search_path&amp;" /stypes=""app*"&amp;TQC28&amp;"*"&amp;TEXT(TQJ28-utc_offset/24,"YYYYMMDD")&amp;"*"" /stext="" "&amp;TEXT(TQJ28-utc_offset/24,"HH")&amp;search_regexp&amp;""""</f>
        <v>#REF!</v>
      </c>
      <c r="TRH28" s="234" t="e">
        <f>astrogrep_path&amp;" /e /r /s /spath="&amp;search_path&amp;" /stypes=""app*"&amp;TQD28&amp;"*"&amp;TEXT(TQK28-utc_offset/24,"YYYYMMDD")&amp;"*"" /stext="" "&amp;TEXT(TQK28-utc_offset/24,"HH")&amp;search_regexp&amp;""""</f>
        <v>#REF!</v>
      </c>
      <c r="TRI28" s="234" t="e">
        <f>astrogrep_path&amp;" /e /r /s /spath="&amp;search_path&amp;" /stypes=""app*"&amp;TQE28&amp;"*"&amp;TEXT(TQL28-utc_offset/24,"YYYYMMDD")&amp;"*"" /stext="" "&amp;TEXT(TQL28-utc_offset/24,"HH")&amp;search_regexp&amp;""""</f>
        <v>#REF!</v>
      </c>
      <c r="TRJ28" s="234" t="e">
        <f>astrogrep_path&amp;" /e /r /s /spath="&amp;search_path&amp;" /stypes=""app*"&amp;TQF28&amp;"*"&amp;TEXT(TQM28-utc_offset/24,"YYYYMMDD")&amp;"*"" /stext="" "&amp;TEXT(TQM28-utc_offset/24,"HH")&amp;search_regexp&amp;""""</f>
        <v>#REF!</v>
      </c>
      <c r="TRK28" s="234" t="e">
        <f>astrogrep_path&amp;" /e /r /s /spath="&amp;search_path&amp;" /stypes=""app*"&amp;TQG28&amp;"*"&amp;TEXT(TQN28-utc_offset/24,"YYYYMMDD")&amp;"*"" /stext="" "&amp;TEXT(TQN28-utc_offset/24,"HH")&amp;search_regexp&amp;""""</f>
        <v>#REF!</v>
      </c>
      <c r="TRL28" s="234" t="e">
        <f>astrogrep_path&amp;" /e /r /s /spath="&amp;search_path&amp;" /stypes=""app*"&amp;TQH28&amp;"*"&amp;TEXT(TQO28-utc_offset/24,"YYYYMMDD")&amp;"*"" /stext="" "&amp;TEXT(TQO28-utc_offset/24,"HH")&amp;search_regexp&amp;""""</f>
        <v>#REF!</v>
      </c>
      <c r="TRM28" s="234" t="e">
        <f>astrogrep_path&amp;" /e /r /s /spath="&amp;search_path&amp;" /stypes=""app*"&amp;TQI28&amp;"*"&amp;TEXT(TQP28-utc_offset/24,"YYYYMMDD")&amp;"*"" /stext="" "&amp;TEXT(TQP28-utc_offset/24,"HH")&amp;search_regexp&amp;""""</f>
        <v>#REF!</v>
      </c>
      <c r="TRN28" s="234" t="e">
        <f>astrogrep_path&amp;" /e /r /s /spath="&amp;search_path&amp;" /stypes=""app*"&amp;TQJ28&amp;"*"&amp;TEXT(TQQ28-utc_offset/24,"YYYYMMDD")&amp;"*"" /stext="" "&amp;TEXT(TQQ28-utc_offset/24,"HH")&amp;search_regexp&amp;""""</f>
        <v>#REF!</v>
      </c>
      <c r="TRO28" s="234" t="e">
        <f>astrogrep_path&amp;" /e /r /s /spath="&amp;search_path&amp;" /stypes=""app*"&amp;TQK28&amp;"*"&amp;TEXT(TQR28-utc_offset/24,"YYYYMMDD")&amp;"*"" /stext="" "&amp;TEXT(TQR28-utc_offset/24,"HH")&amp;search_regexp&amp;""""</f>
        <v>#REF!</v>
      </c>
      <c r="TRP28" s="234" t="e">
        <f>astrogrep_path&amp;" /e /r /s /spath="&amp;search_path&amp;" /stypes=""app*"&amp;TQL28&amp;"*"&amp;TEXT(TQS28-utc_offset/24,"YYYYMMDD")&amp;"*"" /stext="" "&amp;TEXT(TQS28-utc_offset/24,"HH")&amp;search_regexp&amp;""""</f>
        <v>#REF!</v>
      </c>
      <c r="TRQ28" s="234" t="e">
        <f>astrogrep_path&amp;" /e /r /s /spath="&amp;search_path&amp;" /stypes=""app*"&amp;TQM28&amp;"*"&amp;TEXT(TQT28-utc_offset/24,"YYYYMMDD")&amp;"*"" /stext="" "&amp;TEXT(TQT28-utc_offset/24,"HH")&amp;search_regexp&amp;""""</f>
        <v>#REF!</v>
      </c>
      <c r="TRR28" s="234" t="e">
        <f>astrogrep_path&amp;" /e /r /s /spath="&amp;search_path&amp;" /stypes=""app*"&amp;TQN28&amp;"*"&amp;TEXT(TQU28-utc_offset/24,"YYYYMMDD")&amp;"*"" /stext="" "&amp;TEXT(TQU28-utc_offset/24,"HH")&amp;search_regexp&amp;""""</f>
        <v>#REF!</v>
      </c>
      <c r="TRS28" s="234" t="e">
        <f>astrogrep_path&amp;" /e /r /s /spath="&amp;search_path&amp;" /stypes=""app*"&amp;TQO28&amp;"*"&amp;TEXT(TQV28-utc_offset/24,"YYYYMMDD")&amp;"*"" /stext="" "&amp;TEXT(TQV28-utc_offset/24,"HH")&amp;search_regexp&amp;""""</f>
        <v>#REF!</v>
      </c>
      <c r="TRT28" s="234" t="e">
        <f>astrogrep_path&amp;" /e /r /s /spath="&amp;search_path&amp;" /stypes=""app*"&amp;TQP28&amp;"*"&amp;TEXT(TQW28-utc_offset/24,"YYYYMMDD")&amp;"*"" /stext="" "&amp;TEXT(TQW28-utc_offset/24,"HH")&amp;search_regexp&amp;""""</f>
        <v>#REF!</v>
      </c>
      <c r="TRU28" s="234" t="e">
        <f>astrogrep_path&amp;" /e /r /s /spath="&amp;search_path&amp;" /stypes=""app*"&amp;TQQ28&amp;"*"&amp;TEXT(TQX28-utc_offset/24,"YYYYMMDD")&amp;"*"" /stext="" "&amp;TEXT(TQX28-utc_offset/24,"HH")&amp;search_regexp&amp;""""</f>
        <v>#REF!</v>
      </c>
      <c r="TRV28" s="234" t="e">
        <f>astrogrep_path&amp;" /e /r /s /spath="&amp;search_path&amp;" /stypes=""app*"&amp;TQR28&amp;"*"&amp;TEXT(TQY28-utc_offset/24,"YYYYMMDD")&amp;"*"" /stext="" "&amp;TEXT(TQY28-utc_offset/24,"HH")&amp;search_regexp&amp;""""</f>
        <v>#REF!</v>
      </c>
      <c r="TRW28" s="234" t="e">
        <f>astrogrep_path&amp;" /e /r /s /spath="&amp;search_path&amp;" /stypes=""app*"&amp;TQS28&amp;"*"&amp;TEXT(TQZ28-utc_offset/24,"YYYYMMDD")&amp;"*"" /stext="" "&amp;TEXT(TQZ28-utc_offset/24,"HH")&amp;search_regexp&amp;""""</f>
        <v>#VALUE!</v>
      </c>
      <c r="TRX28" s="234" t="e">
        <f>astrogrep_path&amp;" /e /r /s /spath="&amp;search_path&amp;" /stypes=""app*"&amp;TQT28&amp;"*"&amp;TEXT(TRA28-utc_offset/24,"YYYYMMDD")&amp;"*"" /stext="" "&amp;TEXT(TRA28-utc_offset/24,"HH")&amp;search_regexp&amp;""""</f>
        <v>#VALUE!</v>
      </c>
      <c r="TRY28" s="234" t="e">
        <f>astrogrep_path&amp;" /e /r /s /spath="&amp;search_path&amp;" /stypes=""app*"&amp;TQU28&amp;"*"&amp;TEXT(TRB28-utc_offset/24,"YYYYMMDD")&amp;"*"" /stext="" "&amp;TEXT(TRB28-utc_offset/24,"HH")&amp;search_regexp&amp;""""</f>
        <v>#REF!</v>
      </c>
      <c r="TRZ28" s="234" t="e">
        <f>astrogrep_path&amp;" /e /r /s /spath="&amp;search_path&amp;" /stypes=""app*"&amp;TQV28&amp;"*"&amp;TEXT(TRC28-utc_offset/24,"YYYYMMDD")&amp;"*"" /stext="" "&amp;TEXT(TRC28-utc_offset/24,"HH")&amp;search_regexp&amp;""""</f>
        <v>#REF!</v>
      </c>
      <c r="TSA28" s="234" t="e">
        <f>astrogrep_path&amp;" /e /r /s /spath="&amp;search_path&amp;" /stypes=""app*"&amp;TQW28&amp;"*"&amp;TEXT(TRD28-utc_offset/24,"YYYYMMDD")&amp;"*"" /stext="" "&amp;TEXT(TRD28-utc_offset/24,"HH")&amp;search_regexp&amp;""""</f>
        <v>#VALUE!</v>
      </c>
      <c r="TSB28" s="234" t="e">
        <f>astrogrep_path&amp;" /e /r /s /spath="&amp;search_path&amp;" /stypes=""app*"&amp;TQX28&amp;"*"&amp;TEXT(TRE28-utc_offset/24,"YYYYMMDD")&amp;"*"" /stext="" "&amp;TEXT(TRE28-utc_offset/24,"HH")&amp;search_regexp&amp;""""</f>
        <v>#VALUE!</v>
      </c>
      <c r="TSC28" s="234" t="e">
        <f>astrogrep_path&amp;" /e /r /s /spath="&amp;search_path&amp;" /stypes=""app*"&amp;TQY28&amp;"*"&amp;TEXT(TRF28-utc_offset/24,"YYYYMMDD")&amp;"*"" /stext="" "&amp;TEXT(TRF28-utc_offset/24,"HH")&amp;search_regexp&amp;""""</f>
        <v>#VALUE!</v>
      </c>
      <c r="TSD28" s="234" t="e">
        <f>astrogrep_path&amp;" /e /r /s /spath="&amp;search_path&amp;" /stypes=""app*"&amp;TQZ28&amp;"*"&amp;TEXT(TRG28-utc_offset/24,"YYYYMMDD")&amp;"*"" /stext="" "&amp;TEXT(TRG28-utc_offset/24,"HH")&amp;search_regexp&amp;""""</f>
        <v>#VALUE!</v>
      </c>
      <c r="TSE28" s="234" t="e">
        <f>astrogrep_path&amp;" /e /r /s /spath="&amp;search_path&amp;" /stypes=""app*"&amp;TRA28&amp;"*"&amp;TEXT(TRH28-utc_offset/24,"YYYYMMDD")&amp;"*"" /stext="" "&amp;TEXT(TRH28-utc_offset/24,"HH")&amp;search_regexp&amp;""""</f>
        <v>#VALUE!</v>
      </c>
      <c r="TSF28" s="234" t="e">
        <f>astrogrep_path&amp;" /e /r /s /spath="&amp;search_path&amp;" /stypes=""app*"&amp;TRB28&amp;"*"&amp;TEXT(TRI28-utc_offset/24,"YYYYMMDD")&amp;"*"" /stext="" "&amp;TEXT(TRI28-utc_offset/24,"HH")&amp;search_regexp&amp;""""</f>
        <v>#REF!</v>
      </c>
      <c r="TSG28" s="234" t="e">
        <f>astrogrep_path&amp;" /e /r /s /spath="&amp;search_path&amp;" /stypes=""app*"&amp;TRC28&amp;"*"&amp;TEXT(TRJ28-utc_offset/24,"YYYYMMDD")&amp;"*"" /stext="" "&amp;TEXT(TRJ28-utc_offset/24,"HH")&amp;search_regexp&amp;""""</f>
        <v>#REF!</v>
      </c>
      <c r="TSH28" s="234" t="e">
        <f>astrogrep_path&amp;" /e /r /s /spath="&amp;search_path&amp;" /stypes=""app*"&amp;TRD28&amp;"*"&amp;TEXT(TRK28-utc_offset/24,"YYYYMMDD")&amp;"*"" /stext="" "&amp;TEXT(TRK28-utc_offset/24,"HH")&amp;search_regexp&amp;""""</f>
        <v>#REF!</v>
      </c>
      <c r="TSI28" s="234" t="e">
        <f>astrogrep_path&amp;" /e /r /s /spath="&amp;search_path&amp;" /stypes=""app*"&amp;TRE28&amp;"*"&amp;TEXT(TRL28-utc_offset/24,"YYYYMMDD")&amp;"*"" /stext="" "&amp;TEXT(TRL28-utc_offset/24,"HH")&amp;search_regexp&amp;""""</f>
        <v>#REF!</v>
      </c>
      <c r="TSJ28" s="234" t="e">
        <f>astrogrep_path&amp;" /e /r /s /spath="&amp;search_path&amp;" /stypes=""app*"&amp;TRF28&amp;"*"&amp;TEXT(TRM28-utc_offset/24,"YYYYMMDD")&amp;"*"" /stext="" "&amp;TEXT(TRM28-utc_offset/24,"HH")&amp;search_regexp&amp;""""</f>
        <v>#REF!</v>
      </c>
      <c r="TSK28" s="234" t="e">
        <f>astrogrep_path&amp;" /e /r /s /spath="&amp;search_path&amp;" /stypes=""app*"&amp;TRG28&amp;"*"&amp;TEXT(TRN28-utc_offset/24,"YYYYMMDD")&amp;"*"" /stext="" "&amp;TEXT(TRN28-utc_offset/24,"HH")&amp;search_regexp&amp;""""</f>
        <v>#REF!</v>
      </c>
      <c r="TSL28" s="234" t="e">
        <f>astrogrep_path&amp;" /e /r /s /spath="&amp;search_path&amp;" /stypes=""app*"&amp;TRH28&amp;"*"&amp;TEXT(TRO28-utc_offset/24,"YYYYMMDD")&amp;"*"" /stext="" "&amp;TEXT(TRO28-utc_offset/24,"HH")&amp;search_regexp&amp;""""</f>
        <v>#REF!</v>
      </c>
      <c r="TSM28" s="234" t="e">
        <f>astrogrep_path&amp;" /e /r /s /spath="&amp;search_path&amp;" /stypes=""app*"&amp;TRI28&amp;"*"&amp;TEXT(TRP28-utc_offset/24,"YYYYMMDD")&amp;"*"" /stext="" "&amp;TEXT(TRP28-utc_offset/24,"HH")&amp;search_regexp&amp;""""</f>
        <v>#REF!</v>
      </c>
      <c r="TSN28" s="234" t="e">
        <f>astrogrep_path&amp;" /e /r /s /spath="&amp;search_path&amp;" /stypes=""app*"&amp;TRJ28&amp;"*"&amp;TEXT(TRQ28-utc_offset/24,"YYYYMMDD")&amp;"*"" /stext="" "&amp;TEXT(TRQ28-utc_offset/24,"HH")&amp;search_regexp&amp;""""</f>
        <v>#REF!</v>
      </c>
      <c r="TSO28" s="234" t="e">
        <f>astrogrep_path&amp;" /e /r /s /spath="&amp;search_path&amp;" /stypes=""app*"&amp;TRK28&amp;"*"&amp;TEXT(TRR28-utc_offset/24,"YYYYMMDD")&amp;"*"" /stext="" "&amp;TEXT(TRR28-utc_offset/24,"HH")&amp;search_regexp&amp;""""</f>
        <v>#REF!</v>
      </c>
      <c r="TSP28" s="234" t="e">
        <f>astrogrep_path&amp;" /e /r /s /spath="&amp;search_path&amp;" /stypes=""app*"&amp;TRL28&amp;"*"&amp;TEXT(TRS28-utc_offset/24,"YYYYMMDD")&amp;"*"" /stext="" "&amp;TEXT(TRS28-utc_offset/24,"HH")&amp;search_regexp&amp;""""</f>
        <v>#REF!</v>
      </c>
      <c r="TSQ28" s="234" t="e">
        <f>astrogrep_path&amp;" /e /r /s /spath="&amp;search_path&amp;" /stypes=""app*"&amp;TRM28&amp;"*"&amp;TEXT(TRT28-utc_offset/24,"YYYYMMDD")&amp;"*"" /stext="" "&amp;TEXT(TRT28-utc_offset/24,"HH")&amp;search_regexp&amp;""""</f>
        <v>#REF!</v>
      </c>
      <c r="TSR28" s="234" t="e">
        <f>astrogrep_path&amp;" /e /r /s /spath="&amp;search_path&amp;" /stypes=""app*"&amp;TRN28&amp;"*"&amp;TEXT(TRU28-utc_offset/24,"YYYYMMDD")&amp;"*"" /stext="" "&amp;TEXT(TRU28-utc_offset/24,"HH")&amp;search_regexp&amp;""""</f>
        <v>#REF!</v>
      </c>
      <c r="TSS28" s="234" t="e">
        <f>astrogrep_path&amp;" /e /r /s /spath="&amp;search_path&amp;" /stypes=""app*"&amp;TRO28&amp;"*"&amp;TEXT(TRV28-utc_offset/24,"YYYYMMDD")&amp;"*"" /stext="" "&amp;TEXT(TRV28-utc_offset/24,"HH")&amp;search_regexp&amp;""""</f>
        <v>#REF!</v>
      </c>
      <c r="TST28" s="234" t="e">
        <f>astrogrep_path&amp;" /e /r /s /spath="&amp;search_path&amp;" /stypes=""app*"&amp;TRP28&amp;"*"&amp;TEXT(TRW28-utc_offset/24,"YYYYMMDD")&amp;"*"" /stext="" "&amp;TEXT(TRW28-utc_offset/24,"HH")&amp;search_regexp&amp;""""</f>
        <v>#REF!</v>
      </c>
      <c r="TSU28" s="234" t="e">
        <f>astrogrep_path&amp;" /e /r /s /spath="&amp;search_path&amp;" /stypes=""app*"&amp;TRQ28&amp;"*"&amp;TEXT(TRX28-utc_offset/24,"YYYYMMDD")&amp;"*"" /stext="" "&amp;TEXT(TRX28-utc_offset/24,"HH")&amp;search_regexp&amp;""""</f>
        <v>#REF!</v>
      </c>
      <c r="TSV28" s="234" t="e">
        <f>astrogrep_path&amp;" /e /r /s /spath="&amp;search_path&amp;" /stypes=""app*"&amp;TRR28&amp;"*"&amp;TEXT(TRY28-utc_offset/24,"YYYYMMDD")&amp;"*"" /stext="" "&amp;TEXT(TRY28-utc_offset/24,"HH")&amp;search_regexp&amp;""""</f>
        <v>#REF!</v>
      </c>
      <c r="TSW28" s="234" t="e">
        <f>astrogrep_path&amp;" /e /r /s /spath="&amp;search_path&amp;" /stypes=""app*"&amp;TRS28&amp;"*"&amp;TEXT(TRZ28-utc_offset/24,"YYYYMMDD")&amp;"*"" /stext="" "&amp;TEXT(TRZ28-utc_offset/24,"HH")&amp;search_regexp&amp;""""</f>
        <v>#REF!</v>
      </c>
      <c r="TSX28" s="234" t="e">
        <f>astrogrep_path&amp;" /e /r /s /spath="&amp;search_path&amp;" /stypes=""app*"&amp;TRT28&amp;"*"&amp;TEXT(TSA28-utc_offset/24,"YYYYMMDD")&amp;"*"" /stext="" "&amp;TEXT(TSA28-utc_offset/24,"HH")&amp;search_regexp&amp;""""</f>
        <v>#REF!</v>
      </c>
      <c r="TSY28" s="234" t="e">
        <f>astrogrep_path&amp;" /e /r /s /spath="&amp;search_path&amp;" /stypes=""app*"&amp;TRU28&amp;"*"&amp;TEXT(TSB28-utc_offset/24,"YYYYMMDD")&amp;"*"" /stext="" "&amp;TEXT(TSB28-utc_offset/24,"HH")&amp;search_regexp&amp;""""</f>
        <v>#REF!</v>
      </c>
      <c r="TSZ28" s="234" t="e">
        <f>astrogrep_path&amp;" /e /r /s /spath="&amp;search_path&amp;" /stypes=""app*"&amp;TRV28&amp;"*"&amp;TEXT(TSC28-utc_offset/24,"YYYYMMDD")&amp;"*"" /stext="" "&amp;TEXT(TSC28-utc_offset/24,"HH")&amp;search_regexp&amp;""""</f>
        <v>#REF!</v>
      </c>
      <c r="TTA28" s="234" t="e">
        <f>astrogrep_path&amp;" /e /r /s /spath="&amp;search_path&amp;" /stypes=""app*"&amp;TRW28&amp;"*"&amp;TEXT(TSD28-utc_offset/24,"YYYYMMDD")&amp;"*"" /stext="" "&amp;TEXT(TSD28-utc_offset/24,"HH")&amp;search_regexp&amp;""""</f>
        <v>#VALUE!</v>
      </c>
      <c r="TTB28" s="234" t="e">
        <f>astrogrep_path&amp;" /e /r /s /spath="&amp;search_path&amp;" /stypes=""app*"&amp;TRX28&amp;"*"&amp;TEXT(TSE28-utc_offset/24,"YYYYMMDD")&amp;"*"" /stext="" "&amp;TEXT(TSE28-utc_offset/24,"HH")&amp;search_regexp&amp;""""</f>
        <v>#VALUE!</v>
      </c>
      <c r="TTC28" s="234" t="e">
        <f>astrogrep_path&amp;" /e /r /s /spath="&amp;search_path&amp;" /stypes=""app*"&amp;TRY28&amp;"*"&amp;TEXT(TSF28-utc_offset/24,"YYYYMMDD")&amp;"*"" /stext="" "&amp;TEXT(TSF28-utc_offset/24,"HH")&amp;search_regexp&amp;""""</f>
        <v>#REF!</v>
      </c>
      <c r="TTD28" s="234" t="e">
        <f>astrogrep_path&amp;" /e /r /s /spath="&amp;search_path&amp;" /stypes=""app*"&amp;TRZ28&amp;"*"&amp;TEXT(TSG28-utc_offset/24,"YYYYMMDD")&amp;"*"" /stext="" "&amp;TEXT(TSG28-utc_offset/24,"HH")&amp;search_regexp&amp;""""</f>
        <v>#REF!</v>
      </c>
      <c r="TTE28" s="234" t="e">
        <f>astrogrep_path&amp;" /e /r /s /spath="&amp;search_path&amp;" /stypes=""app*"&amp;TSA28&amp;"*"&amp;TEXT(TSH28-utc_offset/24,"YYYYMMDD")&amp;"*"" /stext="" "&amp;TEXT(TSH28-utc_offset/24,"HH")&amp;search_regexp&amp;""""</f>
        <v>#VALUE!</v>
      </c>
      <c r="TTF28" s="234" t="e">
        <f>astrogrep_path&amp;" /e /r /s /spath="&amp;search_path&amp;" /stypes=""app*"&amp;TSB28&amp;"*"&amp;TEXT(TSI28-utc_offset/24,"YYYYMMDD")&amp;"*"" /stext="" "&amp;TEXT(TSI28-utc_offset/24,"HH")&amp;search_regexp&amp;""""</f>
        <v>#VALUE!</v>
      </c>
      <c r="TTG28" s="234" t="e">
        <f>astrogrep_path&amp;" /e /r /s /spath="&amp;search_path&amp;" /stypes=""app*"&amp;TSC28&amp;"*"&amp;TEXT(TSJ28-utc_offset/24,"YYYYMMDD")&amp;"*"" /stext="" "&amp;TEXT(TSJ28-utc_offset/24,"HH")&amp;search_regexp&amp;""""</f>
        <v>#VALUE!</v>
      </c>
      <c r="TTH28" s="234" t="e">
        <f>astrogrep_path&amp;" /e /r /s /spath="&amp;search_path&amp;" /stypes=""app*"&amp;TSD28&amp;"*"&amp;TEXT(TSK28-utc_offset/24,"YYYYMMDD")&amp;"*"" /stext="" "&amp;TEXT(TSK28-utc_offset/24,"HH")&amp;search_regexp&amp;""""</f>
        <v>#VALUE!</v>
      </c>
      <c r="TTI28" s="234" t="e">
        <f>astrogrep_path&amp;" /e /r /s /spath="&amp;search_path&amp;" /stypes=""app*"&amp;TSE28&amp;"*"&amp;TEXT(TSL28-utc_offset/24,"YYYYMMDD")&amp;"*"" /stext="" "&amp;TEXT(TSL28-utc_offset/24,"HH")&amp;search_regexp&amp;""""</f>
        <v>#VALUE!</v>
      </c>
      <c r="TTJ28" s="234" t="e">
        <f>astrogrep_path&amp;" /e /r /s /spath="&amp;search_path&amp;" /stypes=""app*"&amp;TSF28&amp;"*"&amp;TEXT(TSM28-utc_offset/24,"YYYYMMDD")&amp;"*"" /stext="" "&amp;TEXT(TSM28-utc_offset/24,"HH")&amp;search_regexp&amp;""""</f>
        <v>#REF!</v>
      </c>
      <c r="TTK28" s="234" t="e">
        <f>astrogrep_path&amp;" /e /r /s /spath="&amp;search_path&amp;" /stypes=""app*"&amp;TSG28&amp;"*"&amp;TEXT(TSN28-utc_offset/24,"YYYYMMDD")&amp;"*"" /stext="" "&amp;TEXT(TSN28-utc_offset/24,"HH")&amp;search_regexp&amp;""""</f>
        <v>#REF!</v>
      </c>
      <c r="TTL28" s="234" t="e">
        <f>astrogrep_path&amp;" /e /r /s /spath="&amp;search_path&amp;" /stypes=""app*"&amp;TSH28&amp;"*"&amp;TEXT(TSO28-utc_offset/24,"YYYYMMDD")&amp;"*"" /stext="" "&amp;TEXT(TSO28-utc_offset/24,"HH")&amp;search_regexp&amp;""""</f>
        <v>#REF!</v>
      </c>
      <c r="TTM28" s="234" t="e">
        <f>astrogrep_path&amp;" /e /r /s /spath="&amp;search_path&amp;" /stypes=""app*"&amp;TSI28&amp;"*"&amp;TEXT(TSP28-utc_offset/24,"YYYYMMDD")&amp;"*"" /stext="" "&amp;TEXT(TSP28-utc_offset/24,"HH")&amp;search_regexp&amp;""""</f>
        <v>#REF!</v>
      </c>
      <c r="TTN28" s="234" t="e">
        <f>astrogrep_path&amp;" /e /r /s /spath="&amp;search_path&amp;" /stypes=""app*"&amp;TSJ28&amp;"*"&amp;TEXT(TSQ28-utc_offset/24,"YYYYMMDD")&amp;"*"" /stext="" "&amp;TEXT(TSQ28-utc_offset/24,"HH")&amp;search_regexp&amp;""""</f>
        <v>#REF!</v>
      </c>
      <c r="TTO28" s="234" t="e">
        <f>astrogrep_path&amp;" /e /r /s /spath="&amp;search_path&amp;" /stypes=""app*"&amp;TSK28&amp;"*"&amp;TEXT(TSR28-utc_offset/24,"YYYYMMDD")&amp;"*"" /stext="" "&amp;TEXT(TSR28-utc_offset/24,"HH")&amp;search_regexp&amp;""""</f>
        <v>#REF!</v>
      </c>
      <c r="TTP28" s="234" t="e">
        <f>astrogrep_path&amp;" /e /r /s /spath="&amp;search_path&amp;" /stypes=""app*"&amp;TSL28&amp;"*"&amp;TEXT(TSS28-utc_offset/24,"YYYYMMDD")&amp;"*"" /stext="" "&amp;TEXT(TSS28-utc_offset/24,"HH")&amp;search_regexp&amp;""""</f>
        <v>#REF!</v>
      </c>
      <c r="TTQ28" s="234" t="e">
        <f>astrogrep_path&amp;" /e /r /s /spath="&amp;search_path&amp;" /stypes=""app*"&amp;TSM28&amp;"*"&amp;TEXT(TST28-utc_offset/24,"YYYYMMDD")&amp;"*"" /stext="" "&amp;TEXT(TST28-utc_offset/24,"HH")&amp;search_regexp&amp;""""</f>
        <v>#REF!</v>
      </c>
      <c r="TTR28" s="234" t="e">
        <f>astrogrep_path&amp;" /e /r /s /spath="&amp;search_path&amp;" /stypes=""app*"&amp;TSN28&amp;"*"&amp;TEXT(TSU28-utc_offset/24,"YYYYMMDD")&amp;"*"" /stext="" "&amp;TEXT(TSU28-utc_offset/24,"HH")&amp;search_regexp&amp;""""</f>
        <v>#REF!</v>
      </c>
      <c r="TTS28" s="234" t="e">
        <f>astrogrep_path&amp;" /e /r /s /spath="&amp;search_path&amp;" /stypes=""app*"&amp;TSO28&amp;"*"&amp;TEXT(TSV28-utc_offset/24,"YYYYMMDD")&amp;"*"" /stext="" "&amp;TEXT(TSV28-utc_offset/24,"HH")&amp;search_regexp&amp;""""</f>
        <v>#REF!</v>
      </c>
      <c r="TTT28" s="234" t="e">
        <f>astrogrep_path&amp;" /e /r /s /spath="&amp;search_path&amp;" /stypes=""app*"&amp;TSP28&amp;"*"&amp;TEXT(TSW28-utc_offset/24,"YYYYMMDD")&amp;"*"" /stext="" "&amp;TEXT(TSW28-utc_offset/24,"HH")&amp;search_regexp&amp;""""</f>
        <v>#REF!</v>
      </c>
      <c r="TTU28" s="234" t="e">
        <f>astrogrep_path&amp;" /e /r /s /spath="&amp;search_path&amp;" /stypes=""app*"&amp;TSQ28&amp;"*"&amp;TEXT(TSX28-utc_offset/24,"YYYYMMDD")&amp;"*"" /stext="" "&amp;TEXT(TSX28-utc_offset/24,"HH")&amp;search_regexp&amp;""""</f>
        <v>#REF!</v>
      </c>
      <c r="TTV28" s="234" t="e">
        <f>astrogrep_path&amp;" /e /r /s /spath="&amp;search_path&amp;" /stypes=""app*"&amp;TSR28&amp;"*"&amp;TEXT(TSY28-utc_offset/24,"YYYYMMDD")&amp;"*"" /stext="" "&amp;TEXT(TSY28-utc_offset/24,"HH")&amp;search_regexp&amp;""""</f>
        <v>#REF!</v>
      </c>
      <c r="TTW28" s="234" t="e">
        <f>astrogrep_path&amp;" /e /r /s /spath="&amp;search_path&amp;" /stypes=""app*"&amp;TSS28&amp;"*"&amp;TEXT(TSZ28-utc_offset/24,"YYYYMMDD")&amp;"*"" /stext="" "&amp;TEXT(TSZ28-utc_offset/24,"HH")&amp;search_regexp&amp;""""</f>
        <v>#REF!</v>
      </c>
      <c r="TTX28" s="234" t="e">
        <f>astrogrep_path&amp;" /e /r /s /spath="&amp;search_path&amp;" /stypes=""app*"&amp;TST28&amp;"*"&amp;TEXT(TTA28-utc_offset/24,"YYYYMMDD")&amp;"*"" /stext="" "&amp;TEXT(TTA28-utc_offset/24,"HH")&amp;search_regexp&amp;""""</f>
        <v>#REF!</v>
      </c>
      <c r="TTY28" s="234" t="e">
        <f>astrogrep_path&amp;" /e /r /s /spath="&amp;search_path&amp;" /stypes=""app*"&amp;TSU28&amp;"*"&amp;TEXT(TTB28-utc_offset/24,"YYYYMMDD")&amp;"*"" /stext="" "&amp;TEXT(TTB28-utc_offset/24,"HH")&amp;search_regexp&amp;""""</f>
        <v>#REF!</v>
      </c>
      <c r="TTZ28" s="234" t="e">
        <f>astrogrep_path&amp;" /e /r /s /spath="&amp;search_path&amp;" /stypes=""app*"&amp;TSV28&amp;"*"&amp;TEXT(TTC28-utc_offset/24,"YYYYMMDD")&amp;"*"" /stext="" "&amp;TEXT(TTC28-utc_offset/24,"HH")&amp;search_regexp&amp;""""</f>
        <v>#REF!</v>
      </c>
      <c r="TUA28" s="234" t="e">
        <f>astrogrep_path&amp;" /e /r /s /spath="&amp;search_path&amp;" /stypes=""app*"&amp;TSW28&amp;"*"&amp;TEXT(TTD28-utc_offset/24,"YYYYMMDD")&amp;"*"" /stext="" "&amp;TEXT(TTD28-utc_offset/24,"HH")&amp;search_regexp&amp;""""</f>
        <v>#REF!</v>
      </c>
      <c r="TUB28" s="234" t="e">
        <f>astrogrep_path&amp;" /e /r /s /spath="&amp;search_path&amp;" /stypes=""app*"&amp;TSX28&amp;"*"&amp;TEXT(TTE28-utc_offset/24,"YYYYMMDD")&amp;"*"" /stext="" "&amp;TEXT(TTE28-utc_offset/24,"HH")&amp;search_regexp&amp;""""</f>
        <v>#REF!</v>
      </c>
      <c r="TUC28" s="234" t="e">
        <f>astrogrep_path&amp;" /e /r /s /spath="&amp;search_path&amp;" /stypes=""app*"&amp;TSY28&amp;"*"&amp;TEXT(TTF28-utc_offset/24,"YYYYMMDD")&amp;"*"" /stext="" "&amp;TEXT(TTF28-utc_offset/24,"HH")&amp;search_regexp&amp;""""</f>
        <v>#REF!</v>
      </c>
      <c r="TUD28" s="234" t="e">
        <f>astrogrep_path&amp;" /e /r /s /spath="&amp;search_path&amp;" /stypes=""app*"&amp;TSZ28&amp;"*"&amp;TEXT(TTG28-utc_offset/24,"YYYYMMDD")&amp;"*"" /stext="" "&amp;TEXT(TTG28-utc_offset/24,"HH")&amp;search_regexp&amp;""""</f>
        <v>#REF!</v>
      </c>
      <c r="TUE28" s="234" t="e">
        <f>astrogrep_path&amp;" /e /r /s /spath="&amp;search_path&amp;" /stypes=""app*"&amp;TTA28&amp;"*"&amp;TEXT(TTH28-utc_offset/24,"YYYYMMDD")&amp;"*"" /stext="" "&amp;TEXT(TTH28-utc_offset/24,"HH")&amp;search_regexp&amp;""""</f>
        <v>#VALUE!</v>
      </c>
      <c r="TUF28" s="234" t="e">
        <f>astrogrep_path&amp;" /e /r /s /spath="&amp;search_path&amp;" /stypes=""app*"&amp;TTB28&amp;"*"&amp;TEXT(TTI28-utc_offset/24,"YYYYMMDD")&amp;"*"" /stext="" "&amp;TEXT(TTI28-utc_offset/24,"HH")&amp;search_regexp&amp;""""</f>
        <v>#VALUE!</v>
      </c>
      <c r="TUG28" s="234" t="e">
        <f>astrogrep_path&amp;" /e /r /s /spath="&amp;search_path&amp;" /stypes=""app*"&amp;TTC28&amp;"*"&amp;TEXT(TTJ28-utc_offset/24,"YYYYMMDD")&amp;"*"" /stext="" "&amp;TEXT(TTJ28-utc_offset/24,"HH")&amp;search_regexp&amp;""""</f>
        <v>#REF!</v>
      </c>
      <c r="TUH28" s="234" t="e">
        <f>astrogrep_path&amp;" /e /r /s /spath="&amp;search_path&amp;" /stypes=""app*"&amp;TTD28&amp;"*"&amp;TEXT(TTK28-utc_offset/24,"YYYYMMDD")&amp;"*"" /stext="" "&amp;TEXT(TTK28-utc_offset/24,"HH")&amp;search_regexp&amp;""""</f>
        <v>#REF!</v>
      </c>
      <c r="TUI28" s="234" t="e">
        <f>astrogrep_path&amp;" /e /r /s /spath="&amp;search_path&amp;" /stypes=""app*"&amp;TTE28&amp;"*"&amp;TEXT(TTL28-utc_offset/24,"YYYYMMDD")&amp;"*"" /stext="" "&amp;TEXT(TTL28-utc_offset/24,"HH")&amp;search_regexp&amp;""""</f>
        <v>#VALUE!</v>
      </c>
      <c r="TUJ28" s="234" t="e">
        <f>astrogrep_path&amp;" /e /r /s /spath="&amp;search_path&amp;" /stypes=""app*"&amp;TTF28&amp;"*"&amp;TEXT(TTM28-utc_offset/24,"YYYYMMDD")&amp;"*"" /stext="" "&amp;TEXT(TTM28-utc_offset/24,"HH")&amp;search_regexp&amp;""""</f>
        <v>#VALUE!</v>
      </c>
      <c r="TUK28" s="234" t="e">
        <f>astrogrep_path&amp;" /e /r /s /spath="&amp;search_path&amp;" /stypes=""app*"&amp;TTG28&amp;"*"&amp;TEXT(TTN28-utc_offset/24,"YYYYMMDD")&amp;"*"" /stext="" "&amp;TEXT(TTN28-utc_offset/24,"HH")&amp;search_regexp&amp;""""</f>
        <v>#VALUE!</v>
      </c>
      <c r="TUL28" s="234" t="e">
        <f>astrogrep_path&amp;" /e /r /s /spath="&amp;search_path&amp;" /stypes=""app*"&amp;TTH28&amp;"*"&amp;TEXT(TTO28-utc_offset/24,"YYYYMMDD")&amp;"*"" /stext="" "&amp;TEXT(TTO28-utc_offset/24,"HH")&amp;search_regexp&amp;""""</f>
        <v>#VALUE!</v>
      </c>
      <c r="TUM28" s="234" t="e">
        <f>astrogrep_path&amp;" /e /r /s /spath="&amp;search_path&amp;" /stypes=""app*"&amp;TTI28&amp;"*"&amp;TEXT(TTP28-utc_offset/24,"YYYYMMDD")&amp;"*"" /stext="" "&amp;TEXT(TTP28-utc_offset/24,"HH")&amp;search_regexp&amp;""""</f>
        <v>#VALUE!</v>
      </c>
      <c r="TUN28" s="234" t="e">
        <f>astrogrep_path&amp;" /e /r /s /spath="&amp;search_path&amp;" /stypes=""app*"&amp;TTJ28&amp;"*"&amp;TEXT(TTQ28-utc_offset/24,"YYYYMMDD")&amp;"*"" /stext="" "&amp;TEXT(TTQ28-utc_offset/24,"HH")&amp;search_regexp&amp;""""</f>
        <v>#REF!</v>
      </c>
      <c r="TUO28" s="234" t="e">
        <f>astrogrep_path&amp;" /e /r /s /spath="&amp;search_path&amp;" /stypes=""app*"&amp;TTK28&amp;"*"&amp;TEXT(TTR28-utc_offset/24,"YYYYMMDD")&amp;"*"" /stext="" "&amp;TEXT(TTR28-utc_offset/24,"HH")&amp;search_regexp&amp;""""</f>
        <v>#REF!</v>
      </c>
      <c r="TUP28" s="234" t="e">
        <f>astrogrep_path&amp;" /e /r /s /spath="&amp;search_path&amp;" /stypes=""app*"&amp;TTL28&amp;"*"&amp;TEXT(TTS28-utc_offset/24,"YYYYMMDD")&amp;"*"" /stext="" "&amp;TEXT(TTS28-utc_offset/24,"HH")&amp;search_regexp&amp;""""</f>
        <v>#REF!</v>
      </c>
      <c r="TUQ28" s="234" t="e">
        <f>astrogrep_path&amp;" /e /r /s /spath="&amp;search_path&amp;" /stypes=""app*"&amp;TTM28&amp;"*"&amp;TEXT(TTT28-utc_offset/24,"YYYYMMDD")&amp;"*"" /stext="" "&amp;TEXT(TTT28-utc_offset/24,"HH")&amp;search_regexp&amp;""""</f>
        <v>#REF!</v>
      </c>
      <c r="TUR28" s="234" t="e">
        <f>astrogrep_path&amp;" /e /r /s /spath="&amp;search_path&amp;" /stypes=""app*"&amp;TTN28&amp;"*"&amp;TEXT(TTU28-utc_offset/24,"YYYYMMDD")&amp;"*"" /stext="" "&amp;TEXT(TTU28-utc_offset/24,"HH")&amp;search_regexp&amp;""""</f>
        <v>#REF!</v>
      </c>
      <c r="TUS28" s="234" t="e">
        <f>astrogrep_path&amp;" /e /r /s /spath="&amp;search_path&amp;" /stypes=""app*"&amp;TTO28&amp;"*"&amp;TEXT(TTV28-utc_offset/24,"YYYYMMDD")&amp;"*"" /stext="" "&amp;TEXT(TTV28-utc_offset/24,"HH")&amp;search_regexp&amp;""""</f>
        <v>#REF!</v>
      </c>
      <c r="TUT28" s="234" t="e">
        <f>astrogrep_path&amp;" /e /r /s /spath="&amp;search_path&amp;" /stypes=""app*"&amp;TTP28&amp;"*"&amp;TEXT(TTW28-utc_offset/24,"YYYYMMDD")&amp;"*"" /stext="" "&amp;TEXT(TTW28-utc_offset/24,"HH")&amp;search_regexp&amp;""""</f>
        <v>#REF!</v>
      </c>
      <c r="TUU28" s="234" t="e">
        <f>astrogrep_path&amp;" /e /r /s /spath="&amp;search_path&amp;" /stypes=""app*"&amp;TTQ28&amp;"*"&amp;TEXT(TTX28-utc_offset/24,"YYYYMMDD")&amp;"*"" /stext="" "&amp;TEXT(TTX28-utc_offset/24,"HH")&amp;search_regexp&amp;""""</f>
        <v>#REF!</v>
      </c>
      <c r="TUV28" s="234" t="e">
        <f>astrogrep_path&amp;" /e /r /s /spath="&amp;search_path&amp;" /stypes=""app*"&amp;TTR28&amp;"*"&amp;TEXT(TTY28-utc_offset/24,"YYYYMMDD")&amp;"*"" /stext="" "&amp;TEXT(TTY28-utc_offset/24,"HH")&amp;search_regexp&amp;""""</f>
        <v>#REF!</v>
      </c>
      <c r="TUW28" s="234" t="e">
        <f>astrogrep_path&amp;" /e /r /s /spath="&amp;search_path&amp;" /stypes=""app*"&amp;TTS28&amp;"*"&amp;TEXT(TTZ28-utc_offset/24,"YYYYMMDD")&amp;"*"" /stext="" "&amp;TEXT(TTZ28-utc_offset/24,"HH")&amp;search_regexp&amp;""""</f>
        <v>#REF!</v>
      </c>
      <c r="TUX28" s="234" t="e">
        <f>astrogrep_path&amp;" /e /r /s /spath="&amp;search_path&amp;" /stypes=""app*"&amp;TTT28&amp;"*"&amp;TEXT(TUA28-utc_offset/24,"YYYYMMDD")&amp;"*"" /stext="" "&amp;TEXT(TUA28-utc_offset/24,"HH")&amp;search_regexp&amp;""""</f>
        <v>#REF!</v>
      </c>
      <c r="TUY28" s="234" t="e">
        <f>astrogrep_path&amp;" /e /r /s /spath="&amp;search_path&amp;" /stypes=""app*"&amp;TTU28&amp;"*"&amp;TEXT(TUB28-utc_offset/24,"YYYYMMDD")&amp;"*"" /stext="" "&amp;TEXT(TUB28-utc_offset/24,"HH")&amp;search_regexp&amp;""""</f>
        <v>#REF!</v>
      </c>
      <c r="TUZ28" s="234" t="e">
        <f>astrogrep_path&amp;" /e /r /s /spath="&amp;search_path&amp;" /stypes=""app*"&amp;TTV28&amp;"*"&amp;TEXT(TUC28-utc_offset/24,"YYYYMMDD")&amp;"*"" /stext="" "&amp;TEXT(TUC28-utc_offset/24,"HH")&amp;search_regexp&amp;""""</f>
        <v>#REF!</v>
      </c>
      <c r="TVA28" s="234" t="e">
        <f>astrogrep_path&amp;" /e /r /s /spath="&amp;search_path&amp;" /stypes=""app*"&amp;TTW28&amp;"*"&amp;TEXT(TUD28-utc_offset/24,"YYYYMMDD")&amp;"*"" /stext="" "&amp;TEXT(TUD28-utc_offset/24,"HH")&amp;search_regexp&amp;""""</f>
        <v>#REF!</v>
      </c>
      <c r="TVB28" s="234" t="e">
        <f>astrogrep_path&amp;" /e /r /s /spath="&amp;search_path&amp;" /stypes=""app*"&amp;TTX28&amp;"*"&amp;TEXT(TUE28-utc_offset/24,"YYYYMMDD")&amp;"*"" /stext="" "&amp;TEXT(TUE28-utc_offset/24,"HH")&amp;search_regexp&amp;""""</f>
        <v>#REF!</v>
      </c>
      <c r="TVC28" s="234" t="e">
        <f>astrogrep_path&amp;" /e /r /s /spath="&amp;search_path&amp;" /stypes=""app*"&amp;TTY28&amp;"*"&amp;TEXT(TUF28-utc_offset/24,"YYYYMMDD")&amp;"*"" /stext="" "&amp;TEXT(TUF28-utc_offset/24,"HH")&amp;search_regexp&amp;""""</f>
        <v>#REF!</v>
      </c>
      <c r="TVD28" s="234" t="e">
        <f>astrogrep_path&amp;" /e /r /s /spath="&amp;search_path&amp;" /stypes=""app*"&amp;TTZ28&amp;"*"&amp;TEXT(TUG28-utc_offset/24,"YYYYMMDD")&amp;"*"" /stext="" "&amp;TEXT(TUG28-utc_offset/24,"HH")&amp;search_regexp&amp;""""</f>
        <v>#REF!</v>
      </c>
      <c r="TVE28" s="234" t="e">
        <f>astrogrep_path&amp;" /e /r /s /spath="&amp;search_path&amp;" /stypes=""app*"&amp;TUA28&amp;"*"&amp;TEXT(TUH28-utc_offset/24,"YYYYMMDD")&amp;"*"" /stext="" "&amp;TEXT(TUH28-utc_offset/24,"HH")&amp;search_regexp&amp;""""</f>
        <v>#REF!</v>
      </c>
      <c r="TVF28" s="234" t="e">
        <f>astrogrep_path&amp;" /e /r /s /spath="&amp;search_path&amp;" /stypes=""app*"&amp;TUB28&amp;"*"&amp;TEXT(TUI28-utc_offset/24,"YYYYMMDD")&amp;"*"" /stext="" "&amp;TEXT(TUI28-utc_offset/24,"HH")&amp;search_regexp&amp;""""</f>
        <v>#REF!</v>
      </c>
      <c r="TVG28" s="234" t="e">
        <f>astrogrep_path&amp;" /e /r /s /spath="&amp;search_path&amp;" /stypes=""app*"&amp;TUC28&amp;"*"&amp;TEXT(TUJ28-utc_offset/24,"YYYYMMDD")&amp;"*"" /stext="" "&amp;TEXT(TUJ28-utc_offset/24,"HH")&amp;search_regexp&amp;""""</f>
        <v>#REF!</v>
      </c>
      <c r="TVH28" s="234" t="e">
        <f>astrogrep_path&amp;" /e /r /s /spath="&amp;search_path&amp;" /stypes=""app*"&amp;TUD28&amp;"*"&amp;TEXT(TUK28-utc_offset/24,"YYYYMMDD")&amp;"*"" /stext="" "&amp;TEXT(TUK28-utc_offset/24,"HH")&amp;search_regexp&amp;""""</f>
        <v>#REF!</v>
      </c>
      <c r="TVI28" s="234" t="e">
        <f>astrogrep_path&amp;" /e /r /s /spath="&amp;search_path&amp;" /stypes=""app*"&amp;TUE28&amp;"*"&amp;TEXT(TUL28-utc_offset/24,"YYYYMMDD")&amp;"*"" /stext="" "&amp;TEXT(TUL28-utc_offset/24,"HH")&amp;search_regexp&amp;""""</f>
        <v>#VALUE!</v>
      </c>
      <c r="TVJ28" s="234" t="e">
        <f>astrogrep_path&amp;" /e /r /s /spath="&amp;search_path&amp;" /stypes=""app*"&amp;TUF28&amp;"*"&amp;TEXT(TUM28-utc_offset/24,"YYYYMMDD")&amp;"*"" /stext="" "&amp;TEXT(TUM28-utc_offset/24,"HH")&amp;search_regexp&amp;""""</f>
        <v>#VALUE!</v>
      </c>
      <c r="TVK28" s="234" t="e">
        <f>astrogrep_path&amp;" /e /r /s /spath="&amp;search_path&amp;" /stypes=""app*"&amp;TUG28&amp;"*"&amp;TEXT(TUN28-utc_offset/24,"YYYYMMDD")&amp;"*"" /stext="" "&amp;TEXT(TUN28-utc_offset/24,"HH")&amp;search_regexp&amp;""""</f>
        <v>#REF!</v>
      </c>
      <c r="TVL28" s="234" t="e">
        <f>astrogrep_path&amp;" /e /r /s /spath="&amp;search_path&amp;" /stypes=""app*"&amp;TUH28&amp;"*"&amp;TEXT(TUO28-utc_offset/24,"YYYYMMDD")&amp;"*"" /stext="" "&amp;TEXT(TUO28-utc_offset/24,"HH")&amp;search_regexp&amp;""""</f>
        <v>#REF!</v>
      </c>
      <c r="TVM28" s="234" t="e">
        <f>astrogrep_path&amp;" /e /r /s /spath="&amp;search_path&amp;" /stypes=""app*"&amp;TUI28&amp;"*"&amp;TEXT(TUP28-utc_offset/24,"YYYYMMDD")&amp;"*"" /stext="" "&amp;TEXT(TUP28-utc_offset/24,"HH")&amp;search_regexp&amp;""""</f>
        <v>#VALUE!</v>
      </c>
      <c r="TVN28" s="234" t="e">
        <f>astrogrep_path&amp;" /e /r /s /spath="&amp;search_path&amp;" /stypes=""app*"&amp;TUJ28&amp;"*"&amp;TEXT(TUQ28-utc_offset/24,"YYYYMMDD")&amp;"*"" /stext="" "&amp;TEXT(TUQ28-utc_offset/24,"HH")&amp;search_regexp&amp;""""</f>
        <v>#VALUE!</v>
      </c>
      <c r="TVO28" s="234" t="e">
        <f>astrogrep_path&amp;" /e /r /s /spath="&amp;search_path&amp;" /stypes=""app*"&amp;TUK28&amp;"*"&amp;TEXT(TUR28-utc_offset/24,"YYYYMMDD")&amp;"*"" /stext="" "&amp;TEXT(TUR28-utc_offset/24,"HH")&amp;search_regexp&amp;""""</f>
        <v>#VALUE!</v>
      </c>
      <c r="TVP28" s="234" t="e">
        <f>astrogrep_path&amp;" /e /r /s /spath="&amp;search_path&amp;" /stypes=""app*"&amp;TUL28&amp;"*"&amp;TEXT(TUS28-utc_offset/24,"YYYYMMDD")&amp;"*"" /stext="" "&amp;TEXT(TUS28-utc_offset/24,"HH")&amp;search_regexp&amp;""""</f>
        <v>#VALUE!</v>
      </c>
      <c r="TVQ28" s="234" t="e">
        <f>astrogrep_path&amp;" /e /r /s /spath="&amp;search_path&amp;" /stypes=""app*"&amp;TUM28&amp;"*"&amp;TEXT(TUT28-utc_offset/24,"YYYYMMDD")&amp;"*"" /stext="" "&amp;TEXT(TUT28-utc_offset/24,"HH")&amp;search_regexp&amp;""""</f>
        <v>#VALUE!</v>
      </c>
      <c r="TVR28" s="234" t="e">
        <f>astrogrep_path&amp;" /e /r /s /spath="&amp;search_path&amp;" /stypes=""app*"&amp;TUN28&amp;"*"&amp;TEXT(TUU28-utc_offset/24,"YYYYMMDD")&amp;"*"" /stext="" "&amp;TEXT(TUU28-utc_offset/24,"HH")&amp;search_regexp&amp;""""</f>
        <v>#REF!</v>
      </c>
      <c r="TVS28" s="234" t="e">
        <f>astrogrep_path&amp;" /e /r /s /spath="&amp;search_path&amp;" /stypes=""app*"&amp;TUO28&amp;"*"&amp;TEXT(TUV28-utc_offset/24,"YYYYMMDD")&amp;"*"" /stext="" "&amp;TEXT(TUV28-utc_offset/24,"HH")&amp;search_regexp&amp;""""</f>
        <v>#REF!</v>
      </c>
      <c r="TVT28" s="234" t="e">
        <f>astrogrep_path&amp;" /e /r /s /spath="&amp;search_path&amp;" /stypes=""app*"&amp;TUP28&amp;"*"&amp;TEXT(TUW28-utc_offset/24,"YYYYMMDD")&amp;"*"" /stext="" "&amp;TEXT(TUW28-utc_offset/24,"HH")&amp;search_regexp&amp;""""</f>
        <v>#REF!</v>
      </c>
      <c r="TVU28" s="234" t="e">
        <f>astrogrep_path&amp;" /e /r /s /spath="&amp;search_path&amp;" /stypes=""app*"&amp;TUQ28&amp;"*"&amp;TEXT(TUX28-utc_offset/24,"YYYYMMDD")&amp;"*"" /stext="" "&amp;TEXT(TUX28-utc_offset/24,"HH")&amp;search_regexp&amp;""""</f>
        <v>#REF!</v>
      </c>
      <c r="TVV28" s="234" t="e">
        <f>astrogrep_path&amp;" /e /r /s /spath="&amp;search_path&amp;" /stypes=""app*"&amp;TUR28&amp;"*"&amp;TEXT(TUY28-utc_offset/24,"YYYYMMDD")&amp;"*"" /stext="" "&amp;TEXT(TUY28-utc_offset/24,"HH")&amp;search_regexp&amp;""""</f>
        <v>#REF!</v>
      </c>
      <c r="TVW28" s="234" t="e">
        <f>astrogrep_path&amp;" /e /r /s /spath="&amp;search_path&amp;" /stypes=""app*"&amp;TUS28&amp;"*"&amp;TEXT(TUZ28-utc_offset/24,"YYYYMMDD")&amp;"*"" /stext="" "&amp;TEXT(TUZ28-utc_offset/24,"HH")&amp;search_regexp&amp;""""</f>
        <v>#REF!</v>
      </c>
      <c r="TVX28" s="234" t="e">
        <f>astrogrep_path&amp;" /e /r /s /spath="&amp;search_path&amp;" /stypes=""app*"&amp;TUT28&amp;"*"&amp;TEXT(TVA28-utc_offset/24,"YYYYMMDD")&amp;"*"" /stext="" "&amp;TEXT(TVA28-utc_offset/24,"HH")&amp;search_regexp&amp;""""</f>
        <v>#REF!</v>
      </c>
      <c r="TVY28" s="234" t="e">
        <f>astrogrep_path&amp;" /e /r /s /spath="&amp;search_path&amp;" /stypes=""app*"&amp;TUU28&amp;"*"&amp;TEXT(TVB28-utc_offset/24,"YYYYMMDD")&amp;"*"" /stext="" "&amp;TEXT(TVB28-utc_offset/24,"HH")&amp;search_regexp&amp;""""</f>
        <v>#REF!</v>
      </c>
      <c r="TVZ28" s="234" t="e">
        <f>astrogrep_path&amp;" /e /r /s /spath="&amp;search_path&amp;" /stypes=""app*"&amp;TUV28&amp;"*"&amp;TEXT(TVC28-utc_offset/24,"YYYYMMDD")&amp;"*"" /stext="" "&amp;TEXT(TVC28-utc_offset/24,"HH")&amp;search_regexp&amp;""""</f>
        <v>#REF!</v>
      </c>
      <c r="TWA28" s="234" t="e">
        <f>astrogrep_path&amp;" /e /r /s /spath="&amp;search_path&amp;" /stypes=""app*"&amp;TUW28&amp;"*"&amp;TEXT(TVD28-utc_offset/24,"YYYYMMDD")&amp;"*"" /stext="" "&amp;TEXT(TVD28-utc_offset/24,"HH")&amp;search_regexp&amp;""""</f>
        <v>#REF!</v>
      </c>
      <c r="TWB28" s="234" t="e">
        <f>astrogrep_path&amp;" /e /r /s /spath="&amp;search_path&amp;" /stypes=""app*"&amp;TUX28&amp;"*"&amp;TEXT(TVE28-utc_offset/24,"YYYYMMDD")&amp;"*"" /stext="" "&amp;TEXT(TVE28-utc_offset/24,"HH")&amp;search_regexp&amp;""""</f>
        <v>#REF!</v>
      </c>
      <c r="TWC28" s="234" t="e">
        <f>astrogrep_path&amp;" /e /r /s /spath="&amp;search_path&amp;" /stypes=""app*"&amp;TUY28&amp;"*"&amp;TEXT(TVF28-utc_offset/24,"YYYYMMDD")&amp;"*"" /stext="" "&amp;TEXT(TVF28-utc_offset/24,"HH")&amp;search_regexp&amp;""""</f>
        <v>#REF!</v>
      </c>
      <c r="TWD28" s="234" t="e">
        <f>astrogrep_path&amp;" /e /r /s /spath="&amp;search_path&amp;" /stypes=""app*"&amp;TUZ28&amp;"*"&amp;TEXT(TVG28-utc_offset/24,"YYYYMMDD")&amp;"*"" /stext="" "&amp;TEXT(TVG28-utc_offset/24,"HH")&amp;search_regexp&amp;""""</f>
        <v>#REF!</v>
      </c>
      <c r="TWE28" s="234" t="e">
        <f>astrogrep_path&amp;" /e /r /s /spath="&amp;search_path&amp;" /stypes=""app*"&amp;TVA28&amp;"*"&amp;TEXT(TVH28-utc_offset/24,"YYYYMMDD")&amp;"*"" /stext="" "&amp;TEXT(TVH28-utc_offset/24,"HH")&amp;search_regexp&amp;""""</f>
        <v>#REF!</v>
      </c>
      <c r="TWF28" s="234" t="e">
        <f>astrogrep_path&amp;" /e /r /s /spath="&amp;search_path&amp;" /stypes=""app*"&amp;TVB28&amp;"*"&amp;TEXT(TVI28-utc_offset/24,"YYYYMMDD")&amp;"*"" /stext="" "&amp;TEXT(TVI28-utc_offset/24,"HH")&amp;search_regexp&amp;""""</f>
        <v>#REF!</v>
      </c>
      <c r="TWG28" s="234" t="e">
        <f>astrogrep_path&amp;" /e /r /s /spath="&amp;search_path&amp;" /stypes=""app*"&amp;TVC28&amp;"*"&amp;TEXT(TVJ28-utc_offset/24,"YYYYMMDD")&amp;"*"" /stext="" "&amp;TEXT(TVJ28-utc_offset/24,"HH")&amp;search_regexp&amp;""""</f>
        <v>#REF!</v>
      </c>
      <c r="TWH28" s="234" t="e">
        <f>astrogrep_path&amp;" /e /r /s /spath="&amp;search_path&amp;" /stypes=""app*"&amp;TVD28&amp;"*"&amp;TEXT(TVK28-utc_offset/24,"YYYYMMDD")&amp;"*"" /stext="" "&amp;TEXT(TVK28-utc_offset/24,"HH")&amp;search_regexp&amp;""""</f>
        <v>#REF!</v>
      </c>
      <c r="TWI28" s="234" t="e">
        <f>astrogrep_path&amp;" /e /r /s /spath="&amp;search_path&amp;" /stypes=""app*"&amp;TVE28&amp;"*"&amp;TEXT(TVL28-utc_offset/24,"YYYYMMDD")&amp;"*"" /stext="" "&amp;TEXT(TVL28-utc_offset/24,"HH")&amp;search_regexp&amp;""""</f>
        <v>#REF!</v>
      </c>
      <c r="TWJ28" s="234" t="e">
        <f>astrogrep_path&amp;" /e /r /s /spath="&amp;search_path&amp;" /stypes=""app*"&amp;TVF28&amp;"*"&amp;TEXT(TVM28-utc_offset/24,"YYYYMMDD")&amp;"*"" /stext="" "&amp;TEXT(TVM28-utc_offset/24,"HH")&amp;search_regexp&amp;""""</f>
        <v>#REF!</v>
      </c>
      <c r="TWK28" s="234" t="e">
        <f>astrogrep_path&amp;" /e /r /s /spath="&amp;search_path&amp;" /stypes=""app*"&amp;TVG28&amp;"*"&amp;TEXT(TVN28-utc_offset/24,"YYYYMMDD")&amp;"*"" /stext="" "&amp;TEXT(TVN28-utc_offset/24,"HH")&amp;search_regexp&amp;""""</f>
        <v>#REF!</v>
      </c>
      <c r="TWL28" s="234" t="e">
        <f>astrogrep_path&amp;" /e /r /s /spath="&amp;search_path&amp;" /stypes=""app*"&amp;TVH28&amp;"*"&amp;TEXT(TVO28-utc_offset/24,"YYYYMMDD")&amp;"*"" /stext="" "&amp;TEXT(TVO28-utc_offset/24,"HH")&amp;search_regexp&amp;""""</f>
        <v>#REF!</v>
      </c>
      <c r="TWM28" s="234" t="e">
        <f>astrogrep_path&amp;" /e /r /s /spath="&amp;search_path&amp;" /stypes=""app*"&amp;TVI28&amp;"*"&amp;TEXT(TVP28-utc_offset/24,"YYYYMMDD")&amp;"*"" /stext="" "&amp;TEXT(TVP28-utc_offset/24,"HH")&amp;search_regexp&amp;""""</f>
        <v>#VALUE!</v>
      </c>
      <c r="TWN28" s="234" t="e">
        <f>astrogrep_path&amp;" /e /r /s /spath="&amp;search_path&amp;" /stypes=""app*"&amp;TVJ28&amp;"*"&amp;TEXT(TVQ28-utc_offset/24,"YYYYMMDD")&amp;"*"" /stext="" "&amp;TEXT(TVQ28-utc_offset/24,"HH")&amp;search_regexp&amp;""""</f>
        <v>#VALUE!</v>
      </c>
      <c r="TWO28" s="234" t="e">
        <f>astrogrep_path&amp;" /e /r /s /spath="&amp;search_path&amp;" /stypes=""app*"&amp;TVK28&amp;"*"&amp;TEXT(TVR28-utc_offset/24,"YYYYMMDD")&amp;"*"" /stext="" "&amp;TEXT(TVR28-utc_offset/24,"HH")&amp;search_regexp&amp;""""</f>
        <v>#REF!</v>
      </c>
      <c r="TWP28" s="234" t="e">
        <f>astrogrep_path&amp;" /e /r /s /spath="&amp;search_path&amp;" /stypes=""app*"&amp;TVL28&amp;"*"&amp;TEXT(TVS28-utc_offset/24,"YYYYMMDD")&amp;"*"" /stext="" "&amp;TEXT(TVS28-utc_offset/24,"HH")&amp;search_regexp&amp;""""</f>
        <v>#REF!</v>
      </c>
      <c r="TWQ28" s="234" t="e">
        <f>astrogrep_path&amp;" /e /r /s /spath="&amp;search_path&amp;" /stypes=""app*"&amp;TVM28&amp;"*"&amp;TEXT(TVT28-utc_offset/24,"YYYYMMDD")&amp;"*"" /stext="" "&amp;TEXT(TVT28-utc_offset/24,"HH")&amp;search_regexp&amp;""""</f>
        <v>#VALUE!</v>
      </c>
      <c r="TWR28" s="234" t="e">
        <f>astrogrep_path&amp;" /e /r /s /spath="&amp;search_path&amp;" /stypes=""app*"&amp;TVN28&amp;"*"&amp;TEXT(TVU28-utc_offset/24,"YYYYMMDD")&amp;"*"" /stext="" "&amp;TEXT(TVU28-utc_offset/24,"HH")&amp;search_regexp&amp;""""</f>
        <v>#VALUE!</v>
      </c>
      <c r="TWS28" s="234" t="e">
        <f>astrogrep_path&amp;" /e /r /s /spath="&amp;search_path&amp;" /stypes=""app*"&amp;TVO28&amp;"*"&amp;TEXT(TVV28-utc_offset/24,"YYYYMMDD")&amp;"*"" /stext="" "&amp;TEXT(TVV28-utc_offset/24,"HH")&amp;search_regexp&amp;""""</f>
        <v>#VALUE!</v>
      </c>
      <c r="TWT28" s="234" t="e">
        <f>astrogrep_path&amp;" /e /r /s /spath="&amp;search_path&amp;" /stypes=""app*"&amp;TVP28&amp;"*"&amp;TEXT(TVW28-utc_offset/24,"YYYYMMDD")&amp;"*"" /stext="" "&amp;TEXT(TVW28-utc_offset/24,"HH")&amp;search_regexp&amp;""""</f>
        <v>#VALUE!</v>
      </c>
      <c r="TWU28" s="234" t="e">
        <f>astrogrep_path&amp;" /e /r /s /spath="&amp;search_path&amp;" /stypes=""app*"&amp;TVQ28&amp;"*"&amp;TEXT(TVX28-utc_offset/24,"YYYYMMDD")&amp;"*"" /stext="" "&amp;TEXT(TVX28-utc_offset/24,"HH")&amp;search_regexp&amp;""""</f>
        <v>#VALUE!</v>
      </c>
      <c r="TWV28" s="234" t="e">
        <f>astrogrep_path&amp;" /e /r /s /spath="&amp;search_path&amp;" /stypes=""app*"&amp;TVR28&amp;"*"&amp;TEXT(TVY28-utc_offset/24,"YYYYMMDD")&amp;"*"" /stext="" "&amp;TEXT(TVY28-utc_offset/24,"HH")&amp;search_regexp&amp;""""</f>
        <v>#REF!</v>
      </c>
      <c r="TWW28" s="234" t="e">
        <f>astrogrep_path&amp;" /e /r /s /spath="&amp;search_path&amp;" /stypes=""app*"&amp;TVS28&amp;"*"&amp;TEXT(TVZ28-utc_offset/24,"YYYYMMDD")&amp;"*"" /stext="" "&amp;TEXT(TVZ28-utc_offset/24,"HH")&amp;search_regexp&amp;""""</f>
        <v>#REF!</v>
      </c>
      <c r="TWX28" s="234" t="e">
        <f>astrogrep_path&amp;" /e /r /s /spath="&amp;search_path&amp;" /stypes=""app*"&amp;TVT28&amp;"*"&amp;TEXT(TWA28-utc_offset/24,"YYYYMMDD")&amp;"*"" /stext="" "&amp;TEXT(TWA28-utc_offset/24,"HH")&amp;search_regexp&amp;""""</f>
        <v>#REF!</v>
      </c>
      <c r="TWY28" s="234" t="e">
        <f>astrogrep_path&amp;" /e /r /s /spath="&amp;search_path&amp;" /stypes=""app*"&amp;TVU28&amp;"*"&amp;TEXT(TWB28-utc_offset/24,"YYYYMMDD")&amp;"*"" /stext="" "&amp;TEXT(TWB28-utc_offset/24,"HH")&amp;search_regexp&amp;""""</f>
        <v>#REF!</v>
      </c>
      <c r="TWZ28" s="234" t="e">
        <f>astrogrep_path&amp;" /e /r /s /spath="&amp;search_path&amp;" /stypes=""app*"&amp;TVV28&amp;"*"&amp;TEXT(TWC28-utc_offset/24,"YYYYMMDD")&amp;"*"" /stext="" "&amp;TEXT(TWC28-utc_offset/24,"HH")&amp;search_regexp&amp;""""</f>
        <v>#REF!</v>
      </c>
      <c r="TXA28" s="234" t="e">
        <f>astrogrep_path&amp;" /e /r /s /spath="&amp;search_path&amp;" /stypes=""app*"&amp;TVW28&amp;"*"&amp;TEXT(TWD28-utc_offset/24,"YYYYMMDD")&amp;"*"" /stext="" "&amp;TEXT(TWD28-utc_offset/24,"HH")&amp;search_regexp&amp;""""</f>
        <v>#REF!</v>
      </c>
      <c r="TXB28" s="234" t="e">
        <f>astrogrep_path&amp;" /e /r /s /spath="&amp;search_path&amp;" /stypes=""app*"&amp;TVX28&amp;"*"&amp;TEXT(TWE28-utc_offset/24,"YYYYMMDD")&amp;"*"" /stext="" "&amp;TEXT(TWE28-utc_offset/24,"HH")&amp;search_regexp&amp;""""</f>
        <v>#REF!</v>
      </c>
      <c r="TXC28" s="234" t="e">
        <f>astrogrep_path&amp;" /e /r /s /spath="&amp;search_path&amp;" /stypes=""app*"&amp;TVY28&amp;"*"&amp;TEXT(TWF28-utc_offset/24,"YYYYMMDD")&amp;"*"" /stext="" "&amp;TEXT(TWF28-utc_offset/24,"HH")&amp;search_regexp&amp;""""</f>
        <v>#REF!</v>
      </c>
      <c r="TXD28" s="234" t="e">
        <f>astrogrep_path&amp;" /e /r /s /spath="&amp;search_path&amp;" /stypes=""app*"&amp;TVZ28&amp;"*"&amp;TEXT(TWG28-utc_offset/24,"YYYYMMDD")&amp;"*"" /stext="" "&amp;TEXT(TWG28-utc_offset/24,"HH")&amp;search_regexp&amp;""""</f>
        <v>#REF!</v>
      </c>
      <c r="TXE28" s="234" t="e">
        <f>astrogrep_path&amp;" /e /r /s /spath="&amp;search_path&amp;" /stypes=""app*"&amp;TWA28&amp;"*"&amp;TEXT(TWH28-utc_offset/24,"YYYYMMDD")&amp;"*"" /stext="" "&amp;TEXT(TWH28-utc_offset/24,"HH")&amp;search_regexp&amp;""""</f>
        <v>#REF!</v>
      </c>
      <c r="TXF28" s="234" t="e">
        <f>astrogrep_path&amp;" /e /r /s /spath="&amp;search_path&amp;" /stypes=""app*"&amp;TWB28&amp;"*"&amp;TEXT(TWI28-utc_offset/24,"YYYYMMDD")&amp;"*"" /stext="" "&amp;TEXT(TWI28-utc_offset/24,"HH")&amp;search_regexp&amp;""""</f>
        <v>#REF!</v>
      </c>
      <c r="TXG28" s="234" t="e">
        <f>astrogrep_path&amp;" /e /r /s /spath="&amp;search_path&amp;" /stypes=""app*"&amp;TWC28&amp;"*"&amp;TEXT(TWJ28-utc_offset/24,"YYYYMMDD")&amp;"*"" /stext="" "&amp;TEXT(TWJ28-utc_offset/24,"HH")&amp;search_regexp&amp;""""</f>
        <v>#REF!</v>
      </c>
      <c r="TXH28" s="234" t="e">
        <f>astrogrep_path&amp;" /e /r /s /spath="&amp;search_path&amp;" /stypes=""app*"&amp;TWD28&amp;"*"&amp;TEXT(TWK28-utc_offset/24,"YYYYMMDD")&amp;"*"" /stext="" "&amp;TEXT(TWK28-utc_offset/24,"HH")&amp;search_regexp&amp;""""</f>
        <v>#REF!</v>
      </c>
      <c r="TXI28" s="234" t="e">
        <f>astrogrep_path&amp;" /e /r /s /spath="&amp;search_path&amp;" /stypes=""app*"&amp;TWE28&amp;"*"&amp;TEXT(TWL28-utc_offset/24,"YYYYMMDD")&amp;"*"" /stext="" "&amp;TEXT(TWL28-utc_offset/24,"HH")&amp;search_regexp&amp;""""</f>
        <v>#REF!</v>
      </c>
      <c r="TXJ28" s="234" t="e">
        <f>astrogrep_path&amp;" /e /r /s /spath="&amp;search_path&amp;" /stypes=""app*"&amp;TWF28&amp;"*"&amp;TEXT(TWM28-utc_offset/24,"YYYYMMDD")&amp;"*"" /stext="" "&amp;TEXT(TWM28-utc_offset/24,"HH")&amp;search_regexp&amp;""""</f>
        <v>#REF!</v>
      </c>
      <c r="TXK28" s="234" t="e">
        <f>astrogrep_path&amp;" /e /r /s /spath="&amp;search_path&amp;" /stypes=""app*"&amp;TWG28&amp;"*"&amp;TEXT(TWN28-utc_offset/24,"YYYYMMDD")&amp;"*"" /stext="" "&amp;TEXT(TWN28-utc_offset/24,"HH")&amp;search_regexp&amp;""""</f>
        <v>#REF!</v>
      </c>
      <c r="TXL28" s="234" t="e">
        <f>astrogrep_path&amp;" /e /r /s /spath="&amp;search_path&amp;" /stypes=""app*"&amp;TWH28&amp;"*"&amp;TEXT(TWO28-utc_offset/24,"YYYYMMDD")&amp;"*"" /stext="" "&amp;TEXT(TWO28-utc_offset/24,"HH")&amp;search_regexp&amp;""""</f>
        <v>#REF!</v>
      </c>
      <c r="TXM28" s="234" t="e">
        <f>astrogrep_path&amp;" /e /r /s /spath="&amp;search_path&amp;" /stypes=""app*"&amp;TWI28&amp;"*"&amp;TEXT(TWP28-utc_offset/24,"YYYYMMDD")&amp;"*"" /stext="" "&amp;TEXT(TWP28-utc_offset/24,"HH")&amp;search_regexp&amp;""""</f>
        <v>#REF!</v>
      </c>
      <c r="TXN28" s="234" t="e">
        <f>astrogrep_path&amp;" /e /r /s /spath="&amp;search_path&amp;" /stypes=""app*"&amp;TWJ28&amp;"*"&amp;TEXT(TWQ28-utc_offset/24,"YYYYMMDD")&amp;"*"" /stext="" "&amp;TEXT(TWQ28-utc_offset/24,"HH")&amp;search_regexp&amp;""""</f>
        <v>#REF!</v>
      </c>
      <c r="TXO28" s="234" t="e">
        <f>astrogrep_path&amp;" /e /r /s /spath="&amp;search_path&amp;" /stypes=""app*"&amp;TWK28&amp;"*"&amp;TEXT(TWR28-utc_offset/24,"YYYYMMDD")&amp;"*"" /stext="" "&amp;TEXT(TWR28-utc_offset/24,"HH")&amp;search_regexp&amp;""""</f>
        <v>#REF!</v>
      </c>
      <c r="TXP28" s="234" t="e">
        <f>astrogrep_path&amp;" /e /r /s /spath="&amp;search_path&amp;" /stypes=""app*"&amp;TWL28&amp;"*"&amp;TEXT(TWS28-utc_offset/24,"YYYYMMDD")&amp;"*"" /stext="" "&amp;TEXT(TWS28-utc_offset/24,"HH")&amp;search_regexp&amp;""""</f>
        <v>#REF!</v>
      </c>
      <c r="TXQ28" s="234" t="e">
        <f>astrogrep_path&amp;" /e /r /s /spath="&amp;search_path&amp;" /stypes=""app*"&amp;TWM28&amp;"*"&amp;TEXT(TWT28-utc_offset/24,"YYYYMMDD")&amp;"*"" /stext="" "&amp;TEXT(TWT28-utc_offset/24,"HH")&amp;search_regexp&amp;""""</f>
        <v>#VALUE!</v>
      </c>
      <c r="TXR28" s="234" t="e">
        <f>astrogrep_path&amp;" /e /r /s /spath="&amp;search_path&amp;" /stypes=""app*"&amp;TWN28&amp;"*"&amp;TEXT(TWU28-utc_offset/24,"YYYYMMDD")&amp;"*"" /stext="" "&amp;TEXT(TWU28-utc_offset/24,"HH")&amp;search_regexp&amp;""""</f>
        <v>#VALUE!</v>
      </c>
      <c r="TXS28" s="234" t="e">
        <f>astrogrep_path&amp;" /e /r /s /spath="&amp;search_path&amp;" /stypes=""app*"&amp;TWO28&amp;"*"&amp;TEXT(TWV28-utc_offset/24,"YYYYMMDD")&amp;"*"" /stext="" "&amp;TEXT(TWV28-utc_offset/24,"HH")&amp;search_regexp&amp;""""</f>
        <v>#REF!</v>
      </c>
      <c r="TXT28" s="234" t="e">
        <f>astrogrep_path&amp;" /e /r /s /spath="&amp;search_path&amp;" /stypes=""app*"&amp;TWP28&amp;"*"&amp;TEXT(TWW28-utc_offset/24,"YYYYMMDD")&amp;"*"" /stext="" "&amp;TEXT(TWW28-utc_offset/24,"HH")&amp;search_regexp&amp;""""</f>
        <v>#REF!</v>
      </c>
      <c r="TXU28" s="234" t="e">
        <f>astrogrep_path&amp;" /e /r /s /spath="&amp;search_path&amp;" /stypes=""app*"&amp;TWQ28&amp;"*"&amp;TEXT(TWX28-utc_offset/24,"YYYYMMDD")&amp;"*"" /stext="" "&amp;TEXT(TWX28-utc_offset/24,"HH")&amp;search_regexp&amp;""""</f>
        <v>#VALUE!</v>
      </c>
      <c r="TXV28" s="234" t="e">
        <f>astrogrep_path&amp;" /e /r /s /spath="&amp;search_path&amp;" /stypes=""app*"&amp;TWR28&amp;"*"&amp;TEXT(TWY28-utc_offset/24,"YYYYMMDD")&amp;"*"" /stext="" "&amp;TEXT(TWY28-utc_offset/24,"HH")&amp;search_regexp&amp;""""</f>
        <v>#VALUE!</v>
      </c>
      <c r="TXW28" s="234" t="e">
        <f>astrogrep_path&amp;" /e /r /s /spath="&amp;search_path&amp;" /stypes=""app*"&amp;TWS28&amp;"*"&amp;TEXT(TWZ28-utc_offset/24,"YYYYMMDD")&amp;"*"" /stext="" "&amp;TEXT(TWZ28-utc_offset/24,"HH")&amp;search_regexp&amp;""""</f>
        <v>#VALUE!</v>
      </c>
      <c r="TXX28" s="234" t="e">
        <f>astrogrep_path&amp;" /e /r /s /spath="&amp;search_path&amp;" /stypes=""app*"&amp;TWT28&amp;"*"&amp;TEXT(TXA28-utc_offset/24,"YYYYMMDD")&amp;"*"" /stext="" "&amp;TEXT(TXA28-utc_offset/24,"HH")&amp;search_regexp&amp;""""</f>
        <v>#VALUE!</v>
      </c>
      <c r="TXY28" s="234" t="e">
        <f>astrogrep_path&amp;" /e /r /s /spath="&amp;search_path&amp;" /stypes=""app*"&amp;TWU28&amp;"*"&amp;TEXT(TXB28-utc_offset/24,"YYYYMMDD")&amp;"*"" /stext="" "&amp;TEXT(TXB28-utc_offset/24,"HH")&amp;search_regexp&amp;""""</f>
        <v>#VALUE!</v>
      </c>
      <c r="TXZ28" s="234" t="e">
        <f>astrogrep_path&amp;" /e /r /s /spath="&amp;search_path&amp;" /stypes=""app*"&amp;TWV28&amp;"*"&amp;TEXT(TXC28-utc_offset/24,"YYYYMMDD")&amp;"*"" /stext="" "&amp;TEXT(TXC28-utc_offset/24,"HH")&amp;search_regexp&amp;""""</f>
        <v>#REF!</v>
      </c>
      <c r="TYA28" s="234" t="e">
        <f>astrogrep_path&amp;" /e /r /s /spath="&amp;search_path&amp;" /stypes=""app*"&amp;TWW28&amp;"*"&amp;TEXT(TXD28-utc_offset/24,"YYYYMMDD")&amp;"*"" /stext="" "&amp;TEXT(TXD28-utc_offset/24,"HH")&amp;search_regexp&amp;""""</f>
        <v>#REF!</v>
      </c>
      <c r="TYB28" s="234" t="e">
        <f>astrogrep_path&amp;" /e /r /s /spath="&amp;search_path&amp;" /stypes=""app*"&amp;TWX28&amp;"*"&amp;TEXT(TXE28-utc_offset/24,"YYYYMMDD")&amp;"*"" /stext="" "&amp;TEXT(TXE28-utc_offset/24,"HH")&amp;search_regexp&amp;""""</f>
        <v>#REF!</v>
      </c>
      <c r="TYC28" s="234" t="e">
        <f>astrogrep_path&amp;" /e /r /s /spath="&amp;search_path&amp;" /stypes=""app*"&amp;TWY28&amp;"*"&amp;TEXT(TXF28-utc_offset/24,"YYYYMMDD")&amp;"*"" /stext="" "&amp;TEXT(TXF28-utc_offset/24,"HH")&amp;search_regexp&amp;""""</f>
        <v>#REF!</v>
      </c>
      <c r="TYD28" s="234" t="e">
        <f>astrogrep_path&amp;" /e /r /s /spath="&amp;search_path&amp;" /stypes=""app*"&amp;TWZ28&amp;"*"&amp;TEXT(TXG28-utc_offset/24,"YYYYMMDD")&amp;"*"" /stext="" "&amp;TEXT(TXG28-utc_offset/24,"HH")&amp;search_regexp&amp;""""</f>
        <v>#REF!</v>
      </c>
      <c r="TYE28" s="234" t="e">
        <f>astrogrep_path&amp;" /e /r /s /spath="&amp;search_path&amp;" /stypes=""app*"&amp;TXA28&amp;"*"&amp;TEXT(TXH28-utc_offset/24,"YYYYMMDD")&amp;"*"" /stext="" "&amp;TEXT(TXH28-utc_offset/24,"HH")&amp;search_regexp&amp;""""</f>
        <v>#REF!</v>
      </c>
      <c r="TYF28" s="234" t="e">
        <f>astrogrep_path&amp;" /e /r /s /spath="&amp;search_path&amp;" /stypes=""app*"&amp;TXB28&amp;"*"&amp;TEXT(TXI28-utc_offset/24,"YYYYMMDD")&amp;"*"" /stext="" "&amp;TEXT(TXI28-utc_offset/24,"HH")&amp;search_regexp&amp;""""</f>
        <v>#REF!</v>
      </c>
      <c r="TYG28" s="234" t="e">
        <f>astrogrep_path&amp;" /e /r /s /spath="&amp;search_path&amp;" /stypes=""app*"&amp;TXC28&amp;"*"&amp;TEXT(TXJ28-utc_offset/24,"YYYYMMDD")&amp;"*"" /stext="" "&amp;TEXT(TXJ28-utc_offset/24,"HH")&amp;search_regexp&amp;""""</f>
        <v>#REF!</v>
      </c>
      <c r="TYH28" s="234" t="e">
        <f>astrogrep_path&amp;" /e /r /s /spath="&amp;search_path&amp;" /stypes=""app*"&amp;TXD28&amp;"*"&amp;TEXT(TXK28-utc_offset/24,"YYYYMMDD")&amp;"*"" /stext="" "&amp;TEXT(TXK28-utc_offset/24,"HH")&amp;search_regexp&amp;""""</f>
        <v>#REF!</v>
      </c>
      <c r="TYI28" s="234" t="e">
        <f>astrogrep_path&amp;" /e /r /s /spath="&amp;search_path&amp;" /stypes=""app*"&amp;TXE28&amp;"*"&amp;TEXT(TXL28-utc_offset/24,"YYYYMMDD")&amp;"*"" /stext="" "&amp;TEXT(TXL28-utc_offset/24,"HH")&amp;search_regexp&amp;""""</f>
        <v>#REF!</v>
      </c>
      <c r="TYJ28" s="234" t="e">
        <f>astrogrep_path&amp;" /e /r /s /spath="&amp;search_path&amp;" /stypes=""app*"&amp;TXF28&amp;"*"&amp;TEXT(TXM28-utc_offset/24,"YYYYMMDD")&amp;"*"" /stext="" "&amp;TEXT(TXM28-utc_offset/24,"HH")&amp;search_regexp&amp;""""</f>
        <v>#REF!</v>
      </c>
      <c r="TYK28" s="234" t="e">
        <f>astrogrep_path&amp;" /e /r /s /spath="&amp;search_path&amp;" /stypes=""app*"&amp;TXG28&amp;"*"&amp;TEXT(TXN28-utc_offset/24,"YYYYMMDD")&amp;"*"" /stext="" "&amp;TEXT(TXN28-utc_offset/24,"HH")&amp;search_regexp&amp;""""</f>
        <v>#REF!</v>
      </c>
      <c r="TYL28" s="234" t="e">
        <f>astrogrep_path&amp;" /e /r /s /spath="&amp;search_path&amp;" /stypes=""app*"&amp;TXH28&amp;"*"&amp;TEXT(TXO28-utc_offset/24,"YYYYMMDD")&amp;"*"" /stext="" "&amp;TEXT(TXO28-utc_offset/24,"HH")&amp;search_regexp&amp;""""</f>
        <v>#REF!</v>
      </c>
      <c r="TYM28" s="234" t="e">
        <f>astrogrep_path&amp;" /e /r /s /spath="&amp;search_path&amp;" /stypes=""app*"&amp;TXI28&amp;"*"&amp;TEXT(TXP28-utc_offset/24,"YYYYMMDD")&amp;"*"" /stext="" "&amp;TEXT(TXP28-utc_offset/24,"HH")&amp;search_regexp&amp;""""</f>
        <v>#REF!</v>
      </c>
      <c r="TYN28" s="234" t="e">
        <f>astrogrep_path&amp;" /e /r /s /spath="&amp;search_path&amp;" /stypes=""app*"&amp;TXJ28&amp;"*"&amp;TEXT(TXQ28-utc_offset/24,"YYYYMMDD")&amp;"*"" /stext="" "&amp;TEXT(TXQ28-utc_offset/24,"HH")&amp;search_regexp&amp;""""</f>
        <v>#REF!</v>
      </c>
      <c r="TYO28" s="234" t="e">
        <f>astrogrep_path&amp;" /e /r /s /spath="&amp;search_path&amp;" /stypes=""app*"&amp;TXK28&amp;"*"&amp;TEXT(TXR28-utc_offset/24,"YYYYMMDD")&amp;"*"" /stext="" "&amp;TEXT(TXR28-utc_offset/24,"HH")&amp;search_regexp&amp;""""</f>
        <v>#REF!</v>
      </c>
      <c r="TYP28" s="234" t="e">
        <f>astrogrep_path&amp;" /e /r /s /spath="&amp;search_path&amp;" /stypes=""app*"&amp;TXL28&amp;"*"&amp;TEXT(TXS28-utc_offset/24,"YYYYMMDD")&amp;"*"" /stext="" "&amp;TEXT(TXS28-utc_offset/24,"HH")&amp;search_regexp&amp;""""</f>
        <v>#REF!</v>
      </c>
      <c r="TYQ28" s="234" t="e">
        <f>astrogrep_path&amp;" /e /r /s /spath="&amp;search_path&amp;" /stypes=""app*"&amp;TXM28&amp;"*"&amp;TEXT(TXT28-utc_offset/24,"YYYYMMDD")&amp;"*"" /stext="" "&amp;TEXT(TXT28-utc_offset/24,"HH")&amp;search_regexp&amp;""""</f>
        <v>#REF!</v>
      </c>
      <c r="TYR28" s="234" t="e">
        <f>astrogrep_path&amp;" /e /r /s /spath="&amp;search_path&amp;" /stypes=""app*"&amp;TXN28&amp;"*"&amp;TEXT(TXU28-utc_offset/24,"YYYYMMDD")&amp;"*"" /stext="" "&amp;TEXT(TXU28-utc_offset/24,"HH")&amp;search_regexp&amp;""""</f>
        <v>#REF!</v>
      </c>
      <c r="TYS28" s="234" t="e">
        <f>astrogrep_path&amp;" /e /r /s /spath="&amp;search_path&amp;" /stypes=""app*"&amp;TXO28&amp;"*"&amp;TEXT(TXV28-utc_offset/24,"YYYYMMDD")&amp;"*"" /stext="" "&amp;TEXT(TXV28-utc_offset/24,"HH")&amp;search_regexp&amp;""""</f>
        <v>#REF!</v>
      </c>
      <c r="TYT28" s="234" t="e">
        <f>astrogrep_path&amp;" /e /r /s /spath="&amp;search_path&amp;" /stypes=""app*"&amp;TXP28&amp;"*"&amp;TEXT(TXW28-utc_offset/24,"YYYYMMDD")&amp;"*"" /stext="" "&amp;TEXT(TXW28-utc_offset/24,"HH")&amp;search_regexp&amp;""""</f>
        <v>#REF!</v>
      </c>
      <c r="TYU28" s="234" t="e">
        <f>astrogrep_path&amp;" /e /r /s /spath="&amp;search_path&amp;" /stypes=""app*"&amp;TXQ28&amp;"*"&amp;TEXT(TXX28-utc_offset/24,"YYYYMMDD")&amp;"*"" /stext="" "&amp;TEXT(TXX28-utc_offset/24,"HH")&amp;search_regexp&amp;""""</f>
        <v>#VALUE!</v>
      </c>
      <c r="TYV28" s="234" t="e">
        <f>astrogrep_path&amp;" /e /r /s /spath="&amp;search_path&amp;" /stypes=""app*"&amp;TXR28&amp;"*"&amp;TEXT(TXY28-utc_offset/24,"YYYYMMDD")&amp;"*"" /stext="" "&amp;TEXT(TXY28-utc_offset/24,"HH")&amp;search_regexp&amp;""""</f>
        <v>#VALUE!</v>
      </c>
      <c r="TYW28" s="234" t="e">
        <f>astrogrep_path&amp;" /e /r /s /spath="&amp;search_path&amp;" /stypes=""app*"&amp;TXS28&amp;"*"&amp;TEXT(TXZ28-utc_offset/24,"YYYYMMDD")&amp;"*"" /stext="" "&amp;TEXT(TXZ28-utc_offset/24,"HH")&amp;search_regexp&amp;""""</f>
        <v>#REF!</v>
      </c>
      <c r="TYX28" s="234" t="e">
        <f>astrogrep_path&amp;" /e /r /s /spath="&amp;search_path&amp;" /stypes=""app*"&amp;TXT28&amp;"*"&amp;TEXT(TYA28-utc_offset/24,"YYYYMMDD")&amp;"*"" /stext="" "&amp;TEXT(TYA28-utc_offset/24,"HH")&amp;search_regexp&amp;""""</f>
        <v>#REF!</v>
      </c>
      <c r="TYY28" s="234" t="e">
        <f>astrogrep_path&amp;" /e /r /s /spath="&amp;search_path&amp;" /stypes=""app*"&amp;TXU28&amp;"*"&amp;TEXT(TYB28-utc_offset/24,"YYYYMMDD")&amp;"*"" /stext="" "&amp;TEXT(TYB28-utc_offset/24,"HH")&amp;search_regexp&amp;""""</f>
        <v>#VALUE!</v>
      </c>
      <c r="TYZ28" s="234" t="e">
        <f>astrogrep_path&amp;" /e /r /s /spath="&amp;search_path&amp;" /stypes=""app*"&amp;TXV28&amp;"*"&amp;TEXT(TYC28-utc_offset/24,"YYYYMMDD")&amp;"*"" /stext="" "&amp;TEXT(TYC28-utc_offset/24,"HH")&amp;search_regexp&amp;""""</f>
        <v>#VALUE!</v>
      </c>
      <c r="TZA28" s="234" t="e">
        <f>astrogrep_path&amp;" /e /r /s /spath="&amp;search_path&amp;" /stypes=""app*"&amp;TXW28&amp;"*"&amp;TEXT(TYD28-utc_offset/24,"YYYYMMDD")&amp;"*"" /stext="" "&amp;TEXT(TYD28-utc_offset/24,"HH")&amp;search_regexp&amp;""""</f>
        <v>#VALUE!</v>
      </c>
      <c r="TZB28" s="234" t="e">
        <f>astrogrep_path&amp;" /e /r /s /spath="&amp;search_path&amp;" /stypes=""app*"&amp;TXX28&amp;"*"&amp;TEXT(TYE28-utc_offset/24,"YYYYMMDD")&amp;"*"" /stext="" "&amp;TEXT(TYE28-utc_offset/24,"HH")&amp;search_regexp&amp;""""</f>
        <v>#VALUE!</v>
      </c>
      <c r="TZC28" s="234" t="e">
        <f>astrogrep_path&amp;" /e /r /s /spath="&amp;search_path&amp;" /stypes=""app*"&amp;TXY28&amp;"*"&amp;TEXT(TYF28-utc_offset/24,"YYYYMMDD")&amp;"*"" /stext="" "&amp;TEXT(TYF28-utc_offset/24,"HH")&amp;search_regexp&amp;""""</f>
        <v>#VALUE!</v>
      </c>
      <c r="TZD28" s="234" t="e">
        <f>astrogrep_path&amp;" /e /r /s /spath="&amp;search_path&amp;" /stypes=""app*"&amp;TXZ28&amp;"*"&amp;TEXT(TYG28-utc_offset/24,"YYYYMMDD")&amp;"*"" /stext="" "&amp;TEXT(TYG28-utc_offset/24,"HH")&amp;search_regexp&amp;""""</f>
        <v>#REF!</v>
      </c>
      <c r="TZE28" s="234" t="e">
        <f>astrogrep_path&amp;" /e /r /s /spath="&amp;search_path&amp;" /stypes=""app*"&amp;TYA28&amp;"*"&amp;TEXT(TYH28-utc_offset/24,"YYYYMMDD")&amp;"*"" /stext="" "&amp;TEXT(TYH28-utc_offset/24,"HH")&amp;search_regexp&amp;""""</f>
        <v>#REF!</v>
      </c>
      <c r="TZF28" s="234" t="e">
        <f>astrogrep_path&amp;" /e /r /s /spath="&amp;search_path&amp;" /stypes=""app*"&amp;TYB28&amp;"*"&amp;TEXT(TYI28-utc_offset/24,"YYYYMMDD")&amp;"*"" /stext="" "&amp;TEXT(TYI28-utc_offset/24,"HH")&amp;search_regexp&amp;""""</f>
        <v>#REF!</v>
      </c>
      <c r="TZG28" s="234" t="e">
        <f>astrogrep_path&amp;" /e /r /s /spath="&amp;search_path&amp;" /stypes=""app*"&amp;TYC28&amp;"*"&amp;TEXT(TYJ28-utc_offset/24,"YYYYMMDD")&amp;"*"" /stext="" "&amp;TEXT(TYJ28-utc_offset/24,"HH")&amp;search_regexp&amp;""""</f>
        <v>#REF!</v>
      </c>
      <c r="TZH28" s="234" t="e">
        <f>astrogrep_path&amp;" /e /r /s /spath="&amp;search_path&amp;" /stypes=""app*"&amp;TYD28&amp;"*"&amp;TEXT(TYK28-utc_offset/24,"YYYYMMDD")&amp;"*"" /stext="" "&amp;TEXT(TYK28-utc_offset/24,"HH")&amp;search_regexp&amp;""""</f>
        <v>#REF!</v>
      </c>
      <c r="TZI28" s="234" t="e">
        <f>astrogrep_path&amp;" /e /r /s /spath="&amp;search_path&amp;" /stypes=""app*"&amp;TYE28&amp;"*"&amp;TEXT(TYL28-utc_offset/24,"YYYYMMDD")&amp;"*"" /stext="" "&amp;TEXT(TYL28-utc_offset/24,"HH")&amp;search_regexp&amp;""""</f>
        <v>#REF!</v>
      </c>
      <c r="TZJ28" s="234" t="e">
        <f>astrogrep_path&amp;" /e /r /s /spath="&amp;search_path&amp;" /stypes=""app*"&amp;TYF28&amp;"*"&amp;TEXT(TYM28-utc_offset/24,"YYYYMMDD")&amp;"*"" /stext="" "&amp;TEXT(TYM28-utc_offset/24,"HH")&amp;search_regexp&amp;""""</f>
        <v>#REF!</v>
      </c>
      <c r="TZK28" s="234" t="e">
        <f>astrogrep_path&amp;" /e /r /s /spath="&amp;search_path&amp;" /stypes=""app*"&amp;TYG28&amp;"*"&amp;TEXT(TYN28-utc_offset/24,"YYYYMMDD")&amp;"*"" /stext="" "&amp;TEXT(TYN28-utc_offset/24,"HH")&amp;search_regexp&amp;""""</f>
        <v>#REF!</v>
      </c>
      <c r="TZL28" s="234" t="e">
        <f>astrogrep_path&amp;" /e /r /s /spath="&amp;search_path&amp;" /stypes=""app*"&amp;TYH28&amp;"*"&amp;TEXT(TYO28-utc_offset/24,"YYYYMMDD")&amp;"*"" /stext="" "&amp;TEXT(TYO28-utc_offset/24,"HH")&amp;search_regexp&amp;""""</f>
        <v>#REF!</v>
      </c>
      <c r="TZM28" s="234" t="e">
        <f>astrogrep_path&amp;" /e /r /s /spath="&amp;search_path&amp;" /stypes=""app*"&amp;TYI28&amp;"*"&amp;TEXT(TYP28-utc_offset/24,"YYYYMMDD")&amp;"*"" /stext="" "&amp;TEXT(TYP28-utc_offset/24,"HH")&amp;search_regexp&amp;""""</f>
        <v>#REF!</v>
      </c>
      <c r="TZN28" s="234" t="e">
        <f>astrogrep_path&amp;" /e /r /s /spath="&amp;search_path&amp;" /stypes=""app*"&amp;TYJ28&amp;"*"&amp;TEXT(TYQ28-utc_offset/24,"YYYYMMDD")&amp;"*"" /stext="" "&amp;TEXT(TYQ28-utc_offset/24,"HH")&amp;search_regexp&amp;""""</f>
        <v>#REF!</v>
      </c>
      <c r="TZO28" s="234" t="e">
        <f>astrogrep_path&amp;" /e /r /s /spath="&amp;search_path&amp;" /stypes=""app*"&amp;TYK28&amp;"*"&amp;TEXT(TYR28-utc_offset/24,"YYYYMMDD")&amp;"*"" /stext="" "&amp;TEXT(TYR28-utc_offset/24,"HH")&amp;search_regexp&amp;""""</f>
        <v>#REF!</v>
      </c>
      <c r="TZP28" s="234" t="e">
        <f>astrogrep_path&amp;" /e /r /s /spath="&amp;search_path&amp;" /stypes=""app*"&amp;TYL28&amp;"*"&amp;TEXT(TYS28-utc_offset/24,"YYYYMMDD")&amp;"*"" /stext="" "&amp;TEXT(TYS28-utc_offset/24,"HH")&amp;search_regexp&amp;""""</f>
        <v>#REF!</v>
      </c>
      <c r="TZQ28" s="234" t="e">
        <f>astrogrep_path&amp;" /e /r /s /spath="&amp;search_path&amp;" /stypes=""app*"&amp;TYM28&amp;"*"&amp;TEXT(TYT28-utc_offset/24,"YYYYMMDD")&amp;"*"" /stext="" "&amp;TEXT(TYT28-utc_offset/24,"HH")&amp;search_regexp&amp;""""</f>
        <v>#REF!</v>
      </c>
      <c r="TZR28" s="234" t="e">
        <f>astrogrep_path&amp;" /e /r /s /spath="&amp;search_path&amp;" /stypes=""app*"&amp;TYN28&amp;"*"&amp;TEXT(TYU28-utc_offset/24,"YYYYMMDD")&amp;"*"" /stext="" "&amp;TEXT(TYU28-utc_offset/24,"HH")&amp;search_regexp&amp;""""</f>
        <v>#REF!</v>
      </c>
      <c r="TZS28" s="234" t="e">
        <f>astrogrep_path&amp;" /e /r /s /spath="&amp;search_path&amp;" /stypes=""app*"&amp;TYO28&amp;"*"&amp;TEXT(TYV28-utc_offset/24,"YYYYMMDD")&amp;"*"" /stext="" "&amp;TEXT(TYV28-utc_offset/24,"HH")&amp;search_regexp&amp;""""</f>
        <v>#REF!</v>
      </c>
      <c r="TZT28" s="234" t="e">
        <f>astrogrep_path&amp;" /e /r /s /spath="&amp;search_path&amp;" /stypes=""app*"&amp;TYP28&amp;"*"&amp;TEXT(TYW28-utc_offset/24,"YYYYMMDD")&amp;"*"" /stext="" "&amp;TEXT(TYW28-utc_offset/24,"HH")&amp;search_regexp&amp;""""</f>
        <v>#REF!</v>
      </c>
      <c r="TZU28" s="234" t="e">
        <f>astrogrep_path&amp;" /e /r /s /spath="&amp;search_path&amp;" /stypes=""app*"&amp;TYQ28&amp;"*"&amp;TEXT(TYX28-utc_offset/24,"YYYYMMDD")&amp;"*"" /stext="" "&amp;TEXT(TYX28-utc_offset/24,"HH")&amp;search_regexp&amp;""""</f>
        <v>#REF!</v>
      </c>
      <c r="TZV28" s="234" t="e">
        <f>astrogrep_path&amp;" /e /r /s /spath="&amp;search_path&amp;" /stypes=""app*"&amp;TYR28&amp;"*"&amp;TEXT(TYY28-utc_offset/24,"YYYYMMDD")&amp;"*"" /stext="" "&amp;TEXT(TYY28-utc_offset/24,"HH")&amp;search_regexp&amp;""""</f>
        <v>#REF!</v>
      </c>
      <c r="TZW28" s="234" t="e">
        <f>astrogrep_path&amp;" /e /r /s /spath="&amp;search_path&amp;" /stypes=""app*"&amp;TYS28&amp;"*"&amp;TEXT(TYZ28-utc_offset/24,"YYYYMMDD")&amp;"*"" /stext="" "&amp;TEXT(TYZ28-utc_offset/24,"HH")&amp;search_regexp&amp;""""</f>
        <v>#REF!</v>
      </c>
      <c r="TZX28" s="234" t="e">
        <f>astrogrep_path&amp;" /e /r /s /spath="&amp;search_path&amp;" /stypes=""app*"&amp;TYT28&amp;"*"&amp;TEXT(TZA28-utc_offset/24,"YYYYMMDD")&amp;"*"" /stext="" "&amp;TEXT(TZA28-utc_offset/24,"HH")&amp;search_regexp&amp;""""</f>
        <v>#REF!</v>
      </c>
      <c r="TZY28" s="234" t="e">
        <f>astrogrep_path&amp;" /e /r /s /spath="&amp;search_path&amp;" /stypes=""app*"&amp;TYU28&amp;"*"&amp;TEXT(TZB28-utc_offset/24,"YYYYMMDD")&amp;"*"" /stext="" "&amp;TEXT(TZB28-utc_offset/24,"HH")&amp;search_regexp&amp;""""</f>
        <v>#VALUE!</v>
      </c>
      <c r="TZZ28" s="234" t="e">
        <f>astrogrep_path&amp;" /e /r /s /spath="&amp;search_path&amp;" /stypes=""app*"&amp;TYV28&amp;"*"&amp;TEXT(TZC28-utc_offset/24,"YYYYMMDD")&amp;"*"" /stext="" "&amp;TEXT(TZC28-utc_offset/24,"HH")&amp;search_regexp&amp;""""</f>
        <v>#VALUE!</v>
      </c>
      <c r="UAA28" s="234" t="e">
        <f>astrogrep_path&amp;" /e /r /s /spath="&amp;search_path&amp;" /stypes=""app*"&amp;TYW28&amp;"*"&amp;TEXT(TZD28-utc_offset/24,"YYYYMMDD")&amp;"*"" /stext="" "&amp;TEXT(TZD28-utc_offset/24,"HH")&amp;search_regexp&amp;""""</f>
        <v>#REF!</v>
      </c>
      <c r="UAB28" s="234" t="e">
        <f>astrogrep_path&amp;" /e /r /s /spath="&amp;search_path&amp;" /stypes=""app*"&amp;TYX28&amp;"*"&amp;TEXT(TZE28-utc_offset/24,"YYYYMMDD")&amp;"*"" /stext="" "&amp;TEXT(TZE28-utc_offset/24,"HH")&amp;search_regexp&amp;""""</f>
        <v>#REF!</v>
      </c>
      <c r="UAC28" s="234" t="e">
        <f>astrogrep_path&amp;" /e /r /s /spath="&amp;search_path&amp;" /stypes=""app*"&amp;TYY28&amp;"*"&amp;TEXT(TZF28-utc_offset/24,"YYYYMMDD")&amp;"*"" /stext="" "&amp;TEXT(TZF28-utc_offset/24,"HH")&amp;search_regexp&amp;""""</f>
        <v>#VALUE!</v>
      </c>
      <c r="UAD28" s="234" t="e">
        <f>astrogrep_path&amp;" /e /r /s /spath="&amp;search_path&amp;" /stypes=""app*"&amp;TYZ28&amp;"*"&amp;TEXT(TZG28-utc_offset/24,"YYYYMMDD")&amp;"*"" /stext="" "&amp;TEXT(TZG28-utc_offset/24,"HH")&amp;search_regexp&amp;""""</f>
        <v>#VALUE!</v>
      </c>
      <c r="UAE28" s="234" t="e">
        <f>astrogrep_path&amp;" /e /r /s /spath="&amp;search_path&amp;" /stypes=""app*"&amp;TZA28&amp;"*"&amp;TEXT(TZH28-utc_offset/24,"YYYYMMDD")&amp;"*"" /stext="" "&amp;TEXT(TZH28-utc_offset/24,"HH")&amp;search_regexp&amp;""""</f>
        <v>#VALUE!</v>
      </c>
      <c r="UAF28" s="234" t="e">
        <f>astrogrep_path&amp;" /e /r /s /spath="&amp;search_path&amp;" /stypes=""app*"&amp;TZB28&amp;"*"&amp;TEXT(TZI28-utc_offset/24,"YYYYMMDD")&amp;"*"" /stext="" "&amp;TEXT(TZI28-utc_offset/24,"HH")&amp;search_regexp&amp;""""</f>
        <v>#VALUE!</v>
      </c>
      <c r="UAG28" s="234" t="e">
        <f>astrogrep_path&amp;" /e /r /s /spath="&amp;search_path&amp;" /stypes=""app*"&amp;TZC28&amp;"*"&amp;TEXT(TZJ28-utc_offset/24,"YYYYMMDD")&amp;"*"" /stext="" "&amp;TEXT(TZJ28-utc_offset/24,"HH")&amp;search_regexp&amp;""""</f>
        <v>#VALUE!</v>
      </c>
      <c r="UAH28" s="234" t="e">
        <f>astrogrep_path&amp;" /e /r /s /spath="&amp;search_path&amp;" /stypes=""app*"&amp;TZD28&amp;"*"&amp;TEXT(TZK28-utc_offset/24,"YYYYMMDD")&amp;"*"" /stext="" "&amp;TEXT(TZK28-utc_offset/24,"HH")&amp;search_regexp&amp;""""</f>
        <v>#REF!</v>
      </c>
      <c r="UAI28" s="234" t="e">
        <f>astrogrep_path&amp;" /e /r /s /spath="&amp;search_path&amp;" /stypes=""app*"&amp;TZE28&amp;"*"&amp;TEXT(TZL28-utc_offset/24,"YYYYMMDD")&amp;"*"" /stext="" "&amp;TEXT(TZL28-utc_offset/24,"HH")&amp;search_regexp&amp;""""</f>
        <v>#REF!</v>
      </c>
      <c r="UAJ28" s="234" t="e">
        <f>astrogrep_path&amp;" /e /r /s /spath="&amp;search_path&amp;" /stypes=""app*"&amp;TZF28&amp;"*"&amp;TEXT(TZM28-utc_offset/24,"YYYYMMDD")&amp;"*"" /stext="" "&amp;TEXT(TZM28-utc_offset/24,"HH")&amp;search_regexp&amp;""""</f>
        <v>#REF!</v>
      </c>
      <c r="UAK28" s="234" t="e">
        <f>astrogrep_path&amp;" /e /r /s /spath="&amp;search_path&amp;" /stypes=""app*"&amp;TZG28&amp;"*"&amp;TEXT(TZN28-utc_offset/24,"YYYYMMDD")&amp;"*"" /stext="" "&amp;TEXT(TZN28-utc_offset/24,"HH")&amp;search_regexp&amp;""""</f>
        <v>#REF!</v>
      </c>
      <c r="UAL28" s="234" t="e">
        <f>astrogrep_path&amp;" /e /r /s /spath="&amp;search_path&amp;" /stypes=""app*"&amp;TZH28&amp;"*"&amp;TEXT(TZO28-utc_offset/24,"YYYYMMDD")&amp;"*"" /stext="" "&amp;TEXT(TZO28-utc_offset/24,"HH")&amp;search_regexp&amp;""""</f>
        <v>#REF!</v>
      </c>
      <c r="UAM28" s="234" t="e">
        <f>astrogrep_path&amp;" /e /r /s /spath="&amp;search_path&amp;" /stypes=""app*"&amp;TZI28&amp;"*"&amp;TEXT(TZP28-utc_offset/24,"YYYYMMDD")&amp;"*"" /stext="" "&amp;TEXT(TZP28-utc_offset/24,"HH")&amp;search_regexp&amp;""""</f>
        <v>#REF!</v>
      </c>
      <c r="UAN28" s="234" t="e">
        <f>astrogrep_path&amp;" /e /r /s /spath="&amp;search_path&amp;" /stypes=""app*"&amp;TZJ28&amp;"*"&amp;TEXT(TZQ28-utc_offset/24,"YYYYMMDD")&amp;"*"" /stext="" "&amp;TEXT(TZQ28-utc_offset/24,"HH")&amp;search_regexp&amp;""""</f>
        <v>#REF!</v>
      </c>
      <c r="UAO28" s="234" t="e">
        <f>astrogrep_path&amp;" /e /r /s /spath="&amp;search_path&amp;" /stypes=""app*"&amp;TZK28&amp;"*"&amp;TEXT(TZR28-utc_offset/24,"YYYYMMDD")&amp;"*"" /stext="" "&amp;TEXT(TZR28-utc_offset/24,"HH")&amp;search_regexp&amp;""""</f>
        <v>#REF!</v>
      </c>
      <c r="UAP28" s="234" t="e">
        <f>astrogrep_path&amp;" /e /r /s /spath="&amp;search_path&amp;" /stypes=""app*"&amp;TZL28&amp;"*"&amp;TEXT(TZS28-utc_offset/24,"YYYYMMDD")&amp;"*"" /stext="" "&amp;TEXT(TZS28-utc_offset/24,"HH")&amp;search_regexp&amp;""""</f>
        <v>#REF!</v>
      </c>
      <c r="UAQ28" s="234" t="e">
        <f>astrogrep_path&amp;" /e /r /s /spath="&amp;search_path&amp;" /stypes=""app*"&amp;TZM28&amp;"*"&amp;TEXT(TZT28-utc_offset/24,"YYYYMMDD")&amp;"*"" /stext="" "&amp;TEXT(TZT28-utc_offset/24,"HH")&amp;search_regexp&amp;""""</f>
        <v>#REF!</v>
      </c>
      <c r="UAR28" s="234" t="e">
        <f>astrogrep_path&amp;" /e /r /s /spath="&amp;search_path&amp;" /stypes=""app*"&amp;TZN28&amp;"*"&amp;TEXT(TZU28-utc_offset/24,"YYYYMMDD")&amp;"*"" /stext="" "&amp;TEXT(TZU28-utc_offset/24,"HH")&amp;search_regexp&amp;""""</f>
        <v>#REF!</v>
      </c>
      <c r="UAS28" s="234" t="e">
        <f>astrogrep_path&amp;" /e /r /s /spath="&amp;search_path&amp;" /stypes=""app*"&amp;TZO28&amp;"*"&amp;TEXT(TZV28-utc_offset/24,"YYYYMMDD")&amp;"*"" /stext="" "&amp;TEXT(TZV28-utc_offset/24,"HH")&amp;search_regexp&amp;""""</f>
        <v>#REF!</v>
      </c>
      <c r="UAT28" s="234" t="e">
        <f>astrogrep_path&amp;" /e /r /s /spath="&amp;search_path&amp;" /stypes=""app*"&amp;TZP28&amp;"*"&amp;TEXT(TZW28-utc_offset/24,"YYYYMMDD")&amp;"*"" /stext="" "&amp;TEXT(TZW28-utc_offset/24,"HH")&amp;search_regexp&amp;""""</f>
        <v>#REF!</v>
      </c>
      <c r="UAU28" s="234" t="e">
        <f>astrogrep_path&amp;" /e /r /s /spath="&amp;search_path&amp;" /stypes=""app*"&amp;TZQ28&amp;"*"&amp;TEXT(TZX28-utc_offset/24,"YYYYMMDD")&amp;"*"" /stext="" "&amp;TEXT(TZX28-utc_offset/24,"HH")&amp;search_regexp&amp;""""</f>
        <v>#REF!</v>
      </c>
      <c r="UAV28" s="234" t="e">
        <f>astrogrep_path&amp;" /e /r /s /spath="&amp;search_path&amp;" /stypes=""app*"&amp;TZR28&amp;"*"&amp;TEXT(TZY28-utc_offset/24,"YYYYMMDD")&amp;"*"" /stext="" "&amp;TEXT(TZY28-utc_offset/24,"HH")&amp;search_regexp&amp;""""</f>
        <v>#REF!</v>
      </c>
      <c r="UAW28" s="234" t="e">
        <f>astrogrep_path&amp;" /e /r /s /spath="&amp;search_path&amp;" /stypes=""app*"&amp;TZS28&amp;"*"&amp;TEXT(TZZ28-utc_offset/24,"YYYYMMDD")&amp;"*"" /stext="" "&amp;TEXT(TZZ28-utc_offset/24,"HH")&amp;search_regexp&amp;""""</f>
        <v>#REF!</v>
      </c>
      <c r="UAX28" s="234" t="e">
        <f>astrogrep_path&amp;" /e /r /s /spath="&amp;search_path&amp;" /stypes=""app*"&amp;TZT28&amp;"*"&amp;TEXT(UAA28-utc_offset/24,"YYYYMMDD")&amp;"*"" /stext="" "&amp;TEXT(UAA28-utc_offset/24,"HH")&amp;search_regexp&amp;""""</f>
        <v>#REF!</v>
      </c>
      <c r="UAY28" s="234" t="e">
        <f>astrogrep_path&amp;" /e /r /s /spath="&amp;search_path&amp;" /stypes=""app*"&amp;TZU28&amp;"*"&amp;TEXT(UAB28-utc_offset/24,"YYYYMMDD")&amp;"*"" /stext="" "&amp;TEXT(UAB28-utc_offset/24,"HH")&amp;search_regexp&amp;""""</f>
        <v>#REF!</v>
      </c>
      <c r="UAZ28" s="234" t="e">
        <f>astrogrep_path&amp;" /e /r /s /spath="&amp;search_path&amp;" /stypes=""app*"&amp;TZV28&amp;"*"&amp;TEXT(UAC28-utc_offset/24,"YYYYMMDD")&amp;"*"" /stext="" "&amp;TEXT(UAC28-utc_offset/24,"HH")&amp;search_regexp&amp;""""</f>
        <v>#REF!</v>
      </c>
      <c r="UBA28" s="234" t="e">
        <f>astrogrep_path&amp;" /e /r /s /spath="&amp;search_path&amp;" /stypes=""app*"&amp;TZW28&amp;"*"&amp;TEXT(UAD28-utc_offset/24,"YYYYMMDD")&amp;"*"" /stext="" "&amp;TEXT(UAD28-utc_offset/24,"HH")&amp;search_regexp&amp;""""</f>
        <v>#REF!</v>
      </c>
      <c r="UBB28" s="234" t="e">
        <f>astrogrep_path&amp;" /e /r /s /spath="&amp;search_path&amp;" /stypes=""app*"&amp;TZX28&amp;"*"&amp;TEXT(UAE28-utc_offset/24,"YYYYMMDD")&amp;"*"" /stext="" "&amp;TEXT(UAE28-utc_offset/24,"HH")&amp;search_regexp&amp;""""</f>
        <v>#REF!</v>
      </c>
      <c r="UBC28" s="234" t="e">
        <f>astrogrep_path&amp;" /e /r /s /spath="&amp;search_path&amp;" /stypes=""app*"&amp;TZY28&amp;"*"&amp;TEXT(UAF28-utc_offset/24,"YYYYMMDD")&amp;"*"" /stext="" "&amp;TEXT(UAF28-utc_offset/24,"HH")&amp;search_regexp&amp;""""</f>
        <v>#VALUE!</v>
      </c>
      <c r="UBD28" s="234" t="e">
        <f>astrogrep_path&amp;" /e /r /s /spath="&amp;search_path&amp;" /stypes=""app*"&amp;TZZ28&amp;"*"&amp;TEXT(UAG28-utc_offset/24,"YYYYMMDD")&amp;"*"" /stext="" "&amp;TEXT(UAG28-utc_offset/24,"HH")&amp;search_regexp&amp;""""</f>
        <v>#VALUE!</v>
      </c>
      <c r="UBE28" s="234" t="e">
        <f>astrogrep_path&amp;" /e /r /s /spath="&amp;search_path&amp;" /stypes=""app*"&amp;UAA28&amp;"*"&amp;TEXT(UAH28-utc_offset/24,"YYYYMMDD")&amp;"*"" /stext="" "&amp;TEXT(UAH28-utc_offset/24,"HH")&amp;search_regexp&amp;""""</f>
        <v>#REF!</v>
      </c>
      <c r="UBF28" s="234" t="e">
        <f>astrogrep_path&amp;" /e /r /s /spath="&amp;search_path&amp;" /stypes=""app*"&amp;UAB28&amp;"*"&amp;TEXT(UAI28-utc_offset/24,"YYYYMMDD")&amp;"*"" /stext="" "&amp;TEXT(UAI28-utc_offset/24,"HH")&amp;search_regexp&amp;""""</f>
        <v>#REF!</v>
      </c>
      <c r="UBG28" s="234" t="e">
        <f>astrogrep_path&amp;" /e /r /s /spath="&amp;search_path&amp;" /stypes=""app*"&amp;UAC28&amp;"*"&amp;TEXT(UAJ28-utc_offset/24,"YYYYMMDD")&amp;"*"" /stext="" "&amp;TEXT(UAJ28-utc_offset/24,"HH")&amp;search_regexp&amp;""""</f>
        <v>#VALUE!</v>
      </c>
      <c r="UBH28" s="234" t="e">
        <f>astrogrep_path&amp;" /e /r /s /spath="&amp;search_path&amp;" /stypes=""app*"&amp;UAD28&amp;"*"&amp;TEXT(UAK28-utc_offset/24,"YYYYMMDD")&amp;"*"" /stext="" "&amp;TEXT(UAK28-utc_offset/24,"HH")&amp;search_regexp&amp;""""</f>
        <v>#VALUE!</v>
      </c>
      <c r="UBI28" s="234" t="e">
        <f>astrogrep_path&amp;" /e /r /s /spath="&amp;search_path&amp;" /stypes=""app*"&amp;UAE28&amp;"*"&amp;TEXT(UAL28-utc_offset/24,"YYYYMMDD")&amp;"*"" /stext="" "&amp;TEXT(UAL28-utc_offset/24,"HH")&amp;search_regexp&amp;""""</f>
        <v>#VALUE!</v>
      </c>
      <c r="UBJ28" s="234" t="e">
        <f>astrogrep_path&amp;" /e /r /s /spath="&amp;search_path&amp;" /stypes=""app*"&amp;UAF28&amp;"*"&amp;TEXT(UAM28-utc_offset/24,"YYYYMMDD")&amp;"*"" /stext="" "&amp;TEXT(UAM28-utc_offset/24,"HH")&amp;search_regexp&amp;""""</f>
        <v>#VALUE!</v>
      </c>
      <c r="UBK28" s="234" t="e">
        <f>astrogrep_path&amp;" /e /r /s /spath="&amp;search_path&amp;" /stypes=""app*"&amp;UAG28&amp;"*"&amp;TEXT(UAN28-utc_offset/24,"YYYYMMDD")&amp;"*"" /stext="" "&amp;TEXT(UAN28-utc_offset/24,"HH")&amp;search_regexp&amp;""""</f>
        <v>#VALUE!</v>
      </c>
      <c r="UBL28" s="234" t="e">
        <f>astrogrep_path&amp;" /e /r /s /spath="&amp;search_path&amp;" /stypes=""app*"&amp;UAH28&amp;"*"&amp;TEXT(UAO28-utc_offset/24,"YYYYMMDD")&amp;"*"" /stext="" "&amp;TEXT(UAO28-utc_offset/24,"HH")&amp;search_regexp&amp;""""</f>
        <v>#REF!</v>
      </c>
      <c r="UBM28" s="234" t="e">
        <f>astrogrep_path&amp;" /e /r /s /spath="&amp;search_path&amp;" /stypes=""app*"&amp;UAI28&amp;"*"&amp;TEXT(UAP28-utc_offset/24,"YYYYMMDD")&amp;"*"" /stext="" "&amp;TEXT(UAP28-utc_offset/24,"HH")&amp;search_regexp&amp;""""</f>
        <v>#REF!</v>
      </c>
      <c r="UBN28" s="234" t="e">
        <f>astrogrep_path&amp;" /e /r /s /spath="&amp;search_path&amp;" /stypes=""app*"&amp;UAJ28&amp;"*"&amp;TEXT(UAQ28-utc_offset/24,"YYYYMMDD")&amp;"*"" /stext="" "&amp;TEXT(UAQ28-utc_offset/24,"HH")&amp;search_regexp&amp;""""</f>
        <v>#REF!</v>
      </c>
      <c r="UBO28" s="234" t="e">
        <f>astrogrep_path&amp;" /e /r /s /spath="&amp;search_path&amp;" /stypes=""app*"&amp;UAK28&amp;"*"&amp;TEXT(UAR28-utc_offset/24,"YYYYMMDD")&amp;"*"" /stext="" "&amp;TEXT(UAR28-utc_offset/24,"HH")&amp;search_regexp&amp;""""</f>
        <v>#REF!</v>
      </c>
      <c r="UBP28" s="234" t="e">
        <f>astrogrep_path&amp;" /e /r /s /spath="&amp;search_path&amp;" /stypes=""app*"&amp;UAL28&amp;"*"&amp;TEXT(UAS28-utc_offset/24,"YYYYMMDD")&amp;"*"" /stext="" "&amp;TEXT(UAS28-utc_offset/24,"HH")&amp;search_regexp&amp;""""</f>
        <v>#REF!</v>
      </c>
      <c r="UBQ28" s="234" t="e">
        <f>astrogrep_path&amp;" /e /r /s /spath="&amp;search_path&amp;" /stypes=""app*"&amp;UAM28&amp;"*"&amp;TEXT(UAT28-utc_offset/24,"YYYYMMDD")&amp;"*"" /stext="" "&amp;TEXT(UAT28-utc_offset/24,"HH")&amp;search_regexp&amp;""""</f>
        <v>#REF!</v>
      </c>
      <c r="UBR28" s="234" t="e">
        <f>astrogrep_path&amp;" /e /r /s /spath="&amp;search_path&amp;" /stypes=""app*"&amp;UAN28&amp;"*"&amp;TEXT(UAU28-utc_offset/24,"YYYYMMDD")&amp;"*"" /stext="" "&amp;TEXT(UAU28-utc_offset/24,"HH")&amp;search_regexp&amp;""""</f>
        <v>#REF!</v>
      </c>
      <c r="UBS28" s="234" t="e">
        <f>astrogrep_path&amp;" /e /r /s /spath="&amp;search_path&amp;" /stypes=""app*"&amp;UAO28&amp;"*"&amp;TEXT(UAV28-utc_offset/24,"YYYYMMDD")&amp;"*"" /stext="" "&amp;TEXT(UAV28-utc_offset/24,"HH")&amp;search_regexp&amp;""""</f>
        <v>#REF!</v>
      </c>
      <c r="UBT28" s="234" t="e">
        <f>astrogrep_path&amp;" /e /r /s /spath="&amp;search_path&amp;" /stypes=""app*"&amp;UAP28&amp;"*"&amp;TEXT(UAW28-utc_offset/24,"YYYYMMDD")&amp;"*"" /stext="" "&amp;TEXT(UAW28-utc_offset/24,"HH")&amp;search_regexp&amp;""""</f>
        <v>#REF!</v>
      </c>
      <c r="UBU28" s="234" t="e">
        <f>astrogrep_path&amp;" /e /r /s /spath="&amp;search_path&amp;" /stypes=""app*"&amp;UAQ28&amp;"*"&amp;TEXT(UAX28-utc_offset/24,"YYYYMMDD")&amp;"*"" /stext="" "&amp;TEXT(UAX28-utc_offset/24,"HH")&amp;search_regexp&amp;""""</f>
        <v>#REF!</v>
      </c>
      <c r="UBV28" s="234" t="e">
        <f>astrogrep_path&amp;" /e /r /s /spath="&amp;search_path&amp;" /stypes=""app*"&amp;UAR28&amp;"*"&amp;TEXT(UAY28-utc_offset/24,"YYYYMMDD")&amp;"*"" /stext="" "&amp;TEXT(UAY28-utc_offset/24,"HH")&amp;search_regexp&amp;""""</f>
        <v>#REF!</v>
      </c>
      <c r="UBW28" s="234" t="e">
        <f>astrogrep_path&amp;" /e /r /s /spath="&amp;search_path&amp;" /stypes=""app*"&amp;UAS28&amp;"*"&amp;TEXT(UAZ28-utc_offset/24,"YYYYMMDD")&amp;"*"" /stext="" "&amp;TEXT(UAZ28-utc_offset/24,"HH")&amp;search_regexp&amp;""""</f>
        <v>#REF!</v>
      </c>
      <c r="UBX28" s="234" t="e">
        <f>astrogrep_path&amp;" /e /r /s /spath="&amp;search_path&amp;" /stypes=""app*"&amp;UAT28&amp;"*"&amp;TEXT(UBA28-utc_offset/24,"YYYYMMDD")&amp;"*"" /stext="" "&amp;TEXT(UBA28-utc_offset/24,"HH")&amp;search_regexp&amp;""""</f>
        <v>#REF!</v>
      </c>
      <c r="UBY28" s="234" t="e">
        <f>astrogrep_path&amp;" /e /r /s /spath="&amp;search_path&amp;" /stypes=""app*"&amp;UAU28&amp;"*"&amp;TEXT(UBB28-utc_offset/24,"YYYYMMDD")&amp;"*"" /stext="" "&amp;TEXT(UBB28-utc_offset/24,"HH")&amp;search_regexp&amp;""""</f>
        <v>#REF!</v>
      </c>
      <c r="UBZ28" s="234" t="e">
        <f>astrogrep_path&amp;" /e /r /s /spath="&amp;search_path&amp;" /stypes=""app*"&amp;UAV28&amp;"*"&amp;TEXT(UBC28-utc_offset/24,"YYYYMMDD")&amp;"*"" /stext="" "&amp;TEXT(UBC28-utc_offset/24,"HH")&amp;search_regexp&amp;""""</f>
        <v>#REF!</v>
      </c>
      <c r="UCA28" s="234" t="e">
        <f>astrogrep_path&amp;" /e /r /s /spath="&amp;search_path&amp;" /stypes=""app*"&amp;UAW28&amp;"*"&amp;TEXT(UBD28-utc_offset/24,"YYYYMMDD")&amp;"*"" /stext="" "&amp;TEXT(UBD28-utc_offset/24,"HH")&amp;search_regexp&amp;""""</f>
        <v>#REF!</v>
      </c>
      <c r="UCB28" s="234" t="e">
        <f>astrogrep_path&amp;" /e /r /s /spath="&amp;search_path&amp;" /stypes=""app*"&amp;UAX28&amp;"*"&amp;TEXT(UBE28-utc_offset/24,"YYYYMMDD")&amp;"*"" /stext="" "&amp;TEXT(UBE28-utc_offset/24,"HH")&amp;search_regexp&amp;""""</f>
        <v>#REF!</v>
      </c>
      <c r="UCC28" s="234" t="e">
        <f>astrogrep_path&amp;" /e /r /s /spath="&amp;search_path&amp;" /stypes=""app*"&amp;UAY28&amp;"*"&amp;TEXT(UBF28-utc_offset/24,"YYYYMMDD")&amp;"*"" /stext="" "&amp;TEXT(UBF28-utc_offset/24,"HH")&amp;search_regexp&amp;""""</f>
        <v>#REF!</v>
      </c>
      <c r="UCD28" s="234" t="e">
        <f>astrogrep_path&amp;" /e /r /s /spath="&amp;search_path&amp;" /stypes=""app*"&amp;UAZ28&amp;"*"&amp;TEXT(UBG28-utc_offset/24,"YYYYMMDD")&amp;"*"" /stext="" "&amp;TEXT(UBG28-utc_offset/24,"HH")&amp;search_regexp&amp;""""</f>
        <v>#REF!</v>
      </c>
      <c r="UCE28" s="234" t="e">
        <f>astrogrep_path&amp;" /e /r /s /spath="&amp;search_path&amp;" /stypes=""app*"&amp;UBA28&amp;"*"&amp;TEXT(UBH28-utc_offset/24,"YYYYMMDD")&amp;"*"" /stext="" "&amp;TEXT(UBH28-utc_offset/24,"HH")&amp;search_regexp&amp;""""</f>
        <v>#REF!</v>
      </c>
      <c r="UCF28" s="234" t="e">
        <f>astrogrep_path&amp;" /e /r /s /spath="&amp;search_path&amp;" /stypes=""app*"&amp;UBB28&amp;"*"&amp;TEXT(UBI28-utc_offset/24,"YYYYMMDD")&amp;"*"" /stext="" "&amp;TEXT(UBI28-utc_offset/24,"HH")&amp;search_regexp&amp;""""</f>
        <v>#REF!</v>
      </c>
      <c r="UCG28" s="234" t="e">
        <f>astrogrep_path&amp;" /e /r /s /spath="&amp;search_path&amp;" /stypes=""app*"&amp;UBC28&amp;"*"&amp;TEXT(UBJ28-utc_offset/24,"YYYYMMDD")&amp;"*"" /stext="" "&amp;TEXT(UBJ28-utc_offset/24,"HH")&amp;search_regexp&amp;""""</f>
        <v>#VALUE!</v>
      </c>
      <c r="UCH28" s="234" t="e">
        <f>astrogrep_path&amp;" /e /r /s /spath="&amp;search_path&amp;" /stypes=""app*"&amp;UBD28&amp;"*"&amp;TEXT(UBK28-utc_offset/24,"YYYYMMDD")&amp;"*"" /stext="" "&amp;TEXT(UBK28-utc_offset/24,"HH")&amp;search_regexp&amp;""""</f>
        <v>#VALUE!</v>
      </c>
      <c r="UCI28" s="234" t="e">
        <f>astrogrep_path&amp;" /e /r /s /spath="&amp;search_path&amp;" /stypes=""app*"&amp;UBE28&amp;"*"&amp;TEXT(UBL28-utc_offset/24,"YYYYMMDD")&amp;"*"" /stext="" "&amp;TEXT(UBL28-utc_offset/24,"HH")&amp;search_regexp&amp;""""</f>
        <v>#REF!</v>
      </c>
      <c r="UCJ28" s="234" t="e">
        <f>astrogrep_path&amp;" /e /r /s /spath="&amp;search_path&amp;" /stypes=""app*"&amp;UBF28&amp;"*"&amp;TEXT(UBM28-utc_offset/24,"YYYYMMDD")&amp;"*"" /stext="" "&amp;TEXT(UBM28-utc_offset/24,"HH")&amp;search_regexp&amp;""""</f>
        <v>#REF!</v>
      </c>
      <c r="UCK28" s="234" t="e">
        <f>astrogrep_path&amp;" /e /r /s /spath="&amp;search_path&amp;" /stypes=""app*"&amp;UBG28&amp;"*"&amp;TEXT(UBN28-utc_offset/24,"YYYYMMDD")&amp;"*"" /stext="" "&amp;TEXT(UBN28-utc_offset/24,"HH")&amp;search_regexp&amp;""""</f>
        <v>#VALUE!</v>
      </c>
      <c r="UCL28" s="234" t="e">
        <f>astrogrep_path&amp;" /e /r /s /spath="&amp;search_path&amp;" /stypes=""app*"&amp;UBH28&amp;"*"&amp;TEXT(UBO28-utc_offset/24,"YYYYMMDD")&amp;"*"" /stext="" "&amp;TEXT(UBO28-utc_offset/24,"HH")&amp;search_regexp&amp;""""</f>
        <v>#VALUE!</v>
      </c>
      <c r="UCM28" s="234" t="e">
        <f>astrogrep_path&amp;" /e /r /s /spath="&amp;search_path&amp;" /stypes=""app*"&amp;UBI28&amp;"*"&amp;TEXT(UBP28-utc_offset/24,"YYYYMMDD")&amp;"*"" /stext="" "&amp;TEXT(UBP28-utc_offset/24,"HH")&amp;search_regexp&amp;""""</f>
        <v>#VALUE!</v>
      </c>
      <c r="UCN28" s="234" t="e">
        <f>astrogrep_path&amp;" /e /r /s /spath="&amp;search_path&amp;" /stypes=""app*"&amp;UBJ28&amp;"*"&amp;TEXT(UBQ28-utc_offset/24,"YYYYMMDD")&amp;"*"" /stext="" "&amp;TEXT(UBQ28-utc_offset/24,"HH")&amp;search_regexp&amp;""""</f>
        <v>#VALUE!</v>
      </c>
      <c r="UCO28" s="234" t="e">
        <f>astrogrep_path&amp;" /e /r /s /spath="&amp;search_path&amp;" /stypes=""app*"&amp;UBK28&amp;"*"&amp;TEXT(UBR28-utc_offset/24,"YYYYMMDD")&amp;"*"" /stext="" "&amp;TEXT(UBR28-utc_offset/24,"HH")&amp;search_regexp&amp;""""</f>
        <v>#VALUE!</v>
      </c>
      <c r="UCP28" s="234" t="e">
        <f>astrogrep_path&amp;" /e /r /s /spath="&amp;search_path&amp;" /stypes=""app*"&amp;UBL28&amp;"*"&amp;TEXT(UBS28-utc_offset/24,"YYYYMMDD")&amp;"*"" /stext="" "&amp;TEXT(UBS28-utc_offset/24,"HH")&amp;search_regexp&amp;""""</f>
        <v>#REF!</v>
      </c>
      <c r="UCQ28" s="234" t="e">
        <f>astrogrep_path&amp;" /e /r /s /spath="&amp;search_path&amp;" /stypes=""app*"&amp;UBM28&amp;"*"&amp;TEXT(UBT28-utc_offset/24,"YYYYMMDD")&amp;"*"" /stext="" "&amp;TEXT(UBT28-utc_offset/24,"HH")&amp;search_regexp&amp;""""</f>
        <v>#REF!</v>
      </c>
      <c r="UCR28" s="234" t="e">
        <f>astrogrep_path&amp;" /e /r /s /spath="&amp;search_path&amp;" /stypes=""app*"&amp;UBN28&amp;"*"&amp;TEXT(UBU28-utc_offset/24,"YYYYMMDD")&amp;"*"" /stext="" "&amp;TEXT(UBU28-utc_offset/24,"HH")&amp;search_regexp&amp;""""</f>
        <v>#REF!</v>
      </c>
      <c r="UCS28" s="234" t="e">
        <f>astrogrep_path&amp;" /e /r /s /spath="&amp;search_path&amp;" /stypes=""app*"&amp;UBO28&amp;"*"&amp;TEXT(UBV28-utc_offset/24,"YYYYMMDD")&amp;"*"" /stext="" "&amp;TEXT(UBV28-utc_offset/24,"HH")&amp;search_regexp&amp;""""</f>
        <v>#REF!</v>
      </c>
      <c r="UCT28" s="234" t="e">
        <f>astrogrep_path&amp;" /e /r /s /spath="&amp;search_path&amp;" /stypes=""app*"&amp;UBP28&amp;"*"&amp;TEXT(UBW28-utc_offset/24,"YYYYMMDD")&amp;"*"" /stext="" "&amp;TEXT(UBW28-utc_offset/24,"HH")&amp;search_regexp&amp;""""</f>
        <v>#REF!</v>
      </c>
      <c r="UCU28" s="234" t="e">
        <f>astrogrep_path&amp;" /e /r /s /spath="&amp;search_path&amp;" /stypes=""app*"&amp;UBQ28&amp;"*"&amp;TEXT(UBX28-utc_offset/24,"YYYYMMDD")&amp;"*"" /stext="" "&amp;TEXT(UBX28-utc_offset/24,"HH")&amp;search_regexp&amp;""""</f>
        <v>#REF!</v>
      </c>
      <c r="UCV28" s="234" t="e">
        <f>astrogrep_path&amp;" /e /r /s /spath="&amp;search_path&amp;" /stypes=""app*"&amp;UBR28&amp;"*"&amp;TEXT(UBY28-utc_offset/24,"YYYYMMDD")&amp;"*"" /stext="" "&amp;TEXT(UBY28-utc_offset/24,"HH")&amp;search_regexp&amp;""""</f>
        <v>#REF!</v>
      </c>
      <c r="UCW28" s="234" t="e">
        <f>astrogrep_path&amp;" /e /r /s /spath="&amp;search_path&amp;" /stypes=""app*"&amp;UBS28&amp;"*"&amp;TEXT(UBZ28-utc_offset/24,"YYYYMMDD")&amp;"*"" /stext="" "&amp;TEXT(UBZ28-utc_offset/24,"HH")&amp;search_regexp&amp;""""</f>
        <v>#REF!</v>
      </c>
      <c r="UCX28" s="234" t="e">
        <f>astrogrep_path&amp;" /e /r /s /spath="&amp;search_path&amp;" /stypes=""app*"&amp;UBT28&amp;"*"&amp;TEXT(UCA28-utc_offset/24,"YYYYMMDD")&amp;"*"" /stext="" "&amp;TEXT(UCA28-utc_offset/24,"HH")&amp;search_regexp&amp;""""</f>
        <v>#REF!</v>
      </c>
      <c r="UCY28" s="234" t="e">
        <f>astrogrep_path&amp;" /e /r /s /spath="&amp;search_path&amp;" /stypes=""app*"&amp;UBU28&amp;"*"&amp;TEXT(UCB28-utc_offset/24,"YYYYMMDD")&amp;"*"" /stext="" "&amp;TEXT(UCB28-utc_offset/24,"HH")&amp;search_regexp&amp;""""</f>
        <v>#REF!</v>
      </c>
      <c r="UCZ28" s="234" t="e">
        <f>astrogrep_path&amp;" /e /r /s /spath="&amp;search_path&amp;" /stypes=""app*"&amp;UBV28&amp;"*"&amp;TEXT(UCC28-utc_offset/24,"YYYYMMDD")&amp;"*"" /stext="" "&amp;TEXT(UCC28-utc_offset/24,"HH")&amp;search_regexp&amp;""""</f>
        <v>#REF!</v>
      </c>
      <c r="UDA28" s="234" t="e">
        <f>astrogrep_path&amp;" /e /r /s /spath="&amp;search_path&amp;" /stypes=""app*"&amp;UBW28&amp;"*"&amp;TEXT(UCD28-utc_offset/24,"YYYYMMDD")&amp;"*"" /stext="" "&amp;TEXT(UCD28-utc_offset/24,"HH")&amp;search_regexp&amp;""""</f>
        <v>#REF!</v>
      </c>
      <c r="UDB28" s="234" t="e">
        <f>astrogrep_path&amp;" /e /r /s /spath="&amp;search_path&amp;" /stypes=""app*"&amp;UBX28&amp;"*"&amp;TEXT(UCE28-utc_offset/24,"YYYYMMDD")&amp;"*"" /stext="" "&amp;TEXT(UCE28-utc_offset/24,"HH")&amp;search_regexp&amp;""""</f>
        <v>#REF!</v>
      </c>
      <c r="UDC28" s="234" t="e">
        <f>astrogrep_path&amp;" /e /r /s /spath="&amp;search_path&amp;" /stypes=""app*"&amp;UBY28&amp;"*"&amp;TEXT(UCF28-utc_offset/24,"YYYYMMDD")&amp;"*"" /stext="" "&amp;TEXT(UCF28-utc_offset/24,"HH")&amp;search_regexp&amp;""""</f>
        <v>#REF!</v>
      </c>
      <c r="UDD28" s="234" t="e">
        <f>astrogrep_path&amp;" /e /r /s /spath="&amp;search_path&amp;" /stypes=""app*"&amp;UBZ28&amp;"*"&amp;TEXT(UCG28-utc_offset/24,"YYYYMMDD")&amp;"*"" /stext="" "&amp;TEXT(UCG28-utc_offset/24,"HH")&amp;search_regexp&amp;""""</f>
        <v>#REF!</v>
      </c>
      <c r="UDE28" s="234" t="e">
        <f>astrogrep_path&amp;" /e /r /s /spath="&amp;search_path&amp;" /stypes=""app*"&amp;UCA28&amp;"*"&amp;TEXT(UCH28-utc_offset/24,"YYYYMMDD")&amp;"*"" /stext="" "&amp;TEXT(UCH28-utc_offset/24,"HH")&amp;search_regexp&amp;""""</f>
        <v>#REF!</v>
      </c>
      <c r="UDF28" s="234" t="e">
        <f>astrogrep_path&amp;" /e /r /s /spath="&amp;search_path&amp;" /stypes=""app*"&amp;UCB28&amp;"*"&amp;TEXT(UCI28-utc_offset/24,"YYYYMMDD")&amp;"*"" /stext="" "&amp;TEXT(UCI28-utc_offset/24,"HH")&amp;search_regexp&amp;""""</f>
        <v>#REF!</v>
      </c>
      <c r="UDG28" s="234" t="e">
        <f>astrogrep_path&amp;" /e /r /s /spath="&amp;search_path&amp;" /stypes=""app*"&amp;UCC28&amp;"*"&amp;TEXT(UCJ28-utc_offset/24,"YYYYMMDD")&amp;"*"" /stext="" "&amp;TEXT(UCJ28-utc_offset/24,"HH")&amp;search_regexp&amp;""""</f>
        <v>#REF!</v>
      </c>
      <c r="UDH28" s="234" t="e">
        <f>astrogrep_path&amp;" /e /r /s /spath="&amp;search_path&amp;" /stypes=""app*"&amp;UCD28&amp;"*"&amp;TEXT(UCK28-utc_offset/24,"YYYYMMDD")&amp;"*"" /stext="" "&amp;TEXT(UCK28-utc_offset/24,"HH")&amp;search_regexp&amp;""""</f>
        <v>#REF!</v>
      </c>
      <c r="UDI28" s="234" t="e">
        <f>astrogrep_path&amp;" /e /r /s /spath="&amp;search_path&amp;" /stypes=""app*"&amp;UCE28&amp;"*"&amp;TEXT(UCL28-utc_offset/24,"YYYYMMDD")&amp;"*"" /stext="" "&amp;TEXT(UCL28-utc_offset/24,"HH")&amp;search_regexp&amp;""""</f>
        <v>#REF!</v>
      </c>
      <c r="UDJ28" s="234" t="e">
        <f>astrogrep_path&amp;" /e /r /s /spath="&amp;search_path&amp;" /stypes=""app*"&amp;UCF28&amp;"*"&amp;TEXT(UCM28-utc_offset/24,"YYYYMMDD")&amp;"*"" /stext="" "&amp;TEXT(UCM28-utc_offset/24,"HH")&amp;search_regexp&amp;""""</f>
        <v>#REF!</v>
      </c>
      <c r="UDK28" s="234" t="e">
        <f>astrogrep_path&amp;" /e /r /s /spath="&amp;search_path&amp;" /stypes=""app*"&amp;UCG28&amp;"*"&amp;TEXT(UCN28-utc_offset/24,"YYYYMMDD")&amp;"*"" /stext="" "&amp;TEXT(UCN28-utc_offset/24,"HH")&amp;search_regexp&amp;""""</f>
        <v>#VALUE!</v>
      </c>
      <c r="UDL28" s="234" t="e">
        <f>astrogrep_path&amp;" /e /r /s /spath="&amp;search_path&amp;" /stypes=""app*"&amp;UCH28&amp;"*"&amp;TEXT(UCO28-utc_offset/24,"YYYYMMDD")&amp;"*"" /stext="" "&amp;TEXT(UCO28-utc_offset/24,"HH")&amp;search_regexp&amp;""""</f>
        <v>#VALUE!</v>
      </c>
      <c r="UDM28" s="234" t="e">
        <f>astrogrep_path&amp;" /e /r /s /spath="&amp;search_path&amp;" /stypes=""app*"&amp;UCI28&amp;"*"&amp;TEXT(UCP28-utc_offset/24,"YYYYMMDD")&amp;"*"" /stext="" "&amp;TEXT(UCP28-utc_offset/24,"HH")&amp;search_regexp&amp;""""</f>
        <v>#REF!</v>
      </c>
      <c r="UDN28" s="234" t="e">
        <f>astrogrep_path&amp;" /e /r /s /spath="&amp;search_path&amp;" /stypes=""app*"&amp;UCJ28&amp;"*"&amp;TEXT(UCQ28-utc_offset/24,"YYYYMMDD")&amp;"*"" /stext="" "&amp;TEXT(UCQ28-utc_offset/24,"HH")&amp;search_regexp&amp;""""</f>
        <v>#REF!</v>
      </c>
      <c r="UDO28" s="234" t="e">
        <f>astrogrep_path&amp;" /e /r /s /spath="&amp;search_path&amp;" /stypes=""app*"&amp;UCK28&amp;"*"&amp;TEXT(UCR28-utc_offset/24,"YYYYMMDD")&amp;"*"" /stext="" "&amp;TEXT(UCR28-utc_offset/24,"HH")&amp;search_regexp&amp;""""</f>
        <v>#VALUE!</v>
      </c>
      <c r="UDP28" s="234" t="e">
        <f>astrogrep_path&amp;" /e /r /s /spath="&amp;search_path&amp;" /stypes=""app*"&amp;UCL28&amp;"*"&amp;TEXT(UCS28-utc_offset/24,"YYYYMMDD")&amp;"*"" /stext="" "&amp;TEXT(UCS28-utc_offset/24,"HH")&amp;search_regexp&amp;""""</f>
        <v>#VALUE!</v>
      </c>
      <c r="UDQ28" s="234" t="e">
        <f>astrogrep_path&amp;" /e /r /s /spath="&amp;search_path&amp;" /stypes=""app*"&amp;UCM28&amp;"*"&amp;TEXT(UCT28-utc_offset/24,"YYYYMMDD")&amp;"*"" /stext="" "&amp;TEXT(UCT28-utc_offset/24,"HH")&amp;search_regexp&amp;""""</f>
        <v>#VALUE!</v>
      </c>
      <c r="UDR28" s="234" t="e">
        <f>astrogrep_path&amp;" /e /r /s /spath="&amp;search_path&amp;" /stypes=""app*"&amp;UCN28&amp;"*"&amp;TEXT(UCU28-utc_offset/24,"YYYYMMDD")&amp;"*"" /stext="" "&amp;TEXT(UCU28-utc_offset/24,"HH")&amp;search_regexp&amp;""""</f>
        <v>#VALUE!</v>
      </c>
      <c r="UDS28" s="234" t="e">
        <f>astrogrep_path&amp;" /e /r /s /spath="&amp;search_path&amp;" /stypes=""app*"&amp;UCO28&amp;"*"&amp;TEXT(UCV28-utc_offset/24,"YYYYMMDD")&amp;"*"" /stext="" "&amp;TEXT(UCV28-utc_offset/24,"HH")&amp;search_regexp&amp;""""</f>
        <v>#VALUE!</v>
      </c>
      <c r="UDT28" s="234" t="e">
        <f>astrogrep_path&amp;" /e /r /s /spath="&amp;search_path&amp;" /stypes=""app*"&amp;UCP28&amp;"*"&amp;TEXT(UCW28-utc_offset/24,"YYYYMMDD")&amp;"*"" /stext="" "&amp;TEXT(UCW28-utc_offset/24,"HH")&amp;search_regexp&amp;""""</f>
        <v>#REF!</v>
      </c>
      <c r="UDU28" s="234" t="e">
        <f>astrogrep_path&amp;" /e /r /s /spath="&amp;search_path&amp;" /stypes=""app*"&amp;UCQ28&amp;"*"&amp;TEXT(UCX28-utc_offset/24,"YYYYMMDD")&amp;"*"" /stext="" "&amp;TEXT(UCX28-utc_offset/24,"HH")&amp;search_regexp&amp;""""</f>
        <v>#REF!</v>
      </c>
      <c r="UDV28" s="234" t="e">
        <f>astrogrep_path&amp;" /e /r /s /spath="&amp;search_path&amp;" /stypes=""app*"&amp;UCR28&amp;"*"&amp;TEXT(UCY28-utc_offset/24,"YYYYMMDD")&amp;"*"" /stext="" "&amp;TEXT(UCY28-utc_offset/24,"HH")&amp;search_regexp&amp;""""</f>
        <v>#REF!</v>
      </c>
      <c r="UDW28" s="234" t="e">
        <f>astrogrep_path&amp;" /e /r /s /spath="&amp;search_path&amp;" /stypes=""app*"&amp;UCS28&amp;"*"&amp;TEXT(UCZ28-utc_offset/24,"YYYYMMDD")&amp;"*"" /stext="" "&amp;TEXT(UCZ28-utc_offset/24,"HH")&amp;search_regexp&amp;""""</f>
        <v>#REF!</v>
      </c>
      <c r="UDX28" s="234" t="e">
        <f>astrogrep_path&amp;" /e /r /s /spath="&amp;search_path&amp;" /stypes=""app*"&amp;UCT28&amp;"*"&amp;TEXT(UDA28-utc_offset/24,"YYYYMMDD")&amp;"*"" /stext="" "&amp;TEXT(UDA28-utc_offset/24,"HH")&amp;search_regexp&amp;""""</f>
        <v>#REF!</v>
      </c>
      <c r="UDY28" s="234" t="e">
        <f>astrogrep_path&amp;" /e /r /s /spath="&amp;search_path&amp;" /stypes=""app*"&amp;UCU28&amp;"*"&amp;TEXT(UDB28-utc_offset/24,"YYYYMMDD")&amp;"*"" /stext="" "&amp;TEXT(UDB28-utc_offset/24,"HH")&amp;search_regexp&amp;""""</f>
        <v>#REF!</v>
      </c>
      <c r="UDZ28" s="234" t="e">
        <f>astrogrep_path&amp;" /e /r /s /spath="&amp;search_path&amp;" /stypes=""app*"&amp;UCV28&amp;"*"&amp;TEXT(UDC28-utc_offset/24,"YYYYMMDD")&amp;"*"" /stext="" "&amp;TEXT(UDC28-utc_offset/24,"HH")&amp;search_regexp&amp;""""</f>
        <v>#REF!</v>
      </c>
      <c r="UEA28" s="234" t="e">
        <f>astrogrep_path&amp;" /e /r /s /spath="&amp;search_path&amp;" /stypes=""app*"&amp;UCW28&amp;"*"&amp;TEXT(UDD28-utc_offset/24,"YYYYMMDD")&amp;"*"" /stext="" "&amp;TEXT(UDD28-utc_offset/24,"HH")&amp;search_regexp&amp;""""</f>
        <v>#REF!</v>
      </c>
      <c r="UEB28" s="234" t="e">
        <f>astrogrep_path&amp;" /e /r /s /spath="&amp;search_path&amp;" /stypes=""app*"&amp;UCX28&amp;"*"&amp;TEXT(UDE28-utc_offset/24,"YYYYMMDD")&amp;"*"" /stext="" "&amp;TEXT(UDE28-utc_offset/24,"HH")&amp;search_regexp&amp;""""</f>
        <v>#REF!</v>
      </c>
      <c r="UEC28" s="234" t="e">
        <f>astrogrep_path&amp;" /e /r /s /spath="&amp;search_path&amp;" /stypes=""app*"&amp;UCY28&amp;"*"&amp;TEXT(UDF28-utc_offset/24,"YYYYMMDD")&amp;"*"" /stext="" "&amp;TEXT(UDF28-utc_offset/24,"HH")&amp;search_regexp&amp;""""</f>
        <v>#REF!</v>
      </c>
      <c r="UED28" s="234" t="e">
        <f>astrogrep_path&amp;" /e /r /s /spath="&amp;search_path&amp;" /stypes=""app*"&amp;UCZ28&amp;"*"&amp;TEXT(UDG28-utc_offset/24,"YYYYMMDD")&amp;"*"" /stext="" "&amp;TEXT(UDG28-utc_offset/24,"HH")&amp;search_regexp&amp;""""</f>
        <v>#REF!</v>
      </c>
      <c r="UEE28" s="234" t="e">
        <f>astrogrep_path&amp;" /e /r /s /spath="&amp;search_path&amp;" /stypes=""app*"&amp;UDA28&amp;"*"&amp;TEXT(UDH28-utc_offset/24,"YYYYMMDD")&amp;"*"" /stext="" "&amp;TEXT(UDH28-utc_offset/24,"HH")&amp;search_regexp&amp;""""</f>
        <v>#REF!</v>
      </c>
      <c r="UEF28" s="234" t="e">
        <f>astrogrep_path&amp;" /e /r /s /spath="&amp;search_path&amp;" /stypes=""app*"&amp;UDB28&amp;"*"&amp;TEXT(UDI28-utc_offset/24,"YYYYMMDD")&amp;"*"" /stext="" "&amp;TEXT(UDI28-utc_offset/24,"HH")&amp;search_regexp&amp;""""</f>
        <v>#REF!</v>
      </c>
      <c r="UEG28" s="234" t="e">
        <f>astrogrep_path&amp;" /e /r /s /spath="&amp;search_path&amp;" /stypes=""app*"&amp;UDC28&amp;"*"&amp;TEXT(UDJ28-utc_offset/24,"YYYYMMDD")&amp;"*"" /stext="" "&amp;TEXT(UDJ28-utc_offset/24,"HH")&amp;search_regexp&amp;""""</f>
        <v>#REF!</v>
      </c>
      <c r="UEH28" s="234" t="e">
        <f>astrogrep_path&amp;" /e /r /s /spath="&amp;search_path&amp;" /stypes=""app*"&amp;UDD28&amp;"*"&amp;TEXT(UDK28-utc_offset/24,"YYYYMMDD")&amp;"*"" /stext="" "&amp;TEXT(UDK28-utc_offset/24,"HH")&amp;search_regexp&amp;""""</f>
        <v>#REF!</v>
      </c>
      <c r="UEI28" s="234" t="e">
        <f>astrogrep_path&amp;" /e /r /s /spath="&amp;search_path&amp;" /stypes=""app*"&amp;UDE28&amp;"*"&amp;TEXT(UDL28-utc_offset/24,"YYYYMMDD")&amp;"*"" /stext="" "&amp;TEXT(UDL28-utc_offset/24,"HH")&amp;search_regexp&amp;""""</f>
        <v>#REF!</v>
      </c>
      <c r="UEJ28" s="234" t="e">
        <f>astrogrep_path&amp;" /e /r /s /spath="&amp;search_path&amp;" /stypes=""app*"&amp;UDF28&amp;"*"&amp;TEXT(UDM28-utc_offset/24,"YYYYMMDD")&amp;"*"" /stext="" "&amp;TEXT(UDM28-utc_offset/24,"HH")&amp;search_regexp&amp;""""</f>
        <v>#REF!</v>
      </c>
      <c r="UEK28" s="234" t="e">
        <f>astrogrep_path&amp;" /e /r /s /spath="&amp;search_path&amp;" /stypes=""app*"&amp;UDG28&amp;"*"&amp;TEXT(UDN28-utc_offset/24,"YYYYMMDD")&amp;"*"" /stext="" "&amp;TEXT(UDN28-utc_offset/24,"HH")&amp;search_regexp&amp;""""</f>
        <v>#REF!</v>
      </c>
      <c r="UEL28" s="234" t="e">
        <f>astrogrep_path&amp;" /e /r /s /spath="&amp;search_path&amp;" /stypes=""app*"&amp;UDH28&amp;"*"&amp;TEXT(UDO28-utc_offset/24,"YYYYMMDD")&amp;"*"" /stext="" "&amp;TEXT(UDO28-utc_offset/24,"HH")&amp;search_regexp&amp;""""</f>
        <v>#REF!</v>
      </c>
      <c r="UEM28" s="234" t="e">
        <f>astrogrep_path&amp;" /e /r /s /spath="&amp;search_path&amp;" /stypes=""app*"&amp;UDI28&amp;"*"&amp;TEXT(UDP28-utc_offset/24,"YYYYMMDD")&amp;"*"" /stext="" "&amp;TEXT(UDP28-utc_offset/24,"HH")&amp;search_regexp&amp;""""</f>
        <v>#REF!</v>
      </c>
      <c r="UEN28" s="234" t="e">
        <f>astrogrep_path&amp;" /e /r /s /spath="&amp;search_path&amp;" /stypes=""app*"&amp;UDJ28&amp;"*"&amp;TEXT(UDQ28-utc_offset/24,"YYYYMMDD")&amp;"*"" /stext="" "&amp;TEXT(UDQ28-utc_offset/24,"HH")&amp;search_regexp&amp;""""</f>
        <v>#REF!</v>
      </c>
      <c r="UEO28" s="234" t="e">
        <f>astrogrep_path&amp;" /e /r /s /spath="&amp;search_path&amp;" /stypes=""app*"&amp;UDK28&amp;"*"&amp;TEXT(UDR28-utc_offset/24,"YYYYMMDD")&amp;"*"" /stext="" "&amp;TEXT(UDR28-utc_offset/24,"HH")&amp;search_regexp&amp;""""</f>
        <v>#VALUE!</v>
      </c>
      <c r="UEP28" s="234" t="e">
        <f>astrogrep_path&amp;" /e /r /s /spath="&amp;search_path&amp;" /stypes=""app*"&amp;UDL28&amp;"*"&amp;TEXT(UDS28-utc_offset/24,"YYYYMMDD")&amp;"*"" /stext="" "&amp;TEXT(UDS28-utc_offset/24,"HH")&amp;search_regexp&amp;""""</f>
        <v>#VALUE!</v>
      </c>
      <c r="UEQ28" s="234" t="e">
        <f>astrogrep_path&amp;" /e /r /s /spath="&amp;search_path&amp;" /stypes=""app*"&amp;UDM28&amp;"*"&amp;TEXT(UDT28-utc_offset/24,"YYYYMMDD")&amp;"*"" /stext="" "&amp;TEXT(UDT28-utc_offset/24,"HH")&amp;search_regexp&amp;""""</f>
        <v>#REF!</v>
      </c>
      <c r="UER28" s="234" t="e">
        <f>astrogrep_path&amp;" /e /r /s /spath="&amp;search_path&amp;" /stypes=""app*"&amp;UDN28&amp;"*"&amp;TEXT(UDU28-utc_offset/24,"YYYYMMDD")&amp;"*"" /stext="" "&amp;TEXT(UDU28-utc_offset/24,"HH")&amp;search_regexp&amp;""""</f>
        <v>#REF!</v>
      </c>
      <c r="UES28" s="234" t="e">
        <f>astrogrep_path&amp;" /e /r /s /spath="&amp;search_path&amp;" /stypes=""app*"&amp;UDO28&amp;"*"&amp;TEXT(UDV28-utc_offset/24,"YYYYMMDD")&amp;"*"" /stext="" "&amp;TEXT(UDV28-utc_offset/24,"HH")&amp;search_regexp&amp;""""</f>
        <v>#VALUE!</v>
      </c>
      <c r="UET28" s="234" t="e">
        <f>astrogrep_path&amp;" /e /r /s /spath="&amp;search_path&amp;" /stypes=""app*"&amp;UDP28&amp;"*"&amp;TEXT(UDW28-utc_offset/24,"YYYYMMDD")&amp;"*"" /stext="" "&amp;TEXT(UDW28-utc_offset/24,"HH")&amp;search_regexp&amp;""""</f>
        <v>#VALUE!</v>
      </c>
      <c r="UEU28" s="234" t="e">
        <f>astrogrep_path&amp;" /e /r /s /spath="&amp;search_path&amp;" /stypes=""app*"&amp;UDQ28&amp;"*"&amp;TEXT(UDX28-utc_offset/24,"YYYYMMDD")&amp;"*"" /stext="" "&amp;TEXT(UDX28-utc_offset/24,"HH")&amp;search_regexp&amp;""""</f>
        <v>#VALUE!</v>
      </c>
      <c r="UEV28" s="234" t="e">
        <f>astrogrep_path&amp;" /e /r /s /spath="&amp;search_path&amp;" /stypes=""app*"&amp;UDR28&amp;"*"&amp;TEXT(UDY28-utc_offset/24,"YYYYMMDD")&amp;"*"" /stext="" "&amp;TEXT(UDY28-utc_offset/24,"HH")&amp;search_regexp&amp;""""</f>
        <v>#VALUE!</v>
      </c>
      <c r="UEW28" s="234" t="e">
        <f>astrogrep_path&amp;" /e /r /s /spath="&amp;search_path&amp;" /stypes=""app*"&amp;UDS28&amp;"*"&amp;TEXT(UDZ28-utc_offset/24,"YYYYMMDD")&amp;"*"" /stext="" "&amp;TEXT(UDZ28-utc_offset/24,"HH")&amp;search_regexp&amp;""""</f>
        <v>#VALUE!</v>
      </c>
      <c r="UEX28" s="234" t="e">
        <f>astrogrep_path&amp;" /e /r /s /spath="&amp;search_path&amp;" /stypes=""app*"&amp;UDT28&amp;"*"&amp;TEXT(UEA28-utc_offset/24,"YYYYMMDD")&amp;"*"" /stext="" "&amp;TEXT(UEA28-utc_offset/24,"HH")&amp;search_regexp&amp;""""</f>
        <v>#REF!</v>
      </c>
      <c r="UEY28" s="234" t="e">
        <f>astrogrep_path&amp;" /e /r /s /spath="&amp;search_path&amp;" /stypes=""app*"&amp;UDU28&amp;"*"&amp;TEXT(UEB28-utc_offset/24,"YYYYMMDD")&amp;"*"" /stext="" "&amp;TEXT(UEB28-utc_offset/24,"HH")&amp;search_regexp&amp;""""</f>
        <v>#REF!</v>
      </c>
      <c r="UEZ28" s="234" t="e">
        <f>astrogrep_path&amp;" /e /r /s /spath="&amp;search_path&amp;" /stypes=""app*"&amp;UDV28&amp;"*"&amp;TEXT(UEC28-utc_offset/24,"YYYYMMDD")&amp;"*"" /stext="" "&amp;TEXT(UEC28-utc_offset/24,"HH")&amp;search_regexp&amp;""""</f>
        <v>#REF!</v>
      </c>
      <c r="UFA28" s="234" t="e">
        <f>astrogrep_path&amp;" /e /r /s /spath="&amp;search_path&amp;" /stypes=""app*"&amp;UDW28&amp;"*"&amp;TEXT(UED28-utc_offset/24,"YYYYMMDD")&amp;"*"" /stext="" "&amp;TEXT(UED28-utc_offset/24,"HH")&amp;search_regexp&amp;""""</f>
        <v>#REF!</v>
      </c>
      <c r="UFB28" s="234" t="e">
        <f>astrogrep_path&amp;" /e /r /s /spath="&amp;search_path&amp;" /stypes=""app*"&amp;UDX28&amp;"*"&amp;TEXT(UEE28-utc_offset/24,"YYYYMMDD")&amp;"*"" /stext="" "&amp;TEXT(UEE28-utc_offset/24,"HH")&amp;search_regexp&amp;""""</f>
        <v>#REF!</v>
      </c>
      <c r="UFC28" s="234" t="e">
        <f>astrogrep_path&amp;" /e /r /s /spath="&amp;search_path&amp;" /stypes=""app*"&amp;UDY28&amp;"*"&amp;TEXT(UEF28-utc_offset/24,"YYYYMMDD")&amp;"*"" /stext="" "&amp;TEXT(UEF28-utc_offset/24,"HH")&amp;search_regexp&amp;""""</f>
        <v>#REF!</v>
      </c>
      <c r="UFD28" s="234" t="e">
        <f>astrogrep_path&amp;" /e /r /s /spath="&amp;search_path&amp;" /stypes=""app*"&amp;UDZ28&amp;"*"&amp;TEXT(UEG28-utc_offset/24,"YYYYMMDD")&amp;"*"" /stext="" "&amp;TEXT(UEG28-utc_offset/24,"HH")&amp;search_regexp&amp;""""</f>
        <v>#REF!</v>
      </c>
      <c r="UFE28" s="234" t="e">
        <f>astrogrep_path&amp;" /e /r /s /spath="&amp;search_path&amp;" /stypes=""app*"&amp;UEA28&amp;"*"&amp;TEXT(UEH28-utc_offset/24,"YYYYMMDD")&amp;"*"" /stext="" "&amp;TEXT(UEH28-utc_offset/24,"HH")&amp;search_regexp&amp;""""</f>
        <v>#REF!</v>
      </c>
      <c r="UFF28" s="234" t="e">
        <f>astrogrep_path&amp;" /e /r /s /spath="&amp;search_path&amp;" /stypes=""app*"&amp;UEB28&amp;"*"&amp;TEXT(UEI28-utc_offset/24,"YYYYMMDD")&amp;"*"" /stext="" "&amp;TEXT(UEI28-utc_offset/24,"HH")&amp;search_regexp&amp;""""</f>
        <v>#REF!</v>
      </c>
      <c r="UFG28" s="234" t="e">
        <f>astrogrep_path&amp;" /e /r /s /spath="&amp;search_path&amp;" /stypes=""app*"&amp;UEC28&amp;"*"&amp;TEXT(UEJ28-utc_offset/24,"YYYYMMDD")&amp;"*"" /stext="" "&amp;TEXT(UEJ28-utc_offset/24,"HH")&amp;search_regexp&amp;""""</f>
        <v>#REF!</v>
      </c>
      <c r="UFH28" s="234" t="e">
        <f>astrogrep_path&amp;" /e /r /s /spath="&amp;search_path&amp;" /stypes=""app*"&amp;UED28&amp;"*"&amp;TEXT(UEK28-utc_offset/24,"YYYYMMDD")&amp;"*"" /stext="" "&amp;TEXT(UEK28-utc_offset/24,"HH")&amp;search_regexp&amp;""""</f>
        <v>#REF!</v>
      </c>
      <c r="UFI28" s="234" t="e">
        <f>astrogrep_path&amp;" /e /r /s /spath="&amp;search_path&amp;" /stypes=""app*"&amp;UEE28&amp;"*"&amp;TEXT(UEL28-utc_offset/24,"YYYYMMDD")&amp;"*"" /stext="" "&amp;TEXT(UEL28-utc_offset/24,"HH")&amp;search_regexp&amp;""""</f>
        <v>#REF!</v>
      </c>
      <c r="UFJ28" s="234" t="e">
        <f>astrogrep_path&amp;" /e /r /s /spath="&amp;search_path&amp;" /stypes=""app*"&amp;UEF28&amp;"*"&amp;TEXT(UEM28-utc_offset/24,"YYYYMMDD")&amp;"*"" /stext="" "&amp;TEXT(UEM28-utc_offset/24,"HH")&amp;search_regexp&amp;""""</f>
        <v>#REF!</v>
      </c>
      <c r="UFK28" s="234" t="e">
        <f>astrogrep_path&amp;" /e /r /s /spath="&amp;search_path&amp;" /stypes=""app*"&amp;UEG28&amp;"*"&amp;TEXT(UEN28-utc_offset/24,"YYYYMMDD")&amp;"*"" /stext="" "&amp;TEXT(UEN28-utc_offset/24,"HH")&amp;search_regexp&amp;""""</f>
        <v>#REF!</v>
      </c>
      <c r="UFL28" s="234" t="e">
        <f>astrogrep_path&amp;" /e /r /s /spath="&amp;search_path&amp;" /stypes=""app*"&amp;UEH28&amp;"*"&amp;TEXT(UEO28-utc_offset/24,"YYYYMMDD")&amp;"*"" /stext="" "&amp;TEXT(UEO28-utc_offset/24,"HH")&amp;search_regexp&amp;""""</f>
        <v>#REF!</v>
      </c>
      <c r="UFM28" s="234" t="e">
        <f>astrogrep_path&amp;" /e /r /s /spath="&amp;search_path&amp;" /stypes=""app*"&amp;UEI28&amp;"*"&amp;TEXT(UEP28-utc_offset/24,"YYYYMMDD")&amp;"*"" /stext="" "&amp;TEXT(UEP28-utc_offset/24,"HH")&amp;search_regexp&amp;""""</f>
        <v>#REF!</v>
      </c>
      <c r="UFN28" s="234" t="e">
        <f>astrogrep_path&amp;" /e /r /s /spath="&amp;search_path&amp;" /stypes=""app*"&amp;UEJ28&amp;"*"&amp;TEXT(UEQ28-utc_offset/24,"YYYYMMDD")&amp;"*"" /stext="" "&amp;TEXT(UEQ28-utc_offset/24,"HH")&amp;search_regexp&amp;""""</f>
        <v>#REF!</v>
      </c>
      <c r="UFO28" s="234" t="e">
        <f>astrogrep_path&amp;" /e /r /s /spath="&amp;search_path&amp;" /stypes=""app*"&amp;UEK28&amp;"*"&amp;TEXT(UER28-utc_offset/24,"YYYYMMDD")&amp;"*"" /stext="" "&amp;TEXT(UER28-utc_offset/24,"HH")&amp;search_regexp&amp;""""</f>
        <v>#REF!</v>
      </c>
      <c r="UFP28" s="234" t="e">
        <f>astrogrep_path&amp;" /e /r /s /spath="&amp;search_path&amp;" /stypes=""app*"&amp;UEL28&amp;"*"&amp;TEXT(UES28-utc_offset/24,"YYYYMMDD")&amp;"*"" /stext="" "&amp;TEXT(UES28-utc_offset/24,"HH")&amp;search_regexp&amp;""""</f>
        <v>#REF!</v>
      </c>
      <c r="UFQ28" s="234" t="e">
        <f>astrogrep_path&amp;" /e /r /s /spath="&amp;search_path&amp;" /stypes=""app*"&amp;UEM28&amp;"*"&amp;TEXT(UET28-utc_offset/24,"YYYYMMDD")&amp;"*"" /stext="" "&amp;TEXT(UET28-utc_offset/24,"HH")&amp;search_regexp&amp;""""</f>
        <v>#REF!</v>
      </c>
      <c r="UFR28" s="234" t="e">
        <f>astrogrep_path&amp;" /e /r /s /spath="&amp;search_path&amp;" /stypes=""app*"&amp;UEN28&amp;"*"&amp;TEXT(UEU28-utc_offset/24,"YYYYMMDD")&amp;"*"" /stext="" "&amp;TEXT(UEU28-utc_offset/24,"HH")&amp;search_regexp&amp;""""</f>
        <v>#REF!</v>
      </c>
      <c r="UFS28" s="234" t="e">
        <f>astrogrep_path&amp;" /e /r /s /spath="&amp;search_path&amp;" /stypes=""app*"&amp;UEO28&amp;"*"&amp;TEXT(UEV28-utc_offset/24,"YYYYMMDD")&amp;"*"" /stext="" "&amp;TEXT(UEV28-utc_offset/24,"HH")&amp;search_regexp&amp;""""</f>
        <v>#VALUE!</v>
      </c>
      <c r="UFT28" s="234" t="e">
        <f>astrogrep_path&amp;" /e /r /s /spath="&amp;search_path&amp;" /stypes=""app*"&amp;UEP28&amp;"*"&amp;TEXT(UEW28-utc_offset/24,"YYYYMMDD")&amp;"*"" /stext="" "&amp;TEXT(UEW28-utc_offset/24,"HH")&amp;search_regexp&amp;""""</f>
        <v>#VALUE!</v>
      </c>
      <c r="UFU28" s="234" t="e">
        <f>astrogrep_path&amp;" /e /r /s /spath="&amp;search_path&amp;" /stypes=""app*"&amp;UEQ28&amp;"*"&amp;TEXT(UEX28-utc_offset/24,"YYYYMMDD")&amp;"*"" /stext="" "&amp;TEXT(UEX28-utc_offset/24,"HH")&amp;search_regexp&amp;""""</f>
        <v>#REF!</v>
      </c>
      <c r="UFV28" s="234" t="e">
        <f>astrogrep_path&amp;" /e /r /s /spath="&amp;search_path&amp;" /stypes=""app*"&amp;UER28&amp;"*"&amp;TEXT(UEY28-utc_offset/24,"YYYYMMDD")&amp;"*"" /stext="" "&amp;TEXT(UEY28-utc_offset/24,"HH")&amp;search_regexp&amp;""""</f>
        <v>#REF!</v>
      </c>
      <c r="UFW28" s="234" t="e">
        <f>astrogrep_path&amp;" /e /r /s /spath="&amp;search_path&amp;" /stypes=""app*"&amp;UES28&amp;"*"&amp;TEXT(UEZ28-utc_offset/24,"YYYYMMDD")&amp;"*"" /stext="" "&amp;TEXT(UEZ28-utc_offset/24,"HH")&amp;search_regexp&amp;""""</f>
        <v>#VALUE!</v>
      </c>
      <c r="UFX28" s="234" t="e">
        <f>astrogrep_path&amp;" /e /r /s /spath="&amp;search_path&amp;" /stypes=""app*"&amp;UET28&amp;"*"&amp;TEXT(UFA28-utc_offset/24,"YYYYMMDD")&amp;"*"" /stext="" "&amp;TEXT(UFA28-utc_offset/24,"HH")&amp;search_regexp&amp;""""</f>
        <v>#VALUE!</v>
      </c>
      <c r="UFY28" s="234" t="e">
        <f>astrogrep_path&amp;" /e /r /s /spath="&amp;search_path&amp;" /stypes=""app*"&amp;UEU28&amp;"*"&amp;TEXT(UFB28-utc_offset/24,"YYYYMMDD")&amp;"*"" /stext="" "&amp;TEXT(UFB28-utc_offset/24,"HH")&amp;search_regexp&amp;""""</f>
        <v>#VALUE!</v>
      </c>
      <c r="UFZ28" s="234" t="e">
        <f>astrogrep_path&amp;" /e /r /s /spath="&amp;search_path&amp;" /stypes=""app*"&amp;UEV28&amp;"*"&amp;TEXT(UFC28-utc_offset/24,"YYYYMMDD")&amp;"*"" /stext="" "&amp;TEXT(UFC28-utc_offset/24,"HH")&amp;search_regexp&amp;""""</f>
        <v>#VALUE!</v>
      </c>
      <c r="UGA28" s="234" t="e">
        <f>astrogrep_path&amp;" /e /r /s /spath="&amp;search_path&amp;" /stypes=""app*"&amp;UEW28&amp;"*"&amp;TEXT(UFD28-utc_offset/24,"YYYYMMDD")&amp;"*"" /stext="" "&amp;TEXT(UFD28-utc_offset/24,"HH")&amp;search_regexp&amp;""""</f>
        <v>#VALUE!</v>
      </c>
      <c r="UGB28" s="234" t="e">
        <f>astrogrep_path&amp;" /e /r /s /spath="&amp;search_path&amp;" /stypes=""app*"&amp;UEX28&amp;"*"&amp;TEXT(UFE28-utc_offset/24,"YYYYMMDD")&amp;"*"" /stext="" "&amp;TEXT(UFE28-utc_offset/24,"HH")&amp;search_regexp&amp;""""</f>
        <v>#REF!</v>
      </c>
      <c r="UGC28" s="234" t="e">
        <f>astrogrep_path&amp;" /e /r /s /spath="&amp;search_path&amp;" /stypes=""app*"&amp;UEY28&amp;"*"&amp;TEXT(UFF28-utc_offset/24,"YYYYMMDD")&amp;"*"" /stext="" "&amp;TEXT(UFF28-utc_offset/24,"HH")&amp;search_regexp&amp;""""</f>
        <v>#REF!</v>
      </c>
      <c r="UGD28" s="234" t="e">
        <f>astrogrep_path&amp;" /e /r /s /spath="&amp;search_path&amp;" /stypes=""app*"&amp;UEZ28&amp;"*"&amp;TEXT(UFG28-utc_offset/24,"YYYYMMDD")&amp;"*"" /stext="" "&amp;TEXT(UFG28-utc_offset/24,"HH")&amp;search_regexp&amp;""""</f>
        <v>#REF!</v>
      </c>
      <c r="UGE28" s="234" t="e">
        <f>astrogrep_path&amp;" /e /r /s /spath="&amp;search_path&amp;" /stypes=""app*"&amp;UFA28&amp;"*"&amp;TEXT(UFH28-utc_offset/24,"YYYYMMDD")&amp;"*"" /stext="" "&amp;TEXT(UFH28-utc_offset/24,"HH")&amp;search_regexp&amp;""""</f>
        <v>#REF!</v>
      </c>
      <c r="UGF28" s="234" t="e">
        <f>astrogrep_path&amp;" /e /r /s /spath="&amp;search_path&amp;" /stypes=""app*"&amp;UFB28&amp;"*"&amp;TEXT(UFI28-utc_offset/24,"YYYYMMDD")&amp;"*"" /stext="" "&amp;TEXT(UFI28-utc_offset/24,"HH")&amp;search_regexp&amp;""""</f>
        <v>#REF!</v>
      </c>
      <c r="UGG28" s="234" t="e">
        <f>astrogrep_path&amp;" /e /r /s /spath="&amp;search_path&amp;" /stypes=""app*"&amp;UFC28&amp;"*"&amp;TEXT(UFJ28-utc_offset/24,"YYYYMMDD")&amp;"*"" /stext="" "&amp;TEXT(UFJ28-utc_offset/24,"HH")&amp;search_regexp&amp;""""</f>
        <v>#REF!</v>
      </c>
      <c r="UGH28" s="234" t="e">
        <f>astrogrep_path&amp;" /e /r /s /spath="&amp;search_path&amp;" /stypes=""app*"&amp;UFD28&amp;"*"&amp;TEXT(UFK28-utc_offset/24,"YYYYMMDD")&amp;"*"" /stext="" "&amp;TEXT(UFK28-utc_offset/24,"HH")&amp;search_regexp&amp;""""</f>
        <v>#REF!</v>
      </c>
      <c r="UGI28" s="234" t="e">
        <f>astrogrep_path&amp;" /e /r /s /spath="&amp;search_path&amp;" /stypes=""app*"&amp;UFE28&amp;"*"&amp;TEXT(UFL28-utc_offset/24,"YYYYMMDD")&amp;"*"" /stext="" "&amp;TEXT(UFL28-utc_offset/24,"HH")&amp;search_regexp&amp;""""</f>
        <v>#REF!</v>
      </c>
      <c r="UGJ28" s="234" t="e">
        <f>astrogrep_path&amp;" /e /r /s /spath="&amp;search_path&amp;" /stypes=""app*"&amp;UFF28&amp;"*"&amp;TEXT(UFM28-utc_offset/24,"YYYYMMDD")&amp;"*"" /stext="" "&amp;TEXT(UFM28-utc_offset/24,"HH")&amp;search_regexp&amp;""""</f>
        <v>#REF!</v>
      </c>
      <c r="UGK28" s="234" t="e">
        <f>astrogrep_path&amp;" /e /r /s /spath="&amp;search_path&amp;" /stypes=""app*"&amp;UFG28&amp;"*"&amp;TEXT(UFN28-utc_offset/24,"YYYYMMDD")&amp;"*"" /stext="" "&amp;TEXT(UFN28-utc_offset/24,"HH")&amp;search_regexp&amp;""""</f>
        <v>#REF!</v>
      </c>
      <c r="UGL28" s="234" t="e">
        <f>astrogrep_path&amp;" /e /r /s /spath="&amp;search_path&amp;" /stypes=""app*"&amp;UFH28&amp;"*"&amp;TEXT(UFO28-utc_offset/24,"YYYYMMDD")&amp;"*"" /stext="" "&amp;TEXT(UFO28-utc_offset/24,"HH")&amp;search_regexp&amp;""""</f>
        <v>#REF!</v>
      </c>
      <c r="UGM28" s="234" t="e">
        <f>astrogrep_path&amp;" /e /r /s /spath="&amp;search_path&amp;" /stypes=""app*"&amp;UFI28&amp;"*"&amp;TEXT(UFP28-utc_offset/24,"YYYYMMDD")&amp;"*"" /stext="" "&amp;TEXT(UFP28-utc_offset/24,"HH")&amp;search_regexp&amp;""""</f>
        <v>#REF!</v>
      </c>
      <c r="UGN28" s="234" t="e">
        <f>astrogrep_path&amp;" /e /r /s /spath="&amp;search_path&amp;" /stypes=""app*"&amp;UFJ28&amp;"*"&amp;TEXT(UFQ28-utc_offset/24,"YYYYMMDD")&amp;"*"" /stext="" "&amp;TEXT(UFQ28-utc_offset/24,"HH")&amp;search_regexp&amp;""""</f>
        <v>#REF!</v>
      </c>
      <c r="UGO28" s="234" t="e">
        <f>astrogrep_path&amp;" /e /r /s /spath="&amp;search_path&amp;" /stypes=""app*"&amp;UFK28&amp;"*"&amp;TEXT(UFR28-utc_offset/24,"YYYYMMDD")&amp;"*"" /stext="" "&amp;TEXT(UFR28-utc_offset/24,"HH")&amp;search_regexp&amp;""""</f>
        <v>#REF!</v>
      </c>
      <c r="UGP28" s="234" t="e">
        <f>astrogrep_path&amp;" /e /r /s /spath="&amp;search_path&amp;" /stypes=""app*"&amp;UFL28&amp;"*"&amp;TEXT(UFS28-utc_offset/24,"YYYYMMDD")&amp;"*"" /stext="" "&amp;TEXT(UFS28-utc_offset/24,"HH")&amp;search_regexp&amp;""""</f>
        <v>#REF!</v>
      </c>
      <c r="UGQ28" s="234" t="e">
        <f>astrogrep_path&amp;" /e /r /s /spath="&amp;search_path&amp;" /stypes=""app*"&amp;UFM28&amp;"*"&amp;TEXT(UFT28-utc_offset/24,"YYYYMMDD")&amp;"*"" /stext="" "&amp;TEXT(UFT28-utc_offset/24,"HH")&amp;search_regexp&amp;""""</f>
        <v>#REF!</v>
      </c>
      <c r="UGR28" s="234" t="e">
        <f>astrogrep_path&amp;" /e /r /s /spath="&amp;search_path&amp;" /stypes=""app*"&amp;UFN28&amp;"*"&amp;TEXT(UFU28-utc_offset/24,"YYYYMMDD")&amp;"*"" /stext="" "&amp;TEXT(UFU28-utc_offset/24,"HH")&amp;search_regexp&amp;""""</f>
        <v>#REF!</v>
      </c>
      <c r="UGS28" s="234" t="e">
        <f>astrogrep_path&amp;" /e /r /s /spath="&amp;search_path&amp;" /stypes=""app*"&amp;UFO28&amp;"*"&amp;TEXT(UFV28-utc_offset/24,"YYYYMMDD")&amp;"*"" /stext="" "&amp;TEXT(UFV28-utc_offset/24,"HH")&amp;search_regexp&amp;""""</f>
        <v>#REF!</v>
      </c>
      <c r="UGT28" s="234" t="e">
        <f>astrogrep_path&amp;" /e /r /s /spath="&amp;search_path&amp;" /stypes=""app*"&amp;UFP28&amp;"*"&amp;TEXT(UFW28-utc_offset/24,"YYYYMMDD")&amp;"*"" /stext="" "&amp;TEXT(UFW28-utc_offset/24,"HH")&amp;search_regexp&amp;""""</f>
        <v>#REF!</v>
      </c>
      <c r="UGU28" s="234" t="e">
        <f>astrogrep_path&amp;" /e /r /s /spath="&amp;search_path&amp;" /stypes=""app*"&amp;UFQ28&amp;"*"&amp;TEXT(UFX28-utc_offset/24,"YYYYMMDD")&amp;"*"" /stext="" "&amp;TEXT(UFX28-utc_offset/24,"HH")&amp;search_regexp&amp;""""</f>
        <v>#REF!</v>
      </c>
      <c r="UGV28" s="234" t="e">
        <f>astrogrep_path&amp;" /e /r /s /spath="&amp;search_path&amp;" /stypes=""app*"&amp;UFR28&amp;"*"&amp;TEXT(UFY28-utc_offset/24,"YYYYMMDD")&amp;"*"" /stext="" "&amp;TEXT(UFY28-utc_offset/24,"HH")&amp;search_regexp&amp;""""</f>
        <v>#REF!</v>
      </c>
      <c r="UGW28" s="234" t="e">
        <f>astrogrep_path&amp;" /e /r /s /spath="&amp;search_path&amp;" /stypes=""app*"&amp;UFS28&amp;"*"&amp;TEXT(UFZ28-utc_offset/24,"YYYYMMDD")&amp;"*"" /stext="" "&amp;TEXT(UFZ28-utc_offset/24,"HH")&amp;search_regexp&amp;""""</f>
        <v>#VALUE!</v>
      </c>
      <c r="UGX28" s="234" t="e">
        <f>astrogrep_path&amp;" /e /r /s /spath="&amp;search_path&amp;" /stypes=""app*"&amp;UFT28&amp;"*"&amp;TEXT(UGA28-utc_offset/24,"YYYYMMDD")&amp;"*"" /stext="" "&amp;TEXT(UGA28-utc_offset/24,"HH")&amp;search_regexp&amp;""""</f>
        <v>#VALUE!</v>
      </c>
      <c r="UGY28" s="234" t="e">
        <f>astrogrep_path&amp;" /e /r /s /spath="&amp;search_path&amp;" /stypes=""app*"&amp;UFU28&amp;"*"&amp;TEXT(UGB28-utc_offset/24,"YYYYMMDD")&amp;"*"" /stext="" "&amp;TEXT(UGB28-utc_offset/24,"HH")&amp;search_regexp&amp;""""</f>
        <v>#REF!</v>
      </c>
      <c r="UGZ28" s="234" t="e">
        <f>astrogrep_path&amp;" /e /r /s /spath="&amp;search_path&amp;" /stypes=""app*"&amp;UFV28&amp;"*"&amp;TEXT(UGC28-utc_offset/24,"YYYYMMDD")&amp;"*"" /stext="" "&amp;TEXT(UGC28-utc_offset/24,"HH")&amp;search_regexp&amp;""""</f>
        <v>#REF!</v>
      </c>
      <c r="UHA28" s="234" t="e">
        <f>astrogrep_path&amp;" /e /r /s /spath="&amp;search_path&amp;" /stypes=""app*"&amp;UFW28&amp;"*"&amp;TEXT(UGD28-utc_offset/24,"YYYYMMDD")&amp;"*"" /stext="" "&amp;TEXT(UGD28-utc_offset/24,"HH")&amp;search_regexp&amp;""""</f>
        <v>#VALUE!</v>
      </c>
      <c r="UHB28" s="234" t="e">
        <f>astrogrep_path&amp;" /e /r /s /spath="&amp;search_path&amp;" /stypes=""app*"&amp;UFX28&amp;"*"&amp;TEXT(UGE28-utc_offset/24,"YYYYMMDD")&amp;"*"" /stext="" "&amp;TEXT(UGE28-utc_offset/24,"HH")&amp;search_regexp&amp;""""</f>
        <v>#VALUE!</v>
      </c>
      <c r="UHC28" s="234" t="e">
        <f>astrogrep_path&amp;" /e /r /s /spath="&amp;search_path&amp;" /stypes=""app*"&amp;UFY28&amp;"*"&amp;TEXT(UGF28-utc_offset/24,"YYYYMMDD")&amp;"*"" /stext="" "&amp;TEXT(UGF28-utc_offset/24,"HH")&amp;search_regexp&amp;""""</f>
        <v>#VALUE!</v>
      </c>
      <c r="UHD28" s="234" t="e">
        <f>astrogrep_path&amp;" /e /r /s /spath="&amp;search_path&amp;" /stypes=""app*"&amp;UFZ28&amp;"*"&amp;TEXT(UGG28-utc_offset/24,"YYYYMMDD")&amp;"*"" /stext="" "&amp;TEXT(UGG28-utc_offset/24,"HH")&amp;search_regexp&amp;""""</f>
        <v>#VALUE!</v>
      </c>
      <c r="UHE28" s="234" t="e">
        <f>astrogrep_path&amp;" /e /r /s /spath="&amp;search_path&amp;" /stypes=""app*"&amp;UGA28&amp;"*"&amp;TEXT(UGH28-utc_offset/24,"YYYYMMDD")&amp;"*"" /stext="" "&amp;TEXT(UGH28-utc_offset/24,"HH")&amp;search_regexp&amp;""""</f>
        <v>#VALUE!</v>
      </c>
      <c r="UHF28" s="234" t="e">
        <f>astrogrep_path&amp;" /e /r /s /spath="&amp;search_path&amp;" /stypes=""app*"&amp;UGB28&amp;"*"&amp;TEXT(UGI28-utc_offset/24,"YYYYMMDD")&amp;"*"" /stext="" "&amp;TEXT(UGI28-utc_offset/24,"HH")&amp;search_regexp&amp;""""</f>
        <v>#REF!</v>
      </c>
      <c r="UHG28" s="234" t="e">
        <f>astrogrep_path&amp;" /e /r /s /spath="&amp;search_path&amp;" /stypes=""app*"&amp;UGC28&amp;"*"&amp;TEXT(UGJ28-utc_offset/24,"YYYYMMDD")&amp;"*"" /stext="" "&amp;TEXT(UGJ28-utc_offset/24,"HH")&amp;search_regexp&amp;""""</f>
        <v>#REF!</v>
      </c>
      <c r="UHH28" s="234" t="e">
        <f>astrogrep_path&amp;" /e /r /s /spath="&amp;search_path&amp;" /stypes=""app*"&amp;UGD28&amp;"*"&amp;TEXT(UGK28-utc_offset/24,"YYYYMMDD")&amp;"*"" /stext="" "&amp;TEXT(UGK28-utc_offset/24,"HH")&amp;search_regexp&amp;""""</f>
        <v>#REF!</v>
      </c>
      <c r="UHI28" s="234" t="e">
        <f>astrogrep_path&amp;" /e /r /s /spath="&amp;search_path&amp;" /stypes=""app*"&amp;UGE28&amp;"*"&amp;TEXT(UGL28-utc_offset/24,"YYYYMMDD")&amp;"*"" /stext="" "&amp;TEXT(UGL28-utc_offset/24,"HH")&amp;search_regexp&amp;""""</f>
        <v>#REF!</v>
      </c>
      <c r="UHJ28" s="234" t="e">
        <f>astrogrep_path&amp;" /e /r /s /spath="&amp;search_path&amp;" /stypes=""app*"&amp;UGF28&amp;"*"&amp;TEXT(UGM28-utc_offset/24,"YYYYMMDD")&amp;"*"" /stext="" "&amp;TEXT(UGM28-utc_offset/24,"HH")&amp;search_regexp&amp;""""</f>
        <v>#REF!</v>
      </c>
      <c r="UHK28" s="234" t="e">
        <f>astrogrep_path&amp;" /e /r /s /spath="&amp;search_path&amp;" /stypes=""app*"&amp;UGG28&amp;"*"&amp;TEXT(UGN28-utc_offset/24,"YYYYMMDD")&amp;"*"" /stext="" "&amp;TEXT(UGN28-utc_offset/24,"HH")&amp;search_regexp&amp;""""</f>
        <v>#REF!</v>
      </c>
      <c r="UHL28" s="234" t="e">
        <f>astrogrep_path&amp;" /e /r /s /spath="&amp;search_path&amp;" /stypes=""app*"&amp;UGH28&amp;"*"&amp;TEXT(UGO28-utc_offset/24,"YYYYMMDD")&amp;"*"" /stext="" "&amp;TEXT(UGO28-utc_offset/24,"HH")&amp;search_regexp&amp;""""</f>
        <v>#REF!</v>
      </c>
      <c r="UHM28" s="234" t="e">
        <f>astrogrep_path&amp;" /e /r /s /spath="&amp;search_path&amp;" /stypes=""app*"&amp;UGI28&amp;"*"&amp;TEXT(UGP28-utc_offset/24,"YYYYMMDD")&amp;"*"" /stext="" "&amp;TEXT(UGP28-utc_offset/24,"HH")&amp;search_regexp&amp;""""</f>
        <v>#REF!</v>
      </c>
      <c r="UHN28" s="234" t="e">
        <f>astrogrep_path&amp;" /e /r /s /spath="&amp;search_path&amp;" /stypes=""app*"&amp;UGJ28&amp;"*"&amp;TEXT(UGQ28-utc_offset/24,"YYYYMMDD")&amp;"*"" /stext="" "&amp;TEXT(UGQ28-utc_offset/24,"HH")&amp;search_regexp&amp;""""</f>
        <v>#REF!</v>
      </c>
      <c r="UHO28" s="234" t="e">
        <f>astrogrep_path&amp;" /e /r /s /spath="&amp;search_path&amp;" /stypes=""app*"&amp;UGK28&amp;"*"&amp;TEXT(UGR28-utc_offset/24,"YYYYMMDD")&amp;"*"" /stext="" "&amp;TEXT(UGR28-utc_offset/24,"HH")&amp;search_regexp&amp;""""</f>
        <v>#REF!</v>
      </c>
      <c r="UHP28" s="234" t="e">
        <f>astrogrep_path&amp;" /e /r /s /spath="&amp;search_path&amp;" /stypes=""app*"&amp;UGL28&amp;"*"&amp;TEXT(UGS28-utc_offset/24,"YYYYMMDD")&amp;"*"" /stext="" "&amp;TEXT(UGS28-utc_offset/24,"HH")&amp;search_regexp&amp;""""</f>
        <v>#REF!</v>
      </c>
      <c r="UHQ28" s="234" t="e">
        <f>astrogrep_path&amp;" /e /r /s /spath="&amp;search_path&amp;" /stypes=""app*"&amp;UGM28&amp;"*"&amp;TEXT(UGT28-utc_offset/24,"YYYYMMDD")&amp;"*"" /stext="" "&amp;TEXT(UGT28-utc_offset/24,"HH")&amp;search_regexp&amp;""""</f>
        <v>#REF!</v>
      </c>
      <c r="UHR28" s="234" t="e">
        <f>astrogrep_path&amp;" /e /r /s /spath="&amp;search_path&amp;" /stypes=""app*"&amp;UGN28&amp;"*"&amp;TEXT(UGU28-utc_offset/24,"YYYYMMDD")&amp;"*"" /stext="" "&amp;TEXT(UGU28-utc_offset/24,"HH")&amp;search_regexp&amp;""""</f>
        <v>#REF!</v>
      </c>
      <c r="UHS28" s="234" t="e">
        <f>astrogrep_path&amp;" /e /r /s /spath="&amp;search_path&amp;" /stypes=""app*"&amp;UGO28&amp;"*"&amp;TEXT(UGV28-utc_offset/24,"YYYYMMDD")&amp;"*"" /stext="" "&amp;TEXT(UGV28-utc_offset/24,"HH")&amp;search_regexp&amp;""""</f>
        <v>#REF!</v>
      </c>
      <c r="UHT28" s="234" t="e">
        <f>astrogrep_path&amp;" /e /r /s /spath="&amp;search_path&amp;" /stypes=""app*"&amp;UGP28&amp;"*"&amp;TEXT(UGW28-utc_offset/24,"YYYYMMDD")&amp;"*"" /stext="" "&amp;TEXT(UGW28-utc_offset/24,"HH")&amp;search_regexp&amp;""""</f>
        <v>#REF!</v>
      </c>
      <c r="UHU28" s="234" t="e">
        <f>astrogrep_path&amp;" /e /r /s /spath="&amp;search_path&amp;" /stypes=""app*"&amp;UGQ28&amp;"*"&amp;TEXT(UGX28-utc_offset/24,"YYYYMMDD")&amp;"*"" /stext="" "&amp;TEXT(UGX28-utc_offset/24,"HH")&amp;search_regexp&amp;""""</f>
        <v>#REF!</v>
      </c>
      <c r="UHV28" s="234" t="e">
        <f>astrogrep_path&amp;" /e /r /s /spath="&amp;search_path&amp;" /stypes=""app*"&amp;UGR28&amp;"*"&amp;TEXT(UGY28-utc_offset/24,"YYYYMMDD")&amp;"*"" /stext="" "&amp;TEXT(UGY28-utc_offset/24,"HH")&amp;search_regexp&amp;""""</f>
        <v>#REF!</v>
      </c>
      <c r="UHW28" s="234" t="e">
        <f>astrogrep_path&amp;" /e /r /s /spath="&amp;search_path&amp;" /stypes=""app*"&amp;UGS28&amp;"*"&amp;TEXT(UGZ28-utc_offset/24,"YYYYMMDD")&amp;"*"" /stext="" "&amp;TEXT(UGZ28-utc_offset/24,"HH")&amp;search_regexp&amp;""""</f>
        <v>#REF!</v>
      </c>
      <c r="UHX28" s="234" t="e">
        <f>astrogrep_path&amp;" /e /r /s /spath="&amp;search_path&amp;" /stypes=""app*"&amp;UGT28&amp;"*"&amp;TEXT(UHA28-utc_offset/24,"YYYYMMDD")&amp;"*"" /stext="" "&amp;TEXT(UHA28-utc_offset/24,"HH")&amp;search_regexp&amp;""""</f>
        <v>#REF!</v>
      </c>
      <c r="UHY28" s="234" t="e">
        <f>astrogrep_path&amp;" /e /r /s /spath="&amp;search_path&amp;" /stypes=""app*"&amp;UGU28&amp;"*"&amp;TEXT(UHB28-utc_offset/24,"YYYYMMDD")&amp;"*"" /stext="" "&amp;TEXT(UHB28-utc_offset/24,"HH")&amp;search_regexp&amp;""""</f>
        <v>#REF!</v>
      </c>
      <c r="UHZ28" s="234" t="e">
        <f>astrogrep_path&amp;" /e /r /s /spath="&amp;search_path&amp;" /stypes=""app*"&amp;UGV28&amp;"*"&amp;TEXT(UHC28-utc_offset/24,"YYYYMMDD")&amp;"*"" /stext="" "&amp;TEXT(UHC28-utc_offset/24,"HH")&amp;search_regexp&amp;""""</f>
        <v>#REF!</v>
      </c>
      <c r="UIA28" s="234" t="e">
        <f>astrogrep_path&amp;" /e /r /s /spath="&amp;search_path&amp;" /stypes=""app*"&amp;UGW28&amp;"*"&amp;TEXT(UHD28-utc_offset/24,"YYYYMMDD")&amp;"*"" /stext="" "&amp;TEXT(UHD28-utc_offset/24,"HH")&amp;search_regexp&amp;""""</f>
        <v>#VALUE!</v>
      </c>
      <c r="UIB28" s="234" t="e">
        <f>astrogrep_path&amp;" /e /r /s /spath="&amp;search_path&amp;" /stypes=""app*"&amp;UGX28&amp;"*"&amp;TEXT(UHE28-utc_offset/24,"YYYYMMDD")&amp;"*"" /stext="" "&amp;TEXT(UHE28-utc_offset/24,"HH")&amp;search_regexp&amp;""""</f>
        <v>#VALUE!</v>
      </c>
      <c r="UIC28" s="234" t="e">
        <f>astrogrep_path&amp;" /e /r /s /spath="&amp;search_path&amp;" /stypes=""app*"&amp;UGY28&amp;"*"&amp;TEXT(UHF28-utc_offset/24,"YYYYMMDD")&amp;"*"" /stext="" "&amp;TEXT(UHF28-utc_offset/24,"HH")&amp;search_regexp&amp;""""</f>
        <v>#REF!</v>
      </c>
      <c r="UID28" s="234" t="e">
        <f>astrogrep_path&amp;" /e /r /s /spath="&amp;search_path&amp;" /stypes=""app*"&amp;UGZ28&amp;"*"&amp;TEXT(UHG28-utc_offset/24,"YYYYMMDD")&amp;"*"" /stext="" "&amp;TEXT(UHG28-utc_offset/24,"HH")&amp;search_regexp&amp;""""</f>
        <v>#REF!</v>
      </c>
      <c r="UIE28" s="234" t="e">
        <f>astrogrep_path&amp;" /e /r /s /spath="&amp;search_path&amp;" /stypes=""app*"&amp;UHA28&amp;"*"&amp;TEXT(UHH28-utc_offset/24,"YYYYMMDD")&amp;"*"" /stext="" "&amp;TEXT(UHH28-utc_offset/24,"HH")&amp;search_regexp&amp;""""</f>
        <v>#VALUE!</v>
      </c>
      <c r="UIF28" s="234" t="e">
        <f>astrogrep_path&amp;" /e /r /s /spath="&amp;search_path&amp;" /stypes=""app*"&amp;UHB28&amp;"*"&amp;TEXT(UHI28-utc_offset/24,"YYYYMMDD")&amp;"*"" /stext="" "&amp;TEXT(UHI28-utc_offset/24,"HH")&amp;search_regexp&amp;""""</f>
        <v>#VALUE!</v>
      </c>
      <c r="UIG28" s="234" t="e">
        <f>astrogrep_path&amp;" /e /r /s /spath="&amp;search_path&amp;" /stypes=""app*"&amp;UHC28&amp;"*"&amp;TEXT(UHJ28-utc_offset/24,"YYYYMMDD")&amp;"*"" /stext="" "&amp;TEXT(UHJ28-utc_offset/24,"HH")&amp;search_regexp&amp;""""</f>
        <v>#VALUE!</v>
      </c>
      <c r="UIH28" s="234" t="e">
        <f>astrogrep_path&amp;" /e /r /s /spath="&amp;search_path&amp;" /stypes=""app*"&amp;UHD28&amp;"*"&amp;TEXT(UHK28-utc_offset/24,"YYYYMMDD")&amp;"*"" /stext="" "&amp;TEXT(UHK28-utc_offset/24,"HH")&amp;search_regexp&amp;""""</f>
        <v>#VALUE!</v>
      </c>
      <c r="UII28" s="234" t="e">
        <f>astrogrep_path&amp;" /e /r /s /spath="&amp;search_path&amp;" /stypes=""app*"&amp;UHE28&amp;"*"&amp;TEXT(UHL28-utc_offset/24,"YYYYMMDD")&amp;"*"" /stext="" "&amp;TEXT(UHL28-utc_offset/24,"HH")&amp;search_regexp&amp;""""</f>
        <v>#VALUE!</v>
      </c>
      <c r="UIJ28" s="234" t="e">
        <f>astrogrep_path&amp;" /e /r /s /spath="&amp;search_path&amp;" /stypes=""app*"&amp;UHF28&amp;"*"&amp;TEXT(UHM28-utc_offset/24,"YYYYMMDD")&amp;"*"" /stext="" "&amp;TEXT(UHM28-utc_offset/24,"HH")&amp;search_regexp&amp;""""</f>
        <v>#REF!</v>
      </c>
      <c r="UIK28" s="234" t="e">
        <f>astrogrep_path&amp;" /e /r /s /spath="&amp;search_path&amp;" /stypes=""app*"&amp;UHG28&amp;"*"&amp;TEXT(UHN28-utc_offset/24,"YYYYMMDD")&amp;"*"" /stext="" "&amp;TEXT(UHN28-utc_offset/24,"HH")&amp;search_regexp&amp;""""</f>
        <v>#REF!</v>
      </c>
      <c r="UIL28" s="234" t="e">
        <f>astrogrep_path&amp;" /e /r /s /spath="&amp;search_path&amp;" /stypes=""app*"&amp;UHH28&amp;"*"&amp;TEXT(UHO28-utc_offset/24,"YYYYMMDD")&amp;"*"" /stext="" "&amp;TEXT(UHO28-utc_offset/24,"HH")&amp;search_regexp&amp;""""</f>
        <v>#REF!</v>
      </c>
      <c r="UIM28" s="234" t="e">
        <f>astrogrep_path&amp;" /e /r /s /spath="&amp;search_path&amp;" /stypes=""app*"&amp;UHI28&amp;"*"&amp;TEXT(UHP28-utc_offset/24,"YYYYMMDD")&amp;"*"" /stext="" "&amp;TEXT(UHP28-utc_offset/24,"HH")&amp;search_regexp&amp;""""</f>
        <v>#REF!</v>
      </c>
      <c r="UIN28" s="234" t="e">
        <f>astrogrep_path&amp;" /e /r /s /spath="&amp;search_path&amp;" /stypes=""app*"&amp;UHJ28&amp;"*"&amp;TEXT(UHQ28-utc_offset/24,"YYYYMMDD")&amp;"*"" /stext="" "&amp;TEXT(UHQ28-utc_offset/24,"HH")&amp;search_regexp&amp;""""</f>
        <v>#REF!</v>
      </c>
      <c r="UIO28" s="234" t="e">
        <f>astrogrep_path&amp;" /e /r /s /spath="&amp;search_path&amp;" /stypes=""app*"&amp;UHK28&amp;"*"&amp;TEXT(UHR28-utc_offset/24,"YYYYMMDD")&amp;"*"" /stext="" "&amp;TEXT(UHR28-utc_offset/24,"HH")&amp;search_regexp&amp;""""</f>
        <v>#REF!</v>
      </c>
      <c r="UIP28" s="234" t="e">
        <f>astrogrep_path&amp;" /e /r /s /spath="&amp;search_path&amp;" /stypes=""app*"&amp;UHL28&amp;"*"&amp;TEXT(UHS28-utc_offset/24,"YYYYMMDD")&amp;"*"" /stext="" "&amp;TEXT(UHS28-utc_offset/24,"HH")&amp;search_regexp&amp;""""</f>
        <v>#REF!</v>
      </c>
      <c r="UIQ28" s="234" t="e">
        <f>astrogrep_path&amp;" /e /r /s /spath="&amp;search_path&amp;" /stypes=""app*"&amp;UHM28&amp;"*"&amp;TEXT(UHT28-utc_offset/24,"YYYYMMDD")&amp;"*"" /stext="" "&amp;TEXT(UHT28-utc_offset/24,"HH")&amp;search_regexp&amp;""""</f>
        <v>#REF!</v>
      </c>
      <c r="UIR28" s="234" t="e">
        <f>astrogrep_path&amp;" /e /r /s /spath="&amp;search_path&amp;" /stypes=""app*"&amp;UHN28&amp;"*"&amp;TEXT(UHU28-utc_offset/24,"YYYYMMDD")&amp;"*"" /stext="" "&amp;TEXT(UHU28-utc_offset/24,"HH")&amp;search_regexp&amp;""""</f>
        <v>#REF!</v>
      </c>
      <c r="UIS28" s="234" t="e">
        <f>astrogrep_path&amp;" /e /r /s /spath="&amp;search_path&amp;" /stypes=""app*"&amp;UHO28&amp;"*"&amp;TEXT(UHV28-utc_offset/24,"YYYYMMDD")&amp;"*"" /stext="" "&amp;TEXT(UHV28-utc_offset/24,"HH")&amp;search_regexp&amp;""""</f>
        <v>#REF!</v>
      </c>
      <c r="UIT28" s="234" t="e">
        <f>astrogrep_path&amp;" /e /r /s /spath="&amp;search_path&amp;" /stypes=""app*"&amp;UHP28&amp;"*"&amp;TEXT(UHW28-utc_offset/24,"YYYYMMDD")&amp;"*"" /stext="" "&amp;TEXT(UHW28-utc_offset/24,"HH")&amp;search_regexp&amp;""""</f>
        <v>#REF!</v>
      </c>
      <c r="UIU28" s="234" t="e">
        <f>astrogrep_path&amp;" /e /r /s /spath="&amp;search_path&amp;" /stypes=""app*"&amp;UHQ28&amp;"*"&amp;TEXT(UHX28-utc_offset/24,"YYYYMMDD")&amp;"*"" /stext="" "&amp;TEXT(UHX28-utc_offset/24,"HH")&amp;search_regexp&amp;""""</f>
        <v>#REF!</v>
      </c>
      <c r="UIV28" s="234" t="e">
        <f>astrogrep_path&amp;" /e /r /s /spath="&amp;search_path&amp;" /stypes=""app*"&amp;UHR28&amp;"*"&amp;TEXT(UHY28-utc_offset/24,"YYYYMMDD")&amp;"*"" /stext="" "&amp;TEXT(UHY28-utc_offset/24,"HH")&amp;search_regexp&amp;""""</f>
        <v>#REF!</v>
      </c>
      <c r="UIW28" s="234" t="e">
        <f>astrogrep_path&amp;" /e /r /s /spath="&amp;search_path&amp;" /stypes=""app*"&amp;UHS28&amp;"*"&amp;TEXT(UHZ28-utc_offset/24,"YYYYMMDD")&amp;"*"" /stext="" "&amp;TEXT(UHZ28-utc_offset/24,"HH")&amp;search_regexp&amp;""""</f>
        <v>#REF!</v>
      </c>
      <c r="UIX28" s="234" t="e">
        <f>astrogrep_path&amp;" /e /r /s /spath="&amp;search_path&amp;" /stypes=""app*"&amp;UHT28&amp;"*"&amp;TEXT(UIA28-utc_offset/24,"YYYYMMDD")&amp;"*"" /stext="" "&amp;TEXT(UIA28-utc_offset/24,"HH")&amp;search_regexp&amp;""""</f>
        <v>#REF!</v>
      </c>
      <c r="UIY28" s="234" t="e">
        <f>astrogrep_path&amp;" /e /r /s /spath="&amp;search_path&amp;" /stypes=""app*"&amp;UHU28&amp;"*"&amp;TEXT(UIB28-utc_offset/24,"YYYYMMDD")&amp;"*"" /stext="" "&amp;TEXT(UIB28-utc_offset/24,"HH")&amp;search_regexp&amp;""""</f>
        <v>#REF!</v>
      </c>
      <c r="UIZ28" s="234" t="e">
        <f>astrogrep_path&amp;" /e /r /s /spath="&amp;search_path&amp;" /stypes=""app*"&amp;UHV28&amp;"*"&amp;TEXT(UIC28-utc_offset/24,"YYYYMMDD")&amp;"*"" /stext="" "&amp;TEXT(UIC28-utc_offset/24,"HH")&amp;search_regexp&amp;""""</f>
        <v>#REF!</v>
      </c>
      <c r="UJA28" s="234" t="e">
        <f>astrogrep_path&amp;" /e /r /s /spath="&amp;search_path&amp;" /stypes=""app*"&amp;UHW28&amp;"*"&amp;TEXT(UID28-utc_offset/24,"YYYYMMDD")&amp;"*"" /stext="" "&amp;TEXT(UID28-utc_offset/24,"HH")&amp;search_regexp&amp;""""</f>
        <v>#REF!</v>
      </c>
      <c r="UJB28" s="234" t="e">
        <f>astrogrep_path&amp;" /e /r /s /spath="&amp;search_path&amp;" /stypes=""app*"&amp;UHX28&amp;"*"&amp;TEXT(UIE28-utc_offset/24,"YYYYMMDD")&amp;"*"" /stext="" "&amp;TEXT(UIE28-utc_offset/24,"HH")&amp;search_regexp&amp;""""</f>
        <v>#REF!</v>
      </c>
      <c r="UJC28" s="234" t="e">
        <f>astrogrep_path&amp;" /e /r /s /spath="&amp;search_path&amp;" /stypes=""app*"&amp;UHY28&amp;"*"&amp;TEXT(UIF28-utc_offset/24,"YYYYMMDD")&amp;"*"" /stext="" "&amp;TEXT(UIF28-utc_offset/24,"HH")&amp;search_regexp&amp;""""</f>
        <v>#REF!</v>
      </c>
      <c r="UJD28" s="234" t="e">
        <f>astrogrep_path&amp;" /e /r /s /spath="&amp;search_path&amp;" /stypes=""app*"&amp;UHZ28&amp;"*"&amp;TEXT(UIG28-utc_offset/24,"YYYYMMDD")&amp;"*"" /stext="" "&amp;TEXT(UIG28-utc_offset/24,"HH")&amp;search_regexp&amp;""""</f>
        <v>#REF!</v>
      </c>
      <c r="UJE28" s="234" t="e">
        <f>astrogrep_path&amp;" /e /r /s /spath="&amp;search_path&amp;" /stypes=""app*"&amp;UIA28&amp;"*"&amp;TEXT(UIH28-utc_offset/24,"YYYYMMDD")&amp;"*"" /stext="" "&amp;TEXT(UIH28-utc_offset/24,"HH")&amp;search_regexp&amp;""""</f>
        <v>#VALUE!</v>
      </c>
      <c r="UJF28" s="234" t="e">
        <f>astrogrep_path&amp;" /e /r /s /spath="&amp;search_path&amp;" /stypes=""app*"&amp;UIB28&amp;"*"&amp;TEXT(UII28-utc_offset/24,"YYYYMMDD")&amp;"*"" /stext="" "&amp;TEXT(UII28-utc_offset/24,"HH")&amp;search_regexp&amp;""""</f>
        <v>#VALUE!</v>
      </c>
      <c r="UJG28" s="234" t="e">
        <f>astrogrep_path&amp;" /e /r /s /spath="&amp;search_path&amp;" /stypes=""app*"&amp;UIC28&amp;"*"&amp;TEXT(UIJ28-utc_offset/24,"YYYYMMDD")&amp;"*"" /stext="" "&amp;TEXT(UIJ28-utc_offset/24,"HH")&amp;search_regexp&amp;""""</f>
        <v>#REF!</v>
      </c>
      <c r="UJH28" s="234" t="e">
        <f>astrogrep_path&amp;" /e /r /s /spath="&amp;search_path&amp;" /stypes=""app*"&amp;UID28&amp;"*"&amp;TEXT(UIK28-utc_offset/24,"YYYYMMDD")&amp;"*"" /stext="" "&amp;TEXT(UIK28-utc_offset/24,"HH")&amp;search_regexp&amp;""""</f>
        <v>#REF!</v>
      </c>
      <c r="UJI28" s="234" t="e">
        <f>astrogrep_path&amp;" /e /r /s /spath="&amp;search_path&amp;" /stypes=""app*"&amp;UIE28&amp;"*"&amp;TEXT(UIL28-utc_offset/24,"YYYYMMDD")&amp;"*"" /stext="" "&amp;TEXT(UIL28-utc_offset/24,"HH")&amp;search_regexp&amp;""""</f>
        <v>#VALUE!</v>
      </c>
      <c r="UJJ28" s="234" t="e">
        <f>astrogrep_path&amp;" /e /r /s /spath="&amp;search_path&amp;" /stypes=""app*"&amp;UIF28&amp;"*"&amp;TEXT(UIM28-utc_offset/24,"YYYYMMDD")&amp;"*"" /stext="" "&amp;TEXT(UIM28-utc_offset/24,"HH")&amp;search_regexp&amp;""""</f>
        <v>#VALUE!</v>
      </c>
      <c r="UJK28" s="234" t="e">
        <f>astrogrep_path&amp;" /e /r /s /spath="&amp;search_path&amp;" /stypes=""app*"&amp;UIG28&amp;"*"&amp;TEXT(UIN28-utc_offset/24,"YYYYMMDD")&amp;"*"" /stext="" "&amp;TEXT(UIN28-utc_offset/24,"HH")&amp;search_regexp&amp;""""</f>
        <v>#VALUE!</v>
      </c>
      <c r="UJL28" s="234" t="e">
        <f>astrogrep_path&amp;" /e /r /s /spath="&amp;search_path&amp;" /stypes=""app*"&amp;UIH28&amp;"*"&amp;TEXT(UIO28-utc_offset/24,"YYYYMMDD")&amp;"*"" /stext="" "&amp;TEXT(UIO28-utc_offset/24,"HH")&amp;search_regexp&amp;""""</f>
        <v>#VALUE!</v>
      </c>
      <c r="UJM28" s="234" t="e">
        <f>astrogrep_path&amp;" /e /r /s /spath="&amp;search_path&amp;" /stypes=""app*"&amp;UII28&amp;"*"&amp;TEXT(UIP28-utc_offset/24,"YYYYMMDD")&amp;"*"" /stext="" "&amp;TEXT(UIP28-utc_offset/24,"HH")&amp;search_regexp&amp;""""</f>
        <v>#VALUE!</v>
      </c>
      <c r="UJN28" s="234" t="e">
        <f>astrogrep_path&amp;" /e /r /s /spath="&amp;search_path&amp;" /stypes=""app*"&amp;UIJ28&amp;"*"&amp;TEXT(UIQ28-utc_offset/24,"YYYYMMDD")&amp;"*"" /stext="" "&amp;TEXT(UIQ28-utc_offset/24,"HH")&amp;search_regexp&amp;""""</f>
        <v>#REF!</v>
      </c>
      <c r="UJO28" s="234" t="e">
        <f>astrogrep_path&amp;" /e /r /s /spath="&amp;search_path&amp;" /stypes=""app*"&amp;UIK28&amp;"*"&amp;TEXT(UIR28-utc_offset/24,"YYYYMMDD")&amp;"*"" /stext="" "&amp;TEXT(UIR28-utc_offset/24,"HH")&amp;search_regexp&amp;""""</f>
        <v>#REF!</v>
      </c>
      <c r="UJP28" s="234" t="e">
        <f>astrogrep_path&amp;" /e /r /s /spath="&amp;search_path&amp;" /stypes=""app*"&amp;UIL28&amp;"*"&amp;TEXT(UIS28-utc_offset/24,"YYYYMMDD")&amp;"*"" /stext="" "&amp;TEXT(UIS28-utc_offset/24,"HH")&amp;search_regexp&amp;""""</f>
        <v>#REF!</v>
      </c>
      <c r="UJQ28" s="234" t="e">
        <f>astrogrep_path&amp;" /e /r /s /spath="&amp;search_path&amp;" /stypes=""app*"&amp;UIM28&amp;"*"&amp;TEXT(UIT28-utc_offset/24,"YYYYMMDD")&amp;"*"" /stext="" "&amp;TEXT(UIT28-utc_offset/24,"HH")&amp;search_regexp&amp;""""</f>
        <v>#REF!</v>
      </c>
      <c r="UJR28" s="234" t="e">
        <f>astrogrep_path&amp;" /e /r /s /spath="&amp;search_path&amp;" /stypes=""app*"&amp;UIN28&amp;"*"&amp;TEXT(UIU28-utc_offset/24,"YYYYMMDD")&amp;"*"" /stext="" "&amp;TEXT(UIU28-utc_offset/24,"HH")&amp;search_regexp&amp;""""</f>
        <v>#REF!</v>
      </c>
      <c r="UJS28" s="234" t="e">
        <f>astrogrep_path&amp;" /e /r /s /spath="&amp;search_path&amp;" /stypes=""app*"&amp;UIO28&amp;"*"&amp;TEXT(UIV28-utc_offset/24,"YYYYMMDD")&amp;"*"" /stext="" "&amp;TEXT(UIV28-utc_offset/24,"HH")&amp;search_regexp&amp;""""</f>
        <v>#REF!</v>
      </c>
      <c r="UJT28" s="234" t="e">
        <f>astrogrep_path&amp;" /e /r /s /spath="&amp;search_path&amp;" /stypes=""app*"&amp;UIP28&amp;"*"&amp;TEXT(UIW28-utc_offset/24,"YYYYMMDD")&amp;"*"" /stext="" "&amp;TEXT(UIW28-utc_offset/24,"HH")&amp;search_regexp&amp;""""</f>
        <v>#REF!</v>
      </c>
      <c r="UJU28" s="234" t="e">
        <f>astrogrep_path&amp;" /e /r /s /spath="&amp;search_path&amp;" /stypes=""app*"&amp;UIQ28&amp;"*"&amp;TEXT(UIX28-utc_offset/24,"YYYYMMDD")&amp;"*"" /stext="" "&amp;TEXT(UIX28-utc_offset/24,"HH")&amp;search_regexp&amp;""""</f>
        <v>#REF!</v>
      </c>
      <c r="UJV28" s="234" t="e">
        <f>astrogrep_path&amp;" /e /r /s /spath="&amp;search_path&amp;" /stypes=""app*"&amp;UIR28&amp;"*"&amp;TEXT(UIY28-utc_offset/24,"YYYYMMDD")&amp;"*"" /stext="" "&amp;TEXT(UIY28-utc_offset/24,"HH")&amp;search_regexp&amp;""""</f>
        <v>#REF!</v>
      </c>
      <c r="UJW28" s="234" t="e">
        <f>astrogrep_path&amp;" /e /r /s /spath="&amp;search_path&amp;" /stypes=""app*"&amp;UIS28&amp;"*"&amp;TEXT(UIZ28-utc_offset/24,"YYYYMMDD")&amp;"*"" /stext="" "&amp;TEXT(UIZ28-utc_offset/24,"HH")&amp;search_regexp&amp;""""</f>
        <v>#REF!</v>
      </c>
      <c r="UJX28" s="234" t="e">
        <f>astrogrep_path&amp;" /e /r /s /spath="&amp;search_path&amp;" /stypes=""app*"&amp;UIT28&amp;"*"&amp;TEXT(UJA28-utc_offset/24,"YYYYMMDD")&amp;"*"" /stext="" "&amp;TEXT(UJA28-utc_offset/24,"HH")&amp;search_regexp&amp;""""</f>
        <v>#REF!</v>
      </c>
      <c r="UJY28" s="234" t="e">
        <f>astrogrep_path&amp;" /e /r /s /spath="&amp;search_path&amp;" /stypes=""app*"&amp;UIU28&amp;"*"&amp;TEXT(UJB28-utc_offset/24,"YYYYMMDD")&amp;"*"" /stext="" "&amp;TEXT(UJB28-utc_offset/24,"HH")&amp;search_regexp&amp;""""</f>
        <v>#REF!</v>
      </c>
      <c r="UJZ28" s="234" t="e">
        <f>astrogrep_path&amp;" /e /r /s /spath="&amp;search_path&amp;" /stypes=""app*"&amp;UIV28&amp;"*"&amp;TEXT(UJC28-utc_offset/24,"YYYYMMDD")&amp;"*"" /stext="" "&amp;TEXT(UJC28-utc_offset/24,"HH")&amp;search_regexp&amp;""""</f>
        <v>#REF!</v>
      </c>
      <c r="UKA28" s="234" t="e">
        <f>astrogrep_path&amp;" /e /r /s /spath="&amp;search_path&amp;" /stypes=""app*"&amp;UIW28&amp;"*"&amp;TEXT(UJD28-utc_offset/24,"YYYYMMDD")&amp;"*"" /stext="" "&amp;TEXT(UJD28-utc_offset/24,"HH")&amp;search_regexp&amp;""""</f>
        <v>#REF!</v>
      </c>
      <c r="UKB28" s="234" t="e">
        <f>astrogrep_path&amp;" /e /r /s /spath="&amp;search_path&amp;" /stypes=""app*"&amp;UIX28&amp;"*"&amp;TEXT(UJE28-utc_offset/24,"YYYYMMDD")&amp;"*"" /stext="" "&amp;TEXT(UJE28-utc_offset/24,"HH")&amp;search_regexp&amp;""""</f>
        <v>#REF!</v>
      </c>
      <c r="UKC28" s="234" t="e">
        <f>astrogrep_path&amp;" /e /r /s /spath="&amp;search_path&amp;" /stypes=""app*"&amp;UIY28&amp;"*"&amp;TEXT(UJF28-utc_offset/24,"YYYYMMDD")&amp;"*"" /stext="" "&amp;TEXT(UJF28-utc_offset/24,"HH")&amp;search_regexp&amp;""""</f>
        <v>#REF!</v>
      </c>
      <c r="UKD28" s="234" t="e">
        <f>astrogrep_path&amp;" /e /r /s /spath="&amp;search_path&amp;" /stypes=""app*"&amp;UIZ28&amp;"*"&amp;TEXT(UJG28-utc_offset/24,"YYYYMMDD")&amp;"*"" /stext="" "&amp;TEXT(UJG28-utc_offset/24,"HH")&amp;search_regexp&amp;""""</f>
        <v>#REF!</v>
      </c>
      <c r="UKE28" s="234" t="e">
        <f>astrogrep_path&amp;" /e /r /s /spath="&amp;search_path&amp;" /stypes=""app*"&amp;UJA28&amp;"*"&amp;TEXT(UJH28-utc_offset/24,"YYYYMMDD")&amp;"*"" /stext="" "&amp;TEXT(UJH28-utc_offset/24,"HH")&amp;search_regexp&amp;""""</f>
        <v>#REF!</v>
      </c>
      <c r="UKF28" s="234" t="e">
        <f>astrogrep_path&amp;" /e /r /s /spath="&amp;search_path&amp;" /stypes=""app*"&amp;UJB28&amp;"*"&amp;TEXT(UJI28-utc_offset/24,"YYYYMMDD")&amp;"*"" /stext="" "&amp;TEXT(UJI28-utc_offset/24,"HH")&amp;search_regexp&amp;""""</f>
        <v>#REF!</v>
      </c>
      <c r="UKG28" s="234" t="e">
        <f>astrogrep_path&amp;" /e /r /s /spath="&amp;search_path&amp;" /stypes=""app*"&amp;UJC28&amp;"*"&amp;TEXT(UJJ28-utc_offset/24,"YYYYMMDD")&amp;"*"" /stext="" "&amp;TEXT(UJJ28-utc_offset/24,"HH")&amp;search_regexp&amp;""""</f>
        <v>#REF!</v>
      </c>
      <c r="UKH28" s="234" t="e">
        <f>astrogrep_path&amp;" /e /r /s /spath="&amp;search_path&amp;" /stypes=""app*"&amp;UJD28&amp;"*"&amp;TEXT(UJK28-utc_offset/24,"YYYYMMDD")&amp;"*"" /stext="" "&amp;TEXT(UJK28-utc_offset/24,"HH")&amp;search_regexp&amp;""""</f>
        <v>#REF!</v>
      </c>
      <c r="UKI28" s="234" t="e">
        <f>astrogrep_path&amp;" /e /r /s /spath="&amp;search_path&amp;" /stypes=""app*"&amp;UJE28&amp;"*"&amp;TEXT(UJL28-utc_offset/24,"YYYYMMDD")&amp;"*"" /stext="" "&amp;TEXT(UJL28-utc_offset/24,"HH")&amp;search_regexp&amp;""""</f>
        <v>#VALUE!</v>
      </c>
      <c r="UKJ28" s="234" t="e">
        <f>astrogrep_path&amp;" /e /r /s /spath="&amp;search_path&amp;" /stypes=""app*"&amp;UJF28&amp;"*"&amp;TEXT(UJM28-utc_offset/24,"YYYYMMDD")&amp;"*"" /stext="" "&amp;TEXT(UJM28-utc_offset/24,"HH")&amp;search_regexp&amp;""""</f>
        <v>#VALUE!</v>
      </c>
      <c r="UKK28" s="234" t="e">
        <f>astrogrep_path&amp;" /e /r /s /spath="&amp;search_path&amp;" /stypes=""app*"&amp;UJG28&amp;"*"&amp;TEXT(UJN28-utc_offset/24,"YYYYMMDD")&amp;"*"" /stext="" "&amp;TEXT(UJN28-utc_offset/24,"HH")&amp;search_regexp&amp;""""</f>
        <v>#REF!</v>
      </c>
      <c r="UKL28" s="234" t="e">
        <f>astrogrep_path&amp;" /e /r /s /spath="&amp;search_path&amp;" /stypes=""app*"&amp;UJH28&amp;"*"&amp;TEXT(UJO28-utc_offset/24,"YYYYMMDD")&amp;"*"" /stext="" "&amp;TEXT(UJO28-utc_offset/24,"HH")&amp;search_regexp&amp;""""</f>
        <v>#REF!</v>
      </c>
      <c r="UKM28" s="234" t="e">
        <f>astrogrep_path&amp;" /e /r /s /spath="&amp;search_path&amp;" /stypes=""app*"&amp;UJI28&amp;"*"&amp;TEXT(UJP28-utc_offset/24,"YYYYMMDD")&amp;"*"" /stext="" "&amp;TEXT(UJP28-utc_offset/24,"HH")&amp;search_regexp&amp;""""</f>
        <v>#VALUE!</v>
      </c>
      <c r="UKN28" s="234" t="e">
        <f>astrogrep_path&amp;" /e /r /s /spath="&amp;search_path&amp;" /stypes=""app*"&amp;UJJ28&amp;"*"&amp;TEXT(UJQ28-utc_offset/24,"YYYYMMDD")&amp;"*"" /stext="" "&amp;TEXT(UJQ28-utc_offset/24,"HH")&amp;search_regexp&amp;""""</f>
        <v>#VALUE!</v>
      </c>
      <c r="UKO28" s="234" t="e">
        <f>astrogrep_path&amp;" /e /r /s /spath="&amp;search_path&amp;" /stypes=""app*"&amp;UJK28&amp;"*"&amp;TEXT(UJR28-utc_offset/24,"YYYYMMDD")&amp;"*"" /stext="" "&amp;TEXT(UJR28-utc_offset/24,"HH")&amp;search_regexp&amp;""""</f>
        <v>#VALUE!</v>
      </c>
      <c r="UKP28" s="234" t="e">
        <f>astrogrep_path&amp;" /e /r /s /spath="&amp;search_path&amp;" /stypes=""app*"&amp;UJL28&amp;"*"&amp;TEXT(UJS28-utc_offset/24,"YYYYMMDD")&amp;"*"" /stext="" "&amp;TEXT(UJS28-utc_offset/24,"HH")&amp;search_regexp&amp;""""</f>
        <v>#VALUE!</v>
      </c>
      <c r="UKQ28" s="234" t="e">
        <f>astrogrep_path&amp;" /e /r /s /spath="&amp;search_path&amp;" /stypes=""app*"&amp;UJM28&amp;"*"&amp;TEXT(UJT28-utc_offset/24,"YYYYMMDD")&amp;"*"" /stext="" "&amp;TEXT(UJT28-utc_offset/24,"HH")&amp;search_regexp&amp;""""</f>
        <v>#VALUE!</v>
      </c>
      <c r="UKR28" s="234" t="e">
        <f>astrogrep_path&amp;" /e /r /s /spath="&amp;search_path&amp;" /stypes=""app*"&amp;UJN28&amp;"*"&amp;TEXT(UJU28-utc_offset/24,"YYYYMMDD")&amp;"*"" /stext="" "&amp;TEXT(UJU28-utc_offset/24,"HH")&amp;search_regexp&amp;""""</f>
        <v>#REF!</v>
      </c>
      <c r="UKS28" s="234" t="e">
        <f>astrogrep_path&amp;" /e /r /s /spath="&amp;search_path&amp;" /stypes=""app*"&amp;UJO28&amp;"*"&amp;TEXT(UJV28-utc_offset/24,"YYYYMMDD")&amp;"*"" /stext="" "&amp;TEXT(UJV28-utc_offset/24,"HH")&amp;search_regexp&amp;""""</f>
        <v>#REF!</v>
      </c>
      <c r="UKT28" s="234" t="e">
        <f>astrogrep_path&amp;" /e /r /s /spath="&amp;search_path&amp;" /stypes=""app*"&amp;UJP28&amp;"*"&amp;TEXT(UJW28-utc_offset/24,"YYYYMMDD")&amp;"*"" /stext="" "&amp;TEXT(UJW28-utc_offset/24,"HH")&amp;search_regexp&amp;""""</f>
        <v>#REF!</v>
      </c>
      <c r="UKU28" s="234" t="e">
        <f>astrogrep_path&amp;" /e /r /s /spath="&amp;search_path&amp;" /stypes=""app*"&amp;UJQ28&amp;"*"&amp;TEXT(UJX28-utc_offset/24,"YYYYMMDD")&amp;"*"" /stext="" "&amp;TEXT(UJX28-utc_offset/24,"HH")&amp;search_regexp&amp;""""</f>
        <v>#REF!</v>
      </c>
      <c r="UKV28" s="234" t="e">
        <f>astrogrep_path&amp;" /e /r /s /spath="&amp;search_path&amp;" /stypes=""app*"&amp;UJR28&amp;"*"&amp;TEXT(UJY28-utc_offset/24,"YYYYMMDD")&amp;"*"" /stext="" "&amp;TEXT(UJY28-utc_offset/24,"HH")&amp;search_regexp&amp;""""</f>
        <v>#REF!</v>
      </c>
      <c r="UKW28" s="234" t="e">
        <f>astrogrep_path&amp;" /e /r /s /spath="&amp;search_path&amp;" /stypes=""app*"&amp;UJS28&amp;"*"&amp;TEXT(UJZ28-utc_offset/24,"YYYYMMDD")&amp;"*"" /stext="" "&amp;TEXT(UJZ28-utc_offset/24,"HH")&amp;search_regexp&amp;""""</f>
        <v>#REF!</v>
      </c>
      <c r="UKX28" s="234" t="e">
        <f>astrogrep_path&amp;" /e /r /s /spath="&amp;search_path&amp;" /stypes=""app*"&amp;UJT28&amp;"*"&amp;TEXT(UKA28-utc_offset/24,"YYYYMMDD")&amp;"*"" /stext="" "&amp;TEXT(UKA28-utc_offset/24,"HH")&amp;search_regexp&amp;""""</f>
        <v>#REF!</v>
      </c>
      <c r="UKY28" s="234" t="e">
        <f>astrogrep_path&amp;" /e /r /s /spath="&amp;search_path&amp;" /stypes=""app*"&amp;UJU28&amp;"*"&amp;TEXT(UKB28-utc_offset/24,"YYYYMMDD")&amp;"*"" /stext="" "&amp;TEXT(UKB28-utc_offset/24,"HH")&amp;search_regexp&amp;""""</f>
        <v>#REF!</v>
      </c>
      <c r="UKZ28" s="234" t="e">
        <f>astrogrep_path&amp;" /e /r /s /spath="&amp;search_path&amp;" /stypes=""app*"&amp;UJV28&amp;"*"&amp;TEXT(UKC28-utc_offset/24,"YYYYMMDD")&amp;"*"" /stext="" "&amp;TEXT(UKC28-utc_offset/24,"HH")&amp;search_regexp&amp;""""</f>
        <v>#REF!</v>
      </c>
      <c r="ULA28" s="234" t="e">
        <f>astrogrep_path&amp;" /e /r /s /spath="&amp;search_path&amp;" /stypes=""app*"&amp;UJW28&amp;"*"&amp;TEXT(UKD28-utc_offset/24,"YYYYMMDD")&amp;"*"" /stext="" "&amp;TEXT(UKD28-utc_offset/24,"HH")&amp;search_regexp&amp;""""</f>
        <v>#REF!</v>
      </c>
      <c r="ULB28" s="234" t="e">
        <f>astrogrep_path&amp;" /e /r /s /spath="&amp;search_path&amp;" /stypes=""app*"&amp;UJX28&amp;"*"&amp;TEXT(UKE28-utc_offset/24,"YYYYMMDD")&amp;"*"" /stext="" "&amp;TEXT(UKE28-utc_offset/24,"HH")&amp;search_regexp&amp;""""</f>
        <v>#REF!</v>
      </c>
      <c r="ULC28" s="234" t="e">
        <f>astrogrep_path&amp;" /e /r /s /spath="&amp;search_path&amp;" /stypes=""app*"&amp;UJY28&amp;"*"&amp;TEXT(UKF28-utc_offset/24,"YYYYMMDD")&amp;"*"" /stext="" "&amp;TEXT(UKF28-utc_offset/24,"HH")&amp;search_regexp&amp;""""</f>
        <v>#REF!</v>
      </c>
      <c r="ULD28" s="234" t="e">
        <f>astrogrep_path&amp;" /e /r /s /spath="&amp;search_path&amp;" /stypes=""app*"&amp;UJZ28&amp;"*"&amp;TEXT(UKG28-utc_offset/24,"YYYYMMDD")&amp;"*"" /stext="" "&amp;TEXT(UKG28-utc_offset/24,"HH")&amp;search_regexp&amp;""""</f>
        <v>#REF!</v>
      </c>
      <c r="ULE28" s="234" t="e">
        <f>astrogrep_path&amp;" /e /r /s /spath="&amp;search_path&amp;" /stypes=""app*"&amp;UKA28&amp;"*"&amp;TEXT(UKH28-utc_offset/24,"YYYYMMDD")&amp;"*"" /stext="" "&amp;TEXT(UKH28-utc_offset/24,"HH")&amp;search_regexp&amp;""""</f>
        <v>#REF!</v>
      </c>
      <c r="ULF28" s="234" t="e">
        <f>astrogrep_path&amp;" /e /r /s /spath="&amp;search_path&amp;" /stypes=""app*"&amp;UKB28&amp;"*"&amp;TEXT(UKI28-utc_offset/24,"YYYYMMDD")&amp;"*"" /stext="" "&amp;TEXT(UKI28-utc_offset/24,"HH")&amp;search_regexp&amp;""""</f>
        <v>#REF!</v>
      </c>
      <c r="ULG28" s="234" t="e">
        <f>astrogrep_path&amp;" /e /r /s /spath="&amp;search_path&amp;" /stypes=""app*"&amp;UKC28&amp;"*"&amp;TEXT(UKJ28-utc_offset/24,"YYYYMMDD")&amp;"*"" /stext="" "&amp;TEXT(UKJ28-utc_offset/24,"HH")&amp;search_regexp&amp;""""</f>
        <v>#REF!</v>
      </c>
      <c r="ULH28" s="234" t="e">
        <f>astrogrep_path&amp;" /e /r /s /spath="&amp;search_path&amp;" /stypes=""app*"&amp;UKD28&amp;"*"&amp;TEXT(UKK28-utc_offset/24,"YYYYMMDD")&amp;"*"" /stext="" "&amp;TEXT(UKK28-utc_offset/24,"HH")&amp;search_regexp&amp;""""</f>
        <v>#REF!</v>
      </c>
      <c r="ULI28" s="234" t="e">
        <f>astrogrep_path&amp;" /e /r /s /spath="&amp;search_path&amp;" /stypes=""app*"&amp;UKE28&amp;"*"&amp;TEXT(UKL28-utc_offset/24,"YYYYMMDD")&amp;"*"" /stext="" "&amp;TEXT(UKL28-utc_offset/24,"HH")&amp;search_regexp&amp;""""</f>
        <v>#REF!</v>
      </c>
      <c r="ULJ28" s="234" t="e">
        <f>astrogrep_path&amp;" /e /r /s /spath="&amp;search_path&amp;" /stypes=""app*"&amp;UKF28&amp;"*"&amp;TEXT(UKM28-utc_offset/24,"YYYYMMDD")&amp;"*"" /stext="" "&amp;TEXT(UKM28-utc_offset/24,"HH")&amp;search_regexp&amp;""""</f>
        <v>#REF!</v>
      </c>
      <c r="ULK28" s="234" t="e">
        <f>astrogrep_path&amp;" /e /r /s /spath="&amp;search_path&amp;" /stypes=""app*"&amp;UKG28&amp;"*"&amp;TEXT(UKN28-utc_offset/24,"YYYYMMDD")&amp;"*"" /stext="" "&amp;TEXT(UKN28-utc_offset/24,"HH")&amp;search_regexp&amp;""""</f>
        <v>#REF!</v>
      </c>
      <c r="ULL28" s="234" t="e">
        <f>astrogrep_path&amp;" /e /r /s /spath="&amp;search_path&amp;" /stypes=""app*"&amp;UKH28&amp;"*"&amp;TEXT(UKO28-utc_offset/24,"YYYYMMDD")&amp;"*"" /stext="" "&amp;TEXT(UKO28-utc_offset/24,"HH")&amp;search_regexp&amp;""""</f>
        <v>#REF!</v>
      </c>
      <c r="ULM28" s="234" t="e">
        <f>astrogrep_path&amp;" /e /r /s /spath="&amp;search_path&amp;" /stypes=""app*"&amp;UKI28&amp;"*"&amp;TEXT(UKP28-utc_offset/24,"YYYYMMDD")&amp;"*"" /stext="" "&amp;TEXT(UKP28-utc_offset/24,"HH")&amp;search_regexp&amp;""""</f>
        <v>#VALUE!</v>
      </c>
      <c r="ULN28" s="234" t="e">
        <f>astrogrep_path&amp;" /e /r /s /spath="&amp;search_path&amp;" /stypes=""app*"&amp;UKJ28&amp;"*"&amp;TEXT(UKQ28-utc_offset/24,"YYYYMMDD")&amp;"*"" /stext="" "&amp;TEXT(UKQ28-utc_offset/24,"HH")&amp;search_regexp&amp;""""</f>
        <v>#VALUE!</v>
      </c>
      <c r="ULO28" s="234" t="e">
        <f>astrogrep_path&amp;" /e /r /s /spath="&amp;search_path&amp;" /stypes=""app*"&amp;UKK28&amp;"*"&amp;TEXT(UKR28-utc_offset/24,"YYYYMMDD")&amp;"*"" /stext="" "&amp;TEXT(UKR28-utc_offset/24,"HH")&amp;search_regexp&amp;""""</f>
        <v>#REF!</v>
      </c>
      <c r="ULP28" s="234" t="e">
        <f>astrogrep_path&amp;" /e /r /s /spath="&amp;search_path&amp;" /stypes=""app*"&amp;UKL28&amp;"*"&amp;TEXT(UKS28-utc_offset/24,"YYYYMMDD")&amp;"*"" /stext="" "&amp;TEXT(UKS28-utc_offset/24,"HH")&amp;search_regexp&amp;""""</f>
        <v>#REF!</v>
      </c>
      <c r="ULQ28" s="234" t="e">
        <f>astrogrep_path&amp;" /e /r /s /spath="&amp;search_path&amp;" /stypes=""app*"&amp;UKM28&amp;"*"&amp;TEXT(UKT28-utc_offset/24,"YYYYMMDD")&amp;"*"" /stext="" "&amp;TEXT(UKT28-utc_offset/24,"HH")&amp;search_regexp&amp;""""</f>
        <v>#VALUE!</v>
      </c>
      <c r="ULR28" s="234" t="e">
        <f>astrogrep_path&amp;" /e /r /s /spath="&amp;search_path&amp;" /stypes=""app*"&amp;UKN28&amp;"*"&amp;TEXT(UKU28-utc_offset/24,"YYYYMMDD")&amp;"*"" /stext="" "&amp;TEXT(UKU28-utc_offset/24,"HH")&amp;search_regexp&amp;""""</f>
        <v>#VALUE!</v>
      </c>
      <c r="ULS28" s="234" t="e">
        <f>astrogrep_path&amp;" /e /r /s /spath="&amp;search_path&amp;" /stypes=""app*"&amp;UKO28&amp;"*"&amp;TEXT(UKV28-utc_offset/24,"YYYYMMDD")&amp;"*"" /stext="" "&amp;TEXT(UKV28-utc_offset/24,"HH")&amp;search_regexp&amp;""""</f>
        <v>#VALUE!</v>
      </c>
      <c r="ULT28" s="234" t="e">
        <f>astrogrep_path&amp;" /e /r /s /spath="&amp;search_path&amp;" /stypes=""app*"&amp;UKP28&amp;"*"&amp;TEXT(UKW28-utc_offset/24,"YYYYMMDD")&amp;"*"" /stext="" "&amp;TEXT(UKW28-utc_offset/24,"HH")&amp;search_regexp&amp;""""</f>
        <v>#VALUE!</v>
      </c>
      <c r="ULU28" s="234" t="e">
        <f>astrogrep_path&amp;" /e /r /s /spath="&amp;search_path&amp;" /stypes=""app*"&amp;UKQ28&amp;"*"&amp;TEXT(UKX28-utc_offset/24,"YYYYMMDD")&amp;"*"" /stext="" "&amp;TEXT(UKX28-utc_offset/24,"HH")&amp;search_regexp&amp;""""</f>
        <v>#VALUE!</v>
      </c>
      <c r="ULV28" s="234" t="e">
        <f>astrogrep_path&amp;" /e /r /s /spath="&amp;search_path&amp;" /stypes=""app*"&amp;UKR28&amp;"*"&amp;TEXT(UKY28-utc_offset/24,"YYYYMMDD")&amp;"*"" /stext="" "&amp;TEXT(UKY28-utc_offset/24,"HH")&amp;search_regexp&amp;""""</f>
        <v>#REF!</v>
      </c>
      <c r="ULW28" s="234" t="e">
        <f>astrogrep_path&amp;" /e /r /s /spath="&amp;search_path&amp;" /stypes=""app*"&amp;UKS28&amp;"*"&amp;TEXT(UKZ28-utc_offset/24,"YYYYMMDD")&amp;"*"" /stext="" "&amp;TEXT(UKZ28-utc_offset/24,"HH")&amp;search_regexp&amp;""""</f>
        <v>#REF!</v>
      </c>
      <c r="ULX28" s="234" t="e">
        <f>astrogrep_path&amp;" /e /r /s /spath="&amp;search_path&amp;" /stypes=""app*"&amp;UKT28&amp;"*"&amp;TEXT(ULA28-utc_offset/24,"YYYYMMDD")&amp;"*"" /stext="" "&amp;TEXT(ULA28-utc_offset/24,"HH")&amp;search_regexp&amp;""""</f>
        <v>#REF!</v>
      </c>
      <c r="ULY28" s="234" t="e">
        <f>astrogrep_path&amp;" /e /r /s /spath="&amp;search_path&amp;" /stypes=""app*"&amp;UKU28&amp;"*"&amp;TEXT(ULB28-utc_offset/24,"YYYYMMDD")&amp;"*"" /stext="" "&amp;TEXT(ULB28-utc_offset/24,"HH")&amp;search_regexp&amp;""""</f>
        <v>#REF!</v>
      </c>
      <c r="ULZ28" s="234" t="e">
        <f>astrogrep_path&amp;" /e /r /s /spath="&amp;search_path&amp;" /stypes=""app*"&amp;UKV28&amp;"*"&amp;TEXT(ULC28-utc_offset/24,"YYYYMMDD")&amp;"*"" /stext="" "&amp;TEXT(ULC28-utc_offset/24,"HH")&amp;search_regexp&amp;""""</f>
        <v>#REF!</v>
      </c>
      <c r="UMA28" s="234" t="e">
        <f>astrogrep_path&amp;" /e /r /s /spath="&amp;search_path&amp;" /stypes=""app*"&amp;UKW28&amp;"*"&amp;TEXT(ULD28-utc_offset/24,"YYYYMMDD")&amp;"*"" /stext="" "&amp;TEXT(ULD28-utc_offset/24,"HH")&amp;search_regexp&amp;""""</f>
        <v>#REF!</v>
      </c>
      <c r="UMB28" s="234" t="e">
        <f>astrogrep_path&amp;" /e /r /s /spath="&amp;search_path&amp;" /stypes=""app*"&amp;UKX28&amp;"*"&amp;TEXT(ULE28-utc_offset/24,"YYYYMMDD")&amp;"*"" /stext="" "&amp;TEXT(ULE28-utc_offset/24,"HH")&amp;search_regexp&amp;""""</f>
        <v>#REF!</v>
      </c>
      <c r="UMC28" s="234" t="e">
        <f>astrogrep_path&amp;" /e /r /s /spath="&amp;search_path&amp;" /stypes=""app*"&amp;UKY28&amp;"*"&amp;TEXT(ULF28-utc_offset/24,"YYYYMMDD")&amp;"*"" /stext="" "&amp;TEXT(ULF28-utc_offset/24,"HH")&amp;search_regexp&amp;""""</f>
        <v>#REF!</v>
      </c>
      <c r="UMD28" s="234" t="e">
        <f>astrogrep_path&amp;" /e /r /s /spath="&amp;search_path&amp;" /stypes=""app*"&amp;UKZ28&amp;"*"&amp;TEXT(ULG28-utc_offset/24,"YYYYMMDD")&amp;"*"" /stext="" "&amp;TEXT(ULG28-utc_offset/24,"HH")&amp;search_regexp&amp;""""</f>
        <v>#REF!</v>
      </c>
      <c r="UME28" s="234" t="e">
        <f>astrogrep_path&amp;" /e /r /s /spath="&amp;search_path&amp;" /stypes=""app*"&amp;ULA28&amp;"*"&amp;TEXT(ULH28-utc_offset/24,"YYYYMMDD")&amp;"*"" /stext="" "&amp;TEXT(ULH28-utc_offset/24,"HH")&amp;search_regexp&amp;""""</f>
        <v>#REF!</v>
      </c>
      <c r="UMF28" s="234" t="e">
        <f>astrogrep_path&amp;" /e /r /s /spath="&amp;search_path&amp;" /stypes=""app*"&amp;ULB28&amp;"*"&amp;TEXT(ULI28-utc_offset/24,"YYYYMMDD")&amp;"*"" /stext="" "&amp;TEXT(ULI28-utc_offset/24,"HH")&amp;search_regexp&amp;""""</f>
        <v>#REF!</v>
      </c>
      <c r="UMG28" s="234" t="e">
        <f>astrogrep_path&amp;" /e /r /s /spath="&amp;search_path&amp;" /stypes=""app*"&amp;ULC28&amp;"*"&amp;TEXT(ULJ28-utc_offset/24,"YYYYMMDD")&amp;"*"" /stext="" "&amp;TEXT(ULJ28-utc_offset/24,"HH")&amp;search_regexp&amp;""""</f>
        <v>#REF!</v>
      </c>
      <c r="UMH28" s="234" t="e">
        <f>astrogrep_path&amp;" /e /r /s /spath="&amp;search_path&amp;" /stypes=""app*"&amp;ULD28&amp;"*"&amp;TEXT(ULK28-utc_offset/24,"YYYYMMDD")&amp;"*"" /stext="" "&amp;TEXT(ULK28-utc_offset/24,"HH")&amp;search_regexp&amp;""""</f>
        <v>#REF!</v>
      </c>
      <c r="UMI28" s="234" t="e">
        <f>astrogrep_path&amp;" /e /r /s /spath="&amp;search_path&amp;" /stypes=""app*"&amp;ULE28&amp;"*"&amp;TEXT(ULL28-utc_offset/24,"YYYYMMDD")&amp;"*"" /stext="" "&amp;TEXT(ULL28-utc_offset/24,"HH")&amp;search_regexp&amp;""""</f>
        <v>#REF!</v>
      </c>
      <c r="UMJ28" s="234" t="e">
        <f>astrogrep_path&amp;" /e /r /s /spath="&amp;search_path&amp;" /stypes=""app*"&amp;ULF28&amp;"*"&amp;TEXT(ULM28-utc_offset/24,"YYYYMMDD")&amp;"*"" /stext="" "&amp;TEXT(ULM28-utc_offset/24,"HH")&amp;search_regexp&amp;""""</f>
        <v>#REF!</v>
      </c>
      <c r="UMK28" s="234" t="e">
        <f>astrogrep_path&amp;" /e /r /s /spath="&amp;search_path&amp;" /stypes=""app*"&amp;ULG28&amp;"*"&amp;TEXT(ULN28-utc_offset/24,"YYYYMMDD")&amp;"*"" /stext="" "&amp;TEXT(ULN28-utc_offset/24,"HH")&amp;search_regexp&amp;""""</f>
        <v>#REF!</v>
      </c>
      <c r="UML28" s="234" t="e">
        <f>astrogrep_path&amp;" /e /r /s /spath="&amp;search_path&amp;" /stypes=""app*"&amp;ULH28&amp;"*"&amp;TEXT(ULO28-utc_offset/24,"YYYYMMDD")&amp;"*"" /stext="" "&amp;TEXT(ULO28-utc_offset/24,"HH")&amp;search_regexp&amp;""""</f>
        <v>#REF!</v>
      </c>
      <c r="UMM28" s="234" t="e">
        <f>astrogrep_path&amp;" /e /r /s /spath="&amp;search_path&amp;" /stypes=""app*"&amp;ULI28&amp;"*"&amp;TEXT(ULP28-utc_offset/24,"YYYYMMDD")&amp;"*"" /stext="" "&amp;TEXT(ULP28-utc_offset/24,"HH")&amp;search_regexp&amp;""""</f>
        <v>#REF!</v>
      </c>
      <c r="UMN28" s="234" t="e">
        <f>astrogrep_path&amp;" /e /r /s /spath="&amp;search_path&amp;" /stypes=""app*"&amp;ULJ28&amp;"*"&amp;TEXT(ULQ28-utc_offset/24,"YYYYMMDD")&amp;"*"" /stext="" "&amp;TEXT(ULQ28-utc_offset/24,"HH")&amp;search_regexp&amp;""""</f>
        <v>#REF!</v>
      </c>
      <c r="UMO28" s="234" t="e">
        <f>astrogrep_path&amp;" /e /r /s /spath="&amp;search_path&amp;" /stypes=""app*"&amp;ULK28&amp;"*"&amp;TEXT(ULR28-utc_offset/24,"YYYYMMDD")&amp;"*"" /stext="" "&amp;TEXT(ULR28-utc_offset/24,"HH")&amp;search_regexp&amp;""""</f>
        <v>#REF!</v>
      </c>
      <c r="UMP28" s="234" t="e">
        <f>astrogrep_path&amp;" /e /r /s /spath="&amp;search_path&amp;" /stypes=""app*"&amp;ULL28&amp;"*"&amp;TEXT(ULS28-utc_offset/24,"YYYYMMDD")&amp;"*"" /stext="" "&amp;TEXT(ULS28-utc_offset/24,"HH")&amp;search_regexp&amp;""""</f>
        <v>#REF!</v>
      </c>
      <c r="UMQ28" s="234" t="e">
        <f>astrogrep_path&amp;" /e /r /s /spath="&amp;search_path&amp;" /stypes=""app*"&amp;ULM28&amp;"*"&amp;TEXT(ULT28-utc_offset/24,"YYYYMMDD")&amp;"*"" /stext="" "&amp;TEXT(ULT28-utc_offset/24,"HH")&amp;search_regexp&amp;""""</f>
        <v>#VALUE!</v>
      </c>
      <c r="UMR28" s="234" t="e">
        <f>astrogrep_path&amp;" /e /r /s /spath="&amp;search_path&amp;" /stypes=""app*"&amp;ULN28&amp;"*"&amp;TEXT(ULU28-utc_offset/24,"YYYYMMDD")&amp;"*"" /stext="" "&amp;TEXT(ULU28-utc_offset/24,"HH")&amp;search_regexp&amp;""""</f>
        <v>#VALUE!</v>
      </c>
      <c r="UMS28" s="234" t="e">
        <f>astrogrep_path&amp;" /e /r /s /spath="&amp;search_path&amp;" /stypes=""app*"&amp;ULO28&amp;"*"&amp;TEXT(ULV28-utc_offset/24,"YYYYMMDD")&amp;"*"" /stext="" "&amp;TEXT(ULV28-utc_offset/24,"HH")&amp;search_regexp&amp;""""</f>
        <v>#REF!</v>
      </c>
      <c r="UMT28" s="234" t="e">
        <f>astrogrep_path&amp;" /e /r /s /spath="&amp;search_path&amp;" /stypes=""app*"&amp;ULP28&amp;"*"&amp;TEXT(ULW28-utc_offset/24,"YYYYMMDD")&amp;"*"" /stext="" "&amp;TEXT(ULW28-utc_offset/24,"HH")&amp;search_regexp&amp;""""</f>
        <v>#REF!</v>
      </c>
      <c r="UMU28" s="234" t="e">
        <f>astrogrep_path&amp;" /e /r /s /spath="&amp;search_path&amp;" /stypes=""app*"&amp;ULQ28&amp;"*"&amp;TEXT(ULX28-utc_offset/24,"YYYYMMDD")&amp;"*"" /stext="" "&amp;TEXT(ULX28-utc_offset/24,"HH")&amp;search_regexp&amp;""""</f>
        <v>#VALUE!</v>
      </c>
      <c r="UMV28" s="234" t="e">
        <f>astrogrep_path&amp;" /e /r /s /spath="&amp;search_path&amp;" /stypes=""app*"&amp;ULR28&amp;"*"&amp;TEXT(ULY28-utc_offset/24,"YYYYMMDD")&amp;"*"" /stext="" "&amp;TEXT(ULY28-utc_offset/24,"HH")&amp;search_regexp&amp;""""</f>
        <v>#VALUE!</v>
      </c>
      <c r="UMW28" s="234" t="e">
        <f>astrogrep_path&amp;" /e /r /s /spath="&amp;search_path&amp;" /stypes=""app*"&amp;ULS28&amp;"*"&amp;TEXT(ULZ28-utc_offset/24,"YYYYMMDD")&amp;"*"" /stext="" "&amp;TEXT(ULZ28-utc_offset/24,"HH")&amp;search_regexp&amp;""""</f>
        <v>#VALUE!</v>
      </c>
      <c r="UMX28" s="234" t="e">
        <f>astrogrep_path&amp;" /e /r /s /spath="&amp;search_path&amp;" /stypes=""app*"&amp;ULT28&amp;"*"&amp;TEXT(UMA28-utc_offset/24,"YYYYMMDD")&amp;"*"" /stext="" "&amp;TEXT(UMA28-utc_offset/24,"HH")&amp;search_regexp&amp;""""</f>
        <v>#VALUE!</v>
      </c>
      <c r="UMY28" s="234" t="e">
        <f>astrogrep_path&amp;" /e /r /s /spath="&amp;search_path&amp;" /stypes=""app*"&amp;ULU28&amp;"*"&amp;TEXT(UMB28-utc_offset/24,"YYYYMMDD")&amp;"*"" /stext="" "&amp;TEXT(UMB28-utc_offset/24,"HH")&amp;search_regexp&amp;""""</f>
        <v>#VALUE!</v>
      </c>
      <c r="UMZ28" s="234" t="e">
        <f>astrogrep_path&amp;" /e /r /s /spath="&amp;search_path&amp;" /stypes=""app*"&amp;ULV28&amp;"*"&amp;TEXT(UMC28-utc_offset/24,"YYYYMMDD")&amp;"*"" /stext="" "&amp;TEXT(UMC28-utc_offset/24,"HH")&amp;search_regexp&amp;""""</f>
        <v>#REF!</v>
      </c>
      <c r="UNA28" s="234" t="e">
        <f>astrogrep_path&amp;" /e /r /s /spath="&amp;search_path&amp;" /stypes=""app*"&amp;ULW28&amp;"*"&amp;TEXT(UMD28-utc_offset/24,"YYYYMMDD")&amp;"*"" /stext="" "&amp;TEXT(UMD28-utc_offset/24,"HH")&amp;search_regexp&amp;""""</f>
        <v>#REF!</v>
      </c>
      <c r="UNB28" s="234" t="e">
        <f>astrogrep_path&amp;" /e /r /s /spath="&amp;search_path&amp;" /stypes=""app*"&amp;ULX28&amp;"*"&amp;TEXT(UME28-utc_offset/24,"YYYYMMDD")&amp;"*"" /stext="" "&amp;TEXT(UME28-utc_offset/24,"HH")&amp;search_regexp&amp;""""</f>
        <v>#REF!</v>
      </c>
      <c r="UNC28" s="234" t="e">
        <f>astrogrep_path&amp;" /e /r /s /spath="&amp;search_path&amp;" /stypes=""app*"&amp;ULY28&amp;"*"&amp;TEXT(UMF28-utc_offset/24,"YYYYMMDD")&amp;"*"" /stext="" "&amp;TEXT(UMF28-utc_offset/24,"HH")&amp;search_regexp&amp;""""</f>
        <v>#REF!</v>
      </c>
      <c r="UND28" s="234" t="e">
        <f>astrogrep_path&amp;" /e /r /s /spath="&amp;search_path&amp;" /stypes=""app*"&amp;ULZ28&amp;"*"&amp;TEXT(UMG28-utc_offset/24,"YYYYMMDD")&amp;"*"" /stext="" "&amp;TEXT(UMG28-utc_offset/24,"HH")&amp;search_regexp&amp;""""</f>
        <v>#REF!</v>
      </c>
      <c r="UNE28" s="234" t="e">
        <f>astrogrep_path&amp;" /e /r /s /spath="&amp;search_path&amp;" /stypes=""app*"&amp;UMA28&amp;"*"&amp;TEXT(UMH28-utc_offset/24,"YYYYMMDD")&amp;"*"" /stext="" "&amp;TEXT(UMH28-utc_offset/24,"HH")&amp;search_regexp&amp;""""</f>
        <v>#REF!</v>
      </c>
      <c r="UNF28" s="234" t="e">
        <f>astrogrep_path&amp;" /e /r /s /spath="&amp;search_path&amp;" /stypes=""app*"&amp;UMB28&amp;"*"&amp;TEXT(UMI28-utc_offset/24,"YYYYMMDD")&amp;"*"" /stext="" "&amp;TEXT(UMI28-utc_offset/24,"HH")&amp;search_regexp&amp;""""</f>
        <v>#REF!</v>
      </c>
      <c r="UNG28" s="234" t="e">
        <f>astrogrep_path&amp;" /e /r /s /spath="&amp;search_path&amp;" /stypes=""app*"&amp;UMC28&amp;"*"&amp;TEXT(UMJ28-utc_offset/24,"YYYYMMDD")&amp;"*"" /stext="" "&amp;TEXT(UMJ28-utc_offset/24,"HH")&amp;search_regexp&amp;""""</f>
        <v>#REF!</v>
      </c>
      <c r="UNH28" s="234" t="e">
        <f>astrogrep_path&amp;" /e /r /s /spath="&amp;search_path&amp;" /stypes=""app*"&amp;UMD28&amp;"*"&amp;TEXT(UMK28-utc_offset/24,"YYYYMMDD")&amp;"*"" /stext="" "&amp;TEXT(UMK28-utc_offset/24,"HH")&amp;search_regexp&amp;""""</f>
        <v>#REF!</v>
      </c>
      <c r="UNI28" s="234" t="e">
        <f>astrogrep_path&amp;" /e /r /s /spath="&amp;search_path&amp;" /stypes=""app*"&amp;UME28&amp;"*"&amp;TEXT(UML28-utc_offset/24,"YYYYMMDD")&amp;"*"" /stext="" "&amp;TEXT(UML28-utc_offset/24,"HH")&amp;search_regexp&amp;""""</f>
        <v>#REF!</v>
      </c>
      <c r="UNJ28" s="234" t="e">
        <f>astrogrep_path&amp;" /e /r /s /spath="&amp;search_path&amp;" /stypes=""app*"&amp;UMF28&amp;"*"&amp;TEXT(UMM28-utc_offset/24,"YYYYMMDD")&amp;"*"" /stext="" "&amp;TEXT(UMM28-utc_offset/24,"HH")&amp;search_regexp&amp;""""</f>
        <v>#REF!</v>
      </c>
      <c r="UNK28" s="234" t="e">
        <f>astrogrep_path&amp;" /e /r /s /spath="&amp;search_path&amp;" /stypes=""app*"&amp;UMG28&amp;"*"&amp;TEXT(UMN28-utc_offset/24,"YYYYMMDD")&amp;"*"" /stext="" "&amp;TEXT(UMN28-utc_offset/24,"HH")&amp;search_regexp&amp;""""</f>
        <v>#REF!</v>
      </c>
      <c r="UNL28" s="234" t="e">
        <f>astrogrep_path&amp;" /e /r /s /spath="&amp;search_path&amp;" /stypes=""app*"&amp;UMH28&amp;"*"&amp;TEXT(UMO28-utc_offset/24,"YYYYMMDD")&amp;"*"" /stext="" "&amp;TEXT(UMO28-utc_offset/24,"HH")&amp;search_regexp&amp;""""</f>
        <v>#REF!</v>
      </c>
      <c r="UNM28" s="234" t="e">
        <f>astrogrep_path&amp;" /e /r /s /spath="&amp;search_path&amp;" /stypes=""app*"&amp;UMI28&amp;"*"&amp;TEXT(UMP28-utc_offset/24,"YYYYMMDD")&amp;"*"" /stext="" "&amp;TEXT(UMP28-utc_offset/24,"HH")&amp;search_regexp&amp;""""</f>
        <v>#REF!</v>
      </c>
      <c r="UNN28" s="234" t="e">
        <f>astrogrep_path&amp;" /e /r /s /spath="&amp;search_path&amp;" /stypes=""app*"&amp;UMJ28&amp;"*"&amp;TEXT(UMQ28-utc_offset/24,"YYYYMMDD")&amp;"*"" /stext="" "&amp;TEXT(UMQ28-utc_offset/24,"HH")&amp;search_regexp&amp;""""</f>
        <v>#REF!</v>
      </c>
      <c r="UNO28" s="234" t="e">
        <f>astrogrep_path&amp;" /e /r /s /spath="&amp;search_path&amp;" /stypes=""app*"&amp;UMK28&amp;"*"&amp;TEXT(UMR28-utc_offset/24,"YYYYMMDD")&amp;"*"" /stext="" "&amp;TEXT(UMR28-utc_offset/24,"HH")&amp;search_regexp&amp;""""</f>
        <v>#REF!</v>
      </c>
      <c r="UNP28" s="234" t="e">
        <f>astrogrep_path&amp;" /e /r /s /spath="&amp;search_path&amp;" /stypes=""app*"&amp;UML28&amp;"*"&amp;TEXT(UMS28-utc_offset/24,"YYYYMMDD")&amp;"*"" /stext="" "&amp;TEXT(UMS28-utc_offset/24,"HH")&amp;search_regexp&amp;""""</f>
        <v>#REF!</v>
      </c>
      <c r="UNQ28" s="234" t="e">
        <f>astrogrep_path&amp;" /e /r /s /spath="&amp;search_path&amp;" /stypes=""app*"&amp;UMM28&amp;"*"&amp;TEXT(UMT28-utc_offset/24,"YYYYMMDD")&amp;"*"" /stext="" "&amp;TEXT(UMT28-utc_offset/24,"HH")&amp;search_regexp&amp;""""</f>
        <v>#REF!</v>
      </c>
      <c r="UNR28" s="234" t="e">
        <f>astrogrep_path&amp;" /e /r /s /spath="&amp;search_path&amp;" /stypes=""app*"&amp;UMN28&amp;"*"&amp;TEXT(UMU28-utc_offset/24,"YYYYMMDD")&amp;"*"" /stext="" "&amp;TEXT(UMU28-utc_offset/24,"HH")&amp;search_regexp&amp;""""</f>
        <v>#REF!</v>
      </c>
      <c r="UNS28" s="234" t="e">
        <f>astrogrep_path&amp;" /e /r /s /spath="&amp;search_path&amp;" /stypes=""app*"&amp;UMO28&amp;"*"&amp;TEXT(UMV28-utc_offset/24,"YYYYMMDD")&amp;"*"" /stext="" "&amp;TEXT(UMV28-utc_offset/24,"HH")&amp;search_regexp&amp;""""</f>
        <v>#REF!</v>
      </c>
      <c r="UNT28" s="234" t="e">
        <f>astrogrep_path&amp;" /e /r /s /spath="&amp;search_path&amp;" /stypes=""app*"&amp;UMP28&amp;"*"&amp;TEXT(UMW28-utc_offset/24,"YYYYMMDD")&amp;"*"" /stext="" "&amp;TEXT(UMW28-utc_offset/24,"HH")&amp;search_regexp&amp;""""</f>
        <v>#REF!</v>
      </c>
      <c r="UNU28" s="234" t="e">
        <f>astrogrep_path&amp;" /e /r /s /spath="&amp;search_path&amp;" /stypes=""app*"&amp;UMQ28&amp;"*"&amp;TEXT(UMX28-utc_offset/24,"YYYYMMDD")&amp;"*"" /stext="" "&amp;TEXT(UMX28-utc_offset/24,"HH")&amp;search_regexp&amp;""""</f>
        <v>#VALUE!</v>
      </c>
      <c r="UNV28" s="234" t="e">
        <f>astrogrep_path&amp;" /e /r /s /spath="&amp;search_path&amp;" /stypes=""app*"&amp;UMR28&amp;"*"&amp;TEXT(UMY28-utc_offset/24,"YYYYMMDD")&amp;"*"" /stext="" "&amp;TEXT(UMY28-utc_offset/24,"HH")&amp;search_regexp&amp;""""</f>
        <v>#VALUE!</v>
      </c>
      <c r="UNW28" s="234" t="e">
        <f>astrogrep_path&amp;" /e /r /s /spath="&amp;search_path&amp;" /stypes=""app*"&amp;UMS28&amp;"*"&amp;TEXT(UMZ28-utc_offset/24,"YYYYMMDD")&amp;"*"" /stext="" "&amp;TEXT(UMZ28-utc_offset/24,"HH")&amp;search_regexp&amp;""""</f>
        <v>#REF!</v>
      </c>
      <c r="UNX28" s="234" t="e">
        <f>astrogrep_path&amp;" /e /r /s /spath="&amp;search_path&amp;" /stypes=""app*"&amp;UMT28&amp;"*"&amp;TEXT(UNA28-utc_offset/24,"YYYYMMDD")&amp;"*"" /stext="" "&amp;TEXT(UNA28-utc_offset/24,"HH")&amp;search_regexp&amp;""""</f>
        <v>#REF!</v>
      </c>
      <c r="UNY28" s="234" t="e">
        <f>astrogrep_path&amp;" /e /r /s /spath="&amp;search_path&amp;" /stypes=""app*"&amp;UMU28&amp;"*"&amp;TEXT(UNB28-utc_offset/24,"YYYYMMDD")&amp;"*"" /stext="" "&amp;TEXT(UNB28-utc_offset/24,"HH")&amp;search_regexp&amp;""""</f>
        <v>#VALUE!</v>
      </c>
      <c r="UNZ28" s="234" t="e">
        <f>astrogrep_path&amp;" /e /r /s /spath="&amp;search_path&amp;" /stypes=""app*"&amp;UMV28&amp;"*"&amp;TEXT(UNC28-utc_offset/24,"YYYYMMDD")&amp;"*"" /stext="" "&amp;TEXT(UNC28-utc_offset/24,"HH")&amp;search_regexp&amp;""""</f>
        <v>#VALUE!</v>
      </c>
      <c r="UOA28" s="234" t="e">
        <f>astrogrep_path&amp;" /e /r /s /spath="&amp;search_path&amp;" /stypes=""app*"&amp;UMW28&amp;"*"&amp;TEXT(UND28-utc_offset/24,"YYYYMMDD")&amp;"*"" /stext="" "&amp;TEXT(UND28-utc_offset/24,"HH")&amp;search_regexp&amp;""""</f>
        <v>#VALUE!</v>
      </c>
      <c r="UOB28" s="234" t="e">
        <f>astrogrep_path&amp;" /e /r /s /spath="&amp;search_path&amp;" /stypes=""app*"&amp;UMX28&amp;"*"&amp;TEXT(UNE28-utc_offset/24,"YYYYMMDD")&amp;"*"" /stext="" "&amp;TEXT(UNE28-utc_offset/24,"HH")&amp;search_regexp&amp;""""</f>
        <v>#VALUE!</v>
      </c>
      <c r="UOC28" s="234" t="e">
        <f>astrogrep_path&amp;" /e /r /s /spath="&amp;search_path&amp;" /stypes=""app*"&amp;UMY28&amp;"*"&amp;TEXT(UNF28-utc_offset/24,"YYYYMMDD")&amp;"*"" /stext="" "&amp;TEXT(UNF28-utc_offset/24,"HH")&amp;search_regexp&amp;""""</f>
        <v>#VALUE!</v>
      </c>
      <c r="UOD28" s="234" t="e">
        <f>astrogrep_path&amp;" /e /r /s /spath="&amp;search_path&amp;" /stypes=""app*"&amp;UMZ28&amp;"*"&amp;TEXT(UNG28-utc_offset/24,"YYYYMMDD")&amp;"*"" /stext="" "&amp;TEXT(UNG28-utc_offset/24,"HH")&amp;search_regexp&amp;""""</f>
        <v>#REF!</v>
      </c>
      <c r="UOE28" s="234" t="e">
        <f>astrogrep_path&amp;" /e /r /s /spath="&amp;search_path&amp;" /stypes=""app*"&amp;UNA28&amp;"*"&amp;TEXT(UNH28-utc_offset/24,"YYYYMMDD")&amp;"*"" /stext="" "&amp;TEXT(UNH28-utc_offset/24,"HH")&amp;search_regexp&amp;""""</f>
        <v>#REF!</v>
      </c>
      <c r="UOF28" s="234" t="e">
        <f>astrogrep_path&amp;" /e /r /s /spath="&amp;search_path&amp;" /stypes=""app*"&amp;UNB28&amp;"*"&amp;TEXT(UNI28-utc_offset/24,"YYYYMMDD")&amp;"*"" /stext="" "&amp;TEXT(UNI28-utc_offset/24,"HH")&amp;search_regexp&amp;""""</f>
        <v>#REF!</v>
      </c>
      <c r="UOG28" s="234" t="e">
        <f>astrogrep_path&amp;" /e /r /s /spath="&amp;search_path&amp;" /stypes=""app*"&amp;UNC28&amp;"*"&amp;TEXT(UNJ28-utc_offset/24,"YYYYMMDD")&amp;"*"" /stext="" "&amp;TEXT(UNJ28-utc_offset/24,"HH")&amp;search_regexp&amp;""""</f>
        <v>#REF!</v>
      </c>
      <c r="UOH28" s="234" t="e">
        <f>astrogrep_path&amp;" /e /r /s /spath="&amp;search_path&amp;" /stypes=""app*"&amp;UND28&amp;"*"&amp;TEXT(UNK28-utc_offset/24,"YYYYMMDD")&amp;"*"" /stext="" "&amp;TEXT(UNK28-utc_offset/24,"HH")&amp;search_regexp&amp;""""</f>
        <v>#REF!</v>
      </c>
      <c r="UOI28" s="234" t="e">
        <f>astrogrep_path&amp;" /e /r /s /spath="&amp;search_path&amp;" /stypes=""app*"&amp;UNE28&amp;"*"&amp;TEXT(UNL28-utc_offset/24,"YYYYMMDD")&amp;"*"" /stext="" "&amp;TEXT(UNL28-utc_offset/24,"HH")&amp;search_regexp&amp;""""</f>
        <v>#REF!</v>
      </c>
      <c r="UOJ28" s="234" t="e">
        <f>astrogrep_path&amp;" /e /r /s /spath="&amp;search_path&amp;" /stypes=""app*"&amp;UNF28&amp;"*"&amp;TEXT(UNM28-utc_offset/24,"YYYYMMDD")&amp;"*"" /stext="" "&amp;TEXT(UNM28-utc_offset/24,"HH")&amp;search_regexp&amp;""""</f>
        <v>#REF!</v>
      </c>
      <c r="UOK28" s="234" t="e">
        <f>astrogrep_path&amp;" /e /r /s /spath="&amp;search_path&amp;" /stypes=""app*"&amp;UNG28&amp;"*"&amp;TEXT(UNN28-utc_offset/24,"YYYYMMDD")&amp;"*"" /stext="" "&amp;TEXT(UNN28-utc_offset/24,"HH")&amp;search_regexp&amp;""""</f>
        <v>#REF!</v>
      </c>
      <c r="UOL28" s="234" t="e">
        <f>astrogrep_path&amp;" /e /r /s /spath="&amp;search_path&amp;" /stypes=""app*"&amp;UNH28&amp;"*"&amp;TEXT(UNO28-utc_offset/24,"YYYYMMDD")&amp;"*"" /stext="" "&amp;TEXT(UNO28-utc_offset/24,"HH")&amp;search_regexp&amp;""""</f>
        <v>#REF!</v>
      </c>
      <c r="UOM28" s="234" t="e">
        <f>astrogrep_path&amp;" /e /r /s /spath="&amp;search_path&amp;" /stypes=""app*"&amp;UNI28&amp;"*"&amp;TEXT(UNP28-utc_offset/24,"YYYYMMDD")&amp;"*"" /stext="" "&amp;TEXT(UNP28-utc_offset/24,"HH")&amp;search_regexp&amp;""""</f>
        <v>#REF!</v>
      </c>
      <c r="UON28" s="234" t="e">
        <f>astrogrep_path&amp;" /e /r /s /spath="&amp;search_path&amp;" /stypes=""app*"&amp;UNJ28&amp;"*"&amp;TEXT(UNQ28-utc_offset/24,"YYYYMMDD")&amp;"*"" /stext="" "&amp;TEXT(UNQ28-utc_offset/24,"HH")&amp;search_regexp&amp;""""</f>
        <v>#REF!</v>
      </c>
      <c r="UOO28" s="234" t="e">
        <f>astrogrep_path&amp;" /e /r /s /spath="&amp;search_path&amp;" /stypes=""app*"&amp;UNK28&amp;"*"&amp;TEXT(UNR28-utc_offset/24,"YYYYMMDD")&amp;"*"" /stext="" "&amp;TEXT(UNR28-utc_offset/24,"HH")&amp;search_regexp&amp;""""</f>
        <v>#REF!</v>
      </c>
      <c r="UOP28" s="234" t="e">
        <f>astrogrep_path&amp;" /e /r /s /spath="&amp;search_path&amp;" /stypes=""app*"&amp;UNL28&amp;"*"&amp;TEXT(UNS28-utc_offset/24,"YYYYMMDD")&amp;"*"" /stext="" "&amp;TEXT(UNS28-utc_offset/24,"HH")&amp;search_regexp&amp;""""</f>
        <v>#REF!</v>
      </c>
      <c r="UOQ28" s="234" t="e">
        <f>astrogrep_path&amp;" /e /r /s /spath="&amp;search_path&amp;" /stypes=""app*"&amp;UNM28&amp;"*"&amp;TEXT(UNT28-utc_offset/24,"YYYYMMDD")&amp;"*"" /stext="" "&amp;TEXT(UNT28-utc_offset/24,"HH")&amp;search_regexp&amp;""""</f>
        <v>#REF!</v>
      </c>
      <c r="UOR28" s="234" t="e">
        <f>astrogrep_path&amp;" /e /r /s /spath="&amp;search_path&amp;" /stypes=""app*"&amp;UNN28&amp;"*"&amp;TEXT(UNU28-utc_offset/24,"YYYYMMDD")&amp;"*"" /stext="" "&amp;TEXT(UNU28-utc_offset/24,"HH")&amp;search_regexp&amp;""""</f>
        <v>#REF!</v>
      </c>
      <c r="UOS28" s="234" t="e">
        <f>astrogrep_path&amp;" /e /r /s /spath="&amp;search_path&amp;" /stypes=""app*"&amp;UNO28&amp;"*"&amp;TEXT(UNV28-utc_offset/24,"YYYYMMDD")&amp;"*"" /stext="" "&amp;TEXT(UNV28-utc_offset/24,"HH")&amp;search_regexp&amp;""""</f>
        <v>#REF!</v>
      </c>
      <c r="UOT28" s="234" t="e">
        <f>astrogrep_path&amp;" /e /r /s /spath="&amp;search_path&amp;" /stypes=""app*"&amp;UNP28&amp;"*"&amp;TEXT(UNW28-utc_offset/24,"YYYYMMDD")&amp;"*"" /stext="" "&amp;TEXT(UNW28-utc_offset/24,"HH")&amp;search_regexp&amp;""""</f>
        <v>#REF!</v>
      </c>
      <c r="UOU28" s="234" t="e">
        <f>astrogrep_path&amp;" /e /r /s /spath="&amp;search_path&amp;" /stypes=""app*"&amp;UNQ28&amp;"*"&amp;TEXT(UNX28-utc_offset/24,"YYYYMMDD")&amp;"*"" /stext="" "&amp;TEXT(UNX28-utc_offset/24,"HH")&amp;search_regexp&amp;""""</f>
        <v>#REF!</v>
      </c>
      <c r="UOV28" s="234" t="e">
        <f>astrogrep_path&amp;" /e /r /s /spath="&amp;search_path&amp;" /stypes=""app*"&amp;UNR28&amp;"*"&amp;TEXT(UNY28-utc_offset/24,"YYYYMMDD")&amp;"*"" /stext="" "&amp;TEXT(UNY28-utc_offset/24,"HH")&amp;search_regexp&amp;""""</f>
        <v>#REF!</v>
      </c>
      <c r="UOW28" s="234" t="e">
        <f>astrogrep_path&amp;" /e /r /s /spath="&amp;search_path&amp;" /stypes=""app*"&amp;UNS28&amp;"*"&amp;TEXT(UNZ28-utc_offset/24,"YYYYMMDD")&amp;"*"" /stext="" "&amp;TEXT(UNZ28-utc_offset/24,"HH")&amp;search_regexp&amp;""""</f>
        <v>#REF!</v>
      </c>
      <c r="UOX28" s="234" t="e">
        <f>astrogrep_path&amp;" /e /r /s /spath="&amp;search_path&amp;" /stypes=""app*"&amp;UNT28&amp;"*"&amp;TEXT(UOA28-utc_offset/24,"YYYYMMDD")&amp;"*"" /stext="" "&amp;TEXT(UOA28-utc_offset/24,"HH")&amp;search_regexp&amp;""""</f>
        <v>#REF!</v>
      </c>
      <c r="UOY28" s="234" t="e">
        <f>astrogrep_path&amp;" /e /r /s /spath="&amp;search_path&amp;" /stypes=""app*"&amp;UNU28&amp;"*"&amp;TEXT(UOB28-utc_offset/24,"YYYYMMDD")&amp;"*"" /stext="" "&amp;TEXT(UOB28-utc_offset/24,"HH")&amp;search_regexp&amp;""""</f>
        <v>#VALUE!</v>
      </c>
      <c r="UOZ28" s="234" t="e">
        <f>astrogrep_path&amp;" /e /r /s /spath="&amp;search_path&amp;" /stypes=""app*"&amp;UNV28&amp;"*"&amp;TEXT(UOC28-utc_offset/24,"YYYYMMDD")&amp;"*"" /stext="" "&amp;TEXT(UOC28-utc_offset/24,"HH")&amp;search_regexp&amp;""""</f>
        <v>#VALUE!</v>
      </c>
      <c r="UPA28" s="234" t="e">
        <f>astrogrep_path&amp;" /e /r /s /spath="&amp;search_path&amp;" /stypes=""app*"&amp;UNW28&amp;"*"&amp;TEXT(UOD28-utc_offset/24,"YYYYMMDD")&amp;"*"" /stext="" "&amp;TEXT(UOD28-utc_offset/24,"HH")&amp;search_regexp&amp;""""</f>
        <v>#REF!</v>
      </c>
      <c r="UPB28" s="234" t="e">
        <f>astrogrep_path&amp;" /e /r /s /spath="&amp;search_path&amp;" /stypes=""app*"&amp;UNX28&amp;"*"&amp;TEXT(UOE28-utc_offset/24,"YYYYMMDD")&amp;"*"" /stext="" "&amp;TEXT(UOE28-utc_offset/24,"HH")&amp;search_regexp&amp;""""</f>
        <v>#REF!</v>
      </c>
      <c r="UPC28" s="234" t="e">
        <f>astrogrep_path&amp;" /e /r /s /spath="&amp;search_path&amp;" /stypes=""app*"&amp;UNY28&amp;"*"&amp;TEXT(UOF28-utc_offset/24,"YYYYMMDD")&amp;"*"" /stext="" "&amp;TEXT(UOF28-utc_offset/24,"HH")&amp;search_regexp&amp;""""</f>
        <v>#VALUE!</v>
      </c>
      <c r="UPD28" s="234" t="e">
        <f>astrogrep_path&amp;" /e /r /s /spath="&amp;search_path&amp;" /stypes=""app*"&amp;UNZ28&amp;"*"&amp;TEXT(UOG28-utc_offset/24,"YYYYMMDD")&amp;"*"" /stext="" "&amp;TEXT(UOG28-utc_offset/24,"HH")&amp;search_regexp&amp;""""</f>
        <v>#VALUE!</v>
      </c>
      <c r="UPE28" s="234" t="e">
        <f>astrogrep_path&amp;" /e /r /s /spath="&amp;search_path&amp;" /stypes=""app*"&amp;UOA28&amp;"*"&amp;TEXT(UOH28-utc_offset/24,"YYYYMMDD")&amp;"*"" /stext="" "&amp;TEXT(UOH28-utc_offset/24,"HH")&amp;search_regexp&amp;""""</f>
        <v>#VALUE!</v>
      </c>
      <c r="UPF28" s="234" t="e">
        <f>astrogrep_path&amp;" /e /r /s /spath="&amp;search_path&amp;" /stypes=""app*"&amp;UOB28&amp;"*"&amp;TEXT(UOI28-utc_offset/24,"YYYYMMDD")&amp;"*"" /stext="" "&amp;TEXT(UOI28-utc_offset/24,"HH")&amp;search_regexp&amp;""""</f>
        <v>#VALUE!</v>
      </c>
      <c r="UPG28" s="234" t="e">
        <f>astrogrep_path&amp;" /e /r /s /spath="&amp;search_path&amp;" /stypes=""app*"&amp;UOC28&amp;"*"&amp;TEXT(UOJ28-utc_offset/24,"YYYYMMDD")&amp;"*"" /stext="" "&amp;TEXT(UOJ28-utc_offset/24,"HH")&amp;search_regexp&amp;""""</f>
        <v>#VALUE!</v>
      </c>
      <c r="UPH28" s="234" t="e">
        <f>astrogrep_path&amp;" /e /r /s /spath="&amp;search_path&amp;" /stypes=""app*"&amp;UOD28&amp;"*"&amp;TEXT(UOK28-utc_offset/24,"YYYYMMDD")&amp;"*"" /stext="" "&amp;TEXT(UOK28-utc_offset/24,"HH")&amp;search_regexp&amp;""""</f>
        <v>#REF!</v>
      </c>
      <c r="UPI28" s="234" t="e">
        <f>astrogrep_path&amp;" /e /r /s /spath="&amp;search_path&amp;" /stypes=""app*"&amp;UOE28&amp;"*"&amp;TEXT(UOL28-utc_offset/24,"YYYYMMDD")&amp;"*"" /stext="" "&amp;TEXT(UOL28-utc_offset/24,"HH")&amp;search_regexp&amp;""""</f>
        <v>#REF!</v>
      </c>
      <c r="UPJ28" s="234" t="e">
        <f>astrogrep_path&amp;" /e /r /s /spath="&amp;search_path&amp;" /stypes=""app*"&amp;UOF28&amp;"*"&amp;TEXT(UOM28-utc_offset/24,"YYYYMMDD")&amp;"*"" /stext="" "&amp;TEXT(UOM28-utc_offset/24,"HH")&amp;search_regexp&amp;""""</f>
        <v>#REF!</v>
      </c>
      <c r="UPK28" s="234" t="e">
        <f>astrogrep_path&amp;" /e /r /s /spath="&amp;search_path&amp;" /stypes=""app*"&amp;UOG28&amp;"*"&amp;TEXT(UON28-utc_offset/24,"YYYYMMDD")&amp;"*"" /stext="" "&amp;TEXT(UON28-utc_offset/24,"HH")&amp;search_regexp&amp;""""</f>
        <v>#REF!</v>
      </c>
      <c r="UPL28" s="234" t="e">
        <f>astrogrep_path&amp;" /e /r /s /spath="&amp;search_path&amp;" /stypes=""app*"&amp;UOH28&amp;"*"&amp;TEXT(UOO28-utc_offset/24,"YYYYMMDD")&amp;"*"" /stext="" "&amp;TEXT(UOO28-utc_offset/24,"HH")&amp;search_regexp&amp;""""</f>
        <v>#REF!</v>
      </c>
      <c r="UPM28" s="234" t="e">
        <f>astrogrep_path&amp;" /e /r /s /spath="&amp;search_path&amp;" /stypes=""app*"&amp;UOI28&amp;"*"&amp;TEXT(UOP28-utc_offset/24,"YYYYMMDD")&amp;"*"" /stext="" "&amp;TEXT(UOP28-utc_offset/24,"HH")&amp;search_regexp&amp;""""</f>
        <v>#REF!</v>
      </c>
      <c r="UPN28" s="234" t="e">
        <f>astrogrep_path&amp;" /e /r /s /spath="&amp;search_path&amp;" /stypes=""app*"&amp;UOJ28&amp;"*"&amp;TEXT(UOQ28-utc_offset/24,"YYYYMMDD")&amp;"*"" /stext="" "&amp;TEXT(UOQ28-utc_offset/24,"HH")&amp;search_regexp&amp;""""</f>
        <v>#REF!</v>
      </c>
      <c r="UPO28" s="234" t="e">
        <f>astrogrep_path&amp;" /e /r /s /spath="&amp;search_path&amp;" /stypes=""app*"&amp;UOK28&amp;"*"&amp;TEXT(UOR28-utc_offset/24,"YYYYMMDD")&amp;"*"" /stext="" "&amp;TEXT(UOR28-utc_offset/24,"HH")&amp;search_regexp&amp;""""</f>
        <v>#REF!</v>
      </c>
      <c r="UPP28" s="234" t="e">
        <f>astrogrep_path&amp;" /e /r /s /spath="&amp;search_path&amp;" /stypes=""app*"&amp;UOL28&amp;"*"&amp;TEXT(UOS28-utc_offset/24,"YYYYMMDD")&amp;"*"" /stext="" "&amp;TEXT(UOS28-utc_offset/24,"HH")&amp;search_regexp&amp;""""</f>
        <v>#REF!</v>
      </c>
      <c r="UPQ28" s="234" t="e">
        <f>astrogrep_path&amp;" /e /r /s /spath="&amp;search_path&amp;" /stypes=""app*"&amp;UOM28&amp;"*"&amp;TEXT(UOT28-utc_offset/24,"YYYYMMDD")&amp;"*"" /stext="" "&amp;TEXT(UOT28-utc_offset/24,"HH")&amp;search_regexp&amp;""""</f>
        <v>#REF!</v>
      </c>
      <c r="UPR28" s="234" t="e">
        <f>astrogrep_path&amp;" /e /r /s /spath="&amp;search_path&amp;" /stypes=""app*"&amp;UON28&amp;"*"&amp;TEXT(UOU28-utc_offset/24,"YYYYMMDD")&amp;"*"" /stext="" "&amp;TEXT(UOU28-utc_offset/24,"HH")&amp;search_regexp&amp;""""</f>
        <v>#REF!</v>
      </c>
      <c r="UPS28" s="234" t="e">
        <f>astrogrep_path&amp;" /e /r /s /spath="&amp;search_path&amp;" /stypes=""app*"&amp;UOO28&amp;"*"&amp;TEXT(UOV28-utc_offset/24,"YYYYMMDD")&amp;"*"" /stext="" "&amp;TEXT(UOV28-utc_offset/24,"HH")&amp;search_regexp&amp;""""</f>
        <v>#REF!</v>
      </c>
      <c r="UPT28" s="234" t="e">
        <f>astrogrep_path&amp;" /e /r /s /spath="&amp;search_path&amp;" /stypes=""app*"&amp;UOP28&amp;"*"&amp;TEXT(UOW28-utc_offset/24,"YYYYMMDD")&amp;"*"" /stext="" "&amp;TEXT(UOW28-utc_offset/24,"HH")&amp;search_regexp&amp;""""</f>
        <v>#REF!</v>
      </c>
      <c r="UPU28" s="234" t="e">
        <f>astrogrep_path&amp;" /e /r /s /spath="&amp;search_path&amp;" /stypes=""app*"&amp;UOQ28&amp;"*"&amp;TEXT(UOX28-utc_offset/24,"YYYYMMDD")&amp;"*"" /stext="" "&amp;TEXT(UOX28-utc_offset/24,"HH")&amp;search_regexp&amp;""""</f>
        <v>#REF!</v>
      </c>
      <c r="UPV28" s="234" t="e">
        <f>astrogrep_path&amp;" /e /r /s /spath="&amp;search_path&amp;" /stypes=""app*"&amp;UOR28&amp;"*"&amp;TEXT(UOY28-utc_offset/24,"YYYYMMDD")&amp;"*"" /stext="" "&amp;TEXT(UOY28-utc_offset/24,"HH")&amp;search_regexp&amp;""""</f>
        <v>#REF!</v>
      </c>
      <c r="UPW28" s="234" t="e">
        <f>astrogrep_path&amp;" /e /r /s /spath="&amp;search_path&amp;" /stypes=""app*"&amp;UOS28&amp;"*"&amp;TEXT(UOZ28-utc_offset/24,"YYYYMMDD")&amp;"*"" /stext="" "&amp;TEXT(UOZ28-utc_offset/24,"HH")&amp;search_regexp&amp;""""</f>
        <v>#REF!</v>
      </c>
      <c r="UPX28" s="234" t="e">
        <f>astrogrep_path&amp;" /e /r /s /spath="&amp;search_path&amp;" /stypes=""app*"&amp;UOT28&amp;"*"&amp;TEXT(UPA28-utc_offset/24,"YYYYMMDD")&amp;"*"" /stext="" "&amp;TEXT(UPA28-utc_offset/24,"HH")&amp;search_regexp&amp;""""</f>
        <v>#REF!</v>
      </c>
      <c r="UPY28" s="234" t="e">
        <f>astrogrep_path&amp;" /e /r /s /spath="&amp;search_path&amp;" /stypes=""app*"&amp;UOU28&amp;"*"&amp;TEXT(UPB28-utc_offset/24,"YYYYMMDD")&amp;"*"" /stext="" "&amp;TEXT(UPB28-utc_offset/24,"HH")&amp;search_regexp&amp;""""</f>
        <v>#REF!</v>
      </c>
      <c r="UPZ28" s="234" t="e">
        <f>astrogrep_path&amp;" /e /r /s /spath="&amp;search_path&amp;" /stypes=""app*"&amp;UOV28&amp;"*"&amp;TEXT(UPC28-utc_offset/24,"YYYYMMDD")&amp;"*"" /stext="" "&amp;TEXT(UPC28-utc_offset/24,"HH")&amp;search_regexp&amp;""""</f>
        <v>#REF!</v>
      </c>
      <c r="UQA28" s="234" t="e">
        <f>astrogrep_path&amp;" /e /r /s /spath="&amp;search_path&amp;" /stypes=""app*"&amp;UOW28&amp;"*"&amp;TEXT(UPD28-utc_offset/24,"YYYYMMDD")&amp;"*"" /stext="" "&amp;TEXT(UPD28-utc_offset/24,"HH")&amp;search_regexp&amp;""""</f>
        <v>#REF!</v>
      </c>
      <c r="UQB28" s="234" t="e">
        <f>astrogrep_path&amp;" /e /r /s /spath="&amp;search_path&amp;" /stypes=""app*"&amp;UOX28&amp;"*"&amp;TEXT(UPE28-utc_offset/24,"YYYYMMDD")&amp;"*"" /stext="" "&amp;TEXT(UPE28-utc_offset/24,"HH")&amp;search_regexp&amp;""""</f>
        <v>#REF!</v>
      </c>
      <c r="UQC28" s="234" t="e">
        <f>astrogrep_path&amp;" /e /r /s /spath="&amp;search_path&amp;" /stypes=""app*"&amp;UOY28&amp;"*"&amp;TEXT(UPF28-utc_offset/24,"YYYYMMDD")&amp;"*"" /stext="" "&amp;TEXT(UPF28-utc_offset/24,"HH")&amp;search_regexp&amp;""""</f>
        <v>#VALUE!</v>
      </c>
      <c r="UQD28" s="234" t="e">
        <f>astrogrep_path&amp;" /e /r /s /spath="&amp;search_path&amp;" /stypes=""app*"&amp;UOZ28&amp;"*"&amp;TEXT(UPG28-utc_offset/24,"YYYYMMDD")&amp;"*"" /stext="" "&amp;TEXT(UPG28-utc_offset/24,"HH")&amp;search_regexp&amp;""""</f>
        <v>#VALUE!</v>
      </c>
      <c r="UQE28" s="234" t="e">
        <f>astrogrep_path&amp;" /e /r /s /spath="&amp;search_path&amp;" /stypes=""app*"&amp;UPA28&amp;"*"&amp;TEXT(UPH28-utc_offset/24,"YYYYMMDD")&amp;"*"" /stext="" "&amp;TEXT(UPH28-utc_offset/24,"HH")&amp;search_regexp&amp;""""</f>
        <v>#REF!</v>
      </c>
      <c r="UQF28" s="234" t="e">
        <f>astrogrep_path&amp;" /e /r /s /spath="&amp;search_path&amp;" /stypes=""app*"&amp;UPB28&amp;"*"&amp;TEXT(UPI28-utc_offset/24,"YYYYMMDD")&amp;"*"" /stext="" "&amp;TEXT(UPI28-utc_offset/24,"HH")&amp;search_regexp&amp;""""</f>
        <v>#REF!</v>
      </c>
      <c r="UQG28" s="234" t="e">
        <f>astrogrep_path&amp;" /e /r /s /spath="&amp;search_path&amp;" /stypes=""app*"&amp;UPC28&amp;"*"&amp;TEXT(UPJ28-utc_offset/24,"YYYYMMDD")&amp;"*"" /stext="" "&amp;TEXT(UPJ28-utc_offset/24,"HH")&amp;search_regexp&amp;""""</f>
        <v>#VALUE!</v>
      </c>
      <c r="UQH28" s="234" t="e">
        <f>astrogrep_path&amp;" /e /r /s /spath="&amp;search_path&amp;" /stypes=""app*"&amp;UPD28&amp;"*"&amp;TEXT(UPK28-utc_offset/24,"YYYYMMDD")&amp;"*"" /stext="" "&amp;TEXT(UPK28-utc_offset/24,"HH")&amp;search_regexp&amp;""""</f>
        <v>#VALUE!</v>
      </c>
      <c r="UQI28" s="234" t="e">
        <f>astrogrep_path&amp;" /e /r /s /spath="&amp;search_path&amp;" /stypes=""app*"&amp;UPE28&amp;"*"&amp;TEXT(UPL28-utc_offset/24,"YYYYMMDD")&amp;"*"" /stext="" "&amp;TEXT(UPL28-utc_offset/24,"HH")&amp;search_regexp&amp;""""</f>
        <v>#VALUE!</v>
      </c>
      <c r="UQJ28" s="234" t="e">
        <f>astrogrep_path&amp;" /e /r /s /spath="&amp;search_path&amp;" /stypes=""app*"&amp;UPF28&amp;"*"&amp;TEXT(UPM28-utc_offset/24,"YYYYMMDD")&amp;"*"" /stext="" "&amp;TEXT(UPM28-utc_offset/24,"HH")&amp;search_regexp&amp;""""</f>
        <v>#VALUE!</v>
      </c>
      <c r="UQK28" s="234" t="e">
        <f>astrogrep_path&amp;" /e /r /s /spath="&amp;search_path&amp;" /stypes=""app*"&amp;UPG28&amp;"*"&amp;TEXT(UPN28-utc_offset/24,"YYYYMMDD")&amp;"*"" /stext="" "&amp;TEXT(UPN28-utc_offset/24,"HH")&amp;search_regexp&amp;""""</f>
        <v>#VALUE!</v>
      </c>
      <c r="UQL28" s="234" t="e">
        <f>astrogrep_path&amp;" /e /r /s /spath="&amp;search_path&amp;" /stypes=""app*"&amp;UPH28&amp;"*"&amp;TEXT(UPO28-utc_offset/24,"YYYYMMDD")&amp;"*"" /stext="" "&amp;TEXT(UPO28-utc_offset/24,"HH")&amp;search_regexp&amp;""""</f>
        <v>#REF!</v>
      </c>
      <c r="UQM28" s="234" t="e">
        <f>astrogrep_path&amp;" /e /r /s /spath="&amp;search_path&amp;" /stypes=""app*"&amp;UPI28&amp;"*"&amp;TEXT(UPP28-utc_offset/24,"YYYYMMDD")&amp;"*"" /stext="" "&amp;TEXT(UPP28-utc_offset/24,"HH")&amp;search_regexp&amp;""""</f>
        <v>#REF!</v>
      </c>
      <c r="UQN28" s="234" t="e">
        <f>astrogrep_path&amp;" /e /r /s /spath="&amp;search_path&amp;" /stypes=""app*"&amp;UPJ28&amp;"*"&amp;TEXT(UPQ28-utc_offset/24,"YYYYMMDD")&amp;"*"" /stext="" "&amp;TEXT(UPQ28-utc_offset/24,"HH")&amp;search_regexp&amp;""""</f>
        <v>#REF!</v>
      </c>
      <c r="UQO28" s="234" t="e">
        <f>astrogrep_path&amp;" /e /r /s /spath="&amp;search_path&amp;" /stypes=""app*"&amp;UPK28&amp;"*"&amp;TEXT(UPR28-utc_offset/24,"YYYYMMDD")&amp;"*"" /stext="" "&amp;TEXT(UPR28-utc_offset/24,"HH")&amp;search_regexp&amp;""""</f>
        <v>#REF!</v>
      </c>
      <c r="UQP28" s="234" t="e">
        <f>astrogrep_path&amp;" /e /r /s /spath="&amp;search_path&amp;" /stypes=""app*"&amp;UPL28&amp;"*"&amp;TEXT(UPS28-utc_offset/24,"YYYYMMDD")&amp;"*"" /stext="" "&amp;TEXT(UPS28-utc_offset/24,"HH")&amp;search_regexp&amp;""""</f>
        <v>#REF!</v>
      </c>
      <c r="UQQ28" s="234" t="e">
        <f>astrogrep_path&amp;" /e /r /s /spath="&amp;search_path&amp;" /stypes=""app*"&amp;UPM28&amp;"*"&amp;TEXT(UPT28-utc_offset/24,"YYYYMMDD")&amp;"*"" /stext="" "&amp;TEXT(UPT28-utc_offset/24,"HH")&amp;search_regexp&amp;""""</f>
        <v>#REF!</v>
      </c>
      <c r="UQR28" s="234" t="e">
        <f>astrogrep_path&amp;" /e /r /s /spath="&amp;search_path&amp;" /stypes=""app*"&amp;UPN28&amp;"*"&amp;TEXT(UPU28-utc_offset/24,"YYYYMMDD")&amp;"*"" /stext="" "&amp;TEXT(UPU28-utc_offset/24,"HH")&amp;search_regexp&amp;""""</f>
        <v>#REF!</v>
      </c>
      <c r="UQS28" s="234" t="e">
        <f>astrogrep_path&amp;" /e /r /s /spath="&amp;search_path&amp;" /stypes=""app*"&amp;UPO28&amp;"*"&amp;TEXT(UPV28-utc_offset/24,"YYYYMMDD")&amp;"*"" /stext="" "&amp;TEXT(UPV28-utc_offset/24,"HH")&amp;search_regexp&amp;""""</f>
        <v>#REF!</v>
      </c>
      <c r="UQT28" s="234" t="e">
        <f>astrogrep_path&amp;" /e /r /s /spath="&amp;search_path&amp;" /stypes=""app*"&amp;UPP28&amp;"*"&amp;TEXT(UPW28-utc_offset/24,"YYYYMMDD")&amp;"*"" /stext="" "&amp;TEXT(UPW28-utc_offset/24,"HH")&amp;search_regexp&amp;""""</f>
        <v>#REF!</v>
      </c>
      <c r="UQU28" s="234" t="e">
        <f>astrogrep_path&amp;" /e /r /s /spath="&amp;search_path&amp;" /stypes=""app*"&amp;UPQ28&amp;"*"&amp;TEXT(UPX28-utc_offset/24,"YYYYMMDD")&amp;"*"" /stext="" "&amp;TEXT(UPX28-utc_offset/24,"HH")&amp;search_regexp&amp;""""</f>
        <v>#REF!</v>
      </c>
      <c r="UQV28" s="234" t="e">
        <f>astrogrep_path&amp;" /e /r /s /spath="&amp;search_path&amp;" /stypes=""app*"&amp;UPR28&amp;"*"&amp;TEXT(UPY28-utc_offset/24,"YYYYMMDD")&amp;"*"" /stext="" "&amp;TEXT(UPY28-utc_offset/24,"HH")&amp;search_regexp&amp;""""</f>
        <v>#REF!</v>
      </c>
      <c r="UQW28" s="234" t="e">
        <f>astrogrep_path&amp;" /e /r /s /spath="&amp;search_path&amp;" /stypes=""app*"&amp;UPS28&amp;"*"&amp;TEXT(UPZ28-utc_offset/24,"YYYYMMDD")&amp;"*"" /stext="" "&amp;TEXT(UPZ28-utc_offset/24,"HH")&amp;search_regexp&amp;""""</f>
        <v>#REF!</v>
      </c>
      <c r="UQX28" s="234" t="e">
        <f>astrogrep_path&amp;" /e /r /s /spath="&amp;search_path&amp;" /stypes=""app*"&amp;UPT28&amp;"*"&amp;TEXT(UQA28-utc_offset/24,"YYYYMMDD")&amp;"*"" /stext="" "&amp;TEXT(UQA28-utc_offset/24,"HH")&amp;search_regexp&amp;""""</f>
        <v>#REF!</v>
      </c>
      <c r="UQY28" s="234" t="e">
        <f>astrogrep_path&amp;" /e /r /s /spath="&amp;search_path&amp;" /stypes=""app*"&amp;UPU28&amp;"*"&amp;TEXT(UQB28-utc_offset/24,"YYYYMMDD")&amp;"*"" /stext="" "&amp;TEXT(UQB28-utc_offset/24,"HH")&amp;search_regexp&amp;""""</f>
        <v>#REF!</v>
      </c>
      <c r="UQZ28" s="234" t="e">
        <f>astrogrep_path&amp;" /e /r /s /spath="&amp;search_path&amp;" /stypes=""app*"&amp;UPV28&amp;"*"&amp;TEXT(UQC28-utc_offset/24,"YYYYMMDD")&amp;"*"" /stext="" "&amp;TEXT(UQC28-utc_offset/24,"HH")&amp;search_regexp&amp;""""</f>
        <v>#REF!</v>
      </c>
      <c r="URA28" s="234" t="e">
        <f>astrogrep_path&amp;" /e /r /s /spath="&amp;search_path&amp;" /stypes=""app*"&amp;UPW28&amp;"*"&amp;TEXT(UQD28-utc_offset/24,"YYYYMMDD")&amp;"*"" /stext="" "&amp;TEXT(UQD28-utc_offset/24,"HH")&amp;search_regexp&amp;""""</f>
        <v>#REF!</v>
      </c>
      <c r="URB28" s="234" t="e">
        <f>astrogrep_path&amp;" /e /r /s /spath="&amp;search_path&amp;" /stypes=""app*"&amp;UPX28&amp;"*"&amp;TEXT(UQE28-utc_offset/24,"YYYYMMDD")&amp;"*"" /stext="" "&amp;TEXT(UQE28-utc_offset/24,"HH")&amp;search_regexp&amp;""""</f>
        <v>#REF!</v>
      </c>
      <c r="URC28" s="234" t="e">
        <f>astrogrep_path&amp;" /e /r /s /spath="&amp;search_path&amp;" /stypes=""app*"&amp;UPY28&amp;"*"&amp;TEXT(UQF28-utc_offset/24,"YYYYMMDD")&amp;"*"" /stext="" "&amp;TEXT(UQF28-utc_offset/24,"HH")&amp;search_regexp&amp;""""</f>
        <v>#REF!</v>
      </c>
      <c r="URD28" s="234" t="e">
        <f>astrogrep_path&amp;" /e /r /s /spath="&amp;search_path&amp;" /stypes=""app*"&amp;UPZ28&amp;"*"&amp;TEXT(UQG28-utc_offset/24,"YYYYMMDD")&amp;"*"" /stext="" "&amp;TEXT(UQG28-utc_offset/24,"HH")&amp;search_regexp&amp;""""</f>
        <v>#REF!</v>
      </c>
      <c r="URE28" s="234" t="e">
        <f>astrogrep_path&amp;" /e /r /s /spath="&amp;search_path&amp;" /stypes=""app*"&amp;UQA28&amp;"*"&amp;TEXT(UQH28-utc_offset/24,"YYYYMMDD")&amp;"*"" /stext="" "&amp;TEXT(UQH28-utc_offset/24,"HH")&amp;search_regexp&amp;""""</f>
        <v>#REF!</v>
      </c>
      <c r="URF28" s="234" t="e">
        <f>astrogrep_path&amp;" /e /r /s /spath="&amp;search_path&amp;" /stypes=""app*"&amp;UQB28&amp;"*"&amp;TEXT(UQI28-utc_offset/24,"YYYYMMDD")&amp;"*"" /stext="" "&amp;TEXT(UQI28-utc_offset/24,"HH")&amp;search_regexp&amp;""""</f>
        <v>#REF!</v>
      </c>
      <c r="URG28" s="234" t="e">
        <f>astrogrep_path&amp;" /e /r /s /spath="&amp;search_path&amp;" /stypes=""app*"&amp;UQC28&amp;"*"&amp;TEXT(UQJ28-utc_offset/24,"YYYYMMDD")&amp;"*"" /stext="" "&amp;TEXT(UQJ28-utc_offset/24,"HH")&amp;search_regexp&amp;""""</f>
        <v>#VALUE!</v>
      </c>
      <c r="URH28" s="234" t="e">
        <f>astrogrep_path&amp;" /e /r /s /spath="&amp;search_path&amp;" /stypes=""app*"&amp;UQD28&amp;"*"&amp;TEXT(UQK28-utc_offset/24,"YYYYMMDD")&amp;"*"" /stext="" "&amp;TEXT(UQK28-utc_offset/24,"HH")&amp;search_regexp&amp;""""</f>
        <v>#VALUE!</v>
      </c>
      <c r="URI28" s="234" t="e">
        <f>astrogrep_path&amp;" /e /r /s /spath="&amp;search_path&amp;" /stypes=""app*"&amp;UQE28&amp;"*"&amp;TEXT(UQL28-utc_offset/24,"YYYYMMDD")&amp;"*"" /stext="" "&amp;TEXT(UQL28-utc_offset/24,"HH")&amp;search_regexp&amp;""""</f>
        <v>#REF!</v>
      </c>
      <c r="URJ28" s="234" t="e">
        <f>astrogrep_path&amp;" /e /r /s /spath="&amp;search_path&amp;" /stypes=""app*"&amp;UQF28&amp;"*"&amp;TEXT(UQM28-utc_offset/24,"YYYYMMDD")&amp;"*"" /stext="" "&amp;TEXT(UQM28-utc_offset/24,"HH")&amp;search_regexp&amp;""""</f>
        <v>#REF!</v>
      </c>
      <c r="URK28" s="234" t="e">
        <f>astrogrep_path&amp;" /e /r /s /spath="&amp;search_path&amp;" /stypes=""app*"&amp;UQG28&amp;"*"&amp;TEXT(UQN28-utc_offset/24,"YYYYMMDD")&amp;"*"" /stext="" "&amp;TEXT(UQN28-utc_offset/24,"HH")&amp;search_regexp&amp;""""</f>
        <v>#VALUE!</v>
      </c>
      <c r="URL28" s="234" t="e">
        <f>astrogrep_path&amp;" /e /r /s /spath="&amp;search_path&amp;" /stypes=""app*"&amp;UQH28&amp;"*"&amp;TEXT(UQO28-utc_offset/24,"YYYYMMDD")&amp;"*"" /stext="" "&amp;TEXT(UQO28-utc_offset/24,"HH")&amp;search_regexp&amp;""""</f>
        <v>#VALUE!</v>
      </c>
      <c r="URM28" s="234" t="e">
        <f>astrogrep_path&amp;" /e /r /s /spath="&amp;search_path&amp;" /stypes=""app*"&amp;UQI28&amp;"*"&amp;TEXT(UQP28-utc_offset/24,"YYYYMMDD")&amp;"*"" /stext="" "&amp;TEXT(UQP28-utc_offset/24,"HH")&amp;search_regexp&amp;""""</f>
        <v>#VALUE!</v>
      </c>
      <c r="URN28" s="234" t="e">
        <f>astrogrep_path&amp;" /e /r /s /spath="&amp;search_path&amp;" /stypes=""app*"&amp;UQJ28&amp;"*"&amp;TEXT(UQQ28-utc_offset/24,"YYYYMMDD")&amp;"*"" /stext="" "&amp;TEXT(UQQ28-utc_offset/24,"HH")&amp;search_regexp&amp;""""</f>
        <v>#VALUE!</v>
      </c>
      <c r="URO28" s="234" t="e">
        <f>astrogrep_path&amp;" /e /r /s /spath="&amp;search_path&amp;" /stypes=""app*"&amp;UQK28&amp;"*"&amp;TEXT(UQR28-utc_offset/24,"YYYYMMDD")&amp;"*"" /stext="" "&amp;TEXT(UQR28-utc_offset/24,"HH")&amp;search_regexp&amp;""""</f>
        <v>#VALUE!</v>
      </c>
      <c r="URP28" s="234" t="e">
        <f>astrogrep_path&amp;" /e /r /s /spath="&amp;search_path&amp;" /stypes=""app*"&amp;UQL28&amp;"*"&amp;TEXT(UQS28-utc_offset/24,"YYYYMMDD")&amp;"*"" /stext="" "&amp;TEXT(UQS28-utc_offset/24,"HH")&amp;search_regexp&amp;""""</f>
        <v>#REF!</v>
      </c>
      <c r="URQ28" s="234" t="e">
        <f>astrogrep_path&amp;" /e /r /s /spath="&amp;search_path&amp;" /stypes=""app*"&amp;UQM28&amp;"*"&amp;TEXT(UQT28-utc_offset/24,"YYYYMMDD")&amp;"*"" /stext="" "&amp;TEXT(UQT28-utc_offset/24,"HH")&amp;search_regexp&amp;""""</f>
        <v>#REF!</v>
      </c>
      <c r="URR28" s="234" t="e">
        <f>astrogrep_path&amp;" /e /r /s /spath="&amp;search_path&amp;" /stypes=""app*"&amp;UQN28&amp;"*"&amp;TEXT(UQU28-utc_offset/24,"YYYYMMDD")&amp;"*"" /stext="" "&amp;TEXT(UQU28-utc_offset/24,"HH")&amp;search_regexp&amp;""""</f>
        <v>#REF!</v>
      </c>
      <c r="URS28" s="234" t="e">
        <f>astrogrep_path&amp;" /e /r /s /spath="&amp;search_path&amp;" /stypes=""app*"&amp;UQO28&amp;"*"&amp;TEXT(UQV28-utc_offset/24,"YYYYMMDD")&amp;"*"" /stext="" "&amp;TEXT(UQV28-utc_offset/24,"HH")&amp;search_regexp&amp;""""</f>
        <v>#REF!</v>
      </c>
      <c r="URT28" s="234" t="e">
        <f>astrogrep_path&amp;" /e /r /s /spath="&amp;search_path&amp;" /stypes=""app*"&amp;UQP28&amp;"*"&amp;TEXT(UQW28-utc_offset/24,"YYYYMMDD")&amp;"*"" /stext="" "&amp;TEXT(UQW28-utc_offset/24,"HH")&amp;search_regexp&amp;""""</f>
        <v>#REF!</v>
      </c>
      <c r="URU28" s="234" t="e">
        <f>astrogrep_path&amp;" /e /r /s /spath="&amp;search_path&amp;" /stypes=""app*"&amp;UQQ28&amp;"*"&amp;TEXT(UQX28-utc_offset/24,"YYYYMMDD")&amp;"*"" /stext="" "&amp;TEXT(UQX28-utc_offset/24,"HH")&amp;search_regexp&amp;""""</f>
        <v>#REF!</v>
      </c>
      <c r="URV28" s="234" t="e">
        <f>astrogrep_path&amp;" /e /r /s /spath="&amp;search_path&amp;" /stypes=""app*"&amp;UQR28&amp;"*"&amp;TEXT(UQY28-utc_offset/24,"YYYYMMDD")&amp;"*"" /stext="" "&amp;TEXT(UQY28-utc_offset/24,"HH")&amp;search_regexp&amp;""""</f>
        <v>#REF!</v>
      </c>
      <c r="URW28" s="234" t="e">
        <f>astrogrep_path&amp;" /e /r /s /spath="&amp;search_path&amp;" /stypes=""app*"&amp;UQS28&amp;"*"&amp;TEXT(UQZ28-utc_offset/24,"YYYYMMDD")&amp;"*"" /stext="" "&amp;TEXT(UQZ28-utc_offset/24,"HH")&amp;search_regexp&amp;""""</f>
        <v>#REF!</v>
      </c>
      <c r="URX28" s="234" t="e">
        <f>astrogrep_path&amp;" /e /r /s /spath="&amp;search_path&amp;" /stypes=""app*"&amp;UQT28&amp;"*"&amp;TEXT(URA28-utc_offset/24,"YYYYMMDD")&amp;"*"" /stext="" "&amp;TEXT(URA28-utc_offset/24,"HH")&amp;search_regexp&amp;""""</f>
        <v>#REF!</v>
      </c>
      <c r="URY28" s="234" t="e">
        <f>astrogrep_path&amp;" /e /r /s /spath="&amp;search_path&amp;" /stypes=""app*"&amp;UQU28&amp;"*"&amp;TEXT(URB28-utc_offset/24,"YYYYMMDD")&amp;"*"" /stext="" "&amp;TEXT(URB28-utc_offset/24,"HH")&amp;search_regexp&amp;""""</f>
        <v>#REF!</v>
      </c>
      <c r="URZ28" s="234" t="e">
        <f>astrogrep_path&amp;" /e /r /s /spath="&amp;search_path&amp;" /stypes=""app*"&amp;UQV28&amp;"*"&amp;TEXT(URC28-utc_offset/24,"YYYYMMDD")&amp;"*"" /stext="" "&amp;TEXT(URC28-utc_offset/24,"HH")&amp;search_regexp&amp;""""</f>
        <v>#REF!</v>
      </c>
      <c r="USA28" s="234" t="e">
        <f>astrogrep_path&amp;" /e /r /s /spath="&amp;search_path&amp;" /stypes=""app*"&amp;UQW28&amp;"*"&amp;TEXT(URD28-utc_offset/24,"YYYYMMDD")&amp;"*"" /stext="" "&amp;TEXT(URD28-utc_offset/24,"HH")&amp;search_regexp&amp;""""</f>
        <v>#REF!</v>
      </c>
      <c r="USB28" s="234" t="e">
        <f>astrogrep_path&amp;" /e /r /s /spath="&amp;search_path&amp;" /stypes=""app*"&amp;UQX28&amp;"*"&amp;TEXT(URE28-utc_offset/24,"YYYYMMDD")&amp;"*"" /stext="" "&amp;TEXT(URE28-utc_offset/24,"HH")&amp;search_regexp&amp;""""</f>
        <v>#REF!</v>
      </c>
      <c r="USC28" s="234" t="e">
        <f>astrogrep_path&amp;" /e /r /s /spath="&amp;search_path&amp;" /stypes=""app*"&amp;UQY28&amp;"*"&amp;TEXT(URF28-utc_offset/24,"YYYYMMDD")&amp;"*"" /stext="" "&amp;TEXT(URF28-utc_offset/24,"HH")&amp;search_regexp&amp;""""</f>
        <v>#REF!</v>
      </c>
      <c r="USD28" s="234" t="e">
        <f>astrogrep_path&amp;" /e /r /s /spath="&amp;search_path&amp;" /stypes=""app*"&amp;UQZ28&amp;"*"&amp;TEXT(URG28-utc_offset/24,"YYYYMMDD")&amp;"*"" /stext="" "&amp;TEXT(URG28-utc_offset/24,"HH")&amp;search_regexp&amp;""""</f>
        <v>#REF!</v>
      </c>
      <c r="USE28" s="234" t="e">
        <f>astrogrep_path&amp;" /e /r /s /spath="&amp;search_path&amp;" /stypes=""app*"&amp;URA28&amp;"*"&amp;TEXT(URH28-utc_offset/24,"YYYYMMDD")&amp;"*"" /stext="" "&amp;TEXT(URH28-utc_offset/24,"HH")&amp;search_regexp&amp;""""</f>
        <v>#REF!</v>
      </c>
      <c r="USF28" s="234" t="e">
        <f>astrogrep_path&amp;" /e /r /s /spath="&amp;search_path&amp;" /stypes=""app*"&amp;URB28&amp;"*"&amp;TEXT(URI28-utc_offset/24,"YYYYMMDD")&amp;"*"" /stext="" "&amp;TEXT(URI28-utc_offset/24,"HH")&amp;search_regexp&amp;""""</f>
        <v>#REF!</v>
      </c>
      <c r="USG28" s="234" t="e">
        <f>astrogrep_path&amp;" /e /r /s /spath="&amp;search_path&amp;" /stypes=""app*"&amp;URC28&amp;"*"&amp;TEXT(URJ28-utc_offset/24,"YYYYMMDD")&amp;"*"" /stext="" "&amp;TEXT(URJ28-utc_offset/24,"HH")&amp;search_regexp&amp;""""</f>
        <v>#REF!</v>
      </c>
      <c r="USH28" s="234" t="e">
        <f>astrogrep_path&amp;" /e /r /s /spath="&amp;search_path&amp;" /stypes=""app*"&amp;URD28&amp;"*"&amp;TEXT(URK28-utc_offset/24,"YYYYMMDD")&amp;"*"" /stext="" "&amp;TEXT(URK28-utc_offset/24,"HH")&amp;search_regexp&amp;""""</f>
        <v>#REF!</v>
      </c>
      <c r="USI28" s="234" t="e">
        <f>astrogrep_path&amp;" /e /r /s /spath="&amp;search_path&amp;" /stypes=""app*"&amp;URE28&amp;"*"&amp;TEXT(URL28-utc_offset/24,"YYYYMMDD")&amp;"*"" /stext="" "&amp;TEXT(URL28-utc_offset/24,"HH")&amp;search_regexp&amp;""""</f>
        <v>#REF!</v>
      </c>
      <c r="USJ28" s="234" t="e">
        <f>astrogrep_path&amp;" /e /r /s /spath="&amp;search_path&amp;" /stypes=""app*"&amp;URF28&amp;"*"&amp;TEXT(URM28-utc_offset/24,"YYYYMMDD")&amp;"*"" /stext="" "&amp;TEXT(URM28-utc_offset/24,"HH")&amp;search_regexp&amp;""""</f>
        <v>#REF!</v>
      </c>
      <c r="USK28" s="234" t="e">
        <f>astrogrep_path&amp;" /e /r /s /spath="&amp;search_path&amp;" /stypes=""app*"&amp;URG28&amp;"*"&amp;TEXT(URN28-utc_offset/24,"YYYYMMDD")&amp;"*"" /stext="" "&amp;TEXT(URN28-utc_offset/24,"HH")&amp;search_regexp&amp;""""</f>
        <v>#VALUE!</v>
      </c>
      <c r="USL28" s="234" t="e">
        <f>astrogrep_path&amp;" /e /r /s /spath="&amp;search_path&amp;" /stypes=""app*"&amp;URH28&amp;"*"&amp;TEXT(URO28-utc_offset/24,"YYYYMMDD")&amp;"*"" /stext="" "&amp;TEXT(URO28-utc_offset/24,"HH")&amp;search_regexp&amp;""""</f>
        <v>#VALUE!</v>
      </c>
      <c r="USM28" s="234" t="e">
        <f>astrogrep_path&amp;" /e /r /s /spath="&amp;search_path&amp;" /stypes=""app*"&amp;URI28&amp;"*"&amp;TEXT(URP28-utc_offset/24,"YYYYMMDD")&amp;"*"" /stext="" "&amp;TEXT(URP28-utc_offset/24,"HH")&amp;search_regexp&amp;""""</f>
        <v>#REF!</v>
      </c>
      <c r="USN28" s="234" t="e">
        <f>astrogrep_path&amp;" /e /r /s /spath="&amp;search_path&amp;" /stypes=""app*"&amp;URJ28&amp;"*"&amp;TEXT(URQ28-utc_offset/24,"YYYYMMDD")&amp;"*"" /stext="" "&amp;TEXT(URQ28-utc_offset/24,"HH")&amp;search_regexp&amp;""""</f>
        <v>#REF!</v>
      </c>
      <c r="USO28" s="234" t="e">
        <f>astrogrep_path&amp;" /e /r /s /spath="&amp;search_path&amp;" /stypes=""app*"&amp;URK28&amp;"*"&amp;TEXT(URR28-utc_offset/24,"YYYYMMDD")&amp;"*"" /stext="" "&amp;TEXT(URR28-utc_offset/24,"HH")&amp;search_regexp&amp;""""</f>
        <v>#VALUE!</v>
      </c>
      <c r="USP28" s="234" t="e">
        <f>astrogrep_path&amp;" /e /r /s /spath="&amp;search_path&amp;" /stypes=""app*"&amp;URL28&amp;"*"&amp;TEXT(URS28-utc_offset/24,"YYYYMMDD")&amp;"*"" /stext="" "&amp;TEXT(URS28-utc_offset/24,"HH")&amp;search_regexp&amp;""""</f>
        <v>#VALUE!</v>
      </c>
      <c r="USQ28" s="234" t="e">
        <f>astrogrep_path&amp;" /e /r /s /spath="&amp;search_path&amp;" /stypes=""app*"&amp;URM28&amp;"*"&amp;TEXT(URT28-utc_offset/24,"YYYYMMDD")&amp;"*"" /stext="" "&amp;TEXT(URT28-utc_offset/24,"HH")&amp;search_regexp&amp;""""</f>
        <v>#VALUE!</v>
      </c>
      <c r="USR28" s="234" t="e">
        <f>astrogrep_path&amp;" /e /r /s /spath="&amp;search_path&amp;" /stypes=""app*"&amp;URN28&amp;"*"&amp;TEXT(URU28-utc_offset/24,"YYYYMMDD")&amp;"*"" /stext="" "&amp;TEXT(URU28-utc_offset/24,"HH")&amp;search_regexp&amp;""""</f>
        <v>#VALUE!</v>
      </c>
      <c r="USS28" s="234" t="e">
        <f>astrogrep_path&amp;" /e /r /s /spath="&amp;search_path&amp;" /stypes=""app*"&amp;URO28&amp;"*"&amp;TEXT(URV28-utc_offset/24,"YYYYMMDD")&amp;"*"" /stext="" "&amp;TEXT(URV28-utc_offset/24,"HH")&amp;search_regexp&amp;""""</f>
        <v>#VALUE!</v>
      </c>
      <c r="UST28" s="234" t="e">
        <f>astrogrep_path&amp;" /e /r /s /spath="&amp;search_path&amp;" /stypes=""app*"&amp;URP28&amp;"*"&amp;TEXT(URW28-utc_offset/24,"YYYYMMDD")&amp;"*"" /stext="" "&amp;TEXT(URW28-utc_offset/24,"HH")&amp;search_regexp&amp;""""</f>
        <v>#REF!</v>
      </c>
      <c r="USU28" s="234" t="e">
        <f>astrogrep_path&amp;" /e /r /s /spath="&amp;search_path&amp;" /stypes=""app*"&amp;URQ28&amp;"*"&amp;TEXT(URX28-utc_offset/24,"YYYYMMDD")&amp;"*"" /stext="" "&amp;TEXT(URX28-utc_offset/24,"HH")&amp;search_regexp&amp;""""</f>
        <v>#REF!</v>
      </c>
      <c r="USV28" s="234" t="e">
        <f>astrogrep_path&amp;" /e /r /s /spath="&amp;search_path&amp;" /stypes=""app*"&amp;URR28&amp;"*"&amp;TEXT(URY28-utc_offset/24,"YYYYMMDD")&amp;"*"" /stext="" "&amp;TEXT(URY28-utc_offset/24,"HH")&amp;search_regexp&amp;""""</f>
        <v>#REF!</v>
      </c>
      <c r="USW28" s="234" t="e">
        <f>astrogrep_path&amp;" /e /r /s /spath="&amp;search_path&amp;" /stypes=""app*"&amp;URS28&amp;"*"&amp;TEXT(URZ28-utc_offset/24,"YYYYMMDD")&amp;"*"" /stext="" "&amp;TEXT(URZ28-utc_offset/24,"HH")&amp;search_regexp&amp;""""</f>
        <v>#REF!</v>
      </c>
      <c r="USX28" s="234" t="e">
        <f>astrogrep_path&amp;" /e /r /s /spath="&amp;search_path&amp;" /stypes=""app*"&amp;URT28&amp;"*"&amp;TEXT(USA28-utc_offset/24,"YYYYMMDD")&amp;"*"" /stext="" "&amp;TEXT(USA28-utc_offset/24,"HH")&amp;search_regexp&amp;""""</f>
        <v>#REF!</v>
      </c>
      <c r="USY28" s="234" t="e">
        <f>astrogrep_path&amp;" /e /r /s /spath="&amp;search_path&amp;" /stypes=""app*"&amp;URU28&amp;"*"&amp;TEXT(USB28-utc_offset/24,"YYYYMMDD")&amp;"*"" /stext="" "&amp;TEXT(USB28-utc_offset/24,"HH")&amp;search_regexp&amp;""""</f>
        <v>#REF!</v>
      </c>
      <c r="USZ28" s="234" t="e">
        <f>astrogrep_path&amp;" /e /r /s /spath="&amp;search_path&amp;" /stypes=""app*"&amp;URV28&amp;"*"&amp;TEXT(USC28-utc_offset/24,"YYYYMMDD")&amp;"*"" /stext="" "&amp;TEXT(USC28-utc_offset/24,"HH")&amp;search_regexp&amp;""""</f>
        <v>#REF!</v>
      </c>
      <c r="UTA28" s="234" t="e">
        <f>astrogrep_path&amp;" /e /r /s /spath="&amp;search_path&amp;" /stypes=""app*"&amp;URW28&amp;"*"&amp;TEXT(USD28-utc_offset/24,"YYYYMMDD")&amp;"*"" /stext="" "&amp;TEXT(USD28-utc_offset/24,"HH")&amp;search_regexp&amp;""""</f>
        <v>#REF!</v>
      </c>
      <c r="UTB28" s="234" t="e">
        <f>astrogrep_path&amp;" /e /r /s /spath="&amp;search_path&amp;" /stypes=""app*"&amp;URX28&amp;"*"&amp;TEXT(USE28-utc_offset/24,"YYYYMMDD")&amp;"*"" /stext="" "&amp;TEXT(USE28-utc_offset/24,"HH")&amp;search_regexp&amp;""""</f>
        <v>#REF!</v>
      </c>
      <c r="UTC28" s="234" t="e">
        <f>astrogrep_path&amp;" /e /r /s /spath="&amp;search_path&amp;" /stypes=""app*"&amp;URY28&amp;"*"&amp;TEXT(USF28-utc_offset/24,"YYYYMMDD")&amp;"*"" /stext="" "&amp;TEXT(USF28-utc_offset/24,"HH")&amp;search_regexp&amp;""""</f>
        <v>#REF!</v>
      </c>
      <c r="UTD28" s="234" t="e">
        <f>astrogrep_path&amp;" /e /r /s /spath="&amp;search_path&amp;" /stypes=""app*"&amp;URZ28&amp;"*"&amp;TEXT(USG28-utc_offset/24,"YYYYMMDD")&amp;"*"" /stext="" "&amp;TEXT(USG28-utc_offset/24,"HH")&amp;search_regexp&amp;""""</f>
        <v>#REF!</v>
      </c>
      <c r="UTE28" s="234" t="e">
        <f>astrogrep_path&amp;" /e /r /s /spath="&amp;search_path&amp;" /stypes=""app*"&amp;USA28&amp;"*"&amp;TEXT(USH28-utc_offset/24,"YYYYMMDD")&amp;"*"" /stext="" "&amp;TEXT(USH28-utc_offset/24,"HH")&amp;search_regexp&amp;""""</f>
        <v>#REF!</v>
      </c>
      <c r="UTF28" s="234" t="e">
        <f>astrogrep_path&amp;" /e /r /s /spath="&amp;search_path&amp;" /stypes=""app*"&amp;USB28&amp;"*"&amp;TEXT(USI28-utc_offset/24,"YYYYMMDD")&amp;"*"" /stext="" "&amp;TEXT(USI28-utc_offset/24,"HH")&amp;search_regexp&amp;""""</f>
        <v>#REF!</v>
      </c>
      <c r="UTG28" s="234" t="e">
        <f>astrogrep_path&amp;" /e /r /s /spath="&amp;search_path&amp;" /stypes=""app*"&amp;USC28&amp;"*"&amp;TEXT(USJ28-utc_offset/24,"YYYYMMDD")&amp;"*"" /stext="" "&amp;TEXT(USJ28-utc_offset/24,"HH")&amp;search_regexp&amp;""""</f>
        <v>#REF!</v>
      </c>
      <c r="UTH28" s="234" t="e">
        <f>astrogrep_path&amp;" /e /r /s /spath="&amp;search_path&amp;" /stypes=""app*"&amp;USD28&amp;"*"&amp;TEXT(USK28-utc_offset/24,"YYYYMMDD")&amp;"*"" /stext="" "&amp;TEXT(USK28-utc_offset/24,"HH")&amp;search_regexp&amp;""""</f>
        <v>#REF!</v>
      </c>
      <c r="UTI28" s="234" t="e">
        <f>astrogrep_path&amp;" /e /r /s /spath="&amp;search_path&amp;" /stypes=""app*"&amp;USE28&amp;"*"&amp;TEXT(USL28-utc_offset/24,"YYYYMMDD")&amp;"*"" /stext="" "&amp;TEXT(USL28-utc_offset/24,"HH")&amp;search_regexp&amp;""""</f>
        <v>#REF!</v>
      </c>
      <c r="UTJ28" s="234" t="e">
        <f>astrogrep_path&amp;" /e /r /s /spath="&amp;search_path&amp;" /stypes=""app*"&amp;USF28&amp;"*"&amp;TEXT(USM28-utc_offset/24,"YYYYMMDD")&amp;"*"" /stext="" "&amp;TEXT(USM28-utc_offset/24,"HH")&amp;search_regexp&amp;""""</f>
        <v>#REF!</v>
      </c>
      <c r="UTK28" s="234" t="e">
        <f>astrogrep_path&amp;" /e /r /s /spath="&amp;search_path&amp;" /stypes=""app*"&amp;USG28&amp;"*"&amp;TEXT(USN28-utc_offset/24,"YYYYMMDD")&amp;"*"" /stext="" "&amp;TEXT(USN28-utc_offset/24,"HH")&amp;search_regexp&amp;""""</f>
        <v>#REF!</v>
      </c>
      <c r="UTL28" s="234" t="e">
        <f>astrogrep_path&amp;" /e /r /s /spath="&amp;search_path&amp;" /stypes=""app*"&amp;USH28&amp;"*"&amp;TEXT(USO28-utc_offset/24,"YYYYMMDD")&amp;"*"" /stext="" "&amp;TEXT(USO28-utc_offset/24,"HH")&amp;search_regexp&amp;""""</f>
        <v>#REF!</v>
      </c>
      <c r="UTM28" s="234" t="e">
        <f>astrogrep_path&amp;" /e /r /s /spath="&amp;search_path&amp;" /stypes=""app*"&amp;USI28&amp;"*"&amp;TEXT(USP28-utc_offset/24,"YYYYMMDD")&amp;"*"" /stext="" "&amp;TEXT(USP28-utc_offset/24,"HH")&amp;search_regexp&amp;""""</f>
        <v>#REF!</v>
      </c>
      <c r="UTN28" s="234" t="e">
        <f>astrogrep_path&amp;" /e /r /s /spath="&amp;search_path&amp;" /stypes=""app*"&amp;USJ28&amp;"*"&amp;TEXT(USQ28-utc_offset/24,"YYYYMMDD")&amp;"*"" /stext="" "&amp;TEXT(USQ28-utc_offset/24,"HH")&amp;search_regexp&amp;""""</f>
        <v>#REF!</v>
      </c>
      <c r="UTO28" s="234" t="e">
        <f>astrogrep_path&amp;" /e /r /s /spath="&amp;search_path&amp;" /stypes=""app*"&amp;USK28&amp;"*"&amp;TEXT(USR28-utc_offset/24,"YYYYMMDD")&amp;"*"" /stext="" "&amp;TEXT(USR28-utc_offset/24,"HH")&amp;search_regexp&amp;""""</f>
        <v>#VALUE!</v>
      </c>
      <c r="UTP28" s="234" t="e">
        <f>astrogrep_path&amp;" /e /r /s /spath="&amp;search_path&amp;" /stypes=""app*"&amp;USL28&amp;"*"&amp;TEXT(USS28-utc_offset/24,"YYYYMMDD")&amp;"*"" /stext="" "&amp;TEXT(USS28-utc_offset/24,"HH")&amp;search_regexp&amp;""""</f>
        <v>#VALUE!</v>
      </c>
      <c r="UTQ28" s="234" t="e">
        <f>astrogrep_path&amp;" /e /r /s /spath="&amp;search_path&amp;" /stypes=""app*"&amp;USM28&amp;"*"&amp;TEXT(UST28-utc_offset/24,"YYYYMMDD")&amp;"*"" /stext="" "&amp;TEXT(UST28-utc_offset/24,"HH")&amp;search_regexp&amp;""""</f>
        <v>#REF!</v>
      </c>
      <c r="UTR28" s="234" t="e">
        <f>astrogrep_path&amp;" /e /r /s /spath="&amp;search_path&amp;" /stypes=""app*"&amp;USN28&amp;"*"&amp;TEXT(USU28-utc_offset/24,"YYYYMMDD")&amp;"*"" /stext="" "&amp;TEXT(USU28-utc_offset/24,"HH")&amp;search_regexp&amp;""""</f>
        <v>#REF!</v>
      </c>
      <c r="UTS28" s="234" t="e">
        <f>astrogrep_path&amp;" /e /r /s /spath="&amp;search_path&amp;" /stypes=""app*"&amp;USO28&amp;"*"&amp;TEXT(USV28-utc_offset/24,"YYYYMMDD")&amp;"*"" /stext="" "&amp;TEXT(USV28-utc_offset/24,"HH")&amp;search_regexp&amp;""""</f>
        <v>#VALUE!</v>
      </c>
      <c r="UTT28" s="234" t="e">
        <f>astrogrep_path&amp;" /e /r /s /spath="&amp;search_path&amp;" /stypes=""app*"&amp;USP28&amp;"*"&amp;TEXT(USW28-utc_offset/24,"YYYYMMDD")&amp;"*"" /stext="" "&amp;TEXT(USW28-utc_offset/24,"HH")&amp;search_regexp&amp;""""</f>
        <v>#VALUE!</v>
      </c>
      <c r="UTU28" s="234" t="e">
        <f>astrogrep_path&amp;" /e /r /s /spath="&amp;search_path&amp;" /stypes=""app*"&amp;USQ28&amp;"*"&amp;TEXT(USX28-utc_offset/24,"YYYYMMDD")&amp;"*"" /stext="" "&amp;TEXT(USX28-utc_offset/24,"HH")&amp;search_regexp&amp;""""</f>
        <v>#VALUE!</v>
      </c>
      <c r="UTV28" s="234" t="e">
        <f>astrogrep_path&amp;" /e /r /s /spath="&amp;search_path&amp;" /stypes=""app*"&amp;USR28&amp;"*"&amp;TEXT(USY28-utc_offset/24,"YYYYMMDD")&amp;"*"" /stext="" "&amp;TEXT(USY28-utc_offset/24,"HH")&amp;search_regexp&amp;""""</f>
        <v>#VALUE!</v>
      </c>
      <c r="UTW28" s="234" t="e">
        <f>astrogrep_path&amp;" /e /r /s /spath="&amp;search_path&amp;" /stypes=""app*"&amp;USS28&amp;"*"&amp;TEXT(USZ28-utc_offset/24,"YYYYMMDD")&amp;"*"" /stext="" "&amp;TEXT(USZ28-utc_offset/24,"HH")&amp;search_regexp&amp;""""</f>
        <v>#VALUE!</v>
      </c>
      <c r="UTX28" s="234" t="e">
        <f>astrogrep_path&amp;" /e /r /s /spath="&amp;search_path&amp;" /stypes=""app*"&amp;UST28&amp;"*"&amp;TEXT(UTA28-utc_offset/24,"YYYYMMDD")&amp;"*"" /stext="" "&amp;TEXT(UTA28-utc_offset/24,"HH")&amp;search_regexp&amp;""""</f>
        <v>#REF!</v>
      </c>
      <c r="UTY28" s="234" t="e">
        <f>astrogrep_path&amp;" /e /r /s /spath="&amp;search_path&amp;" /stypes=""app*"&amp;USU28&amp;"*"&amp;TEXT(UTB28-utc_offset/24,"YYYYMMDD")&amp;"*"" /stext="" "&amp;TEXT(UTB28-utc_offset/24,"HH")&amp;search_regexp&amp;""""</f>
        <v>#REF!</v>
      </c>
      <c r="UTZ28" s="234" t="e">
        <f>astrogrep_path&amp;" /e /r /s /spath="&amp;search_path&amp;" /stypes=""app*"&amp;USV28&amp;"*"&amp;TEXT(UTC28-utc_offset/24,"YYYYMMDD")&amp;"*"" /stext="" "&amp;TEXT(UTC28-utc_offset/24,"HH")&amp;search_regexp&amp;""""</f>
        <v>#REF!</v>
      </c>
      <c r="UUA28" s="234" t="e">
        <f>astrogrep_path&amp;" /e /r /s /spath="&amp;search_path&amp;" /stypes=""app*"&amp;USW28&amp;"*"&amp;TEXT(UTD28-utc_offset/24,"YYYYMMDD")&amp;"*"" /stext="" "&amp;TEXT(UTD28-utc_offset/24,"HH")&amp;search_regexp&amp;""""</f>
        <v>#REF!</v>
      </c>
      <c r="UUB28" s="234" t="e">
        <f>astrogrep_path&amp;" /e /r /s /spath="&amp;search_path&amp;" /stypes=""app*"&amp;USX28&amp;"*"&amp;TEXT(UTE28-utc_offset/24,"YYYYMMDD")&amp;"*"" /stext="" "&amp;TEXT(UTE28-utc_offset/24,"HH")&amp;search_regexp&amp;""""</f>
        <v>#REF!</v>
      </c>
      <c r="UUC28" s="234" t="e">
        <f>astrogrep_path&amp;" /e /r /s /spath="&amp;search_path&amp;" /stypes=""app*"&amp;USY28&amp;"*"&amp;TEXT(UTF28-utc_offset/24,"YYYYMMDD")&amp;"*"" /stext="" "&amp;TEXT(UTF28-utc_offset/24,"HH")&amp;search_regexp&amp;""""</f>
        <v>#REF!</v>
      </c>
      <c r="UUD28" s="234" t="e">
        <f>astrogrep_path&amp;" /e /r /s /spath="&amp;search_path&amp;" /stypes=""app*"&amp;USZ28&amp;"*"&amp;TEXT(UTG28-utc_offset/24,"YYYYMMDD")&amp;"*"" /stext="" "&amp;TEXT(UTG28-utc_offset/24,"HH")&amp;search_regexp&amp;""""</f>
        <v>#REF!</v>
      </c>
      <c r="UUE28" s="234" t="e">
        <f>astrogrep_path&amp;" /e /r /s /spath="&amp;search_path&amp;" /stypes=""app*"&amp;UTA28&amp;"*"&amp;TEXT(UTH28-utc_offset/24,"YYYYMMDD")&amp;"*"" /stext="" "&amp;TEXT(UTH28-utc_offset/24,"HH")&amp;search_regexp&amp;""""</f>
        <v>#REF!</v>
      </c>
      <c r="UUF28" s="234" t="e">
        <f>astrogrep_path&amp;" /e /r /s /spath="&amp;search_path&amp;" /stypes=""app*"&amp;UTB28&amp;"*"&amp;TEXT(UTI28-utc_offset/24,"YYYYMMDD")&amp;"*"" /stext="" "&amp;TEXT(UTI28-utc_offset/24,"HH")&amp;search_regexp&amp;""""</f>
        <v>#REF!</v>
      </c>
      <c r="UUG28" s="234" t="e">
        <f>astrogrep_path&amp;" /e /r /s /spath="&amp;search_path&amp;" /stypes=""app*"&amp;UTC28&amp;"*"&amp;TEXT(UTJ28-utc_offset/24,"YYYYMMDD")&amp;"*"" /stext="" "&amp;TEXT(UTJ28-utc_offset/24,"HH")&amp;search_regexp&amp;""""</f>
        <v>#REF!</v>
      </c>
      <c r="UUH28" s="234" t="e">
        <f>astrogrep_path&amp;" /e /r /s /spath="&amp;search_path&amp;" /stypes=""app*"&amp;UTD28&amp;"*"&amp;TEXT(UTK28-utc_offset/24,"YYYYMMDD")&amp;"*"" /stext="" "&amp;TEXT(UTK28-utc_offset/24,"HH")&amp;search_regexp&amp;""""</f>
        <v>#REF!</v>
      </c>
      <c r="UUI28" s="234" t="e">
        <f>astrogrep_path&amp;" /e /r /s /spath="&amp;search_path&amp;" /stypes=""app*"&amp;UTE28&amp;"*"&amp;TEXT(UTL28-utc_offset/24,"YYYYMMDD")&amp;"*"" /stext="" "&amp;TEXT(UTL28-utc_offset/24,"HH")&amp;search_regexp&amp;""""</f>
        <v>#REF!</v>
      </c>
      <c r="UUJ28" s="234" t="e">
        <f>astrogrep_path&amp;" /e /r /s /spath="&amp;search_path&amp;" /stypes=""app*"&amp;UTF28&amp;"*"&amp;TEXT(UTM28-utc_offset/24,"YYYYMMDD")&amp;"*"" /stext="" "&amp;TEXT(UTM28-utc_offset/24,"HH")&amp;search_regexp&amp;""""</f>
        <v>#REF!</v>
      </c>
      <c r="UUK28" s="234" t="e">
        <f>astrogrep_path&amp;" /e /r /s /spath="&amp;search_path&amp;" /stypes=""app*"&amp;UTG28&amp;"*"&amp;TEXT(UTN28-utc_offset/24,"YYYYMMDD")&amp;"*"" /stext="" "&amp;TEXT(UTN28-utc_offset/24,"HH")&amp;search_regexp&amp;""""</f>
        <v>#REF!</v>
      </c>
      <c r="UUL28" s="234" t="e">
        <f>astrogrep_path&amp;" /e /r /s /spath="&amp;search_path&amp;" /stypes=""app*"&amp;UTH28&amp;"*"&amp;TEXT(UTO28-utc_offset/24,"YYYYMMDD")&amp;"*"" /stext="" "&amp;TEXT(UTO28-utc_offset/24,"HH")&amp;search_regexp&amp;""""</f>
        <v>#REF!</v>
      </c>
      <c r="UUM28" s="234" t="e">
        <f>astrogrep_path&amp;" /e /r /s /spath="&amp;search_path&amp;" /stypes=""app*"&amp;UTI28&amp;"*"&amp;TEXT(UTP28-utc_offset/24,"YYYYMMDD")&amp;"*"" /stext="" "&amp;TEXT(UTP28-utc_offset/24,"HH")&amp;search_regexp&amp;""""</f>
        <v>#REF!</v>
      </c>
      <c r="UUN28" s="234" t="e">
        <f>astrogrep_path&amp;" /e /r /s /spath="&amp;search_path&amp;" /stypes=""app*"&amp;UTJ28&amp;"*"&amp;TEXT(UTQ28-utc_offset/24,"YYYYMMDD")&amp;"*"" /stext="" "&amp;TEXT(UTQ28-utc_offset/24,"HH")&amp;search_regexp&amp;""""</f>
        <v>#REF!</v>
      </c>
      <c r="UUO28" s="234" t="e">
        <f>astrogrep_path&amp;" /e /r /s /spath="&amp;search_path&amp;" /stypes=""app*"&amp;UTK28&amp;"*"&amp;TEXT(UTR28-utc_offset/24,"YYYYMMDD")&amp;"*"" /stext="" "&amp;TEXT(UTR28-utc_offset/24,"HH")&amp;search_regexp&amp;""""</f>
        <v>#REF!</v>
      </c>
      <c r="UUP28" s="234" t="e">
        <f>astrogrep_path&amp;" /e /r /s /spath="&amp;search_path&amp;" /stypes=""app*"&amp;UTL28&amp;"*"&amp;TEXT(UTS28-utc_offset/24,"YYYYMMDD")&amp;"*"" /stext="" "&amp;TEXT(UTS28-utc_offset/24,"HH")&amp;search_regexp&amp;""""</f>
        <v>#REF!</v>
      </c>
      <c r="UUQ28" s="234" t="e">
        <f>astrogrep_path&amp;" /e /r /s /spath="&amp;search_path&amp;" /stypes=""app*"&amp;UTM28&amp;"*"&amp;TEXT(UTT28-utc_offset/24,"YYYYMMDD")&amp;"*"" /stext="" "&amp;TEXT(UTT28-utc_offset/24,"HH")&amp;search_regexp&amp;""""</f>
        <v>#REF!</v>
      </c>
      <c r="UUR28" s="234" t="e">
        <f>astrogrep_path&amp;" /e /r /s /spath="&amp;search_path&amp;" /stypes=""app*"&amp;UTN28&amp;"*"&amp;TEXT(UTU28-utc_offset/24,"YYYYMMDD")&amp;"*"" /stext="" "&amp;TEXT(UTU28-utc_offset/24,"HH")&amp;search_regexp&amp;""""</f>
        <v>#REF!</v>
      </c>
      <c r="UUS28" s="234" t="e">
        <f>astrogrep_path&amp;" /e /r /s /spath="&amp;search_path&amp;" /stypes=""app*"&amp;UTO28&amp;"*"&amp;TEXT(UTV28-utc_offset/24,"YYYYMMDD")&amp;"*"" /stext="" "&amp;TEXT(UTV28-utc_offset/24,"HH")&amp;search_regexp&amp;""""</f>
        <v>#VALUE!</v>
      </c>
      <c r="UUT28" s="234" t="e">
        <f>astrogrep_path&amp;" /e /r /s /spath="&amp;search_path&amp;" /stypes=""app*"&amp;UTP28&amp;"*"&amp;TEXT(UTW28-utc_offset/24,"YYYYMMDD")&amp;"*"" /stext="" "&amp;TEXT(UTW28-utc_offset/24,"HH")&amp;search_regexp&amp;""""</f>
        <v>#VALUE!</v>
      </c>
      <c r="UUU28" s="234" t="e">
        <f>astrogrep_path&amp;" /e /r /s /spath="&amp;search_path&amp;" /stypes=""app*"&amp;UTQ28&amp;"*"&amp;TEXT(UTX28-utc_offset/24,"YYYYMMDD")&amp;"*"" /stext="" "&amp;TEXT(UTX28-utc_offset/24,"HH")&amp;search_regexp&amp;""""</f>
        <v>#REF!</v>
      </c>
      <c r="UUV28" s="234" t="e">
        <f>astrogrep_path&amp;" /e /r /s /spath="&amp;search_path&amp;" /stypes=""app*"&amp;UTR28&amp;"*"&amp;TEXT(UTY28-utc_offset/24,"YYYYMMDD")&amp;"*"" /stext="" "&amp;TEXT(UTY28-utc_offset/24,"HH")&amp;search_regexp&amp;""""</f>
        <v>#REF!</v>
      </c>
      <c r="UUW28" s="234" t="e">
        <f>astrogrep_path&amp;" /e /r /s /spath="&amp;search_path&amp;" /stypes=""app*"&amp;UTS28&amp;"*"&amp;TEXT(UTZ28-utc_offset/24,"YYYYMMDD")&amp;"*"" /stext="" "&amp;TEXT(UTZ28-utc_offset/24,"HH")&amp;search_regexp&amp;""""</f>
        <v>#VALUE!</v>
      </c>
      <c r="UUX28" s="234" t="e">
        <f>astrogrep_path&amp;" /e /r /s /spath="&amp;search_path&amp;" /stypes=""app*"&amp;UTT28&amp;"*"&amp;TEXT(UUA28-utc_offset/24,"YYYYMMDD")&amp;"*"" /stext="" "&amp;TEXT(UUA28-utc_offset/24,"HH")&amp;search_regexp&amp;""""</f>
        <v>#VALUE!</v>
      </c>
      <c r="UUY28" s="234" t="e">
        <f>astrogrep_path&amp;" /e /r /s /spath="&amp;search_path&amp;" /stypes=""app*"&amp;UTU28&amp;"*"&amp;TEXT(UUB28-utc_offset/24,"YYYYMMDD")&amp;"*"" /stext="" "&amp;TEXT(UUB28-utc_offset/24,"HH")&amp;search_regexp&amp;""""</f>
        <v>#VALUE!</v>
      </c>
      <c r="UUZ28" s="234" t="e">
        <f>astrogrep_path&amp;" /e /r /s /spath="&amp;search_path&amp;" /stypes=""app*"&amp;UTV28&amp;"*"&amp;TEXT(UUC28-utc_offset/24,"YYYYMMDD")&amp;"*"" /stext="" "&amp;TEXT(UUC28-utc_offset/24,"HH")&amp;search_regexp&amp;""""</f>
        <v>#VALUE!</v>
      </c>
      <c r="UVA28" s="234" t="e">
        <f>astrogrep_path&amp;" /e /r /s /spath="&amp;search_path&amp;" /stypes=""app*"&amp;UTW28&amp;"*"&amp;TEXT(UUD28-utc_offset/24,"YYYYMMDD")&amp;"*"" /stext="" "&amp;TEXT(UUD28-utc_offset/24,"HH")&amp;search_regexp&amp;""""</f>
        <v>#VALUE!</v>
      </c>
      <c r="UVB28" s="234" t="e">
        <f>astrogrep_path&amp;" /e /r /s /spath="&amp;search_path&amp;" /stypes=""app*"&amp;UTX28&amp;"*"&amp;TEXT(UUE28-utc_offset/24,"YYYYMMDD")&amp;"*"" /stext="" "&amp;TEXT(UUE28-utc_offset/24,"HH")&amp;search_regexp&amp;""""</f>
        <v>#REF!</v>
      </c>
      <c r="UVC28" s="234" t="e">
        <f>astrogrep_path&amp;" /e /r /s /spath="&amp;search_path&amp;" /stypes=""app*"&amp;UTY28&amp;"*"&amp;TEXT(UUF28-utc_offset/24,"YYYYMMDD")&amp;"*"" /stext="" "&amp;TEXT(UUF28-utc_offset/24,"HH")&amp;search_regexp&amp;""""</f>
        <v>#REF!</v>
      </c>
      <c r="UVD28" s="234" t="e">
        <f>astrogrep_path&amp;" /e /r /s /spath="&amp;search_path&amp;" /stypes=""app*"&amp;UTZ28&amp;"*"&amp;TEXT(UUG28-utc_offset/24,"YYYYMMDD")&amp;"*"" /stext="" "&amp;TEXT(UUG28-utc_offset/24,"HH")&amp;search_regexp&amp;""""</f>
        <v>#REF!</v>
      </c>
      <c r="UVE28" s="234" t="e">
        <f>astrogrep_path&amp;" /e /r /s /spath="&amp;search_path&amp;" /stypes=""app*"&amp;UUA28&amp;"*"&amp;TEXT(UUH28-utc_offset/24,"YYYYMMDD")&amp;"*"" /stext="" "&amp;TEXT(UUH28-utc_offset/24,"HH")&amp;search_regexp&amp;""""</f>
        <v>#REF!</v>
      </c>
      <c r="UVF28" s="234" t="e">
        <f>astrogrep_path&amp;" /e /r /s /spath="&amp;search_path&amp;" /stypes=""app*"&amp;UUB28&amp;"*"&amp;TEXT(UUI28-utc_offset/24,"YYYYMMDD")&amp;"*"" /stext="" "&amp;TEXT(UUI28-utc_offset/24,"HH")&amp;search_regexp&amp;""""</f>
        <v>#REF!</v>
      </c>
      <c r="UVG28" s="234" t="e">
        <f>astrogrep_path&amp;" /e /r /s /spath="&amp;search_path&amp;" /stypes=""app*"&amp;UUC28&amp;"*"&amp;TEXT(UUJ28-utc_offset/24,"YYYYMMDD")&amp;"*"" /stext="" "&amp;TEXT(UUJ28-utc_offset/24,"HH")&amp;search_regexp&amp;""""</f>
        <v>#REF!</v>
      </c>
      <c r="UVH28" s="234" t="e">
        <f>astrogrep_path&amp;" /e /r /s /spath="&amp;search_path&amp;" /stypes=""app*"&amp;UUD28&amp;"*"&amp;TEXT(UUK28-utc_offset/24,"YYYYMMDD")&amp;"*"" /stext="" "&amp;TEXT(UUK28-utc_offset/24,"HH")&amp;search_regexp&amp;""""</f>
        <v>#REF!</v>
      </c>
      <c r="UVI28" s="234" t="e">
        <f>astrogrep_path&amp;" /e /r /s /spath="&amp;search_path&amp;" /stypes=""app*"&amp;UUE28&amp;"*"&amp;TEXT(UUL28-utc_offset/24,"YYYYMMDD")&amp;"*"" /stext="" "&amp;TEXT(UUL28-utc_offset/24,"HH")&amp;search_regexp&amp;""""</f>
        <v>#REF!</v>
      </c>
      <c r="UVJ28" s="234" t="e">
        <f>astrogrep_path&amp;" /e /r /s /spath="&amp;search_path&amp;" /stypes=""app*"&amp;UUF28&amp;"*"&amp;TEXT(UUM28-utc_offset/24,"YYYYMMDD")&amp;"*"" /stext="" "&amp;TEXT(UUM28-utc_offset/24,"HH")&amp;search_regexp&amp;""""</f>
        <v>#REF!</v>
      </c>
      <c r="UVK28" s="234" t="e">
        <f>astrogrep_path&amp;" /e /r /s /spath="&amp;search_path&amp;" /stypes=""app*"&amp;UUG28&amp;"*"&amp;TEXT(UUN28-utc_offset/24,"YYYYMMDD")&amp;"*"" /stext="" "&amp;TEXT(UUN28-utc_offset/24,"HH")&amp;search_regexp&amp;""""</f>
        <v>#REF!</v>
      </c>
      <c r="UVL28" s="234" t="e">
        <f>astrogrep_path&amp;" /e /r /s /spath="&amp;search_path&amp;" /stypes=""app*"&amp;UUH28&amp;"*"&amp;TEXT(UUO28-utc_offset/24,"YYYYMMDD")&amp;"*"" /stext="" "&amp;TEXT(UUO28-utc_offset/24,"HH")&amp;search_regexp&amp;""""</f>
        <v>#REF!</v>
      </c>
      <c r="UVM28" s="234" t="e">
        <f>astrogrep_path&amp;" /e /r /s /spath="&amp;search_path&amp;" /stypes=""app*"&amp;UUI28&amp;"*"&amp;TEXT(UUP28-utc_offset/24,"YYYYMMDD")&amp;"*"" /stext="" "&amp;TEXT(UUP28-utc_offset/24,"HH")&amp;search_regexp&amp;""""</f>
        <v>#REF!</v>
      </c>
      <c r="UVN28" s="234" t="e">
        <f>astrogrep_path&amp;" /e /r /s /spath="&amp;search_path&amp;" /stypes=""app*"&amp;UUJ28&amp;"*"&amp;TEXT(UUQ28-utc_offset/24,"YYYYMMDD")&amp;"*"" /stext="" "&amp;TEXT(UUQ28-utc_offset/24,"HH")&amp;search_regexp&amp;""""</f>
        <v>#REF!</v>
      </c>
      <c r="UVO28" s="234" t="e">
        <f>astrogrep_path&amp;" /e /r /s /spath="&amp;search_path&amp;" /stypes=""app*"&amp;UUK28&amp;"*"&amp;TEXT(UUR28-utc_offset/24,"YYYYMMDD")&amp;"*"" /stext="" "&amp;TEXT(UUR28-utc_offset/24,"HH")&amp;search_regexp&amp;""""</f>
        <v>#REF!</v>
      </c>
      <c r="UVP28" s="234" t="e">
        <f>astrogrep_path&amp;" /e /r /s /spath="&amp;search_path&amp;" /stypes=""app*"&amp;UUL28&amp;"*"&amp;TEXT(UUS28-utc_offset/24,"YYYYMMDD")&amp;"*"" /stext="" "&amp;TEXT(UUS28-utc_offset/24,"HH")&amp;search_regexp&amp;""""</f>
        <v>#REF!</v>
      </c>
      <c r="UVQ28" s="234" t="e">
        <f>astrogrep_path&amp;" /e /r /s /spath="&amp;search_path&amp;" /stypes=""app*"&amp;UUM28&amp;"*"&amp;TEXT(UUT28-utc_offset/24,"YYYYMMDD")&amp;"*"" /stext="" "&amp;TEXT(UUT28-utc_offset/24,"HH")&amp;search_regexp&amp;""""</f>
        <v>#REF!</v>
      </c>
      <c r="UVR28" s="234" t="e">
        <f>astrogrep_path&amp;" /e /r /s /spath="&amp;search_path&amp;" /stypes=""app*"&amp;UUN28&amp;"*"&amp;TEXT(UUU28-utc_offset/24,"YYYYMMDD")&amp;"*"" /stext="" "&amp;TEXT(UUU28-utc_offset/24,"HH")&amp;search_regexp&amp;""""</f>
        <v>#REF!</v>
      </c>
      <c r="UVS28" s="234" t="e">
        <f>astrogrep_path&amp;" /e /r /s /spath="&amp;search_path&amp;" /stypes=""app*"&amp;UUO28&amp;"*"&amp;TEXT(UUV28-utc_offset/24,"YYYYMMDD")&amp;"*"" /stext="" "&amp;TEXT(UUV28-utc_offset/24,"HH")&amp;search_regexp&amp;""""</f>
        <v>#REF!</v>
      </c>
      <c r="UVT28" s="234" t="e">
        <f>astrogrep_path&amp;" /e /r /s /spath="&amp;search_path&amp;" /stypes=""app*"&amp;UUP28&amp;"*"&amp;TEXT(UUW28-utc_offset/24,"YYYYMMDD")&amp;"*"" /stext="" "&amp;TEXT(UUW28-utc_offset/24,"HH")&amp;search_regexp&amp;""""</f>
        <v>#REF!</v>
      </c>
      <c r="UVU28" s="234" t="e">
        <f>astrogrep_path&amp;" /e /r /s /spath="&amp;search_path&amp;" /stypes=""app*"&amp;UUQ28&amp;"*"&amp;TEXT(UUX28-utc_offset/24,"YYYYMMDD")&amp;"*"" /stext="" "&amp;TEXT(UUX28-utc_offset/24,"HH")&amp;search_regexp&amp;""""</f>
        <v>#REF!</v>
      </c>
      <c r="UVV28" s="234" t="e">
        <f>astrogrep_path&amp;" /e /r /s /spath="&amp;search_path&amp;" /stypes=""app*"&amp;UUR28&amp;"*"&amp;TEXT(UUY28-utc_offset/24,"YYYYMMDD")&amp;"*"" /stext="" "&amp;TEXT(UUY28-utc_offset/24,"HH")&amp;search_regexp&amp;""""</f>
        <v>#REF!</v>
      </c>
      <c r="UVW28" s="234" t="e">
        <f>astrogrep_path&amp;" /e /r /s /spath="&amp;search_path&amp;" /stypes=""app*"&amp;UUS28&amp;"*"&amp;TEXT(UUZ28-utc_offset/24,"YYYYMMDD")&amp;"*"" /stext="" "&amp;TEXT(UUZ28-utc_offset/24,"HH")&amp;search_regexp&amp;""""</f>
        <v>#VALUE!</v>
      </c>
      <c r="UVX28" s="234" t="e">
        <f>astrogrep_path&amp;" /e /r /s /spath="&amp;search_path&amp;" /stypes=""app*"&amp;UUT28&amp;"*"&amp;TEXT(UVA28-utc_offset/24,"YYYYMMDD")&amp;"*"" /stext="" "&amp;TEXT(UVA28-utc_offset/24,"HH")&amp;search_regexp&amp;""""</f>
        <v>#VALUE!</v>
      </c>
      <c r="UVY28" s="234" t="e">
        <f>astrogrep_path&amp;" /e /r /s /spath="&amp;search_path&amp;" /stypes=""app*"&amp;UUU28&amp;"*"&amp;TEXT(UVB28-utc_offset/24,"YYYYMMDD")&amp;"*"" /stext="" "&amp;TEXT(UVB28-utc_offset/24,"HH")&amp;search_regexp&amp;""""</f>
        <v>#REF!</v>
      </c>
      <c r="UVZ28" s="234" t="e">
        <f>astrogrep_path&amp;" /e /r /s /spath="&amp;search_path&amp;" /stypes=""app*"&amp;UUV28&amp;"*"&amp;TEXT(UVC28-utc_offset/24,"YYYYMMDD")&amp;"*"" /stext="" "&amp;TEXT(UVC28-utc_offset/24,"HH")&amp;search_regexp&amp;""""</f>
        <v>#REF!</v>
      </c>
      <c r="UWA28" s="234" t="e">
        <f>astrogrep_path&amp;" /e /r /s /spath="&amp;search_path&amp;" /stypes=""app*"&amp;UUW28&amp;"*"&amp;TEXT(UVD28-utc_offset/24,"YYYYMMDD")&amp;"*"" /stext="" "&amp;TEXT(UVD28-utc_offset/24,"HH")&amp;search_regexp&amp;""""</f>
        <v>#VALUE!</v>
      </c>
      <c r="UWB28" s="234" t="e">
        <f>astrogrep_path&amp;" /e /r /s /spath="&amp;search_path&amp;" /stypes=""app*"&amp;UUX28&amp;"*"&amp;TEXT(UVE28-utc_offset/24,"YYYYMMDD")&amp;"*"" /stext="" "&amp;TEXT(UVE28-utc_offset/24,"HH")&amp;search_regexp&amp;""""</f>
        <v>#VALUE!</v>
      </c>
      <c r="UWC28" s="234" t="e">
        <f>astrogrep_path&amp;" /e /r /s /spath="&amp;search_path&amp;" /stypes=""app*"&amp;UUY28&amp;"*"&amp;TEXT(UVF28-utc_offset/24,"YYYYMMDD")&amp;"*"" /stext="" "&amp;TEXT(UVF28-utc_offset/24,"HH")&amp;search_regexp&amp;""""</f>
        <v>#VALUE!</v>
      </c>
      <c r="UWD28" s="234" t="e">
        <f>astrogrep_path&amp;" /e /r /s /spath="&amp;search_path&amp;" /stypes=""app*"&amp;UUZ28&amp;"*"&amp;TEXT(UVG28-utc_offset/24,"YYYYMMDD")&amp;"*"" /stext="" "&amp;TEXT(UVG28-utc_offset/24,"HH")&amp;search_regexp&amp;""""</f>
        <v>#VALUE!</v>
      </c>
      <c r="UWE28" s="234" t="e">
        <f>astrogrep_path&amp;" /e /r /s /spath="&amp;search_path&amp;" /stypes=""app*"&amp;UVA28&amp;"*"&amp;TEXT(UVH28-utc_offset/24,"YYYYMMDD")&amp;"*"" /stext="" "&amp;TEXT(UVH28-utc_offset/24,"HH")&amp;search_regexp&amp;""""</f>
        <v>#VALUE!</v>
      </c>
      <c r="UWF28" s="234" t="e">
        <f>astrogrep_path&amp;" /e /r /s /spath="&amp;search_path&amp;" /stypes=""app*"&amp;UVB28&amp;"*"&amp;TEXT(UVI28-utc_offset/24,"YYYYMMDD")&amp;"*"" /stext="" "&amp;TEXT(UVI28-utc_offset/24,"HH")&amp;search_regexp&amp;""""</f>
        <v>#REF!</v>
      </c>
      <c r="UWG28" s="234" t="e">
        <f>astrogrep_path&amp;" /e /r /s /spath="&amp;search_path&amp;" /stypes=""app*"&amp;UVC28&amp;"*"&amp;TEXT(UVJ28-utc_offset/24,"YYYYMMDD")&amp;"*"" /stext="" "&amp;TEXT(UVJ28-utc_offset/24,"HH")&amp;search_regexp&amp;""""</f>
        <v>#REF!</v>
      </c>
      <c r="UWH28" s="234" t="e">
        <f>astrogrep_path&amp;" /e /r /s /spath="&amp;search_path&amp;" /stypes=""app*"&amp;UVD28&amp;"*"&amp;TEXT(UVK28-utc_offset/24,"YYYYMMDD")&amp;"*"" /stext="" "&amp;TEXT(UVK28-utc_offset/24,"HH")&amp;search_regexp&amp;""""</f>
        <v>#REF!</v>
      </c>
      <c r="UWI28" s="234" t="e">
        <f>astrogrep_path&amp;" /e /r /s /spath="&amp;search_path&amp;" /stypes=""app*"&amp;UVE28&amp;"*"&amp;TEXT(UVL28-utc_offset/24,"YYYYMMDD")&amp;"*"" /stext="" "&amp;TEXT(UVL28-utc_offset/24,"HH")&amp;search_regexp&amp;""""</f>
        <v>#REF!</v>
      </c>
      <c r="UWJ28" s="234" t="e">
        <f>astrogrep_path&amp;" /e /r /s /spath="&amp;search_path&amp;" /stypes=""app*"&amp;UVF28&amp;"*"&amp;TEXT(UVM28-utc_offset/24,"YYYYMMDD")&amp;"*"" /stext="" "&amp;TEXT(UVM28-utc_offset/24,"HH")&amp;search_regexp&amp;""""</f>
        <v>#REF!</v>
      </c>
      <c r="UWK28" s="234" t="e">
        <f>astrogrep_path&amp;" /e /r /s /spath="&amp;search_path&amp;" /stypes=""app*"&amp;UVG28&amp;"*"&amp;TEXT(UVN28-utc_offset/24,"YYYYMMDD")&amp;"*"" /stext="" "&amp;TEXT(UVN28-utc_offset/24,"HH")&amp;search_regexp&amp;""""</f>
        <v>#REF!</v>
      </c>
      <c r="UWL28" s="234" t="e">
        <f>astrogrep_path&amp;" /e /r /s /spath="&amp;search_path&amp;" /stypes=""app*"&amp;UVH28&amp;"*"&amp;TEXT(UVO28-utc_offset/24,"YYYYMMDD")&amp;"*"" /stext="" "&amp;TEXT(UVO28-utc_offset/24,"HH")&amp;search_regexp&amp;""""</f>
        <v>#REF!</v>
      </c>
      <c r="UWM28" s="234" t="e">
        <f>astrogrep_path&amp;" /e /r /s /spath="&amp;search_path&amp;" /stypes=""app*"&amp;UVI28&amp;"*"&amp;TEXT(UVP28-utc_offset/24,"YYYYMMDD")&amp;"*"" /stext="" "&amp;TEXT(UVP28-utc_offset/24,"HH")&amp;search_regexp&amp;""""</f>
        <v>#REF!</v>
      </c>
      <c r="UWN28" s="234" t="e">
        <f>astrogrep_path&amp;" /e /r /s /spath="&amp;search_path&amp;" /stypes=""app*"&amp;UVJ28&amp;"*"&amp;TEXT(UVQ28-utc_offset/24,"YYYYMMDD")&amp;"*"" /stext="" "&amp;TEXT(UVQ28-utc_offset/24,"HH")&amp;search_regexp&amp;""""</f>
        <v>#REF!</v>
      </c>
      <c r="UWO28" s="234" t="e">
        <f>astrogrep_path&amp;" /e /r /s /spath="&amp;search_path&amp;" /stypes=""app*"&amp;UVK28&amp;"*"&amp;TEXT(UVR28-utc_offset/24,"YYYYMMDD")&amp;"*"" /stext="" "&amp;TEXT(UVR28-utc_offset/24,"HH")&amp;search_regexp&amp;""""</f>
        <v>#REF!</v>
      </c>
      <c r="UWP28" s="234" t="e">
        <f>astrogrep_path&amp;" /e /r /s /spath="&amp;search_path&amp;" /stypes=""app*"&amp;UVL28&amp;"*"&amp;TEXT(UVS28-utc_offset/24,"YYYYMMDD")&amp;"*"" /stext="" "&amp;TEXT(UVS28-utc_offset/24,"HH")&amp;search_regexp&amp;""""</f>
        <v>#REF!</v>
      </c>
      <c r="UWQ28" s="234" t="e">
        <f>astrogrep_path&amp;" /e /r /s /spath="&amp;search_path&amp;" /stypes=""app*"&amp;UVM28&amp;"*"&amp;TEXT(UVT28-utc_offset/24,"YYYYMMDD")&amp;"*"" /stext="" "&amp;TEXT(UVT28-utc_offset/24,"HH")&amp;search_regexp&amp;""""</f>
        <v>#REF!</v>
      </c>
      <c r="UWR28" s="234" t="e">
        <f>astrogrep_path&amp;" /e /r /s /spath="&amp;search_path&amp;" /stypes=""app*"&amp;UVN28&amp;"*"&amp;TEXT(UVU28-utc_offset/24,"YYYYMMDD")&amp;"*"" /stext="" "&amp;TEXT(UVU28-utc_offset/24,"HH")&amp;search_regexp&amp;""""</f>
        <v>#REF!</v>
      </c>
      <c r="UWS28" s="234" t="e">
        <f>astrogrep_path&amp;" /e /r /s /spath="&amp;search_path&amp;" /stypes=""app*"&amp;UVO28&amp;"*"&amp;TEXT(UVV28-utc_offset/24,"YYYYMMDD")&amp;"*"" /stext="" "&amp;TEXT(UVV28-utc_offset/24,"HH")&amp;search_regexp&amp;""""</f>
        <v>#REF!</v>
      </c>
      <c r="UWT28" s="234" t="e">
        <f>astrogrep_path&amp;" /e /r /s /spath="&amp;search_path&amp;" /stypes=""app*"&amp;UVP28&amp;"*"&amp;TEXT(UVW28-utc_offset/24,"YYYYMMDD")&amp;"*"" /stext="" "&amp;TEXT(UVW28-utc_offset/24,"HH")&amp;search_regexp&amp;""""</f>
        <v>#REF!</v>
      </c>
      <c r="UWU28" s="234" t="e">
        <f>astrogrep_path&amp;" /e /r /s /spath="&amp;search_path&amp;" /stypes=""app*"&amp;UVQ28&amp;"*"&amp;TEXT(UVX28-utc_offset/24,"YYYYMMDD")&amp;"*"" /stext="" "&amp;TEXT(UVX28-utc_offset/24,"HH")&amp;search_regexp&amp;""""</f>
        <v>#REF!</v>
      </c>
      <c r="UWV28" s="234" t="e">
        <f>astrogrep_path&amp;" /e /r /s /spath="&amp;search_path&amp;" /stypes=""app*"&amp;UVR28&amp;"*"&amp;TEXT(UVY28-utc_offset/24,"YYYYMMDD")&amp;"*"" /stext="" "&amp;TEXT(UVY28-utc_offset/24,"HH")&amp;search_regexp&amp;""""</f>
        <v>#REF!</v>
      </c>
      <c r="UWW28" s="234" t="e">
        <f>astrogrep_path&amp;" /e /r /s /spath="&amp;search_path&amp;" /stypes=""app*"&amp;UVS28&amp;"*"&amp;TEXT(UVZ28-utc_offset/24,"YYYYMMDD")&amp;"*"" /stext="" "&amp;TEXT(UVZ28-utc_offset/24,"HH")&amp;search_regexp&amp;""""</f>
        <v>#REF!</v>
      </c>
      <c r="UWX28" s="234" t="e">
        <f>astrogrep_path&amp;" /e /r /s /spath="&amp;search_path&amp;" /stypes=""app*"&amp;UVT28&amp;"*"&amp;TEXT(UWA28-utc_offset/24,"YYYYMMDD")&amp;"*"" /stext="" "&amp;TEXT(UWA28-utc_offset/24,"HH")&amp;search_regexp&amp;""""</f>
        <v>#REF!</v>
      </c>
      <c r="UWY28" s="234" t="e">
        <f>astrogrep_path&amp;" /e /r /s /spath="&amp;search_path&amp;" /stypes=""app*"&amp;UVU28&amp;"*"&amp;TEXT(UWB28-utc_offset/24,"YYYYMMDD")&amp;"*"" /stext="" "&amp;TEXT(UWB28-utc_offset/24,"HH")&amp;search_regexp&amp;""""</f>
        <v>#REF!</v>
      </c>
      <c r="UWZ28" s="234" t="e">
        <f>astrogrep_path&amp;" /e /r /s /spath="&amp;search_path&amp;" /stypes=""app*"&amp;UVV28&amp;"*"&amp;TEXT(UWC28-utc_offset/24,"YYYYMMDD")&amp;"*"" /stext="" "&amp;TEXT(UWC28-utc_offset/24,"HH")&amp;search_regexp&amp;""""</f>
        <v>#REF!</v>
      </c>
      <c r="UXA28" s="234" t="e">
        <f>astrogrep_path&amp;" /e /r /s /spath="&amp;search_path&amp;" /stypes=""app*"&amp;UVW28&amp;"*"&amp;TEXT(UWD28-utc_offset/24,"YYYYMMDD")&amp;"*"" /stext="" "&amp;TEXT(UWD28-utc_offset/24,"HH")&amp;search_regexp&amp;""""</f>
        <v>#VALUE!</v>
      </c>
      <c r="UXB28" s="234" t="e">
        <f>astrogrep_path&amp;" /e /r /s /spath="&amp;search_path&amp;" /stypes=""app*"&amp;UVX28&amp;"*"&amp;TEXT(UWE28-utc_offset/24,"YYYYMMDD")&amp;"*"" /stext="" "&amp;TEXT(UWE28-utc_offset/24,"HH")&amp;search_regexp&amp;""""</f>
        <v>#VALUE!</v>
      </c>
      <c r="UXC28" s="234" t="e">
        <f>astrogrep_path&amp;" /e /r /s /spath="&amp;search_path&amp;" /stypes=""app*"&amp;UVY28&amp;"*"&amp;TEXT(UWF28-utc_offset/24,"YYYYMMDD")&amp;"*"" /stext="" "&amp;TEXT(UWF28-utc_offset/24,"HH")&amp;search_regexp&amp;""""</f>
        <v>#REF!</v>
      </c>
      <c r="UXD28" s="234" t="e">
        <f>astrogrep_path&amp;" /e /r /s /spath="&amp;search_path&amp;" /stypes=""app*"&amp;UVZ28&amp;"*"&amp;TEXT(UWG28-utc_offset/24,"YYYYMMDD")&amp;"*"" /stext="" "&amp;TEXT(UWG28-utc_offset/24,"HH")&amp;search_regexp&amp;""""</f>
        <v>#REF!</v>
      </c>
      <c r="UXE28" s="234" t="e">
        <f>astrogrep_path&amp;" /e /r /s /spath="&amp;search_path&amp;" /stypes=""app*"&amp;UWA28&amp;"*"&amp;TEXT(UWH28-utc_offset/24,"YYYYMMDD")&amp;"*"" /stext="" "&amp;TEXT(UWH28-utc_offset/24,"HH")&amp;search_regexp&amp;""""</f>
        <v>#VALUE!</v>
      </c>
      <c r="UXF28" s="234" t="e">
        <f>astrogrep_path&amp;" /e /r /s /spath="&amp;search_path&amp;" /stypes=""app*"&amp;UWB28&amp;"*"&amp;TEXT(UWI28-utc_offset/24,"YYYYMMDD")&amp;"*"" /stext="" "&amp;TEXT(UWI28-utc_offset/24,"HH")&amp;search_regexp&amp;""""</f>
        <v>#VALUE!</v>
      </c>
      <c r="UXG28" s="234" t="e">
        <f>astrogrep_path&amp;" /e /r /s /spath="&amp;search_path&amp;" /stypes=""app*"&amp;UWC28&amp;"*"&amp;TEXT(UWJ28-utc_offset/24,"YYYYMMDD")&amp;"*"" /stext="" "&amp;TEXT(UWJ28-utc_offset/24,"HH")&amp;search_regexp&amp;""""</f>
        <v>#VALUE!</v>
      </c>
      <c r="UXH28" s="234" t="e">
        <f>astrogrep_path&amp;" /e /r /s /spath="&amp;search_path&amp;" /stypes=""app*"&amp;UWD28&amp;"*"&amp;TEXT(UWK28-utc_offset/24,"YYYYMMDD")&amp;"*"" /stext="" "&amp;TEXT(UWK28-utc_offset/24,"HH")&amp;search_regexp&amp;""""</f>
        <v>#VALUE!</v>
      </c>
      <c r="UXI28" s="234" t="e">
        <f>astrogrep_path&amp;" /e /r /s /spath="&amp;search_path&amp;" /stypes=""app*"&amp;UWE28&amp;"*"&amp;TEXT(UWL28-utc_offset/24,"YYYYMMDD")&amp;"*"" /stext="" "&amp;TEXT(UWL28-utc_offset/24,"HH")&amp;search_regexp&amp;""""</f>
        <v>#VALUE!</v>
      </c>
      <c r="UXJ28" s="234" t="e">
        <f>astrogrep_path&amp;" /e /r /s /spath="&amp;search_path&amp;" /stypes=""app*"&amp;UWF28&amp;"*"&amp;TEXT(UWM28-utc_offset/24,"YYYYMMDD")&amp;"*"" /stext="" "&amp;TEXT(UWM28-utc_offset/24,"HH")&amp;search_regexp&amp;""""</f>
        <v>#REF!</v>
      </c>
      <c r="UXK28" s="234" t="e">
        <f>astrogrep_path&amp;" /e /r /s /spath="&amp;search_path&amp;" /stypes=""app*"&amp;UWG28&amp;"*"&amp;TEXT(UWN28-utc_offset/24,"YYYYMMDD")&amp;"*"" /stext="" "&amp;TEXT(UWN28-utc_offset/24,"HH")&amp;search_regexp&amp;""""</f>
        <v>#REF!</v>
      </c>
      <c r="UXL28" s="234" t="e">
        <f>astrogrep_path&amp;" /e /r /s /spath="&amp;search_path&amp;" /stypes=""app*"&amp;UWH28&amp;"*"&amp;TEXT(UWO28-utc_offset/24,"YYYYMMDD")&amp;"*"" /stext="" "&amp;TEXT(UWO28-utc_offset/24,"HH")&amp;search_regexp&amp;""""</f>
        <v>#REF!</v>
      </c>
      <c r="UXM28" s="234" t="e">
        <f>astrogrep_path&amp;" /e /r /s /spath="&amp;search_path&amp;" /stypes=""app*"&amp;UWI28&amp;"*"&amp;TEXT(UWP28-utc_offset/24,"YYYYMMDD")&amp;"*"" /stext="" "&amp;TEXT(UWP28-utc_offset/24,"HH")&amp;search_regexp&amp;""""</f>
        <v>#REF!</v>
      </c>
      <c r="UXN28" s="234" t="e">
        <f>astrogrep_path&amp;" /e /r /s /spath="&amp;search_path&amp;" /stypes=""app*"&amp;UWJ28&amp;"*"&amp;TEXT(UWQ28-utc_offset/24,"YYYYMMDD")&amp;"*"" /stext="" "&amp;TEXT(UWQ28-utc_offset/24,"HH")&amp;search_regexp&amp;""""</f>
        <v>#REF!</v>
      </c>
      <c r="UXO28" s="234" t="e">
        <f>astrogrep_path&amp;" /e /r /s /spath="&amp;search_path&amp;" /stypes=""app*"&amp;UWK28&amp;"*"&amp;TEXT(UWR28-utc_offset/24,"YYYYMMDD")&amp;"*"" /stext="" "&amp;TEXT(UWR28-utc_offset/24,"HH")&amp;search_regexp&amp;""""</f>
        <v>#REF!</v>
      </c>
      <c r="UXP28" s="234" t="e">
        <f>astrogrep_path&amp;" /e /r /s /spath="&amp;search_path&amp;" /stypes=""app*"&amp;UWL28&amp;"*"&amp;TEXT(UWS28-utc_offset/24,"YYYYMMDD")&amp;"*"" /stext="" "&amp;TEXT(UWS28-utc_offset/24,"HH")&amp;search_regexp&amp;""""</f>
        <v>#REF!</v>
      </c>
      <c r="UXQ28" s="234" t="e">
        <f>astrogrep_path&amp;" /e /r /s /spath="&amp;search_path&amp;" /stypes=""app*"&amp;UWM28&amp;"*"&amp;TEXT(UWT28-utc_offset/24,"YYYYMMDD")&amp;"*"" /stext="" "&amp;TEXT(UWT28-utc_offset/24,"HH")&amp;search_regexp&amp;""""</f>
        <v>#REF!</v>
      </c>
      <c r="UXR28" s="234" t="e">
        <f>astrogrep_path&amp;" /e /r /s /spath="&amp;search_path&amp;" /stypes=""app*"&amp;UWN28&amp;"*"&amp;TEXT(UWU28-utc_offset/24,"YYYYMMDD")&amp;"*"" /stext="" "&amp;TEXT(UWU28-utc_offset/24,"HH")&amp;search_regexp&amp;""""</f>
        <v>#REF!</v>
      </c>
      <c r="UXS28" s="234" t="e">
        <f>astrogrep_path&amp;" /e /r /s /spath="&amp;search_path&amp;" /stypes=""app*"&amp;UWO28&amp;"*"&amp;TEXT(UWV28-utc_offset/24,"YYYYMMDD")&amp;"*"" /stext="" "&amp;TEXT(UWV28-utc_offset/24,"HH")&amp;search_regexp&amp;""""</f>
        <v>#REF!</v>
      </c>
      <c r="UXT28" s="234" t="e">
        <f>astrogrep_path&amp;" /e /r /s /spath="&amp;search_path&amp;" /stypes=""app*"&amp;UWP28&amp;"*"&amp;TEXT(UWW28-utc_offset/24,"YYYYMMDD")&amp;"*"" /stext="" "&amp;TEXT(UWW28-utc_offset/24,"HH")&amp;search_regexp&amp;""""</f>
        <v>#REF!</v>
      </c>
      <c r="UXU28" s="234" t="e">
        <f>astrogrep_path&amp;" /e /r /s /spath="&amp;search_path&amp;" /stypes=""app*"&amp;UWQ28&amp;"*"&amp;TEXT(UWX28-utc_offset/24,"YYYYMMDD")&amp;"*"" /stext="" "&amp;TEXT(UWX28-utc_offset/24,"HH")&amp;search_regexp&amp;""""</f>
        <v>#REF!</v>
      </c>
      <c r="UXV28" s="234" t="e">
        <f>astrogrep_path&amp;" /e /r /s /spath="&amp;search_path&amp;" /stypes=""app*"&amp;UWR28&amp;"*"&amp;TEXT(UWY28-utc_offset/24,"YYYYMMDD")&amp;"*"" /stext="" "&amp;TEXT(UWY28-utc_offset/24,"HH")&amp;search_regexp&amp;""""</f>
        <v>#REF!</v>
      </c>
      <c r="UXW28" s="234" t="e">
        <f>astrogrep_path&amp;" /e /r /s /spath="&amp;search_path&amp;" /stypes=""app*"&amp;UWS28&amp;"*"&amp;TEXT(UWZ28-utc_offset/24,"YYYYMMDD")&amp;"*"" /stext="" "&amp;TEXT(UWZ28-utc_offset/24,"HH")&amp;search_regexp&amp;""""</f>
        <v>#REF!</v>
      </c>
      <c r="UXX28" s="234" t="e">
        <f>astrogrep_path&amp;" /e /r /s /spath="&amp;search_path&amp;" /stypes=""app*"&amp;UWT28&amp;"*"&amp;TEXT(UXA28-utc_offset/24,"YYYYMMDD")&amp;"*"" /stext="" "&amp;TEXT(UXA28-utc_offset/24,"HH")&amp;search_regexp&amp;""""</f>
        <v>#REF!</v>
      </c>
      <c r="UXY28" s="234" t="e">
        <f>astrogrep_path&amp;" /e /r /s /spath="&amp;search_path&amp;" /stypes=""app*"&amp;UWU28&amp;"*"&amp;TEXT(UXB28-utc_offset/24,"YYYYMMDD")&amp;"*"" /stext="" "&amp;TEXT(UXB28-utc_offset/24,"HH")&amp;search_regexp&amp;""""</f>
        <v>#REF!</v>
      </c>
      <c r="UXZ28" s="234" t="e">
        <f>astrogrep_path&amp;" /e /r /s /spath="&amp;search_path&amp;" /stypes=""app*"&amp;UWV28&amp;"*"&amp;TEXT(UXC28-utc_offset/24,"YYYYMMDD")&amp;"*"" /stext="" "&amp;TEXT(UXC28-utc_offset/24,"HH")&amp;search_regexp&amp;""""</f>
        <v>#REF!</v>
      </c>
      <c r="UYA28" s="234" t="e">
        <f>astrogrep_path&amp;" /e /r /s /spath="&amp;search_path&amp;" /stypes=""app*"&amp;UWW28&amp;"*"&amp;TEXT(UXD28-utc_offset/24,"YYYYMMDD")&amp;"*"" /stext="" "&amp;TEXT(UXD28-utc_offset/24,"HH")&amp;search_regexp&amp;""""</f>
        <v>#REF!</v>
      </c>
      <c r="UYB28" s="234" t="e">
        <f>astrogrep_path&amp;" /e /r /s /spath="&amp;search_path&amp;" /stypes=""app*"&amp;UWX28&amp;"*"&amp;TEXT(UXE28-utc_offset/24,"YYYYMMDD")&amp;"*"" /stext="" "&amp;TEXT(UXE28-utc_offset/24,"HH")&amp;search_regexp&amp;""""</f>
        <v>#REF!</v>
      </c>
      <c r="UYC28" s="234" t="e">
        <f>astrogrep_path&amp;" /e /r /s /spath="&amp;search_path&amp;" /stypes=""app*"&amp;UWY28&amp;"*"&amp;TEXT(UXF28-utc_offset/24,"YYYYMMDD")&amp;"*"" /stext="" "&amp;TEXT(UXF28-utc_offset/24,"HH")&amp;search_regexp&amp;""""</f>
        <v>#REF!</v>
      </c>
      <c r="UYD28" s="234" t="e">
        <f>astrogrep_path&amp;" /e /r /s /spath="&amp;search_path&amp;" /stypes=""app*"&amp;UWZ28&amp;"*"&amp;TEXT(UXG28-utc_offset/24,"YYYYMMDD")&amp;"*"" /stext="" "&amp;TEXT(UXG28-utc_offset/24,"HH")&amp;search_regexp&amp;""""</f>
        <v>#REF!</v>
      </c>
      <c r="UYE28" s="234" t="e">
        <f>astrogrep_path&amp;" /e /r /s /spath="&amp;search_path&amp;" /stypes=""app*"&amp;UXA28&amp;"*"&amp;TEXT(UXH28-utc_offset/24,"YYYYMMDD")&amp;"*"" /stext="" "&amp;TEXT(UXH28-utc_offset/24,"HH")&amp;search_regexp&amp;""""</f>
        <v>#VALUE!</v>
      </c>
      <c r="UYF28" s="234" t="e">
        <f>astrogrep_path&amp;" /e /r /s /spath="&amp;search_path&amp;" /stypes=""app*"&amp;UXB28&amp;"*"&amp;TEXT(UXI28-utc_offset/24,"YYYYMMDD")&amp;"*"" /stext="" "&amp;TEXT(UXI28-utc_offset/24,"HH")&amp;search_regexp&amp;""""</f>
        <v>#VALUE!</v>
      </c>
      <c r="UYG28" s="234" t="e">
        <f>astrogrep_path&amp;" /e /r /s /spath="&amp;search_path&amp;" /stypes=""app*"&amp;UXC28&amp;"*"&amp;TEXT(UXJ28-utc_offset/24,"YYYYMMDD")&amp;"*"" /stext="" "&amp;TEXT(UXJ28-utc_offset/24,"HH")&amp;search_regexp&amp;""""</f>
        <v>#REF!</v>
      </c>
      <c r="UYH28" s="234" t="e">
        <f>astrogrep_path&amp;" /e /r /s /spath="&amp;search_path&amp;" /stypes=""app*"&amp;UXD28&amp;"*"&amp;TEXT(UXK28-utc_offset/24,"YYYYMMDD")&amp;"*"" /stext="" "&amp;TEXT(UXK28-utc_offset/24,"HH")&amp;search_regexp&amp;""""</f>
        <v>#REF!</v>
      </c>
      <c r="UYI28" s="234" t="e">
        <f>astrogrep_path&amp;" /e /r /s /spath="&amp;search_path&amp;" /stypes=""app*"&amp;UXE28&amp;"*"&amp;TEXT(UXL28-utc_offset/24,"YYYYMMDD")&amp;"*"" /stext="" "&amp;TEXT(UXL28-utc_offset/24,"HH")&amp;search_regexp&amp;""""</f>
        <v>#VALUE!</v>
      </c>
      <c r="UYJ28" s="234" t="e">
        <f>astrogrep_path&amp;" /e /r /s /spath="&amp;search_path&amp;" /stypes=""app*"&amp;UXF28&amp;"*"&amp;TEXT(UXM28-utc_offset/24,"YYYYMMDD")&amp;"*"" /stext="" "&amp;TEXT(UXM28-utc_offset/24,"HH")&amp;search_regexp&amp;""""</f>
        <v>#VALUE!</v>
      </c>
      <c r="UYK28" s="234" t="e">
        <f>astrogrep_path&amp;" /e /r /s /spath="&amp;search_path&amp;" /stypes=""app*"&amp;UXG28&amp;"*"&amp;TEXT(UXN28-utc_offset/24,"YYYYMMDD")&amp;"*"" /stext="" "&amp;TEXT(UXN28-utc_offset/24,"HH")&amp;search_regexp&amp;""""</f>
        <v>#VALUE!</v>
      </c>
      <c r="UYL28" s="234" t="e">
        <f>astrogrep_path&amp;" /e /r /s /spath="&amp;search_path&amp;" /stypes=""app*"&amp;UXH28&amp;"*"&amp;TEXT(UXO28-utc_offset/24,"YYYYMMDD")&amp;"*"" /stext="" "&amp;TEXT(UXO28-utc_offset/24,"HH")&amp;search_regexp&amp;""""</f>
        <v>#VALUE!</v>
      </c>
      <c r="UYM28" s="234" t="e">
        <f>astrogrep_path&amp;" /e /r /s /spath="&amp;search_path&amp;" /stypes=""app*"&amp;UXI28&amp;"*"&amp;TEXT(UXP28-utc_offset/24,"YYYYMMDD")&amp;"*"" /stext="" "&amp;TEXT(UXP28-utc_offset/24,"HH")&amp;search_regexp&amp;""""</f>
        <v>#VALUE!</v>
      </c>
      <c r="UYN28" s="234" t="e">
        <f>astrogrep_path&amp;" /e /r /s /spath="&amp;search_path&amp;" /stypes=""app*"&amp;UXJ28&amp;"*"&amp;TEXT(UXQ28-utc_offset/24,"YYYYMMDD")&amp;"*"" /stext="" "&amp;TEXT(UXQ28-utc_offset/24,"HH")&amp;search_regexp&amp;""""</f>
        <v>#REF!</v>
      </c>
      <c r="UYO28" s="234" t="e">
        <f>astrogrep_path&amp;" /e /r /s /spath="&amp;search_path&amp;" /stypes=""app*"&amp;UXK28&amp;"*"&amp;TEXT(UXR28-utc_offset/24,"YYYYMMDD")&amp;"*"" /stext="" "&amp;TEXT(UXR28-utc_offset/24,"HH")&amp;search_regexp&amp;""""</f>
        <v>#REF!</v>
      </c>
      <c r="UYP28" s="234" t="e">
        <f>astrogrep_path&amp;" /e /r /s /spath="&amp;search_path&amp;" /stypes=""app*"&amp;UXL28&amp;"*"&amp;TEXT(UXS28-utc_offset/24,"YYYYMMDD")&amp;"*"" /stext="" "&amp;TEXT(UXS28-utc_offset/24,"HH")&amp;search_regexp&amp;""""</f>
        <v>#REF!</v>
      </c>
      <c r="UYQ28" s="234" t="e">
        <f>astrogrep_path&amp;" /e /r /s /spath="&amp;search_path&amp;" /stypes=""app*"&amp;UXM28&amp;"*"&amp;TEXT(UXT28-utc_offset/24,"YYYYMMDD")&amp;"*"" /stext="" "&amp;TEXT(UXT28-utc_offset/24,"HH")&amp;search_regexp&amp;""""</f>
        <v>#REF!</v>
      </c>
      <c r="UYR28" s="234" t="e">
        <f>astrogrep_path&amp;" /e /r /s /spath="&amp;search_path&amp;" /stypes=""app*"&amp;UXN28&amp;"*"&amp;TEXT(UXU28-utc_offset/24,"YYYYMMDD")&amp;"*"" /stext="" "&amp;TEXT(UXU28-utc_offset/24,"HH")&amp;search_regexp&amp;""""</f>
        <v>#REF!</v>
      </c>
      <c r="UYS28" s="234" t="e">
        <f>astrogrep_path&amp;" /e /r /s /spath="&amp;search_path&amp;" /stypes=""app*"&amp;UXO28&amp;"*"&amp;TEXT(UXV28-utc_offset/24,"YYYYMMDD")&amp;"*"" /stext="" "&amp;TEXT(UXV28-utc_offset/24,"HH")&amp;search_regexp&amp;""""</f>
        <v>#REF!</v>
      </c>
      <c r="UYT28" s="234" t="e">
        <f>astrogrep_path&amp;" /e /r /s /spath="&amp;search_path&amp;" /stypes=""app*"&amp;UXP28&amp;"*"&amp;TEXT(UXW28-utc_offset/24,"YYYYMMDD")&amp;"*"" /stext="" "&amp;TEXT(UXW28-utc_offset/24,"HH")&amp;search_regexp&amp;""""</f>
        <v>#REF!</v>
      </c>
      <c r="UYU28" s="234" t="e">
        <f>astrogrep_path&amp;" /e /r /s /spath="&amp;search_path&amp;" /stypes=""app*"&amp;UXQ28&amp;"*"&amp;TEXT(UXX28-utc_offset/24,"YYYYMMDD")&amp;"*"" /stext="" "&amp;TEXT(UXX28-utc_offset/24,"HH")&amp;search_regexp&amp;""""</f>
        <v>#REF!</v>
      </c>
      <c r="UYV28" s="234" t="e">
        <f>astrogrep_path&amp;" /e /r /s /spath="&amp;search_path&amp;" /stypes=""app*"&amp;UXR28&amp;"*"&amp;TEXT(UXY28-utc_offset/24,"YYYYMMDD")&amp;"*"" /stext="" "&amp;TEXT(UXY28-utc_offset/24,"HH")&amp;search_regexp&amp;""""</f>
        <v>#REF!</v>
      </c>
      <c r="UYW28" s="234" t="e">
        <f>astrogrep_path&amp;" /e /r /s /spath="&amp;search_path&amp;" /stypes=""app*"&amp;UXS28&amp;"*"&amp;TEXT(UXZ28-utc_offset/24,"YYYYMMDD")&amp;"*"" /stext="" "&amp;TEXT(UXZ28-utc_offset/24,"HH")&amp;search_regexp&amp;""""</f>
        <v>#REF!</v>
      </c>
      <c r="UYX28" s="234" t="e">
        <f>astrogrep_path&amp;" /e /r /s /spath="&amp;search_path&amp;" /stypes=""app*"&amp;UXT28&amp;"*"&amp;TEXT(UYA28-utc_offset/24,"YYYYMMDD")&amp;"*"" /stext="" "&amp;TEXT(UYA28-utc_offset/24,"HH")&amp;search_regexp&amp;""""</f>
        <v>#REF!</v>
      </c>
      <c r="UYY28" s="234" t="e">
        <f>astrogrep_path&amp;" /e /r /s /spath="&amp;search_path&amp;" /stypes=""app*"&amp;UXU28&amp;"*"&amp;TEXT(UYB28-utc_offset/24,"YYYYMMDD")&amp;"*"" /stext="" "&amp;TEXT(UYB28-utc_offset/24,"HH")&amp;search_regexp&amp;""""</f>
        <v>#REF!</v>
      </c>
      <c r="UYZ28" s="234" t="e">
        <f>astrogrep_path&amp;" /e /r /s /spath="&amp;search_path&amp;" /stypes=""app*"&amp;UXV28&amp;"*"&amp;TEXT(UYC28-utc_offset/24,"YYYYMMDD")&amp;"*"" /stext="" "&amp;TEXT(UYC28-utc_offset/24,"HH")&amp;search_regexp&amp;""""</f>
        <v>#REF!</v>
      </c>
      <c r="UZA28" s="234" t="e">
        <f>astrogrep_path&amp;" /e /r /s /spath="&amp;search_path&amp;" /stypes=""app*"&amp;UXW28&amp;"*"&amp;TEXT(UYD28-utc_offset/24,"YYYYMMDD")&amp;"*"" /stext="" "&amp;TEXT(UYD28-utc_offset/24,"HH")&amp;search_regexp&amp;""""</f>
        <v>#REF!</v>
      </c>
      <c r="UZB28" s="234" t="e">
        <f>astrogrep_path&amp;" /e /r /s /spath="&amp;search_path&amp;" /stypes=""app*"&amp;UXX28&amp;"*"&amp;TEXT(UYE28-utc_offset/24,"YYYYMMDD")&amp;"*"" /stext="" "&amp;TEXT(UYE28-utc_offset/24,"HH")&amp;search_regexp&amp;""""</f>
        <v>#REF!</v>
      </c>
      <c r="UZC28" s="234" t="e">
        <f>astrogrep_path&amp;" /e /r /s /spath="&amp;search_path&amp;" /stypes=""app*"&amp;UXY28&amp;"*"&amp;TEXT(UYF28-utc_offset/24,"YYYYMMDD")&amp;"*"" /stext="" "&amp;TEXT(UYF28-utc_offset/24,"HH")&amp;search_regexp&amp;""""</f>
        <v>#REF!</v>
      </c>
      <c r="UZD28" s="234" t="e">
        <f>astrogrep_path&amp;" /e /r /s /spath="&amp;search_path&amp;" /stypes=""app*"&amp;UXZ28&amp;"*"&amp;TEXT(UYG28-utc_offset/24,"YYYYMMDD")&amp;"*"" /stext="" "&amp;TEXT(UYG28-utc_offset/24,"HH")&amp;search_regexp&amp;""""</f>
        <v>#REF!</v>
      </c>
      <c r="UZE28" s="234" t="e">
        <f>astrogrep_path&amp;" /e /r /s /spath="&amp;search_path&amp;" /stypes=""app*"&amp;UYA28&amp;"*"&amp;TEXT(UYH28-utc_offset/24,"YYYYMMDD")&amp;"*"" /stext="" "&amp;TEXT(UYH28-utc_offset/24,"HH")&amp;search_regexp&amp;""""</f>
        <v>#REF!</v>
      </c>
      <c r="UZF28" s="234" t="e">
        <f>astrogrep_path&amp;" /e /r /s /spath="&amp;search_path&amp;" /stypes=""app*"&amp;UYB28&amp;"*"&amp;TEXT(UYI28-utc_offset/24,"YYYYMMDD")&amp;"*"" /stext="" "&amp;TEXT(UYI28-utc_offset/24,"HH")&amp;search_regexp&amp;""""</f>
        <v>#REF!</v>
      </c>
      <c r="UZG28" s="234" t="e">
        <f>astrogrep_path&amp;" /e /r /s /spath="&amp;search_path&amp;" /stypes=""app*"&amp;UYC28&amp;"*"&amp;TEXT(UYJ28-utc_offset/24,"YYYYMMDD")&amp;"*"" /stext="" "&amp;TEXT(UYJ28-utc_offset/24,"HH")&amp;search_regexp&amp;""""</f>
        <v>#REF!</v>
      </c>
      <c r="UZH28" s="234" t="e">
        <f>astrogrep_path&amp;" /e /r /s /spath="&amp;search_path&amp;" /stypes=""app*"&amp;UYD28&amp;"*"&amp;TEXT(UYK28-utc_offset/24,"YYYYMMDD")&amp;"*"" /stext="" "&amp;TEXT(UYK28-utc_offset/24,"HH")&amp;search_regexp&amp;""""</f>
        <v>#REF!</v>
      </c>
      <c r="UZI28" s="234" t="e">
        <f>astrogrep_path&amp;" /e /r /s /spath="&amp;search_path&amp;" /stypes=""app*"&amp;UYE28&amp;"*"&amp;TEXT(UYL28-utc_offset/24,"YYYYMMDD")&amp;"*"" /stext="" "&amp;TEXT(UYL28-utc_offset/24,"HH")&amp;search_regexp&amp;""""</f>
        <v>#VALUE!</v>
      </c>
      <c r="UZJ28" s="234" t="e">
        <f>astrogrep_path&amp;" /e /r /s /spath="&amp;search_path&amp;" /stypes=""app*"&amp;UYF28&amp;"*"&amp;TEXT(UYM28-utc_offset/24,"YYYYMMDD")&amp;"*"" /stext="" "&amp;TEXT(UYM28-utc_offset/24,"HH")&amp;search_regexp&amp;""""</f>
        <v>#VALUE!</v>
      </c>
      <c r="UZK28" s="234" t="e">
        <f>astrogrep_path&amp;" /e /r /s /spath="&amp;search_path&amp;" /stypes=""app*"&amp;UYG28&amp;"*"&amp;TEXT(UYN28-utc_offset/24,"YYYYMMDD")&amp;"*"" /stext="" "&amp;TEXT(UYN28-utc_offset/24,"HH")&amp;search_regexp&amp;""""</f>
        <v>#REF!</v>
      </c>
      <c r="UZL28" s="234" t="e">
        <f>astrogrep_path&amp;" /e /r /s /spath="&amp;search_path&amp;" /stypes=""app*"&amp;UYH28&amp;"*"&amp;TEXT(UYO28-utc_offset/24,"YYYYMMDD")&amp;"*"" /stext="" "&amp;TEXT(UYO28-utc_offset/24,"HH")&amp;search_regexp&amp;""""</f>
        <v>#REF!</v>
      </c>
      <c r="UZM28" s="234" t="e">
        <f>astrogrep_path&amp;" /e /r /s /spath="&amp;search_path&amp;" /stypes=""app*"&amp;UYI28&amp;"*"&amp;TEXT(UYP28-utc_offset/24,"YYYYMMDD")&amp;"*"" /stext="" "&amp;TEXT(UYP28-utc_offset/24,"HH")&amp;search_regexp&amp;""""</f>
        <v>#VALUE!</v>
      </c>
      <c r="UZN28" s="234" t="e">
        <f>astrogrep_path&amp;" /e /r /s /spath="&amp;search_path&amp;" /stypes=""app*"&amp;UYJ28&amp;"*"&amp;TEXT(UYQ28-utc_offset/24,"YYYYMMDD")&amp;"*"" /stext="" "&amp;TEXT(UYQ28-utc_offset/24,"HH")&amp;search_regexp&amp;""""</f>
        <v>#VALUE!</v>
      </c>
      <c r="UZO28" s="234" t="e">
        <f>astrogrep_path&amp;" /e /r /s /spath="&amp;search_path&amp;" /stypes=""app*"&amp;UYK28&amp;"*"&amp;TEXT(UYR28-utc_offset/24,"YYYYMMDD")&amp;"*"" /stext="" "&amp;TEXT(UYR28-utc_offset/24,"HH")&amp;search_regexp&amp;""""</f>
        <v>#VALUE!</v>
      </c>
      <c r="UZP28" s="234" t="e">
        <f>astrogrep_path&amp;" /e /r /s /spath="&amp;search_path&amp;" /stypes=""app*"&amp;UYL28&amp;"*"&amp;TEXT(UYS28-utc_offset/24,"YYYYMMDD")&amp;"*"" /stext="" "&amp;TEXT(UYS28-utc_offset/24,"HH")&amp;search_regexp&amp;""""</f>
        <v>#VALUE!</v>
      </c>
      <c r="UZQ28" s="234" t="e">
        <f>astrogrep_path&amp;" /e /r /s /spath="&amp;search_path&amp;" /stypes=""app*"&amp;UYM28&amp;"*"&amp;TEXT(UYT28-utc_offset/24,"YYYYMMDD")&amp;"*"" /stext="" "&amp;TEXT(UYT28-utc_offset/24,"HH")&amp;search_regexp&amp;""""</f>
        <v>#VALUE!</v>
      </c>
      <c r="UZR28" s="234" t="e">
        <f>astrogrep_path&amp;" /e /r /s /spath="&amp;search_path&amp;" /stypes=""app*"&amp;UYN28&amp;"*"&amp;TEXT(UYU28-utc_offset/24,"YYYYMMDD")&amp;"*"" /stext="" "&amp;TEXT(UYU28-utc_offset/24,"HH")&amp;search_regexp&amp;""""</f>
        <v>#REF!</v>
      </c>
      <c r="UZS28" s="234" t="e">
        <f>astrogrep_path&amp;" /e /r /s /spath="&amp;search_path&amp;" /stypes=""app*"&amp;UYO28&amp;"*"&amp;TEXT(UYV28-utc_offset/24,"YYYYMMDD")&amp;"*"" /stext="" "&amp;TEXT(UYV28-utc_offset/24,"HH")&amp;search_regexp&amp;""""</f>
        <v>#REF!</v>
      </c>
      <c r="UZT28" s="234" t="e">
        <f>astrogrep_path&amp;" /e /r /s /spath="&amp;search_path&amp;" /stypes=""app*"&amp;UYP28&amp;"*"&amp;TEXT(UYW28-utc_offset/24,"YYYYMMDD")&amp;"*"" /stext="" "&amp;TEXT(UYW28-utc_offset/24,"HH")&amp;search_regexp&amp;""""</f>
        <v>#REF!</v>
      </c>
      <c r="UZU28" s="234" t="e">
        <f>astrogrep_path&amp;" /e /r /s /spath="&amp;search_path&amp;" /stypes=""app*"&amp;UYQ28&amp;"*"&amp;TEXT(UYX28-utc_offset/24,"YYYYMMDD")&amp;"*"" /stext="" "&amp;TEXT(UYX28-utc_offset/24,"HH")&amp;search_regexp&amp;""""</f>
        <v>#REF!</v>
      </c>
      <c r="UZV28" s="234" t="e">
        <f>astrogrep_path&amp;" /e /r /s /spath="&amp;search_path&amp;" /stypes=""app*"&amp;UYR28&amp;"*"&amp;TEXT(UYY28-utc_offset/24,"YYYYMMDD")&amp;"*"" /stext="" "&amp;TEXT(UYY28-utc_offset/24,"HH")&amp;search_regexp&amp;""""</f>
        <v>#REF!</v>
      </c>
      <c r="UZW28" s="234" t="e">
        <f>astrogrep_path&amp;" /e /r /s /spath="&amp;search_path&amp;" /stypes=""app*"&amp;UYS28&amp;"*"&amp;TEXT(UYZ28-utc_offset/24,"YYYYMMDD")&amp;"*"" /stext="" "&amp;TEXT(UYZ28-utc_offset/24,"HH")&amp;search_regexp&amp;""""</f>
        <v>#REF!</v>
      </c>
      <c r="UZX28" s="234" t="e">
        <f>astrogrep_path&amp;" /e /r /s /spath="&amp;search_path&amp;" /stypes=""app*"&amp;UYT28&amp;"*"&amp;TEXT(UZA28-utc_offset/24,"YYYYMMDD")&amp;"*"" /stext="" "&amp;TEXT(UZA28-utc_offset/24,"HH")&amp;search_regexp&amp;""""</f>
        <v>#REF!</v>
      </c>
      <c r="UZY28" s="234" t="e">
        <f>astrogrep_path&amp;" /e /r /s /spath="&amp;search_path&amp;" /stypes=""app*"&amp;UYU28&amp;"*"&amp;TEXT(UZB28-utc_offset/24,"YYYYMMDD")&amp;"*"" /stext="" "&amp;TEXT(UZB28-utc_offset/24,"HH")&amp;search_regexp&amp;""""</f>
        <v>#REF!</v>
      </c>
      <c r="UZZ28" s="234" t="e">
        <f>astrogrep_path&amp;" /e /r /s /spath="&amp;search_path&amp;" /stypes=""app*"&amp;UYV28&amp;"*"&amp;TEXT(UZC28-utc_offset/24,"YYYYMMDD")&amp;"*"" /stext="" "&amp;TEXT(UZC28-utc_offset/24,"HH")&amp;search_regexp&amp;""""</f>
        <v>#REF!</v>
      </c>
      <c r="VAA28" s="234" t="e">
        <f>astrogrep_path&amp;" /e /r /s /spath="&amp;search_path&amp;" /stypes=""app*"&amp;UYW28&amp;"*"&amp;TEXT(UZD28-utc_offset/24,"YYYYMMDD")&amp;"*"" /stext="" "&amp;TEXT(UZD28-utc_offset/24,"HH")&amp;search_regexp&amp;""""</f>
        <v>#REF!</v>
      </c>
      <c r="VAB28" s="234" t="e">
        <f>astrogrep_path&amp;" /e /r /s /spath="&amp;search_path&amp;" /stypes=""app*"&amp;UYX28&amp;"*"&amp;TEXT(UZE28-utc_offset/24,"YYYYMMDD")&amp;"*"" /stext="" "&amp;TEXT(UZE28-utc_offset/24,"HH")&amp;search_regexp&amp;""""</f>
        <v>#REF!</v>
      </c>
      <c r="VAC28" s="234" t="e">
        <f>astrogrep_path&amp;" /e /r /s /spath="&amp;search_path&amp;" /stypes=""app*"&amp;UYY28&amp;"*"&amp;TEXT(UZF28-utc_offset/24,"YYYYMMDD")&amp;"*"" /stext="" "&amp;TEXT(UZF28-utc_offset/24,"HH")&amp;search_regexp&amp;""""</f>
        <v>#REF!</v>
      </c>
      <c r="VAD28" s="234" t="e">
        <f>astrogrep_path&amp;" /e /r /s /spath="&amp;search_path&amp;" /stypes=""app*"&amp;UYZ28&amp;"*"&amp;TEXT(UZG28-utc_offset/24,"YYYYMMDD")&amp;"*"" /stext="" "&amp;TEXT(UZG28-utc_offset/24,"HH")&amp;search_regexp&amp;""""</f>
        <v>#REF!</v>
      </c>
      <c r="VAE28" s="234" t="e">
        <f>astrogrep_path&amp;" /e /r /s /spath="&amp;search_path&amp;" /stypes=""app*"&amp;UZA28&amp;"*"&amp;TEXT(UZH28-utc_offset/24,"YYYYMMDD")&amp;"*"" /stext="" "&amp;TEXT(UZH28-utc_offset/24,"HH")&amp;search_regexp&amp;""""</f>
        <v>#REF!</v>
      </c>
      <c r="VAF28" s="234" t="e">
        <f>astrogrep_path&amp;" /e /r /s /spath="&amp;search_path&amp;" /stypes=""app*"&amp;UZB28&amp;"*"&amp;TEXT(UZI28-utc_offset/24,"YYYYMMDD")&amp;"*"" /stext="" "&amp;TEXT(UZI28-utc_offset/24,"HH")&amp;search_regexp&amp;""""</f>
        <v>#REF!</v>
      </c>
      <c r="VAG28" s="234" t="e">
        <f>astrogrep_path&amp;" /e /r /s /spath="&amp;search_path&amp;" /stypes=""app*"&amp;UZC28&amp;"*"&amp;TEXT(UZJ28-utc_offset/24,"YYYYMMDD")&amp;"*"" /stext="" "&amp;TEXT(UZJ28-utc_offset/24,"HH")&amp;search_regexp&amp;""""</f>
        <v>#REF!</v>
      </c>
      <c r="VAH28" s="234" t="e">
        <f>astrogrep_path&amp;" /e /r /s /spath="&amp;search_path&amp;" /stypes=""app*"&amp;UZD28&amp;"*"&amp;TEXT(UZK28-utc_offset/24,"YYYYMMDD")&amp;"*"" /stext="" "&amp;TEXT(UZK28-utc_offset/24,"HH")&amp;search_regexp&amp;""""</f>
        <v>#REF!</v>
      </c>
      <c r="VAI28" s="234" t="e">
        <f>astrogrep_path&amp;" /e /r /s /spath="&amp;search_path&amp;" /stypes=""app*"&amp;UZE28&amp;"*"&amp;TEXT(UZL28-utc_offset/24,"YYYYMMDD")&amp;"*"" /stext="" "&amp;TEXT(UZL28-utc_offset/24,"HH")&amp;search_regexp&amp;""""</f>
        <v>#REF!</v>
      </c>
      <c r="VAJ28" s="234" t="e">
        <f>astrogrep_path&amp;" /e /r /s /spath="&amp;search_path&amp;" /stypes=""app*"&amp;UZF28&amp;"*"&amp;TEXT(UZM28-utc_offset/24,"YYYYMMDD")&amp;"*"" /stext="" "&amp;TEXT(UZM28-utc_offset/24,"HH")&amp;search_regexp&amp;""""</f>
        <v>#REF!</v>
      </c>
      <c r="VAK28" s="234" t="e">
        <f>astrogrep_path&amp;" /e /r /s /spath="&amp;search_path&amp;" /stypes=""app*"&amp;UZG28&amp;"*"&amp;TEXT(UZN28-utc_offset/24,"YYYYMMDD")&amp;"*"" /stext="" "&amp;TEXT(UZN28-utc_offset/24,"HH")&amp;search_regexp&amp;""""</f>
        <v>#REF!</v>
      </c>
      <c r="VAL28" s="234" t="e">
        <f>astrogrep_path&amp;" /e /r /s /spath="&amp;search_path&amp;" /stypes=""app*"&amp;UZH28&amp;"*"&amp;TEXT(UZO28-utc_offset/24,"YYYYMMDD")&amp;"*"" /stext="" "&amp;TEXT(UZO28-utc_offset/24,"HH")&amp;search_regexp&amp;""""</f>
        <v>#REF!</v>
      </c>
      <c r="VAM28" s="234" t="e">
        <f>astrogrep_path&amp;" /e /r /s /spath="&amp;search_path&amp;" /stypes=""app*"&amp;UZI28&amp;"*"&amp;TEXT(UZP28-utc_offset/24,"YYYYMMDD")&amp;"*"" /stext="" "&amp;TEXT(UZP28-utc_offset/24,"HH")&amp;search_regexp&amp;""""</f>
        <v>#VALUE!</v>
      </c>
      <c r="VAN28" s="234" t="e">
        <f>astrogrep_path&amp;" /e /r /s /spath="&amp;search_path&amp;" /stypes=""app*"&amp;UZJ28&amp;"*"&amp;TEXT(UZQ28-utc_offset/24,"YYYYMMDD")&amp;"*"" /stext="" "&amp;TEXT(UZQ28-utc_offset/24,"HH")&amp;search_regexp&amp;""""</f>
        <v>#VALUE!</v>
      </c>
      <c r="VAO28" s="234" t="e">
        <f>astrogrep_path&amp;" /e /r /s /spath="&amp;search_path&amp;" /stypes=""app*"&amp;UZK28&amp;"*"&amp;TEXT(UZR28-utc_offset/24,"YYYYMMDD")&amp;"*"" /stext="" "&amp;TEXT(UZR28-utc_offset/24,"HH")&amp;search_regexp&amp;""""</f>
        <v>#REF!</v>
      </c>
      <c r="VAP28" s="234" t="e">
        <f>astrogrep_path&amp;" /e /r /s /spath="&amp;search_path&amp;" /stypes=""app*"&amp;UZL28&amp;"*"&amp;TEXT(UZS28-utc_offset/24,"YYYYMMDD")&amp;"*"" /stext="" "&amp;TEXT(UZS28-utc_offset/24,"HH")&amp;search_regexp&amp;""""</f>
        <v>#REF!</v>
      </c>
      <c r="VAQ28" s="234" t="e">
        <f>astrogrep_path&amp;" /e /r /s /spath="&amp;search_path&amp;" /stypes=""app*"&amp;UZM28&amp;"*"&amp;TEXT(UZT28-utc_offset/24,"YYYYMMDD")&amp;"*"" /stext="" "&amp;TEXT(UZT28-utc_offset/24,"HH")&amp;search_regexp&amp;""""</f>
        <v>#VALUE!</v>
      </c>
      <c r="VAR28" s="234" t="e">
        <f>astrogrep_path&amp;" /e /r /s /spath="&amp;search_path&amp;" /stypes=""app*"&amp;UZN28&amp;"*"&amp;TEXT(UZU28-utc_offset/24,"YYYYMMDD")&amp;"*"" /stext="" "&amp;TEXT(UZU28-utc_offset/24,"HH")&amp;search_regexp&amp;""""</f>
        <v>#VALUE!</v>
      </c>
      <c r="VAS28" s="234" t="e">
        <f>astrogrep_path&amp;" /e /r /s /spath="&amp;search_path&amp;" /stypes=""app*"&amp;UZO28&amp;"*"&amp;TEXT(UZV28-utc_offset/24,"YYYYMMDD")&amp;"*"" /stext="" "&amp;TEXT(UZV28-utc_offset/24,"HH")&amp;search_regexp&amp;""""</f>
        <v>#VALUE!</v>
      </c>
      <c r="VAT28" s="234" t="e">
        <f>astrogrep_path&amp;" /e /r /s /spath="&amp;search_path&amp;" /stypes=""app*"&amp;UZP28&amp;"*"&amp;TEXT(UZW28-utc_offset/24,"YYYYMMDD")&amp;"*"" /stext="" "&amp;TEXT(UZW28-utc_offset/24,"HH")&amp;search_regexp&amp;""""</f>
        <v>#VALUE!</v>
      </c>
      <c r="VAU28" s="234" t="e">
        <f>astrogrep_path&amp;" /e /r /s /spath="&amp;search_path&amp;" /stypes=""app*"&amp;UZQ28&amp;"*"&amp;TEXT(UZX28-utc_offset/24,"YYYYMMDD")&amp;"*"" /stext="" "&amp;TEXT(UZX28-utc_offset/24,"HH")&amp;search_regexp&amp;""""</f>
        <v>#VALUE!</v>
      </c>
      <c r="VAV28" s="234" t="e">
        <f>astrogrep_path&amp;" /e /r /s /spath="&amp;search_path&amp;" /stypes=""app*"&amp;UZR28&amp;"*"&amp;TEXT(UZY28-utc_offset/24,"YYYYMMDD")&amp;"*"" /stext="" "&amp;TEXT(UZY28-utc_offset/24,"HH")&amp;search_regexp&amp;""""</f>
        <v>#REF!</v>
      </c>
      <c r="VAW28" s="234" t="e">
        <f>astrogrep_path&amp;" /e /r /s /spath="&amp;search_path&amp;" /stypes=""app*"&amp;UZS28&amp;"*"&amp;TEXT(UZZ28-utc_offset/24,"YYYYMMDD")&amp;"*"" /stext="" "&amp;TEXT(UZZ28-utc_offset/24,"HH")&amp;search_regexp&amp;""""</f>
        <v>#REF!</v>
      </c>
      <c r="VAX28" s="234" t="e">
        <f>astrogrep_path&amp;" /e /r /s /spath="&amp;search_path&amp;" /stypes=""app*"&amp;UZT28&amp;"*"&amp;TEXT(VAA28-utc_offset/24,"YYYYMMDD")&amp;"*"" /stext="" "&amp;TEXT(VAA28-utc_offset/24,"HH")&amp;search_regexp&amp;""""</f>
        <v>#REF!</v>
      </c>
      <c r="VAY28" s="234" t="e">
        <f>astrogrep_path&amp;" /e /r /s /spath="&amp;search_path&amp;" /stypes=""app*"&amp;UZU28&amp;"*"&amp;TEXT(VAB28-utc_offset/24,"YYYYMMDD")&amp;"*"" /stext="" "&amp;TEXT(VAB28-utc_offset/24,"HH")&amp;search_regexp&amp;""""</f>
        <v>#REF!</v>
      </c>
      <c r="VAZ28" s="234" t="e">
        <f>astrogrep_path&amp;" /e /r /s /spath="&amp;search_path&amp;" /stypes=""app*"&amp;UZV28&amp;"*"&amp;TEXT(VAC28-utc_offset/24,"YYYYMMDD")&amp;"*"" /stext="" "&amp;TEXT(VAC28-utc_offset/24,"HH")&amp;search_regexp&amp;""""</f>
        <v>#REF!</v>
      </c>
      <c r="VBA28" s="234" t="e">
        <f>astrogrep_path&amp;" /e /r /s /spath="&amp;search_path&amp;" /stypes=""app*"&amp;UZW28&amp;"*"&amp;TEXT(VAD28-utc_offset/24,"YYYYMMDD")&amp;"*"" /stext="" "&amp;TEXT(VAD28-utc_offset/24,"HH")&amp;search_regexp&amp;""""</f>
        <v>#REF!</v>
      </c>
      <c r="VBB28" s="234" t="e">
        <f>astrogrep_path&amp;" /e /r /s /spath="&amp;search_path&amp;" /stypes=""app*"&amp;UZX28&amp;"*"&amp;TEXT(VAE28-utc_offset/24,"YYYYMMDD")&amp;"*"" /stext="" "&amp;TEXT(VAE28-utc_offset/24,"HH")&amp;search_regexp&amp;""""</f>
        <v>#REF!</v>
      </c>
      <c r="VBC28" s="234" t="e">
        <f>astrogrep_path&amp;" /e /r /s /spath="&amp;search_path&amp;" /stypes=""app*"&amp;UZY28&amp;"*"&amp;TEXT(VAF28-utc_offset/24,"YYYYMMDD")&amp;"*"" /stext="" "&amp;TEXT(VAF28-utc_offset/24,"HH")&amp;search_regexp&amp;""""</f>
        <v>#REF!</v>
      </c>
      <c r="VBD28" s="234" t="e">
        <f>astrogrep_path&amp;" /e /r /s /spath="&amp;search_path&amp;" /stypes=""app*"&amp;UZZ28&amp;"*"&amp;TEXT(VAG28-utc_offset/24,"YYYYMMDD")&amp;"*"" /stext="" "&amp;TEXT(VAG28-utc_offset/24,"HH")&amp;search_regexp&amp;""""</f>
        <v>#REF!</v>
      </c>
      <c r="VBE28" s="234" t="e">
        <f>astrogrep_path&amp;" /e /r /s /spath="&amp;search_path&amp;" /stypes=""app*"&amp;VAA28&amp;"*"&amp;TEXT(VAH28-utc_offset/24,"YYYYMMDD")&amp;"*"" /stext="" "&amp;TEXT(VAH28-utc_offset/24,"HH")&amp;search_regexp&amp;""""</f>
        <v>#REF!</v>
      </c>
      <c r="VBF28" s="234" t="e">
        <f>astrogrep_path&amp;" /e /r /s /spath="&amp;search_path&amp;" /stypes=""app*"&amp;VAB28&amp;"*"&amp;TEXT(VAI28-utc_offset/24,"YYYYMMDD")&amp;"*"" /stext="" "&amp;TEXT(VAI28-utc_offset/24,"HH")&amp;search_regexp&amp;""""</f>
        <v>#REF!</v>
      </c>
      <c r="VBG28" s="234" t="e">
        <f>astrogrep_path&amp;" /e /r /s /spath="&amp;search_path&amp;" /stypes=""app*"&amp;VAC28&amp;"*"&amp;TEXT(VAJ28-utc_offset/24,"YYYYMMDD")&amp;"*"" /stext="" "&amp;TEXT(VAJ28-utc_offset/24,"HH")&amp;search_regexp&amp;""""</f>
        <v>#REF!</v>
      </c>
      <c r="VBH28" s="234" t="e">
        <f>astrogrep_path&amp;" /e /r /s /spath="&amp;search_path&amp;" /stypes=""app*"&amp;VAD28&amp;"*"&amp;TEXT(VAK28-utc_offset/24,"YYYYMMDD")&amp;"*"" /stext="" "&amp;TEXT(VAK28-utc_offset/24,"HH")&amp;search_regexp&amp;""""</f>
        <v>#REF!</v>
      </c>
      <c r="VBI28" s="234" t="e">
        <f>astrogrep_path&amp;" /e /r /s /spath="&amp;search_path&amp;" /stypes=""app*"&amp;VAE28&amp;"*"&amp;TEXT(VAL28-utc_offset/24,"YYYYMMDD")&amp;"*"" /stext="" "&amp;TEXT(VAL28-utc_offset/24,"HH")&amp;search_regexp&amp;""""</f>
        <v>#REF!</v>
      </c>
      <c r="VBJ28" s="234" t="e">
        <f>astrogrep_path&amp;" /e /r /s /spath="&amp;search_path&amp;" /stypes=""app*"&amp;VAF28&amp;"*"&amp;TEXT(VAM28-utc_offset/24,"YYYYMMDD")&amp;"*"" /stext="" "&amp;TEXT(VAM28-utc_offset/24,"HH")&amp;search_regexp&amp;""""</f>
        <v>#REF!</v>
      </c>
      <c r="VBK28" s="234" t="e">
        <f>astrogrep_path&amp;" /e /r /s /spath="&amp;search_path&amp;" /stypes=""app*"&amp;VAG28&amp;"*"&amp;TEXT(VAN28-utc_offset/24,"YYYYMMDD")&amp;"*"" /stext="" "&amp;TEXT(VAN28-utc_offset/24,"HH")&amp;search_regexp&amp;""""</f>
        <v>#REF!</v>
      </c>
      <c r="VBL28" s="234" t="e">
        <f>astrogrep_path&amp;" /e /r /s /spath="&amp;search_path&amp;" /stypes=""app*"&amp;VAH28&amp;"*"&amp;TEXT(VAO28-utc_offset/24,"YYYYMMDD")&amp;"*"" /stext="" "&amp;TEXT(VAO28-utc_offset/24,"HH")&amp;search_regexp&amp;""""</f>
        <v>#REF!</v>
      </c>
      <c r="VBM28" s="234" t="e">
        <f>astrogrep_path&amp;" /e /r /s /spath="&amp;search_path&amp;" /stypes=""app*"&amp;VAI28&amp;"*"&amp;TEXT(VAP28-utc_offset/24,"YYYYMMDD")&amp;"*"" /stext="" "&amp;TEXT(VAP28-utc_offset/24,"HH")&amp;search_regexp&amp;""""</f>
        <v>#REF!</v>
      </c>
      <c r="VBN28" s="234" t="e">
        <f>astrogrep_path&amp;" /e /r /s /spath="&amp;search_path&amp;" /stypes=""app*"&amp;VAJ28&amp;"*"&amp;TEXT(VAQ28-utc_offset/24,"YYYYMMDD")&amp;"*"" /stext="" "&amp;TEXT(VAQ28-utc_offset/24,"HH")&amp;search_regexp&amp;""""</f>
        <v>#REF!</v>
      </c>
      <c r="VBO28" s="234" t="e">
        <f>astrogrep_path&amp;" /e /r /s /spath="&amp;search_path&amp;" /stypes=""app*"&amp;VAK28&amp;"*"&amp;TEXT(VAR28-utc_offset/24,"YYYYMMDD")&amp;"*"" /stext="" "&amp;TEXT(VAR28-utc_offset/24,"HH")&amp;search_regexp&amp;""""</f>
        <v>#REF!</v>
      </c>
      <c r="VBP28" s="234" t="e">
        <f>astrogrep_path&amp;" /e /r /s /spath="&amp;search_path&amp;" /stypes=""app*"&amp;VAL28&amp;"*"&amp;TEXT(VAS28-utc_offset/24,"YYYYMMDD")&amp;"*"" /stext="" "&amp;TEXT(VAS28-utc_offset/24,"HH")&amp;search_regexp&amp;""""</f>
        <v>#REF!</v>
      </c>
      <c r="VBQ28" s="234" t="e">
        <f>astrogrep_path&amp;" /e /r /s /spath="&amp;search_path&amp;" /stypes=""app*"&amp;VAM28&amp;"*"&amp;TEXT(VAT28-utc_offset/24,"YYYYMMDD")&amp;"*"" /stext="" "&amp;TEXT(VAT28-utc_offset/24,"HH")&amp;search_regexp&amp;""""</f>
        <v>#VALUE!</v>
      </c>
      <c r="VBR28" s="234" t="e">
        <f>astrogrep_path&amp;" /e /r /s /spath="&amp;search_path&amp;" /stypes=""app*"&amp;VAN28&amp;"*"&amp;TEXT(VAU28-utc_offset/24,"YYYYMMDD")&amp;"*"" /stext="" "&amp;TEXT(VAU28-utc_offset/24,"HH")&amp;search_regexp&amp;""""</f>
        <v>#VALUE!</v>
      </c>
      <c r="VBS28" s="234" t="e">
        <f>astrogrep_path&amp;" /e /r /s /spath="&amp;search_path&amp;" /stypes=""app*"&amp;VAO28&amp;"*"&amp;TEXT(VAV28-utc_offset/24,"YYYYMMDD")&amp;"*"" /stext="" "&amp;TEXT(VAV28-utc_offset/24,"HH")&amp;search_regexp&amp;""""</f>
        <v>#REF!</v>
      </c>
      <c r="VBT28" s="234" t="e">
        <f>astrogrep_path&amp;" /e /r /s /spath="&amp;search_path&amp;" /stypes=""app*"&amp;VAP28&amp;"*"&amp;TEXT(VAW28-utc_offset/24,"YYYYMMDD")&amp;"*"" /stext="" "&amp;TEXT(VAW28-utc_offset/24,"HH")&amp;search_regexp&amp;""""</f>
        <v>#REF!</v>
      </c>
      <c r="VBU28" s="234" t="e">
        <f>astrogrep_path&amp;" /e /r /s /spath="&amp;search_path&amp;" /stypes=""app*"&amp;VAQ28&amp;"*"&amp;TEXT(VAX28-utc_offset/24,"YYYYMMDD")&amp;"*"" /stext="" "&amp;TEXT(VAX28-utc_offset/24,"HH")&amp;search_regexp&amp;""""</f>
        <v>#VALUE!</v>
      </c>
      <c r="VBV28" s="234" t="e">
        <f>astrogrep_path&amp;" /e /r /s /spath="&amp;search_path&amp;" /stypes=""app*"&amp;VAR28&amp;"*"&amp;TEXT(VAY28-utc_offset/24,"YYYYMMDD")&amp;"*"" /stext="" "&amp;TEXT(VAY28-utc_offset/24,"HH")&amp;search_regexp&amp;""""</f>
        <v>#VALUE!</v>
      </c>
      <c r="VBW28" s="234" t="e">
        <f>astrogrep_path&amp;" /e /r /s /spath="&amp;search_path&amp;" /stypes=""app*"&amp;VAS28&amp;"*"&amp;TEXT(VAZ28-utc_offset/24,"YYYYMMDD")&amp;"*"" /stext="" "&amp;TEXT(VAZ28-utc_offset/24,"HH")&amp;search_regexp&amp;""""</f>
        <v>#VALUE!</v>
      </c>
      <c r="VBX28" s="234" t="e">
        <f>astrogrep_path&amp;" /e /r /s /spath="&amp;search_path&amp;" /stypes=""app*"&amp;VAT28&amp;"*"&amp;TEXT(VBA28-utc_offset/24,"YYYYMMDD")&amp;"*"" /stext="" "&amp;TEXT(VBA28-utc_offset/24,"HH")&amp;search_regexp&amp;""""</f>
        <v>#VALUE!</v>
      </c>
      <c r="VBY28" s="234" t="e">
        <f>astrogrep_path&amp;" /e /r /s /spath="&amp;search_path&amp;" /stypes=""app*"&amp;VAU28&amp;"*"&amp;TEXT(VBB28-utc_offset/24,"YYYYMMDD")&amp;"*"" /stext="" "&amp;TEXT(VBB28-utc_offset/24,"HH")&amp;search_regexp&amp;""""</f>
        <v>#VALUE!</v>
      </c>
      <c r="VBZ28" s="234" t="e">
        <f>astrogrep_path&amp;" /e /r /s /spath="&amp;search_path&amp;" /stypes=""app*"&amp;VAV28&amp;"*"&amp;TEXT(VBC28-utc_offset/24,"YYYYMMDD")&amp;"*"" /stext="" "&amp;TEXT(VBC28-utc_offset/24,"HH")&amp;search_regexp&amp;""""</f>
        <v>#REF!</v>
      </c>
      <c r="VCA28" s="234" t="e">
        <f>astrogrep_path&amp;" /e /r /s /spath="&amp;search_path&amp;" /stypes=""app*"&amp;VAW28&amp;"*"&amp;TEXT(VBD28-utc_offset/24,"YYYYMMDD")&amp;"*"" /stext="" "&amp;TEXT(VBD28-utc_offset/24,"HH")&amp;search_regexp&amp;""""</f>
        <v>#REF!</v>
      </c>
      <c r="VCB28" s="234" t="e">
        <f>astrogrep_path&amp;" /e /r /s /spath="&amp;search_path&amp;" /stypes=""app*"&amp;VAX28&amp;"*"&amp;TEXT(VBE28-utc_offset/24,"YYYYMMDD")&amp;"*"" /stext="" "&amp;TEXT(VBE28-utc_offset/24,"HH")&amp;search_regexp&amp;""""</f>
        <v>#REF!</v>
      </c>
      <c r="VCC28" s="234" t="e">
        <f>astrogrep_path&amp;" /e /r /s /spath="&amp;search_path&amp;" /stypes=""app*"&amp;VAY28&amp;"*"&amp;TEXT(VBF28-utc_offset/24,"YYYYMMDD")&amp;"*"" /stext="" "&amp;TEXT(VBF28-utc_offset/24,"HH")&amp;search_regexp&amp;""""</f>
        <v>#REF!</v>
      </c>
      <c r="VCD28" s="234" t="e">
        <f>astrogrep_path&amp;" /e /r /s /spath="&amp;search_path&amp;" /stypes=""app*"&amp;VAZ28&amp;"*"&amp;TEXT(VBG28-utc_offset/24,"YYYYMMDD")&amp;"*"" /stext="" "&amp;TEXT(VBG28-utc_offset/24,"HH")&amp;search_regexp&amp;""""</f>
        <v>#REF!</v>
      </c>
      <c r="VCE28" s="234" t="e">
        <f>astrogrep_path&amp;" /e /r /s /spath="&amp;search_path&amp;" /stypes=""app*"&amp;VBA28&amp;"*"&amp;TEXT(VBH28-utc_offset/24,"YYYYMMDD")&amp;"*"" /stext="" "&amp;TEXT(VBH28-utc_offset/24,"HH")&amp;search_regexp&amp;""""</f>
        <v>#REF!</v>
      </c>
      <c r="VCF28" s="234" t="e">
        <f>astrogrep_path&amp;" /e /r /s /spath="&amp;search_path&amp;" /stypes=""app*"&amp;VBB28&amp;"*"&amp;TEXT(VBI28-utc_offset/24,"YYYYMMDD")&amp;"*"" /stext="" "&amp;TEXT(VBI28-utc_offset/24,"HH")&amp;search_regexp&amp;""""</f>
        <v>#REF!</v>
      </c>
      <c r="VCG28" s="234" t="e">
        <f>astrogrep_path&amp;" /e /r /s /spath="&amp;search_path&amp;" /stypes=""app*"&amp;VBC28&amp;"*"&amp;TEXT(VBJ28-utc_offset/24,"YYYYMMDD")&amp;"*"" /stext="" "&amp;TEXT(VBJ28-utc_offset/24,"HH")&amp;search_regexp&amp;""""</f>
        <v>#REF!</v>
      </c>
      <c r="VCH28" s="234" t="e">
        <f>astrogrep_path&amp;" /e /r /s /spath="&amp;search_path&amp;" /stypes=""app*"&amp;VBD28&amp;"*"&amp;TEXT(VBK28-utc_offset/24,"YYYYMMDD")&amp;"*"" /stext="" "&amp;TEXT(VBK28-utc_offset/24,"HH")&amp;search_regexp&amp;""""</f>
        <v>#REF!</v>
      </c>
      <c r="VCI28" s="234" t="e">
        <f>astrogrep_path&amp;" /e /r /s /spath="&amp;search_path&amp;" /stypes=""app*"&amp;VBE28&amp;"*"&amp;TEXT(VBL28-utc_offset/24,"YYYYMMDD")&amp;"*"" /stext="" "&amp;TEXT(VBL28-utc_offset/24,"HH")&amp;search_regexp&amp;""""</f>
        <v>#REF!</v>
      </c>
      <c r="VCJ28" s="234" t="e">
        <f>astrogrep_path&amp;" /e /r /s /spath="&amp;search_path&amp;" /stypes=""app*"&amp;VBF28&amp;"*"&amp;TEXT(VBM28-utc_offset/24,"YYYYMMDD")&amp;"*"" /stext="" "&amp;TEXT(VBM28-utc_offset/24,"HH")&amp;search_regexp&amp;""""</f>
        <v>#REF!</v>
      </c>
      <c r="VCK28" s="234" t="e">
        <f>astrogrep_path&amp;" /e /r /s /spath="&amp;search_path&amp;" /stypes=""app*"&amp;VBG28&amp;"*"&amp;TEXT(VBN28-utc_offset/24,"YYYYMMDD")&amp;"*"" /stext="" "&amp;TEXT(VBN28-utc_offset/24,"HH")&amp;search_regexp&amp;""""</f>
        <v>#REF!</v>
      </c>
      <c r="VCL28" s="234" t="e">
        <f>astrogrep_path&amp;" /e /r /s /spath="&amp;search_path&amp;" /stypes=""app*"&amp;VBH28&amp;"*"&amp;TEXT(VBO28-utc_offset/24,"YYYYMMDD")&amp;"*"" /stext="" "&amp;TEXT(VBO28-utc_offset/24,"HH")&amp;search_regexp&amp;""""</f>
        <v>#REF!</v>
      </c>
      <c r="VCM28" s="234" t="e">
        <f>astrogrep_path&amp;" /e /r /s /spath="&amp;search_path&amp;" /stypes=""app*"&amp;VBI28&amp;"*"&amp;TEXT(VBP28-utc_offset/24,"YYYYMMDD")&amp;"*"" /stext="" "&amp;TEXT(VBP28-utc_offset/24,"HH")&amp;search_regexp&amp;""""</f>
        <v>#REF!</v>
      </c>
      <c r="VCN28" s="234" t="e">
        <f>astrogrep_path&amp;" /e /r /s /spath="&amp;search_path&amp;" /stypes=""app*"&amp;VBJ28&amp;"*"&amp;TEXT(VBQ28-utc_offset/24,"YYYYMMDD")&amp;"*"" /stext="" "&amp;TEXT(VBQ28-utc_offset/24,"HH")&amp;search_regexp&amp;""""</f>
        <v>#REF!</v>
      </c>
      <c r="VCO28" s="234" t="e">
        <f>astrogrep_path&amp;" /e /r /s /spath="&amp;search_path&amp;" /stypes=""app*"&amp;VBK28&amp;"*"&amp;TEXT(VBR28-utc_offset/24,"YYYYMMDD")&amp;"*"" /stext="" "&amp;TEXT(VBR28-utc_offset/24,"HH")&amp;search_regexp&amp;""""</f>
        <v>#REF!</v>
      </c>
      <c r="VCP28" s="234" t="e">
        <f>astrogrep_path&amp;" /e /r /s /spath="&amp;search_path&amp;" /stypes=""app*"&amp;VBL28&amp;"*"&amp;TEXT(VBS28-utc_offset/24,"YYYYMMDD")&amp;"*"" /stext="" "&amp;TEXT(VBS28-utc_offset/24,"HH")&amp;search_regexp&amp;""""</f>
        <v>#REF!</v>
      </c>
      <c r="VCQ28" s="234" t="e">
        <f>astrogrep_path&amp;" /e /r /s /spath="&amp;search_path&amp;" /stypes=""app*"&amp;VBM28&amp;"*"&amp;TEXT(VBT28-utc_offset/24,"YYYYMMDD")&amp;"*"" /stext="" "&amp;TEXT(VBT28-utc_offset/24,"HH")&amp;search_regexp&amp;""""</f>
        <v>#REF!</v>
      </c>
      <c r="VCR28" s="234" t="e">
        <f>astrogrep_path&amp;" /e /r /s /spath="&amp;search_path&amp;" /stypes=""app*"&amp;VBN28&amp;"*"&amp;TEXT(VBU28-utc_offset/24,"YYYYMMDD")&amp;"*"" /stext="" "&amp;TEXT(VBU28-utc_offset/24,"HH")&amp;search_regexp&amp;""""</f>
        <v>#REF!</v>
      </c>
      <c r="VCS28" s="234" t="e">
        <f>astrogrep_path&amp;" /e /r /s /spath="&amp;search_path&amp;" /stypes=""app*"&amp;VBO28&amp;"*"&amp;TEXT(VBV28-utc_offset/24,"YYYYMMDD")&amp;"*"" /stext="" "&amp;TEXT(VBV28-utc_offset/24,"HH")&amp;search_regexp&amp;""""</f>
        <v>#REF!</v>
      </c>
      <c r="VCT28" s="234" t="e">
        <f>astrogrep_path&amp;" /e /r /s /spath="&amp;search_path&amp;" /stypes=""app*"&amp;VBP28&amp;"*"&amp;TEXT(VBW28-utc_offset/24,"YYYYMMDD")&amp;"*"" /stext="" "&amp;TEXT(VBW28-utc_offset/24,"HH")&amp;search_regexp&amp;""""</f>
        <v>#REF!</v>
      </c>
      <c r="VCU28" s="234" t="e">
        <f>astrogrep_path&amp;" /e /r /s /spath="&amp;search_path&amp;" /stypes=""app*"&amp;VBQ28&amp;"*"&amp;TEXT(VBX28-utc_offset/24,"YYYYMMDD")&amp;"*"" /stext="" "&amp;TEXT(VBX28-utc_offset/24,"HH")&amp;search_regexp&amp;""""</f>
        <v>#VALUE!</v>
      </c>
      <c r="VCV28" s="234" t="e">
        <f>astrogrep_path&amp;" /e /r /s /spath="&amp;search_path&amp;" /stypes=""app*"&amp;VBR28&amp;"*"&amp;TEXT(VBY28-utc_offset/24,"YYYYMMDD")&amp;"*"" /stext="" "&amp;TEXT(VBY28-utc_offset/24,"HH")&amp;search_regexp&amp;""""</f>
        <v>#VALUE!</v>
      </c>
      <c r="VCW28" s="234" t="e">
        <f>astrogrep_path&amp;" /e /r /s /spath="&amp;search_path&amp;" /stypes=""app*"&amp;VBS28&amp;"*"&amp;TEXT(VBZ28-utc_offset/24,"YYYYMMDD")&amp;"*"" /stext="" "&amp;TEXT(VBZ28-utc_offset/24,"HH")&amp;search_regexp&amp;""""</f>
        <v>#REF!</v>
      </c>
      <c r="VCX28" s="234" t="e">
        <f>astrogrep_path&amp;" /e /r /s /spath="&amp;search_path&amp;" /stypes=""app*"&amp;VBT28&amp;"*"&amp;TEXT(VCA28-utc_offset/24,"YYYYMMDD")&amp;"*"" /stext="" "&amp;TEXT(VCA28-utc_offset/24,"HH")&amp;search_regexp&amp;""""</f>
        <v>#REF!</v>
      </c>
      <c r="VCY28" s="234" t="e">
        <f>astrogrep_path&amp;" /e /r /s /spath="&amp;search_path&amp;" /stypes=""app*"&amp;VBU28&amp;"*"&amp;TEXT(VCB28-utc_offset/24,"YYYYMMDD")&amp;"*"" /stext="" "&amp;TEXT(VCB28-utc_offset/24,"HH")&amp;search_regexp&amp;""""</f>
        <v>#VALUE!</v>
      </c>
      <c r="VCZ28" s="234" t="e">
        <f>astrogrep_path&amp;" /e /r /s /spath="&amp;search_path&amp;" /stypes=""app*"&amp;VBV28&amp;"*"&amp;TEXT(VCC28-utc_offset/24,"YYYYMMDD")&amp;"*"" /stext="" "&amp;TEXT(VCC28-utc_offset/24,"HH")&amp;search_regexp&amp;""""</f>
        <v>#VALUE!</v>
      </c>
      <c r="VDA28" s="234" t="e">
        <f>astrogrep_path&amp;" /e /r /s /spath="&amp;search_path&amp;" /stypes=""app*"&amp;VBW28&amp;"*"&amp;TEXT(VCD28-utc_offset/24,"YYYYMMDD")&amp;"*"" /stext="" "&amp;TEXT(VCD28-utc_offset/24,"HH")&amp;search_regexp&amp;""""</f>
        <v>#VALUE!</v>
      </c>
      <c r="VDB28" s="234" t="e">
        <f>astrogrep_path&amp;" /e /r /s /spath="&amp;search_path&amp;" /stypes=""app*"&amp;VBX28&amp;"*"&amp;TEXT(VCE28-utc_offset/24,"YYYYMMDD")&amp;"*"" /stext="" "&amp;TEXT(VCE28-utc_offset/24,"HH")&amp;search_regexp&amp;""""</f>
        <v>#VALUE!</v>
      </c>
      <c r="VDC28" s="234" t="e">
        <f>astrogrep_path&amp;" /e /r /s /spath="&amp;search_path&amp;" /stypes=""app*"&amp;VBY28&amp;"*"&amp;TEXT(VCF28-utc_offset/24,"YYYYMMDD")&amp;"*"" /stext="" "&amp;TEXT(VCF28-utc_offset/24,"HH")&amp;search_regexp&amp;""""</f>
        <v>#VALUE!</v>
      </c>
      <c r="VDD28" s="234" t="e">
        <f>astrogrep_path&amp;" /e /r /s /spath="&amp;search_path&amp;" /stypes=""app*"&amp;VBZ28&amp;"*"&amp;TEXT(VCG28-utc_offset/24,"YYYYMMDD")&amp;"*"" /stext="" "&amp;TEXT(VCG28-utc_offset/24,"HH")&amp;search_regexp&amp;""""</f>
        <v>#REF!</v>
      </c>
      <c r="VDE28" s="234" t="e">
        <f>astrogrep_path&amp;" /e /r /s /spath="&amp;search_path&amp;" /stypes=""app*"&amp;VCA28&amp;"*"&amp;TEXT(VCH28-utc_offset/24,"YYYYMMDD")&amp;"*"" /stext="" "&amp;TEXT(VCH28-utc_offset/24,"HH")&amp;search_regexp&amp;""""</f>
        <v>#REF!</v>
      </c>
      <c r="VDF28" s="234" t="e">
        <f>astrogrep_path&amp;" /e /r /s /spath="&amp;search_path&amp;" /stypes=""app*"&amp;VCB28&amp;"*"&amp;TEXT(VCI28-utc_offset/24,"YYYYMMDD")&amp;"*"" /stext="" "&amp;TEXT(VCI28-utc_offset/24,"HH")&amp;search_regexp&amp;""""</f>
        <v>#REF!</v>
      </c>
      <c r="VDG28" s="234" t="e">
        <f>astrogrep_path&amp;" /e /r /s /spath="&amp;search_path&amp;" /stypes=""app*"&amp;VCC28&amp;"*"&amp;TEXT(VCJ28-utc_offset/24,"YYYYMMDD")&amp;"*"" /stext="" "&amp;TEXT(VCJ28-utc_offset/24,"HH")&amp;search_regexp&amp;""""</f>
        <v>#REF!</v>
      </c>
      <c r="VDH28" s="234" t="e">
        <f>astrogrep_path&amp;" /e /r /s /spath="&amp;search_path&amp;" /stypes=""app*"&amp;VCD28&amp;"*"&amp;TEXT(VCK28-utc_offset/24,"YYYYMMDD")&amp;"*"" /stext="" "&amp;TEXT(VCK28-utc_offset/24,"HH")&amp;search_regexp&amp;""""</f>
        <v>#REF!</v>
      </c>
      <c r="VDI28" s="234" t="e">
        <f>astrogrep_path&amp;" /e /r /s /spath="&amp;search_path&amp;" /stypes=""app*"&amp;VCE28&amp;"*"&amp;TEXT(VCL28-utc_offset/24,"YYYYMMDD")&amp;"*"" /stext="" "&amp;TEXT(VCL28-utc_offset/24,"HH")&amp;search_regexp&amp;""""</f>
        <v>#REF!</v>
      </c>
      <c r="VDJ28" s="234" t="e">
        <f>astrogrep_path&amp;" /e /r /s /spath="&amp;search_path&amp;" /stypes=""app*"&amp;VCF28&amp;"*"&amp;TEXT(VCM28-utc_offset/24,"YYYYMMDD")&amp;"*"" /stext="" "&amp;TEXT(VCM28-utc_offset/24,"HH")&amp;search_regexp&amp;""""</f>
        <v>#REF!</v>
      </c>
      <c r="VDK28" s="234" t="e">
        <f>astrogrep_path&amp;" /e /r /s /spath="&amp;search_path&amp;" /stypes=""app*"&amp;VCG28&amp;"*"&amp;TEXT(VCN28-utc_offset/24,"YYYYMMDD")&amp;"*"" /stext="" "&amp;TEXT(VCN28-utc_offset/24,"HH")&amp;search_regexp&amp;""""</f>
        <v>#REF!</v>
      </c>
      <c r="VDL28" s="234" t="e">
        <f>astrogrep_path&amp;" /e /r /s /spath="&amp;search_path&amp;" /stypes=""app*"&amp;VCH28&amp;"*"&amp;TEXT(VCO28-utc_offset/24,"YYYYMMDD")&amp;"*"" /stext="" "&amp;TEXT(VCO28-utc_offset/24,"HH")&amp;search_regexp&amp;""""</f>
        <v>#REF!</v>
      </c>
      <c r="VDM28" s="234" t="e">
        <f>astrogrep_path&amp;" /e /r /s /spath="&amp;search_path&amp;" /stypes=""app*"&amp;VCI28&amp;"*"&amp;TEXT(VCP28-utc_offset/24,"YYYYMMDD")&amp;"*"" /stext="" "&amp;TEXT(VCP28-utc_offset/24,"HH")&amp;search_regexp&amp;""""</f>
        <v>#REF!</v>
      </c>
      <c r="VDN28" s="234" t="e">
        <f>astrogrep_path&amp;" /e /r /s /spath="&amp;search_path&amp;" /stypes=""app*"&amp;VCJ28&amp;"*"&amp;TEXT(VCQ28-utc_offset/24,"YYYYMMDD")&amp;"*"" /stext="" "&amp;TEXT(VCQ28-utc_offset/24,"HH")&amp;search_regexp&amp;""""</f>
        <v>#REF!</v>
      </c>
      <c r="VDO28" s="234" t="e">
        <f>astrogrep_path&amp;" /e /r /s /spath="&amp;search_path&amp;" /stypes=""app*"&amp;VCK28&amp;"*"&amp;TEXT(VCR28-utc_offset/24,"YYYYMMDD")&amp;"*"" /stext="" "&amp;TEXT(VCR28-utc_offset/24,"HH")&amp;search_regexp&amp;""""</f>
        <v>#REF!</v>
      </c>
      <c r="VDP28" s="234" t="e">
        <f>astrogrep_path&amp;" /e /r /s /spath="&amp;search_path&amp;" /stypes=""app*"&amp;VCL28&amp;"*"&amp;TEXT(VCS28-utc_offset/24,"YYYYMMDD")&amp;"*"" /stext="" "&amp;TEXT(VCS28-utc_offset/24,"HH")&amp;search_regexp&amp;""""</f>
        <v>#REF!</v>
      </c>
      <c r="VDQ28" s="234" t="e">
        <f>astrogrep_path&amp;" /e /r /s /spath="&amp;search_path&amp;" /stypes=""app*"&amp;VCM28&amp;"*"&amp;TEXT(VCT28-utc_offset/24,"YYYYMMDD")&amp;"*"" /stext="" "&amp;TEXT(VCT28-utc_offset/24,"HH")&amp;search_regexp&amp;""""</f>
        <v>#REF!</v>
      </c>
      <c r="VDR28" s="234" t="e">
        <f>astrogrep_path&amp;" /e /r /s /spath="&amp;search_path&amp;" /stypes=""app*"&amp;VCN28&amp;"*"&amp;TEXT(VCU28-utc_offset/24,"YYYYMMDD")&amp;"*"" /stext="" "&amp;TEXT(VCU28-utc_offset/24,"HH")&amp;search_regexp&amp;""""</f>
        <v>#REF!</v>
      </c>
      <c r="VDS28" s="234" t="e">
        <f>astrogrep_path&amp;" /e /r /s /spath="&amp;search_path&amp;" /stypes=""app*"&amp;VCO28&amp;"*"&amp;TEXT(VCV28-utc_offset/24,"YYYYMMDD")&amp;"*"" /stext="" "&amp;TEXT(VCV28-utc_offset/24,"HH")&amp;search_regexp&amp;""""</f>
        <v>#REF!</v>
      </c>
      <c r="VDT28" s="234" t="e">
        <f>astrogrep_path&amp;" /e /r /s /spath="&amp;search_path&amp;" /stypes=""app*"&amp;VCP28&amp;"*"&amp;TEXT(VCW28-utc_offset/24,"YYYYMMDD")&amp;"*"" /stext="" "&amp;TEXT(VCW28-utc_offset/24,"HH")&amp;search_regexp&amp;""""</f>
        <v>#REF!</v>
      </c>
      <c r="VDU28" s="234" t="e">
        <f>astrogrep_path&amp;" /e /r /s /spath="&amp;search_path&amp;" /stypes=""app*"&amp;VCQ28&amp;"*"&amp;TEXT(VCX28-utc_offset/24,"YYYYMMDD")&amp;"*"" /stext="" "&amp;TEXT(VCX28-utc_offset/24,"HH")&amp;search_regexp&amp;""""</f>
        <v>#REF!</v>
      </c>
      <c r="VDV28" s="234" t="e">
        <f>astrogrep_path&amp;" /e /r /s /spath="&amp;search_path&amp;" /stypes=""app*"&amp;VCR28&amp;"*"&amp;TEXT(VCY28-utc_offset/24,"YYYYMMDD")&amp;"*"" /stext="" "&amp;TEXT(VCY28-utc_offset/24,"HH")&amp;search_regexp&amp;""""</f>
        <v>#REF!</v>
      </c>
      <c r="VDW28" s="234" t="e">
        <f>astrogrep_path&amp;" /e /r /s /spath="&amp;search_path&amp;" /stypes=""app*"&amp;VCS28&amp;"*"&amp;TEXT(VCZ28-utc_offset/24,"YYYYMMDD")&amp;"*"" /stext="" "&amp;TEXT(VCZ28-utc_offset/24,"HH")&amp;search_regexp&amp;""""</f>
        <v>#REF!</v>
      </c>
      <c r="VDX28" s="234" t="e">
        <f>astrogrep_path&amp;" /e /r /s /spath="&amp;search_path&amp;" /stypes=""app*"&amp;VCT28&amp;"*"&amp;TEXT(VDA28-utc_offset/24,"YYYYMMDD")&amp;"*"" /stext="" "&amp;TEXT(VDA28-utc_offset/24,"HH")&amp;search_regexp&amp;""""</f>
        <v>#REF!</v>
      </c>
      <c r="VDY28" s="234" t="e">
        <f>astrogrep_path&amp;" /e /r /s /spath="&amp;search_path&amp;" /stypes=""app*"&amp;VCU28&amp;"*"&amp;TEXT(VDB28-utc_offset/24,"YYYYMMDD")&amp;"*"" /stext="" "&amp;TEXT(VDB28-utc_offset/24,"HH")&amp;search_regexp&amp;""""</f>
        <v>#VALUE!</v>
      </c>
      <c r="VDZ28" s="234" t="e">
        <f>astrogrep_path&amp;" /e /r /s /spath="&amp;search_path&amp;" /stypes=""app*"&amp;VCV28&amp;"*"&amp;TEXT(VDC28-utc_offset/24,"YYYYMMDD")&amp;"*"" /stext="" "&amp;TEXT(VDC28-utc_offset/24,"HH")&amp;search_regexp&amp;""""</f>
        <v>#VALUE!</v>
      </c>
      <c r="VEA28" s="234" t="e">
        <f>astrogrep_path&amp;" /e /r /s /spath="&amp;search_path&amp;" /stypes=""app*"&amp;VCW28&amp;"*"&amp;TEXT(VDD28-utc_offset/24,"YYYYMMDD")&amp;"*"" /stext="" "&amp;TEXT(VDD28-utc_offset/24,"HH")&amp;search_regexp&amp;""""</f>
        <v>#REF!</v>
      </c>
      <c r="VEB28" s="234" t="e">
        <f>astrogrep_path&amp;" /e /r /s /spath="&amp;search_path&amp;" /stypes=""app*"&amp;VCX28&amp;"*"&amp;TEXT(VDE28-utc_offset/24,"YYYYMMDD")&amp;"*"" /stext="" "&amp;TEXT(VDE28-utc_offset/24,"HH")&amp;search_regexp&amp;""""</f>
        <v>#REF!</v>
      </c>
      <c r="VEC28" s="234" t="e">
        <f>astrogrep_path&amp;" /e /r /s /spath="&amp;search_path&amp;" /stypes=""app*"&amp;VCY28&amp;"*"&amp;TEXT(VDF28-utc_offset/24,"YYYYMMDD")&amp;"*"" /stext="" "&amp;TEXT(VDF28-utc_offset/24,"HH")&amp;search_regexp&amp;""""</f>
        <v>#VALUE!</v>
      </c>
      <c r="VED28" s="234" t="e">
        <f>astrogrep_path&amp;" /e /r /s /spath="&amp;search_path&amp;" /stypes=""app*"&amp;VCZ28&amp;"*"&amp;TEXT(VDG28-utc_offset/24,"YYYYMMDD")&amp;"*"" /stext="" "&amp;TEXT(VDG28-utc_offset/24,"HH")&amp;search_regexp&amp;""""</f>
        <v>#VALUE!</v>
      </c>
      <c r="VEE28" s="234" t="e">
        <f>astrogrep_path&amp;" /e /r /s /spath="&amp;search_path&amp;" /stypes=""app*"&amp;VDA28&amp;"*"&amp;TEXT(VDH28-utc_offset/24,"YYYYMMDD")&amp;"*"" /stext="" "&amp;TEXT(VDH28-utc_offset/24,"HH")&amp;search_regexp&amp;""""</f>
        <v>#VALUE!</v>
      </c>
      <c r="VEF28" s="234" t="e">
        <f>astrogrep_path&amp;" /e /r /s /spath="&amp;search_path&amp;" /stypes=""app*"&amp;VDB28&amp;"*"&amp;TEXT(VDI28-utc_offset/24,"YYYYMMDD")&amp;"*"" /stext="" "&amp;TEXT(VDI28-utc_offset/24,"HH")&amp;search_regexp&amp;""""</f>
        <v>#VALUE!</v>
      </c>
      <c r="VEG28" s="234" t="e">
        <f>astrogrep_path&amp;" /e /r /s /spath="&amp;search_path&amp;" /stypes=""app*"&amp;VDC28&amp;"*"&amp;TEXT(VDJ28-utc_offset/24,"YYYYMMDD")&amp;"*"" /stext="" "&amp;TEXT(VDJ28-utc_offset/24,"HH")&amp;search_regexp&amp;""""</f>
        <v>#VALUE!</v>
      </c>
      <c r="VEH28" s="234" t="e">
        <f>astrogrep_path&amp;" /e /r /s /spath="&amp;search_path&amp;" /stypes=""app*"&amp;VDD28&amp;"*"&amp;TEXT(VDK28-utc_offset/24,"YYYYMMDD")&amp;"*"" /stext="" "&amp;TEXT(VDK28-utc_offset/24,"HH")&amp;search_regexp&amp;""""</f>
        <v>#REF!</v>
      </c>
      <c r="VEI28" s="234" t="e">
        <f>astrogrep_path&amp;" /e /r /s /spath="&amp;search_path&amp;" /stypes=""app*"&amp;VDE28&amp;"*"&amp;TEXT(VDL28-utc_offset/24,"YYYYMMDD")&amp;"*"" /stext="" "&amp;TEXT(VDL28-utc_offset/24,"HH")&amp;search_regexp&amp;""""</f>
        <v>#REF!</v>
      </c>
      <c r="VEJ28" s="234" t="e">
        <f>astrogrep_path&amp;" /e /r /s /spath="&amp;search_path&amp;" /stypes=""app*"&amp;VDF28&amp;"*"&amp;TEXT(VDM28-utc_offset/24,"YYYYMMDD")&amp;"*"" /stext="" "&amp;TEXT(VDM28-utc_offset/24,"HH")&amp;search_regexp&amp;""""</f>
        <v>#REF!</v>
      </c>
      <c r="VEK28" s="234" t="e">
        <f>astrogrep_path&amp;" /e /r /s /spath="&amp;search_path&amp;" /stypes=""app*"&amp;VDG28&amp;"*"&amp;TEXT(VDN28-utc_offset/24,"YYYYMMDD")&amp;"*"" /stext="" "&amp;TEXT(VDN28-utc_offset/24,"HH")&amp;search_regexp&amp;""""</f>
        <v>#REF!</v>
      </c>
      <c r="VEL28" s="234" t="e">
        <f>astrogrep_path&amp;" /e /r /s /spath="&amp;search_path&amp;" /stypes=""app*"&amp;VDH28&amp;"*"&amp;TEXT(VDO28-utc_offset/24,"YYYYMMDD")&amp;"*"" /stext="" "&amp;TEXT(VDO28-utc_offset/24,"HH")&amp;search_regexp&amp;""""</f>
        <v>#REF!</v>
      </c>
      <c r="VEM28" s="234" t="e">
        <f>astrogrep_path&amp;" /e /r /s /spath="&amp;search_path&amp;" /stypes=""app*"&amp;VDI28&amp;"*"&amp;TEXT(VDP28-utc_offset/24,"YYYYMMDD")&amp;"*"" /stext="" "&amp;TEXT(VDP28-utc_offset/24,"HH")&amp;search_regexp&amp;""""</f>
        <v>#REF!</v>
      </c>
      <c r="VEN28" s="234" t="e">
        <f>astrogrep_path&amp;" /e /r /s /spath="&amp;search_path&amp;" /stypes=""app*"&amp;VDJ28&amp;"*"&amp;TEXT(VDQ28-utc_offset/24,"YYYYMMDD")&amp;"*"" /stext="" "&amp;TEXT(VDQ28-utc_offset/24,"HH")&amp;search_regexp&amp;""""</f>
        <v>#REF!</v>
      </c>
      <c r="VEO28" s="234" t="e">
        <f>astrogrep_path&amp;" /e /r /s /spath="&amp;search_path&amp;" /stypes=""app*"&amp;VDK28&amp;"*"&amp;TEXT(VDR28-utc_offset/24,"YYYYMMDD")&amp;"*"" /stext="" "&amp;TEXT(VDR28-utc_offset/24,"HH")&amp;search_regexp&amp;""""</f>
        <v>#REF!</v>
      </c>
      <c r="VEP28" s="234" t="e">
        <f>astrogrep_path&amp;" /e /r /s /spath="&amp;search_path&amp;" /stypes=""app*"&amp;VDL28&amp;"*"&amp;TEXT(VDS28-utc_offset/24,"YYYYMMDD")&amp;"*"" /stext="" "&amp;TEXT(VDS28-utc_offset/24,"HH")&amp;search_regexp&amp;""""</f>
        <v>#REF!</v>
      </c>
      <c r="VEQ28" s="234" t="e">
        <f>astrogrep_path&amp;" /e /r /s /spath="&amp;search_path&amp;" /stypes=""app*"&amp;VDM28&amp;"*"&amp;TEXT(VDT28-utc_offset/24,"YYYYMMDD")&amp;"*"" /stext="" "&amp;TEXT(VDT28-utc_offset/24,"HH")&amp;search_regexp&amp;""""</f>
        <v>#REF!</v>
      </c>
      <c r="VER28" s="234" t="e">
        <f>astrogrep_path&amp;" /e /r /s /spath="&amp;search_path&amp;" /stypes=""app*"&amp;VDN28&amp;"*"&amp;TEXT(VDU28-utc_offset/24,"YYYYMMDD")&amp;"*"" /stext="" "&amp;TEXT(VDU28-utc_offset/24,"HH")&amp;search_regexp&amp;""""</f>
        <v>#REF!</v>
      </c>
      <c r="VES28" s="234" t="e">
        <f>astrogrep_path&amp;" /e /r /s /spath="&amp;search_path&amp;" /stypes=""app*"&amp;VDO28&amp;"*"&amp;TEXT(VDV28-utc_offset/24,"YYYYMMDD")&amp;"*"" /stext="" "&amp;TEXT(VDV28-utc_offset/24,"HH")&amp;search_regexp&amp;""""</f>
        <v>#REF!</v>
      </c>
      <c r="VET28" s="234" t="e">
        <f>astrogrep_path&amp;" /e /r /s /spath="&amp;search_path&amp;" /stypes=""app*"&amp;VDP28&amp;"*"&amp;TEXT(VDW28-utc_offset/24,"YYYYMMDD")&amp;"*"" /stext="" "&amp;TEXT(VDW28-utc_offset/24,"HH")&amp;search_regexp&amp;""""</f>
        <v>#REF!</v>
      </c>
      <c r="VEU28" s="234" t="e">
        <f>astrogrep_path&amp;" /e /r /s /spath="&amp;search_path&amp;" /stypes=""app*"&amp;VDQ28&amp;"*"&amp;TEXT(VDX28-utc_offset/24,"YYYYMMDD")&amp;"*"" /stext="" "&amp;TEXT(VDX28-utc_offset/24,"HH")&amp;search_regexp&amp;""""</f>
        <v>#REF!</v>
      </c>
      <c r="VEV28" s="234" t="e">
        <f>astrogrep_path&amp;" /e /r /s /spath="&amp;search_path&amp;" /stypes=""app*"&amp;VDR28&amp;"*"&amp;TEXT(VDY28-utc_offset/24,"YYYYMMDD")&amp;"*"" /stext="" "&amp;TEXT(VDY28-utc_offset/24,"HH")&amp;search_regexp&amp;""""</f>
        <v>#REF!</v>
      </c>
      <c r="VEW28" s="234" t="e">
        <f>astrogrep_path&amp;" /e /r /s /spath="&amp;search_path&amp;" /stypes=""app*"&amp;VDS28&amp;"*"&amp;TEXT(VDZ28-utc_offset/24,"YYYYMMDD")&amp;"*"" /stext="" "&amp;TEXT(VDZ28-utc_offset/24,"HH")&amp;search_regexp&amp;""""</f>
        <v>#REF!</v>
      </c>
      <c r="VEX28" s="234" t="e">
        <f>astrogrep_path&amp;" /e /r /s /spath="&amp;search_path&amp;" /stypes=""app*"&amp;VDT28&amp;"*"&amp;TEXT(VEA28-utc_offset/24,"YYYYMMDD")&amp;"*"" /stext="" "&amp;TEXT(VEA28-utc_offset/24,"HH")&amp;search_regexp&amp;""""</f>
        <v>#REF!</v>
      </c>
      <c r="VEY28" s="234" t="e">
        <f>astrogrep_path&amp;" /e /r /s /spath="&amp;search_path&amp;" /stypes=""app*"&amp;VDU28&amp;"*"&amp;TEXT(VEB28-utc_offset/24,"YYYYMMDD")&amp;"*"" /stext="" "&amp;TEXT(VEB28-utc_offset/24,"HH")&amp;search_regexp&amp;""""</f>
        <v>#REF!</v>
      </c>
      <c r="VEZ28" s="234" t="e">
        <f>astrogrep_path&amp;" /e /r /s /spath="&amp;search_path&amp;" /stypes=""app*"&amp;VDV28&amp;"*"&amp;TEXT(VEC28-utc_offset/24,"YYYYMMDD")&amp;"*"" /stext="" "&amp;TEXT(VEC28-utc_offset/24,"HH")&amp;search_regexp&amp;""""</f>
        <v>#REF!</v>
      </c>
      <c r="VFA28" s="234" t="e">
        <f>astrogrep_path&amp;" /e /r /s /spath="&amp;search_path&amp;" /stypes=""app*"&amp;VDW28&amp;"*"&amp;TEXT(VED28-utc_offset/24,"YYYYMMDD")&amp;"*"" /stext="" "&amp;TEXT(VED28-utc_offset/24,"HH")&amp;search_regexp&amp;""""</f>
        <v>#REF!</v>
      </c>
      <c r="VFB28" s="234" t="e">
        <f>astrogrep_path&amp;" /e /r /s /spath="&amp;search_path&amp;" /stypes=""app*"&amp;VDX28&amp;"*"&amp;TEXT(VEE28-utc_offset/24,"YYYYMMDD")&amp;"*"" /stext="" "&amp;TEXT(VEE28-utc_offset/24,"HH")&amp;search_regexp&amp;""""</f>
        <v>#REF!</v>
      </c>
      <c r="VFC28" s="234" t="e">
        <f>astrogrep_path&amp;" /e /r /s /spath="&amp;search_path&amp;" /stypes=""app*"&amp;VDY28&amp;"*"&amp;TEXT(VEF28-utc_offset/24,"YYYYMMDD")&amp;"*"" /stext="" "&amp;TEXT(VEF28-utc_offset/24,"HH")&amp;search_regexp&amp;""""</f>
        <v>#VALUE!</v>
      </c>
      <c r="VFD28" s="234" t="e">
        <f>astrogrep_path&amp;" /e /r /s /spath="&amp;search_path&amp;" /stypes=""app*"&amp;VDZ28&amp;"*"&amp;TEXT(VEG28-utc_offset/24,"YYYYMMDD")&amp;"*"" /stext="" "&amp;TEXT(VEG28-utc_offset/24,"HH")&amp;search_regexp&amp;""""</f>
        <v>#VALUE!</v>
      </c>
      <c r="VFE28" s="234" t="e">
        <f>astrogrep_path&amp;" /e /r /s /spath="&amp;search_path&amp;" /stypes=""app*"&amp;VEA28&amp;"*"&amp;TEXT(VEH28-utc_offset/24,"YYYYMMDD")&amp;"*"" /stext="" "&amp;TEXT(VEH28-utc_offset/24,"HH")&amp;search_regexp&amp;""""</f>
        <v>#REF!</v>
      </c>
      <c r="VFF28" s="234" t="e">
        <f>astrogrep_path&amp;" /e /r /s /spath="&amp;search_path&amp;" /stypes=""app*"&amp;VEB28&amp;"*"&amp;TEXT(VEI28-utc_offset/24,"YYYYMMDD")&amp;"*"" /stext="" "&amp;TEXT(VEI28-utc_offset/24,"HH")&amp;search_regexp&amp;""""</f>
        <v>#REF!</v>
      </c>
      <c r="VFG28" s="234" t="e">
        <f>astrogrep_path&amp;" /e /r /s /spath="&amp;search_path&amp;" /stypes=""app*"&amp;VEC28&amp;"*"&amp;TEXT(VEJ28-utc_offset/24,"YYYYMMDD")&amp;"*"" /stext="" "&amp;TEXT(VEJ28-utc_offset/24,"HH")&amp;search_regexp&amp;""""</f>
        <v>#VALUE!</v>
      </c>
      <c r="VFH28" s="234" t="e">
        <f>astrogrep_path&amp;" /e /r /s /spath="&amp;search_path&amp;" /stypes=""app*"&amp;VED28&amp;"*"&amp;TEXT(VEK28-utc_offset/24,"YYYYMMDD")&amp;"*"" /stext="" "&amp;TEXT(VEK28-utc_offset/24,"HH")&amp;search_regexp&amp;""""</f>
        <v>#VALUE!</v>
      </c>
      <c r="VFI28" s="234" t="e">
        <f>astrogrep_path&amp;" /e /r /s /spath="&amp;search_path&amp;" /stypes=""app*"&amp;VEE28&amp;"*"&amp;TEXT(VEL28-utc_offset/24,"YYYYMMDD")&amp;"*"" /stext="" "&amp;TEXT(VEL28-utc_offset/24,"HH")&amp;search_regexp&amp;""""</f>
        <v>#VALUE!</v>
      </c>
      <c r="VFJ28" s="234" t="e">
        <f>astrogrep_path&amp;" /e /r /s /spath="&amp;search_path&amp;" /stypes=""app*"&amp;VEF28&amp;"*"&amp;TEXT(VEM28-utc_offset/24,"YYYYMMDD")&amp;"*"" /stext="" "&amp;TEXT(VEM28-utc_offset/24,"HH")&amp;search_regexp&amp;""""</f>
        <v>#VALUE!</v>
      </c>
      <c r="VFK28" s="234" t="e">
        <f>astrogrep_path&amp;" /e /r /s /spath="&amp;search_path&amp;" /stypes=""app*"&amp;VEG28&amp;"*"&amp;TEXT(VEN28-utc_offset/24,"YYYYMMDD")&amp;"*"" /stext="" "&amp;TEXT(VEN28-utc_offset/24,"HH")&amp;search_regexp&amp;""""</f>
        <v>#VALUE!</v>
      </c>
      <c r="VFL28" s="234" t="e">
        <f>astrogrep_path&amp;" /e /r /s /spath="&amp;search_path&amp;" /stypes=""app*"&amp;VEH28&amp;"*"&amp;TEXT(VEO28-utc_offset/24,"YYYYMMDD")&amp;"*"" /stext="" "&amp;TEXT(VEO28-utc_offset/24,"HH")&amp;search_regexp&amp;""""</f>
        <v>#REF!</v>
      </c>
      <c r="VFM28" s="234" t="e">
        <f>astrogrep_path&amp;" /e /r /s /spath="&amp;search_path&amp;" /stypes=""app*"&amp;VEI28&amp;"*"&amp;TEXT(VEP28-utc_offset/24,"YYYYMMDD")&amp;"*"" /stext="" "&amp;TEXT(VEP28-utc_offset/24,"HH")&amp;search_regexp&amp;""""</f>
        <v>#REF!</v>
      </c>
      <c r="VFN28" s="234" t="e">
        <f>astrogrep_path&amp;" /e /r /s /spath="&amp;search_path&amp;" /stypes=""app*"&amp;VEJ28&amp;"*"&amp;TEXT(VEQ28-utc_offset/24,"YYYYMMDD")&amp;"*"" /stext="" "&amp;TEXT(VEQ28-utc_offset/24,"HH")&amp;search_regexp&amp;""""</f>
        <v>#REF!</v>
      </c>
      <c r="VFO28" s="234" t="e">
        <f>astrogrep_path&amp;" /e /r /s /spath="&amp;search_path&amp;" /stypes=""app*"&amp;VEK28&amp;"*"&amp;TEXT(VER28-utc_offset/24,"YYYYMMDD")&amp;"*"" /stext="" "&amp;TEXT(VER28-utc_offset/24,"HH")&amp;search_regexp&amp;""""</f>
        <v>#REF!</v>
      </c>
      <c r="VFP28" s="234" t="e">
        <f>astrogrep_path&amp;" /e /r /s /spath="&amp;search_path&amp;" /stypes=""app*"&amp;VEL28&amp;"*"&amp;TEXT(VES28-utc_offset/24,"YYYYMMDD")&amp;"*"" /stext="" "&amp;TEXT(VES28-utc_offset/24,"HH")&amp;search_regexp&amp;""""</f>
        <v>#REF!</v>
      </c>
      <c r="VFQ28" s="234" t="e">
        <f>astrogrep_path&amp;" /e /r /s /spath="&amp;search_path&amp;" /stypes=""app*"&amp;VEM28&amp;"*"&amp;TEXT(VET28-utc_offset/24,"YYYYMMDD")&amp;"*"" /stext="" "&amp;TEXT(VET28-utc_offset/24,"HH")&amp;search_regexp&amp;""""</f>
        <v>#REF!</v>
      </c>
      <c r="VFR28" s="234" t="e">
        <f>astrogrep_path&amp;" /e /r /s /spath="&amp;search_path&amp;" /stypes=""app*"&amp;VEN28&amp;"*"&amp;TEXT(VEU28-utc_offset/24,"YYYYMMDD")&amp;"*"" /stext="" "&amp;TEXT(VEU28-utc_offset/24,"HH")&amp;search_regexp&amp;""""</f>
        <v>#REF!</v>
      </c>
      <c r="VFS28" s="234" t="e">
        <f>astrogrep_path&amp;" /e /r /s /spath="&amp;search_path&amp;" /stypes=""app*"&amp;VEO28&amp;"*"&amp;TEXT(VEV28-utc_offset/24,"YYYYMMDD")&amp;"*"" /stext="" "&amp;TEXT(VEV28-utc_offset/24,"HH")&amp;search_regexp&amp;""""</f>
        <v>#REF!</v>
      </c>
      <c r="VFT28" s="234" t="e">
        <f>astrogrep_path&amp;" /e /r /s /spath="&amp;search_path&amp;" /stypes=""app*"&amp;VEP28&amp;"*"&amp;TEXT(VEW28-utc_offset/24,"YYYYMMDD")&amp;"*"" /stext="" "&amp;TEXT(VEW28-utc_offset/24,"HH")&amp;search_regexp&amp;""""</f>
        <v>#REF!</v>
      </c>
      <c r="VFU28" s="234" t="e">
        <f>astrogrep_path&amp;" /e /r /s /spath="&amp;search_path&amp;" /stypes=""app*"&amp;VEQ28&amp;"*"&amp;TEXT(VEX28-utc_offset/24,"YYYYMMDD")&amp;"*"" /stext="" "&amp;TEXT(VEX28-utc_offset/24,"HH")&amp;search_regexp&amp;""""</f>
        <v>#REF!</v>
      </c>
      <c r="VFV28" s="234" t="e">
        <f>astrogrep_path&amp;" /e /r /s /spath="&amp;search_path&amp;" /stypes=""app*"&amp;VER28&amp;"*"&amp;TEXT(VEY28-utc_offset/24,"YYYYMMDD")&amp;"*"" /stext="" "&amp;TEXT(VEY28-utc_offset/24,"HH")&amp;search_regexp&amp;""""</f>
        <v>#REF!</v>
      </c>
      <c r="VFW28" s="234" t="e">
        <f>astrogrep_path&amp;" /e /r /s /spath="&amp;search_path&amp;" /stypes=""app*"&amp;VES28&amp;"*"&amp;TEXT(VEZ28-utc_offset/24,"YYYYMMDD")&amp;"*"" /stext="" "&amp;TEXT(VEZ28-utc_offset/24,"HH")&amp;search_regexp&amp;""""</f>
        <v>#REF!</v>
      </c>
      <c r="VFX28" s="234" t="e">
        <f>astrogrep_path&amp;" /e /r /s /spath="&amp;search_path&amp;" /stypes=""app*"&amp;VET28&amp;"*"&amp;TEXT(VFA28-utc_offset/24,"YYYYMMDD")&amp;"*"" /stext="" "&amp;TEXT(VFA28-utc_offset/24,"HH")&amp;search_regexp&amp;""""</f>
        <v>#REF!</v>
      </c>
      <c r="VFY28" s="234" t="e">
        <f>astrogrep_path&amp;" /e /r /s /spath="&amp;search_path&amp;" /stypes=""app*"&amp;VEU28&amp;"*"&amp;TEXT(VFB28-utc_offset/24,"YYYYMMDD")&amp;"*"" /stext="" "&amp;TEXT(VFB28-utc_offset/24,"HH")&amp;search_regexp&amp;""""</f>
        <v>#REF!</v>
      </c>
      <c r="VFZ28" s="234" t="e">
        <f>astrogrep_path&amp;" /e /r /s /spath="&amp;search_path&amp;" /stypes=""app*"&amp;VEV28&amp;"*"&amp;TEXT(VFC28-utc_offset/24,"YYYYMMDD")&amp;"*"" /stext="" "&amp;TEXT(VFC28-utc_offset/24,"HH")&amp;search_regexp&amp;""""</f>
        <v>#REF!</v>
      </c>
      <c r="VGA28" s="234" t="e">
        <f>astrogrep_path&amp;" /e /r /s /spath="&amp;search_path&amp;" /stypes=""app*"&amp;VEW28&amp;"*"&amp;TEXT(VFD28-utc_offset/24,"YYYYMMDD")&amp;"*"" /stext="" "&amp;TEXT(VFD28-utc_offset/24,"HH")&amp;search_regexp&amp;""""</f>
        <v>#REF!</v>
      </c>
      <c r="VGB28" s="234" t="e">
        <f>astrogrep_path&amp;" /e /r /s /spath="&amp;search_path&amp;" /stypes=""app*"&amp;VEX28&amp;"*"&amp;TEXT(VFE28-utc_offset/24,"YYYYMMDD")&amp;"*"" /stext="" "&amp;TEXT(VFE28-utc_offset/24,"HH")&amp;search_regexp&amp;""""</f>
        <v>#REF!</v>
      </c>
      <c r="VGC28" s="234" t="e">
        <f>astrogrep_path&amp;" /e /r /s /spath="&amp;search_path&amp;" /stypes=""app*"&amp;VEY28&amp;"*"&amp;TEXT(VFF28-utc_offset/24,"YYYYMMDD")&amp;"*"" /stext="" "&amp;TEXT(VFF28-utc_offset/24,"HH")&amp;search_regexp&amp;""""</f>
        <v>#REF!</v>
      </c>
      <c r="VGD28" s="234" t="e">
        <f>astrogrep_path&amp;" /e /r /s /spath="&amp;search_path&amp;" /stypes=""app*"&amp;VEZ28&amp;"*"&amp;TEXT(VFG28-utc_offset/24,"YYYYMMDD")&amp;"*"" /stext="" "&amp;TEXT(VFG28-utc_offset/24,"HH")&amp;search_regexp&amp;""""</f>
        <v>#REF!</v>
      </c>
      <c r="VGE28" s="234" t="e">
        <f>astrogrep_path&amp;" /e /r /s /spath="&amp;search_path&amp;" /stypes=""app*"&amp;VFA28&amp;"*"&amp;TEXT(VFH28-utc_offset/24,"YYYYMMDD")&amp;"*"" /stext="" "&amp;TEXT(VFH28-utc_offset/24,"HH")&amp;search_regexp&amp;""""</f>
        <v>#REF!</v>
      </c>
      <c r="VGF28" s="234" t="e">
        <f>astrogrep_path&amp;" /e /r /s /spath="&amp;search_path&amp;" /stypes=""app*"&amp;VFB28&amp;"*"&amp;TEXT(VFI28-utc_offset/24,"YYYYMMDD")&amp;"*"" /stext="" "&amp;TEXT(VFI28-utc_offset/24,"HH")&amp;search_regexp&amp;""""</f>
        <v>#REF!</v>
      </c>
      <c r="VGG28" s="234" t="e">
        <f>astrogrep_path&amp;" /e /r /s /spath="&amp;search_path&amp;" /stypes=""app*"&amp;VFC28&amp;"*"&amp;TEXT(VFJ28-utc_offset/24,"YYYYMMDD")&amp;"*"" /stext="" "&amp;TEXT(VFJ28-utc_offset/24,"HH")&amp;search_regexp&amp;""""</f>
        <v>#VALUE!</v>
      </c>
      <c r="VGH28" s="234" t="e">
        <f>astrogrep_path&amp;" /e /r /s /spath="&amp;search_path&amp;" /stypes=""app*"&amp;VFD28&amp;"*"&amp;TEXT(VFK28-utc_offset/24,"YYYYMMDD")&amp;"*"" /stext="" "&amp;TEXT(VFK28-utc_offset/24,"HH")&amp;search_regexp&amp;""""</f>
        <v>#VALUE!</v>
      </c>
      <c r="VGI28" s="234" t="e">
        <f>astrogrep_path&amp;" /e /r /s /spath="&amp;search_path&amp;" /stypes=""app*"&amp;VFE28&amp;"*"&amp;TEXT(VFL28-utc_offset/24,"YYYYMMDD")&amp;"*"" /stext="" "&amp;TEXT(VFL28-utc_offset/24,"HH")&amp;search_regexp&amp;""""</f>
        <v>#REF!</v>
      </c>
      <c r="VGJ28" s="234" t="e">
        <f>astrogrep_path&amp;" /e /r /s /spath="&amp;search_path&amp;" /stypes=""app*"&amp;VFF28&amp;"*"&amp;TEXT(VFM28-utc_offset/24,"YYYYMMDD")&amp;"*"" /stext="" "&amp;TEXT(VFM28-utc_offset/24,"HH")&amp;search_regexp&amp;""""</f>
        <v>#REF!</v>
      </c>
      <c r="VGK28" s="234" t="e">
        <f>astrogrep_path&amp;" /e /r /s /spath="&amp;search_path&amp;" /stypes=""app*"&amp;VFG28&amp;"*"&amp;TEXT(VFN28-utc_offset/24,"YYYYMMDD")&amp;"*"" /stext="" "&amp;TEXT(VFN28-utc_offset/24,"HH")&amp;search_regexp&amp;""""</f>
        <v>#VALUE!</v>
      </c>
      <c r="VGL28" s="234" t="e">
        <f>astrogrep_path&amp;" /e /r /s /spath="&amp;search_path&amp;" /stypes=""app*"&amp;VFH28&amp;"*"&amp;TEXT(VFO28-utc_offset/24,"YYYYMMDD")&amp;"*"" /stext="" "&amp;TEXT(VFO28-utc_offset/24,"HH")&amp;search_regexp&amp;""""</f>
        <v>#VALUE!</v>
      </c>
      <c r="VGM28" s="234" t="e">
        <f>astrogrep_path&amp;" /e /r /s /spath="&amp;search_path&amp;" /stypes=""app*"&amp;VFI28&amp;"*"&amp;TEXT(VFP28-utc_offset/24,"YYYYMMDD")&amp;"*"" /stext="" "&amp;TEXT(VFP28-utc_offset/24,"HH")&amp;search_regexp&amp;""""</f>
        <v>#VALUE!</v>
      </c>
      <c r="VGN28" s="234" t="e">
        <f>astrogrep_path&amp;" /e /r /s /spath="&amp;search_path&amp;" /stypes=""app*"&amp;VFJ28&amp;"*"&amp;TEXT(VFQ28-utc_offset/24,"YYYYMMDD")&amp;"*"" /stext="" "&amp;TEXT(VFQ28-utc_offset/24,"HH")&amp;search_regexp&amp;""""</f>
        <v>#VALUE!</v>
      </c>
      <c r="VGO28" s="234" t="e">
        <f>astrogrep_path&amp;" /e /r /s /spath="&amp;search_path&amp;" /stypes=""app*"&amp;VFK28&amp;"*"&amp;TEXT(VFR28-utc_offset/24,"YYYYMMDD")&amp;"*"" /stext="" "&amp;TEXT(VFR28-utc_offset/24,"HH")&amp;search_regexp&amp;""""</f>
        <v>#VALUE!</v>
      </c>
      <c r="VGP28" s="234" t="e">
        <f>astrogrep_path&amp;" /e /r /s /spath="&amp;search_path&amp;" /stypes=""app*"&amp;VFL28&amp;"*"&amp;TEXT(VFS28-utc_offset/24,"YYYYMMDD")&amp;"*"" /stext="" "&amp;TEXT(VFS28-utc_offset/24,"HH")&amp;search_regexp&amp;""""</f>
        <v>#REF!</v>
      </c>
      <c r="VGQ28" s="234" t="e">
        <f>astrogrep_path&amp;" /e /r /s /spath="&amp;search_path&amp;" /stypes=""app*"&amp;VFM28&amp;"*"&amp;TEXT(VFT28-utc_offset/24,"YYYYMMDD")&amp;"*"" /stext="" "&amp;TEXT(VFT28-utc_offset/24,"HH")&amp;search_regexp&amp;""""</f>
        <v>#REF!</v>
      </c>
      <c r="VGR28" s="234" t="e">
        <f>astrogrep_path&amp;" /e /r /s /spath="&amp;search_path&amp;" /stypes=""app*"&amp;VFN28&amp;"*"&amp;TEXT(VFU28-utc_offset/24,"YYYYMMDD")&amp;"*"" /stext="" "&amp;TEXT(VFU28-utc_offset/24,"HH")&amp;search_regexp&amp;""""</f>
        <v>#REF!</v>
      </c>
      <c r="VGS28" s="234" t="e">
        <f>astrogrep_path&amp;" /e /r /s /spath="&amp;search_path&amp;" /stypes=""app*"&amp;VFO28&amp;"*"&amp;TEXT(VFV28-utc_offset/24,"YYYYMMDD")&amp;"*"" /stext="" "&amp;TEXT(VFV28-utc_offset/24,"HH")&amp;search_regexp&amp;""""</f>
        <v>#REF!</v>
      </c>
      <c r="VGT28" s="234" t="e">
        <f>astrogrep_path&amp;" /e /r /s /spath="&amp;search_path&amp;" /stypes=""app*"&amp;VFP28&amp;"*"&amp;TEXT(VFW28-utc_offset/24,"YYYYMMDD")&amp;"*"" /stext="" "&amp;TEXT(VFW28-utc_offset/24,"HH")&amp;search_regexp&amp;""""</f>
        <v>#REF!</v>
      </c>
      <c r="VGU28" s="234" t="e">
        <f>astrogrep_path&amp;" /e /r /s /spath="&amp;search_path&amp;" /stypes=""app*"&amp;VFQ28&amp;"*"&amp;TEXT(VFX28-utc_offset/24,"YYYYMMDD")&amp;"*"" /stext="" "&amp;TEXT(VFX28-utc_offset/24,"HH")&amp;search_regexp&amp;""""</f>
        <v>#REF!</v>
      </c>
      <c r="VGV28" s="234" t="e">
        <f>astrogrep_path&amp;" /e /r /s /spath="&amp;search_path&amp;" /stypes=""app*"&amp;VFR28&amp;"*"&amp;TEXT(VFY28-utc_offset/24,"YYYYMMDD")&amp;"*"" /stext="" "&amp;TEXT(VFY28-utc_offset/24,"HH")&amp;search_regexp&amp;""""</f>
        <v>#REF!</v>
      </c>
      <c r="VGW28" s="234" t="e">
        <f>astrogrep_path&amp;" /e /r /s /spath="&amp;search_path&amp;" /stypes=""app*"&amp;VFS28&amp;"*"&amp;TEXT(VFZ28-utc_offset/24,"YYYYMMDD")&amp;"*"" /stext="" "&amp;TEXT(VFZ28-utc_offset/24,"HH")&amp;search_regexp&amp;""""</f>
        <v>#REF!</v>
      </c>
      <c r="VGX28" s="234" t="e">
        <f>astrogrep_path&amp;" /e /r /s /spath="&amp;search_path&amp;" /stypes=""app*"&amp;VFT28&amp;"*"&amp;TEXT(VGA28-utc_offset/24,"YYYYMMDD")&amp;"*"" /stext="" "&amp;TEXT(VGA28-utc_offset/24,"HH")&amp;search_regexp&amp;""""</f>
        <v>#REF!</v>
      </c>
      <c r="VGY28" s="234" t="e">
        <f>astrogrep_path&amp;" /e /r /s /spath="&amp;search_path&amp;" /stypes=""app*"&amp;VFU28&amp;"*"&amp;TEXT(VGB28-utc_offset/24,"YYYYMMDD")&amp;"*"" /stext="" "&amp;TEXT(VGB28-utc_offset/24,"HH")&amp;search_regexp&amp;""""</f>
        <v>#REF!</v>
      </c>
      <c r="VGZ28" s="234" t="e">
        <f>astrogrep_path&amp;" /e /r /s /spath="&amp;search_path&amp;" /stypes=""app*"&amp;VFV28&amp;"*"&amp;TEXT(VGC28-utc_offset/24,"YYYYMMDD")&amp;"*"" /stext="" "&amp;TEXT(VGC28-utc_offset/24,"HH")&amp;search_regexp&amp;""""</f>
        <v>#REF!</v>
      </c>
      <c r="VHA28" s="234" t="e">
        <f>astrogrep_path&amp;" /e /r /s /spath="&amp;search_path&amp;" /stypes=""app*"&amp;VFW28&amp;"*"&amp;TEXT(VGD28-utc_offset/24,"YYYYMMDD")&amp;"*"" /stext="" "&amp;TEXT(VGD28-utc_offset/24,"HH")&amp;search_regexp&amp;""""</f>
        <v>#REF!</v>
      </c>
      <c r="VHB28" s="234" t="e">
        <f>astrogrep_path&amp;" /e /r /s /spath="&amp;search_path&amp;" /stypes=""app*"&amp;VFX28&amp;"*"&amp;TEXT(VGE28-utc_offset/24,"YYYYMMDD")&amp;"*"" /stext="" "&amp;TEXT(VGE28-utc_offset/24,"HH")&amp;search_regexp&amp;""""</f>
        <v>#REF!</v>
      </c>
      <c r="VHC28" s="234" t="e">
        <f>astrogrep_path&amp;" /e /r /s /spath="&amp;search_path&amp;" /stypes=""app*"&amp;VFY28&amp;"*"&amp;TEXT(VGF28-utc_offset/24,"YYYYMMDD")&amp;"*"" /stext="" "&amp;TEXT(VGF28-utc_offset/24,"HH")&amp;search_regexp&amp;""""</f>
        <v>#REF!</v>
      </c>
      <c r="VHD28" s="234" t="e">
        <f>astrogrep_path&amp;" /e /r /s /spath="&amp;search_path&amp;" /stypes=""app*"&amp;VFZ28&amp;"*"&amp;TEXT(VGG28-utc_offset/24,"YYYYMMDD")&amp;"*"" /stext="" "&amp;TEXT(VGG28-utc_offset/24,"HH")&amp;search_regexp&amp;""""</f>
        <v>#REF!</v>
      </c>
      <c r="VHE28" s="234" t="e">
        <f>astrogrep_path&amp;" /e /r /s /spath="&amp;search_path&amp;" /stypes=""app*"&amp;VGA28&amp;"*"&amp;TEXT(VGH28-utc_offset/24,"YYYYMMDD")&amp;"*"" /stext="" "&amp;TEXT(VGH28-utc_offset/24,"HH")&amp;search_regexp&amp;""""</f>
        <v>#REF!</v>
      </c>
      <c r="VHF28" s="234" t="e">
        <f>astrogrep_path&amp;" /e /r /s /spath="&amp;search_path&amp;" /stypes=""app*"&amp;VGB28&amp;"*"&amp;TEXT(VGI28-utc_offset/24,"YYYYMMDD")&amp;"*"" /stext="" "&amp;TEXT(VGI28-utc_offset/24,"HH")&amp;search_regexp&amp;""""</f>
        <v>#REF!</v>
      </c>
      <c r="VHG28" s="234" t="e">
        <f>astrogrep_path&amp;" /e /r /s /spath="&amp;search_path&amp;" /stypes=""app*"&amp;VGC28&amp;"*"&amp;TEXT(VGJ28-utc_offset/24,"YYYYMMDD")&amp;"*"" /stext="" "&amp;TEXT(VGJ28-utc_offset/24,"HH")&amp;search_regexp&amp;""""</f>
        <v>#REF!</v>
      </c>
      <c r="VHH28" s="234" t="e">
        <f>astrogrep_path&amp;" /e /r /s /spath="&amp;search_path&amp;" /stypes=""app*"&amp;VGD28&amp;"*"&amp;TEXT(VGK28-utc_offset/24,"YYYYMMDD")&amp;"*"" /stext="" "&amp;TEXT(VGK28-utc_offset/24,"HH")&amp;search_regexp&amp;""""</f>
        <v>#REF!</v>
      </c>
      <c r="VHI28" s="234" t="e">
        <f>astrogrep_path&amp;" /e /r /s /spath="&amp;search_path&amp;" /stypes=""app*"&amp;VGE28&amp;"*"&amp;TEXT(VGL28-utc_offset/24,"YYYYMMDD")&amp;"*"" /stext="" "&amp;TEXT(VGL28-utc_offset/24,"HH")&amp;search_regexp&amp;""""</f>
        <v>#REF!</v>
      </c>
      <c r="VHJ28" s="234" t="e">
        <f>astrogrep_path&amp;" /e /r /s /spath="&amp;search_path&amp;" /stypes=""app*"&amp;VGF28&amp;"*"&amp;TEXT(VGM28-utc_offset/24,"YYYYMMDD")&amp;"*"" /stext="" "&amp;TEXT(VGM28-utc_offset/24,"HH")&amp;search_regexp&amp;""""</f>
        <v>#REF!</v>
      </c>
      <c r="VHK28" s="234" t="e">
        <f>astrogrep_path&amp;" /e /r /s /spath="&amp;search_path&amp;" /stypes=""app*"&amp;VGG28&amp;"*"&amp;TEXT(VGN28-utc_offset/24,"YYYYMMDD")&amp;"*"" /stext="" "&amp;TEXT(VGN28-utc_offset/24,"HH")&amp;search_regexp&amp;""""</f>
        <v>#VALUE!</v>
      </c>
      <c r="VHL28" s="234" t="e">
        <f>astrogrep_path&amp;" /e /r /s /spath="&amp;search_path&amp;" /stypes=""app*"&amp;VGH28&amp;"*"&amp;TEXT(VGO28-utc_offset/24,"YYYYMMDD")&amp;"*"" /stext="" "&amp;TEXT(VGO28-utc_offset/24,"HH")&amp;search_regexp&amp;""""</f>
        <v>#VALUE!</v>
      </c>
      <c r="VHM28" s="234" t="e">
        <f>astrogrep_path&amp;" /e /r /s /spath="&amp;search_path&amp;" /stypes=""app*"&amp;VGI28&amp;"*"&amp;TEXT(VGP28-utc_offset/24,"YYYYMMDD")&amp;"*"" /stext="" "&amp;TEXT(VGP28-utc_offset/24,"HH")&amp;search_regexp&amp;""""</f>
        <v>#REF!</v>
      </c>
      <c r="VHN28" s="234" t="e">
        <f>astrogrep_path&amp;" /e /r /s /spath="&amp;search_path&amp;" /stypes=""app*"&amp;VGJ28&amp;"*"&amp;TEXT(VGQ28-utc_offset/24,"YYYYMMDD")&amp;"*"" /stext="" "&amp;TEXT(VGQ28-utc_offset/24,"HH")&amp;search_regexp&amp;""""</f>
        <v>#REF!</v>
      </c>
      <c r="VHO28" s="234" t="e">
        <f>astrogrep_path&amp;" /e /r /s /spath="&amp;search_path&amp;" /stypes=""app*"&amp;VGK28&amp;"*"&amp;TEXT(VGR28-utc_offset/24,"YYYYMMDD")&amp;"*"" /stext="" "&amp;TEXT(VGR28-utc_offset/24,"HH")&amp;search_regexp&amp;""""</f>
        <v>#VALUE!</v>
      </c>
      <c r="VHP28" s="234" t="e">
        <f>astrogrep_path&amp;" /e /r /s /spath="&amp;search_path&amp;" /stypes=""app*"&amp;VGL28&amp;"*"&amp;TEXT(VGS28-utc_offset/24,"YYYYMMDD")&amp;"*"" /stext="" "&amp;TEXT(VGS28-utc_offset/24,"HH")&amp;search_regexp&amp;""""</f>
        <v>#VALUE!</v>
      </c>
      <c r="VHQ28" s="234" t="e">
        <f>astrogrep_path&amp;" /e /r /s /spath="&amp;search_path&amp;" /stypes=""app*"&amp;VGM28&amp;"*"&amp;TEXT(VGT28-utc_offset/24,"YYYYMMDD")&amp;"*"" /stext="" "&amp;TEXT(VGT28-utc_offset/24,"HH")&amp;search_regexp&amp;""""</f>
        <v>#VALUE!</v>
      </c>
      <c r="VHR28" s="234" t="e">
        <f>astrogrep_path&amp;" /e /r /s /spath="&amp;search_path&amp;" /stypes=""app*"&amp;VGN28&amp;"*"&amp;TEXT(VGU28-utc_offset/24,"YYYYMMDD")&amp;"*"" /stext="" "&amp;TEXT(VGU28-utc_offset/24,"HH")&amp;search_regexp&amp;""""</f>
        <v>#VALUE!</v>
      </c>
      <c r="VHS28" s="234" t="e">
        <f>astrogrep_path&amp;" /e /r /s /spath="&amp;search_path&amp;" /stypes=""app*"&amp;VGO28&amp;"*"&amp;TEXT(VGV28-utc_offset/24,"YYYYMMDD")&amp;"*"" /stext="" "&amp;TEXT(VGV28-utc_offset/24,"HH")&amp;search_regexp&amp;""""</f>
        <v>#VALUE!</v>
      </c>
      <c r="VHT28" s="234" t="e">
        <f>astrogrep_path&amp;" /e /r /s /spath="&amp;search_path&amp;" /stypes=""app*"&amp;VGP28&amp;"*"&amp;TEXT(VGW28-utc_offset/24,"YYYYMMDD")&amp;"*"" /stext="" "&amp;TEXT(VGW28-utc_offset/24,"HH")&amp;search_regexp&amp;""""</f>
        <v>#REF!</v>
      </c>
      <c r="VHU28" s="234" t="e">
        <f>astrogrep_path&amp;" /e /r /s /spath="&amp;search_path&amp;" /stypes=""app*"&amp;VGQ28&amp;"*"&amp;TEXT(VGX28-utc_offset/24,"YYYYMMDD")&amp;"*"" /stext="" "&amp;TEXT(VGX28-utc_offset/24,"HH")&amp;search_regexp&amp;""""</f>
        <v>#REF!</v>
      </c>
      <c r="VHV28" s="234" t="e">
        <f>astrogrep_path&amp;" /e /r /s /spath="&amp;search_path&amp;" /stypes=""app*"&amp;VGR28&amp;"*"&amp;TEXT(VGY28-utc_offset/24,"YYYYMMDD")&amp;"*"" /stext="" "&amp;TEXT(VGY28-utc_offset/24,"HH")&amp;search_regexp&amp;""""</f>
        <v>#REF!</v>
      </c>
      <c r="VHW28" s="234" t="e">
        <f>astrogrep_path&amp;" /e /r /s /spath="&amp;search_path&amp;" /stypes=""app*"&amp;VGS28&amp;"*"&amp;TEXT(VGZ28-utc_offset/24,"YYYYMMDD")&amp;"*"" /stext="" "&amp;TEXT(VGZ28-utc_offset/24,"HH")&amp;search_regexp&amp;""""</f>
        <v>#REF!</v>
      </c>
      <c r="VHX28" s="234" t="e">
        <f>astrogrep_path&amp;" /e /r /s /spath="&amp;search_path&amp;" /stypes=""app*"&amp;VGT28&amp;"*"&amp;TEXT(VHA28-utc_offset/24,"YYYYMMDD")&amp;"*"" /stext="" "&amp;TEXT(VHA28-utc_offset/24,"HH")&amp;search_regexp&amp;""""</f>
        <v>#REF!</v>
      </c>
      <c r="VHY28" s="234" t="e">
        <f>astrogrep_path&amp;" /e /r /s /spath="&amp;search_path&amp;" /stypes=""app*"&amp;VGU28&amp;"*"&amp;TEXT(VHB28-utc_offset/24,"YYYYMMDD")&amp;"*"" /stext="" "&amp;TEXT(VHB28-utc_offset/24,"HH")&amp;search_regexp&amp;""""</f>
        <v>#REF!</v>
      </c>
      <c r="VHZ28" s="234" t="e">
        <f>astrogrep_path&amp;" /e /r /s /spath="&amp;search_path&amp;" /stypes=""app*"&amp;VGV28&amp;"*"&amp;TEXT(VHC28-utc_offset/24,"YYYYMMDD")&amp;"*"" /stext="" "&amp;TEXT(VHC28-utc_offset/24,"HH")&amp;search_regexp&amp;""""</f>
        <v>#REF!</v>
      </c>
      <c r="VIA28" s="234" t="e">
        <f>astrogrep_path&amp;" /e /r /s /spath="&amp;search_path&amp;" /stypes=""app*"&amp;VGW28&amp;"*"&amp;TEXT(VHD28-utc_offset/24,"YYYYMMDD")&amp;"*"" /stext="" "&amp;TEXT(VHD28-utc_offset/24,"HH")&amp;search_regexp&amp;""""</f>
        <v>#REF!</v>
      </c>
      <c r="VIB28" s="234" t="e">
        <f>astrogrep_path&amp;" /e /r /s /spath="&amp;search_path&amp;" /stypes=""app*"&amp;VGX28&amp;"*"&amp;TEXT(VHE28-utc_offset/24,"YYYYMMDD")&amp;"*"" /stext="" "&amp;TEXT(VHE28-utc_offset/24,"HH")&amp;search_regexp&amp;""""</f>
        <v>#REF!</v>
      </c>
      <c r="VIC28" s="234" t="e">
        <f>astrogrep_path&amp;" /e /r /s /spath="&amp;search_path&amp;" /stypes=""app*"&amp;VGY28&amp;"*"&amp;TEXT(VHF28-utc_offset/24,"YYYYMMDD")&amp;"*"" /stext="" "&amp;TEXT(VHF28-utc_offset/24,"HH")&amp;search_regexp&amp;""""</f>
        <v>#REF!</v>
      </c>
      <c r="VID28" s="234" t="e">
        <f>astrogrep_path&amp;" /e /r /s /spath="&amp;search_path&amp;" /stypes=""app*"&amp;VGZ28&amp;"*"&amp;TEXT(VHG28-utc_offset/24,"YYYYMMDD")&amp;"*"" /stext="" "&amp;TEXT(VHG28-utc_offset/24,"HH")&amp;search_regexp&amp;""""</f>
        <v>#REF!</v>
      </c>
      <c r="VIE28" s="234" t="e">
        <f>astrogrep_path&amp;" /e /r /s /spath="&amp;search_path&amp;" /stypes=""app*"&amp;VHA28&amp;"*"&amp;TEXT(VHH28-utc_offset/24,"YYYYMMDD")&amp;"*"" /stext="" "&amp;TEXT(VHH28-utc_offset/24,"HH")&amp;search_regexp&amp;""""</f>
        <v>#REF!</v>
      </c>
      <c r="VIF28" s="234" t="e">
        <f>astrogrep_path&amp;" /e /r /s /spath="&amp;search_path&amp;" /stypes=""app*"&amp;VHB28&amp;"*"&amp;TEXT(VHI28-utc_offset/24,"YYYYMMDD")&amp;"*"" /stext="" "&amp;TEXT(VHI28-utc_offset/24,"HH")&amp;search_regexp&amp;""""</f>
        <v>#REF!</v>
      </c>
      <c r="VIG28" s="234" t="e">
        <f>astrogrep_path&amp;" /e /r /s /spath="&amp;search_path&amp;" /stypes=""app*"&amp;VHC28&amp;"*"&amp;TEXT(VHJ28-utc_offset/24,"YYYYMMDD")&amp;"*"" /stext="" "&amp;TEXT(VHJ28-utc_offset/24,"HH")&amp;search_regexp&amp;""""</f>
        <v>#REF!</v>
      </c>
      <c r="VIH28" s="234" t="e">
        <f>astrogrep_path&amp;" /e /r /s /spath="&amp;search_path&amp;" /stypes=""app*"&amp;VHD28&amp;"*"&amp;TEXT(VHK28-utc_offset/24,"YYYYMMDD")&amp;"*"" /stext="" "&amp;TEXT(VHK28-utc_offset/24,"HH")&amp;search_regexp&amp;""""</f>
        <v>#REF!</v>
      </c>
      <c r="VII28" s="234" t="e">
        <f>astrogrep_path&amp;" /e /r /s /spath="&amp;search_path&amp;" /stypes=""app*"&amp;VHE28&amp;"*"&amp;TEXT(VHL28-utc_offset/24,"YYYYMMDD")&amp;"*"" /stext="" "&amp;TEXT(VHL28-utc_offset/24,"HH")&amp;search_regexp&amp;""""</f>
        <v>#REF!</v>
      </c>
      <c r="VIJ28" s="234" t="e">
        <f>astrogrep_path&amp;" /e /r /s /spath="&amp;search_path&amp;" /stypes=""app*"&amp;VHF28&amp;"*"&amp;TEXT(VHM28-utc_offset/24,"YYYYMMDD")&amp;"*"" /stext="" "&amp;TEXT(VHM28-utc_offset/24,"HH")&amp;search_regexp&amp;""""</f>
        <v>#REF!</v>
      </c>
      <c r="VIK28" s="234" t="e">
        <f>astrogrep_path&amp;" /e /r /s /spath="&amp;search_path&amp;" /stypes=""app*"&amp;VHG28&amp;"*"&amp;TEXT(VHN28-utc_offset/24,"YYYYMMDD")&amp;"*"" /stext="" "&amp;TEXT(VHN28-utc_offset/24,"HH")&amp;search_regexp&amp;""""</f>
        <v>#REF!</v>
      </c>
      <c r="VIL28" s="234" t="e">
        <f>astrogrep_path&amp;" /e /r /s /spath="&amp;search_path&amp;" /stypes=""app*"&amp;VHH28&amp;"*"&amp;TEXT(VHO28-utc_offset/24,"YYYYMMDD")&amp;"*"" /stext="" "&amp;TEXT(VHO28-utc_offset/24,"HH")&amp;search_regexp&amp;""""</f>
        <v>#REF!</v>
      </c>
      <c r="VIM28" s="234" t="e">
        <f>astrogrep_path&amp;" /e /r /s /spath="&amp;search_path&amp;" /stypes=""app*"&amp;VHI28&amp;"*"&amp;TEXT(VHP28-utc_offset/24,"YYYYMMDD")&amp;"*"" /stext="" "&amp;TEXT(VHP28-utc_offset/24,"HH")&amp;search_regexp&amp;""""</f>
        <v>#REF!</v>
      </c>
      <c r="VIN28" s="234" t="e">
        <f>astrogrep_path&amp;" /e /r /s /spath="&amp;search_path&amp;" /stypes=""app*"&amp;VHJ28&amp;"*"&amp;TEXT(VHQ28-utc_offset/24,"YYYYMMDD")&amp;"*"" /stext="" "&amp;TEXT(VHQ28-utc_offset/24,"HH")&amp;search_regexp&amp;""""</f>
        <v>#REF!</v>
      </c>
      <c r="VIO28" s="234" t="e">
        <f>astrogrep_path&amp;" /e /r /s /spath="&amp;search_path&amp;" /stypes=""app*"&amp;VHK28&amp;"*"&amp;TEXT(VHR28-utc_offset/24,"YYYYMMDD")&amp;"*"" /stext="" "&amp;TEXT(VHR28-utc_offset/24,"HH")&amp;search_regexp&amp;""""</f>
        <v>#VALUE!</v>
      </c>
      <c r="VIP28" s="234" t="e">
        <f>astrogrep_path&amp;" /e /r /s /spath="&amp;search_path&amp;" /stypes=""app*"&amp;VHL28&amp;"*"&amp;TEXT(VHS28-utc_offset/24,"YYYYMMDD")&amp;"*"" /stext="" "&amp;TEXT(VHS28-utc_offset/24,"HH")&amp;search_regexp&amp;""""</f>
        <v>#VALUE!</v>
      </c>
      <c r="VIQ28" s="234" t="e">
        <f>astrogrep_path&amp;" /e /r /s /spath="&amp;search_path&amp;" /stypes=""app*"&amp;VHM28&amp;"*"&amp;TEXT(VHT28-utc_offset/24,"YYYYMMDD")&amp;"*"" /stext="" "&amp;TEXT(VHT28-utc_offset/24,"HH")&amp;search_regexp&amp;""""</f>
        <v>#REF!</v>
      </c>
      <c r="VIR28" s="234" t="e">
        <f>astrogrep_path&amp;" /e /r /s /spath="&amp;search_path&amp;" /stypes=""app*"&amp;VHN28&amp;"*"&amp;TEXT(VHU28-utc_offset/24,"YYYYMMDD")&amp;"*"" /stext="" "&amp;TEXT(VHU28-utc_offset/24,"HH")&amp;search_regexp&amp;""""</f>
        <v>#REF!</v>
      </c>
      <c r="VIS28" s="234" t="e">
        <f>astrogrep_path&amp;" /e /r /s /spath="&amp;search_path&amp;" /stypes=""app*"&amp;VHO28&amp;"*"&amp;TEXT(VHV28-utc_offset/24,"YYYYMMDD")&amp;"*"" /stext="" "&amp;TEXT(VHV28-utc_offset/24,"HH")&amp;search_regexp&amp;""""</f>
        <v>#VALUE!</v>
      </c>
      <c r="VIT28" s="234" t="e">
        <f>astrogrep_path&amp;" /e /r /s /spath="&amp;search_path&amp;" /stypes=""app*"&amp;VHP28&amp;"*"&amp;TEXT(VHW28-utc_offset/24,"YYYYMMDD")&amp;"*"" /stext="" "&amp;TEXT(VHW28-utc_offset/24,"HH")&amp;search_regexp&amp;""""</f>
        <v>#VALUE!</v>
      </c>
      <c r="VIU28" s="234" t="e">
        <f>astrogrep_path&amp;" /e /r /s /spath="&amp;search_path&amp;" /stypes=""app*"&amp;VHQ28&amp;"*"&amp;TEXT(VHX28-utc_offset/24,"YYYYMMDD")&amp;"*"" /stext="" "&amp;TEXT(VHX28-utc_offset/24,"HH")&amp;search_regexp&amp;""""</f>
        <v>#VALUE!</v>
      </c>
      <c r="VIV28" s="234" t="e">
        <f>astrogrep_path&amp;" /e /r /s /spath="&amp;search_path&amp;" /stypes=""app*"&amp;VHR28&amp;"*"&amp;TEXT(VHY28-utc_offset/24,"YYYYMMDD")&amp;"*"" /stext="" "&amp;TEXT(VHY28-utc_offset/24,"HH")&amp;search_regexp&amp;""""</f>
        <v>#VALUE!</v>
      </c>
      <c r="VIW28" s="234" t="e">
        <f>astrogrep_path&amp;" /e /r /s /spath="&amp;search_path&amp;" /stypes=""app*"&amp;VHS28&amp;"*"&amp;TEXT(VHZ28-utc_offset/24,"YYYYMMDD")&amp;"*"" /stext="" "&amp;TEXT(VHZ28-utc_offset/24,"HH")&amp;search_regexp&amp;""""</f>
        <v>#VALUE!</v>
      </c>
      <c r="VIX28" s="234" t="e">
        <f>astrogrep_path&amp;" /e /r /s /spath="&amp;search_path&amp;" /stypes=""app*"&amp;VHT28&amp;"*"&amp;TEXT(VIA28-utc_offset/24,"YYYYMMDD")&amp;"*"" /stext="" "&amp;TEXT(VIA28-utc_offset/24,"HH")&amp;search_regexp&amp;""""</f>
        <v>#REF!</v>
      </c>
      <c r="VIY28" s="234" t="e">
        <f>astrogrep_path&amp;" /e /r /s /spath="&amp;search_path&amp;" /stypes=""app*"&amp;VHU28&amp;"*"&amp;TEXT(VIB28-utc_offset/24,"YYYYMMDD")&amp;"*"" /stext="" "&amp;TEXT(VIB28-utc_offset/24,"HH")&amp;search_regexp&amp;""""</f>
        <v>#REF!</v>
      </c>
      <c r="VIZ28" s="234" t="e">
        <f>astrogrep_path&amp;" /e /r /s /spath="&amp;search_path&amp;" /stypes=""app*"&amp;VHV28&amp;"*"&amp;TEXT(VIC28-utc_offset/24,"YYYYMMDD")&amp;"*"" /stext="" "&amp;TEXT(VIC28-utc_offset/24,"HH")&amp;search_regexp&amp;""""</f>
        <v>#REF!</v>
      </c>
      <c r="VJA28" s="234" t="e">
        <f>astrogrep_path&amp;" /e /r /s /spath="&amp;search_path&amp;" /stypes=""app*"&amp;VHW28&amp;"*"&amp;TEXT(VID28-utc_offset/24,"YYYYMMDD")&amp;"*"" /stext="" "&amp;TEXT(VID28-utc_offset/24,"HH")&amp;search_regexp&amp;""""</f>
        <v>#REF!</v>
      </c>
      <c r="VJB28" s="234" t="e">
        <f>astrogrep_path&amp;" /e /r /s /spath="&amp;search_path&amp;" /stypes=""app*"&amp;VHX28&amp;"*"&amp;TEXT(VIE28-utc_offset/24,"YYYYMMDD")&amp;"*"" /stext="" "&amp;TEXT(VIE28-utc_offset/24,"HH")&amp;search_regexp&amp;""""</f>
        <v>#REF!</v>
      </c>
      <c r="VJC28" s="234" t="e">
        <f>astrogrep_path&amp;" /e /r /s /spath="&amp;search_path&amp;" /stypes=""app*"&amp;VHY28&amp;"*"&amp;TEXT(VIF28-utc_offset/24,"YYYYMMDD")&amp;"*"" /stext="" "&amp;TEXT(VIF28-utc_offset/24,"HH")&amp;search_regexp&amp;""""</f>
        <v>#REF!</v>
      </c>
      <c r="VJD28" s="234" t="e">
        <f>astrogrep_path&amp;" /e /r /s /spath="&amp;search_path&amp;" /stypes=""app*"&amp;VHZ28&amp;"*"&amp;TEXT(VIG28-utc_offset/24,"YYYYMMDD")&amp;"*"" /stext="" "&amp;TEXT(VIG28-utc_offset/24,"HH")&amp;search_regexp&amp;""""</f>
        <v>#REF!</v>
      </c>
      <c r="VJE28" s="234" t="e">
        <f>astrogrep_path&amp;" /e /r /s /spath="&amp;search_path&amp;" /stypes=""app*"&amp;VIA28&amp;"*"&amp;TEXT(VIH28-utc_offset/24,"YYYYMMDD")&amp;"*"" /stext="" "&amp;TEXT(VIH28-utc_offset/24,"HH")&amp;search_regexp&amp;""""</f>
        <v>#REF!</v>
      </c>
      <c r="VJF28" s="234" t="e">
        <f>astrogrep_path&amp;" /e /r /s /spath="&amp;search_path&amp;" /stypes=""app*"&amp;VIB28&amp;"*"&amp;TEXT(VII28-utc_offset/24,"YYYYMMDD")&amp;"*"" /stext="" "&amp;TEXT(VII28-utc_offset/24,"HH")&amp;search_regexp&amp;""""</f>
        <v>#REF!</v>
      </c>
      <c r="VJG28" s="234" t="e">
        <f>astrogrep_path&amp;" /e /r /s /spath="&amp;search_path&amp;" /stypes=""app*"&amp;VIC28&amp;"*"&amp;TEXT(VIJ28-utc_offset/24,"YYYYMMDD")&amp;"*"" /stext="" "&amp;TEXT(VIJ28-utc_offset/24,"HH")&amp;search_regexp&amp;""""</f>
        <v>#REF!</v>
      </c>
      <c r="VJH28" s="234" t="e">
        <f>astrogrep_path&amp;" /e /r /s /spath="&amp;search_path&amp;" /stypes=""app*"&amp;VID28&amp;"*"&amp;TEXT(VIK28-utc_offset/24,"YYYYMMDD")&amp;"*"" /stext="" "&amp;TEXT(VIK28-utc_offset/24,"HH")&amp;search_regexp&amp;""""</f>
        <v>#REF!</v>
      </c>
      <c r="VJI28" s="234" t="e">
        <f>astrogrep_path&amp;" /e /r /s /spath="&amp;search_path&amp;" /stypes=""app*"&amp;VIE28&amp;"*"&amp;TEXT(VIL28-utc_offset/24,"YYYYMMDD")&amp;"*"" /stext="" "&amp;TEXT(VIL28-utc_offset/24,"HH")&amp;search_regexp&amp;""""</f>
        <v>#REF!</v>
      </c>
      <c r="VJJ28" s="234" t="e">
        <f>astrogrep_path&amp;" /e /r /s /spath="&amp;search_path&amp;" /stypes=""app*"&amp;VIF28&amp;"*"&amp;TEXT(VIM28-utc_offset/24,"YYYYMMDD")&amp;"*"" /stext="" "&amp;TEXT(VIM28-utc_offset/24,"HH")&amp;search_regexp&amp;""""</f>
        <v>#REF!</v>
      </c>
      <c r="VJK28" s="234" t="e">
        <f>astrogrep_path&amp;" /e /r /s /spath="&amp;search_path&amp;" /stypes=""app*"&amp;VIG28&amp;"*"&amp;TEXT(VIN28-utc_offset/24,"YYYYMMDD")&amp;"*"" /stext="" "&amp;TEXT(VIN28-utc_offset/24,"HH")&amp;search_regexp&amp;""""</f>
        <v>#REF!</v>
      </c>
      <c r="VJL28" s="234" t="e">
        <f>astrogrep_path&amp;" /e /r /s /spath="&amp;search_path&amp;" /stypes=""app*"&amp;VIH28&amp;"*"&amp;TEXT(VIO28-utc_offset/24,"YYYYMMDD")&amp;"*"" /stext="" "&amp;TEXT(VIO28-utc_offset/24,"HH")&amp;search_regexp&amp;""""</f>
        <v>#REF!</v>
      </c>
      <c r="VJM28" s="234" t="e">
        <f>astrogrep_path&amp;" /e /r /s /spath="&amp;search_path&amp;" /stypes=""app*"&amp;VII28&amp;"*"&amp;TEXT(VIP28-utc_offset/24,"YYYYMMDD")&amp;"*"" /stext="" "&amp;TEXT(VIP28-utc_offset/24,"HH")&amp;search_regexp&amp;""""</f>
        <v>#REF!</v>
      </c>
      <c r="VJN28" s="234" t="e">
        <f>astrogrep_path&amp;" /e /r /s /spath="&amp;search_path&amp;" /stypes=""app*"&amp;VIJ28&amp;"*"&amp;TEXT(VIQ28-utc_offset/24,"YYYYMMDD")&amp;"*"" /stext="" "&amp;TEXT(VIQ28-utc_offset/24,"HH")&amp;search_regexp&amp;""""</f>
        <v>#REF!</v>
      </c>
      <c r="VJO28" s="234" t="e">
        <f>astrogrep_path&amp;" /e /r /s /spath="&amp;search_path&amp;" /stypes=""app*"&amp;VIK28&amp;"*"&amp;TEXT(VIR28-utc_offset/24,"YYYYMMDD")&amp;"*"" /stext="" "&amp;TEXT(VIR28-utc_offset/24,"HH")&amp;search_regexp&amp;""""</f>
        <v>#REF!</v>
      </c>
      <c r="VJP28" s="234" t="e">
        <f>astrogrep_path&amp;" /e /r /s /spath="&amp;search_path&amp;" /stypes=""app*"&amp;VIL28&amp;"*"&amp;TEXT(VIS28-utc_offset/24,"YYYYMMDD")&amp;"*"" /stext="" "&amp;TEXT(VIS28-utc_offset/24,"HH")&amp;search_regexp&amp;""""</f>
        <v>#REF!</v>
      </c>
      <c r="VJQ28" s="234" t="e">
        <f>astrogrep_path&amp;" /e /r /s /spath="&amp;search_path&amp;" /stypes=""app*"&amp;VIM28&amp;"*"&amp;TEXT(VIT28-utc_offset/24,"YYYYMMDD")&amp;"*"" /stext="" "&amp;TEXT(VIT28-utc_offset/24,"HH")&amp;search_regexp&amp;""""</f>
        <v>#REF!</v>
      </c>
      <c r="VJR28" s="234" t="e">
        <f>astrogrep_path&amp;" /e /r /s /spath="&amp;search_path&amp;" /stypes=""app*"&amp;VIN28&amp;"*"&amp;TEXT(VIU28-utc_offset/24,"YYYYMMDD")&amp;"*"" /stext="" "&amp;TEXT(VIU28-utc_offset/24,"HH")&amp;search_regexp&amp;""""</f>
        <v>#REF!</v>
      </c>
      <c r="VJS28" s="234" t="e">
        <f>astrogrep_path&amp;" /e /r /s /spath="&amp;search_path&amp;" /stypes=""app*"&amp;VIO28&amp;"*"&amp;TEXT(VIV28-utc_offset/24,"YYYYMMDD")&amp;"*"" /stext="" "&amp;TEXT(VIV28-utc_offset/24,"HH")&amp;search_regexp&amp;""""</f>
        <v>#VALUE!</v>
      </c>
      <c r="VJT28" s="234" t="e">
        <f>astrogrep_path&amp;" /e /r /s /spath="&amp;search_path&amp;" /stypes=""app*"&amp;VIP28&amp;"*"&amp;TEXT(VIW28-utc_offset/24,"YYYYMMDD")&amp;"*"" /stext="" "&amp;TEXT(VIW28-utc_offset/24,"HH")&amp;search_regexp&amp;""""</f>
        <v>#VALUE!</v>
      </c>
      <c r="VJU28" s="234" t="e">
        <f>astrogrep_path&amp;" /e /r /s /spath="&amp;search_path&amp;" /stypes=""app*"&amp;VIQ28&amp;"*"&amp;TEXT(VIX28-utc_offset/24,"YYYYMMDD")&amp;"*"" /stext="" "&amp;TEXT(VIX28-utc_offset/24,"HH")&amp;search_regexp&amp;""""</f>
        <v>#REF!</v>
      </c>
      <c r="VJV28" s="234" t="e">
        <f>astrogrep_path&amp;" /e /r /s /spath="&amp;search_path&amp;" /stypes=""app*"&amp;VIR28&amp;"*"&amp;TEXT(VIY28-utc_offset/24,"YYYYMMDD")&amp;"*"" /stext="" "&amp;TEXT(VIY28-utc_offset/24,"HH")&amp;search_regexp&amp;""""</f>
        <v>#REF!</v>
      </c>
      <c r="VJW28" s="234" t="e">
        <f>astrogrep_path&amp;" /e /r /s /spath="&amp;search_path&amp;" /stypes=""app*"&amp;VIS28&amp;"*"&amp;TEXT(VIZ28-utc_offset/24,"YYYYMMDD")&amp;"*"" /stext="" "&amp;TEXT(VIZ28-utc_offset/24,"HH")&amp;search_regexp&amp;""""</f>
        <v>#VALUE!</v>
      </c>
      <c r="VJX28" s="234" t="e">
        <f>astrogrep_path&amp;" /e /r /s /spath="&amp;search_path&amp;" /stypes=""app*"&amp;VIT28&amp;"*"&amp;TEXT(VJA28-utc_offset/24,"YYYYMMDD")&amp;"*"" /stext="" "&amp;TEXT(VJA28-utc_offset/24,"HH")&amp;search_regexp&amp;""""</f>
        <v>#VALUE!</v>
      </c>
      <c r="VJY28" s="234" t="e">
        <f>astrogrep_path&amp;" /e /r /s /spath="&amp;search_path&amp;" /stypes=""app*"&amp;VIU28&amp;"*"&amp;TEXT(VJB28-utc_offset/24,"YYYYMMDD")&amp;"*"" /stext="" "&amp;TEXT(VJB28-utc_offset/24,"HH")&amp;search_regexp&amp;""""</f>
        <v>#VALUE!</v>
      </c>
      <c r="VJZ28" s="234" t="e">
        <f>astrogrep_path&amp;" /e /r /s /spath="&amp;search_path&amp;" /stypes=""app*"&amp;VIV28&amp;"*"&amp;TEXT(VJC28-utc_offset/24,"YYYYMMDD")&amp;"*"" /stext="" "&amp;TEXT(VJC28-utc_offset/24,"HH")&amp;search_regexp&amp;""""</f>
        <v>#VALUE!</v>
      </c>
      <c r="VKA28" s="234" t="e">
        <f>astrogrep_path&amp;" /e /r /s /spath="&amp;search_path&amp;" /stypes=""app*"&amp;VIW28&amp;"*"&amp;TEXT(VJD28-utc_offset/24,"YYYYMMDD")&amp;"*"" /stext="" "&amp;TEXT(VJD28-utc_offset/24,"HH")&amp;search_regexp&amp;""""</f>
        <v>#VALUE!</v>
      </c>
      <c r="VKB28" s="234" t="e">
        <f>astrogrep_path&amp;" /e /r /s /spath="&amp;search_path&amp;" /stypes=""app*"&amp;VIX28&amp;"*"&amp;TEXT(VJE28-utc_offset/24,"YYYYMMDD")&amp;"*"" /stext="" "&amp;TEXT(VJE28-utc_offset/24,"HH")&amp;search_regexp&amp;""""</f>
        <v>#REF!</v>
      </c>
      <c r="VKC28" s="234" t="e">
        <f>astrogrep_path&amp;" /e /r /s /spath="&amp;search_path&amp;" /stypes=""app*"&amp;VIY28&amp;"*"&amp;TEXT(VJF28-utc_offset/24,"YYYYMMDD")&amp;"*"" /stext="" "&amp;TEXT(VJF28-utc_offset/24,"HH")&amp;search_regexp&amp;""""</f>
        <v>#REF!</v>
      </c>
      <c r="VKD28" s="234" t="e">
        <f>astrogrep_path&amp;" /e /r /s /spath="&amp;search_path&amp;" /stypes=""app*"&amp;VIZ28&amp;"*"&amp;TEXT(VJG28-utc_offset/24,"YYYYMMDD")&amp;"*"" /stext="" "&amp;TEXT(VJG28-utc_offset/24,"HH")&amp;search_regexp&amp;""""</f>
        <v>#REF!</v>
      </c>
      <c r="VKE28" s="234" t="e">
        <f>astrogrep_path&amp;" /e /r /s /spath="&amp;search_path&amp;" /stypes=""app*"&amp;VJA28&amp;"*"&amp;TEXT(VJH28-utc_offset/24,"YYYYMMDD")&amp;"*"" /stext="" "&amp;TEXT(VJH28-utc_offset/24,"HH")&amp;search_regexp&amp;""""</f>
        <v>#REF!</v>
      </c>
      <c r="VKF28" s="234" t="e">
        <f>astrogrep_path&amp;" /e /r /s /spath="&amp;search_path&amp;" /stypes=""app*"&amp;VJB28&amp;"*"&amp;TEXT(VJI28-utc_offset/24,"YYYYMMDD")&amp;"*"" /stext="" "&amp;TEXT(VJI28-utc_offset/24,"HH")&amp;search_regexp&amp;""""</f>
        <v>#REF!</v>
      </c>
      <c r="VKG28" s="234" t="e">
        <f>astrogrep_path&amp;" /e /r /s /spath="&amp;search_path&amp;" /stypes=""app*"&amp;VJC28&amp;"*"&amp;TEXT(VJJ28-utc_offset/24,"YYYYMMDD")&amp;"*"" /stext="" "&amp;TEXT(VJJ28-utc_offset/24,"HH")&amp;search_regexp&amp;""""</f>
        <v>#REF!</v>
      </c>
      <c r="VKH28" s="234" t="e">
        <f>astrogrep_path&amp;" /e /r /s /spath="&amp;search_path&amp;" /stypes=""app*"&amp;VJD28&amp;"*"&amp;TEXT(VJK28-utc_offset/24,"YYYYMMDD")&amp;"*"" /stext="" "&amp;TEXT(VJK28-utc_offset/24,"HH")&amp;search_regexp&amp;""""</f>
        <v>#REF!</v>
      </c>
      <c r="VKI28" s="234" t="e">
        <f>astrogrep_path&amp;" /e /r /s /spath="&amp;search_path&amp;" /stypes=""app*"&amp;VJE28&amp;"*"&amp;TEXT(VJL28-utc_offset/24,"YYYYMMDD")&amp;"*"" /stext="" "&amp;TEXT(VJL28-utc_offset/24,"HH")&amp;search_regexp&amp;""""</f>
        <v>#REF!</v>
      </c>
      <c r="VKJ28" s="234" t="e">
        <f>astrogrep_path&amp;" /e /r /s /spath="&amp;search_path&amp;" /stypes=""app*"&amp;VJF28&amp;"*"&amp;TEXT(VJM28-utc_offset/24,"YYYYMMDD")&amp;"*"" /stext="" "&amp;TEXT(VJM28-utc_offset/24,"HH")&amp;search_regexp&amp;""""</f>
        <v>#REF!</v>
      </c>
      <c r="VKK28" s="234" t="e">
        <f>astrogrep_path&amp;" /e /r /s /spath="&amp;search_path&amp;" /stypes=""app*"&amp;VJG28&amp;"*"&amp;TEXT(VJN28-utc_offset/24,"YYYYMMDD")&amp;"*"" /stext="" "&amp;TEXT(VJN28-utc_offset/24,"HH")&amp;search_regexp&amp;""""</f>
        <v>#REF!</v>
      </c>
      <c r="VKL28" s="234" t="e">
        <f>astrogrep_path&amp;" /e /r /s /spath="&amp;search_path&amp;" /stypes=""app*"&amp;VJH28&amp;"*"&amp;TEXT(VJO28-utc_offset/24,"YYYYMMDD")&amp;"*"" /stext="" "&amp;TEXT(VJO28-utc_offset/24,"HH")&amp;search_regexp&amp;""""</f>
        <v>#REF!</v>
      </c>
      <c r="VKM28" s="234" t="e">
        <f>astrogrep_path&amp;" /e /r /s /spath="&amp;search_path&amp;" /stypes=""app*"&amp;VJI28&amp;"*"&amp;TEXT(VJP28-utc_offset/24,"YYYYMMDD")&amp;"*"" /stext="" "&amp;TEXT(VJP28-utc_offset/24,"HH")&amp;search_regexp&amp;""""</f>
        <v>#REF!</v>
      </c>
      <c r="VKN28" s="234" t="e">
        <f>astrogrep_path&amp;" /e /r /s /spath="&amp;search_path&amp;" /stypes=""app*"&amp;VJJ28&amp;"*"&amp;TEXT(VJQ28-utc_offset/24,"YYYYMMDD")&amp;"*"" /stext="" "&amp;TEXT(VJQ28-utc_offset/24,"HH")&amp;search_regexp&amp;""""</f>
        <v>#REF!</v>
      </c>
      <c r="VKO28" s="234" t="e">
        <f>astrogrep_path&amp;" /e /r /s /spath="&amp;search_path&amp;" /stypes=""app*"&amp;VJK28&amp;"*"&amp;TEXT(VJR28-utc_offset/24,"YYYYMMDD")&amp;"*"" /stext="" "&amp;TEXT(VJR28-utc_offset/24,"HH")&amp;search_regexp&amp;""""</f>
        <v>#REF!</v>
      </c>
      <c r="VKP28" s="234" t="e">
        <f>astrogrep_path&amp;" /e /r /s /spath="&amp;search_path&amp;" /stypes=""app*"&amp;VJL28&amp;"*"&amp;TEXT(VJS28-utc_offset/24,"YYYYMMDD")&amp;"*"" /stext="" "&amp;TEXT(VJS28-utc_offset/24,"HH")&amp;search_regexp&amp;""""</f>
        <v>#REF!</v>
      </c>
      <c r="VKQ28" s="234" t="e">
        <f>astrogrep_path&amp;" /e /r /s /spath="&amp;search_path&amp;" /stypes=""app*"&amp;VJM28&amp;"*"&amp;TEXT(VJT28-utc_offset/24,"YYYYMMDD")&amp;"*"" /stext="" "&amp;TEXT(VJT28-utc_offset/24,"HH")&amp;search_regexp&amp;""""</f>
        <v>#REF!</v>
      </c>
      <c r="VKR28" s="234" t="e">
        <f>astrogrep_path&amp;" /e /r /s /spath="&amp;search_path&amp;" /stypes=""app*"&amp;VJN28&amp;"*"&amp;TEXT(VJU28-utc_offset/24,"YYYYMMDD")&amp;"*"" /stext="" "&amp;TEXT(VJU28-utc_offset/24,"HH")&amp;search_regexp&amp;""""</f>
        <v>#REF!</v>
      </c>
      <c r="VKS28" s="234" t="e">
        <f>astrogrep_path&amp;" /e /r /s /spath="&amp;search_path&amp;" /stypes=""app*"&amp;VJO28&amp;"*"&amp;TEXT(VJV28-utc_offset/24,"YYYYMMDD")&amp;"*"" /stext="" "&amp;TEXT(VJV28-utc_offset/24,"HH")&amp;search_regexp&amp;""""</f>
        <v>#REF!</v>
      </c>
      <c r="VKT28" s="234" t="e">
        <f>astrogrep_path&amp;" /e /r /s /spath="&amp;search_path&amp;" /stypes=""app*"&amp;VJP28&amp;"*"&amp;TEXT(VJW28-utc_offset/24,"YYYYMMDD")&amp;"*"" /stext="" "&amp;TEXT(VJW28-utc_offset/24,"HH")&amp;search_regexp&amp;""""</f>
        <v>#REF!</v>
      </c>
      <c r="VKU28" s="234" t="e">
        <f>astrogrep_path&amp;" /e /r /s /spath="&amp;search_path&amp;" /stypes=""app*"&amp;VJQ28&amp;"*"&amp;TEXT(VJX28-utc_offset/24,"YYYYMMDD")&amp;"*"" /stext="" "&amp;TEXT(VJX28-utc_offset/24,"HH")&amp;search_regexp&amp;""""</f>
        <v>#REF!</v>
      </c>
      <c r="VKV28" s="234" t="e">
        <f>astrogrep_path&amp;" /e /r /s /spath="&amp;search_path&amp;" /stypes=""app*"&amp;VJR28&amp;"*"&amp;TEXT(VJY28-utc_offset/24,"YYYYMMDD")&amp;"*"" /stext="" "&amp;TEXT(VJY28-utc_offset/24,"HH")&amp;search_regexp&amp;""""</f>
        <v>#REF!</v>
      </c>
      <c r="VKW28" s="234" t="e">
        <f>astrogrep_path&amp;" /e /r /s /spath="&amp;search_path&amp;" /stypes=""app*"&amp;VJS28&amp;"*"&amp;TEXT(VJZ28-utc_offset/24,"YYYYMMDD")&amp;"*"" /stext="" "&amp;TEXT(VJZ28-utc_offset/24,"HH")&amp;search_regexp&amp;""""</f>
        <v>#VALUE!</v>
      </c>
      <c r="VKX28" s="234" t="e">
        <f>astrogrep_path&amp;" /e /r /s /spath="&amp;search_path&amp;" /stypes=""app*"&amp;VJT28&amp;"*"&amp;TEXT(VKA28-utc_offset/24,"YYYYMMDD")&amp;"*"" /stext="" "&amp;TEXT(VKA28-utc_offset/24,"HH")&amp;search_regexp&amp;""""</f>
        <v>#VALUE!</v>
      </c>
      <c r="VKY28" s="234" t="e">
        <f>astrogrep_path&amp;" /e /r /s /spath="&amp;search_path&amp;" /stypes=""app*"&amp;VJU28&amp;"*"&amp;TEXT(VKB28-utc_offset/24,"YYYYMMDD")&amp;"*"" /stext="" "&amp;TEXT(VKB28-utc_offset/24,"HH")&amp;search_regexp&amp;""""</f>
        <v>#REF!</v>
      </c>
      <c r="VKZ28" s="234" t="e">
        <f>astrogrep_path&amp;" /e /r /s /spath="&amp;search_path&amp;" /stypes=""app*"&amp;VJV28&amp;"*"&amp;TEXT(VKC28-utc_offset/24,"YYYYMMDD")&amp;"*"" /stext="" "&amp;TEXT(VKC28-utc_offset/24,"HH")&amp;search_regexp&amp;""""</f>
        <v>#REF!</v>
      </c>
      <c r="VLA28" s="234" t="e">
        <f>astrogrep_path&amp;" /e /r /s /spath="&amp;search_path&amp;" /stypes=""app*"&amp;VJW28&amp;"*"&amp;TEXT(VKD28-utc_offset/24,"YYYYMMDD")&amp;"*"" /stext="" "&amp;TEXT(VKD28-utc_offset/24,"HH")&amp;search_regexp&amp;""""</f>
        <v>#VALUE!</v>
      </c>
      <c r="VLB28" s="234" t="e">
        <f>astrogrep_path&amp;" /e /r /s /spath="&amp;search_path&amp;" /stypes=""app*"&amp;VJX28&amp;"*"&amp;TEXT(VKE28-utc_offset/24,"YYYYMMDD")&amp;"*"" /stext="" "&amp;TEXT(VKE28-utc_offset/24,"HH")&amp;search_regexp&amp;""""</f>
        <v>#VALUE!</v>
      </c>
      <c r="VLC28" s="234" t="e">
        <f>astrogrep_path&amp;" /e /r /s /spath="&amp;search_path&amp;" /stypes=""app*"&amp;VJY28&amp;"*"&amp;TEXT(VKF28-utc_offset/24,"YYYYMMDD")&amp;"*"" /stext="" "&amp;TEXT(VKF28-utc_offset/24,"HH")&amp;search_regexp&amp;""""</f>
        <v>#VALUE!</v>
      </c>
      <c r="VLD28" s="234" t="e">
        <f>astrogrep_path&amp;" /e /r /s /spath="&amp;search_path&amp;" /stypes=""app*"&amp;VJZ28&amp;"*"&amp;TEXT(VKG28-utc_offset/24,"YYYYMMDD")&amp;"*"" /stext="" "&amp;TEXT(VKG28-utc_offset/24,"HH")&amp;search_regexp&amp;""""</f>
        <v>#VALUE!</v>
      </c>
      <c r="VLE28" s="234" t="e">
        <f>astrogrep_path&amp;" /e /r /s /spath="&amp;search_path&amp;" /stypes=""app*"&amp;VKA28&amp;"*"&amp;TEXT(VKH28-utc_offset/24,"YYYYMMDD")&amp;"*"" /stext="" "&amp;TEXT(VKH28-utc_offset/24,"HH")&amp;search_regexp&amp;""""</f>
        <v>#VALUE!</v>
      </c>
      <c r="VLF28" s="234" t="e">
        <f>astrogrep_path&amp;" /e /r /s /spath="&amp;search_path&amp;" /stypes=""app*"&amp;VKB28&amp;"*"&amp;TEXT(VKI28-utc_offset/24,"YYYYMMDD")&amp;"*"" /stext="" "&amp;TEXT(VKI28-utc_offset/24,"HH")&amp;search_regexp&amp;""""</f>
        <v>#REF!</v>
      </c>
      <c r="VLG28" s="234" t="e">
        <f>astrogrep_path&amp;" /e /r /s /spath="&amp;search_path&amp;" /stypes=""app*"&amp;VKC28&amp;"*"&amp;TEXT(VKJ28-utc_offset/24,"YYYYMMDD")&amp;"*"" /stext="" "&amp;TEXT(VKJ28-utc_offset/24,"HH")&amp;search_regexp&amp;""""</f>
        <v>#REF!</v>
      </c>
      <c r="VLH28" s="234" t="e">
        <f>astrogrep_path&amp;" /e /r /s /spath="&amp;search_path&amp;" /stypes=""app*"&amp;VKD28&amp;"*"&amp;TEXT(VKK28-utc_offset/24,"YYYYMMDD")&amp;"*"" /stext="" "&amp;TEXT(VKK28-utc_offset/24,"HH")&amp;search_regexp&amp;""""</f>
        <v>#REF!</v>
      </c>
      <c r="VLI28" s="234" t="e">
        <f>astrogrep_path&amp;" /e /r /s /spath="&amp;search_path&amp;" /stypes=""app*"&amp;VKE28&amp;"*"&amp;TEXT(VKL28-utc_offset/24,"YYYYMMDD")&amp;"*"" /stext="" "&amp;TEXT(VKL28-utc_offset/24,"HH")&amp;search_regexp&amp;""""</f>
        <v>#REF!</v>
      </c>
      <c r="VLJ28" s="234" t="e">
        <f>astrogrep_path&amp;" /e /r /s /spath="&amp;search_path&amp;" /stypes=""app*"&amp;VKF28&amp;"*"&amp;TEXT(VKM28-utc_offset/24,"YYYYMMDD")&amp;"*"" /stext="" "&amp;TEXT(VKM28-utc_offset/24,"HH")&amp;search_regexp&amp;""""</f>
        <v>#REF!</v>
      </c>
      <c r="VLK28" s="234" t="e">
        <f>astrogrep_path&amp;" /e /r /s /spath="&amp;search_path&amp;" /stypes=""app*"&amp;VKG28&amp;"*"&amp;TEXT(VKN28-utc_offset/24,"YYYYMMDD")&amp;"*"" /stext="" "&amp;TEXT(VKN28-utc_offset/24,"HH")&amp;search_regexp&amp;""""</f>
        <v>#REF!</v>
      </c>
      <c r="VLL28" s="234" t="e">
        <f>astrogrep_path&amp;" /e /r /s /spath="&amp;search_path&amp;" /stypes=""app*"&amp;VKH28&amp;"*"&amp;TEXT(VKO28-utc_offset/24,"YYYYMMDD")&amp;"*"" /stext="" "&amp;TEXT(VKO28-utc_offset/24,"HH")&amp;search_regexp&amp;""""</f>
        <v>#REF!</v>
      </c>
      <c r="VLM28" s="234" t="e">
        <f>astrogrep_path&amp;" /e /r /s /spath="&amp;search_path&amp;" /stypes=""app*"&amp;VKI28&amp;"*"&amp;TEXT(VKP28-utc_offset/24,"YYYYMMDD")&amp;"*"" /stext="" "&amp;TEXT(VKP28-utc_offset/24,"HH")&amp;search_regexp&amp;""""</f>
        <v>#REF!</v>
      </c>
      <c r="VLN28" s="234" t="e">
        <f>astrogrep_path&amp;" /e /r /s /spath="&amp;search_path&amp;" /stypes=""app*"&amp;VKJ28&amp;"*"&amp;TEXT(VKQ28-utc_offset/24,"YYYYMMDD")&amp;"*"" /stext="" "&amp;TEXT(VKQ28-utc_offset/24,"HH")&amp;search_regexp&amp;""""</f>
        <v>#REF!</v>
      </c>
      <c r="VLO28" s="234" t="e">
        <f>astrogrep_path&amp;" /e /r /s /spath="&amp;search_path&amp;" /stypes=""app*"&amp;VKK28&amp;"*"&amp;TEXT(VKR28-utc_offset/24,"YYYYMMDD")&amp;"*"" /stext="" "&amp;TEXT(VKR28-utc_offset/24,"HH")&amp;search_regexp&amp;""""</f>
        <v>#REF!</v>
      </c>
      <c r="VLP28" s="234" t="e">
        <f>astrogrep_path&amp;" /e /r /s /spath="&amp;search_path&amp;" /stypes=""app*"&amp;VKL28&amp;"*"&amp;TEXT(VKS28-utc_offset/24,"YYYYMMDD")&amp;"*"" /stext="" "&amp;TEXT(VKS28-utc_offset/24,"HH")&amp;search_regexp&amp;""""</f>
        <v>#REF!</v>
      </c>
      <c r="VLQ28" s="234" t="e">
        <f>astrogrep_path&amp;" /e /r /s /spath="&amp;search_path&amp;" /stypes=""app*"&amp;VKM28&amp;"*"&amp;TEXT(VKT28-utc_offset/24,"YYYYMMDD")&amp;"*"" /stext="" "&amp;TEXT(VKT28-utc_offset/24,"HH")&amp;search_regexp&amp;""""</f>
        <v>#REF!</v>
      </c>
      <c r="VLR28" s="234" t="e">
        <f>astrogrep_path&amp;" /e /r /s /spath="&amp;search_path&amp;" /stypes=""app*"&amp;VKN28&amp;"*"&amp;TEXT(VKU28-utc_offset/24,"YYYYMMDD")&amp;"*"" /stext="" "&amp;TEXT(VKU28-utc_offset/24,"HH")&amp;search_regexp&amp;""""</f>
        <v>#REF!</v>
      </c>
      <c r="VLS28" s="234" t="e">
        <f>astrogrep_path&amp;" /e /r /s /spath="&amp;search_path&amp;" /stypes=""app*"&amp;VKO28&amp;"*"&amp;TEXT(VKV28-utc_offset/24,"YYYYMMDD")&amp;"*"" /stext="" "&amp;TEXT(VKV28-utc_offset/24,"HH")&amp;search_regexp&amp;""""</f>
        <v>#REF!</v>
      </c>
      <c r="VLT28" s="234" t="e">
        <f>astrogrep_path&amp;" /e /r /s /spath="&amp;search_path&amp;" /stypes=""app*"&amp;VKP28&amp;"*"&amp;TEXT(VKW28-utc_offset/24,"YYYYMMDD")&amp;"*"" /stext="" "&amp;TEXT(VKW28-utc_offset/24,"HH")&amp;search_regexp&amp;""""</f>
        <v>#REF!</v>
      </c>
      <c r="VLU28" s="234" t="e">
        <f>astrogrep_path&amp;" /e /r /s /spath="&amp;search_path&amp;" /stypes=""app*"&amp;VKQ28&amp;"*"&amp;TEXT(VKX28-utc_offset/24,"YYYYMMDD")&amp;"*"" /stext="" "&amp;TEXT(VKX28-utc_offset/24,"HH")&amp;search_regexp&amp;""""</f>
        <v>#REF!</v>
      </c>
      <c r="VLV28" s="234" t="e">
        <f>astrogrep_path&amp;" /e /r /s /spath="&amp;search_path&amp;" /stypes=""app*"&amp;VKR28&amp;"*"&amp;TEXT(VKY28-utc_offset/24,"YYYYMMDD")&amp;"*"" /stext="" "&amp;TEXT(VKY28-utc_offset/24,"HH")&amp;search_regexp&amp;""""</f>
        <v>#REF!</v>
      </c>
      <c r="VLW28" s="234" t="e">
        <f>astrogrep_path&amp;" /e /r /s /spath="&amp;search_path&amp;" /stypes=""app*"&amp;VKS28&amp;"*"&amp;TEXT(VKZ28-utc_offset/24,"YYYYMMDD")&amp;"*"" /stext="" "&amp;TEXT(VKZ28-utc_offset/24,"HH")&amp;search_regexp&amp;""""</f>
        <v>#REF!</v>
      </c>
      <c r="VLX28" s="234" t="e">
        <f>astrogrep_path&amp;" /e /r /s /spath="&amp;search_path&amp;" /stypes=""app*"&amp;VKT28&amp;"*"&amp;TEXT(VLA28-utc_offset/24,"YYYYMMDD")&amp;"*"" /stext="" "&amp;TEXT(VLA28-utc_offset/24,"HH")&amp;search_regexp&amp;""""</f>
        <v>#REF!</v>
      </c>
      <c r="VLY28" s="234" t="e">
        <f>astrogrep_path&amp;" /e /r /s /spath="&amp;search_path&amp;" /stypes=""app*"&amp;VKU28&amp;"*"&amp;TEXT(VLB28-utc_offset/24,"YYYYMMDD")&amp;"*"" /stext="" "&amp;TEXT(VLB28-utc_offset/24,"HH")&amp;search_regexp&amp;""""</f>
        <v>#REF!</v>
      </c>
      <c r="VLZ28" s="234" t="e">
        <f>astrogrep_path&amp;" /e /r /s /spath="&amp;search_path&amp;" /stypes=""app*"&amp;VKV28&amp;"*"&amp;TEXT(VLC28-utc_offset/24,"YYYYMMDD")&amp;"*"" /stext="" "&amp;TEXT(VLC28-utc_offset/24,"HH")&amp;search_regexp&amp;""""</f>
        <v>#REF!</v>
      </c>
      <c r="VMA28" s="234" t="e">
        <f>astrogrep_path&amp;" /e /r /s /spath="&amp;search_path&amp;" /stypes=""app*"&amp;VKW28&amp;"*"&amp;TEXT(VLD28-utc_offset/24,"YYYYMMDD")&amp;"*"" /stext="" "&amp;TEXT(VLD28-utc_offset/24,"HH")&amp;search_regexp&amp;""""</f>
        <v>#VALUE!</v>
      </c>
      <c r="VMB28" s="234" t="e">
        <f>astrogrep_path&amp;" /e /r /s /spath="&amp;search_path&amp;" /stypes=""app*"&amp;VKX28&amp;"*"&amp;TEXT(VLE28-utc_offset/24,"YYYYMMDD")&amp;"*"" /stext="" "&amp;TEXT(VLE28-utc_offset/24,"HH")&amp;search_regexp&amp;""""</f>
        <v>#VALUE!</v>
      </c>
      <c r="VMC28" s="234" t="e">
        <f>astrogrep_path&amp;" /e /r /s /spath="&amp;search_path&amp;" /stypes=""app*"&amp;VKY28&amp;"*"&amp;TEXT(VLF28-utc_offset/24,"YYYYMMDD")&amp;"*"" /stext="" "&amp;TEXT(VLF28-utc_offset/24,"HH")&amp;search_regexp&amp;""""</f>
        <v>#REF!</v>
      </c>
      <c r="VMD28" s="234" t="e">
        <f>astrogrep_path&amp;" /e /r /s /spath="&amp;search_path&amp;" /stypes=""app*"&amp;VKZ28&amp;"*"&amp;TEXT(VLG28-utc_offset/24,"YYYYMMDD")&amp;"*"" /stext="" "&amp;TEXT(VLG28-utc_offset/24,"HH")&amp;search_regexp&amp;""""</f>
        <v>#REF!</v>
      </c>
      <c r="VME28" s="234" t="e">
        <f>astrogrep_path&amp;" /e /r /s /spath="&amp;search_path&amp;" /stypes=""app*"&amp;VLA28&amp;"*"&amp;TEXT(VLH28-utc_offset/24,"YYYYMMDD")&amp;"*"" /stext="" "&amp;TEXT(VLH28-utc_offset/24,"HH")&amp;search_regexp&amp;""""</f>
        <v>#VALUE!</v>
      </c>
      <c r="VMF28" s="234" t="e">
        <f>astrogrep_path&amp;" /e /r /s /spath="&amp;search_path&amp;" /stypes=""app*"&amp;VLB28&amp;"*"&amp;TEXT(VLI28-utc_offset/24,"YYYYMMDD")&amp;"*"" /stext="" "&amp;TEXT(VLI28-utc_offset/24,"HH")&amp;search_regexp&amp;""""</f>
        <v>#VALUE!</v>
      </c>
      <c r="VMG28" s="234" t="e">
        <f>astrogrep_path&amp;" /e /r /s /spath="&amp;search_path&amp;" /stypes=""app*"&amp;VLC28&amp;"*"&amp;TEXT(VLJ28-utc_offset/24,"YYYYMMDD")&amp;"*"" /stext="" "&amp;TEXT(VLJ28-utc_offset/24,"HH")&amp;search_regexp&amp;""""</f>
        <v>#VALUE!</v>
      </c>
      <c r="VMH28" s="234" t="e">
        <f>astrogrep_path&amp;" /e /r /s /spath="&amp;search_path&amp;" /stypes=""app*"&amp;VLD28&amp;"*"&amp;TEXT(VLK28-utc_offset/24,"YYYYMMDD")&amp;"*"" /stext="" "&amp;TEXT(VLK28-utc_offset/24,"HH")&amp;search_regexp&amp;""""</f>
        <v>#VALUE!</v>
      </c>
      <c r="VMI28" s="234" t="e">
        <f>astrogrep_path&amp;" /e /r /s /spath="&amp;search_path&amp;" /stypes=""app*"&amp;VLE28&amp;"*"&amp;TEXT(VLL28-utc_offset/24,"YYYYMMDD")&amp;"*"" /stext="" "&amp;TEXT(VLL28-utc_offset/24,"HH")&amp;search_regexp&amp;""""</f>
        <v>#VALUE!</v>
      </c>
      <c r="VMJ28" s="234" t="e">
        <f>astrogrep_path&amp;" /e /r /s /spath="&amp;search_path&amp;" /stypes=""app*"&amp;VLF28&amp;"*"&amp;TEXT(VLM28-utc_offset/24,"YYYYMMDD")&amp;"*"" /stext="" "&amp;TEXT(VLM28-utc_offset/24,"HH")&amp;search_regexp&amp;""""</f>
        <v>#REF!</v>
      </c>
      <c r="VMK28" s="234" t="e">
        <f>astrogrep_path&amp;" /e /r /s /spath="&amp;search_path&amp;" /stypes=""app*"&amp;VLG28&amp;"*"&amp;TEXT(VLN28-utc_offset/24,"YYYYMMDD")&amp;"*"" /stext="" "&amp;TEXT(VLN28-utc_offset/24,"HH")&amp;search_regexp&amp;""""</f>
        <v>#REF!</v>
      </c>
      <c r="VML28" s="234" t="e">
        <f>astrogrep_path&amp;" /e /r /s /spath="&amp;search_path&amp;" /stypes=""app*"&amp;VLH28&amp;"*"&amp;TEXT(VLO28-utc_offset/24,"YYYYMMDD")&amp;"*"" /stext="" "&amp;TEXT(VLO28-utc_offset/24,"HH")&amp;search_regexp&amp;""""</f>
        <v>#REF!</v>
      </c>
      <c r="VMM28" s="234" t="e">
        <f>astrogrep_path&amp;" /e /r /s /spath="&amp;search_path&amp;" /stypes=""app*"&amp;VLI28&amp;"*"&amp;TEXT(VLP28-utc_offset/24,"YYYYMMDD")&amp;"*"" /stext="" "&amp;TEXT(VLP28-utc_offset/24,"HH")&amp;search_regexp&amp;""""</f>
        <v>#REF!</v>
      </c>
      <c r="VMN28" s="234" t="e">
        <f>astrogrep_path&amp;" /e /r /s /spath="&amp;search_path&amp;" /stypes=""app*"&amp;VLJ28&amp;"*"&amp;TEXT(VLQ28-utc_offset/24,"YYYYMMDD")&amp;"*"" /stext="" "&amp;TEXT(VLQ28-utc_offset/24,"HH")&amp;search_regexp&amp;""""</f>
        <v>#REF!</v>
      </c>
      <c r="VMO28" s="234" t="e">
        <f>astrogrep_path&amp;" /e /r /s /spath="&amp;search_path&amp;" /stypes=""app*"&amp;VLK28&amp;"*"&amp;TEXT(VLR28-utc_offset/24,"YYYYMMDD")&amp;"*"" /stext="" "&amp;TEXT(VLR28-utc_offset/24,"HH")&amp;search_regexp&amp;""""</f>
        <v>#REF!</v>
      </c>
      <c r="VMP28" s="234" t="e">
        <f>astrogrep_path&amp;" /e /r /s /spath="&amp;search_path&amp;" /stypes=""app*"&amp;VLL28&amp;"*"&amp;TEXT(VLS28-utc_offset/24,"YYYYMMDD")&amp;"*"" /stext="" "&amp;TEXT(VLS28-utc_offset/24,"HH")&amp;search_regexp&amp;""""</f>
        <v>#REF!</v>
      </c>
      <c r="VMQ28" s="234" t="e">
        <f>astrogrep_path&amp;" /e /r /s /spath="&amp;search_path&amp;" /stypes=""app*"&amp;VLM28&amp;"*"&amp;TEXT(VLT28-utc_offset/24,"YYYYMMDD")&amp;"*"" /stext="" "&amp;TEXT(VLT28-utc_offset/24,"HH")&amp;search_regexp&amp;""""</f>
        <v>#REF!</v>
      </c>
      <c r="VMR28" s="234" t="e">
        <f>astrogrep_path&amp;" /e /r /s /spath="&amp;search_path&amp;" /stypes=""app*"&amp;VLN28&amp;"*"&amp;TEXT(VLU28-utc_offset/24,"YYYYMMDD")&amp;"*"" /stext="" "&amp;TEXT(VLU28-utc_offset/24,"HH")&amp;search_regexp&amp;""""</f>
        <v>#REF!</v>
      </c>
      <c r="VMS28" s="234" t="e">
        <f>astrogrep_path&amp;" /e /r /s /spath="&amp;search_path&amp;" /stypes=""app*"&amp;VLO28&amp;"*"&amp;TEXT(VLV28-utc_offset/24,"YYYYMMDD")&amp;"*"" /stext="" "&amp;TEXT(VLV28-utc_offset/24,"HH")&amp;search_regexp&amp;""""</f>
        <v>#REF!</v>
      </c>
      <c r="VMT28" s="234" t="e">
        <f>astrogrep_path&amp;" /e /r /s /spath="&amp;search_path&amp;" /stypes=""app*"&amp;VLP28&amp;"*"&amp;TEXT(VLW28-utc_offset/24,"YYYYMMDD")&amp;"*"" /stext="" "&amp;TEXT(VLW28-utc_offset/24,"HH")&amp;search_regexp&amp;""""</f>
        <v>#REF!</v>
      </c>
      <c r="VMU28" s="234" t="e">
        <f>astrogrep_path&amp;" /e /r /s /spath="&amp;search_path&amp;" /stypes=""app*"&amp;VLQ28&amp;"*"&amp;TEXT(VLX28-utc_offset/24,"YYYYMMDD")&amp;"*"" /stext="" "&amp;TEXT(VLX28-utc_offset/24,"HH")&amp;search_regexp&amp;""""</f>
        <v>#REF!</v>
      </c>
      <c r="VMV28" s="234" t="e">
        <f>astrogrep_path&amp;" /e /r /s /spath="&amp;search_path&amp;" /stypes=""app*"&amp;VLR28&amp;"*"&amp;TEXT(VLY28-utc_offset/24,"YYYYMMDD")&amp;"*"" /stext="" "&amp;TEXT(VLY28-utc_offset/24,"HH")&amp;search_regexp&amp;""""</f>
        <v>#REF!</v>
      </c>
      <c r="VMW28" s="234" t="e">
        <f>astrogrep_path&amp;" /e /r /s /spath="&amp;search_path&amp;" /stypes=""app*"&amp;VLS28&amp;"*"&amp;TEXT(VLZ28-utc_offset/24,"YYYYMMDD")&amp;"*"" /stext="" "&amp;TEXT(VLZ28-utc_offset/24,"HH")&amp;search_regexp&amp;""""</f>
        <v>#REF!</v>
      </c>
      <c r="VMX28" s="234" t="e">
        <f>astrogrep_path&amp;" /e /r /s /spath="&amp;search_path&amp;" /stypes=""app*"&amp;VLT28&amp;"*"&amp;TEXT(VMA28-utc_offset/24,"YYYYMMDD")&amp;"*"" /stext="" "&amp;TEXT(VMA28-utc_offset/24,"HH")&amp;search_regexp&amp;""""</f>
        <v>#REF!</v>
      </c>
      <c r="VMY28" s="234" t="e">
        <f>astrogrep_path&amp;" /e /r /s /spath="&amp;search_path&amp;" /stypes=""app*"&amp;VLU28&amp;"*"&amp;TEXT(VMB28-utc_offset/24,"YYYYMMDD")&amp;"*"" /stext="" "&amp;TEXT(VMB28-utc_offset/24,"HH")&amp;search_regexp&amp;""""</f>
        <v>#REF!</v>
      </c>
      <c r="VMZ28" s="234" t="e">
        <f>astrogrep_path&amp;" /e /r /s /spath="&amp;search_path&amp;" /stypes=""app*"&amp;VLV28&amp;"*"&amp;TEXT(VMC28-utc_offset/24,"YYYYMMDD")&amp;"*"" /stext="" "&amp;TEXT(VMC28-utc_offset/24,"HH")&amp;search_regexp&amp;""""</f>
        <v>#REF!</v>
      </c>
      <c r="VNA28" s="234" t="e">
        <f>astrogrep_path&amp;" /e /r /s /spath="&amp;search_path&amp;" /stypes=""app*"&amp;VLW28&amp;"*"&amp;TEXT(VMD28-utc_offset/24,"YYYYMMDD")&amp;"*"" /stext="" "&amp;TEXT(VMD28-utc_offset/24,"HH")&amp;search_regexp&amp;""""</f>
        <v>#REF!</v>
      </c>
      <c r="VNB28" s="234" t="e">
        <f>astrogrep_path&amp;" /e /r /s /spath="&amp;search_path&amp;" /stypes=""app*"&amp;VLX28&amp;"*"&amp;TEXT(VME28-utc_offset/24,"YYYYMMDD")&amp;"*"" /stext="" "&amp;TEXT(VME28-utc_offset/24,"HH")&amp;search_regexp&amp;""""</f>
        <v>#REF!</v>
      </c>
      <c r="VNC28" s="234" t="e">
        <f>astrogrep_path&amp;" /e /r /s /spath="&amp;search_path&amp;" /stypes=""app*"&amp;VLY28&amp;"*"&amp;TEXT(VMF28-utc_offset/24,"YYYYMMDD")&amp;"*"" /stext="" "&amp;TEXT(VMF28-utc_offset/24,"HH")&amp;search_regexp&amp;""""</f>
        <v>#REF!</v>
      </c>
      <c r="VND28" s="234" t="e">
        <f>astrogrep_path&amp;" /e /r /s /spath="&amp;search_path&amp;" /stypes=""app*"&amp;VLZ28&amp;"*"&amp;TEXT(VMG28-utc_offset/24,"YYYYMMDD")&amp;"*"" /stext="" "&amp;TEXT(VMG28-utc_offset/24,"HH")&amp;search_regexp&amp;""""</f>
        <v>#REF!</v>
      </c>
      <c r="VNE28" s="234" t="e">
        <f>astrogrep_path&amp;" /e /r /s /spath="&amp;search_path&amp;" /stypes=""app*"&amp;VMA28&amp;"*"&amp;TEXT(VMH28-utc_offset/24,"YYYYMMDD")&amp;"*"" /stext="" "&amp;TEXT(VMH28-utc_offset/24,"HH")&amp;search_regexp&amp;""""</f>
        <v>#VALUE!</v>
      </c>
      <c r="VNF28" s="234" t="e">
        <f>astrogrep_path&amp;" /e /r /s /spath="&amp;search_path&amp;" /stypes=""app*"&amp;VMB28&amp;"*"&amp;TEXT(VMI28-utc_offset/24,"YYYYMMDD")&amp;"*"" /stext="" "&amp;TEXT(VMI28-utc_offset/24,"HH")&amp;search_regexp&amp;""""</f>
        <v>#VALUE!</v>
      </c>
      <c r="VNG28" s="234" t="e">
        <f>astrogrep_path&amp;" /e /r /s /spath="&amp;search_path&amp;" /stypes=""app*"&amp;VMC28&amp;"*"&amp;TEXT(VMJ28-utc_offset/24,"YYYYMMDD")&amp;"*"" /stext="" "&amp;TEXT(VMJ28-utc_offset/24,"HH")&amp;search_regexp&amp;""""</f>
        <v>#REF!</v>
      </c>
      <c r="VNH28" s="234" t="e">
        <f>astrogrep_path&amp;" /e /r /s /spath="&amp;search_path&amp;" /stypes=""app*"&amp;VMD28&amp;"*"&amp;TEXT(VMK28-utc_offset/24,"YYYYMMDD")&amp;"*"" /stext="" "&amp;TEXT(VMK28-utc_offset/24,"HH")&amp;search_regexp&amp;""""</f>
        <v>#REF!</v>
      </c>
      <c r="VNI28" s="234" t="e">
        <f>astrogrep_path&amp;" /e /r /s /spath="&amp;search_path&amp;" /stypes=""app*"&amp;VME28&amp;"*"&amp;TEXT(VML28-utc_offset/24,"YYYYMMDD")&amp;"*"" /stext="" "&amp;TEXT(VML28-utc_offset/24,"HH")&amp;search_regexp&amp;""""</f>
        <v>#VALUE!</v>
      </c>
      <c r="VNJ28" s="234" t="e">
        <f>astrogrep_path&amp;" /e /r /s /spath="&amp;search_path&amp;" /stypes=""app*"&amp;VMF28&amp;"*"&amp;TEXT(VMM28-utc_offset/24,"YYYYMMDD")&amp;"*"" /stext="" "&amp;TEXT(VMM28-utc_offset/24,"HH")&amp;search_regexp&amp;""""</f>
        <v>#VALUE!</v>
      </c>
      <c r="VNK28" s="234" t="e">
        <f>astrogrep_path&amp;" /e /r /s /spath="&amp;search_path&amp;" /stypes=""app*"&amp;VMG28&amp;"*"&amp;TEXT(VMN28-utc_offset/24,"YYYYMMDD")&amp;"*"" /stext="" "&amp;TEXT(VMN28-utc_offset/24,"HH")&amp;search_regexp&amp;""""</f>
        <v>#VALUE!</v>
      </c>
      <c r="VNL28" s="234" t="e">
        <f>astrogrep_path&amp;" /e /r /s /spath="&amp;search_path&amp;" /stypes=""app*"&amp;VMH28&amp;"*"&amp;TEXT(VMO28-utc_offset/24,"YYYYMMDD")&amp;"*"" /stext="" "&amp;TEXT(VMO28-utc_offset/24,"HH")&amp;search_regexp&amp;""""</f>
        <v>#VALUE!</v>
      </c>
      <c r="VNM28" s="234" t="e">
        <f>astrogrep_path&amp;" /e /r /s /spath="&amp;search_path&amp;" /stypes=""app*"&amp;VMI28&amp;"*"&amp;TEXT(VMP28-utc_offset/24,"YYYYMMDD")&amp;"*"" /stext="" "&amp;TEXT(VMP28-utc_offset/24,"HH")&amp;search_regexp&amp;""""</f>
        <v>#VALUE!</v>
      </c>
      <c r="VNN28" s="234" t="e">
        <f>astrogrep_path&amp;" /e /r /s /spath="&amp;search_path&amp;" /stypes=""app*"&amp;VMJ28&amp;"*"&amp;TEXT(VMQ28-utc_offset/24,"YYYYMMDD")&amp;"*"" /stext="" "&amp;TEXT(VMQ28-utc_offset/24,"HH")&amp;search_regexp&amp;""""</f>
        <v>#REF!</v>
      </c>
      <c r="VNO28" s="234" t="e">
        <f>astrogrep_path&amp;" /e /r /s /spath="&amp;search_path&amp;" /stypes=""app*"&amp;VMK28&amp;"*"&amp;TEXT(VMR28-utc_offset/24,"YYYYMMDD")&amp;"*"" /stext="" "&amp;TEXT(VMR28-utc_offset/24,"HH")&amp;search_regexp&amp;""""</f>
        <v>#REF!</v>
      </c>
      <c r="VNP28" s="234" t="e">
        <f>astrogrep_path&amp;" /e /r /s /spath="&amp;search_path&amp;" /stypes=""app*"&amp;VML28&amp;"*"&amp;TEXT(VMS28-utc_offset/24,"YYYYMMDD")&amp;"*"" /stext="" "&amp;TEXT(VMS28-utc_offset/24,"HH")&amp;search_regexp&amp;""""</f>
        <v>#REF!</v>
      </c>
      <c r="VNQ28" s="234" t="e">
        <f>astrogrep_path&amp;" /e /r /s /spath="&amp;search_path&amp;" /stypes=""app*"&amp;VMM28&amp;"*"&amp;TEXT(VMT28-utc_offset/24,"YYYYMMDD")&amp;"*"" /stext="" "&amp;TEXT(VMT28-utc_offset/24,"HH")&amp;search_regexp&amp;""""</f>
        <v>#REF!</v>
      </c>
      <c r="VNR28" s="234" t="e">
        <f>astrogrep_path&amp;" /e /r /s /spath="&amp;search_path&amp;" /stypes=""app*"&amp;VMN28&amp;"*"&amp;TEXT(VMU28-utc_offset/24,"YYYYMMDD")&amp;"*"" /stext="" "&amp;TEXT(VMU28-utc_offset/24,"HH")&amp;search_regexp&amp;""""</f>
        <v>#REF!</v>
      </c>
      <c r="VNS28" s="234" t="e">
        <f>astrogrep_path&amp;" /e /r /s /spath="&amp;search_path&amp;" /stypes=""app*"&amp;VMO28&amp;"*"&amp;TEXT(VMV28-utc_offset/24,"YYYYMMDD")&amp;"*"" /stext="" "&amp;TEXT(VMV28-utc_offset/24,"HH")&amp;search_regexp&amp;""""</f>
        <v>#REF!</v>
      </c>
      <c r="VNT28" s="234" t="e">
        <f>astrogrep_path&amp;" /e /r /s /spath="&amp;search_path&amp;" /stypes=""app*"&amp;VMP28&amp;"*"&amp;TEXT(VMW28-utc_offset/24,"YYYYMMDD")&amp;"*"" /stext="" "&amp;TEXT(VMW28-utc_offset/24,"HH")&amp;search_regexp&amp;""""</f>
        <v>#REF!</v>
      </c>
      <c r="VNU28" s="234" t="e">
        <f>astrogrep_path&amp;" /e /r /s /spath="&amp;search_path&amp;" /stypes=""app*"&amp;VMQ28&amp;"*"&amp;TEXT(VMX28-utc_offset/24,"YYYYMMDD")&amp;"*"" /stext="" "&amp;TEXT(VMX28-utc_offset/24,"HH")&amp;search_regexp&amp;""""</f>
        <v>#REF!</v>
      </c>
      <c r="VNV28" s="234" t="e">
        <f>astrogrep_path&amp;" /e /r /s /spath="&amp;search_path&amp;" /stypes=""app*"&amp;VMR28&amp;"*"&amp;TEXT(VMY28-utc_offset/24,"YYYYMMDD")&amp;"*"" /stext="" "&amp;TEXT(VMY28-utc_offset/24,"HH")&amp;search_regexp&amp;""""</f>
        <v>#REF!</v>
      </c>
      <c r="VNW28" s="234" t="e">
        <f>astrogrep_path&amp;" /e /r /s /spath="&amp;search_path&amp;" /stypes=""app*"&amp;VMS28&amp;"*"&amp;TEXT(VMZ28-utc_offset/24,"YYYYMMDD")&amp;"*"" /stext="" "&amp;TEXT(VMZ28-utc_offset/24,"HH")&amp;search_regexp&amp;""""</f>
        <v>#REF!</v>
      </c>
      <c r="VNX28" s="234" t="e">
        <f>astrogrep_path&amp;" /e /r /s /spath="&amp;search_path&amp;" /stypes=""app*"&amp;VMT28&amp;"*"&amp;TEXT(VNA28-utc_offset/24,"YYYYMMDD")&amp;"*"" /stext="" "&amp;TEXT(VNA28-utc_offset/24,"HH")&amp;search_regexp&amp;""""</f>
        <v>#REF!</v>
      </c>
      <c r="VNY28" s="234" t="e">
        <f>astrogrep_path&amp;" /e /r /s /spath="&amp;search_path&amp;" /stypes=""app*"&amp;VMU28&amp;"*"&amp;TEXT(VNB28-utc_offset/24,"YYYYMMDD")&amp;"*"" /stext="" "&amp;TEXT(VNB28-utc_offset/24,"HH")&amp;search_regexp&amp;""""</f>
        <v>#REF!</v>
      </c>
      <c r="VNZ28" s="234" t="e">
        <f>astrogrep_path&amp;" /e /r /s /spath="&amp;search_path&amp;" /stypes=""app*"&amp;VMV28&amp;"*"&amp;TEXT(VNC28-utc_offset/24,"YYYYMMDD")&amp;"*"" /stext="" "&amp;TEXT(VNC28-utc_offset/24,"HH")&amp;search_regexp&amp;""""</f>
        <v>#REF!</v>
      </c>
      <c r="VOA28" s="234" t="e">
        <f>astrogrep_path&amp;" /e /r /s /spath="&amp;search_path&amp;" /stypes=""app*"&amp;VMW28&amp;"*"&amp;TEXT(VND28-utc_offset/24,"YYYYMMDD")&amp;"*"" /stext="" "&amp;TEXT(VND28-utc_offset/24,"HH")&amp;search_regexp&amp;""""</f>
        <v>#REF!</v>
      </c>
      <c r="VOB28" s="234" t="e">
        <f>astrogrep_path&amp;" /e /r /s /spath="&amp;search_path&amp;" /stypes=""app*"&amp;VMX28&amp;"*"&amp;TEXT(VNE28-utc_offset/24,"YYYYMMDD")&amp;"*"" /stext="" "&amp;TEXT(VNE28-utc_offset/24,"HH")&amp;search_regexp&amp;""""</f>
        <v>#REF!</v>
      </c>
      <c r="VOC28" s="234" t="e">
        <f>astrogrep_path&amp;" /e /r /s /spath="&amp;search_path&amp;" /stypes=""app*"&amp;VMY28&amp;"*"&amp;TEXT(VNF28-utc_offset/24,"YYYYMMDD")&amp;"*"" /stext="" "&amp;TEXT(VNF28-utc_offset/24,"HH")&amp;search_regexp&amp;""""</f>
        <v>#REF!</v>
      </c>
      <c r="VOD28" s="234" t="e">
        <f>astrogrep_path&amp;" /e /r /s /spath="&amp;search_path&amp;" /stypes=""app*"&amp;VMZ28&amp;"*"&amp;TEXT(VNG28-utc_offset/24,"YYYYMMDD")&amp;"*"" /stext="" "&amp;TEXT(VNG28-utc_offset/24,"HH")&amp;search_regexp&amp;""""</f>
        <v>#REF!</v>
      </c>
      <c r="VOE28" s="234" t="e">
        <f>astrogrep_path&amp;" /e /r /s /spath="&amp;search_path&amp;" /stypes=""app*"&amp;VNA28&amp;"*"&amp;TEXT(VNH28-utc_offset/24,"YYYYMMDD")&amp;"*"" /stext="" "&amp;TEXT(VNH28-utc_offset/24,"HH")&amp;search_regexp&amp;""""</f>
        <v>#REF!</v>
      </c>
      <c r="VOF28" s="234" t="e">
        <f>astrogrep_path&amp;" /e /r /s /spath="&amp;search_path&amp;" /stypes=""app*"&amp;VNB28&amp;"*"&amp;TEXT(VNI28-utc_offset/24,"YYYYMMDD")&amp;"*"" /stext="" "&amp;TEXT(VNI28-utc_offset/24,"HH")&amp;search_regexp&amp;""""</f>
        <v>#REF!</v>
      </c>
      <c r="VOG28" s="234" t="e">
        <f>astrogrep_path&amp;" /e /r /s /spath="&amp;search_path&amp;" /stypes=""app*"&amp;VNC28&amp;"*"&amp;TEXT(VNJ28-utc_offset/24,"YYYYMMDD")&amp;"*"" /stext="" "&amp;TEXT(VNJ28-utc_offset/24,"HH")&amp;search_regexp&amp;""""</f>
        <v>#REF!</v>
      </c>
      <c r="VOH28" s="234" t="e">
        <f>astrogrep_path&amp;" /e /r /s /spath="&amp;search_path&amp;" /stypes=""app*"&amp;VND28&amp;"*"&amp;TEXT(VNK28-utc_offset/24,"YYYYMMDD")&amp;"*"" /stext="" "&amp;TEXT(VNK28-utc_offset/24,"HH")&amp;search_regexp&amp;""""</f>
        <v>#REF!</v>
      </c>
      <c r="VOI28" s="234" t="e">
        <f>astrogrep_path&amp;" /e /r /s /spath="&amp;search_path&amp;" /stypes=""app*"&amp;VNE28&amp;"*"&amp;TEXT(VNL28-utc_offset/24,"YYYYMMDD")&amp;"*"" /stext="" "&amp;TEXT(VNL28-utc_offset/24,"HH")&amp;search_regexp&amp;""""</f>
        <v>#VALUE!</v>
      </c>
      <c r="VOJ28" s="234" t="e">
        <f>astrogrep_path&amp;" /e /r /s /spath="&amp;search_path&amp;" /stypes=""app*"&amp;VNF28&amp;"*"&amp;TEXT(VNM28-utc_offset/24,"YYYYMMDD")&amp;"*"" /stext="" "&amp;TEXT(VNM28-utc_offset/24,"HH")&amp;search_regexp&amp;""""</f>
        <v>#VALUE!</v>
      </c>
      <c r="VOK28" s="234" t="e">
        <f>astrogrep_path&amp;" /e /r /s /spath="&amp;search_path&amp;" /stypes=""app*"&amp;VNG28&amp;"*"&amp;TEXT(VNN28-utc_offset/24,"YYYYMMDD")&amp;"*"" /stext="" "&amp;TEXT(VNN28-utc_offset/24,"HH")&amp;search_regexp&amp;""""</f>
        <v>#REF!</v>
      </c>
      <c r="VOL28" s="234" t="e">
        <f>astrogrep_path&amp;" /e /r /s /spath="&amp;search_path&amp;" /stypes=""app*"&amp;VNH28&amp;"*"&amp;TEXT(VNO28-utc_offset/24,"YYYYMMDD")&amp;"*"" /stext="" "&amp;TEXT(VNO28-utc_offset/24,"HH")&amp;search_regexp&amp;""""</f>
        <v>#REF!</v>
      </c>
      <c r="VOM28" s="234" t="e">
        <f>astrogrep_path&amp;" /e /r /s /spath="&amp;search_path&amp;" /stypes=""app*"&amp;VNI28&amp;"*"&amp;TEXT(VNP28-utc_offset/24,"YYYYMMDD")&amp;"*"" /stext="" "&amp;TEXT(VNP28-utc_offset/24,"HH")&amp;search_regexp&amp;""""</f>
        <v>#VALUE!</v>
      </c>
      <c r="VON28" s="234" t="e">
        <f>astrogrep_path&amp;" /e /r /s /spath="&amp;search_path&amp;" /stypes=""app*"&amp;VNJ28&amp;"*"&amp;TEXT(VNQ28-utc_offset/24,"YYYYMMDD")&amp;"*"" /stext="" "&amp;TEXT(VNQ28-utc_offset/24,"HH")&amp;search_regexp&amp;""""</f>
        <v>#VALUE!</v>
      </c>
      <c r="VOO28" s="234" t="e">
        <f>astrogrep_path&amp;" /e /r /s /spath="&amp;search_path&amp;" /stypes=""app*"&amp;VNK28&amp;"*"&amp;TEXT(VNR28-utc_offset/24,"YYYYMMDD")&amp;"*"" /stext="" "&amp;TEXT(VNR28-utc_offset/24,"HH")&amp;search_regexp&amp;""""</f>
        <v>#VALUE!</v>
      </c>
      <c r="VOP28" s="234" t="e">
        <f>astrogrep_path&amp;" /e /r /s /spath="&amp;search_path&amp;" /stypes=""app*"&amp;VNL28&amp;"*"&amp;TEXT(VNS28-utc_offset/24,"YYYYMMDD")&amp;"*"" /stext="" "&amp;TEXT(VNS28-utc_offset/24,"HH")&amp;search_regexp&amp;""""</f>
        <v>#VALUE!</v>
      </c>
      <c r="VOQ28" s="234" t="e">
        <f>astrogrep_path&amp;" /e /r /s /spath="&amp;search_path&amp;" /stypes=""app*"&amp;VNM28&amp;"*"&amp;TEXT(VNT28-utc_offset/24,"YYYYMMDD")&amp;"*"" /stext="" "&amp;TEXT(VNT28-utc_offset/24,"HH")&amp;search_regexp&amp;""""</f>
        <v>#VALUE!</v>
      </c>
      <c r="VOR28" s="234" t="e">
        <f>astrogrep_path&amp;" /e /r /s /spath="&amp;search_path&amp;" /stypes=""app*"&amp;VNN28&amp;"*"&amp;TEXT(VNU28-utc_offset/24,"YYYYMMDD")&amp;"*"" /stext="" "&amp;TEXT(VNU28-utc_offset/24,"HH")&amp;search_regexp&amp;""""</f>
        <v>#REF!</v>
      </c>
      <c r="VOS28" s="234" t="e">
        <f>astrogrep_path&amp;" /e /r /s /spath="&amp;search_path&amp;" /stypes=""app*"&amp;VNO28&amp;"*"&amp;TEXT(VNV28-utc_offset/24,"YYYYMMDD")&amp;"*"" /stext="" "&amp;TEXT(VNV28-utc_offset/24,"HH")&amp;search_regexp&amp;""""</f>
        <v>#REF!</v>
      </c>
      <c r="VOT28" s="234" t="e">
        <f>astrogrep_path&amp;" /e /r /s /spath="&amp;search_path&amp;" /stypes=""app*"&amp;VNP28&amp;"*"&amp;TEXT(VNW28-utc_offset/24,"YYYYMMDD")&amp;"*"" /stext="" "&amp;TEXT(VNW28-utc_offset/24,"HH")&amp;search_regexp&amp;""""</f>
        <v>#REF!</v>
      </c>
      <c r="VOU28" s="234" t="e">
        <f>astrogrep_path&amp;" /e /r /s /spath="&amp;search_path&amp;" /stypes=""app*"&amp;VNQ28&amp;"*"&amp;TEXT(VNX28-utc_offset/24,"YYYYMMDD")&amp;"*"" /stext="" "&amp;TEXT(VNX28-utc_offset/24,"HH")&amp;search_regexp&amp;""""</f>
        <v>#REF!</v>
      </c>
      <c r="VOV28" s="234" t="e">
        <f>astrogrep_path&amp;" /e /r /s /spath="&amp;search_path&amp;" /stypes=""app*"&amp;VNR28&amp;"*"&amp;TEXT(VNY28-utc_offset/24,"YYYYMMDD")&amp;"*"" /stext="" "&amp;TEXT(VNY28-utc_offset/24,"HH")&amp;search_regexp&amp;""""</f>
        <v>#REF!</v>
      </c>
      <c r="VOW28" s="234" t="e">
        <f>astrogrep_path&amp;" /e /r /s /spath="&amp;search_path&amp;" /stypes=""app*"&amp;VNS28&amp;"*"&amp;TEXT(VNZ28-utc_offset/24,"YYYYMMDD")&amp;"*"" /stext="" "&amp;TEXT(VNZ28-utc_offset/24,"HH")&amp;search_regexp&amp;""""</f>
        <v>#REF!</v>
      </c>
      <c r="VOX28" s="234" t="e">
        <f>astrogrep_path&amp;" /e /r /s /spath="&amp;search_path&amp;" /stypes=""app*"&amp;VNT28&amp;"*"&amp;TEXT(VOA28-utc_offset/24,"YYYYMMDD")&amp;"*"" /stext="" "&amp;TEXT(VOA28-utc_offset/24,"HH")&amp;search_regexp&amp;""""</f>
        <v>#REF!</v>
      </c>
      <c r="VOY28" s="234" t="e">
        <f>astrogrep_path&amp;" /e /r /s /spath="&amp;search_path&amp;" /stypes=""app*"&amp;VNU28&amp;"*"&amp;TEXT(VOB28-utc_offset/24,"YYYYMMDD")&amp;"*"" /stext="" "&amp;TEXT(VOB28-utc_offset/24,"HH")&amp;search_regexp&amp;""""</f>
        <v>#REF!</v>
      </c>
      <c r="VOZ28" s="234" t="e">
        <f>astrogrep_path&amp;" /e /r /s /spath="&amp;search_path&amp;" /stypes=""app*"&amp;VNV28&amp;"*"&amp;TEXT(VOC28-utc_offset/24,"YYYYMMDD")&amp;"*"" /stext="" "&amp;TEXT(VOC28-utc_offset/24,"HH")&amp;search_regexp&amp;""""</f>
        <v>#REF!</v>
      </c>
      <c r="VPA28" s="234" t="e">
        <f>astrogrep_path&amp;" /e /r /s /spath="&amp;search_path&amp;" /stypes=""app*"&amp;VNW28&amp;"*"&amp;TEXT(VOD28-utc_offset/24,"YYYYMMDD")&amp;"*"" /stext="" "&amp;TEXT(VOD28-utc_offset/24,"HH")&amp;search_regexp&amp;""""</f>
        <v>#REF!</v>
      </c>
      <c r="VPB28" s="234" t="e">
        <f>astrogrep_path&amp;" /e /r /s /spath="&amp;search_path&amp;" /stypes=""app*"&amp;VNX28&amp;"*"&amp;TEXT(VOE28-utc_offset/24,"YYYYMMDD")&amp;"*"" /stext="" "&amp;TEXT(VOE28-utc_offset/24,"HH")&amp;search_regexp&amp;""""</f>
        <v>#REF!</v>
      </c>
      <c r="VPC28" s="234" t="e">
        <f>astrogrep_path&amp;" /e /r /s /spath="&amp;search_path&amp;" /stypes=""app*"&amp;VNY28&amp;"*"&amp;TEXT(VOF28-utc_offset/24,"YYYYMMDD")&amp;"*"" /stext="" "&amp;TEXT(VOF28-utc_offset/24,"HH")&amp;search_regexp&amp;""""</f>
        <v>#REF!</v>
      </c>
      <c r="VPD28" s="234" t="e">
        <f>astrogrep_path&amp;" /e /r /s /spath="&amp;search_path&amp;" /stypes=""app*"&amp;VNZ28&amp;"*"&amp;TEXT(VOG28-utc_offset/24,"YYYYMMDD")&amp;"*"" /stext="" "&amp;TEXT(VOG28-utc_offset/24,"HH")&amp;search_regexp&amp;""""</f>
        <v>#REF!</v>
      </c>
      <c r="VPE28" s="234" t="e">
        <f>astrogrep_path&amp;" /e /r /s /spath="&amp;search_path&amp;" /stypes=""app*"&amp;VOA28&amp;"*"&amp;TEXT(VOH28-utc_offset/24,"YYYYMMDD")&amp;"*"" /stext="" "&amp;TEXT(VOH28-utc_offset/24,"HH")&amp;search_regexp&amp;""""</f>
        <v>#REF!</v>
      </c>
      <c r="VPF28" s="234" t="e">
        <f>astrogrep_path&amp;" /e /r /s /spath="&amp;search_path&amp;" /stypes=""app*"&amp;VOB28&amp;"*"&amp;TEXT(VOI28-utc_offset/24,"YYYYMMDD")&amp;"*"" /stext="" "&amp;TEXT(VOI28-utc_offset/24,"HH")&amp;search_regexp&amp;""""</f>
        <v>#REF!</v>
      </c>
      <c r="VPG28" s="234" t="e">
        <f>astrogrep_path&amp;" /e /r /s /spath="&amp;search_path&amp;" /stypes=""app*"&amp;VOC28&amp;"*"&amp;TEXT(VOJ28-utc_offset/24,"YYYYMMDD")&amp;"*"" /stext="" "&amp;TEXT(VOJ28-utc_offset/24,"HH")&amp;search_regexp&amp;""""</f>
        <v>#REF!</v>
      </c>
      <c r="VPH28" s="234" t="e">
        <f>astrogrep_path&amp;" /e /r /s /spath="&amp;search_path&amp;" /stypes=""app*"&amp;VOD28&amp;"*"&amp;TEXT(VOK28-utc_offset/24,"YYYYMMDD")&amp;"*"" /stext="" "&amp;TEXT(VOK28-utc_offset/24,"HH")&amp;search_regexp&amp;""""</f>
        <v>#REF!</v>
      </c>
      <c r="VPI28" s="234" t="e">
        <f>astrogrep_path&amp;" /e /r /s /spath="&amp;search_path&amp;" /stypes=""app*"&amp;VOE28&amp;"*"&amp;TEXT(VOL28-utc_offset/24,"YYYYMMDD")&amp;"*"" /stext="" "&amp;TEXT(VOL28-utc_offset/24,"HH")&amp;search_regexp&amp;""""</f>
        <v>#REF!</v>
      </c>
      <c r="VPJ28" s="234" t="e">
        <f>astrogrep_path&amp;" /e /r /s /spath="&amp;search_path&amp;" /stypes=""app*"&amp;VOF28&amp;"*"&amp;TEXT(VOM28-utc_offset/24,"YYYYMMDD")&amp;"*"" /stext="" "&amp;TEXT(VOM28-utc_offset/24,"HH")&amp;search_regexp&amp;""""</f>
        <v>#REF!</v>
      </c>
      <c r="VPK28" s="234" t="e">
        <f>astrogrep_path&amp;" /e /r /s /spath="&amp;search_path&amp;" /stypes=""app*"&amp;VOG28&amp;"*"&amp;TEXT(VON28-utc_offset/24,"YYYYMMDD")&amp;"*"" /stext="" "&amp;TEXT(VON28-utc_offset/24,"HH")&amp;search_regexp&amp;""""</f>
        <v>#REF!</v>
      </c>
      <c r="VPL28" s="234" t="e">
        <f>astrogrep_path&amp;" /e /r /s /spath="&amp;search_path&amp;" /stypes=""app*"&amp;VOH28&amp;"*"&amp;TEXT(VOO28-utc_offset/24,"YYYYMMDD")&amp;"*"" /stext="" "&amp;TEXT(VOO28-utc_offset/24,"HH")&amp;search_regexp&amp;""""</f>
        <v>#REF!</v>
      </c>
      <c r="VPM28" s="234" t="e">
        <f>astrogrep_path&amp;" /e /r /s /spath="&amp;search_path&amp;" /stypes=""app*"&amp;VOI28&amp;"*"&amp;TEXT(VOP28-utc_offset/24,"YYYYMMDD")&amp;"*"" /stext="" "&amp;TEXT(VOP28-utc_offset/24,"HH")&amp;search_regexp&amp;""""</f>
        <v>#VALUE!</v>
      </c>
      <c r="VPN28" s="234" t="e">
        <f>astrogrep_path&amp;" /e /r /s /spath="&amp;search_path&amp;" /stypes=""app*"&amp;VOJ28&amp;"*"&amp;TEXT(VOQ28-utc_offset/24,"YYYYMMDD")&amp;"*"" /stext="" "&amp;TEXT(VOQ28-utc_offset/24,"HH")&amp;search_regexp&amp;""""</f>
        <v>#VALUE!</v>
      </c>
      <c r="VPO28" s="234" t="e">
        <f>astrogrep_path&amp;" /e /r /s /spath="&amp;search_path&amp;" /stypes=""app*"&amp;VOK28&amp;"*"&amp;TEXT(VOR28-utc_offset/24,"YYYYMMDD")&amp;"*"" /stext="" "&amp;TEXT(VOR28-utc_offset/24,"HH")&amp;search_regexp&amp;""""</f>
        <v>#REF!</v>
      </c>
      <c r="VPP28" s="234" t="e">
        <f>astrogrep_path&amp;" /e /r /s /spath="&amp;search_path&amp;" /stypes=""app*"&amp;VOL28&amp;"*"&amp;TEXT(VOS28-utc_offset/24,"YYYYMMDD")&amp;"*"" /stext="" "&amp;TEXT(VOS28-utc_offset/24,"HH")&amp;search_regexp&amp;""""</f>
        <v>#REF!</v>
      </c>
      <c r="VPQ28" s="234" t="e">
        <f>astrogrep_path&amp;" /e /r /s /spath="&amp;search_path&amp;" /stypes=""app*"&amp;VOM28&amp;"*"&amp;TEXT(VOT28-utc_offset/24,"YYYYMMDD")&amp;"*"" /stext="" "&amp;TEXT(VOT28-utc_offset/24,"HH")&amp;search_regexp&amp;""""</f>
        <v>#VALUE!</v>
      </c>
      <c r="VPR28" s="234" t="e">
        <f>astrogrep_path&amp;" /e /r /s /spath="&amp;search_path&amp;" /stypes=""app*"&amp;VON28&amp;"*"&amp;TEXT(VOU28-utc_offset/24,"YYYYMMDD")&amp;"*"" /stext="" "&amp;TEXT(VOU28-utc_offset/24,"HH")&amp;search_regexp&amp;""""</f>
        <v>#VALUE!</v>
      </c>
      <c r="VPS28" s="234" t="e">
        <f>astrogrep_path&amp;" /e /r /s /spath="&amp;search_path&amp;" /stypes=""app*"&amp;VOO28&amp;"*"&amp;TEXT(VOV28-utc_offset/24,"YYYYMMDD")&amp;"*"" /stext="" "&amp;TEXT(VOV28-utc_offset/24,"HH")&amp;search_regexp&amp;""""</f>
        <v>#VALUE!</v>
      </c>
      <c r="VPT28" s="234" t="e">
        <f>astrogrep_path&amp;" /e /r /s /spath="&amp;search_path&amp;" /stypes=""app*"&amp;VOP28&amp;"*"&amp;TEXT(VOW28-utc_offset/24,"YYYYMMDD")&amp;"*"" /stext="" "&amp;TEXT(VOW28-utc_offset/24,"HH")&amp;search_regexp&amp;""""</f>
        <v>#VALUE!</v>
      </c>
      <c r="VPU28" s="234" t="e">
        <f>astrogrep_path&amp;" /e /r /s /spath="&amp;search_path&amp;" /stypes=""app*"&amp;VOQ28&amp;"*"&amp;TEXT(VOX28-utc_offset/24,"YYYYMMDD")&amp;"*"" /stext="" "&amp;TEXT(VOX28-utc_offset/24,"HH")&amp;search_regexp&amp;""""</f>
        <v>#VALUE!</v>
      </c>
      <c r="VPV28" s="234" t="e">
        <f>astrogrep_path&amp;" /e /r /s /spath="&amp;search_path&amp;" /stypes=""app*"&amp;VOR28&amp;"*"&amp;TEXT(VOY28-utc_offset/24,"YYYYMMDD")&amp;"*"" /stext="" "&amp;TEXT(VOY28-utc_offset/24,"HH")&amp;search_regexp&amp;""""</f>
        <v>#REF!</v>
      </c>
      <c r="VPW28" s="234" t="e">
        <f>astrogrep_path&amp;" /e /r /s /spath="&amp;search_path&amp;" /stypes=""app*"&amp;VOS28&amp;"*"&amp;TEXT(VOZ28-utc_offset/24,"YYYYMMDD")&amp;"*"" /stext="" "&amp;TEXT(VOZ28-utc_offset/24,"HH")&amp;search_regexp&amp;""""</f>
        <v>#REF!</v>
      </c>
      <c r="VPX28" s="234" t="e">
        <f>astrogrep_path&amp;" /e /r /s /spath="&amp;search_path&amp;" /stypes=""app*"&amp;VOT28&amp;"*"&amp;TEXT(VPA28-utc_offset/24,"YYYYMMDD")&amp;"*"" /stext="" "&amp;TEXT(VPA28-utc_offset/24,"HH")&amp;search_regexp&amp;""""</f>
        <v>#REF!</v>
      </c>
      <c r="VPY28" s="234" t="e">
        <f>astrogrep_path&amp;" /e /r /s /spath="&amp;search_path&amp;" /stypes=""app*"&amp;VOU28&amp;"*"&amp;TEXT(VPB28-utc_offset/24,"YYYYMMDD")&amp;"*"" /stext="" "&amp;TEXT(VPB28-utc_offset/24,"HH")&amp;search_regexp&amp;""""</f>
        <v>#REF!</v>
      </c>
      <c r="VPZ28" s="234" t="e">
        <f>astrogrep_path&amp;" /e /r /s /spath="&amp;search_path&amp;" /stypes=""app*"&amp;VOV28&amp;"*"&amp;TEXT(VPC28-utc_offset/24,"YYYYMMDD")&amp;"*"" /stext="" "&amp;TEXT(VPC28-utc_offset/24,"HH")&amp;search_regexp&amp;""""</f>
        <v>#REF!</v>
      </c>
      <c r="VQA28" s="234" t="e">
        <f>astrogrep_path&amp;" /e /r /s /spath="&amp;search_path&amp;" /stypes=""app*"&amp;VOW28&amp;"*"&amp;TEXT(VPD28-utc_offset/24,"YYYYMMDD")&amp;"*"" /stext="" "&amp;TEXT(VPD28-utc_offset/24,"HH")&amp;search_regexp&amp;""""</f>
        <v>#REF!</v>
      </c>
      <c r="VQB28" s="234" t="e">
        <f>astrogrep_path&amp;" /e /r /s /spath="&amp;search_path&amp;" /stypes=""app*"&amp;VOX28&amp;"*"&amp;TEXT(VPE28-utc_offset/24,"YYYYMMDD")&amp;"*"" /stext="" "&amp;TEXT(VPE28-utc_offset/24,"HH")&amp;search_regexp&amp;""""</f>
        <v>#REF!</v>
      </c>
      <c r="VQC28" s="234" t="e">
        <f>astrogrep_path&amp;" /e /r /s /spath="&amp;search_path&amp;" /stypes=""app*"&amp;VOY28&amp;"*"&amp;TEXT(VPF28-utc_offset/24,"YYYYMMDD")&amp;"*"" /stext="" "&amp;TEXT(VPF28-utc_offset/24,"HH")&amp;search_regexp&amp;""""</f>
        <v>#REF!</v>
      </c>
      <c r="VQD28" s="234" t="e">
        <f>astrogrep_path&amp;" /e /r /s /spath="&amp;search_path&amp;" /stypes=""app*"&amp;VOZ28&amp;"*"&amp;TEXT(VPG28-utc_offset/24,"YYYYMMDD")&amp;"*"" /stext="" "&amp;TEXT(VPG28-utc_offset/24,"HH")&amp;search_regexp&amp;""""</f>
        <v>#REF!</v>
      </c>
      <c r="VQE28" s="234" t="e">
        <f>astrogrep_path&amp;" /e /r /s /spath="&amp;search_path&amp;" /stypes=""app*"&amp;VPA28&amp;"*"&amp;TEXT(VPH28-utc_offset/24,"YYYYMMDD")&amp;"*"" /stext="" "&amp;TEXT(VPH28-utc_offset/24,"HH")&amp;search_regexp&amp;""""</f>
        <v>#REF!</v>
      </c>
      <c r="VQF28" s="234" t="e">
        <f>astrogrep_path&amp;" /e /r /s /spath="&amp;search_path&amp;" /stypes=""app*"&amp;VPB28&amp;"*"&amp;TEXT(VPI28-utc_offset/24,"YYYYMMDD")&amp;"*"" /stext="" "&amp;TEXT(VPI28-utc_offset/24,"HH")&amp;search_regexp&amp;""""</f>
        <v>#REF!</v>
      </c>
      <c r="VQG28" s="234" t="e">
        <f>astrogrep_path&amp;" /e /r /s /spath="&amp;search_path&amp;" /stypes=""app*"&amp;VPC28&amp;"*"&amp;TEXT(VPJ28-utc_offset/24,"YYYYMMDD")&amp;"*"" /stext="" "&amp;TEXT(VPJ28-utc_offset/24,"HH")&amp;search_regexp&amp;""""</f>
        <v>#REF!</v>
      </c>
      <c r="VQH28" s="234" t="e">
        <f>astrogrep_path&amp;" /e /r /s /spath="&amp;search_path&amp;" /stypes=""app*"&amp;VPD28&amp;"*"&amp;TEXT(VPK28-utc_offset/24,"YYYYMMDD")&amp;"*"" /stext="" "&amp;TEXT(VPK28-utc_offset/24,"HH")&amp;search_regexp&amp;""""</f>
        <v>#REF!</v>
      </c>
      <c r="VQI28" s="234" t="e">
        <f>astrogrep_path&amp;" /e /r /s /spath="&amp;search_path&amp;" /stypes=""app*"&amp;VPE28&amp;"*"&amp;TEXT(VPL28-utc_offset/24,"YYYYMMDD")&amp;"*"" /stext="" "&amp;TEXT(VPL28-utc_offset/24,"HH")&amp;search_regexp&amp;""""</f>
        <v>#REF!</v>
      </c>
      <c r="VQJ28" s="234" t="e">
        <f>astrogrep_path&amp;" /e /r /s /spath="&amp;search_path&amp;" /stypes=""app*"&amp;VPF28&amp;"*"&amp;TEXT(VPM28-utc_offset/24,"YYYYMMDD")&amp;"*"" /stext="" "&amp;TEXT(VPM28-utc_offset/24,"HH")&amp;search_regexp&amp;""""</f>
        <v>#REF!</v>
      </c>
      <c r="VQK28" s="234" t="e">
        <f>astrogrep_path&amp;" /e /r /s /spath="&amp;search_path&amp;" /stypes=""app*"&amp;VPG28&amp;"*"&amp;TEXT(VPN28-utc_offset/24,"YYYYMMDD")&amp;"*"" /stext="" "&amp;TEXT(VPN28-utc_offset/24,"HH")&amp;search_regexp&amp;""""</f>
        <v>#REF!</v>
      </c>
      <c r="VQL28" s="234" t="e">
        <f>astrogrep_path&amp;" /e /r /s /spath="&amp;search_path&amp;" /stypes=""app*"&amp;VPH28&amp;"*"&amp;TEXT(VPO28-utc_offset/24,"YYYYMMDD")&amp;"*"" /stext="" "&amp;TEXT(VPO28-utc_offset/24,"HH")&amp;search_regexp&amp;""""</f>
        <v>#REF!</v>
      </c>
      <c r="VQM28" s="234" t="e">
        <f>astrogrep_path&amp;" /e /r /s /spath="&amp;search_path&amp;" /stypes=""app*"&amp;VPI28&amp;"*"&amp;TEXT(VPP28-utc_offset/24,"YYYYMMDD")&amp;"*"" /stext="" "&amp;TEXT(VPP28-utc_offset/24,"HH")&amp;search_regexp&amp;""""</f>
        <v>#REF!</v>
      </c>
      <c r="VQN28" s="234" t="e">
        <f>astrogrep_path&amp;" /e /r /s /spath="&amp;search_path&amp;" /stypes=""app*"&amp;VPJ28&amp;"*"&amp;TEXT(VPQ28-utc_offset/24,"YYYYMMDD")&amp;"*"" /stext="" "&amp;TEXT(VPQ28-utc_offset/24,"HH")&amp;search_regexp&amp;""""</f>
        <v>#REF!</v>
      </c>
      <c r="VQO28" s="234" t="e">
        <f>astrogrep_path&amp;" /e /r /s /spath="&amp;search_path&amp;" /stypes=""app*"&amp;VPK28&amp;"*"&amp;TEXT(VPR28-utc_offset/24,"YYYYMMDD")&amp;"*"" /stext="" "&amp;TEXT(VPR28-utc_offset/24,"HH")&amp;search_regexp&amp;""""</f>
        <v>#REF!</v>
      </c>
      <c r="VQP28" s="234" t="e">
        <f>astrogrep_path&amp;" /e /r /s /spath="&amp;search_path&amp;" /stypes=""app*"&amp;VPL28&amp;"*"&amp;TEXT(VPS28-utc_offset/24,"YYYYMMDD")&amp;"*"" /stext="" "&amp;TEXT(VPS28-utc_offset/24,"HH")&amp;search_regexp&amp;""""</f>
        <v>#REF!</v>
      </c>
      <c r="VQQ28" s="234" t="e">
        <f>astrogrep_path&amp;" /e /r /s /spath="&amp;search_path&amp;" /stypes=""app*"&amp;VPM28&amp;"*"&amp;TEXT(VPT28-utc_offset/24,"YYYYMMDD")&amp;"*"" /stext="" "&amp;TEXT(VPT28-utc_offset/24,"HH")&amp;search_regexp&amp;""""</f>
        <v>#VALUE!</v>
      </c>
      <c r="VQR28" s="234" t="e">
        <f>astrogrep_path&amp;" /e /r /s /spath="&amp;search_path&amp;" /stypes=""app*"&amp;VPN28&amp;"*"&amp;TEXT(VPU28-utc_offset/24,"YYYYMMDD")&amp;"*"" /stext="" "&amp;TEXT(VPU28-utc_offset/24,"HH")&amp;search_regexp&amp;""""</f>
        <v>#VALUE!</v>
      </c>
      <c r="VQS28" s="234" t="e">
        <f>astrogrep_path&amp;" /e /r /s /spath="&amp;search_path&amp;" /stypes=""app*"&amp;VPO28&amp;"*"&amp;TEXT(VPV28-utc_offset/24,"YYYYMMDD")&amp;"*"" /stext="" "&amp;TEXT(VPV28-utc_offset/24,"HH")&amp;search_regexp&amp;""""</f>
        <v>#REF!</v>
      </c>
      <c r="VQT28" s="234" t="e">
        <f>astrogrep_path&amp;" /e /r /s /spath="&amp;search_path&amp;" /stypes=""app*"&amp;VPP28&amp;"*"&amp;TEXT(VPW28-utc_offset/24,"YYYYMMDD")&amp;"*"" /stext="" "&amp;TEXT(VPW28-utc_offset/24,"HH")&amp;search_regexp&amp;""""</f>
        <v>#REF!</v>
      </c>
      <c r="VQU28" s="234" t="e">
        <f>astrogrep_path&amp;" /e /r /s /spath="&amp;search_path&amp;" /stypes=""app*"&amp;VPQ28&amp;"*"&amp;TEXT(VPX28-utc_offset/24,"YYYYMMDD")&amp;"*"" /stext="" "&amp;TEXT(VPX28-utc_offset/24,"HH")&amp;search_regexp&amp;""""</f>
        <v>#VALUE!</v>
      </c>
      <c r="VQV28" s="234" t="e">
        <f>astrogrep_path&amp;" /e /r /s /spath="&amp;search_path&amp;" /stypes=""app*"&amp;VPR28&amp;"*"&amp;TEXT(VPY28-utc_offset/24,"YYYYMMDD")&amp;"*"" /stext="" "&amp;TEXT(VPY28-utc_offset/24,"HH")&amp;search_regexp&amp;""""</f>
        <v>#VALUE!</v>
      </c>
      <c r="VQW28" s="234" t="e">
        <f>astrogrep_path&amp;" /e /r /s /spath="&amp;search_path&amp;" /stypes=""app*"&amp;VPS28&amp;"*"&amp;TEXT(VPZ28-utc_offset/24,"YYYYMMDD")&amp;"*"" /stext="" "&amp;TEXT(VPZ28-utc_offset/24,"HH")&amp;search_regexp&amp;""""</f>
        <v>#VALUE!</v>
      </c>
      <c r="VQX28" s="234" t="e">
        <f>astrogrep_path&amp;" /e /r /s /spath="&amp;search_path&amp;" /stypes=""app*"&amp;VPT28&amp;"*"&amp;TEXT(VQA28-utc_offset/24,"YYYYMMDD")&amp;"*"" /stext="" "&amp;TEXT(VQA28-utc_offset/24,"HH")&amp;search_regexp&amp;""""</f>
        <v>#VALUE!</v>
      </c>
      <c r="VQY28" s="234" t="e">
        <f>astrogrep_path&amp;" /e /r /s /spath="&amp;search_path&amp;" /stypes=""app*"&amp;VPU28&amp;"*"&amp;TEXT(VQB28-utc_offset/24,"YYYYMMDD")&amp;"*"" /stext="" "&amp;TEXT(VQB28-utc_offset/24,"HH")&amp;search_regexp&amp;""""</f>
        <v>#VALUE!</v>
      </c>
      <c r="VQZ28" s="234" t="e">
        <f>astrogrep_path&amp;" /e /r /s /spath="&amp;search_path&amp;" /stypes=""app*"&amp;VPV28&amp;"*"&amp;TEXT(VQC28-utc_offset/24,"YYYYMMDD")&amp;"*"" /stext="" "&amp;TEXT(VQC28-utc_offset/24,"HH")&amp;search_regexp&amp;""""</f>
        <v>#REF!</v>
      </c>
      <c r="VRA28" s="234" t="e">
        <f>astrogrep_path&amp;" /e /r /s /spath="&amp;search_path&amp;" /stypes=""app*"&amp;VPW28&amp;"*"&amp;TEXT(VQD28-utc_offset/24,"YYYYMMDD")&amp;"*"" /stext="" "&amp;TEXT(VQD28-utc_offset/24,"HH")&amp;search_regexp&amp;""""</f>
        <v>#REF!</v>
      </c>
      <c r="VRB28" s="234" t="e">
        <f>astrogrep_path&amp;" /e /r /s /spath="&amp;search_path&amp;" /stypes=""app*"&amp;VPX28&amp;"*"&amp;TEXT(VQE28-utc_offset/24,"YYYYMMDD")&amp;"*"" /stext="" "&amp;TEXT(VQE28-utc_offset/24,"HH")&amp;search_regexp&amp;""""</f>
        <v>#REF!</v>
      </c>
      <c r="VRC28" s="234" t="e">
        <f>astrogrep_path&amp;" /e /r /s /spath="&amp;search_path&amp;" /stypes=""app*"&amp;VPY28&amp;"*"&amp;TEXT(VQF28-utc_offset/24,"YYYYMMDD")&amp;"*"" /stext="" "&amp;TEXT(VQF28-utc_offset/24,"HH")&amp;search_regexp&amp;""""</f>
        <v>#REF!</v>
      </c>
      <c r="VRD28" s="234" t="e">
        <f>astrogrep_path&amp;" /e /r /s /spath="&amp;search_path&amp;" /stypes=""app*"&amp;VPZ28&amp;"*"&amp;TEXT(VQG28-utc_offset/24,"YYYYMMDD")&amp;"*"" /stext="" "&amp;TEXT(VQG28-utc_offset/24,"HH")&amp;search_regexp&amp;""""</f>
        <v>#REF!</v>
      </c>
      <c r="VRE28" s="234" t="e">
        <f>astrogrep_path&amp;" /e /r /s /spath="&amp;search_path&amp;" /stypes=""app*"&amp;VQA28&amp;"*"&amp;TEXT(VQH28-utc_offset/24,"YYYYMMDD")&amp;"*"" /stext="" "&amp;TEXT(VQH28-utc_offset/24,"HH")&amp;search_regexp&amp;""""</f>
        <v>#REF!</v>
      </c>
      <c r="VRF28" s="234" t="e">
        <f>astrogrep_path&amp;" /e /r /s /spath="&amp;search_path&amp;" /stypes=""app*"&amp;VQB28&amp;"*"&amp;TEXT(VQI28-utc_offset/24,"YYYYMMDD")&amp;"*"" /stext="" "&amp;TEXT(VQI28-utc_offset/24,"HH")&amp;search_regexp&amp;""""</f>
        <v>#REF!</v>
      </c>
      <c r="VRG28" s="234" t="e">
        <f>astrogrep_path&amp;" /e /r /s /spath="&amp;search_path&amp;" /stypes=""app*"&amp;VQC28&amp;"*"&amp;TEXT(VQJ28-utc_offset/24,"YYYYMMDD")&amp;"*"" /stext="" "&amp;TEXT(VQJ28-utc_offset/24,"HH")&amp;search_regexp&amp;""""</f>
        <v>#REF!</v>
      </c>
      <c r="VRH28" s="234" t="e">
        <f>astrogrep_path&amp;" /e /r /s /spath="&amp;search_path&amp;" /stypes=""app*"&amp;VQD28&amp;"*"&amp;TEXT(VQK28-utc_offset/24,"YYYYMMDD")&amp;"*"" /stext="" "&amp;TEXT(VQK28-utc_offset/24,"HH")&amp;search_regexp&amp;""""</f>
        <v>#REF!</v>
      </c>
      <c r="VRI28" s="234" t="e">
        <f>astrogrep_path&amp;" /e /r /s /spath="&amp;search_path&amp;" /stypes=""app*"&amp;VQE28&amp;"*"&amp;TEXT(VQL28-utc_offset/24,"YYYYMMDD")&amp;"*"" /stext="" "&amp;TEXT(VQL28-utc_offset/24,"HH")&amp;search_regexp&amp;""""</f>
        <v>#REF!</v>
      </c>
      <c r="VRJ28" s="234" t="e">
        <f>astrogrep_path&amp;" /e /r /s /spath="&amp;search_path&amp;" /stypes=""app*"&amp;VQF28&amp;"*"&amp;TEXT(VQM28-utc_offset/24,"YYYYMMDD")&amp;"*"" /stext="" "&amp;TEXT(VQM28-utc_offset/24,"HH")&amp;search_regexp&amp;""""</f>
        <v>#REF!</v>
      </c>
      <c r="VRK28" s="234" t="e">
        <f>astrogrep_path&amp;" /e /r /s /spath="&amp;search_path&amp;" /stypes=""app*"&amp;VQG28&amp;"*"&amp;TEXT(VQN28-utc_offset/24,"YYYYMMDD")&amp;"*"" /stext="" "&amp;TEXT(VQN28-utc_offset/24,"HH")&amp;search_regexp&amp;""""</f>
        <v>#REF!</v>
      </c>
      <c r="VRL28" s="234" t="e">
        <f>astrogrep_path&amp;" /e /r /s /spath="&amp;search_path&amp;" /stypes=""app*"&amp;VQH28&amp;"*"&amp;TEXT(VQO28-utc_offset/24,"YYYYMMDD")&amp;"*"" /stext="" "&amp;TEXT(VQO28-utc_offset/24,"HH")&amp;search_regexp&amp;""""</f>
        <v>#REF!</v>
      </c>
      <c r="VRM28" s="234" t="e">
        <f>astrogrep_path&amp;" /e /r /s /spath="&amp;search_path&amp;" /stypes=""app*"&amp;VQI28&amp;"*"&amp;TEXT(VQP28-utc_offset/24,"YYYYMMDD")&amp;"*"" /stext="" "&amp;TEXT(VQP28-utc_offset/24,"HH")&amp;search_regexp&amp;""""</f>
        <v>#REF!</v>
      </c>
      <c r="VRN28" s="234" t="e">
        <f>astrogrep_path&amp;" /e /r /s /spath="&amp;search_path&amp;" /stypes=""app*"&amp;VQJ28&amp;"*"&amp;TEXT(VQQ28-utc_offset/24,"YYYYMMDD")&amp;"*"" /stext="" "&amp;TEXT(VQQ28-utc_offset/24,"HH")&amp;search_regexp&amp;""""</f>
        <v>#REF!</v>
      </c>
      <c r="VRO28" s="234" t="e">
        <f>astrogrep_path&amp;" /e /r /s /spath="&amp;search_path&amp;" /stypes=""app*"&amp;VQK28&amp;"*"&amp;TEXT(VQR28-utc_offset/24,"YYYYMMDD")&amp;"*"" /stext="" "&amp;TEXT(VQR28-utc_offset/24,"HH")&amp;search_regexp&amp;""""</f>
        <v>#REF!</v>
      </c>
      <c r="VRP28" s="234" t="e">
        <f>astrogrep_path&amp;" /e /r /s /spath="&amp;search_path&amp;" /stypes=""app*"&amp;VQL28&amp;"*"&amp;TEXT(VQS28-utc_offset/24,"YYYYMMDD")&amp;"*"" /stext="" "&amp;TEXT(VQS28-utc_offset/24,"HH")&amp;search_regexp&amp;""""</f>
        <v>#REF!</v>
      </c>
      <c r="VRQ28" s="234" t="e">
        <f>astrogrep_path&amp;" /e /r /s /spath="&amp;search_path&amp;" /stypes=""app*"&amp;VQM28&amp;"*"&amp;TEXT(VQT28-utc_offset/24,"YYYYMMDD")&amp;"*"" /stext="" "&amp;TEXT(VQT28-utc_offset/24,"HH")&amp;search_regexp&amp;""""</f>
        <v>#REF!</v>
      </c>
      <c r="VRR28" s="234" t="e">
        <f>astrogrep_path&amp;" /e /r /s /spath="&amp;search_path&amp;" /stypes=""app*"&amp;VQN28&amp;"*"&amp;TEXT(VQU28-utc_offset/24,"YYYYMMDD")&amp;"*"" /stext="" "&amp;TEXT(VQU28-utc_offset/24,"HH")&amp;search_regexp&amp;""""</f>
        <v>#REF!</v>
      </c>
      <c r="VRS28" s="234" t="e">
        <f>astrogrep_path&amp;" /e /r /s /spath="&amp;search_path&amp;" /stypes=""app*"&amp;VQO28&amp;"*"&amp;TEXT(VQV28-utc_offset/24,"YYYYMMDD")&amp;"*"" /stext="" "&amp;TEXT(VQV28-utc_offset/24,"HH")&amp;search_regexp&amp;""""</f>
        <v>#REF!</v>
      </c>
      <c r="VRT28" s="234" t="e">
        <f>astrogrep_path&amp;" /e /r /s /spath="&amp;search_path&amp;" /stypes=""app*"&amp;VQP28&amp;"*"&amp;TEXT(VQW28-utc_offset/24,"YYYYMMDD")&amp;"*"" /stext="" "&amp;TEXT(VQW28-utc_offset/24,"HH")&amp;search_regexp&amp;""""</f>
        <v>#REF!</v>
      </c>
      <c r="VRU28" s="234" t="e">
        <f>astrogrep_path&amp;" /e /r /s /spath="&amp;search_path&amp;" /stypes=""app*"&amp;VQQ28&amp;"*"&amp;TEXT(VQX28-utc_offset/24,"YYYYMMDD")&amp;"*"" /stext="" "&amp;TEXT(VQX28-utc_offset/24,"HH")&amp;search_regexp&amp;""""</f>
        <v>#VALUE!</v>
      </c>
      <c r="VRV28" s="234" t="e">
        <f>astrogrep_path&amp;" /e /r /s /spath="&amp;search_path&amp;" /stypes=""app*"&amp;VQR28&amp;"*"&amp;TEXT(VQY28-utc_offset/24,"YYYYMMDD")&amp;"*"" /stext="" "&amp;TEXT(VQY28-utc_offset/24,"HH")&amp;search_regexp&amp;""""</f>
        <v>#VALUE!</v>
      </c>
      <c r="VRW28" s="234" t="e">
        <f>astrogrep_path&amp;" /e /r /s /spath="&amp;search_path&amp;" /stypes=""app*"&amp;VQS28&amp;"*"&amp;TEXT(VQZ28-utc_offset/24,"YYYYMMDD")&amp;"*"" /stext="" "&amp;TEXT(VQZ28-utc_offset/24,"HH")&amp;search_regexp&amp;""""</f>
        <v>#REF!</v>
      </c>
      <c r="VRX28" s="234" t="e">
        <f>astrogrep_path&amp;" /e /r /s /spath="&amp;search_path&amp;" /stypes=""app*"&amp;VQT28&amp;"*"&amp;TEXT(VRA28-utc_offset/24,"YYYYMMDD")&amp;"*"" /stext="" "&amp;TEXT(VRA28-utc_offset/24,"HH")&amp;search_regexp&amp;""""</f>
        <v>#REF!</v>
      </c>
      <c r="VRY28" s="234" t="e">
        <f>astrogrep_path&amp;" /e /r /s /spath="&amp;search_path&amp;" /stypes=""app*"&amp;VQU28&amp;"*"&amp;TEXT(VRB28-utc_offset/24,"YYYYMMDD")&amp;"*"" /stext="" "&amp;TEXT(VRB28-utc_offset/24,"HH")&amp;search_regexp&amp;""""</f>
        <v>#VALUE!</v>
      </c>
      <c r="VRZ28" s="234" t="e">
        <f>astrogrep_path&amp;" /e /r /s /spath="&amp;search_path&amp;" /stypes=""app*"&amp;VQV28&amp;"*"&amp;TEXT(VRC28-utc_offset/24,"YYYYMMDD")&amp;"*"" /stext="" "&amp;TEXT(VRC28-utc_offset/24,"HH")&amp;search_regexp&amp;""""</f>
        <v>#VALUE!</v>
      </c>
      <c r="VSA28" s="234" t="e">
        <f>astrogrep_path&amp;" /e /r /s /spath="&amp;search_path&amp;" /stypes=""app*"&amp;VQW28&amp;"*"&amp;TEXT(VRD28-utc_offset/24,"YYYYMMDD")&amp;"*"" /stext="" "&amp;TEXT(VRD28-utc_offset/24,"HH")&amp;search_regexp&amp;""""</f>
        <v>#VALUE!</v>
      </c>
      <c r="VSB28" s="234" t="e">
        <f>astrogrep_path&amp;" /e /r /s /spath="&amp;search_path&amp;" /stypes=""app*"&amp;VQX28&amp;"*"&amp;TEXT(VRE28-utc_offset/24,"YYYYMMDD")&amp;"*"" /stext="" "&amp;TEXT(VRE28-utc_offset/24,"HH")&amp;search_regexp&amp;""""</f>
        <v>#VALUE!</v>
      </c>
      <c r="VSC28" s="234" t="e">
        <f>astrogrep_path&amp;" /e /r /s /spath="&amp;search_path&amp;" /stypes=""app*"&amp;VQY28&amp;"*"&amp;TEXT(VRF28-utc_offset/24,"YYYYMMDD")&amp;"*"" /stext="" "&amp;TEXT(VRF28-utc_offset/24,"HH")&amp;search_regexp&amp;""""</f>
        <v>#VALUE!</v>
      </c>
      <c r="VSD28" s="234" t="e">
        <f>astrogrep_path&amp;" /e /r /s /spath="&amp;search_path&amp;" /stypes=""app*"&amp;VQZ28&amp;"*"&amp;TEXT(VRG28-utc_offset/24,"YYYYMMDD")&amp;"*"" /stext="" "&amp;TEXT(VRG28-utc_offset/24,"HH")&amp;search_regexp&amp;""""</f>
        <v>#REF!</v>
      </c>
      <c r="VSE28" s="234" t="e">
        <f>astrogrep_path&amp;" /e /r /s /spath="&amp;search_path&amp;" /stypes=""app*"&amp;VRA28&amp;"*"&amp;TEXT(VRH28-utc_offset/24,"YYYYMMDD")&amp;"*"" /stext="" "&amp;TEXT(VRH28-utc_offset/24,"HH")&amp;search_regexp&amp;""""</f>
        <v>#REF!</v>
      </c>
      <c r="VSF28" s="234" t="e">
        <f>astrogrep_path&amp;" /e /r /s /spath="&amp;search_path&amp;" /stypes=""app*"&amp;VRB28&amp;"*"&amp;TEXT(VRI28-utc_offset/24,"YYYYMMDD")&amp;"*"" /stext="" "&amp;TEXT(VRI28-utc_offset/24,"HH")&amp;search_regexp&amp;""""</f>
        <v>#REF!</v>
      </c>
      <c r="VSG28" s="234" t="e">
        <f>astrogrep_path&amp;" /e /r /s /spath="&amp;search_path&amp;" /stypes=""app*"&amp;VRC28&amp;"*"&amp;TEXT(VRJ28-utc_offset/24,"YYYYMMDD")&amp;"*"" /stext="" "&amp;TEXT(VRJ28-utc_offset/24,"HH")&amp;search_regexp&amp;""""</f>
        <v>#REF!</v>
      </c>
      <c r="VSH28" s="234" t="e">
        <f>astrogrep_path&amp;" /e /r /s /spath="&amp;search_path&amp;" /stypes=""app*"&amp;VRD28&amp;"*"&amp;TEXT(VRK28-utc_offset/24,"YYYYMMDD")&amp;"*"" /stext="" "&amp;TEXT(VRK28-utc_offset/24,"HH")&amp;search_regexp&amp;""""</f>
        <v>#REF!</v>
      </c>
      <c r="VSI28" s="234" t="e">
        <f>astrogrep_path&amp;" /e /r /s /spath="&amp;search_path&amp;" /stypes=""app*"&amp;VRE28&amp;"*"&amp;TEXT(VRL28-utc_offset/24,"YYYYMMDD")&amp;"*"" /stext="" "&amp;TEXT(VRL28-utc_offset/24,"HH")&amp;search_regexp&amp;""""</f>
        <v>#REF!</v>
      </c>
      <c r="VSJ28" s="234" t="e">
        <f>astrogrep_path&amp;" /e /r /s /spath="&amp;search_path&amp;" /stypes=""app*"&amp;VRF28&amp;"*"&amp;TEXT(VRM28-utc_offset/24,"YYYYMMDD")&amp;"*"" /stext="" "&amp;TEXT(VRM28-utc_offset/24,"HH")&amp;search_regexp&amp;""""</f>
        <v>#REF!</v>
      </c>
      <c r="VSK28" s="234" t="e">
        <f>astrogrep_path&amp;" /e /r /s /spath="&amp;search_path&amp;" /stypes=""app*"&amp;VRG28&amp;"*"&amp;TEXT(VRN28-utc_offset/24,"YYYYMMDD")&amp;"*"" /stext="" "&amp;TEXT(VRN28-utc_offset/24,"HH")&amp;search_regexp&amp;""""</f>
        <v>#REF!</v>
      </c>
      <c r="VSL28" s="234" t="e">
        <f>astrogrep_path&amp;" /e /r /s /spath="&amp;search_path&amp;" /stypes=""app*"&amp;VRH28&amp;"*"&amp;TEXT(VRO28-utc_offset/24,"YYYYMMDD")&amp;"*"" /stext="" "&amp;TEXT(VRO28-utc_offset/24,"HH")&amp;search_regexp&amp;""""</f>
        <v>#REF!</v>
      </c>
      <c r="VSM28" s="234" t="e">
        <f>astrogrep_path&amp;" /e /r /s /spath="&amp;search_path&amp;" /stypes=""app*"&amp;VRI28&amp;"*"&amp;TEXT(VRP28-utc_offset/24,"YYYYMMDD")&amp;"*"" /stext="" "&amp;TEXT(VRP28-utc_offset/24,"HH")&amp;search_regexp&amp;""""</f>
        <v>#REF!</v>
      </c>
      <c r="VSN28" s="234" t="e">
        <f>astrogrep_path&amp;" /e /r /s /spath="&amp;search_path&amp;" /stypes=""app*"&amp;VRJ28&amp;"*"&amp;TEXT(VRQ28-utc_offset/24,"YYYYMMDD")&amp;"*"" /stext="" "&amp;TEXT(VRQ28-utc_offset/24,"HH")&amp;search_regexp&amp;""""</f>
        <v>#REF!</v>
      </c>
      <c r="VSO28" s="234" t="e">
        <f>astrogrep_path&amp;" /e /r /s /spath="&amp;search_path&amp;" /stypes=""app*"&amp;VRK28&amp;"*"&amp;TEXT(VRR28-utc_offset/24,"YYYYMMDD")&amp;"*"" /stext="" "&amp;TEXT(VRR28-utc_offset/24,"HH")&amp;search_regexp&amp;""""</f>
        <v>#REF!</v>
      </c>
      <c r="VSP28" s="234" t="e">
        <f>astrogrep_path&amp;" /e /r /s /spath="&amp;search_path&amp;" /stypes=""app*"&amp;VRL28&amp;"*"&amp;TEXT(VRS28-utc_offset/24,"YYYYMMDD")&amp;"*"" /stext="" "&amp;TEXT(VRS28-utc_offset/24,"HH")&amp;search_regexp&amp;""""</f>
        <v>#REF!</v>
      </c>
      <c r="VSQ28" s="234" t="e">
        <f>astrogrep_path&amp;" /e /r /s /spath="&amp;search_path&amp;" /stypes=""app*"&amp;VRM28&amp;"*"&amp;TEXT(VRT28-utc_offset/24,"YYYYMMDD")&amp;"*"" /stext="" "&amp;TEXT(VRT28-utc_offset/24,"HH")&amp;search_regexp&amp;""""</f>
        <v>#REF!</v>
      </c>
      <c r="VSR28" s="234" t="e">
        <f>astrogrep_path&amp;" /e /r /s /spath="&amp;search_path&amp;" /stypes=""app*"&amp;VRN28&amp;"*"&amp;TEXT(VRU28-utc_offset/24,"YYYYMMDD")&amp;"*"" /stext="" "&amp;TEXT(VRU28-utc_offset/24,"HH")&amp;search_regexp&amp;""""</f>
        <v>#REF!</v>
      </c>
      <c r="VSS28" s="234" t="e">
        <f>astrogrep_path&amp;" /e /r /s /spath="&amp;search_path&amp;" /stypes=""app*"&amp;VRO28&amp;"*"&amp;TEXT(VRV28-utc_offset/24,"YYYYMMDD")&amp;"*"" /stext="" "&amp;TEXT(VRV28-utc_offset/24,"HH")&amp;search_regexp&amp;""""</f>
        <v>#REF!</v>
      </c>
      <c r="VST28" s="234" t="e">
        <f>astrogrep_path&amp;" /e /r /s /spath="&amp;search_path&amp;" /stypes=""app*"&amp;VRP28&amp;"*"&amp;TEXT(VRW28-utc_offset/24,"YYYYMMDD")&amp;"*"" /stext="" "&amp;TEXT(VRW28-utc_offset/24,"HH")&amp;search_regexp&amp;""""</f>
        <v>#REF!</v>
      </c>
      <c r="VSU28" s="234" t="e">
        <f>astrogrep_path&amp;" /e /r /s /spath="&amp;search_path&amp;" /stypes=""app*"&amp;VRQ28&amp;"*"&amp;TEXT(VRX28-utc_offset/24,"YYYYMMDD")&amp;"*"" /stext="" "&amp;TEXT(VRX28-utc_offset/24,"HH")&amp;search_regexp&amp;""""</f>
        <v>#REF!</v>
      </c>
      <c r="VSV28" s="234" t="e">
        <f>astrogrep_path&amp;" /e /r /s /spath="&amp;search_path&amp;" /stypes=""app*"&amp;VRR28&amp;"*"&amp;TEXT(VRY28-utc_offset/24,"YYYYMMDD")&amp;"*"" /stext="" "&amp;TEXT(VRY28-utc_offset/24,"HH")&amp;search_regexp&amp;""""</f>
        <v>#REF!</v>
      </c>
      <c r="VSW28" s="234" t="e">
        <f>astrogrep_path&amp;" /e /r /s /spath="&amp;search_path&amp;" /stypes=""app*"&amp;VRS28&amp;"*"&amp;TEXT(VRZ28-utc_offset/24,"YYYYMMDD")&amp;"*"" /stext="" "&amp;TEXT(VRZ28-utc_offset/24,"HH")&amp;search_regexp&amp;""""</f>
        <v>#REF!</v>
      </c>
      <c r="VSX28" s="234" t="e">
        <f>astrogrep_path&amp;" /e /r /s /spath="&amp;search_path&amp;" /stypes=""app*"&amp;VRT28&amp;"*"&amp;TEXT(VSA28-utc_offset/24,"YYYYMMDD")&amp;"*"" /stext="" "&amp;TEXT(VSA28-utc_offset/24,"HH")&amp;search_regexp&amp;""""</f>
        <v>#REF!</v>
      </c>
      <c r="VSY28" s="234" t="e">
        <f>astrogrep_path&amp;" /e /r /s /spath="&amp;search_path&amp;" /stypes=""app*"&amp;VRU28&amp;"*"&amp;TEXT(VSB28-utc_offset/24,"YYYYMMDD")&amp;"*"" /stext="" "&amp;TEXT(VSB28-utc_offset/24,"HH")&amp;search_regexp&amp;""""</f>
        <v>#VALUE!</v>
      </c>
      <c r="VSZ28" s="234" t="e">
        <f>astrogrep_path&amp;" /e /r /s /spath="&amp;search_path&amp;" /stypes=""app*"&amp;VRV28&amp;"*"&amp;TEXT(VSC28-utc_offset/24,"YYYYMMDD")&amp;"*"" /stext="" "&amp;TEXT(VSC28-utc_offset/24,"HH")&amp;search_regexp&amp;""""</f>
        <v>#VALUE!</v>
      </c>
      <c r="VTA28" s="234" t="e">
        <f>astrogrep_path&amp;" /e /r /s /spath="&amp;search_path&amp;" /stypes=""app*"&amp;VRW28&amp;"*"&amp;TEXT(VSD28-utc_offset/24,"YYYYMMDD")&amp;"*"" /stext="" "&amp;TEXT(VSD28-utc_offset/24,"HH")&amp;search_regexp&amp;""""</f>
        <v>#REF!</v>
      </c>
      <c r="VTB28" s="234" t="e">
        <f>astrogrep_path&amp;" /e /r /s /spath="&amp;search_path&amp;" /stypes=""app*"&amp;VRX28&amp;"*"&amp;TEXT(VSE28-utc_offset/24,"YYYYMMDD")&amp;"*"" /stext="" "&amp;TEXT(VSE28-utc_offset/24,"HH")&amp;search_regexp&amp;""""</f>
        <v>#REF!</v>
      </c>
      <c r="VTC28" s="234" t="e">
        <f>astrogrep_path&amp;" /e /r /s /spath="&amp;search_path&amp;" /stypes=""app*"&amp;VRY28&amp;"*"&amp;TEXT(VSF28-utc_offset/24,"YYYYMMDD")&amp;"*"" /stext="" "&amp;TEXT(VSF28-utc_offset/24,"HH")&amp;search_regexp&amp;""""</f>
        <v>#VALUE!</v>
      </c>
      <c r="VTD28" s="234" t="e">
        <f>astrogrep_path&amp;" /e /r /s /spath="&amp;search_path&amp;" /stypes=""app*"&amp;VRZ28&amp;"*"&amp;TEXT(VSG28-utc_offset/24,"YYYYMMDD")&amp;"*"" /stext="" "&amp;TEXT(VSG28-utc_offset/24,"HH")&amp;search_regexp&amp;""""</f>
        <v>#VALUE!</v>
      </c>
      <c r="VTE28" s="234" t="e">
        <f>astrogrep_path&amp;" /e /r /s /spath="&amp;search_path&amp;" /stypes=""app*"&amp;VSA28&amp;"*"&amp;TEXT(VSH28-utc_offset/24,"YYYYMMDD")&amp;"*"" /stext="" "&amp;TEXT(VSH28-utc_offset/24,"HH")&amp;search_regexp&amp;""""</f>
        <v>#VALUE!</v>
      </c>
      <c r="VTF28" s="234" t="e">
        <f>astrogrep_path&amp;" /e /r /s /spath="&amp;search_path&amp;" /stypes=""app*"&amp;VSB28&amp;"*"&amp;TEXT(VSI28-utc_offset/24,"YYYYMMDD")&amp;"*"" /stext="" "&amp;TEXT(VSI28-utc_offset/24,"HH")&amp;search_regexp&amp;""""</f>
        <v>#VALUE!</v>
      </c>
      <c r="VTG28" s="234" t="e">
        <f>astrogrep_path&amp;" /e /r /s /spath="&amp;search_path&amp;" /stypes=""app*"&amp;VSC28&amp;"*"&amp;TEXT(VSJ28-utc_offset/24,"YYYYMMDD")&amp;"*"" /stext="" "&amp;TEXT(VSJ28-utc_offset/24,"HH")&amp;search_regexp&amp;""""</f>
        <v>#VALUE!</v>
      </c>
      <c r="VTH28" s="234" t="e">
        <f>astrogrep_path&amp;" /e /r /s /spath="&amp;search_path&amp;" /stypes=""app*"&amp;VSD28&amp;"*"&amp;TEXT(VSK28-utc_offset/24,"YYYYMMDD")&amp;"*"" /stext="" "&amp;TEXT(VSK28-utc_offset/24,"HH")&amp;search_regexp&amp;""""</f>
        <v>#REF!</v>
      </c>
      <c r="VTI28" s="234" t="e">
        <f>astrogrep_path&amp;" /e /r /s /spath="&amp;search_path&amp;" /stypes=""app*"&amp;VSE28&amp;"*"&amp;TEXT(VSL28-utc_offset/24,"YYYYMMDD")&amp;"*"" /stext="" "&amp;TEXT(VSL28-utc_offset/24,"HH")&amp;search_regexp&amp;""""</f>
        <v>#REF!</v>
      </c>
      <c r="VTJ28" s="234" t="e">
        <f>astrogrep_path&amp;" /e /r /s /spath="&amp;search_path&amp;" /stypes=""app*"&amp;VSF28&amp;"*"&amp;TEXT(VSM28-utc_offset/24,"YYYYMMDD")&amp;"*"" /stext="" "&amp;TEXT(VSM28-utc_offset/24,"HH")&amp;search_regexp&amp;""""</f>
        <v>#REF!</v>
      </c>
      <c r="VTK28" s="234" t="e">
        <f>astrogrep_path&amp;" /e /r /s /spath="&amp;search_path&amp;" /stypes=""app*"&amp;VSG28&amp;"*"&amp;TEXT(VSN28-utc_offset/24,"YYYYMMDD")&amp;"*"" /stext="" "&amp;TEXT(VSN28-utc_offset/24,"HH")&amp;search_regexp&amp;""""</f>
        <v>#REF!</v>
      </c>
      <c r="VTL28" s="234" t="e">
        <f>astrogrep_path&amp;" /e /r /s /spath="&amp;search_path&amp;" /stypes=""app*"&amp;VSH28&amp;"*"&amp;TEXT(VSO28-utc_offset/24,"YYYYMMDD")&amp;"*"" /stext="" "&amp;TEXT(VSO28-utc_offset/24,"HH")&amp;search_regexp&amp;""""</f>
        <v>#REF!</v>
      </c>
      <c r="VTM28" s="234" t="e">
        <f>astrogrep_path&amp;" /e /r /s /spath="&amp;search_path&amp;" /stypes=""app*"&amp;VSI28&amp;"*"&amp;TEXT(VSP28-utc_offset/24,"YYYYMMDD")&amp;"*"" /stext="" "&amp;TEXT(VSP28-utc_offset/24,"HH")&amp;search_regexp&amp;""""</f>
        <v>#REF!</v>
      </c>
      <c r="VTN28" s="234" t="e">
        <f>astrogrep_path&amp;" /e /r /s /spath="&amp;search_path&amp;" /stypes=""app*"&amp;VSJ28&amp;"*"&amp;TEXT(VSQ28-utc_offset/24,"YYYYMMDD")&amp;"*"" /stext="" "&amp;TEXT(VSQ28-utc_offset/24,"HH")&amp;search_regexp&amp;""""</f>
        <v>#REF!</v>
      </c>
      <c r="VTO28" s="234" t="e">
        <f>astrogrep_path&amp;" /e /r /s /spath="&amp;search_path&amp;" /stypes=""app*"&amp;VSK28&amp;"*"&amp;TEXT(VSR28-utc_offset/24,"YYYYMMDD")&amp;"*"" /stext="" "&amp;TEXT(VSR28-utc_offset/24,"HH")&amp;search_regexp&amp;""""</f>
        <v>#REF!</v>
      </c>
      <c r="VTP28" s="234" t="e">
        <f>astrogrep_path&amp;" /e /r /s /spath="&amp;search_path&amp;" /stypes=""app*"&amp;VSL28&amp;"*"&amp;TEXT(VSS28-utc_offset/24,"YYYYMMDD")&amp;"*"" /stext="" "&amp;TEXT(VSS28-utc_offset/24,"HH")&amp;search_regexp&amp;""""</f>
        <v>#REF!</v>
      </c>
      <c r="VTQ28" s="234" t="e">
        <f>astrogrep_path&amp;" /e /r /s /spath="&amp;search_path&amp;" /stypes=""app*"&amp;VSM28&amp;"*"&amp;TEXT(VST28-utc_offset/24,"YYYYMMDD")&amp;"*"" /stext="" "&amp;TEXT(VST28-utc_offset/24,"HH")&amp;search_regexp&amp;""""</f>
        <v>#REF!</v>
      </c>
      <c r="VTR28" s="234" t="e">
        <f>astrogrep_path&amp;" /e /r /s /spath="&amp;search_path&amp;" /stypes=""app*"&amp;VSN28&amp;"*"&amp;TEXT(VSU28-utc_offset/24,"YYYYMMDD")&amp;"*"" /stext="" "&amp;TEXT(VSU28-utc_offset/24,"HH")&amp;search_regexp&amp;""""</f>
        <v>#REF!</v>
      </c>
      <c r="VTS28" s="234" t="e">
        <f>astrogrep_path&amp;" /e /r /s /spath="&amp;search_path&amp;" /stypes=""app*"&amp;VSO28&amp;"*"&amp;TEXT(VSV28-utc_offset/24,"YYYYMMDD")&amp;"*"" /stext="" "&amp;TEXT(VSV28-utc_offset/24,"HH")&amp;search_regexp&amp;""""</f>
        <v>#REF!</v>
      </c>
      <c r="VTT28" s="234" t="e">
        <f>astrogrep_path&amp;" /e /r /s /spath="&amp;search_path&amp;" /stypes=""app*"&amp;VSP28&amp;"*"&amp;TEXT(VSW28-utc_offset/24,"YYYYMMDD")&amp;"*"" /stext="" "&amp;TEXT(VSW28-utc_offset/24,"HH")&amp;search_regexp&amp;""""</f>
        <v>#REF!</v>
      </c>
      <c r="VTU28" s="234" t="e">
        <f>astrogrep_path&amp;" /e /r /s /spath="&amp;search_path&amp;" /stypes=""app*"&amp;VSQ28&amp;"*"&amp;TEXT(VSX28-utc_offset/24,"YYYYMMDD")&amp;"*"" /stext="" "&amp;TEXT(VSX28-utc_offset/24,"HH")&amp;search_regexp&amp;""""</f>
        <v>#REF!</v>
      </c>
      <c r="VTV28" s="234" t="e">
        <f>astrogrep_path&amp;" /e /r /s /spath="&amp;search_path&amp;" /stypes=""app*"&amp;VSR28&amp;"*"&amp;TEXT(VSY28-utc_offset/24,"YYYYMMDD")&amp;"*"" /stext="" "&amp;TEXT(VSY28-utc_offset/24,"HH")&amp;search_regexp&amp;""""</f>
        <v>#REF!</v>
      </c>
      <c r="VTW28" s="234" t="e">
        <f>astrogrep_path&amp;" /e /r /s /spath="&amp;search_path&amp;" /stypes=""app*"&amp;VSS28&amp;"*"&amp;TEXT(VSZ28-utc_offset/24,"YYYYMMDD")&amp;"*"" /stext="" "&amp;TEXT(VSZ28-utc_offset/24,"HH")&amp;search_regexp&amp;""""</f>
        <v>#REF!</v>
      </c>
      <c r="VTX28" s="234" t="e">
        <f>astrogrep_path&amp;" /e /r /s /spath="&amp;search_path&amp;" /stypes=""app*"&amp;VST28&amp;"*"&amp;TEXT(VTA28-utc_offset/24,"YYYYMMDD")&amp;"*"" /stext="" "&amp;TEXT(VTA28-utc_offset/24,"HH")&amp;search_regexp&amp;""""</f>
        <v>#REF!</v>
      </c>
      <c r="VTY28" s="234" t="e">
        <f>astrogrep_path&amp;" /e /r /s /spath="&amp;search_path&amp;" /stypes=""app*"&amp;VSU28&amp;"*"&amp;TEXT(VTB28-utc_offset/24,"YYYYMMDD")&amp;"*"" /stext="" "&amp;TEXT(VTB28-utc_offset/24,"HH")&amp;search_regexp&amp;""""</f>
        <v>#REF!</v>
      </c>
      <c r="VTZ28" s="234" t="e">
        <f>astrogrep_path&amp;" /e /r /s /spath="&amp;search_path&amp;" /stypes=""app*"&amp;VSV28&amp;"*"&amp;TEXT(VTC28-utc_offset/24,"YYYYMMDD")&amp;"*"" /stext="" "&amp;TEXT(VTC28-utc_offset/24,"HH")&amp;search_regexp&amp;""""</f>
        <v>#REF!</v>
      </c>
      <c r="VUA28" s="234" t="e">
        <f>astrogrep_path&amp;" /e /r /s /spath="&amp;search_path&amp;" /stypes=""app*"&amp;VSW28&amp;"*"&amp;TEXT(VTD28-utc_offset/24,"YYYYMMDD")&amp;"*"" /stext="" "&amp;TEXT(VTD28-utc_offset/24,"HH")&amp;search_regexp&amp;""""</f>
        <v>#REF!</v>
      </c>
      <c r="VUB28" s="234" t="e">
        <f>astrogrep_path&amp;" /e /r /s /spath="&amp;search_path&amp;" /stypes=""app*"&amp;VSX28&amp;"*"&amp;TEXT(VTE28-utc_offset/24,"YYYYMMDD")&amp;"*"" /stext="" "&amp;TEXT(VTE28-utc_offset/24,"HH")&amp;search_regexp&amp;""""</f>
        <v>#REF!</v>
      </c>
      <c r="VUC28" s="234" t="e">
        <f>astrogrep_path&amp;" /e /r /s /spath="&amp;search_path&amp;" /stypes=""app*"&amp;VSY28&amp;"*"&amp;TEXT(VTF28-utc_offset/24,"YYYYMMDD")&amp;"*"" /stext="" "&amp;TEXT(VTF28-utc_offset/24,"HH")&amp;search_regexp&amp;""""</f>
        <v>#VALUE!</v>
      </c>
      <c r="VUD28" s="234" t="e">
        <f>astrogrep_path&amp;" /e /r /s /spath="&amp;search_path&amp;" /stypes=""app*"&amp;VSZ28&amp;"*"&amp;TEXT(VTG28-utc_offset/24,"YYYYMMDD")&amp;"*"" /stext="" "&amp;TEXT(VTG28-utc_offset/24,"HH")&amp;search_regexp&amp;""""</f>
        <v>#VALUE!</v>
      </c>
      <c r="VUE28" s="234" t="e">
        <f>astrogrep_path&amp;" /e /r /s /spath="&amp;search_path&amp;" /stypes=""app*"&amp;VTA28&amp;"*"&amp;TEXT(VTH28-utc_offset/24,"YYYYMMDD")&amp;"*"" /stext="" "&amp;TEXT(VTH28-utc_offset/24,"HH")&amp;search_regexp&amp;""""</f>
        <v>#REF!</v>
      </c>
      <c r="VUF28" s="234" t="e">
        <f>astrogrep_path&amp;" /e /r /s /spath="&amp;search_path&amp;" /stypes=""app*"&amp;VTB28&amp;"*"&amp;TEXT(VTI28-utc_offset/24,"YYYYMMDD")&amp;"*"" /stext="" "&amp;TEXT(VTI28-utc_offset/24,"HH")&amp;search_regexp&amp;""""</f>
        <v>#REF!</v>
      </c>
      <c r="VUG28" s="234" t="e">
        <f>astrogrep_path&amp;" /e /r /s /spath="&amp;search_path&amp;" /stypes=""app*"&amp;VTC28&amp;"*"&amp;TEXT(VTJ28-utc_offset/24,"YYYYMMDD")&amp;"*"" /stext="" "&amp;TEXT(VTJ28-utc_offset/24,"HH")&amp;search_regexp&amp;""""</f>
        <v>#VALUE!</v>
      </c>
      <c r="VUH28" s="234" t="e">
        <f>astrogrep_path&amp;" /e /r /s /spath="&amp;search_path&amp;" /stypes=""app*"&amp;VTD28&amp;"*"&amp;TEXT(VTK28-utc_offset/24,"YYYYMMDD")&amp;"*"" /stext="" "&amp;TEXT(VTK28-utc_offset/24,"HH")&amp;search_regexp&amp;""""</f>
        <v>#VALUE!</v>
      </c>
      <c r="VUI28" s="234" t="e">
        <f>astrogrep_path&amp;" /e /r /s /spath="&amp;search_path&amp;" /stypes=""app*"&amp;VTE28&amp;"*"&amp;TEXT(VTL28-utc_offset/24,"YYYYMMDD")&amp;"*"" /stext="" "&amp;TEXT(VTL28-utc_offset/24,"HH")&amp;search_regexp&amp;""""</f>
        <v>#VALUE!</v>
      </c>
      <c r="VUJ28" s="234" t="e">
        <f>astrogrep_path&amp;" /e /r /s /spath="&amp;search_path&amp;" /stypes=""app*"&amp;VTF28&amp;"*"&amp;TEXT(VTM28-utc_offset/24,"YYYYMMDD")&amp;"*"" /stext="" "&amp;TEXT(VTM28-utc_offset/24,"HH")&amp;search_regexp&amp;""""</f>
        <v>#VALUE!</v>
      </c>
      <c r="VUK28" s="234" t="e">
        <f>astrogrep_path&amp;" /e /r /s /spath="&amp;search_path&amp;" /stypes=""app*"&amp;VTG28&amp;"*"&amp;TEXT(VTN28-utc_offset/24,"YYYYMMDD")&amp;"*"" /stext="" "&amp;TEXT(VTN28-utc_offset/24,"HH")&amp;search_regexp&amp;""""</f>
        <v>#VALUE!</v>
      </c>
      <c r="VUL28" s="234" t="e">
        <f>astrogrep_path&amp;" /e /r /s /spath="&amp;search_path&amp;" /stypes=""app*"&amp;VTH28&amp;"*"&amp;TEXT(VTO28-utc_offset/24,"YYYYMMDD")&amp;"*"" /stext="" "&amp;TEXT(VTO28-utc_offset/24,"HH")&amp;search_regexp&amp;""""</f>
        <v>#REF!</v>
      </c>
      <c r="VUM28" s="234" t="e">
        <f>astrogrep_path&amp;" /e /r /s /spath="&amp;search_path&amp;" /stypes=""app*"&amp;VTI28&amp;"*"&amp;TEXT(VTP28-utc_offset/24,"YYYYMMDD")&amp;"*"" /stext="" "&amp;TEXT(VTP28-utc_offset/24,"HH")&amp;search_regexp&amp;""""</f>
        <v>#REF!</v>
      </c>
      <c r="VUN28" s="234" t="e">
        <f>astrogrep_path&amp;" /e /r /s /spath="&amp;search_path&amp;" /stypes=""app*"&amp;VTJ28&amp;"*"&amp;TEXT(VTQ28-utc_offset/24,"YYYYMMDD")&amp;"*"" /stext="" "&amp;TEXT(VTQ28-utc_offset/24,"HH")&amp;search_regexp&amp;""""</f>
        <v>#REF!</v>
      </c>
      <c r="VUO28" s="234" t="e">
        <f>astrogrep_path&amp;" /e /r /s /spath="&amp;search_path&amp;" /stypes=""app*"&amp;VTK28&amp;"*"&amp;TEXT(VTR28-utc_offset/24,"YYYYMMDD")&amp;"*"" /stext="" "&amp;TEXT(VTR28-utc_offset/24,"HH")&amp;search_regexp&amp;""""</f>
        <v>#REF!</v>
      </c>
      <c r="VUP28" s="234" t="e">
        <f>astrogrep_path&amp;" /e /r /s /spath="&amp;search_path&amp;" /stypes=""app*"&amp;VTL28&amp;"*"&amp;TEXT(VTS28-utc_offset/24,"YYYYMMDD")&amp;"*"" /stext="" "&amp;TEXT(VTS28-utc_offset/24,"HH")&amp;search_regexp&amp;""""</f>
        <v>#REF!</v>
      </c>
      <c r="VUQ28" s="234" t="e">
        <f>astrogrep_path&amp;" /e /r /s /spath="&amp;search_path&amp;" /stypes=""app*"&amp;VTM28&amp;"*"&amp;TEXT(VTT28-utc_offset/24,"YYYYMMDD")&amp;"*"" /stext="" "&amp;TEXT(VTT28-utc_offset/24,"HH")&amp;search_regexp&amp;""""</f>
        <v>#REF!</v>
      </c>
      <c r="VUR28" s="234" t="e">
        <f>astrogrep_path&amp;" /e /r /s /spath="&amp;search_path&amp;" /stypes=""app*"&amp;VTN28&amp;"*"&amp;TEXT(VTU28-utc_offset/24,"YYYYMMDD")&amp;"*"" /stext="" "&amp;TEXT(VTU28-utc_offset/24,"HH")&amp;search_regexp&amp;""""</f>
        <v>#REF!</v>
      </c>
      <c r="VUS28" s="234" t="e">
        <f>astrogrep_path&amp;" /e /r /s /spath="&amp;search_path&amp;" /stypes=""app*"&amp;VTO28&amp;"*"&amp;TEXT(VTV28-utc_offset/24,"YYYYMMDD")&amp;"*"" /stext="" "&amp;TEXT(VTV28-utc_offset/24,"HH")&amp;search_regexp&amp;""""</f>
        <v>#REF!</v>
      </c>
      <c r="VUT28" s="234" t="e">
        <f>astrogrep_path&amp;" /e /r /s /spath="&amp;search_path&amp;" /stypes=""app*"&amp;VTP28&amp;"*"&amp;TEXT(VTW28-utc_offset/24,"YYYYMMDD")&amp;"*"" /stext="" "&amp;TEXT(VTW28-utc_offset/24,"HH")&amp;search_regexp&amp;""""</f>
        <v>#REF!</v>
      </c>
      <c r="VUU28" s="234" t="e">
        <f>astrogrep_path&amp;" /e /r /s /spath="&amp;search_path&amp;" /stypes=""app*"&amp;VTQ28&amp;"*"&amp;TEXT(VTX28-utc_offset/24,"YYYYMMDD")&amp;"*"" /stext="" "&amp;TEXT(VTX28-utc_offset/24,"HH")&amp;search_regexp&amp;""""</f>
        <v>#REF!</v>
      </c>
      <c r="VUV28" s="234" t="e">
        <f>astrogrep_path&amp;" /e /r /s /spath="&amp;search_path&amp;" /stypes=""app*"&amp;VTR28&amp;"*"&amp;TEXT(VTY28-utc_offset/24,"YYYYMMDD")&amp;"*"" /stext="" "&amp;TEXT(VTY28-utc_offset/24,"HH")&amp;search_regexp&amp;""""</f>
        <v>#REF!</v>
      </c>
      <c r="VUW28" s="234" t="e">
        <f>astrogrep_path&amp;" /e /r /s /spath="&amp;search_path&amp;" /stypes=""app*"&amp;VTS28&amp;"*"&amp;TEXT(VTZ28-utc_offset/24,"YYYYMMDD")&amp;"*"" /stext="" "&amp;TEXT(VTZ28-utc_offset/24,"HH")&amp;search_regexp&amp;""""</f>
        <v>#REF!</v>
      </c>
      <c r="VUX28" s="234" t="e">
        <f>astrogrep_path&amp;" /e /r /s /spath="&amp;search_path&amp;" /stypes=""app*"&amp;VTT28&amp;"*"&amp;TEXT(VUA28-utc_offset/24,"YYYYMMDD")&amp;"*"" /stext="" "&amp;TEXT(VUA28-utc_offset/24,"HH")&amp;search_regexp&amp;""""</f>
        <v>#REF!</v>
      </c>
      <c r="VUY28" s="234" t="e">
        <f>astrogrep_path&amp;" /e /r /s /spath="&amp;search_path&amp;" /stypes=""app*"&amp;VTU28&amp;"*"&amp;TEXT(VUB28-utc_offset/24,"YYYYMMDD")&amp;"*"" /stext="" "&amp;TEXT(VUB28-utc_offset/24,"HH")&amp;search_regexp&amp;""""</f>
        <v>#REF!</v>
      </c>
      <c r="VUZ28" s="234" t="e">
        <f>astrogrep_path&amp;" /e /r /s /spath="&amp;search_path&amp;" /stypes=""app*"&amp;VTV28&amp;"*"&amp;TEXT(VUC28-utc_offset/24,"YYYYMMDD")&amp;"*"" /stext="" "&amp;TEXT(VUC28-utc_offset/24,"HH")&amp;search_regexp&amp;""""</f>
        <v>#REF!</v>
      </c>
      <c r="VVA28" s="234" t="e">
        <f>astrogrep_path&amp;" /e /r /s /spath="&amp;search_path&amp;" /stypes=""app*"&amp;VTW28&amp;"*"&amp;TEXT(VUD28-utc_offset/24,"YYYYMMDD")&amp;"*"" /stext="" "&amp;TEXT(VUD28-utc_offset/24,"HH")&amp;search_regexp&amp;""""</f>
        <v>#REF!</v>
      </c>
      <c r="VVB28" s="234" t="e">
        <f>astrogrep_path&amp;" /e /r /s /spath="&amp;search_path&amp;" /stypes=""app*"&amp;VTX28&amp;"*"&amp;TEXT(VUE28-utc_offset/24,"YYYYMMDD")&amp;"*"" /stext="" "&amp;TEXT(VUE28-utc_offset/24,"HH")&amp;search_regexp&amp;""""</f>
        <v>#REF!</v>
      </c>
      <c r="VVC28" s="234" t="e">
        <f>astrogrep_path&amp;" /e /r /s /spath="&amp;search_path&amp;" /stypes=""app*"&amp;VTY28&amp;"*"&amp;TEXT(VUF28-utc_offset/24,"YYYYMMDD")&amp;"*"" /stext="" "&amp;TEXT(VUF28-utc_offset/24,"HH")&amp;search_regexp&amp;""""</f>
        <v>#REF!</v>
      </c>
      <c r="VVD28" s="234" t="e">
        <f>astrogrep_path&amp;" /e /r /s /spath="&amp;search_path&amp;" /stypes=""app*"&amp;VTZ28&amp;"*"&amp;TEXT(VUG28-utc_offset/24,"YYYYMMDD")&amp;"*"" /stext="" "&amp;TEXT(VUG28-utc_offset/24,"HH")&amp;search_regexp&amp;""""</f>
        <v>#REF!</v>
      </c>
      <c r="VVE28" s="234" t="e">
        <f>astrogrep_path&amp;" /e /r /s /spath="&amp;search_path&amp;" /stypes=""app*"&amp;VUA28&amp;"*"&amp;TEXT(VUH28-utc_offset/24,"YYYYMMDD")&amp;"*"" /stext="" "&amp;TEXT(VUH28-utc_offset/24,"HH")&amp;search_regexp&amp;""""</f>
        <v>#REF!</v>
      </c>
      <c r="VVF28" s="234" t="e">
        <f>astrogrep_path&amp;" /e /r /s /spath="&amp;search_path&amp;" /stypes=""app*"&amp;VUB28&amp;"*"&amp;TEXT(VUI28-utc_offset/24,"YYYYMMDD")&amp;"*"" /stext="" "&amp;TEXT(VUI28-utc_offset/24,"HH")&amp;search_regexp&amp;""""</f>
        <v>#REF!</v>
      </c>
      <c r="VVG28" s="234" t="e">
        <f>astrogrep_path&amp;" /e /r /s /spath="&amp;search_path&amp;" /stypes=""app*"&amp;VUC28&amp;"*"&amp;TEXT(VUJ28-utc_offset/24,"YYYYMMDD")&amp;"*"" /stext="" "&amp;TEXT(VUJ28-utc_offset/24,"HH")&amp;search_regexp&amp;""""</f>
        <v>#VALUE!</v>
      </c>
      <c r="VVH28" s="234" t="e">
        <f>astrogrep_path&amp;" /e /r /s /spath="&amp;search_path&amp;" /stypes=""app*"&amp;VUD28&amp;"*"&amp;TEXT(VUK28-utc_offset/24,"YYYYMMDD")&amp;"*"" /stext="" "&amp;TEXT(VUK28-utc_offset/24,"HH")&amp;search_regexp&amp;""""</f>
        <v>#VALUE!</v>
      </c>
      <c r="VVI28" s="234" t="e">
        <f>astrogrep_path&amp;" /e /r /s /spath="&amp;search_path&amp;" /stypes=""app*"&amp;VUE28&amp;"*"&amp;TEXT(VUL28-utc_offset/24,"YYYYMMDD")&amp;"*"" /stext="" "&amp;TEXT(VUL28-utc_offset/24,"HH")&amp;search_regexp&amp;""""</f>
        <v>#REF!</v>
      </c>
      <c r="VVJ28" s="234" t="e">
        <f>astrogrep_path&amp;" /e /r /s /spath="&amp;search_path&amp;" /stypes=""app*"&amp;VUF28&amp;"*"&amp;TEXT(VUM28-utc_offset/24,"YYYYMMDD")&amp;"*"" /stext="" "&amp;TEXT(VUM28-utc_offset/24,"HH")&amp;search_regexp&amp;""""</f>
        <v>#REF!</v>
      </c>
      <c r="VVK28" s="234" t="e">
        <f>astrogrep_path&amp;" /e /r /s /spath="&amp;search_path&amp;" /stypes=""app*"&amp;VUG28&amp;"*"&amp;TEXT(VUN28-utc_offset/24,"YYYYMMDD")&amp;"*"" /stext="" "&amp;TEXT(VUN28-utc_offset/24,"HH")&amp;search_regexp&amp;""""</f>
        <v>#VALUE!</v>
      </c>
      <c r="VVL28" s="234" t="e">
        <f>astrogrep_path&amp;" /e /r /s /spath="&amp;search_path&amp;" /stypes=""app*"&amp;VUH28&amp;"*"&amp;TEXT(VUO28-utc_offset/24,"YYYYMMDD")&amp;"*"" /stext="" "&amp;TEXT(VUO28-utc_offset/24,"HH")&amp;search_regexp&amp;""""</f>
        <v>#VALUE!</v>
      </c>
      <c r="VVM28" s="234" t="e">
        <f>astrogrep_path&amp;" /e /r /s /spath="&amp;search_path&amp;" /stypes=""app*"&amp;VUI28&amp;"*"&amp;TEXT(VUP28-utc_offset/24,"YYYYMMDD")&amp;"*"" /stext="" "&amp;TEXT(VUP28-utc_offset/24,"HH")&amp;search_regexp&amp;""""</f>
        <v>#VALUE!</v>
      </c>
      <c r="VVN28" s="234" t="e">
        <f>astrogrep_path&amp;" /e /r /s /spath="&amp;search_path&amp;" /stypes=""app*"&amp;VUJ28&amp;"*"&amp;TEXT(VUQ28-utc_offset/24,"YYYYMMDD")&amp;"*"" /stext="" "&amp;TEXT(VUQ28-utc_offset/24,"HH")&amp;search_regexp&amp;""""</f>
        <v>#VALUE!</v>
      </c>
      <c r="VVO28" s="234" t="e">
        <f>astrogrep_path&amp;" /e /r /s /spath="&amp;search_path&amp;" /stypes=""app*"&amp;VUK28&amp;"*"&amp;TEXT(VUR28-utc_offset/24,"YYYYMMDD")&amp;"*"" /stext="" "&amp;TEXT(VUR28-utc_offset/24,"HH")&amp;search_regexp&amp;""""</f>
        <v>#VALUE!</v>
      </c>
      <c r="VVP28" s="234" t="e">
        <f>astrogrep_path&amp;" /e /r /s /spath="&amp;search_path&amp;" /stypes=""app*"&amp;VUL28&amp;"*"&amp;TEXT(VUS28-utc_offset/24,"YYYYMMDD")&amp;"*"" /stext="" "&amp;TEXT(VUS28-utc_offset/24,"HH")&amp;search_regexp&amp;""""</f>
        <v>#REF!</v>
      </c>
      <c r="VVQ28" s="234" t="e">
        <f>astrogrep_path&amp;" /e /r /s /spath="&amp;search_path&amp;" /stypes=""app*"&amp;VUM28&amp;"*"&amp;TEXT(VUT28-utc_offset/24,"YYYYMMDD")&amp;"*"" /stext="" "&amp;TEXT(VUT28-utc_offset/24,"HH")&amp;search_regexp&amp;""""</f>
        <v>#REF!</v>
      </c>
      <c r="VVR28" s="234" t="e">
        <f>astrogrep_path&amp;" /e /r /s /spath="&amp;search_path&amp;" /stypes=""app*"&amp;VUN28&amp;"*"&amp;TEXT(VUU28-utc_offset/24,"YYYYMMDD")&amp;"*"" /stext="" "&amp;TEXT(VUU28-utc_offset/24,"HH")&amp;search_regexp&amp;""""</f>
        <v>#REF!</v>
      </c>
      <c r="VVS28" s="234" t="e">
        <f>astrogrep_path&amp;" /e /r /s /spath="&amp;search_path&amp;" /stypes=""app*"&amp;VUO28&amp;"*"&amp;TEXT(VUV28-utc_offset/24,"YYYYMMDD")&amp;"*"" /stext="" "&amp;TEXT(VUV28-utc_offset/24,"HH")&amp;search_regexp&amp;""""</f>
        <v>#REF!</v>
      </c>
      <c r="VVT28" s="234" t="e">
        <f>astrogrep_path&amp;" /e /r /s /spath="&amp;search_path&amp;" /stypes=""app*"&amp;VUP28&amp;"*"&amp;TEXT(VUW28-utc_offset/24,"YYYYMMDD")&amp;"*"" /stext="" "&amp;TEXT(VUW28-utc_offset/24,"HH")&amp;search_regexp&amp;""""</f>
        <v>#REF!</v>
      </c>
      <c r="VVU28" s="234" t="e">
        <f>astrogrep_path&amp;" /e /r /s /spath="&amp;search_path&amp;" /stypes=""app*"&amp;VUQ28&amp;"*"&amp;TEXT(VUX28-utc_offset/24,"YYYYMMDD")&amp;"*"" /stext="" "&amp;TEXT(VUX28-utc_offset/24,"HH")&amp;search_regexp&amp;""""</f>
        <v>#REF!</v>
      </c>
      <c r="VVV28" s="234" t="e">
        <f>astrogrep_path&amp;" /e /r /s /spath="&amp;search_path&amp;" /stypes=""app*"&amp;VUR28&amp;"*"&amp;TEXT(VUY28-utc_offset/24,"YYYYMMDD")&amp;"*"" /stext="" "&amp;TEXT(VUY28-utc_offset/24,"HH")&amp;search_regexp&amp;""""</f>
        <v>#REF!</v>
      </c>
      <c r="VVW28" s="234" t="e">
        <f>astrogrep_path&amp;" /e /r /s /spath="&amp;search_path&amp;" /stypes=""app*"&amp;VUS28&amp;"*"&amp;TEXT(VUZ28-utc_offset/24,"YYYYMMDD")&amp;"*"" /stext="" "&amp;TEXT(VUZ28-utc_offset/24,"HH")&amp;search_regexp&amp;""""</f>
        <v>#REF!</v>
      </c>
      <c r="VVX28" s="234" t="e">
        <f>astrogrep_path&amp;" /e /r /s /spath="&amp;search_path&amp;" /stypes=""app*"&amp;VUT28&amp;"*"&amp;TEXT(VVA28-utc_offset/24,"YYYYMMDD")&amp;"*"" /stext="" "&amp;TEXT(VVA28-utc_offset/24,"HH")&amp;search_regexp&amp;""""</f>
        <v>#REF!</v>
      </c>
      <c r="VVY28" s="234" t="e">
        <f>astrogrep_path&amp;" /e /r /s /spath="&amp;search_path&amp;" /stypes=""app*"&amp;VUU28&amp;"*"&amp;TEXT(VVB28-utc_offset/24,"YYYYMMDD")&amp;"*"" /stext="" "&amp;TEXT(VVB28-utc_offset/24,"HH")&amp;search_regexp&amp;""""</f>
        <v>#REF!</v>
      </c>
      <c r="VVZ28" s="234" t="e">
        <f>astrogrep_path&amp;" /e /r /s /spath="&amp;search_path&amp;" /stypes=""app*"&amp;VUV28&amp;"*"&amp;TEXT(VVC28-utc_offset/24,"YYYYMMDD")&amp;"*"" /stext="" "&amp;TEXT(VVC28-utc_offset/24,"HH")&amp;search_regexp&amp;""""</f>
        <v>#REF!</v>
      </c>
      <c r="VWA28" s="234" t="e">
        <f>astrogrep_path&amp;" /e /r /s /spath="&amp;search_path&amp;" /stypes=""app*"&amp;VUW28&amp;"*"&amp;TEXT(VVD28-utc_offset/24,"YYYYMMDD")&amp;"*"" /stext="" "&amp;TEXT(VVD28-utc_offset/24,"HH")&amp;search_regexp&amp;""""</f>
        <v>#REF!</v>
      </c>
      <c r="VWB28" s="234" t="e">
        <f>astrogrep_path&amp;" /e /r /s /spath="&amp;search_path&amp;" /stypes=""app*"&amp;VUX28&amp;"*"&amp;TEXT(VVE28-utc_offset/24,"YYYYMMDD")&amp;"*"" /stext="" "&amp;TEXT(VVE28-utc_offset/24,"HH")&amp;search_regexp&amp;""""</f>
        <v>#REF!</v>
      </c>
      <c r="VWC28" s="234" t="e">
        <f>astrogrep_path&amp;" /e /r /s /spath="&amp;search_path&amp;" /stypes=""app*"&amp;VUY28&amp;"*"&amp;TEXT(VVF28-utc_offset/24,"YYYYMMDD")&amp;"*"" /stext="" "&amp;TEXT(VVF28-utc_offset/24,"HH")&amp;search_regexp&amp;""""</f>
        <v>#REF!</v>
      </c>
      <c r="VWD28" s="234" t="e">
        <f>astrogrep_path&amp;" /e /r /s /spath="&amp;search_path&amp;" /stypes=""app*"&amp;VUZ28&amp;"*"&amp;TEXT(VVG28-utc_offset/24,"YYYYMMDD")&amp;"*"" /stext="" "&amp;TEXT(VVG28-utc_offset/24,"HH")&amp;search_regexp&amp;""""</f>
        <v>#REF!</v>
      </c>
      <c r="VWE28" s="234" t="e">
        <f>astrogrep_path&amp;" /e /r /s /spath="&amp;search_path&amp;" /stypes=""app*"&amp;VVA28&amp;"*"&amp;TEXT(VVH28-utc_offset/24,"YYYYMMDD")&amp;"*"" /stext="" "&amp;TEXT(VVH28-utc_offset/24,"HH")&amp;search_regexp&amp;""""</f>
        <v>#REF!</v>
      </c>
      <c r="VWF28" s="234" t="e">
        <f>astrogrep_path&amp;" /e /r /s /spath="&amp;search_path&amp;" /stypes=""app*"&amp;VVB28&amp;"*"&amp;TEXT(VVI28-utc_offset/24,"YYYYMMDD")&amp;"*"" /stext="" "&amp;TEXT(VVI28-utc_offset/24,"HH")&amp;search_regexp&amp;""""</f>
        <v>#REF!</v>
      </c>
      <c r="VWG28" s="234" t="e">
        <f>astrogrep_path&amp;" /e /r /s /spath="&amp;search_path&amp;" /stypes=""app*"&amp;VVC28&amp;"*"&amp;TEXT(VVJ28-utc_offset/24,"YYYYMMDD")&amp;"*"" /stext="" "&amp;TEXT(VVJ28-utc_offset/24,"HH")&amp;search_regexp&amp;""""</f>
        <v>#REF!</v>
      </c>
      <c r="VWH28" s="234" t="e">
        <f>astrogrep_path&amp;" /e /r /s /spath="&amp;search_path&amp;" /stypes=""app*"&amp;VVD28&amp;"*"&amp;TEXT(VVK28-utc_offset/24,"YYYYMMDD")&amp;"*"" /stext="" "&amp;TEXT(VVK28-utc_offset/24,"HH")&amp;search_regexp&amp;""""</f>
        <v>#REF!</v>
      </c>
      <c r="VWI28" s="234" t="e">
        <f>astrogrep_path&amp;" /e /r /s /spath="&amp;search_path&amp;" /stypes=""app*"&amp;VVE28&amp;"*"&amp;TEXT(VVL28-utc_offset/24,"YYYYMMDD")&amp;"*"" /stext="" "&amp;TEXT(VVL28-utc_offset/24,"HH")&amp;search_regexp&amp;""""</f>
        <v>#REF!</v>
      </c>
      <c r="VWJ28" s="234" t="e">
        <f>astrogrep_path&amp;" /e /r /s /spath="&amp;search_path&amp;" /stypes=""app*"&amp;VVF28&amp;"*"&amp;TEXT(VVM28-utc_offset/24,"YYYYMMDD")&amp;"*"" /stext="" "&amp;TEXT(VVM28-utc_offset/24,"HH")&amp;search_regexp&amp;""""</f>
        <v>#REF!</v>
      </c>
      <c r="VWK28" s="234" t="e">
        <f>astrogrep_path&amp;" /e /r /s /spath="&amp;search_path&amp;" /stypes=""app*"&amp;VVG28&amp;"*"&amp;TEXT(VVN28-utc_offset/24,"YYYYMMDD")&amp;"*"" /stext="" "&amp;TEXT(VVN28-utc_offset/24,"HH")&amp;search_regexp&amp;""""</f>
        <v>#VALUE!</v>
      </c>
      <c r="VWL28" s="234" t="e">
        <f>astrogrep_path&amp;" /e /r /s /spath="&amp;search_path&amp;" /stypes=""app*"&amp;VVH28&amp;"*"&amp;TEXT(VVO28-utc_offset/24,"YYYYMMDD")&amp;"*"" /stext="" "&amp;TEXT(VVO28-utc_offset/24,"HH")&amp;search_regexp&amp;""""</f>
        <v>#VALUE!</v>
      </c>
      <c r="VWM28" s="234" t="e">
        <f>astrogrep_path&amp;" /e /r /s /spath="&amp;search_path&amp;" /stypes=""app*"&amp;VVI28&amp;"*"&amp;TEXT(VVP28-utc_offset/24,"YYYYMMDD")&amp;"*"" /stext="" "&amp;TEXT(VVP28-utc_offset/24,"HH")&amp;search_regexp&amp;""""</f>
        <v>#REF!</v>
      </c>
      <c r="VWN28" s="234" t="e">
        <f>astrogrep_path&amp;" /e /r /s /spath="&amp;search_path&amp;" /stypes=""app*"&amp;VVJ28&amp;"*"&amp;TEXT(VVQ28-utc_offset/24,"YYYYMMDD")&amp;"*"" /stext="" "&amp;TEXT(VVQ28-utc_offset/24,"HH")&amp;search_regexp&amp;""""</f>
        <v>#REF!</v>
      </c>
      <c r="VWO28" s="234" t="e">
        <f>astrogrep_path&amp;" /e /r /s /spath="&amp;search_path&amp;" /stypes=""app*"&amp;VVK28&amp;"*"&amp;TEXT(VVR28-utc_offset/24,"YYYYMMDD")&amp;"*"" /stext="" "&amp;TEXT(VVR28-utc_offset/24,"HH")&amp;search_regexp&amp;""""</f>
        <v>#VALUE!</v>
      </c>
      <c r="VWP28" s="234" t="e">
        <f>astrogrep_path&amp;" /e /r /s /spath="&amp;search_path&amp;" /stypes=""app*"&amp;VVL28&amp;"*"&amp;TEXT(VVS28-utc_offset/24,"YYYYMMDD")&amp;"*"" /stext="" "&amp;TEXT(VVS28-utc_offset/24,"HH")&amp;search_regexp&amp;""""</f>
        <v>#VALUE!</v>
      </c>
      <c r="VWQ28" s="234" t="e">
        <f>astrogrep_path&amp;" /e /r /s /spath="&amp;search_path&amp;" /stypes=""app*"&amp;VVM28&amp;"*"&amp;TEXT(VVT28-utc_offset/24,"YYYYMMDD")&amp;"*"" /stext="" "&amp;TEXT(VVT28-utc_offset/24,"HH")&amp;search_regexp&amp;""""</f>
        <v>#VALUE!</v>
      </c>
      <c r="VWR28" s="234" t="e">
        <f>astrogrep_path&amp;" /e /r /s /spath="&amp;search_path&amp;" /stypes=""app*"&amp;VVN28&amp;"*"&amp;TEXT(VVU28-utc_offset/24,"YYYYMMDD")&amp;"*"" /stext="" "&amp;TEXT(VVU28-utc_offset/24,"HH")&amp;search_regexp&amp;""""</f>
        <v>#VALUE!</v>
      </c>
      <c r="VWS28" s="234" t="e">
        <f>astrogrep_path&amp;" /e /r /s /spath="&amp;search_path&amp;" /stypes=""app*"&amp;VVO28&amp;"*"&amp;TEXT(VVV28-utc_offset/24,"YYYYMMDD")&amp;"*"" /stext="" "&amp;TEXT(VVV28-utc_offset/24,"HH")&amp;search_regexp&amp;""""</f>
        <v>#VALUE!</v>
      </c>
      <c r="VWT28" s="234" t="e">
        <f>astrogrep_path&amp;" /e /r /s /spath="&amp;search_path&amp;" /stypes=""app*"&amp;VVP28&amp;"*"&amp;TEXT(VVW28-utc_offset/24,"YYYYMMDD")&amp;"*"" /stext="" "&amp;TEXT(VVW28-utc_offset/24,"HH")&amp;search_regexp&amp;""""</f>
        <v>#REF!</v>
      </c>
      <c r="VWU28" s="234" t="e">
        <f>astrogrep_path&amp;" /e /r /s /spath="&amp;search_path&amp;" /stypes=""app*"&amp;VVQ28&amp;"*"&amp;TEXT(VVX28-utc_offset/24,"YYYYMMDD")&amp;"*"" /stext="" "&amp;TEXT(VVX28-utc_offset/24,"HH")&amp;search_regexp&amp;""""</f>
        <v>#REF!</v>
      </c>
      <c r="VWV28" s="234" t="e">
        <f>astrogrep_path&amp;" /e /r /s /spath="&amp;search_path&amp;" /stypes=""app*"&amp;VVR28&amp;"*"&amp;TEXT(VVY28-utc_offset/24,"YYYYMMDD")&amp;"*"" /stext="" "&amp;TEXT(VVY28-utc_offset/24,"HH")&amp;search_regexp&amp;""""</f>
        <v>#REF!</v>
      </c>
      <c r="VWW28" s="234" t="e">
        <f>astrogrep_path&amp;" /e /r /s /spath="&amp;search_path&amp;" /stypes=""app*"&amp;VVS28&amp;"*"&amp;TEXT(VVZ28-utc_offset/24,"YYYYMMDD")&amp;"*"" /stext="" "&amp;TEXT(VVZ28-utc_offset/24,"HH")&amp;search_regexp&amp;""""</f>
        <v>#REF!</v>
      </c>
      <c r="VWX28" s="234" t="e">
        <f>astrogrep_path&amp;" /e /r /s /spath="&amp;search_path&amp;" /stypes=""app*"&amp;VVT28&amp;"*"&amp;TEXT(VWA28-utc_offset/24,"YYYYMMDD")&amp;"*"" /stext="" "&amp;TEXT(VWA28-utc_offset/24,"HH")&amp;search_regexp&amp;""""</f>
        <v>#REF!</v>
      </c>
      <c r="VWY28" s="234" t="e">
        <f>astrogrep_path&amp;" /e /r /s /spath="&amp;search_path&amp;" /stypes=""app*"&amp;VVU28&amp;"*"&amp;TEXT(VWB28-utc_offset/24,"YYYYMMDD")&amp;"*"" /stext="" "&amp;TEXT(VWB28-utc_offset/24,"HH")&amp;search_regexp&amp;""""</f>
        <v>#REF!</v>
      </c>
      <c r="VWZ28" s="234" t="e">
        <f>astrogrep_path&amp;" /e /r /s /spath="&amp;search_path&amp;" /stypes=""app*"&amp;VVV28&amp;"*"&amp;TEXT(VWC28-utc_offset/24,"YYYYMMDD")&amp;"*"" /stext="" "&amp;TEXT(VWC28-utc_offset/24,"HH")&amp;search_regexp&amp;""""</f>
        <v>#REF!</v>
      </c>
      <c r="VXA28" s="234" t="e">
        <f>astrogrep_path&amp;" /e /r /s /spath="&amp;search_path&amp;" /stypes=""app*"&amp;VVW28&amp;"*"&amp;TEXT(VWD28-utc_offset/24,"YYYYMMDD")&amp;"*"" /stext="" "&amp;TEXT(VWD28-utc_offset/24,"HH")&amp;search_regexp&amp;""""</f>
        <v>#REF!</v>
      </c>
      <c r="VXB28" s="234" t="e">
        <f>astrogrep_path&amp;" /e /r /s /spath="&amp;search_path&amp;" /stypes=""app*"&amp;VVX28&amp;"*"&amp;TEXT(VWE28-utc_offset/24,"YYYYMMDD")&amp;"*"" /stext="" "&amp;TEXT(VWE28-utc_offset/24,"HH")&amp;search_regexp&amp;""""</f>
        <v>#REF!</v>
      </c>
      <c r="VXC28" s="234" t="e">
        <f>astrogrep_path&amp;" /e /r /s /spath="&amp;search_path&amp;" /stypes=""app*"&amp;VVY28&amp;"*"&amp;TEXT(VWF28-utc_offset/24,"YYYYMMDD")&amp;"*"" /stext="" "&amp;TEXT(VWF28-utc_offset/24,"HH")&amp;search_regexp&amp;""""</f>
        <v>#REF!</v>
      </c>
      <c r="VXD28" s="234" t="e">
        <f>astrogrep_path&amp;" /e /r /s /spath="&amp;search_path&amp;" /stypes=""app*"&amp;VVZ28&amp;"*"&amp;TEXT(VWG28-utc_offset/24,"YYYYMMDD")&amp;"*"" /stext="" "&amp;TEXT(VWG28-utc_offset/24,"HH")&amp;search_regexp&amp;""""</f>
        <v>#REF!</v>
      </c>
      <c r="VXE28" s="234" t="e">
        <f>astrogrep_path&amp;" /e /r /s /spath="&amp;search_path&amp;" /stypes=""app*"&amp;VWA28&amp;"*"&amp;TEXT(VWH28-utc_offset/24,"YYYYMMDD")&amp;"*"" /stext="" "&amp;TEXT(VWH28-utc_offset/24,"HH")&amp;search_regexp&amp;""""</f>
        <v>#REF!</v>
      </c>
      <c r="VXF28" s="234" t="e">
        <f>astrogrep_path&amp;" /e /r /s /spath="&amp;search_path&amp;" /stypes=""app*"&amp;VWB28&amp;"*"&amp;TEXT(VWI28-utc_offset/24,"YYYYMMDD")&amp;"*"" /stext="" "&amp;TEXT(VWI28-utc_offset/24,"HH")&amp;search_regexp&amp;""""</f>
        <v>#REF!</v>
      </c>
      <c r="VXG28" s="234" t="e">
        <f>astrogrep_path&amp;" /e /r /s /spath="&amp;search_path&amp;" /stypes=""app*"&amp;VWC28&amp;"*"&amp;TEXT(VWJ28-utc_offset/24,"YYYYMMDD")&amp;"*"" /stext="" "&amp;TEXT(VWJ28-utc_offset/24,"HH")&amp;search_regexp&amp;""""</f>
        <v>#REF!</v>
      </c>
      <c r="VXH28" s="234" t="e">
        <f>astrogrep_path&amp;" /e /r /s /spath="&amp;search_path&amp;" /stypes=""app*"&amp;VWD28&amp;"*"&amp;TEXT(VWK28-utc_offset/24,"YYYYMMDD")&amp;"*"" /stext="" "&amp;TEXT(VWK28-utc_offset/24,"HH")&amp;search_regexp&amp;""""</f>
        <v>#REF!</v>
      </c>
      <c r="VXI28" s="234" t="e">
        <f>astrogrep_path&amp;" /e /r /s /spath="&amp;search_path&amp;" /stypes=""app*"&amp;VWE28&amp;"*"&amp;TEXT(VWL28-utc_offset/24,"YYYYMMDD")&amp;"*"" /stext="" "&amp;TEXT(VWL28-utc_offset/24,"HH")&amp;search_regexp&amp;""""</f>
        <v>#REF!</v>
      </c>
      <c r="VXJ28" s="234" t="e">
        <f>astrogrep_path&amp;" /e /r /s /spath="&amp;search_path&amp;" /stypes=""app*"&amp;VWF28&amp;"*"&amp;TEXT(VWM28-utc_offset/24,"YYYYMMDD")&amp;"*"" /stext="" "&amp;TEXT(VWM28-utc_offset/24,"HH")&amp;search_regexp&amp;""""</f>
        <v>#REF!</v>
      </c>
      <c r="VXK28" s="234" t="e">
        <f>astrogrep_path&amp;" /e /r /s /spath="&amp;search_path&amp;" /stypes=""app*"&amp;VWG28&amp;"*"&amp;TEXT(VWN28-utc_offset/24,"YYYYMMDD")&amp;"*"" /stext="" "&amp;TEXT(VWN28-utc_offset/24,"HH")&amp;search_regexp&amp;""""</f>
        <v>#REF!</v>
      </c>
      <c r="VXL28" s="234" t="e">
        <f>astrogrep_path&amp;" /e /r /s /spath="&amp;search_path&amp;" /stypes=""app*"&amp;VWH28&amp;"*"&amp;TEXT(VWO28-utc_offset/24,"YYYYMMDD")&amp;"*"" /stext="" "&amp;TEXT(VWO28-utc_offset/24,"HH")&amp;search_regexp&amp;""""</f>
        <v>#REF!</v>
      </c>
      <c r="VXM28" s="234" t="e">
        <f>astrogrep_path&amp;" /e /r /s /spath="&amp;search_path&amp;" /stypes=""app*"&amp;VWI28&amp;"*"&amp;TEXT(VWP28-utc_offset/24,"YYYYMMDD")&amp;"*"" /stext="" "&amp;TEXT(VWP28-utc_offset/24,"HH")&amp;search_regexp&amp;""""</f>
        <v>#REF!</v>
      </c>
      <c r="VXN28" s="234" t="e">
        <f>astrogrep_path&amp;" /e /r /s /spath="&amp;search_path&amp;" /stypes=""app*"&amp;VWJ28&amp;"*"&amp;TEXT(VWQ28-utc_offset/24,"YYYYMMDD")&amp;"*"" /stext="" "&amp;TEXT(VWQ28-utc_offset/24,"HH")&amp;search_regexp&amp;""""</f>
        <v>#REF!</v>
      </c>
      <c r="VXO28" s="234" t="e">
        <f>astrogrep_path&amp;" /e /r /s /spath="&amp;search_path&amp;" /stypes=""app*"&amp;VWK28&amp;"*"&amp;TEXT(VWR28-utc_offset/24,"YYYYMMDD")&amp;"*"" /stext="" "&amp;TEXT(VWR28-utc_offset/24,"HH")&amp;search_regexp&amp;""""</f>
        <v>#VALUE!</v>
      </c>
      <c r="VXP28" s="234" t="e">
        <f>astrogrep_path&amp;" /e /r /s /spath="&amp;search_path&amp;" /stypes=""app*"&amp;VWL28&amp;"*"&amp;TEXT(VWS28-utc_offset/24,"YYYYMMDD")&amp;"*"" /stext="" "&amp;TEXT(VWS28-utc_offset/24,"HH")&amp;search_regexp&amp;""""</f>
        <v>#VALUE!</v>
      </c>
      <c r="VXQ28" s="234" t="e">
        <f>astrogrep_path&amp;" /e /r /s /spath="&amp;search_path&amp;" /stypes=""app*"&amp;VWM28&amp;"*"&amp;TEXT(VWT28-utc_offset/24,"YYYYMMDD")&amp;"*"" /stext="" "&amp;TEXT(VWT28-utc_offset/24,"HH")&amp;search_regexp&amp;""""</f>
        <v>#REF!</v>
      </c>
      <c r="VXR28" s="234" t="e">
        <f>astrogrep_path&amp;" /e /r /s /spath="&amp;search_path&amp;" /stypes=""app*"&amp;VWN28&amp;"*"&amp;TEXT(VWU28-utc_offset/24,"YYYYMMDD")&amp;"*"" /stext="" "&amp;TEXT(VWU28-utc_offset/24,"HH")&amp;search_regexp&amp;""""</f>
        <v>#REF!</v>
      </c>
      <c r="VXS28" s="234" t="e">
        <f>astrogrep_path&amp;" /e /r /s /spath="&amp;search_path&amp;" /stypes=""app*"&amp;VWO28&amp;"*"&amp;TEXT(VWV28-utc_offset/24,"YYYYMMDD")&amp;"*"" /stext="" "&amp;TEXT(VWV28-utc_offset/24,"HH")&amp;search_regexp&amp;""""</f>
        <v>#VALUE!</v>
      </c>
      <c r="VXT28" s="234" t="e">
        <f>astrogrep_path&amp;" /e /r /s /spath="&amp;search_path&amp;" /stypes=""app*"&amp;VWP28&amp;"*"&amp;TEXT(VWW28-utc_offset/24,"YYYYMMDD")&amp;"*"" /stext="" "&amp;TEXT(VWW28-utc_offset/24,"HH")&amp;search_regexp&amp;""""</f>
        <v>#VALUE!</v>
      </c>
      <c r="VXU28" s="234" t="e">
        <f>astrogrep_path&amp;" /e /r /s /spath="&amp;search_path&amp;" /stypes=""app*"&amp;VWQ28&amp;"*"&amp;TEXT(VWX28-utc_offset/24,"YYYYMMDD")&amp;"*"" /stext="" "&amp;TEXT(VWX28-utc_offset/24,"HH")&amp;search_regexp&amp;""""</f>
        <v>#VALUE!</v>
      </c>
      <c r="VXV28" s="234" t="e">
        <f>astrogrep_path&amp;" /e /r /s /spath="&amp;search_path&amp;" /stypes=""app*"&amp;VWR28&amp;"*"&amp;TEXT(VWY28-utc_offset/24,"YYYYMMDD")&amp;"*"" /stext="" "&amp;TEXT(VWY28-utc_offset/24,"HH")&amp;search_regexp&amp;""""</f>
        <v>#VALUE!</v>
      </c>
      <c r="VXW28" s="234" t="e">
        <f>astrogrep_path&amp;" /e /r /s /spath="&amp;search_path&amp;" /stypes=""app*"&amp;VWS28&amp;"*"&amp;TEXT(VWZ28-utc_offset/24,"YYYYMMDD")&amp;"*"" /stext="" "&amp;TEXT(VWZ28-utc_offset/24,"HH")&amp;search_regexp&amp;""""</f>
        <v>#VALUE!</v>
      </c>
      <c r="VXX28" s="234" t="e">
        <f>astrogrep_path&amp;" /e /r /s /spath="&amp;search_path&amp;" /stypes=""app*"&amp;VWT28&amp;"*"&amp;TEXT(VXA28-utc_offset/24,"YYYYMMDD")&amp;"*"" /stext="" "&amp;TEXT(VXA28-utc_offset/24,"HH")&amp;search_regexp&amp;""""</f>
        <v>#REF!</v>
      </c>
      <c r="VXY28" s="234" t="e">
        <f>astrogrep_path&amp;" /e /r /s /spath="&amp;search_path&amp;" /stypes=""app*"&amp;VWU28&amp;"*"&amp;TEXT(VXB28-utc_offset/24,"YYYYMMDD")&amp;"*"" /stext="" "&amp;TEXT(VXB28-utc_offset/24,"HH")&amp;search_regexp&amp;""""</f>
        <v>#REF!</v>
      </c>
      <c r="VXZ28" s="234" t="e">
        <f>astrogrep_path&amp;" /e /r /s /spath="&amp;search_path&amp;" /stypes=""app*"&amp;VWV28&amp;"*"&amp;TEXT(VXC28-utc_offset/24,"YYYYMMDD")&amp;"*"" /stext="" "&amp;TEXT(VXC28-utc_offset/24,"HH")&amp;search_regexp&amp;""""</f>
        <v>#REF!</v>
      </c>
      <c r="VYA28" s="234" t="e">
        <f>astrogrep_path&amp;" /e /r /s /spath="&amp;search_path&amp;" /stypes=""app*"&amp;VWW28&amp;"*"&amp;TEXT(VXD28-utc_offset/24,"YYYYMMDD")&amp;"*"" /stext="" "&amp;TEXT(VXD28-utc_offset/24,"HH")&amp;search_regexp&amp;""""</f>
        <v>#REF!</v>
      </c>
      <c r="VYB28" s="234" t="e">
        <f>astrogrep_path&amp;" /e /r /s /spath="&amp;search_path&amp;" /stypes=""app*"&amp;VWX28&amp;"*"&amp;TEXT(VXE28-utc_offset/24,"YYYYMMDD")&amp;"*"" /stext="" "&amp;TEXT(VXE28-utc_offset/24,"HH")&amp;search_regexp&amp;""""</f>
        <v>#REF!</v>
      </c>
      <c r="VYC28" s="234" t="e">
        <f>astrogrep_path&amp;" /e /r /s /spath="&amp;search_path&amp;" /stypes=""app*"&amp;VWY28&amp;"*"&amp;TEXT(VXF28-utc_offset/24,"YYYYMMDD")&amp;"*"" /stext="" "&amp;TEXT(VXF28-utc_offset/24,"HH")&amp;search_regexp&amp;""""</f>
        <v>#REF!</v>
      </c>
      <c r="VYD28" s="234" t="e">
        <f>astrogrep_path&amp;" /e /r /s /spath="&amp;search_path&amp;" /stypes=""app*"&amp;VWZ28&amp;"*"&amp;TEXT(VXG28-utc_offset/24,"YYYYMMDD")&amp;"*"" /stext="" "&amp;TEXT(VXG28-utc_offset/24,"HH")&amp;search_regexp&amp;""""</f>
        <v>#REF!</v>
      </c>
      <c r="VYE28" s="234" t="e">
        <f>astrogrep_path&amp;" /e /r /s /spath="&amp;search_path&amp;" /stypes=""app*"&amp;VXA28&amp;"*"&amp;TEXT(VXH28-utc_offset/24,"YYYYMMDD")&amp;"*"" /stext="" "&amp;TEXT(VXH28-utc_offset/24,"HH")&amp;search_regexp&amp;""""</f>
        <v>#REF!</v>
      </c>
      <c r="VYF28" s="234" t="e">
        <f>astrogrep_path&amp;" /e /r /s /spath="&amp;search_path&amp;" /stypes=""app*"&amp;VXB28&amp;"*"&amp;TEXT(VXI28-utc_offset/24,"YYYYMMDD")&amp;"*"" /stext="" "&amp;TEXT(VXI28-utc_offset/24,"HH")&amp;search_regexp&amp;""""</f>
        <v>#REF!</v>
      </c>
      <c r="VYG28" s="234" t="e">
        <f>astrogrep_path&amp;" /e /r /s /spath="&amp;search_path&amp;" /stypes=""app*"&amp;VXC28&amp;"*"&amp;TEXT(VXJ28-utc_offset/24,"YYYYMMDD")&amp;"*"" /stext="" "&amp;TEXT(VXJ28-utc_offset/24,"HH")&amp;search_regexp&amp;""""</f>
        <v>#REF!</v>
      </c>
      <c r="VYH28" s="234" t="e">
        <f>astrogrep_path&amp;" /e /r /s /spath="&amp;search_path&amp;" /stypes=""app*"&amp;VXD28&amp;"*"&amp;TEXT(VXK28-utc_offset/24,"YYYYMMDD")&amp;"*"" /stext="" "&amp;TEXT(VXK28-utc_offset/24,"HH")&amp;search_regexp&amp;""""</f>
        <v>#REF!</v>
      </c>
      <c r="VYI28" s="234" t="e">
        <f>astrogrep_path&amp;" /e /r /s /spath="&amp;search_path&amp;" /stypes=""app*"&amp;VXE28&amp;"*"&amp;TEXT(VXL28-utc_offset/24,"YYYYMMDD")&amp;"*"" /stext="" "&amp;TEXT(VXL28-utc_offset/24,"HH")&amp;search_regexp&amp;""""</f>
        <v>#REF!</v>
      </c>
      <c r="VYJ28" s="234" t="e">
        <f>astrogrep_path&amp;" /e /r /s /spath="&amp;search_path&amp;" /stypes=""app*"&amp;VXF28&amp;"*"&amp;TEXT(VXM28-utc_offset/24,"YYYYMMDD")&amp;"*"" /stext="" "&amp;TEXT(VXM28-utc_offset/24,"HH")&amp;search_regexp&amp;""""</f>
        <v>#REF!</v>
      </c>
      <c r="VYK28" s="234" t="e">
        <f>astrogrep_path&amp;" /e /r /s /spath="&amp;search_path&amp;" /stypes=""app*"&amp;VXG28&amp;"*"&amp;TEXT(VXN28-utc_offset/24,"YYYYMMDD")&amp;"*"" /stext="" "&amp;TEXT(VXN28-utc_offset/24,"HH")&amp;search_regexp&amp;""""</f>
        <v>#REF!</v>
      </c>
      <c r="VYL28" s="234" t="e">
        <f>astrogrep_path&amp;" /e /r /s /spath="&amp;search_path&amp;" /stypes=""app*"&amp;VXH28&amp;"*"&amp;TEXT(VXO28-utc_offset/24,"YYYYMMDD")&amp;"*"" /stext="" "&amp;TEXT(VXO28-utc_offset/24,"HH")&amp;search_regexp&amp;""""</f>
        <v>#REF!</v>
      </c>
      <c r="VYM28" s="234" t="e">
        <f>astrogrep_path&amp;" /e /r /s /spath="&amp;search_path&amp;" /stypes=""app*"&amp;VXI28&amp;"*"&amp;TEXT(VXP28-utc_offset/24,"YYYYMMDD")&amp;"*"" /stext="" "&amp;TEXT(VXP28-utc_offset/24,"HH")&amp;search_regexp&amp;""""</f>
        <v>#REF!</v>
      </c>
      <c r="VYN28" s="234" t="e">
        <f>astrogrep_path&amp;" /e /r /s /spath="&amp;search_path&amp;" /stypes=""app*"&amp;VXJ28&amp;"*"&amp;TEXT(VXQ28-utc_offset/24,"YYYYMMDD")&amp;"*"" /stext="" "&amp;TEXT(VXQ28-utc_offset/24,"HH")&amp;search_regexp&amp;""""</f>
        <v>#REF!</v>
      </c>
      <c r="VYO28" s="234" t="e">
        <f>astrogrep_path&amp;" /e /r /s /spath="&amp;search_path&amp;" /stypes=""app*"&amp;VXK28&amp;"*"&amp;TEXT(VXR28-utc_offset/24,"YYYYMMDD")&amp;"*"" /stext="" "&amp;TEXT(VXR28-utc_offset/24,"HH")&amp;search_regexp&amp;""""</f>
        <v>#REF!</v>
      </c>
      <c r="VYP28" s="234" t="e">
        <f>astrogrep_path&amp;" /e /r /s /spath="&amp;search_path&amp;" /stypes=""app*"&amp;VXL28&amp;"*"&amp;TEXT(VXS28-utc_offset/24,"YYYYMMDD")&amp;"*"" /stext="" "&amp;TEXT(VXS28-utc_offset/24,"HH")&amp;search_regexp&amp;""""</f>
        <v>#REF!</v>
      </c>
      <c r="VYQ28" s="234" t="e">
        <f>astrogrep_path&amp;" /e /r /s /spath="&amp;search_path&amp;" /stypes=""app*"&amp;VXM28&amp;"*"&amp;TEXT(VXT28-utc_offset/24,"YYYYMMDD")&amp;"*"" /stext="" "&amp;TEXT(VXT28-utc_offset/24,"HH")&amp;search_regexp&amp;""""</f>
        <v>#REF!</v>
      </c>
      <c r="VYR28" s="234" t="e">
        <f>astrogrep_path&amp;" /e /r /s /spath="&amp;search_path&amp;" /stypes=""app*"&amp;VXN28&amp;"*"&amp;TEXT(VXU28-utc_offset/24,"YYYYMMDD")&amp;"*"" /stext="" "&amp;TEXT(VXU28-utc_offset/24,"HH")&amp;search_regexp&amp;""""</f>
        <v>#REF!</v>
      </c>
      <c r="VYS28" s="234" t="e">
        <f>astrogrep_path&amp;" /e /r /s /spath="&amp;search_path&amp;" /stypes=""app*"&amp;VXO28&amp;"*"&amp;TEXT(VXV28-utc_offset/24,"YYYYMMDD")&amp;"*"" /stext="" "&amp;TEXT(VXV28-utc_offset/24,"HH")&amp;search_regexp&amp;""""</f>
        <v>#VALUE!</v>
      </c>
      <c r="VYT28" s="234" t="e">
        <f>astrogrep_path&amp;" /e /r /s /spath="&amp;search_path&amp;" /stypes=""app*"&amp;VXP28&amp;"*"&amp;TEXT(VXW28-utc_offset/24,"YYYYMMDD")&amp;"*"" /stext="" "&amp;TEXT(VXW28-utc_offset/24,"HH")&amp;search_regexp&amp;""""</f>
        <v>#VALUE!</v>
      </c>
      <c r="VYU28" s="234" t="e">
        <f>astrogrep_path&amp;" /e /r /s /spath="&amp;search_path&amp;" /stypes=""app*"&amp;VXQ28&amp;"*"&amp;TEXT(VXX28-utc_offset/24,"YYYYMMDD")&amp;"*"" /stext="" "&amp;TEXT(VXX28-utc_offset/24,"HH")&amp;search_regexp&amp;""""</f>
        <v>#REF!</v>
      </c>
      <c r="VYV28" s="234" t="e">
        <f>astrogrep_path&amp;" /e /r /s /spath="&amp;search_path&amp;" /stypes=""app*"&amp;VXR28&amp;"*"&amp;TEXT(VXY28-utc_offset/24,"YYYYMMDD")&amp;"*"" /stext="" "&amp;TEXT(VXY28-utc_offset/24,"HH")&amp;search_regexp&amp;""""</f>
        <v>#REF!</v>
      </c>
      <c r="VYW28" s="234" t="e">
        <f>astrogrep_path&amp;" /e /r /s /spath="&amp;search_path&amp;" /stypes=""app*"&amp;VXS28&amp;"*"&amp;TEXT(VXZ28-utc_offset/24,"YYYYMMDD")&amp;"*"" /stext="" "&amp;TEXT(VXZ28-utc_offset/24,"HH")&amp;search_regexp&amp;""""</f>
        <v>#VALUE!</v>
      </c>
      <c r="VYX28" s="234" t="e">
        <f>astrogrep_path&amp;" /e /r /s /spath="&amp;search_path&amp;" /stypes=""app*"&amp;VXT28&amp;"*"&amp;TEXT(VYA28-utc_offset/24,"YYYYMMDD")&amp;"*"" /stext="" "&amp;TEXT(VYA28-utc_offset/24,"HH")&amp;search_regexp&amp;""""</f>
        <v>#VALUE!</v>
      </c>
      <c r="VYY28" s="234" t="e">
        <f>astrogrep_path&amp;" /e /r /s /spath="&amp;search_path&amp;" /stypes=""app*"&amp;VXU28&amp;"*"&amp;TEXT(VYB28-utc_offset/24,"YYYYMMDD")&amp;"*"" /stext="" "&amp;TEXT(VYB28-utc_offset/24,"HH")&amp;search_regexp&amp;""""</f>
        <v>#VALUE!</v>
      </c>
      <c r="VYZ28" s="234" t="e">
        <f>astrogrep_path&amp;" /e /r /s /spath="&amp;search_path&amp;" /stypes=""app*"&amp;VXV28&amp;"*"&amp;TEXT(VYC28-utc_offset/24,"YYYYMMDD")&amp;"*"" /stext="" "&amp;TEXT(VYC28-utc_offset/24,"HH")&amp;search_regexp&amp;""""</f>
        <v>#VALUE!</v>
      </c>
      <c r="VZA28" s="234" t="e">
        <f>astrogrep_path&amp;" /e /r /s /spath="&amp;search_path&amp;" /stypes=""app*"&amp;VXW28&amp;"*"&amp;TEXT(VYD28-utc_offset/24,"YYYYMMDD")&amp;"*"" /stext="" "&amp;TEXT(VYD28-utc_offset/24,"HH")&amp;search_regexp&amp;""""</f>
        <v>#VALUE!</v>
      </c>
      <c r="VZB28" s="234" t="e">
        <f>astrogrep_path&amp;" /e /r /s /spath="&amp;search_path&amp;" /stypes=""app*"&amp;VXX28&amp;"*"&amp;TEXT(VYE28-utc_offset/24,"YYYYMMDD")&amp;"*"" /stext="" "&amp;TEXT(VYE28-utc_offset/24,"HH")&amp;search_regexp&amp;""""</f>
        <v>#REF!</v>
      </c>
      <c r="VZC28" s="234" t="e">
        <f>astrogrep_path&amp;" /e /r /s /spath="&amp;search_path&amp;" /stypes=""app*"&amp;VXY28&amp;"*"&amp;TEXT(VYF28-utc_offset/24,"YYYYMMDD")&amp;"*"" /stext="" "&amp;TEXT(VYF28-utc_offset/24,"HH")&amp;search_regexp&amp;""""</f>
        <v>#REF!</v>
      </c>
      <c r="VZD28" s="234" t="e">
        <f>astrogrep_path&amp;" /e /r /s /spath="&amp;search_path&amp;" /stypes=""app*"&amp;VXZ28&amp;"*"&amp;TEXT(VYG28-utc_offset/24,"YYYYMMDD")&amp;"*"" /stext="" "&amp;TEXT(VYG28-utc_offset/24,"HH")&amp;search_regexp&amp;""""</f>
        <v>#REF!</v>
      </c>
      <c r="VZE28" s="234" t="e">
        <f>astrogrep_path&amp;" /e /r /s /spath="&amp;search_path&amp;" /stypes=""app*"&amp;VYA28&amp;"*"&amp;TEXT(VYH28-utc_offset/24,"YYYYMMDD")&amp;"*"" /stext="" "&amp;TEXT(VYH28-utc_offset/24,"HH")&amp;search_regexp&amp;""""</f>
        <v>#REF!</v>
      </c>
      <c r="VZF28" s="234" t="e">
        <f>astrogrep_path&amp;" /e /r /s /spath="&amp;search_path&amp;" /stypes=""app*"&amp;VYB28&amp;"*"&amp;TEXT(VYI28-utc_offset/24,"YYYYMMDD")&amp;"*"" /stext="" "&amp;TEXT(VYI28-utc_offset/24,"HH")&amp;search_regexp&amp;""""</f>
        <v>#REF!</v>
      </c>
      <c r="VZG28" s="234" t="e">
        <f>astrogrep_path&amp;" /e /r /s /spath="&amp;search_path&amp;" /stypes=""app*"&amp;VYC28&amp;"*"&amp;TEXT(VYJ28-utc_offset/24,"YYYYMMDD")&amp;"*"" /stext="" "&amp;TEXT(VYJ28-utc_offset/24,"HH")&amp;search_regexp&amp;""""</f>
        <v>#REF!</v>
      </c>
      <c r="VZH28" s="234" t="e">
        <f>astrogrep_path&amp;" /e /r /s /spath="&amp;search_path&amp;" /stypes=""app*"&amp;VYD28&amp;"*"&amp;TEXT(VYK28-utc_offset/24,"YYYYMMDD")&amp;"*"" /stext="" "&amp;TEXT(VYK28-utc_offset/24,"HH")&amp;search_regexp&amp;""""</f>
        <v>#REF!</v>
      </c>
      <c r="VZI28" s="234" t="e">
        <f>astrogrep_path&amp;" /e /r /s /spath="&amp;search_path&amp;" /stypes=""app*"&amp;VYE28&amp;"*"&amp;TEXT(VYL28-utc_offset/24,"YYYYMMDD")&amp;"*"" /stext="" "&amp;TEXT(VYL28-utc_offset/24,"HH")&amp;search_regexp&amp;""""</f>
        <v>#REF!</v>
      </c>
      <c r="VZJ28" s="234" t="e">
        <f>astrogrep_path&amp;" /e /r /s /spath="&amp;search_path&amp;" /stypes=""app*"&amp;VYF28&amp;"*"&amp;TEXT(VYM28-utc_offset/24,"YYYYMMDD")&amp;"*"" /stext="" "&amp;TEXT(VYM28-utc_offset/24,"HH")&amp;search_regexp&amp;""""</f>
        <v>#REF!</v>
      </c>
      <c r="VZK28" s="234" t="e">
        <f>astrogrep_path&amp;" /e /r /s /spath="&amp;search_path&amp;" /stypes=""app*"&amp;VYG28&amp;"*"&amp;TEXT(VYN28-utc_offset/24,"YYYYMMDD")&amp;"*"" /stext="" "&amp;TEXT(VYN28-utc_offset/24,"HH")&amp;search_regexp&amp;""""</f>
        <v>#REF!</v>
      </c>
      <c r="VZL28" s="234" t="e">
        <f>astrogrep_path&amp;" /e /r /s /spath="&amp;search_path&amp;" /stypes=""app*"&amp;VYH28&amp;"*"&amp;TEXT(VYO28-utc_offset/24,"YYYYMMDD")&amp;"*"" /stext="" "&amp;TEXT(VYO28-utc_offset/24,"HH")&amp;search_regexp&amp;""""</f>
        <v>#REF!</v>
      </c>
      <c r="VZM28" s="234" t="e">
        <f>astrogrep_path&amp;" /e /r /s /spath="&amp;search_path&amp;" /stypes=""app*"&amp;VYI28&amp;"*"&amp;TEXT(VYP28-utc_offset/24,"YYYYMMDD")&amp;"*"" /stext="" "&amp;TEXT(VYP28-utc_offset/24,"HH")&amp;search_regexp&amp;""""</f>
        <v>#REF!</v>
      </c>
      <c r="VZN28" s="234" t="e">
        <f>astrogrep_path&amp;" /e /r /s /spath="&amp;search_path&amp;" /stypes=""app*"&amp;VYJ28&amp;"*"&amp;TEXT(VYQ28-utc_offset/24,"YYYYMMDD")&amp;"*"" /stext="" "&amp;TEXT(VYQ28-utc_offset/24,"HH")&amp;search_regexp&amp;""""</f>
        <v>#REF!</v>
      </c>
      <c r="VZO28" s="234" t="e">
        <f>astrogrep_path&amp;" /e /r /s /spath="&amp;search_path&amp;" /stypes=""app*"&amp;VYK28&amp;"*"&amp;TEXT(VYR28-utc_offset/24,"YYYYMMDD")&amp;"*"" /stext="" "&amp;TEXT(VYR28-utc_offset/24,"HH")&amp;search_regexp&amp;""""</f>
        <v>#REF!</v>
      </c>
      <c r="VZP28" s="234" t="e">
        <f>astrogrep_path&amp;" /e /r /s /spath="&amp;search_path&amp;" /stypes=""app*"&amp;VYL28&amp;"*"&amp;TEXT(VYS28-utc_offset/24,"YYYYMMDD")&amp;"*"" /stext="" "&amp;TEXT(VYS28-utc_offset/24,"HH")&amp;search_regexp&amp;""""</f>
        <v>#REF!</v>
      </c>
      <c r="VZQ28" s="234" t="e">
        <f>astrogrep_path&amp;" /e /r /s /spath="&amp;search_path&amp;" /stypes=""app*"&amp;VYM28&amp;"*"&amp;TEXT(VYT28-utc_offset/24,"YYYYMMDD")&amp;"*"" /stext="" "&amp;TEXT(VYT28-utc_offset/24,"HH")&amp;search_regexp&amp;""""</f>
        <v>#REF!</v>
      </c>
      <c r="VZR28" s="234" t="e">
        <f>astrogrep_path&amp;" /e /r /s /spath="&amp;search_path&amp;" /stypes=""app*"&amp;VYN28&amp;"*"&amp;TEXT(VYU28-utc_offset/24,"YYYYMMDD")&amp;"*"" /stext="" "&amp;TEXT(VYU28-utc_offset/24,"HH")&amp;search_regexp&amp;""""</f>
        <v>#REF!</v>
      </c>
      <c r="VZS28" s="234" t="e">
        <f>astrogrep_path&amp;" /e /r /s /spath="&amp;search_path&amp;" /stypes=""app*"&amp;VYO28&amp;"*"&amp;TEXT(VYV28-utc_offset/24,"YYYYMMDD")&amp;"*"" /stext="" "&amp;TEXT(VYV28-utc_offset/24,"HH")&amp;search_regexp&amp;""""</f>
        <v>#REF!</v>
      </c>
      <c r="VZT28" s="234" t="e">
        <f>astrogrep_path&amp;" /e /r /s /spath="&amp;search_path&amp;" /stypes=""app*"&amp;VYP28&amp;"*"&amp;TEXT(VYW28-utc_offset/24,"YYYYMMDD")&amp;"*"" /stext="" "&amp;TEXT(VYW28-utc_offset/24,"HH")&amp;search_regexp&amp;""""</f>
        <v>#REF!</v>
      </c>
      <c r="VZU28" s="234" t="e">
        <f>astrogrep_path&amp;" /e /r /s /spath="&amp;search_path&amp;" /stypes=""app*"&amp;VYQ28&amp;"*"&amp;TEXT(VYX28-utc_offset/24,"YYYYMMDD")&amp;"*"" /stext="" "&amp;TEXT(VYX28-utc_offset/24,"HH")&amp;search_regexp&amp;""""</f>
        <v>#REF!</v>
      </c>
      <c r="VZV28" s="234" t="e">
        <f>astrogrep_path&amp;" /e /r /s /spath="&amp;search_path&amp;" /stypes=""app*"&amp;VYR28&amp;"*"&amp;TEXT(VYY28-utc_offset/24,"YYYYMMDD")&amp;"*"" /stext="" "&amp;TEXT(VYY28-utc_offset/24,"HH")&amp;search_regexp&amp;""""</f>
        <v>#REF!</v>
      </c>
      <c r="VZW28" s="234" t="e">
        <f>astrogrep_path&amp;" /e /r /s /spath="&amp;search_path&amp;" /stypes=""app*"&amp;VYS28&amp;"*"&amp;TEXT(VYZ28-utc_offset/24,"YYYYMMDD")&amp;"*"" /stext="" "&amp;TEXT(VYZ28-utc_offset/24,"HH")&amp;search_regexp&amp;""""</f>
        <v>#VALUE!</v>
      </c>
      <c r="VZX28" s="234" t="e">
        <f>astrogrep_path&amp;" /e /r /s /spath="&amp;search_path&amp;" /stypes=""app*"&amp;VYT28&amp;"*"&amp;TEXT(VZA28-utc_offset/24,"YYYYMMDD")&amp;"*"" /stext="" "&amp;TEXT(VZA28-utc_offset/24,"HH")&amp;search_regexp&amp;""""</f>
        <v>#VALUE!</v>
      </c>
      <c r="VZY28" s="234" t="e">
        <f>astrogrep_path&amp;" /e /r /s /spath="&amp;search_path&amp;" /stypes=""app*"&amp;VYU28&amp;"*"&amp;TEXT(VZB28-utc_offset/24,"YYYYMMDD")&amp;"*"" /stext="" "&amp;TEXT(VZB28-utc_offset/24,"HH")&amp;search_regexp&amp;""""</f>
        <v>#REF!</v>
      </c>
      <c r="VZZ28" s="234" t="e">
        <f>astrogrep_path&amp;" /e /r /s /spath="&amp;search_path&amp;" /stypes=""app*"&amp;VYV28&amp;"*"&amp;TEXT(VZC28-utc_offset/24,"YYYYMMDD")&amp;"*"" /stext="" "&amp;TEXT(VZC28-utc_offset/24,"HH")&amp;search_regexp&amp;""""</f>
        <v>#REF!</v>
      </c>
      <c r="WAA28" s="234" t="e">
        <f>astrogrep_path&amp;" /e /r /s /spath="&amp;search_path&amp;" /stypes=""app*"&amp;VYW28&amp;"*"&amp;TEXT(VZD28-utc_offset/24,"YYYYMMDD")&amp;"*"" /stext="" "&amp;TEXT(VZD28-utc_offset/24,"HH")&amp;search_regexp&amp;""""</f>
        <v>#VALUE!</v>
      </c>
      <c r="WAB28" s="234" t="e">
        <f>astrogrep_path&amp;" /e /r /s /spath="&amp;search_path&amp;" /stypes=""app*"&amp;VYX28&amp;"*"&amp;TEXT(VZE28-utc_offset/24,"YYYYMMDD")&amp;"*"" /stext="" "&amp;TEXT(VZE28-utc_offset/24,"HH")&amp;search_regexp&amp;""""</f>
        <v>#VALUE!</v>
      </c>
      <c r="WAC28" s="234" t="e">
        <f>astrogrep_path&amp;" /e /r /s /spath="&amp;search_path&amp;" /stypes=""app*"&amp;VYY28&amp;"*"&amp;TEXT(VZF28-utc_offset/24,"YYYYMMDD")&amp;"*"" /stext="" "&amp;TEXT(VZF28-utc_offset/24,"HH")&amp;search_regexp&amp;""""</f>
        <v>#VALUE!</v>
      </c>
      <c r="WAD28" s="234" t="e">
        <f>astrogrep_path&amp;" /e /r /s /spath="&amp;search_path&amp;" /stypes=""app*"&amp;VYZ28&amp;"*"&amp;TEXT(VZG28-utc_offset/24,"YYYYMMDD")&amp;"*"" /stext="" "&amp;TEXT(VZG28-utc_offset/24,"HH")&amp;search_regexp&amp;""""</f>
        <v>#VALUE!</v>
      </c>
      <c r="WAE28" s="234" t="e">
        <f>astrogrep_path&amp;" /e /r /s /spath="&amp;search_path&amp;" /stypes=""app*"&amp;VZA28&amp;"*"&amp;TEXT(VZH28-utc_offset/24,"YYYYMMDD")&amp;"*"" /stext="" "&amp;TEXT(VZH28-utc_offset/24,"HH")&amp;search_regexp&amp;""""</f>
        <v>#VALUE!</v>
      </c>
      <c r="WAF28" s="234" t="e">
        <f>astrogrep_path&amp;" /e /r /s /spath="&amp;search_path&amp;" /stypes=""app*"&amp;VZB28&amp;"*"&amp;TEXT(VZI28-utc_offset/24,"YYYYMMDD")&amp;"*"" /stext="" "&amp;TEXT(VZI28-utc_offset/24,"HH")&amp;search_regexp&amp;""""</f>
        <v>#REF!</v>
      </c>
      <c r="WAG28" s="234" t="e">
        <f>astrogrep_path&amp;" /e /r /s /spath="&amp;search_path&amp;" /stypes=""app*"&amp;VZC28&amp;"*"&amp;TEXT(VZJ28-utc_offset/24,"YYYYMMDD")&amp;"*"" /stext="" "&amp;TEXT(VZJ28-utc_offset/24,"HH")&amp;search_regexp&amp;""""</f>
        <v>#REF!</v>
      </c>
      <c r="WAH28" s="234" t="e">
        <f>astrogrep_path&amp;" /e /r /s /spath="&amp;search_path&amp;" /stypes=""app*"&amp;VZD28&amp;"*"&amp;TEXT(VZK28-utc_offset/24,"YYYYMMDD")&amp;"*"" /stext="" "&amp;TEXT(VZK28-utc_offset/24,"HH")&amp;search_regexp&amp;""""</f>
        <v>#REF!</v>
      </c>
      <c r="WAI28" s="234" t="e">
        <f>astrogrep_path&amp;" /e /r /s /spath="&amp;search_path&amp;" /stypes=""app*"&amp;VZE28&amp;"*"&amp;TEXT(VZL28-utc_offset/24,"YYYYMMDD")&amp;"*"" /stext="" "&amp;TEXT(VZL28-utc_offset/24,"HH")&amp;search_regexp&amp;""""</f>
        <v>#REF!</v>
      </c>
      <c r="WAJ28" s="234" t="e">
        <f>astrogrep_path&amp;" /e /r /s /spath="&amp;search_path&amp;" /stypes=""app*"&amp;VZF28&amp;"*"&amp;TEXT(VZM28-utc_offset/24,"YYYYMMDD")&amp;"*"" /stext="" "&amp;TEXT(VZM28-utc_offset/24,"HH")&amp;search_regexp&amp;""""</f>
        <v>#REF!</v>
      </c>
      <c r="WAK28" s="234" t="e">
        <f>astrogrep_path&amp;" /e /r /s /spath="&amp;search_path&amp;" /stypes=""app*"&amp;VZG28&amp;"*"&amp;TEXT(VZN28-utc_offset/24,"YYYYMMDD")&amp;"*"" /stext="" "&amp;TEXT(VZN28-utc_offset/24,"HH")&amp;search_regexp&amp;""""</f>
        <v>#REF!</v>
      </c>
      <c r="WAL28" s="234" t="e">
        <f>astrogrep_path&amp;" /e /r /s /spath="&amp;search_path&amp;" /stypes=""app*"&amp;VZH28&amp;"*"&amp;TEXT(VZO28-utc_offset/24,"YYYYMMDD")&amp;"*"" /stext="" "&amp;TEXT(VZO28-utc_offset/24,"HH")&amp;search_regexp&amp;""""</f>
        <v>#REF!</v>
      </c>
      <c r="WAM28" s="234" t="e">
        <f>astrogrep_path&amp;" /e /r /s /spath="&amp;search_path&amp;" /stypes=""app*"&amp;VZI28&amp;"*"&amp;TEXT(VZP28-utc_offset/24,"YYYYMMDD")&amp;"*"" /stext="" "&amp;TEXT(VZP28-utc_offset/24,"HH")&amp;search_regexp&amp;""""</f>
        <v>#REF!</v>
      </c>
      <c r="WAN28" s="234" t="e">
        <f>astrogrep_path&amp;" /e /r /s /spath="&amp;search_path&amp;" /stypes=""app*"&amp;VZJ28&amp;"*"&amp;TEXT(VZQ28-utc_offset/24,"YYYYMMDD")&amp;"*"" /stext="" "&amp;TEXT(VZQ28-utc_offset/24,"HH")&amp;search_regexp&amp;""""</f>
        <v>#REF!</v>
      </c>
      <c r="WAO28" s="234" t="e">
        <f>astrogrep_path&amp;" /e /r /s /spath="&amp;search_path&amp;" /stypes=""app*"&amp;VZK28&amp;"*"&amp;TEXT(VZR28-utc_offset/24,"YYYYMMDD")&amp;"*"" /stext="" "&amp;TEXT(VZR28-utc_offset/24,"HH")&amp;search_regexp&amp;""""</f>
        <v>#REF!</v>
      </c>
      <c r="WAP28" s="234" t="e">
        <f>astrogrep_path&amp;" /e /r /s /spath="&amp;search_path&amp;" /stypes=""app*"&amp;VZL28&amp;"*"&amp;TEXT(VZS28-utc_offset/24,"YYYYMMDD")&amp;"*"" /stext="" "&amp;TEXT(VZS28-utc_offset/24,"HH")&amp;search_regexp&amp;""""</f>
        <v>#REF!</v>
      </c>
      <c r="WAQ28" s="234" t="e">
        <f>astrogrep_path&amp;" /e /r /s /spath="&amp;search_path&amp;" /stypes=""app*"&amp;VZM28&amp;"*"&amp;TEXT(VZT28-utc_offset/24,"YYYYMMDD")&amp;"*"" /stext="" "&amp;TEXT(VZT28-utc_offset/24,"HH")&amp;search_regexp&amp;""""</f>
        <v>#REF!</v>
      </c>
      <c r="WAR28" s="234" t="e">
        <f>astrogrep_path&amp;" /e /r /s /spath="&amp;search_path&amp;" /stypes=""app*"&amp;VZN28&amp;"*"&amp;TEXT(VZU28-utc_offset/24,"YYYYMMDD")&amp;"*"" /stext="" "&amp;TEXT(VZU28-utc_offset/24,"HH")&amp;search_regexp&amp;""""</f>
        <v>#REF!</v>
      </c>
      <c r="WAS28" s="234" t="e">
        <f>astrogrep_path&amp;" /e /r /s /spath="&amp;search_path&amp;" /stypes=""app*"&amp;VZO28&amp;"*"&amp;TEXT(VZV28-utc_offset/24,"YYYYMMDD")&amp;"*"" /stext="" "&amp;TEXT(VZV28-utc_offset/24,"HH")&amp;search_regexp&amp;""""</f>
        <v>#REF!</v>
      </c>
      <c r="WAT28" s="234" t="e">
        <f>astrogrep_path&amp;" /e /r /s /spath="&amp;search_path&amp;" /stypes=""app*"&amp;VZP28&amp;"*"&amp;TEXT(VZW28-utc_offset/24,"YYYYMMDD")&amp;"*"" /stext="" "&amp;TEXT(VZW28-utc_offset/24,"HH")&amp;search_regexp&amp;""""</f>
        <v>#REF!</v>
      </c>
      <c r="WAU28" s="234" t="e">
        <f>astrogrep_path&amp;" /e /r /s /spath="&amp;search_path&amp;" /stypes=""app*"&amp;VZQ28&amp;"*"&amp;TEXT(VZX28-utc_offset/24,"YYYYMMDD")&amp;"*"" /stext="" "&amp;TEXT(VZX28-utc_offset/24,"HH")&amp;search_regexp&amp;""""</f>
        <v>#REF!</v>
      </c>
      <c r="WAV28" s="234" t="e">
        <f>astrogrep_path&amp;" /e /r /s /spath="&amp;search_path&amp;" /stypes=""app*"&amp;VZR28&amp;"*"&amp;TEXT(VZY28-utc_offset/24,"YYYYMMDD")&amp;"*"" /stext="" "&amp;TEXT(VZY28-utc_offset/24,"HH")&amp;search_regexp&amp;""""</f>
        <v>#REF!</v>
      </c>
      <c r="WAW28" s="234" t="e">
        <f>astrogrep_path&amp;" /e /r /s /spath="&amp;search_path&amp;" /stypes=""app*"&amp;VZS28&amp;"*"&amp;TEXT(VZZ28-utc_offset/24,"YYYYMMDD")&amp;"*"" /stext="" "&amp;TEXT(VZZ28-utc_offset/24,"HH")&amp;search_regexp&amp;""""</f>
        <v>#REF!</v>
      </c>
      <c r="WAX28" s="234" t="e">
        <f>astrogrep_path&amp;" /e /r /s /spath="&amp;search_path&amp;" /stypes=""app*"&amp;VZT28&amp;"*"&amp;TEXT(WAA28-utc_offset/24,"YYYYMMDD")&amp;"*"" /stext="" "&amp;TEXT(WAA28-utc_offset/24,"HH")&amp;search_regexp&amp;""""</f>
        <v>#REF!</v>
      </c>
      <c r="WAY28" s="234" t="e">
        <f>astrogrep_path&amp;" /e /r /s /spath="&amp;search_path&amp;" /stypes=""app*"&amp;VZU28&amp;"*"&amp;TEXT(WAB28-utc_offset/24,"YYYYMMDD")&amp;"*"" /stext="" "&amp;TEXT(WAB28-utc_offset/24,"HH")&amp;search_regexp&amp;""""</f>
        <v>#REF!</v>
      </c>
      <c r="WAZ28" s="234" t="e">
        <f>astrogrep_path&amp;" /e /r /s /spath="&amp;search_path&amp;" /stypes=""app*"&amp;VZV28&amp;"*"&amp;TEXT(WAC28-utc_offset/24,"YYYYMMDD")&amp;"*"" /stext="" "&amp;TEXT(WAC28-utc_offset/24,"HH")&amp;search_regexp&amp;""""</f>
        <v>#REF!</v>
      </c>
      <c r="WBA28" s="234" t="e">
        <f>astrogrep_path&amp;" /e /r /s /spath="&amp;search_path&amp;" /stypes=""app*"&amp;VZW28&amp;"*"&amp;TEXT(WAD28-utc_offset/24,"YYYYMMDD")&amp;"*"" /stext="" "&amp;TEXT(WAD28-utc_offset/24,"HH")&amp;search_regexp&amp;""""</f>
        <v>#VALUE!</v>
      </c>
      <c r="WBB28" s="234" t="e">
        <f>astrogrep_path&amp;" /e /r /s /spath="&amp;search_path&amp;" /stypes=""app*"&amp;VZX28&amp;"*"&amp;TEXT(WAE28-utc_offset/24,"YYYYMMDD")&amp;"*"" /stext="" "&amp;TEXT(WAE28-utc_offset/24,"HH")&amp;search_regexp&amp;""""</f>
        <v>#VALUE!</v>
      </c>
      <c r="WBC28" s="234" t="e">
        <f>astrogrep_path&amp;" /e /r /s /spath="&amp;search_path&amp;" /stypes=""app*"&amp;VZY28&amp;"*"&amp;TEXT(WAF28-utc_offset/24,"YYYYMMDD")&amp;"*"" /stext="" "&amp;TEXT(WAF28-utc_offset/24,"HH")&amp;search_regexp&amp;""""</f>
        <v>#REF!</v>
      </c>
      <c r="WBD28" s="234" t="e">
        <f>astrogrep_path&amp;" /e /r /s /spath="&amp;search_path&amp;" /stypes=""app*"&amp;VZZ28&amp;"*"&amp;TEXT(WAG28-utc_offset/24,"YYYYMMDD")&amp;"*"" /stext="" "&amp;TEXT(WAG28-utc_offset/24,"HH")&amp;search_regexp&amp;""""</f>
        <v>#REF!</v>
      </c>
      <c r="WBE28" s="234" t="e">
        <f>astrogrep_path&amp;" /e /r /s /spath="&amp;search_path&amp;" /stypes=""app*"&amp;WAA28&amp;"*"&amp;TEXT(WAH28-utc_offset/24,"YYYYMMDD")&amp;"*"" /stext="" "&amp;TEXT(WAH28-utc_offset/24,"HH")&amp;search_regexp&amp;""""</f>
        <v>#VALUE!</v>
      </c>
      <c r="WBF28" s="234" t="e">
        <f>astrogrep_path&amp;" /e /r /s /spath="&amp;search_path&amp;" /stypes=""app*"&amp;WAB28&amp;"*"&amp;TEXT(WAI28-utc_offset/24,"YYYYMMDD")&amp;"*"" /stext="" "&amp;TEXT(WAI28-utc_offset/24,"HH")&amp;search_regexp&amp;""""</f>
        <v>#VALUE!</v>
      </c>
      <c r="WBG28" s="234" t="e">
        <f>astrogrep_path&amp;" /e /r /s /spath="&amp;search_path&amp;" /stypes=""app*"&amp;WAC28&amp;"*"&amp;TEXT(WAJ28-utc_offset/24,"YYYYMMDD")&amp;"*"" /stext="" "&amp;TEXT(WAJ28-utc_offset/24,"HH")&amp;search_regexp&amp;""""</f>
        <v>#VALUE!</v>
      </c>
      <c r="WBH28" s="234" t="e">
        <f>astrogrep_path&amp;" /e /r /s /spath="&amp;search_path&amp;" /stypes=""app*"&amp;WAD28&amp;"*"&amp;TEXT(WAK28-utc_offset/24,"YYYYMMDD")&amp;"*"" /stext="" "&amp;TEXT(WAK28-utc_offset/24,"HH")&amp;search_regexp&amp;""""</f>
        <v>#VALUE!</v>
      </c>
      <c r="WBI28" s="234" t="e">
        <f>astrogrep_path&amp;" /e /r /s /spath="&amp;search_path&amp;" /stypes=""app*"&amp;WAE28&amp;"*"&amp;TEXT(WAL28-utc_offset/24,"YYYYMMDD")&amp;"*"" /stext="" "&amp;TEXT(WAL28-utc_offset/24,"HH")&amp;search_regexp&amp;""""</f>
        <v>#VALUE!</v>
      </c>
      <c r="WBJ28" s="234" t="e">
        <f>astrogrep_path&amp;" /e /r /s /spath="&amp;search_path&amp;" /stypes=""app*"&amp;WAF28&amp;"*"&amp;TEXT(WAM28-utc_offset/24,"YYYYMMDD")&amp;"*"" /stext="" "&amp;TEXT(WAM28-utc_offset/24,"HH")&amp;search_regexp&amp;""""</f>
        <v>#REF!</v>
      </c>
      <c r="WBK28" s="234" t="e">
        <f>astrogrep_path&amp;" /e /r /s /spath="&amp;search_path&amp;" /stypes=""app*"&amp;WAG28&amp;"*"&amp;TEXT(WAN28-utc_offset/24,"YYYYMMDD")&amp;"*"" /stext="" "&amp;TEXT(WAN28-utc_offset/24,"HH")&amp;search_regexp&amp;""""</f>
        <v>#REF!</v>
      </c>
      <c r="WBL28" s="234" t="e">
        <f>astrogrep_path&amp;" /e /r /s /spath="&amp;search_path&amp;" /stypes=""app*"&amp;WAH28&amp;"*"&amp;TEXT(WAO28-utc_offset/24,"YYYYMMDD")&amp;"*"" /stext="" "&amp;TEXT(WAO28-utc_offset/24,"HH")&amp;search_regexp&amp;""""</f>
        <v>#REF!</v>
      </c>
      <c r="WBM28" s="234" t="e">
        <f>astrogrep_path&amp;" /e /r /s /spath="&amp;search_path&amp;" /stypes=""app*"&amp;WAI28&amp;"*"&amp;TEXT(WAP28-utc_offset/24,"YYYYMMDD")&amp;"*"" /stext="" "&amp;TEXT(WAP28-utc_offset/24,"HH")&amp;search_regexp&amp;""""</f>
        <v>#REF!</v>
      </c>
      <c r="WBN28" s="234" t="e">
        <f>astrogrep_path&amp;" /e /r /s /spath="&amp;search_path&amp;" /stypes=""app*"&amp;WAJ28&amp;"*"&amp;TEXT(WAQ28-utc_offset/24,"YYYYMMDD")&amp;"*"" /stext="" "&amp;TEXT(WAQ28-utc_offset/24,"HH")&amp;search_regexp&amp;""""</f>
        <v>#REF!</v>
      </c>
      <c r="WBO28" s="234" t="e">
        <f>astrogrep_path&amp;" /e /r /s /spath="&amp;search_path&amp;" /stypes=""app*"&amp;WAK28&amp;"*"&amp;TEXT(WAR28-utc_offset/24,"YYYYMMDD")&amp;"*"" /stext="" "&amp;TEXT(WAR28-utc_offset/24,"HH")&amp;search_regexp&amp;""""</f>
        <v>#REF!</v>
      </c>
      <c r="WBP28" s="234" t="e">
        <f>astrogrep_path&amp;" /e /r /s /spath="&amp;search_path&amp;" /stypes=""app*"&amp;WAL28&amp;"*"&amp;TEXT(WAS28-utc_offset/24,"YYYYMMDD")&amp;"*"" /stext="" "&amp;TEXT(WAS28-utc_offset/24,"HH")&amp;search_regexp&amp;""""</f>
        <v>#REF!</v>
      </c>
      <c r="WBQ28" s="234" t="e">
        <f>astrogrep_path&amp;" /e /r /s /spath="&amp;search_path&amp;" /stypes=""app*"&amp;WAM28&amp;"*"&amp;TEXT(WAT28-utc_offset/24,"YYYYMMDD")&amp;"*"" /stext="" "&amp;TEXT(WAT28-utc_offset/24,"HH")&amp;search_regexp&amp;""""</f>
        <v>#REF!</v>
      </c>
      <c r="WBR28" s="234" t="e">
        <f>astrogrep_path&amp;" /e /r /s /spath="&amp;search_path&amp;" /stypes=""app*"&amp;WAN28&amp;"*"&amp;TEXT(WAU28-utc_offset/24,"YYYYMMDD")&amp;"*"" /stext="" "&amp;TEXT(WAU28-utc_offset/24,"HH")&amp;search_regexp&amp;""""</f>
        <v>#REF!</v>
      </c>
      <c r="WBS28" s="234" t="e">
        <f>astrogrep_path&amp;" /e /r /s /spath="&amp;search_path&amp;" /stypes=""app*"&amp;WAO28&amp;"*"&amp;TEXT(WAV28-utc_offset/24,"YYYYMMDD")&amp;"*"" /stext="" "&amp;TEXT(WAV28-utc_offset/24,"HH")&amp;search_regexp&amp;""""</f>
        <v>#REF!</v>
      </c>
      <c r="WBT28" s="234" t="e">
        <f>astrogrep_path&amp;" /e /r /s /spath="&amp;search_path&amp;" /stypes=""app*"&amp;WAP28&amp;"*"&amp;TEXT(WAW28-utc_offset/24,"YYYYMMDD")&amp;"*"" /stext="" "&amp;TEXT(WAW28-utc_offset/24,"HH")&amp;search_regexp&amp;""""</f>
        <v>#REF!</v>
      </c>
      <c r="WBU28" s="234" t="e">
        <f>astrogrep_path&amp;" /e /r /s /spath="&amp;search_path&amp;" /stypes=""app*"&amp;WAQ28&amp;"*"&amp;TEXT(WAX28-utc_offset/24,"YYYYMMDD")&amp;"*"" /stext="" "&amp;TEXT(WAX28-utc_offset/24,"HH")&amp;search_regexp&amp;""""</f>
        <v>#REF!</v>
      </c>
      <c r="WBV28" s="234" t="e">
        <f>astrogrep_path&amp;" /e /r /s /spath="&amp;search_path&amp;" /stypes=""app*"&amp;WAR28&amp;"*"&amp;TEXT(WAY28-utc_offset/24,"YYYYMMDD")&amp;"*"" /stext="" "&amp;TEXT(WAY28-utc_offset/24,"HH")&amp;search_regexp&amp;""""</f>
        <v>#REF!</v>
      </c>
      <c r="WBW28" s="234" t="e">
        <f>astrogrep_path&amp;" /e /r /s /spath="&amp;search_path&amp;" /stypes=""app*"&amp;WAS28&amp;"*"&amp;TEXT(WAZ28-utc_offset/24,"YYYYMMDD")&amp;"*"" /stext="" "&amp;TEXT(WAZ28-utc_offset/24,"HH")&amp;search_regexp&amp;""""</f>
        <v>#REF!</v>
      </c>
      <c r="WBX28" s="234" t="e">
        <f>astrogrep_path&amp;" /e /r /s /spath="&amp;search_path&amp;" /stypes=""app*"&amp;WAT28&amp;"*"&amp;TEXT(WBA28-utc_offset/24,"YYYYMMDD")&amp;"*"" /stext="" "&amp;TEXT(WBA28-utc_offset/24,"HH")&amp;search_regexp&amp;""""</f>
        <v>#REF!</v>
      </c>
      <c r="WBY28" s="234" t="e">
        <f>astrogrep_path&amp;" /e /r /s /spath="&amp;search_path&amp;" /stypes=""app*"&amp;WAU28&amp;"*"&amp;TEXT(WBB28-utc_offset/24,"YYYYMMDD")&amp;"*"" /stext="" "&amp;TEXT(WBB28-utc_offset/24,"HH")&amp;search_regexp&amp;""""</f>
        <v>#REF!</v>
      </c>
      <c r="WBZ28" s="234" t="e">
        <f>astrogrep_path&amp;" /e /r /s /spath="&amp;search_path&amp;" /stypes=""app*"&amp;WAV28&amp;"*"&amp;TEXT(WBC28-utc_offset/24,"YYYYMMDD")&amp;"*"" /stext="" "&amp;TEXT(WBC28-utc_offset/24,"HH")&amp;search_regexp&amp;""""</f>
        <v>#REF!</v>
      </c>
      <c r="WCA28" s="234" t="e">
        <f>astrogrep_path&amp;" /e /r /s /spath="&amp;search_path&amp;" /stypes=""app*"&amp;WAW28&amp;"*"&amp;TEXT(WBD28-utc_offset/24,"YYYYMMDD")&amp;"*"" /stext="" "&amp;TEXT(WBD28-utc_offset/24,"HH")&amp;search_regexp&amp;""""</f>
        <v>#REF!</v>
      </c>
      <c r="WCB28" s="234" t="e">
        <f>astrogrep_path&amp;" /e /r /s /spath="&amp;search_path&amp;" /stypes=""app*"&amp;WAX28&amp;"*"&amp;TEXT(WBE28-utc_offset/24,"YYYYMMDD")&amp;"*"" /stext="" "&amp;TEXT(WBE28-utc_offset/24,"HH")&amp;search_regexp&amp;""""</f>
        <v>#REF!</v>
      </c>
      <c r="WCC28" s="234" t="e">
        <f>astrogrep_path&amp;" /e /r /s /spath="&amp;search_path&amp;" /stypes=""app*"&amp;WAY28&amp;"*"&amp;TEXT(WBF28-utc_offset/24,"YYYYMMDD")&amp;"*"" /stext="" "&amp;TEXT(WBF28-utc_offset/24,"HH")&amp;search_regexp&amp;""""</f>
        <v>#REF!</v>
      </c>
      <c r="WCD28" s="234" t="e">
        <f>astrogrep_path&amp;" /e /r /s /spath="&amp;search_path&amp;" /stypes=""app*"&amp;WAZ28&amp;"*"&amp;TEXT(WBG28-utc_offset/24,"YYYYMMDD")&amp;"*"" /stext="" "&amp;TEXT(WBG28-utc_offset/24,"HH")&amp;search_regexp&amp;""""</f>
        <v>#REF!</v>
      </c>
      <c r="WCE28" s="234" t="e">
        <f>astrogrep_path&amp;" /e /r /s /spath="&amp;search_path&amp;" /stypes=""app*"&amp;WBA28&amp;"*"&amp;TEXT(WBH28-utc_offset/24,"YYYYMMDD")&amp;"*"" /stext="" "&amp;TEXT(WBH28-utc_offset/24,"HH")&amp;search_regexp&amp;""""</f>
        <v>#VALUE!</v>
      </c>
      <c r="WCF28" s="234" t="e">
        <f>astrogrep_path&amp;" /e /r /s /spath="&amp;search_path&amp;" /stypes=""app*"&amp;WBB28&amp;"*"&amp;TEXT(WBI28-utc_offset/24,"YYYYMMDD")&amp;"*"" /stext="" "&amp;TEXT(WBI28-utc_offset/24,"HH")&amp;search_regexp&amp;""""</f>
        <v>#VALUE!</v>
      </c>
      <c r="WCG28" s="234" t="e">
        <f>astrogrep_path&amp;" /e /r /s /spath="&amp;search_path&amp;" /stypes=""app*"&amp;WBC28&amp;"*"&amp;TEXT(WBJ28-utc_offset/24,"YYYYMMDD")&amp;"*"" /stext="" "&amp;TEXT(WBJ28-utc_offset/24,"HH")&amp;search_regexp&amp;""""</f>
        <v>#REF!</v>
      </c>
      <c r="WCH28" s="234" t="e">
        <f>astrogrep_path&amp;" /e /r /s /spath="&amp;search_path&amp;" /stypes=""app*"&amp;WBD28&amp;"*"&amp;TEXT(WBK28-utc_offset/24,"YYYYMMDD")&amp;"*"" /stext="" "&amp;TEXT(WBK28-utc_offset/24,"HH")&amp;search_regexp&amp;""""</f>
        <v>#REF!</v>
      </c>
      <c r="WCI28" s="234" t="e">
        <f>astrogrep_path&amp;" /e /r /s /spath="&amp;search_path&amp;" /stypes=""app*"&amp;WBE28&amp;"*"&amp;TEXT(WBL28-utc_offset/24,"YYYYMMDD")&amp;"*"" /stext="" "&amp;TEXT(WBL28-utc_offset/24,"HH")&amp;search_regexp&amp;""""</f>
        <v>#VALUE!</v>
      </c>
      <c r="WCJ28" s="234" t="e">
        <f>astrogrep_path&amp;" /e /r /s /spath="&amp;search_path&amp;" /stypes=""app*"&amp;WBF28&amp;"*"&amp;TEXT(WBM28-utc_offset/24,"YYYYMMDD")&amp;"*"" /stext="" "&amp;TEXT(WBM28-utc_offset/24,"HH")&amp;search_regexp&amp;""""</f>
        <v>#VALUE!</v>
      </c>
      <c r="WCK28" s="234" t="e">
        <f>astrogrep_path&amp;" /e /r /s /spath="&amp;search_path&amp;" /stypes=""app*"&amp;WBG28&amp;"*"&amp;TEXT(WBN28-utc_offset/24,"YYYYMMDD")&amp;"*"" /stext="" "&amp;TEXT(WBN28-utc_offset/24,"HH")&amp;search_regexp&amp;""""</f>
        <v>#VALUE!</v>
      </c>
      <c r="WCL28" s="234" t="e">
        <f>astrogrep_path&amp;" /e /r /s /spath="&amp;search_path&amp;" /stypes=""app*"&amp;WBH28&amp;"*"&amp;TEXT(WBO28-utc_offset/24,"YYYYMMDD")&amp;"*"" /stext="" "&amp;TEXT(WBO28-utc_offset/24,"HH")&amp;search_regexp&amp;""""</f>
        <v>#VALUE!</v>
      </c>
      <c r="WCM28" s="234" t="e">
        <f>astrogrep_path&amp;" /e /r /s /spath="&amp;search_path&amp;" /stypes=""app*"&amp;WBI28&amp;"*"&amp;TEXT(WBP28-utc_offset/24,"YYYYMMDD")&amp;"*"" /stext="" "&amp;TEXT(WBP28-utc_offset/24,"HH")&amp;search_regexp&amp;""""</f>
        <v>#VALUE!</v>
      </c>
      <c r="WCN28" s="234" t="e">
        <f>astrogrep_path&amp;" /e /r /s /spath="&amp;search_path&amp;" /stypes=""app*"&amp;WBJ28&amp;"*"&amp;TEXT(WBQ28-utc_offset/24,"YYYYMMDD")&amp;"*"" /stext="" "&amp;TEXT(WBQ28-utc_offset/24,"HH")&amp;search_regexp&amp;""""</f>
        <v>#REF!</v>
      </c>
      <c r="WCO28" s="234" t="e">
        <f>astrogrep_path&amp;" /e /r /s /spath="&amp;search_path&amp;" /stypes=""app*"&amp;WBK28&amp;"*"&amp;TEXT(WBR28-utc_offset/24,"YYYYMMDD")&amp;"*"" /stext="" "&amp;TEXT(WBR28-utc_offset/24,"HH")&amp;search_regexp&amp;""""</f>
        <v>#REF!</v>
      </c>
      <c r="WCP28" s="234" t="e">
        <f>astrogrep_path&amp;" /e /r /s /spath="&amp;search_path&amp;" /stypes=""app*"&amp;WBL28&amp;"*"&amp;TEXT(WBS28-utc_offset/24,"YYYYMMDD")&amp;"*"" /stext="" "&amp;TEXT(WBS28-utc_offset/24,"HH")&amp;search_regexp&amp;""""</f>
        <v>#REF!</v>
      </c>
      <c r="WCQ28" s="234" t="e">
        <f>astrogrep_path&amp;" /e /r /s /spath="&amp;search_path&amp;" /stypes=""app*"&amp;WBM28&amp;"*"&amp;TEXT(WBT28-utc_offset/24,"YYYYMMDD")&amp;"*"" /stext="" "&amp;TEXT(WBT28-utc_offset/24,"HH")&amp;search_regexp&amp;""""</f>
        <v>#REF!</v>
      </c>
      <c r="WCR28" s="234" t="e">
        <f>astrogrep_path&amp;" /e /r /s /spath="&amp;search_path&amp;" /stypes=""app*"&amp;WBN28&amp;"*"&amp;TEXT(WBU28-utc_offset/24,"YYYYMMDD")&amp;"*"" /stext="" "&amp;TEXT(WBU28-utc_offset/24,"HH")&amp;search_regexp&amp;""""</f>
        <v>#REF!</v>
      </c>
      <c r="WCS28" s="234" t="e">
        <f>astrogrep_path&amp;" /e /r /s /spath="&amp;search_path&amp;" /stypes=""app*"&amp;WBO28&amp;"*"&amp;TEXT(WBV28-utc_offset/24,"YYYYMMDD")&amp;"*"" /stext="" "&amp;TEXT(WBV28-utc_offset/24,"HH")&amp;search_regexp&amp;""""</f>
        <v>#REF!</v>
      </c>
      <c r="WCT28" s="234" t="e">
        <f>astrogrep_path&amp;" /e /r /s /spath="&amp;search_path&amp;" /stypes=""app*"&amp;WBP28&amp;"*"&amp;TEXT(WBW28-utc_offset/24,"YYYYMMDD")&amp;"*"" /stext="" "&amp;TEXT(WBW28-utc_offset/24,"HH")&amp;search_regexp&amp;""""</f>
        <v>#REF!</v>
      </c>
      <c r="WCU28" s="234" t="e">
        <f>astrogrep_path&amp;" /e /r /s /spath="&amp;search_path&amp;" /stypes=""app*"&amp;WBQ28&amp;"*"&amp;TEXT(WBX28-utc_offset/24,"YYYYMMDD")&amp;"*"" /stext="" "&amp;TEXT(WBX28-utc_offset/24,"HH")&amp;search_regexp&amp;""""</f>
        <v>#REF!</v>
      </c>
      <c r="WCV28" s="234" t="e">
        <f>astrogrep_path&amp;" /e /r /s /spath="&amp;search_path&amp;" /stypes=""app*"&amp;WBR28&amp;"*"&amp;TEXT(WBY28-utc_offset/24,"YYYYMMDD")&amp;"*"" /stext="" "&amp;TEXT(WBY28-utc_offset/24,"HH")&amp;search_regexp&amp;""""</f>
        <v>#REF!</v>
      </c>
      <c r="WCW28" s="234" t="e">
        <f>astrogrep_path&amp;" /e /r /s /spath="&amp;search_path&amp;" /stypes=""app*"&amp;WBS28&amp;"*"&amp;TEXT(WBZ28-utc_offset/24,"YYYYMMDD")&amp;"*"" /stext="" "&amp;TEXT(WBZ28-utc_offset/24,"HH")&amp;search_regexp&amp;""""</f>
        <v>#REF!</v>
      </c>
      <c r="WCX28" s="234" t="e">
        <f>astrogrep_path&amp;" /e /r /s /spath="&amp;search_path&amp;" /stypes=""app*"&amp;WBT28&amp;"*"&amp;TEXT(WCA28-utc_offset/24,"YYYYMMDD")&amp;"*"" /stext="" "&amp;TEXT(WCA28-utc_offset/24,"HH")&amp;search_regexp&amp;""""</f>
        <v>#REF!</v>
      </c>
      <c r="WCY28" s="234" t="e">
        <f>astrogrep_path&amp;" /e /r /s /spath="&amp;search_path&amp;" /stypes=""app*"&amp;WBU28&amp;"*"&amp;TEXT(WCB28-utc_offset/24,"YYYYMMDD")&amp;"*"" /stext="" "&amp;TEXT(WCB28-utc_offset/24,"HH")&amp;search_regexp&amp;""""</f>
        <v>#REF!</v>
      </c>
      <c r="WCZ28" s="234" t="e">
        <f>astrogrep_path&amp;" /e /r /s /spath="&amp;search_path&amp;" /stypes=""app*"&amp;WBV28&amp;"*"&amp;TEXT(WCC28-utc_offset/24,"YYYYMMDD")&amp;"*"" /stext="" "&amp;TEXT(WCC28-utc_offset/24,"HH")&amp;search_regexp&amp;""""</f>
        <v>#REF!</v>
      </c>
      <c r="WDA28" s="234" t="e">
        <f>astrogrep_path&amp;" /e /r /s /spath="&amp;search_path&amp;" /stypes=""app*"&amp;WBW28&amp;"*"&amp;TEXT(WCD28-utc_offset/24,"YYYYMMDD")&amp;"*"" /stext="" "&amp;TEXT(WCD28-utc_offset/24,"HH")&amp;search_regexp&amp;""""</f>
        <v>#REF!</v>
      </c>
      <c r="WDB28" s="234" t="e">
        <f>astrogrep_path&amp;" /e /r /s /spath="&amp;search_path&amp;" /stypes=""app*"&amp;WBX28&amp;"*"&amp;TEXT(WCE28-utc_offset/24,"YYYYMMDD")&amp;"*"" /stext="" "&amp;TEXT(WCE28-utc_offset/24,"HH")&amp;search_regexp&amp;""""</f>
        <v>#REF!</v>
      </c>
      <c r="WDC28" s="234" t="e">
        <f>astrogrep_path&amp;" /e /r /s /spath="&amp;search_path&amp;" /stypes=""app*"&amp;WBY28&amp;"*"&amp;TEXT(WCF28-utc_offset/24,"YYYYMMDD")&amp;"*"" /stext="" "&amp;TEXT(WCF28-utc_offset/24,"HH")&amp;search_regexp&amp;""""</f>
        <v>#REF!</v>
      </c>
      <c r="WDD28" s="234" t="e">
        <f>astrogrep_path&amp;" /e /r /s /spath="&amp;search_path&amp;" /stypes=""app*"&amp;WBZ28&amp;"*"&amp;TEXT(WCG28-utc_offset/24,"YYYYMMDD")&amp;"*"" /stext="" "&amp;TEXT(WCG28-utc_offset/24,"HH")&amp;search_regexp&amp;""""</f>
        <v>#REF!</v>
      </c>
      <c r="WDE28" s="234" t="e">
        <f>astrogrep_path&amp;" /e /r /s /spath="&amp;search_path&amp;" /stypes=""app*"&amp;WCA28&amp;"*"&amp;TEXT(WCH28-utc_offset/24,"YYYYMMDD")&amp;"*"" /stext="" "&amp;TEXT(WCH28-utc_offset/24,"HH")&amp;search_regexp&amp;""""</f>
        <v>#REF!</v>
      </c>
      <c r="WDF28" s="234" t="e">
        <f>astrogrep_path&amp;" /e /r /s /spath="&amp;search_path&amp;" /stypes=""app*"&amp;WCB28&amp;"*"&amp;TEXT(WCI28-utc_offset/24,"YYYYMMDD")&amp;"*"" /stext="" "&amp;TEXT(WCI28-utc_offset/24,"HH")&amp;search_regexp&amp;""""</f>
        <v>#REF!</v>
      </c>
      <c r="WDG28" s="234" t="e">
        <f>astrogrep_path&amp;" /e /r /s /spath="&amp;search_path&amp;" /stypes=""app*"&amp;WCC28&amp;"*"&amp;TEXT(WCJ28-utc_offset/24,"YYYYMMDD")&amp;"*"" /stext="" "&amp;TEXT(WCJ28-utc_offset/24,"HH")&amp;search_regexp&amp;""""</f>
        <v>#REF!</v>
      </c>
      <c r="WDH28" s="234" t="e">
        <f>astrogrep_path&amp;" /e /r /s /spath="&amp;search_path&amp;" /stypes=""app*"&amp;WCD28&amp;"*"&amp;TEXT(WCK28-utc_offset/24,"YYYYMMDD")&amp;"*"" /stext="" "&amp;TEXT(WCK28-utc_offset/24,"HH")&amp;search_regexp&amp;""""</f>
        <v>#REF!</v>
      </c>
      <c r="WDI28" s="234" t="e">
        <f>astrogrep_path&amp;" /e /r /s /spath="&amp;search_path&amp;" /stypes=""app*"&amp;WCE28&amp;"*"&amp;TEXT(WCL28-utc_offset/24,"YYYYMMDD")&amp;"*"" /stext="" "&amp;TEXT(WCL28-utc_offset/24,"HH")&amp;search_regexp&amp;""""</f>
        <v>#VALUE!</v>
      </c>
      <c r="WDJ28" s="234" t="e">
        <f>astrogrep_path&amp;" /e /r /s /spath="&amp;search_path&amp;" /stypes=""app*"&amp;WCF28&amp;"*"&amp;TEXT(WCM28-utc_offset/24,"YYYYMMDD")&amp;"*"" /stext="" "&amp;TEXT(WCM28-utc_offset/24,"HH")&amp;search_regexp&amp;""""</f>
        <v>#VALUE!</v>
      </c>
      <c r="WDK28" s="234" t="e">
        <f>astrogrep_path&amp;" /e /r /s /spath="&amp;search_path&amp;" /stypes=""app*"&amp;WCG28&amp;"*"&amp;TEXT(WCN28-utc_offset/24,"YYYYMMDD")&amp;"*"" /stext="" "&amp;TEXT(WCN28-utc_offset/24,"HH")&amp;search_regexp&amp;""""</f>
        <v>#REF!</v>
      </c>
      <c r="WDL28" s="234" t="e">
        <f>astrogrep_path&amp;" /e /r /s /spath="&amp;search_path&amp;" /stypes=""app*"&amp;WCH28&amp;"*"&amp;TEXT(WCO28-utc_offset/24,"YYYYMMDD")&amp;"*"" /stext="" "&amp;TEXT(WCO28-utc_offset/24,"HH")&amp;search_regexp&amp;""""</f>
        <v>#REF!</v>
      </c>
      <c r="WDM28" s="234" t="e">
        <f>astrogrep_path&amp;" /e /r /s /spath="&amp;search_path&amp;" /stypes=""app*"&amp;WCI28&amp;"*"&amp;TEXT(WCP28-utc_offset/24,"YYYYMMDD")&amp;"*"" /stext="" "&amp;TEXT(WCP28-utc_offset/24,"HH")&amp;search_regexp&amp;""""</f>
        <v>#VALUE!</v>
      </c>
      <c r="WDN28" s="234" t="e">
        <f>astrogrep_path&amp;" /e /r /s /spath="&amp;search_path&amp;" /stypes=""app*"&amp;WCJ28&amp;"*"&amp;TEXT(WCQ28-utc_offset/24,"YYYYMMDD")&amp;"*"" /stext="" "&amp;TEXT(WCQ28-utc_offset/24,"HH")&amp;search_regexp&amp;""""</f>
        <v>#VALUE!</v>
      </c>
      <c r="WDO28" s="234" t="e">
        <f>astrogrep_path&amp;" /e /r /s /spath="&amp;search_path&amp;" /stypes=""app*"&amp;WCK28&amp;"*"&amp;TEXT(WCR28-utc_offset/24,"YYYYMMDD")&amp;"*"" /stext="" "&amp;TEXT(WCR28-utc_offset/24,"HH")&amp;search_regexp&amp;""""</f>
        <v>#VALUE!</v>
      </c>
      <c r="WDP28" s="234" t="e">
        <f>astrogrep_path&amp;" /e /r /s /spath="&amp;search_path&amp;" /stypes=""app*"&amp;WCL28&amp;"*"&amp;TEXT(WCS28-utc_offset/24,"YYYYMMDD")&amp;"*"" /stext="" "&amp;TEXT(WCS28-utc_offset/24,"HH")&amp;search_regexp&amp;""""</f>
        <v>#VALUE!</v>
      </c>
      <c r="WDQ28" s="234" t="e">
        <f>astrogrep_path&amp;" /e /r /s /spath="&amp;search_path&amp;" /stypes=""app*"&amp;WCM28&amp;"*"&amp;TEXT(WCT28-utc_offset/24,"YYYYMMDD")&amp;"*"" /stext="" "&amp;TEXT(WCT28-utc_offset/24,"HH")&amp;search_regexp&amp;""""</f>
        <v>#VALUE!</v>
      </c>
      <c r="WDR28" s="234" t="e">
        <f>astrogrep_path&amp;" /e /r /s /spath="&amp;search_path&amp;" /stypes=""app*"&amp;WCN28&amp;"*"&amp;TEXT(WCU28-utc_offset/24,"YYYYMMDD")&amp;"*"" /stext="" "&amp;TEXT(WCU28-utc_offset/24,"HH")&amp;search_regexp&amp;""""</f>
        <v>#REF!</v>
      </c>
      <c r="WDS28" s="234" t="e">
        <f>astrogrep_path&amp;" /e /r /s /spath="&amp;search_path&amp;" /stypes=""app*"&amp;WCO28&amp;"*"&amp;TEXT(WCV28-utc_offset/24,"YYYYMMDD")&amp;"*"" /stext="" "&amp;TEXT(WCV28-utc_offset/24,"HH")&amp;search_regexp&amp;""""</f>
        <v>#REF!</v>
      </c>
      <c r="WDT28" s="234" t="e">
        <f>astrogrep_path&amp;" /e /r /s /spath="&amp;search_path&amp;" /stypes=""app*"&amp;WCP28&amp;"*"&amp;TEXT(WCW28-utc_offset/24,"YYYYMMDD")&amp;"*"" /stext="" "&amp;TEXT(WCW28-utc_offset/24,"HH")&amp;search_regexp&amp;""""</f>
        <v>#REF!</v>
      </c>
      <c r="WDU28" s="234" t="e">
        <f>astrogrep_path&amp;" /e /r /s /spath="&amp;search_path&amp;" /stypes=""app*"&amp;WCQ28&amp;"*"&amp;TEXT(WCX28-utc_offset/24,"YYYYMMDD")&amp;"*"" /stext="" "&amp;TEXT(WCX28-utc_offset/24,"HH")&amp;search_regexp&amp;""""</f>
        <v>#REF!</v>
      </c>
      <c r="WDV28" s="234" t="e">
        <f>astrogrep_path&amp;" /e /r /s /spath="&amp;search_path&amp;" /stypes=""app*"&amp;WCR28&amp;"*"&amp;TEXT(WCY28-utc_offset/24,"YYYYMMDD")&amp;"*"" /stext="" "&amp;TEXT(WCY28-utc_offset/24,"HH")&amp;search_regexp&amp;""""</f>
        <v>#REF!</v>
      </c>
      <c r="WDW28" s="234" t="e">
        <f>astrogrep_path&amp;" /e /r /s /spath="&amp;search_path&amp;" /stypes=""app*"&amp;WCS28&amp;"*"&amp;TEXT(WCZ28-utc_offset/24,"YYYYMMDD")&amp;"*"" /stext="" "&amp;TEXT(WCZ28-utc_offset/24,"HH")&amp;search_regexp&amp;""""</f>
        <v>#REF!</v>
      </c>
      <c r="WDX28" s="234" t="e">
        <f>astrogrep_path&amp;" /e /r /s /spath="&amp;search_path&amp;" /stypes=""app*"&amp;WCT28&amp;"*"&amp;TEXT(WDA28-utc_offset/24,"YYYYMMDD")&amp;"*"" /stext="" "&amp;TEXT(WDA28-utc_offset/24,"HH")&amp;search_regexp&amp;""""</f>
        <v>#REF!</v>
      </c>
      <c r="WDY28" s="234" t="e">
        <f>astrogrep_path&amp;" /e /r /s /spath="&amp;search_path&amp;" /stypes=""app*"&amp;WCU28&amp;"*"&amp;TEXT(WDB28-utc_offset/24,"YYYYMMDD")&amp;"*"" /stext="" "&amp;TEXT(WDB28-utc_offset/24,"HH")&amp;search_regexp&amp;""""</f>
        <v>#REF!</v>
      </c>
      <c r="WDZ28" s="234" t="e">
        <f>astrogrep_path&amp;" /e /r /s /spath="&amp;search_path&amp;" /stypes=""app*"&amp;WCV28&amp;"*"&amp;TEXT(WDC28-utc_offset/24,"YYYYMMDD")&amp;"*"" /stext="" "&amp;TEXT(WDC28-utc_offset/24,"HH")&amp;search_regexp&amp;""""</f>
        <v>#REF!</v>
      </c>
      <c r="WEA28" s="234" t="e">
        <f>astrogrep_path&amp;" /e /r /s /spath="&amp;search_path&amp;" /stypes=""app*"&amp;WCW28&amp;"*"&amp;TEXT(WDD28-utc_offset/24,"YYYYMMDD")&amp;"*"" /stext="" "&amp;TEXT(WDD28-utc_offset/24,"HH")&amp;search_regexp&amp;""""</f>
        <v>#REF!</v>
      </c>
      <c r="WEB28" s="234" t="e">
        <f>astrogrep_path&amp;" /e /r /s /spath="&amp;search_path&amp;" /stypes=""app*"&amp;WCX28&amp;"*"&amp;TEXT(WDE28-utc_offset/24,"YYYYMMDD")&amp;"*"" /stext="" "&amp;TEXT(WDE28-utc_offset/24,"HH")&amp;search_regexp&amp;""""</f>
        <v>#REF!</v>
      </c>
      <c r="WEC28" s="234" t="e">
        <f>astrogrep_path&amp;" /e /r /s /spath="&amp;search_path&amp;" /stypes=""app*"&amp;WCY28&amp;"*"&amp;TEXT(WDF28-utc_offset/24,"YYYYMMDD")&amp;"*"" /stext="" "&amp;TEXT(WDF28-utc_offset/24,"HH")&amp;search_regexp&amp;""""</f>
        <v>#REF!</v>
      </c>
      <c r="WED28" s="234" t="e">
        <f>astrogrep_path&amp;" /e /r /s /spath="&amp;search_path&amp;" /stypes=""app*"&amp;WCZ28&amp;"*"&amp;TEXT(WDG28-utc_offset/24,"YYYYMMDD")&amp;"*"" /stext="" "&amp;TEXT(WDG28-utc_offset/24,"HH")&amp;search_regexp&amp;""""</f>
        <v>#REF!</v>
      </c>
      <c r="WEE28" s="234" t="e">
        <f>astrogrep_path&amp;" /e /r /s /spath="&amp;search_path&amp;" /stypes=""app*"&amp;WDA28&amp;"*"&amp;TEXT(WDH28-utc_offset/24,"YYYYMMDD")&amp;"*"" /stext="" "&amp;TEXT(WDH28-utc_offset/24,"HH")&amp;search_regexp&amp;""""</f>
        <v>#REF!</v>
      </c>
      <c r="WEF28" s="234" t="e">
        <f>astrogrep_path&amp;" /e /r /s /spath="&amp;search_path&amp;" /stypes=""app*"&amp;WDB28&amp;"*"&amp;TEXT(WDI28-utc_offset/24,"YYYYMMDD")&amp;"*"" /stext="" "&amp;TEXT(WDI28-utc_offset/24,"HH")&amp;search_regexp&amp;""""</f>
        <v>#REF!</v>
      </c>
      <c r="WEG28" s="234" t="e">
        <f>astrogrep_path&amp;" /e /r /s /spath="&amp;search_path&amp;" /stypes=""app*"&amp;WDC28&amp;"*"&amp;TEXT(WDJ28-utc_offset/24,"YYYYMMDD")&amp;"*"" /stext="" "&amp;TEXT(WDJ28-utc_offset/24,"HH")&amp;search_regexp&amp;""""</f>
        <v>#REF!</v>
      </c>
      <c r="WEH28" s="234" t="e">
        <f>astrogrep_path&amp;" /e /r /s /spath="&amp;search_path&amp;" /stypes=""app*"&amp;WDD28&amp;"*"&amp;TEXT(WDK28-utc_offset/24,"YYYYMMDD")&amp;"*"" /stext="" "&amp;TEXT(WDK28-utc_offset/24,"HH")&amp;search_regexp&amp;""""</f>
        <v>#REF!</v>
      </c>
      <c r="WEI28" s="234" t="e">
        <f>astrogrep_path&amp;" /e /r /s /spath="&amp;search_path&amp;" /stypes=""app*"&amp;WDE28&amp;"*"&amp;TEXT(WDL28-utc_offset/24,"YYYYMMDD")&amp;"*"" /stext="" "&amp;TEXT(WDL28-utc_offset/24,"HH")&amp;search_regexp&amp;""""</f>
        <v>#REF!</v>
      </c>
      <c r="WEJ28" s="234" t="e">
        <f>astrogrep_path&amp;" /e /r /s /spath="&amp;search_path&amp;" /stypes=""app*"&amp;WDF28&amp;"*"&amp;TEXT(WDM28-utc_offset/24,"YYYYMMDD")&amp;"*"" /stext="" "&amp;TEXT(WDM28-utc_offset/24,"HH")&amp;search_regexp&amp;""""</f>
        <v>#REF!</v>
      </c>
      <c r="WEK28" s="234" t="e">
        <f>astrogrep_path&amp;" /e /r /s /spath="&amp;search_path&amp;" /stypes=""app*"&amp;WDG28&amp;"*"&amp;TEXT(WDN28-utc_offset/24,"YYYYMMDD")&amp;"*"" /stext="" "&amp;TEXT(WDN28-utc_offset/24,"HH")&amp;search_regexp&amp;""""</f>
        <v>#REF!</v>
      </c>
      <c r="WEL28" s="234" t="e">
        <f>astrogrep_path&amp;" /e /r /s /spath="&amp;search_path&amp;" /stypes=""app*"&amp;WDH28&amp;"*"&amp;TEXT(WDO28-utc_offset/24,"YYYYMMDD")&amp;"*"" /stext="" "&amp;TEXT(WDO28-utc_offset/24,"HH")&amp;search_regexp&amp;""""</f>
        <v>#REF!</v>
      </c>
      <c r="WEM28" s="234" t="e">
        <f>astrogrep_path&amp;" /e /r /s /spath="&amp;search_path&amp;" /stypes=""app*"&amp;WDI28&amp;"*"&amp;TEXT(WDP28-utc_offset/24,"YYYYMMDD")&amp;"*"" /stext="" "&amp;TEXT(WDP28-utc_offset/24,"HH")&amp;search_regexp&amp;""""</f>
        <v>#VALUE!</v>
      </c>
      <c r="WEN28" s="234" t="e">
        <f>astrogrep_path&amp;" /e /r /s /spath="&amp;search_path&amp;" /stypes=""app*"&amp;WDJ28&amp;"*"&amp;TEXT(WDQ28-utc_offset/24,"YYYYMMDD")&amp;"*"" /stext="" "&amp;TEXT(WDQ28-utc_offset/24,"HH")&amp;search_regexp&amp;""""</f>
        <v>#VALUE!</v>
      </c>
      <c r="WEO28" s="234" t="e">
        <f>astrogrep_path&amp;" /e /r /s /spath="&amp;search_path&amp;" /stypes=""app*"&amp;WDK28&amp;"*"&amp;TEXT(WDR28-utc_offset/24,"YYYYMMDD")&amp;"*"" /stext="" "&amp;TEXT(WDR28-utc_offset/24,"HH")&amp;search_regexp&amp;""""</f>
        <v>#REF!</v>
      </c>
      <c r="WEP28" s="234" t="e">
        <f>astrogrep_path&amp;" /e /r /s /spath="&amp;search_path&amp;" /stypes=""app*"&amp;WDL28&amp;"*"&amp;TEXT(WDS28-utc_offset/24,"YYYYMMDD")&amp;"*"" /stext="" "&amp;TEXT(WDS28-utc_offset/24,"HH")&amp;search_regexp&amp;""""</f>
        <v>#REF!</v>
      </c>
      <c r="WEQ28" s="234" t="e">
        <f>astrogrep_path&amp;" /e /r /s /spath="&amp;search_path&amp;" /stypes=""app*"&amp;WDM28&amp;"*"&amp;TEXT(WDT28-utc_offset/24,"YYYYMMDD")&amp;"*"" /stext="" "&amp;TEXT(WDT28-utc_offset/24,"HH")&amp;search_regexp&amp;""""</f>
        <v>#VALUE!</v>
      </c>
      <c r="WER28" s="234" t="e">
        <f>astrogrep_path&amp;" /e /r /s /spath="&amp;search_path&amp;" /stypes=""app*"&amp;WDN28&amp;"*"&amp;TEXT(WDU28-utc_offset/24,"YYYYMMDD")&amp;"*"" /stext="" "&amp;TEXT(WDU28-utc_offset/24,"HH")&amp;search_regexp&amp;""""</f>
        <v>#VALUE!</v>
      </c>
      <c r="WES28" s="234" t="e">
        <f>astrogrep_path&amp;" /e /r /s /spath="&amp;search_path&amp;" /stypes=""app*"&amp;WDO28&amp;"*"&amp;TEXT(WDV28-utc_offset/24,"YYYYMMDD")&amp;"*"" /stext="" "&amp;TEXT(WDV28-utc_offset/24,"HH")&amp;search_regexp&amp;""""</f>
        <v>#VALUE!</v>
      </c>
      <c r="WET28" s="234" t="e">
        <f>astrogrep_path&amp;" /e /r /s /spath="&amp;search_path&amp;" /stypes=""app*"&amp;WDP28&amp;"*"&amp;TEXT(WDW28-utc_offset/24,"YYYYMMDD")&amp;"*"" /stext="" "&amp;TEXT(WDW28-utc_offset/24,"HH")&amp;search_regexp&amp;""""</f>
        <v>#VALUE!</v>
      </c>
      <c r="WEU28" s="234" t="e">
        <f>astrogrep_path&amp;" /e /r /s /spath="&amp;search_path&amp;" /stypes=""app*"&amp;WDQ28&amp;"*"&amp;TEXT(WDX28-utc_offset/24,"YYYYMMDD")&amp;"*"" /stext="" "&amp;TEXT(WDX28-utc_offset/24,"HH")&amp;search_regexp&amp;""""</f>
        <v>#VALUE!</v>
      </c>
      <c r="WEV28" s="234" t="e">
        <f>astrogrep_path&amp;" /e /r /s /spath="&amp;search_path&amp;" /stypes=""app*"&amp;WDR28&amp;"*"&amp;TEXT(WDY28-utc_offset/24,"YYYYMMDD")&amp;"*"" /stext="" "&amp;TEXT(WDY28-utc_offset/24,"HH")&amp;search_regexp&amp;""""</f>
        <v>#REF!</v>
      </c>
      <c r="WEW28" s="234" t="e">
        <f>astrogrep_path&amp;" /e /r /s /spath="&amp;search_path&amp;" /stypes=""app*"&amp;WDS28&amp;"*"&amp;TEXT(WDZ28-utc_offset/24,"YYYYMMDD")&amp;"*"" /stext="" "&amp;TEXT(WDZ28-utc_offset/24,"HH")&amp;search_regexp&amp;""""</f>
        <v>#REF!</v>
      </c>
      <c r="WEX28" s="234" t="e">
        <f>astrogrep_path&amp;" /e /r /s /spath="&amp;search_path&amp;" /stypes=""app*"&amp;WDT28&amp;"*"&amp;TEXT(WEA28-utc_offset/24,"YYYYMMDD")&amp;"*"" /stext="" "&amp;TEXT(WEA28-utc_offset/24,"HH")&amp;search_regexp&amp;""""</f>
        <v>#REF!</v>
      </c>
      <c r="WEY28" s="234" t="e">
        <f>astrogrep_path&amp;" /e /r /s /spath="&amp;search_path&amp;" /stypes=""app*"&amp;WDU28&amp;"*"&amp;TEXT(WEB28-utc_offset/24,"YYYYMMDD")&amp;"*"" /stext="" "&amp;TEXT(WEB28-utc_offset/24,"HH")&amp;search_regexp&amp;""""</f>
        <v>#REF!</v>
      </c>
      <c r="WEZ28" s="234" t="e">
        <f>astrogrep_path&amp;" /e /r /s /spath="&amp;search_path&amp;" /stypes=""app*"&amp;WDV28&amp;"*"&amp;TEXT(WEC28-utc_offset/24,"YYYYMMDD")&amp;"*"" /stext="" "&amp;TEXT(WEC28-utc_offset/24,"HH")&amp;search_regexp&amp;""""</f>
        <v>#REF!</v>
      </c>
      <c r="WFA28" s="234" t="e">
        <f>astrogrep_path&amp;" /e /r /s /spath="&amp;search_path&amp;" /stypes=""app*"&amp;WDW28&amp;"*"&amp;TEXT(WED28-utc_offset/24,"YYYYMMDD")&amp;"*"" /stext="" "&amp;TEXT(WED28-utc_offset/24,"HH")&amp;search_regexp&amp;""""</f>
        <v>#REF!</v>
      </c>
      <c r="WFB28" s="234" t="e">
        <f>astrogrep_path&amp;" /e /r /s /spath="&amp;search_path&amp;" /stypes=""app*"&amp;WDX28&amp;"*"&amp;TEXT(WEE28-utc_offset/24,"YYYYMMDD")&amp;"*"" /stext="" "&amp;TEXT(WEE28-utc_offset/24,"HH")&amp;search_regexp&amp;""""</f>
        <v>#REF!</v>
      </c>
      <c r="WFC28" s="234" t="e">
        <f>astrogrep_path&amp;" /e /r /s /spath="&amp;search_path&amp;" /stypes=""app*"&amp;WDY28&amp;"*"&amp;TEXT(WEF28-utc_offset/24,"YYYYMMDD")&amp;"*"" /stext="" "&amp;TEXT(WEF28-utc_offset/24,"HH")&amp;search_regexp&amp;""""</f>
        <v>#REF!</v>
      </c>
      <c r="WFD28" s="234" t="e">
        <f>astrogrep_path&amp;" /e /r /s /spath="&amp;search_path&amp;" /stypes=""app*"&amp;WDZ28&amp;"*"&amp;TEXT(WEG28-utc_offset/24,"YYYYMMDD")&amp;"*"" /stext="" "&amp;TEXT(WEG28-utc_offset/24,"HH")&amp;search_regexp&amp;""""</f>
        <v>#REF!</v>
      </c>
      <c r="WFE28" s="234" t="e">
        <f>astrogrep_path&amp;" /e /r /s /spath="&amp;search_path&amp;" /stypes=""app*"&amp;WEA28&amp;"*"&amp;TEXT(WEH28-utc_offset/24,"YYYYMMDD")&amp;"*"" /stext="" "&amp;TEXT(WEH28-utc_offset/24,"HH")&amp;search_regexp&amp;""""</f>
        <v>#REF!</v>
      </c>
      <c r="WFF28" s="234" t="e">
        <f>astrogrep_path&amp;" /e /r /s /spath="&amp;search_path&amp;" /stypes=""app*"&amp;WEB28&amp;"*"&amp;TEXT(WEI28-utc_offset/24,"YYYYMMDD")&amp;"*"" /stext="" "&amp;TEXT(WEI28-utc_offset/24,"HH")&amp;search_regexp&amp;""""</f>
        <v>#REF!</v>
      </c>
      <c r="WFG28" s="234" t="e">
        <f>astrogrep_path&amp;" /e /r /s /spath="&amp;search_path&amp;" /stypes=""app*"&amp;WEC28&amp;"*"&amp;TEXT(WEJ28-utc_offset/24,"YYYYMMDD")&amp;"*"" /stext="" "&amp;TEXT(WEJ28-utc_offset/24,"HH")&amp;search_regexp&amp;""""</f>
        <v>#REF!</v>
      </c>
      <c r="WFH28" s="234" t="e">
        <f>astrogrep_path&amp;" /e /r /s /spath="&amp;search_path&amp;" /stypes=""app*"&amp;WED28&amp;"*"&amp;TEXT(WEK28-utc_offset/24,"YYYYMMDD")&amp;"*"" /stext="" "&amp;TEXT(WEK28-utc_offset/24,"HH")&amp;search_regexp&amp;""""</f>
        <v>#REF!</v>
      </c>
      <c r="WFI28" s="234" t="e">
        <f>astrogrep_path&amp;" /e /r /s /spath="&amp;search_path&amp;" /stypes=""app*"&amp;WEE28&amp;"*"&amp;TEXT(WEL28-utc_offset/24,"YYYYMMDD")&amp;"*"" /stext="" "&amp;TEXT(WEL28-utc_offset/24,"HH")&amp;search_regexp&amp;""""</f>
        <v>#REF!</v>
      </c>
      <c r="WFJ28" s="234" t="e">
        <f>astrogrep_path&amp;" /e /r /s /spath="&amp;search_path&amp;" /stypes=""app*"&amp;WEF28&amp;"*"&amp;TEXT(WEM28-utc_offset/24,"YYYYMMDD")&amp;"*"" /stext="" "&amp;TEXT(WEM28-utc_offset/24,"HH")&amp;search_regexp&amp;""""</f>
        <v>#REF!</v>
      </c>
      <c r="WFK28" s="234" t="e">
        <f>astrogrep_path&amp;" /e /r /s /spath="&amp;search_path&amp;" /stypes=""app*"&amp;WEG28&amp;"*"&amp;TEXT(WEN28-utc_offset/24,"YYYYMMDD")&amp;"*"" /stext="" "&amp;TEXT(WEN28-utc_offset/24,"HH")&amp;search_regexp&amp;""""</f>
        <v>#REF!</v>
      </c>
      <c r="WFL28" s="234" t="e">
        <f>astrogrep_path&amp;" /e /r /s /spath="&amp;search_path&amp;" /stypes=""app*"&amp;WEH28&amp;"*"&amp;TEXT(WEO28-utc_offset/24,"YYYYMMDD")&amp;"*"" /stext="" "&amp;TEXT(WEO28-utc_offset/24,"HH")&amp;search_regexp&amp;""""</f>
        <v>#REF!</v>
      </c>
      <c r="WFM28" s="234" t="e">
        <f>astrogrep_path&amp;" /e /r /s /spath="&amp;search_path&amp;" /stypes=""app*"&amp;WEI28&amp;"*"&amp;TEXT(WEP28-utc_offset/24,"YYYYMMDD")&amp;"*"" /stext="" "&amp;TEXT(WEP28-utc_offset/24,"HH")&amp;search_regexp&amp;""""</f>
        <v>#REF!</v>
      </c>
      <c r="WFN28" s="234" t="e">
        <f>astrogrep_path&amp;" /e /r /s /spath="&amp;search_path&amp;" /stypes=""app*"&amp;WEJ28&amp;"*"&amp;TEXT(WEQ28-utc_offset/24,"YYYYMMDD")&amp;"*"" /stext="" "&amp;TEXT(WEQ28-utc_offset/24,"HH")&amp;search_regexp&amp;""""</f>
        <v>#REF!</v>
      </c>
      <c r="WFO28" s="234" t="e">
        <f>astrogrep_path&amp;" /e /r /s /spath="&amp;search_path&amp;" /stypes=""app*"&amp;WEK28&amp;"*"&amp;TEXT(WER28-utc_offset/24,"YYYYMMDD")&amp;"*"" /stext="" "&amp;TEXT(WER28-utc_offset/24,"HH")&amp;search_regexp&amp;""""</f>
        <v>#REF!</v>
      </c>
      <c r="WFP28" s="234" t="e">
        <f>astrogrep_path&amp;" /e /r /s /spath="&amp;search_path&amp;" /stypes=""app*"&amp;WEL28&amp;"*"&amp;TEXT(WES28-utc_offset/24,"YYYYMMDD")&amp;"*"" /stext="" "&amp;TEXT(WES28-utc_offset/24,"HH")&amp;search_regexp&amp;""""</f>
        <v>#REF!</v>
      </c>
      <c r="WFQ28" s="234" t="e">
        <f>astrogrep_path&amp;" /e /r /s /spath="&amp;search_path&amp;" /stypes=""app*"&amp;WEM28&amp;"*"&amp;TEXT(WET28-utc_offset/24,"YYYYMMDD")&amp;"*"" /stext="" "&amp;TEXT(WET28-utc_offset/24,"HH")&amp;search_regexp&amp;""""</f>
        <v>#VALUE!</v>
      </c>
      <c r="WFR28" s="234" t="e">
        <f>astrogrep_path&amp;" /e /r /s /spath="&amp;search_path&amp;" /stypes=""app*"&amp;WEN28&amp;"*"&amp;TEXT(WEU28-utc_offset/24,"YYYYMMDD")&amp;"*"" /stext="" "&amp;TEXT(WEU28-utc_offset/24,"HH")&amp;search_regexp&amp;""""</f>
        <v>#VALUE!</v>
      </c>
      <c r="WFS28" s="234" t="e">
        <f>astrogrep_path&amp;" /e /r /s /spath="&amp;search_path&amp;" /stypes=""app*"&amp;WEO28&amp;"*"&amp;TEXT(WEV28-utc_offset/24,"YYYYMMDD")&amp;"*"" /stext="" "&amp;TEXT(WEV28-utc_offset/24,"HH")&amp;search_regexp&amp;""""</f>
        <v>#REF!</v>
      </c>
      <c r="WFT28" s="234" t="e">
        <f>astrogrep_path&amp;" /e /r /s /spath="&amp;search_path&amp;" /stypes=""app*"&amp;WEP28&amp;"*"&amp;TEXT(WEW28-utc_offset/24,"YYYYMMDD")&amp;"*"" /stext="" "&amp;TEXT(WEW28-utc_offset/24,"HH")&amp;search_regexp&amp;""""</f>
        <v>#REF!</v>
      </c>
      <c r="WFU28" s="234" t="e">
        <f>astrogrep_path&amp;" /e /r /s /spath="&amp;search_path&amp;" /stypes=""app*"&amp;WEQ28&amp;"*"&amp;TEXT(WEX28-utc_offset/24,"YYYYMMDD")&amp;"*"" /stext="" "&amp;TEXT(WEX28-utc_offset/24,"HH")&amp;search_regexp&amp;""""</f>
        <v>#VALUE!</v>
      </c>
      <c r="WFV28" s="234" t="e">
        <f>astrogrep_path&amp;" /e /r /s /spath="&amp;search_path&amp;" /stypes=""app*"&amp;WER28&amp;"*"&amp;TEXT(WEY28-utc_offset/24,"YYYYMMDD")&amp;"*"" /stext="" "&amp;TEXT(WEY28-utc_offset/24,"HH")&amp;search_regexp&amp;""""</f>
        <v>#VALUE!</v>
      </c>
      <c r="WFW28" s="234" t="e">
        <f>astrogrep_path&amp;" /e /r /s /spath="&amp;search_path&amp;" /stypes=""app*"&amp;WES28&amp;"*"&amp;TEXT(WEZ28-utc_offset/24,"YYYYMMDD")&amp;"*"" /stext="" "&amp;TEXT(WEZ28-utc_offset/24,"HH")&amp;search_regexp&amp;""""</f>
        <v>#VALUE!</v>
      </c>
      <c r="WFX28" s="234" t="e">
        <f>astrogrep_path&amp;" /e /r /s /spath="&amp;search_path&amp;" /stypes=""app*"&amp;WET28&amp;"*"&amp;TEXT(WFA28-utc_offset/24,"YYYYMMDD")&amp;"*"" /stext="" "&amp;TEXT(WFA28-utc_offset/24,"HH")&amp;search_regexp&amp;""""</f>
        <v>#VALUE!</v>
      </c>
      <c r="WFY28" s="234" t="e">
        <f>astrogrep_path&amp;" /e /r /s /spath="&amp;search_path&amp;" /stypes=""app*"&amp;WEU28&amp;"*"&amp;TEXT(WFB28-utc_offset/24,"YYYYMMDD")&amp;"*"" /stext="" "&amp;TEXT(WFB28-utc_offset/24,"HH")&amp;search_regexp&amp;""""</f>
        <v>#VALUE!</v>
      </c>
      <c r="WFZ28" s="234" t="e">
        <f>astrogrep_path&amp;" /e /r /s /spath="&amp;search_path&amp;" /stypes=""app*"&amp;WEV28&amp;"*"&amp;TEXT(WFC28-utc_offset/24,"YYYYMMDD")&amp;"*"" /stext="" "&amp;TEXT(WFC28-utc_offset/24,"HH")&amp;search_regexp&amp;""""</f>
        <v>#REF!</v>
      </c>
      <c r="WGA28" s="234" t="e">
        <f>astrogrep_path&amp;" /e /r /s /spath="&amp;search_path&amp;" /stypes=""app*"&amp;WEW28&amp;"*"&amp;TEXT(WFD28-utc_offset/24,"YYYYMMDD")&amp;"*"" /stext="" "&amp;TEXT(WFD28-utc_offset/24,"HH")&amp;search_regexp&amp;""""</f>
        <v>#REF!</v>
      </c>
      <c r="WGB28" s="234" t="e">
        <f>astrogrep_path&amp;" /e /r /s /spath="&amp;search_path&amp;" /stypes=""app*"&amp;WEX28&amp;"*"&amp;TEXT(WFE28-utc_offset/24,"YYYYMMDD")&amp;"*"" /stext="" "&amp;TEXT(WFE28-utc_offset/24,"HH")&amp;search_regexp&amp;""""</f>
        <v>#REF!</v>
      </c>
      <c r="WGC28" s="234" t="e">
        <f>astrogrep_path&amp;" /e /r /s /spath="&amp;search_path&amp;" /stypes=""app*"&amp;WEY28&amp;"*"&amp;TEXT(WFF28-utc_offset/24,"YYYYMMDD")&amp;"*"" /stext="" "&amp;TEXT(WFF28-utc_offset/24,"HH")&amp;search_regexp&amp;""""</f>
        <v>#REF!</v>
      </c>
      <c r="WGD28" s="234" t="e">
        <f>astrogrep_path&amp;" /e /r /s /spath="&amp;search_path&amp;" /stypes=""app*"&amp;WEZ28&amp;"*"&amp;TEXT(WFG28-utc_offset/24,"YYYYMMDD")&amp;"*"" /stext="" "&amp;TEXT(WFG28-utc_offset/24,"HH")&amp;search_regexp&amp;""""</f>
        <v>#REF!</v>
      </c>
      <c r="WGE28" s="234" t="e">
        <f>astrogrep_path&amp;" /e /r /s /spath="&amp;search_path&amp;" /stypes=""app*"&amp;WFA28&amp;"*"&amp;TEXT(WFH28-utc_offset/24,"YYYYMMDD")&amp;"*"" /stext="" "&amp;TEXT(WFH28-utc_offset/24,"HH")&amp;search_regexp&amp;""""</f>
        <v>#REF!</v>
      </c>
      <c r="WGF28" s="234" t="e">
        <f>astrogrep_path&amp;" /e /r /s /spath="&amp;search_path&amp;" /stypes=""app*"&amp;WFB28&amp;"*"&amp;TEXT(WFI28-utc_offset/24,"YYYYMMDD")&amp;"*"" /stext="" "&amp;TEXT(WFI28-utc_offset/24,"HH")&amp;search_regexp&amp;""""</f>
        <v>#REF!</v>
      </c>
      <c r="WGG28" s="234" t="e">
        <f>astrogrep_path&amp;" /e /r /s /spath="&amp;search_path&amp;" /stypes=""app*"&amp;WFC28&amp;"*"&amp;TEXT(WFJ28-utc_offset/24,"YYYYMMDD")&amp;"*"" /stext="" "&amp;TEXT(WFJ28-utc_offset/24,"HH")&amp;search_regexp&amp;""""</f>
        <v>#REF!</v>
      </c>
      <c r="WGH28" s="234" t="e">
        <f>astrogrep_path&amp;" /e /r /s /spath="&amp;search_path&amp;" /stypes=""app*"&amp;WFD28&amp;"*"&amp;TEXT(WFK28-utc_offset/24,"YYYYMMDD")&amp;"*"" /stext="" "&amp;TEXT(WFK28-utc_offset/24,"HH")&amp;search_regexp&amp;""""</f>
        <v>#REF!</v>
      </c>
      <c r="WGI28" s="234" t="e">
        <f>astrogrep_path&amp;" /e /r /s /spath="&amp;search_path&amp;" /stypes=""app*"&amp;WFE28&amp;"*"&amp;TEXT(WFL28-utc_offset/24,"YYYYMMDD")&amp;"*"" /stext="" "&amp;TEXT(WFL28-utc_offset/24,"HH")&amp;search_regexp&amp;""""</f>
        <v>#REF!</v>
      </c>
      <c r="WGJ28" s="234" t="e">
        <f>astrogrep_path&amp;" /e /r /s /spath="&amp;search_path&amp;" /stypes=""app*"&amp;WFF28&amp;"*"&amp;TEXT(WFM28-utc_offset/24,"YYYYMMDD")&amp;"*"" /stext="" "&amp;TEXT(WFM28-utc_offset/24,"HH")&amp;search_regexp&amp;""""</f>
        <v>#REF!</v>
      </c>
      <c r="WGK28" s="234" t="e">
        <f>astrogrep_path&amp;" /e /r /s /spath="&amp;search_path&amp;" /stypes=""app*"&amp;WFG28&amp;"*"&amp;TEXT(WFN28-utc_offset/24,"YYYYMMDD")&amp;"*"" /stext="" "&amp;TEXT(WFN28-utc_offset/24,"HH")&amp;search_regexp&amp;""""</f>
        <v>#REF!</v>
      </c>
      <c r="WGL28" s="234" t="e">
        <f>astrogrep_path&amp;" /e /r /s /spath="&amp;search_path&amp;" /stypes=""app*"&amp;WFH28&amp;"*"&amp;TEXT(WFO28-utc_offset/24,"YYYYMMDD")&amp;"*"" /stext="" "&amp;TEXT(WFO28-utc_offset/24,"HH")&amp;search_regexp&amp;""""</f>
        <v>#REF!</v>
      </c>
      <c r="WGM28" s="234" t="e">
        <f>astrogrep_path&amp;" /e /r /s /spath="&amp;search_path&amp;" /stypes=""app*"&amp;WFI28&amp;"*"&amp;TEXT(WFP28-utc_offset/24,"YYYYMMDD")&amp;"*"" /stext="" "&amp;TEXT(WFP28-utc_offset/24,"HH")&amp;search_regexp&amp;""""</f>
        <v>#REF!</v>
      </c>
      <c r="WGN28" s="234" t="e">
        <f>astrogrep_path&amp;" /e /r /s /spath="&amp;search_path&amp;" /stypes=""app*"&amp;WFJ28&amp;"*"&amp;TEXT(WFQ28-utc_offset/24,"YYYYMMDD")&amp;"*"" /stext="" "&amp;TEXT(WFQ28-utc_offset/24,"HH")&amp;search_regexp&amp;""""</f>
        <v>#REF!</v>
      </c>
      <c r="WGO28" s="234" t="e">
        <f>astrogrep_path&amp;" /e /r /s /spath="&amp;search_path&amp;" /stypes=""app*"&amp;WFK28&amp;"*"&amp;TEXT(WFR28-utc_offset/24,"YYYYMMDD")&amp;"*"" /stext="" "&amp;TEXT(WFR28-utc_offset/24,"HH")&amp;search_regexp&amp;""""</f>
        <v>#REF!</v>
      </c>
      <c r="WGP28" s="234" t="e">
        <f>astrogrep_path&amp;" /e /r /s /spath="&amp;search_path&amp;" /stypes=""app*"&amp;WFL28&amp;"*"&amp;TEXT(WFS28-utc_offset/24,"YYYYMMDD")&amp;"*"" /stext="" "&amp;TEXT(WFS28-utc_offset/24,"HH")&amp;search_regexp&amp;""""</f>
        <v>#REF!</v>
      </c>
      <c r="WGQ28" s="234" t="e">
        <f>astrogrep_path&amp;" /e /r /s /spath="&amp;search_path&amp;" /stypes=""app*"&amp;WFM28&amp;"*"&amp;TEXT(WFT28-utc_offset/24,"YYYYMMDD")&amp;"*"" /stext="" "&amp;TEXT(WFT28-utc_offset/24,"HH")&amp;search_regexp&amp;""""</f>
        <v>#REF!</v>
      </c>
      <c r="WGR28" s="234" t="e">
        <f>astrogrep_path&amp;" /e /r /s /spath="&amp;search_path&amp;" /stypes=""app*"&amp;WFN28&amp;"*"&amp;TEXT(WFU28-utc_offset/24,"YYYYMMDD")&amp;"*"" /stext="" "&amp;TEXT(WFU28-utc_offset/24,"HH")&amp;search_regexp&amp;""""</f>
        <v>#REF!</v>
      </c>
      <c r="WGS28" s="234" t="e">
        <f>astrogrep_path&amp;" /e /r /s /spath="&amp;search_path&amp;" /stypes=""app*"&amp;WFO28&amp;"*"&amp;TEXT(WFV28-utc_offset/24,"YYYYMMDD")&amp;"*"" /stext="" "&amp;TEXT(WFV28-utc_offset/24,"HH")&amp;search_regexp&amp;""""</f>
        <v>#REF!</v>
      </c>
      <c r="WGT28" s="234" t="e">
        <f>astrogrep_path&amp;" /e /r /s /spath="&amp;search_path&amp;" /stypes=""app*"&amp;WFP28&amp;"*"&amp;TEXT(WFW28-utc_offset/24,"YYYYMMDD")&amp;"*"" /stext="" "&amp;TEXT(WFW28-utc_offset/24,"HH")&amp;search_regexp&amp;""""</f>
        <v>#REF!</v>
      </c>
      <c r="WGU28" s="234" t="e">
        <f>astrogrep_path&amp;" /e /r /s /spath="&amp;search_path&amp;" /stypes=""app*"&amp;WFQ28&amp;"*"&amp;TEXT(WFX28-utc_offset/24,"YYYYMMDD")&amp;"*"" /stext="" "&amp;TEXT(WFX28-utc_offset/24,"HH")&amp;search_regexp&amp;""""</f>
        <v>#VALUE!</v>
      </c>
      <c r="WGV28" s="234" t="e">
        <f>astrogrep_path&amp;" /e /r /s /spath="&amp;search_path&amp;" /stypes=""app*"&amp;WFR28&amp;"*"&amp;TEXT(WFY28-utc_offset/24,"YYYYMMDD")&amp;"*"" /stext="" "&amp;TEXT(WFY28-utc_offset/24,"HH")&amp;search_regexp&amp;""""</f>
        <v>#VALUE!</v>
      </c>
      <c r="WGW28" s="234" t="e">
        <f>astrogrep_path&amp;" /e /r /s /spath="&amp;search_path&amp;" /stypes=""app*"&amp;WFS28&amp;"*"&amp;TEXT(WFZ28-utc_offset/24,"YYYYMMDD")&amp;"*"" /stext="" "&amp;TEXT(WFZ28-utc_offset/24,"HH")&amp;search_regexp&amp;""""</f>
        <v>#REF!</v>
      </c>
      <c r="WGX28" s="234" t="e">
        <f>astrogrep_path&amp;" /e /r /s /spath="&amp;search_path&amp;" /stypes=""app*"&amp;WFT28&amp;"*"&amp;TEXT(WGA28-utc_offset/24,"YYYYMMDD")&amp;"*"" /stext="" "&amp;TEXT(WGA28-utc_offset/24,"HH")&amp;search_regexp&amp;""""</f>
        <v>#REF!</v>
      </c>
      <c r="WGY28" s="234" t="e">
        <f>astrogrep_path&amp;" /e /r /s /spath="&amp;search_path&amp;" /stypes=""app*"&amp;WFU28&amp;"*"&amp;TEXT(WGB28-utc_offset/24,"YYYYMMDD")&amp;"*"" /stext="" "&amp;TEXT(WGB28-utc_offset/24,"HH")&amp;search_regexp&amp;""""</f>
        <v>#VALUE!</v>
      </c>
      <c r="WGZ28" s="234" t="e">
        <f>astrogrep_path&amp;" /e /r /s /spath="&amp;search_path&amp;" /stypes=""app*"&amp;WFV28&amp;"*"&amp;TEXT(WGC28-utc_offset/24,"YYYYMMDD")&amp;"*"" /stext="" "&amp;TEXT(WGC28-utc_offset/24,"HH")&amp;search_regexp&amp;""""</f>
        <v>#VALUE!</v>
      </c>
      <c r="WHA28" s="234" t="e">
        <f>astrogrep_path&amp;" /e /r /s /spath="&amp;search_path&amp;" /stypes=""app*"&amp;WFW28&amp;"*"&amp;TEXT(WGD28-utc_offset/24,"YYYYMMDD")&amp;"*"" /stext="" "&amp;TEXT(WGD28-utc_offset/24,"HH")&amp;search_regexp&amp;""""</f>
        <v>#VALUE!</v>
      </c>
      <c r="WHB28" s="234" t="e">
        <f>astrogrep_path&amp;" /e /r /s /spath="&amp;search_path&amp;" /stypes=""app*"&amp;WFX28&amp;"*"&amp;TEXT(WGE28-utc_offset/24,"YYYYMMDD")&amp;"*"" /stext="" "&amp;TEXT(WGE28-utc_offset/24,"HH")&amp;search_regexp&amp;""""</f>
        <v>#VALUE!</v>
      </c>
      <c r="WHC28" s="234" t="e">
        <f>astrogrep_path&amp;" /e /r /s /spath="&amp;search_path&amp;" /stypes=""app*"&amp;WFY28&amp;"*"&amp;TEXT(WGF28-utc_offset/24,"YYYYMMDD")&amp;"*"" /stext="" "&amp;TEXT(WGF28-utc_offset/24,"HH")&amp;search_regexp&amp;""""</f>
        <v>#VALUE!</v>
      </c>
      <c r="WHD28" s="234" t="e">
        <f>astrogrep_path&amp;" /e /r /s /spath="&amp;search_path&amp;" /stypes=""app*"&amp;WFZ28&amp;"*"&amp;TEXT(WGG28-utc_offset/24,"YYYYMMDD")&amp;"*"" /stext="" "&amp;TEXT(WGG28-utc_offset/24,"HH")&amp;search_regexp&amp;""""</f>
        <v>#REF!</v>
      </c>
      <c r="WHE28" s="234" t="e">
        <f>astrogrep_path&amp;" /e /r /s /spath="&amp;search_path&amp;" /stypes=""app*"&amp;WGA28&amp;"*"&amp;TEXT(WGH28-utc_offset/24,"YYYYMMDD")&amp;"*"" /stext="" "&amp;TEXT(WGH28-utc_offset/24,"HH")&amp;search_regexp&amp;""""</f>
        <v>#REF!</v>
      </c>
      <c r="WHF28" s="234" t="e">
        <f>astrogrep_path&amp;" /e /r /s /spath="&amp;search_path&amp;" /stypes=""app*"&amp;WGB28&amp;"*"&amp;TEXT(WGI28-utc_offset/24,"YYYYMMDD")&amp;"*"" /stext="" "&amp;TEXT(WGI28-utc_offset/24,"HH")&amp;search_regexp&amp;""""</f>
        <v>#REF!</v>
      </c>
      <c r="WHG28" s="234" t="e">
        <f>astrogrep_path&amp;" /e /r /s /spath="&amp;search_path&amp;" /stypes=""app*"&amp;WGC28&amp;"*"&amp;TEXT(WGJ28-utc_offset/24,"YYYYMMDD")&amp;"*"" /stext="" "&amp;TEXT(WGJ28-utc_offset/24,"HH")&amp;search_regexp&amp;""""</f>
        <v>#REF!</v>
      </c>
      <c r="WHH28" s="234" t="e">
        <f>astrogrep_path&amp;" /e /r /s /spath="&amp;search_path&amp;" /stypes=""app*"&amp;WGD28&amp;"*"&amp;TEXT(WGK28-utc_offset/24,"YYYYMMDD")&amp;"*"" /stext="" "&amp;TEXT(WGK28-utc_offset/24,"HH")&amp;search_regexp&amp;""""</f>
        <v>#REF!</v>
      </c>
      <c r="WHI28" s="234" t="e">
        <f>astrogrep_path&amp;" /e /r /s /spath="&amp;search_path&amp;" /stypes=""app*"&amp;WGE28&amp;"*"&amp;TEXT(WGL28-utc_offset/24,"YYYYMMDD")&amp;"*"" /stext="" "&amp;TEXT(WGL28-utc_offset/24,"HH")&amp;search_regexp&amp;""""</f>
        <v>#REF!</v>
      </c>
      <c r="WHJ28" s="234" t="e">
        <f>astrogrep_path&amp;" /e /r /s /spath="&amp;search_path&amp;" /stypes=""app*"&amp;WGF28&amp;"*"&amp;TEXT(WGM28-utc_offset/24,"YYYYMMDD")&amp;"*"" /stext="" "&amp;TEXT(WGM28-utc_offset/24,"HH")&amp;search_regexp&amp;""""</f>
        <v>#REF!</v>
      </c>
      <c r="WHK28" s="234" t="e">
        <f>astrogrep_path&amp;" /e /r /s /spath="&amp;search_path&amp;" /stypes=""app*"&amp;WGG28&amp;"*"&amp;TEXT(WGN28-utc_offset/24,"YYYYMMDD")&amp;"*"" /stext="" "&amp;TEXT(WGN28-utc_offset/24,"HH")&amp;search_regexp&amp;""""</f>
        <v>#REF!</v>
      </c>
      <c r="WHL28" s="234" t="e">
        <f>astrogrep_path&amp;" /e /r /s /spath="&amp;search_path&amp;" /stypes=""app*"&amp;WGH28&amp;"*"&amp;TEXT(WGO28-utc_offset/24,"YYYYMMDD")&amp;"*"" /stext="" "&amp;TEXT(WGO28-utc_offset/24,"HH")&amp;search_regexp&amp;""""</f>
        <v>#REF!</v>
      </c>
      <c r="WHM28" s="234" t="e">
        <f>astrogrep_path&amp;" /e /r /s /spath="&amp;search_path&amp;" /stypes=""app*"&amp;WGI28&amp;"*"&amp;TEXT(WGP28-utc_offset/24,"YYYYMMDD")&amp;"*"" /stext="" "&amp;TEXT(WGP28-utc_offset/24,"HH")&amp;search_regexp&amp;""""</f>
        <v>#REF!</v>
      </c>
      <c r="WHN28" s="234" t="e">
        <f>astrogrep_path&amp;" /e /r /s /spath="&amp;search_path&amp;" /stypes=""app*"&amp;WGJ28&amp;"*"&amp;TEXT(WGQ28-utc_offset/24,"YYYYMMDD")&amp;"*"" /stext="" "&amp;TEXT(WGQ28-utc_offset/24,"HH")&amp;search_regexp&amp;""""</f>
        <v>#REF!</v>
      </c>
      <c r="WHO28" s="234" t="e">
        <f>astrogrep_path&amp;" /e /r /s /spath="&amp;search_path&amp;" /stypes=""app*"&amp;WGK28&amp;"*"&amp;TEXT(WGR28-utc_offset/24,"YYYYMMDD")&amp;"*"" /stext="" "&amp;TEXT(WGR28-utc_offset/24,"HH")&amp;search_regexp&amp;""""</f>
        <v>#REF!</v>
      </c>
      <c r="WHP28" s="234" t="e">
        <f>astrogrep_path&amp;" /e /r /s /spath="&amp;search_path&amp;" /stypes=""app*"&amp;WGL28&amp;"*"&amp;TEXT(WGS28-utc_offset/24,"YYYYMMDD")&amp;"*"" /stext="" "&amp;TEXT(WGS28-utc_offset/24,"HH")&amp;search_regexp&amp;""""</f>
        <v>#REF!</v>
      </c>
      <c r="WHQ28" s="234" t="e">
        <f>astrogrep_path&amp;" /e /r /s /spath="&amp;search_path&amp;" /stypes=""app*"&amp;WGM28&amp;"*"&amp;TEXT(WGT28-utc_offset/24,"YYYYMMDD")&amp;"*"" /stext="" "&amp;TEXT(WGT28-utc_offset/24,"HH")&amp;search_regexp&amp;""""</f>
        <v>#REF!</v>
      </c>
      <c r="WHR28" s="234" t="e">
        <f>astrogrep_path&amp;" /e /r /s /spath="&amp;search_path&amp;" /stypes=""app*"&amp;WGN28&amp;"*"&amp;TEXT(WGU28-utc_offset/24,"YYYYMMDD")&amp;"*"" /stext="" "&amp;TEXT(WGU28-utc_offset/24,"HH")&amp;search_regexp&amp;""""</f>
        <v>#REF!</v>
      </c>
      <c r="WHS28" s="234" t="e">
        <f>astrogrep_path&amp;" /e /r /s /spath="&amp;search_path&amp;" /stypes=""app*"&amp;WGO28&amp;"*"&amp;TEXT(WGV28-utc_offset/24,"YYYYMMDD")&amp;"*"" /stext="" "&amp;TEXT(WGV28-utc_offset/24,"HH")&amp;search_regexp&amp;""""</f>
        <v>#REF!</v>
      </c>
      <c r="WHT28" s="234" t="e">
        <f>astrogrep_path&amp;" /e /r /s /spath="&amp;search_path&amp;" /stypes=""app*"&amp;WGP28&amp;"*"&amp;TEXT(WGW28-utc_offset/24,"YYYYMMDD")&amp;"*"" /stext="" "&amp;TEXT(WGW28-utc_offset/24,"HH")&amp;search_regexp&amp;""""</f>
        <v>#REF!</v>
      </c>
      <c r="WHU28" s="234" t="e">
        <f>astrogrep_path&amp;" /e /r /s /spath="&amp;search_path&amp;" /stypes=""app*"&amp;WGQ28&amp;"*"&amp;TEXT(WGX28-utc_offset/24,"YYYYMMDD")&amp;"*"" /stext="" "&amp;TEXT(WGX28-utc_offset/24,"HH")&amp;search_regexp&amp;""""</f>
        <v>#REF!</v>
      </c>
      <c r="WHV28" s="234" t="e">
        <f>astrogrep_path&amp;" /e /r /s /spath="&amp;search_path&amp;" /stypes=""app*"&amp;WGR28&amp;"*"&amp;TEXT(WGY28-utc_offset/24,"YYYYMMDD")&amp;"*"" /stext="" "&amp;TEXT(WGY28-utc_offset/24,"HH")&amp;search_regexp&amp;""""</f>
        <v>#REF!</v>
      </c>
      <c r="WHW28" s="234" t="e">
        <f>astrogrep_path&amp;" /e /r /s /spath="&amp;search_path&amp;" /stypes=""app*"&amp;WGS28&amp;"*"&amp;TEXT(WGZ28-utc_offset/24,"YYYYMMDD")&amp;"*"" /stext="" "&amp;TEXT(WGZ28-utc_offset/24,"HH")&amp;search_regexp&amp;""""</f>
        <v>#REF!</v>
      </c>
      <c r="WHX28" s="234" t="e">
        <f>astrogrep_path&amp;" /e /r /s /spath="&amp;search_path&amp;" /stypes=""app*"&amp;WGT28&amp;"*"&amp;TEXT(WHA28-utc_offset/24,"YYYYMMDD")&amp;"*"" /stext="" "&amp;TEXT(WHA28-utc_offset/24,"HH")&amp;search_regexp&amp;""""</f>
        <v>#REF!</v>
      </c>
      <c r="WHY28" s="234" t="e">
        <f>astrogrep_path&amp;" /e /r /s /spath="&amp;search_path&amp;" /stypes=""app*"&amp;WGU28&amp;"*"&amp;TEXT(WHB28-utc_offset/24,"YYYYMMDD")&amp;"*"" /stext="" "&amp;TEXT(WHB28-utc_offset/24,"HH")&amp;search_regexp&amp;""""</f>
        <v>#VALUE!</v>
      </c>
      <c r="WHZ28" s="234" t="e">
        <f>astrogrep_path&amp;" /e /r /s /spath="&amp;search_path&amp;" /stypes=""app*"&amp;WGV28&amp;"*"&amp;TEXT(WHC28-utc_offset/24,"YYYYMMDD")&amp;"*"" /stext="" "&amp;TEXT(WHC28-utc_offset/24,"HH")&amp;search_regexp&amp;""""</f>
        <v>#VALUE!</v>
      </c>
      <c r="WIA28" s="234" t="e">
        <f>astrogrep_path&amp;" /e /r /s /spath="&amp;search_path&amp;" /stypes=""app*"&amp;WGW28&amp;"*"&amp;TEXT(WHD28-utc_offset/24,"YYYYMMDD")&amp;"*"" /stext="" "&amp;TEXT(WHD28-utc_offset/24,"HH")&amp;search_regexp&amp;""""</f>
        <v>#REF!</v>
      </c>
      <c r="WIB28" s="234" t="e">
        <f>astrogrep_path&amp;" /e /r /s /spath="&amp;search_path&amp;" /stypes=""app*"&amp;WGX28&amp;"*"&amp;TEXT(WHE28-utc_offset/24,"YYYYMMDD")&amp;"*"" /stext="" "&amp;TEXT(WHE28-utc_offset/24,"HH")&amp;search_regexp&amp;""""</f>
        <v>#REF!</v>
      </c>
      <c r="WIC28" s="234" t="e">
        <f>astrogrep_path&amp;" /e /r /s /spath="&amp;search_path&amp;" /stypes=""app*"&amp;WGY28&amp;"*"&amp;TEXT(WHF28-utc_offset/24,"YYYYMMDD")&amp;"*"" /stext="" "&amp;TEXT(WHF28-utc_offset/24,"HH")&amp;search_regexp&amp;""""</f>
        <v>#VALUE!</v>
      </c>
      <c r="WID28" s="234" t="e">
        <f>astrogrep_path&amp;" /e /r /s /spath="&amp;search_path&amp;" /stypes=""app*"&amp;WGZ28&amp;"*"&amp;TEXT(WHG28-utc_offset/24,"YYYYMMDD")&amp;"*"" /stext="" "&amp;TEXT(WHG28-utc_offset/24,"HH")&amp;search_regexp&amp;""""</f>
        <v>#VALUE!</v>
      </c>
      <c r="WIE28" s="234" t="e">
        <f>astrogrep_path&amp;" /e /r /s /spath="&amp;search_path&amp;" /stypes=""app*"&amp;WHA28&amp;"*"&amp;TEXT(WHH28-utc_offset/24,"YYYYMMDD")&amp;"*"" /stext="" "&amp;TEXT(WHH28-utc_offset/24,"HH")&amp;search_regexp&amp;""""</f>
        <v>#VALUE!</v>
      </c>
      <c r="WIF28" s="234" t="e">
        <f>astrogrep_path&amp;" /e /r /s /spath="&amp;search_path&amp;" /stypes=""app*"&amp;WHB28&amp;"*"&amp;TEXT(WHI28-utc_offset/24,"YYYYMMDD")&amp;"*"" /stext="" "&amp;TEXT(WHI28-utc_offset/24,"HH")&amp;search_regexp&amp;""""</f>
        <v>#VALUE!</v>
      </c>
      <c r="WIG28" s="234" t="e">
        <f>astrogrep_path&amp;" /e /r /s /spath="&amp;search_path&amp;" /stypes=""app*"&amp;WHC28&amp;"*"&amp;TEXT(WHJ28-utc_offset/24,"YYYYMMDD")&amp;"*"" /stext="" "&amp;TEXT(WHJ28-utc_offset/24,"HH")&amp;search_regexp&amp;""""</f>
        <v>#VALUE!</v>
      </c>
      <c r="WIH28" s="234" t="e">
        <f>astrogrep_path&amp;" /e /r /s /spath="&amp;search_path&amp;" /stypes=""app*"&amp;WHD28&amp;"*"&amp;TEXT(WHK28-utc_offset/24,"YYYYMMDD")&amp;"*"" /stext="" "&amp;TEXT(WHK28-utc_offset/24,"HH")&amp;search_regexp&amp;""""</f>
        <v>#REF!</v>
      </c>
      <c r="WII28" s="234" t="e">
        <f>astrogrep_path&amp;" /e /r /s /spath="&amp;search_path&amp;" /stypes=""app*"&amp;WHE28&amp;"*"&amp;TEXT(WHL28-utc_offset/24,"YYYYMMDD")&amp;"*"" /stext="" "&amp;TEXT(WHL28-utc_offset/24,"HH")&amp;search_regexp&amp;""""</f>
        <v>#REF!</v>
      </c>
      <c r="WIJ28" s="234" t="e">
        <f>astrogrep_path&amp;" /e /r /s /spath="&amp;search_path&amp;" /stypes=""app*"&amp;WHF28&amp;"*"&amp;TEXT(WHM28-utc_offset/24,"YYYYMMDD")&amp;"*"" /stext="" "&amp;TEXT(WHM28-utc_offset/24,"HH")&amp;search_regexp&amp;""""</f>
        <v>#REF!</v>
      </c>
      <c r="WIK28" s="234" t="e">
        <f>astrogrep_path&amp;" /e /r /s /spath="&amp;search_path&amp;" /stypes=""app*"&amp;WHG28&amp;"*"&amp;TEXT(WHN28-utc_offset/24,"YYYYMMDD")&amp;"*"" /stext="" "&amp;TEXT(WHN28-utc_offset/24,"HH")&amp;search_regexp&amp;""""</f>
        <v>#REF!</v>
      </c>
      <c r="WIL28" s="234" t="e">
        <f>astrogrep_path&amp;" /e /r /s /spath="&amp;search_path&amp;" /stypes=""app*"&amp;WHH28&amp;"*"&amp;TEXT(WHO28-utc_offset/24,"YYYYMMDD")&amp;"*"" /stext="" "&amp;TEXT(WHO28-utc_offset/24,"HH")&amp;search_regexp&amp;""""</f>
        <v>#REF!</v>
      </c>
      <c r="WIM28" s="234" t="e">
        <f>astrogrep_path&amp;" /e /r /s /spath="&amp;search_path&amp;" /stypes=""app*"&amp;WHI28&amp;"*"&amp;TEXT(WHP28-utc_offset/24,"YYYYMMDD")&amp;"*"" /stext="" "&amp;TEXT(WHP28-utc_offset/24,"HH")&amp;search_regexp&amp;""""</f>
        <v>#REF!</v>
      </c>
      <c r="WIN28" s="234" t="e">
        <f>astrogrep_path&amp;" /e /r /s /spath="&amp;search_path&amp;" /stypes=""app*"&amp;WHJ28&amp;"*"&amp;TEXT(WHQ28-utc_offset/24,"YYYYMMDD")&amp;"*"" /stext="" "&amp;TEXT(WHQ28-utc_offset/24,"HH")&amp;search_regexp&amp;""""</f>
        <v>#REF!</v>
      </c>
      <c r="WIO28" s="234" t="e">
        <f>astrogrep_path&amp;" /e /r /s /spath="&amp;search_path&amp;" /stypes=""app*"&amp;WHK28&amp;"*"&amp;TEXT(WHR28-utc_offset/24,"YYYYMMDD")&amp;"*"" /stext="" "&amp;TEXT(WHR28-utc_offset/24,"HH")&amp;search_regexp&amp;""""</f>
        <v>#REF!</v>
      </c>
      <c r="WIP28" s="234" t="e">
        <f>astrogrep_path&amp;" /e /r /s /spath="&amp;search_path&amp;" /stypes=""app*"&amp;WHL28&amp;"*"&amp;TEXT(WHS28-utc_offset/24,"YYYYMMDD")&amp;"*"" /stext="" "&amp;TEXT(WHS28-utc_offset/24,"HH")&amp;search_regexp&amp;""""</f>
        <v>#REF!</v>
      </c>
      <c r="WIQ28" s="234" t="e">
        <f>astrogrep_path&amp;" /e /r /s /spath="&amp;search_path&amp;" /stypes=""app*"&amp;WHM28&amp;"*"&amp;TEXT(WHT28-utc_offset/24,"YYYYMMDD")&amp;"*"" /stext="" "&amp;TEXT(WHT28-utc_offset/24,"HH")&amp;search_regexp&amp;""""</f>
        <v>#REF!</v>
      </c>
      <c r="WIR28" s="234" t="e">
        <f>astrogrep_path&amp;" /e /r /s /spath="&amp;search_path&amp;" /stypes=""app*"&amp;WHN28&amp;"*"&amp;TEXT(WHU28-utc_offset/24,"YYYYMMDD")&amp;"*"" /stext="" "&amp;TEXT(WHU28-utc_offset/24,"HH")&amp;search_regexp&amp;""""</f>
        <v>#REF!</v>
      </c>
      <c r="WIS28" s="234" t="e">
        <f>astrogrep_path&amp;" /e /r /s /spath="&amp;search_path&amp;" /stypes=""app*"&amp;WHO28&amp;"*"&amp;TEXT(WHV28-utc_offset/24,"YYYYMMDD")&amp;"*"" /stext="" "&amp;TEXT(WHV28-utc_offset/24,"HH")&amp;search_regexp&amp;""""</f>
        <v>#REF!</v>
      </c>
      <c r="WIT28" s="234" t="e">
        <f>astrogrep_path&amp;" /e /r /s /spath="&amp;search_path&amp;" /stypes=""app*"&amp;WHP28&amp;"*"&amp;TEXT(WHW28-utc_offset/24,"YYYYMMDD")&amp;"*"" /stext="" "&amp;TEXT(WHW28-utc_offset/24,"HH")&amp;search_regexp&amp;""""</f>
        <v>#REF!</v>
      </c>
      <c r="WIU28" s="234" t="e">
        <f>astrogrep_path&amp;" /e /r /s /spath="&amp;search_path&amp;" /stypes=""app*"&amp;WHQ28&amp;"*"&amp;TEXT(WHX28-utc_offset/24,"YYYYMMDD")&amp;"*"" /stext="" "&amp;TEXT(WHX28-utc_offset/24,"HH")&amp;search_regexp&amp;""""</f>
        <v>#REF!</v>
      </c>
      <c r="WIV28" s="234" t="e">
        <f>astrogrep_path&amp;" /e /r /s /spath="&amp;search_path&amp;" /stypes=""app*"&amp;WHR28&amp;"*"&amp;TEXT(WHY28-utc_offset/24,"YYYYMMDD")&amp;"*"" /stext="" "&amp;TEXT(WHY28-utc_offset/24,"HH")&amp;search_regexp&amp;""""</f>
        <v>#REF!</v>
      </c>
      <c r="WIW28" s="234" t="e">
        <f>astrogrep_path&amp;" /e /r /s /spath="&amp;search_path&amp;" /stypes=""app*"&amp;WHS28&amp;"*"&amp;TEXT(WHZ28-utc_offset/24,"YYYYMMDD")&amp;"*"" /stext="" "&amp;TEXT(WHZ28-utc_offset/24,"HH")&amp;search_regexp&amp;""""</f>
        <v>#REF!</v>
      </c>
      <c r="WIX28" s="234" t="e">
        <f>astrogrep_path&amp;" /e /r /s /spath="&amp;search_path&amp;" /stypes=""app*"&amp;WHT28&amp;"*"&amp;TEXT(WIA28-utc_offset/24,"YYYYMMDD")&amp;"*"" /stext="" "&amp;TEXT(WIA28-utc_offset/24,"HH")&amp;search_regexp&amp;""""</f>
        <v>#REF!</v>
      </c>
      <c r="WIY28" s="234" t="e">
        <f>astrogrep_path&amp;" /e /r /s /spath="&amp;search_path&amp;" /stypes=""app*"&amp;WHU28&amp;"*"&amp;TEXT(WIB28-utc_offset/24,"YYYYMMDD")&amp;"*"" /stext="" "&amp;TEXT(WIB28-utc_offset/24,"HH")&amp;search_regexp&amp;""""</f>
        <v>#REF!</v>
      </c>
      <c r="WIZ28" s="234" t="e">
        <f>astrogrep_path&amp;" /e /r /s /spath="&amp;search_path&amp;" /stypes=""app*"&amp;WHV28&amp;"*"&amp;TEXT(WIC28-utc_offset/24,"YYYYMMDD")&amp;"*"" /stext="" "&amp;TEXT(WIC28-utc_offset/24,"HH")&amp;search_regexp&amp;""""</f>
        <v>#REF!</v>
      </c>
      <c r="WJA28" s="234" t="e">
        <f>astrogrep_path&amp;" /e /r /s /spath="&amp;search_path&amp;" /stypes=""app*"&amp;WHW28&amp;"*"&amp;TEXT(WID28-utc_offset/24,"YYYYMMDD")&amp;"*"" /stext="" "&amp;TEXT(WID28-utc_offset/24,"HH")&amp;search_regexp&amp;""""</f>
        <v>#REF!</v>
      </c>
      <c r="WJB28" s="234" t="e">
        <f>astrogrep_path&amp;" /e /r /s /spath="&amp;search_path&amp;" /stypes=""app*"&amp;WHX28&amp;"*"&amp;TEXT(WIE28-utc_offset/24,"YYYYMMDD")&amp;"*"" /stext="" "&amp;TEXT(WIE28-utc_offset/24,"HH")&amp;search_regexp&amp;""""</f>
        <v>#REF!</v>
      </c>
      <c r="WJC28" s="234" t="e">
        <f>astrogrep_path&amp;" /e /r /s /spath="&amp;search_path&amp;" /stypes=""app*"&amp;WHY28&amp;"*"&amp;TEXT(WIF28-utc_offset/24,"YYYYMMDD")&amp;"*"" /stext="" "&amp;TEXT(WIF28-utc_offset/24,"HH")&amp;search_regexp&amp;""""</f>
        <v>#VALUE!</v>
      </c>
      <c r="WJD28" s="234" t="e">
        <f>astrogrep_path&amp;" /e /r /s /spath="&amp;search_path&amp;" /stypes=""app*"&amp;WHZ28&amp;"*"&amp;TEXT(WIG28-utc_offset/24,"YYYYMMDD")&amp;"*"" /stext="" "&amp;TEXT(WIG28-utc_offset/24,"HH")&amp;search_regexp&amp;""""</f>
        <v>#VALUE!</v>
      </c>
      <c r="WJE28" s="234" t="e">
        <f>astrogrep_path&amp;" /e /r /s /spath="&amp;search_path&amp;" /stypes=""app*"&amp;WIA28&amp;"*"&amp;TEXT(WIH28-utc_offset/24,"YYYYMMDD")&amp;"*"" /stext="" "&amp;TEXT(WIH28-utc_offset/24,"HH")&amp;search_regexp&amp;""""</f>
        <v>#REF!</v>
      </c>
      <c r="WJF28" s="234" t="e">
        <f>astrogrep_path&amp;" /e /r /s /spath="&amp;search_path&amp;" /stypes=""app*"&amp;WIB28&amp;"*"&amp;TEXT(WII28-utc_offset/24,"YYYYMMDD")&amp;"*"" /stext="" "&amp;TEXT(WII28-utc_offset/24,"HH")&amp;search_regexp&amp;""""</f>
        <v>#REF!</v>
      </c>
      <c r="WJG28" s="234" t="e">
        <f>astrogrep_path&amp;" /e /r /s /spath="&amp;search_path&amp;" /stypes=""app*"&amp;WIC28&amp;"*"&amp;TEXT(WIJ28-utc_offset/24,"YYYYMMDD")&amp;"*"" /stext="" "&amp;TEXT(WIJ28-utc_offset/24,"HH")&amp;search_regexp&amp;""""</f>
        <v>#VALUE!</v>
      </c>
      <c r="WJH28" s="234" t="e">
        <f>astrogrep_path&amp;" /e /r /s /spath="&amp;search_path&amp;" /stypes=""app*"&amp;WID28&amp;"*"&amp;TEXT(WIK28-utc_offset/24,"YYYYMMDD")&amp;"*"" /stext="" "&amp;TEXT(WIK28-utc_offset/24,"HH")&amp;search_regexp&amp;""""</f>
        <v>#VALUE!</v>
      </c>
      <c r="WJI28" s="234" t="e">
        <f>astrogrep_path&amp;" /e /r /s /spath="&amp;search_path&amp;" /stypes=""app*"&amp;WIE28&amp;"*"&amp;TEXT(WIL28-utc_offset/24,"YYYYMMDD")&amp;"*"" /stext="" "&amp;TEXT(WIL28-utc_offset/24,"HH")&amp;search_regexp&amp;""""</f>
        <v>#VALUE!</v>
      </c>
      <c r="WJJ28" s="234" t="e">
        <f>astrogrep_path&amp;" /e /r /s /spath="&amp;search_path&amp;" /stypes=""app*"&amp;WIF28&amp;"*"&amp;TEXT(WIM28-utc_offset/24,"YYYYMMDD")&amp;"*"" /stext="" "&amp;TEXT(WIM28-utc_offset/24,"HH")&amp;search_regexp&amp;""""</f>
        <v>#VALUE!</v>
      </c>
      <c r="WJK28" s="234" t="e">
        <f>astrogrep_path&amp;" /e /r /s /spath="&amp;search_path&amp;" /stypes=""app*"&amp;WIG28&amp;"*"&amp;TEXT(WIN28-utc_offset/24,"YYYYMMDD")&amp;"*"" /stext="" "&amp;TEXT(WIN28-utc_offset/24,"HH")&amp;search_regexp&amp;""""</f>
        <v>#VALUE!</v>
      </c>
      <c r="WJL28" s="234" t="e">
        <f>astrogrep_path&amp;" /e /r /s /spath="&amp;search_path&amp;" /stypes=""app*"&amp;WIH28&amp;"*"&amp;TEXT(WIO28-utc_offset/24,"YYYYMMDD")&amp;"*"" /stext="" "&amp;TEXT(WIO28-utc_offset/24,"HH")&amp;search_regexp&amp;""""</f>
        <v>#REF!</v>
      </c>
      <c r="WJM28" s="234" t="e">
        <f>astrogrep_path&amp;" /e /r /s /spath="&amp;search_path&amp;" /stypes=""app*"&amp;WII28&amp;"*"&amp;TEXT(WIP28-utc_offset/24,"YYYYMMDD")&amp;"*"" /stext="" "&amp;TEXT(WIP28-utc_offset/24,"HH")&amp;search_regexp&amp;""""</f>
        <v>#REF!</v>
      </c>
      <c r="WJN28" s="234" t="e">
        <f>astrogrep_path&amp;" /e /r /s /spath="&amp;search_path&amp;" /stypes=""app*"&amp;WIJ28&amp;"*"&amp;TEXT(WIQ28-utc_offset/24,"YYYYMMDD")&amp;"*"" /stext="" "&amp;TEXT(WIQ28-utc_offset/24,"HH")&amp;search_regexp&amp;""""</f>
        <v>#REF!</v>
      </c>
      <c r="WJO28" s="234" t="e">
        <f>astrogrep_path&amp;" /e /r /s /spath="&amp;search_path&amp;" /stypes=""app*"&amp;WIK28&amp;"*"&amp;TEXT(WIR28-utc_offset/24,"YYYYMMDD")&amp;"*"" /stext="" "&amp;TEXT(WIR28-utc_offset/24,"HH")&amp;search_regexp&amp;""""</f>
        <v>#REF!</v>
      </c>
      <c r="WJP28" s="234" t="e">
        <f>astrogrep_path&amp;" /e /r /s /spath="&amp;search_path&amp;" /stypes=""app*"&amp;WIL28&amp;"*"&amp;TEXT(WIS28-utc_offset/24,"YYYYMMDD")&amp;"*"" /stext="" "&amp;TEXT(WIS28-utc_offset/24,"HH")&amp;search_regexp&amp;""""</f>
        <v>#REF!</v>
      </c>
      <c r="WJQ28" s="234" t="e">
        <f>astrogrep_path&amp;" /e /r /s /spath="&amp;search_path&amp;" /stypes=""app*"&amp;WIM28&amp;"*"&amp;TEXT(WIT28-utc_offset/24,"YYYYMMDD")&amp;"*"" /stext="" "&amp;TEXT(WIT28-utc_offset/24,"HH")&amp;search_regexp&amp;""""</f>
        <v>#REF!</v>
      </c>
      <c r="WJR28" s="234" t="e">
        <f>astrogrep_path&amp;" /e /r /s /spath="&amp;search_path&amp;" /stypes=""app*"&amp;WIN28&amp;"*"&amp;TEXT(WIU28-utc_offset/24,"YYYYMMDD")&amp;"*"" /stext="" "&amp;TEXT(WIU28-utc_offset/24,"HH")&amp;search_regexp&amp;""""</f>
        <v>#REF!</v>
      </c>
      <c r="WJS28" s="234" t="e">
        <f>astrogrep_path&amp;" /e /r /s /spath="&amp;search_path&amp;" /stypes=""app*"&amp;WIO28&amp;"*"&amp;TEXT(WIV28-utc_offset/24,"YYYYMMDD")&amp;"*"" /stext="" "&amp;TEXT(WIV28-utc_offset/24,"HH")&amp;search_regexp&amp;""""</f>
        <v>#REF!</v>
      </c>
      <c r="WJT28" s="234" t="e">
        <f>astrogrep_path&amp;" /e /r /s /spath="&amp;search_path&amp;" /stypes=""app*"&amp;WIP28&amp;"*"&amp;TEXT(WIW28-utc_offset/24,"YYYYMMDD")&amp;"*"" /stext="" "&amp;TEXT(WIW28-utc_offset/24,"HH")&amp;search_regexp&amp;""""</f>
        <v>#REF!</v>
      </c>
      <c r="WJU28" s="234" t="e">
        <f>astrogrep_path&amp;" /e /r /s /spath="&amp;search_path&amp;" /stypes=""app*"&amp;WIQ28&amp;"*"&amp;TEXT(WIX28-utc_offset/24,"YYYYMMDD")&amp;"*"" /stext="" "&amp;TEXT(WIX28-utc_offset/24,"HH")&amp;search_regexp&amp;""""</f>
        <v>#REF!</v>
      </c>
      <c r="WJV28" s="234" t="e">
        <f>astrogrep_path&amp;" /e /r /s /spath="&amp;search_path&amp;" /stypes=""app*"&amp;WIR28&amp;"*"&amp;TEXT(WIY28-utc_offset/24,"YYYYMMDD")&amp;"*"" /stext="" "&amp;TEXT(WIY28-utc_offset/24,"HH")&amp;search_regexp&amp;""""</f>
        <v>#REF!</v>
      </c>
      <c r="WJW28" s="234" t="e">
        <f>astrogrep_path&amp;" /e /r /s /spath="&amp;search_path&amp;" /stypes=""app*"&amp;WIS28&amp;"*"&amp;TEXT(WIZ28-utc_offset/24,"YYYYMMDD")&amp;"*"" /stext="" "&amp;TEXT(WIZ28-utc_offset/24,"HH")&amp;search_regexp&amp;""""</f>
        <v>#REF!</v>
      </c>
      <c r="WJX28" s="234" t="e">
        <f>astrogrep_path&amp;" /e /r /s /spath="&amp;search_path&amp;" /stypes=""app*"&amp;WIT28&amp;"*"&amp;TEXT(WJA28-utc_offset/24,"YYYYMMDD")&amp;"*"" /stext="" "&amp;TEXT(WJA28-utc_offset/24,"HH")&amp;search_regexp&amp;""""</f>
        <v>#REF!</v>
      </c>
      <c r="WJY28" s="234" t="e">
        <f>astrogrep_path&amp;" /e /r /s /spath="&amp;search_path&amp;" /stypes=""app*"&amp;WIU28&amp;"*"&amp;TEXT(WJB28-utc_offset/24,"YYYYMMDD")&amp;"*"" /stext="" "&amp;TEXT(WJB28-utc_offset/24,"HH")&amp;search_regexp&amp;""""</f>
        <v>#REF!</v>
      </c>
      <c r="WJZ28" s="234" t="e">
        <f>astrogrep_path&amp;" /e /r /s /spath="&amp;search_path&amp;" /stypes=""app*"&amp;WIV28&amp;"*"&amp;TEXT(WJC28-utc_offset/24,"YYYYMMDD")&amp;"*"" /stext="" "&amp;TEXT(WJC28-utc_offset/24,"HH")&amp;search_regexp&amp;""""</f>
        <v>#REF!</v>
      </c>
      <c r="WKA28" s="234" t="e">
        <f>astrogrep_path&amp;" /e /r /s /spath="&amp;search_path&amp;" /stypes=""app*"&amp;WIW28&amp;"*"&amp;TEXT(WJD28-utc_offset/24,"YYYYMMDD")&amp;"*"" /stext="" "&amp;TEXT(WJD28-utc_offset/24,"HH")&amp;search_regexp&amp;""""</f>
        <v>#REF!</v>
      </c>
      <c r="WKB28" s="234" t="e">
        <f>astrogrep_path&amp;" /e /r /s /spath="&amp;search_path&amp;" /stypes=""app*"&amp;WIX28&amp;"*"&amp;TEXT(WJE28-utc_offset/24,"YYYYMMDD")&amp;"*"" /stext="" "&amp;TEXT(WJE28-utc_offset/24,"HH")&amp;search_regexp&amp;""""</f>
        <v>#REF!</v>
      </c>
      <c r="WKC28" s="234" t="e">
        <f>astrogrep_path&amp;" /e /r /s /spath="&amp;search_path&amp;" /stypes=""app*"&amp;WIY28&amp;"*"&amp;TEXT(WJF28-utc_offset/24,"YYYYMMDD")&amp;"*"" /stext="" "&amp;TEXT(WJF28-utc_offset/24,"HH")&amp;search_regexp&amp;""""</f>
        <v>#REF!</v>
      </c>
      <c r="WKD28" s="234" t="e">
        <f>astrogrep_path&amp;" /e /r /s /spath="&amp;search_path&amp;" /stypes=""app*"&amp;WIZ28&amp;"*"&amp;TEXT(WJG28-utc_offset/24,"YYYYMMDD")&amp;"*"" /stext="" "&amp;TEXT(WJG28-utc_offset/24,"HH")&amp;search_regexp&amp;""""</f>
        <v>#REF!</v>
      </c>
      <c r="WKE28" s="234" t="e">
        <f>astrogrep_path&amp;" /e /r /s /spath="&amp;search_path&amp;" /stypes=""app*"&amp;WJA28&amp;"*"&amp;TEXT(WJH28-utc_offset/24,"YYYYMMDD")&amp;"*"" /stext="" "&amp;TEXT(WJH28-utc_offset/24,"HH")&amp;search_regexp&amp;""""</f>
        <v>#REF!</v>
      </c>
      <c r="WKF28" s="234" t="e">
        <f>astrogrep_path&amp;" /e /r /s /spath="&amp;search_path&amp;" /stypes=""app*"&amp;WJB28&amp;"*"&amp;TEXT(WJI28-utc_offset/24,"YYYYMMDD")&amp;"*"" /stext="" "&amp;TEXT(WJI28-utc_offset/24,"HH")&amp;search_regexp&amp;""""</f>
        <v>#REF!</v>
      </c>
      <c r="WKG28" s="234" t="e">
        <f>astrogrep_path&amp;" /e /r /s /spath="&amp;search_path&amp;" /stypes=""app*"&amp;WJC28&amp;"*"&amp;TEXT(WJJ28-utc_offset/24,"YYYYMMDD")&amp;"*"" /stext="" "&amp;TEXT(WJJ28-utc_offset/24,"HH")&amp;search_regexp&amp;""""</f>
        <v>#VALUE!</v>
      </c>
      <c r="WKH28" s="234" t="e">
        <f>astrogrep_path&amp;" /e /r /s /spath="&amp;search_path&amp;" /stypes=""app*"&amp;WJD28&amp;"*"&amp;TEXT(WJK28-utc_offset/24,"YYYYMMDD")&amp;"*"" /stext="" "&amp;TEXT(WJK28-utc_offset/24,"HH")&amp;search_regexp&amp;""""</f>
        <v>#VALUE!</v>
      </c>
      <c r="WKI28" s="234" t="e">
        <f>astrogrep_path&amp;" /e /r /s /spath="&amp;search_path&amp;" /stypes=""app*"&amp;WJE28&amp;"*"&amp;TEXT(WJL28-utc_offset/24,"YYYYMMDD")&amp;"*"" /stext="" "&amp;TEXT(WJL28-utc_offset/24,"HH")&amp;search_regexp&amp;""""</f>
        <v>#REF!</v>
      </c>
      <c r="WKJ28" s="234" t="e">
        <f>astrogrep_path&amp;" /e /r /s /spath="&amp;search_path&amp;" /stypes=""app*"&amp;WJF28&amp;"*"&amp;TEXT(WJM28-utc_offset/24,"YYYYMMDD")&amp;"*"" /stext="" "&amp;TEXT(WJM28-utc_offset/24,"HH")&amp;search_regexp&amp;""""</f>
        <v>#REF!</v>
      </c>
      <c r="WKK28" s="234" t="e">
        <f>astrogrep_path&amp;" /e /r /s /spath="&amp;search_path&amp;" /stypes=""app*"&amp;WJG28&amp;"*"&amp;TEXT(WJN28-utc_offset/24,"YYYYMMDD")&amp;"*"" /stext="" "&amp;TEXT(WJN28-utc_offset/24,"HH")&amp;search_regexp&amp;""""</f>
        <v>#VALUE!</v>
      </c>
      <c r="WKL28" s="234" t="e">
        <f>astrogrep_path&amp;" /e /r /s /spath="&amp;search_path&amp;" /stypes=""app*"&amp;WJH28&amp;"*"&amp;TEXT(WJO28-utc_offset/24,"YYYYMMDD")&amp;"*"" /stext="" "&amp;TEXT(WJO28-utc_offset/24,"HH")&amp;search_regexp&amp;""""</f>
        <v>#VALUE!</v>
      </c>
      <c r="WKM28" s="234" t="e">
        <f>astrogrep_path&amp;" /e /r /s /spath="&amp;search_path&amp;" /stypes=""app*"&amp;WJI28&amp;"*"&amp;TEXT(WJP28-utc_offset/24,"YYYYMMDD")&amp;"*"" /stext="" "&amp;TEXT(WJP28-utc_offset/24,"HH")&amp;search_regexp&amp;""""</f>
        <v>#VALUE!</v>
      </c>
      <c r="WKN28" s="234" t="e">
        <f>astrogrep_path&amp;" /e /r /s /spath="&amp;search_path&amp;" /stypes=""app*"&amp;WJJ28&amp;"*"&amp;TEXT(WJQ28-utc_offset/24,"YYYYMMDD")&amp;"*"" /stext="" "&amp;TEXT(WJQ28-utc_offset/24,"HH")&amp;search_regexp&amp;""""</f>
        <v>#VALUE!</v>
      </c>
      <c r="WKO28" s="234" t="e">
        <f>astrogrep_path&amp;" /e /r /s /spath="&amp;search_path&amp;" /stypes=""app*"&amp;WJK28&amp;"*"&amp;TEXT(WJR28-utc_offset/24,"YYYYMMDD")&amp;"*"" /stext="" "&amp;TEXT(WJR28-utc_offset/24,"HH")&amp;search_regexp&amp;""""</f>
        <v>#VALUE!</v>
      </c>
      <c r="WKP28" s="234" t="e">
        <f>astrogrep_path&amp;" /e /r /s /spath="&amp;search_path&amp;" /stypes=""app*"&amp;WJL28&amp;"*"&amp;TEXT(WJS28-utc_offset/24,"YYYYMMDD")&amp;"*"" /stext="" "&amp;TEXT(WJS28-utc_offset/24,"HH")&amp;search_regexp&amp;""""</f>
        <v>#REF!</v>
      </c>
      <c r="WKQ28" s="234" t="e">
        <f>astrogrep_path&amp;" /e /r /s /spath="&amp;search_path&amp;" /stypes=""app*"&amp;WJM28&amp;"*"&amp;TEXT(WJT28-utc_offset/24,"YYYYMMDD")&amp;"*"" /stext="" "&amp;TEXT(WJT28-utc_offset/24,"HH")&amp;search_regexp&amp;""""</f>
        <v>#REF!</v>
      </c>
      <c r="WKR28" s="234" t="e">
        <f>astrogrep_path&amp;" /e /r /s /spath="&amp;search_path&amp;" /stypes=""app*"&amp;WJN28&amp;"*"&amp;TEXT(WJU28-utc_offset/24,"YYYYMMDD")&amp;"*"" /stext="" "&amp;TEXT(WJU28-utc_offset/24,"HH")&amp;search_regexp&amp;""""</f>
        <v>#REF!</v>
      </c>
      <c r="WKS28" s="234" t="e">
        <f>astrogrep_path&amp;" /e /r /s /spath="&amp;search_path&amp;" /stypes=""app*"&amp;WJO28&amp;"*"&amp;TEXT(WJV28-utc_offset/24,"YYYYMMDD")&amp;"*"" /stext="" "&amp;TEXT(WJV28-utc_offset/24,"HH")&amp;search_regexp&amp;""""</f>
        <v>#REF!</v>
      </c>
      <c r="WKT28" s="234" t="e">
        <f>astrogrep_path&amp;" /e /r /s /spath="&amp;search_path&amp;" /stypes=""app*"&amp;WJP28&amp;"*"&amp;TEXT(WJW28-utc_offset/24,"YYYYMMDD")&amp;"*"" /stext="" "&amp;TEXT(WJW28-utc_offset/24,"HH")&amp;search_regexp&amp;""""</f>
        <v>#REF!</v>
      </c>
      <c r="WKU28" s="234" t="e">
        <f>astrogrep_path&amp;" /e /r /s /spath="&amp;search_path&amp;" /stypes=""app*"&amp;WJQ28&amp;"*"&amp;TEXT(WJX28-utc_offset/24,"YYYYMMDD")&amp;"*"" /stext="" "&amp;TEXT(WJX28-utc_offset/24,"HH")&amp;search_regexp&amp;""""</f>
        <v>#REF!</v>
      </c>
      <c r="WKV28" s="234" t="e">
        <f>astrogrep_path&amp;" /e /r /s /spath="&amp;search_path&amp;" /stypes=""app*"&amp;WJR28&amp;"*"&amp;TEXT(WJY28-utc_offset/24,"YYYYMMDD")&amp;"*"" /stext="" "&amp;TEXT(WJY28-utc_offset/24,"HH")&amp;search_regexp&amp;""""</f>
        <v>#REF!</v>
      </c>
      <c r="WKW28" s="234" t="e">
        <f>astrogrep_path&amp;" /e /r /s /spath="&amp;search_path&amp;" /stypes=""app*"&amp;WJS28&amp;"*"&amp;TEXT(WJZ28-utc_offset/24,"YYYYMMDD")&amp;"*"" /stext="" "&amp;TEXT(WJZ28-utc_offset/24,"HH")&amp;search_regexp&amp;""""</f>
        <v>#REF!</v>
      </c>
      <c r="WKX28" s="234" t="e">
        <f>astrogrep_path&amp;" /e /r /s /spath="&amp;search_path&amp;" /stypes=""app*"&amp;WJT28&amp;"*"&amp;TEXT(WKA28-utc_offset/24,"YYYYMMDD")&amp;"*"" /stext="" "&amp;TEXT(WKA28-utc_offset/24,"HH")&amp;search_regexp&amp;""""</f>
        <v>#REF!</v>
      </c>
      <c r="WKY28" s="234" t="e">
        <f>astrogrep_path&amp;" /e /r /s /spath="&amp;search_path&amp;" /stypes=""app*"&amp;WJU28&amp;"*"&amp;TEXT(WKB28-utc_offset/24,"YYYYMMDD")&amp;"*"" /stext="" "&amp;TEXT(WKB28-utc_offset/24,"HH")&amp;search_regexp&amp;""""</f>
        <v>#REF!</v>
      </c>
      <c r="WKZ28" s="234" t="e">
        <f>astrogrep_path&amp;" /e /r /s /spath="&amp;search_path&amp;" /stypes=""app*"&amp;WJV28&amp;"*"&amp;TEXT(WKC28-utc_offset/24,"YYYYMMDD")&amp;"*"" /stext="" "&amp;TEXT(WKC28-utc_offset/24,"HH")&amp;search_regexp&amp;""""</f>
        <v>#REF!</v>
      </c>
      <c r="WLA28" s="234" t="e">
        <f>astrogrep_path&amp;" /e /r /s /spath="&amp;search_path&amp;" /stypes=""app*"&amp;WJW28&amp;"*"&amp;TEXT(WKD28-utc_offset/24,"YYYYMMDD")&amp;"*"" /stext="" "&amp;TEXT(WKD28-utc_offset/24,"HH")&amp;search_regexp&amp;""""</f>
        <v>#REF!</v>
      </c>
      <c r="WLB28" s="234" t="e">
        <f>astrogrep_path&amp;" /e /r /s /spath="&amp;search_path&amp;" /stypes=""app*"&amp;WJX28&amp;"*"&amp;TEXT(WKE28-utc_offset/24,"YYYYMMDD")&amp;"*"" /stext="" "&amp;TEXT(WKE28-utc_offset/24,"HH")&amp;search_regexp&amp;""""</f>
        <v>#REF!</v>
      </c>
      <c r="WLC28" s="234" t="e">
        <f>astrogrep_path&amp;" /e /r /s /spath="&amp;search_path&amp;" /stypes=""app*"&amp;WJY28&amp;"*"&amp;TEXT(WKF28-utc_offset/24,"YYYYMMDD")&amp;"*"" /stext="" "&amp;TEXT(WKF28-utc_offset/24,"HH")&amp;search_regexp&amp;""""</f>
        <v>#REF!</v>
      </c>
      <c r="WLD28" s="234" t="e">
        <f>astrogrep_path&amp;" /e /r /s /spath="&amp;search_path&amp;" /stypes=""app*"&amp;WJZ28&amp;"*"&amp;TEXT(WKG28-utc_offset/24,"YYYYMMDD")&amp;"*"" /stext="" "&amp;TEXT(WKG28-utc_offset/24,"HH")&amp;search_regexp&amp;""""</f>
        <v>#REF!</v>
      </c>
      <c r="WLE28" s="234" t="e">
        <f>astrogrep_path&amp;" /e /r /s /spath="&amp;search_path&amp;" /stypes=""app*"&amp;WKA28&amp;"*"&amp;TEXT(WKH28-utc_offset/24,"YYYYMMDD")&amp;"*"" /stext="" "&amp;TEXT(WKH28-utc_offset/24,"HH")&amp;search_regexp&amp;""""</f>
        <v>#REF!</v>
      </c>
      <c r="WLF28" s="234" t="e">
        <f>astrogrep_path&amp;" /e /r /s /spath="&amp;search_path&amp;" /stypes=""app*"&amp;WKB28&amp;"*"&amp;TEXT(WKI28-utc_offset/24,"YYYYMMDD")&amp;"*"" /stext="" "&amp;TEXT(WKI28-utc_offset/24,"HH")&amp;search_regexp&amp;""""</f>
        <v>#REF!</v>
      </c>
      <c r="WLG28" s="234" t="e">
        <f>astrogrep_path&amp;" /e /r /s /spath="&amp;search_path&amp;" /stypes=""app*"&amp;WKC28&amp;"*"&amp;TEXT(WKJ28-utc_offset/24,"YYYYMMDD")&amp;"*"" /stext="" "&amp;TEXT(WKJ28-utc_offset/24,"HH")&amp;search_regexp&amp;""""</f>
        <v>#REF!</v>
      </c>
      <c r="WLH28" s="234" t="e">
        <f>astrogrep_path&amp;" /e /r /s /spath="&amp;search_path&amp;" /stypes=""app*"&amp;WKD28&amp;"*"&amp;TEXT(WKK28-utc_offset/24,"YYYYMMDD")&amp;"*"" /stext="" "&amp;TEXT(WKK28-utc_offset/24,"HH")&amp;search_regexp&amp;""""</f>
        <v>#REF!</v>
      </c>
      <c r="WLI28" s="234" t="e">
        <f>astrogrep_path&amp;" /e /r /s /spath="&amp;search_path&amp;" /stypes=""app*"&amp;WKE28&amp;"*"&amp;TEXT(WKL28-utc_offset/24,"YYYYMMDD")&amp;"*"" /stext="" "&amp;TEXT(WKL28-utc_offset/24,"HH")&amp;search_regexp&amp;""""</f>
        <v>#REF!</v>
      </c>
      <c r="WLJ28" s="234" t="e">
        <f>astrogrep_path&amp;" /e /r /s /spath="&amp;search_path&amp;" /stypes=""app*"&amp;WKF28&amp;"*"&amp;TEXT(WKM28-utc_offset/24,"YYYYMMDD")&amp;"*"" /stext="" "&amp;TEXT(WKM28-utc_offset/24,"HH")&amp;search_regexp&amp;""""</f>
        <v>#REF!</v>
      </c>
      <c r="WLK28" s="234" t="e">
        <f>astrogrep_path&amp;" /e /r /s /spath="&amp;search_path&amp;" /stypes=""app*"&amp;WKG28&amp;"*"&amp;TEXT(WKN28-utc_offset/24,"YYYYMMDD")&amp;"*"" /stext="" "&amp;TEXT(WKN28-utc_offset/24,"HH")&amp;search_regexp&amp;""""</f>
        <v>#VALUE!</v>
      </c>
      <c r="WLL28" s="234" t="e">
        <f>astrogrep_path&amp;" /e /r /s /spath="&amp;search_path&amp;" /stypes=""app*"&amp;WKH28&amp;"*"&amp;TEXT(WKO28-utc_offset/24,"YYYYMMDD")&amp;"*"" /stext="" "&amp;TEXT(WKO28-utc_offset/24,"HH")&amp;search_regexp&amp;""""</f>
        <v>#VALUE!</v>
      </c>
      <c r="WLM28" s="234" t="e">
        <f>astrogrep_path&amp;" /e /r /s /spath="&amp;search_path&amp;" /stypes=""app*"&amp;WKI28&amp;"*"&amp;TEXT(WKP28-utc_offset/24,"YYYYMMDD")&amp;"*"" /stext="" "&amp;TEXT(WKP28-utc_offset/24,"HH")&amp;search_regexp&amp;""""</f>
        <v>#REF!</v>
      </c>
      <c r="WLN28" s="234" t="e">
        <f>astrogrep_path&amp;" /e /r /s /spath="&amp;search_path&amp;" /stypes=""app*"&amp;WKJ28&amp;"*"&amp;TEXT(WKQ28-utc_offset/24,"YYYYMMDD")&amp;"*"" /stext="" "&amp;TEXT(WKQ28-utc_offset/24,"HH")&amp;search_regexp&amp;""""</f>
        <v>#REF!</v>
      </c>
      <c r="WLO28" s="234" t="e">
        <f>astrogrep_path&amp;" /e /r /s /spath="&amp;search_path&amp;" /stypes=""app*"&amp;WKK28&amp;"*"&amp;TEXT(WKR28-utc_offset/24,"YYYYMMDD")&amp;"*"" /stext="" "&amp;TEXT(WKR28-utc_offset/24,"HH")&amp;search_regexp&amp;""""</f>
        <v>#VALUE!</v>
      </c>
      <c r="WLP28" s="234" t="e">
        <f>astrogrep_path&amp;" /e /r /s /spath="&amp;search_path&amp;" /stypes=""app*"&amp;WKL28&amp;"*"&amp;TEXT(WKS28-utc_offset/24,"YYYYMMDD")&amp;"*"" /stext="" "&amp;TEXT(WKS28-utc_offset/24,"HH")&amp;search_regexp&amp;""""</f>
        <v>#VALUE!</v>
      </c>
      <c r="WLQ28" s="234" t="e">
        <f>astrogrep_path&amp;" /e /r /s /spath="&amp;search_path&amp;" /stypes=""app*"&amp;WKM28&amp;"*"&amp;TEXT(WKT28-utc_offset/24,"YYYYMMDD")&amp;"*"" /stext="" "&amp;TEXT(WKT28-utc_offset/24,"HH")&amp;search_regexp&amp;""""</f>
        <v>#VALUE!</v>
      </c>
      <c r="WLR28" s="234" t="e">
        <f>astrogrep_path&amp;" /e /r /s /spath="&amp;search_path&amp;" /stypes=""app*"&amp;WKN28&amp;"*"&amp;TEXT(WKU28-utc_offset/24,"YYYYMMDD")&amp;"*"" /stext="" "&amp;TEXT(WKU28-utc_offset/24,"HH")&amp;search_regexp&amp;""""</f>
        <v>#VALUE!</v>
      </c>
      <c r="WLS28" s="234" t="e">
        <f>astrogrep_path&amp;" /e /r /s /spath="&amp;search_path&amp;" /stypes=""app*"&amp;WKO28&amp;"*"&amp;TEXT(WKV28-utc_offset/24,"YYYYMMDD")&amp;"*"" /stext="" "&amp;TEXT(WKV28-utc_offset/24,"HH")&amp;search_regexp&amp;""""</f>
        <v>#VALUE!</v>
      </c>
      <c r="WLT28" s="234" t="e">
        <f>astrogrep_path&amp;" /e /r /s /spath="&amp;search_path&amp;" /stypes=""app*"&amp;WKP28&amp;"*"&amp;TEXT(WKW28-utc_offset/24,"YYYYMMDD")&amp;"*"" /stext="" "&amp;TEXT(WKW28-utc_offset/24,"HH")&amp;search_regexp&amp;""""</f>
        <v>#REF!</v>
      </c>
      <c r="WLU28" s="234" t="e">
        <f>astrogrep_path&amp;" /e /r /s /spath="&amp;search_path&amp;" /stypes=""app*"&amp;WKQ28&amp;"*"&amp;TEXT(WKX28-utc_offset/24,"YYYYMMDD")&amp;"*"" /stext="" "&amp;TEXT(WKX28-utc_offset/24,"HH")&amp;search_regexp&amp;""""</f>
        <v>#REF!</v>
      </c>
      <c r="WLV28" s="234" t="e">
        <f>astrogrep_path&amp;" /e /r /s /spath="&amp;search_path&amp;" /stypes=""app*"&amp;WKR28&amp;"*"&amp;TEXT(WKY28-utc_offset/24,"YYYYMMDD")&amp;"*"" /stext="" "&amp;TEXT(WKY28-utc_offset/24,"HH")&amp;search_regexp&amp;""""</f>
        <v>#REF!</v>
      </c>
      <c r="WLW28" s="234" t="e">
        <f>astrogrep_path&amp;" /e /r /s /spath="&amp;search_path&amp;" /stypes=""app*"&amp;WKS28&amp;"*"&amp;TEXT(WKZ28-utc_offset/24,"YYYYMMDD")&amp;"*"" /stext="" "&amp;TEXT(WKZ28-utc_offset/24,"HH")&amp;search_regexp&amp;""""</f>
        <v>#REF!</v>
      </c>
      <c r="WLX28" s="234" t="e">
        <f>astrogrep_path&amp;" /e /r /s /spath="&amp;search_path&amp;" /stypes=""app*"&amp;WKT28&amp;"*"&amp;TEXT(WLA28-utc_offset/24,"YYYYMMDD")&amp;"*"" /stext="" "&amp;TEXT(WLA28-utc_offset/24,"HH")&amp;search_regexp&amp;""""</f>
        <v>#REF!</v>
      </c>
      <c r="WLY28" s="234" t="e">
        <f>astrogrep_path&amp;" /e /r /s /spath="&amp;search_path&amp;" /stypes=""app*"&amp;WKU28&amp;"*"&amp;TEXT(WLB28-utc_offset/24,"YYYYMMDD")&amp;"*"" /stext="" "&amp;TEXT(WLB28-utc_offset/24,"HH")&amp;search_regexp&amp;""""</f>
        <v>#REF!</v>
      </c>
      <c r="WLZ28" s="234" t="e">
        <f>astrogrep_path&amp;" /e /r /s /spath="&amp;search_path&amp;" /stypes=""app*"&amp;WKV28&amp;"*"&amp;TEXT(WLC28-utc_offset/24,"YYYYMMDD")&amp;"*"" /stext="" "&amp;TEXT(WLC28-utc_offset/24,"HH")&amp;search_regexp&amp;""""</f>
        <v>#REF!</v>
      </c>
      <c r="WMA28" s="234" t="e">
        <f>astrogrep_path&amp;" /e /r /s /spath="&amp;search_path&amp;" /stypes=""app*"&amp;WKW28&amp;"*"&amp;TEXT(WLD28-utc_offset/24,"YYYYMMDD")&amp;"*"" /stext="" "&amp;TEXT(WLD28-utc_offset/24,"HH")&amp;search_regexp&amp;""""</f>
        <v>#REF!</v>
      </c>
      <c r="WMB28" s="234" t="e">
        <f>astrogrep_path&amp;" /e /r /s /spath="&amp;search_path&amp;" /stypes=""app*"&amp;WKX28&amp;"*"&amp;TEXT(WLE28-utc_offset/24,"YYYYMMDD")&amp;"*"" /stext="" "&amp;TEXT(WLE28-utc_offset/24,"HH")&amp;search_regexp&amp;""""</f>
        <v>#REF!</v>
      </c>
      <c r="WMC28" s="234" t="e">
        <f>astrogrep_path&amp;" /e /r /s /spath="&amp;search_path&amp;" /stypes=""app*"&amp;WKY28&amp;"*"&amp;TEXT(WLF28-utc_offset/24,"YYYYMMDD")&amp;"*"" /stext="" "&amp;TEXT(WLF28-utc_offset/24,"HH")&amp;search_regexp&amp;""""</f>
        <v>#REF!</v>
      </c>
      <c r="WMD28" s="234" t="e">
        <f>astrogrep_path&amp;" /e /r /s /spath="&amp;search_path&amp;" /stypes=""app*"&amp;WKZ28&amp;"*"&amp;TEXT(WLG28-utc_offset/24,"YYYYMMDD")&amp;"*"" /stext="" "&amp;TEXT(WLG28-utc_offset/24,"HH")&amp;search_regexp&amp;""""</f>
        <v>#REF!</v>
      </c>
      <c r="WME28" s="234" t="e">
        <f>astrogrep_path&amp;" /e /r /s /spath="&amp;search_path&amp;" /stypes=""app*"&amp;WLA28&amp;"*"&amp;TEXT(WLH28-utc_offset/24,"YYYYMMDD")&amp;"*"" /stext="" "&amp;TEXT(WLH28-utc_offset/24,"HH")&amp;search_regexp&amp;""""</f>
        <v>#REF!</v>
      </c>
      <c r="WMF28" s="234" t="e">
        <f>astrogrep_path&amp;" /e /r /s /spath="&amp;search_path&amp;" /stypes=""app*"&amp;WLB28&amp;"*"&amp;TEXT(WLI28-utc_offset/24,"YYYYMMDD")&amp;"*"" /stext="" "&amp;TEXT(WLI28-utc_offset/24,"HH")&amp;search_regexp&amp;""""</f>
        <v>#REF!</v>
      </c>
      <c r="WMG28" s="234" t="e">
        <f>astrogrep_path&amp;" /e /r /s /spath="&amp;search_path&amp;" /stypes=""app*"&amp;WLC28&amp;"*"&amp;TEXT(WLJ28-utc_offset/24,"YYYYMMDD")&amp;"*"" /stext="" "&amp;TEXT(WLJ28-utc_offset/24,"HH")&amp;search_regexp&amp;""""</f>
        <v>#REF!</v>
      </c>
      <c r="WMH28" s="234" t="e">
        <f>astrogrep_path&amp;" /e /r /s /spath="&amp;search_path&amp;" /stypes=""app*"&amp;WLD28&amp;"*"&amp;TEXT(WLK28-utc_offset/24,"YYYYMMDD")&amp;"*"" /stext="" "&amp;TEXT(WLK28-utc_offset/24,"HH")&amp;search_regexp&amp;""""</f>
        <v>#REF!</v>
      </c>
      <c r="WMI28" s="234" t="e">
        <f>astrogrep_path&amp;" /e /r /s /spath="&amp;search_path&amp;" /stypes=""app*"&amp;WLE28&amp;"*"&amp;TEXT(WLL28-utc_offset/24,"YYYYMMDD")&amp;"*"" /stext="" "&amp;TEXT(WLL28-utc_offset/24,"HH")&amp;search_regexp&amp;""""</f>
        <v>#REF!</v>
      </c>
      <c r="WMJ28" s="234" t="e">
        <f>astrogrep_path&amp;" /e /r /s /spath="&amp;search_path&amp;" /stypes=""app*"&amp;WLF28&amp;"*"&amp;TEXT(WLM28-utc_offset/24,"YYYYMMDD")&amp;"*"" /stext="" "&amp;TEXT(WLM28-utc_offset/24,"HH")&amp;search_regexp&amp;""""</f>
        <v>#REF!</v>
      </c>
      <c r="WMK28" s="234" t="e">
        <f>astrogrep_path&amp;" /e /r /s /spath="&amp;search_path&amp;" /stypes=""app*"&amp;WLG28&amp;"*"&amp;TEXT(WLN28-utc_offset/24,"YYYYMMDD")&amp;"*"" /stext="" "&amp;TEXT(WLN28-utc_offset/24,"HH")&amp;search_regexp&amp;""""</f>
        <v>#REF!</v>
      </c>
      <c r="WML28" s="234" t="e">
        <f>astrogrep_path&amp;" /e /r /s /spath="&amp;search_path&amp;" /stypes=""app*"&amp;WLH28&amp;"*"&amp;TEXT(WLO28-utc_offset/24,"YYYYMMDD")&amp;"*"" /stext="" "&amp;TEXT(WLO28-utc_offset/24,"HH")&amp;search_regexp&amp;""""</f>
        <v>#REF!</v>
      </c>
      <c r="WMM28" s="234" t="e">
        <f>astrogrep_path&amp;" /e /r /s /spath="&amp;search_path&amp;" /stypes=""app*"&amp;WLI28&amp;"*"&amp;TEXT(WLP28-utc_offset/24,"YYYYMMDD")&amp;"*"" /stext="" "&amp;TEXT(WLP28-utc_offset/24,"HH")&amp;search_regexp&amp;""""</f>
        <v>#REF!</v>
      </c>
      <c r="WMN28" s="234" t="e">
        <f>astrogrep_path&amp;" /e /r /s /spath="&amp;search_path&amp;" /stypes=""app*"&amp;WLJ28&amp;"*"&amp;TEXT(WLQ28-utc_offset/24,"YYYYMMDD")&amp;"*"" /stext="" "&amp;TEXT(WLQ28-utc_offset/24,"HH")&amp;search_regexp&amp;""""</f>
        <v>#REF!</v>
      </c>
      <c r="WMO28" s="234" t="e">
        <f>astrogrep_path&amp;" /e /r /s /spath="&amp;search_path&amp;" /stypes=""app*"&amp;WLK28&amp;"*"&amp;TEXT(WLR28-utc_offset/24,"YYYYMMDD")&amp;"*"" /stext="" "&amp;TEXT(WLR28-utc_offset/24,"HH")&amp;search_regexp&amp;""""</f>
        <v>#VALUE!</v>
      </c>
      <c r="WMP28" s="234" t="e">
        <f>astrogrep_path&amp;" /e /r /s /spath="&amp;search_path&amp;" /stypes=""app*"&amp;WLL28&amp;"*"&amp;TEXT(WLS28-utc_offset/24,"YYYYMMDD")&amp;"*"" /stext="" "&amp;TEXT(WLS28-utc_offset/24,"HH")&amp;search_regexp&amp;""""</f>
        <v>#VALUE!</v>
      </c>
      <c r="WMQ28" s="234" t="e">
        <f>astrogrep_path&amp;" /e /r /s /spath="&amp;search_path&amp;" /stypes=""app*"&amp;WLM28&amp;"*"&amp;TEXT(WLT28-utc_offset/24,"YYYYMMDD")&amp;"*"" /stext="" "&amp;TEXT(WLT28-utc_offset/24,"HH")&amp;search_regexp&amp;""""</f>
        <v>#REF!</v>
      </c>
      <c r="WMR28" s="234" t="e">
        <f>astrogrep_path&amp;" /e /r /s /spath="&amp;search_path&amp;" /stypes=""app*"&amp;WLN28&amp;"*"&amp;TEXT(WLU28-utc_offset/24,"YYYYMMDD")&amp;"*"" /stext="" "&amp;TEXT(WLU28-utc_offset/24,"HH")&amp;search_regexp&amp;""""</f>
        <v>#REF!</v>
      </c>
      <c r="WMS28" s="234" t="e">
        <f>astrogrep_path&amp;" /e /r /s /spath="&amp;search_path&amp;" /stypes=""app*"&amp;WLO28&amp;"*"&amp;TEXT(WLV28-utc_offset/24,"YYYYMMDD")&amp;"*"" /stext="" "&amp;TEXT(WLV28-utc_offset/24,"HH")&amp;search_regexp&amp;""""</f>
        <v>#VALUE!</v>
      </c>
      <c r="WMT28" s="234" t="e">
        <f>astrogrep_path&amp;" /e /r /s /spath="&amp;search_path&amp;" /stypes=""app*"&amp;WLP28&amp;"*"&amp;TEXT(WLW28-utc_offset/24,"YYYYMMDD")&amp;"*"" /stext="" "&amp;TEXT(WLW28-utc_offset/24,"HH")&amp;search_regexp&amp;""""</f>
        <v>#VALUE!</v>
      </c>
      <c r="WMU28" s="234" t="e">
        <f>astrogrep_path&amp;" /e /r /s /spath="&amp;search_path&amp;" /stypes=""app*"&amp;WLQ28&amp;"*"&amp;TEXT(WLX28-utc_offset/24,"YYYYMMDD")&amp;"*"" /stext="" "&amp;TEXT(WLX28-utc_offset/24,"HH")&amp;search_regexp&amp;""""</f>
        <v>#VALUE!</v>
      </c>
      <c r="WMV28" s="234" t="e">
        <f>astrogrep_path&amp;" /e /r /s /spath="&amp;search_path&amp;" /stypes=""app*"&amp;WLR28&amp;"*"&amp;TEXT(WLY28-utc_offset/24,"YYYYMMDD")&amp;"*"" /stext="" "&amp;TEXT(WLY28-utc_offset/24,"HH")&amp;search_regexp&amp;""""</f>
        <v>#VALUE!</v>
      </c>
      <c r="WMW28" s="234" t="e">
        <f>astrogrep_path&amp;" /e /r /s /spath="&amp;search_path&amp;" /stypes=""app*"&amp;WLS28&amp;"*"&amp;TEXT(WLZ28-utc_offset/24,"YYYYMMDD")&amp;"*"" /stext="" "&amp;TEXT(WLZ28-utc_offset/24,"HH")&amp;search_regexp&amp;""""</f>
        <v>#VALUE!</v>
      </c>
      <c r="WMX28" s="234" t="e">
        <f>astrogrep_path&amp;" /e /r /s /spath="&amp;search_path&amp;" /stypes=""app*"&amp;WLT28&amp;"*"&amp;TEXT(WMA28-utc_offset/24,"YYYYMMDD")&amp;"*"" /stext="" "&amp;TEXT(WMA28-utc_offset/24,"HH")&amp;search_regexp&amp;""""</f>
        <v>#REF!</v>
      </c>
      <c r="WMY28" s="234" t="e">
        <f>astrogrep_path&amp;" /e /r /s /spath="&amp;search_path&amp;" /stypes=""app*"&amp;WLU28&amp;"*"&amp;TEXT(WMB28-utc_offset/24,"YYYYMMDD")&amp;"*"" /stext="" "&amp;TEXT(WMB28-utc_offset/24,"HH")&amp;search_regexp&amp;""""</f>
        <v>#REF!</v>
      </c>
      <c r="WMZ28" s="234" t="e">
        <f>astrogrep_path&amp;" /e /r /s /spath="&amp;search_path&amp;" /stypes=""app*"&amp;WLV28&amp;"*"&amp;TEXT(WMC28-utc_offset/24,"YYYYMMDD")&amp;"*"" /stext="" "&amp;TEXT(WMC28-utc_offset/24,"HH")&amp;search_regexp&amp;""""</f>
        <v>#REF!</v>
      </c>
      <c r="WNA28" s="234" t="e">
        <f>astrogrep_path&amp;" /e /r /s /spath="&amp;search_path&amp;" /stypes=""app*"&amp;WLW28&amp;"*"&amp;TEXT(WMD28-utc_offset/24,"YYYYMMDD")&amp;"*"" /stext="" "&amp;TEXT(WMD28-utc_offset/24,"HH")&amp;search_regexp&amp;""""</f>
        <v>#REF!</v>
      </c>
      <c r="WNB28" s="234" t="e">
        <f>astrogrep_path&amp;" /e /r /s /spath="&amp;search_path&amp;" /stypes=""app*"&amp;WLX28&amp;"*"&amp;TEXT(WME28-utc_offset/24,"YYYYMMDD")&amp;"*"" /stext="" "&amp;TEXT(WME28-utc_offset/24,"HH")&amp;search_regexp&amp;""""</f>
        <v>#REF!</v>
      </c>
      <c r="WNC28" s="234" t="e">
        <f>astrogrep_path&amp;" /e /r /s /spath="&amp;search_path&amp;" /stypes=""app*"&amp;WLY28&amp;"*"&amp;TEXT(WMF28-utc_offset/24,"YYYYMMDD")&amp;"*"" /stext="" "&amp;TEXT(WMF28-utc_offset/24,"HH")&amp;search_regexp&amp;""""</f>
        <v>#REF!</v>
      </c>
      <c r="WND28" s="234" t="e">
        <f>astrogrep_path&amp;" /e /r /s /spath="&amp;search_path&amp;" /stypes=""app*"&amp;WLZ28&amp;"*"&amp;TEXT(WMG28-utc_offset/24,"YYYYMMDD")&amp;"*"" /stext="" "&amp;TEXT(WMG28-utc_offset/24,"HH")&amp;search_regexp&amp;""""</f>
        <v>#REF!</v>
      </c>
      <c r="WNE28" s="234" t="e">
        <f>astrogrep_path&amp;" /e /r /s /spath="&amp;search_path&amp;" /stypes=""app*"&amp;WMA28&amp;"*"&amp;TEXT(WMH28-utc_offset/24,"YYYYMMDD")&amp;"*"" /stext="" "&amp;TEXT(WMH28-utc_offset/24,"HH")&amp;search_regexp&amp;""""</f>
        <v>#REF!</v>
      </c>
      <c r="WNF28" s="234" t="e">
        <f>astrogrep_path&amp;" /e /r /s /spath="&amp;search_path&amp;" /stypes=""app*"&amp;WMB28&amp;"*"&amp;TEXT(WMI28-utc_offset/24,"YYYYMMDD")&amp;"*"" /stext="" "&amp;TEXT(WMI28-utc_offset/24,"HH")&amp;search_regexp&amp;""""</f>
        <v>#REF!</v>
      </c>
      <c r="WNG28" s="234" t="e">
        <f>astrogrep_path&amp;" /e /r /s /spath="&amp;search_path&amp;" /stypes=""app*"&amp;WMC28&amp;"*"&amp;TEXT(WMJ28-utc_offset/24,"YYYYMMDD")&amp;"*"" /stext="" "&amp;TEXT(WMJ28-utc_offset/24,"HH")&amp;search_regexp&amp;""""</f>
        <v>#REF!</v>
      </c>
      <c r="WNH28" s="234" t="e">
        <f>astrogrep_path&amp;" /e /r /s /spath="&amp;search_path&amp;" /stypes=""app*"&amp;WMD28&amp;"*"&amp;TEXT(WMK28-utc_offset/24,"YYYYMMDD")&amp;"*"" /stext="" "&amp;TEXT(WMK28-utc_offset/24,"HH")&amp;search_regexp&amp;""""</f>
        <v>#REF!</v>
      </c>
      <c r="WNI28" s="234" t="e">
        <f>astrogrep_path&amp;" /e /r /s /spath="&amp;search_path&amp;" /stypes=""app*"&amp;WME28&amp;"*"&amp;TEXT(WML28-utc_offset/24,"YYYYMMDD")&amp;"*"" /stext="" "&amp;TEXT(WML28-utc_offset/24,"HH")&amp;search_regexp&amp;""""</f>
        <v>#REF!</v>
      </c>
      <c r="WNJ28" s="234" t="e">
        <f>astrogrep_path&amp;" /e /r /s /spath="&amp;search_path&amp;" /stypes=""app*"&amp;WMF28&amp;"*"&amp;TEXT(WMM28-utc_offset/24,"YYYYMMDD")&amp;"*"" /stext="" "&amp;TEXT(WMM28-utc_offset/24,"HH")&amp;search_regexp&amp;""""</f>
        <v>#REF!</v>
      </c>
      <c r="WNK28" s="234" t="e">
        <f>astrogrep_path&amp;" /e /r /s /spath="&amp;search_path&amp;" /stypes=""app*"&amp;WMG28&amp;"*"&amp;TEXT(WMN28-utc_offset/24,"YYYYMMDD")&amp;"*"" /stext="" "&amp;TEXT(WMN28-utc_offset/24,"HH")&amp;search_regexp&amp;""""</f>
        <v>#REF!</v>
      </c>
      <c r="WNL28" s="234" t="e">
        <f>astrogrep_path&amp;" /e /r /s /spath="&amp;search_path&amp;" /stypes=""app*"&amp;WMH28&amp;"*"&amp;TEXT(WMO28-utc_offset/24,"YYYYMMDD")&amp;"*"" /stext="" "&amp;TEXT(WMO28-utc_offset/24,"HH")&amp;search_regexp&amp;""""</f>
        <v>#REF!</v>
      </c>
      <c r="WNM28" s="234" t="e">
        <f>astrogrep_path&amp;" /e /r /s /spath="&amp;search_path&amp;" /stypes=""app*"&amp;WMI28&amp;"*"&amp;TEXT(WMP28-utc_offset/24,"YYYYMMDD")&amp;"*"" /stext="" "&amp;TEXT(WMP28-utc_offset/24,"HH")&amp;search_regexp&amp;""""</f>
        <v>#REF!</v>
      </c>
      <c r="WNN28" s="234" t="e">
        <f>astrogrep_path&amp;" /e /r /s /spath="&amp;search_path&amp;" /stypes=""app*"&amp;WMJ28&amp;"*"&amp;TEXT(WMQ28-utc_offset/24,"YYYYMMDD")&amp;"*"" /stext="" "&amp;TEXT(WMQ28-utc_offset/24,"HH")&amp;search_regexp&amp;""""</f>
        <v>#REF!</v>
      </c>
      <c r="WNO28" s="234" t="e">
        <f>astrogrep_path&amp;" /e /r /s /spath="&amp;search_path&amp;" /stypes=""app*"&amp;WMK28&amp;"*"&amp;TEXT(WMR28-utc_offset/24,"YYYYMMDD")&amp;"*"" /stext="" "&amp;TEXT(WMR28-utc_offset/24,"HH")&amp;search_regexp&amp;""""</f>
        <v>#REF!</v>
      </c>
      <c r="WNP28" s="234" t="e">
        <f>astrogrep_path&amp;" /e /r /s /spath="&amp;search_path&amp;" /stypes=""app*"&amp;WML28&amp;"*"&amp;TEXT(WMS28-utc_offset/24,"YYYYMMDD")&amp;"*"" /stext="" "&amp;TEXT(WMS28-utc_offset/24,"HH")&amp;search_regexp&amp;""""</f>
        <v>#REF!</v>
      </c>
      <c r="WNQ28" s="234" t="e">
        <f>astrogrep_path&amp;" /e /r /s /spath="&amp;search_path&amp;" /stypes=""app*"&amp;WMM28&amp;"*"&amp;TEXT(WMT28-utc_offset/24,"YYYYMMDD")&amp;"*"" /stext="" "&amp;TEXT(WMT28-utc_offset/24,"HH")&amp;search_regexp&amp;""""</f>
        <v>#REF!</v>
      </c>
      <c r="WNR28" s="234" t="e">
        <f>astrogrep_path&amp;" /e /r /s /spath="&amp;search_path&amp;" /stypes=""app*"&amp;WMN28&amp;"*"&amp;TEXT(WMU28-utc_offset/24,"YYYYMMDD")&amp;"*"" /stext="" "&amp;TEXT(WMU28-utc_offset/24,"HH")&amp;search_regexp&amp;""""</f>
        <v>#REF!</v>
      </c>
      <c r="WNS28" s="234" t="e">
        <f>astrogrep_path&amp;" /e /r /s /spath="&amp;search_path&amp;" /stypes=""app*"&amp;WMO28&amp;"*"&amp;TEXT(WMV28-utc_offset/24,"YYYYMMDD")&amp;"*"" /stext="" "&amp;TEXT(WMV28-utc_offset/24,"HH")&amp;search_regexp&amp;""""</f>
        <v>#VALUE!</v>
      </c>
      <c r="WNT28" s="234" t="e">
        <f>astrogrep_path&amp;" /e /r /s /spath="&amp;search_path&amp;" /stypes=""app*"&amp;WMP28&amp;"*"&amp;TEXT(WMW28-utc_offset/24,"YYYYMMDD")&amp;"*"" /stext="" "&amp;TEXT(WMW28-utc_offset/24,"HH")&amp;search_regexp&amp;""""</f>
        <v>#VALUE!</v>
      </c>
      <c r="WNU28" s="234" t="e">
        <f>astrogrep_path&amp;" /e /r /s /spath="&amp;search_path&amp;" /stypes=""app*"&amp;WMQ28&amp;"*"&amp;TEXT(WMX28-utc_offset/24,"YYYYMMDD")&amp;"*"" /stext="" "&amp;TEXT(WMX28-utc_offset/24,"HH")&amp;search_regexp&amp;""""</f>
        <v>#REF!</v>
      </c>
      <c r="WNV28" s="234" t="e">
        <f>astrogrep_path&amp;" /e /r /s /spath="&amp;search_path&amp;" /stypes=""app*"&amp;WMR28&amp;"*"&amp;TEXT(WMY28-utc_offset/24,"YYYYMMDD")&amp;"*"" /stext="" "&amp;TEXT(WMY28-utc_offset/24,"HH")&amp;search_regexp&amp;""""</f>
        <v>#REF!</v>
      </c>
      <c r="WNW28" s="234" t="e">
        <f>astrogrep_path&amp;" /e /r /s /spath="&amp;search_path&amp;" /stypes=""app*"&amp;WMS28&amp;"*"&amp;TEXT(WMZ28-utc_offset/24,"YYYYMMDD")&amp;"*"" /stext="" "&amp;TEXT(WMZ28-utc_offset/24,"HH")&amp;search_regexp&amp;""""</f>
        <v>#VALUE!</v>
      </c>
      <c r="WNX28" s="234" t="e">
        <f>astrogrep_path&amp;" /e /r /s /spath="&amp;search_path&amp;" /stypes=""app*"&amp;WMT28&amp;"*"&amp;TEXT(WNA28-utc_offset/24,"YYYYMMDD")&amp;"*"" /stext="" "&amp;TEXT(WNA28-utc_offset/24,"HH")&amp;search_regexp&amp;""""</f>
        <v>#VALUE!</v>
      </c>
      <c r="WNY28" s="234" t="e">
        <f>astrogrep_path&amp;" /e /r /s /spath="&amp;search_path&amp;" /stypes=""app*"&amp;WMU28&amp;"*"&amp;TEXT(WNB28-utc_offset/24,"YYYYMMDD")&amp;"*"" /stext="" "&amp;TEXT(WNB28-utc_offset/24,"HH")&amp;search_regexp&amp;""""</f>
        <v>#VALUE!</v>
      </c>
      <c r="WNZ28" s="234" t="e">
        <f>astrogrep_path&amp;" /e /r /s /spath="&amp;search_path&amp;" /stypes=""app*"&amp;WMV28&amp;"*"&amp;TEXT(WNC28-utc_offset/24,"YYYYMMDD")&amp;"*"" /stext="" "&amp;TEXT(WNC28-utc_offset/24,"HH")&amp;search_regexp&amp;""""</f>
        <v>#VALUE!</v>
      </c>
      <c r="WOA28" s="234" t="e">
        <f>astrogrep_path&amp;" /e /r /s /spath="&amp;search_path&amp;" /stypes=""app*"&amp;WMW28&amp;"*"&amp;TEXT(WND28-utc_offset/24,"YYYYMMDD")&amp;"*"" /stext="" "&amp;TEXT(WND28-utc_offset/24,"HH")&amp;search_regexp&amp;""""</f>
        <v>#VALUE!</v>
      </c>
      <c r="WOB28" s="234" t="e">
        <f>astrogrep_path&amp;" /e /r /s /spath="&amp;search_path&amp;" /stypes=""app*"&amp;WMX28&amp;"*"&amp;TEXT(WNE28-utc_offset/24,"YYYYMMDD")&amp;"*"" /stext="" "&amp;TEXT(WNE28-utc_offset/24,"HH")&amp;search_regexp&amp;""""</f>
        <v>#REF!</v>
      </c>
      <c r="WOC28" s="234" t="e">
        <f>astrogrep_path&amp;" /e /r /s /spath="&amp;search_path&amp;" /stypes=""app*"&amp;WMY28&amp;"*"&amp;TEXT(WNF28-utc_offset/24,"YYYYMMDD")&amp;"*"" /stext="" "&amp;TEXT(WNF28-utc_offset/24,"HH")&amp;search_regexp&amp;""""</f>
        <v>#REF!</v>
      </c>
      <c r="WOD28" s="234" t="e">
        <f>astrogrep_path&amp;" /e /r /s /spath="&amp;search_path&amp;" /stypes=""app*"&amp;WMZ28&amp;"*"&amp;TEXT(WNG28-utc_offset/24,"YYYYMMDD")&amp;"*"" /stext="" "&amp;TEXT(WNG28-utc_offset/24,"HH")&amp;search_regexp&amp;""""</f>
        <v>#REF!</v>
      </c>
      <c r="WOE28" s="234" t="e">
        <f>astrogrep_path&amp;" /e /r /s /spath="&amp;search_path&amp;" /stypes=""app*"&amp;WNA28&amp;"*"&amp;TEXT(WNH28-utc_offset/24,"YYYYMMDD")&amp;"*"" /stext="" "&amp;TEXT(WNH28-utc_offset/24,"HH")&amp;search_regexp&amp;""""</f>
        <v>#REF!</v>
      </c>
      <c r="WOF28" s="234" t="e">
        <f>astrogrep_path&amp;" /e /r /s /spath="&amp;search_path&amp;" /stypes=""app*"&amp;WNB28&amp;"*"&amp;TEXT(WNI28-utc_offset/24,"YYYYMMDD")&amp;"*"" /stext="" "&amp;TEXT(WNI28-utc_offset/24,"HH")&amp;search_regexp&amp;""""</f>
        <v>#REF!</v>
      </c>
      <c r="WOG28" s="234" t="e">
        <f>astrogrep_path&amp;" /e /r /s /spath="&amp;search_path&amp;" /stypes=""app*"&amp;WNC28&amp;"*"&amp;TEXT(WNJ28-utc_offset/24,"YYYYMMDD")&amp;"*"" /stext="" "&amp;TEXT(WNJ28-utc_offset/24,"HH")&amp;search_regexp&amp;""""</f>
        <v>#REF!</v>
      </c>
      <c r="WOH28" s="234" t="e">
        <f>astrogrep_path&amp;" /e /r /s /spath="&amp;search_path&amp;" /stypes=""app*"&amp;WND28&amp;"*"&amp;TEXT(WNK28-utc_offset/24,"YYYYMMDD")&amp;"*"" /stext="" "&amp;TEXT(WNK28-utc_offset/24,"HH")&amp;search_regexp&amp;""""</f>
        <v>#REF!</v>
      </c>
      <c r="WOI28" s="234" t="e">
        <f>astrogrep_path&amp;" /e /r /s /spath="&amp;search_path&amp;" /stypes=""app*"&amp;WNE28&amp;"*"&amp;TEXT(WNL28-utc_offset/24,"YYYYMMDD")&amp;"*"" /stext="" "&amp;TEXT(WNL28-utc_offset/24,"HH")&amp;search_regexp&amp;""""</f>
        <v>#REF!</v>
      </c>
      <c r="WOJ28" s="234" t="e">
        <f>astrogrep_path&amp;" /e /r /s /spath="&amp;search_path&amp;" /stypes=""app*"&amp;WNF28&amp;"*"&amp;TEXT(WNM28-utc_offset/24,"YYYYMMDD")&amp;"*"" /stext="" "&amp;TEXT(WNM28-utc_offset/24,"HH")&amp;search_regexp&amp;""""</f>
        <v>#REF!</v>
      </c>
      <c r="WOK28" s="234" t="e">
        <f>astrogrep_path&amp;" /e /r /s /spath="&amp;search_path&amp;" /stypes=""app*"&amp;WNG28&amp;"*"&amp;TEXT(WNN28-utc_offset/24,"YYYYMMDD")&amp;"*"" /stext="" "&amp;TEXT(WNN28-utc_offset/24,"HH")&amp;search_regexp&amp;""""</f>
        <v>#REF!</v>
      </c>
      <c r="WOL28" s="234" t="e">
        <f>astrogrep_path&amp;" /e /r /s /spath="&amp;search_path&amp;" /stypes=""app*"&amp;WNH28&amp;"*"&amp;TEXT(WNO28-utc_offset/24,"YYYYMMDD")&amp;"*"" /stext="" "&amp;TEXT(WNO28-utc_offset/24,"HH")&amp;search_regexp&amp;""""</f>
        <v>#REF!</v>
      </c>
      <c r="WOM28" s="234" t="e">
        <f>astrogrep_path&amp;" /e /r /s /spath="&amp;search_path&amp;" /stypes=""app*"&amp;WNI28&amp;"*"&amp;TEXT(WNP28-utc_offset/24,"YYYYMMDD")&amp;"*"" /stext="" "&amp;TEXT(WNP28-utc_offset/24,"HH")&amp;search_regexp&amp;""""</f>
        <v>#REF!</v>
      </c>
      <c r="WON28" s="234" t="e">
        <f>astrogrep_path&amp;" /e /r /s /spath="&amp;search_path&amp;" /stypes=""app*"&amp;WNJ28&amp;"*"&amp;TEXT(WNQ28-utc_offset/24,"YYYYMMDD")&amp;"*"" /stext="" "&amp;TEXT(WNQ28-utc_offset/24,"HH")&amp;search_regexp&amp;""""</f>
        <v>#REF!</v>
      </c>
      <c r="WOO28" s="234" t="e">
        <f>astrogrep_path&amp;" /e /r /s /spath="&amp;search_path&amp;" /stypes=""app*"&amp;WNK28&amp;"*"&amp;TEXT(WNR28-utc_offset/24,"YYYYMMDD")&amp;"*"" /stext="" "&amp;TEXT(WNR28-utc_offset/24,"HH")&amp;search_regexp&amp;""""</f>
        <v>#REF!</v>
      </c>
      <c r="WOP28" s="234" t="e">
        <f>astrogrep_path&amp;" /e /r /s /spath="&amp;search_path&amp;" /stypes=""app*"&amp;WNL28&amp;"*"&amp;TEXT(WNS28-utc_offset/24,"YYYYMMDD")&amp;"*"" /stext="" "&amp;TEXT(WNS28-utc_offset/24,"HH")&amp;search_regexp&amp;""""</f>
        <v>#REF!</v>
      </c>
      <c r="WOQ28" s="234" t="e">
        <f>astrogrep_path&amp;" /e /r /s /spath="&amp;search_path&amp;" /stypes=""app*"&amp;WNM28&amp;"*"&amp;TEXT(WNT28-utc_offset/24,"YYYYMMDD")&amp;"*"" /stext="" "&amp;TEXT(WNT28-utc_offset/24,"HH")&amp;search_regexp&amp;""""</f>
        <v>#REF!</v>
      </c>
      <c r="WOR28" s="234" t="e">
        <f>astrogrep_path&amp;" /e /r /s /spath="&amp;search_path&amp;" /stypes=""app*"&amp;WNN28&amp;"*"&amp;TEXT(WNU28-utc_offset/24,"YYYYMMDD")&amp;"*"" /stext="" "&amp;TEXT(WNU28-utc_offset/24,"HH")&amp;search_regexp&amp;""""</f>
        <v>#REF!</v>
      </c>
      <c r="WOS28" s="234" t="e">
        <f>astrogrep_path&amp;" /e /r /s /spath="&amp;search_path&amp;" /stypes=""app*"&amp;WNO28&amp;"*"&amp;TEXT(WNV28-utc_offset/24,"YYYYMMDD")&amp;"*"" /stext="" "&amp;TEXT(WNV28-utc_offset/24,"HH")&amp;search_regexp&amp;""""</f>
        <v>#REF!</v>
      </c>
      <c r="WOT28" s="234" t="e">
        <f>astrogrep_path&amp;" /e /r /s /spath="&amp;search_path&amp;" /stypes=""app*"&amp;WNP28&amp;"*"&amp;TEXT(WNW28-utc_offset/24,"YYYYMMDD")&amp;"*"" /stext="" "&amp;TEXT(WNW28-utc_offset/24,"HH")&amp;search_regexp&amp;""""</f>
        <v>#REF!</v>
      </c>
      <c r="WOU28" s="234" t="e">
        <f>astrogrep_path&amp;" /e /r /s /spath="&amp;search_path&amp;" /stypes=""app*"&amp;WNQ28&amp;"*"&amp;TEXT(WNX28-utc_offset/24,"YYYYMMDD")&amp;"*"" /stext="" "&amp;TEXT(WNX28-utc_offset/24,"HH")&amp;search_regexp&amp;""""</f>
        <v>#REF!</v>
      </c>
      <c r="WOV28" s="234" t="e">
        <f>astrogrep_path&amp;" /e /r /s /spath="&amp;search_path&amp;" /stypes=""app*"&amp;WNR28&amp;"*"&amp;TEXT(WNY28-utc_offset/24,"YYYYMMDD")&amp;"*"" /stext="" "&amp;TEXT(WNY28-utc_offset/24,"HH")&amp;search_regexp&amp;""""</f>
        <v>#REF!</v>
      </c>
      <c r="WOW28" s="234" t="e">
        <f>astrogrep_path&amp;" /e /r /s /spath="&amp;search_path&amp;" /stypes=""app*"&amp;WNS28&amp;"*"&amp;TEXT(WNZ28-utc_offset/24,"YYYYMMDD")&amp;"*"" /stext="" "&amp;TEXT(WNZ28-utc_offset/24,"HH")&amp;search_regexp&amp;""""</f>
        <v>#VALUE!</v>
      </c>
      <c r="WOX28" s="234" t="e">
        <f>astrogrep_path&amp;" /e /r /s /spath="&amp;search_path&amp;" /stypes=""app*"&amp;WNT28&amp;"*"&amp;TEXT(WOA28-utc_offset/24,"YYYYMMDD")&amp;"*"" /stext="" "&amp;TEXT(WOA28-utc_offset/24,"HH")&amp;search_regexp&amp;""""</f>
        <v>#VALUE!</v>
      </c>
      <c r="WOY28" s="234" t="e">
        <f>astrogrep_path&amp;" /e /r /s /spath="&amp;search_path&amp;" /stypes=""app*"&amp;WNU28&amp;"*"&amp;TEXT(WOB28-utc_offset/24,"YYYYMMDD")&amp;"*"" /stext="" "&amp;TEXT(WOB28-utc_offset/24,"HH")&amp;search_regexp&amp;""""</f>
        <v>#REF!</v>
      </c>
      <c r="WOZ28" s="234" t="e">
        <f>astrogrep_path&amp;" /e /r /s /spath="&amp;search_path&amp;" /stypes=""app*"&amp;WNV28&amp;"*"&amp;TEXT(WOC28-utc_offset/24,"YYYYMMDD")&amp;"*"" /stext="" "&amp;TEXT(WOC28-utc_offset/24,"HH")&amp;search_regexp&amp;""""</f>
        <v>#REF!</v>
      </c>
      <c r="WPA28" s="234" t="e">
        <f>astrogrep_path&amp;" /e /r /s /spath="&amp;search_path&amp;" /stypes=""app*"&amp;WNW28&amp;"*"&amp;TEXT(WOD28-utc_offset/24,"YYYYMMDD")&amp;"*"" /stext="" "&amp;TEXT(WOD28-utc_offset/24,"HH")&amp;search_regexp&amp;""""</f>
        <v>#VALUE!</v>
      </c>
      <c r="WPB28" s="234" t="e">
        <f>astrogrep_path&amp;" /e /r /s /spath="&amp;search_path&amp;" /stypes=""app*"&amp;WNX28&amp;"*"&amp;TEXT(WOE28-utc_offset/24,"YYYYMMDD")&amp;"*"" /stext="" "&amp;TEXT(WOE28-utc_offset/24,"HH")&amp;search_regexp&amp;""""</f>
        <v>#VALUE!</v>
      </c>
      <c r="WPC28" s="234" t="e">
        <f>astrogrep_path&amp;" /e /r /s /spath="&amp;search_path&amp;" /stypes=""app*"&amp;WNY28&amp;"*"&amp;TEXT(WOF28-utc_offset/24,"YYYYMMDD")&amp;"*"" /stext="" "&amp;TEXT(WOF28-utc_offset/24,"HH")&amp;search_regexp&amp;""""</f>
        <v>#VALUE!</v>
      </c>
      <c r="WPD28" s="234" t="e">
        <f>astrogrep_path&amp;" /e /r /s /spath="&amp;search_path&amp;" /stypes=""app*"&amp;WNZ28&amp;"*"&amp;TEXT(WOG28-utc_offset/24,"YYYYMMDD")&amp;"*"" /stext="" "&amp;TEXT(WOG28-utc_offset/24,"HH")&amp;search_regexp&amp;""""</f>
        <v>#VALUE!</v>
      </c>
      <c r="WPE28" s="234" t="e">
        <f>astrogrep_path&amp;" /e /r /s /spath="&amp;search_path&amp;" /stypes=""app*"&amp;WOA28&amp;"*"&amp;TEXT(WOH28-utc_offset/24,"YYYYMMDD")&amp;"*"" /stext="" "&amp;TEXT(WOH28-utc_offset/24,"HH")&amp;search_regexp&amp;""""</f>
        <v>#VALUE!</v>
      </c>
      <c r="WPF28" s="234" t="e">
        <f>astrogrep_path&amp;" /e /r /s /spath="&amp;search_path&amp;" /stypes=""app*"&amp;WOB28&amp;"*"&amp;TEXT(WOI28-utc_offset/24,"YYYYMMDD")&amp;"*"" /stext="" "&amp;TEXT(WOI28-utc_offset/24,"HH")&amp;search_regexp&amp;""""</f>
        <v>#REF!</v>
      </c>
      <c r="WPG28" s="234" t="e">
        <f>astrogrep_path&amp;" /e /r /s /spath="&amp;search_path&amp;" /stypes=""app*"&amp;WOC28&amp;"*"&amp;TEXT(WOJ28-utc_offset/24,"YYYYMMDD")&amp;"*"" /stext="" "&amp;TEXT(WOJ28-utc_offset/24,"HH")&amp;search_regexp&amp;""""</f>
        <v>#REF!</v>
      </c>
      <c r="WPH28" s="234" t="e">
        <f>astrogrep_path&amp;" /e /r /s /spath="&amp;search_path&amp;" /stypes=""app*"&amp;WOD28&amp;"*"&amp;TEXT(WOK28-utc_offset/24,"YYYYMMDD")&amp;"*"" /stext="" "&amp;TEXT(WOK28-utc_offset/24,"HH")&amp;search_regexp&amp;""""</f>
        <v>#REF!</v>
      </c>
      <c r="WPI28" s="234" t="e">
        <f>astrogrep_path&amp;" /e /r /s /spath="&amp;search_path&amp;" /stypes=""app*"&amp;WOE28&amp;"*"&amp;TEXT(WOL28-utc_offset/24,"YYYYMMDD")&amp;"*"" /stext="" "&amp;TEXT(WOL28-utc_offset/24,"HH")&amp;search_regexp&amp;""""</f>
        <v>#REF!</v>
      </c>
      <c r="WPJ28" s="234" t="e">
        <f>astrogrep_path&amp;" /e /r /s /spath="&amp;search_path&amp;" /stypes=""app*"&amp;WOF28&amp;"*"&amp;TEXT(WOM28-utc_offset/24,"YYYYMMDD")&amp;"*"" /stext="" "&amp;TEXT(WOM28-utc_offset/24,"HH")&amp;search_regexp&amp;""""</f>
        <v>#REF!</v>
      </c>
      <c r="WPK28" s="234" t="e">
        <f>astrogrep_path&amp;" /e /r /s /spath="&amp;search_path&amp;" /stypes=""app*"&amp;WOG28&amp;"*"&amp;TEXT(WON28-utc_offset/24,"YYYYMMDD")&amp;"*"" /stext="" "&amp;TEXT(WON28-utc_offset/24,"HH")&amp;search_regexp&amp;""""</f>
        <v>#REF!</v>
      </c>
      <c r="WPL28" s="234" t="e">
        <f>astrogrep_path&amp;" /e /r /s /spath="&amp;search_path&amp;" /stypes=""app*"&amp;WOH28&amp;"*"&amp;TEXT(WOO28-utc_offset/24,"YYYYMMDD")&amp;"*"" /stext="" "&amp;TEXT(WOO28-utc_offset/24,"HH")&amp;search_regexp&amp;""""</f>
        <v>#REF!</v>
      </c>
      <c r="WPM28" s="234" t="e">
        <f>astrogrep_path&amp;" /e /r /s /spath="&amp;search_path&amp;" /stypes=""app*"&amp;WOI28&amp;"*"&amp;TEXT(WOP28-utc_offset/24,"YYYYMMDD")&amp;"*"" /stext="" "&amp;TEXT(WOP28-utc_offset/24,"HH")&amp;search_regexp&amp;""""</f>
        <v>#REF!</v>
      </c>
      <c r="WPN28" s="234" t="e">
        <f>astrogrep_path&amp;" /e /r /s /spath="&amp;search_path&amp;" /stypes=""app*"&amp;WOJ28&amp;"*"&amp;TEXT(WOQ28-utc_offset/24,"YYYYMMDD")&amp;"*"" /stext="" "&amp;TEXT(WOQ28-utc_offset/24,"HH")&amp;search_regexp&amp;""""</f>
        <v>#REF!</v>
      </c>
      <c r="WPO28" s="234" t="e">
        <f>astrogrep_path&amp;" /e /r /s /spath="&amp;search_path&amp;" /stypes=""app*"&amp;WOK28&amp;"*"&amp;TEXT(WOR28-utc_offset/24,"YYYYMMDD")&amp;"*"" /stext="" "&amp;TEXT(WOR28-utc_offset/24,"HH")&amp;search_regexp&amp;""""</f>
        <v>#REF!</v>
      </c>
      <c r="WPP28" s="234" t="e">
        <f>astrogrep_path&amp;" /e /r /s /spath="&amp;search_path&amp;" /stypes=""app*"&amp;WOL28&amp;"*"&amp;TEXT(WOS28-utc_offset/24,"YYYYMMDD")&amp;"*"" /stext="" "&amp;TEXT(WOS28-utc_offset/24,"HH")&amp;search_regexp&amp;""""</f>
        <v>#REF!</v>
      </c>
      <c r="WPQ28" s="234" t="e">
        <f>astrogrep_path&amp;" /e /r /s /spath="&amp;search_path&amp;" /stypes=""app*"&amp;WOM28&amp;"*"&amp;TEXT(WOT28-utc_offset/24,"YYYYMMDD")&amp;"*"" /stext="" "&amp;TEXT(WOT28-utc_offset/24,"HH")&amp;search_regexp&amp;""""</f>
        <v>#REF!</v>
      </c>
      <c r="WPR28" s="234" t="e">
        <f>astrogrep_path&amp;" /e /r /s /spath="&amp;search_path&amp;" /stypes=""app*"&amp;WON28&amp;"*"&amp;TEXT(WOU28-utc_offset/24,"YYYYMMDD")&amp;"*"" /stext="" "&amp;TEXT(WOU28-utc_offset/24,"HH")&amp;search_regexp&amp;""""</f>
        <v>#REF!</v>
      </c>
      <c r="WPS28" s="234" t="e">
        <f>astrogrep_path&amp;" /e /r /s /spath="&amp;search_path&amp;" /stypes=""app*"&amp;WOO28&amp;"*"&amp;TEXT(WOV28-utc_offset/24,"YYYYMMDD")&amp;"*"" /stext="" "&amp;TEXT(WOV28-utc_offset/24,"HH")&amp;search_regexp&amp;""""</f>
        <v>#REF!</v>
      </c>
      <c r="WPT28" s="234" t="e">
        <f>astrogrep_path&amp;" /e /r /s /spath="&amp;search_path&amp;" /stypes=""app*"&amp;WOP28&amp;"*"&amp;TEXT(WOW28-utc_offset/24,"YYYYMMDD")&amp;"*"" /stext="" "&amp;TEXT(WOW28-utc_offset/24,"HH")&amp;search_regexp&amp;""""</f>
        <v>#REF!</v>
      </c>
      <c r="WPU28" s="234" t="e">
        <f>astrogrep_path&amp;" /e /r /s /spath="&amp;search_path&amp;" /stypes=""app*"&amp;WOQ28&amp;"*"&amp;TEXT(WOX28-utc_offset/24,"YYYYMMDD")&amp;"*"" /stext="" "&amp;TEXT(WOX28-utc_offset/24,"HH")&amp;search_regexp&amp;""""</f>
        <v>#REF!</v>
      </c>
      <c r="WPV28" s="234" t="e">
        <f>astrogrep_path&amp;" /e /r /s /spath="&amp;search_path&amp;" /stypes=""app*"&amp;WOR28&amp;"*"&amp;TEXT(WOY28-utc_offset/24,"YYYYMMDD")&amp;"*"" /stext="" "&amp;TEXT(WOY28-utc_offset/24,"HH")&amp;search_regexp&amp;""""</f>
        <v>#REF!</v>
      </c>
      <c r="WPW28" s="234" t="e">
        <f>astrogrep_path&amp;" /e /r /s /spath="&amp;search_path&amp;" /stypes=""app*"&amp;WOS28&amp;"*"&amp;TEXT(WOZ28-utc_offset/24,"YYYYMMDD")&amp;"*"" /stext="" "&amp;TEXT(WOZ28-utc_offset/24,"HH")&amp;search_regexp&amp;""""</f>
        <v>#REF!</v>
      </c>
      <c r="WPX28" s="234" t="e">
        <f>astrogrep_path&amp;" /e /r /s /spath="&amp;search_path&amp;" /stypes=""app*"&amp;WOT28&amp;"*"&amp;TEXT(WPA28-utc_offset/24,"YYYYMMDD")&amp;"*"" /stext="" "&amp;TEXT(WPA28-utc_offset/24,"HH")&amp;search_regexp&amp;""""</f>
        <v>#REF!</v>
      </c>
      <c r="WPY28" s="234" t="e">
        <f>astrogrep_path&amp;" /e /r /s /spath="&amp;search_path&amp;" /stypes=""app*"&amp;WOU28&amp;"*"&amp;TEXT(WPB28-utc_offset/24,"YYYYMMDD")&amp;"*"" /stext="" "&amp;TEXT(WPB28-utc_offset/24,"HH")&amp;search_regexp&amp;""""</f>
        <v>#REF!</v>
      </c>
      <c r="WPZ28" s="234" t="e">
        <f>astrogrep_path&amp;" /e /r /s /spath="&amp;search_path&amp;" /stypes=""app*"&amp;WOV28&amp;"*"&amp;TEXT(WPC28-utc_offset/24,"YYYYMMDD")&amp;"*"" /stext="" "&amp;TEXT(WPC28-utc_offset/24,"HH")&amp;search_regexp&amp;""""</f>
        <v>#REF!</v>
      </c>
      <c r="WQA28" s="234" t="e">
        <f>astrogrep_path&amp;" /e /r /s /spath="&amp;search_path&amp;" /stypes=""app*"&amp;WOW28&amp;"*"&amp;TEXT(WPD28-utc_offset/24,"YYYYMMDD")&amp;"*"" /stext="" "&amp;TEXT(WPD28-utc_offset/24,"HH")&amp;search_regexp&amp;""""</f>
        <v>#VALUE!</v>
      </c>
      <c r="WQB28" s="234" t="e">
        <f>astrogrep_path&amp;" /e /r /s /spath="&amp;search_path&amp;" /stypes=""app*"&amp;WOX28&amp;"*"&amp;TEXT(WPE28-utc_offset/24,"YYYYMMDD")&amp;"*"" /stext="" "&amp;TEXT(WPE28-utc_offset/24,"HH")&amp;search_regexp&amp;""""</f>
        <v>#VALUE!</v>
      </c>
      <c r="WQC28" s="234" t="e">
        <f>astrogrep_path&amp;" /e /r /s /spath="&amp;search_path&amp;" /stypes=""app*"&amp;WOY28&amp;"*"&amp;TEXT(WPF28-utc_offset/24,"YYYYMMDD")&amp;"*"" /stext="" "&amp;TEXT(WPF28-utc_offset/24,"HH")&amp;search_regexp&amp;""""</f>
        <v>#REF!</v>
      </c>
      <c r="WQD28" s="234" t="e">
        <f>astrogrep_path&amp;" /e /r /s /spath="&amp;search_path&amp;" /stypes=""app*"&amp;WOZ28&amp;"*"&amp;TEXT(WPG28-utc_offset/24,"YYYYMMDD")&amp;"*"" /stext="" "&amp;TEXT(WPG28-utc_offset/24,"HH")&amp;search_regexp&amp;""""</f>
        <v>#REF!</v>
      </c>
      <c r="WQE28" s="234" t="e">
        <f>astrogrep_path&amp;" /e /r /s /spath="&amp;search_path&amp;" /stypes=""app*"&amp;WPA28&amp;"*"&amp;TEXT(WPH28-utc_offset/24,"YYYYMMDD")&amp;"*"" /stext="" "&amp;TEXT(WPH28-utc_offset/24,"HH")&amp;search_regexp&amp;""""</f>
        <v>#VALUE!</v>
      </c>
      <c r="WQF28" s="234" t="e">
        <f>astrogrep_path&amp;" /e /r /s /spath="&amp;search_path&amp;" /stypes=""app*"&amp;WPB28&amp;"*"&amp;TEXT(WPI28-utc_offset/24,"YYYYMMDD")&amp;"*"" /stext="" "&amp;TEXT(WPI28-utc_offset/24,"HH")&amp;search_regexp&amp;""""</f>
        <v>#VALUE!</v>
      </c>
      <c r="WQG28" s="234" t="e">
        <f>astrogrep_path&amp;" /e /r /s /spath="&amp;search_path&amp;" /stypes=""app*"&amp;WPC28&amp;"*"&amp;TEXT(WPJ28-utc_offset/24,"YYYYMMDD")&amp;"*"" /stext="" "&amp;TEXT(WPJ28-utc_offset/24,"HH")&amp;search_regexp&amp;""""</f>
        <v>#VALUE!</v>
      </c>
      <c r="WQH28" s="234" t="e">
        <f>astrogrep_path&amp;" /e /r /s /spath="&amp;search_path&amp;" /stypes=""app*"&amp;WPD28&amp;"*"&amp;TEXT(WPK28-utc_offset/24,"YYYYMMDD")&amp;"*"" /stext="" "&amp;TEXT(WPK28-utc_offset/24,"HH")&amp;search_regexp&amp;""""</f>
        <v>#VALUE!</v>
      </c>
      <c r="WQI28" s="234" t="e">
        <f>astrogrep_path&amp;" /e /r /s /spath="&amp;search_path&amp;" /stypes=""app*"&amp;WPE28&amp;"*"&amp;TEXT(WPL28-utc_offset/24,"YYYYMMDD")&amp;"*"" /stext="" "&amp;TEXT(WPL28-utc_offset/24,"HH")&amp;search_regexp&amp;""""</f>
        <v>#VALUE!</v>
      </c>
      <c r="WQJ28" s="234" t="e">
        <f>astrogrep_path&amp;" /e /r /s /spath="&amp;search_path&amp;" /stypes=""app*"&amp;WPF28&amp;"*"&amp;TEXT(WPM28-utc_offset/24,"YYYYMMDD")&amp;"*"" /stext="" "&amp;TEXT(WPM28-utc_offset/24,"HH")&amp;search_regexp&amp;""""</f>
        <v>#REF!</v>
      </c>
      <c r="WQK28" s="234" t="e">
        <f>astrogrep_path&amp;" /e /r /s /spath="&amp;search_path&amp;" /stypes=""app*"&amp;WPG28&amp;"*"&amp;TEXT(WPN28-utc_offset/24,"YYYYMMDD")&amp;"*"" /stext="" "&amp;TEXT(WPN28-utc_offset/24,"HH")&amp;search_regexp&amp;""""</f>
        <v>#REF!</v>
      </c>
      <c r="WQL28" s="234" t="e">
        <f>astrogrep_path&amp;" /e /r /s /spath="&amp;search_path&amp;" /stypes=""app*"&amp;WPH28&amp;"*"&amp;TEXT(WPO28-utc_offset/24,"YYYYMMDD")&amp;"*"" /stext="" "&amp;TEXT(WPO28-utc_offset/24,"HH")&amp;search_regexp&amp;""""</f>
        <v>#REF!</v>
      </c>
      <c r="WQM28" s="234" t="e">
        <f>astrogrep_path&amp;" /e /r /s /spath="&amp;search_path&amp;" /stypes=""app*"&amp;WPI28&amp;"*"&amp;TEXT(WPP28-utc_offset/24,"YYYYMMDD")&amp;"*"" /stext="" "&amp;TEXT(WPP28-utc_offset/24,"HH")&amp;search_regexp&amp;""""</f>
        <v>#REF!</v>
      </c>
      <c r="WQN28" s="234" t="e">
        <f>astrogrep_path&amp;" /e /r /s /spath="&amp;search_path&amp;" /stypes=""app*"&amp;WPJ28&amp;"*"&amp;TEXT(WPQ28-utc_offset/24,"YYYYMMDD")&amp;"*"" /stext="" "&amp;TEXT(WPQ28-utc_offset/24,"HH")&amp;search_regexp&amp;""""</f>
        <v>#REF!</v>
      </c>
      <c r="WQO28" s="234" t="e">
        <f>astrogrep_path&amp;" /e /r /s /spath="&amp;search_path&amp;" /stypes=""app*"&amp;WPK28&amp;"*"&amp;TEXT(WPR28-utc_offset/24,"YYYYMMDD")&amp;"*"" /stext="" "&amp;TEXT(WPR28-utc_offset/24,"HH")&amp;search_regexp&amp;""""</f>
        <v>#REF!</v>
      </c>
      <c r="WQP28" s="234" t="e">
        <f>astrogrep_path&amp;" /e /r /s /spath="&amp;search_path&amp;" /stypes=""app*"&amp;WPL28&amp;"*"&amp;TEXT(WPS28-utc_offset/24,"YYYYMMDD")&amp;"*"" /stext="" "&amp;TEXT(WPS28-utc_offset/24,"HH")&amp;search_regexp&amp;""""</f>
        <v>#REF!</v>
      </c>
      <c r="WQQ28" s="234" t="e">
        <f>astrogrep_path&amp;" /e /r /s /spath="&amp;search_path&amp;" /stypes=""app*"&amp;WPM28&amp;"*"&amp;TEXT(WPT28-utc_offset/24,"YYYYMMDD")&amp;"*"" /stext="" "&amp;TEXT(WPT28-utc_offset/24,"HH")&amp;search_regexp&amp;""""</f>
        <v>#REF!</v>
      </c>
      <c r="WQR28" s="234" t="e">
        <f>astrogrep_path&amp;" /e /r /s /spath="&amp;search_path&amp;" /stypes=""app*"&amp;WPN28&amp;"*"&amp;TEXT(WPU28-utc_offset/24,"YYYYMMDD")&amp;"*"" /stext="" "&amp;TEXT(WPU28-utc_offset/24,"HH")&amp;search_regexp&amp;""""</f>
        <v>#REF!</v>
      </c>
      <c r="WQS28" s="234" t="e">
        <f>astrogrep_path&amp;" /e /r /s /spath="&amp;search_path&amp;" /stypes=""app*"&amp;WPO28&amp;"*"&amp;TEXT(WPV28-utc_offset/24,"YYYYMMDD")&amp;"*"" /stext="" "&amp;TEXT(WPV28-utc_offset/24,"HH")&amp;search_regexp&amp;""""</f>
        <v>#REF!</v>
      </c>
      <c r="WQT28" s="234" t="e">
        <f>astrogrep_path&amp;" /e /r /s /spath="&amp;search_path&amp;" /stypes=""app*"&amp;WPP28&amp;"*"&amp;TEXT(WPW28-utc_offset/24,"YYYYMMDD")&amp;"*"" /stext="" "&amp;TEXT(WPW28-utc_offset/24,"HH")&amp;search_regexp&amp;""""</f>
        <v>#REF!</v>
      </c>
      <c r="WQU28" s="234" t="e">
        <f>astrogrep_path&amp;" /e /r /s /spath="&amp;search_path&amp;" /stypes=""app*"&amp;WPQ28&amp;"*"&amp;TEXT(WPX28-utc_offset/24,"YYYYMMDD")&amp;"*"" /stext="" "&amp;TEXT(WPX28-utc_offset/24,"HH")&amp;search_regexp&amp;""""</f>
        <v>#REF!</v>
      </c>
      <c r="WQV28" s="234" t="e">
        <f>astrogrep_path&amp;" /e /r /s /spath="&amp;search_path&amp;" /stypes=""app*"&amp;WPR28&amp;"*"&amp;TEXT(WPY28-utc_offset/24,"YYYYMMDD")&amp;"*"" /stext="" "&amp;TEXT(WPY28-utc_offset/24,"HH")&amp;search_regexp&amp;""""</f>
        <v>#REF!</v>
      </c>
      <c r="WQW28" s="234" t="e">
        <f>astrogrep_path&amp;" /e /r /s /spath="&amp;search_path&amp;" /stypes=""app*"&amp;WPS28&amp;"*"&amp;TEXT(WPZ28-utc_offset/24,"YYYYMMDD")&amp;"*"" /stext="" "&amp;TEXT(WPZ28-utc_offset/24,"HH")&amp;search_regexp&amp;""""</f>
        <v>#REF!</v>
      </c>
      <c r="WQX28" s="234" t="e">
        <f>astrogrep_path&amp;" /e /r /s /spath="&amp;search_path&amp;" /stypes=""app*"&amp;WPT28&amp;"*"&amp;TEXT(WQA28-utc_offset/24,"YYYYMMDD")&amp;"*"" /stext="" "&amp;TEXT(WQA28-utc_offset/24,"HH")&amp;search_regexp&amp;""""</f>
        <v>#REF!</v>
      </c>
      <c r="WQY28" s="234" t="e">
        <f>astrogrep_path&amp;" /e /r /s /spath="&amp;search_path&amp;" /stypes=""app*"&amp;WPU28&amp;"*"&amp;TEXT(WQB28-utc_offset/24,"YYYYMMDD")&amp;"*"" /stext="" "&amp;TEXT(WQB28-utc_offset/24,"HH")&amp;search_regexp&amp;""""</f>
        <v>#REF!</v>
      </c>
      <c r="WQZ28" s="234" t="e">
        <f>astrogrep_path&amp;" /e /r /s /spath="&amp;search_path&amp;" /stypes=""app*"&amp;WPV28&amp;"*"&amp;TEXT(WQC28-utc_offset/24,"YYYYMMDD")&amp;"*"" /stext="" "&amp;TEXT(WQC28-utc_offset/24,"HH")&amp;search_regexp&amp;""""</f>
        <v>#REF!</v>
      </c>
      <c r="WRA28" s="234" t="e">
        <f>astrogrep_path&amp;" /e /r /s /spath="&amp;search_path&amp;" /stypes=""app*"&amp;WPW28&amp;"*"&amp;TEXT(WQD28-utc_offset/24,"YYYYMMDD")&amp;"*"" /stext="" "&amp;TEXT(WQD28-utc_offset/24,"HH")&amp;search_regexp&amp;""""</f>
        <v>#REF!</v>
      </c>
      <c r="WRB28" s="234" t="e">
        <f>astrogrep_path&amp;" /e /r /s /spath="&amp;search_path&amp;" /stypes=""app*"&amp;WPX28&amp;"*"&amp;TEXT(WQE28-utc_offset/24,"YYYYMMDD")&amp;"*"" /stext="" "&amp;TEXT(WQE28-utc_offset/24,"HH")&amp;search_regexp&amp;""""</f>
        <v>#REF!</v>
      </c>
      <c r="WRC28" s="234" t="e">
        <f>astrogrep_path&amp;" /e /r /s /spath="&amp;search_path&amp;" /stypes=""app*"&amp;WPY28&amp;"*"&amp;TEXT(WQF28-utc_offset/24,"YYYYMMDD")&amp;"*"" /stext="" "&amp;TEXT(WQF28-utc_offset/24,"HH")&amp;search_regexp&amp;""""</f>
        <v>#REF!</v>
      </c>
      <c r="WRD28" s="234" t="e">
        <f>astrogrep_path&amp;" /e /r /s /spath="&amp;search_path&amp;" /stypes=""app*"&amp;WPZ28&amp;"*"&amp;TEXT(WQG28-utc_offset/24,"YYYYMMDD")&amp;"*"" /stext="" "&amp;TEXT(WQG28-utc_offset/24,"HH")&amp;search_regexp&amp;""""</f>
        <v>#REF!</v>
      </c>
      <c r="WRE28" s="234" t="e">
        <f>astrogrep_path&amp;" /e /r /s /spath="&amp;search_path&amp;" /stypes=""app*"&amp;WQA28&amp;"*"&amp;TEXT(WQH28-utc_offset/24,"YYYYMMDD")&amp;"*"" /stext="" "&amp;TEXT(WQH28-utc_offset/24,"HH")&amp;search_regexp&amp;""""</f>
        <v>#VALUE!</v>
      </c>
      <c r="WRF28" s="234" t="e">
        <f>astrogrep_path&amp;" /e /r /s /spath="&amp;search_path&amp;" /stypes=""app*"&amp;WQB28&amp;"*"&amp;TEXT(WQI28-utc_offset/24,"YYYYMMDD")&amp;"*"" /stext="" "&amp;TEXT(WQI28-utc_offset/24,"HH")&amp;search_regexp&amp;""""</f>
        <v>#VALUE!</v>
      </c>
      <c r="WRG28" s="234" t="e">
        <f>astrogrep_path&amp;" /e /r /s /spath="&amp;search_path&amp;" /stypes=""app*"&amp;WQC28&amp;"*"&amp;TEXT(WQJ28-utc_offset/24,"YYYYMMDD")&amp;"*"" /stext="" "&amp;TEXT(WQJ28-utc_offset/24,"HH")&amp;search_regexp&amp;""""</f>
        <v>#REF!</v>
      </c>
      <c r="WRH28" s="234" t="e">
        <f>astrogrep_path&amp;" /e /r /s /spath="&amp;search_path&amp;" /stypes=""app*"&amp;WQD28&amp;"*"&amp;TEXT(WQK28-utc_offset/24,"YYYYMMDD")&amp;"*"" /stext="" "&amp;TEXT(WQK28-utc_offset/24,"HH")&amp;search_regexp&amp;""""</f>
        <v>#REF!</v>
      </c>
      <c r="WRI28" s="234" t="e">
        <f>astrogrep_path&amp;" /e /r /s /spath="&amp;search_path&amp;" /stypes=""app*"&amp;WQE28&amp;"*"&amp;TEXT(WQL28-utc_offset/24,"YYYYMMDD")&amp;"*"" /stext="" "&amp;TEXT(WQL28-utc_offset/24,"HH")&amp;search_regexp&amp;""""</f>
        <v>#VALUE!</v>
      </c>
      <c r="WRJ28" s="234" t="e">
        <f>astrogrep_path&amp;" /e /r /s /spath="&amp;search_path&amp;" /stypes=""app*"&amp;WQF28&amp;"*"&amp;TEXT(WQM28-utc_offset/24,"YYYYMMDD")&amp;"*"" /stext="" "&amp;TEXT(WQM28-utc_offset/24,"HH")&amp;search_regexp&amp;""""</f>
        <v>#VALUE!</v>
      </c>
      <c r="WRK28" s="234" t="e">
        <f>astrogrep_path&amp;" /e /r /s /spath="&amp;search_path&amp;" /stypes=""app*"&amp;WQG28&amp;"*"&amp;TEXT(WQN28-utc_offset/24,"YYYYMMDD")&amp;"*"" /stext="" "&amp;TEXT(WQN28-utc_offset/24,"HH")&amp;search_regexp&amp;""""</f>
        <v>#VALUE!</v>
      </c>
      <c r="WRL28" s="234" t="e">
        <f>astrogrep_path&amp;" /e /r /s /spath="&amp;search_path&amp;" /stypes=""app*"&amp;WQH28&amp;"*"&amp;TEXT(WQO28-utc_offset/24,"YYYYMMDD")&amp;"*"" /stext="" "&amp;TEXT(WQO28-utc_offset/24,"HH")&amp;search_regexp&amp;""""</f>
        <v>#VALUE!</v>
      </c>
      <c r="WRM28" s="234" t="e">
        <f>astrogrep_path&amp;" /e /r /s /spath="&amp;search_path&amp;" /stypes=""app*"&amp;WQI28&amp;"*"&amp;TEXT(WQP28-utc_offset/24,"YYYYMMDD")&amp;"*"" /stext="" "&amp;TEXT(WQP28-utc_offset/24,"HH")&amp;search_regexp&amp;""""</f>
        <v>#VALUE!</v>
      </c>
      <c r="WRN28" s="234" t="e">
        <f>astrogrep_path&amp;" /e /r /s /spath="&amp;search_path&amp;" /stypes=""app*"&amp;WQJ28&amp;"*"&amp;TEXT(WQQ28-utc_offset/24,"YYYYMMDD")&amp;"*"" /stext="" "&amp;TEXT(WQQ28-utc_offset/24,"HH")&amp;search_regexp&amp;""""</f>
        <v>#REF!</v>
      </c>
      <c r="WRO28" s="234" t="e">
        <f>astrogrep_path&amp;" /e /r /s /spath="&amp;search_path&amp;" /stypes=""app*"&amp;WQK28&amp;"*"&amp;TEXT(WQR28-utc_offset/24,"YYYYMMDD")&amp;"*"" /stext="" "&amp;TEXT(WQR28-utc_offset/24,"HH")&amp;search_regexp&amp;""""</f>
        <v>#REF!</v>
      </c>
      <c r="WRP28" s="234" t="e">
        <f>astrogrep_path&amp;" /e /r /s /spath="&amp;search_path&amp;" /stypes=""app*"&amp;WQL28&amp;"*"&amp;TEXT(WQS28-utc_offset/24,"YYYYMMDD")&amp;"*"" /stext="" "&amp;TEXT(WQS28-utc_offset/24,"HH")&amp;search_regexp&amp;""""</f>
        <v>#REF!</v>
      </c>
      <c r="WRQ28" s="234" t="e">
        <f>astrogrep_path&amp;" /e /r /s /spath="&amp;search_path&amp;" /stypes=""app*"&amp;WQM28&amp;"*"&amp;TEXT(WQT28-utc_offset/24,"YYYYMMDD")&amp;"*"" /stext="" "&amp;TEXT(WQT28-utc_offset/24,"HH")&amp;search_regexp&amp;""""</f>
        <v>#REF!</v>
      </c>
      <c r="WRR28" s="234" t="e">
        <f>astrogrep_path&amp;" /e /r /s /spath="&amp;search_path&amp;" /stypes=""app*"&amp;WQN28&amp;"*"&amp;TEXT(WQU28-utc_offset/24,"YYYYMMDD")&amp;"*"" /stext="" "&amp;TEXT(WQU28-utc_offset/24,"HH")&amp;search_regexp&amp;""""</f>
        <v>#REF!</v>
      </c>
      <c r="WRS28" s="234" t="e">
        <f>astrogrep_path&amp;" /e /r /s /spath="&amp;search_path&amp;" /stypes=""app*"&amp;WQO28&amp;"*"&amp;TEXT(WQV28-utc_offset/24,"YYYYMMDD")&amp;"*"" /stext="" "&amp;TEXT(WQV28-utc_offset/24,"HH")&amp;search_regexp&amp;""""</f>
        <v>#REF!</v>
      </c>
      <c r="WRT28" s="234" t="e">
        <f>astrogrep_path&amp;" /e /r /s /spath="&amp;search_path&amp;" /stypes=""app*"&amp;WQP28&amp;"*"&amp;TEXT(WQW28-utc_offset/24,"YYYYMMDD")&amp;"*"" /stext="" "&amp;TEXT(WQW28-utc_offset/24,"HH")&amp;search_regexp&amp;""""</f>
        <v>#REF!</v>
      </c>
      <c r="WRU28" s="234" t="e">
        <f>astrogrep_path&amp;" /e /r /s /spath="&amp;search_path&amp;" /stypes=""app*"&amp;WQQ28&amp;"*"&amp;TEXT(WQX28-utc_offset/24,"YYYYMMDD")&amp;"*"" /stext="" "&amp;TEXT(WQX28-utc_offset/24,"HH")&amp;search_regexp&amp;""""</f>
        <v>#REF!</v>
      </c>
      <c r="WRV28" s="234" t="e">
        <f>astrogrep_path&amp;" /e /r /s /spath="&amp;search_path&amp;" /stypes=""app*"&amp;WQR28&amp;"*"&amp;TEXT(WQY28-utc_offset/24,"YYYYMMDD")&amp;"*"" /stext="" "&amp;TEXT(WQY28-utc_offset/24,"HH")&amp;search_regexp&amp;""""</f>
        <v>#REF!</v>
      </c>
      <c r="WRW28" s="234" t="e">
        <f>astrogrep_path&amp;" /e /r /s /spath="&amp;search_path&amp;" /stypes=""app*"&amp;WQS28&amp;"*"&amp;TEXT(WQZ28-utc_offset/24,"YYYYMMDD")&amp;"*"" /stext="" "&amp;TEXT(WQZ28-utc_offset/24,"HH")&amp;search_regexp&amp;""""</f>
        <v>#REF!</v>
      </c>
      <c r="WRX28" s="234" t="e">
        <f>astrogrep_path&amp;" /e /r /s /spath="&amp;search_path&amp;" /stypes=""app*"&amp;WQT28&amp;"*"&amp;TEXT(WRA28-utc_offset/24,"YYYYMMDD")&amp;"*"" /stext="" "&amp;TEXT(WRA28-utc_offset/24,"HH")&amp;search_regexp&amp;""""</f>
        <v>#REF!</v>
      </c>
      <c r="WRY28" s="234" t="e">
        <f>astrogrep_path&amp;" /e /r /s /spath="&amp;search_path&amp;" /stypes=""app*"&amp;WQU28&amp;"*"&amp;TEXT(WRB28-utc_offset/24,"YYYYMMDD")&amp;"*"" /stext="" "&amp;TEXT(WRB28-utc_offset/24,"HH")&amp;search_regexp&amp;""""</f>
        <v>#REF!</v>
      </c>
      <c r="WRZ28" s="234" t="e">
        <f>astrogrep_path&amp;" /e /r /s /spath="&amp;search_path&amp;" /stypes=""app*"&amp;WQV28&amp;"*"&amp;TEXT(WRC28-utc_offset/24,"YYYYMMDD")&amp;"*"" /stext="" "&amp;TEXT(WRC28-utc_offset/24,"HH")&amp;search_regexp&amp;""""</f>
        <v>#REF!</v>
      </c>
      <c r="WSA28" s="234" t="e">
        <f>astrogrep_path&amp;" /e /r /s /spath="&amp;search_path&amp;" /stypes=""app*"&amp;WQW28&amp;"*"&amp;TEXT(WRD28-utc_offset/24,"YYYYMMDD")&amp;"*"" /stext="" "&amp;TEXT(WRD28-utc_offset/24,"HH")&amp;search_regexp&amp;""""</f>
        <v>#REF!</v>
      </c>
      <c r="WSB28" s="234" t="e">
        <f>astrogrep_path&amp;" /e /r /s /spath="&amp;search_path&amp;" /stypes=""app*"&amp;WQX28&amp;"*"&amp;TEXT(WRE28-utc_offset/24,"YYYYMMDD")&amp;"*"" /stext="" "&amp;TEXT(WRE28-utc_offset/24,"HH")&amp;search_regexp&amp;""""</f>
        <v>#REF!</v>
      </c>
      <c r="WSC28" s="234" t="e">
        <f>astrogrep_path&amp;" /e /r /s /spath="&amp;search_path&amp;" /stypes=""app*"&amp;WQY28&amp;"*"&amp;TEXT(WRF28-utc_offset/24,"YYYYMMDD")&amp;"*"" /stext="" "&amp;TEXT(WRF28-utc_offset/24,"HH")&amp;search_regexp&amp;""""</f>
        <v>#REF!</v>
      </c>
      <c r="WSD28" s="234" t="e">
        <f>astrogrep_path&amp;" /e /r /s /spath="&amp;search_path&amp;" /stypes=""app*"&amp;WQZ28&amp;"*"&amp;TEXT(WRG28-utc_offset/24,"YYYYMMDD")&amp;"*"" /stext="" "&amp;TEXT(WRG28-utc_offset/24,"HH")&amp;search_regexp&amp;""""</f>
        <v>#REF!</v>
      </c>
      <c r="WSE28" s="234" t="e">
        <f>astrogrep_path&amp;" /e /r /s /spath="&amp;search_path&amp;" /stypes=""app*"&amp;WRA28&amp;"*"&amp;TEXT(WRH28-utc_offset/24,"YYYYMMDD")&amp;"*"" /stext="" "&amp;TEXT(WRH28-utc_offset/24,"HH")&amp;search_regexp&amp;""""</f>
        <v>#REF!</v>
      </c>
      <c r="WSF28" s="234" t="e">
        <f>astrogrep_path&amp;" /e /r /s /spath="&amp;search_path&amp;" /stypes=""app*"&amp;WRB28&amp;"*"&amp;TEXT(WRI28-utc_offset/24,"YYYYMMDD")&amp;"*"" /stext="" "&amp;TEXT(WRI28-utc_offset/24,"HH")&amp;search_regexp&amp;""""</f>
        <v>#REF!</v>
      </c>
      <c r="WSG28" s="234" t="e">
        <f>astrogrep_path&amp;" /e /r /s /spath="&amp;search_path&amp;" /stypes=""app*"&amp;WRC28&amp;"*"&amp;TEXT(WRJ28-utc_offset/24,"YYYYMMDD")&amp;"*"" /stext="" "&amp;TEXT(WRJ28-utc_offset/24,"HH")&amp;search_regexp&amp;""""</f>
        <v>#REF!</v>
      </c>
      <c r="WSH28" s="234" t="e">
        <f>astrogrep_path&amp;" /e /r /s /spath="&amp;search_path&amp;" /stypes=""app*"&amp;WRD28&amp;"*"&amp;TEXT(WRK28-utc_offset/24,"YYYYMMDD")&amp;"*"" /stext="" "&amp;TEXT(WRK28-utc_offset/24,"HH")&amp;search_regexp&amp;""""</f>
        <v>#REF!</v>
      </c>
      <c r="WSI28" s="234" t="e">
        <f>astrogrep_path&amp;" /e /r /s /spath="&amp;search_path&amp;" /stypes=""app*"&amp;WRE28&amp;"*"&amp;TEXT(WRL28-utc_offset/24,"YYYYMMDD")&amp;"*"" /stext="" "&amp;TEXT(WRL28-utc_offset/24,"HH")&amp;search_regexp&amp;""""</f>
        <v>#VALUE!</v>
      </c>
      <c r="WSJ28" s="234" t="e">
        <f>astrogrep_path&amp;" /e /r /s /spath="&amp;search_path&amp;" /stypes=""app*"&amp;WRF28&amp;"*"&amp;TEXT(WRM28-utc_offset/24,"YYYYMMDD")&amp;"*"" /stext="" "&amp;TEXT(WRM28-utc_offset/24,"HH")&amp;search_regexp&amp;""""</f>
        <v>#VALUE!</v>
      </c>
      <c r="WSK28" s="234" t="e">
        <f>astrogrep_path&amp;" /e /r /s /spath="&amp;search_path&amp;" /stypes=""app*"&amp;WRG28&amp;"*"&amp;TEXT(WRN28-utc_offset/24,"YYYYMMDD")&amp;"*"" /stext="" "&amp;TEXT(WRN28-utc_offset/24,"HH")&amp;search_regexp&amp;""""</f>
        <v>#REF!</v>
      </c>
      <c r="WSL28" s="234" t="e">
        <f>astrogrep_path&amp;" /e /r /s /spath="&amp;search_path&amp;" /stypes=""app*"&amp;WRH28&amp;"*"&amp;TEXT(WRO28-utc_offset/24,"YYYYMMDD")&amp;"*"" /stext="" "&amp;TEXT(WRO28-utc_offset/24,"HH")&amp;search_regexp&amp;""""</f>
        <v>#REF!</v>
      </c>
      <c r="WSM28" s="234" t="e">
        <f>astrogrep_path&amp;" /e /r /s /spath="&amp;search_path&amp;" /stypes=""app*"&amp;WRI28&amp;"*"&amp;TEXT(WRP28-utc_offset/24,"YYYYMMDD")&amp;"*"" /stext="" "&amp;TEXT(WRP28-utc_offset/24,"HH")&amp;search_regexp&amp;""""</f>
        <v>#VALUE!</v>
      </c>
      <c r="WSN28" s="234" t="e">
        <f>astrogrep_path&amp;" /e /r /s /spath="&amp;search_path&amp;" /stypes=""app*"&amp;WRJ28&amp;"*"&amp;TEXT(WRQ28-utc_offset/24,"YYYYMMDD")&amp;"*"" /stext="" "&amp;TEXT(WRQ28-utc_offset/24,"HH")&amp;search_regexp&amp;""""</f>
        <v>#VALUE!</v>
      </c>
      <c r="WSO28" s="234" t="e">
        <f>astrogrep_path&amp;" /e /r /s /spath="&amp;search_path&amp;" /stypes=""app*"&amp;WRK28&amp;"*"&amp;TEXT(WRR28-utc_offset/24,"YYYYMMDD")&amp;"*"" /stext="" "&amp;TEXT(WRR28-utc_offset/24,"HH")&amp;search_regexp&amp;""""</f>
        <v>#VALUE!</v>
      </c>
      <c r="WSP28" s="234" t="e">
        <f>astrogrep_path&amp;" /e /r /s /spath="&amp;search_path&amp;" /stypes=""app*"&amp;WRL28&amp;"*"&amp;TEXT(WRS28-utc_offset/24,"YYYYMMDD")&amp;"*"" /stext="" "&amp;TEXT(WRS28-utc_offset/24,"HH")&amp;search_regexp&amp;""""</f>
        <v>#VALUE!</v>
      </c>
      <c r="WSQ28" s="234" t="e">
        <f>astrogrep_path&amp;" /e /r /s /spath="&amp;search_path&amp;" /stypes=""app*"&amp;WRM28&amp;"*"&amp;TEXT(WRT28-utc_offset/24,"YYYYMMDD")&amp;"*"" /stext="" "&amp;TEXT(WRT28-utc_offset/24,"HH")&amp;search_regexp&amp;""""</f>
        <v>#VALUE!</v>
      </c>
      <c r="WSR28" s="234" t="e">
        <f>astrogrep_path&amp;" /e /r /s /spath="&amp;search_path&amp;" /stypes=""app*"&amp;WRN28&amp;"*"&amp;TEXT(WRU28-utc_offset/24,"YYYYMMDD")&amp;"*"" /stext="" "&amp;TEXT(WRU28-utc_offset/24,"HH")&amp;search_regexp&amp;""""</f>
        <v>#REF!</v>
      </c>
      <c r="WSS28" s="234" t="e">
        <f>astrogrep_path&amp;" /e /r /s /spath="&amp;search_path&amp;" /stypes=""app*"&amp;WRO28&amp;"*"&amp;TEXT(WRV28-utc_offset/24,"YYYYMMDD")&amp;"*"" /stext="" "&amp;TEXT(WRV28-utc_offset/24,"HH")&amp;search_regexp&amp;""""</f>
        <v>#REF!</v>
      </c>
      <c r="WST28" s="234" t="e">
        <f>astrogrep_path&amp;" /e /r /s /spath="&amp;search_path&amp;" /stypes=""app*"&amp;WRP28&amp;"*"&amp;TEXT(WRW28-utc_offset/24,"YYYYMMDD")&amp;"*"" /stext="" "&amp;TEXT(WRW28-utc_offset/24,"HH")&amp;search_regexp&amp;""""</f>
        <v>#REF!</v>
      </c>
      <c r="WSU28" s="234" t="e">
        <f>astrogrep_path&amp;" /e /r /s /spath="&amp;search_path&amp;" /stypes=""app*"&amp;WRQ28&amp;"*"&amp;TEXT(WRX28-utc_offset/24,"YYYYMMDD")&amp;"*"" /stext="" "&amp;TEXT(WRX28-utc_offset/24,"HH")&amp;search_regexp&amp;""""</f>
        <v>#REF!</v>
      </c>
      <c r="WSV28" s="234" t="e">
        <f>astrogrep_path&amp;" /e /r /s /spath="&amp;search_path&amp;" /stypes=""app*"&amp;WRR28&amp;"*"&amp;TEXT(WRY28-utc_offset/24,"YYYYMMDD")&amp;"*"" /stext="" "&amp;TEXT(WRY28-utc_offset/24,"HH")&amp;search_regexp&amp;""""</f>
        <v>#REF!</v>
      </c>
      <c r="WSW28" s="234" t="e">
        <f>astrogrep_path&amp;" /e /r /s /spath="&amp;search_path&amp;" /stypes=""app*"&amp;WRS28&amp;"*"&amp;TEXT(WRZ28-utc_offset/24,"YYYYMMDD")&amp;"*"" /stext="" "&amp;TEXT(WRZ28-utc_offset/24,"HH")&amp;search_regexp&amp;""""</f>
        <v>#REF!</v>
      </c>
      <c r="WSX28" s="234" t="e">
        <f>astrogrep_path&amp;" /e /r /s /spath="&amp;search_path&amp;" /stypes=""app*"&amp;WRT28&amp;"*"&amp;TEXT(WSA28-utc_offset/24,"YYYYMMDD")&amp;"*"" /stext="" "&amp;TEXT(WSA28-utc_offset/24,"HH")&amp;search_regexp&amp;""""</f>
        <v>#REF!</v>
      </c>
      <c r="WSY28" s="234" t="e">
        <f>astrogrep_path&amp;" /e /r /s /spath="&amp;search_path&amp;" /stypes=""app*"&amp;WRU28&amp;"*"&amp;TEXT(WSB28-utc_offset/24,"YYYYMMDD")&amp;"*"" /stext="" "&amp;TEXT(WSB28-utc_offset/24,"HH")&amp;search_regexp&amp;""""</f>
        <v>#REF!</v>
      </c>
      <c r="WSZ28" s="234" t="e">
        <f>astrogrep_path&amp;" /e /r /s /spath="&amp;search_path&amp;" /stypes=""app*"&amp;WRV28&amp;"*"&amp;TEXT(WSC28-utc_offset/24,"YYYYMMDD")&amp;"*"" /stext="" "&amp;TEXT(WSC28-utc_offset/24,"HH")&amp;search_regexp&amp;""""</f>
        <v>#REF!</v>
      </c>
      <c r="WTA28" s="234" t="e">
        <f>astrogrep_path&amp;" /e /r /s /spath="&amp;search_path&amp;" /stypes=""app*"&amp;WRW28&amp;"*"&amp;TEXT(WSD28-utc_offset/24,"YYYYMMDD")&amp;"*"" /stext="" "&amp;TEXT(WSD28-utc_offset/24,"HH")&amp;search_regexp&amp;""""</f>
        <v>#REF!</v>
      </c>
      <c r="WTB28" s="234" t="e">
        <f>astrogrep_path&amp;" /e /r /s /spath="&amp;search_path&amp;" /stypes=""app*"&amp;WRX28&amp;"*"&amp;TEXT(WSE28-utc_offset/24,"YYYYMMDD")&amp;"*"" /stext="" "&amp;TEXT(WSE28-utc_offset/24,"HH")&amp;search_regexp&amp;""""</f>
        <v>#REF!</v>
      </c>
      <c r="WTC28" s="234" t="e">
        <f>astrogrep_path&amp;" /e /r /s /spath="&amp;search_path&amp;" /stypes=""app*"&amp;WRY28&amp;"*"&amp;TEXT(WSF28-utc_offset/24,"YYYYMMDD")&amp;"*"" /stext="" "&amp;TEXT(WSF28-utc_offset/24,"HH")&amp;search_regexp&amp;""""</f>
        <v>#REF!</v>
      </c>
      <c r="WTD28" s="234" t="e">
        <f>astrogrep_path&amp;" /e /r /s /spath="&amp;search_path&amp;" /stypes=""app*"&amp;WRZ28&amp;"*"&amp;TEXT(WSG28-utc_offset/24,"YYYYMMDD")&amp;"*"" /stext="" "&amp;TEXT(WSG28-utc_offset/24,"HH")&amp;search_regexp&amp;""""</f>
        <v>#REF!</v>
      </c>
      <c r="WTE28" s="234" t="e">
        <f>astrogrep_path&amp;" /e /r /s /spath="&amp;search_path&amp;" /stypes=""app*"&amp;WSA28&amp;"*"&amp;TEXT(WSH28-utc_offset/24,"YYYYMMDD")&amp;"*"" /stext="" "&amp;TEXT(WSH28-utc_offset/24,"HH")&amp;search_regexp&amp;""""</f>
        <v>#REF!</v>
      </c>
      <c r="WTF28" s="234" t="e">
        <f>astrogrep_path&amp;" /e /r /s /spath="&amp;search_path&amp;" /stypes=""app*"&amp;WSB28&amp;"*"&amp;TEXT(WSI28-utc_offset/24,"YYYYMMDD")&amp;"*"" /stext="" "&amp;TEXT(WSI28-utc_offset/24,"HH")&amp;search_regexp&amp;""""</f>
        <v>#REF!</v>
      </c>
      <c r="WTG28" s="234" t="e">
        <f>astrogrep_path&amp;" /e /r /s /spath="&amp;search_path&amp;" /stypes=""app*"&amp;WSC28&amp;"*"&amp;TEXT(WSJ28-utc_offset/24,"YYYYMMDD")&amp;"*"" /stext="" "&amp;TEXT(WSJ28-utc_offset/24,"HH")&amp;search_regexp&amp;""""</f>
        <v>#REF!</v>
      </c>
      <c r="WTH28" s="234" t="e">
        <f>astrogrep_path&amp;" /e /r /s /spath="&amp;search_path&amp;" /stypes=""app*"&amp;WSD28&amp;"*"&amp;TEXT(WSK28-utc_offset/24,"YYYYMMDD")&amp;"*"" /stext="" "&amp;TEXT(WSK28-utc_offset/24,"HH")&amp;search_regexp&amp;""""</f>
        <v>#REF!</v>
      </c>
      <c r="WTI28" s="234" t="e">
        <f>astrogrep_path&amp;" /e /r /s /spath="&amp;search_path&amp;" /stypes=""app*"&amp;WSE28&amp;"*"&amp;TEXT(WSL28-utc_offset/24,"YYYYMMDD")&amp;"*"" /stext="" "&amp;TEXT(WSL28-utc_offset/24,"HH")&amp;search_regexp&amp;""""</f>
        <v>#REF!</v>
      </c>
      <c r="WTJ28" s="234" t="e">
        <f>astrogrep_path&amp;" /e /r /s /spath="&amp;search_path&amp;" /stypes=""app*"&amp;WSF28&amp;"*"&amp;TEXT(WSM28-utc_offset/24,"YYYYMMDD")&amp;"*"" /stext="" "&amp;TEXT(WSM28-utc_offset/24,"HH")&amp;search_regexp&amp;""""</f>
        <v>#REF!</v>
      </c>
      <c r="WTK28" s="234" t="e">
        <f>astrogrep_path&amp;" /e /r /s /spath="&amp;search_path&amp;" /stypes=""app*"&amp;WSG28&amp;"*"&amp;TEXT(WSN28-utc_offset/24,"YYYYMMDD")&amp;"*"" /stext="" "&amp;TEXT(WSN28-utc_offset/24,"HH")&amp;search_regexp&amp;""""</f>
        <v>#REF!</v>
      </c>
      <c r="WTL28" s="234" t="e">
        <f>astrogrep_path&amp;" /e /r /s /spath="&amp;search_path&amp;" /stypes=""app*"&amp;WSH28&amp;"*"&amp;TEXT(WSO28-utc_offset/24,"YYYYMMDD")&amp;"*"" /stext="" "&amp;TEXT(WSO28-utc_offset/24,"HH")&amp;search_regexp&amp;""""</f>
        <v>#REF!</v>
      </c>
      <c r="WTM28" s="234" t="e">
        <f>astrogrep_path&amp;" /e /r /s /spath="&amp;search_path&amp;" /stypes=""app*"&amp;WSI28&amp;"*"&amp;TEXT(WSP28-utc_offset/24,"YYYYMMDD")&amp;"*"" /stext="" "&amp;TEXT(WSP28-utc_offset/24,"HH")&amp;search_regexp&amp;""""</f>
        <v>#VALUE!</v>
      </c>
      <c r="WTN28" s="234" t="e">
        <f>astrogrep_path&amp;" /e /r /s /spath="&amp;search_path&amp;" /stypes=""app*"&amp;WSJ28&amp;"*"&amp;TEXT(WSQ28-utc_offset/24,"YYYYMMDD")&amp;"*"" /stext="" "&amp;TEXT(WSQ28-utc_offset/24,"HH")&amp;search_regexp&amp;""""</f>
        <v>#VALUE!</v>
      </c>
      <c r="WTO28" s="234" t="e">
        <f>astrogrep_path&amp;" /e /r /s /spath="&amp;search_path&amp;" /stypes=""app*"&amp;WSK28&amp;"*"&amp;TEXT(WSR28-utc_offset/24,"YYYYMMDD")&amp;"*"" /stext="" "&amp;TEXT(WSR28-utc_offset/24,"HH")&amp;search_regexp&amp;""""</f>
        <v>#REF!</v>
      </c>
      <c r="WTP28" s="234" t="e">
        <f>astrogrep_path&amp;" /e /r /s /spath="&amp;search_path&amp;" /stypes=""app*"&amp;WSL28&amp;"*"&amp;TEXT(WSS28-utc_offset/24,"YYYYMMDD")&amp;"*"" /stext="" "&amp;TEXT(WSS28-utc_offset/24,"HH")&amp;search_regexp&amp;""""</f>
        <v>#REF!</v>
      </c>
      <c r="WTQ28" s="234" t="e">
        <f>astrogrep_path&amp;" /e /r /s /spath="&amp;search_path&amp;" /stypes=""app*"&amp;WSM28&amp;"*"&amp;TEXT(WST28-utc_offset/24,"YYYYMMDD")&amp;"*"" /stext="" "&amp;TEXT(WST28-utc_offset/24,"HH")&amp;search_regexp&amp;""""</f>
        <v>#VALUE!</v>
      </c>
      <c r="WTR28" s="234" t="e">
        <f>astrogrep_path&amp;" /e /r /s /spath="&amp;search_path&amp;" /stypes=""app*"&amp;WSN28&amp;"*"&amp;TEXT(WSU28-utc_offset/24,"YYYYMMDD")&amp;"*"" /stext="" "&amp;TEXT(WSU28-utc_offset/24,"HH")&amp;search_regexp&amp;""""</f>
        <v>#VALUE!</v>
      </c>
      <c r="WTS28" s="234" t="e">
        <f>astrogrep_path&amp;" /e /r /s /spath="&amp;search_path&amp;" /stypes=""app*"&amp;WSO28&amp;"*"&amp;TEXT(WSV28-utc_offset/24,"YYYYMMDD")&amp;"*"" /stext="" "&amp;TEXT(WSV28-utc_offset/24,"HH")&amp;search_regexp&amp;""""</f>
        <v>#VALUE!</v>
      </c>
      <c r="WTT28" s="234" t="e">
        <f>astrogrep_path&amp;" /e /r /s /spath="&amp;search_path&amp;" /stypes=""app*"&amp;WSP28&amp;"*"&amp;TEXT(WSW28-utc_offset/24,"YYYYMMDD")&amp;"*"" /stext="" "&amp;TEXT(WSW28-utc_offset/24,"HH")&amp;search_regexp&amp;""""</f>
        <v>#VALUE!</v>
      </c>
      <c r="WTU28" s="234" t="e">
        <f>astrogrep_path&amp;" /e /r /s /spath="&amp;search_path&amp;" /stypes=""app*"&amp;WSQ28&amp;"*"&amp;TEXT(WSX28-utc_offset/24,"YYYYMMDD")&amp;"*"" /stext="" "&amp;TEXT(WSX28-utc_offset/24,"HH")&amp;search_regexp&amp;""""</f>
        <v>#VALUE!</v>
      </c>
      <c r="WTV28" s="234" t="e">
        <f>astrogrep_path&amp;" /e /r /s /spath="&amp;search_path&amp;" /stypes=""app*"&amp;WSR28&amp;"*"&amp;TEXT(WSY28-utc_offset/24,"YYYYMMDD")&amp;"*"" /stext="" "&amp;TEXT(WSY28-utc_offset/24,"HH")&amp;search_regexp&amp;""""</f>
        <v>#REF!</v>
      </c>
      <c r="WTW28" s="234" t="e">
        <f>astrogrep_path&amp;" /e /r /s /spath="&amp;search_path&amp;" /stypes=""app*"&amp;WSS28&amp;"*"&amp;TEXT(WSZ28-utc_offset/24,"YYYYMMDD")&amp;"*"" /stext="" "&amp;TEXT(WSZ28-utc_offset/24,"HH")&amp;search_regexp&amp;""""</f>
        <v>#REF!</v>
      </c>
      <c r="WTX28" s="234" t="e">
        <f>astrogrep_path&amp;" /e /r /s /spath="&amp;search_path&amp;" /stypes=""app*"&amp;WST28&amp;"*"&amp;TEXT(WTA28-utc_offset/24,"YYYYMMDD")&amp;"*"" /stext="" "&amp;TEXT(WTA28-utc_offset/24,"HH")&amp;search_regexp&amp;""""</f>
        <v>#REF!</v>
      </c>
      <c r="WTY28" s="234" t="e">
        <f>astrogrep_path&amp;" /e /r /s /spath="&amp;search_path&amp;" /stypes=""app*"&amp;WSU28&amp;"*"&amp;TEXT(WTB28-utc_offset/24,"YYYYMMDD")&amp;"*"" /stext="" "&amp;TEXT(WTB28-utc_offset/24,"HH")&amp;search_regexp&amp;""""</f>
        <v>#REF!</v>
      </c>
      <c r="WTZ28" s="234" t="e">
        <f>astrogrep_path&amp;" /e /r /s /spath="&amp;search_path&amp;" /stypes=""app*"&amp;WSV28&amp;"*"&amp;TEXT(WTC28-utc_offset/24,"YYYYMMDD")&amp;"*"" /stext="" "&amp;TEXT(WTC28-utc_offset/24,"HH")&amp;search_regexp&amp;""""</f>
        <v>#REF!</v>
      </c>
      <c r="WUA28" s="234" t="e">
        <f>astrogrep_path&amp;" /e /r /s /spath="&amp;search_path&amp;" /stypes=""app*"&amp;WSW28&amp;"*"&amp;TEXT(WTD28-utc_offset/24,"YYYYMMDD")&amp;"*"" /stext="" "&amp;TEXT(WTD28-utc_offset/24,"HH")&amp;search_regexp&amp;""""</f>
        <v>#REF!</v>
      </c>
      <c r="WUB28" s="234" t="e">
        <f>astrogrep_path&amp;" /e /r /s /spath="&amp;search_path&amp;" /stypes=""app*"&amp;WSX28&amp;"*"&amp;TEXT(WTE28-utc_offset/24,"YYYYMMDD")&amp;"*"" /stext="" "&amp;TEXT(WTE28-utc_offset/24,"HH")&amp;search_regexp&amp;""""</f>
        <v>#REF!</v>
      </c>
      <c r="WUC28" s="234" t="e">
        <f>astrogrep_path&amp;" /e /r /s /spath="&amp;search_path&amp;" /stypes=""app*"&amp;WSY28&amp;"*"&amp;TEXT(WTF28-utc_offset/24,"YYYYMMDD")&amp;"*"" /stext="" "&amp;TEXT(WTF28-utc_offset/24,"HH")&amp;search_regexp&amp;""""</f>
        <v>#REF!</v>
      </c>
      <c r="WUD28" s="234" t="e">
        <f>astrogrep_path&amp;" /e /r /s /spath="&amp;search_path&amp;" /stypes=""app*"&amp;WSZ28&amp;"*"&amp;TEXT(WTG28-utc_offset/24,"YYYYMMDD")&amp;"*"" /stext="" "&amp;TEXT(WTG28-utc_offset/24,"HH")&amp;search_regexp&amp;""""</f>
        <v>#REF!</v>
      </c>
      <c r="WUE28" s="234" t="e">
        <f>astrogrep_path&amp;" /e /r /s /spath="&amp;search_path&amp;" /stypes=""app*"&amp;WTA28&amp;"*"&amp;TEXT(WTH28-utc_offset/24,"YYYYMMDD")&amp;"*"" /stext="" "&amp;TEXT(WTH28-utc_offset/24,"HH")&amp;search_regexp&amp;""""</f>
        <v>#REF!</v>
      </c>
      <c r="WUF28" s="234" t="e">
        <f>astrogrep_path&amp;" /e /r /s /spath="&amp;search_path&amp;" /stypes=""app*"&amp;WTB28&amp;"*"&amp;TEXT(WTI28-utc_offset/24,"YYYYMMDD")&amp;"*"" /stext="" "&amp;TEXT(WTI28-utc_offset/24,"HH")&amp;search_regexp&amp;""""</f>
        <v>#REF!</v>
      </c>
      <c r="WUG28" s="234" t="e">
        <f>astrogrep_path&amp;" /e /r /s /spath="&amp;search_path&amp;" /stypes=""app*"&amp;WTC28&amp;"*"&amp;TEXT(WTJ28-utc_offset/24,"YYYYMMDD")&amp;"*"" /stext="" "&amp;TEXT(WTJ28-utc_offset/24,"HH")&amp;search_regexp&amp;""""</f>
        <v>#REF!</v>
      </c>
      <c r="WUH28" s="234" t="e">
        <f>astrogrep_path&amp;" /e /r /s /spath="&amp;search_path&amp;" /stypes=""app*"&amp;WTD28&amp;"*"&amp;TEXT(WTK28-utc_offset/24,"YYYYMMDD")&amp;"*"" /stext="" "&amp;TEXT(WTK28-utc_offset/24,"HH")&amp;search_regexp&amp;""""</f>
        <v>#REF!</v>
      </c>
      <c r="WUI28" s="234" t="e">
        <f>astrogrep_path&amp;" /e /r /s /spath="&amp;search_path&amp;" /stypes=""app*"&amp;WTE28&amp;"*"&amp;TEXT(WTL28-utc_offset/24,"YYYYMMDD")&amp;"*"" /stext="" "&amp;TEXT(WTL28-utc_offset/24,"HH")&amp;search_regexp&amp;""""</f>
        <v>#REF!</v>
      </c>
      <c r="WUJ28" s="234" t="e">
        <f>astrogrep_path&amp;" /e /r /s /spath="&amp;search_path&amp;" /stypes=""app*"&amp;WTF28&amp;"*"&amp;TEXT(WTM28-utc_offset/24,"YYYYMMDD")&amp;"*"" /stext="" "&amp;TEXT(WTM28-utc_offset/24,"HH")&amp;search_regexp&amp;""""</f>
        <v>#REF!</v>
      </c>
      <c r="WUK28" s="234" t="e">
        <f>astrogrep_path&amp;" /e /r /s /spath="&amp;search_path&amp;" /stypes=""app*"&amp;WTG28&amp;"*"&amp;TEXT(WTN28-utc_offset/24,"YYYYMMDD")&amp;"*"" /stext="" "&amp;TEXT(WTN28-utc_offset/24,"HH")&amp;search_regexp&amp;""""</f>
        <v>#REF!</v>
      </c>
      <c r="WUL28" s="234" t="e">
        <f>astrogrep_path&amp;" /e /r /s /spath="&amp;search_path&amp;" /stypes=""app*"&amp;WTH28&amp;"*"&amp;TEXT(WTO28-utc_offset/24,"YYYYMMDD")&amp;"*"" /stext="" "&amp;TEXT(WTO28-utc_offset/24,"HH")&amp;search_regexp&amp;""""</f>
        <v>#REF!</v>
      </c>
      <c r="WUM28" s="234" t="e">
        <f>astrogrep_path&amp;" /e /r /s /spath="&amp;search_path&amp;" /stypes=""app*"&amp;WTI28&amp;"*"&amp;TEXT(WTP28-utc_offset/24,"YYYYMMDD")&amp;"*"" /stext="" "&amp;TEXT(WTP28-utc_offset/24,"HH")&amp;search_regexp&amp;""""</f>
        <v>#REF!</v>
      </c>
      <c r="WUN28" s="234" t="e">
        <f>astrogrep_path&amp;" /e /r /s /spath="&amp;search_path&amp;" /stypes=""app*"&amp;WTJ28&amp;"*"&amp;TEXT(WTQ28-utc_offset/24,"YYYYMMDD")&amp;"*"" /stext="" "&amp;TEXT(WTQ28-utc_offset/24,"HH")&amp;search_regexp&amp;""""</f>
        <v>#REF!</v>
      </c>
      <c r="WUO28" s="234" t="e">
        <f>astrogrep_path&amp;" /e /r /s /spath="&amp;search_path&amp;" /stypes=""app*"&amp;WTK28&amp;"*"&amp;TEXT(WTR28-utc_offset/24,"YYYYMMDD")&amp;"*"" /stext="" "&amp;TEXT(WTR28-utc_offset/24,"HH")&amp;search_regexp&amp;""""</f>
        <v>#REF!</v>
      </c>
      <c r="WUP28" s="234" t="e">
        <f>astrogrep_path&amp;" /e /r /s /spath="&amp;search_path&amp;" /stypes=""app*"&amp;WTL28&amp;"*"&amp;TEXT(WTS28-utc_offset/24,"YYYYMMDD")&amp;"*"" /stext="" "&amp;TEXT(WTS28-utc_offset/24,"HH")&amp;search_regexp&amp;""""</f>
        <v>#REF!</v>
      </c>
      <c r="WUQ28" s="234" t="e">
        <f>astrogrep_path&amp;" /e /r /s /spath="&amp;search_path&amp;" /stypes=""app*"&amp;WTM28&amp;"*"&amp;TEXT(WTT28-utc_offset/24,"YYYYMMDD")&amp;"*"" /stext="" "&amp;TEXT(WTT28-utc_offset/24,"HH")&amp;search_regexp&amp;""""</f>
        <v>#VALUE!</v>
      </c>
      <c r="WUR28" s="234" t="e">
        <f>astrogrep_path&amp;" /e /r /s /spath="&amp;search_path&amp;" /stypes=""app*"&amp;WTN28&amp;"*"&amp;TEXT(WTU28-utc_offset/24,"YYYYMMDD")&amp;"*"" /stext="" "&amp;TEXT(WTU28-utc_offset/24,"HH")&amp;search_regexp&amp;""""</f>
        <v>#VALUE!</v>
      </c>
      <c r="WUS28" s="234" t="e">
        <f>astrogrep_path&amp;" /e /r /s /spath="&amp;search_path&amp;" /stypes=""app*"&amp;WTO28&amp;"*"&amp;TEXT(WTV28-utc_offset/24,"YYYYMMDD")&amp;"*"" /stext="" "&amp;TEXT(WTV28-utc_offset/24,"HH")&amp;search_regexp&amp;""""</f>
        <v>#REF!</v>
      </c>
      <c r="WUT28" s="234" t="e">
        <f>astrogrep_path&amp;" /e /r /s /spath="&amp;search_path&amp;" /stypes=""app*"&amp;WTP28&amp;"*"&amp;TEXT(WTW28-utc_offset/24,"YYYYMMDD")&amp;"*"" /stext="" "&amp;TEXT(WTW28-utc_offset/24,"HH")&amp;search_regexp&amp;""""</f>
        <v>#REF!</v>
      </c>
      <c r="WUU28" s="234" t="e">
        <f>astrogrep_path&amp;" /e /r /s /spath="&amp;search_path&amp;" /stypes=""app*"&amp;WTQ28&amp;"*"&amp;TEXT(WTX28-utc_offset/24,"YYYYMMDD")&amp;"*"" /stext="" "&amp;TEXT(WTX28-utc_offset/24,"HH")&amp;search_regexp&amp;""""</f>
        <v>#VALUE!</v>
      </c>
      <c r="WUV28" s="234" t="e">
        <f>astrogrep_path&amp;" /e /r /s /spath="&amp;search_path&amp;" /stypes=""app*"&amp;WTR28&amp;"*"&amp;TEXT(WTY28-utc_offset/24,"YYYYMMDD")&amp;"*"" /stext="" "&amp;TEXT(WTY28-utc_offset/24,"HH")&amp;search_regexp&amp;""""</f>
        <v>#VALUE!</v>
      </c>
      <c r="WUW28" s="234" t="e">
        <f>astrogrep_path&amp;" /e /r /s /spath="&amp;search_path&amp;" /stypes=""app*"&amp;WTS28&amp;"*"&amp;TEXT(WTZ28-utc_offset/24,"YYYYMMDD")&amp;"*"" /stext="" "&amp;TEXT(WTZ28-utc_offset/24,"HH")&amp;search_regexp&amp;""""</f>
        <v>#VALUE!</v>
      </c>
      <c r="WUX28" s="234" t="e">
        <f>astrogrep_path&amp;" /e /r /s /spath="&amp;search_path&amp;" /stypes=""app*"&amp;WTT28&amp;"*"&amp;TEXT(WUA28-utc_offset/24,"YYYYMMDD")&amp;"*"" /stext="" "&amp;TEXT(WUA28-utc_offset/24,"HH")&amp;search_regexp&amp;""""</f>
        <v>#VALUE!</v>
      </c>
      <c r="WUY28" s="234" t="e">
        <f>astrogrep_path&amp;" /e /r /s /spath="&amp;search_path&amp;" /stypes=""app*"&amp;WTU28&amp;"*"&amp;TEXT(WUB28-utc_offset/24,"YYYYMMDD")&amp;"*"" /stext="" "&amp;TEXT(WUB28-utc_offset/24,"HH")&amp;search_regexp&amp;""""</f>
        <v>#VALUE!</v>
      </c>
      <c r="WUZ28" s="234" t="e">
        <f>astrogrep_path&amp;" /e /r /s /spath="&amp;search_path&amp;" /stypes=""app*"&amp;WTV28&amp;"*"&amp;TEXT(WUC28-utc_offset/24,"YYYYMMDD")&amp;"*"" /stext="" "&amp;TEXT(WUC28-utc_offset/24,"HH")&amp;search_regexp&amp;""""</f>
        <v>#REF!</v>
      </c>
      <c r="WVA28" s="234" t="e">
        <f>astrogrep_path&amp;" /e /r /s /spath="&amp;search_path&amp;" /stypes=""app*"&amp;WTW28&amp;"*"&amp;TEXT(WUD28-utc_offset/24,"YYYYMMDD")&amp;"*"" /stext="" "&amp;TEXT(WUD28-utc_offset/24,"HH")&amp;search_regexp&amp;""""</f>
        <v>#REF!</v>
      </c>
      <c r="WVB28" s="234" t="e">
        <f>astrogrep_path&amp;" /e /r /s /spath="&amp;search_path&amp;" /stypes=""app*"&amp;WTX28&amp;"*"&amp;TEXT(WUE28-utc_offset/24,"YYYYMMDD")&amp;"*"" /stext="" "&amp;TEXT(WUE28-utc_offset/24,"HH")&amp;search_regexp&amp;""""</f>
        <v>#REF!</v>
      </c>
      <c r="WVC28" s="234" t="e">
        <f>astrogrep_path&amp;" /e /r /s /spath="&amp;search_path&amp;" /stypes=""app*"&amp;WTY28&amp;"*"&amp;TEXT(WUF28-utc_offset/24,"YYYYMMDD")&amp;"*"" /stext="" "&amp;TEXT(WUF28-utc_offset/24,"HH")&amp;search_regexp&amp;""""</f>
        <v>#REF!</v>
      </c>
      <c r="WVD28" s="234" t="e">
        <f>astrogrep_path&amp;" /e /r /s /spath="&amp;search_path&amp;" /stypes=""app*"&amp;WTZ28&amp;"*"&amp;TEXT(WUG28-utc_offset/24,"YYYYMMDD")&amp;"*"" /stext="" "&amp;TEXT(WUG28-utc_offset/24,"HH")&amp;search_regexp&amp;""""</f>
        <v>#REF!</v>
      </c>
      <c r="WVE28" s="234" t="e">
        <f>astrogrep_path&amp;" /e /r /s /spath="&amp;search_path&amp;" /stypes=""app*"&amp;WUA28&amp;"*"&amp;TEXT(WUH28-utc_offset/24,"YYYYMMDD")&amp;"*"" /stext="" "&amp;TEXT(WUH28-utc_offset/24,"HH")&amp;search_regexp&amp;""""</f>
        <v>#REF!</v>
      </c>
      <c r="WVF28" s="234" t="e">
        <f>astrogrep_path&amp;" /e /r /s /spath="&amp;search_path&amp;" /stypes=""app*"&amp;WUB28&amp;"*"&amp;TEXT(WUI28-utc_offset/24,"YYYYMMDD")&amp;"*"" /stext="" "&amp;TEXT(WUI28-utc_offset/24,"HH")&amp;search_regexp&amp;""""</f>
        <v>#REF!</v>
      </c>
      <c r="WVG28" s="234" t="e">
        <f>astrogrep_path&amp;" /e /r /s /spath="&amp;search_path&amp;" /stypes=""app*"&amp;WUC28&amp;"*"&amp;TEXT(WUJ28-utc_offset/24,"YYYYMMDD")&amp;"*"" /stext="" "&amp;TEXT(WUJ28-utc_offset/24,"HH")&amp;search_regexp&amp;""""</f>
        <v>#REF!</v>
      </c>
      <c r="WVH28" s="234" t="e">
        <f>astrogrep_path&amp;" /e /r /s /spath="&amp;search_path&amp;" /stypes=""app*"&amp;WUD28&amp;"*"&amp;TEXT(WUK28-utc_offset/24,"YYYYMMDD")&amp;"*"" /stext="" "&amp;TEXT(WUK28-utc_offset/24,"HH")&amp;search_regexp&amp;""""</f>
        <v>#REF!</v>
      </c>
      <c r="WVI28" s="234" t="e">
        <f>astrogrep_path&amp;" /e /r /s /spath="&amp;search_path&amp;" /stypes=""app*"&amp;WUE28&amp;"*"&amp;TEXT(WUL28-utc_offset/24,"YYYYMMDD")&amp;"*"" /stext="" "&amp;TEXT(WUL28-utc_offset/24,"HH")&amp;search_regexp&amp;""""</f>
        <v>#REF!</v>
      </c>
      <c r="WVJ28" s="234" t="e">
        <f>astrogrep_path&amp;" /e /r /s /spath="&amp;search_path&amp;" /stypes=""app*"&amp;WUF28&amp;"*"&amp;TEXT(WUM28-utc_offset/24,"YYYYMMDD")&amp;"*"" /stext="" "&amp;TEXT(WUM28-utc_offset/24,"HH")&amp;search_regexp&amp;""""</f>
        <v>#REF!</v>
      </c>
      <c r="WVK28" s="234" t="e">
        <f>astrogrep_path&amp;" /e /r /s /spath="&amp;search_path&amp;" /stypes=""app*"&amp;WUG28&amp;"*"&amp;TEXT(WUN28-utc_offset/24,"YYYYMMDD")&amp;"*"" /stext="" "&amp;TEXT(WUN28-utc_offset/24,"HH")&amp;search_regexp&amp;""""</f>
        <v>#REF!</v>
      </c>
      <c r="WVL28" s="234" t="e">
        <f>astrogrep_path&amp;" /e /r /s /spath="&amp;search_path&amp;" /stypes=""app*"&amp;WUH28&amp;"*"&amp;TEXT(WUO28-utc_offset/24,"YYYYMMDD")&amp;"*"" /stext="" "&amp;TEXT(WUO28-utc_offset/24,"HH")&amp;search_regexp&amp;""""</f>
        <v>#REF!</v>
      </c>
      <c r="WVM28" s="234" t="e">
        <f>astrogrep_path&amp;" /e /r /s /spath="&amp;search_path&amp;" /stypes=""app*"&amp;WUI28&amp;"*"&amp;TEXT(WUP28-utc_offset/24,"YYYYMMDD")&amp;"*"" /stext="" "&amp;TEXT(WUP28-utc_offset/24,"HH")&amp;search_regexp&amp;""""</f>
        <v>#REF!</v>
      </c>
      <c r="WVN28" s="234" t="e">
        <f>astrogrep_path&amp;" /e /r /s /spath="&amp;search_path&amp;" /stypes=""app*"&amp;WUJ28&amp;"*"&amp;TEXT(WUQ28-utc_offset/24,"YYYYMMDD")&amp;"*"" /stext="" "&amp;TEXT(WUQ28-utc_offset/24,"HH")&amp;search_regexp&amp;""""</f>
        <v>#REF!</v>
      </c>
      <c r="WVO28" s="234" t="e">
        <f>astrogrep_path&amp;" /e /r /s /spath="&amp;search_path&amp;" /stypes=""app*"&amp;WUK28&amp;"*"&amp;TEXT(WUR28-utc_offset/24,"YYYYMMDD")&amp;"*"" /stext="" "&amp;TEXT(WUR28-utc_offset/24,"HH")&amp;search_regexp&amp;""""</f>
        <v>#REF!</v>
      </c>
      <c r="WVP28" s="234" t="e">
        <f>astrogrep_path&amp;" /e /r /s /spath="&amp;search_path&amp;" /stypes=""app*"&amp;WUL28&amp;"*"&amp;TEXT(WUS28-utc_offset/24,"YYYYMMDD")&amp;"*"" /stext="" "&amp;TEXT(WUS28-utc_offset/24,"HH")&amp;search_regexp&amp;""""</f>
        <v>#REF!</v>
      </c>
      <c r="WVQ28" s="234" t="e">
        <f>astrogrep_path&amp;" /e /r /s /spath="&amp;search_path&amp;" /stypes=""app*"&amp;WUM28&amp;"*"&amp;TEXT(WUT28-utc_offset/24,"YYYYMMDD")&amp;"*"" /stext="" "&amp;TEXT(WUT28-utc_offset/24,"HH")&amp;search_regexp&amp;""""</f>
        <v>#REF!</v>
      </c>
      <c r="WVR28" s="234" t="e">
        <f>astrogrep_path&amp;" /e /r /s /spath="&amp;search_path&amp;" /stypes=""app*"&amp;WUN28&amp;"*"&amp;TEXT(WUU28-utc_offset/24,"YYYYMMDD")&amp;"*"" /stext="" "&amp;TEXT(WUU28-utc_offset/24,"HH")&amp;search_regexp&amp;""""</f>
        <v>#REF!</v>
      </c>
      <c r="WVS28" s="234" t="e">
        <f>astrogrep_path&amp;" /e /r /s /spath="&amp;search_path&amp;" /stypes=""app*"&amp;WUO28&amp;"*"&amp;TEXT(WUV28-utc_offset/24,"YYYYMMDD")&amp;"*"" /stext="" "&amp;TEXT(WUV28-utc_offset/24,"HH")&amp;search_regexp&amp;""""</f>
        <v>#REF!</v>
      </c>
      <c r="WVT28" s="234" t="e">
        <f>astrogrep_path&amp;" /e /r /s /spath="&amp;search_path&amp;" /stypes=""app*"&amp;WUP28&amp;"*"&amp;TEXT(WUW28-utc_offset/24,"YYYYMMDD")&amp;"*"" /stext="" "&amp;TEXT(WUW28-utc_offset/24,"HH")&amp;search_regexp&amp;""""</f>
        <v>#REF!</v>
      </c>
      <c r="WVU28" s="234" t="e">
        <f>astrogrep_path&amp;" /e /r /s /spath="&amp;search_path&amp;" /stypes=""app*"&amp;WUQ28&amp;"*"&amp;TEXT(WUX28-utc_offset/24,"YYYYMMDD")&amp;"*"" /stext="" "&amp;TEXT(WUX28-utc_offset/24,"HH")&amp;search_regexp&amp;""""</f>
        <v>#VALUE!</v>
      </c>
      <c r="WVV28" s="234" t="e">
        <f>astrogrep_path&amp;" /e /r /s /spath="&amp;search_path&amp;" /stypes=""app*"&amp;WUR28&amp;"*"&amp;TEXT(WUY28-utc_offset/24,"YYYYMMDD")&amp;"*"" /stext="" "&amp;TEXT(WUY28-utc_offset/24,"HH")&amp;search_regexp&amp;""""</f>
        <v>#VALUE!</v>
      </c>
      <c r="WVW28" s="234" t="e">
        <f>astrogrep_path&amp;" /e /r /s /spath="&amp;search_path&amp;" /stypes=""app*"&amp;WUS28&amp;"*"&amp;TEXT(WUZ28-utc_offset/24,"YYYYMMDD")&amp;"*"" /stext="" "&amp;TEXT(WUZ28-utc_offset/24,"HH")&amp;search_regexp&amp;""""</f>
        <v>#REF!</v>
      </c>
      <c r="WVX28" s="234" t="e">
        <f>astrogrep_path&amp;" /e /r /s /spath="&amp;search_path&amp;" /stypes=""app*"&amp;WUT28&amp;"*"&amp;TEXT(WVA28-utc_offset/24,"YYYYMMDD")&amp;"*"" /stext="" "&amp;TEXT(WVA28-utc_offset/24,"HH")&amp;search_regexp&amp;""""</f>
        <v>#REF!</v>
      </c>
      <c r="WVY28" s="234" t="e">
        <f>astrogrep_path&amp;" /e /r /s /spath="&amp;search_path&amp;" /stypes=""app*"&amp;WUU28&amp;"*"&amp;TEXT(WVB28-utc_offset/24,"YYYYMMDD")&amp;"*"" /stext="" "&amp;TEXT(WVB28-utc_offset/24,"HH")&amp;search_regexp&amp;""""</f>
        <v>#VALUE!</v>
      </c>
      <c r="WVZ28" s="234" t="e">
        <f>astrogrep_path&amp;" /e /r /s /spath="&amp;search_path&amp;" /stypes=""app*"&amp;WUV28&amp;"*"&amp;TEXT(WVC28-utc_offset/24,"YYYYMMDD")&amp;"*"" /stext="" "&amp;TEXT(WVC28-utc_offset/24,"HH")&amp;search_regexp&amp;""""</f>
        <v>#VALUE!</v>
      </c>
      <c r="WWA28" s="234" t="e">
        <f>astrogrep_path&amp;" /e /r /s /spath="&amp;search_path&amp;" /stypes=""app*"&amp;WUW28&amp;"*"&amp;TEXT(WVD28-utc_offset/24,"YYYYMMDD")&amp;"*"" /stext="" "&amp;TEXT(WVD28-utc_offset/24,"HH")&amp;search_regexp&amp;""""</f>
        <v>#VALUE!</v>
      </c>
      <c r="WWB28" s="234" t="e">
        <f>astrogrep_path&amp;" /e /r /s /spath="&amp;search_path&amp;" /stypes=""app*"&amp;WUX28&amp;"*"&amp;TEXT(WVE28-utc_offset/24,"YYYYMMDD")&amp;"*"" /stext="" "&amp;TEXT(WVE28-utc_offset/24,"HH")&amp;search_regexp&amp;""""</f>
        <v>#VALUE!</v>
      </c>
      <c r="WWC28" s="234" t="e">
        <f>astrogrep_path&amp;" /e /r /s /spath="&amp;search_path&amp;" /stypes=""app*"&amp;WUY28&amp;"*"&amp;TEXT(WVF28-utc_offset/24,"YYYYMMDD")&amp;"*"" /stext="" "&amp;TEXT(WVF28-utc_offset/24,"HH")&amp;search_regexp&amp;""""</f>
        <v>#VALUE!</v>
      </c>
      <c r="WWD28" s="234" t="e">
        <f>astrogrep_path&amp;" /e /r /s /spath="&amp;search_path&amp;" /stypes=""app*"&amp;WUZ28&amp;"*"&amp;TEXT(WVG28-utc_offset/24,"YYYYMMDD")&amp;"*"" /stext="" "&amp;TEXT(WVG28-utc_offset/24,"HH")&amp;search_regexp&amp;""""</f>
        <v>#REF!</v>
      </c>
      <c r="WWE28" s="234" t="e">
        <f>astrogrep_path&amp;" /e /r /s /spath="&amp;search_path&amp;" /stypes=""app*"&amp;WVA28&amp;"*"&amp;TEXT(WVH28-utc_offset/24,"YYYYMMDD")&amp;"*"" /stext="" "&amp;TEXT(WVH28-utc_offset/24,"HH")&amp;search_regexp&amp;""""</f>
        <v>#REF!</v>
      </c>
      <c r="WWF28" s="234" t="e">
        <f>astrogrep_path&amp;" /e /r /s /spath="&amp;search_path&amp;" /stypes=""app*"&amp;WVB28&amp;"*"&amp;TEXT(WVI28-utc_offset/24,"YYYYMMDD")&amp;"*"" /stext="" "&amp;TEXT(WVI28-utc_offset/24,"HH")&amp;search_regexp&amp;""""</f>
        <v>#REF!</v>
      </c>
      <c r="WWG28" s="234" t="e">
        <f>astrogrep_path&amp;" /e /r /s /spath="&amp;search_path&amp;" /stypes=""app*"&amp;WVC28&amp;"*"&amp;TEXT(WVJ28-utc_offset/24,"YYYYMMDD")&amp;"*"" /stext="" "&amp;TEXT(WVJ28-utc_offset/24,"HH")&amp;search_regexp&amp;""""</f>
        <v>#REF!</v>
      </c>
      <c r="WWH28" s="234" t="e">
        <f>astrogrep_path&amp;" /e /r /s /spath="&amp;search_path&amp;" /stypes=""app*"&amp;WVD28&amp;"*"&amp;TEXT(WVK28-utc_offset/24,"YYYYMMDD")&amp;"*"" /stext="" "&amp;TEXT(WVK28-utc_offset/24,"HH")&amp;search_regexp&amp;""""</f>
        <v>#REF!</v>
      </c>
      <c r="WWI28" s="234" t="e">
        <f>astrogrep_path&amp;" /e /r /s /spath="&amp;search_path&amp;" /stypes=""app*"&amp;WVE28&amp;"*"&amp;TEXT(WVL28-utc_offset/24,"YYYYMMDD")&amp;"*"" /stext="" "&amp;TEXT(WVL28-utc_offset/24,"HH")&amp;search_regexp&amp;""""</f>
        <v>#REF!</v>
      </c>
      <c r="WWJ28" s="234" t="e">
        <f>astrogrep_path&amp;" /e /r /s /spath="&amp;search_path&amp;" /stypes=""app*"&amp;WVF28&amp;"*"&amp;TEXT(WVM28-utc_offset/24,"YYYYMMDD")&amp;"*"" /stext="" "&amp;TEXT(WVM28-utc_offset/24,"HH")&amp;search_regexp&amp;""""</f>
        <v>#REF!</v>
      </c>
      <c r="WWK28" s="234" t="e">
        <f>astrogrep_path&amp;" /e /r /s /spath="&amp;search_path&amp;" /stypes=""app*"&amp;WVG28&amp;"*"&amp;TEXT(WVN28-utc_offset/24,"YYYYMMDD")&amp;"*"" /stext="" "&amp;TEXT(WVN28-utc_offset/24,"HH")&amp;search_regexp&amp;""""</f>
        <v>#REF!</v>
      </c>
      <c r="WWL28" s="234" t="e">
        <f>astrogrep_path&amp;" /e /r /s /spath="&amp;search_path&amp;" /stypes=""app*"&amp;WVH28&amp;"*"&amp;TEXT(WVO28-utc_offset/24,"YYYYMMDD")&amp;"*"" /stext="" "&amp;TEXT(WVO28-utc_offset/24,"HH")&amp;search_regexp&amp;""""</f>
        <v>#REF!</v>
      </c>
      <c r="WWM28" s="234" t="e">
        <f>astrogrep_path&amp;" /e /r /s /spath="&amp;search_path&amp;" /stypes=""app*"&amp;WVI28&amp;"*"&amp;TEXT(WVP28-utc_offset/24,"YYYYMMDD")&amp;"*"" /stext="" "&amp;TEXT(WVP28-utc_offset/24,"HH")&amp;search_regexp&amp;""""</f>
        <v>#REF!</v>
      </c>
      <c r="WWN28" s="234" t="e">
        <f>astrogrep_path&amp;" /e /r /s /spath="&amp;search_path&amp;" /stypes=""app*"&amp;WVJ28&amp;"*"&amp;TEXT(WVQ28-utc_offset/24,"YYYYMMDD")&amp;"*"" /stext="" "&amp;TEXT(WVQ28-utc_offset/24,"HH")&amp;search_regexp&amp;""""</f>
        <v>#REF!</v>
      </c>
      <c r="WWO28" s="234" t="e">
        <f>astrogrep_path&amp;" /e /r /s /spath="&amp;search_path&amp;" /stypes=""app*"&amp;WVK28&amp;"*"&amp;TEXT(WVR28-utc_offset/24,"YYYYMMDD")&amp;"*"" /stext="" "&amp;TEXT(WVR28-utc_offset/24,"HH")&amp;search_regexp&amp;""""</f>
        <v>#REF!</v>
      </c>
      <c r="WWP28" s="234" t="e">
        <f>astrogrep_path&amp;" /e /r /s /spath="&amp;search_path&amp;" /stypes=""app*"&amp;WVL28&amp;"*"&amp;TEXT(WVS28-utc_offset/24,"YYYYMMDD")&amp;"*"" /stext="" "&amp;TEXT(WVS28-utc_offset/24,"HH")&amp;search_regexp&amp;""""</f>
        <v>#REF!</v>
      </c>
      <c r="WWQ28" s="234" t="e">
        <f>astrogrep_path&amp;" /e /r /s /spath="&amp;search_path&amp;" /stypes=""app*"&amp;WVM28&amp;"*"&amp;TEXT(WVT28-utc_offset/24,"YYYYMMDD")&amp;"*"" /stext="" "&amp;TEXT(WVT28-utc_offset/24,"HH")&amp;search_regexp&amp;""""</f>
        <v>#REF!</v>
      </c>
      <c r="WWR28" s="234" t="e">
        <f>astrogrep_path&amp;" /e /r /s /spath="&amp;search_path&amp;" /stypes=""app*"&amp;WVN28&amp;"*"&amp;TEXT(WVU28-utc_offset/24,"YYYYMMDD")&amp;"*"" /stext="" "&amp;TEXT(WVU28-utc_offset/24,"HH")&amp;search_regexp&amp;""""</f>
        <v>#REF!</v>
      </c>
      <c r="WWS28" s="234" t="e">
        <f>astrogrep_path&amp;" /e /r /s /spath="&amp;search_path&amp;" /stypes=""app*"&amp;WVO28&amp;"*"&amp;TEXT(WVV28-utc_offset/24,"YYYYMMDD")&amp;"*"" /stext="" "&amp;TEXT(WVV28-utc_offset/24,"HH")&amp;search_regexp&amp;""""</f>
        <v>#REF!</v>
      </c>
      <c r="WWT28" s="234" t="e">
        <f>astrogrep_path&amp;" /e /r /s /spath="&amp;search_path&amp;" /stypes=""app*"&amp;WVP28&amp;"*"&amp;TEXT(WVW28-utc_offset/24,"YYYYMMDD")&amp;"*"" /stext="" "&amp;TEXT(WVW28-utc_offset/24,"HH")&amp;search_regexp&amp;""""</f>
        <v>#REF!</v>
      </c>
      <c r="WWU28" s="234" t="e">
        <f>astrogrep_path&amp;" /e /r /s /spath="&amp;search_path&amp;" /stypes=""app*"&amp;WVQ28&amp;"*"&amp;TEXT(WVX28-utc_offset/24,"YYYYMMDD")&amp;"*"" /stext="" "&amp;TEXT(WVX28-utc_offset/24,"HH")&amp;search_regexp&amp;""""</f>
        <v>#REF!</v>
      </c>
      <c r="WWV28" s="234" t="e">
        <f>astrogrep_path&amp;" /e /r /s /spath="&amp;search_path&amp;" /stypes=""app*"&amp;WVR28&amp;"*"&amp;TEXT(WVY28-utc_offset/24,"YYYYMMDD")&amp;"*"" /stext="" "&amp;TEXT(WVY28-utc_offset/24,"HH")&amp;search_regexp&amp;""""</f>
        <v>#REF!</v>
      </c>
      <c r="WWW28" s="234" t="e">
        <f>astrogrep_path&amp;" /e /r /s /spath="&amp;search_path&amp;" /stypes=""app*"&amp;WVS28&amp;"*"&amp;TEXT(WVZ28-utc_offset/24,"YYYYMMDD")&amp;"*"" /stext="" "&amp;TEXT(WVZ28-utc_offset/24,"HH")&amp;search_regexp&amp;""""</f>
        <v>#REF!</v>
      </c>
      <c r="WWX28" s="234" t="e">
        <f>astrogrep_path&amp;" /e /r /s /spath="&amp;search_path&amp;" /stypes=""app*"&amp;WVT28&amp;"*"&amp;TEXT(WWA28-utc_offset/24,"YYYYMMDD")&amp;"*"" /stext="" "&amp;TEXT(WWA28-utc_offset/24,"HH")&amp;search_regexp&amp;""""</f>
        <v>#REF!</v>
      </c>
      <c r="WWY28" s="234" t="e">
        <f>astrogrep_path&amp;" /e /r /s /spath="&amp;search_path&amp;" /stypes=""app*"&amp;WVU28&amp;"*"&amp;TEXT(WWB28-utc_offset/24,"YYYYMMDD")&amp;"*"" /stext="" "&amp;TEXT(WWB28-utc_offset/24,"HH")&amp;search_regexp&amp;""""</f>
        <v>#VALUE!</v>
      </c>
      <c r="WWZ28" s="234" t="e">
        <f>astrogrep_path&amp;" /e /r /s /spath="&amp;search_path&amp;" /stypes=""app*"&amp;WVV28&amp;"*"&amp;TEXT(WWC28-utc_offset/24,"YYYYMMDD")&amp;"*"" /stext="" "&amp;TEXT(WWC28-utc_offset/24,"HH")&amp;search_regexp&amp;""""</f>
        <v>#VALUE!</v>
      </c>
      <c r="WXA28" s="234" t="e">
        <f>astrogrep_path&amp;" /e /r /s /spath="&amp;search_path&amp;" /stypes=""app*"&amp;WVW28&amp;"*"&amp;TEXT(WWD28-utc_offset/24,"YYYYMMDD")&amp;"*"" /stext="" "&amp;TEXT(WWD28-utc_offset/24,"HH")&amp;search_regexp&amp;""""</f>
        <v>#REF!</v>
      </c>
      <c r="WXB28" s="234" t="e">
        <f>astrogrep_path&amp;" /e /r /s /spath="&amp;search_path&amp;" /stypes=""app*"&amp;WVX28&amp;"*"&amp;TEXT(WWE28-utc_offset/24,"YYYYMMDD")&amp;"*"" /stext="" "&amp;TEXT(WWE28-utc_offset/24,"HH")&amp;search_regexp&amp;""""</f>
        <v>#REF!</v>
      </c>
      <c r="WXC28" s="234" t="e">
        <f>astrogrep_path&amp;" /e /r /s /spath="&amp;search_path&amp;" /stypes=""app*"&amp;WVY28&amp;"*"&amp;TEXT(WWF28-utc_offset/24,"YYYYMMDD")&amp;"*"" /stext="" "&amp;TEXT(WWF28-utc_offset/24,"HH")&amp;search_regexp&amp;""""</f>
        <v>#VALUE!</v>
      </c>
      <c r="WXD28" s="234" t="e">
        <f>astrogrep_path&amp;" /e /r /s /spath="&amp;search_path&amp;" /stypes=""app*"&amp;WVZ28&amp;"*"&amp;TEXT(WWG28-utc_offset/24,"YYYYMMDD")&amp;"*"" /stext="" "&amp;TEXT(WWG28-utc_offset/24,"HH")&amp;search_regexp&amp;""""</f>
        <v>#VALUE!</v>
      </c>
      <c r="WXE28" s="234" t="e">
        <f>astrogrep_path&amp;" /e /r /s /spath="&amp;search_path&amp;" /stypes=""app*"&amp;WWA28&amp;"*"&amp;TEXT(WWH28-utc_offset/24,"YYYYMMDD")&amp;"*"" /stext="" "&amp;TEXT(WWH28-utc_offset/24,"HH")&amp;search_regexp&amp;""""</f>
        <v>#VALUE!</v>
      </c>
      <c r="WXF28" s="234" t="e">
        <f>astrogrep_path&amp;" /e /r /s /spath="&amp;search_path&amp;" /stypes=""app*"&amp;WWB28&amp;"*"&amp;TEXT(WWI28-utc_offset/24,"YYYYMMDD")&amp;"*"" /stext="" "&amp;TEXT(WWI28-utc_offset/24,"HH")&amp;search_regexp&amp;""""</f>
        <v>#VALUE!</v>
      </c>
      <c r="WXG28" s="234" t="e">
        <f>astrogrep_path&amp;" /e /r /s /spath="&amp;search_path&amp;" /stypes=""app*"&amp;WWC28&amp;"*"&amp;TEXT(WWJ28-utc_offset/24,"YYYYMMDD")&amp;"*"" /stext="" "&amp;TEXT(WWJ28-utc_offset/24,"HH")&amp;search_regexp&amp;""""</f>
        <v>#VALUE!</v>
      </c>
      <c r="WXH28" s="234" t="e">
        <f>astrogrep_path&amp;" /e /r /s /spath="&amp;search_path&amp;" /stypes=""app*"&amp;WWD28&amp;"*"&amp;TEXT(WWK28-utc_offset/24,"YYYYMMDD")&amp;"*"" /stext="" "&amp;TEXT(WWK28-utc_offset/24,"HH")&amp;search_regexp&amp;""""</f>
        <v>#REF!</v>
      </c>
      <c r="WXI28" s="234" t="e">
        <f>astrogrep_path&amp;" /e /r /s /spath="&amp;search_path&amp;" /stypes=""app*"&amp;WWE28&amp;"*"&amp;TEXT(WWL28-utc_offset/24,"YYYYMMDD")&amp;"*"" /stext="" "&amp;TEXT(WWL28-utc_offset/24,"HH")&amp;search_regexp&amp;""""</f>
        <v>#REF!</v>
      </c>
      <c r="WXJ28" s="234" t="e">
        <f>astrogrep_path&amp;" /e /r /s /spath="&amp;search_path&amp;" /stypes=""app*"&amp;WWF28&amp;"*"&amp;TEXT(WWM28-utc_offset/24,"YYYYMMDD")&amp;"*"" /stext="" "&amp;TEXT(WWM28-utc_offset/24,"HH")&amp;search_regexp&amp;""""</f>
        <v>#REF!</v>
      </c>
      <c r="WXK28" s="234" t="e">
        <f>astrogrep_path&amp;" /e /r /s /spath="&amp;search_path&amp;" /stypes=""app*"&amp;WWG28&amp;"*"&amp;TEXT(WWN28-utc_offset/24,"YYYYMMDD")&amp;"*"" /stext="" "&amp;TEXT(WWN28-utc_offset/24,"HH")&amp;search_regexp&amp;""""</f>
        <v>#REF!</v>
      </c>
      <c r="WXL28" s="234" t="e">
        <f>astrogrep_path&amp;" /e /r /s /spath="&amp;search_path&amp;" /stypes=""app*"&amp;WWH28&amp;"*"&amp;TEXT(WWO28-utc_offset/24,"YYYYMMDD")&amp;"*"" /stext="" "&amp;TEXT(WWO28-utc_offset/24,"HH")&amp;search_regexp&amp;""""</f>
        <v>#REF!</v>
      </c>
      <c r="WXM28" s="234" t="e">
        <f>astrogrep_path&amp;" /e /r /s /spath="&amp;search_path&amp;" /stypes=""app*"&amp;WWI28&amp;"*"&amp;TEXT(WWP28-utc_offset/24,"YYYYMMDD")&amp;"*"" /stext="" "&amp;TEXT(WWP28-utc_offset/24,"HH")&amp;search_regexp&amp;""""</f>
        <v>#REF!</v>
      </c>
      <c r="WXN28" s="234" t="e">
        <f>astrogrep_path&amp;" /e /r /s /spath="&amp;search_path&amp;" /stypes=""app*"&amp;WWJ28&amp;"*"&amp;TEXT(WWQ28-utc_offset/24,"YYYYMMDD")&amp;"*"" /stext="" "&amp;TEXT(WWQ28-utc_offset/24,"HH")&amp;search_regexp&amp;""""</f>
        <v>#REF!</v>
      </c>
      <c r="WXO28" s="234" t="e">
        <f>astrogrep_path&amp;" /e /r /s /spath="&amp;search_path&amp;" /stypes=""app*"&amp;WWK28&amp;"*"&amp;TEXT(WWR28-utc_offset/24,"YYYYMMDD")&amp;"*"" /stext="" "&amp;TEXT(WWR28-utc_offset/24,"HH")&amp;search_regexp&amp;""""</f>
        <v>#REF!</v>
      </c>
      <c r="WXP28" s="234" t="e">
        <f>astrogrep_path&amp;" /e /r /s /spath="&amp;search_path&amp;" /stypes=""app*"&amp;WWL28&amp;"*"&amp;TEXT(WWS28-utc_offset/24,"YYYYMMDD")&amp;"*"" /stext="" "&amp;TEXT(WWS28-utc_offset/24,"HH")&amp;search_regexp&amp;""""</f>
        <v>#REF!</v>
      </c>
      <c r="WXQ28" s="234" t="e">
        <f>astrogrep_path&amp;" /e /r /s /spath="&amp;search_path&amp;" /stypes=""app*"&amp;WWM28&amp;"*"&amp;TEXT(WWT28-utc_offset/24,"YYYYMMDD")&amp;"*"" /stext="" "&amp;TEXT(WWT28-utc_offset/24,"HH")&amp;search_regexp&amp;""""</f>
        <v>#REF!</v>
      </c>
      <c r="WXR28" s="234" t="e">
        <f>astrogrep_path&amp;" /e /r /s /spath="&amp;search_path&amp;" /stypes=""app*"&amp;WWN28&amp;"*"&amp;TEXT(WWU28-utc_offset/24,"YYYYMMDD")&amp;"*"" /stext="" "&amp;TEXT(WWU28-utc_offset/24,"HH")&amp;search_regexp&amp;""""</f>
        <v>#REF!</v>
      </c>
      <c r="WXS28" s="234" t="e">
        <f>astrogrep_path&amp;" /e /r /s /spath="&amp;search_path&amp;" /stypes=""app*"&amp;WWO28&amp;"*"&amp;TEXT(WWV28-utc_offset/24,"YYYYMMDD")&amp;"*"" /stext="" "&amp;TEXT(WWV28-utc_offset/24,"HH")&amp;search_regexp&amp;""""</f>
        <v>#REF!</v>
      </c>
      <c r="WXT28" s="234" t="e">
        <f>astrogrep_path&amp;" /e /r /s /spath="&amp;search_path&amp;" /stypes=""app*"&amp;WWP28&amp;"*"&amp;TEXT(WWW28-utc_offset/24,"YYYYMMDD")&amp;"*"" /stext="" "&amp;TEXT(WWW28-utc_offset/24,"HH")&amp;search_regexp&amp;""""</f>
        <v>#REF!</v>
      </c>
      <c r="WXU28" s="234" t="e">
        <f>astrogrep_path&amp;" /e /r /s /spath="&amp;search_path&amp;" /stypes=""app*"&amp;WWQ28&amp;"*"&amp;TEXT(WWX28-utc_offset/24,"YYYYMMDD")&amp;"*"" /stext="" "&amp;TEXT(WWX28-utc_offset/24,"HH")&amp;search_regexp&amp;""""</f>
        <v>#REF!</v>
      </c>
      <c r="WXV28" s="234" t="e">
        <f>astrogrep_path&amp;" /e /r /s /spath="&amp;search_path&amp;" /stypes=""app*"&amp;WWR28&amp;"*"&amp;TEXT(WWY28-utc_offset/24,"YYYYMMDD")&amp;"*"" /stext="" "&amp;TEXT(WWY28-utc_offset/24,"HH")&amp;search_regexp&amp;""""</f>
        <v>#REF!</v>
      </c>
      <c r="WXW28" s="234" t="e">
        <f>astrogrep_path&amp;" /e /r /s /spath="&amp;search_path&amp;" /stypes=""app*"&amp;WWS28&amp;"*"&amp;TEXT(WWZ28-utc_offset/24,"YYYYMMDD")&amp;"*"" /stext="" "&amp;TEXT(WWZ28-utc_offset/24,"HH")&amp;search_regexp&amp;""""</f>
        <v>#REF!</v>
      </c>
      <c r="WXX28" s="234" t="e">
        <f>astrogrep_path&amp;" /e /r /s /spath="&amp;search_path&amp;" /stypes=""app*"&amp;WWT28&amp;"*"&amp;TEXT(WXA28-utc_offset/24,"YYYYMMDD")&amp;"*"" /stext="" "&amp;TEXT(WXA28-utc_offset/24,"HH")&amp;search_regexp&amp;""""</f>
        <v>#REF!</v>
      </c>
      <c r="WXY28" s="234" t="e">
        <f>astrogrep_path&amp;" /e /r /s /spath="&amp;search_path&amp;" /stypes=""app*"&amp;WWU28&amp;"*"&amp;TEXT(WXB28-utc_offset/24,"YYYYMMDD")&amp;"*"" /stext="" "&amp;TEXT(WXB28-utc_offset/24,"HH")&amp;search_regexp&amp;""""</f>
        <v>#REF!</v>
      </c>
      <c r="WXZ28" s="234" t="e">
        <f>astrogrep_path&amp;" /e /r /s /spath="&amp;search_path&amp;" /stypes=""app*"&amp;WWV28&amp;"*"&amp;TEXT(WXC28-utc_offset/24,"YYYYMMDD")&amp;"*"" /stext="" "&amp;TEXT(WXC28-utc_offset/24,"HH")&amp;search_regexp&amp;""""</f>
        <v>#REF!</v>
      </c>
      <c r="WYA28" s="234" t="e">
        <f>astrogrep_path&amp;" /e /r /s /spath="&amp;search_path&amp;" /stypes=""app*"&amp;WWW28&amp;"*"&amp;TEXT(WXD28-utc_offset/24,"YYYYMMDD")&amp;"*"" /stext="" "&amp;TEXT(WXD28-utc_offset/24,"HH")&amp;search_regexp&amp;""""</f>
        <v>#REF!</v>
      </c>
      <c r="WYB28" s="234" t="e">
        <f>astrogrep_path&amp;" /e /r /s /spath="&amp;search_path&amp;" /stypes=""app*"&amp;WWX28&amp;"*"&amp;TEXT(WXE28-utc_offset/24,"YYYYMMDD")&amp;"*"" /stext="" "&amp;TEXT(WXE28-utc_offset/24,"HH")&amp;search_regexp&amp;""""</f>
        <v>#REF!</v>
      </c>
      <c r="WYC28" s="234" t="e">
        <f>astrogrep_path&amp;" /e /r /s /spath="&amp;search_path&amp;" /stypes=""app*"&amp;WWY28&amp;"*"&amp;TEXT(WXF28-utc_offset/24,"YYYYMMDD")&amp;"*"" /stext="" "&amp;TEXT(WXF28-utc_offset/24,"HH")&amp;search_regexp&amp;""""</f>
        <v>#VALUE!</v>
      </c>
      <c r="WYD28" s="234" t="e">
        <f>astrogrep_path&amp;" /e /r /s /spath="&amp;search_path&amp;" /stypes=""app*"&amp;WWZ28&amp;"*"&amp;TEXT(WXG28-utc_offset/24,"YYYYMMDD")&amp;"*"" /stext="" "&amp;TEXT(WXG28-utc_offset/24,"HH")&amp;search_regexp&amp;""""</f>
        <v>#VALUE!</v>
      </c>
      <c r="WYE28" s="234" t="e">
        <f>astrogrep_path&amp;" /e /r /s /spath="&amp;search_path&amp;" /stypes=""app*"&amp;WXA28&amp;"*"&amp;TEXT(WXH28-utc_offset/24,"YYYYMMDD")&amp;"*"" /stext="" "&amp;TEXT(WXH28-utc_offset/24,"HH")&amp;search_regexp&amp;""""</f>
        <v>#REF!</v>
      </c>
      <c r="WYF28" s="234" t="e">
        <f>astrogrep_path&amp;" /e /r /s /spath="&amp;search_path&amp;" /stypes=""app*"&amp;WXB28&amp;"*"&amp;TEXT(WXI28-utc_offset/24,"YYYYMMDD")&amp;"*"" /stext="" "&amp;TEXT(WXI28-utc_offset/24,"HH")&amp;search_regexp&amp;""""</f>
        <v>#REF!</v>
      </c>
      <c r="WYG28" s="234" t="e">
        <f>astrogrep_path&amp;" /e /r /s /spath="&amp;search_path&amp;" /stypes=""app*"&amp;WXC28&amp;"*"&amp;TEXT(WXJ28-utc_offset/24,"YYYYMMDD")&amp;"*"" /stext="" "&amp;TEXT(WXJ28-utc_offset/24,"HH")&amp;search_regexp&amp;""""</f>
        <v>#VALUE!</v>
      </c>
      <c r="WYH28" s="234" t="e">
        <f>astrogrep_path&amp;" /e /r /s /spath="&amp;search_path&amp;" /stypes=""app*"&amp;WXD28&amp;"*"&amp;TEXT(WXK28-utc_offset/24,"YYYYMMDD")&amp;"*"" /stext="" "&amp;TEXT(WXK28-utc_offset/24,"HH")&amp;search_regexp&amp;""""</f>
        <v>#VALUE!</v>
      </c>
      <c r="WYI28" s="234" t="e">
        <f>astrogrep_path&amp;" /e /r /s /spath="&amp;search_path&amp;" /stypes=""app*"&amp;WXE28&amp;"*"&amp;TEXT(WXL28-utc_offset/24,"YYYYMMDD")&amp;"*"" /stext="" "&amp;TEXT(WXL28-utc_offset/24,"HH")&amp;search_regexp&amp;""""</f>
        <v>#VALUE!</v>
      </c>
      <c r="WYJ28" s="234" t="e">
        <f>astrogrep_path&amp;" /e /r /s /spath="&amp;search_path&amp;" /stypes=""app*"&amp;WXF28&amp;"*"&amp;TEXT(WXM28-utc_offset/24,"YYYYMMDD")&amp;"*"" /stext="" "&amp;TEXT(WXM28-utc_offset/24,"HH")&amp;search_regexp&amp;""""</f>
        <v>#VALUE!</v>
      </c>
      <c r="WYK28" s="234" t="e">
        <f>astrogrep_path&amp;" /e /r /s /spath="&amp;search_path&amp;" /stypes=""app*"&amp;WXG28&amp;"*"&amp;TEXT(WXN28-utc_offset/24,"YYYYMMDD")&amp;"*"" /stext="" "&amp;TEXT(WXN28-utc_offset/24,"HH")&amp;search_regexp&amp;""""</f>
        <v>#VALUE!</v>
      </c>
      <c r="WYL28" s="234" t="e">
        <f>astrogrep_path&amp;" /e /r /s /spath="&amp;search_path&amp;" /stypes=""app*"&amp;WXH28&amp;"*"&amp;TEXT(WXO28-utc_offset/24,"YYYYMMDD")&amp;"*"" /stext="" "&amp;TEXT(WXO28-utc_offset/24,"HH")&amp;search_regexp&amp;""""</f>
        <v>#REF!</v>
      </c>
      <c r="WYM28" s="234" t="e">
        <f>astrogrep_path&amp;" /e /r /s /spath="&amp;search_path&amp;" /stypes=""app*"&amp;WXI28&amp;"*"&amp;TEXT(WXP28-utc_offset/24,"YYYYMMDD")&amp;"*"" /stext="" "&amp;TEXT(WXP28-utc_offset/24,"HH")&amp;search_regexp&amp;""""</f>
        <v>#REF!</v>
      </c>
      <c r="WYN28" s="234" t="e">
        <f>astrogrep_path&amp;" /e /r /s /spath="&amp;search_path&amp;" /stypes=""app*"&amp;WXJ28&amp;"*"&amp;TEXT(WXQ28-utc_offset/24,"YYYYMMDD")&amp;"*"" /stext="" "&amp;TEXT(WXQ28-utc_offset/24,"HH")&amp;search_regexp&amp;""""</f>
        <v>#REF!</v>
      </c>
      <c r="WYO28" s="234" t="e">
        <f>astrogrep_path&amp;" /e /r /s /spath="&amp;search_path&amp;" /stypes=""app*"&amp;WXK28&amp;"*"&amp;TEXT(WXR28-utc_offset/24,"YYYYMMDD")&amp;"*"" /stext="" "&amp;TEXT(WXR28-utc_offset/24,"HH")&amp;search_regexp&amp;""""</f>
        <v>#REF!</v>
      </c>
      <c r="WYP28" s="234" t="e">
        <f>astrogrep_path&amp;" /e /r /s /spath="&amp;search_path&amp;" /stypes=""app*"&amp;WXL28&amp;"*"&amp;TEXT(WXS28-utc_offset/24,"YYYYMMDD")&amp;"*"" /stext="" "&amp;TEXT(WXS28-utc_offset/24,"HH")&amp;search_regexp&amp;""""</f>
        <v>#REF!</v>
      </c>
      <c r="WYQ28" s="234" t="e">
        <f>astrogrep_path&amp;" /e /r /s /spath="&amp;search_path&amp;" /stypes=""app*"&amp;WXM28&amp;"*"&amp;TEXT(WXT28-utc_offset/24,"YYYYMMDD")&amp;"*"" /stext="" "&amp;TEXT(WXT28-utc_offset/24,"HH")&amp;search_regexp&amp;""""</f>
        <v>#REF!</v>
      </c>
      <c r="WYR28" s="234" t="e">
        <f>astrogrep_path&amp;" /e /r /s /spath="&amp;search_path&amp;" /stypes=""app*"&amp;WXN28&amp;"*"&amp;TEXT(WXU28-utc_offset/24,"YYYYMMDD")&amp;"*"" /stext="" "&amp;TEXT(WXU28-utc_offset/24,"HH")&amp;search_regexp&amp;""""</f>
        <v>#REF!</v>
      </c>
      <c r="WYS28" s="234" t="e">
        <f>astrogrep_path&amp;" /e /r /s /spath="&amp;search_path&amp;" /stypes=""app*"&amp;WXO28&amp;"*"&amp;TEXT(WXV28-utc_offset/24,"YYYYMMDD")&amp;"*"" /stext="" "&amp;TEXT(WXV28-utc_offset/24,"HH")&amp;search_regexp&amp;""""</f>
        <v>#REF!</v>
      </c>
      <c r="WYT28" s="234" t="e">
        <f>astrogrep_path&amp;" /e /r /s /spath="&amp;search_path&amp;" /stypes=""app*"&amp;WXP28&amp;"*"&amp;TEXT(WXW28-utc_offset/24,"YYYYMMDD")&amp;"*"" /stext="" "&amp;TEXT(WXW28-utc_offset/24,"HH")&amp;search_regexp&amp;""""</f>
        <v>#REF!</v>
      </c>
      <c r="WYU28" s="234" t="e">
        <f>astrogrep_path&amp;" /e /r /s /spath="&amp;search_path&amp;" /stypes=""app*"&amp;WXQ28&amp;"*"&amp;TEXT(WXX28-utc_offset/24,"YYYYMMDD")&amp;"*"" /stext="" "&amp;TEXT(WXX28-utc_offset/24,"HH")&amp;search_regexp&amp;""""</f>
        <v>#REF!</v>
      </c>
      <c r="WYV28" s="234" t="e">
        <f>astrogrep_path&amp;" /e /r /s /spath="&amp;search_path&amp;" /stypes=""app*"&amp;WXR28&amp;"*"&amp;TEXT(WXY28-utc_offset/24,"YYYYMMDD")&amp;"*"" /stext="" "&amp;TEXT(WXY28-utc_offset/24,"HH")&amp;search_regexp&amp;""""</f>
        <v>#REF!</v>
      </c>
      <c r="WYW28" s="234" t="e">
        <f>astrogrep_path&amp;" /e /r /s /spath="&amp;search_path&amp;" /stypes=""app*"&amp;WXS28&amp;"*"&amp;TEXT(WXZ28-utc_offset/24,"YYYYMMDD")&amp;"*"" /stext="" "&amp;TEXT(WXZ28-utc_offset/24,"HH")&amp;search_regexp&amp;""""</f>
        <v>#REF!</v>
      </c>
      <c r="WYX28" s="234" t="e">
        <f>astrogrep_path&amp;" /e /r /s /spath="&amp;search_path&amp;" /stypes=""app*"&amp;WXT28&amp;"*"&amp;TEXT(WYA28-utc_offset/24,"YYYYMMDD")&amp;"*"" /stext="" "&amp;TEXT(WYA28-utc_offset/24,"HH")&amp;search_regexp&amp;""""</f>
        <v>#REF!</v>
      </c>
      <c r="WYY28" s="234" t="e">
        <f>astrogrep_path&amp;" /e /r /s /spath="&amp;search_path&amp;" /stypes=""app*"&amp;WXU28&amp;"*"&amp;TEXT(WYB28-utc_offset/24,"YYYYMMDD")&amp;"*"" /stext="" "&amp;TEXT(WYB28-utc_offset/24,"HH")&amp;search_regexp&amp;""""</f>
        <v>#REF!</v>
      </c>
      <c r="WYZ28" s="234" t="e">
        <f>astrogrep_path&amp;" /e /r /s /spath="&amp;search_path&amp;" /stypes=""app*"&amp;WXV28&amp;"*"&amp;TEXT(WYC28-utc_offset/24,"YYYYMMDD")&amp;"*"" /stext="" "&amp;TEXT(WYC28-utc_offset/24,"HH")&amp;search_regexp&amp;""""</f>
        <v>#REF!</v>
      </c>
      <c r="WZA28" s="234" t="e">
        <f>astrogrep_path&amp;" /e /r /s /spath="&amp;search_path&amp;" /stypes=""app*"&amp;WXW28&amp;"*"&amp;TEXT(WYD28-utc_offset/24,"YYYYMMDD")&amp;"*"" /stext="" "&amp;TEXT(WYD28-utc_offset/24,"HH")&amp;search_regexp&amp;""""</f>
        <v>#REF!</v>
      </c>
      <c r="WZB28" s="234" t="e">
        <f>astrogrep_path&amp;" /e /r /s /spath="&amp;search_path&amp;" /stypes=""app*"&amp;WXX28&amp;"*"&amp;TEXT(WYE28-utc_offset/24,"YYYYMMDD")&amp;"*"" /stext="" "&amp;TEXT(WYE28-utc_offset/24,"HH")&amp;search_regexp&amp;""""</f>
        <v>#REF!</v>
      </c>
      <c r="WZC28" s="234" t="e">
        <f>astrogrep_path&amp;" /e /r /s /spath="&amp;search_path&amp;" /stypes=""app*"&amp;WXY28&amp;"*"&amp;TEXT(WYF28-utc_offset/24,"YYYYMMDD")&amp;"*"" /stext="" "&amp;TEXT(WYF28-utc_offset/24,"HH")&amp;search_regexp&amp;""""</f>
        <v>#REF!</v>
      </c>
      <c r="WZD28" s="234" t="e">
        <f>astrogrep_path&amp;" /e /r /s /spath="&amp;search_path&amp;" /stypes=""app*"&amp;WXZ28&amp;"*"&amp;TEXT(WYG28-utc_offset/24,"YYYYMMDD")&amp;"*"" /stext="" "&amp;TEXT(WYG28-utc_offset/24,"HH")&amp;search_regexp&amp;""""</f>
        <v>#REF!</v>
      </c>
      <c r="WZE28" s="234" t="e">
        <f>astrogrep_path&amp;" /e /r /s /spath="&amp;search_path&amp;" /stypes=""app*"&amp;WYA28&amp;"*"&amp;TEXT(WYH28-utc_offset/24,"YYYYMMDD")&amp;"*"" /stext="" "&amp;TEXT(WYH28-utc_offset/24,"HH")&amp;search_regexp&amp;""""</f>
        <v>#REF!</v>
      </c>
      <c r="WZF28" s="234" t="e">
        <f>astrogrep_path&amp;" /e /r /s /spath="&amp;search_path&amp;" /stypes=""app*"&amp;WYB28&amp;"*"&amp;TEXT(WYI28-utc_offset/24,"YYYYMMDD")&amp;"*"" /stext="" "&amp;TEXT(WYI28-utc_offset/24,"HH")&amp;search_regexp&amp;""""</f>
        <v>#REF!</v>
      </c>
      <c r="WZG28" s="234" t="e">
        <f>astrogrep_path&amp;" /e /r /s /spath="&amp;search_path&amp;" /stypes=""app*"&amp;WYC28&amp;"*"&amp;TEXT(WYJ28-utc_offset/24,"YYYYMMDD")&amp;"*"" /stext="" "&amp;TEXT(WYJ28-utc_offset/24,"HH")&amp;search_regexp&amp;""""</f>
        <v>#VALUE!</v>
      </c>
      <c r="WZH28" s="234" t="e">
        <f>astrogrep_path&amp;" /e /r /s /spath="&amp;search_path&amp;" /stypes=""app*"&amp;WYD28&amp;"*"&amp;TEXT(WYK28-utc_offset/24,"YYYYMMDD")&amp;"*"" /stext="" "&amp;TEXT(WYK28-utc_offset/24,"HH")&amp;search_regexp&amp;""""</f>
        <v>#VALUE!</v>
      </c>
      <c r="WZI28" s="234" t="e">
        <f>astrogrep_path&amp;" /e /r /s /spath="&amp;search_path&amp;" /stypes=""app*"&amp;WYE28&amp;"*"&amp;TEXT(WYL28-utc_offset/24,"YYYYMMDD")&amp;"*"" /stext="" "&amp;TEXT(WYL28-utc_offset/24,"HH")&amp;search_regexp&amp;""""</f>
        <v>#REF!</v>
      </c>
      <c r="WZJ28" s="234" t="e">
        <f>astrogrep_path&amp;" /e /r /s /spath="&amp;search_path&amp;" /stypes=""app*"&amp;WYF28&amp;"*"&amp;TEXT(WYM28-utc_offset/24,"YYYYMMDD")&amp;"*"" /stext="" "&amp;TEXT(WYM28-utc_offset/24,"HH")&amp;search_regexp&amp;""""</f>
        <v>#REF!</v>
      </c>
      <c r="WZK28" s="234" t="e">
        <f>astrogrep_path&amp;" /e /r /s /spath="&amp;search_path&amp;" /stypes=""app*"&amp;WYG28&amp;"*"&amp;TEXT(WYN28-utc_offset/24,"YYYYMMDD")&amp;"*"" /stext="" "&amp;TEXT(WYN28-utc_offset/24,"HH")&amp;search_regexp&amp;""""</f>
        <v>#VALUE!</v>
      </c>
      <c r="WZL28" s="234" t="e">
        <f>astrogrep_path&amp;" /e /r /s /spath="&amp;search_path&amp;" /stypes=""app*"&amp;WYH28&amp;"*"&amp;TEXT(WYO28-utc_offset/24,"YYYYMMDD")&amp;"*"" /stext="" "&amp;TEXT(WYO28-utc_offset/24,"HH")&amp;search_regexp&amp;""""</f>
        <v>#VALUE!</v>
      </c>
      <c r="WZM28" s="234" t="e">
        <f>astrogrep_path&amp;" /e /r /s /spath="&amp;search_path&amp;" /stypes=""app*"&amp;WYI28&amp;"*"&amp;TEXT(WYP28-utc_offset/24,"YYYYMMDD")&amp;"*"" /stext="" "&amp;TEXT(WYP28-utc_offset/24,"HH")&amp;search_regexp&amp;""""</f>
        <v>#VALUE!</v>
      </c>
      <c r="WZN28" s="234" t="e">
        <f>astrogrep_path&amp;" /e /r /s /spath="&amp;search_path&amp;" /stypes=""app*"&amp;WYJ28&amp;"*"&amp;TEXT(WYQ28-utc_offset/24,"YYYYMMDD")&amp;"*"" /stext="" "&amp;TEXT(WYQ28-utc_offset/24,"HH")&amp;search_regexp&amp;""""</f>
        <v>#VALUE!</v>
      </c>
      <c r="WZO28" s="234" t="e">
        <f>astrogrep_path&amp;" /e /r /s /spath="&amp;search_path&amp;" /stypes=""app*"&amp;WYK28&amp;"*"&amp;TEXT(WYR28-utc_offset/24,"YYYYMMDD")&amp;"*"" /stext="" "&amp;TEXT(WYR28-utc_offset/24,"HH")&amp;search_regexp&amp;""""</f>
        <v>#VALUE!</v>
      </c>
      <c r="WZP28" s="234" t="e">
        <f>astrogrep_path&amp;" /e /r /s /spath="&amp;search_path&amp;" /stypes=""app*"&amp;WYL28&amp;"*"&amp;TEXT(WYS28-utc_offset/24,"YYYYMMDD")&amp;"*"" /stext="" "&amp;TEXT(WYS28-utc_offset/24,"HH")&amp;search_regexp&amp;""""</f>
        <v>#REF!</v>
      </c>
      <c r="WZQ28" s="234" t="e">
        <f>astrogrep_path&amp;" /e /r /s /spath="&amp;search_path&amp;" /stypes=""app*"&amp;WYM28&amp;"*"&amp;TEXT(WYT28-utc_offset/24,"YYYYMMDD")&amp;"*"" /stext="" "&amp;TEXT(WYT28-utc_offset/24,"HH")&amp;search_regexp&amp;""""</f>
        <v>#REF!</v>
      </c>
      <c r="WZR28" s="234" t="e">
        <f>astrogrep_path&amp;" /e /r /s /spath="&amp;search_path&amp;" /stypes=""app*"&amp;WYN28&amp;"*"&amp;TEXT(WYU28-utc_offset/24,"YYYYMMDD")&amp;"*"" /stext="" "&amp;TEXT(WYU28-utc_offset/24,"HH")&amp;search_regexp&amp;""""</f>
        <v>#REF!</v>
      </c>
      <c r="WZS28" s="234" t="e">
        <f>astrogrep_path&amp;" /e /r /s /spath="&amp;search_path&amp;" /stypes=""app*"&amp;WYO28&amp;"*"&amp;TEXT(WYV28-utc_offset/24,"YYYYMMDD")&amp;"*"" /stext="" "&amp;TEXT(WYV28-utc_offset/24,"HH")&amp;search_regexp&amp;""""</f>
        <v>#REF!</v>
      </c>
      <c r="WZT28" s="234" t="e">
        <f>astrogrep_path&amp;" /e /r /s /spath="&amp;search_path&amp;" /stypes=""app*"&amp;WYP28&amp;"*"&amp;TEXT(WYW28-utc_offset/24,"YYYYMMDD")&amp;"*"" /stext="" "&amp;TEXT(WYW28-utc_offset/24,"HH")&amp;search_regexp&amp;""""</f>
        <v>#REF!</v>
      </c>
      <c r="WZU28" s="234" t="e">
        <f>astrogrep_path&amp;" /e /r /s /spath="&amp;search_path&amp;" /stypes=""app*"&amp;WYQ28&amp;"*"&amp;TEXT(WYX28-utc_offset/24,"YYYYMMDD")&amp;"*"" /stext="" "&amp;TEXT(WYX28-utc_offset/24,"HH")&amp;search_regexp&amp;""""</f>
        <v>#REF!</v>
      </c>
      <c r="WZV28" s="234" t="e">
        <f>astrogrep_path&amp;" /e /r /s /spath="&amp;search_path&amp;" /stypes=""app*"&amp;WYR28&amp;"*"&amp;TEXT(WYY28-utc_offset/24,"YYYYMMDD")&amp;"*"" /stext="" "&amp;TEXT(WYY28-utc_offset/24,"HH")&amp;search_regexp&amp;""""</f>
        <v>#REF!</v>
      </c>
      <c r="WZW28" s="234" t="e">
        <f>astrogrep_path&amp;" /e /r /s /spath="&amp;search_path&amp;" /stypes=""app*"&amp;WYS28&amp;"*"&amp;TEXT(WYZ28-utc_offset/24,"YYYYMMDD")&amp;"*"" /stext="" "&amp;TEXT(WYZ28-utc_offset/24,"HH")&amp;search_regexp&amp;""""</f>
        <v>#REF!</v>
      </c>
      <c r="WZX28" s="234" t="e">
        <f>astrogrep_path&amp;" /e /r /s /spath="&amp;search_path&amp;" /stypes=""app*"&amp;WYT28&amp;"*"&amp;TEXT(WZA28-utc_offset/24,"YYYYMMDD")&amp;"*"" /stext="" "&amp;TEXT(WZA28-utc_offset/24,"HH")&amp;search_regexp&amp;""""</f>
        <v>#REF!</v>
      </c>
      <c r="WZY28" s="234" t="e">
        <f>astrogrep_path&amp;" /e /r /s /spath="&amp;search_path&amp;" /stypes=""app*"&amp;WYU28&amp;"*"&amp;TEXT(WZB28-utc_offset/24,"YYYYMMDD")&amp;"*"" /stext="" "&amp;TEXT(WZB28-utc_offset/24,"HH")&amp;search_regexp&amp;""""</f>
        <v>#REF!</v>
      </c>
      <c r="WZZ28" s="234" t="e">
        <f>astrogrep_path&amp;" /e /r /s /spath="&amp;search_path&amp;" /stypes=""app*"&amp;WYV28&amp;"*"&amp;TEXT(WZC28-utc_offset/24,"YYYYMMDD")&amp;"*"" /stext="" "&amp;TEXT(WZC28-utc_offset/24,"HH")&amp;search_regexp&amp;""""</f>
        <v>#REF!</v>
      </c>
      <c r="XAA28" s="234" t="e">
        <f>astrogrep_path&amp;" /e /r /s /spath="&amp;search_path&amp;" /stypes=""app*"&amp;WYW28&amp;"*"&amp;TEXT(WZD28-utc_offset/24,"YYYYMMDD")&amp;"*"" /stext="" "&amp;TEXT(WZD28-utc_offset/24,"HH")&amp;search_regexp&amp;""""</f>
        <v>#REF!</v>
      </c>
      <c r="XAB28" s="234" t="e">
        <f>astrogrep_path&amp;" /e /r /s /spath="&amp;search_path&amp;" /stypes=""app*"&amp;WYX28&amp;"*"&amp;TEXT(WZE28-utc_offset/24,"YYYYMMDD")&amp;"*"" /stext="" "&amp;TEXT(WZE28-utc_offset/24,"HH")&amp;search_regexp&amp;""""</f>
        <v>#REF!</v>
      </c>
      <c r="XAC28" s="234" t="e">
        <f>astrogrep_path&amp;" /e /r /s /spath="&amp;search_path&amp;" /stypes=""app*"&amp;WYY28&amp;"*"&amp;TEXT(WZF28-utc_offset/24,"YYYYMMDD")&amp;"*"" /stext="" "&amp;TEXT(WZF28-utc_offset/24,"HH")&amp;search_regexp&amp;""""</f>
        <v>#REF!</v>
      </c>
      <c r="XAD28" s="234" t="e">
        <f>astrogrep_path&amp;" /e /r /s /spath="&amp;search_path&amp;" /stypes=""app*"&amp;WYZ28&amp;"*"&amp;TEXT(WZG28-utc_offset/24,"YYYYMMDD")&amp;"*"" /stext="" "&amp;TEXT(WZG28-utc_offset/24,"HH")&amp;search_regexp&amp;""""</f>
        <v>#REF!</v>
      </c>
      <c r="XAE28" s="234" t="e">
        <f>astrogrep_path&amp;" /e /r /s /spath="&amp;search_path&amp;" /stypes=""app*"&amp;WZA28&amp;"*"&amp;TEXT(WZH28-utc_offset/24,"YYYYMMDD")&amp;"*"" /stext="" "&amp;TEXT(WZH28-utc_offset/24,"HH")&amp;search_regexp&amp;""""</f>
        <v>#REF!</v>
      </c>
      <c r="XAF28" s="234" t="e">
        <f>astrogrep_path&amp;" /e /r /s /spath="&amp;search_path&amp;" /stypes=""app*"&amp;WZB28&amp;"*"&amp;TEXT(WZI28-utc_offset/24,"YYYYMMDD")&amp;"*"" /stext="" "&amp;TEXT(WZI28-utc_offset/24,"HH")&amp;search_regexp&amp;""""</f>
        <v>#REF!</v>
      </c>
      <c r="XAG28" s="234" t="e">
        <f>astrogrep_path&amp;" /e /r /s /spath="&amp;search_path&amp;" /stypes=""app*"&amp;WZC28&amp;"*"&amp;TEXT(WZJ28-utc_offset/24,"YYYYMMDD")&amp;"*"" /stext="" "&amp;TEXT(WZJ28-utc_offset/24,"HH")&amp;search_regexp&amp;""""</f>
        <v>#REF!</v>
      </c>
      <c r="XAH28" s="234" t="e">
        <f>astrogrep_path&amp;" /e /r /s /spath="&amp;search_path&amp;" /stypes=""app*"&amp;WZD28&amp;"*"&amp;TEXT(WZK28-utc_offset/24,"YYYYMMDD")&amp;"*"" /stext="" "&amp;TEXT(WZK28-utc_offset/24,"HH")&amp;search_regexp&amp;""""</f>
        <v>#REF!</v>
      </c>
      <c r="XAI28" s="234" t="e">
        <f>astrogrep_path&amp;" /e /r /s /spath="&amp;search_path&amp;" /stypes=""app*"&amp;WZE28&amp;"*"&amp;TEXT(WZL28-utc_offset/24,"YYYYMMDD")&amp;"*"" /stext="" "&amp;TEXT(WZL28-utc_offset/24,"HH")&amp;search_regexp&amp;""""</f>
        <v>#REF!</v>
      </c>
      <c r="XAJ28" s="234" t="e">
        <f>astrogrep_path&amp;" /e /r /s /spath="&amp;search_path&amp;" /stypes=""app*"&amp;WZF28&amp;"*"&amp;TEXT(WZM28-utc_offset/24,"YYYYMMDD")&amp;"*"" /stext="" "&amp;TEXT(WZM28-utc_offset/24,"HH")&amp;search_regexp&amp;""""</f>
        <v>#REF!</v>
      </c>
      <c r="XAK28" s="234" t="e">
        <f>astrogrep_path&amp;" /e /r /s /spath="&amp;search_path&amp;" /stypes=""app*"&amp;WZG28&amp;"*"&amp;TEXT(WZN28-utc_offset/24,"YYYYMMDD")&amp;"*"" /stext="" "&amp;TEXT(WZN28-utc_offset/24,"HH")&amp;search_regexp&amp;""""</f>
        <v>#VALUE!</v>
      </c>
      <c r="XAL28" s="234" t="e">
        <f>astrogrep_path&amp;" /e /r /s /spath="&amp;search_path&amp;" /stypes=""app*"&amp;WZH28&amp;"*"&amp;TEXT(WZO28-utc_offset/24,"YYYYMMDD")&amp;"*"" /stext="" "&amp;TEXT(WZO28-utc_offset/24,"HH")&amp;search_regexp&amp;""""</f>
        <v>#VALUE!</v>
      </c>
      <c r="XAM28" s="234" t="e">
        <f>astrogrep_path&amp;" /e /r /s /spath="&amp;search_path&amp;" /stypes=""app*"&amp;WZI28&amp;"*"&amp;TEXT(WZP28-utc_offset/24,"YYYYMMDD")&amp;"*"" /stext="" "&amp;TEXT(WZP28-utc_offset/24,"HH")&amp;search_regexp&amp;""""</f>
        <v>#REF!</v>
      </c>
      <c r="XAN28" s="234" t="e">
        <f>astrogrep_path&amp;" /e /r /s /spath="&amp;search_path&amp;" /stypes=""app*"&amp;WZJ28&amp;"*"&amp;TEXT(WZQ28-utc_offset/24,"YYYYMMDD")&amp;"*"" /stext="" "&amp;TEXT(WZQ28-utc_offset/24,"HH")&amp;search_regexp&amp;""""</f>
        <v>#REF!</v>
      </c>
      <c r="XAO28" s="234" t="e">
        <f>astrogrep_path&amp;" /e /r /s /spath="&amp;search_path&amp;" /stypes=""app*"&amp;WZK28&amp;"*"&amp;TEXT(WZR28-utc_offset/24,"YYYYMMDD")&amp;"*"" /stext="" "&amp;TEXT(WZR28-utc_offset/24,"HH")&amp;search_regexp&amp;""""</f>
        <v>#VALUE!</v>
      </c>
      <c r="XAP28" s="234" t="e">
        <f>astrogrep_path&amp;" /e /r /s /spath="&amp;search_path&amp;" /stypes=""app*"&amp;WZL28&amp;"*"&amp;TEXT(WZS28-utc_offset/24,"YYYYMMDD")&amp;"*"" /stext="" "&amp;TEXT(WZS28-utc_offset/24,"HH")&amp;search_regexp&amp;""""</f>
        <v>#VALUE!</v>
      </c>
      <c r="XAQ28" s="234" t="e">
        <f>astrogrep_path&amp;" /e /r /s /spath="&amp;search_path&amp;" /stypes=""app*"&amp;WZM28&amp;"*"&amp;TEXT(WZT28-utc_offset/24,"YYYYMMDD")&amp;"*"" /stext="" "&amp;TEXT(WZT28-utc_offset/24,"HH")&amp;search_regexp&amp;""""</f>
        <v>#VALUE!</v>
      </c>
      <c r="XAR28" s="234" t="e">
        <f>astrogrep_path&amp;" /e /r /s /spath="&amp;search_path&amp;" /stypes=""app*"&amp;WZN28&amp;"*"&amp;TEXT(WZU28-utc_offset/24,"YYYYMMDD")&amp;"*"" /stext="" "&amp;TEXT(WZU28-utc_offset/24,"HH")&amp;search_regexp&amp;""""</f>
        <v>#VALUE!</v>
      </c>
      <c r="XAS28" s="234" t="e">
        <f>astrogrep_path&amp;" /e /r /s /spath="&amp;search_path&amp;" /stypes=""app*"&amp;WZO28&amp;"*"&amp;TEXT(WZV28-utc_offset/24,"YYYYMMDD")&amp;"*"" /stext="" "&amp;TEXT(WZV28-utc_offset/24,"HH")&amp;search_regexp&amp;""""</f>
        <v>#VALUE!</v>
      </c>
      <c r="XAT28" s="234" t="e">
        <f>astrogrep_path&amp;" /e /r /s /spath="&amp;search_path&amp;" /stypes=""app*"&amp;WZP28&amp;"*"&amp;TEXT(WZW28-utc_offset/24,"YYYYMMDD")&amp;"*"" /stext="" "&amp;TEXT(WZW28-utc_offset/24,"HH")&amp;search_regexp&amp;""""</f>
        <v>#REF!</v>
      </c>
      <c r="XAU28" s="234" t="e">
        <f>astrogrep_path&amp;" /e /r /s /spath="&amp;search_path&amp;" /stypes=""app*"&amp;WZQ28&amp;"*"&amp;TEXT(WZX28-utc_offset/24,"YYYYMMDD")&amp;"*"" /stext="" "&amp;TEXT(WZX28-utc_offset/24,"HH")&amp;search_regexp&amp;""""</f>
        <v>#REF!</v>
      </c>
      <c r="XAV28" s="234" t="e">
        <f>astrogrep_path&amp;" /e /r /s /spath="&amp;search_path&amp;" /stypes=""app*"&amp;WZR28&amp;"*"&amp;TEXT(WZY28-utc_offset/24,"YYYYMMDD")&amp;"*"" /stext="" "&amp;TEXT(WZY28-utc_offset/24,"HH")&amp;search_regexp&amp;""""</f>
        <v>#REF!</v>
      </c>
      <c r="XAW28" s="234" t="e">
        <f>astrogrep_path&amp;" /e /r /s /spath="&amp;search_path&amp;" /stypes=""app*"&amp;WZS28&amp;"*"&amp;TEXT(WZZ28-utc_offset/24,"YYYYMMDD")&amp;"*"" /stext="" "&amp;TEXT(WZZ28-utc_offset/24,"HH")&amp;search_regexp&amp;""""</f>
        <v>#REF!</v>
      </c>
      <c r="XAX28" s="234" t="e">
        <f>astrogrep_path&amp;" /e /r /s /spath="&amp;search_path&amp;" /stypes=""app*"&amp;WZT28&amp;"*"&amp;TEXT(XAA28-utc_offset/24,"YYYYMMDD")&amp;"*"" /stext="" "&amp;TEXT(XAA28-utc_offset/24,"HH")&amp;search_regexp&amp;""""</f>
        <v>#REF!</v>
      </c>
      <c r="XAY28" s="234" t="e">
        <f>astrogrep_path&amp;" /e /r /s /spath="&amp;search_path&amp;" /stypes=""app*"&amp;WZU28&amp;"*"&amp;TEXT(XAB28-utc_offset/24,"YYYYMMDD")&amp;"*"" /stext="" "&amp;TEXT(XAB28-utc_offset/24,"HH")&amp;search_regexp&amp;""""</f>
        <v>#REF!</v>
      </c>
      <c r="XAZ28" s="234" t="e">
        <f>astrogrep_path&amp;" /e /r /s /spath="&amp;search_path&amp;" /stypes=""app*"&amp;WZV28&amp;"*"&amp;TEXT(XAC28-utc_offset/24,"YYYYMMDD")&amp;"*"" /stext="" "&amp;TEXT(XAC28-utc_offset/24,"HH")&amp;search_regexp&amp;""""</f>
        <v>#REF!</v>
      </c>
      <c r="XBA28" s="234" t="e">
        <f>astrogrep_path&amp;" /e /r /s /spath="&amp;search_path&amp;" /stypes=""app*"&amp;WZW28&amp;"*"&amp;TEXT(XAD28-utc_offset/24,"YYYYMMDD")&amp;"*"" /stext="" "&amp;TEXT(XAD28-utc_offset/24,"HH")&amp;search_regexp&amp;""""</f>
        <v>#REF!</v>
      </c>
      <c r="XBB28" s="234" t="e">
        <f>astrogrep_path&amp;" /e /r /s /spath="&amp;search_path&amp;" /stypes=""app*"&amp;WZX28&amp;"*"&amp;TEXT(XAE28-utc_offset/24,"YYYYMMDD")&amp;"*"" /stext="" "&amp;TEXT(XAE28-utc_offset/24,"HH")&amp;search_regexp&amp;""""</f>
        <v>#REF!</v>
      </c>
      <c r="XBC28" s="234" t="e">
        <f>astrogrep_path&amp;" /e /r /s /spath="&amp;search_path&amp;" /stypes=""app*"&amp;WZY28&amp;"*"&amp;TEXT(XAF28-utc_offset/24,"YYYYMMDD")&amp;"*"" /stext="" "&amp;TEXT(XAF28-utc_offset/24,"HH")&amp;search_regexp&amp;""""</f>
        <v>#REF!</v>
      </c>
      <c r="XBD28" s="234" t="e">
        <f>astrogrep_path&amp;" /e /r /s /spath="&amp;search_path&amp;" /stypes=""app*"&amp;WZZ28&amp;"*"&amp;TEXT(XAG28-utc_offset/24,"YYYYMMDD")&amp;"*"" /stext="" "&amp;TEXT(XAG28-utc_offset/24,"HH")&amp;search_regexp&amp;""""</f>
        <v>#REF!</v>
      </c>
      <c r="XBE28" s="234" t="e">
        <f>astrogrep_path&amp;" /e /r /s /spath="&amp;search_path&amp;" /stypes=""app*"&amp;XAA28&amp;"*"&amp;TEXT(XAH28-utc_offset/24,"YYYYMMDD")&amp;"*"" /stext="" "&amp;TEXT(XAH28-utc_offset/24,"HH")&amp;search_regexp&amp;""""</f>
        <v>#REF!</v>
      </c>
      <c r="XBF28" s="234" t="e">
        <f>astrogrep_path&amp;" /e /r /s /spath="&amp;search_path&amp;" /stypes=""app*"&amp;XAB28&amp;"*"&amp;TEXT(XAI28-utc_offset/24,"YYYYMMDD")&amp;"*"" /stext="" "&amp;TEXT(XAI28-utc_offset/24,"HH")&amp;search_regexp&amp;""""</f>
        <v>#REF!</v>
      </c>
      <c r="XBG28" s="234" t="e">
        <f>astrogrep_path&amp;" /e /r /s /spath="&amp;search_path&amp;" /stypes=""app*"&amp;XAC28&amp;"*"&amp;TEXT(XAJ28-utc_offset/24,"YYYYMMDD")&amp;"*"" /stext="" "&amp;TEXT(XAJ28-utc_offset/24,"HH")&amp;search_regexp&amp;""""</f>
        <v>#REF!</v>
      </c>
      <c r="XBH28" s="234" t="e">
        <f>astrogrep_path&amp;" /e /r /s /spath="&amp;search_path&amp;" /stypes=""app*"&amp;XAD28&amp;"*"&amp;TEXT(XAK28-utc_offset/24,"YYYYMMDD")&amp;"*"" /stext="" "&amp;TEXT(XAK28-utc_offset/24,"HH")&amp;search_regexp&amp;""""</f>
        <v>#REF!</v>
      </c>
      <c r="XBI28" s="234" t="e">
        <f>astrogrep_path&amp;" /e /r /s /spath="&amp;search_path&amp;" /stypes=""app*"&amp;XAE28&amp;"*"&amp;TEXT(XAL28-utc_offset/24,"YYYYMMDD")&amp;"*"" /stext="" "&amp;TEXT(XAL28-utc_offset/24,"HH")&amp;search_regexp&amp;""""</f>
        <v>#REF!</v>
      </c>
      <c r="XBJ28" s="234" t="e">
        <f>astrogrep_path&amp;" /e /r /s /spath="&amp;search_path&amp;" /stypes=""app*"&amp;XAF28&amp;"*"&amp;TEXT(XAM28-utc_offset/24,"YYYYMMDD")&amp;"*"" /stext="" "&amp;TEXT(XAM28-utc_offset/24,"HH")&amp;search_regexp&amp;""""</f>
        <v>#REF!</v>
      </c>
      <c r="XBK28" s="234" t="e">
        <f>astrogrep_path&amp;" /e /r /s /spath="&amp;search_path&amp;" /stypes=""app*"&amp;XAG28&amp;"*"&amp;TEXT(XAN28-utc_offset/24,"YYYYMMDD")&amp;"*"" /stext="" "&amp;TEXT(XAN28-utc_offset/24,"HH")&amp;search_regexp&amp;""""</f>
        <v>#REF!</v>
      </c>
      <c r="XBL28" s="234" t="e">
        <f>astrogrep_path&amp;" /e /r /s /spath="&amp;search_path&amp;" /stypes=""app*"&amp;XAH28&amp;"*"&amp;TEXT(XAO28-utc_offset/24,"YYYYMMDD")&amp;"*"" /stext="" "&amp;TEXT(XAO28-utc_offset/24,"HH")&amp;search_regexp&amp;""""</f>
        <v>#REF!</v>
      </c>
      <c r="XBM28" s="234" t="e">
        <f>astrogrep_path&amp;" /e /r /s /spath="&amp;search_path&amp;" /stypes=""app*"&amp;XAI28&amp;"*"&amp;TEXT(XAP28-utc_offset/24,"YYYYMMDD")&amp;"*"" /stext="" "&amp;TEXT(XAP28-utc_offset/24,"HH")&amp;search_regexp&amp;""""</f>
        <v>#REF!</v>
      </c>
      <c r="XBN28" s="234" t="e">
        <f>astrogrep_path&amp;" /e /r /s /spath="&amp;search_path&amp;" /stypes=""app*"&amp;XAJ28&amp;"*"&amp;TEXT(XAQ28-utc_offset/24,"YYYYMMDD")&amp;"*"" /stext="" "&amp;TEXT(XAQ28-utc_offset/24,"HH")&amp;search_regexp&amp;""""</f>
        <v>#REF!</v>
      </c>
      <c r="XBO28" s="234" t="e">
        <f>astrogrep_path&amp;" /e /r /s /spath="&amp;search_path&amp;" /stypes=""app*"&amp;XAK28&amp;"*"&amp;TEXT(XAR28-utc_offset/24,"YYYYMMDD")&amp;"*"" /stext="" "&amp;TEXT(XAR28-utc_offset/24,"HH")&amp;search_regexp&amp;""""</f>
        <v>#VALUE!</v>
      </c>
      <c r="XBP28" s="234" t="e">
        <f>astrogrep_path&amp;" /e /r /s /spath="&amp;search_path&amp;" /stypes=""app*"&amp;XAL28&amp;"*"&amp;TEXT(XAS28-utc_offset/24,"YYYYMMDD")&amp;"*"" /stext="" "&amp;TEXT(XAS28-utc_offset/24,"HH")&amp;search_regexp&amp;""""</f>
        <v>#VALUE!</v>
      </c>
      <c r="XBQ28" s="234" t="e">
        <f>astrogrep_path&amp;" /e /r /s /spath="&amp;search_path&amp;" /stypes=""app*"&amp;XAM28&amp;"*"&amp;TEXT(XAT28-utc_offset/24,"YYYYMMDD")&amp;"*"" /stext="" "&amp;TEXT(XAT28-utc_offset/24,"HH")&amp;search_regexp&amp;""""</f>
        <v>#REF!</v>
      </c>
      <c r="XBR28" s="234" t="e">
        <f>astrogrep_path&amp;" /e /r /s /spath="&amp;search_path&amp;" /stypes=""app*"&amp;XAN28&amp;"*"&amp;TEXT(XAU28-utc_offset/24,"YYYYMMDD")&amp;"*"" /stext="" "&amp;TEXT(XAU28-utc_offset/24,"HH")&amp;search_regexp&amp;""""</f>
        <v>#REF!</v>
      </c>
      <c r="XBS28" s="234" t="e">
        <f>astrogrep_path&amp;" /e /r /s /spath="&amp;search_path&amp;" /stypes=""app*"&amp;XAO28&amp;"*"&amp;TEXT(XAV28-utc_offset/24,"YYYYMMDD")&amp;"*"" /stext="" "&amp;TEXT(XAV28-utc_offset/24,"HH")&amp;search_regexp&amp;""""</f>
        <v>#VALUE!</v>
      </c>
      <c r="XBT28" s="234" t="e">
        <f>astrogrep_path&amp;" /e /r /s /spath="&amp;search_path&amp;" /stypes=""app*"&amp;XAP28&amp;"*"&amp;TEXT(XAW28-utc_offset/24,"YYYYMMDD")&amp;"*"" /stext="" "&amp;TEXT(XAW28-utc_offset/24,"HH")&amp;search_regexp&amp;""""</f>
        <v>#VALUE!</v>
      </c>
      <c r="XBU28" s="234" t="e">
        <f>astrogrep_path&amp;" /e /r /s /spath="&amp;search_path&amp;" /stypes=""app*"&amp;XAQ28&amp;"*"&amp;TEXT(XAX28-utc_offset/24,"YYYYMMDD")&amp;"*"" /stext="" "&amp;TEXT(XAX28-utc_offset/24,"HH")&amp;search_regexp&amp;""""</f>
        <v>#VALUE!</v>
      </c>
      <c r="XBV28" s="234" t="e">
        <f>astrogrep_path&amp;" /e /r /s /spath="&amp;search_path&amp;" /stypes=""app*"&amp;XAR28&amp;"*"&amp;TEXT(XAY28-utc_offset/24,"YYYYMMDD")&amp;"*"" /stext="" "&amp;TEXT(XAY28-utc_offset/24,"HH")&amp;search_regexp&amp;""""</f>
        <v>#VALUE!</v>
      </c>
      <c r="XBW28" s="234" t="e">
        <f>astrogrep_path&amp;" /e /r /s /spath="&amp;search_path&amp;" /stypes=""app*"&amp;XAS28&amp;"*"&amp;TEXT(XAZ28-utc_offset/24,"YYYYMMDD")&amp;"*"" /stext="" "&amp;TEXT(XAZ28-utc_offset/24,"HH")&amp;search_regexp&amp;""""</f>
        <v>#VALUE!</v>
      </c>
      <c r="XBX28" s="234" t="e">
        <f>astrogrep_path&amp;" /e /r /s /spath="&amp;search_path&amp;" /stypes=""app*"&amp;XAT28&amp;"*"&amp;TEXT(XBA28-utc_offset/24,"YYYYMMDD")&amp;"*"" /stext="" "&amp;TEXT(XBA28-utc_offset/24,"HH")&amp;search_regexp&amp;""""</f>
        <v>#REF!</v>
      </c>
      <c r="XBY28" s="234" t="e">
        <f>astrogrep_path&amp;" /e /r /s /spath="&amp;search_path&amp;" /stypes=""app*"&amp;XAU28&amp;"*"&amp;TEXT(XBB28-utc_offset/24,"YYYYMMDD")&amp;"*"" /stext="" "&amp;TEXT(XBB28-utc_offset/24,"HH")&amp;search_regexp&amp;""""</f>
        <v>#REF!</v>
      </c>
      <c r="XBZ28" s="234" t="e">
        <f>astrogrep_path&amp;" /e /r /s /spath="&amp;search_path&amp;" /stypes=""app*"&amp;XAV28&amp;"*"&amp;TEXT(XBC28-utc_offset/24,"YYYYMMDD")&amp;"*"" /stext="" "&amp;TEXT(XBC28-utc_offset/24,"HH")&amp;search_regexp&amp;""""</f>
        <v>#REF!</v>
      </c>
      <c r="XCA28" s="234" t="e">
        <f>astrogrep_path&amp;" /e /r /s /spath="&amp;search_path&amp;" /stypes=""app*"&amp;XAW28&amp;"*"&amp;TEXT(XBD28-utc_offset/24,"YYYYMMDD")&amp;"*"" /stext="" "&amp;TEXT(XBD28-utc_offset/24,"HH")&amp;search_regexp&amp;""""</f>
        <v>#REF!</v>
      </c>
      <c r="XCB28" s="234" t="e">
        <f>astrogrep_path&amp;" /e /r /s /spath="&amp;search_path&amp;" /stypes=""app*"&amp;XAX28&amp;"*"&amp;TEXT(XBE28-utc_offset/24,"YYYYMMDD")&amp;"*"" /stext="" "&amp;TEXT(XBE28-utc_offset/24,"HH")&amp;search_regexp&amp;""""</f>
        <v>#REF!</v>
      </c>
      <c r="XCC28" s="234" t="e">
        <f>astrogrep_path&amp;" /e /r /s /spath="&amp;search_path&amp;" /stypes=""app*"&amp;XAY28&amp;"*"&amp;TEXT(XBF28-utc_offset/24,"YYYYMMDD")&amp;"*"" /stext="" "&amp;TEXT(XBF28-utc_offset/24,"HH")&amp;search_regexp&amp;""""</f>
        <v>#REF!</v>
      </c>
      <c r="XCD28" s="234" t="e">
        <f>astrogrep_path&amp;" /e /r /s /spath="&amp;search_path&amp;" /stypes=""app*"&amp;XAZ28&amp;"*"&amp;TEXT(XBG28-utc_offset/24,"YYYYMMDD")&amp;"*"" /stext="" "&amp;TEXT(XBG28-utc_offset/24,"HH")&amp;search_regexp&amp;""""</f>
        <v>#REF!</v>
      </c>
      <c r="XCE28" s="234" t="e">
        <f>astrogrep_path&amp;" /e /r /s /spath="&amp;search_path&amp;" /stypes=""app*"&amp;XBA28&amp;"*"&amp;TEXT(XBH28-utc_offset/24,"YYYYMMDD")&amp;"*"" /stext="" "&amp;TEXT(XBH28-utc_offset/24,"HH")&amp;search_regexp&amp;""""</f>
        <v>#REF!</v>
      </c>
      <c r="XCF28" s="234" t="e">
        <f>astrogrep_path&amp;" /e /r /s /spath="&amp;search_path&amp;" /stypes=""app*"&amp;XBB28&amp;"*"&amp;TEXT(XBI28-utc_offset/24,"YYYYMMDD")&amp;"*"" /stext="" "&amp;TEXT(XBI28-utc_offset/24,"HH")&amp;search_regexp&amp;""""</f>
        <v>#REF!</v>
      </c>
      <c r="XCG28" s="234" t="e">
        <f>astrogrep_path&amp;" /e /r /s /spath="&amp;search_path&amp;" /stypes=""app*"&amp;XBC28&amp;"*"&amp;TEXT(XBJ28-utc_offset/24,"YYYYMMDD")&amp;"*"" /stext="" "&amp;TEXT(XBJ28-utc_offset/24,"HH")&amp;search_regexp&amp;""""</f>
        <v>#REF!</v>
      </c>
      <c r="XCH28" s="234" t="e">
        <f>astrogrep_path&amp;" /e /r /s /spath="&amp;search_path&amp;" /stypes=""app*"&amp;XBD28&amp;"*"&amp;TEXT(XBK28-utc_offset/24,"YYYYMMDD")&amp;"*"" /stext="" "&amp;TEXT(XBK28-utc_offset/24,"HH")&amp;search_regexp&amp;""""</f>
        <v>#REF!</v>
      </c>
      <c r="XCI28" s="234" t="e">
        <f>astrogrep_path&amp;" /e /r /s /spath="&amp;search_path&amp;" /stypes=""app*"&amp;XBE28&amp;"*"&amp;TEXT(XBL28-utc_offset/24,"YYYYMMDD")&amp;"*"" /stext="" "&amp;TEXT(XBL28-utc_offset/24,"HH")&amp;search_regexp&amp;""""</f>
        <v>#REF!</v>
      </c>
      <c r="XCJ28" s="234" t="e">
        <f>astrogrep_path&amp;" /e /r /s /spath="&amp;search_path&amp;" /stypes=""app*"&amp;XBF28&amp;"*"&amp;TEXT(XBM28-utc_offset/24,"YYYYMMDD")&amp;"*"" /stext="" "&amp;TEXT(XBM28-utc_offset/24,"HH")&amp;search_regexp&amp;""""</f>
        <v>#REF!</v>
      </c>
      <c r="XCK28" s="234" t="e">
        <f>astrogrep_path&amp;" /e /r /s /spath="&amp;search_path&amp;" /stypes=""app*"&amp;XBG28&amp;"*"&amp;TEXT(XBN28-utc_offset/24,"YYYYMMDD")&amp;"*"" /stext="" "&amp;TEXT(XBN28-utc_offset/24,"HH")&amp;search_regexp&amp;""""</f>
        <v>#REF!</v>
      </c>
      <c r="XCL28" s="234" t="e">
        <f>astrogrep_path&amp;" /e /r /s /spath="&amp;search_path&amp;" /stypes=""app*"&amp;XBH28&amp;"*"&amp;TEXT(XBO28-utc_offset/24,"YYYYMMDD")&amp;"*"" /stext="" "&amp;TEXT(XBO28-utc_offset/24,"HH")&amp;search_regexp&amp;""""</f>
        <v>#REF!</v>
      </c>
      <c r="XCM28" s="234" t="e">
        <f>astrogrep_path&amp;" /e /r /s /spath="&amp;search_path&amp;" /stypes=""app*"&amp;XBI28&amp;"*"&amp;TEXT(XBP28-utc_offset/24,"YYYYMMDD")&amp;"*"" /stext="" "&amp;TEXT(XBP28-utc_offset/24,"HH")&amp;search_regexp&amp;""""</f>
        <v>#REF!</v>
      </c>
      <c r="XCN28" s="234" t="e">
        <f>astrogrep_path&amp;" /e /r /s /spath="&amp;search_path&amp;" /stypes=""app*"&amp;XBJ28&amp;"*"&amp;TEXT(XBQ28-utc_offset/24,"YYYYMMDD")&amp;"*"" /stext="" "&amp;TEXT(XBQ28-utc_offset/24,"HH")&amp;search_regexp&amp;""""</f>
        <v>#REF!</v>
      </c>
      <c r="XCO28" s="234" t="e">
        <f>astrogrep_path&amp;" /e /r /s /spath="&amp;search_path&amp;" /stypes=""app*"&amp;XBK28&amp;"*"&amp;TEXT(XBR28-utc_offset/24,"YYYYMMDD")&amp;"*"" /stext="" "&amp;TEXT(XBR28-utc_offset/24,"HH")&amp;search_regexp&amp;""""</f>
        <v>#REF!</v>
      </c>
      <c r="XCP28" s="234" t="e">
        <f>astrogrep_path&amp;" /e /r /s /spath="&amp;search_path&amp;" /stypes=""app*"&amp;XBL28&amp;"*"&amp;TEXT(XBS28-utc_offset/24,"YYYYMMDD")&amp;"*"" /stext="" "&amp;TEXT(XBS28-utc_offset/24,"HH")&amp;search_regexp&amp;""""</f>
        <v>#REF!</v>
      </c>
      <c r="XCQ28" s="234" t="e">
        <f>astrogrep_path&amp;" /e /r /s /spath="&amp;search_path&amp;" /stypes=""app*"&amp;XBM28&amp;"*"&amp;TEXT(XBT28-utc_offset/24,"YYYYMMDD")&amp;"*"" /stext="" "&amp;TEXT(XBT28-utc_offset/24,"HH")&amp;search_regexp&amp;""""</f>
        <v>#REF!</v>
      </c>
      <c r="XCR28" s="234" t="e">
        <f>astrogrep_path&amp;" /e /r /s /spath="&amp;search_path&amp;" /stypes=""app*"&amp;XBN28&amp;"*"&amp;TEXT(XBU28-utc_offset/24,"YYYYMMDD")&amp;"*"" /stext="" "&amp;TEXT(XBU28-utc_offset/24,"HH")&amp;search_regexp&amp;""""</f>
        <v>#REF!</v>
      </c>
      <c r="XCS28" s="234" t="e">
        <f>astrogrep_path&amp;" /e /r /s /spath="&amp;search_path&amp;" /stypes=""app*"&amp;XBO28&amp;"*"&amp;TEXT(XBV28-utc_offset/24,"YYYYMMDD")&amp;"*"" /stext="" "&amp;TEXT(XBV28-utc_offset/24,"HH")&amp;search_regexp&amp;""""</f>
        <v>#VALUE!</v>
      </c>
      <c r="XCT28" s="234" t="e">
        <f>astrogrep_path&amp;" /e /r /s /spath="&amp;search_path&amp;" /stypes=""app*"&amp;XBP28&amp;"*"&amp;TEXT(XBW28-utc_offset/24,"YYYYMMDD")&amp;"*"" /stext="" "&amp;TEXT(XBW28-utc_offset/24,"HH")&amp;search_regexp&amp;""""</f>
        <v>#VALUE!</v>
      </c>
      <c r="XCU28" s="234" t="e">
        <f>astrogrep_path&amp;" /e /r /s /spath="&amp;search_path&amp;" /stypes=""app*"&amp;XBQ28&amp;"*"&amp;TEXT(XBX28-utc_offset/24,"YYYYMMDD")&amp;"*"" /stext="" "&amp;TEXT(XBX28-utc_offset/24,"HH")&amp;search_regexp&amp;""""</f>
        <v>#REF!</v>
      </c>
      <c r="XCV28" s="234" t="e">
        <f>astrogrep_path&amp;" /e /r /s /spath="&amp;search_path&amp;" /stypes=""app*"&amp;XBR28&amp;"*"&amp;TEXT(XBY28-utc_offset/24,"YYYYMMDD")&amp;"*"" /stext="" "&amp;TEXT(XBY28-utc_offset/24,"HH")&amp;search_regexp&amp;""""</f>
        <v>#REF!</v>
      </c>
      <c r="XCW28" s="234" t="e">
        <f>astrogrep_path&amp;" /e /r /s /spath="&amp;search_path&amp;" /stypes=""app*"&amp;XBS28&amp;"*"&amp;TEXT(XBZ28-utc_offset/24,"YYYYMMDD")&amp;"*"" /stext="" "&amp;TEXT(XBZ28-utc_offset/24,"HH")&amp;search_regexp&amp;""""</f>
        <v>#VALUE!</v>
      </c>
      <c r="XCX28" s="234" t="e">
        <f>astrogrep_path&amp;" /e /r /s /spath="&amp;search_path&amp;" /stypes=""app*"&amp;XBT28&amp;"*"&amp;TEXT(XCA28-utc_offset/24,"YYYYMMDD")&amp;"*"" /stext="" "&amp;TEXT(XCA28-utc_offset/24,"HH")&amp;search_regexp&amp;""""</f>
        <v>#VALUE!</v>
      </c>
      <c r="XCY28" s="234" t="e">
        <f>astrogrep_path&amp;" /e /r /s /spath="&amp;search_path&amp;" /stypes=""app*"&amp;XBU28&amp;"*"&amp;TEXT(XCB28-utc_offset/24,"YYYYMMDD")&amp;"*"" /stext="" "&amp;TEXT(XCB28-utc_offset/24,"HH")&amp;search_regexp&amp;""""</f>
        <v>#VALUE!</v>
      </c>
      <c r="XCZ28" s="234" t="e">
        <f>astrogrep_path&amp;" /e /r /s /spath="&amp;search_path&amp;" /stypes=""app*"&amp;XBV28&amp;"*"&amp;TEXT(XCC28-utc_offset/24,"YYYYMMDD")&amp;"*"" /stext="" "&amp;TEXT(XCC28-utc_offset/24,"HH")&amp;search_regexp&amp;""""</f>
        <v>#VALUE!</v>
      </c>
      <c r="XDA28" s="234" t="e">
        <f>astrogrep_path&amp;" /e /r /s /spath="&amp;search_path&amp;" /stypes=""app*"&amp;XBW28&amp;"*"&amp;TEXT(XCD28-utc_offset/24,"YYYYMMDD")&amp;"*"" /stext="" "&amp;TEXT(XCD28-utc_offset/24,"HH")&amp;search_regexp&amp;""""</f>
        <v>#VALUE!</v>
      </c>
      <c r="XDB28" s="234" t="e">
        <f>astrogrep_path&amp;" /e /r /s /spath="&amp;search_path&amp;" /stypes=""app*"&amp;XBX28&amp;"*"&amp;TEXT(XCE28-utc_offset/24,"YYYYMMDD")&amp;"*"" /stext="" "&amp;TEXT(XCE28-utc_offset/24,"HH")&amp;search_regexp&amp;""""</f>
        <v>#REF!</v>
      </c>
      <c r="XDC28" s="234" t="e">
        <f>astrogrep_path&amp;" /e /r /s /spath="&amp;search_path&amp;" /stypes=""app*"&amp;XBY28&amp;"*"&amp;TEXT(XCF28-utc_offset/24,"YYYYMMDD")&amp;"*"" /stext="" "&amp;TEXT(XCF28-utc_offset/24,"HH")&amp;search_regexp&amp;""""</f>
        <v>#REF!</v>
      </c>
      <c r="XDD28" s="234" t="e">
        <f>astrogrep_path&amp;" /e /r /s /spath="&amp;search_path&amp;" /stypes=""app*"&amp;XBZ28&amp;"*"&amp;TEXT(XCG28-utc_offset/24,"YYYYMMDD")&amp;"*"" /stext="" "&amp;TEXT(XCG28-utc_offset/24,"HH")&amp;search_regexp&amp;""""</f>
        <v>#REF!</v>
      </c>
      <c r="XDE28" s="234" t="e">
        <f>astrogrep_path&amp;" /e /r /s /spath="&amp;search_path&amp;" /stypes=""app*"&amp;XCA28&amp;"*"&amp;TEXT(XCH28-utc_offset/24,"YYYYMMDD")&amp;"*"" /stext="" "&amp;TEXT(XCH28-utc_offset/24,"HH")&amp;search_regexp&amp;""""</f>
        <v>#REF!</v>
      </c>
      <c r="XDF28" s="234" t="e">
        <f>astrogrep_path&amp;" /e /r /s /spath="&amp;search_path&amp;" /stypes=""app*"&amp;XCB28&amp;"*"&amp;TEXT(XCI28-utc_offset/24,"YYYYMMDD")&amp;"*"" /stext="" "&amp;TEXT(XCI28-utc_offset/24,"HH")&amp;search_regexp&amp;""""</f>
        <v>#REF!</v>
      </c>
      <c r="XDG28" s="234" t="e">
        <f>astrogrep_path&amp;" /e /r /s /spath="&amp;search_path&amp;" /stypes=""app*"&amp;XCC28&amp;"*"&amp;TEXT(XCJ28-utc_offset/24,"YYYYMMDD")&amp;"*"" /stext="" "&amp;TEXT(XCJ28-utc_offset/24,"HH")&amp;search_regexp&amp;""""</f>
        <v>#REF!</v>
      </c>
      <c r="XDH28" s="234" t="e">
        <f>astrogrep_path&amp;" /e /r /s /spath="&amp;search_path&amp;" /stypes=""app*"&amp;XCD28&amp;"*"&amp;TEXT(XCK28-utc_offset/24,"YYYYMMDD")&amp;"*"" /stext="" "&amp;TEXT(XCK28-utc_offset/24,"HH")&amp;search_regexp&amp;""""</f>
        <v>#REF!</v>
      </c>
      <c r="XDI28" s="234" t="e">
        <f>astrogrep_path&amp;" /e /r /s /spath="&amp;search_path&amp;" /stypes=""app*"&amp;XCE28&amp;"*"&amp;TEXT(XCL28-utc_offset/24,"YYYYMMDD")&amp;"*"" /stext="" "&amp;TEXT(XCL28-utc_offset/24,"HH")&amp;search_regexp&amp;""""</f>
        <v>#REF!</v>
      </c>
      <c r="XDJ28" s="234" t="e">
        <f>astrogrep_path&amp;" /e /r /s /spath="&amp;search_path&amp;" /stypes=""app*"&amp;XCF28&amp;"*"&amp;TEXT(XCM28-utc_offset/24,"YYYYMMDD")&amp;"*"" /stext="" "&amp;TEXT(XCM28-utc_offset/24,"HH")&amp;search_regexp&amp;""""</f>
        <v>#REF!</v>
      </c>
      <c r="XDK28" s="234" t="e">
        <f>astrogrep_path&amp;" /e /r /s /spath="&amp;search_path&amp;" /stypes=""app*"&amp;XCG28&amp;"*"&amp;TEXT(XCN28-utc_offset/24,"YYYYMMDD")&amp;"*"" /stext="" "&amp;TEXT(XCN28-utc_offset/24,"HH")&amp;search_regexp&amp;""""</f>
        <v>#REF!</v>
      </c>
      <c r="XDL28" s="234" t="e">
        <f>astrogrep_path&amp;" /e /r /s /spath="&amp;search_path&amp;" /stypes=""app*"&amp;XCH28&amp;"*"&amp;TEXT(XCO28-utc_offset/24,"YYYYMMDD")&amp;"*"" /stext="" "&amp;TEXT(XCO28-utc_offset/24,"HH")&amp;search_regexp&amp;""""</f>
        <v>#REF!</v>
      </c>
      <c r="XDM28" s="234" t="e">
        <f>astrogrep_path&amp;" /e /r /s /spath="&amp;search_path&amp;" /stypes=""app*"&amp;XCI28&amp;"*"&amp;TEXT(XCP28-utc_offset/24,"YYYYMMDD")&amp;"*"" /stext="" "&amp;TEXT(XCP28-utc_offset/24,"HH")&amp;search_regexp&amp;""""</f>
        <v>#REF!</v>
      </c>
      <c r="XDN28" s="234" t="e">
        <f>astrogrep_path&amp;" /e /r /s /spath="&amp;search_path&amp;" /stypes=""app*"&amp;XCJ28&amp;"*"&amp;TEXT(XCQ28-utc_offset/24,"YYYYMMDD")&amp;"*"" /stext="" "&amp;TEXT(XCQ28-utc_offset/24,"HH")&amp;search_regexp&amp;""""</f>
        <v>#REF!</v>
      </c>
      <c r="XDO28" s="234" t="e">
        <f>astrogrep_path&amp;" /e /r /s /spath="&amp;search_path&amp;" /stypes=""app*"&amp;XCK28&amp;"*"&amp;TEXT(XCR28-utc_offset/24,"YYYYMMDD")&amp;"*"" /stext="" "&amp;TEXT(XCR28-utc_offset/24,"HH")&amp;search_regexp&amp;""""</f>
        <v>#REF!</v>
      </c>
      <c r="XDP28" s="234" t="e">
        <f>astrogrep_path&amp;" /e /r /s /spath="&amp;search_path&amp;" /stypes=""app*"&amp;XCL28&amp;"*"&amp;TEXT(XCS28-utc_offset/24,"YYYYMMDD")&amp;"*"" /stext="" "&amp;TEXT(XCS28-utc_offset/24,"HH")&amp;search_regexp&amp;""""</f>
        <v>#REF!</v>
      </c>
      <c r="XDQ28" s="234" t="e">
        <f>astrogrep_path&amp;" /e /r /s /spath="&amp;search_path&amp;" /stypes=""app*"&amp;XCM28&amp;"*"&amp;TEXT(XCT28-utc_offset/24,"YYYYMMDD")&amp;"*"" /stext="" "&amp;TEXT(XCT28-utc_offset/24,"HH")&amp;search_regexp&amp;""""</f>
        <v>#REF!</v>
      </c>
      <c r="XDR28" s="234" t="e">
        <f>astrogrep_path&amp;" /e /r /s /spath="&amp;search_path&amp;" /stypes=""app*"&amp;XCN28&amp;"*"&amp;TEXT(XCU28-utc_offset/24,"YYYYMMDD")&amp;"*"" /stext="" "&amp;TEXT(XCU28-utc_offset/24,"HH")&amp;search_regexp&amp;""""</f>
        <v>#REF!</v>
      </c>
      <c r="XDS28" s="234" t="e">
        <f>astrogrep_path&amp;" /e /r /s /spath="&amp;search_path&amp;" /stypes=""app*"&amp;XCO28&amp;"*"&amp;TEXT(XCV28-utc_offset/24,"YYYYMMDD")&amp;"*"" /stext="" "&amp;TEXT(XCV28-utc_offset/24,"HH")&amp;search_regexp&amp;""""</f>
        <v>#REF!</v>
      </c>
      <c r="XDT28" s="234" t="e">
        <f>astrogrep_path&amp;" /e /r /s /spath="&amp;search_path&amp;" /stypes=""app*"&amp;XCP28&amp;"*"&amp;TEXT(XCW28-utc_offset/24,"YYYYMMDD")&amp;"*"" /stext="" "&amp;TEXT(XCW28-utc_offset/24,"HH")&amp;search_regexp&amp;""""</f>
        <v>#REF!</v>
      </c>
      <c r="XDU28" s="234" t="e">
        <f>astrogrep_path&amp;" /e /r /s /spath="&amp;search_path&amp;" /stypes=""app*"&amp;XCQ28&amp;"*"&amp;TEXT(XCX28-utc_offset/24,"YYYYMMDD")&amp;"*"" /stext="" "&amp;TEXT(XCX28-utc_offset/24,"HH")&amp;search_regexp&amp;""""</f>
        <v>#REF!</v>
      </c>
      <c r="XDV28" s="234" t="e">
        <f>astrogrep_path&amp;" /e /r /s /spath="&amp;search_path&amp;" /stypes=""app*"&amp;XCR28&amp;"*"&amp;TEXT(XCY28-utc_offset/24,"YYYYMMDD")&amp;"*"" /stext="" "&amp;TEXT(XCY28-utc_offset/24,"HH")&amp;search_regexp&amp;""""</f>
        <v>#REF!</v>
      </c>
      <c r="XDW28" s="234" t="e">
        <f>astrogrep_path&amp;" /e /r /s /spath="&amp;search_path&amp;" /stypes=""app*"&amp;XCS28&amp;"*"&amp;TEXT(XCZ28-utc_offset/24,"YYYYMMDD")&amp;"*"" /stext="" "&amp;TEXT(XCZ28-utc_offset/24,"HH")&amp;search_regexp&amp;""""</f>
        <v>#VALUE!</v>
      </c>
      <c r="XDX28" s="234" t="e">
        <f>astrogrep_path&amp;" /e /r /s /spath="&amp;search_path&amp;" /stypes=""app*"&amp;XCT28&amp;"*"&amp;TEXT(XDA28-utc_offset/24,"YYYYMMDD")&amp;"*"" /stext="" "&amp;TEXT(XDA28-utc_offset/24,"HH")&amp;search_regexp&amp;""""</f>
        <v>#VALUE!</v>
      </c>
      <c r="XDY28" s="234" t="e">
        <f>astrogrep_path&amp;" /e /r /s /spath="&amp;search_path&amp;" /stypes=""app*"&amp;XCU28&amp;"*"&amp;TEXT(XDB28-utc_offset/24,"YYYYMMDD")&amp;"*"" /stext="" "&amp;TEXT(XDB28-utc_offset/24,"HH")&amp;search_regexp&amp;""""</f>
        <v>#REF!</v>
      </c>
      <c r="XDZ28" s="234" t="e">
        <f>astrogrep_path&amp;" /e /r /s /spath="&amp;search_path&amp;" /stypes=""app*"&amp;XCV28&amp;"*"&amp;TEXT(XDC28-utc_offset/24,"YYYYMMDD")&amp;"*"" /stext="" "&amp;TEXT(XDC28-utc_offset/24,"HH")&amp;search_regexp&amp;""""</f>
        <v>#REF!</v>
      </c>
      <c r="XEA28" s="234" t="e">
        <f>astrogrep_path&amp;" /e /r /s /spath="&amp;search_path&amp;" /stypes=""app*"&amp;XCW28&amp;"*"&amp;TEXT(XDD28-utc_offset/24,"YYYYMMDD")&amp;"*"" /stext="" "&amp;TEXT(XDD28-utc_offset/24,"HH")&amp;search_regexp&amp;""""</f>
        <v>#VALUE!</v>
      </c>
      <c r="XEB28" s="234" t="e">
        <f>astrogrep_path&amp;" /e /r /s /spath="&amp;search_path&amp;" /stypes=""app*"&amp;XCX28&amp;"*"&amp;TEXT(XDE28-utc_offset/24,"YYYYMMDD")&amp;"*"" /stext="" "&amp;TEXT(XDE28-utc_offset/24,"HH")&amp;search_regexp&amp;""""</f>
        <v>#VALUE!</v>
      </c>
      <c r="XEC28" s="234" t="e">
        <f>astrogrep_path&amp;" /e /r /s /spath="&amp;search_path&amp;" /stypes=""app*"&amp;XCY28&amp;"*"&amp;TEXT(XDF28-utc_offset/24,"YYYYMMDD")&amp;"*"" /stext="" "&amp;TEXT(XDF28-utc_offset/24,"HH")&amp;search_regexp&amp;""""</f>
        <v>#VALUE!</v>
      </c>
      <c r="XED28" s="234" t="e">
        <f>astrogrep_path&amp;" /e /r /s /spath="&amp;search_path&amp;" /stypes=""app*"&amp;XCZ28&amp;"*"&amp;TEXT(XDG28-utc_offset/24,"YYYYMMDD")&amp;"*"" /stext="" "&amp;TEXT(XDG28-utc_offset/24,"HH")&amp;search_regexp&amp;""""</f>
        <v>#VALUE!</v>
      </c>
      <c r="XEE28" s="234" t="e">
        <f>astrogrep_path&amp;" /e /r /s /spath="&amp;search_path&amp;" /stypes=""app*"&amp;XDA28&amp;"*"&amp;TEXT(XDH28-utc_offset/24,"YYYYMMDD")&amp;"*"" /stext="" "&amp;TEXT(XDH28-utc_offset/24,"HH")&amp;search_regexp&amp;""""</f>
        <v>#VALUE!</v>
      </c>
      <c r="XEF28" s="234" t="e">
        <f>astrogrep_path&amp;" /e /r /s /spath="&amp;search_path&amp;" /stypes=""app*"&amp;XDB28&amp;"*"&amp;TEXT(XDI28-utc_offset/24,"YYYYMMDD")&amp;"*"" /stext="" "&amp;TEXT(XDI28-utc_offset/24,"HH")&amp;search_regexp&amp;""""</f>
        <v>#REF!</v>
      </c>
      <c r="XEG28" s="234" t="e">
        <f>astrogrep_path&amp;" /e /r /s /spath="&amp;search_path&amp;" /stypes=""app*"&amp;XDC28&amp;"*"&amp;TEXT(XDJ28-utc_offset/24,"YYYYMMDD")&amp;"*"" /stext="" "&amp;TEXT(XDJ28-utc_offset/24,"HH")&amp;search_regexp&amp;""""</f>
        <v>#REF!</v>
      </c>
      <c r="XEH28" s="234" t="e">
        <f>astrogrep_path&amp;" /e /r /s /spath="&amp;search_path&amp;" /stypes=""app*"&amp;XDD28&amp;"*"&amp;TEXT(XDK28-utc_offset/24,"YYYYMMDD")&amp;"*"" /stext="" "&amp;TEXT(XDK28-utc_offset/24,"HH")&amp;search_regexp&amp;""""</f>
        <v>#REF!</v>
      </c>
      <c r="XEI28" s="234" t="e">
        <f>astrogrep_path&amp;" /e /r /s /spath="&amp;search_path&amp;" /stypes=""app*"&amp;XDE28&amp;"*"&amp;TEXT(XDL28-utc_offset/24,"YYYYMMDD")&amp;"*"" /stext="" "&amp;TEXT(XDL28-utc_offset/24,"HH")&amp;search_regexp&amp;""""</f>
        <v>#REF!</v>
      </c>
      <c r="XEJ28" s="234" t="e">
        <f>astrogrep_path&amp;" /e /r /s /spath="&amp;search_path&amp;" /stypes=""app*"&amp;XDF28&amp;"*"&amp;TEXT(XDM28-utc_offset/24,"YYYYMMDD")&amp;"*"" /stext="" "&amp;TEXT(XDM28-utc_offset/24,"HH")&amp;search_regexp&amp;""""</f>
        <v>#REF!</v>
      </c>
      <c r="XEK28" s="234" t="e">
        <f>astrogrep_path&amp;" /e /r /s /spath="&amp;search_path&amp;" /stypes=""app*"&amp;XDG28&amp;"*"&amp;TEXT(XDN28-utc_offset/24,"YYYYMMDD")&amp;"*"" /stext="" "&amp;TEXT(XDN28-utc_offset/24,"HH")&amp;search_regexp&amp;""""</f>
        <v>#REF!</v>
      </c>
      <c r="XEL28" s="234" t="e">
        <f>astrogrep_path&amp;" /e /r /s /spath="&amp;search_path&amp;" /stypes=""app*"&amp;XDH28&amp;"*"&amp;TEXT(XDO28-utc_offset/24,"YYYYMMDD")&amp;"*"" /stext="" "&amp;TEXT(XDO28-utc_offset/24,"HH")&amp;search_regexp&amp;""""</f>
        <v>#REF!</v>
      </c>
      <c r="XEM28" s="234" t="e">
        <f>astrogrep_path&amp;" /e /r /s /spath="&amp;search_path&amp;" /stypes=""app*"&amp;XDI28&amp;"*"&amp;TEXT(XDP28-utc_offset/24,"YYYYMMDD")&amp;"*"" /stext="" "&amp;TEXT(XDP28-utc_offset/24,"HH")&amp;search_regexp&amp;""""</f>
        <v>#REF!</v>
      </c>
      <c r="XEN28" s="234" t="e">
        <f>astrogrep_path&amp;" /e /r /s /spath="&amp;search_path&amp;" /stypes=""app*"&amp;XDJ28&amp;"*"&amp;TEXT(XDQ28-utc_offset/24,"YYYYMMDD")&amp;"*"" /stext="" "&amp;TEXT(XDQ28-utc_offset/24,"HH")&amp;search_regexp&amp;""""</f>
        <v>#REF!</v>
      </c>
      <c r="XEO28" s="234" t="e">
        <f>astrogrep_path&amp;" /e /r /s /spath="&amp;search_path&amp;" /stypes=""app*"&amp;XDK28&amp;"*"&amp;TEXT(XDR28-utc_offset/24,"YYYYMMDD")&amp;"*"" /stext="" "&amp;TEXT(XDR28-utc_offset/24,"HH")&amp;search_regexp&amp;""""</f>
        <v>#REF!</v>
      </c>
      <c r="XEP28" s="234" t="e">
        <f>astrogrep_path&amp;" /e /r /s /spath="&amp;search_path&amp;" /stypes=""app*"&amp;XDL28&amp;"*"&amp;TEXT(XDS28-utc_offset/24,"YYYYMMDD")&amp;"*"" /stext="" "&amp;TEXT(XDS28-utc_offset/24,"HH")&amp;search_regexp&amp;""""</f>
        <v>#REF!</v>
      </c>
      <c r="XEQ28" s="234" t="e">
        <f>astrogrep_path&amp;" /e /r /s /spath="&amp;search_path&amp;" /stypes=""app*"&amp;XDM28&amp;"*"&amp;TEXT(XDT28-utc_offset/24,"YYYYMMDD")&amp;"*"" /stext="" "&amp;TEXT(XDT28-utc_offset/24,"HH")&amp;search_regexp&amp;""""</f>
        <v>#REF!</v>
      </c>
      <c r="XER28" s="234" t="e">
        <f>astrogrep_path&amp;" /e /r /s /spath="&amp;search_path&amp;" /stypes=""app*"&amp;XDN28&amp;"*"&amp;TEXT(XDU28-utc_offset/24,"YYYYMMDD")&amp;"*"" /stext="" "&amp;TEXT(XDU28-utc_offset/24,"HH")&amp;search_regexp&amp;""""</f>
        <v>#REF!</v>
      </c>
      <c r="XES28" s="234" t="e">
        <f>astrogrep_path&amp;" /e /r /s /spath="&amp;search_path&amp;" /stypes=""app*"&amp;XDO28&amp;"*"&amp;TEXT(XDV28-utc_offset/24,"YYYYMMDD")&amp;"*"" /stext="" "&amp;TEXT(XDV28-utc_offset/24,"HH")&amp;search_regexp&amp;""""</f>
        <v>#REF!</v>
      </c>
      <c r="XET28" s="234" t="e">
        <f>astrogrep_path&amp;" /e /r /s /spath="&amp;search_path&amp;" /stypes=""app*"&amp;XDP28&amp;"*"&amp;TEXT(XDW28-utc_offset/24,"YYYYMMDD")&amp;"*"" /stext="" "&amp;TEXT(XDW28-utc_offset/24,"HH")&amp;search_regexp&amp;""""</f>
        <v>#REF!</v>
      </c>
      <c r="XEU28" s="234" t="e">
        <f>astrogrep_path&amp;" /e /r /s /spath="&amp;search_path&amp;" /stypes=""app*"&amp;XDQ28&amp;"*"&amp;TEXT(XDX28-utc_offset/24,"YYYYMMDD")&amp;"*"" /stext="" "&amp;TEXT(XDX28-utc_offset/24,"HH")&amp;search_regexp&amp;""""</f>
        <v>#REF!</v>
      </c>
      <c r="XEV28" s="234" t="e">
        <f>astrogrep_path&amp;" /e /r /s /spath="&amp;search_path&amp;" /stypes=""app*"&amp;XDR28&amp;"*"&amp;TEXT(XDY28-utc_offset/24,"YYYYMMDD")&amp;"*"" /stext="" "&amp;TEXT(XDY28-utc_offset/24,"HH")&amp;search_regexp&amp;""""</f>
        <v>#REF!</v>
      </c>
      <c r="XEW28" s="234" t="e">
        <f>astrogrep_path&amp;" /e /r /s /spath="&amp;search_path&amp;" /stypes=""app*"&amp;XDS28&amp;"*"&amp;TEXT(XDZ28-utc_offset/24,"YYYYMMDD")&amp;"*"" /stext="" "&amp;TEXT(XDZ28-utc_offset/24,"HH")&amp;search_regexp&amp;""""</f>
        <v>#REF!</v>
      </c>
      <c r="XEX28" s="234" t="e">
        <f>astrogrep_path&amp;" /e /r /s /spath="&amp;search_path&amp;" /stypes=""app*"&amp;XDT28&amp;"*"&amp;TEXT(XEA28-utc_offset/24,"YYYYMMDD")&amp;"*"" /stext="" "&amp;TEXT(XEA28-utc_offset/24,"HH")&amp;search_regexp&amp;""""</f>
        <v>#REF!</v>
      </c>
      <c r="XEY28" s="234" t="e">
        <f>astrogrep_path&amp;" /e /r /s /spath="&amp;search_path&amp;" /stypes=""app*"&amp;XDU28&amp;"*"&amp;TEXT(XEB28-utc_offset/24,"YYYYMMDD")&amp;"*"" /stext="" "&amp;TEXT(XEB28-utc_offset/24,"HH")&amp;search_regexp&amp;""""</f>
        <v>#REF!</v>
      </c>
      <c r="XEZ28" s="234" t="e">
        <f>astrogrep_path&amp;" /e /r /s /spath="&amp;search_path&amp;" /stypes=""app*"&amp;XDV28&amp;"*"&amp;TEXT(XEC28-utc_offset/24,"YYYYMMDD")&amp;"*"" /stext="" "&amp;TEXT(XEC28-utc_offset/24,"HH")&amp;search_regexp&amp;""""</f>
        <v>#REF!</v>
      </c>
      <c r="XFA28" s="234" t="e">
        <f>astrogrep_path&amp;" /e /r /s /spath="&amp;search_path&amp;" /stypes=""app*"&amp;XDW28&amp;"*"&amp;TEXT(XED28-utc_offset/24,"YYYYMMDD")&amp;"*"" /stext="" "&amp;TEXT(XED28-utc_offset/24,"HH")&amp;search_regexp&amp;""""</f>
        <v>#VALUE!</v>
      </c>
      <c r="XFB28" s="234" t="e">
        <f>astrogrep_path&amp;" /e /r /s /spath="&amp;search_path&amp;" /stypes=""app*"&amp;XDX28&amp;"*"&amp;TEXT(XEE28-utc_offset/24,"YYYYMMDD")&amp;"*"" /stext="" "&amp;TEXT(XEE28-utc_offset/24,"HH")&amp;search_regexp&amp;""""</f>
        <v>#VALUE!</v>
      </c>
      <c r="XFC28" s="234" t="e">
        <f>astrogrep_path&amp;" /e /r /s /spath="&amp;search_path&amp;" /stypes=""app*"&amp;XDY28&amp;"*"&amp;TEXT(XEF28-utc_offset/24,"YYYYMMDD")&amp;"*"" /stext="" "&amp;TEXT(XEF28-utc_offset/24,"HH")&amp;search_regexp&amp;""""</f>
        <v>#REF!</v>
      </c>
      <c r="XFD28" s="234" t="e">
        <f>astrogrep_path&amp;" /e /r /s /spath="&amp;search_path&amp;" /stypes=""app*"&amp;XDZ28&amp;"*"&amp;TEXT(XEG28-utc_offset/24,"YYYYMMDD")&amp;"*"" /stext="" "&amp;TEXT(XEG28-utc_offset/24,"HH")&amp;search_regexp&amp;""""</f>
        <v>#REF!</v>
      </c>
    </row>
    <row r="29" spans="1:16384" x14ac:dyDescent="0.3">
      <c r="A29" s="31">
        <v>43106.370115740741</v>
      </c>
      <c r="B29" s="30" t="s">
        <v>351</v>
      </c>
      <c r="C29" s="30" t="s">
        <v>667</v>
      </c>
      <c r="D29" s="30" t="s">
        <v>49</v>
      </c>
      <c r="E29" s="30" t="s">
        <v>354</v>
      </c>
      <c r="F29" s="42">
        <v>0</v>
      </c>
      <c r="G29" s="42">
        <v>56</v>
      </c>
      <c r="H29" s="42">
        <v>4836</v>
      </c>
      <c r="I29" s="42">
        <v>4768</v>
      </c>
      <c r="J29" s="30" t="s">
        <v>355</v>
      </c>
      <c r="K29" s="42">
        <v>4798</v>
      </c>
      <c r="L29" s="131" t="s">
        <v>51</v>
      </c>
      <c r="M29" s="132">
        <f>CONVERT((I29-K29)/10000,"mi","ft")*IF(L29="Increasing Mileposts (1)",-1,1)</f>
        <v>-15.84</v>
      </c>
      <c r="N29" s="133" t="str">
        <f>VLOOKUP(C29,'Trips&amp;Operators'!$C$1:$G$99911,5,FALSE)</f>
        <v>LAMAR NEKESHA</v>
      </c>
      <c r="O29" s="175" t="s">
        <v>348</v>
      </c>
      <c r="P29" s="239" t="s">
        <v>1064</v>
      </c>
      <c r="Q29" s="30"/>
      <c r="R29" s="81" t="str">
        <f>VLOOKUP(C29,'Train Runs'!$A$13:$AE$10222,31,0)</f>
        <v>aws s3 cp s3://rtdc.mdm.uploadarchive.raw/RTDC4055/ "%USERPROFILE%\AppData\Local\Temp\OnboardLogs"\RTDC4055\2018-01-06 --exclude "*" --recursive --include "*20180106*" &amp; "%USERPROFILE%\Documents\GitHub\mrs-test-scripts\Headless Mode &amp; Sideloading\WalkAndUnGZ.bat" "%USERPROFILE%\AppData\Local\Temp\OnboardLogs"\RTDC4055\2018-01-06 &amp; aws s3 cp s3://rtdc.mdm.uploadarchive.raw/RTDC4055/ "%USERPROFILE%\AppData\Local\Temp\OnboardLogs"\RTDC4055\2018-01-07 --exclude "*" --recursive --include "*20180107*" &amp; "%USERPROFILE%\Documents\GitHub\mrs-test-scripts\Headless Mode &amp; Sideloading\WalkAndUnGZ.bat" "%USERPROFILE%\AppData\Local\Temp\OnboardLogs"\RTDC4055\2018-01-07</v>
      </c>
      <c r="S29" s="84" t="str">
        <f>VLOOKUP(C29,'Train Runs'!$A$13:$AE$10222,22,0)</f>
        <v>https://d0f6bd738d7f1b3e5a7ca70fe4ff75f0.us-east-1.aws.found.io/app/kibana#/discover/Steve-Slow-Train-Analysis-(2080s-and-2083s)?_g=(refreshInterval:(display:Off,pause:!f,section:0,value:0),time:(from:'2018-01-06T07:25:29-0700',mode:absolute,to:'2018-01-06T09:52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29" s="86" t="str">
        <f>astrogrep_path&amp;" /e /r /s /spath="&amp;search_path&amp;" /stypes=""*"&amp;U29&amp;"*"&amp;TEXT(A29-utc_offset/24,"YYYYMMDD")&amp;LEFT(TEXT(A29-utc_offset/24,"HH"),1)&amp;"*"" /stext="" "&amp;TEXT(A29-utc_offset/24,"HH")&amp;search_regexp&amp;""""</f>
        <v>"C:\Program Files (x86)\AstroGrep\AstroGrep.exe" /e /r /s /spath="%USERPROFILE%\AppData\Local\Temp\OnboardLogs" /stypes="*4055*201801061*" /stext=" 15:.+((SYSTEM_STATE.+slice.+state.+changed )|(ment ac)|(multiple cpu faults)|(system.+state.+changed )|(\[timeout)|(PRM\|1\|D)|(kpr)|(kdp)|(train st.+moving)|(\|lc)|(penalty))"</v>
      </c>
      <c r="U29" s="9" t="str">
        <f>MID(B29,13,4)</f>
        <v>4055</v>
      </c>
      <c r="V29" s="31">
        <f>A29-utc_offset/24</f>
        <v>43106.661782407406</v>
      </c>
      <c r="W29" s="45" t="str">
        <f>DetSubdiv(C29)</f>
        <v>NW</v>
      </c>
      <c r="X29" s="228">
        <f>VALUE(LEFT(C29,LEN(C29)-3))</f>
        <v>1806</v>
      </c>
      <c r="Y29" s="238" t="str">
        <f>"echo {""issue"":{""subject"":"""&amp;P29&amp;""",""project_id"":79,""tracker_id"":40,""status_id"":"&amp;redmine_status&amp;",""priority_id"":"&amp;redmine_priority&amp;",""assigned_to_id"":"&amp;redmine_assignee&amp;",""start_date"":"""&amp;TEXT(A29,"YYYY-mm-dd")&amp;""",""description"":"""&amp;Z29&amp;""",""custom_fields"":[{""id"":1,""name"":""Subdivision"",""value"":"""&amp;W29&amp;"""},{""id"":4,""name"":""Milepost"",""value"":"""&amp;K29/10000&amp;"""},{""id"":17,""name"":""Train ID"",""value"":"""&amp;C29&amp;"""},{""id"":16,""name"":""Locomotive ID"",""value"":"""&amp;U29&amp;"""},{""id"":130,""name"":""Impact"",""value"":"""&amp;AA29&amp;"""},{""id"":150,""name"":""Time of Event (Mountain Time)"",""value"":"""&amp;TEXT(A29,"hh:mm:ss")&amp;"""},{""id"":151,""name"":""Denver Issue ID"",""value"":"""&amp;"""},{""id"":178,""name"":""Operational Impact"",""value"":"""&amp;redmine_op_impact&amp;"""},{""id"":179,""name"":""Denver Segment Assigned"",""value"":"""&amp;AB29&amp;"""}]}}"&amp;" | curl --insecure -X POST -H ""Content-Type: application/json"" -H ""X-Redmine-API-Key: "&amp;redm_api_key&amp;""" "&amp;redm_url&amp;" --data @-"</f>
        <v>echo {"issue":{"subject":"Poor GPS under Wewatta St. overpass","project_id":79,"tracker_id":40,"status_id":1,"priority_id":2,"assigned_to_id":338,"start_date":"2018-01-06","description":"","custom_fields":[{"id":1,"name":"Subdivision","value":"NW"},{"id":4,"name":"Milepost","value":"0.4798"},{"id":17,"name":"Train ID","value":"1806-06"},{"id":16,"name":"Locomotive ID","value":"4055"},{"id":130,"name":"Impact","value":""},{"id":150,"name":"Time of Event (Mountain Time)","value":"08:52:58"},{"id":151,"name":"Denver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9" s="158"/>
      <c r="AA29" s="231"/>
      <c r="AB29" s="231"/>
      <c r="AC29" s="115" t="str">
        <f>"grep -hrE -A400 ""Enforcement Action"" "&amp;"/c/Users/stu/AppData/Local/Temp/OnboardLogs"&amp;"/RTDC"&amp;U29&amp;" --include=""*"&amp;U29&amp;"*"&amp;TEXT(A29-utc_offset/24,"YYYYMMDD")&amp;LEFT(TEXT(A29-utc_offset/24,"HH"),1)&amp;"*"" | grep -E ""((Enforcement Ac)|(PRM))"" -"</f>
        <v>grep -hrE -A400 "Enforcement Action" /c/Users/stu/AppData/Local/Temp/OnboardLogs/RTDC4055 --include="*4055*201801061*"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"%USERPROFILE%\AppData\Local\Temp\OnboardLogs"\RTDC4055\*4055*201801061* &gt;&gt; 2018-01-06-SliceDisagreementCheck.txt</v>
      </c>
      <c r="AE29" s="144" t="str">
        <f t="shared" si="1"/>
        <v>start /low /b %USERPROFILE%\Documents\GitHub\eaglep3\Utilities\DownloadLogsFromS3.py --loco 4055 --day 2018-01-06</v>
      </c>
      <c r="AF29" s="1"/>
    </row>
    <row r="30" spans="1:16384" x14ac:dyDescent="0.3">
      <c r="A30" s="31">
        <v>43106.536770833336</v>
      </c>
      <c r="B30" s="30" t="s">
        <v>351</v>
      </c>
      <c r="C30" s="30" t="s">
        <v>671</v>
      </c>
      <c r="D30" s="30" t="s">
        <v>49</v>
      </c>
      <c r="E30" s="30" t="s">
        <v>354</v>
      </c>
      <c r="F30" s="42">
        <v>0</v>
      </c>
      <c r="G30" s="42">
        <v>52</v>
      </c>
      <c r="H30" s="42">
        <v>4813</v>
      </c>
      <c r="I30" s="42">
        <v>4751</v>
      </c>
      <c r="J30" s="30" t="s">
        <v>355</v>
      </c>
      <c r="K30" s="42">
        <v>4798</v>
      </c>
      <c r="L30" s="131" t="s">
        <v>51</v>
      </c>
      <c r="M30" s="132">
        <f>CONVERT((I30-K30)/10000,"mi","ft")*IF(L30="Increasing Mileposts (1)",-1,1)</f>
        <v>-24.815999999999999</v>
      </c>
      <c r="N30" s="133" t="str">
        <f>VLOOKUP(C30,'Trips&amp;Operators'!$C$1:$G$99911,5,FALSE)</f>
        <v>LAMAR NEKESHA</v>
      </c>
      <c r="O30" s="175" t="s">
        <v>348</v>
      </c>
      <c r="P30" s="239" t="s">
        <v>1064</v>
      </c>
      <c r="Q30" s="30"/>
      <c r="R30" s="81" t="str">
        <f>VLOOKUP(C30,'Train Runs'!$A$13:$AE$10222,31,0)</f>
        <v>aws s3 cp s3://rtdc.mdm.uploadarchive.raw/RTDC4055/ "%USERPROFILE%\AppData\Local\Temp\OnboardLogs"\RTDC4055\2018-01-06 --exclude "*" --recursive --include "*20180106*" &amp; "%USERPROFILE%\Documents\GitHub\mrs-test-scripts\Headless Mode &amp; Sideloading\WalkAndUnGZ.bat" "%USERPROFILE%\AppData\Local\Temp\OnboardLogs"\RTDC4055\2018-01-06 &amp; aws s3 cp s3://rtdc.mdm.uploadarchive.raw/RTDC4055/ "%USERPROFILE%\AppData\Local\Temp\OnboardLogs"\RTDC4055\2018-01-07 --exclude "*" --recursive --include "*20180107*" &amp; "%USERPROFILE%\Documents\GitHub\mrs-test-scripts\Headless Mode &amp; Sideloading\WalkAndUnGZ.bat" "%USERPROFILE%\AppData\Local\Temp\OnboardLogs"\RTDC4055\2018-01-07</v>
      </c>
      <c r="S30" s="84" t="str">
        <f>VLOOKUP(C30,'Train Runs'!$A$13:$AE$10222,22,0)</f>
        <v>https://d0f6bd738d7f1b3e5a7ca70fe4ff75f0.us-east-1.aws.found.io/app/kibana#/discover/Steve-Slow-Train-Analysis-(2080s-and-2083s)?_g=(refreshInterval:(display:Off,pause:!f,section:0,value:0),time:(from:'2018-01-06T11:25:24-0700',mode:absolute,to:'2018-01-06T13:52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30" s="86" t="str">
        <f>astrogrep_path&amp;" /e /r /s /spath="&amp;search_path&amp;" /stypes=""*"&amp;U30&amp;"*"&amp;TEXT(A30-utc_offset/24,"YYYYMMDD")&amp;LEFT(TEXT(A30-utc_offset/24,"HH"),1)&amp;"*"" /stext="" "&amp;TEXT(A30-utc_offset/24,"HH")&amp;search_regexp&amp;""""</f>
        <v>"C:\Program Files (x86)\AstroGrep\AstroGrep.exe" /e /r /s /spath="%USERPROFILE%\AppData\Local\Temp\OnboardLogs" /stypes="*4055*201801061*" /stext=" 19:.+((SYSTEM_STATE.+slice.+state.+changed )|(ment ac)|(multiple cpu faults)|(system.+state.+changed )|(\[timeout)|(PRM\|1\|D)|(kpr)|(kdp)|(train st.+moving)|(\|lc)|(penalty))"</v>
      </c>
      <c r="U30" s="9" t="str">
        <f>MID(B30,13,4)</f>
        <v>4055</v>
      </c>
      <c r="V30" s="31">
        <f>A30-utc_offset/24</f>
        <v>43106.8284375</v>
      </c>
      <c r="W30" s="45" t="str">
        <f>DetSubdiv(C30)</f>
        <v>NW</v>
      </c>
      <c r="X30" s="228">
        <f>VALUE(LEFT(C30,LEN(C30)-3))</f>
        <v>1814</v>
      </c>
      <c r="Y30" s="238" t="str">
        <f>"echo {""issue"":{""subject"":"""&amp;P30&amp;""",""project_id"":79,""tracker_id"":40,""status_id"":"&amp;redmine_status&amp;",""priority_id"":"&amp;redmine_priority&amp;",""assigned_to_id"":"&amp;redmine_assignee&amp;",""start_date"":"""&amp;TEXT(A30,"YYYY-mm-dd")&amp;""",""description"":"""&amp;Z30&amp;""",""custom_fields"":[{""id"":1,""name"":""Subdivision"",""value"":"""&amp;W30&amp;"""},{""id"":4,""name"":""Milepost"",""value"":"""&amp;K30/10000&amp;"""},{""id"":17,""name"":""Train ID"",""value"":"""&amp;C30&amp;"""},{""id"":16,""name"":""Locomotive ID"",""value"":"""&amp;U30&amp;"""},{""id"":130,""name"":""Impact"",""value"":"""&amp;AA30&amp;"""},{""id"":150,""name"":""Time of Event (Mountain Time)"",""value"":"""&amp;TEXT(A30,"hh:mm:ss")&amp;"""},{""id"":151,""name"":""Denver Issue ID"",""value"":"""&amp;"""},{""id"":178,""name"":""Operational Impact"",""value"":"""&amp;redmine_op_impact&amp;"""},{""id"":179,""name"":""Denver Segment Assigned"",""value"":"""&amp;AB30&amp;"""}]}}"&amp;" | curl --insecure -X POST -H ""Content-Type: application/json"" -H ""X-Redmine-API-Key: "&amp;redm_api_key&amp;""" "&amp;redm_url&amp;" --data @-"</f>
        <v>echo {"issue":{"subject":"Poor GPS under Wewatta St. overpass","project_id":79,"tracker_id":40,"status_id":1,"priority_id":2,"assigned_to_id":338,"start_date":"2018-01-06","description":"","custom_fields":[{"id":1,"name":"Subdivision","value":"NW"},{"id":4,"name":"Milepost","value":"0.4798"},{"id":17,"name":"Train ID","value":"1814-06"},{"id":16,"name":"Locomotive ID","value":"4055"},{"id":130,"name":"Impact","value":""},{"id":150,"name":"Time of Event (Mountain Time)","value":"12:52:57"},{"id":151,"name":"Denver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0" s="158"/>
      <c r="AA30" s="231"/>
      <c r="AB30" s="231"/>
      <c r="AC30" s="115" t="str">
        <f>"grep -hrE -A400 ""Enforcement Action"" "&amp;"/c/Users/stu/AppData/Local/Temp/OnboardLogs"&amp;"/RTDC"&amp;U30&amp;" --include=""*"&amp;U30&amp;"*"&amp;TEXT(A30-utc_offset/24,"YYYYMMDD")&amp;LEFT(TEXT(A30-utc_offset/24,"HH"),1)&amp;"*"" | grep -E ""((Enforcement Ac)|(PRM))"" -"</f>
        <v>grep -hrE -A400 "Enforcement Action" /c/Users/stu/AppData/Local/Temp/OnboardLogs/RTDC4055 --include="*4055*201801061*"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"%USERPROFILE%\AppData\Local\Temp\OnboardLogs"\RTDC4055\*4055*201801061* &gt;&gt; 2018-01-06-SliceDisagreementCheck.txt</v>
      </c>
      <c r="AE30" s="144" t="str">
        <f t="shared" si="1"/>
        <v>start /low /b %USERPROFILE%\Documents\GitHub\eaglep3\Utilities\DownloadLogsFromS3.py --loco 4055 --day 2018-01-06</v>
      </c>
      <c r="AF30" s="1"/>
    </row>
    <row r="31" spans="1:16384" x14ac:dyDescent="0.3">
      <c r="A31" s="31">
        <v>43106.745000000003</v>
      </c>
      <c r="B31" s="30" t="s">
        <v>351</v>
      </c>
      <c r="C31" s="30" t="s">
        <v>675</v>
      </c>
      <c r="D31" s="30" t="s">
        <v>49</v>
      </c>
      <c r="E31" s="30" t="s">
        <v>354</v>
      </c>
      <c r="F31" s="42">
        <v>0</v>
      </c>
      <c r="G31" s="42">
        <v>84</v>
      </c>
      <c r="H31" s="42">
        <v>4800</v>
      </c>
      <c r="I31" s="42">
        <v>4673</v>
      </c>
      <c r="J31" s="30" t="s">
        <v>355</v>
      </c>
      <c r="K31" s="42">
        <v>4798</v>
      </c>
      <c r="L31" s="131" t="s">
        <v>51</v>
      </c>
      <c r="M31" s="132">
        <f>CONVERT((I31-K31)/10000,"mi","ft")*IF(L31="Increasing Mileposts (1)",-1,1)</f>
        <v>-66</v>
      </c>
      <c r="N31" s="133" t="str">
        <f>VLOOKUP(C31,'Trips&amp;Operators'!$C$1:$G$99911,5,FALSE)</f>
        <v>SMITH MICHAEL</v>
      </c>
      <c r="O31" s="175" t="s">
        <v>348</v>
      </c>
      <c r="P31" s="239" t="s">
        <v>1064</v>
      </c>
      <c r="Q31" s="30"/>
      <c r="R31" s="81" t="str">
        <f>VLOOKUP(C31,'Train Runs'!$A$13:$AE$10222,31,0)</f>
        <v>aws s3 cp s3://rtdc.mdm.uploadarchive.raw/RTDC4055/ "%USERPROFILE%\AppData\Local\Temp\OnboardLogs"\RTDC4055\2018-01-06 --exclude "*" --recursive --include "*20180106*" &amp; "%USERPROFILE%\Documents\GitHub\mrs-test-scripts\Headless Mode &amp; Sideloading\WalkAndUnGZ.bat" "%USERPROFILE%\AppData\Local\Temp\OnboardLogs"\RTDC4055\2018-01-06 &amp; aws s3 cp s3://rtdc.mdm.uploadarchive.raw/RTDC4055/ "%USERPROFILE%\AppData\Local\Temp\OnboardLogs"\RTDC4055\2018-01-07 --exclude "*" --recursive --include "*20180107*" &amp; "%USERPROFILE%\Documents\GitHub\mrs-test-scripts\Headless Mode &amp; Sideloading\WalkAndUnGZ.bat" "%USERPROFILE%\AppData\Local\Temp\OnboardLogs"\RTDC4055\2018-01-07</v>
      </c>
      <c r="S31" s="84" t="str">
        <f>VLOOKUP(C31,'Train Runs'!$A$13:$AE$10222,22,0)</f>
        <v>https://d0f6bd738d7f1b3e5a7ca70fe4ff75f0.us-east-1.aws.found.io/app/kibana#/discover/Steve-Slow-Train-Analysis-(2080s-and-2083s)?_g=(refreshInterval:(display:Off,pause:!f,section:0,value:0),time:(from:'2018-01-06T16:24:27-0700',mode:absolute,to:'2018-01-06T18:52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31" s="86" t="str">
        <f>astrogrep_path&amp;" /e /r /s /spath="&amp;search_path&amp;" /stypes=""*"&amp;U31&amp;"*"&amp;TEXT(A31-utc_offset/24,"YYYYMMDD")&amp;LEFT(TEXT(A31-utc_offset/24,"HH"),1)&amp;"*"" /stext="" "&amp;TEXT(A31-utc_offset/24,"HH")&amp;search_regexp&amp;""""</f>
        <v>"C:\Program Files (x86)\AstroGrep\AstroGrep.exe" /e /r /s /spath="%USERPROFILE%\AppData\Local\Temp\OnboardLogs" /stypes="*4055*201801070*" /stext=" 00:.+((SYSTEM_STATE.+slice.+state.+changed )|(ment ac)|(multiple cpu faults)|(system.+state.+changed )|(\[timeout)|(PRM\|1\|D)|(kpr)|(kdp)|(train st.+moving)|(\|lc)|(penalty))"</v>
      </c>
      <c r="U31" s="9" t="str">
        <f>MID(B31,13,4)</f>
        <v>4055</v>
      </c>
      <c r="V31" s="31">
        <f>A31-utc_offset/24</f>
        <v>43107.036666666667</v>
      </c>
      <c r="W31" s="45" t="str">
        <f>DetSubdiv(C31)</f>
        <v>NW</v>
      </c>
      <c r="X31" s="228">
        <f>VALUE(LEFT(C31,LEN(C31)-3))</f>
        <v>1824</v>
      </c>
      <c r="Y31" s="238" t="str">
        <f>"echo {""issue"":{""subject"":"""&amp;P31&amp;""",""project_id"":79,""tracker_id"":40,""status_id"":"&amp;redmine_status&amp;",""priority_id"":"&amp;redmine_priority&amp;",""assigned_to_id"":"&amp;redmine_assignee&amp;",""start_date"":"""&amp;TEXT(A31,"YYYY-mm-dd")&amp;""",""description"":"""&amp;Z31&amp;""",""custom_fields"":[{""id"":1,""name"":""Subdivision"",""value"":"""&amp;W31&amp;"""},{""id"":4,""name"":""Milepost"",""value"":"""&amp;K31/10000&amp;"""},{""id"":17,""name"":""Train ID"",""value"":"""&amp;C31&amp;"""},{""id"":16,""name"":""Locomotive ID"",""value"":"""&amp;U31&amp;"""},{""id"":130,""name"":""Impact"",""value"":"""&amp;AA31&amp;"""},{""id"":150,""name"":""Time of Event (Mountain Time)"",""value"":"""&amp;TEXT(A31,"hh:mm:ss")&amp;"""},{""id"":151,""name"":""Denver Issue ID"",""value"":"""&amp;"""},{""id"":178,""name"":""Operational Impact"",""value"":"""&amp;redmine_op_impact&amp;"""},{""id"":179,""name"":""Denver Segment Assigned"",""value"":"""&amp;AB31&amp;"""}]}}"&amp;" | curl --insecure -X POST -H ""Content-Type: application/json"" -H ""X-Redmine-API-Key: "&amp;redm_api_key&amp;""" "&amp;redm_url&amp;" --data @-"</f>
        <v>echo {"issue":{"subject":"Poor GPS under Wewatta St. overpass","project_id":79,"tracker_id":40,"status_id":1,"priority_id":2,"assigned_to_id":338,"start_date":"2018-01-06","description":"","custom_fields":[{"id":1,"name":"Subdivision","value":"NW"},{"id":4,"name":"Milepost","value":"0.4798"},{"id":17,"name":"Train ID","value":"1824-06"},{"id":16,"name":"Locomotive ID","value":"4055"},{"id":130,"name":"Impact","value":""},{"id":150,"name":"Time of Event (Mountain Time)","value":"17:52:48"},{"id":151,"name":"Denver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1" s="158"/>
      <c r="AA31" s="231"/>
      <c r="AB31" s="231"/>
      <c r="AC31" s="115" t="str">
        <f>"grep -hrE -A400 ""Enforcement Action"" "&amp;"/c/Users/stu/AppData/Local/Temp/OnboardLogs"&amp;"/RTDC"&amp;U31&amp;" --include=""*"&amp;U31&amp;"*"&amp;TEXT(A31-utc_offset/24,"YYYYMMDD")&amp;LEFT(TEXT(A31-utc_offset/24,"HH"),1)&amp;"*"" | grep -E ""((Enforcement Ac)|(PRM))"" -"</f>
        <v>grep -hrE -A400 "Enforcement Action" /c/Users/stu/AppData/Local/Temp/OnboardLogs/RTDC4055 --include="*4055*201801070*"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"%USERPROFILE%\AppData\Local\Temp\OnboardLogs"\RTDC4055\*4055*201801070* &gt;&gt; 2018-01-06-SliceDisagreementCheck.txt</v>
      </c>
      <c r="AE31" s="144" t="str">
        <f t="shared" si="1"/>
        <v>start /low /b %USERPROFILE%\Documents\GitHub\eaglep3\Utilities\DownloadLogsFromS3.py --loco 4055 --day 2018-01-07</v>
      </c>
      <c r="AF31" s="1"/>
    </row>
    <row r="32" spans="1:16384" x14ac:dyDescent="0.3">
      <c r="A32" s="31">
        <v>43106.828460648147</v>
      </c>
      <c r="B32" s="30" t="s">
        <v>351</v>
      </c>
      <c r="C32" s="30" t="s">
        <v>678</v>
      </c>
      <c r="D32" s="30" t="s">
        <v>49</v>
      </c>
      <c r="E32" s="30" t="s">
        <v>354</v>
      </c>
      <c r="F32" s="42">
        <v>0</v>
      </c>
      <c r="G32" s="42">
        <v>31</v>
      </c>
      <c r="H32" s="42">
        <v>4840</v>
      </c>
      <c r="I32" s="42">
        <v>4677</v>
      </c>
      <c r="J32" s="30" t="s">
        <v>355</v>
      </c>
      <c r="K32" s="42">
        <v>4798</v>
      </c>
      <c r="L32" s="131" t="s">
        <v>51</v>
      </c>
      <c r="M32" s="132">
        <f>CONVERT((I32-K32)/10000,"mi","ft")*IF(L32="Increasing Mileposts (1)",-1,1)</f>
        <v>-63.887999999999998</v>
      </c>
      <c r="N32" s="133" t="str">
        <f>VLOOKUP(C32,'Trips&amp;Operators'!$C$1:$G$99911,5,FALSE)</f>
        <v>SMITH MICHAEL</v>
      </c>
      <c r="O32" s="175" t="s">
        <v>348</v>
      </c>
      <c r="P32" s="239" t="s">
        <v>1064</v>
      </c>
      <c r="Q32" s="30"/>
      <c r="R32" s="81" t="str">
        <f>VLOOKUP(C32,'Train Runs'!$A$13:$AE$10222,31,0)</f>
        <v>aws s3 cp s3://rtdc.mdm.uploadarchive.raw/RTDC4055/ "%USERPROFILE%\AppData\Local\Temp\OnboardLogs"\RTDC4055\2018-01-06 --exclude "*" --recursive --include "*20180106*" &amp; "%USERPROFILE%\Documents\GitHub\mrs-test-scripts\Headless Mode &amp; Sideloading\WalkAndUnGZ.bat" "%USERPROFILE%\AppData\Local\Temp\OnboardLogs"\RTDC4055\2018-01-06 &amp; aws s3 cp s3://rtdc.mdm.uploadarchive.raw/RTDC4055/ "%USERPROFILE%\AppData\Local\Temp\OnboardLogs"\RTDC4055\2018-01-07 --exclude "*" --recursive --include "*20180107*" &amp; "%USERPROFILE%\Documents\GitHub\mrs-test-scripts\Headless Mode &amp; Sideloading\WalkAndUnGZ.bat" "%USERPROFILE%\AppData\Local\Temp\OnboardLogs"\RTDC4055\2018-01-07</v>
      </c>
      <c r="S32" s="84" t="str">
        <f>VLOOKUP(C32,'Train Runs'!$A$13:$AE$10222,22,0)</f>
        <v>https://d0f6bd738d7f1b3e5a7ca70fe4ff75f0.us-east-1.aws.found.io/app/kibana#/discover/Steve-Slow-Train-Analysis-(2080s-and-2083s)?_g=(refreshInterval:(display:Off,pause:!f,section:0,value:0),time:(from:'2018-01-06T18:26:24-0700',mode:absolute,to:'2018-01-06T20:52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32" s="86" t="str">
        <f>astrogrep_path&amp;" /e /r /s /spath="&amp;search_path&amp;" /stypes=""*"&amp;U32&amp;"*"&amp;TEXT(A32-utc_offset/24,"YYYYMMDD")&amp;LEFT(TEXT(A32-utc_offset/24,"HH"),1)&amp;"*"" /stext="" "&amp;TEXT(A32-utc_offset/24,"HH")&amp;search_regexp&amp;""""</f>
        <v>"C:\Program Files (x86)\AstroGrep\AstroGrep.exe" /e /r /s /spath="%USERPROFILE%\AppData\Local\Temp\OnboardLogs" /stypes="*4055*201801070*" /stext=" 02:.+((SYSTEM_STATE.+slice.+state.+changed )|(ment ac)|(multiple cpu faults)|(system.+state.+changed )|(\[timeout)|(PRM\|1\|D)|(kpr)|(kdp)|(train st.+moving)|(\|lc)|(penalty))"</v>
      </c>
      <c r="U32" s="9" t="str">
        <f>MID(B32,13,4)</f>
        <v>4055</v>
      </c>
      <c r="V32" s="31">
        <f>A32-utc_offset/24</f>
        <v>43107.120127314811</v>
      </c>
      <c r="W32" s="45" t="str">
        <f>DetSubdiv(C32)</f>
        <v>NW</v>
      </c>
      <c r="X32" s="228">
        <f>VALUE(LEFT(C32,LEN(C32)-3))</f>
        <v>1828</v>
      </c>
      <c r="Y32" s="238" t="str">
        <f>"echo {""issue"":{""subject"":"""&amp;P32&amp;""",""project_id"":79,""tracker_id"":40,""status_id"":"&amp;redmine_status&amp;",""priority_id"":"&amp;redmine_priority&amp;",""assigned_to_id"":"&amp;redmine_assignee&amp;",""start_date"":"""&amp;TEXT(A32,"YYYY-mm-dd")&amp;""",""description"":"""&amp;Z32&amp;""",""custom_fields"":[{""id"":1,""name"":""Subdivision"",""value"":"""&amp;W32&amp;"""},{""id"":4,""name"":""Milepost"",""value"":"""&amp;K32/10000&amp;"""},{""id"":17,""name"":""Train ID"",""value"":"""&amp;C32&amp;"""},{""id"":16,""name"":""Locomotive ID"",""value"":"""&amp;U32&amp;"""},{""id"":130,""name"":""Impact"",""value"":"""&amp;AA32&amp;"""},{""id"":150,""name"":""Time of Event (Mountain Time)"",""value"":"""&amp;TEXT(A32,"hh:mm:ss")&amp;"""},{""id"":151,""name"":""Denver Issue ID"",""value"":"""&amp;"""},{""id"":178,""name"":""Operational Impact"",""value"":"""&amp;redmine_op_impact&amp;"""},{""id"":179,""name"":""Denver Segment Assigned"",""value"":"""&amp;AB32&amp;"""}]}}"&amp;" | curl --insecure -X POST -H ""Content-Type: application/json"" -H ""X-Redmine-API-Key: "&amp;redm_api_key&amp;""" "&amp;redm_url&amp;" --data @-"</f>
        <v>echo {"issue":{"subject":"Poor GPS under Wewatta St. overpass","project_id":79,"tracker_id":40,"status_id":1,"priority_id":2,"assigned_to_id":338,"start_date":"2018-01-06","description":"","custom_fields":[{"id":1,"name":"Subdivision","value":"NW"},{"id":4,"name":"Milepost","value":"0.4798"},{"id":17,"name":"Train ID","value":"1828-06"},{"id":16,"name":"Locomotive ID","value":"4055"},{"id":130,"name":"Impact","value":""},{"id":150,"name":"Time of Event (Mountain Time)","value":"19:52:59"},{"id":151,"name":"Denver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2" s="158"/>
      <c r="AA32" s="231"/>
      <c r="AB32" s="231"/>
      <c r="AC32" s="115" t="str">
        <f>"grep -hrE -A400 ""Enforcement Action"" "&amp;"/c/Users/stu/AppData/Local/Temp/OnboardLogs"&amp;"/RTDC"&amp;U32&amp;" --include=""*"&amp;U32&amp;"*"&amp;TEXT(A32-utc_offset/24,"YYYYMMDD")&amp;LEFT(TEXT(A32-utc_offset/24,"HH"),1)&amp;"*"" | grep -E ""((Enforcement Ac)|(PRM))"" -"</f>
        <v>grep -hrE -A400 "Enforcement Action" /c/Users/stu/AppData/Local/Temp/OnboardLogs/RTDC4055 --include="*4055*201801070*"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"%USERPROFILE%\AppData\Local\Temp\OnboardLogs"\RTDC4055\*4055*201801070* &gt;&gt; 2018-01-06-SliceDisagreementCheck.txt</v>
      </c>
      <c r="AE32" s="144" t="str">
        <f t="shared" si="1"/>
        <v>start /low /b %USERPROFILE%\Documents\GitHub\eaglep3\Utilities\DownloadLogsFromS3.py --loco 4055 --day 2018-01-07</v>
      </c>
      <c r="AF32" s="1"/>
    </row>
    <row r="33" spans="1:32" x14ac:dyDescent="0.3">
      <c r="A33" s="31">
        <v>43106.953321759262</v>
      </c>
      <c r="B33" s="30" t="s">
        <v>351</v>
      </c>
      <c r="C33" s="30" t="s">
        <v>683</v>
      </c>
      <c r="D33" s="30" t="s">
        <v>49</v>
      </c>
      <c r="E33" s="30" t="s">
        <v>354</v>
      </c>
      <c r="F33" s="42">
        <v>0</v>
      </c>
      <c r="G33" s="42">
        <v>80</v>
      </c>
      <c r="H33" s="42">
        <v>4807</v>
      </c>
      <c r="I33" s="42">
        <v>4539</v>
      </c>
      <c r="J33" s="30" t="s">
        <v>355</v>
      </c>
      <c r="K33" s="42">
        <v>4798</v>
      </c>
      <c r="L33" s="131" t="s">
        <v>51</v>
      </c>
      <c r="M33" s="132">
        <f>CONVERT((I33-K33)/10000,"mi","ft")*IF(L33="Increasing Mileposts (1)",-1,1)</f>
        <v>-136.75200000000001</v>
      </c>
      <c r="N33" s="133" t="str">
        <f>VLOOKUP(C33,'Trips&amp;Operators'!$C$1:$G$99911,5,FALSE)</f>
        <v>SMITH MICHAEL</v>
      </c>
      <c r="O33" s="175" t="s">
        <v>348</v>
      </c>
      <c r="P33" s="239" t="s">
        <v>1064</v>
      </c>
      <c r="Q33" s="30"/>
      <c r="R33" s="81" t="str">
        <f>VLOOKUP(C33,'Train Runs'!$A$13:$AE$10222,31,0)</f>
        <v>aws s3 cp s3://rtdc.mdm.uploadarchive.raw/RTDC4055/ "%USERPROFILE%\AppData\Local\Temp\OnboardLogs"\RTDC4055\2018-01-06 --exclude "*" --recursive --include "*20180106*" &amp; "%USERPROFILE%\Documents\GitHub\mrs-test-scripts\Headless Mode &amp; Sideloading\WalkAndUnGZ.bat" "%USERPROFILE%\AppData\Local\Temp\OnboardLogs"\RTDC4055\2018-01-06 &amp; aws s3 cp s3://rtdc.mdm.uploadarchive.raw/RTDC4055/ "%USERPROFILE%\AppData\Local\Temp\OnboardLogs"\RTDC4055\2018-01-07 --exclude "*" --recursive --include "*20180107*" &amp; "%USERPROFILE%\Documents\GitHub\mrs-test-scripts\Headless Mode &amp; Sideloading\WalkAndUnGZ.bat" "%USERPROFILE%\AppData\Local\Temp\OnboardLogs"\RTDC4055\2018-01-07</v>
      </c>
      <c r="S33" s="84" t="str">
        <f>VLOOKUP(C33,'Train Runs'!$A$13:$AE$10222,22,0)</f>
        <v>https://d0f6bd738d7f1b3e5a7ca70fe4ff75f0.us-east-1.aws.found.io/app/kibana#/discover/Steve-Slow-Train-Analysis-(2080s-and-2083s)?_g=(refreshInterval:(display:Off,pause:!f,section:0,value:0),time:(from:'2018-01-06T21:24:47-0700',mode:absolute,to:'2018-01-06T23:52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T33" s="86" t="str">
        <f>astrogrep_path&amp;" /e /r /s /spath="&amp;search_path&amp;" /stypes=""*"&amp;U33&amp;"*"&amp;TEXT(A33-utc_offset/24,"YYYYMMDD")&amp;LEFT(TEXT(A33-utc_offset/24,"HH"),1)&amp;"*"" /stext="" "&amp;TEXT(A33-utc_offset/24,"HH")&amp;search_regexp&amp;""""</f>
        <v>"C:\Program Files (x86)\AstroGrep\AstroGrep.exe" /e /r /s /spath="%USERPROFILE%\AppData\Local\Temp\OnboardLogs" /stypes="*4055*201801070*" /stext=" 05:.+((SYSTEM_STATE.+slice.+state.+changed )|(ment ac)|(multiple cpu faults)|(system.+state.+changed )|(\[timeout)|(PRM\|1\|D)|(kpr)|(kdp)|(train st.+moving)|(\|lc)|(penalty))"</v>
      </c>
      <c r="U33" s="9" t="str">
        <f>MID(B33,13,4)</f>
        <v>4055</v>
      </c>
      <c r="V33" s="31">
        <f>A33-utc_offset/24</f>
        <v>43107.244988425926</v>
      </c>
      <c r="W33" s="45" t="str">
        <f>DetSubdiv(C33)</f>
        <v>NW</v>
      </c>
      <c r="X33" s="228">
        <f>VALUE(LEFT(C33,LEN(C33)-3))</f>
        <v>1834</v>
      </c>
      <c r="Y33" s="238" t="str">
        <f>"echo {""issue"":{""subject"":"""&amp;P33&amp;""",""project_id"":79,""tracker_id"":40,""status_id"":"&amp;redmine_status&amp;",""priority_id"":"&amp;redmine_priority&amp;",""assigned_to_id"":"&amp;redmine_assignee&amp;",""start_date"":"""&amp;TEXT(A33,"YYYY-mm-dd")&amp;""",""description"":"""&amp;Z33&amp;""",""custom_fields"":[{""id"":1,""name"":""Subdivision"",""value"":"""&amp;W33&amp;"""},{""id"":4,""name"":""Milepost"",""value"":"""&amp;K33/10000&amp;"""},{""id"":17,""name"":""Train ID"",""value"":"""&amp;C33&amp;"""},{""id"":16,""name"":""Locomotive ID"",""value"":"""&amp;U33&amp;"""},{""id"":130,""name"":""Impact"",""value"":"""&amp;AA33&amp;"""},{""id"":150,""name"":""Time of Event (Mountain Time)"",""value"":"""&amp;TEXT(A33,"hh:mm:ss")&amp;"""},{""id"":151,""name"":""Denver Issue ID"",""value"":"""&amp;"""},{""id"":178,""name"":""Operational Impact"",""value"":"""&amp;redmine_op_impact&amp;"""},{""id"":179,""name"":""Denver Segment Assigned"",""value"":"""&amp;AB33&amp;"""}]}}"&amp;" | curl --insecure -X POST -H ""Content-Type: application/json"" -H ""X-Redmine-API-Key: "&amp;redm_api_key&amp;""" "&amp;redm_url&amp;" --data @-"</f>
        <v>echo {"issue":{"subject":"Poor GPS under Wewatta St. overpass","project_id":79,"tracker_id":40,"status_id":1,"priority_id":2,"assigned_to_id":338,"start_date":"2018-01-06","description":"","custom_fields":[{"id":1,"name":"Subdivision","value":"NW"},{"id":4,"name":"Milepost","value":"0.4798"},{"id":17,"name":"Train ID","value":"1834-06"},{"id":16,"name":"Locomotive ID","value":"4055"},{"id":130,"name":"Impact","value":""},{"id":150,"name":"Time of Event (Mountain Time)","value":"22:52:47"},{"id":151,"name":"Denver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3" s="158"/>
      <c r="AA33" s="231"/>
      <c r="AB33" s="231"/>
      <c r="AC33" s="115" t="str">
        <f>"grep -hrE -A400 ""Enforcement Action"" "&amp;"/c/Users/stu/AppData/Local/Temp/OnboardLogs"&amp;"/RTDC"&amp;U33&amp;" --include=""*"&amp;U33&amp;"*"&amp;TEXT(A33-utc_offset/24,"YYYYMMDD")&amp;LEFT(TEXT(A33-utc_offset/24,"HH"),1)&amp;"*"" | grep -E ""((Enforcement Ac)|(PRM))"" -"</f>
        <v>grep -hrE -A400 "Enforcement Action" /c/Users/stu/AppData/Local/Temp/OnboardLogs/RTDC4055 --include="*4055*201801070*"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"%USERPROFILE%\AppData\Local\Temp\OnboardLogs"\RTDC4055\*4055*201801070* &gt;&gt; 2018-01-06-SliceDisagreementCheck.txt</v>
      </c>
      <c r="AE33" s="144" t="str">
        <f t="shared" si="1"/>
        <v>start /low /b %USERPROFILE%\Documents\GitHub\eaglep3\Utilities\DownloadLogsFromS3.py --loco 4055 --day 2018-01-07</v>
      </c>
      <c r="AF33" s="1"/>
    </row>
    <row r="34" spans="1:32" x14ac:dyDescent="0.3">
      <c r="A34" s="31">
        <v>43106.429513888892</v>
      </c>
      <c r="B34" s="30" t="s">
        <v>668</v>
      </c>
      <c r="C34" s="30" t="s">
        <v>669</v>
      </c>
      <c r="D34" s="30" t="s">
        <v>95</v>
      </c>
      <c r="E34" s="30" t="s">
        <v>354</v>
      </c>
      <c r="F34" s="42">
        <v>0</v>
      </c>
      <c r="G34" s="42">
        <v>71</v>
      </c>
      <c r="H34" s="42">
        <v>2749</v>
      </c>
      <c r="I34" s="42">
        <v>2668</v>
      </c>
      <c r="J34" s="30" t="s">
        <v>355</v>
      </c>
      <c r="K34" s="42">
        <v>2822</v>
      </c>
      <c r="L34" s="131" t="s">
        <v>51</v>
      </c>
      <c r="M34" s="132">
        <f>CONVERT((I34-K34)/10000,"mi","ft")*IF(L34="Increasing Mileposts (1)",-1,1)</f>
        <v>-81.311999999999998</v>
      </c>
      <c r="N34" s="133" t="str">
        <f>VLOOKUP(C34,'Trips&amp;Operators'!$C$1:$G$99911,5,FALSE)</f>
        <v>DE LA ROSA ALEX</v>
      </c>
      <c r="O34" s="175" t="s">
        <v>178</v>
      </c>
      <c r="P34" s="239"/>
      <c r="Q34" s="30"/>
      <c r="R34" s="81" t="str">
        <f>VLOOKUP(C34,'Train Runs'!$A$13:$AE$10222,31,0)</f>
        <v>aws s3 cp s3://rtdc.mdm.uploadarchive.raw/RTDC4034/ "%USERPROFILE%\AppData\Local\Temp\OnboardLogs"\RTDC4034\2018-01-06 --exclude "*" --recursive --include "*20180106*" &amp; "%USERPROFILE%\Documents\GitHub\mrs-test-scripts\Headless Mode &amp; Sideloading\WalkAndUnGZ.bat" "%USERPROFILE%\AppData\Local\Temp\OnboardLogs"\RTDC4034\2018-01-06 &amp; aws s3 cp s3://rtdc.mdm.uploadarchive.raw/RTDC4034/ "%USERPROFILE%\AppData\Local\Temp\OnboardLogs"\RTDC4034\2018-01-07 --exclude "*" --recursive --include "*20180107*" &amp; "%USERPROFILE%\Documents\GitHub\mrs-test-scripts\Headless Mode &amp; Sideloading\WalkAndUnGZ.bat" "%USERPROFILE%\AppData\Local\Temp\OnboardLogs"\RTDC4034\2018-01-07</v>
      </c>
      <c r="S34" s="84" t="str">
        <f>VLOOKUP(C34,'Train Runs'!$A$13:$AE$10222,22,0)</f>
        <v>https://d0f6bd738d7f1b3e5a7ca70fe4ff75f0.us-east-1.aws.found.io/app/kibana#/discover/Steve-Slow-Train-Analysis-(2080s-and-2083s)?_g=(refreshInterval:(display:Off,pause:!f,section:0,value:0),time:(from:'2018-01-06T02:09:57-0700',mode:absolute,to:'2018-01-06T04:26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4034%22')),sort:!(Time.ISO8601,asc))</v>
      </c>
      <c r="T34" s="86" t="str">
        <f>astrogrep_path&amp;" /e /r /s /spath="&amp;search_path&amp;" /stypes=""*"&amp;U34&amp;"*"&amp;TEXT(A34-utc_offset/24,"YYYYMMDD")&amp;LEFT(TEXT(A34-utc_offset/24,"HH"),1)&amp;"*"" /stext="" "&amp;TEXT(A34-utc_offset/24,"HH")&amp;search_regexp&amp;""""</f>
        <v>"C:\Program Files (x86)\AstroGrep\AstroGrep.exe" /e /r /s /spath="%USERPROFILE%\AppData\Local\Temp\OnboardLogs" /stypes="*4053*201801061*" /stext=" 17:.+((SYSTEM_STATE.+slice.+state.+changed )|(ment ac)|(multiple cpu faults)|(system.+state.+changed )|(\[timeout)|(PRM\|1\|D)|(kpr)|(kdp)|(train st.+moving)|(\|lc)|(penalty))"</v>
      </c>
      <c r="U34" s="9" t="str">
        <f>MID(B34,13,4)</f>
        <v>4053</v>
      </c>
      <c r="V34" s="31">
        <f>A34-utc_offset/24</f>
        <v>43106.721180555556</v>
      </c>
      <c r="W34" s="45" t="str">
        <f>DetSubdiv(C34)</f>
        <v>Shuttle/Test</v>
      </c>
      <c r="X34" s="228">
        <f>VALUE(LEFT(C34,LEN(C34)-3))</f>
        <v>51</v>
      </c>
      <c r="Y34" s="238" t="str">
        <f>"echo {""issue"":{""subject"":"""&amp;P34&amp;""",""project_id"":79,""tracker_id"":40,""status_id"":"&amp;redmine_status&amp;",""priority_id"":"&amp;redmine_priority&amp;",""assigned_to_id"":"&amp;redmine_assignee&amp;",""start_date"":"""&amp;TEXT(A34,"YYYY-mm-dd")&amp;""",""description"":"""&amp;Z34&amp;""",""custom_fields"":[{""id"":1,""name"":""Subdivision"",""value"":"""&amp;W34&amp;"""},{""id"":4,""name"":""Milepost"",""value"":"""&amp;K34/10000&amp;"""},{""id"":17,""name"":""Train ID"",""value"":"""&amp;C34&amp;"""},{""id"":16,""name"":""Locomotive ID"",""value"":"""&amp;U34&amp;"""},{""id"":130,""name"":""Impact"",""value"":"""&amp;AA34&amp;"""},{""id"":150,""name"":""Time of Event (Mountain Time)"",""value"":"""&amp;TEXT(A34,"hh:mm:ss")&amp;"""},{""id"":151,""name"":""Denver Issue ID"",""value"":"""&amp;"""},{""id"":178,""name"":""Operational Impact"",""value"":"""&amp;redmine_op_impact&amp;"""},{""id"":179,""name"":""Denver Segment Assigned"",""value"":"""&amp;AB34&amp;"""}]}}"&amp;"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2018-01-06","description":"","custom_fields":[{"id":1,"name":"Subdivision","value":"Shuttle/Test"},{"id":4,"name":"Milepost","value":"0.2822"},{"id":17,"name":"Train ID","value":"51-06"},{"id":16,"name":"Locomotive ID","value":"4053"},{"id":130,"name":"Impact","value":""},{"id":150,"name":"Time of Event (Mountain Time)","value":"10:18:30"},{"id":151,"name":"Denver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34" s="158"/>
      <c r="AA34" s="231"/>
      <c r="AB34" s="231"/>
      <c r="AC34" s="115" t="str">
        <f>"grep -hrE -A400 ""Enforcement Action"" "&amp;"/c/Users/stu/AppData/Local/Temp/OnboardLogs"&amp;"/RTDC"&amp;U34&amp;" --include=""*"&amp;U34&amp;"*"&amp;TEXT(A34-utc_offset/24,"YYYYMMDD")&amp;LEFT(TEXT(A34-utc_offset/24,"HH"),1)&amp;"*"" | grep -E ""((Enforcement Ac)|(PRM))"" -"</f>
        <v>grep -hrE -A400 "Enforcement Action" /c/Users/stu/AppData/Local/Temp/OnboardLogs/RTDC4053 --include="*4053*201801061*"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"%USERPROFILE%\AppData\Local\Temp\OnboardLogs"\RTDC4053\*4053*201801061* &gt;&gt; 2018-01-06-SliceDisagreementCheck.txt</v>
      </c>
      <c r="AE34" s="144" t="str">
        <f t="shared" si="1"/>
        <v>start /low /b %USERPROFILE%\Documents\GitHub\eaglep3\Utilities\DownloadLogsFromS3.py --loco 4053 --day 2018-01-06</v>
      </c>
      <c r="AF34" s="1"/>
    </row>
  </sheetData>
  <autoFilter ref="A6:AC15">
    <sortState ref="A7:AC34">
      <sortCondition ref="W7:W34"/>
      <sortCondition ref="E7:E34"/>
      <sortCondition ref="K7:K34"/>
      <sortCondition ref="F7:F34"/>
    </sortState>
  </autoFilter>
  <sortState ref="A7:AE15">
    <sortCondition ref="W7:W15"/>
    <sortCondition ref="E7:E15"/>
    <sortCondition ref="K7:K15"/>
    <sortCondition ref="C7:C15"/>
    <sortCondition ref="F7:F15"/>
  </sortState>
  <mergeCells count="1">
    <mergeCell ref="A5:O5"/>
  </mergeCells>
  <conditionalFormatting sqref="O6:P6 R6 O7:O1048576">
    <cfRule type="cellIs" dxfId="4" priority="43" operator="equal">
      <formula>"Y"</formula>
    </cfRule>
  </conditionalFormatting>
  <conditionalFormatting sqref="O2:O3">
    <cfRule type="cellIs" dxfId="3" priority="34" operator="equal">
      <formula>"Y"</formula>
    </cfRule>
  </conditionalFormatting>
  <conditionalFormatting sqref="A28 C28:I28 K28:P28 A29:P34 A7:P27">
    <cfRule type="expression" dxfId="2" priority="27">
      <formula>$O7="Y"</formula>
    </cfRule>
  </conditionalFormatting>
  <conditionalFormatting sqref="B28">
    <cfRule type="expression" dxfId="0" priority="1">
      <formula>$O28="Y"</formula>
    </cfRule>
  </conditionalFormatting>
  <pageMargins left="0.7" right="0.7" top="0.75" bottom="0.75" header="0.3" footer="0.3"/>
  <pageSetup scale="2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DailyMorningStuff_Enforcements">
                <anchor moveWithCells="1" sizeWithCells="1">
                  <from>
                    <xdr:col>15</xdr:col>
                    <xdr:colOff>350520</xdr:colOff>
                    <xdr:row>1</xdr:row>
                    <xdr:rowOff>30480</xdr:rowOff>
                  </from>
                  <to>
                    <xdr:col>15</xdr:col>
                    <xdr:colOff>1150620</xdr:colOff>
                    <xdr:row>3</xdr:row>
                    <xdr:rowOff>68580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AA7:AA27 AA29:AA34</xm:sqref>
        </x14:dataValidation>
        <x14:dataValidation type="list" allowBlank="1" showInputMessage="1" showErrorMessage="1">
          <x14:formula1>
            <xm:f>'Redmine List Values'!$C$2:$C$15</xm:f>
          </x14:formula1>
          <xm:sqref>AB7:AB27 AB29:AB34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4"/>
  <sheetViews>
    <sheetView workbookViewId="0">
      <selection activeCell="A4" sqref="A4"/>
    </sheetView>
  </sheetViews>
  <sheetFormatPr defaultRowHeight="14.4" x14ac:dyDescent="0.3"/>
  <cols>
    <col min="1" max="1" width="8" style="195" customWidth="1"/>
    <col min="2" max="2" width="9.109375" style="2" customWidth="1"/>
    <col min="3" max="3" width="8" style="88" bestFit="1" customWidth="1"/>
    <col min="4" max="4" width="11.33203125" style="138" bestFit="1" customWidth="1"/>
    <col min="5" max="5" width="50.88671875" bestFit="1" customWidth="1"/>
    <col min="6" max="6" width="20.44140625" bestFit="1" customWidth="1"/>
    <col min="7" max="7" width="13.5546875" customWidth="1"/>
    <col min="8" max="8" width="14.6640625" customWidth="1"/>
    <col min="9" max="9" width="9.109375" style="188" customWidth="1"/>
    <col min="10" max="10" width="9.109375" customWidth="1"/>
  </cols>
  <sheetData>
    <row r="1" spans="1:10" s="20" customFormat="1" x14ac:dyDescent="0.3">
      <c r="A1" s="195"/>
      <c r="B1" s="251" t="str">
        <f>"Trips that did not appear in PTC Data "&amp;TEXT(Variables!$A$2,"YYYY-mm-dd")</f>
        <v>Trips that did not appear in PTC Data 2018-01-06</v>
      </c>
      <c r="C1" s="251"/>
      <c r="D1" s="251"/>
      <c r="E1" s="251"/>
      <c r="F1" s="251"/>
      <c r="I1" s="188"/>
    </row>
    <row r="2" spans="1:10" s="23" customFormat="1" ht="43.2" x14ac:dyDescent="0.3">
      <c r="A2" s="222" t="s">
        <v>146</v>
      </c>
      <c r="B2" s="90" t="s">
        <v>58</v>
      </c>
      <c r="C2" s="87" t="s">
        <v>59</v>
      </c>
      <c r="D2" s="151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189" t="s">
        <v>101</v>
      </c>
      <c r="J2" s="28" t="s">
        <v>60</v>
      </c>
    </row>
    <row r="3" spans="1:10" x14ac:dyDescent="0.3">
      <c r="A3" s="197"/>
      <c r="B3" s="42" t="str">
        <f>A3&amp;"-"&amp;IF(DAY(Variables!$A$2)&lt;10,0,"")&amp;DAY(Variables!$A$2)</f>
        <v>-06</v>
      </c>
      <c r="C3" s="134"/>
      <c r="D3" s="152" t="e">
        <f>VLOOKUP(B3,'Trips&amp;Operators'!$C$1:$H$1072,6,FALSE)</f>
        <v>#N/A</v>
      </c>
      <c r="E3" s="30"/>
      <c r="F3" s="227" t="e">
        <f>VLOOKUP(B3,'Trips&amp;Operators'!$C$2:$E$9912,3,FALSE)</f>
        <v>#N/A</v>
      </c>
      <c r="G3" s="21" t="e">
        <f>VLOOKUP(B3,'Trips&amp;Operators'!$C$1:$F$9912,4,FALSE)</f>
        <v>#N/A</v>
      </c>
      <c r="H3" s="29" t="e">
        <f>VLOOKUP(B3,'Trips&amp;Operators'!$C$1:$H$9912,5,FALSE)</f>
        <v>#N/A</v>
      </c>
      <c r="I3" s="190" t="str">
        <f t="shared" ref="I3:I18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3" s="30" t="e">
        <f>VLOOKUP(B3,'Train Runs'!$A$13:$A$100219,1,FALSE)</f>
        <v>#N/A</v>
      </c>
    </row>
    <row r="4" spans="1:10" x14ac:dyDescent="0.3">
      <c r="A4" s="197"/>
      <c r="B4" s="42" t="str">
        <f>A4&amp;"-"&amp;IF(DAY(Variables!$A$2)&lt;10,0,"")&amp;DAY(Variables!$A$2)</f>
        <v>-06</v>
      </c>
      <c r="C4" s="134"/>
      <c r="D4" s="152" t="e">
        <f>VLOOKUP(B4,'Trips&amp;Operators'!$C$1:$H$1072,6,FALSE)</f>
        <v>#N/A</v>
      </c>
      <c r="E4" s="30"/>
      <c r="F4" s="227" t="e">
        <f>VLOOKUP(B4,'Trips&amp;Operators'!$C$2:$E$9912,3,FALSE)</f>
        <v>#N/A</v>
      </c>
      <c r="G4" s="21" t="e">
        <f>VLOOKUP(B4,'Trips&amp;Operators'!$C$1:$F$9912,4,FALSE)</f>
        <v>#N/A</v>
      </c>
      <c r="H4" s="29" t="e">
        <f>VLOOKUP(B4,'Trips&amp;Operators'!$C$1:$H$9912,5,FALSE)</f>
        <v>#N/A</v>
      </c>
      <c r="I4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4" s="30" t="e">
        <f>VLOOKUP(B4,'Train Runs'!$A$13:$A$100219,1,FALSE)</f>
        <v>#N/A</v>
      </c>
    </row>
    <row r="5" spans="1:10" x14ac:dyDescent="0.3">
      <c r="A5" s="197"/>
      <c r="B5" s="42" t="str">
        <f>A5&amp;"-"&amp;IF(DAY(Variables!$A$2)&lt;10,0,"")&amp;DAY(Variables!$A$2)</f>
        <v>-06</v>
      </c>
      <c r="C5" s="134"/>
      <c r="D5" s="152" t="e">
        <f>VLOOKUP(B5,'Trips&amp;Operators'!$C$1:$H$1072,6,FALSE)</f>
        <v>#N/A</v>
      </c>
      <c r="E5" s="30"/>
      <c r="F5" s="227" t="e">
        <f>VLOOKUP(B5,'Trips&amp;Operators'!$C$2:$E$9912,3,FALSE)</f>
        <v>#N/A</v>
      </c>
      <c r="G5" s="21" t="e">
        <f>VLOOKUP(B5,'Trips&amp;Operators'!$C$1:$F$9912,4,FALSE)</f>
        <v>#N/A</v>
      </c>
      <c r="H5" s="29" t="e">
        <f>VLOOKUP(B5,'Trips&amp;Operators'!$C$1:$H$9912,5,FALSE)</f>
        <v>#N/A</v>
      </c>
      <c r="I5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5" s="30" t="e">
        <f>VLOOKUP(B5,'Train Runs'!$A$13:$A$100219,1,FALSE)</f>
        <v>#N/A</v>
      </c>
    </row>
    <row r="6" spans="1:10" x14ac:dyDescent="0.3">
      <c r="A6" s="197"/>
      <c r="B6" s="42" t="str">
        <f>A6&amp;"-"&amp;IF(DAY(Variables!$A$2)&lt;10,0,"")&amp;DAY(Variables!$A$2)</f>
        <v>-06</v>
      </c>
      <c r="C6" s="134"/>
      <c r="D6" s="152" t="e">
        <f>VLOOKUP(B6,'Trips&amp;Operators'!$C$1:$H$1072,6,FALSE)</f>
        <v>#N/A</v>
      </c>
      <c r="E6" s="30"/>
      <c r="F6" s="227" t="e">
        <f>VLOOKUP(B6,'Trips&amp;Operators'!$C$2:$E$9912,3,FALSE)</f>
        <v>#N/A</v>
      </c>
      <c r="G6" s="21" t="e">
        <f>VLOOKUP(B6,'Trips&amp;Operators'!$C$1:$F$9912,4,FALSE)</f>
        <v>#N/A</v>
      </c>
      <c r="H6" s="29" t="e">
        <f>VLOOKUP(B6,'Trips&amp;Operators'!$C$1:$H$9912,5,FALSE)</f>
        <v>#N/A</v>
      </c>
      <c r="I6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6" s="30" t="e">
        <f>VLOOKUP(B6,'Train Runs'!$A$13:$A$100219,1,FALSE)</f>
        <v>#N/A</v>
      </c>
    </row>
    <row r="7" spans="1:10" x14ac:dyDescent="0.3">
      <c r="A7" s="197"/>
      <c r="B7" s="42" t="str">
        <f>A7&amp;"-"&amp;IF(DAY(Variables!$A$2)&lt;10,0,"")&amp;DAY(Variables!$A$2)</f>
        <v>-06</v>
      </c>
      <c r="C7" s="134"/>
      <c r="D7" s="152" t="e">
        <f>VLOOKUP(B7,'Trips&amp;Operators'!$C$1:$H$1072,6,FALSE)</f>
        <v>#N/A</v>
      </c>
      <c r="E7" s="30"/>
      <c r="F7" s="227" t="e">
        <f>VLOOKUP(B7,'Trips&amp;Operators'!$C$2:$E$9912,3,FALSE)</f>
        <v>#N/A</v>
      </c>
      <c r="G7" s="21" t="e">
        <f>VLOOKUP(B7,'Trips&amp;Operators'!$C$1:$F$9912,4,FALSE)</f>
        <v>#N/A</v>
      </c>
      <c r="H7" s="29" t="e">
        <f>VLOOKUP(B7,'Trips&amp;Operators'!$C$1:$H$9912,5,FALSE)</f>
        <v>#N/A</v>
      </c>
      <c r="I7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7" s="30" t="e">
        <f>VLOOKUP(B7,'Train Runs'!$A$13:$A$100219,1,FALSE)</f>
        <v>#N/A</v>
      </c>
    </row>
    <row r="8" spans="1:10" x14ac:dyDescent="0.3">
      <c r="A8" s="197"/>
      <c r="B8" s="42" t="str">
        <f>A8&amp;"-"&amp;IF(DAY(Variables!$A$2)&lt;10,0,"")&amp;DAY(Variables!$A$2)</f>
        <v>-06</v>
      </c>
      <c r="C8" s="134"/>
      <c r="D8" s="152" t="e">
        <f>VLOOKUP(B8,'Trips&amp;Operators'!$C$1:$H$1072,6,FALSE)</f>
        <v>#N/A</v>
      </c>
      <c r="E8" s="30"/>
      <c r="F8" s="227" t="e">
        <f>VLOOKUP(B8,'Trips&amp;Operators'!$C$2:$E$9912,3,FALSE)</f>
        <v>#N/A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8" s="30" t="e">
        <f>VLOOKUP(B8,'Train Runs'!$A$13:$A$100219,1,FALSE)</f>
        <v>#N/A</v>
      </c>
    </row>
    <row r="9" spans="1:10" x14ac:dyDescent="0.3">
      <c r="A9" s="197"/>
      <c r="B9" s="42" t="str">
        <f>A9&amp;"-"&amp;IF(DAY(Variables!$A$2)&lt;10,0,"")&amp;DAY(Variables!$A$2)</f>
        <v>-06</v>
      </c>
      <c r="C9" s="134"/>
      <c r="D9" s="152" t="e">
        <f>VLOOKUP(B9,'Trips&amp;Operators'!$C$1:$H$1072,6,FALSE)</f>
        <v>#N/A</v>
      </c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9" s="30" t="e">
        <f>VLOOKUP(B9,'Train Runs'!$A$13:$A$100219,1,FALSE)</f>
        <v>#N/A</v>
      </c>
    </row>
    <row r="10" spans="1:10" x14ac:dyDescent="0.3">
      <c r="A10" s="197"/>
      <c r="B10" s="42" t="str">
        <f>A10&amp;"-"&amp;IF(DAY(Variables!$A$2)&lt;10,0,"")&amp;DAY(Variables!$A$2)</f>
        <v>-06</v>
      </c>
      <c r="C10" s="134"/>
      <c r="D10" s="152" t="e">
        <f>VLOOKUP(B10,'Trips&amp;Operators'!$C$1:$H$1072,6,FALSE)</f>
        <v>#N/A</v>
      </c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10" s="30" t="e">
        <f>VLOOKUP(B10,'Train Runs'!$A$13:$A$100219,1,FALSE)</f>
        <v>#N/A</v>
      </c>
    </row>
    <row r="11" spans="1:10" x14ac:dyDescent="0.3">
      <c r="A11" s="197"/>
      <c r="B11" s="42" t="str">
        <f>A11&amp;"-"&amp;IF(DAY(Variables!$A$2)&lt;10,0,"")&amp;DAY(Variables!$A$2)</f>
        <v>-06</v>
      </c>
      <c r="C11" s="134"/>
      <c r="D11" s="152" t="e">
        <f>VLOOKUP(B11,'Trips&amp;Operators'!$C$1:$H$1072,6,FALSE)</f>
        <v>#N/A</v>
      </c>
      <c r="E11" s="30"/>
      <c r="F11" s="21" t="e">
        <f>VLOOKUP(B11,'Trips&amp;Operators'!$C$2:$E$9912,3,FALSE)</f>
        <v>#N/A</v>
      </c>
      <c r="G11" s="21" t="e">
        <f>VLOOKUP(B11,'Trips&amp;Operators'!$C$1:$F$9912,4,FALSE)</f>
        <v>#N/A</v>
      </c>
      <c r="H11" s="29" t="e">
        <f>VLOOKUP(B11,'Trips&amp;Operators'!$C$1:$H$9912,5,FALSE)</f>
        <v>#N/A</v>
      </c>
      <c r="I11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11" s="30" t="e">
        <f>VLOOKUP(B11,'Train Runs'!$A$13:$A$100219,1,FALSE)</f>
        <v>#N/A</v>
      </c>
    </row>
    <row r="12" spans="1:10" x14ac:dyDescent="0.3">
      <c r="A12" s="197"/>
      <c r="B12" s="42" t="str">
        <f>A12&amp;"-"&amp;IF(DAY(Variables!$A$2)&lt;10,0,"")&amp;DAY(Variables!$A$2)</f>
        <v>-06</v>
      </c>
      <c r="C12" s="134"/>
      <c r="D12" s="152" t="e">
        <f>VLOOKUP(B12,'Trips&amp;Operators'!$C$1:$H$1072,6,FALSE)</f>
        <v>#N/A</v>
      </c>
      <c r="E12" s="30"/>
      <c r="F12" s="21" t="e">
        <f>VLOOKUP(B12,'Trips&amp;Operators'!$C$2:$E$9912,3,FALSE)</f>
        <v>#N/A</v>
      </c>
      <c r="G12" s="21" t="e">
        <f>VLOOKUP(B12,'Trips&amp;Operators'!$C$1:$F$9912,4,FALSE)</f>
        <v>#N/A</v>
      </c>
      <c r="H12" s="29" t="e">
        <f>VLOOKUP(B12,'Trips&amp;Operators'!$C$1:$H$9912,5,FALSE)</f>
        <v>#N/A</v>
      </c>
      <c r="I12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12" s="30" t="e">
        <f>VLOOKUP(B12,'Train Runs'!$A$13:$A$100219,1,FALSE)</f>
        <v>#N/A</v>
      </c>
    </row>
    <row r="13" spans="1:10" x14ac:dyDescent="0.3">
      <c r="A13" s="197"/>
      <c r="B13" s="42" t="str">
        <f>A13&amp;"-"&amp;IF(DAY(Variables!$A$2)&lt;10,0,"")&amp;DAY(Variables!$A$2)</f>
        <v>-06</v>
      </c>
      <c r="C13" s="134"/>
      <c r="D13" s="152" t="e">
        <f>VLOOKUP(B13,'Trips&amp;Operators'!$C$1:$H$1072,6,FALSE)</f>
        <v>#N/A</v>
      </c>
      <c r="E13" s="30"/>
      <c r="F13" s="21" t="e">
        <f>VLOOKUP(B13,'Trips&amp;Operators'!$C$2:$E$9912,3,FALSE)</f>
        <v>#N/A</v>
      </c>
      <c r="G13" s="21" t="e">
        <f>VLOOKUP(B13,'Trips&amp;Operators'!$C$1:$F$9912,4,FALSE)</f>
        <v>#N/A</v>
      </c>
      <c r="H13" s="29" t="e">
        <f>VLOOKUP(B13,'Trips&amp;Operators'!$C$1:$H$9912,5,FALSE)</f>
        <v>#N/A</v>
      </c>
      <c r="I13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13" s="30" t="e">
        <f>VLOOKUP(B13,'Train Runs'!$A$13:$A$100219,1,FALSE)</f>
        <v>#N/A</v>
      </c>
    </row>
    <row r="14" spans="1:10" x14ac:dyDescent="0.3">
      <c r="A14" s="197"/>
      <c r="B14" s="42" t="str">
        <f>A14&amp;"-"&amp;IF(DAY(Variables!$A$2)&lt;10,0,"")&amp;DAY(Variables!$A$2)</f>
        <v>-06</v>
      </c>
      <c r="C14" s="134"/>
      <c r="D14" s="152" t="e">
        <f>VLOOKUP(B14,'Trips&amp;Operators'!$C$1:$H$1072,6,FALSE)</f>
        <v>#N/A</v>
      </c>
      <c r="E14" s="30"/>
      <c r="F14" s="21" t="e">
        <f>VLOOKUP(B14,'Trips&amp;Operators'!$C$2:$E$9912,3,FALSE)</f>
        <v>#N/A</v>
      </c>
      <c r="G14" s="21" t="e">
        <f>VLOOKUP(B14,'Trips&amp;Operators'!$C$1:$F$9912,4,FALSE)</f>
        <v>#N/A</v>
      </c>
      <c r="H14" s="29" t="e">
        <f>VLOOKUP(B14,'Trips&amp;Operators'!$C$1:$H$9912,5,FALSE)</f>
        <v>#N/A</v>
      </c>
      <c r="I14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14" s="30" t="e">
        <f>VLOOKUP(B14,'Train Runs'!$A$13:$A$100219,1,FALSE)</f>
        <v>#N/A</v>
      </c>
    </row>
    <row r="15" spans="1:10" x14ac:dyDescent="0.3">
      <c r="A15" s="197"/>
      <c r="B15" s="42" t="str">
        <f>A15&amp;"-"&amp;IF(DAY(Variables!$A$2)&lt;10,0,"")&amp;DAY(Variables!$A$2)</f>
        <v>-06</v>
      </c>
      <c r="C15" s="134"/>
      <c r="D15" s="152" t="e">
        <f>VLOOKUP(B15,'Trips&amp;Operators'!$C$1:$H$1072,6,FALSE)</f>
        <v>#N/A</v>
      </c>
      <c r="E15" s="30"/>
      <c r="F15" s="21" t="e">
        <f>VLOOKUP(B15,'Trips&amp;Operators'!$C$2:$E$9912,3,FALSE)</f>
        <v>#N/A</v>
      </c>
      <c r="G15" s="21" t="e">
        <f>VLOOKUP(B15,'Trips&amp;Operators'!$C$1:$F$9912,4,FALSE)</f>
        <v>#N/A</v>
      </c>
      <c r="H15" s="29" t="e">
        <f>VLOOKUP(B15,'Trips&amp;Operators'!$C$1:$H$9912,5,FALSE)</f>
        <v>#N/A</v>
      </c>
      <c r="I15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15" s="30" t="e">
        <f>VLOOKUP(B15,'Train Runs'!$A$13:$A$100219,1,FALSE)</f>
        <v>#N/A</v>
      </c>
    </row>
    <row r="16" spans="1:10" x14ac:dyDescent="0.3">
      <c r="A16" s="197"/>
      <c r="B16" s="42" t="str">
        <f>A16&amp;"-"&amp;IF(DAY(Variables!$A$2)&lt;10,0,"")&amp;DAY(Variables!$A$2)</f>
        <v>-06</v>
      </c>
      <c r="C16" s="134"/>
      <c r="D16" s="152" t="e">
        <f>VLOOKUP(B16,'Trips&amp;Operators'!$C$1:$H$1072,6,FALSE)</f>
        <v>#N/A</v>
      </c>
      <c r="E16" s="30"/>
      <c r="F16" s="21" t="e">
        <f>VLOOKUP(B16,'Trips&amp;Operators'!$C$2:$E$9912,3,FALSE)</f>
        <v>#N/A</v>
      </c>
      <c r="G16" s="21" t="e">
        <f>VLOOKUP(B16,'Trips&amp;Operators'!$C$1:$F$9912,4,FALSE)</f>
        <v>#N/A</v>
      </c>
      <c r="H16" s="29" t="e">
        <f>VLOOKUP(B16,'Trips&amp;Operators'!$C$1:$H$9912,5,FALSE)</f>
        <v>#N/A</v>
      </c>
      <c r="I16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16" s="30" t="e">
        <f>VLOOKUP(B16,'Train Runs'!$A$13:$A$100219,1,FALSE)</f>
        <v>#N/A</v>
      </c>
    </row>
    <row r="17" spans="1:10" x14ac:dyDescent="0.3">
      <c r="A17" s="197"/>
      <c r="B17" s="42" t="str">
        <f>A17&amp;"-"&amp;IF(DAY(Variables!$A$2)&lt;10,0,"")&amp;DAY(Variables!$A$2)</f>
        <v>-06</v>
      </c>
      <c r="C17" s="134"/>
      <c r="D17" s="152" t="e">
        <f>VLOOKUP(B17,'Trips&amp;Operators'!$C$1:$H$1072,6,FALSE)</f>
        <v>#N/A</v>
      </c>
      <c r="E17" s="30"/>
      <c r="F17" s="21" t="e">
        <f>VLOOKUP(B17,'Trips&amp;Operators'!$C$2:$E$9912,3,FALSE)</f>
        <v>#N/A</v>
      </c>
      <c r="G17" s="21" t="e">
        <f>VLOOKUP(B17,'Trips&amp;Operators'!$C$1:$F$9912,4,FALSE)</f>
        <v>#N/A</v>
      </c>
      <c r="H17" s="29" t="e">
        <f>VLOOKUP(B17,'Trips&amp;Operators'!$C$1:$H$9912,5,FALSE)</f>
        <v>#N/A</v>
      </c>
      <c r="I17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17" s="30" t="e">
        <f>VLOOKUP(B17,'Train Runs'!$A$13:$A$100219,1,FALSE)</f>
        <v>#N/A</v>
      </c>
    </row>
    <row r="18" spans="1:10" x14ac:dyDescent="0.3">
      <c r="A18" s="197"/>
      <c r="B18" s="42" t="str">
        <f>A18&amp;"-"&amp;IF(DAY(Variables!$A$2)&lt;10,0,"")&amp;DAY(Variables!$A$2)</f>
        <v>-06</v>
      </c>
      <c r="C18" s="134"/>
      <c r="D18" s="152" t="e">
        <f>VLOOKUP(B18,'Trips&amp;Operators'!$C$1:$H$1072,6,FALSE)</f>
        <v>#N/A</v>
      </c>
      <c r="E18" s="30"/>
      <c r="F18" s="21" t="e">
        <f>VLOOKUP(B18,'Trips&amp;Operators'!$C$2:$E$9912,3,FALSE)</f>
        <v>#N/A</v>
      </c>
      <c r="G18" s="21" t="e">
        <f>VLOOKUP(B18,'Trips&amp;Operators'!$C$1:$F$9912,4,FALSE)</f>
        <v>#N/A</v>
      </c>
      <c r="H18" s="29" t="e">
        <f>VLOOKUP(B18,'Trips&amp;Operators'!$C$1:$H$9912,5,FALSE)</f>
        <v>#N/A</v>
      </c>
      <c r="I18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-06%22)),sort:!(Time.ISO8601,asc))</v>
      </c>
      <c r="J18" s="30" t="e">
        <f>VLOOKUP(B18,'Train Runs'!$A$13:$A$100219,1,FALSE)</f>
        <v>#N/A</v>
      </c>
    </row>
    <row r="19" spans="1:10" x14ac:dyDescent="0.3">
      <c r="A19" s="197"/>
      <c r="B19" s="42"/>
      <c r="C19" s="134"/>
      <c r="D19" s="152"/>
      <c r="E19" s="30"/>
      <c r="F19" s="21"/>
      <c r="G19" s="21"/>
      <c r="H19" s="29"/>
      <c r="I19" s="190"/>
      <c r="J19" s="30"/>
    </row>
    <row r="20" spans="1:10" x14ac:dyDescent="0.3">
      <c r="A20" s="197"/>
      <c r="B20" s="42"/>
      <c r="C20" s="134"/>
      <c r="D20" s="152"/>
      <c r="E20" s="30"/>
      <c r="F20" s="21"/>
      <c r="G20" s="21"/>
      <c r="H20" s="29"/>
      <c r="I20" s="190"/>
      <c r="J20" s="30"/>
    </row>
    <row r="21" spans="1:10" x14ac:dyDescent="0.3">
      <c r="A21" s="197"/>
      <c r="B21" s="42"/>
      <c r="C21" s="134"/>
      <c r="D21" s="152"/>
      <c r="E21" s="30"/>
      <c r="F21" s="21"/>
      <c r="G21" s="21"/>
      <c r="H21" s="29"/>
      <c r="I21" s="190"/>
      <c r="J21" s="30"/>
    </row>
    <row r="22" spans="1:10" x14ac:dyDescent="0.3">
      <c r="A22" s="197"/>
      <c r="B22" s="42"/>
      <c r="C22" s="134"/>
      <c r="D22" s="152"/>
      <c r="E22" s="30"/>
      <c r="F22" s="21"/>
      <c r="G22" s="21"/>
      <c r="H22" s="29"/>
      <c r="I22" s="190"/>
      <c r="J22" s="30"/>
    </row>
    <row r="23" spans="1:10" x14ac:dyDescent="0.3">
      <c r="A23" s="197"/>
      <c r="B23" s="42"/>
      <c r="C23" s="134"/>
      <c r="D23" s="152"/>
      <c r="E23" s="30"/>
      <c r="F23" s="21"/>
      <c r="G23" s="21"/>
      <c r="H23" s="29"/>
      <c r="I23" s="190"/>
      <c r="J23" s="30"/>
    </row>
    <row r="24" spans="1:10" x14ac:dyDescent="0.3">
      <c r="A24" s="197"/>
      <c r="B24" s="42"/>
      <c r="C24" s="134"/>
      <c r="D24" s="152"/>
      <c r="E24" s="30"/>
      <c r="F24" s="21"/>
      <c r="G24" s="21"/>
      <c r="H24" s="29"/>
      <c r="I24" s="190"/>
      <c r="J24" s="30"/>
    </row>
    <row r="25" spans="1:10" x14ac:dyDescent="0.3">
      <c r="A25" s="197"/>
      <c r="B25" s="42"/>
      <c r="C25" s="134"/>
      <c r="D25" s="152"/>
      <c r="E25" s="30"/>
      <c r="F25" s="21"/>
      <c r="G25" s="21"/>
      <c r="H25" s="29"/>
      <c r="I25" s="190"/>
      <c r="J25" s="30"/>
    </row>
    <row r="26" spans="1:10" x14ac:dyDescent="0.3">
      <c r="A26" s="197"/>
      <c r="B26" s="42"/>
      <c r="C26" s="134"/>
      <c r="D26" s="152"/>
      <c r="E26" s="30"/>
      <c r="F26" s="21"/>
      <c r="G26" s="21"/>
      <c r="H26" s="29"/>
      <c r="I26" s="190"/>
      <c r="J26" s="30"/>
    </row>
    <row r="27" spans="1:10" x14ac:dyDescent="0.3">
      <c r="A27" s="197"/>
      <c r="B27" s="42"/>
      <c r="C27" s="134"/>
      <c r="D27" s="152"/>
      <c r="E27" s="30"/>
      <c r="F27" s="21"/>
      <c r="G27" s="21"/>
      <c r="H27" s="29"/>
      <c r="I27" s="190"/>
      <c r="J27" s="30"/>
    </row>
    <row r="28" spans="1:10" x14ac:dyDescent="0.3">
      <c r="A28" s="197"/>
      <c r="B28" s="42"/>
      <c r="C28" s="134"/>
      <c r="D28" s="152"/>
      <c r="E28" s="30"/>
      <c r="F28" s="21"/>
      <c r="G28" s="21"/>
      <c r="H28" s="29"/>
      <c r="I28" s="190"/>
      <c r="J28" s="30"/>
    </row>
    <row r="29" spans="1:10" x14ac:dyDescent="0.3">
      <c r="A29" s="197"/>
      <c r="B29" s="42"/>
      <c r="C29" s="134"/>
      <c r="D29" s="152"/>
      <c r="E29" s="30"/>
      <c r="F29" s="21"/>
      <c r="G29" s="21"/>
      <c r="H29" s="29"/>
      <c r="I29" s="190"/>
      <c r="J29" s="30"/>
    </row>
    <row r="30" spans="1:10" x14ac:dyDescent="0.3">
      <c r="A30" s="197"/>
      <c r="B30" s="42"/>
      <c r="C30" s="134"/>
      <c r="D30" s="152"/>
      <c r="E30" s="30"/>
      <c r="F30" s="21"/>
      <c r="G30" s="21"/>
      <c r="H30" s="29"/>
      <c r="I30" s="190"/>
      <c r="J30" s="30"/>
    </row>
    <row r="31" spans="1:10" x14ac:dyDescent="0.3">
      <c r="A31" s="197"/>
      <c r="B31" s="42"/>
      <c r="C31" s="134"/>
      <c r="D31" s="152"/>
      <c r="E31" s="30"/>
      <c r="F31" s="21"/>
      <c r="G31" s="21"/>
      <c r="H31" s="29"/>
      <c r="I31" s="190"/>
      <c r="J31" s="30"/>
    </row>
    <row r="32" spans="1:10" x14ac:dyDescent="0.3">
      <c r="A32" s="197"/>
      <c r="B32" s="42"/>
      <c r="C32" s="134"/>
      <c r="D32" s="152"/>
      <c r="E32" s="30"/>
      <c r="F32" s="21"/>
      <c r="G32" s="21"/>
      <c r="H32" s="29"/>
      <c r="I32" s="190"/>
      <c r="J32" s="30"/>
    </row>
    <row r="33" spans="1:10" x14ac:dyDescent="0.3">
      <c r="A33" s="197"/>
      <c r="B33" s="42"/>
      <c r="C33" s="134"/>
      <c r="D33" s="152"/>
      <c r="E33" s="30"/>
      <c r="F33" s="21"/>
      <c r="G33" s="21"/>
      <c r="H33" s="29"/>
      <c r="I33" s="190"/>
      <c r="J33" s="30"/>
    </row>
    <row r="34" spans="1:10" x14ac:dyDescent="0.3">
      <c r="A34" s="197"/>
      <c r="B34" s="42"/>
      <c r="C34" s="134"/>
      <c r="D34" s="152"/>
      <c r="E34" s="30"/>
      <c r="F34" s="21"/>
      <c r="G34" s="21"/>
      <c r="H34" s="29"/>
      <c r="I34" s="190"/>
      <c r="J34" s="30"/>
    </row>
    <row r="35" spans="1:10" x14ac:dyDescent="0.3">
      <c r="A35" s="197"/>
      <c r="B35" s="42"/>
      <c r="C35" s="134"/>
      <c r="D35" s="152"/>
      <c r="E35" s="30"/>
      <c r="F35" s="21"/>
      <c r="G35" s="21"/>
      <c r="H35" s="29"/>
      <c r="I35" s="190"/>
      <c r="J35" s="30"/>
    </row>
    <row r="36" spans="1:10" x14ac:dyDescent="0.3">
      <c r="A36" s="197"/>
      <c r="B36" s="42"/>
      <c r="C36" s="134"/>
      <c r="D36" s="152"/>
      <c r="E36" s="30"/>
      <c r="F36" s="21"/>
      <c r="G36" s="21"/>
      <c r="H36" s="29"/>
      <c r="I36" s="190"/>
      <c r="J36" s="30"/>
    </row>
    <row r="37" spans="1:10" x14ac:dyDescent="0.3">
      <c r="A37" s="197"/>
      <c r="B37" s="42"/>
      <c r="C37" s="134"/>
      <c r="D37" s="152"/>
      <c r="E37" s="30"/>
      <c r="F37" s="21"/>
      <c r="G37" s="21"/>
      <c r="H37" s="29"/>
      <c r="I37" s="190"/>
      <c r="J37" s="30"/>
    </row>
    <row r="38" spans="1:10" x14ac:dyDescent="0.3">
      <c r="A38" s="197"/>
      <c r="B38" s="42"/>
      <c r="C38" s="134"/>
      <c r="D38" s="152"/>
      <c r="E38" s="30"/>
      <c r="F38" s="21"/>
      <c r="G38" s="21"/>
      <c r="H38" s="29"/>
      <c r="I38" s="190"/>
      <c r="J38" s="30"/>
    </row>
    <row r="39" spans="1:10" x14ac:dyDescent="0.3">
      <c r="A39" s="197"/>
      <c r="B39" s="42"/>
      <c r="C39" s="134"/>
      <c r="D39" s="152"/>
      <c r="E39" s="30"/>
      <c r="F39" s="21"/>
      <c r="G39" s="21"/>
      <c r="H39" s="29"/>
      <c r="I39" s="190"/>
      <c r="J39" s="30"/>
    </row>
    <row r="40" spans="1:10" x14ac:dyDescent="0.3">
      <c r="A40" s="197"/>
      <c r="B40" s="42"/>
      <c r="C40" s="134"/>
      <c r="D40" s="152"/>
      <c r="E40" s="30"/>
      <c r="F40" s="21"/>
      <c r="G40" s="21"/>
      <c r="H40" s="29"/>
      <c r="I40" s="190"/>
      <c r="J40" s="30"/>
    </row>
    <row r="41" spans="1:10" x14ac:dyDescent="0.3">
      <c r="A41" s="197"/>
      <c r="B41" s="42"/>
      <c r="C41" s="134"/>
      <c r="D41" s="152"/>
      <c r="E41" s="30"/>
      <c r="F41" s="21"/>
      <c r="G41" s="21"/>
      <c r="H41" s="29"/>
      <c r="I41" s="190"/>
      <c r="J41" s="30"/>
    </row>
    <row r="42" spans="1:10" x14ac:dyDescent="0.3">
      <c r="A42" s="197"/>
      <c r="B42" s="42"/>
      <c r="C42" s="134"/>
      <c r="D42" s="152"/>
      <c r="E42" s="30"/>
      <c r="F42" s="21"/>
      <c r="G42" s="21"/>
      <c r="H42" s="29"/>
      <c r="I42" s="190"/>
      <c r="J42" s="30"/>
    </row>
    <row r="43" spans="1:10" x14ac:dyDescent="0.3">
      <c r="A43" s="197"/>
      <c r="B43" s="42"/>
      <c r="C43" s="134"/>
      <c r="D43" s="152"/>
      <c r="E43" s="30"/>
      <c r="F43" s="21"/>
      <c r="G43" s="21"/>
      <c r="H43" s="29"/>
      <c r="I43" s="190"/>
      <c r="J43" s="30"/>
    </row>
    <row r="44" spans="1:10" x14ac:dyDescent="0.3">
      <c r="A44" s="197"/>
      <c r="B44" s="42"/>
      <c r="C44" s="134"/>
      <c r="D44" s="152"/>
      <c r="E44" s="30"/>
      <c r="F44" s="21"/>
      <c r="G44" s="21"/>
      <c r="H44" s="29"/>
      <c r="I44" s="190"/>
      <c r="J44" s="30"/>
    </row>
    <row r="45" spans="1:10" x14ac:dyDescent="0.3">
      <c r="A45" s="197"/>
      <c r="B45" s="42"/>
      <c r="C45" s="134"/>
      <c r="D45" s="152"/>
      <c r="E45" s="30"/>
      <c r="F45" s="21"/>
      <c r="G45" s="21"/>
      <c r="H45" s="29"/>
      <c r="I45" s="190"/>
      <c r="J45" s="30"/>
    </row>
    <row r="46" spans="1:10" x14ac:dyDescent="0.3">
      <c r="A46" s="197"/>
      <c r="B46" s="42"/>
      <c r="C46" s="134"/>
      <c r="D46" s="152"/>
      <c r="E46" s="30"/>
      <c r="F46" s="21"/>
      <c r="G46" s="21"/>
      <c r="H46" s="29"/>
      <c r="I46" s="190"/>
      <c r="J46" s="30"/>
    </row>
    <row r="47" spans="1:10" x14ac:dyDescent="0.3">
      <c r="A47" s="197"/>
      <c r="B47" s="42"/>
      <c r="C47" s="134"/>
      <c r="D47" s="152"/>
      <c r="E47" s="30"/>
      <c r="F47" s="21"/>
      <c r="G47" s="21"/>
      <c r="H47" s="29"/>
      <c r="I47" s="190"/>
      <c r="J47" s="30"/>
    </row>
    <row r="48" spans="1:10" x14ac:dyDescent="0.3">
      <c r="A48" s="197"/>
      <c r="B48" s="42"/>
      <c r="C48" s="134"/>
      <c r="D48" s="152"/>
      <c r="E48" s="30"/>
      <c r="F48" s="21"/>
      <c r="G48" s="21"/>
      <c r="H48" s="29"/>
      <c r="I48" s="190"/>
      <c r="J48" s="30"/>
    </row>
    <row r="49" spans="1:10" x14ac:dyDescent="0.3">
      <c r="A49" s="197"/>
      <c r="B49" s="42"/>
      <c r="C49" s="134"/>
      <c r="D49" s="152"/>
      <c r="E49" s="30"/>
      <c r="F49" s="21"/>
      <c r="G49" s="21"/>
      <c r="H49" s="29"/>
      <c r="I49" s="190"/>
      <c r="J49" s="30"/>
    </row>
    <row r="50" spans="1:10" x14ac:dyDescent="0.3">
      <c r="A50" s="197"/>
      <c r="B50" s="42"/>
      <c r="C50" s="134"/>
      <c r="D50" s="152"/>
      <c r="E50" s="30"/>
      <c r="F50" s="21"/>
      <c r="G50" s="21"/>
      <c r="H50" s="29"/>
      <c r="I50" s="190"/>
      <c r="J50" s="30"/>
    </row>
    <row r="51" spans="1:10" x14ac:dyDescent="0.3">
      <c r="A51" s="197"/>
      <c r="B51" s="42"/>
      <c r="C51" s="134"/>
      <c r="D51" s="152"/>
      <c r="E51" s="30"/>
      <c r="F51" s="21"/>
      <c r="G51" s="21"/>
      <c r="H51" s="29"/>
      <c r="I51" s="190"/>
      <c r="J51" s="30"/>
    </row>
    <row r="52" spans="1:10" x14ac:dyDescent="0.3">
      <c r="A52" s="197"/>
      <c r="B52" s="42"/>
      <c r="C52" s="134"/>
      <c r="D52" s="152"/>
      <c r="E52" s="30"/>
      <c r="F52" s="21"/>
      <c r="G52" s="21"/>
      <c r="H52" s="29"/>
      <c r="I52" s="190"/>
      <c r="J52" s="30"/>
    </row>
    <row r="53" spans="1:10" x14ac:dyDescent="0.3">
      <c r="A53" s="197"/>
      <c r="B53" s="42"/>
      <c r="C53" s="134"/>
      <c r="D53" s="152"/>
      <c r="E53" s="30"/>
      <c r="F53" s="21"/>
      <c r="G53" s="21"/>
      <c r="H53" s="29"/>
      <c r="I53" s="190"/>
      <c r="J53" s="30"/>
    </row>
    <row r="54" spans="1:10" x14ac:dyDescent="0.3">
      <c r="A54" s="197"/>
      <c r="B54" s="42"/>
      <c r="C54" s="134"/>
      <c r="D54" s="152"/>
      <c r="E54" s="30"/>
      <c r="F54" s="21"/>
      <c r="G54" s="21"/>
      <c r="H54" s="29"/>
      <c r="I54" s="190"/>
      <c r="J54" s="30"/>
    </row>
    <row r="55" spans="1:10" x14ac:dyDescent="0.3">
      <c r="A55" s="197"/>
      <c r="B55" s="42"/>
      <c r="C55" s="134"/>
      <c r="D55" s="152"/>
      <c r="E55" s="30"/>
      <c r="F55" s="21"/>
      <c r="G55" s="21"/>
      <c r="H55" s="29"/>
      <c r="I55" s="190"/>
      <c r="J55" s="30"/>
    </row>
    <row r="56" spans="1:10" x14ac:dyDescent="0.3">
      <c r="A56" s="197"/>
      <c r="B56" s="42"/>
      <c r="C56" s="134"/>
      <c r="D56" s="152"/>
      <c r="E56" s="30"/>
      <c r="F56" s="21"/>
      <c r="G56" s="21"/>
      <c r="H56" s="29"/>
      <c r="I56" s="190"/>
      <c r="J56" s="30"/>
    </row>
    <row r="57" spans="1:10" x14ac:dyDescent="0.3">
      <c r="A57" s="197"/>
      <c r="B57" s="42"/>
      <c r="C57" s="134"/>
      <c r="D57" s="152"/>
      <c r="E57" s="30"/>
      <c r="F57" s="21"/>
      <c r="G57" s="21"/>
      <c r="H57" s="29"/>
      <c r="I57" s="190"/>
      <c r="J57" s="30"/>
    </row>
    <row r="58" spans="1:10" x14ac:dyDescent="0.3">
      <c r="A58" s="197"/>
      <c r="B58" s="42"/>
      <c r="C58" s="134"/>
      <c r="D58" s="152"/>
      <c r="E58" s="30"/>
      <c r="F58" s="21"/>
      <c r="G58" s="21"/>
      <c r="H58" s="29"/>
      <c r="I58" s="190"/>
      <c r="J58" s="30"/>
    </row>
    <row r="59" spans="1:10" x14ac:dyDescent="0.3">
      <c r="A59" s="197"/>
      <c r="B59" s="42"/>
      <c r="C59" s="134"/>
      <c r="D59" s="152"/>
      <c r="E59" s="30"/>
      <c r="F59" s="21"/>
      <c r="G59" s="21"/>
      <c r="H59" s="29"/>
      <c r="I59" s="190"/>
      <c r="J59" s="30"/>
    </row>
    <row r="60" spans="1:10" x14ac:dyDescent="0.3">
      <c r="A60" s="197"/>
      <c r="B60" s="42"/>
      <c r="C60" s="134"/>
      <c r="D60" s="152"/>
      <c r="E60" s="30"/>
      <c r="F60" s="21"/>
      <c r="G60" s="21"/>
      <c r="H60" s="29"/>
      <c r="I60" s="190"/>
      <c r="J60" s="30"/>
    </row>
    <row r="61" spans="1:10" x14ac:dyDescent="0.3">
      <c r="A61" s="197"/>
      <c r="B61" s="42"/>
      <c r="C61" s="134"/>
      <c r="D61" s="152"/>
      <c r="E61" s="30"/>
      <c r="F61" s="21"/>
      <c r="G61" s="21"/>
      <c r="H61" s="29"/>
      <c r="I61" s="190"/>
      <c r="J61" s="30"/>
    </row>
    <row r="62" spans="1:10" x14ac:dyDescent="0.3">
      <c r="A62" s="197"/>
      <c r="B62" s="42"/>
      <c r="C62" s="134"/>
      <c r="D62" s="152"/>
      <c r="E62" s="30"/>
      <c r="F62" s="21"/>
      <c r="G62" s="21"/>
      <c r="H62" s="29"/>
      <c r="I62" s="190"/>
      <c r="J62" s="30"/>
    </row>
    <row r="63" spans="1:10" x14ac:dyDescent="0.3">
      <c r="A63" s="197"/>
      <c r="B63" s="42"/>
      <c r="C63" s="134"/>
      <c r="D63" s="152"/>
      <c r="E63" s="30"/>
      <c r="F63" s="21"/>
      <c r="G63" s="21"/>
      <c r="H63" s="29"/>
      <c r="I63" s="190"/>
      <c r="J63" s="30"/>
    </row>
    <row r="64" spans="1:10" x14ac:dyDescent="0.3">
      <c r="A64" s="197"/>
      <c r="B64" s="42"/>
      <c r="C64" s="134"/>
      <c r="D64" s="152"/>
      <c r="E64" s="30"/>
      <c r="F64" s="21"/>
      <c r="G64" s="21"/>
      <c r="H64" s="29"/>
      <c r="I64" s="190"/>
      <c r="J64" s="30"/>
    </row>
    <row r="65" spans="1:10" x14ac:dyDescent="0.3">
      <c r="A65" s="197"/>
      <c r="B65" s="42"/>
      <c r="C65" s="134"/>
      <c r="D65" s="152"/>
      <c r="E65" s="30"/>
      <c r="F65" s="21"/>
      <c r="G65" s="21"/>
      <c r="H65" s="29"/>
      <c r="I65" s="190"/>
      <c r="J65" s="30"/>
    </row>
    <row r="66" spans="1:10" x14ac:dyDescent="0.3">
      <c r="A66" s="197"/>
      <c r="B66" s="42"/>
      <c r="C66" s="134"/>
      <c r="D66" s="152"/>
      <c r="E66" s="30"/>
      <c r="F66" s="21"/>
      <c r="G66" s="21"/>
      <c r="H66" s="29"/>
      <c r="I66" s="190"/>
      <c r="J66" s="30"/>
    </row>
    <row r="67" spans="1:10" x14ac:dyDescent="0.3">
      <c r="A67" s="197"/>
      <c r="B67" s="42"/>
      <c r="C67" s="134"/>
      <c r="D67" s="152"/>
      <c r="E67" s="30"/>
      <c r="F67" s="21"/>
      <c r="G67" s="21"/>
      <c r="H67" s="29"/>
      <c r="I67" s="190"/>
      <c r="J67" s="30"/>
    </row>
    <row r="68" spans="1:10" x14ac:dyDescent="0.3">
      <c r="A68" s="197"/>
      <c r="B68" s="42"/>
      <c r="C68" s="134"/>
      <c r="D68" s="152"/>
      <c r="E68" s="30"/>
      <c r="F68" s="21"/>
      <c r="G68" s="21"/>
      <c r="H68" s="29"/>
      <c r="I68" s="190"/>
      <c r="J68" s="30"/>
    </row>
    <row r="69" spans="1:10" x14ac:dyDescent="0.3">
      <c r="A69" s="197"/>
      <c r="B69" s="42"/>
      <c r="C69" s="134"/>
      <c r="D69" s="152"/>
      <c r="E69" s="30"/>
      <c r="F69" s="21"/>
      <c r="G69" s="21"/>
      <c r="H69" s="29"/>
      <c r="I69" s="190"/>
      <c r="J69" s="30"/>
    </row>
    <row r="70" spans="1:10" x14ac:dyDescent="0.3">
      <c r="A70" s="197"/>
      <c r="B70" s="42"/>
      <c r="C70" s="134"/>
      <c r="D70" s="152"/>
      <c r="E70" s="30"/>
      <c r="F70" s="21"/>
      <c r="G70" s="21"/>
      <c r="H70" s="29"/>
      <c r="I70" s="190"/>
      <c r="J70" s="30"/>
    </row>
    <row r="71" spans="1:10" x14ac:dyDescent="0.3">
      <c r="A71" s="197"/>
      <c r="B71" s="42"/>
      <c r="C71" s="134"/>
      <c r="D71" s="152"/>
      <c r="E71" s="30"/>
      <c r="F71" s="21"/>
      <c r="G71" s="21"/>
      <c r="H71" s="29"/>
      <c r="I71" s="190"/>
      <c r="J71" s="30"/>
    </row>
    <row r="72" spans="1:10" x14ac:dyDescent="0.3">
      <c r="A72" s="197"/>
      <c r="B72" s="42"/>
      <c r="C72" s="134"/>
      <c r="D72" s="152"/>
      <c r="E72" s="30"/>
      <c r="F72" s="21"/>
      <c r="G72" s="21"/>
      <c r="H72" s="29"/>
      <c r="I72" s="190"/>
      <c r="J72" s="30"/>
    </row>
    <row r="73" spans="1:10" x14ac:dyDescent="0.3">
      <c r="A73" s="197"/>
      <c r="B73" s="42"/>
      <c r="C73" s="134"/>
      <c r="D73" s="152"/>
      <c r="E73" s="30"/>
      <c r="F73" s="21"/>
      <c r="G73" s="21"/>
      <c r="H73" s="29"/>
      <c r="I73" s="190"/>
      <c r="J73" s="30"/>
    </row>
    <row r="74" spans="1:10" x14ac:dyDescent="0.3">
      <c r="A74" s="197"/>
      <c r="B74" s="42"/>
      <c r="C74" s="134"/>
      <c r="D74" s="152"/>
      <c r="E74" s="30"/>
      <c r="F74" s="21"/>
      <c r="G74" s="21"/>
      <c r="H74" s="29"/>
      <c r="I74" s="190"/>
      <c r="J74" s="30"/>
    </row>
  </sheetData>
  <autoFilter ref="A2:J26"/>
  <sortState ref="A3:J18">
    <sortCondition ref="A3:A18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H313"/>
  <sheetViews>
    <sheetView workbookViewId="0">
      <selection sqref="A1:F238"/>
    </sheetView>
  </sheetViews>
  <sheetFormatPr defaultRowHeight="14.4" x14ac:dyDescent="0.3"/>
  <cols>
    <col min="1" max="1" width="18.33203125" style="8" bestFit="1" customWidth="1"/>
    <col min="2" max="2" width="17" bestFit="1" customWidth="1"/>
    <col min="3" max="3" width="10.109375" bestFit="1" customWidth="1"/>
    <col min="4" max="4" width="9.33203125" style="137" customWidth="1"/>
    <col min="5" max="5" width="19.6640625" bestFit="1" customWidth="1"/>
    <col min="6" max="6" width="17" style="20" bestFit="1" customWidth="1"/>
    <col min="7" max="7" width="18.33203125" style="8" bestFit="1" customWidth="1"/>
  </cols>
  <sheetData>
    <row r="1" spans="1:8" s="20" customFormat="1" x14ac:dyDescent="0.3">
      <c r="A1" s="8" t="s">
        <v>168</v>
      </c>
      <c r="B1" s="20" t="s">
        <v>169</v>
      </c>
      <c r="C1" s="20" t="s">
        <v>0</v>
      </c>
      <c r="D1" s="137" t="s">
        <v>170</v>
      </c>
      <c r="E1" s="20" t="s">
        <v>171</v>
      </c>
      <c r="F1" s="20" t="s">
        <v>186</v>
      </c>
      <c r="G1" s="8" t="s">
        <v>185</v>
      </c>
      <c r="H1" s="20" t="s">
        <v>60</v>
      </c>
    </row>
    <row r="2" spans="1:8" x14ac:dyDescent="0.3">
      <c r="A2" s="8">
        <v>43106.035949074074</v>
      </c>
      <c r="B2" s="20" t="s">
        <v>444</v>
      </c>
      <c r="C2" s="20" t="s">
        <v>687</v>
      </c>
      <c r="D2" s="137">
        <v>3680000</v>
      </c>
      <c r="E2" s="20" t="s">
        <v>465</v>
      </c>
      <c r="F2" s="20" t="s">
        <v>466</v>
      </c>
      <c r="G2" s="8" t="str">
        <f>E2&amp;" "&amp;F2</f>
        <v>HAMMOND JUSTYNN</v>
      </c>
      <c r="H2" t="str">
        <f>MID(B2,13,4)</f>
        <v>4050</v>
      </c>
    </row>
    <row r="3" spans="1:8" x14ac:dyDescent="0.3">
      <c r="A3" s="8">
        <v>43106.036770833336</v>
      </c>
      <c r="B3" s="20" t="s">
        <v>489</v>
      </c>
      <c r="C3" s="20" t="s">
        <v>688</v>
      </c>
      <c r="D3" s="137">
        <v>3320000</v>
      </c>
      <c r="E3" s="20" t="s">
        <v>363</v>
      </c>
      <c r="F3" s="20" t="s">
        <v>364</v>
      </c>
      <c r="G3" s="8" t="str">
        <f t="shared" ref="G3:G66" si="0">E3&amp;" "&amp;F3</f>
        <v>NICHOLSON WESLEY</v>
      </c>
      <c r="H3" s="20" t="str">
        <f t="shared" ref="H3:H66" si="1">MID(B3,13,4)</f>
        <v>4019</v>
      </c>
    </row>
    <row r="4" spans="1:8" x14ac:dyDescent="0.3">
      <c r="A4" s="8">
        <v>43106.046643518515</v>
      </c>
      <c r="B4" s="20" t="s">
        <v>578</v>
      </c>
      <c r="C4" s="20" t="s">
        <v>689</v>
      </c>
      <c r="D4" s="137">
        <v>3340000</v>
      </c>
      <c r="E4" s="20" t="s">
        <v>461</v>
      </c>
      <c r="F4" s="20" t="s">
        <v>462</v>
      </c>
      <c r="G4" s="8" t="str">
        <f t="shared" si="0"/>
        <v>ELBAUM MIKE</v>
      </c>
      <c r="H4" s="20" t="str">
        <f t="shared" si="1"/>
        <v>4015</v>
      </c>
    </row>
    <row r="5" spans="1:8" x14ac:dyDescent="0.3">
      <c r="A5" s="8">
        <v>43106.047349537039</v>
      </c>
      <c r="B5" s="20" t="s">
        <v>534</v>
      </c>
      <c r="C5" s="20" t="s">
        <v>690</v>
      </c>
      <c r="D5" s="137">
        <v>2600000</v>
      </c>
      <c r="E5" s="20" t="s">
        <v>491</v>
      </c>
      <c r="F5" s="20" t="s">
        <v>484</v>
      </c>
      <c r="G5" s="8" t="str">
        <f t="shared" si="0"/>
        <v>DAVIDSON DAVID</v>
      </c>
      <c r="H5" s="20" t="str">
        <f t="shared" si="1"/>
        <v>4002</v>
      </c>
    </row>
    <row r="6" spans="1:8" x14ac:dyDescent="0.3">
      <c r="A6" s="8">
        <v>43106.069594907407</v>
      </c>
      <c r="B6" s="20" t="s">
        <v>490</v>
      </c>
      <c r="C6" s="20" t="s">
        <v>691</v>
      </c>
      <c r="D6" s="137">
        <v>3320000</v>
      </c>
      <c r="E6" s="20" t="s">
        <v>363</v>
      </c>
      <c r="F6" s="20" t="s">
        <v>364</v>
      </c>
      <c r="G6" s="8" t="str">
        <f t="shared" si="0"/>
        <v>NICHOLSON WESLEY</v>
      </c>
      <c r="H6" s="20" t="str">
        <f t="shared" si="1"/>
        <v>4020</v>
      </c>
    </row>
    <row r="7" spans="1:8" x14ac:dyDescent="0.3">
      <c r="A7" s="8">
        <v>43106.076863425929</v>
      </c>
      <c r="B7" s="20" t="s">
        <v>443</v>
      </c>
      <c r="C7" s="20" t="s">
        <v>692</v>
      </c>
      <c r="D7" s="137">
        <v>3680000</v>
      </c>
      <c r="E7" s="20" t="s">
        <v>465</v>
      </c>
      <c r="F7" s="20" t="s">
        <v>466</v>
      </c>
      <c r="G7" s="8" t="str">
        <f t="shared" si="0"/>
        <v>HAMMOND JUSTYNN</v>
      </c>
      <c r="H7" s="20" t="str">
        <f t="shared" si="1"/>
        <v>4049</v>
      </c>
    </row>
    <row r="8" spans="1:8" x14ac:dyDescent="0.3">
      <c r="A8" s="8">
        <v>43106.086585648147</v>
      </c>
      <c r="B8" s="20" t="s">
        <v>585</v>
      </c>
      <c r="C8" s="20" t="s">
        <v>693</v>
      </c>
      <c r="D8" s="137">
        <v>3340000</v>
      </c>
      <c r="E8" s="20" t="s">
        <v>461</v>
      </c>
      <c r="F8" s="20" t="s">
        <v>462</v>
      </c>
      <c r="G8" s="8" t="str">
        <f t="shared" si="0"/>
        <v>ELBAUM MIKE</v>
      </c>
      <c r="H8" s="20" t="str">
        <f t="shared" si="1"/>
        <v>4016</v>
      </c>
    </row>
    <row r="9" spans="1:8" ht="15" thickBot="1" x14ac:dyDescent="0.35">
      <c r="A9" s="24">
        <v>43106.113958333335</v>
      </c>
      <c r="B9" s="20" t="s">
        <v>444</v>
      </c>
      <c r="C9" s="20" t="s">
        <v>694</v>
      </c>
      <c r="D9" s="137">
        <v>3680000</v>
      </c>
      <c r="E9" s="20" t="s">
        <v>465</v>
      </c>
      <c r="F9" s="20" t="s">
        <v>466</v>
      </c>
      <c r="G9" s="8" t="str">
        <f t="shared" si="0"/>
        <v>HAMMOND JUSTYNN</v>
      </c>
      <c r="H9" s="20" t="str">
        <f t="shared" si="1"/>
        <v>4050</v>
      </c>
    </row>
    <row r="10" spans="1:8" x14ac:dyDescent="0.3">
      <c r="A10" s="8">
        <v>43106.11822916667</v>
      </c>
      <c r="B10" s="20" t="s">
        <v>503</v>
      </c>
      <c r="C10" s="20" t="s">
        <v>695</v>
      </c>
      <c r="D10" s="137">
        <v>3120000</v>
      </c>
      <c r="E10" s="20" t="s">
        <v>369</v>
      </c>
      <c r="F10" s="20" t="s">
        <v>696</v>
      </c>
      <c r="G10" s="8" t="str">
        <f t="shared" si="0"/>
        <v>THOMPSON LESTER</v>
      </c>
      <c r="H10" s="20" t="str">
        <f t="shared" si="1"/>
        <v>4033</v>
      </c>
    </row>
    <row r="11" spans="1:8" x14ac:dyDescent="0.3">
      <c r="A11" s="8">
        <v>43106.132523148146</v>
      </c>
      <c r="B11" s="20" t="s">
        <v>535</v>
      </c>
      <c r="C11" s="20" t="s">
        <v>669</v>
      </c>
      <c r="D11" s="137">
        <v>1780000</v>
      </c>
      <c r="E11" s="20" t="s">
        <v>545</v>
      </c>
      <c r="F11" s="20" t="s">
        <v>546</v>
      </c>
      <c r="G11" s="8" t="str">
        <f t="shared" si="0"/>
        <v>DE LA ROSA ALEX</v>
      </c>
      <c r="H11" s="20" t="str">
        <f t="shared" si="1"/>
        <v>4034</v>
      </c>
    </row>
    <row r="12" spans="1:8" x14ac:dyDescent="0.3">
      <c r="A12" s="8">
        <v>43106.133738425924</v>
      </c>
      <c r="B12" s="20" t="s">
        <v>360</v>
      </c>
      <c r="C12" s="20" t="s">
        <v>697</v>
      </c>
      <c r="D12" s="137">
        <v>3120000</v>
      </c>
      <c r="E12" s="20" t="s">
        <v>369</v>
      </c>
      <c r="F12" s="20" t="s">
        <v>696</v>
      </c>
      <c r="G12" s="8" t="str">
        <f t="shared" si="0"/>
        <v>THOMPSON LESTER</v>
      </c>
      <c r="H12" s="20" t="str">
        <f t="shared" si="1"/>
        <v>4018</v>
      </c>
    </row>
    <row r="13" spans="1:8" x14ac:dyDescent="0.3">
      <c r="A13" s="8">
        <v>43106.135740740741</v>
      </c>
      <c r="B13" s="20" t="s">
        <v>360</v>
      </c>
      <c r="C13" s="20" t="s">
        <v>697</v>
      </c>
      <c r="D13" s="137">
        <v>3120000</v>
      </c>
      <c r="E13" s="20" t="s">
        <v>369</v>
      </c>
      <c r="F13" s="20" t="s">
        <v>696</v>
      </c>
      <c r="G13" s="8" t="str">
        <f t="shared" si="0"/>
        <v>THOMPSON LESTER</v>
      </c>
      <c r="H13" s="20" t="str">
        <f t="shared" si="1"/>
        <v>4018</v>
      </c>
    </row>
    <row r="14" spans="1:8" x14ac:dyDescent="0.3">
      <c r="A14" s="8">
        <v>43106.141388888886</v>
      </c>
      <c r="B14" s="20" t="s">
        <v>503</v>
      </c>
      <c r="C14" s="20" t="s">
        <v>669</v>
      </c>
      <c r="D14" s="137">
        <v>1780000</v>
      </c>
      <c r="E14" s="20" t="s">
        <v>545</v>
      </c>
      <c r="F14" s="20" t="s">
        <v>546</v>
      </c>
      <c r="G14" s="8" t="str">
        <f t="shared" si="0"/>
        <v>DE LA ROSA ALEX</v>
      </c>
      <c r="H14" s="20" t="str">
        <f t="shared" si="1"/>
        <v>4033</v>
      </c>
    </row>
    <row r="15" spans="1:8" x14ac:dyDescent="0.3">
      <c r="A15" s="8">
        <v>43106.143287037034</v>
      </c>
      <c r="B15" s="20" t="s">
        <v>517</v>
      </c>
      <c r="C15" s="20" t="s">
        <v>698</v>
      </c>
      <c r="D15" s="137">
        <v>3300000</v>
      </c>
      <c r="E15" s="20" t="s">
        <v>699</v>
      </c>
      <c r="F15" s="20" t="s">
        <v>700</v>
      </c>
      <c r="G15" s="8" t="str">
        <f t="shared" si="0"/>
        <v>LANGERAK WILLIAM</v>
      </c>
      <c r="H15" s="20" t="str">
        <f t="shared" si="1"/>
        <v>4063</v>
      </c>
    </row>
    <row r="16" spans="1:8" x14ac:dyDescent="0.3">
      <c r="A16" s="8">
        <v>43106.145601851851</v>
      </c>
      <c r="B16" s="20" t="s">
        <v>517</v>
      </c>
      <c r="C16" s="20" t="s">
        <v>698</v>
      </c>
      <c r="D16" s="137">
        <v>3300000</v>
      </c>
      <c r="E16" s="20" t="s">
        <v>699</v>
      </c>
      <c r="F16" s="20" t="s">
        <v>700</v>
      </c>
      <c r="G16" s="8" t="str">
        <f t="shared" si="0"/>
        <v>LANGERAK WILLIAM</v>
      </c>
      <c r="H16" s="20" t="str">
        <f t="shared" si="1"/>
        <v>4063</v>
      </c>
    </row>
    <row r="17" spans="1:8" x14ac:dyDescent="0.3">
      <c r="A17" s="8">
        <v>43106.156076388892</v>
      </c>
      <c r="B17" s="20" t="s">
        <v>504</v>
      </c>
      <c r="C17" s="20" t="s">
        <v>701</v>
      </c>
      <c r="D17" s="137">
        <v>3300000</v>
      </c>
      <c r="E17" s="20" t="s">
        <v>699</v>
      </c>
      <c r="F17" s="20" t="s">
        <v>700</v>
      </c>
      <c r="G17" s="8" t="str">
        <f t="shared" si="0"/>
        <v>LANGERAK WILLIAM</v>
      </c>
      <c r="H17" s="20" t="str">
        <f t="shared" si="1"/>
        <v>4064</v>
      </c>
    </row>
    <row r="18" spans="1:8" x14ac:dyDescent="0.3">
      <c r="A18" s="8">
        <v>43106.157557870371</v>
      </c>
      <c r="B18" s="20" t="s">
        <v>386</v>
      </c>
      <c r="C18" s="20" t="s">
        <v>702</v>
      </c>
      <c r="D18" s="137">
        <v>2440000</v>
      </c>
      <c r="E18" s="20" t="s">
        <v>450</v>
      </c>
      <c r="F18" s="20" t="s">
        <v>451</v>
      </c>
      <c r="G18" s="8" t="str">
        <f t="shared" si="0"/>
        <v>LOPES KIMBERLY</v>
      </c>
      <c r="H18" s="20" t="str">
        <f t="shared" si="1"/>
        <v>4029</v>
      </c>
    </row>
    <row r="19" spans="1:8" x14ac:dyDescent="0.3">
      <c r="A19" s="8">
        <v>43106.16983796296</v>
      </c>
      <c r="B19" s="20" t="s">
        <v>371</v>
      </c>
      <c r="C19" s="20" t="s">
        <v>703</v>
      </c>
      <c r="D19" s="137">
        <v>1100000</v>
      </c>
      <c r="E19" s="20" t="s">
        <v>536</v>
      </c>
      <c r="F19" s="20" t="s">
        <v>537</v>
      </c>
      <c r="G19" s="8" t="str">
        <f t="shared" si="0"/>
        <v>GEBRETEKLE DAGNEW</v>
      </c>
      <c r="H19" s="20" t="str">
        <f t="shared" si="1"/>
        <v>4011</v>
      </c>
    </row>
    <row r="20" spans="1:8" x14ac:dyDescent="0.3">
      <c r="A20" s="8">
        <v>43106.170173611114</v>
      </c>
      <c r="B20" s="20" t="s">
        <v>392</v>
      </c>
      <c r="C20" s="20" t="s">
        <v>704</v>
      </c>
      <c r="D20" s="137">
        <v>2440000</v>
      </c>
      <c r="E20" s="20" t="s">
        <v>450</v>
      </c>
      <c r="F20" s="20" t="s">
        <v>451</v>
      </c>
      <c r="G20" s="8" t="str">
        <f t="shared" si="0"/>
        <v>LOPES KIMBERLY</v>
      </c>
      <c r="H20" s="20" t="str">
        <f t="shared" si="1"/>
        <v>4030</v>
      </c>
    </row>
    <row r="21" spans="1:8" x14ac:dyDescent="0.3">
      <c r="A21" s="8">
        <v>43106.174386574072</v>
      </c>
      <c r="B21" s="20" t="s">
        <v>362</v>
      </c>
      <c r="C21" s="20" t="s">
        <v>705</v>
      </c>
      <c r="D21" s="137">
        <v>3120000</v>
      </c>
      <c r="E21" s="20" t="s">
        <v>369</v>
      </c>
      <c r="F21" s="20" t="s">
        <v>696</v>
      </c>
      <c r="G21" s="8" t="str">
        <f t="shared" si="0"/>
        <v>THOMPSON LESTER</v>
      </c>
      <c r="H21" s="20" t="str">
        <f t="shared" si="1"/>
        <v>4017</v>
      </c>
    </row>
    <row r="22" spans="1:8" x14ac:dyDescent="0.3">
      <c r="A22" s="26">
        <v>43106.181354166663</v>
      </c>
      <c r="B22" s="20" t="s">
        <v>580</v>
      </c>
      <c r="C22" s="20" t="s">
        <v>706</v>
      </c>
      <c r="D22" s="137">
        <v>2370000</v>
      </c>
      <c r="E22" s="20" t="s">
        <v>707</v>
      </c>
      <c r="F22" s="20" t="s">
        <v>708</v>
      </c>
      <c r="G22" s="8" t="str">
        <f t="shared" si="0"/>
        <v>DELGADO DIANAH</v>
      </c>
      <c r="H22" s="20" t="str">
        <f t="shared" si="1"/>
        <v>4043</v>
      </c>
    </row>
    <row r="23" spans="1:8" x14ac:dyDescent="0.3">
      <c r="A23" s="8">
        <v>43106.183229166665</v>
      </c>
      <c r="B23" s="20" t="s">
        <v>370</v>
      </c>
      <c r="C23" s="20" t="s">
        <v>709</v>
      </c>
      <c r="D23" s="137">
        <v>1100000</v>
      </c>
      <c r="E23" s="20" t="s">
        <v>536</v>
      </c>
      <c r="F23" s="20" t="s">
        <v>537</v>
      </c>
      <c r="G23" s="8" t="str">
        <f t="shared" si="0"/>
        <v>GEBRETEKLE DAGNEW</v>
      </c>
      <c r="H23" s="20" t="str">
        <f t="shared" si="1"/>
        <v>4012</v>
      </c>
    </row>
    <row r="24" spans="1:8" x14ac:dyDescent="0.3">
      <c r="A24" s="8">
        <v>43106.185497685183</v>
      </c>
      <c r="B24" s="20" t="s">
        <v>517</v>
      </c>
      <c r="C24" s="20" t="s">
        <v>710</v>
      </c>
      <c r="D24" s="137">
        <v>3300000</v>
      </c>
      <c r="E24" s="20" t="s">
        <v>699</v>
      </c>
      <c r="F24" s="20" t="s">
        <v>700</v>
      </c>
      <c r="G24" s="8" t="str">
        <f t="shared" si="0"/>
        <v>LANGERAK WILLIAM</v>
      </c>
      <c r="H24" s="20" t="str">
        <f t="shared" si="1"/>
        <v>4063</v>
      </c>
    </row>
    <row r="25" spans="1:8" x14ac:dyDescent="0.3">
      <c r="A25" s="8">
        <v>43106.193726851852</v>
      </c>
      <c r="B25" s="20" t="s">
        <v>478</v>
      </c>
      <c r="C25" s="20" t="s">
        <v>711</v>
      </c>
      <c r="D25" s="137">
        <v>2370000</v>
      </c>
      <c r="E25" s="20" t="s">
        <v>707</v>
      </c>
      <c r="F25" s="20" t="s">
        <v>708</v>
      </c>
      <c r="G25" s="8" t="str">
        <f t="shared" si="0"/>
        <v>DELGADO DIANAH</v>
      </c>
      <c r="H25" s="20" t="str">
        <f t="shared" si="1"/>
        <v>4044</v>
      </c>
    </row>
    <row r="26" spans="1:8" x14ac:dyDescent="0.3">
      <c r="A26" s="8">
        <v>43106.201898148145</v>
      </c>
      <c r="B26" s="20" t="s">
        <v>584</v>
      </c>
      <c r="C26" s="20" t="s">
        <v>712</v>
      </c>
      <c r="D26" s="137">
        <v>2560000</v>
      </c>
      <c r="E26" s="20" t="s">
        <v>713</v>
      </c>
      <c r="F26" s="20" t="s">
        <v>714</v>
      </c>
      <c r="G26" s="8" t="str">
        <f t="shared" si="0"/>
        <v>MACDONALD THOMAS</v>
      </c>
      <c r="H26" s="20" t="str">
        <f t="shared" si="1"/>
        <v>4031</v>
      </c>
    </row>
    <row r="27" spans="1:8" x14ac:dyDescent="0.3">
      <c r="A27" s="8">
        <v>43106.206932870373</v>
      </c>
      <c r="B27" s="20" t="s">
        <v>360</v>
      </c>
      <c r="C27" s="20" t="s">
        <v>715</v>
      </c>
      <c r="D27" s="137">
        <v>3120000</v>
      </c>
      <c r="E27" s="20" t="s">
        <v>369</v>
      </c>
      <c r="F27" s="20" t="s">
        <v>696</v>
      </c>
      <c r="G27" s="8" t="str">
        <f t="shared" si="0"/>
        <v>THOMPSON LESTER</v>
      </c>
      <c r="H27" s="20" t="str">
        <f t="shared" si="1"/>
        <v>4018</v>
      </c>
    </row>
    <row r="28" spans="1:8" x14ac:dyDescent="0.3">
      <c r="A28" s="8">
        <v>43106.215092592596</v>
      </c>
      <c r="B28" s="20" t="s">
        <v>386</v>
      </c>
      <c r="C28" s="20" t="s">
        <v>716</v>
      </c>
      <c r="D28" s="137">
        <v>2440000</v>
      </c>
      <c r="E28" s="20" t="s">
        <v>450</v>
      </c>
      <c r="F28" s="20" t="s">
        <v>451</v>
      </c>
      <c r="G28" s="8" t="str">
        <f t="shared" si="0"/>
        <v>LOPES KIMBERLY</v>
      </c>
      <c r="H28" s="20" t="str">
        <f t="shared" si="1"/>
        <v>4029</v>
      </c>
    </row>
    <row r="29" spans="1:8" x14ac:dyDescent="0.3">
      <c r="A29" s="8">
        <v>43106.215694444443</v>
      </c>
      <c r="B29" s="20" t="s">
        <v>579</v>
      </c>
      <c r="C29" s="20" t="s">
        <v>717</v>
      </c>
      <c r="D29" s="137">
        <v>2560000</v>
      </c>
      <c r="E29" s="20" t="s">
        <v>713</v>
      </c>
      <c r="F29" s="20" t="s">
        <v>714</v>
      </c>
      <c r="G29" s="8" t="str">
        <f t="shared" si="0"/>
        <v>MACDONALD THOMAS</v>
      </c>
      <c r="H29" s="20" t="str">
        <f t="shared" si="1"/>
        <v>4032</v>
      </c>
    </row>
    <row r="30" spans="1:8" x14ac:dyDescent="0.3">
      <c r="A30" s="8">
        <v>43106.216006944444</v>
      </c>
      <c r="B30" s="20" t="s">
        <v>371</v>
      </c>
      <c r="C30" s="20" t="s">
        <v>718</v>
      </c>
      <c r="D30" s="137">
        <v>1100000</v>
      </c>
      <c r="E30" s="20" t="s">
        <v>536</v>
      </c>
      <c r="F30" s="20" t="s">
        <v>537</v>
      </c>
      <c r="G30" s="8" t="str">
        <f t="shared" si="0"/>
        <v>GEBRETEKLE DAGNEW</v>
      </c>
      <c r="H30" s="20" t="str">
        <f t="shared" si="1"/>
        <v>4011</v>
      </c>
    </row>
    <row r="31" spans="1:8" x14ac:dyDescent="0.3">
      <c r="A31" s="8">
        <v>43106.217916666668</v>
      </c>
      <c r="B31" s="20" t="s">
        <v>390</v>
      </c>
      <c r="C31" s="20" t="s">
        <v>719</v>
      </c>
      <c r="D31" s="137">
        <v>3040000</v>
      </c>
      <c r="E31" s="20" t="s">
        <v>368</v>
      </c>
      <c r="F31" s="20" t="s">
        <v>583</v>
      </c>
      <c r="G31" s="8" t="str">
        <f t="shared" si="0"/>
        <v>WILLIAMS DONTE</v>
      </c>
      <c r="H31" s="20" t="str">
        <f t="shared" si="1"/>
        <v>4059</v>
      </c>
    </row>
    <row r="32" spans="1:8" x14ac:dyDescent="0.3">
      <c r="A32" s="8">
        <v>43106.224537037036</v>
      </c>
      <c r="B32" s="20" t="s">
        <v>580</v>
      </c>
      <c r="C32" s="20" t="s">
        <v>720</v>
      </c>
      <c r="D32" s="137">
        <v>2370000</v>
      </c>
      <c r="E32" s="20" t="s">
        <v>707</v>
      </c>
      <c r="F32" s="20" t="s">
        <v>708</v>
      </c>
      <c r="G32" s="8" t="str">
        <f t="shared" si="0"/>
        <v>DELGADO DIANAH</v>
      </c>
      <c r="H32" s="20" t="str">
        <f t="shared" si="1"/>
        <v>4043</v>
      </c>
    </row>
    <row r="33" spans="1:8" x14ac:dyDescent="0.3">
      <c r="A33" s="8">
        <v>43106.22488425926</v>
      </c>
      <c r="B33" s="20" t="s">
        <v>504</v>
      </c>
      <c r="C33" s="20" t="s">
        <v>721</v>
      </c>
      <c r="D33" s="137">
        <v>3300000</v>
      </c>
      <c r="E33" s="20" t="s">
        <v>699</v>
      </c>
      <c r="F33" s="20" t="s">
        <v>700</v>
      </c>
      <c r="G33" s="8" t="str">
        <f t="shared" si="0"/>
        <v>LANGERAK WILLIAM</v>
      </c>
      <c r="H33" s="20" t="str">
        <f t="shared" si="1"/>
        <v>4064</v>
      </c>
    </row>
    <row r="34" spans="1:8" x14ac:dyDescent="0.3">
      <c r="A34" s="8">
        <v>43106.225312499999</v>
      </c>
      <c r="B34" s="20" t="s">
        <v>582</v>
      </c>
      <c r="C34" s="20" t="s">
        <v>722</v>
      </c>
      <c r="D34" s="137">
        <v>3090000</v>
      </c>
      <c r="E34" s="20" t="s">
        <v>723</v>
      </c>
      <c r="F34" s="20" t="s">
        <v>724</v>
      </c>
      <c r="G34" s="8" t="str">
        <f t="shared" si="0"/>
        <v>LAMAR NEKESHA</v>
      </c>
      <c r="H34" s="20" t="str">
        <f t="shared" si="1"/>
        <v>4056</v>
      </c>
    </row>
    <row r="35" spans="1:8" x14ac:dyDescent="0.3">
      <c r="A35" s="8">
        <v>43106.234722222223</v>
      </c>
      <c r="B35" s="20" t="s">
        <v>357</v>
      </c>
      <c r="C35" s="20" t="s">
        <v>725</v>
      </c>
      <c r="D35" s="137">
        <v>3040000</v>
      </c>
      <c r="E35" s="20" t="s">
        <v>368</v>
      </c>
      <c r="F35" s="20" t="s">
        <v>583</v>
      </c>
      <c r="G35" s="8" t="str">
        <f t="shared" si="0"/>
        <v>WILLIAMS DONTE</v>
      </c>
      <c r="H35" s="20" t="str">
        <f t="shared" si="1"/>
        <v>4060</v>
      </c>
    </row>
    <row r="36" spans="1:8" x14ac:dyDescent="0.3">
      <c r="A36" s="8">
        <v>43106.235879629632</v>
      </c>
      <c r="B36" s="20" t="s">
        <v>351</v>
      </c>
      <c r="C36" s="20" t="s">
        <v>726</v>
      </c>
      <c r="D36" s="137">
        <v>3090000</v>
      </c>
      <c r="E36" s="20" t="s">
        <v>723</v>
      </c>
      <c r="F36" s="20" t="s">
        <v>724</v>
      </c>
      <c r="G36" s="8" t="str">
        <f t="shared" si="0"/>
        <v>LAMAR NEKESHA</v>
      </c>
      <c r="H36" s="20" t="str">
        <f t="shared" si="1"/>
        <v>4055</v>
      </c>
    </row>
    <row r="37" spans="1:8" x14ac:dyDescent="0.3">
      <c r="A37" s="8">
        <v>43106.244745370372</v>
      </c>
      <c r="B37" s="20" t="s">
        <v>392</v>
      </c>
      <c r="C37" s="20" t="s">
        <v>659</v>
      </c>
      <c r="D37" s="137">
        <v>2440000</v>
      </c>
      <c r="E37" s="20" t="s">
        <v>450</v>
      </c>
      <c r="F37" s="20" t="s">
        <v>451</v>
      </c>
      <c r="G37" s="8" t="str">
        <f t="shared" si="0"/>
        <v>LOPES KIMBERLY</v>
      </c>
      <c r="H37" s="20" t="str">
        <f t="shared" si="1"/>
        <v>4030</v>
      </c>
    </row>
    <row r="38" spans="1:8" x14ac:dyDescent="0.3">
      <c r="A38" s="8">
        <v>43106.246990740743</v>
      </c>
      <c r="B38" s="20" t="s">
        <v>362</v>
      </c>
      <c r="C38" s="20" t="s">
        <v>660</v>
      </c>
      <c r="D38" s="137">
        <v>3120000</v>
      </c>
      <c r="E38" s="20" t="s">
        <v>369</v>
      </c>
      <c r="F38" s="20" t="s">
        <v>696</v>
      </c>
      <c r="G38" s="8" t="str">
        <f t="shared" si="0"/>
        <v>THOMPSON LESTER</v>
      </c>
      <c r="H38" s="20" t="str">
        <f t="shared" si="1"/>
        <v>4017</v>
      </c>
    </row>
    <row r="39" spans="1:8" x14ac:dyDescent="0.3">
      <c r="A39" s="8">
        <v>43106.248668981483</v>
      </c>
      <c r="B39" s="20" t="s">
        <v>582</v>
      </c>
      <c r="C39" s="20" t="s">
        <v>727</v>
      </c>
      <c r="D39" s="137">
        <v>3090000</v>
      </c>
      <c r="E39" s="20" t="s">
        <v>723</v>
      </c>
      <c r="F39" s="20" t="s">
        <v>724</v>
      </c>
      <c r="G39" s="8" t="str">
        <f t="shared" si="0"/>
        <v>LAMAR NEKESHA</v>
      </c>
      <c r="H39" s="20" t="str">
        <f t="shared" si="1"/>
        <v>4056</v>
      </c>
    </row>
    <row r="40" spans="1:8" x14ac:dyDescent="0.3">
      <c r="A40" s="8">
        <v>43106.255983796298</v>
      </c>
      <c r="B40" s="25" t="s">
        <v>517</v>
      </c>
      <c r="C40" s="20" t="s">
        <v>728</v>
      </c>
      <c r="D40" s="137">
        <v>3300000</v>
      </c>
      <c r="E40" s="20" t="s">
        <v>699</v>
      </c>
      <c r="F40" s="20" t="s">
        <v>700</v>
      </c>
      <c r="G40" s="8" t="str">
        <f t="shared" si="0"/>
        <v>LANGERAK WILLIAM</v>
      </c>
      <c r="H40" s="20" t="str">
        <f t="shared" si="1"/>
        <v>4063</v>
      </c>
    </row>
    <row r="41" spans="1:8" x14ac:dyDescent="0.3">
      <c r="A41" s="8">
        <v>43106.256273148145</v>
      </c>
      <c r="B41" s="20" t="s">
        <v>370</v>
      </c>
      <c r="C41" s="20" t="s">
        <v>729</v>
      </c>
      <c r="D41" s="137">
        <v>1100000</v>
      </c>
      <c r="E41" s="20" t="s">
        <v>536</v>
      </c>
      <c r="F41" s="20" t="s">
        <v>537</v>
      </c>
      <c r="G41" s="8" t="str">
        <f t="shared" si="0"/>
        <v>GEBRETEKLE DAGNEW</v>
      </c>
      <c r="H41" s="20" t="str">
        <f t="shared" si="1"/>
        <v>4012</v>
      </c>
    </row>
    <row r="42" spans="1:8" x14ac:dyDescent="0.3">
      <c r="A42" s="8">
        <v>43106.258136574077</v>
      </c>
      <c r="B42" s="20" t="s">
        <v>584</v>
      </c>
      <c r="C42" s="20" t="s">
        <v>730</v>
      </c>
      <c r="D42" s="137">
        <v>2560000</v>
      </c>
      <c r="E42" s="20" t="s">
        <v>713</v>
      </c>
      <c r="F42" s="20" t="s">
        <v>714</v>
      </c>
      <c r="G42" s="8" t="str">
        <f t="shared" si="0"/>
        <v>MACDONALD THOMAS</v>
      </c>
      <c r="H42" s="20" t="str">
        <f t="shared" si="1"/>
        <v>4031</v>
      </c>
    </row>
    <row r="43" spans="1:8" x14ac:dyDescent="0.3">
      <c r="A43" s="8">
        <v>43106.2658912037</v>
      </c>
      <c r="B43" s="20" t="s">
        <v>478</v>
      </c>
      <c r="C43" s="20" t="s">
        <v>731</v>
      </c>
      <c r="D43" s="137">
        <v>1810000</v>
      </c>
      <c r="E43" s="20" t="s">
        <v>540</v>
      </c>
      <c r="F43" s="20" t="s">
        <v>395</v>
      </c>
      <c r="G43" s="8" t="str">
        <f t="shared" si="0"/>
        <v>NEWELL JAMES</v>
      </c>
      <c r="H43" s="20" t="str">
        <f t="shared" si="1"/>
        <v>4044</v>
      </c>
    </row>
    <row r="44" spans="1:8" x14ac:dyDescent="0.3">
      <c r="A44" s="8">
        <v>43106.267372685186</v>
      </c>
      <c r="B44" s="20" t="s">
        <v>351</v>
      </c>
      <c r="C44" s="20" t="s">
        <v>732</v>
      </c>
      <c r="D44" s="137">
        <v>3090000</v>
      </c>
      <c r="E44" s="20" t="s">
        <v>723</v>
      </c>
      <c r="F44" s="20" t="s">
        <v>724</v>
      </c>
      <c r="G44" s="8" t="str">
        <f t="shared" si="0"/>
        <v>LAMAR NEKESHA</v>
      </c>
      <c r="H44" s="20" t="str">
        <f t="shared" si="1"/>
        <v>4055</v>
      </c>
    </row>
    <row r="45" spans="1:8" x14ac:dyDescent="0.3">
      <c r="A45" s="8">
        <v>43106.276018518518</v>
      </c>
      <c r="B45" s="20" t="s">
        <v>390</v>
      </c>
      <c r="C45" s="20" t="s">
        <v>733</v>
      </c>
      <c r="D45" s="137">
        <v>3040000</v>
      </c>
      <c r="E45" s="20" t="s">
        <v>368</v>
      </c>
      <c r="F45" s="20" t="s">
        <v>583</v>
      </c>
      <c r="G45" s="8" t="str">
        <f t="shared" si="0"/>
        <v>WILLIAMS DONTE</v>
      </c>
      <c r="H45" s="20" t="str">
        <f t="shared" si="1"/>
        <v>4059</v>
      </c>
    </row>
    <row r="46" spans="1:8" x14ac:dyDescent="0.3">
      <c r="A46" s="8">
        <v>43106.277141203704</v>
      </c>
      <c r="B46" s="20" t="s">
        <v>386</v>
      </c>
      <c r="C46" s="20" t="s">
        <v>734</v>
      </c>
      <c r="D46" s="137">
        <v>2440000</v>
      </c>
      <c r="E46" s="20" t="s">
        <v>450</v>
      </c>
      <c r="F46" s="20" t="s">
        <v>451</v>
      </c>
      <c r="G46" s="8" t="str">
        <f t="shared" si="0"/>
        <v>LOPES KIMBERLY</v>
      </c>
      <c r="H46" s="20" t="str">
        <f t="shared" si="1"/>
        <v>4029</v>
      </c>
    </row>
    <row r="47" spans="1:8" x14ac:dyDescent="0.3">
      <c r="A47" s="8">
        <v>43106.280231481483</v>
      </c>
      <c r="B47" s="20" t="s">
        <v>360</v>
      </c>
      <c r="C47" s="20" t="s">
        <v>661</v>
      </c>
      <c r="D47" s="137">
        <v>3120000</v>
      </c>
      <c r="E47" s="20" t="s">
        <v>369</v>
      </c>
      <c r="F47" s="20" t="s">
        <v>696</v>
      </c>
      <c r="G47" s="8" t="str">
        <f t="shared" si="0"/>
        <v>THOMPSON LESTER</v>
      </c>
      <c r="H47" s="20" t="str">
        <f t="shared" si="1"/>
        <v>4018</v>
      </c>
    </row>
    <row r="48" spans="1:8" x14ac:dyDescent="0.3">
      <c r="A48" s="8">
        <v>43106.286504629628</v>
      </c>
      <c r="B48" s="20" t="s">
        <v>371</v>
      </c>
      <c r="C48" s="20" t="s">
        <v>735</v>
      </c>
      <c r="D48" s="137">
        <v>1100000</v>
      </c>
      <c r="E48" s="20" t="s">
        <v>536</v>
      </c>
      <c r="F48" s="20" t="s">
        <v>537</v>
      </c>
      <c r="G48" s="8" t="str">
        <f t="shared" si="0"/>
        <v>GEBRETEKLE DAGNEW</v>
      </c>
      <c r="H48" s="20" t="str">
        <f t="shared" si="1"/>
        <v>4011</v>
      </c>
    </row>
    <row r="49" spans="1:8" x14ac:dyDescent="0.3">
      <c r="A49" s="8">
        <v>43106.290497685186</v>
      </c>
      <c r="B49" s="20" t="s">
        <v>582</v>
      </c>
      <c r="C49" s="20" t="s">
        <v>662</v>
      </c>
      <c r="D49" s="137">
        <v>3090000</v>
      </c>
      <c r="E49" s="20" t="s">
        <v>723</v>
      </c>
      <c r="F49" s="20" t="s">
        <v>724</v>
      </c>
      <c r="G49" s="8" t="str">
        <f t="shared" si="0"/>
        <v>LAMAR NEKESHA</v>
      </c>
      <c r="H49" s="20" t="str">
        <f t="shared" si="1"/>
        <v>4056</v>
      </c>
    </row>
    <row r="50" spans="1:8" x14ac:dyDescent="0.3">
      <c r="A50" s="8">
        <v>43106.290509259263</v>
      </c>
      <c r="B50" s="20" t="s">
        <v>579</v>
      </c>
      <c r="C50" s="20" t="s">
        <v>736</v>
      </c>
      <c r="D50" s="137">
        <v>2560000</v>
      </c>
      <c r="E50" s="20" t="s">
        <v>713</v>
      </c>
      <c r="F50" s="20" t="s">
        <v>714</v>
      </c>
      <c r="G50" s="8" t="str">
        <f t="shared" si="0"/>
        <v>MACDONALD THOMAS</v>
      </c>
      <c r="H50" s="20" t="str">
        <f t="shared" si="1"/>
        <v>4032</v>
      </c>
    </row>
    <row r="51" spans="1:8" x14ac:dyDescent="0.3">
      <c r="A51" s="8">
        <v>43106.296585648146</v>
      </c>
      <c r="B51" s="20" t="s">
        <v>504</v>
      </c>
      <c r="C51" s="20" t="s">
        <v>737</v>
      </c>
      <c r="D51" s="137">
        <v>3300000</v>
      </c>
      <c r="E51" s="20" t="s">
        <v>699</v>
      </c>
      <c r="F51" s="20" t="s">
        <v>700</v>
      </c>
      <c r="G51" s="8" t="str">
        <f t="shared" si="0"/>
        <v>LANGERAK WILLIAM</v>
      </c>
      <c r="H51" s="20" t="str">
        <f t="shared" si="1"/>
        <v>4064</v>
      </c>
    </row>
    <row r="52" spans="1:8" x14ac:dyDescent="0.3">
      <c r="A52" s="8">
        <v>43106.299224537041</v>
      </c>
      <c r="B52" s="20" t="s">
        <v>504</v>
      </c>
      <c r="C52" s="20" t="s">
        <v>737</v>
      </c>
      <c r="D52" s="137">
        <v>3300000</v>
      </c>
      <c r="E52" s="20" t="s">
        <v>699</v>
      </c>
      <c r="F52" s="20" t="s">
        <v>700</v>
      </c>
      <c r="G52" s="8" t="str">
        <f t="shared" si="0"/>
        <v>LANGERAK WILLIAM</v>
      </c>
      <c r="H52" s="20" t="str">
        <f t="shared" si="1"/>
        <v>4064</v>
      </c>
    </row>
    <row r="53" spans="1:8" x14ac:dyDescent="0.3">
      <c r="A53" s="8">
        <v>43106.300775462965</v>
      </c>
      <c r="B53" s="20" t="s">
        <v>580</v>
      </c>
      <c r="C53" s="20" t="s">
        <v>738</v>
      </c>
      <c r="D53" s="137">
        <v>2370000</v>
      </c>
      <c r="E53" s="20" t="s">
        <v>707</v>
      </c>
      <c r="F53" s="20" t="s">
        <v>708</v>
      </c>
      <c r="G53" s="8" t="str">
        <f t="shared" si="0"/>
        <v>DELGADO DIANAH</v>
      </c>
      <c r="H53" s="20" t="str">
        <f t="shared" si="1"/>
        <v>4043</v>
      </c>
    </row>
    <row r="54" spans="1:8" x14ac:dyDescent="0.3">
      <c r="A54" s="8">
        <v>43106.304525462961</v>
      </c>
      <c r="B54" s="20" t="s">
        <v>580</v>
      </c>
      <c r="C54" s="20" t="s">
        <v>664</v>
      </c>
      <c r="D54" s="137">
        <v>1810000</v>
      </c>
      <c r="E54" s="20" t="s">
        <v>540</v>
      </c>
      <c r="F54" s="20" t="s">
        <v>395</v>
      </c>
      <c r="G54" s="8" t="str">
        <f t="shared" si="0"/>
        <v>NEWELL JAMES</v>
      </c>
      <c r="H54" s="20" t="str">
        <f t="shared" si="1"/>
        <v>4043</v>
      </c>
    </row>
    <row r="55" spans="1:8" x14ac:dyDescent="0.3">
      <c r="A55" s="8">
        <v>43106.308252314811</v>
      </c>
      <c r="B55" s="20" t="s">
        <v>357</v>
      </c>
      <c r="C55" s="20" t="s">
        <v>739</v>
      </c>
      <c r="D55" s="137">
        <v>3040000</v>
      </c>
      <c r="E55" s="20" t="s">
        <v>368</v>
      </c>
      <c r="F55" s="20" t="s">
        <v>583</v>
      </c>
      <c r="G55" s="8" t="str">
        <f t="shared" si="0"/>
        <v>WILLIAMS DONTE</v>
      </c>
      <c r="H55" s="20" t="str">
        <f t="shared" si="1"/>
        <v>4060</v>
      </c>
    </row>
    <row r="56" spans="1:8" x14ac:dyDescent="0.3">
      <c r="A56" s="8">
        <v>43106.309027777781</v>
      </c>
      <c r="B56" s="20" t="s">
        <v>351</v>
      </c>
      <c r="C56" s="20" t="s">
        <v>740</v>
      </c>
      <c r="D56" s="137">
        <v>3090000</v>
      </c>
      <c r="E56" s="20" t="s">
        <v>723</v>
      </c>
      <c r="F56" s="20" t="s">
        <v>724</v>
      </c>
      <c r="G56" s="8" t="str">
        <f t="shared" si="0"/>
        <v>LAMAR NEKESHA</v>
      </c>
      <c r="H56" s="20" t="str">
        <f t="shared" si="1"/>
        <v>4055</v>
      </c>
    </row>
    <row r="57" spans="1:8" x14ac:dyDescent="0.3">
      <c r="A57" s="8">
        <v>43106.316840277781</v>
      </c>
      <c r="B57" s="20" t="s">
        <v>392</v>
      </c>
      <c r="C57" s="20" t="s">
        <v>663</v>
      </c>
      <c r="D57" s="137">
        <v>2440000</v>
      </c>
      <c r="E57" s="20" t="s">
        <v>450</v>
      </c>
      <c r="F57" s="20" t="s">
        <v>451</v>
      </c>
      <c r="G57" s="8" t="str">
        <f t="shared" si="0"/>
        <v>LOPES KIMBERLY</v>
      </c>
      <c r="H57" s="20" t="str">
        <f t="shared" si="1"/>
        <v>4030</v>
      </c>
    </row>
    <row r="58" spans="1:8" x14ac:dyDescent="0.3">
      <c r="A58" s="8">
        <v>43106.320057870369</v>
      </c>
      <c r="B58" s="20" t="s">
        <v>362</v>
      </c>
      <c r="C58" s="20" t="s">
        <v>666</v>
      </c>
      <c r="D58" s="137">
        <v>3120000</v>
      </c>
      <c r="E58" s="20" t="s">
        <v>369</v>
      </c>
      <c r="F58" s="20" t="s">
        <v>696</v>
      </c>
      <c r="G58" s="8" t="str">
        <f t="shared" si="0"/>
        <v>THOMPSON LESTER</v>
      </c>
      <c r="H58" s="20" t="str">
        <f t="shared" si="1"/>
        <v>4017</v>
      </c>
    </row>
    <row r="59" spans="1:8" x14ac:dyDescent="0.3">
      <c r="A59" s="8">
        <v>43106.320057870369</v>
      </c>
      <c r="B59" s="20" t="s">
        <v>584</v>
      </c>
      <c r="C59" s="20" t="s">
        <v>741</v>
      </c>
      <c r="D59" s="137">
        <v>2560000</v>
      </c>
      <c r="E59" s="20" t="s">
        <v>713</v>
      </c>
      <c r="F59" s="20" t="s">
        <v>714</v>
      </c>
      <c r="G59" s="8" t="str">
        <f t="shared" si="0"/>
        <v>MACDONALD THOMAS</v>
      </c>
      <c r="H59" s="20" t="str">
        <f t="shared" si="1"/>
        <v>4031</v>
      </c>
    </row>
    <row r="60" spans="1:8" x14ac:dyDescent="0.3">
      <c r="A60" s="8">
        <v>43106.327974537038</v>
      </c>
      <c r="B60" s="20" t="s">
        <v>517</v>
      </c>
      <c r="C60" s="20" t="s">
        <v>742</v>
      </c>
      <c r="D60" s="137">
        <v>3300000</v>
      </c>
      <c r="E60" s="20" t="s">
        <v>699</v>
      </c>
      <c r="F60" s="20" t="s">
        <v>700</v>
      </c>
      <c r="G60" s="8" t="str">
        <f t="shared" si="0"/>
        <v>LANGERAK WILLIAM</v>
      </c>
      <c r="H60" s="20" t="str">
        <f t="shared" si="1"/>
        <v>4063</v>
      </c>
    </row>
    <row r="61" spans="1:8" x14ac:dyDescent="0.3">
      <c r="A61" s="8">
        <v>43106.330312500002</v>
      </c>
      <c r="B61" s="20" t="s">
        <v>370</v>
      </c>
      <c r="C61" s="20" t="s">
        <v>665</v>
      </c>
      <c r="D61" s="137">
        <v>1100000</v>
      </c>
      <c r="E61" s="20" t="s">
        <v>536</v>
      </c>
      <c r="F61" s="20" t="s">
        <v>537</v>
      </c>
      <c r="G61" s="8" t="str">
        <f t="shared" si="0"/>
        <v>GEBRETEKLE DAGNEW</v>
      </c>
      <c r="H61" s="20" t="str">
        <f t="shared" si="1"/>
        <v>4012</v>
      </c>
    </row>
    <row r="62" spans="1:8" x14ac:dyDescent="0.3">
      <c r="A62" s="8">
        <v>43106.339097222219</v>
      </c>
      <c r="B62" s="20" t="s">
        <v>582</v>
      </c>
      <c r="C62" s="20" t="s">
        <v>743</v>
      </c>
      <c r="D62" s="137">
        <v>3090000</v>
      </c>
      <c r="E62" s="20" t="s">
        <v>723</v>
      </c>
      <c r="F62" s="20" t="s">
        <v>724</v>
      </c>
      <c r="G62" s="8" t="str">
        <f t="shared" si="0"/>
        <v>LAMAR NEKESHA</v>
      </c>
      <c r="H62" s="20" t="str">
        <f t="shared" si="1"/>
        <v>4056</v>
      </c>
    </row>
    <row r="63" spans="1:8" x14ac:dyDescent="0.3">
      <c r="A63" s="8">
        <v>43106.341805555552</v>
      </c>
      <c r="B63" s="20" t="s">
        <v>478</v>
      </c>
      <c r="C63" s="20" t="s">
        <v>738</v>
      </c>
      <c r="D63" s="137">
        <v>2370000</v>
      </c>
      <c r="E63" s="20" t="s">
        <v>707</v>
      </c>
      <c r="F63" s="20" t="s">
        <v>708</v>
      </c>
      <c r="G63" s="8" t="str">
        <f t="shared" si="0"/>
        <v>DELGADO DIANAH</v>
      </c>
      <c r="H63" s="20" t="str">
        <f t="shared" si="1"/>
        <v>4044</v>
      </c>
    </row>
    <row r="64" spans="1:8" x14ac:dyDescent="0.3">
      <c r="A64" s="26">
        <v>43106.347731481481</v>
      </c>
      <c r="B64" s="20" t="s">
        <v>390</v>
      </c>
      <c r="C64" s="20" t="s">
        <v>744</v>
      </c>
      <c r="D64" s="137">
        <v>3040000</v>
      </c>
      <c r="E64" s="20" t="s">
        <v>368</v>
      </c>
      <c r="F64" s="20" t="s">
        <v>583</v>
      </c>
      <c r="G64" s="8" t="str">
        <f t="shared" si="0"/>
        <v>WILLIAMS DONTE</v>
      </c>
      <c r="H64" s="20" t="str">
        <f t="shared" si="1"/>
        <v>4059</v>
      </c>
    </row>
    <row r="65" spans="1:8" x14ac:dyDescent="0.3">
      <c r="A65" s="8">
        <v>43106.34820601852</v>
      </c>
      <c r="B65" s="20" t="s">
        <v>386</v>
      </c>
      <c r="C65" s="20" t="s">
        <v>745</v>
      </c>
      <c r="D65" s="137">
        <v>2440000</v>
      </c>
      <c r="E65" s="20" t="s">
        <v>450</v>
      </c>
      <c r="F65" s="20" t="s">
        <v>451</v>
      </c>
      <c r="G65" s="8" t="str">
        <f t="shared" si="0"/>
        <v>LOPES KIMBERLY</v>
      </c>
      <c r="H65" s="20" t="str">
        <f t="shared" si="1"/>
        <v>4029</v>
      </c>
    </row>
    <row r="66" spans="1:8" x14ac:dyDescent="0.3">
      <c r="A66" s="8">
        <v>43106.351377314815</v>
      </c>
      <c r="B66" s="20" t="s">
        <v>351</v>
      </c>
      <c r="C66" s="20" t="s">
        <v>667</v>
      </c>
      <c r="D66" s="137">
        <v>3090000</v>
      </c>
      <c r="E66" s="20" t="s">
        <v>723</v>
      </c>
      <c r="F66" s="20" t="s">
        <v>724</v>
      </c>
      <c r="G66" s="8" t="str">
        <f t="shared" si="0"/>
        <v>LAMAR NEKESHA</v>
      </c>
      <c r="H66" s="20" t="str">
        <f t="shared" si="1"/>
        <v>4055</v>
      </c>
    </row>
    <row r="67" spans="1:8" x14ac:dyDescent="0.3">
      <c r="A67" s="8">
        <v>43106.353101851855</v>
      </c>
      <c r="B67" s="20" t="s">
        <v>360</v>
      </c>
      <c r="C67" s="20" t="s">
        <v>746</v>
      </c>
      <c r="D67" s="137">
        <v>3120000</v>
      </c>
      <c r="E67" s="20" t="s">
        <v>369</v>
      </c>
      <c r="F67" s="20" t="s">
        <v>696</v>
      </c>
      <c r="G67" s="8" t="str">
        <f t="shared" ref="G67:G130" si="2">E67&amp;" "&amp;F67</f>
        <v>THOMPSON LESTER</v>
      </c>
      <c r="H67" s="20" t="str">
        <f t="shared" ref="H67:H130" si="3">MID(B67,13,4)</f>
        <v>4018</v>
      </c>
    </row>
    <row r="68" spans="1:8" x14ac:dyDescent="0.3">
      <c r="A68" s="8">
        <v>43106.36042824074</v>
      </c>
      <c r="B68" s="20" t="s">
        <v>386</v>
      </c>
      <c r="C68" s="20" t="s">
        <v>745</v>
      </c>
      <c r="D68" s="137">
        <v>2440000</v>
      </c>
      <c r="E68" s="20" t="s">
        <v>450</v>
      </c>
      <c r="F68" s="20" t="s">
        <v>451</v>
      </c>
      <c r="G68" s="8" t="str">
        <f t="shared" si="2"/>
        <v>LOPES KIMBERLY</v>
      </c>
      <c r="H68" s="20" t="str">
        <f t="shared" si="3"/>
        <v>4029</v>
      </c>
    </row>
    <row r="69" spans="1:8" x14ac:dyDescent="0.3">
      <c r="A69" s="8">
        <v>43106.363009259258</v>
      </c>
      <c r="B69" s="20" t="s">
        <v>371</v>
      </c>
      <c r="C69" s="20" t="s">
        <v>747</v>
      </c>
      <c r="D69" s="137">
        <v>1100000</v>
      </c>
      <c r="E69" s="20" t="s">
        <v>536</v>
      </c>
      <c r="F69" s="20" t="s">
        <v>537</v>
      </c>
      <c r="G69" s="8" t="str">
        <f t="shared" si="2"/>
        <v>GEBRETEKLE DAGNEW</v>
      </c>
      <c r="H69" s="20" t="str">
        <f t="shared" si="3"/>
        <v>4011</v>
      </c>
    </row>
    <row r="70" spans="1:8" x14ac:dyDescent="0.3">
      <c r="A70" s="8">
        <v>43106.363194444442</v>
      </c>
      <c r="B70" s="20" t="s">
        <v>579</v>
      </c>
      <c r="C70" s="20" t="s">
        <v>748</v>
      </c>
      <c r="D70" s="137">
        <v>2560000</v>
      </c>
      <c r="E70" s="20" t="s">
        <v>713</v>
      </c>
      <c r="F70" s="20" t="s">
        <v>714</v>
      </c>
      <c r="G70" s="8" t="str">
        <f t="shared" si="2"/>
        <v>MACDONALD THOMAS</v>
      </c>
      <c r="H70" s="20" t="str">
        <f t="shared" si="3"/>
        <v>4032</v>
      </c>
    </row>
    <row r="71" spans="1:8" x14ac:dyDescent="0.3">
      <c r="A71" s="8">
        <v>43106.370162037034</v>
      </c>
      <c r="B71" s="20" t="s">
        <v>504</v>
      </c>
      <c r="C71" s="20" t="s">
        <v>749</v>
      </c>
      <c r="D71" s="137">
        <v>3300000</v>
      </c>
      <c r="E71" s="20" t="s">
        <v>699</v>
      </c>
      <c r="F71" s="20" t="s">
        <v>700</v>
      </c>
      <c r="G71" s="8" t="str">
        <f t="shared" si="2"/>
        <v>LANGERAK WILLIAM</v>
      </c>
      <c r="H71" s="20" t="str">
        <f t="shared" si="3"/>
        <v>4064</v>
      </c>
    </row>
    <row r="72" spans="1:8" x14ac:dyDescent="0.3">
      <c r="A72" s="8">
        <v>43106.380844907406</v>
      </c>
      <c r="B72" s="20" t="s">
        <v>582</v>
      </c>
      <c r="C72" s="20" t="s">
        <v>750</v>
      </c>
      <c r="D72" s="137">
        <v>3090000</v>
      </c>
      <c r="E72" s="20" t="s">
        <v>723</v>
      </c>
      <c r="F72" s="20" t="s">
        <v>724</v>
      </c>
      <c r="G72" s="8" t="str">
        <f t="shared" si="2"/>
        <v>LAMAR NEKESHA</v>
      </c>
      <c r="H72" s="20" t="str">
        <f t="shared" si="3"/>
        <v>4056</v>
      </c>
    </row>
    <row r="73" spans="1:8" x14ac:dyDescent="0.3">
      <c r="A73" s="8">
        <v>43106.381608796299</v>
      </c>
      <c r="B73" s="20" t="s">
        <v>580</v>
      </c>
      <c r="C73" s="20" t="s">
        <v>751</v>
      </c>
      <c r="D73" s="137">
        <v>2370000</v>
      </c>
      <c r="E73" s="20" t="s">
        <v>707</v>
      </c>
      <c r="F73" s="20" t="s">
        <v>708</v>
      </c>
      <c r="G73" s="8" t="str">
        <f t="shared" si="2"/>
        <v>DELGADO DIANAH</v>
      </c>
      <c r="H73" s="20" t="str">
        <f t="shared" si="3"/>
        <v>4043</v>
      </c>
    </row>
    <row r="74" spans="1:8" x14ac:dyDescent="0.3">
      <c r="A74" s="8">
        <v>43106.381643518522</v>
      </c>
      <c r="B74" s="20" t="s">
        <v>357</v>
      </c>
      <c r="C74" s="20" t="s">
        <v>752</v>
      </c>
      <c r="D74" s="137">
        <v>3040000</v>
      </c>
      <c r="E74" s="20" t="s">
        <v>368</v>
      </c>
      <c r="F74" s="20" t="s">
        <v>583</v>
      </c>
      <c r="G74" s="8" t="str">
        <f t="shared" si="2"/>
        <v>WILLIAMS DONTE</v>
      </c>
      <c r="H74" s="20" t="str">
        <f t="shared" si="3"/>
        <v>4060</v>
      </c>
    </row>
    <row r="75" spans="1:8" x14ac:dyDescent="0.3">
      <c r="A75" s="8">
        <v>43106.390127314815</v>
      </c>
      <c r="B75" s="20" t="s">
        <v>392</v>
      </c>
      <c r="C75" s="20" t="s">
        <v>753</v>
      </c>
      <c r="D75" s="137">
        <v>2440000</v>
      </c>
      <c r="E75" s="20" t="s">
        <v>450</v>
      </c>
      <c r="F75" s="20" t="s">
        <v>451</v>
      </c>
      <c r="G75" s="8" t="str">
        <f t="shared" si="2"/>
        <v>LOPES KIMBERLY</v>
      </c>
      <c r="H75" s="20" t="str">
        <f t="shared" si="3"/>
        <v>4030</v>
      </c>
    </row>
    <row r="76" spans="1:8" x14ac:dyDescent="0.3">
      <c r="A76" s="8">
        <v>43106.39203703704</v>
      </c>
      <c r="B76" s="20" t="s">
        <v>351</v>
      </c>
      <c r="C76" s="20" t="s">
        <v>754</v>
      </c>
      <c r="D76" s="137">
        <v>3090000</v>
      </c>
      <c r="E76" s="20" t="s">
        <v>723</v>
      </c>
      <c r="F76" s="20" t="s">
        <v>724</v>
      </c>
      <c r="G76" s="8" t="str">
        <f t="shared" si="2"/>
        <v>LAMAR NEKESHA</v>
      </c>
      <c r="H76" s="20" t="str">
        <f t="shared" si="3"/>
        <v>4055</v>
      </c>
    </row>
    <row r="77" spans="1:8" x14ac:dyDescent="0.3">
      <c r="A77" s="8">
        <v>43106.392766203702</v>
      </c>
      <c r="B77" s="20" t="s">
        <v>362</v>
      </c>
      <c r="C77" s="20" t="s">
        <v>755</v>
      </c>
      <c r="D77" s="137">
        <v>3120000</v>
      </c>
      <c r="E77" s="20" t="s">
        <v>369</v>
      </c>
      <c r="F77" s="20" t="s">
        <v>696</v>
      </c>
      <c r="G77" s="8" t="str">
        <f t="shared" si="2"/>
        <v>THOMPSON LESTER</v>
      </c>
      <c r="H77" s="20" t="str">
        <f t="shared" si="3"/>
        <v>4017</v>
      </c>
    </row>
    <row r="78" spans="1:8" x14ac:dyDescent="0.3">
      <c r="A78" s="8">
        <v>43106.399212962962</v>
      </c>
      <c r="B78" s="20" t="s">
        <v>535</v>
      </c>
      <c r="C78" s="20" t="s">
        <v>756</v>
      </c>
      <c r="D78" s="137">
        <v>1780000</v>
      </c>
      <c r="E78" s="20" t="s">
        <v>545</v>
      </c>
      <c r="F78" s="20" t="s">
        <v>546</v>
      </c>
      <c r="G78" s="8" t="str">
        <f t="shared" si="2"/>
        <v>DE LA ROSA ALEX</v>
      </c>
      <c r="H78" s="20" t="str">
        <f t="shared" si="3"/>
        <v>4034</v>
      </c>
    </row>
    <row r="79" spans="1:8" x14ac:dyDescent="0.3">
      <c r="A79" s="8">
        <v>43106.400868055556</v>
      </c>
      <c r="B79" s="20" t="s">
        <v>370</v>
      </c>
      <c r="C79" s="20" t="s">
        <v>757</v>
      </c>
      <c r="D79" s="137">
        <v>1100000</v>
      </c>
      <c r="E79" s="20" t="s">
        <v>536</v>
      </c>
      <c r="F79" s="20" t="s">
        <v>537</v>
      </c>
      <c r="G79" s="8" t="str">
        <f t="shared" si="2"/>
        <v>GEBRETEKLE DAGNEW</v>
      </c>
      <c r="H79" s="20" t="str">
        <f t="shared" si="3"/>
        <v>4012</v>
      </c>
    </row>
    <row r="80" spans="1:8" x14ac:dyDescent="0.3">
      <c r="A80" s="8">
        <v>43106.401678240742</v>
      </c>
      <c r="B80" s="20" t="s">
        <v>517</v>
      </c>
      <c r="C80" s="20" t="s">
        <v>758</v>
      </c>
      <c r="D80" s="137">
        <v>3300000</v>
      </c>
      <c r="E80" s="20" t="s">
        <v>699</v>
      </c>
      <c r="F80" s="20" t="s">
        <v>700</v>
      </c>
      <c r="G80" s="8" t="str">
        <f t="shared" si="2"/>
        <v>LANGERAK WILLIAM</v>
      </c>
      <c r="H80" s="20" t="str">
        <f t="shared" si="3"/>
        <v>4063</v>
      </c>
    </row>
    <row r="81" spans="1:8" x14ac:dyDescent="0.3">
      <c r="A81" s="8">
        <v>43106.40185185185</v>
      </c>
      <c r="B81" s="20" t="s">
        <v>535</v>
      </c>
      <c r="C81" s="20" t="s">
        <v>756</v>
      </c>
      <c r="D81" s="137">
        <v>1780000</v>
      </c>
      <c r="E81" s="20" t="s">
        <v>545</v>
      </c>
      <c r="F81" s="20" t="s">
        <v>546</v>
      </c>
      <c r="G81" s="8" t="str">
        <f t="shared" si="2"/>
        <v>DE LA ROSA ALEX</v>
      </c>
      <c r="H81" s="20" t="str">
        <f t="shared" si="3"/>
        <v>4034</v>
      </c>
    </row>
    <row r="82" spans="1:8" x14ac:dyDescent="0.3">
      <c r="A82" s="8">
        <v>43106.402430555558</v>
      </c>
      <c r="B82" s="20" t="s">
        <v>535</v>
      </c>
      <c r="C82" s="20" t="s">
        <v>756</v>
      </c>
      <c r="D82" s="137">
        <v>1780000</v>
      </c>
      <c r="E82" s="20" t="s">
        <v>545</v>
      </c>
      <c r="F82" s="20" t="s">
        <v>546</v>
      </c>
      <c r="G82" s="8" t="str">
        <f t="shared" si="2"/>
        <v>DE LA ROSA ALEX</v>
      </c>
      <c r="H82" s="20" t="str">
        <f t="shared" si="3"/>
        <v>4034</v>
      </c>
    </row>
    <row r="83" spans="1:8" x14ac:dyDescent="0.3">
      <c r="A83" s="8">
        <v>43106.402453703704</v>
      </c>
      <c r="B83" s="20" t="s">
        <v>584</v>
      </c>
      <c r="C83" s="20" t="s">
        <v>759</v>
      </c>
      <c r="D83" s="137">
        <v>2560000</v>
      </c>
      <c r="E83" s="20" t="s">
        <v>713</v>
      </c>
      <c r="F83" s="20" t="s">
        <v>714</v>
      </c>
      <c r="G83" s="8" t="str">
        <f t="shared" si="2"/>
        <v>MACDONALD THOMAS</v>
      </c>
      <c r="H83" s="20" t="str">
        <f t="shared" si="3"/>
        <v>4031</v>
      </c>
    </row>
    <row r="84" spans="1:8" x14ac:dyDescent="0.3">
      <c r="A84" s="8">
        <v>43106.403055555558</v>
      </c>
      <c r="B84" s="20" t="s">
        <v>535</v>
      </c>
      <c r="C84" s="20" t="s">
        <v>756</v>
      </c>
      <c r="D84" s="137">
        <v>1780000</v>
      </c>
      <c r="E84" s="20" t="s">
        <v>545</v>
      </c>
      <c r="F84" s="20" t="s">
        <v>546</v>
      </c>
      <c r="G84" s="8" t="str">
        <f t="shared" si="2"/>
        <v>DE LA ROSA ALEX</v>
      </c>
      <c r="H84" s="20" t="str">
        <f t="shared" si="3"/>
        <v>4034</v>
      </c>
    </row>
    <row r="85" spans="1:8" x14ac:dyDescent="0.3">
      <c r="A85" s="8">
        <v>43106.404224537036</v>
      </c>
      <c r="B85" s="20" t="s">
        <v>535</v>
      </c>
      <c r="C85" s="20" t="s">
        <v>756</v>
      </c>
      <c r="D85" s="137">
        <v>1780000</v>
      </c>
      <c r="E85" s="20" t="s">
        <v>545</v>
      </c>
      <c r="F85" s="20" t="s">
        <v>546</v>
      </c>
      <c r="G85" s="8" t="str">
        <f t="shared" si="2"/>
        <v>DE LA ROSA ALEX</v>
      </c>
      <c r="H85" s="20" t="str">
        <f t="shared" si="3"/>
        <v>4034</v>
      </c>
    </row>
    <row r="86" spans="1:8" x14ac:dyDescent="0.3">
      <c r="A86" s="8">
        <v>43106.40488425926</v>
      </c>
      <c r="B86" s="20" t="s">
        <v>535</v>
      </c>
      <c r="C86" s="20" t="s">
        <v>756</v>
      </c>
      <c r="D86" s="137">
        <v>1780000</v>
      </c>
      <c r="E86" s="20" t="s">
        <v>545</v>
      </c>
      <c r="F86" s="20" t="s">
        <v>546</v>
      </c>
      <c r="G86" s="8" t="str">
        <f t="shared" si="2"/>
        <v>DE LA ROSA ALEX</v>
      </c>
      <c r="H86" s="20" t="str">
        <f t="shared" si="3"/>
        <v>4034</v>
      </c>
    </row>
    <row r="87" spans="1:8" x14ac:dyDescent="0.3">
      <c r="A87" s="8">
        <v>43106.406087962961</v>
      </c>
      <c r="B87" s="20" t="s">
        <v>535</v>
      </c>
      <c r="C87" s="20" t="s">
        <v>756</v>
      </c>
      <c r="D87" s="137">
        <v>1780000</v>
      </c>
      <c r="E87" s="20" t="s">
        <v>545</v>
      </c>
      <c r="F87" s="20" t="s">
        <v>546</v>
      </c>
      <c r="G87" s="8" t="str">
        <f t="shared" si="2"/>
        <v>DE LA ROSA ALEX</v>
      </c>
      <c r="H87" s="20" t="str">
        <f t="shared" si="3"/>
        <v>4034</v>
      </c>
    </row>
    <row r="88" spans="1:8" x14ac:dyDescent="0.3">
      <c r="A88" s="8">
        <v>43106.410370370373</v>
      </c>
      <c r="B88" s="20" t="s">
        <v>478</v>
      </c>
      <c r="C88" s="20" t="s">
        <v>760</v>
      </c>
      <c r="D88" s="137">
        <v>2370000</v>
      </c>
      <c r="E88" s="20" t="s">
        <v>707</v>
      </c>
      <c r="F88" s="20" t="s">
        <v>708</v>
      </c>
      <c r="G88" s="8" t="str">
        <f t="shared" si="2"/>
        <v>DELGADO DIANAH</v>
      </c>
      <c r="H88" s="20" t="str">
        <f t="shared" si="3"/>
        <v>4044</v>
      </c>
    </row>
    <row r="89" spans="1:8" x14ac:dyDescent="0.3">
      <c r="A89" s="8">
        <v>43106.411944444444</v>
      </c>
      <c r="B89" s="20" t="s">
        <v>503</v>
      </c>
      <c r="C89" s="20" t="s">
        <v>756</v>
      </c>
      <c r="D89" s="137">
        <v>1780000</v>
      </c>
      <c r="E89" s="20" t="s">
        <v>545</v>
      </c>
      <c r="F89" s="20" t="s">
        <v>546</v>
      </c>
      <c r="G89" s="8" t="str">
        <f t="shared" si="2"/>
        <v>DE LA ROSA ALEX</v>
      </c>
      <c r="H89" s="20" t="str">
        <f t="shared" si="3"/>
        <v>4033</v>
      </c>
    </row>
    <row r="90" spans="1:8" x14ac:dyDescent="0.3">
      <c r="A90" s="8">
        <v>43106.41265046296</v>
      </c>
      <c r="B90" s="20" t="s">
        <v>503</v>
      </c>
      <c r="C90" s="20" t="s">
        <v>756</v>
      </c>
      <c r="D90" s="137">
        <v>1780000</v>
      </c>
      <c r="E90" s="20" t="s">
        <v>545</v>
      </c>
      <c r="F90" s="20" t="s">
        <v>546</v>
      </c>
      <c r="G90" s="8" t="str">
        <f t="shared" si="2"/>
        <v>DE LA ROSA ALEX</v>
      </c>
      <c r="H90" s="20" t="str">
        <f t="shared" si="3"/>
        <v>4033</v>
      </c>
    </row>
    <row r="91" spans="1:8" x14ac:dyDescent="0.3">
      <c r="A91" s="8">
        <v>43106.418842592589</v>
      </c>
      <c r="B91" s="20" t="s">
        <v>390</v>
      </c>
      <c r="C91" s="20" t="s">
        <v>761</v>
      </c>
      <c r="D91" s="137">
        <v>3040000</v>
      </c>
      <c r="E91" s="20" t="s">
        <v>368</v>
      </c>
      <c r="F91" s="20" t="s">
        <v>583</v>
      </c>
      <c r="G91" s="8" t="str">
        <f t="shared" si="2"/>
        <v>WILLIAMS DONTE</v>
      </c>
      <c r="H91" s="20" t="str">
        <f t="shared" si="3"/>
        <v>4059</v>
      </c>
    </row>
    <row r="92" spans="1:8" x14ac:dyDescent="0.3">
      <c r="A92" s="8">
        <v>43106.42119212963</v>
      </c>
      <c r="B92" s="20" t="s">
        <v>590</v>
      </c>
      <c r="C92" s="20" t="s">
        <v>669</v>
      </c>
      <c r="D92" s="137">
        <v>1810000</v>
      </c>
      <c r="E92" s="20" t="s">
        <v>540</v>
      </c>
      <c r="F92" s="20" t="s">
        <v>395</v>
      </c>
      <c r="G92" s="8" t="str">
        <f t="shared" si="2"/>
        <v>NEWELL JAMES</v>
      </c>
      <c r="H92" s="20" t="str">
        <f t="shared" si="3"/>
        <v>4054</v>
      </c>
    </row>
    <row r="93" spans="1:8" x14ac:dyDescent="0.3">
      <c r="A93" s="8">
        <v>43106.421446759261</v>
      </c>
      <c r="B93" s="20" t="s">
        <v>535</v>
      </c>
      <c r="C93" s="20" t="s">
        <v>762</v>
      </c>
      <c r="D93" s="137">
        <v>2550000</v>
      </c>
      <c r="E93" s="20" t="s">
        <v>586</v>
      </c>
      <c r="F93" s="20" t="s">
        <v>587</v>
      </c>
      <c r="G93" s="8" t="str">
        <f t="shared" si="2"/>
        <v>BADERTSCHER DIANE</v>
      </c>
      <c r="H93" s="20" t="str">
        <f t="shared" si="3"/>
        <v>4034</v>
      </c>
    </row>
    <row r="94" spans="1:8" x14ac:dyDescent="0.3">
      <c r="A94" s="8">
        <v>43106.423298611109</v>
      </c>
      <c r="B94" s="20" t="s">
        <v>582</v>
      </c>
      <c r="C94" s="20" t="s">
        <v>763</v>
      </c>
      <c r="D94" s="137">
        <v>3090000</v>
      </c>
      <c r="E94" s="20" t="s">
        <v>723</v>
      </c>
      <c r="F94" s="20" t="s">
        <v>724</v>
      </c>
      <c r="G94" s="8" t="str">
        <f t="shared" si="2"/>
        <v>LAMAR NEKESHA</v>
      </c>
      <c r="H94" s="20" t="str">
        <f t="shared" si="3"/>
        <v>4056</v>
      </c>
    </row>
    <row r="95" spans="1:8" x14ac:dyDescent="0.3">
      <c r="A95" s="8">
        <v>43106.425787037035</v>
      </c>
      <c r="B95" s="20" t="s">
        <v>668</v>
      </c>
      <c r="C95" s="20" t="s">
        <v>669</v>
      </c>
      <c r="D95" s="137">
        <v>1810000</v>
      </c>
      <c r="E95" s="20" t="s">
        <v>540</v>
      </c>
      <c r="F95" s="20" t="s">
        <v>395</v>
      </c>
      <c r="G95" s="8" t="str">
        <f t="shared" si="2"/>
        <v>NEWELL JAMES</v>
      </c>
      <c r="H95" s="20" t="str">
        <f t="shared" si="3"/>
        <v>4053</v>
      </c>
    </row>
    <row r="96" spans="1:8" x14ac:dyDescent="0.3">
      <c r="A96" s="8">
        <v>43106.427465277775</v>
      </c>
      <c r="B96" s="20" t="s">
        <v>668</v>
      </c>
      <c r="C96" s="20" t="s">
        <v>669</v>
      </c>
      <c r="D96" s="137">
        <v>1810000</v>
      </c>
      <c r="E96" s="20" t="s">
        <v>540</v>
      </c>
      <c r="F96" s="20" t="s">
        <v>395</v>
      </c>
      <c r="G96" s="8" t="str">
        <f t="shared" si="2"/>
        <v>NEWELL JAMES</v>
      </c>
      <c r="H96" s="20" t="str">
        <f t="shared" si="3"/>
        <v>4053</v>
      </c>
    </row>
    <row r="97" spans="1:8" x14ac:dyDescent="0.3">
      <c r="A97" s="8">
        <v>43106.428136574075</v>
      </c>
      <c r="B97" s="20" t="s">
        <v>668</v>
      </c>
      <c r="C97" s="20" t="s">
        <v>669</v>
      </c>
      <c r="D97" s="137">
        <v>1810000</v>
      </c>
      <c r="E97" s="20" t="s">
        <v>540</v>
      </c>
      <c r="F97" s="20" t="s">
        <v>395</v>
      </c>
      <c r="G97" s="8" t="str">
        <f t="shared" si="2"/>
        <v>NEWELL JAMES</v>
      </c>
      <c r="H97" s="20" t="str">
        <f t="shared" si="3"/>
        <v>4053</v>
      </c>
    </row>
    <row r="98" spans="1:8" x14ac:dyDescent="0.3">
      <c r="A98" s="8">
        <v>43106.428622685184</v>
      </c>
      <c r="B98" s="20" t="s">
        <v>668</v>
      </c>
      <c r="C98" s="20" t="s">
        <v>669</v>
      </c>
      <c r="D98" s="137">
        <v>1810000</v>
      </c>
      <c r="E98" s="20" t="s">
        <v>540</v>
      </c>
      <c r="F98" s="20" t="s">
        <v>395</v>
      </c>
      <c r="G98" s="8" t="str">
        <f t="shared" si="2"/>
        <v>NEWELL JAMES</v>
      </c>
      <c r="H98" s="20" t="str">
        <f t="shared" si="3"/>
        <v>4053</v>
      </c>
    </row>
    <row r="99" spans="1:8" x14ac:dyDescent="0.3">
      <c r="A99" s="8">
        <v>43106.428668981483</v>
      </c>
      <c r="B99" s="20" t="s">
        <v>386</v>
      </c>
      <c r="C99" s="20" t="s">
        <v>670</v>
      </c>
      <c r="D99" s="137">
        <v>2440000</v>
      </c>
      <c r="E99" s="20" t="s">
        <v>450</v>
      </c>
      <c r="F99" s="20" t="s">
        <v>451</v>
      </c>
      <c r="G99" s="8" t="str">
        <f t="shared" si="2"/>
        <v>LOPES KIMBERLY</v>
      </c>
      <c r="H99" s="20" t="str">
        <f t="shared" si="3"/>
        <v>4029</v>
      </c>
    </row>
    <row r="100" spans="1:8" x14ac:dyDescent="0.3">
      <c r="A100" s="8">
        <v>43106.434108796297</v>
      </c>
      <c r="B100" s="20" t="s">
        <v>371</v>
      </c>
      <c r="C100" s="20" t="s">
        <v>764</v>
      </c>
      <c r="D100" s="137">
        <v>1100000</v>
      </c>
      <c r="E100" s="20" t="s">
        <v>536</v>
      </c>
      <c r="F100" s="20" t="s">
        <v>537</v>
      </c>
      <c r="G100" s="8" t="str">
        <f t="shared" si="2"/>
        <v>GEBRETEKLE DAGNEW</v>
      </c>
      <c r="H100" s="20" t="str">
        <f t="shared" si="3"/>
        <v>4011</v>
      </c>
    </row>
    <row r="101" spans="1:8" x14ac:dyDescent="0.3">
      <c r="A101" s="8">
        <v>43106.434351851851</v>
      </c>
      <c r="B101" s="20" t="s">
        <v>351</v>
      </c>
      <c r="C101" s="20" t="s">
        <v>765</v>
      </c>
      <c r="D101" s="137">
        <v>3090000</v>
      </c>
      <c r="E101" s="20" t="s">
        <v>723</v>
      </c>
      <c r="F101" s="20" t="s">
        <v>724</v>
      </c>
      <c r="G101" s="8" t="str">
        <f t="shared" si="2"/>
        <v>LAMAR NEKESHA</v>
      </c>
      <c r="H101" s="20" t="str">
        <f t="shared" si="3"/>
        <v>4055</v>
      </c>
    </row>
    <row r="102" spans="1:8" x14ac:dyDescent="0.3">
      <c r="A102" s="8">
        <v>43106.435115740744</v>
      </c>
      <c r="B102" s="20" t="s">
        <v>590</v>
      </c>
      <c r="C102" s="20" t="s">
        <v>766</v>
      </c>
      <c r="D102" s="137">
        <v>3260000</v>
      </c>
      <c r="E102" s="20" t="s">
        <v>767</v>
      </c>
      <c r="F102" s="20" t="s">
        <v>768</v>
      </c>
      <c r="G102" s="8" t="str">
        <f t="shared" si="2"/>
        <v>PAGE MARCUS</v>
      </c>
      <c r="H102" s="20" t="str">
        <f t="shared" si="3"/>
        <v>4054</v>
      </c>
    </row>
    <row r="103" spans="1:8" x14ac:dyDescent="0.3">
      <c r="A103" s="8">
        <v>43106.440381944441</v>
      </c>
      <c r="B103" s="20" t="s">
        <v>360</v>
      </c>
      <c r="C103" s="20" t="s">
        <v>669</v>
      </c>
      <c r="D103" s="137">
        <v>1810000</v>
      </c>
      <c r="E103" s="20" t="s">
        <v>540</v>
      </c>
      <c r="F103" s="20" t="s">
        <v>395</v>
      </c>
      <c r="G103" s="8" t="str">
        <f t="shared" si="2"/>
        <v>NEWELL JAMES</v>
      </c>
      <c r="H103" s="20" t="str">
        <f t="shared" si="3"/>
        <v>4018</v>
      </c>
    </row>
    <row r="104" spans="1:8" x14ac:dyDescent="0.3">
      <c r="A104" s="8">
        <v>43106.441481481481</v>
      </c>
      <c r="B104" s="20" t="s">
        <v>360</v>
      </c>
      <c r="C104" s="20" t="s">
        <v>669</v>
      </c>
      <c r="D104" s="137">
        <v>1810000</v>
      </c>
      <c r="E104" s="20" t="s">
        <v>540</v>
      </c>
      <c r="F104" s="20" t="s">
        <v>395</v>
      </c>
      <c r="G104" s="8" t="str">
        <f t="shared" si="2"/>
        <v>NEWELL JAMES</v>
      </c>
      <c r="H104" s="20" t="str">
        <f t="shared" si="3"/>
        <v>4018</v>
      </c>
    </row>
    <row r="105" spans="1:8" x14ac:dyDescent="0.3">
      <c r="A105" s="8">
        <v>43106.443807870368</v>
      </c>
      <c r="B105" s="20" t="s">
        <v>580</v>
      </c>
      <c r="C105" s="20" t="s">
        <v>769</v>
      </c>
      <c r="D105" s="137">
        <v>2370000</v>
      </c>
      <c r="E105" s="20" t="s">
        <v>707</v>
      </c>
      <c r="F105" s="20" t="s">
        <v>708</v>
      </c>
      <c r="G105" s="8" t="str">
        <f t="shared" si="2"/>
        <v>DELGADO DIANAH</v>
      </c>
      <c r="H105" s="20" t="str">
        <f t="shared" si="3"/>
        <v>4043</v>
      </c>
    </row>
    <row r="106" spans="1:8" x14ac:dyDescent="0.3">
      <c r="A106" s="8">
        <v>43106.446261574078</v>
      </c>
      <c r="B106" s="20" t="s">
        <v>504</v>
      </c>
      <c r="C106" s="20" t="s">
        <v>770</v>
      </c>
      <c r="D106" s="137">
        <v>1770000</v>
      </c>
      <c r="E106" s="20" t="s">
        <v>541</v>
      </c>
      <c r="F106" s="20" t="s">
        <v>542</v>
      </c>
      <c r="G106" s="8" t="str">
        <f t="shared" si="2"/>
        <v>BRUDER RICHARD</v>
      </c>
      <c r="H106" s="20" t="str">
        <f t="shared" si="3"/>
        <v>4064</v>
      </c>
    </row>
    <row r="107" spans="1:8" x14ac:dyDescent="0.3">
      <c r="A107" s="8">
        <v>43106.45412037037</v>
      </c>
      <c r="B107" s="20" t="s">
        <v>357</v>
      </c>
      <c r="C107" s="20" t="s">
        <v>771</v>
      </c>
      <c r="D107" s="137">
        <v>3040000</v>
      </c>
      <c r="E107" s="20" t="s">
        <v>368</v>
      </c>
      <c r="F107" s="20" t="s">
        <v>583</v>
      </c>
      <c r="G107" s="8" t="str">
        <f t="shared" si="2"/>
        <v>WILLIAMS DONTE</v>
      </c>
      <c r="H107" s="20" t="str">
        <f t="shared" si="3"/>
        <v>4060</v>
      </c>
    </row>
    <row r="108" spans="1:8" x14ac:dyDescent="0.3">
      <c r="A108" s="8">
        <v>43106.463506944441</v>
      </c>
      <c r="B108" s="20" t="s">
        <v>582</v>
      </c>
      <c r="C108" s="20" t="s">
        <v>772</v>
      </c>
      <c r="D108" s="137">
        <v>3090000</v>
      </c>
      <c r="E108" s="20" t="s">
        <v>723</v>
      </c>
      <c r="F108" s="20" t="s">
        <v>724</v>
      </c>
      <c r="G108" s="8" t="str">
        <f t="shared" si="2"/>
        <v>LAMAR NEKESHA</v>
      </c>
      <c r="H108" s="20" t="str">
        <f t="shared" si="3"/>
        <v>4056</v>
      </c>
    </row>
    <row r="109" spans="1:8" x14ac:dyDescent="0.3">
      <c r="A109" s="8">
        <v>43106.463750000003</v>
      </c>
      <c r="B109" s="20" t="s">
        <v>668</v>
      </c>
      <c r="C109" s="20" t="s">
        <v>773</v>
      </c>
      <c r="D109" s="137">
        <v>3260000</v>
      </c>
      <c r="E109" s="20" t="s">
        <v>767</v>
      </c>
      <c r="F109" s="20" t="s">
        <v>768</v>
      </c>
      <c r="G109" s="8" t="str">
        <f t="shared" si="2"/>
        <v>PAGE MARCUS</v>
      </c>
      <c r="H109" s="20" t="str">
        <f t="shared" si="3"/>
        <v>4053</v>
      </c>
    </row>
    <row r="110" spans="1:8" x14ac:dyDescent="0.3">
      <c r="A110" s="8">
        <v>43106.463923611111</v>
      </c>
      <c r="B110" s="20" t="s">
        <v>503</v>
      </c>
      <c r="C110" s="20" t="s">
        <v>774</v>
      </c>
      <c r="D110" s="137">
        <v>2550000</v>
      </c>
      <c r="E110" s="20" t="s">
        <v>586</v>
      </c>
      <c r="F110" s="20" t="s">
        <v>587</v>
      </c>
      <c r="G110" s="8" t="str">
        <f t="shared" si="2"/>
        <v>BADERTSCHER DIANE</v>
      </c>
      <c r="H110" s="20" t="str">
        <f t="shared" si="3"/>
        <v>4033</v>
      </c>
    </row>
    <row r="111" spans="1:8" x14ac:dyDescent="0.3">
      <c r="A111" s="8">
        <v>43106.465173611112</v>
      </c>
      <c r="B111" s="20" t="s">
        <v>392</v>
      </c>
      <c r="C111" s="20" t="s">
        <v>775</v>
      </c>
      <c r="D111" s="137">
        <v>920000</v>
      </c>
      <c r="E111" s="20" t="s">
        <v>776</v>
      </c>
      <c r="F111" s="20" t="s">
        <v>352</v>
      </c>
      <c r="G111" s="8" t="str">
        <f t="shared" si="2"/>
        <v>DAVIS MICHAEL</v>
      </c>
      <c r="H111" s="20" t="str">
        <f t="shared" si="3"/>
        <v>4030</v>
      </c>
    </row>
    <row r="112" spans="1:8" x14ac:dyDescent="0.3">
      <c r="A112" s="8">
        <v>43106.465879629628</v>
      </c>
      <c r="B112" s="20" t="s">
        <v>668</v>
      </c>
      <c r="C112" s="20" t="s">
        <v>773</v>
      </c>
      <c r="D112" s="137">
        <v>3260000</v>
      </c>
      <c r="E112" s="20" t="s">
        <v>767</v>
      </c>
      <c r="F112" s="20" t="s">
        <v>768</v>
      </c>
      <c r="G112" s="8" t="str">
        <f t="shared" si="2"/>
        <v>PAGE MARCUS</v>
      </c>
      <c r="H112" s="20" t="str">
        <f t="shared" si="3"/>
        <v>4053</v>
      </c>
    </row>
    <row r="113" spans="1:8" x14ac:dyDescent="0.3">
      <c r="A113" s="8">
        <v>43106.475347222222</v>
      </c>
      <c r="B113" s="20" t="s">
        <v>351</v>
      </c>
      <c r="C113" s="20" t="s">
        <v>777</v>
      </c>
      <c r="D113" s="137">
        <v>3090000</v>
      </c>
      <c r="E113" s="20" t="s">
        <v>723</v>
      </c>
      <c r="F113" s="20" t="s">
        <v>724</v>
      </c>
      <c r="G113" s="8" t="str">
        <f t="shared" si="2"/>
        <v>LAMAR NEKESHA</v>
      </c>
      <c r="H113" s="20" t="str">
        <f t="shared" si="3"/>
        <v>4055</v>
      </c>
    </row>
    <row r="114" spans="1:8" x14ac:dyDescent="0.3">
      <c r="A114" s="8">
        <v>43106.47583333333</v>
      </c>
      <c r="B114" s="20" t="s">
        <v>370</v>
      </c>
      <c r="C114" s="20" t="s">
        <v>778</v>
      </c>
      <c r="D114" s="137">
        <v>2630000</v>
      </c>
      <c r="E114" s="20" t="s">
        <v>372</v>
      </c>
      <c r="F114" s="20" t="s">
        <v>373</v>
      </c>
      <c r="G114" s="8" t="str">
        <f t="shared" si="2"/>
        <v>SAFIEF AEIMEN</v>
      </c>
      <c r="H114" s="20" t="str">
        <f t="shared" si="3"/>
        <v>4012</v>
      </c>
    </row>
    <row r="115" spans="1:8" x14ac:dyDescent="0.3">
      <c r="A115" s="8">
        <v>43106.483124999999</v>
      </c>
      <c r="B115" s="20" t="s">
        <v>478</v>
      </c>
      <c r="C115" s="20" t="s">
        <v>779</v>
      </c>
      <c r="D115" s="137">
        <v>2970000</v>
      </c>
      <c r="E115" s="20" t="s">
        <v>374</v>
      </c>
      <c r="F115" s="20" t="s">
        <v>375</v>
      </c>
      <c r="G115" s="8" t="str">
        <f t="shared" si="2"/>
        <v>GUZMAN DANNY</v>
      </c>
      <c r="H115" s="20" t="str">
        <f t="shared" si="3"/>
        <v>4044</v>
      </c>
    </row>
    <row r="116" spans="1:8" x14ac:dyDescent="0.3">
      <c r="A116" s="8">
        <v>43106.485439814816</v>
      </c>
      <c r="B116" s="20" t="s">
        <v>517</v>
      </c>
      <c r="C116" s="20" t="s">
        <v>780</v>
      </c>
      <c r="D116" s="137">
        <v>1770000</v>
      </c>
      <c r="E116" s="20" t="s">
        <v>541</v>
      </c>
      <c r="F116" s="20" t="s">
        <v>542</v>
      </c>
      <c r="G116" s="8" t="str">
        <f t="shared" si="2"/>
        <v>BRUDER RICHARD</v>
      </c>
      <c r="H116" s="20" t="str">
        <f t="shared" si="3"/>
        <v>4063</v>
      </c>
    </row>
    <row r="117" spans="1:8" x14ac:dyDescent="0.3">
      <c r="A117" s="8">
        <v>43106.495081018518</v>
      </c>
      <c r="B117" s="20" t="s">
        <v>390</v>
      </c>
      <c r="C117" s="20" t="s">
        <v>781</v>
      </c>
      <c r="D117" s="137">
        <v>3040000</v>
      </c>
      <c r="E117" s="20" t="s">
        <v>368</v>
      </c>
      <c r="F117" s="20" t="s">
        <v>583</v>
      </c>
      <c r="G117" s="8" t="str">
        <f t="shared" si="2"/>
        <v>WILLIAMS DONTE</v>
      </c>
      <c r="H117" s="20" t="str">
        <f t="shared" si="3"/>
        <v>4059</v>
      </c>
    </row>
    <row r="118" spans="1:8" x14ac:dyDescent="0.3">
      <c r="A118" s="8">
        <v>43106.498576388891</v>
      </c>
      <c r="B118" s="20" t="s">
        <v>535</v>
      </c>
      <c r="C118" s="20" t="s">
        <v>782</v>
      </c>
      <c r="D118" s="137">
        <v>2550000</v>
      </c>
      <c r="E118" s="20" t="s">
        <v>586</v>
      </c>
      <c r="F118" s="20" t="s">
        <v>587</v>
      </c>
      <c r="G118" s="8" t="str">
        <f t="shared" si="2"/>
        <v>BADERTSCHER DIANE</v>
      </c>
      <c r="H118" s="20" t="str">
        <f t="shared" si="3"/>
        <v>4034</v>
      </c>
    </row>
    <row r="119" spans="1:8" x14ac:dyDescent="0.3">
      <c r="A119" s="8">
        <v>43106.504699074074</v>
      </c>
      <c r="B119" s="20" t="s">
        <v>582</v>
      </c>
      <c r="C119" s="20" t="s">
        <v>783</v>
      </c>
      <c r="D119" s="137">
        <v>3090000</v>
      </c>
      <c r="E119" s="20" t="s">
        <v>723</v>
      </c>
      <c r="F119" s="20" t="s">
        <v>724</v>
      </c>
      <c r="G119" s="8" t="str">
        <f t="shared" si="2"/>
        <v>LAMAR NEKESHA</v>
      </c>
      <c r="H119" s="20" t="str">
        <f t="shared" si="3"/>
        <v>4056</v>
      </c>
    </row>
    <row r="120" spans="1:8" x14ac:dyDescent="0.3">
      <c r="A120" s="8">
        <v>43106.507280092592</v>
      </c>
      <c r="B120" s="20" t="s">
        <v>371</v>
      </c>
      <c r="C120" s="20" t="s">
        <v>784</v>
      </c>
      <c r="D120" s="137">
        <v>2630000</v>
      </c>
      <c r="E120" s="20" t="s">
        <v>372</v>
      </c>
      <c r="F120" s="20" t="s">
        <v>373</v>
      </c>
      <c r="G120" s="8" t="str">
        <f t="shared" si="2"/>
        <v>SAFIEF AEIMEN</v>
      </c>
      <c r="H120" s="20" t="str">
        <f t="shared" si="3"/>
        <v>4011</v>
      </c>
    </row>
    <row r="121" spans="1:8" x14ac:dyDescent="0.3">
      <c r="A121" s="8">
        <v>43106.507430555554</v>
      </c>
      <c r="B121" s="20" t="s">
        <v>386</v>
      </c>
      <c r="C121" s="20" t="s">
        <v>785</v>
      </c>
      <c r="D121" s="137">
        <v>920000</v>
      </c>
      <c r="E121" s="20" t="s">
        <v>776</v>
      </c>
      <c r="F121" s="20" t="s">
        <v>352</v>
      </c>
      <c r="G121" s="8" t="str">
        <f t="shared" si="2"/>
        <v>DAVIS MICHAEL</v>
      </c>
      <c r="H121" s="20" t="str">
        <f t="shared" si="3"/>
        <v>4029</v>
      </c>
    </row>
    <row r="122" spans="1:8" x14ac:dyDescent="0.3">
      <c r="A122" s="8">
        <v>43106.509317129632</v>
      </c>
      <c r="B122" s="25" t="s">
        <v>590</v>
      </c>
      <c r="C122" s="20" t="s">
        <v>786</v>
      </c>
      <c r="D122" s="137">
        <v>3330000</v>
      </c>
      <c r="E122" s="20" t="s">
        <v>787</v>
      </c>
      <c r="F122" s="20" t="s">
        <v>788</v>
      </c>
      <c r="G122" s="8" t="str">
        <f t="shared" si="2"/>
        <v>GONZALEZ ARMANDO</v>
      </c>
      <c r="H122" s="20" t="str">
        <f t="shared" si="3"/>
        <v>4054</v>
      </c>
    </row>
    <row r="123" spans="1:8" x14ac:dyDescent="0.3">
      <c r="A123" s="8">
        <v>43106.518287037034</v>
      </c>
      <c r="B123" s="20" t="s">
        <v>351</v>
      </c>
      <c r="C123" s="20" t="s">
        <v>671</v>
      </c>
      <c r="D123" s="137">
        <v>3090000</v>
      </c>
      <c r="E123" s="20" t="s">
        <v>723</v>
      </c>
      <c r="F123" s="20" t="s">
        <v>724</v>
      </c>
      <c r="G123" s="8" t="str">
        <f t="shared" si="2"/>
        <v>LAMAR NEKESHA</v>
      </c>
      <c r="H123" s="20" t="str">
        <f t="shared" si="3"/>
        <v>4055</v>
      </c>
    </row>
    <row r="124" spans="1:8" x14ac:dyDescent="0.3">
      <c r="A124" s="8">
        <v>43106.518391203703</v>
      </c>
      <c r="B124" s="20" t="s">
        <v>504</v>
      </c>
      <c r="C124" s="20" t="s">
        <v>789</v>
      </c>
      <c r="D124" s="137">
        <v>1770000</v>
      </c>
      <c r="E124" s="20" t="s">
        <v>541</v>
      </c>
      <c r="F124" s="20" t="s">
        <v>542</v>
      </c>
      <c r="G124" s="8" t="str">
        <f t="shared" si="2"/>
        <v>BRUDER RICHARD</v>
      </c>
      <c r="H124" s="20" t="str">
        <f t="shared" si="3"/>
        <v>4064</v>
      </c>
    </row>
    <row r="125" spans="1:8" x14ac:dyDescent="0.3">
      <c r="A125" s="8">
        <v>43106.519421296296</v>
      </c>
      <c r="B125" s="20" t="s">
        <v>580</v>
      </c>
      <c r="C125" s="20" t="s">
        <v>790</v>
      </c>
      <c r="D125" s="137">
        <v>2970000</v>
      </c>
      <c r="E125" s="20" t="s">
        <v>374</v>
      </c>
      <c r="F125" s="20" t="s">
        <v>375</v>
      </c>
      <c r="G125" s="8" t="str">
        <f t="shared" si="2"/>
        <v>GUZMAN DANNY</v>
      </c>
      <c r="H125" s="20" t="str">
        <f t="shared" si="3"/>
        <v>4043</v>
      </c>
    </row>
    <row r="126" spans="1:8" x14ac:dyDescent="0.3">
      <c r="A126" s="8">
        <v>43106.529062499998</v>
      </c>
      <c r="B126" s="20" t="s">
        <v>357</v>
      </c>
      <c r="C126" s="20" t="s">
        <v>791</v>
      </c>
      <c r="D126" s="137">
        <v>2420000</v>
      </c>
      <c r="E126" s="20" t="s">
        <v>543</v>
      </c>
      <c r="F126" s="20" t="s">
        <v>544</v>
      </c>
      <c r="G126" s="8" t="str">
        <f t="shared" si="2"/>
        <v>HOLCOMB KAMDEN</v>
      </c>
      <c r="H126" s="20" t="str">
        <f t="shared" si="3"/>
        <v>4060</v>
      </c>
    </row>
    <row r="127" spans="1:8" x14ac:dyDescent="0.3">
      <c r="A127" s="8">
        <v>43106.533946759257</v>
      </c>
      <c r="B127" s="20" t="s">
        <v>503</v>
      </c>
      <c r="C127" s="20" t="s">
        <v>792</v>
      </c>
      <c r="D127" s="137">
        <v>2550000</v>
      </c>
      <c r="E127" s="20" t="s">
        <v>586</v>
      </c>
      <c r="F127" s="20" t="s">
        <v>587</v>
      </c>
      <c r="G127" s="8" t="str">
        <f t="shared" si="2"/>
        <v>BADERTSCHER DIANE</v>
      </c>
      <c r="H127" s="20" t="str">
        <f t="shared" si="3"/>
        <v>4033</v>
      </c>
    </row>
    <row r="128" spans="1:8" x14ac:dyDescent="0.3">
      <c r="A128" s="8">
        <v>43106.540648148148</v>
      </c>
      <c r="B128" s="20" t="s">
        <v>392</v>
      </c>
      <c r="C128" s="20" t="s">
        <v>672</v>
      </c>
      <c r="D128" s="137">
        <v>920000</v>
      </c>
      <c r="E128" s="20" t="s">
        <v>776</v>
      </c>
      <c r="F128" s="20" t="s">
        <v>352</v>
      </c>
      <c r="G128" s="8" t="str">
        <f t="shared" si="2"/>
        <v>DAVIS MICHAEL</v>
      </c>
      <c r="H128" s="20" t="str">
        <f t="shared" si="3"/>
        <v>4030</v>
      </c>
    </row>
    <row r="129" spans="1:8" x14ac:dyDescent="0.3">
      <c r="A129" s="8">
        <v>43106.545358796298</v>
      </c>
      <c r="B129" s="20" t="s">
        <v>668</v>
      </c>
      <c r="C129" s="20" t="s">
        <v>793</v>
      </c>
      <c r="D129" s="137">
        <v>3330000</v>
      </c>
      <c r="E129" s="20" t="s">
        <v>787</v>
      </c>
      <c r="F129" s="20" t="s">
        <v>788</v>
      </c>
      <c r="G129" s="8" t="str">
        <f t="shared" si="2"/>
        <v>GONZALEZ ARMANDO</v>
      </c>
      <c r="H129" s="20" t="str">
        <f t="shared" si="3"/>
        <v>4053</v>
      </c>
    </row>
    <row r="130" spans="1:8" x14ac:dyDescent="0.3">
      <c r="A130" s="8">
        <v>43106.547164351854</v>
      </c>
      <c r="B130" s="20" t="s">
        <v>582</v>
      </c>
      <c r="C130" s="20" t="s">
        <v>794</v>
      </c>
      <c r="D130" s="137">
        <v>3090000</v>
      </c>
      <c r="E130" s="20" t="s">
        <v>723</v>
      </c>
      <c r="F130" s="20" t="s">
        <v>724</v>
      </c>
      <c r="G130" s="8" t="str">
        <f t="shared" si="2"/>
        <v>LAMAR NEKESHA</v>
      </c>
      <c r="H130" s="20" t="str">
        <f t="shared" si="3"/>
        <v>4056</v>
      </c>
    </row>
    <row r="131" spans="1:8" x14ac:dyDescent="0.3">
      <c r="A131" s="8">
        <v>43106.54959490741</v>
      </c>
      <c r="B131" s="20" t="s">
        <v>370</v>
      </c>
      <c r="C131" s="20" t="s">
        <v>795</v>
      </c>
      <c r="D131" s="137">
        <v>2630000</v>
      </c>
      <c r="E131" s="20" t="s">
        <v>372</v>
      </c>
      <c r="F131" s="20" t="s">
        <v>373</v>
      </c>
      <c r="G131" s="8" t="str">
        <f t="shared" ref="G131:G194" si="4">E131&amp;" "&amp;F131</f>
        <v>SAFIEF AEIMEN</v>
      </c>
      <c r="H131" s="20" t="str">
        <f t="shared" ref="H131:H194" si="5">MID(B131,13,4)</f>
        <v>4012</v>
      </c>
    </row>
    <row r="132" spans="1:8" x14ac:dyDescent="0.3">
      <c r="A132" s="8">
        <v>43106.558425925927</v>
      </c>
      <c r="B132" s="20" t="s">
        <v>517</v>
      </c>
      <c r="C132" s="20" t="s">
        <v>796</v>
      </c>
      <c r="D132" s="137">
        <v>1770000</v>
      </c>
      <c r="E132" s="20" t="s">
        <v>541</v>
      </c>
      <c r="F132" s="20" t="s">
        <v>542</v>
      </c>
      <c r="G132" s="8" t="str">
        <f t="shared" si="4"/>
        <v>BRUDER RICHARD</v>
      </c>
      <c r="H132" s="20" t="str">
        <f t="shared" si="5"/>
        <v>4063</v>
      </c>
    </row>
    <row r="133" spans="1:8" x14ac:dyDescent="0.3">
      <c r="A133" s="8">
        <v>43106.558946759258</v>
      </c>
      <c r="B133" s="20" t="s">
        <v>351</v>
      </c>
      <c r="C133" s="20" t="s">
        <v>797</v>
      </c>
      <c r="D133" s="137">
        <v>3090000</v>
      </c>
      <c r="E133" s="20" t="s">
        <v>723</v>
      </c>
      <c r="F133" s="20" t="s">
        <v>724</v>
      </c>
      <c r="G133" s="8" t="str">
        <f t="shared" si="4"/>
        <v>LAMAR NEKESHA</v>
      </c>
      <c r="H133" s="20" t="str">
        <f t="shared" si="5"/>
        <v>4055</v>
      </c>
    </row>
    <row r="134" spans="1:8" x14ac:dyDescent="0.3">
      <c r="A134" s="8">
        <v>43106.559733796297</v>
      </c>
      <c r="B134" s="20" t="s">
        <v>478</v>
      </c>
      <c r="C134" s="20" t="s">
        <v>798</v>
      </c>
      <c r="D134" s="137">
        <v>2970000</v>
      </c>
      <c r="E134" s="20" t="s">
        <v>374</v>
      </c>
      <c r="F134" s="20" t="s">
        <v>375</v>
      </c>
      <c r="G134" s="8" t="str">
        <f t="shared" si="4"/>
        <v>GUZMAN DANNY</v>
      </c>
      <c r="H134" s="20" t="str">
        <f t="shared" si="5"/>
        <v>4044</v>
      </c>
    </row>
    <row r="135" spans="1:8" x14ac:dyDescent="0.3">
      <c r="A135" s="8">
        <v>43106.569768518515</v>
      </c>
      <c r="B135" s="20" t="s">
        <v>535</v>
      </c>
      <c r="C135" s="20" t="s">
        <v>799</v>
      </c>
      <c r="D135" s="137">
        <v>2550000</v>
      </c>
      <c r="E135" s="20" t="s">
        <v>586</v>
      </c>
      <c r="F135" s="20" t="s">
        <v>587</v>
      </c>
      <c r="G135" s="8" t="str">
        <f t="shared" si="4"/>
        <v>BADERTSCHER DIANE</v>
      </c>
      <c r="H135" s="20" t="str">
        <f t="shared" si="5"/>
        <v>4034</v>
      </c>
    </row>
    <row r="136" spans="1:8" x14ac:dyDescent="0.3">
      <c r="A136" s="8">
        <v>43106.570081018515</v>
      </c>
      <c r="B136" s="20" t="s">
        <v>390</v>
      </c>
      <c r="C136" s="20" t="s">
        <v>800</v>
      </c>
      <c r="D136" s="137">
        <v>2420000</v>
      </c>
      <c r="E136" s="20" t="s">
        <v>543</v>
      </c>
      <c r="F136" s="20" t="s">
        <v>544</v>
      </c>
      <c r="G136" s="8" t="str">
        <f t="shared" si="4"/>
        <v>HOLCOMB KAMDEN</v>
      </c>
      <c r="H136" s="20" t="str">
        <f t="shared" si="5"/>
        <v>4059</v>
      </c>
    </row>
    <row r="137" spans="1:8" x14ac:dyDescent="0.3">
      <c r="A137" s="8">
        <v>43106.578564814816</v>
      </c>
      <c r="B137" s="20" t="s">
        <v>590</v>
      </c>
      <c r="C137" s="20" t="s">
        <v>801</v>
      </c>
      <c r="D137" s="137">
        <v>3330000</v>
      </c>
      <c r="E137" s="20" t="s">
        <v>787</v>
      </c>
      <c r="F137" s="20" t="s">
        <v>788</v>
      </c>
      <c r="G137" s="8" t="str">
        <f t="shared" si="4"/>
        <v>GONZALEZ ARMANDO</v>
      </c>
      <c r="H137" s="20" t="str">
        <f t="shared" si="5"/>
        <v>4054</v>
      </c>
    </row>
    <row r="138" spans="1:8" x14ac:dyDescent="0.3">
      <c r="A138" s="8">
        <v>43106.578935185185</v>
      </c>
      <c r="B138" s="20" t="s">
        <v>371</v>
      </c>
      <c r="C138" s="20" t="s">
        <v>802</v>
      </c>
      <c r="D138" s="137">
        <v>2630000</v>
      </c>
      <c r="E138" s="20" t="s">
        <v>372</v>
      </c>
      <c r="F138" s="20" t="s">
        <v>373</v>
      </c>
      <c r="G138" s="8" t="str">
        <f t="shared" si="4"/>
        <v>SAFIEF AEIMEN</v>
      </c>
      <c r="H138" s="20" t="str">
        <f t="shared" si="5"/>
        <v>4011</v>
      </c>
    </row>
    <row r="139" spans="1:8" x14ac:dyDescent="0.3">
      <c r="A139" s="8">
        <v>43106.579293981478</v>
      </c>
      <c r="B139" s="20" t="s">
        <v>386</v>
      </c>
      <c r="C139" s="20" t="s">
        <v>803</v>
      </c>
      <c r="D139" s="137">
        <v>920000</v>
      </c>
      <c r="E139" s="20" t="s">
        <v>776</v>
      </c>
      <c r="F139" s="20" t="s">
        <v>352</v>
      </c>
      <c r="G139" s="8" t="str">
        <f t="shared" si="4"/>
        <v>DAVIS MICHAEL</v>
      </c>
      <c r="H139" s="20" t="str">
        <f t="shared" si="5"/>
        <v>4029</v>
      </c>
    </row>
    <row r="140" spans="1:8" x14ac:dyDescent="0.3">
      <c r="A140" s="8">
        <v>43106.584664351853</v>
      </c>
      <c r="B140" s="20" t="s">
        <v>582</v>
      </c>
      <c r="C140" s="20" t="s">
        <v>804</v>
      </c>
      <c r="D140" s="137">
        <v>2230000</v>
      </c>
      <c r="E140" s="20" t="s">
        <v>393</v>
      </c>
      <c r="F140" s="20" t="s">
        <v>352</v>
      </c>
      <c r="G140" s="8" t="str">
        <f t="shared" si="4"/>
        <v>SMITH MICHAEL</v>
      </c>
      <c r="H140" s="20" t="str">
        <f t="shared" si="5"/>
        <v>4056</v>
      </c>
    </row>
    <row r="141" spans="1:8" x14ac:dyDescent="0.3">
      <c r="A141" s="8">
        <v>43106.590833333335</v>
      </c>
      <c r="B141" s="20" t="s">
        <v>504</v>
      </c>
      <c r="C141" s="20" t="s">
        <v>805</v>
      </c>
      <c r="D141" s="137">
        <v>1770000</v>
      </c>
      <c r="E141" s="20" t="s">
        <v>541</v>
      </c>
      <c r="F141" s="20" t="s">
        <v>542</v>
      </c>
      <c r="G141" s="8" t="str">
        <f t="shared" si="4"/>
        <v>BRUDER RICHARD</v>
      </c>
      <c r="H141" s="20" t="str">
        <f t="shared" si="5"/>
        <v>4064</v>
      </c>
    </row>
    <row r="142" spans="1:8" x14ac:dyDescent="0.3">
      <c r="A142" s="8">
        <v>43106.595069444447</v>
      </c>
      <c r="B142" s="20" t="s">
        <v>580</v>
      </c>
      <c r="C142" s="20" t="s">
        <v>806</v>
      </c>
      <c r="D142" s="137">
        <v>2970000</v>
      </c>
      <c r="E142" s="20" t="s">
        <v>374</v>
      </c>
      <c r="F142" s="20" t="s">
        <v>375</v>
      </c>
      <c r="G142" s="8" t="str">
        <f t="shared" si="4"/>
        <v>GUZMAN DANNY</v>
      </c>
      <c r="H142" s="20" t="str">
        <f t="shared" si="5"/>
        <v>4043</v>
      </c>
    </row>
    <row r="143" spans="1:8" x14ac:dyDescent="0.3">
      <c r="A143" s="8">
        <v>43106.601203703707</v>
      </c>
      <c r="B143" s="20" t="s">
        <v>351</v>
      </c>
      <c r="C143" s="20" t="s">
        <v>807</v>
      </c>
      <c r="D143" s="137">
        <v>2230000</v>
      </c>
      <c r="E143" s="20" t="s">
        <v>393</v>
      </c>
      <c r="F143" s="20" t="s">
        <v>352</v>
      </c>
      <c r="G143" s="8" t="str">
        <f t="shared" si="4"/>
        <v>SMITH MICHAEL</v>
      </c>
      <c r="H143" s="20" t="str">
        <f t="shared" si="5"/>
        <v>4055</v>
      </c>
    </row>
    <row r="144" spans="1:8" x14ac:dyDescent="0.3">
      <c r="A144" s="8">
        <v>43106.602361111109</v>
      </c>
      <c r="B144" s="20" t="s">
        <v>357</v>
      </c>
      <c r="C144" s="20" t="s">
        <v>808</v>
      </c>
      <c r="D144" s="137">
        <v>2420000</v>
      </c>
      <c r="E144" s="20" t="s">
        <v>543</v>
      </c>
      <c r="F144" s="20" t="s">
        <v>544</v>
      </c>
      <c r="G144" s="8" t="str">
        <f t="shared" si="4"/>
        <v>HOLCOMB KAMDEN</v>
      </c>
      <c r="H144" s="20" t="str">
        <f t="shared" si="5"/>
        <v>4060</v>
      </c>
    </row>
    <row r="145" spans="1:8" x14ac:dyDescent="0.3">
      <c r="A145" s="8">
        <v>43106.607083333336</v>
      </c>
      <c r="B145" s="20" t="s">
        <v>503</v>
      </c>
      <c r="C145" s="20" t="s">
        <v>673</v>
      </c>
      <c r="D145" s="137">
        <v>2550000</v>
      </c>
      <c r="E145" s="20" t="s">
        <v>586</v>
      </c>
      <c r="F145" s="20" t="s">
        <v>587</v>
      </c>
      <c r="G145" s="8" t="str">
        <f t="shared" si="4"/>
        <v>BADERTSCHER DIANE</v>
      </c>
      <c r="H145" s="20" t="str">
        <f t="shared" si="5"/>
        <v>4033</v>
      </c>
    </row>
    <row r="146" spans="1:8" x14ac:dyDescent="0.3">
      <c r="A146" s="8">
        <v>43106.61383101852</v>
      </c>
      <c r="B146" s="20" t="s">
        <v>392</v>
      </c>
      <c r="C146" s="20" t="s">
        <v>809</v>
      </c>
      <c r="D146" s="137">
        <v>920000</v>
      </c>
      <c r="E146" s="20" t="s">
        <v>776</v>
      </c>
      <c r="F146" s="20" t="s">
        <v>352</v>
      </c>
      <c r="G146" s="8" t="str">
        <f t="shared" si="4"/>
        <v>DAVIS MICHAEL</v>
      </c>
      <c r="H146" s="20" t="str">
        <f t="shared" si="5"/>
        <v>4030</v>
      </c>
    </row>
    <row r="147" spans="1:8" x14ac:dyDescent="0.3">
      <c r="A147" s="8">
        <v>43106.617638888885</v>
      </c>
      <c r="B147" s="20" t="s">
        <v>668</v>
      </c>
      <c r="C147" s="20" t="s">
        <v>810</v>
      </c>
      <c r="D147" s="137">
        <v>3330000</v>
      </c>
      <c r="E147" s="20" t="s">
        <v>787</v>
      </c>
      <c r="F147" s="20" t="s">
        <v>788</v>
      </c>
      <c r="G147" s="8" t="str">
        <f t="shared" si="4"/>
        <v>GONZALEZ ARMANDO</v>
      </c>
      <c r="H147" s="20" t="str">
        <f t="shared" si="5"/>
        <v>4053</v>
      </c>
    </row>
    <row r="148" spans="1:8" x14ac:dyDescent="0.3">
      <c r="A148" s="8">
        <v>43106.621516203704</v>
      </c>
      <c r="B148" s="20" t="s">
        <v>370</v>
      </c>
      <c r="C148" s="20" t="s">
        <v>811</v>
      </c>
      <c r="D148" s="137">
        <v>2630000</v>
      </c>
      <c r="E148" s="20" t="s">
        <v>372</v>
      </c>
      <c r="F148" s="20" t="s">
        <v>373</v>
      </c>
      <c r="G148" s="8" t="str">
        <f t="shared" si="4"/>
        <v>SAFIEF AEIMEN</v>
      </c>
      <c r="H148" s="20" t="str">
        <f t="shared" si="5"/>
        <v>4012</v>
      </c>
    </row>
    <row r="149" spans="1:8" x14ac:dyDescent="0.3">
      <c r="A149" s="8">
        <v>43106.625358796293</v>
      </c>
      <c r="B149" s="20" t="s">
        <v>582</v>
      </c>
      <c r="C149" s="20" t="s">
        <v>812</v>
      </c>
      <c r="D149" s="137">
        <v>2230000</v>
      </c>
      <c r="E149" s="20" t="s">
        <v>393</v>
      </c>
      <c r="F149" s="20" t="s">
        <v>352</v>
      </c>
      <c r="G149" s="8" t="str">
        <f t="shared" si="4"/>
        <v>SMITH MICHAEL</v>
      </c>
      <c r="H149" s="20" t="str">
        <f t="shared" si="5"/>
        <v>4056</v>
      </c>
    </row>
    <row r="150" spans="1:8" x14ac:dyDescent="0.3">
      <c r="A150" s="8">
        <v>43106.630520833336</v>
      </c>
      <c r="B150" s="20" t="s">
        <v>517</v>
      </c>
      <c r="C150" s="20" t="s">
        <v>813</v>
      </c>
      <c r="D150" s="137">
        <v>1770000</v>
      </c>
      <c r="E150" s="20" t="s">
        <v>541</v>
      </c>
      <c r="F150" s="20" t="s">
        <v>542</v>
      </c>
      <c r="G150" s="8" t="str">
        <f t="shared" si="4"/>
        <v>BRUDER RICHARD</v>
      </c>
      <c r="H150" s="20" t="str">
        <f t="shared" si="5"/>
        <v>4063</v>
      </c>
    </row>
    <row r="151" spans="1:8" x14ac:dyDescent="0.3">
      <c r="A151" s="8">
        <v>43106.632384259261</v>
      </c>
      <c r="B151" s="20" t="s">
        <v>478</v>
      </c>
      <c r="C151" s="20" t="s">
        <v>814</v>
      </c>
      <c r="D151" s="137">
        <v>2970000</v>
      </c>
      <c r="E151" s="20" t="s">
        <v>374</v>
      </c>
      <c r="F151" s="20" t="s">
        <v>375</v>
      </c>
      <c r="G151" s="8" t="str">
        <f t="shared" si="4"/>
        <v>GUZMAN DANNY</v>
      </c>
      <c r="H151" s="20" t="str">
        <f t="shared" si="5"/>
        <v>4044</v>
      </c>
    </row>
    <row r="152" spans="1:8" x14ac:dyDescent="0.3">
      <c r="A152" s="8">
        <v>43106.641898148147</v>
      </c>
      <c r="B152" s="20" t="s">
        <v>390</v>
      </c>
      <c r="C152" s="20" t="s">
        <v>815</v>
      </c>
      <c r="D152" s="137">
        <v>2420000</v>
      </c>
      <c r="E152" s="20" t="s">
        <v>543</v>
      </c>
      <c r="F152" s="20" t="s">
        <v>544</v>
      </c>
      <c r="G152" s="8" t="str">
        <f t="shared" si="4"/>
        <v>HOLCOMB KAMDEN</v>
      </c>
      <c r="H152" s="20" t="str">
        <f t="shared" si="5"/>
        <v>4059</v>
      </c>
    </row>
    <row r="153" spans="1:8" x14ac:dyDescent="0.3">
      <c r="A153" s="8">
        <v>43106.642361111109</v>
      </c>
      <c r="B153" s="20" t="s">
        <v>535</v>
      </c>
      <c r="C153" s="20" t="s">
        <v>816</v>
      </c>
      <c r="D153" s="137">
        <v>2040000</v>
      </c>
      <c r="E153" s="20" t="s">
        <v>396</v>
      </c>
      <c r="F153" s="20" t="s">
        <v>397</v>
      </c>
      <c r="G153" s="8" t="str">
        <f t="shared" si="4"/>
        <v>MOSES BRADLEY</v>
      </c>
      <c r="H153" s="20" t="str">
        <f t="shared" si="5"/>
        <v>4034</v>
      </c>
    </row>
    <row r="154" spans="1:8" x14ac:dyDescent="0.3">
      <c r="A154" s="8">
        <v>43106.646724537037</v>
      </c>
      <c r="B154" s="20" t="s">
        <v>351</v>
      </c>
      <c r="C154" s="20" t="s">
        <v>817</v>
      </c>
      <c r="D154" s="137">
        <v>2230000</v>
      </c>
      <c r="E154" s="20" t="s">
        <v>393</v>
      </c>
      <c r="F154" s="20" t="s">
        <v>352</v>
      </c>
      <c r="G154" s="8" t="str">
        <f t="shared" si="4"/>
        <v>SMITH MICHAEL</v>
      </c>
      <c r="H154" s="20" t="str">
        <f t="shared" si="5"/>
        <v>4055</v>
      </c>
    </row>
    <row r="155" spans="1:8" x14ac:dyDescent="0.3">
      <c r="A155" s="8">
        <v>43106.650914351849</v>
      </c>
      <c r="B155" s="20" t="s">
        <v>590</v>
      </c>
      <c r="C155" s="20" t="s">
        <v>818</v>
      </c>
      <c r="D155" s="137">
        <v>3330000</v>
      </c>
      <c r="E155" s="20" t="s">
        <v>787</v>
      </c>
      <c r="F155" s="20" t="s">
        <v>788</v>
      </c>
      <c r="G155" s="8" t="str">
        <f t="shared" si="4"/>
        <v>GONZALEZ ARMANDO</v>
      </c>
      <c r="H155" s="20" t="str">
        <f t="shared" si="5"/>
        <v>4054</v>
      </c>
    </row>
    <row r="156" spans="1:8" x14ac:dyDescent="0.3">
      <c r="A156" s="8">
        <v>43106.652326388888</v>
      </c>
      <c r="B156" s="20" t="s">
        <v>371</v>
      </c>
      <c r="C156" s="20" t="s">
        <v>819</v>
      </c>
      <c r="D156" s="137">
        <v>2630000</v>
      </c>
      <c r="E156" s="20" t="s">
        <v>372</v>
      </c>
      <c r="F156" s="20" t="s">
        <v>373</v>
      </c>
      <c r="G156" s="8" t="str">
        <f t="shared" si="4"/>
        <v>SAFIEF AEIMEN</v>
      </c>
      <c r="H156" s="20" t="str">
        <f t="shared" si="5"/>
        <v>4011</v>
      </c>
    </row>
    <row r="157" spans="1:8" x14ac:dyDescent="0.3">
      <c r="A157" s="8">
        <v>43106.653495370374</v>
      </c>
      <c r="B157" s="20" t="s">
        <v>386</v>
      </c>
      <c r="C157" s="20" t="s">
        <v>820</v>
      </c>
      <c r="D157" s="137">
        <v>920000</v>
      </c>
      <c r="E157" s="20" t="s">
        <v>776</v>
      </c>
      <c r="F157" s="20" t="s">
        <v>352</v>
      </c>
      <c r="G157" s="8" t="str">
        <f t="shared" si="4"/>
        <v>DAVIS MICHAEL</v>
      </c>
      <c r="H157" s="20" t="str">
        <f t="shared" si="5"/>
        <v>4029</v>
      </c>
    </row>
    <row r="158" spans="1:8" x14ac:dyDescent="0.3">
      <c r="A158" s="8">
        <v>43106.663634259261</v>
      </c>
      <c r="B158" s="20" t="s">
        <v>580</v>
      </c>
      <c r="C158" s="20" t="s">
        <v>821</v>
      </c>
      <c r="D158" s="137">
        <v>2970000</v>
      </c>
      <c r="E158" s="20" t="s">
        <v>374</v>
      </c>
      <c r="F158" s="20" t="s">
        <v>375</v>
      </c>
      <c r="G158" s="8" t="str">
        <f t="shared" si="4"/>
        <v>GUZMAN DANNY</v>
      </c>
      <c r="H158" s="20" t="str">
        <f t="shared" si="5"/>
        <v>4043</v>
      </c>
    </row>
    <row r="159" spans="1:8" x14ac:dyDescent="0.3">
      <c r="A159" s="8">
        <v>43106.66375</v>
      </c>
      <c r="B159" s="20" t="s">
        <v>504</v>
      </c>
      <c r="C159" s="20" t="s">
        <v>822</v>
      </c>
      <c r="D159" s="137">
        <v>1770000</v>
      </c>
      <c r="E159" s="20" t="s">
        <v>541</v>
      </c>
      <c r="F159" s="20" t="s">
        <v>542</v>
      </c>
      <c r="G159" s="8" t="str">
        <f t="shared" si="4"/>
        <v>BRUDER RICHARD</v>
      </c>
      <c r="H159" s="20" t="str">
        <f t="shared" si="5"/>
        <v>4064</v>
      </c>
    </row>
    <row r="160" spans="1:8" x14ac:dyDescent="0.3">
      <c r="A160" s="8">
        <v>43106.669444444444</v>
      </c>
      <c r="B160" s="20" t="s">
        <v>582</v>
      </c>
      <c r="C160" s="20" t="s">
        <v>823</v>
      </c>
      <c r="D160" s="137">
        <v>2230000</v>
      </c>
      <c r="E160" s="20" t="s">
        <v>393</v>
      </c>
      <c r="F160" s="20" t="s">
        <v>352</v>
      </c>
      <c r="G160" s="8" t="str">
        <f t="shared" si="4"/>
        <v>SMITH MICHAEL</v>
      </c>
      <c r="H160" s="20" t="str">
        <f t="shared" si="5"/>
        <v>4056</v>
      </c>
    </row>
    <row r="161" spans="1:8" x14ac:dyDescent="0.3">
      <c r="A161" s="8">
        <v>43106.67050925926</v>
      </c>
      <c r="B161" s="20" t="s">
        <v>360</v>
      </c>
      <c r="C161" s="20" t="s">
        <v>824</v>
      </c>
      <c r="D161" s="137">
        <v>2470000</v>
      </c>
      <c r="E161" s="20" t="s">
        <v>825</v>
      </c>
      <c r="F161" s="20" t="s">
        <v>826</v>
      </c>
      <c r="G161" s="8" t="str">
        <f t="shared" si="4"/>
        <v>ROMERO CHAD</v>
      </c>
      <c r="H161" s="20" t="str">
        <f t="shared" si="5"/>
        <v>4018</v>
      </c>
    </row>
    <row r="162" spans="1:8" x14ac:dyDescent="0.3">
      <c r="A162" s="8">
        <v>43106.672650462962</v>
      </c>
      <c r="B162" s="20" t="s">
        <v>357</v>
      </c>
      <c r="C162" s="20" t="s">
        <v>674</v>
      </c>
      <c r="D162" s="137">
        <v>2420000</v>
      </c>
      <c r="E162" s="20" t="s">
        <v>543</v>
      </c>
      <c r="F162" s="20" t="s">
        <v>544</v>
      </c>
      <c r="G162" s="8" t="str">
        <f t="shared" si="4"/>
        <v>HOLCOMB KAMDEN</v>
      </c>
      <c r="H162" s="20" t="str">
        <f t="shared" si="5"/>
        <v>4060</v>
      </c>
    </row>
    <row r="163" spans="1:8" x14ac:dyDescent="0.3">
      <c r="A163" s="8">
        <v>43106.681967592594</v>
      </c>
      <c r="B163" s="20" t="s">
        <v>503</v>
      </c>
      <c r="C163" s="20" t="s">
        <v>827</v>
      </c>
      <c r="D163" s="137">
        <v>2040000</v>
      </c>
      <c r="E163" s="20" t="s">
        <v>396</v>
      </c>
      <c r="F163" s="20" t="s">
        <v>397</v>
      </c>
      <c r="G163" s="8" t="str">
        <f t="shared" si="4"/>
        <v>MOSES BRADLEY</v>
      </c>
      <c r="H163" s="20" t="str">
        <f t="shared" si="5"/>
        <v>4033</v>
      </c>
    </row>
    <row r="164" spans="1:8" x14ac:dyDescent="0.3">
      <c r="A164" s="8">
        <v>43106.684745370374</v>
      </c>
      <c r="B164" s="20" t="s">
        <v>351</v>
      </c>
      <c r="C164" s="20" t="s">
        <v>828</v>
      </c>
      <c r="D164" s="137">
        <v>2230000</v>
      </c>
      <c r="E164" s="20" t="s">
        <v>393</v>
      </c>
      <c r="F164" s="20" t="s">
        <v>352</v>
      </c>
      <c r="G164" s="8" t="str">
        <f t="shared" si="4"/>
        <v>SMITH MICHAEL</v>
      </c>
      <c r="H164" s="20" t="str">
        <f t="shared" si="5"/>
        <v>4055</v>
      </c>
    </row>
    <row r="165" spans="1:8" x14ac:dyDescent="0.3">
      <c r="A165" s="8">
        <v>43106.686412037037</v>
      </c>
      <c r="B165" s="20" t="s">
        <v>392</v>
      </c>
      <c r="C165" s="20" t="s">
        <v>829</v>
      </c>
      <c r="D165" s="137">
        <v>920000</v>
      </c>
      <c r="E165" s="20" t="s">
        <v>776</v>
      </c>
      <c r="F165" s="20" t="s">
        <v>352</v>
      </c>
      <c r="G165" s="8" t="str">
        <f t="shared" si="4"/>
        <v>DAVIS MICHAEL</v>
      </c>
      <c r="H165" s="20" t="str">
        <f t="shared" si="5"/>
        <v>4030</v>
      </c>
    </row>
    <row r="166" spans="1:8" x14ac:dyDescent="0.3">
      <c r="A166" s="8">
        <v>43106.690949074073</v>
      </c>
      <c r="B166" s="20" t="s">
        <v>668</v>
      </c>
      <c r="C166" s="20" t="s">
        <v>830</v>
      </c>
      <c r="D166" s="137">
        <v>3330000</v>
      </c>
      <c r="E166" s="20" t="s">
        <v>787</v>
      </c>
      <c r="F166" s="20" t="s">
        <v>788</v>
      </c>
      <c r="G166" s="8" t="str">
        <f t="shared" si="4"/>
        <v>GONZALEZ ARMANDO</v>
      </c>
      <c r="H166" s="20" t="str">
        <f t="shared" si="5"/>
        <v>4053</v>
      </c>
    </row>
    <row r="167" spans="1:8" x14ac:dyDescent="0.3">
      <c r="A167" s="8">
        <v>43106.692974537036</v>
      </c>
      <c r="B167" s="20" t="s">
        <v>370</v>
      </c>
      <c r="C167" s="20" t="s">
        <v>831</v>
      </c>
      <c r="D167" s="137">
        <v>2630000</v>
      </c>
      <c r="E167" s="20" t="s">
        <v>372</v>
      </c>
      <c r="F167" s="20" t="s">
        <v>373</v>
      </c>
      <c r="G167" s="8" t="str">
        <f t="shared" si="4"/>
        <v>SAFIEF AEIMEN</v>
      </c>
      <c r="H167" s="20" t="str">
        <f t="shared" si="5"/>
        <v>4012</v>
      </c>
    </row>
    <row r="168" spans="1:8" x14ac:dyDescent="0.3">
      <c r="A168" s="8">
        <v>43106.702592592592</v>
      </c>
      <c r="B168" s="20" t="s">
        <v>478</v>
      </c>
      <c r="C168" s="20" t="s">
        <v>832</v>
      </c>
      <c r="D168" s="137">
        <v>2970000</v>
      </c>
      <c r="E168" s="20" t="s">
        <v>374</v>
      </c>
      <c r="F168" s="20" t="s">
        <v>375</v>
      </c>
      <c r="G168" s="8" t="str">
        <f t="shared" si="4"/>
        <v>GUZMAN DANNY</v>
      </c>
      <c r="H168" s="20" t="str">
        <f t="shared" si="5"/>
        <v>4044</v>
      </c>
    </row>
    <row r="169" spans="1:8" x14ac:dyDescent="0.3">
      <c r="A169" s="8">
        <v>43106.703298611108</v>
      </c>
      <c r="B169" s="20" t="s">
        <v>517</v>
      </c>
      <c r="C169" s="20" t="s">
        <v>833</v>
      </c>
      <c r="D169" s="137">
        <v>1770000</v>
      </c>
      <c r="E169" s="20" t="s">
        <v>541</v>
      </c>
      <c r="F169" s="20" t="s">
        <v>542</v>
      </c>
      <c r="G169" s="8" t="str">
        <f t="shared" si="4"/>
        <v>BRUDER RICHARD</v>
      </c>
      <c r="H169" s="20" t="str">
        <f t="shared" si="5"/>
        <v>4063</v>
      </c>
    </row>
    <row r="170" spans="1:8" x14ac:dyDescent="0.3">
      <c r="A170" s="8">
        <v>43106.710763888892</v>
      </c>
      <c r="B170" s="20" t="s">
        <v>582</v>
      </c>
      <c r="C170" s="20" t="s">
        <v>834</v>
      </c>
      <c r="D170" s="137">
        <v>2230000</v>
      </c>
      <c r="E170" s="20" t="s">
        <v>393</v>
      </c>
      <c r="F170" s="20" t="s">
        <v>352</v>
      </c>
      <c r="G170" s="8" t="str">
        <f t="shared" si="4"/>
        <v>SMITH MICHAEL</v>
      </c>
      <c r="H170" s="20" t="str">
        <f t="shared" si="5"/>
        <v>4056</v>
      </c>
    </row>
    <row r="171" spans="1:8" x14ac:dyDescent="0.3">
      <c r="A171" s="8">
        <v>43106.714745370373</v>
      </c>
      <c r="B171" s="20" t="s">
        <v>390</v>
      </c>
      <c r="C171" s="20" t="s">
        <v>835</v>
      </c>
      <c r="D171" s="137">
        <v>2420000</v>
      </c>
      <c r="E171" s="20" t="s">
        <v>543</v>
      </c>
      <c r="F171" s="20" t="s">
        <v>544</v>
      </c>
      <c r="G171" s="8" t="str">
        <f t="shared" si="4"/>
        <v>HOLCOMB KAMDEN</v>
      </c>
      <c r="H171" s="20" t="str">
        <f t="shared" si="5"/>
        <v>4059</v>
      </c>
    </row>
    <row r="172" spans="1:8" x14ac:dyDescent="0.3">
      <c r="A172" s="8">
        <v>43106.715057870373</v>
      </c>
      <c r="B172" s="20" t="s">
        <v>535</v>
      </c>
      <c r="C172" s="20" t="s">
        <v>836</v>
      </c>
      <c r="D172" s="137">
        <v>2550000</v>
      </c>
      <c r="E172" s="20" t="s">
        <v>586</v>
      </c>
      <c r="F172" s="20" t="s">
        <v>587</v>
      </c>
      <c r="G172" s="8" t="str">
        <f t="shared" si="4"/>
        <v>BADERTSCHER DIANE</v>
      </c>
      <c r="H172" s="20" t="str">
        <f t="shared" si="5"/>
        <v>4034</v>
      </c>
    </row>
    <row r="173" spans="1:8" x14ac:dyDescent="0.3">
      <c r="A173" s="8">
        <v>43106.719872685186</v>
      </c>
      <c r="B173" s="20" t="s">
        <v>579</v>
      </c>
      <c r="C173" s="20" t="s">
        <v>837</v>
      </c>
      <c r="D173" s="137">
        <v>3030000</v>
      </c>
      <c r="E173" s="20" t="s">
        <v>838</v>
      </c>
      <c r="F173" s="20" t="s">
        <v>714</v>
      </c>
      <c r="G173" s="8" t="str">
        <f t="shared" si="4"/>
        <v>BIRENBAUM THOMAS</v>
      </c>
      <c r="H173" s="20" t="str">
        <f t="shared" si="5"/>
        <v>4032</v>
      </c>
    </row>
    <row r="174" spans="1:8" x14ac:dyDescent="0.3">
      <c r="A174" s="8">
        <v>43106.724942129629</v>
      </c>
      <c r="B174" s="20" t="s">
        <v>386</v>
      </c>
      <c r="C174" s="20" t="s">
        <v>839</v>
      </c>
      <c r="D174" s="137">
        <v>920000</v>
      </c>
      <c r="E174" s="20" t="s">
        <v>776</v>
      </c>
      <c r="F174" s="20" t="s">
        <v>352</v>
      </c>
      <c r="G174" s="8" t="str">
        <f t="shared" si="4"/>
        <v>DAVIS MICHAEL</v>
      </c>
      <c r="H174" s="20" t="str">
        <f t="shared" si="5"/>
        <v>4029</v>
      </c>
    </row>
    <row r="175" spans="1:8" x14ac:dyDescent="0.3">
      <c r="A175" s="8">
        <v>43106.725335648145</v>
      </c>
      <c r="B175" s="20" t="s">
        <v>371</v>
      </c>
      <c r="C175" s="20" t="s">
        <v>840</v>
      </c>
      <c r="D175" s="137">
        <v>2630000</v>
      </c>
      <c r="E175" s="20" t="s">
        <v>372</v>
      </c>
      <c r="F175" s="20" t="s">
        <v>373</v>
      </c>
      <c r="G175" s="8" t="str">
        <f t="shared" si="4"/>
        <v>SAFIEF AEIMEN</v>
      </c>
      <c r="H175" s="20" t="str">
        <f t="shared" si="5"/>
        <v>4011</v>
      </c>
    </row>
    <row r="176" spans="1:8" x14ac:dyDescent="0.3">
      <c r="A176" s="8">
        <v>43106.725416666668</v>
      </c>
      <c r="B176" s="20" t="s">
        <v>590</v>
      </c>
      <c r="C176" s="20" t="s">
        <v>841</v>
      </c>
      <c r="D176" s="137">
        <v>3330000</v>
      </c>
      <c r="E176" s="20" t="s">
        <v>787</v>
      </c>
      <c r="F176" s="20" t="s">
        <v>788</v>
      </c>
      <c r="G176" s="8" t="str">
        <f t="shared" si="4"/>
        <v>GONZALEZ ARMANDO</v>
      </c>
      <c r="H176" s="20" t="str">
        <f t="shared" si="5"/>
        <v>4054</v>
      </c>
    </row>
    <row r="177" spans="1:8" x14ac:dyDescent="0.3">
      <c r="A177" s="8">
        <v>43106.725787037038</v>
      </c>
      <c r="B177" s="20" t="s">
        <v>351</v>
      </c>
      <c r="C177" s="20" t="s">
        <v>675</v>
      </c>
      <c r="D177" s="137">
        <v>2230000</v>
      </c>
      <c r="E177" s="20" t="s">
        <v>393</v>
      </c>
      <c r="F177" s="20" t="s">
        <v>352</v>
      </c>
      <c r="G177" s="8" t="str">
        <f t="shared" si="4"/>
        <v>SMITH MICHAEL</v>
      </c>
      <c r="H177" s="20" t="str">
        <f t="shared" si="5"/>
        <v>4055</v>
      </c>
    </row>
    <row r="178" spans="1:8" x14ac:dyDescent="0.3">
      <c r="A178" s="8">
        <v>43106.734756944446</v>
      </c>
      <c r="B178" s="20" t="s">
        <v>504</v>
      </c>
      <c r="C178" s="20" t="s">
        <v>676</v>
      </c>
      <c r="D178" s="137">
        <v>3000000</v>
      </c>
      <c r="E178" s="20" t="s">
        <v>538</v>
      </c>
      <c r="F178" s="20" t="s">
        <v>539</v>
      </c>
      <c r="G178" s="8" t="str">
        <f t="shared" si="4"/>
        <v>FORTUNATO FRANK</v>
      </c>
      <c r="H178" s="20" t="str">
        <f t="shared" si="5"/>
        <v>4064</v>
      </c>
    </row>
    <row r="179" spans="1:8" x14ac:dyDescent="0.3">
      <c r="A179" s="8">
        <v>43106.736921296295</v>
      </c>
      <c r="B179" s="20" t="s">
        <v>580</v>
      </c>
      <c r="C179" s="20" t="s">
        <v>842</v>
      </c>
      <c r="D179" s="137">
        <v>2970000</v>
      </c>
      <c r="E179" s="20" t="s">
        <v>374</v>
      </c>
      <c r="F179" s="20" t="s">
        <v>375</v>
      </c>
      <c r="G179" s="8" t="str">
        <f t="shared" si="4"/>
        <v>GUZMAN DANNY</v>
      </c>
      <c r="H179" s="20" t="str">
        <f t="shared" si="5"/>
        <v>4043</v>
      </c>
    </row>
    <row r="180" spans="1:8" x14ac:dyDescent="0.3">
      <c r="A180" s="8">
        <v>43106.737256944441</v>
      </c>
      <c r="B180" s="20" t="s">
        <v>843</v>
      </c>
      <c r="C180" s="20" t="s">
        <v>844</v>
      </c>
      <c r="D180" s="137">
        <v>3680000</v>
      </c>
      <c r="E180" s="20" t="s">
        <v>465</v>
      </c>
      <c r="F180" s="20" t="s">
        <v>466</v>
      </c>
      <c r="G180" s="8" t="str">
        <f t="shared" si="4"/>
        <v>HAMMOND JUSTYNN</v>
      </c>
      <c r="H180" s="20" t="str">
        <f t="shared" si="5"/>
        <v>4057</v>
      </c>
    </row>
    <row r="181" spans="1:8" x14ac:dyDescent="0.3">
      <c r="A181" s="8">
        <v>43106.749305555553</v>
      </c>
      <c r="B181" s="20" t="s">
        <v>357</v>
      </c>
      <c r="C181" s="20" t="s">
        <v>845</v>
      </c>
      <c r="D181" s="137">
        <v>2420000</v>
      </c>
      <c r="E181" s="20" t="s">
        <v>543</v>
      </c>
      <c r="F181" s="20" t="s">
        <v>544</v>
      </c>
      <c r="G181" s="8" t="str">
        <f t="shared" si="4"/>
        <v>HOLCOMB KAMDEN</v>
      </c>
      <c r="H181" s="20" t="str">
        <f t="shared" si="5"/>
        <v>4060</v>
      </c>
    </row>
    <row r="182" spans="1:8" x14ac:dyDescent="0.3">
      <c r="A182" s="8">
        <v>43106.752222222225</v>
      </c>
      <c r="B182" s="20" t="s">
        <v>582</v>
      </c>
      <c r="C182" s="20" t="s">
        <v>846</v>
      </c>
      <c r="D182" s="137">
        <v>2230000</v>
      </c>
      <c r="E182" s="20" t="s">
        <v>393</v>
      </c>
      <c r="F182" s="20" t="s">
        <v>352</v>
      </c>
      <c r="G182" s="8" t="str">
        <f t="shared" si="4"/>
        <v>SMITH MICHAEL</v>
      </c>
      <c r="H182" s="20" t="str">
        <f t="shared" si="5"/>
        <v>4056</v>
      </c>
    </row>
    <row r="183" spans="1:8" x14ac:dyDescent="0.3">
      <c r="A183" s="8">
        <v>43106.754953703705</v>
      </c>
      <c r="B183" s="20" t="s">
        <v>503</v>
      </c>
      <c r="C183" s="20" t="s">
        <v>847</v>
      </c>
      <c r="D183" s="137">
        <v>2550000</v>
      </c>
      <c r="E183" s="20" t="s">
        <v>586</v>
      </c>
      <c r="F183" s="20" t="s">
        <v>587</v>
      </c>
      <c r="G183" s="8" t="str">
        <f t="shared" si="4"/>
        <v>BADERTSCHER DIANE</v>
      </c>
      <c r="H183" s="20" t="str">
        <f t="shared" si="5"/>
        <v>4033</v>
      </c>
    </row>
    <row r="184" spans="1:8" x14ac:dyDescent="0.3">
      <c r="A184" s="8">
        <v>43106.757037037038</v>
      </c>
      <c r="B184" s="20" t="s">
        <v>392</v>
      </c>
      <c r="C184" s="20" t="s">
        <v>848</v>
      </c>
      <c r="D184" s="137">
        <v>3340000</v>
      </c>
      <c r="E184" s="20" t="s">
        <v>461</v>
      </c>
      <c r="F184" s="20" t="s">
        <v>462</v>
      </c>
      <c r="G184" s="8" t="str">
        <f t="shared" si="4"/>
        <v>ELBAUM MIKE</v>
      </c>
      <c r="H184" s="20" t="str">
        <f t="shared" si="5"/>
        <v>4030</v>
      </c>
    </row>
    <row r="185" spans="1:8" x14ac:dyDescent="0.3">
      <c r="A185" s="8">
        <v>43106.763148148151</v>
      </c>
      <c r="B185" s="20" t="s">
        <v>668</v>
      </c>
      <c r="C185" s="20" t="s">
        <v>849</v>
      </c>
      <c r="D185" s="137">
        <v>3330000</v>
      </c>
      <c r="E185" s="20" t="s">
        <v>787</v>
      </c>
      <c r="F185" s="20" t="s">
        <v>788</v>
      </c>
      <c r="G185" s="8" t="str">
        <f t="shared" si="4"/>
        <v>GONZALEZ ARMANDO</v>
      </c>
      <c r="H185" s="20" t="str">
        <f t="shared" si="5"/>
        <v>4053</v>
      </c>
    </row>
    <row r="186" spans="1:8" x14ac:dyDescent="0.3">
      <c r="A186" s="8">
        <v>43106.767708333333</v>
      </c>
      <c r="B186" s="20" t="s">
        <v>370</v>
      </c>
      <c r="C186" s="20" t="s">
        <v>850</v>
      </c>
      <c r="D186" s="137">
        <v>3320000</v>
      </c>
      <c r="E186" s="20" t="s">
        <v>363</v>
      </c>
      <c r="F186" s="20" t="s">
        <v>364</v>
      </c>
      <c r="G186" s="8" t="str">
        <f t="shared" si="4"/>
        <v>NICHOLSON WESLEY</v>
      </c>
      <c r="H186" s="20" t="str">
        <f t="shared" si="5"/>
        <v>4012</v>
      </c>
    </row>
    <row r="187" spans="1:8" x14ac:dyDescent="0.3">
      <c r="A187" s="8">
        <v>43106.768125000002</v>
      </c>
      <c r="B187" s="20" t="s">
        <v>351</v>
      </c>
      <c r="C187" s="20" t="s">
        <v>851</v>
      </c>
      <c r="D187" s="137">
        <v>2230000</v>
      </c>
      <c r="E187" s="20" t="s">
        <v>393</v>
      </c>
      <c r="F187" s="20" t="s">
        <v>352</v>
      </c>
      <c r="G187" s="8" t="str">
        <f t="shared" si="4"/>
        <v>SMITH MICHAEL</v>
      </c>
      <c r="H187" s="20" t="str">
        <f t="shared" si="5"/>
        <v>4055</v>
      </c>
    </row>
    <row r="188" spans="1:8" x14ac:dyDescent="0.3">
      <c r="A188" s="8">
        <v>43106.770891203705</v>
      </c>
      <c r="B188" s="20" t="s">
        <v>517</v>
      </c>
      <c r="C188" s="20" t="s">
        <v>852</v>
      </c>
      <c r="D188" s="137">
        <v>3000000</v>
      </c>
      <c r="E188" s="20" t="s">
        <v>538</v>
      </c>
      <c r="F188" s="20" t="s">
        <v>539</v>
      </c>
      <c r="G188" s="8" t="str">
        <f t="shared" si="4"/>
        <v>FORTUNATO FRANK</v>
      </c>
      <c r="H188" s="20" t="str">
        <f t="shared" si="5"/>
        <v>4063</v>
      </c>
    </row>
    <row r="189" spans="1:8" x14ac:dyDescent="0.3">
      <c r="A189" s="8">
        <v>43106.78707175926</v>
      </c>
      <c r="B189" s="20" t="s">
        <v>386</v>
      </c>
      <c r="C189" s="20" t="s">
        <v>677</v>
      </c>
      <c r="D189" s="137">
        <v>3340000</v>
      </c>
      <c r="E189" s="20" t="s">
        <v>461</v>
      </c>
      <c r="F189" s="20" t="s">
        <v>462</v>
      </c>
      <c r="G189" s="8" t="str">
        <f t="shared" si="4"/>
        <v>ELBAUM MIKE</v>
      </c>
      <c r="H189" s="20" t="str">
        <f t="shared" si="5"/>
        <v>4029</v>
      </c>
    </row>
    <row r="190" spans="1:8" x14ac:dyDescent="0.3">
      <c r="A190" s="8">
        <v>43106.787268518521</v>
      </c>
      <c r="B190" s="20" t="s">
        <v>390</v>
      </c>
      <c r="C190" s="20" t="s">
        <v>853</v>
      </c>
      <c r="D190" s="137">
        <v>2420000</v>
      </c>
      <c r="E190" s="20" t="s">
        <v>543</v>
      </c>
      <c r="F190" s="20" t="s">
        <v>544</v>
      </c>
      <c r="G190" s="8" t="str">
        <f t="shared" si="4"/>
        <v>HOLCOMB KAMDEN</v>
      </c>
      <c r="H190" s="20" t="str">
        <f t="shared" si="5"/>
        <v>4059</v>
      </c>
    </row>
    <row r="191" spans="1:8" x14ac:dyDescent="0.3">
      <c r="A191" s="8">
        <v>43106.789849537039</v>
      </c>
      <c r="B191" s="20" t="s">
        <v>535</v>
      </c>
      <c r="C191" s="20" t="s">
        <v>854</v>
      </c>
      <c r="D191" s="137">
        <v>2970000</v>
      </c>
      <c r="E191" s="20" t="s">
        <v>374</v>
      </c>
      <c r="F191" s="20" t="s">
        <v>375</v>
      </c>
      <c r="G191" s="8" t="str">
        <f t="shared" si="4"/>
        <v>GUZMAN DANNY</v>
      </c>
      <c r="H191" s="20" t="str">
        <f t="shared" si="5"/>
        <v>4034</v>
      </c>
    </row>
    <row r="192" spans="1:8" x14ac:dyDescent="0.3">
      <c r="A192" s="8">
        <v>43106.790219907409</v>
      </c>
      <c r="B192" s="20" t="s">
        <v>478</v>
      </c>
      <c r="C192" s="20" t="s">
        <v>855</v>
      </c>
      <c r="D192" s="137">
        <v>3310000</v>
      </c>
      <c r="E192" s="20" t="s">
        <v>474</v>
      </c>
      <c r="F192" s="20" t="s">
        <v>475</v>
      </c>
      <c r="G192" s="8" t="str">
        <f t="shared" si="4"/>
        <v>ANDERS STEVEN</v>
      </c>
      <c r="H192" s="20" t="str">
        <f t="shared" si="5"/>
        <v>4044</v>
      </c>
    </row>
    <row r="193" spans="1:8" x14ac:dyDescent="0.3">
      <c r="A193" s="8">
        <v>43106.794594907406</v>
      </c>
      <c r="B193" s="20" t="s">
        <v>582</v>
      </c>
      <c r="C193" s="20" t="s">
        <v>856</v>
      </c>
      <c r="D193" s="137">
        <v>2230000</v>
      </c>
      <c r="E193" s="20" t="s">
        <v>393</v>
      </c>
      <c r="F193" s="20" t="s">
        <v>352</v>
      </c>
      <c r="G193" s="8" t="str">
        <f t="shared" si="4"/>
        <v>SMITH MICHAEL</v>
      </c>
      <c r="H193" s="20" t="str">
        <f t="shared" si="5"/>
        <v>4056</v>
      </c>
    </row>
    <row r="194" spans="1:8" x14ac:dyDescent="0.3">
      <c r="A194" s="8">
        <v>43106.797465277778</v>
      </c>
      <c r="B194" s="20" t="s">
        <v>590</v>
      </c>
      <c r="C194" s="20" t="s">
        <v>857</v>
      </c>
      <c r="D194" s="137">
        <v>3330000</v>
      </c>
      <c r="E194" s="20" t="s">
        <v>787</v>
      </c>
      <c r="F194" s="20" t="s">
        <v>788</v>
      </c>
      <c r="G194" s="8" t="str">
        <f t="shared" si="4"/>
        <v>GONZALEZ ARMANDO</v>
      </c>
      <c r="H194" s="20" t="str">
        <f t="shared" si="5"/>
        <v>4054</v>
      </c>
    </row>
    <row r="195" spans="1:8" x14ac:dyDescent="0.3">
      <c r="A195" s="8">
        <v>43106.799305555556</v>
      </c>
      <c r="B195" s="20" t="s">
        <v>371</v>
      </c>
      <c r="C195" s="20" t="s">
        <v>680</v>
      </c>
      <c r="D195" s="137">
        <v>3320000</v>
      </c>
      <c r="E195" s="20" t="s">
        <v>363</v>
      </c>
      <c r="F195" s="20" t="s">
        <v>364</v>
      </c>
      <c r="G195" s="8" t="str">
        <f t="shared" ref="G195:G258" si="6">E195&amp;" "&amp;F195</f>
        <v>NICHOLSON WESLEY</v>
      </c>
      <c r="H195" s="20" t="str">
        <f t="shared" ref="H195:H258" si="7">MID(B195,13,4)</f>
        <v>4011</v>
      </c>
    </row>
    <row r="196" spans="1:8" x14ac:dyDescent="0.3">
      <c r="A196" s="8">
        <v>43106.806851851848</v>
      </c>
      <c r="B196" s="20" t="s">
        <v>504</v>
      </c>
      <c r="C196" s="20" t="s">
        <v>858</v>
      </c>
      <c r="D196" s="137">
        <v>3000000</v>
      </c>
      <c r="E196" s="20" t="s">
        <v>538</v>
      </c>
      <c r="F196" s="20" t="s">
        <v>539</v>
      </c>
      <c r="G196" s="8" t="str">
        <f t="shared" si="6"/>
        <v>FORTUNATO FRANK</v>
      </c>
      <c r="H196" s="20" t="str">
        <f t="shared" si="7"/>
        <v>4064</v>
      </c>
    </row>
    <row r="197" spans="1:8" x14ac:dyDescent="0.3">
      <c r="A197" s="8">
        <v>43106.810613425929</v>
      </c>
      <c r="B197" s="20" t="s">
        <v>351</v>
      </c>
      <c r="C197" s="20" t="s">
        <v>678</v>
      </c>
      <c r="D197" s="137">
        <v>2230000</v>
      </c>
      <c r="E197" s="20" t="s">
        <v>393</v>
      </c>
      <c r="F197" s="20" t="s">
        <v>352</v>
      </c>
      <c r="G197" s="8" t="str">
        <f t="shared" si="6"/>
        <v>SMITH MICHAEL</v>
      </c>
      <c r="H197" s="20" t="str">
        <f t="shared" si="7"/>
        <v>4055</v>
      </c>
    </row>
    <row r="198" spans="1:8" x14ac:dyDescent="0.3">
      <c r="A198" s="8">
        <v>43106.819421296299</v>
      </c>
      <c r="B198" s="20" t="s">
        <v>357</v>
      </c>
      <c r="C198" s="20" t="s">
        <v>859</v>
      </c>
      <c r="D198" s="137">
        <v>2420000</v>
      </c>
      <c r="E198" s="20" t="s">
        <v>543</v>
      </c>
      <c r="F198" s="20" t="s">
        <v>544</v>
      </c>
      <c r="G198" s="8" t="str">
        <f t="shared" si="6"/>
        <v>HOLCOMB KAMDEN</v>
      </c>
      <c r="H198" s="20" t="str">
        <f t="shared" si="7"/>
        <v>4060</v>
      </c>
    </row>
    <row r="199" spans="1:8" x14ac:dyDescent="0.3">
      <c r="A199" s="8">
        <v>43106.822997685187</v>
      </c>
      <c r="B199" s="20" t="s">
        <v>580</v>
      </c>
      <c r="C199" s="20" t="s">
        <v>679</v>
      </c>
      <c r="D199" s="137">
        <v>3310000</v>
      </c>
      <c r="E199" s="20" t="s">
        <v>474</v>
      </c>
      <c r="F199" s="20" t="s">
        <v>475</v>
      </c>
      <c r="G199" s="8" t="str">
        <f t="shared" si="6"/>
        <v>ANDERS STEVEN</v>
      </c>
      <c r="H199" s="20" t="str">
        <f t="shared" si="7"/>
        <v>4043</v>
      </c>
    </row>
    <row r="200" spans="1:8" x14ac:dyDescent="0.3">
      <c r="A200" s="8">
        <v>43106.827719907407</v>
      </c>
      <c r="B200" s="20" t="s">
        <v>392</v>
      </c>
      <c r="C200" s="20" t="s">
        <v>860</v>
      </c>
      <c r="D200" s="137">
        <v>3340000</v>
      </c>
      <c r="E200" s="20" t="s">
        <v>461</v>
      </c>
      <c r="F200" s="20" t="s">
        <v>462</v>
      </c>
      <c r="G200" s="8" t="str">
        <f t="shared" si="6"/>
        <v>ELBAUM MIKE</v>
      </c>
      <c r="H200" s="20" t="str">
        <f t="shared" si="7"/>
        <v>4030</v>
      </c>
    </row>
    <row r="201" spans="1:8" x14ac:dyDescent="0.3">
      <c r="A201" s="8">
        <v>43106.8278125</v>
      </c>
      <c r="B201" s="20" t="s">
        <v>861</v>
      </c>
      <c r="C201" s="20" t="s">
        <v>862</v>
      </c>
      <c r="D201" s="137">
        <v>3680000</v>
      </c>
      <c r="E201" s="20" t="s">
        <v>465</v>
      </c>
      <c r="F201" s="20" t="s">
        <v>466</v>
      </c>
      <c r="G201" s="8" t="str">
        <f t="shared" si="6"/>
        <v>HAMMOND JUSTYNN</v>
      </c>
      <c r="H201" s="20" t="str">
        <f t="shared" si="7"/>
        <v>4058</v>
      </c>
    </row>
    <row r="202" spans="1:8" x14ac:dyDescent="0.3">
      <c r="A202" s="26">
        <v>43106.829456018517</v>
      </c>
      <c r="B202" s="20" t="s">
        <v>580</v>
      </c>
      <c r="C202" s="20" t="s">
        <v>679</v>
      </c>
      <c r="D202" s="137">
        <v>3310000</v>
      </c>
      <c r="E202" s="20" t="s">
        <v>474</v>
      </c>
      <c r="F202" s="20" t="s">
        <v>475</v>
      </c>
      <c r="G202" s="8" t="str">
        <f t="shared" si="6"/>
        <v>ANDERS STEVEN</v>
      </c>
      <c r="H202" s="20" t="str">
        <f t="shared" si="7"/>
        <v>4043</v>
      </c>
    </row>
    <row r="203" spans="1:8" x14ac:dyDescent="0.3">
      <c r="A203" s="8">
        <v>43106.829641203702</v>
      </c>
      <c r="B203" s="20" t="s">
        <v>861</v>
      </c>
      <c r="C203" s="20" t="s">
        <v>862</v>
      </c>
      <c r="D203" s="137">
        <v>3680000</v>
      </c>
      <c r="E203" s="20" t="s">
        <v>465</v>
      </c>
      <c r="F203" s="20" t="s">
        <v>466</v>
      </c>
      <c r="G203" s="8" t="str">
        <f t="shared" si="6"/>
        <v>HAMMOND JUSTYNN</v>
      </c>
      <c r="H203" s="20" t="str">
        <f t="shared" si="7"/>
        <v>4058</v>
      </c>
    </row>
    <row r="204" spans="1:8" x14ac:dyDescent="0.3">
      <c r="A204" s="8">
        <v>43106.833645833336</v>
      </c>
      <c r="B204" s="20" t="s">
        <v>843</v>
      </c>
      <c r="C204" s="20" t="s">
        <v>862</v>
      </c>
      <c r="D204" s="137">
        <v>3680000</v>
      </c>
      <c r="E204" s="20" t="s">
        <v>465</v>
      </c>
      <c r="F204" s="20" t="s">
        <v>466</v>
      </c>
      <c r="G204" s="8" t="str">
        <f t="shared" si="6"/>
        <v>HAMMOND JUSTYNN</v>
      </c>
      <c r="H204" s="20" t="str">
        <f t="shared" si="7"/>
        <v>4057</v>
      </c>
    </row>
    <row r="205" spans="1:8" x14ac:dyDescent="0.3">
      <c r="A205" s="8">
        <v>43106.835856481484</v>
      </c>
      <c r="B205" s="20" t="s">
        <v>582</v>
      </c>
      <c r="C205" s="20" t="s">
        <v>863</v>
      </c>
      <c r="D205" s="137">
        <v>2230000</v>
      </c>
      <c r="E205" s="20" t="s">
        <v>393</v>
      </c>
      <c r="F205" s="20" t="s">
        <v>352</v>
      </c>
      <c r="G205" s="8" t="str">
        <f t="shared" si="6"/>
        <v>SMITH MICHAEL</v>
      </c>
      <c r="H205" s="20" t="str">
        <f t="shared" si="7"/>
        <v>4056</v>
      </c>
    </row>
    <row r="206" spans="1:8" x14ac:dyDescent="0.3">
      <c r="A206" s="8">
        <v>43106.839155092595</v>
      </c>
      <c r="B206" s="20" t="s">
        <v>517</v>
      </c>
      <c r="C206" s="20" t="s">
        <v>681</v>
      </c>
      <c r="D206" s="137">
        <v>3000000</v>
      </c>
      <c r="E206" s="20" t="s">
        <v>538</v>
      </c>
      <c r="F206" s="20" t="s">
        <v>539</v>
      </c>
      <c r="G206" s="8" t="str">
        <f t="shared" si="6"/>
        <v>FORTUNATO FRANK</v>
      </c>
      <c r="H206" s="20" t="str">
        <f t="shared" si="7"/>
        <v>4063</v>
      </c>
    </row>
    <row r="207" spans="1:8" x14ac:dyDescent="0.3">
      <c r="A207" s="8">
        <v>43106.847384259258</v>
      </c>
      <c r="B207" s="20" t="s">
        <v>861</v>
      </c>
      <c r="C207" s="20" t="s">
        <v>864</v>
      </c>
      <c r="D207" s="137">
        <v>3320000</v>
      </c>
      <c r="E207" s="20" t="s">
        <v>363</v>
      </c>
      <c r="F207" s="20" t="s">
        <v>364</v>
      </c>
      <c r="G207" s="8" t="str">
        <f t="shared" si="6"/>
        <v>NICHOLSON WESLEY</v>
      </c>
      <c r="H207" s="20" t="str">
        <f t="shared" si="7"/>
        <v>4058</v>
      </c>
    </row>
    <row r="208" spans="1:8" x14ac:dyDescent="0.3">
      <c r="A208" s="8">
        <v>43106.851840277777</v>
      </c>
      <c r="B208" s="20" t="s">
        <v>351</v>
      </c>
      <c r="C208" s="20" t="s">
        <v>865</v>
      </c>
      <c r="D208" s="137">
        <v>2230000</v>
      </c>
      <c r="E208" s="20" t="s">
        <v>393</v>
      </c>
      <c r="F208" s="20" t="s">
        <v>352</v>
      </c>
      <c r="G208" s="8" t="str">
        <f t="shared" si="6"/>
        <v>SMITH MICHAEL</v>
      </c>
      <c r="H208" s="20" t="str">
        <f t="shared" si="7"/>
        <v>4055</v>
      </c>
    </row>
    <row r="209" spans="1:8" x14ac:dyDescent="0.3">
      <c r="A209" s="8">
        <v>43106.858981481484</v>
      </c>
      <c r="B209" s="20" t="s">
        <v>386</v>
      </c>
      <c r="C209" s="20" t="s">
        <v>866</v>
      </c>
      <c r="D209" s="137">
        <v>3340000</v>
      </c>
      <c r="E209" s="20" t="s">
        <v>461</v>
      </c>
      <c r="F209" s="20" t="s">
        <v>462</v>
      </c>
      <c r="G209" s="8" t="str">
        <f t="shared" si="6"/>
        <v>ELBAUM MIKE</v>
      </c>
      <c r="H209" s="20" t="str">
        <f t="shared" si="7"/>
        <v>4029</v>
      </c>
    </row>
    <row r="210" spans="1:8" x14ac:dyDescent="0.3">
      <c r="A210" s="8">
        <v>43106.873287037037</v>
      </c>
      <c r="B210" s="20" t="s">
        <v>478</v>
      </c>
      <c r="C210" s="20" t="s">
        <v>867</v>
      </c>
      <c r="D210" s="137">
        <v>3310000</v>
      </c>
      <c r="E210" s="20" t="s">
        <v>474</v>
      </c>
      <c r="F210" s="20" t="s">
        <v>475</v>
      </c>
      <c r="G210" s="8" t="str">
        <f t="shared" si="6"/>
        <v>ANDERS STEVEN</v>
      </c>
      <c r="H210" s="20" t="str">
        <f t="shared" si="7"/>
        <v>4044</v>
      </c>
    </row>
    <row r="211" spans="1:8" x14ac:dyDescent="0.3">
      <c r="A211" s="8">
        <v>43106.87568287037</v>
      </c>
      <c r="B211" s="20" t="s">
        <v>582</v>
      </c>
      <c r="C211" s="20" t="s">
        <v>868</v>
      </c>
      <c r="D211" s="137">
        <v>2230000</v>
      </c>
      <c r="E211" s="20" t="s">
        <v>393</v>
      </c>
      <c r="F211" s="20" t="s">
        <v>352</v>
      </c>
      <c r="G211" s="8" t="str">
        <f t="shared" si="6"/>
        <v>SMITH MICHAEL</v>
      </c>
      <c r="H211" s="20" t="str">
        <f t="shared" si="7"/>
        <v>4056</v>
      </c>
    </row>
    <row r="212" spans="1:8" x14ac:dyDescent="0.3">
      <c r="A212" s="8">
        <v>43106.888553240744</v>
      </c>
      <c r="B212" s="20" t="s">
        <v>843</v>
      </c>
      <c r="C212" s="20" t="s">
        <v>869</v>
      </c>
      <c r="D212" s="137">
        <v>3320000</v>
      </c>
      <c r="E212" s="20" t="s">
        <v>363</v>
      </c>
      <c r="F212" s="20" t="s">
        <v>364</v>
      </c>
      <c r="G212" s="8" t="str">
        <f t="shared" si="6"/>
        <v>NICHOLSON WESLEY</v>
      </c>
      <c r="H212" s="20" t="str">
        <f t="shared" si="7"/>
        <v>4057</v>
      </c>
    </row>
    <row r="213" spans="1:8" x14ac:dyDescent="0.3">
      <c r="A213" s="8">
        <v>43106.888703703706</v>
      </c>
      <c r="B213" s="20" t="s">
        <v>504</v>
      </c>
      <c r="C213" s="20" t="s">
        <v>870</v>
      </c>
      <c r="D213" s="137">
        <v>3000000</v>
      </c>
      <c r="E213" s="20" t="s">
        <v>538</v>
      </c>
      <c r="F213" s="20" t="s">
        <v>539</v>
      </c>
      <c r="G213" s="8" t="str">
        <f t="shared" si="6"/>
        <v>FORTUNATO FRANK</v>
      </c>
      <c r="H213" s="20" t="str">
        <f t="shared" si="7"/>
        <v>4064</v>
      </c>
    </row>
    <row r="214" spans="1:8" x14ac:dyDescent="0.3">
      <c r="A214" s="8">
        <v>43106.892696759256</v>
      </c>
      <c r="B214" s="20" t="s">
        <v>351</v>
      </c>
      <c r="C214" s="20" t="s">
        <v>871</v>
      </c>
      <c r="D214" s="137">
        <v>2230000</v>
      </c>
      <c r="E214" s="20" t="s">
        <v>393</v>
      </c>
      <c r="F214" s="20" t="s">
        <v>352</v>
      </c>
      <c r="G214" s="8" t="str">
        <f t="shared" si="6"/>
        <v>SMITH MICHAEL</v>
      </c>
      <c r="H214" s="20" t="str">
        <f t="shared" si="7"/>
        <v>4055</v>
      </c>
    </row>
    <row r="215" spans="1:8" x14ac:dyDescent="0.3">
      <c r="A215" s="8">
        <v>43106.900127314817</v>
      </c>
      <c r="B215" s="20" t="s">
        <v>392</v>
      </c>
      <c r="C215" s="20" t="s">
        <v>872</v>
      </c>
      <c r="D215" s="137">
        <v>3340000</v>
      </c>
      <c r="E215" s="20" t="s">
        <v>461</v>
      </c>
      <c r="F215" s="20" t="s">
        <v>462</v>
      </c>
      <c r="G215" s="8" t="str">
        <f t="shared" si="6"/>
        <v>ELBAUM MIKE</v>
      </c>
      <c r="H215" s="20" t="str">
        <f t="shared" si="7"/>
        <v>4030</v>
      </c>
    </row>
    <row r="216" spans="1:8" x14ac:dyDescent="0.3">
      <c r="A216" s="8">
        <v>43106.910833333335</v>
      </c>
      <c r="B216" s="20" t="s">
        <v>580</v>
      </c>
      <c r="C216" s="20" t="s">
        <v>873</v>
      </c>
      <c r="D216" s="137">
        <v>3310000</v>
      </c>
      <c r="E216" s="20" t="s">
        <v>474</v>
      </c>
      <c r="F216" s="20" t="s">
        <v>475</v>
      </c>
      <c r="G216" s="8" t="str">
        <f t="shared" si="6"/>
        <v>ANDERS STEVEN</v>
      </c>
      <c r="H216" s="20" t="str">
        <f t="shared" si="7"/>
        <v>4043</v>
      </c>
    </row>
    <row r="217" spans="1:8" x14ac:dyDescent="0.3">
      <c r="A217" s="8">
        <v>43106.916064814817</v>
      </c>
      <c r="B217" s="20" t="s">
        <v>582</v>
      </c>
      <c r="C217" s="20" t="s">
        <v>874</v>
      </c>
      <c r="D217" s="137">
        <v>2230000</v>
      </c>
      <c r="E217" s="20" t="s">
        <v>393</v>
      </c>
      <c r="F217" s="20" t="s">
        <v>352</v>
      </c>
      <c r="G217" s="8" t="str">
        <f t="shared" si="6"/>
        <v>SMITH MICHAEL</v>
      </c>
      <c r="H217" s="20" t="str">
        <f t="shared" si="7"/>
        <v>4056</v>
      </c>
    </row>
    <row r="218" spans="1:8" x14ac:dyDescent="0.3">
      <c r="A218" s="8">
        <v>43106.922835648147</v>
      </c>
      <c r="B218" s="20" t="s">
        <v>517</v>
      </c>
      <c r="C218" s="20" t="s">
        <v>682</v>
      </c>
      <c r="D218" s="137">
        <v>3000000</v>
      </c>
      <c r="E218" s="20" t="s">
        <v>538</v>
      </c>
      <c r="F218" s="20" t="s">
        <v>539</v>
      </c>
      <c r="G218" s="8" t="str">
        <f t="shared" si="6"/>
        <v>FORTUNATO FRANK</v>
      </c>
      <c r="H218" s="20" t="str">
        <f t="shared" si="7"/>
        <v>4063</v>
      </c>
    </row>
    <row r="219" spans="1:8" x14ac:dyDescent="0.3">
      <c r="A219" s="8">
        <v>43106.929583333331</v>
      </c>
      <c r="B219" s="20" t="s">
        <v>861</v>
      </c>
      <c r="C219" s="20" t="s">
        <v>875</v>
      </c>
      <c r="D219" s="137">
        <v>3320000</v>
      </c>
      <c r="E219" s="20" t="s">
        <v>363</v>
      </c>
      <c r="F219" s="20" t="s">
        <v>364</v>
      </c>
      <c r="G219" s="8" t="str">
        <f t="shared" si="6"/>
        <v>NICHOLSON WESLEY</v>
      </c>
      <c r="H219" s="20" t="str">
        <f t="shared" si="7"/>
        <v>4058</v>
      </c>
    </row>
    <row r="220" spans="1:8" x14ac:dyDescent="0.3">
      <c r="A220" s="8">
        <v>43106.934490740743</v>
      </c>
      <c r="B220" s="20" t="s">
        <v>351</v>
      </c>
      <c r="C220" s="20" t="s">
        <v>683</v>
      </c>
      <c r="D220" s="137">
        <v>2230000</v>
      </c>
      <c r="E220" s="20" t="s">
        <v>393</v>
      </c>
      <c r="F220" s="20" t="s">
        <v>352</v>
      </c>
      <c r="G220" s="8" t="str">
        <f t="shared" si="6"/>
        <v>SMITH MICHAEL</v>
      </c>
      <c r="H220" s="20" t="str">
        <f t="shared" si="7"/>
        <v>4055</v>
      </c>
    </row>
    <row r="221" spans="1:8" x14ac:dyDescent="0.3">
      <c r="A221" s="8">
        <v>43106.945231481484</v>
      </c>
      <c r="B221" s="20" t="s">
        <v>386</v>
      </c>
      <c r="C221" s="20" t="s">
        <v>684</v>
      </c>
      <c r="D221" s="137">
        <v>3340000</v>
      </c>
      <c r="E221" s="20" t="s">
        <v>461</v>
      </c>
      <c r="F221" s="20" t="s">
        <v>462</v>
      </c>
      <c r="G221" s="8" t="str">
        <f t="shared" si="6"/>
        <v>ELBAUM MIKE</v>
      </c>
      <c r="H221" s="20" t="str">
        <f t="shared" si="7"/>
        <v>4029</v>
      </c>
    </row>
    <row r="222" spans="1:8" x14ac:dyDescent="0.3">
      <c r="A222" s="8">
        <v>43106.953668981485</v>
      </c>
      <c r="B222" s="20" t="s">
        <v>478</v>
      </c>
      <c r="C222" s="20" t="s">
        <v>876</v>
      </c>
      <c r="D222" s="137">
        <v>3310000</v>
      </c>
      <c r="E222" s="20" t="s">
        <v>474</v>
      </c>
      <c r="F222" s="20" t="s">
        <v>475</v>
      </c>
      <c r="G222" s="8" t="str">
        <f t="shared" si="6"/>
        <v>ANDERS STEVEN</v>
      </c>
      <c r="H222" s="20" t="str">
        <f t="shared" si="7"/>
        <v>4044</v>
      </c>
    </row>
    <row r="223" spans="1:8" x14ac:dyDescent="0.3">
      <c r="A223" s="8">
        <v>43106.95784722222</v>
      </c>
      <c r="B223" s="20" t="s">
        <v>582</v>
      </c>
      <c r="C223" s="20" t="s">
        <v>877</v>
      </c>
      <c r="D223" s="137">
        <v>2230000</v>
      </c>
      <c r="E223" s="20" t="s">
        <v>393</v>
      </c>
      <c r="F223" s="20" t="s">
        <v>352</v>
      </c>
      <c r="G223" s="8" t="str">
        <f t="shared" si="6"/>
        <v>SMITH MICHAEL</v>
      </c>
      <c r="H223" s="20" t="str">
        <f t="shared" si="7"/>
        <v>4056</v>
      </c>
    </row>
    <row r="224" spans="1:8" x14ac:dyDescent="0.3">
      <c r="A224" s="8">
        <v>43106.973368055558</v>
      </c>
      <c r="B224" t="s">
        <v>843</v>
      </c>
      <c r="C224" t="s">
        <v>878</v>
      </c>
      <c r="D224" s="137">
        <v>3320000</v>
      </c>
      <c r="E224" t="s">
        <v>363</v>
      </c>
      <c r="F224" s="20" t="s">
        <v>364</v>
      </c>
      <c r="G224" s="8" t="str">
        <f t="shared" si="6"/>
        <v>NICHOLSON WESLEY</v>
      </c>
      <c r="H224" s="20" t="str">
        <f t="shared" si="7"/>
        <v>4057</v>
      </c>
    </row>
    <row r="225" spans="1:8" x14ac:dyDescent="0.3">
      <c r="A225" s="8">
        <v>43106.974942129629</v>
      </c>
      <c r="B225" t="s">
        <v>504</v>
      </c>
      <c r="C225" t="s">
        <v>685</v>
      </c>
      <c r="D225" s="137">
        <v>3000000</v>
      </c>
      <c r="E225" t="s">
        <v>538</v>
      </c>
      <c r="F225" s="20" t="s">
        <v>539</v>
      </c>
      <c r="G225" s="8" t="str">
        <f t="shared" si="6"/>
        <v>FORTUNATO FRANK</v>
      </c>
      <c r="H225" s="20" t="str">
        <f t="shared" si="7"/>
        <v>4064</v>
      </c>
    </row>
    <row r="226" spans="1:8" x14ac:dyDescent="0.3">
      <c r="A226" s="8">
        <v>43106.976412037038</v>
      </c>
      <c r="B226" t="s">
        <v>351</v>
      </c>
      <c r="C226" t="s">
        <v>879</v>
      </c>
      <c r="D226" s="137">
        <v>2230000</v>
      </c>
      <c r="E226" t="s">
        <v>393</v>
      </c>
      <c r="F226" s="20" t="s">
        <v>352</v>
      </c>
      <c r="G226" s="8" t="str">
        <f t="shared" si="6"/>
        <v>SMITH MICHAEL</v>
      </c>
      <c r="H226" s="20" t="str">
        <f t="shared" si="7"/>
        <v>4055</v>
      </c>
    </row>
    <row r="227" spans="1:8" x14ac:dyDescent="0.3">
      <c r="A227" s="8">
        <v>43106.99527777778</v>
      </c>
      <c r="B227" t="s">
        <v>392</v>
      </c>
      <c r="C227" t="s">
        <v>880</v>
      </c>
      <c r="D227" s="137">
        <v>3340000</v>
      </c>
      <c r="E227" t="s">
        <v>461</v>
      </c>
      <c r="F227" s="20" t="s">
        <v>462</v>
      </c>
      <c r="G227" s="8" t="str">
        <f t="shared" si="6"/>
        <v>ELBAUM MIKE</v>
      </c>
      <c r="H227" s="20" t="str">
        <f t="shared" si="7"/>
        <v>4030</v>
      </c>
    </row>
    <row r="228" spans="1:8" x14ac:dyDescent="0.3">
      <c r="A228" s="8">
        <v>43106.996990740743</v>
      </c>
      <c r="B228" t="s">
        <v>580</v>
      </c>
      <c r="C228" t="s">
        <v>686</v>
      </c>
      <c r="D228" s="137">
        <v>3310000</v>
      </c>
      <c r="E228" t="s">
        <v>474</v>
      </c>
      <c r="F228" s="20" t="s">
        <v>475</v>
      </c>
      <c r="G228" s="8" t="str">
        <f t="shared" si="6"/>
        <v>ANDERS STEVEN</v>
      </c>
      <c r="H228" s="20" t="str">
        <f t="shared" si="7"/>
        <v>4043</v>
      </c>
    </row>
    <row r="229" spans="1:8" x14ac:dyDescent="0.3">
      <c r="A229" s="8">
        <v>43107.00675925926</v>
      </c>
      <c r="B229" t="s">
        <v>517</v>
      </c>
      <c r="C229" t="s">
        <v>881</v>
      </c>
      <c r="D229" s="137">
        <v>3000000</v>
      </c>
      <c r="E229" t="s">
        <v>538</v>
      </c>
      <c r="F229" s="20" t="s">
        <v>539</v>
      </c>
      <c r="G229" s="8" t="str">
        <f t="shared" si="6"/>
        <v>FORTUNATO FRANK</v>
      </c>
      <c r="H229" s="20" t="str">
        <f t="shared" si="7"/>
        <v>4063</v>
      </c>
    </row>
    <row r="230" spans="1:8" x14ac:dyDescent="0.3">
      <c r="A230" s="8">
        <v>43107.00854166667</v>
      </c>
      <c r="B230" t="s">
        <v>861</v>
      </c>
      <c r="C230" t="s">
        <v>882</v>
      </c>
      <c r="D230" s="137">
        <v>3320000</v>
      </c>
      <c r="E230" t="s">
        <v>363</v>
      </c>
      <c r="F230" s="20" t="s">
        <v>364</v>
      </c>
      <c r="G230" s="8" t="str">
        <f t="shared" si="6"/>
        <v>NICHOLSON WESLEY</v>
      </c>
      <c r="H230" s="20" t="str">
        <f t="shared" si="7"/>
        <v>4058</v>
      </c>
    </row>
    <row r="231" spans="1:8" x14ac:dyDescent="0.3">
      <c r="A231" s="8">
        <v>43107.027708333335</v>
      </c>
      <c r="B231" t="s">
        <v>386</v>
      </c>
      <c r="C231" t="s">
        <v>883</v>
      </c>
      <c r="D231" s="137">
        <v>3340000</v>
      </c>
      <c r="E231" t="s">
        <v>461</v>
      </c>
      <c r="F231" s="20" t="s">
        <v>462</v>
      </c>
      <c r="G231" s="8" t="str">
        <f t="shared" si="6"/>
        <v>ELBAUM MIKE</v>
      </c>
      <c r="H231" s="20" t="str">
        <f t="shared" si="7"/>
        <v>4029</v>
      </c>
    </row>
    <row r="232" spans="1:8" x14ac:dyDescent="0.3">
      <c r="A232" s="8">
        <v>43107.030393518522</v>
      </c>
      <c r="B232" t="s">
        <v>478</v>
      </c>
      <c r="C232" t="s">
        <v>884</v>
      </c>
      <c r="D232" s="137">
        <v>3310000</v>
      </c>
      <c r="E232" t="s">
        <v>474</v>
      </c>
      <c r="F232" s="20" t="s">
        <v>475</v>
      </c>
      <c r="G232" s="8" t="str">
        <f t="shared" si="6"/>
        <v>ANDERS STEVEN</v>
      </c>
      <c r="H232" s="20" t="str">
        <f t="shared" si="7"/>
        <v>4044</v>
      </c>
    </row>
    <row r="233" spans="1:8" x14ac:dyDescent="0.3">
      <c r="A233" s="8">
        <v>43107.046527777777</v>
      </c>
      <c r="B233" t="s">
        <v>504</v>
      </c>
      <c r="C233" t="s">
        <v>885</v>
      </c>
      <c r="D233" s="137">
        <v>3000000</v>
      </c>
      <c r="E233" t="s">
        <v>538</v>
      </c>
      <c r="F233" s="20" t="s">
        <v>539</v>
      </c>
      <c r="G233" s="8" t="str">
        <f t="shared" si="6"/>
        <v>FORTUNATO FRANK</v>
      </c>
      <c r="H233" s="20" t="str">
        <f t="shared" si="7"/>
        <v>4064</v>
      </c>
    </row>
    <row r="234" spans="1:8" x14ac:dyDescent="0.3">
      <c r="A234" s="8">
        <v>43107.054722222223</v>
      </c>
      <c r="B234" t="s">
        <v>843</v>
      </c>
      <c r="C234" t="s">
        <v>886</v>
      </c>
      <c r="D234" s="137">
        <v>3320000</v>
      </c>
      <c r="E234" t="s">
        <v>363</v>
      </c>
      <c r="F234" s="20" t="s">
        <v>364</v>
      </c>
      <c r="G234" s="8" t="str">
        <f t="shared" si="6"/>
        <v>NICHOLSON WESLEY</v>
      </c>
      <c r="H234" s="20" t="str">
        <f t="shared" si="7"/>
        <v>4057</v>
      </c>
    </row>
    <row r="235" spans="1:8" x14ac:dyDescent="0.3">
      <c r="A235" s="8">
        <v>43107.066354166665</v>
      </c>
      <c r="B235" t="s">
        <v>392</v>
      </c>
      <c r="C235" t="s">
        <v>887</v>
      </c>
      <c r="D235" s="137">
        <v>3340000</v>
      </c>
      <c r="E235" t="s">
        <v>461</v>
      </c>
      <c r="F235" s="20" t="s">
        <v>462</v>
      </c>
      <c r="G235" s="8" t="str">
        <f t="shared" si="6"/>
        <v>ELBAUM MIKE</v>
      </c>
      <c r="H235" s="20" t="str">
        <f t="shared" si="7"/>
        <v>4030</v>
      </c>
    </row>
    <row r="236" spans="1:8" x14ac:dyDescent="0.3">
      <c r="A236" s="8">
        <v>43107.079560185186</v>
      </c>
      <c r="B236" t="s">
        <v>580</v>
      </c>
      <c r="C236" t="s">
        <v>888</v>
      </c>
      <c r="D236" s="137">
        <v>3310000</v>
      </c>
      <c r="E236" t="s">
        <v>474</v>
      </c>
      <c r="F236" s="20" t="s">
        <v>475</v>
      </c>
      <c r="G236" s="8" t="str">
        <f t="shared" si="6"/>
        <v>ANDERS STEVEN</v>
      </c>
      <c r="H236" s="20" t="str">
        <f t="shared" si="7"/>
        <v>4043</v>
      </c>
    </row>
    <row r="237" spans="1:8" x14ac:dyDescent="0.3">
      <c r="A237" s="8">
        <v>43107.093182870369</v>
      </c>
      <c r="B237" t="s">
        <v>861</v>
      </c>
      <c r="C237" t="s">
        <v>889</v>
      </c>
      <c r="D237" s="137">
        <v>3320000</v>
      </c>
      <c r="E237" t="s">
        <v>363</v>
      </c>
      <c r="F237" s="20" t="s">
        <v>364</v>
      </c>
      <c r="G237" s="8" t="str">
        <f t="shared" si="6"/>
        <v>NICHOLSON WESLEY</v>
      </c>
      <c r="H237" s="20" t="str">
        <f t="shared" si="7"/>
        <v>4058</v>
      </c>
    </row>
    <row r="238" spans="1:8" x14ac:dyDescent="0.3">
      <c r="A238" s="8">
        <v>43107.113726851851</v>
      </c>
      <c r="B238" t="s">
        <v>478</v>
      </c>
      <c r="C238" t="s">
        <v>890</v>
      </c>
      <c r="D238" s="137">
        <v>3310000</v>
      </c>
      <c r="E238" t="s">
        <v>474</v>
      </c>
      <c r="F238" s="20" t="s">
        <v>475</v>
      </c>
      <c r="G238" s="8" t="str">
        <f t="shared" si="6"/>
        <v>ANDERS STEVEN</v>
      </c>
      <c r="H238" s="20" t="str">
        <f t="shared" si="7"/>
        <v>4044</v>
      </c>
    </row>
    <row r="239" spans="1:8" x14ac:dyDescent="0.3">
      <c r="A239" s="8">
        <v>43104.977442129632</v>
      </c>
      <c r="B239" t="s">
        <v>360</v>
      </c>
      <c r="C239" t="s">
        <v>591</v>
      </c>
      <c r="D239" s="137">
        <v>890000</v>
      </c>
      <c r="E239" t="s">
        <v>344</v>
      </c>
      <c r="F239" s="20" t="s">
        <v>345</v>
      </c>
      <c r="G239" s="8" t="str">
        <f t="shared" si="6"/>
        <v>LOZA FIDEL</v>
      </c>
      <c r="H239" s="20" t="str">
        <f t="shared" si="7"/>
        <v>4018</v>
      </c>
    </row>
    <row r="240" spans="1:8" x14ac:dyDescent="0.3">
      <c r="A240" s="8">
        <v>43104.977500000001</v>
      </c>
      <c r="B240" t="s">
        <v>578</v>
      </c>
      <c r="C240" t="s">
        <v>592</v>
      </c>
      <c r="D240" s="137">
        <v>3490000</v>
      </c>
      <c r="E240" t="s">
        <v>588</v>
      </c>
      <c r="F240" s="20" t="s">
        <v>589</v>
      </c>
      <c r="G240" s="8" t="str">
        <f t="shared" si="6"/>
        <v>WEST BRYAN</v>
      </c>
      <c r="H240" s="20" t="str">
        <f t="shared" si="7"/>
        <v>4015</v>
      </c>
    </row>
    <row r="241" spans="1:8" x14ac:dyDescent="0.3">
      <c r="A241" s="8">
        <v>43104.987083333333</v>
      </c>
      <c r="B241" t="s">
        <v>577</v>
      </c>
      <c r="C241" t="s">
        <v>593</v>
      </c>
      <c r="D241" s="137">
        <v>3340000</v>
      </c>
      <c r="E241" t="s">
        <v>461</v>
      </c>
      <c r="F241" s="20" t="s">
        <v>462</v>
      </c>
      <c r="G241" s="8" t="str">
        <f t="shared" si="6"/>
        <v>ELBAUM MIKE</v>
      </c>
      <c r="H241" s="20" t="str">
        <f t="shared" si="7"/>
        <v>4046</v>
      </c>
    </row>
    <row r="242" spans="1:8" x14ac:dyDescent="0.3">
      <c r="A242" s="8">
        <v>43104.988449074073</v>
      </c>
      <c r="B242" t="s">
        <v>503</v>
      </c>
      <c r="C242" t="s">
        <v>594</v>
      </c>
      <c r="D242" s="137">
        <v>3310000</v>
      </c>
      <c r="E242" t="s">
        <v>474</v>
      </c>
      <c r="F242" s="20" t="s">
        <v>475</v>
      </c>
      <c r="G242" s="8" t="str">
        <f t="shared" si="6"/>
        <v>ANDERS STEVEN</v>
      </c>
      <c r="H242" s="20" t="str">
        <f t="shared" si="7"/>
        <v>4033</v>
      </c>
    </row>
    <row r="243" spans="1:8" x14ac:dyDescent="0.3">
      <c r="A243" s="8">
        <v>43105.010648148149</v>
      </c>
      <c r="B243" t="s">
        <v>504</v>
      </c>
      <c r="C243" t="s">
        <v>595</v>
      </c>
      <c r="D243" s="137">
        <v>3320000</v>
      </c>
      <c r="E243" t="s">
        <v>363</v>
      </c>
      <c r="F243" s="20" t="s">
        <v>364</v>
      </c>
      <c r="G243" s="8" t="str">
        <f t="shared" si="6"/>
        <v>NICHOLSON WESLEY</v>
      </c>
      <c r="H243" s="20" t="str">
        <f t="shared" si="7"/>
        <v>4064</v>
      </c>
    </row>
    <row r="244" spans="1:8" x14ac:dyDescent="0.3">
      <c r="A244" s="8">
        <v>43105.015763888892</v>
      </c>
      <c r="B244" t="s">
        <v>362</v>
      </c>
      <c r="C244" t="s">
        <v>596</v>
      </c>
      <c r="D244" s="137">
        <v>890000</v>
      </c>
      <c r="E244" t="s">
        <v>344</v>
      </c>
      <c r="F244" s="20" t="s">
        <v>345</v>
      </c>
      <c r="G244" s="8" t="str">
        <f t="shared" si="6"/>
        <v>LOZA FIDEL</v>
      </c>
      <c r="H244" s="20" t="str">
        <f t="shared" si="7"/>
        <v>4017</v>
      </c>
    </row>
    <row r="245" spans="1:8" x14ac:dyDescent="0.3">
      <c r="A245" s="8">
        <v>43105.025879629633</v>
      </c>
      <c r="B245" t="s">
        <v>576</v>
      </c>
      <c r="C245" t="s">
        <v>581</v>
      </c>
      <c r="D245" s="137">
        <v>3340000</v>
      </c>
      <c r="E245" t="s">
        <v>461</v>
      </c>
      <c r="F245" s="20" t="s">
        <v>462</v>
      </c>
      <c r="G245" s="8" t="str">
        <f t="shared" si="6"/>
        <v>ELBAUM MIKE</v>
      </c>
      <c r="H245" s="20" t="str">
        <f t="shared" si="7"/>
        <v>4045</v>
      </c>
    </row>
    <row r="246" spans="1:8" x14ac:dyDescent="0.3">
      <c r="A246" s="8">
        <v>43105.027650462966</v>
      </c>
      <c r="B246" t="s">
        <v>535</v>
      </c>
      <c r="C246" t="s">
        <v>597</v>
      </c>
      <c r="D246" s="137">
        <v>3310000</v>
      </c>
      <c r="E246" t="s">
        <v>474</v>
      </c>
      <c r="F246" s="20" t="s">
        <v>475</v>
      </c>
      <c r="G246" s="8" t="str">
        <f t="shared" si="6"/>
        <v>ANDERS STEVEN</v>
      </c>
      <c r="H246" s="20" t="str">
        <f t="shared" si="7"/>
        <v>4034</v>
      </c>
    </row>
    <row r="247" spans="1:8" x14ac:dyDescent="0.3">
      <c r="A247" s="8">
        <v>43105.048217592594</v>
      </c>
      <c r="B247" t="s">
        <v>360</v>
      </c>
      <c r="C247" t="s">
        <v>598</v>
      </c>
      <c r="D247" s="137">
        <v>890000</v>
      </c>
      <c r="E247" t="s">
        <v>344</v>
      </c>
      <c r="F247" s="20" t="s">
        <v>345</v>
      </c>
      <c r="G247" s="8" t="str">
        <f t="shared" si="6"/>
        <v>LOZA FIDEL</v>
      </c>
      <c r="H247" s="20" t="str">
        <f t="shared" si="7"/>
        <v>4018</v>
      </c>
    </row>
    <row r="248" spans="1:8" x14ac:dyDescent="0.3">
      <c r="A248" s="8">
        <v>43105.055</v>
      </c>
      <c r="B248" t="s">
        <v>517</v>
      </c>
      <c r="C248" t="s">
        <v>599</v>
      </c>
      <c r="D248" s="137">
        <v>3320000</v>
      </c>
      <c r="E248" t="s">
        <v>363</v>
      </c>
      <c r="F248" s="20" t="s">
        <v>364</v>
      </c>
      <c r="G248" s="8" t="str">
        <f t="shared" si="6"/>
        <v>NICHOLSON WESLEY</v>
      </c>
      <c r="H248" s="20" t="str">
        <f t="shared" si="7"/>
        <v>4063</v>
      </c>
    </row>
    <row r="249" spans="1:8" x14ac:dyDescent="0.3">
      <c r="A249" s="8">
        <v>43105.066979166666</v>
      </c>
      <c r="B249" t="s">
        <v>577</v>
      </c>
      <c r="C249" t="s">
        <v>600</v>
      </c>
      <c r="D249" s="137">
        <v>3340000</v>
      </c>
      <c r="E249" t="s">
        <v>461</v>
      </c>
      <c r="F249" s="20" t="s">
        <v>462</v>
      </c>
      <c r="G249" s="8" t="str">
        <f t="shared" si="6"/>
        <v>ELBAUM MIKE</v>
      </c>
      <c r="H249" s="20" t="str">
        <f t="shared" si="7"/>
        <v>4046</v>
      </c>
    </row>
    <row r="250" spans="1:8" x14ac:dyDescent="0.3">
      <c r="A250" s="8">
        <v>43105.091458333336</v>
      </c>
      <c r="B250" t="s">
        <v>504</v>
      </c>
      <c r="C250" t="s">
        <v>601</v>
      </c>
      <c r="D250" s="137">
        <v>3320000</v>
      </c>
      <c r="E250" t="s">
        <v>363</v>
      </c>
      <c r="F250" s="20" t="s">
        <v>364</v>
      </c>
      <c r="G250" s="8" t="str">
        <f t="shared" si="6"/>
        <v>NICHOLSON WESLEY</v>
      </c>
      <c r="H250" s="20" t="str">
        <f t="shared" si="7"/>
        <v>4064</v>
      </c>
    </row>
    <row r="251" spans="1:8" x14ac:dyDescent="0.3">
      <c r="A251" s="8">
        <v>43092.069814814815</v>
      </c>
      <c r="B251" t="s">
        <v>490</v>
      </c>
      <c r="C251" t="s">
        <v>472</v>
      </c>
      <c r="D251" s="137">
        <v>3320000</v>
      </c>
      <c r="E251" t="s">
        <v>363</v>
      </c>
      <c r="F251" s="20" t="s">
        <v>364</v>
      </c>
      <c r="G251" s="8" t="str">
        <f t="shared" si="6"/>
        <v>NICHOLSON WESLEY</v>
      </c>
      <c r="H251" s="20" t="str">
        <f t="shared" si="7"/>
        <v>4020</v>
      </c>
    </row>
    <row r="252" spans="1:8" x14ac:dyDescent="0.3">
      <c r="A252" s="8">
        <v>43092.071180555555</v>
      </c>
      <c r="B252" t="s">
        <v>476</v>
      </c>
      <c r="C252" t="s">
        <v>492</v>
      </c>
      <c r="D252" s="137">
        <v>3310000</v>
      </c>
      <c r="E252" t="s">
        <v>474</v>
      </c>
      <c r="F252" s="20" t="s">
        <v>475</v>
      </c>
      <c r="G252" s="8" t="str">
        <f t="shared" si="6"/>
        <v>ANDERS STEVEN</v>
      </c>
      <c r="H252" s="20" t="str">
        <f t="shared" si="7"/>
        <v>4009</v>
      </c>
    </row>
    <row r="253" spans="1:8" x14ac:dyDescent="0.3">
      <c r="A253" s="8">
        <v>43092.086921296293</v>
      </c>
      <c r="B253" t="s">
        <v>470</v>
      </c>
      <c r="C253" t="s">
        <v>473</v>
      </c>
      <c r="D253" s="137">
        <v>3340000</v>
      </c>
      <c r="E253" t="s">
        <v>461</v>
      </c>
      <c r="F253" s="20" t="s">
        <v>462</v>
      </c>
      <c r="G253" s="8" t="str">
        <f t="shared" si="6"/>
        <v>ELBAUM MIKE</v>
      </c>
      <c r="H253" s="20" t="str">
        <f t="shared" si="7"/>
        <v>4006</v>
      </c>
    </row>
    <row r="254" spans="1:8" x14ac:dyDescent="0.3">
      <c r="A254" s="8">
        <v>43092.109120370369</v>
      </c>
      <c r="B254" t="s">
        <v>442</v>
      </c>
      <c r="C254" t="s">
        <v>471</v>
      </c>
      <c r="D254" s="137">
        <v>3310000</v>
      </c>
      <c r="E254" t="s">
        <v>474</v>
      </c>
      <c r="F254" s="20" t="s">
        <v>475</v>
      </c>
      <c r="G254" s="8" t="str">
        <f t="shared" si="6"/>
        <v>ANDERS STEVEN</v>
      </c>
      <c r="H254" s="20" t="str">
        <f t="shared" si="7"/>
        <v>4010</v>
      </c>
    </row>
    <row r="255" spans="1:8" x14ac:dyDescent="0.3">
      <c r="A255" s="8">
        <v>43057.086678240739</v>
      </c>
      <c r="B255" t="s">
        <v>446</v>
      </c>
      <c r="C255" t="s">
        <v>467</v>
      </c>
      <c r="D255" s="137">
        <v>3340000</v>
      </c>
      <c r="E255" t="s">
        <v>461</v>
      </c>
      <c r="F255" s="20" t="s">
        <v>462</v>
      </c>
      <c r="G255" s="8" t="str">
        <f t="shared" si="6"/>
        <v>ELBAUM MIKE</v>
      </c>
      <c r="H255" s="20" t="str">
        <f t="shared" si="7"/>
        <v>4042</v>
      </c>
    </row>
    <row r="256" spans="1:8" x14ac:dyDescent="0.3">
      <c r="A256" s="8">
        <v>43057.109247685185</v>
      </c>
      <c r="B256" t="s">
        <v>442</v>
      </c>
      <c r="C256" t="s">
        <v>468</v>
      </c>
      <c r="D256" s="137">
        <v>3680000</v>
      </c>
      <c r="E256" t="s">
        <v>465</v>
      </c>
      <c r="F256" s="20" t="s">
        <v>466</v>
      </c>
      <c r="G256" s="8" t="str">
        <f t="shared" si="6"/>
        <v>HAMMOND JUSTYNN</v>
      </c>
      <c r="H256" s="20" t="str">
        <f t="shared" si="7"/>
        <v>4010</v>
      </c>
    </row>
    <row r="257" spans="1:8" x14ac:dyDescent="0.3">
      <c r="A257" s="8">
        <v>43048.013437499998</v>
      </c>
      <c r="B257" t="s">
        <v>443</v>
      </c>
      <c r="C257" t="s">
        <v>454</v>
      </c>
      <c r="D257" s="137">
        <v>2540000</v>
      </c>
      <c r="E257" t="s">
        <v>452</v>
      </c>
      <c r="F257" s="20" t="s">
        <v>453</v>
      </c>
      <c r="G257" s="8" t="str">
        <f t="shared" si="6"/>
        <v>MCREYNOLDS KYLE</v>
      </c>
      <c r="H257" s="20" t="str">
        <f t="shared" si="7"/>
        <v>4049</v>
      </c>
    </row>
    <row r="258" spans="1:8" x14ac:dyDescent="0.3">
      <c r="A258" s="8">
        <v>43048.016064814816</v>
      </c>
      <c r="B258" t="s">
        <v>357</v>
      </c>
      <c r="C258" t="s">
        <v>448</v>
      </c>
      <c r="D258" s="137">
        <v>3700000</v>
      </c>
      <c r="E258" t="s">
        <v>445</v>
      </c>
      <c r="F258" s="20" t="s">
        <v>369</v>
      </c>
      <c r="G258" s="8" t="str">
        <f t="shared" si="6"/>
        <v>AUSTIN THOMPSON</v>
      </c>
      <c r="H258" s="20" t="str">
        <f t="shared" si="7"/>
        <v>4060</v>
      </c>
    </row>
    <row r="259" spans="1:8" x14ac:dyDescent="0.3">
      <c r="A259" s="8">
        <v>43048.033553240741</v>
      </c>
      <c r="B259" t="s">
        <v>442</v>
      </c>
      <c r="C259" t="s">
        <v>455</v>
      </c>
      <c r="D259" s="137">
        <v>3320000</v>
      </c>
      <c r="E259" t="s">
        <v>363</v>
      </c>
      <c r="F259" s="20" t="s">
        <v>364</v>
      </c>
      <c r="G259" s="8" t="str">
        <f t="shared" ref="G259:G313" si="8">E259&amp;" "&amp;F259</f>
        <v>NICHOLSON WESLEY</v>
      </c>
      <c r="H259" s="20" t="str">
        <f t="shared" ref="H259:H313" si="9">MID(B259,13,4)</f>
        <v>4010</v>
      </c>
    </row>
    <row r="260" spans="1:8" x14ac:dyDescent="0.3">
      <c r="A260" s="8">
        <v>43048.038171296299</v>
      </c>
      <c r="B260" t="s">
        <v>449</v>
      </c>
      <c r="C260" t="s">
        <v>456</v>
      </c>
      <c r="D260" s="137">
        <v>890000</v>
      </c>
      <c r="E260" t="s">
        <v>344</v>
      </c>
      <c r="F260" s="20" t="s">
        <v>345</v>
      </c>
      <c r="G260" s="8" t="str">
        <f t="shared" si="8"/>
        <v>LOZA FIDEL</v>
      </c>
      <c r="H260" s="20" t="str">
        <f t="shared" si="9"/>
        <v>4051</v>
      </c>
    </row>
    <row r="261" spans="1:8" x14ac:dyDescent="0.3">
      <c r="A261" s="8">
        <v>43048.048414351855</v>
      </c>
      <c r="B261" t="s">
        <v>444</v>
      </c>
      <c r="C261" t="s">
        <v>457</v>
      </c>
      <c r="D261" s="137">
        <v>2440000</v>
      </c>
      <c r="E261" t="s">
        <v>450</v>
      </c>
      <c r="F261" s="20" t="s">
        <v>451</v>
      </c>
      <c r="G261" s="8" t="str">
        <f t="shared" si="8"/>
        <v>LOPES KIMBERLY</v>
      </c>
      <c r="H261" s="20" t="str">
        <f t="shared" si="9"/>
        <v>4050</v>
      </c>
    </row>
    <row r="262" spans="1:8" x14ac:dyDescent="0.3">
      <c r="A262" s="8">
        <v>43048.057881944442</v>
      </c>
      <c r="B262" t="s">
        <v>390</v>
      </c>
      <c r="C262" t="s">
        <v>458</v>
      </c>
      <c r="D262" s="137">
        <v>3700000</v>
      </c>
      <c r="E262" t="s">
        <v>445</v>
      </c>
      <c r="F262" s="20" t="s">
        <v>369</v>
      </c>
      <c r="G262" s="8" t="str">
        <f t="shared" si="8"/>
        <v>AUSTIN THOMPSON</v>
      </c>
      <c r="H262" s="20" t="str">
        <f t="shared" si="9"/>
        <v>4059</v>
      </c>
    </row>
    <row r="263" spans="1:8" x14ac:dyDescent="0.3">
      <c r="A263" s="8">
        <v>43048.067511574074</v>
      </c>
      <c r="B263" t="s">
        <v>447</v>
      </c>
      <c r="C263" t="s">
        <v>459</v>
      </c>
      <c r="D263" s="137">
        <v>890000</v>
      </c>
      <c r="E263" t="s">
        <v>344</v>
      </c>
      <c r="F263" s="20" t="s">
        <v>345</v>
      </c>
      <c r="G263" s="8" t="str">
        <f t="shared" si="8"/>
        <v>LOZA FIDEL</v>
      </c>
      <c r="H263" s="20" t="str">
        <f t="shared" si="9"/>
        <v>4052</v>
      </c>
    </row>
    <row r="264" spans="1:8" x14ac:dyDescent="0.3">
      <c r="A264" s="8">
        <v>43048.089965277781</v>
      </c>
      <c r="B264" t="s">
        <v>357</v>
      </c>
      <c r="C264" t="s">
        <v>460</v>
      </c>
      <c r="D264" s="137">
        <v>3700000</v>
      </c>
      <c r="E264" t="s">
        <v>445</v>
      </c>
      <c r="F264" s="20" t="s">
        <v>369</v>
      </c>
      <c r="G264" s="8" t="str">
        <f t="shared" si="8"/>
        <v>AUSTIN THOMPSON</v>
      </c>
      <c r="H264" s="20" t="str">
        <f t="shared" si="9"/>
        <v>4060</v>
      </c>
    </row>
    <row r="265" spans="1:8" x14ac:dyDescent="0.3">
      <c r="A265" s="8">
        <v>43039.772962962961</v>
      </c>
      <c r="B265" t="s">
        <v>386</v>
      </c>
      <c r="C265" t="s">
        <v>398</v>
      </c>
      <c r="D265" s="137">
        <v>3670000</v>
      </c>
      <c r="E265" t="s">
        <v>382</v>
      </c>
      <c r="F265" s="20" t="s">
        <v>368</v>
      </c>
      <c r="G265" s="8" t="str">
        <f t="shared" si="8"/>
        <v>ANDREA WILLIAMS</v>
      </c>
      <c r="H265" s="20" t="str">
        <f t="shared" si="9"/>
        <v>4029</v>
      </c>
    </row>
    <row r="266" spans="1:8" x14ac:dyDescent="0.3">
      <c r="A266" s="8">
        <v>43039.775405092594</v>
      </c>
      <c r="B266" t="s">
        <v>360</v>
      </c>
      <c r="C266" t="s">
        <v>399</v>
      </c>
      <c r="D266" s="137">
        <v>2000000</v>
      </c>
      <c r="E266" t="s">
        <v>394</v>
      </c>
      <c r="F266" s="20" t="s">
        <v>395</v>
      </c>
      <c r="G266" s="8" t="str">
        <f t="shared" si="8"/>
        <v>STAMBAUGH JAMES</v>
      </c>
      <c r="H266" s="20" t="str">
        <f t="shared" si="9"/>
        <v>4018</v>
      </c>
    </row>
    <row r="267" spans="1:8" x14ac:dyDescent="0.3">
      <c r="A267" s="8">
        <v>43039.778333333335</v>
      </c>
      <c r="B267" t="s">
        <v>384</v>
      </c>
      <c r="C267" t="s">
        <v>400</v>
      </c>
      <c r="D267" s="137">
        <v>1300000</v>
      </c>
      <c r="E267" t="s">
        <v>358</v>
      </c>
      <c r="F267" s="20" t="s">
        <v>359</v>
      </c>
      <c r="G267" s="8" t="str">
        <f t="shared" si="8"/>
        <v>LEVIN SCOTT</v>
      </c>
      <c r="H267" s="20" t="str">
        <f t="shared" si="9"/>
        <v>4022</v>
      </c>
    </row>
    <row r="268" spans="1:8" x14ac:dyDescent="0.3">
      <c r="A268" s="8">
        <v>43039.779745370368</v>
      </c>
      <c r="B268" t="s">
        <v>390</v>
      </c>
      <c r="C268" t="s">
        <v>401</v>
      </c>
      <c r="D268" s="137">
        <v>2230000</v>
      </c>
      <c r="E268" t="s">
        <v>393</v>
      </c>
      <c r="F268" s="20" t="s">
        <v>352</v>
      </c>
      <c r="G268" s="8" t="str">
        <f t="shared" si="8"/>
        <v>SMITH MICHAEL</v>
      </c>
      <c r="H268" s="20" t="str">
        <f t="shared" si="9"/>
        <v>4059</v>
      </c>
    </row>
    <row r="269" spans="1:8" x14ac:dyDescent="0.3">
      <c r="A269" s="8">
        <v>43039.788460648146</v>
      </c>
      <c r="B269" t="s">
        <v>362</v>
      </c>
      <c r="C269" t="s">
        <v>402</v>
      </c>
      <c r="D269" s="137">
        <v>2000000</v>
      </c>
      <c r="E269" t="s">
        <v>394</v>
      </c>
      <c r="F269" s="20" t="s">
        <v>395</v>
      </c>
      <c r="G269" s="8" t="str">
        <f t="shared" si="8"/>
        <v>STAMBAUGH JAMES</v>
      </c>
      <c r="H269" s="20" t="str">
        <f t="shared" si="9"/>
        <v>4017</v>
      </c>
    </row>
    <row r="270" spans="1:8" x14ac:dyDescent="0.3">
      <c r="A270" s="8">
        <v>43039.79</v>
      </c>
      <c r="B270" t="s">
        <v>356</v>
      </c>
      <c r="C270" t="s">
        <v>403</v>
      </c>
      <c r="D270" s="137">
        <v>3500000</v>
      </c>
      <c r="E270" t="s">
        <v>376</v>
      </c>
      <c r="F270" s="20" t="s">
        <v>377</v>
      </c>
      <c r="G270" s="8" t="str">
        <f t="shared" si="8"/>
        <v>GUNTHIER ERIC</v>
      </c>
      <c r="H270" s="20" t="str">
        <f t="shared" si="9"/>
        <v>4008</v>
      </c>
    </row>
    <row r="271" spans="1:8" x14ac:dyDescent="0.3">
      <c r="A271" s="8">
        <v>43039.790324074071</v>
      </c>
      <c r="B271" t="s">
        <v>371</v>
      </c>
      <c r="C271" t="s">
        <v>404</v>
      </c>
      <c r="D271" s="137">
        <v>3320000</v>
      </c>
      <c r="E271" t="s">
        <v>363</v>
      </c>
      <c r="F271" s="20" t="s">
        <v>364</v>
      </c>
      <c r="G271" s="8" t="str">
        <f t="shared" si="8"/>
        <v>NICHOLSON WESLEY</v>
      </c>
      <c r="H271" s="20" t="str">
        <f t="shared" si="9"/>
        <v>4011</v>
      </c>
    </row>
    <row r="272" spans="1:8" x14ac:dyDescent="0.3">
      <c r="A272" s="8">
        <v>43039.795312499999</v>
      </c>
      <c r="B272" t="s">
        <v>383</v>
      </c>
      <c r="C272" t="s">
        <v>405</v>
      </c>
      <c r="D272" s="137">
        <v>2610000</v>
      </c>
      <c r="E272" t="s">
        <v>380</v>
      </c>
      <c r="F272" s="20" t="s">
        <v>381</v>
      </c>
      <c r="G272" s="8" t="str">
        <f t="shared" si="8"/>
        <v>MAGEE KENYA</v>
      </c>
      <c r="H272" s="20" t="str">
        <f t="shared" si="9"/>
        <v>4062</v>
      </c>
    </row>
    <row r="273" spans="1:8" x14ac:dyDescent="0.3">
      <c r="A273" s="8">
        <v>43039.801539351851</v>
      </c>
      <c r="B273" t="s">
        <v>391</v>
      </c>
      <c r="C273" t="s">
        <v>406</v>
      </c>
      <c r="D273" s="137">
        <v>2630000</v>
      </c>
      <c r="E273" t="s">
        <v>372</v>
      </c>
      <c r="F273" s="20" t="s">
        <v>373</v>
      </c>
      <c r="G273" s="8" t="str">
        <f t="shared" si="8"/>
        <v>SAFIEF AEIMEN</v>
      </c>
      <c r="H273" s="20" t="str">
        <f t="shared" si="9"/>
        <v>4028</v>
      </c>
    </row>
    <row r="274" spans="1:8" x14ac:dyDescent="0.3">
      <c r="A274" s="8">
        <v>43039.809201388889</v>
      </c>
      <c r="B274" t="s">
        <v>392</v>
      </c>
      <c r="C274" t="s">
        <v>407</v>
      </c>
      <c r="D274" s="137">
        <v>3670000</v>
      </c>
      <c r="E274" t="s">
        <v>382</v>
      </c>
      <c r="F274" s="20" t="s">
        <v>368</v>
      </c>
      <c r="G274" s="8" t="str">
        <f t="shared" si="8"/>
        <v>ANDREA WILLIAMS</v>
      </c>
      <c r="H274" s="20" t="str">
        <f t="shared" si="9"/>
        <v>4030</v>
      </c>
    </row>
    <row r="275" spans="1:8" x14ac:dyDescent="0.3">
      <c r="A275" s="8">
        <v>43039.809328703705</v>
      </c>
      <c r="B275" t="s">
        <v>367</v>
      </c>
      <c r="C275" t="s">
        <v>408</v>
      </c>
      <c r="D275" s="137">
        <v>2040000</v>
      </c>
      <c r="E275" t="s">
        <v>396</v>
      </c>
      <c r="F275" s="20" t="s">
        <v>397</v>
      </c>
      <c r="G275" s="8" t="str">
        <f t="shared" si="8"/>
        <v>MOSES BRADLEY</v>
      </c>
      <c r="H275" s="20" t="str">
        <f t="shared" si="9"/>
        <v>4035</v>
      </c>
    </row>
    <row r="276" spans="1:8" x14ac:dyDescent="0.3">
      <c r="A276" s="8">
        <v>43039.810011574074</v>
      </c>
      <c r="B276" t="s">
        <v>385</v>
      </c>
      <c r="C276" t="s">
        <v>409</v>
      </c>
      <c r="D276" s="137">
        <v>2610000</v>
      </c>
      <c r="E276" t="s">
        <v>380</v>
      </c>
      <c r="F276" s="20" t="s">
        <v>381</v>
      </c>
      <c r="G276" s="8" t="str">
        <f t="shared" si="8"/>
        <v>MAGEE KENYA</v>
      </c>
      <c r="H276" s="20" t="str">
        <f t="shared" si="9"/>
        <v>4061</v>
      </c>
    </row>
    <row r="277" spans="1:8" x14ac:dyDescent="0.3">
      <c r="A277" s="8">
        <v>43039.818749999999</v>
      </c>
      <c r="B277" t="s">
        <v>357</v>
      </c>
      <c r="C277" t="s">
        <v>410</v>
      </c>
      <c r="D277" s="137">
        <v>2230000</v>
      </c>
      <c r="E277" t="s">
        <v>393</v>
      </c>
      <c r="F277" s="20" t="s">
        <v>352</v>
      </c>
      <c r="G277" s="8" t="str">
        <f t="shared" si="8"/>
        <v>SMITH MICHAEL</v>
      </c>
      <c r="H277" s="20" t="str">
        <f t="shared" si="9"/>
        <v>4060</v>
      </c>
    </row>
    <row r="278" spans="1:8" x14ac:dyDescent="0.3">
      <c r="A278" s="8">
        <v>43039.830092592594</v>
      </c>
      <c r="B278" t="s">
        <v>361</v>
      </c>
      <c r="C278" t="s">
        <v>411</v>
      </c>
      <c r="D278" s="137">
        <v>3500000</v>
      </c>
      <c r="E278" t="s">
        <v>376</v>
      </c>
      <c r="F278" s="20" t="s">
        <v>377</v>
      </c>
      <c r="G278" s="8" t="str">
        <f t="shared" si="8"/>
        <v>GUNTHIER ERIC</v>
      </c>
      <c r="H278" s="20" t="str">
        <f t="shared" si="9"/>
        <v>4007</v>
      </c>
    </row>
    <row r="279" spans="1:8" x14ac:dyDescent="0.3">
      <c r="A279" s="8">
        <v>43039.831967592596</v>
      </c>
      <c r="B279" t="s">
        <v>383</v>
      </c>
      <c r="C279" t="s">
        <v>412</v>
      </c>
      <c r="D279" s="137">
        <v>2970000</v>
      </c>
      <c r="E279" t="s">
        <v>374</v>
      </c>
      <c r="F279" s="20" t="s">
        <v>375</v>
      </c>
      <c r="G279" s="8" t="str">
        <f t="shared" si="8"/>
        <v>GUZMAN DANNY</v>
      </c>
      <c r="H279" s="20" t="str">
        <f t="shared" si="9"/>
        <v>4062</v>
      </c>
    </row>
    <row r="280" spans="1:8" x14ac:dyDescent="0.3">
      <c r="A280" s="8">
        <v>43039.833067129628</v>
      </c>
      <c r="B280" t="s">
        <v>370</v>
      </c>
      <c r="C280" t="s">
        <v>413</v>
      </c>
      <c r="D280" s="137">
        <v>3320000</v>
      </c>
      <c r="E280" t="s">
        <v>363</v>
      </c>
      <c r="F280" s="20" t="s">
        <v>364</v>
      </c>
      <c r="G280" s="8" t="str">
        <f t="shared" si="8"/>
        <v>NICHOLSON WESLEY</v>
      </c>
      <c r="H280" s="20" t="str">
        <f t="shared" si="9"/>
        <v>4012</v>
      </c>
    </row>
    <row r="281" spans="1:8" x14ac:dyDescent="0.3">
      <c r="A281" s="8">
        <v>43039.845081018517</v>
      </c>
      <c r="B281" t="s">
        <v>386</v>
      </c>
      <c r="C281" t="s">
        <v>387</v>
      </c>
      <c r="D281" s="137">
        <v>3670000</v>
      </c>
      <c r="E281" t="s">
        <v>382</v>
      </c>
      <c r="F281" s="20" t="s">
        <v>368</v>
      </c>
      <c r="G281" s="8" t="str">
        <f t="shared" si="8"/>
        <v>ANDREA WILLIAMS</v>
      </c>
      <c r="H281" s="20" t="str">
        <f t="shared" si="9"/>
        <v>4029</v>
      </c>
    </row>
    <row r="282" spans="1:8" x14ac:dyDescent="0.3">
      <c r="A282" s="8">
        <v>43039.85119212963</v>
      </c>
      <c r="B282" t="s">
        <v>385</v>
      </c>
      <c r="C282" t="s">
        <v>414</v>
      </c>
      <c r="D282" s="137">
        <v>2970000</v>
      </c>
      <c r="E282" t="s">
        <v>374</v>
      </c>
      <c r="F282" s="20" t="s">
        <v>375</v>
      </c>
      <c r="G282" s="8" t="str">
        <f t="shared" si="8"/>
        <v>GUZMAN DANNY</v>
      </c>
      <c r="H282" s="20" t="str">
        <f t="shared" si="9"/>
        <v>4061</v>
      </c>
    </row>
    <row r="283" spans="1:8" x14ac:dyDescent="0.3">
      <c r="A283" s="8">
        <v>43039.852789351855</v>
      </c>
      <c r="B283" t="s">
        <v>366</v>
      </c>
      <c r="C283" t="s">
        <v>415</v>
      </c>
      <c r="D283" s="137">
        <v>2040000</v>
      </c>
      <c r="E283" t="s">
        <v>396</v>
      </c>
      <c r="F283" s="20" t="s">
        <v>397</v>
      </c>
      <c r="G283" s="8" t="str">
        <f t="shared" si="8"/>
        <v>MOSES BRADLEY</v>
      </c>
      <c r="H283" s="20" t="str">
        <f t="shared" si="9"/>
        <v>4036</v>
      </c>
    </row>
    <row r="284" spans="1:8" x14ac:dyDescent="0.3">
      <c r="A284" s="8">
        <v>43039.863391203704</v>
      </c>
      <c r="B284" t="s">
        <v>356</v>
      </c>
      <c r="C284" t="s">
        <v>416</v>
      </c>
      <c r="D284" s="137">
        <v>3500000</v>
      </c>
      <c r="E284" t="s">
        <v>376</v>
      </c>
      <c r="F284" s="20" t="s">
        <v>377</v>
      </c>
      <c r="G284" s="8" t="str">
        <f t="shared" si="8"/>
        <v>GUNTHIER ERIC</v>
      </c>
      <c r="H284" s="20" t="str">
        <f t="shared" si="9"/>
        <v>4008</v>
      </c>
    </row>
    <row r="285" spans="1:8" x14ac:dyDescent="0.3">
      <c r="A285" s="8">
        <v>43039.864340277774</v>
      </c>
      <c r="B285" t="s">
        <v>371</v>
      </c>
      <c r="C285" t="s">
        <v>417</v>
      </c>
      <c r="D285" s="137">
        <v>3320000</v>
      </c>
      <c r="E285" t="s">
        <v>363</v>
      </c>
      <c r="F285" s="20" t="s">
        <v>364</v>
      </c>
      <c r="G285" s="8" t="str">
        <f t="shared" si="8"/>
        <v>NICHOLSON WESLEY</v>
      </c>
      <c r="H285" s="20" t="str">
        <f t="shared" si="9"/>
        <v>4011</v>
      </c>
    </row>
    <row r="286" spans="1:8" x14ac:dyDescent="0.3">
      <c r="A286" s="8">
        <v>43039.87841435185</v>
      </c>
      <c r="B286" t="s">
        <v>383</v>
      </c>
      <c r="C286" t="s">
        <v>418</v>
      </c>
      <c r="D286" s="137">
        <v>2000000</v>
      </c>
      <c r="E286" t="s">
        <v>394</v>
      </c>
      <c r="F286" s="20" t="s">
        <v>395</v>
      </c>
      <c r="G286" s="8" t="str">
        <f t="shared" si="8"/>
        <v>STAMBAUGH JAMES</v>
      </c>
      <c r="H286" s="20" t="str">
        <f t="shared" si="9"/>
        <v>4062</v>
      </c>
    </row>
    <row r="287" spans="1:8" x14ac:dyDescent="0.3">
      <c r="A287" s="8">
        <v>43039.882118055553</v>
      </c>
      <c r="B287" t="s">
        <v>383</v>
      </c>
      <c r="C287" t="s">
        <v>418</v>
      </c>
      <c r="D287" s="137">
        <v>2000000</v>
      </c>
      <c r="E287" t="s">
        <v>394</v>
      </c>
      <c r="F287" s="20" t="s">
        <v>395</v>
      </c>
      <c r="G287" s="8" t="str">
        <f t="shared" si="8"/>
        <v>STAMBAUGH JAMES</v>
      </c>
      <c r="H287" s="20" t="str">
        <f t="shared" si="9"/>
        <v>4062</v>
      </c>
    </row>
    <row r="288" spans="1:8" x14ac:dyDescent="0.3">
      <c r="A288" s="8">
        <v>43039.883923611109</v>
      </c>
      <c r="B288" t="s">
        <v>392</v>
      </c>
      <c r="C288" t="s">
        <v>419</v>
      </c>
      <c r="D288" s="137">
        <v>3670000</v>
      </c>
      <c r="E288" t="s">
        <v>382</v>
      </c>
      <c r="F288" s="20" t="s">
        <v>368</v>
      </c>
      <c r="G288" s="8" t="str">
        <f t="shared" si="8"/>
        <v>ANDREA WILLIAMS</v>
      </c>
      <c r="H288" s="20" t="str">
        <f t="shared" si="9"/>
        <v>4030</v>
      </c>
    </row>
    <row r="289" spans="1:8" x14ac:dyDescent="0.3">
      <c r="A289" s="8">
        <v>43039.891932870371</v>
      </c>
      <c r="B289" t="s">
        <v>367</v>
      </c>
      <c r="C289" t="s">
        <v>420</v>
      </c>
      <c r="D289" s="137">
        <v>2040000</v>
      </c>
      <c r="E289" t="s">
        <v>396</v>
      </c>
      <c r="F289" s="20" t="s">
        <v>397</v>
      </c>
      <c r="G289" s="8" t="str">
        <f t="shared" si="8"/>
        <v>MOSES BRADLEY</v>
      </c>
      <c r="H289" s="20" t="str">
        <f t="shared" si="9"/>
        <v>4035</v>
      </c>
    </row>
    <row r="290" spans="1:8" x14ac:dyDescent="0.3">
      <c r="A290" s="8">
        <v>43039.893888888888</v>
      </c>
      <c r="B290" t="s">
        <v>385</v>
      </c>
      <c r="C290" t="s">
        <v>421</v>
      </c>
      <c r="D290" s="137">
        <v>2000000</v>
      </c>
      <c r="E290" t="s">
        <v>394</v>
      </c>
      <c r="F290" s="20" t="s">
        <v>395</v>
      </c>
      <c r="G290" s="8" t="str">
        <f t="shared" si="8"/>
        <v>STAMBAUGH JAMES</v>
      </c>
      <c r="H290" s="20" t="str">
        <f t="shared" si="9"/>
        <v>4061</v>
      </c>
    </row>
    <row r="291" spans="1:8" x14ac:dyDescent="0.3">
      <c r="A291" s="8">
        <v>43039.904629629629</v>
      </c>
      <c r="B291" t="s">
        <v>370</v>
      </c>
      <c r="C291" t="s">
        <v>422</v>
      </c>
      <c r="D291" s="137">
        <v>3320000</v>
      </c>
      <c r="E291" t="s">
        <v>363</v>
      </c>
      <c r="F291" s="20" t="s">
        <v>364</v>
      </c>
      <c r="G291" s="8" t="str">
        <f t="shared" si="8"/>
        <v>NICHOLSON WESLEY</v>
      </c>
      <c r="H291" s="20" t="str">
        <f t="shared" si="9"/>
        <v>4012</v>
      </c>
    </row>
    <row r="292" spans="1:8" x14ac:dyDescent="0.3">
      <c r="A292" s="8">
        <v>43039.90934027778</v>
      </c>
      <c r="B292" t="s">
        <v>361</v>
      </c>
      <c r="C292" t="s">
        <v>423</v>
      </c>
      <c r="D292" s="137">
        <v>3500000</v>
      </c>
      <c r="E292" t="s">
        <v>376</v>
      </c>
      <c r="F292" s="20" t="s">
        <v>377</v>
      </c>
      <c r="G292" s="8" t="str">
        <f t="shared" si="8"/>
        <v>GUNTHIER ERIC</v>
      </c>
      <c r="H292" s="20" t="str">
        <f t="shared" si="9"/>
        <v>4007</v>
      </c>
    </row>
    <row r="293" spans="1:8" x14ac:dyDescent="0.3">
      <c r="A293" s="8">
        <v>43039.915127314816</v>
      </c>
      <c r="B293" t="s">
        <v>383</v>
      </c>
      <c r="C293" t="s">
        <v>424</v>
      </c>
      <c r="D293" s="137">
        <v>3220000</v>
      </c>
      <c r="E293" t="s">
        <v>378</v>
      </c>
      <c r="F293" s="20" t="s">
        <v>379</v>
      </c>
      <c r="G293" s="8" t="str">
        <f t="shared" si="8"/>
        <v>RESPASS AARON</v>
      </c>
      <c r="H293" s="20" t="str">
        <f t="shared" si="9"/>
        <v>4062</v>
      </c>
    </row>
    <row r="294" spans="1:8" x14ac:dyDescent="0.3">
      <c r="A294" s="8">
        <v>43039.926076388889</v>
      </c>
      <c r="B294" t="s">
        <v>386</v>
      </c>
      <c r="C294" t="s">
        <v>388</v>
      </c>
      <c r="D294" s="137">
        <v>3670000</v>
      </c>
      <c r="E294" t="s">
        <v>382</v>
      </c>
      <c r="F294" s="20" t="s">
        <v>368</v>
      </c>
      <c r="G294" s="8" t="str">
        <f t="shared" si="8"/>
        <v>ANDREA WILLIAMS</v>
      </c>
      <c r="H294" s="20" t="str">
        <f t="shared" si="9"/>
        <v>4029</v>
      </c>
    </row>
    <row r="295" spans="1:8" x14ac:dyDescent="0.3">
      <c r="A295" s="8">
        <v>43039.936041666668</v>
      </c>
      <c r="B295" t="s">
        <v>366</v>
      </c>
      <c r="C295" t="s">
        <v>425</v>
      </c>
      <c r="D295" s="137">
        <v>2040000</v>
      </c>
      <c r="E295" t="s">
        <v>396</v>
      </c>
      <c r="F295" s="20" t="s">
        <v>397</v>
      </c>
      <c r="G295" s="8" t="str">
        <f t="shared" si="8"/>
        <v>MOSES BRADLEY</v>
      </c>
      <c r="H295" s="20" t="str">
        <f t="shared" si="9"/>
        <v>4036</v>
      </c>
    </row>
    <row r="296" spans="1:8" x14ac:dyDescent="0.3">
      <c r="A296" s="8">
        <v>43039.945428240739</v>
      </c>
      <c r="B296" t="s">
        <v>385</v>
      </c>
      <c r="C296" t="s">
        <v>426</v>
      </c>
      <c r="D296" s="137">
        <v>3220000</v>
      </c>
      <c r="E296" t="s">
        <v>378</v>
      </c>
      <c r="F296" s="20" t="s">
        <v>379</v>
      </c>
      <c r="G296" s="8" t="str">
        <f t="shared" si="8"/>
        <v>RESPASS AARON</v>
      </c>
      <c r="H296" s="20" t="str">
        <f t="shared" si="9"/>
        <v>4061</v>
      </c>
    </row>
    <row r="297" spans="1:8" x14ac:dyDescent="0.3">
      <c r="A297" s="8">
        <v>43039.951365740744</v>
      </c>
      <c r="B297" t="s">
        <v>356</v>
      </c>
      <c r="C297" t="s">
        <v>427</v>
      </c>
      <c r="D297" s="137">
        <v>3500000</v>
      </c>
      <c r="E297" t="s">
        <v>376</v>
      </c>
      <c r="F297" s="20" t="s">
        <v>377</v>
      </c>
      <c r="G297" s="8" t="str">
        <f t="shared" si="8"/>
        <v>GUNTHIER ERIC</v>
      </c>
      <c r="H297" s="20" t="str">
        <f t="shared" si="9"/>
        <v>4008</v>
      </c>
    </row>
    <row r="298" spans="1:8" x14ac:dyDescent="0.3">
      <c r="A298" s="8">
        <v>43039.95175925926</v>
      </c>
      <c r="B298" t="s">
        <v>371</v>
      </c>
      <c r="C298" t="s">
        <v>428</v>
      </c>
      <c r="D298" s="137">
        <v>3320000</v>
      </c>
      <c r="E298" t="s">
        <v>363</v>
      </c>
      <c r="F298" s="20" t="s">
        <v>364</v>
      </c>
      <c r="G298" s="8" t="str">
        <f t="shared" si="8"/>
        <v>NICHOLSON WESLEY</v>
      </c>
      <c r="H298" s="20" t="str">
        <f t="shared" si="9"/>
        <v>4011</v>
      </c>
    </row>
    <row r="299" spans="1:8" x14ac:dyDescent="0.3">
      <c r="A299" s="8">
        <v>43039.962673611109</v>
      </c>
      <c r="B299" t="s">
        <v>383</v>
      </c>
      <c r="C299" t="s">
        <v>429</v>
      </c>
      <c r="D299" s="137">
        <v>2000000</v>
      </c>
      <c r="E299" t="s">
        <v>394</v>
      </c>
      <c r="F299" s="20" t="s">
        <v>395</v>
      </c>
      <c r="G299" s="8" t="str">
        <f t="shared" si="8"/>
        <v>STAMBAUGH JAMES</v>
      </c>
      <c r="H299" s="20" t="str">
        <f t="shared" si="9"/>
        <v>4062</v>
      </c>
    </row>
    <row r="300" spans="1:8" x14ac:dyDescent="0.3">
      <c r="A300" s="8">
        <v>43039.966550925928</v>
      </c>
      <c r="B300" t="s">
        <v>392</v>
      </c>
      <c r="C300" t="s">
        <v>430</v>
      </c>
      <c r="D300" s="137">
        <v>3670000</v>
      </c>
      <c r="E300" t="s">
        <v>382</v>
      </c>
      <c r="F300" s="20" t="s">
        <v>368</v>
      </c>
      <c r="G300" s="8" t="str">
        <f t="shared" si="8"/>
        <v>ANDREA WILLIAMS</v>
      </c>
      <c r="H300" s="20" t="str">
        <f t="shared" si="9"/>
        <v>4030</v>
      </c>
    </row>
    <row r="301" spans="1:8" x14ac:dyDescent="0.3">
      <c r="A301" s="8">
        <v>43039.974039351851</v>
      </c>
      <c r="B301" t="s">
        <v>367</v>
      </c>
      <c r="C301" t="s">
        <v>431</v>
      </c>
      <c r="D301" s="137">
        <v>2040000</v>
      </c>
      <c r="E301" t="s">
        <v>396</v>
      </c>
      <c r="F301" s="20" t="s">
        <v>397</v>
      </c>
      <c r="G301" s="8" t="str">
        <f t="shared" si="8"/>
        <v>MOSES BRADLEY</v>
      </c>
      <c r="H301" s="20" t="str">
        <f t="shared" si="9"/>
        <v>4035</v>
      </c>
    </row>
    <row r="302" spans="1:8" x14ac:dyDescent="0.3">
      <c r="A302" s="8">
        <v>43039.975474537037</v>
      </c>
      <c r="B302" t="s">
        <v>385</v>
      </c>
      <c r="C302" t="s">
        <v>432</v>
      </c>
      <c r="D302" s="137">
        <v>2000000</v>
      </c>
      <c r="E302" t="s">
        <v>394</v>
      </c>
      <c r="F302" s="20" t="s">
        <v>395</v>
      </c>
      <c r="G302" s="8" t="str">
        <f t="shared" si="8"/>
        <v>STAMBAUGH JAMES</v>
      </c>
      <c r="H302" s="20" t="str">
        <f t="shared" si="9"/>
        <v>4061</v>
      </c>
    </row>
    <row r="303" spans="1:8" x14ac:dyDescent="0.3">
      <c r="A303" s="8">
        <v>43039.989895833336</v>
      </c>
      <c r="B303" t="s">
        <v>361</v>
      </c>
      <c r="C303" t="s">
        <v>389</v>
      </c>
      <c r="D303" s="137">
        <v>3500000</v>
      </c>
      <c r="E303" t="s">
        <v>376</v>
      </c>
      <c r="F303" s="20" t="s">
        <v>377</v>
      </c>
      <c r="G303" s="8" t="str">
        <f t="shared" si="8"/>
        <v>GUNTHIER ERIC</v>
      </c>
      <c r="H303" s="20" t="str">
        <f t="shared" si="9"/>
        <v>4007</v>
      </c>
    </row>
    <row r="304" spans="1:8" x14ac:dyDescent="0.3">
      <c r="A304" s="8">
        <v>43039.991041666668</v>
      </c>
      <c r="B304" t="s">
        <v>370</v>
      </c>
      <c r="C304" t="s">
        <v>433</v>
      </c>
      <c r="D304" s="137">
        <v>3320000</v>
      </c>
      <c r="E304" t="s">
        <v>363</v>
      </c>
      <c r="F304" s="20" t="s">
        <v>364</v>
      </c>
      <c r="G304" s="8" t="str">
        <f t="shared" si="8"/>
        <v>NICHOLSON WESLEY</v>
      </c>
      <c r="H304" s="20" t="str">
        <f t="shared" si="9"/>
        <v>4012</v>
      </c>
    </row>
    <row r="305" spans="1:8" x14ac:dyDescent="0.3">
      <c r="A305" s="8">
        <v>43040.010729166665</v>
      </c>
      <c r="B305" t="s">
        <v>386</v>
      </c>
      <c r="C305" t="s">
        <v>434</v>
      </c>
      <c r="D305" s="137">
        <v>3670000</v>
      </c>
      <c r="E305" t="s">
        <v>382</v>
      </c>
      <c r="F305" s="20" t="s">
        <v>368</v>
      </c>
      <c r="G305" s="8" t="str">
        <f t="shared" si="8"/>
        <v>ANDREA WILLIAMS</v>
      </c>
      <c r="H305" s="20" t="str">
        <f t="shared" si="9"/>
        <v>4029</v>
      </c>
    </row>
    <row r="306" spans="1:8" x14ac:dyDescent="0.3">
      <c r="A306" s="8">
        <v>43040.017592592594</v>
      </c>
      <c r="B306" t="s">
        <v>366</v>
      </c>
      <c r="C306" t="s">
        <v>435</v>
      </c>
      <c r="D306" s="137">
        <v>2040000</v>
      </c>
      <c r="E306" t="s">
        <v>396</v>
      </c>
      <c r="F306" s="20" t="s">
        <v>397</v>
      </c>
      <c r="G306" s="8" t="str">
        <f t="shared" si="8"/>
        <v>MOSES BRADLEY</v>
      </c>
      <c r="H306" s="20" t="str">
        <f t="shared" si="9"/>
        <v>4036</v>
      </c>
    </row>
    <row r="307" spans="1:8" x14ac:dyDescent="0.3">
      <c r="A307" s="8">
        <v>43040.028287037036</v>
      </c>
      <c r="B307" t="s">
        <v>356</v>
      </c>
      <c r="C307" t="s">
        <v>436</v>
      </c>
      <c r="D307" s="137">
        <v>3500000</v>
      </c>
      <c r="E307" t="s">
        <v>376</v>
      </c>
      <c r="F307" s="20" t="s">
        <v>377</v>
      </c>
      <c r="G307" s="8" t="str">
        <f t="shared" si="8"/>
        <v>GUNTHIER ERIC</v>
      </c>
      <c r="H307" s="20" t="str">
        <f t="shared" si="9"/>
        <v>4008</v>
      </c>
    </row>
    <row r="308" spans="1:8" x14ac:dyDescent="0.3">
      <c r="A308" s="8">
        <v>43040.031851851854</v>
      </c>
      <c r="B308" t="s">
        <v>371</v>
      </c>
      <c r="C308" t="s">
        <v>437</v>
      </c>
      <c r="D308" s="137">
        <v>3320000</v>
      </c>
      <c r="E308" t="s">
        <v>363</v>
      </c>
      <c r="F308" s="20" t="s">
        <v>364</v>
      </c>
      <c r="G308" s="8" t="str">
        <f t="shared" si="8"/>
        <v>NICHOLSON WESLEY</v>
      </c>
      <c r="H308" s="20" t="str">
        <f t="shared" si="9"/>
        <v>4011</v>
      </c>
    </row>
    <row r="309" spans="1:8" x14ac:dyDescent="0.3">
      <c r="A309" s="8">
        <v>43040.047708333332</v>
      </c>
      <c r="B309" t="s">
        <v>392</v>
      </c>
      <c r="C309" t="s">
        <v>438</v>
      </c>
      <c r="D309" s="137">
        <v>3670000</v>
      </c>
      <c r="E309" t="s">
        <v>382</v>
      </c>
      <c r="F309" s="20" t="s">
        <v>368</v>
      </c>
      <c r="G309" s="8" t="str">
        <f t="shared" si="8"/>
        <v>ANDREA WILLIAMS</v>
      </c>
      <c r="H309" s="20" t="str">
        <f t="shared" si="9"/>
        <v>4030</v>
      </c>
    </row>
    <row r="310" spans="1:8" x14ac:dyDescent="0.3">
      <c r="A310" s="8">
        <v>43040.057928240742</v>
      </c>
      <c r="B310" t="s">
        <v>367</v>
      </c>
      <c r="C310" t="s">
        <v>439</v>
      </c>
      <c r="D310" s="137">
        <v>2040000</v>
      </c>
      <c r="E310" t="s">
        <v>396</v>
      </c>
      <c r="F310" s="20" t="s">
        <v>397</v>
      </c>
      <c r="G310" s="8" t="str">
        <f t="shared" si="8"/>
        <v>MOSES BRADLEY</v>
      </c>
      <c r="H310" s="20" t="str">
        <f t="shared" si="9"/>
        <v>4035</v>
      </c>
    </row>
    <row r="311" spans="1:8" x14ac:dyDescent="0.3">
      <c r="A311" s="8">
        <v>43040.072083333333</v>
      </c>
      <c r="B311" t="s">
        <v>370</v>
      </c>
      <c r="C311" t="s">
        <v>440</v>
      </c>
      <c r="D311" s="137">
        <v>3320000</v>
      </c>
      <c r="E311" t="s">
        <v>363</v>
      </c>
      <c r="F311" s="20" t="s">
        <v>364</v>
      </c>
      <c r="G311" s="8" t="str">
        <f t="shared" si="8"/>
        <v>NICHOLSON WESLEY</v>
      </c>
      <c r="H311" s="20" t="str">
        <f t="shared" si="9"/>
        <v>4012</v>
      </c>
    </row>
    <row r="312" spans="1:8" x14ac:dyDescent="0.3">
      <c r="A312" s="8">
        <v>43040.088807870372</v>
      </c>
      <c r="B312" t="s">
        <v>366</v>
      </c>
      <c r="C312" t="s">
        <v>441</v>
      </c>
      <c r="D312" s="137">
        <v>2040000</v>
      </c>
      <c r="E312" t="s">
        <v>396</v>
      </c>
      <c r="F312" s="20" t="s">
        <v>397</v>
      </c>
      <c r="G312" s="8" t="str">
        <f t="shared" si="8"/>
        <v>MOSES BRADLEY</v>
      </c>
      <c r="H312" s="20" t="str">
        <f t="shared" si="9"/>
        <v>4036</v>
      </c>
    </row>
    <row r="313" spans="1:8" x14ac:dyDescent="0.3">
      <c r="A313" s="8">
        <v>43028.111273148148</v>
      </c>
      <c r="B313" t="s">
        <v>351</v>
      </c>
      <c r="C313" t="s">
        <v>365</v>
      </c>
      <c r="D313" s="137">
        <v>1830000</v>
      </c>
      <c r="E313" t="s">
        <v>346</v>
      </c>
      <c r="F313" s="20" t="s">
        <v>347</v>
      </c>
      <c r="G313" s="8" t="str">
        <f t="shared" si="8"/>
        <v>YORK EDGAR</v>
      </c>
      <c r="H313" s="20" t="str">
        <f t="shared" si="9"/>
        <v>4055</v>
      </c>
    </row>
  </sheetData>
  <sortState ref="A1:E223">
    <sortCondition ref="C1:C223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T33"/>
  <sheetViews>
    <sheetView workbookViewId="0">
      <selection sqref="A1:R29"/>
    </sheetView>
  </sheetViews>
  <sheetFormatPr defaultColWidth="9.109375" defaultRowHeight="14.4" x14ac:dyDescent="0.3"/>
  <cols>
    <col min="1" max="1" width="22.5546875" style="140" customWidth="1"/>
    <col min="2" max="2" width="8.44140625" style="140" bestFit="1" customWidth="1"/>
    <col min="3" max="3" width="12.5546875" style="140" bestFit="1" customWidth="1"/>
    <col min="4" max="4" width="18.5546875" style="130" bestFit="1" customWidth="1"/>
    <col min="5" max="5" width="9.88671875" style="140" bestFit="1" customWidth="1"/>
    <col min="6" max="6" width="9" style="140" bestFit="1" customWidth="1"/>
    <col min="7" max="7" width="8.88671875" style="140" bestFit="1" customWidth="1"/>
    <col min="8" max="8" width="14" style="140" bestFit="1" customWidth="1"/>
    <col min="9" max="9" width="21.109375" style="140" bestFit="1" customWidth="1"/>
    <col min="10" max="10" width="8.6640625" style="140" bestFit="1" customWidth="1"/>
    <col min="11" max="11" width="11.33203125" style="140" bestFit="1" customWidth="1"/>
    <col min="12" max="12" width="11" style="140" bestFit="1" customWidth="1"/>
    <col min="13" max="13" width="11.33203125" style="140" bestFit="1" customWidth="1"/>
    <col min="14" max="14" width="13.6640625" style="140" bestFit="1" customWidth="1"/>
    <col min="15" max="15" width="14.88671875" style="140" bestFit="1" customWidth="1"/>
    <col min="16" max="16" width="16.6640625" style="140" bestFit="1" customWidth="1"/>
    <col min="17" max="17" width="9.44140625" style="110" bestFit="1" customWidth="1"/>
    <col min="18" max="16384" width="9.109375" style="110"/>
  </cols>
  <sheetData>
    <row r="1" spans="1:20" s="111" customFormat="1" x14ac:dyDescent="0.3">
      <c r="A1" s="217" t="s">
        <v>156</v>
      </c>
      <c r="B1" s="217" t="s">
        <v>159</v>
      </c>
      <c r="C1" s="217" t="s">
        <v>152</v>
      </c>
      <c r="D1" s="135" t="s">
        <v>164</v>
      </c>
      <c r="E1" s="217" t="s">
        <v>153</v>
      </c>
      <c r="F1" s="217" t="s">
        <v>151</v>
      </c>
      <c r="G1" s="217" t="s">
        <v>149</v>
      </c>
      <c r="H1" s="217" t="s">
        <v>162</v>
      </c>
      <c r="I1" s="217" t="s">
        <v>163</v>
      </c>
      <c r="J1" s="217" t="s">
        <v>157</v>
      </c>
      <c r="K1" s="217" t="s">
        <v>155</v>
      </c>
      <c r="L1" s="217" t="s">
        <v>150</v>
      </c>
      <c r="M1" s="217" t="s">
        <v>160</v>
      </c>
      <c r="N1" s="217" t="s">
        <v>334</v>
      </c>
      <c r="O1" s="217" t="s">
        <v>154</v>
      </c>
      <c r="P1" s="217" t="s">
        <v>161</v>
      </c>
      <c r="Q1" s="217" t="s">
        <v>335</v>
      </c>
      <c r="R1" s="217" t="s">
        <v>158</v>
      </c>
      <c r="S1"/>
      <c r="T1"/>
    </row>
    <row r="2" spans="1:20" x14ac:dyDescent="0.3">
      <c r="A2" s="195">
        <v>31.87</v>
      </c>
      <c r="B2" s="195">
        <v>0.06</v>
      </c>
      <c r="C2" s="195">
        <v>19.05</v>
      </c>
      <c r="D2" s="8">
        <v>43106</v>
      </c>
      <c r="E2" s="195">
        <v>0.59</v>
      </c>
      <c r="F2" s="195" t="s">
        <v>520</v>
      </c>
      <c r="G2" s="195">
        <v>313.79000000000002</v>
      </c>
      <c r="H2" s="195">
        <v>0</v>
      </c>
      <c r="I2" s="195">
        <v>0</v>
      </c>
      <c r="J2" s="195">
        <v>1021.06</v>
      </c>
      <c r="K2" s="195" t="s">
        <v>519</v>
      </c>
      <c r="L2" s="195">
        <v>31.87</v>
      </c>
      <c r="M2" s="195">
        <v>1515222000</v>
      </c>
      <c r="N2" s="195">
        <v>0</v>
      </c>
      <c r="O2" s="195">
        <v>4.22</v>
      </c>
      <c r="P2" s="195">
        <v>180</v>
      </c>
      <c r="Q2" s="195">
        <v>2.27</v>
      </c>
      <c r="R2" s="195">
        <v>0.28000000000000003</v>
      </c>
      <c r="S2"/>
      <c r="T2"/>
    </row>
    <row r="3" spans="1:20" x14ac:dyDescent="0.3">
      <c r="A3" s="195">
        <v>30.15</v>
      </c>
      <c r="B3" s="195">
        <v>0.1</v>
      </c>
      <c r="C3" s="195">
        <v>18.89</v>
      </c>
      <c r="D3" s="8">
        <v>43106.041666666664</v>
      </c>
      <c r="E3" s="195">
        <v>0.62</v>
      </c>
      <c r="F3" s="195" t="s">
        <v>520</v>
      </c>
      <c r="G3" s="195">
        <v>312.73</v>
      </c>
      <c r="H3" s="195">
        <v>0</v>
      </c>
      <c r="I3" s="195">
        <v>0</v>
      </c>
      <c r="J3" s="195">
        <v>1020.92</v>
      </c>
      <c r="K3" s="195" t="s">
        <v>519</v>
      </c>
      <c r="L3" s="195">
        <v>30.15</v>
      </c>
      <c r="M3" s="195">
        <v>1515225600</v>
      </c>
      <c r="N3" s="195">
        <v>0</v>
      </c>
      <c r="O3" s="195">
        <v>3.62</v>
      </c>
      <c r="P3" s="195">
        <v>195</v>
      </c>
      <c r="Q3" s="195">
        <v>1.82</v>
      </c>
      <c r="R3" s="195">
        <v>0.32</v>
      </c>
      <c r="S3"/>
      <c r="T3"/>
    </row>
    <row r="4" spans="1:20" x14ac:dyDescent="0.3">
      <c r="A4" s="195">
        <v>29.32</v>
      </c>
      <c r="B4" s="195">
        <v>0.13</v>
      </c>
      <c r="C4" s="195">
        <v>18.940000000000001</v>
      </c>
      <c r="D4" s="8">
        <v>43106.083333333336</v>
      </c>
      <c r="E4" s="195">
        <v>0.65</v>
      </c>
      <c r="F4" s="195" t="s">
        <v>520</v>
      </c>
      <c r="G4" s="195">
        <v>311.99</v>
      </c>
      <c r="H4" s="195">
        <v>0</v>
      </c>
      <c r="I4" s="195">
        <v>0</v>
      </c>
      <c r="J4" s="195">
        <v>1021.2</v>
      </c>
      <c r="K4" s="195" t="s">
        <v>519</v>
      </c>
      <c r="L4" s="195">
        <v>29.32</v>
      </c>
      <c r="M4" s="195">
        <v>1515229200</v>
      </c>
      <c r="N4" s="195">
        <v>0</v>
      </c>
      <c r="O4" s="195">
        <v>3.67</v>
      </c>
      <c r="P4" s="195">
        <v>180</v>
      </c>
      <c r="Q4" s="195">
        <v>2.54</v>
      </c>
      <c r="R4" s="195">
        <v>0.94</v>
      </c>
      <c r="S4"/>
      <c r="T4"/>
    </row>
    <row r="5" spans="1:20" x14ac:dyDescent="0.3">
      <c r="A5" s="195">
        <v>29.69</v>
      </c>
      <c r="B5" s="195">
        <v>0.12</v>
      </c>
      <c r="C5" s="195">
        <v>18.91</v>
      </c>
      <c r="D5" s="8">
        <v>43106.125</v>
      </c>
      <c r="E5" s="195">
        <v>0.64</v>
      </c>
      <c r="F5" s="195" t="s">
        <v>520</v>
      </c>
      <c r="G5" s="195">
        <v>311.99</v>
      </c>
      <c r="H5" s="195">
        <v>0</v>
      </c>
      <c r="I5" s="195">
        <v>0</v>
      </c>
      <c r="J5" s="195">
        <v>1020.49</v>
      </c>
      <c r="K5" s="195" t="s">
        <v>519</v>
      </c>
      <c r="L5" s="195">
        <v>29.69</v>
      </c>
      <c r="M5" s="195">
        <v>1515232800</v>
      </c>
      <c r="N5" s="195">
        <v>0</v>
      </c>
      <c r="O5" s="195">
        <v>4.13</v>
      </c>
      <c r="P5" s="195">
        <v>176</v>
      </c>
      <c r="Q5" s="195">
        <v>2.82</v>
      </c>
      <c r="R5" s="195">
        <v>0.9</v>
      </c>
      <c r="S5"/>
      <c r="T5"/>
    </row>
    <row r="6" spans="1:20" x14ac:dyDescent="0.3">
      <c r="A6" s="195">
        <v>29.56</v>
      </c>
      <c r="B6" s="195">
        <v>0.11</v>
      </c>
      <c r="C6" s="195">
        <v>18.809999999999999</v>
      </c>
      <c r="D6" s="8">
        <v>43106.166666666664</v>
      </c>
      <c r="E6" s="195">
        <v>0.64</v>
      </c>
      <c r="F6" s="195" t="s">
        <v>520</v>
      </c>
      <c r="G6" s="195">
        <v>312.41000000000003</v>
      </c>
      <c r="H6" s="195">
        <v>0</v>
      </c>
      <c r="I6" s="195">
        <v>0</v>
      </c>
      <c r="J6" s="195">
        <v>1019.7</v>
      </c>
      <c r="K6" s="195" t="s">
        <v>519</v>
      </c>
      <c r="L6" s="195">
        <v>29.56</v>
      </c>
      <c r="M6" s="195">
        <v>1515236400</v>
      </c>
      <c r="N6" s="195">
        <v>0</v>
      </c>
      <c r="O6" s="195">
        <v>4.04</v>
      </c>
      <c r="P6" s="195">
        <v>172</v>
      </c>
      <c r="Q6" s="195">
        <v>2.5099999999999998</v>
      </c>
      <c r="R6" s="195">
        <v>0.59</v>
      </c>
      <c r="S6"/>
      <c r="T6"/>
    </row>
    <row r="7" spans="1:20" x14ac:dyDescent="0.3">
      <c r="A7" s="195">
        <v>29.66</v>
      </c>
      <c r="B7" s="195">
        <v>0.09</v>
      </c>
      <c r="C7" s="195">
        <v>19.37</v>
      </c>
      <c r="D7" s="8">
        <v>43106.208333333336</v>
      </c>
      <c r="E7" s="195">
        <v>0.65</v>
      </c>
      <c r="F7" s="195" t="s">
        <v>520</v>
      </c>
      <c r="G7" s="195">
        <v>312.61</v>
      </c>
      <c r="H7" s="195">
        <v>0</v>
      </c>
      <c r="I7" s="195">
        <v>0</v>
      </c>
      <c r="J7" s="195">
        <v>1021.29</v>
      </c>
      <c r="K7" s="195" t="s">
        <v>519</v>
      </c>
      <c r="L7" s="195">
        <v>29.66</v>
      </c>
      <c r="M7" s="195">
        <v>1515240000</v>
      </c>
      <c r="N7" s="195">
        <v>0</v>
      </c>
      <c r="O7" s="195">
        <v>4.07</v>
      </c>
      <c r="P7" s="195">
        <v>198</v>
      </c>
      <c r="Q7" s="195">
        <v>2.52</v>
      </c>
      <c r="R7" s="195">
        <v>0.35</v>
      </c>
      <c r="S7"/>
      <c r="T7"/>
    </row>
    <row r="8" spans="1:20" x14ac:dyDescent="0.3">
      <c r="A8" s="195">
        <v>29.91</v>
      </c>
      <c r="B8" s="195">
        <v>0.15</v>
      </c>
      <c r="C8" s="195">
        <v>19.64</v>
      </c>
      <c r="D8" s="8">
        <v>43106.25</v>
      </c>
      <c r="E8" s="195">
        <v>0.65</v>
      </c>
      <c r="F8" s="195" t="s">
        <v>520</v>
      </c>
      <c r="G8" s="195">
        <v>313.77</v>
      </c>
      <c r="H8" s="195">
        <v>0</v>
      </c>
      <c r="I8" s="195">
        <v>0</v>
      </c>
      <c r="J8" s="195">
        <v>1019.96</v>
      </c>
      <c r="K8" s="195" t="s">
        <v>519</v>
      </c>
      <c r="L8" s="195">
        <v>29.91</v>
      </c>
      <c r="M8" s="195">
        <v>1515243600</v>
      </c>
      <c r="N8" s="195">
        <v>0</v>
      </c>
      <c r="O8" s="195">
        <v>4.01</v>
      </c>
      <c r="P8" s="195">
        <v>220</v>
      </c>
      <c r="Q8" s="195">
        <v>3.18</v>
      </c>
      <c r="R8" s="195">
        <v>0.27</v>
      </c>
      <c r="S8"/>
      <c r="T8"/>
    </row>
    <row r="9" spans="1:20" x14ac:dyDescent="0.3">
      <c r="A9" s="195">
        <v>30.14</v>
      </c>
      <c r="B9" s="195">
        <v>0.16</v>
      </c>
      <c r="C9" s="195">
        <v>20.100000000000001</v>
      </c>
      <c r="D9" s="8">
        <v>43106.291666666664</v>
      </c>
      <c r="E9" s="195">
        <v>0.66</v>
      </c>
      <c r="F9" s="195" t="s">
        <v>520</v>
      </c>
      <c r="G9" s="195">
        <v>315.45</v>
      </c>
      <c r="H9" s="195">
        <v>0</v>
      </c>
      <c r="I9" s="195">
        <v>0</v>
      </c>
      <c r="J9" s="195">
        <v>1021.51</v>
      </c>
      <c r="K9" s="195" t="s">
        <v>519</v>
      </c>
      <c r="L9" s="195">
        <v>30.14</v>
      </c>
      <c r="M9" s="195">
        <v>1515247200</v>
      </c>
      <c r="N9" s="195">
        <v>0</v>
      </c>
      <c r="O9" s="195">
        <v>4.91</v>
      </c>
      <c r="P9" s="195">
        <v>249</v>
      </c>
      <c r="Q9" s="195">
        <v>2.86</v>
      </c>
      <c r="R9" s="195">
        <v>0.35</v>
      </c>
      <c r="S9"/>
      <c r="T9"/>
    </row>
    <row r="10" spans="1:20" x14ac:dyDescent="0.3">
      <c r="A10" s="195">
        <v>30.12</v>
      </c>
      <c r="B10" s="195">
        <v>7.0000000000000007E-2</v>
      </c>
      <c r="C10" s="195">
        <v>20.49</v>
      </c>
      <c r="D10" s="8">
        <v>43106.333333333336</v>
      </c>
      <c r="E10" s="195">
        <v>0.67</v>
      </c>
      <c r="F10" s="195" t="s">
        <v>518</v>
      </c>
      <c r="G10" s="195">
        <v>317.12</v>
      </c>
      <c r="H10" s="195">
        <v>0</v>
      </c>
      <c r="I10" s="195">
        <v>0</v>
      </c>
      <c r="J10" s="195">
        <v>1021</v>
      </c>
      <c r="K10" s="195" t="s">
        <v>519</v>
      </c>
      <c r="L10" s="195">
        <v>30.12</v>
      </c>
      <c r="M10" s="195">
        <v>1515250800</v>
      </c>
      <c r="N10" s="195">
        <v>0</v>
      </c>
      <c r="O10" s="195">
        <v>5.45</v>
      </c>
      <c r="P10" s="195">
        <v>231</v>
      </c>
      <c r="Q10" s="195">
        <v>2.4700000000000002</v>
      </c>
      <c r="R10" s="195">
        <v>0.22</v>
      </c>
      <c r="S10"/>
      <c r="T10"/>
    </row>
    <row r="11" spans="1:20" x14ac:dyDescent="0.3">
      <c r="A11" s="195">
        <v>32.94</v>
      </c>
      <c r="B11" s="195">
        <v>0.08</v>
      </c>
      <c r="C11" s="195">
        <v>22.09</v>
      </c>
      <c r="D11" s="8">
        <v>43106.375</v>
      </c>
      <c r="E11" s="195">
        <v>0.64</v>
      </c>
      <c r="F11" s="195" t="s">
        <v>518</v>
      </c>
      <c r="G11" s="195">
        <v>319</v>
      </c>
      <c r="H11" s="195">
        <v>0</v>
      </c>
      <c r="I11" s="195">
        <v>0</v>
      </c>
      <c r="J11" s="195">
        <v>1020.61</v>
      </c>
      <c r="K11" s="195" t="s">
        <v>519</v>
      </c>
      <c r="L11" s="195">
        <v>32.94</v>
      </c>
      <c r="M11" s="195">
        <v>1515254400</v>
      </c>
      <c r="N11" s="195">
        <v>1</v>
      </c>
      <c r="O11" s="195">
        <v>5.6</v>
      </c>
      <c r="P11" s="195">
        <v>218</v>
      </c>
      <c r="Q11" s="195">
        <v>2.6</v>
      </c>
      <c r="R11" s="195">
        <v>0.44</v>
      </c>
      <c r="S11"/>
      <c r="T11"/>
    </row>
    <row r="12" spans="1:20" x14ac:dyDescent="0.3">
      <c r="A12" s="195">
        <v>39.49</v>
      </c>
      <c r="B12" s="195">
        <v>0.09</v>
      </c>
      <c r="C12" s="195">
        <v>23.16</v>
      </c>
      <c r="D12" s="8">
        <v>43106.416666666664</v>
      </c>
      <c r="E12" s="195">
        <v>0.52</v>
      </c>
      <c r="F12" s="195" t="s">
        <v>518</v>
      </c>
      <c r="G12" s="195">
        <v>320.97000000000003</v>
      </c>
      <c r="H12" s="195">
        <v>0</v>
      </c>
      <c r="I12" s="195">
        <v>0</v>
      </c>
      <c r="J12" s="195">
        <v>1018.96</v>
      </c>
      <c r="K12" s="195" t="s">
        <v>519</v>
      </c>
      <c r="L12" s="195">
        <v>39.49</v>
      </c>
      <c r="M12" s="195">
        <v>1515258000</v>
      </c>
      <c r="N12" s="195">
        <v>1</v>
      </c>
      <c r="O12" s="195">
        <v>5.59</v>
      </c>
      <c r="P12" s="195">
        <v>208</v>
      </c>
      <c r="Q12" s="195">
        <v>3.38</v>
      </c>
      <c r="R12" s="195">
        <v>0.45</v>
      </c>
      <c r="S12"/>
      <c r="T12"/>
    </row>
    <row r="13" spans="1:20" x14ac:dyDescent="0.3">
      <c r="A13" s="195">
        <v>44.28</v>
      </c>
      <c r="B13" s="195">
        <v>0.12</v>
      </c>
      <c r="C13" s="195">
        <v>22.98</v>
      </c>
      <c r="D13" s="8">
        <v>43106.458333333336</v>
      </c>
      <c r="E13" s="195">
        <v>0.43</v>
      </c>
      <c r="F13" s="195" t="s">
        <v>518</v>
      </c>
      <c r="G13" s="195">
        <v>318.36</v>
      </c>
      <c r="H13" s="195">
        <v>0</v>
      </c>
      <c r="I13" s="195">
        <v>0</v>
      </c>
      <c r="J13" s="195">
        <v>1016.43</v>
      </c>
      <c r="K13" s="195" t="s">
        <v>519</v>
      </c>
      <c r="L13" s="195">
        <v>44.28</v>
      </c>
      <c r="M13" s="195">
        <v>1515261600</v>
      </c>
      <c r="N13" s="195">
        <v>2</v>
      </c>
      <c r="O13" s="195">
        <v>5.4</v>
      </c>
      <c r="P13" s="195">
        <v>168</v>
      </c>
      <c r="Q13" s="195">
        <v>3.82</v>
      </c>
      <c r="R13" s="195">
        <v>0.23</v>
      </c>
      <c r="S13"/>
      <c r="T13"/>
    </row>
    <row r="14" spans="1:20" x14ac:dyDescent="0.3">
      <c r="A14" s="195">
        <v>48.56</v>
      </c>
      <c r="B14" s="195">
        <v>0.2</v>
      </c>
      <c r="C14" s="195">
        <v>22.77</v>
      </c>
      <c r="D14" s="8">
        <v>43106.5</v>
      </c>
      <c r="E14" s="195">
        <v>0.36</v>
      </c>
      <c r="F14" s="195" t="s">
        <v>518</v>
      </c>
      <c r="G14" s="195">
        <v>320.32</v>
      </c>
      <c r="H14" s="195">
        <v>0</v>
      </c>
      <c r="I14" s="195">
        <v>0</v>
      </c>
      <c r="J14" s="195">
        <v>1014.91</v>
      </c>
      <c r="K14" s="195" t="s">
        <v>519</v>
      </c>
      <c r="L14" s="195">
        <v>48.56</v>
      </c>
      <c r="M14" s="195">
        <v>1515265200</v>
      </c>
      <c r="N14" s="195">
        <v>2</v>
      </c>
      <c r="O14" s="195">
        <v>5.59</v>
      </c>
      <c r="P14" s="195">
        <v>8</v>
      </c>
      <c r="Q14" s="195">
        <v>3.38</v>
      </c>
      <c r="R14" s="195">
        <v>0.44</v>
      </c>
      <c r="S14"/>
      <c r="T14"/>
    </row>
    <row r="15" spans="1:20" x14ac:dyDescent="0.3">
      <c r="A15" s="195">
        <v>53.1</v>
      </c>
      <c r="B15" s="195">
        <v>0.23</v>
      </c>
      <c r="C15" s="195">
        <v>22.91</v>
      </c>
      <c r="D15" s="8">
        <v>43106.541666666664</v>
      </c>
      <c r="E15" s="195">
        <v>0.31</v>
      </c>
      <c r="F15" s="195" t="s">
        <v>518</v>
      </c>
      <c r="G15" s="195">
        <v>322.69</v>
      </c>
      <c r="H15" s="195">
        <v>0</v>
      </c>
      <c r="I15" s="195">
        <v>0</v>
      </c>
      <c r="J15" s="195">
        <v>1013.19</v>
      </c>
      <c r="K15" s="195" t="s">
        <v>519</v>
      </c>
      <c r="L15" s="195">
        <v>53.1</v>
      </c>
      <c r="M15" s="195">
        <v>1515268800</v>
      </c>
      <c r="N15" s="195">
        <v>2</v>
      </c>
      <c r="O15" s="195">
        <v>5.59</v>
      </c>
      <c r="P15" s="195">
        <v>40</v>
      </c>
      <c r="Q15" s="195">
        <v>3.9</v>
      </c>
      <c r="R15" s="195">
        <v>0.63</v>
      </c>
      <c r="S15"/>
      <c r="T15"/>
    </row>
    <row r="16" spans="1:20" x14ac:dyDescent="0.3">
      <c r="A16" s="195">
        <v>55.12</v>
      </c>
      <c r="B16" s="195">
        <v>0.3</v>
      </c>
      <c r="C16" s="195">
        <v>22.76</v>
      </c>
      <c r="D16" s="8">
        <v>43106.583333333336</v>
      </c>
      <c r="E16" s="195">
        <v>0.28000000000000003</v>
      </c>
      <c r="F16" s="195" t="s">
        <v>891</v>
      </c>
      <c r="G16" s="195">
        <v>324.64</v>
      </c>
      <c r="H16" s="195">
        <v>0</v>
      </c>
      <c r="I16" s="195">
        <v>0</v>
      </c>
      <c r="J16" s="195">
        <v>1011.61</v>
      </c>
      <c r="K16" s="195" t="s">
        <v>892</v>
      </c>
      <c r="L16" s="195">
        <v>55.12</v>
      </c>
      <c r="M16" s="195">
        <v>1515272400</v>
      </c>
      <c r="N16" s="195">
        <v>1</v>
      </c>
      <c r="O16" s="195">
        <v>5.57</v>
      </c>
      <c r="P16" s="195">
        <v>26</v>
      </c>
      <c r="Q16" s="195">
        <v>4.91</v>
      </c>
      <c r="R16" s="195">
        <v>0.98</v>
      </c>
      <c r="S16"/>
      <c r="T16"/>
    </row>
    <row r="17" spans="1:20" x14ac:dyDescent="0.3">
      <c r="A17" s="195">
        <v>56.01</v>
      </c>
      <c r="B17" s="195">
        <v>0.28999999999999998</v>
      </c>
      <c r="C17" s="195">
        <v>22.91</v>
      </c>
      <c r="D17" s="8">
        <v>43106.625</v>
      </c>
      <c r="E17" s="195">
        <v>0.27</v>
      </c>
      <c r="F17" s="195" t="s">
        <v>891</v>
      </c>
      <c r="G17" s="195">
        <v>325.87</v>
      </c>
      <c r="H17" s="195">
        <v>0</v>
      </c>
      <c r="I17" s="195">
        <v>0</v>
      </c>
      <c r="J17" s="195">
        <v>1011.41</v>
      </c>
      <c r="K17" s="195" t="s">
        <v>892</v>
      </c>
      <c r="L17" s="195">
        <v>56.01</v>
      </c>
      <c r="M17" s="195">
        <v>1515276000</v>
      </c>
      <c r="N17" s="195">
        <v>1</v>
      </c>
      <c r="O17" s="195">
        <v>5.72</v>
      </c>
      <c r="P17" s="195">
        <v>13</v>
      </c>
      <c r="Q17" s="195">
        <v>3.83</v>
      </c>
      <c r="R17" s="195">
        <v>0.67</v>
      </c>
      <c r="S17"/>
      <c r="T17"/>
    </row>
    <row r="18" spans="1:20" x14ac:dyDescent="0.3">
      <c r="A18" s="195">
        <v>55.97</v>
      </c>
      <c r="B18" s="195">
        <v>0.31</v>
      </c>
      <c r="C18" s="195">
        <v>22.91</v>
      </c>
      <c r="D18" s="8">
        <v>43106.666666666664</v>
      </c>
      <c r="E18" s="195">
        <v>0.28000000000000003</v>
      </c>
      <c r="F18" s="195" t="s">
        <v>891</v>
      </c>
      <c r="G18" s="195">
        <v>326.69</v>
      </c>
      <c r="H18" s="195">
        <v>0</v>
      </c>
      <c r="I18" s="195">
        <v>0</v>
      </c>
      <c r="J18" s="195">
        <v>1010.43</v>
      </c>
      <c r="K18" s="195" t="s">
        <v>892</v>
      </c>
      <c r="L18" s="195">
        <v>55.97</v>
      </c>
      <c r="M18" s="195">
        <v>1515279600</v>
      </c>
      <c r="N18" s="195">
        <v>0</v>
      </c>
      <c r="O18" s="195">
        <v>5.4</v>
      </c>
      <c r="P18" s="195">
        <v>17</v>
      </c>
      <c r="Q18" s="195">
        <v>3.38</v>
      </c>
      <c r="R18" s="195">
        <v>0.85</v>
      </c>
      <c r="S18"/>
      <c r="T18"/>
    </row>
    <row r="19" spans="1:20" x14ac:dyDescent="0.3">
      <c r="A19" s="195">
        <v>51.59</v>
      </c>
      <c r="B19" s="195">
        <v>0.13</v>
      </c>
      <c r="C19" s="195">
        <v>22.8</v>
      </c>
      <c r="D19" s="8">
        <v>43106.708333333336</v>
      </c>
      <c r="E19" s="195">
        <v>0.32</v>
      </c>
      <c r="F19" s="195" t="s">
        <v>520</v>
      </c>
      <c r="G19" s="195">
        <v>315.62</v>
      </c>
      <c r="H19" s="195">
        <v>0</v>
      </c>
      <c r="I19" s="195">
        <v>0</v>
      </c>
      <c r="J19" s="195">
        <v>1010.99</v>
      </c>
      <c r="K19" s="195" t="s">
        <v>519</v>
      </c>
      <c r="L19" s="195">
        <v>51.59</v>
      </c>
      <c r="M19" s="195">
        <v>1515283200</v>
      </c>
      <c r="N19" s="195">
        <v>0</v>
      </c>
      <c r="O19" s="195">
        <v>5.59</v>
      </c>
      <c r="P19" s="195">
        <v>292</v>
      </c>
      <c r="Q19" s="195">
        <v>2.5</v>
      </c>
      <c r="R19" s="195">
        <v>0.41</v>
      </c>
      <c r="S19"/>
      <c r="T19"/>
    </row>
    <row r="20" spans="1:20" x14ac:dyDescent="0.3">
      <c r="A20" s="195">
        <v>47</v>
      </c>
      <c r="B20" s="195">
        <v>0.2</v>
      </c>
      <c r="C20" s="195">
        <v>23.27</v>
      </c>
      <c r="D20" s="8">
        <v>43106.75</v>
      </c>
      <c r="E20" s="195">
        <v>0.39</v>
      </c>
      <c r="F20" s="195" t="s">
        <v>520</v>
      </c>
      <c r="G20" s="195">
        <v>315.2</v>
      </c>
      <c r="H20" s="195">
        <v>0</v>
      </c>
      <c r="I20" s="195">
        <v>0</v>
      </c>
      <c r="J20" s="195">
        <v>1010.83</v>
      </c>
      <c r="K20" s="195" t="s">
        <v>519</v>
      </c>
      <c r="L20" s="195">
        <v>47</v>
      </c>
      <c r="M20" s="195">
        <v>1515286800</v>
      </c>
      <c r="N20" s="195">
        <v>0</v>
      </c>
      <c r="O20" s="195">
        <v>5.27</v>
      </c>
      <c r="P20" s="195">
        <v>354</v>
      </c>
      <c r="Q20" s="195">
        <v>3.13</v>
      </c>
      <c r="R20" s="195">
        <v>0.32</v>
      </c>
      <c r="S20"/>
      <c r="T20"/>
    </row>
    <row r="21" spans="1:20" x14ac:dyDescent="0.3">
      <c r="A21" s="195">
        <v>44.47</v>
      </c>
      <c r="B21" s="195">
        <v>0.6</v>
      </c>
      <c r="C21" s="195">
        <v>23.97</v>
      </c>
      <c r="D21" s="8">
        <v>43106.791666666664</v>
      </c>
      <c r="E21" s="195">
        <v>0.44</v>
      </c>
      <c r="F21" s="195" t="s">
        <v>893</v>
      </c>
      <c r="G21" s="195">
        <v>315.83999999999997</v>
      </c>
      <c r="H21" s="195">
        <v>0</v>
      </c>
      <c r="I21" s="195">
        <v>0</v>
      </c>
      <c r="J21" s="195">
        <v>1011.14</v>
      </c>
      <c r="K21" s="195" t="s">
        <v>894</v>
      </c>
      <c r="L21" s="195">
        <v>44.47</v>
      </c>
      <c r="M21" s="195">
        <v>1515290400</v>
      </c>
      <c r="N21" s="195">
        <v>0</v>
      </c>
      <c r="O21" s="195">
        <v>4.82</v>
      </c>
      <c r="P21" s="195">
        <v>14</v>
      </c>
      <c r="Q21" s="195">
        <v>2.39</v>
      </c>
      <c r="R21" s="195">
        <v>0.54</v>
      </c>
      <c r="S21"/>
      <c r="T21"/>
    </row>
    <row r="22" spans="1:20" x14ac:dyDescent="0.3">
      <c r="A22" s="195">
        <v>42.66</v>
      </c>
      <c r="B22" s="195">
        <v>0.46</v>
      </c>
      <c r="C22" s="195">
        <v>24.03</v>
      </c>
      <c r="D22" s="8">
        <v>43106.833333333336</v>
      </c>
      <c r="E22" s="195">
        <v>0.47</v>
      </c>
      <c r="F22" s="195" t="s">
        <v>893</v>
      </c>
      <c r="G22" s="195">
        <v>316.79000000000002</v>
      </c>
      <c r="H22" s="195">
        <v>0</v>
      </c>
      <c r="I22" s="195">
        <v>0</v>
      </c>
      <c r="J22" s="195">
        <v>1010.71</v>
      </c>
      <c r="K22" s="195" t="s">
        <v>892</v>
      </c>
      <c r="L22" s="195">
        <v>42.66</v>
      </c>
      <c r="M22" s="195">
        <v>1515294000</v>
      </c>
      <c r="N22" s="195">
        <v>0</v>
      </c>
      <c r="O22" s="195">
        <v>8.1199999999999992</v>
      </c>
      <c r="P22" s="195">
        <v>44</v>
      </c>
      <c r="Q22" s="195">
        <v>2.25</v>
      </c>
      <c r="R22" s="195">
        <v>0.03</v>
      </c>
      <c r="S22"/>
      <c r="T22"/>
    </row>
    <row r="23" spans="1:20" x14ac:dyDescent="0.3">
      <c r="A23" s="195">
        <v>41.33</v>
      </c>
      <c r="B23" s="195">
        <v>0.76</v>
      </c>
      <c r="C23" s="195">
        <v>24.02</v>
      </c>
      <c r="D23" s="8">
        <v>43106.875</v>
      </c>
      <c r="E23" s="195">
        <v>0.5</v>
      </c>
      <c r="F23" s="195" t="s">
        <v>893</v>
      </c>
      <c r="G23" s="195">
        <v>317.52</v>
      </c>
      <c r="H23" s="195">
        <v>0</v>
      </c>
      <c r="I23" s="195">
        <v>0</v>
      </c>
      <c r="J23" s="195">
        <v>1010.7</v>
      </c>
      <c r="K23" s="195" t="s">
        <v>894</v>
      </c>
      <c r="L23" s="195">
        <v>41.33</v>
      </c>
      <c r="M23" s="195">
        <v>1515297600</v>
      </c>
      <c r="N23" s="195">
        <v>0</v>
      </c>
      <c r="O23" s="195">
        <v>3.25</v>
      </c>
      <c r="P23" s="195">
        <v>300</v>
      </c>
      <c r="Q23" s="195">
        <v>3.64</v>
      </c>
      <c r="R23" s="195">
        <v>0.23</v>
      </c>
      <c r="S23"/>
      <c r="T23"/>
    </row>
    <row r="24" spans="1:20" x14ac:dyDescent="0.3">
      <c r="A24" s="195">
        <v>39.76</v>
      </c>
      <c r="B24" s="195">
        <v>0.71</v>
      </c>
      <c r="C24" s="195">
        <v>24.05</v>
      </c>
      <c r="D24" s="8">
        <v>43106.916666666664</v>
      </c>
      <c r="E24" s="195">
        <v>0.53</v>
      </c>
      <c r="F24" s="195" t="s">
        <v>893</v>
      </c>
      <c r="G24" s="195">
        <v>318.25</v>
      </c>
      <c r="H24" s="195">
        <v>0</v>
      </c>
      <c r="I24" s="195">
        <v>0</v>
      </c>
      <c r="J24" s="195">
        <v>1010.47</v>
      </c>
      <c r="K24" s="195" t="s">
        <v>894</v>
      </c>
      <c r="L24" s="195">
        <v>39.76</v>
      </c>
      <c r="M24" s="195">
        <v>1515301200</v>
      </c>
      <c r="N24" s="195">
        <v>0</v>
      </c>
      <c r="O24" s="195">
        <v>4.82</v>
      </c>
      <c r="P24" s="195">
        <v>349</v>
      </c>
      <c r="Q24" s="195">
        <v>3.74</v>
      </c>
      <c r="R24" s="195">
        <v>7.0000000000000007E-2</v>
      </c>
      <c r="S24"/>
      <c r="T24"/>
    </row>
    <row r="25" spans="1:20" x14ac:dyDescent="0.3">
      <c r="A25" s="195">
        <v>39.35</v>
      </c>
      <c r="B25" s="195">
        <v>0.71</v>
      </c>
      <c r="C25" s="195">
        <v>24.27</v>
      </c>
      <c r="D25" s="8">
        <v>43106.958333333336</v>
      </c>
      <c r="E25" s="195">
        <v>0.54</v>
      </c>
      <c r="F25" s="195" t="s">
        <v>893</v>
      </c>
      <c r="G25" s="195">
        <v>318.97000000000003</v>
      </c>
      <c r="H25" s="195">
        <v>0</v>
      </c>
      <c r="I25" s="195">
        <v>0</v>
      </c>
      <c r="J25" s="195">
        <v>1010.21</v>
      </c>
      <c r="K25" s="195" t="s">
        <v>894</v>
      </c>
      <c r="L25" s="195">
        <v>39.35</v>
      </c>
      <c r="M25" s="195">
        <v>1515304800</v>
      </c>
      <c r="N25" s="195">
        <v>0</v>
      </c>
      <c r="O25" s="195">
        <v>4.04</v>
      </c>
      <c r="P25" s="195">
        <v>348</v>
      </c>
      <c r="Q25" s="195">
        <v>2.7</v>
      </c>
      <c r="R25" s="195">
        <v>0.49</v>
      </c>
      <c r="S25"/>
      <c r="T25"/>
    </row>
    <row r="26" spans="1:20" x14ac:dyDescent="0.3">
      <c r="A26" s="195">
        <v>38.79</v>
      </c>
      <c r="B26" s="195">
        <v>0.62</v>
      </c>
      <c r="C26" s="195">
        <v>24.01</v>
      </c>
      <c r="D26" s="8">
        <v>43107</v>
      </c>
      <c r="E26" s="195">
        <v>0.55000000000000004</v>
      </c>
      <c r="F26" s="195" t="s">
        <v>893</v>
      </c>
      <c r="G26" s="195">
        <v>319.18</v>
      </c>
      <c r="H26" s="195">
        <v>0</v>
      </c>
      <c r="I26" s="195">
        <v>0</v>
      </c>
      <c r="J26" s="195">
        <v>1009.96</v>
      </c>
      <c r="K26" s="195" t="s">
        <v>894</v>
      </c>
      <c r="L26" s="195">
        <v>38.79</v>
      </c>
      <c r="M26" s="195">
        <v>1515308400</v>
      </c>
      <c r="N26" s="195">
        <v>0</v>
      </c>
      <c r="O26" s="195">
        <v>4.04</v>
      </c>
      <c r="P26" s="195">
        <v>235</v>
      </c>
      <c r="Q26" s="195">
        <v>2.12</v>
      </c>
      <c r="R26" s="195">
        <v>0.31</v>
      </c>
      <c r="S26"/>
      <c r="T26"/>
    </row>
    <row r="27" spans="1:20" x14ac:dyDescent="0.3">
      <c r="A27" s="195">
        <v>37.25</v>
      </c>
      <c r="B27" s="195">
        <v>0.26</v>
      </c>
      <c r="C27" s="195">
        <v>23.87</v>
      </c>
      <c r="D27" s="8">
        <v>43107.041666666664</v>
      </c>
      <c r="E27" s="195">
        <v>0.57999999999999996</v>
      </c>
      <c r="F27" s="195" t="s">
        <v>893</v>
      </c>
      <c r="G27" s="195">
        <v>319.19</v>
      </c>
      <c r="H27" s="195">
        <v>0</v>
      </c>
      <c r="I27" s="195">
        <v>0</v>
      </c>
      <c r="J27" s="195">
        <v>1009.6</v>
      </c>
      <c r="K27" s="195" t="s">
        <v>892</v>
      </c>
      <c r="L27" s="195">
        <v>37.25</v>
      </c>
      <c r="M27" s="195">
        <v>1515312000</v>
      </c>
      <c r="N27" s="195">
        <v>0</v>
      </c>
      <c r="O27" s="195">
        <v>4.04</v>
      </c>
      <c r="P27" s="195">
        <v>244</v>
      </c>
      <c r="Q27" s="195">
        <v>1.78</v>
      </c>
      <c r="R27" s="195">
        <v>0.22</v>
      </c>
      <c r="S27"/>
      <c r="T27"/>
    </row>
    <row r="28" spans="1:20" x14ac:dyDescent="0.3">
      <c r="A28" s="195">
        <v>37.19</v>
      </c>
      <c r="B28" s="195">
        <v>0.42</v>
      </c>
      <c r="C28" s="195">
        <v>23.86</v>
      </c>
      <c r="D28" s="8">
        <v>43107.083333333336</v>
      </c>
      <c r="E28" s="195">
        <v>0.57999999999999996</v>
      </c>
      <c r="F28" s="195" t="s">
        <v>893</v>
      </c>
      <c r="G28" s="195">
        <v>319.70999999999998</v>
      </c>
      <c r="H28" s="195">
        <v>0</v>
      </c>
      <c r="I28" s="195">
        <v>0</v>
      </c>
      <c r="J28" s="195">
        <v>1009.88</v>
      </c>
      <c r="K28" s="195" t="s">
        <v>892</v>
      </c>
      <c r="L28" s="195">
        <v>37.19</v>
      </c>
      <c r="M28" s="195">
        <v>1515315600</v>
      </c>
      <c r="N28" s="195">
        <v>0</v>
      </c>
      <c r="O28" s="195">
        <v>4.04</v>
      </c>
      <c r="P28" s="195">
        <v>246</v>
      </c>
      <c r="Q28" s="195">
        <v>1.84</v>
      </c>
      <c r="R28" s="195">
        <v>0.28999999999999998</v>
      </c>
      <c r="S28"/>
      <c r="T28"/>
    </row>
    <row r="29" spans="1:20" x14ac:dyDescent="0.3">
      <c r="A29" s="195">
        <v>32.299999999999997</v>
      </c>
      <c r="B29" s="195">
        <v>0.41</v>
      </c>
      <c r="C29" s="195">
        <v>23.64</v>
      </c>
      <c r="D29" s="8">
        <v>43107.125</v>
      </c>
      <c r="E29" s="195">
        <v>0.59</v>
      </c>
      <c r="F29" s="195" t="s">
        <v>893</v>
      </c>
      <c r="G29" s="195">
        <v>321.29000000000002</v>
      </c>
      <c r="H29" s="195">
        <v>0</v>
      </c>
      <c r="I29" s="195">
        <v>0</v>
      </c>
      <c r="J29" s="195">
        <v>1011.66</v>
      </c>
      <c r="K29" s="195" t="s">
        <v>892</v>
      </c>
      <c r="L29" s="195">
        <v>36.409999999999997</v>
      </c>
      <c r="M29" s="195">
        <v>1515319200</v>
      </c>
      <c r="N29" s="195">
        <v>0</v>
      </c>
      <c r="O29" s="195">
        <v>5.77</v>
      </c>
      <c r="P29" s="195">
        <v>170</v>
      </c>
      <c r="Q29" s="195">
        <v>4.3899999999999997</v>
      </c>
      <c r="R29" s="195">
        <v>4.9400000000000004</v>
      </c>
      <c r="S29"/>
      <c r="T29"/>
    </row>
    <row r="30" spans="1:20" x14ac:dyDescent="0.3">
      <c r="A30"/>
      <c r="B30"/>
      <c r="C30"/>
      <c r="D30" s="8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</row>
    <row r="31" spans="1:20" x14ac:dyDescent="0.3">
      <c r="A31" s="140" t="s">
        <v>179</v>
      </c>
    </row>
    <row r="33" spans="1:1" x14ac:dyDescent="0.3">
      <c r="A33" s="140" t="s">
        <v>173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3"/>
  <sheetViews>
    <sheetView workbookViewId="0">
      <selection activeCell="A4" sqref="A4"/>
    </sheetView>
  </sheetViews>
  <sheetFormatPr defaultRowHeight="14.4" x14ac:dyDescent="0.3"/>
  <cols>
    <col min="1" max="1" width="32.109375" customWidth="1"/>
    <col min="3" max="3" width="24" customWidth="1"/>
    <col min="4" max="4" width="19.109375" style="56" customWidth="1"/>
    <col min="10" max="10" width="24.33203125" style="139" bestFit="1" customWidth="1"/>
    <col min="11" max="11" width="15.33203125" style="139" hidden="1" customWidth="1"/>
    <col min="12" max="12" width="13.5546875" style="139" hidden="1" customWidth="1"/>
    <col min="13" max="13" width="9" style="153" bestFit="1" customWidth="1"/>
    <col min="14" max="17" width="9.109375" style="139"/>
    <col min="20" max="24" width="9.109375" style="153"/>
    <col min="29" max="29" width="12.44140625" customWidth="1"/>
    <col min="30" max="30" width="9.109375" style="167"/>
    <col min="31" max="32" width="9.109375" style="56"/>
  </cols>
  <sheetData>
    <row r="1" spans="1:32" ht="43.8" x14ac:dyDescent="0.35">
      <c r="A1" s="11" t="s">
        <v>25</v>
      </c>
      <c r="C1" s="119" t="s">
        <v>96</v>
      </c>
      <c r="D1" s="120" t="s">
        <v>97</v>
      </c>
      <c r="J1" s="145" t="s">
        <v>98</v>
      </c>
      <c r="K1" s="145" t="s">
        <v>66</v>
      </c>
      <c r="L1" s="145" t="s">
        <v>67</v>
      </c>
      <c r="O1" s="146" t="s">
        <v>99</v>
      </c>
      <c r="T1" s="155" t="s">
        <v>324</v>
      </c>
      <c r="U1" s="155"/>
      <c r="V1" s="155"/>
      <c r="W1" s="155"/>
      <c r="X1" s="155"/>
    </row>
    <row r="2" spans="1:32" ht="15" thickBot="1" x14ac:dyDescent="0.35">
      <c r="A2" s="12">
        <v>43106</v>
      </c>
      <c r="B2" s="4"/>
      <c r="C2" s="121">
        <v>50</v>
      </c>
      <c r="D2" s="122">
        <v>25</v>
      </c>
      <c r="F2" t="s">
        <v>110</v>
      </c>
      <c r="J2" s="145"/>
      <c r="K2" s="145" t="s">
        <v>66</v>
      </c>
      <c r="L2" s="145" t="s">
        <v>67</v>
      </c>
      <c r="T2" s="154" t="s">
        <v>325</v>
      </c>
      <c r="U2" s="154">
        <v>167</v>
      </c>
      <c r="V2" s="154">
        <v>168</v>
      </c>
      <c r="W2" s="154">
        <v>199</v>
      </c>
      <c r="X2" s="154">
        <v>200</v>
      </c>
      <c r="AD2" t="s">
        <v>337</v>
      </c>
      <c r="AE2" s="56" t="s">
        <v>340</v>
      </c>
      <c r="AF2" s="56" t="s">
        <v>341</v>
      </c>
    </row>
    <row r="3" spans="1:32" x14ac:dyDescent="0.3">
      <c r="C3" s="56"/>
      <c r="F3" t="s">
        <v>52</v>
      </c>
      <c r="J3" s="147" t="s">
        <v>68</v>
      </c>
      <c r="K3" s="148">
        <v>2.7052</v>
      </c>
      <c r="L3" s="148">
        <v>2.7349999999999999</v>
      </c>
      <c r="M3" s="153">
        <f t="shared" ref="M3:M14" si="0">AVERAGE(K3:L3)</f>
        <v>2.7201</v>
      </c>
      <c r="O3" s="139" t="s">
        <v>100</v>
      </c>
      <c r="P3" s="139">
        <f>AVERAGE(1.0714,1.1016)</f>
        <v>1.0865</v>
      </c>
      <c r="T3" s="154" t="s">
        <v>326</v>
      </c>
      <c r="U3" s="154">
        <v>174</v>
      </c>
      <c r="V3" s="154">
        <v>176</v>
      </c>
      <c r="W3" s="154">
        <v>207</v>
      </c>
      <c r="X3" s="154">
        <v>210</v>
      </c>
      <c r="AC3" s="30" t="s">
        <v>102</v>
      </c>
      <c r="AD3" s="131">
        <v>23</v>
      </c>
      <c r="AE3" s="42">
        <v>100</v>
      </c>
      <c r="AF3" s="42">
        <v>299</v>
      </c>
    </row>
    <row r="4" spans="1:32" ht="43.2" x14ac:dyDescent="0.3">
      <c r="C4" s="119" t="s">
        <v>96</v>
      </c>
      <c r="D4" s="120" t="s">
        <v>97</v>
      </c>
      <c r="F4" t="s">
        <v>53</v>
      </c>
      <c r="J4" s="147" t="s">
        <v>69</v>
      </c>
      <c r="K4" s="148">
        <v>3.0830000000000002</v>
      </c>
      <c r="L4" s="148">
        <v>3.097</v>
      </c>
      <c r="M4" s="153">
        <f t="shared" si="0"/>
        <v>3.09</v>
      </c>
      <c r="T4" s="154" t="s">
        <v>327</v>
      </c>
      <c r="U4" s="154">
        <v>173</v>
      </c>
      <c r="V4" s="154">
        <v>175</v>
      </c>
      <c r="W4" s="154">
        <v>208</v>
      </c>
      <c r="X4" s="154">
        <v>209</v>
      </c>
      <c r="AC4" s="30" t="s">
        <v>103</v>
      </c>
      <c r="AD4" s="131">
        <v>5.65</v>
      </c>
      <c r="AE4" s="42">
        <v>800</v>
      </c>
      <c r="AF4" s="42">
        <v>899</v>
      </c>
    </row>
    <row r="5" spans="1:32" x14ac:dyDescent="0.3">
      <c r="C5" s="56">
        <v>30</v>
      </c>
      <c r="D5" s="56">
        <v>9</v>
      </c>
      <c r="J5" s="147" t="s">
        <v>70</v>
      </c>
      <c r="K5" s="148">
        <v>3.3136000000000001</v>
      </c>
      <c r="L5" s="148">
        <v>3.3256999999999999</v>
      </c>
      <c r="M5" s="153">
        <f t="shared" si="0"/>
        <v>3.3196500000000002</v>
      </c>
      <c r="T5" s="154" t="s">
        <v>328</v>
      </c>
      <c r="U5" s="154">
        <v>187</v>
      </c>
      <c r="V5" s="154">
        <v>188</v>
      </c>
      <c r="W5" s="154">
        <v>223</v>
      </c>
      <c r="X5" s="154">
        <v>224</v>
      </c>
      <c r="AC5" s="30" t="s">
        <v>338</v>
      </c>
      <c r="AD5" s="131">
        <v>11.15</v>
      </c>
      <c r="AE5" s="42">
        <v>400</v>
      </c>
      <c r="AF5" s="42">
        <v>600</v>
      </c>
    </row>
    <row r="6" spans="1:32" x14ac:dyDescent="0.3">
      <c r="C6" s="56"/>
      <c r="F6" t="s">
        <v>111</v>
      </c>
      <c r="J6" s="147" t="s">
        <v>71</v>
      </c>
      <c r="K6" s="148">
        <v>4.2778999999999998</v>
      </c>
      <c r="L6" s="148">
        <v>4.2961</v>
      </c>
      <c r="M6" s="153">
        <f t="shared" si="0"/>
        <v>4.2869999999999999</v>
      </c>
      <c r="T6" s="154"/>
      <c r="U6" s="154"/>
      <c r="V6" s="154"/>
      <c r="W6" s="154"/>
      <c r="X6" s="154"/>
      <c r="AC6" s="45" t="s">
        <v>103</v>
      </c>
      <c r="AD6" s="182">
        <v>5.65</v>
      </c>
      <c r="AE6" s="42">
        <v>1800</v>
      </c>
      <c r="AF6" s="42">
        <v>1899</v>
      </c>
    </row>
    <row r="7" spans="1:32" x14ac:dyDescent="0.3">
      <c r="C7" s="56"/>
      <c r="F7" t="s">
        <v>333</v>
      </c>
      <c r="J7" s="147" t="s">
        <v>72</v>
      </c>
      <c r="K7" s="148">
        <v>4.7865000000000002</v>
      </c>
      <c r="L7" s="148">
        <v>4.8048000000000002</v>
      </c>
      <c r="M7" s="153">
        <f t="shared" si="0"/>
        <v>4.7956500000000002</v>
      </c>
      <c r="T7" s="154"/>
      <c r="U7" s="154"/>
      <c r="V7" s="154"/>
      <c r="W7" s="154"/>
      <c r="X7" s="154"/>
      <c r="AC7" s="30" t="s">
        <v>339</v>
      </c>
      <c r="AD7" s="131">
        <v>99</v>
      </c>
      <c r="AE7" s="42">
        <v>0</v>
      </c>
      <c r="AF7" s="42">
        <v>99</v>
      </c>
    </row>
    <row r="8" spans="1:32" x14ac:dyDescent="0.3">
      <c r="C8" s="56"/>
      <c r="F8" t="s">
        <v>349</v>
      </c>
      <c r="J8" s="147" t="s">
        <v>73</v>
      </c>
      <c r="K8" s="148">
        <v>5.3155000000000001</v>
      </c>
      <c r="L8" s="148">
        <v>5.3277000000000001</v>
      </c>
      <c r="M8" s="153">
        <f t="shared" si="0"/>
        <v>5.3216000000000001</v>
      </c>
      <c r="T8" s="154"/>
      <c r="U8" s="154"/>
      <c r="V8" s="154"/>
      <c r="W8" s="154"/>
      <c r="X8" s="154"/>
      <c r="AC8" s="45" t="s">
        <v>342</v>
      </c>
      <c r="AD8" s="173">
        <v>9999</v>
      </c>
      <c r="AE8" s="131">
        <v>9999</v>
      </c>
      <c r="AF8" s="131">
        <v>9999</v>
      </c>
    </row>
    <row r="9" spans="1:32" x14ac:dyDescent="0.3">
      <c r="C9" s="56"/>
      <c r="J9" s="147" t="s">
        <v>74</v>
      </c>
      <c r="K9" s="148">
        <v>5.8117000000000001</v>
      </c>
      <c r="L9" s="148">
        <v>5.8300999999999998</v>
      </c>
      <c r="M9" s="153">
        <f t="shared" si="0"/>
        <v>5.8209</v>
      </c>
      <c r="T9" s="154"/>
      <c r="U9" s="154"/>
      <c r="V9" s="154"/>
      <c r="W9" s="154"/>
      <c r="X9" s="154"/>
    </row>
    <row r="10" spans="1:32" x14ac:dyDescent="0.3">
      <c r="C10" s="56"/>
      <c r="J10" s="147" t="s">
        <v>75</v>
      </c>
      <c r="K10" s="148">
        <v>5.8783000000000003</v>
      </c>
      <c r="L10" s="148">
        <v>5.8903999999999996</v>
      </c>
      <c r="M10" s="153">
        <f t="shared" si="0"/>
        <v>5.8843499999999995</v>
      </c>
      <c r="T10" s="154"/>
      <c r="U10" s="154"/>
      <c r="V10" s="154"/>
      <c r="W10" s="154"/>
      <c r="X10" s="154"/>
    </row>
    <row r="11" spans="1:32" x14ac:dyDescent="0.3">
      <c r="C11" s="56"/>
      <c r="J11" s="147" t="s">
        <v>76</v>
      </c>
      <c r="K11" s="148">
        <v>6.3068</v>
      </c>
      <c r="L11" s="148">
        <v>6.3308999999999997</v>
      </c>
      <c r="M11" s="153">
        <f t="shared" si="0"/>
        <v>6.3188499999999994</v>
      </c>
      <c r="T11" s="154"/>
      <c r="U11" s="154"/>
      <c r="V11" s="154"/>
      <c r="W11" s="154"/>
      <c r="X11" s="154"/>
    </row>
    <row r="12" spans="1:32" x14ac:dyDescent="0.3">
      <c r="C12" s="56"/>
      <c r="J12" s="147" t="s">
        <v>77</v>
      </c>
      <c r="K12" s="148">
        <v>7.8349000000000002</v>
      </c>
      <c r="L12" s="148">
        <v>7.8468999999999998</v>
      </c>
      <c r="M12" s="153">
        <f t="shared" si="0"/>
        <v>7.8408999999999995</v>
      </c>
      <c r="T12" s="154"/>
      <c r="U12" s="154"/>
      <c r="V12" s="154"/>
      <c r="W12" s="154"/>
      <c r="X12" s="154"/>
    </row>
    <row r="13" spans="1:32" x14ac:dyDescent="0.3">
      <c r="C13" s="56"/>
      <c r="J13" s="147" t="s">
        <v>78</v>
      </c>
      <c r="K13" s="148">
        <v>10.373799999999999</v>
      </c>
      <c r="L13" s="148">
        <v>10.38</v>
      </c>
      <c r="M13" s="153">
        <f t="shared" si="0"/>
        <v>10.376899999999999</v>
      </c>
      <c r="T13" s="154"/>
      <c r="U13" s="154"/>
      <c r="V13" s="154"/>
      <c r="W13" s="154"/>
      <c r="X13" s="154"/>
    </row>
    <row r="14" spans="1:32" x14ac:dyDescent="0.3">
      <c r="C14" s="56"/>
      <c r="J14" s="147" t="s">
        <v>79</v>
      </c>
      <c r="K14" s="148">
        <v>10.8954</v>
      </c>
      <c r="L14" s="148">
        <v>10.913500000000001</v>
      </c>
      <c r="M14" s="153">
        <f t="shared" si="0"/>
        <v>10.904450000000001</v>
      </c>
      <c r="T14" s="154"/>
      <c r="U14" s="154"/>
      <c r="V14" s="154"/>
      <c r="W14" s="154"/>
      <c r="X14" s="154"/>
    </row>
    <row r="15" spans="1:32" x14ac:dyDescent="0.3">
      <c r="C15" s="56"/>
      <c r="J15" s="147"/>
      <c r="K15" s="148"/>
      <c r="L15" s="148"/>
      <c r="T15" s="154"/>
      <c r="U15" s="154"/>
      <c r="V15" s="154"/>
      <c r="W15" s="154"/>
      <c r="X15" s="154"/>
    </row>
    <row r="16" spans="1:32" x14ac:dyDescent="0.3">
      <c r="C16" s="56"/>
      <c r="J16" s="147"/>
      <c r="K16" s="148"/>
      <c r="L16" s="148"/>
      <c r="T16" s="154"/>
      <c r="U16" s="154"/>
      <c r="V16" s="154"/>
      <c r="W16" s="154"/>
      <c r="X16" s="154"/>
    </row>
    <row r="17" spans="3:24" x14ac:dyDescent="0.3">
      <c r="C17" s="136" t="s">
        <v>180</v>
      </c>
      <c r="J17" s="147"/>
      <c r="K17" s="148"/>
      <c r="L17" s="148"/>
      <c r="T17" s="154"/>
      <c r="U17" s="154"/>
      <c r="V17" s="154"/>
      <c r="W17" s="154"/>
      <c r="X17" s="154"/>
    </row>
    <row r="18" spans="3:24" x14ac:dyDescent="0.3">
      <c r="C18" t="s">
        <v>1046</v>
      </c>
      <c r="J18" s="147" t="s">
        <v>85</v>
      </c>
      <c r="K18" s="148"/>
      <c r="L18" s="148"/>
      <c r="M18" s="153" t="str">
        <f>"""C:\Program Files (x86)\AstroGrep\AstroGrep.exe"""</f>
        <v>"C:\Program Files (x86)\AstroGrep\AstroGrep.exe"</v>
      </c>
      <c r="T18" s="154"/>
      <c r="U18" s="154"/>
      <c r="V18" s="154"/>
      <c r="W18" s="154"/>
      <c r="X18" s="154"/>
    </row>
    <row r="19" spans="3:24" x14ac:dyDescent="0.3">
      <c r="C19" t="s">
        <v>1047</v>
      </c>
      <c r="J19" s="147" t="s">
        <v>86</v>
      </c>
      <c r="K19" s="148"/>
      <c r="L19" s="148"/>
      <c r="M19" s="153" t="s">
        <v>109</v>
      </c>
      <c r="T19" s="154"/>
      <c r="U19" s="154"/>
      <c r="V19" s="154"/>
      <c r="W19" s="154"/>
      <c r="X19" s="154"/>
    </row>
    <row r="20" spans="3:24" x14ac:dyDescent="0.3">
      <c r="C20" t="s">
        <v>1048</v>
      </c>
      <c r="J20" s="139" t="s">
        <v>87</v>
      </c>
      <c r="M20" s="153" t="s">
        <v>332</v>
      </c>
      <c r="N20" s="153" t="s">
        <v>323</v>
      </c>
      <c r="T20" s="154"/>
      <c r="U20" s="154"/>
      <c r="V20" s="154"/>
      <c r="W20" s="154"/>
      <c r="X20" s="154"/>
    </row>
    <row r="21" spans="3:24" x14ac:dyDescent="0.3">
      <c r="C21" t="s">
        <v>1049</v>
      </c>
      <c r="J21" s="139" t="s">
        <v>90</v>
      </c>
      <c r="K21" s="139" t="s">
        <v>91</v>
      </c>
      <c r="M21" s="153" t="s">
        <v>172</v>
      </c>
      <c r="T21" s="154"/>
      <c r="U21" s="154"/>
      <c r="V21" s="154"/>
      <c r="W21" s="154"/>
      <c r="X21" s="154"/>
    </row>
    <row r="22" spans="3:24" x14ac:dyDescent="0.3">
      <c r="C22" t="s">
        <v>1050</v>
      </c>
      <c r="J22" s="139" t="s">
        <v>92</v>
      </c>
      <c r="K22" s="139" t="s">
        <v>108</v>
      </c>
      <c r="M22" s="153" t="s">
        <v>108</v>
      </c>
      <c r="T22" s="154"/>
      <c r="U22" s="154"/>
      <c r="V22" s="154"/>
      <c r="W22" s="154"/>
      <c r="X22" s="154"/>
    </row>
    <row r="23" spans="3:24" x14ac:dyDescent="0.3">
      <c r="C23" t="s">
        <v>1051</v>
      </c>
      <c r="J23" s="149" t="s">
        <v>94</v>
      </c>
      <c r="M23" s="153" t="str">
        <f>"-07"</f>
        <v>-07</v>
      </c>
      <c r="T23" s="154"/>
      <c r="U23" s="154"/>
      <c r="V23" s="154"/>
      <c r="W23" s="154"/>
      <c r="X23" s="154"/>
    </row>
    <row r="24" spans="3:24" x14ac:dyDescent="0.3">
      <c r="C24" t="s">
        <v>1052</v>
      </c>
      <c r="J24" s="139" t="s">
        <v>105</v>
      </c>
      <c r="M24" s="153" t="s">
        <v>107</v>
      </c>
      <c r="T24" s="154"/>
      <c r="U24" s="154"/>
      <c r="V24" s="154"/>
      <c r="W24" s="154"/>
      <c r="X24" s="154"/>
    </row>
    <row r="25" spans="3:24" x14ac:dyDescent="0.3">
      <c r="C25" t="s">
        <v>1053</v>
      </c>
      <c r="J25" s="139" t="s">
        <v>144</v>
      </c>
      <c r="M25" s="153" t="b">
        <v>1</v>
      </c>
    </row>
    <row r="26" spans="3:24" x14ac:dyDescent="0.3">
      <c r="C26" t="s">
        <v>1054</v>
      </c>
      <c r="J26" s="139" t="s">
        <v>145</v>
      </c>
      <c r="M26" s="153" t="str">
        <f>"%USERPROFILE%\Documents\GitHub\eaglep3-reporting\EC\"&amp;TEXT(A2,"yyyy-mm-dd")&amp;"-refined-times.txt"</f>
        <v>%USERPROFILE%\Documents\GitHub\eaglep3-reporting\EC\2018-01-06-refined-times.txt</v>
      </c>
    </row>
    <row r="27" spans="3:24" x14ac:dyDescent="0.3">
      <c r="C27" t="s">
        <v>1055</v>
      </c>
      <c r="J27" s="139" t="s">
        <v>174</v>
      </c>
      <c r="M27" s="153" t="str">
        <f>"%USERPROFILE%\Documents\GitHub\eaglep3-reporting\EC\"&amp;TEXT(A2,"YYYY-MM-DD")&amp;"-Enforcements.txt"</f>
        <v>%USERPROFILE%\Documents\GitHub\eaglep3-reporting\EC\2018-01-06-Enforcements.txt</v>
      </c>
    </row>
    <row r="28" spans="3:24" x14ac:dyDescent="0.3">
      <c r="C28" t="s">
        <v>1056</v>
      </c>
      <c r="J28" s="139" t="s">
        <v>175</v>
      </c>
      <c r="M28" s="153" t="str">
        <f>"%USERPROFILE%\Documents\GitHub\eaglep3-reporting\EC\"&amp;TEXT(A2,"YYYY-MM-DD")&amp;"-Runs-refined.txt"</f>
        <v>%USERPROFILE%\Documents\GitHub\eaglep3-reporting\EC\2018-01-06-Runs-refined.txt</v>
      </c>
    </row>
    <row r="29" spans="3:24" x14ac:dyDescent="0.3">
      <c r="C29" t="s">
        <v>1057</v>
      </c>
      <c r="J29" s="139" t="s">
        <v>176</v>
      </c>
      <c r="M29" s="153" t="str">
        <f>"%USERPROFILE%\Documents\GitHub\eaglep3-reporting\EC\"&amp;TEXT(A2,"YYYY-MM-DD")&amp;"-Trips.txt"</f>
        <v>%USERPROFILE%\Documents\GitHub\eaglep3-reporting\EC\2018-01-06-Trips.txt</v>
      </c>
    </row>
    <row r="30" spans="3:24" x14ac:dyDescent="0.3">
      <c r="C30" t="s">
        <v>1058</v>
      </c>
      <c r="J30" s="139" t="s">
        <v>177</v>
      </c>
      <c r="M30" s="153" t="str">
        <f>"%USERPROFILE%\Documents\GitHub\eaglep3-reporting\EC\"&amp;TEXT(A2,"YYYY-MM-DD")&amp;"-Weather.txt"</f>
        <v>%USERPROFILE%\Documents\GitHub\eaglep3-reporting\EC\2018-01-06-Weather.txt</v>
      </c>
    </row>
    <row r="31" spans="3:24" x14ac:dyDescent="0.3">
      <c r="C31" t="s">
        <v>1059</v>
      </c>
      <c r="J31" s="139" t="s">
        <v>188</v>
      </c>
      <c r="M31" s="153" t="s">
        <v>189</v>
      </c>
    </row>
    <row r="32" spans="3:24" x14ac:dyDescent="0.3">
      <c r="C32" t="s">
        <v>1060</v>
      </c>
    </row>
    <row r="33" spans="3:3" x14ac:dyDescent="0.3">
      <c r="C33" t="s">
        <v>1061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1]!Mail_workbook_Outlook">
                <anchor moveWithCells="1" sizeWithCells="1">
                  <from>
                    <xdr:col>0</xdr:col>
                    <xdr:colOff>297180</xdr:colOff>
                    <xdr:row>5</xdr:row>
                    <xdr:rowOff>45720</xdr:rowOff>
                  </from>
                  <to>
                    <xdr:col>0</xdr:col>
                    <xdr:colOff>1630680</xdr:colOff>
                    <xdr:row>8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1]!ImportRawText">
                <anchor moveWithCells="1" sizeWithCells="1">
                  <from>
                    <xdr:col>0</xdr:col>
                    <xdr:colOff>304800</xdr:colOff>
                    <xdr:row>9</xdr:row>
                    <xdr:rowOff>83820</xdr:rowOff>
                  </from>
                  <to>
                    <xdr:col>0</xdr:col>
                    <xdr:colOff>1554480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1]!SetTodaysDate">
                <anchor moveWithCells="1" sizeWithCells="1">
                  <from>
                    <xdr:col>0</xdr:col>
                    <xdr:colOff>297180</xdr:colOff>
                    <xdr:row>12</xdr:row>
                    <xdr:rowOff>144780</xdr:rowOff>
                  </from>
                  <to>
                    <xdr:col>0</xdr:col>
                    <xdr:colOff>1546860</xdr:colOff>
                    <xdr:row>15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I1" sqref="I1"/>
    </sheetView>
  </sheetViews>
  <sheetFormatPr defaultColWidth="9.109375" defaultRowHeight="14.4" x14ac:dyDescent="0.3"/>
  <cols>
    <col min="1" max="1" width="32.88671875" style="93" bestFit="1" customWidth="1"/>
    <col min="2" max="7" width="9.109375" style="93"/>
    <col min="8" max="8" width="17.6640625" style="187" bestFit="1" customWidth="1"/>
    <col min="9" max="10" width="9.109375" style="187"/>
    <col min="11" max="16384" width="9.109375" style="93"/>
  </cols>
  <sheetData>
    <row r="1" spans="1:11" x14ac:dyDescent="0.3">
      <c r="A1" s="92" t="s">
        <v>115</v>
      </c>
      <c r="B1" s="92" t="s">
        <v>116</v>
      </c>
      <c r="C1" s="93" t="s">
        <v>117</v>
      </c>
      <c r="H1" s="167" t="s">
        <v>112</v>
      </c>
      <c r="I1" s="185" t="s">
        <v>353</v>
      </c>
      <c r="J1" s="167" t="s">
        <v>330</v>
      </c>
    </row>
    <row r="2" spans="1:11" x14ac:dyDescent="0.3">
      <c r="A2" s="93" t="s">
        <v>118</v>
      </c>
      <c r="B2" s="93" t="s">
        <v>119</v>
      </c>
      <c r="C2" s="93" t="s">
        <v>120</v>
      </c>
      <c r="H2" s="167" t="s">
        <v>113</v>
      </c>
      <c r="I2" s="167" t="s">
        <v>114</v>
      </c>
      <c r="J2" s="167" t="s">
        <v>331</v>
      </c>
    </row>
    <row r="3" spans="1:11" x14ac:dyDescent="0.3">
      <c r="A3" s="93" t="s">
        <v>121</v>
      </c>
      <c r="B3" s="93" t="s">
        <v>122</v>
      </c>
      <c r="C3" s="93" t="s">
        <v>123</v>
      </c>
      <c r="H3" s="167" t="s">
        <v>137</v>
      </c>
      <c r="I3" s="167">
        <v>1</v>
      </c>
      <c r="J3" s="167">
        <v>1</v>
      </c>
      <c r="K3" s="55"/>
    </row>
    <row r="4" spans="1:11" x14ac:dyDescent="0.3">
      <c r="A4" s="93" t="s">
        <v>124</v>
      </c>
      <c r="C4" s="93" t="s">
        <v>125</v>
      </c>
      <c r="H4" s="167" t="s">
        <v>138</v>
      </c>
      <c r="I4" s="167">
        <v>2</v>
      </c>
      <c r="J4" s="167">
        <v>1</v>
      </c>
      <c r="K4" s="55"/>
    </row>
    <row r="5" spans="1:11" x14ac:dyDescent="0.3">
      <c r="A5" s="93" t="s">
        <v>126</v>
      </c>
      <c r="C5" s="93" t="s">
        <v>127</v>
      </c>
      <c r="H5" s="167" t="s">
        <v>139</v>
      </c>
      <c r="I5" s="167">
        <v>338</v>
      </c>
      <c r="J5" s="167">
        <v>10</v>
      </c>
      <c r="K5" s="55"/>
    </row>
    <row r="6" spans="1:11" x14ac:dyDescent="0.3">
      <c r="A6" s="93" t="s">
        <v>128</v>
      </c>
      <c r="C6" s="93" t="s">
        <v>129</v>
      </c>
      <c r="H6" s="186" t="s">
        <v>140</v>
      </c>
      <c r="I6" s="186" t="s">
        <v>119</v>
      </c>
    </row>
    <row r="7" spans="1:11" x14ac:dyDescent="0.3">
      <c r="A7" s="93" t="s">
        <v>130</v>
      </c>
      <c r="C7" s="93" t="s">
        <v>131</v>
      </c>
    </row>
    <row r="8" spans="1:11" x14ac:dyDescent="0.3">
      <c r="C8" s="93" t="s">
        <v>132</v>
      </c>
    </row>
    <row r="9" spans="1:11" x14ac:dyDescent="0.3">
      <c r="C9" s="94" t="s">
        <v>165</v>
      </c>
    </row>
    <row r="10" spans="1:11" x14ac:dyDescent="0.3">
      <c r="C10" s="93" t="s">
        <v>133</v>
      </c>
    </row>
    <row r="11" spans="1:11" x14ac:dyDescent="0.3">
      <c r="C11" s="93" t="s">
        <v>134</v>
      </c>
    </row>
    <row r="12" spans="1:11" x14ac:dyDescent="0.3">
      <c r="C12" s="93" t="s">
        <v>135</v>
      </c>
    </row>
    <row r="13" spans="1:11" x14ac:dyDescent="0.3">
      <c r="C13" s="93" t="s">
        <v>136</v>
      </c>
    </row>
    <row r="14" spans="1:11" x14ac:dyDescent="0.3">
      <c r="C14" s="94" t="s">
        <v>166</v>
      </c>
    </row>
    <row r="15" spans="1:11" x14ac:dyDescent="0.3">
      <c r="C15" s="94" t="s">
        <v>181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4.4" x14ac:dyDescent="0.3"/>
  <cols>
    <col min="2" max="2" width="22.33203125" bestFit="1" customWidth="1"/>
    <col min="3" max="3" width="9.6640625" customWidth="1"/>
  </cols>
  <sheetData>
    <row r="1" spans="1:3" x14ac:dyDescent="0.3">
      <c r="A1" t="s">
        <v>193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3">
      <c r="A2" t="s">
        <v>194</v>
      </c>
      <c r="B2" s="20" t="str">
        <f t="shared" si="0"/>
        <v>2017/03/01 11:03:17.810</v>
      </c>
      <c r="C2">
        <f>ABS(B2-B1)</f>
        <v>7.9861638369038701E-7</v>
      </c>
    </row>
    <row r="3" spans="1:3" x14ac:dyDescent="0.3">
      <c r="A3" t="s">
        <v>195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3">
      <c r="A4" t="s">
        <v>196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3">
      <c r="A5" t="s">
        <v>197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3">
      <c r="A6" t="s">
        <v>198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3">
      <c r="A7" t="s">
        <v>199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3">
      <c r="A8" t="s">
        <v>200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3">
      <c r="A9" t="s">
        <v>201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3">
      <c r="A10" t="s">
        <v>202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3">
      <c r="A11" t="s">
        <v>203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3">
      <c r="A12" t="s">
        <v>204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3">
      <c r="A13" t="s">
        <v>205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3">
      <c r="A14" t="s">
        <v>206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3">
      <c r="A15" t="s">
        <v>207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3">
      <c r="A16" t="s">
        <v>208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3">
      <c r="A17" t="s">
        <v>209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3">
      <c r="A18" t="s">
        <v>210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3">
      <c r="A19" t="s">
        <v>211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3">
      <c r="A20" t="s">
        <v>212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3">
      <c r="A21" t="s">
        <v>213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3">
      <c r="A22" t="s">
        <v>214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3">
      <c r="A23" t="s">
        <v>215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3">
      <c r="A24" t="s">
        <v>216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3">
      <c r="A25" t="s">
        <v>217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3">
      <c r="A26" t="s">
        <v>218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3">
      <c r="A27" t="s">
        <v>219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3">
      <c r="A28" t="s">
        <v>220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3">
      <c r="A29" t="s">
        <v>221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3">
      <c r="A30" t="s">
        <v>222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3">
      <c r="A31" t="s">
        <v>223</v>
      </c>
      <c r="B31" s="20" t="str">
        <f>MID(A31,6,23)</f>
        <v>2017/03/01 14:42:30.164</v>
      </c>
      <c r="C31" s="20">
        <f>ABS(B31-B30)</f>
        <v>1.3009259419050068E-5</v>
      </c>
    </row>
    <row r="32" spans="1:3" x14ac:dyDescent="0.3">
      <c r="A32" t="s">
        <v>224</v>
      </c>
      <c r="B32" s="20" t="str">
        <f>MID(A32,6,23)</f>
        <v>2017/03/01 14:42:30.410</v>
      </c>
      <c r="C32" s="20">
        <f>ABS(B32-B31)</f>
        <v>2.847220457624644E-6</v>
      </c>
    </row>
    <row r="33" spans="1:3" x14ac:dyDescent="0.3">
      <c r="A33" t="s">
        <v>225</v>
      </c>
      <c r="B33" s="20" t="str">
        <f t="shared" ref="B33:B49" si="2">MID(A33,6,23)</f>
        <v>2017/03/01 15:16:01.045</v>
      </c>
      <c r="C33" s="20">
        <f t="shared" ref="C33:C49" si="3">ABS(B33-B32)</f>
        <v>2.3271238424058538E-2</v>
      </c>
    </row>
    <row r="34" spans="1:3" x14ac:dyDescent="0.3">
      <c r="A34" t="s">
        <v>226</v>
      </c>
      <c r="B34" s="20" t="str">
        <f t="shared" si="2"/>
        <v>2017/03/01 15:16:01.400</v>
      </c>
      <c r="C34" s="20">
        <f t="shared" si="3"/>
        <v>4.1087987483479083E-6</v>
      </c>
    </row>
    <row r="35" spans="1:3" x14ac:dyDescent="0.3">
      <c r="A35" t="s">
        <v>227</v>
      </c>
      <c r="B35" s="20" t="str">
        <f t="shared" si="2"/>
        <v>2017/03/01 15:17:18.045</v>
      </c>
      <c r="C35" s="20">
        <f t="shared" si="3"/>
        <v>8.8709490955807269E-4</v>
      </c>
    </row>
    <row r="36" spans="1:3" x14ac:dyDescent="0.3">
      <c r="A36" t="s">
        <v>228</v>
      </c>
      <c r="B36" s="20" t="str">
        <f t="shared" si="2"/>
        <v>2017/03/01 15:17:18.415</v>
      </c>
      <c r="C36" s="20">
        <f t="shared" si="3"/>
        <v>4.2824030970223248E-6</v>
      </c>
    </row>
    <row r="37" spans="1:3" x14ac:dyDescent="0.3">
      <c r="A37" t="s">
        <v>229</v>
      </c>
      <c r="B37" s="20" t="str">
        <f t="shared" si="2"/>
        <v>2017/03/01 15:17:19.155</v>
      </c>
      <c r="C37" s="20">
        <f t="shared" si="3"/>
        <v>8.564820745959878E-6</v>
      </c>
    </row>
    <row r="38" spans="1:3" x14ac:dyDescent="0.3">
      <c r="A38" t="s">
        <v>230</v>
      </c>
      <c r="B38" s="20" t="str">
        <f t="shared" si="2"/>
        <v>2017/03/01 16:13:17.582</v>
      </c>
      <c r="C38" s="20">
        <f t="shared" si="3"/>
        <v>3.8870682867127471E-2</v>
      </c>
    </row>
    <row r="39" spans="1:3" x14ac:dyDescent="0.3">
      <c r="A39" t="s">
        <v>231</v>
      </c>
      <c r="B39" s="20" t="str">
        <f t="shared" si="2"/>
        <v>2017/03/01 16:13:17.910</v>
      </c>
      <c r="C39" s="20">
        <f t="shared" si="3"/>
        <v>3.7962963688187301E-6</v>
      </c>
    </row>
    <row r="40" spans="1:3" x14ac:dyDescent="0.3">
      <c r="A40" t="s">
        <v>232</v>
      </c>
      <c r="B40" s="20" t="str">
        <f t="shared" si="2"/>
        <v>2017/03/01 16:33:53.680</v>
      </c>
      <c r="C40" s="20">
        <f t="shared" si="3"/>
        <v>1.4302893519925419E-2</v>
      </c>
    </row>
    <row r="41" spans="1:3" x14ac:dyDescent="0.3">
      <c r="A41" t="s">
        <v>233</v>
      </c>
      <c r="B41" s="20" t="str">
        <f t="shared" si="2"/>
        <v>2017/03/01 16:33:53.828</v>
      </c>
      <c r="C41" s="20">
        <f t="shared" si="3"/>
        <v>1.7129641491919756E-6</v>
      </c>
    </row>
    <row r="42" spans="1:3" x14ac:dyDescent="0.3">
      <c r="A42" t="s">
        <v>234</v>
      </c>
      <c r="B42" s="20" t="str">
        <f t="shared" si="2"/>
        <v>2017/03/01 16:33:53.912</v>
      </c>
      <c r="C42" s="20">
        <f t="shared" si="3"/>
        <v>9.7222073236480355E-7</v>
      </c>
    </row>
    <row r="43" spans="1:3" x14ac:dyDescent="0.3">
      <c r="A43" t="s">
        <v>235</v>
      </c>
      <c r="B43" s="20" t="str">
        <f t="shared" si="2"/>
        <v>2017/03/01 17:25:14.718</v>
      </c>
      <c r="C43" s="20">
        <f t="shared" si="3"/>
        <v>3.5657476852065884E-2</v>
      </c>
    </row>
    <row r="44" spans="1:3" x14ac:dyDescent="0.3">
      <c r="A44" t="s">
        <v>236</v>
      </c>
      <c r="B44" s="20" t="str">
        <f t="shared" si="2"/>
        <v>2017/03/01 17:25:14.865</v>
      </c>
      <c r="C44" s="20">
        <f t="shared" si="3"/>
        <v>1.7013881006278098E-6</v>
      </c>
    </row>
    <row r="45" spans="1:3" x14ac:dyDescent="0.3">
      <c r="A45" t="s">
        <v>237</v>
      </c>
      <c r="B45" s="20" t="str">
        <f t="shared" si="2"/>
        <v>2017/03/01 17:25:14.945</v>
      </c>
      <c r="C45" s="20">
        <f t="shared" si="3"/>
        <v>9.2592381406575441E-7</v>
      </c>
    </row>
    <row r="46" spans="1:3" x14ac:dyDescent="0.3">
      <c r="A46" t="s">
        <v>238</v>
      </c>
      <c r="B46" s="20" t="str">
        <f t="shared" si="2"/>
        <v>2017/03/01 17:51:17.905</v>
      </c>
      <c r="C46" s="20">
        <f t="shared" si="3"/>
        <v>1.8089814817358274E-2</v>
      </c>
    </row>
    <row r="47" spans="1:3" x14ac:dyDescent="0.3">
      <c r="A47" t="s">
        <v>239</v>
      </c>
      <c r="B47" s="20" t="str">
        <f t="shared" si="2"/>
        <v>2017/03/01 17:51:18.582</v>
      </c>
      <c r="C47" s="20">
        <f t="shared" si="3"/>
        <v>7.8356461017392576E-6</v>
      </c>
    </row>
    <row r="48" spans="1:3" x14ac:dyDescent="0.3">
      <c r="A48" t="s">
        <v>240</v>
      </c>
      <c r="B48" s="20" t="str">
        <f t="shared" si="2"/>
        <v>2017/03/01 17:53:38.687</v>
      </c>
      <c r="C48" s="20">
        <f t="shared" si="3"/>
        <v>1.6215856521739624E-3</v>
      </c>
    </row>
    <row r="49" spans="1:3" x14ac:dyDescent="0.3">
      <c r="A49" t="s">
        <v>241</v>
      </c>
      <c r="B49" s="20" t="str">
        <f t="shared" si="2"/>
        <v>2017/03/01 17:53:38.949</v>
      </c>
      <c r="C49" s="20">
        <f t="shared" si="3"/>
        <v>3.0324081308208406E-6</v>
      </c>
    </row>
    <row r="50" spans="1:3" x14ac:dyDescent="0.3">
      <c r="A50" t="s">
        <v>242</v>
      </c>
      <c r="B50" s="20" t="str">
        <f>MID(A50,6,23)</f>
        <v>2017/03/01 17:54:21.586</v>
      </c>
      <c r="C50" s="20">
        <f>ABS(B50-B49)</f>
        <v>4.934837925247848E-4</v>
      </c>
    </row>
    <row r="51" spans="1:3" x14ac:dyDescent="0.3">
      <c r="A51" t="s">
        <v>243</v>
      </c>
      <c r="B51" s="20" t="str">
        <f>MID(A51,6,23)</f>
        <v>2017/03/01 17:54:21.919</v>
      </c>
      <c r="C51" s="20">
        <f>ABS(B51-B50)</f>
        <v>3.8541693356819451E-6</v>
      </c>
    </row>
    <row r="52" spans="1:3" x14ac:dyDescent="0.3">
      <c r="A52" t="s">
        <v>244</v>
      </c>
      <c r="B52" s="20" t="str">
        <f>MID(A52,6,23)</f>
        <v>2017/03/01 17:55:16.336</v>
      </c>
      <c r="C52" s="20">
        <f>ABS(B52-B51)</f>
        <v>6.2982638337416574E-4</v>
      </c>
    </row>
    <row r="53" spans="1:3" x14ac:dyDescent="0.3">
      <c r="A53" t="s">
        <v>245</v>
      </c>
      <c r="B53" s="20" t="str">
        <f>MID(A53,6,23)</f>
        <v>2017/03/01 17:55:16.384</v>
      </c>
      <c r="C53" s="20">
        <f>ABS(B53-B52)</f>
        <v>5.5555574363097548E-7</v>
      </c>
    </row>
    <row r="54" spans="1:3" x14ac:dyDescent="0.3">
      <c r="A54" t="s">
        <v>246</v>
      </c>
      <c r="B54" s="20" t="str">
        <f>MID(A54,6,23)</f>
        <v>2017/03/01 17:55:16.839</v>
      </c>
      <c r="C54" s="20">
        <f>ABS(B54-B53)</f>
        <v>5.2662071539089084E-6</v>
      </c>
    </row>
    <row r="55" spans="1:3" x14ac:dyDescent="0.3">
      <c r="A55" t="s">
        <v>247</v>
      </c>
      <c r="B55" s="20" t="str">
        <f t="shared" ref="B55:B62" si="4">MID(A55,6,23)</f>
        <v>2017/03/01 18:13:47.810</v>
      </c>
      <c r="C55" s="20">
        <f t="shared" ref="C55:C62" si="5">ABS(B55-B54)</f>
        <v>1.2858460650022607E-2</v>
      </c>
    </row>
    <row r="56" spans="1:3" x14ac:dyDescent="0.3">
      <c r="A56" t="s">
        <v>248</v>
      </c>
      <c r="B56" s="20" t="str">
        <f t="shared" si="4"/>
        <v>2017/03/01 18:13:48.426</v>
      </c>
      <c r="C56" s="20">
        <f t="shared" si="5"/>
        <v>7.129630830604583E-6</v>
      </c>
    </row>
    <row r="57" spans="1:3" x14ac:dyDescent="0.3">
      <c r="A57" t="s">
        <v>249</v>
      </c>
      <c r="B57" s="20" t="str">
        <f t="shared" si="4"/>
        <v>2017/03/01 18:34:18.681</v>
      </c>
      <c r="C57" s="20">
        <f t="shared" si="5"/>
        <v>1.4239062496926636E-2</v>
      </c>
    </row>
    <row r="58" spans="1:3" x14ac:dyDescent="0.3">
      <c r="A58" t="s">
        <v>250</v>
      </c>
      <c r="B58" s="20" t="str">
        <f t="shared" si="4"/>
        <v>2017/03/01 18:34:18.834</v>
      </c>
      <c r="C58" s="20">
        <f t="shared" si="5"/>
        <v>1.7708298400975764E-6</v>
      </c>
    </row>
    <row r="59" spans="1:3" x14ac:dyDescent="0.3">
      <c r="A59" t="s">
        <v>251</v>
      </c>
      <c r="B59" s="20" t="str">
        <f t="shared" si="4"/>
        <v>2017/03/01 18:34:18.908</v>
      </c>
      <c r="C59" s="20">
        <f t="shared" si="5"/>
        <v>8.564820745959878E-7</v>
      </c>
    </row>
    <row r="60" spans="1:3" x14ac:dyDescent="0.3">
      <c r="A60" t="s">
        <v>252</v>
      </c>
      <c r="B60" s="20" t="str">
        <f t="shared" si="4"/>
        <v>2017/03/01 20:06:08.810</v>
      </c>
      <c r="C60" s="20">
        <f t="shared" si="5"/>
        <v>6.3772013891139068E-2</v>
      </c>
    </row>
    <row r="61" spans="1:3" x14ac:dyDescent="0.3">
      <c r="A61" t="s">
        <v>253</v>
      </c>
      <c r="B61" s="20" t="str">
        <f t="shared" si="4"/>
        <v>2017/03/01 20:06:09.082</v>
      </c>
      <c r="C61" s="20">
        <f t="shared" si="5"/>
        <v>3.1481467885896564E-6</v>
      </c>
    </row>
    <row r="62" spans="1:3" x14ac:dyDescent="0.3">
      <c r="A62" t="s">
        <v>254</v>
      </c>
      <c r="B62" s="20" t="str">
        <f t="shared" si="4"/>
        <v>2017/03/01 20:06:09.424</v>
      </c>
      <c r="C62" s="20">
        <f t="shared" si="5"/>
        <v>3.958331944886595E-6</v>
      </c>
    </row>
    <row r="63" spans="1:3" x14ac:dyDescent="0.3">
      <c r="A63" t="s">
        <v>255</v>
      </c>
      <c r="B63" s="20" t="str">
        <f t="shared" ref="B63:B86" si="6">MID(A63,6,23)</f>
        <v>2017/03/01 20:29:46.035</v>
      </c>
      <c r="C63" s="20">
        <f t="shared" ref="C63:C86" si="7">ABS(B63-B62)</f>
        <v>1.6395960650697816E-2</v>
      </c>
    </row>
    <row r="64" spans="1:3" x14ac:dyDescent="0.3">
      <c r="A64" t="s">
        <v>256</v>
      </c>
      <c r="B64" s="20" t="str">
        <f t="shared" si="6"/>
        <v>2017/03/01 20:29:46.150</v>
      </c>
      <c r="C64" s="20">
        <f t="shared" si="7"/>
        <v>1.3310200301930308E-6</v>
      </c>
    </row>
    <row r="65" spans="1:3" x14ac:dyDescent="0.3">
      <c r="A65" t="s">
        <v>257</v>
      </c>
      <c r="B65" s="20" t="str">
        <f t="shared" si="6"/>
        <v>2017/03/01 20:29:46.410</v>
      </c>
      <c r="C65" s="20">
        <f t="shared" si="7"/>
        <v>3.0092560336925089E-6</v>
      </c>
    </row>
    <row r="66" spans="1:3" x14ac:dyDescent="0.3">
      <c r="A66" t="s">
        <v>258</v>
      </c>
      <c r="B66" s="20" t="str">
        <f t="shared" si="6"/>
        <v>2017/03/01 20:32:47.271</v>
      </c>
      <c r="C66" s="20">
        <f t="shared" si="7"/>
        <v>2.0932986153638922E-3</v>
      </c>
    </row>
    <row r="67" spans="1:3" x14ac:dyDescent="0.3">
      <c r="A67" t="s">
        <v>259</v>
      </c>
      <c r="B67" s="20" t="str">
        <f t="shared" si="6"/>
        <v>2017/03/01 20:32:47.465</v>
      </c>
      <c r="C67" s="20">
        <f t="shared" si="7"/>
        <v>2.2453677956946194E-6</v>
      </c>
    </row>
    <row r="68" spans="1:3" x14ac:dyDescent="0.3">
      <c r="A68" t="s">
        <v>260</v>
      </c>
      <c r="B68" s="20" t="str">
        <f t="shared" si="6"/>
        <v>2017/03/01 20:32:47.590</v>
      </c>
      <c r="C68" s="20">
        <f t="shared" si="7"/>
        <v>1.4467586879618466E-6</v>
      </c>
    </row>
    <row r="69" spans="1:3" x14ac:dyDescent="0.3">
      <c r="A69" t="s">
        <v>261</v>
      </c>
      <c r="B69" s="20" t="str">
        <f t="shared" si="6"/>
        <v>2017/03/01 21:35:07.687</v>
      </c>
      <c r="C69" s="20">
        <f t="shared" si="7"/>
        <v>4.3288159722578712E-2</v>
      </c>
    </row>
    <row r="70" spans="1:3" x14ac:dyDescent="0.3">
      <c r="A70" t="s">
        <v>262</v>
      </c>
      <c r="B70" s="20" t="str">
        <f t="shared" si="6"/>
        <v>2017/03/01 22:09:49.455</v>
      </c>
      <c r="C70" s="20">
        <f t="shared" si="7"/>
        <v>2.4094537038763519E-2</v>
      </c>
    </row>
    <row r="71" spans="1:3" x14ac:dyDescent="0.3">
      <c r="A71" t="s">
        <v>263</v>
      </c>
      <c r="B71" s="20" t="str">
        <f t="shared" si="6"/>
        <v>2017/03/01 22:09:49.531</v>
      </c>
      <c r="C71" s="20">
        <f t="shared" si="7"/>
        <v>8.7962689576670527E-7</v>
      </c>
    </row>
    <row r="72" spans="1:3" x14ac:dyDescent="0.3">
      <c r="A72" t="s">
        <v>264</v>
      </c>
      <c r="B72" s="20" t="str">
        <f t="shared" si="6"/>
        <v>2017/03/01 22:09:49.600</v>
      </c>
      <c r="C72" s="20">
        <f t="shared" si="7"/>
        <v>7.9860910773277283E-7</v>
      </c>
    </row>
    <row r="73" spans="1:3" x14ac:dyDescent="0.3">
      <c r="A73" t="s">
        <v>265</v>
      </c>
      <c r="B73" s="20" t="str">
        <f t="shared" si="6"/>
        <v>2017/03/01 22:19:03.040</v>
      </c>
      <c r="C73" s="20">
        <f t="shared" si="7"/>
        <v>6.4055555558297783E-3</v>
      </c>
    </row>
    <row r="74" spans="1:3" x14ac:dyDescent="0.3">
      <c r="A74" t="s">
        <v>266</v>
      </c>
      <c r="B74" s="20" t="str">
        <f t="shared" si="6"/>
        <v>2017/03/01 22:19:03.803</v>
      </c>
      <c r="C74" s="20">
        <f t="shared" si="7"/>
        <v>8.8310189312323928E-6</v>
      </c>
    </row>
    <row r="75" spans="1:3" x14ac:dyDescent="0.3">
      <c r="A75" t="s">
        <v>267</v>
      </c>
      <c r="B75" s="20" t="str">
        <f t="shared" si="6"/>
        <v>2017/03/01 22:19:04.887</v>
      </c>
      <c r="C75" s="20">
        <f t="shared" si="7"/>
        <v>1.254629751201719E-5</v>
      </c>
    </row>
    <row r="76" spans="1:3" x14ac:dyDescent="0.3">
      <c r="A76" t="s">
        <v>268</v>
      </c>
      <c r="B76" s="20" t="str">
        <f t="shared" si="6"/>
        <v>2017/03/01 22:37:58.313</v>
      </c>
      <c r="C76" s="20">
        <f t="shared" si="7"/>
        <v>1.311835648084525E-2</v>
      </c>
    </row>
    <row r="77" spans="1:3" x14ac:dyDescent="0.3">
      <c r="A77" t="s">
        <v>269</v>
      </c>
      <c r="B77" s="20" t="str">
        <f t="shared" si="6"/>
        <v>2017/03/01 22:37:58.800</v>
      </c>
      <c r="C77" s="20">
        <f t="shared" si="7"/>
        <v>5.6365752243436873E-6</v>
      </c>
    </row>
    <row r="78" spans="1:3" x14ac:dyDescent="0.3">
      <c r="A78" t="s">
        <v>270</v>
      </c>
      <c r="B78" s="20" t="str">
        <f t="shared" si="6"/>
        <v>2017/03/01 22:37:58.968</v>
      </c>
      <c r="C78" s="20">
        <f t="shared" si="7"/>
        <v>1.9444487406872213E-6</v>
      </c>
    </row>
    <row r="79" spans="1:3" x14ac:dyDescent="0.3">
      <c r="A79" t="s">
        <v>271</v>
      </c>
      <c r="B79" s="20" t="str">
        <f t="shared" si="6"/>
        <v>2017/03/01 22:51:54.858</v>
      </c>
      <c r="C79" s="20">
        <f t="shared" si="7"/>
        <v>9.6746527779032476E-3</v>
      </c>
    </row>
    <row r="80" spans="1:3" x14ac:dyDescent="0.3">
      <c r="A80" t="s">
        <v>272</v>
      </c>
      <c r="B80" s="20" t="str">
        <f t="shared" si="6"/>
        <v>2017/03/01 22:53:19.418</v>
      </c>
      <c r="C80" s="20">
        <f t="shared" si="7"/>
        <v>9.7870369791053236E-4</v>
      </c>
    </row>
    <row r="81" spans="1:3" x14ac:dyDescent="0.3">
      <c r="A81" t="s">
        <v>273</v>
      </c>
      <c r="B81" s="20" t="str">
        <f t="shared" si="6"/>
        <v>2017/03/01 22:53:19.708</v>
      </c>
      <c r="C81" s="20">
        <f t="shared" si="7"/>
        <v>3.3564865589141846E-6</v>
      </c>
    </row>
    <row r="82" spans="1:3" x14ac:dyDescent="0.3">
      <c r="A82" t="s">
        <v>274</v>
      </c>
      <c r="B82" s="20" t="str">
        <f t="shared" si="6"/>
        <v>2017/03/01 23:26:03.802</v>
      </c>
      <c r="C82" s="20">
        <f t="shared" si="7"/>
        <v>2.2732569443178363E-2</v>
      </c>
    </row>
    <row r="83" spans="1:3" x14ac:dyDescent="0.3">
      <c r="A83" t="s">
        <v>275</v>
      </c>
      <c r="B83" s="20" t="str">
        <f t="shared" si="6"/>
        <v>2017/03/01 23:26:03.967</v>
      </c>
      <c r="C83" s="20">
        <f t="shared" si="7"/>
        <v>1.9097205949947238E-6</v>
      </c>
    </row>
    <row r="84" spans="1:3" x14ac:dyDescent="0.3">
      <c r="A84" t="s">
        <v>276</v>
      </c>
      <c r="B84" s="20" t="str">
        <f t="shared" si="6"/>
        <v>2017/03/01 23:26:04.314</v>
      </c>
      <c r="C84" s="20">
        <f t="shared" si="7"/>
        <v>4.01620491174981E-6</v>
      </c>
    </row>
    <row r="85" spans="1:3" x14ac:dyDescent="0.3">
      <c r="A85" t="s">
        <v>277</v>
      </c>
      <c r="B85" s="20" t="str">
        <f t="shared" si="6"/>
        <v>2017/03/01 23:34:24.829</v>
      </c>
      <c r="C85" s="20">
        <f t="shared" si="7"/>
        <v>5.7929976828745566E-3</v>
      </c>
    </row>
    <row r="86" spans="1:3" x14ac:dyDescent="0.3">
      <c r="A86" t="s">
        <v>278</v>
      </c>
      <c r="B86" s="20" t="str">
        <f t="shared" si="6"/>
        <v>2017/03/01 23:34:24.908</v>
      </c>
      <c r="C86" s="20">
        <f t="shared" si="7"/>
        <v>9.1435504145920277E-7</v>
      </c>
    </row>
    <row r="87" spans="1:3" x14ac:dyDescent="0.3">
      <c r="A87" t="s">
        <v>279</v>
      </c>
      <c r="B87" s="20" t="str">
        <f t="shared" ref="B87:B92" si="8">MID(A87,6,23)</f>
        <v>2017/03/01 23:52:09.789</v>
      </c>
      <c r="C87" s="20">
        <f t="shared" ref="C87:C92" si="9">ABS(B87-B86)</f>
        <v>1.2325011572102085E-2</v>
      </c>
    </row>
    <row r="88" spans="1:3" x14ac:dyDescent="0.3">
      <c r="A88" t="s">
        <v>280</v>
      </c>
      <c r="B88" s="20" t="str">
        <f t="shared" si="8"/>
        <v>2017/03/01 23:52:10.049</v>
      </c>
      <c r="C88" s="20">
        <f t="shared" si="9"/>
        <v>3.0092560336925089E-6</v>
      </c>
    </row>
    <row r="89" spans="1:3" x14ac:dyDescent="0.3">
      <c r="A89" t="s">
        <v>281</v>
      </c>
      <c r="B89" s="20" t="str">
        <f t="shared" si="8"/>
        <v>2017/03/02 00:26:52.318</v>
      </c>
      <c r="C89" s="20">
        <f t="shared" si="9"/>
        <v>2.4100335649563931E-2</v>
      </c>
    </row>
    <row r="90" spans="1:3" x14ac:dyDescent="0.3">
      <c r="A90" t="s">
        <v>282</v>
      </c>
      <c r="B90" s="20" t="str">
        <f t="shared" si="8"/>
        <v>2017/03/02 00:26:52.805</v>
      </c>
      <c r="C90" s="20">
        <f t="shared" si="9"/>
        <v>5.6365752243436873E-6</v>
      </c>
    </row>
    <row r="91" spans="1:3" x14ac:dyDescent="0.3">
      <c r="A91" t="s">
        <v>283</v>
      </c>
      <c r="B91" s="20" t="str">
        <f t="shared" si="8"/>
        <v>2017/03/02 00:26:52.971</v>
      </c>
      <c r="C91" s="20">
        <f t="shared" si="9"/>
        <v>1.9212966435588896E-6</v>
      </c>
    </row>
    <row r="92" spans="1:3" x14ac:dyDescent="0.3">
      <c r="A92" t="s">
        <v>284</v>
      </c>
      <c r="B92" s="20" t="str">
        <f t="shared" si="8"/>
        <v>2017/03/02 00:52:34.904</v>
      </c>
      <c r="C92" s="20">
        <f t="shared" si="9"/>
        <v>1.7846446760813706E-2</v>
      </c>
    </row>
    <row r="93" spans="1:3" x14ac:dyDescent="0.3">
      <c r="A93" t="s">
        <v>285</v>
      </c>
      <c r="B93" s="20" t="str">
        <f t="shared" ref="B93:B130" si="10">MID(A93,6,23)</f>
        <v>2017/03/02 00:52:36.808</v>
      </c>
      <c r="C93" s="20">
        <f t="shared" ref="C93:C130" si="11">ABS(B93-B92)</f>
        <v>2.2037034796085209E-5</v>
      </c>
    </row>
    <row r="94" spans="1:3" x14ac:dyDescent="0.3">
      <c r="A94" t="s">
        <v>286</v>
      </c>
      <c r="B94" s="20" t="str">
        <f t="shared" si="10"/>
        <v>2017/03/02 00:52:36.956</v>
      </c>
      <c r="C94" s="20">
        <f t="shared" si="11"/>
        <v>1.7129641491919756E-6</v>
      </c>
    </row>
    <row r="95" spans="1:3" x14ac:dyDescent="0.3">
      <c r="A95" t="s">
        <v>287</v>
      </c>
      <c r="B95" s="20" t="str">
        <f t="shared" si="10"/>
        <v>2017/03/02 01:13:02.814</v>
      </c>
      <c r="C95" s="20">
        <f t="shared" si="11"/>
        <v>1.418817129888339E-2</v>
      </c>
    </row>
    <row r="96" spans="1:3" x14ac:dyDescent="0.3">
      <c r="A96" t="s">
        <v>288</v>
      </c>
      <c r="B96" s="20" t="str">
        <f t="shared" si="10"/>
        <v>2017/03/02 01:13:03.323</v>
      </c>
      <c r="C96" s="20">
        <f t="shared" si="11"/>
        <v>5.8912046370096505E-6</v>
      </c>
    </row>
    <row r="97" spans="1:3" x14ac:dyDescent="0.3">
      <c r="A97" t="s">
        <v>289</v>
      </c>
      <c r="B97" s="20" t="str">
        <f t="shared" si="10"/>
        <v>2017/03/02 01:13:03.347</v>
      </c>
      <c r="C97" s="20">
        <f t="shared" si="11"/>
        <v>2.7777423383668065E-7</v>
      </c>
    </row>
    <row r="98" spans="1:3" x14ac:dyDescent="0.3">
      <c r="A98" t="s">
        <v>290</v>
      </c>
      <c r="B98" s="20" t="str">
        <f t="shared" si="10"/>
        <v>2017/03/02 01:13:03.980</v>
      </c>
      <c r="C98" s="20">
        <f t="shared" si="11"/>
        <v>7.3263872764073312E-6</v>
      </c>
    </row>
    <row r="99" spans="1:3" x14ac:dyDescent="0.3">
      <c r="A99" t="s">
        <v>291</v>
      </c>
      <c r="B99" s="20" t="str">
        <f t="shared" si="10"/>
        <v>2017/03/02 01:13:37.804</v>
      </c>
      <c r="C99" s="20">
        <f t="shared" si="11"/>
        <v>3.9148148061940446E-4</v>
      </c>
    </row>
    <row r="100" spans="1:3" x14ac:dyDescent="0.3">
      <c r="A100" t="s">
        <v>292</v>
      </c>
      <c r="B100" s="20" t="str">
        <f t="shared" si="10"/>
        <v>2017/03/02 01:13:38.315</v>
      </c>
      <c r="C100" s="20">
        <f t="shared" si="11"/>
        <v>5.9143567341379821E-6</v>
      </c>
    </row>
    <row r="101" spans="1:3" x14ac:dyDescent="0.3">
      <c r="A101" t="s">
        <v>293</v>
      </c>
      <c r="B101" s="20" t="str">
        <f t="shared" si="10"/>
        <v>2017/03/02 01:13:38.969</v>
      </c>
      <c r="C101" s="20">
        <f t="shared" si="11"/>
        <v>7.5694406405091286E-6</v>
      </c>
    </row>
    <row r="102" spans="1:3" x14ac:dyDescent="0.3">
      <c r="A102" t="s">
        <v>294</v>
      </c>
      <c r="B102" s="20" t="str">
        <f t="shared" si="10"/>
        <v>2017/03/02 01:14:07.802</v>
      </c>
      <c r="C102" s="20">
        <f t="shared" si="11"/>
        <v>3.3371528115822002E-4</v>
      </c>
    </row>
    <row r="103" spans="1:3" x14ac:dyDescent="0.3">
      <c r="A103" t="s">
        <v>295</v>
      </c>
      <c r="B103" s="20" t="str">
        <f t="shared" si="10"/>
        <v>2017/03/02 01:14:08.317</v>
      </c>
      <c r="C103" s="20">
        <f t="shared" si="11"/>
        <v>5.9606463764794171E-6</v>
      </c>
    </row>
    <row r="104" spans="1:3" x14ac:dyDescent="0.3">
      <c r="A104" t="s">
        <v>296</v>
      </c>
      <c r="B104" s="20" t="str">
        <f t="shared" si="10"/>
        <v>2017/03/02 01:14:08.969</v>
      </c>
      <c r="C104" s="20">
        <f t="shared" si="11"/>
        <v>7.5462958193384111E-6</v>
      </c>
    </row>
    <row r="105" spans="1:3" x14ac:dyDescent="0.3">
      <c r="A105" t="s">
        <v>297</v>
      </c>
      <c r="B105" s="20" t="str">
        <f t="shared" si="10"/>
        <v>2017/03/02 01:31:00.809</v>
      </c>
      <c r="C105" s="20">
        <f t="shared" si="11"/>
        <v>1.1711111110344063E-2</v>
      </c>
    </row>
    <row r="106" spans="1:3" x14ac:dyDescent="0.3">
      <c r="A106" t="s">
        <v>298</v>
      </c>
      <c r="B106" s="20" t="str">
        <f t="shared" si="10"/>
        <v>2017/03/02 01:31:01.318</v>
      </c>
      <c r="C106" s="20">
        <f t="shared" si="11"/>
        <v>5.8912046370096505E-6</v>
      </c>
    </row>
    <row r="107" spans="1:3" x14ac:dyDescent="0.3">
      <c r="A107" t="s">
        <v>299</v>
      </c>
      <c r="B107" s="20" t="str">
        <f t="shared" si="10"/>
        <v>2017/03/02 01:31:01.972</v>
      </c>
      <c r="C107" s="20">
        <f t="shared" si="11"/>
        <v>7.5694479164667428E-6</v>
      </c>
    </row>
    <row r="108" spans="1:3" x14ac:dyDescent="0.3">
      <c r="A108" t="s">
        <v>300</v>
      </c>
      <c r="B108" s="20" t="str">
        <f t="shared" si="10"/>
        <v>2017/03/02 01:39:27.534</v>
      </c>
      <c r="C108" s="20">
        <f t="shared" si="11"/>
        <v>5.8514120319159701E-3</v>
      </c>
    </row>
    <row r="109" spans="1:3" x14ac:dyDescent="0.3">
      <c r="A109" t="s">
        <v>301</v>
      </c>
      <c r="B109" s="20" t="str">
        <f t="shared" si="10"/>
        <v>2017/03/02 01:39:27.595</v>
      </c>
      <c r="C109" s="20">
        <f t="shared" si="11"/>
        <v>7.0602254709228873E-7</v>
      </c>
    </row>
    <row r="110" spans="1:3" x14ac:dyDescent="0.3">
      <c r="A110" t="s">
        <v>302</v>
      </c>
      <c r="B110" s="20" t="str">
        <f t="shared" si="10"/>
        <v>2017/03/02 01:39:28.452</v>
      </c>
      <c r="C110" s="20">
        <f t="shared" si="11"/>
        <v>9.9189783213660121E-6</v>
      </c>
    </row>
    <row r="111" spans="1:3" x14ac:dyDescent="0.3">
      <c r="A111" t="s">
        <v>303</v>
      </c>
      <c r="B111" s="20" t="str">
        <f t="shared" si="10"/>
        <v>2017/03/02 02:43:47.743</v>
      </c>
      <c r="C111" s="20">
        <f t="shared" si="11"/>
        <v>4.4667719907010905E-2</v>
      </c>
    </row>
    <row r="112" spans="1:3" x14ac:dyDescent="0.3">
      <c r="A112" t="s">
        <v>304</v>
      </c>
      <c r="B112" s="20" t="str">
        <f t="shared" si="10"/>
        <v>2017/03/02 02:43:47.814</v>
      </c>
      <c r="C112" s="20">
        <f t="shared" si="11"/>
        <v>8.2176120486110449E-7</v>
      </c>
    </row>
    <row r="113" spans="1:3" x14ac:dyDescent="0.3">
      <c r="A113" t="s">
        <v>305</v>
      </c>
      <c r="B113" s="20" t="str">
        <f t="shared" si="10"/>
        <v>2017/03/02 02:43:48.041</v>
      </c>
      <c r="C113" s="20">
        <f t="shared" si="11"/>
        <v>2.6273119146935642E-6</v>
      </c>
    </row>
    <row r="114" spans="1:3" x14ac:dyDescent="0.3">
      <c r="A114" t="s">
        <v>306</v>
      </c>
      <c r="B114" s="20" t="str">
        <f t="shared" si="10"/>
        <v>2017/03/02 02:52:28.590</v>
      </c>
      <c r="C114" s="20">
        <f t="shared" si="11"/>
        <v>6.0248726877034642E-3</v>
      </c>
    </row>
    <row r="115" spans="1:3" x14ac:dyDescent="0.3">
      <c r="A115" t="s">
        <v>307</v>
      </c>
      <c r="B115" s="20" t="str">
        <f t="shared" si="10"/>
        <v>2017/03/02 02:52:28.905</v>
      </c>
      <c r="C115" s="20">
        <f t="shared" si="11"/>
        <v>3.6458295653574169E-6</v>
      </c>
    </row>
    <row r="116" spans="1:3" x14ac:dyDescent="0.3">
      <c r="A116" t="s">
        <v>308</v>
      </c>
      <c r="B116" s="20" t="str">
        <f t="shared" si="10"/>
        <v>2017/03/02 03:40:42.468</v>
      </c>
      <c r="C116" s="20">
        <f t="shared" si="11"/>
        <v>3.349031250400003E-2</v>
      </c>
    </row>
    <row r="117" spans="1:3" x14ac:dyDescent="0.3">
      <c r="A117" t="s">
        <v>309</v>
      </c>
      <c r="B117" s="20" t="str">
        <f t="shared" si="10"/>
        <v>2017/03/02 03:40:42.542</v>
      </c>
      <c r="C117" s="20">
        <f t="shared" si="11"/>
        <v>8.564820745959878E-7</v>
      </c>
    </row>
    <row r="118" spans="1:3" x14ac:dyDescent="0.3">
      <c r="A118" t="s">
        <v>310</v>
      </c>
      <c r="B118" s="20" t="str">
        <f t="shared" si="10"/>
        <v>2017/03/02 03:45:24.882</v>
      </c>
      <c r="C118" s="20">
        <f t="shared" si="11"/>
        <v>3.2678240750101395E-3</v>
      </c>
    </row>
    <row r="119" spans="1:3" x14ac:dyDescent="0.3">
      <c r="A119" t="s">
        <v>311</v>
      </c>
      <c r="B119" s="20" t="str">
        <f t="shared" si="10"/>
        <v>2017/03/02 03:45:25.384</v>
      </c>
      <c r="C119" s="20">
        <f t="shared" si="11"/>
        <v>5.8101795730181038E-6</v>
      </c>
    </row>
    <row r="120" spans="1:3" x14ac:dyDescent="0.3">
      <c r="A120" t="s">
        <v>312</v>
      </c>
      <c r="B120" s="20" t="str">
        <f t="shared" si="10"/>
        <v>2017/03/02 04:14:22.074</v>
      </c>
      <c r="C120" s="20">
        <f t="shared" si="11"/>
        <v>2.0100578709389083E-2</v>
      </c>
    </row>
    <row r="121" spans="1:3" x14ac:dyDescent="0.3">
      <c r="A121" t="s">
        <v>313</v>
      </c>
      <c r="B121" s="20" t="str">
        <f t="shared" si="10"/>
        <v>2017/03/02 04:14:22.756</v>
      </c>
      <c r="C121" s="20">
        <f t="shared" si="11"/>
        <v>7.8935190686024725E-6</v>
      </c>
    </row>
    <row r="122" spans="1:3" x14ac:dyDescent="0.3">
      <c r="A122" t="s">
        <v>314</v>
      </c>
      <c r="B122" s="20" t="str">
        <f t="shared" si="10"/>
        <v>2017/03/02 04:14:22.850</v>
      </c>
      <c r="C122" s="20">
        <f t="shared" si="11"/>
        <v>1.0879593901336193E-6</v>
      </c>
    </row>
    <row r="123" spans="1:3" x14ac:dyDescent="0.3">
      <c r="A123" t="s">
        <v>315</v>
      </c>
      <c r="B123" s="20" t="str">
        <f t="shared" si="10"/>
        <v>2017/03/02 04:30:58.031</v>
      </c>
      <c r="C123" s="20">
        <f t="shared" si="11"/>
        <v>1.1518298611917999E-2</v>
      </c>
    </row>
    <row r="124" spans="1:3" x14ac:dyDescent="0.3">
      <c r="A124" t="s">
        <v>316</v>
      </c>
      <c r="B124" s="20" t="str">
        <f t="shared" si="10"/>
        <v>2017/03/02 04:35:10.680</v>
      </c>
      <c r="C124" s="20">
        <f t="shared" si="11"/>
        <v>2.9241782394819893E-3</v>
      </c>
    </row>
    <row r="125" spans="1:3" x14ac:dyDescent="0.3">
      <c r="A125" t="s">
        <v>317</v>
      </c>
      <c r="B125" s="20" t="str">
        <f t="shared" si="10"/>
        <v>2017/03/02 05:25:05.864</v>
      </c>
      <c r="C125" s="20">
        <f t="shared" si="11"/>
        <v>3.4666481486056E-2</v>
      </c>
    </row>
    <row r="126" spans="1:3" x14ac:dyDescent="0.3">
      <c r="A126" t="s">
        <v>318</v>
      </c>
      <c r="B126" s="20" t="str">
        <f t="shared" si="10"/>
        <v>2017/03/02 05:25:06.247</v>
      </c>
      <c r="C126" s="20">
        <f t="shared" si="11"/>
        <v>4.432869900483638E-6</v>
      </c>
    </row>
    <row r="127" spans="1:3" x14ac:dyDescent="0.3">
      <c r="A127" t="s">
        <v>319</v>
      </c>
      <c r="B127" s="20" t="str">
        <f t="shared" si="10"/>
        <v>2017/03/02 05:25:08.927</v>
      </c>
      <c r="C127" s="20">
        <f t="shared" si="11"/>
        <v>3.1018513254821301E-5</v>
      </c>
    </row>
    <row r="128" spans="1:3" x14ac:dyDescent="0.3">
      <c r="A128" t="s">
        <v>320</v>
      </c>
      <c r="B128" s="20" t="str">
        <f t="shared" si="10"/>
        <v>2017/03/02 06:06:40.258</v>
      </c>
      <c r="C128" s="20">
        <f t="shared" si="11"/>
        <v>2.8834849537815899E-2</v>
      </c>
    </row>
    <row r="129" spans="1:3" x14ac:dyDescent="0.3">
      <c r="A129" t="s">
        <v>321</v>
      </c>
      <c r="B129" s="20" t="str">
        <f t="shared" si="10"/>
        <v>2017/03/02 06:06:40.298</v>
      </c>
      <c r="C129" s="20">
        <f t="shared" si="11"/>
        <v>4.6296190703287721E-7</v>
      </c>
    </row>
    <row r="130" spans="1:3" x14ac:dyDescent="0.3">
      <c r="A130" t="s">
        <v>322</v>
      </c>
      <c r="B130" s="20" t="str">
        <f t="shared" si="10"/>
        <v>2017/03/02 06:06:40.629</v>
      </c>
      <c r="C130" s="20">
        <f t="shared" si="11"/>
        <v>3.8310245145112276E-6</v>
      </c>
    </row>
    <row r="131" spans="1:3" x14ac:dyDescent="0.3">
      <c r="B131" s="20"/>
      <c r="C131" s="20"/>
    </row>
    <row r="132" spans="1:3" x14ac:dyDescent="0.3">
      <c r="B132" s="20"/>
      <c r="C132" s="20"/>
    </row>
    <row r="133" spans="1:3" x14ac:dyDescent="0.3">
      <c r="B133" s="20"/>
      <c r="C133" s="20"/>
    </row>
    <row r="134" spans="1:3" x14ac:dyDescent="0.3">
      <c r="B134" s="20"/>
      <c r="C134" s="20"/>
    </row>
    <row r="135" spans="1:3" x14ac:dyDescent="0.3">
      <c r="B135" s="20"/>
      <c r="C135" s="20"/>
    </row>
    <row r="136" spans="1:3" x14ac:dyDescent="0.3">
      <c r="B136" s="20"/>
      <c r="C136" s="20"/>
    </row>
    <row r="137" spans="1:3" x14ac:dyDescent="0.3">
      <c r="B137" s="20"/>
      <c r="C137" s="20"/>
    </row>
    <row r="138" spans="1:3" x14ac:dyDescent="0.3">
      <c r="B138" s="20"/>
      <c r="C138" s="20"/>
    </row>
    <row r="139" spans="1:3" x14ac:dyDescent="0.3">
      <c r="B139" s="20"/>
      <c r="C139" s="20"/>
    </row>
    <row r="140" spans="1:3" x14ac:dyDescent="0.3">
      <c r="B140" s="20"/>
      <c r="C140" s="20"/>
    </row>
    <row r="141" spans="1:3" x14ac:dyDescent="0.3">
      <c r="B141" s="20"/>
      <c r="C141" s="20"/>
    </row>
    <row r="142" spans="1:3" x14ac:dyDescent="0.3">
      <c r="B142" s="20"/>
      <c r="C142" s="20"/>
    </row>
    <row r="143" spans="1:3" x14ac:dyDescent="0.3">
      <c r="B143" s="20"/>
      <c r="C143" s="20"/>
    </row>
    <row r="144" spans="1:3" x14ac:dyDescent="0.3">
      <c r="B144" s="20"/>
      <c r="C144" s="20"/>
    </row>
    <row r="145" spans="2:3" x14ac:dyDescent="0.3">
      <c r="B145" s="20"/>
      <c r="C145" s="20"/>
    </row>
    <row r="146" spans="2:3" x14ac:dyDescent="0.3">
      <c r="B146" s="20"/>
      <c r="C146" s="20"/>
    </row>
    <row r="147" spans="2:3" x14ac:dyDescent="0.3">
      <c r="B147" s="20"/>
      <c r="C147" s="20"/>
    </row>
    <row r="148" spans="2:3" x14ac:dyDescent="0.3">
      <c r="B148" s="20"/>
      <c r="C148" s="20"/>
    </row>
    <row r="149" spans="2:3" x14ac:dyDescent="0.3">
      <c r="B149" s="20"/>
      <c r="C149" s="20"/>
    </row>
    <row r="150" spans="2:3" x14ac:dyDescent="0.3">
      <c r="B150" s="20"/>
      <c r="C150" s="20"/>
    </row>
    <row r="151" spans="2:3" x14ac:dyDescent="0.3">
      <c r="B151" s="20"/>
      <c r="C151" s="20"/>
    </row>
    <row r="152" spans="2:3" x14ac:dyDescent="0.3">
      <c r="B152" s="20"/>
      <c r="C152" s="20"/>
    </row>
    <row r="153" spans="2:3" x14ac:dyDescent="0.3">
      <c r="B153" s="20"/>
      <c r="C153" s="20"/>
    </row>
    <row r="154" spans="2:3" x14ac:dyDescent="0.3">
      <c r="B154" s="20"/>
      <c r="C154" s="20"/>
    </row>
    <row r="155" spans="2:3" x14ac:dyDescent="0.3">
      <c r="B155" s="20"/>
      <c r="C155" s="20"/>
    </row>
    <row r="156" spans="2:3" x14ac:dyDescent="0.3">
      <c r="B156" s="20"/>
      <c r="C156" s="20"/>
    </row>
    <row r="157" spans="2:3" x14ac:dyDescent="0.3">
      <c r="B157" s="20"/>
      <c r="C157" s="20"/>
    </row>
    <row r="158" spans="2:3" x14ac:dyDescent="0.3">
      <c r="B158" s="20"/>
      <c r="C158" s="20"/>
    </row>
    <row r="159" spans="2:3" x14ac:dyDescent="0.3">
      <c r="B159" s="20"/>
      <c r="C159" s="20"/>
    </row>
    <row r="160" spans="2:3" x14ac:dyDescent="0.3">
      <c r="B160" s="20"/>
      <c r="C160" s="20"/>
    </row>
    <row r="161" spans="2:3" x14ac:dyDescent="0.3">
      <c r="B161" s="20"/>
      <c r="C161" s="20"/>
    </row>
    <row r="162" spans="2:3" x14ac:dyDescent="0.3">
      <c r="B162" s="20"/>
      <c r="C162" s="20"/>
    </row>
    <row r="163" spans="2:3" x14ac:dyDescent="0.3">
      <c r="B163" s="20"/>
      <c r="C163" s="20"/>
    </row>
    <row r="164" spans="2:3" x14ac:dyDescent="0.3">
      <c r="B164" s="20"/>
      <c r="C164" s="20"/>
    </row>
    <row r="165" spans="2:3" x14ac:dyDescent="0.3">
      <c r="B165" s="20"/>
      <c r="C165" s="20"/>
    </row>
    <row r="166" spans="2:3" x14ac:dyDescent="0.3">
      <c r="B166" s="20"/>
      <c r="C166" s="20"/>
    </row>
    <row r="167" spans="2:3" x14ac:dyDescent="0.3">
      <c r="B167" s="20"/>
      <c r="C167" s="20"/>
    </row>
    <row r="168" spans="2:3" x14ac:dyDescent="0.3">
      <c r="B168" s="20"/>
      <c r="C168" s="20"/>
    </row>
    <row r="169" spans="2:3" x14ac:dyDescent="0.3">
      <c r="B169" s="20"/>
      <c r="C169" s="20"/>
    </row>
    <row r="170" spans="2:3" x14ac:dyDescent="0.3">
      <c r="B170" s="20"/>
      <c r="C170" s="20"/>
    </row>
    <row r="171" spans="2:3" x14ac:dyDescent="0.3">
      <c r="B171" s="20"/>
      <c r="C171" s="20"/>
    </row>
    <row r="172" spans="2:3" x14ac:dyDescent="0.3">
      <c r="B172" s="20"/>
      <c r="C172" s="20"/>
    </row>
    <row r="173" spans="2:3" x14ac:dyDescent="0.3">
      <c r="B173" s="20"/>
      <c r="C173" s="20"/>
    </row>
    <row r="174" spans="2:3" x14ac:dyDescent="0.3">
      <c r="B174" s="20"/>
      <c r="C174" s="20"/>
    </row>
    <row r="175" spans="2:3" x14ac:dyDescent="0.3">
      <c r="B175" s="20"/>
      <c r="C175" s="20"/>
    </row>
    <row r="176" spans="2:3" x14ac:dyDescent="0.3">
      <c r="B176" s="20"/>
      <c r="C176" s="20"/>
    </row>
    <row r="177" spans="2:3" x14ac:dyDescent="0.3">
      <c r="B177" s="20"/>
      <c r="C177" s="20"/>
    </row>
    <row r="178" spans="2:3" x14ac:dyDescent="0.3">
      <c r="B178" s="20"/>
      <c r="C178" s="20"/>
    </row>
    <row r="179" spans="2:3" x14ac:dyDescent="0.3">
      <c r="B179" s="20"/>
      <c r="C179" s="20"/>
    </row>
    <row r="180" spans="2:3" x14ac:dyDescent="0.3">
      <c r="B180" s="20"/>
      <c r="C180" s="20"/>
    </row>
    <row r="181" spans="2:3" x14ac:dyDescent="0.3">
      <c r="B181" s="20"/>
      <c r="C181" s="20"/>
    </row>
    <row r="182" spans="2:3" x14ac:dyDescent="0.3">
      <c r="B182" s="20"/>
      <c r="C182" s="20"/>
    </row>
    <row r="183" spans="2:3" x14ac:dyDescent="0.3">
      <c r="B183" s="20"/>
      <c r="C183" s="20"/>
    </row>
    <row r="184" spans="2:3" x14ac:dyDescent="0.3">
      <c r="B184" s="20"/>
      <c r="C184" s="20"/>
    </row>
    <row r="185" spans="2:3" x14ac:dyDescent="0.3">
      <c r="B185" s="20"/>
      <c r="C185" s="20"/>
    </row>
    <row r="186" spans="2:3" x14ac:dyDescent="0.3">
      <c r="B186" s="20"/>
      <c r="C186" s="20"/>
    </row>
    <row r="187" spans="2:3" x14ac:dyDescent="0.3">
      <c r="B187" s="20"/>
      <c r="C187" s="20"/>
    </row>
    <row r="188" spans="2:3" x14ac:dyDescent="0.3">
      <c r="B188" s="20"/>
      <c r="C188" s="20"/>
    </row>
    <row r="189" spans="2:3" x14ac:dyDescent="0.3">
      <c r="B189" s="20"/>
      <c r="C189" s="20"/>
    </row>
    <row r="190" spans="2:3" x14ac:dyDescent="0.3">
      <c r="B190" s="20"/>
      <c r="C190" s="20"/>
    </row>
    <row r="191" spans="2:3" x14ac:dyDescent="0.3">
      <c r="B191" s="20"/>
      <c r="C191" s="20"/>
    </row>
    <row r="192" spans="2:3" x14ac:dyDescent="0.3">
      <c r="B192" s="20"/>
      <c r="C192" s="20"/>
    </row>
    <row r="193" spans="2:3" x14ac:dyDescent="0.3">
      <c r="B193" s="20"/>
      <c r="C193" s="20"/>
    </row>
    <row r="194" spans="2:3" x14ac:dyDescent="0.3">
      <c r="B194" s="20"/>
      <c r="C194" s="20"/>
    </row>
    <row r="195" spans="2:3" x14ac:dyDescent="0.3">
      <c r="B195" s="20"/>
      <c r="C195" s="20"/>
    </row>
    <row r="196" spans="2:3" x14ac:dyDescent="0.3">
      <c r="B196" s="20"/>
      <c r="C196" s="20"/>
    </row>
    <row r="197" spans="2:3" x14ac:dyDescent="0.3">
      <c r="B197" s="20"/>
      <c r="C197" s="20"/>
    </row>
    <row r="198" spans="2:3" x14ac:dyDescent="0.3">
      <c r="B198" s="20"/>
      <c r="C198" s="20"/>
    </row>
    <row r="199" spans="2:3" x14ac:dyDescent="0.3">
      <c r="B199" s="20"/>
      <c r="C199" s="20"/>
    </row>
    <row r="200" spans="2:3" x14ac:dyDescent="0.3">
      <c r="B200" s="20"/>
      <c r="C200" s="20"/>
    </row>
    <row r="201" spans="2:3" x14ac:dyDescent="0.3">
      <c r="B201" s="20"/>
      <c r="C201" s="20"/>
    </row>
    <row r="202" spans="2:3" x14ac:dyDescent="0.3">
      <c r="B202" s="20"/>
      <c r="C202" s="20"/>
    </row>
    <row r="203" spans="2:3" x14ac:dyDescent="0.3">
      <c r="B203" s="20"/>
      <c r="C203" s="20"/>
    </row>
    <row r="204" spans="2:3" x14ac:dyDescent="0.3">
      <c r="B204" s="20"/>
      <c r="C204" s="20"/>
    </row>
    <row r="205" spans="2:3" x14ac:dyDescent="0.3">
      <c r="B205" s="20"/>
      <c r="C205" s="20"/>
    </row>
    <row r="206" spans="2:3" x14ac:dyDescent="0.3">
      <c r="B206" s="20"/>
      <c r="C206" s="20"/>
    </row>
    <row r="207" spans="2:3" x14ac:dyDescent="0.3">
      <c r="B207" s="20"/>
      <c r="C207" s="20"/>
    </row>
    <row r="208" spans="2:3" x14ac:dyDescent="0.3">
      <c r="B208" s="20"/>
      <c r="C208" s="20"/>
    </row>
    <row r="209" spans="2:3" x14ac:dyDescent="0.3">
      <c r="B209" s="20"/>
      <c r="C209" s="20"/>
    </row>
    <row r="210" spans="2:3" x14ac:dyDescent="0.3">
      <c r="B210" s="20"/>
      <c r="C210" s="20"/>
    </row>
    <row r="211" spans="2:3" x14ac:dyDescent="0.3">
      <c r="B211" s="20"/>
      <c r="C211" s="20"/>
    </row>
    <row r="212" spans="2:3" x14ac:dyDescent="0.3">
      <c r="B212" s="20"/>
      <c r="C212" s="20"/>
    </row>
    <row r="213" spans="2:3" x14ac:dyDescent="0.3">
      <c r="B213" s="20"/>
      <c r="C213" s="20"/>
    </row>
    <row r="214" spans="2:3" x14ac:dyDescent="0.3">
      <c r="B214" s="20"/>
      <c r="C214" s="20"/>
    </row>
    <row r="215" spans="2:3" x14ac:dyDescent="0.3">
      <c r="B215" s="20"/>
      <c r="C215" s="20"/>
    </row>
    <row r="216" spans="2:3" x14ac:dyDescent="0.3">
      <c r="B216" s="20"/>
      <c r="C216" s="20"/>
    </row>
    <row r="217" spans="2:3" x14ac:dyDescent="0.3">
      <c r="B217" s="20"/>
      <c r="C217" s="20"/>
    </row>
    <row r="218" spans="2:3" x14ac:dyDescent="0.3">
      <c r="B218" s="20"/>
      <c r="C218" s="20"/>
    </row>
    <row r="219" spans="2:3" x14ac:dyDescent="0.3">
      <c r="B219" s="20"/>
      <c r="C219" s="20"/>
    </row>
    <row r="220" spans="2:3" x14ac:dyDescent="0.3">
      <c r="B220" s="20"/>
      <c r="C220" s="20"/>
    </row>
    <row r="221" spans="2:3" x14ac:dyDescent="0.3">
      <c r="B221" s="20"/>
      <c r="C221" s="20"/>
    </row>
    <row r="222" spans="2:3" x14ac:dyDescent="0.3">
      <c r="B222" s="20"/>
      <c r="C222" s="20"/>
    </row>
    <row r="223" spans="2:3" x14ac:dyDescent="0.3">
      <c r="B223" s="20"/>
      <c r="C223" s="20"/>
    </row>
    <row r="224" spans="2:3" x14ac:dyDescent="0.3">
      <c r="B224" s="20"/>
      <c r="C224" s="20"/>
    </row>
    <row r="225" spans="2:3" x14ac:dyDescent="0.3">
      <c r="B225" s="20"/>
      <c r="C225" s="20"/>
    </row>
    <row r="226" spans="2:3" x14ac:dyDescent="0.3">
      <c r="B226" s="20"/>
      <c r="C226" s="20"/>
    </row>
    <row r="227" spans="2:3" x14ac:dyDescent="0.3">
      <c r="B227" s="20"/>
      <c r="C227" s="20"/>
    </row>
    <row r="228" spans="2:3" x14ac:dyDescent="0.3">
      <c r="B228" s="20"/>
      <c r="C228" s="20"/>
    </row>
    <row r="229" spans="2:3" x14ac:dyDescent="0.3">
      <c r="B229" s="20"/>
      <c r="C229" s="20"/>
    </row>
    <row r="230" spans="2:3" x14ac:dyDescent="0.3">
      <c r="B230" s="20"/>
      <c r="C230" s="20"/>
    </row>
    <row r="231" spans="2:3" x14ac:dyDescent="0.3">
      <c r="B231" s="20"/>
      <c r="C231" s="20"/>
    </row>
    <row r="232" spans="2:3" x14ac:dyDescent="0.3">
      <c r="B232" s="20"/>
      <c r="C232" s="20"/>
    </row>
    <row r="233" spans="2:3" x14ac:dyDescent="0.3">
      <c r="B233" s="20"/>
      <c r="C233" s="20"/>
    </row>
    <row r="234" spans="2:3" x14ac:dyDescent="0.3">
      <c r="B234" s="20"/>
      <c r="C234" s="20"/>
    </row>
    <row r="235" spans="2:3" x14ac:dyDescent="0.3">
      <c r="B235" s="20"/>
      <c r="C235" s="20"/>
    </row>
    <row r="236" spans="2:3" x14ac:dyDescent="0.3">
      <c r="B236" s="20"/>
      <c r="C236" s="20"/>
    </row>
    <row r="237" spans="2:3" x14ac:dyDescent="0.3">
      <c r="B237" s="20"/>
      <c r="C237" s="20"/>
    </row>
    <row r="238" spans="2:3" x14ac:dyDescent="0.3">
      <c r="B238" s="20"/>
      <c r="C238" s="20"/>
    </row>
    <row r="239" spans="2:3" x14ac:dyDescent="0.3">
      <c r="B239" s="20"/>
      <c r="C239" s="20"/>
    </row>
    <row r="240" spans="2:3" x14ac:dyDescent="0.3">
      <c r="B240" s="20"/>
      <c r="C240" s="20"/>
    </row>
    <row r="241" spans="2:3" x14ac:dyDescent="0.3">
      <c r="B241" s="20"/>
      <c r="C241" s="20"/>
    </row>
    <row r="242" spans="2:3" x14ac:dyDescent="0.3">
      <c r="B242" s="20"/>
      <c r="C242" s="20"/>
    </row>
    <row r="243" spans="2:3" x14ac:dyDescent="0.3">
      <c r="B243" s="20"/>
      <c r="C243" s="20"/>
    </row>
    <row r="244" spans="2:3" x14ac:dyDescent="0.3">
      <c r="B244" s="20"/>
      <c r="C244" s="20"/>
    </row>
    <row r="245" spans="2:3" x14ac:dyDescent="0.3">
      <c r="B245" s="20"/>
      <c r="C245" s="20"/>
    </row>
    <row r="246" spans="2:3" x14ac:dyDescent="0.3">
      <c r="B246" s="20"/>
      <c r="C246" s="20"/>
    </row>
    <row r="247" spans="2:3" x14ac:dyDescent="0.3">
      <c r="B247" s="20"/>
      <c r="C247" s="20"/>
    </row>
    <row r="248" spans="2:3" x14ac:dyDescent="0.3">
      <c r="B248" s="20"/>
      <c r="C248" s="20"/>
    </row>
    <row r="249" spans="2:3" x14ac:dyDescent="0.3">
      <c r="B249" s="20"/>
      <c r="C249" s="20"/>
    </row>
    <row r="250" spans="2:3" x14ac:dyDescent="0.3">
      <c r="B250" s="20"/>
      <c r="C250" s="20"/>
    </row>
    <row r="251" spans="2:3" x14ac:dyDescent="0.3">
      <c r="B251" s="20"/>
      <c r="C251" s="20"/>
    </row>
    <row r="252" spans="2:3" x14ac:dyDescent="0.3">
      <c r="B252" s="20"/>
      <c r="C252" s="20"/>
    </row>
    <row r="253" spans="2:3" x14ac:dyDescent="0.3">
      <c r="B253" s="20"/>
      <c r="C253" s="20"/>
    </row>
    <row r="254" spans="2:3" x14ac:dyDescent="0.3">
      <c r="B254" s="20"/>
      <c r="C254" s="20"/>
    </row>
    <row r="255" spans="2:3" x14ac:dyDescent="0.3">
      <c r="B255" s="20"/>
      <c r="C255" s="20"/>
    </row>
    <row r="256" spans="2:3" x14ac:dyDescent="0.3">
      <c r="B256" s="20"/>
      <c r="C256" s="20"/>
    </row>
    <row r="257" spans="2:3" x14ac:dyDescent="0.3">
      <c r="B257" s="20"/>
      <c r="C257" s="20"/>
    </row>
    <row r="258" spans="2:3" x14ac:dyDescent="0.3">
      <c r="B258" s="20"/>
      <c r="C258" s="20"/>
    </row>
    <row r="259" spans="2:3" x14ac:dyDescent="0.3">
      <c r="B259" s="20"/>
      <c r="C259" s="20"/>
    </row>
    <row r="260" spans="2:3" x14ac:dyDescent="0.3">
      <c r="B260" s="20"/>
      <c r="C260" s="20"/>
    </row>
    <row r="261" spans="2:3" x14ac:dyDescent="0.3">
      <c r="B261" s="20"/>
      <c r="C261" s="20"/>
    </row>
    <row r="262" spans="2:3" x14ac:dyDescent="0.3">
      <c r="B262" s="20"/>
      <c r="C262" s="20"/>
    </row>
    <row r="263" spans="2:3" x14ac:dyDescent="0.3">
      <c r="B263" s="20"/>
      <c r="C263" s="20"/>
    </row>
    <row r="264" spans="2:3" x14ac:dyDescent="0.3">
      <c r="B264" s="20"/>
      <c r="C264" s="20"/>
    </row>
    <row r="265" spans="2:3" x14ac:dyDescent="0.3">
      <c r="B265" s="20"/>
      <c r="C265" s="20"/>
    </row>
    <row r="266" spans="2:3" x14ac:dyDescent="0.3">
      <c r="B266" s="20"/>
      <c r="C266" s="20"/>
    </row>
    <row r="267" spans="2:3" x14ac:dyDescent="0.3">
      <c r="B267" s="20"/>
      <c r="C267" s="20"/>
    </row>
    <row r="268" spans="2:3" x14ac:dyDescent="0.3">
      <c r="B268" s="20"/>
      <c r="C268" s="20"/>
    </row>
    <row r="269" spans="2:3" x14ac:dyDescent="0.3">
      <c r="B269" s="20"/>
      <c r="C269" s="20"/>
    </row>
    <row r="270" spans="2:3" x14ac:dyDescent="0.3">
      <c r="B270" s="20"/>
      <c r="C270" s="20"/>
    </row>
    <row r="271" spans="2:3" x14ac:dyDescent="0.3">
      <c r="B271" s="20"/>
      <c r="C271" s="20"/>
    </row>
    <row r="272" spans="2:3" x14ac:dyDescent="0.3">
      <c r="B272" s="20"/>
      <c r="C272" s="20"/>
    </row>
    <row r="273" spans="2:3" x14ac:dyDescent="0.3">
      <c r="B273" s="20"/>
      <c r="C273" s="20"/>
    </row>
    <row r="274" spans="2:3" x14ac:dyDescent="0.3">
      <c r="B274" s="20"/>
      <c r="C274" s="20"/>
    </row>
    <row r="275" spans="2:3" x14ac:dyDescent="0.3">
      <c r="B275" s="20"/>
      <c r="C275" s="20"/>
    </row>
    <row r="276" spans="2:3" x14ac:dyDescent="0.3">
      <c r="B276" s="20"/>
      <c r="C276" s="20"/>
    </row>
    <row r="277" spans="2:3" x14ac:dyDescent="0.3">
      <c r="B277" s="20"/>
      <c r="C277" s="20"/>
    </row>
    <row r="278" spans="2:3" x14ac:dyDescent="0.3">
      <c r="B278" s="20"/>
      <c r="C278" s="20"/>
    </row>
    <row r="279" spans="2:3" x14ac:dyDescent="0.3">
      <c r="B279" s="20"/>
      <c r="C279" s="20"/>
    </row>
    <row r="280" spans="2:3" x14ac:dyDescent="0.3">
      <c r="B280" s="20"/>
      <c r="C280" s="20"/>
    </row>
    <row r="281" spans="2:3" x14ac:dyDescent="0.3">
      <c r="B281" s="20"/>
      <c r="C281" s="20"/>
    </row>
  </sheetData>
  <sortState ref="A1:A281">
    <sortCondition ref="A1:A281"/>
  </sortState>
  <conditionalFormatting sqref="C1:C1048576">
    <cfRule type="cellIs" dxfId="1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31</vt:i4>
      </vt:variant>
    </vt:vector>
  </HeadingPairs>
  <TitlesOfParts>
    <vt:vector size="3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redm_api_key</vt:lpstr>
      <vt:lpstr>redm_url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McDowell, Trey</cp:lastModifiedBy>
  <dcterms:created xsi:type="dcterms:W3CDTF">2016-04-12T13:52:23Z</dcterms:created>
  <dcterms:modified xsi:type="dcterms:W3CDTF">2018-01-08T13:34:59Z</dcterms:modified>
</cp:coreProperties>
</file>