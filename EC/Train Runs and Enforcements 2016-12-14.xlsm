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Runs'!$A$12:$AG$228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4" i="3" l="1"/>
  <c r="X154" i="1"/>
  <c r="K153" i="1"/>
  <c r="L153" i="1"/>
  <c r="M153" i="1"/>
  <c r="V153" i="1"/>
  <c r="Y153" i="1"/>
  <c r="Z153" i="1"/>
  <c r="AA153" i="1" s="1"/>
  <c r="AB153" i="1"/>
  <c r="AC153" i="1"/>
  <c r="AD153" i="1"/>
  <c r="AG153" i="1" s="1"/>
  <c r="AE153" i="1"/>
  <c r="AF153" i="1"/>
  <c r="AH153" i="1"/>
  <c r="X38" i="1"/>
  <c r="X39" i="1"/>
  <c r="X40" i="1"/>
  <c r="X41" i="1"/>
  <c r="X42" i="1"/>
  <c r="X43" i="1"/>
  <c r="K38" i="1"/>
  <c r="L38" i="1"/>
  <c r="M38" i="1"/>
  <c r="N38" i="1"/>
  <c r="V38" i="1"/>
  <c r="AA38" i="1"/>
  <c r="AB38" i="1"/>
  <c r="AC38" i="1"/>
  <c r="AD38" i="1"/>
  <c r="T38" i="1" s="1"/>
  <c r="AE38" i="1"/>
  <c r="AF38" i="1"/>
  <c r="AH38" i="1"/>
  <c r="X187" i="1"/>
  <c r="X188" i="1"/>
  <c r="X189" i="1"/>
  <c r="X190" i="1"/>
  <c r="X150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G15" i="1"/>
  <c r="AH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T19" i="1"/>
  <c r="V19" i="1"/>
  <c r="Y19" i="1"/>
  <c r="Z19" i="1"/>
  <c r="AB19" i="1"/>
  <c r="AC19" i="1"/>
  <c r="AD19" i="1"/>
  <c r="AG19" i="1" s="1"/>
  <c r="AE19" i="1"/>
  <c r="AF19" i="1"/>
  <c r="AH19" i="1"/>
  <c r="K20" i="1"/>
  <c r="L20" i="1"/>
  <c r="M20" i="1"/>
  <c r="N20" i="1" s="1"/>
  <c r="V20" i="1"/>
  <c r="S16" i="3" s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/>
  <c r="V22" i="1"/>
  <c r="S26" i="3" s="1"/>
  <c r="Y22" i="1"/>
  <c r="Z22" i="1"/>
  <c r="AB22" i="1"/>
  <c r="AC22" i="1"/>
  <c r="AD22" i="1"/>
  <c r="AE22" i="1"/>
  <c r="R26" i="3" s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G33" i="1"/>
  <c r="AH33" i="1"/>
  <c r="K34" i="1"/>
  <c r="L34" i="1"/>
  <c r="M34" i="1"/>
  <c r="N34" i="1" s="1"/>
  <c r="V34" i="1"/>
  <c r="S27" i="3" s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A36" i="1" s="1"/>
  <c r="W36" i="1" s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A40" i="1" s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S24" i="3" s="1"/>
  <c r="Y43" i="1"/>
  <c r="Z43" i="1"/>
  <c r="AB43" i="1"/>
  <c r="AC43" i="1"/>
  <c r="AD43" i="1"/>
  <c r="AE43" i="1"/>
  <c r="R24" i="3" s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AA46" i="1" s="1"/>
  <c r="Z46" i="1"/>
  <c r="AB46" i="1"/>
  <c r="AC46" i="1"/>
  <c r="AD46" i="1"/>
  <c r="AE46" i="1"/>
  <c r="AF46" i="1"/>
  <c r="AG46" i="1"/>
  <c r="AI46" i="1" s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G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S35" i="3" s="1"/>
  <c r="Y55" i="1"/>
  <c r="AA55" i="1" s="1"/>
  <c r="Z55" i="1"/>
  <c r="AB55" i="1"/>
  <c r="AC55" i="1"/>
  <c r="AD55" i="1"/>
  <c r="AE55" i="1"/>
  <c r="R35" i="3" s="1"/>
  <c r="AF55" i="1"/>
  <c r="AH55" i="1"/>
  <c r="K56" i="1"/>
  <c r="L56" i="1"/>
  <c r="M56" i="1"/>
  <c r="N56" i="1" s="1"/>
  <c r="V56" i="1"/>
  <c r="S9" i="3" s="1"/>
  <c r="Y56" i="1"/>
  <c r="Z56" i="1"/>
  <c r="AB56" i="1"/>
  <c r="AC56" i="1"/>
  <c r="AD56" i="1"/>
  <c r="T56" i="1" s="1"/>
  <c r="AE56" i="1"/>
  <c r="R9" i="3" s="1"/>
  <c r="AF56" i="1"/>
  <c r="AH56" i="1"/>
  <c r="K57" i="1"/>
  <c r="L57" i="1"/>
  <c r="M57" i="1"/>
  <c r="N57" i="1" s="1"/>
  <c r="V57" i="1"/>
  <c r="S14" i="3" s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S17" i="3" s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T60" i="1"/>
  <c r="V60" i="1"/>
  <c r="Y60" i="1"/>
  <c r="Z60" i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S10" i="3" s="1"/>
  <c r="Y62" i="1"/>
  <c r="Z62" i="1"/>
  <c r="AB62" i="1"/>
  <c r="AC62" i="1"/>
  <c r="AD62" i="1"/>
  <c r="AG62" i="1" s="1"/>
  <c r="AE62" i="1"/>
  <c r="R10" i="3" s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/>
  <c r="V66" i="1"/>
  <c r="S28" i="3" s="1"/>
  <c r="Y66" i="1"/>
  <c r="Z66" i="1"/>
  <c r="AB66" i="1"/>
  <c r="AC66" i="1"/>
  <c r="AD66" i="1"/>
  <c r="AG66" i="1" s="1"/>
  <c r="AE66" i="1"/>
  <c r="R28" i="3" s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S7" i="3" s="1"/>
  <c r="Y69" i="1"/>
  <c r="Z69" i="1"/>
  <c r="AB69" i="1"/>
  <c r="AC69" i="1"/>
  <c r="AD69" i="1"/>
  <c r="AG69" i="1" s="1"/>
  <c r="AE69" i="1"/>
  <c r="R7" i="3" s="1"/>
  <c r="AF69" i="1"/>
  <c r="AH69" i="1"/>
  <c r="K70" i="1"/>
  <c r="L70" i="1"/>
  <c r="M70" i="1"/>
  <c r="N70" i="1" s="1"/>
  <c r="V70" i="1"/>
  <c r="S15" i="3" s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S36" i="3" s="1"/>
  <c r="Y73" i="1"/>
  <c r="Z73" i="1"/>
  <c r="AB73" i="1"/>
  <c r="AC73" i="1"/>
  <c r="AD73" i="1"/>
  <c r="T73" i="1" s="1"/>
  <c r="AE73" i="1"/>
  <c r="R36" i="3" s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AA75" i="1" s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L77" i="1"/>
  <c r="M77" i="1"/>
  <c r="N77" i="1" s="1"/>
  <c r="V77" i="1"/>
  <c r="S38" i="3" s="1"/>
  <c r="Y77" i="1"/>
  <c r="Z77" i="1"/>
  <c r="AB77" i="1"/>
  <c r="AC77" i="1"/>
  <c r="AD77" i="1"/>
  <c r="AE77" i="1"/>
  <c r="AF77" i="1"/>
  <c r="AH77" i="1"/>
  <c r="K78" i="1"/>
  <c r="L78" i="1"/>
  <c r="M78" i="1"/>
  <c r="N78" i="1" s="1"/>
  <c r="V78" i="1"/>
  <c r="S19" i="3" s="1"/>
  <c r="Y78" i="1"/>
  <c r="Z78" i="1"/>
  <c r="AB78" i="1"/>
  <c r="AC78" i="1"/>
  <c r="AD78" i="1"/>
  <c r="AG78" i="1" s="1"/>
  <c r="AE78" i="1"/>
  <c r="R19" i="3" s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AA81" i="1" s="1"/>
  <c r="Z81" i="1"/>
  <c r="AB81" i="1"/>
  <c r="AC81" i="1"/>
  <c r="AD81" i="1"/>
  <c r="AE81" i="1"/>
  <c r="AF81" i="1"/>
  <c r="AH81" i="1"/>
  <c r="K82" i="1"/>
  <c r="L82" i="1"/>
  <c r="M82" i="1"/>
  <c r="N82" i="1"/>
  <c r="V82" i="1"/>
  <c r="Y82" i="1"/>
  <c r="Z82" i="1"/>
  <c r="AA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A85" i="1"/>
  <c r="W85" i="1" s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Y86" i="1"/>
  <c r="Z86" i="1"/>
  <c r="AA86" i="1" s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A90" i="1" s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K92" i="1"/>
  <c r="L92" i="1"/>
  <c r="M92" i="1"/>
  <c r="N92" i="1" s="1"/>
  <c r="V92" i="1"/>
  <c r="S20" i="3" s="1"/>
  <c r="Y92" i="1"/>
  <c r="Z92" i="1"/>
  <c r="AB92" i="1"/>
  <c r="AC92" i="1"/>
  <c r="AD92" i="1"/>
  <c r="AE92" i="1"/>
  <c r="R20" i="3" s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AI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K101" i="1"/>
  <c r="L101" i="1"/>
  <c r="M101" i="1"/>
  <c r="N101" i="1" s="1"/>
  <c r="T101" i="1"/>
  <c r="V101" i="1"/>
  <c r="Y101" i="1"/>
  <c r="Z101" i="1"/>
  <c r="AB101" i="1"/>
  <c r="AC101" i="1"/>
  <c r="AD101" i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K104" i="1"/>
  <c r="L104" i="1"/>
  <c r="M104" i="1"/>
  <c r="N104" i="1" s="1"/>
  <c r="T104" i="1"/>
  <c r="V104" i="1"/>
  <c r="Y104" i="1"/>
  <c r="Z104" i="1"/>
  <c r="AB104" i="1"/>
  <c r="AC104" i="1"/>
  <c r="AD104" i="1"/>
  <c r="AG104" i="1" s="1"/>
  <c r="AE104" i="1"/>
  <c r="AF104" i="1"/>
  <c r="AH104" i="1"/>
  <c r="K105" i="1"/>
  <c r="L105" i="1"/>
  <c r="M105" i="1"/>
  <c r="N105" i="1" s="1"/>
  <c r="V105" i="1"/>
  <c r="S11" i="3" s="1"/>
  <c r="Y105" i="1"/>
  <c r="Z105" i="1"/>
  <c r="AB105" i="1"/>
  <c r="AC105" i="1"/>
  <c r="AD105" i="1"/>
  <c r="AE105" i="1"/>
  <c r="R11" i="3" s="1"/>
  <c r="AF105" i="1"/>
  <c r="AH105" i="1"/>
  <c r="K106" i="1"/>
  <c r="L106" i="1"/>
  <c r="M106" i="1"/>
  <c r="N106" i="1" s="1"/>
  <c r="V106" i="1"/>
  <c r="S31" i="3" s="1"/>
  <c r="Y106" i="1"/>
  <c r="Z106" i="1"/>
  <c r="AB106" i="1"/>
  <c r="AC106" i="1"/>
  <c r="AD106" i="1"/>
  <c r="AE106" i="1"/>
  <c r="R31" i="3" s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K108" i="1"/>
  <c r="L108" i="1"/>
  <c r="M108" i="1"/>
  <c r="N108" i="1" s="1"/>
  <c r="V108" i="1"/>
  <c r="Y108" i="1"/>
  <c r="Z108" i="1"/>
  <c r="AA108" i="1" s="1"/>
  <c r="AB108" i="1"/>
  <c r="AC108" i="1"/>
  <c r="AD108" i="1"/>
  <c r="T108" i="1" s="1"/>
  <c r="AE108" i="1"/>
  <c r="AF108" i="1"/>
  <c r="AH108" i="1"/>
  <c r="K109" i="1"/>
  <c r="L109" i="1"/>
  <c r="M109" i="1"/>
  <c r="N109" i="1" s="1"/>
  <c r="V109" i="1"/>
  <c r="Y109" i="1"/>
  <c r="Z109" i="1"/>
  <c r="AI109" i="1" s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/>
  <c r="V111" i="1"/>
  <c r="Y111" i="1"/>
  <c r="Z111" i="1"/>
  <c r="AB111" i="1"/>
  <c r="AC111" i="1"/>
  <c r="AD111" i="1"/>
  <c r="AE111" i="1"/>
  <c r="AF111" i="1"/>
  <c r="AH111" i="1"/>
  <c r="K112" i="1"/>
  <c r="L112" i="1"/>
  <c r="M112" i="1"/>
  <c r="N112" i="1" s="1"/>
  <c r="V112" i="1"/>
  <c r="Y112" i="1"/>
  <c r="AA112" i="1" s="1"/>
  <c r="W112" i="1" s="1"/>
  <c r="Z112" i="1"/>
  <c r="AB112" i="1"/>
  <c r="AC112" i="1"/>
  <c r="AD112" i="1"/>
  <c r="AG112" i="1" s="1"/>
  <c r="AE112" i="1"/>
  <c r="AF112" i="1"/>
  <c r="AH112" i="1"/>
  <c r="AI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X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K117" i="1"/>
  <c r="L117" i="1"/>
  <c r="M117" i="1"/>
  <c r="N117" i="1" s="1"/>
  <c r="V117" i="1"/>
  <c r="S12" i="3" s="1"/>
  <c r="Y117" i="1"/>
  <c r="Z117" i="1"/>
  <c r="AA117" i="1" s="1"/>
  <c r="W117" i="1" s="1"/>
  <c r="AB117" i="1"/>
  <c r="AC117" i="1"/>
  <c r="AD117" i="1"/>
  <c r="AG117" i="1" s="1"/>
  <c r="AE117" i="1"/>
  <c r="R12" i="3" s="1"/>
  <c r="AF117" i="1"/>
  <c r="AH117" i="1"/>
  <c r="K118" i="1"/>
  <c r="L118" i="1"/>
  <c r="M118" i="1"/>
  <c r="N118" i="1" s="1"/>
  <c r="V118" i="1"/>
  <c r="S21" i="3" s="1"/>
  <c r="Y118" i="1"/>
  <c r="Z118" i="1"/>
  <c r="AB118" i="1"/>
  <c r="AC118" i="1"/>
  <c r="AD118" i="1"/>
  <c r="AE118" i="1"/>
  <c r="R21" i="3" s="1"/>
  <c r="AF118" i="1"/>
  <c r="AH118" i="1"/>
  <c r="K119" i="1"/>
  <c r="L119" i="1"/>
  <c r="M119" i="1"/>
  <c r="N119" i="1" s="1"/>
  <c r="V119" i="1"/>
  <c r="Y119" i="1"/>
  <c r="Z119" i="1"/>
  <c r="AA119" i="1" s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AF131" i="1"/>
  <c r="AH131" i="1"/>
  <c r="K132" i="1"/>
  <c r="L132" i="1"/>
  <c r="M132" i="1"/>
  <c r="N132" i="1" s="1"/>
  <c r="V132" i="1"/>
  <c r="S22" i="3" s="1"/>
  <c r="X132" i="1"/>
  <c r="Y132" i="1"/>
  <c r="Z132" i="1"/>
  <c r="AB132" i="1"/>
  <c r="AC132" i="1"/>
  <c r="AD132" i="1"/>
  <c r="T132" i="1" s="1"/>
  <c r="AE132" i="1"/>
  <c r="AF132" i="1"/>
  <c r="AG132" i="1"/>
  <c r="AH132" i="1"/>
  <c r="K133" i="1"/>
  <c r="L133" i="1"/>
  <c r="M133" i="1"/>
  <c r="N133" i="1" s="1"/>
  <c r="V133" i="1"/>
  <c r="Y133" i="1"/>
  <c r="Z133" i="1"/>
  <c r="AA133" i="1" s="1"/>
  <c r="W133" i="1" s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S32" i="3" s="1"/>
  <c r="Y134" i="1"/>
  <c r="Z134" i="1"/>
  <c r="AB134" i="1"/>
  <c r="AC134" i="1"/>
  <c r="AD134" i="1"/>
  <c r="AE134" i="1"/>
  <c r="R32" i="3" s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S33" i="3" s="1"/>
  <c r="Y136" i="1"/>
  <c r="Z136" i="1"/>
  <c r="AB136" i="1"/>
  <c r="AC136" i="1"/>
  <c r="AD136" i="1"/>
  <c r="T136" i="1" s="1"/>
  <c r="AE136" i="1"/>
  <c r="R33" i="3" s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Y142" i="1"/>
  <c r="Z142" i="1"/>
  <c r="AI142" i="1" s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AI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G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R13" i="3" s="1"/>
  <c r="AF148" i="1"/>
  <c r="AH148" i="1"/>
  <c r="K149" i="1"/>
  <c r="L149" i="1"/>
  <c r="M149" i="1"/>
  <c r="N149" i="1" s="1"/>
  <c r="V149" i="1"/>
  <c r="Y149" i="1"/>
  <c r="Z149" i="1"/>
  <c r="AI149" i="1" s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AF151" i="1"/>
  <c r="AH151" i="1"/>
  <c r="K152" i="1"/>
  <c r="L152" i="1"/>
  <c r="M152" i="1"/>
  <c r="N152" i="1" s="1"/>
  <c r="V152" i="1"/>
  <c r="S34" i="3" s="1"/>
  <c r="Y152" i="1"/>
  <c r="Z152" i="1"/>
  <c r="AB152" i="1"/>
  <c r="AC152" i="1"/>
  <c r="AD152" i="1"/>
  <c r="AG152" i="1" s="1"/>
  <c r="AE152" i="1"/>
  <c r="R34" i="3" s="1"/>
  <c r="AF152" i="1"/>
  <c r="AH152" i="1"/>
  <c r="K154" i="1"/>
  <c r="L154" i="1"/>
  <c r="M154" i="1"/>
  <c r="N154" i="1" s="1"/>
  <c r="V154" i="1"/>
  <c r="S23" i="3" s="1"/>
  <c r="Y154" i="1"/>
  <c r="Z154" i="1"/>
  <c r="AI154" i="1" s="1"/>
  <c r="AB154" i="1"/>
  <c r="AC154" i="1"/>
  <c r="AD154" i="1"/>
  <c r="AG154" i="1" s="1"/>
  <c r="AE154" i="1"/>
  <c r="R23" i="3" s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I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K209" i="1"/>
  <c r="L209" i="1"/>
  <c r="M209" i="1"/>
  <c r="N209" i="1"/>
  <c r="V209" i="1"/>
  <c r="Y209" i="1"/>
  <c r="Z209" i="1"/>
  <c r="AB209" i="1"/>
  <c r="AC209" i="1"/>
  <c r="AD209" i="1"/>
  <c r="AG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3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G211" i="1"/>
  <c r="AH164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68" i="1"/>
  <c r="K222" i="1"/>
  <c r="L222" i="1"/>
  <c r="M222" i="1"/>
  <c r="N222" i="1" s="1"/>
  <c r="T222" i="1"/>
  <c r="V222" i="1"/>
  <c r="Y222" i="1"/>
  <c r="Z222" i="1"/>
  <c r="AB222" i="1"/>
  <c r="AC222" i="1"/>
  <c r="AD222" i="1"/>
  <c r="AG222" i="1" s="1"/>
  <c r="AE222" i="1"/>
  <c r="AF222" i="1"/>
  <c r="AH169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170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R48" i="3" s="1"/>
  <c r="AF225" i="1"/>
  <c r="AH17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73" i="1"/>
  <c r="K158" i="1"/>
  <c r="L158" i="1"/>
  <c r="M158" i="1"/>
  <c r="N158" i="1"/>
  <c r="V158" i="1"/>
  <c r="Y158" i="1"/>
  <c r="Z158" i="1"/>
  <c r="AB158" i="1"/>
  <c r="AC158" i="1"/>
  <c r="AD158" i="1"/>
  <c r="AG158" i="1" s="1"/>
  <c r="AI158" i="1" s="1"/>
  <c r="AE158" i="1"/>
  <c r="AF158" i="1"/>
  <c r="AH17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75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7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G161" i="1"/>
  <c r="AH177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7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7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0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1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R39" i="3" s="1"/>
  <c r="AF166" i="1"/>
  <c r="AH18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83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4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5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6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87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K172" i="1"/>
  <c r="L172" i="1"/>
  <c r="M172" i="1"/>
  <c r="N172" i="1" s="1"/>
  <c r="V172" i="1"/>
  <c r="S44" i="3" s="1"/>
  <c r="Y172" i="1"/>
  <c r="Z172" i="1"/>
  <c r="AB172" i="1"/>
  <c r="AC172" i="1"/>
  <c r="AD172" i="1"/>
  <c r="T172" i="1" s="1"/>
  <c r="AE172" i="1"/>
  <c r="AF172" i="1"/>
  <c r="AH188" i="1"/>
  <c r="K173" i="1"/>
  <c r="L173" i="1"/>
  <c r="M173" i="1"/>
  <c r="N173" i="1" s="1"/>
  <c r="V173" i="1"/>
  <c r="Y173" i="1"/>
  <c r="AA173" i="1" s="1"/>
  <c r="Z173" i="1"/>
  <c r="AB173" i="1"/>
  <c r="AC173" i="1"/>
  <c r="AD173" i="1"/>
  <c r="T173" i="1" s="1"/>
  <c r="AE173" i="1"/>
  <c r="AF173" i="1"/>
  <c r="AH189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0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1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2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3" i="1"/>
  <c r="K178" i="1"/>
  <c r="L178" i="1"/>
  <c r="M178" i="1"/>
  <c r="N178" i="1" s="1"/>
  <c r="V178" i="1"/>
  <c r="Y178" i="1"/>
  <c r="Z178" i="1"/>
  <c r="AA178" i="1" s="1"/>
  <c r="W178" i="1" s="1"/>
  <c r="AB178" i="1"/>
  <c r="AC178" i="1"/>
  <c r="AD178" i="1"/>
  <c r="AG178" i="1" s="1"/>
  <c r="AE178" i="1"/>
  <c r="AF178" i="1"/>
  <c r="AH19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5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196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97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9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9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1" i="1"/>
  <c r="K186" i="1"/>
  <c r="L186" i="1"/>
  <c r="M186" i="1"/>
  <c r="N186" i="1" s="1"/>
  <c r="V186" i="1"/>
  <c r="Y186" i="1"/>
  <c r="AA186" i="1" s="1"/>
  <c r="Z186" i="1"/>
  <c r="AB186" i="1"/>
  <c r="AC186" i="1"/>
  <c r="AD186" i="1"/>
  <c r="AG186" i="1" s="1"/>
  <c r="AE186" i="1"/>
  <c r="AF186" i="1"/>
  <c r="AH202" i="1"/>
  <c r="K187" i="1"/>
  <c r="L187" i="1"/>
  <c r="M187" i="1"/>
  <c r="N187" i="1" s="1"/>
  <c r="V187" i="1"/>
  <c r="S41" i="3" s="1"/>
  <c r="Y187" i="1"/>
  <c r="Z187" i="1"/>
  <c r="AB187" i="1"/>
  <c r="AC187" i="1"/>
  <c r="AD187" i="1"/>
  <c r="T187" i="1" s="1"/>
  <c r="AE187" i="1"/>
  <c r="R42" i="3" s="1"/>
  <c r="AF187" i="1"/>
  <c r="AH203" i="1"/>
  <c r="AH204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G188" i="1"/>
  <c r="AH205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06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0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9" i="1"/>
  <c r="K193" i="1"/>
  <c r="L193" i="1"/>
  <c r="M193" i="1"/>
  <c r="N193" i="1"/>
  <c r="V193" i="1"/>
  <c r="Y193" i="1"/>
  <c r="Z193" i="1"/>
  <c r="AB193" i="1"/>
  <c r="AC193" i="1"/>
  <c r="AD193" i="1"/>
  <c r="AG193" i="1" s="1"/>
  <c r="AE193" i="1"/>
  <c r="AF193" i="1"/>
  <c r="AH210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1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2" i="1"/>
  <c r="K196" i="1"/>
  <c r="L196" i="1"/>
  <c r="M196" i="1"/>
  <c r="N196" i="1" s="1"/>
  <c r="V196" i="1"/>
  <c r="S45" i="3" s="1"/>
  <c r="Y196" i="1"/>
  <c r="Z196" i="1"/>
  <c r="AB196" i="1"/>
  <c r="AC196" i="1"/>
  <c r="AD196" i="1"/>
  <c r="T196" i="1" s="1"/>
  <c r="AE196" i="1"/>
  <c r="R45" i="3" s="1"/>
  <c r="AF196" i="1"/>
  <c r="AH213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14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15" i="1"/>
  <c r="K199" i="1"/>
  <c r="L199" i="1"/>
  <c r="M199" i="1"/>
  <c r="N199" i="1" s="1"/>
  <c r="V199" i="1"/>
  <c r="S43" i="3" s="1"/>
  <c r="Y199" i="1"/>
  <c r="Z199" i="1"/>
  <c r="AB199" i="1"/>
  <c r="AC199" i="1"/>
  <c r="AD199" i="1"/>
  <c r="T199" i="1" s="1"/>
  <c r="AE199" i="1"/>
  <c r="R43" i="3" s="1"/>
  <c r="AF199" i="1"/>
  <c r="AH216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7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18" i="1"/>
  <c r="K202" i="1"/>
  <c r="L202" i="1"/>
  <c r="M202" i="1"/>
  <c r="N202" i="1" s="1"/>
  <c r="V202" i="1"/>
  <c r="S46" i="3" s="1"/>
  <c r="Y202" i="1"/>
  <c r="Z202" i="1"/>
  <c r="AB202" i="1"/>
  <c r="AC202" i="1"/>
  <c r="AD202" i="1"/>
  <c r="T202" i="1" s="1"/>
  <c r="AE202" i="1"/>
  <c r="R46" i="3" s="1"/>
  <c r="AF202" i="1"/>
  <c r="AH219" i="1"/>
  <c r="K203" i="1"/>
  <c r="L203" i="1"/>
  <c r="M203" i="1"/>
  <c r="N203" i="1" s="1"/>
  <c r="V203" i="1"/>
  <c r="S40" i="3" s="1"/>
  <c r="Y203" i="1"/>
  <c r="Z203" i="1"/>
  <c r="AB203" i="1"/>
  <c r="AC203" i="1"/>
  <c r="AD203" i="1"/>
  <c r="AG203" i="1" s="1"/>
  <c r="AE203" i="1"/>
  <c r="AF203" i="1"/>
  <c r="AH220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221" i="1"/>
  <c r="K228" i="1"/>
  <c r="L228" i="1"/>
  <c r="M228" i="1"/>
  <c r="N228" i="1"/>
  <c r="V228" i="1"/>
  <c r="Y228" i="1"/>
  <c r="Z228" i="1"/>
  <c r="AB228" i="1"/>
  <c r="AC228" i="1"/>
  <c r="AD228" i="1"/>
  <c r="AG228" i="1" s="1"/>
  <c r="AE228" i="1"/>
  <c r="AF228" i="1"/>
  <c r="AH222" i="1"/>
  <c r="K215" i="1"/>
  <c r="L215" i="1"/>
  <c r="M215" i="1"/>
  <c r="N215" i="1" s="1"/>
  <c r="V215" i="1"/>
  <c r="S47" i="3" s="1"/>
  <c r="Y215" i="1"/>
  <c r="Z215" i="1"/>
  <c r="AB215" i="1"/>
  <c r="AC215" i="1"/>
  <c r="AD215" i="1"/>
  <c r="T215" i="1" s="1"/>
  <c r="AE215" i="1"/>
  <c r="R47" i="3" s="1"/>
  <c r="AF215" i="1"/>
  <c r="AH223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24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25" i="1"/>
  <c r="K218" i="1"/>
  <c r="L218" i="1"/>
  <c r="M218" i="1"/>
  <c r="N218" i="1" s="1"/>
  <c r="V218" i="1"/>
  <c r="Y218" i="1"/>
  <c r="Z218" i="1"/>
  <c r="AA218" i="1" s="1"/>
  <c r="W218" i="1" s="1"/>
  <c r="AB218" i="1"/>
  <c r="AC218" i="1"/>
  <c r="AD218" i="1"/>
  <c r="AG218" i="1" s="1"/>
  <c r="AE218" i="1"/>
  <c r="AF218" i="1"/>
  <c r="AH226" i="1"/>
  <c r="K219" i="1"/>
  <c r="L219" i="1"/>
  <c r="M219" i="1"/>
  <c r="N219" i="1"/>
  <c r="V219" i="1"/>
  <c r="Y219" i="1"/>
  <c r="AA219" i="1" s="1"/>
  <c r="Z219" i="1"/>
  <c r="AB219" i="1"/>
  <c r="AC219" i="1"/>
  <c r="AD219" i="1"/>
  <c r="T219" i="1" s="1"/>
  <c r="AE219" i="1"/>
  <c r="AF219" i="1"/>
  <c r="AH227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8" i="1"/>
  <c r="M16" i="3"/>
  <c r="R16" i="3"/>
  <c r="U16" i="3"/>
  <c r="T16" i="3" s="1"/>
  <c r="V16" i="3"/>
  <c r="W16" i="3"/>
  <c r="X16" i="3"/>
  <c r="AC16" i="3"/>
  <c r="M26" i="3"/>
  <c r="U26" i="3"/>
  <c r="T26" i="3" s="1"/>
  <c r="V26" i="3"/>
  <c r="W26" i="3"/>
  <c r="X26" i="3"/>
  <c r="AC26" i="3"/>
  <c r="M8" i="3"/>
  <c r="R8" i="3"/>
  <c r="U8" i="3"/>
  <c r="V8" i="3"/>
  <c r="W8" i="3"/>
  <c r="X8" i="3"/>
  <c r="AC8" i="3"/>
  <c r="M27" i="3"/>
  <c r="R27" i="3"/>
  <c r="U27" i="3"/>
  <c r="T27" i="3" s="1"/>
  <c r="V27" i="3"/>
  <c r="W27" i="3"/>
  <c r="X27" i="3"/>
  <c r="AC27" i="3"/>
  <c r="M39" i="3"/>
  <c r="S39" i="3"/>
  <c r="U39" i="3"/>
  <c r="T39" i="3" s="1"/>
  <c r="V39" i="3"/>
  <c r="W39" i="3"/>
  <c r="X39" i="3"/>
  <c r="AC39" i="3"/>
  <c r="M24" i="3"/>
  <c r="U24" i="3"/>
  <c r="V24" i="3"/>
  <c r="W24" i="3"/>
  <c r="X24" i="3"/>
  <c r="AC24" i="3"/>
  <c r="M47" i="3"/>
  <c r="U47" i="3"/>
  <c r="V47" i="3"/>
  <c r="W47" i="3"/>
  <c r="X47" i="3"/>
  <c r="AC47" i="3"/>
  <c r="M14" i="3"/>
  <c r="U14" i="3"/>
  <c r="T14" i="3" s="1"/>
  <c r="V14" i="3"/>
  <c r="W14" i="3"/>
  <c r="X14" i="3"/>
  <c r="AC14" i="3"/>
  <c r="M35" i="3"/>
  <c r="U35" i="3"/>
  <c r="T35" i="3" s="1"/>
  <c r="V35" i="3"/>
  <c r="W35" i="3"/>
  <c r="X35" i="3"/>
  <c r="AC35" i="3"/>
  <c r="M9" i="3"/>
  <c r="U9" i="3"/>
  <c r="T9" i="3" s="1"/>
  <c r="V9" i="3"/>
  <c r="W9" i="3"/>
  <c r="X9" i="3"/>
  <c r="AC9" i="3"/>
  <c r="M17" i="3"/>
  <c r="R17" i="3"/>
  <c r="U17" i="3"/>
  <c r="V17" i="3"/>
  <c r="W17" i="3"/>
  <c r="X17" i="3"/>
  <c r="M44" i="3"/>
  <c r="R44" i="3"/>
  <c r="U44" i="3"/>
  <c r="T44" i="3" s="1"/>
  <c r="V44" i="3"/>
  <c r="W44" i="3"/>
  <c r="X44" i="3"/>
  <c r="AC44" i="3"/>
  <c r="M7" i="3"/>
  <c r="U7" i="3"/>
  <c r="T7" i="3" s="1"/>
  <c r="V7" i="3"/>
  <c r="W7" i="3"/>
  <c r="X7" i="3"/>
  <c r="AC7" i="3"/>
  <c r="M10" i="3"/>
  <c r="U10" i="3"/>
  <c r="T10" i="3" s="1"/>
  <c r="V10" i="3"/>
  <c r="W10" i="3"/>
  <c r="X10" i="3"/>
  <c r="AC10" i="3"/>
  <c r="M18" i="3"/>
  <c r="U18" i="3"/>
  <c r="V18" i="3"/>
  <c r="W18" i="3"/>
  <c r="X18" i="3"/>
  <c r="AC18" i="3"/>
  <c r="M28" i="3"/>
  <c r="U28" i="3"/>
  <c r="T28" i="3" s="1"/>
  <c r="V28" i="3"/>
  <c r="W28" i="3"/>
  <c r="X28" i="3"/>
  <c r="M36" i="3"/>
  <c r="U36" i="3"/>
  <c r="T36" i="3" s="1"/>
  <c r="V36" i="3"/>
  <c r="W36" i="3"/>
  <c r="X36" i="3"/>
  <c r="M15" i="3"/>
  <c r="R15" i="3"/>
  <c r="U15" i="3"/>
  <c r="T15" i="3" s="1"/>
  <c r="V15" i="3"/>
  <c r="W15" i="3"/>
  <c r="X15" i="3"/>
  <c r="AC15" i="3"/>
  <c r="M29" i="3"/>
  <c r="R29" i="3"/>
  <c r="U29" i="3"/>
  <c r="V29" i="3"/>
  <c r="W29" i="3"/>
  <c r="X29" i="3"/>
  <c r="M37" i="3"/>
  <c r="R37" i="3"/>
  <c r="U37" i="3"/>
  <c r="T37" i="3" s="1"/>
  <c r="V37" i="3"/>
  <c r="W37" i="3"/>
  <c r="X37" i="3"/>
  <c r="AC37" i="3"/>
  <c r="M38" i="3"/>
  <c r="R38" i="3"/>
  <c r="U38" i="3"/>
  <c r="T38" i="3" s="1"/>
  <c r="V38" i="3"/>
  <c r="W38" i="3"/>
  <c r="X38" i="3"/>
  <c r="AC38" i="3"/>
  <c r="M19" i="3"/>
  <c r="U19" i="3"/>
  <c r="V19" i="3"/>
  <c r="W19" i="3"/>
  <c r="X19" i="3"/>
  <c r="AC19" i="3"/>
  <c r="M20" i="3"/>
  <c r="U20" i="3"/>
  <c r="AC20" i="3" s="1"/>
  <c r="V20" i="3"/>
  <c r="W20" i="3"/>
  <c r="X20" i="3"/>
  <c r="M11" i="3"/>
  <c r="U11" i="3"/>
  <c r="T11" i="3" s="1"/>
  <c r="V11" i="3"/>
  <c r="W11" i="3"/>
  <c r="X11" i="3"/>
  <c r="AC11" i="3"/>
  <c r="M41" i="3"/>
  <c r="U41" i="3"/>
  <c r="T41" i="3" s="1"/>
  <c r="V41" i="3"/>
  <c r="W41" i="3"/>
  <c r="X41" i="3"/>
  <c r="AC41" i="3"/>
  <c r="M42" i="3"/>
  <c r="U42" i="3"/>
  <c r="T42" i="3" s="1"/>
  <c r="V42" i="3"/>
  <c r="W42" i="3"/>
  <c r="X42" i="3"/>
  <c r="AC42" i="3"/>
  <c r="M30" i="3"/>
  <c r="U30" i="3"/>
  <c r="V30" i="3"/>
  <c r="W30" i="3"/>
  <c r="X30" i="3"/>
  <c r="AC30" i="3"/>
  <c r="M31" i="3"/>
  <c r="U31" i="3"/>
  <c r="T31" i="3" s="1"/>
  <c r="V31" i="3"/>
  <c r="W31" i="3"/>
  <c r="X31" i="3"/>
  <c r="M48" i="3"/>
  <c r="S48" i="3"/>
  <c r="U48" i="3"/>
  <c r="T48" i="3" s="1"/>
  <c r="V48" i="3"/>
  <c r="W48" i="3"/>
  <c r="X48" i="3"/>
  <c r="AC48" i="3"/>
  <c r="M12" i="3"/>
  <c r="U12" i="3"/>
  <c r="T12" i="3" s="1"/>
  <c r="V12" i="3"/>
  <c r="W12" i="3"/>
  <c r="X12" i="3"/>
  <c r="AC12" i="3"/>
  <c r="M21" i="3"/>
  <c r="U21" i="3"/>
  <c r="V21" i="3"/>
  <c r="W21" i="3"/>
  <c r="X21" i="3"/>
  <c r="AC21" i="3"/>
  <c r="M45" i="3"/>
  <c r="U45" i="3"/>
  <c r="T45" i="3" s="1"/>
  <c r="V45" i="3"/>
  <c r="W45" i="3"/>
  <c r="X45" i="3"/>
  <c r="AC45" i="3"/>
  <c r="M22" i="3"/>
  <c r="R22" i="3"/>
  <c r="U22" i="3"/>
  <c r="T22" i="3" s="1"/>
  <c r="V22" i="3"/>
  <c r="W22" i="3"/>
  <c r="X22" i="3"/>
  <c r="AC22" i="3"/>
  <c r="M32" i="3"/>
  <c r="U32" i="3"/>
  <c r="AD41" i="3" s="1"/>
  <c r="V32" i="3"/>
  <c r="W32" i="3"/>
  <c r="X32" i="3"/>
  <c r="AC32" i="3"/>
  <c r="M43" i="3"/>
  <c r="U43" i="3"/>
  <c r="V43" i="3"/>
  <c r="W43" i="3"/>
  <c r="X43" i="3"/>
  <c r="AC43" i="3"/>
  <c r="M33" i="3"/>
  <c r="U33" i="3"/>
  <c r="T33" i="3" s="1"/>
  <c r="V33" i="3"/>
  <c r="W33" i="3"/>
  <c r="X33" i="3"/>
  <c r="M46" i="3"/>
  <c r="U46" i="3"/>
  <c r="T46" i="3" s="1"/>
  <c r="V46" i="3"/>
  <c r="W46" i="3"/>
  <c r="X46" i="3"/>
  <c r="AC46" i="3"/>
  <c r="M40" i="3"/>
  <c r="R40" i="3"/>
  <c r="U40" i="3"/>
  <c r="T40" i="3" s="1"/>
  <c r="V40" i="3"/>
  <c r="W40" i="3"/>
  <c r="X40" i="3"/>
  <c r="AC40" i="3"/>
  <c r="M13" i="3"/>
  <c r="S13" i="3"/>
  <c r="U13" i="3"/>
  <c r="V13" i="3"/>
  <c r="W13" i="3"/>
  <c r="X13" i="3"/>
  <c r="AC13" i="3"/>
  <c r="M34" i="3"/>
  <c r="U34" i="3"/>
  <c r="T34" i="3" s="1"/>
  <c r="V34" i="3"/>
  <c r="W34" i="3"/>
  <c r="X34" i="3"/>
  <c r="AC34" i="3"/>
  <c r="AD34" i="3"/>
  <c r="M23" i="3"/>
  <c r="U23" i="3"/>
  <c r="T23" i="3" s="1"/>
  <c r="V23" i="3"/>
  <c r="W23" i="3"/>
  <c r="X23" i="3"/>
  <c r="AC23" i="3"/>
  <c r="M28" i="5"/>
  <c r="AD9" i="3" l="1"/>
  <c r="AD23" i="3"/>
  <c r="AD36" i="3"/>
  <c r="AD16" i="3"/>
  <c r="AD12" i="3"/>
  <c r="AD44" i="3"/>
  <c r="W153" i="1"/>
  <c r="AI153" i="1"/>
  <c r="X153" i="1"/>
  <c r="T153" i="1"/>
  <c r="U153" i="1" s="1"/>
  <c r="S153" i="1" s="1"/>
  <c r="AC28" i="3"/>
  <c r="AD29" i="3"/>
  <c r="AD13" i="3"/>
  <c r="AD37" i="3"/>
  <c r="S29" i="3"/>
  <c r="S18" i="3"/>
  <c r="Y26" i="3"/>
  <c r="AG38" i="1"/>
  <c r="AD22" i="3"/>
  <c r="AD45" i="3"/>
  <c r="Y40" i="3"/>
  <c r="AD31" i="3"/>
  <c r="S30" i="3"/>
  <c r="AC29" i="3"/>
  <c r="AC33" i="3"/>
  <c r="AD40" i="3"/>
  <c r="R41" i="3"/>
  <c r="AA220" i="1"/>
  <c r="AA197" i="1"/>
  <c r="W197" i="1" s="1"/>
  <c r="AA194" i="1"/>
  <c r="AA213" i="1"/>
  <c r="W213" i="1" s="1"/>
  <c r="AA212" i="1"/>
  <c r="X117" i="1"/>
  <c r="AA72" i="1"/>
  <c r="AA70" i="1"/>
  <c r="W70" i="1" s="1"/>
  <c r="X60" i="1"/>
  <c r="U161" i="1"/>
  <c r="S161" i="1" s="1"/>
  <c r="AD43" i="3"/>
  <c r="AD42" i="3"/>
  <c r="AD35" i="3"/>
  <c r="AD14" i="3"/>
  <c r="AG200" i="1"/>
  <c r="AA189" i="1"/>
  <c r="W189" i="1" s="1"/>
  <c r="AI170" i="1"/>
  <c r="AA162" i="1"/>
  <c r="W162" i="1" s="1"/>
  <c r="AA152" i="1"/>
  <c r="AA138" i="1"/>
  <c r="AG124" i="1"/>
  <c r="AG116" i="1"/>
  <c r="AA109" i="1"/>
  <c r="AA94" i="1"/>
  <c r="T32" i="1"/>
  <c r="AA21" i="1"/>
  <c r="X149" i="1"/>
  <c r="Y12" i="3"/>
  <c r="AD38" i="3"/>
  <c r="AD27" i="3"/>
  <c r="AA201" i="1"/>
  <c r="AI125" i="1"/>
  <c r="AG119" i="1"/>
  <c r="AI117" i="1"/>
  <c r="AA98" i="1"/>
  <c r="T70" i="1"/>
  <c r="AA64" i="1"/>
  <c r="AA63" i="1"/>
  <c r="AA62" i="1"/>
  <c r="W62" i="1" s="1"/>
  <c r="AA61" i="1"/>
  <c r="AA60" i="1"/>
  <c r="AG40" i="1"/>
  <c r="AI40" i="1" s="1"/>
  <c r="AI36" i="1"/>
  <c r="AA33" i="1"/>
  <c r="W33" i="1" s="1"/>
  <c r="X148" i="1"/>
  <c r="AA106" i="1"/>
  <c r="AA92" i="1"/>
  <c r="AA35" i="1"/>
  <c r="X16" i="1"/>
  <c r="R30" i="3"/>
  <c r="AD48" i="3"/>
  <c r="AD19" i="3"/>
  <c r="S37" i="3"/>
  <c r="R18" i="3"/>
  <c r="Y35" i="3"/>
  <c r="Y39" i="3"/>
  <c r="S8" i="3"/>
  <c r="AA228" i="1"/>
  <c r="W228" i="1" s="1"/>
  <c r="AA196" i="1"/>
  <c r="AI205" i="1"/>
  <c r="X186" i="1"/>
  <c r="AA183" i="1"/>
  <c r="AA168" i="1"/>
  <c r="AA161" i="1"/>
  <c r="W161" i="1" s="1"/>
  <c r="X211" i="1"/>
  <c r="AA154" i="1"/>
  <c r="W154" i="1" s="1"/>
  <c r="AA139" i="1"/>
  <c r="AA129" i="1"/>
  <c r="W129" i="1" s="1"/>
  <c r="AA127" i="1"/>
  <c r="X116" i="1"/>
  <c r="AA115" i="1"/>
  <c r="AA114" i="1"/>
  <c r="T100" i="1"/>
  <c r="U100" i="1" s="1"/>
  <c r="S100" i="1" s="1"/>
  <c r="X80" i="1"/>
  <c r="AA78" i="1"/>
  <c r="AA77" i="1"/>
  <c r="AA52" i="1"/>
  <c r="X48" i="1"/>
  <c r="AA47" i="1"/>
  <c r="W46" i="1"/>
  <c r="AA42" i="1"/>
  <c r="AA41" i="1"/>
  <c r="AA29" i="1"/>
  <c r="T27" i="1"/>
  <c r="U27" i="1" s="1"/>
  <c r="S27" i="1" s="1"/>
  <c r="AA18" i="1"/>
  <c r="AA17" i="1"/>
  <c r="AA208" i="1"/>
  <c r="AA136" i="1"/>
  <c r="AG120" i="1"/>
  <c r="X120" i="1"/>
  <c r="AG47" i="1"/>
  <c r="U47" i="1" s="1"/>
  <c r="S47" i="1" s="1"/>
  <c r="X47" i="1"/>
  <c r="AG29" i="1"/>
  <c r="U29" i="1" s="1"/>
  <c r="S29" i="1" s="1"/>
  <c r="AA179" i="1"/>
  <c r="AA167" i="1"/>
  <c r="AG141" i="1"/>
  <c r="AG84" i="1"/>
  <c r="U84" i="1" s="1"/>
  <c r="S84" i="1" s="1"/>
  <c r="AD46" i="3"/>
  <c r="Y32" i="3"/>
  <c r="AD21" i="3"/>
  <c r="AD11" i="3"/>
  <c r="Y16" i="3"/>
  <c r="T227" i="1"/>
  <c r="U227" i="1" s="1"/>
  <c r="S227" i="1" s="1"/>
  <c r="AA187" i="1"/>
  <c r="AG167" i="1"/>
  <c r="U167" i="1" s="1"/>
  <c r="S167" i="1" s="1"/>
  <c r="AA223" i="1"/>
  <c r="W223" i="1" s="1"/>
  <c r="T152" i="1"/>
  <c r="AG145" i="1"/>
  <c r="X133" i="1"/>
  <c r="AA125" i="1"/>
  <c r="W125" i="1" s="1"/>
  <c r="AA122" i="1"/>
  <c r="AA121" i="1"/>
  <c r="X119" i="1"/>
  <c r="AG108" i="1"/>
  <c r="U108" i="1" s="1"/>
  <c r="S108" i="1" s="1"/>
  <c r="AA102" i="1"/>
  <c r="AA101" i="1"/>
  <c r="AG73" i="1"/>
  <c r="U73" i="1" s="1"/>
  <c r="S73" i="1" s="1"/>
  <c r="AA57" i="1"/>
  <c r="AA56" i="1"/>
  <c r="AG39" i="1"/>
  <c r="AG35" i="1"/>
  <c r="AI35" i="1" s="1"/>
  <c r="AA215" i="1"/>
  <c r="U145" i="1"/>
  <c r="S145" i="1" s="1"/>
  <c r="W109" i="1"/>
  <c r="AA49" i="1"/>
  <c r="AA45" i="1"/>
  <c r="AA39" i="1"/>
  <c r="AI33" i="1"/>
  <c r="AI29" i="1"/>
  <c r="AA27" i="1"/>
  <c r="AA20" i="1"/>
  <c r="W20" i="1" s="1"/>
  <c r="AG17" i="1"/>
  <c r="AG217" i="1"/>
  <c r="X201" i="1"/>
  <c r="AA202" i="1"/>
  <c r="AA195" i="1"/>
  <c r="AG185" i="1"/>
  <c r="AA181" i="1"/>
  <c r="AA175" i="1"/>
  <c r="AI174" i="1"/>
  <c r="AA172" i="1"/>
  <c r="AA171" i="1"/>
  <c r="AA170" i="1"/>
  <c r="W170" i="1" s="1"/>
  <c r="T166" i="1"/>
  <c r="X163" i="1"/>
  <c r="AI162" i="1"/>
  <c r="X161" i="1"/>
  <c r="AG225" i="1"/>
  <c r="X225" i="1"/>
  <c r="U222" i="1"/>
  <c r="AA222" i="1"/>
  <c r="W222" i="1" s="1"/>
  <c r="AA209" i="1"/>
  <c r="W209" i="1" s="1"/>
  <c r="AG208" i="1"/>
  <c r="U208" i="1" s="1"/>
  <c r="S208" i="1" s="1"/>
  <c r="AG156" i="1"/>
  <c r="AI156" i="1" s="1"/>
  <c r="X156" i="1"/>
  <c r="AA142" i="1"/>
  <c r="W142" i="1" s="1"/>
  <c r="AG136" i="1"/>
  <c r="X136" i="1"/>
  <c r="AA135" i="1"/>
  <c r="AI133" i="1"/>
  <c r="AI129" i="1"/>
  <c r="AA126" i="1"/>
  <c r="AA120" i="1"/>
  <c r="AA116" i="1"/>
  <c r="X104" i="1"/>
  <c r="AA91" i="1"/>
  <c r="AA87" i="1"/>
  <c r="X81" i="1"/>
  <c r="AI78" i="1"/>
  <c r="T69" i="1"/>
  <c r="U69" i="1" s="1"/>
  <c r="S69" i="1" s="1"/>
  <c r="AA67" i="1"/>
  <c r="AA66" i="1"/>
  <c r="W66" i="1" s="1"/>
  <c r="AG59" i="1"/>
  <c r="U59" i="1" s="1"/>
  <c r="AG57" i="1"/>
  <c r="AI57" i="1" s="1"/>
  <c r="X212" i="1"/>
  <c r="W211" i="1"/>
  <c r="AI145" i="1"/>
  <c r="AA48" i="1"/>
  <c r="W48" i="1" s="1"/>
  <c r="AA32" i="1"/>
  <c r="AA22" i="1"/>
  <c r="AA193" i="1"/>
  <c r="W193" i="1" s="1"/>
  <c r="AG192" i="1"/>
  <c r="U192" i="1" s="1"/>
  <c r="S192" i="1" s="1"/>
  <c r="AA190" i="1"/>
  <c r="AA182" i="1"/>
  <c r="W182" i="1" s="1"/>
  <c r="AI178" i="1"/>
  <c r="AA169" i="1"/>
  <c r="AA166" i="1"/>
  <c r="W166" i="1" s="1"/>
  <c r="AA165" i="1"/>
  <c r="AA164" i="1"/>
  <c r="AA163" i="1"/>
  <c r="AA157" i="1"/>
  <c r="AA225" i="1"/>
  <c r="AA224" i="1"/>
  <c r="W224" i="1" s="1"/>
  <c r="AA204" i="1"/>
  <c r="AA156" i="1"/>
  <c r="AA155" i="1"/>
  <c r="W155" i="1" s="1"/>
  <c r="AA146" i="1"/>
  <c r="W146" i="1" s="1"/>
  <c r="AA145" i="1"/>
  <c r="W145" i="1" s="1"/>
  <c r="AA143" i="1"/>
  <c r="AA137" i="1"/>
  <c r="AG135" i="1"/>
  <c r="U135" i="1" s="1"/>
  <c r="S135" i="1" s="1"/>
  <c r="X135" i="1"/>
  <c r="AA134" i="1"/>
  <c r="AA132" i="1"/>
  <c r="AA131" i="1"/>
  <c r="AA130" i="1"/>
  <c r="AG128" i="1"/>
  <c r="AI128" i="1" s="1"/>
  <c r="X128" i="1"/>
  <c r="AA118" i="1"/>
  <c r="AA113" i="1"/>
  <c r="AA110" i="1"/>
  <c r="AA96" i="1"/>
  <c r="AA89" i="1"/>
  <c r="AG67" i="1"/>
  <c r="AI67" i="1" s="1"/>
  <c r="AA65" i="1"/>
  <c r="AA53" i="1"/>
  <c r="T31" i="1"/>
  <c r="U31" i="1" s="1"/>
  <c r="S31" i="1" s="1"/>
  <c r="X28" i="1"/>
  <c r="AG25" i="1"/>
  <c r="U25" i="1" s="1"/>
  <c r="S25" i="1" s="1"/>
  <c r="AA23" i="1"/>
  <c r="T20" i="1"/>
  <c r="AI182" i="1"/>
  <c r="AI166" i="1"/>
  <c r="AA217" i="1"/>
  <c r="W217" i="1" s="1"/>
  <c r="AA216" i="1"/>
  <c r="T228" i="1"/>
  <c r="U228" i="1" s="1"/>
  <c r="S228" i="1" s="1"/>
  <c r="X197" i="1"/>
  <c r="AG196" i="1"/>
  <c r="AA192" i="1"/>
  <c r="AA191" i="1"/>
  <c r="T189" i="1"/>
  <c r="X182" i="1"/>
  <c r="AG181" i="1"/>
  <c r="AA177" i="1"/>
  <c r="AA176" i="1"/>
  <c r="X174" i="1"/>
  <c r="AG173" i="1"/>
  <c r="U173" i="1" s="1"/>
  <c r="S173" i="1" s="1"/>
  <c r="AG171" i="1"/>
  <c r="AI171" i="1" s="1"/>
  <c r="AA226" i="1"/>
  <c r="T226" i="1"/>
  <c r="AA158" i="1"/>
  <c r="W158" i="1" s="1"/>
  <c r="AG157" i="1"/>
  <c r="X157" i="1"/>
  <c r="T223" i="1"/>
  <c r="T212" i="1"/>
  <c r="U212" i="1" s="1"/>
  <c r="S212" i="1" s="1"/>
  <c r="U211" i="1"/>
  <c r="AI161" i="1"/>
  <c r="AA205" i="1"/>
  <c r="W205" i="1" s="1"/>
  <c r="AG204" i="1"/>
  <c r="AI204" i="1" s="1"/>
  <c r="X204" i="1"/>
  <c r="T154" i="1"/>
  <c r="X138" i="1"/>
  <c r="AG137" i="1"/>
  <c r="U137" i="1" s="1"/>
  <c r="S137" i="1" s="1"/>
  <c r="X137" i="1"/>
  <c r="U124" i="1"/>
  <c r="S124" i="1" s="1"/>
  <c r="AI124" i="1"/>
  <c r="W120" i="1"/>
  <c r="T111" i="1"/>
  <c r="X111" i="1"/>
  <c r="AG111" i="1"/>
  <c r="T92" i="1"/>
  <c r="AG92" i="1"/>
  <c r="W92" i="1" s="1"/>
  <c r="X93" i="1"/>
  <c r="X77" i="1"/>
  <c r="AG77" i="1"/>
  <c r="T53" i="1"/>
  <c r="AG53" i="1"/>
  <c r="AA25" i="1"/>
  <c r="W25" i="1" s="1"/>
  <c r="X218" i="1"/>
  <c r="AA227" i="1"/>
  <c r="W227" i="1" s="1"/>
  <c r="AA203" i="1"/>
  <c r="W203" i="1" s="1"/>
  <c r="T201" i="1"/>
  <c r="U201" i="1" s="1"/>
  <c r="S201" i="1" s="1"/>
  <c r="X193" i="1"/>
  <c r="AA188" i="1"/>
  <c r="W188" i="1" s="1"/>
  <c r="T186" i="1"/>
  <c r="U186" i="1" s="1"/>
  <c r="S186" i="1" s="1"/>
  <c r="X178" i="1"/>
  <c r="AG177" i="1"/>
  <c r="AI177" i="1" s="1"/>
  <c r="X170" i="1"/>
  <c r="AG169" i="1"/>
  <c r="AI186" i="1" s="1"/>
  <c r="AA214" i="1"/>
  <c r="X213" i="1"/>
  <c r="W152" i="1"/>
  <c r="AA150" i="1"/>
  <c r="W150" i="1" s="1"/>
  <c r="AG148" i="1"/>
  <c r="U148" i="1" s="1"/>
  <c r="S148" i="1" s="1"/>
  <c r="T142" i="1"/>
  <c r="X129" i="1"/>
  <c r="T112" i="1"/>
  <c r="U112" i="1" s="1"/>
  <c r="S112" i="1" s="1"/>
  <c r="T96" i="1"/>
  <c r="AG96" i="1"/>
  <c r="AI96" i="1" s="1"/>
  <c r="X97" i="1"/>
  <c r="AG76" i="1"/>
  <c r="T76" i="1"/>
  <c r="X76" i="1"/>
  <c r="AG24" i="1"/>
  <c r="T24" i="1"/>
  <c r="X24" i="1"/>
  <c r="T218" i="1"/>
  <c r="X228" i="1"/>
  <c r="AA200" i="1"/>
  <c r="W200" i="1" s="1"/>
  <c r="AA199" i="1"/>
  <c r="T197" i="1"/>
  <c r="AA185" i="1"/>
  <c r="W185" i="1" s="1"/>
  <c r="AA184" i="1"/>
  <c r="T182" i="1"/>
  <c r="AA174" i="1"/>
  <c r="W174" i="1" s="1"/>
  <c r="T174" i="1"/>
  <c r="X226" i="1"/>
  <c r="AG164" i="1"/>
  <c r="AA159" i="1"/>
  <c r="X223" i="1"/>
  <c r="X221" i="1"/>
  <c r="AA206" i="1"/>
  <c r="AA141" i="1"/>
  <c r="W141" i="1" s="1"/>
  <c r="AA140" i="1"/>
  <c r="T138" i="1"/>
  <c r="U138" i="1" s="1"/>
  <c r="S138" i="1" s="1"/>
  <c r="T133" i="1"/>
  <c r="AA128" i="1"/>
  <c r="AA124" i="1"/>
  <c r="W124" i="1" s="1"/>
  <c r="AG113" i="1"/>
  <c r="AI113" i="1" s="1"/>
  <c r="X113" i="1"/>
  <c r="AG101" i="1"/>
  <c r="W101" i="1" s="1"/>
  <c r="X101" i="1"/>
  <c r="AA93" i="1"/>
  <c r="AG89" i="1"/>
  <c r="AI89" i="1" s="1"/>
  <c r="X89" i="1"/>
  <c r="T77" i="1"/>
  <c r="T75" i="1"/>
  <c r="AG75" i="1"/>
  <c r="AI75" i="1" s="1"/>
  <c r="AA73" i="1"/>
  <c r="W73" i="1" s="1"/>
  <c r="AI25" i="1"/>
  <c r="T23" i="1"/>
  <c r="AG23" i="1"/>
  <c r="W196" i="1"/>
  <c r="T193" i="1"/>
  <c r="U193" i="1" s="1"/>
  <c r="S193" i="1" s="1"/>
  <c r="W181" i="1"/>
  <c r="T178" i="1"/>
  <c r="T170" i="1"/>
  <c r="U170" i="1" s="1"/>
  <c r="S170" i="1" s="1"/>
  <c r="T162" i="1"/>
  <c r="W212" i="1"/>
  <c r="AA210" i="1"/>
  <c r="W210" i="1" s="1"/>
  <c r="T209" i="1"/>
  <c r="U209" i="1" s="1"/>
  <c r="S209" i="1" s="1"/>
  <c r="X208" i="1"/>
  <c r="AA149" i="1"/>
  <c r="W149" i="1" s="1"/>
  <c r="AA148" i="1"/>
  <c r="AA147" i="1"/>
  <c r="W147" i="1" s="1"/>
  <c r="T146" i="1"/>
  <c r="U146" i="1" s="1"/>
  <c r="S146" i="1" s="1"/>
  <c r="X145" i="1"/>
  <c r="X142" i="1"/>
  <c r="W136" i="1"/>
  <c r="W132" i="1"/>
  <c r="W126" i="1"/>
  <c r="U116" i="1"/>
  <c r="S116" i="1" s="1"/>
  <c r="X112" i="1"/>
  <c r="AA111" i="1"/>
  <c r="AI108" i="1"/>
  <c r="AA97" i="1"/>
  <c r="W97" i="1" s="1"/>
  <c r="W78" i="1"/>
  <c r="AI69" i="1"/>
  <c r="T65" i="1"/>
  <c r="AG65" i="1"/>
  <c r="AI65" i="1" s="1"/>
  <c r="T63" i="1"/>
  <c r="AG63" i="1"/>
  <c r="AI63" i="1" s="1"/>
  <c r="T55" i="1"/>
  <c r="AG55" i="1"/>
  <c r="W55" i="1" s="1"/>
  <c r="AG54" i="1"/>
  <c r="T54" i="1"/>
  <c r="X54" i="1"/>
  <c r="AG45" i="1"/>
  <c r="AI45" i="1" s="1"/>
  <c r="X45" i="1"/>
  <c r="AA88" i="1"/>
  <c r="T85" i="1"/>
  <c r="T81" i="1"/>
  <c r="AA71" i="1"/>
  <c r="AA69" i="1"/>
  <c r="W69" i="1" s="1"/>
  <c r="AA44" i="1"/>
  <c r="AA37" i="1"/>
  <c r="AA31" i="1"/>
  <c r="W31" i="1" s="1"/>
  <c r="AA14" i="1"/>
  <c r="X127" i="1"/>
  <c r="T117" i="1"/>
  <c r="AA104" i="1"/>
  <c r="W104" i="1" s="1"/>
  <c r="AA100" i="1"/>
  <c r="W100" i="1" s="1"/>
  <c r="AG88" i="1"/>
  <c r="AA84" i="1"/>
  <c r="W84" i="1" s="1"/>
  <c r="AG81" i="1"/>
  <c r="AI81" i="1" s="1"/>
  <c r="AA79" i="1"/>
  <c r="W79" i="1" s="1"/>
  <c r="AG71" i="1"/>
  <c r="X70" i="1"/>
  <c r="AA68" i="1"/>
  <c r="AG61" i="1"/>
  <c r="AA59" i="1"/>
  <c r="W59" i="1" s="1"/>
  <c r="AA58" i="1"/>
  <c r="AG44" i="1"/>
  <c r="U44" i="1" s="1"/>
  <c r="S44" i="1" s="1"/>
  <c r="AG37" i="1"/>
  <c r="T36" i="1"/>
  <c r="X32" i="1"/>
  <c r="AA30" i="1"/>
  <c r="AA28" i="1"/>
  <c r="T28" i="1"/>
  <c r="AG21" i="1"/>
  <c r="W21" i="1" s="1"/>
  <c r="AA19" i="1"/>
  <c r="W19" i="1" s="1"/>
  <c r="AA16" i="1"/>
  <c r="T16" i="1"/>
  <c r="AA105" i="1"/>
  <c r="AA103" i="1"/>
  <c r="AA99" i="1"/>
  <c r="T97" i="1"/>
  <c r="U97" i="1" s="1"/>
  <c r="S97" i="1" s="1"/>
  <c r="T93" i="1"/>
  <c r="X85" i="1"/>
  <c r="AA83" i="1"/>
  <c r="AA80" i="1"/>
  <c r="AA76" i="1"/>
  <c r="W76" i="1" s="1"/>
  <c r="AA74" i="1"/>
  <c r="T66" i="1"/>
  <c r="T62" i="1"/>
  <c r="U62" i="1" s="1"/>
  <c r="S62" i="1" s="1"/>
  <c r="AI59" i="1"/>
  <c r="AA54" i="1"/>
  <c r="AA50" i="1"/>
  <c r="U40" i="1"/>
  <c r="S40" i="1" s="1"/>
  <c r="U33" i="1"/>
  <c r="W27" i="1"/>
  <c r="AA26" i="1"/>
  <c r="AA24" i="1"/>
  <c r="X20" i="1"/>
  <c r="U197" i="1"/>
  <c r="S197" i="1" s="1"/>
  <c r="U182" i="1"/>
  <c r="S182" i="1" s="1"/>
  <c r="AI150" i="1"/>
  <c r="AI218" i="1"/>
  <c r="U226" i="1"/>
  <c r="S226" i="1" s="1"/>
  <c r="AI210" i="1"/>
  <c r="U178" i="1"/>
  <c r="S178" i="1"/>
  <c r="U174" i="1"/>
  <c r="S174" i="1" s="1"/>
  <c r="U225" i="1"/>
  <c r="S225" i="1" s="1"/>
  <c r="U156" i="1"/>
  <c r="U218" i="1"/>
  <c r="S218" i="1" s="1"/>
  <c r="AI226" i="1"/>
  <c r="AI222" i="1"/>
  <c r="W201" i="1"/>
  <c r="U189" i="1"/>
  <c r="S189" i="1" s="1"/>
  <c r="W186" i="1"/>
  <c r="W226" i="1"/>
  <c r="U185" i="1"/>
  <c r="S185" i="1" s="1"/>
  <c r="U166" i="1"/>
  <c r="S166" i="1" s="1"/>
  <c r="T214" i="1"/>
  <c r="X214" i="1"/>
  <c r="T95" i="1"/>
  <c r="X95" i="1"/>
  <c r="AG95" i="1"/>
  <c r="X96" i="1"/>
  <c r="AG220" i="1"/>
  <c r="W220" i="1" s="1"/>
  <c r="X217" i="1"/>
  <c r="X185" i="1"/>
  <c r="AG184" i="1"/>
  <c r="X181" i="1"/>
  <c r="AG180" i="1"/>
  <c r="X177" i="1"/>
  <c r="AG176" i="1"/>
  <c r="W176" i="1" s="1"/>
  <c r="X173" i="1"/>
  <c r="AG172" i="1"/>
  <c r="AI172" i="1" s="1"/>
  <c r="X169" i="1"/>
  <c r="AG168" i="1"/>
  <c r="W168" i="1" s="1"/>
  <c r="X166" i="1"/>
  <c r="AG165" i="1"/>
  <c r="AI165" i="1" s="1"/>
  <c r="U162" i="1"/>
  <c r="S162" i="1" s="1"/>
  <c r="AG160" i="1"/>
  <c r="X160" i="1"/>
  <c r="T158" i="1"/>
  <c r="U158" i="1" s="1"/>
  <c r="S158" i="1" s="1"/>
  <c r="U157" i="1"/>
  <c r="S157" i="1" s="1"/>
  <c r="T224" i="1"/>
  <c r="U224" i="1" s="1"/>
  <c r="S224" i="1" s="1"/>
  <c r="X224" i="1"/>
  <c r="X222" i="1"/>
  <c r="AA221" i="1"/>
  <c r="AG214" i="1"/>
  <c r="AI214" i="1" s="1"/>
  <c r="AG207" i="1"/>
  <c r="X207" i="1"/>
  <c r="T205" i="1"/>
  <c r="U205" i="1" s="1"/>
  <c r="S205" i="1" s="1"/>
  <c r="T155" i="1"/>
  <c r="U155" i="1" s="1"/>
  <c r="S155" i="1" s="1"/>
  <c r="X155" i="1"/>
  <c r="X152" i="1"/>
  <c r="AA151" i="1"/>
  <c r="AG144" i="1"/>
  <c r="X144" i="1"/>
  <c r="AI141" i="1"/>
  <c r="AI135" i="1"/>
  <c r="U132" i="1"/>
  <c r="S132" i="1" s="1"/>
  <c r="T130" i="1"/>
  <c r="X130" i="1"/>
  <c r="AG130" i="1"/>
  <c r="AI126" i="1"/>
  <c r="W116" i="1"/>
  <c r="W110" i="1"/>
  <c r="X108" i="1"/>
  <c r="X107" i="1"/>
  <c r="AG107" i="1"/>
  <c r="U89" i="1"/>
  <c r="S89" i="1" s="1"/>
  <c r="T83" i="1"/>
  <c r="X83" i="1"/>
  <c r="AG83" i="1"/>
  <c r="W83" i="1" s="1"/>
  <c r="X84" i="1"/>
  <c r="U217" i="1"/>
  <c r="S217" i="1" s="1"/>
  <c r="U196" i="1"/>
  <c r="S196" i="1" s="1"/>
  <c r="U169" i="1"/>
  <c r="S169" i="1" s="1"/>
  <c r="U152" i="1"/>
  <c r="S152" i="1" s="1"/>
  <c r="T144" i="1"/>
  <c r="AI138" i="1"/>
  <c r="X124" i="1"/>
  <c r="X123" i="1"/>
  <c r="AG123" i="1"/>
  <c r="AI119" i="1"/>
  <c r="U119" i="1"/>
  <c r="S119" i="1" s="1"/>
  <c r="T114" i="1"/>
  <c r="X114" i="1"/>
  <c r="AG114" i="1"/>
  <c r="AG199" i="1"/>
  <c r="X192" i="1"/>
  <c r="AG191" i="1"/>
  <c r="AI225" i="1"/>
  <c r="X203" i="1"/>
  <c r="T203" i="1"/>
  <c r="U203" i="1" s="1"/>
  <c r="S203" i="1" s="1"/>
  <c r="AG202" i="1"/>
  <c r="AI202" i="1" s="1"/>
  <c r="AI209" i="1"/>
  <c r="AG187" i="1"/>
  <c r="W187" i="1" s="1"/>
  <c r="AI189" i="1"/>
  <c r="X168" i="1"/>
  <c r="X165" i="1"/>
  <c r="T159" i="1"/>
  <c r="X159" i="1"/>
  <c r="X158" i="1"/>
  <c r="W225" i="1"/>
  <c r="AI169" i="1"/>
  <c r="S222" i="1"/>
  <c r="T221" i="1"/>
  <c r="S211" i="1"/>
  <c r="AI164" i="1"/>
  <c r="T206" i="1"/>
  <c r="X206" i="1"/>
  <c r="X205" i="1"/>
  <c r="W156" i="1"/>
  <c r="AI152" i="1"/>
  <c r="T151" i="1"/>
  <c r="AI147" i="1"/>
  <c r="T143" i="1"/>
  <c r="X143" i="1"/>
  <c r="U141" i="1"/>
  <c r="S141" i="1" s="1"/>
  <c r="T140" i="1"/>
  <c r="X140" i="1"/>
  <c r="AG140" i="1"/>
  <c r="W140" i="1" s="1"/>
  <c r="X141" i="1"/>
  <c r="T123" i="1"/>
  <c r="AG121" i="1"/>
  <c r="W121" i="1" s="1"/>
  <c r="X121" i="1"/>
  <c r="T121" i="1"/>
  <c r="AI116" i="1"/>
  <c r="AI110" i="1"/>
  <c r="T98" i="1"/>
  <c r="X98" i="1"/>
  <c r="AG98" i="1"/>
  <c r="AG58" i="1"/>
  <c r="T58" i="1"/>
  <c r="X58" i="1"/>
  <c r="U200" i="1"/>
  <c r="S200" i="1" s="1"/>
  <c r="U188" i="1"/>
  <c r="S188" i="1" s="1"/>
  <c r="U181" i="1"/>
  <c r="S181" i="1" s="1"/>
  <c r="T160" i="1"/>
  <c r="T207" i="1"/>
  <c r="S156" i="1"/>
  <c r="T150" i="1"/>
  <c r="U150" i="1" s="1"/>
  <c r="S150" i="1" s="1"/>
  <c r="AG216" i="1"/>
  <c r="X227" i="1"/>
  <c r="X200" i="1"/>
  <c r="X196" i="1"/>
  <c r="AG195" i="1"/>
  <c r="W195" i="1" s="1"/>
  <c r="X220" i="1"/>
  <c r="AG219" i="1"/>
  <c r="W219" i="1" s="1"/>
  <c r="X216" i="1"/>
  <c r="AG215" i="1"/>
  <c r="W215" i="1" s="1"/>
  <c r="AI217" i="1"/>
  <c r="X199" i="1"/>
  <c r="AG198" i="1"/>
  <c r="W198" i="1" s="1"/>
  <c r="AI213" i="1"/>
  <c r="X195" i="1"/>
  <c r="AG194" i="1"/>
  <c r="AI194" i="1" s="1"/>
  <c r="X191" i="1"/>
  <c r="AG190" i="1"/>
  <c r="W190" i="1" s="1"/>
  <c r="AI201" i="1"/>
  <c r="X184" i="1"/>
  <c r="AG183" i="1"/>
  <c r="AI183" i="1" s="1"/>
  <c r="AI197" i="1"/>
  <c r="X180" i="1"/>
  <c r="AG179" i="1"/>
  <c r="AI193" i="1"/>
  <c r="X176" i="1"/>
  <c r="AG175" i="1"/>
  <c r="X172" i="1"/>
  <c r="S42" i="3"/>
  <c r="X219" i="1"/>
  <c r="X215" i="1"/>
  <c r="X202" i="1"/>
  <c r="X198" i="1"/>
  <c r="X194" i="1"/>
  <c r="X183" i="1"/>
  <c r="X179" i="1"/>
  <c r="X175" i="1"/>
  <c r="X171" i="1"/>
  <c r="X167" i="1"/>
  <c r="X164" i="1"/>
  <c r="AG163" i="1"/>
  <c r="AI163" i="1" s="1"/>
  <c r="X162" i="1"/>
  <c r="AA160" i="1"/>
  <c r="W160" i="1" s="1"/>
  <c r="AG159" i="1"/>
  <c r="U223" i="1"/>
  <c r="S223" i="1" s="1"/>
  <c r="AG221" i="1"/>
  <c r="AI221" i="1" s="1"/>
  <c r="T213" i="1"/>
  <c r="U213" i="1" s="1"/>
  <c r="S213" i="1" s="1"/>
  <c r="T210" i="1"/>
  <c r="U210" i="1" s="1"/>
  <c r="S210" i="1" s="1"/>
  <c r="X210" i="1"/>
  <c r="X209" i="1"/>
  <c r="AA207" i="1"/>
  <c r="AG206" i="1"/>
  <c r="AI206" i="1" s="1"/>
  <c r="AI157" i="1"/>
  <c r="U154" i="1"/>
  <c r="S154" i="1" s="1"/>
  <c r="AG151" i="1"/>
  <c r="T149" i="1"/>
  <c r="U149" i="1" s="1"/>
  <c r="S149" i="1" s="1"/>
  <c r="T147" i="1"/>
  <c r="U147" i="1" s="1"/>
  <c r="S147" i="1" s="1"/>
  <c r="X147" i="1"/>
  <c r="X146" i="1"/>
  <c r="AA144" i="1"/>
  <c r="AG143" i="1"/>
  <c r="U142" i="1"/>
  <c r="S142" i="1" s="1"/>
  <c r="W138" i="1"/>
  <c r="AI132" i="1"/>
  <c r="U128" i="1"/>
  <c r="S128" i="1" s="1"/>
  <c r="W114" i="1"/>
  <c r="T107" i="1"/>
  <c r="AG105" i="1"/>
  <c r="X105" i="1"/>
  <c r="T105" i="1"/>
  <c r="AG74" i="1"/>
  <c r="T74" i="1"/>
  <c r="X74" i="1"/>
  <c r="U136" i="1"/>
  <c r="S136" i="1" s="1"/>
  <c r="T134" i="1"/>
  <c r="X134" i="1"/>
  <c r="T127" i="1"/>
  <c r="U120" i="1"/>
  <c r="S120" i="1" s="1"/>
  <c r="T118" i="1"/>
  <c r="X118" i="1"/>
  <c r="U104" i="1"/>
  <c r="S104" i="1" s="1"/>
  <c r="T102" i="1"/>
  <c r="X102" i="1"/>
  <c r="AG102" i="1"/>
  <c r="T99" i="1"/>
  <c r="X99" i="1"/>
  <c r="AI92" i="1"/>
  <c r="U85" i="1"/>
  <c r="S85" i="1" s="1"/>
  <c r="AI85" i="1"/>
  <c r="W65" i="1"/>
  <c r="AI37" i="1"/>
  <c r="AG139" i="1"/>
  <c r="AG134" i="1"/>
  <c r="W134" i="1" s="1"/>
  <c r="T131" i="1"/>
  <c r="AG127" i="1"/>
  <c r="T125" i="1"/>
  <c r="U125" i="1" s="1"/>
  <c r="S125" i="1" s="1"/>
  <c r="T122" i="1"/>
  <c r="X122" i="1"/>
  <c r="W119" i="1"/>
  <c r="AG118" i="1"/>
  <c r="W118" i="1" s="1"/>
  <c r="T115" i="1"/>
  <c r="T109" i="1"/>
  <c r="U109" i="1" s="1"/>
  <c r="S109" i="1" s="1"/>
  <c r="T106" i="1"/>
  <c r="X106" i="1"/>
  <c r="T103" i="1"/>
  <c r="X103" i="1"/>
  <c r="AI100" i="1"/>
  <c r="X100" i="1"/>
  <c r="AG99" i="1"/>
  <c r="W99" i="1" s="1"/>
  <c r="W93" i="1"/>
  <c r="U92" i="1"/>
  <c r="S92" i="1" s="1"/>
  <c r="T91" i="1"/>
  <c r="X91" i="1"/>
  <c r="AG91" i="1"/>
  <c r="X92" i="1"/>
  <c r="AI88" i="1"/>
  <c r="U71" i="1"/>
  <c r="S71" i="1" s="1"/>
  <c r="AI71" i="1"/>
  <c r="U65" i="1"/>
  <c r="S65" i="1" s="1"/>
  <c r="AG64" i="1"/>
  <c r="X65" i="1"/>
  <c r="T64" i="1"/>
  <c r="X64" i="1"/>
  <c r="U55" i="1"/>
  <c r="S55" i="1" s="1"/>
  <c r="AI55" i="1"/>
  <c r="X51" i="1"/>
  <c r="AG51" i="1"/>
  <c r="T51" i="1"/>
  <c r="W44" i="1"/>
  <c r="X139" i="1"/>
  <c r="AI136" i="1"/>
  <c r="U133" i="1"/>
  <c r="S133" i="1" s="1"/>
  <c r="AG131" i="1"/>
  <c r="W131" i="1" s="1"/>
  <c r="T129" i="1"/>
  <c r="U129" i="1" s="1"/>
  <c r="S129" i="1" s="1"/>
  <c r="T126" i="1"/>
  <c r="U126" i="1" s="1"/>
  <c r="S126" i="1" s="1"/>
  <c r="X126" i="1"/>
  <c r="X125" i="1"/>
  <c r="AA123" i="1"/>
  <c r="AG122" i="1"/>
  <c r="AI120" i="1"/>
  <c r="U117" i="1"/>
  <c r="S117" i="1" s="1"/>
  <c r="AG115" i="1"/>
  <c r="T113" i="1"/>
  <c r="U113" i="1" s="1"/>
  <c r="S113" i="1" s="1"/>
  <c r="T110" i="1"/>
  <c r="U110" i="1" s="1"/>
  <c r="S110" i="1" s="1"/>
  <c r="X110" i="1"/>
  <c r="X109" i="1"/>
  <c r="AA107" i="1"/>
  <c r="AG106" i="1"/>
  <c r="AI104" i="1"/>
  <c r="AG103" i="1"/>
  <c r="AA95" i="1"/>
  <c r="U93" i="1"/>
  <c r="S93" i="1" s="1"/>
  <c r="AI93" i="1"/>
  <c r="U88" i="1"/>
  <c r="S88" i="1" s="1"/>
  <c r="T87" i="1"/>
  <c r="X87" i="1"/>
  <c r="AG87" i="1"/>
  <c r="X88" i="1"/>
  <c r="AI84" i="1"/>
  <c r="AI79" i="1"/>
  <c r="AI44" i="1"/>
  <c r="AG43" i="1"/>
  <c r="X44" i="1"/>
  <c r="T43" i="1"/>
  <c r="T80" i="1"/>
  <c r="AG68" i="1"/>
  <c r="X69" i="1"/>
  <c r="AI62" i="1"/>
  <c r="S59" i="1"/>
  <c r="AG52" i="1"/>
  <c r="X53" i="1"/>
  <c r="T50" i="1"/>
  <c r="X50" i="1"/>
  <c r="AG50" i="1"/>
  <c r="AG49" i="1"/>
  <c r="T49" i="1"/>
  <c r="T42" i="1"/>
  <c r="AG42" i="1"/>
  <c r="AG41" i="1"/>
  <c r="T41" i="1"/>
  <c r="U39" i="1"/>
  <c r="S39" i="1" s="1"/>
  <c r="X35" i="1"/>
  <c r="X34" i="1"/>
  <c r="AG34" i="1"/>
  <c r="S33" i="1"/>
  <c r="T30" i="1"/>
  <c r="X30" i="1"/>
  <c r="AG30" i="1"/>
  <c r="W30" i="1" s="1"/>
  <c r="X31" i="1"/>
  <c r="U28" i="1"/>
  <c r="S28" i="1" s="1"/>
  <c r="AI28" i="1"/>
  <c r="T22" i="1"/>
  <c r="X22" i="1"/>
  <c r="AG22" i="1"/>
  <c r="X23" i="1"/>
  <c r="U20" i="1"/>
  <c r="S20" i="1" s="1"/>
  <c r="AI20" i="1"/>
  <c r="W15" i="1"/>
  <c r="AG94" i="1"/>
  <c r="AG90" i="1"/>
  <c r="AG86" i="1"/>
  <c r="W86" i="1" s="1"/>
  <c r="AG82" i="1"/>
  <c r="AG80" i="1"/>
  <c r="W80" i="1" s="1"/>
  <c r="T78" i="1"/>
  <c r="U78" i="1" s="1"/>
  <c r="S78" i="1" s="1"/>
  <c r="AG72" i="1"/>
  <c r="W72" i="1" s="1"/>
  <c r="X73" i="1"/>
  <c r="X68" i="1"/>
  <c r="U66" i="1"/>
  <c r="S66" i="1" s="1"/>
  <c r="AI66" i="1"/>
  <c r="X62" i="1"/>
  <c r="AG56" i="1"/>
  <c r="X57" i="1"/>
  <c r="X52" i="1"/>
  <c r="X49" i="1"/>
  <c r="T14" i="1"/>
  <c r="AG14" i="1"/>
  <c r="W14" i="1" s="1"/>
  <c r="X94" i="1"/>
  <c r="X90" i="1"/>
  <c r="X86" i="1"/>
  <c r="X82" i="1"/>
  <c r="T79" i="1"/>
  <c r="U79" i="1" s="1"/>
  <c r="S79" i="1" s="1"/>
  <c r="X79" i="1"/>
  <c r="X78" i="1"/>
  <c r="AI76" i="1"/>
  <c r="U76" i="1"/>
  <c r="S76" i="1" s="1"/>
  <c r="X72" i="1"/>
  <c r="U70" i="1"/>
  <c r="S70" i="1" s="1"/>
  <c r="AI70" i="1"/>
  <c r="X66" i="1"/>
  <c r="AG60" i="1"/>
  <c r="W60" i="1" s="1"/>
  <c r="X61" i="1"/>
  <c r="W58" i="1"/>
  <c r="X56" i="1"/>
  <c r="W47" i="1"/>
  <c r="AI39" i="1"/>
  <c r="T34" i="1"/>
  <c r="U32" i="1"/>
  <c r="S32" i="1" s="1"/>
  <c r="AI32" i="1"/>
  <c r="T26" i="1"/>
  <c r="X26" i="1"/>
  <c r="AG26" i="1"/>
  <c r="X27" i="1"/>
  <c r="AI24" i="1"/>
  <c r="U19" i="1"/>
  <c r="T18" i="1"/>
  <c r="X18" i="1"/>
  <c r="AG18" i="1"/>
  <c r="W18" i="1" s="1"/>
  <c r="X19" i="1"/>
  <c r="U16" i="1"/>
  <c r="S16" i="1" s="1"/>
  <c r="AI16" i="1"/>
  <c r="AI15" i="1"/>
  <c r="U15" i="1"/>
  <c r="S15" i="1" s="1"/>
  <c r="U48" i="1"/>
  <c r="S48" i="1" s="1"/>
  <c r="T46" i="1"/>
  <c r="U46" i="1" s="1"/>
  <c r="S46" i="1" s="1"/>
  <c r="X46" i="1"/>
  <c r="AA43" i="1"/>
  <c r="U36" i="1"/>
  <c r="S36" i="1" s="1"/>
  <c r="W32" i="1"/>
  <c r="W28" i="1"/>
  <c r="W16" i="1"/>
  <c r="X75" i="1"/>
  <c r="X71" i="1"/>
  <c r="X67" i="1"/>
  <c r="X63" i="1"/>
  <c r="X59" i="1"/>
  <c r="X55" i="1"/>
  <c r="AA51" i="1"/>
  <c r="AI48" i="1"/>
  <c r="U45" i="1"/>
  <c r="S45" i="1" s="1"/>
  <c r="T37" i="1"/>
  <c r="U37" i="1" s="1"/>
  <c r="S37" i="1" s="1"/>
  <c r="X37" i="1"/>
  <c r="X36" i="1"/>
  <c r="AA34" i="1"/>
  <c r="W34" i="1" s="1"/>
  <c r="AI31" i="1"/>
  <c r="AI27" i="1"/>
  <c r="AI23" i="1"/>
  <c r="S19" i="1"/>
  <c r="AI19" i="1"/>
  <c r="X15" i="1"/>
  <c r="X33" i="1"/>
  <c r="X29" i="1"/>
  <c r="X25" i="1"/>
  <c r="X21" i="1"/>
  <c r="X17" i="1"/>
  <c r="AC36" i="3"/>
  <c r="T24" i="3"/>
  <c r="AD33" i="3"/>
  <c r="Y41" i="3"/>
  <c r="T19" i="3"/>
  <c r="Y38" i="3"/>
  <c r="Y36" i="3"/>
  <c r="Y7" i="3"/>
  <c r="AD17" i="3"/>
  <c r="Y9" i="3"/>
  <c r="AD47" i="3"/>
  <c r="Y24" i="3"/>
  <c r="AD39" i="3"/>
  <c r="AD8" i="3"/>
  <c r="AD10" i="3"/>
  <c r="AD32" i="3"/>
  <c r="AD28" i="3"/>
  <c r="Y23" i="3"/>
  <c r="Y46" i="3"/>
  <c r="T32" i="3"/>
  <c r="Y22" i="3"/>
  <c r="Y48" i="3"/>
  <c r="AD30" i="3"/>
  <c r="Y42" i="3"/>
  <c r="AD20" i="3"/>
  <c r="Y19" i="3"/>
  <c r="Y15" i="3"/>
  <c r="AD18" i="3"/>
  <c r="Y10" i="3"/>
  <c r="AD7" i="3"/>
  <c r="AD24" i="3"/>
  <c r="AD26" i="3"/>
  <c r="AC17" i="3"/>
  <c r="T43" i="3"/>
  <c r="AC31" i="3"/>
  <c r="T20" i="3"/>
  <c r="T29" i="3"/>
  <c r="T18" i="3"/>
  <c r="T17" i="3"/>
  <c r="T47" i="3"/>
  <c r="T8" i="3"/>
  <c r="T13" i="3"/>
  <c r="T21" i="3"/>
  <c r="Y13" i="3"/>
  <c r="Y43" i="3"/>
  <c r="Y21" i="3"/>
  <c r="Y20" i="3"/>
  <c r="Y29" i="3"/>
  <c r="Y18" i="3"/>
  <c r="Y17" i="3"/>
  <c r="Y47" i="3"/>
  <c r="Y8" i="3"/>
  <c r="T30" i="3"/>
  <c r="Y30" i="3"/>
  <c r="Y34" i="3"/>
  <c r="Y33" i="3"/>
  <c r="Y45" i="3"/>
  <c r="Y31" i="3"/>
  <c r="Y11" i="3"/>
  <c r="Y37" i="3"/>
  <c r="Y28" i="3"/>
  <c r="Y44" i="3"/>
  <c r="Y14" i="3"/>
  <c r="Y27" i="3"/>
  <c r="M25" i="3"/>
  <c r="R25" i="3"/>
  <c r="S25" i="3"/>
  <c r="U25" i="3"/>
  <c r="V25" i="3"/>
  <c r="W25" i="3"/>
  <c r="X25" i="3"/>
  <c r="AI38" i="1" l="1"/>
  <c r="U38" i="1"/>
  <c r="S38" i="1" s="1"/>
  <c r="W38" i="1"/>
  <c r="W89" i="1"/>
  <c r="W167" i="1"/>
  <c r="W208" i="1"/>
  <c r="W29" i="1"/>
  <c r="U111" i="1"/>
  <c r="S111" i="1" s="1"/>
  <c r="W40" i="1"/>
  <c r="W74" i="1"/>
  <c r="W71" i="1"/>
  <c r="U54" i="1"/>
  <c r="S54" i="1" s="1"/>
  <c r="U63" i="1"/>
  <c r="S63" i="1" s="1"/>
  <c r="U24" i="1"/>
  <c r="S24" i="1" s="1"/>
  <c r="W53" i="1"/>
  <c r="W67" i="1"/>
  <c r="W135" i="1"/>
  <c r="W39" i="1"/>
  <c r="W24" i="1"/>
  <c r="W204" i="1"/>
  <c r="W77" i="1"/>
  <c r="W35" i="1"/>
  <c r="U204" i="1"/>
  <c r="S204" i="1" s="1"/>
  <c r="W192" i="1"/>
  <c r="W108" i="1"/>
  <c r="AI47" i="1"/>
  <c r="AI137" i="1"/>
  <c r="W137" i="1"/>
  <c r="U96" i="1"/>
  <c r="S96" i="1" s="1"/>
  <c r="W107" i="1"/>
  <c r="AI173" i="1"/>
  <c r="W111" i="1"/>
  <c r="W173" i="1"/>
  <c r="U35" i="1"/>
  <c r="S35" i="1" s="1"/>
  <c r="U75" i="1"/>
  <c r="S75" i="1" s="1"/>
  <c r="W164" i="1"/>
  <c r="W96" i="1"/>
  <c r="AI73" i="1"/>
  <c r="AI54" i="1"/>
  <c r="W144" i="1"/>
  <c r="W43" i="1"/>
  <c r="AI111" i="1"/>
  <c r="U81" i="1"/>
  <c r="S81" i="1" s="1"/>
  <c r="W207" i="1"/>
  <c r="W159" i="1"/>
  <c r="W175" i="1"/>
  <c r="W191" i="1"/>
  <c r="W130" i="1"/>
  <c r="U177" i="1"/>
  <c r="S177" i="1" s="1"/>
  <c r="U164" i="1"/>
  <c r="S164" i="1" s="1"/>
  <c r="W54" i="1"/>
  <c r="U67" i="1"/>
  <c r="S67" i="1" s="1"/>
  <c r="W157" i="1"/>
  <c r="U17" i="1"/>
  <c r="S17" i="1" s="1"/>
  <c r="AI17" i="1"/>
  <c r="AI148" i="1"/>
  <c r="U171" i="1"/>
  <c r="S171" i="1" s="1"/>
  <c r="W75" i="1"/>
  <c r="W128" i="1"/>
  <c r="U57" i="1"/>
  <c r="S57" i="1" s="1"/>
  <c r="W148" i="1"/>
  <c r="U23" i="1"/>
  <c r="S23" i="1" s="1"/>
  <c r="W57" i="1"/>
  <c r="W17" i="1"/>
  <c r="W180" i="1"/>
  <c r="AI180" i="1"/>
  <c r="AI190" i="1"/>
  <c r="AI220" i="1"/>
  <c r="AI198" i="1"/>
  <c r="W45" i="1"/>
  <c r="W169" i="1"/>
  <c r="W113" i="1"/>
  <c r="U61" i="1"/>
  <c r="S61" i="1" s="1"/>
  <c r="AI61" i="1"/>
  <c r="W88" i="1"/>
  <c r="W23" i="1"/>
  <c r="W63" i="1"/>
  <c r="W61" i="1"/>
  <c r="U77" i="1"/>
  <c r="S77" i="1" s="1"/>
  <c r="AI77" i="1"/>
  <c r="W177" i="1"/>
  <c r="W184" i="1"/>
  <c r="AI184" i="1"/>
  <c r="AI187" i="1"/>
  <c r="U21" i="1"/>
  <c r="S21" i="1" s="1"/>
  <c r="AI21" i="1"/>
  <c r="W37" i="1"/>
  <c r="W81" i="1"/>
  <c r="U101" i="1"/>
  <c r="S101" i="1" s="1"/>
  <c r="AI101" i="1"/>
  <c r="AI53" i="1"/>
  <c r="U53" i="1"/>
  <c r="S53" i="1" s="1"/>
  <c r="W171" i="1"/>
  <c r="U122" i="1"/>
  <c r="S122" i="1" s="1"/>
  <c r="AI122" i="1"/>
  <c r="W122" i="1"/>
  <c r="U102" i="1"/>
  <c r="S102" i="1" s="1"/>
  <c r="AI102" i="1"/>
  <c r="U41" i="1"/>
  <c r="S41" i="1" s="1"/>
  <c r="AI41" i="1"/>
  <c r="AI50" i="1"/>
  <c r="U50" i="1"/>
  <c r="S50" i="1" s="1"/>
  <c r="AI52" i="1"/>
  <c r="U52" i="1"/>
  <c r="S52" i="1" s="1"/>
  <c r="W52" i="1"/>
  <c r="AI87" i="1"/>
  <c r="U87" i="1"/>
  <c r="S87" i="1" s="1"/>
  <c r="W95" i="1"/>
  <c r="AI115" i="1"/>
  <c r="U115" i="1"/>
  <c r="S115" i="1" s="1"/>
  <c r="W123" i="1"/>
  <c r="W87" i="1"/>
  <c r="AI91" i="1"/>
  <c r="U91" i="1"/>
  <c r="S91" i="1" s="1"/>
  <c r="U139" i="1"/>
  <c r="S139" i="1" s="1"/>
  <c r="AI139" i="1"/>
  <c r="W139" i="1"/>
  <c r="W50" i="1"/>
  <c r="W91" i="1"/>
  <c r="AI151" i="1"/>
  <c r="U151" i="1"/>
  <c r="S151" i="1" s="1"/>
  <c r="U179" i="1"/>
  <c r="S179" i="1" s="1"/>
  <c r="AI195" i="1"/>
  <c r="U194" i="1"/>
  <c r="S194" i="1" s="1"/>
  <c r="AI211" i="1"/>
  <c r="U219" i="1"/>
  <c r="S219" i="1" s="1"/>
  <c r="AI227" i="1"/>
  <c r="W41" i="1"/>
  <c r="U98" i="1"/>
  <c r="S98" i="1" s="1"/>
  <c r="AI98" i="1"/>
  <c r="U202" i="1"/>
  <c r="S202" i="1" s="1"/>
  <c r="AI219" i="1"/>
  <c r="AI130" i="1"/>
  <c r="U130" i="1"/>
  <c r="S130" i="1" s="1"/>
  <c r="AI144" i="1"/>
  <c r="U144" i="1"/>
  <c r="S144" i="1" s="1"/>
  <c r="AI167" i="1"/>
  <c r="U214" i="1"/>
  <c r="S214" i="1" s="1"/>
  <c r="W194" i="1"/>
  <c r="W202" i="1"/>
  <c r="U49" i="1"/>
  <c r="S49" i="1" s="1"/>
  <c r="AI49" i="1"/>
  <c r="W49" i="1"/>
  <c r="AI103" i="1"/>
  <c r="U103" i="1"/>
  <c r="S103" i="1" s="1"/>
  <c r="U105" i="1"/>
  <c r="S105" i="1" s="1"/>
  <c r="AI105" i="1"/>
  <c r="W102" i="1"/>
  <c r="AI188" i="1"/>
  <c r="U172" i="1"/>
  <c r="S172" i="1" s="1"/>
  <c r="U86" i="1"/>
  <c r="S86" i="1" s="1"/>
  <c r="AI86" i="1"/>
  <c r="AI60" i="1"/>
  <c r="U60" i="1"/>
  <c r="S60" i="1" s="1"/>
  <c r="U90" i="1"/>
  <c r="S90" i="1" s="1"/>
  <c r="W90" i="1"/>
  <c r="AI90" i="1"/>
  <c r="AI51" i="1"/>
  <c r="U51" i="1"/>
  <c r="S51" i="1" s="1"/>
  <c r="AI64" i="1"/>
  <c r="U64" i="1"/>
  <c r="S64" i="1" s="1"/>
  <c r="AI99" i="1"/>
  <c r="U99" i="1"/>
  <c r="S99" i="1" s="1"/>
  <c r="U143" i="1"/>
  <c r="S143" i="1" s="1"/>
  <c r="AI143" i="1"/>
  <c r="U159" i="1"/>
  <c r="S159" i="1" s="1"/>
  <c r="AI175" i="1"/>
  <c r="U163" i="1"/>
  <c r="S163" i="1" s="1"/>
  <c r="AI179" i="1"/>
  <c r="U175" i="1"/>
  <c r="S175" i="1" s="1"/>
  <c r="AI191" i="1"/>
  <c r="AI140" i="1"/>
  <c r="U140" i="1"/>
  <c r="S140" i="1" s="1"/>
  <c r="AI208" i="1"/>
  <c r="U191" i="1"/>
  <c r="S191" i="1" s="1"/>
  <c r="AI114" i="1"/>
  <c r="U114" i="1"/>
  <c r="S114" i="1" s="1"/>
  <c r="W98" i="1"/>
  <c r="W221" i="1"/>
  <c r="AI176" i="1"/>
  <c r="U160" i="1"/>
  <c r="S160" i="1" s="1"/>
  <c r="AI185" i="1"/>
  <c r="U168" i="1"/>
  <c r="S168" i="1" s="1"/>
  <c r="AI192" i="1"/>
  <c r="U176" i="1"/>
  <c r="S176" i="1" s="1"/>
  <c r="AI200" i="1"/>
  <c r="U184" i="1"/>
  <c r="S184" i="1" s="1"/>
  <c r="AI228" i="1"/>
  <c r="U220" i="1"/>
  <c r="S220" i="1" s="1"/>
  <c r="W179" i="1"/>
  <c r="W214" i="1"/>
  <c r="AI18" i="1"/>
  <c r="U18" i="1"/>
  <c r="S18" i="1" s="1"/>
  <c r="AI26" i="1"/>
  <c r="U26" i="1"/>
  <c r="S26" i="1" s="1"/>
  <c r="AI56" i="1"/>
  <c r="U56" i="1"/>
  <c r="S56" i="1" s="1"/>
  <c r="U82" i="1"/>
  <c r="S82" i="1" s="1"/>
  <c r="AI82" i="1"/>
  <c r="W82" i="1"/>
  <c r="AI30" i="1"/>
  <c r="U30" i="1"/>
  <c r="S30" i="1" s="1"/>
  <c r="AI34" i="1"/>
  <c r="U34" i="1"/>
  <c r="S34" i="1" s="1"/>
  <c r="AI68" i="1"/>
  <c r="U68" i="1"/>
  <c r="S68" i="1" s="1"/>
  <c r="AI127" i="1"/>
  <c r="U127" i="1"/>
  <c r="S127" i="1" s="1"/>
  <c r="U206" i="1"/>
  <c r="S206" i="1" s="1"/>
  <c r="AI159" i="1"/>
  <c r="U183" i="1"/>
  <c r="S183" i="1" s="1"/>
  <c r="AI199" i="1"/>
  <c r="U198" i="1"/>
  <c r="S198" i="1" s="1"/>
  <c r="AI215" i="1"/>
  <c r="U58" i="1"/>
  <c r="S58" i="1" s="1"/>
  <c r="AI58" i="1"/>
  <c r="W105" i="1"/>
  <c r="AI203" i="1"/>
  <c r="U187" i="1"/>
  <c r="S187" i="1" s="1"/>
  <c r="AI216" i="1"/>
  <c r="U199" i="1"/>
  <c r="S199" i="1" s="1"/>
  <c r="AI123" i="1"/>
  <c r="U123" i="1"/>
  <c r="S123" i="1" s="1"/>
  <c r="AI83" i="1"/>
  <c r="U83" i="1"/>
  <c r="S83" i="1" s="1"/>
  <c r="AI181" i="1"/>
  <c r="U165" i="1"/>
  <c r="S165" i="1" s="1"/>
  <c r="AI196" i="1"/>
  <c r="U180" i="1"/>
  <c r="S180" i="1" s="1"/>
  <c r="AI95" i="1"/>
  <c r="U95" i="1"/>
  <c r="S95" i="1" s="1"/>
  <c r="W165" i="1"/>
  <c r="W206" i="1"/>
  <c r="AI14" i="1"/>
  <c r="U14" i="1"/>
  <c r="S14" i="1" s="1"/>
  <c r="AI72" i="1"/>
  <c r="U72" i="1"/>
  <c r="S72" i="1" s="1"/>
  <c r="AI22" i="1"/>
  <c r="U22" i="1"/>
  <c r="S22" i="1" s="1"/>
  <c r="W26" i="1"/>
  <c r="AI42" i="1"/>
  <c r="U42" i="1"/>
  <c r="S42" i="1" s="1"/>
  <c r="W56" i="1"/>
  <c r="W68" i="1"/>
  <c r="U106" i="1"/>
  <c r="S106" i="1" s="1"/>
  <c r="AI106" i="1"/>
  <c r="W106" i="1"/>
  <c r="W22" i="1"/>
  <c r="W51" i="1"/>
  <c r="W64" i="1"/>
  <c r="AI80" i="1"/>
  <c r="U80" i="1"/>
  <c r="S80" i="1" s="1"/>
  <c r="U94" i="1"/>
  <c r="S94" i="1" s="1"/>
  <c r="AI94" i="1"/>
  <c r="W94" i="1"/>
  <c r="AI43" i="1"/>
  <c r="U43" i="1"/>
  <c r="S43" i="1" s="1"/>
  <c r="AI131" i="1"/>
  <c r="U131" i="1"/>
  <c r="S131" i="1" s="1"/>
  <c r="W42" i="1"/>
  <c r="U118" i="1"/>
  <c r="S118" i="1" s="1"/>
  <c r="AI118" i="1"/>
  <c r="U134" i="1"/>
  <c r="S134" i="1" s="1"/>
  <c r="AI134" i="1"/>
  <c r="W103" i="1"/>
  <c r="W115" i="1"/>
  <c r="U74" i="1"/>
  <c r="S74" i="1" s="1"/>
  <c r="AI74" i="1"/>
  <c r="AI168" i="1"/>
  <c r="U221" i="1"/>
  <c r="S221" i="1" s="1"/>
  <c r="U190" i="1"/>
  <c r="S190" i="1" s="1"/>
  <c r="AI207" i="1"/>
  <c r="U215" i="1"/>
  <c r="S215" i="1" s="1"/>
  <c r="AI223" i="1"/>
  <c r="AI212" i="1"/>
  <c r="U195" i="1"/>
  <c r="S195" i="1" s="1"/>
  <c r="AI224" i="1"/>
  <c r="U216" i="1"/>
  <c r="S216" i="1" s="1"/>
  <c r="U121" i="1"/>
  <c r="S121" i="1" s="1"/>
  <c r="AI121" i="1"/>
  <c r="W127" i="1"/>
  <c r="AI107" i="1"/>
  <c r="U107" i="1"/>
  <c r="S107" i="1" s="1"/>
  <c r="W151" i="1"/>
  <c r="AI160" i="1"/>
  <c r="U207" i="1"/>
  <c r="S207" i="1" s="1"/>
  <c r="W216" i="1"/>
  <c r="W172" i="1"/>
  <c r="W183" i="1"/>
  <c r="W199" i="1"/>
  <c r="W163" i="1"/>
  <c r="W143" i="1"/>
  <c r="T25" i="3"/>
  <c r="AD15" i="3"/>
  <c r="AC25" i="3"/>
  <c r="Y25" i="3"/>
  <c r="B6" i="6"/>
  <c r="F6" i="6" s="1"/>
  <c r="K6" i="6"/>
  <c r="B7" i="6"/>
  <c r="F7" i="6" s="1"/>
  <c r="K7" i="6"/>
  <c r="B8" i="6"/>
  <c r="G8" i="6" s="1"/>
  <c r="K8" i="6"/>
  <c r="B9" i="6"/>
  <c r="F9" i="6" s="1"/>
  <c r="K9" i="6"/>
  <c r="B10" i="6"/>
  <c r="F10" i="6" s="1"/>
  <c r="K10" i="6"/>
  <c r="B11" i="6"/>
  <c r="F11" i="6" s="1"/>
  <c r="K11" i="6"/>
  <c r="B12" i="6"/>
  <c r="G12" i="6" s="1"/>
  <c r="K12" i="6"/>
  <c r="B13" i="6"/>
  <c r="K13" i="6"/>
  <c r="B14" i="6"/>
  <c r="F14" i="6" s="1"/>
  <c r="K14" i="6"/>
  <c r="B15" i="6"/>
  <c r="F15" i="6" s="1"/>
  <c r="K15" i="6"/>
  <c r="B16" i="6"/>
  <c r="G16" i="6" s="1"/>
  <c r="K16" i="6"/>
  <c r="B17" i="6"/>
  <c r="F17" i="6" s="1"/>
  <c r="K17" i="6"/>
  <c r="B18" i="6"/>
  <c r="F18" i="6" s="1"/>
  <c r="K18" i="6"/>
  <c r="I9" i="6" l="1"/>
  <c r="F12" i="6"/>
  <c r="G6" i="6"/>
  <c r="F13" i="6"/>
  <c r="I13" i="6"/>
  <c r="G10" i="6"/>
  <c r="AD25" i="3"/>
  <c r="F16" i="6"/>
  <c r="I17" i="6"/>
  <c r="G14" i="6"/>
  <c r="G18" i="6"/>
  <c r="F8" i="6"/>
  <c r="H17" i="6"/>
  <c r="H13" i="6"/>
  <c r="H9" i="6"/>
  <c r="I18" i="6"/>
  <c r="G17" i="6"/>
  <c r="J16" i="6"/>
  <c r="I14" i="6"/>
  <c r="G13" i="6"/>
  <c r="J12" i="6"/>
  <c r="I10" i="6"/>
  <c r="G9" i="6"/>
  <c r="J8" i="6"/>
  <c r="I6" i="6"/>
  <c r="H18" i="6"/>
  <c r="J17" i="6"/>
  <c r="I16" i="6"/>
  <c r="I15" i="6"/>
  <c r="H14" i="6"/>
  <c r="J13" i="6"/>
  <c r="I12" i="6"/>
  <c r="I11" i="6"/>
  <c r="H10" i="6"/>
  <c r="J9" i="6"/>
  <c r="I8" i="6"/>
  <c r="I7" i="6"/>
  <c r="H6" i="6"/>
  <c r="H15" i="6"/>
  <c r="H11" i="6"/>
  <c r="H7" i="6"/>
  <c r="J18" i="6"/>
  <c r="H16" i="6"/>
  <c r="G15" i="6"/>
  <c r="J14" i="6"/>
  <c r="H12" i="6"/>
  <c r="G11" i="6"/>
  <c r="J10" i="6"/>
  <c r="H8" i="6"/>
  <c r="G7" i="6"/>
  <c r="J6" i="6"/>
  <c r="J15" i="6"/>
  <c r="J11" i="6"/>
  <c r="J7" i="6"/>
  <c r="B86" i="9" l="1"/>
  <c r="B87" i="9"/>
  <c r="B88" i="9"/>
  <c r="B89" i="9"/>
  <c r="C90" i="9" s="1"/>
  <c r="B90" i="9"/>
  <c r="B91" i="9"/>
  <c r="C91" i="9"/>
  <c r="B92" i="9"/>
  <c r="B93" i="9"/>
  <c r="B94" i="9"/>
  <c r="B95" i="9"/>
  <c r="C96" i="9" s="1"/>
  <c r="B96" i="9"/>
  <c r="B97" i="9"/>
  <c r="C97" i="9"/>
  <c r="B98" i="9"/>
  <c r="C99" i="9" s="1"/>
  <c r="B99" i="9"/>
  <c r="B100" i="9"/>
  <c r="B101" i="9"/>
  <c r="B102" i="9"/>
  <c r="B103" i="9"/>
  <c r="B104" i="9"/>
  <c r="B105" i="9"/>
  <c r="C106" i="9" s="1"/>
  <c r="B106" i="9"/>
  <c r="B107" i="9"/>
  <c r="C107" i="9"/>
  <c r="B108" i="9"/>
  <c r="B109" i="9"/>
  <c r="B110" i="9"/>
  <c r="B111" i="9"/>
  <c r="C101" i="9" l="1"/>
  <c r="C104" i="9"/>
  <c r="C98" i="9"/>
  <c r="C88" i="9"/>
  <c r="C109" i="9"/>
  <c r="C105" i="9"/>
  <c r="C93" i="9"/>
  <c r="C89" i="9"/>
  <c r="C108" i="9"/>
  <c r="C100" i="9"/>
  <c r="C92" i="9"/>
  <c r="C111" i="9"/>
  <c r="C110" i="9"/>
  <c r="C103" i="9"/>
  <c r="C102" i="9"/>
  <c r="C95" i="9"/>
  <c r="C94" i="9"/>
  <c r="C87" i="9"/>
  <c r="B3" i="6" l="1"/>
  <c r="G3" i="6" s="1"/>
  <c r="K3" i="6"/>
  <c r="B4" i="6"/>
  <c r="H4" i="6" s="1"/>
  <c r="K4" i="6"/>
  <c r="B5" i="6"/>
  <c r="G5" i="6" s="1"/>
  <c r="K5" i="6"/>
  <c r="J4" i="6" l="1"/>
  <c r="I5" i="6"/>
  <c r="J5" i="6"/>
  <c r="F4" i="6"/>
  <c r="F5" i="6"/>
  <c r="I4" i="6"/>
  <c r="G4" i="6"/>
  <c r="J3" i="6"/>
  <c r="H5" i="6"/>
  <c r="I3" i="6"/>
  <c r="F3" i="6"/>
  <c r="B81" i="9"/>
  <c r="B82" i="9"/>
  <c r="B83" i="9"/>
  <c r="B84" i="9"/>
  <c r="B85" i="9"/>
  <c r="C86" i="9" s="1"/>
  <c r="C83" i="9" l="1"/>
  <c r="C85" i="9"/>
  <c r="C84" i="9"/>
  <c r="C82" i="9"/>
  <c r="B53" i="9" l="1"/>
  <c r="B54" i="9"/>
  <c r="B55" i="9"/>
  <c r="B56" i="9"/>
  <c r="C56" i="9" s="1"/>
  <c r="B57" i="9"/>
  <c r="B58" i="9"/>
  <c r="B59" i="9"/>
  <c r="B60" i="9"/>
  <c r="C60" i="9" s="1"/>
  <c r="B61" i="9"/>
  <c r="B62" i="9"/>
  <c r="C62" i="9" s="1"/>
  <c r="B63" i="9"/>
  <c r="B64" i="9"/>
  <c r="C64" i="9" s="1"/>
  <c r="B65" i="9"/>
  <c r="B66" i="9"/>
  <c r="C66" i="9" s="1"/>
  <c r="B67" i="9"/>
  <c r="B68" i="9"/>
  <c r="C68" i="9" s="1"/>
  <c r="B69" i="9"/>
  <c r="B70" i="9"/>
  <c r="C70" i="9" s="1"/>
  <c r="B71" i="9"/>
  <c r="B72" i="9"/>
  <c r="C72" i="9" s="1"/>
  <c r="B73" i="9"/>
  <c r="B74" i="9"/>
  <c r="C74" i="9" s="1"/>
  <c r="B75" i="9"/>
  <c r="B76" i="9"/>
  <c r="C76" i="9" s="1"/>
  <c r="B77" i="9"/>
  <c r="B78" i="9"/>
  <c r="C78" i="9" s="1"/>
  <c r="B79" i="9"/>
  <c r="B80" i="9"/>
  <c r="C58" i="9" l="1"/>
  <c r="C80" i="9"/>
  <c r="C81" i="9"/>
  <c r="C79" i="9"/>
  <c r="C75" i="9"/>
  <c r="C71" i="9"/>
  <c r="C67" i="9"/>
  <c r="C63" i="9"/>
  <c r="C59" i="9"/>
  <c r="C55" i="9"/>
  <c r="C54" i="9"/>
  <c r="C77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2" i="4"/>
  <c r="N21" i="3" l="1"/>
  <c r="N48" i="3"/>
  <c r="N40" i="3"/>
  <c r="N42" i="3"/>
  <c r="N41" i="3"/>
  <c r="N11" i="3"/>
  <c r="N18" i="3"/>
  <c r="N10" i="3"/>
  <c r="N8" i="3"/>
  <c r="N24" i="3"/>
  <c r="N27" i="3"/>
  <c r="N26" i="3"/>
  <c r="N33" i="3"/>
  <c r="N23" i="3"/>
  <c r="N43" i="3"/>
  <c r="N20" i="3"/>
  <c r="N19" i="3"/>
  <c r="N37" i="3"/>
  <c r="N38" i="3"/>
  <c r="N15" i="3"/>
  <c r="N29" i="3"/>
  <c r="N36" i="3"/>
  <c r="N35" i="3"/>
  <c r="N16" i="3"/>
  <c r="N44" i="3"/>
  <c r="N9" i="3"/>
  <c r="N13" i="3"/>
  <c r="N34" i="3"/>
  <c r="N46" i="3"/>
  <c r="N32" i="3"/>
  <c r="N22" i="3"/>
  <c r="N45" i="3"/>
  <c r="N12" i="3"/>
  <c r="N30" i="3"/>
  <c r="N31" i="3"/>
  <c r="N28" i="3"/>
  <c r="N25" i="3"/>
  <c r="N7" i="3"/>
  <c r="N17" i="3"/>
  <c r="N14" i="3"/>
  <c r="N47" i="3"/>
  <c r="N39" i="3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U13" i="1"/>
  <c r="S13" i="1" s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V5" i="1" l="1"/>
  <c r="V8" i="1" s="1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59" i="4" l="1"/>
  <c r="F260" i="4"/>
  <c r="F261" i="4"/>
  <c r="F262" i="4"/>
  <c r="F263" i="4"/>
  <c r="F264" i="4"/>
  <c r="F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<sst xmlns="http://schemas.openxmlformats.org/spreadsheetml/2006/main" count="2662" uniqueCount="972">
  <si>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</si>
  <si>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</si>
  <si>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</si>
  <si>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</si>
  <si>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</si>
  <si>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</si>
  <si>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</si>
  <si>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</si>
  <si>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</si>
  <si>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</si>
  <si>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</si>
  <si>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</si>
  <si>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</si>
  <si>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</si>
  <si>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</si>
  <si>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</si>
  <si>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</si>
  <si>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</si>
  <si>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</si>
  <si>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</si>
  <si>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</si>
  <si>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</si>
  <si>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</si>
  <si>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</si>
  <si>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</si>
  <si>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</si>
  <si>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</si>
  <si>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</si>
  <si>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</si>
  <si>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</si>
  <si>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</si>
  <si>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</si>
  <si>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</si>
  <si>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</si>
  <si>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</si>
  <si>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</si>
  <si>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</si>
  <si>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</si>
  <si>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</si>
  <si>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</si>
  <si>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</si>
  <si>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</si>
  <si>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</si>
  <si>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</si>
  <si>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</si>
  <si>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</si>
  <si>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</si>
  <si>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</si>
  <si>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</si>
  <si>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</si>
  <si>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</si>
  <si>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</si>
  <si>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</si>
  <si>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</si>
  <si>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</si>
  <si>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</si>
  <si>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</si>
  <si>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</si>
  <si>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</si>
  <si>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</si>
  <si>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</si>
  <si>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</si>
  <si>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</si>
  <si>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</si>
  <si>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</si>
  <si>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</si>
  <si>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</si>
  <si>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</si>
  <si>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</si>
  <si>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</si>
  <si>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</si>
  <si>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</si>
  <si>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</si>
  <si>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</si>
  <si>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</si>
  <si>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</si>
  <si>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</si>
  <si>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</si>
  <si>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</si>
  <si>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</si>
  <si>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</si>
  <si>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</si>
  <si>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</si>
  <si>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</si>
  <si>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</si>
  <si>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</si>
  <si>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</si>
  <si>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</si>
  <si>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</si>
  <si>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</si>
  <si>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</si>
  <si>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</si>
  <si>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</si>
  <si>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</si>
  <si>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</si>
  <si>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</si>
  <si>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</si>
  <si>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</si>
  <si>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</si>
  <si>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</si>
  <si>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</si>
  <si>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</si>
  <si>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</si>
  <si>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</si>
  <si>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</si>
  <si>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</si>
  <si>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</si>
  <si>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</si>
  <si>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</si>
  <si>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</si>
  <si>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</si>
  <si>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</si>
  <si>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</si>
  <si>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</si>
  <si>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</si>
  <si>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</si>
  <si>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</si>
  <si>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</si>
  <si>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</si>
  <si>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</si>
  <si>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</si>
  <si>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</si>
  <si>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</si>
  <si>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</si>
  <si>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</si>
  <si>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</si>
  <si>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</si>
  <si>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</si>
  <si>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</si>
  <si>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</si>
  <si>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</si>
  <si>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</si>
  <si>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</si>
  <si>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</si>
  <si>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</si>
  <si>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</si>
  <si>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</si>
  <si>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</si>
  <si>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</si>
  <si>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</si>
  <si>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</si>
  <si>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</si>
  <si>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</si>
  <si>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</si>
  <si>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</si>
  <si>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</si>
  <si>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</si>
  <si>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</si>
  <si>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</si>
  <si>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</si>
  <si>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</si>
  <si>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</si>
  <si>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</si>
  <si>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</si>
  <si>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</si>
  <si>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</si>
  <si>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</si>
  <si>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</si>
  <si>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</si>
  <si>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</si>
  <si>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</si>
  <si>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</si>
  <si>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</si>
  <si>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</si>
  <si>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</si>
  <si>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</si>
  <si>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</si>
  <si>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</si>
  <si>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</si>
  <si>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</si>
  <si>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</si>
  <si>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</si>
  <si>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</si>
  <si>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</si>
  <si>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</si>
  <si>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</si>
  <si>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</si>
  <si>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</si>
  <si>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</si>
  <si>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</si>
  <si>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</si>
  <si>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</si>
  <si>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</si>
  <si>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</si>
  <si>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</si>
  <si>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</si>
  <si>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</si>
  <si>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</si>
  <si>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</si>
  <si>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</si>
  <si>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</si>
  <si>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</si>
  <si>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</si>
  <si>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</si>
  <si>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</si>
  <si>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</si>
  <si>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</si>
  <si>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</si>
  <si>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</si>
  <si>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</si>
  <si>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</si>
  <si>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</si>
  <si>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</si>
  <si>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</si>
  <si>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</si>
  <si>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204:156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</si>
  <si>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</si>
  <si>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</si>
  <si>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</si>
  <si>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</si>
  <si>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</si>
  <si>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</si>
  <si>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</si>
  <si>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</si>
  <si>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</si>
  <si>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</si>
  <si>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</si>
  <si>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</si>
  <si>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</si>
  <si>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</si>
  <si>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</si>
  <si>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</si>
  <si>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</si>
  <si>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</si>
  <si>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</si>
  <si>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</si>
  <si>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</si>
  <si>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204:141</t>
  </si>
  <si>
    <t>rtdc.l.rtdc.4014:itc</t>
  </si>
  <si>
    <t>CLI Grep2 (for slice disagreement)</t>
  </si>
  <si>
    <t>Y</t>
  </si>
  <si>
    <t>204:165</t>
  </si>
  <si>
    <t>204:455</t>
  </si>
  <si>
    <t>rtdc.l.rtdc.4031:itc</t>
  </si>
  <si>
    <t>rtdc.l.rtdc.4046:itc</t>
  </si>
  <si>
    <t>204:460</t>
  </si>
  <si>
    <t>204:471</t>
  </si>
  <si>
    <t>rtdc.l.rtdc.4042:itc</t>
  </si>
  <si>
    <t>rtdc.l.rtdc.4041:itc</t>
  </si>
  <si>
    <t>DAVIDSON</t>
  </si>
  <si>
    <t>204:145</t>
  </si>
  <si>
    <t>rtdc.l.rtdc.4032:itc</t>
  </si>
  <si>
    <t>CHANDLER</t>
  </si>
  <si>
    <t>LALONDE</t>
  </si>
  <si>
    <t>81-25</t>
  </si>
  <si>
    <t>80-25</t>
  </si>
  <si>
    <t>313-25</t>
  </si>
  <si>
    <t>315-25</t>
  </si>
  <si>
    <t>partly-cloudy-night</t>
  </si>
  <si>
    <t>partly-cloudy-day</t>
  </si>
  <si>
    <t>204:458</t>
  </si>
  <si>
    <t>rtdc.l.rtdc.4016:itc</t>
  </si>
  <si>
    <t>LEVERE</t>
  </si>
  <si>
    <t>COOLAHAN</t>
  </si>
  <si>
    <t>204:163</t>
  </si>
  <si>
    <t>:.+((SYSTEM_STATE.+slice.+state.+changed )|(ment ac)|(multiple cpu faults)|(system.+state.+changed )|(\[timeout)|(PRM\|1\|D)|(kpr)|(kdp)|(\|lc)|(penalty))</t>
  </si>
  <si>
    <t>YANAI</t>
  </si>
  <si>
    <t>Partly Cloudy</t>
  </si>
  <si>
    <t>rtdc.l.rtdc.4030:itc</t>
  </si>
  <si>
    <t>GRADE CROSSING</t>
  </si>
  <si>
    <t>Bulletin (2)</t>
  </si>
  <si>
    <t>rtdc.l.rtdc.4029:itc</t>
  </si>
  <si>
    <t>rtdc.l.rtdc.4043:itc</t>
  </si>
  <si>
    <t>204:446</t>
  </si>
  <si>
    <t>JOHN</t>
  </si>
  <si>
    <t>IAN</t>
  </si>
  <si>
    <t>DAVID</t>
  </si>
  <si>
    <t>CRAIG</t>
  </si>
  <si>
    <t>JAMES</t>
  </si>
  <si>
    <t>Last + First</t>
  </si>
  <si>
    <t>Employee First Name</t>
  </si>
  <si>
    <t>rtdc.l.rtdc.4019:itc</t>
  </si>
  <si>
    <t>rtdc.l.rtdc.4020:itc</t>
  </si>
  <si>
    <t>KELVIN</t>
  </si>
  <si>
    <t>204:453</t>
  </si>
  <si>
    <t>204:152</t>
  </si>
  <si>
    <t>204:464</t>
  </si>
  <si>
    <t>204:232994</t>
  </si>
  <si>
    <t>rtdc.l.rtdc.4015:itc</t>
  </si>
  <si>
    <t>TEMPORARY SPEED RESTRICTION</t>
  </si>
  <si>
    <t>rtdc.l.rtdc.4045:itc</t>
  </si>
  <si>
    <t>204:147</t>
  </si>
  <si>
    <t>204:139</t>
  </si>
  <si>
    <t>MICHAEL</t>
  </si>
  <si>
    <t>DAVIS</t>
  </si>
  <si>
    <t>300:58623</t>
  </si>
  <si>
    <t>300:58632</t>
  </si>
  <si>
    <t>DE LA ROSA</t>
  </si>
  <si>
    <t>ALEX</t>
  </si>
  <si>
    <t>BARTLETT</t>
  </si>
  <si>
    <t>KIANDRA</t>
  </si>
  <si>
    <t>204:232980</t>
  </si>
  <si>
    <t>204:233304</t>
  </si>
  <si>
    <t>204:232989</t>
  </si>
  <si>
    <t>204:232996</t>
  </si>
  <si>
    <t>204:232983</t>
  </si>
  <si>
    <t>204:233303</t>
  </si>
  <si>
    <t>204:467</t>
  </si>
  <si>
    <t>204:232977</t>
  </si>
  <si>
    <t>204:161</t>
  </si>
  <si>
    <t>204:232990</t>
  </si>
  <si>
    <t>204:160</t>
  </si>
  <si>
    <t>204:233302</t>
  </si>
  <si>
    <t>204:232987</t>
  </si>
  <si>
    <t>204:232984</t>
  </si>
  <si>
    <t>ACKERMAN</t>
  </si>
  <si>
    <t>JARED</t>
  </si>
  <si>
    <t>STARKS</t>
  </si>
  <si>
    <t>ANGELINA</t>
  </si>
  <si>
    <t>clear-night</t>
  </si>
  <si>
    <t>Clear</t>
  </si>
  <si>
    <t>204:158</t>
  </si>
  <si>
    <t>204:233312</t>
  </si>
  <si>
    <t>204:462</t>
  </si>
  <si>
    <t>204:233293</t>
  </si>
  <si>
    <t>204:232991</t>
  </si>
  <si>
    <t>204:232993</t>
  </si>
  <si>
    <t>204:233284</t>
  </si>
  <si>
    <t>204:435</t>
  </si>
  <si>
    <t>204:233314</t>
  </si>
  <si>
    <t>204:974</t>
  </si>
  <si>
    <t>rtdc.l.rtdc.4013:itc</t>
  </si>
  <si>
    <t>BONDS</t>
  </si>
  <si>
    <t>REYNALDO</t>
  </si>
  <si>
    <t>YOUNG</t>
  </si>
  <si>
    <t>ELIZABETH</t>
  </si>
  <si>
    <t>204:233297</t>
  </si>
  <si>
    <t>204:475</t>
  </si>
  <si>
    <t>204:466</t>
  </si>
  <si>
    <t>204:233309</t>
  </si>
  <si>
    <t>204:232953</t>
  </si>
  <si>
    <t>204:232998</t>
  </si>
  <si>
    <t>204:486</t>
  </si>
  <si>
    <t>204:233011</t>
  </si>
  <si>
    <t>204:484</t>
  </si>
  <si>
    <t>204:233323</t>
  </si>
  <si>
    <t>204:233327</t>
  </si>
  <si>
    <t>204:232985</t>
  </si>
  <si>
    <t>300:58931</t>
  </si>
  <si>
    <t>300:58935</t>
  </si>
  <si>
    <t>300:58613</t>
  </si>
  <si>
    <t>204:981</t>
  </si>
  <si>
    <t>300:58944</t>
  </si>
  <si>
    <t>300:58928</t>
  </si>
  <si>
    <t>300:58937</t>
  </si>
  <si>
    <t>204:757</t>
  </si>
  <si>
    <t>rtdc.l.rtdc.4004:itc</t>
  </si>
  <si>
    <t>rtdc.l.rtdc.4008:itc</t>
  </si>
  <si>
    <t>rtdc.l.rtdc.4021:itc</t>
  </si>
  <si>
    <t>241-13</t>
  </si>
  <si>
    <t>243-13</t>
  </si>
  <si>
    <t>SPECTOR</t>
  </si>
  <si>
    <t>SCOTT</t>
  </si>
  <si>
    <t>rtdc.l.rtdc.4003:itc</t>
  </si>
  <si>
    <t>HILLS</t>
  </si>
  <si>
    <t>DUSTIN</t>
  </si>
  <si>
    <t>rtdc.l.rtdc.4007:itc</t>
  </si>
  <si>
    <t>HELVIE</t>
  </si>
  <si>
    <t>ADAM</t>
  </si>
  <si>
    <t>228-13</t>
  </si>
  <si>
    <t>231-13</t>
  </si>
  <si>
    <t>844-13</t>
  </si>
  <si>
    <t>233-13</t>
  </si>
  <si>
    <t>DELGADO</t>
  </si>
  <si>
    <t>DIANAH</t>
  </si>
  <si>
    <t>230-13</t>
  </si>
  <si>
    <t>847-13</t>
  </si>
  <si>
    <t>232-13</t>
  </si>
  <si>
    <t>235-13</t>
  </si>
  <si>
    <t>908-13</t>
  </si>
  <si>
    <t>234-13</t>
  </si>
  <si>
    <t>237-13</t>
  </si>
  <si>
    <t>236-13</t>
  </si>
  <si>
    <t>239-13</t>
  </si>
  <si>
    <t>238-13</t>
  </si>
  <si>
    <t>240-13</t>
  </si>
  <si>
    <t>309-13</t>
  </si>
  <si>
    <t>242-13</t>
  </si>
  <si>
    <t>311-13</t>
  </si>
  <si>
    <t>244-13</t>
  </si>
  <si>
    <t>313-13</t>
  </si>
  <si>
    <t>315-13</t>
  </si>
  <si>
    <t>204:233353</t>
  </si>
  <si>
    <t>204:233351</t>
  </si>
  <si>
    <t>204:233318</t>
  </si>
  <si>
    <t>204:437</t>
  </si>
  <si>
    <t>204:138</t>
  </si>
  <si>
    <t>204:444</t>
  </si>
  <si>
    <t>204:233283</t>
  </si>
  <si>
    <t>204:233305</t>
  </si>
  <si>
    <t>204:477</t>
  </si>
  <si>
    <t>204:233038</t>
  </si>
  <si>
    <t>204:136</t>
  </si>
  <si>
    <t>204:233317</t>
  </si>
  <si>
    <t>204:491</t>
  </si>
  <si>
    <t>204:178</t>
  </si>
  <si>
    <t>204:233380</t>
  </si>
  <si>
    <t>204:132</t>
  </si>
  <si>
    <t>204:233017</t>
  </si>
  <si>
    <t>204:191</t>
  </si>
  <si>
    <t>204:429</t>
  </si>
  <si>
    <t>204:232974</t>
  </si>
  <si>
    <t>204:176</t>
  </si>
  <si>
    <t>300:23303</t>
  </si>
  <si>
    <t>300:23304</t>
  </si>
  <si>
    <t>204:500</t>
  </si>
  <si>
    <t>300:22846</t>
  </si>
  <si>
    <t>300:58960</t>
  </si>
  <si>
    <t>300:58647</t>
  </si>
  <si>
    <t>204:708</t>
  </si>
  <si>
    <t>204:733</t>
  </si>
  <si>
    <t>204:999</t>
  </si>
  <si>
    <t>204:701</t>
  </si>
  <si>
    <t>204:1011</t>
  </si>
  <si>
    <t>204:1037</t>
  </si>
  <si>
    <t>300:58642</t>
  </si>
  <si>
    <t>204:978</t>
  </si>
  <si>
    <t>204:684</t>
  </si>
  <si>
    <t>204:682</t>
  </si>
  <si>
    <t>300:58626</t>
  </si>
  <si>
    <t>108-14</t>
  </si>
  <si>
    <t>110-14</t>
  </si>
  <si>
    <t>131-14</t>
  </si>
  <si>
    <t>122-14</t>
  </si>
  <si>
    <t>rtdc.l.rtdc.4018:itc</t>
  </si>
  <si>
    <t>809-14</t>
  </si>
  <si>
    <t>903-14</t>
  </si>
  <si>
    <t>145-14</t>
  </si>
  <si>
    <t>143-14</t>
  </si>
  <si>
    <t>144-14</t>
  </si>
  <si>
    <t>146-14</t>
  </si>
  <si>
    <t>815-14</t>
  </si>
  <si>
    <t>157-14</t>
  </si>
  <si>
    <t>150-14</t>
  </si>
  <si>
    <t>154-14</t>
  </si>
  <si>
    <t>161-14</t>
  </si>
  <si>
    <t>158-14</t>
  </si>
  <si>
    <t>165-14</t>
  </si>
  <si>
    <t>166-14</t>
  </si>
  <si>
    <t>180-14</t>
  </si>
  <si>
    <t>193-14</t>
  </si>
  <si>
    <t>830-14</t>
  </si>
  <si>
    <t>194-14</t>
  </si>
  <si>
    <t>72-14</t>
  </si>
  <si>
    <t>205-14</t>
  </si>
  <si>
    <t>206-14</t>
  </si>
  <si>
    <t>839-14</t>
  </si>
  <si>
    <t>220-14</t>
  </si>
  <si>
    <t>222-14</t>
  </si>
  <si>
    <t>842-14</t>
  </si>
  <si>
    <t>224-14</t>
  </si>
  <si>
    <t>845-14</t>
  </si>
  <si>
    <t>847-14</t>
  </si>
  <si>
    <t>236-14</t>
  </si>
  <si>
    <t>240-14</t>
  </si>
  <si>
    <t>242-14</t>
  </si>
  <si>
    <t>302-14</t>
  </si>
  <si>
    <t>GRASTON</t>
  </si>
  <si>
    <t>MATHEU</t>
  </si>
  <si>
    <t>101-14</t>
  </si>
  <si>
    <t>304-14</t>
  </si>
  <si>
    <t>103-14</t>
  </si>
  <si>
    <t>306-14</t>
  </si>
  <si>
    <t>308-14</t>
  </si>
  <si>
    <t>102-14</t>
  </si>
  <si>
    <t>105-14</t>
  </si>
  <si>
    <t>310-14</t>
  </si>
  <si>
    <t>107-14</t>
  </si>
  <si>
    <t>104-14</t>
  </si>
  <si>
    <t>109-14</t>
  </si>
  <si>
    <t>911-14</t>
  </si>
  <si>
    <t>111-14</t>
  </si>
  <si>
    <t>ROCHA</t>
  </si>
  <si>
    <t>YAOTL</t>
  </si>
  <si>
    <t>113-14</t>
  </si>
  <si>
    <t>106-14</t>
  </si>
  <si>
    <t>rtdc.l.rtdc.4017:itc</t>
  </si>
  <si>
    <t>800-14</t>
  </si>
  <si>
    <t>115-14</t>
  </si>
  <si>
    <t>117-14</t>
  </si>
  <si>
    <t>801-14</t>
  </si>
  <si>
    <t>912-14</t>
  </si>
  <si>
    <t>GEBRETEKLE</t>
  </si>
  <si>
    <t>DAGNEW</t>
  </si>
  <si>
    <t>112-14</t>
  </si>
  <si>
    <t>114-14</t>
  </si>
  <si>
    <t>119-14</t>
  </si>
  <si>
    <t>802-14</t>
  </si>
  <si>
    <t>803-14</t>
  </si>
  <si>
    <t>121-14</t>
  </si>
  <si>
    <t>116-14</t>
  </si>
  <si>
    <t>123-14</t>
  </si>
  <si>
    <t>118-14</t>
  </si>
  <si>
    <t>804-14</t>
  </si>
  <si>
    <t>125-14</t>
  </si>
  <si>
    <t>805-14</t>
  </si>
  <si>
    <t>MAELZER</t>
  </si>
  <si>
    <t>KURT</t>
  </si>
  <si>
    <t>120-14</t>
  </si>
  <si>
    <t>127-14</t>
  </si>
  <si>
    <t>807-14</t>
  </si>
  <si>
    <t>129-14</t>
  </si>
  <si>
    <t>806-14</t>
  </si>
  <si>
    <t>124-14</t>
  </si>
  <si>
    <t>BROWN</t>
  </si>
  <si>
    <t>JACOB</t>
  </si>
  <si>
    <t>808-14</t>
  </si>
  <si>
    <t>126-14</t>
  </si>
  <si>
    <t>128-14</t>
  </si>
  <si>
    <t>133-14</t>
  </si>
  <si>
    <t>135-14</t>
  </si>
  <si>
    <t>130-14</t>
  </si>
  <si>
    <t>811-14</t>
  </si>
  <si>
    <t>810-14</t>
  </si>
  <si>
    <t>137-14</t>
  </si>
  <si>
    <t>132-14</t>
  </si>
  <si>
    <t>139-14</t>
  </si>
  <si>
    <t>134-14</t>
  </si>
  <si>
    <t>812-14</t>
  </si>
  <si>
    <t>136-14</t>
  </si>
  <si>
    <t>141-14</t>
  </si>
  <si>
    <t>813-14</t>
  </si>
  <si>
    <t>138-14</t>
  </si>
  <si>
    <t>140-14</t>
  </si>
  <si>
    <t>147-14</t>
  </si>
  <si>
    <t>814-14</t>
  </si>
  <si>
    <t>142-14</t>
  </si>
  <si>
    <t>149-14</t>
  </si>
  <si>
    <t>151-14</t>
  </si>
  <si>
    <t>153-14</t>
  </si>
  <si>
    <t>148-14</t>
  </si>
  <si>
    <t>155-14</t>
  </si>
  <si>
    <t>50-14</t>
  </si>
  <si>
    <t>816-14</t>
  </si>
  <si>
    <t>152-14</t>
  </si>
  <si>
    <t>159-14</t>
  </si>
  <si>
    <t>817-14</t>
  </si>
  <si>
    <t>51-14</t>
  </si>
  <si>
    <t>SANTIZO</t>
  </si>
  <si>
    <t>D. EDY</t>
  </si>
  <si>
    <t>156-14</t>
  </si>
  <si>
    <t>52-14</t>
  </si>
  <si>
    <t>ROMERO</t>
  </si>
  <si>
    <t>CHAD</t>
  </si>
  <si>
    <t>163-14</t>
  </si>
  <si>
    <t>DUNCAN</t>
  </si>
  <si>
    <t>SHEILA</t>
  </si>
  <si>
    <t>818-14</t>
  </si>
  <si>
    <t>160-14</t>
  </si>
  <si>
    <t>ADANE</t>
  </si>
  <si>
    <t>ELSHADAY</t>
  </si>
  <si>
    <t>167-14</t>
  </si>
  <si>
    <t>162-14</t>
  </si>
  <si>
    <t>819-14</t>
  </si>
  <si>
    <t>53-14</t>
  </si>
  <si>
    <t>169-14</t>
  </si>
  <si>
    <t>MAGEE</t>
  </si>
  <si>
    <t>KENYA</t>
  </si>
  <si>
    <t>164-14</t>
  </si>
  <si>
    <t>171-14</t>
  </si>
  <si>
    <t>YANG</t>
  </si>
  <si>
    <t>JAN</t>
  </si>
  <si>
    <t>820-14</t>
  </si>
  <si>
    <t>173-14</t>
  </si>
  <si>
    <t>168-14</t>
  </si>
  <si>
    <t>175-14</t>
  </si>
  <si>
    <t>170-14</t>
  </si>
  <si>
    <t>821-14</t>
  </si>
  <si>
    <t>MOSES</t>
  </si>
  <si>
    <t>BRADLEY</t>
  </si>
  <si>
    <t>177-14</t>
  </si>
  <si>
    <t>172-14</t>
  </si>
  <si>
    <t>174-14</t>
  </si>
  <si>
    <t>179-14</t>
  </si>
  <si>
    <t>181-14</t>
  </si>
  <si>
    <t>822-14</t>
  </si>
  <si>
    <t>176-14</t>
  </si>
  <si>
    <t>183-14</t>
  </si>
  <si>
    <t>178-14</t>
  </si>
  <si>
    <t>185-14</t>
  </si>
  <si>
    <t>823-14</t>
  </si>
  <si>
    <t>187-14</t>
  </si>
  <si>
    <t>182-14</t>
  </si>
  <si>
    <t>824-14</t>
  </si>
  <si>
    <t>184-14</t>
  </si>
  <si>
    <t>189-14</t>
  </si>
  <si>
    <t>191-14</t>
  </si>
  <si>
    <t>186-14</t>
  </si>
  <si>
    <t>825-14</t>
  </si>
  <si>
    <t>188-14</t>
  </si>
  <si>
    <t>195-14</t>
  </si>
  <si>
    <t>904-14</t>
  </si>
  <si>
    <t>COMELLA</t>
  </si>
  <si>
    <t>JUSTIN</t>
  </si>
  <si>
    <t>190-14</t>
  </si>
  <si>
    <t>197-14</t>
  </si>
  <si>
    <t>826-14</t>
  </si>
  <si>
    <t>827-14</t>
  </si>
  <si>
    <t>192-14</t>
  </si>
  <si>
    <t>199-14</t>
  </si>
  <si>
    <t>829-14</t>
  </si>
  <si>
    <t>828-14</t>
  </si>
  <si>
    <t>201-14</t>
  </si>
  <si>
    <t>NELSON</t>
  </si>
  <si>
    <t>ARIANE</t>
  </si>
  <si>
    <t>196-14</t>
  </si>
  <si>
    <t>203-14</t>
  </si>
  <si>
    <t>198-14</t>
  </si>
  <si>
    <t>831-14</t>
  </si>
  <si>
    <t>200-14</t>
  </si>
  <si>
    <t>207-14</t>
  </si>
  <si>
    <t>202-14</t>
  </si>
  <si>
    <t>SIMMONS</t>
  </si>
  <si>
    <t>SHYHESHA</t>
  </si>
  <si>
    <t>832-14</t>
  </si>
  <si>
    <t>204-14</t>
  </si>
  <si>
    <t>209-14</t>
  </si>
  <si>
    <t>75-14</t>
  </si>
  <si>
    <t>BERLING</t>
  </si>
  <si>
    <t>GARY</t>
  </si>
  <si>
    <t>833-14</t>
  </si>
  <si>
    <t>211-14</t>
  </si>
  <si>
    <t>208-14</t>
  </si>
  <si>
    <t>834-14</t>
  </si>
  <si>
    <t>86-14</t>
  </si>
  <si>
    <t>835-14</t>
  </si>
  <si>
    <t>213-14</t>
  </si>
  <si>
    <t>88-14</t>
  </si>
  <si>
    <t>JACKSON</t>
  </si>
  <si>
    <t>WILLIAM</t>
  </si>
  <si>
    <t>215-14</t>
  </si>
  <si>
    <t>210-14</t>
  </si>
  <si>
    <t>836-14</t>
  </si>
  <si>
    <t>217-14</t>
  </si>
  <si>
    <t>212-14</t>
  </si>
  <si>
    <t>837-14</t>
  </si>
  <si>
    <t>219-14</t>
  </si>
  <si>
    <t>PERKINS</t>
  </si>
  <si>
    <t>DARREN</t>
  </si>
  <si>
    <t>77-14</t>
  </si>
  <si>
    <t>214-14</t>
  </si>
  <si>
    <t>838-14</t>
  </si>
  <si>
    <t>303-14</t>
  </si>
  <si>
    <t>216-14</t>
  </si>
  <si>
    <t>221-14</t>
  </si>
  <si>
    <t>81-14</t>
  </si>
  <si>
    <t>DIANE</t>
  </si>
  <si>
    <t>841-14</t>
  </si>
  <si>
    <t>218-14</t>
  </si>
  <si>
    <t>906-14</t>
  </si>
  <si>
    <t>305-14</t>
  </si>
  <si>
    <t>223-14</t>
  </si>
  <si>
    <t>840-14</t>
  </si>
  <si>
    <t>307-14</t>
  </si>
  <si>
    <t>225-14</t>
  </si>
  <si>
    <t>SAFIEF</t>
  </si>
  <si>
    <t>AEIMEN</t>
  </si>
  <si>
    <t>227-14</t>
  </si>
  <si>
    <t>843-14</t>
  </si>
  <si>
    <t>226-14</t>
  </si>
  <si>
    <t>229-14</t>
  </si>
  <si>
    <t>231-14</t>
  </si>
  <si>
    <t>228-14</t>
  </si>
  <si>
    <t>844-14</t>
  </si>
  <si>
    <t>233-14</t>
  </si>
  <si>
    <t>230-14</t>
  </si>
  <si>
    <t>232-14</t>
  </si>
  <si>
    <t>235-14</t>
  </si>
  <si>
    <t>908-14</t>
  </si>
  <si>
    <t>237-14</t>
  </si>
  <si>
    <t>234-14</t>
  </si>
  <si>
    <t>239-14</t>
  </si>
  <si>
    <t>238-14</t>
  </si>
  <si>
    <t>243-14</t>
  </si>
  <si>
    <t>309-14</t>
  </si>
  <si>
    <t>311-14</t>
  </si>
  <si>
    <t>244-14</t>
  </si>
  <si>
    <t>313-14</t>
  </si>
  <si>
    <t>315-14</t>
  </si>
  <si>
    <t>precipAccumulation</t>
  </si>
  <si>
    <t>precipType</t>
  </si>
  <si>
    <t>snow</t>
  </si>
  <si>
    <t>Flurries</t>
  </si>
  <si>
    <t>Light Snow</t>
  </si>
  <si>
    <t>204:233355</t>
  </si>
  <si>
    <t>204:232715</t>
  </si>
  <si>
    <t>204:232700</t>
  </si>
  <si>
    <t>204:726</t>
  </si>
  <si>
    <t>204:233300</t>
  </si>
  <si>
    <t>204:232673</t>
  </si>
  <si>
    <t>204:233289</t>
  </si>
  <si>
    <t>204:681</t>
  </si>
  <si>
    <t>204:232982</t>
  </si>
  <si>
    <t>204:772</t>
  </si>
  <si>
    <t>204:233395</t>
  </si>
  <si>
    <t>204:233053</t>
  </si>
  <si>
    <t>204:232967</t>
  </si>
  <si>
    <t>204:233315</t>
  </si>
  <si>
    <t>204:457</t>
  </si>
  <si>
    <t>204:233322</t>
  </si>
  <si>
    <t>204:233332</t>
  </si>
  <si>
    <t>204:233047</t>
  </si>
  <si>
    <t>204:83</t>
  </si>
  <si>
    <t>204:233008</t>
  </si>
  <si>
    <t>204:233307</t>
  </si>
  <si>
    <t>204:233000</t>
  </si>
  <si>
    <t>204:1190</t>
  </si>
  <si>
    <t>204:384</t>
  </si>
  <si>
    <t>204:233063</t>
  </si>
  <si>
    <t>204:119</t>
  </si>
  <si>
    <t>204:118</t>
  </si>
  <si>
    <t>204:1179</t>
  </si>
  <si>
    <t>204:495</t>
  </si>
  <si>
    <t>204:232986</t>
  </si>
  <si>
    <t>204:413</t>
  </si>
  <si>
    <t>204:422</t>
  </si>
  <si>
    <t>204:440</t>
  </si>
  <si>
    <t>204:232971</t>
  </si>
  <si>
    <t>204:233291</t>
  </si>
  <si>
    <t>204:232966</t>
  </si>
  <si>
    <t>204:233288</t>
  </si>
  <si>
    <t>204:212</t>
  </si>
  <si>
    <t>204:300</t>
  </si>
  <si>
    <t>204:233264</t>
  </si>
  <si>
    <t>204:233006</t>
  </si>
  <si>
    <t>204:478</t>
  </si>
  <si>
    <t>204:232968</t>
  </si>
  <si>
    <t>204:497</t>
  </si>
  <si>
    <t>204:233002</t>
  </si>
  <si>
    <t>204:187</t>
  </si>
  <si>
    <t>204:584</t>
  </si>
  <si>
    <t>204:233306</t>
  </si>
  <si>
    <t>204:233320</t>
  </si>
  <si>
    <t>204:233321</t>
  </si>
  <si>
    <t>204:233270</t>
  </si>
  <si>
    <t>204:174</t>
  </si>
  <si>
    <t>204:482</t>
  </si>
  <si>
    <t>204:232957</t>
  </si>
  <si>
    <t>204:433</t>
  </si>
  <si>
    <t>204:233299</t>
  </si>
  <si>
    <t>204:233201</t>
  </si>
  <si>
    <t>204:232881</t>
  </si>
  <si>
    <t>204:438</t>
  </si>
  <si>
    <t>204:125</t>
  </si>
  <si>
    <t>204:233329</t>
  </si>
  <si>
    <t>204:489</t>
  </si>
  <si>
    <t>204:134</t>
  </si>
  <si>
    <t>204:233298</t>
  </si>
  <si>
    <t>204:209</t>
  </si>
  <si>
    <t>204:232981</t>
  </si>
  <si>
    <t>300:22800</t>
  </si>
  <si>
    <t>300:22346</t>
  </si>
  <si>
    <t>204:98</t>
  </si>
  <si>
    <t>300:22850</t>
  </si>
  <si>
    <t>300:23131</t>
  </si>
  <si>
    <t>300:23273</t>
  </si>
  <si>
    <t>300:23247</t>
  </si>
  <si>
    <t>300:23164</t>
  </si>
  <si>
    <t>300:23310</t>
  </si>
  <si>
    <t>300:21918</t>
  </si>
  <si>
    <t>204:357</t>
  </si>
  <si>
    <t>300:24237</t>
  </si>
  <si>
    <t>300:21990</t>
  </si>
  <si>
    <t>204:122</t>
  </si>
  <si>
    <t>204:432</t>
  </si>
  <si>
    <t>300:24279</t>
  </si>
  <si>
    <t>300:23334</t>
  </si>
  <si>
    <t>204:893</t>
  </si>
  <si>
    <t>204:691</t>
  </si>
  <si>
    <t>300:58971</t>
  </si>
  <si>
    <t>300:58655</t>
  </si>
  <si>
    <t>204:649</t>
  </si>
  <si>
    <t>300:58677</t>
  </si>
  <si>
    <t>204:958</t>
  </si>
  <si>
    <t>300:58948</t>
  </si>
  <si>
    <t>300:58624</t>
  </si>
  <si>
    <t>204:712</t>
  </si>
  <si>
    <t>300:58995</t>
  </si>
  <si>
    <t>300:58675</t>
  </si>
  <si>
    <t>204:706</t>
  </si>
  <si>
    <t>204:1004</t>
  </si>
  <si>
    <t>204:1227</t>
  </si>
  <si>
    <t>300:23293</t>
  </si>
  <si>
    <t>204:988</t>
  </si>
  <si>
    <t>300:58666</t>
  </si>
  <si>
    <t>204:689</t>
  </si>
  <si>
    <t>204:965</t>
  </si>
  <si>
    <t>300:58685</t>
  </si>
  <si>
    <t>204:699</t>
  </si>
  <si>
    <t>300:58933</t>
  </si>
  <si>
    <t>204:969</t>
  </si>
  <si>
    <t>300:58993</t>
  </si>
  <si>
    <t>204:976</t>
  </si>
  <si>
    <t>300:59014</t>
  </si>
  <si>
    <t>300:58705</t>
  </si>
  <si>
    <t>300:58939</t>
  </si>
  <si>
    <t>204:740</t>
  </si>
  <si>
    <t>204:1013</t>
  </si>
  <si>
    <t>204:736</t>
  </si>
  <si>
    <t>300:58943</t>
  </si>
  <si>
    <t>300:58628</t>
  </si>
  <si>
    <t>204:979</t>
  </si>
  <si>
    <t>300:58656</t>
  </si>
  <si>
    <t>204:675</t>
  </si>
  <si>
    <t>300:57333</t>
  </si>
  <si>
    <t>204:720</t>
  </si>
  <si>
    <t>300:58956</t>
  </si>
  <si>
    <t>300:58651</t>
  </si>
  <si>
    <t>204:666</t>
  </si>
  <si>
    <t>204:1002</t>
  </si>
  <si>
    <t>300:58965</t>
  </si>
  <si>
    <t>300:58645</t>
  </si>
  <si>
    <t>204:722</t>
  </si>
  <si>
    <t>204:694</t>
  </si>
  <si>
    <t>300:58958</t>
  </si>
  <si>
    <t>300:58658</t>
  </si>
  <si>
    <t>204:755</t>
  </si>
  <si>
    <t>204:1041</t>
  </si>
  <si>
    <t>300:58969</t>
  </si>
  <si>
    <t>300:58615</t>
  </si>
  <si>
    <t>204:710</t>
  </si>
  <si>
    <t>300:23506</t>
  </si>
  <si>
    <t>204:133</t>
  </si>
  <si>
    <t>300:21992</t>
  </si>
  <si>
    <t>204:877</t>
  </si>
  <si>
    <t>300:24203</t>
  </si>
  <si>
    <t>300:58643</t>
  </si>
  <si>
    <t>300:28820</t>
  </si>
  <si>
    <t>300:21856</t>
  </si>
  <si>
    <t>300:30697</t>
  </si>
  <si>
    <t>300:58954</t>
  </si>
  <si>
    <t>300:23555</t>
  </si>
  <si>
    <t>204:698</t>
  </si>
  <si>
    <t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t>
  </si>
  <si>
    <t>aws s3 cp s3://rtdc.mdm.uploadarchive.raw/RTDC4014/ "%USERPROFILE%\AppData\Local\Temp\OnboardLogs"\RTDC4014\2016-12-14 --exclude "*" --recursive --include "*20161214*" &amp; "%USERPROFILE%\Documents\GitHub\mrs-test-scripts\Headless Mode &amp; Sideloading\WalkAndUnGZ.bat" "%USERPROFILE%\AppData\Local\Temp\OnboardLogs"\RTDC4014\2016-12-14 &amp; aws s3 cp s3://rtdc.mdm.uploadarchive.raw/RTDC4014/ "%USERPROFILE%\AppData\Local\Temp\OnboardLogs"\RTDC4014\2016-12-15 --exclude "*" --recursive --include "*20161215*" &amp; "%USERPROFILE%\Documents\GitHub\mrs-test-scripts\Headless Mode &amp; Sideloading\WalkAndUnGZ.bat" "%USERPROFILE%\AppData\Local\Temp\OnboardLogs"\RTDC4014\2016-12-15</t>
  </si>
  <si>
    <t>aws s3 cp s3://rtdc.mdm.uploadarchive.raw/RTDC4003/ "%USERPROFILE%\AppData\Local\Temp\OnboardLogs"\RTDC4003\2016-12-14 --exclude "*" --recursive --include "*20161214*" &amp; "%USERPROFILE%\Documents\GitHub\mrs-test-scripts\Headless Mode &amp; Sideloading\WalkAndUnGZ.bat" "%USERPROFILE%\AppData\Local\Temp\OnboardLogs"\RTDC4003\2016-12-14 &amp; aws s3 cp s3://rtdc.mdm.uploadarchive.raw/RTDC4003/ "%USERPROFILE%\AppData\Local\Temp\OnboardLogs"\RTDC4003\2016-12-15 --exclude "*" --recursive --include "*20161215*" &amp; "%USERPROFILE%\Documents\GitHub\mrs-test-scripts\Headless Mode &amp; Sideloading\WalkAndUnGZ.bat" "%USERPROFILE%\AppData\Local\Temp\OnboardLogs"\RTDC4003\2016-12-15</t>
  </si>
  <si>
    <t>aws s3 cp s3://rtdc.mdm.uploadarchive.raw/RTDC4013/ "%USERPROFILE%\AppData\Local\Temp\OnboardLogs"\RTDC4013\2016-12-14 --exclude "*" --recursive --include "*20161214*" &amp; "%USERPROFILE%\Documents\GitHub\mrs-test-scripts\Headless Mode &amp; Sideloading\WalkAndUnGZ.bat" "%USERPROFILE%\AppData\Local\Temp\OnboardLogs"\RTDC4013\2016-12-14 &amp; aws s3 cp s3://rtdc.mdm.uploadarchive.raw/RTDC4013/ "%USERPROFILE%\AppData\Local\Temp\OnboardLogs"\RTDC4013\2016-12-15 --exclude "*" --recursive --include "*20161215*" &amp; "%USERPROFILE%\Documents\GitHub\mrs-test-scripts\Headless Mode &amp; Sideloading\WalkAndUnGZ.bat" "%USERPROFILE%\AppData\Local\Temp\OnboardLogs"\RTDC4013\2016-12-15</t>
  </si>
  <si>
    <t>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 &amp; aws s3 cp s3://rtdc.mdm.uploadarchive.raw/RTDC4052/ "%USERPROFILE%\AppData\Local\Temp\OnboardLogs"\RTDC4052\2016-12-15 --exclude "*" --recursive --include "*20161215*" &amp; "%USERPROFILE%\Documents\GitHub\mrs-test-scripts\Headless Mode &amp; Sideloading\WalkAndUnGZ.bat" "%USERPROFILE%\AppData\Local\Temp\OnboardLogs"\RTDC4052\2016-12-15</t>
  </si>
  <si>
    <t>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 &amp; aws s3 cp s3://rtdc.mdm.uploadarchive.raw/RTDC4016/ "%USERPROFILE%\AppData\Local\Temp\OnboardLogs"\RTDC4016\2016-12-15 --exclude "*" --recursive --include "*20161215*" &amp; "%USERPROFILE%\Documents\GitHub\mrs-test-scripts\Headless Mode &amp; Sideloading\WalkAndUnGZ.bat" "%USERPROFILE%\AppData\Local\Temp\OnboardLogs"\RTDC4016\2016-12-15</t>
  </si>
  <si>
    <t>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 &amp; aws s3 cp s3://rtdc.mdm.uploadarchive.raw/RTDC4044/ "%USERPROFILE%\AppData\Local\Temp\OnboardLogs"\RTDC4044\2016-12-15 --exclude "*" --recursive --include "*20161215*" &amp; "%USERPROFILE%\Documents\GitHub\mrs-test-scripts\Headless Mode &amp; Sideloading\WalkAndUnGZ.bat" "%USERPROFILE%\AppData\Local\Temp\OnboardLogs"\RTDC4044\2016-12-15</t>
  </si>
  <si>
    <t>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 &amp; aws s3 cp s3://rtdc.mdm.uploadarchive.raw/RTDC4043/ "%USERPROFILE%\AppData\Local\Temp\OnboardLogs"\RTDC4043\2016-12-15 --exclude "*" --recursive --include "*20161215*" &amp; "%USERPROFILE%\Documents\GitHub\mrs-test-scripts\Headless Mode &amp; Sideloading\WalkAndUnGZ.bat" "%USERPROFILE%\AppData\Local\Temp\OnboardLogs"\RTDC4043\2016-12-15</t>
  </si>
  <si>
    <t>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 &amp; aws s3 cp s3://rtdc.mdm.uploadarchive.raw/RTDC4004/ "%USERPROFILE%\AppData\Local\Temp\OnboardLogs"\RTDC4004\2016-12-15 --exclude "*" --recursive --include "*20161215*" &amp; "%USERPROFILE%\Documents\GitHub\mrs-test-scripts\Headless Mode &amp; Sideloading\WalkAndUnGZ.bat" "%USERPROFILE%\AppData\Local\Temp\OnboardLogs"\RTDC4004\2016-12-15</t>
  </si>
  <si>
    <t>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 &amp; aws s3 cp s3://rtdc.mdm.uploadarchive.raw/RTDC4015/ "%USERPROFILE%\AppData\Local\Temp\OnboardLogs"\RTDC4015\2016-12-15 --exclude "*" --recursive --include "*20161215*" &amp; "%USERPROFILE%\Documents\GitHub\mrs-test-scripts\Headless Mode &amp; Sideloading\WalkAndUnGZ.bat" "%USERPROFILE%\AppData\Local\Temp\OnboardLogs"\RTDC4015\2016-12-15</t>
  </si>
  <si>
    <t>aws s3 cp s3://rtdc.mdm.uploadarchive.raw/RTDC4045/ "%USERPROFILE%\AppData\Local\Temp\OnboardLogs"\RTDC4045\2016-12-15 --exclude "*" --recursive --include "*20161215*" &amp; "%USERPROFILE%\Documents\GitHub\mrs-test-scripts\Headless Mode &amp; Sideloading\WalkAndUnGZ.bat" "%USERPROFILE%\AppData\Local\Temp\OnboardLogs"\RTDC4045\2016-12-15 &amp; aws s3 cp s3://rtdc.mdm.uploadarchive.raw/RTDC4045/ "%USERPROFILE%\AppData\Local\Temp\OnboardLogs"\RTDC4045\2016-12-16 --exclude "*" --recursive --include "*20161216*" &amp; "%USERPROFILE%\Documents\GitHub\mrs-test-scripts\Headless Mode &amp; Sideloading\WalkAndUnGZ.bat" "%USERPROFILE%\AppData\Local\Temp\OnboardLogs"\RTDC4045\2016-12-16</t>
  </si>
  <si>
    <t>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 &amp; aws s3 cp s3://rtdc.mdm.uploadarchive.raw/RTDC4039/ "%USERPROFILE%\AppData\Local\Temp\OnboardLogs"\RTDC4039\2016-12-15 --exclude "*" --recursive --include "*20161215*" &amp; "%USERPROFILE%\Documents\GitHub\mrs-test-scripts\Headless Mode &amp; Sideloading\WalkAndUnGZ.bat" "%USERPROFILE%\AppData\Local\Temp\OnboardLogs"\RTDC4039\2016-12-15</t>
  </si>
  <si>
    <t>aws s3 cp s3://rtdc.mdm.uploadarchive.raw/RTDC4013/ "%USERPROFILE%\AppData\Local\Temp\OnboardLogs"\RTDC4013\2016-12-15 --exclude "*" --recursive --include "*20161215*" &amp; "%USERPROFILE%\Documents\GitHub\mrs-test-scripts\Headless Mode &amp; Sideloading\WalkAndUnGZ.bat" "%USERPROFILE%\AppData\Local\Temp\OnboardLogs"\RTDC4013\2016-12-15 &amp; aws s3 cp s3://rtdc.mdm.uploadarchive.raw/RTDC4013/ "%USERPROFILE%\AppData\Local\Temp\OnboardLogs"\RTDC4013\2016-12-16 --exclude "*" --recursive --include "*20161216*" &amp; "%USERPROFILE%\Documents\GitHub\mrs-test-scripts\Headless Mode &amp; Sideloading\WalkAndUnGZ.bat" "%USERPROFILE%\AppData\Local\Temp\OnboardLogs"\RTDC4013\2016-12-16</t>
  </si>
  <si>
    <t>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 &amp; aws s3 cp s3://rtdc.mdm.uploadarchive.raw/RTDC4046/ "%USERPROFILE%\AppData\Local\Temp\OnboardLogs"\RTDC4046\2016-12-15 --exclude "*" --recursive --include "*20161215*" &amp; "%USERPROFILE%\Documents\GitHub\mrs-test-scripts\Headless Mode &amp; Sideloading\WalkAndUnGZ.bat" "%USERPROFILE%\AppData\Local\Temp\OnboardLogs"\RTDC4046\2016-12-15</t>
  </si>
  <si>
    <t>aws s3 cp s3://rtdc.mdm.uploadarchive.raw/RTDC4018/ "%USERPROFILE%\AppData\Local\Temp\OnboardLogs"\RTDC4018\2016-12-14 --exclude "*" --recursive --include "*20161214*" &amp; "%USERPROFILE%\Documents\GitHub\mrs-test-scripts\Headless Mode &amp; Sideloading\WalkAndUnGZ.bat" "%USERPROFILE%\AppData\Local\Temp\OnboardLogs"\RTDC4018\2016-12-14 &amp; aws s3 cp s3://rtdc.mdm.uploadarchive.raw/RTDC4018/ "%USERPROFILE%\AppData\Local\Temp\OnboardLogs"\RTDC4018\2016-12-15 --exclude "*" --recursive --include "*20161215*" &amp; "%USERPROFILE%\Documents\GitHub\mrs-test-scripts\Headless Mode &amp; Sideloading\WalkAndUnGZ.bat" "%USERPROFILE%\AppData\Local\Temp\OnboardLogs"\RTDC4018\2016-12-15</t>
  </si>
  <si>
    <t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t>
  </si>
  <si>
    <t>Delayed due to going active too close to signal</t>
  </si>
  <si>
    <t>241-14</t>
  </si>
  <si>
    <t>Did not init</t>
  </si>
  <si>
    <t>Early arrival</t>
  </si>
  <si>
    <t>Form C</t>
  </si>
  <si>
    <t>40th 4S STOP</t>
  </si>
  <si>
    <t>Went active too close to signal</t>
  </si>
  <si>
    <t>At 09:31:05, EC0816RH 75-1T 1N downgraded unexpectedly from 270 to STOP &amp; PROCEED. Do logs indicate any issues at this time?</t>
  </si>
  <si>
    <t>Premature downgrade at EC0816RH 75-1T 1N (Code 9 issue?)</t>
  </si>
  <si>
    <t>SYS :2016/12/14 10:32:11.283:ENFORCEMENT:Predictive Enforcement Action:  Target Number: 00001002  Target Speed:   0.0  Current Speed:   2.5</t>
  </si>
  <si>
    <t>SYS :2016/12/14 12:39:29.984:ENFORCEMENT:Reactive Enforcement Action:  Target Number: 0000A024  Target Speed:  15.0  Current Speed:  21.7</t>
  </si>
  <si>
    <t>SYS :2016/12/14 12:39:30.145:ENFORCEMENT:Reactive Enforcement Action:  Target Number: 0000A024  Target Speed:  15.0  Current Speed:  21.7</t>
  </si>
  <si>
    <t>SYS :2016/12/14 12:39:30.815:ENFORCEMENT:Reactive Enforcement Action:  Target Number: 0000A003  Target Speed:  15.0  Current Speed:  21.7</t>
  </si>
  <si>
    <t>SYS :2016/12/14 12:51:01.148:ENFORCEMENT:Predictive Enforcement Action:  Target Number: 0000A025  Target Speed:  10.0  Current Speed:  64.0</t>
  </si>
  <si>
    <t>SYS :2016/12/14 12:51:01.990:ENFORCEMENT:Predictive Enforcement Action:  Target Number: 0000A025  Target Speed:  10.0  Current Speed:  63.5</t>
  </si>
  <si>
    <t>SYS :2016/12/14 12:51:02.826:ENFORCEMENT:Predictive Enforcement Action:  Target Number: 0000A004  Target Speed:  10.0  Current Speed:  63.0</t>
  </si>
  <si>
    <t>SYS :2016/12/14 12:52:28.631:ENFORCEMENT:Reactive Enforcement Action:  Target Number: 0000A026  Target Speed:  15.0  Current Speed:  20.1</t>
  </si>
  <si>
    <t>SYS :2016/12/14 12:52:29.264:ENFORCEMENT:Reactive Enforcement Action:  Target Number: 0000A026  Target Speed:  15.0  Current Speed:  20.1</t>
  </si>
  <si>
    <t>SYS :2016/12/14 12:52:29.472:ENFORCEMENT:Reactive Enforcement Action:  Target Number: 0000A026  Target Speed:  15.0  Current Speed:  20.1</t>
  </si>
  <si>
    <t>SYS :2016/12/14 13:01:15.737:ENFORCEMENT:Reactive Enforcement Action:  Target Number: 0000A066  Target Speed:  15.0  Current Speed:  20.0</t>
  </si>
  <si>
    <t>SYS :2016/12/14 14:41:17.411:ENFORCEMENT:Reactive Enforcement Action:  Target Number: 0001701A  Target Speed:   0.0  Current Speed:  35.4</t>
  </si>
  <si>
    <t>SYS :2016/12/14 14:41:17.754:ENFORCEMENT:Reactive Enforcement Action:  Target Number: 0001701A  Target Speed:   0.0  Current Speed:  35.7</t>
  </si>
  <si>
    <t>SYS :2016/12/14 14:41:18.047:ENFORCEMENT:Reactive Enforcement Action:  Target Number: 0001701A  Target Speed:   0.0  Current Speed:  35.4</t>
  </si>
  <si>
    <t>SYS :2016/12/14 14:51:33.969:ENFORCEMENT:Predictive Enforcement Action:  Target Number: 0000102B  Target Speed:   0.0  Current Speed:   5.2</t>
  </si>
  <si>
    <t>SYS :2016/12/14 14:51:34.128:ENFORCEMENT:Predictive Enforcement Action:  Target Number: 0000102B  Target Speed:   0.0  Current Speed:   5.1</t>
  </si>
  <si>
    <t>SYS :2016/12/14 14:57:19.018:ENFORCEMENT:Predictive Enforcement Action:  Target Number: 00010067  Target Speed:  30.0  Current Speed:  35.1</t>
  </si>
  <si>
    <t>SYS :2016/12/14 14:57:19.968:ENFORCEMENT:Predictive Enforcement Action:  Target Number: 00010009  Target Speed:  30.0  Current Speed:  35.1</t>
  </si>
  <si>
    <t>SYS :2016/12/14 14:57:20.091:ENFORCEMENT:Predictive Enforcement Action:  Target Number: 00010068  Target Speed:  30.0  Current Speed:  35.1</t>
  </si>
  <si>
    <t>SYS :2016/12/14 15:02:26.052:ENFORCEMENT:Reactive Enforcement Action:  Target Number: 0000A008  Target Speed:  15.0  Current Speed:  20.7</t>
  </si>
  <si>
    <t>SYS :2016/12/14 15:02:26.397:ENFORCEMENT:Reactive Enforcement Action:  Target Number: 0000A008  Target Speed:  15.0  Current Speed:  20.7</t>
  </si>
  <si>
    <t>SYS :2016/12/14 15:02:26.763:ENFORCEMENT:Reactive Enforcement Action:  Target Number: 0000A008  Target Speed:  15.0  Current Speed:  20.7</t>
  </si>
  <si>
    <t>SYS :2016/12/14 15:33:49.866:ENFORCEMENT:Predictive Enforcement Action:  Target Number: 0000A02D  Target Speed:  10.0  Current Speed:  37.5</t>
  </si>
  <si>
    <t>SYS :2016/12/14 15:38:00.008:ENFORCEMENT:Predictive Enforcement Action:  Target Number: 00017004  Target Speed:   9.0  Current Speed:  14.6</t>
  </si>
  <si>
    <t>SYS :2016/12/14 15:38:00.075:ENFORCEMENT:Predictive Enforcement Action:  Target Number: 00017004  Target Speed:   9.0  Current Speed:  14.6</t>
  </si>
  <si>
    <t>SYS :2016/12/14 15:38:00.143:ENFORCEMENT:Predictive Enforcement Action:  Target Number: 00017002  Target Speed:   9.0  Current Speed:  14.6</t>
  </si>
  <si>
    <t>SYS :2016/12/14 16:31:06.806:ENFORCEMENT:Predictive Enforcement Action:  Target Number: 000060BA  Target Speed:   0.0  Current Speed:  72.7</t>
  </si>
  <si>
    <t>SYS :2016/12/14 16:31:07.049:ENFORCEMENT:Predictive Enforcement Action:  Target Number: 000060B5  Target Speed:   0.0  Current Speed:  72.3</t>
  </si>
  <si>
    <t>SYS :2016/12/14 16:31:07.416:ENFORCEMENT:Predictive Enforcement Action:  Target Number: 000060B1  Target Speed:   0.0  Current Speed:  72.3</t>
  </si>
  <si>
    <t>SYS :2016/12/14 16:31:44.840:ENFORCEMENT:Predictive Enforcement Action:  Target Number: 00010154  Target Speed:  15.0  Current Speed:  26.1</t>
  </si>
  <si>
    <t>SYS :2016/12/14 16:37:12.664:ENFORCEMENT:Predictive Enforcement Action:  Target Number: 0000103F  Target Speed:   0.0  Current Speed:   5.0</t>
  </si>
  <si>
    <t>SYS :2016/12/14 16:54:03.388:ENFORCEMENT:Predictive Enforcement Action:  Target Number: 00001007  Target Speed:   0.0  Current Speed:  13.5</t>
  </si>
  <si>
    <t>SYS :2016/12/14 17:27:14.441:ENFORCEMENT:Predictive Enforcement Action:  Target Number: 0000E001  Target Speed:   0.0  Current Speed:   5.6</t>
  </si>
  <si>
    <t>SYS :2016/12/14 17:27:15.071:ENFORCEMENT:Predictive Enforcement Action:  Target Number: 0000E003  Target Speed:   0.0  Current Speed:   5.6</t>
  </si>
  <si>
    <t>SYS :2016/12/14 17:27:15.462:ENFORCEMENT:Predictive Enforcement Action:  Target Number: 0000E002  Target Speed:   0.0  Current Speed:   5.6</t>
  </si>
  <si>
    <t>SYS :2016/12/14 17:34:00.303:ENFORCEMENT:Predictive Enforcement Action:  Target Number: 0000A00E  Target Speed:  10.0  Current Speed:  27.8</t>
  </si>
  <si>
    <t>SYS :2016/12/14 17:34:00.386:ENFORCEMENT:Predictive Enforcement Action:  Target Number: 0000A00E  Target Speed:  10.0  Current Speed:  28.4</t>
  </si>
  <si>
    <t>SYS :2016/12/14 17:34:00.993:ENFORCEMENT:Predictive Enforcement Action:  Target Number: 0000A00E  Target Speed:  10.0  Current Speed:  26.8</t>
  </si>
  <si>
    <t>SYS :2016/12/14 17:36:14.708:ENFORCEMENT:Predictive Enforcement Action:  Target Number: 00001062  Target Speed:   0.0  Current Speed:   9.7</t>
  </si>
  <si>
    <t>SYS :2016/12/14 17:36:14.845:ENFORCEMENT:Predictive Enforcement Action:  Target Number: 00001025  Target Speed:   0.0  Current Speed:   9.7</t>
  </si>
  <si>
    <t>SYS :2016/12/14 17:52:35.665:ENFORCEMENT:Predictive Enforcement Action:  Target Number: 00017247  Target Speed:   0.0  Current Speed:  21.9</t>
  </si>
  <si>
    <t>SYS :2016/12/14 17:52:36.716:ENFORCEMENT:Predictive Enforcement Action:  Target Number: 00017247  Target Speed:   0.0  Current Speed:  20.6</t>
  </si>
  <si>
    <t>SYS :2016/12/14 18:01:02.988:ENFORCEMENT:Predictive Enforcement Action:  Target Number: 000101FF  Target Speed:  40.0  Current Speed:  46.3</t>
  </si>
  <si>
    <t>SYS :2016/12/14 18:01:03.161:ENFORCEMENT:Predictive Enforcement Action:  Target Number: 000101FE  Target Speed:  40.0  Current Speed:  46.6</t>
  </si>
  <si>
    <t>SYS :2016/12/14 18:01:03.821:ENFORCEMENT:Predictive Enforcement Action:  Target Number: 00010088  Target Speed:  40.0  Current Speed:  46.6</t>
  </si>
  <si>
    <t>SYS :2016/12/14 18:08:47.821:ENFORCEMENT:Predictive Enforcement Action:  Target Number: 0000A00D  Target Speed:  10.0  Current Speed:  24.5</t>
  </si>
  <si>
    <t>SYS :2016/12/14 18:08:47.981:ENFORCEMENT:Predictive Enforcement Action:  Target Number: 0000A02E  Target Speed:  10.0  Current Speed:  24.5</t>
  </si>
  <si>
    <t>SYS :2016/12/14 18:08:48.151:ENFORCEMENT:Predictive Enforcement Action:  Target Number: 0000A02E  Target Speed:  10.0  Current Speed:  24.5</t>
  </si>
  <si>
    <t>SYS :2016/12/14 18:49:32.997:ENFORCEMENT:Predictive Enforcement Action:  Target Number: 00001047  Target Speed:   0.0  Current Speed:   4.6</t>
  </si>
  <si>
    <t>SYS :2016/12/14 18:51:08.610:ENFORCEMENT:Predictive Enforcement Action:  Target Number: 00001073  Target Speed:   0.0  Current Speed:  14.5</t>
  </si>
  <si>
    <t>SYS :2016/12/14 18:53:47.083:ENFORCEMENT:Predictive Enforcement Action:  Target Number: 000063DA  Target Speed:   0.0  Current Speed:  44.4</t>
  </si>
  <si>
    <t>SYS :2016/12/14 18:53:47.432:ENFORCEMENT:Predictive Enforcement Action:  Target Number: 0000606E  Target Speed:   0.0  Current Speed:  43.5</t>
  </si>
  <si>
    <t>SYS :2016/12/14 18:53:47.463:ENFORCEMENT:Predictive Enforcement Action:  Target Number: 00006320  Target Speed:   0.0  Current Speed:  44.4</t>
  </si>
  <si>
    <t>SYS :2016/12/14 18:56:13.431:ENFORCEMENT:Predictive Enforcement Action:  Target Number: 0000606E  Target Speed:   0.0  Current Speed:   4.3</t>
  </si>
  <si>
    <t>SYS :2016/12/14 19:04:10.481:ENFORCEMENT:Predictive Enforcement Action:  Target Number: 0000A028  Target Speed:  10.0  Current Speed:  45.6</t>
  </si>
  <si>
    <t>SYS :2016/12/14 19:20:19.060:ENFORCEMENT:Predictive Enforcement Action:  Target Number: 00001027  Target Speed:   0.0  Current Speed:   7.3</t>
  </si>
  <si>
    <t>SYS :2016/12/14 19:20:19.434:ENFORCEMENT:Predictive Enforcement Action:  Target Number: 00001007  Target Speed:   0.0  Current Speed:   7.1</t>
  </si>
  <si>
    <t>SYS :2016/12/14 19:20:21.373:ENFORCEMENT:Predictive Enforcement Action:  Target Number: 00001002  Target Speed:   0.0  Current Speed:   6.5</t>
  </si>
  <si>
    <t>SYS :2016/12/14 19:26:14.284:ENFORCEMENT:Predictive Enforcement Action:  Target Number: 00001020  Target Speed:   0.0  Current Speed:   9.4</t>
  </si>
  <si>
    <t>SYS :2016/12/14 19:26:14.954:ENFORCEMENT:Predictive Enforcement Action:  Target Number: 00001003  Target Speed:   0.0  Current Speed:   9.4</t>
  </si>
  <si>
    <t>SYS :2016/12/14 19:26:15.397:ENFORCEMENT:Predictive Enforcement Action:  Target Number: 00001020  Target Speed:   0.0  Current Speed:   9.4</t>
  </si>
  <si>
    <t>SYS :2016/12/14 19:27:45.954:ENFORCEMENT:Predictive Enforcement Action:  Target Number: 00001003  Target Speed:   0.0  Current Speed:   3.2</t>
  </si>
  <si>
    <t>SYS :2016/12/14 19:27:46.275:ENFORCEMENT:Predictive Enforcement Action:  Target Number: 00001020  Target Speed:   0.0  Current Speed:   3.2</t>
  </si>
  <si>
    <t>SYS :2016/12/14 19:27:46.397:ENFORCEMENT:Predictive Enforcement Action:  Target Number: 00001020  Target Speed:   0.0  Current Speed:   3.2</t>
  </si>
  <si>
    <t>SYS :2016/12/14 20:03:30.075:ENFORCEMENT:Predictive Enforcement Action:  Target Number: 0000A002  Target Speed:  10.0  Current Speed:  37.9</t>
  </si>
  <si>
    <t>SYS :2016/12/14 20:03:34.474:ENFORCEMENT:Predictive Enforcement Action:  Target Number: 0000A02F  Target Speed:  10.0  Current Speed:  32.7</t>
  </si>
  <si>
    <t>SYS :2016/12/14 20:03:34.634:ENFORCEMENT:Predictive Enforcement Action:  Target Number: 0000A02F  Target Speed:  10.0  Current Speed:  31.9</t>
  </si>
  <si>
    <t>SYS :2016/12/14 21:05:09.276:ENFORCEMENT:Predictive Enforcement Action:  Target Number: 00001022  Target Speed:   0.0  Current Speed:   8.6</t>
  </si>
  <si>
    <t>SYS :2016/12/14 21:48:54.478:ENFORCEMENT:Predictive Enforcement Action:  Target Number: 0000A030  Target Speed:  10.0  Current Speed:  25.2</t>
  </si>
  <si>
    <t>SYS :2016/12/14 21:48:54.641:ENFORCEMENT:Predictive Enforcement Action:  Target Number: 0000A030  Target Speed:  10.0  Current Speed:  24.7</t>
  </si>
  <si>
    <t>SYS :2016/12/14 21:48:55.069:ENFORCEMENT:Predictive Enforcement Action:  Target Number: 0000A003  Target Speed:  10.0  Current Speed:  24.7</t>
  </si>
  <si>
    <t>SYS :2016/12/14 22:48:51.273:ENFORCEMENT:Predictive Enforcement Action:  Target Number: 000102B7  Target Speed:  15.0  Current Speed:  34.0</t>
  </si>
  <si>
    <t>SYS :2016/12/14 22:48:51.958:ENFORCEMENT:Predictive Enforcement Action:  Target Number: 0001007D  Target Speed:  15.0  Current Speed:  34.0</t>
  </si>
  <si>
    <t>SYS :2016/12/14 22:48:52.396:ENFORCEMENT:Predictive Enforcement Action:  Target Number: 00010298  Target Speed:  15.0  Current Speed:  34.0</t>
  </si>
  <si>
    <t>SYS :2016/12/14 23:41:59.135:ENFORCEMENT:Reactive Enforcement Action:  Target Number: 000062CA  Target Speed:   0.0  Current Speed:   5.1</t>
  </si>
  <si>
    <t>SYS :2016/12/14 23:41:59.475:ENFORCEMENT:Reactive Enforcement Action:  Target Number: 00006303  Target Speed:   0.0  Current Speed:   6.0</t>
  </si>
  <si>
    <t>SYS :2016/12/14 23:42:01.118:ENFORCEMENT:Reactive Enforcement Action:  Target Number: 000062B8  Target Speed:   0.0  Current Speed:   6.8</t>
  </si>
  <si>
    <t>SYS :2016/12/14 23:42:41.456:ENFORCEMENT:Reactive Enforcement Action:  Target Number: 00006303  Target Speed:   0.0  Current Speed:   0.4</t>
  </si>
  <si>
    <t>SYS :2016/12/14 23:42:42.111:ENFORCEMENT:Reactive Enforcement Action:  Target Number: 000062B8  Target Speed:   0.0  Current Speed:   0.4</t>
  </si>
  <si>
    <t>SYS :2016/12/14 23:42:42.124:ENFORCEMENT:Reactive Enforcement Action:  Target Number: 000062CA  Target Speed:   0.0  Current Speed:   0.4</t>
  </si>
  <si>
    <t>SYS :2016/12/14 23:51:34.620:ENFORCEMENT:Predictive Enforcement Action:  Target Number: 0000102A  Target Speed:   0.0  Current Speed:  12.7</t>
  </si>
  <si>
    <t>SYS :2016/12/14 23:52:14.619:ENFORCEMENT:Predictive Enforcement Action:  Target Number: 0000102A  Target Speed:   0.0  Current Speed:   8.7</t>
  </si>
  <si>
    <t>SYS :2016/12/15 00:19:51.666:ENFORCEMENT:Predictive Enforcement Action:  Target Number: 00010255  Target Speed:  15.0  Current Speed:  28.1</t>
  </si>
  <si>
    <t>SYS :2016/12/15 00:19:51.712:ENFORCEMENT:Predictive Enforcement Action:  Target Number: 000101BE  Target Speed:  15.0  Current Speed:  28.1</t>
  </si>
  <si>
    <t>SYS :2016/12/15 00:19:52.465:ENFORCEMENT:Predictive Enforcement Action:  Target Number: 00010250  Target Speed:  15.0  Current Speed:  27.6</t>
  </si>
  <si>
    <t>SYS :2016/12/15 01:03:25.592:ENFORCEMENT:Predictive Enforcement Action:  Target Number: 0000A013  Target Speed:  10.0  Current Speed:  33.7</t>
  </si>
  <si>
    <t>SYS :2016/12/15 01:03:25.882:ENFORCEMENT:Predictive Enforcement Action:  Target Number: 0000A013  Target Speed:  10.0  Current Speed:  33.7</t>
  </si>
  <si>
    <t>SYS :2016/12/15 01:03:26.126:ENFORCEMENT:Predictive Enforcement Action:  Target Number: 0000A013  Target Speed:  10.0  Current Speed:  33.7</t>
  </si>
  <si>
    <t>SYS :2016/12/15 02:06:46.998:ENFORCEMENT:Predictive Enforcement Action:  Target Number: 00001017  Target Speed:   0.0  Current Speed:   3.8</t>
  </si>
  <si>
    <t>SYS :2016/12/15 02:33:01.023:ENFORCEMENT:Predictive Enforcement Action:  Target Number: 0000A005  Target Speed:  10.0  Current Speed:  44.6</t>
  </si>
  <si>
    <t>SYS :2016/12/15 02:48:08.893:ENFORCEMENT:Predictive Enforcement Action:  Target Number: 0000A014  Target Speed:  10.0  Current Speed:  58.6</t>
  </si>
  <si>
    <t>SYS :2016/12/15 02:48:09.133:ENFORCEMENT:Predictive Enforcement Action:  Target Number: 0000A014  Target Speed:  10.0  Current Speed:  58.6</t>
  </si>
  <si>
    <t>SYS :2016/12/15 02:48:09.600:ENFORCEMENT:Predictive Enforcement Action:  Target Number: 0000A014  Target Speed:  10.0  Current Speed:  58.6</t>
  </si>
  <si>
    <t>SYS :2016/12/15 03:33:30.993:ENFORCEMENT:Predictive Enforcement Action:  Target Number: 00001052  Target Speed:   0.0  Current Speed:   5.2</t>
  </si>
  <si>
    <t>SYS :2016/12/15 03:33:31.394:ENFORCEMENT:Predictive Enforcement Action:  Target Number: 0000104F  Target Speed:   0.0  Current Speed:   5.2</t>
  </si>
  <si>
    <t>SYS :2016/12/15 03:55:06.113:ENFORCEMENT:Predictive Enforcement Action:  Target Number: 00001055  Target Speed:   0.0  Current Speed:   5.2</t>
  </si>
  <si>
    <t>SYS :2016/12/15 03:55:06.458:ENFORCEMENT:Predictive Enforcement Action:  Target Number: 00001053  Target Speed:   0.0  Current Speed:   5.2</t>
  </si>
  <si>
    <t>SYS :2016/12/15 04:10:06.205:ENFORCEMENT:Predictive Enforcement Action:  Target Number: 0000100F  Target Speed:   0.0  Current Speed:   5.7</t>
  </si>
  <si>
    <t>SYS :2016/12/15 04:10:06.428:ENFORCEMENT:Predictive Enforcement Action:  Target Number: 00001014  Target Speed:   0.0  Current Speed:   5.7</t>
  </si>
  <si>
    <t>SYS :2016/12/15 04:36:28.698:ENFORCEMENT:Predictive Enforcement Action:  Target Number: 00001082  Target Speed:   0.0  Current Speed:   3.7</t>
  </si>
  <si>
    <t>SYS :2016/12/15 04:36:28.792:ENFORCEMENT:Predictive Enforcement Action:  Target Number: 00001076  Target Speed:   0.0  Current Speed:   3.7</t>
  </si>
  <si>
    <t>SYS :2016/12/15 04:36:28.835:ENFORCEMENT:Predictive Enforcement Action:  Target Number: 00001045  Target Speed:   0.0  Current Speed:   3.7</t>
  </si>
  <si>
    <t>SYS :2016/12/15 05:30:06.715:ENFORCEMENT:Predictive Enforcement Action:  Target Number: 0001077B  Target Speed:  30.0  Current Speed:  39.4</t>
  </si>
  <si>
    <t>SYS :2016/12/15 05:30:06.807:ENFORCEMENT:Predictive Enforcement Action:  Target Number: 000106B6  Target Speed:  30.0  Current Speed:  39.4</t>
  </si>
  <si>
    <t>SYS :2016/12/15 05:30:06.852:ENFORCEMENT:Predictive Enforcement Action:  Target Number: 00010316  Target Speed:  30.0  Current Speed:  39.4</t>
  </si>
  <si>
    <t>SYS :2016/12/15 06:29:05.594:ENFORCEMENT:Reactive Enforcement Action:  Target Number: 000101A7  Target Speed:  35.0  Current Speed:  40.0</t>
  </si>
  <si>
    <t>SYS :2016/12/15 06:29:05.877:ENFORCEMENT:Reactive Enforcement Action:  Target Number: 000101A4  Target Speed:  35.0  Current Speed:  40.0</t>
  </si>
  <si>
    <t>SYS :2016/12/15 06:29:06.133:ENFORCEMENT:Reactive Enforcement Action:  Target Number: 000101A7  Target Speed:  35.0  Current Speed:  40.0</t>
  </si>
  <si>
    <t>SYS :2016/12/15 08:03:31.211:ENFORCEMENT:Predictive Enforcement Action:  Target Number: 00001013  Target Speed:   0.0  Current Speed:   6.0</t>
  </si>
  <si>
    <t>SYS :2016/12/15 08:03:31.442:ENFORCEMENT:Predictive Enforcement Action:  Target Number: 00001018  Target Speed:   0.0  Current Speed:   6.0</t>
  </si>
  <si>
    <t>SYS :2016/12/15 08:03:32.067:ENFORCEMENT:Predictive Enforcement Action:  Target Number: 00001038  Target Speed:   0.0  Current Speed:   6.0</t>
  </si>
  <si>
    <t>Banner without braking</t>
  </si>
  <si>
    <t>Wi-MAX data drop, did not result in enforcement or cut out</t>
  </si>
  <si>
    <t>http://stevetu21.github.io/eaglep3/load_kml.html?kml=http://rtdc.gmaps-snips.s3.amazonaws.com/15d3d6ab-3490-4f49-8b27-ac0146580167.kml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</si>
</sst>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9" fillId="9" borderId="0" xfId="0" applyNumberFormat="1" applyFont="1" applyFill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15d3d6ab-3490-4f49-8b27-ac0146580167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0"/>
  <sheetViews>
    <sheetView tabSelected="1" topLeftCell="A7" zoomScaleNormal="100" workbookViewId="0">
      <selection activeCell="F13" sqref="F13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42718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42718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COUNTIFS($N$13:$N$9361,"&gt;0",$AG$13:$AG$9361,I1)</f>
        <v>143</v>
      </c>
      <c r="K5" s="44"/>
      <c r="L5" s="44"/>
      <c r="M5" s="45">
        <f>AVERAGEIFS($N$13:$N$9361,$AG$13:$AG$9361,I1)</f>
        <v>39.228088578438857</v>
      </c>
      <c r="N5" s="43">
        <f t="array" ref="N5">MIN(IF($AG$13:$AG$9361=I1,IF(ISNUMBER($N$13:$N$9361),IF($N$13:$N$9361&gt;0,$N$13:$N$9361))))</f>
        <v>33.900000003632158</v>
      </c>
      <c r="O5" s="3">
        <f t="array" ref="O5">MAX(IF($AG$13:$AG$9361=I1,IF(ISNUMBER($N$13:$N$9361),IF($N$13:$N$9361&gt;0,$N$13:$N$9361))))</f>
        <v>51.816666657105088</v>
      </c>
      <c r="P5" s="2"/>
      <c r="R5" s="80" t="s">
        <v>17</v>
      </c>
      <c r="S5" s="55">
        <f>COUNTIFS($N$13:$N$9361,"&gt;0",$AG$13:$AG$9361,R1)</f>
        <v>47</v>
      </c>
      <c r="T5" s="44"/>
      <c r="U5" s="169"/>
      <c r="V5" s="45">
        <f>AVERAGEIFS($N$13:$N$9361,$AG$13:$AG$9361,R1)</f>
        <v>14.932978722078607</v>
      </c>
      <c r="W5" s="43">
        <f t="array" ref="W5">MIN(IF($AG$13:$AG$9361=R1,IF(ISNUMBER($N$13:$N$9361),IF($N$13:$N$9361&gt;0,$N$13:$N$9361))))</f>
        <v>12.683333333116025</v>
      </c>
      <c r="X5" s="173">
        <f t="array" ref="X5">MAX(IF($AG$13:$AG$9361=R1,IF(ISNUMBER($N$13:$N$9361),IF($N$13:$N$9361&gt;0,$N$13:$N$9361))))</f>
        <v>17.449999992968515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COUNT($O$13:$O$146)</f>
        <v>0</v>
      </c>
      <c r="K6" s="44"/>
      <c r="L6" s="44"/>
      <c r="M6" s="45">
        <f>IFERROR(AVERAGE($O$13:$O$146),0)</f>
        <v>0</v>
      </c>
      <c r="N6" s="43">
        <f>MIN($O$13:$O$146)</f>
        <v>0</v>
      </c>
      <c r="O6" s="3">
        <f>MAX($O$13:$O$146)</f>
        <v>0</v>
      </c>
      <c r="P6" s="2"/>
      <c r="R6" s="81" t="s">
        <v>43</v>
      </c>
      <c r="S6" s="55">
        <f>COUNT($O$13:$O$146)</f>
        <v>0</v>
      </c>
      <c r="T6" s="44"/>
      <c r="U6" s="169"/>
      <c r="V6" s="45">
        <f>IFERROR(AVERAGE($O$13:$O$146),0)</f>
        <v>0</v>
      </c>
      <c r="W6" s="43">
        <f>MIN($O$13:$O$146)</f>
        <v>0</v>
      </c>
      <c r="X6" s="173">
        <f>MAX($O$13:$O$146)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COUNTIFS($P$13:$P$9361,"&gt;0",$AG$13:$AG$9361,I1)</f>
        <v>1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COUNTIFS($P$13:$P$9361,"&gt;0",$AG$13:$AG$9361,R1)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143</v>
      </c>
      <c r="K8" s="44"/>
      <c r="L8" s="44"/>
      <c r="M8" s="45">
        <f>M5</f>
        <v>39.228088578438857</v>
      </c>
      <c r="N8" s="43">
        <f>N5</f>
        <v>33.900000003632158</v>
      </c>
      <c r="O8" s="3">
        <f>O5</f>
        <v>51.816666657105088</v>
      </c>
      <c r="P8" s="2"/>
      <c r="R8" s="80" t="s">
        <v>16</v>
      </c>
      <c r="S8" s="55">
        <f>S5</f>
        <v>47</v>
      </c>
      <c r="T8" s="44"/>
      <c r="U8" s="169"/>
      <c r="V8" s="45">
        <f>V5</f>
        <v>14.932978722078607</v>
      </c>
      <c r="W8" s="43">
        <f>W5</f>
        <v>12.683333333116025</v>
      </c>
      <c r="X8" s="173">
        <f>X5</f>
        <v>17.449999992968515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0.99305555555555558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- 2016-12-14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AVERAGE(S13:S102)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459</v>
      </c>
      <c r="B13" s="7">
        <v>4040</v>
      </c>
      <c r="C13" s="22" t="s">
        <v>207</v>
      </c>
      <c r="D13" s="22" t="s">
        <v>345</v>
      </c>
      <c r="E13" s="13">
        <v>42718.130104166667</v>
      </c>
      <c r="F13" s="13">
        <v>42718.135648148149</v>
      </c>
      <c r="G13" s="7">
        <v>1</v>
      </c>
      <c r="H13" s="22" t="s">
        <v>684</v>
      </c>
      <c r="I13" s="13">
        <v>42718.160740740743</v>
      </c>
      <c r="J13" s="7">
        <v>0</v>
      </c>
      <c r="K13" s="109" t="str">
        <f t="shared" ref="K13:K76" si="0">IF(ISEVEN(B13),(B13-1)&amp;"/"&amp;B13,B13&amp;"/"&amp;(B13+1))</f>
        <v>4039/4040</v>
      </c>
      <c r="L13" s="22" t="str">
        <f>VLOOKUP(A13,'Trips&amp;Operators'!$C$1:$G$99999,5,FALSE)</f>
        <v>GRASTON MATHEU</v>
      </c>
      <c r="M13" s="6">
        <f t="shared" ref="M13:M76" si="1">I13-F13</f>
        <v>2.5092592593864538E-2</v>
      </c>
      <c r="N13" s="7">
        <f t="shared" ref="N13:N44" si="2">24*60*SUM($M13:$M13)</f>
        <v>36.133333335164934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https://search-rtdc-monitor-bjffxe2xuh6vdkpspy63sjmuny.us-east-1.es.amazonaws.com/_plugin/kibana/#/discover/Steve-Slow-Train-Analysis-(2080s-and-2083s)?_g=(refreshInterval:(display:Off,section:0,value:0),time:(from:'2016-12-14 02:07:21-700',mode:absolute,to:'2016-12-14 04:51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" s="52" t="str">
        <f t="shared" ref="W13:W76" si="6">IF(AA13&lt;IF(AG13="EC",23,5.65),"Y","N")</f>
        <v>N</v>
      </c>
      <c r="X13" s="177" t="e">
        <f t="shared" ref="X13:X37" si="7">VALUE(LEFT(AD13,4))-VALUE(LEFT(AD12,4))</f>
        <v>#VALUE!</v>
      </c>
      <c r="Y13" s="67">
        <f t="shared" ref="Y13:Y37" si="8">RIGHT(D13,LEN(D13)-4)/10000</f>
        <v>7.5700000000000003E-2</v>
      </c>
      <c r="Z13" s="67">
        <f t="shared" ref="Z13:Z37" si="9">RIGHT(H13,LEN(H13)-4)/10000</f>
        <v>23.3355</v>
      </c>
      <c r="AA13" s="67">
        <f t="shared" ref="AA13:AA76" si="10">ABS(Z13-Y13)</f>
        <v>23.259799999999998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76" si="11">IF(LEN(A13)=6,"0"&amp;A13,A13)</f>
        <v>0101-14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 &amp; aws s3 cp s3://rtdc.mdm.uploadarchive.raw/RTDC4040/ "%USERPROFILE%\AppData\Local\Temp\OnboardLogs"\RTDC4040\2016-12-15 --exclude "*" --recursive --include "*20161215*" &amp; "%USERPROFILE%\Documents\GitHub\mrs-test-scripts\Headless Mode &amp; Sideloading\WalkAndUnGZ.bat" "%USERPROFILE%\AppData\Local\Temp\OnboardLogs"\RTDC4040\2016-12-15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/stypes="app*4040*20161214*"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101-14 --locoid 4040 --swversion DE.1.0.8.0 --startMP 204:757 --initTime 2016-12-14T03:07:21 --startdatetime 2016-12-14T03:15:20 --delay 1 --endMP 204:233355 --enddatetime 2016-12-14T03:51:28 --enforcementcount 0 &gt;&gt;C:\Users\stu\Documents\GitHub\eaglep3-reporting\EC\2016-12-14-refined-times.txt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{"issue":{"subject":"","project_id":79,"tracker_id":40,"status_id":1,"priority_id":2,"assigned_to_id":23,"start_date":"2016-12-14","description":"","custom_fields":[{"id":1,"name":"Subdivision","value":"EC"},{"id":4,"name":"Milepost","value":"23.3355"},{"id":17,"name":"Train ID","value":"101-14"},{"id":16,"name":"Locomotive ID","value":"4040"},{"id":130,"name":"Impact","value":""},{"id":150,"name":"Time of Event (Mountain Time)","value":"03:51:28"},{"id":151,"name":"Denver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464</v>
      </c>
      <c r="B14" s="7">
        <v>4043</v>
      </c>
      <c r="C14" s="22" t="s">
        <v>207</v>
      </c>
      <c r="D14" s="22" t="s">
        <v>685</v>
      </c>
      <c r="E14" s="13">
        <v>42718.170717592591</v>
      </c>
      <c r="F14" s="13">
        <v>42718.174571759257</v>
      </c>
      <c r="G14" s="7">
        <v>1</v>
      </c>
      <c r="H14" s="22" t="s">
        <v>213</v>
      </c>
      <c r="I14" s="13">
        <v>42718.201921296299</v>
      </c>
      <c r="J14" s="7">
        <v>0</v>
      </c>
      <c r="K14" s="109" t="str">
        <f t="shared" si="0"/>
        <v>4043/4044</v>
      </c>
      <c r="L14" s="22" t="str">
        <f>VLOOKUP(A14,'Trips&amp;Operators'!$C$1:$G$99999,5,FALSE)</f>
        <v>GRASTON MATHEU</v>
      </c>
      <c r="M14" s="6">
        <f t="shared" si="1"/>
        <v>2.7349537042027805E-2</v>
      </c>
      <c r="N14" s="7">
        <f t="shared" si="2"/>
        <v>39.383333340520039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03:05:50-700',mode:absolute,to:'2016-12-14 05:50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23.2715</v>
      </c>
      <c r="Z14" s="67">
        <f t="shared" si="9"/>
        <v>1.4999999999999999E-2</v>
      </c>
      <c r="AA14" s="67">
        <f t="shared" si="10"/>
        <v>23.256499999999999</v>
      </c>
      <c r="AB14" s="64" t="e">
        <f>VLOOKUP(A14,Enforcements!$C$7:$K$19,8,0)</f>
        <v>#N/A</v>
      </c>
      <c r="AC14" s="60" t="e">
        <f>VLOOKUP(A14,Enforcements!$C$7:$E$19,3,0)</f>
        <v>#N/A</v>
      </c>
      <c r="AD14" s="61" t="str">
        <f t="shared" si="11"/>
        <v>0102-14</v>
      </c>
      <c r="AE14" s="91" t="str">
        <f t="shared" si="12"/>
        <v>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 &amp; aws s3 cp s3://rtdc.mdm.uploadarchive.raw/RTDC4043/ "%USERPROFILE%\AppData\Local\Temp\OnboardLogs"\RTDC4043\2016-12-15 --exclude "*" --recursive --include "*20161215*" &amp; "%USERPROFILE%\Documents\GitHub\mrs-test-scripts\Headless Mode &amp; Sideloading\WalkAndUnGZ.bat" "%USERPROFILE%\AppData\Local\Temp\OnboardLogs"\RTDC4043\2016-12-15</v>
      </c>
      <c r="AF14" s="88" t="str">
        <f t="shared" si="13"/>
        <v>"C:\Program Files (x86)\AstroGrep\AstroGrep.exe" /spath="%USERPROFILE%\AppData\Local\Temp\OnboardLogs" /stypes="app*4043*20161214*"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8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102-14 --locoid 4043 --swversion DE.1.0.8.0 --startMP 204:232715 --initTime 2016-12-14T04:05:50 --startdatetime 2016-12-14T04:11:23 --delay 1 --endMP 204:150 --enddatetime 2016-12-14T04:50:46 --enforcementcount 0 &gt;&gt;C:\Users\stu\Documents\GitHub\eaglep3-reporting\EC\2016-12-14-refined-times.txt</v>
      </c>
      <c r="AI14" s="119" t="str">
        <f t="shared" ref="AI14:AI78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{"issue":{"subject":"","project_id":79,"tracker_id":40,"status_id":1,"priority_id":2,"assigned_to_id":23,"start_date":"2016-12-14","description":"","custom_fields":[{"id":1,"name":"Subdivision","value":"EC"},{"id":4,"name":"Milepost","value":"0.015"},{"id":17,"name":"Train ID","value":"102-14"},{"id":16,"name":"Locomotive ID","value":"4043"},{"id":130,"name":"Impact","value":""},{"id":150,"name":"Time of Event (Mountain Time)","value":"04:50:46"},{"id":151,"name":"Denver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461</v>
      </c>
      <c r="B15" s="7">
        <v>4014</v>
      </c>
      <c r="C15" s="22" t="s">
        <v>207</v>
      </c>
      <c r="D15" s="22" t="s">
        <v>409</v>
      </c>
      <c r="E15" s="13">
        <v>42718.151979166665</v>
      </c>
      <c r="F15" s="13">
        <v>42718.156469907408</v>
      </c>
      <c r="G15" s="7">
        <v>2</v>
      </c>
      <c r="H15" s="22" t="s">
        <v>335</v>
      </c>
      <c r="I15" s="13">
        <v>42718.182569444441</v>
      </c>
      <c r="J15" s="7">
        <v>0</v>
      </c>
      <c r="K15" s="109" t="str">
        <f t="shared" si="0"/>
        <v>4013/4014</v>
      </c>
      <c r="L15" s="22" t="str">
        <f>VLOOKUP(A15,'Trips&amp;Operators'!$C$1:$G$99999,5,FALSE)</f>
        <v>ACKERMAN JARED</v>
      </c>
      <c r="M15" s="6">
        <f t="shared" si="1"/>
        <v>2.6099537033587694E-2</v>
      </c>
      <c r="N15" s="7">
        <f t="shared" si="2"/>
        <v>37.58333332836628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02:38:51-700',mode:absolute,to:'2016-12-14 05:22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7.0800000000000002E-2</v>
      </c>
      <c r="Z15" s="67">
        <f t="shared" si="9"/>
        <v>23.3323</v>
      </c>
      <c r="AA15" s="67">
        <f t="shared" si="10"/>
        <v>23.261500000000002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si="11"/>
        <v>0103-14</v>
      </c>
      <c r="AE15" s="91" t="str">
        <f t="shared" si="12"/>
        <v>aws s3 cp s3://rtdc.mdm.uploadarchive.raw/RTDC4014/ "%USERPROFILE%\AppData\Local\Temp\OnboardLogs"\RTDC4014\2016-12-14 --exclude "*" --recursive --include "*20161214*" &amp; "%USERPROFILE%\Documents\GitHub\mrs-test-scripts\Headless Mode &amp; Sideloading\WalkAndUnGZ.bat" "%USERPROFILE%\AppData\Local\Temp\OnboardLogs"\RTDC4014\2016-12-14 &amp; aws s3 cp s3://rtdc.mdm.uploadarchive.raw/RTDC4014/ "%USERPROFILE%\AppData\Local\Temp\OnboardLogs"\RTDC4014\2016-12-15 --exclude "*" --recursive --include "*20161215*" &amp; "%USERPROFILE%\Documents\GitHub\mrs-test-scripts\Headless Mode &amp; Sideloading\WalkAndUnGZ.bat" "%USERPROFILE%\AppData\Local\Temp\OnboardLogs"\RTDC4014\2016-12-15</v>
      </c>
      <c r="AF15" s="88" t="str">
        <f t="shared" si="13"/>
        <v>"C:\Program Files (x86)\AstroGrep\AstroGrep.exe" /spath="%USERPROFILE%\AppData\Local\Temp\OnboardLogs" /stypes="app*4014*20161214*"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103-14 --locoid 4014 --swversion DE.1.0.8.0 --startMP 204:708 --initTime 2016-12-14T03:38:51 --startdatetime 2016-12-14T03:45:19 --delay 2 --endMP 204:233323 --enddatetime 2016-12-14T04:22:54 --enforcementcount 0 &gt;&gt;C:\Users\stu\Documents\GitHub\eaglep3-reporting\EC\2016-12-14-refined-times.txt</v>
      </c>
      <c r="AI15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{"issue":{"subject":"","project_id":79,"tracker_id":40,"status_id":1,"priority_id":2,"assigned_to_id":23,"start_date":"2016-12-14","description":"","custom_fields":[{"id":1,"name":"Subdivision","value":"EC"},{"id":4,"name":"Milepost","value":"23.3323"},{"id":17,"name":"Train ID","value":"103-14"},{"id":16,"name":"Locomotive ID","value":"4014"},{"id":130,"name":"Impact","value":""},{"id":150,"name":"Time of Event (Mountain Time)","value":"04:22:54"},{"id":151,"name":"Denver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468</v>
      </c>
      <c r="B16" s="7">
        <v>4004</v>
      </c>
      <c r="C16" s="22" t="s">
        <v>207</v>
      </c>
      <c r="D16" s="22" t="s">
        <v>686</v>
      </c>
      <c r="E16" s="13">
        <v>42718.189687500002</v>
      </c>
      <c r="F16" s="13">
        <v>42718.1953587963</v>
      </c>
      <c r="G16" s="7">
        <v>7</v>
      </c>
      <c r="H16" s="22" t="s">
        <v>213</v>
      </c>
      <c r="I16" s="13">
        <v>42718.22693287037</v>
      </c>
      <c r="J16" s="7">
        <v>0</v>
      </c>
      <c r="K16" s="109" t="str">
        <f t="shared" si="0"/>
        <v>4003/4004</v>
      </c>
      <c r="L16" s="22" t="str">
        <f>VLOOKUP(A16,'Trips&amp;Operators'!$C$1:$G$99999,5,FALSE)</f>
        <v>ACKERMAN JARED</v>
      </c>
      <c r="M16" s="6">
        <f t="shared" si="1"/>
        <v>3.1574074069794733E-2</v>
      </c>
      <c r="N16" s="7">
        <f t="shared" si="2"/>
        <v>45.466666660504416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03:33:09-700',mode:absolute,to:'2016-12-14 06:26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23.27</v>
      </c>
      <c r="Z16" s="67">
        <f t="shared" si="9"/>
        <v>1.4999999999999999E-2</v>
      </c>
      <c r="AA16" s="67">
        <f t="shared" si="10"/>
        <v>23.254999999999999</v>
      </c>
      <c r="AB16" s="64" t="e">
        <f>VLOOKUP(A16,Enforcements!$C$7:$K$19,8,0)</f>
        <v>#N/A</v>
      </c>
      <c r="AC16" s="60" t="e">
        <f>VLOOKUP(A16,Enforcements!$C$7:$E$19,3,0)</f>
        <v>#N/A</v>
      </c>
      <c r="AD16" s="61" t="str">
        <f t="shared" si="11"/>
        <v>0104-14</v>
      </c>
      <c r="AE16" s="91" t="str">
        <f t="shared" si="12"/>
        <v>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 &amp; aws s3 cp s3://rtdc.mdm.uploadarchive.raw/RTDC4004/ "%USERPROFILE%\AppData\Local\Temp\OnboardLogs"\RTDC4004\2016-12-15 --exclude "*" --recursive --include "*20161215*" &amp; "%USERPROFILE%\Documents\GitHub\mrs-test-scripts\Headless Mode &amp; Sideloading\WalkAndUnGZ.bat" "%USERPROFILE%\AppData\Local\Temp\OnboardLogs"\RTDC4004\2016-12-15</v>
      </c>
      <c r="AF16" s="88" t="str">
        <f t="shared" si="13"/>
        <v>"C:\Program Files (x86)\AstroGrep\AstroGrep.exe" /spath="%USERPROFILE%\AppData\Local\Temp\OnboardLogs" /stypes="app*4004*20161214*"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104-14 --locoid 4004 --swversion DE.1.0.8.0 --startMP 204:232700 --initTime 2016-12-14T04:33:09 --startdatetime 2016-12-14T04:41:19 --delay 7 --endMP 204:150 --enddatetime 2016-12-14T05:26:47 --enforcementcount 0 &gt;&gt;C:\Users\stu\Documents\GitHub\eaglep3-reporting\EC\2016-12-14-refined-times.txt</v>
      </c>
      <c r="AI16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{"issue":{"subject":"","project_id":79,"tracker_id":40,"status_id":1,"priority_id":2,"assigned_to_id":23,"start_date":"2016-12-14","description":"","custom_fields":[{"id":1,"name":"Subdivision","value":"EC"},{"id":4,"name":"Milepost","value":"0.015"},{"id":17,"name":"Train ID","value":"104-14"},{"id":16,"name":"Locomotive ID","value":"4004"},{"id":130,"name":"Impact","value":""},{"id":150,"name":"Time of Event (Mountain Time)","value":"05:26:47"},{"id":151,"name":"Denver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465</v>
      </c>
      <c r="B17" s="7">
        <v>4046</v>
      </c>
      <c r="C17" s="22" t="s">
        <v>207</v>
      </c>
      <c r="D17" s="22" t="s">
        <v>687</v>
      </c>
      <c r="E17" s="13">
        <v>42718.170960648145</v>
      </c>
      <c r="F17" s="13">
        <v>42718.177488425928</v>
      </c>
      <c r="G17" s="7">
        <v>1</v>
      </c>
      <c r="H17" s="22" t="s">
        <v>688</v>
      </c>
      <c r="I17" s="13">
        <v>42718.202835648146</v>
      </c>
      <c r="J17" s="7">
        <v>0</v>
      </c>
      <c r="K17" s="109" t="str">
        <f t="shared" si="0"/>
        <v>4045/4046</v>
      </c>
      <c r="L17" s="22" t="str">
        <f>VLOOKUP(A17,'Trips&amp;Operators'!$C$1:$G$99999,5,FALSE)</f>
        <v>DE LA ROSA ALEX</v>
      </c>
      <c r="M17" s="6">
        <f t="shared" si="1"/>
        <v>2.5347222217533272E-2</v>
      </c>
      <c r="N17" s="7">
        <f t="shared" si="2"/>
        <v>36.499999993247911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03:06:11-700',mode:absolute,to:'2016-12-14 05:52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7.2599999999999998E-2</v>
      </c>
      <c r="Z17" s="67">
        <f t="shared" si="9"/>
        <v>23.33</v>
      </c>
      <c r="AA17" s="67">
        <f t="shared" si="10"/>
        <v>23.257399999999997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11"/>
        <v>0105-14</v>
      </c>
      <c r="AE17" s="91" t="str">
        <f t="shared" si="12"/>
        <v>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 &amp; aws s3 cp s3://rtdc.mdm.uploadarchive.raw/RTDC4046/ "%USERPROFILE%\AppData\Local\Temp\OnboardLogs"\RTDC4046\2016-12-15 --exclude "*" --recursive --include "*20161215*" &amp; "%USERPROFILE%\Documents\GitHub\mrs-test-scripts\Headless Mode &amp; Sideloading\WalkAndUnGZ.bat" "%USERPROFILE%\AppData\Local\Temp\OnboardLogs"\RTDC4046\2016-12-15</v>
      </c>
      <c r="AF17" s="88" t="str">
        <f t="shared" si="13"/>
        <v>"C:\Program Files (x86)\AstroGrep\AstroGrep.exe" /spath="%USERPROFILE%\AppData\Local\Temp\OnboardLogs" /stypes="app*4046*20161214*"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105-14 --locoid 4046 --swversion DE.1.0.8.0 --startMP 204:726 --initTime 2016-12-14T04:06:11 --startdatetime 2016-12-14T04:15:35 --delay 1 --endMP 204:233300 --enddatetime 2016-12-14T04:52:05 --enforcementcount 0 &gt;&gt;C:\Users\stu\Documents\GitHub\eaglep3-reporting\EC\2016-12-14-refined-times.txt</v>
      </c>
      <c r="AI17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{"issue":{"subject":"","project_id":79,"tracker_id":40,"status_id":1,"priority_id":2,"assigned_to_id":23,"start_date":"2016-12-14","description":"","custom_fields":[{"id":1,"name":"Subdivision","value":"EC"},{"id":4,"name":"Milepost","value":"23.33"},{"id":17,"name":"Train ID","value":"105-14"},{"id":16,"name":"Locomotive ID","value":"4046"},{"id":130,"name":"Impact","value":""},{"id":150,"name":"Time of Event (Mountain Time)","value":"04:52:05"},{"id":151,"name":"Denver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475</v>
      </c>
      <c r="B18" s="7">
        <v>4032</v>
      </c>
      <c r="C18" s="22" t="s">
        <v>207</v>
      </c>
      <c r="D18" s="22" t="s">
        <v>689</v>
      </c>
      <c r="E18" s="13">
        <v>42718.20925925926</v>
      </c>
      <c r="F18" s="13">
        <v>42718.216261574074</v>
      </c>
      <c r="G18" s="7">
        <v>1</v>
      </c>
      <c r="H18" s="22" t="s">
        <v>392</v>
      </c>
      <c r="I18" s="13">
        <v>42718.246678240743</v>
      </c>
      <c r="J18" s="7">
        <v>0</v>
      </c>
      <c r="K18" s="109" t="str">
        <f t="shared" si="0"/>
        <v>4031/4032</v>
      </c>
      <c r="L18" s="22" t="str">
        <f>VLOOKUP(A18,'Trips&amp;Operators'!$C$1:$G$99999,5,FALSE)</f>
        <v>DE LA ROSA ALEX</v>
      </c>
      <c r="M18" s="6">
        <f t="shared" si="1"/>
        <v>3.0416666668315884E-2</v>
      </c>
      <c r="N18" s="7">
        <f t="shared" si="2"/>
        <v>43.800000002374873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04:01:20-700',mode:absolute,to:'2016-12-14 06:55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23.267299999999999</v>
      </c>
      <c r="Z18" s="67">
        <f t="shared" si="9"/>
        <v>1.3599999999999999E-2</v>
      </c>
      <c r="AA18" s="67">
        <f t="shared" si="10"/>
        <v>23.253699999999998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 t="shared" si="11"/>
        <v>0106-14</v>
      </c>
      <c r="AE18" s="91" t="str">
        <f t="shared" si="12"/>
        <v>aws s3 cp s3://rtdc.mdm.uploadarchive.raw/RTDC4032/ "%USERPROFILE%\AppData\Local\Temp\OnboardLogs"\RTDC4032\2016-12-14 --exclude "*" --recursive --include "*20161214*" &amp; "%USERPROFILE%\Documents\GitHub\mrs-test-scripts\Headless Mode &amp; Sideloading\WalkAndUnGZ.bat" "%USERPROFILE%\AppData\Local\Temp\OnboardLogs"\RTDC4032\2016-12-14 &amp; aws s3 cp s3://rtdc.mdm.uploadarchive.raw/RTDC4032/ "%USERPROFILE%\AppData\Local\Temp\OnboardLogs"\RTDC4032\2016-12-15 --exclude "*" --recursive --include "*20161215*" &amp; "%USERPROFILE%\Documents\GitHub\mrs-test-scripts\Headless Mode &amp; Sideloading\WalkAndUnGZ.bat" "%USERPROFILE%\AppData\Local\Temp\OnboardLogs"\RTDC4032\2016-12-15</v>
      </c>
      <c r="AF18" s="88" t="str">
        <f t="shared" si="13"/>
        <v>"C:\Program Files (x86)\AstroGrep\AstroGrep.exe" /spath="%USERPROFILE%\AppData\Local\Temp\OnboardLogs" /stypes="app*4032*20161214*"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106-14 --locoid 4032 --swversion DE.1.0.8.0 --startMP 204:232673 --initTime 2016-12-14T05:01:20 --startdatetime 2016-12-14T05:11:25 --delay 1 --endMP 204:136 --enddatetime 2016-12-14T05:55:13 --enforcementcount 0 &gt;&gt;C:\Users\stu\Documents\GitHub\eaglep3-reporting\EC\2016-12-14-refined-times.txt</v>
      </c>
      <c r="AI18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{"issue":{"subject":"","project_id":79,"tracker_id":40,"status_id":1,"priority_id":2,"assigned_to_id":23,"start_date":"2016-12-14","description":"","custom_fields":[{"id":1,"name":"Subdivision","value":"EC"},{"id":4,"name":"Milepost","value":"0.0136"},{"id":17,"name":"Train ID","value":"106-14"},{"id":16,"name":"Locomotive ID","value":"4032"},{"id":130,"name":"Impact","value":""},{"id":150,"name":"Time of Event (Mountain Time)","value":"05:55:13"},{"id":151,"name":"Denver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467</v>
      </c>
      <c r="B19" s="7">
        <v>4051</v>
      </c>
      <c r="C19" s="22" t="s">
        <v>207</v>
      </c>
      <c r="D19" s="22" t="s">
        <v>263</v>
      </c>
      <c r="E19" s="13">
        <v>42718.184282407405</v>
      </c>
      <c r="F19" s="13">
        <v>42718.187685185185</v>
      </c>
      <c r="G19" s="7">
        <v>1</v>
      </c>
      <c r="H19" s="22" t="s">
        <v>296</v>
      </c>
      <c r="I19" s="13">
        <v>42718.216284722221</v>
      </c>
      <c r="J19" s="7">
        <v>0</v>
      </c>
      <c r="K19" s="109" t="str">
        <f t="shared" si="0"/>
        <v>4051/4052</v>
      </c>
      <c r="L19" s="22" t="str">
        <f>VLOOKUP(A19,'Trips&amp;Operators'!$C$1:$G$99999,5,FALSE)</f>
        <v>SPECTOR MICHAEL</v>
      </c>
      <c r="M19" s="6">
        <f t="shared" si="1"/>
        <v>2.8599537035916001E-2</v>
      </c>
      <c r="N19" s="7">
        <f t="shared" si="2"/>
        <v>41.183333331719041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03:25:22-700',mode:absolute,to:'2016-12-14 06:11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4.4600000000000001E-2</v>
      </c>
      <c r="Z19" s="67">
        <f t="shared" si="9"/>
        <v>23.330300000000001</v>
      </c>
      <c r="AA19" s="67">
        <f t="shared" si="10"/>
        <v>23.285700000000002</v>
      </c>
      <c r="AB19" s="64" t="e">
        <f>VLOOKUP(A19,Enforcements!$C$7:$K$19,8,0)</f>
        <v>#N/A</v>
      </c>
      <c r="AC19" s="60" t="e">
        <f>VLOOKUP(A19,Enforcements!$C$7:$E$19,3,0)</f>
        <v>#N/A</v>
      </c>
      <c r="AD19" s="61" t="str">
        <f t="shared" si="11"/>
        <v>0107-14</v>
      </c>
      <c r="AE19" s="91" t="str">
        <f t="shared" si="12"/>
        <v>aws s3 cp s3://rtdc.mdm.uploadarchive.raw/RTDC4051/ "%USERPROFILE%\AppData\Local\Temp\OnboardLogs"\RTDC4051\2016-12-14 --exclude "*" --recursive --include "*20161214*" &amp; "%USERPROFILE%\Documents\GitHub\mrs-test-scripts\Headless Mode &amp; Sideloading\WalkAndUnGZ.bat" "%USERPROFILE%\AppData\Local\Temp\OnboardLogs"\RTDC4051\2016-12-14 &amp; aws s3 cp s3://rtdc.mdm.uploadarchive.raw/RTDC4051/ "%USERPROFILE%\AppData\Local\Temp\OnboardLogs"\RTDC4051\2016-12-15 --exclude "*" --recursive --include "*20161215*" &amp; "%USERPROFILE%\Documents\GitHub\mrs-test-scripts\Headless Mode &amp; Sideloading\WalkAndUnGZ.bat" "%USERPROFILE%\AppData\Local\Temp\OnboardLogs"\RTDC4051\2016-12-15</v>
      </c>
      <c r="AF19" s="88" t="str">
        <f t="shared" si="13"/>
        <v>"C:\Program Files (x86)\AstroGrep\AstroGrep.exe" /spath="%USERPROFILE%\AppData\Local\Temp\OnboardLogs" /stypes="app*4051*20161214*"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107-14 --locoid 4051 --swversion DE.1.0.8.0 --startMP 204:446 --initTime 2016-12-14T04:25:22 --startdatetime 2016-12-14T04:30:16 --delay 1 --endMP 204:233303 --enddatetime 2016-12-14T05:11:27 --enforcementcount 0 &gt;&gt;C:\Users\stu\Documents\GitHub\eaglep3-reporting\EC\2016-12-14-refined-times.txt</v>
      </c>
      <c r="AI19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{"issue":{"subject":"","project_id":79,"tracker_id":40,"status_id":1,"priority_id":2,"assigned_to_id":23,"start_date":"2016-12-14","description":"","custom_fields":[{"id":1,"name":"Subdivision","value":"EC"},{"id":4,"name":"Milepost","value":"23.3303"},{"id":17,"name":"Train ID","value":"107-14"},{"id":16,"name":"Locomotive ID","value":"4051"},{"id":130,"name":"Impact","value":""},{"id":150,"name":"Time of Event (Mountain Time)","value":"05:11:27"},{"id":151,"name":"Denver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420</v>
      </c>
      <c r="B20" s="7">
        <v>4052</v>
      </c>
      <c r="C20" s="22" t="s">
        <v>207</v>
      </c>
      <c r="D20" s="22" t="s">
        <v>277</v>
      </c>
      <c r="E20" s="13">
        <v>42718.224317129629</v>
      </c>
      <c r="F20" s="13">
        <v>42718.2268287037</v>
      </c>
      <c r="G20" s="7">
        <v>1</v>
      </c>
      <c r="H20" s="22" t="s">
        <v>301</v>
      </c>
      <c r="I20" s="13">
        <v>42718.258090277777</v>
      </c>
      <c r="J20" s="7">
        <v>0</v>
      </c>
      <c r="K20" s="109" t="str">
        <f t="shared" si="0"/>
        <v>4051/4052</v>
      </c>
      <c r="L20" s="22" t="str">
        <f>VLOOKUP(A20,'Trips&amp;Operators'!$C$1:$G$99999,5,FALSE)</f>
        <v>SPECTOR MICHAEL</v>
      </c>
      <c r="M20" s="6">
        <f t="shared" si="1"/>
        <v>3.1261574076779652E-2</v>
      </c>
      <c r="N20" s="7">
        <f t="shared" si="2"/>
        <v>45.016666670562699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04:23:01-700',mode:absolute,to:'2016-12-14 07:11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23.299399999999999</v>
      </c>
      <c r="Z20" s="67">
        <f t="shared" si="9"/>
        <v>1.6E-2</v>
      </c>
      <c r="AA20" s="67">
        <f t="shared" si="10"/>
        <v>23.2834</v>
      </c>
      <c r="AB20" s="64" t="str">
        <f>VLOOKUP(A20,Enforcements!$C$7:$K$19,8,0)</f>
        <v>Bulletin (2)</v>
      </c>
      <c r="AC20" s="60" t="str">
        <f>VLOOKUP(A20,Enforcements!$C$7:$E$19,3,0)</f>
        <v>TEMPORARY SPEED RESTRICTION</v>
      </c>
      <c r="AD20" s="61" t="str">
        <f t="shared" si="11"/>
        <v>0108-14</v>
      </c>
      <c r="AE20" s="91" t="str">
        <f t="shared" si="12"/>
        <v>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 &amp; aws s3 cp s3://rtdc.mdm.uploadarchive.raw/RTDC4052/ "%USERPROFILE%\AppData\Local\Temp\OnboardLogs"\RTDC4052\2016-12-15 --exclude "*" --recursive --include "*20161215*" &amp; "%USERPROFILE%\Documents\GitHub\mrs-test-scripts\Headless Mode &amp; Sideloading\WalkAndUnGZ.bat" "%USERPROFILE%\AppData\Local\Temp\OnboardLogs"\RTDC4052\2016-12-15</v>
      </c>
      <c r="AF20" s="88" t="str">
        <f t="shared" si="13"/>
        <v>"C:\Program Files (x86)\AstroGrep\AstroGrep.exe" /spath="%USERPROFILE%\AppData\Local\Temp\OnboardLogs" /stypes="app*4052*20161214*"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108-14 --locoid 4052 --swversion DE.1.0.8.0 --startMP 204:232994 --initTime 2016-12-14T05:23:01 --startdatetime 2016-12-14T05:26:38 --delay 1 --endMP 204:160 --enddatetime 2016-12-14T06:11:39 --enforcementcount 0 &gt;&gt;C:\Users\stu\Documents\GitHub\eaglep3-reporting\EC\2016-12-14-refined-times.txt</v>
      </c>
      <c r="AI20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{"issue":{"subject":"","project_id":79,"tracker_id":40,"status_id":1,"priority_id":2,"assigned_to_id":23,"start_date":"2016-12-14","description":"","custom_fields":[{"id":1,"name":"Subdivision","value":"EC"},{"id":4,"name":"Milepost","value":"0.016"},{"id":17,"name":"Train ID","value":"108-14"},{"id":16,"name":"Locomotive ID","value":"4052"},{"id":130,"name":"Impact","value":""},{"id":150,"name":"Time of Event (Mountain Time)","value":"06:11:39"},{"id":151,"name":"Denver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469</v>
      </c>
      <c r="B21" s="7">
        <v>4016</v>
      </c>
      <c r="C21" s="22" t="s">
        <v>207</v>
      </c>
      <c r="D21" s="22" t="s">
        <v>232</v>
      </c>
      <c r="E21" s="13">
        <v>42718.193958333337</v>
      </c>
      <c r="F21" s="13">
        <v>42718.19809027778</v>
      </c>
      <c r="G21" s="7">
        <v>1</v>
      </c>
      <c r="H21" s="22" t="s">
        <v>690</v>
      </c>
      <c r="I21" s="13">
        <v>42718.227002314816</v>
      </c>
      <c r="J21" s="7">
        <v>0</v>
      </c>
      <c r="K21" s="109" t="str">
        <f t="shared" si="0"/>
        <v>4015/4016</v>
      </c>
      <c r="L21" s="22" t="str">
        <f>VLOOKUP(A21,'Trips&amp;Operators'!$C$1:$G$99999,5,FALSE)</f>
        <v>DAVIS MICHAEL</v>
      </c>
      <c r="M21" s="6">
        <f t="shared" si="1"/>
        <v>2.8912037036207039E-2</v>
      </c>
      <c r="N21" s="7">
        <f t="shared" si="2"/>
        <v>41.633333332138136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03:39:18-700',mode:absolute,to:'2016-12-14 06:26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4.5499999999999999E-2</v>
      </c>
      <c r="Z21" s="67">
        <f t="shared" si="9"/>
        <v>23.328900000000001</v>
      </c>
      <c r="AA21" s="67">
        <f t="shared" si="10"/>
        <v>23.2834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1"/>
        <v>0109-14</v>
      </c>
      <c r="AE21" s="91" t="str">
        <f t="shared" si="12"/>
        <v>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 &amp; aws s3 cp s3://rtdc.mdm.uploadarchive.raw/RTDC4016/ "%USERPROFILE%\AppData\Local\Temp\OnboardLogs"\RTDC4016\2016-12-15 --exclude "*" --recursive --include "*20161215*" &amp; "%USERPROFILE%\Documents\GitHub\mrs-test-scripts\Headless Mode &amp; Sideloading\WalkAndUnGZ.bat" "%USERPROFILE%\AppData\Local\Temp\OnboardLogs"\RTDC4016\2016-12-15</v>
      </c>
      <c r="AF21" s="88" t="str">
        <f t="shared" si="13"/>
        <v>"C:\Program Files (x86)\AstroGrep\AstroGrep.exe" /spath="%USERPROFILE%\AppData\Local\Temp\OnboardLogs" /stypes="app*4016*20161214*"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109-14 --locoid 4016 --swversion DE.1.0.8.0 --startMP 204:455 --initTime 2016-12-14T04:39:18 --startdatetime 2016-12-14T04:45:15 --delay 1 --endMP 204:233289 --enddatetime 2016-12-14T05:26:53 --enforcementcount 0 &gt;&gt;C:\Users\stu\Documents\GitHub\eaglep3-reporting\EC\2016-12-14-refined-times.txt</v>
      </c>
      <c r="AI21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{"issue":{"subject":"","project_id":79,"tracker_id":40,"status_id":1,"priority_id":2,"assigned_to_id":23,"start_date":"2016-12-14","description":"","custom_fields":[{"id":1,"name":"Subdivision","value":"EC"},{"id":4,"name":"Milepost","value":"23.3289"},{"id":17,"name":"Train ID","value":"109-14"},{"id":16,"name":"Locomotive ID","value":"4016"},{"id":130,"name":"Impact","value":""},{"id":150,"name":"Time of Event (Mountain Time)","value":"05:26:53"},{"id":151,"name":"Denver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421</v>
      </c>
      <c r="B22" s="7">
        <v>4015</v>
      </c>
      <c r="C22" s="22" t="s">
        <v>207</v>
      </c>
      <c r="D22" s="22" t="s">
        <v>277</v>
      </c>
      <c r="E22" s="13">
        <v>42718.233113425929</v>
      </c>
      <c r="F22" s="13">
        <v>42718.236990740741</v>
      </c>
      <c r="G22" s="7">
        <v>1</v>
      </c>
      <c r="H22" s="22" t="s">
        <v>213</v>
      </c>
      <c r="I22" s="13">
        <v>42718.267638888887</v>
      </c>
      <c r="J22" s="7">
        <v>0</v>
      </c>
      <c r="K22" s="109" t="str">
        <f t="shared" si="0"/>
        <v>4015/4016</v>
      </c>
      <c r="L22" s="22" t="str">
        <f>VLOOKUP(A22,'Trips&amp;Operators'!$C$1:$G$99999,5,FALSE)</f>
        <v>DAVIS MICHAEL</v>
      </c>
      <c r="M22" s="6">
        <f t="shared" si="1"/>
        <v>3.0648148145701271E-2</v>
      </c>
      <c r="N22" s="7">
        <f t="shared" si="2"/>
        <v>44.13333332980983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04:35:41-700',mode:absolute,to:'2016-12-14 07:25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23.299399999999999</v>
      </c>
      <c r="Z22" s="67">
        <f t="shared" si="9"/>
        <v>1.4999999999999999E-2</v>
      </c>
      <c r="AA22" s="67">
        <f t="shared" si="10"/>
        <v>23.284399999999998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1"/>
        <v>0110-14</v>
      </c>
      <c r="AE22" s="91" t="str">
        <f t="shared" si="12"/>
        <v>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 &amp; aws s3 cp s3://rtdc.mdm.uploadarchive.raw/RTDC4015/ "%USERPROFILE%\AppData\Local\Temp\OnboardLogs"\RTDC4015\2016-12-15 --exclude "*" --recursive --include "*20161215*" &amp; "%USERPROFILE%\Documents\GitHub\mrs-test-scripts\Headless Mode &amp; Sideloading\WalkAndUnGZ.bat" "%USERPROFILE%\AppData\Local\Temp\OnboardLogs"\RTDC4015\2016-12-15</v>
      </c>
      <c r="AF22" s="88" t="str">
        <f t="shared" si="13"/>
        <v>"C:\Program Files (x86)\AstroGrep\AstroGrep.exe" /spath="%USERPROFILE%\AppData\Local\Temp\OnboardLogs" /stypes="app*4015*20161214*"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110-14 --locoid 4015 --swversion DE.1.0.8.0 --startMP 204:232994 --initTime 2016-12-14T05:35:41 --startdatetime 2016-12-14T05:41:16 --delay 1 --endMP 204:150 --enddatetime 2016-12-14T06:25:24 --enforcementcount 0 &gt;&gt;C:\Users\stu\Documents\GitHub\eaglep3-reporting\EC\2016-12-14-refined-times.txt</v>
      </c>
      <c r="AI22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{"issue":{"subject":"","project_id":79,"tracker_id":40,"status_id":1,"priority_id":2,"assigned_to_id":23,"start_date":"2016-12-14","description":"","custom_fields":[{"id":1,"name":"Subdivision","value":"EC"},{"id":4,"name":"Milepost","value":"0.015"},{"id":17,"name":"Train ID","value":"110-14"},{"id":16,"name":"Locomotive ID","value":"4015"},{"id":130,"name":"Impact","value":""},{"id":150,"name":"Time of Event (Mountain Time)","value":"06:25:24"},{"id":151,"name":"Denver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471</v>
      </c>
      <c r="B23" s="7">
        <v>4040</v>
      </c>
      <c r="C23" s="22" t="s">
        <v>207</v>
      </c>
      <c r="D23" s="22" t="s">
        <v>691</v>
      </c>
      <c r="E23" s="13">
        <v>42718.205567129633</v>
      </c>
      <c r="F23" s="13">
        <v>42718.208599537036</v>
      </c>
      <c r="G23" s="7">
        <v>1</v>
      </c>
      <c r="H23" s="22" t="s">
        <v>317</v>
      </c>
      <c r="I23" s="13">
        <v>42718.234953703701</v>
      </c>
      <c r="J23" s="7">
        <v>0</v>
      </c>
      <c r="K23" s="109" t="str">
        <f t="shared" si="0"/>
        <v>4039/4040</v>
      </c>
      <c r="L23" s="22" t="str">
        <f>VLOOKUP(A23,'Trips&amp;Operators'!$C$1:$G$99999,5,FALSE)</f>
        <v>ROCHA YAOTL</v>
      </c>
      <c r="M23" s="6">
        <f t="shared" si="1"/>
        <v>2.6354166664532386E-2</v>
      </c>
      <c r="N23" s="7">
        <f t="shared" si="2"/>
        <v>37.949999996926636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03:56:01-700',mode:absolute,to:'2016-12-14 06:38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6.8099999999999994E-2</v>
      </c>
      <c r="Z23" s="67">
        <f t="shared" si="9"/>
        <v>23.328399999999998</v>
      </c>
      <c r="AA23" s="67">
        <f t="shared" si="10"/>
        <v>23.260299999999997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 t="shared" si="11"/>
        <v>0111-14</v>
      </c>
      <c r="AE23" s="91" t="str">
        <f t="shared" si="12"/>
        <v>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 &amp; aws s3 cp s3://rtdc.mdm.uploadarchive.raw/RTDC4040/ "%USERPROFILE%\AppData\Local\Temp\OnboardLogs"\RTDC4040\2016-12-15 --exclude "*" --recursive --include "*20161215*" &amp; "%USERPROFILE%\Documents\GitHub\mrs-test-scripts\Headless Mode &amp; Sideloading\WalkAndUnGZ.bat" "%USERPROFILE%\AppData\Local\Temp\OnboardLogs"\RTDC4040\2016-12-15</v>
      </c>
      <c r="AF23" s="88" t="str">
        <f t="shared" si="13"/>
        <v>"C:\Program Files (x86)\AstroGrep\AstroGrep.exe" /spath="%USERPROFILE%\AppData\Local\Temp\OnboardLogs" /stypes="app*4040*20161214*"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111-14 --locoid 4040 --swversion DE.1.0.8.0 --startMP 204:681 --initTime 2016-12-14T04:56:01 --startdatetime 2016-12-14T05:00:23 --delay 1 --endMP 204:233284 --enddatetime 2016-12-14T05:38:20 --enforcementcount 0 &gt;&gt;C:\Users\stu\Documents\GitHub\eaglep3-reporting\EC\2016-12-14-refined-times.txt</v>
      </c>
      <c r="AI23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{"issue":{"subject":"","project_id":79,"tracker_id":40,"status_id":1,"priority_id":2,"assigned_to_id":23,"start_date":"2016-12-14","description":"","custom_fields":[{"id":1,"name":"Subdivision","value":"EC"},{"id":4,"name":"Milepost","value":"23.3284"},{"id":17,"name":"Train ID","value":"111-14"},{"id":16,"name":"Locomotive ID","value":"4040"},{"id":130,"name":"Impact","value":""},{"id":150,"name":"Time of Event (Mountain Time)","value":"05:38:20"},{"id":151,"name":"Denver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484</v>
      </c>
      <c r="B24" s="7">
        <v>4039</v>
      </c>
      <c r="C24" s="22" t="s">
        <v>207</v>
      </c>
      <c r="D24" s="22" t="s">
        <v>692</v>
      </c>
      <c r="E24" s="13">
        <v>42718.24596064815</v>
      </c>
      <c r="F24" s="13">
        <v>42718.247986111113</v>
      </c>
      <c r="G24" s="7">
        <v>1</v>
      </c>
      <c r="H24" s="22" t="s">
        <v>213</v>
      </c>
      <c r="I24" s="13">
        <v>42718.277280092596</v>
      </c>
      <c r="J24" s="7">
        <v>0</v>
      </c>
      <c r="K24" s="109" t="str">
        <f t="shared" si="0"/>
        <v>4039/4040</v>
      </c>
      <c r="L24" s="22" t="str">
        <f>VLOOKUP(A24,'Trips&amp;Operators'!$C$1:$G$99999,5,FALSE)</f>
        <v>ROCHA YAOTL</v>
      </c>
      <c r="M24" s="6">
        <f t="shared" si="1"/>
        <v>2.9293981482624076E-2</v>
      </c>
      <c r="N24" s="7">
        <f t="shared" si="2"/>
        <v>42.18333333497867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04:54:11-700',mode:absolute,to:'2016-12-14 07:39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23.298200000000001</v>
      </c>
      <c r="Z24" s="67">
        <f t="shared" si="9"/>
        <v>1.4999999999999999E-2</v>
      </c>
      <c r="AA24" s="67">
        <f t="shared" si="10"/>
        <v>23.283200000000001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 t="shared" si="11"/>
        <v>0112-14</v>
      </c>
      <c r="AE24" s="91" t="str">
        <f t="shared" si="12"/>
        <v>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 &amp; aws s3 cp s3://rtdc.mdm.uploadarchive.raw/RTDC4039/ "%USERPROFILE%\AppData\Local\Temp\OnboardLogs"\RTDC4039\2016-12-15 --exclude "*" --recursive --include "*20161215*" &amp; "%USERPROFILE%\Documents\GitHub\mrs-test-scripts\Headless Mode &amp; Sideloading\WalkAndUnGZ.bat" "%USERPROFILE%\AppData\Local\Temp\OnboardLogs"\RTDC4039\2016-12-15</v>
      </c>
      <c r="AF24" s="88" t="str">
        <f t="shared" si="13"/>
        <v>"C:\Program Files (x86)\AstroGrep\AstroGrep.exe" /spath="%USERPROFILE%\AppData\Local\Temp\OnboardLogs" /stypes="app*4039*20161214*"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112-14 --locoid 4039 --swversion DE.1.0.8.0 --startMP 204:232982 --initTime 2016-12-14T05:54:11 --startdatetime 2016-12-14T05:57:06 --delay 1 --endMP 204:150 --enddatetime 2016-12-14T06:39:17 --enforcementcount 0 &gt;&gt;C:\Users\stu\Documents\GitHub\eaglep3-reporting\EC\2016-12-14-refined-times.txt</v>
      </c>
      <c r="AI24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{"issue":{"subject":"","project_id":79,"tracker_id":40,"status_id":1,"priority_id":2,"assigned_to_id":23,"start_date":"2016-12-14","description":"","custom_fields":[{"id":1,"name":"Subdivision","value":"EC"},{"id":4,"name":"Milepost","value":"0.015"},{"id":17,"name":"Train ID","value":"112-14"},{"id":16,"name":"Locomotive ID","value":"4039"},{"id":130,"name":"Impact","value":""},{"id":150,"name":"Time of Event (Mountain Time)","value":"06:39:17"},{"id":151,"name":"Denver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474</v>
      </c>
      <c r="B25" s="7">
        <v>4044</v>
      </c>
      <c r="C25" s="22" t="s">
        <v>207</v>
      </c>
      <c r="D25" s="22" t="s">
        <v>387</v>
      </c>
      <c r="E25" s="13">
        <v>42718.20590277778</v>
      </c>
      <c r="F25" s="13">
        <v>42718.219050925924</v>
      </c>
      <c r="G25" s="7">
        <v>1</v>
      </c>
      <c r="H25" s="22" t="s">
        <v>319</v>
      </c>
      <c r="I25" s="13">
        <v>42718.243807870371</v>
      </c>
      <c r="J25" s="7">
        <v>0</v>
      </c>
      <c r="K25" s="109" t="str">
        <f t="shared" si="0"/>
        <v>4043/4044</v>
      </c>
      <c r="L25" s="22" t="str">
        <f>VLOOKUP(A25,'Trips&amp;Operators'!$C$1:$G$99999,5,FALSE)</f>
        <v>GRASTON MATHEU</v>
      </c>
      <c r="M25" s="6">
        <f t="shared" si="1"/>
        <v>2.4756944447290152E-2</v>
      </c>
      <c r="N25" s="7">
        <f t="shared" si="2"/>
        <v>35.650000004097819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03:56:30-700',mode:absolute,to:'2016-12-14 06:51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4.4400000000000002E-2</v>
      </c>
      <c r="Z25" s="67">
        <f t="shared" si="9"/>
        <v>23.331399999999999</v>
      </c>
      <c r="AA25" s="67">
        <f t="shared" si="10"/>
        <v>23.286999999999999</v>
      </c>
      <c r="AB25" s="64" t="e">
        <f>VLOOKUP(A25,Enforcements!$C$7:$K$19,8,0)</f>
        <v>#N/A</v>
      </c>
      <c r="AC25" s="60" t="e">
        <f>VLOOKUP(A25,Enforcements!$C$7:$E$19,3,0)</f>
        <v>#N/A</v>
      </c>
      <c r="AD25" s="61" t="str">
        <f t="shared" si="11"/>
        <v>0113-14</v>
      </c>
      <c r="AE25" s="91" t="str">
        <f t="shared" si="12"/>
        <v>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 &amp; aws s3 cp s3://rtdc.mdm.uploadarchive.raw/RTDC4044/ "%USERPROFILE%\AppData\Local\Temp\OnboardLogs"\RTDC4044\2016-12-15 --exclude "*" --recursive --include "*20161215*" &amp; "%USERPROFILE%\Documents\GitHub\mrs-test-scripts\Headless Mode &amp; Sideloading\WalkAndUnGZ.bat" "%USERPROFILE%\AppData\Local\Temp\OnboardLogs"\RTDC4044\2016-12-15</v>
      </c>
      <c r="AF25" s="88" t="str">
        <f t="shared" si="13"/>
        <v>"C:\Program Files (x86)\AstroGrep\AstroGrep.exe" /spath="%USERPROFILE%\AppData\Local\Temp\OnboardLogs" /stypes="app*4044*20161214*"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113-14 --locoid 4044 --swversion DE.1.0.8.0 --startMP 204:444 --initTime 2016-12-14T04:56:30 --startdatetime 2016-12-14T05:15:26 --delay 1 --endMP 204:233314 --enddatetime 2016-12-14T05:51:05 --enforcementcount 0 &gt;&gt;C:\Users\stu\Documents\GitHub\eaglep3-reporting\EC\2016-12-14-refined-times.txt</v>
      </c>
      <c r="AI25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{"issue":{"subject":"","project_id":79,"tracker_id":40,"status_id":1,"priority_id":2,"assigned_to_id":23,"start_date":"2016-12-14","description":"","custom_fields":[{"id":1,"name":"Subdivision","value":"EC"},{"id":4,"name":"Milepost","value":"23.3314"},{"id":17,"name":"Train ID","value":"113-14"},{"id":16,"name":"Locomotive ID","value":"4044"},{"id":130,"name":"Impact","value":""},{"id":150,"name":"Time of Event (Mountain Time)","value":"05:51:05"},{"id":151,"name":"Denver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485</v>
      </c>
      <c r="B26" s="7">
        <v>4043</v>
      </c>
      <c r="C26" s="22" t="s">
        <v>207</v>
      </c>
      <c r="D26" s="22" t="s">
        <v>331</v>
      </c>
      <c r="E26" s="13">
        <v>42718.248831018522</v>
      </c>
      <c r="F26" s="13">
        <v>42718.257835648146</v>
      </c>
      <c r="G26" s="7">
        <v>0</v>
      </c>
      <c r="H26" s="22" t="s">
        <v>311</v>
      </c>
      <c r="I26" s="13">
        <v>42718.284490740742</v>
      </c>
      <c r="J26" s="7">
        <v>0</v>
      </c>
      <c r="K26" s="109" t="str">
        <f t="shared" si="0"/>
        <v>4043/4044</v>
      </c>
      <c r="L26" s="22" t="str">
        <f>VLOOKUP(A26,'Trips&amp;Operators'!$C$1:$G$99999,5,FALSE)</f>
        <v>GRASTON MATHEU</v>
      </c>
      <c r="M26" s="6">
        <f t="shared" si="1"/>
        <v>2.6655092595319729E-2</v>
      </c>
      <c r="N26" s="7">
        <f t="shared" si="2"/>
        <v>38.38333333726041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04:58:19-700',mode:absolute,to:'2016-12-14 07:49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23.299800000000001</v>
      </c>
      <c r="Z26" s="67">
        <f t="shared" si="9"/>
        <v>1.5800000000000002E-2</v>
      </c>
      <c r="AA26" s="67">
        <f t="shared" si="10"/>
        <v>23.284000000000002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1"/>
        <v>0114-14</v>
      </c>
      <c r="AE26" s="91" t="str">
        <f t="shared" si="12"/>
        <v>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 &amp; aws s3 cp s3://rtdc.mdm.uploadarchive.raw/RTDC4043/ "%USERPROFILE%\AppData\Local\Temp\OnboardLogs"\RTDC4043\2016-12-15 --exclude "*" --recursive --include "*20161215*" &amp; "%USERPROFILE%\Documents\GitHub\mrs-test-scripts\Headless Mode &amp; Sideloading\WalkAndUnGZ.bat" "%USERPROFILE%\AppData\Local\Temp\OnboardLogs"\RTDC4043\2016-12-15</v>
      </c>
      <c r="AF26" s="88" t="str">
        <f t="shared" si="13"/>
        <v>"C:\Program Files (x86)\AstroGrep\AstroGrep.exe" /spath="%USERPROFILE%\AppData\Local\Temp\OnboardLogs" /stypes="app*4043*20161214*"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114-14 --locoid 4043 --swversion DE.1.0.8.0 --startMP 204:232998 --initTime 2016-12-14T05:58:19 --startdatetime 2016-12-14T06:11:17 --delay 0 --endMP 204:158 --enddatetime 2016-12-14T06:49:40 --enforcementcount 0 &gt;&gt;C:\Users\stu\Documents\GitHub\eaglep3-reporting\EC\2016-12-14-refined-times.txt</v>
      </c>
      <c r="AI26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{"issue":{"subject":"","project_id":79,"tracker_id":40,"status_id":1,"priority_id":2,"assigned_to_id":23,"start_date":"2016-12-14","description":"","custom_fields":[{"id":1,"name":"Subdivision","value":"EC"},{"id":4,"name":"Milepost","value":"0.0158"},{"id":17,"name":"Train ID","value":"114-14"},{"id":16,"name":"Locomotive ID","value":"4043"},{"id":130,"name":"Impact","value":""},{"id":150,"name":"Time of Event (Mountain Time)","value":"06:49:40"},{"id":151,"name":"Denver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478</v>
      </c>
      <c r="B27" s="7">
        <v>4014</v>
      </c>
      <c r="C27" s="22" t="s">
        <v>207</v>
      </c>
      <c r="D27" s="22" t="s">
        <v>693</v>
      </c>
      <c r="E27" s="13">
        <v>42718.230567129627</v>
      </c>
      <c r="F27" s="13">
        <v>42718.232835648145</v>
      </c>
      <c r="G27" s="7">
        <v>1</v>
      </c>
      <c r="H27" s="22" t="s">
        <v>694</v>
      </c>
      <c r="I27" s="13">
        <v>42718.257673611108</v>
      </c>
      <c r="J27" s="7">
        <v>0</v>
      </c>
      <c r="K27" s="109" t="str">
        <f t="shared" si="0"/>
        <v>4013/4014</v>
      </c>
      <c r="L27" s="22" t="str">
        <f>VLOOKUP(A27,'Trips&amp;Operators'!$C$1:$G$99999,5,FALSE)</f>
        <v>HILLS DUSTIN</v>
      </c>
      <c r="M27" s="6">
        <f t="shared" si="1"/>
        <v>2.4837962962919846E-2</v>
      </c>
      <c r="N27" s="7">
        <f t="shared" si="2"/>
        <v>35.766666666604578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04:32:01-700',mode:absolute,to:'2016-12-14 07:11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7.7200000000000005E-2</v>
      </c>
      <c r="Z27" s="67">
        <f t="shared" si="9"/>
        <v>23.339500000000001</v>
      </c>
      <c r="AA27" s="67">
        <f t="shared" si="10"/>
        <v>23.2623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si="11"/>
        <v>0115-14</v>
      </c>
      <c r="AE27" s="91" t="str">
        <f t="shared" si="12"/>
        <v>aws s3 cp s3://rtdc.mdm.uploadarchive.raw/RTDC4014/ "%USERPROFILE%\AppData\Local\Temp\OnboardLogs"\RTDC4014\2016-12-14 --exclude "*" --recursive --include "*20161214*" &amp; "%USERPROFILE%\Documents\GitHub\mrs-test-scripts\Headless Mode &amp; Sideloading\WalkAndUnGZ.bat" "%USERPROFILE%\AppData\Local\Temp\OnboardLogs"\RTDC4014\2016-12-14 &amp; aws s3 cp s3://rtdc.mdm.uploadarchive.raw/RTDC4014/ "%USERPROFILE%\AppData\Local\Temp\OnboardLogs"\RTDC4014\2016-12-15 --exclude "*" --recursive --include "*20161215*" &amp; "%USERPROFILE%\Documents\GitHub\mrs-test-scripts\Headless Mode &amp; Sideloading\WalkAndUnGZ.bat" "%USERPROFILE%\AppData\Local\Temp\OnboardLogs"\RTDC4014\2016-12-15</v>
      </c>
      <c r="AF27" s="88" t="str">
        <f t="shared" si="13"/>
        <v>"C:\Program Files (x86)\AstroGrep\AstroGrep.exe" /spath="%USERPROFILE%\AppData\Local\Temp\OnboardLogs" /stypes="app*4014*20161214*"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115-14 --locoid 4014 --swversion DE.1.0.8.0 --startMP 204:772 --initTime 2016-12-14T05:32:01 --startdatetime 2016-12-14T05:35:17 --delay 1 --endMP 204:233395 --enddatetime 2016-12-14T06:11:03 --enforcementcount 0 &gt;&gt;C:\Users\stu\Documents\GitHub\eaglep3-reporting\EC\2016-12-14-refined-times.txt</v>
      </c>
      <c r="AI27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{"issue":{"subject":"","project_id":79,"tracker_id":40,"status_id":1,"priority_id":2,"assigned_to_id":23,"start_date":"2016-12-14","description":"","custom_fields":[{"id":1,"name":"Subdivision","value":"EC"},{"id":4,"name":"Milepost","value":"23.3395"},{"id":17,"name":"Train ID","value":"115-14"},{"id":16,"name":"Locomotive ID","value":"4014"},{"id":130,"name":"Impact","value":""},{"id":150,"name":"Time of Event (Mountain Time)","value":"06:11:03"},{"id":151,"name":"Denver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490</v>
      </c>
      <c r="B28" s="7">
        <v>4013</v>
      </c>
      <c r="C28" s="22" t="s">
        <v>207</v>
      </c>
      <c r="D28" s="22" t="s">
        <v>695</v>
      </c>
      <c r="E28" s="13">
        <v>42718.262430555558</v>
      </c>
      <c r="F28" s="13">
        <v>42718.268240740741</v>
      </c>
      <c r="G28" s="7">
        <v>1</v>
      </c>
      <c r="H28" s="22" t="s">
        <v>282</v>
      </c>
      <c r="I28" s="13">
        <v>42718.296296296299</v>
      </c>
      <c r="J28" s="7">
        <v>0</v>
      </c>
      <c r="K28" s="109" t="str">
        <f t="shared" si="0"/>
        <v>4013/4014</v>
      </c>
      <c r="L28" s="22" t="str">
        <f>VLOOKUP(A28,'Trips&amp;Operators'!$C$1:$G$99999,5,FALSE)</f>
        <v>HILLS DUSTIN</v>
      </c>
      <c r="M28" s="6">
        <f t="shared" si="1"/>
        <v>2.8055555558239575E-2</v>
      </c>
      <c r="N28" s="7">
        <f t="shared" si="2"/>
        <v>40.400000003864989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05:17:54-700',mode:absolute,to:'2016-12-14 08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23.305299999999999</v>
      </c>
      <c r="Z28" s="67">
        <f t="shared" si="9"/>
        <v>1.3899999999999999E-2</v>
      </c>
      <c r="AA28" s="67">
        <f t="shared" si="10"/>
        <v>23.291399999999999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11"/>
        <v>0116-14</v>
      </c>
      <c r="AE28" s="91" t="str">
        <f t="shared" si="12"/>
        <v>aws s3 cp s3://rtdc.mdm.uploadarchive.raw/RTDC4013/ "%USERPROFILE%\AppData\Local\Temp\OnboardLogs"\RTDC4013\2016-12-14 --exclude "*" --recursive --include "*20161214*" &amp; "%USERPROFILE%\Documents\GitHub\mrs-test-scripts\Headless Mode &amp; Sideloading\WalkAndUnGZ.bat" "%USERPROFILE%\AppData\Local\Temp\OnboardLogs"\RTDC4013\2016-12-14 &amp; aws s3 cp s3://rtdc.mdm.uploadarchive.raw/RTDC4013/ "%USERPROFILE%\AppData\Local\Temp\OnboardLogs"\RTDC4013\2016-12-15 --exclude "*" --recursive --include "*20161215*" &amp; "%USERPROFILE%\Documents\GitHub\mrs-test-scripts\Headless Mode &amp; Sideloading\WalkAndUnGZ.bat" "%USERPROFILE%\AppData\Local\Temp\OnboardLogs"\RTDC4013\2016-12-15</v>
      </c>
      <c r="AF28" s="88" t="str">
        <f t="shared" si="13"/>
        <v>"C:\Program Files (x86)\AstroGrep\AstroGrep.exe" /spath="%USERPROFILE%\AppData\Local\Temp\OnboardLogs" /stypes="app*4013*20161214*"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116-14 --locoid 4013 --swversion DE.1.0.8.0 --startMP 204:233053 --initTime 2016-12-14T06:17:54 --startdatetime 2016-12-14T06:26:16 --delay 1 --endMP 204:139 --enddatetime 2016-12-14T07:06:40 --enforcementcount 0 &gt;&gt;C:\Users\stu\Documents\GitHub\eaglep3-reporting\EC\2016-12-14-refined-times.txt</v>
      </c>
      <c r="AI28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{"issue":{"subject":"","project_id":79,"tracker_id":40,"status_id":1,"priority_id":2,"assigned_to_id":23,"start_date":"2016-12-14","description":"","custom_fields":[{"id":1,"name":"Subdivision","value":"EC"},{"id":4,"name":"Milepost","value":"0.0139"},{"id":17,"name":"Train ID","value":"116-14"},{"id":16,"name":"Locomotive ID","value":"4013"},{"id":130,"name":"Impact","value":""},{"id":150,"name":"Time of Event (Mountain Time)","value":"07:06:40"},{"id":151,"name":"Denver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479</v>
      </c>
      <c r="B29" s="7">
        <v>4003</v>
      </c>
      <c r="C29" s="22" t="s">
        <v>207</v>
      </c>
      <c r="D29" s="22" t="s">
        <v>250</v>
      </c>
      <c r="E29" s="13">
        <v>42718.233993055554</v>
      </c>
      <c r="F29" s="13">
        <v>42718.239791666667</v>
      </c>
      <c r="G29" s="7">
        <v>2</v>
      </c>
      <c r="H29" s="22" t="s">
        <v>302</v>
      </c>
      <c r="I29" s="13">
        <v>42718.265277777777</v>
      </c>
      <c r="J29" s="7">
        <v>0</v>
      </c>
      <c r="K29" s="109" t="str">
        <f t="shared" si="0"/>
        <v>4003/4004</v>
      </c>
      <c r="L29" s="22" t="str">
        <f>VLOOKUP(A29,'Trips&amp;Operators'!$C$1:$G$99999,5,FALSE)</f>
        <v>ACKERMAN JARED</v>
      </c>
      <c r="M29" s="6">
        <f t="shared" si="1"/>
        <v>2.548611110978527E-2</v>
      </c>
      <c r="N29" s="7">
        <f t="shared" si="2"/>
        <v>36.699999998090789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04:36:57-700',mode:absolute,to:'2016-12-14 07:22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4.58E-2</v>
      </c>
      <c r="Z29" s="67">
        <f t="shared" si="9"/>
        <v>23.330200000000001</v>
      </c>
      <c r="AA29" s="67">
        <f t="shared" si="10"/>
        <v>23.284400000000002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11"/>
        <v>0117-14</v>
      </c>
      <c r="AE29" s="91" t="str">
        <f t="shared" si="12"/>
        <v>aws s3 cp s3://rtdc.mdm.uploadarchive.raw/RTDC4003/ "%USERPROFILE%\AppData\Local\Temp\OnboardLogs"\RTDC4003\2016-12-14 --exclude "*" --recursive --include "*20161214*" &amp; "%USERPROFILE%\Documents\GitHub\mrs-test-scripts\Headless Mode &amp; Sideloading\WalkAndUnGZ.bat" "%USERPROFILE%\AppData\Local\Temp\OnboardLogs"\RTDC4003\2016-12-14 &amp; aws s3 cp s3://rtdc.mdm.uploadarchive.raw/RTDC4003/ "%USERPROFILE%\AppData\Local\Temp\OnboardLogs"\RTDC4003\2016-12-15 --exclude "*" --recursive --include "*20161215*" &amp; "%USERPROFILE%\Documents\GitHub\mrs-test-scripts\Headless Mode &amp; Sideloading\WalkAndUnGZ.bat" "%USERPROFILE%\AppData\Local\Temp\OnboardLogs"\RTDC4003\2016-12-15</v>
      </c>
      <c r="AF29" s="88" t="str">
        <f t="shared" si="13"/>
        <v>"C:\Program Files (x86)\AstroGrep\AstroGrep.exe" /spath="%USERPROFILE%\AppData\Local\Temp\OnboardLogs" /stypes="app*4003*20161214*"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117-14 --locoid 4003 --swversion DE.1.0.8.0 --startMP 204:458 --initTime 2016-12-14T05:36:57 --startdatetime 2016-12-14T05:45:18 --delay 2 --endMP 204:233302 --enddatetime 2016-12-14T06:22:00 --enforcementcount 0 &gt;&gt;C:\Users\stu\Documents\GitHub\eaglep3-reporting\EC\2016-12-14-refined-times.txt</v>
      </c>
      <c r="AI29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{"issue":{"subject":"","project_id":79,"tracker_id":40,"status_id":1,"priority_id":2,"assigned_to_id":23,"start_date":"2016-12-14","description":"","custom_fields":[{"id":1,"name":"Subdivision","value":"EC"},{"id":4,"name":"Milepost","value":"23.3302"},{"id":17,"name":"Train ID","value":"117-14"},{"id":16,"name":"Locomotive ID","value":"4003"},{"id":130,"name":"Impact","value":""},{"id":150,"name":"Time of Event (Mountain Time)","value":"06:22:00"},{"id":151,"name":"Denver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492</v>
      </c>
      <c r="B30" s="7">
        <v>4004</v>
      </c>
      <c r="C30" s="22" t="s">
        <v>207</v>
      </c>
      <c r="D30" s="22" t="s">
        <v>293</v>
      </c>
      <c r="E30" s="13">
        <v>42718.272141203706</v>
      </c>
      <c r="F30" s="13">
        <v>42718.278657407405</v>
      </c>
      <c r="G30" s="7">
        <v>1</v>
      </c>
      <c r="H30" s="22" t="s">
        <v>226</v>
      </c>
      <c r="I30" s="13">
        <v>42718.309710648151</v>
      </c>
      <c r="J30" s="7">
        <v>0</v>
      </c>
      <c r="K30" s="109" t="str">
        <f t="shared" si="0"/>
        <v>4003/4004</v>
      </c>
      <c r="L30" s="22" t="str">
        <f>VLOOKUP(A30,'Trips&amp;Operators'!$C$1:$G$99999,5,FALSE)</f>
        <v>ACKERMAN JARED</v>
      </c>
      <c r="M30" s="6">
        <f t="shared" si="1"/>
        <v>3.1053240745677613E-2</v>
      </c>
      <c r="N30" s="7">
        <f t="shared" si="2"/>
        <v>44.716666673775762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05:31:53-700',mode:absolute,to:'2016-12-14 08:25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23.2989</v>
      </c>
      <c r="Z30" s="67">
        <f t="shared" si="9"/>
        <v>1.54E-2</v>
      </c>
      <c r="AA30" s="67">
        <f t="shared" si="10"/>
        <v>23.2835</v>
      </c>
      <c r="AB30" s="64" t="e">
        <f>VLOOKUP(A30,Enforcements!$C$7:$K$19,8,0)</f>
        <v>#N/A</v>
      </c>
      <c r="AC30" s="60" t="e">
        <f>VLOOKUP(A30,Enforcements!$C$7:$E$19,3,0)</f>
        <v>#N/A</v>
      </c>
      <c r="AD30" s="61" t="str">
        <f t="shared" si="11"/>
        <v>0118-14</v>
      </c>
      <c r="AE30" s="91" t="str">
        <f t="shared" si="12"/>
        <v>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 &amp; aws s3 cp s3://rtdc.mdm.uploadarchive.raw/RTDC4004/ "%USERPROFILE%\AppData\Local\Temp\OnboardLogs"\RTDC4004\2016-12-15 --exclude "*" --recursive --include "*20161215*" &amp; "%USERPROFILE%\Documents\GitHub\mrs-test-scripts\Headless Mode &amp; Sideloading\WalkAndUnGZ.bat" "%USERPROFILE%\AppData\Local\Temp\OnboardLogs"\RTDC4004\2016-12-15</v>
      </c>
      <c r="AF30" s="88" t="str">
        <f t="shared" si="13"/>
        <v>"C:\Program Files (x86)\AstroGrep\AstroGrep.exe" /spath="%USERPROFILE%\AppData\Local\Temp\OnboardLogs" /stypes="app*4004*20161214*"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118-14 --locoid 4004 --swversion DE.1.0.8.0 --startMP 204:232989 --initTime 2016-12-14T06:31:53 --startdatetime 2016-12-14T06:41:16 --delay 1 --endMP 204:154 --enddatetime 2016-12-14T07:25:59 --enforcementcount 0 &gt;&gt;C:\Users\stu\Documents\GitHub\eaglep3-reporting\EC\2016-12-14-refined-times.txt</v>
      </c>
      <c r="AI30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{"issue":{"subject":"","project_id":79,"tracker_id":40,"status_id":1,"priority_id":2,"assigned_to_id":23,"start_date":"2016-12-14","description":"","custom_fields":[{"id":1,"name":"Subdivision","value":"EC"},{"id":4,"name":"Milepost","value":"0.0154"},{"id":17,"name":"Train ID","value":"118-14"},{"id":16,"name":"Locomotive ID","value":"4004"},{"id":130,"name":"Impact","value":""},{"id":150,"name":"Time of Event (Mountain Time)","value":"07:25:59"},{"id":151,"name":"Denver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486</v>
      </c>
      <c r="B31" s="7">
        <v>4046</v>
      </c>
      <c r="C31" s="22" t="s">
        <v>207</v>
      </c>
      <c r="D31" s="22" t="s">
        <v>693</v>
      </c>
      <c r="E31" s="13">
        <v>42718.24927083333</v>
      </c>
      <c r="F31" s="13">
        <v>42718.251967592594</v>
      </c>
      <c r="G31" s="7">
        <v>2</v>
      </c>
      <c r="H31" s="22" t="s">
        <v>384</v>
      </c>
      <c r="I31" s="13">
        <v>42718.276238425926</v>
      </c>
      <c r="J31" s="7">
        <v>0</v>
      </c>
      <c r="K31" s="109" t="str">
        <f t="shared" si="0"/>
        <v>4045/4046</v>
      </c>
      <c r="L31" s="22" t="str">
        <f>VLOOKUP(A31,'Trips&amp;Operators'!$C$1:$G$99999,5,FALSE)</f>
        <v>DE LA ROSA ALEX</v>
      </c>
      <c r="M31" s="6">
        <f t="shared" si="1"/>
        <v>2.4270833331684116E-2</v>
      </c>
      <c r="N31" s="7">
        <f t="shared" si="2"/>
        <v>34.949999997625127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04:58:57-700',mode:absolute,to:'2016-12-14 07:37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7.7200000000000005E-2</v>
      </c>
      <c r="Z31" s="67">
        <f t="shared" si="9"/>
        <v>23.331800000000001</v>
      </c>
      <c r="AA31" s="67">
        <f t="shared" si="10"/>
        <v>23.2546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1"/>
        <v>0119-14</v>
      </c>
      <c r="AE31" s="91" t="str">
        <f t="shared" si="12"/>
        <v>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 &amp; aws s3 cp s3://rtdc.mdm.uploadarchive.raw/RTDC4046/ "%USERPROFILE%\AppData\Local\Temp\OnboardLogs"\RTDC4046\2016-12-15 --exclude "*" --recursive --include "*20161215*" &amp; "%USERPROFILE%\Documents\GitHub\mrs-test-scripts\Headless Mode &amp; Sideloading\WalkAndUnGZ.bat" "%USERPROFILE%\AppData\Local\Temp\OnboardLogs"\RTDC4046\2016-12-15</v>
      </c>
      <c r="AF31" s="88" t="str">
        <f t="shared" si="13"/>
        <v>"C:\Program Files (x86)\AstroGrep\AstroGrep.exe" /spath="%USERPROFILE%\AppData\Local\Temp\OnboardLogs" /stypes="app*4046*20161214*"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119-14 --locoid 4046 --swversion DE.1.0.8.0 --startMP 204:772 --initTime 2016-12-14T05:58:57 --startdatetime 2016-12-14T06:02:50 --delay 2 --endMP 204:233318 --enddatetime 2016-12-14T06:37:47 --enforcementcount 0 &gt;&gt;C:\Users\stu\Documents\GitHub\eaglep3-reporting\EC\2016-12-14-refined-times.txt</v>
      </c>
      <c r="AI31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{"issue":{"subject":"","project_id":79,"tracker_id":40,"status_id":1,"priority_id":2,"assigned_to_id":23,"start_date":"2016-12-14","description":"","custom_fields":[{"id":1,"name":"Subdivision","value":"EC"},{"id":4,"name":"Milepost","value":"23.3318"},{"id":17,"name":"Train ID","value":"119-14"},{"id":16,"name":"Locomotive ID","value":"4046"},{"id":130,"name":"Impact","value":""},{"id":150,"name":"Time of Event (Mountain Time)","value":"06:37:47"},{"id":151,"name":"Denver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498</v>
      </c>
      <c r="B32" s="7">
        <v>4045</v>
      </c>
      <c r="C32" s="22" t="s">
        <v>207</v>
      </c>
      <c r="D32" s="22" t="s">
        <v>696</v>
      </c>
      <c r="E32" s="13">
        <v>42718.285636574074</v>
      </c>
      <c r="F32" s="13">
        <v>42718.289074074077</v>
      </c>
      <c r="G32" s="7">
        <v>1</v>
      </c>
      <c r="H32" s="22" t="s">
        <v>192</v>
      </c>
      <c r="I32" s="13">
        <v>42718.319675925923</v>
      </c>
      <c r="J32" s="7">
        <v>0</v>
      </c>
      <c r="K32" s="109" t="str">
        <f t="shared" si="0"/>
        <v>4045/4046</v>
      </c>
      <c r="L32" s="22" t="str">
        <f>VLOOKUP(A32,'Trips&amp;Operators'!$C$1:$G$99999,5,FALSE)</f>
        <v>DE LA ROSA ALEX</v>
      </c>
      <c r="M32" s="6">
        <f t="shared" si="1"/>
        <v>3.0601851845858619E-2</v>
      </c>
      <c r="N32" s="7">
        <f t="shared" si="2"/>
        <v>44.066666658036411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05:51:19-700',mode:absolute,to:'2016-12-14 08:40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23.296700000000001</v>
      </c>
      <c r="Z32" s="67">
        <f t="shared" si="9"/>
        <v>1.49E-2</v>
      </c>
      <c r="AA32" s="67">
        <f t="shared" si="10"/>
        <v>23.2818</v>
      </c>
      <c r="AB32" s="64" t="e">
        <f>VLOOKUP(A32,Enforcements!$C$7:$K$19,8,0)</f>
        <v>#N/A</v>
      </c>
      <c r="AC32" s="60" t="e">
        <f>VLOOKUP(A32,Enforcements!$C$7:$E$19,3,0)</f>
        <v>#N/A</v>
      </c>
      <c r="AD32" s="61" t="str">
        <f t="shared" si="11"/>
        <v>0120-14</v>
      </c>
      <c r="AE32" s="91" t="str">
        <f t="shared" si="12"/>
        <v>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 &amp; aws s3 cp s3://rtdc.mdm.uploadarchive.raw/RTDC4045/ "%USERPROFILE%\AppData\Local\Temp\OnboardLogs"\RTDC4045\2016-12-15 --exclude "*" --recursive --include "*20161215*" &amp; "%USERPROFILE%\Documents\GitHub\mrs-test-scripts\Headless Mode &amp; Sideloading\WalkAndUnGZ.bat" "%USERPROFILE%\AppData\Local\Temp\OnboardLogs"\RTDC4045\2016-12-15</v>
      </c>
      <c r="AF32" s="88" t="str">
        <f t="shared" si="13"/>
        <v>"C:\Program Files (x86)\AstroGrep\AstroGrep.exe" /spath="%USERPROFILE%\AppData\Local\Temp\OnboardLogs" /stypes="app*4045*20161214*"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120-14 --locoid 4045 --swversion DE.1.0.8.0 --startMP 204:232967 --initTime 2016-12-14T06:51:19 --startdatetime 2016-12-14T06:56:16 --delay 1 --endMP 204:149 --enddatetime 2016-12-14T07:40:20 --enforcementcount 0 &gt;&gt;C:\Users\stu\Documents\GitHub\eaglep3-reporting\EC\2016-12-14-refined-times.txt</v>
      </c>
      <c r="AI32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{"issue":{"subject":"","project_id":79,"tracker_id":40,"status_id":1,"priority_id":2,"assigned_to_id":23,"start_date":"2016-12-14","description":"","custom_fields":[{"id":1,"name":"Subdivision","value":"EC"},{"id":4,"name":"Milepost","value":"0.0149"},{"id":17,"name":"Train ID","value":"120-14"},{"id":16,"name":"Locomotive ID","value":"4045"},{"id":130,"name":"Impact","value":""},{"id":150,"name":"Time of Event (Mountain Time)","value":"07:40:20"},{"id":151,"name":"Denver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489</v>
      </c>
      <c r="B33" s="7">
        <v>4051</v>
      </c>
      <c r="C33" s="22" t="s">
        <v>207</v>
      </c>
      <c r="D33" s="22" t="s">
        <v>385</v>
      </c>
      <c r="E33" s="13">
        <v>42718.260601851849</v>
      </c>
      <c r="F33" s="13">
        <v>42718.262303240743</v>
      </c>
      <c r="G33" s="7">
        <v>1</v>
      </c>
      <c r="H33" s="22" t="s">
        <v>697</v>
      </c>
      <c r="I33" s="13">
        <v>42718.2890162037</v>
      </c>
      <c r="J33" s="7">
        <v>0</v>
      </c>
      <c r="K33" s="109" t="str">
        <f t="shared" si="0"/>
        <v>4051/4052</v>
      </c>
      <c r="L33" s="22" t="str">
        <f>VLOOKUP(A33,'Trips&amp;Operators'!$C$1:$G$99999,5,FALSE)</f>
        <v>SPECTOR MICHAEL</v>
      </c>
      <c r="M33" s="6">
        <f t="shared" si="1"/>
        <v>2.6712962957390118E-2</v>
      </c>
      <c r="N33" s="7">
        <f t="shared" si="2"/>
        <v>38.46666665864177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05:15:16-700',mode:absolute,to:'2016-12-14 07:56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4.3700000000000003E-2</v>
      </c>
      <c r="Z33" s="67">
        <f t="shared" si="9"/>
        <v>23.331499999999998</v>
      </c>
      <c r="AA33" s="67">
        <f t="shared" si="10"/>
        <v>23.287799999999997</v>
      </c>
      <c r="AB33" s="64" t="e">
        <f>VLOOKUP(A33,Enforcements!$C$7:$K$19,8,0)</f>
        <v>#N/A</v>
      </c>
      <c r="AC33" s="60" t="e">
        <f>VLOOKUP(A33,Enforcements!$C$7:$E$19,3,0)</f>
        <v>#N/A</v>
      </c>
      <c r="AD33" s="61" t="str">
        <f t="shared" si="11"/>
        <v>0121-14</v>
      </c>
      <c r="AE33" s="91" t="str">
        <f t="shared" si="12"/>
        <v>aws s3 cp s3://rtdc.mdm.uploadarchive.raw/RTDC4051/ "%USERPROFILE%\AppData\Local\Temp\OnboardLogs"\RTDC4051\2016-12-14 --exclude "*" --recursive --include "*20161214*" &amp; "%USERPROFILE%\Documents\GitHub\mrs-test-scripts\Headless Mode &amp; Sideloading\WalkAndUnGZ.bat" "%USERPROFILE%\AppData\Local\Temp\OnboardLogs"\RTDC4051\2016-12-14 &amp; aws s3 cp s3://rtdc.mdm.uploadarchive.raw/RTDC4051/ "%USERPROFILE%\AppData\Local\Temp\OnboardLogs"\RTDC4051\2016-12-15 --exclude "*" --recursive --include "*20161215*" &amp; "%USERPROFILE%\Documents\GitHub\mrs-test-scripts\Headless Mode &amp; Sideloading\WalkAndUnGZ.bat" "%USERPROFILE%\AppData\Local\Temp\OnboardLogs"\RTDC4051\2016-12-15</v>
      </c>
      <c r="AF33" s="88" t="str">
        <f t="shared" si="13"/>
        <v>"C:\Program Files (x86)\AstroGrep\AstroGrep.exe" /spath="%USERPROFILE%\AppData\Local\Temp\OnboardLogs" /stypes="app*4051*20161214*"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121-14 --locoid 4051 --swversion DE.1.0.8.0 --startMP 204:437 --initTime 2016-12-14T06:15:16 --startdatetime 2016-12-14T06:17:43 --delay 1 --endMP 204:233315 --enddatetime 2016-12-14T06:56:11 --enforcementcount 0 &gt;&gt;C:\Users\stu\Documents\GitHub\eaglep3-reporting\EC\2016-12-14-refined-times.txt</v>
      </c>
      <c r="AI33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{"issue":{"subject":"","project_id":79,"tracker_id":40,"status_id":1,"priority_id":2,"assigned_to_id":23,"start_date":"2016-12-14","description":"","custom_fields":[{"id":1,"name":"Subdivision","value":"EC"},{"id":4,"name":"Milepost","value":"23.3315"},{"id":17,"name":"Train ID","value":"121-14"},{"id":16,"name":"Locomotive ID","value":"4051"},{"id":130,"name":"Impact","value":""},{"id":150,"name":"Time of Event (Mountain Time)","value":"06:56:11"},{"id":151,"name":"Denver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423</v>
      </c>
      <c r="B34" s="7">
        <v>4052</v>
      </c>
      <c r="C34" s="22" t="s">
        <v>207</v>
      </c>
      <c r="D34" s="22" t="s">
        <v>331</v>
      </c>
      <c r="E34" s="13">
        <v>42718.295254629629</v>
      </c>
      <c r="F34" s="13">
        <v>42718.299502314818</v>
      </c>
      <c r="G34" s="7">
        <v>2</v>
      </c>
      <c r="H34" s="22" t="s">
        <v>299</v>
      </c>
      <c r="I34" s="13">
        <v>42718.327546296299</v>
      </c>
      <c r="J34" s="7">
        <v>0</v>
      </c>
      <c r="K34" s="109" t="str">
        <f t="shared" si="0"/>
        <v>4051/4052</v>
      </c>
      <c r="L34" s="22" t="str">
        <f>VLOOKUP(A34,'Trips&amp;Operators'!$C$1:$G$99999,5,FALSE)</f>
        <v>SPECTOR MICHAEL</v>
      </c>
      <c r="M34" s="6">
        <f t="shared" si="1"/>
        <v>2.8043981481459923E-2</v>
      </c>
      <c r="N34" s="7">
        <f t="shared" si="2"/>
        <v>40.383333333302289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06:05:10-700',mode:absolute,to:'2016-12-14 08:51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23.299800000000001</v>
      </c>
      <c r="Z34" s="67">
        <f t="shared" si="9"/>
        <v>1.61E-2</v>
      </c>
      <c r="AA34" s="67">
        <f t="shared" si="10"/>
        <v>23.2837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11"/>
        <v>0122-14</v>
      </c>
      <c r="AE34" s="91" t="str">
        <f t="shared" si="12"/>
        <v>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 &amp; aws s3 cp s3://rtdc.mdm.uploadarchive.raw/RTDC4052/ "%USERPROFILE%\AppData\Local\Temp\OnboardLogs"\RTDC4052\2016-12-15 --exclude "*" --recursive --include "*20161215*" &amp; "%USERPROFILE%\Documents\GitHub\mrs-test-scripts\Headless Mode &amp; Sideloading\WalkAndUnGZ.bat" "%USERPROFILE%\AppData\Local\Temp\OnboardLogs"\RTDC4052\2016-12-15</v>
      </c>
      <c r="AF34" s="88" t="str">
        <f t="shared" si="13"/>
        <v>"C:\Program Files (x86)\AstroGrep\AstroGrep.exe" /spath="%USERPROFILE%\AppData\Local\Temp\OnboardLogs" /stypes="app*4052*20161214*"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122-14 --locoid 4052 --swversion DE.1.0.8.0 --startMP 204:232998 --initTime 2016-12-14T07:05:10 --startdatetime 2016-12-14T07:11:17 --delay 2 --endMP 204:161 --enddatetime 2016-12-14T07:51:40 --enforcementcount 0 &gt;&gt;C:\Users\stu\Documents\GitHub\eaglep3-reporting\EC\2016-12-14-refined-times.txt</v>
      </c>
      <c r="AI34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{"issue":{"subject":"","project_id":79,"tracker_id":40,"status_id":1,"priority_id":2,"assigned_to_id":23,"start_date":"2016-12-14","description":"","custom_fields":[{"id":1,"name":"Subdivision","value":"EC"},{"id":4,"name":"Milepost","value":"0.0161"},{"id":17,"name":"Train ID","value":"122-14"},{"id":16,"name":"Locomotive ID","value":"4052"},{"id":130,"name":"Impact","value":""},{"id":150,"name":"Time of Event (Mountain Time)","value":"07:51:40"},{"id":151,"name":"Denver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491</v>
      </c>
      <c r="B35" s="7">
        <v>4016</v>
      </c>
      <c r="C35" s="22" t="s">
        <v>207</v>
      </c>
      <c r="D35" s="22" t="s">
        <v>698</v>
      </c>
      <c r="E35" s="13">
        <v>42718.269201388888</v>
      </c>
      <c r="F35" s="13">
        <v>42718.271273148152</v>
      </c>
      <c r="G35" s="7">
        <v>1</v>
      </c>
      <c r="H35" s="22" t="s">
        <v>317</v>
      </c>
      <c r="I35" s="13">
        <v>42718.299398148149</v>
      </c>
      <c r="J35" s="7">
        <v>0</v>
      </c>
      <c r="K35" s="109" t="str">
        <f t="shared" si="0"/>
        <v>4015/4016</v>
      </c>
      <c r="L35" s="22" t="str">
        <f>VLOOKUP(A35,'Trips&amp;Operators'!$C$1:$G$99999,5,FALSE)</f>
        <v>DAVIS MICHAEL</v>
      </c>
      <c r="M35" s="6">
        <f t="shared" si="1"/>
        <v>2.8124999997089617E-2</v>
      </c>
      <c r="N35" s="7">
        <f t="shared" si="2"/>
        <v>40.499999995809048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05:27:39-700',mode:absolute,to:'2016-12-14 08:11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4.5699999999999998E-2</v>
      </c>
      <c r="Z35" s="67">
        <f t="shared" si="9"/>
        <v>23.328399999999998</v>
      </c>
      <c r="AA35" s="67">
        <f t="shared" si="10"/>
        <v>23.282699999999998</v>
      </c>
      <c r="AB35" s="64" t="e">
        <f>VLOOKUP(A35,Enforcements!$C$7:$K$19,8,0)</f>
        <v>#N/A</v>
      </c>
      <c r="AC35" s="60" t="e">
        <f>VLOOKUP(A35,Enforcements!$C$7:$E$19,3,0)</f>
        <v>#N/A</v>
      </c>
      <c r="AD35" s="61" t="str">
        <f t="shared" si="11"/>
        <v>0123-14</v>
      </c>
      <c r="AE35" s="91" t="str">
        <f t="shared" si="12"/>
        <v>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 &amp; aws s3 cp s3://rtdc.mdm.uploadarchive.raw/RTDC4016/ "%USERPROFILE%\AppData\Local\Temp\OnboardLogs"\RTDC4016\2016-12-15 --exclude "*" --recursive --include "*20161215*" &amp; "%USERPROFILE%\Documents\GitHub\mrs-test-scripts\Headless Mode &amp; Sideloading\WalkAndUnGZ.bat" "%USERPROFILE%\AppData\Local\Temp\OnboardLogs"\RTDC4016\2016-12-15</v>
      </c>
      <c r="AF35" s="88" t="str">
        <f t="shared" si="13"/>
        <v>"C:\Program Files (x86)\AstroGrep\AstroGrep.exe" /spath="%USERPROFILE%\AppData\Local\Temp\OnboardLogs" /stypes="app*4016*20161214*"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123-14 --locoid 4016 --swversion DE.1.0.8.0 --startMP 204:457 --initTime 2016-12-14T06:27:39 --startdatetime 2016-12-14T06:30:38 --delay 1 --endMP 204:233284 --enddatetime 2016-12-14T07:11:08 --enforcementcount 0 &gt;&gt;C:\Users\stu\Documents\GitHub\eaglep3-reporting\EC\2016-12-14-refined-times.txt</v>
      </c>
      <c r="AI35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{"issue":{"subject":"","project_id":79,"tracker_id":40,"status_id":1,"priority_id":2,"assigned_to_id":23,"start_date":"2016-12-14","description":"","custom_fields":[{"id":1,"name":"Subdivision","value":"EC"},{"id":4,"name":"Milepost","value":"23.3284"},{"id":17,"name":"Train ID","value":"123-14"},{"id":16,"name":"Locomotive ID","value":"4016"},{"id":130,"name":"Impact","value":""},{"id":150,"name":"Time of Event (Mountain Time)","value":"07:11:08"},{"id":151,"name":"Denver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503</v>
      </c>
      <c r="B36" s="7">
        <v>4015</v>
      </c>
      <c r="C36" s="22" t="s">
        <v>207</v>
      </c>
      <c r="D36" s="22" t="s">
        <v>291</v>
      </c>
      <c r="E36" s="13">
        <v>42718.304328703707</v>
      </c>
      <c r="F36" s="13">
        <v>42718.310393518521</v>
      </c>
      <c r="G36" s="7">
        <v>1</v>
      </c>
      <c r="H36" s="22" t="s">
        <v>386</v>
      </c>
      <c r="I36" s="13">
        <v>42718.342175925929</v>
      </c>
      <c r="J36" s="7">
        <v>0</v>
      </c>
      <c r="K36" s="109" t="str">
        <f t="shared" si="0"/>
        <v>4015/4016</v>
      </c>
      <c r="L36" s="22" t="str">
        <f>VLOOKUP(A36,'Trips&amp;Operators'!$C$1:$G$99999,5,FALSE)</f>
        <v>DAVIS MICHAEL</v>
      </c>
      <c r="M36" s="6">
        <f t="shared" si="1"/>
        <v>3.178240740817273E-2</v>
      </c>
      <c r="N36" s="7">
        <f t="shared" si="2"/>
        <v>45.766666667768732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06:18:14-700',mode:absolute,to:'2016-12-14 09:12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23.297999999999998</v>
      </c>
      <c r="Z36" s="67">
        <f t="shared" si="9"/>
        <v>1.38E-2</v>
      </c>
      <c r="AA36" s="67">
        <f t="shared" si="10"/>
        <v>23.284199999999998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 t="shared" si="11"/>
        <v>0124-14</v>
      </c>
      <c r="AE36" s="91" t="str">
        <f t="shared" si="12"/>
        <v>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 &amp; aws s3 cp s3://rtdc.mdm.uploadarchive.raw/RTDC4015/ "%USERPROFILE%\AppData\Local\Temp\OnboardLogs"\RTDC4015\2016-12-15 --exclude "*" --recursive --include "*20161215*" &amp; "%USERPROFILE%\Documents\GitHub\mrs-test-scripts\Headless Mode &amp; Sideloading\WalkAndUnGZ.bat" "%USERPROFILE%\AppData\Local\Temp\OnboardLogs"\RTDC4015\2016-12-15</v>
      </c>
      <c r="AF36" s="88" t="str">
        <f t="shared" si="13"/>
        <v>"C:\Program Files (x86)\AstroGrep\AstroGrep.exe" /spath="%USERPROFILE%\AppData\Local\Temp\OnboardLogs" /stypes="app*4015*20161214*"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124-14 --locoid 4015 --swversion DE.1.0.8.0 --startMP 204:232980 --initTime 2016-12-14T07:18:14 --startdatetime 2016-12-14T07:26:58 --delay 1 --endMP 204:138 --enddatetime 2016-12-14T08:12:44 --enforcementcount 0 &gt;&gt;C:\Users\stu\Documents\GitHub\eaglep3-reporting\EC\2016-12-14-refined-times.txt</v>
      </c>
      <c r="AI36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{"issue":{"subject":"","project_id":79,"tracker_id":40,"status_id":1,"priority_id":2,"assigned_to_id":23,"start_date":"2016-12-14","description":"","custom_fields":[{"id":1,"name":"Subdivision","value":"EC"},{"id":4,"name":"Milepost","value":"0.0138"},{"id":17,"name":"Train ID","value":"124-14"},{"id":16,"name":"Locomotive ID","value":"4015"},{"id":130,"name":"Impact","value":""},{"id":150,"name":"Time of Event (Mountain Time)","value":"08:12:44"},{"id":151,"name":"Denver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494</v>
      </c>
      <c r="B37" s="7">
        <v>4040</v>
      </c>
      <c r="C37" s="22" t="s">
        <v>207</v>
      </c>
      <c r="D37" s="22" t="s">
        <v>390</v>
      </c>
      <c r="E37" s="13">
        <v>42718.279143518521</v>
      </c>
      <c r="F37" s="13">
        <v>42718.281446759262</v>
      </c>
      <c r="G37" s="7">
        <v>1</v>
      </c>
      <c r="H37" s="22" t="s">
        <v>382</v>
      </c>
      <c r="I37" s="13">
        <v>42718.306585648148</v>
      </c>
      <c r="J37" s="7">
        <v>0</v>
      </c>
      <c r="K37" s="109" t="str">
        <f t="shared" si="0"/>
        <v>4039/4040</v>
      </c>
      <c r="L37" s="22" t="str">
        <f>VLOOKUP(A37,'Trips&amp;Operators'!$C$1:$G$99999,5,FALSE)</f>
        <v>ROCHA YAOTL</v>
      </c>
      <c r="M37" s="6">
        <f t="shared" si="1"/>
        <v>2.5138888886431232E-2</v>
      </c>
      <c r="N37" s="7">
        <f t="shared" si="2"/>
        <v>36.199999996460974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05:41:58-700',mode:absolute,to:'2016-12-14 08:21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4.7699999999999999E-2</v>
      </c>
      <c r="Z37" s="67">
        <f t="shared" si="9"/>
        <v>23.3353</v>
      </c>
      <c r="AA37" s="67">
        <f t="shared" si="10"/>
        <v>23.287600000000001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11"/>
        <v>0125-14</v>
      </c>
      <c r="AE37" s="91" t="str">
        <f t="shared" si="12"/>
        <v>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 &amp; aws s3 cp s3://rtdc.mdm.uploadarchive.raw/RTDC4040/ "%USERPROFILE%\AppData\Local\Temp\OnboardLogs"\RTDC4040\2016-12-15 --exclude "*" --recursive --include "*20161215*" &amp; "%USERPROFILE%\Documents\GitHub\mrs-test-scripts\Headless Mode &amp; Sideloading\WalkAndUnGZ.bat" "%USERPROFILE%\AppData\Local\Temp\OnboardLogs"\RTDC4040\2016-12-15</v>
      </c>
      <c r="AF37" s="88" t="str">
        <f t="shared" si="13"/>
        <v>"C:\Program Files (x86)\AstroGrep\AstroGrep.exe" /spath="%USERPROFILE%\AppData\Local\Temp\OnboardLogs" /stypes="app*4040*20161214*"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125-14 --locoid 4040 --swversion DE.1.0.8.0 --startMP 204:477 --initTime 2016-12-14T06:41:58 --startdatetime 2016-12-14T06:45:17 --delay 1 --endMP 204:233353 --enddatetime 2016-12-14T07:21:29 --enforcementcount 0 &gt;&gt;C:\Users\stu\Documents\GitHub\eaglep3-reporting\EC\2016-12-14-refined-times.txt</v>
      </c>
      <c r="AI37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{"issue":{"subject":"","project_id":79,"tracker_id":40,"status_id":1,"priority_id":2,"assigned_to_id":23,"start_date":"2016-12-14","description":"","custom_fields":[{"id":1,"name":"Subdivision","value":"EC"},{"id":4,"name":"Milepost","value":"23.3353"},{"id":17,"name":"Train ID","value":"125-14"},{"id":16,"name":"Locomotive ID","value":"4040"},{"id":130,"name":"Impact","value":""},{"id":150,"name":"Time of Event (Mountain Time)","value":"07:21:29"},{"id":151,"name":"Denver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507</v>
      </c>
      <c r="B38" s="7">
        <v>4039</v>
      </c>
      <c r="C38" s="22" t="s">
        <v>207</v>
      </c>
      <c r="D38" s="22" t="s">
        <v>390</v>
      </c>
      <c r="E38" s="13">
        <v>42718.279143518521</v>
      </c>
      <c r="F38" s="13">
        <v>42718.3203125</v>
      </c>
      <c r="G38" s="7">
        <v>1</v>
      </c>
      <c r="H38" s="22" t="s">
        <v>382</v>
      </c>
      <c r="I38" s="13">
        <v>42718.347569444442</v>
      </c>
      <c r="J38" s="7">
        <v>0</v>
      </c>
      <c r="K38" s="109" t="str">
        <f t="shared" si="0"/>
        <v>4039/4040</v>
      </c>
      <c r="L38" s="22" t="str">
        <f>VLOOKUP(A38,'Trips&amp;Operators'!$C$1:$G$99999,5,FALSE)</f>
        <v>ROCHA YAOTL</v>
      </c>
      <c r="M38" s="6">
        <f t="shared" si="1"/>
        <v>2.7256944442342501E-2</v>
      </c>
      <c r="N38" s="7">
        <f t="shared" si="2"/>
        <v>39.249999996973202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05:41:58-700',mode:absolute,to:'2016-12-14 09:20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8" s="52" t="str">
        <f t="shared" si="6"/>
        <v>N</v>
      </c>
      <c r="X38" s="177">
        <f t="shared" ref="X38:X43" si="19">VALUE(LEFT(AD38,4))-VALUE(LEFT(AD37,4))</f>
        <v>1</v>
      </c>
      <c r="Y38" s="67">
        <v>23.299399999999999</v>
      </c>
      <c r="Z38" s="67">
        <v>1.4999999999999999E-2</v>
      </c>
      <c r="AA38" s="67">
        <f t="shared" si="10"/>
        <v>23.284399999999998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11"/>
        <v>0126-14</v>
      </c>
      <c r="AE38" s="91" t="str">
        <f t="shared" si="12"/>
        <v>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 &amp; aws s3 cp s3://rtdc.mdm.uploadarchive.raw/RTDC4039/ "%USERPROFILE%\AppData\Local\Temp\OnboardLogs"\RTDC4039\2016-12-15 --exclude "*" --recursive --include "*20161215*" &amp; "%USERPROFILE%\Documents\GitHub\mrs-test-scripts\Headless Mode &amp; Sideloading\WalkAndUnGZ.bat" "%USERPROFILE%\AppData\Local\Temp\OnboardLogs"\RTDC4039\2016-12-15</v>
      </c>
      <c r="AF38" s="88" t="str">
        <f t="shared" si="13"/>
        <v>"C:\Program Files (x86)\AstroGrep\AstroGrep.exe" /spath="%USERPROFILE%\AppData\Local\Temp\OnboardLogs" /stypes="app*4039*20161214*"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ref="AH38" si="20">refinertdcruntimes&amp;" --tripid "&amp;A38&amp;" --locoid "&amp;B38&amp;" --swversion "&amp;C38&amp;" --startMP "&amp;D38&amp;" --initTime "&amp;TEXT(E38,"yyyy-mm-ddTHH:MM:SS")&amp;" --startdatetime "&amp;TEXT(F38,"yyyy-mm-ddTHH:MM:SS")&amp;" --delay "&amp;G38&amp;" --endMP "&amp;H38&amp;" --enddatetime "&amp;TEXT(I38,"yyyy-mm-ddTHH:MM:SS")&amp;" --enforcementcount "&amp;J38&amp;IF(outputrefinedruntimes," &gt;&gt;"&amp;RefinedRTDCRunTimesOutputFile,"")</f>
        <v>"%USERPROFILE%\Documents\GitHub\eaglep3\Utilities\RefineRTDCRunTimes.py" --tripid 126-14 --locoid 4039 --swversion DE.1.0.8.0 --startMP 204:477 --initTime 2016-12-14T06:41:58 --startdatetime 2016-12-14T07:41:15 --delay 1 --endMP 204:233353 --enddatetime 2016-12-14T08:20:30 --enforcementcount 0 &gt;&gt;C:\Users\stu\Documents\GitHub\eaglep3-reporting\EC\2016-12-14-refined-times.txt</v>
      </c>
      <c r="AI38" s="119" t="str">
        <f t="shared" ref="AI38" si="21">"echo {""issue"":{""subject"":"""&amp;R38&amp;""",""project_id"":79,""tracker_id"":40,""status_id"":"&amp;redmine_status&amp;",""priority_id"":"&amp;redmine_priority&amp;",""assigned_to_id"":"&amp;redmine_assignee&amp;",""start_date"":"""&amp;TEXT(I38,"YYYY-mm-dd")&amp;""",""description"":"""&amp;AJ38&amp;""",""custom_fields"":[{""id"":1,""name"":""Subdivision"",""value"":"""&amp;AG38&amp;"""},{""id"":4,""name"":""Milepost"",""value"":"""&amp;Z38&amp;"""},{""id"":17,""name"":""Train ID"",""value"":"""&amp;A38&amp;"""},{""id"":16,""name"":""Locomotive ID"",""value"":"""&amp;B38&amp;"""},{""id"":130,""name"":""Impact"",""value"":"""&amp;AK38&amp;"""},{""id"":150,""name"":""Time of Event (Mountain Time)"",""value"":"""&amp;TEXT(I38,"hh:mm:ss")&amp;"""},{""id"":151,""name"":""Denver Issue ID"",""value"":"""&amp;"""},{""id"":178,""name"":""Operational Impact"",""value"":"""&amp;redmine_op_impact&amp;"""},{""id"":179,""name"":""Denver Segment Assigned"",""value"":"""&amp;AL38&amp;"""}]}}"&amp;"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{"issue":{"subject":"","project_id":79,"tracker_id":40,"status_id":1,"priority_id":2,"assigned_to_id":23,"start_date":"2016-12-14","description":"","custom_fields":[{"id":1,"name":"Subdivision","value":"EC"},{"id":4,"name":"Milepost","value":"0.015"},{"id":17,"name":"Train ID","value":"126-14"},{"id":16,"name":"Locomotive ID","value":"4039"},{"id":130,"name":"Impact","value":""},{"id":150,"name":"Time of Event (Mountain Time)","value":"08:20:30"},{"id":151,"name":"Denver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</row>
    <row r="39" spans="1:91" s="1" customFormat="1" x14ac:dyDescent="0.25">
      <c r="A39" s="37" t="s">
        <v>499</v>
      </c>
      <c r="B39" s="7">
        <v>4044</v>
      </c>
      <c r="C39" s="22" t="s">
        <v>207</v>
      </c>
      <c r="D39" s="22" t="s">
        <v>232</v>
      </c>
      <c r="E39" s="13">
        <v>42718.289398148147</v>
      </c>
      <c r="F39" s="13">
        <v>42718.291956018518</v>
      </c>
      <c r="G39" s="7">
        <v>1</v>
      </c>
      <c r="H39" s="22" t="s">
        <v>699</v>
      </c>
      <c r="I39" s="13">
        <v>42718.316631944443</v>
      </c>
      <c r="J39" s="7">
        <v>0</v>
      </c>
      <c r="K39" s="109" t="str">
        <f t="shared" si="0"/>
        <v>4043/4044</v>
      </c>
      <c r="L39" s="22" t="str">
        <f>VLOOKUP(A39,'Trips&amp;Operators'!$C$1:$G$99999,5,FALSE)</f>
        <v>GRASTON MATHEU</v>
      </c>
      <c r="M39" s="6">
        <f t="shared" si="1"/>
        <v>2.4675925924384501E-2</v>
      </c>
      <c r="N39" s="7">
        <f t="shared" si="2"/>
        <v>35.533333331113681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05:56:44-700',mode:absolute,to:'2016-12-14 08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9" s="52" t="str">
        <f t="shared" si="6"/>
        <v>N</v>
      </c>
      <c r="X39" s="177">
        <f t="shared" si="19"/>
        <v>1</v>
      </c>
      <c r="Y39" s="67">
        <f t="shared" ref="Y39:Y70" si="22">RIGHT(D39,LEN(D39)-4)/10000</f>
        <v>4.5499999999999999E-2</v>
      </c>
      <c r="Z39" s="67">
        <f t="shared" ref="Z39:Z70" si="23">RIGHT(H39,LEN(H39)-4)/10000</f>
        <v>23.3322</v>
      </c>
      <c r="AA39" s="67">
        <f t="shared" si="10"/>
        <v>23.2867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 t="shared" si="11"/>
        <v>0127-14</v>
      </c>
      <c r="AE39" s="91" t="str">
        <f t="shared" si="12"/>
        <v>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 &amp; aws s3 cp s3://rtdc.mdm.uploadarchive.raw/RTDC4044/ "%USERPROFILE%\AppData\Local\Temp\OnboardLogs"\RTDC4044\2016-12-15 --exclude "*" --recursive --include "*20161215*" &amp; "%USERPROFILE%\Documents\GitHub\mrs-test-scripts\Headless Mode &amp; Sideloading\WalkAndUnGZ.bat" "%USERPROFILE%\AppData\Local\Temp\OnboardLogs"\RTDC4044\2016-12-15</v>
      </c>
      <c r="AF39" s="88" t="str">
        <f t="shared" si="13"/>
        <v>"C:\Program Files (x86)\AstroGrep\AstroGrep.exe" /spath="%USERPROFILE%\AppData\Local\Temp\OnboardLogs" /stypes="app*4044*20161214*"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127-14 --locoid 4044 --swversion DE.1.0.8.0 --startMP 204:455 --initTime 2016-12-14T06:56:44 --startdatetime 2016-12-14T07:00:25 --delay 1 --endMP 204:233322 --enddatetime 2016-12-14T07:35:57 --enforcementcount 0 &gt;&gt;C:\Users\stu\Documents\GitHub\eaglep3-reporting\EC\2016-12-14-refined-times.txt</v>
      </c>
      <c r="AI39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{"issue":{"subject":"","project_id":79,"tracker_id":40,"status_id":1,"priority_id":2,"assigned_to_id":23,"start_date":"2016-12-14","description":"","custom_fields":[{"id":1,"name":"Subdivision","value":"EC"},{"id":4,"name":"Milepost","value":"23.3322"},{"id":17,"name":"Train ID","value":"127-14"},{"id":16,"name":"Locomotive ID","value":"4044"},{"id":130,"name":"Impact","value":""},{"id":150,"name":"Time of Event (Mountain Time)","value":"07:35:57"},{"id":151,"name":"Denver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508</v>
      </c>
      <c r="B40" s="7">
        <v>4043</v>
      </c>
      <c r="C40" s="22" t="s">
        <v>207</v>
      </c>
      <c r="D40" s="22" t="s">
        <v>277</v>
      </c>
      <c r="E40" s="13">
        <v>42718.321226851855</v>
      </c>
      <c r="F40" s="13">
        <v>42718.330775462964</v>
      </c>
      <c r="G40" s="7">
        <v>0</v>
      </c>
      <c r="H40" s="22" t="s">
        <v>213</v>
      </c>
      <c r="I40" s="13">
        <v>42718.36209490741</v>
      </c>
      <c r="J40" s="7">
        <v>0</v>
      </c>
      <c r="K40" s="109" t="str">
        <f t="shared" si="0"/>
        <v>4043/4044</v>
      </c>
      <c r="L40" s="22" t="str">
        <f>VLOOKUP(A40,'Trips&amp;Operators'!$C$1:$G$99999,5,FALSE)</f>
        <v>GRASTON MATHEU</v>
      </c>
      <c r="M40" s="6">
        <f t="shared" si="1"/>
        <v>3.1319444446125999E-2</v>
      </c>
      <c r="N40" s="7">
        <f t="shared" si="2"/>
        <v>45.100000002421439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06:42:34-700',mode:absolute,to:'2016-12-14 09:41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0" s="52" t="str">
        <f t="shared" si="6"/>
        <v>N</v>
      </c>
      <c r="X40" s="177">
        <f t="shared" si="19"/>
        <v>1</v>
      </c>
      <c r="Y40" s="67">
        <f t="shared" si="22"/>
        <v>23.299399999999999</v>
      </c>
      <c r="Z40" s="67">
        <f t="shared" si="23"/>
        <v>1.4999999999999999E-2</v>
      </c>
      <c r="AA40" s="67">
        <f t="shared" si="10"/>
        <v>23.284399999999998</v>
      </c>
      <c r="AB40" s="64" t="e">
        <f>VLOOKUP(A40,Enforcements!$C$7:$K$19,8,0)</f>
        <v>#N/A</v>
      </c>
      <c r="AC40" s="60" t="e">
        <f>VLOOKUP(A40,Enforcements!$C$7:$E$19,3,0)</f>
        <v>#N/A</v>
      </c>
      <c r="AD40" s="61" t="str">
        <f t="shared" si="11"/>
        <v>0128-14</v>
      </c>
      <c r="AE40" s="91" t="str">
        <f t="shared" si="12"/>
        <v>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 &amp; aws s3 cp s3://rtdc.mdm.uploadarchive.raw/RTDC4043/ "%USERPROFILE%\AppData\Local\Temp\OnboardLogs"\RTDC4043\2016-12-15 --exclude "*" --recursive --include "*20161215*" &amp; "%USERPROFILE%\Documents\GitHub\mrs-test-scripts\Headless Mode &amp; Sideloading\WalkAndUnGZ.bat" "%USERPROFILE%\AppData\Local\Temp\OnboardLogs"\RTDC4043\2016-12-15</v>
      </c>
      <c r="AF40" s="88" t="str">
        <f t="shared" si="13"/>
        <v>"C:\Program Files (x86)\AstroGrep\AstroGrep.exe" /spath="%USERPROFILE%\AppData\Local\Temp\OnboardLogs" /stypes="app*4043*20161214*"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128-14 --locoid 4043 --swversion DE.1.0.8.0 --startMP 204:232994 --initTime 2016-12-14T07:42:34 --startdatetime 2016-12-14T07:56:19 --delay 0 --endMP 204:150 --enddatetime 2016-12-14T08:41:25 --enforcementcount 0 &gt;&gt;C:\Users\stu\Documents\GitHub\eaglep3-reporting\EC\2016-12-14-refined-times.txt</v>
      </c>
      <c r="AI40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{"issue":{"subject":"","project_id":79,"tracker_id":40,"status_id":1,"priority_id":2,"assigned_to_id":23,"start_date":"2016-12-14","description":"","custom_fields":[{"id":1,"name":"Subdivision","value":"EC"},{"id":4,"name":"Milepost","value":"0.015"},{"id":17,"name":"Train ID","value":"128-14"},{"id":16,"name":"Locomotive ID","value":"4043"},{"id":130,"name":"Impact","value":""},{"id":150,"name":"Time of Event (Mountain Time)","value":"08:41:25"},{"id":151,"name":"Denver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501</v>
      </c>
      <c r="B41" s="7">
        <v>4014</v>
      </c>
      <c r="C41" s="22" t="s">
        <v>207</v>
      </c>
      <c r="D41" s="22" t="s">
        <v>698</v>
      </c>
      <c r="E41" s="13">
        <v>42718.297523148147</v>
      </c>
      <c r="F41" s="13">
        <v>42718.302256944444</v>
      </c>
      <c r="G41" s="7">
        <v>1</v>
      </c>
      <c r="H41" s="22" t="s">
        <v>700</v>
      </c>
      <c r="I41" s="13">
        <v>42718.326886574076</v>
      </c>
      <c r="J41" s="7">
        <v>0</v>
      </c>
      <c r="K41" s="109" t="str">
        <f t="shared" si="0"/>
        <v>4013/4014</v>
      </c>
      <c r="L41" s="22" t="str">
        <f>VLOOKUP(A41,'Trips&amp;Operators'!$C$1:$G$99999,5,FALSE)</f>
        <v>HILLS DUSTIN</v>
      </c>
      <c r="M41" s="6">
        <f t="shared" si="1"/>
        <v>2.4629629631817807E-2</v>
      </c>
      <c r="N41" s="7">
        <f t="shared" si="2"/>
        <v>35.466666669817641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06:08:26-700',mode:absolute,to:'2016-12-14 08:50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1" s="52" t="str">
        <f t="shared" si="6"/>
        <v>N</v>
      </c>
      <c r="X41" s="177">
        <f t="shared" si="19"/>
        <v>1</v>
      </c>
      <c r="Y41" s="67">
        <f t="shared" si="22"/>
        <v>4.5699999999999998E-2</v>
      </c>
      <c r="Z41" s="67">
        <f t="shared" si="23"/>
        <v>23.333200000000001</v>
      </c>
      <c r="AA41" s="67">
        <f t="shared" si="10"/>
        <v>23.287500000000001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1"/>
        <v>0129-14</v>
      </c>
      <c r="AE41" s="91" t="str">
        <f t="shared" si="12"/>
        <v>aws s3 cp s3://rtdc.mdm.uploadarchive.raw/RTDC4014/ "%USERPROFILE%\AppData\Local\Temp\OnboardLogs"\RTDC4014\2016-12-14 --exclude "*" --recursive --include "*20161214*" &amp; "%USERPROFILE%\Documents\GitHub\mrs-test-scripts\Headless Mode &amp; Sideloading\WalkAndUnGZ.bat" "%USERPROFILE%\AppData\Local\Temp\OnboardLogs"\RTDC4014\2016-12-14 &amp; aws s3 cp s3://rtdc.mdm.uploadarchive.raw/RTDC4014/ "%USERPROFILE%\AppData\Local\Temp\OnboardLogs"\RTDC4014\2016-12-15 --exclude "*" --recursive --include "*20161215*" &amp; "%USERPROFILE%\Documents\GitHub\mrs-test-scripts\Headless Mode &amp; Sideloading\WalkAndUnGZ.bat" "%USERPROFILE%\AppData\Local\Temp\OnboardLogs"\RTDC4014\2016-12-15</v>
      </c>
      <c r="AF41" s="88" t="str">
        <f t="shared" si="13"/>
        <v>"C:\Program Files (x86)\AstroGrep\AstroGrep.exe" /spath="%USERPROFILE%\AppData\Local\Temp\OnboardLogs" /stypes="app*4014*20161214*"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129-14 --locoid 4014 --swversion DE.1.0.8.0 --startMP 204:457 --initTime 2016-12-14T07:08:26 --startdatetime 2016-12-14T07:15:15 --delay 1 --endMP 204:233332 --enddatetime 2016-12-14T07:50:43 --enforcementcount 0 &gt;&gt;C:\Users\stu\Documents\GitHub\eaglep3-reporting\EC\2016-12-14-refined-times.txt</v>
      </c>
      <c r="AI41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{"issue":{"subject":"","project_id":79,"tracker_id":40,"status_id":1,"priority_id":2,"assigned_to_id":23,"start_date":"2016-12-14","description":"","custom_fields":[{"id":1,"name":"Subdivision","value":"EC"},{"id":4,"name":"Milepost","value":"23.3332"},{"id":17,"name":"Train ID","value":"129-14"},{"id":16,"name":"Locomotive ID","value":"4014"},{"id":130,"name":"Impact","value":""},{"id":150,"name":"Time of Event (Mountain Time)","value":"07:50:43"},{"id":151,"name":"Denver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511</v>
      </c>
      <c r="B42" s="7">
        <v>4013</v>
      </c>
      <c r="C42" s="22" t="s">
        <v>207</v>
      </c>
      <c r="D42" s="22" t="s">
        <v>701</v>
      </c>
      <c r="E42" s="13">
        <v>42718.33185185185</v>
      </c>
      <c r="F42" s="13">
        <v>42718.341539351852</v>
      </c>
      <c r="G42" s="7">
        <v>1</v>
      </c>
      <c r="H42" s="22" t="s">
        <v>702</v>
      </c>
      <c r="I42" s="13">
        <v>42718.367962962962</v>
      </c>
      <c r="J42" s="7">
        <v>0</v>
      </c>
      <c r="K42" s="109" t="str">
        <f t="shared" si="0"/>
        <v>4013/4014</v>
      </c>
      <c r="L42" s="22" t="str">
        <f>VLOOKUP(A42,'Trips&amp;Operators'!$C$1:$G$99999,5,FALSE)</f>
        <v>HILLS DUSTIN</v>
      </c>
      <c r="M42" s="6">
        <f t="shared" si="1"/>
        <v>2.6423611110658385E-2</v>
      </c>
      <c r="N42" s="7">
        <f t="shared" si="2"/>
        <v>38.049999999348074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06:57:52-700',mode:absolute,to:'2016-12-14 09:49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2" s="52" t="str">
        <f t="shared" si="6"/>
        <v>N</v>
      </c>
      <c r="X42" s="177">
        <f t="shared" si="19"/>
        <v>1</v>
      </c>
      <c r="Y42" s="67">
        <f t="shared" si="22"/>
        <v>23.3047</v>
      </c>
      <c r="Z42" s="67">
        <f t="shared" si="23"/>
        <v>8.3000000000000001E-3</v>
      </c>
      <c r="AA42" s="67">
        <f t="shared" si="10"/>
        <v>23.296400000000002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11"/>
        <v>0130-14</v>
      </c>
      <c r="AE42" s="91" t="str">
        <f t="shared" si="12"/>
        <v>aws s3 cp s3://rtdc.mdm.uploadarchive.raw/RTDC4013/ "%USERPROFILE%\AppData\Local\Temp\OnboardLogs"\RTDC4013\2016-12-14 --exclude "*" --recursive --include "*20161214*" &amp; "%USERPROFILE%\Documents\GitHub\mrs-test-scripts\Headless Mode &amp; Sideloading\WalkAndUnGZ.bat" "%USERPROFILE%\AppData\Local\Temp\OnboardLogs"\RTDC4013\2016-12-14 &amp; aws s3 cp s3://rtdc.mdm.uploadarchive.raw/RTDC4013/ "%USERPROFILE%\AppData\Local\Temp\OnboardLogs"\RTDC4013\2016-12-15 --exclude "*" --recursive --include "*20161215*" &amp; "%USERPROFILE%\Documents\GitHub\mrs-test-scripts\Headless Mode &amp; Sideloading\WalkAndUnGZ.bat" "%USERPROFILE%\AppData\Local\Temp\OnboardLogs"\RTDC4013\2016-12-15</v>
      </c>
      <c r="AF42" s="88" t="str">
        <f t="shared" si="13"/>
        <v>"C:\Program Files (x86)\AstroGrep\AstroGrep.exe" /spath="%USERPROFILE%\AppData\Local\Temp\OnboardLogs" /stypes="app*4013*20161214*"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130-14 --locoid 4013 --swversion DE.1.0.8.0 --startMP 204:233047 --initTime 2016-12-14T07:57:52 --startdatetime 2016-12-14T08:11:49 --delay 1 --endMP 204:83 --enddatetime 2016-12-14T08:49:52 --enforcementcount 0 &gt;&gt;C:\Users\stu\Documents\GitHub\eaglep3-reporting\EC\2016-12-14-refined-times.txt</v>
      </c>
      <c r="AI42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{"issue":{"subject":"","project_id":79,"tracker_id":40,"status_id":1,"priority_id":2,"assigned_to_id":23,"start_date":"2016-12-14","description":"","custom_fields":[{"id":1,"name":"Subdivision","value":"EC"},{"id":4,"name":"Milepost","value":"0.0083"},{"id":17,"name":"Train ID","value":"130-14"},{"id":16,"name":"Locomotive ID","value":"4013"},{"id":130,"name":"Impact","value":""},{"id":150,"name":"Time of Event (Mountain Time)","value":"08:49:52"},{"id":151,"name":"Denver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422</v>
      </c>
      <c r="B43" s="7">
        <v>4003</v>
      </c>
      <c r="C43" s="22" t="s">
        <v>207</v>
      </c>
      <c r="D43" s="22" t="s">
        <v>387</v>
      </c>
      <c r="E43" s="13">
        <v>42718.312210648146</v>
      </c>
      <c r="F43" s="13">
        <v>42718.313935185186</v>
      </c>
      <c r="G43" s="7">
        <v>1</v>
      </c>
      <c r="H43" s="22" t="s">
        <v>699</v>
      </c>
      <c r="I43" s="13">
        <v>42718.342094907406</v>
      </c>
      <c r="J43" s="7">
        <v>0</v>
      </c>
      <c r="K43" s="109" t="str">
        <f t="shared" si="0"/>
        <v>4003/4004</v>
      </c>
      <c r="L43" s="22" t="str">
        <f>VLOOKUP(A43,'Trips&amp;Operators'!$C$1:$G$99999,5,FALSE)</f>
        <v>BROWN JACOB</v>
      </c>
      <c r="M43" s="6">
        <f t="shared" si="1"/>
        <v>2.8159722220152617E-2</v>
      </c>
      <c r="N43" s="7">
        <f t="shared" si="2"/>
        <v>40.549999997019768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06:29:35-700',mode:absolute,to:'2016-12-14 09:12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3" s="52" t="str">
        <f t="shared" si="6"/>
        <v>N</v>
      </c>
      <c r="X43" s="177">
        <f t="shared" si="19"/>
        <v>1</v>
      </c>
      <c r="Y43" s="67">
        <f t="shared" si="22"/>
        <v>4.4400000000000002E-2</v>
      </c>
      <c r="Z43" s="67">
        <f t="shared" si="23"/>
        <v>23.3322</v>
      </c>
      <c r="AA43" s="67">
        <f t="shared" si="10"/>
        <v>23.287800000000001</v>
      </c>
      <c r="AB43" s="64" t="str">
        <f>VLOOKUP(A43,Enforcements!$C$7:$K$19,8,0)</f>
        <v>Bulletin (2)</v>
      </c>
      <c r="AC43" s="60" t="str">
        <f>VLOOKUP(A43,Enforcements!$C$7:$E$19,3,0)</f>
        <v>GRADE CROSSING</v>
      </c>
      <c r="AD43" s="61" t="str">
        <f t="shared" si="11"/>
        <v>0131-14</v>
      </c>
      <c r="AE43" s="91" t="str">
        <f t="shared" si="12"/>
        <v>aws s3 cp s3://rtdc.mdm.uploadarchive.raw/RTDC4003/ "%USERPROFILE%\AppData\Local\Temp\OnboardLogs"\RTDC4003\2016-12-14 --exclude "*" --recursive --include "*20161214*" &amp; "%USERPROFILE%\Documents\GitHub\mrs-test-scripts\Headless Mode &amp; Sideloading\WalkAndUnGZ.bat" "%USERPROFILE%\AppData\Local\Temp\OnboardLogs"\RTDC4003\2016-12-14 &amp; aws s3 cp s3://rtdc.mdm.uploadarchive.raw/RTDC4003/ "%USERPROFILE%\AppData\Local\Temp\OnboardLogs"\RTDC4003\2016-12-15 --exclude "*" --recursive --include "*20161215*" &amp; "%USERPROFILE%\Documents\GitHub\mrs-test-scripts\Headless Mode &amp; Sideloading\WalkAndUnGZ.bat" "%USERPROFILE%\AppData\Local\Temp\OnboardLogs"\RTDC4003\2016-12-15</v>
      </c>
      <c r="AF43" s="88" t="str">
        <f t="shared" si="13"/>
        <v>"C:\Program Files (x86)\AstroGrep\AstroGrep.exe" /spath="%USERPROFILE%\AppData\Local\Temp\OnboardLogs" /stypes="app*4003*20161214*"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131-14 --locoid 4003 --swversion DE.1.0.8.0 --startMP 204:444 --initTime 2016-12-14T07:29:35 --startdatetime 2016-12-14T07:32:04 --delay 1 --endMP 204:233322 --enddatetime 2016-12-14T08:12:37 --enforcementcount 0 &gt;&gt;C:\Users\stu\Documents\GitHub\eaglep3-reporting\EC\2016-12-14-refined-times.txt</v>
      </c>
      <c r="AI43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{"issue":{"subject":"","project_id":79,"tracker_id":40,"status_id":1,"priority_id":2,"assigned_to_id":23,"start_date":"2016-12-14","description":"","custom_fields":[{"id":1,"name":"Subdivision","value":"EC"},{"id":4,"name":"Milepost","value":"23.3322"},{"id":17,"name":"Train ID","value":"131-14"},{"id":16,"name":"Locomotive ID","value":"4003"},{"id":130,"name":"Impact","value":""},{"id":150,"name":"Time of Event (Mountain Time)","value":"08:12:37"},{"id":151,"name":"Denver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515</v>
      </c>
      <c r="B44" s="7">
        <v>4004</v>
      </c>
      <c r="C44" s="22" t="s">
        <v>207</v>
      </c>
      <c r="D44" s="22" t="s">
        <v>333</v>
      </c>
      <c r="E44" s="13">
        <v>42718.344270833331</v>
      </c>
      <c r="F44" s="13">
        <v>42718.351597222223</v>
      </c>
      <c r="G44" s="7">
        <v>2</v>
      </c>
      <c r="H44" s="22" t="s">
        <v>213</v>
      </c>
      <c r="I44" s="13">
        <v>42718.380914351852</v>
      </c>
      <c r="J44" s="7">
        <v>0</v>
      </c>
      <c r="K44" s="109" t="str">
        <f t="shared" si="0"/>
        <v>4003/4004</v>
      </c>
      <c r="L44" s="22" t="str">
        <f>VLOOKUP(A44,'Trips&amp;Operators'!$C$1:$G$99999,5,FALSE)</f>
        <v>BROWN JACOB</v>
      </c>
      <c r="M44" s="6">
        <f t="shared" si="1"/>
        <v>2.9317129628907423E-2</v>
      </c>
      <c r="N44" s="7">
        <f t="shared" si="2"/>
        <v>42.21666666562669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07:15:45-700',mode:absolute,to:'2016-12-14 10:08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4" s="52" t="str">
        <f t="shared" si="6"/>
        <v>N</v>
      </c>
      <c r="X44" s="177">
        <f t="shared" ref="X44:X75" si="24">VALUE(LEFT(AD44,4))-VALUE(LEFT(AD43,4))</f>
        <v>1</v>
      </c>
      <c r="Y44" s="67">
        <f t="shared" si="22"/>
        <v>23.301100000000002</v>
      </c>
      <c r="Z44" s="67">
        <f t="shared" si="23"/>
        <v>1.4999999999999999E-2</v>
      </c>
      <c r="AA44" s="67">
        <f t="shared" si="10"/>
        <v>23.286100000000001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 t="shared" si="11"/>
        <v>0132-14</v>
      </c>
      <c r="AE44" s="91" t="str">
        <f t="shared" si="12"/>
        <v>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 &amp; aws s3 cp s3://rtdc.mdm.uploadarchive.raw/RTDC4004/ "%USERPROFILE%\AppData\Local\Temp\OnboardLogs"\RTDC4004\2016-12-15 --exclude "*" --recursive --include "*20161215*" &amp; "%USERPROFILE%\Documents\GitHub\mrs-test-scripts\Headless Mode &amp; Sideloading\WalkAndUnGZ.bat" "%USERPROFILE%\AppData\Local\Temp\OnboardLogs"\RTDC4004\2016-12-15</v>
      </c>
      <c r="AF44" s="88" t="str">
        <f t="shared" si="13"/>
        <v>"C:\Program Files (x86)\AstroGrep\AstroGrep.exe" /spath="%USERPROFILE%\AppData\Local\Temp\OnboardLogs" /stypes="app*4004*20161214*"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132-14 --locoid 4004 --swversion DE.1.0.8.0 --startMP 204:233011 --initTime 2016-12-14T08:15:45 --startdatetime 2016-12-14T08:26:18 --delay 2 --endMP 204:150 --enddatetime 2016-12-14T09:08:31 --enforcementcount 0 &gt;&gt;C:\Users\stu\Documents\GitHub\eaglep3-reporting\EC\2016-12-14-refined-times.txt</v>
      </c>
      <c r="AI44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{"issue":{"subject":"","project_id":79,"tracker_id":40,"status_id":1,"priority_id":2,"assigned_to_id":23,"start_date":"2016-12-14","description":"","custom_fields":[{"id":1,"name":"Subdivision","value":"EC"},{"id":4,"name":"Milepost","value":"0.015"},{"id":17,"name":"Train ID","value":"132-14"},{"id":16,"name":"Locomotive ID","value":"4004"},{"id":130,"name":"Impact","value":""},{"id":150,"name":"Time of Event (Mountain Time)","value":"09:08:31"},{"id":151,"name":"Denver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509</v>
      </c>
      <c r="B45" s="7">
        <v>4046</v>
      </c>
      <c r="C45" s="22" t="s">
        <v>207</v>
      </c>
      <c r="D45" s="22" t="s">
        <v>328</v>
      </c>
      <c r="E45" s="13">
        <v>42718.321319444447</v>
      </c>
      <c r="F45" s="13">
        <v>42718.323310185187</v>
      </c>
      <c r="G45" s="7">
        <v>1</v>
      </c>
      <c r="H45" s="22" t="s">
        <v>393</v>
      </c>
      <c r="I45" s="13">
        <v>42718.348819444444</v>
      </c>
      <c r="J45" s="7">
        <v>0</v>
      </c>
      <c r="K45" s="109" t="str">
        <f t="shared" si="0"/>
        <v>4045/4046</v>
      </c>
      <c r="L45" s="22" t="str">
        <f>VLOOKUP(A45,'Trips&amp;Operators'!$C$1:$G$99999,5,FALSE)</f>
        <v>DE LA ROSA ALEX</v>
      </c>
      <c r="M45" s="6">
        <f t="shared" si="1"/>
        <v>2.5509259256068617E-2</v>
      </c>
      <c r="N45" s="7">
        <f t="shared" ref="N45:N76" si="25">24*60*SUM($M45:$M45)</f>
        <v>36.733333328738809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06:42:42-700',mode:absolute,to:'2016-12-14 09:22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5" s="52" t="str">
        <f t="shared" si="6"/>
        <v>N</v>
      </c>
      <c r="X45" s="177">
        <f t="shared" si="24"/>
        <v>1</v>
      </c>
      <c r="Y45" s="67">
        <f t="shared" si="22"/>
        <v>4.6600000000000003E-2</v>
      </c>
      <c r="Z45" s="67">
        <f t="shared" si="23"/>
        <v>23.331700000000001</v>
      </c>
      <c r="AA45" s="67">
        <f t="shared" si="10"/>
        <v>23.2851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11"/>
        <v>0133-14</v>
      </c>
      <c r="AE45" s="91" t="str">
        <f t="shared" si="12"/>
        <v>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 &amp; aws s3 cp s3://rtdc.mdm.uploadarchive.raw/RTDC4046/ "%USERPROFILE%\AppData\Local\Temp\OnboardLogs"\RTDC4046\2016-12-15 --exclude "*" --recursive --include "*20161215*" &amp; "%USERPROFILE%\Documents\GitHub\mrs-test-scripts\Headless Mode &amp; Sideloading\WalkAndUnGZ.bat" "%USERPROFILE%\AppData\Local\Temp\OnboardLogs"\RTDC4046\2016-12-15</v>
      </c>
      <c r="AF45" s="88" t="str">
        <f t="shared" si="13"/>
        <v>"C:\Program Files (x86)\AstroGrep\AstroGrep.exe" /spath="%USERPROFILE%\AppData\Local\Temp\OnboardLogs" /stypes="app*4046*20161214*"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133-14 --locoid 4046 --swversion DE.1.0.8.0 --startMP 204:466 --initTime 2016-12-14T07:42:42 --startdatetime 2016-12-14T07:45:34 --delay 1 --endMP 204:233317 --enddatetime 2016-12-14T08:22:18 --enforcementcount 0 &gt;&gt;C:\Users\stu\Documents\GitHub\eaglep3-reporting\EC\2016-12-14-refined-times.txt</v>
      </c>
      <c r="AI45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{"issue":{"subject":"","project_id":79,"tracker_id":40,"status_id":1,"priority_id":2,"assigned_to_id":23,"start_date":"2016-12-14","description":"","custom_fields":[{"id":1,"name":"Subdivision","value":"EC"},{"id":4,"name":"Milepost","value":"23.3317"},{"id":17,"name":"Train ID","value":"133-14"},{"id":16,"name":"Locomotive ID","value":"4046"},{"id":130,"name":"Impact","value":""},{"id":150,"name":"Time of Event (Mountain Time)","value":"08:22:18"},{"id":151,"name":"Denver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517</v>
      </c>
      <c r="B46" s="7">
        <v>4045</v>
      </c>
      <c r="C46" s="22" t="s">
        <v>207</v>
      </c>
      <c r="D46" s="22" t="s">
        <v>703</v>
      </c>
      <c r="E46" s="13">
        <v>42718.358865740738</v>
      </c>
      <c r="F46" s="13">
        <v>42718.362129629626</v>
      </c>
      <c r="G46" s="7">
        <v>1</v>
      </c>
      <c r="H46" s="22" t="s">
        <v>192</v>
      </c>
      <c r="I46" s="13">
        <v>42718.390752314815</v>
      </c>
      <c r="J46" s="7">
        <v>0</v>
      </c>
      <c r="K46" s="109" t="str">
        <f t="shared" si="0"/>
        <v>4045/4046</v>
      </c>
      <c r="L46" s="22" t="str">
        <f>VLOOKUP(A46,'Trips&amp;Operators'!$C$1:$G$99999,5,FALSE)</f>
        <v>DE LA ROSA ALEX</v>
      </c>
      <c r="M46" s="6">
        <f t="shared" si="1"/>
        <v>2.8622685189475305E-2</v>
      </c>
      <c r="N46" s="7">
        <f t="shared" si="25"/>
        <v>41.21666667284444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07:36:46-700',mode:absolute,to:'2016-12-14 10:22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6" s="52" t="str">
        <f t="shared" si="6"/>
        <v>N</v>
      </c>
      <c r="X46" s="177">
        <f t="shared" si="24"/>
        <v>1</v>
      </c>
      <c r="Y46" s="67">
        <f t="shared" si="22"/>
        <v>23.300799999999999</v>
      </c>
      <c r="Z46" s="67">
        <f t="shared" si="23"/>
        <v>1.49E-2</v>
      </c>
      <c r="AA46" s="67">
        <f t="shared" si="10"/>
        <v>23.285899999999998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1"/>
        <v>0134-14</v>
      </c>
      <c r="AE46" s="91" t="str">
        <f t="shared" si="12"/>
        <v>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 &amp; aws s3 cp s3://rtdc.mdm.uploadarchive.raw/RTDC4045/ "%USERPROFILE%\AppData\Local\Temp\OnboardLogs"\RTDC4045\2016-12-15 --exclude "*" --recursive --include "*20161215*" &amp; "%USERPROFILE%\Documents\GitHub\mrs-test-scripts\Headless Mode &amp; Sideloading\WalkAndUnGZ.bat" "%USERPROFILE%\AppData\Local\Temp\OnboardLogs"\RTDC4045\2016-12-15</v>
      </c>
      <c r="AF46" s="88" t="str">
        <f t="shared" si="13"/>
        <v>"C:\Program Files (x86)\AstroGrep\AstroGrep.exe" /spath="%USERPROFILE%\AppData\Local\Temp\OnboardLogs" /stypes="app*4045*20161214*"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134-14 --locoid 4045 --swversion DE.1.0.8.0 --startMP 204:233008 --initTime 2016-12-14T08:36:46 --startdatetime 2016-12-14T08:41:28 --delay 1 --endMP 204:149 --enddatetime 2016-12-14T09:22:41 --enforcementcount 0 &gt;&gt;C:\Users\stu\Documents\GitHub\eaglep3-reporting\EC\2016-12-14-refined-times.txt</v>
      </c>
      <c r="AI46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{"issue":{"subject":"","project_id":79,"tracker_id":40,"status_id":1,"priority_id":2,"assigned_to_id":23,"start_date":"2016-12-14","description":"","custom_fields":[{"id":1,"name":"Subdivision","value":"EC"},{"id":4,"name":"Milepost","value":"0.0149"},{"id":17,"name":"Train ID","value":"134-14"},{"id":16,"name":"Locomotive ID","value":"4045"},{"id":130,"name":"Impact","value":""},{"id":150,"name":"Time of Event (Mountain Time)","value":"09:22:41"},{"id":151,"name":"Denver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510</v>
      </c>
      <c r="B47" s="7">
        <v>4051</v>
      </c>
      <c r="C47" s="22" t="s">
        <v>207</v>
      </c>
      <c r="D47" s="22" t="s">
        <v>327</v>
      </c>
      <c r="E47" s="13">
        <v>42718.330625000002</v>
      </c>
      <c r="F47" s="13">
        <v>42718.333657407406</v>
      </c>
      <c r="G47" s="7">
        <v>1</v>
      </c>
      <c r="H47" s="22" t="s">
        <v>704</v>
      </c>
      <c r="I47" s="13">
        <v>42718.359409722223</v>
      </c>
      <c r="J47" s="7">
        <v>0</v>
      </c>
      <c r="K47" s="109" t="str">
        <f t="shared" si="0"/>
        <v>4051/4052</v>
      </c>
      <c r="L47" s="22" t="str">
        <f>VLOOKUP(A47,'Trips&amp;Operators'!$C$1:$G$99999,5,FALSE)</f>
        <v>SPECTOR MICHAEL</v>
      </c>
      <c r="M47" s="6">
        <f t="shared" si="1"/>
        <v>2.5752314817509614E-2</v>
      </c>
      <c r="N47" s="7">
        <f t="shared" si="25"/>
        <v>37.083333337213844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06:56:06-700',mode:absolute,to:'2016-12-14 09:37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47" s="52" t="str">
        <f t="shared" si="6"/>
        <v>N</v>
      </c>
      <c r="X47" s="177">
        <f t="shared" si="24"/>
        <v>1</v>
      </c>
      <c r="Y47" s="67">
        <f t="shared" si="22"/>
        <v>4.7500000000000001E-2</v>
      </c>
      <c r="Z47" s="67">
        <f t="shared" si="23"/>
        <v>23.3307</v>
      </c>
      <c r="AA47" s="67">
        <f t="shared" si="10"/>
        <v>23.283200000000001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11"/>
        <v>0135-14</v>
      </c>
      <c r="AE47" s="91" t="str">
        <f t="shared" si="12"/>
        <v>aws s3 cp s3://rtdc.mdm.uploadarchive.raw/RTDC4051/ "%USERPROFILE%\AppData\Local\Temp\OnboardLogs"\RTDC4051\2016-12-14 --exclude "*" --recursive --include "*20161214*" &amp; "%USERPROFILE%\Documents\GitHub\mrs-test-scripts\Headless Mode &amp; Sideloading\WalkAndUnGZ.bat" "%USERPROFILE%\AppData\Local\Temp\OnboardLogs"\RTDC4051\2016-12-14 &amp; aws s3 cp s3://rtdc.mdm.uploadarchive.raw/RTDC4051/ "%USERPROFILE%\AppData\Local\Temp\OnboardLogs"\RTDC4051\2016-12-15 --exclude "*" --recursive --include "*20161215*" &amp; "%USERPROFILE%\Documents\GitHub\mrs-test-scripts\Headless Mode &amp; Sideloading\WalkAndUnGZ.bat" "%USERPROFILE%\AppData\Local\Temp\OnboardLogs"\RTDC4051\2016-12-15</v>
      </c>
      <c r="AF47" s="88" t="str">
        <f t="shared" si="13"/>
        <v>"C:\Program Files (x86)\AstroGrep\AstroGrep.exe" /spath="%USERPROFILE%\AppData\Local\Temp\OnboardLogs" /stypes="app*4051*20161214*"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135-14 --locoid 4051 --swversion DE.1.0.8.0 --startMP 204:475 --initTime 2016-12-14T07:56:06 --startdatetime 2016-12-14T08:00:28 --delay 1 --endMP 204:233307 --enddatetime 2016-12-14T08:37:33 --enforcementcount 0 &gt;&gt;C:\Users\stu\Documents\GitHub\eaglep3-reporting\EC\2016-12-14-refined-times.txt</v>
      </c>
      <c r="AI47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{"issue":{"subject":"","project_id":79,"tracker_id":40,"status_id":1,"priority_id":2,"assigned_to_id":23,"start_date":"2016-12-14","description":"","custom_fields":[{"id":1,"name":"Subdivision","value":"EC"},{"id":4,"name":"Milepost","value":"23.3307"},{"id":17,"name":"Train ID","value":"135-14"},{"id":16,"name":"Locomotive ID","value":"4051"},{"id":130,"name":"Impact","value":""},{"id":150,"name":"Time of Event (Mountain Time)","value":"08:37:33"},{"id":151,"name":"Denver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519</v>
      </c>
      <c r="B48" s="7">
        <v>4052</v>
      </c>
      <c r="C48" s="22" t="s">
        <v>207</v>
      </c>
      <c r="D48" s="22" t="s">
        <v>705</v>
      </c>
      <c r="E48" s="13">
        <v>42718.365798611114</v>
      </c>
      <c r="F48" s="13">
        <v>42718.372499999998</v>
      </c>
      <c r="G48" s="7">
        <v>1</v>
      </c>
      <c r="H48" s="22" t="s">
        <v>386</v>
      </c>
      <c r="I48" s="13">
        <v>42718.400381944448</v>
      </c>
      <c r="J48" s="7">
        <v>0</v>
      </c>
      <c r="K48" s="109" t="str">
        <f t="shared" si="0"/>
        <v>4051/4052</v>
      </c>
      <c r="L48" s="22" t="str">
        <f>VLOOKUP(A48,'Trips&amp;Operators'!$C$1:$G$99999,5,FALSE)</f>
        <v>SPECTOR MICHAEL</v>
      </c>
      <c r="M48" s="6">
        <f t="shared" si="1"/>
        <v>2.7881944450200535E-2</v>
      </c>
      <c r="N48" s="7">
        <f t="shared" si="25"/>
        <v>40.150000008288771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07:46:45-700',mode:absolute,to:'2016-12-14 10:36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48" s="52" t="str">
        <f t="shared" si="6"/>
        <v>N</v>
      </c>
      <c r="X48" s="177">
        <f t="shared" si="24"/>
        <v>1</v>
      </c>
      <c r="Y48" s="67">
        <f t="shared" si="22"/>
        <v>23.3</v>
      </c>
      <c r="Z48" s="67">
        <f t="shared" si="23"/>
        <v>1.38E-2</v>
      </c>
      <c r="AA48" s="67">
        <f t="shared" si="10"/>
        <v>23.286200000000001</v>
      </c>
      <c r="AB48" s="64" t="e">
        <f>VLOOKUP(A48,Enforcements!$C$7:$K$19,8,0)</f>
        <v>#N/A</v>
      </c>
      <c r="AC48" s="60" t="e">
        <f>VLOOKUP(A48,Enforcements!$C$7:$E$19,3,0)</f>
        <v>#N/A</v>
      </c>
      <c r="AD48" s="61" t="str">
        <f t="shared" si="11"/>
        <v>0136-14</v>
      </c>
      <c r="AE48" s="91" t="str">
        <f t="shared" si="12"/>
        <v>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 &amp; aws s3 cp s3://rtdc.mdm.uploadarchive.raw/RTDC4052/ "%USERPROFILE%\AppData\Local\Temp\OnboardLogs"\RTDC4052\2016-12-15 --exclude "*" --recursive --include "*20161215*" &amp; "%USERPROFILE%\Documents\GitHub\mrs-test-scripts\Headless Mode &amp; Sideloading\WalkAndUnGZ.bat" "%USERPROFILE%\AppData\Local\Temp\OnboardLogs"\RTDC4052\2016-12-15</v>
      </c>
      <c r="AF48" s="88" t="str">
        <f t="shared" si="13"/>
        <v>"C:\Program Files (x86)\AstroGrep\AstroGrep.exe" /spath="%USERPROFILE%\AppData\Local\Temp\OnboardLogs" /stypes="app*4052*20161214*"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136-14 --locoid 4052 --swversion DE.1.0.8.0 --startMP 204:233000 --initTime 2016-12-14T08:46:45 --startdatetime 2016-12-14T08:56:24 --delay 1 --endMP 204:138 --enddatetime 2016-12-14T09:36:33 --enforcementcount 0 &gt;&gt;C:\Users\stu\Documents\GitHub\eaglep3-reporting\EC\2016-12-14-refined-times.txt</v>
      </c>
      <c r="AI48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{"issue":{"subject":"","project_id":79,"tracker_id":40,"status_id":1,"priority_id":2,"assigned_to_id":23,"start_date":"2016-12-14","description":"","custom_fields":[{"id":1,"name":"Subdivision","value":"EC"},{"id":4,"name":"Milepost","value":"0.0138"},{"id":17,"name":"Train ID","value":"136-14"},{"id":16,"name":"Locomotive ID","value":"4052"},{"id":130,"name":"Impact","value":""},{"id":150,"name":"Time of Event (Mountain Time)","value":"09:36:33"},{"id":151,"name":"Denver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514</v>
      </c>
      <c r="B49" s="7">
        <v>4016</v>
      </c>
      <c r="C49" s="22" t="s">
        <v>207</v>
      </c>
      <c r="D49" s="22" t="s">
        <v>274</v>
      </c>
      <c r="E49" s="13">
        <v>42718.343518518515</v>
      </c>
      <c r="F49" s="13">
        <v>42718.344918981478</v>
      </c>
      <c r="G49" s="7">
        <v>1</v>
      </c>
      <c r="H49" s="22" t="s">
        <v>312</v>
      </c>
      <c r="I49" s="13">
        <v>42718.370462962965</v>
      </c>
      <c r="J49" s="7">
        <v>0</v>
      </c>
      <c r="K49" s="109" t="str">
        <f t="shared" si="0"/>
        <v>4015/4016</v>
      </c>
      <c r="L49" s="22" t="str">
        <f>VLOOKUP(A49,'Trips&amp;Operators'!$C$1:$G$99999,5,FALSE)</f>
        <v>DAVIS MICHAEL</v>
      </c>
      <c r="M49" s="6">
        <f t="shared" si="1"/>
        <v>2.5543981486407574E-2</v>
      </c>
      <c r="N49" s="7">
        <f t="shared" si="25"/>
        <v>36.783333340426907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07:14:40-700',mode:absolute,to:'2016-12-14 09:53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9" s="52" t="str">
        <f t="shared" si="6"/>
        <v>N</v>
      </c>
      <c r="X49" s="177">
        <f t="shared" si="24"/>
        <v>1</v>
      </c>
      <c r="Y49" s="67">
        <f t="shared" si="22"/>
        <v>4.53E-2</v>
      </c>
      <c r="Z49" s="67">
        <f t="shared" si="23"/>
        <v>23.331199999999999</v>
      </c>
      <c r="AA49" s="67">
        <f t="shared" si="10"/>
        <v>23.285899999999998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11"/>
        <v>0137-14</v>
      </c>
      <c r="AE49" s="91" t="str">
        <f t="shared" si="12"/>
        <v>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 &amp; aws s3 cp s3://rtdc.mdm.uploadarchive.raw/RTDC4016/ "%USERPROFILE%\AppData\Local\Temp\OnboardLogs"\RTDC4016\2016-12-15 --exclude "*" --recursive --include "*20161215*" &amp; "%USERPROFILE%\Documents\GitHub\mrs-test-scripts\Headless Mode &amp; Sideloading\WalkAndUnGZ.bat" "%USERPROFILE%\AppData\Local\Temp\OnboardLogs"\RTDC4016\2016-12-15</v>
      </c>
      <c r="AF49" s="88" t="str">
        <f t="shared" si="13"/>
        <v>"C:\Program Files (x86)\AstroGrep\AstroGrep.exe" /spath="%USERPROFILE%\AppData\Local\Temp\OnboardLogs" /stypes="app*4016*20161214*"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137-14 --locoid 4016 --swversion DE.1.0.8.0 --startMP 204:453 --initTime 2016-12-14T08:14:40 --startdatetime 2016-12-14T08:16:41 --delay 1 --endMP 204:233312 --enddatetime 2016-12-14T08:53:28 --enforcementcount 0 &gt;&gt;C:\Users\stu\Documents\GitHub\eaglep3-reporting\EC\2016-12-14-refined-times.txt</v>
      </c>
      <c r="AI49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{"issue":{"subject":"","project_id":79,"tracker_id":40,"status_id":1,"priority_id":2,"assigned_to_id":23,"start_date":"2016-12-14","description":"","custom_fields":[{"id":1,"name":"Subdivision","value":"EC"},{"id":4,"name":"Milepost","value":"23.3312"},{"id":17,"name":"Train ID","value":"137-14"},{"id":16,"name":"Locomotive ID","value":"4016"},{"id":130,"name":"Impact","value":""},{"id":150,"name":"Time of Event (Mountain Time)","value":"08:53:28"},{"id":151,"name":"Denver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522</v>
      </c>
      <c r="B50" s="7">
        <v>4015</v>
      </c>
      <c r="C50" s="22" t="s">
        <v>207</v>
      </c>
      <c r="D50" s="22" t="s">
        <v>293</v>
      </c>
      <c r="E50" s="13">
        <v>42718.376469907409</v>
      </c>
      <c r="F50" s="13">
        <v>42718.382824074077</v>
      </c>
      <c r="G50" s="7">
        <v>1</v>
      </c>
      <c r="H50" s="22" t="s">
        <v>275</v>
      </c>
      <c r="I50" s="13">
        <v>42718.410879629628</v>
      </c>
      <c r="J50" s="7">
        <v>0</v>
      </c>
      <c r="K50" s="109" t="str">
        <f t="shared" si="0"/>
        <v>4015/4016</v>
      </c>
      <c r="L50" s="22" t="str">
        <f>VLOOKUP(A50,'Trips&amp;Operators'!$C$1:$G$99999,5,FALSE)</f>
        <v>DAVIS MICHAEL</v>
      </c>
      <c r="M50" s="6">
        <f t="shared" si="1"/>
        <v>2.8055555550963618E-2</v>
      </c>
      <c r="N50" s="7">
        <f t="shared" si="25"/>
        <v>40.39999999338761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08:02:07-700',mode:absolute,to:'2016-12-14 10:51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0" s="52" t="str">
        <f t="shared" si="6"/>
        <v>N</v>
      </c>
      <c r="X50" s="177">
        <f t="shared" si="24"/>
        <v>1</v>
      </c>
      <c r="Y50" s="67">
        <f t="shared" si="22"/>
        <v>23.2989</v>
      </c>
      <c r="Z50" s="67">
        <f t="shared" si="23"/>
        <v>1.52E-2</v>
      </c>
      <c r="AA50" s="67">
        <f t="shared" si="10"/>
        <v>23.2837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11"/>
        <v>0138-14</v>
      </c>
      <c r="AE50" s="91" t="str">
        <f t="shared" si="12"/>
        <v>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 &amp; aws s3 cp s3://rtdc.mdm.uploadarchive.raw/RTDC4015/ "%USERPROFILE%\AppData\Local\Temp\OnboardLogs"\RTDC4015\2016-12-15 --exclude "*" --recursive --include "*20161215*" &amp; "%USERPROFILE%\Documents\GitHub\mrs-test-scripts\Headless Mode &amp; Sideloading\WalkAndUnGZ.bat" "%USERPROFILE%\AppData\Local\Temp\OnboardLogs"\RTDC4015\2016-12-15</v>
      </c>
      <c r="AF50" s="88" t="str">
        <f t="shared" si="13"/>
        <v>"C:\Program Files (x86)\AstroGrep\AstroGrep.exe" /spath="%USERPROFILE%\AppData\Local\Temp\OnboardLogs" /stypes="app*4015*20161214*"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138-14 --locoid 4015 --swversion DE.1.0.8.0 --startMP 204:232989 --initTime 2016-12-14T09:02:07 --startdatetime 2016-12-14T09:11:16 --delay 1 --endMP 204:152 --enddatetime 2016-12-14T09:51:40 --enforcementcount 0 &gt;&gt;C:\Users\stu\Documents\GitHub\eaglep3-reporting\EC\2016-12-14-refined-times.txt</v>
      </c>
      <c r="AI50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{"issue":{"subject":"","project_id":79,"tracker_id":40,"status_id":1,"priority_id":2,"assigned_to_id":23,"start_date":"2016-12-14","description":"","custom_fields":[{"id":1,"name":"Subdivision","value":"EC"},{"id":4,"name":"Milepost","value":"0.0152"},{"id":17,"name":"Train ID","value":"138-14"},{"id":16,"name":"Locomotive ID","value":"4015"},{"id":130,"name":"Impact","value":""},{"id":150,"name":"Time of Event (Mountain Time)","value":"09:51:40"},{"id":151,"name":"Denver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516</v>
      </c>
      <c r="B51" s="7">
        <v>4040</v>
      </c>
      <c r="C51" s="22" t="s">
        <v>207</v>
      </c>
      <c r="D51" s="22" t="s">
        <v>698</v>
      </c>
      <c r="E51" s="13">
        <v>42718.350324074076</v>
      </c>
      <c r="F51" s="13">
        <v>42718.354537037034</v>
      </c>
      <c r="G51" s="7">
        <v>1</v>
      </c>
      <c r="H51" s="22" t="s">
        <v>704</v>
      </c>
      <c r="I51" s="13">
        <v>42718.378657407404</v>
      </c>
      <c r="J51" s="7">
        <v>0</v>
      </c>
      <c r="K51" s="109" t="str">
        <f t="shared" si="0"/>
        <v>4039/4040</v>
      </c>
      <c r="L51" s="22" t="str">
        <f>VLOOKUP(A51,'Trips&amp;Operators'!$C$1:$G$99999,5,FALSE)</f>
        <v>ROCHA YAOTL</v>
      </c>
      <c r="M51" s="6">
        <f t="shared" si="1"/>
        <v>2.4120370369928423E-2</v>
      </c>
      <c r="N51" s="7">
        <f t="shared" si="25"/>
        <v>34.73333333269693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07:24:28-700',mode:absolute,to:'2016-12-14 10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1" s="52" t="str">
        <f t="shared" si="6"/>
        <v>N</v>
      </c>
      <c r="X51" s="177">
        <f t="shared" si="24"/>
        <v>1</v>
      </c>
      <c r="Y51" s="67">
        <f t="shared" si="22"/>
        <v>4.5699999999999998E-2</v>
      </c>
      <c r="Z51" s="67">
        <f t="shared" si="23"/>
        <v>23.3307</v>
      </c>
      <c r="AA51" s="67">
        <f t="shared" si="10"/>
        <v>23.285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 t="shared" si="11"/>
        <v>0139-14</v>
      </c>
      <c r="AE51" s="91" t="str">
        <f t="shared" si="12"/>
        <v>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 &amp; aws s3 cp s3://rtdc.mdm.uploadarchive.raw/RTDC4040/ "%USERPROFILE%\AppData\Local\Temp\OnboardLogs"\RTDC4040\2016-12-15 --exclude "*" --recursive --include "*20161215*" &amp; "%USERPROFILE%\Documents\GitHub\mrs-test-scripts\Headless Mode &amp; Sideloading\WalkAndUnGZ.bat" "%USERPROFILE%\AppData\Local\Temp\OnboardLogs"\RTDC4040\2016-12-15</v>
      </c>
      <c r="AF51" s="88" t="str">
        <f t="shared" si="13"/>
        <v>"C:\Program Files (x86)\AstroGrep\AstroGrep.exe" /spath="%USERPROFILE%\AppData\Local\Temp\OnboardLogs" /stypes="app*4040*20161214*"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139-14 --locoid 4040 --swversion DE.1.0.8.0 --startMP 204:457 --initTime 2016-12-14T08:24:28 --startdatetime 2016-12-14T08:30:32 --delay 1 --endMP 204:233307 --enddatetime 2016-12-14T09:05:16 --enforcementcount 0 &gt;&gt;C:\Users\stu\Documents\GitHub\eaglep3-reporting\EC\2016-12-14-refined-times.txt</v>
      </c>
      <c r="AI51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{"issue":{"subject":"","project_id":79,"tracker_id":40,"status_id":1,"priority_id":2,"assigned_to_id":23,"start_date":"2016-12-14","description":"","custom_fields":[{"id":1,"name":"Subdivision","value":"EC"},{"id":4,"name":"Milepost","value":"23.3307"},{"id":17,"name":"Train ID","value":"139-14"},{"id":16,"name":"Locomotive ID","value":"4040"},{"id":130,"name":"Impact","value":""},{"id":150,"name":"Time of Event (Mountain Time)","value":"09:05:16"},{"id":151,"name":"Denver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523</v>
      </c>
      <c r="B52" s="7">
        <v>4039</v>
      </c>
      <c r="C52" s="22" t="s">
        <v>207</v>
      </c>
      <c r="D52" s="22" t="s">
        <v>692</v>
      </c>
      <c r="E52" s="13">
        <v>42718.391921296294</v>
      </c>
      <c r="F52" s="13">
        <v>42718.393229166664</v>
      </c>
      <c r="G52" s="7">
        <v>1</v>
      </c>
      <c r="H52" s="22" t="s">
        <v>193</v>
      </c>
      <c r="I52" s="13">
        <v>42718.420127314814</v>
      </c>
      <c r="J52" s="7">
        <v>0</v>
      </c>
      <c r="K52" s="109" t="str">
        <f t="shared" si="0"/>
        <v>4039/4040</v>
      </c>
      <c r="L52" s="22" t="str">
        <f>VLOOKUP(A52,'Trips&amp;Operators'!$C$1:$G$99999,5,FALSE)</f>
        <v>ROCHA YAOTL</v>
      </c>
      <c r="M52" s="6">
        <f t="shared" si="1"/>
        <v>2.6898148149484769E-2</v>
      </c>
      <c r="N52" s="7">
        <f t="shared" si="25"/>
        <v>38.733333335258067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08:24:22-700',mode:absolute,to:'2016-12-14 11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2" s="52" t="str">
        <f t="shared" si="6"/>
        <v>N</v>
      </c>
      <c r="X52" s="177">
        <f t="shared" si="24"/>
        <v>1</v>
      </c>
      <c r="Y52" s="67">
        <f t="shared" si="22"/>
        <v>23.298200000000001</v>
      </c>
      <c r="Z52" s="67">
        <f t="shared" si="23"/>
        <v>1.43E-2</v>
      </c>
      <c r="AA52" s="67">
        <f t="shared" si="10"/>
        <v>23.283900000000003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 t="shared" si="11"/>
        <v>0140-14</v>
      </c>
      <c r="AE52" s="91" t="str">
        <f t="shared" si="12"/>
        <v>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 &amp; aws s3 cp s3://rtdc.mdm.uploadarchive.raw/RTDC4039/ "%USERPROFILE%\AppData\Local\Temp\OnboardLogs"\RTDC4039\2016-12-15 --exclude "*" --recursive --include "*20161215*" &amp; "%USERPROFILE%\Documents\GitHub\mrs-test-scripts\Headless Mode &amp; Sideloading\WalkAndUnGZ.bat" "%USERPROFILE%\AppData\Local\Temp\OnboardLogs"\RTDC4039\2016-12-15</v>
      </c>
      <c r="AF52" s="88" t="str">
        <f t="shared" si="13"/>
        <v>"C:\Program Files (x86)\AstroGrep\AstroGrep.exe" /spath="%USERPROFILE%\AppData\Local\Temp\OnboardLogs" /stypes="app*4039*20161214*"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140-14 --locoid 4039 --swversion DE.1.0.8.0 --startMP 204:232982 --initTime 2016-12-14T09:24:22 --startdatetime 2016-12-14T09:26:15 --delay 1 --endMP 204:143 --enddatetime 2016-12-14T10:04:59 --enforcementcount 0 &gt;&gt;C:\Users\stu\Documents\GitHub\eaglep3-reporting\EC\2016-12-14-refined-times.txt</v>
      </c>
      <c r="AI52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{"issue":{"subject":"","project_id":79,"tracker_id":40,"status_id":1,"priority_id":2,"assigned_to_id":23,"start_date":"2016-12-14","description":"","custom_fields":[{"id":1,"name":"Subdivision","value":"EC"},{"id":4,"name":"Milepost","value":"0.0143"},{"id":17,"name":"Train ID","value":"140-14"},{"id":16,"name":"Locomotive ID","value":"4039"},{"id":130,"name":"Impact","value":""},{"id":150,"name":"Time of Event (Mountain Time)","value":"10:04:59"},{"id":151,"name":"Denver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520</v>
      </c>
      <c r="B53" s="7">
        <v>4044</v>
      </c>
      <c r="C53" s="22" t="s">
        <v>207</v>
      </c>
      <c r="D53" s="22" t="s">
        <v>297</v>
      </c>
      <c r="E53" s="13">
        <v>42718.36377314815</v>
      </c>
      <c r="F53" s="13">
        <v>42718.368576388886</v>
      </c>
      <c r="G53" s="7">
        <v>5</v>
      </c>
      <c r="H53" s="22" t="s">
        <v>326</v>
      </c>
      <c r="I53" s="13">
        <v>42718.399386574078</v>
      </c>
      <c r="J53" s="7">
        <v>0</v>
      </c>
      <c r="K53" s="109" t="str">
        <f t="shared" si="0"/>
        <v>4043/4044</v>
      </c>
      <c r="L53" s="22" t="str">
        <f>VLOOKUP(A53,'Trips&amp;Operators'!$C$1:$G$99999,5,FALSE)</f>
        <v>DAVIDSON DAVID</v>
      </c>
      <c r="M53" s="6">
        <f t="shared" si="1"/>
        <v>3.0810185191512574E-2</v>
      </c>
      <c r="N53" s="7">
        <f t="shared" si="25"/>
        <v>44.366666675778106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07:43:50-700',mode:absolute,to:'2016-12-14 10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3" s="52" t="str">
        <f t="shared" si="6"/>
        <v>N</v>
      </c>
      <c r="X53" s="177">
        <f t="shared" si="24"/>
        <v>1</v>
      </c>
      <c r="Y53" s="67">
        <f t="shared" si="22"/>
        <v>4.6699999999999998E-2</v>
      </c>
      <c r="Z53" s="67">
        <f t="shared" si="23"/>
        <v>23.329699999999999</v>
      </c>
      <c r="AA53" s="67">
        <f t="shared" si="10"/>
        <v>23.282999999999998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 t="shared" si="11"/>
        <v>0141-14</v>
      </c>
      <c r="AE53" s="91" t="str">
        <f t="shared" si="12"/>
        <v>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 &amp; aws s3 cp s3://rtdc.mdm.uploadarchive.raw/RTDC4044/ "%USERPROFILE%\AppData\Local\Temp\OnboardLogs"\RTDC4044\2016-12-15 --exclude "*" --recursive --include "*20161215*" &amp; "%USERPROFILE%\Documents\GitHub\mrs-test-scripts\Headless Mode &amp; Sideloading\WalkAndUnGZ.bat" "%USERPROFILE%\AppData\Local\Temp\OnboardLogs"\RTDC4044\2016-12-15</v>
      </c>
      <c r="AF53" s="88" t="str">
        <f t="shared" si="13"/>
        <v>"C:\Program Files (x86)\AstroGrep\AstroGrep.exe" /spath="%USERPROFILE%\AppData\Local\Temp\OnboardLogs" /stypes="app*4044*20161214*"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141-14 --locoid 4044 --swversion DE.1.0.8.0 --startMP 204:467 --initTime 2016-12-14T08:43:50 --startdatetime 2016-12-14T08:50:45 --delay 5 --endMP 204:233297 --enddatetime 2016-12-14T09:35:07 --enforcementcount 0 &gt;&gt;C:\Users\stu\Documents\GitHub\eaglep3-reporting\EC\2016-12-14-refined-times.txt</v>
      </c>
      <c r="AI53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{"issue":{"subject":"","project_id":79,"tracker_id":40,"status_id":1,"priority_id":2,"assigned_to_id":23,"start_date":"2016-12-14","description":"","custom_fields":[{"id":1,"name":"Subdivision","value":"EC"},{"id":4,"name":"Milepost","value":"23.3297"},{"id":17,"name":"Train ID","value":"141-14"},{"id":16,"name":"Locomotive ID","value":"4044"},{"id":130,"name":"Impact","value":""},{"id":150,"name":"Time of Event (Mountain Time)","value":"09:35:07"},{"id":151,"name":"Denver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526</v>
      </c>
      <c r="B54" s="7">
        <v>4043</v>
      </c>
      <c r="C54" s="22" t="s">
        <v>207</v>
      </c>
      <c r="D54" s="22" t="s">
        <v>315</v>
      </c>
      <c r="E54" s="13">
        <v>42718.401250000003</v>
      </c>
      <c r="F54" s="13">
        <v>42718.404085648152</v>
      </c>
      <c r="G54" s="7">
        <v>1</v>
      </c>
      <c r="H54" s="22" t="s">
        <v>706</v>
      </c>
      <c r="I54" s="13">
        <v>42718.440069444441</v>
      </c>
      <c r="J54" s="7">
        <v>0</v>
      </c>
      <c r="K54" s="109" t="str">
        <f t="shared" si="0"/>
        <v>4043/4044</v>
      </c>
      <c r="L54" s="22" t="str">
        <f>VLOOKUP(A54,'Trips&amp;Operators'!$C$1:$G$99999,5,FALSE)</f>
        <v>DAVIDSON DAVID</v>
      </c>
      <c r="M54" s="6">
        <f t="shared" si="1"/>
        <v>3.5983796289656311E-2</v>
      </c>
      <c r="N54" s="7">
        <f t="shared" si="25"/>
        <v>51.816666657105088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08:37:48-700',mode:absolute,to:'2016-12-14 11:33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4" s="52" t="str">
        <f t="shared" si="6"/>
        <v>N</v>
      </c>
      <c r="X54" s="177">
        <f t="shared" si="24"/>
        <v>1</v>
      </c>
      <c r="Y54" s="67">
        <f t="shared" si="22"/>
        <v>23.299099999999999</v>
      </c>
      <c r="Z54" s="67">
        <f t="shared" si="23"/>
        <v>0.11899999999999999</v>
      </c>
      <c r="AA54" s="67">
        <f t="shared" si="10"/>
        <v>23.180099999999999</v>
      </c>
      <c r="AB54" s="64" t="e">
        <f>VLOOKUP(A54,Enforcements!$C$7:$K$19,8,0)</f>
        <v>#N/A</v>
      </c>
      <c r="AC54" s="60" t="e">
        <f>VLOOKUP(A54,Enforcements!$C$7:$E$19,3,0)</f>
        <v>#N/A</v>
      </c>
      <c r="AD54" s="61" t="str">
        <f t="shared" si="11"/>
        <v>0142-14</v>
      </c>
      <c r="AE54" s="91" t="str">
        <f t="shared" si="12"/>
        <v>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 &amp; aws s3 cp s3://rtdc.mdm.uploadarchive.raw/RTDC4043/ "%USERPROFILE%\AppData\Local\Temp\OnboardLogs"\RTDC4043\2016-12-15 --exclude "*" --recursive --include "*20161215*" &amp; "%USERPROFILE%\Documents\GitHub\mrs-test-scripts\Headless Mode &amp; Sideloading\WalkAndUnGZ.bat" "%USERPROFILE%\AppData\Local\Temp\OnboardLogs"\RTDC4043\2016-12-15</v>
      </c>
      <c r="AF54" s="88" t="str">
        <f t="shared" si="13"/>
        <v>"C:\Program Files (x86)\AstroGrep\AstroGrep.exe" /spath="%USERPROFILE%\AppData\Local\Temp\OnboardLogs" /stypes="app*4043*20161214*"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142-14 --locoid 4043 --swversion DE.1.0.8.0 --startMP 204:232991 --initTime 2016-12-14T09:37:48 --startdatetime 2016-12-14T09:41:53 --delay 1 --endMP 204:1190 --enddatetime 2016-12-14T10:33:42 --enforcementcount 0 &gt;&gt;C:\Users\stu\Documents\GitHub\eaglep3-reporting\EC\2016-12-14-refined-times.txt</v>
      </c>
      <c r="AI54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{"issue":{"subject":"","project_id":79,"tracker_id":40,"status_id":1,"priority_id":2,"assigned_to_id":23,"start_date":"2016-12-14","description":"","custom_fields":[{"id":1,"name":"Subdivision","value":"EC"},{"id":4,"name":"Milepost","value":"0.119"},{"id":17,"name":"Train ID","value":"142-14"},{"id":16,"name":"Locomotive ID","value":"4043"},{"id":130,"name":"Impact","value":""},{"id":150,"name":"Time of Event (Mountain Time)","value":"10:33:42"},{"id":151,"name":"Denver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29" customFormat="1" x14ac:dyDescent="0.25">
      <c r="A55" s="37" t="s">
        <v>428</v>
      </c>
      <c r="B55" s="7">
        <v>4014</v>
      </c>
      <c r="C55" s="22" t="s">
        <v>207</v>
      </c>
      <c r="D55" s="22" t="s">
        <v>707</v>
      </c>
      <c r="E55" s="13">
        <v>42718.369409722225</v>
      </c>
      <c r="F55" s="13">
        <v>42718.375173611108</v>
      </c>
      <c r="G55" s="7">
        <v>1</v>
      </c>
      <c r="H55" s="22" t="s">
        <v>396</v>
      </c>
      <c r="I55" s="13">
        <v>42718.400902777779</v>
      </c>
      <c r="J55" s="7">
        <v>0</v>
      </c>
      <c r="K55" s="109" t="str">
        <f t="shared" si="0"/>
        <v>4013/4014</v>
      </c>
      <c r="L55" s="22" t="str">
        <f>VLOOKUP(A55,'Trips&amp;Operators'!$C$1:$G$99999,5,FALSE)</f>
        <v>HILLS DUSTIN</v>
      </c>
      <c r="M55" s="6">
        <f t="shared" si="1"/>
        <v>2.5729166671226267E-2</v>
      </c>
      <c r="N55" s="7">
        <f t="shared" si="25"/>
        <v>37.050000006565824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07:51:57-700',mode:absolute,to:'2016-12-14 10:37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5" s="52" t="str">
        <f t="shared" si="6"/>
        <v>N</v>
      </c>
      <c r="X55" s="177">
        <f t="shared" si="24"/>
        <v>1</v>
      </c>
      <c r="Y55" s="67">
        <f t="shared" si="22"/>
        <v>3.8399999999999997E-2</v>
      </c>
      <c r="Z55" s="67">
        <f t="shared" si="23"/>
        <v>23.338000000000001</v>
      </c>
      <c r="AA55" s="67">
        <f t="shared" si="10"/>
        <v>23.299600000000002</v>
      </c>
      <c r="AB55" s="64" t="e">
        <f>VLOOKUP(A55,Enforcements!$C$7:$K$19,8,0)</f>
        <v>#N/A</v>
      </c>
      <c r="AC55" s="60" t="e">
        <f>VLOOKUP(A55,Enforcements!$C$7:$E$19,3,0)</f>
        <v>#N/A</v>
      </c>
      <c r="AD55" s="61" t="str">
        <f t="shared" si="11"/>
        <v>0143-14</v>
      </c>
      <c r="AE55" s="91" t="str">
        <f t="shared" si="12"/>
        <v>aws s3 cp s3://rtdc.mdm.uploadarchive.raw/RTDC4014/ "%USERPROFILE%\AppData\Local\Temp\OnboardLogs"\RTDC4014\2016-12-14 --exclude "*" --recursive --include "*20161214*" &amp; "%USERPROFILE%\Documents\GitHub\mrs-test-scripts\Headless Mode &amp; Sideloading\WalkAndUnGZ.bat" "%USERPROFILE%\AppData\Local\Temp\OnboardLogs"\RTDC4014\2016-12-14 &amp; aws s3 cp s3://rtdc.mdm.uploadarchive.raw/RTDC4014/ "%USERPROFILE%\AppData\Local\Temp\OnboardLogs"\RTDC4014\2016-12-15 --exclude "*" --recursive --include "*20161215*" &amp; "%USERPROFILE%\Documents\GitHub\mrs-test-scripts\Headless Mode &amp; Sideloading\WalkAndUnGZ.bat" "%USERPROFILE%\AppData\Local\Temp\OnboardLogs"\RTDC4014\2016-12-15</v>
      </c>
      <c r="AF55" s="88" t="str">
        <f t="shared" si="13"/>
        <v>"C:\Program Files (x86)\AstroGrep\AstroGrep.exe" /spath="%USERPROFILE%\AppData\Local\Temp\OnboardLogs" /stypes="app*4014*20161214*"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143-14 --locoid 4014 --swversion DE.1.0.8.0 --startMP 204:384 --initTime 2016-12-14T08:51:57 --startdatetime 2016-12-14T09:00:15 --delay 1 --endMP 204:233380 --enddatetime 2016-12-14T09:37:18 --enforcementcount 0 &gt;&gt;C:\Users\stu\Documents\GitHub\eaglep3-reporting\EC\2016-12-14-refined-times.txt</v>
      </c>
      <c r="AI55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{"issue":{"subject":"","project_id":79,"tracker_id":40,"status_id":1,"priority_id":2,"assigned_to_id":23,"start_date":"2016-12-14","description":"","custom_fields":[{"id":1,"name":"Subdivision","value":"EC"},{"id":4,"name":"Milepost","value":"23.338"},{"id":17,"name":"Train ID","value":"143-14"},{"id":16,"name":"Locomotive ID","value":"4014"},{"id":130,"name":"Impact","value":""},{"id":150,"name":"Time of Event (Mountain Time)","value":"09:37:18"},{"id":151,"name":"Denver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429</v>
      </c>
      <c r="B56" s="7">
        <v>4013</v>
      </c>
      <c r="C56" s="22" t="s">
        <v>207</v>
      </c>
      <c r="D56" s="22" t="s">
        <v>708</v>
      </c>
      <c r="E56" s="13">
        <v>42718.409641203703</v>
      </c>
      <c r="F56" s="13">
        <v>42718.414189814815</v>
      </c>
      <c r="G56" s="7">
        <v>1</v>
      </c>
      <c r="H56" s="22" t="s">
        <v>709</v>
      </c>
      <c r="I56" s="13">
        <v>42718.445289351854</v>
      </c>
      <c r="J56" s="7">
        <v>0</v>
      </c>
      <c r="K56" s="109" t="str">
        <f t="shared" si="0"/>
        <v>4013/4014</v>
      </c>
      <c r="L56" s="22" t="str">
        <f>VLOOKUP(A56,'Trips&amp;Operators'!$C$1:$G$99999,5,FALSE)</f>
        <v>HILLS DUSTIN</v>
      </c>
      <c r="M56" s="6">
        <f t="shared" si="1"/>
        <v>3.1099537038244307E-2</v>
      </c>
      <c r="N56" s="7">
        <f t="shared" si="25"/>
        <v>44.783333335071802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08:49:53-700',mode:absolute,to:'2016-12-14 11:41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6" s="52" t="str">
        <f t="shared" si="6"/>
        <v>N</v>
      </c>
      <c r="X56" s="177">
        <f t="shared" si="24"/>
        <v>1</v>
      </c>
      <c r="Y56" s="67">
        <f t="shared" si="22"/>
        <v>23.3063</v>
      </c>
      <c r="Z56" s="67">
        <f t="shared" si="23"/>
        <v>1.1900000000000001E-2</v>
      </c>
      <c r="AA56" s="67">
        <f t="shared" si="10"/>
        <v>23.2944</v>
      </c>
      <c r="AB56" s="64" t="str">
        <f>VLOOKUP(A56,Enforcements!$C$7:$K$19,8,0)</f>
        <v>Bulletin (2)</v>
      </c>
      <c r="AC56" s="60" t="str">
        <f>VLOOKUP(A56,Enforcements!$C$7:$E$19,3,0)</f>
        <v>GRADE CROSSING</v>
      </c>
      <c r="AD56" s="61" t="str">
        <f t="shared" si="11"/>
        <v>0144-14</v>
      </c>
      <c r="AE56" s="91" t="str">
        <f t="shared" si="12"/>
        <v>aws s3 cp s3://rtdc.mdm.uploadarchive.raw/RTDC4013/ "%USERPROFILE%\AppData\Local\Temp\OnboardLogs"\RTDC4013\2016-12-14 --exclude "*" --recursive --include "*20161214*" &amp; "%USERPROFILE%\Documents\GitHub\mrs-test-scripts\Headless Mode &amp; Sideloading\WalkAndUnGZ.bat" "%USERPROFILE%\AppData\Local\Temp\OnboardLogs"\RTDC4013\2016-12-14 &amp; aws s3 cp s3://rtdc.mdm.uploadarchive.raw/RTDC4013/ "%USERPROFILE%\AppData\Local\Temp\OnboardLogs"\RTDC4013\2016-12-15 --exclude "*" --recursive --include "*20161215*" &amp; "%USERPROFILE%\Documents\GitHub\mrs-test-scripts\Headless Mode &amp; Sideloading\WalkAndUnGZ.bat" "%USERPROFILE%\AppData\Local\Temp\OnboardLogs"\RTDC4013\2016-12-15</v>
      </c>
      <c r="AF56" s="88" t="str">
        <f t="shared" si="13"/>
        <v>"C:\Program Files (x86)\AstroGrep\AstroGrep.exe" /spath="%USERPROFILE%\AppData\Local\Temp\OnboardLogs" /stypes="app*4013*20161214*"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144-14 --locoid 4013 --swversion DE.1.0.8.0 --startMP 204:233063 --initTime 2016-12-14T09:49:53 --startdatetime 2016-12-14T09:56:26 --delay 1 --endMP 204:119 --enddatetime 2016-12-14T10:41:13 --enforcementcount 0 &gt;&gt;C:\Users\stu\Documents\GitHub\eaglep3-reporting\EC\2016-12-14-refined-times.txt</v>
      </c>
      <c r="AI56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{"issue":{"subject":"","project_id":79,"tracker_id":40,"status_id":1,"priority_id":2,"assigned_to_id":23,"start_date":"2016-12-14","description":"","custom_fields":[{"id":1,"name":"Subdivision","value":"EC"},{"id":4,"name":"Milepost","value":"0.0119"},{"id":17,"name":"Train ID","value":"144-14"},{"id":16,"name":"Locomotive ID","value":"4013"},{"id":130,"name":"Impact","value":""},{"id":150,"name":"Time of Event (Mountain Time)","value":"10:41:13"},{"id":151,"name":"Denver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427</v>
      </c>
      <c r="B57" s="7">
        <v>4003</v>
      </c>
      <c r="C57" s="22" t="s">
        <v>207</v>
      </c>
      <c r="D57" s="22" t="s">
        <v>400</v>
      </c>
      <c r="E57" s="13">
        <v>42718.382719907408</v>
      </c>
      <c r="F57" s="13">
        <v>42718.385694444441</v>
      </c>
      <c r="G57" s="7">
        <v>1</v>
      </c>
      <c r="H57" s="22" t="s">
        <v>335</v>
      </c>
      <c r="I57" s="13">
        <v>42718.412962962961</v>
      </c>
      <c r="J57" s="7">
        <v>0</v>
      </c>
      <c r="K57" s="109" t="str">
        <f t="shared" si="0"/>
        <v>4003/4004</v>
      </c>
      <c r="L57" s="22" t="str">
        <f>VLOOKUP(A57,'Trips&amp;Operators'!$C$1:$G$99999,5,FALSE)</f>
        <v>BROWN JACOB</v>
      </c>
      <c r="M57" s="6">
        <f t="shared" si="1"/>
        <v>2.7268518519122154E-2</v>
      </c>
      <c r="N57" s="7">
        <f t="shared" si="25"/>
        <v>39.266666667535901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08:11:07-700',mode:absolute,to:'2016-12-14 10:54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7" s="52" t="str">
        <f t="shared" si="6"/>
        <v>N</v>
      </c>
      <c r="X57" s="177">
        <f t="shared" si="24"/>
        <v>1</v>
      </c>
      <c r="Y57" s="67">
        <f t="shared" si="22"/>
        <v>4.2900000000000001E-2</v>
      </c>
      <c r="Z57" s="67">
        <f t="shared" si="23"/>
        <v>23.3323</v>
      </c>
      <c r="AA57" s="67">
        <f t="shared" si="10"/>
        <v>23.289400000000001</v>
      </c>
      <c r="AB57" s="64" t="str">
        <f>VLOOKUP(A57,Enforcements!$C$7:$K$19,8,0)</f>
        <v>Signal based authority (5)</v>
      </c>
      <c r="AC57" s="60" t="str">
        <f>VLOOKUP(A57,Enforcements!$C$7:$E$19,3,0)</f>
        <v>SIGNAL</v>
      </c>
      <c r="AD57" s="61" t="str">
        <f t="shared" si="11"/>
        <v>0145-14</v>
      </c>
      <c r="AE57" s="91" t="str">
        <f t="shared" si="12"/>
        <v>aws s3 cp s3://rtdc.mdm.uploadarchive.raw/RTDC4003/ "%USERPROFILE%\AppData\Local\Temp\OnboardLogs"\RTDC4003\2016-12-14 --exclude "*" --recursive --include "*20161214*" &amp; "%USERPROFILE%\Documents\GitHub\mrs-test-scripts\Headless Mode &amp; Sideloading\WalkAndUnGZ.bat" "%USERPROFILE%\AppData\Local\Temp\OnboardLogs"\RTDC4003\2016-12-14 &amp; aws s3 cp s3://rtdc.mdm.uploadarchive.raw/RTDC4003/ "%USERPROFILE%\AppData\Local\Temp\OnboardLogs"\RTDC4003\2016-12-15 --exclude "*" --recursive --include "*20161215*" &amp; "%USERPROFILE%\Documents\GitHub\mrs-test-scripts\Headless Mode &amp; Sideloading\WalkAndUnGZ.bat" "%USERPROFILE%\AppData\Local\Temp\OnboardLogs"\RTDC4003\2016-12-15</v>
      </c>
      <c r="AF57" s="88" t="str">
        <f t="shared" si="13"/>
        <v>"C:\Program Files (x86)\AstroGrep\AstroGrep.exe" /spath="%USERPROFILE%\AppData\Local\Temp\OnboardLogs" /stypes="app*4003*20161214*"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145-14 --locoid 4003 --swversion DE.1.0.8.0 --startMP 204:429 --initTime 2016-12-14T09:11:07 --startdatetime 2016-12-14T09:15:24 --delay 1 --endMP 204:233323 --enddatetime 2016-12-14T09:54:40 --enforcementcount 0 &gt;&gt;C:\Users\stu\Documents\GitHub\eaglep3-reporting\EC\2016-12-14-refined-times.txt</v>
      </c>
      <c r="AI57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{"issue":{"subject":"","project_id":79,"tracker_id":40,"status_id":1,"priority_id":2,"assigned_to_id":23,"start_date":"2016-12-14","description":"","custom_fields":[{"id":1,"name":"Subdivision","value":"EC"},{"id":4,"name":"Milepost","value":"23.3323"},{"id":17,"name":"Train ID","value":"145-14"},{"id":16,"name":"Locomotive ID","value":"4003"},{"id":130,"name":"Impact","value":""},{"id":150,"name":"Time of Event (Mountain Time)","value":"09:54:40"},{"id":151,"name":"Denver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430</v>
      </c>
      <c r="B58" s="7">
        <v>4004</v>
      </c>
      <c r="C58" s="22" t="s">
        <v>207</v>
      </c>
      <c r="D58" s="22" t="s">
        <v>398</v>
      </c>
      <c r="E58" s="13">
        <v>42718.417569444442</v>
      </c>
      <c r="F58" s="13">
        <v>42718.424513888887</v>
      </c>
      <c r="G58" s="7">
        <v>1</v>
      </c>
      <c r="H58" s="22" t="s">
        <v>710</v>
      </c>
      <c r="I58" s="13">
        <v>42718.452430555553</v>
      </c>
      <c r="J58" s="7">
        <v>0</v>
      </c>
      <c r="K58" s="109" t="str">
        <f t="shared" si="0"/>
        <v>4003/4004</v>
      </c>
      <c r="L58" s="22" t="str">
        <f>VLOOKUP(A58,'Trips&amp;Operators'!$C$1:$G$99999,5,FALSE)</f>
        <v>BROWN JACOB</v>
      </c>
      <c r="M58" s="6">
        <f t="shared" si="1"/>
        <v>2.7916666665987577E-2</v>
      </c>
      <c r="N58" s="7">
        <f t="shared" si="25"/>
        <v>40.199999999022111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09:01:18-700',mode:absolute,to:'2016-12-14 11:51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8" s="52" t="str">
        <f t="shared" si="6"/>
        <v>N</v>
      </c>
      <c r="X58" s="177">
        <f t="shared" si="24"/>
        <v>1</v>
      </c>
      <c r="Y58" s="67">
        <f t="shared" si="22"/>
        <v>23.3017</v>
      </c>
      <c r="Z58" s="67">
        <f t="shared" si="23"/>
        <v>1.18E-2</v>
      </c>
      <c r="AA58" s="67">
        <f t="shared" si="10"/>
        <v>23.289899999999999</v>
      </c>
      <c r="AB58" s="64" t="str">
        <f>VLOOKUP(A58,Enforcements!$C$7:$K$19,8,0)</f>
        <v>Bulletin (2)</v>
      </c>
      <c r="AC58" s="60" t="str">
        <f>VLOOKUP(A58,Enforcements!$C$7:$E$19,3,0)</f>
        <v>TEMPORARY SPEED RESTRICTION</v>
      </c>
      <c r="AD58" s="61" t="str">
        <f t="shared" si="11"/>
        <v>0146-14</v>
      </c>
      <c r="AE58" s="91" t="str">
        <f t="shared" si="12"/>
        <v>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 &amp; aws s3 cp s3://rtdc.mdm.uploadarchive.raw/RTDC4004/ "%USERPROFILE%\AppData\Local\Temp\OnboardLogs"\RTDC4004\2016-12-15 --exclude "*" --recursive --include "*20161215*" &amp; "%USERPROFILE%\Documents\GitHub\mrs-test-scripts\Headless Mode &amp; Sideloading\WalkAndUnGZ.bat" "%USERPROFILE%\AppData\Local\Temp\OnboardLogs"\RTDC4004\2016-12-15</v>
      </c>
      <c r="AF58" s="88" t="str">
        <f t="shared" si="13"/>
        <v>"C:\Program Files (x86)\AstroGrep\AstroGrep.exe" /spath="%USERPROFILE%\AppData\Local\Temp\OnboardLogs" /stypes="app*4004*20161214*"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146-14 --locoid 4004 --swversion DE.1.0.8.0 --startMP 204:233017 --initTime 2016-12-14T10:01:18 --startdatetime 2016-12-14T10:11:18 --delay 1 --endMP 204:118 --enddatetime 2016-12-14T10:51:30 --enforcementcount 0 &gt;&gt;C:\Users\stu\Documents\GitHub\eaglep3-reporting\EC\2016-12-14-refined-times.txt</v>
      </c>
      <c r="AI58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{"issue":{"subject":"","project_id":79,"tracker_id":40,"status_id":1,"priority_id":2,"assigned_to_id":23,"start_date":"2016-12-14","description":"","custom_fields":[{"id":1,"name":"Subdivision","value":"EC"},{"id":4,"name":"Milepost","value":"0.0118"},{"id":17,"name":"Train ID","value":"146-14"},{"id":16,"name":"Locomotive ID","value":"4004"},{"id":130,"name":"Impact","value":""},{"id":150,"name":"Time of Event (Mountain Time)","value":"10:51:30"},{"id":151,"name":"Denver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524</v>
      </c>
      <c r="B59" s="7">
        <v>4046</v>
      </c>
      <c r="C59" s="22" t="s">
        <v>207</v>
      </c>
      <c r="D59" s="22" t="s">
        <v>297</v>
      </c>
      <c r="E59" s="13">
        <v>42718.393391203703</v>
      </c>
      <c r="F59" s="13">
        <v>42718.39607638889</v>
      </c>
      <c r="G59" s="7">
        <v>1</v>
      </c>
      <c r="H59" s="22" t="s">
        <v>314</v>
      </c>
      <c r="I59" s="13">
        <v>42718.420694444445</v>
      </c>
      <c r="J59" s="7">
        <v>0</v>
      </c>
      <c r="K59" s="109" t="str">
        <f t="shared" si="0"/>
        <v>4045/4046</v>
      </c>
      <c r="L59" s="22" t="str">
        <f>VLOOKUP(A59,'Trips&amp;Operators'!$C$1:$G$99999,5,FALSE)</f>
        <v>DE LA ROSA ALEX</v>
      </c>
      <c r="M59" s="6">
        <f t="shared" si="1"/>
        <v>2.4618055555038154E-2</v>
      </c>
      <c r="N59" s="7">
        <f t="shared" si="25"/>
        <v>35.449999999254942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08:26:29-700',mode:absolute,to:'2016-12-14 11:05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9" s="52" t="str">
        <f t="shared" si="6"/>
        <v>N</v>
      </c>
      <c r="X59" s="177">
        <f t="shared" si="24"/>
        <v>1</v>
      </c>
      <c r="Y59" s="67">
        <f t="shared" si="22"/>
        <v>4.6699999999999998E-2</v>
      </c>
      <c r="Z59" s="67">
        <f t="shared" si="23"/>
        <v>23.3293</v>
      </c>
      <c r="AA59" s="67">
        <f t="shared" si="10"/>
        <v>23.282599999999999</v>
      </c>
      <c r="AB59" s="64" t="e">
        <f>VLOOKUP(A59,Enforcements!$C$7:$K$19,8,0)</f>
        <v>#N/A</v>
      </c>
      <c r="AC59" s="60" t="e">
        <f>VLOOKUP(A59,Enforcements!$C$7:$E$19,3,0)</f>
        <v>#N/A</v>
      </c>
      <c r="AD59" s="61" t="str">
        <f t="shared" si="11"/>
        <v>0147-14</v>
      </c>
      <c r="AE59" s="91" t="str">
        <f t="shared" si="12"/>
        <v>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 &amp; aws s3 cp s3://rtdc.mdm.uploadarchive.raw/RTDC4046/ "%USERPROFILE%\AppData\Local\Temp\OnboardLogs"\RTDC4046\2016-12-15 --exclude "*" --recursive --include "*20161215*" &amp; "%USERPROFILE%\Documents\GitHub\mrs-test-scripts\Headless Mode &amp; Sideloading\WalkAndUnGZ.bat" "%USERPROFILE%\AppData\Local\Temp\OnboardLogs"\RTDC4046\2016-12-15</v>
      </c>
      <c r="AF59" s="88" t="str">
        <f t="shared" si="13"/>
        <v>"C:\Program Files (x86)\AstroGrep\AstroGrep.exe" /spath="%USERPROFILE%\AppData\Local\Temp\OnboardLogs" /stypes="app*4046*20161214*"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147-14 --locoid 4046 --swversion DE.1.0.8.0 --startMP 204:467 --initTime 2016-12-14T09:26:29 --startdatetime 2016-12-14T09:30:21 --delay 1 --endMP 204:233293 --enddatetime 2016-12-14T10:05:48 --enforcementcount 0 &gt;&gt;C:\Users\stu\Documents\GitHub\eaglep3-reporting\EC\2016-12-14-refined-times.txt</v>
      </c>
      <c r="AI59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{"issue":{"subject":"","project_id":79,"tracker_id":40,"status_id":1,"priority_id":2,"assigned_to_id":23,"start_date":"2016-12-14","description":"","custom_fields":[{"id":1,"name":"Subdivision","value":"EC"},{"id":4,"name":"Milepost","value":"23.3293"},{"id":17,"name":"Train ID","value":"147-14"},{"id":16,"name":"Locomotive ID","value":"4046"},{"id":130,"name":"Impact","value":""},{"id":150,"name":"Time of Event (Mountain Time)","value":"10:05:48"},{"id":151,"name":"Denver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530</v>
      </c>
      <c r="B60" s="7">
        <v>4045</v>
      </c>
      <c r="C60" s="22" t="s">
        <v>207</v>
      </c>
      <c r="D60" s="22" t="s">
        <v>692</v>
      </c>
      <c r="E60" s="13">
        <v>42718.429212962961</v>
      </c>
      <c r="F60" s="13">
        <v>42718.434988425928</v>
      </c>
      <c r="G60" s="7">
        <v>2</v>
      </c>
      <c r="H60" s="22" t="s">
        <v>275</v>
      </c>
      <c r="I60" s="13">
        <v>42718.462118055555</v>
      </c>
      <c r="J60" s="7">
        <v>0</v>
      </c>
      <c r="K60" s="109" t="str">
        <f t="shared" si="0"/>
        <v>4045/4046</v>
      </c>
      <c r="L60" s="22" t="str">
        <f>VLOOKUP(A60,'Trips&amp;Operators'!$C$1:$G$99999,5,FALSE)</f>
        <v>DE LA ROSA ALEX</v>
      </c>
      <c r="M60" s="6">
        <f t="shared" si="1"/>
        <v>2.7129629626870155E-2</v>
      </c>
      <c r="N60" s="7">
        <f t="shared" si="25"/>
        <v>39.066666662693024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09:18:04-700',mode:absolute,to:'2016-12-14 12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0" s="52" t="str">
        <f t="shared" si="6"/>
        <v>N</v>
      </c>
      <c r="X60" s="177">
        <f t="shared" si="24"/>
        <v>1</v>
      </c>
      <c r="Y60" s="67">
        <f t="shared" si="22"/>
        <v>23.298200000000001</v>
      </c>
      <c r="Z60" s="67">
        <f t="shared" si="23"/>
        <v>1.52E-2</v>
      </c>
      <c r="AA60" s="67">
        <f t="shared" si="10"/>
        <v>23.283000000000001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11"/>
        <v>0148-14</v>
      </c>
      <c r="AE60" s="91" t="str">
        <f t="shared" si="12"/>
        <v>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 &amp; aws s3 cp s3://rtdc.mdm.uploadarchive.raw/RTDC4045/ "%USERPROFILE%\AppData\Local\Temp\OnboardLogs"\RTDC4045\2016-12-15 --exclude "*" --recursive --include "*20161215*" &amp; "%USERPROFILE%\Documents\GitHub\mrs-test-scripts\Headless Mode &amp; Sideloading\WalkAndUnGZ.bat" "%USERPROFILE%\AppData\Local\Temp\OnboardLogs"\RTDC4045\2016-12-15</v>
      </c>
      <c r="AF60" s="88" t="str">
        <f t="shared" si="13"/>
        <v>"C:\Program Files (x86)\AstroGrep\AstroGrep.exe" /spath="%USERPROFILE%\AppData\Local\Temp\OnboardLogs" /stypes="app*4045*20161214*"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148-14 --locoid 4045 --swversion DE.1.0.8.0 --startMP 204:232982 --initTime 2016-12-14T10:18:04 --startdatetime 2016-12-14T10:26:23 --delay 2 --endMP 204:152 --enddatetime 2016-12-14T11:05:27 --enforcementcount 0 &gt;&gt;C:\Users\stu\Documents\GitHub\eaglep3-reporting\EC\2016-12-14-refined-times.txt</v>
      </c>
      <c r="AI60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{"issue":{"subject":"","project_id":79,"tracker_id":40,"status_id":1,"priority_id":2,"assigned_to_id":23,"start_date":"2016-12-14","description":"","custom_fields":[{"id":1,"name":"Subdivision","value":"EC"},{"id":4,"name":"Milepost","value":"0.0152"},{"id":17,"name":"Train ID","value":"148-14"},{"id":16,"name":"Locomotive ID","value":"4045"},{"id":130,"name":"Impact","value":""},{"id":150,"name":"Time of Event (Mountain Time)","value":"11:05:27"},{"id":151,"name":"Denver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527</v>
      </c>
      <c r="B61" s="7">
        <v>4051</v>
      </c>
      <c r="C61" s="22" t="s">
        <v>207</v>
      </c>
      <c r="D61" s="22" t="s">
        <v>387</v>
      </c>
      <c r="E61" s="13">
        <v>42718.404143518521</v>
      </c>
      <c r="F61" s="13">
        <v>42718.406446759262</v>
      </c>
      <c r="G61" s="7">
        <v>1</v>
      </c>
      <c r="H61" s="22" t="s">
        <v>336</v>
      </c>
      <c r="I61" s="13">
        <v>42718.438958333332</v>
      </c>
      <c r="J61" s="7">
        <v>0</v>
      </c>
      <c r="K61" s="109" t="str">
        <f t="shared" si="0"/>
        <v>4051/4052</v>
      </c>
      <c r="L61" s="22" t="str">
        <f>VLOOKUP(A61,'Trips&amp;Operators'!$C$1:$G$99999,5,FALSE)</f>
        <v>SPECTOR MICHAEL</v>
      </c>
      <c r="M61" s="6">
        <f t="shared" si="1"/>
        <v>3.2511574070667848E-2</v>
      </c>
      <c r="N61" s="7">
        <f t="shared" si="25"/>
        <v>46.816666661761701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08:41:58-700',mode:absolute,to:'2016-12-14 11:32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61" s="52" t="str">
        <f t="shared" si="6"/>
        <v>N</v>
      </c>
      <c r="X61" s="177">
        <f t="shared" si="24"/>
        <v>1</v>
      </c>
      <c r="Y61" s="67">
        <f t="shared" si="22"/>
        <v>4.4400000000000002E-2</v>
      </c>
      <c r="Z61" s="67">
        <f t="shared" si="23"/>
        <v>23.332699999999999</v>
      </c>
      <c r="AA61" s="67">
        <f t="shared" si="10"/>
        <v>23.2883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11"/>
        <v>0149-14</v>
      </c>
      <c r="AE61" s="91" t="str">
        <f t="shared" si="12"/>
        <v>aws s3 cp s3://rtdc.mdm.uploadarchive.raw/RTDC4051/ "%USERPROFILE%\AppData\Local\Temp\OnboardLogs"\RTDC4051\2016-12-14 --exclude "*" --recursive --include "*20161214*" &amp; "%USERPROFILE%\Documents\GitHub\mrs-test-scripts\Headless Mode &amp; Sideloading\WalkAndUnGZ.bat" "%USERPROFILE%\AppData\Local\Temp\OnboardLogs"\RTDC4051\2016-12-14 &amp; aws s3 cp s3://rtdc.mdm.uploadarchive.raw/RTDC4051/ "%USERPROFILE%\AppData\Local\Temp\OnboardLogs"\RTDC4051\2016-12-15 --exclude "*" --recursive --include "*20161215*" &amp; "%USERPROFILE%\Documents\GitHub\mrs-test-scripts\Headless Mode &amp; Sideloading\WalkAndUnGZ.bat" "%USERPROFILE%\AppData\Local\Temp\OnboardLogs"\RTDC4051\2016-12-15</v>
      </c>
      <c r="AF61" s="88" t="str">
        <f t="shared" si="13"/>
        <v>"C:\Program Files (x86)\AstroGrep\AstroGrep.exe" /spath="%USERPROFILE%\AppData\Local\Temp\OnboardLogs" /stypes="app*4051*20161214*"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149-14 --locoid 4051 --swversion DE.1.0.8.0 --startMP 204:444 --initTime 2016-12-14T09:41:58 --startdatetime 2016-12-14T09:45:17 --delay 1 --endMP 204:233327 --enddatetime 2016-12-14T10:32:06 --enforcementcount 0 &gt;&gt;C:\Users\stu\Documents\GitHub\eaglep3-reporting\EC\2016-12-14-refined-times.txt</v>
      </c>
      <c r="AI61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{"issue":{"subject":"","project_id":79,"tracker_id":40,"status_id":1,"priority_id":2,"assigned_to_id":23,"start_date":"2016-12-14","description":"","custom_fields":[{"id":1,"name":"Subdivision","value":"EC"},{"id":4,"name":"Milepost","value":"23.3327"},{"id":17,"name":"Train ID","value":"149-14"},{"id":16,"name":"Locomotive ID","value":"4051"},{"id":130,"name":"Impact","value":""},{"id":150,"name":"Time of Event (Mountain Time)","value":"10:32:06"},{"id":151,"name":"Denver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433</v>
      </c>
      <c r="B62" s="7">
        <v>4052</v>
      </c>
      <c r="C62" s="22" t="s">
        <v>207</v>
      </c>
      <c r="D62" s="22" t="s">
        <v>703</v>
      </c>
      <c r="E62" s="13">
        <v>42718.445416666669</v>
      </c>
      <c r="F62" s="13">
        <v>42718.447129629632</v>
      </c>
      <c r="G62" s="7">
        <v>0</v>
      </c>
      <c r="H62" s="22" t="s">
        <v>711</v>
      </c>
      <c r="I62" s="13">
        <v>42718.478067129632</v>
      </c>
      <c r="J62" s="7">
        <v>0</v>
      </c>
      <c r="K62" s="109" t="str">
        <f t="shared" si="0"/>
        <v>4051/4052</v>
      </c>
      <c r="L62" s="22" t="str">
        <f>VLOOKUP(A62,'Trips&amp;Operators'!$C$1:$G$99999,5,FALSE)</f>
        <v>SPECTOR MICHAEL</v>
      </c>
      <c r="M62" s="6">
        <f t="shared" si="1"/>
        <v>3.0937499999708962E-2</v>
      </c>
      <c r="N62" s="7">
        <f t="shared" si="25"/>
        <v>44.549999999580905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09:41:24-700',mode:absolute,to:'2016-12-14 12:28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62" s="52" t="str">
        <f t="shared" si="6"/>
        <v>N</v>
      </c>
      <c r="X62" s="177">
        <f t="shared" si="24"/>
        <v>1</v>
      </c>
      <c r="Y62" s="67">
        <f t="shared" si="22"/>
        <v>23.300799999999999</v>
      </c>
      <c r="Z62" s="67">
        <f t="shared" si="23"/>
        <v>0.1179</v>
      </c>
      <c r="AA62" s="67">
        <f t="shared" si="10"/>
        <v>23.1829</v>
      </c>
      <c r="AB62" s="64" t="str">
        <f>VLOOKUP(A62,Enforcements!$C$7:$K$19,8,0)</f>
        <v>Speed (6)</v>
      </c>
      <c r="AC62" s="60" t="str">
        <f>VLOOKUP(A62,Enforcements!$C$7:$E$19,3,0)</f>
        <v>PERMANENT SPEED RESTRICTION</v>
      </c>
      <c r="AD62" s="61" t="str">
        <f t="shared" si="11"/>
        <v>0150-14</v>
      </c>
      <c r="AE62" s="91" t="str">
        <f t="shared" si="12"/>
        <v>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 &amp; aws s3 cp s3://rtdc.mdm.uploadarchive.raw/RTDC4052/ "%USERPROFILE%\AppData\Local\Temp\OnboardLogs"\RTDC4052\2016-12-15 --exclude "*" --recursive --include "*20161215*" &amp; "%USERPROFILE%\Documents\GitHub\mrs-test-scripts\Headless Mode &amp; Sideloading\WalkAndUnGZ.bat" "%USERPROFILE%\AppData\Local\Temp\OnboardLogs"\RTDC4052\2016-12-15</v>
      </c>
      <c r="AF62" s="88" t="str">
        <f t="shared" si="13"/>
        <v>"C:\Program Files (x86)\AstroGrep\AstroGrep.exe" /spath="%USERPROFILE%\AppData\Local\Temp\OnboardLogs" /stypes="app*4052*20161214*"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150-14 --locoid 4052 --swversion DE.1.0.8.0 --startMP 204:233008 --initTime 2016-12-14T10:41:24 --startdatetime 2016-12-14T10:43:52 --delay 0 --endMP 204:1179 --enddatetime 2016-12-14T11:28:25 --enforcementcount 0 &gt;&gt;C:\Users\stu\Documents\GitHub\eaglep3-reporting\EC\2016-12-14-refined-times.txt</v>
      </c>
      <c r="AI62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{"issue":{"subject":"","project_id":79,"tracker_id":40,"status_id":1,"priority_id":2,"assigned_to_id":23,"start_date":"2016-12-14","description":"","custom_fields":[{"id":1,"name":"Subdivision","value":"EC"},{"id":4,"name":"Milepost","value":"0.1179"},{"id":17,"name":"Train ID","value":"150-14"},{"id":16,"name":"Locomotive ID","value":"4052"},{"id":130,"name":"Impact","value":""},{"id":150,"name":"Time of Event (Mountain Time)","value":"11:28:25"},{"id":151,"name":"Denver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528</v>
      </c>
      <c r="B63" s="7">
        <v>4016</v>
      </c>
      <c r="C63" s="22" t="s">
        <v>207</v>
      </c>
      <c r="D63" s="22" t="s">
        <v>405</v>
      </c>
      <c r="E63" s="13">
        <v>42718.413854166669</v>
      </c>
      <c r="F63" s="13">
        <v>42718.417210648149</v>
      </c>
      <c r="G63" s="7">
        <v>1</v>
      </c>
      <c r="H63" s="22" t="s">
        <v>383</v>
      </c>
      <c r="I63" s="13">
        <v>42718.450879629629</v>
      </c>
      <c r="J63" s="7">
        <v>0</v>
      </c>
      <c r="K63" s="109" t="str">
        <f t="shared" si="0"/>
        <v>4015/4016</v>
      </c>
      <c r="L63" s="22" t="str">
        <f>VLOOKUP(A63,'Trips&amp;Operators'!$C$1:$G$99999,5,FALSE)</f>
        <v>DAVIS MICHAEL</v>
      </c>
      <c r="M63" s="6">
        <f t="shared" si="1"/>
        <v>3.3668981479422655E-2</v>
      </c>
      <c r="N63" s="7">
        <f t="shared" si="25"/>
        <v>48.483333330368623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08:55:57-700',mode:absolute,to:'2016-12-14 11:49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3" s="52" t="str">
        <f t="shared" si="6"/>
        <v>N</v>
      </c>
      <c r="X63" s="177">
        <f t="shared" si="24"/>
        <v>1</v>
      </c>
      <c r="Y63" s="67">
        <f t="shared" si="22"/>
        <v>0.05</v>
      </c>
      <c r="Z63" s="67">
        <f t="shared" si="23"/>
        <v>23.335100000000001</v>
      </c>
      <c r="AA63" s="67">
        <f t="shared" si="10"/>
        <v>23.2851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11"/>
        <v>0151-14</v>
      </c>
      <c r="AE63" s="91" t="str">
        <f t="shared" si="12"/>
        <v>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 &amp; aws s3 cp s3://rtdc.mdm.uploadarchive.raw/RTDC4016/ "%USERPROFILE%\AppData\Local\Temp\OnboardLogs"\RTDC4016\2016-12-15 --exclude "*" --recursive --include "*20161215*" &amp; "%USERPROFILE%\Documents\GitHub\mrs-test-scripts\Headless Mode &amp; Sideloading\WalkAndUnGZ.bat" "%USERPROFILE%\AppData\Local\Temp\OnboardLogs"\RTDC4016\2016-12-15</v>
      </c>
      <c r="AF63" s="88" t="str">
        <f t="shared" si="13"/>
        <v>"C:\Program Files (x86)\AstroGrep\AstroGrep.exe" /spath="%USERPROFILE%\AppData\Local\Temp\OnboardLogs" /stypes="app*4016*20161214*"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151-14 --locoid 4016 --swversion DE.1.0.8.0 --startMP 204:500 --initTime 2016-12-14T09:55:57 --startdatetime 2016-12-14T10:00:47 --delay 1 --endMP 204:233351 --enddatetime 2016-12-14T10:49:16 --enforcementcount 0 &gt;&gt;C:\Users\stu\Documents\GitHub\eaglep3-reporting\EC\2016-12-14-refined-times.txt</v>
      </c>
      <c r="AI63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{"issue":{"subject":"","project_id":79,"tracker_id":40,"status_id":1,"priority_id":2,"assigned_to_id":23,"start_date":"2016-12-14","description":"","custom_fields":[{"id":1,"name":"Subdivision","value":"EC"},{"id":4,"name":"Milepost","value":"23.3351"},{"id":17,"name":"Train ID","value":"151-14"},{"id":16,"name":"Locomotive ID","value":"4016"},{"id":130,"name":"Impact","value":""},{"id":150,"name":"Time of Event (Mountain Time)","value":"10:49:16"},{"id":151,"name":"Denver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534</v>
      </c>
      <c r="B64" s="7">
        <v>4015</v>
      </c>
      <c r="C64" s="22" t="s">
        <v>207</v>
      </c>
      <c r="D64" s="22" t="s">
        <v>391</v>
      </c>
      <c r="E64" s="13">
        <v>42718.4528587963</v>
      </c>
      <c r="F64" s="13">
        <v>42718.456805555557</v>
      </c>
      <c r="G64" s="7">
        <v>1</v>
      </c>
      <c r="H64" s="22" t="s">
        <v>213</v>
      </c>
      <c r="I64" s="13">
        <v>42718.486250000002</v>
      </c>
      <c r="J64" s="7">
        <v>0</v>
      </c>
      <c r="K64" s="109" t="str">
        <f t="shared" si="0"/>
        <v>4015/4016</v>
      </c>
      <c r="L64" s="22" t="str">
        <f>VLOOKUP(A64,'Trips&amp;Operators'!$C$1:$G$99999,5,FALSE)</f>
        <v>DAVIS MICHAEL</v>
      </c>
      <c r="M64" s="6">
        <f t="shared" si="1"/>
        <v>2.9444444444379769E-2</v>
      </c>
      <c r="N64" s="7">
        <f t="shared" si="25"/>
        <v>42.399999999906868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09:52:07-700',mode:absolute,to:'2016-12-14 12:40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4" s="52" t="str">
        <f t="shared" si="6"/>
        <v>N</v>
      </c>
      <c r="X64" s="177">
        <f t="shared" si="24"/>
        <v>1</v>
      </c>
      <c r="Y64" s="67">
        <f t="shared" si="22"/>
        <v>23.303799999999999</v>
      </c>
      <c r="Z64" s="67">
        <f t="shared" si="23"/>
        <v>1.4999999999999999E-2</v>
      </c>
      <c r="AA64" s="67">
        <f t="shared" si="10"/>
        <v>23.288799999999998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 t="shared" si="11"/>
        <v>0152-14</v>
      </c>
      <c r="AE64" s="91" t="str">
        <f t="shared" si="12"/>
        <v>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 &amp; aws s3 cp s3://rtdc.mdm.uploadarchive.raw/RTDC4015/ "%USERPROFILE%\AppData\Local\Temp\OnboardLogs"\RTDC4015\2016-12-15 --exclude "*" --recursive --include "*20161215*" &amp; "%USERPROFILE%\Documents\GitHub\mrs-test-scripts\Headless Mode &amp; Sideloading\WalkAndUnGZ.bat" "%USERPROFILE%\AppData\Local\Temp\OnboardLogs"\RTDC4015\2016-12-15</v>
      </c>
      <c r="AF64" s="88" t="str">
        <f t="shared" si="13"/>
        <v>"C:\Program Files (x86)\AstroGrep\AstroGrep.exe" /spath="%USERPROFILE%\AppData\Local\Temp\OnboardLogs" /stypes="app*4015*20161214*"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152-14 --locoid 4015 --swversion DE.1.0.8.0 --startMP 204:233038 --initTime 2016-12-14T10:52:07 --startdatetime 2016-12-14T10:57:48 --delay 1 --endMP 204:150 --enddatetime 2016-12-14T11:40:12 --enforcementcount 0 &gt;&gt;C:\Users\stu\Documents\GitHub\eaglep3-reporting\EC\2016-12-14-refined-times.txt</v>
      </c>
      <c r="AI64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{"issue":{"subject":"","project_id":79,"tracker_id":40,"status_id":1,"priority_id":2,"assigned_to_id":23,"start_date":"2016-12-14","description":"","custom_fields":[{"id":1,"name":"Subdivision","value":"EC"},{"id":4,"name":"Milepost","value":"0.015"},{"id":17,"name":"Train ID","value":"152-14"},{"id":16,"name":"Locomotive ID","value":"4015"},{"id":130,"name":"Impact","value":""},{"id":150,"name":"Time of Event (Mountain Time)","value":"11:40:12"},{"id":151,"name":"Denver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529</v>
      </c>
      <c r="B65" s="7">
        <v>4040</v>
      </c>
      <c r="C65" s="22" t="s">
        <v>207</v>
      </c>
      <c r="D65" s="22" t="s">
        <v>712</v>
      </c>
      <c r="E65" s="13">
        <v>42718.423182870371</v>
      </c>
      <c r="F65" s="13">
        <v>42718.427546296298</v>
      </c>
      <c r="G65" s="7">
        <v>1</v>
      </c>
      <c r="H65" s="22" t="s">
        <v>388</v>
      </c>
      <c r="I65" s="13">
        <v>42718.45244212963</v>
      </c>
      <c r="J65" s="7">
        <v>0</v>
      </c>
      <c r="K65" s="109" t="str">
        <f t="shared" si="0"/>
        <v>4039/4040</v>
      </c>
      <c r="L65" s="22" t="str">
        <f>VLOOKUP(A65,'Trips&amp;Operators'!$C$1:$G$99999,5,FALSE)</f>
        <v>ROCHA YAOTL</v>
      </c>
      <c r="M65" s="6">
        <f t="shared" si="1"/>
        <v>2.4895833332266193E-2</v>
      </c>
      <c r="N65" s="7">
        <f t="shared" si="25"/>
        <v>35.849999998463318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09:09:23-700',mode:absolute,to:'2016-12-14 11:51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5" s="52" t="str">
        <f t="shared" si="6"/>
        <v>N</v>
      </c>
      <c r="X65" s="177">
        <f t="shared" si="24"/>
        <v>1</v>
      </c>
      <c r="Y65" s="67">
        <f t="shared" si="22"/>
        <v>4.9500000000000002E-2</v>
      </c>
      <c r="Z65" s="67">
        <f t="shared" si="23"/>
        <v>23.328299999999999</v>
      </c>
      <c r="AA65" s="67">
        <f t="shared" si="10"/>
        <v>23.2788</v>
      </c>
      <c r="AB65" s="64" t="e">
        <f>VLOOKUP(A65,Enforcements!$C$7:$K$19,8,0)</f>
        <v>#N/A</v>
      </c>
      <c r="AC65" s="60" t="e">
        <f>VLOOKUP(A65,Enforcements!$C$7:$E$19,3,0)</f>
        <v>#N/A</v>
      </c>
      <c r="AD65" s="61" t="str">
        <f t="shared" si="11"/>
        <v>0153-14</v>
      </c>
      <c r="AE65" s="91" t="str">
        <f t="shared" si="12"/>
        <v>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 &amp; aws s3 cp s3://rtdc.mdm.uploadarchive.raw/RTDC4040/ "%USERPROFILE%\AppData\Local\Temp\OnboardLogs"\RTDC4040\2016-12-15 --exclude "*" --recursive --include "*20161215*" &amp; "%USERPROFILE%\Documents\GitHub\mrs-test-scripts\Headless Mode &amp; Sideloading\WalkAndUnGZ.bat" "%USERPROFILE%\AppData\Local\Temp\OnboardLogs"\RTDC4040\2016-12-15</v>
      </c>
      <c r="AF65" s="88" t="str">
        <f t="shared" si="13"/>
        <v>"C:\Program Files (x86)\AstroGrep\AstroGrep.exe" /spath="%USERPROFILE%\AppData\Local\Temp\OnboardLogs" /stypes="app*4040*20161214*"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153-14 --locoid 4040 --swversion DE.1.0.8.0 --startMP 204:495 --initTime 2016-12-14T10:09:23 --startdatetime 2016-12-14T10:15:40 --delay 1 --endMP 204:233283 --enddatetime 2016-12-14T10:51:31 --enforcementcount 0 &gt;&gt;C:\Users\stu\Documents\GitHub\eaglep3-reporting\EC\2016-12-14-refined-times.txt</v>
      </c>
      <c r="AI65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{"issue":{"subject":"","project_id":79,"tracker_id":40,"status_id":1,"priority_id":2,"assigned_to_id":23,"start_date":"2016-12-14","description":"","custom_fields":[{"id":1,"name":"Subdivision","value":"EC"},{"id":4,"name":"Milepost","value":"23.3283"},{"id":17,"name":"Train ID","value":"153-14"},{"id":16,"name":"Locomotive ID","value":"4040"},{"id":130,"name":"Impact","value":""},{"id":150,"name":"Time of Event (Mountain Time)","value":"10:51:31"},{"id":151,"name":"Denver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434</v>
      </c>
      <c r="B66" s="7">
        <v>4039</v>
      </c>
      <c r="C66" s="22" t="s">
        <v>207</v>
      </c>
      <c r="D66" s="22" t="s">
        <v>293</v>
      </c>
      <c r="E66" s="13">
        <v>42718.463310185187</v>
      </c>
      <c r="F66" s="13">
        <v>42718.466296296298</v>
      </c>
      <c r="G66" s="7">
        <v>1</v>
      </c>
      <c r="H66" s="22" t="s">
        <v>275</v>
      </c>
      <c r="I66" s="13">
        <v>42718.492800925924</v>
      </c>
      <c r="J66" s="7">
        <v>0</v>
      </c>
      <c r="K66" s="109" t="str">
        <f t="shared" si="0"/>
        <v>4039/4040</v>
      </c>
      <c r="L66" s="22" t="str">
        <f>VLOOKUP(A66,'Trips&amp;Operators'!$C$1:$G$99999,5,FALSE)</f>
        <v>ROCHA YAOTL</v>
      </c>
      <c r="M66" s="6">
        <f t="shared" si="1"/>
        <v>2.6504629626288079E-2</v>
      </c>
      <c r="N66" s="7">
        <f t="shared" si="25"/>
        <v>38.166666661854833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10:07:10-700',mode:absolute,to:'2016-12-14 12:49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6" s="52" t="str">
        <f t="shared" si="6"/>
        <v>N</v>
      </c>
      <c r="X66" s="177">
        <f t="shared" si="24"/>
        <v>1</v>
      </c>
      <c r="Y66" s="67">
        <f t="shared" si="22"/>
        <v>23.2989</v>
      </c>
      <c r="Z66" s="67">
        <f t="shared" si="23"/>
        <v>1.52E-2</v>
      </c>
      <c r="AA66" s="67">
        <f t="shared" si="10"/>
        <v>23.2837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11"/>
        <v>0154-14</v>
      </c>
      <c r="AE66" s="91" t="str">
        <f t="shared" si="12"/>
        <v>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 &amp; aws s3 cp s3://rtdc.mdm.uploadarchive.raw/RTDC4039/ "%USERPROFILE%\AppData\Local\Temp\OnboardLogs"\RTDC4039\2016-12-15 --exclude "*" --recursive --include "*20161215*" &amp; "%USERPROFILE%\Documents\GitHub\mrs-test-scripts\Headless Mode &amp; Sideloading\WalkAndUnGZ.bat" "%USERPROFILE%\AppData\Local\Temp\OnboardLogs"\RTDC4039\2016-12-15</v>
      </c>
      <c r="AF66" s="88" t="str">
        <f t="shared" si="13"/>
        <v>"C:\Program Files (x86)\AstroGrep\AstroGrep.exe" /spath="%USERPROFILE%\AppData\Local\Temp\OnboardLogs" /stypes="app*4039*20161214*"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154-14 --locoid 4039 --swversion DE.1.0.8.0 --startMP 204:232989 --initTime 2016-12-14T11:07:10 --startdatetime 2016-12-14T11:11:28 --delay 1 --endMP 204:152 --enddatetime 2016-12-14T11:49:38 --enforcementcount 0 &gt;&gt;C:\Users\stu\Documents\GitHub\eaglep3-reporting\EC\2016-12-14-refined-times.txt</v>
      </c>
      <c r="AI66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{"issue":{"subject":"","project_id":79,"tracker_id":40,"status_id":1,"priority_id":2,"assigned_to_id":23,"start_date":"2016-12-14","description":"","custom_fields":[{"id":1,"name":"Subdivision","value":"EC"},{"id":4,"name":"Milepost","value":"0.0152"},{"id":17,"name":"Train ID","value":"154-14"},{"id":16,"name":"Locomotive ID","value":"4039"},{"id":130,"name":"Impact","value":""},{"id":150,"name":"Time of Event (Mountain Time)","value":"11:49:38"},{"id":151,"name":"Denver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531</v>
      </c>
      <c r="B67" s="7">
        <v>4031</v>
      </c>
      <c r="C67" s="22" t="s">
        <v>207</v>
      </c>
      <c r="D67" s="22" t="s">
        <v>194</v>
      </c>
      <c r="E67" s="13">
        <v>42718.437175925923</v>
      </c>
      <c r="F67" s="13">
        <v>42718.438993055555</v>
      </c>
      <c r="G67" s="7">
        <v>2</v>
      </c>
      <c r="H67" s="22" t="s">
        <v>389</v>
      </c>
      <c r="I67" s="13">
        <v>42718.465613425928</v>
      </c>
      <c r="J67" s="7">
        <v>0</v>
      </c>
      <c r="K67" s="109" t="str">
        <f t="shared" si="0"/>
        <v>4031/4032</v>
      </c>
      <c r="L67" s="22" t="str">
        <f>VLOOKUP(A67,'Trips&amp;Operators'!$C$1:$G$99999,5,FALSE)</f>
        <v>STARKS ANGELINA</v>
      </c>
      <c r="M67" s="6">
        <f t="shared" si="1"/>
        <v>2.662037037225673E-2</v>
      </c>
      <c r="N67" s="7">
        <f t="shared" si="25"/>
        <v>38.333333336049691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09:29:32-700',mode:absolute,to:'2016-12-14 12:10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7" s="52" t="str">
        <f t="shared" si="6"/>
        <v>N</v>
      </c>
      <c r="X67" s="177">
        <f t="shared" si="24"/>
        <v>1</v>
      </c>
      <c r="Y67" s="67">
        <f t="shared" si="22"/>
        <v>4.4699999999999997E-2</v>
      </c>
      <c r="Z67" s="67">
        <f t="shared" si="23"/>
        <v>23.330500000000001</v>
      </c>
      <c r="AA67" s="67">
        <f t="shared" si="10"/>
        <v>23.285800000000002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11"/>
        <v>0155-14</v>
      </c>
      <c r="AE67" s="91" t="str">
        <f t="shared" si="12"/>
        <v>aws s3 cp s3://rtdc.mdm.uploadarchive.raw/RTDC4031/ "%USERPROFILE%\AppData\Local\Temp\OnboardLogs"\RTDC4031\2016-12-14 --exclude "*" --recursive --include "*20161214*" &amp; "%USERPROFILE%\Documents\GitHub\mrs-test-scripts\Headless Mode &amp; Sideloading\WalkAndUnGZ.bat" "%USERPROFILE%\AppData\Local\Temp\OnboardLogs"\RTDC4031\2016-12-14 &amp; aws s3 cp s3://rtdc.mdm.uploadarchive.raw/RTDC4031/ "%USERPROFILE%\AppData\Local\Temp\OnboardLogs"\RTDC4031\2016-12-15 --exclude "*" --recursive --include "*20161215*" &amp; "%USERPROFILE%\Documents\GitHub\mrs-test-scripts\Headless Mode &amp; Sideloading\WalkAndUnGZ.bat" "%USERPROFILE%\AppData\Local\Temp\OnboardLogs"\RTDC4031\2016-12-15</v>
      </c>
      <c r="AF67" s="88" t="str">
        <f t="shared" si="13"/>
        <v>"C:\Program Files (x86)\AstroGrep\AstroGrep.exe" /spath="%USERPROFILE%\AppData\Local\Temp\OnboardLogs" /stypes="app*4031*20161214*"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155-14 --locoid 4031 --swversion DE.1.0.8.0 --startMP 204:447 --initTime 2016-12-14T10:29:32 --startdatetime 2016-12-14T10:32:09 --delay 2 --endMP 204:233305 --enddatetime 2016-12-14T11:10:29 --enforcementcount 0 &gt;&gt;C:\Users\stu\Documents\GitHub\eaglep3-reporting\EC\2016-12-14-refined-times.txt</v>
      </c>
      <c r="AI67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{"issue":{"subject":"","project_id":79,"tracker_id":40,"status_id":1,"priority_id":2,"assigned_to_id":23,"start_date":"2016-12-14","description":"","custom_fields":[{"id":1,"name":"Subdivision","value":"EC"},{"id":4,"name":"Milepost","value":"23.3305"},{"id":17,"name":"Train ID","value":"155-14"},{"id":16,"name":"Locomotive ID","value":"4031"},{"id":130,"name":"Impact","value":""},{"id":150,"name":"Time of Event (Mountain Time)","value":"11:10:29"},{"id":151,"name":"Denver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540</v>
      </c>
      <c r="B68" s="7">
        <v>4032</v>
      </c>
      <c r="C68" s="22" t="s">
        <v>207</v>
      </c>
      <c r="D68" s="22" t="s">
        <v>713</v>
      </c>
      <c r="E68" s="13">
        <v>42718.474745370368</v>
      </c>
      <c r="F68" s="13">
        <v>42718.476585648146</v>
      </c>
      <c r="G68" s="7">
        <v>1</v>
      </c>
      <c r="H68" s="22" t="s">
        <v>240</v>
      </c>
      <c r="I68" s="13">
        <v>42718.503946759258</v>
      </c>
      <c r="J68" s="7">
        <v>0</v>
      </c>
      <c r="K68" s="109" t="str">
        <f t="shared" si="0"/>
        <v>4031/4032</v>
      </c>
      <c r="L68" s="22" t="str">
        <f>VLOOKUP(A68,'Trips&amp;Operators'!$C$1:$G$99999,5,FALSE)</f>
        <v>STARKS ANGELINA</v>
      </c>
      <c r="M68" s="6">
        <f t="shared" si="1"/>
        <v>2.73611111115315E-2</v>
      </c>
      <c r="N68" s="7">
        <f t="shared" si="25"/>
        <v>39.40000000060536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10:23:38-700',mode:absolute,to:'2016-12-14 13:05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8" s="52" t="str">
        <f t="shared" si="6"/>
        <v>N</v>
      </c>
      <c r="X68" s="177">
        <f t="shared" si="24"/>
        <v>1</v>
      </c>
      <c r="Y68" s="67">
        <f t="shared" si="22"/>
        <v>23.2986</v>
      </c>
      <c r="Z68" s="67">
        <f t="shared" si="23"/>
        <v>1.4500000000000001E-2</v>
      </c>
      <c r="AA68" s="67">
        <f t="shared" si="10"/>
        <v>23.284099999999999</v>
      </c>
      <c r="AB68" s="64" t="e">
        <f>VLOOKUP(A68,Enforcements!$C$7:$K$19,8,0)</f>
        <v>#N/A</v>
      </c>
      <c r="AC68" s="60" t="e">
        <f>VLOOKUP(A68,Enforcements!$C$7:$E$19,3,0)</f>
        <v>#N/A</v>
      </c>
      <c r="AD68" s="61" t="str">
        <f t="shared" si="11"/>
        <v>0156-14</v>
      </c>
      <c r="AE68" s="91" t="str">
        <f t="shared" si="12"/>
        <v>aws s3 cp s3://rtdc.mdm.uploadarchive.raw/RTDC4032/ "%USERPROFILE%\AppData\Local\Temp\OnboardLogs"\RTDC4032\2016-12-14 --exclude "*" --recursive --include "*20161214*" &amp; "%USERPROFILE%\Documents\GitHub\mrs-test-scripts\Headless Mode &amp; Sideloading\WalkAndUnGZ.bat" "%USERPROFILE%\AppData\Local\Temp\OnboardLogs"\RTDC4032\2016-12-14 &amp; aws s3 cp s3://rtdc.mdm.uploadarchive.raw/RTDC4032/ "%USERPROFILE%\AppData\Local\Temp\OnboardLogs"\RTDC4032\2016-12-15 --exclude "*" --recursive --include "*20161215*" &amp; "%USERPROFILE%\Documents\GitHub\mrs-test-scripts\Headless Mode &amp; Sideloading\WalkAndUnGZ.bat" "%USERPROFILE%\AppData\Local\Temp\OnboardLogs"\RTDC4032\2016-12-15</v>
      </c>
      <c r="AF68" s="88" t="str">
        <f t="shared" si="13"/>
        <v>"C:\Program Files (x86)\AstroGrep\AstroGrep.exe" /spath="%USERPROFILE%\AppData\Local\Temp\OnboardLogs" /stypes="app*4032*20161214*"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156-14 --locoid 4032 --swversion DE.1.0.8.0 --startMP 204:232986 --initTime 2016-12-14T11:23:38 --startdatetime 2016-12-14T11:26:17 --delay 1 --endMP 204:145 --enddatetime 2016-12-14T12:05:41 --enforcementcount 0 &gt;&gt;C:\Users\stu\Documents\GitHub\eaglep3-reporting\EC\2016-12-14-refined-times.txt</v>
      </c>
      <c r="AI68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{"issue":{"subject":"","project_id":79,"tracker_id":40,"status_id":1,"priority_id":2,"assigned_to_id":23,"start_date":"2016-12-14","description":"","custom_fields":[{"id":1,"name":"Subdivision","value":"EC"},{"id":4,"name":"Milepost","value":"0.0145"},{"id":17,"name":"Train ID","value":"156-14"},{"id":16,"name":"Locomotive ID","value":"4032"},{"id":130,"name":"Impact","value":""},{"id":150,"name":"Time of Event (Mountain Time)","value":"12:05:41"},{"id":151,"name":"Denver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432</v>
      </c>
      <c r="B69" s="7">
        <v>4014</v>
      </c>
      <c r="C69" s="22" t="s">
        <v>207</v>
      </c>
      <c r="D69" s="22" t="s">
        <v>714</v>
      </c>
      <c r="E69" s="13">
        <v>42718.446539351855</v>
      </c>
      <c r="F69" s="13">
        <v>42718.448854166665</v>
      </c>
      <c r="G69" s="7">
        <v>1</v>
      </c>
      <c r="H69" s="22" t="s">
        <v>292</v>
      </c>
      <c r="I69" s="13">
        <v>42718.47314814815</v>
      </c>
      <c r="J69" s="7">
        <v>0</v>
      </c>
      <c r="K69" s="109" t="str">
        <f t="shared" si="0"/>
        <v>4013/4014</v>
      </c>
      <c r="L69" s="22" t="str">
        <f>VLOOKUP(A69,'Trips&amp;Operators'!$C$1:$G$99999,5,FALSE)</f>
        <v>HILLS DUSTIN</v>
      </c>
      <c r="M69" s="6">
        <f t="shared" si="1"/>
        <v>2.4293981485243421E-2</v>
      </c>
      <c r="N69" s="7">
        <f t="shared" si="25"/>
        <v>34.983333338750526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09:43:01-700',mode:absolute,to:'2016-12-14 12:21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9" s="52" t="str">
        <f t="shared" si="6"/>
        <v>N</v>
      </c>
      <c r="X69" s="177">
        <f t="shared" si="24"/>
        <v>1</v>
      </c>
      <c r="Y69" s="67">
        <f t="shared" si="22"/>
        <v>4.1300000000000003E-2</v>
      </c>
      <c r="Z69" s="67">
        <f t="shared" si="23"/>
        <v>23.330400000000001</v>
      </c>
      <c r="AA69" s="67">
        <f t="shared" si="10"/>
        <v>23.289100000000001</v>
      </c>
      <c r="AB69" s="64" t="str">
        <f>VLOOKUP(A69,Enforcements!$C$7:$K$19,8,0)</f>
        <v>Bulletin (2)</v>
      </c>
      <c r="AC69" s="60" t="str">
        <f>VLOOKUP(A69,Enforcements!$C$7:$E$19,3,0)</f>
        <v>GRADE CROSSING</v>
      </c>
      <c r="AD69" s="61" t="str">
        <f t="shared" si="11"/>
        <v>0157-14</v>
      </c>
      <c r="AE69" s="91" t="str">
        <f t="shared" si="12"/>
        <v>aws s3 cp s3://rtdc.mdm.uploadarchive.raw/RTDC4014/ "%USERPROFILE%\AppData\Local\Temp\OnboardLogs"\RTDC4014\2016-12-14 --exclude "*" --recursive --include "*20161214*" &amp; "%USERPROFILE%\Documents\GitHub\mrs-test-scripts\Headless Mode &amp; Sideloading\WalkAndUnGZ.bat" "%USERPROFILE%\AppData\Local\Temp\OnboardLogs"\RTDC4014\2016-12-14 &amp; aws s3 cp s3://rtdc.mdm.uploadarchive.raw/RTDC4014/ "%USERPROFILE%\AppData\Local\Temp\OnboardLogs"\RTDC4014\2016-12-15 --exclude "*" --recursive --include "*20161215*" &amp; "%USERPROFILE%\Documents\GitHub\mrs-test-scripts\Headless Mode &amp; Sideloading\WalkAndUnGZ.bat" "%USERPROFILE%\AppData\Local\Temp\OnboardLogs"\RTDC4014\2016-12-15</v>
      </c>
      <c r="AF69" s="88" t="str">
        <f t="shared" si="13"/>
        <v>"C:\Program Files (x86)\AstroGrep\AstroGrep.exe" /spath="%USERPROFILE%\AppData\Local\Temp\OnboardLogs" /stypes="app*4014*20161214*"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157-14 --locoid 4014 --swversion DE.1.0.8.0 --startMP 204:413 --initTime 2016-12-14T10:43:01 --startdatetime 2016-12-14T10:46:21 --delay 1 --endMP 204:233304 --enddatetime 2016-12-14T11:21:20 --enforcementcount 0 &gt;&gt;C:\Users\stu\Documents\GitHub\eaglep3-reporting\EC\2016-12-14-refined-times.txt</v>
      </c>
      <c r="AI69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{"issue":{"subject":"","project_id":79,"tracker_id":40,"status_id":1,"priority_id":2,"assigned_to_id":23,"start_date":"2016-12-14","description":"","custom_fields":[{"id":1,"name":"Subdivision","value":"EC"},{"id":4,"name":"Milepost","value":"23.3304"},{"id":17,"name":"Train ID","value":"157-14"},{"id":16,"name":"Locomotive ID","value":"4014"},{"id":130,"name":"Impact","value":""},{"id":150,"name":"Time of Event (Mountain Time)","value":"11:21:20"},{"id":151,"name":"Denver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436</v>
      </c>
      <c r="B70" s="7">
        <v>4013</v>
      </c>
      <c r="C70" s="22" t="s">
        <v>207</v>
      </c>
      <c r="D70" s="22" t="s">
        <v>294</v>
      </c>
      <c r="E70" s="13">
        <v>42718.478460648148</v>
      </c>
      <c r="F70" s="13">
        <v>42718.486979166664</v>
      </c>
      <c r="G70" s="7">
        <v>1</v>
      </c>
      <c r="H70" s="22" t="s">
        <v>240</v>
      </c>
      <c r="I70" s="13">
        <v>42718.514189814814</v>
      </c>
      <c r="J70" s="7">
        <v>0</v>
      </c>
      <c r="K70" s="109" t="str">
        <f t="shared" si="0"/>
        <v>4013/4014</v>
      </c>
      <c r="L70" s="22" t="str">
        <f>VLOOKUP(A70,'Trips&amp;Operators'!$C$1:$G$99999,5,FALSE)</f>
        <v>HILLS DUSTIN</v>
      </c>
      <c r="M70" s="6">
        <f t="shared" si="1"/>
        <v>2.7210648149775807E-2</v>
      </c>
      <c r="N70" s="7">
        <f t="shared" si="25"/>
        <v>39.183333335677162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10:28:59-700',mode:absolute,to:'2016-12-14 13:20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0" s="52" t="str">
        <f t="shared" si="6"/>
        <v>N</v>
      </c>
      <c r="X70" s="177">
        <f t="shared" si="24"/>
        <v>1</v>
      </c>
      <c r="Y70" s="67">
        <f t="shared" si="22"/>
        <v>23.299600000000002</v>
      </c>
      <c r="Z70" s="67">
        <f t="shared" si="23"/>
        <v>1.4500000000000001E-2</v>
      </c>
      <c r="AA70" s="67">
        <f t="shared" si="10"/>
        <v>23.2851</v>
      </c>
      <c r="AB70" s="64" t="str">
        <f>VLOOKUP(A70,Enforcements!$C$7:$K$19,8,0)</f>
        <v>Signal based authority (5)</v>
      </c>
      <c r="AC70" s="60" t="str">
        <f>VLOOKUP(A70,Enforcements!$C$7:$E$19,3,0)</f>
        <v>SIGNAL</v>
      </c>
      <c r="AD70" s="61" t="str">
        <f t="shared" si="11"/>
        <v>0158-14</v>
      </c>
      <c r="AE70" s="91" t="str">
        <f t="shared" si="12"/>
        <v>aws s3 cp s3://rtdc.mdm.uploadarchive.raw/RTDC4013/ "%USERPROFILE%\AppData\Local\Temp\OnboardLogs"\RTDC4013\2016-12-14 --exclude "*" --recursive --include "*20161214*" &amp; "%USERPROFILE%\Documents\GitHub\mrs-test-scripts\Headless Mode &amp; Sideloading\WalkAndUnGZ.bat" "%USERPROFILE%\AppData\Local\Temp\OnboardLogs"\RTDC4013\2016-12-14 &amp; aws s3 cp s3://rtdc.mdm.uploadarchive.raw/RTDC4013/ "%USERPROFILE%\AppData\Local\Temp\OnboardLogs"\RTDC4013\2016-12-15 --exclude "*" --recursive --include "*20161215*" &amp; "%USERPROFILE%\Documents\GitHub\mrs-test-scripts\Headless Mode &amp; Sideloading\WalkAndUnGZ.bat" "%USERPROFILE%\AppData\Local\Temp\OnboardLogs"\RTDC4013\2016-12-15</v>
      </c>
      <c r="AF70" s="88" t="str">
        <f t="shared" si="13"/>
        <v>"C:\Program Files (x86)\AstroGrep\AstroGrep.exe" /spath="%USERPROFILE%\AppData\Local\Temp\OnboardLogs" /stypes="app*4013*20161214*"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158-14 --locoid 4013 --swversion DE.1.0.8.0 --startMP 204:232996 --initTime 2016-12-14T11:28:59 --startdatetime 2016-12-14T11:41:15 --delay 1 --endMP 204:145 --enddatetime 2016-12-14T12:20:26 --enforcementcount 0 &gt;&gt;C:\Users\stu\Documents\GitHub\eaglep3-reporting\EC\2016-12-14-refined-times.txt</v>
      </c>
      <c r="AI70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{"issue":{"subject":"","project_id":79,"tracker_id":40,"status_id":1,"priority_id":2,"assigned_to_id":23,"start_date":"2016-12-14","description":"","custom_fields":[{"id":1,"name":"Subdivision","value":"EC"},{"id":4,"name":"Milepost","value":"0.0145"},{"id":17,"name":"Train ID","value":"158-14"},{"id":16,"name":"Locomotive ID","value":"4013"},{"id":130,"name":"Impact","value":""},{"id":150,"name":"Time of Event (Mountain Time)","value":"12:20:26"},{"id":151,"name":"Denver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535</v>
      </c>
      <c r="B71" s="7">
        <v>4003</v>
      </c>
      <c r="C71" s="22" t="s">
        <v>207</v>
      </c>
      <c r="D71" s="22" t="s">
        <v>715</v>
      </c>
      <c r="E71" s="13">
        <v>42718.453692129631</v>
      </c>
      <c r="F71" s="13">
        <v>42718.458506944444</v>
      </c>
      <c r="G71" s="7">
        <v>1</v>
      </c>
      <c r="H71" s="22" t="s">
        <v>699</v>
      </c>
      <c r="I71" s="13">
        <v>42718.483749999999</v>
      </c>
      <c r="J71" s="7">
        <v>0</v>
      </c>
      <c r="K71" s="109" t="str">
        <f t="shared" si="0"/>
        <v>4003/4004</v>
      </c>
      <c r="L71" s="22" t="str">
        <f>VLOOKUP(A71,'Trips&amp;Operators'!$C$1:$G$99999,5,FALSE)</f>
        <v>BONDS REYNALDO</v>
      </c>
      <c r="M71" s="6">
        <f t="shared" si="1"/>
        <v>2.5243055555620231E-2</v>
      </c>
      <c r="N71" s="7">
        <f t="shared" si="25"/>
        <v>36.350000000093132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09:53:19-700',mode:absolute,to:'2016-12-14 12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1" s="52" t="str">
        <f t="shared" si="6"/>
        <v>N</v>
      </c>
      <c r="X71" s="177">
        <f t="shared" si="24"/>
        <v>1</v>
      </c>
      <c r="Y71" s="67">
        <f t="shared" ref="Y71:Y102" si="26">RIGHT(D71,LEN(D71)-4)/10000</f>
        <v>4.2200000000000001E-2</v>
      </c>
      <c r="Z71" s="67">
        <f t="shared" ref="Z71:Z102" si="27">RIGHT(H71,LEN(H71)-4)/10000</f>
        <v>23.3322</v>
      </c>
      <c r="AA71" s="67">
        <f t="shared" si="10"/>
        <v>23.29</v>
      </c>
      <c r="AB71" s="64" t="e">
        <f>VLOOKUP(A71,Enforcements!$C$7:$K$19,8,0)</f>
        <v>#N/A</v>
      </c>
      <c r="AC71" s="60" t="e">
        <f>VLOOKUP(A71,Enforcements!$C$7:$E$19,3,0)</f>
        <v>#N/A</v>
      </c>
      <c r="AD71" s="61" t="str">
        <f t="shared" si="11"/>
        <v>0159-14</v>
      </c>
      <c r="AE71" s="91" t="str">
        <f t="shared" si="12"/>
        <v>aws s3 cp s3://rtdc.mdm.uploadarchive.raw/RTDC4003/ "%USERPROFILE%\AppData\Local\Temp\OnboardLogs"\RTDC4003\2016-12-14 --exclude "*" --recursive --include "*20161214*" &amp; "%USERPROFILE%\Documents\GitHub\mrs-test-scripts\Headless Mode &amp; Sideloading\WalkAndUnGZ.bat" "%USERPROFILE%\AppData\Local\Temp\OnboardLogs"\RTDC4003\2016-12-14 &amp; aws s3 cp s3://rtdc.mdm.uploadarchive.raw/RTDC4003/ "%USERPROFILE%\AppData\Local\Temp\OnboardLogs"\RTDC4003\2016-12-15 --exclude "*" --recursive --include "*20161215*" &amp; "%USERPROFILE%\Documents\GitHub\mrs-test-scripts\Headless Mode &amp; Sideloading\WalkAndUnGZ.bat" "%USERPROFILE%\AppData\Local\Temp\OnboardLogs"\RTDC4003\2016-12-15</v>
      </c>
      <c r="AF71" s="88" t="str">
        <f t="shared" si="13"/>
        <v>"C:\Program Files (x86)\AstroGrep\AstroGrep.exe" /spath="%USERPROFILE%\AppData\Local\Temp\OnboardLogs" /stypes="app*4003*20161214*"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159-14 --locoid 4003 --swversion DE.1.0.8.0 --startMP 204:422 --initTime 2016-12-14T10:53:19 --startdatetime 2016-12-14T11:00:15 --delay 1 --endMP 204:233322 --enddatetime 2016-12-14T11:36:36 --enforcementcount 0 &gt;&gt;C:\Users\stu\Documents\GitHub\eaglep3-reporting\EC\2016-12-14-refined-times.txt</v>
      </c>
      <c r="AI71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{"issue":{"subject":"","project_id":79,"tracker_id":40,"status_id":1,"priority_id":2,"assigned_to_id":23,"start_date":"2016-12-14","description":"","custom_fields":[{"id":1,"name":"Subdivision","value":"EC"},{"id":4,"name":"Milepost","value":"23.3322"},{"id":17,"name":"Train ID","value":"159-14"},{"id":16,"name":"Locomotive ID","value":"4003"},{"id":130,"name":"Impact","value":""},{"id":150,"name":"Time of Event (Mountain Time)","value":"11:36:36"},{"id":151,"name":"Denver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548</v>
      </c>
      <c r="B72" s="7">
        <v>4004</v>
      </c>
      <c r="C72" s="22" t="s">
        <v>207</v>
      </c>
      <c r="D72" s="22" t="s">
        <v>300</v>
      </c>
      <c r="E72" s="13">
        <v>42718.489490740743</v>
      </c>
      <c r="F72" s="13">
        <v>42718.497442129628</v>
      </c>
      <c r="G72" s="7">
        <v>2</v>
      </c>
      <c r="H72" s="22" t="s">
        <v>275</v>
      </c>
      <c r="I72" s="13">
        <v>42718.527094907404</v>
      </c>
      <c r="J72" s="7">
        <v>0</v>
      </c>
      <c r="K72" s="109" t="str">
        <f t="shared" si="0"/>
        <v>4003/4004</v>
      </c>
      <c r="L72" s="22" t="str">
        <f>VLOOKUP(A72,'Trips&amp;Operators'!$C$1:$G$99999,5,FALSE)</f>
        <v>BONDS REYNALDO</v>
      </c>
      <c r="M72" s="6">
        <f t="shared" si="1"/>
        <v>2.9652777775481809E-2</v>
      </c>
      <c r="N72" s="7">
        <f t="shared" si="25"/>
        <v>42.699999996693805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10:44:52-700',mode:absolute,to:'2016-12-14 13:39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2" s="52" t="str">
        <f t="shared" si="6"/>
        <v>N</v>
      </c>
      <c r="X72" s="177">
        <f t="shared" si="24"/>
        <v>1</v>
      </c>
      <c r="Y72" s="67">
        <f t="shared" si="26"/>
        <v>23.298999999999999</v>
      </c>
      <c r="Z72" s="67">
        <f t="shared" si="27"/>
        <v>1.52E-2</v>
      </c>
      <c r="AA72" s="67">
        <f t="shared" si="10"/>
        <v>23.283799999999999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11"/>
        <v>0160-14</v>
      </c>
      <c r="AE72" s="91" t="str">
        <f t="shared" si="12"/>
        <v>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 &amp; aws s3 cp s3://rtdc.mdm.uploadarchive.raw/RTDC4004/ "%USERPROFILE%\AppData\Local\Temp\OnboardLogs"\RTDC4004\2016-12-15 --exclude "*" --recursive --include "*20161215*" &amp; "%USERPROFILE%\Documents\GitHub\mrs-test-scripts\Headless Mode &amp; Sideloading\WalkAndUnGZ.bat" "%USERPROFILE%\AppData\Local\Temp\OnboardLogs"\RTDC4004\2016-12-15</v>
      </c>
      <c r="AF72" s="88" t="str">
        <f t="shared" si="13"/>
        <v>"C:\Program Files (x86)\AstroGrep\AstroGrep.exe" /spath="%USERPROFILE%\AppData\Local\Temp\OnboardLogs" /stypes="app*4004*20161214*"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160-14 --locoid 4004 --swversion DE.1.0.8.0 --startMP 204:232990 --initTime 2016-12-14T11:44:52 --startdatetime 2016-12-14T11:56:19 --delay 2 --endMP 204:152 --enddatetime 2016-12-14T12:39:01 --enforcementcount 0 &gt;&gt;C:\Users\stu\Documents\GitHub\eaglep3-reporting\EC\2016-12-14-refined-times.txt</v>
      </c>
      <c r="AI72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{"issue":{"subject":"","project_id":79,"tracker_id":40,"status_id":1,"priority_id":2,"assigned_to_id":23,"start_date":"2016-12-14","description":"","custom_fields":[{"id":1,"name":"Subdivision","value":"EC"},{"id":4,"name":"Milepost","value":"0.0152"},{"id":17,"name":"Train ID","value":"160-14"},{"id":16,"name":"Locomotive ID","value":"4004"},{"id":130,"name":"Impact","value":""},{"id":150,"name":"Time of Event (Mountain Time)","value":"12:39:01"},{"id":151,"name":"Denver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435</v>
      </c>
      <c r="B73" s="7">
        <v>4046</v>
      </c>
      <c r="C73" s="22" t="s">
        <v>207</v>
      </c>
      <c r="D73" s="22" t="s">
        <v>194</v>
      </c>
      <c r="E73" s="13">
        <v>42718.463865740741</v>
      </c>
      <c r="F73" s="13">
        <v>42718.468923611108</v>
      </c>
      <c r="G73" s="7">
        <v>1</v>
      </c>
      <c r="H73" s="22" t="s">
        <v>393</v>
      </c>
      <c r="I73" s="13">
        <v>42718.493634259263</v>
      </c>
      <c r="J73" s="7">
        <v>0</v>
      </c>
      <c r="K73" s="109" t="str">
        <f t="shared" si="0"/>
        <v>4045/4046</v>
      </c>
      <c r="L73" s="22" t="str">
        <f>VLOOKUP(A73,'Trips&amp;Operators'!$C$1:$G$99999,5,FALSE)</f>
        <v>BARTLETT KIANDRA</v>
      </c>
      <c r="M73" s="6">
        <f t="shared" si="1"/>
        <v>2.4710648154723458E-2</v>
      </c>
      <c r="N73" s="7">
        <f t="shared" si="25"/>
        <v>35.58333334280178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10:07:58-700',mode:absolute,to:'2016-12-14 12:50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3" s="52" t="str">
        <f t="shared" si="6"/>
        <v>N</v>
      </c>
      <c r="X73" s="177">
        <f t="shared" si="24"/>
        <v>1</v>
      </c>
      <c r="Y73" s="67">
        <f t="shared" si="26"/>
        <v>4.4699999999999997E-2</v>
      </c>
      <c r="Z73" s="67">
        <f t="shared" si="27"/>
        <v>23.331700000000001</v>
      </c>
      <c r="AA73" s="67">
        <f t="shared" si="10"/>
        <v>23.287000000000003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11"/>
        <v>0161-14</v>
      </c>
      <c r="AE73" s="91" t="str">
        <f t="shared" si="12"/>
        <v>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 &amp; aws s3 cp s3://rtdc.mdm.uploadarchive.raw/RTDC4046/ "%USERPROFILE%\AppData\Local\Temp\OnboardLogs"\RTDC4046\2016-12-15 --exclude "*" --recursive --include "*20161215*" &amp; "%USERPROFILE%\Documents\GitHub\mrs-test-scripts\Headless Mode &amp; Sideloading\WalkAndUnGZ.bat" "%USERPROFILE%\AppData\Local\Temp\OnboardLogs"\RTDC4046\2016-12-15</v>
      </c>
      <c r="AF73" s="88" t="str">
        <f t="shared" si="13"/>
        <v>"C:\Program Files (x86)\AstroGrep\AstroGrep.exe" /spath="%USERPROFILE%\AppData\Local\Temp\OnboardLogs" /stypes="app*4046*20161214*"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161-14 --locoid 4046 --swversion DE.1.0.8.0 --startMP 204:447 --initTime 2016-12-14T11:07:58 --startdatetime 2016-12-14T11:15:15 --delay 1 --endMP 204:233317 --enddatetime 2016-12-14T11:50:50 --enforcementcount 0 &gt;&gt;C:\Users\stu\Documents\GitHub\eaglep3-reporting\EC\2016-12-14-refined-times.txt</v>
      </c>
      <c r="AI73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{"issue":{"subject":"","project_id":79,"tracker_id":40,"status_id":1,"priority_id":2,"assigned_to_id":23,"start_date":"2016-12-14","description":"","custom_fields":[{"id":1,"name":"Subdivision","value":"EC"},{"id":4,"name":"Milepost","value":"23.3317"},{"id":17,"name":"Train ID","value":"161-14"},{"id":16,"name":"Locomotive ID","value":"4046"},{"id":130,"name":"Impact","value":""},{"id":150,"name":"Time of Event (Mountain Time)","value":"11:50:50"},{"id":151,"name":"Denver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552</v>
      </c>
      <c r="B74" s="7">
        <v>4045</v>
      </c>
      <c r="C74" s="22" t="s">
        <v>207</v>
      </c>
      <c r="D74" s="22" t="s">
        <v>331</v>
      </c>
      <c r="E74" s="13">
        <v>42718.496979166666</v>
      </c>
      <c r="F74" s="13">
        <v>42718.509212962963</v>
      </c>
      <c r="G74" s="7">
        <v>2</v>
      </c>
      <c r="H74" s="22" t="s">
        <v>402</v>
      </c>
      <c r="I74" s="13">
        <v>42718.536666666667</v>
      </c>
      <c r="J74" s="7">
        <v>0</v>
      </c>
      <c r="K74" s="109" t="str">
        <f t="shared" si="0"/>
        <v>4045/4046</v>
      </c>
      <c r="L74" s="22" t="str">
        <f>VLOOKUP(A74,'Trips&amp;Operators'!$C$1:$G$99999,5,FALSE)</f>
        <v>BARTLETT KIANDRA</v>
      </c>
      <c r="M74" s="6">
        <f t="shared" si="1"/>
        <v>2.7453703703940846E-2</v>
      </c>
      <c r="N74" s="7">
        <f t="shared" si="25"/>
        <v>39.533333333674818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10:55:39-700',mode:absolute,to:'2016-12-14 13:52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4" s="52" t="str">
        <f t="shared" si="6"/>
        <v>N</v>
      </c>
      <c r="X74" s="177">
        <f t="shared" si="24"/>
        <v>1</v>
      </c>
      <c r="Y74" s="67">
        <f t="shared" si="26"/>
        <v>23.299800000000001</v>
      </c>
      <c r="Z74" s="67">
        <f t="shared" si="27"/>
        <v>1.7600000000000001E-2</v>
      </c>
      <c r="AA74" s="67">
        <f t="shared" si="10"/>
        <v>23.2822</v>
      </c>
      <c r="AB74" s="64" t="e">
        <f>VLOOKUP(A74,Enforcements!$C$7:$K$19,8,0)</f>
        <v>#N/A</v>
      </c>
      <c r="AC74" s="60" t="e">
        <f>VLOOKUP(A74,Enforcements!$C$7:$E$19,3,0)</f>
        <v>#N/A</v>
      </c>
      <c r="AD74" s="61" t="str">
        <f t="shared" si="11"/>
        <v>0162-14</v>
      </c>
      <c r="AE74" s="91" t="str">
        <f t="shared" si="12"/>
        <v>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 &amp; aws s3 cp s3://rtdc.mdm.uploadarchive.raw/RTDC4045/ "%USERPROFILE%\AppData\Local\Temp\OnboardLogs"\RTDC4045\2016-12-15 --exclude "*" --recursive --include "*20161215*" &amp; "%USERPROFILE%\Documents\GitHub\mrs-test-scripts\Headless Mode &amp; Sideloading\WalkAndUnGZ.bat" "%USERPROFILE%\AppData\Local\Temp\OnboardLogs"\RTDC4045\2016-12-15</v>
      </c>
      <c r="AF74" s="88" t="str">
        <f t="shared" si="13"/>
        <v>"C:\Program Files (x86)\AstroGrep\AstroGrep.exe" /spath="%USERPROFILE%\AppData\Local\Temp\OnboardLogs" /stypes="app*4045*20161214*"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162-14 --locoid 4045 --swversion DE.1.0.8.0 --startMP 204:232998 --initTime 2016-12-14T11:55:39 --startdatetime 2016-12-14T12:13:16 --delay 2 --endMP 204:176 --enddatetime 2016-12-14T12:52:48 --enforcementcount 0 &gt;&gt;C:\Users\stu\Documents\GitHub\eaglep3-reporting\EC\2016-12-14-refined-times.txt</v>
      </c>
      <c r="AI74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{"issue":{"subject":"","project_id":79,"tracker_id":40,"status_id":1,"priority_id":2,"assigned_to_id":23,"start_date":"2016-12-14","description":"","custom_fields":[{"id":1,"name":"Subdivision","value":"EC"},{"id":4,"name":"Milepost","value":"0.0176"},{"id":17,"name":"Train ID","value":"162-14"},{"id":16,"name":"Locomotive ID","value":"4045"},{"id":130,"name":"Impact","value":""},{"id":150,"name":"Time of Event (Mountain Time)","value":"12:52:48"},{"id":151,"name":"Denver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544</v>
      </c>
      <c r="B75" s="7">
        <v>4044</v>
      </c>
      <c r="C75" s="22" t="s">
        <v>207</v>
      </c>
      <c r="D75" s="22" t="s">
        <v>716</v>
      </c>
      <c r="E75" s="13">
        <v>42718.480127314811</v>
      </c>
      <c r="F75" s="13">
        <v>42718.482048611113</v>
      </c>
      <c r="G75" s="7">
        <v>1</v>
      </c>
      <c r="H75" s="22" t="s">
        <v>326</v>
      </c>
      <c r="I75" s="13">
        <v>42718.506423611114</v>
      </c>
      <c r="J75" s="7">
        <v>0</v>
      </c>
      <c r="K75" s="109" t="str">
        <f t="shared" si="0"/>
        <v>4043/4044</v>
      </c>
      <c r="L75" s="22" t="str">
        <f>VLOOKUP(A75,'Trips&amp;Operators'!$C$1:$G$99999,5,FALSE)</f>
        <v>DUNCAN SHEILA</v>
      </c>
      <c r="M75" s="6">
        <f t="shared" si="1"/>
        <v>2.4375000000873115E-2</v>
      </c>
      <c r="N75" s="7">
        <f t="shared" si="25"/>
        <v>35.100000001257285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10:31:23-700',mode:absolute,to:'2016-12-14 13:09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5" s="52" t="str">
        <f t="shared" si="6"/>
        <v>N</v>
      </c>
      <c r="X75" s="177">
        <f t="shared" si="24"/>
        <v>1</v>
      </c>
      <c r="Y75" s="67">
        <f t="shared" si="26"/>
        <v>4.3999999999999997E-2</v>
      </c>
      <c r="Z75" s="67">
        <f t="shared" si="27"/>
        <v>23.329699999999999</v>
      </c>
      <c r="AA75" s="67">
        <f t="shared" si="10"/>
        <v>23.285699999999999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11"/>
        <v>0163-14</v>
      </c>
      <c r="AE75" s="91" t="str">
        <f t="shared" si="12"/>
        <v>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 &amp; aws s3 cp s3://rtdc.mdm.uploadarchive.raw/RTDC4044/ "%USERPROFILE%\AppData\Local\Temp\OnboardLogs"\RTDC4044\2016-12-15 --exclude "*" --recursive --include "*20161215*" &amp; "%USERPROFILE%\Documents\GitHub\mrs-test-scripts\Headless Mode &amp; Sideloading\WalkAndUnGZ.bat" "%USERPROFILE%\AppData\Local\Temp\OnboardLogs"\RTDC4044\2016-12-15</v>
      </c>
      <c r="AF75" s="88" t="str">
        <f t="shared" si="13"/>
        <v>"C:\Program Files (x86)\AstroGrep\AstroGrep.exe" /spath="%USERPROFILE%\AppData\Local\Temp\OnboardLogs" /stypes="app*4044*20161214*"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163-14 --locoid 4044 --swversion DE.1.0.8.0 --startMP 204:440 --initTime 2016-12-14T11:31:23 --startdatetime 2016-12-14T11:34:09 --delay 1 --endMP 204:233297 --enddatetime 2016-12-14T12:09:15 --enforcementcount 0 &gt;&gt;C:\Users\stu\Documents\GitHub\eaglep3-reporting\EC\2016-12-14-refined-times.txt</v>
      </c>
      <c r="AI75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{"issue":{"subject":"","project_id":79,"tracker_id":40,"status_id":1,"priority_id":2,"assigned_to_id":23,"start_date":"2016-12-14","description":"","custom_fields":[{"id":1,"name":"Subdivision","value":"EC"},{"id":4,"name":"Milepost","value":"23.3297"},{"id":17,"name":"Train ID","value":"163-14"},{"id":16,"name":"Locomotive ID","value":"4044"},{"id":130,"name":"Impact","value":""},{"id":150,"name":"Time of Event (Mountain Time)","value":"12:09:15"},{"id":151,"name":"Denver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558</v>
      </c>
      <c r="B76" s="7">
        <v>4043</v>
      </c>
      <c r="C76" s="22" t="s">
        <v>207</v>
      </c>
      <c r="D76" s="22" t="s">
        <v>717</v>
      </c>
      <c r="E76" s="13">
        <v>42718.513645833336</v>
      </c>
      <c r="F76" s="13">
        <v>42718.518368055556</v>
      </c>
      <c r="G76" s="7">
        <v>1</v>
      </c>
      <c r="H76" s="22" t="s">
        <v>311</v>
      </c>
      <c r="I76" s="13">
        <v>42718.545451388891</v>
      </c>
      <c r="J76" s="7">
        <v>0</v>
      </c>
      <c r="K76" s="109" t="str">
        <f t="shared" si="0"/>
        <v>4043/4044</v>
      </c>
      <c r="L76" s="22" t="str">
        <f>VLOOKUP(A76,'Trips&amp;Operators'!$C$1:$G$99999,5,FALSE)</f>
        <v>DUNCAN SHEILA</v>
      </c>
      <c r="M76" s="6">
        <f t="shared" si="1"/>
        <v>2.7083333334303461E-2</v>
      </c>
      <c r="N76" s="7">
        <f t="shared" si="25"/>
        <v>39.000000001396984</v>
      </c>
      <c r="O76" s="7"/>
      <c r="P76" s="7"/>
      <c r="Q76" s="23"/>
      <c r="R76" s="23"/>
      <c r="S76" s="35">
        <f t="shared" si="3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https://search-rtdc-monitor-bjffxe2xuh6vdkpspy63sjmuny.us-east-1.es.amazonaws.com/_plugin/kibana/#/discover/Steve-Slow-Train-Analysis-(2080s-and-2083s)?_g=(refreshInterval:(display:Off,section:0,value:0),time:(from:'2016-12-14 11:19:39-700',mode:absolute,to:'2016-12-14 14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6" s="52" t="str">
        <f t="shared" si="6"/>
        <v>N</v>
      </c>
      <c r="X76" s="177">
        <f t="shared" ref="X76:X107" si="28">VALUE(LEFT(AD76,4))-VALUE(LEFT(AD75,4))</f>
        <v>1</v>
      </c>
      <c r="Y76" s="67">
        <f t="shared" si="26"/>
        <v>23.2971</v>
      </c>
      <c r="Z76" s="67">
        <f t="shared" si="27"/>
        <v>1.5800000000000002E-2</v>
      </c>
      <c r="AA76" s="67">
        <f t="shared" si="10"/>
        <v>23.281300000000002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11"/>
        <v>0164-14</v>
      </c>
      <c r="AE76" s="91" t="str">
        <f t="shared" si="12"/>
        <v>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 &amp; aws s3 cp s3://rtdc.mdm.uploadarchive.raw/RTDC4043/ "%USERPROFILE%\AppData\Local\Temp\OnboardLogs"\RTDC4043\2016-12-15 --exclude "*" --recursive --include "*20161215*" &amp; "%USERPROFILE%\Documents\GitHub\mrs-test-scripts\Headless Mode &amp; Sideloading\WalkAndUnGZ.bat" "%USERPROFILE%\AppData\Local\Temp\OnboardLogs"\RTDC4043\2016-12-15</v>
      </c>
      <c r="AF76" s="88" t="str">
        <f t="shared" si="13"/>
        <v>"C:\Program Files (x86)\AstroGrep\AstroGrep.exe" /spath="%USERPROFILE%\AppData\Local\Temp\OnboardLogs" /stypes="app*4043*20161214*"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164-14 --locoid 4043 --swversion DE.1.0.8.0 --startMP 204:232971 --initTime 2016-12-14T12:19:39 --startdatetime 2016-12-14T12:26:27 --delay 1 --endMP 204:158 --enddatetime 2016-12-14T13:05:27 --enforcementcount 0 &gt;&gt;C:\Users\stu\Documents\GitHub\eaglep3-reporting\EC\2016-12-14-refined-times.txt</v>
      </c>
      <c r="AI76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{"issue":{"subject":"","project_id":79,"tracker_id":40,"status_id":1,"priority_id":2,"assigned_to_id":23,"start_date":"2016-12-14","description":"","custom_fields":[{"id":1,"name":"Subdivision","value":"EC"},{"id":4,"name":"Milepost","value":"0.0158"},{"id":17,"name":"Train ID","value":"164-14"},{"id":16,"name":"Locomotive ID","value":"4043"},{"id":130,"name":"Impact","value":""},{"id":150,"name":"Time of Event (Mountain Time)","value":"13:05:27"},{"id":151,"name":"Denver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437</v>
      </c>
      <c r="B77" s="7">
        <v>4016</v>
      </c>
      <c r="C77" s="22" t="s">
        <v>207</v>
      </c>
      <c r="D77" s="22" t="s">
        <v>698</v>
      </c>
      <c r="E77" s="13">
        <v>42718.490185185183</v>
      </c>
      <c r="F77" s="13">
        <v>42718.492638888885</v>
      </c>
      <c r="G77" s="7">
        <v>1</v>
      </c>
      <c r="H77" s="22" t="s">
        <v>718</v>
      </c>
      <c r="I77" s="13">
        <v>42718.51935185185</v>
      </c>
      <c r="J77" s="7">
        <v>0</v>
      </c>
      <c r="K77" s="109" t="str">
        <f t="shared" ref="K77:K140" si="29">IF(ISEVEN(B77),(B77-1)&amp;"/"&amp;B77,B77&amp;"/"&amp;(B77+1))</f>
        <v>4015/4016</v>
      </c>
      <c r="L77" s="22" t="str">
        <f>VLOOKUP(A77,'Trips&amp;Operators'!$C$1:$G$99999,5,FALSE)</f>
        <v>ADANE ELSHADAY</v>
      </c>
      <c r="M77" s="6">
        <f t="shared" ref="M77:M140" si="30">I77-F77</f>
        <v>2.6712962964666076E-2</v>
      </c>
      <c r="N77" s="7">
        <f t="shared" ref="N77:N108" si="31">24*60*SUM($M77:$M77)</f>
        <v>38.466666669119149</v>
      </c>
      <c r="O77" s="7"/>
      <c r="P77" s="7"/>
      <c r="Q77" s="23"/>
      <c r="R77" s="23"/>
      <c r="S77" s="35">
        <f t="shared" ref="S77:S140" si="32">SUM(U77:U77)/IF(AG77="EC",12,1)</f>
        <v>1</v>
      </c>
      <c r="T77" s="50" t="str">
        <f t="shared" ref="T77:T140" si="33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34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https://search-rtdc-monitor-bjffxe2xuh6vdkpspy63sjmuny.us-east-1.es.amazonaws.com/_plugin/kibana/#/discover/Steve-Slow-Train-Analysis-(2080s-and-2083s)?_g=(refreshInterval:(display:Off,section:0,value:0),time:(from:'2016-12-14 10:45:52-700',mode:absolute,to:'2016-12-14 13:27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7" s="52" t="str">
        <f t="shared" ref="W77:W140" si="35">IF(AA77&lt;IF(AG77="EC",23,5.65),"Y","N")</f>
        <v>N</v>
      </c>
      <c r="X77" s="177">
        <f t="shared" si="28"/>
        <v>1</v>
      </c>
      <c r="Y77" s="67">
        <f t="shared" si="26"/>
        <v>4.5699999999999998E-2</v>
      </c>
      <c r="Z77" s="67">
        <f t="shared" si="27"/>
        <v>23.3291</v>
      </c>
      <c r="AA77" s="67">
        <f t="shared" ref="AA77:AA140" si="36">ABS(Z77-Y77)</f>
        <v>23.2834</v>
      </c>
      <c r="AB77" s="64" t="e">
        <f>VLOOKUP(A77,Enforcements!$C$7:$K$19,8,0)</f>
        <v>#N/A</v>
      </c>
      <c r="AC77" s="60" t="e">
        <f>VLOOKUP(A77,Enforcements!$C$7:$E$19,3,0)</f>
        <v>#N/A</v>
      </c>
      <c r="AD77" s="61" t="str">
        <f t="shared" ref="AD77:AD140" si="37">IF(LEN(A77)=6,"0"&amp;A77,A77)</f>
        <v>0165-14</v>
      </c>
      <c r="AE77" s="91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 &amp; aws s3 cp s3://rtdc.mdm.uploadarchive.raw/RTDC4016/ "%USERPROFILE%\AppData\Local\Temp\OnboardLogs"\RTDC4016\2016-12-15 --exclude "*" --recursive --include "*20161215*" &amp; "%USERPROFILE%\Documents\GitHub\mrs-test-scripts\Headless Mode &amp; Sideloading\WalkAndUnGZ.bat" "%USERPROFILE%\AppData\Local\Temp\OnboardLogs"\RTDC4016\2016-12-15</v>
      </c>
      <c r="AF77" s="88" t="str">
        <f t="shared" ref="AF77:AF140" si="39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/stypes="app*4016*20161214*" /stext=" 19:.+((SYSTEM_STATE.+slice.+state.+changed )|(ment ac)|(multiple cpu faults)|(system.+state.+changed )|(\[timeout)|(PRM\|1\|D)|(kpr)|(kdp)|(\|lc)|(penalty))" /e /r /s</v>
      </c>
      <c r="AG77" s="1" t="str">
        <f t="shared" ref="AG77:AG140" si="40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165-14 --locoid 4016 --swversion DE.1.0.8.0 --startMP 204:457 --initTime 2016-12-14T11:45:52 --startdatetime 2016-12-14T11:49:24 --delay 1 --endMP 204:233291 --enddatetime 2016-12-14T12:27:52 --enforcementcount 0 &gt;&gt;C:\Users\stu\Documents\GitHub\eaglep3-reporting\EC\2016-12-14-refined-times.txt</v>
      </c>
      <c r="AI77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{"issue":{"subject":"","project_id":79,"tracker_id":40,"status_id":1,"priority_id":2,"assigned_to_id":23,"start_date":"2016-12-14","description":"","custom_fields":[{"id":1,"name":"Subdivision","value":"EC"},{"id":4,"name":"Milepost","value":"23.3291"},{"id":17,"name":"Train ID","value":"165-14"},{"id":16,"name":"Locomotive ID","value":"4016"},{"id":130,"name":"Impact","value":""},{"id":150,"name":"Time of Event (Mountain Time)","value":"12:27:52"},{"id":151,"name":"Denver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438</v>
      </c>
      <c r="B78" s="7">
        <v>4015</v>
      </c>
      <c r="C78" s="22" t="s">
        <v>207</v>
      </c>
      <c r="D78" s="22" t="s">
        <v>719</v>
      </c>
      <c r="E78" s="13">
        <v>42718.521944444445</v>
      </c>
      <c r="F78" s="13">
        <v>42718.528981481482</v>
      </c>
      <c r="G78" s="7">
        <v>1</v>
      </c>
      <c r="H78" s="22" t="s">
        <v>275</v>
      </c>
      <c r="I78" s="13">
        <v>42718.556516203702</v>
      </c>
      <c r="J78" s="7">
        <v>0</v>
      </c>
      <c r="K78" s="109" t="str">
        <f t="shared" si="29"/>
        <v>4015/4016</v>
      </c>
      <c r="L78" s="22" t="str">
        <f>VLOOKUP(A78,'Trips&amp;Operators'!$C$1:$G$99999,5,FALSE)</f>
        <v>ADANE ELSHADAY</v>
      </c>
      <c r="M78" s="6">
        <f t="shared" si="30"/>
        <v>2.753472221957054E-2</v>
      </c>
      <c r="N78" s="7">
        <f t="shared" si="31"/>
        <v>39.649999996181577</v>
      </c>
      <c r="O78" s="7"/>
      <c r="P78" s="7"/>
      <c r="Q78" s="23"/>
      <c r="R78" s="23"/>
      <c r="S78" s="35">
        <f t="shared" si="32"/>
        <v>1</v>
      </c>
      <c r="T78" s="50" t="str">
        <f t="shared" si="33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11:31:36-700',mode:absolute,to:'2016-12-14 14:21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8" s="52" t="str">
        <f t="shared" si="35"/>
        <v>N</v>
      </c>
      <c r="X78" s="177">
        <f t="shared" si="28"/>
        <v>1</v>
      </c>
      <c r="Y78" s="67">
        <f t="shared" si="26"/>
        <v>23.296600000000002</v>
      </c>
      <c r="Z78" s="67">
        <f t="shared" si="27"/>
        <v>1.52E-2</v>
      </c>
      <c r="AA78" s="67">
        <f t="shared" si="36"/>
        <v>23.281400000000001</v>
      </c>
      <c r="AB78" s="64" t="str">
        <f>VLOOKUP(A78,Enforcements!$C$7:$K$19,8,0)</f>
        <v>Bulletin (2)</v>
      </c>
      <c r="AC78" s="60" t="str">
        <f>VLOOKUP(A78,Enforcements!$C$7:$E$19,3,0)</f>
        <v>TEMPORARY SPEED RESTRICTION</v>
      </c>
      <c r="AD78" s="61" t="str">
        <f t="shared" si="37"/>
        <v>0166-14</v>
      </c>
      <c r="AE78" s="91" t="str">
        <f t="shared" si="38"/>
        <v>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 &amp; aws s3 cp s3://rtdc.mdm.uploadarchive.raw/RTDC4015/ "%USERPROFILE%\AppData\Local\Temp\OnboardLogs"\RTDC4015\2016-12-15 --exclude "*" --recursive --include "*20161215*" &amp; "%USERPROFILE%\Documents\GitHub\mrs-test-scripts\Headless Mode &amp; Sideloading\WalkAndUnGZ.bat" "%USERPROFILE%\AppData\Local\Temp\OnboardLogs"\RTDC4015\2016-12-15</v>
      </c>
      <c r="AF78" s="88" t="str">
        <f t="shared" si="39"/>
        <v>"C:\Program Files (x86)\AstroGrep\AstroGrep.exe" /spath="%USERPROFILE%\AppData\Local\Temp\OnboardLogs" /stypes="app*4015*20161214*" /stext=" 20:.+((SYSTEM_STATE.+slice.+state.+changed )|(ment ac)|(multiple cpu faults)|(system.+state.+changed )|(\[timeout)|(PRM\|1\|D)|(kpr)|(kdp)|(\|lc)|(penalty))" /e /r /s</v>
      </c>
      <c r="AG78" s="1" t="str">
        <f t="shared" si="40"/>
        <v>EC</v>
      </c>
      <c r="AH78" s="92" t="str">
        <f t="shared" si="17"/>
        <v>"%USERPROFILE%\Documents\GitHub\eaglep3\Utilities\RefineRTDCRunTimes.py" --tripid 166-14 --locoid 4015 --swversion DE.1.0.8.0 --startMP 204:232966 --initTime 2016-12-14T12:31:36 --startdatetime 2016-12-14T12:41:44 --delay 1 --endMP 204:152 --enddatetime 2016-12-14T13:21:23 --enforcementcount 0 &gt;&gt;C:\Users\stu\Documents\GitHub\eaglep3-reporting\EC\2016-12-14-refined-times.txt</v>
      </c>
      <c r="AI78" s="119" t="str">
        <f t="shared" si="18"/>
        <v>echo {"issue":{"subject":"","project_id":79,"tracker_id":40,"status_id":1,"priority_id":2,"assigned_to_id":23,"start_date":"2016-12-14","description":"","custom_fields":[{"id":1,"name":"Subdivision","value":"EC"},{"id":4,"name":"Milepost","value":"0.0152"},{"id":17,"name":"Train ID","value":"166-14"},{"id":16,"name":"Locomotive ID","value":"4015"},{"id":130,"name":"Impact","value":""},{"id":150,"name":"Time of Event (Mountain Time)","value":"13:21:23"},{"id":151,"name":"Denver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551</v>
      </c>
      <c r="B79" s="7">
        <v>4040</v>
      </c>
      <c r="C79" s="22" t="s">
        <v>207</v>
      </c>
      <c r="D79" s="22" t="s">
        <v>235</v>
      </c>
      <c r="E79" s="13">
        <v>42718.496712962966</v>
      </c>
      <c r="F79" s="13">
        <v>42718.500185185185</v>
      </c>
      <c r="G79" s="7">
        <v>1</v>
      </c>
      <c r="H79" s="22" t="s">
        <v>720</v>
      </c>
      <c r="I79" s="13">
        <v>42718.526400462964</v>
      </c>
      <c r="J79" s="7">
        <v>0</v>
      </c>
      <c r="K79" s="109" t="str">
        <f t="shared" si="29"/>
        <v>4039/4040</v>
      </c>
      <c r="L79" s="22" t="str">
        <f>VLOOKUP(A79,'Trips&amp;Operators'!$C$1:$G$99999,5,FALSE)</f>
        <v>YOUNG ELIZABETH</v>
      </c>
      <c r="M79" s="6">
        <f t="shared" si="30"/>
        <v>2.6215277779556345E-2</v>
      </c>
      <c r="N79" s="7">
        <f t="shared" si="31"/>
        <v>37.750000002561137</v>
      </c>
      <c r="O79" s="7"/>
      <c r="P79" s="7"/>
      <c r="Q79" s="23"/>
      <c r="R79" s="23"/>
      <c r="S79" s="35">
        <f t="shared" si="32"/>
        <v>1</v>
      </c>
      <c r="T79" s="50" t="str">
        <f t="shared" si="33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10:55:16-700',mode:absolute,to:'2016-12-14 13:38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9" s="52" t="str">
        <f t="shared" si="35"/>
        <v>N</v>
      </c>
      <c r="X79" s="177">
        <f t="shared" si="28"/>
        <v>1</v>
      </c>
      <c r="Y79" s="67">
        <f t="shared" si="26"/>
        <v>4.5999999999999999E-2</v>
      </c>
      <c r="Z79" s="67">
        <f t="shared" si="27"/>
        <v>23.328800000000001</v>
      </c>
      <c r="AA79" s="67">
        <f t="shared" si="36"/>
        <v>23.282800000000002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si="37"/>
        <v>0167-14</v>
      </c>
      <c r="AE79" s="91" t="str">
        <f t="shared" si="38"/>
        <v>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 &amp; aws s3 cp s3://rtdc.mdm.uploadarchive.raw/RTDC4040/ "%USERPROFILE%\AppData\Local\Temp\OnboardLogs"\RTDC4040\2016-12-15 --exclude "*" --recursive --include "*20161215*" &amp; "%USERPROFILE%\Documents\GitHub\mrs-test-scripts\Headless Mode &amp; Sideloading\WalkAndUnGZ.bat" "%USERPROFILE%\AppData\Local\Temp\OnboardLogs"\RTDC4040\2016-12-15</v>
      </c>
      <c r="AF79" s="88" t="str">
        <f t="shared" si="39"/>
        <v>"C:\Program Files (x86)\AstroGrep\AstroGrep.exe" /spath="%USERPROFILE%\AppData\Local\Temp\OnboardLogs" /stypes="app*4040*20161214*" /stext=" 19:.+((SYSTEM_STATE.+slice.+state.+changed )|(ment ac)|(multiple cpu faults)|(system.+state.+changed )|(\[timeout)|(PRM\|1\|D)|(kpr)|(kdp)|(\|lc)|(penalty))" /e /r /s</v>
      </c>
      <c r="AG79" s="1" t="str">
        <f t="shared" si="40"/>
        <v>EC</v>
      </c>
      <c r="AH79" s="92" t="str">
        <f t="shared" ref="AH79:AH142" si="41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167-14 --locoid 4040 --swversion DE.1.0.8.0 --startMP 204:460 --initTime 2016-12-14T11:55:16 --startdatetime 2016-12-14T12:00:16 --delay 1 --endMP 204:233288 --enddatetime 2016-12-14T12:38:01 --enforcementcount 0 &gt;&gt;C:\Users\stu\Documents\GitHub\eaglep3-reporting\EC\2016-12-14-refined-times.txt</v>
      </c>
      <c r="AI79" s="119" t="str">
        <f t="shared" ref="AI79:AI142" si="42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{"issue":{"subject":"","project_id":79,"tracker_id":40,"status_id":1,"priority_id":2,"assigned_to_id":23,"start_date":"2016-12-14","description":"","custom_fields":[{"id":1,"name":"Subdivision","value":"EC"},{"id":4,"name":"Milepost","value":"23.3288"},{"id":17,"name":"Train ID","value":"167-14"},{"id":16,"name":"Locomotive ID","value":"4040"},{"id":130,"name":"Impact","value":""},{"id":150,"name":"Time of Event (Mountain Time)","value":"12:38:01"},{"id":151,"name":"Denver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564</v>
      </c>
      <c r="B80" s="7">
        <v>4039</v>
      </c>
      <c r="C80" s="22" t="s">
        <v>207</v>
      </c>
      <c r="D80" s="22" t="s">
        <v>298</v>
      </c>
      <c r="E80" s="13">
        <v>42718.530034722222</v>
      </c>
      <c r="F80" s="13">
        <v>42718.539155092592</v>
      </c>
      <c r="G80" s="7">
        <v>3</v>
      </c>
      <c r="H80" s="22" t="s">
        <v>721</v>
      </c>
      <c r="I80" s="13">
        <v>42718.567696759259</v>
      </c>
      <c r="J80" s="7">
        <v>0</v>
      </c>
      <c r="K80" s="109" t="str">
        <f t="shared" si="29"/>
        <v>4039/4040</v>
      </c>
      <c r="L80" s="22" t="str">
        <f>VLOOKUP(A80,'Trips&amp;Operators'!$C$1:$G$99999,5,FALSE)</f>
        <v>YOUNG ELIZABETH</v>
      </c>
      <c r="M80" s="6">
        <f t="shared" si="30"/>
        <v>2.8541666666569654E-2</v>
      </c>
      <c r="N80" s="7">
        <f t="shared" si="31"/>
        <v>41.099999999860302</v>
      </c>
      <c r="O80" s="7"/>
      <c r="P80" s="7"/>
      <c r="Q80" s="23"/>
      <c r="R80" s="23"/>
      <c r="S80" s="35">
        <f t="shared" si="32"/>
        <v>1</v>
      </c>
      <c r="T80" s="50" t="str">
        <f t="shared" si="33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11:43:15-700',mode:absolute,to:'2016-12-14 14:37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0" s="52" t="str">
        <f t="shared" si="35"/>
        <v>N</v>
      </c>
      <c r="X80" s="177">
        <f t="shared" si="28"/>
        <v>1</v>
      </c>
      <c r="Y80" s="67">
        <f t="shared" si="26"/>
        <v>23.297699999999999</v>
      </c>
      <c r="Z80" s="67">
        <f t="shared" si="27"/>
        <v>2.12E-2</v>
      </c>
      <c r="AA80" s="67">
        <f t="shared" si="36"/>
        <v>23.276499999999999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37"/>
        <v>0168-14</v>
      </c>
      <c r="AE80" s="91" t="str">
        <f t="shared" si="38"/>
        <v>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 &amp; aws s3 cp s3://rtdc.mdm.uploadarchive.raw/RTDC4039/ "%USERPROFILE%\AppData\Local\Temp\OnboardLogs"\RTDC4039\2016-12-15 --exclude "*" --recursive --include "*20161215*" &amp; "%USERPROFILE%\Documents\GitHub\mrs-test-scripts\Headless Mode &amp; Sideloading\WalkAndUnGZ.bat" "%USERPROFILE%\AppData\Local\Temp\OnboardLogs"\RTDC4039\2016-12-15</v>
      </c>
      <c r="AF80" s="88" t="str">
        <f t="shared" si="39"/>
        <v>"C:\Program Files (x86)\AstroGrep\AstroGrep.exe" /spath="%USERPROFILE%\AppData\Local\Temp\OnboardLogs" /stypes="app*4039*20161214*" /stext=" 20:.+((SYSTEM_STATE.+slice.+state.+changed )|(ment ac)|(multiple cpu faults)|(system.+state.+changed )|(\[timeout)|(PRM\|1\|D)|(kpr)|(kdp)|(\|lc)|(penalty))" /e /r /s</v>
      </c>
      <c r="AG80" s="1" t="str">
        <f t="shared" si="40"/>
        <v>EC</v>
      </c>
      <c r="AH80" s="92" t="str">
        <f t="shared" si="41"/>
        <v>"%USERPROFILE%\Documents\GitHub\eaglep3\Utilities\RefineRTDCRunTimes.py" --tripid 168-14 --locoid 4039 --swversion DE.1.0.8.0 --startMP 204:232977 --initTime 2016-12-14T12:43:15 --startdatetime 2016-12-14T12:56:23 --delay 3 --endMP 204:212 --enddatetime 2016-12-14T13:37:29 --enforcementcount 0 &gt;&gt;C:\Users\stu\Documents\GitHub\eaglep3-reporting\EC\2016-12-14-refined-times.txt</v>
      </c>
      <c r="AI80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{"issue":{"subject":"","project_id":79,"tracker_id":40,"status_id":1,"priority_id":2,"assigned_to_id":23,"start_date":"2016-12-14","description":"","custom_fields":[{"id":1,"name":"Subdivision","value":"EC"},{"id":4,"name":"Milepost","value":"0.0212"},{"id":17,"name":"Train ID","value":"168-14"},{"id":16,"name":"Locomotive ID","value":"4039"},{"id":130,"name":"Impact","value":""},{"id":150,"name":"Time of Event (Mountain Time)","value":"13:37:29"},{"id":151,"name":"Denver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555</v>
      </c>
      <c r="B81" s="7">
        <v>4031</v>
      </c>
      <c r="C81" s="22" t="s">
        <v>207</v>
      </c>
      <c r="D81" s="22" t="s">
        <v>232</v>
      </c>
      <c r="E81" s="13">
        <v>42718.507662037038</v>
      </c>
      <c r="F81" s="13">
        <v>42718.510613425926</v>
      </c>
      <c r="G81" s="7">
        <v>2</v>
      </c>
      <c r="H81" s="22" t="s">
        <v>302</v>
      </c>
      <c r="I81" s="13">
        <v>42718.535590277781</v>
      </c>
      <c r="J81" s="7">
        <v>0</v>
      </c>
      <c r="K81" s="109" t="str">
        <f t="shared" si="29"/>
        <v>4031/4032</v>
      </c>
      <c r="L81" s="22" t="str">
        <f>VLOOKUP(A81,'Trips&amp;Operators'!$C$1:$G$99999,5,FALSE)</f>
        <v>MAGEE KENYA</v>
      </c>
      <c r="M81" s="6">
        <f t="shared" si="30"/>
        <v>2.4976851855171844E-2</v>
      </c>
      <c r="N81" s="7">
        <f t="shared" si="31"/>
        <v>35.966666671447456</v>
      </c>
      <c r="O81" s="7"/>
      <c r="P81" s="7"/>
      <c r="Q81" s="23"/>
      <c r="R81" s="23"/>
      <c r="S81" s="35">
        <f t="shared" si="32"/>
        <v>1</v>
      </c>
      <c r="T81" s="50" t="str">
        <f t="shared" si="33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11:11:02-700',mode:absolute,to:'2016-12-14 13:51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1" s="52" t="str">
        <f t="shared" si="35"/>
        <v>N</v>
      </c>
      <c r="X81" s="177">
        <f t="shared" si="28"/>
        <v>1</v>
      </c>
      <c r="Y81" s="67">
        <f t="shared" si="26"/>
        <v>4.5499999999999999E-2</v>
      </c>
      <c r="Z81" s="67">
        <f t="shared" si="27"/>
        <v>23.330200000000001</v>
      </c>
      <c r="AA81" s="67">
        <f t="shared" si="36"/>
        <v>23.284700000000001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37"/>
        <v>0169-14</v>
      </c>
      <c r="AE81" s="91" t="str">
        <f t="shared" si="38"/>
        <v>aws s3 cp s3://rtdc.mdm.uploadarchive.raw/RTDC4031/ "%USERPROFILE%\AppData\Local\Temp\OnboardLogs"\RTDC4031\2016-12-14 --exclude "*" --recursive --include "*20161214*" &amp; "%USERPROFILE%\Documents\GitHub\mrs-test-scripts\Headless Mode &amp; Sideloading\WalkAndUnGZ.bat" "%USERPROFILE%\AppData\Local\Temp\OnboardLogs"\RTDC4031\2016-12-14 &amp; aws s3 cp s3://rtdc.mdm.uploadarchive.raw/RTDC4031/ "%USERPROFILE%\AppData\Local\Temp\OnboardLogs"\RTDC4031\2016-12-15 --exclude "*" --recursive --include "*20161215*" &amp; "%USERPROFILE%\Documents\GitHub\mrs-test-scripts\Headless Mode &amp; Sideloading\WalkAndUnGZ.bat" "%USERPROFILE%\AppData\Local\Temp\OnboardLogs"\RTDC4031\2016-12-15</v>
      </c>
      <c r="AF81" s="88" t="str">
        <f t="shared" si="39"/>
        <v>"C:\Program Files (x86)\AstroGrep\AstroGrep.exe" /spath="%USERPROFILE%\AppData\Local\Temp\OnboardLogs" /stypes="app*4031*20161214*" /stext=" 19:.+((SYSTEM_STATE.+slice.+state.+changed )|(ment ac)|(multiple cpu faults)|(system.+state.+changed )|(\[timeout)|(PRM\|1\|D)|(kpr)|(kdp)|(\|lc)|(penalty))" /e /r /s</v>
      </c>
      <c r="AG81" s="1" t="str">
        <f t="shared" si="40"/>
        <v>EC</v>
      </c>
      <c r="AH81" s="92" t="str">
        <f t="shared" si="41"/>
        <v>"%USERPROFILE%\Documents\GitHub\eaglep3\Utilities\RefineRTDCRunTimes.py" --tripid 169-14 --locoid 4031 --swversion DE.1.0.8.0 --startMP 204:455 --initTime 2016-12-14T12:11:02 --startdatetime 2016-12-14T12:15:17 --delay 2 --endMP 204:233302 --enddatetime 2016-12-14T12:51:15 --enforcementcount 0 &gt;&gt;C:\Users\stu\Documents\GitHub\eaglep3-reporting\EC\2016-12-14-refined-times.txt</v>
      </c>
      <c r="AI81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{"issue":{"subject":"","project_id":79,"tracker_id":40,"status_id":1,"priority_id":2,"assigned_to_id":23,"start_date":"2016-12-14","description":"","custom_fields":[{"id":1,"name":"Subdivision","value":"EC"},{"id":4,"name":"Milepost","value":"23.3302"},{"id":17,"name":"Train ID","value":"169-14"},{"id":16,"name":"Locomotive ID","value":"4031"},{"id":130,"name":"Impact","value":""},{"id":150,"name":"Time of Event (Mountain Time)","value":"12:51:15"},{"id":151,"name":"Denver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566</v>
      </c>
      <c r="B82" s="7">
        <v>4032</v>
      </c>
      <c r="C82" s="22" t="s">
        <v>207</v>
      </c>
      <c r="D82" s="22" t="s">
        <v>295</v>
      </c>
      <c r="E82" s="13">
        <v>42718.544756944444</v>
      </c>
      <c r="F82" s="13">
        <v>42718.549490740741</v>
      </c>
      <c r="G82" s="7">
        <v>2</v>
      </c>
      <c r="H82" s="22" t="s">
        <v>722</v>
      </c>
      <c r="I82" s="13">
        <v>42718.57849537037</v>
      </c>
      <c r="J82" s="7">
        <v>0</v>
      </c>
      <c r="K82" s="109" t="str">
        <f t="shared" si="29"/>
        <v>4031/4032</v>
      </c>
      <c r="L82" s="22" t="str">
        <f>VLOOKUP(A82,'Trips&amp;Operators'!$C$1:$G$99999,5,FALSE)</f>
        <v>MAGEE KENYA</v>
      </c>
      <c r="M82" s="6">
        <f t="shared" si="30"/>
        <v>2.9004629628616385E-2</v>
      </c>
      <c r="N82" s="7">
        <f t="shared" si="31"/>
        <v>41.766666665207595</v>
      </c>
      <c r="O82" s="7"/>
      <c r="P82" s="7"/>
      <c r="Q82" s="23"/>
      <c r="R82" s="23" t="s">
        <v>970</v>
      </c>
      <c r="S82" s="35">
        <f t="shared" si="32"/>
        <v>1</v>
      </c>
      <c r="T82" s="50" t="str">
        <f t="shared" si="33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12:04:27-700',mode:absolute,to:'2016-12-14 14:53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2" s="52" t="str">
        <f t="shared" si="35"/>
        <v>N</v>
      </c>
      <c r="X82" s="177">
        <f t="shared" si="28"/>
        <v>1</v>
      </c>
      <c r="Y82" s="67">
        <f t="shared" si="26"/>
        <v>23.298300000000001</v>
      </c>
      <c r="Z82" s="67">
        <f t="shared" si="27"/>
        <v>0.03</v>
      </c>
      <c r="AA82" s="67">
        <f t="shared" si="36"/>
        <v>23.2683</v>
      </c>
      <c r="AB82" s="64" t="e">
        <f>VLOOKUP(A82,Enforcements!$C$7:$K$19,8,0)</f>
        <v>#N/A</v>
      </c>
      <c r="AC82" s="60" t="e">
        <f>VLOOKUP(A82,Enforcements!$C$7:$E$19,3,0)</f>
        <v>#N/A</v>
      </c>
      <c r="AD82" s="61" t="str">
        <f t="shared" si="37"/>
        <v>0170-14</v>
      </c>
      <c r="AE82" s="91" t="str">
        <f t="shared" si="38"/>
        <v>aws s3 cp s3://rtdc.mdm.uploadarchive.raw/RTDC4032/ "%USERPROFILE%\AppData\Local\Temp\OnboardLogs"\RTDC4032\2016-12-14 --exclude "*" --recursive --include "*20161214*" &amp; "%USERPROFILE%\Documents\GitHub\mrs-test-scripts\Headless Mode &amp; Sideloading\WalkAndUnGZ.bat" "%USERPROFILE%\AppData\Local\Temp\OnboardLogs"\RTDC4032\2016-12-14 &amp; aws s3 cp s3://rtdc.mdm.uploadarchive.raw/RTDC4032/ "%USERPROFILE%\AppData\Local\Temp\OnboardLogs"\RTDC4032\2016-12-15 --exclude "*" --recursive --include "*20161215*" &amp; "%USERPROFILE%\Documents\GitHub\mrs-test-scripts\Headless Mode &amp; Sideloading\WalkAndUnGZ.bat" "%USERPROFILE%\AppData\Local\Temp\OnboardLogs"\RTDC4032\2016-12-15</v>
      </c>
      <c r="AF82" s="88" t="str">
        <f t="shared" si="39"/>
        <v>"C:\Program Files (x86)\AstroGrep\AstroGrep.exe" /spath="%USERPROFILE%\AppData\Local\Temp\OnboardLogs" /stypes="app*4032*20161214*" /stext=" 20:.+((SYSTEM_STATE.+slice.+state.+changed )|(ment ac)|(multiple cpu faults)|(system.+state.+changed )|(\[timeout)|(PRM\|1\|D)|(kpr)|(kdp)|(\|lc)|(penalty))" /e /r /s</v>
      </c>
      <c r="AG82" s="1" t="str">
        <f t="shared" si="40"/>
        <v>EC</v>
      </c>
      <c r="AH82" s="92" t="str">
        <f t="shared" si="41"/>
        <v>"%USERPROFILE%\Documents\GitHub\eaglep3\Utilities\RefineRTDCRunTimes.py" --tripid 170-14 --locoid 4032 --swversion DE.1.0.8.0 --startMP 204:232983 --initTime 2016-12-14T13:04:27 --startdatetime 2016-12-14T13:11:16 --delay 2 --endMP 204:300 --enddatetime 2016-12-14T13:53:02 --enforcementcount 0 &gt;&gt;C:\Users\stu\Documents\GitHub\eaglep3-reporting\EC\2016-12-14-refined-times.txt</v>
      </c>
      <c r="AI82" s="119" t="str">
        <f t="shared" si="42"/>
        <v>echo {"issue":{"subject":"Wi-MAX data drop, did not result in enforcement or cut out","project_id":79,"tracker_id":40,"status_id":1,"priority_id":2,"assigned_to_id":23,"start_date":"2016-12-14","description":"http://stevetu21.github.io/eaglep3/load_kml.html?kml=http://rtdc.gmaps-snips.s3.amazonaws.com/15d3d6ab-3490-4f49-8b27-ac0146580167.kml","custom_fields":[{"id":1,"name":"Subdivision","value":"EC"},{"id":4,"name":"Milepost","value":"0.03"},{"id":17,"name":"Train ID","value":"170-14"},{"id":16,"name":"Locomotive ID","value":"4032"},{"id":130,"name":"Impact","value":"Others"},{"id":150,"name":"Time of Event (Mountain Time)","value":"13:53:02"},{"id":151,"name":"Denver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82" s="184" t="s">
        <v>971</v>
      </c>
      <c r="AK82" s="53" t="s">
        <v>137</v>
      </c>
      <c r="AL82" s="53" t="s">
        <v>138</v>
      </c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559</v>
      </c>
      <c r="B83" s="7">
        <v>4014</v>
      </c>
      <c r="C83" s="22" t="s">
        <v>207</v>
      </c>
      <c r="D83" s="22" t="s">
        <v>232</v>
      </c>
      <c r="E83" s="13">
        <v>42718.51934027778</v>
      </c>
      <c r="F83" s="13">
        <v>42718.521180555559</v>
      </c>
      <c r="G83" s="7">
        <v>2</v>
      </c>
      <c r="H83" s="22" t="s">
        <v>723</v>
      </c>
      <c r="I83" s="13">
        <v>42718.5465625</v>
      </c>
      <c r="J83" s="7">
        <v>0</v>
      </c>
      <c r="K83" s="109" t="str">
        <f t="shared" si="29"/>
        <v>4013/4014</v>
      </c>
      <c r="L83" s="22" t="str">
        <f>VLOOKUP(A83,'Trips&amp;Operators'!$C$1:$G$99999,5,FALSE)</f>
        <v>YANG JAN</v>
      </c>
      <c r="M83" s="6">
        <f t="shared" si="30"/>
        <v>2.5381944440596271E-2</v>
      </c>
      <c r="N83" s="7">
        <f t="shared" si="31"/>
        <v>36.549999994458631</v>
      </c>
      <c r="O83" s="7"/>
      <c r="P83" s="7"/>
      <c r="Q83" s="23"/>
      <c r="R83" s="23"/>
      <c r="S83" s="35">
        <f t="shared" si="32"/>
        <v>1</v>
      </c>
      <c r="T83" s="50" t="str">
        <f t="shared" si="33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11:27:51-700',mode:absolute,to:'2016-12-14 14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3" s="52" t="str">
        <f t="shared" si="35"/>
        <v>N</v>
      </c>
      <c r="X83" s="177">
        <f t="shared" si="28"/>
        <v>1</v>
      </c>
      <c r="Y83" s="67">
        <f t="shared" si="26"/>
        <v>4.5499999999999999E-2</v>
      </c>
      <c r="Z83" s="67">
        <f t="shared" si="27"/>
        <v>23.3264</v>
      </c>
      <c r="AA83" s="67">
        <f t="shared" si="36"/>
        <v>23.280899999999999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37"/>
        <v>0171-14</v>
      </c>
      <c r="AE83" s="91" t="str">
        <f t="shared" si="38"/>
        <v>aws s3 cp s3://rtdc.mdm.uploadarchive.raw/RTDC4014/ "%USERPROFILE%\AppData\Local\Temp\OnboardLogs"\RTDC4014\2016-12-14 --exclude "*" --recursive --include "*20161214*" &amp; "%USERPROFILE%\Documents\GitHub\mrs-test-scripts\Headless Mode &amp; Sideloading\WalkAndUnGZ.bat" "%USERPROFILE%\AppData\Local\Temp\OnboardLogs"\RTDC4014\2016-12-14 &amp; aws s3 cp s3://rtdc.mdm.uploadarchive.raw/RTDC4014/ "%USERPROFILE%\AppData\Local\Temp\OnboardLogs"\RTDC4014\2016-12-15 --exclude "*" --recursive --include "*20161215*" &amp; "%USERPROFILE%\Documents\GitHub\mrs-test-scripts\Headless Mode &amp; Sideloading\WalkAndUnGZ.bat" "%USERPROFILE%\AppData\Local\Temp\OnboardLogs"\RTDC4014\2016-12-15</v>
      </c>
      <c r="AF83" s="88" t="str">
        <f t="shared" si="39"/>
        <v>"C:\Program Files (x86)\AstroGrep\AstroGrep.exe" /spath="%USERPROFILE%\AppData\Local\Temp\OnboardLogs" /stypes="app*4014*20161214*" /stext=" 20:.+((SYSTEM_STATE.+slice.+state.+changed )|(ment ac)|(multiple cpu faults)|(system.+state.+changed )|(\[timeout)|(PRM\|1\|D)|(kpr)|(kdp)|(\|lc)|(penalty))" /e /r /s</v>
      </c>
      <c r="AG83" s="1" t="str">
        <f t="shared" si="40"/>
        <v>EC</v>
      </c>
      <c r="AH83" s="92" t="str">
        <f t="shared" si="41"/>
        <v>"%USERPROFILE%\Documents\GitHub\eaglep3\Utilities\RefineRTDCRunTimes.py" --tripid 171-14 --locoid 4014 --swversion DE.1.0.8.0 --startMP 204:455 --initTime 2016-12-14T12:27:51 --startdatetime 2016-12-14T12:30:30 --delay 2 --endMP 204:233264 --enddatetime 2016-12-14T13:07:03 --enforcementcount 0 &gt;&gt;C:\Users\stu\Documents\GitHub\eaglep3-reporting\EC\2016-12-14-refined-times.txt</v>
      </c>
      <c r="AI83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{"issue":{"subject":"","project_id":79,"tracker_id":40,"status_id":1,"priority_id":2,"assigned_to_id":23,"start_date":"2016-12-14","description":"","custom_fields":[{"id":1,"name":"Subdivision","value":"EC"},{"id":4,"name":"Milepost","value":"23.3264"},{"id":17,"name":"Train ID","value":"171-14"},{"id":16,"name":"Locomotive ID","value":"4014"},{"id":130,"name":"Impact","value":""},{"id":150,"name":"Time of Event (Mountain Time)","value":"13:07:03"},{"id":151,"name":"Denver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571</v>
      </c>
      <c r="B84" s="7">
        <v>4013</v>
      </c>
      <c r="C84" s="22" t="s">
        <v>207</v>
      </c>
      <c r="D84" s="22" t="s">
        <v>696</v>
      </c>
      <c r="E84" s="13">
        <v>42718.555497685185</v>
      </c>
      <c r="F84" s="13">
        <v>42718.560173611113</v>
      </c>
      <c r="G84" s="7">
        <v>2</v>
      </c>
      <c r="H84" s="22" t="s">
        <v>205</v>
      </c>
      <c r="I84" s="13">
        <v>42718.589479166665</v>
      </c>
      <c r="J84" s="7">
        <v>0</v>
      </c>
      <c r="K84" s="109" t="str">
        <f t="shared" si="29"/>
        <v>4013/4014</v>
      </c>
      <c r="L84" s="22" t="str">
        <f>VLOOKUP(A84,'Trips&amp;Operators'!$C$1:$G$99999,5,FALSE)</f>
        <v>YANG JAN</v>
      </c>
      <c r="M84" s="6">
        <f t="shared" si="30"/>
        <v>2.9305555552127771E-2</v>
      </c>
      <c r="N84" s="7">
        <f t="shared" si="31"/>
        <v>42.19999999506399</v>
      </c>
      <c r="O84" s="7"/>
      <c r="P84" s="7"/>
      <c r="Q84" s="23"/>
      <c r="R84" s="23"/>
      <c r="S84" s="35">
        <f t="shared" si="32"/>
        <v>1</v>
      </c>
      <c r="T84" s="50" t="str">
        <f t="shared" si="33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12:19:55-700',mode:absolute,to:'2016-12-14 15:08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4" s="52" t="str">
        <f t="shared" si="35"/>
        <v>N</v>
      </c>
      <c r="X84" s="177">
        <f t="shared" si="28"/>
        <v>1</v>
      </c>
      <c r="Y84" s="67">
        <f t="shared" si="26"/>
        <v>23.296700000000001</v>
      </c>
      <c r="Z84" s="67">
        <f t="shared" si="27"/>
        <v>1.5599999999999999E-2</v>
      </c>
      <c r="AA84" s="67">
        <f t="shared" si="36"/>
        <v>23.281100000000002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37"/>
        <v>0172-14</v>
      </c>
      <c r="AE84" s="91" t="str">
        <f t="shared" si="38"/>
        <v>aws s3 cp s3://rtdc.mdm.uploadarchive.raw/RTDC4013/ "%USERPROFILE%\AppData\Local\Temp\OnboardLogs"\RTDC4013\2016-12-14 --exclude "*" --recursive --include "*20161214*" &amp; "%USERPROFILE%\Documents\GitHub\mrs-test-scripts\Headless Mode &amp; Sideloading\WalkAndUnGZ.bat" "%USERPROFILE%\AppData\Local\Temp\OnboardLogs"\RTDC4013\2016-12-14 &amp; aws s3 cp s3://rtdc.mdm.uploadarchive.raw/RTDC4013/ "%USERPROFILE%\AppData\Local\Temp\OnboardLogs"\RTDC4013\2016-12-15 --exclude "*" --recursive --include "*20161215*" &amp; "%USERPROFILE%\Documents\GitHub\mrs-test-scripts\Headless Mode &amp; Sideloading\WalkAndUnGZ.bat" "%USERPROFILE%\AppData\Local\Temp\OnboardLogs"\RTDC4013\2016-12-15</v>
      </c>
      <c r="AF84" s="88" t="str">
        <f t="shared" si="39"/>
        <v>"C:\Program Files (x86)\AstroGrep\AstroGrep.exe" /spath="%USERPROFILE%\AppData\Local\Temp\OnboardLogs" /stypes="app*4013*20161214*" /stext=" 21:.+((SYSTEM_STATE.+slice.+state.+changed )|(ment ac)|(multiple cpu faults)|(system.+state.+changed )|(\[timeout)|(PRM\|1\|D)|(kpr)|(kdp)|(\|lc)|(penalty))" /e /r /s</v>
      </c>
      <c r="AG84" s="1" t="str">
        <f t="shared" si="40"/>
        <v>EC</v>
      </c>
      <c r="AH84" s="92" t="str">
        <f t="shared" si="41"/>
        <v>"%USERPROFILE%\Documents\GitHub\eaglep3\Utilities\RefineRTDCRunTimes.py" --tripid 172-14 --locoid 4013 --swversion DE.1.0.8.0 --startMP 204:232967 --initTime 2016-12-14T13:19:55 --startdatetime 2016-12-14T13:26:39 --delay 2 --endMP 204:156 --enddatetime 2016-12-14T14:08:51 --enforcementcount 0 &gt;&gt;C:\Users\stu\Documents\GitHub\eaglep3-reporting\EC\2016-12-14-refined-times.txt</v>
      </c>
      <c r="AI84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{"issue":{"subject":"","project_id":79,"tracker_id":40,"status_id":1,"priority_id":2,"assigned_to_id":23,"start_date":"2016-12-14","description":"","custom_fields":[{"id":1,"name":"Subdivision","value":"EC"},{"id":4,"name":"Milepost","value":"0.0156"},{"id":17,"name":"Train ID","value":"172-14"},{"id":16,"name":"Locomotive ID","value":"4013"},{"id":130,"name":"Impact","value":""},{"id":150,"name":"Time of Event (Mountain Time)","value":"14:08:51"},{"id":151,"name":"Denver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563</v>
      </c>
      <c r="B85" s="7">
        <v>4003</v>
      </c>
      <c r="C85" s="22" t="s">
        <v>207</v>
      </c>
      <c r="D85" s="22" t="s">
        <v>313</v>
      </c>
      <c r="E85" s="13">
        <v>42718.528449074074</v>
      </c>
      <c r="F85" s="13">
        <v>42718.531469907408</v>
      </c>
      <c r="G85" s="7">
        <v>1</v>
      </c>
      <c r="H85" s="22" t="s">
        <v>319</v>
      </c>
      <c r="I85" s="13">
        <v>42718.55740740741</v>
      </c>
      <c r="J85" s="7">
        <v>0</v>
      </c>
      <c r="K85" s="109" t="str">
        <f t="shared" si="29"/>
        <v>4003/4004</v>
      </c>
      <c r="L85" s="22" t="str">
        <f>VLOOKUP(A85,'Trips&amp;Operators'!$C$1:$G$99999,5,FALSE)</f>
        <v>BONDS REYNALDO</v>
      </c>
      <c r="M85" s="6">
        <f t="shared" si="30"/>
        <v>2.5937500002328306E-2</v>
      </c>
      <c r="N85" s="7">
        <f t="shared" si="31"/>
        <v>37.350000003352761</v>
      </c>
      <c r="O85" s="7"/>
      <c r="P85" s="7"/>
      <c r="Q85" s="23"/>
      <c r="R85" s="23"/>
      <c r="S85" s="35">
        <f t="shared" si="32"/>
        <v>1</v>
      </c>
      <c r="T85" s="50" t="str">
        <f t="shared" si="33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11:40:58-700',mode:absolute,to:'2016-12-14 14:22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5" s="52" t="str">
        <f t="shared" si="35"/>
        <v>N</v>
      </c>
      <c r="X85" s="177">
        <f t="shared" si="28"/>
        <v>1</v>
      </c>
      <c r="Y85" s="67">
        <f t="shared" si="26"/>
        <v>4.6199999999999998E-2</v>
      </c>
      <c r="Z85" s="67">
        <f t="shared" si="27"/>
        <v>23.331399999999999</v>
      </c>
      <c r="AA85" s="67">
        <f t="shared" si="36"/>
        <v>23.2852</v>
      </c>
      <c r="AB85" s="64" t="e">
        <f>VLOOKUP(A85,Enforcements!$C$7:$K$19,8,0)</f>
        <v>#N/A</v>
      </c>
      <c r="AC85" s="60" t="e">
        <f>VLOOKUP(A85,Enforcements!$C$7:$E$19,3,0)</f>
        <v>#N/A</v>
      </c>
      <c r="AD85" s="61" t="str">
        <f t="shared" si="37"/>
        <v>0173-14</v>
      </c>
      <c r="AE85" s="91" t="str">
        <f t="shared" si="38"/>
        <v>aws s3 cp s3://rtdc.mdm.uploadarchive.raw/RTDC4003/ "%USERPROFILE%\AppData\Local\Temp\OnboardLogs"\RTDC4003\2016-12-14 --exclude "*" --recursive --include "*20161214*" &amp; "%USERPROFILE%\Documents\GitHub\mrs-test-scripts\Headless Mode &amp; Sideloading\WalkAndUnGZ.bat" "%USERPROFILE%\AppData\Local\Temp\OnboardLogs"\RTDC4003\2016-12-14 &amp; aws s3 cp s3://rtdc.mdm.uploadarchive.raw/RTDC4003/ "%USERPROFILE%\AppData\Local\Temp\OnboardLogs"\RTDC4003\2016-12-15 --exclude "*" --recursive --include "*20161215*" &amp; "%USERPROFILE%\Documents\GitHub\mrs-test-scripts\Headless Mode &amp; Sideloading\WalkAndUnGZ.bat" "%USERPROFILE%\AppData\Local\Temp\OnboardLogs"\RTDC4003\2016-12-15</v>
      </c>
      <c r="AF85" s="88" t="str">
        <f t="shared" si="39"/>
        <v>"C:\Program Files (x86)\AstroGrep\AstroGrep.exe" /spath="%USERPROFILE%\AppData\Local\Temp\OnboardLogs" /stypes="app*4003*20161214*" /stext=" 20:.+((SYSTEM_STATE.+slice.+state.+changed )|(ment ac)|(multiple cpu faults)|(system.+state.+changed )|(\[timeout)|(PRM\|1\|D)|(kpr)|(kdp)|(\|lc)|(penalty))" /e /r /s</v>
      </c>
      <c r="AG85" s="1" t="str">
        <f t="shared" si="40"/>
        <v>EC</v>
      </c>
      <c r="AH85" s="92" t="str">
        <f t="shared" si="41"/>
        <v>"%USERPROFILE%\Documents\GitHub\eaglep3\Utilities\RefineRTDCRunTimes.py" --tripid 173-14 --locoid 4003 --swversion DE.1.0.8.0 --startMP 204:462 --initTime 2016-12-14T12:40:58 --startdatetime 2016-12-14T12:45:19 --delay 1 --endMP 204:233314 --enddatetime 2016-12-14T13:22:40 --enforcementcount 0 &gt;&gt;C:\Users\stu\Documents\GitHub\eaglep3-reporting\EC\2016-12-14-refined-times.txt</v>
      </c>
      <c r="AI85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{"issue":{"subject":"","project_id":79,"tracker_id":40,"status_id":1,"priority_id":2,"assigned_to_id":23,"start_date":"2016-12-14","description":"","custom_fields":[{"id":1,"name":"Subdivision","value":"EC"},{"id":4,"name":"Milepost","value":"23.3314"},{"id":17,"name":"Train ID","value":"173-14"},{"id":16,"name":"Locomotive ID","value":"4003"},{"id":130,"name":"Impact","value":""},{"id":150,"name":"Time of Event (Mountain Time)","value":"13:22:40"},{"id":151,"name":"Denver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572</v>
      </c>
      <c r="B86" s="7">
        <v>4004</v>
      </c>
      <c r="C86" s="22" t="s">
        <v>207</v>
      </c>
      <c r="D86" s="22" t="s">
        <v>724</v>
      </c>
      <c r="E86" s="13">
        <v>42718.559236111112</v>
      </c>
      <c r="F86" s="13">
        <v>42718.570381944446</v>
      </c>
      <c r="G86" s="7">
        <v>1</v>
      </c>
      <c r="H86" s="22" t="s">
        <v>205</v>
      </c>
      <c r="I86" s="13">
        <v>42718.598275462966</v>
      </c>
      <c r="J86" s="7">
        <v>0</v>
      </c>
      <c r="K86" s="109" t="str">
        <f t="shared" si="29"/>
        <v>4003/4004</v>
      </c>
      <c r="L86" s="22" t="str">
        <f>VLOOKUP(A86,'Trips&amp;Operators'!$C$1:$G$99999,5,FALSE)</f>
        <v>BONDS REYNALDO</v>
      </c>
      <c r="M86" s="6">
        <f t="shared" si="30"/>
        <v>2.789351851970423E-2</v>
      </c>
      <c r="N86" s="7">
        <f t="shared" si="31"/>
        <v>40.166666668374091</v>
      </c>
      <c r="O86" s="7"/>
      <c r="P86" s="7"/>
      <c r="Q86" s="23"/>
      <c r="R86" s="23"/>
      <c r="S86" s="35">
        <f t="shared" si="32"/>
        <v>1</v>
      </c>
      <c r="T86" s="50" t="str">
        <f t="shared" si="33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12:25:18-700',mode:absolute,to:'2016-12-14 15:21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6" s="52" t="str">
        <f t="shared" si="35"/>
        <v>N</v>
      </c>
      <c r="X86" s="177">
        <f t="shared" si="28"/>
        <v>1</v>
      </c>
      <c r="Y86" s="67">
        <f t="shared" si="26"/>
        <v>23.300599999999999</v>
      </c>
      <c r="Z86" s="67">
        <f t="shared" si="27"/>
        <v>1.5599999999999999E-2</v>
      </c>
      <c r="AA86" s="67">
        <f t="shared" si="36"/>
        <v>23.285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37"/>
        <v>0174-14</v>
      </c>
      <c r="AE86" s="91" t="str">
        <f t="shared" si="38"/>
        <v>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 &amp; aws s3 cp s3://rtdc.mdm.uploadarchive.raw/RTDC4004/ "%USERPROFILE%\AppData\Local\Temp\OnboardLogs"\RTDC4004\2016-12-15 --exclude "*" --recursive --include "*20161215*" &amp; "%USERPROFILE%\Documents\GitHub\mrs-test-scripts\Headless Mode &amp; Sideloading\WalkAndUnGZ.bat" "%USERPROFILE%\AppData\Local\Temp\OnboardLogs"\RTDC4004\2016-12-15</v>
      </c>
      <c r="AF86" s="88" t="str">
        <f t="shared" si="39"/>
        <v>"C:\Program Files (x86)\AstroGrep\AstroGrep.exe" /spath="%USERPROFILE%\AppData\Local\Temp\OnboardLogs" /stypes="app*4004*20161214*" /stext=" 21:.+((SYSTEM_STATE.+slice.+state.+changed )|(ment ac)|(multiple cpu faults)|(system.+state.+changed )|(\[timeout)|(PRM\|1\|D)|(kpr)|(kdp)|(\|lc)|(penalty))" /e /r /s</v>
      </c>
      <c r="AG86" s="1" t="str">
        <f t="shared" si="40"/>
        <v>EC</v>
      </c>
      <c r="AH86" s="92" t="str">
        <f t="shared" si="41"/>
        <v>"%USERPROFILE%\Documents\GitHub\eaglep3\Utilities\RefineRTDCRunTimes.py" --tripid 174-14 --locoid 4004 --swversion DE.1.0.8.0 --startMP 204:233006 --initTime 2016-12-14T13:25:18 --startdatetime 2016-12-14T13:41:21 --delay 1 --endMP 204:156 --enddatetime 2016-12-14T14:21:31 --enforcementcount 0 &gt;&gt;C:\Users\stu\Documents\GitHub\eaglep3-reporting\EC\2016-12-14-refined-times.txt</v>
      </c>
      <c r="AI86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{"issue":{"subject":"","project_id":79,"tracker_id":40,"status_id":1,"priority_id":2,"assigned_to_id":23,"start_date":"2016-12-14","description":"","custom_fields":[{"id":1,"name":"Subdivision","value":"EC"},{"id":4,"name":"Milepost","value":"0.0156"},{"id":17,"name":"Train ID","value":"174-14"},{"id":16,"name":"Locomotive ID","value":"4004"},{"id":130,"name":"Impact","value":""},{"id":150,"name":"Time of Event (Mountain Time)","value":"14:21:31"},{"id":151,"name":"Denver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565</v>
      </c>
      <c r="B87" s="7">
        <v>4046</v>
      </c>
      <c r="C87" s="22" t="s">
        <v>207</v>
      </c>
      <c r="D87" s="22" t="s">
        <v>725</v>
      </c>
      <c r="E87" s="13">
        <v>42718.541712962964</v>
      </c>
      <c r="F87" s="13">
        <v>42718.543078703704</v>
      </c>
      <c r="G87" s="7">
        <v>1</v>
      </c>
      <c r="H87" s="22" t="s">
        <v>329</v>
      </c>
      <c r="I87" s="13">
        <v>42718.568854166668</v>
      </c>
      <c r="J87" s="7">
        <v>0</v>
      </c>
      <c r="K87" s="109" t="str">
        <f t="shared" si="29"/>
        <v>4045/4046</v>
      </c>
      <c r="L87" s="22" t="str">
        <f>VLOOKUP(A87,'Trips&amp;Operators'!$C$1:$G$99999,5,FALSE)</f>
        <v>DELGADO DIANAH</v>
      </c>
      <c r="M87" s="6">
        <f t="shared" si="30"/>
        <v>2.5775462963792961E-2</v>
      </c>
      <c r="N87" s="7">
        <f t="shared" si="31"/>
        <v>37.116666667861864</v>
      </c>
      <c r="O87" s="7"/>
      <c r="P87" s="7"/>
      <c r="Q87" s="23"/>
      <c r="R87" s="23"/>
      <c r="S87" s="35">
        <f t="shared" si="32"/>
        <v>1</v>
      </c>
      <c r="T87" s="50" t="str">
        <f t="shared" si="33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12:00:04-700',mode:absolute,to:'2016-12-14 14:39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7" s="52" t="str">
        <f t="shared" si="35"/>
        <v>N</v>
      </c>
      <c r="X87" s="177">
        <f t="shared" si="28"/>
        <v>1</v>
      </c>
      <c r="Y87" s="67">
        <f t="shared" si="26"/>
        <v>4.7800000000000002E-2</v>
      </c>
      <c r="Z87" s="67">
        <f t="shared" si="27"/>
        <v>23.3309</v>
      </c>
      <c r="AA87" s="67">
        <f t="shared" si="36"/>
        <v>23.283100000000001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37"/>
        <v>0175-14</v>
      </c>
      <c r="AE87" s="91" t="str">
        <f t="shared" si="38"/>
        <v>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 &amp; aws s3 cp s3://rtdc.mdm.uploadarchive.raw/RTDC4046/ "%USERPROFILE%\AppData\Local\Temp\OnboardLogs"\RTDC4046\2016-12-15 --exclude "*" --recursive --include "*20161215*" &amp; "%USERPROFILE%\Documents\GitHub\mrs-test-scripts\Headless Mode &amp; Sideloading\WalkAndUnGZ.bat" "%USERPROFILE%\AppData\Local\Temp\OnboardLogs"\RTDC4046\2016-12-15</v>
      </c>
      <c r="AF87" s="88" t="str">
        <f t="shared" si="39"/>
        <v>"C:\Program Files (x86)\AstroGrep\AstroGrep.exe" /spath="%USERPROFILE%\AppData\Local\Temp\OnboardLogs" /stypes="app*4046*20161214*" /stext=" 20:.+((SYSTEM_STATE.+slice.+state.+changed )|(ment ac)|(multiple cpu faults)|(system.+state.+changed )|(\[timeout)|(PRM\|1\|D)|(kpr)|(kdp)|(\|lc)|(penalty))" /e /r /s</v>
      </c>
      <c r="AG87" s="1" t="str">
        <f t="shared" si="40"/>
        <v>EC</v>
      </c>
      <c r="AH87" s="92" t="str">
        <f t="shared" si="41"/>
        <v>"%USERPROFILE%\Documents\GitHub\eaglep3\Utilities\RefineRTDCRunTimes.py" --tripid 175-14 --locoid 4046 --swversion DE.1.0.8.0 --startMP 204:478 --initTime 2016-12-14T13:00:04 --startdatetime 2016-12-14T13:02:02 --delay 1 --endMP 204:233309 --enddatetime 2016-12-14T13:39:09 --enforcementcount 0 &gt;&gt;C:\Users\stu\Documents\GitHub\eaglep3-reporting\EC\2016-12-14-refined-times.txt</v>
      </c>
      <c r="AI87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{"issue":{"subject":"","project_id":79,"tracker_id":40,"status_id":1,"priority_id":2,"assigned_to_id":23,"start_date":"2016-12-14","description":"","custom_fields":[{"id":1,"name":"Subdivision","value":"EC"},{"id":4,"name":"Milepost","value":"23.3309"},{"id":17,"name":"Train ID","value":"175-14"},{"id":16,"name":"Locomotive ID","value":"4046"},{"id":130,"name":"Impact","value":""},{"id":150,"name":"Time of Event (Mountain Time)","value":"13:39:09"},{"id":151,"name":"Denver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576</v>
      </c>
      <c r="B88" s="7">
        <v>4045</v>
      </c>
      <c r="C88" s="22" t="s">
        <v>207</v>
      </c>
      <c r="D88" s="22" t="s">
        <v>277</v>
      </c>
      <c r="E88" s="13">
        <v>42718.571666666663</v>
      </c>
      <c r="F88" s="13">
        <v>42718.580960648149</v>
      </c>
      <c r="G88" s="7">
        <v>3</v>
      </c>
      <c r="H88" s="22" t="s">
        <v>275</v>
      </c>
      <c r="I88" s="13">
        <v>42718.608854166669</v>
      </c>
      <c r="J88" s="7">
        <v>0</v>
      </c>
      <c r="K88" s="109" t="str">
        <f t="shared" si="29"/>
        <v>4045/4046</v>
      </c>
      <c r="L88" s="22" t="str">
        <f>VLOOKUP(A88,'Trips&amp;Operators'!$C$1:$G$99999,5,FALSE)</f>
        <v>DELGADO DIANAH</v>
      </c>
      <c r="M88" s="6">
        <f t="shared" si="30"/>
        <v>2.789351851970423E-2</v>
      </c>
      <c r="N88" s="7">
        <f t="shared" si="31"/>
        <v>40.166666668374091</v>
      </c>
      <c r="O88" s="7"/>
      <c r="P88" s="7"/>
      <c r="Q88" s="23"/>
      <c r="R88" s="23"/>
      <c r="S88" s="35">
        <f t="shared" si="32"/>
        <v>1</v>
      </c>
      <c r="T88" s="50" t="str">
        <f t="shared" si="33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12:43:12-700',mode:absolute,to:'2016-12-14 15:36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8" s="52" t="str">
        <f t="shared" si="35"/>
        <v>N</v>
      </c>
      <c r="X88" s="177">
        <f t="shared" si="28"/>
        <v>1</v>
      </c>
      <c r="Y88" s="67">
        <f t="shared" si="26"/>
        <v>23.299399999999999</v>
      </c>
      <c r="Z88" s="67">
        <f t="shared" si="27"/>
        <v>1.52E-2</v>
      </c>
      <c r="AA88" s="67">
        <f t="shared" si="36"/>
        <v>23.284199999999998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37"/>
        <v>0176-14</v>
      </c>
      <c r="AE88" s="91" t="str">
        <f t="shared" si="38"/>
        <v>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 &amp; aws s3 cp s3://rtdc.mdm.uploadarchive.raw/RTDC4045/ "%USERPROFILE%\AppData\Local\Temp\OnboardLogs"\RTDC4045\2016-12-15 --exclude "*" --recursive --include "*20161215*" &amp; "%USERPROFILE%\Documents\GitHub\mrs-test-scripts\Headless Mode &amp; Sideloading\WalkAndUnGZ.bat" "%USERPROFILE%\AppData\Local\Temp\OnboardLogs"\RTDC4045\2016-12-15</v>
      </c>
      <c r="AF88" s="88" t="str">
        <f t="shared" si="39"/>
        <v>"C:\Program Files (x86)\AstroGrep\AstroGrep.exe" /spath="%USERPROFILE%\AppData\Local\Temp\OnboardLogs" /stypes="app*4045*20161214*" /stext=" 21:.+((SYSTEM_STATE.+slice.+state.+changed )|(ment ac)|(multiple cpu faults)|(system.+state.+changed )|(\[timeout)|(PRM\|1\|D)|(kpr)|(kdp)|(\|lc)|(penalty))" /e /r /s</v>
      </c>
      <c r="AG88" s="1" t="str">
        <f t="shared" si="40"/>
        <v>EC</v>
      </c>
      <c r="AH88" s="92" t="str">
        <f t="shared" si="41"/>
        <v>"%USERPROFILE%\Documents\GitHub\eaglep3\Utilities\RefineRTDCRunTimes.py" --tripid 176-14 --locoid 4045 --swversion DE.1.0.8.0 --startMP 204:232994 --initTime 2016-12-14T13:43:12 --startdatetime 2016-12-14T13:56:35 --delay 3 --endMP 204:152 --enddatetime 2016-12-14T14:36:45 --enforcementcount 0 &gt;&gt;C:\Users\stu\Documents\GitHub\eaglep3-reporting\EC\2016-12-14-refined-times.txt</v>
      </c>
      <c r="AI88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{"issue":{"subject":"","project_id":79,"tracker_id":40,"status_id":1,"priority_id":2,"assigned_to_id":23,"start_date":"2016-12-14","description":"","custom_fields":[{"id":1,"name":"Subdivision","value":"EC"},{"id":4,"name":"Milepost","value":"0.0152"},{"id":17,"name":"Train ID","value":"176-14"},{"id":16,"name":"Locomotive ID","value":"4045"},{"id":130,"name":"Impact","value":""},{"id":150,"name":"Time of Event (Mountain Time)","value":"14:36:45"},{"id":151,"name":"Denver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570</v>
      </c>
      <c r="B89" s="7">
        <v>4044</v>
      </c>
      <c r="C89" s="22" t="s">
        <v>207</v>
      </c>
      <c r="D89" s="22" t="s">
        <v>232</v>
      </c>
      <c r="E89" s="13">
        <v>42718.547777777778</v>
      </c>
      <c r="F89" s="13">
        <v>42718.552604166667</v>
      </c>
      <c r="G89" s="7">
        <v>1</v>
      </c>
      <c r="H89" s="22" t="s">
        <v>718</v>
      </c>
      <c r="I89" s="13">
        <v>42718.577997685185</v>
      </c>
      <c r="J89" s="7">
        <v>0</v>
      </c>
      <c r="K89" s="109" t="str">
        <f t="shared" si="29"/>
        <v>4043/4044</v>
      </c>
      <c r="L89" s="22" t="str">
        <f>VLOOKUP(A89,'Trips&amp;Operators'!$C$1:$G$99999,5,FALSE)</f>
        <v>DUNCAN SHEILA</v>
      </c>
      <c r="M89" s="6">
        <f t="shared" si="30"/>
        <v>2.5393518517375924E-2</v>
      </c>
      <c r="N89" s="7">
        <f t="shared" si="31"/>
        <v>36.56666666502133</v>
      </c>
      <c r="O89" s="7"/>
      <c r="P89" s="7"/>
      <c r="Q89" s="23"/>
      <c r="R89" s="23"/>
      <c r="S89" s="35">
        <f t="shared" si="32"/>
        <v>1</v>
      </c>
      <c r="T89" s="50" t="str">
        <f t="shared" si="33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12:08:48-700',mode:absolute,to:'2016-12-14 14:52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9" s="52" t="str">
        <f t="shared" si="35"/>
        <v>N</v>
      </c>
      <c r="X89" s="177">
        <f t="shared" si="28"/>
        <v>1</v>
      </c>
      <c r="Y89" s="67">
        <f t="shared" si="26"/>
        <v>4.5499999999999999E-2</v>
      </c>
      <c r="Z89" s="67">
        <f t="shared" si="27"/>
        <v>23.3291</v>
      </c>
      <c r="AA89" s="67">
        <f t="shared" si="36"/>
        <v>23.2836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37"/>
        <v>0177-14</v>
      </c>
      <c r="AE89" s="91" t="str">
        <f t="shared" si="38"/>
        <v>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 &amp; aws s3 cp s3://rtdc.mdm.uploadarchive.raw/RTDC4044/ "%USERPROFILE%\AppData\Local\Temp\OnboardLogs"\RTDC4044\2016-12-15 --exclude "*" --recursive --include "*20161215*" &amp; "%USERPROFILE%\Documents\GitHub\mrs-test-scripts\Headless Mode &amp; Sideloading\WalkAndUnGZ.bat" "%USERPROFILE%\AppData\Local\Temp\OnboardLogs"\RTDC4044\2016-12-15</v>
      </c>
      <c r="AF89" s="88" t="str">
        <f t="shared" si="39"/>
        <v>"C:\Program Files (x86)\AstroGrep\AstroGrep.exe" /spath="%USERPROFILE%\AppData\Local\Temp\OnboardLogs" /stypes="app*4044*20161214*" /stext=" 20:.+((SYSTEM_STATE.+slice.+state.+changed )|(ment ac)|(multiple cpu faults)|(system.+state.+changed )|(\[timeout)|(PRM\|1\|D)|(kpr)|(kdp)|(\|lc)|(penalty))" /e /r /s</v>
      </c>
      <c r="AG89" s="1" t="str">
        <f t="shared" si="40"/>
        <v>EC</v>
      </c>
      <c r="AH89" s="92" t="str">
        <f t="shared" si="41"/>
        <v>"%USERPROFILE%\Documents\GitHub\eaglep3\Utilities\RefineRTDCRunTimes.py" --tripid 177-14 --locoid 4044 --swversion DE.1.0.8.0 --startMP 204:455 --initTime 2016-12-14T13:08:48 --startdatetime 2016-12-14T13:15:45 --delay 1 --endMP 204:233291 --enddatetime 2016-12-14T13:52:19 --enforcementcount 0 &gt;&gt;C:\Users\stu\Documents\GitHub\eaglep3-reporting\EC\2016-12-14-refined-times.txt</v>
      </c>
      <c r="AI89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{"issue":{"subject":"","project_id":79,"tracker_id":40,"status_id":1,"priority_id":2,"assigned_to_id":23,"start_date":"2016-12-14","description":"","custom_fields":[{"id":1,"name":"Subdivision","value":"EC"},{"id":4,"name":"Milepost","value":"23.3291"},{"id":17,"name":"Train ID","value":"177-14"},{"id":16,"name":"Locomotive ID","value":"4044"},{"id":130,"name":"Impact","value":""},{"id":150,"name":"Time of Event (Mountain Time)","value":"13:52:19"},{"id":151,"name":"Denver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578</v>
      </c>
      <c r="B90" s="7">
        <v>4043</v>
      </c>
      <c r="C90" s="22" t="s">
        <v>207</v>
      </c>
      <c r="D90" s="22" t="s">
        <v>726</v>
      </c>
      <c r="E90" s="13">
        <v>42718.586712962962</v>
      </c>
      <c r="F90" s="13">
        <v>42718.591261574074</v>
      </c>
      <c r="G90" s="7">
        <v>1</v>
      </c>
      <c r="H90" s="22" t="s">
        <v>226</v>
      </c>
      <c r="I90" s="13">
        <v>42718.618310185186</v>
      </c>
      <c r="J90" s="7">
        <v>0</v>
      </c>
      <c r="K90" s="109" t="str">
        <f t="shared" si="29"/>
        <v>4043/4044</v>
      </c>
      <c r="L90" s="22" t="str">
        <f>VLOOKUP(A90,'Trips&amp;Operators'!$C$1:$G$99999,5,FALSE)</f>
        <v>DUNCAN SHEILA</v>
      </c>
      <c r="M90" s="6">
        <f t="shared" si="30"/>
        <v>2.7048611111240461E-2</v>
      </c>
      <c r="N90" s="7">
        <f t="shared" si="31"/>
        <v>38.950000000186265</v>
      </c>
      <c r="O90" s="7"/>
      <c r="P90" s="7"/>
      <c r="Q90" s="23"/>
      <c r="R90" s="23"/>
      <c r="S90" s="35">
        <f t="shared" si="32"/>
        <v>1</v>
      </c>
      <c r="T90" s="50" t="str">
        <f t="shared" si="33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13:04:52-700',mode:absolute,to:'2016-12-14 15:50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0" s="52" t="str">
        <f t="shared" si="35"/>
        <v>N</v>
      </c>
      <c r="X90" s="177">
        <f t="shared" si="28"/>
        <v>1</v>
      </c>
      <c r="Y90" s="67">
        <f t="shared" si="26"/>
        <v>23.296800000000001</v>
      </c>
      <c r="Z90" s="67">
        <f t="shared" si="27"/>
        <v>1.54E-2</v>
      </c>
      <c r="AA90" s="67">
        <f t="shared" si="36"/>
        <v>23.281400000000001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37"/>
        <v>0178-14</v>
      </c>
      <c r="AE90" s="91" t="str">
        <f t="shared" si="38"/>
        <v>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 &amp; aws s3 cp s3://rtdc.mdm.uploadarchive.raw/RTDC4043/ "%USERPROFILE%\AppData\Local\Temp\OnboardLogs"\RTDC4043\2016-12-15 --exclude "*" --recursive --include "*20161215*" &amp; "%USERPROFILE%\Documents\GitHub\mrs-test-scripts\Headless Mode &amp; Sideloading\WalkAndUnGZ.bat" "%USERPROFILE%\AppData\Local\Temp\OnboardLogs"\RTDC4043\2016-12-15</v>
      </c>
      <c r="AF90" s="88" t="str">
        <f t="shared" si="39"/>
        <v>"C:\Program Files (x86)\AstroGrep\AstroGrep.exe" /spath="%USERPROFILE%\AppData\Local\Temp\OnboardLogs" /stypes="app*4043*20161214*" /stext=" 21:.+((SYSTEM_STATE.+slice.+state.+changed )|(ment ac)|(multiple cpu faults)|(system.+state.+changed )|(\[timeout)|(PRM\|1\|D)|(kpr)|(kdp)|(\|lc)|(penalty))" /e /r /s</v>
      </c>
      <c r="AG90" s="1" t="str">
        <f t="shared" si="40"/>
        <v>EC</v>
      </c>
      <c r="AH90" s="92" t="str">
        <f t="shared" si="41"/>
        <v>"%USERPROFILE%\Documents\GitHub\eaglep3\Utilities\RefineRTDCRunTimes.py" --tripid 178-14 --locoid 4043 --swversion DE.1.0.8.0 --startMP 204:232968 --initTime 2016-12-14T14:04:52 --startdatetime 2016-12-14T14:11:25 --delay 1 --endMP 204:154 --enddatetime 2016-12-14T14:50:22 --enforcementcount 0 &gt;&gt;C:\Users\stu\Documents\GitHub\eaglep3-reporting\EC\2016-12-14-refined-times.txt</v>
      </c>
      <c r="AI90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{"issue":{"subject":"","project_id":79,"tracker_id":40,"status_id":1,"priority_id":2,"assigned_to_id":23,"start_date":"2016-12-14","description":"","custom_fields":[{"id":1,"name":"Subdivision","value":"EC"},{"id":4,"name":"Milepost","value":"0.0154"},{"id":17,"name":"Train ID","value":"178-14"},{"id":16,"name":"Locomotive ID","value":"4043"},{"id":130,"name":"Impact","value":""},{"id":150,"name":"Time of Event (Mountain Time)","value":"14:50:22"},{"id":151,"name":"Denver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573</v>
      </c>
      <c r="B91" s="7">
        <v>4016</v>
      </c>
      <c r="C91" s="22" t="s">
        <v>207</v>
      </c>
      <c r="D91" s="22" t="s">
        <v>313</v>
      </c>
      <c r="E91" s="13">
        <v>42718.559201388889</v>
      </c>
      <c r="F91" s="13">
        <v>42718.562789351854</v>
      </c>
      <c r="G91" s="7">
        <v>1</v>
      </c>
      <c r="H91" s="22" t="s">
        <v>296</v>
      </c>
      <c r="I91" s="13">
        <v>42718.587094907409</v>
      </c>
      <c r="J91" s="7">
        <v>0</v>
      </c>
      <c r="K91" s="109" t="str">
        <f t="shared" si="29"/>
        <v>4015/4016</v>
      </c>
      <c r="L91" s="22" t="str">
        <f>VLOOKUP(A91,'Trips&amp;Operators'!$C$1:$G$99999,5,FALSE)</f>
        <v>ADANE ELSHADAY</v>
      </c>
      <c r="M91" s="6">
        <f t="shared" si="30"/>
        <v>2.4305555554747116E-2</v>
      </c>
      <c r="N91" s="7">
        <f t="shared" si="31"/>
        <v>34.999999998835847</v>
      </c>
      <c r="O91" s="7"/>
      <c r="P91" s="7"/>
      <c r="Q91" s="23"/>
      <c r="R91" s="23"/>
      <c r="S91" s="35">
        <f t="shared" si="32"/>
        <v>1</v>
      </c>
      <c r="T91" s="50" t="str">
        <f t="shared" si="33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12:25:15-700',mode:absolute,to:'2016-12-14 15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1" s="52" t="str">
        <f t="shared" si="35"/>
        <v>N</v>
      </c>
      <c r="X91" s="177">
        <f t="shared" si="28"/>
        <v>1</v>
      </c>
      <c r="Y91" s="67">
        <f t="shared" si="26"/>
        <v>4.6199999999999998E-2</v>
      </c>
      <c r="Z91" s="67">
        <f t="shared" si="27"/>
        <v>23.330300000000001</v>
      </c>
      <c r="AA91" s="67">
        <f t="shared" si="36"/>
        <v>23.284100000000002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37"/>
        <v>0179-14</v>
      </c>
      <c r="AE91" s="91" t="str">
        <f t="shared" si="38"/>
        <v>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 &amp; aws s3 cp s3://rtdc.mdm.uploadarchive.raw/RTDC4016/ "%USERPROFILE%\AppData\Local\Temp\OnboardLogs"\RTDC4016\2016-12-15 --exclude "*" --recursive --include "*20161215*" &amp; "%USERPROFILE%\Documents\GitHub\mrs-test-scripts\Headless Mode &amp; Sideloading\WalkAndUnGZ.bat" "%USERPROFILE%\AppData\Local\Temp\OnboardLogs"\RTDC4016\2016-12-15</v>
      </c>
      <c r="AF91" s="88" t="str">
        <f t="shared" si="39"/>
        <v>"C:\Program Files (x86)\AstroGrep\AstroGrep.exe" /spath="%USERPROFILE%\AppData\Local\Temp\OnboardLogs" /stypes="app*4016*20161214*" /stext=" 21:.+((SYSTEM_STATE.+slice.+state.+changed )|(ment ac)|(multiple cpu faults)|(system.+state.+changed )|(\[timeout)|(PRM\|1\|D)|(kpr)|(kdp)|(\|lc)|(penalty))" /e /r /s</v>
      </c>
      <c r="AG91" s="1" t="str">
        <f t="shared" si="40"/>
        <v>EC</v>
      </c>
      <c r="AH91" s="92" t="str">
        <f t="shared" si="41"/>
        <v>"%USERPROFILE%\Documents\GitHub\eaglep3\Utilities\RefineRTDCRunTimes.py" --tripid 179-14 --locoid 4016 --swversion DE.1.0.8.0 --startMP 204:462 --initTime 2016-12-14T13:25:15 --startdatetime 2016-12-14T13:30:25 --delay 1 --endMP 204:233303 --enddatetime 2016-12-14T14:05:25 --enforcementcount 0 &gt;&gt;C:\Users\stu\Documents\GitHub\eaglep3-reporting\EC\2016-12-14-refined-times.txt</v>
      </c>
      <c r="AI91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{"issue":{"subject":"","project_id":79,"tracker_id":40,"status_id":1,"priority_id":2,"assigned_to_id":23,"start_date":"2016-12-14","description":"","custom_fields":[{"id":1,"name":"Subdivision","value":"EC"},{"id":4,"name":"Milepost","value":"23.3303"},{"id":17,"name":"Train ID","value":"179-14"},{"id":16,"name":"Locomotive ID","value":"4016"},{"id":130,"name":"Impact","value":""},{"id":150,"name":"Time of Event (Mountain Time)","value":"14:05:25"},{"id":151,"name":"Denver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439</v>
      </c>
      <c r="B92" s="7">
        <v>4015</v>
      </c>
      <c r="C92" s="22" t="s">
        <v>207</v>
      </c>
      <c r="D92" s="22" t="s">
        <v>304</v>
      </c>
      <c r="E92" s="13">
        <v>42718.58871527778</v>
      </c>
      <c r="F92" s="13">
        <v>42718.601921296293</v>
      </c>
      <c r="G92" s="7">
        <v>1</v>
      </c>
      <c r="H92" s="22" t="s">
        <v>227</v>
      </c>
      <c r="I92" s="13">
        <v>42718.629340277781</v>
      </c>
      <c r="J92" s="7">
        <v>0</v>
      </c>
      <c r="K92" s="109" t="str">
        <f t="shared" si="29"/>
        <v>4015/4016</v>
      </c>
      <c r="L92" s="22" t="str">
        <f>VLOOKUP(A92,'Trips&amp;Operators'!$C$1:$G$99999,5,FALSE)</f>
        <v>ADANE ELSHADAY</v>
      </c>
      <c r="M92" s="6">
        <f t="shared" si="30"/>
        <v>2.7418981488153804E-2</v>
      </c>
      <c r="N92" s="7">
        <f t="shared" si="31"/>
        <v>39.483333342941478</v>
      </c>
      <c r="O92" s="7"/>
      <c r="P92" s="7"/>
      <c r="Q92" s="23"/>
      <c r="R92" s="23"/>
      <c r="S92" s="35">
        <f t="shared" si="32"/>
        <v>1</v>
      </c>
      <c r="T92" s="50" t="str">
        <f t="shared" si="33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13:07:45-700',mode:absolute,to:'2016-12-14 16:06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2" s="52" t="str">
        <f t="shared" si="35"/>
        <v>N</v>
      </c>
      <c r="X92" s="177">
        <f t="shared" si="28"/>
        <v>1</v>
      </c>
      <c r="Y92" s="67">
        <f t="shared" si="26"/>
        <v>23.298400000000001</v>
      </c>
      <c r="Z92" s="67">
        <f t="shared" si="27"/>
        <v>1.41E-2</v>
      </c>
      <c r="AA92" s="67">
        <f t="shared" si="36"/>
        <v>23.284300000000002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37"/>
        <v>0180-14</v>
      </c>
      <c r="AE92" s="91" t="str">
        <f t="shared" si="38"/>
        <v>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 &amp; aws s3 cp s3://rtdc.mdm.uploadarchive.raw/RTDC4015/ "%USERPROFILE%\AppData\Local\Temp\OnboardLogs"\RTDC4015\2016-12-15 --exclude "*" --recursive --include "*20161215*" &amp; "%USERPROFILE%\Documents\GitHub\mrs-test-scripts\Headless Mode &amp; Sideloading\WalkAndUnGZ.bat" "%USERPROFILE%\AppData\Local\Temp\OnboardLogs"\RTDC4015\2016-12-15</v>
      </c>
      <c r="AF92" s="88" t="str">
        <f t="shared" si="39"/>
        <v>"C:\Program Files (x86)\AstroGrep\AstroGrep.exe" /spath="%USERPROFILE%\AppData\Local\Temp\OnboardLogs" /stypes="app*4015*20161214*" /stext=" 22:.+((SYSTEM_STATE.+slice.+state.+changed )|(ment ac)|(multiple cpu faults)|(system.+state.+changed )|(\[timeout)|(PRM\|1\|D)|(kpr)|(kdp)|(\|lc)|(penalty))" /e /r /s</v>
      </c>
      <c r="AG92" s="1" t="str">
        <f t="shared" si="40"/>
        <v>EC</v>
      </c>
      <c r="AH92" s="92" t="str">
        <f t="shared" si="41"/>
        <v>"%USERPROFILE%\Documents\GitHub\eaglep3\Utilities\RefineRTDCRunTimes.py" --tripid 180-14 --locoid 4015 --swversion DE.1.0.8.0 --startMP 204:232984 --initTime 2016-12-14T14:07:45 --startdatetime 2016-12-14T14:26:46 --delay 1 --endMP 204:141 --enddatetime 2016-12-14T15:06:15 --enforcementcount 0 &gt;&gt;C:\Users\stu\Documents\GitHub\eaglep3-reporting\EC\2016-12-14-refined-times.txt</v>
      </c>
      <c r="AI92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{"issue":{"subject":"","project_id":79,"tracker_id":40,"status_id":1,"priority_id":2,"assigned_to_id":23,"start_date":"2016-12-14","description":"","custom_fields":[{"id":1,"name":"Subdivision","value":"EC"},{"id":4,"name":"Milepost","value":"0.0141"},{"id":17,"name":"Train ID","value":"180-14"},{"id":16,"name":"Locomotive ID","value":"4015"},{"id":130,"name":"Impact","value":""},{"id":150,"name":"Time of Event (Mountain Time)","value":"15:06:15"},{"id":151,"name":"Denver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574</v>
      </c>
      <c r="B93" s="7">
        <v>4040</v>
      </c>
      <c r="C93" s="22" t="s">
        <v>207</v>
      </c>
      <c r="D93" s="22" t="s">
        <v>727</v>
      </c>
      <c r="E93" s="13">
        <v>42718.569016203706</v>
      </c>
      <c r="F93" s="13">
        <v>42718.57309027778</v>
      </c>
      <c r="G93" s="7">
        <v>1</v>
      </c>
      <c r="H93" s="22" t="s">
        <v>393</v>
      </c>
      <c r="I93" s="13">
        <v>42718.598622685182</v>
      </c>
      <c r="J93" s="7">
        <v>0</v>
      </c>
      <c r="K93" s="109" t="str">
        <f t="shared" si="29"/>
        <v>4039/4040</v>
      </c>
      <c r="L93" s="22" t="str">
        <f>VLOOKUP(A93,'Trips&amp;Operators'!$C$1:$G$99999,5,FALSE)</f>
        <v>YOUNG ELIZABETH</v>
      </c>
      <c r="M93" s="6">
        <f t="shared" si="30"/>
        <v>2.5532407402351964E-2</v>
      </c>
      <c r="N93" s="7">
        <f t="shared" si="31"/>
        <v>36.766666659386829</v>
      </c>
      <c r="O93" s="7"/>
      <c r="P93" s="7"/>
      <c r="Q93" s="23"/>
      <c r="R93" s="23"/>
      <c r="S93" s="35">
        <f t="shared" si="32"/>
        <v>1</v>
      </c>
      <c r="T93" s="50" t="str">
        <f t="shared" si="33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12:39:23-700',mode:absolute,to:'2016-12-14 15:22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3" s="52" t="str">
        <f t="shared" si="35"/>
        <v>N</v>
      </c>
      <c r="X93" s="177">
        <f t="shared" si="28"/>
        <v>1</v>
      </c>
      <c r="Y93" s="67">
        <f t="shared" si="26"/>
        <v>4.9700000000000001E-2</v>
      </c>
      <c r="Z93" s="67">
        <f t="shared" si="27"/>
        <v>23.331700000000001</v>
      </c>
      <c r="AA93" s="67">
        <f t="shared" si="36"/>
        <v>23.282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37"/>
        <v>0181-14</v>
      </c>
      <c r="AE93" s="91" t="str">
        <f t="shared" si="38"/>
        <v>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 &amp; aws s3 cp s3://rtdc.mdm.uploadarchive.raw/RTDC4040/ "%USERPROFILE%\AppData\Local\Temp\OnboardLogs"\RTDC4040\2016-12-15 --exclude "*" --recursive --include "*20161215*" &amp; "%USERPROFILE%\Documents\GitHub\mrs-test-scripts\Headless Mode &amp; Sideloading\WalkAndUnGZ.bat" "%USERPROFILE%\AppData\Local\Temp\OnboardLogs"\RTDC4040\2016-12-15</v>
      </c>
      <c r="AF93" s="88" t="str">
        <f t="shared" si="39"/>
        <v>"C:\Program Files (x86)\AstroGrep\AstroGrep.exe" /spath="%USERPROFILE%\AppData\Local\Temp\OnboardLogs" /stypes="app*4040*20161214*" /stext=" 21:.+((SYSTEM_STATE.+slice.+state.+changed )|(ment ac)|(multiple cpu faults)|(system.+state.+changed )|(\[timeout)|(PRM\|1\|D)|(kpr)|(kdp)|(\|lc)|(penalty))" /e /r /s</v>
      </c>
      <c r="AG93" s="1" t="str">
        <f t="shared" si="40"/>
        <v>EC</v>
      </c>
      <c r="AH93" s="92" t="str">
        <f t="shared" si="41"/>
        <v>"%USERPROFILE%\Documents\GitHub\eaglep3\Utilities\RefineRTDCRunTimes.py" --tripid 181-14 --locoid 4040 --swversion DE.1.0.8.0 --startMP 204:497 --initTime 2016-12-14T13:39:23 --startdatetime 2016-12-14T13:45:15 --delay 1 --endMP 204:233317 --enddatetime 2016-12-14T14:22:01 --enforcementcount 0 &gt;&gt;C:\Users\stu\Documents\GitHub\eaglep3-reporting\EC\2016-12-14-refined-times.txt</v>
      </c>
      <c r="AI93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{"issue":{"subject":"","project_id":79,"tracker_id":40,"status_id":1,"priority_id":2,"assigned_to_id":23,"start_date":"2016-12-14","description":"","custom_fields":[{"id":1,"name":"Subdivision","value":"EC"},{"id":4,"name":"Milepost","value":"23.3317"},{"id":17,"name":"Train ID","value":"181-14"},{"id":16,"name":"Locomotive ID","value":"4040"},{"id":130,"name":"Impact","value":""},{"id":150,"name":"Time of Event (Mountain Time)","value":"14:22:01"},{"id":151,"name":"Denver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582</v>
      </c>
      <c r="B94" s="7">
        <v>4039</v>
      </c>
      <c r="C94" s="22" t="s">
        <v>207</v>
      </c>
      <c r="D94" s="22" t="s">
        <v>728</v>
      </c>
      <c r="E94" s="13">
        <v>42718.603518518517</v>
      </c>
      <c r="F94" s="13">
        <v>42718.612673611111</v>
      </c>
      <c r="G94" s="7">
        <v>1</v>
      </c>
      <c r="H94" s="22" t="s">
        <v>729</v>
      </c>
      <c r="I94" s="13">
        <v>42718.642337962963</v>
      </c>
      <c r="J94" s="7">
        <v>0</v>
      </c>
      <c r="K94" s="109" t="str">
        <f t="shared" si="29"/>
        <v>4039/4040</v>
      </c>
      <c r="L94" s="22" t="str">
        <f>VLOOKUP(A94,'Trips&amp;Operators'!$C$1:$G$99999,5,FALSE)</f>
        <v>YOUNG ELIZABETH</v>
      </c>
      <c r="M94" s="6">
        <f t="shared" si="30"/>
        <v>2.9664351852261461E-2</v>
      </c>
      <c r="N94" s="7">
        <f t="shared" si="31"/>
        <v>42.716666667256504</v>
      </c>
      <c r="O94" s="7"/>
      <c r="P94" s="7"/>
      <c r="Q94" s="23"/>
      <c r="R94" s="23"/>
      <c r="S94" s="35">
        <f t="shared" si="32"/>
        <v>1</v>
      </c>
      <c r="T94" s="50" t="str">
        <f t="shared" si="33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13:29:04-700',mode:absolute,to:'2016-12-14 16:24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4" s="52" t="str">
        <f t="shared" si="35"/>
        <v>N</v>
      </c>
      <c r="X94" s="177">
        <f t="shared" si="28"/>
        <v>1</v>
      </c>
      <c r="Y94" s="67">
        <f t="shared" si="26"/>
        <v>23.3002</v>
      </c>
      <c r="Z94" s="67">
        <f t="shared" si="27"/>
        <v>1.8700000000000001E-2</v>
      </c>
      <c r="AA94" s="67">
        <f t="shared" si="36"/>
        <v>23.281500000000001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37"/>
        <v>0182-14</v>
      </c>
      <c r="AE94" s="91" t="str">
        <f t="shared" si="38"/>
        <v>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 &amp; aws s3 cp s3://rtdc.mdm.uploadarchive.raw/RTDC4039/ "%USERPROFILE%\AppData\Local\Temp\OnboardLogs"\RTDC4039\2016-12-15 --exclude "*" --recursive --include "*20161215*" &amp; "%USERPROFILE%\Documents\GitHub\mrs-test-scripts\Headless Mode &amp; Sideloading\WalkAndUnGZ.bat" "%USERPROFILE%\AppData\Local\Temp\OnboardLogs"\RTDC4039\2016-12-15</v>
      </c>
      <c r="AF94" s="88" t="str">
        <f t="shared" si="39"/>
        <v>"C:\Program Files (x86)\AstroGrep\AstroGrep.exe" /spath="%USERPROFILE%\AppData\Local\Temp\OnboardLogs" /stypes="app*4039*20161214*" /stext=" 22:.+((SYSTEM_STATE.+slice.+state.+changed )|(ment ac)|(multiple cpu faults)|(system.+state.+changed )|(\[timeout)|(PRM\|1\|D)|(kpr)|(kdp)|(\|lc)|(penalty))" /e /r /s</v>
      </c>
      <c r="AG94" s="1" t="str">
        <f t="shared" si="40"/>
        <v>EC</v>
      </c>
      <c r="AH94" s="92" t="str">
        <f t="shared" si="41"/>
        <v>"%USERPROFILE%\Documents\GitHub\eaglep3\Utilities\RefineRTDCRunTimes.py" --tripid 182-14 --locoid 4039 --swversion DE.1.0.8.0 --startMP 204:233002 --initTime 2016-12-14T14:29:04 --startdatetime 2016-12-14T14:42:15 --delay 1 --endMP 204:187 --enddatetime 2016-12-14T15:24:58 --enforcementcount 0 &gt;&gt;C:\Users\stu\Documents\GitHub\eaglep3-reporting\EC\2016-12-14-refined-times.txt</v>
      </c>
      <c r="AI94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{"issue":{"subject":"","project_id":79,"tracker_id":40,"status_id":1,"priority_id":2,"assigned_to_id":23,"start_date":"2016-12-14","description":"","custom_fields":[{"id":1,"name":"Subdivision","value":"EC"},{"id":4,"name":"Milepost","value":"0.0187"},{"id":17,"name":"Train ID","value":"182-14"},{"id":16,"name":"Locomotive ID","value":"4039"},{"id":130,"name":"Impact","value":""},{"id":150,"name":"Time of Event (Mountain Time)","value":"15:24:58"},{"id":151,"name":"Denver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577</v>
      </c>
      <c r="B95" s="7">
        <v>4031</v>
      </c>
      <c r="C95" s="22" t="s">
        <v>207</v>
      </c>
      <c r="D95" s="22" t="s">
        <v>730</v>
      </c>
      <c r="E95" s="13">
        <v>42718.579884259256</v>
      </c>
      <c r="F95" s="13">
        <v>42718.583541666667</v>
      </c>
      <c r="G95" s="7">
        <v>1</v>
      </c>
      <c r="H95" s="22" t="s">
        <v>314</v>
      </c>
      <c r="I95" s="13">
        <v>42718.607986111114</v>
      </c>
      <c r="J95" s="7">
        <v>0</v>
      </c>
      <c r="K95" s="109" t="str">
        <f t="shared" si="29"/>
        <v>4031/4032</v>
      </c>
      <c r="L95" s="22" t="str">
        <f>VLOOKUP(A95,'Trips&amp;Operators'!$C$1:$G$99999,5,FALSE)</f>
        <v>MAGEE KENYA</v>
      </c>
      <c r="M95" s="6">
        <f t="shared" si="30"/>
        <v>2.4444444446999114E-2</v>
      </c>
      <c r="N95" s="7">
        <f t="shared" si="31"/>
        <v>35.200000003678724</v>
      </c>
      <c r="O95" s="7"/>
      <c r="P95" s="7"/>
      <c r="Q95" s="23"/>
      <c r="R95" s="23"/>
      <c r="S95" s="35">
        <f t="shared" si="32"/>
        <v>1</v>
      </c>
      <c r="T95" s="50" t="str">
        <f t="shared" si="33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12:55:02-700',mode:absolute,to:'2016-12-14 15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5" s="52" t="str">
        <f t="shared" si="35"/>
        <v>N</v>
      </c>
      <c r="X95" s="177">
        <f t="shared" si="28"/>
        <v>1</v>
      </c>
      <c r="Y95" s="67">
        <f t="shared" si="26"/>
        <v>5.8400000000000001E-2</v>
      </c>
      <c r="Z95" s="67">
        <f t="shared" si="27"/>
        <v>23.3293</v>
      </c>
      <c r="AA95" s="67">
        <f t="shared" si="36"/>
        <v>23.270900000000001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37"/>
        <v>0183-14</v>
      </c>
      <c r="AE95" s="91" t="str">
        <f t="shared" si="38"/>
        <v>aws s3 cp s3://rtdc.mdm.uploadarchive.raw/RTDC4031/ "%USERPROFILE%\AppData\Local\Temp\OnboardLogs"\RTDC4031\2016-12-14 --exclude "*" --recursive --include "*20161214*" &amp; "%USERPROFILE%\Documents\GitHub\mrs-test-scripts\Headless Mode &amp; Sideloading\WalkAndUnGZ.bat" "%USERPROFILE%\AppData\Local\Temp\OnboardLogs"\RTDC4031\2016-12-14 &amp; aws s3 cp s3://rtdc.mdm.uploadarchive.raw/RTDC4031/ "%USERPROFILE%\AppData\Local\Temp\OnboardLogs"\RTDC4031\2016-12-15 --exclude "*" --recursive --include "*20161215*" &amp; "%USERPROFILE%\Documents\GitHub\mrs-test-scripts\Headless Mode &amp; Sideloading\WalkAndUnGZ.bat" "%USERPROFILE%\AppData\Local\Temp\OnboardLogs"\RTDC4031\2016-12-15</v>
      </c>
      <c r="AF95" s="88" t="str">
        <f t="shared" si="39"/>
        <v>"C:\Program Files (x86)\AstroGrep\AstroGrep.exe" /spath="%USERPROFILE%\AppData\Local\Temp\OnboardLogs" /stypes="app*4031*20161214*" /stext=" 21:.+((SYSTEM_STATE.+slice.+state.+changed )|(ment ac)|(multiple cpu faults)|(system.+state.+changed )|(\[timeout)|(PRM\|1\|D)|(kpr)|(kdp)|(\|lc)|(penalty))" /e /r /s</v>
      </c>
      <c r="AG95" s="1" t="str">
        <f t="shared" si="40"/>
        <v>EC</v>
      </c>
      <c r="AH95" s="92" t="str">
        <f t="shared" si="41"/>
        <v>"%USERPROFILE%\Documents\GitHub\eaglep3\Utilities\RefineRTDCRunTimes.py" --tripid 183-14 --locoid 4031 --swversion DE.1.0.8.0 --startMP 204:584 --initTime 2016-12-14T13:55:02 --startdatetime 2016-12-14T14:00:18 --delay 1 --endMP 204:233293 --enddatetime 2016-12-14T14:35:30 --enforcementcount 0 &gt;&gt;C:\Users\stu\Documents\GitHub\eaglep3-reporting\EC\2016-12-14-refined-times.txt</v>
      </c>
      <c r="AI95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{"issue":{"subject":"","project_id":79,"tracker_id":40,"status_id":1,"priority_id":2,"assigned_to_id":23,"start_date":"2016-12-14","description":"","custom_fields":[{"id":1,"name":"Subdivision","value":"EC"},{"id":4,"name":"Milepost","value":"23.3293"},{"id":17,"name":"Train ID","value":"183-14"},{"id":16,"name":"Locomotive ID","value":"4031"},{"id":130,"name":"Impact","value":""},{"id":150,"name":"Time of Event (Mountain Time)","value":"14:35:30"},{"id":151,"name":"Denver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584</v>
      </c>
      <c r="B96" s="7">
        <v>4032</v>
      </c>
      <c r="C96" s="22" t="s">
        <v>207</v>
      </c>
      <c r="D96" s="22" t="s">
        <v>713</v>
      </c>
      <c r="E96" s="13">
        <v>42718.610266203701</v>
      </c>
      <c r="F96" s="13">
        <v>42718.622812499998</v>
      </c>
      <c r="G96" s="7">
        <v>1</v>
      </c>
      <c r="H96" s="22" t="s">
        <v>205</v>
      </c>
      <c r="I96" s="13">
        <v>42718.64980324074</v>
      </c>
      <c r="J96" s="7">
        <v>0</v>
      </c>
      <c r="K96" s="109" t="str">
        <f t="shared" si="29"/>
        <v>4031/4032</v>
      </c>
      <c r="L96" s="22" t="str">
        <f>VLOOKUP(A96,'Trips&amp;Operators'!$C$1:$G$99999,5,FALSE)</f>
        <v>MAGEE KENYA</v>
      </c>
      <c r="M96" s="6">
        <f t="shared" si="30"/>
        <v>2.6990740741894115E-2</v>
      </c>
      <c r="N96" s="7">
        <f t="shared" si="31"/>
        <v>38.866666668327525</v>
      </c>
      <c r="O96" s="7"/>
      <c r="P96" s="7"/>
      <c r="Q96" s="23"/>
      <c r="R96" s="23"/>
      <c r="S96" s="35">
        <f t="shared" si="32"/>
        <v>1</v>
      </c>
      <c r="T96" s="50" t="str">
        <f t="shared" si="33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13:38:47-700',mode:absolute,to:'2016-12-14 16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6" s="52" t="str">
        <f t="shared" si="35"/>
        <v>N</v>
      </c>
      <c r="X96" s="177">
        <f t="shared" si="28"/>
        <v>1</v>
      </c>
      <c r="Y96" s="67">
        <f t="shared" si="26"/>
        <v>23.2986</v>
      </c>
      <c r="Z96" s="67">
        <f t="shared" si="27"/>
        <v>1.5599999999999999E-2</v>
      </c>
      <c r="AA96" s="67">
        <f t="shared" si="36"/>
        <v>23.283000000000001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 t="shared" si="37"/>
        <v>0184-14</v>
      </c>
      <c r="AE96" s="91" t="str">
        <f t="shared" si="38"/>
        <v>aws s3 cp s3://rtdc.mdm.uploadarchive.raw/RTDC4032/ "%USERPROFILE%\AppData\Local\Temp\OnboardLogs"\RTDC4032\2016-12-14 --exclude "*" --recursive --include "*20161214*" &amp; "%USERPROFILE%\Documents\GitHub\mrs-test-scripts\Headless Mode &amp; Sideloading\WalkAndUnGZ.bat" "%USERPROFILE%\AppData\Local\Temp\OnboardLogs"\RTDC4032\2016-12-14 &amp; aws s3 cp s3://rtdc.mdm.uploadarchive.raw/RTDC4032/ "%USERPROFILE%\AppData\Local\Temp\OnboardLogs"\RTDC4032\2016-12-15 --exclude "*" --recursive --include "*20161215*" &amp; "%USERPROFILE%\Documents\GitHub\mrs-test-scripts\Headless Mode &amp; Sideloading\WalkAndUnGZ.bat" "%USERPROFILE%\AppData\Local\Temp\OnboardLogs"\RTDC4032\2016-12-15</v>
      </c>
      <c r="AF96" s="88" t="str">
        <f t="shared" si="39"/>
        <v>"C:\Program Files (x86)\AstroGrep\AstroGrep.exe" /spath="%USERPROFILE%\AppData\Local\Temp\OnboardLogs" /stypes="app*4032*20161214*" /stext=" 22:.+((SYSTEM_STATE.+slice.+state.+changed )|(ment ac)|(multiple cpu faults)|(system.+state.+changed )|(\[timeout)|(PRM\|1\|D)|(kpr)|(kdp)|(\|lc)|(penalty))" /e /r /s</v>
      </c>
      <c r="AG96" s="1" t="str">
        <f t="shared" si="40"/>
        <v>EC</v>
      </c>
      <c r="AH96" s="92" t="str">
        <f t="shared" si="41"/>
        <v>"%USERPROFILE%\Documents\GitHub\eaglep3\Utilities\RefineRTDCRunTimes.py" --tripid 184-14 --locoid 4032 --swversion DE.1.0.8.0 --startMP 204:232986 --initTime 2016-12-14T14:38:47 --startdatetime 2016-12-14T14:56:51 --delay 1 --endMP 204:156 --enddatetime 2016-12-14T15:35:43 --enforcementcount 0 &gt;&gt;C:\Users\stu\Documents\GitHub\eaglep3-reporting\EC\2016-12-14-refined-times.txt</v>
      </c>
      <c r="AI96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{"issue":{"subject":"","project_id":79,"tracker_id":40,"status_id":1,"priority_id":2,"assigned_to_id":23,"start_date":"2016-12-14","description":"","custom_fields":[{"id":1,"name":"Subdivision","value":"EC"},{"id":4,"name":"Milepost","value":"0.0156"},{"id":17,"name":"Train ID","value":"184-14"},{"id":16,"name":"Locomotive ID","value":"4032"},{"id":130,"name":"Impact","value":""},{"id":150,"name":"Time of Event (Mountain Time)","value":"15:35:43"},{"id":151,"name":"Denver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579</v>
      </c>
      <c r="B97" s="7">
        <v>4014</v>
      </c>
      <c r="C97" s="22" t="s">
        <v>207</v>
      </c>
      <c r="D97" s="22" t="s">
        <v>698</v>
      </c>
      <c r="E97" s="13">
        <v>42718.591307870367</v>
      </c>
      <c r="F97" s="13">
        <v>42718.594270833331</v>
      </c>
      <c r="G97" s="7">
        <v>1</v>
      </c>
      <c r="H97" s="22" t="s">
        <v>731</v>
      </c>
      <c r="I97" s="13">
        <v>42718.620462962965</v>
      </c>
      <c r="J97" s="7">
        <v>0</v>
      </c>
      <c r="K97" s="109" t="str">
        <f t="shared" si="29"/>
        <v>4013/4014</v>
      </c>
      <c r="L97" s="22" t="str">
        <f>VLOOKUP(A97,'Trips&amp;Operators'!$C$1:$G$99999,5,FALSE)</f>
        <v>YANG JAN</v>
      </c>
      <c r="M97" s="6">
        <f t="shared" si="30"/>
        <v>2.6192129633272998E-2</v>
      </c>
      <c r="N97" s="7">
        <f t="shared" si="31"/>
        <v>37.716666671913117</v>
      </c>
      <c r="O97" s="7"/>
      <c r="P97" s="7"/>
      <c r="Q97" s="23"/>
      <c r="R97" s="23"/>
      <c r="S97" s="35">
        <f t="shared" si="32"/>
        <v>1</v>
      </c>
      <c r="T97" s="50" t="str">
        <f t="shared" si="33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13:11:29-700',mode:absolute,to:'2016-12-14 15:53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7" s="52" t="str">
        <f t="shared" si="35"/>
        <v>N</v>
      </c>
      <c r="X97" s="177">
        <f t="shared" si="28"/>
        <v>1</v>
      </c>
      <c r="Y97" s="67">
        <f t="shared" si="26"/>
        <v>4.5699999999999998E-2</v>
      </c>
      <c r="Z97" s="67">
        <f t="shared" si="27"/>
        <v>23.3306</v>
      </c>
      <c r="AA97" s="67">
        <f t="shared" si="36"/>
        <v>23.2849</v>
      </c>
      <c r="AB97" s="64" t="e">
        <f>VLOOKUP(A97,Enforcements!$C$7:$K$19,8,0)</f>
        <v>#N/A</v>
      </c>
      <c r="AC97" s="60" t="e">
        <f>VLOOKUP(A97,Enforcements!$C$7:$E$19,3,0)</f>
        <v>#N/A</v>
      </c>
      <c r="AD97" s="61" t="str">
        <f t="shared" si="37"/>
        <v>0185-14</v>
      </c>
      <c r="AE97" s="91" t="str">
        <f t="shared" si="38"/>
        <v>aws s3 cp s3://rtdc.mdm.uploadarchive.raw/RTDC4014/ "%USERPROFILE%\AppData\Local\Temp\OnboardLogs"\RTDC4014\2016-12-14 --exclude "*" --recursive --include "*20161214*" &amp; "%USERPROFILE%\Documents\GitHub\mrs-test-scripts\Headless Mode &amp; Sideloading\WalkAndUnGZ.bat" "%USERPROFILE%\AppData\Local\Temp\OnboardLogs"\RTDC4014\2016-12-14 &amp; aws s3 cp s3://rtdc.mdm.uploadarchive.raw/RTDC4014/ "%USERPROFILE%\AppData\Local\Temp\OnboardLogs"\RTDC4014\2016-12-15 --exclude "*" --recursive --include "*20161215*" &amp; "%USERPROFILE%\Documents\GitHub\mrs-test-scripts\Headless Mode &amp; Sideloading\WalkAndUnGZ.bat" "%USERPROFILE%\AppData\Local\Temp\OnboardLogs"\RTDC4014\2016-12-15</v>
      </c>
      <c r="AF97" s="88" t="str">
        <f t="shared" si="39"/>
        <v>"C:\Program Files (x86)\AstroGrep\AstroGrep.exe" /spath="%USERPROFILE%\AppData\Local\Temp\OnboardLogs" /stypes="app*4014*20161214*" /stext=" 21:.+((SYSTEM_STATE.+slice.+state.+changed )|(ment ac)|(multiple cpu faults)|(system.+state.+changed )|(\[timeout)|(PRM\|1\|D)|(kpr)|(kdp)|(\|lc)|(penalty))" /e /r /s</v>
      </c>
      <c r="AG97" s="1" t="str">
        <f t="shared" si="40"/>
        <v>EC</v>
      </c>
      <c r="AH97" s="92" t="str">
        <f t="shared" si="41"/>
        <v>"%USERPROFILE%\Documents\GitHub\eaglep3\Utilities\RefineRTDCRunTimes.py" --tripid 185-14 --locoid 4014 --swversion DE.1.0.8.0 --startMP 204:457 --initTime 2016-12-14T14:11:29 --startdatetime 2016-12-14T14:15:45 --delay 1 --endMP 204:233306 --enddatetime 2016-12-14T14:53:28 --enforcementcount 0 &gt;&gt;C:\Users\stu\Documents\GitHub\eaglep3-reporting\EC\2016-12-14-refined-times.txt</v>
      </c>
      <c r="AI97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{"issue":{"subject":"","project_id":79,"tracker_id":40,"status_id":1,"priority_id":2,"assigned_to_id":23,"start_date":"2016-12-14","description":"","custom_fields":[{"id":1,"name":"Subdivision","value":"EC"},{"id":4,"name":"Milepost","value":"23.3306"},{"id":17,"name":"Train ID","value":"185-14"},{"id":16,"name":"Locomotive ID","value":"4014"},{"id":130,"name":"Impact","value":""},{"id":150,"name":"Time of Event (Mountain Time)","value":"14:53:28"},{"id":151,"name":"Denver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587</v>
      </c>
      <c r="B98" s="7">
        <v>4013</v>
      </c>
      <c r="C98" s="22" t="s">
        <v>207</v>
      </c>
      <c r="D98" s="22" t="s">
        <v>316</v>
      </c>
      <c r="E98" s="13">
        <v>42718.626377314817</v>
      </c>
      <c r="F98" s="13">
        <v>42718.633043981485</v>
      </c>
      <c r="G98" s="7">
        <v>1</v>
      </c>
      <c r="H98" s="22" t="s">
        <v>213</v>
      </c>
      <c r="I98" s="13">
        <v>42718.660462962966</v>
      </c>
      <c r="J98" s="7">
        <v>0</v>
      </c>
      <c r="K98" s="109" t="str">
        <f t="shared" si="29"/>
        <v>4013/4014</v>
      </c>
      <c r="L98" s="22" t="str">
        <f>VLOOKUP(A98,'Trips&amp;Operators'!$C$1:$G$99999,5,FALSE)</f>
        <v>YANG JAN</v>
      </c>
      <c r="M98" s="6">
        <f t="shared" si="30"/>
        <v>2.7418981480877846E-2</v>
      </c>
      <c r="N98" s="7">
        <f t="shared" si="31"/>
        <v>39.483333332464099</v>
      </c>
      <c r="O98" s="7"/>
      <c r="P98" s="7"/>
      <c r="Q98" s="23"/>
      <c r="R98" s="23"/>
      <c r="S98" s="35">
        <f t="shared" si="32"/>
        <v>1</v>
      </c>
      <c r="T98" s="50" t="str">
        <f t="shared" si="33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14:01:59-700',mode:absolute,to:'2016-12-14 16:51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8" s="52" t="str">
        <f t="shared" si="35"/>
        <v>N</v>
      </c>
      <c r="X98" s="177">
        <f t="shared" si="28"/>
        <v>1</v>
      </c>
      <c r="Y98" s="67">
        <f t="shared" si="26"/>
        <v>23.299299999999999</v>
      </c>
      <c r="Z98" s="67">
        <f t="shared" si="27"/>
        <v>1.4999999999999999E-2</v>
      </c>
      <c r="AA98" s="67">
        <f t="shared" si="36"/>
        <v>23.284299999999998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37"/>
        <v>0186-14</v>
      </c>
      <c r="AE98" s="91" t="str">
        <f t="shared" si="38"/>
        <v>aws s3 cp s3://rtdc.mdm.uploadarchive.raw/RTDC4013/ "%USERPROFILE%\AppData\Local\Temp\OnboardLogs"\RTDC4013\2016-12-14 --exclude "*" --recursive --include "*20161214*" &amp; "%USERPROFILE%\Documents\GitHub\mrs-test-scripts\Headless Mode &amp; Sideloading\WalkAndUnGZ.bat" "%USERPROFILE%\AppData\Local\Temp\OnboardLogs"\RTDC4013\2016-12-14 &amp; aws s3 cp s3://rtdc.mdm.uploadarchive.raw/RTDC4013/ "%USERPROFILE%\AppData\Local\Temp\OnboardLogs"\RTDC4013\2016-12-15 --exclude "*" --recursive --include "*20161215*" &amp; "%USERPROFILE%\Documents\GitHub\mrs-test-scripts\Headless Mode &amp; Sideloading\WalkAndUnGZ.bat" "%USERPROFILE%\AppData\Local\Temp\OnboardLogs"\RTDC4013\2016-12-15</v>
      </c>
      <c r="AF98" s="88" t="str">
        <f t="shared" si="39"/>
        <v>"C:\Program Files (x86)\AstroGrep\AstroGrep.exe" /spath="%USERPROFILE%\AppData\Local\Temp\OnboardLogs" /stypes="app*4013*20161214*" /stext=" 22:.+((SYSTEM_STATE.+slice.+state.+changed )|(ment ac)|(multiple cpu faults)|(system.+state.+changed )|(\[timeout)|(PRM\|1\|D)|(kpr)|(kdp)|(\|lc)|(penalty))" /e /r /s</v>
      </c>
      <c r="AG98" s="1" t="str">
        <f t="shared" si="40"/>
        <v>EC</v>
      </c>
      <c r="AH98" s="92" t="str">
        <f t="shared" si="41"/>
        <v>"%USERPROFILE%\Documents\GitHub\eaglep3\Utilities\RefineRTDCRunTimes.py" --tripid 186-14 --locoid 4013 --swversion DE.1.0.8.0 --startMP 204:232993 --initTime 2016-12-14T15:01:59 --startdatetime 2016-12-14T15:11:35 --delay 1 --endMP 204:150 --enddatetime 2016-12-14T15:51:04 --enforcementcount 0 &gt;&gt;C:\Users\stu\Documents\GitHub\eaglep3-reporting\EC\2016-12-14-refined-times.txt</v>
      </c>
      <c r="AI98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{"issue":{"subject":"","project_id":79,"tracker_id":40,"status_id":1,"priority_id":2,"assigned_to_id":23,"start_date":"2016-12-14","description":"","custom_fields":[{"id":1,"name":"Subdivision","value":"EC"},{"id":4,"name":"Milepost","value":"0.015"},{"id":17,"name":"Train ID","value":"186-14"},{"id":16,"name":"Locomotive ID","value":"4013"},{"id":130,"name":"Impact","value":""},{"id":150,"name":"Time of Event (Mountain Time)","value":"15:51:04"},{"id":151,"name":"Denver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581</v>
      </c>
      <c r="B99" s="7">
        <v>4003</v>
      </c>
      <c r="C99" s="22" t="s">
        <v>207</v>
      </c>
      <c r="D99" s="22" t="s">
        <v>328</v>
      </c>
      <c r="E99" s="13">
        <v>42718.599710648145</v>
      </c>
      <c r="F99" s="13">
        <v>42718.604386574072</v>
      </c>
      <c r="G99" s="7">
        <v>1</v>
      </c>
      <c r="H99" s="22" t="s">
        <v>732</v>
      </c>
      <c r="I99" s="13">
        <v>42718.633726851855</v>
      </c>
      <c r="J99" s="7">
        <v>0</v>
      </c>
      <c r="K99" s="109" t="str">
        <f t="shared" si="29"/>
        <v>4003/4004</v>
      </c>
      <c r="L99" s="22" t="str">
        <f>VLOOKUP(A99,'Trips&amp;Operators'!$C$1:$G$99999,5,FALSE)</f>
        <v>BONDS REYNALDO</v>
      </c>
      <c r="M99" s="6">
        <f t="shared" si="30"/>
        <v>2.9340277782466728E-2</v>
      </c>
      <c r="N99" s="7">
        <f t="shared" si="31"/>
        <v>42.250000006752089</v>
      </c>
      <c r="O99" s="7"/>
      <c r="P99" s="7"/>
      <c r="Q99" s="23"/>
      <c r="R99" s="23"/>
      <c r="S99" s="35">
        <f t="shared" si="32"/>
        <v>1</v>
      </c>
      <c r="T99" s="50" t="str">
        <f t="shared" si="33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13:23:35-700',mode:absolute,to:'2016-12-14 16:12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9" s="52" t="str">
        <f t="shared" si="35"/>
        <v>N</v>
      </c>
      <c r="X99" s="177">
        <f t="shared" si="28"/>
        <v>1</v>
      </c>
      <c r="Y99" s="67">
        <f t="shared" si="26"/>
        <v>4.6600000000000003E-2</v>
      </c>
      <c r="Z99" s="67">
        <f t="shared" si="27"/>
        <v>23.332000000000001</v>
      </c>
      <c r="AA99" s="67">
        <f t="shared" si="36"/>
        <v>23.285399999999999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 t="shared" si="37"/>
        <v>0187-14</v>
      </c>
      <c r="AE99" s="91" t="str">
        <f t="shared" si="38"/>
        <v>aws s3 cp s3://rtdc.mdm.uploadarchive.raw/RTDC4003/ "%USERPROFILE%\AppData\Local\Temp\OnboardLogs"\RTDC4003\2016-12-14 --exclude "*" --recursive --include "*20161214*" &amp; "%USERPROFILE%\Documents\GitHub\mrs-test-scripts\Headless Mode &amp; Sideloading\WalkAndUnGZ.bat" "%USERPROFILE%\AppData\Local\Temp\OnboardLogs"\RTDC4003\2016-12-14 &amp; aws s3 cp s3://rtdc.mdm.uploadarchive.raw/RTDC4003/ "%USERPROFILE%\AppData\Local\Temp\OnboardLogs"\RTDC4003\2016-12-15 --exclude "*" --recursive --include "*20161215*" &amp; "%USERPROFILE%\Documents\GitHub\mrs-test-scripts\Headless Mode &amp; Sideloading\WalkAndUnGZ.bat" "%USERPROFILE%\AppData\Local\Temp\OnboardLogs"\RTDC4003\2016-12-15</v>
      </c>
      <c r="AF99" s="88" t="str">
        <f t="shared" si="39"/>
        <v>"C:\Program Files (x86)\AstroGrep\AstroGrep.exe" /spath="%USERPROFILE%\AppData\Local\Temp\OnboardLogs" /stypes="app*4003*20161214*" /stext=" 22:.+((SYSTEM_STATE.+slice.+state.+changed )|(ment ac)|(multiple cpu faults)|(system.+state.+changed )|(\[timeout)|(PRM\|1\|D)|(kpr)|(kdp)|(\|lc)|(penalty))" /e /r /s</v>
      </c>
      <c r="AG99" s="1" t="str">
        <f t="shared" si="40"/>
        <v>EC</v>
      </c>
      <c r="AH99" s="92" t="str">
        <f t="shared" si="41"/>
        <v>"%USERPROFILE%\Documents\GitHub\eaglep3\Utilities\RefineRTDCRunTimes.py" --tripid 187-14 --locoid 4003 --swversion DE.1.0.8.0 --startMP 204:466 --initTime 2016-12-14T14:23:35 --startdatetime 2016-12-14T14:30:19 --delay 1 --endMP 204:233320 --enddatetime 2016-12-14T15:12:34 --enforcementcount 0 &gt;&gt;C:\Users\stu\Documents\GitHub\eaglep3-reporting\EC\2016-12-14-refined-times.txt</v>
      </c>
      <c r="AI99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{"issue":{"subject":"","project_id":79,"tracker_id":40,"status_id":1,"priority_id":2,"assigned_to_id":23,"start_date":"2016-12-14","description":"","custom_fields":[{"id":1,"name":"Subdivision","value":"EC"},{"id":4,"name":"Milepost","value":"23.332"},{"id":17,"name":"Train ID","value":"187-14"},{"id":16,"name":"Locomotive ID","value":"4003"},{"id":130,"name":"Impact","value":""},{"id":150,"name":"Time of Event (Mountain Time)","value":"15:12:34"},{"id":151,"name":"Denver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589</v>
      </c>
      <c r="B100" s="7">
        <v>4004</v>
      </c>
      <c r="C100" s="22" t="s">
        <v>207</v>
      </c>
      <c r="D100" s="22" t="s">
        <v>692</v>
      </c>
      <c r="E100" s="13">
        <v>42718.637627314813</v>
      </c>
      <c r="F100" s="13">
        <v>42718.643310185187</v>
      </c>
      <c r="G100" s="7">
        <v>1</v>
      </c>
      <c r="H100" s="22" t="s">
        <v>254</v>
      </c>
      <c r="I100" s="13">
        <v>42718.67114583333</v>
      </c>
      <c r="J100" s="7">
        <v>0</v>
      </c>
      <c r="K100" s="109" t="str">
        <f t="shared" si="29"/>
        <v>4003/4004</v>
      </c>
      <c r="L100" s="22" t="str">
        <f>VLOOKUP(A100,'Trips&amp;Operators'!$C$1:$G$99999,5,FALSE)</f>
        <v>BONDS REYNALDO</v>
      </c>
      <c r="M100" s="6">
        <f t="shared" si="30"/>
        <v>2.7835648143081926E-2</v>
      </c>
      <c r="N100" s="7">
        <f t="shared" si="31"/>
        <v>40.083333326037973</v>
      </c>
      <c r="O100" s="7"/>
      <c r="P100" s="7"/>
      <c r="Q100" s="23"/>
      <c r="R100" s="23"/>
      <c r="S100" s="35">
        <f t="shared" si="32"/>
        <v>1</v>
      </c>
      <c r="T100" s="50" t="str">
        <f t="shared" si="33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14:18:11-700',mode:absolute,to:'2016-12-14 17:06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0" s="52" t="str">
        <f t="shared" si="35"/>
        <v>N</v>
      </c>
      <c r="X100" s="177">
        <f t="shared" si="28"/>
        <v>1</v>
      </c>
      <c r="Y100" s="67">
        <f t="shared" si="26"/>
        <v>23.298200000000001</v>
      </c>
      <c r="Z100" s="67">
        <f t="shared" si="27"/>
        <v>1.6299999999999999E-2</v>
      </c>
      <c r="AA100" s="67">
        <f t="shared" si="36"/>
        <v>23.2819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37"/>
        <v>0188-14</v>
      </c>
      <c r="AE100" s="91" t="str">
        <f t="shared" si="38"/>
        <v>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 &amp; aws s3 cp s3://rtdc.mdm.uploadarchive.raw/RTDC4004/ "%USERPROFILE%\AppData\Local\Temp\OnboardLogs"\RTDC4004\2016-12-15 --exclude "*" --recursive --include "*20161215*" &amp; "%USERPROFILE%\Documents\GitHub\mrs-test-scripts\Headless Mode &amp; Sideloading\WalkAndUnGZ.bat" "%USERPROFILE%\AppData\Local\Temp\OnboardLogs"\RTDC4004\2016-12-15</v>
      </c>
      <c r="AF100" s="88" t="str">
        <f t="shared" si="39"/>
        <v>"C:\Program Files (x86)\AstroGrep\AstroGrep.exe" /spath="%USERPROFILE%\AppData\Local\Temp\OnboardLogs" /stypes="app*4004*20161214*" /stext=" 23:.+((SYSTEM_STATE.+slice.+state.+changed )|(ment ac)|(multiple cpu faults)|(system.+state.+changed )|(\[timeout)|(PRM\|1\|D)|(kpr)|(kdp)|(\|lc)|(penalty))" /e /r /s</v>
      </c>
      <c r="AG100" s="1" t="str">
        <f t="shared" si="40"/>
        <v>EC</v>
      </c>
      <c r="AH100" s="92" t="str">
        <f t="shared" si="41"/>
        <v>"%USERPROFILE%\Documents\GitHub\eaglep3\Utilities\RefineRTDCRunTimes.py" --tripid 188-14 --locoid 4004 --swversion DE.1.0.8.0 --startMP 204:232982 --initTime 2016-12-14T15:18:11 --startdatetime 2016-12-14T15:26:22 --delay 1 --endMP 204:163 --enddatetime 2016-12-14T16:06:27 --enforcementcount 0 &gt;&gt;C:\Users\stu\Documents\GitHub\eaglep3-reporting\EC\2016-12-14-refined-times.txt</v>
      </c>
      <c r="AI100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{"issue":{"subject":"","project_id":79,"tracker_id":40,"status_id":1,"priority_id":2,"assigned_to_id":23,"start_date":"2016-12-14","description":"","custom_fields":[{"id":1,"name":"Subdivision","value":"EC"},{"id":4,"name":"Milepost","value":"0.0163"},{"id":17,"name":"Train ID","value":"188-14"},{"id":16,"name":"Locomotive ID","value":"4004"},{"id":130,"name":"Impact","value":""},{"id":150,"name":"Time of Event (Mountain Time)","value":"16:06:27"},{"id":151,"name":"Denver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585</v>
      </c>
      <c r="B101" s="7">
        <v>4046</v>
      </c>
      <c r="C101" s="22" t="s">
        <v>207</v>
      </c>
      <c r="D101" s="22" t="s">
        <v>236</v>
      </c>
      <c r="E101" s="13">
        <v>42718.610173611109</v>
      </c>
      <c r="F101" s="13">
        <v>42718.614907407406</v>
      </c>
      <c r="G101" s="7">
        <v>1</v>
      </c>
      <c r="H101" s="22" t="s">
        <v>733</v>
      </c>
      <c r="I101" s="13">
        <v>42718.640289351853</v>
      </c>
      <c r="J101" s="7">
        <v>0</v>
      </c>
      <c r="K101" s="109" t="str">
        <f t="shared" si="29"/>
        <v>4045/4046</v>
      </c>
      <c r="L101" s="22" t="str">
        <f>VLOOKUP(A101,'Trips&amp;Operators'!$C$1:$G$99999,5,FALSE)</f>
        <v>BARTLETT KIANDRA</v>
      </c>
      <c r="M101" s="6">
        <f t="shared" si="30"/>
        <v>2.5381944447872229E-2</v>
      </c>
      <c r="N101" s="7">
        <f t="shared" si="31"/>
        <v>36.55000000493601</v>
      </c>
      <c r="O101" s="7"/>
      <c r="P101" s="7"/>
      <c r="Q101" s="23"/>
      <c r="R101" s="23"/>
      <c r="S101" s="35">
        <f t="shared" si="32"/>
        <v>1</v>
      </c>
      <c r="T101" s="50" t="str">
        <f t="shared" si="33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13:38:39-700',mode:absolute,to:'2016-12-14 16:22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1" s="52" t="str">
        <f t="shared" si="35"/>
        <v>N</v>
      </c>
      <c r="X101" s="177">
        <f t="shared" si="28"/>
        <v>1</v>
      </c>
      <c r="Y101" s="67">
        <f t="shared" si="26"/>
        <v>4.7100000000000003E-2</v>
      </c>
      <c r="Z101" s="67">
        <f t="shared" si="27"/>
        <v>23.332100000000001</v>
      </c>
      <c r="AA101" s="67">
        <f t="shared" si="36"/>
        <v>23.285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37"/>
        <v>0189-14</v>
      </c>
      <c r="AE101" s="91" t="str">
        <f t="shared" si="38"/>
        <v>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 &amp; aws s3 cp s3://rtdc.mdm.uploadarchive.raw/RTDC4046/ "%USERPROFILE%\AppData\Local\Temp\OnboardLogs"\RTDC4046\2016-12-15 --exclude "*" --recursive --include "*20161215*" &amp; "%USERPROFILE%\Documents\GitHub\mrs-test-scripts\Headless Mode &amp; Sideloading\WalkAndUnGZ.bat" "%USERPROFILE%\AppData\Local\Temp\OnboardLogs"\RTDC4046\2016-12-15</v>
      </c>
      <c r="AF101" s="88" t="str">
        <f t="shared" si="39"/>
        <v>"C:\Program Files (x86)\AstroGrep\AstroGrep.exe" /spath="%USERPROFILE%\AppData\Local\Temp\OnboardLogs" /stypes="app*4046*20161214*" /stext=" 22:.+((SYSTEM_STATE.+slice.+state.+changed )|(ment ac)|(multiple cpu faults)|(system.+state.+changed )|(\[timeout)|(PRM\|1\|D)|(kpr)|(kdp)|(\|lc)|(penalty))" /e /r /s</v>
      </c>
      <c r="AG101" s="1" t="str">
        <f t="shared" si="40"/>
        <v>EC</v>
      </c>
      <c r="AH101" s="92" t="str">
        <f t="shared" si="41"/>
        <v>"%USERPROFILE%\Documents\GitHub\eaglep3\Utilities\RefineRTDCRunTimes.py" --tripid 189-14 --locoid 4046 --swversion DE.1.0.8.0 --startMP 204:471 --initTime 2016-12-14T14:38:39 --startdatetime 2016-12-14T14:45:28 --delay 1 --endMP 204:233321 --enddatetime 2016-12-14T15:22:01 --enforcementcount 0 &gt;&gt;C:\Users\stu\Documents\GitHub\eaglep3-reporting\EC\2016-12-14-refined-times.txt</v>
      </c>
      <c r="AI101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{"issue":{"subject":"","project_id":79,"tracker_id":40,"status_id":1,"priority_id":2,"assigned_to_id":23,"start_date":"2016-12-14","description":"","custom_fields":[{"id":1,"name":"Subdivision","value":"EC"},{"id":4,"name":"Milepost","value":"23.3321"},{"id":17,"name":"Train ID","value":"189-14"},{"id":16,"name":"Locomotive ID","value":"4046"},{"id":130,"name":"Impact","value":""},{"id":150,"name":"Time of Event (Mountain Time)","value":"15:22:01"},{"id":151,"name":"Denver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594</v>
      </c>
      <c r="B102" s="7">
        <v>4045</v>
      </c>
      <c r="C102" s="22" t="s">
        <v>207</v>
      </c>
      <c r="D102" s="22" t="s">
        <v>724</v>
      </c>
      <c r="E102" s="13">
        <v>42718.646782407406</v>
      </c>
      <c r="F102" s="13">
        <v>42718.653877314813</v>
      </c>
      <c r="G102" s="7">
        <v>2</v>
      </c>
      <c r="H102" s="22" t="s">
        <v>227</v>
      </c>
      <c r="I102" s="13">
        <v>42718.681134259263</v>
      </c>
      <c r="J102" s="7">
        <v>0</v>
      </c>
      <c r="K102" s="109" t="str">
        <f t="shared" si="29"/>
        <v>4045/4046</v>
      </c>
      <c r="L102" s="22" t="str">
        <f>VLOOKUP(A102,'Trips&amp;Operators'!$C$1:$G$99999,5,FALSE)</f>
        <v>BARTLETT KIANDRA</v>
      </c>
      <c r="M102" s="6">
        <f t="shared" si="30"/>
        <v>2.7256944449618459E-2</v>
      </c>
      <c r="N102" s="7">
        <f t="shared" si="31"/>
        <v>39.250000007450581</v>
      </c>
      <c r="O102" s="7"/>
      <c r="P102" s="7"/>
      <c r="Q102" s="23"/>
      <c r="R102" s="23"/>
      <c r="S102" s="35">
        <f t="shared" si="32"/>
        <v>1</v>
      </c>
      <c r="T102" s="50" t="str">
        <f t="shared" si="33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14:31:22-700',mode:absolute,to:'2016-12-14 17:20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2" s="52" t="str">
        <f t="shared" si="35"/>
        <v>N</v>
      </c>
      <c r="X102" s="177">
        <f t="shared" si="28"/>
        <v>1</v>
      </c>
      <c r="Y102" s="67">
        <f t="shared" si="26"/>
        <v>23.300599999999999</v>
      </c>
      <c r="Z102" s="67">
        <f t="shared" si="27"/>
        <v>1.41E-2</v>
      </c>
      <c r="AA102" s="67">
        <f t="shared" si="36"/>
        <v>23.2865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37"/>
        <v>0190-14</v>
      </c>
      <c r="AE102" s="91" t="str">
        <f t="shared" si="38"/>
        <v>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 &amp; aws s3 cp s3://rtdc.mdm.uploadarchive.raw/RTDC4045/ "%USERPROFILE%\AppData\Local\Temp\OnboardLogs"\RTDC4045\2016-12-15 --exclude "*" --recursive --include "*20161215*" &amp; "%USERPROFILE%\Documents\GitHub\mrs-test-scripts\Headless Mode &amp; Sideloading\WalkAndUnGZ.bat" "%USERPROFILE%\AppData\Local\Temp\OnboardLogs"\RTDC4045\2016-12-15</v>
      </c>
      <c r="AF102" s="88" t="str">
        <f t="shared" si="39"/>
        <v>"C:\Program Files (x86)\AstroGrep\AstroGrep.exe" /spath="%USERPROFILE%\AppData\Local\Temp\OnboardLogs" /stypes="app*4045*20161214*" /stext=" 23:.+((SYSTEM_STATE.+slice.+state.+changed )|(ment ac)|(multiple cpu faults)|(system.+state.+changed )|(\[timeout)|(PRM\|1\|D)|(kpr)|(kdp)|(\|lc)|(penalty))" /e /r /s</v>
      </c>
      <c r="AG102" s="1" t="str">
        <f t="shared" si="40"/>
        <v>EC</v>
      </c>
      <c r="AH102" s="92" t="str">
        <f t="shared" si="41"/>
        <v>"%USERPROFILE%\Documents\GitHub\eaglep3\Utilities\RefineRTDCRunTimes.py" --tripid 190-14 --locoid 4045 --swversion DE.1.0.8.0 --startMP 204:233006 --initTime 2016-12-14T15:31:22 --startdatetime 2016-12-14T15:41:35 --delay 2 --endMP 204:141 --enddatetime 2016-12-14T16:20:50 --enforcementcount 0 &gt;&gt;C:\Users\stu\Documents\GitHub\eaglep3-reporting\EC\2016-12-14-refined-times.txt</v>
      </c>
      <c r="AI102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{"issue":{"subject":"","project_id":79,"tracker_id":40,"status_id":1,"priority_id":2,"assigned_to_id":23,"start_date":"2016-12-14","description":"","custom_fields":[{"id":1,"name":"Subdivision","value":"EC"},{"id":4,"name":"Milepost","value":"0.0141"},{"id":17,"name":"Train ID","value":"190-14"},{"id":16,"name":"Locomotive ID","value":"4045"},{"id":130,"name":"Impact","value":""},{"id":150,"name":"Time of Event (Mountain Time)","value":"16:20:50"},{"id":151,"name":"Denver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586</v>
      </c>
      <c r="B103" s="7">
        <v>4044</v>
      </c>
      <c r="C103" s="22" t="s">
        <v>207</v>
      </c>
      <c r="D103" s="22" t="s">
        <v>232</v>
      </c>
      <c r="E103" s="13">
        <v>42718.620127314818</v>
      </c>
      <c r="F103" s="13">
        <v>42718.625243055554</v>
      </c>
      <c r="G103" s="7">
        <v>1</v>
      </c>
      <c r="H103" s="22" t="s">
        <v>734</v>
      </c>
      <c r="I103" s="13">
        <v>42718.650393518517</v>
      </c>
      <c r="J103" s="7">
        <v>0</v>
      </c>
      <c r="K103" s="109" t="str">
        <f t="shared" si="29"/>
        <v>4043/4044</v>
      </c>
      <c r="L103" s="22" t="str">
        <f>VLOOKUP(A103,'Trips&amp;Operators'!$C$1:$G$99999,5,FALSE)</f>
        <v>DUNCAN SHEILA</v>
      </c>
      <c r="M103" s="6">
        <f t="shared" si="30"/>
        <v>2.5150462963210884E-2</v>
      </c>
      <c r="N103" s="7">
        <f t="shared" si="31"/>
        <v>36.216666667023674</v>
      </c>
      <c r="O103" s="7"/>
      <c r="P103" s="7"/>
      <c r="Q103" s="23"/>
      <c r="R103" s="23"/>
      <c r="S103" s="35">
        <f t="shared" si="32"/>
        <v>1</v>
      </c>
      <c r="T103" s="50" t="str">
        <f t="shared" si="33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13:52:59-700',mode:absolute,to:'2016-12-14 16:36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3" s="52" t="str">
        <f t="shared" si="35"/>
        <v>N</v>
      </c>
      <c r="X103" s="177">
        <f t="shared" si="28"/>
        <v>1</v>
      </c>
      <c r="Y103" s="67">
        <f t="shared" ref="Y103:Y134" si="43">RIGHT(D103,LEN(D103)-4)/10000</f>
        <v>4.5499999999999999E-2</v>
      </c>
      <c r="Z103" s="67">
        <f t="shared" ref="Z103:Z134" si="44">RIGHT(H103,LEN(H103)-4)/10000</f>
        <v>23.327000000000002</v>
      </c>
      <c r="AA103" s="67">
        <f t="shared" si="36"/>
        <v>23.281500000000001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37"/>
        <v>0191-14</v>
      </c>
      <c r="AE103" s="91" t="str">
        <f t="shared" si="38"/>
        <v>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 &amp; aws s3 cp s3://rtdc.mdm.uploadarchive.raw/RTDC4044/ "%USERPROFILE%\AppData\Local\Temp\OnboardLogs"\RTDC4044\2016-12-15 --exclude "*" --recursive --include "*20161215*" &amp; "%USERPROFILE%\Documents\GitHub\mrs-test-scripts\Headless Mode &amp; Sideloading\WalkAndUnGZ.bat" "%USERPROFILE%\AppData\Local\Temp\OnboardLogs"\RTDC4044\2016-12-15</v>
      </c>
      <c r="AF103" s="88" t="str">
        <f t="shared" si="39"/>
        <v>"C:\Program Files (x86)\AstroGrep\AstroGrep.exe" /spath="%USERPROFILE%\AppData\Local\Temp\OnboardLogs" /stypes="app*4044*20161214*" /stext=" 22:.+((SYSTEM_STATE.+slice.+state.+changed )|(ment ac)|(multiple cpu faults)|(system.+state.+changed )|(\[timeout)|(PRM\|1\|D)|(kpr)|(kdp)|(\|lc)|(penalty))" /e /r /s</v>
      </c>
      <c r="AG103" s="1" t="str">
        <f t="shared" si="40"/>
        <v>EC</v>
      </c>
      <c r="AH103" s="92" t="str">
        <f t="shared" si="41"/>
        <v>"%USERPROFILE%\Documents\GitHub\eaglep3\Utilities\RefineRTDCRunTimes.py" --tripid 191-14 --locoid 4044 --swversion DE.1.0.8.0 --startMP 204:455 --initTime 2016-12-14T14:52:59 --startdatetime 2016-12-14T15:00:21 --delay 1 --endMP 204:233270 --enddatetime 2016-12-14T15:36:34 --enforcementcount 0 &gt;&gt;C:\Users\stu\Documents\GitHub\eaglep3-reporting\EC\2016-12-14-refined-times.txt</v>
      </c>
      <c r="AI103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{"issue":{"subject":"","project_id":79,"tracker_id":40,"status_id":1,"priority_id":2,"assigned_to_id":23,"start_date":"2016-12-14","description":"","custom_fields":[{"id":1,"name":"Subdivision","value":"EC"},{"id":4,"name":"Milepost","value":"23.327"},{"id":17,"name":"Train ID","value":"191-14"},{"id":16,"name":"Locomotive ID","value":"4044"},{"id":130,"name":"Impact","value":""},{"id":150,"name":"Time of Event (Mountain Time)","value":"15:36:34"},{"id":151,"name":"Denver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598</v>
      </c>
      <c r="B104" s="7">
        <v>4043</v>
      </c>
      <c r="C104" s="22" t="s">
        <v>207</v>
      </c>
      <c r="D104" s="22" t="s">
        <v>330</v>
      </c>
      <c r="E104" s="13">
        <v>42718.660254629627</v>
      </c>
      <c r="F104" s="13">
        <v>42718.6643287037</v>
      </c>
      <c r="G104" s="7">
        <v>2</v>
      </c>
      <c r="H104" s="22" t="s">
        <v>735</v>
      </c>
      <c r="I104" s="13">
        <v>42718.691388888888</v>
      </c>
      <c r="J104" s="7">
        <v>0</v>
      </c>
      <c r="K104" s="109" t="str">
        <f t="shared" si="29"/>
        <v>4043/4044</v>
      </c>
      <c r="L104" s="22" t="str">
        <f>VLOOKUP(A104,'Trips&amp;Operators'!$C$1:$G$99999,5,FALSE)</f>
        <v>DUNCAN SHEILA</v>
      </c>
      <c r="M104" s="6">
        <f t="shared" si="30"/>
        <v>2.7060185188020114E-2</v>
      </c>
      <c r="N104" s="7">
        <f t="shared" si="31"/>
        <v>38.966666670748964</v>
      </c>
      <c r="O104" s="7"/>
      <c r="P104" s="7"/>
      <c r="Q104" s="23"/>
      <c r="R104" s="23"/>
      <c r="S104" s="35">
        <f t="shared" si="32"/>
        <v>1</v>
      </c>
      <c r="T104" s="50" t="str">
        <f t="shared" si="33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14:50:46-700',mode:absolute,to:'2016-12-14 17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4" s="52" t="str">
        <f t="shared" si="35"/>
        <v>N</v>
      </c>
      <c r="X104" s="177">
        <f t="shared" si="28"/>
        <v>1</v>
      </c>
      <c r="Y104" s="67">
        <f t="shared" si="43"/>
        <v>23.295300000000001</v>
      </c>
      <c r="Z104" s="67">
        <f t="shared" si="44"/>
        <v>1.7399999999999999E-2</v>
      </c>
      <c r="AA104" s="67">
        <f t="shared" si="36"/>
        <v>23.277900000000002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37"/>
        <v>0192-14</v>
      </c>
      <c r="AE104" s="91" t="str">
        <f t="shared" si="38"/>
        <v>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 &amp; aws s3 cp s3://rtdc.mdm.uploadarchive.raw/RTDC4043/ "%USERPROFILE%\AppData\Local\Temp\OnboardLogs"\RTDC4043\2016-12-15 --exclude "*" --recursive --include "*20161215*" &amp; "%USERPROFILE%\Documents\GitHub\mrs-test-scripts\Headless Mode &amp; Sideloading\WalkAndUnGZ.bat" "%USERPROFILE%\AppData\Local\Temp\OnboardLogs"\RTDC4043\2016-12-15</v>
      </c>
      <c r="AF104" s="88" t="str">
        <f t="shared" si="39"/>
        <v>"C:\Program Files (x86)\AstroGrep\AstroGrep.exe" /spath="%USERPROFILE%\AppData\Local\Temp\OnboardLogs" /stypes="app*4043*20161214*" /stext=" 23:.+((SYSTEM_STATE.+slice.+state.+changed )|(ment ac)|(multiple cpu faults)|(system.+state.+changed )|(\[timeout)|(PRM\|1\|D)|(kpr)|(kdp)|(\|lc)|(penalty))" /e /r /s</v>
      </c>
      <c r="AG104" s="1" t="str">
        <f t="shared" si="40"/>
        <v>EC</v>
      </c>
      <c r="AH104" s="92" t="str">
        <f t="shared" si="41"/>
        <v>"%USERPROFILE%\Documents\GitHub\eaglep3\Utilities\RefineRTDCRunTimes.py" --tripid 192-14 --locoid 4043 --swversion DE.1.0.8.0 --startMP 204:232953 --initTime 2016-12-14T15:50:46 --startdatetime 2016-12-14T15:56:38 --delay 2 --endMP 204:174 --enddatetime 2016-12-14T16:35:36 --enforcementcount 0 &gt;&gt;C:\Users\stu\Documents\GitHub\eaglep3-reporting\EC\2016-12-14-refined-times.txt</v>
      </c>
      <c r="AI104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{"issue":{"subject":"","project_id":79,"tracker_id":40,"status_id":1,"priority_id":2,"assigned_to_id":23,"start_date":"2016-12-14","description":"","custom_fields":[{"id":1,"name":"Subdivision","value":"EC"},{"id":4,"name":"Milepost","value":"0.0174"},{"id":17,"name":"Train ID","value":"192-14"},{"id":16,"name":"Locomotive ID","value":"4043"},{"id":130,"name":"Impact","value":""},{"id":150,"name":"Time of Event (Mountain Time)","value":"16:35:36"},{"id":151,"name":"Denver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440</v>
      </c>
      <c r="B105" s="7">
        <v>4016</v>
      </c>
      <c r="C105" s="22" t="s">
        <v>207</v>
      </c>
      <c r="D105" s="22" t="s">
        <v>195</v>
      </c>
      <c r="E105" s="13">
        <v>42718.631597222222</v>
      </c>
      <c r="F105" s="13">
        <v>42718.674849537034</v>
      </c>
      <c r="G105" s="7">
        <v>2</v>
      </c>
      <c r="H105" s="22" t="s">
        <v>731</v>
      </c>
      <c r="I105" s="13">
        <v>42718.703692129631</v>
      </c>
      <c r="J105" s="7">
        <v>0</v>
      </c>
      <c r="K105" s="109" t="str">
        <f t="shared" si="29"/>
        <v>4015/4016</v>
      </c>
      <c r="L105" s="22" t="str">
        <f>VLOOKUP(A105,'Trips&amp;Operators'!$C$1:$G$99999,5,FALSE)</f>
        <v>ADANE ELSHADAY</v>
      </c>
      <c r="M105" s="6">
        <f t="shared" si="30"/>
        <v>2.8842592597356997E-2</v>
      </c>
      <c r="N105" s="7">
        <f t="shared" si="31"/>
        <v>41.533333340194076</v>
      </c>
      <c r="O105" s="7"/>
      <c r="P105" s="7"/>
      <c r="Q105" s="23"/>
      <c r="R105" s="23"/>
      <c r="S105" s="35">
        <f t="shared" si="32"/>
        <v>1</v>
      </c>
      <c r="T105" s="50" t="str">
        <f t="shared" si="33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14:09:30-700',mode:absolute,to:'2016-12-14 17:53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5" s="52" t="str">
        <f t="shared" si="35"/>
        <v>N</v>
      </c>
      <c r="X105" s="177">
        <f t="shared" si="28"/>
        <v>1</v>
      </c>
      <c r="Y105" s="67">
        <f t="shared" si="43"/>
        <v>4.5100000000000001E-2</v>
      </c>
      <c r="Z105" s="67">
        <f t="shared" si="44"/>
        <v>23.3306</v>
      </c>
      <c r="AA105" s="67">
        <f t="shared" si="36"/>
        <v>23.285499999999999</v>
      </c>
      <c r="AB105" s="64" t="str">
        <f>VLOOKUP(A105,Enforcements!$C$7:$K$19,8,0)</f>
        <v>Speed (6)</v>
      </c>
      <c r="AC105" s="60" t="str">
        <f>VLOOKUP(A105,Enforcements!$C$7:$E$19,3,0)</f>
        <v>PERMANENT SPEED RESTRICTION</v>
      </c>
      <c r="AD105" s="61" t="str">
        <f t="shared" si="37"/>
        <v>0193-14</v>
      </c>
      <c r="AE105" s="91" t="str">
        <f t="shared" si="38"/>
        <v>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 &amp; aws s3 cp s3://rtdc.mdm.uploadarchive.raw/RTDC4016/ "%USERPROFILE%\AppData\Local\Temp\OnboardLogs"\RTDC4016\2016-12-15 --exclude "*" --recursive --include "*20161215*" &amp; "%USERPROFILE%\Documents\GitHub\mrs-test-scripts\Headless Mode &amp; Sideloading\WalkAndUnGZ.bat" "%USERPROFILE%\AppData\Local\Temp\OnboardLogs"\RTDC4016\2016-12-15</v>
      </c>
      <c r="AF105" s="88" t="str">
        <f t="shared" si="39"/>
        <v>"C:\Program Files (x86)\AstroGrep\AstroGrep.exe" /spath="%USERPROFILE%\AppData\Local\Temp\OnboardLogs" /stypes="app*4016*20161214*" /stext=" 23:.+((SYSTEM_STATE.+slice.+state.+changed )|(ment ac)|(multiple cpu faults)|(system.+state.+changed )|(\[timeout)|(PRM\|1\|D)|(kpr)|(kdp)|(\|lc)|(penalty))" /e /r /s</v>
      </c>
      <c r="AG105" s="1" t="str">
        <f t="shared" si="40"/>
        <v>EC</v>
      </c>
      <c r="AH105" s="92" t="str">
        <f t="shared" si="41"/>
        <v>"%USERPROFILE%\Documents\GitHub\eaglep3\Utilities\RefineRTDCRunTimes.py" --tripid 193-14 --locoid 4016 --swversion DE.1.0.8.0 --startMP 204:451 --initTime 2016-12-14T15:09:30 --startdatetime 2016-12-14T16:11:47 --delay 2 --endMP 204:233306 --enddatetime 2016-12-14T16:53:19 --enforcementcount 0 &gt;&gt;C:\Users\stu\Documents\GitHub\eaglep3-reporting\EC\2016-12-14-refined-times.txt</v>
      </c>
      <c r="AI105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{"issue":{"subject":"","project_id":79,"tracker_id":40,"status_id":1,"priority_id":2,"assigned_to_id":23,"start_date":"2016-12-14","description":"","custom_fields":[{"id":1,"name":"Subdivision","value":"EC"},{"id":4,"name":"Milepost","value":"23.3306"},{"id":17,"name":"Train ID","value":"193-14"},{"id":16,"name":"Locomotive ID","value":"4016"},{"id":130,"name":"Impact","value":""},{"id":150,"name":"Time of Event (Mountain Time)","value":"16:53:19"},{"id":151,"name":"Denver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442</v>
      </c>
      <c r="B106" s="7">
        <v>4015</v>
      </c>
      <c r="C106" s="22" t="s">
        <v>207</v>
      </c>
      <c r="D106" s="22" t="s">
        <v>293</v>
      </c>
      <c r="E106" s="13">
        <v>42718.662951388891</v>
      </c>
      <c r="F106" s="13">
        <v>42718.674849537034</v>
      </c>
      <c r="G106" s="7">
        <v>1</v>
      </c>
      <c r="H106" s="22" t="s">
        <v>192</v>
      </c>
      <c r="I106" s="13">
        <v>42718.703692129631</v>
      </c>
      <c r="J106" s="7">
        <v>0</v>
      </c>
      <c r="K106" s="109" t="str">
        <f t="shared" si="29"/>
        <v>4015/4016</v>
      </c>
      <c r="L106" s="22" t="str">
        <f>VLOOKUP(A106,'Trips&amp;Operators'!$C$1:$G$99999,5,FALSE)</f>
        <v>ADANE ELSHADAY</v>
      </c>
      <c r="M106" s="6">
        <f t="shared" si="30"/>
        <v>2.8842592597356997E-2</v>
      </c>
      <c r="N106" s="7">
        <f t="shared" si="31"/>
        <v>41.533333340194076</v>
      </c>
      <c r="O106" s="7"/>
      <c r="P106" s="7"/>
      <c r="Q106" s="23"/>
      <c r="R106" s="23"/>
      <c r="S106" s="35">
        <f t="shared" si="32"/>
        <v>1</v>
      </c>
      <c r="T106" s="50" t="str">
        <f t="shared" si="33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14:54:39-700',mode:absolute,to:'2016-12-14 17:53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6" s="52" t="str">
        <f t="shared" si="35"/>
        <v>N</v>
      </c>
      <c r="X106" s="177">
        <f t="shared" si="28"/>
        <v>1</v>
      </c>
      <c r="Y106" s="67">
        <f t="shared" si="43"/>
        <v>23.2989</v>
      </c>
      <c r="Z106" s="67">
        <f t="shared" si="44"/>
        <v>1.49E-2</v>
      </c>
      <c r="AA106" s="67">
        <f t="shared" si="36"/>
        <v>23.283999999999999</v>
      </c>
      <c r="AB106" s="64" t="e">
        <f>VLOOKUP(A106,Enforcements!$C$7:$K$19,8,0)</f>
        <v>#N/A</v>
      </c>
      <c r="AC106" s="60" t="e">
        <f>VLOOKUP(A106,Enforcements!$C$7:$E$19,3,0)</f>
        <v>#N/A</v>
      </c>
      <c r="AD106" s="61" t="str">
        <f t="shared" si="37"/>
        <v>0194-14</v>
      </c>
      <c r="AE106" s="91" t="str">
        <f t="shared" si="38"/>
        <v>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 &amp; aws s3 cp s3://rtdc.mdm.uploadarchive.raw/RTDC4015/ "%USERPROFILE%\AppData\Local\Temp\OnboardLogs"\RTDC4015\2016-12-15 --exclude "*" --recursive --include "*20161215*" &amp; "%USERPROFILE%\Documents\GitHub\mrs-test-scripts\Headless Mode &amp; Sideloading\WalkAndUnGZ.bat" "%USERPROFILE%\AppData\Local\Temp\OnboardLogs"\RTDC4015\2016-12-15</v>
      </c>
      <c r="AF106" s="88" t="str">
        <f t="shared" si="39"/>
        <v>"C:\Program Files (x86)\AstroGrep\AstroGrep.exe" /spath="%USERPROFILE%\AppData\Local\Temp\OnboardLogs" /stypes="app*4015*20161214*" /stext=" 23:.+((SYSTEM_STATE.+slice.+state.+changed )|(ment ac)|(multiple cpu faults)|(system.+state.+changed )|(\[timeout)|(PRM\|1\|D)|(kpr)|(kdp)|(\|lc)|(penalty))" /e /r /s</v>
      </c>
      <c r="AG106" s="1" t="str">
        <f t="shared" si="40"/>
        <v>EC</v>
      </c>
      <c r="AH106" s="92" t="str">
        <f t="shared" si="41"/>
        <v>"%USERPROFILE%\Documents\GitHub\eaglep3\Utilities\RefineRTDCRunTimes.py" --tripid 194-14 --locoid 4015 --swversion DE.1.0.8.0 --startMP 204:232989 --initTime 2016-12-14T15:54:39 --startdatetime 2016-12-14T16:11:47 --delay 1 --endMP 204:149 --enddatetime 2016-12-14T16:53:19 --enforcementcount 0 &gt;&gt;C:\Users\stu\Documents\GitHub\eaglep3-reporting\EC\2016-12-14-refined-times.txt</v>
      </c>
      <c r="AI106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{"issue":{"subject":"","project_id":79,"tracker_id":40,"status_id":1,"priority_id":2,"assigned_to_id":23,"start_date":"2016-12-14","description":"","custom_fields":[{"id":1,"name":"Subdivision","value":"EC"},{"id":4,"name":"Milepost","value":"0.0149"},{"id":17,"name":"Train ID","value":"194-14"},{"id":16,"name":"Locomotive ID","value":"4015"},{"id":130,"name":"Impact","value":""},{"id":150,"name":"Time of Event (Mountain Time)","value":"16:53:19"},{"id":151,"name":"Denver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590</v>
      </c>
      <c r="B107" s="7">
        <v>4040</v>
      </c>
      <c r="C107" s="22" t="s">
        <v>207</v>
      </c>
      <c r="D107" s="22" t="s">
        <v>736</v>
      </c>
      <c r="E107" s="13">
        <v>42718.643657407411</v>
      </c>
      <c r="F107" s="13">
        <v>42718.646018518521</v>
      </c>
      <c r="G107" s="7">
        <v>1</v>
      </c>
      <c r="H107" s="22" t="s">
        <v>690</v>
      </c>
      <c r="I107" s="13">
        <v>42718.671875</v>
      </c>
      <c r="J107" s="7">
        <v>0</v>
      </c>
      <c r="K107" s="109" t="str">
        <f t="shared" si="29"/>
        <v>4039/4040</v>
      </c>
      <c r="L107" s="22" t="str">
        <f>VLOOKUP(A107,'Trips&amp;Operators'!$C$1:$G$99999,5,FALSE)</f>
        <v>YOUNG ELIZABETH</v>
      </c>
      <c r="M107" s="6">
        <f t="shared" si="30"/>
        <v>2.5856481479422655E-2</v>
      </c>
      <c r="N107" s="7">
        <f t="shared" si="31"/>
        <v>37.233333330368623</v>
      </c>
      <c r="O107" s="7"/>
      <c r="P107" s="7"/>
      <c r="Q107" s="23"/>
      <c r="R107" s="23"/>
      <c r="S107" s="35">
        <f t="shared" si="32"/>
        <v>1</v>
      </c>
      <c r="T107" s="50" t="str">
        <f t="shared" si="33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14:26:52-700',mode:absolute,to:'2016-12-14 17:07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7" s="52" t="str">
        <f t="shared" si="35"/>
        <v>N</v>
      </c>
      <c r="X107" s="177">
        <f t="shared" si="28"/>
        <v>1</v>
      </c>
      <c r="Y107" s="67">
        <f t="shared" si="43"/>
        <v>4.82E-2</v>
      </c>
      <c r="Z107" s="67">
        <f t="shared" si="44"/>
        <v>23.328900000000001</v>
      </c>
      <c r="AA107" s="67">
        <f t="shared" si="36"/>
        <v>23.2807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37"/>
        <v>0195-14</v>
      </c>
      <c r="AE107" s="91" t="str">
        <f t="shared" si="38"/>
        <v>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 &amp; aws s3 cp s3://rtdc.mdm.uploadarchive.raw/RTDC4040/ "%USERPROFILE%\AppData\Local\Temp\OnboardLogs"\RTDC4040\2016-12-15 --exclude "*" --recursive --include "*20161215*" &amp; "%USERPROFILE%\Documents\GitHub\mrs-test-scripts\Headless Mode &amp; Sideloading\WalkAndUnGZ.bat" "%USERPROFILE%\AppData\Local\Temp\OnboardLogs"\RTDC4040\2016-12-15</v>
      </c>
      <c r="AF107" s="88" t="str">
        <f t="shared" si="39"/>
        <v>"C:\Program Files (x86)\AstroGrep\AstroGrep.exe" /spath="%USERPROFILE%\AppData\Local\Temp\OnboardLogs" /stypes="app*4040*20161214*" /stext=" 23:.+((SYSTEM_STATE.+slice.+state.+changed )|(ment ac)|(multiple cpu faults)|(system.+state.+changed )|(\[timeout)|(PRM\|1\|D)|(kpr)|(kdp)|(\|lc)|(penalty))" /e /r /s</v>
      </c>
      <c r="AG107" s="1" t="str">
        <f t="shared" si="40"/>
        <v>EC</v>
      </c>
      <c r="AH107" s="92" t="str">
        <f t="shared" si="41"/>
        <v>"%USERPROFILE%\Documents\GitHub\eaglep3\Utilities\RefineRTDCRunTimes.py" --tripid 195-14 --locoid 4040 --swversion DE.1.0.8.0 --startMP 204:482 --initTime 2016-12-14T15:26:52 --startdatetime 2016-12-14T15:30:16 --delay 1 --endMP 204:233289 --enddatetime 2016-12-14T16:07:30 --enforcementcount 0 &gt;&gt;C:\Users\stu\Documents\GitHub\eaglep3-reporting\EC\2016-12-14-refined-times.txt</v>
      </c>
      <c r="AI107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{"issue":{"subject":"","project_id":79,"tracker_id":40,"status_id":1,"priority_id":2,"assigned_to_id":23,"start_date":"2016-12-14","description":"","custom_fields":[{"id":1,"name":"Subdivision","value":"EC"},{"id":4,"name":"Milepost","value":"23.3289"},{"id":17,"name":"Train ID","value":"195-14"},{"id":16,"name":"Locomotive ID","value":"4040"},{"id":130,"name":"Impact","value":""},{"id":150,"name":"Time of Event (Mountain Time)","value":"16:07:30"},{"id":151,"name":"Denver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605</v>
      </c>
      <c r="B108" s="7">
        <v>4039</v>
      </c>
      <c r="C108" s="22" t="s">
        <v>207</v>
      </c>
      <c r="D108" s="22" t="s">
        <v>298</v>
      </c>
      <c r="E108" s="13">
        <v>42718.676516203705</v>
      </c>
      <c r="F108" s="13">
        <v>42718.685011574074</v>
      </c>
      <c r="G108" s="7">
        <v>1</v>
      </c>
      <c r="H108" s="22" t="s">
        <v>231</v>
      </c>
      <c r="I108" s="13">
        <v>42718.715844907405</v>
      </c>
      <c r="J108" s="7">
        <v>0</v>
      </c>
      <c r="K108" s="109" t="str">
        <f t="shared" si="29"/>
        <v>4039/4040</v>
      </c>
      <c r="L108" s="22" t="str">
        <f>VLOOKUP(A108,'Trips&amp;Operators'!$C$1:$G$99999,5,FALSE)</f>
        <v>YOUNG ELIZABETH</v>
      </c>
      <c r="M108" s="6">
        <f t="shared" si="30"/>
        <v>3.0833333330519963E-2</v>
      </c>
      <c r="N108" s="7">
        <f t="shared" si="31"/>
        <v>44.399999995948747</v>
      </c>
      <c r="O108" s="7"/>
      <c r="P108" s="7"/>
      <c r="Q108" s="23"/>
      <c r="R108" s="23"/>
      <c r="S108" s="35">
        <f t="shared" si="32"/>
        <v>1</v>
      </c>
      <c r="T108" s="50" t="str">
        <f t="shared" si="33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15:14:11-700',mode:absolute,to:'2016-12-14 18:10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8" s="52" t="str">
        <f t="shared" si="35"/>
        <v>N</v>
      </c>
      <c r="X108" s="177">
        <f t="shared" ref="X108:X139" si="45">VALUE(LEFT(AD108,4))-VALUE(LEFT(AD107,4))</f>
        <v>1</v>
      </c>
      <c r="Y108" s="67">
        <f t="shared" si="43"/>
        <v>23.297699999999999</v>
      </c>
      <c r="Z108" s="67">
        <f t="shared" si="44"/>
        <v>1.6500000000000001E-2</v>
      </c>
      <c r="AA108" s="67">
        <f t="shared" si="36"/>
        <v>23.281199999999998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37"/>
        <v>0196-14</v>
      </c>
      <c r="AE108" s="91" t="str">
        <f t="shared" si="38"/>
        <v>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 &amp; aws s3 cp s3://rtdc.mdm.uploadarchive.raw/RTDC4039/ "%USERPROFILE%\AppData\Local\Temp\OnboardLogs"\RTDC4039\2016-12-15 --exclude "*" --recursive --include "*20161215*" &amp; "%USERPROFILE%\Documents\GitHub\mrs-test-scripts\Headless Mode &amp; Sideloading\WalkAndUnGZ.bat" "%USERPROFILE%\AppData\Local\Temp\OnboardLogs"\RTDC4039\2016-12-15</v>
      </c>
      <c r="AF108" s="88" t="str">
        <f t="shared" si="39"/>
        <v>"C:\Program Files (x86)\AstroGrep\AstroGrep.exe" /spath="%USERPROFILE%\AppData\Local\Temp\OnboardLogs" /stypes="app*4039*20161215*" /stext=" 00:.+((SYSTEM_STATE.+slice.+state.+changed )|(ment ac)|(multiple cpu faults)|(system.+state.+changed )|(\[timeout)|(PRM\|1\|D)|(kpr)|(kdp)|(\|lc)|(penalty))" /e /r /s</v>
      </c>
      <c r="AG108" s="1" t="str">
        <f t="shared" si="40"/>
        <v>EC</v>
      </c>
      <c r="AH108" s="92" t="str">
        <f t="shared" si="41"/>
        <v>"%USERPROFILE%\Documents\GitHub\eaglep3\Utilities\RefineRTDCRunTimes.py" --tripid 196-14 --locoid 4039 --swversion DE.1.0.8.0 --startMP 204:232977 --initTime 2016-12-14T16:14:11 --startdatetime 2016-12-14T16:26:25 --delay 1 --endMP 204:165 --enddatetime 2016-12-14T17:10:49 --enforcementcount 0 &gt;&gt;C:\Users\stu\Documents\GitHub\eaglep3-reporting\EC\2016-12-14-refined-times.txt</v>
      </c>
      <c r="AI108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{"issue":{"subject":"","project_id":79,"tracker_id":40,"status_id":1,"priority_id":2,"assigned_to_id":23,"start_date":"2016-12-14","description":"","custom_fields":[{"id":1,"name":"Subdivision","value":"EC"},{"id":4,"name":"Milepost","value":"0.0165"},{"id":17,"name":"Train ID","value":"196-14"},{"id":16,"name":"Locomotive ID","value":"4039"},{"id":130,"name":"Impact","value":""},{"id":150,"name":"Time of Event (Mountain Time)","value":"17:10:49"},{"id":151,"name":"Denver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595</v>
      </c>
      <c r="B109" s="7">
        <v>4031</v>
      </c>
      <c r="C109" s="22" t="s">
        <v>207</v>
      </c>
      <c r="D109" s="22" t="s">
        <v>390</v>
      </c>
      <c r="E109" s="13">
        <v>42718.651504629626</v>
      </c>
      <c r="F109" s="13">
        <v>42718.656458333331</v>
      </c>
      <c r="G109" s="7">
        <v>1</v>
      </c>
      <c r="H109" s="22" t="s">
        <v>302</v>
      </c>
      <c r="I109" s="13">
        <v>42718.681446759256</v>
      </c>
      <c r="J109" s="7">
        <v>0</v>
      </c>
      <c r="K109" s="109" t="str">
        <f t="shared" si="29"/>
        <v>4031/4032</v>
      </c>
      <c r="L109" s="22" t="str">
        <f>VLOOKUP(A109,'Trips&amp;Operators'!$C$1:$G$99999,5,FALSE)</f>
        <v>MAGEE KENYA</v>
      </c>
      <c r="M109" s="6">
        <f t="shared" si="30"/>
        <v>2.4988425924675539E-2</v>
      </c>
      <c r="N109" s="7">
        <f t="shared" ref="N109:N140" si="46">24*60*SUM($M109:$M109)</f>
        <v>35.983333331532776</v>
      </c>
      <c r="O109" s="7"/>
      <c r="P109" s="7"/>
      <c r="Q109" s="23"/>
      <c r="R109" s="23"/>
      <c r="S109" s="35">
        <f t="shared" si="32"/>
        <v>1</v>
      </c>
      <c r="T109" s="50" t="str">
        <f t="shared" si="33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14:38:10-700',mode:absolute,to:'2016-12-14 17:21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9" s="52" t="str">
        <f t="shared" si="35"/>
        <v>N</v>
      </c>
      <c r="X109" s="177">
        <f t="shared" si="45"/>
        <v>1</v>
      </c>
      <c r="Y109" s="67">
        <f t="shared" si="43"/>
        <v>4.7699999999999999E-2</v>
      </c>
      <c r="Z109" s="67">
        <f t="shared" si="44"/>
        <v>23.330200000000001</v>
      </c>
      <c r="AA109" s="67">
        <f t="shared" si="36"/>
        <v>23.282500000000002</v>
      </c>
      <c r="AB109" s="64" t="e">
        <f>VLOOKUP(A109,Enforcements!$C$7:$K$19,8,0)</f>
        <v>#N/A</v>
      </c>
      <c r="AC109" s="60" t="e">
        <f>VLOOKUP(A109,Enforcements!$C$7:$E$19,3,0)</f>
        <v>#N/A</v>
      </c>
      <c r="AD109" s="61" t="str">
        <f t="shared" si="37"/>
        <v>0197-14</v>
      </c>
      <c r="AE109" s="91" t="str">
        <f t="shared" si="38"/>
        <v>aws s3 cp s3://rtdc.mdm.uploadarchive.raw/RTDC4031/ "%USERPROFILE%\AppData\Local\Temp\OnboardLogs"\RTDC4031\2016-12-14 --exclude "*" --recursive --include "*20161214*" &amp; "%USERPROFILE%\Documents\GitHub\mrs-test-scripts\Headless Mode &amp; Sideloading\WalkAndUnGZ.bat" "%USERPROFILE%\AppData\Local\Temp\OnboardLogs"\RTDC4031\2016-12-14 &amp; aws s3 cp s3://rtdc.mdm.uploadarchive.raw/RTDC4031/ "%USERPROFILE%\AppData\Local\Temp\OnboardLogs"\RTDC4031\2016-12-15 --exclude "*" --recursive --include "*20161215*" &amp; "%USERPROFILE%\Documents\GitHub\mrs-test-scripts\Headless Mode &amp; Sideloading\WalkAndUnGZ.bat" "%USERPROFILE%\AppData\Local\Temp\OnboardLogs"\RTDC4031\2016-12-15</v>
      </c>
      <c r="AF109" s="88" t="str">
        <f t="shared" si="39"/>
        <v>"C:\Program Files (x86)\AstroGrep\AstroGrep.exe" /spath="%USERPROFILE%\AppData\Local\Temp\OnboardLogs" /stypes="app*4031*20161214*" /stext=" 23:.+((SYSTEM_STATE.+slice.+state.+changed )|(ment ac)|(multiple cpu faults)|(system.+state.+changed )|(\[timeout)|(PRM\|1\|D)|(kpr)|(kdp)|(\|lc)|(penalty))" /e /r /s</v>
      </c>
      <c r="AG109" s="1" t="str">
        <f t="shared" si="40"/>
        <v>EC</v>
      </c>
      <c r="AH109" s="92" t="str">
        <f t="shared" si="41"/>
        <v>"%USERPROFILE%\Documents\GitHub\eaglep3\Utilities\RefineRTDCRunTimes.py" --tripid 197-14 --locoid 4031 --swversion DE.1.0.8.0 --startMP 204:477 --initTime 2016-12-14T15:38:10 --startdatetime 2016-12-14T15:45:18 --delay 1 --endMP 204:233302 --enddatetime 2016-12-14T16:21:17 --enforcementcount 0 &gt;&gt;C:\Users\stu\Documents\GitHub\eaglep3-reporting\EC\2016-12-14-refined-times.txt</v>
      </c>
      <c r="AI109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{"issue":{"subject":"","project_id":79,"tracker_id":40,"status_id":1,"priority_id":2,"assigned_to_id":23,"start_date":"2016-12-14","description":"","custom_fields":[{"id":1,"name":"Subdivision","value":"EC"},{"id":4,"name":"Milepost","value":"23.3302"},{"id":17,"name":"Train ID","value":"197-14"},{"id":16,"name":"Locomotive ID","value":"4031"},{"id":130,"name":"Impact","value":""},{"id":150,"name":"Time of Event (Mountain Time)","value":"16:21:17"},{"id":151,"name":"Denver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607</v>
      </c>
      <c r="B110" s="7">
        <v>4032</v>
      </c>
      <c r="C110" s="22" t="s">
        <v>207</v>
      </c>
      <c r="D110" s="22" t="s">
        <v>337</v>
      </c>
      <c r="E110" s="13">
        <v>42718.688240740739</v>
      </c>
      <c r="F110" s="13">
        <v>42718.695335648146</v>
      </c>
      <c r="G110" s="7">
        <v>1</v>
      </c>
      <c r="H110" s="22" t="s">
        <v>386</v>
      </c>
      <c r="I110" s="13">
        <v>42718.722407407404</v>
      </c>
      <c r="J110" s="7">
        <v>0</v>
      </c>
      <c r="K110" s="109" t="str">
        <f t="shared" si="29"/>
        <v>4031/4032</v>
      </c>
      <c r="L110" s="22" t="str">
        <f>VLOOKUP(A110,'Trips&amp;Operators'!$C$1:$G$99999,5,FALSE)</f>
        <v>MAGEE KENYA</v>
      </c>
      <c r="M110" s="6">
        <f t="shared" si="30"/>
        <v>2.7071759257523809E-2</v>
      </c>
      <c r="N110" s="7">
        <f t="shared" si="46"/>
        <v>38.983333330834284</v>
      </c>
      <c r="O110" s="7"/>
      <c r="P110" s="7"/>
      <c r="Q110" s="23"/>
      <c r="R110" s="23"/>
      <c r="S110" s="35">
        <f t="shared" si="32"/>
        <v>1</v>
      </c>
      <c r="T110" s="50" t="str">
        <f t="shared" si="33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15:31:04-700',mode:absolute,to:'2016-12-14 18:20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0" s="52" t="str">
        <f t="shared" si="35"/>
        <v>N</v>
      </c>
      <c r="X110" s="177">
        <f t="shared" si="45"/>
        <v>1</v>
      </c>
      <c r="Y110" s="67">
        <f t="shared" si="43"/>
        <v>23.298500000000001</v>
      </c>
      <c r="Z110" s="67">
        <f t="shared" si="44"/>
        <v>1.38E-2</v>
      </c>
      <c r="AA110" s="67">
        <f t="shared" si="36"/>
        <v>23.284700000000001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37"/>
        <v>0198-14</v>
      </c>
      <c r="AE110" s="91" t="str">
        <f t="shared" si="38"/>
        <v>aws s3 cp s3://rtdc.mdm.uploadarchive.raw/RTDC4032/ "%USERPROFILE%\AppData\Local\Temp\OnboardLogs"\RTDC4032\2016-12-14 --exclude "*" --recursive --include "*20161214*" &amp; "%USERPROFILE%\Documents\GitHub\mrs-test-scripts\Headless Mode &amp; Sideloading\WalkAndUnGZ.bat" "%USERPROFILE%\AppData\Local\Temp\OnboardLogs"\RTDC4032\2016-12-14 &amp; aws s3 cp s3://rtdc.mdm.uploadarchive.raw/RTDC4032/ "%USERPROFILE%\AppData\Local\Temp\OnboardLogs"\RTDC4032\2016-12-15 --exclude "*" --recursive --include "*20161215*" &amp; "%USERPROFILE%\Documents\GitHub\mrs-test-scripts\Headless Mode &amp; Sideloading\WalkAndUnGZ.bat" "%USERPROFILE%\AppData\Local\Temp\OnboardLogs"\RTDC4032\2016-12-15</v>
      </c>
      <c r="AF110" s="88" t="str">
        <f t="shared" si="39"/>
        <v>"C:\Program Files (x86)\AstroGrep\AstroGrep.exe" /spath="%USERPROFILE%\AppData\Local\Temp\OnboardLogs" /stypes="app*4032*20161215*" /stext=" 00:.+((SYSTEM_STATE.+slice.+state.+changed )|(ment ac)|(multiple cpu faults)|(system.+state.+changed )|(\[timeout)|(PRM\|1\|D)|(kpr)|(kdp)|(\|lc)|(penalty))" /e /r /s</v>
      </c>
      <c r="AG110" s="1" t="str">
        <f t="shared" si="40"/>
        <v>EC</v>
      </c>
      <c r="AH110" s="92" t="str">
        <f t="shared" si="41"/>
        <v>"%USERPROFILE%\Documents\GitHub\eaglep3\Utilities\RefineRTDCRunTimes.py" --tripid 198-14 --locoid 4032 --swversion DE.1.0.8.0 --startMP 204:232985 --initTime 2016-12-14T16:31:04 --startdatetime 2016-12-14T16:41:17 --delay 1 --endMP 204:138 --enddatetime 2016-12-14T17:20:16 --enforcementcount 0 &gt;&gt;C:\Users\stu\Documents\GitHub\eaglep3-reporting\EC\2016-12-14-refined-times.txt</v>
      </c>
      <c r="AI110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{"issue":{"subject":"","project_id":79,"tracker_id":40,"status_id":1,"priority_id":2,"assigned_to_id":23,"start_date":"2016-12-14","description":"","custom_fields":[{"id":1,"name":"Subdivision","value":"EC"},{"id":4,"name":"Milepost","value":"0.0138"},{"id":17,"name":"Train ID","value":"198-14"},{"id":16,"name":"Locomotive ID","value":"4032"},{"id":130,"name":"Impact","value":""},{"id":150,"name":"Time of Event (Mountain Time)","value":"17:20:16"},{"id":151,"name":"Denver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599</v>
      </c>
      <c r="B111" s="7">
        <v>4014</v>
      </c>
      <c r="C111" s="22" t="s">
        <v>207</v>
      </c>
      <c r="D111" s="22" t="s">
        <v>232</v>
      </c>
      <c r="E111" s="13">
        <v>42718.662534722222</v>
      </c>
      <c r="F111" s="13">
        <v>42718.667129629626</v>
      </c>
      <c r="G111" s="7">
        <v>1</v>
      </c>
      <c r="H111" s="22" t="s">
        <v>314</v>
      </c>
      <c r="I111" s="13">
        <v>42718.694780092592</v>
      </c>
      <c r="J111" s="7">
        <v>0</v>
      </c>
      <c r="K111" s="109" t="str">
        <f t="shared" si="29"/>
        <v>4013/4014</v>
      </c>
      <c r="L111" s="22" t="str">
        <f>VLOOKUP(A111,'Trips&amp;Operators'!$C$1:$G$99999,5,FALSE)</f>
        <v>YANG JAN</v>
      </c>
      <c r="M111" s="6">
        <f t="shared" si="30"/>
        <v>2.7650462965539191E-2</v>
      </c>
      <c r="N111" s="7">
        <f t="shared" si="46"/>
        <v>39.816666670376435</v>
      </c>
      <c r="O111" s="7"/>
      <c r="P111" s="7"/>
      <c r="Q111" s="23"/>
      <c r="R111" s="23"/>
      <c r="S111" s="35">
        <f t="shared" si="32"/>
        <v>1</v>
      </c>
      <c r="T111" s="50" t="str">
        <f t="shared" si="33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14:54:03-700',mode:absolute,to:'2016-12-14 17:40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1" s="52" t="str">
        <f t="shared" si="35"/>
        <v>N</v>
      </c>
      <c r="X111" s="177">
        <f t="shared" si="45"/>
        <v>1</v>
      </c>
      <c r="Y111" s="67">
        <f t="shared" si="43"/>
        <v>4.5499999999999999E-2</v>
      </c>
      <c r="Z111" s="67">
        <f t="shared" si="44"/>
        <v>23.3293</v>
      </c>
      <c r="AA111" s="67">
        <f t="shared" si="36"/>
        <v>23.283799999999999</v>
      </c>
      <c r="AB111" s="64" t="e">
        <f>VLOOKUP(A111,Enforcements!$C$7:$K$19,8,0)</f>
        <v>#N/A</v>
      </c>
      <c r="AC111" s="60" t="e">
        <f>VLOOKUP(A111,Enforcements!$C$7:$E$19,3,0)</f>
        <v>#N/A</v>
      </c>
      <c r="AD111" s="61" t="str">
        <f t="shared" si="37"/>
        <v>0199-14</v>
      </c>
      <c r="AE111" s="91" t="str">
        <f t="shared" si="38"/>
        <v>aws s3 cp s3://rtdc.mdm.uploadarchive.raw/RTDC4014/ "%USERPROFILE%\AppData\Local\Temp\OnboardLogs"\RTDC4014\2016-12-14 --exclude "*" --recursive --include "*20161214*" &amp; "%USERPROFILE%\Documents\GitHub\mrs-test-scripts\Headless Mode &amp; Sideloading\WalkAndUnGZ.bat" "%USERPROFILE%\AppData\Local\Temp\OnboardLogs"\RTDC4014\2016-12-14 &amp; aws s3 cp s3://rtdc.mdm.uploadarchive.raw/RTDC4014/ "%USERPROFILE%\AppData\Local\Temp\OnboardLogs"\RTDC4014\2016-12-15 --exclude "*" --recursive --include "*20161215*" &amp; "%USERPROFILE%\Documents\GitHub\mrs-test-scripts\Headless Mode &amp; Sideloading\WalkAndUnGZ.bat" "%USERPROFILE%\AppData\Local\Temp\OnboardLogs"\RTDC4014\2016-12-15</v>
      </c>
      <c r="AF111" s="88" t="str">
        <f t="shared" si="39"/>
        <v>"C:\Program Files (x86)\AstroGrep\AstroGrep.exe" /spath="%USERPROFILE%\AppData\Local\Temp\OnboardLogs" /stypes="app*4014*20161214*" /stext=" 23:.+((SYSTEM_STATE.+slice.+state.+changed )|(ment ac)|(multiple cpu faults)|(system.+state.+changed )|(\[timeout)|(PRM\|1\|D)|(kpr)|(kdp)|(\|lc)|(penalty))" /e /r /s</v>
      </c>
      <c r="AG111" s="1" t="str">
        <f t="shared" si="40"/>
        <v>EC</v>
      </c>
      <c r="AH111" s="92" t="str">
        <f t="shared" si="41"/>
        <v>"%USERPROFILE%\Documents\GitHub\eaglep3\Utilities\RefineRTDCRunTimes.py" --tripid 199-14 --locoid 4014 --swversion DE.1.0.8.0 --startMP 204:455 --initTime 2016-12-14T15:54:03 --startdatetime 2016-12-14T16:00:40 --delay 1 --endMP 204:233293 --enddatetime 2016-12-14T16:40:29 --enforcementcount 0 &gt;&gt;C:\Users\stu\Documents\GitHub\eaglep3-reporting\EC\2016-12-14-refined-times.txt</v>
      </c>
      <c r="AI111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{"issue":{"subject":"","project_id":79,"tracker_id":40,"status_id":1,"priority_id":2,"assigned_to_id":23,"start_date":"2016-12-14","description":"","custom_fields":[{"id":1,"name":"Subdivision","value":"EC"},{"id":4,"name":"Milepost","value":"23.3293"},{"id":17,"name":"Train ID","value":"199-14"},{"id":16,"name":"Locomotive ID","value":"4014"},{"id":130,"name":"Impact","value":""},{"id":150,"name":"Time of Event (Mountain Time)","value":"16:40:29"},{"id":151,"name":"Denver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609</v>
      </c>
      <c r="B112" s="7">
        <v>4013</v>
      </c>
      <c r="C112" s="22" t="s">
        <v>207</v>
      </c>
      <c r="D112" s="22" t="s">
        <v>737</v>
      </c>
      <c r="E112" s="13">
        <v>42718.700555555559</v>
      </c>
      <c r="F112" s="13">
        <v>42718.70585648148</v>
      </c>
      <c r="G112" s="7">
        <v>1</v>
      </c>
      <c r="H112" s="22" t="s">
        <v>213</v>
      </c>
      <c r="I112" s="13">
        <v>42718.736481481479</v>
      </c>
      <c r="J112" s="7">
        <v>0</v>
      </c>
      <c r="K112" s="109" t="str">
        <f t="shared" si="29"/>
        <v>4013/4014</v>
      </c>
      <c r="L112" s="22" t="str">
        <f>VLOOKUP(A112,'Trips&amp;Operators'!$C$1:$G$99999,5,FALSE)</f>
        <v>YANG JAN</v>
      </c>
      <c r="M112" s="6">
        <f t="shared" si="30"/>
        <v>3.0624999999417923E-2</v>
      </c>
      <c r="N112" s="7">
        <f t="shared" si="46"/>
        <v>44.09999999916181</v>
      </c>
      <c r="O112" s="7"/>
      <c r="P112" s="7"/>
      <c r="Q112" s="23"/>
      <c r="R112" s="23"/>
      <c r="S112" s="35">
        <f t="shared" si="32"/>
        <v>1</v>
      </c>
      <c r="T112" s="50" t="str">
        <f t="shared" si="33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15:48:48-700',mode:absolute,to:'2016-12-14 18:40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2" s="52" t="str">
        <f t="shared" si="35"/>
        <v>N</v>
      </c>
      <c r="X112" s="177">
        <f t="shared" si="45"/>
        <v>1</v>
      </c>
      <c r="Y112" s="67">
        <f t="shared" si="43"/>
        <v>23.2957</v>
      </c>
      <c r="Z112" s="67">
        <f t="shared" si="44"/>
        <v>1.4999999999999999E-2</v>
      </c>
      <c r="AA112" s="67">
        <f t="shared" si="36"/>
        <v>23.2807</v>
      </c>
      <c r="AB112" s="64" t="e">
        <f>VLOOKUP(A112,Enforcements!$C$7:$K$19,8,0)</f>
        <v>#N/A</v>
      </c>
      <c r="AC112" s="60" t="e">
        <f>VLOOKUP(A112,Enforcements!$C$7:$E$19,3,0)</f>
        <v>#N/A</v>
      </c>
      <c r="AD112" s="61" t="str">
        <f t="shared" si="37"/>
        <v>0200-14</v>
      </c>
      <c r="AE112" s="91" t="str">
        <f t="shared" si="38"/>
        <v>aws s3 cp s3://rtdc.mdm.uploadarchive.raw/RTDC4013/ "%USERPROFILE%\AppData\Local\Temp\OnboardLogs"\RTDC4013\2016-12-14 --exclude "*" --recursive --include "*20161214*" &amp; "%USERPROFILE%\Documents\GitHub\mrs-test-scripts\Headless Mode &amp; Sideloading\WalkAndUnGZ.bat" "%USERPROFILE%\AppData\Local\Temp\OnboardLogs"\RTDC4013\2016-12-14 &amp; aws s3 cp s3://rtdc.mdm.uploadarchive.raw/RTDC4013/ "%USERPROFILE%\AppData\Local\Temp\OnboardLogs"\RTDC4013\2016-12-15 --exclude "*" --recursive --include "*20161215*" &amp; "%USERPROFILE%\Documents\GitHub\mrs-test-scripts\Headless Mode &amp; Sideloading\WalkAndUnGZ.bat" "%USERPROFILE%\AppData\Local\Temp\OnboardLogs"\RTDC4013\2016-12-15</v>
      </c>
      <c r="AF112" s="88" t="str">
        <f t="shared" si="39"/>
        <v>"C:\Program Files (x86)\AstroGrep\AstroGrep.exe" /spath="%USERPROFILE%\AppData\Local\Temp\OnboardLogs" /stypes="app*4013*20161215*" /stext=" 00:.+((SYSTEM_STATE.+slice.+state.+changed )|(ment ac)|(multiple cpu faults)|(system.+state.+changed )|(\[timeout)|(PRM\|1\|D)|(kpr)|(kdp)|(\|lc)|(penalty))" /e /r /s</v>
      </c>
      <c r="AG112" s="1" t="str">
        <f t="shared" si="40"/>
        <v>EC</v>
      </c>
      <c r="AH112" s="92" t="str">
        <f t="shared" si="41"/>
        <v>"%USERPROFILE%\Documents\GitHub\eaglep3\Utilities\RefineRTDCRunTimes.py" --tripid 200-14 --locoid 4013 --swversion DE.1.0.8.0 --startMP 204:232957 --initTime 2016-12-14T16:48:48 --startdatetime 2016-12-14T16:56:26 --delay 1 --endMP 204:150 --enddatetime 2016-12-14T17:40:32 --enforcementcount 0 &gt;&gt;C:\Users\stu\Documents\GitHub\eaglep3-reporting\EC\2016-12-14-refined-times.txt</v>
      </c>
      <c r="AI112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{"issue":{"subject":"","project_id":79,"tracker_id":40,"status_id":1,"priority_id":2,"assigned_to_id":23,"start_date":"2016-12-14","description":"","custom_fields":[{"id":1,"name":"Subdivision","value":"EC"},{"id":4,"name":"Milepost","value":"0.015"},{"id":17,"name":"Train ID","value":"200-14"},{"id":16,"name":"Locomotive ID","value":"4013"},{"id":130,"name":"Impact","value":""},{"id":150,"name":"Time of Event (Mountain Time)","value":"17:40:32"},{"id":151,"name":"Denver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602</v>
      </c>
      <c r="B113" s="7">
        <v>4003</v>
      </c>
      <c r="C113" s="22" t="s">
        <v>207</v>
      </c>
      <c r="D113" s="22" t="s">
        <v>738</v>
      </c>
      <c r="E113" s="13">
        <v>42718.673877314817</v>
      </c>
      <c r="F113" s="13">
        <v>42718.677662037036</v>
      </c>
      <c r="G113" s="7">
        <v>2</v>
      </c>
      <c r="H113" s="22" t="s">
        <v>718</v>
      </c>
      <c r="I113" s="13">
        <v>42718.703275462962</v>
      </c>
      <c r="J113" s="7">
        <v>0</v>
      </c>
      <c r="K113" s="109" t="str">
        <f t="shared" si="29"/>
        <v>4003/4004</v>
      </c>
      <c r="L113" s="22" t="str">
        <f>VLOOKUP(A113,'Trips&amp;Operators'!$C$1:$G$99999,5,FALSE)</f>
        <v>NELSON ARIANE</v>
      </c>
      <c r="M113" s="6">
        <f t="shared" si="30"/>
        <v>2.5613425925257616E-2</v>
      </c>
      <c r="N113" s="7">
        <f t="shared" si="46"/>
        <v>36.883333332370967</v>
      </c>
      <c r="O113" s="7"/>
      <c r="P113" s="7"/>
      <c r="Q113" s="23"/>
      <c r="R113" s="23"/>
      <c r="S113" s="35">
        <f t="shared" si="32"/>
        <v>1</v>
      </c>
      <c r="T113" s="50" t="str">
        <f t="shared" si="33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15:10:23-700',mode:absolute,to:'2016-12-14 17:52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3" s="52" t="str">
        <f t="shared" si="35"/>
        <v>N</v>
      </c>
      <c r="X113" s="177">
        <f t="shared" si="45"/>
        <v>1</v>
      </c>
      <c r="Y113" s="67">
        <f t="shared" si="43"/>
        <v>4.3299999999999998E-2</v>
      </c>
      <c r="Z113" s="67">
        <f t="shared" si="44"/>
        <v>23.3291</v>
      </c>
      <c r="AA113" s="67">
        <f t="shared" si="36"/>
        <v>23.285800000000002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37"/>
        <v>0201-14</v>
      </c>
      <c r="AE113" s="91" t="str">
        <f t="shared" si="38"/>
        <v>aws s3 cp s3://rtdc.mdm.uploadarchive.raw/RTDC4003/ "%USERPROFILE%\AppData\Local\Temp\OnboardLogs"\RTDC4003\2016-12-14 --exclude "*" --recursive --include "*20161214*" &amp; "%USERPROFILE%\Documents\GitHub\mrs-test-scripts\Headless Mode &amp; Sideloading\WalkAndUnGZ.bat" "%USERPROFILE%\AppData\Local\Temp\OnboardLogs"\RTDC4003\2016-12-14 &amp; aws s3 cp s3://rtdc.mdm.uploadarchive.raw/RTDC4003/ "%USERPROFILE%\AppData\Local\Temp\OnboardLogs"\RTDC4003\2016-12-15 --exclude "*" --recursive --include "*20161215*" &amp; "%USERPROFILE%\Documents\GitHub\mrs-test-scripts\Headless Mode &amp; Sideloading\WalkAndUnGZ.bat" "%USERPROFILE%\AppData\Local\Temp\OnboardLogs"\RTDC4003\2016-12-15</v>
      </c>
      <c r="AF113" s="88" t="str">
        <f t="shared" si="39"/>
        <v>"C:\Program Files (x86)\AstroGrep\AstroGrep.exe" /spath="%USERPROFILE%\AppData\Local\Temp\OnboardLogs" /stypes="app*4003*20161214*" /stext=" 23:.+((SYSTEM_STATE.+slice.+state.+changed )|(ment ac)|(multiple cpu faults)|(system.+state.+changed )|(\[timeout)|(PRM\|1\|D)|(kpr)|(kdp)|(\|lc)|(penalty))" /e /r /s</v>
      </c>
      <c r="AG113" s="1" t="str">
        <f t="shared" si="40"/>
        <v>EC</v>
      </c>
      <c r="AH113" s="92" t="str">
        <f t="shared" si="41"/>
        <v>"%USERPROFILE%\Documents\GitHub\eaglep3\Utilities\RefineRTDCRunTimes.py" --tripid 201-14 --locoid 4003 --swversion DE.1.0.8.0 --startMP 204:433 --initTime 2016-12-14T16:10:23 --startdatetime 2016-12-14T16:15:50 --delay 2 --endMP 204:233291 --enddatetime 2016-12-14T16:52:43 --enforcementcount 0 &gt;&gt;C:\Users\stu\Documents\GitHub\eaglep3-reporting\EC\2016-12-14-refined-times.txt</v>
      </c>
      <c r="AI113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{"issue":{"subject":"","project_id":79,"tracker_id":40,"status_id":1,"priority_id":2,"assigned_to_id":23,"start_date":"2016-12-14","description":"","custom_fields":[{"id":1,"name":"Subdivision","value":"EC"},{"id":4,"name":"Milepost","value":"23.3291"},{"id":17,"name":"Train ID","value":"201-14"},{"id":16,"name":"Locomotive ID","value":"4003"},{"id":130,"name":"Impact","value":""},{"id":150,"name":"Time of Event (Mountain Time)","value":"16:52:43"},{"id":151,"name":"Denver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611</v>
      </c>
      <c r="B114" s="7">
        <v>4004</v>
      </c>
      <c r="C114" s="22" t="s">
        <v>207</v>
      </c>
      <c r="D114" s="22" t="s">
        <v>303</v>
      </c>
      <c r="E114" s="13">
        <v>42718.7108912037</v>
      </c>
      <c r="F114" s="13">
        <v>42718.716967592591</v>
      </c>
      <c r="G114" s="7">
        <v>1</v>
      </c>
      <c r="H114" s="22" t="s">
        <v>281</v>
      </c>
      <c r="I114" s="13">
        <v>42718.746400462966</v>
      </c>
      <c r="J114" s="7">
        <v>0</v>
      </c>
      <c r="K114" s="109" t="str">
        <f t="shared" si="29"/>
        <v>4003/4004</v>
      </c>
      <c r="L114" s="22" t="str">
        <f>VLOOKUP(A114,'Trips&amp;Operators'!$C$1:$G$99999,5,FALSE)</f>
        <v>NELSON ARIANE</v>
      </c>
      <c r="M114" s="6">
        <f t="shared" si="30"/>
        <v>2.9432870374876074E-2</v>
      </c>
      <c r="N114" s="7">
        <f t="shared" si="46"/>
        <v>42.383333339821547</v>
      </c>
      <c r="O114" s="7"/>
      <c r="P114" s="7"/>
      <c r="Q114" s="23"/>
      <c r="R114" s="23"/>
      <c r="S114" s="35">
        <f t="shared" si="32"/>
        <v>1</v>
      </c>
      <c r="T114" s="50" t="str">
        <f t="shared" si="33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16:03:41-700',mode:absolute,to:'2016-12-14 18:54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4" s="52" t="str">
        <f t="shared" si="35"/>
        <v>N</v>
      </c>
      <c r="X114" s="177">
        <f t="shared" si="45"/>
        <v>1</v>
      </c>
      <c r="Y114" s="67">
        <f t="shared" si="43"/>
        <v>23.2987</v>
      </c>
      <c r="Z114" s="67">
        <f t="shared" si="44"/>
        <v>1.47E-2</v>
      </c>
      <c r="AA114" s="67">
        <f t="shared" si="36"/>
        <v>23.283999999999999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37"/>
        <v>0202-14</v>
      </c>
      <c r="AE114" s="91" t="str">
        <f t="shared" si="38"/>
        <v>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 &amp; aws s3 cp s3://rtdc.mdm.uploadarchive.raw/RTDC4004/ "%USERPROFILE%\AppData\Local\Temp\OnboardLogs"\RTDC4004\2016-12-15 --exclude "*" --recursive --include "*20161215*" &amp; "%USERPROFILE%\Documents\GitHub\mrs-test-scripts\Headless Mode &amp; Sideloading\WalkAndUnGZ.bat" "%USERPROFILE%\AppData\Local\Temp\OnboardLogs"\RTDC4004\2016-12-15</v>
      </c>
      <c r="AF114" s="88" t="str">
        <f t="shared" si="39"/>
        <v>"C:\Program Files (x86)\AstroGrep\AstroGrep.exe" /spath="%USERPROFILE%\AppData\Local\Temp\OnboardLogs" /stypes="app*4004*20161215*" /stext=" 00:.+((SYSTEM_STATE.+slice.+state.+changed )|(ment ac)|(multiple cpu faults)|(system.+state.+changed )|(\[timeout)|(PRM\|1\|D)|(kpr)|(kdp)|(\|lc)|(penalty))" /e /r /s</v>
      </c>
      <c r="AG114" s="1" t="str">
        <f t="shared" si="40"/>
        <v>EC</v>
      </c>
      <c r="AH114" s="92" t="str">
        <f t="shared" si="41"/>
        <v>"%USERPROFILE%\Documents\GitHub\eaglep3\Utilities\RefineRTDCRunTimes.py" --tripid 202-14 --locoid 4004 --swversion DE.1.0.8.0 --startMP 204:232987 --initTime 2016-12-14T17:03:41 --startdatetime 2016-12-14T17:12:26 --delay 1 --endMP 204:147 --enddatetime 2016-12-14T17:54:49 --enforcementcount 0 &gt;&gt;C:\Users\stu\Documents\GitHub\eaglep3-reporting\EC\2016-12-14-refined-times.txt</v>
      </c>
      <c r="AI114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{"issue":{"subject":"","project_id":79,"tracker_id":40,"status_id":1,"priority_id":2,"assigned_to_id":23,"start_date":"2016-12-14","description":"","custom_fields":[{"id":1,"name":"Subdivision","value":"EC"},{"id":4,"name":"Milepost","value":"0.0147"},{"id":17,"name":"Train ID","value":"202-14"},{"id":16,"name":"Locomotive ID","value":"4004"},{"id":130,"name":"Impact","value":""},{"id":150,"name":"Time of Event (Mountain Time)","value":"17:54:49"},{"id":151,"name":"Denver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606</v>
      </c>
      <c r="B115" s="7">
        <v>4046</v>
      </c>
      <c r="C115" s="22" t="s">
        <v>207</v>
      </c>
      <c r="D115" s="22" t="s">
        <v>236</v>
      </c>
      <c r="E115" s="13">
        <v>42718.68440972222</v>
      </c>
      <c r="F115" s="13">
        <v>42718.687731481485</v>
      </c>
      <c r="G115" s="7">
        <v>1</v>
      </c>
      <c r="H115" s="22" t="s">
        <v>389</v>
      </c>
      <c r="I115" s="13">
        <v>42718.713136574072</v>
      </c>
      <c r="J115" s="7">
        <v>0</v>
      </c>
      <c r="K115" s="109" t="str">
        <f t="shared" si="29"/>
        <v>4045/4046</v>
      </c>
      <c r="L115" s="22" t="str">
        <f>VLOOKUP(A115,'Trips&amp;Operators'!$C$1:$G$99999,5,FALSE)</f>
        <v>BARTLETT KIANDRA</v>
      </c>
      <c r="M115" s="6">
        <f t="shared" si="30"/>
        <v>2.5405092586879618E-2</v>
      </c>
      <c r="N115" s="7">
        <f t="shared" si="46"/>
        <v>36.583333325106651</v>
      </c>
      <c r="O115" s="7"/>
      <c r="P115" s="7"/>
      <c r="Q115" s="23"/>
      <c r="R115" s="23"/>
      <c r="S115" s="35">
        <f t="shared" si="32"/>
        <v>1</v>
      </c>
      <c r="T115" s="50" t="str">
        <f t="shared" si="33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15:25:33-700',mode:absolute,to:'2016-12-14 18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5" s="52" t="str">
        <f t="shared" si="35"/>
        <v>N</v>
      </c>
      <c r="X115" s="177">
        <f t="shared" si="45"/>
        <v>1</v>
      </c>
      <c r="Y115" s="67">
        <f t="shared" si="43"/>
        <v>4.7100000000000003E-2</v>
      </c>
      <c r="Z115" s="67">
        <f t="shared" si="44"/>
        <v>23.330500000000001</v>
      </c>
      <c r="AA115" s="67">
        <f t="shared" si="36"/>
        <v>23.2834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37"/>
        <v>0203-14</v>
      </c>
      <c r="AE115" s="91" t="str">
        <f t="shared" si="38"/>
        <v>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 &amp; aws s3 cp s3://rtdc.mdm.uploadarchive.raw/RTDC4046/ "%USERPROFILE%\AppData\Local\Temp\OnboardLogs"\RTDC4046\2016-12-15 --exclude "*" --recursive --include "*20161215*" &amp; "%USERPROFILE%\Documents\GitHub\mrs-test-scripts\Headless Mode &amp; Sideloading\WalkAndUnGZ.bat" "%USERPROFILE%\AppData\Local\Temp\OnboardLogs"\RTDC4046\2016-12-15</v>
      </c>
      <c r="AF115" s="88" t="str">
        <f t="shared" si="39"/>
        <v>"C:\Program Files (x86)\AstroGrep\AstroGrep.exe" /spath="%USERPROFILE%\AppData\Local\Temp\OnboardLogs" /stypes="app*4046*20161215*" /stext=" 00:.+((SYSTEM_STATE.+slice.+state.+changed )|(ment ac)|(multiple cpu faults)|(system.+state.+changed )|(\[timeout)|(PRM\|1\|D)|(kpr)|(kdp)|(\|lc)|(penalty))" /e /r /s</v>
      </c>
      <c r="AG115" s="1" t="str">
        <f t="shared" si="40"/>
        <v>EC</v>
      </c>
      <c r="AH115" s="92" t="str">
        <f t="shared" si="41"/>
        <v>"%USERPROFILE%\Documents\GitHub\eaglep3\Utilities\RefineRTDCRunTimes.py" --tripid 203-14 --locoid 4046 --swversion DE.1.0.8.0 --startMP 204:471 --initTime 2016-12-14T16:25:33 --startdatetime 2016-12-14T16:30:20 --delay 1 --endMP 204:233305 --enddatetime 2016-12-14T17:06:55 --enforcementcount 0 &gt;&gt;C:\Users\stu\Documents\GitHub\eaglep3-reporting\EC\2016-12-14-refined-times.txt</v>
      </c>
      <c r="AI115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{"issue":{"subject":"","project_id":79,"tracker_id":40,"status_id":1,"priority_id":2,"assigned_to_id":23,"start_date":"2016-12-14","description":"","custom_fields":[{"id":1,"name":"Subdivision","value":"EC"},{"id":4,"name":"Milepost","value":"23.3305"},{"id":17,"name":"Train ID","value":"203-14"},{"id":16,"name":"Locomotive ID","value":"4046"},{"id":130,"name":"Impact","value":""},{"id":150,"name":"Time of Event (Mountain Time)","value":"17:06:55"},{"id":151,"name":"Denver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615</v>
      </c>
      <c r="B116" s="7">
        <v>4045</v>
      </c>
      <c r="C116" s="22" t="s">
        <v>207</v>
      </c>
      <c r="D116" s="22" t="s">
        <v>713</v>
      </c>
      <c r="E116" s="13">
        <v>42718.716157407405</v>
      </c>
      <c r="F116" s="13">
        <v>42718.726701388892</v>
      </c>
      <c r="G116" s="7">
        <v>1</v>
      </c>
      <c r="H116" s="22" t="s">
        <v>281</v>
      </c>
      <c r="I116" s="13">
        <v>42718.755104166667</v>
      </c>
      <c r="J116" s="7">
        <v>0</v>
      </c>
      <c r="K116" s="109" t="str">
        <f t="shared" si="29"/>
        <v>4045/4046</v>
      </c>
      <c r="L116" s="22" t="str">
        <f>VLOOKUP(A116,'Trips&amp;Operators'!$C$1:$G$99999,5,FALSE)</f>
        <v>BARTLETT KIANDRA</v>
      </c>
      <c r="M116" s="6">
        <f t="shared" si="30"/>
        <v>2.8402777774317656E-2</v>
      </c>
      <c r="N116" s="7">
        <f t="shared" si="46"/>
        <v>40.899999995017424</v>
      </c>
      <c r="O116" s="7"/>
      <c r="P116" s="7"/>
      <c r="Q116" s="23"/>
      <c r="R116" s="23"/>
      <c r="S116" s="35">
        <f t="shared" si="32"/>
        <v>1</v>
      </c>
      <c r="T116" s="50" t="str">
        <f t="shared" si="33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16:11:16-700',mode:absolute,to:'2016-12-14 19:07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6" s="52" t="str">
        <f t="shared" si="35"/>
        <v>N</v>
      </c>
      <c r="X116" s="177">
        <f t="shared" si="45"/>
        <v>1</v>
      </c>
      <c r="Y116" s="67">
        <f t="shared" si="43"/>
        <v>23.2986</v>
      </c>
      <c r="Z116" s="67">
        <f t="shared" si="44"/>
        <v>1.47E-2</v>
      </c>
      <c r="AA116" s="67">
        <f t="shared" si="36"/>
        <v>23.283899999999999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37"/>
        <v>0204-14</v>
      </c>
      <c r="AE116" s="91" t="str">
        <f t="shared" si="38"/>
        <v>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 &amp; aws s3 cp s3://rtdc.mdm.uploadarchive.raw/RTDC4045/ "%USERPROFILE%\AppData\Local\Temp\OnboardLogs"\RTDC4045\2016-12-15 --exclude "*" --recursive --include "*20161215*" &amp; "%USERPROFILE%\Documents\GitHub\mrs-test-scripts\Headless Mode &amp; Sideloading\WalkAndUnGZ.bat" "%USERPROFILE%\AppData\Local\Temp\OnboardLogs"\RTDC4045\2016-12-15</v>
      </c>
      <c r="AF116" s="88" t="str">
        <f t="shared" si="39"/>
        <v>"C:\Program Files (x86)\AstroGrep\AstroGrep.exe" /spath="%USERPROFILE%\AppData\Local\Temp\OnboardLogs" /stypes="app*4045*20161215*" /stext=" 01:.+((SYSTEM_STATE.+slice.+state.+changed )|(ment ac)|(multiple cpu faults)|(system.+state.+changed )|(\[timeout)|(PRM\|1\|D)|(kpr)|(kdp)|(\|lc)|(penalty))" /e /r /s</v>
      </c>
      <c r="AG116" s="1" t="str">
        <f t="shared" si="40"/>
        <v>EC</v>
      </c>
      <c r="AH116" s="92" t="str">
        <f t="shared" si="41"/>
        <v>"%USERPROFILE%\Documents\GitHub\eaglep3\Utilities\RefineRTDCRunTimes.py" --tripid 204-14 --locoid 4045 --swversion DE.1.0.8.0 --startMP 204:232986 --initTime 2016-12-14T17:11:16 --startdatetime 2016-12-14T17:26:27 --delay 1 --endMP 204:147 --enddatetime 2016-12-14T18:07:21 --enforcementcount 0 &gt;&gt;C:\Users\stu\Documents\GitHub\eaglep3-reporting\EC\2016-12-14-refined-times.txt</v>
      </c>
      <c r="AI116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{"issue":{"subject":"","project_id":79,"tracker_id":40,"status_id":1,"priority_id":2,"assigned_to_id":23,"start_date":"2016-12-14","description":"","custom_fields":[{"id":1,"name":"Subdivision","value":"EC"},{"id":4,"name":"Milepost","value":"0.0147"},{"id":17,"name":"Train ID","value":"204-14"},{"id":16,"name":"Locomotive ID","value":"4045"},{"id":130,"name":"Impact","value":""},{"id":150,"name":"Time of Event (Mountain Time)","value":"18:07:21"},{"id":151,"name":"Denver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444</v>
      </c>
      <c r="B117" s="7">
        <v>4044</v>
      </c>
      <c r="C117" s="22" t="s">
        <v>207</v>
      </c>
      <c r="D117" s="22" t="s">
        <v>313</v>
      </c>
      <c r="E117" s="13">
        <v>42718.695219907408</v>
      </c>
      <c r="F117" s="13">
        <v>42718.698217592595</v>
      </c>
      <c r="G117" s="7">
        <v>1</v>
      </c>
      <c r="H117" s="22" t="s">
        <v>302</v>
      </c>
      <c r="I117" s="13">
        <v>42718.723263888889</v>
      </c>
      <c r="J117" s="7">
        <v>0</v>
      </c>
      <c r="K117" s="109" t="str">
        <f t="shared" si="29"/>
        <v>4043/4044</v>
      </c>
      <c r="L117" s="22" t="str">
        <f>VLOOKUP(A117,'Trips&amp;Operators'!$C$1:$G$99999,5,FALSE)</f>
        <v>DUNCAN SHEILA</v>
      </c>
      <c r="M117" s="6">
        <f t="shared" si="30"/>
        <v>2.5046296294021886E-2</v>
      </c>
      <c r="N117" s="7">
        <f t="shared" si="46"/>
        <v>36.066666663391516</v>
      </c>
      <c r="O117" s="7"/>
      <c r="P117" s="7"/>
      <c r="Q117" s="23"/>
      <c r="R117" s="23"/>
      <c r="S117" s="35">
        <f t="shared" si="32"/>
        <v>1</v>
      </c>
      <c r="T117" s="50" t="str">
        <f t="shared" si="33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15:41:07-700',mode:absolute,to:'2016-12-14 18:21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7" s="52" t="str">
        <f t="shared" si="35"/>
        <v>N</v>
      </c>
      <c r="X117" s="177">
        <f t="shared" si="45"/>
        <v>1</v>
      </c>
      <c r="Y117" s="67">
        <f t="shared" si="43"/>
        <v>4.6199999999999998E-2</v>
      </c>
      <c r="Z117" s="67">
        <f t="shared" si="44"/>
        <v>23.330200000000001</v>
      </c>
      <c r="AA117" s="67">
        <f t="shared" si="36"/>
        <v>23.284000000000002</v>
      </c>
      <c r="AB117" s="64" t="str">
        <f>VLOOKUP(A117,Enforcements!$C$7:$K$19,8,0)</f>
        <v>Speed (6)</v>
      </c>
      <c r="AC117" s="60" t="str">
        <f>VLOOKUP(A117,Enforcements!$C$7:$E$19,3,0)</f>
        <v>PERMANENT SPEED RESTRICTION</v>
      </c>
      <c r="AD117" s="61" t="str">
        <f t="shared" si="37"/>
        <v>0205-14</v>
      </c>
      <c r="AE117" s="91" t="str">
        <f t="shared" si="38"/>
        <v>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 &amp; aws s3 cp s3://rtdc.mdm.uploadarchive.raw/RTDC4044/ "%USERPROFILE%\AppData\Local\Temp\OnboardLogs"\RTDC4044\2016-12-15 --exclude "*" --recursive --include "*20161215*" &amp; "%USERPROFILE%\Documents\GitHub\mrs-test-scripts\Headless Mode &amp; Sideloading\WalkAndUnGZ.bat" "%USERPROFILE%\AppData\Local\Temp\OnboardLogs"\RTDC4044\2016-12-15</v>
      </c>
      <c r="AF117" s="88" t="str">
        <f t="shared" si="39"/>
        <v>"C:\Program Files (x86)\AstroGrep\AstroGrep.exe" /spath="%USERPROFILE%\AppData\Local\Temp\OnboardLogs" /stypes="app*4044*20161215*" /stext=" 00:.+((SYSTEM_STATE.+slice.+state.+changed )|(ment ac)|(multiple cpu faults)|(system.+state.+changed )|(\[timeout)|(PRM\|1\|D)|(kpr)|(kdp)|(\|lc)|(penalty))" /e /r /s</v>
      </c>
      <c r="AG117" s="1" t="str">
        <f t="shared" si="40"/>
        <v>EC</v>
      </c>
      <c r="AH117" s="92" t="str">
        <f t="shared" si="41"/>
        <v>"%USERPROFILE%\Documents\GitHub\eaglep3\Utilities\RefineRTDCRunTimes.py" --tripid 205-14 --locoid 4044 --swversion DE.1.0.8.0 --startMP 204:462 --initTime 2016-12-14T16:41:07 --startdatetime 2016-12-14T16:45:26 --delay 1 --endMP 204:233302 --enddatetime 2016-12-14T17:21:30 --enforcementcount 0 &gt;&gt;C:\Users\stu\Documents\GitHub\eaglep3-reporting\EC\2016-12-14-refined-times.txt</v>
      </c>
      <c r="AI117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{"issue":{"subject":"","project_id":79,"tracker_id":40,"status_id":1,"priority_id":2,"assigned_to_id":23,"start_date":"2016-12-14","description":"","custom_fields":[{"id":1,"name":"Subdivision","value":"EC"},{"id":4,"name":"Milepost","value":"23.3302"},{"id":17,"name":"Train ID","value":"205-14"},{"id":16,"name":"Locomotive ID","value":"4044"},{"id":130,"name":"Impact","value":""},{"id":150,"name":"Time of Event (Mountain Time)","value":"17:21:30"},{"id":151,"name":"Denver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7" t="s">
        <v>445</v>
      </c>
      <c r="B118" s="7">
        <v>4043</v>
      </c>
      <c r="C118" s="22" t="s">
        <v>207</v>
      </c>
      <c r="D118" s="22" t="s">
        <v>293</v>
      </c>
      <c r="E118" s="13">
        <v>42718.734120370369</v>
      </c>
      <c r="F118" s="13">
        <v>42718.736979166664</v>
      </c>
      <c r="G118" s="7">
        <v>1</v>
      </c>
      <c r="H118" s="22" t="s">
        <v>254</v>
      </c>
      <c r="I118" s="13">
        <v>42718.764930555553</v>
      </c>
      <c r="J118" s="7">
        <v>0</v>
      </c>
      <c r="K118" s="109" t="str">
        <f t="shared" si="29"/>
        <v>4043/4044</v>
      </c>
      <c r="L118" s="22" t="str">
        <f>VLOOKUP(A118,'Trips&amp;Operators'!$C$1:$G$99999,5,FALSE)</f>
        <v>DUNCAN SHEILA</v>
      </c>
      <c r="M118" s="6">
        <f t="shared" si="30"/>
        <v>2.7951388889050577E-2</v>
      </c>
      <c r="N118" s="7">
        <f t="shared" si="46"/>
        <v>40.250000000232831</v>
      </c>
      <c r="O118" s="7"/>
      <c r="P118" s="7"/>
      <c r="Q118" s="23"/>
      <c r="R118" s="23"/>
      <c r="S118" s="35">
        <f t="shared" si="32"/>
        <v>1</v>
      </c>
      <c r="T118" s="50" t="str">
        <f t="shared" si="33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16:37:08-700',mode:absolute,to:'2016-12-14 19:21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8" s="52" t="str">
        <f t="shared" si="35"/>
        <v>N</v>
      </c>
      <c r="X118" s="177">
        <f t="shared" si="45"/>
        <v>1</v>
      </c>
      <c r="Y118" s="67">
        <f t="shared" si="43"/>
        <v>23.2989</v>
      </c>
      <c r="Z118" s="67">
        <f t="shared" si="44"/>
        <v>1.6299999999999999E-2</v>
      </c>
      <c r="AA118" s="67">
        <f t="shared" si="36"/>
        <v>23.282599999999999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37"/>
        <v>0206-14</v>
      </c>
      <c r="AE118" s="91" t="str">
        <f t="shared" si="38"/>
        <v>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 &amp; aws s3 cp s3://rtdc.mdm.uploadarchive.raw/RTDC4043/ "%USERPROFILE%\AppData\Local\Temp\OnboardLogs"\RTDC4043\2016-12-15 --exclude "*" --recursive --include "*20161215*" &amp; "%USERPROFILE%\Documents\GitHub\mrs-test-scripts\Headless Mode &amp; Sideloading\WalkAndUnGZ.bat" "%USERPROFILE%\AppData\Local\Temp\OnboardLogs"\RTDC4043\2016-12-15</v>
      </c>
      <c r="AF118" s="88" t="str">
        <f t="shared" si="39"/>
        <v>"C:\Program Files (x86)\AstroGrep\AstroGrep.exe" /spath="%USERPROFILE%\AppData\Local\Temp\OnboardLogs" /stypes="app*4043*20161215*" /stext=" 01:.+((SYSTEM_STATE.+slice.+state.+changed )|(ment ac)|(multiple cpu faults)|(system.+state.+changed )|(\[timeout)|(PRM\|1\|D)|(kpr)|(kdp)|(\|lc)|(penalty))" /e /r /s</v>
      </c>
      <c r="AG118" s="1" t="str">
        <f t="shared" si="40"/>
        <v>EC</v>
      </c>
      <c r="AH118" s="92" t="str">
        <f t="shared" si="41"/>
        <v>"%USERPROFILE%\Documents\GitHub\eaglep3\Utilities\RefineRTDCRunTimes.py" --tripid 206-14 --locoid 4043 --swversion DE.1.0.8.0 --startMP 204:232989 --initTime 2016-12-14T17:37:08 --startdatetime 2016-12-14T17:41:15 --delay 1 --endMP 204:163 --enddatetime 2016-12-14T18:21:30 --enforcementcount 0 &gt;&gt;C:\Users\stu\Documents\GitHub\eaglep3-reporting\EC\2016-12-14-refined-times.txt</v>
      </c>
      <c r="AI118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{"issue":{"subject":"","project_id":79,"tracker_id":40,"status_id":1,"priority_id":2,"assigned_to_id":23,"start_date":"2016-12-14","description":"","custom_fields":[{"id":1,"name":"Subdivision","value":"EC"},{"id":4,"name":"Milepost","value":"0.0163"},{"id":17,"name":"Train ID","value":"206-14"},{"id":16,"name":"Locomotive ID","value":"4043"},{"id":130,"name":"Impact","value":""},{"id":150,"name":"Time of Event (Mountain Time)","value":"18:21:30"},{"id":151,"name":"Denver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91" s="21" customFormat="1" x14ac:dyDescent="0.25">
      <c r="A119" s="37" t="s">
        <v>610</v>
      </c>
      <c r="B119" s="7">
        <v>4016</v>
      </c>
      <c r="C119" s="22" t="s">
        <v>207</v>
      </c>
      <c r="D119" s="22" t="s">
        <v>250</v>
      </c>
      <c r="E119" s="13">
        <v>42718.705104166664</v>
      </c>
      <c r="F119" s="13">
        <v>42718.708854166667</v>
      </c>
      <c r="G119" s="7">
        <v>2</v>
      </c>
      <c r="H119" s="22" t="s">
        <v>739</v>
      </c>
      <c r="I119" s="13">
        <v>42718.733287037037</v>
      </c>
      <c r="J119" s="7">
        <v>0</v>
      </c>
      <c r="K119" s="109" t="str">
        <f t="shared" si="29"/>
        <v>4015/4016</v>
      </c>
      <c r="L119" s="22" t="str">
        <f>VLOOKUP(A119,'Trips&amp;Operators'!$C$1:$G$99999,5,FALSE)</f>
        <v>ADANE ELSHADAY</v>
      </c>
      <c r="M119" s="6">
        <f t="shared" si="30"/>
        <v>2.4432870370219462E-2</v>
      </c>
      <c r="N119" s="7">
        <f t="shared" si="46"/>
        <v>35.183333333116025</v>
      </c>
      <c r="O119" s="7"/>
      <c r="P119" s="7"/>
      <c r="Q119" s="23"/>
      <c r="R119" s="23"/>
      <c r="S119" s="35">
        <f t="shared" si="32"/>
        <v>1</v>
      </c>
      <c r="T119" s="50" t="str">
        <f t="shared" si="33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15:55:21-700',mode:absolute,to:'2016-12-14 18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9" s="52" t="str">
        <f t="shared" si="35"/>
        <v>N</v>
      </c>
      <c r="X119" s="177">
        <f t="shared" si="45"/>
        <v>1</v>
      </c>
      <c r="Y119" s="67">
        <f t="shared" si="43"/>
        <v>4.58E-2</v>
      </c>
      <c r="Z119" s="67">
        <f t="shared" si="44"/>
        <v>23.329899999999999</v>
      </c>
      <c r="AA119" s="67">
        <f t="shared" si="36"/>
        <v>23.284099999999999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37"/>
        <v>0207-14</v>
      </c>
      <c r="AE119" s="91" t="str">
        <f t="shared" si="38"/>
        <v>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 &amp; aws s3 cp s3://rtdc.mdm.uploadarchive.raw/RTDC4016/ "%USERPROFILE%\AppData\Local\Temp\OnboardLogs"\RTDC4016\2016-12-15 --exclude "*" --recursive --include "*20161215*" &amp; "%USERPROFILE%\Documents\GitHub\mrs-test-scripts\Headless Mode &amp; Sideloading\WalkAndUnGZ.bat" "%USERPROFILE%\AppData\Local\Temp\OnboardLogs"\RTDC4016\2016-12-15</v>
      </c>
      <c r="AF119" s="88" t="str">
        <f t="shared" si="39"/>
        <v>"C:\Program Files (x86)\AstroGrep\AstroGrep.exe" /spath="%USERPROFILE%\AppData\Local\Temp\OnboardLogs" /stypes="app*4016*20161215*" /stext=" 00:.+((SYSTEM_STATE.+slice.+state.+changed )|(ment ac)|(multiple cpu faults)|(system.+state.+changed )|(\[timeout)|(PRM\|1\|D)|(kpr)|(kdp)|(\|lc)|(penalty))" /e /r /s</v>
      </c>
      <c r="AG119" s="1" t="str">
        <f t="shared" si="40"/>
        <v>EC</v>
      </c>
      <c r="AH119" s="92" t="str">
        <f t="shared" si="41"/>
        <v>"%USERPROFILE%\Documents\GitHub\eaglep3\Utilities\RefineRTDCRunTimes.py" --tripid 207-14 --locoid 4016 --swversion DE.1.0.8.0 --startMP 204:458 --initTime 2016-12-14T16:55:21 --startdatetime 2016-12-14T17:00:45 --delay 2 --endMP 204:233299 --enddatetime 2016-12-14T17:35:56 --enforcementcount 0 &gt;&gt;C:\Users\stu\Documents\GitHub\eaglep3-reporting\EC\2016-12-14-refined-times.txt</v>
      </c>
      <c r="AI119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{"issue":{"subject":"","project_id":79,"tracker_id":40,"status_id":1,"priority_id":2,"assigned_to_id":23,"start_date":"2016-12-14","description":"","custom_fields":[{"id":1,"name":"Subdivision","value":"EC"},{"id":4,"name":"Milepost","value":"23.3299"},{"id":17,"name":"Train ID","value":"207-14"},{"id":16,"name":"Locomotive ID","value":"4016"},{"id":130,"name":"Impact","value":""},{"id":150,"name":"Time of Event (Mountain Time)","value":"17:35:56"},{"id":151,"name":"Denver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622</v>
      </c>
      <c r="B120" s="7">
        <v>4015</v>
      </c>
      <c r="C120" s="22" t="s">
        <v>207</v>
      </c>
      <c r="D120" s="22" t="s">
        <v>291</v>
      </c>
      <c r="E120" s="13">
        <v>42718.734895833331</v>
      </c>
      <c r="F120" s="13">
        <v>42718.747685185182</v>
      </c>
      <c r="G120" s="7">
        <v>1</v>
      </c>
      <c r="H120" s="22" t="s">
        <v>205</v>
      </c>
      <c r="I120" s="13">
        <v>42718.774687500001</v>
      </c>
      <c r="J120" s="7">
        <v>0</v>
      </c>
      <c r="K120" s="109" t="str">
        <f t="shared" si="29"/>
        <v>4015/4016</v>
      </c>
      <c r="L120" s="22" t="str">
        <f>VLOOKUP(A120,'Trips&amp;Operators'!$C$1:$G$99999,5,FALSE)</f>
        <v>ADANE ELSHADAY</v>
      </c>
      <c r="M120" s="6">
        <f t="shared" si="30"/>
        <v>2.7002314818673767E-2</v>
      </c>
      <c r="N120" s="7">
        <f t="shared" si="46"/>
        <v>38.883333338890225</v>
      </c>
      <c r="O120" s="7"/>
      <c r="P120" s="7"/>
      <c r="Q120" s="23"/>
      <c r="R120" s="23"/>
      <c r="S120" s="35">
        <f t="shared" si="32"/>
        <v>1</v>
      </c>
      <c r="T120" s="50" t="str">
        <f t="shared" si="33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16:38:15-700',mode:absolute,to:'2016-12-14 19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0" s="52" t="str">
        <f t="shared" si="35"/>
        <v>N</v>
      </c>
      <c r="X120" s="177">
        <f t="shared" si="45"/>
        <v>1</v>
      </c>
      <c r="Y120" s="67">
        <f t="shared" si="43"/>
        <v>23.297999999999998</v>
      </c>
      <c r="Z120" s="67">
        <f t="shared" si="44"/>
        <v>1.5599999999999999E-2</v>
      </c>
      <c r="AA120" s="67">
        <f t="shared" si="36"/>
        <v>23.282399999999999</v>
      </c>
      <c r="AB120" s="64" t="e">
        <f>VLOOKUP(A120,Enforcements!$C$7:$K$19,8,0)</f>
        <v>#N/A</v>
      </c>
      <c r="AC120" s="60" t="e">
        <f>VLOOKUP(A120,Enforcements!$C$7:$E$19,3,0)</f>
        <v>#N/A</v>
      </c>
      <c r="AD120" s="61" t="str">
        <f t="shared" si="37"/>
        <v>0208-14</v>
      </c>
      <c r="AE120" s="91" t="str">
        <f t="shared" si="38"/>
        <v>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 &amp; aws s3 cp s3://rtdc.mdm.uploadarchive.raw/RTDC4015/ "%USERPROFILE%\AppData\Local\Temp\OnboardLogs"\RTDC4015\2016-12-15 --exclude "*" --recursive --include "*20161215*" &amp; "%USERPROFILE%\Documents\GitHub\mrs-test-scripts\Headless Mode &amp; Sideloading\WalkAndUnGZ.bat" "%USERPROFILE%\AppData\Local\Temp\OnboardLogs"\RTDC4015\2016-12-15</v>
      </c>
      <c r="AF120" s="88" t="str">
        <f t="shared" si="39"/>
        <v>"C:\Program Files (x86)\AstroGrep\AstroGrep.exe" /spath="%USERPROFILE%\AppData\Local\Temp\OnboardLogs" /stypes="app*4015*20161215*" /stext=" 01:.+((SYSTEM_STATE.+slice.+state.+changed )|(ment ac)|(multiple cpu faults)|(system.+state.+changed )|(\[timeout)|(PRM\|1\|D)|(kpr)|(kdp)|(\|lc)|(penalty))" /e /r /s</v>
      </c>
      <c r="AG120" s="1" t="str">
        <f t="shared" si="40"/>
        <v>EC</v>
      </c>
      <c r="AH120" s="92" t="str">
        <f t="shared" si="41"/>
        <v>"%USERPROFILE%\Documents\GitHub\eaglep3\Utilities\RefineRTDCRunTimes.py" --tripid 208-14 --locoid 4015 --swversion DE.1.0.8.0 --startMP 204:232980 --initTime 2016-12-14T17:38:15 --startdatetime 2016-12-14T17:56:40 --delay 1 --endMP 204:156 --enddatetime 2016-12-14T18:35:33 --enforcementcount 0 &gt;&gt;C:\Users\stu\Documents\GitHub\eaglep3-reporting\EC\2016-12-14-refined-times.txt</v>
      </c>
      <c r="AI120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{"issue":{"subject":"","project_id":79,"tracker_id":40,"status_id":1,"priority_id":2,"assigned_to_id":23,"start_date":"2016-12-14","description":"","custom_fields":[{"id":1,"name":"Subdivision","value":"EC"},{"id":4,"name":"Milepost","value":"0.0156"},{"id":17,"name":"Train ID","value":"208-14"},{"id":16,"name":"Locomotive ID","value":"4015"},{"id":130,"name":"Impact","value":""},{"id":150,"name":"Time of Event (Mountain Time)","value":"18:35:33"},{"id":151,"name":"Denver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616</v>
      </c>
      <c r="B121" s="7">
        <v>4040</v>
      </c>
      <c r="C121" s="22" t="s">
        <v>207</v>
      </c>
      <c r="D121" s="22" t="s">
        <v>332</v>
      </c>
      <c r="E121" s="13">
        <v>42718.717268518521</v>
      </c>
      <c r="F121" s="13">
        <v>42718.719398148147</v>
      </c>
      <c r="G121" s="7">
        <v>1</v>
      </c>
      <c r="H121" s="22" t="s">
        <v>697</v>
      </c>
      <c r="I121" s="13">
        <v>42718.743217592593</v>
      </c>
      <c r="J121" s="7">
        <v>0</v>
      </c>
      <c r="K121" s="109" t="str">
        <f t="shared" si="29"/>
        <v>4039/4040</v>
      </c>
      <c r="L121" s="22" t="str">
        <f>VLOOKUP(A121,'Trips&amp;Operators'!$C$1:$G$99999,5,FALSE)</f>
        <v>STAMBAUGH JAMES</v>
      </c>
      <c r="M121" s="6">
        <f t="shared" si="30"/>
        <v>2.3819444446417037E-2</v>
      </c>
      <c r="N121" s="7">
        <f t="shared" si="46"/>
        <v>34.300000002840534</v>
      </c>
      <c r="O121" s="7"/>
      <c r="P121" s="7"/>
      <c r="Q121" s="23"/>
      <c r="R121" s="23"/>
      <c r="S121" s="35">
        <f t="shared" si="32"/>
        <v>1</v>
      </c>
      <c r="T121" s="50" t="str">
        <f t="shared" si="33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16:12:52-700',mode:absolute,to:'2016-12-14 18:50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1" s="52" t="str">
        <f t="shared" si="35"/>
        <v>N</v>
      </c>
      <c r="X121" s="177">
        <f t="shared" si="45"/>
        <v>1</v>
      </c>
      <c r="Y121" s="67">
        <f t="shared" si="43"/>
        <v>4.8599999999999997E-2</v>
      </c>
      <c r="Z121" s="67">
        <f t="shared" si="44"/>
        <v>23.331499999999998</v>
      </c>
      <c r="AA121" s="67">
        <f t="shared" si="36"/>
        <v>23.282899999999998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37"/>
        <v>0209-14</v>
      </c>
      <c r="AE121" s="91" t="str">
        <f t="shared" si="38"/>
        <v>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 &amp; aws s3 cp s3://rtdc.mdm.uploadarchive.raw/RTDC4040/ "%USERPROFILE%\AppData\Local\Temp\OnboardLogs"\RTDC4040\2016-12-15 --exclude "*" --recursive --include "*20161215*" &amp; "%USERPROFILE%\Documents\GitHub\mrs-test-scripts\Headless Mode &amp; Sideloading\WalkAndUnGZ.bat" "%USERPROFILE%\AppData\Local\Temp\OnboardLogs"\RTDC4040\2016-12-15</v>
      </c>
      <c r="AF121" s="88" t="str">
        <f t="shared" si="39"/>
        <v>"C:\Program Files (x86)\AstroGrep\AstroGrep.exe" /spath="%USERPROFILE%\AppData\Local\Temp\OnboardLogs" /stypes="app*4040*20161215*" /stext=" 00:.+((SYSTEM_STATE.+slice.+state.+changed )|(ment ac)|(multiple cpu faults)|(system.+state.+changed )|(\[timeout)|(PRM\|1\|D)|(kpr)|(kdp)|(\|lc)|(penalty))" /e /r /s</v>
      </c>
      <c r="AG121" s="1" t="str">
        <f t="shared" si="40"/>
        <v>EC</v>
      </c>
      <c r="AH121" s="92" t="str">
        <f t="shared" si="41"/>
        <v>"%USERPROFILE%\Documents\GitHub\eaglep3\Utilities\RefineRTDCRunTimes.py" --tripid 209-14 --locoid 4040 --swversion DE.1.0.8.0 --startMP 204:486 --initTime 2016-12-14T17:12:52 --startdatetime 2016-12-14T17:15:56 --delay 1 --endMP 204:233315 --enddatetime 2016-12-14T17:50:14 --enforcementcount 0 &gt;&gt;C:\Users\stu\Documents\GitHub\eaglep3-reporting\EC\2016-12-14-refined-times.txt</v>
      </c>
      <c r="AI121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{"issue":{"subject":"","project_id":79,"tracker_id":40,"status_id":1,"priority_id":2,"assigned_to_id":23,"start_date":"2016-12-14","description":"","custom_fields":[{"id":1,"name":"Subdivision","value":"EC"},{"id":4,"name":"Milepost","value":"23.3315"},{"id":17,"name":"Train ID","value":"209-14"},{"id":16,"name":"Locomotive ID","value":"4040"},{"id":130,"name":"Impact","value":""},{"id":150,"name":"Time of Event (Mountain Time)","value":"17:50:14"},{"id":151,"name":"Denver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631</v>
      </c>
      <c r="B122" s="7">
        <v>4039</v>
      </c>
      <c r="C122" s="22" t="s">
        <v>207</v>
      </c>
      <c r="D122" s="22" t="s">
        <v>293</v>
      </c>
      <c r="E122" s="13">
        <v>42718.754652777781</v>
      </c>
      <c r="F122" s="13">
        <v>42718.758171296293</v>
      </c>
      <c r="G122" s="7">
        <v>3</v>
      </c>
      <c r="H122" s="22" t="s">
        <v>193</v>
      </c>
      <c r="I122" s="13">
        <v>42718.784016203703</v>
      </c>
      <c r="J122" s="7">
        <v>0</v>
      </c>
      <c r="K122" s="109" t="str">
        <f t="shared" si="29"/>
        <v>4039/4040</v>
      </c>
      <c r="L122" s="22" t="str">
        <f>VLOOKUP(A122,'Trips&amp;Operators'!$C$1:$G$99999,5,FALSE)</f>
        <v>STAMBAUGH JAMES</v>
      </c>
      <c r="M122" s="6">
        <f t="shared" si="30"/>
        <v>2.584490740991896E-2</v>
      </c>
      <c r="N122" s="7">
        <f t="shared" si="46"/>
        <v>37.216666670283303</v>
      </c>
      <c r="O122" s="7"/>
      <c r="P122" s="7"/>
      <c r="Q122" s="23"/>
      <c r="R122" s="23"/>
      <c r="S122" s="35">
        <f t="shared" si="32"/>
        <v>1</v>
      </c>
      <c r="T122" s="50" t="str">
        <f t="shared" si="33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17:06:42-700',mode:absolute,to:'2016-12-14 19:48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2" s="52" t="str">
        <f t="shared" si="35"/>
        <v>N</v>
      </c>
      <c r="X122" s="177">
        <f t="shared" si="45"/>
        <v>1</v>
      </c>
      <c r="Y122" s="67">
        <f t="shared" si="43"/>
        <v>23.2989</v>
      </c>
      <c r="Z122" s="67">
        <f t="shared" si="44"/>
        <v>1.43E-2</v>
      </c>
      <c r="AA122" s="67">
        <f t="shared" si="36"/>
        <v>23.284600000000001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37"/>
        <v>0210-14</v>
      </c>
      <c r="AE122" s="91" t="str">
        <f t="shared" si="38"/>
        <v>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 &amp; aws s3 cp s3://rtdc.mdm.uploadarchive.raw/RTDC4039/ "%USERPROFILE%\AppData\Local\Temp\OnboardLogs"\RTDC4039\2016-12-15 --exclude "*" --recursive --include "*20161215*" &amp; "%USERPROFILE%\Documents\GitHub\mrs-test-scripts\Headless Mode &amp; Sideloading\WalkAndUnGZ.bat" "%USERPROFILE%\AppData\Local\Temp\OnboardLogs"\RTDC4039\2016-12-15</v>
      </c>
      <c r="AF122" s="88" t="str">
        <f t="shared" si="39"/>
        <v>"C:\Program Files (x86)\AstroGrep\AstroGrep.exe" /spath="%USERPROFILE%\AppData\Local\Temp\OnboardLogs" /stypes="app*4039*20161215*" /stext=" 01:.+((SYSTEM_STATE.+slice.+state.+changed )|(ment ac)|(multiple cpu faults)|(system.+state.+changed )|(\[timeout)|(PRM\|1\|D)|(kpr)|(kdp)|(\|lc)|(penalty))" /e /r /s</v>
      </c>
      <c r="AG122" s="1" t="str">
        <f t="shared" si="40"/>
        <v>EC</v>
      </c>
      <c r="AH122" s="92" t="str">
        <f t="shared" si="41"/>
        <v>"%USERPROFILE%\Documents\GitHub\eaglep3\Utilities\RefineRTDCRunTimes.py" --tripid 210-14 --locoid 4039 --swversion DE.1.0.8.0 --startMP 204:232989 --initTime 2016-12-14T18:06:42 --startdatetime 2016-12-14T18:11:46 --delay 3 --endMP 204:143 --enddatetime 2016-12-14T18:48:59 --enforcementcount 0 &gt;&gt;C:\Users\stu\Documents\GitHub\eaglep3-reporting\EC\2016-12-14-refined-times.txt</v>
      </c>
      <c r="AI122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{"issue":{"subject":"","project_id":79,"tracker_id":40,"status_id":1,"priority_id":2,"assigned_to_id":23,"start_date":"2016-12-14","description":"","custom_fields":[{"id":1,"name":"Subdivision","value":"EC"},{"id":4,"name":"Milepost","value":"0.0143"},{"id":17,"name":"Train ID","value":"210-14"},{"id":16,"name":"Locomotive ID","value":"4039"},{"id":130,"name":"Impact","value":""},{"id":150,"name":"Time of Event (Mountain Time)","value":"18:48:59"},{"id":151,"name":"Denver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621</v>
      </c>
      <c r="B123" s="7">
        <v>4031</v>
      </c>
      <c r="C123" s="22" t="s">
        <v>207</v>
      </c>
      <c r="D123" s="22" t="s">
        <v>274</v>
      </c>
      <c r="E123" s="13">
        <v>42718.725381944445</v>
      </c>
      <c r="F123" s="13">
        <v>42718.729467592595</v>
      </c>
      <c r="G123" s="7">
        <v>1</v>
      </c>
      <c r="H123" s="22" t="s">
        <v>704</v>
      </c>
      <c r="I123" s="13">
        <v>42718.755590277775</v>
      </c>
      <c r="J123" s="7">
        <v>0</v>
      </c>
      <c r="K123" s="109" t="str">
        <f t="shared" si="29"/>
        <v>4031/4032</v>
      </c>
      <c r="L123" s="22" t="str">
        <f>VLOOKUP(A123,'Trips&amp;Operators'!$C$1:$G$99999,5,FALSE)</f>
        <v>YOUNG ELIZABETH</v>
      </c>
      <c r="M123" s="6">
        <f t="shared" si="30"/>
        <v>2.6122685179871041E-2</v>
      </c>
      <c r="N123" s="7">
        <f t="shared" si="46"/>
        <v>37.6166666590143</v>
      </c>
      <c r="O123" s="7"/>
      <c r="P123" s="7"/>
      <c r="Q123" s="23"/>
      <c r="R123" s="23"/>
      <c r="S123" s="35">
        <f t="shared" si="32"/>
        <v>1</v>
      </c>
      <c r="T123" s="50" t="str">
        <f t="shared" si="33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16:24:33-700',mode:absolute,to:'2016-12-14 19:08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3" s="52" t="str">
        <f t="shared" si="35"/>
        <v>N</v>
      </c>
      <c r="X123" s="177">
        <f t="shared" si="45"/>
        <v>1</v>
      </c>
      <c r="Y123" s="67">
        <f t="shared" si="43"/>
        <v>4.53E-2</v>
      </c>
      <c r="Z123" s="67">
        <f t="shared" si="44"/>
        <v>23.3307</v>
      </c>
      <c r="AA123" s="67">
        <f t="shared" si="36"/>
        <v>23.285399999999999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37"/>
        <v>0211-14</v>
      </c>
      <c r="AE123" s="91" t="str">
        <f t="shared" si="38"/>
        <v>aws s3 cp s3://rtdc.mdm.uploadarchive.raw/RTDC4031/ "%USERPROFILE%\AppData\Local\Temp\OnboardLogs"\RTDC4031\2016-12-14 --exclude "*" --recursive --include "*20161214*" &amp; "%USERPROFILE%\Documents\GitHub\mrs-test-scripts\Headless Mode &amp; Sideloading\WalkAndUnGZ.bat" "%USERPROFILE%\AppData\Local\Temp\OnboardLogs"\RTDC4031\2016-12-14 &amp; aws s3 cp s3://rtdc.mdm.uploadarchive.raw/RTDC4031/ "%USERPROFILE%\AppData\Local\Temp\OnboardLogs"\RTDC4031\2016-12-15 --exclude "*" --recursive --include "*20161215*" &amp; "%USERPROFILE%\Documents\GitHub\mrs-test-scripts\Headless Mode &amp; Sideloading\WalkAndUnGZ.bat" "%USERPROFILE%\AppData\Local\Temp\OnboardLogs"\RTDC4031\2016-12-15</v>
      </c>
      <c r="AF123" s="88" t="str">
        <f t="shared" si="39"/>
        <v>"C:\Program Files (x86)\AstroGrep\AstroGrep.exe" /spath="%USERPROFILE%\AppData\Local\Temp\OnboardLogs" /stypes="app*4031*20161215*" /stext=" 01:.+((SYSTEM_STATE.+slice.+state.+changed )|(ment ac)|(multiple cpu faults)|(system.+state.+changed )|(\[timeout)|(PRM\|1\|D)|(kpr)|(kdp)|(\|lc)|(penalty))" /e /r /s</v>
      </c>
      <c r="AG123" s="1" t="str">
        <f t="shared" si="40"/>
        <v>EC</v>
      </c>
      <c r="AH123" s="92" t="str">
        <f t="shared" si="41"/>
        <v>"%USERPROFILE%\Documents\GitHub\eaglep3\Utilities\RefineRTDCRunTimes.py" --tripid 211-14 --locoid 4031 --swversion DE.1.0.8.0 --startMP 204:453 --initTime 2016-12-14T17:24:33 --startdatetime 2016-12-14T17:30:26 --delay 1 --endMP 204:233307 --enddatetime 2016-12-14T18:08:03 --enforcementcount 0 &gt;&gt;C:\Users\stu\Documents\GitHub\eaglep3-reporting\EC\2016-12-14-refined-times.txt</v>
      </c>
      <c r="AI123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{"issue":{"subject":"","project_id":79,"tracker_id":40,"status_id":1,"priority_id":2,"assigned_to_id":23,"start_date":"2016-12-14","description":"","custom_fields":[{"id":1,"name":"Subdivision","value":"EC"},{"id":4,"name":"Milepost","value":"23.3307"},{"id":17,"name":"Train ID","value":"211-14"},{"id":16,"name":"Locomotive ID","value":"4031"},{"id":130,"name":"Impact","value":""},{"id":150,"name":"Time of Event (Mountain Time)","value":"18:08:03"},{"id":151,"name":"Denver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634</v>
      </c>
      <c r="B124" s="7">
        <v>4032</v>
      </c>
      <c r="C124" s="22" t="s">
        <v>207</v>
      </c>
      <c r="D124" s="22" t="s">
        <v>692</v>
      </c>
      <c r="E124" s="13">
        <v>42718.759270833332</v>
      </c>
      <c r="F124" s="13">
        <v>42718.768229166664</v>
      </c>
      <c r="G124" s="7">
        <v>2</v>
      </c>
      <c r="H124" s="22" t="s">
        <v>402</v>
      </c>
      <c r="I124" s="13">
        <v>42718.798750000002</v>
      </c>
      <c r="J124" s="7">
        <v>0</v>
      </c>
      <c r="K124" s="109" t="str">
        <f t="shared" si="29"/>
        <v>4031/4032</v>
      </c>
      <c r="L124" s="22" t="str">
        <f>VLOOKUP(A124,'Trips&amp;Operators'!$C$1:$G$99999,5,FALSE)</f>
        <v>YOUNG ELIZABETH</v>
      </c>
      <c r="M124" s="6">
        <f t="shared" si="30"/>
        <v>3.0520833337504882E-2</v>
      </c>
      <c r="N124" s="7">
        <f t="shared" si="46"/>
        <v>43.950000006007031</v>
      </c>
      <c r="O124" s="7"/>
      <c r="P124" s="7"/>
      <c r="Q124" s="23"/>
      <c r="R124" s="23"/>
      <c r="S124" s="35">
        <f t="shared" si="32"/>
        <v>1</v>
      </c>
      <c r="T124" s="50" t="str">
        <f t="shared" si="33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17:13:21-700',mode:absolute,to:'2016-12-14 20:10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4" s="52" t="str">
        <f t="shared" si="35"/>
        <v>N</v>
      </c>
      <c r="X124" s="177">
        <f t="shared" si="45"/>
        <v>1</v>
      </c>
      <c r="Y124" s="67">
        <f t="shared" si="43"/>
        <v>23.298200000000001</v>
      </c>
      <c r="Z124" s="67">
        <f t="shared" si="44"/>
        <v>1.7600000000000001E-2</v>
      </c>
      <c r="AA124" s="67">
        <f t="shared" si="36"/>
        <v>23.2806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 t="shared" si="37"/>
        <v>0212-14</v>
      </c>
      <c r="AE124" s="91" t="str">
        <f t="shared" si="38"/>
        <v>aws s3 cp s3://rtdc.mdm.uploadarchive.raw/RTDC4032/ "%USERPROFILE%\AppData\Local\Temp\OnboardLogs"\RTDC4032\2016-12-14 --exclude "*" --recursive --include "*20161214*" &amp; "%USERPROFILE%\Documents\GitHub\mrs-test-scripts\Headless Mode &amp; Sideloading\WalkAndUnGZ.bat" "%USERPROFILE%\AppData\Local\Temp\OnboardLogs"\RTDC4032\2016-12-14 &amp; aws s3 cp s3://rtdc.mdm.uploadarchive.raw/RTDC4032/ "%USERPROFILE%\AppData\Local\Temp\OnboardLogs"\RTDC4032\2016-12-15 --exclude "*" --recursive --include "*20161215*" &amp; "%USERPROFILE%\Documents\GitHub\mrs-test-scripts\Headless Mode &amp; Sideloading\WalkAndUnGZ.bat" "%USERPROFILE%\AppData\Local\Temp\OnboardLogs"\RTDC4032\2016-12-15</v>
      </c>
      <c r="AF124" s="88" t="str">
        <f t="shared" si="39"/>
        <v>"C:\Program Files (x86)\AstroGrep\AstroGrep.exe" /spath="%USERPROFILE%\AppData\Local\Temp\OnboardLogs" /stypes="app*4032*20161215*" /stext=" 02:.+((SYSTEM_STATE.+slice.+state.+changed )|(ment ac)|(multiple cpu faults)|(system.+state.+changed )|(\[timeout)|(PRM\|1\|D)|(kpr)|(kdp)|(\|lc)|(penalty))" /e /r /s</v>
      </c>
      <c r="AG124" s="1" t="str">
        <f t="shared" si="40"/>
        <v>EC</v>
      </c>
      <c r="AH124" s="92" t="str">
        <f t="shared" si="41"/>
        <v>"%USERPROFILE%\Documents\GitHub\eaglep3\Utilities\RefineRTDCRunTimes.py" --tripid 212-14 --locoid 4032 --swversion DE.1.0.8.0 --startMP 204:232982 --initTime 2016-12-14T18:13:21 --startdatetime 2016-12-14T18:26:15 --delay 2 --endMP 204:176 --enddatetime 2016-12-14T19:10:12 --enforcementcount 0 &gt;&gt;C:\Users\stu\Documents\GitHub\eaglep3-reporting\EC\2016-12-14-refined-times.txt</v>
      </c>
      <c r="AI124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{"issue":{"subject":"","project_id":79,"tracker_id":40,"status_id":1,"priority_id":2,"assigned_to_id":23,"start_date":"2016-12-14","description":"","custom_fields":[{"id":1,"name":"Subdivision","value":"EC"},{"id":4,"name":"Milepost","value":"0.0176"},{"id":17,"name":"Train ID","value":"212-14"},{"id":16,"name":"Locomotive ID","value":"4032"},{"id":130,"name":"Impact","value":""},{"id":150,"name":"Time of Event (Mountain Time)","value":"19:10:12"},{"id":151,"name":"Denver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626</v>
      </c>
      <c r="B125" s="7">
        <v>4014</v>
      </c>
      <c r="C125" s="22" t="s">
        <v>207</v>
      </c>
      <c r="D125" s="22" t="s">
        <v>250</v>
      </c>
      <c r="E125" s="13">
        <v>42718.737939814811</v>
      </c>
      <c r="F125" s="13">
        <v>42718.739768518521</v>
      </c>
      <c r="G125" s="7">
        <v>1</v>
      </c>
      <c r="H125" s="22" t="s">
        <v>388</v>
      </c>
      <c r="I125" s="13">
        <v>42718.764965277776</v>
      </c>
      <c r="J125" s="7">
        <v>0</v>
      </c>
      <c r="K125" s="109" t="str">
        <f t="shared" si="29"/>
        <v>4013/4014</v>
      </c>
      <c r="L125" s="22" t="str">
        <f>VLOOKUP(A125,'Trips&amp;Operators'!$C$1:$G$99999,5,FALSE)</f>
        <v>YANAI IAN</v>
      </c>
      <c r="M125" s="6">
        <f t="shared" si="30"/>
        <v>2.5196759255777579E-2</v>
      </c>
      <c r="N125" s="7">
        <f t="shared" si="46"/>
        <v>36.283333328319713</v>
      </c>
      <c r="O125" s="7"/>
      <c r="P125" s="7"/>
      <c r="Q125" s="23"/>
      <c r="R125" s="23"/>
      <c r="S125" s="35">
        <f t="shared" si="32"/>
        <v>1</v>
      </c>
      <c r="T125" s="50" t="str">
        <f t="shared" si="33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16:42:38-700',mode:absolute,to:'2016-12-14 19:21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5" s="52" t="str">
        <f t="shared" si="35"/>
        <v>N</v>
      </c>
      <c r="X125" s="177">
        <f t="shared" si="45"/>
        <v>1</v>
      </c>
      <c r="Y125" s="67">
        <f t="shared" si="43"/>
        <v>4.58E-2</v>
      </c>
      <c r="Z125" s="67">
        <f t="shared" si="44"/>
        <v>23.328299999999999</v>
      </c>
      <c r="AA125" s="67">
        <f t="shared" si="36"/>
        <v>23.282499999999999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37"/>
        <v>0213-14</v>
      </c>
      <c r="AE125" s="91" t="str">
        <f t="shared" si="38"/>
        <v>aws s3 cp s3://rtdc.mdm.uploadarchive.raw/RTDC4014/ "%USERPROFILE%\AppData\Local\Temp\OnboardLogs"\RTDC4014\2016-12-14 --exclude "*" --recursive --include "*20161214*" &amp; "%USERPROFILE%\Documents\GitHub\mrs-test-scripts\Headless Mode &amp; Sideloading\WalkAndUnGZ.bat" "%USERPROFILE%\AppData\Local\Temp\OnboardLogs"\RTDC4014\2016-12-14 &amp; aws s3 cp s3://rtdc.mdm.uploadarchive.raw/RTDC4014/ "%USERPROFILE%\AppData\Local\Temp\OnboardLogs"\RTDC4014\2016-12-15 --exclude "*" --recursive --include "*20161215*" &amp; "%USERPROFILE%\Documents\GitHub\mrs-test-scripts\Headless Mode &amp; Sideloading\WalkAndUnGZ.bat" "%USERPROFILE%\AppData\Local\Temp\OnboardLogs"\RTDC4014\2016-12-15</v>
      </c>
      <c r="AF125" s="88" t="str">
        <f t="shared" si="39"/>
        <v>"C:\Program Files (x86)\AstroGrep\AstroGrep.exe" /spath="%USERPROFILE%\AppData\Local\Temp\OnboardLogs" /stypes="app*4014*20161215*" /stext=" 01:.+((SYSTEM_STATE.+slice.+state.+changed )|(ment ac)|(multiple cpu faults)|(system.+state.+changed )|(\[timeout)|(PRM\|1\|D)|(kpr)|(kdp)|(\|lc)|(penalty))" /e /r /s</v>
      </c>
      <c r="AG125" s="1" t="str">
        <f t="shared" si="40"/>
        <v>EC</v>
      </c>
      <c r="AH125" s="92" t="str">
        <f t="shared" si="41"/>
        <v>"%USERPROFILE%\Documents\GitHub\eaglep3\Utilities\RefineRTDCRunTimes.py" --tripid 213-14 --locoid 4014 --swversion DE.1.0.8.0 --startMP 204:458 --initTime 2016-12-14T17:42:38 --startdatetime 2016-12-14T17:45:16 --delay 1 --endMP 204:233283 --enddatetime 2016-12-14T18:21:33 --enforcementcount 0 &gt;&gt;C:\Users\stu\Documents\GitHub\eaglep3-reporting\EC\2016-12-14-refined-times.txt</v>
      </c>
      <c r="AI125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{"issue":{"subject":"","project_id":79,"tracker_id":40,"status_id":1,"priority_id":2,"assigned_to_id":23,"start_date":"2016-12-14","description":"","custom_fields":[{"id":1,"name":"Subdivision","value":"EC"},{"id":4,"name":"Milepost","value":"23.3283"},{"id":17,"name":"Train ID","value":"213-14"},{"id":16,"name":"Locomotive ID","value":"4014"},{"id":130,"name":"Impact","value":""},{"id":150,"name":"Time of Event (Mountain Time)","value":"18:21:33"},{"id":151,"name":"Denver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640</v>
      </c>
      <c r="B126" s="7">
        <v>4013</v>
      </c>
      <c r="C126" s="22" t="s">
        <v>207</v>
      </c>
      <c r="D126" s="22" t="s">
        <v>303</v>
      </c>
      <c r="E126" s="13">
        <v>42718.769085648149</v>
      </c>
      <c r="F126" s="13">
        <v>42718.778715277775</v>
      </c>
      <c r="G126" s="7">
        <v>1</v>
      </c>
      <c r="H126" s="22" t="s">
        <v>192</v>
      </c>
      <c r="I126" s="13">
        <v>42718.807534722226</v>
      </c>
      <c r="J126" s="7">
        <v>0</v>
      </c>
      <c r="K126" s="109" t="str">
        <f t="shared" si="29"/>
        <v>4013/4014</v>
      </c>
      <c r="L126" s="22" t="str">
        <f>VLOOKUP(A126,'Trips&amp;Operators'!$C$1:$G$99999,5,FALSE)</f>
        <v>YANAI IAN</v>
      </c>
      <c r="M126" s="6">
        <f t="shared" si="30"/>
        <v>2.881944445107365E-2</v>
      </c>
      <c r="N126" s="7">
        <f t="shared" si="46"/>
        <v>41.500000009546056</v>
      </c>
      <c r="O126" s="7"/>
      <c r="P126" s="7"/>
      <c r="Q126" s="23"/>
      <c r="R126" s="23"/>
      <c r="S126" s="35">
        <f t="shared" si="32"/>
        <v>1</v>
      </c>
      <c r="T126" s="50" t="str">
        <f t="shared" si="33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17:27:29-700',mode:absolute,to:'2016-12-14 20:22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6" s="52" t="str">
        <f t="shared" si="35"/>
        <v>N</v>
      </c>
      <c r="X126" s="177">
        <f t="shared" si="45"/>
        <v>1</v>
      </c>
      <c r="Y126" s="67">
        <f t="shared" si="43"/>
        <v>23.2987</v>
      </c>
      <c r="Z126" s="67">
        <f t="shared" si="44"/>
        <v>1.49E-2</v>
      </c>
      <c r="AA126" s="67">
        <f t="shared" si="36"/>
        <v>23.283799999999999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37"/>
        <v>0214-14</v>
      </c>
      <c r="AE126" s="91" t="str">
        <f t="shared" si="38"/>
        <v>aws s3 cp s3://rtdc.mdm.uploadarchive.raw/RTDC4013/ "%USERPROFILE%\AppData\Local\Temp\OnboardLogs"\RTDC4013\2016-12-14 --exclude "*" --recursive --include "*20161214*" &amp; "%USERPROFILE%\Documents\GitHub\mrs-test-scripts\Headless Mode &amp; Sideloading\WalkAndUnGZ.bat" "%USERPROFILE%\AppData\Local\Temp\OnboardLogs"\RTDC4013\2016-12-14 &amp; aws s3 cp s3://rtdc.mdm.uploadarchive.raw/RTDC4013/ "%USERPROFILE%\AppData\Local\Temp\OnboardLogs"\RTDC4013\2016-12-15 --exclude "*" --recursive --include "*20161215*" &amp; "%USERPROFILE%\Documents\GitHub\mrs-test-scripts\Headless Mode &amp; Sideloading\WalkAndUnGZ.bat" "%USERPROFILE%\AppData\Local\Temp\OnboardLogs"\RTDC4013\2016-12-15</v>
      </c>
      <c r="AF126" s="88" t="str">
        <f t="shared" si="39"/>
        <v>"C:\Program Files (x86)\AstroGrep\AstroGrep.exe" /spath="%USERPROFILE%\AppData\Local\Temp\OnboardLogs" /stypes="app*4013*20161215*" /stext=" 02:.+((SYSTEM_STATE.+slice.+state.+changed )|(ment ac)|(multiple cpu faults)|(system.+state.+changed )|(\[timeout)|(PRM\|1\|D)|(kpr)|(kdp)|(\|lc)|(penalty))" /e /r /s</v>
      </c>
      <c r="AG126" s="1" t="str">
        <f t="shared" si="40"/>
        <v>EC</v>
      </c>
      <c r="AH126" s="92" t="str">
        <f t="shared" si="41"/>
        <v>"%USERPROFILE%\Documents\GitHub\eaglep3\Utilities\RefineRTDCRunTimes.py" --tripid 214-14 --locoid 4013 --swversion DE.1.0.8.0 --startMP 204:232987 --initTime 2016-12-14T18:27:29 --startdatetime 2016-12-14T18:41:21 --delay 1 --endMP 204:149 --enddatetime 2016-12-14T19:22:51 --enforcementcount 0 &gt;&gt;C:\Users\stu\Documents\GitHub\eaglep3-reporting\EC\2016-12-14-refined-times.txt</v>
      </c>
      <c r="AI126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{"issue":{"subject":"","project_id":79,"tracker_id":40,"status_id":1,"priority_id":2,"assigned_to_id":23,"start_date":"2016-12-14","description":"","custom_fields":[{"id":1,"name":"Subdivision","value":"EC"},{"id":4,"name":"Milepost","value":"0.0149"},{"id":17,"name":"Train ID","value":"214-14"},{"id":16,"name":"Locomotive ID","value":"4013"},{"id":130,"name":"Impact","value":""},{"id":150,"name":"Time of Event (Mountain Time)","value":"19:22:51"},{"id":151,"name":"Denver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630</v>
      </c>
      <c r="B127" s="7">
        <v>4003</v>
      </c>
      <c r="C127" s="22" t="s">
        <v>207</v>
      </c>
      <c r="D127" s="22" t="s">
        <v>698</v>
      </c>
      <c r="E127" s="13">
        <v>42718.749201388891</v>
      </c>
      <c r="F127" s="13">
        <v>42718.751006944447</v>
      </c>
      <c r="G127" s="7">
        <v>1</v>
      </c>
      <c r="H127" s="22" t="s">
        <v>740</v>
      </c>
      <c r="I127" s="13">
        <v>42718.777083333334</v>
      </c>
      <c r="J127" s="7">
        <v>0</v>
      </c>
      <c r="K127" s="109" t="str">
        <f t="shared" si="29"/>
        <v>4003/4004</v>
      </c>
      <c r="L127" s="22" t="str">
        <f>VLOOKUP(A127,'Trips&amp;Operators'!$C$1:$G$99999,5,FALSE)</f>
        <v>YANG JAN</v>
      </c>
      <c r="M127" s="6">
        <f t="shared" si="30"/>
        <v>2.6076388887304347E-2</v>
      </c>
      <c r="N127" s="7">
        <f t="shared" si="46"/>
        <v>37.54999999771826</v>
      </c>
      <c r="O127" s="7"/>
      <c r="P127" s="7"/>
      <c r="Q127" s="23"/>
      <c r="R127" s="23"/>
      <c r="S127" s="35">
        <f t="shared" si="32"/>
        <v>1</v>
      </c>
      <c r="T127" s="50" t="str">
        <f t="shared" si="33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16:58:51-700',mode:absolute,to:'2016-12-14 19:39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7" s="52" t="str">
        <f t="shared" si="35"/>
        <v>N</v>
      </c>
      <c r="X127" s="177">
        <f t="shared" si="45"/>
        <v>1</v>
      </c>
      <c r="Y127" s="67">
        <f t="shared" si="43"/>
        <v>4.5699999999999998E-2</v>
      </c>
      <c r="Z127" s="67">
        <f t="shared" si="44"/>
        <v>23.3201</v>
      </c>
      <c r="AA127" s="67">
        <f t="shared" si="36"/>
        <v>23.2744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37"/>
        <v>0215-14</v>
      </c>
      <c r="AE127" s="91" t="str">
        <f t="shared" si="38"/>
        <v>aws s3 cp s3://rtdc.mdm.uploadarchive.raw/RTDC4003/ "%USERPROFILE%\AppData\Local\Temp\OnboardLogs"\RTDC4003\2016-12-14 --exclude "*" --recursive --include "*20161214*" &amp; "%USERPROFILE%\Documents\GitHub\mrs-test-scripts\Headless Mode &amp; Sideloading\WalkAndUnGZ.bat" "%USERPROFILE%\AppData\Local\Temp\OnboardLogs"\RTDC4003\2016-12-14 &amp; aws s3 cp s3://rtdc.mdm.uploadarchive.raw/RTDC4003/ "%USERPROFILE%\AppData\Local\Temp\OnboardLogs"\RTDC4003\2016-12-15 --exclude "*" --recursive --include "*20161215*" &amp; "%USERPROFILE%\Documents\GitHub\mrs-test-scripts\Headless Mode &amp; Sideloading\WalkAndUnGZ.bat" "%USERPROFILE%\AppData\Local\Temp\OnboardLogs"\RTDC4003\2016-12-15</v>
      </c>
      <c r="AF127" s="88" t="str">
        <f t="shared" si="39"/>
        <v>"C:\Program Files (x86)\AstroGrep\AstroGrep.exe" /spath="%USERPROFILE%\AppData\Local\Temp\OnboardLogs" /stypes="app*4003*20161215*" /stext=" 01:.+((SYSTEM_STATE.+slice.+state.+changed )|(ment ac)|(multiple cpu faults)|(system.+state.+changed )|(\[timeout)|(PRM\|1\|D)|(kpr)|(kdp)|(\|lc)|(penalty))" /e /r /s</v>
      </c>
      <c r="AG127" s="1" t="str">
        <f t="shared" si="40"/>
        <v>EC</v>
      </c>
      <c r="AH127" s="92" t="str">
        <f t="shared" si="41"/>
        <v>"%USERPROFILE%\Documents\GitHub\eaglep3\Utilities\RefineRTDCRunTimes.py" --tripid 215-14 --locoid 4003 --swversion DE.1.0.8.0 --startMP 204:457 --initTime 2016-12-14T17:58:51 --startdatetime 2016-12-14T18:01:27 --delay 1 --endMP 204:233201 --enddatetime 2016-12-14T18:39:00 --enforcementcount 0 &gt;&gt;C:\Users\stu\Documents\GitHub\eaglep3-reporting\EC\2016-12-14-refined-times.txt</v>
      </c>
      <c r="AI127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{"issue":{"subject":"","project_id":79,"tracker_id":40,"status_id":1,"priority_id":2,"assigned_to_id":23,"start_date":"2016-12-14","description":"","custom_fields":[{"id":1,"name":"Subdivision","value":"EC"},{"id":4,"name":"Milepost","value":"23.3201"},{"id":17,"name":"Train ID","value":"215-14"},{"id":16,"name":"Locomotive ID","value":"4003"},{"id":130,"name":"Impact","value":""},{"id":150,"name":"Time of Event (Mountain Time)","value":"18:39:00"},{"id":151,"name":"Denver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643</v>
      </c>
      <c r="B128" s="7">
        <v>4004</v>
      </c>
      <c r="C128" s="22" t="s">
        <v>207</v>
      </c>
      <c r="D128" s="22" t="s">
        <v>741</v>
      </c>
      <c r="E128" s="13">
        <v>42718.785532407404</v>
      </c>
      <c r="F128" s="13">
        <v>42718.789178240739</v>
      </c>
      <c r="G128" s="7">
        <v>1</v>
      </c>
      <c r="H128" s="22" t="s">
        <v>275</v>
      </c>
      <c r="I128" s="13">
        <v>42718.819953703707</v>
      </c>
      <c r="J128" s="7">
        <v>0</v>
      </c>
      <c r="K128" s="109" t="str">
        <f t="shared" si="29"/>
        <v>4003/4004</v>
      </c>
      <c r="L128" s="22" t="str">
        <f>VLOOKUP(A128,'Trips&amp;Operators'!$C$1:$G$99999,5,FALSE)</f>
        <v>YANG JAN</v>
      </c>
      <c r="M128" s="6">
        <f t="shared" si="30"/>
        <v>3.0775462968449574E-2</v>
      </c>
      <c r="N128" s="7">
        <f t="shared" si="46"/>
        <v>44.316666674567387</v>
      </c>
      <c r="O128" s="7"/>
      <c r="P128" s="7"/>
      <c r="Q128" s="23"/>
      <c r="R128" s="23"/>
      <c r="S128" s="35">
        <f t="shared" si="32"/>
        <v>1</v>
      </c>
      <c r="T128" s="50" t="str">
        <f t="shared" si="33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17:51:10-700',mode:absolute,to:'2016-12-14 20:40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8" s="52" t="str">
        <f t="shared" si="35"/>
        <v>N</v>
      </c>
      <c r="X128" s="177">
        <f t="shared" si="45"/>
        <v>1</v>
      </c>
      <c r="Y128" s="67">
        <f t="shared" si="43"/>
        <v>23.2881</v>
      </c>
      <c r="Z128" s="67">
        <f t="shared" si="44"/>
        <v>1.52E-2</v>
      </c>
      <c r="AA128" s="67">
        <f t="shared" si="36"/>
        <v>23.2729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37"/>
        <v>0216-14</v>
      </c>
      <c r="AE128" s="91" t="str">
        <f t="shared" si="38"/>
        <v>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 &amp; aws s3 cp s3://rtdc.mdm.uploadarchive.raw/RTDC4004/ "%USERPROFILE%\AppData\Local\Temp\OnboardLogs"\RTDC4004\2016-12-15 --exclude "*" --recursive --include "*20161215*" &amp; "%USERPROFILE%\Documents\GitHub\mrs-test-scripts\Headless Mode &amp; Sideloading\WalkAndUnGZ.bat" "%USERPROFILE%\AppData\Local\Temp\OnboardLogs"\RTDC4004\2016-12-15</v>
      </c>
      <c r="AF128" s="88" t="str">
        <f t="shared" si="39"/>
        <v>"C:\Program Files (x86)\AstroGrep\AstroGrep.exe" /spath="%USERPROFILE%\AppData\Local\Temp\OnboardLogs" /stypes="app*4004*20161215*" /stext=" 02:.+((SYSTEM_STATE.+slice.+state.+changed )|(ment ac)|(multiple cpu faults)|(system.+state.+changed )|(\[timeout)|(PRM\|1\|D)|(kpr)|(kdp)|(\|lc)|(penalty))" /e /r /s</v>
      </c>
      <c r="AG128" s="1" t="str">
        <f t="shared" si="40"/>
        <v>EC</v>
      </c>
      <c r="AH128" s="92" t="str">
        <f t="shared" si="41"/>
        <v>"%USERPROFILE%\Documents\GitHub\eaglep3\Utilities\RefineRTDCRunTimes.py" --tripid 216-14 --locoid 4004 --swversion DE.1.0.8.0 --startMP 204:232881 --initTime 2016-12-14T18:51:10 --startdatetime 2016-12-14T18:56:25 --delay 1 --endMP 204:152 --enddatetime 2016-12-14T19:40:44 --enforcementcount 0 &gt;&gt;C:\Users\stu\Documents\GitHub\eaglep3-reporting\EC\2016-12-14-refined-times.txt</v>
      </c>
      <c r="AI128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{"issue":{"subject":"","project_id":79,"tracker_id":40,"status_id":1,"priority_id":2,"assigned_to_id":23,"start_date":"2016-12-14","description":"","custom_fields":[{"id":1,"name":"Subdivision","value":"EC"},{"id":4,"name":"Milepost","value":"0.0152"},{"id":17,"name":"Train ID","value":"216-14"},{"id":16,"name":"Locomotive ID","value":"4004"},{"id":130,"name":"Impact","value":""},{"id":150,"name":"Time of Event (Mountain Time)","value":"19:40:44"},{"id":151,"name":"Denver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x14ac:dyDescent="0.25">
      <c r="A129" s="37" t="s">
        <v>633</v>
      </c>
      <c r="B129" s="7">
        <v>4046</v>
      </c>
      <c r="C129" s="22" t="s">
        <v>207</v>
      </c>
      <c r="D129" s="22" t="s">
        <v>742</v>
      </c>
      <c r="E129" s="13">
        <v>42718.75744212963</v>
      </c>
      <c r="F129" s="13">
        <v>42718.760625000003</v>
      </c>
      <c r="G129" s="7">
        <v>2</v>
      </c>
      <c r="H129" s="22" t="s">
        <v>319</v>
      </c>
      <c r="I129" s="13">
        <v>42718.785405092596</v>
      </c>
      <c r="J129" s="7">
        <v>0</v>
      </c>
      <c r="K129" s="109" t="str">
        <f t="shared" si="29"/>
        <v>4045/4046</v>
      </c>
      <c r="L129" s="22" t="str">
        <f>VLOOKUP(A129,'Trips&amp;Operators'!$C$1:$G$99999,5,FALSE)</f>
        <v>LEVIN SCOTT</v>
      </c>
      <c r="M129" s="6">
        <f t="shared" si="30"/>
        <v>2.4780092593573499E-2</v>
      </c>
      <c r="N129" s="7">
        <f t="shared" si="46"/>
        <v>35.683333334745839</v>
      </c>
      <c r="O129" s="7"/>
      <c r="P129" s="7"/>
      <c r="Q129" s="23"/>
      <c r="R129" s="23"/>
      <c r="S129" s="35">
        <f t="shared" si="32"/>
        <v>1</v>
      </c>
      <c r="T129" s="50" t="str">
        <f t="shared" si="33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17:10:43-700',mode:absolute,to:'2016-12-14 19:50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9" s="52" t="str">
        <f t="shared" si="35"/>
        <v>N</v>
      </c>
      <c r="X129" s="177">
        <f t="shared" si="45"/>
        <v>1</v>
      </c>
      <c r="Y129" s="67">
        <f t="shared" si="43"/>
        <v>4.3799999999999999E-2</v>
      </c>
      <c r="Z129" s="67">
        <f t="shared" si="44"/>
        <v>23.331399999999999</v>
      </c>
      <c r="AA129" s="67">
        <f t="shared" si="36"/>
        <v>23.287599999999998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37"/>
        <v>0217-14</v>
      </c>
      <c r="AE129" s="91" t="str">
        <f t="shared" si="38"/>
        <v>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 &amp; aws s3 cp s3://rtdc.mdm.uploadarchive.raw/RTDC4046/ "%USERPROFILE%\AppData\Local\Temp\OnboardLogs"\RTDC4046\2016-12-15 --exclude "*" --recursive --include "*20161215*" &amp; "%USERPROFILE%\Documents\GitHub\mrs-test-scripts\Headless Mode &amp; Sideloading\WalkAndUnGZ.bat" "%USERPROFILE%\AppData\Local\Temp\OnboardLogs"\RTDC4046\2016-12-15</v>
      </c>
      <c r="AF129" s="88" t="str">
        <f t="shared" si="39"/>
        <v>"C:\Program Files (x86)\AstroGrep\AstroGrep.exe" /spath="%USERPROFILE%\AppData\Local\Temp\OnboardLogs" /stypes="app*4046*20161215*" /stext=" 01:.+((SYSTEM_STATE.+slice.+state.+changed )|(ment ac)|(multiple cpu faults)|(system.+state.+changed )|(\[timeout)|(PRM\|1\|D)|(kpr)|(kdp)|(\|lc)|(penalty))" /e /r /s</v>
      </c>
      <c r="AG129" s="1" t="str">
        <f t="shared" si="40"/>
        <v>EC</v>
      </c>
      <c r="AH129" s="92" t="str">
        <f t="shared" si="41"/>
        <v>"%USERPROFILE%\Documents\GitHub\eaglep3\Utilities\RefineRTDCRunTimes.py" --tripid 217-14 --locoid 4046 --swversion DE.1.0.8.0 --startMP 204:438 --initTime 2016-12-14T18:10:43 --startdatetime 2016-12-14T18:15:18 --delay 2 --endMP 204:233314 --enddatetime 2016-12-14T18:50:59 --enforcementcount 0 &gt;&gt;C:\Users\stu\Documents\GitHub\eaglep3-reporting\EC\2016-12-14-refined-times.txt</v>
      </c>
      <c r="AI129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{"issue":{"subject":"","project_id":79,"tracker_id":40,"status_id":1,"priority_id":2,"assigned_to_id":23,"start_date":"2016-12-14","description":"","custom_fields":[{"id":1,"name":"Subdivision","value":"EC"},{"id":4,"name":"Milepost","value":"23.3314"},{"id":17,"name":"Train ID","value":"217-14"},{"id":16,"name":"Locomotive ID","value":"4046"},{"id":130,"name":"Impact","value":""},{"id":150,"name":"Time of Event (Mountain Time)","value":"18:50:59"},{"id":151,"name":"Denver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</row>
    <row r="130" spans="1:91" x14ac:dyDescent="0.25">
      <c r="A130" s="37" t="s">
        <v>648</v>
      </c>
      <c r="B130" s="7">
        <v>4045</v>
      </c>
      <c r="C130" s="22" t="s">
        <v>207</v>
      </c>
      <c r="D130" s="22" t="s">
        <v>277</v>
      </c>
      <c r="E130" s="13">
        <v>42718.797835648147</v>
      </c>
      <c r="F130" s="13">
        <v>42718.800081018519</v>
      </c>
      <c r="G130" s="7">
        <v>1</v>
      </c>
      <c r="H130" s="22" t="s">
        <v>743</v>
      </c>
      <c r="I130" s="13">
        <v>42718.825891203705</v>
      </c>
      <c r="J130" s="7">
        <v>0</v>
      </c>
      <c r="K130" s="109" t="str">
        <f t="shared" si="29"/>
        <v>4045/4046</v>
      </c>
      <c r="L130" s="22" t="str">
        <f>VLOOKUP(A130,'Trips&amp;Operators'!$C$1:$G$99999,5,FALSE)</f>
        <v>LEVIN SCOTT</v>
      </c>
      <c r="M130" s="6">
        <f t="shared" si="30"/>
        <v>2.5810185186855961E-2</v>
      </c>
      <c r="N130" s="7">
        <f t="shared" si="46"/>
        <v>37.166666669072583</v>
      </c>
      <c r="O130" s="7"/>
      <c r="P130" s="7"/>
      <c r="Q130" s="23"/>
      <c r="R130" s="23"/>
      <c r="S130" s="35">
        <f t="shared" si="32"/>
        <v>1</v>
      </c>
      <c r="T130" s="50" t="str">
        <f t="shared" si="33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18:08:53-700',mode:absolute,to:'2016-12-14 20:49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0" s="52" t="str">
        <f t="shared" si="35"/>
        <v>N</v>
      </c>
      <c r="X130" s="177">
        <f t="shared" si="45"/>
        <v>1</v>
      </c>
      <c r="Y130" s="67">
        <f t="shared" si="43"/>
        <v>23.299399999999999</v>
      </c>
      <c r="Z130" s="67">
        <f t="shared" si="44"/>
        <v>1.2500000000000001E-2</v>
      </c>
      <c r="AA130" s="67">
        <f t="shared" si="36"/>
        <v>23.286899999999999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 t="shared" si="37"/>
        <v>0218-14</v>
      </c>
      <c r="AE130" s="91" t="str">
        <f t="shared" si="38"/>
        <v>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 &amp; aws s3 cp s3://rtdc.mdm.uploadarchive.raw/RTDC4045/ "%USERPROFILE%\AppData\Local\Temp\OnboardLogs"\RTDC4045\2016-12-15 --exclude "*" --recursive --include "*20161215*" &amp; "%USERPROFILE%\Documents\GitHub\mrs-test-scripts\Headless Mode &amp; Sideloading\WalkAndUnGZ.bat" "%USERPROFILE%\AppData\Local\Temp\OnboardLogs"\RTDC4045\2016-12-15</v>
      </c>
      <c r="AF130" s="88" t="str">
        <f t="shared" si="39"/>
        <v>"C:\Program Files (x86)\AstroGrep\AstroGrep.exe" /spath="%USERPROFILE%\AppData\Local\Temp\OnboardLogs" /stypes="app*4045*20161215*" /stext=" 02:.+((SYSTEM_STATE.+slice.+state.+changed )|(ment ac)|(multiple cpu faults)|(system.+state.+changed )|(\[timeout)|(PRM\|1\|D)|(kpr)|(kdp)|(\|lc)|(penalty))" /e /r /s</v>
      </c>
      <c r="AG130" s="1" t="str">
        <f t="shared" si="40"/>
        <v>EC</v>
      </c>
      <c r="AH130" s="92" t="str">
        <f t="shared" si="41"/>
        <v>"%USERPROFILE%\Documents\GitHub\eaglep3\Utilities\RefineRTDCRunTimes.py" --tripid 218-14 --locoid 4045 --swversion DE.1.0.8.0 --startMP 204:232994 --initTime 2016-12-14T19:08:53 --startdatetime 2016-12-14T19:12:07 --delay 1 --endMP 204:125 --enddatetime 2016-12-14T19:49:17 --enforcementcount 0 &gt;&gt;C:\Users\stu\Documents\GitHub\eaglep3-reporting\EC\2016-12-14-refined-times.txt</v>
      </c>
      <c r="AI130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{"issue":{"subject":"","project_id":79,"tracker_id":40,"status_id":1,"priority_id":2,"assigned_to_id":23,"start_date":"2016-12-14","description":"","custom_fields":[{"id":1,"name":"Subdivision","value":"EC"},{"id":4,"name":"Milepost","value":"0.0125"},{"id":17,"name":"Train ID","value":"218-14"},{"id":16,"name":"Locomotive ID","value":"4045"},{"id":130,"name":"Impact","value":""},{"id":150,"name":"Time of Event (Mountain Time)","value":"19:49:17"},{"id":151,"name":"Denver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</row>
    <row r="131" spans="1:91" s="21" customFormat="1" x14ac:dyDescent="0.25">
      <c r="A131" s="37" t="s">
        <v>636</v>
      </c>
      <c r="B131" s="7">
        <v>4044</v>
      </c>
      <c r="C131" s="22" t="s">
        <v>207</v>
      </c>
      <c r="D131" s="22" t="s">
        <v>274</v>
      </c>
      <c r="E131" s="13">
        <v>42718.768240740741</v>
      </c>
      <c r="F131" s="13">
        <v>42718.771122685182</v>
      </c>
      <c r="G131" s="7">
        <v>1</v>
      </c>
      <c r="H131" s="22" t="s">
        <v>389</v>
      </c>
      <c r="I131" s="13">
        <v>42718.798113425924</v>
      </c>
      <c r="J131" s="7">
        <v>0</v>
      </c>
      <c r="K131" s="109" t="str">
        <f t="shared" si="29"/>
        <v>4043/4044</v>
      </c>
      <c r="L131" s="22" t="str">
        <f>VLOOKUP(A131,'Trips&amp;Operators'!$C$1:$G$99999,5,FALSE)</f>
        <v>PERKINS DARREN</v>
      </c>
      <c r="M131" s="6">
        <f t="shared" si="30"/>
        <v>2.6990740741894115E-2</v>
      </c>
      <c r="N131" s="7">
        <f t="shared" si="46"/>
        <v>38.866666668327525</v>
      </c>
      <c r="O131" s="7"/>
      <c r="P131" s="7"/>
      <c r="Q131" s="23"/>
      <c r="R131" s="23"/>
      <c r="S131" s="35">
        <f t="shared" si="32"/>
        <v>1</v>
      </c>
      <c r="T131" s="50" t="str">
        <f t="shared" si="33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17:26:16-700',mode:absolute,to:'2016-12-14 20:09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1" s="52" t="str">
        <f t="shared" si="35"/>
        <v>N</v>
      </c>
      <c r="X131" s="177">
        <f t="shared" si="45"/>
        <v>1</v>
      </c>
      <c r="Y131" s="67">
        <f t="shared" si="43"/>
        <v>4.53E-2</v>
      </c>
      <c r="Z131" s="67">
        <f t="shared" si="44"/>
        <v>23.330500000000001</v>
      </c>
      <c r="AA131" s="67">
        <f t="shared" si="36"/>
        <v>23.2852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37"/>
        <v>0219-14</v>
      </c>
      <c r="AE131" s="91" t="str">
        <f t="shared" si="38"/>
        <v>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 &amp; aws s3 cp s3://rtdc.mdm.uploadarchive.raw/RTDC4044/ "%USERPROFILE%\AppData\Local\Temp\OnboardLogs"\RTDC4044\2016-12-15 --exclude "*" --recursive --include "*20161215*" &amp; "%USERPROFILE%\Documents\GitHub\mrs-test-scripts\Headless Mode &amp; Sideloading\WalkAndUnGZ.bat" "%USERPROFILE%\AppData\Local\Temp\OnboardLogs"\RTDC4044\2016-12-15</v>
      </c>
      <c r="AF131" s="88" t="str">
        <f t="shared" si="39"/>
        <v>"C:\Program Files (x86)\AstroGrep\AstroGrep.exe" /spath="%USERPROFILE%\AppData\Local\Temp\OnboardLogs" /stypes="app*4044*20161215*" /stext=" 02:.+((SYSTEM_STATE.+slice.+state.+changed )|(ment ac)|(multiple cpu faults)|(system.+state.+changed )|(\[timeout)|(PRM\|1\|D)|(kpr)|(kdp)|(\|lc)|(penalty))" /e /r /s</v>
      </c>
      <c r="AG131" s="1" t="str">
        <f t="shared" si="40"/>
        <v>EC</v>
      </c>
      <c r="AH131" s="92" t="str">
        <f t="shared" si="41"/>
        <v>"%USERPROFILE%\Documents\GitHub\eaglep3\Utilities\RefineRTDCRunTimes.py" --tripid 219-14 --locoid 4044 --swversion DE.1.0.8.0 --startMP 204:453 --initTime 2016-12-14T18:26:16 --startdatetime 2016-12-14T18:30:25 --delay 1 --endMP 204:233305 --enddatetime 2016-12-14T19:09:17 --enforcementcount 0 &gt;&gt;C:\Users\stu\Documents\GitHub\eaglep3-reporting\EC\2016-12-14-refined-times.txt</v>
      </c>
      <c r="AI131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{"issue":{"subject":"","project_id":79,"tracker_id":40,"status_id":1,"priority_id":2,"assigned_to_id":23,"start_date":"2016-12-14","description":"","custom_fields":[{"id":1,"name":"Subdivision","value":"EC"},{"id":4,"name":"Milepost","value":"23.3305"},{"id":17,"name":"Train ID","value":"219-14"},{"id":16,"name":"Locomotive ID","value":"4044"},{"id":130,"name":"Impact","value":""},{"id":150,"name":"Time of Event (Mountain Time)","value":"19:09:17"},{"id":151,"name":"Denver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447</v>
      </c>
      <c r="B132" s="7">
        <v>4043</v>
      </c>
      <c r="C132" s="22" t="s">
        <v>207</v>
      </c>
      <c r="D132" s="22" t="s">
        <v>277</v>
      </c>
      <c r="E132" s="13">
        <v>42718.804155092592</v>
      </c>
      <c r="F132" s="13">
        <v>42718.809988425928</v>
      </c>
      <c r="G132" s="7">
        <v>1</v>
      </c>
      <c r="H132" s="22" t="s">
        <v>231</v>
      </c>
      <c r="I132" s="13">
        <v>42718.838888888888</v>
      </c>
      <c r="J132" s="7">
        <v>0</v>
      </c>
      <c r="K132" s="109" t="str">
        <f t="shared" si="29"/>
        <v>4043/4044</v>
      </c>
      <c r="L132" s="22" t="str">
        <f>VLOOKUP(A132,'Trips&amp;Operators'!$C$1:$G$99999,5,FALSE)</f>
        <v>PERKINS DARREN</v>
      </c>
      <c r="M132" s="6">
        <f t="shared" si="30"/>
        <v>2.8900462959427387E-2</v>
      </c>
      <c r="N132" s="7">
        <f t="shared" si="46"/>
        <v>41.616666661575437</v>
      </c>
      <c r="O132" s="7"/>
      <c r="P132" s="7"/>
      <c r="Q132" s="23"/>
      <c r="R132" s="23"/>
      <c r="S132" s="35">
        <f t="shared" si="32"/>
        <v>1</v>
      </c>
      <c r="T132" s="50" t="str">
        <f t="shared" si="33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18:17:59-700',mode:absolute,to:'2016-12-14 21:08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2" s="52" t="str">
        <f t="shared" si="35"/>
        <v>N</v>
      </c>
      <c r="X132" s="177">
        <f t="shared" si="45"/>
        <v>1</v>
      </c>
      <c r="Y132" s="67">
        <f t="shared" si="43"/>
        <v>23.299399999999999</v>
      </c>
      <c r="Z132" s="67">
        <f t="shared" si="44"/>
        <v>1.6500000000000001E-2</v>
      </c>
      <c r="AA132" s="67">
        <f t="shared" si="36"/>
        <v>23.282899999999998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37"/>
        <v>0220-14</v>
      </c>
      <c r="AE132" s="91" t="str">
        <f t="shared" si="38"/>
        <v>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 &amp; aws s3 cp s3://rtdc.mdm.uploadarchive.raw/RTDC4043/ "%USERPROFILE%\AppData\Local\Temp\OnboardLogs"\RTDC4043\2016-12-15 --exclude "*" --recursive --include "*20161215*" &amp; "%USERPROFILE%\Documents\GitHub\mrs-test-scripts\Headless Mode &amp; Sideloading\WalkAndUnGZ.bat" "%USERPROFILE%\AppData\Local\Temp\OnboardLogs"\RTDC4043\2016-12-15</v>
      </c>
      <c r="AF132" s="88" t="str">
        <f t="shared" si="39"/>
        <v>"C:\Program Files (x86)\AstroGrep\AstroGrep.exe" /spath="%USERPROFILE%\AppData\Local\Temp\OnboardLogs" /stypes="app*4043*20161215*" /stext=" 03:.+((SYSTEM_STATE.+slice.+state.+changed )|(ment ac)|(multiple cpu faults)|(system.+state.+changed )|(\[timeout)|(PRM\|1\|D)|(kpr)|(kdp)|(\|lc)|(penalty))" /e /r /s</v>
      </c>
      <c r="AG132" s="1" t="str">
        <f t="shared" si="40"/>
        <v>EC</v>
      </c>
      <c r="AH132" s="92" t="str">
        <f t="shared" si="41"/>
        <v>"%USERPROFILE%\Documents\GitHub\eaglep3\Utilities\RefineRTDCRunTimes.py" --tripid 220-14 --locoid 4043 --swversion DE.1.0.8.0 --startMP 204:232994 --initTime 2016-12-14T19:17:59 --startdatetime 2016-12-14T19:26:23 --delay 1 --endMP 204:165 --enddatetime 2016-12-14T20:08:00 --enforcementcount 0 &gt;&gt;C:\Users\stu\Documents\GitHub\eaglep3-reporting\EC\2016-12-14-refined-times.txt</v>
      </c>
      <c r="AI132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{"issue":{"subject":"","project_id":79,"tracker_id":40,"status_id":1,"priority_id":2,"assigned_to_id":23,"start_date":"2016-12-14","description":"","custom_fields":[{"id":1,"name":"Subdivision","value":"EC"},{"id":4,"name":"Milepost","value":"0.0165"},{"id":17,"name":"Train ID","value":"220-14"},{"id":16,"name":"Locomotive ID","value":"4043"},{"id":130,"name":"Impact","value":""},{"id":150,"name":"Time of Event (Mountain Time)","value":"20:08:00"},{"id":151,"name":"Denver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644</v>
      </c>
      <c r="B133" s="7">
        <v>4040</v>
      </c>
      <c r="C133" s="22" t="s">
        <v>207</v>
      </c>
      <c r="D133" s="22" t="s">
        <v>274</v>
      </c>
      <c r="E133" s="13">
        <v>42718.787731481483</v>
      </c>
      <c r="F133" s="13">
        <v>42718.792083333334</v>
      </c>
      <c r="G133" s="7">
        <v>1</v>
      </c>
      <c r="H133" s="22" t="s">
        <v>744</v>
      </c>
      <c r="I133" s="13">
        <v>42718.81658564815</v>
      </c>
      <c r="J133" s="7">
        <v>0</v>
      </c>
      <c r="K133" s="109" t="str">
        <f t="shared" si="29"/>
        <v>4039/4040</v>
      </c>
      <c r="L133" s="22" t="str">
        <f>VLOOKUP(A133,'Trips&amp;Operators'!$C$1:$G$99999,5,FALSE)</f>
        <v>STAMBAUGH JAMES</v>
      </c>
      <c r="M133" s="6">
        <f t="shared" si="30"/>
        <v>2.4502314816345461E-2</v>
      </c>
      <c r="N133" s="7">
        <f t="shared" si="46"/>
        <v>35.283333335537463</v>
      </c>
      <c r="O133" s="7"/>
      <c r="P133" s="7"/>
      <c r="Q133" s="23"/>
      <c r="R133" s="23"/>
      <c r="S133" s="35">
        <f t="shared" si="32"/>
        <v>1</v>
      </c>
      <c r="T133" s="50" t="str">
        <f t="shared" si="33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17:54:20-700',mode:absolute,to:'2016-12-14 20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3" s="52" t="str">
        <f t="shared" si="35"/>
        <v>N</v>
      </c>
      <c r="X133" s="177">
        <f t="shared" si="45"/>
        <v>1</v>
      </c>
      <c r="Y133" s="67">
        <f t="shared" si="43"/>
        <v>4.53E-2</v>
      </c>
      <c r="Z133" s="67">
        <f t="shared" si="44"/>
        <v>23.332899999999999</v>
      </c>
      <c r="AA133" s="67">
        <f t="shared" si="36"/>
        <v>23.287599999999998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37"/>
        <v>0221-14</v>
      </c>
      <c r="AE133" s="91" t="str">
        <f t="shared" si="38"/>
        <v>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 &amp; aws s3 cp s3://rtdc.mdm.uploadarchive.raw/RTDC4040/ "%USERPROFILE%\AppData\Local\Temp\OnboardLogs"\RTDC4040\2016-12-15 --exclude "*" --recursive --include "*20161215*" &amp; "%USERPROFILE%\Documents\GitHub\mrs-test-scripts\Headless Mode &amp; Sideloading\WalkAndUnGZ.bat" "%USERPROFILE%\AppData\Local\Temp\OnboardLogs"\RTDC4040\2016-12-15</v>
      </c>
      <c r="AF133" s="88" t="str">
        <f t="shared" si="39"/>
        <v>"C:\Program Files (x86)\AstroGrep\AstroGrep.exe" /spath="%USERPROFILE%\AppData\Local\Temp\OnboardLogs" /stypes="app*4040*20161215*" /stext=" 02:.+((SYSTEM_STATE.+slice.+state.+changed )|(ment ac)|(multiple cpu faults)|(system.+state.+changed )|(\[timeout)|(PRM\|1\|D)|(kpr)|(kdp)|(\|lc)|(penalty))" /e /r /s</v>
      </c>
      <c r="AG133" s="1" t="str">
        <f t="shared" si="40"/>
        <v>EC</v>
      </c>
      <c r="AH133" s="92" t="str">
        <f t="shared" si="41"/>
        <v>"%USERPROFILE%\Documents\GitHub\eaglep3\Utilities\RefineRTDCRunTimes.py" --tripid 221-14 --locoid 4040 --swversion DE.1.0.8.0 --startMP 204:453 --initTime 2016-12-14T18:54:20 --startdatetime 2016-12-14T19:00:36 --delay 1 --endMP 204:233329 --enddatetime 2016-12-14T19:35:53 --enforcementcount 0 &gt;&gt;C:\Users\stu\Documents\GitHub\eaglep3-reporting\EC\2016-12-14-refined-times.txt</v>
      </c>
      <c r="AI133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{"issue":{"subject":"","project_id":79,"tracker_id":40,"status_id":1,"priority_id":2,"assigned_to_id":23,"start_date":"2016-12-14","description":"","custom_fields":[{"id":1,"name":"Subdivision","value":"EC"},{"id":4,"name":"Milepost","value":"23.3329"},{"id":17,"name":"Train ID","value":"221-14"},{"id":16,"name":"Locomotive ID","value":"4040"},{"id":130,"name":"Impact","value":""},{"id":150,"name":"Time of Event (Mountain Time)","value":"19:35:53"},{"id":151,"name":"Denver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448</v>
      </c>
      <c r="B134" s="7">
        <v>4039</v>
      </c>
      <c r="C134" s="22" t="s">
        <v>207</v>
      </c>
      <c r="D134" s="22" t="s">
        <v>294</v>
      </c>
      <c r="E134" s="13">
        <v>42718.827476851853</v>
      </c>
      <c r="F134" s="13">
        <v>42718.830833333333</v>
      </c>
      <c r="G134" s="7">
        <v>1</v>
      </c>
      <c r="H134" s="22" t="s">
        <v>402</v>
      </c>
      <c r="I134" s="13">
        <v>42718.856678240743</v>
      </c>
      <c r="J134" s="7">
        <v>0</v>
      </c>
      <c r="K134" s="109" t="str">
        <f t="shared" si="29"/>
        <v>4039/4040</v>
      </c>
      <c r="L134" s="22" t="str">
        <f>VLOOKUP(A134,'Trips&amp;Operators'!$C$1:$G$99999,5,FALSE)</f>
        <v>STAMBAUGH JAMES</v>
      </c>
      <c r="M134" s="6">
        <f t="shared" si="30"/>
        <v>2.584490740991896E-2</v>
      </c>
      <c r="N134" s="7">
        <f t="shared" si="46"/>
        <v>37.216666670283303</v>
      </c>
      <c r="O134" s="7"/>
      <c r="P134" s="7"/>
      <c r="Q134" s="23"/>
      <c r="R134" s="23"/>
      <c r="S134" s="35">
        <f t="shared" si="32"/>
        <v>1</v>
      </c>
      <c r="T134" s="50" t="str">
        <f t="shared" si="33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18:51:34-700',mode:absolute,to:'2016-12-14 21:33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4" s="52" t="str">
        <f t="shared" si="35"/>
        <v>N</v>
      </c>
      <c r="X134" s="177">
        <f t="shared" si="45"/>
        <v>1</v>
      </c>
      <c r="Y134" s="67">
        <f t="shared" si="43"/>
        <v>23.299600000000002</v>
      </c>
      <c r="Z134" s="67">
        <f t="shared" si="44"/>
        <v>1.7600000000000001E-2</v>
      </c>
      <c r="AA134" s="67">
        <f t="shared" si="36"/>
        <v>23.282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37"/>
        <v>0222-14</v>
      </c>
      <c r="AE134" s="91" t="str">
        <f t="shared" si="38"/>
        <v>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 &amp; aws s3 cp s3://rtdc.mdm.uploadarchive.raw/RTDC4039/ "%USERPROFILE%\AppData\Local\Temp\OnboardLogs"\RTDC4039\2016-12-15 --exclude "*" --recursive --include "*20161215*" &amp; "%USERPROFILE%\Documents\GitHub\mrs-test-scripts\Headless Mode &amp; Sideloading\WalkAndUnGZ.bat" "%USERPROFILE%\AppData\Local\Temp\OnboardLogs"\RTDC4039\2016-12-15</v>
      </c>
      <c r="AF134" s="88" t="str">
        <f t="shared" si="39"/>
        <v>"C:\Program Files (x86)\AstroGrep\AstroGrep.exe" /spath="%USERPROFILE%\AppData\Local\Temp\OnboardLogs" /stypes="app*4039*20161215*" /stext=" 03:.+((SYSTEM_STATE.+slice.+state.+changed )|(ment ac)|(multiple cpu faults)|(system.+state.+changed )|(\[timeout)|(PRM\|1\|D)|(kpr)|(kdp)|(\|lc)|(penalty))" /e /r /s</v>
      </c>
      <c r="AG134" s="1" t="str">
        <f t="shared" si="40"/>
        <v>EC</v>
      </c>
      <c r="AH134" s="92" t="str">
        <f t="shared" si="41"/>
        <v>"%USERPROFILE%\Documents\GitHub\eaglep3\Utilities\RefineRTDCRunTimes.py" --tripid 222-14 --locoid 4039 --swversion DE.1.0.8.0 --startMP 204:232996 --initTime 2016-12-14T19:51:34 --startdatetime 2016-12-14T19:56:24 --delay 1 --endMP 204:176 --enddatetime 2016-12-14T20:33:37 --enforcementcount 0 &gt;&gt;C:\Users\stu\Documents\GitHub\eaglep3-reporting\EC\2016-12-14-refined-times.txt</v>
      </c>
      <c r="AI134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{"issue":{"subject":"","project_id":79,"tracker_id":40,"status_id":1,"priority_id":2,"assigned_to_id":23,"start_date":"2016-12-14","description":"","custom_fields":[{"id":1,"name":"Subdivision","value":"EC"},{"id":4,"name":"Milepost","value":"0.0176"},{"id":17,"name":"Train ID","value":"222-14"},{"id":16,"name":"Locomotive ID","value":"4039"},{"id":130,"name":"Impact","value":""},{"id":150,"name":"Time of Event (Mountain Time)","value":"20:33:37"},{"id":151,"name":"Denver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651</v>
      </c>
      <c r="B135" s="7">
        <v>4014</v>
      </c>
      <c r="C135" s="22" t="s">
        <v>207</v>
      </c>
      <c r="D135" s="22" t="s">
        <v>250</v>
      </c>
      <c r="E135" s="13">
        <v>42718.81045138889</v>
      </c>
      <c r="F135" s="13">
        <v>42718.812685185185</v>
      </c>
      <c r="G135" s="7">
        <v>1</v>
      </c>
      <c r="H135" s="22" t="s">
        <v>319</v>
      </c>
      <c r="I135" s="13">
        <v>42718.83699074074</v>
      </c>
      <c r="J135" s="7">
        <v>0</v>
      </c>
      <c r="K135" s="109" t="str">
        <f t="shared" si="29"/>
        <v>4013/4014</v>
      </c>
      <c r="L135" s="22" t="str">
        <f>VLOOKUP(A135,'Trips&amp;Operators'!$C$1:$G$99999,5,FALSE)</f>
        <v>YANAI IAN</v>
      </c>
      <c r="M135" s="6">
        <f t="shared" si="30"/>
        <v>2.4305555554747116E-2</v>
      </c>
      <c r="N135" s="7">
        <f t="shared" si="46"/>
        <v>34.999999998835847</v>
      </c>
      <c r="O135" s="7"/>
      <c r="P135" s="7"/>
      <c r="Q135" s="23"/>
      <c r="R135" s="23"/>
      <c r="S135" s="35">
        <f t="shared" si="32"/>
        <v>1</v>
      </c>
      <c r="T135" s="50" t="str">
        <f t="shared" si="33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18:27:03-700',mode:absolute,to:'2016-12-14 21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5" s="52" t="str">
        <f t="shared" si="35"/>
        <v>N</v>
      </c>
      <c r="X135" s="177">
        <f t="shared" si="45"/>
        <v>1</v>
      </c>
      <c r="Y135" s="67">
        <f t="shared" ref="Y135:Y166" si="47">RIGHT(D135,LEN(D135)-4)/10000</f>
        <v>4.58E-2</v>
      </c>
      <c r="Z135" s="67">
        <f t="shared" ref="Z135:Z166" si="48">RIGHT(H135,LEN(H135)-4)/10000</f>
        <v>23.331399999999999</v>
      </c>
      <c r="AA135" s="67">
        <f t="shared" si="36"/>
        <v>23.285599999999999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 t="shared" si="37"/>
        <v>0223-14</v>
      </c>
      <c r="AE135" s="91" t="str">
        <f t="shared" si="38"/>
        <v>aws s3 cp s3://rtdc.mdm.uploadarchive.raw/RTDC4014/ "%USERPROFILE%\AppData\Local\Temp\OnboardLogs"\RTDC4014\2016-12-14 --exclude "*" --recursive --include "*20161214*" &amp; "%USERPROFILE%\Documents\GitHub\mrs-test-scripts\Headless Mode &amp; Sideloading\WalkAndUnGZ.bat" "%USERPROFILE%\AppData\Local\Temp\OnboardLogs"\RTDC4014\2016-12-14 &amp; aws s3 cp s3://rtdc.mdm.uploadarchive.raw/RTDC4014/ "%USERPROFILE%\AppData\Local\Temp\OnboardLogs"\RTDC4014\2016-12-15 --exclude "*" --recursive --include "*20161215*" &amp; "%USERPROFILE%\Documents\GitHub\mrs-test-scripts\Headless Mode &amp; Sideloading\WalkAndUnGZ.bat" "%USERPROFILE%\AppData\Local\Temp\OnboardLogs"\RTDC4014\2016-12-15</v>
      </c>
      <c r="AF135" s="88" t="str">
        <f t="shared" si="39"/>
        <v>"C:\Program Files (x86)\AstroGrep\AstroGrep.exe" /spath="%USERPROFILE%\AppData\Local\Temp\OnboardLogs" /stypes="app*4014*20161215*" /stext=" 03:.+((SYSTEM_STATE.+slice.+state.+changed )|(ment ac)|(multiple cpu faults)|(system.+state.+changed )|(\[timeout)|(PRM\|1\|D)|(kpr)|(kdp)|(\|lc)|(penalty))" /e /r /s</v>
      </c>
      <c r="AG135" s="1" t="str">
        <f t="shared" si="40"/>
        <v>EC</v>
      </c>
      <c r="AH135" s="92" t="str">
        <f t="shared" si="41"/>
        <v>"%USERPROFILE%\Documents\GitHub\eaglep3\Utilities\RefineRTDCRunTimes.py" --tripid 223-14 --locoid 4014 --swversion DE.1.0.8.0 --startMP 204:458 --initTime 2016-12-14T19:27:03 --startdatetime 2016-12-14T19:30:16 --delay 1 --endMP 204:233314 --enddatetime 2016-12-14T20:05:16 --enforcementcount 0 &gt;&gt;C:\Users\stu\Documents\GitHub\eaglep3-reporting\EC\2016-12-14-refined-times.txt</v>
      </c>
      <c r="AI135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{"issue":{"subject":"","project_id":79,"tracker_id":40,"status_id":1,"priority_id":2,"assigned_to_id":23,"start_date":"2016-12-14","description":"","custom_fields":[{"id":1,"name":"Subdivision","value":"EC"},{"id":4,"name":"Milepost","value":"23.3314"},{"id":17,"name":"Train ID","value":"223-14"},{"id":16,"name":"Locomotive ID","value":"4014"},{"id":130,"name":"Impact","value":""},{"id":150,"name":"Time of Event (Mountain Time)","value":"20:05:16"},{"id":151,"name":"Denver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450</v>
      </c>
      <c r="B136" s="7">
        <v>4013</v>
      </c>
      <c r="C136" s="22" t="s">
        <v>207</v>
      </c>
      <c r="D136" s="22" t="s">
        <v>277</v>
      </c>
      <c r="E136" s="13">
        <v>42718.838206018518</v>
      </c>
      <c r="F136" s="13">
        <v>42718.851620370369</v>
      </c>
      <c r="G136" s="7">
        <v>1</v>
      </c>
      <c r="H136" s="22" t="s">
        <v>395</v>
      </c>
      <c r="I136" s="13">
        <v>42718.882094907407</v>
      </c>
      <c r="J136" s="7">
        <v>0</v>
      </c>
      <c r="K136" s="109" t="str">
        <f t="shared" si="29"/>
        <v>4013/4014</v>
      </c>
      <c r="L136" s="22" t="str">
        <f>VLOOKUP(A136,'Trips&amp;Operators'!$C$1:$G$99999,5,FALSE)</f>
        <v>YANAI IAN</v>
      </c>
      <c r="M136" s="6">
        <f t="shared" si="30"/>
        <v>3.047453703766223E-2</v>
      </c>
      <c r="N136" s="7">
        <f t="shared" si="46"/>
        <v>43.883333334233612</v>
      </c>
      <c r="O136" s="7"/>
      <c r="P136" s="7"/>
      <c r="Q136" s="23"/>
      <c r="R136" s="23"/>
      <c r="S136" s="35">
        <f t="shared" si="32"/>
        <v>1</v>
      </c>
      <c r="T136" s="50" t="str">
        <f t="shared" si="33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19:07:01-700',mode:absolute,to:'2016-12-14 22:10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6" s="52" t="str">
        <f t="shared" si="35"/>
        <v>N</v>
      </c>
      <c r="X136" s="177">
        <f t="shared" si="45"/>
        <v>1</v>
      </c>
      <c r="Y136" s="67">
        <f t="shared" si="47"/>
        <v>23.299399999999999</v>
      </c>
      <c r="Z136" s="67">
        <f t="shared" si="48"/>
        <v>1.78E-2</v>
      </c>
      <c r="AA136" s="67">
        <f t="shared" si="36"/>
        <v>23.281599999999997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37"/>
        <v>0224-14</v>
      </c>
      <c r="AE136" s="91" t="str">
        <f t="shared" si="38"/>
        <v>aws s3 cp s3://rtdc.mdm.uploadarchive.raw/RTDC4013/ "%USERPROFILE%\AppData\Local\Temp\OnboardLogs"\RTDC4013\2016-12-14 --exclude "*" --recursive --include "*20161214*" &amp; "%USERPROFILE%\Documents\GitHub\mrs-test-scripts\Headless Mode &amp; Sideloading\WalkAndUnGZ.bat" "%USERPROFILE%\AppData\Local\Temp\OnboardLogs"\RTDC4013\2016-12-14 &amp; aws s3 cp s3://rtdc.mdm.uploadarchive.raw/RTDC4013/ "%USERPROFILE%\AppData\Local\Temp\OnboardLogs"\RTDC4013\2016-12-15 --exclude "*" --recursive --include "*20161215*" &amp; "%USERPROFILE%\Documents\GitHub\mrs-test-scripts\Headless Mode &amp; Sideloading\WalkAndUnGZ.bat" "%USERPROFILE%\AppData\Local\Temp\OnboardLogs"\RTDC4013\2016-12-15</v>
      </c>
      <c r="AF136" s="88" t="str">
        <f t="shared" si="39"/>
        <v>"C:\Program Files (x86)\AstroGrep\AstroGrep.exe" /spath="%USERPROFILE%\AppData\Local\Temp\OnboardLogs" /stypes="app*4013*20161215*" /stext=" 04:.+((SYSTEM_STATE.+slice.+state.+changed )|(ment ac)|(multiple cpu faults)|(system.+state.+changed )|(\[timeout)|(PRM\|1\|D)|(kpr)|(kdp)|(\|lc)|(penalty))" /e /r /s</v>
      </c>
      <c r="AG136" s="1" t="str">
        <f t="shared" si="40"/>
        <v>EC</v>
      </c>
      <c r="AH136" s="92" t="str">
        <f t="shared" si="41"/>
        <v>"%USERPROFILE%\Documents\GitHub\eaglep3\Utilities\RefineRTDCRunTimes.py" --tripid 224-14 --locoid 4013 --swversion DE.1.0.8.0 --startMP 204:232994 --initTime 2016-12-14T20:07:01 --startdatetime 2016-12-14T20:26:20 --delay 1 --endMP 204:178 --enddatetime 2016-12-14T21:10:13 --enforcementcount 0 &gt;&gt;C:\Users\stu\Documents\GitHub\eaglep3-reporting\EC\2016-12-14-refined-times.txt</v>
      </c>
      <c r="AI136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{"issue":{"subject":"","project_id":79,"tracker_id":40,"status_id":1,"priority_id":2,"assigned_to_id":23,"start_date":"2016-12-14","description":"","custom_fields":[{"id":1,"name":"Subdivision","value":"EC"},{"id":4,"name":"Milepost","value":"0.0178"},{"id":17,"name":"Train ID","value":"224-14"},{"id":16,"name":"Locomotive ID","value":"4013"},{"id":130,"name":"Impact","value":""},{"id":150,"name":"Time of Event (Mountain Time)","value":"21:10:13"},{"id":151,"name":"Denver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654</v>
      </c>
      <c r="B137" s="7">
        <v>4046</v>
      </c>
      <c r="C137" s="22" t="s">
        <v>207</v>
      </c>
      <c r="D137" s="22" t="s">
        <v>318</v>
      </c>
      <c r="E137" s="13">
        <v>42718.829432870371</v>
      </c>
      <c r="F137" s="13">
        <v>42718.833622685182</v>
      </c>
      <c r="G137" s="7">
        <v>2</v>
      </c>
      <c r="H137" s="22" t="s">
        <v>312</v>
      </c>
      <c r="I137" s="13">
        <v>42718.86210648148</v>
      </c>
      <c r="J137" s="7">
        <v>0</v>
      </c>
      <c r="K137" s="109" t="str">
        <f t="shared" si="29"/>
        <v>4045/4046</v>
      </c>
      <c r="L137" s="22" t="str">
        <f>VLOOKUP(A137,'Trips&amp;Operators'!$C$1:$G$99999,5,FALSE)</f>
        <v>SAFIEF AEIMEN</v>
      </c>
      <c r="M137" s="6">
        <f t="shared" si="30"/>
        <v>2.8483796297223307E-2</v>
      </c>
      <c r="N137" s="7">
        <f t="shared" si="46"/>
        <v>41.016666668001562</v>
      </c>
      <c r="O137" s="7"/>
      <c r="P137" s="7"/>
      <c r="Q137" s="23"/>
      <c r="R137" s="23"/>
      <c r="S137" s="35">
        <f t="shared" si="32"/>
        <v>1</v>
      </c>
      <c r="T137" s="50" t="str">
        <f t="shared" si="33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18:54:23-700',mode:absolute,to:'2016-12-14 21:41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7" s="52" t="str">
        <f t="shared" si="35"/>
        <v>N</v>
      </c>
      <c r="X137" s="177">
        <f t="shared" si="45"/>
        <v>1</v>
      </c>
      <c r="Y137" s="67">
        <f t="shared" si="47"/>
        <v>4.3499999999999997E-2</v>
      </c>
      <c r="Z137" s="67">
        <f t="shared" si="48"/>
        <v>23.331199999999999</v>
      </c>
      <c r="AA137" s="67">
        <f t="shared" si="36"/>
        <v>23.287699999999997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37"/>
        <v>0225-14</v>
      </c>
      <c r="AE137" s="91" t="str">
        <f t="shared" si="38"/>
        <v>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 &amp; aws s3 cp s3://rtdc.mdm.uploadarchive.raw/RTDC4046/ "%USERPROFILE%\AppData\Local\Temp\OnboardLogs"\RTDC4046\2016-12-15 --exclude "*" --recursive --include "*20161215*" &amp; "%USERPROFILE%\Documents\GitHub\mrs-test-scripts\Headless Mode &amp; Sideloading\WalkAndUnGZ.bat" "%USERPROFILE%\AppData\Local\Temp\OnboardLogs"\RTDC4046\2016-12-15</v>
      </c>
      <c r="AF137" s="88" t="str">
        <f t="shared" si="39"/>
        <v>"C:\Program Files (x86)\AstroGrep\AstroGrep.exe" /spath="%USERPROFILE%\AppData\Local\Temp\OnboardLogs" /stypes="app*4046*20161215*" /stext=" 03:.+((SYSTEM_STATE.+slice.+state.+changed )|(ment ac)|(multiple cpu faults)|(system.+state.+changed )|(\[timeout)|(PRM\|1\|D)|(kpr)|(kdp)|(\|lc)|(penalty))" /e /r /s</v>
      </c>
      <c r="AG137" s="1" t="str">
        <f t="shared" si="40"/>
        <v>EC</v>
      </c>
      <c r="AH137" s="92" t="str">
        <f t="shared" si="41"/>
        <v>"%USERPROFILE%\Documents\GitHub\eaglep3\Utilities\RefineRTDCRunTimes.py" --tripid 225-14 --locoid 4046 --swversion DE.1.0.8.0 --startMP 204:435 --initTime 2016-12-14T19:54:23 --startdatetime 2016-12-14T20:00:25 --delay 2 --endMP 204:233312 --enddatetime 2016-12-14T20:41:26 --enforcementcount 0 &gt;&gt;C:\Users\stu\Documents\GitHub\eaglep3-reporting\EC\2016-12-14-refined-times.txt</v>
      </c>
      <c r="AI137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{"issue":{"subject":"","project_id":79,"tracker_id":40,"status_id":1,"priority_id":2,"assigned_to_id":23,"start_date":"2016-12-14","description":"","custom_fields":[{"id":1,"name":"Subdivision","value":"EC"},{"id":4,"name":"Milepost","value":"23.3312"},{"id":17,"name":"Train ID","value":"225-14"},{"id":16,"name":"Locomotive ID","value":"4046"},{"id":130,"name":"Impact","value":""},{"id":150,"name":"Time of Event (Mountain Time)","value":"20:41:26"},{"id":151,"name":"Denver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659</v>
      </c>
      <c r="B138" s="7">
        <v>4045</v>
      </c>
      <c r="C138" s="22" t="s">
        <v>207</v>
      </c>
      <c r="D138" s="22" t="s">
        <v>315</v>
      </c>
      <c r="E138" s="13">
        <v>42718.864710648151</v>
      </c>
      <c r="F138" s="13">
        <v>42718.872581018521</v>
      </c>
      <c r="G138" s="7">
        <v>2</v>
      </c>
      <c r="H138" s="22" t="s">
        <v>213</v>
      </c>
      <c r="I138" s="13">
        <v>42718.901342592595</v>
      </c>
      <c r="J138" s="7">
        <v>0</v>
      </c>
      <c r="K138" s="109" t="str">
        <f t="shared" si="29"/>
        <v>4045/4046</v>
      </c>
      <c r="L138" s="22" t="str">
        <f>VLOOKUP(A138,'Trips&amp;Operators'!$C$1:$G$99999,5,FALSE)</f>
        <v>SAFIEF AEIMEN</v>
      </c>
      <c r="M138" s="6">
        <f t="shared" si="30"/>
        <v>2.8761574074451346E-2</v>
      </c>
      <c r="N138" s="7">
        <f t="shared" si="46"/>
        <v>41.416666667209938</v>
      </c>
      <c r="O138" s="7"/>
      <c r="P138" s="7"/>
      <c r="Q138" s="23"/>
      <c r="R138" s="23"/>
      <c r="S138" s="35">
        <f t="shared" si="32"/>
        <v>1</v>
      </c>
      <c r="T138" s="50" t="str">
        <f t="shared" si="33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19:45:11-700',mode:absolute,to:'2016-12-14 22:37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8" s="52" t="str">
        <f t="shared" si="35"/>
        <v>N</v>
      </c>
      <c r="X138" s="177">
        <f t="shared" si="45"/>
        <v>1</v>
      </c>
      <c r="Y138" s="67">
        <f t="shared" si="47"/>
        <v>23.299099999999999</v>
      </c>
      <c r="Z138" s="67">
        <f t="shared" si="48"/>
        <v>1.4999999999999999E-2</v>
      </c>
      <c r="AA138" s="67">
        <f t="shared" si="36"/>
        <v>23.284099999999999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37"/>
        <v>0226-14</v>
      </c>
      <c r="AE138" s="91" t="str">
        <f t="shared" si="38"/>
        <v>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 &amp; aws s3 cp s3://rtdc.mdm.uploadarchive.raw/RTDC4045/ "%USERPROFILE%\AppData\Local\Temp\OnboardLogs"\RTDC4045\2016-12-15 --exclude "*" --recursive --include "*20161215*" &amp; "%USERPROFILE%\Documents\GitHub\mrs-test-scripts\Headless Mode &amp; Sideloading\WalkAndUnGZ.bat" "%USERPROFILE%\AppData\Local\Temp\OnboardLogs"\RTDC4045\2016-12-15</v>
      </c>
      <c r="AF138" s="88" t="str">
        <f t="shared" si="39"/>
        <v>"C:\Program Files (x86)\AstroGrep\AstroGrep.exe" /spath="%USERPROFILE%\AppData\Local\Temp\OnboardLogs" /stypes="app*4045*20161215*" /stext=" 04:.+((SYSTEM_STATE.+slice.+state.+changed )|(ment ac)|(multiple cpu faults)|(system.+state.+changed )|(\[timeout)|(PRM\|1\|D)|(kpr)|(kdp)|(\|lc)|(penalty))" /e /r /s</v>
      </c>
      <c r="AG138" s="1" t="str">
        <f t="shared" si="40"/>
        <v>EC</v>
      </c>
      <c r="AH138" s="92" t="str">
        <f t="shared" si="41"/>
        <v>"%USERPROFILE%\Documents\GitHub\eaglep3\Utilities\RefineRTDCRunTimes.py" --tripid 226-14 --locoid 4045 --swversion DE.1.0.8.0 --startMP 204:232991 --initTime 2016-12-14T20:45:11 --startdatetime 2016-12-14T20:56:31 --delay 2 --endMP 204:150 --enddatetime 2016-12-14T21:37:56 --enforcementcount 0 &gt;&gt;C:\Users\stu\Documents\GitHub\eaglep3-reporting\EC\2016-12-14-refined-times.txt</v>
      </c>
      <c r="AI138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{"issue":{"subject":"","project_id":79,"tracker_id":40,"status_id":1,"priority_id":2,"assigned_to_id":23,"start_date":"2016-12-14","description":"","custom_fields":[{"id":1,"name":"Subdivision","value":"EC"},{"id":4,"name":"Milepost","value":"0.015"},{"id":17,"name":"Train ID","value":"226-14"},{"id":16,"name":"Locomotive ID","value":"4045"},{"id":130,"name":"Impact","value":""},{"id":150,"name":"Time of Event (Mountain Time)","value":"21:37:56"},{"id":151,"name":"Denver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657</v>
      </c>
      <c r="B139" s="7">
        <v>4044</v>
      </c>
      <c r="C139" s="22" t="s">
        <v>207</v>
      </c>
      <c r="D139" s="22" t="s">
        <v>263</v>
      </c>
      <c r="E139" s="13">
        <v>42718.841006944444</v>
      </c>
      <c r="F139" s="13">
        <v>42718.854479166665</v>
      </c>
      <c r="G139" s="7">
        <v>1</v>
      </c>
      <c r="H139" s="22" t="s">
        <v>718</v>
      </c>
      <c r="I139" s="13">
        <v>42718.879571759258</v>
      </c>
      <c r="J139" s="7">
        <v>0</v>
      </c>
      <c r="K139" s="109" t="str">
        <f t="shared" si="29"/>
        <v>4043/4044</v>
      </c>
      <c r="L139" s="22" t="str">
        <f>VLOOKUP(A139,'Trips&amp;Operators'!$C$1:$G$99999,5,FALSE)</f>
        <v>PERKINS DARREN</v>
      </c>
      <c r="M139" s="6">
        <f t="shared" si="30"/>
        <v>2.5092592593864538E-2</v>
      </c>
      <c r="N139" s="7">
        <f t="shared" si="46"/>
        <v>36.133333335164934</v>
      </c>
      <c r="O139" s="7"/>
      <c r="P139" s="7"/>
      <c r="Q139" s="23"/>
      <c r="R139" s="23"/>
      <c r="S139" s="35">
        <f t="shared" si="32"/>
        <v>1</v>
      </c>
      <c r="T139" s="50" t="str">
        <f t="shared" si="33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19:11:03-700',mode:absolute,to:'2016-12-14 22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9" s="52" t="str">
        <f t="shared" si="35"/>
        <v>N</v>
      </c>
      <c r="X139" s="177">
        <f t="shared" si="45"/>
        <v>1</v>
      </c>
      <c r="Y139" s="67">
        <f t="shared" si="47"/>
        <v>4.4600000000000001E-2</v>
      </c>
      <c r="Z139" s="67">
        <f t="shared" si="48"/>
        <v>23.3291</v>
      </c>
      <c r="AA139" s="67">
        <f t="shared" si="36"/>
        <v>23.284500000000001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37"/>
        <v>0227-14</v>
      </c>
      <c r="AE139" s="91" t="str">
        <f t="shared" si="38"/>
        <v>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 &amp; aws s3 cp s3://rtdc.mdm.uploadarchive.raw/RTDC4044/ "%USERPROFILE%\AppData\Local\Temp\OnboardLogs"\RTDC4044\2016-12-15 --exclude "*" --recursive --include "*20161215*" &amp; "%USERPROFILE%\Documents\GitHub\mrs-test-scripts\Headless Mode &amp; Sideloading\WalkAndUnGZ.bat" "%USERPROFILE%\AppData\Local\Temp\OnboardLogs"\RTDC4044\2016-12-15</v>
      </c>
      <c r="AF139" s="88" t="str">
        <f t="shared" si="39"/>
        <v>"C:\Program Files (x86)\AstroGrep\AstroGrep.exe" /spath="%USERPROFILE%\AppData\Local\Temp\OnboardLogs" /stypes="app*4044*20161215*" /stext=" 04:.+((SYSTEM_STATE.+slice.+state.+changed )|(ment ac)|(multiple cpu faults)|(system.+state.+changed )|(\[timeout)|(PRM\|1\|D)|(kpr)|(kdp)|(\|lc)|(penalty))" /e /r /s</v>
      </c>
      <c r="AG139" s="1" t="str">
        <f t="shared" si="40"/>
        <v>EC</v>
      </c>
      <c r="AH139" s="92" t="str">
        <f t="shared" si="41"/>
        <v>"%USERPROFILE%\Documents\GitHub\eaglep3\Utilities\RefineRTDCRunTimes.py" --tripid 227-14 --locoid 4044 --swversion DE.1.0.8.0 --startMP 204:446 --initTime 2016-12-14T20:11:03 --startdatetime 2016-12-14T20:30:27 --delay 1 --endMP 204:233291 --enddatetime 2016-12-14T21:06:35 --enforcementcount 0 &gt;&gt;C:\Users\stu\Documents\GitHub\eaglep3-reporting\EC\2016-12-14-refined-times.txt</v>
      </c>
      <c r="AI139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{"issue":{"subject":"","project_id":79,"tracker_id":40,"status_id":1,"priority_id":2,"assigned_to_id":23,"start_date":"2016-12-14","description":"","custom_fields":[{"id":1,"name":"Subdivision","value":"EC"},{"id":4,"name":"Milepost","value":"23.3291"},{"id":17,"name":"Train ID","value":"227-14"},{"id":16,"name":"Locomotive ID","value":"4044"},{"id":130,"name":"Impact","value":""},{"id":150,"name":"Time of Event (Mountain Time)","value":"21:06:35"},{"id":151,"name":"Denver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662</v>
      </c>
      <c r="B140" s="7">
        <v>4043</v>
      </c>
      <c r="C140" s="22" t="s">
        <v>207</v>
      </c>
      <c r="D140" s="22" t="s">
        <v>705</v>
      </c>
      <c r="E140" s="13">
        <v>42718.886701388888</v>
      </c>
      <c r="F140" s="13">
        <v>42718.893692129626</v>
      </c>
      <c r="G140" s="7">
        <v>1</v>
      </c>
      <c r="H140" s="22" t="s">
        <v>397</v>
      </c>
      <c r="I140" s="13">
        <v>42718.922164351854</v>
      </c>
      <c r="J140" s="7">
        <v>0</v>
      </c>
      <c r="K140" s="109" t="str">
        <f t="shared" si="29"/>
        <v>4043/4044</v>
      </c>
      <c r="L140" s="22" t="str">
        <f>VLOOKUP(A140,'Trips&amp;Operators'!$C$1:$G$99999,5,FALSE)</f>
        <v>PERKINS DARREN</v>
      </c>
      <c r="M140" s="6">
        <f t="shared" si="30"/>
        <v>2.8472222227719612E-2</v>
      </c>
      <c r="N140" s="7">
        <f t="shared" si="46"/>
        <v>41.000000007916242</v>
      </c>
      <c r="O140" s="7"/>
      <c r="P140" s="7"/>
      <c r="Q140" s="23"/>
      <c r="R140" s="23"/>
      <c r="S140" s="35">
        <f t="shared" si="32"/>
        <v>1</v>
      </c>
      <c r="T140" s="50" t="str">
        <f t="shared" si="33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https://search-rtdc-monitor-bjffxe2xuh6vdkpspy63sjmuny.us-east-1.es.amazonaws.com/_plugin/kibana/#/discover/Steve-Slow-Train-Analysis-(2080s-and-2083s)?_g=(refreshInterval:(display:Off,section:0,value:0),time:(from:'2016-12-14 20:16:51-700',mode:absolute,to:'2016-12-14 23:07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0" s="52" t="str">
        <f t="shared" si="35"/>
        <v>N</v>
      </c>
      <c r="X140" s="177">
        <f t="shared" ref="X140:X147" si="49">VALUE(LEFT(AD140,4))-VALUE(LEFT(AD139,4))</f>
        <v>1</v>
      </c>
      <c r="Y140" s="67">
        <f t="shared" si="47"/>
        <v>23.3</v>
      </c>
      <c r="Z140" s="67">
        <f t="shared" si="48"/>
        <v>1.32E-2</v>
      </c>
      <c r="AA140" s="67">
        <f t="shared" si="36"/>
        <v>23.286799999999999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37"/>
        <v>0228-14</v>
      </c>
      <c r="AE140" s="91" t="str">
        <f t="shared" si="38"/>
        <v>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 &amp; aws s3 cp s3://rtdc.mdm.uploadarchive.raw/RTDC4043/ "%USERPROFILE%\AppData\Local\Temp\OnboardLogs"\RTDC4043\2016-12-15 --exclude "*" --recursive --include "*20161215*" &amp; "%USERPROFILE%\Documents\GitHub\mrs-test-scripts\Headless Mode &amp; Sideloading\WalkAndUnGZ.bat" "%USERPROFILE%\AppData\Local\Temp\OnboardLogs"\RTDC4043\2016-12-15</v>
      </c>
      <c r="AF140" s="88" t="str">
        <f t="shared" si="39"/>
        <v>"C:\Program Files (x86)\AstroGrep\AstroGrep.exe" /spath="%USERPROFILE%\AppData\Local\Temp\OnboardLogs" /stypes="app*4043*20161215*" /stext=" 05:.+((SYSTEM_STATE.+slice.+state.+changed )|(ment ac)|(multiple cpu faults)|(system.+state.+changed )|(\[timeout)|(PRM\|1\|D)|(kpr)|(kdp)|(\|lc)|(penalty))" /e /r /s</v>
      </c>
      <c r="AG140" s="1" t="str">
        <f t="shared" si="40"/>
        <v>EC</v>
      </c>
      <c r="AH140" s="92" t="str">
        <f t="shared" si="41"/>
        <v>"%USERPROFILE%\Documents\GitHub\eaglep3\Utilities\RefineRTDCRunTimes.py" --tripid 228-14 --locoid 4043 --swversion DE.1.0.8.0 --startMP 204:233000 --initTime 2016-12-14T21:16:51 --startdatetime 2016-12-14T21:26:55 --delay 1 --endMP 204:132 --enddatetime 2016-12-14T22:07:55 --enforcementcount 0 &gt;&gt;C:\Users\stu\Documents\GitHub\eaglep3-reporting\EC\2016-12-14-refined-times.txt</v>
      </c>
      <c r="AI140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{"issue":{"subject":"","project_id":79,"tracker_id":40,"status_id":1,"priority_id":2,"assigned_to_id":23,"start_date":"2016-12-14","description":"","custom_fields":[{"id":1,"name":"Subdivision","value":"EC"},{"id":4,"name":"Milepost","value":"0.0132"},{"id":17,"name":"Train ID","value":"228-14"},{"id":16,"name":"Locomotive ID","value":"4043"},{"id":130,"name":"Impact","value":""},{"id":150,"name":"Time of Event (Mountain Time)","value":"22:07:55"},{"id":151,"name":"Denver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7" t="s">
        <v>660</v>
      </c>
      <c r="B141" s="7">
        <v>4040</v>
      </c>
      <c r="C141" s="22" t="s">
        <v>207</v>
      </c>
      <c r="D141" s="22" t="s">
        <v>313</v>
      </c>
      <c r="E141" s="13">
        <v>42718.870347222219</v>
      </c>
      <c r="F141" s="13">
        <v>42718.875324074077</v>
      </c>
      <c r="G141" s="7">
        <v>2</v>
      </c>
      <c r="H141" s="22" t="s">
        <v>731</v>
      </c>
      <c r="I141" s="13">
        <v>42718.899837962963</v>
      </c>
      <c r="J141" s="7">
        <v>0</v>
      </c>
      <c r="K141" s="109" t="str">
        <f t="shared" ref="K141:K204" si="50">IF(ISEVEN(B141),(B141-1)&amp;"/"&amp;B141,B141&amp;"/"&amp;(B141+1))</f>
        <v>4039/4040</v>
      </c>
      <c r="L141" s="22" t="str">
        <f>VLOOKUP(A141,'Trips&amp;Operators'!$C$1:$G$99999,5,FALSE)</f>
        <v>STAMBAUGH JAMES</v>
      </c>
      <c r="M141" s="6">
        <f t="shared" ref="M141:M204" si="51">I141-F141</f>
        <v>2.4513888885849155E-2</v>
      </c>
      <c r="N141" s="7">
        <f t="shared" ref="N141:N152" si="52">24*60*SUM($M141:$M141)</f>
        <v>35.299999995622784</v>
      </c>
      <c r="O141" s="7"/>
      <c r="P141" s="7"/>
      <c r="Q141" s="23"/>
      <c r="R141" s="23"/>
      <c r="S141" s="35">
        <f t="shared" ref="S141:S204" si="53">SUM(U141:U141)/IF(AG141="EC",12,1)</f>
        <v>1</v>
      </c>
      <c r="T141" s="50" t="str">
        <f t="shared" ref="T141:T204" si="54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5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https://search-rtdc-monitor-bjffxe2xuh6vdkpspy63sjmuny.us-east-1.es.amazonaws.com/_plugin/kibana/#/discover/Steve-Slow-Train-Analysis-(2080s-and-2083s)?_g=(refreshInterval:(display:Off,section:0,value:0),time:(from:'2016-12-14 19:53:18-700',mode:absolute,to:'2016-12-14 22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1" s="52" t="str">
        <f t="shared" ref="W141:W204" si="56">IF(AA141&lt;IF(AG141="EC",23,5.65),"Y","N")</f>
        <v>N</v>
      </c>
      <c r="X141" s="177">
        <f t="shared" si="49"/>
        <v>1</v>
      </c>
      <c r="Y141" s="67">
        <f t="shared" si="47"/>
        <v>4.6199999999999998E-2</v>
      </c>
      <c r="Z141" s="67">
        <f t="shared" si="48"/>
        <v>23.3306</v>
      </c>
      <c r="AA141" s="67">
        <f t="shared" ref="AA141:AA204" si="57">ABS(Z141-Y141)</f>
        <v>23.284400000000002</v>
      </c>
      <c r="AB141" s="64" t="e">
        <f>VLOOKUP(A141,Enforcements!$C$7:$K$19,8,0)</f>
        <v>#N/A</v>
      </c>
      <c r="AC141" s="60" t="e">
        <f>VLOOKUP(A141,Enforcements!$C$7:$E$19,3,0)</f>
        <v>#N/A</v>
      </c>
      <c r="AD141" s="61" t="str">
        <f t="shared" ref="AD141:AD204" si="58">IF(LEN(A141)=6,"0"&amp;A141,A141)</f>
        <v>0229-14</v>
      </c>
      <c r="AE141" s="91" t="str">
        <f t="shared" ref="AE141:AE204" si="5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 &amp; aws s3 cp s3://rtdc.mdm.uploadarchive.raw/RTDC4040/ "%USERPROFILE%\AppData\Local\Temp\OnboardLogs"\RTDC4040\2016-12-15 --exclude "*" --recursive --include "*20161215*" &amp; "%USERPROFILE%\Documents\GitHub\mrs-test-scripts\Headless Mode &amp; Sideloading\WalkAndUnGZ.bat" "%USERPROFILE%\AppData\Local\Temp\OnboardLogs"\RTDC4040\2016-12-15</v>
      </c>
      <c r="AF141" s="88" t="str">
        <f t="shared" ref="AF141:AF204" si="60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/stypes="app*4040*20161215*" /stext=" 04:.+((SYSTEM_STATE.+slice.+state.+changed )|(ment ac)|(multiple cpu faults)|(system.+state.+changed )|(\[timeout)|(PRM\|1\|D)|(kpr)|(kdp)|(\|lc)|(penalty))" /e /r /s</v>
      </c>
      <c r="AG141" s="1" t="str">
        <f t="shared" ref="AG141:AG204" si="61">IFERROR(IF(VALUE(LEFT(AD141,2))&lt;=2,"EC",IF(OR(VALUE(LEFT(AD141,2))=8,VALUE(LEFT(AD141,2))=18),"NW","Other")),"Other")</f>
        <v>EC</v>
      </c>
      <c r="AH141" s="92" t="str">
        <f t="shared" si="41"/>
        <v>"%USERPROFILE%\Documents\GitHub\eaglep3\Utilities\RefineRTDCRunTimes.py" --tripid 229-14 --locoid 4040 --swversion DE.1.0.8.0 --startMP 204:462 --initTime 2016-12-14T20:53:18 --startdatetime 2016-12-14T21:00:28 --delay 2 --endMP 204:233306 --enddatetime 2016-12-14T21:35:46 --enforcementcount 0 &gt;&gt;C:\Users\stu\Documents\GitHub\eaglep3-reporting\EC\2016-12-14-refined-times.txt</v>
      </c>
      <c r="AI141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{"issue":{"subject":"","project_id":79,"tracker_id":40,"status_id":1,"priority_id":2,"assigned_to_id":23,"start_date":"2016-12-14","description":"","custom_fields":[{"id":1,"name":"Subdivision","value":"EC"},{"id":4,"name":"Milepost","value":"23.3306"},{"id":17,"name":"Train ID","value":"229-14"},{"id":16,"name":"Locomotive ID","value":"4040"},{"id":130,"name":"Impact","value":""},{"id":150,"name":"Time of Event (Mountain Time)","value":"21:35:46"},{"id":151,"name":"Denver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s="21" customFormat="1" x14ac:dyDescent="0.25">
      <c r="A142" s="37" t="s">
        <v>665</v>
      </c>
      <c r="B142" s="7">
        <v>4039</v>
      </c>
      <c r="C142" s="22" t="s">
        <v>207</v>
      </c>
      <c r="D142" s="22" t="s">
        <v>316</v>
      </c>
      <c r="E142" s="13">
        <v>42718.911365740743</v>
      </c>
      <c r="F142" s="13">
        <v>42718.914467592593</v>
      </c>
      <c r="G142" s="7">
        <v>1</v>
      </c>
      <c r="H142" s="22" t="s">
        <v>397</v>
      </c>
      <c r="I142" s="13">
        <v>42718.942291666666</v>
      </c>
      <c r="J142" s="7">
        <v>0</v>
      </c>
      <c r="K142" s="109" t="str">
        <f t="shared" si="50"/>
        <v>4039/4040</v>
      </c>
      <c r="L142" s="22" t="str">
        <f>VLOOKUP(A142,'Trips&amp;Operators'!$C$1:$G$99999,5,FALSE)</f>
        <v>STAMBAUGH JAMES</v>
      </c>
      <c r="M142" s="6">
        <f t="shared" si="51"/>
        <v>2.7824074073578231E-2</v>
      </c>
      <c r="N142" s="7">
        <f t="shared" si="52"/>
        <v>40.066666665952653</v>
      </c>
      <c r="O142" s="7"/>
      <c r="P142" s="7"/>
      <c r="Q142" s="23"/>
      <c r="R142" s="23"/>
      <c r="S142" s="35">
        <f t="shared" si="53"/>
        <v>1</v>
      </c>
      <c r="T142" s="50" t="str">
        <f t="shared" si="54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20:52:22-700',mode:absolute,to:'2016-12-14 23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2" s="52" t="str">
        <f t="shared" si="56"/>
        <v>N</v>
      </c>
      <c r="X142" s="177">
        <f t="shared" si="49"/>
        <v>1</v>
      </c>
      <c r="Y142" s="67">
        <f t="shared" si="47"/>
        <v>23.299299999999999</v>
      </c>
      <c r="Z142" s="67">
        <f t="shared" si="48"/>
        <v>1.32E-2</v>
      </c>
      <c r="AA142" s="67">
        <f t="shared" si="57"/>
        <v>23.286099999999998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58"/>
        <v>0230-14</v>
      </c>
      <c r="AE142" s="91" t="str">
        <f t="shared" si="59"/>
        <v>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 &amp; aws s3 cp s3://rtdc.mdm.uploadarchive.raw/RTDC4039/ "%USERPROFILE%\AppData\Local\Temp\OnboardLogs"\RTDC4039\2016-12-15 --exclude "*" --recursive --include "*20161215*" &amp; "%USERPROFILE%\Documents\GitHub\mrs-test-scripts\Headless Mode &amp; Sideloading\WalkAndUnGZ.bat" "%USERPROFILE%\AppData\Local\Temp\OnboardLogs"\RTDC4039\2016-12-15</v>
      </c>
      <c r="AF142" s="88" t="str">
        <f t="shared" si="60"/>
        <v>"C:\Program Files (x86)\AstroGrep\AstroGrep.exe" /spath="%USERPROFILE%\AppData\Local\Temp\OnboardLogs" /stypes="app*4039*20161215*" /stext=" 05:.+((SYSTEM_STATE.+slice.+state.+changed )|(ment ac)|(multiple cpu faults)|(system.+state.+changed )|(\[timeout)|(PRM\|1\|D)|(kpr)|(kdp)|(\|lc)|(penalty))" /e /r /s</v>
      </c>
      <c r="AG142" s="1" t="str">
        <f t="shared" si="61"/>
        <v>EC</v>
      </c>
      <c r="AH142" s="92" t="str">
        <f t="shared" si="41"/>
        <v>"%USERPROFILE%\Documents\GitHub\eaglep3\Utilities\RefineRTDCRunTimes.py" --tripid 230-14 --locoid 4039 --swversion DE.1.0.8.0 --startMP 204:232993 --initTime 2016-12-14T21:52:22 --startdatetime 2016-12-14T21:56:50 --delay 1 --endMP 204:132 --enddatetime 2016-12-14T22:36:54 --enforcementcount 0 &gt;&gt;C:\Users\stu\Documents\GitHub\eaglep3-reporting\EC\2016-12-14-refined-times.txt</v>
      </c>
      <c r="AI142" s="119" t="str">
        <f t="shared" si="42"/>
        <v>echo {"issue":{"subject":"","project_id":79,"tracker_id":40,"status_id":1,"priority_id":2,"assigned_to_id":23,"start_date":"2016-12-14","description":"","custom_fields":[{"id":1,"name":"Subdivision","value":"EC"},{"id":4,"name":"Milepost","value":"0.0132"},{"id":17,"name":"Train ID","value":"230-14"},{"id":16,"name":"Locomotive ID","value":"4039"},{"id":130,"name":"Impact","value":""},{"id":150,"name":"Time of Event (Mountain Time)","value":"22:36:54"},{"id":151,"name":"Denver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7" t="s">
        <v>661</v>
      </c>
      <c r="B143" s="7">
        <v>4014</v>
      </c>
      <c r="C143" s="22" t="s">
        <v>207</v>
      </c>
      <c r="D143" s="22" t="s">
        <v>745</v>
      </c>
      <c r="E143" s="13">
        <v>42718.883287037039</v>
      </c>
      <c r="F143" s="13">
        <v>42718.896145833336</v>
      </c>
      <c r="G143" s="7">
        <v>1</v>
      </c>
      <c r="H143" s="22" t="s">
        <v>319</v>
      </c>
      <c r="I143" s="13">
        <v>42718.921643518515</v>
      </c>
      <c r="J143" s="7">
        <v>0</v>
      </c>
      <c r="K143" s="109" t="str">
        <f t="shared" si="50"/>
        <v>4013/4014</v>
      </c>
      <c r="L143" s="22" t="str">
        <f>VLOOKUP(A143,'Trips&amp;Operators'!$C$1:$G$99999,5,FALSE)</f>
        <v>YANAI IAN</v>
      </c>
      <c r="M143" s="6">
        <f t="shared" si="51"/>
        <v>2.5497685179288965E-2</v>
      </c>
      <c r="N143" s="7">
        <f t="shared" si="52"/>
        <v>36.716666658176109</v>
      </c>
      <c r="O143" s="7"/>
      <c r="P143" s="7"/>
      <c r="Q143" s="23"/>
      <c r="R143" s="23"/>
      <c r="S143" s="35">
        <f t="shared" si="53"/>
        <v>1</v>
      </c>
      <c r="T143" s="50" t="str">
        <f t="shared" si="54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20:11:56-700',mode:absolute,to:'2016-12-14 23:07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3" s="52" t="str">
        <f t="shared" si="56"/>
        <v>N</v>
      </c>
      <c r="X143" s="177">
        <f t="shared" si="49"/>
        <v>1</v>
      </c>
      <c r="Y143" s="67">
        <f t="shared" si="47"/>
        <v>4.8899999999999999E-2</v>
      </c>
      <c r="Z143" s="67">
        <f t="shared" si="48"/>
        <v>23.331399999999999</v>
      </c>
      <c r="AA143" s="67">
        <f t="shared" si="57"/>
        <v>23.282499999999999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si="58"/>
        <v>0231-14</v>
      </c>
      <c r="AE143" s="91" t="str">
        <f t="shared" si="59"/>
        <v>aws s3 cp s3://rtdc.mdm.uploadarchive.raw/RTDC4014/ "%USERPROFILE%\AppData\Local\Temp\OnboardLogs"\RTDC4014\2016-12-14 --exclude "*" --recursive --include "*20161214*" &amp; "%USERPROFILE%\Documents\GitHub\mrs-test-scripts\Headless Mode &amp; Sideloading\WalkAndUnGZ.bat" "%USERPROFILE%\AppData\Local\Temp\OnboardLogs"\RTDC4014\2016-12-14 &amp; aws s3 cp s3://rtdc.mdm.uploadarchive.raw/RTDC4014/ "%USERPROFILE%\AppData\Local\Temp\OnboardLogs"\RTDC4014\2016-12-15 --exclude "*" --recursive --include "*20161215*" &amp; "%USERPROFILE%\Documents\GitHub\mrs-test-scripts\Headless Mode &amp; Sideloading\WalkAndUnGZ.bat" "%USERPROFILE%\AppData\Local\Temp\OnboardLogs"\RTDC4014\2016-12-15</v>
      </c>
      <c r="AF143" s="88" t="str">
        <f t="shared" si="60"/>
        <v>"C:\Program Files (x86)\AstroGrep\AstroGrep.exe" /spath="%USERPROFILE%\AppData\Local\Temp\OnboardLogs" /stypes="app*4014*20161215*" /stext=" 05:.+((SYSTEM_STATE.+slice.+state.+changed )|(ment ac)|(multiple cpu faults)|(system.+state.+changed )|(\[timeout)|(PRM\|1\|D)|(kpr)|(kdp)|(\|lc)|(penalty))" /e /r /s</v>
      </c>
      <c r="AG143" s="1" t="str">
        <f t="shared" si="61"/>
        <v>EC</v>
      </c>
      <c r="AH143" s="92" t="str">
        <f t="shared" ref="AH143:AH205" si="62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231-14 --locoid 4014 --swversion DE.1.0.8.0 --startMP 204:489 --initTime 2016-12-14T21:11:56 --startdatetime 2016-12-14T21:30:27 --delay 1 --endMP 204:233314 --enddatetime 2016-12-14T22:07:10 --enforcementcount 0 &gt;&gt;C:\Users\stu\Documents\GitHub\eaglep3-reporting\EC\2016-12-14-refined-times.txt</v>
      </c>
      <c r="AI143" s="119" t="str">
        <f t="shared" ref="AI143:AI205" si="63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{"issue":{"subject":"","project_id":79,"tracker_id":40,"status_id":1,"priority_id":2,"assigned_to_id":23,"start_date":"2016-12-14","description":"","custom_fields":[{"id":1,"name":"Subdivision","value":"EC"},{"id":4,"name":"Milepost","value":"23.3314"},{"id":17,"name":"Train ID","value":"231-14"},{"id":16,"name":"Locomotive ID","value":"4014"},{"id":130,"name":"Impact","value":""},{"id":150,"name":"Time of Event (Mountain Time)","value":"22:07:10"},{"id":151,"name":"Denver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91" x14ac:dyDescent="0.25">
      <c r="A144" s="37" t="s">
        <v>666</v>
      </c>
      <c r="B144" s="7">
        <v>4013</v>
      </c>
      <c r="C144" s="22" t="s">
        <v>207</v>
      </c>
      <c r="D144" s="22" t="s">
        <v>401</v>
      </c>
      <c r="E144" s="13">
        <v>42718.924467592595</v>
      </c>
      <c r="F144" s="13">
        <v>42718.934895833336</v>
      </c>
      <c r="G144" s="7">
        <v>1</v>
      </c>
      <c r="H144" s="22" t="s">
        <v>281</v>
      </c>
      <c r="I144" s="13">
        <v>42718.961331018516</v>
      </c>
      <c r="J144" s="7">
        <v>0</v>
      </c>
      <c r="K144" s="109" t="str">
        <f t="shared" si="50"/>
        <v>4013/4014</v>
      </c>
      <c r="L144" s="22" t="str">
        <f>VLOOKUP(A144,'Trips&amp;Operators'!$C$1:$G$99999,5,FALSE)</f>
        <v>YANAI IAN</v>
      </c>
      <c r="M144" s="6">
        <f t="shared" si="51"/>
        <v>2.643518518016208E-2</v>
      </c>
      <c r="N144" s="7">
        <f t="shared" si="52"/>
        <v>38.066666659433395</v>
      </c>
      <c r="O144" s="7"/>
      <c r="P144" s="7"/>
      <c r="Q144" s="23"/>
      <c r="R144" s="23"/>
      <c r="S144" s="35">
        <f t="shared" si="53"/>
        <v>1</v>
      </c>
      <c r="T144" s="50" t="str">
        <f t="shared" si="54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21:11:14-700',mode:absolute,to:'2016-12-15 00:04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4" s="52" t="str">
        <f t="shared" si="56"/>
        <v>N</v>
      </c>
      <c r="X144" s="177">
        <f t="shared" si="49"/>
        <v>1</v>
      </c>
      <c r="Y144" s="67">
        <f t="shared" si="47"/>
        <v>23.2974</v>
      </c>
      <c r="Z144" s="67">
        <f t="shared" si="48"/>
        <v>1.47E-2</v>
      </c>
      <c r="AA144" s="67">
        <f t="shared" si="57"/>
        <v>23.282699999999998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58"/>
        <v>0232-14</v>
      </c>
      <c r="AE144" s="91" t="str">
        <f t="shared" si="59"/>
        <v>aws s3 cp s3://rtdc.mdm.uploadarchive.raw/RTDC4013/ "%USERPROFILE%\AppData\Local\Temp\OnboardLogs"\RTDC4013\2016-12-14 --exclude "*" --recursive --include "*20161214*" &amp; "%USERPROFILE%\Documents\GitHub\mrs-test-scripts\Headless Mode &amp; Sideloading\WalkAndUnGZ.bat" "%USERPROFILE%\AppData\Local\Temp\OnboardLogs"\RTDC4013\2016-12-14 &amp; aws s3 cp s3://rtdc.mdm.uploadarchive.raw/RTDC4013/ "%USERPROFILE%\AppData\Local\Temp\OnboardLogs"\RTDC4013\2016-12-15 --exclude "*" --recursive --include "*20161215*" &amp; "%USERPROFILE%\Documents\GitHub\mrs-test-scripts\Headless Mode &amp; Sideloading\WalkAndUnGZ.bat" "%USERPROFILE%\AppData\Local\Temp\OnboardLogs"\RTDC4013\2016-12-15</v>
      </c>
      <c r="AF144" s="88" t="str">
        <f t="shared" si="60"/>
        <v>"C:\Program Files (x86)\AstroGrep\AstroGrep.exe" /spath="%USERPROFILE%\AppData\Local\Temp\OnboardLogs" /stypes="app*4013*20161215*" /stext=" 06:.+((SYSTEM_STATE.+slice.+state.+changed )|(ment ac)|(multiple cpu faults)|(system.+state.+changed )|(\[timeout)|(PRM\|1\|D)|(kpr)|(kdp)|(\|lc)|(penalty))" /e /r /s</v>
      </c>
      <c r="AG144" s="1" t="str">
        <f t="shared" si="61"/>
        <v>EC</v>
      </c>
      <c r="AH144" s="92" t="str">
        <f t="shared" si="62"/>
        <v>"%USERPROFILE%\Documents\GitHub\eaglep3\Utilities\RefineRTDCRunTimes.py" --tripid 232-14 --locoid 4013 --swversion DE.1.0.8.0 --startMP 204:232974 --initTime 2016-12-14T22:11:14 --startdatetime 2016-12-14T22:26:15 --delay 1 --endMP 204:147 --enddatetime 2016-12-14T23:04:19 --enforcementcount 0 &gt;&gt;C:\Users\stu\Documents\GitHub\eaglep3-reporting\EC\2016-12-14-refined-times.txt</v>
      </c>
      <c r="AI144" s="119" t="str">
        <f t="shared" si="63"/>
        <v>echo {"issue":{"subject":"","project_id":79,"tracker_id":40,"status_id":1,"priority_id":2,"assigned_to_id":23,"start_date":"2016-12-14","description":"","custom_fields":[{"id":1,"name":"Subdivision","value":"EC"},{"id":4,"name":"Milepost","value":"0.0147"},{"id":17,"name":"Train ID","value":"232-14"},{"id":16,"name":"Locomotive ID","value":"4013"},{"id":130,"name":"Impact","value":""},{"id":150,"name":"Time of Event (Mountain Time)","value":"23:04:19"},{"id":151,"name":"Denver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91" s="21" customFormat="1" x14ac:dyDescent="0.25">
      <c r="A145" s="37" t="s">
        <v>664</v>
      </c>
      <c r="B145" s="7">
        <v>4046</v>
      </c>
      <c r="C145" s="22" t="s">
        <v>207</v>
      </c>
      <c r="D145" s="22" t="s">
        <v>297</v>
      </c>
      <c r="E145" s="13">
        <v>42718.910844907405</v>
      </c>
      <c r="F145" s="13">
        <v>42718.917129629626</v>
      </c>
      <c r="G145" s="7">
        <v>1</v>
      </c>
      <c r="H145" s="22" t="s">
        <v>688</v>
      </c>
      <c r="I145" s="13">
        <v>42718.941793981481</v>
      </c>
      <c r="J145" s="7">
        <v>0</v>
      </c>
      <c r="K145" s="109" t="str">
        <f t="shared" si="50"/>
        <v>4045/4046</v>
      </c>
      <c r="L145" s="22" t="str">
        <f>VLOOKUP(A145,'Trips&amp;Operators'!$C$1:$G$99999,5,FALSE)</f>
        <v>LEVIN SCOTT</v>
      </c>
      <c r="M145" s="6">
        <f t="shared" si="51"/>
        <v>2.4664351854880806E-2</v>
      </c>
      <c r="N145" s="7">
        <f t="shared" si="52"/>
        <v>35.516666671028361</v>
      </c>
      <c r="O145" s="7"/>
      <c r="P145" s="7"/>
      <c r="Q145" s="23"/>
      <c r="R145" s="23"/>
      <c r="S145" s="35">
        <f t="shared" si="53"/>
        <v>1</v>
      </c>
      <c r="T145" s="50" t="str">
        <f t="shared" si="54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20:51:37-700',mode:absolute,to:'2016-12-14 23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5" s="52" t="str">
        <f t="shared" si="56"/>
        <v>N</v>
      </c>
      <c r="X145" s="177">
        <f t="shared" si="49"/>
        <v>1</v>
      </c>
      <c r="Y145" s="67">
        <f t="shared" si="47"/>
        <v>4.6699999999999998E-2</v>
      </c>
      <c r="Z145" s="67">
        <f t="shared" si="48"/>
        <v>23.33</v>
      </c>
      <c r="AA145" s="67">
        <f t="shared" si="57"/>
        <v>23.283299999999997</v>
      </c>
      <c r="AB145" s="64" t="e">
        <f>VLOOKUP(A145,Enforcements!$C$7:$K$19,8,0)</f>
        <v>#N/A</v>
      </c>
      <c r="AC145" s="60" t="e">
        <f>VLOOKUP(A145,Enforcements!$C$7:$E$19,3,0)</f>
        <v>#N/A</v>
      </c>
      <c r="AD145" s="61" t="str">
        <f t="shared" si="58"/>
        <v>0233-14</v>
      </c>
      <c r="AE145" s="91" t="str">
        <f t="shared" si="59"/>
        <v>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 &amp; aws s3 cp s3://rtdc.mdm.uploadarchive.raw/RTDC4046/ "%USERPROFILE%\AppData\Local\Temp\OnboardLogs"\RTDC4046\2016-12-15 --exclude "*" --recursive --include "*20161215*" &amp; "%USERPROFILE%\Documents\GitHub\mrs-test-scripts\Headless Mode &amp; Sideloading\WalkAndUnGZ.bat" "%USERPROFILE%\AppData\Local\Temp\OnboardLogs"\RTDC4046\2016-12-15</v>
      </c>
      <c r="AF145" s="88" t="str">
        <f t="shared" si="60"/>
        <v>"C:\Program Files (x86)\AstroGrep\AstroGrep.exe" /spath="%USERPROFILE%\AppData\Local\Temp\OnboardLogs" /stypes="app*4046*20161215*" /stext=" 05:.+((SYSTEM_STATE.+slice.+state.+changed )|(ment ac)|(multiple cpu faults)|(system.+state.+changed )|(\[timeout)|(PRM\|1\|D)|(kpr)|(kdp)|(\|lc)|(penalty))" /e /r /s</v>
      </c>
      <c r="AG145" s="1" t="str">
        <f t="shared" si="61"/>
        <v>EC</v>
      </c>
      <c r="AH145" s="92" t="str">
        <f t="shared" si="62"/>
        <v>"%USERPROFILE%\Documents\GitHub\eaglep3\Utilities\RefineRTDCRunTimes.py" --tripid 233-14 --locoid 4046 --swversion DE.1.0.8.0 --startMP 204:467 --initTime 2016-12-14T21:51:37 --startdatetime 2016-12-14T22:00:40 --delay 1 --endMP 204:233300 --enddatetime 2016-12-14T22:36:11 --enforcementcount 0 &gt;&gt;C:\Users\stu\Documents\GitHub\eaglep3-reporting\EC\2016-12-14-refined-times.txt</v>
      </c>
      <c r="AI145" s="119" t="str">
        <f t="shared" si="63"/>
        <v>echo {"issue":{"subject":"","project_id":79,"tracker_id":40,"status_id":1,"priority_id":2,"assigned_to_id":23,"start_date":"2016-12-14","description":"","custom_fields":[{"id":1,"name":"Subdivision","value":"EC"},{"id":4,"name":"Milepost","value":"23.33"},{"id":17,"name":"Train ID","value":"233-14"},{"id":16,"name":"Locomotive ID","value":"4046"},{"id":130,"name":"Impact","value":""},{"id":150,"name":"Time of Event (Mountain Time)","value":"22:36:11"},{"id":151,"name":"Denver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670</v>
      </c>
      <c r="B146" s="7">
        <v>4045</v>
      </c>
      <c r="C146" s="22" t="s">
        <v>207</v>
      </c>
      <c r="D146" s="22" t="s">
        <v>331</v>
      </c>
      <c r="E146" s="13">
        <v>42718.952222222222</v>
      </c>
      <c r="F146" s="13">
        <v>42718.95579861111</v>
      </c>
      <c r="G146" s="7">
        <v>1</v>
      </c>
      <c r="H146" s="22" t="s">
        <v>746</v>
      </c>
      <c r="I146" s="13">
        <v>42718.983310185184</v>
      </c>
      <c r="J146" s="7">
        <v>0</v>
      </c>
      <c r="K146" s="109" t="str">
        <f t="shared" si="50"/>
        <v>4045/4046</v>
      </c>
      <c r="L146" s="22" t="str">
        <f>VLOOKUP(A146,'Trips&amp;Operators'!$C$1:$G$99999,5,FALSE)</f>
        <v>LEVIN SCOTT</v>
      </c>
      <c r="M146" s="6">
        <f t="shared" si="51"/>
        <v>2.7511574073287193E-2</v>
      </c>
      <c r="N146" s="7">
        <f t="shared" si="52"/>
        <v>39.616666665533558</v>
      </c>
      <c r="O146" s="7"/>
      <c r="P146" s="7"/>
      <c r="Q146" s="23"/>
      <c r="R146" s="23"/>
      <c r="S146" s="35">
        <f t="shared" si="53"/>
        <v>1</v>
      </c>
      <c r="T146" s="50" t="str">
        <f t="shared" si="54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21:51:12-700',mode:absolute,to:'2016-12-15 00:35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6" s="52" t="str">
        <f t="shared" si="56"/>
        <v>N</v>
      </c>
      <c r="X146" s="177">
        <f t="shared" si="49"/>
        <v>1</v>
      </c>
      <c r="Y146" s="67">
        <f t="shared" si="47"/>
        <v>23.299800000000001</v>
      </c>
      <c r="Z146" s="67">
        <f t="shared" si="48"/>
        <v>1.34E-2</v>
      </c>
      <c r="AA146" s="67">
        <f t="shared" si="57"/>
        <v>23.2864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58"/>
        <v>0234-14</v>
      </c>
      <c r="AE146" s="91" t="str">
        <f t="shared" si="59"/>
        <v>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 &amp; aws s3 cp s3://rtdc.mdm.uploadarchive.raw/RTDC4045/ "%USERPROFILE%\AppData\Local\Temp\OnboardLogs"\RTDC4045\2016-12-15 --exclude "*" --recursive --include "*20161215*" &amp; "%USERPROFILE%\Documents\GitHub\mrs-test-scripts\Headless Mode &amp; Sideloading\WalkAndUnGZ.bat" "%USERPROFILE%\AppData\Local\Temp\OnboardLogs"\RTDC4045\2016-12-15</v>
      </c>
      <c r="AF146" s="88" t="str">
        <f t="shared" si="60"/>
        <v>"C:\Program Files (x86)\AstroGrep\AstroGrep.exe" /spath="%USERPROFILE%\AppData\Local\Temp\OnboardLogs" /stypes="app*4045*20161215*" /stext=" 06:.+((SYSTEM_STATE.+slice.+state.+changed )|(ment ac)|(multiple cpu faults)|(system.+state.+changed )|(\[timeout)|(PRM\|1\|D)|(kpr)|(kdp)|(\|lc)|(penalty))" /e /r /s</v>
      </c>
      <c r="AG146" s="1" t="str">
        <f t="shared" si="61"/>
        <v>EC</v>
      </c>
      <c r="AH146" s="92" t="str">
        <f t="shared" si="62"/>
        <v>"%USERPROFILE%\Documents\GitHub\eaglep3\Utilities\RefineRTDCRunTimes.py" --tripid 234-14 --locoid 4045 --swversion DE.1.0.8.0 --startMP 204:232998 --initTime 2016-12-14T22:51:12 --startdatetime 2016-12-14T22:56:21 --delay 1 --endMP 204:134 --enddatetime 2016-12-14T23:35:58 --enforcementcount 0 &gt;&gt;C:\Users\stu\Documents\GitHub\eaglep3-reporting\EC\2016-12-14-refined-times.txt</v>
      </c>
      <c r="AI146" s="119" t="str">
        <f t="shared" si="63"/>
        <v>echo {"issue":{"subject":"","project_id":79,"tracker_id":40,"status_id":1,"priority_id":2,"assigned_to_id":23,"start_date":"2016-12-14","description":"","custom_fields":[{"id":1,"name":"Subdivision","value":"EC"},{"id":4,"name":"Milepost","value":"0.0134"},{"id":17,"name":"Train ID","value":"234-14"},{"id":16,"name":"Locomotive ID","value":"4045"},{"id":130,"name":"Impact","value":""},{"id":150,"name":"Time of Event (Mountain Time)","value":"23:35:58"},{"id":151,"name":"Denver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667</v>
      </c>
      <c r="B147" s="7">
        <v>4044</v>
      </c>
      <c r="C147" s="22" t="s">
        <v>207</v>
      </c>
      <c r="D147" s="22" t="s">
        <v>715</v>
      </c>
      <c r="E147" s="13">
        <v>42718.929178240738</v>
      </c>
      <c r="F147" s="13">
        <v>42718.937731481485</v>
      </c>
      <c r="G147" s="7">
        <v>1</v>
      </c>
      <c r="H147" s="22" t="s">
        <v>697</v>
      </c>
      <c r="I147" s="13">
        <v>42718.962488425925</v>
      </c>
      <c r="J147" s="7">
        <v>0</v>
      </c>
      <c r="K147" s="109" t="str">
        <f t="shared" si="50"/>
        <v>4043/4044</v>
      </c>
      <c r="L147" s="22" t="str">
        <f>VLOOKUP(A147,'Trips&amp;Operators'!$C$1:$G$99999,5,FALSE)</f>
        <v>PERKINS DARREN</v>
      </c>
      <c r="M147" s="6">
        <f t="shared" si="51"/>
        <v>2.4756944440014195E-2</v>
      </c>
      <c r="N147" s="7">
        <f t="shared" si="52"/>
        <v>35.64999999362044</v>
      </c>
      <c r="O147" s="7"/>
      <c r="P147" s="7"/>
      <c r="Q147" s="23"/>
      <c r="R147" s="23"/>
      <c r="S147" s="35">
        <f t="shared" si="53"/>
        <v>1</v>
      </c>
      <c r="T147" s="50" t="str">
        <f t="shared" si="54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21:18:01-700',mode:absolute,to:'2016-12-15 00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7" s="52" t="str">
        <f t="shared" si="56"/>
        <v>N</v>
      </c>
      <c r="X147" s="177">
        <f t="shared" si="49"/>
        <v>1</v>
      </c>
      <c r="Y147" s="67">
        <f t="shared" si="47"/>
        <v>4.2200000000000001E-2</v>
      </c>
      <c r="Z147" s="67">
        <f t="shared" si="48"/>
        <v>23.331499999999998</v>
      </c>
      <c r="AA147" s="67">
        <f t="shared" si="57"/>
        <v>23.289299999999997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58"/>
        <v>0235-14</v>
      </c>
      <c r="AE147" s="91" t="str">
        <f t="shared" si="59"/>
        <v>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 &amp; aws s3 cp s3://rtdc.mdm.uploadarchive.raw/RTDC4044/ "%USERPROFILE%\AppData\Local\Temp\OnboardLogs"\RTDC4044\2016-12-15 --exclude "*" --recursive --include "*20161215*" &amp; "%USERPROFILE%\Documents\GitHub\mrs-test-scripts\Headless Mode &amp; Sideloading\WalkAndUnGZ.bat" "%USERPROFILE%\AppData\Local\Temp\OnboardLogs"\RTDC4044\2016-12-15</v>
      </c>
      <c r="AF147" s="88" t="str">
        <f t="shared" si="60"/>
        <v>"C:\Program Files (x86)\AstroGrep\AstroGrep.exe" /spath="%USERPROFILE%\AppData\Local\Temp\OnboardLogs" /stypes="app*4044*20161215*" /stext=" 06:.+((SYSTEM_STATE.+slice.+state.+changed )|(ment ac)|(multiple cpu faults)|(system.+state.+changed )|(\[timeout)|(PRM\|1\|D)|(kpr)|(kdp)|(\|lc)|(penalty))" /e /r /s</v>
      </c>
      <c r="AG147" s="1" t="str">
        <f t="shared" si="61"/>
        <v>EC</v>
      </c>
      <c r="AH147" s="92" t="str">
        <f t="shared" si="62"/>
        <v>"%USERPROFILE%\Documents\GitHub\eaglep3\Utilities\RefineRTDCRunTimes.py" --tripid 235-14 --locoid 4044 --swversion DE.1.0.8.0 --startMP 204:422 --initTime 2016-12-14T22:18:01 --startdatetime 2016-12-14T22:30:20 --delay 1 --endMP 204:233315 --enddatetime 2016-12-14T23:05:59 --enforcementcount 0 &gt;&gt;C:\Users\stu\Documents\GitHub\eaglep3-reporting\EC\2016-12-14-refined-times.txt</v>
      </c>
      <c r="AI147" s="119" t="str">
        <f t="shared" si="63"/>
        <v>echo {"issue":{"subject":"","project_id":79,"tracker_id":40,"status_id":1,"priority_id":2,"assigned_to_id":23,"start_date":"2016-12-14","description":"","custom_fields":[{"id":1,"name":"Subdivision","value":"EC"},{"id":4,"name":"Milepost","value":"23.3315"},{"id":17,"name":"Train ID","value":"235-14"},{"id":16,"name":"Locomotive ID","value":"4044"},{"id":130,"name":"Impact","value":""},{"id":150,"name":"Time of Event (Mountain Time)","value":"23:05:59"},{"id":151,"name":"Denver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453</v>
      </c>
      <c r="B148" s="7">
        <v>4043</v>
      </c>
      <c r="C148" s="22" t="s">
        <v>207</v>
      </c>
      <c r="D148" s="22" t="s">
        <v>294</v>
      </c>
      <c r="E148" s="13">
        <v>42718.972280092596</v>
      </c>
      <c r="F148" s="13">
        <v>42718.976655092592</v>
      </c>
      <c r="G148" s="7">
        <v>1</v>
      </c>
      <c r="H148" s="22" t="s">
        <v>311</v>
      </c>
      <c r="I148" s="13">
        <v>42719.006423611114</v>
      </c>
      <c r="J148" s="7">
        <v>0</v>
      </c>
      <c r="K148" s="109" t="str">
        <f t="shared" si="50"/>
        <v>4043/4044</v>
      </c>
      <c r="L148" s="22" t="str">
        <f>VLOOKUP(A148,'Trips&amp;Operators'!$C$1:$G$99999,5,FALSE)</f>
        <v>PERKINS DARREN</v>
      </c>
      <c r="M148" s="6">
        <f t="shared" si="51"/>
        <v>2.976851852145046E-2</v>
      </c>
      <c r="N148" s="7">
        <f t="shared" si="52"/>
        <v>42.866666670888662</v>
      </c>
      <c r="O148" s="7"/>
      <c r="P148" s="7"/>
      <c r="Q148" s="23"/>
      <c r="R148" s="23"/>
      <c r="S148" s="35">
        <f t="shared" si="53"/>
        <v>1</v>
      </c>
      <c r="T148" s="50" t="str">
        <f t="shared" si="54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22:20:05-700',mode:absolute,to:'2016-12-15 01:09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8" s="52" t="str">
        <f t="shared" si="56"/>
        <v>N</v>
      </c>
      <c r="X148" s="177">
        <f t="shared" ref="X148:X150" si="64">VALUE(LEFT(AD148,4))-VALUE(LEFT(AD147,4))</f>
        <v>1</v>
      </c>
      <c r="Y148" s="67">
        <f t="shared" si="47"/>
        <v>23.299600000000002</v>
      </c>
      <c r="Z148" s="67">
        <f t="shared" si="48"/>
        <v>1.5800000000000002E-2</v>
      </c>
      <c r="AA148" s="67">
        <f t="shared" si="57"/>
        <v>23.283800000000003</v>
      </c>
      <c r="AB148" s="64" t="str">
        <f>VLOOKUP(A148,Enforcements!$C$7:$K$19,8,0)</f>
        <v>Speed (6)</v>
      </c>
      <c r="AC148" s="60" t="str">
        <f>VLOOKUP(A148,Enforcements!$C$7:$E$19,3,0)</f>
        <v>PERMANENT SPEED RESTRICTION</v>
      </c>
      <c r="AD148" s="61" t="str">
        <f t="shared" si="58"/>
        <v>0236-14</v>
      </c>
      <c r="AE148" s="91" t="str">
        <f t="shared" si="59"/>
        <v>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 &amp; aws s3 cp s3://rtdc.mdm.uploadarchive.raw/RTDC4043/ "%USERPROFILE%\AppData\Local\Temp\OnboardLogs"\RTDC4043\2016-12-15 --exclude "*" --recursive --include "*20161215*" &amp; "%USERPROFILE%\Documents\GitHub\mrs-test-scripts\Headless Mode &amp; Sideloading\WalkAndUnGZ.bat" "%USERPROFILE%\AppData\Local\Temp\OnboardLogs"\RTDC4043\2016-12-15</v>
      </c>
      <c r="AF148" s="88" t="str">
        <f t="shared" si="60"/>
        <v>"C:\Program Files (x86)\AstroGrep\AstroGrep.exe" /spath="%USERPROFILE%\AppData\Local\Temp\OnboardLogs" /stypes="app*4043*20161215*" /stext=" 07:.+((SYSTEM_STATE.+slice.+state.+changed )|(ment ac)|(multiple cpu faults)|(system.+state.+changed )|(\[timeout)|(PRM\|1\|D)|(kpr)|(kdp)|(\|lc)|(penalty))" /e /r /s</v>
      </c>
      <c r="AG148" s="1" t="str">
        <f t="shared" si="61"/>
        <v>EC</v>
      </c>
      <c r="AH148" s="92" t="str">
        <f t="shared" si="62"/>
        <v>"%USERPROFILE%\Documents\GitHub\eaglep3\Utilities\RefineRTDCRunTimes.py" --tripid 236-14 --locoid 4043 --swversion DE.1.0.8.0 --startMP 204:232996 --initTime 2016-12-14T23:20:05 --startdatetime 2016-12-14T23:26:23 --delay 1 --endMP 204:158 --enddatetime 2016-12-15T00:09:15 --enforcementcount 0 &gt;&gt;C:\Users\stu\Documents\GitHub\eaglep3-reporting\EC\2016-12-14-refined-times.txt</v>
      </c>
      <c r="AI148" s="119" t="str">
        <f t="shared" si="63"/>
        <v>echo {"issue":{"subject":"","project_id":79,"tracker_id":40,"status_id":1,"priority_id":2,"assigned_to_id":23,"start_date":"2016-12-15","description":"","custom_fields":[{"id":1,"name":"Subdivision","value":"EC"},{"id":4,"name":"Milepost","value":"0.0158"},{"id":17,"name":"Train ID","value":"236-14"},{"id":16,"name":"Locomotive ID","value":"4043"},{"id":130,"name":"Impact","value":""},{"id":150,"name":"Time of Event (Mountain Time)","value":"00:09:15"},{"id":151,"name":"Denver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669</v>
      </c>
      <c r="B149" s="7">
        <v>4040</v>
      </c>
      <c r="C149" s="22" t="s">
        <v>207</v>
      </c>
      <c r="D149" s="22" t="s">
        <v>394</v>
      </c>
      <c r="E149" s="13">
        <v>42718.945162037038</v>
      </c>
      <c r="F149" s="13">
        <v>42718.958912037036</v>
      </c>
      <c r="G149" s="7">
        <v>1</v>
      </c>
      <c r="H149" s="22" t="s">
        <v>747</v>
      </c>
      <c r="I149" s="13">
        <v>42718.982453703706</v>
      </c>
      <c r="J149" s="7">
        <v>0</v>
      </c>
      <c r="K149" s="109" t="str">
        <f t="shared" si="50"/>
        <v>4039/4040</v>
      </c>
      <c r="L149" s="22" t="str">
        <f>VLOOKUP(A149,'Trips&amp;Operators'!$C$1:$G$99999,5,FALSE)</f>
        <v>STAMBAUGH JAMES</v>
      </c>
      <c r="M149" s="6">
        <f t="shared" si="51"/>
        <v>2.3541666669188999E-2</v>
      </c>
      <c r="N149" s="7">
        <f t="shared" si="52"/>
        <v>33.900000003632158</v>
      </c>
      <c r="O149" s="7"/>
      <c r="P149" s="7"/>
      <c r="Q149" s="23"/>
      <c r="R149" s="23"/>
      <c r="S149" s="35">
        <f t="shared" si="53"/>
        <v>1</v>
      </c>
      <c r="T149" s="50" t="str">
        <f t="shared" si="54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21:41:02-700',mode:absolute,to:'2016-12-15 00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9" s="52" t="str">
        <f t="shared" si="56"/>
        <v>N</v>
      </c>
      <c r="X149" s="177">
        <f t="shared" si="64"/>
        <v>1</v>
      </c>
      <c r="Y149" s="67">
        <f t="shared" si="47"/>
        <v>4.9099999999999998E-2</v>
      </c>
      <c r="Z149" s="67">
        <f t="shared" si="48"/>
        <v>23.329799999999999</v>
      </c>
      <c r="AA149" s="67">
        <f t="shared" si="57"/>
        <v>23.2807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58"/>
        <v>0237-14</v>
      </c>
      <c r="AE149" s="91" t="str">
        <f t="shared" si="59"/>
        <v>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 &amp; aws s3 cp s3://rtdc.mdm.uploadarchive.raw/RTDC4040/ "%USERPROFILE%\AppData\Local\Temp\OnboardLogs"\RTDC4040\2016-12-15 --exclude "*" --recursive --include "*20161215*" &amp; "%USERPROFILE%\Documents\GitHub\mrs-test-scripts\Headless Mode &amp; Sideloading\WalkAndUnGZ.bat" "%USERPROFILE%\AppData\Local\Temp\OnboardLogs"\RTDC4040\2016-12-15</v>
      </c>
      <c r="AF149" s="88" t="str">
        <f t="shared" si="60"/>
        <v>"C:\Program Files (x86)\AstroGrep\AstroGrep.exe" /spath="%USERPROFILE%\AppData\Local\Temp\OnboardLogs" /stypes="app*4040*20161215*" /stext=" 06:.+((SYSTEM_STATE.+slice.+state.+changed )|(ment ac)|(multiple cpu faults)|(system.+state.+changed )|(\[timeout)|(PRM\|1\|D)|(kpr)|(kdp)|(\|lc)|(penalty))" /e /r /s</v>
      </c>
      <c r="AG149" s="1" t="str">
        <f t="shared" si="61"/>
        <v>EC</v>
      </c>
      <c r="AH149" s="92" t="str">
        <f t="shared" si="62"/>
        <v>"%USERPROFILE%\Documents\GitHub\eaglep3\Utilities\RefineRTDCRunTimes.py" --tripid 237-14 --locoid 4040 --swversion DE.1.0.8.0 --startMP 204:491 --initTime 2016-12-14T22:41:02 --startdatetime 2016-12-14T23:00:50 --delay 1 --endMP 204:233298 --enddatetime 2016-12-14T23:34:44 --enforcementcount 0 &gt;&gt;C:\Users\stu\Documents\GitHub\eaglep3-reporting\EC\2016-12-14-refined-times.txt</v>
      </c>
      <c r="AI149" s="119" t="str">
        <f t="shared" si="63"/>
        <v>echo {"issue":{"subject":"","project_id":79,"tracker_id":40,"status_id":1,"priority_id":2,"assigned_to_id":23,"start_date":"2016-12-14","description":"","custom_fields":[{"id":1,"name":"Subdivision","value":"EC"},{"id":4,"name":"Milepost","value":"23.3298"},{"id":17,"name":"Train ID","value":"237-14"},{"id":16,"name":"Locomotive ID","value":"4040"},{"id":130,"name":"Impact","value":""},{"id":150,"name":"Time of Event (Mountain Time)","value":"23:34:44"},{"id":151,"name":"Denver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672</v>
      </c>
      <c r="B150" s="7">
        <v>4039</v>
      </c>
      <c r="C150" s="22" t="s">
        <v>207</v>
      </c>
      <c r="D150" s="22" t="s">
        <v>295</v>
      </c>
      <c r="E150" s="13">
        <v>42718.994328703702</v>
      </c>
      <c r="F150" s="13">
        <v>42718.997708333336</v>
      </c>
      <c r="G150" s="7">
        <v>1</v>
      </c>
      <c r="H150" s="22" t="s">
        <v>748</v>
      </c>
      <c r="I150" s="13">
        <v>42719.024513888886</v>
      </c>
      <c r="J150" s="7">
        <v>0</v>
      </c>
      <c r="K150" s="109" t="str">
        <f t="shared" si="50"/>
        <v>4039/4040</v>
      </c>
      <c r="L150" s="22" t="str">
        <f>VLOOKUP(A150,'Trips&amp;Operators'!$C$1:$G$99999,5,FALSE)</f>
        <v>STAMBAUGH JAMES</v>
      </c>
      <c r="M150" s="6">
        <f t="shared" si="51"/>
        <v>2.6805555549799465E-2</v>
      </c>
      <c r="N150" s="7">
        <f t="shared" si="52"/>
        <v>38.599999991711229</v>
      </c>
      <c r="O150" s="7"/>
      <c r="P150" s="7"/>
      <c r="Q150" s="23"/>
      <c r="R150" s="23"/>
      <c r="S150" s="35">
        <f t="shared" si="53"/>
        <v>1</v>
      </c>
      <c r="T150" s="50" t="str">
        <f t="shared" si="54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22:51:50-700',mode:absolute,to:'2016-12-15 01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0" s="52" t="str">
        <f t="shared" si="56"/>
        <v>N</v>
      </c>
      <c r="X150" s="177">
        <f t="shared" si="64"/>
        <v>1</v>
      </c>
      <c r="Y150" s="67">
        <f t="shared" si="47"/>
        <v>23.298300000000001</v>
      </c>
      <c r="Z150" s="67">
        <f t="shared" si="48"/>
        <v>2.0899999999999998E-2</v>
      </c>
      <c r="AA150" s="67">
        <f t="shared" si="57"/>
        <v>23.2774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 t="shared" si="58"/>
        <v>0238-14</v>
      </c>
      <c r="AE150" s="91" t="str">
        <f t="shared" si="59"/>
        <v>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 &amp; aws s3 cp s3://rtdc.mdm.uploadarchive.raw/RTDC4039/ "%USERPROFILE%\AppData\Local\Temp\OnboardLogs"\RTDC4039\2016-12-15 --exclude "*" --recursive --include "*20161215*" &amp; "%USERPROFILE%\Documents\GitHub\mrs-test-scripts\Headless Mode &amp; Sideloading\WalkAndUnGZ.bat" "%USERPROFILE%\AppData\Local\Temp\OnboardLogs"\RTDC4039\2016-12-15</v>
      </c>
      <c r="AF150" s="88" t="str">
        <f t="shared" si="60"/>
        <v>"C:\Program Files (x86)\AstroGrep\AstroGrep.exe" /spath="%USERPROFILE%\AppData\Local\Temp\OnboardLogs" /stypes="app*4039*20161215*" /stext=" 07:.+((SYSTEM_STATE.+slice.+state.+changed )|(ment ac)|(multiple cpu faults)|(system.+state.+changed )|(\[timeout)|(PRM\|1\|D)|(kpr)|(kdp)|(\|lc)|(penalty))" /e /r /s</v>
      </c>
      <c r="AG150" s="1" t="str">
        <f t="shared" si="61"/>
        <v>EC</v>
      </c>
      <c r="AH150" s="92" t="str">
        <f t="shared" si="62"/>
        <v>"%USERPROFILE%\Documents\GitHub\eaglep3\Utilities\RefineRTDCRunTimes.py" --tripid 238-14 --locoid 4039 --swversion DE.1.0.8.0 --startMP 204:232983 --initTime 2016-12-14T23:51:50 --startdatetime 2016-12-14T23:56:42 --delay 1 --endMP 204:209 --enddatetime 2016-12-15T00:35:18 --enforcementcount 0 &gt;&gt;C:\Users\stu\Documents\GitHub\eaglep3-reporting\EC\2016-12-14-refined-times.txt</v>
      </c>
      <c r="AI150" s="119" t="str">
        <f t="shared" si="63"/>
        <v>echo {"issue":{"subject":"","project_id":79,"tracker_id":40,"status_id":1,"priority_id":2,"assigned_to_id":23,"start_date":"2016-12-15","description":"","custom_fields":[{"id":1,"name":"Subdivision","value":"EC"},{"id":4,"name":"Milepost","value":"0.0209"},{"id":17,"name":"Train ID","value":"238-14"},{"id":16,"name":"Locomotive ID","value":"4039"},{"id":130,"name":"Impact","value":""},{"id":150,"name":"Time of Event (Mountain Time)","value":"00:35:18"},{"id":151,"name":"Denver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671</v>
      </c>
      <c r="B151" s="7">
        <v>4014</v>
      </c>
      <c r="C151" s="22" t="s">
        <v>207</v>
      </c>
      <c r="D151" s="22" t="s">
        <v>387</v>
      </c>
      <c r="E151" s="13">
        <v>42718.963530092595</v>
      </c>
      <c r="F151" s="13">
        <v>42718.979328703703</v>
      </c>
      <c r="G151" s="7">
        <v>1</v>
      </c>
      <c r="H151" s="22" t="s">
        <v>731</v>
      </c>
      <c r="I151" s="13">
        <v>42719.003518518519</v>
      </c>
      <c r="J151" s="7">
        <v>0</v>
      </c>
      <c r="K151" s="109" t="str">
        <f t="shared" si="50"/>
        <v>4013/4014</v>
      </c>
      <c r="L151" s="22" t="str">
        <f>VLOOKUP(A151,'Trips&amp;Operators'!$C$1:$G$99999,5,FALSE)</f>
        <v>YANAI IAN</v>
      </c>
      <c r="M151" s="6">
        <f t="shared" si="51"/>
        <v>2.4189814816054422E-2</v>
      </c>
      <c r="N151" s="7">
        <f t="shared" si="52"/>
        <v>34.833333335118368</v>
      </c>
      <c r="O151" s="7"/>
      <c r="P151" s="7"/>
      <c r="Q151" s="23"/>
      <c r="R151" s="23"/>
      <c r="S151" s="35">
        <f t="shared" si="53"/>
        <v>1</v>
      </c>
      <c r="T151" s="50" t="str">
        <f t="shared" si="54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22:07:29-700',mode:absolute,to:'2016-12-15 01:05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1" s="52" t="str">
        <f t="shared" si="56"/>
        <v>N</v>
      </c>
      <c r="X151" s="177">
        <f t="shared" ref="X151:X186" si="65">VALUE(LEFT(AD151,4))-VALUE(LEFT(AD150,4))</f>
        <v>1</v>
      </c>
      <c r="Y151" s="67">
        <f t="shared" si="47"/>
        <v>4.4400000000000002E-2</v>
      </c>
      <c r="Z151" s="67">
        <f t="shared" si="48"/>
        <v>23.3306</v>
      </c>
      <c r="AA151" s="67">
        <f t="shared" si="57"/>
        <v>23.286200000000001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58"/>
        <v>0239-14</v>
      </c>
      <c r="AE151" s="91" t="str">
        <f t="shared" si="59"/>
        <v>aws s3 cp s3://rtdc.mdm.uploadarchive.raw/RTDC4014/ "%USERPROFILE%\AppData\Local\Temp\OnboardLogs"\RTDC4014\2016-12-14 --exclude "*" --recursive --include "*20161214*" &amp; "%USERPROFILE%\Documents\GitHub\mrs-test-scripts\Headless Mode &amp; Sideloading\WalkAndUnGZ.bat" "%USERPROFILE%\AppData\Local\Temp\OnboardLogs"\RTDC4014\2016-12-14 &amp; aws s3 cp s3://rtdc.mdm.uploadarchive.raw/RTDC4014/ "%USERPROFILE%\AppData\Local\Temp\OnboardLogs"\RTDC4014\2016-12-15 --exclude "*" --recursive --include "*20161215*" &amp; "%USERPROFILE%\Documents\GitHub\mrs-test-scripts\Headless Mode &amp; Sideloading\WalkAndUnGZ.bat" "%USERPROFILE%\AppData\Local\Temp\OnboardLogs"\RTDC4014\2016-12-15</v>
      </c>
      <c r="AF151" s="88" t="str">
        <f t="shared" si="60"/>
        <v>"C:\Program Files (x86)\AstroGrep\AstroGrep.exe" /spath="%USERPROFILE%\AppData\Local\Temp\OnboardLogs" /stypes="app*4014*20161215*" /stext=" 07:.+((SYSTEM_STATE.+slice.+state.+changed )|(ment ac)|(multiple cpu faults)|(system.+state.+changed )|(\[timeout)|(PRM\|1\|D)|(kpr)|(kdp)|(\|lc)|(penalty))" /e /r /s</v>
      </c>
      <c r="AG151" s="1" t="str">
        <f t="shared" si="61"/>
        <v>EC</v>
      </c>
      <c r="AH151" s="92" t="str">
        <f t="shared" si="62"/>
        <v>"%USERPROFILE%\Documents\GitHub\eaglep3\Utilities\RefineRTDCRunTimes.py" --tripid 239-14 --locoid 4014 --swversion DE.1.0.8.0 --startMP 204:444 --initTime 2016-12-14T23:07:29 --startdatetime 2016-12-14T23:30:14 --delay 1 --endMP 204:233306 --enddatetime 2016-12-15T00:05:04 --enforcementcount 0 &gt;&gt;C:\Users\stu\Documents\GitHub\eaglep3-reporting\EC\2016-12-14-refined-times.txt</v>
      </c>
      <c r="AI151" s="119" t="str">
        <f t="shared" si="63"/>
        <v>echo {"issue":{"subject":"","project_id":79,"tracker_id":40,"status_id":1,"priority_id":2,"assigned_to_id":23,"start_date":"2016-12-15","description":"","custom_fields":[{"id":1,"name":"Subdivision","value":"EC"},{"id":4,"name":"Milepost","value":"23.3306"},{"id":17,"name":"Train ID","value":"239-14"},{"id":16,"name":"Locomotive ID","value":"4014"},{"id":130,"name":"Impact","value":""},{"id":150,"name":"Time of Event (Mountain Time)","value":"00:05:04"},{"id":151,"name":"Denver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454</v>
      </c>
      <c r="B152" s="7">
        <v>4013</v>
      </c>
      <c r="C152" s="22" t="s">
        <v>207</v>
      </c>
      <c r="D152" s="22" t="s">
        <v>749</v>
      </c>
      <c r="E152" s="13">
        <v>42719.006168981483</v>
      </c>
      <c r="F152" s="13">
        <v>42719.018206018518</v>
      </c>
      <c r="G152" s="7">
        <v>1</v>
      </c>
      <c r="H152" s="22" t="s">
        <v>399</v>
      </c>
      <c r="I152" s="13">
        <v>42719.044178240743</v>
      </c>
      <c r="J152" s="7">
        <v>0</v>
      </c>
      <c r="K152" s="109" t="str">
        <f t="shared" si="50"/>
        <v>4013/4014</v>
      </c>
      <c r="L152" s="22" t="str">
        <f>VLOOKUP(A152,'Trips&amp;Operators'!$C$1:$G$99999,5,FALSE)</f>
        <v>YANAI IAN</v>
      </c>
      <c r="M152" s="6">
        <f t="shared" si="51"/>
        <v>2.5972222225391306E-2</v>
      </c>
      <c r="N152" s="7">
        <f t="shared" si="52"/>
        <v>37.400000004563481</v>
      </c>
      <c r="O152" s="7"/>
      <c r="P152" s="7"/>
      <c r="Q152" s="23"/>
      <c r="R152" s="23"/>
      <c r="S152" s="35">
        <f t="shared" si="53"/>
        <v>1</v>
      </c>
      <c r="T152" s="50" t="str">
        <f t="shared" si="54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23:08:53-700',mode:absolute,to:'2016-12-15 02:03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2" s="52" t="str">
        <f t="shared" si="56"/>
        <v>N</v>
      </c>
      <c r="X152" s="177">
        <f t="shared" si="65"/>
        <v>1</v>
      </c>
      <c r="Y152" s="67">
        <f t="shared" si="47"/>
        <v>23.298100000000002</v>
      </c>
      <c r="Z152" s="67">
        <f t="shared" si="48"/>
        <v>1.9099999999999999E-2</v>
      </c>
      <c r="AA152" s="67">
        <f t="shared" si="57"/>
        <v>23.279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58"/>
        <v>0240-14</v>
      </c>
      <c r="AE152" s="91" t="str">
        <f t="shared" si="59"/>
        <v>aws s3 cp s3://rtdc.mdm.uploadarchive.raw/RTDC4013/ "%USERPROFILE%\AppData\Local\Temp\OnboardLogs"\RTDC4013\2016-12-15 --exclude "*" --recursive --include "*20161215*" &amp; "%USERPROFILE%\Documents\GitHub\mrs-test-scripts\Headless Mode &amp; Sideloading\WalkAndUnGZ.bat" "%USERPROFILE%\AppData\Local\Temp\OnboardLogs"\RTDC4013\2016-12-15 &amp; aws s3 cp s3://rtdc.mdm.uploadarchive.raw/RTDC4013/ "%USERPROFILE%\AppData\Local\Temp\OnboardLogs"\RTDC4013\2016-12-16 --exclude "*" --recursive --include "*20161216*" &amp; "%USERPROFILE%\Documents\GitHub\mrs-test-scripts\Headless Mode &amp; Sideloading\WalkAndUnGZ.bat" "%USERPROFILE%\AppData\Local\Temp\OnboardLogs"\RTDC4013\2016-12-16</v>
      </c>
      <c r="AF152" s="88" t="str">
        <f t="shared" si="60"/>
        <v>"C:\Program Files (x86)\AstroGrep\AstroGrep.exe" /spath="%USERPROFILE%\AppData\Local\Temp\OnboardLogs" /stypes="app*4013*20161215*" /stext=" 08:.+((SYSTEM_STATE.+slice.+state.+changed )|(ment ac)|(multiple cpu faults)|(system.+state.+changed )|(\[timeout)|(PRM\|1\|D)|(kpr)|(kdp)|(\|lc)|(penalty))" /e /r /s</v>
      </c>
      <c r="AG152" s="1" t="str">
        <f t="shared" si="61"/>
        <v>EC</v>
      </c>
      <c r="AH152" s="92" t="str">
        <f t="shared" si="62"/>
        <v>"%USERPROFILE%\Documents\GitHub\eaglep3\Utilities\RefineRTDCRunTimes.py" --tripid 240-14 --locoid 4013 --swversion DE.1.0.8.0 --startMP 204:232981 --initTime 2016-12-15T00:08:53 --startdatetime 2016-12-15T00:26:13 --delay 1 --endMP 204:191 --enddatetime 2016-12-15T01:03:37 --enforcementcount 0 &gt;&gt;C:\Users\stu\Documents\GitHub\eaglep3-reporting\EC\2016-12-14-refined-times.txt</v>
      </c>
      <c r="AI152" s="119" t="str">
        <f t="shared" si="63"/>
        <v>echo {"issue":{"subject":"","project_id":79,"tracker_id":40,"status_id":1,"priority_id":2,"assigned_to_id":23,"start_date":"2016-12-15","description":"","custom_fields":[{"id":1,"name":"Subdivision","value":"EC"},{"id":4,"name":"Milepost","value":"0.0191"},{"id":17,"name":"Train ID","value":"240-14"},{"id":16,"name":"Locomotive ID","value":"4013"},{"id":130,"name":"Impact","value":""},{"id":150,"name":"Time of Event (Mountain Time)","value":"01:03:37"},{"id":151,"name":"Denver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850</v>
      </c>
      <c r="B153" s="7"/>
      <c r="C153" s="22" t="s">
        <v>207</v>
      </c>
      <c r="D153" s="22" t="s">
        <v>749</v>
      </c>
      <c r="E153" s="13">
        <v>42719.006168981483</v>
      </c>
      <c r="F153" s="13"/>
      <c r="G153" s="7">
        <v>1</v>
      </c>
      <c r="H153" s="22" t="s">
        <v>399</v>
      </c>
      <c r="I153" s="13"/>
      <c r="J153" s="7">
        <v>0</v>
      </c>
      <c r="K153" s="109" t="str">
        <f t="shared" si="50"/>
        <v>-1/</v>
      </c>
      <c r="L153" s="22" t="e">
        <f>VLOOKUP(A153,'Trips&amp;Operators'!$C$1:$G$99999,5,FALSE)</f>
        <v>#N/A</v>
      </c>
      <c r="M153" s="6">
        <f t="shared" si="51"/>
        <v>0</v>
      </c>
      <c r="N153" s="7"/>
      <c r="O153" s="7"/>
      <c r="P153" s="7">
        <v>1</v>
      </c>
      <c r="Q153" s="23"/>
      <c r="R153" s="23" t="s">
        <v>851</v>
      </c>
      <c r="S153" s="35">
        <f t="shared" si="53"/>
        <v>0</v>
      </c>
      <c r="T153" s="50" t="str">
        <f t="shared" si="54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0</v>
      </c>
      <c r="V15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23:08:53-700',mode:absolute,to:'1900-01-00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53" s="52" t="str">
        <f t="shared" si="56"/>
        <v>N</v>
      </c>
      <c r="X153" s="177">
        <f t="shared" si="65"/>
        <v>1</v>
      </c>
      <c r="Y153" s="67">
        <f t="shared" si="47"/>
        <v>23.298100000000002</v>
      </c>
      <c r="Z153" s="67">
        <f t="shared" si="48"/>
        <v>1.9099999999999999E-2</v>
      </c>
      <c r="AA153" s="67">
        <f t="shared" si="57"/>
        <v>23.279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 t="shared" si="58"/>
        <v>0241-14</v>
      </c>
      <c r="AE153" s="91" t="str">
        <f t="shared" si="59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3" s="88" t="str">
        <f t="shared" si="60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3" s="1" t="str">
        <f t="shared" si="61"/>
        <v>EC</v>
      </c>
      <c r="AH153" s="92" t="str">
        <f t="shared" ref="AH153" si="66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241-14 --locoid  --swversion DE.1.0.8.0 --startMP 204:232981 --initTime 2016-12-15T00:08:53 --startdatetime 1900-01-00T00:00:00 --delay 1 --endMP 204:191 --enddatetime 1900-01-00T00:00:00 --enforcementcount 0 &gt;&gt;C:\Users\stu\Documents\GitHub\eaglep3-reporting\EC\2016-12-14-refined-times.txt</v>
      </c>
      <c r="AI153" s="119" t="str">
        <f t="shared" ref="AI153" si="67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init","project_id":79,"tracker_id":40,"status_id":1,"priority_id":2,"assigned_to_id":23,"start_date":"1900-01-00","description":"","custom_fields":[{"id":1,"name":"Subdivision","value":"EC"},{"id":4,"name":"Milepost","value":"0.0191"},{"id":17,"name":"Train ID","value":"241-14"},{"id":16,"name":"Locomotive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s="21" customFormat="1" x14ac:dyDescent="0.25">
      <c r="A154" s="37" t="s">
        <v>455</v>
      </c>
      <c r="B154" s="7">
        <v>4045</v>
      </c>
      <c r="C154" s="22" t="s">
        <v>207</v>
      </c>
      <c r="D154" s="22" t="s">
        <v>294</v>
      </c>
      <c r="E154" s="13">
        <v>42719.032997685186</v>
      </c>
      <c r="F154" s="13">
        <v>42719.039143518516</v>
      </c>
      <c r="G154" s="7">
        <v>1</v>
      </c>
      <c r="H154" s="22" t="s">
        <v>192</v>
      </c>
      <c r="I154" s="13">
        <v>42719.06653935185</v>
      </c>
      <c r="J154" s="7">
        <v>0</v>
      </c>
      <c r="K154" s="109" t="str">
        <f t="shared" si="50"/>
        <v>4045/4046</v>
      </c>
      <c r="L154" s="22" t="str">
        <f>VLOOKUP(A154,'Trips&amp;Operators'!$C$1:$G$99999,5,FALSE)</f>
        <v>LEVIN SCOTT</v>
      </c>
      <c r="M154" s="6">
        <f t="shared" si="51"/>
        <v>2.7395833334594499E-2</v>
      </c>
      <c r="N154" s="7">
        <f t="shared" ref="N154:N185" si="68">24*60*SUM($M154:$M154)</f>
        <v>39.450000001816079</v>
      </c>
      <c r="O154" s="7"/>
      <c r="P154" s="7"/>
      <c r="Q154" s="23"/>
      <c r="R154" s="23"/>
      <c r="S154" s="35">
        <f t="shared" si="53"/>
        <v>1</v>
      </c>
      <c r="T154" s="50" t="str">
        <f t="shared" si="54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23:47:31-700',mode:absolute,to:'2016-12-15 02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4" s="52" t="str">
        <f t="shared" si="56"/>
        <v>N</v>
      </c>
      <c r="X154" s="177">
        <f t="shared" si="65"/>
        <v>1</v>
      </c>
      <c r="Y154" s="67">
        <f t="shared" si="47"/>
        <v>23.299600000000002</v>
      </c>
      <c r="Z154" s="67">
        <f t="shared" si="48"/>
        <v>1.49E-2</v>
      </c>
      <c r="AA154" s="67">
        <f t="shared" si="57"/>
        <v>23.284700000000001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si="58"/>
        <v>0242-14</v>
      </c>
      <c r="AE154" s="91" t="str">
        <f t="shared" si="59"/>
        <v>aws s3 cp s3://rtdc.mdm.uploadarchive.raw/RTDC4045/ "%USERPROFILE%\AppData\Local\Temp\OnboardLogs"\RTDC4045\2016-12-15 --exclude "*" --recursive --include "*20161215*" &amp; "%USERPROFILE%\Documents\GitHub\mrs-test-scripts\Headless Mode &amp; Sideloading\WalkAndUnGZ.bat" "%USERPROFILE%\AppData\Local\Temp\OnboardLogs"\RTDC4045\2016-12-15 &amp; aws s3 cp s3://rtdc.mdm.uploadarchive.raw/RTDC4045/ "%USERPROFILE%\AppData\Local\Temp\OnboardLogs"\RTDC4045\2016-12-16 --exclude "*" --recursive --include "*20161216*" &amp; "%USERPROFILE%\Documents\GitHub\mrs-test-scripts\Headless Mode &amp; Sideloading\WalkAndUnGZ.bat" "%USERPROFILE%\AppData\Local\Temp\OnboardLogs"\RTDC4045\2016-12-16</v>
      </c>
      <c r="AF154" s="88" t="str">
        <f t="shared" si="60"/>
        <v>"C:\Program Files (x86)\AstroGrep\AstroGrep.exe" /spath="%USERPROFILE%\AppData\Local\Temp\OnboardLogs" /stypes="app*4045*20161215*" /stext=" 08:.+((SYSTEM_STATE.+slice.+state.+changed )|(ment ac)|(multiple cpu faults)|(system.+state.+changed )|(\[timeout)|(PRM\|1\|D)|(kpr)|(kdp)|(\|lc)|(penalty))" /e /r /s</v>
      </c>
      <c r="AG154" s="1" t="str">
        <f t="shared" si="61"/>
        <v>EC</v>
      </c>
      <c r="AH154" s="92" t="str">
        <f t="shared" si="62"/>
        <v>"%USERPROFILE%\Documents\GitHub\eaglep3\Utilities\RefineRTDCRunTimes.py" --tripid 242-14 --locoid 4045 --swversion DE.1.0.8.0 --startMP 204:232996 --initTime 2016-12-15T00:47:31 --startdatetime 2016-12-15T00:56:22 --delay 1 --endMP 204:149 --enddatetime 2016-12-15T01:35:49 --enforcementcount 0 &gt;&gt;C:\Users\stu\Documents\GitHub\eaglep3-reporting\EC\2016-12-14-refined-times.txt</v>
      </c>
      <c r="AI154" s="119" t="str">
        <f t="shared" si="63"/>
        <v>echo {"issue":{"subject":"","project_id":79,"tracker_id":40,"status_id":1,"priority_id":2,"assigned_to_id":23,"start_date":"2016-12-15","description":"","custom_fields":[{"id":1,"name":"Subdivision","value":"EC"},{"id":4,"name":"Milepost","value":"0.0149"},{"id":17,"name":"Train ID","value":"242-14"},{"id":16,"name":"Locomotive ID","value":"4045"},{"id":130,"name":"Impact","value":""},{"id":150,"name":"Time of Event (Mountain Time)","value":"01:35:49"},{"id":151,"name":"Denver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673</v>
      </c>
      <c r="B155" s="7">
        <v>4044</v>
      </c>
      <c r="C155" s="22" t="s">
        <v>207</v>
      </c>
      <c r="D155" s="22" t="s">
        <v>195</v>
      </c>
      <c r="E155" s="13">
        <v>42719.009085648147</v>
      </c>
      <c r="F155" s="13">
        <v>42719.02103009259</v>
      </c>
      <c r="G155" s="7">
        <v>2</v>
      </c>
      <c r="H155" s="22" t="s">
        <v>319</v>
      </c>
      <c r="I155" s="13">
        <v>42719.045740740738</v>
      </c>
      <c r="J155" s="7">
        <v>0</v>
      </c>
      <c r="K155" s="109" t="str">
        <f t="shared" si="50"/>
        <v>4043/4044</v>
      </c>
      <c r="L155" s="22" t="str">
        <f>VLOOKUP(A155,'Trips&amp;Operators'!$C$1:$G$99999,5,FALSE)</f>
        <v>PERKINS DARREN</v>
      </c>
      <c r="M155" s="6">
        <f t="shared" si="51"/>
        <v>2.47106481474475E-2</v>
      </c>
      <c r="N155" s="7">
        <f t="shared" si="68"/>
        <v>35.583333332324401</v>
      </c>
      <c r="O155" s="7"/>
      <c r="P155" s="7"/>
      <c r="Q155" s="23"/>
      <c r="R155" s="23"/>
      <c r="S155" s="35">
        <f t="shared" si="53"/>
        <v>1</v>
      </c>
      <c r="T155" s="50" t="str">
        <f t="shared" si="54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23:13:05-700',mode:absolute,to:'2016-12-15 02:05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5" s="52" t="str">
        <f t="shared" si="56"/>
        <v>N</v>
      </c>
      <c r="X155" s="177">
        <f t="shared" si="65"/>
        <v>1</v>
      </c>
      <c r="Y155" s="67">
        <f t="shared" si="47"/>
        <v>4.5100000000000001E-2</v>
      </c>
      <c r="Z155" s="67">
        <f t="shared" si="48"/>
        <v>23.331399999999999</v>
      </c>
      <c r="AA155" s="67">
        <f t="shared" si="57"/>
        <v>23.286299999999997</v>
      </c>
      <c r="AB155" s="64" t="e">
        <f>VLOOKUP(A155,Enforcements!$C$7:$K$19,8,0)</f>
        <v>#N/A</v>
      </c>
      <c r="AC155" s="60" t="e">
        <f>VLOOKUP(A155,Enforcements!$C$7:$E$19,3,0)</f>
        <v>#N/A</v>
      </c>
      <c r="AD155" s="61" t="str">
        <f t="shared" si="58"/>
        <v>0243-14</v>
      </c>
      <c r="AE155" s="91" t="str">
        <f t="shared" si="59"/>
        <v>aws s3 cp s3://rtdc.mdm.uploadarchive.raw/RTDC4044/ "%USERPROFILE%\AppData\Local\Temp\OnboardLogs"\RTDC4044\2016-12-15 --exclude "*" --recursive --include "*20161215*" &amp; "%USERPROFILE%\Documents\GitHub\mrs-test-scripts\Headless Mode &amp; Sideloading\WalkAndUnGZ.bat" "%USERPROFILE%\AppData\Local\Temp\OnboardLogs"\RTDC4044\2016-12-15 &amp; aws s3 cp s3://rtdc.mdm.uploadarchive.raw/RTDC4044/ "%USERPROFILE%\AppData\Local\Temp\OnboardLogs"\RTDC4044\2016-12-16 --exclude "*" --recursive --include "*20161216*" &amp; "%USERPROFILE%\Documents\GitHub\mrs-test-scripts\Headless Mode &amp; Sideloading\WalkAndUnGZ.bat" "%USERPROFILE%\AppData\Local\Temp\OnboardLogs"\RTDC4044\2016-12-16</v>
      </c>
      <c r="AF155" s="88" t="str">
        <f t="shared" si="60"/>
        <v>"C:\Program Files (x86)\AstroGrep\AstroGrep.exe" /spath="%USERPROFILE%\AppData\Local\Temp\OnboardLogs" /stypes="app*4044*20161215*" /stext=" 08:.+((SYSTEM_STATE.+slice.+state.+changed )|(ment ac)|(multiple cpu faults)|(system.+state.+changed )|(\[timeout)|(PRM\|1\|D)|(kpr)|(kdp)|(\|lc)|(penalty))" /e /r /s</v>
      </c>
      <c r="AG155" s="1" t="str">
        <f t="shared" si="61"/>
        <v>EC</v>
      </c>
      <c r="AH155" s="92" t="str">
        <f t="shared" si="62"/>
        <v>"%USERPROFILE%\Documents\GitHub\eaglep3\Utilities\RefineRTDCRunTimes.py" --tripid 243-14 --locoid 4044 --swversion DE.1.0.8.0 --startMP 204:451 --initTime 2016-12-15T00:13:05 --startdatetime 2016-12-15T00:30:17 --delay 2 --endMP 204:233314 --enddatetime 2016-12-15T01:05:52 --enforcementcount 0 &gt;&gt;C:\Users\stu\Documents\GitHub\eaglep3-reporting\EC\2016-12-14-refined-times.txt</v>
      </c>
      <c r="AI155" s="119" t="str">
        <f t="shared" si="63"/>
        <v>echo {"issue":{"subject":"","project_id":79,"tracker_id":40,"status_id":1,"priority_id":2,"assigned_to_id":23,"start_date":"2016-12-15","description":"","custom_fields":[{"id":1,"name":"Subdivision","value":"EC"},{"id":4,"name":"Milepost","value":"23.3314"},{"id":17,"name":"Train ID","value":"243-14"},{"id":16,"name":"Locomotive ID","value":"4044"},{"id":130,"name":"Impact","value":""},{"id":150,"name":"Time of Event (Mountain Time)","value":"01:05:52"},{"id":151,"name":"Denver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676</v>
      </c>
      <c r="B156" s="7">
        <v>4043</v>
      </c>
      <c r="C156" s="22" t="s">
        <v>207</v>
      </c>
      <c r="D156" s="22" t="s">
        <v>703</v>
      </c>
      <c r="E156" s="13">
        <v>42719.054039351853</v>
      </c>
      <c r="F156" s="13">
        <v>42719.059907407405</v>
      </c>
      <c r="G156" s="7">
        <v>2</v>
      </c>
      <c r="H156" s="22" t="s">
        <v>299</v>
      </c>
      <c r="I156" s="13">
        <v>42719.089525462965</v>
      </c>
      <c r="J156" s="7">
        <v>0</v>
      </c>
      <c r="K156" s="109" t="str">
        <f t="shared" si="50"/>
        <v>4043/4044</v>
      </c>
      <c r="L156" s="22" t="str">
        <f>VLOOKUP(A156,'Trips&amp;Operators'!$C$1:$G$99999,5,FALSE)</f>
        <v>PERKINS DARREN</v>
      </c>
      <c r="M156" s="6">
        <f t="shared" si="51"/>
        <v>2.9618055559694767E-2</v>
      </c>
      <c r="N156" s="7">
        <f t="shared" si="68"/>
        <v>42.650000005960464</v>
      </c>
      <c r="O156" s="7"/>
      <c r="P156" s="7"/>
      <c r="Q156" s="23"/>
      <c r="R156" s="23"/>
      <c r="S156" s="35">
        <f t="shared" si="53"/>
        <v>1</v>
      </c>
      <c r="T156" s="50" t="str">
        <f t="shared" si="54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https://search-rtdc-monitor-bjffxe2xuh6vdkpspy63sjmuny.us-east-1.es.amazonaws.com/_plugin/kibana/#/discover/Steve-Slow-Train-Analysis-(2080s-and-2083s)?_g=(refreshInterval:(display:Off,section:0,value:0),time:(from:'2016-12-15 00:17:49-700',mode:absolute,to:'2016-12-15 03:08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6" s="52" t="str">
        <f t="shared" si="56"/>
        <v>N</v>
      </c>
      <c r="X156" s="177">
        <f t="shared" si="65"/>
        <v>1</v>
      </c>
      <c r="Y156" s="67">
        <f t="shared" si="47"/>
        <v>23.300799999999999</v>
      </c>
      <c r="Z156" s="67">
        <f t="shared" si="48"/>
        <v>1.61E-2</v>
      </c>
      <c r="AA156" s="67">
        <f t="shared" si="57"/>
        <v>23.284699999999997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58"/>
        <v>0244-14</v>
      </c>
      <c r="AE156" s="91" t="str">
        <f t="shared" si="59"/>
        <v>aws s3 cp s3://rtdc.mdm.uploadarchive.raw/RTDC4043/ "%USERPROFILE%\AppData\Local\Temp\OnboardLogs"\RTDC4043\2016-12-15 --exclude "*" --recursive --include "*20161215*" &amp; "%USERPROFILE%\Documents\GitHub\mrs-test-scripts\Headless Mode &amp; Sideloading\WalkAndUnGZ.bat" "%USERPROFILE%\AppData\Local\Temp\OnboardLogs"\RTDC4043\2016-12-15 &amp; aws s3 cp s3://rtdc.mdm.uploadarchive.raw/RTDC4043/ "%USERPROFILE%\AppData\Local\Temp\OnboardLogs"\RTDC4043\2016-12-16 --exclude "*" --recursive --include "*20161216*" &amp; "%USERPROFILE%\Documents\GitHub\mrs-test-scripts\Headless Mode &amp; Sideloading\WalkAndUnGZ.bat" "%USERPROFILE%\AppData\Local\Temp\OnboardLogs"\RTDC4043\2016-12-16</v>
      </c>
      <c r="AF156" s="88" t="str">
        <f t="shared" si="60"/>
        <v>"C:\Program Files (x86)\AstroGrep\AstroGrep.exe" /spath="%USERPROFILE%\AppData\Local\Temp\OnboardLogs" /stypes="app*4043*20161215*" /stext=" 09:.+((SYSTEM_STATE.+slice.+state.+changed )|(ment ac)|(multiple cpu faults)|(system.+state.+changed )|(\[timeout)|(PRM\|1\|D)|(kpr)|(kdp)|(\|lc)|(penalty))" /e /r /s</v>
      </c>
      <c r="AG156" s="1" t="str">
        <f t="shared" si="61"/>
        <v>EC</v>
      </c>
      <c r="AH156" s="92" t="str">
        <f t="shared" si="62"/>
        <v>"%USERPROFILE%\Documents\GitHub\eaglep3\Utilities\RefineRTDCRunTimes.py" --tripid 244-14 --locoid 4043 --swversion DE.1.0.8.0 --startMP 204:233008 --initTime 2016-12-15T01:17:49 --startdatetime 2016-12-15T01:26:16 --delay 2 --endMP 204:161 --enddatetime 2016-12-15T02:08:55 --enforcementcount 0 &gt;&gt;C:\Users\stu\Documents\GitHub\eaglep3-reporting\EC\2016-12-14-refined-times.txt</v>
      </c>
      <c r="AI156" s="119" t="str">
        <f t="shared" si="63"/>
        <v>echo {"issue":{"subject":"","project_id":79,"tracker_id":40,"status_id":1,"priority_id":2,"assigned_to_id":23,"start_date":"2016-12-15","description":"","custom_fields":[{"id":1,"name":"Subdivision","value":"EC"},{"id":4,"name":"Milepost","value":"0.0161"},{"id":17,"name":"Train ID","value":"244-14"},{"id":16,"name":"Locomotive ID","value":"4043"},{"id":130,"name":"Impact","value":""},{"id":150,"name":"Time of Event (Mountain Time)","value":"02:08:55"},{"id":151,"name":"Denver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7" t="s">
        <v>477</v>
      </c>
      <c r="B157" s="7">
        <v>4017</v>
      </c>
      <c r="C157" s="22" t="s">
        <v>207</v>
      </c>
      <c r="D157" s="22" t="s">
        <v>415</v>
      </c>
      <c r="E157" s="13">
        <v>42718.216423611113</v>
      </c>
      <c r="F157" s="13">
        <v>42718.217997685184</v>
      </c>
      <c r="G157" s="7">
        <v>1</v>
      </c>
      <c r="H157" s="22" t="s">
        <v>768</v>
      </c>
      <c r="I157" s="13">
        <v>42718.227858796294</v>
      </c>
      <c r="J157" s="7">
        <v>0</v>
      </c>
      <c r="K157" s="109" t="str">
        <f t="shared" si="50"/>
        <v>4017/4018</v>
      </c>
      <c r="L157" s="22" t="str">
        <f>VLOOKUP(A157,'Trips&amp;Operators'!$C$1:$G$99999,5,FALSE)</f>
        <v>STARKS ANGELINA</v>
      </c>
      <c r="M157" s="6">
        <f t="shared" si="51"/>
        <v>9.8611111097852699E-3</v>
      </c>
      <c r="N157" s="7">
        <f t="shared" si="68"/>
        <v>14.199999998090789</v>
      </c>
      <c r="O157" s="7"/>
      <c r="P157" s="7"/>
      <c r="Q157" s="23"/>
      <c r="R157" s="23"/>
      <c r="S157" s="35">
        <f t="shared" si="53"/>
        <v>1</v>
      </c>
      <c r="T157" s="50" t="str">
        <f t="shared" si="54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04:11:39-700',mode:absolute,to:'2016-12-14 06:28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7" s="52" t="str">
        <f t="shared" si="56"/>
        <v>N</v>
      </c>
      <c r="X157" s="177">
        <f t="shared" si="65"/>
        <v>556</v>
      </c>
      <c r="Y157" s="67">
        <f t="shared" si="47"/>
        <v>5.8642000000000003</v>
      </c>
      <c r="Z157" s="67">
        <f t="shared" si="48"/>
        <v>6.9099999999999995E-2</v>
      </c>
      <c r="AA157" s="67">
        <f t="shared" si="57"/>
        <v>5.7951000000000006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58"/>
        <v>0800-14</v>
      </c>
      <c r="AE157" s="91" t="str">
        <f t="shared" si="59"/>
        <v>aws s3 cp s3://rtdc.mdm.uploadarchive.raw/RTDC4017/ "%USERPROFILE%\AppData\Local\Temp\OnboardLogs"\RTDC4017\2016-12-14 --exclude "*" --recursive --include "*20161214*" &amp; "%USERPROFILE%\Documents\GitHub\mrs-test-scripts\Headless Mode &amp; Sideloading\WalkAndUnGZ.bat" "%USERPROFILE%\AppData\Local\Temp\OnboardLogs"\RTDC4017\2016-12-14 &amp; aws s3 cp s3://rtdc.mdm.uploadarchive.raw/RTDC4017/ "%USERPROFILE%\AppData\Local\Temp\OnboardLogs"\RTDC4017\2016-12-15 --exclude "*" --recursive --include "*20161215*" &amp; "%USERPROFILE%\Documents\GitHub\mrs-test-scripts\Headless Mode &amp; Sideloading\WalkAndUnGZ.bat" "%USERPROFILE%\AppData\Local\Temp\OnboardLogs"\RTDC4017\2016-12-15</v>
      </c>
      <c r="AF157" s="88" t="str">
        <f t="shared" si="60"/>
        <v>"C:\Program Files (x86)\AstroGrep\AstroGrep.exe" /spath="%USERPROFILE%\AppData\Local\Temp\OnboardLogs" /stypes="app*4017*20161214*" /stext=" 12:.+((SYSTEM_STATE.+slice.+state.+changed )|(ment ac)|(multiple cpu faults)|(system.+state.+changed )|(\[timeout)|(PRM\|1\|D)|(kpr)|(kdp)|(\|lc)|(penalty))" /e /r /s</v>
      </c>
      <c r="AG157" s="1" t="str">
        <f t="shared" si="61"/>
        <v>NW</v>
      </c>
      <c r="AH157" s="92" t="str">
        <f t="shared" si="62"/>
        <v>"%USERPROFILE%\Documents\GitHub\eaglep3\Utilities\RefineRTDCRunTimes.py" --tripid 800-14 --locoid 4017 --swversion DE.1.0.8.0 --startMP 300:58642 --initTime 2016-12-14T05:11:39 --startdatetime 2016-12-14T05:13:55 --delay 1 --endMP 204:691 --enddatetime 2016-12-14T05:28:07 --enforcementcount 0 &gt;&gt;C:\Users\stu\Documents\GitHub\eaglep3-reporting\EC\2016-12-14-refined-times.txt</v>
      </c>
      <c r="AI157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{"issue":{"subject":"","project_id":79,"tracker_id":40,"status_id":1,"priority_id":2,"assigned_to_id":23,"start_date":"2016-12-14","description":"","custom_fields":[{"id":1,"name":"Subdivision","value":"NW"},{"id":4,"name":"Milepost","value":"0.0691"},{"id":17,"name":"Train ID","value":"800-14"},{"id":16,"name":"Locomotive ID","value":"4017"},{"id":130,"name":"Impact","value":""},{"id":150,"name":"Time of Event (Mountain Time)","value":"05:28:07"},{"id":151,"name":"Denver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s="21" customFormat="1" x14ac:dyDescent="0.25">
      <c r="A158" s="37" t="s">
        <v>480</v>
      </c>
      <c r="B158" s="7">
        <v>4018</v>
      </c>
      <c r="C158" s="22" t="s">
        <v>207</v>
      </c>
      <c r="D158" s="22" t="s">
        <v>411</v>
      </c>
      <c r="E158" s="13">
        <v>42718.242164351854</v>
      </c>
      <c r="F158" s="13">
        <v>42718.244039351855</v>
      </c>
      <c r="G158" s="7">
        <v>1</v>
      </c>
      <c r="H158" s="22" t="s">
        <v>769</v>
      </c>
      <c r="I158" s="13">
        <v>42718.254236111112</v>
      </c>
      <c r="J158" s="7">
        <v>0</v>
      </c>
      <c r="K158" s="109" t="str">
        <f t="shared" si="50"/>
        <v>4017/4018</v>
      </c>
      <c r="L158" s="22" t="str">
        <f>VLOOKUP(A158,'Trips&amp;Operators'!$C$1:$G$99999,5,FALSE)</f>
        <v>STARKS ANGELINA</v>
      </c>
      <c r="M158" s="6">
        <f t="shared" si="51"/>
        <v>1.0196759256359655E-2</v>
      </c>
      <c r="N158" s="7">
        <f t="shared" si="68"/>
        <v>14.683333329157904</v>
      </c>
      <c r="O158" s="7"/>
      <c r="P158" s="7"/>
      <c r="Q158" s="23"/>
      <c r="R158" s="23"/>
      <c r="S158" s="35">
        <f t="shared" si="53"/>
        <v>1</v>
      </c>
      <c r="T158" s="50" t="str">
        <f t="shared" si="54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04:48:43-700',mode:absolute,to:'2016-12-14 07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8" s="52" t="str">
        <f t="shared" si="56"/>
        <v>N</v>
      </c>
      <c r="X158" s="177">
        <f t="shared" si="65"/>
        <v>1</v>
      </c>
      <c r="Y158" s="67">
        <f t="shared" si="47"/>
        <v>9.9900000000000003E-2</v>
      </c>
      <c r="Z158" s="67">
        <f t="shared" si="48"/>
        <v>5.8971</v>
      </c>
      <c r="AA158" s="67">
        <f t="shared" si="57"/>
        <v>5.7972000000000001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58"/>
        <v>0801-14</v>
      </c>
      <c r="AE158" s="91" t="str">
        <f t="shared" si="59"/>
        <v>aws s3 cp s3://rtdc.mdm.uploadarchive.raw/RTDC4018/ "%USERPROFILE%\AppData\Local\Temp\OnboardLogs"\RTDC4018\2016-12-14 --exclude "*" --recursive --include "*20161214*" &amp; "%USERPROFILE%\Documents\GitHub\mrs-test-scripts\Headless Mode &amp; Sideloading\WalkAndUnGZ.bat" "%USERPROFILE%\AppData\Local\Temp\OnboardLogs"\RTDC4018\2016-12-14 &amp; aws s3 cp s3://rtdc.mdm.uploadarchive.raw/RTDC4018/ "%USERPROFILE%\AppData\Local\Temp\OnboardLogs"\RTDC4018\2016-12-15 --exclude "*" --recursive --include "*20161215*" &amp; "%USERPROFILE%\Documents\GitHub\mrs-test-scripts\Headless Mode &amp; Sideloading\WalkAndUnGZ.bat" "%USERPROFILE%\AppData\Local\Temp\OnboardLogs"\RTDC4018\2016-12-15</v>
      </c>
      <c r="AF158" s="88" t="str">
        <f t="shared" si="60"/>
        <v>"C:\Program Files (x86)\AstroGrep\AstroGrep.exe" /spath="%USERPROFILE%\AppData\Local\Temp\OnboardLogs" /stypes="app*4018*20161214*" /stext=" 13:.+((SYSTEM_STATE.+slice.+state.+changed )|(ment ac)|(multiple cpu faults)|(system.+state.+changed )|(\[timeout)|(PRM\|1\|D)|(kpr)|(kdp)|(\|lc)|(penalty))" /e /r /s</v>
      </c>
      <c r="AG158" s="1" t="str">
        <f t="shared" si="61"/>
        <v>NW</v>
      </c>
      <c r="AH158" s="92" t="str">
        <f t="shared" si="62"/>
        <v>"%USERPROFILE%\Documents\GitHub\eaglep3\Utilities\RefineRTDCRunTimes.py" --tripid 801-14 --locoid 4018 --swversion DE.1.0.8.0 --startMP 204:999 --initTime 2016-12-14T05:48:43 --startdatetime 2016-12-14T05:51:25 --delay 1 --endMP 300:58971 --enddatetime 2016-12-14T06:06:06 --enforcementcount 0 &gt;&gt;C:\Users\stu\Documents\GitHub\eaglep3-reporting\EC\2016-12-14-refined-times.txt</v>
      </c>
      <c r="AI158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{"issue":{"subject":"","project_id":79,"tracker_id":40,"status_id":1,"priority_id":2,"assigned_to_id":23,"start_date":"2016-12-14","description":"","custom_fields":[{"id":1,"name":"Subdivision","value":"NW"},{"id":4,"name":"Milepost","value":"5.8971"},{"id":17,"name":"Train ID","value":"801-14"},{"id":16,"name":"Locomotive ID","value":"4018"},{"id":130,"name":"Impact","value":""},{"id":150,"name":"Time of Event (Mountain Time)","value":"06:06:06"},{"id":151,"name":"Denver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7" t="s">
        <v>487</v>
      </c>
      <c r="B159" s="7">
        <v>4017</v>
      </c>
      <c r="C159" s="22" t="s">
        <v>207</v>
      </c>
      <c r="D159" s="22" t="s">
        <v>770</v>
      </c>
      <c r="E159" s="13">
        <v>42718.25540509259</v>
      </c>
      <c r="F159" s="13">
        <v>42718.256608796299</v>
      </c>
      <c r="G159" s="7">
        <v>1</v>
      </c>
      <c r="H159" s="22" t="s">
        <v>771</v>
      </c>
      <c r="I159" s="13">
        <v>42718.268518518518</v>
      </c>
      <c r="J159" s="7">
        <v>0</v>
      </c>
      <c r="K159" s="109" t="str">
        <f t="shared" si="50"/>
        <v>4017/4018</v>
      </c>
      <c r="L159" s="22" t="str">
        <f>VLOOKUP(A159,'Trips&amp;Operators'!$C$1:$G$99999,5,FALSE)</f>
        <v>STARKS ANGELINA</v>
      </c>
      <c r="M159" s="6">
        <f t="shared" si="51"/>
        <v>1.190972221957054E-2</v>
      </c>
      <c r="N159" s="7">
        <f t="shared" si="68"/>
        <v>17.149999996181577</v>
      </c>
      <c r="O159" s="7"/>
      <c r="P159" s="7"/>
      <c r="Q159" s="23"/>
      <c r="R159" s="23"/>
      <c r="S159" s="35">
        <f t="shared" si="53"/>
        <v>1</v>
      </c>
      <c r="T159" s="50" t="str">
        <f t="shared" si="54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05:07:47-700',mode:absolute,to:'2016-12-14 07:26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9" s="52" t="str">
        <f t="shared" si="56"/>
        <v>N</v>
      </c>
      <c r="X159" s="177">
        <f t="shared" si="65"/>
        <v>1</v>
      </c>
      <c r="Y159" s="67">
        <f t="shared" si="47"/>
        <v>5.8654999999999999</v>
      </c>
      <c r="Z159" s="67">
        <f t="shared" si="48"/>
        <v>6.4899999999999999E-2</v>
      </c>
      <c r="AA159" s="67">
        <f t="shared" si="57"/>
        <v>5.8006000000000002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58"/>
        <v>0802-14</v>
      </c>
      <c r="AE159" s="91" t="str">
        <f t="shared" si="59"/>
        <v>aws s3 cp s3://rtdc.mdm.uploadarchive.raw/RTDC4017/ "%USERPROFILE%\AppData\Local\Temp\OnboardLogs"\RTDC4017\2016-12-14 --exclude "*" --recursive --include "*20161214*" &amp; "%USERPROFILE%\Documents\GitHub\mrs-test-scripts\Headless Mode &amp; Sideloading\WalkAndUnGZ.bat" "%USERPROFILE%\AppData\Local\Temp\OnboardLogs"\RTDC4017\2016-12-14 &amp; aws s3 cp s3://rtdc.mdm.uploadarchive.raw/RTDC4017/ "%USERPROFILE%\AppData\Local\Temp\OnboardLogs"\RTDC4017\2016-12-15 --exclude "*" --recursive --include "*20161215*" &amp; "%USERPROFILE%\Documents\GitHub\mrs-test-scripts\Headless Mode &amp; Sideloading\WalkAndUnGZ.bat" "%USERPROFILE%\AppData\Local\Temp\OnboardLogs"\RTDC4017\2016-12-15</v>
      </c>
      <c r="AF159" s="88" t="str">
        <f t="shared" si="60"/>
        <v>"C:\Program Files (x86)\AstroGrep\AstroGrep.exe" /spath="%USERPROFILE%\AppData\Local\Temp\OnboardLogs" /stypes="app*4017*20161214*" /stext=" 13:.+((SYSTEM_STATE.+slice.+state.+changed )|(ment ac)|(multiple cpu faults)|(system.+state.+changed )|(\[timeout)|(PRM\|1\|D)|(kpr)|(kdp)|(\|lc)|(penalty))" /e /r /s</v>
      </c>
      <c r="AG159" s="1" t="str">
        <f t="shared" si="61"/>
        <v>NW</v>
      </c>
      <c r="AH159" s="92" t="str">
        <f t="shared" si="62"/>
        <v>"%USERPROFILE%\Documents\GitHub\eaglep3\Utilities\RefineRTDCRunTimes.py" --tripid 802-14 --locoid 4017 --swversion DE.1.0.8.0 --startMP 300:58655 --initTime 2016-12-14T06:07:47 --startdatetime 2016-12-14T06:09:31 --delay 1 --endMP 204:649 --enddatetime 2016-12-14T06:26:40 --enforcementcount 0 &gt;&gt;C:\Users\stu\Documents\GitHub\eaglep3-reporting\EC\2016-12-14-refined-times.txt</v>
      </c>
      <c r="AI159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{"issue":{"subject":"","project_id":79,"tracker_id":40,"status_id":1,"priority_id":2,"assigned_to_id":23,"start_date":"2016-12-14","description":"","custom_fields":[{"id":1,"name":"Subdivision","value":"NW"},{"id":4,"name":"Milepost","value":"0.0649"},{"id":17,"name":"Train ID","value":"802-14"},{"id":16,"name":"Locomotive ID","value":"4017"},{"id":130,"name":"Impact","value":""},{"id":150,"name":"Time of Event (Mountain Time)","value":"06:26:40"},{"id":151,"name":"Denver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s="21" customFormat="1" x14ac:dyDescent="0.25">
      <c r="A160" s="37" t="s">
        <v>488</v>
      </c>
      <c r="B160" s="7">
        <v>4029</v>
      </c>
      <c r="C160" s="22" t="s">
        <v>207</v>
      </c>
      <c r="D160" s="22" t="s">
        <v>411</v>
      </c>
      <c r="E160" s="13">
        <v>42718.257395833331</v>
      </c>
      <c r="F160" s="13">
        <v>42718.264780092592</v>
      </c>
      <c r="G160" s="7">
        <v>1</v>
      </c>
      <c r="H160" s="22" t="s">
        <v>339</v>
      </c>
      <c r="I160" s="13">
        <v>42718.273587962962</v>
      </c>
      <c r="J160" s="7">
        <v>0</v>
      </c>
      <c r="K160" s="109" t="str">
        <f t="shared" si="50"/>
        <v>4029/4030</v>
      </c>
      <c r="L160" s="22" t="str">
        <f>VLOOKUP(A160,'Trips&amp;Operators'!$C$1:$G$99999,5,FALSE)</f>
        <v>GEBRETEKLE DAGNEW</v>
      </c>
      <c r="M160" s="6">
        <f t="shared" si="51"/>
        <v>8.8078703702194616E-3</v>
      </c>
      <c r="N160" s="7">
        <f t="shared" si="68"/>
        <v>12.683333333116025</v>
      </c>
      <c r="O160" s="7"/>
      <c r="P160" s="7"/>
      <c r="Q160" s="23"/>
      <c r="R160" s="23"/>
      <c r="S160" s="35">
        <f t="shared" si="53"/>
        <v>1</v>
      </c>
      <c r="T160" s="50" t="str">
        <f t="shared" si="54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05:10:39-700',mode:absolute,to:'2016-12-14 07:33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0" s="52" t="str">
        <f t="shared" si="56"/>
        <v>N</v>
      </c>
      <c r="X160" s="177">
        <f t="shared" si="65"/>
        <v>1</v>
      </c>
      <c r="Y160" s="67">
        <f t="shared" si="47"/>
        <v>9.9900000000000003E-2</v>
      </c>
      <c r="Z160" s="67">
        <f t="shared" si="48"/>
        <v>5.8935000000000004</v>
      </c>
      <c r="AA160" s="67">
        <f t="shared" si="57"/>
        <v>5.7936000000000005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58"/>
        <v>0803-14</v>
      </c>
      <c r="AE160" s="91" t="str">
        <f t="shared" si="59"/>
        <v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v>
      </c>
      <c r="AF160" s="88" t="str">
        <f t="shared" si="60"/>
        <v>"C:\Program Files (x86)\AstroGrep\AstroGrep.exe" /spath="%USERPROFILE%\AppData\Local\Temp\OnboardLogs" /stypes="app*4029*20161214*" /stext=" 13:.+((SYSTEM_STATE.+slice.+state.+changed )|(ment ac)|(multiple cpu faults)|(system.+state.+changed )|(\[timeout)|(PRM\|1\|D)|(kpr)|(kdp)|(\|lc)|(penalty))" /e /r /s</v>
      </c>
      <c r="AG160" s="1" t="str">
        <f t="shared" si="61"/>
        <v>NW</v>
      </c>
      <c r="AH160" s="92" t="str">
        <f t="shared" si="62"/>
        <v>"%USERPROFILE%\Documents\GitHub\eaglep3\Utilities\RefineRTDCRunTimes.py" --tripid 803-14 --locoid 4029 --swversion DE.1.0.8.0 --startMP 204:999 --initTime 2016-12-14T06:10:39 --startdatetime 2016-12-14T06:21:17 --delay 1 --endMP 300:58935 --enddatetime 2016-12-14T06:33:58 --enforcementcount 0 &gt;&gt;C:\Users\stu\Documents\GitHub\eaglep3-reporting\EC\2016-12-14-refined-times.txt</v>
      </c>
      <c r="AI160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{"issue":{"subject":"","project_id":79,"tracker_id":40,"status_id":1,"priority_id":2,"assigned_to_id":23,"start_date":"2016-12-14","description":"","custom_fields":[{"id":1,"name":"Subdivision","value":"NW"},{"id":4,"name":"Milepost","value":"5.8935"},{"id":17,"name":"Train ID","value":"803-14"},{"id":16,"name":"Locomotive ID","value":"4029"},{"id":130,"name":"Impact","value":""},{"id":150,"name":"Time of Event (Mountain Time)","value":"06:33:58"},{"id":151,"name":"Denver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493</v>
      </c>
      <c r="B161" s="7">
        <v>4030</v>
      </c>
      <c r="C161" s="22" t="s">
        <v>207</v>
      </c>
      <c r="D161" s="22" t="s">
        <v>772</v>
      </c>
      <c r="E161" s="13">
        <v>42718.275254629632</v>
      </c>
      <c r="F161" s="13">
        <v>42718.276747685188</v>
      </c>
      <c r="G161" s="7">
        <v>1</v>
      </c>
      <c r="H161" s="22" t="s">
        <v>412</v>
      </c>
      <c r="I161" s="13">
        <v>42718.288865740738</v>
      </c>
      <c r="J161" s="7">
        <v>0</v>
      </c>
      <c r="K161" s="109" t="str">
        <f t="shared" si="50"/>
        <v>4029/4030</v>
      </c>
      <c r="L161" s="22" t="str">
        <f>VLOOKUP(A161,'Trips&amp;Operators'!$C$1:$G$99999,5,FALSE)</f>
        <v>GEBRETEKLE DAGNEW</v>
      </c>
      <c r="M161" s="6">
        <f t="shared" si="51"/>
        <v>1.211805555067258E-2</v>
      </c>
      <c r="N161" s="7">
        <f t="shared" si="68"/>
        <v>17.449999992968515</v>
      </c>
      <c r="O161" s="7"/>
      <c r="P161" s="7"/>
      <c r="Q161" s="23"/>
      <c r="R161" s="23"/>
      <c r="S161" s="35">
        <f t="shared" si="53"/>
        <v>1</v>
      </c>
      <c r="T161" s="50" t="str">
        <f t="shared" si="54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05:36:22-700',mode:absolute,to:'2016-12-14 07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1" s="52" t="str">
        <f t="shared" si="56"/>
        <v>N</v>
      </c>
      <c r="X161" s="177">
        <f t="shared" si="65"/>
        <v>1</v>
      </c>
      <c r="Y161" s="67">
        <f t="shared" si="47"/>
        <v>5.8677000000000001</v>
      </c>
      <c r="Z161" s="67">
        <f t="shared" si="48"/>
        <v>7.0099999999999996E-2</v>
      </c>
      <c r="AA161" s="67">
        <f t="shared" si="57"/>
        <v>5.7976000000000001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58"/>
        <v>0804-14</v>
      </c>
      <c r="AE161" s="91" t="str">
        <f t="shared" si="59"/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AF161" s="88" t="str">
        <f t="shared" si="60"/>
        <v>"C:\Program Files (x86)\AstroGrep\AstroGrep.exe" /spath="%USERPROFILE%\AppData\Local\Temp\OnboardLogs" /stypes="app*4030*20161214*" /stext=" 13:.+((SYSTEM_STATE.+slice.+state.+changed )|(ment ac)|(multiple cpu faults)|(system.+state.+changed )|(\[timeout)|(PRM\|1\|D)|(kpr)|(kdp)|(\|lc)|(penalty))" /e /r /s</v>
      </c>
      <c r="AG161" s="1" t="str">
        <f t="shared" si="61"/>
        <v>NW</v>
      </c>
      <c r="AH161" s="92" t="str">
        <f t="shared" si="62"/>
        <v>"%USERPROFILE%\Documents\GitHub\eaglep3\Utilities\RefineRTDCRunTimes.py" --tripid 804-14 --locoid 4030 --swversion DE.1.0.8.0 --startMP 300:58677 --initTime 2016-12-14T06:36:22 --startdatetime 2016-12-14T06:38:31 --delay 1 --endMP 204:701 --enddatetime 2016-12-14T06:55:58 --enforcementcount 0 &gt;&gt;C:\Users\stu\Documents\GitHub\eaglep3-reporting\EC\2016-12-14-refined-times.txt</v>
      </c>
      <c r="AI161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{"issue":{"subject":"","project_id":79,"tracker_id":40,"status_id":1,"priority_id":2,"assigned_to_id":23,"start_date":"2016-12-14","description":"","custom_fields":[{"id":1,"name":"Subdivision","value":"NW"},{"id":4,"name":"Milepost","value":"0.0701"},{"id":17,"name":"Train ID","value":"804-14"},{"id":16,"name":"Locomotive ID","value":"4030"},{"id":130,"name":"Impact","value":""},{"id":150,"name":"Time of Event (Mountain Time)","value":"06:55:58"},{"id":151,"name":"Denver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7" t="s">
        <v>495</v>
      </c>
      <c r="B162" s="7">
        <v>4018</v>
      </c>
      <c r="C162" s="22" t="s">
        <v>207</v>
      </c>
      <c r="D162" s="22" t="s">
        <v>773</v>
      </c>
      <c r="E162" s="13">
        <v>42718.279305555552</v>
      </c>
      <c r="F162" s="13">
        <v>42718.28570601852</v>
      </c>
      <c r="G162" s="7">
        <v>2</v>
      </c>
      <c r="H162" s="22" t="s">
        <v>774</v>
      </c>
      <c r="I162" s="13">
        <v>42718.295856481483</v>
      </c>
      <c r="J162" s="7">
        <v>0</v>
      </c>
      <c r="K162" s="109" t="str">
        <f t="shared" si="50"/>
        <v>4017/4018</v>
      </c>
      <c r="L162" s="22" t="str">
        <f>VLOOKUP(A162,'Trips&amp;Operators'!$C$1:$G$99999,5,FALSE)</f>
        <v>MAELZER KURT</v>
      </c>
      <c r="M162" s="6">
        <f t="shared" si="51"/>
        <v>1.0150462963792961E-2</v>
      </c>
      <c r="N162" s="7">
        <f t="shared" si="68"/>
        <v>14.616666667861864</v>
      </c>
      <c r="O162" s="7"/>
      <c r="P162" s="7"/>
      <c r="Q162" s="23"/>
      <c r="R162" s="23"/>
      <c r="S162" s="35">
        <f t="shared" si="53"/>
        <v>1</v>
      </c>
      <c r="T162" s="50" t="str">
        <f t="shared" si="54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05:42:12-700',mode:absolute,to:'2016-12-14 08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2" s="52" t="str">
        <f t="shared" si="56"/>
        <v>N</v>
      </c>
      <c r="X162" s="177">
        <f t="shared" si="65"/>
        <v>1</v>
      </c>
      <c r="Y162" s="67">
        <f t="shared" si="47"/>
        <v>9.5799999999999996E-2</v>
      </c>
      <c r="Z162" s="67">
        <f t="shared" si="48"/>
        <v>5.8948</v>
      </c>
      <c r="AA162" s="67">
        <f t="shared" si="57"/>
        <v>5.7990000000000004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58"/>
        <v>0805-14</v>
      </c>
      <c r="AE162" s="91" t="str">
        <f t="shared" si="59"/>
        <v>aws s3 cp s3://rtdc.mdm.uploadarchive.raw/RTDC4018/ "%USERPROFILE%\AppData\Local\Temp\OnboardLogs"\RTDC4018\2016-12-14 --exclude "*" --recursive --include "*20161214*" &amp; "%USERPROFILE%\Documents\GitHub\mrs-test-scripts\Headless Mode &amp; Sideloading\WalkAndUnGZ.bat" "%USERPROFILE%\AppData\Local\Temp\OnboardLogs"\RTDC4018\2016-12-14 &amp; aws s3 cp s3://rtdc.mdm.uploadarchive.raw/RTDC4018/ "%USERPROFILE%\AppData\Local\Temp\OnboardLogs"\RTDC4018\2016-12-15 --exclude "*" --recursive --include "*20161215*" &amp; "%USERPROFILE%\Documents\GitHub\mrs-test-scripts\Headless Mode &amp; Sideloading\WalkAndUnGZ.bat" "%USERPROFILE%\AppData\Local\Temp\OnboardLogs"\RTDC4018\2016-12-15</v>
      </c>
      <c r="AF162" s="88" t="str">
        <f t="shared" si="60"/>
        <v>"C:\Program Files (x86)\AstroGrep\AstroGrep.exe" /spath="%USERPROFILE%\AppData\Local\Temp\OnboardLogs" /stypes="app*4018*20161214*" /stext=" 14:.+((SYSTEM_STATE.+slice.+state.+changed )|(ment ac)|(multiple cpu faults)|(system.+state.+changed )|(\[timeout)|(PRM\|1\|D)|(kpr)|(kdp)|(\|lc)|(penalty))" /e /r /s</v>
      </c>
      <c r="AG162" s="1" t="str">
        <f t="shared" si="61"/>
        <v>NW</v>
      </c>
      <c r="AH162" s="92" t="str">
        <f t="shared" si="62"/>
        <v>"%USERPROFILE%\Documents\GitHub\eaglep3\Utilities\RefineRTDCRunTimes.py" --tripid 805-14 --locoid 4018 --swversion DE.1.0.8.0 --startMP 204:958 --initTime 2016-12-14T06:42:12 --startdatetime 2016-12-14T06:51:25 --delay 2 --endMP 300:58948 --enddatetime 2016-12-14T07:06:02 --enforcementcount 0 &gt;&gt;C:\Users\stu\Documents\GitHub\eaglep3-reporting\EC\2016-12-14-refined-times.txt</v>
      </c>
      <c r="AI162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{"issue":{"subject":"","project_id":79,"tracker_id":40,"status_id":1,"priority_id":2,"assigned_to_id":23,"start_date":"2016-12-14","description":"","custom_fields":[{"id":1,"name":"Subdivision","value":"NW"},{"id":4,"name":"Milepost","value":"5.8948"},{"id":17,"name":"Train ID","value":"805-14"},{"id":16,"name":"Locomotive ID","value":"4018"},{"id":130,"name":"Impact","value":""},{"id":150,"name":"Time of Event (Mountain Time)","value":"07:06:02"},{"id":151,"name":"Denver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502</v>
      </c>
      <c r="B163" s="7">
        <v>4017</v>
      </c>
      <c r="C163" s="22" t="s">
        <v>207</v>
      </c>
      <c r="D163" s="22" t="s">
        <v>775</v>
      </c>
      <c r="E163" s="13">
        <v>42718.297488425924</v>
      </c>
      <c r="F163" s="13">
        <v>42718.299062500002</v>
      </c>
      <c r="G163" s="7">
        <v>1</v>
      </c>
      <c r="H163" s="22" t="s">
        <v>776</v>
      </c>
      <c r="I163" s="13">
        <v>42718.309942129628</v>
      </c>
      <c r="J163" s="7">
        <v>0</v>
      </c>
      <c r="K163" s="109" t="str">
        <f t="shared" si="50"/>
        <v>4017/4018</v>
      </c>
      <c r="L163" s="22" t="str">
        <f>VLOOKUP(A163,'Trips&amp;Operators'!$C$1:$G$99999,5,FALSE)</f>
        <v>MAELZER KURT</v>
      </c>
      <c r="M163" s="6">
        <f t="shared" si="51"/>
        <v>1.0879629626288079E-2</v>
      </c>
      <c r="N163" s="7">
        <f t="shared" si="68"/>
        <v>15.666666661854833</v>
      </c>
      <c r="O163" s="7"/>
      <c r="P163" s="7"/>
      <c r="Q163" s="23"/>
      <c r="R163" s="23"/>
      <c r="S163" s="35">
        <f t="shared" si="53"/>
        <v>1</v>
      </c>
      <c r="T163" s="50" t="str">
        <f t="shared" si="54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06:08:23-700',mode:absolute,to:'2016-12-14 08:26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3" s="52" t="str">
        <f t="shared" si="56"/>
        <v>N</v>
      </c>
      <c r="X163" s="177">
        <f t="shared" si="65"/>
        <v>1</v>
      </c>
      <c r="Y163" s="67">
        <f t="shared" si="47"/>
        <v>5.8624000000000001</v>
      </c>
      <c r="Z163" s="67">
        <f t="shared" si="48"/>
        <v>7.1199999999999999E-2</v>
      </c>
      <c r="AA163" s="67">
        <f t="shared" si="57"/>
        <v>5.7911999999999999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58"/>
        <v>0806-14</v>
      </c>
      <c r="AE163" s="91" t="str">
        <f t="shared" si="59"/>
        <v>aws s3 cp s3://rtdc.mdm.uploadarchive.raw/RTDC4017/ "%USERPROFILE%\AppData\Local\Temp\OnboardLogs"\RTDC4017\2016-12-14 --exclude "*" --recursive --include "*20161214*" &amp; "%USERPROFILE%\Documents\GitHub\mrs-test-scripts\Headless Mode &amp; Sideloading\WalkAndUnGZ.bat" "%USERPROFILE%\AppData\Local\Temp\OnboardLogs"\RTDC4017\2016-12-14 &amp; aws s3 cp s3://rtdc.mdm.uploadarchive.raw/RTDC4017/ "%USERPROFILE%\AppData\Local\Temp\OnboardLogs"\RTDC4017\2016-12-15 --exclude "*" --recursive --include "*20161215*" &amp; "%USERPROFILE%\Documents\GitHub\mrs-test-scripts\Headless Mode &amp; Sideloading\WalkAndUnGZ.bat" "%USERPROFILE%\AppData\Local\Temp\OnboardLogs"\RTDC4017\2016-12-15</v>
      </c>
      <c r="AF163" s="88" t="str">
        <f t="shared" si="60"/>
        <v>"C:\Program Files (x86)\AstroGrep\AstroGrep.exe" /spath="%USERPROFILE%\AppData\Local\Temp\OnboardLogs" /stypes="app*4017*20161214*" /stext=" 14:.+((SYSTEM_STATE.+slice.+state.+changed )|(ment ac)|(multiple cpu faults)|(system.+state.+changed )|(\[timeout)|(PRM\|1\|D)|(kpr)|(kdp)|(\|lc)|(penalty))" /e /r /s</v>
      </c>
      <c r="AG163" s="1" t="str">
        <f t="shared" si="61"/>
        <v>NW</v>
      </c>
      <c r="AH163" s="92" t="str">
        <f t="shared" si="62"/>
        <v>"%USERPROFILE%\Documents\GitHub\eaglep3\Utilities\RefineRTDCRunTimes.py" --tripid 806-14 --locoid 4017 --swversion DE.1.0.8.0 --startMP 300:58624 --initTime 2016-12-14T07:08:23 --startdatetime 2016-12-14T07:10:39 --delay 1 --endMP 204:712 --enddatetime 2016-12-14T07:26:19 --enforcementcount 0 &gt;&gt;C:\Users\stu\Documents\GitHub\eaglep3-reporting\EC\2016-12-14-refined-times.txt</v>
      </c>
      <c r="AI163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{"issue":{"subject":"","project_id":79,"tracker_id":40,"status_id":1,"priority_id":2,"assigned_to_id":23,"start_date":"2016-12-14","description":"","custom_fields":[{"id":1,"name":"Subdivision","value":"NW"},{"id":4,"name":"Milepost","value":"0.0712"},{"id":17,"name":"Train ID","value":"806-14"},{"id":16,"name":"Locomotive ID","value":"4017"},{"id":130,"name":"Impact","value":""},{"id":150,"name":"Time of Event (Mountain Time)","value":"07:26:19"},{"id":151,"name":"Denver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500</v>
      </c>
      <c r="B164" s="7">
        <v>4029</v>
      </c>
      <c r="C164" s="22" t="s">
        <v>207</v>
      </c>
      <c r="D164" s="22" t="s">
        <v>416</v>
      </c>
      <c r="E164" s="13">
        <v>42718.290833333333</v>
      </c>
      <c r="F164" s="13">
        <v>42718.306446759256</v>
      </c>
      <c r="G164" s="7">
        <v>1</v>
      </c>
      <c r="H164" s="22" t="s">
        <v>777</v>
      </c>
      <c r="I164" s="13">
        <v>42718.31559027778</v>
      </c>
      <c r="J164" s="7">
        <v>0</v>
      </c>
      <c r="K164" s="109" t="str">
        <f t="shared" si="50"/>
        <v>4029/4030</v>
      </c>
      <c r="L164" s="22" t="str">
        <f>VLOOKUP(A164,'Trips&amp;Operators'!$C$1:$G$99999,5,FALSE)</f>
        <v>GEBRETEKLE DAGNEW</v>
      </c>
      <c r="M164" s="6">
        <f t="shared" si="51"/>
        <v>9.1435185240698047E-3</v>
      </c>
      <c r="N164" s="7">
        <f t="shared" si="68"/>
        <v>13.166666674660519</v>
      </c>
      <c r="O164" s="7"/>
      <c r="P164" s="7"/>
      <c r="Q164" s="23"/>
      <c r="R164" s="23"/>
      <c r="S164" s="35">
        <f t="shared" si="53"/>
        <v>1</v>
      </c>
      <c r="T164" s="50" t="str">
        <f t="shared" si="54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05:58:48-700',mode:absolute,to:'2016-12-14 08:34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4" s="52" t="str">
        <f t="shared" si="56"/>
        <v>N</v>
      </c>
      <c r="X164" s="177">
        <f t="shared" si="65"/>
        <v>1</v>
      </c>
      <c r="Y164" s="67">
        <f t="shared" si="47"/>
        <v>9.7799999999999998E-2</v>
      </c>
      <c r="Z164" s="67">
        <f t="shared" si="48"/>
        <v>5.8994999999999997</v>
      </c>
      <c r="AA164" s="67">
        <f t="shared" si="57"/>
        <v>5.8016999999999994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58"/>
        <v>0807-14</v>
      </c>
      <c r="AE164" s="91" t="str">
        <f t="shared" si="59"/>
        <v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v>
      </c>
      <c r="AF164" s="88" t="str">
        <f t="shared" si="60"/>
        <v>"C:\Program Files (x86)\AstroGrep\AstroGrep.exe" /spath="%USERPROFILE%\AppData\Local\Temp\OnboardLogs" /stypes="app*4029*20161214*" /stext=" 14:.+((SYSTEM_STATE.+slice.+state.+changed )|(ment ac)|(multiple cpu faults)|(system.+state.+changed )|(\[timeout)|(PRM\|1\|D)|(kpr)|(kdp)|(\|lc)|(penalty))" /e /r /s</v>
      </c>
      <c r="AG164" s="1" t="str">
        <f t="shared" si="61"/>
        <v>NW</v>
      </c>
      <c r="AH164" s="92" t="str">
        <f t="shared" si="62"/>
        <v>"%USERPROFILE%\Documents\GitHub\eaglep3\Utilities\RefineRTDCRunTimes.py" --tripid 807-14 --locoid 4029 --swversion DE.1.0.8.0 --startMP 204:978 --initTime 2016-12-14T06:58:48 --startdatetime 2016-12-14T07:21:17 --delay 1 --endMP 300:58995 --enddatetime 2016-12-14T07:34:27 --enforcementcount 0 &gt;&gt;C:\Users\stu\Documents\GitHub\eaglep3-reporting\EC\2016-12-14-refined-times.txt</v>
      </c>
      <c r="AI164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{"issue":{"subject":"","project_id":79,"tracker_id":40,"status_id":1,"priority_id":2,"assigned_to_id":23,"start_date":"2016-12-14","description":"","custom_fields":[{"id":1,"name":"Subdivision","value":"NW"},{"id":4,"name":"Milepost","value":"5.8995"},{"id":17,"name":"Train ID","value":"807-14"},{"id":16,"name":"Locomotive ID","value":"4029"},{"id":130,"name":"Impact","value":""},{"id":150,"name":"Time of Event (Mountain Time)","value":"07:34:27"},{"id":151,"name":"Denver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506</v>
      </c>
      <c r="B165" s="7">
        <v>4030</v>
      </c>
      <c r="C165" s="22" t="s">
        <v>207</v>
      </c>
      <c r="D165" s="22" t="s">
        <v>778</v>
      </c>
      <c r="E165" s="13">
        <v>42718.31726851852</v>
      </c>
      <c r="F165" s="13">
        <v>42718.318611111114</v>
      </c>
      <c r="G165" s="7">
        <v>0</v>
      </c>
      <c r="H165" s="22" t="s">
        <v>779</v>
      </c>
      <c r="I165" s="13">
        <v>42718.330104166664</v>
      </c>
      <c r="J165" s="7">
        <v>0</v>
      </c>
      <c r="K165" s="109" t="str">
        <f t="shared" si="50"/>
        <v>4029/4030</v>
      </c>
      <c r="L165" s="22" t="str">
        <f>VLOOKUP(A165,'Trips&amp;Operators'!$C$1:$G$99999,5,FALSE)</f>
        <v>GEBRETEKLE DAGNEW</v>
      </c>
      <c r="M165" s="6">
        <f t="shared" si="51"/>
        <v>1.1493055550090503E-2</v>
      </c>
      <c r="N165" s="7">
        <f t="shared" si="68"/>
        <v>16.549999992130324</v>
      </c>
      <c r="O165" s="7"/>
      <c r="P165" s="7"/>
      <c r="Q165" s="23"/>
      <c r="R165" s="23"/>
      <c r="S165" s="35">
        <f t="shared" si="53"/>
        <v>1</v>
      </c>
      <c r="T165" s="50" t="str">
        <f t="shared" si="54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06:36:52-700',mode:absolute,to:'2016-12-14 08:55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5" s="52" t="str">
        <f t="shared" si="56"/>
        <v>N</v>
      </c>
      <c r="X165" s="177">
        <f t="shared" si="65"/>
        <v>1</v>
      </c>
      <c r="Y165" s="67">
        <f t="shared" si="47"/>
        <v>5.8674999999999997</v>
      </c>
      <c r="Z165" s="67">
        <f t="shared" si="48"/>
        <v>7.0599999999999996E-2</v>
      </c>
      <c r="AA165" s="67">
        <f t="shared" si="57"/>
        <v>5.7968999999999999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58"/>
        <v>0808-14</v>
      </c>
      <c r="AE165" s="91" t="str">
        <f t="shared" si="59"/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AF165" s="88" t="str">
        <f t="shared" si="60"/>
        <v>"C:\Program Files (x86)\AstroGrep\AstroGrep.exe" /spath="%USERPROFILE%\AppData\Local\Temp\OnboardLogs" /stypes="app*4030*20161214*" /stext=" 14:.+((SYSTEM_STATE.+slice.+state.+changed )|(ment ac)|(multiple cpu faults)|(system.+state.+changed )|(\[timeout)|(PRM\|1\|D)|(kpr)|(kdp)|(\|lc)|(penalty))" /e /r /s</v>
      </c>
      <c r="AG165" s="1" t="str">
        <f t="shared" si="61"/>
        <v>NW</v>
      </c>
      <c r="AH165" s="92" t="str">
        <f t="shared" si="62"/>
        <v>"%USERPROFILE%\Documents\GitHub\eaglep3\Utilities\RefineRTDCRunTimes.py" --tripid 808-14 --locoid 4030 --swversion DE.1.0.8.0 --startMP 300:58675 --initTime 2016-12-14T07:36:52 --startdatetime 2016-12-14T07:38:48 --delay 0 --endMP 204:706 --enddatetime 2016-12-14T07:55:21 --enforcementcount 0 &gt;&gt;C:\Users\stu\Documents\GitHub\eaglep3-reporting\EC\2016-12-14-refined-times.txt</v>
      </c>
      <c r="AI165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{"issue":{"subject":"","project_id":79,"tracker_id":40,"status_id":1,"priority_id":2,"assigned_to_id":23,"start_date":"2016-12-14","description":"","custom_fields":[{"id":1,"name":"Subdivision","value":"NW"},{"id":4,"name":"Milepost","value":"0.0706"},{"id":17,"name":"Train ID","value":"808-14"},{"id":16,"name":"Locomotive ID","value":"4030"},{"id":130,"name":"Impact","value":""},{"id":150,"name":"Time of Event (Mountain Time)","value":"07:55:21"},{"id":151,"name":"Denver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7" t="s">
        <v>425</v>
      </c>
      <c r="B166" s="7">
        <v>4018</v>
      </c>
      <c r="C166" s="22" t="s">
        <v>207</v>
      </c>
      <c r="D166" s="22" t="s">
        <v>780</v>
      </c>
      <c r="E166" s="13">
        <v>42718.324282407404</v>
      </c>
      <c r="F166" s="13">
        <v>42718.327407407407</v>
      </c>
      <c r="G166" s="7">
        <v>1</v>
      </c>
      <c r="H166" s="22" t="s">
        <v>338</v>
      </c>
      <c r="I166" s="13">
        <v>42718.337858796294</v>
      </c>
      <c r="J166" s="7">
        <v>0</v>
      </c>
      <c r="K166" s="109" t="str">
        <f t="shared" si="50"/>
        <v>4017/4018</v>
      </c>
      <c r="L166" s="22" t="str">
        <f>VLOOKUP(A166,'Trips&amp;Operators'!$C$1:$G$99999,5,FALSE)</f>
        <v>MAELZER KURT</v>
      </c>
      <c r="M166" s="6">
        <f t="shared" si="51"/>
        <v>1.0451388887304347E-2</v>
      </c>
      <c r="N166" s="7">
        <f t="shared" si="68"/>
        <v>15.04999999771826</v>
      </c>
      <c r="O166" s="7"/>
      <c r="P166" s="7"/>
      <c r="Q166" s="23"/>
      <c r="R166" s="23"/>
      <c r="S166" s="35">
        <f t="shared" si="53"/>
        <v>1</v>
      </c>
      <c r="T166" s="50" t="str">
        <f t="shared" si="54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06:46:58-700',mode:absolute,to:'2016-12-14 09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6" s="52" t="str">
        <f t="shared" si="56"/>
        <v>N</v>
      </c>
      <c r="X166" s="177">
        <f t="shared" si="65"/>
        <v>1</v>
      </c>
      <c r="Y166" s="67">
        <f t="shared" si="47"/>
        <v>0.1004</v>
      </c>
      <c r="Z166" s="67">
        <f t="shared" si="48"/>
        <v>5.8930999999999996</v>
      </c>
      <c r="AA166" s="67">
        <f t="shared" si="57"/>
        <v>5.7927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58"/>
        <v>0809-14</v>
      </c>
      <c r="AE166" s="91" t="str">
        <f t="shared" si="59"/>
        <v>aws s3 cp s3://rtdc.mdm.uploadarchive.raw/RTDC4018/ "%USERPROFILE%\AppData\Local\Temp\OnboardLogs"\RTDC4018\2016-12-14 --exclude "*" --recursive --include "*20161214*" &amp; "%USERPROFILE%\Documents\GitHub\mrs-test-scripts\Headless Mode &amp; Sideloading\WalkAndUnGZ.bat" "%USERPROFILE%\AppData\Local\Temp\OnboardLogs"\RTDC4018\2016-12-14 &amp; aws s3 cp s3://rtdc.mdm.uploadarchive.raw/RTDC4018/ "%USERPROFILE%\AppData\Local\Temp\OnboardLogs"\RTDC4018\2016-12-15 --exclude "*" --recursive --include "*20161215*" &amp; "%USERPROFILE%\Documents\GitHub\mrs-test-scripts\Headless Mode &amp; Sideloading\WalkAndUnGZ.bat" "%USERPROFILE%\AppData\Local\Temp\OnboardLogs"\RTDC4018\2016-12-15</v>
      </c>
      <c r="AF166" s="88" t="str">
        <f t="shared" si="60"/>
        <v>"C:\Program Files (x86)\AstroGrep\AstroGrep.exe" /spath="%USERPROFILE%\AppData\Local\Temp\OnboardLogs" /stypes="app*4018*20161214*" /stext=" 15:.+((SYSTEM_STATE.+slice.+state.+changed )|(ment ac)|(multiple cpu faults)|(system.+state.+changed )|(\[timeout)|(PRM\|1\|D)|(kpr)|(kdp)|(\|lc)|(penalty))" /e /r /s</v>
      </c>
      <c r="AG166" s="1" t="str">
        <f t="shared" si="61"/>
        <v>NW</v>
      </c>
      <c r="AH166" s="92" t="str">
        <f t="shared" si="62"/>
        <v>"%USERPROFILE%\Documents\GitHub\eaglep3\Utilities\RefineRTDCRunTimes.py" --tripid 809-14 --locoid 4018 --swversion DE.1.0.8.0 --startMP 204:1004 --initTime 2016-12-14T07:46:58 --startdatetime 2016-12-14T07:51:28 --delay 1 --endMP 300:58931 --enddatetime 2016-12-14T08:06:31 --enforcementcount 0 &gt;&gt;C:\Users\stu\Documents\GitHub\eaglep3-reporting\EC\2016-12-14-refined-times.txt</v>
      </c>
      <c r="AI166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{"issue":{"subject":"","project_id":79,"tracker_id":40,"status_id":1,"priority_id":2,"assigned_to_id":23,"start_date":"2016-12-14","description":"","custom_fields":[{"id":1,"name":"Subdivision","value":"NW"},{"id":4,"name":"Milepost","value":"5.8931"},{"id":17,"name":"Train ID","value":"809-14"},{"id":16,"name":"Locomotive ID","value":"4018"},{"id":130,"name":"Impact","value":""},{"id":150,"name":"Time of Event (Mountain Time)","value":"08:06:31"},{"id":151,"name":"Denver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</row>
    <row r="167" spans="1:91" s="21" customFormat="1" x14ac:dyDescent="0.25">
      <c r="A167" s="37" t="s">
        <v>513</v>
      </c>
      <c r="B167" s="7">
        <v>4017</v>
      </c>
      <c r="C167" s="22" t="s">
        <v>207</v>
      </c>
      <c r="D167" s="22" t="s">
        <v>285</v>
      </c>
      <c r="E167" s="13">
        <v>42718.339456018519</v>
      </c>
      <c r="F167" s="13">
        <v>42718.340648148151</v>
      </c>
      <c r="G167" s="7">
        <v>0</v>
      </c>
      <c r="H167" s="22" t="s">
        <v>776</v>
      </c>
      <c r="I167" s="13">
        <v>42718.351284722223</v>
      </c>
      <c r="J167" s="7">
        <v>0</v>
      </c>
      <c r="K167" s="109" t="str">
        <f t="shared" si="50"/>
        <v>4017/4018</v>
      </c>
      <c r="L167" s="22" t="str">
        <f>VLOOKUP(A167,'Trips&amp;Operators'!$C$1:$G$99999,5,FALSE)</f>
        <v>MAELZER KURT</v>
      </c>
      <c r="M167" s="6">
        <f t="shared" si="51"/>
        <v>1.063657407212304E-2</v>
      </c>
      <c r="N167" s="7">
        <f t="shared" si="68"/>
        <v>15.316666663857177</v>
      </c>
      <c r="O167" s="7"/>
      <c r="P167" s="7"/>
      <c r="Q167" s="23"/>
      <c r="R167" s="23"/>
      <c r="S167" s="35">
        <f t="shared" si="53"/>
        <v>1</v>
      </c>
      <c r="T167" s="50" t="str">
        <f t="shared" si="54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07:08:49-700',mode:absolute,to:'2016-12-14 09:25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7" s="52" t="str">
        <f t="shared" si="56"/>
        <v>N</v>
      </c>
      <c r="X167" s="177">
        <f t="shared" si="65"/>
        <v>1</v>
      </c>
      <c r="Y167" s="67">
        <f t="shared" ref="Y167:Y198" si="69">RIGHT(D167,LEN(D167)-4)/10000</f>
        <v>5.8623000000000003</v>
      </c>
      <c r="Z167" s="67">
        <f t="shared" ref="Z167:Z198" si="70">RIGHT(H167,LEN(H167)-4)/10000</f>
        <v>7.1199999999999999E-2</v>
      </c>
      <c r="AA167" s="67">
        <f t="shared" si="57"/>
        <v>5.7911000000000001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58"/>
        <v>0810-14</v>
      </c>
      <c r="AE167" s="91" t="str">
        <f t="shared" si="59"/>
        <v>aws s3 cp s3://rtdc.mdm.uploadarchive.raw/RTDC4017/ "%USERPROFILE%\AppData\Local\Temp\OnboardLogs"\RTDC4017\2016-12-14 --exclude "*" --recursive --include "*20161214*" &amp; "%USERPROFILE%\Documents\GitHub\mrs-test-scripts\Headless Mode &amp; Sideloading\WalkAndUnGZ.bat" "%USERPROFILE%\AppData\Local\Temp\OnboardLogs"\RTDC4017\2016-12-14 &amp; aws s3 cp s3://rtdc.mdm.uploadarchive.raw/RTDC4017/ "%USERPROFILE%\AppData\Local\Temp\OnboardLogs"\RTDC4017\2016-12-15 --exclude "*" --recursive --include "*20161215*" &amp; "%USERPROFILE%\Documents\GitHub\mrs-test-scripts\Headless Mode &amp; Sideloading\WalkAndUnGZ.bat" "%USERPROFILE%\AppData\Local\Temp\OnboardLogs"\RTDC4017\2016-12-15</v>
      </c>
      <c r="AF167" s="88" t="str">
        <f t="shared" si="60"/>
        <v>"C:\Program Files (x86)\AstroGrep\AstroGrep.exe" /spath="%USERPROFILE%\AppData\Local\Temp\OnboardLogs" /stypes="app*4017*20161214*" /stext=" 15:.+((SYSTEM_STATE.+slice.+state.+changed )|(ment ac)|(multiple cpu faults)|(system.+state.+changed )|(\[timeout)|(PRM\|1\|D)|(kpr)|(kdp)|(\|lc)|(penalty))" /e /r /s</v>
      </c>
      <c r="AG167" s="1" t="str">
        <f t="shared" si="61"/>
        <v>NW</v>
      </c>
      <c r="AH167" s="92" t="str">
        <f t="shared" si="62"/>
        <v>"%USERPROFILE%\Documents\GitHub\eaglep3\Utilities\RefineRTDCRunTimes.py" --tripid 810-14 --locoid 4017 --swversion DE.1.0.8.0 --startMP 300:58623 --initTime 2016-12-14T08:08:49 --startdatetime 2016-12-14T08:10:32 --delay 0 --endMP 204:712 --enddatetime 2016-12-14T08:25:51 --enforcementcount 0 &gt;&gt;C:\Users\stu\Documents\GitHub\eaglep3-reporting\EC\2016-12-14-refined-times.txt</v>
      </c>
      <c r="AI167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{"issue":{"subject":"","project_id":79,"tracker_id":40,"status_id":1,"priority_id":2,"assigned_to_id":23,"start_date":"2016-12-14","description":"","custom_fields":[{"id":1,"name":"Subdivision","value":"NW"},{"id":4,"name":"Milepost","value":"0.0712"},{"id":17,"name":"Train ID","value":"810-14"},{"id":16,"name":"Locomotive ID","value":"4017"},{"id":130,"name":"Impact","value":""},{"id":150,"name":"Time of Event (Mountain Time)","value":"08:25:51"},{"id":151,"name":"Denver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512</v>
      </c>
      <c r="B168" s="7">
        <v>4029</v>
      </c>
      <c r="C168" s="22" t="s">
        <v>207</v>
      </c>
      <c r="D168" s="22" t="s">
        <v>783</v>
      </c>
      <c r="E168" s="13">
        <v>42718.332754629628</v>
      </c>
      <c r="F168" s="13">
        <v>42718.348101851851</v>
      </c>
      <c r="G168" s="7">
        <v>1</v>
      </c>
      <c r="H168" s="22" t="s">
        <v>777</v>
      </c>
      <c r="I168" s="13">
        <v>42718.357245370367</v>
      </c>
      <c r="J168" s="7">
        <v>0</v>
      </c>
      <c r="K168" s="109" t="str">
        <f t="shared" si="50"/>
        <v>4029/4030</v>
      </c>
      <c r="L168" s="22" t="str">
        <f>VLOOKUP(A168,'Trips&amp;Operators'!$C$1:$G$99999,5,FALSE)</f>
        <v>GEBRETEKLE DAGNEW</v>
      </c>
      <c r="M168" s="6">
        <f t="shared" si="51"/>
        <v>9.1435185167938471E-3</v>
      </c>
      <c r="N168" s="7">
        <f t="shared" si="68"/>
        <v>13.16666666418314</v>
      </c>
      <c r="O168" s="7"/>
      <c r="P168" s="7"/>
      <c r="Q168" s="23"/>
      <c r="R168" s="23"/>
      <c r="S168" s="35">
        <f t="shared" si="53"/>
        <v>1</v>
      </c>
      <c r="T168" s="50" t="str">
        <f t="shared" si="54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06:59:10-700',mode:absolute,to:'2016-12-14 09:34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8" s="52" t="str">
        <f t="shared" si="56"/>
        <v>N</v>
      </c>
      <c r="X168" s="177">
        <f t="shared" si="65"/>
        <v>1</v>
      </c>
      <c r="Y168" s="67">
        <f t="shared" si="69"/>
        <v>9.8799999999999999E-2</v>
      </c>
      <c r="Z168" s="67">
        <f t="shared" si="70"/>
        <v>5.8994999999999997</v>
      </c>
      <c r="AA168" s="67">
        <f t="shared" si="57"/>
        <v>5.8007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58"/>
        <v>0811-14</v>
      </c>
      <c r="AE168" s="91" t="str">
        <f t="shared" si="59"/>
        <v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v>
      </c>
      <c r="AF168" s="88" t="str">
        <f t="shared" si="60"/>
        <v>"C:\Program Files (x86)\AstroGrep\AstroGrep.exe" /spath="%USERPROFILE%\AppData\Local\Temp\OnboardLogs" /stypes="app*4029*20161214*" /stext=" 15:.+((SYSTEM_STATE.+slice.+state.+changed )|(ment ac)|(multiple cpu faults)|(system.+state.+changed )|(\[timeout)|(PRM\|1\|D)|(kpr)|(kdp)|(\|lc)|(penalty))" /e /r /s</v>
      </c>
      <c r="AG168" s="1" t="str">
        <f t="shared" si="61"/>
        <v>NW</v>
      </c>
      <c r="AH168" s="92" t="str">
        <f t="shared" si="62"/>
        <v>"%USERPROFILE%\Documents\GitHub\eaglep3\Utilities\RefineRTDCRunTimes.py" --tripid 811-14 --locoid 4029 --swversion DE.1.0.8.0 --startMP 204:988 --initTime 2016-12-14T07:59:10 --startdatetime 2016-12-14T08:21:16 --delay 1 --endMP 300:58995 --enddatetime 2016-12-14T08:34:26 --enforcementcount 0 &gt;&gt;C:\Users\stu\Documents\GitHub\eaglep3-reporting\EC\2016-12-14-refined-times.txt</v>
      </c>
      <c r="AI168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{"issue":{"subject":"","project_id":79,"tracker_id":40,"status_id":1,"priority_id":2,"assigned_to_id":23,"start_date":"2016-12-14","description":"","custom_fields":[{"id":1,"name":"Subdivision","value":"NW"},{"id":4,"name":"Milepost","value":"5.8995"},{"id":17,"name":"Train ID","value":"811-14"},{"id":16,"name":"Locomotive ID","value":"4029"},{"id":130,"name":"Impact","value":""},{"id":150,"name":"Time of Event (Mountain Time)","value":"08:34:26"},{"id":151,"name":"Denver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518</v>
      </c>
      <c r="B169" s="7">
        <v>4030</v>
      </c>
      <c r="C169" s="22" t="s">
        <v>207</v>
      </c>
      <c r="D169" s="22" t="s">
        <v>784</v>
      </c>
      <c r="E169" s="13">
        <v>42718.359201388892</v>
      </c>
      <c r="F169" s="13">
        <v>42718.361226851855</v>
      </c>
      <c r="G169" s="7">
        <v>1</v>
      </c>
      <c r="H169" s="22" t="s">
        <v>785</v>
      </c>
      <c r="I169" s="13">
        <v>42718.371527777781</v>
      </c>
      <c r="J169" s="7">
        <v>0</v>
      </c>
      <c r="K169" s="109" t="str">
        <f t="shared" si="50"/>
        <v>4029/4030</v>
      </c>
      <c r="L169" s="22" t="str">
        <f>VLOOKUP(A169,'Trips&amp;Operators'!$C$1:$G$99999,5,FALSE)</f>
        <v>GEBRETEKLE DAGNEW</v>
      </c>
      <c r="M169" s="6">
        <f t="shared" si="51"/>
        <v>1.0300925925548654E-2</v>
      </c>
      <c r="N169" s="7">
        <f t="shared" si="68"/>
        <v>14.833333332790062</v>
      </c>
      <c r="O169" s="7"/>
      <c r="P169" s="7"/>
      <c r="Q169" s="23"/>
      <c r="R169" s="23"/>
      <c r="S169" s="35">
        <f t="shared" si="53"/>
        <v>1</v>
      </c>
      <c r="T169" s="50" t="str">
        <f t="shared" si="54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07:37:15-700',mode:absolute,to:'2016-12-14 09:55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9" s="52" t="str">
        <f t="shared" si="56"/>
        <v>N</v>
      </c>
      <c r="X169" s="177">
        <f t="shared" si="65"/>
        <v>1</v>
      </c>
      <c r="Y169" s="67">
        <f t="shared" si="69"/>
        <v>5.8666</v>
      </c>
      <c r="Z169" s="67">
        <f t="shared" si="70"/>
        <v>6.8900000000000003E-2</v>
      </c>
      <c r="AA169" s="67">
        <f t="shared" si="57"/>
        <v>5.7976999999999999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58"/>
        <v>0812-14</v>
      </c>
      <c r="AE169" s="91" t="str">
        <f t="shared" si="59"/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AF169" s="88" t="str">
        <f t="shared" si="60"/>
        <v>"C:\Program Files (x86)\AstroGrep\AstroGrep.exe" /spath="%USERPROFILE%\AppData\Local\Temp\OnboardLogs" /stypes="app*4030*20161214*" /stext=" 15:.+((SYSTEM_STATE.+slice.+state.+changed )|(ment ac)|(multiple cpu faults)|(system.+state.+changed )|(\[timeout)|(PRM\|1\|D)|(kpr)|(kdp)|(\|lc)|(penalty))" /e /r /s</v>
      </c>
      <c r="AG169" s="1" t="str">
        <f t="shared" si="61"/>
        <v>NW</v>
      </c>
      <c r="AH169" s="92" t="str">
        <f t="shared" si="62"/>
        <v>"%USERPROFILE%\Documents\GitHub\eaglep3\Utilities\RefineRTDCRunTimes.py" --tripid 812-14 --locoid 4030 --swversion DE.1.0.8.0 --startMP 300:58666 --initTime 2016-12-14T08:37:15 --startdatetime 2016-12-14T08:40:10 --delay 1 --endMP 204:689 --enddatetime 2016-12-14T08:55:00 --enforcementcount 0 &gt;&gt;C:\Users\stu\Documents\GitHub\eaglep3-reporting\EC\2016-12-14-refined-times.txt</v>
      </c>
      <c r="AI169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{"issue":{"subject":"","project_id":79,"tracker_id":40,"status_id":1,"priority_id":2,"assigned_to_id":23,"start_date":"2016-12-14","description":"","custom_fields":[{"id":1,"name":"Subdivision","value":"NW"},{"id":4,"name":"Milepost","value":"0.0689"},{"id":17,"name":"Train ID","value":"812-14"},{"id":16,"name":"Locomotive ID","value":"4030"},{"id":130,"name":"Impact","value":""},{"id":150,"name":"Time of Event (Mountain Time)","value":"08:55:00"},{"id":151,"name":"Denver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521</v>
      </c>
      <c r="B170" s="7">
        <v>4029</v>
      </c>
      <c r="C170" s="22" t="s">
        <v>207</v>
      </c>
      <c r="D170" s="22" t="s">
        <v>786</v>
      </c>
      <c r="E170" s="13">
        <v>42718.374282407407</v>
      </c>
      <c r="F170" s="13">
        <v>42718.389745370368</v>
      </c>
      <c r="G170" s="7">
        <v>1</v>
      </c>
      <c r="H170" s="22" t="s">
        <v>777</v>
      </c>
      <c r="I170" s="13">
        <v>42718.398923611108</v>
      </c>
      <c r="J170" s="7">
        <v>0</v>
      </c>
      <c r="K170" s="109" t="str">
        <f t="shared" si="50"/>
        <v>4029/4030</v>
      </c>
      <c r="L170" s="22" t="str">
        <f>VLOOKUP(A170,'Trips&amp;Operators'!$C$1:$G$99999,5,FALSE)</f>
        <v>GEBRETEKLE DAGNEW</v>
      </c>
      <c r="M170" s="6">
        <f t="shared" si="51"/>
        <v>9.1782407398568466E-3</v>
      </c>
      <c r="N170" s="7">
        <f t="shared" si="68"/>
        <v>13.216666665393859</v>
      </c>
      <c r="O170" s="7"/>
      <c r="P170" s="7"/>
      <c r="Q170" s="23"/>
      <c r="R170" s="23"/>
      <c r="S170" s="35">
        <f t="shared" si="53"/>
        <v>1</v>
      </c>
      <c r="T170" s="50" t="str">
        <f t="shared" si="54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07:58:58-700',mode:absolute,to:'2016-12-14 10:34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0" s="52" t="str">
        <f t="shared" si="56"/>
        <v>N</v>
      </c>
      <c r="X170" s="177">
        <f t="shared" si="65"/>
        <v>1</v>
      </c>
      <c r="Y170" s="67">
        <f t="shared" si="69"/>
        <v>9.6500000000000002E-2</v>
      </c>
      <c r="Z170" s="67">
        <f t="shared" si="70"/>
        <v>5.8994999999999997</v>
      </c>
      <c r="AA170" s="67">
        <f t="shared" si="57"/>
        <v>5.8029999999999999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58"/>
        <v>0813-14</v>
      </c>
      <c r="AE170" s="91" t="str">
        <f t="shared" si="59"/>
        <v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v>
      </c>
      <c r="AF170" s="88" t="str">
        <f t="shared" si="60"/>
        <v>"C:\Program Files (x86)\AstroGrep\AstroGrep.exe" /spath="%USERPROFILE%\AppData\Local\Temp\OnboardLogs" /stypes="app*4029*20161214*" /stext=" 16:.+((SYSTEM_STATE.+slice.+state.+changed )|(ment ac)|(multiple cpu faults)|(system.+state.+changed )|(\[timeout)|(PRM\|1\|D)|(kpr)|(kdp)|(\|lc)|(penalty))" /e /r /s</v>
      </c>
      <c r="AG170" s="1" t="str">
        <f t="shared" si="61"/>
        <v>NW</v>
      </c>
      <c r="AH170" s="92" t="str">
        <f t="shared" si="62"/>
        <v>"%USERPROFILE%\Documents\GitHub\eaglep3\Utilities\RefineRTDCRunTimes.py" --tripid 813-14 --locoid 4029 --swversion DE.1.0.8.0 --startMP 204:965 --initTime 2016-12-14T08:58:58 --startdatetime 2016-12-14T09:21:14 --delay 1 --endMP 300:58995 --enddatetime 2016-12-14T09:34:27 --enforcementcount 0 &gt;&gt;C:\Users\stu\Documents\GitHub\eaglep3-reporting\EC\2016-12-14-refined-times.txt</v>
      </c>
      <c r="AI170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{"issue":{"subject":"","project_id":79,"tracker_id":40,"status_id":1,"priority_id":2,"assigned_to_id":23,"start_date":"2016-12-14","description":"","custom_fields":[{"id":1,"name":"Subdivision","value":"NW"},{"id":4,"name":"Milepost","value":"5.8995"},{"id":17,"name":"Train ID","value":"813-14"},{"id":16,"name":"Locomotive ID","value":"4029"},{"id":130,"name":"Impact","value":""},{"id":150,"name":"Time of Event (Mountain Time)","value":"09:34:27"},{"id":151,"name":"Denver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525</v>
      </c>
      <c r="B171" s="7">
        <v>4030</v>
      </c>
      <c r="C171" s="22" t="s">
        <v>207</v>
      </c>
      <c r="D171" s="22" t="s">
        <v>787</v>
      </c>
      <c r="E171" s="13">
        <v>42718.401076388887</v>
      </c>
      <c r="F171" s="13">
        <v>42718.402870370373</v>
      </c>
      <c r="G171" s="7">
        <v>1</v>
      </c>
      <c r="H171" s="22" t="s">
        <v>788</v>
      </c>
      <c r="I171" s="13">
        <v>42718.41302083333</v>
      </c>
      <c r="J171" s="7">
        <v>0</v>
      </c>
      <c r="K171" s="109" t="str">
        <f t="shared" si="50"/>
        <v>4029/4030</v>
      </c>
      <c r="L171" s="22" t="str">
        <f>VLOOKUP(A171,'Trips&amp;Operators'!$C$1:$G$99999,5,FALSE)</f>
        <v>GEBRETEKLE DAGNEW</v>
      </c>
      <c r="M171" s="6">
        <f t="shared" si="51"/>
        <v>1.0150462956517003E-2</v>
      </c>
      <c r="N171" s="7">
        <f t="shared" si="68"/>
        <v>14.616666657384485</v>
      </c>
      <c r="O171" s="7"/>
      <c r="P171" s="7"/>
      <c r="Q171" s="23"/>
      <c r="R171" s="23"/>
      <c r="S171" s="35">
        <f t="shared" si="53"/>
        <v>1</v>
      </c>
      <c r="T171" s="50" t="str">
        <f t="shared" si="54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08:37:33-700',mode:absolute,to:'2016-12-14 10:54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1" s="52" t="str">
        <f t="shared" si="56"/>
        <v>N</v>
      </c>
      <c r="X171" s="177">
        <f t="shared" si="65"/>
        <v>1</v>
      </c>
      <c r="Y171" s="67">
        <f t="shared" si="69"/>
        <v>5.8685</v>
      </c>
      <c r="Z171" s="67">
        <f t="shared" si="70"/>
        <v>6.9900000000000004E-2</v>
      </c>
      <c r="AA171" s="67">
        <f t="shared" si="57"/>
        <v>5.7986000000000004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58"/>
        <v>0814-14</v>
      </c>
      <c r="AE171" s="91" t="str">
        <f t="shared" si="59"/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AF171" s="88" t="str">
        <f t="shared" si="60"/>
        <v>"C:\Program Files (x86)\AstroGrep\AstroGrep.exe" /spath="%USERPROFILE%\AppData\Local\Temp\OnboardLogs" /stypes="app*4030*20161214*" /stext=" 16:.+((SYSTEM_STATE.+slice.+state.+changed )|(ment ac)|(multiple cpu faults)|(system.+state.+changed )|(\[timeout)|(PRM\|1\|D)|(kpr)|(kdp)|(\|lc)|(penalty))" /e /r /s</v>
      </c>
      <c r="AG171" s="1" t="str">
        <f t="shared" si="61"/>
        <v>NW</v>
      </c>
      <c r="AH171" s="92" t="str">
        <f t="shared" si="62"/>
        <v>"%USERPROFILE%\Documents\GitHub\eaglep3\Utilities\RefineRTDCRunTimes.py" --tripid 814-14 --locoid 4030 --swversion DE.1.0.8.0 --startMP 300:58685 --initTime 2016-12-14T09:37:33 --startdatetime 2016-12-14T09:40:08 --delay 1 --endMP 204:699 --enddatetime 2016-12-14T09:54:45 --enforcementcount 0 &gt;&gt;C:\Users\stu\Documents\GitHub\eaglep3-reporting\EC\2016-12-14-refined-times.txt</v>
      </c>
      <c r="AI171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{"issue":{"subject":"","project_id":79,"tracker_id":40,"status_id":1,"priority_id":2,"assigned_to_id":23,"start_date":"2016-12-14","description":"","custom_fields":[{"id":1,"name":"Subdivision","value":"NW"},{"id":4,"name":"Milepost","value":"0.0699"},{"id":17,"name":"Train ID","value":"814-14"},{"id":16,"name":"Locomotive ID","value":"4030"},{"id":130,"name":"Impact","value":""},{"id":150,"name":"Time of Event (Mountain Time)","value":"09:54:45"},{"id":151,"name":"Denver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7" t="s">
        <v>431</v>
      </c>
      <c r="B172" s="7">
        <v>4029</v>
      </c>
      <c r="C172" s="22" t="s">
        <v>207</v>
      </c>
      <c r="D172" s="22" t="s">
        <v>416</v>
      </c>
      <c r="E172" s="13">
        <v>42718.428425925929</v>
      </c>
      <c r="F172" s="13">
        <v>42718.431516203702</v>
      </c>
      <c r="G172" s="7">
        <v>1</v>
      </c>
      <c r="H172" s="22" t="s">
        <v>789</v>
      </c>
      <c r="I172" s="13">
        <v>42718.44190972222</v>
      </c>
      <c r="J172" s="7">
        <v>0</v>
      </c>
      <c r="K172" s="109" t="str">
        <f t="shared" si="50"/>
        <v>4029/4030</v>
      </c>
      <c r="L172" s="22" t="str">
        <f>VLOOKUP(A172,'Trips&amp;Operators'!$C$1:$G$99999,5,FALSE)</f>
        <v>MAELZER KURT</v>
      </c>
      <c r="M172" s="6">
        <f t="shared" si="51"/>
        <v>1.0393518517958E-2</v>
      </c>
      <c r="N172" s="7">
        <f t="shared" si="68"/>
        <v>14.96666666585952</v>
      </c>
      <c r="O172" s="7"/>
      <c r="P172" s="7"/>
      <c r="Q172" s="23"/>
      <c r="R172" s="23"/>
      <c r="S172" s="35">
        <f t="shared" si="53"/>
        <v>1</v>
      </c>
      <c r="T172" s="50" t="str">
        <f t="shared" si="54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09:16:56-700',mode:absolute,to:'2016-12-14 11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2" s="52" t="str">
        <f t="shared" si="56"/>
        <v>N</v>
      </c>
      <c r="X172" s="177">
        <f t="shared" si="65"/>
        <v>1</v>
      </c>
      <c r="Y172" s="67">
        <f t="shared" si="69"/>
        <v>9.7799999999999998E-2</v>
      </c>
      <c r="Z172" s="67">
        <f t="shared" si="70"/>
        <v>5.8933</v>
      </c>
      <c r="AA172" s="67">
        <f t="shared" si="57"/>
        <v>5.7954999999999997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58"/>
        <v>0815-14</v>
      </c>
      <c r="AE172" s="91" t="str">
        <f t="shared" si="59"/>
        <v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v>
      </c>
      <c r="AF172" s="88" t="str">
        <f t="shared" si="60"/>
        <v>"C:\Program Files (x86)\AstroGrep\AstroGrep.exe" /spath="%USERPROFILE%\AppData\Local\Temp\OnboardLogs" /stypes="app*4029*20161214*" /stext=" 17:.+((SYSTEM_STATE.+slice.+state.+changed )|(ment ac)|(multiple cpu faults)|(system.+state.+changed )|(\[timeout)|(PRM\|1\|D)|(kpr)|(kdp)|(\|lc)|(penalty))" /e /r /s</v>
      </c>
      <c r="AG172" s="1" t="str">
        <f t="shared" si="61"/>
        <v>NW</v>
      </c>
      <c r="AH172" s="92" t="str">
        <f t="shared" si="62"/>
        <v>"%USERPROFILE%\Documents\GitHub\eaglep3\Utilities\RefineRTDCRunTimes.py" --tripid 815-14 --locoid 4029 --swversion DE.1.0.8.0 --startMP 204:978 --initTime 2016-12-14T10:16:56 --startdatetime 2016-12-14T10:21:23 --delay 1 --endMP 300:58933 --enddatetime 2016-12-14T10:36:21 --enforcementcount 0 &gt;&gt;C:\Users\stu\Documents\GitHub\eaglep3-reporting\EC\2016-12-14-refined-times.txt</v>
      </c>
      <c r="AI172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{"issue":{"subject":"","project_id":79,"tracker_id":40,"status_id":1,"priority_id":2,"assigned_to_id":23,"start_date":"2016-12-14","description":"","custom_fields":[{"id":1,"name":"Subdivision","value":"NW"},{"id":4,"name":"Milepost","value":"5.8933"},{"id":17,"name":"Train ID","value":"815-14"},{"id":16,"name":"Locomotive ID","value":"4029"},{"id":130,"name":"Impact","value":""},{"id":150,"name":"Time of Event (Mountain Time)","value":"10:36:21"},{"id":151,"name":"Denver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533</v>
      </c>
      <c r="B173" s="7">
        <v>4030</v>
      </c>
      <c r="C173" s="22" t="s">
        <v>207</v>
      </c>
      <c r="D173" s="22" t="s">
        <v>340</v>
      </c>
      <c r="E173" s="13">
        <v>42718.443784722222</v>
      </c>
      <c r="F173" s="13">
        <v>42718.445706018516</v>
      </c>
      <c r="G173" s="7">
        <v>1</v>
      </c>
      <c r="H173" s="22" t="s">
        <v>417</v>
      </c>
      <c r="I173" s="13">
        <v>42718.455277777779</v>
      </c>
      <c r="J173" s="7">
        <v>0</v>
      </c>
      <c r="K173" s="109" t="str">
        <f t="shared" si="50"/>
        <v>4029/4030</v>
      </c>
      <c r="L173" s="22" t="str">
        <f>VLOOKUP(A173,'Trips&amp;Operators'!$C$1:$G$99999,5,FALSE)</f>
        <v>MAELZER KURT</v>
      </c>
      <c r="M173" s="6">
        <f t="shared" si="51"/>
        <v>9.5717592630535364E-3</v>
      </c>
      <c r="N173" s="7">
        <f t="shared" si="68"/>
        <v>13.783333338797092</v>
      </c>
      <c r="O173" s="7"/>
      <c r="P173" s="7"/>
      <c r="Q173" s="23"/>
      <c r="R173" s="23"/>
      <c r="S173" s="35">
        <f t="shared" si="53"/>
        <v>1</v>
      </c>
      <c r="T173" s="50" t="str">
        <f t="shared" si="54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09:39:03-700',mode:absolute,to:'2016-12-14 11:55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3" s="52" t="str">
        <f t="shared" si="56"/>
        <v>N</v>
      </c>
      <c r="X173" s="177">
        <f t="shared" si="65"/>
        <v>1</v>
      </c>
      <c r="Y173" s="67">
        <f t="shared" si="69"/>
        <v>5.8613</v>
      </c>
      <c r="Z173" s="67">
        <f t="shared" si="70"/>
        <v>6.8400000000000002E-2</v>
      </c>
      <c r="AA173" s="67">
        <f t="shared" si="57"/>
        <v>5.7929000000000004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58"/>
        <v>0816-14</v>
      </c>
      <c r="AE173" s="91" t="str">
        <f t="shared" si="59"/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AF173" s="88" t="str">
        <f t="shared" si="60"/>
        <v>"C:\Program Files (x86)\AstroGrep\AstroGrep.exe" /spath="%USERPROFILE%\AppData\Local\Temp\OnboardLogs" /stypes="app*4030*20161214*" /stext=" 17:.+((SYSTEM_STATE.+slice.+state.+changed )|(ment ac)|(multiple cpu faults)|(system.+state.+changed )|(\[timeout)|(PRM\|1\|D)|(kpr)|(kdp)|(\|lc)|(penalty))" /e /r /s</v>
      </c>
      <c r="AG173" s="1" t="str">
        <f t="shared" si="61"/>
        <v>NW</v>
      </c>
      <c r="AH173" s="92" t="str">
        <f t="shared" si="62"/>
        <v>"%USERPROFILE%\Documents\GitHub\eaglep3\Utilities\RefineRTDCRunTimes.py" --tripid 816-14 --locoid 4030 --swversion DE.1.0.8.0 --startMP 300:58613 --initTime 2016-12-14T10:39:03 --startdatetime 2016-12-14T10:41:49 --delay 1 --endMP 204:684 --enddatetime 2016-12-14T10:55:36 --enforcementcount 0 &gt;&gt;C:\Users\stu\Documents\GitHub\eaglep3-reporting\EC\2016-12-14-refined-times.txt</v>
      </c>
      <c r="AI173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{"issue":{"subject":"","project_id":79,"tracker_id":40,"status_id":1,"priority_id":2,"assigned_to_id":23,"start_date":"2016-12-14","description":"","custom_fields":[{"id":1,"name":"Subdivision","value":"NW"},{"id":4,"name":"Milepost","value":"0.0684"},{"id":17,"name":"Train ID","value":"816-14"},{"id":16,"name":"Locomotive ID","value":"4030"},{"id":130,"name":"Impact","value":""},{"id":150,"name":"Time of Event (Mountain Time)","value":"10:55:36"},{"id":151,"name":"Denver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536</v>
      </c>
      <c r="B174" s="7">
        <v>4029</v>
      </c>
      <c r="C174" s="22" t="s">
        <v>207</v>
      </c>
      <c r="D174" s="22" t="s">
        <v>790</v>
      </c>
      <c r="E174" s="13">
        <v>42718.459108796298</v>
      </c>
      <c r="F174" s="13">
        <v>42718.473101851851</v>
      </c>
      <c r="G174" s="7">
        <v>1</v>
      </c>
      <c r="H174" s="22" t="s">
        <v>791</v>
      </c>
      <c r="I174" s="13">
        <v>42718.482812499999</v>
      </c>
      <c r="J174" s="7">
        <v>0</v>
      </c>
      <c r="K174" s="109" t="str">
        <f t="shared" si="50"/>
        <v>4029/4030</v>
      </c>
      <c r="L174" s="22" t="str">
        <f>VLOOKUP(A174,'Trips&amp;Operators'!$C$1:$G$99999,5,FALSE)</f>
        <v>GEBRETEKLE DAGNEW</v>
      </c>
      <c r="M174" s="6">
        <f t="shared" si="51"/>
        <v>9.710648148029577E-3</v>
      </c>
      <c r="N174" s="7">
        <f t="shared" si="68"/>
        <v>13.983333333162591</v>
      </c>
      <c r="O174" s="7"/>
      <c r="P174" s="7"/>
      <c r="Q174" s="23"/>
      <c r="R174" s="23"/>
      <c r="S174" s="35">
        <f t="shared" si="53"/>
        <v>1</v>
      </c>
      <c r="T174" s="50" t="str">
        <f t="shared" si="54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10:01:07-700',mode:absolute,to:'2016-12-14 12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4" s="52" t="str">
        <f t="shared" si="56"/>
        <v>N</v>
      </c>
      <c r="X174" s="177">
        <f t="shared" si="65"/>
        <v>1</v>
      </c>
      <c r="Y174" s="67">
        <f t="shared" si="69"/>
        <v>9.69E-2</v>
      </c>
      <c r="Z174" s="67">
        <f t="shared" si="70"/>
        <v>5.8993000000000002</v>
      </c>
      <c r="AA174" s="67">
        <f t="shared" si="57"/>
        <v>5.8024000000000004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58"/>
        <v>0817-14</v>
      </c>
      <c r="AE174" s="91" t="str">
        <f t="shared" si="59"/>
        <v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v>
      </c>
      <c r="AF174" s="88" t="str">
        <f t="shared" si="60"/>
        <v>"C:\Program Files (x86)\AstroGrep\AstroGrep.exe" /spath="%USERPROFILE%\AppData\Local\Temp\OnboardLogs" /stypes="app*4029*20161214*" /stext=" 18:.+((SYSTEM_STATE.+slice.+state.+changed )|(ment ac)|(multiple cpu faults)|(system.+state.+changed )|(\[timeout)|(PRM\|1\|D)|(kpr)|(kdp)|(\|lc)|(penalty))" /e /r /s</v>
      </c>
      <c r="AG174" s="1" t="str">
        <f t="shared" si="61"/>
        <v>NW</v>
      </c>
      <c r="AH174" s="92" t="str">
        <f t="shared" si="62"/>
        <v>"%USERPROFILE%\Documents\GitHub\eaglep3\Utilities\RefineRTDCRunTimes.py" --tripid 817-14 --locoid 4029 --swversion DE.1.0.8.0 --startMP 204:969 --initTime 2016-12-14T11:01:07 --startdatetime 2016-12-14T11:21:16 --delay 1 --endMP 300:58993 --enddatetime 2016-12-14T11:35:15 --enforcementcount 0 &gt;&gt;C:\Users\stu\Documents\GitHub\eaglep3-reporting\EC\2016-12-14-refined-times.txt</v>
      </c>
      <c r="AI174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{"issue":{"subject":"","project_id":79,"tracker_id":40,"status_id":1,"priority_id":2,"assigned_to_id":23,"start_date":"2016-12-14","description":"","custom_fields":[{"id":1,"name":"Subdivision","value":"NW"},{"id":4,"name":"Milepost","value":"5.8993"},{"id":17,"name":"Train ID","value":"817-14"},{"id":16,"name":"Locomotive ID","value":"4029"},{"id":130,"name":"Impact","value":""},{"id":150,"name":"Time of Event (Mountain Time)","value":"11:35:15"},{"id":151,"name":"Denver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547</v>
      </c>
      <c r="B175" s="7">
        <v>4030</v>
      </c>
      <c r="C175" s="22" t="s">
        <v>207</v>
      </c>
      <c r="D175" s="22" t="s">
        <v>787</v>
      </c>
      <c r="E175" s="13">
        <v>42718.484293981484</v>
      </c>
      <c r="F175" s="13">
        <v>42718.486180555556</v>
      </c>
      <c r="G175" s="7">
        <v>1</v>
      </c>
      <c r="H175" s="22" t="s">
        <v>418</v>
      </c>
      <c r="I175" s="13">
        <v>42718.496319444443</v>
      </c>
      <c r="J175" s="7">
        <v>0</v>
      </c>
      <c r="K175" s="109" t="str">
        <f t="shared" si="50"/>
        <v>4029/4030</v>
      </c>
      <c r="L175" s="22" t="str">
        <f>VLOOKUP(A175,'Trips&amp;Operators'!$C$1:$G$99999,5,FALSE)</f>
        <v>GEBRETEKLE DAGNEW</v>
      </c>
      <c r="M175" s="6">
        <f t="shared" si="51"/>
        <v>1.0138888887013309E-2</v>
      </c>
      <c r="N175" s="7">
        <f t="shared" si="68"/>
        <v>14.599999997299165</v>
      </c>
      <c r="O175" s="7"/>
      <c r="P175" s="7"/>
      <c r="Q175" s="23"/>
      <c r="R175" s="23"/>
      <c r="S175" s="35">
        <f t="shared" si="53"/>
        <v>1</v>
      </c>
      <c r="T175" s="50" t="str">
        <f t="shared" si="54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10:37:23-700',mode:absolute,to:'2016-12-14 12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5" s="52" t="str">
        <f t="shared" si="56"/>
        <v>N</v>
      </c>
      <c r="X175" s="177">
        <f t="shared" si="65"/>
        <v>1</v>
      </c>
      <c r="Y175" s="67">
        <f t="shared" si="69"/>
        <v>5.8685</v>
      </c>
      <c r="Z175" s="67">
        <f t="shared" si="70"/>
        <v>6.8199999999999997E-2</v>
      </c>
      <c r="AA175" s="67">
        <f t="shared" si="57"/>
        <v>5.8003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58"/>
        <v>0818-14</v>
      </c>
      <c r="AE175" s="91" t="str">
        <f t="shared" si="59"/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AF175" s="88" t="str">
        <f t="shared" si="60"/>
        <v>"C:\Program Files (x86)\AstroGrep\AstroGrep.exe" /spath="%USERPROFILE%\AppData\Local\Temp\OnboardLogs" /stypes="app*4030*20161214*" /stext=" 18:.+((SYSTEM_STATE.+slice.+state.+changed )|(ment ac)|(multiple cpu faults)|(system.+state.+changed )|(\[timeout)|(PRM\|1\|D)|(kpr)|(kdp)|(\|lc)|(penalty))" /e /r /s</v>
      </c>
      <c r="AG175" s="1" t="str">
        <f t="shared" si="61"/>
        <v>NW</v>
      </c>
      <c r="AH175" s="92" t="str">
        <f t="shared" si="62"/>
        <v>"%USERPROFILE%\Documents\GitHub\eaglep3\Utilities\RefineRTDCRunTimes.py" --tripid 818-14 --locoid 4030 --swversion DE.1.0.8.0 --startMP 300:58685 --initTime 2016-12-14T11:37:23 --startdatetime 2016-12-14T11:40:06 --delay 1 --endMP 204:682 --enddatetime 2016-12-14T11:54:42 --enforcementcount 0 &gt;&gt;C:\Users\stu\Documents\GitHub\eaglep3-reporting\EC\2016-12-14-refined-times.txt</v>
      </c>
      <c r="AI175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{"issue":{"subject":"","project_id":79,"tracker_id":40,"status_id":1,"priority_id":2,"assigned_to_id":23,"start_date":"2016-12-14","description":"","custom_fields":[{"id":1,"name":"Subdivision","value":"NW"},{"id":4,"name":"Milepost","value":"0.0682"},{"id":17,"name":"Train ID","value":"818-14"},{"id":16,"name":"Locomotive ID","value":"4030"},{"id":130,"name":"Impact","value":""},{"id":150,"name":"Time of Event (Mountain Time)","value":"11:54:42"},{"id":151,"name":"Denver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553</v>
      </c>
      <c r="B176" s="7">
        <v>4029</v>
      </c>
      <c r="C176" s="22" t="s">
        <v>207</v>
      </c>
      <c r="D176" s="22" t="s">
        <v>792</v>
      </c>
      <c r="E176" s="13">
        <v>42718.498159722221</v>
      </c>
      <c r="F176" s="13">
        <v>42718.514768518522</v>
      </c>
      <c r="G176" s="7">
        <v>0</v>
      </c>
      <c r="H176" s="22" t="s">
        <v>793</v>
      </c>
      <c r="I176" s="13">
        <v>42718.523842592593</v>
      </c>
      <c r="J176" s="7">
        <v>0</v>
      </c>
      <c r="K176" s="109" t="str">
        <f t="shared" si="50"/>
        <v>4029/4030</v>
      </c>
      <c r="L176" s="22" t="str">
        <f>VLOOKUP(A176,'Trips&amp;Operators'!$C$1:$G$99999,5,FALSE)</f>
        <v>GEBRETEKLE DAGNEW</v>
      </c>
      <c r="M176" s="6">
        <f t="shared" si="51"/>
        <v>9.074074070667848E-3</v>
      </c>
      <c r="N176" s="7">
        <f t="shared" si="68"/>
        <v>13.066666661761701</v>
      </c>
      <c r="O176" s="7"/>
      <c r="P176" s="7"/>
      <c r="Q176" s="23"/>
      <c r="R176" s="23"/>
      <c r="S176" s="35">
        <f t="shared" si="53"/>
        <v>1</v>
      </c>
      <c r="T176" s="50" t="str">
        <f t="shared" si="54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10:57:21-700',mode:absolute,to:'2016-12-14 13:34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6" s="52" t="str">
        <f t="shared" si="56"/>
        <v>N</v>
      </c>
      <c r="X176" s="177">
        <f t="shared" si="65"/>
        <v>1</v>
      </c>
      <c r="Y176" s="67">
        <f t="shared" si="69"/>
        <v>9.7600000000000006E-2</v>
      </c>
      <c r="Z176" s="67">
        <f t="shared" si="70"/>
        <v>5.9013999999999998</v>
      </c>
      <c r="AA176" s="67">
        <f t="shared" si="57"/>
        <v>5.8037999999999998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58"/>
        <v>0819-14</v>
      </c>
      <c r="AE176" s="91" t="str">
        <f t="shared" si="59"/>
        <v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v>
      </c>
      <c r="AF176" s="88" t="str">
        <f t="shared" si="60"/>
        <v>"C:\Program Files (x86)\AstroGrep\AstroGrep.exe" /spath="%USERPROFILE%\AppData\Local\Temp\OnboardLogs" /stypes="app*4029*20161214*" /stext=" 19:.+((SYSTEM_STATE.+slice.+state.+changed )|(ment ac)|(multiple cpu faults)|(system.+state.+changed )|(\[timeout)|(PRM\|1\|D)|(kpr)|(kdp)|(\|lc)|(penalty))" /e /r /s</v>
      </c>
      <c r="AG176" s="1" t="str">
        <f t="shared" si="61"/>
        <v>NW</v>
      </c>
      <c r="AH176" s="92" t="str">
        <f t="shared" si="62"/>
        <v>"%USERPROFILE%\Documents\GitHub\eaglep3\Utilities\RefineRTDCRunTimes.py" --tripid 819-14 --locoid 4029 --swversion DE.1.0.8.0 --startMP 204:976 --initTime 2016-12-14T11:57:21 --startdatetime 2016-12-14T12:21:16 --delay 0 --endMP 300:59014 --enddatetime 2016-12-14T12:34:20 --enforcementcount 0 &gt;&gt;C:\Users\stu\Documents\GitHub\eaglep3-reporting\EC\2016-12-14-refined-times.txt</v>
      </c>
      <c r="AI176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{"issue":{"subject":"","project_id":79,"tracker_id":40,"status_id":1,"priority_id":2,"assigned_to_id":23,"start_date":"2016-12-14","description":"","custom_fields":[{"id":1,"name":"Subdivision","value":"NW"},{"id":4,"name":"Milepost","value":"5.9014"},{"id":17,"name":"Train ID","value":"819-14"},{"id":16,"name":"Locomotive ID","value":"4029"},{"id":130,"name":"Impact","value":""},{"id":150,"name":"Time of Event (Mountain Time)","value":"12:34:20"},{"id":151,"name":"Denver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s="21" customFormat="1" x14ac:dyDescent="0.25">
      <c r="A177" s="37" t="s">
        <v>562</v>
      </c>
      <c r="B177" s="7">
        <v>4030</v>
      </c>
      <c r="C177" s="22" t="s">
        <v>207</v>
      </c>
      <c r="D177" s="22" t="s">
        <v>794</v>
      </c>
      <c r="E177" s="13">
        <v>42718.525833333333</v>
      </c>
      <c r="F177" s="13">
        <v>42718.527268518519</v>
      </c>
      <c r="G177" s="7">
        <v>1</v>
      </c>
      <c r="H177" s="22" t="s">
        <v>417</v>
      </c>
      <c r="I177" s="13">
        <v>42718.537800925929</v>
      </c>
      <c r="J177" s="7">
        <v>0</v>
      </c>
      <c r="K177" s="109" t="str">
        <f t="shared" si="50"/>
        <v>4029/4030</v>
      </c>
      <c r="L177" s="22" t="str">
        <f>VLOOKUP(A177,'Trips&amp;Operators'!$C$1:$G$99999,5,FALSE)</f>
        <v>GEBRETEKLE DAGNEW</v>
      </c>
      <c r="M177" s="6">
        <f t="shared" si="51"/>
        <v>1.0532407410209998E-2</v>
      </c>
      <c r="N177" s="7">
        <f t="shared" si="68"/>
        <v>15.166666670702398</v>
      </c>
      <c r="O177" s="7"/>
      <c r="P177" s="7"/>
      <c r="Q177" s="23"/>
      <c r="R177" s="23"/>
      <c r="S177" s="35">
        <f t="shared" si="53"/>
        <v>1</v>
      </c>
      <c r="T177" s="50" t="str">
        <f t="shared" si="54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11:37:12-700',mode:absolute,to:'2016-12-14 13:54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7" s="52" t="str">
        <f t="shared" si="56"/>
        <v>N</v>
      </c>
      <c r="X177" s="177">
        <f t="shared" si="65"/>
        <v>1</v>
      </c>
      <c r="Y177" s="67">
        <f t="shared" si="69"/>
        <v>5.8704999999999998</v>
      </c>
      <c r="Z177" s="67">
        <f t="shared" si="70"/>
        <v>6.8400000000000002E-2</v>
      </c>
      <c r="AA177" s="67">
        <f t="shared" si="57"/>
        <v>5.8021000000000003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58"/>
        <v>0820-14</v>
      </c>
      <c r="AE177" s="91" t="str">
        <f t="shared" si="59"/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AF177" s="88" t="str">
        <f t="shared" si="60"/>
        <v>"C:\Program Files (x86)\AstroGrep\AstroGrep.exe" /spath="%USERPROFILE%\AppData\Local\Temp\OnboardLogs" /stypes="app*4030*20161214*" /stext=" 19:.+((SYSTEM_STATE.+slice.+state.+changed )|(ment ac)|(multiple cpu faults)|(system.+state.+changed )|(\[timeout)|(PRM\|1\|D)|(kpr)|(kdp)|(\|lc)|(penalty))" /e /r /s</v>
      </c>
      <c r="AG177" s="1" t="str">
        <f t="shared" si="61"/>
        <v>NW</v>
      </c>
      <c r="AH177" s="92" t="str">
        <f t="shared" si="62"/>
        <v>"%USERPROFILE%\Documents\GitHub\eaglep3\Utilities\RefineRTDCRunTimes.py" --tripid 820-14 --locoid 4030 --swversion DE.1.0.8.0 --startMP 300:58705 --initTime 2016-12-14T12:37:12 --startdatetime 2016-12-14T12:39:16 --delay 1 --endMP 204:684 --enddatetime 2016-12-14T12:54:26 --enforcementcount 0 &gt;&gt;C:\Users\stu\Documents\GitHub\eaglep3-reporting\EC\2016-12-14-refined-times.txt</v>
      </c>
      <c r="AI177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{"issue":{"subject":"","project_id":79,"tracker_id":40,"status_id":1,"priority_id":2,"assigned_to_id":23,"start_date":"2016-12-14","description":"","custom_fields":[{"id":1,"name":"Subdivision","value":"NW"},{"id":4,"name":"Milepost","value":"0.0684"},{"id":17,"name":"Train ID","value":"820-14"},{"id":16,"name":"Locomotive ID","value":"4030"},{"id":130,"name":"Impact","value":""},{"id":150,"name":"Time of Event (Mountain Time)","value":"12:54:26"},{"id":151,"name":"Denver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7" t="s">
        <v>567</v>
      </c>
      <c r="B178" s="7">
        <v>4029</v>
      </c>
      <c r="C178" s="22" t="s">
        <v>207</v>
      </c>
      <c r="D178" s="22" t="s">
        <v>790</v>
      </c>
      <c r="E178" s="13">
        <v>42718.547418981485</v>
      </c>
      <c r="F178" s="13">
        <v>42718.556481481479</v>
      </c>
      <c r="G178" s="7">
        <v>2</v>
      </c>
      <c r="H178" s="22" t="s">
        <v>795</v>
      </c>
      <c r="I178" s="13">
        <v>42718.567685185182</v>
      </c>
      <c r="J178" s="7">
        <v>0</v>
      </c>
      <c r="K178" s="109" t="str">
        <f t="shared" si="50"/>
        <v>4029/4030</v>
      </c>
      <c r="L178" s="22" t="str">
        <f>VLOOKUP(A178,'Trips&amp;Operators'!$C$1:$G$99999,5,FALSE)</f>
        <v>MOSES BRADLEY</v>
      </c>
      <c r="M178" s="6">
        <f t="shared" si="51"/>
        <v>1.1203703703358769E-2</v>
      </c>
      <c r="N178" s="7">
        <f t="shared" si="68"/>
        <v>16.133333332836628</v>
      </c>
      <c r="O178" s="7"/>
      <c r="P178" s="7"/>
      <c r="Q178" s="23"/>
      <c r="R178" s="23"/>
      <c r="S178" s="35">
        <f t="shared" si="53"/>
        <v>1</v>
      </c>
      <c r="T178" s="50" t="str">
        <f t="shared" si="54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12:08:17-700',mode:absolute,to:'2016-12-14 14:37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8" s="52" t="str">
        <f t="shared" si="56"/>
        <v>N</v>
      </c>
      <c r="X178" s="177">
        <f t="shared" si="65"/>
        <v>1</v>
      </c>
      <c r="Y178" s="67">
        <f t="shared" si="69"/>
        <v>9.69E-2</v>
      </c>
      <c r="Z178" s="67">
        <f t="shared" si="70"/>
        <v>5.8939000000000004</v>
      </c>
      <c r="AA178" s="67">
        <f t="shared" si="57"/>
        <v>5.7970000000000006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58"/>
        <v>0821-14</v>
      </c>
      <c r="AE178" s="91" t="str">
        <f t="shared" si="59"/>
        <v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v>
      </c>
      <c r="AF178" s="88" t="str">
        <f t="shared" si="60"/>
        <v>"C:\Program Files (x86)\AstroGrep\AstroGrep.exe" /spath="%USERPROFILE%\AppData\Local\Temp\OnboardLogs" /stypes="app*4029*20161214*" /stext=" 20:.+((SYSTEM_STATE.+slice.+state.+changed )|(ment ac)|(multiple cpu faults)|(system.+state.+changed )|(\[timeout)|(PRM\|1\|D)|(kpr)|(kdp)|(\|lc)|(penalty))" /e /r /s</v>
      </c>
      <c r="AG178" s="1" t="str">
        <f t="shared" si="61"/>
        <v>NW</v>
      </c>
      <c r="AH178" s="92" t="str">
        <f t="shared" si="62"/>
        <v>"%USERPROFILE%\Documents\GitHub\eaglep3\Utilities\RefineRTDCRunTimes.py" --tripid 821-14 --locoid 4029 --swversion DE.1.0.8.0 --startMP 204:969 --initTime 2016-12-14T13:08:17 --startdatetime 2016-12-14T13:21:20 --delay 2 --endMP 300:58939 --enddatetime 2016-12-14T13:37:28 --enforcementcount 0 &gt;&gt;C:\Users\stu\Documents\GitHub\eaglep3-reporting\EC\2016-12-14-refined-times.txt</v>
      </c>
      <c r="AI178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{"issue":{"subject":"","project_id":79,"tracker_id":40,"status_id":1,"priority_id":2,"assigned_to_id":23,"start_date":"2016-12-14","description":"","custom_fields":[{"id":1,"name":"Subdivision","value":"NW"},{"id":4,"name":"Milepost","value":"5.8939"},{"id":17,"name":"Train ID","value":"821-14"},{"id":16,"name":"Locomotive ID","value":"4029"},{"id":130,"name":"Impact","value":""},{"id":150,"name":"Time of Event (Mountain Time)","value":"13:37:28"},{"id":151,"name":"Denver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575</v>
      </c>
      <c r="B179" s="7">
        <v>4030</v>
      </c>
      <c r="C179" s="22" t="s">
        <v>207</v>
      </c>
      <c r="D179" s="22" t="s">
        <v>419</v>
      </c>
      <c r="E179" s="13">
        <v>42718.569340277776</v>
      </c>
      <c r="F179" s="13">
        <v>42718.57136574074</v>
      </c>
      <c r="G179" s="7">
        <v>1</v>
      </c>
      <c r="H179" s="22" t="s">
        <v>796</v>
      </c>
      <c r="I179" s="13">
        <v>42718.581504629627</v>
      </c>
      <c r="J179" s="7">
        <v>0</v>
      </c>
      <c r="K179" s="109" t="str">
        <f t="shared" si="50"/>
        <v>4029/4030</v>
      </c>
      <c r="L179" s="22" t="str">
        <f>VLOOKUP(A179,'Trips&amp;Operators'!$C$1:$G$99999,5,FALSE)</f>
        <v>MOSES BRADLEY</v>
      </c>
      <c r="M179" s="6">
        <f t="shared" si="51"/>
        <v>1.0138888887013309E-2</v>
      </c>
      <c r="N179" s="7">
        <f t="shared" si="68"/>
        <v>14.599999997299165</v>
      </c>
      <c r="O179" s="7"/>
      <c r="P179" s="7"/>
      <c r="Q179" s="23"/>
      <c r="R179" s="23"/>
      <c r="S179" s="35">
        <f t="shared" si="53"/>
        <v>1</v>
      </c>
      <c r="T179" s="50" t="str">
        <f t="shared" si="54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12:39:51-700',mode:absolute,to:'2016-12-14 14:57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9" s="52" t="str">
        <f t="shared" si="56"/>
        <v>N</v>
      </c>
      <c r="X179" s="177">
        <f t="shared" si="65"/>
        <v>1</v>
      </c>
      <c r="Y179" s="67">
        <f t="shared" si="69"/>
        <v>5.8625999999999996</v>
      </c>
      <c r="Z179" s="67">
        <f t="shared" si="70"/>
        <v>7.3999999999999996E-2</v>
      </c>
      <c r="AA179" s="67">
        <f t="shared" si="57"/>
        <v>5.7885999999999997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58"/>
        <v>0822-14</v>
      </c>
      <c r="AE179" s="91" t="str">
        <f t="shared" si="59"/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AF179" s="88" t="str">
        <f t="shared" si="60"/>
        <v>"C:\Program Files (x86)\AstroGrep\AstroGrep.exe" /spath="%USERPROFILE%\AppData\Local\Temp\OnboardLogs" /stypes="app*4030*20161214*" /stext=" 20:.+((SYSTEM_STATE.+slice.+state.+changed )|(ment ac)|(multiple cpu faults)|(system.+state.+changed )|(\[timeout)|(PRM\|1\|D)|(kpr)|(kdp)|(\|lc)|(penalty))" /e /r /s</v>
      </c>
      <c r="AG179" s="1" t="str">
        <f t="shared" si="61"/>
        <v>NW</v>
      </c>
      <c r="AH179" s="92" t="str">
        <f t="shared" si="62"/>
        <v>"%USERPROFILE%\Documents\GitHub\eaglep3\Utilities\RefineRTDCRunTimes.py" --tripid 822-14 --locoid 4030 --swversion DE.1.0.8.0 --startMP 300:58626 --initTime 2016-12-14T13:39:51 --startdatetime 2016-12-14T13:42:46 --delay 1 --endMP 204:740 --enddatetime 2016-12-14T13:57:22 --enforcementcount 0 &gt;&gt;C:\Users\stu\Documents\GitHub\eaglep3-reporting\EC\2016-12-14-refined-times.txt</v>
      </c>
      <c r="AI179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{"issue":{"subject":"","project_id":79,"tracker_id":40,"status_id":1,"priority_id":2,"assigned_to_id":23,"start_date":"2016-12-14","description":"","custom_fields":[{"id":1,"name":"Subdivision","value":"NW"},{"id":4,"name":"Milepost","value":"0.074"},{"id":17,"name":"Train ID","value":"822-14"},{"id":16,"name":"Locomotive ID","value":"4030"},{"id":130,"name":"Impact","value":""},{"id":150,"name":"Time of Event (Mountain Time)","value":"13:57:22"},{"id":151,"name":"Denver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580</v>
      </c>
      <c r="B180" s="7">
        <v>4029</v>
      </c>
      <c r="C180" s="22" t="s">
        <v>207</v>
      </c>
      <c r="D180" s="22" t="s">
        <v>797</v>
      </c>
      <c r="E180" s="13">
        <v>42718.593854166669</v>
      </c>
      <c r="F180" s="13">
        <v>42718.598275462966</v>
      </c>
      <c r="G180" s="7">
        <v>2</v>
      </c>
      <c r="H180" s="22" t="s">
        <v>344</v>
      </c>
      <c r="I180" s="13">
        <v>42718.60900462963</v>
      </c>
      <c r="J180" s="7">
        <v>0</v>
      </c>
      <c r="K180" s="109" t="str">
        <f t="shared" si="50"/>
        <v>4029/4030</v>
      </c>
      <c r="L180" s="22" t="str">
        <f>VLOOKUP(A180,'Trips&amp;Operators'!$C$1:$G$99999,5,FALSE)</f>
        <v>MOSES BRADLEY</v>
      </c>
      <c r="M180" s="6">
        <f t="shared" si="51"/>
        <v>1.0729166664532386E-2</v>
      </c>
      <c r="N180" s="7">
        <f t="shared" si="68"/>
        <v>15.449999996926636</v>
      </c>
      <c r="O180" s="7"/>
      <c r="P180" s="7"/>
      <c r="Q180" s="23"/>
      <c r="R180" s="23"/>
      <c r="S180" s="35">
        <f t="shared" si="53"/>
        <v>1</v>
      </c>
      <c r="T180" s="50" t="str">
        <f t="shared" si="54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13:15:09-700',mode:absolute,to:'2016-12-14 15:36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0" s="52" t="str">
        <f t="shared" si="56"/>
        <v>N</v>
      </c>
      <c r="X180" s="177">
        <f t="shared" si="65"/>
        <v>1</v>
      </c>
      <c r="Y180" s="67">
        <f t="shared" si="69"/>
        <v>0.1013</v>
      </c>
      <c r="Z180" s="67">
        <f t="shared" si="70"/>
        <v>5.8936999999999999</v>
      </c>
      <c r="AA180" s="67">
        <f t="shared" si="57"/>
        <v>5.7923999999999998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58"/>
        <v>0823-14</v>
      </c>
      <c r="AE180" s="91" t="str">
        <f t="shared" si="59"/>
        <v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v>
      </c>
      <c r="AF180" s="88" t="str">
        <f t="shared" si="60"/>
        <v>"C:\Program Files (x86)\AstroGrep\AstroGrep.exe" /spath="%USERPROFILE%\AppData\Local\Temp\OnboardLogs" /stypes="app*4029*20161214*" /stext=" 21:.+((SYSTEM_STATE.+slice.+state.+changed )|(ment ac)|(multiple cpu faults)|(system.+state.+changed )|(\[timeout)|(PRM\|1\|D)|(kpr)|(kdp)|(\|lc)|(penalty))" /e /r /s</v>
      </c>
      <c r="AG180" s="1" t="str">
        <f t="shared" si="61"/>
        <v>NW</v>
      </c>
      <c r="AH180" s="92" t="str">
        <f t="shared" si="62"/>
        <v>"%USERPROFILE%\Documents\GitHub\eaglep3\Utilities\RefineRTDCRunTimes.py" --tripid 823-14 --locoid 4029 --swversion DE.1.0.8.0 --startMP 204:1013 --initTime 2016-12-14T14:15:09 --startdatetime 2016-12-14T14:21:31 --delay 2 --endMP 300:58937 --enddatetime 2016-12-14T14:36:58 --enforcementcount 0 &gt;&gt;C:\Users\stu\Documents\GitHub\eaglep3-reporting\EC\2016-12-14-refined-times.txt</v>
      </c>
      <c r="AI180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{"issue":{"subject":"","project_id":79,"tracker_id":40,"status_id":1,"priority_id":2,"assigned_to_id":23,"start_date":"2016-12-14","description":"","custom_fields":[{"id":1,"name":"Subdivision","value":"NW"},{"id":4,"name":"Milepost","value":"5.8937"},{"id":17,"name":"Train ID","value":"823-14"},{"id":16,"name":"Locomotive ID","value":"4029"},{"id":130,"name":"Impact","value":""},{"id":150,"name":"Time of Event (Mountain Time)","value":"14:36:58"},{"id":151,"name":"Denver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583</v>
      </c>
      <c r="B181" s="7">
        <v>4030</v>
      </c>
      <c r="C181" s="22" t="s">
        <v>207</v>
      </c>
      <c r="D181" s="22" t="s">
        <v>285</v>
      </c>
      <c r="E181" s="13">
        <v>42718.609988425924</v>
      </c>
      <c r="F181" s="13">
        <v>42718.612060185187</v>
      </c>
      <c r="G181" s="7">
        <v>1</v>
      </c>
      <c r="H181" s="22" t="s">
        <v>798</v>
      </c>
      <c r="I181" s="13">
        <v>42718.622256944444</v>
      </c>
      <c r="J181" s="7">
        <v>0</v>
      </c>
      <c r="K181" s="109" t="str">
        <f t="shared" si="50"/>
        <v>4029/4030</v>
      </c>
      <c r="L181" s="22" t="str">
        <f>VLOOKUP(A181,'Trips&amp;Operators'!$C$1:$G$99999,5,FALSE)</f>
        <v>MOSES BRADLEY</v>
      </c>
      <c r="M181" s="6">
        <f t="shared" si="51"/>
        <v>1.0196759256359655E-2</v>
      </c>
      <c r="N181" s="7">
        <f t="shared" si="68"/>
        <v>14.683333329157904</v>
      </c>
      <c r="O181" s="7"/>
      <c r="P181" s="7"/>
      <c r="Q181" s="23"/>
      <c r="R181" s="23"/>
      <c r="S181" s="35">
        <f t="shared" si="53"/>
        <v>1</v>
      </c>
      <c r="T181" s="50" t="str">
        <f t="shared" si="54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13:38:23-700',mode:absolute,to:'2016-12-14 15:56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1" s="52" t="str">
        <f t="shared" si="56"/>
        <v>N</v>
      </c>
      <c r="X181" s="177">
        <f t="shared" si="65"/>
        <v>1</v>
      </c>
      <c r="Y181" s="67">
        <f t="shared" si="69"/>
        <v>5.8623000000000003</v>
      </c>
      <c r="Z181" s="67">
        <f t="shared" si="70"/>
        <v>7.3599999999999999E-2</v>
      </c>
      <c r="AA181" s="67">
        <f t="shared" si="57"/>
        <v>5.7887000000000004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58"/>
        <v>0824-14</v>
      </c>
      <c r="AE181" s="91" t="str">
        <f t="shared" si="59"/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AF181" s="88" t="str">
        <f t="shared" si="60"/>
        <v>"C:\Program Files (x86)\AstroGrep\AstroGrep.exe" /spath="%USERPROFILE%\AppData\Local\Temp\OnboardLogs" /stypes="app*4030*20161214*" /stext=" 21:.+((SYSTEM_STATE.+slice.+state.+changed )|(ment ac)|(multiple cpu faults)|(system.+state.+changed )|(\[timeout)|(PRM\|1\|D)|(kpr)|(kdp)|(\|lc)|(penalty))" /e /r /s</v>
      </c>
      <c r="AG181" s="1" t="str">
        <f t="shared" si="61"/>
        <v>NW</v>
      </c>
      <c r="AH181" s="92" t="str">
        <f t="shared" si="62"/>
        <v>"%USERPROFILE%\Documents\GitHub\eaglep3\Utilities\RefineRTDCRunTimes.py" --tripid 824-14 --locoid 4030 --swversion DE.1.0.8.0 --startMP 300:58623 --initTime 2016-12-14T14:38:23 --startdatetime 2016-12-14T14:41:22 --delay 1 --endMP 204:736 --enddatetime 2016-12-14T14:56:03 --enforcementcount 0 &gt;&gt;C:\Users\stu\Documents\GitHub\eaglep3-reporting\EC\2016-12-14-refined-times.txt</v>
      </c>
      <c r="AI181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{"issue":{"subject":"","project_id":79,"tracker_id":40,"status_id":1,"priority_id":2,"assigned_to_id":23,"start_date":"2016-12-14","description":"","custom_fields":[{"id":1,"name":"Subdivision","value":"NW"},{"id":4,"name":"Milepost","value":"0.0736"},{"id":17,"name":"Train ID","value":"824-14"},{"id":16,"name":"Locomotive ID","value":"4030"},{"id":130,"name":"Impact","value":""},{"id":150,"name":"Time of Event (Mountain Time)","value":"14:56:03"},{"id":151,"name":"Denver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588</v>
      </c>
      <c r="B182" s="7">
        <v>4029</v>
      </c>
      <c r="C182" s="22" t="s">
        <v>207</v>
      </c>
      <c r="D182" s="22" t="s">
        <v>797</v>
      </c>
      <c r="E182" s="13">
        <v>42718.634074074071</v>
      </c>
      <c r="F182" s="13">
        <v>42718.655092592591</v>
      </c>
      <c r="G182" s="7">
        <v>1</v>
      </c>
      <c r="H182" s="22" t="s">
        <v>799</v>
      </c>
      <c r="I182" s="13">
        <v>42718.66479166667</v>
      </c>
      <c r="J182" s="7">
        <v>0</v>
      </c>
      <c r="K182" s="109" t="str">
        <f t="shared" si="50"/>
        <v>4029/4030</v>
      </c>
      <c r="L182" s="22" t="str">
        <f>VLOOKUP(A182,'Trips&amp;Operators'!$C$1:$G$99999,5,FALSE)</f>
        <v>MOSES BRADLEY</v>
      </c>
      <c r="M182" s="6">
        <f t="shared" si="51"/>
        <v>9.6990740785258822E-3</v>
      </c>
      <c r="N182" s="7">
        <f t="shared" si="68"/>
        <v>13.96666667307727</v>
      </c>
      <c r="O182" s="7"/>
      <c r="P182" s="7"/>
      <c r="Q182" s="23"/>
      <c r="R182" s="23"/>
      <c r="S182" s="35">
        <f t="shared" si="53"/>
        <v>1</v>
      </c>
      <c r="T182" s="50" t="str">
        <f t="shared" si="54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14:13:04-700',mode:absolute,to:'2016-12-14 16:57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2" s="52" t="str">
        <f t="shared" si="56"/>
        <v>N</v>
      </c>
      <c r="X182" s="177">
        <f t="shared" si="65"/>
        <v>1</v>
      </c>
      <c r="Y182" s="67">
        <f t="shared" si="69"/>
        <v>0.1013</v>
      </c>
      <c r="Z182" s="67">
        <f t="shared" si="70"/>
        <v>5.8943000000000003</v>
      </c>
      <c r="AA182" s="67">
        <f t="shared" si="57"/>
        <v>5.7930000000000001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58"/>
        <v>0825-14</v>
      </c>
      <c r="AE182" s="91" t="str">
        <f t="shared" si="59"/>
        <v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v>
      </c>
      <c r="AF182" s="88" t="str">
        <f t="shared" si="60"/>
        <v>"C:\Program Files (x86)\AstroGrep\AstroGrep.exe" /spath="%USERPROFILE%\AppData\Local\Temp\OnboardLogs" /stypes="app*4029*20161214*" /stext=" 22:.+((SYSTEM_STATE.+slice.+state.+changed )|(ment ac)|(multiple cpu faults)|(system.+state.+changed )|(\[timeout)|(PRM\|1\|D)|(kpr)|(kdp)|(\|lc)|(penalty))" /e /r /s</v>
      </c>
      <c r="AG182" s="1" t="str">
        <f t="shared" si="61"/>
        <v>NW</v>
      </c>
      <c r="AH182" s="92" t="str">
        <f t="shared" si="62"/>
        <v>"%USERPROFILE%\Documents\GitHub\eaglep3\Utilities\RefineRTDCRunTimes.py" --tripid 825-14 --locoid 4029 --swversion DE.1.0.8.0 --startMP 204:1013 --initTime 2016-12-14T15:13:04 --startdatetime 2016-12-14T15:43:20 --delay 1 --endMP 300:58943 --enddatetime 2016-12-14T15:57:18 --enforcementcount 0 &gt;&gt;C:\Users\stu\Documents\GitHub\eaglep3-reporting\EC\2016-12-14-refined-times.txt</v>
      </c>
      <c r="AI182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{"issue":{"subject":"","project_id":79,"tracker_id":40,"status_id":1,"priority_id":2,"assigned_to_id":23,"start_date":"2016-12-14","description":"","custom_fields":[{"id":1,"name":"Subdivision","value":"NW"},{"id":4,"name":"Milepost","value":"5.8943"},{"id":17,"name":"Train ID","value":"825-14"},{"id":16,"name":"Locomotive ID","value":"4029"},{"id":130,"name":"Impact","value":""},{"id":150,"name":"Time of Event (Mountain Time)","value":"15:57:18"},{"id":151,"name":"Denver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s="21" customFormat="1" x14ac:dyDescent="0.25">
      <c r="A183" s="37" t="s">
        <v>596</v>
      </c>
      <c r="B183" s="7">
        <v>4030</v>
      </c>
      <c r="C183" s="22" t="s">
        <v>207</v>
      </c>
      <c r="D183" s="22" t="s">
        <v>800</v>
      </c>
      <c r="E183" s="13">
        <v>42718.653356481482</v>
      </c>
      <c r="F183" s="13">
        <v>42718.655092592591</v>
      </c>
      <c r="G183" s="7">
        <v>1</v>
      </c>
      <c r="H183" s="22" t="s">
        <v>788</v>
      </c>
      <c r="I183" s="13">
        <v>42718.66479166667</v>
      </c>
      <c r="J183" s="7">
        <v>0</v>
      </c>
      <c r="K183" s="109" t="str">
        <f t="shared" si="50"/>
        <v>4029/4030</v>
      </c>
      <c r="L183" s="22" t="str">
        <f>VLOOKUP(A183,'Trips&amp;Operators'!$C$1:$G$99999,5,FALSE)</f>
        <v>MOSES BRADLEY</v>
      </c>
      <c r="M183" s="6">
        <f t="shared" si="51"/>
        <v>9.6990740785258822E-3</v>
      </c>
      <c r="N183" s="7">
        <f t="shared" si="68"/>
        <v>13.96666667307727</v>
      </c>
      <c r="O183" s="7"/>
      <c r="P183" s="7"/>
      <c r="Q183" s="23"/>
      <c r="R183" s="23"/>
      <c r="S183" s="35">
        <f t="shared" si="53"/>
        <v>1</v>
      </c>
      <c r="T183" s="50" t="str">
        <f t="shared" si="54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14:40:50-700',mode:absolute,to:'2016-12-14 16:57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3" s="52" t="str">
        <f t="shared" si="56"/>
        <v>N</v>
      </c>
      <c r="X183" s="177">
        <f t="shared" si="65"/>
        <v>1</v>
      </c>
      <c r="Y183" s="67">
        <f t="shared" si="69"/>
        <v>5.8628</v>
      </c>
      <c r="Z183" s="67">
        <f t="shared" si="70"/>
        <v>6.9900000000000004E-2</v>
      </c>
      <c r="AA183" s="67">
        <f t="shared" si="57"/>
        <v>5.7929000000000004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58"/>
        <v>0826-14</v>
      </c>
      <c r="AE183" s="91" t="str">
        <f t="shared" si="59"/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AF183" s="88" t="str">
        <f t="shared" si="60"/>
        <v>"C:\Program Files (x86)\AstroGrep\AstroGrep.exe" /spath="%USERPROFILE%\AppData\Local\Temp\OnboardLogs" /stypes="app*4030*20161214*" /stext=" 22:.+((SYSTEM_STATE.+slice.+state.+changed )|(ment ac)|(multiple cpu faults)|(system.+state.+changed )|(\[timeout)|(PRM\|1\|D)|(kpr)|(kdp)|(\|lc)|(penalty))" /e /r /s</v>
      </c>
      <c r="AG183" s="1" t="str">
        <f t="shared" si="61"/>
        <v>NW</v>
      </c>
      <c r="AH183" s="92" t="str">
        <f t="shared" si="62"/>
        <v>"%USERPROFILE%\Documents\GitHub\eaglep3\Utilities\RefineRTDCRunTimes.py" --tripid 826-14 --locoid 4030 --swversion DE.1.0.8.0 --startMP 300:58628 --initTime 2016-12-14T15:40:50 --startdatetime 2016-12-14T15:43:20 --delay 1 --endMP 204:699 --enddatetime 2016-12-14T15:57:18 --enforcementcount 0 &gt;&gt;C:\Users\stu\Documents\GitHub\eaglep3-reporting\EC\2016-12-14-refined-times.txt</v>
      </c>
      <c r="AI183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{"issue":{"subject":"","project_id":79,"tracker_id":40,"status_id":1,"priority_id":2,"assigned_to_id":23,"start_date":"2016-12-14","description":"","custom_fields":[{"id":1,"name":"Subdivision","value":"NW"},{"id":4,"name":"Milepost","value":"0.0699"},{"id":17,"name":"Train ID","value":"826-14"},{"id":16,"name":"Locomotive ID","value":"4030"},{"id":130,"name":"Impact","value":""},{"id":150,"name":"Time of Event (Mountain Time)","value":"15:57:18"},{"id":151,"name":"Denver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597</v>
      </c>
      <c r="B184" s="7">
        <v>4018</v>
      </c>
      <c r="C184" s="22" t="s">
        <v>207</v>
      </c>
      <c r="D184" s="22" t="s">
        <v>801</v>
      </c>
      <c r="E184" s="13">
        <v>42718.655277777776</v>
      </c>
      <c r="F184" s="13">
        <v>42718.660636574074</v>
      </c>
      <c r="G184" s="7">
        <v>2</v>
      </c>
      <c r="H184" s="22" t="s">
        <v>769</v>
      </c>
      <c r="I184" s="13">
        <v>42718.67083333333</v>
      </c>
      <c r="J184" s="7">
        <v>0</v>
      </c>
      <c r="K184" s="109" t="str">
        <f t="shared" si="50"/>
        <v>4017/4018</v>
      </c>
      <c r="L184" s="22" t="str">
        <f>VLOOKUP(A184,'Trips&amp;Operators'!$C$1:$G$99999,5,FALSE)</f>
        <v>COMELLA JUSTIN</v>
      </c>
      <c r="M184" s="6">
        <f t="shared" si="51"/>
        <v>1.0196759256359655E-2</v>
      </c>
      <c r="N184" s="7">
        <f t="shared" si="68"/>
        <v>14.683333329157904</v>
      </c>
      <c r="O184" s="7"/>
      <c r="P184" s="7"/>
      <c r="Q184" s="23"/>
      <c r="R184" s="23"/>
      <c r="S184" s="35">
        <f t="shared" si="53"/>
        <v>1</v>
      </c>
      <c r="T184" s="50" t="str">
        <f t="shared" si="54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14:43:36-700',mode:absolute,to:'2016-12-14 17:06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4" s="52" t="str">
        <f t="shared" si="56"/>
        <v>N</v>
      </c>
      <c r="X184" s="177">
        <f t="shared" si="65"/>
        <v>1</v>
      </c>
      <c r="Y184" s="67">
        <f t="shared" si="69"/>
        <v>9.7900000000000001E-2</v>
      </c>
      <c r="Z184" s="67">
        <f t="shared" si="70"/>
        <v>5.8971</v>
      </c>
      <c r="AA184" s="67">
        <f t="shared" si="57"/>
        <v>5.7991999999999999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58"/>
        <v>0827-14</v>
      </c>
      <c r="AE184" s="91" t="str">
        <f t="shared" si="59"/>
        <v>aws s3 cp s3://rtdc.mdm.uploadarchive.raw/RTDC4018/ "%USERPROFILE%\AppData\Local\Temp\OnboardLogs"\RTDC4018\2016-12-14 --exclude "*" --recursive --include "*20161214*" &amp; "%USERPROFILE%\Documents\GitHub\mrs-test-scripts\Headless Mode &amp; Sideloading\WalkAndUnGZ.bat" "%USERPROFILE%\AppData\Local\Temp\OnboardLogs"\RTDC4018\2016-12-14 &amp; aws s3 cp s3://rtdc.mdm.uploadarchive.raw/RTDC4018/ "%USERPROFILE%\AppData\Local\Temp\OnboardLogs"\RTDC4018\2016-12-15 --exclude "*" --recursive --include "*20161215*" &amp; "%USERPROFILE%\Documents\GitHub\mrs-test-scripts\Headless Mode &amp; Sideloading\WalkAndUnGZ.bat" "%USERPROFILE%\AppData\Local\Temp\OnboardLogs"\RTDC4018\2016-12-15</v>
      </c>
      <c r="AF184" s="88" t="str">
        <f t="shared" si="60"/>
        <v>"C:\Program Files (x86)\AstroGrep\AstroGrep.exe" /spath="%USERPROFILE%\AppData\Local\Temp\OnboardLogs" /stypes="app*4018*20161214*" /stext=" 23:.+((SYSTEM_STATE.+slice.+state.+changed )|(ment ac)|(multiple cpu faults)|(system.+state.+changed )|(\[timeout)|(PRM\|1\|D)|(kpr)|(kdp)|(\|lc)|(penalty))" /e /r /s</v>
      </c>
      <c r="AG184" s="1" t="str">
        <f t="shared" si="61"/>
        <v>NW</v>
      </c>
      <c r="AH184" s="92" t="str">
        <f t="shared" si="62"/>
        <v>"%USERPROFILE%\Documents\GitHub\eaglep3\Utilities\RefineRTDCRunTimes.py" --tripid 827-14 --locoid 4018 --swversion DE.1.0.8.0 --startMP 204:979 --initTime 2016-12-14T15:43:36 --startdatetime 2016-12-14T15:51:19 --delay 2 --endMP 300:58971 --enddatetime 2016-12-14T16:06:00 --enforcementcount 0 &gt;&gt;C:\Users\stu\Documents\GitHub\eaglep3-reporting\EC\2016-12-14-refined-times.txt</v>
      </c>
      <c r="AI184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{"issue":{"subject":"","project_id":79,"tracker_id":40,"status_id":1,"priority_id":2,"assigned_to_id":23,"start_date":"2016-12-14","description":"","custom_fields":[{"id":1,"name":"Subdivision","value":"NW"},{"id":4,"name":"Milepost","value":"5.8971"},{"id":17,"name":"Train ID","value":"827-14"},{"id":16,"name":"Locomotive ID","value":"4018"},{"id":130,"name":"Impact","value":""},{"id":150,"name":"Time of Event (Mountain Time)","value":"16:06:00"},{"id":151,"name":"Denver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601</v>
      </c>
      <c r="B185" s="7">
        <v>4017</v>
      </c>
      <c r="C185" s="22" t="s">
        <v>207</v>
      </c>
      <c r="D185" s="22" t="s">
        <v>802</v>
      </c>
      <c r="E185" s="13">
        <v>42718.672129629631</v>
      </c>
      <c r="F185" s="13">
        <v>42718.673784722225</v>
      </c>
      <c r="G185" s="7">
        <v>1</v>
      </c>
      <c r="H185" s="22" t="s">
        <v>803</v>
      </c>
      <c r="I185" s="13">
        <v>42718.685520833336</v>
      </c>
      <c r="J185" s="7">
        <v>0</v>
      </c>
      <c r="K185" s="109" t="str">
        <f t="shared" si="50"/>
        <v>4017/4018</v>
      </c>
      <c r="L185" s="22" t="str">
        <f>VLOOKUP(A185,'Trips&amp;Operators'!$C$1:$G$99999,5,FALSE)</f>
        <v>COMELLA JUSTIN</v>
      </c>
      <c r="M185" s="6">
        <f t="shared" si="51"/>
        <v>1.17361111115315E-2</v>
      </c>
      <c r="N185" s="7">
        <f t="shared" si="68"/>
        <v>16.90000000060536</v>
      </c>
      <c r="O185" s="7"/>
      <c r="P185" s="7"/>
      <c r="Q185" s="23"/>
      <c r="R185" s="23"/>
      <c r="S185" s="35">
        <f t="shared" si="53"/>
        <v>1</v>
      </c>
      <c r="T185" s="50" t="str">
        <f t="shared" si="54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15:07:52-700',mode:absolute,to:'2016-12-14 17:27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5" s="52" t="str">
        <f t="shared" si="56"/>
        <v>N</v>
      </c>
      <c r="X185" s="177">
        <f t="shared" si="65"/>
        <v>1</v>
      </c>
      <c r="Y185" s="67">
        <f t="shared" si="69"/>
        <v>5.8655999999999997</v>
      </c>
      <c r="Z185" s="67">
        <f t="shared" si="70"/>
        <v>6.7500000000000004E-2</v>
      </c>
      <c r="AA185" s="67">
        <f t="shared" si="57"/>
        <v>5.7980999999999998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58"/>
        <v>0828-14</v>
      </c>
      <c r="AE185" s="91" t="str">
        <f t="shared" si="59"/>
        <v>aws s3 cp s3://rtdc.mdm.uploadarchive.raw/RTDC4017/ "%USERPROFILE%\AppData\Local\Temp\OnboardLogs"\RTDC4017\2016-12-14 --exclude "*" --recursive --include "*20161214*" &amp; "%USERPROFILE%\Documents\GitHub\mrs-test-scripts\Headless Mode &amp; Sideloading\WalkAndUnGZ.bat" "%USERPROFILE%\AppData\Local\Temp\OnboardLogs"\RTDC4017\2016-12-14 &amp; aws s3 cp s3://rtdc.mdm.uploadarchive.raw/RTDC4017/ "%USERPROFILE%\AppData\Local\Temp\OnboardLogs"\RTDC4017\2016-12-15 --exclude "*" --recursive --include "*20161215*" &amp; "%USERPROFILE%\Documents\GitHub\mrs-test-scripts\Headless Mode &amp; Sideloading\WalkAndUnGZ.bat" "%USERPROFILE%\AppData\Local\Temp\OnboardLogs"\RTDC4017\2016-12-15</v>
      </c>
      <c r="AF185" s="88" t="str">
        <f t="shared" si="60"/>
        <v>"C:\Program Files (x86)\AstroGrep\AstroGrep.exe" /spath="%USERPROFILE%\AppData\Local\Temp\OnboardLogs" /stypes="app*4017*20161214*" /stext=" 23:.+((SYSTEM_STATE.+slice.+state.+changed )|(ment ac)|(multiple cpu faults)|(system.+state.+changed )|(\[timeout)|(PRM\|1\|D)|(kpr)|(kdp)|(\|lc)|(penalty))" /e /r /s</v>
      </c>
      <c r="AG185" s="1" t="str">
        <f t="shared" si="61"/>
        <v>NW</v>
      </c>
      <c r="AH185" s="92" t="str">
        <f t="shared" si="62"/>
        <v>"%USERPROFILE%\Documents\GitHub\eaglep3\Utilities\RefineRTDCRunTimes.py" --tripid 828-14 --locoid 4017 --swversion DE.1.0.8.0 --startMP 300:58656 --initTime 2016-12-14T16:07:52 --startdatetime 2016-12-14T16:10:15 --delay 1 --endMP 204:675 --enddatetime 2016-12-14T16:27:09 --enforcementcount 0 &gt;&gt;C:\Users\stu\Documents\GitHub\eaglep3-reporting\EC\2016-12-14-refined-times.txt</v>
      </c>
      <c r="AI185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{"issue":{"subject":"","project_id":79,"tracker_id":40,"status_id":1,"priority_id":2,"assigned_to_id":23,"start_date":"2016-12-14","description":"","custom_fields":[{"id":1,"name":"Subdivision","value":"NW"},{"id":4,"name":"Milepost","value":"0.0675"},{"id":17,"name":"Train ID","value":"828-14"},{"id":16,"name":"Locomotive ID","value":"4017"},{"id":130,"name":"Impact","value":""},{"id":150,"name":"Time of Event (Mountain Time)","value":"16:27:09"},{"id":151,"name":"Denver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7" t="s">
        <v>600</v>
      </c>
      <c r="B186" s="7">
        <v>4029</v>
      </c>
      <c r="C186" s="22" t="s">
        <v>207</v>
      </c>
      <c r="D186" s="22" t="s">
        <v>783</v>
      </c>
      <c r="E186" s="13">
        <v>42718.671354166669</v>
      </c>
      <c r="F186" s="13">
        <v>42718.681493055556</v>
      </c>
      <c r="G186" s="7">
        <v>2</v>
      </c>
      <c r="H186" s="22" t="s">
        <v>343</v>
      </c>
      <c r="I186" s="13">
        <v>42718.69159722222</v>
      </c>
      <c r="J186" s="7">
        <v>0</v>
      </c>
      <c r="K186" s="109" t="str">
        <f t="shared" si="50"/>
        <v>4029/4030</v>
      </c>
      <c r="L186" s="22" t="str">
        <f>VLOOKUP(A186,'Trips&amp;Operators'!$C$1:$G$99999,5,FALSE)</f>
        <v>DELGADO DIANAH</v>
      </c>
      <c r="M186" s="6">
        <f t="shared" si="51"/>
        <v>1.0104166663950309E-2</v>
      </c>
      <c r="N186" s="7">
        <f t="shared" ref="N186:N217" si="71">24*60*SUM($M186:$M186)</f>
        <v>14.549999996088445</v>
      </c>
      <c r="O186" s="7"/>
      <c r="P186" s="7"/>
      <c r="Q186" s="23"/>
      <c r="R186" s="23"/>
      <c r="S186" s="35">
        <f t="shared" si="53"/>
        <v>1</v>
      </c>
      <c r="T186" s="50" t="str">
        <f t="shared" si="54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15:06:45-700',mode:absolute,to:'2016-12-14 17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6" s="52" t="str">
        <f t="shared" si="56"/>
        <v>N</v>
      </c>
      <c r="X186" s="177">
        <f t="shared" si="65"/>
        <v>1</v>
      </c>
      <c r="Y186" s="67">
        <f t="shared" si="69"/>
        <v>9.8799999999999999E-2</v>
      </c>
      <c r="Z186" s="67">
        <f t="shared" si="70"/>
        <v>5.8928000000000003</v>
      </c>
      <c r="AA186" s="67">
        <f t="shared" si="57"/>
        <v>5.7940000000000005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58"/>
        <v>0829-14</v>
      </c>
      <c r="AE186" s="91" t="str">
        <f t="shared" si="59"/>
        <v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v>
      </c>
      <c r="AF186" s="88" t="str">
        <f t="shared" si="60"/>
        <v>"C:\Program Files (x86)\AstroGrep\AstroGrep.exe" /spath="%USERPROFILE%\AppData\Local\Temp\OnboardLogs" /stypes="app*4029*20161214*" /stext=" 23:.+((SYSTEM_STATE.+slice.+state.+changed )|(ment ac)|(multiple cpu faults)|(system.+state.+changed )|(\[timeout)|(PRM\|1\|D)|(kpr)|(kdp)|(\|lc)|(penalty))" /e /r /s</v>
      </c>
      <c r="AG186" s="1" t="str">
        <f t="shared" si="61"/>
        <v>NW</v>
      </c>
      <c r="AH186" s="92" t="str">
        <f t="shared" si="62"/>
        <v>"%USERPROFILE%\Documents\GitHub\eaglep3\Utilities\RefineRTDCRunTimes.py" --tripid 829-14 --locoid 4029 --swversion DE.1.0.8.0 --startMP 204:988 --initTime 2016-12-14T16:06:45 --startdatetime 2016-12-14T16:21:21 --delay 2 --endMP 300:58928 --enddatetime 2016-12-14T16:35:54 --enforcementcount 0 &gt;&gt;C:\Users\stu\Documents\GitHub\eaglep3-reporting\EC\2016-12-14-refined-times.txt</v>
      </c>
      <c r="AI186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{"issue":{"subject":"","project_id":79,"tracker_id":40,"status_id":1,"priority_id":2,"assigned_to_id":23,"start_date":"2016-12-14","description":"","custom_fields":[{"id":1,"name":"Subdivision","value":"NW"},{"id":4,"name":"Milepost","value":"5.8928"},{"id":17,"name":"Train ID","value":"829-14"},{"id":16,"name":"Locomotive ID","value":"4029"},{"id":130,"name":"Impact","value":""},{"id":150,"name":"Time of Event (Mountain Time)","value":"16:35:54"},{"id":151,"name":"Denver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441</v>
      </c>
      <c r="B187" s="7">
        <v>4030</v>
      </c>
      <c r="C187" s="22" t="s">
        <v>207</v>
      </c>
      <c r="D187" s="22" t="s">
        <v>804</v>
      </c>
      <c r="E187" s="13">
        <v>42718.698206018518</v>
      </c>
      <c r="F187" s="13">
        <v>42718.699328703704</v>
      </c>
      <c r="G187" s="7">
        <v>1</v>
      </c>
      <c r="H187" s="22" t="s">
        <v>805</v>
      </c>
      <c r="I187" s="13">
        <v>42718.710601851853</v>
      </c>
      <c r="J187" s="7">
        <v>0</v>
      </c>
      <c r="K187" s="109" t="str">
        <f t="shared" si="50"/>
        <v>4029/4030</v>
      </c>
      <c r="L187" s="22" t="str">
        <f>VLOOKUP(A187,'Trips&amp;Operators'!$C$1:$G$99999,5,FALSE)</f>
        <v>DELGADO DIANAH</v>
      </c>
      <c r="M187" s="6">
        <f t="shared" si="51"/>
        <v>1.1273148149484769E-2</v>
      </c>
      <c r="N187" s="7">
        <f t="shared" si="71"/>
        <v>16.233333335258067</v>
      </c>
      <c r="O187" s="7"/>
      <c r="P187" s="7"/>
      <c r="Q187" s="23"/>
      <c r="R187" s="23" t="s">
        <v>849</v>
      </c>
      <c r="S187" s="35">
        <f t="shared" si="53"/>
        <v>1</v>
      </c>
      <c r="T187" s="50" t="str">
        <f t="shared" si="54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15:45:25-700',mode:absolute,to:'2016-12-14 18:03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7" s="52" t="str">
        <f t="shared" si="56"/>
        <v>N</v>
      </c>
      <c r="X187" s="177">
        <f t="shared" ref="X187:X190" si="72">VALUE(LEFT(AD187,4))-VALUE(LEFT(AD186,4))</f>
        <v>1</v>
      </c>
      <c r="Y187" s="67">
        <f t="shared" si="69"/>
        <v>5.7332999999999998</v>
      </c>
      <c r="Z187" s="67">
        <f t="shared" si="70"/>
        <v>7.1999999999999995E-2</v>
      </c>
      <c r="AA187" s="67">
        <f t="shared" si="57"/>
        <v>5.6612999999999998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58"/>
        <v>0830-14</v>
      </c>
      <c r="AE187" s="91" t="str">
        <f t="shared" si="59"/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AF187" s="88" t="str">
        <f t="shared" si="60"/>
        <v>"C:\Program Files (x86)\AstroGrep\AstroGrep.exe" /spath="%USERPROFILE%\AppData\Local\Temp\OnboardLogs" /stypes="app*4030*20161215*" /stext=" 00:.+((SYSTEM_STATE.+slice.+state.+changed )|(ment ac)|(multiple cpu faults)|(system.+state.+changed )|(\[timeout)|(PRM\|1\|D)|(kpr)|(kdp)|(\|lc)|(penalty))" /e /r /s</v>
      </c>
      <c r="AG187" s="1" t="str">
        <f t="shared" si="61"/>
        <v>NW</v>
      </c>
      <c r="AH187" s="92" t="str">
        <f t="shared" si="62"/>
        <v>"%USERPROFILE%\Documents\GitHub\eaglep3\Utilities\RefineRTDCRunTimes.py" --tripid 830-14 --locoid 4030 --swversion DE.1.0.8.0 --startMP 300:57333 --initTime 2016-12-14T16:45:25 --startdatetime 2016-12-14T16:47:02 --delay 1 --endMP 204:720 --enddatetime 2016-12-14T17:03:16 --enforcementcount 0 &gt;&gt;C:\Users\stu\Documents\GitHub\eaglep3-reporting\EC\2016-12-14-refined-times.txt</v>
      </c>
      <c r="AI187" s="119" t="str">
        <f t="shared" si="63"/>
        <v>echo {"issue":{"subject":"Delayed due to going active too close to signal","project_id":79,"tracker_id":40,"status_id":1,"priority_id":2,"assigned_to_id":23,"start_date":"2016-12-14","description":"","custom_fields":[{"id":1,"name":"Subdivision","value":"NW"},{"id":4,"name":"Milepost","value":"0.072"},{"id":17,"name":"Train ID","value":"830-14"},{"id":16,"name":"Locomotive ID","value":"4030"},{"id":130,"name":"Impact","value":""},{"id":150,"name":"Time of Event (Mountain Time)","value":"17:03:16"},{"id":151,"name":"Denver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608</v>
      </c>
      <c r="B188" s="7">
        <v>4018</v>
      </c>
      <c r="C188" s="22" t="s">
        <v>207</v>
      </c>
      <c r="D188" s="22" t="s">
        <v>416</v>
      </c>
      <c r="E188" s="13">
        <v>42718.697743055556</v>
      </c>
      <c r="F188" s="13">
        <v>42718.702291666668</v>
      </c>
      <c r="G188" s="7">
        <v>1</v>
      </c>
      <c r="H188" s="22" t="s">
        <v>806</v>
      </c>
      <c r="I188" s="13">
        <v>42718.713391203702</v>
      </c>
      <c r="J188" s="7">
        <v>0</v>
      </c>
      <c r="K188" s="109" t="str">
        <f t="shared" si="50"/>
        <v>4017/4018</v>
      </c>
      <c r="L188" s="22" t="str">
        <f>VLOOKUP(A188,'Trips&amp;Operators'!$C$1:$G$99999,5,FALSE)</f>
        <v>COMELLA JUSTIN</v>
      </c>
      <c r="M188" s="6">
        <f t="shared" si="51"/>
        <v>1.1099537034169771E-2</v>
      </c>
      <c r="N188" s="7">
        <f t="shared" si="71"/>
        <v>15.98333332920447</v>
      </c>
      <c r="O188" s="7"/>
      <c r="P188" s="7"/>
      <c r="Q188" s="23"/>
      <c r="R188" s="23"/>
      <c r="S188" s="35">
        <f t="shared" si="53"/>
        <v>1</v>
      </c>
      <c r="T188" s="50" t="str">
        <f t="shared" si="54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15:44:45-700',mode:absolute,to:'2016-12-14 18:07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8" s="52" t="str">
        <f t="shared" si="56"/>
        <v>N</v>
      </c>
      <c r="X188" s="177">
        <f t="shared" si="72"/>
        <v>1</v>
      </c>
      <c r="Y188" s="67">
        <f t="shared" si="69"/>
        <v>9.7799999999999998E-2</v>
      </c>
      <c r="Z188" s="67">
        <f t="shared" si="70"/>
        <v>5.8956</v>
      </c>
      <c r="AA188" s="67">
        <f t="shared" si="57"/>
        <v>5.7977999999999996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58"/>
        <v>0831-14</v>
      </c>
      <c r="AE188" s="91" t="str">
        <f t="shared" si="59"/>
        <v>aws s3 cp s3://rtdc.mdm.uploadarchive.raw/RTDC4018/ "%USERPROFILE%\AppData\Local\Temp\OnboardLogs"\RTDC4018\2016-12-14 --exclude "*" --recursive --include "*20161214*" &amp; "%USERPROFILE%\Documents\GitHub\mrs-test-scripts\Headless Mode &amp; Sideloading\WalkAndUnGZ.bat" "%USERPROFILE%\AppData\Local\Temp\OnboardLogs"\RTDC4018\2016-12-14 &amp; aws s3 cp s3://rtdc.mdm.uploadarchive.raw/RTDC4018/ "%USERPROFILE%\AppData\Local\Temp\OnboardLogs"\RTDC4018\2016-12-15 --exclude "*" --recursive --include "*20161215*" &amp; "%USERPROFILE%\Documents\GitHub\mrs-test-scripts\Headless Mode &amp; Sideloading\WalkAndUnGZ.bat" "%USERPROFILE%\AppData\Local\Temp\OnboardLogs"\RTDC4018\2016-12-15</v>
      </c>
      <c r="AF188" s="88" t="str">
        <f t="shared" si="60"/>
        <v>"C:\Program Files (x86)\AstroGrep\AstroGrep.exe" /spath="%USERPROFILE%\AppData\Local\Temp\OnboardLogs" /stypes="app*4018*20161215*" /stext=" 00:.+((SYSTEM_STATE.+slice.+state.+changed )|(ment ac)|(multiple cpu faults)|(system.+state.+changed )|(\[timeout)|(PRM\|1\|D)|(kpr)|(kdp)|(\|lc)|(penalty))" /e /r /s</v>
      </c>
      <c r="AG188" s="1" t="str">
        <f t="shared" si="61"/>
        <v>NW</v>
      </c>
      <c r="AH188" s="92" t="str">
        <f t="shared" si="62"/>
        <v>"%USERPROFILE%\Documents\GitHub\eaglep3\Utilities\RefineRTDCRunTimes.py" --tripid 831-14 --locoid 4018 --swversion DE.1.0.8.0 --startMP 204:978 --initTime 2016-12-14T16:44:45 --startdatetime 2016-12-14T16:51:18 --delay 1 --endMP 300:58956 --enddatetime 2016-12-14T17:07:17 --enforcementcount 0 &gt;&gt;C:\Users\stu\Documents\GitHub\eaglep3-reporting\EC\2016-12-14-refined-times.txt</v>
      </c>
      <c r="AI188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{"issue":{"subject":"","project_id":79,"tracker_id":40,"status_id":1,"priority_id":2,"assigned_to_id":23,"start_date":"2016-12-14","description":"","custom_fields":[{"id":1,"name":"Subdivision","value":"NW"},{"id":4,"name":"Milepost","value":"5.8956"},{"id":17,"name":"Train ID","value":"831-14"},{"id":16,"name":"Locomotive ID","value":"4018"},{"id":130,"name":"Impact","value":""},{"id":150,"name":"Time of Event (Mountain Time)","value":"17:07:17"},{"id":151,"name":"Denver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614</v>
      </c>
      <c r="B189" s="7">
        <v>4017</v>
      </c>
      <c r="C189" s="22" t="s">
        <v>207</v>
      </c>
      <c r="D189" s="22" t="s">
        <v>807</v>
      </c>
      <c r="E189" s="13">
        <v>42718.714942129627</v>
      </c>
      <c r="F189" s="13">
        <v>42718.716550925928</v>
      </c>
      <c r="G189" s="7">
        <v>1</v>
      </c>
      <c r="H189" s="22" t="s">
        <v>808</v>
      </c>
      <c r="I189" s="13">
        <v>42718.727199074077</v>
      </c>
      <c r="J189" s="7">
        <v>0</v>
      </c>
      <c r="K189" s="109" t="str">
        <f t="shared" si="50"/>
        <v>4017/4018</v>
      </c>
      <c r="L189" s="22" t="str">
        <f>VLOOKUP(A189,'Trips&amp;Operators'!$C$1:$G$99999,5,FALSE)</f>
        <v>COMELLA JUSTIN</v>
      </c>
      <c r="M189" s="6">
        <f t="shared" si="51"/>
        <v>1.0648148148902692E-2</v>
      </c>
      <c r="N189" s="7">
        <f t="shared" si="71"/>
        <v>15.333333334419876</v>
      </c>
      <c r="O189" s="7"/>
      <c r="P189" s="7"/>
      <c r="Q189" s="23"/>
      <c r="R189" s="23"/>
      <c r="S189" s="35">
        <f t="shared" si="53"/>
        <v>1</v>
      </c>
      <c r="T189" s="50" t="str">
        <f t="shared" si="54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16:09:31-700',mode:absolute,to:'2016-12-14 18:27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9" s="52" t="str">
        <f t="shared" si="56"/>
        <v>N</v>
      </c>
      <c r="X189" s="177">
        <f t="shared" si="72"/>
        <v>1</v>
      </c>
      <c r="Y189" s="67">
        <f t="shared" si="69"/>
        <v>5.8651</v>
      </c>
      <c r="Z189" s="67">
        <f t="shared" si="70"/>
        <v>6.6600000000000006E-2</v>
      </c>
      <c r="AA189" s="67">
        <f t="shared" si="57"/>
        <v>5.7984999999999998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58"/>
        <v>0832-14</v>
      </c>
      <c r="AE189" s="91" t="str">
        <f t="shared" si="59"/>
        <v>aws s3 cp s3://rtdc.mdm.uploadarchive.raw/RTDC4017/ "%USERPROFILE%\AppData\Local\Temp\OnboardLogs"\RTDC4017\2016-12-14 --exclude "*" --recursive --include "*20161214*" &amp; "%USERPROFILE%\Documents\GitHub\mrs-test-scripts\Headless Mode &amp; Sideloading\WalkAndUnGZ.bat" "%USERPROFILE%\AppData\Local\Temp\OnboardLogs"\RTDC4017\2016-12-14 &amp; aws s3 cp s3://rtdc.mdm.uploadarchive.raw/RTDC4017/ "%USERPROFILE%\AppData\Local\Temp\OnboardLogs"\RTDC4017\2016-12-15 --exclude "*" --recursive --include "*20161215*" &amp; "%USERPROFILE%\Documents\GitHub\mrs-test-scripts\Headless Mode &amp; Sideloading\WalkAndUnGZ.bat" "%USERPROFILE%\AppData\Local\Temp\OnboardLogs"\RTDC4017\2016-12-15</v>
      </c>
      <c r="AF189" s="88" t="str">
        <f t="shared" si="60"/>
        <v>"C:\Program Files (x86)\AstroGrep\AstroGrep.exe" /spath="%USERPROFILE%\AppData\Local\Temp\OnboardLogs" /stypes="app*4017*20161215*" /stext=" 00:.+((SYSTEM_STATE.+slice.+state.+changed )|(ment ac)|(multiple cpu faults)|(system.+state.+changed )|(\[timeout)|(PRM\|1\|D)|(kpr)|(kdp)|(\|lc)|(penalty))" /e /r /s</v>
      </c>
      <c r="AG189" s="1" t="str">
        <f t="shared" si="61"/>
        <v>NW</v>
      </c>
      <c r="AH189" s="92" t="str">
        <f t="shared" si="62"/>
        <v>"%USERPROFILE%\Documents\GitHub\eaglep3\Utilities\RefineRTDCRunTimes.py" --tripid 832-14 --locoid 4017 --swversion DE.1.0.8.0 --startMP 300:58651 --initTime 2016-12-14T17:09:31 --startdatetime 2016-12-14T17:11:50 --delay 1 --endMP 204:666 --enddatetime 2016-12-14T17:27:10 --enforcementcount 0 &gt;&gt;C:\Users\stu\Documents\GitHub\eaglep3-reporting\EC\2016-12-14-refined-times.txt</v>
      </c>
      <c r="AI189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{"issue":{"subject":"","project_id":79,"tracker_id":40,"status_id":1,"priority_id":2,"assigned_to_id":23,"start_date":"2016-12-14","description":"","custom_fields":[{"id":1,"name":"Subdivision","value":"NW"},{"id":4,"name":"Milepost","value":"0.0666"},{"id":17,"name":"Train ID","value":"832-14"},{"id":16,"name":"Locomotive ID","value":"4017"},{"id":130,"name":"Impact","value":""},{"id":150,"name":"Time of Event (Mountain Time)","value":"17:27:10"},{"id":151,"name":"Denver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620</v>
      </c>
      <c r="B190" s="7">
        <v>4029</v>
      </c>
      <c r="C190" s="22" t="s">
        <v>207</v>
      </c>
      <c r="D190" s="22" t="s">
        <v>809</v>
      </c>
      <c r="E190" s="13">
        <v>42718.717881944445</v>
      </c>
      <c r="F190" s="13">
        <v>42718.723425925928</v>
      </c>
      <c r="G190" s="7">
        <v>1</v>
      </c>
      <c r="H190" s="22" t="s">
        <v>810</v>
      </c>
      <c r="I190" s="13">
        <v>42718.733564814815</v>
      </c>
      <c r="J190" s="7">
        <v>0</v>
      </c>
      <c r="K190" s="109" t="str">
        <f t="shared" si="50"/>
        <v>4029/4030</v>
      </c>
      <c r="L190" s="22" t="str">
        <f>VLOOKUP(A190,'Trips&amp;Operators'!$C$1:$G$99999,5,FALSE)</f>
        <v>MOSES BRADLEY</v>
      </c>
      <c r="M190" s="6">
        <f t="shared" si="51"/>
        <v>1.0138888887013309E-2</v>
      </c>
      <c r="N190" s="7">
        <f t="shared" si="71"/>
        <v>14.599999997299165</v>
      </c>
      <c r="O190" s="7"/>
      <c r="P190" s="7"/>
      <c r="Q190" s="23"/>
      <c r="R190" s="23"/>
      <c r="S190" s="35">
        <f t="shared" si="53"/>
        <v>1</v>
      </c>
      <c r="T190" s="50" t="str">
        <f t="shared" si="54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16:13:45-700',mode:absolute,to:'2016-12-14 18:36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0" s="52" t="str">
        <f t="shared" si="56"/>
        <v>N</v>
      </c>
      <c r="X190" s="177">
        <f t="shared" si="72"/>
        <v>1</v>
      </c>
      <c r="Y190" s="67">
        <f t="shared" si="69"/>
        <v>0.1002</v>
      </c>
      <c r="Z190" s="67">
        <f t="shared" si="70"/>
        <v>5.8964999999999996</v>
      </c>
      <c r="AA190" s="67">
        <f t="shared" si="57"/>
        <v>5.7962999999999996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58"/>
        <v>0833-14</v>
      </c>
      <c r="AE190" s="91" t="str">
        <f t="shared" si="59"/>
        <v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v>
      </c>
      <c r="AF190" s="88" t="str">
        <f t="shared" si="60"/>
        <v>"C:\Program Files (x86)\AstroGrep\AstroGrep.exe" /spath="%USERPROFILE%\AppData\Local\Temp\OnboardLogs" /stypes="app*4029*20161215*" /stext=" 00:.+((SYSTEM_STATE.+slice.+state.+changed )|(ment ac)|(multiple cpu faults)|(system.+state.+changed )|(\[timeout)|(PRM\|1\|D)|(kpr)|(kdp)|(\|lc)|(penalty))" /e /r /s</v>
      </c>
      <c r="AG190" s="1" t="str">
        <f t="shared" si="61"/>
        <v>NW</v>
      </c>
      <c r="AH190" s="92" t="str">
        <f t="shared" si="62"/>
        <v>"%USERPROFILE%\Documents\GitHub\eaglep3\Utilities\RefineRTDCRunTimes.py" --tripid 833-14 --locoid 4029 --swversion DE.1.0.8.0 --startMP 204:1002 --initTime 2016-12-14T17:13:45 --startdatetime 2016-12-14T17:21:44 --delay 1 --endMP 300:58965 --enddatetime 2016-12-14T17:36:20 --enforcementcount 0 &gt;&gt;C:\Users\stu\Documents\GitHub\eaglep3-reporting\EC\2016-12-14-refined-times.txt</v>
      </c>
      <c r="AI190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{"issue":{"subject":"","project_id":79,"tracker_id":40,"status_id":1,"priority_id":2,"assigned_to_id":23,"start_date":"2016-12-14","description":"","custom_fields":[{"id":1,"name":"Subdivision","value":"NW"},{"id":4,"name":"Milepost","value":"5.8965"},{"id":17,"name":"Train ID","value":"833-14"},{"id":16,"name":"Locomotive ID","value":"4029"},{"id":130,"name":"Impact","value":""},{"id":150,"name":"Time of Event (Mountain Time)","value":"17:36:20"},{"id":151,"name":"Denver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623</v>
      </c>
      <c r="B191" s="7">
        <v>4030</v>
      </c>
      <c r="C191" s="22" t="s">
        <v>207</v>
      </c>
      <c r="D191" s="22" t="s">
        <v>811</v>
      </c>
      <c r="E191" s="13">
        <v>42718.735000000001</v>
      </c>
      <c r="F191" s="13">
        <v>42718.737488425926</v>
      </c>
      <c r="G191" s="7">
        <v>1</v>
      </c>
      <c r="H191" s="22" t="s">
        <v>812</v>
      </c>
      <c r="I191" s="13">
        <v>42718.747974537036</v>
      </c>
      <c r="J191" s="7">
        <v>0</v>
      </c>
      <c r="K191" s="109" t="str">
        <f t="shared" si="50"/>
        <v>4029/4030</v>
      </c>
      <c r="L191" s="22" t="str">
        <f>VLOOKUP(A191,'Trips&amp;Operators'!$C$1:$G$99999,5,FALSE)</f>
        <v>MOSES BRADLEY</v>
      </c>
      <c r="M191" s="6">
        <f t="shared" si="51"/>
        <v>1.0486111110367347E-2</v>
      </c>
      <c r="N191" s="7">
        <f t="shared" si="71"/>
        <v>15.099999998928979</v>
      </c>
      <c r="O191" s="7"/>
      <c r="P191" s="7"/>
      <c r="Q191" s="23"/>
      <c r="R191" s="23"/>
      <c r="S191" s="35">
        <f t="shared" si="53"/>
        <v>1</v>
      </c>
      <c r="T191" s="50" t="str">
        <f t="shared" si="54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16:38:24-700',mode:absolute,to:'2016-12-14 18:57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1" s="52" t="str">
        <f t="shared" si="56"/>
        <v>N</v>
      </c>
      <c r="X191" s="177">
        <f t="shared" ref="X191:X228" si="73">VALUE(LEFT(AD191,4))-VALUE(LEFT(AD190,4))</f>
        <v>1</v>
      </c>
      <c r="Y191" s="67">
        <f t="shared" si="69"/>
        <v>5.8644999999999996</v>
      </c>
      <c r="Z191" s="67">
        <f t="shared" si="70"/>
        <v>7.22E-2</v>
      </c>
      <c r="AA191" s="67">
        <f t="shared" si="57"/>
        <v>5.7923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58"/>
        <v>0834-14</v>
      </c>
      <c r="AE191" s="91" t="str">
        <f t="shared" si="59"/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AF191" s="88" t="str">
        <f t="shared" si="60"/>
        <v>"C:\Program Files (x86)\AstroGrep\AstroGrep.exe" /spath="%USERPROFILE%\AppData\Local\Temp\OnboardLogs" /stypes="app*4030*20161215*" /stext=" 00:.+((SYSTEM_STATE.+slice.+state.+changed )|(ment ac)|(multiple cpu faults)|(system.+state.+changed )|(\[timeout)|(PRM\|1\|D)|(kpr)|(kdp)|(\|lc)|(penalty))" /e /r /s</v>
      </c>
      <c r="AG191" s="1" t="str">
        <f t="shared" si="61"/>
        <v>NW</v>
      </c>
      <c r="AH191" s="92" t="str">
        <f t="shared" si="62"/>
        <v>"%USERPROFILE%\Documents\GitHub\eaglep3\Utilities\RefineRTDCRunTimes.py" --tripid 834-14 --locoid 4030 --swversion DE.1.0.8.0 --startMP 300:58645 --initTime 2016-12-14T17:38:24 --startdatetime 2016-12-14T17:41:59 --delay 1 --endMP 204:722 --enddatetime 2016-12-14T17:57:05 --enforcementcount 0 &gt;&gt;C:\Users\stu\Documents\GitHub\eaglep3-reporting\EC\2016-12-14-refined-times.txt</v>
      </c>
      <c r="AI191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{"issue":{"subject":"","project_id":79,"tracker_id":40,"status_id":1,"priority_id":2,"assigned_to_id":23,"start_date":"2016-12-14","description":"","custom_fields":[{"id":1,"name":"Subdivision","value":"NW"},{"id":4,"name":"Milepost","value":"0.0722"},{"id":17,"name":"Train ID","value":"834-14"},{"id":16,"name":"Locomotive ID","value":"4030"},{"id":130,"name":"Impact","value":""},{"id":150,"name":"Time of Event (Mountain Time)","value":"17:57:05"},{"id":151,"name":"Denver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625</v>
      </c>
      <c r="B192" s="7">
        <v>4018</v>
      </c>
      <c r="C192" s="22" t="s">
        <v>207</v>
      </c>
      <c r="D192" s="22" t="s">
        <v>320</v>
      </c>
      <c r="E192" s="13">
        <v>42718.737291666665</v>
      </c>
      <c r="F192" s="13">
        <v>42718.744016203702</v>
      </c>
      <c r="G192" s="7">
        <v>1</v>
      </c>
      <c r="H192" s="22" t="s">
        <v>774</v>
      </c>
      <c r="I192" s="13">
        <v>42718.755671296298</v>
      </c>
      <c r="J192" s="7">
        <v>0</v>
      </c>
      <c r="K192" s="109" t="str">
        <f t="shared" si="50"/>
        <v>4017/4018</v>
      </c>
      <c r="L192" s="22" t="str">
        <f>VLOOKUP(A192,'Trips&amp;Operators'!$C$1:$G$99999,5,FALSE)</f>
        <v>COMELLA JUSTIN</v>
      </c>
      <c r="M192" s="6">
        <f t="shared" si="51"/>
        <v>1.1655092595901806E-2</v>
      </c>
      <c r="N192" s="7">
        <f t="shared" si="71"/>
        <v>16.783333338098601</v>
      </c>
      <c r="O192" s="7"/>
      <c r="P192" s="7"/>
      <c r="Q192" s="23"/>
      <c r="R192" s="23"/>
      <c r="S192" s="35">
        <f t="shared" si="53"/>
        <v>1</v>
      </c>
      <c r="T192" s="50" t="str">
        <f t="shared" si="54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16:41:42-700',mode:absolute,to:'2016-12-14 19:08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2" s="52" t="str">
        <f t="shared" si="56"/>
        <v>N</v>
      </c>
      <c r="X192" s="177">
        <f t="shared" si="73"/>
        <v>1</v>
      </c>
      <c r="Y192" s="67">
        <f t="shared" si="69"/>
        <v>9.74E-2</v>
      </c>
      <c r="Z192" s="67">
        <f t="shared" si="70"/>
        <v>5.8948</v>
      </c>
      <c r="AA192" s="67">
        <f t="shared" si="57"/>
        <v>5.7973999999999997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58"/>
        <v>0835-14</v>
      </c>
      <c r="AE192" s="91" t="str">
        <f t="shared" si="59"/>
        <v>aws s3 cp s3://rtdc.mdm.uploadarchive.raw/RTDC4018/ "%USERPROFILE%\AppData\Local\Temp\OnboardLogs"\RTDC4018\2016-12-14 --exclude "*" --recursive --include "*20161214*" &amp; "%USERPROFILE%\Documents\GitHub\mrs-test-scripts\Headless Mode &amp; Sideloading\WalkAndUnGZ.bat" "%USERPROFILE%\AppData\Local\Temp\OnboardLogs"\RTDC4018\2016-12-14 &amp; aws s3 cp s3://rtdc.mdm.uploadarchive.raw/RTDC4018/ "%USERPROFILE%\AppData\Local\Temp\OnboardLogs"\RTDC4018\2016-12-15 --exclude "*" --recursive --include "*20161215*" &amp; "%USERPROFILE%\Documents\GitHub\mrs-test-scripts\Headless Mode &amp; Sideloading\WalkAndUnGZ.bat" "%USERPROFILE%\AppData\Local\Temp\OnboardLogs"\RTDC4018\2016-12-15</v>
      </c>
      <c r="AF192" s="88" t="str">
        <f t="shared" si="60"/>
        <v>"C:\Program Files (x86)\AstroGrep\AstroGrep.exe" /spath="%USERPROFILE%\AppData\Local\Temp\OnboardLogs" /stypes="app*4018*20161215*" /stext=" 01:.+((SYSTEM_STATE.+slice.+state.+changed )|(ment ac)|(multiple cpu faults)|(system.+state.+changed )|(\[timeout)|(PRM\|1\|D)|(kpr)|(kdp)|(\|lc)|(penalty))" /e /r /s</v>
      </c>
      <c r="AG192" s="1" t="str">
        <f t="shared" si="61"/>
        <v>NW</v>
      </c>
      <c r="AH192" s="92" t="str">
        <f t="shared" si="62"/>
        <v>"%USERPROFILE%\Documents\GitHub\eaglep3\Utilities\RefineRTDCRunTimes.py" --tripid 835-14 --locoid 4018 --swversion DE.1.0.8.0 --startMP 204:974 --initTime 2016-12-14T17:41:42 --startdatetime 2016-12-14T17:51:23 --delay 1 --endMP 300:58948 --enddatetime 2016-12-14T18:08:10 --enforcementcount 0 &gt;&gt;C:\Users\stu\Documents\GitHub\eaglep3-reporting\EC\2016-12-14-refined-times.txt</v>
      </c>
      <c r="AI192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{"issue":{"subject":"","project_id":79,"tracker_id":40,"status_id":1,"priority_id":2,"assigned_to_id":23,"start_date":"2016-12-14","description":"","custom_fields":[{"id":1,"name":"Subdivision","value":"NW"},{"id":4,"name":"Milepost","value":"5.8948"},{"id":17,"name":"Train ID","value":"835-14"},{"id":16,"name":"Locomotive ID","value":"4018"},{"id":130,"name":"Impact","value":""},{"id":150,"name":"Time of Event (Mountain Time)","value":"18:08:10"},{"id":151,"name":"Denver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s="21" customFormat="1" x14ac:dyDescent="0.25">
      <c r="A193" s="37" t="s">
        <v>632</v>
      </c>
      <c r="B193" s="7">
        <v>4017</v>
      </c>
      <c r="C193" s="22" t="s">
        <v>207</v>
      </c>
      <c r="D193" s="22" t="s">
        <v>419</v>
      </c>
      <c r="E193" s="13">
        <v>42718.757025462961</v>
      </c>
      <c r="F193" s="13">
        <v>42718.758599537039</v>
      </c>
      <c r="G193" s="7">
        <v>1</v>
      </c>
      <c r="H193" s="22" t="s">
        <v>813</v>
      </c>
      <c r="I193" s="13">
        <v>42718.769108796296</v>
      </c>
      <c r="J193" s="7">
        <v>0</v>
      </c>
      <c r="K193" s="109" t="str">
        <f t="shared" si="50"/>
        <v>4017/4018</v>
      </c>
      <c r="L193" s="22" t="str">
        <f>VLOOKUP(A193,'Trips&amp;Operators'!$C$1:$G$99999,5,FALSE)</f>
        <v>COMELLA JUSTIN</v>
      </c>
      <c r="M193" s="6">
        <f t="shared" si="51"/>
        <v>1.0509259256650694E-2</v>
      </c>
      <c r="N193" s="7">
        <f t="shared" si="71"/>
        <v>15.133333329576999</v>
      </c>
      <c r="O193" s="7"/>
      <c r="P193" s="7"/>
      <c r="Q193" s="23"/>
      <c r="R193" s="23"/>
      <c r="S193" s="35">
        <f t="shared" si="53"/>
        <v>1</v>
      </c>
      <c r="T193" s="50" t="str">
        <f t="shared" si="54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17:10:07-700',mode:absolute,to:'2016-12-14 19:27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3" s="52" t="str">
        <f t="shared" si="56"/>
        <v>N</v>
      </c>
      <c r="X193" s="177">
        <f t="shared" si="73"/>
        <v>1</v>
      </c>
      <c r="Y193" s="67">
        <f t="shared" si="69"/>
        <v>5.8625999999999996</v>
      </c>
      <c r="Z193" s="67">
        <f t="shared" si="70"/>
        <v>6.9400000000000003E-2</v>
      </c>
      <c r="AA193" s="67">
        <f t="shared" si="57"/>
        <v>5.7931999999999997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58"/>
        <v>0836-14</v>
      </c>
      <c r="AE193" s="91" t="str">
        <f t="shared" si="59"/>
        <v>aws s3 cp s3://rtdc.mdm.uploadarchive.raw/RTDC4017/ "%USERPROFILE%\AppData\Local\Temp\OnboardLogs"\RTDC4017\2016-12-14 --exclude "*" --recursive --include "*20161214*" &amp; "%USERPROFILE%\Documents\GitHub\mrs-test-scripts\Headless Mode &amp; Sideloading\WalkAndUnGZ.bat" "%USERPROFILE%\AppData\Local\Temp\OnboardLogs"\RTDC4017\2016-12-14 &amp; aws s3 cp s3://rtdc.mdm.uploadarchive.raw/RTDC4017/ "%USERPROFILE%\AppData\Local\Temp\OnboardLogs"\RTDC4017\2016-12-15 --exclude "*" --recursive --include "*20161215*" &amp; "%USERPROFILE%\Documents\GitHub\mrs-test-scripts\Headless Mode &amp; Sideloading\WalkAndUnGZ.bat" "%USERPROFILE%\AppData\Local\Temp\OnboardLogs"\RTDC4017\2016-12-15</v>
      </c>
      <c r="AF193" s="88" t="str">
        <f t="shared" si="60"/>
        <v>"C:\Program Files (x86)\AstroGrep\AstroGrep.exe" /spath="%USERPROFILE%\AppData\Local\Temp\OnboardLogs" /stypes="app*4017*20161215*" /stext=" 01:.+((SYSTEM_STATE.+slice.+state.+changed )|(ment ac)|(multiple cpu faults)|(system.+state.+changed )|(\[timeout)|(PRM\|1\|D)|(kpr)|(kdp)|(\|lc)|(penalty))" /e /r /s</v>
      </c>
      <c r="AG193" s="1" t="str">
        <f t="shared" si="61"/>
        <v>NW</v>
      </c>
      <c r="AH193" s="92" t="str">
        <f t="shared" si="62"/>
        <v>"%USERPROFILE%\Documents\GitHub\eaglep3\Utilities\RefineRTDCRunTimes.py" --tripid 836-14 --locoid 4017 --swversion DE.1.0.8.0 --startMP 300:58626 --initTime 2016-12-14T18:10:07 --startdatetime 2016-12-14T18:12:23 --delay 1 --endMP 204:694 --enddatetime 2016-12-14T18:27:31 --enforcementcount 0 &gt;&gt;C:\Users\stu\Documents\GitHub\eaglep3-reporting\EC\2016-12-14-refined-times.txt</v>
      </c>
      <c r="AI193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{"issue":{"subject":"","project_id":79,"tracker_id":40,"status_id":1,"priority_id":2,"assigned_to_id":23,"start_date":"2016-12-14","description":"","custom_fields":[{"id":1,"name":"Subdivision","value":"NW"},{"id":4,"name":"Milepost","value":"0.0694"},{"id":17,"name":"Train ID","value":"836-14"},{"id":16,"name":"Locomotive ID","value":"4017"},{"id":130,"name":"Impact","value":""},{"id":150,"name":"Time of Event (Mountain Time)","value":"18:27:31"},{"id":151,"name":"Denver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635</v>
      </c>
      <c r="B194" s="7">
        <v>4029</v>
      </c>
      <c r="C194" s="22" t="s">
        <v>207</v>
      </c>
      <c r="D194" s="22" t="s">
        <v>413</v>
      </c>
      <c r="E194" s="13">
        <v>42718.760092592594</v>
      </c>
      <c r="F194" s="13">
        <v>42718.765023148146</v>
      </c>
      <c r="G194" s="7">
        <v>1</v>
      </c>
      <c r="H194" s="22" t="s">
        <v>814</v>
      </c>
      <c r="I194" s="13">
        <v>42718.775324074071</v>
      </c>
      <c r="J194" s="7">
        <v>0</v>
      </c>
      <c r="K194" s="109" t="str">
        <f t="shared" si="50"/>
        <v>4029/4030</v>
      </c>
      <c r="L194" s="22" t="str">
        <f>VLOOKUP(A194,'Trips&amp;Operators'!$C$1:$G$99999,5,FALSE)</f>
        <v>MOSES BRADLEY</v>
      </c>
      <c r="M194" s="6">
        <f t="shared" si="51"/>
        <v>1.0300925925548654E-2</v>
      </c>
      <c r="N194" s="7">
        <f t="shared" si="71"/>
        <v>14.833333332790062</v>
      </c>
      <c r="O194" s="7"/>
      <c r="P194" s="7"/>
      <c r="Q194" s="23"/>
      <c r="R194" s="23"/>
      <c r="S194" s="35">
        <f t="shared" si="53"/>
        <v>1</v>
      </c>
      <c r="T194" s="50" t="str">
        <f t="shared" si="54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17:14:32-700',mode:absolute,to:'2016-12-14 19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4" s="52" t="str">
        <f t="shared" si="56"/>
        <v>N</v>
      </c>
      <c r="X194" s="177">
        <f t="shared" si="73"/>
        <v>1</v>
      </c>
      <c r="Y194" s="67">
        <f t="shared" si="69"/>
        <v>0.1011</v>
      </c>
      <c r="Z194" s="67">
        <f t="shared" si="70"/>
        <v>5.8958000000000004</v>
      </c>
      <c r="AA194" s="67">
        <f t="shared" si="57"/>
        <v>5.7947000000000006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58"/>
        <v>0837-14</v>
      </c>
      <c r="AE194" s="91" t="str">
        <f t="shared" si="59"/>
        <v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v>
      </c>
      <c r="AF194" s="88" t="str">
        <f t="shared" si="60"/>
        <v>"C:\Program Files (x86)\AstroGrep\AstroGrep.exe" /spath="%USERPROFILE%\AppData\Local\Temp\OnboardLogs" /stypes="app*4029*20161215*" /stext=" 01:.+((SYSTEM_STATE.+slice.+state.+changed )|(ment ac)|(multiple cpu faults)|(system.+state.+changed )|(\[timeout)|(PRM\|1\|D)|(kpr)|(kdp)|(\|lc)|(penalty))" /e /r /s</v>
      </c>
      <c r="AG194" s="1" t="str">
        <f t="shared" si="61"/>
        <v>NW</v>
      </c>
      <c r="AH194" s="92" t="str">
        <f t="shared" si="62"/>
        <v>"%USERPROFILE%\Documents\GitHub\eaglep3\Utilities\RefineRTDCRunTimes.py" --tripid 837-14 --locoid 4029 --swversion DE.1.0.8.0 --startMP 204:1011 --initTime 2016-12-14T18:14:32 --startdatetime 2016-12-14T18:21:38 --delay 1 --endMP 300:58958 --enddatetime 2016-12-14T18:36:28 --enforcementcount 0 &gt;&gt;C:\Users\stu\Documents\GitHub\eaglep3-reporting\EC\2016-12-14-refined-times.txt</v>
      </c>
      <c r="AI194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{"issue":{"subject":"","project_id":79,"tracker_id":40,"status_id":1,"priority_id":2,"assigned_to_id":23,"start_date":"2016-12-14","description":"","custom_fields":[{"id":1,"name":"Subdivision","value":"NW"},{"id":4,"name":"Milepost","value":"5.8958"},{"id":17,"name":"Train ID","value":"837-14"},{"id":16,"name":"Locomotive ID","value":"4029"},{"id":130,"name":"Impact","value":""},{"id":150,"name":"Time of Event (Mountain Time)","value":"18:36:28"},{"id":151,"name":"Denver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641</v>
      </c>
      <c r="B195" s="7">
        <v>4030</v>
      </c>
      <c r="C195" s="22" t="s">
        <v>207</v>
      </c>
      <c r="D195" s="22" t="s">
        <v>815</v>
      </c>
      <c r="E195" s="13">
        <v>42718.776226851849</v>
      </c>
      <c r="F195" s="13">
        <v>42718.778645833336</v>
      </c>
      <c r="G195" s="7">
        <v>2</v>
      </c>
      <c r="H195" s="22" t="s">
        <v>805</v>
      </c>
      <c r="I195" s="13">
        <v>42718.789120370369</v>
      </c>
      <c r="J195" s="7">
        <v>0</v>
      </c>
      <c r="K195" s="109" t="str">
        <f t="shared" si="50"/>
        <v>4029/4030</v>
      </c>
      <c r="L195" s="22" t="str">
        <f>VLOOKUP(A195,'Trips&amp;Operators'!$C$1:$G$99999,5,FALSE)</f>
        <v>MOSES BRADLEY</v>
      </c>
      <c r="M195" s="6">
        <f t="shared" si="51"/>
        <v>1.0474537033587694E-2</v>
      </c>
      <c r="N195" s="7">
        <f t="shared" si="71"/>
        <v>15.08333332836628</v>
      </c>
      <c r="O195" s="7"/>
      <c r="P195" s="7"/>
      <c r="Q195" s="23"/>
      <c r="R195" s="23"/>
      <c r="S195" s="35">
        <f t="shared" si="53"/>
        <v>1</v>
      </c>
      <c r="T195" s="50" t="str">
        <f t="shared" si="54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17:37:46-700',mode:absolute,to:'2016-12-14 19:56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5" s="52" t="str">
        <f t="shared" si="56"/>
        <v>N</v>
      </c>
      <c r="X195" s="177">
        <f t="shared" si="73"/>
        <v>1</v>
      </c>
      <c r="Y195" s="67">
        <f t="shared" si="69"/>
        <v>5.8658000000000001</v>
      </c>
      <c r="Z195" s="67">
        <f t="shared" si="70"/>
        <v>7.1999999999999995E-2</v>
      </c>
      <c r="AA195" s="67">
        <f t="shared" si="57"/>
        <v>5.7938000000000001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58"/>
        <v>0838-14</v>
      </c>
      <c r="AE195" s="91" t="str">
        <f t="shared" si="59"/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AF195" s="88" t="str">
        <f t="shared" si="60"/>
        <v>"C:\Program Files (x86)\AstroGrep\AstroGrep.exe" /spath="%USERPROFILE%\AppData\Local\Temp\OnboardLogs" /stypes="app*4030*20161215*" /stext=" 01:.+((SYSTEM_STATE.+slice.+state.+changed )|(ment ac)|(multiple cpu faults)|(system.+state.+changed )|(\[timeout)|(PRM\|1\|D)|(kpr)|(kdp)|(\|lc)|(penalty))" /e /r /s</v>
      </c>
      <c r="AG195" s="1" t="str">
        <f t="shared" si="61"/>
        <v>NW</v>
      </c>
      <c r="AH195" s="92" t="str">
        <f t="shared" si="62"/>
        <v>"%USERPROFILE%\Documents\GitHub\eaglep3\Utilities\RefineRTDCRunTimes.py" --tripid 838-14 --locoid 4030 --swversion DE.1.0.8.0 --startMP 300:58658 --initTime 2016-12-14T18:37:46 --startdatetime 2016-12-14T18:41:15 --delay 2 --endMP 204:720 --enddatetime 2016-12-14T18:56:20 --enforcementcount 0 &gt;&gt;C:\Users\stu\Documents\GitHub\eaglep3-reporting\EC\2016-12-14-refined-times.txt</v>
      </c>
      <c r="AI195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{"issue":{"subject":"","project_id":79,"tracker_id":40,"status_id":1,"priority_id":2,"assigned_to_id":23,"start_date":"2016-12-14","description":"","custom_fields":[{"id":1,"name":"Subdivision","value":"NW"},{"id":4,"name":"Milepost","value":"0.072"},{"id":17,"name":"Train ID","value":"838-14"},{"id":16,"name":"Locomotive ID","value":"4030"},{"id":130,"name":"Impact","value":""},{"id":150,"name":"Time of Event (Mountain Time)","value":"18:56:20"},{"id":151,"name":"Denver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7" t="s">
        <v>446</v>
      </c>
      <c r="B196" s="7">
        <v>4018</v>
      </c>
      <c r="C196" s="22" t="s">
        <v>207</v>
      </c>
      <c r="D196" s="22" t="s">
        <v>801</v>
      </c>
      <c r="E196" s="13">
        <v>42718.781817129631</v>
      </c>
      <c r="F196" s="13">
        <v>42718.785613425927</v>
      </c>
      <c r="G196" s="7">
        <v>1</v>
      </c>
      <c r="H196" s="22" t="s">
        <v>342</v>
      </c>
      <c r="I196" s="13">
        <v>42718.796435185184</v>
      </c>
      <c r="J196" s="7">
        <v>0</v>
      </c>
      <c r="K196" s="109" t="str">
        <f t="shared" si="50"/>
        <v>4017/4018</v>
      </c>
      <c r="L196" s="22" t="str">
        <f>VLOOKUP(A196,'Trips&amp;Operators'!$C$1:$G$99999,5,FALSE)</f>
        <v>COMELLA JUSTIN</v>
      </c>
      <c r="M196" s="6">
        <f t="shared" si="51"/>
        <v>1.0821759256941732E-2</v>
      </c>
      <c r="N196" s="7">
        <f t="shared" si="71"/>
        <v>15.583333329996094</v>
      </c>
      <c r="O196" s="7"/>
      <c r="P196" s="7"/>
      <c r="Q196" s="23"/>
      <c r="R196" s="23"/>
      <c r="S196" s="35">
        <f t="shared" si="53"/>
        <v>1</v>
      </c>
      <c r="T196" s="50" t="str">
        <f t="shared" si="54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17:45:49-700',mode:absolute,to:'2016-12-14 20:06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6" s="52" t="str">
        <f t="shared" si="56"/>
        <v>N</v>
      </c>
      <c r="X196" s="177">
        <f t="shared" si="73"/>
        <v>1</v>
      </c>
      <c r="Y196" s="67">
        <f t="shared" si="69"/>
        <v>9.7900000000000001E-2</v>
      </c>
      <c r="Z196" s="67">
        <f t="shared" si="70"/>
        <v>5.8944000000000001</v>
      </c>
      <c r="AA196" s="67">
        <f t="shared" si="57"/>
        <v>5.7965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58"/>
        <v>0839-14</v>
      </c>
      <c r="AE196" s="91" t="str">
        <f t="shared" si="59"/>
        <v>aws s3 cp s3://rtdc.mdm.uploadarchive.raw/RTDC4018/ "%USERPROFILE%\AppData\Local\Temp\OnboardLogs"\RTDC4018\2016-12-14 --exclude "*" --recursive --include "*20161214*" &amp; "%USERPROFILE%\Documents\GitHub\mrs-test-scripts\Headless Mode &amp; Sideloading\WalkAndUnGZ.bat" "%USERPROFILE%\AppData\Local\Temp\OnboardLogs"\RTDC4018\2016-12-14 &amp; aws s3 cp s3://rtdc.mdm.uploadarchive.raw/RTDC4018/ "%USERPROFILE%\AppData\Local\Temp\OnboardLogs"\RTDC4018\2016-12-15 --exclude "*" --recursive --include "*20161215*" &amp; "%USERPROFILE%\Documents\GitHub\mrs-test-scripts\Headless Mode &amp; Sideloading\WalkAndUnGZ.bat" "%USERPROFILE%\AppData\Local\Temp\OnboardLogs"\RTDC4018\2016-12-15</v>
      </c>
      <c r="AF196" s="88" t="str">
        <f t="shared" si="60"/>
        <v>"C:\Program Files (x86)\AstroGrep\AstroGrep.exe" /spath="%USERPROFILE%\AppData\Local\Temp\OnboardLogs" /stypes="app*4018*20161215*" /stext=" 02:.+((SYSTEM_STATE.+slice.+state.+changed )|(ment ac)|(multiple cpu faults)|(system.+state.+changed )|(\[timeout)|(PRM\|1\|D)|(kpr)|(kdp)|(\|lc)|(penalty))" /e /r /s</v>
      </c>
      <c r="AG196" s="1" t="str">
        <f t="shared" si="61"/>
        <v>NW</v>
      </c>
      <c r="AH196" s="92" t="str">
        <f t="shared" si="62"/>
        <v>"%USERPROFILE%\Documents\GitHub\eaglep3\Utilities\RefineRTDCRunTimes.py" --tripid 839-14 --locoid 4018 --swversion DE.1.0.8.0 --startMP 204:979 --initTime 2016-12-14T18:45:49 --startdatetime 2016-12-14T18:51:17 --delay 1 --endMP 300:58944 --enddatetime 2016-12-14T19:06:52 --enforcementcount 0 &gt;&gt;C:\Users\stu\Documents\GitHub\eaglep3-reporting\EC\2016-12-14-refined-times.txt</v>
      </c>
      <c r="AI196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{"issue":{"subject":"","project_id":79,"tracker_id":40,"status_id":1,"priority_id":2,"assigned_to_id":23,"start_date":"2016-12-14","description":"","custom_fields":[{"id":1,"name":"Subdivision","value":"NW"},{"id":4,"name":"Milepost","value":"5.8944"},{"id":17,"name":"Train ID","value":"839-14"},{"id":16,"name":"Locomotive ID","value":"4018"},{"id":130,"name":"Impact","value":""},{"id":150,"name":"Time of Event (Mountain Time)","value":"19:06:52"},{"id":151,"name":"Denver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652</v>
      </c>
      <c r="B197" s="7">
        <v>4030</v>
      </c>
      <c r="C197" s="22" t="s">
        <v>207</v>
      </c>
      <c r="D197" s="22" t="s">
        <v>408</v>
      </c>
      <c r="E197" s="13">
        <v>42718.817789351851</v>
      </c>
      <c r="F197" s="13">
        <v>42718.81958333333</v>
      </c>
      <c r="G197" s="7">
        <v>1</v>
      </c>
      <c r="H197" s="22" t="s">
        <v>410</v>
      </c>
      <c r="I197" s="13">
        <v>42718.829988425925</v>
      </c>
      <c r="J197" s="7">
        <v>0</v>
      </c>
      <c r="K197" s="109" t="str">
        <f t="shared" si="50"/>
        <v>4029/4030</v>
      </c>
      <c r="L197" s="22" t="str">
        <f>VLOOKUP(A197,'Trips&amp;Operators'!$C$1:$G$99999,5,FALSE)</f>
        <v>MOSES BRADLEY</v>
      </c>
      <c r="M197" s="6">
        <f t="shared" si="51"/>
        <v>1.0405092594737653E-2</v>
      </c>
      <c r="N197" s="7">
        <f t="shared" si="71"/>
        <v>14.98333333642222</v>
      </c>
      <c r="O197" s="7"/>
      <c r="P197" s="7"/>
      <c r="Q197" s="23"/>
      <c r="R197" s="23"/>
      <c r="S197" s="35">
        <f t="shared" si="53"/>
        <v>1</v>
      </c>
      <c r="T197" s="50" t="str">
        <f t="shared" si="54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18:37:37-700',mode:absolute,to:'2016-12-14 20:55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7" s="52" t="str">
        <f t="shared" si="56"/>
        <v>N</v>
      </c>
      <c r="X197" s="177">
        <f t="shared" si="73"/>
        <v>1</v>
      </c>
      <c r="Y197" s="67">
        <f t="shared" si="69"/>
        <v>5.8647</v>
      </c>
      <c r="Z197" s="67">
        <f t="shared" si="70"/>
        <v>7.3300000000000004E-2</v>
      </c>
      <c r="AA197" s="67">
        <f t="shared" si="57"/>
        <v>5.7914000000000003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58"/>
        <v>0840-14</v>
      </c>
      <c r="AE197" s="91" t="str">
        <f t="shared" si="59"/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AF197" s="88" t="str">
        <f t="shared" si="60"/>
        <v>"C:\Program Files (x86)\AstroGrep\AstroGrep.exe" /spath="%USERPROFILE%\AppData\Local\Temp\OnboardLogs" /stypes="app*4030*20161215*" /stext=" 02:.+((SYSTEM_STATE.+slice.+state.+changed )|(ment ac)|(multiple cpu faults)|(system.+state.+changed )|(\[timeout)|(PRM\|1\|D)|(kpr)|(kdp)|(\|lc)|(penalty))" /e /r /s</v>
      </c>
      <c r="AG197" s="1" t="str">
        <f t="shared" si="61"/>
        <v>NW</v>
      </c>
      <c r="AH197" s="92" t="str">
        <f t="shared" si="62"/>
        <v>"%USERPROFILE%\Documents\GitHub\eaglep3\Utilities\RefineRTDCRunTimes.py" --tripid 840-14 --locoid 4030 --swversion DE.1.0.8.0 --startMP 300:58647 --initTime 2016-12-14T19:37:37 --startdatetime 2016-12-14T19:40:12 --delay 1 --endMP 204:733 --enddatetime 2016-12-14T19:55:11 --enforcementcount 0 &gt;&gt;C:\Users\stu\Documents\GitHub\eaglep3-reporting\EC\2016-12-14-refined-times.txt</v>
      </c>
      <c r="AI197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{"issue":{"subject":"","project_id":79,"tracker_id":40,"status_id":1,"priority_id":2,"assigned_to_id":23,"start_date":"2016-12-14","description":"","custom_fields":[{"id":1,"name":"Subdivision","value":"NW"},{"id":4,"name":"Milepost","value":"0.0733"},{"id":17,"name":"Train ID","value":"840-14"},{"id":16,"name":"Locomotive ID","value":"4030"},{"id":130,"name":"Impact","value":""},{"id":150,"name":"Time of Event (Mountain Time)","value":"19:55:11"},{"id":151,"name":"Denver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647</v>
      </c>
      <c r="B198" s="7">
        <v>4029</v>
      </c>
      <c r="C198" s="22" t="s">
        <v>207</v>
      </c>
      <c r="D198" s="22" t="s">
        <v>797</v>
      </c>
      <c r="E198" s="13">
        <v>42718.797129629631</v>
      </c>
      <c r="F198" s="13">
        <v>42718.806597222225</v>
      </c>
      <c r="G198" s="7">
        <v>2</v>
      </c>
      <c r="H198" s="22" t="s">
        <v>407</v>
      </c>
      <c r="I198" s="13">
        <v>42718.81621527778</v>
      </c>
      <c r="J198" s="7">
        <v>0</v>
      </c>
      <c r="K198" s="109" t="str">
        <f t="shared" si="50"/>
        <v>4029/4030</v>
      </c>
      <c r="L198" s="22" t="str">
        <f>VLOOKUP(A198,'Trips&amp;Operators'!$C$1:$G$99999,5,FALSE)</f>
        <v>MOSES BRADLEY</v>
      </c>
      <c r="M198" s="6">
        <f t="shared" si="51"/>
        <v>9.6180555556202307E-3</v>
      </c>
      <c r="N198" s="7">
        <f t="shared" si="71"/>
        <v>13.850000000093132</v>
      </c>
      <c r="O198" s="7"/>
      <c r="P198" s="7"/>
      <c r="Q198" s="23"/>
      <c r="R198" s="23"/>
      <c r="S198" s="35">
        <f t="shared" si="53"/>
        <v>1</v>
      </c>
      <c r="T198" s="50" t="str">
        <f t="shared" si="54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18:07:52-700',mode:absolute,to:'2016-12-14 20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8" s="52" t="str">
        <f t="shared" si="56"/>
        <v>N</v>
      </c>
      <c r="X198" s="177">
        <f t="shared" si="73"/>
        <v>1</v>
      </c>
      <c r="Y198" s="67">
        <f t="shared" si="69"/>
        <v>0.1013</v>
      </c>
      <c r="Z198" s="67">
        <f t="shared" si="70"/>
        <v>5.8959999999999999</v>
      </c>
      <c r="AA198" s="67">
        <f t="shared" si="57"/>
        <v>5.7946999999999997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58"/>
        <v>0841-14</v>
      </c>
      <c r="AE198" s="91" t="str">
        <f t="shared" si="59"/>
        <v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v>
      </c>
      <c r="AF198" s="88" t="str">
        <f t="shared" si="60"/>
        <v>"C:\Program Files (x86)\AstroGrep\AstroGrep.exe" /spath="%USERPROFILE%\AppData\Local\Temp\OnboardLogs" /stypes="app*4029*20161215*" /stext=" 02:.+((SYSTEM_STATE.+slice.+state.+changed )|(ment ac)|(multiple cpu faults)|(system.+state.+changed )|(\[timeout)|(PRM\|1\|D)|(kpr)|(kdp)|(\|lc)|(penalty))" /e /r /s</v>
      </c>
      <c r="AG198" s="1" t="str">
        <f t="shared" si="61"/>
        <v>NW</v>
      </c>
      <c r="AH198" s="92" t="str">
        <f t="shared" si="62"/>
        <v>"%USERPROFILE%\Documents\GitHub\eaglep3\Utilities\RefineRTDCRunTimes.py" --tripid 841-14 --locoid 4029 --swversion DE.1.0.8.0 --startMP 204:1013 --initTime 2016-12-14T19:07:52 --startdatetime 2016-12-14T19:21:30 --delay 2 --endMP 300:58960 --enddatetime 2016-12-14T19:35:21 --enforcementcount 0 &gt;&gt;C:\Users\stu\Documents\GitHub\eaglep3-reporting\EC\2016-12-14-refined-times.txt</v>
      </c>
      <c r="AI198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{"issue":{"subject":"","project_id":79,"tracker_id":40,"status_id":1,"priority_id":2,"assigned_to_id":23,"start_date":"2016-12-14","description":"","custom_fields":[{"id":1,"name":"Subdivision","value":"NW"},{"id":4,"name":"Milepost","value":"5.896"},{"id":17,"name":"Train ID","value":"841-14"},{"id":16,"name":"Locomotive ID","value":"4029"},{"id":130,"name":"Impact","value":""},{"id":150,"name":"Time of Event (Mountain Time)","value":"19:35:21"},{"id":151,"name":"Denver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449</v>
      </c>
      <c r="B199" s="7">
        <v>4030</v>
      </c>
      <c r="C199" s="22" t="s">
        <v>207</v>
      </c>
      <c r="D199" s="22" t="s">
        <v>770</v>
      </c>
      <c r="E199" s="13">
        <v>42718.86041666667</v>
      </c>
      <c r="F199" s="13">
        <v>42718.862557870372</v>
      </c>
      <c r="G199" s="7">
        <v>1</v>
      </c>
      <c r="H199" s="22" t="s">
        <v>816</v>
      </c>
      <c r="I199" s="13">
        <v>42718.871655092589</v>
      </c>
      <c r="J199" s="7">
        <v>0</v>
      </c>
      <c r="K199" s="109" t="str">
        <f t="shared" si="50"/>
        <v>4029/4030</v>
      </c>
      <c r="L199" s="22" t="str">
        <f>VLOOKUP(A199,'Trips&amp;Operators'!$C$1:$G$99999,5,FALSE)</f>
        <v>MOSES BRADLEY</v>
      </c>
      <c r="M199" s="6">
        <f t="shared" si="51"/>
        <v>9.0972222169511952E-3</v>
      </c>
      <c r="N199" s="7">
        <f t="shared" si="71"/>
        <v>13.099999992409721</v>
      </c>
      <c r="O199" s="7"/>
      <c r="P199" s="7"/>
      <c r="Q199" s="23"/>
      <c r="R199" s="23"/>
      <c r="S199" s="35">
        <f t="shared" si="53"/>
        <v>1</v>
      </c>
      <c r="T199" s="50" t="str">
        <f t="shared" si="54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19:39:00-700',mode:absolute,to:'2016-12-14 21:55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9" s="52" t="str">
        <f t="shared" si="56"/>
        <v>N</v>
      </c>
      <c r="X199" s="177">
        <f t="shared" si="73"/>
        <v>1</v>
      </c>
      <c r="Y199" s="67">
        <f t="shared" ref="Y199:Y228" si="74">RIGHT(D199,LEN(D199)-4)/10000</f>
        <v>5.8654999999999999</v>
      </c>
      <c r="Z199" s="67">
        <f t="shared" ref="Z199:Z228" si="75">RIGHT(H199,LEN(H199)-4)/10000</f>
        <v>7.5499999999999998E-2</v>
      </c>
      <c r="AA199" s="67">
        <f t="shared" si="57"/>
        <v>5.79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58"/>
        <v>0842-14</v>
      </c>
      <c r="AE199" s="91" t="str">
        <f t="shared" si="59"/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AF199" s="88" t="str">
        <f t="shared" si="60"/>
        <v>"C:\Program Files (x86)\AstroGrep\AstroGrep.exe" /spath="%USERPROFILE%\AppData\Local\Temp\OnboardLogs" /stypes="app*4030*20161215*" /stext=" 03:.+((SYSTEM_STATE.+slice.+state.+changed )|(ment ac)|(multiple cpu faults)|(system.+state.+changed )|(\[timeout)|(PRM\|1\|D)|(kpr)|(kdp)|(\|lc)|(penalty))" /e /r /s</v>
      </c>
      <c r="AG199" s="1" t="str">
        <f t="shared" si="61"/>
        <v>NW</v>
      </c>
      <c r="AH199" s="92" t="str">
        <f t="shared" si="62"/>
        <v>"%USERPROFILE%\Documents\GitHub\eaglep3\Utilities\RefineRTDCRunTimes.py" --tripid 842-14 --locoid 4030 --swversion DE.1.0.8.0 --startMP 300:58655 --initTime 2016-12-14T20:39:00 --startdatetime 2016-12-14T20:42:05 --delay 1 --endMP 204:755 --enddatetime 2016-12-14T20:55:11 --enforcementcount 0 &gt;&gt;C:\Users\stu\Documents\GitHub\eaglep3-reporting\EC\2016-12-14-refined-times.txt</v>
      </c>
      <c r="AI199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{"issue":{"subject":"","project_id":79,"tracker_id":40,"status_id":1,"priority_id":2,"assigned_to_id":23,"start_date":"2016-12-14","description":"","custom_fields":[{"id":1,"name":"Subdivision","value":"NW"},{"id":4,"name":"Milepost","value":"0.0755"},{"id":17,"name":"Train ID","value":"842-14"},{"id":16,"name":"Locomotive ID","value":"4030"},{"id":130,"name":"Impact","value":""},{"id":150,"name":"Time of Event (Mountain Time)","value":"20:55:11"},{"id":151,"name":"Denver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658</v>
      </c>
      <c r="B200" s="7">
        <v>4029</v>
      </c>
      <c r="C200" s="22" t="s">
        <v>207</v>
      </c>
      <c r="D200" s="22" t="s">
        <v>817</v>
      </c>
      <c r="E200" s="13">
        <v>42718.842511574076</v>
      </c>
      <c r="F200" s="13">
        <v>42718.848252314812</v>
      </c>
      <c r="G200" s="7">
        <v>2</v>
      </c>
      <c r="H200" s="22" t="s">
        <v>818</v>
      </c>
      <c r="I200" s="13">
        <v>42718.858993055554</v>
      </c>
      <c r="J200" s="7">
        <v>0</v>
      </c>
      <c r="K200" s="109" t="str">
        <f t="shared" si="50"/>
        <v>4029/4030</v>
      </c>
      <c r="L200" s="22" t="str">
        <f>VLOOKUP(A200,'Trips&amp;Operators'!$C$1:$G$99999,5,FALSE)</f>
        <v>MOSES BRADLEY</v>
      </c>
      <c r="M200" s="6">
        <f t="shared" si="51"/>
        <v>1.0740740741312038E-2</v>
      </c>
      <c r="N200" s="7">
        <f t="shared" si="71"/>
        <v>15.466666667489335</v>
      </c>
      <c r="O200" s="7"/>
      <c r="P200" s="7"/>
      <c r="Q200" s="23"/>
      <c r="R200" s="23"/>
      <c r="S200" s="35">
        <f t="shared" si="53"/>
        <v>1</v>
      </c>
      <c r="T200" s="50" t="str">
        <f t="shared" si="54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19:13:13-700',mode:absolute,to:'2016-12-14 21:36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0" s="52" t="str">
        <f t="shared" si="56"/>
        <v>N</v>
      </c>
      <c r="X200" s="177">
        <f t="shared" si="73"/>
        <v>1</v>
      </c>
      <c r="Y200" s="67">
        <f t="shared" si="74"/>
        <v>0.1041</v>
      </c>
      <c r="Z200" s="67">
        <f t="shared" si="75"/>
        <v>5.8968999999999996</v>
      </c>
      <c r="AA200" s="67">
        <f t="shared" si="57"/>
        <v>5.7927999999999997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58"/>
        <v>0843-14</v>
      </c>
      <c r="AE200" s="91" t="str">
        <f t="shared" si="59"/>
        <v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v>
      </c>
      <c r="AF200" s="88" t="str">
        <f t="shared" si="60"/>
        <v>"C:\Program Files (x86)\AstroGrep\AstroGrep.exe" /spath="%USERPROFILE%\AppData\Local\Temp\OnboardLogs" /stypes="app*4029*20161215*" /stext=" 03:.+((SYSTEM_STATE.+slice.+state.+changed )|(ment ac)|(multiple cpu faults)|(system.+state.+changed )|(\[timeout)|(PRM\|1\|D)|(kpr)|(kdp)|(\|lc)|(penalty))" /e /r /s</v>
      </c>
      <c r="AG200" s="1" t="str">
        <f t="shared" si="61"/>
        <v>NW</v>
      </c>
      <c r="AH200" s="92" t="str">
        <f t="shared" si="62"/>
        <v>"%USERPROFILE%\Documents\GitHub\eaglep3\Utilities\RefineRTDCRunTimes.py" --tripid 843-14 --locoid 4029 --swversion DE.1.0.8.0 --startMP 204:1041 --initTime 2016-12-14T20:13:13 --startdatetime 2016-12-14T20:21:29 --delay 2 --endMP 300:58969 --enddatetime 2016-12-14T20:36:57 --enforcementcount 0 &gt;&gt;C:\Users\stu\Documents\GitHub\eaglep3-reporting\EC\2016-12-14-refined-times.txt</v>
      </c>
      <c r="AI200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{"issue":{"subject":"","project_id":79,"tracker_id":40,"status_id":1,"priority_id":2,"assigned_to_id":23,"start_date":"2016-12-14","description":"","custom_fields":[{"id":1,"name":"Subdivision","value":"NW"},{"id":4,"name":"Milepost","value":"5.8969"},{"id":17,"name":"Train ID","value":"843-14"},{"id":16,"name":"Locomotive ID","value":"4029"},{"id":130,"name":"Impact","value":""},{"id":150,"name":"Time of Event (Mountain Time)","value":"20:36:57"},{"id":151,"name":"Denver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663</v>
      </c>
      <c r="B201" s="7">
        <v>4030</v>
      </c>
      <c r="C201" s="22" t="s">
        <v>207</v>
      </c>
      <c r="D201" s="22" t="s">
        <v>819</v>
      </c>
      <c r="E201" s="13">
        <v>42718.902141203704</v>
      </c>
      <c r="F201" s="13">
        <v>42718.90425925926</v>
      </c>
      <c r="G201" s="7">
        <v>1</v>
      </c>
      <c r="H201" s="22" t="s">
        <v>820</v>
      </c>
      <c r="I201" s="13">
        <v>42718.914513888885</v>
      </c>
      <c r="J201" s="7">
        <v>0</v>
      </c>
      <c r="K201" s="109" t="str">
        <f t="shared" si="50"/>
        <v>4029/4030</v>
      </c>
      <c r="L201" s="22" t="str">
        <f>VLOOKUP(A201,'Trips&amp;Operators'!$C$1:$G$99999,5,FALSE)</f>
        <v>COMELLA JUSTIN</v>
      </c>
      <c r="M201" s="6">
        <f t="shared" si="51"/>
        <v>1.0254629625706002E-2</v>
      </c>
      <c r="N201" s="7">
        <f t="shared" si="71"/>
        <v>14.766666661016643</v>
      </c>
      <c r="O201" s="7"/>
      <c r="P201" s="7"/>
      <c r="Q201" s="23"/>
      <c r="R201" s="23"/>
      <c r="S201" s="35">
        <f t="shared" si="53"/>
        <v>1</v>
      </c>
      <c r="T201" s="50" t="str">
        <f t="shared" si="54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20:39:05-700',mode:absolute,to:'2016-12-14 22:56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1" s="52" t="str">
        <f t="shared" si="56"/>
        <v>N</v>
      </c>
      <c r="X201" s="177">
        <f t="shared" si="73"/>
        <v>1</v>
      </c>
      <c r="Y201" s="67">
        <f t="shared" si="74"/>
        <v>5.8615000000000004</v>
      </c>
      <c r="Z201" s="67">
        <f t="shared" si="75"/>
        <v>7.0999999999999994E-2</v>
      </c>
      <c r="AA201" s="67">
        <f t="shared" si="57"/>
        <v>5.7905000000000006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58"/>
        <v>0844-14</v>
      </c>
      <c r="AE201" s="91" t="str">
        <f t="shared" si="59"/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AF201" s="88" t="str">
        <f t="shared" si="60"/>
        <v>"C:\Program Files (x86)\AstroGrep\AstroGrep.exe" /spath="%USERPROFILE%\AppData\Local\Temp\OnboardLogs" /stypes="app*4030*20161215*" /stext=" 04:.+((SYSTEM_STATE.+slice.+state.+changed )|(ment ac)|(multiple cpu faults)|(system.+state.+changed )|(\[timeout)|(PRM\|1\|D)|(kpr)|(kdp)|(\|lc)|(penalty))" /e /r /s</v>
      </c>
      <c r="AG201" s="1" t="str">
        <f t="shared" si="61"/>
        <v>NW</v>
      </c>
      <c r="AH201" s="92" t="str">
        <f t="shared" si="62"/>
        <v>"%USERPROFILE%\Documents\GitHub\eaglep3\Utilities\RefineRTDCRunTimes.py" --tripid 844-14 --locoid 4030 --swversion DE.1.0.8.0 --startMP 300:58615 --initTime 2016-12-14T21:39:05 --startdatetime 2016-12-14T21:42:08 --delay 1 --endMP 204:710 --enddatetime 2016-12-14T21:56:54 --enforcementcount 0 &gt;&gt;C:\Users\stu\Documents\GitHub\eaglep3-reporting\EC\2016-12-14-refined-times.txt</v>
      </c>
      <c r="AI201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{"issue":{"subject":"","project_id":79,"tracker_id":40,"status_id":1,"priority_id":2,"assigned_to_id":23,"start_date":"2016-12-14","description":"","custom_fields":[{"id":1,"name":"Subdivision","value":"NW"},{"id":4,"name":"Milepost","value":"0.071"},{"id":17,"name":"Train ID","value":"844-14"},{"id":16,"name":"Locomotive ID","value":"4030"},{"id":130,"name":"Impact","value":""},{"id":150,"name":"Time of Event (Mountain Time)","value":"21:56:54"},{"id":151,"name":"Denver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451</v>
      </c>
      <c r="B202" s="7">
        <v>4029</v>
      </c>
      <c r="C202" s="22" t="s">
        <v>207</v>
      </c>
      <c r="D202" s="22" t="s">
        <v>414</v>
      </c>
      <c r="E202" s="13">
        <v>42718.876400462963</v>
      </c>
      <c r="F202" s="13">
        <v>42718.889791666668</v>
      </c>
      <c r="G202" s="7">
        <v>2</v>
      </c>
      <c r="H202" s="22" t="s">
        <v>338</v>
      </c>
      <c r="I202" s="13">
        <v>42718.900381944448</v>
      </c>
      <c r="J202" s="7">
        <v>0</v>
      </c>
      <c r="K202" s="109" t="str">
        <f t="shared" si="50"/>
        <v>4029/4030</v>
      </c>
      <c r="L202" s="22" t="str">
        <f>VLOOKUP(A202,'Trips&amp;Operators'!$C$1:$G$99999,5,FALSE)</f>
        <v>COMELLA JUSTIN</v>
      </c>
      <c r="M202" s="6">
        <f t="shared" si="51"/>
        <v>1.0590277779556345E-2</v>
      </c>
      <c r="N202" s="7">
        <f t="shared" si="71"/>
        <v>15.250000002561137</v>
      </c>
      <c r="O202" s="7"/>
      <c r="P202" s="7"/>
      <c r="Q202" s="23"/>
      <c r="R202" s="23"/>
      <c r="S202" s="35">
        <f t="shared" si="53"/>
        <v>1</v>
      </c>
      <c r="T202" s="50" t="str">
        <f t="shared" si="54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20:02:01-700',mode:absolute,to:'2016-12-14 22:36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2" s="52" t="str">
        <f t="shared" si="56"/>
        <v>N</v>
      </c>
      <c r="X202" s="177">
        <f t="shared" si="73"/>
        <v>1</v>
      </c>
      <c r="Y202" s="67">
        <f t="shared" si="74"/>
        <v>0.1037</v>
      </c>
      <c r="Z202" s="67">
        <f t="shared" si="75"/>
        <v>5.8930999999999996</v>
      </c>
      <c r="AA202" s="67">
        <f t="shared" si="57"/>
        <v>5.7893999999999997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58"/>
        <v>0845-14</v>
      </c>
      <c r="AE202" s="91" t="str">
        <f t="shared" si="59"/>
        <v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v>
      </c>
      <c r="AF202" s="88" t="str">
        <f t="shared" si="60"/>
        <v>"C:\Program Files (x86)\AstroGrep\AstroGrep.exe" /spath="%USERPROFILE%\AppData\Local\Temp\OnboardLogs" /stypes="app*4029*20161215*" /stext=" 04:.+((SYSTEM_STATE.+slice.+state.+changed )|(ment ac)|(multiple cpu faults)|(system.+state.+changed )|(\[timeout)|(PRM\|1\|D)|(kpr)|(kdp)|(\|lc)|(penalty))" /e /r /s</v>
      </c>
      <c r="AG202" s="1" t="str">
        <f t="shared" si="61"/>
        <v>NW</v>
      </c>
      <c r="AH202" s="92" t="str">
        <f t="shared" si="62"/>
        <v>"%USERPROFILE%\Documents\GitHub\eaglep3\Utilities\RefineRTDCRunTimes.py" --tripid 845-14 --locoid 4029 --swversion DE.1.0.8.0 --startMP 204:1037 --initTime 2016-12-14T21:02:01 --startdatetime 2016-12-14T21:21:18 --delay 2 --endMP 300:58931 --enddatetime 2016-12-14T21:36:33 --enforcementcount 0 &gt;&gt;C:\Users\stu\Documents\GitHub\eaglep3-reporting\EC\2016-12-14-refined-times.txt</v>
      </c>
      <c r="AI202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{"issue":{"subject":"","project_id":79,"tracker_id":40,"status_id":1,"priority_id":2,"assigned_to_id":23,"start_date":"2016-12-14","description":"","custom_fields":[{"id":1,"name":"Subdivision","value":"NW"},{"id":4,"name":"Milepost","value":"5.8931"},{"id":17,"name":"Train ID","value":"845-14"},{"id":16,"name":"Locomotive ID","value":"4029"},{"id":130,"name":"Impact","value":""},{"id":150,"name":"Time of Event (Mountain Time)","value":"21:36:33"},{"id":151,"name":"Denver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s="21" customFormat="1" x14ac:dyDescent="0.25">
      <c r="A203" s="37" t="s">
        <v>452</v>
      </c>
      <c r="B203" s="7">
        <v>4029</v>
      </c>
      <c r="C203" s="22" t="s">
        <v>207</v>
      </c>
      <c r="D203" s="22" t="s">
        <v>416</v>
      </c>
      <c r="E203" s="13">
        <v>42718.926701388889</v>
      </c>
      <c r="F203" s="13">
        <v>42718.931527777779</v>
      </c>
      <c r="G203" s="7">
        <v>1</v>
      </c>
      <c r="H203" s="22" t="s">
        <v>806</v>
      </c>
      <c r="I203" s="13">
        <v>42718.94326388889</v>
      </c>
      <c r="J203" s="7">
        <v>0</v>
      </c>
      <c r="K203" s="109" t="str">
        <f t="shared" si="50"/>
        <v>4029/4030</v>
      </c>
      <c r="L203" s="22" t="str">
        <f>VLOOKUP(A203,'Trips&amp;Operators'!$C$1:$G$99999,5,FALSE)</f>
        <v>COMELLA JUSTIN</v>
      </c>
      <c r="M203" s="6">
        <f t="shared" si="51"/>
        <v>1.17361111115315E-2</v>
      </c>
      <c r="N203" s="7">
        <f t="shared" si="71"/>
        <v>16.90000000060536</v>
      </c>
      <c r="O203" s="7"/>
      <c r="P203" s="7"/>
      <c r="Q203" s="23"/>
      <c r="R203" s="23"/>
      <c r="S203" s="35">
        <f t="shared" si="53"/>
        <v>1</v>
      </c>
      <c r="T203" s="50" t="str">
        <f t="shared" si="54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21:14:27-700',mode:absolute,to:'2016-12-14 23:38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3" s="52" t="str">
        <f t="shared" si="56"/>
        <v>N</v>
      </c>
      <c r="X203" s="177">
        <f t="shared" si="73"/>
        <v>2</v>
      </c>
      <c r="Y203" s="67">
        <f t="shared" si="74"/>
        <v>9.7799999999999998E-2</v>
      </c>
      <c r="Z203" s="67">
        <f t="shared" si="75"/>
        <v>5.8956</v>
      </c>
      <c r="AA203" s="67">
        <f t="shared" si="57"/>
        <v>5.7977999999999996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si="58"/>
        <v>0847-14</v>
      </c>
      <c r="AE203" s="91" t="str">
        <f t="shared" si="59"/>
        <v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v>
      </c>
      <c r="AF203" s="88" t="str">
        <f t="shared" si="60"/>
        <v>"C:\Program Files (x86)\AstroGrep\AstroGrep.exe" /spath="%USERPROFILE%\AppData\Local\Temp\OnboardLogs" /stypes="app*4029*20161215*" /stext=" 05:.+((SYSTEM_STATE.+slice.+state.+changed )|(ment ac)|(multiple cpu faults)|(system.+state.+changed )|(\[timeout)|(PRM\|1\|D)|(kpr)|(kdp)|(\|lc)|(penalty))" /e /r /s</v>
      </c>
      <c r="AG203" s="1" t="str">
        <f t="shared" si="61"/>
        <v>NW</v>
      </c>
      <c r="AH203" s="92" t="str">
        <f t="shared" si="62"/>
        <v>"%USERPROFILE%\Documents\GitHub\eaglep3\Utilities\RefineRTDCRunTimes.py" --tripid 847-14 --locoid 4029 --swversion DE.1.0.8.0 --startMP 204:978 --initTime 2016-12-14T22:14:27 --startdatetime 2016-12-14T22:21:24 --delay 1 --endMP 300:58956 --enddatetime 2016-12-14T22:38:18 --enforcementcount 0 &gt;&gt;C:\Users\stu\Documents\GitHub\eaglep3-reporting\EC\2016-12-14-refined-times.txt</v>
      </c>
      <c r="AI203" s="119" t="str">
        <f t="shared" si="63"/>
        <v>echo {"issue":{"subject":"","project_id":79,"tracker_id":40,"status_id":1,"priority_id":2,"assigned_to_id":23,"start_date":"2016-12-14","description":"","custom_fields":[{"id":1,"name":"Subdivision","value":"NW"},{"id":4,"name":"Milepost","value":"5.8956"},{"id":17,"name":"Train ID","value":"847-14"},{"id":16,"name":"Locomotive ID","value":"4029"},{"id":130,"name":"Impact","value":""},{"id":150,"name":"Time of Event (Mountain Time)","value":"22:38:18"},{"id":151,"name":"Denver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ht="16.5" customHeight="1" x14ac:dyDescent="0.25">
      <c r="A204" s="37" t="s">
        <v>456</v>
      </c>
      <c r="B204" s="7">
        <v>4043</v>
      </c>
      <c r="C204" s="22" t="s">
        <v>207</v>
      </c>
      <c r="D204" s="22" t="s">
        <v>750</v>
      </c>
      <c r="E204" s="13">
        <v>42718.118275462963</v>
      </c>
      <c r="F204" s="13">
        <v>42718.11954861111</v>
      </c>
      <c r="G204" s="7">
        <v>1</v>
      </c>
      <c r="H204" s="22" t="s">
        <v>301</v>
      </c>
      <c r="I204" s="13">
        <v>42718.1252662037</v>
      </c>
      <c r="J204" s="7">
        <v>0</v>
      </c>
      <c r="K204" s="109" t="str">
        <f t="shared" si="50"/>
        <v>4043/4044</v>
      </c>
      <c r="L204" s="22" t="str">
        <f>VLOOKUP(A204,'Trips&amp;Operators'!$C$1:$G$99999,5,FALSE)</f>
        <v>GRASTON MATHEU</v>
      </c>
      <c r="M204" s="6">
        <f t="shared" si="51"/>
        <v>5.7175925903720781E-3</v>
      </c>
      <c r="N204" s="7">
        <f t="shared" si="71"/>
        <v>8.2333333301357925</v>
      </c>
      <c r="O204" s="7"/>
      <c r="P204" s="7"/>
      <c r="Q204" s="23"/>
      <c r="R204" s="23"/>
      <c r="S204" s="35">
        <f t="shared" si="53"/>
        <v>1</v>
      </c>
      <c r="T204" s="50" t="str">
        <f t="shared" si="54"/>
        <v>Southbound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https://search-rtdc-monitor-bjffxe2xuh6vdkpspy63sjmuny.us-east-1.es.amazonaws.com/_plugin/kibana/#/discover/Steve-Slow-Train-Analysis-(2080s-and-2083s)?_g=(refreshInterval:(display:Off,section:0,value:0),time:(from:'2016-12-14 01:50:19-700',mode:absolute,to:'2016-12-14 04:00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4" s="52" t="str">
        <f t="shared" si="56"/>
        <v>Y</v>
      </c>
      <c r="X204" s="177">
        <f t="shared" si="73"/>
        <v>-545</v>
      </c>
      <c r="Y204" s="67">
        <f t="shared" si="74"/>
        <v>2.2799999999999998</v>
      </c>
      <c r="Z204" s="67">
        <f t="shared" si="75"/>
        <v>1.6E-2</v>
      </c>
      <c r="AA204" s="67">
        <f t="shared" si="57"/>
        <v>2.2639999999999998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si="58"/>
        <v>0302-14</v>
      </c>
      <c r="AE204" s="91" t="str">
        <f t="shared" si="59"/>
        <v>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 &amp; aws s3 cp s3://rtdc.mdm.uploadarchive.raw/RTDC4043/ "%USERPROFILE%\AppData\Local\Temp\OnboardLogs"\RTDC4043\2016-12-15 --exclude "*" --recursive --include "*20161215*" &amp; "%USERPROFILE%\Documents\GitHub\mrs-test-scripts\Headless Mode &amp; Sideloading\WalkAndUnGZ.bat" "%USERPROFILE%\AppData\Local\Temp\OnboardLogs"\RTDC4043\2016-12-15</v>
      </c>
      <c r="AF204" s="88" t="str">
        <f t="shared" si="60"/>
        <v>"C:\Program Files (x86)\AstroGrep\AstroGrep.exe" /spath="%USERPROFILE%\AppData\Local\Temp\OnboardLogs" /stypes="app*4043*20161214*" /stext=" 10:.+((SYSTEM_STATE.+slice.+state.+changed )|(ment ac)|(multiple cpu faults)|(system.+state.+changed )|(\[timeout)|(PRM\|1\|D)|(kpr)|(kdp)|(\|lc)|(penalty))" /e /r /s</v>
      </c>
      <c r="AG204" s="1" t="str">
        <f t="shared" si="61"/>
        <v>Other</v>
      </c>
      <c r="AH204" s="92" t="str">
        <f t="shared" si="62"/>
        <v>"%USERPROFILE%\Documents\GitHub\eaglep3\Utilities\RefineRTDCRunTimes.py" --tripid 302-14 --locoid 4043 --swversion DE.1.0.8.0 --startMP 300:22800 --initTime 2016-12-14T02:50:19 --startdatetime 2016-12-14T02:52:09 --delay 1 --endMP 204:160 --enddatetime 2016-12-14T03:00:23 --enforcementcount 0 &gt;&gt;C:\Users\stu\Documents\GitHub\eaglep3-reporting\EC\2016-12-14-refined-times.txt</v>
      </c>
      <c r="AI204" s="119" t="str">
        <f t="shared" si="63"/>
        <v>echo {"issue":{"subject":"","project_id":79,"tracker_id":40,"status_id":1,"priority_id":2,"assigned_to_id":23,"start_date":"2016-12-14","description":"","custom_fields":[{"id":1,"name":"Subdivision","value":"Other"},{"id":4,"name":"Milepost","value":"0.016"},{"id":17,"name":"Train ID","value":"302-14"},{"id":16,"name":"Locomotive ID","value":"4043"},{"id":130,"name":"Impact","value":""},{"id":150,"name":"Time of Event (Mountain Time)","value":"03:00:23"},{"id":151,"name":"Denver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s="21" customFormat="1" x14ac:dyDescent="0.25">
      <c r="A205" s="37" t="s">
        <v>642</v>
      </c>
      <c r="B205" s="7">
        <v>4016</v>
      </c>
      <c r="C205" s="22" t="s">
        <v>207</v>
      </c>
      <c r="D205" s="22" t="s">
        <v>328</v>
      </c>
      <c r="E205" s="13">
        <v>42718.776712962965</v>
      </c>
      <c r="F205" s="13">
        <v>25568.708333333332</v>
      </c>
      <c r="G205" s="7">
        <v>1</v>
      </c>
      <c r="H205" s="22" t="s">
        <v>404</v>
      </c>
      <c r="I205" s="13">
        <v>25568.708333333332</v>
      </c>
      <c r="J205" s="7">
        <v>0</v>
      </c>
      <c r="K205" s="109" t="str">
        <f t="shared" ref="K205:K228" si="76">IF(ISEVEN(B205),(B205-1)&amp;"/"&amp;B205,B205&amp;"/"&amp;(B205+1))</f>
        <v>4015/4016</v>
      </c>
      <c r="L205" s="22" t="str">
        <f>VLOOKUP(A205,'Trips&amp;Operators'!$C$1:$G$99999,5,FALSE)</f>
        <v>ADANE ELSHADAY</v>
      </c>
      <c r="M205" s="6">
        <f t="shared" ref="M205:M228" si="77">I205-F205</f>
        <v>0</v>
      </c>
      <c r="N205" s="7">
        <f t="shared" si="71"/>
        <v>0</v>
      </c>
      <c r="O205" s="7"/>
      <c r="P205" s="7"/>
      <c r="Q205" s="23"/>
      <c r="R205" s="23"/>
      <c r="S205" s="35">
        <f t="shared" ref="S205:S228" si="78">SUM(U205:U205)/IF(AG205="EC",12,1)</f>
        <v>1</v>
      </c>
      <c r="T205" s="50" t="str">
        <f t="shared" ref="T205:T228" si="79">IF(ISEVEN(LEFT(AD205,4)),"Southbound","NorthBound")</f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28" si="80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https://search-rtdc-monitor-bjffxe2xuh6vdkpspy63sjmuny.us-east-1.es.amazonaws.com/_plugin/kibana/#/discover/Steve-Slow-Train-Analysis-(2080s-and-2083s)?_g=(refreshInterval:(display:Off,section:0,value:0),time:(from:'2016-12-14 17:38:28-700',mode:absolute,to:'1969-12-31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5" s="52" t="str">
        <f t="shared" ref="W205:W228" si="81">IF(AA205&lt;IF(AG205="EC",23,5.65),"Y","N")</f>
        <v>Y</v>
      </c>
      <c r="X205" s="177">
        <f t="shared" si="73"/>
        <v>1</v>
      </c>
      <c r="Y205" s="67">
        <f t="shared" si="74"/>
        <v>4.6600000000000003E-2</v>
      </c>
      <c r="Z205" s="67">
        <f t="shared" si="75"/>
        <v>2.3304</v>
      </c>
      <c r="AA205" s="67">
        <f t="shared" ref="AA205:AA228" si="82">ABS(Z205-Y205)</f>
        <v>2.2837999999999998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ref="AD205:AD228" si="83">IF(LEN(A205)=6,"0"&amp;A205,A205)</f>
        <v>0303-14</v>
      </c>
      <c r="AE205" s="91" t="str">
        <f t="shared" ref="AE205:AE228" si="8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5" s="88" t="str">
        <f t="shared" ref="AF205:AF228" si="85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05" s="1" t="str">
        <f t="shared" ref="AG205:AG228" si="86">IFERROR(IF(VALUE(LEFT(AD205,2))&lt;=2,"EC",IF(OR(VALUE(LEFT(AD205,2))=8,VALUE(LEFT(AD205,2))=18),"NW","Other")),"Other")</f>
        <v>Other</v>
      </c>
      <c r="AH205" s="92" t="str">
        <f t="shared" si="62"/>
        <v>"%USERPROFILE%\Documents\GitHub\eaglep3\Utilities\RefineRTDCRunTimes.py" --tripid 303-14 --locoid 4016 --swversion DE.1.0.8.0 --startMP 204:466 --initTime 2016-12-14T18:38:28 --startdatetime 1969-12-31T17:00:00 --delay 1 --endMP 300:23304 --enddatetime 1969-12-31T17:00:00 --enforcementcount 0 &gt;&gt;C:\Users\stu\Documents\GitHub\eaglep3-reporting\EC\2016-12-14-refined-times.txt</v>
      </c>
      <c r="AI205" s="119" t="str">
        <f t="shared" si="63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ID","value":"303-14"},{"id":16,"name":"Locomotive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7" t="s">
        <v>460</v>
      </c>
      <c r="B206" s="7">
        <v>4004</v>
      </c>
      <c r="C206" s="22" t="s">
        <v>207</v>
      </c>
      <c r="D206" s="22" t="s">
        <v>751</v>
      </c>
      <c r="E206" s="13">
        <v>42718.139976851853</v>
      </c>
      <c r="F206" s="13">
        <v>42718.141412037039</v>
      </c>
      <c r="G206" s="7">
        <v>1</v>
      </c>
      <c r="H206" s="22" t="s">
        <v>752</v>
      </c>
      <c r="I206" s="13">
        <v>42718.14739583333</v>
      </c>
      <c r="J206" s="7">
        <v>0</v>
      </c>
      <c r="K206" s="109" t="str">
        <f t="shared" si="76"/>
        <v>4003/4004</v>
      </c>
      <c r="L206" s="22" t="str">
        <f>VLOOKUP(A206,'Trips&amp;Operators'!$C$1:$G$99999,5,FALSE)</f>
        <v>ACKERMAN JARED</v>
      </c>
      <c r="M206" s="6">
        <f t="shared" si="77"/>
        <v>5.9837962908204645E-3</v>
      </c>
      <c r="N206" s="7">
        <f t="shared" si="71"/>
        <v>8.6166666587814689</v>
      </c>
      <c r="O206" s="7"/>
      <c r="P206" s="7"/>
      <c r="Q206" s="23"/>
      <c r="R206" s="23"/>
      <c r="S206" s="35">
        <f t="shared" si="78"/>
        <v>1</v>
      </c>
      <c r="T206" s="50" t="str">
        <f t="shared" si="79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02:21:34-700',mode:absolute,to:'2016-12-14 04:32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6" s="52" t="str">
        <f t="shared" si="81"/>
        <v>Y</v>
      </c>
      <c r="X206" s="177">
        <f t="shared" si="73"/>
        <v>1</v>
      </c>
      <c r="Y206" s="67">
        <f t="shared" si="74"/>
        <v>2.2345999999999999</v>
      </c>
      <c r="Z206" s="67">
        <f t="shared" si="75"/>
        <v>9.7999999999999997E-3</v>
      </c>
      <c r="AA206" s="67">
        <f t="shared" si="82"/>
        <v>2.2248000000000001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83"/>
        <v>0304-14</v>
      </c>
      <c r="AE206" s="91" t="str">
        <f t="shared" si="84"/>
        <v>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 &amp; aws s3 cp s3://rtdc.mdm.uploadarchive.raw/RTDC4004/ "%USERPROFILE%\AppData\Local\Temp\OnboardLogs"\RTDC4004\2016-12-15 --exclude "*" --recursive --include "*20161215*" &amp; "%USERPROFILE%\Documents\GitHub\mrs-test-scripts\Headless Mode &amp; Sideloading\WalkAndUnGZ.bat" "%USERPROFILE%\AppData\Local\Temp\OnboardLogs"\RTDC4004\2016-12-15</v>
      </c>
      <c r="AF206" s="88" t="str">
        <f t="shared" si="85"/>
        <v>"C:\Program Files (x86)\AstroGrep\AstroGrep.exe" /spath="%USERPROFILE%\AppData\Local\Temp\OnboardLogs" /stypes="app*4004*20161214*" /stext=" 10:.+((SYSTEM_STATE.+slice.+state.+changed )|(ment ac)|(multiple cpu faults)|(system.+state.+changed )|(\[timeout)|(PRM\|1\|D)|(kpr)|(kdp)|(\|lc)|(penalty))" /e /r /s</v>
      </c>
      <c r="AG206" s="1" t="str">
        <f t="shared" si="86"/>
        <v>Other</v>
      </c>
      <c r="AH206" s="92" t="str">
        <f t="shared" ref="AH206:AH228" si="87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304-14 --locoid 4004 --swversion DE.1.0.8.0 --startMP 300:22346 --initTime 2016-12-14T03:21:34 --startdatetime 2016-12-14T03:23:38 --delay 1 --endMP 204:98 --enddatetime 2016-12-14T03:32:15 --enforcementcount 0 &gt;&gt;C:\Users\stu\Documents\GitHub\eaglep3-reporting\EC\2016-12-14-refined-times.txt</v>
      </c>
      <c r="AI206" s="119" t="str">
        <f t="shared" ref="AI206:AI228" si="88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{"issue":{"subject":"","project_id":79,"tracker_id":40,"status_id":1,"priority_id":2,"assigned_to_id":23,"start_date":"2016-12-14","description":"","custom_fields":[{"id":1,"name":"Subdivision","value":"Other"},{"id":4,"name":"Milepost","value":"0.0098"},{"id":17,"name":"Train ID","value":"304-14"},{"id":16,"name":"Locomotive ID","value":"4004"},{"id":130,"name":"Impact","value":""},{"id":150,"name":"Time of Event (Mountain Time)","value":"03:32:15"},{"id":151,"name":"Denver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650</v>
      </c>
      <c r="B207" s="7">
        <v>4031</v>
      </c>
      <c r="C207" s="22" t="s">
        <v>207</v>
      </c>
      <c r="D207" s="22" t="s">
        <v>334</v>
      </c>
      <c r="E207" s="13">
        <v>42718.802048611113</v>
      </c>
      <c r="F207" s="13">
        <v>42718.803819444445</v>
      </c>
      <c r="G207" s="7">
        <v>1</v>
      </c>
      <c r="H207" s="22" t="s">
        <v>753</v>
      </c>
      <c r="I207" s="13">
        <v>42718.810208333336</v>
      </c>
      <c r="J207" s="7">
        <v>0</v>
      </c>
      <c r="K207" s="109" t="str">
        <f t="shared" si="76"/>
        <v>4031/4032</v>
      </c>
      <c r="L207" s="22" t="str">
        <f>VLOOKUP(A207,'Trips&amp;Operators'!$C$1:$G$99999,5,FALSE)</f>
        <v>YOUNG ELIZABETH</v>
      </c>
      <c r="M207" s="6">
        <f t="shared" si="77"/>
        <v>6.3888888907968067E-3</v>
      </c>
      <c r="N207" s="7">
        <f t="shared" si="71"/>
        <v>9.2000000027474016</v>
      </c>
      <c r="O207" s="7"/>
      <c r="P207" s="7"/>
      <c r="Q207" s="23"/>
      <c r="R207" s="23"/>
      <c r="S207" s="35">
        <f t="shared" si="78"/>
        <v>1</v>
      </c>
      <c r="T207" s="50" t="str">
        <f t="shared" si="79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18:14:57-700',mode:absolute,to:'2016-12-14 20:26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7" s="52" t="str">
        <f t="shared" si="81"/>
        <v>Y</v>
      </c>
      <c r="X207" s="177">
        <f t="shared" si="73"/>
        <v>1</v>
      </c>
      <c r="Y207" s="67">
        <f t="shared" si="74"/>
        <v>4.8399999999999999E-2</v>
      </c>
      <c r="Z207" s="67">
        <f t="shared" si="75"/>
        <v>2.2850000000000001</v>
      </c>
      <c r="AA207" s="67">
        <f t="shared" si="82"/>
        <v>2.2366000000000001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83"/>
        <v>0305-14</v>
      </c>
      <c r="AE207" s="91" t="str">
        <f t="shared" si="84"/>
        <v>aws s3 cp s3://rtdc.mdm.uploadarchive.raw/RTDC4031/ "%USERPROFILE%\AppData\Local\Temp\OnboardLogs"\RTDC4031\2016-12-14 --exclude "*" --recursive --include "*20161214*" &amp; "%USERPROFILE%\Documents\GitHub\mrs-test-scripts\Headless Mode &amp; Sideloading\WalkAndUnGZ.bat" "%USERPROFILE%\AppData\Local\Temp\OnboardLogs"\RTDC4031\2016-12-14 &amp; aws s3 cp s3://rtdc.mdm.uploadarchive.raw/RTDC4031/ "%USERPROFILE%\AppData\Local\Temp\OnboardLogs"\RTDC4031\2016-12-15 --exclude "*" --recursive --include "*20161215*" &amp; "%USERPROFILE%\Documents\GitHub\mrs-test-scripts\Headless Mode &amp; Sideloading\WalkAndUnGZ.bat" "%USERPROFILE%\AppData\Local\Temp\OnboardLogs"\RTDC4031\2016-12-15</v>
      </c>
      <c r="AF207" s="88" t="str">
        <f t="shared" si="85"/>
        <v>"C:\Program Files (x86)\AstroGrep\AstroGrep.exe" /spath="%USERPROFILE%\AppData\Local\Temp\OnboardLogs" /stypes="app*4031*20161215*" /stext=" 02:.+((SYSTEM_STATE.+slice.+state.+changed )|(ment ac)|(multiple cpu faults)|(system.+state.+changed )|(\[timeout)|(PRM\|1\|D)|(kpr)|(kdp)|(\|lc)|(penalty))" /e /r /s</v>
      </c>
      <c r="AG207" s="1" t="str">
        <f t="shared" si="86"/>
        <v>Other</v>
      </c>
      <c r="AH207" s="92" t="str">
        <f t="shared" si="87"/>
        <v>"%USERPROFILE%\Documents\GitHub\eaglep3\Utilities\RefineRTDCRunTimes.py" --tripid 305-14 --locoid 4031 --swversion DE.1.0.8.0 --startMP 204:484 --initTime 2016-12-14T19:14:57 --startdatetime 2016-12-14T19:17:30 --delay 1 --endMP 300:22850 --enddatetime 2016-12-14T19:26:42 --enforcementcount 0 &gt;&gt;C:\Users\stu\Documents\GitHub\eaglep3-reporting\EC\2016-12-14-refined-times.txt</v>
      </c>
      <c r="AI207" s="119" t="str">
        <f t="shared" si="88"/>
        <v>echo {"issue":{"subject":"","project_id":79,"tracker_id":40,"status_id":1,"priority_id":2,"assigned_to_id":23,"start_date":"2016-12-14","description":"","custom_fields":[{"id":1,"name":"Subdivision","value":"Other"},{"id":4,"name":"Milepost","value":"2.285"},{"id":17,"name":"Train ID","value":"305-14"},{"id":16,"name":"Locomotive ID","value":"4031"},{"id":130,"name":"Impact","value":""},{"id":150,"name":"Time of Event (Mountain Time)","value":"19:26:42"},{"id":151,"name":"Denver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462</v>
      </c>
      <c r="B208" s="7">
        <v>4032</v>
      </c>
      <c r="C208" s="22" t="s">
        <v>207</v>
      </c>
      <c r="D208" s="22" t="s">
        <v>754</v>
      </c>
      <c r="E208" s="13">
        <v>42718.161203703705</v>
      </c>
      <c r="F208" s="13">
        <v>42718.16269675926</v>
      </c>
      <c r="G208" s="7">
        <v>1</v>
      </c>
      <c r="H208" s="22" t="s">
        <v>213</v>
      </c>
      <c r="I208" s="13">
        <v>42718.168564814812</v>
      </c>
      <c r="J208" s="7">
        <v>0</v>
      </c>
      <c r="K208" s="109" t="str">
        <f t="shared" si="76"/>
        <v>4031/4032</v>
      </c>
      <c r="L208" s="22" t="str">
        <f>VLOOKUP(A208,'Trips&amp;Operators'!$C$1:$G$99999,5,FALSE)</f>
        <v>DE LA ROSA ALEX</v>
      </c>
      <c r="M208" s="6">
        <f t="shared" si="77"/>
        <v>5.8680555521277711E-3</v>
      </c>
      <c r="N208" s="7">
        <f t="shared" si="71"/>
        <v>8.4499999950639904</v>
      </c>
      <c r="O208" s="7"/>
      <c r="P208" s="7"/>
      <c r="Q208" s="23"/>
      <c r="R208" s="23"/>
      <c r="S208" s="35">
        <f t="shared" si="78"/>
        <v>1</v>
      </c>
      <c r="T208" s="50" t="str">
        <f t="shared" si="79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02:52:08-700',mode:absolute,to:'2016-12-14 05:02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8" s="52" t="str">
        <f t="shared" si="81"/>
        <v>Y</v>
      </c>
      <c r="X208" s="177">
        <f t="shared" si="73"/>
        <v>1</v>
      </c>
      <c r="Y208" s="67">
        <f t="shared" si="74"/>
        <v>2.3130999999999999</v>
      </c>
      <c r="Z208" s="67">
        <f t="shared" si="75"/>
        <v>1.4999999999999999E-2</v>
      </c>
      <c r="AA208" s="67">
        <f t="shared" si="82"/>
        <v>2.2980999999999998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si="83"/>
        <v>0306-14</v>
      </c>
      <c r="AE208" s="91" t="str">
        <f t="shared" si="84"/>
        <v>aws s3 cp s3://rtdc.mdm.uploadarchive.raw/RTDC4032/ "%USERPROFILE%\AppData\Local\Temp\OnboardLogs"\RTDC4032\2016-12-14 --exclude "*" --recursive --include "*20161214*" &amp; "%USERPROFILE%\Documents\GitHub\mrs-test-scripts\Headless Mode &amp; Sideloading\WalkAndUnGZ.bat" "%USERPROFILE%\AppData\Local\Temp\OnboardLogs"\RTDC4032\2016-12-14 &amp; aws s3 cp s3://rtdc.mdm.uploadarchive.raw/RTDC4032/ "%USERPROFILE%\AppData\Local\Temp\OnboardLogs"\RTDC4032\2016-12-15 --exclude "*" --recursive --include "*20161215*" &amp; "%USERPROFILE%\Documents\GitHub\mrs-test-scripts\Headless Mode &amp; Sideloading\WalkAndUnGZ.bat" "%USERPROFILE%\AppData\Local\Temp\OnboardLogs"\RTDC4032\2016-12-15</v>
      </c>
      <c r="AF208" s="88" t="str">
        <f t="shared" si="85"/>
        <v>"C:\Program Files (x86)\AstroGrep\AstroGrep.exe" /spath="%USERPROFILE%\AppData\Local\Temp\OnboardLogs" /stypes="app*4032*20161214*" /stext=" 11:.+((SYSTEM_STATE.+slice.+state.+changed )|(ment ac)|(multiple cpu faults)|(system.+state.+changed )|(\[timeout)|(PRM\|1\|D)|(kpr)|(kdp)|(\|lc)|(penalty))" /e /r /s</v>
      </c>
      <c r="AG208" s="1" t="str">
        <f t="shared" si="86"/>
        <v>Other</v>
      </c>
      <c r="AH208" s="92" t="str">
        <f t="shared" si="87"/>
        <v>"%USERPROFILE%\Documents\GitHub\eaglep3\Utilities\RefineRTDCRunTimes.py" --tripid 306-14 --locoid 4032 --swversion DE.1.0.8.0 --startMP 300:23131 --initTime 2016-12-14T03:52:08 --startdatetime 2016-12-14T03:54:17 --delay 1 --endMP 204:150 --enddatetime 2016-12-14T04:02:44 --enforcementcount 0 &gt;&gt;C:\Users\stu\Documents\GitHub\eaglep3-reporting\EC\2016-12-14-refined-times.txt</v>
      </c>
      <c r="AI208" s="119" t="str">
        <f t="shared" si="88"/>
        <v>echo {"issue":{"subject":"","project_id":79,"tracker_id":40,"status_id":1,"priority_id":2,"assigned_to_id":23,"start_date":"2016-12-14","description":"","custom_fields":[{"id":1,"name":"Subdivision","value":"Other"},{"id":4,"name":"Milepost","value":"0.015"},{"id":17,"name":"Train ID","value":"306-14"},{"id":16,"name":"Locomotive ID","value":"4032"},{"id":130,"name":"Impact","value":""},{"id":150,"name":"Time of Event (Mountain Time)","value":"04:02:44"},{"id":151,"name":"Denver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653</v>
      </c>
      <c r="B209" s="7">
        <v>4003</v>
      </c>
      <c r="C209" s="22" t="s">
        <v>207</v>
      </c>
      <c r="D209" s="22" t="s">
        <v>394</v>
      </c>
      <c r="E209" s="13">
        <v>42718.823379629626</v>
      </c>
      <c r="F209" s="13">
        <v>25568.708333333332</v>
      </c>
      <c r="G209" s="7">
        <v>6</v>
      </c>
      <c r="H209" s="22" t="s">
        <v>404</v>
      </c>
      <c r="I209" s="13">
        <v>25568.708333333332</v>
      </c>
      <c r="J209" s="7">
        <v>0</v>
      </c>
      <c r="K209" s="109" t="str">
        <f t="shared" si="76"/>
        <v>4003/4004</v>
      </c>
      <c r="L209" s="22" t="str">
        <f>VLOOKUP(A209,'Trips&amp;Operators'!$C$1:$G$99999,5,FALSE)</f>
        <v>YANG JAN</v>
      </c>
      <c r="M209" s="6">
        <f t="shared" si="77"/>
        <v>0</v>
      </c>
      <c r="N209" s="7">
        <f t="shared" si="71"/>
        <v>0</v>
      </c>
      <c r="O209" s="7"/>
      <c r="P209" s="7"/>
      <c r="Q209" s="23"/>
      <c r="R209" s="23"/>
      <c r="S209" s="35">
        <f t="shared" si="78"/>
        <v>1</v>
      </c>
      <c r="T209" s="50" t="str">
        <f t="shared" si="79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18:45:40-700',mode:absolute,to:'1969-12-31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9" s="52" t="str">
        <f t="shared" si="81"/>
        <v>Y</v>
      </c>
      <c r="X209" s="177">
        <f t="shared" si="73"/>
        <v>1</v>
      </c>
      <c r="Y209" s="67">
        <f t="shared" si="74"/>
        <v>4.9099999999999998E-2</v>
      </c>
      <c r="Z209" s="67">
        <f t="shared" si="75"/>
        <v>2.3304</v>
      </c>
      <c r="AA209" s="67">
        <f t="shared" si="82"/>
        <v>2.2812999999999999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83"/>
        <v>0307-14</v>
      </c>
      <c r="AE209" s="91" t="str">
        <f t="shared" si="84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9" s="88" t="str">
        <f t="shared" si="85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09" s="1" t="str">
        <f t="shared" si="86"/>
        <v>Other</v>
      </c>
      <c r="AH209" s="92" t="str">
        <f t="shared" si="87"/>
        <v>"%USERPROFILE%\Documents\GitHub\eaglep3\Utilities\RefineRTDCRunTimes.py" --tripid 307-14 --locoid 4003 --swversion DE.1.0.8.0 --startMP 204:491 --initTime 2016-12-14T19:45:40 --startdatetime 1969-12-31T17:00:00 --delay 6 --endMP 300:23304 --enddatetime 1969-12-31T17:00:00 --enforcementcount 0 &gt;&gt;C:\Users\stu\Documents\GitHub\eaglep3-reporting\EC\2016-12-14-refined-times.txt</v>
      </c>
      <c r="AI209" s="119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ID","value":"307-14"},{"id":16,"name":"Locomotive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463</v>
      </c>
      <c r="B210" s="7">
        <v>4052</v>
      </c>
      <c r="C210" s="22" t="s">
        <v>207</v>
      </c>
      <c r="D210" s="22" t="s">
        <v>755</v>
      </c>
      <c r="E210" s="13">
        <v>42718.17046296296</v>
      </c>
      <c r="F210" s="13">
        <v>42718.171840277777</v>
      </c>
      <c r="G210" s="7">
        <v>1</v>
      </c>
      <c r="H210" s="22" t="s">
        <v>282</v>
      </c>
      <c r="I210" s="13">
        <v>42718.181087962963</v>
      </c>
      <c r="J210" s="7">
        <v>0</v>
      </c>
      <c r="K210" s="109" t="str">
        <f t="shared" si="76"/>
        <v>4051/4052</v>
      </c>
      <c r="L210" s="22" t="str">
        <f>VLOOKUP(A210,'Trips&amp;Operators'!$C$1:$G$99999,5,FALSE)</f>
        <v>SPECTOR MICHAEL</v>
      </c>
      <c r="M210" s="6">
        <f t="shared" si="77"/>
        <v>9.2476851859828457E-3</v>
      </c>
      <c r="N210" s="7">
        <f t="shared" si="71"/>
        <v>13.316666667815298</v>
      </c>
      <c r="O210" s="7"/>
      <c r="P210" s="7"/>
      <c r="Q210" s="23"/>
      <c r="R210" s="23"/>
      <c r="S210" s="35">
        <f t="shared" si="78"/>
        <v>1</v>
      </c>
      <c r="T210" s="50" t="str">
        <f t="shared" si="79"/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03:05:28-700',mode:absolute,to:'2016-12-14 05:20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0" s="52" t="str">
        <f t="shared" si="81"/>
        <v>Y</v>
      </c>
      <c r="X210" s="177">
        <f t="shared" si="73"/>
        <v>1</v>
      </c>
      <c r="Y210" s="67">
        <f t="shared" si="74"/>
        <v>2.3273000000000001</v>
      </c>
      <c r="Z210" s="67">
        <f t="shared" si="75"/>
        <v>1.3899999999999999E-2</v>
      </c>
      <c r="AA210" s="67">
        <f t="shared" si="82"/>
        <v>2.3134000000000001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83"/>
        <v>0308-14</v>
      </c>
      <c r="AE210" s="91" t="str">
        <f t="shared" si="84"/>
        <v>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 &amp; aws s3 cp s3://rtdc.mdm.uploadarchive.raw/RTDC4052/ "%USERPROFILE%\AppData\Local\Temp\OnboardLogs"\RTDC4052\2016-12-15 --exclude "*" --recursive --include "*20161215*" &amp; "%USERPROFILE%\Documents\GitHub\mrs-test-scripts\Headless Mode &amp; Sideloading\WalkAndUnGZ.bat" "%USERPROFILE%\AppData\Local\Temp\OnboardLogs"\RTDC4052\2016-12-15</v>
      </c>
      <c r="AF210" s="88" t="str">
        <f t="shared" si="85"/>
        <v>"C:\Program Files (x86)\AstroGrep\AstroGrep.exe" /spath="%USERPROFILE%\AppData\Local\Temp\OnboardLogs" /stypes="app*4052*20161214*" /stext=" 11:.+((SYSTEM_STATE.+slice.+state.+changed )|(ment ac)|(multiple cpu faults)|(system.+state.+changed )|(\[timeout)|(PRM\|1\|D)|(kpr)|(kdp)|(\|lc)|(penalty))" /e /r /s</v>
      </c>
      <c r="AG210" s="1" t="str">
        <f t="shared" si="86"/>
        <v>Other</v>
      </c>
      <c r="AH210" s="92" t="str">
        <f t="shared" si="87"/>
        <v>"%USERPROFILE%\Documents\GitHub\eaglep3\Utilities\RefineRTDCRunTimes.py" --tripid 308-14 --locoid 4052 --swversion DE.1.0.8.0 --startMP 300:23273 --initTime 2016-12-14T04:05:28 --startdatetime 2016-12-14T04:07:27 --delay 1 --endMP 204:139 --enddatetime 2016-12-14T04:20:46 --enforcementcount 0 &gt;&gt;C:\Users\stu\Documents\GitHub\eaglep3-reporting\EC\2016-12-14-refined-times.txt</v>
      </c>
      <c r="AI210" s="119" t="str">
        <f t="shared" si="88"/>
        <v>echo {"issue":{"subject":"","project_id":79,"tracker_id":40,"status_id":1,"priority_id":2,"assigned_to_id":23,"start_date":"2016-12-14","description":"","custom_fields":[{"id":1,"name":"Subdivision","value":"Other"},{"id":4,"name":"Milepost","value":"0.0139"},{"id":17,"name":"Train ID","value":"308-14"},{"id":16,"name":"Locomotive ID","value":"4052"},{"id":130,"name":"Impact","value":""},{"id":150,"name":"Time of Event (Mountain Time)","value":"04:20:46"},{"id":151,"name":"Denver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466</v>
      </c>
      <c r="B211" s="7">
        <v>4015</v>
      </c>
      <c r="C211" s="22" t="s">
        <v>207</v>
      </c>
      <c r="D211" s="22" t="s">
        <v>756</v>
      </c>
      <c r="E211" s="13">
        <v>42718.182893518519</v>
      </c>
      <c r="F211" s="13">
        <v>42718.184062499997</v>
      </c>
      <c r="G211" s="7">
        <v>1</v>
      </c>
      <c r="H211" s="22" t="s">
        <v>311</v>
      </c>
      <c r="I211" s="13">
        <v>42718.191365740742</v>
      </c>
      <c r="J211" s="7">
        <v>0</v>
      </c>
      <c r="K211" s="109" t="str">
        <f t="shared" si="76"/>
        <v>4015/4016</v>
      </c>
      <c r="L211" s="22" t="str">
        <f>VLOOKUP(A211,'Trips&amp;Operators'!$C$1:$G$99999,5,FALSE)</f>
        <v>DAVIS MICHAEL</v>
      </c>
      <c r="M211" s="6">
        <f t="shared" si="77"/>
        <v>7.3032407453865744E-3</v>
      </c>
      <c r="N211" s="7">
        <f t="shared" si="71"/>
        <v>10.516666673356667</v>
      </c>
      <c r="O211" s="7"/>
      <c r="P211" s="7"/>
      <c r="Q211" s="23"/>
      <c r="R211" s="23"/>
      <c r="S211" s="35">
        <f t="shared" si="78"/>
        <v>1</v>
      </c>
      <c r="T211" s="50" t="str">
        <f t="shared" si="79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03:23:22-700',mode:absolute,to:'2016-12-14 05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11" s="52" t="str">
        <f t="shared" si="81"/>
        <v>Y</v>
      </c>
      <c r="X211" s="177">
        <f t="shared" si="73"/>
        <v>2</v>
      </c>
      <c r="Y211" s="67">
        <f t="shared" si="74"/>
        <v>2.3247</v>
      </c>
      <c r="Z211" s="67">
        <f t="shared" si="75"/>
        <v>1.5800000000000002E-2</v>
      </c>
      <c r="AA211" s="67">
        <f t="shared" si="82"/>
        <v>2.3089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83"/>
        <v>0310-14</v>
      </c>
      <c r="AE211" s="91" t="str">
        <f t="shared" si="84"/>
        <v>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 &amp; aws s3 cp s3://rtdc.mdm.uploadarchive.raw/RTDC4015/ "%USERPROFILE%\AppData\Local\Temp\OnboardLogs"\RTDC4015\2016-12-15 --exclude "*" --recursive --include "*20161215*" &amp; "%USERPROFILE%\Documents\GitHub\mrs-test-scripts\Headless Mode &amp; Sideloading\WalkAndUnGZ.bat" "%USERPROFILE%\AppData\Local\Temp\OnboardLogs"\RTDC4015\2016-12-15</v>
      </c>
      <c r="AF211" s="88" t="str">
        <f t="shared" si="85"/>
        <v>"C:\Program Files (x86)\AstroGrep\AstroGrep.exe" /spath="%USERPROFILE%\AppData\Local\Temp\OnboardLogs" /stypes="app*4015*20161214*" /stext=" 11:.+((SYSTEM_STATE.+slice.+state.+changed )|(ment ac)|(multiple cpu faults)|(system.+state.+changed )|(\[timeout)|(PRM\|1\|D)|(kpr)|(kdp)|(\|lc)|(penalty))" /e /r /s</v>
      </c>
      <c r="AG211" s="1" t="str">
        <f t="shared" si="86"/>
        <v>Other</v>
      </c>
      <c r="AH211" s="92" t="str">
        <f t="shared" si="87"/>
        <v>"%USERPROFILE%\Documents\GitHub\eaglep3\Utilities\RefineRTDCRunTimes.py" --tripid 310-14 --locoid 4015 --swversion DE.1.0.8.0 --startMP 300:23247 --initTime 2016-12-14T04:23:22 --startdatetime 2016-12-14T04:25:03 --delay 1 --endMP 204:158 --enddatetime 2016-12-14T04:35:34 --enforcementcount 0 &gt;&gt;C:\Users\stu\Documents\GitHub\eaglep3-reporting\EC\2016-12-14-refined-times.txt</v>
      </c>
      <c r="AI211" s="119" t="str">
        <f t="shared" si="88"/>
        <v>echo {"issue":{"subject":"","project_id":79,"tracker_id":40,"status_id":1,"priority_id":2,"assigned_to_id":23,"start_date":"2016-12-14","description":"","custom_fields":[{"id":1,"name":"Subdivision","value":"Other"},{"id":4,"name":"Milepost","value":"0.0158"},{"id":17,"name":"Train ID","value":"310-14"},{"id":16,"name":"Locomotive ID","value":"4015"},{"id":130,"name":"Impact","value":""},{"id":150,"name":"Time of Event (Mountain Time)","value":"04:35:34"},{"id":151,"name":"Denver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675</v>
      </c>
      <c r="B212" s="7">
        <v>4014</v>
      </c>
      <c r="C212" s="22" t="s">
        <v>207</v>
      </c>
      <c r="D212" s="22" t="s">
        <v>712</v>
      </c>
      <c r="E212" s="13">
        <v>42719.046655092592</v>
      </c>
      <c r="F212" s="13">
        <v>25568.708333333332</v>
      </c>
      <c r="G212" s="7">
        <v>0</v>
      </c>
      <c r="H212" s="22" t="s">
        <v>757</v>
      </c>
      <c r="I212" s="13">
        <v>25568.708333333332</v>
      </c>
      <c r="J212" s="7">
        <v>0</v>
      </c>
      <c r="K212" s="109" t="str">
        <f t="shared" si="76"/>
        <v>4013/4014</v>
      </c>
      <c r="L212" s="22" t="str">
        <f>VLOOKUP(A212,'Trips&amp;Operators'!$C$1:$G$99999,5,FALSE)</f>
        <v>YANAI IAN</v>
      </c>
      <c r="M212" s="6">
        <f t="shared" si="77"/>
        <v>0</v>
      </c>
      <c r="N212" s="7">
        <f t="shared" si="71"/>
        <v>0</v>
      </c>
      <c r="O212" s="7"/>
      <c r="P212" s="7"/>
      <c r="Q212" s="23"/>
      <c r="R212" s="23"/>
      <c r="S212" s="35">
        <f t="shared" si="78"/>
        <v>1</v>
      </c>
      <c r="T212" s="50" t="str">
        <f t="shared" si="79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https://search-rtdc-monitor-bjffxe2xuh6vdkpspy63sjmuny.us-east-1.es.amazonaws.com/_plugin/kibana/#/discover/Steve-Slow-Train-Analysis-(2080s-and-2083s)?_g=(refreshInterval:(display:Off,section:0,value:0),time:(from:'2016-12-15 00:07:11-700',mode:absolute,to:'1969-12-31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2" s="52" t="str">
        <f t="shared" si="81"/>
        <v>Y</v>
      </c>
      <c r="X212" s="177">
        <f t="shared" si="73"/>
        <v>1</v>
      </c>
      <c r="Y212" s="67">
        <f t="shared" si="74"/>
        <v>4.9500000000000002E-2</v>
      </c>
      <c r="Z212" s="67">
        <f t="shared" si="75"/>
        <v>2.3163999999999998</v>
      </c>
      <c r="AA212" s="67">
        <f t="shared" si="82"/>
        <v>2.2668999999999997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83"/>
        <v>0311-14</v>
      </c>
      <c r="AE212" s="91" t="str">
        <f t="shared" si="84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12" s="88" t="str">
        <f t="shared" si="85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12" s="1" t="str">
        <f t="shared" si="86"/>
        <v>Other</v>
      </c>
      <c r="AH212" s="92" t="str">
        <f t="shared" si="87"/>
        <v>"%USERPROFILE%\Documents\GitHub\eaglep3\Utilities\RefineRTDCRunTimes.py" --tripid 311-14 --locoid 4014 --swversion DE.1.0.8.0 --startMP 204:495 --initTime 2016-12-15T01:07:11 --startdatetime 1969-12-31T17:00:00 --delay 0 --endMP 300:23164 --enddatetime 1969-12-31T17:00:00 --enforcementcount 0 &gt;&gt;C:\Users\stu\Documents\GitHub\eaglep3-reporting\EC\2016-12-14-refined-times.txt</v>
      </c>
      <c r="AI212" s="119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{"issue":{"subject":"","project_id":79,"tracker_id":40,"status_id":1,"priority_id":2,"assigned_to_id":23,"start_date":"1969-12-31","description":"","custom_fields":[{"id":1,"name":"Subdivision","value":"Other"},{"id":4,"name":"Milepost","value":"2.3164"},{"id":17,"name":"Train ID","value":"311-14"},{"id":16,"name":"Locomotive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381</v>
      </c>
      <c r="B213" s="7">
        <v>4020</v>
      </c>
      <c r="C213" s="22" t="s">
        <v>207</v>
      </c>
      <c r="D213" s="22" t="s">
        <v>405</v>
      </c>
      <c r="E213" s="13">
        <v>42718.093946759262</v>
      </c>
      <c r="F213" s="13">
        <v>42718.097962962966</v>
      </c>
      <c r="G213" s="7">
        <v>5</v>
      </c>
      <c r="H213" s="22" t="s">
        <v>406</v>
      </c>
      <c r="I213" s="13">
        <v>42718.107604166667</v>
      </c>
      <c r="J213" s="7">
        <v>0</v>
      </c>
      <c r="K213" s="109" t="str">
        <f t="shared" si="76"/>
        <v>4019/4020</v>
      </c>
      <c r="L213" s="22" t="str">
        <f>VLOOKUP(A213,'Trips&amp;Operators'!$C$1:$G$99999,5,FALSE)</f>
        <v>CHANDLER KELVIN</v>
      </c>
      <c r="M213" s="6">
        <f t="shared" si="77"/>
        <v>9.6412037019035779E-3</v>
      </c>
      <c r="N213" s="7">
        <f t="shared" si="71"/>
        <v>13.883333330741152</v>
      </c>
      <c r="O213" s="7"/>
      <c r="P213" s="7"/>
      <c r="Q213" s="23"/>
      <c r="R213" s="23"/>
      <c r="S213" s="35">
        <f t="shared" si="78"/>
        <v>1</v>
      </c>
      <c r="T213" s="50" t="str">
        <f t="shared" si="79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01:15:17-700',mode:absolute,to:'2016-12-14 03:34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3" s="52" t="str">
        <f t="shared" si="81"/>
        <v>Y</v>
      </c>
      <c r="X213" s="177">
        <f t="shared" si="73"/>
        <v>4</v>
      </c>
      <c r="Y213" s="67">
        <f t="shared" si="74"/>
        <v>0.05</v>
      </c>
      <c r="Z213" s="67">
        <f t="shared" si="75"/>
        <v>2.2846000000000002</v>
      </c>
      <c r="AA213" s="67">
        <f t="shared" si="82"/>
        <v>2.2346000000000004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83"/>
        <v>0315-13</v>
      </c>
      <c r="AE213" s="91" t="str">
        <f t="shared" si="84"/>
        <v>aws s3 cp s3://rtdc.mdm.uploadarchive.raw/RTDC4020/ "%USERPROFILE%\AppData\Local\Temp\OnboardLogs"\RTDC4020\2016-12-14 --exclude "*" --recursive --include "*20161214*" &amp; "%USERPROFILE%\Documents\GitHub\mrs-test-scripts\Headless Mode &amp; Sideloading\WalkAndUnGZ.bat" "%USERPROFILE%\AppData\Local\Temp\OnboardLogs"\RTDC4020\2016-12-14 &amp; aws s3 cp s3://rtdc.mdm.uploadarchive.raw/RTDC4020/ "%USERPROFILE%\AppData\Local\Temp\OnboardLogs"\RTDC4020\2016-12-15 --exclude "*" --recursive --include "*20161215*" &amp; "%USERPROFILE%\Documents\GitHub\mrs-test-scripts\Headless Mode &amp; Sideloading\WalkAndUnGZ.bat" "%USERPROFILE%\AppData\Local\Temp\OnboardLogs"\RTDC4020\2016-12-15</v>
      </c>
      <c r="AF213" s="88" t="str">
        <f t="shared" si="85"/>
        <v>"C:\Program Files (x86)\AstroGrep\AstroGrep.exe" /spath="%USERPROFILE%\AppData\Local\Temp\OnboardLogs" /stypes="app*4020*20161214*" /stext=" 09:.+((SYSTEM_STATE.+slice.+state.+changed )|(ment ac)|(multiple cpu faults)|(system.+state.+changed )|(\[timeout)|(PRM\|1\|D)|(kpr)|(kdp)|(\|lc)|(penalty))" /e /r /s</v>
      </c>
      <c r="AG213" s="1" t="str">
        <f t="shared" si="86"/>
        <v>Other</v>
      </c>
      <c r="AH213" s="92" t="str">
        <f t="shared" si="87"/>
        <v>"%USERPROFILE%\Documents\GitHub\eaglep3\Utilities\RefineRTDCRunTimes.py" --tripid 315-13 --locoid 4020 --swversion DE.1.0.8.0 --startMP 204:500 --initTime 2016-12-14T02:15:17 --startdatetime 2016-12-14T02:21:04 --delay 5 --endMP 300:22846 --enddatetime 2016-12-14T02:34:57 --enforcementcount 0 &gt;&gt;C:\Users\stu\Documents\GitHub\eaglep3-reporting\EC\2016-12-14-refined-times.txt</v>
      </c>
      <c r="AI213" s="119" t="str">
        <f t="shared" si="88"/>
        <v>echo {"issue":{"subject":"","project_id":79,"tracker_id":40,"status_id":1,"priority_id":2,"assigned_to_id":23,"start_date":"2016-12-14","description":"","custom_fields":[{"id":1,"name":"Subdivision","value":"Other"},{"id":4,"name":"Milepost","value":"2.2846"},{"id":17,"name":"Train ID","value":"315-13"},{"id":16,"name":"Locomotive ID","value":"4020"},{"id":130,"name":"Impact","value":""},{"id":150,"name":"Time of Event (Mountain Time)","value":"02:34:57"},{"id":151,"name":"Denver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678</v>
      </c>
      <c r="B214" s="7">
        <v>4044</v>
      </c>
      <c r="C214" s="22" t="s">
        <v>207</v>
      </c>
      <c r="D214" s="22" t="s">
        <v>276</v>
      </c>
      <c r="E214" s="13">
        <v>42719.092662037037</v>
      </c>
      <c r="F214" s="13">
        <v>25568.708333333332</v>
      </c>
      <c r="G214" s="7">
        <v>1</v>
      </c>
      <c r="H214" s="22" t="s">
        <v>758</v>
      </c>
      <c r="I214" s="13">
        <v>25568.708333333332</v>
      </c>
      <c r="J214" s="7">
        <v>0</v>
      </c>
      <c r="K214" s="109" t="str">
        <f t="shared" si="76"/>
        <v>4043/4044</v>
      </c>
      <c r="L214" s="22" t="str">
        <f>VLOOKUP(A214,'Trips&amp;Operators'!$C$1:$G$99999,5,FALSE)</f>
        <v>PERKINS DARREN</v>
      </c>
      <c r="M214" s="6">
        <f t="shared" si="77"/>
        <v>0</v>
      </c>
      <c r="N214" s="7">
        <f t="shared" si="71"/>
        <v>0</v>
      </c>
      <c r="O214" s="7"/>
      <c r="P214" s="7"/>
      <c r="Q214" s="23"/>
      <c r="R214" s="23"/>
      <c r="S214" s="35">
        <f t="shared" si="78"/>
        <v>1</v>
      </c>
      <c r="T214" s="50" t="str">
        <f t="shared" si="79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https://search-rtdc-monitor-bjffxe2xuh6vdkpspy63sjmuny.us-east-1.es.amazonaws.com/_plugin/kibana/#/discover/Steve-Slow-Train-Analysis-(2080s-and-2083s)?_g=(refreshInterval:(display:Off,section:0,value:0),time:(from:'2016-12-15 01:13:26-700',mode:absolute,to:'1969-12-31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4" s="52" t="str">
        <f t="shared" si="81"/>
        <v>Y</v>
      </c>
      <c r="X214" s="177">
        <f t="shared" si="73"/>
        <v>0</v>
      </c>
      <c r="Y214" s="67">
        <f t="shared" si="74"/>
        <v>4.6399999999999997E-2</v>
      </c>
      <c r="Z214" s="67">
        <f t="shared" si="75"/>
        <v>2.331</v>
      </c>
      <c r="AA214" s="67">
        <f t="shared" si="82"/>
        <v>2.2846000000000002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83"/>
        <v>0315-14</v>
      </c>
      <c r="AE214" s="91" t="str">
        <f t="shared" si="84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14" s="88" t="str">
        <f t="shared" si="85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14" s="1" t="str">
        <f t="shared" si="86"/>
        <v>Other</v>
      </c>
      <c r="AH214" s="92" t="str">
        <f t="shared" si="87"/>
        <v>"%USERPROFILE%\Documents\GitHub\eaglep3\Utilities\RefineRTDCRunTimes.py" --tripid 315-14 --locoid 4044 --swversion DE.1.0.8.0 --startMP 204:464 --initTime 2016-12-15T02:13:26 --startdatetime 1969-12-31T17:00:00 --delay 1 --endMP 300:23310 --enddatetime 1969-12-31T17:00:00 --enforcementcount 0 &gt;&gt;C:\Users\stu\Documents\GitHub\eaglep3-reporting\EC\2016-12-14-refined-times.txt</v>
      </c>
      <c r="AI214" s="119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ID","value":"315-14"},{"id":16,"name":"Locomotive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426</v>
      </c>
      <c r="B215" s="7">
        <v>4018</v>
      </c>
      <c r="C215" s="22" t="s">
        <v>207</v>
      </c>
      <c r="D215" s="22" t="s">
        <v>341</v>
      </c>
      <c r="E215" s="13">
        <v>42718.355532407404</v>
      </c>
      <c r="F215" s="13">
        <v>42718.357349537036</v>
      </c>
      <c r="G215" s="7">
        <v>1</v>
      </c>
      <c r="H215" s="22" t="s">
        <v>825</v>
      </c>
      <c r="I215" s="13">
        <v>42718.363877314812</v>
      </c>
      <c r="J215" s="7">
        <v>0</v>
      </c>
      <c r="K215" s="109" t="str">
        <f t="shared" si="76"/>
        <v>4017/4018</v>
      </c>
      <c r="L215" s="22" t="str">
        <f>VLOOKUP(A215,'Trips&amp;Operators'!$C$1:$G$99999,5,FALSE)</f>
        <v>MAELZER KURT</v>
      </c>
      <c r="M215" s="6">
        <f t="shared" si="77"/>
        <v>6.5277777757728472E-3</v>
      </c>
      <c r="N215" s="7">
        <f t="shared" si="71"/>
        <v>9.3999999971129</v>
      </c>
      <c r="O215" s="7"/>
      <c r="P215" s="7"/>
      <c r="Q215" s="23"/>
      <c r="R215" s="23"/>
      <c r="S215" s="35">
        <f t="shared" si="78"/>
        <v>1</v>
      </c>
      <c r="T215" s="50" t="str">
        <f t="shared" si="79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07:31:58-700',mode:absolute,to:'2016-12-14 09:43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5" s="52" t="str">
        <f t="shared" si="81"/>
        <v>Y</v>
      </c>
      <c r="X215" s="177">
        <f t="shared" si="73"/>
        <v>588</v>
      </c>
      <c r="Y215" s="67">
        <f t="shared" si="74"/>
        <v>9.8100000000000007E-2</v>
      </c>
      <c r="Z215" s="67">
        <f t="shared" si="75"/>
        <v>2.4203000000000001</v>
      </c>
      <c r="AA215" s="67">
        <f t="shared" si="82"/>
        <v>2.3222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 t="shared" si="83"/>
        <v>0903-14</v>
      </c>
      <c r="AE215" s="91" t="str">
        <f t="shared" si="84"/>
        <v>aws s3 cp s3://rtdc.mdm.uploadarchive.raw/RTDC4018/ "%USERPROFILE%\AppData\Local\Temp\OnboardLogs"\RTDC4018\2016-12-14 --exclude "*" --recursive --include "*20161214*" &amp; "%USERPROFILE%\Documents\GitHub\mrs-test-scripts\Headless Mode &amp; Sideloading\WalkAndUnGZ.bat" "%USERPROFILE%\AppData\Local\Temp\OnboardLogs"\RTDC4018\2016-12-14 &amp; aws s3 cp s3://rtdc.mdm.uploadarchive.raw/RTDC4018/ "%USERPROFILE%\AppData\Local\Temp\OnboardLogs"\RTDC4018\2016-12-15 --exclude "*" --recursive --include "*20161215*" &amp; "%USERPROFILE%\Documents\GitHub\mrs-test-scripts\Headless Mode &amp; Sideloading\WalkAndUnGZ.bat" "%USERPROFILE%\AppData\Local\Temp\OnboardLogs"\RTDC4018\2016-12-15</v>
      </c>
      <c r="AF215" s="88" t="str">
        <f t="shared" si="85"/>
        <v>"C:\Program Files (x86)\AstroGrep\AstroGrep.exe" /spath="%USERPROFILE%\AppData\Local\Temp\OnboardLogs" /stypes="app*4018*20161214*" /stext=" 15:.+((SYSTEM_STATE.+slice.+state.+changed )|(ment ac)|(multiple cpu faults)|(system.+state.+changed )|(\[timeout)|(PRM\|1\|D)|(kpr)|(kdp)|(\|lc)|(penalty))" /e /r /s</v>
      </c>
      <c r="AG215" s="1" t="str">
        <f t="shared" si="86"/>
        <v>Other</v>
      </c>
      <c r="AH215" s="92" t="str">
        <f t="shared" si="87"/>
        <v>"%USERPROFILE%\Documents\GitHub\eaglep3\Utilities\RefineRTDCRunTimes.py" --tripid 903-14 --locoid 4018 --swversion DE.1.0.8.0 --startMP 204:981 --initTime 2016-12-14T08:31:58 --startdatetime 2016-12-14T08:34:35 --delay 1 --endMP 300:24203 --enddatetime 2016-12-14T08:43:59 --enforcementcount 0 &gt;&gt;C:\Users\stu\Documents\GitHub\eaglep3-reporting\EC\2016-12-14-refined-times.txt</v>
      </c>
      <c r="AI215" s="119" t="str">
        <f t="shared" si="88"/>
        <v>echo {"issue":{"subject":"","project_id":79,"tracker_id":40,"status_id":1,"priority_id":2,"assigned_to_id":23,"start_date":"2016-12-14","description":"","custom_fields":[{"id":1,"name":"Subdivision","value":"Other"},{"id":4,"name":"Milepost","value":"2.4203"},{"id":17,"name":"Train ID","value":"903-14"},{"id":16,"name":"Locomotive ID","value":"4018"},{"id":130,"name":"Impact","value":""},{"id":150,"name":"Time of Event (Mountain Time)","value":"08:43:59"},{"id":151,"name":"Denver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591</v>
      </c>
      <c r="B216" s="7">
        <v>4017</v>
      </c>
      <c r="C216" s="22" t="s">
        <v>207</v>
      </c>
      <c r="D216" s="22" t="s">
        <v>403</v>
      </c>
      <c r="E216" s="13">
        <v>42718.645486111112</v>
      </c>
      <c r="F216" s="13">
        <v>42718.647118055553</v>
      </c>
      <c r="G216" s="7">
        <v>1</v>
      </c>
      <c r="H216" s="22" t="s">
        <v>768</v>
      </c>
      <c r="I216" s="13">
        <v>42718.653599537036</v>
      </c>
      <c r="J216" s="7">
        <v>0</v>
      </c>
      <c r="K216" s="109" t="str">
        <f t="shared" si="76"/>
        <v>4017/4018</v>
      </c>
      <c r="L216" s="22" t="str">
        <f>VLOOKUP(A216,'Trips&amp;Operators'!$C$1:$G$99999,5,FALSE)</f>
        <v>COMELLA JUSTIN</v>
      </c>
      <c r="M216" s="6">
        <f t="shared" si="77"/>
        <v>6.4814814832061529E-3</v>
      </c>
      <c r="N216" s="7">
        <f t="shared" si="71"/>
        <v>9.3333333358168602</v>
      </c>
      <c r="O216" s="7"/>
      <c r="P216" s="7"/>
      <c r="Q216" s="23"/>
      <c r="R216" s="23"/>
      <c r="S216" s="35">
        <f t="shared" si="78"/>
        <v>1</v>
      </c>
      <c r="T216" s="50" t="str">
        <f t="shared" si="79"/>
        <v>Southbound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14:29:30-700',mode:absolute,to:'2016-12-14 16:41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6" s="52" t="str">
        <f t="shared" si="81"/>
        <v>Y</v>
      </c>
      <c r="X216" s="177">
        <f t="shared" si="73"/>
        <v>1</v>
      </c>
      <c r="Y216" s="67">
        <f t="shared" si="74"/>
        <v>2.3302999999999998</v>
      </c>
      <c r="Z216" s="67">
        <f t="shared" si="75"/>
        <v>6.9099999999999995E-2</v>
      </c>
      <c r="AA216" s="67">
        <f t="shared" si="82"/>
        <v>2.2611999999999997</v>
      </c>
      <c r="AB216" s="64" t="e">
        <f>VLOOKUP(A216,Enforcements!$C$7:$K$19,8,0)</f>
        <v>#N/A</v>
      </c>
      <c r="AC216" s="60" t="e">
        <f>VLOOKUP(A216,Enforcements!$C$7:$E$19,3,0)</f>
        <v>#N/A</v>
      </c>
      <c r="AD216" s="61" t="str">
        <f t="shared" si="83"/>
        <v>0904-14</v>
      </c>
      <c r="AE216" s="91" t="str">
        <f t="shared" si="84"/>
        <v>aws s3 cp s3://rtdc.mdm.uploadarchive.raw/RTDC4017/ "%USERPROFILE%\AppData\Local\Temp\OnboardLogs"\RTDC4017\2016-12-14 --exclude "*" --recursive --include "*20161214*" &amp; "%USERPROFILE%\Documents\GitHub\mrs-test-scripts\Headless Mode &amp; Sideloading\WalkAndUnGZ.bat" "%USERPROFILE%\AppData\Local\Temp\OnboardLogs"\RTDC4017\2016-12-14 &amp; aws s3 cp s3://rtdc.mdm.uploadarchive.raw/RTDC4017/ "%USERPROFILE%\AppData\Local\Temp\OnboardLogs"\RTDC4017\2016-12-15 --exclude "*" --recursive --include "*20161215*" &amp; "%USERPROFILE%\Documents\GitHub\mrs-test-scripts\Headless Mode &amp; Sideloading\WalkAndUnGZ.bat" "%USERPROFILE%\AppData\Local\Temp\OnboardLogs"\RTDC4017\2016-12-15</v>
      </c>
      <c r="AF216" s="88" t="str">
        <f t="shared" si="85"/>
        <v>"C:\Program Files (x86)\AstroGrep\AstroGrep.exe" /spath="%USERPROFILE%\AppData\Local\Temp\OnboardLogs" /stypes="app*4017*20161214*" /stext=" 22:.+((SYSTEM_STATE.+slice.+state.+changed )|(ment ac)|(multiple cpu faults)|(system.+state.+changed )|(\[timeout)|(PRM\|1\|D)|(kpr)|(kdp)|(\|lc)|(penalty))" /e /r /s</v>
      </c>
      <c r="AG216" s="1" t="str">
        <f t="shared" si="86"/>
        <v>Other</v>
      </c>
      <c r="AH216" s="92" t="str">
        <f t="shared" si="87"/>
        <v>"%USERPROFILE%\Documents\GitHub\eaglep3\Utilities\RefineRTDCRunTimes.py" --tripid 904-14 --locoid 4017 --swversion DE.1.0.8.0 --startMP 300:23303 --initTime 2016-12-14T15:29:30 --startdatetime 2016-12-14T15:31:51 --delay 1 --endMP 204:691 --enddatetime 2016-12-14T15:41:11 --enforcementcount 0 &gt;&gt;C:\Users\stu\Documents\GitHub\eaglep3-reporting\EC\2016-12-14-refined-times.txt</v>
      </c>
      <c r="AI216" s="119" t="str">
        <f t="shared" si="88"/>
        <v>echo {"issue":{"subject":"","project_id":79,"tracker_id":40,"status_id":1,"priority_id":2,"assigned_to_id":23,"start_date":"2016-12-14","description":"","custom_fields":[{"id":1,"name":"Subdivision","value":"Other"},{"id":4,"name":"Milepost","value":"0.0691"},{"id":17,"name":"Train ID","value":"904-14"},{"id":16,"name":"Locomotive ID","value":"4017"},{"id":130,"name":"Impact","value":""},{"id":150,"name":"Time of Event (Mountain Time)","value":"15:41:11"},{"id":151,"name":"Denver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649</v>
      </c>
      <c r="B217" s="7">
        <v>4017</v>
      </c>
      <c r="C217" s="22" t="s">
        <v>207</v>
      </c>
      <c r="D217" s="22" t="s">
        <v>826</v>
      </c>
      <c r="E217" s="13">
        <v>42718.798252314817</v>
      </c>
      <c r="F217" s="13">
        <v>42718.799953703703</v>
      </c>
      <c r="G217" s="7">
        <v>1</v>
      </c>
      <c r="H217" s="22" t="s">
        <v>827</v>
      </c>
      <c r="I217" s="13">
        <v>42718.805775462963</v>
      </c>
      <c r="J217" s="7">
        <v>0</v>
      </c>
      <c r="K217" s="109" t="str">
        <f t="shared" si="76"/>
        <v>4017/4018</v>
      </c>
      <c r="L217" s="22" t="str">
        <f>VLOOKUP(A217,'Trips&amp;Operators'!$C$1:$G$99999,5,FALSE)</f>
        <v>COMELLA JUSTIN</v>
      </c>
      <c r="M217" s="6">
        <f t="shared" si="77"/>
        <v>5.8217592595610768E-3</v>
      </c>
      <c r="N217" s="7">
        <f t="shared" si="71"/>
        <v>8.3833333337679505</v>
      </c>
      <c r="O217" s="7"/>
      <c r="P217" s="7"/>
      <c r="Q217" s="23"/>
      <c r="R217" s="23"/>
      <c r="S217" s="35">
        <f t="shared" si="78"/>
        <v>0</v>
      </c>
      <c r="T217" s="50" t="str">
        <f t="shared" si="79"/>
        <v>Southbound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18:09:29-700',mode:absolute,to:'2016-12-14 20:20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7" s="52" t="str">
        <f t="shared" si="81"/>
        <v>Y</v>
      </c>
      <c r="X217" s="177">
        <f t="shared" si="73"/>
        <v>2</v>
      </c>
      <c r="Y217" s="67">
        <f t="shared" si="74"/>
        <v>5.8643000000000001</v>
      </c>
      <c r="Z217" s="67">
        <f t="shared" si="75"/>
        <v>2.8820000000000001</v>
      </c>
      <c r="AA217" s="67">
        <f t="shared" si="82"/>
        <v>2.9823</v>
      </c>
      <c r="AB217" s="64" t="e">
        <f>VLOOKUP(A217,Enforcements!$C$7:$K$19,8,0)</f>
        <v>#N/A</v>
      </c>
      <c r="AC217" s="60" t="e">
        <f>VLOOKUP(A217,Enforcements!$C$7:$E$19,3,0)</f>
        <v>#N/A</v>
      </c>
      <c r="AD217" s="61" t="str">
        <f t="shared" si="83"/>
        <v>0906-14</v>
      </c>
      <c r="AE217" s="91" t="str">
        <f t="shared" si="84"/>
        <v>aws s3 cp s3://rtdc.mdm.uploadarchive.raw/RTDC4017/ "%USERPROFILE%\AppData\Local\Temp\OnboardLogs"\RTDC4017\2016-12-14 --exclude "*" --recursive --include "*20161214*" &amp; "%USERPROFILE%\Documents\GitHub\mrs-test-scripts\Headless Mode &amp; Sideloading\WalkAndUnGZ.bat" "%USERPROFILE%\AppData\Local\Temp\OnboardLogs"\RTDC4017\2016-12-14 &amp; aws s3 cp s3://rtdc.mdm.uploadarchive.raw/RTDC4017/ "%USERPROFILE%\AppData\Local\Temp\OnboardLogs"\RTDC4017\2016-12-15 --exclude "*" --recursive --include "*20161215*" &amp; "%USERPROFILE%\Documents\GitHub\mrs-test-scripts\Headless Mode &amp; Sideloading\WalkAndUnGZ.bat" "%USERPROFILE%\AppData\Local\Temp\OnboardLogs"\RTDC4017\2016-12-15</v>
      </c>
      <c r="AF217" s="88" t="str">
        <f t="shared" si="85"/>
        <v>"C:\Program Files (x86)\AstroGrep\AstroGrep.exe" /spath="%USERPROFILE%\AppData\Local\Temp\OnboardLogs" /stypes="app*4017*20161215*" /stext=" 02:.+((SYSTEM_STATE.+slice.+state.+changed )|(ment ac)|(multiple cpu faults)|(system.+state.+changed )|(\[timeout)|(PRM\|1\|D)|(kpr)|(kdp)|(\|lc)|(penalty))" /e /r /s</v>
      </c>
      <c r="AG217" s="1" t="str">
        <f t="shared" si="86"/>
        <v>Other</v>
      </c>
      <c r="AH217" s="92" t="str">
        <f t="shared" si="87"/>
        <v>"%USERPROFILE%\Documents\GitHub\eaglep3\Utilities\RefineRTDCRunTimes.py" --tripid 906-14 --locoid 4017 --swversion DE.1.0.8.0 --startMP 300:58643 --initTime 2016-12-14T19:09:29 --startdatetime 2016-12-14T19:11:56 --delay 1 --endMP 300:28820 --enddatetime 2016-12-14T19:20:19 --enforcementcount 0 &gt;&gt;C:\Users\stu\Documents\GitHub\eaglep3-reporting\EC\2016-12-14-refined-times.txt</v>
      </c>
      <c r="AI217" s="119" t="str">
        <f t="shared" si="88"/>
        <v>echo {"issue":{"subject":"","project_id":79,"tracker_id":40,"status_id":1,"priority_id":2,"assigned_to_id":23,"start_date":"2016-12-14","description":"","custom_fields":[{"id":1,"name":"Subdivision","value":"Other"},{"id":4,"name":"Milepost","value":"2.882"},{"id":17,"name":"Train ID","value":"906-14"},{"id":16,"name":"Locomotive ID","value":"4017"},{"id":130,"name":"Impact","value":""},{"id":150,"name":"Time of Event (Mountain Time)","value":"19:20:19"},{"id":151,"name":"Denver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668</v>
      </c>
      <c r="B218" s="7">
        <v>4030</v>
      </c>
      <c r="C218" s="22" t="s">
        <v>207</v>
      </c>
      <c r="D218" s="22" t="s">
        <v>286</v>
      </c>
      <c r="E218" s="13">
        <v>42718.944652777776</v>
      </c>
      <c r="F218" s="13">
        <v>42718.946284722224</v>
      </c>
      <c r="G218" s="7">
        <v>1</v>
      </c>
      <c r="H218" s="22" t="s">
        <v>828</v>
      </c>
      <c r="I218" s="13">
        <v>42718.951388888891</v>
      </c>
      <c r="J218" s="7">
        <v>0</v>
      </c>
      <c r="K218" s="109" t="str">
        <f t="shared" si="76"/>
        <v>4029/4030</v>
      </c>
      <c r="L218" s="22" t="str">
        <f>VLOOKUP(A218,'Trips&amp;Operators'!$C$1:$G$99999,5,FALSE)</f>
        <v>COMELLA JUSTIN</v>
      </c>
      <c r="M218" s="6">
        <f t="shared" si="77"/>
        <v>5.1041666665696539E-3</v>
      </c>
      <c r="N218" s="7">
        <f t="shared" ref="N218:N228" si="89">24*60*SUM($M218:$M218)</f>
        <v>7.3499999998603016</v>
      </c>
      <c r="O218" s="7"/>
      <c r="P218" s="7"/>
      <c r="Q218" s="23"/>
      <c r="R218" s="23"/>
      <c r="S218" s="35">
        <f t="shared" si="78"/>
        <v>0</v>
      </c>
      <c r="T218" s="50" t="str">
        <f t="shared" si="79"/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21:40:18-700',mode:absolute,to:'2016-12-14 23:50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8" s="52" t="str">
        <f t="shared" si="81"/>
        <v>Y</v>
      </c>
      <c r="X218" s="177">
        <f t="shared" si="73"/>
        <v>2</v>
      </c>
      <c r="Y218" s="67">
        <f t="shared" si="74"/>
        <v>5.8632</v>
      </c>
      <c r="Z218" s="67">
        <f t="shared" si="75"/>
        <v>2.1856</v>
      </c>
      <c r="AA218" s="67">
        <f t="shared" si="82"/>
        <v>3.6776</v>
      </c>
      <c r="AB218" s="64" t="e">
        <f>VLOOKUP(A218,Enforcements!$C$7:$K$19,8,0)</f>
        <v>#N/A</v>
      </c>
      <c r="AC218" s="60" t="e">
        <f>VLOOKUP(A218,Enforcements!$C$7:$E$19,3,0)</f>
        <v>#N/A</v>
      </c>
      <c r="AD218" s="61" t="str">
        <f t="shared" si="83"/>
        <v>0908-14</v>
      </c>
      <c r="AE218" s="91" t="str">
        <f t="shared" si="84"/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AF218" s="88" t="str">
        <f t="shared" si="85"/>
        <v>"C:\Program Files (x86)\AstroGrep\AstroGrep.exe" /spath="%USERPROFILE%\AppData\Local\Temp\OnboardLogs" /stypes="app*4030*20161215*" /stext=" 05:.+((SYSTEM_STATE.+slice.+state.+changed )|(ment ac)|(multiple cpu faults)|(system.+state.+changed )|(\[timeout)|(PRM\|1\|D)|(kpr)|(kdp)|(\|lc)|(penalty))" /e /r /s</v>
      </c>
      <c r="AG218" s="1" t="str">
        <f t="shared" si="86"/>
        <v>Other</v>
      </c>
      <c r="AH218" s="92" t="str">
        <f t="shared" si="87"/>
        <v>"%USERPROFILE%\Documents\GitHub\eaglep3\Utilities\RefineRTDCRunTimes.py" --tripid 908-14 --locoid 4030 --swversion DE.1.0.8.0 --startMP 300:58632 --initTime 2016-12-14T22:40:18 --startdatetime 2016-12-14T22:42:39 --delay 1 --endMP 300:21856 --enddatetime 2016-12-14T22:50:00 --enforcementcount 0 &gt;&gt;C:\Users\stu\Documents\GitHub\eaglep3-reporting\EC\2016-12-14-refined-times.txt</v>
      </c>
      <c r="AI218" s="119" t="str">
        <f t="shared" si="88"/>
        <v>echo {"issue":{"subject":"","project_id":79,"tracker_id":40,"status_id":1,"priority_id":2,"assigned_to_id":23,"start_date":"2016-12-14","description":"","custom_fields":[{"id":1,"name":"Subdivision","value":"Other"},{"id":4,"name":"Milepost","value":"2.1856"},{"id":17,"name":"Train ID","value":"908-14"},{"id":16,"name":"Locomotive ID","value":"4030"},{"id":130,"name":"Impact","value":""},{"id":150,"name":"Time of Event (Mountain Time)","value":"22:50:00"},{"id":151,"name":"Denver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470</v>
      </c>
      <c r="B219" s="7">
        <v>4018</v>
      </c>
      <c r="C219" s="22" t="s">
        <v>207</v>
      </c>
      <c r="D219" s="22" t="s">
        <v>829</v>
      </c>
      <c r="E219" s="13">
        <v>42718.206250000003</v>
      </c>
      <c r="F219" s="13">
        <v>42718.20989583333</v>
      </c>
      <c r="G219" s="7">
        <v>5</v>
      </c>
      <c r="H219" s="22" t="s">
        <v>830</v>
      </c>
      <c r="I219" s="13">
        <v>42718.215185185189</v>
      </c>
      <c r="J219" s="7">
        <v>0</v>
      </c>
      <c r="K219" s="109" t="str">
        <f t="shared" si="76"/>
        <v>4017/4018</v>
      </c>
      <c r="L219" s="22" t="str">
        <f>VLOOKUP(A219,'Trips&amp;Operators'!$C$1:$G$99999,5,FALSE)</f>
        <v>STARKS ANGELINA</v>
      </c>
      <c r="M219" s="6">
        <f t="shared" si="77"/>
        <v>5.289351858664304E-3</v>
      </c>
      <c r="N219" s="7">
        <f t="shared" si="89"/>
        <v>7.6166666764765978</v>
      </c>
      <c r="O219" s="7"/>
      <c r="P219" s="7"/>
      <c r="Q219" s="23"/>
      <c r="R219" s="23"/>
      <c r="S219" s="35">
        <f t="shared" si="78"/>
        <v>0</v>
      </c>
      <c r="T219" s="50" t="str">
        <f t="shared" si="79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03:57:00-700',mode:absolute,to:'2016-12-14 06:09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9" s="52" t="str">
        <f t="shared" si="81"/>
        <v>Y</v>
      </c>
      <c r="X219" s="177">
        <f t="shared" si="73"/>
        <v>3</v>
      </c>
      <c r="Y219" s="67">
        <f t="shared" si="74"/>
        <v>3.0697000000000001</v>
      </c>
      <c r="Z219" s="67">
        <f t="shared" si="75"/>
        <v>5.8954000000000004</v>
      </c>
      <c r="AA219" s="67">
        <f t="shared" si="82"/>
        <v>2.8257000000000003</v>
      </c>
      <c r="AB219" s="64" t="e">
        <f>VLOOKUP(A219,Enforcements!$C$7:$K$19,8,0)</f>
        <v>#N/A</v>
      </c>
      <c r="AC219" s="60" t="e">
        <f>VLOOKUP(A219,Enforcements!$C$7:$E$19,3,0)</f>
        <v>#N/A</v>
      </c>
      <c r="AD219" s="61" t="str">
        <f t="shared" si="83"/>
        <v>0911-14</v>
      </c>
      <c r="AE219" s="91" t="str">
        <f t="shared" si="84"/>
        <v>aws s3 cp s3://rtdc.mdm.uploadarchive.raw/RTDC4018/ "%USERPROFILE%\AppData\Local\Temp\OnboardLogs"\RTDC4018\2016-12-14 --exclude "*" --recursive --include "*20161214*" &amp; "%USERPROFILE%\Documents\GitHub\mrs-test-scripts\Headless Mode &amp; Sideloading\WalkAndUnGZ.bat" "%USERPROFILE%\AppData\Local\Temp\OnboardLogs"\RTDC4018\2016-12-14 &amp; aws s3 cp s3://rtdc.mdm.uploadarchive.raw/RTDC4018/ "%USERPROFILE%\AppData\Local\Temp\OnboardLogs"\RTDC4018\2016-12-15 --exclude "*" --recursive --include "*20161215*" &amp; "%USERPROFILE%\Documents\GitHub\mrs-test-scripts\Headless Mode &amp; Sideloading\WalkAndUnGZ.bat" "%USERPROFILE%\AppData\Local\Temp\OnboardLogs"\RTDC4018\2016-12-15</v>
      </c>
      <c r="AF219" s="88" t="str">
        <f t="shared" si="85"/>
        <v>"C:\Program Files (x86)\AstroGrep\AstroGrep.exe" /spath="%USERPROFILE%\AppData\Local\Temp\OnboardLogs" /stypes="app*4018*20161214*" /stext=" 12:.+((SYSTEM_STATE.+slice.+state.+changed )|(ment ac)|(multiple cpu faults)|(system.+state.+changed )|(\[timeout)|(PRM\|1\|D)|(kpr)|(kdp)|(\|lc)|(penalty))" /e /r /s</v>
      </c>
      <c r="AG219" s="1" t="str">
        <f t="shared" si="86"/>
        <v>Other</v>
      </c>
      <c r="AH219" s="92" t="str">
        <f t="shared" si="87"/>
        <v>"%USERPROFILE%\Documents\GitHub\eaglep3\Utilities\RefineRTDCRunTimes.py" --tripid 911-14 --locoid 4018 --swversion DE.1.0.8.0 --startMP 300:30697 --initTime 2016-12-14T04:57:00 --startdatetime 2016-12-14T05:02:15 --delay 5 --endMP 300:58954 --enddatetime 2016-12-14T05:09:52 --enforcementcount 0 &gt;&gt;C:\Users\stu\Documents\GitHub\eaglep3-reporting\EC\2016-12-14-refined-times.txt</v>
      </c>
      <c r="AI219" s="119" t="str">
        <f t="shared" si="88"/>
        <v>echo {"issue":{"subject":"","project_id":79,"tracker_id":40,"status_id":1,"priority_id":2,"assigned_to_id":23,"start_date":"2016-12-14","description":"","custom_fields":[{"id":1,"name":"Subdivision","value":"Other"},{"id":4,"name":"Milepost","value":"5.8954"},{"id":17,"name":"Train ID","value":"911-14"},{"id":16,"name":"Locomotive ID","value":"4018"},{"id":130,"name":"Impact","value":""},{"id":150,"name":"Time of Event (Mountain Time)","value":"05:09:52"},{"id":151,"name":"Denver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481</v>
      </c>
      <c r="B220" s="7">
        <v>4030</v>
      </c>
      <c r="C220" s="22" t="s">
        <v>207</v>
      </c>
      <c r="D220" s="22" t="s">
        <v>831</v>
      </c>
      <c r="E220" s="13">
        <v>42718.245000000003</v>
      </c>
      <c r="F220" s="13">
        <v>42718.24659722222</v>
      </c>
      <c r="G220" s="7">
        <v>1</v>
      </c>
      <c r="H220" s="22" t="s">
        <v>832</v>
      </c>
      <c r="I220" s="13">
        <v>42718.252476851849</v>
      </c>
      <c r="J220" s="7">
        <v>0</v>
      </c>
      <c r="K220" s="109" t="str">
        <f t="shared" si="76"/>
        <v>4029/4030</v>
      </c>
      <c r="L220" s="22" t="str">
        <f>VLOOKUP(A220,'Trips&amp;Operators'!$C$1:$G$99999,5,FALSE)</f>
        <v>GEBRETEKLE DAGNEW</v>
      </c>
      <c r="M220" s="6">
        <f t="shared" si="77"/>
        <v>5.8796296289074235E-3</v>
      </c>
      <c r="N220" s="7">
        <f t="shared" si="89"/>
        <v>8.4666666656266898</v>
      </c>
      <c r="O220" s="7"/>
      <c r="P220" s="7"/>
      <c r="Q220" s="23"/>
      <c r="R220" s="23"/>
      <c r="S220" s="35">
        <f t="shared" si="78"/>
        <v>1</v>
      </c>
      <c r="T220" s="50" t="str">
        <f t="shared" si="79"/>
        <v>Southbound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04:52:48-700',mode:absolute,to:'2016-12-14 07:03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0" s="52" t="str">
        <f t="shared" si="81"/>
        <v>Y</v>
      </c>
      <c r="X220" s="177">
        <f t="shared" si="73"/>
        <v>1</v>
      </c>
      <c r="Y220" s="67">
        <f t="shared" si="74"/>
        <v>2.3555000000000001</v>
      </c>
      <c r="Z220" s="67">
        <f t="shared" si="75"/>
        <v>6.9800000000000001E-2</v>
      </c>
      <c r="AA220" s="67">
        <f t="shared" si="82"/>
        <v>2.2857000000000003</v>
      </c>
      <c r="AB220" s="64" t="e">
        <f>VLOOKUP(A220,Enforcements!$C$7:$K$19,8,0)</f>
        <v>#N/A</v>
      </c>
      <c r="AC220" s="60" t="e">
        <f>VLOOKUP(A220,Enforcements!$C$7:$E$19,3,0)</f>
        <v>#N/A</v>
      </c>
      <c r="AD220" s="61" t="str">
        <f t="shared" si="83"/>
        <v>0912-14</v>
      </c>
      <c r="AE220" s="91" t="str">
        <f t="shared" si="84"/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AF220" s="88" t="str">
        <f t="shared" si="85"/>
        <v>"C:\Program Files (x86)\AstroGrep\AstroGrep.exe" /spath="%USERPROFILE%\AppData\Local\Temp\OnboardLogs" /stypes="app*4030*20161214*" /stext=" 13:.+((SYSTEM_STATE.+slice.+state.+changed )|(ment ac)|(multiple cpu faults)|(system.+state.+changed )|(\[timeout)|(PRM\|1\|D)|(kpr)|(kdp)|(\|lc)|(penalty))" /e /r /s</v>
      </c>
      <c r="AG220" s="1" t="str">
        <f t="shared" si="86"/>
        <v>Other</v>
      </c>
      <c r="AH220" s="92" t="str">
        <f t="shared" si="87"/>
        <v>"%USERPROFILE%\Documents\GitHub\eaglep3\Utilities\RefineRTDCRunTimes.py" --tripid 912-14 --locoid 4030 --swversion DE.1.0.8.0 --startMP 300:23555 --initTime 2016-12-14T05:52:48 --startdatetime 2016-12-14T05:55:06 --delay 1 --endMP 204:698 --enddatetime 2016-12-14T06:03:34 --enforcementcount 0 &gt;&gt;C:\Users\stu\Documents\GitHub\eaglep3-reporting\EC\2016-12-14-refined-times.txt</v>
      </c>
      <c r="AI220" s="119" t="str">
        <f t="shared" si="88"/>
        <v>echo {"issue":{"subject":"","project_id":79,"tracker_id":40,"status_id":1,"priority_id":2,"assigned_to_id":23,"start_date":"2016-12-14","description":"","custom_fields":[{"id":1,"name":"Subdivision","value":"Other"},{"id":4,"name":"Milepost","value":"0.0698"},{"id":17,"name":"Train ID","value":"912-14"},{"id":16,"name":"Locomotive ID","value":"4030"},{"id":130,"name":"Impact","value":""},{"id":150,"name":"Time of Event (Mountain Time)","value":"06:03:34"},{"id":151,"name":"Denver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532</v>
      </c>
      <c r="B221" s="7">
        <v>4041</v>
      </c>
      <c r="C221" s="22" t="s">
        <v>207</v>
      </c>
      <c r="D221" s="22" t="s">
        <v>759</v>
      </c>
      <c r="E221" s="13">
        <v>42718.442361111112</v>
      </c>
      <c r="F221" s="13">
        <v>42718.443437499998</v>
      </c>
      <c r="G221" s="7">
        <v>1</v>
      </c>
      <c r="H221" s="22">
        <v>8.5347222222222232</v>
      </c>
      <c r="I221" s="13">
        <v>42718.448657407411</v>
      </c>
      <c r="J221" s="7">
        <v>0</v>
      </c>
      <c r="K221" s="109" t="str">
        <f t="shared" si="76"/>
        <v>4041/4042</v>
      </c>
      <c r="L221" s="22" t="str">
        <f>VLOOKUP(A221,'Trips&amp;Operators'!$C$1:$G$99999,5,FALSE)</f>
        <v>BARTLETT KIANDRA</v>
      </c>
      <c r="M221" s="6">
        <f t="shared" si="77"/>
        <v>5.2199074125383049E-3</v>
      </c>
      <c r="N221" s="7">
        <f t="shared" si="89"/>
        <v>7.5166666740551591</v>
      </c>
      <c r="O221" s="7"/>
      <c r="P221" s="7"/>
      <c r="Q221" s="23"/>
      <c r="R221" s="23"/>
      <c r="S221" s="35">
        <f t="shared" si="78"/>
        <v>0</v>
      </c>
      <c r="T221" s="50" t="e">
        <f t="shared" si="79"/>
        <v>#VALUE!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09:37:00-700',mode:absolute,to:'2016-12-14 11:46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1" s="52" t="str">
        <f t="shared" si="81"/>
        <v>N</v>
      </c>
      <c r="X221" s="177" t="e">
        <f t="shared" si="73"/>
        <v>#VALUE!</v>
      </c>
      <c r="Y221" s="67">
        <f t="shared" si="74"/>
        <v>2.1918000000000002</v>
      </c>
      <c r="Z221" s="67">
        <f t="shared" si="75"/>
        <v>47222222.222199999</v>
      </c>
      <c r="AA221" s="67">
        <f t="shared" si="82"/>
        <v>47222220.030400001</v>
      </c>
      <c r="AB221" s="64" t="e">
        <f>VLOOKUP(A221,Enforcements!$C$7:$K$19,8,0)</f>
        <v>#N/A</v>
      </c>
      <c r="AC221" s="60" t="e">
        <f>VLOOKUP(A221,Enforcements!$C$7:$E$19,3,0)</f>
        <v>#N/A</v>
      </c>
      <c r="AD221" s="61" t="str">
        <f t="shared" si="83"/>
        <v>50-14</v>
      </c>
      <c r="AE221" s="91" t="str">
        <f t="shared" si="84"/>
        <v>aws s3 cp s3://rtdc.mdm.uploadarchive.raw/RTDC4041/ "%USERPROFILE%\AppData\Local\Temp\OnboardLogs"\RTDC4041\2016-12-14 --exclude "*" --recursive --include "*20161214*" &amp; "%USERPROFILE%\Documents\GitHub\mrs-test-scripts\Headless Mode &amp; Sideloading\WalkAndUnGZ.bat" "%USERPROFILE%\AppData\Local\Temp\OnboardLogs"\RTDC4041\2016-12-14 &amp; aws s3 cp s3://rtdc.mdm.uploadarchive.raw/RTDC4041/ "%USERPROFILE%\AppData\Local\Temp\OnboardLogs"\RTDC4041\2016-12-15 --exclude "*" --recursive --include "*20161215*" &amp; "%USERPROFILE%\Documents\GitHub\mrs-test-scripts\Headless Mode &amp; Sideloading\WalkAndUnGZ.bat" "%USERPROFILE%\AppData\Local\Temp\OnboardLogs"\RTDC4041\2016-12-15</v>
      </c>
      <c r="AF221" s="88" t="str">
        <f t="shared" si="85"/>
        <v>"C:\Program Files (x86)\AstroGrep\AstroGrep.exe" /spath="%USERPROFILE%\AppData\Local\Temp\OnboardLogs" /stypes="app*4041*20161214*" /stext=" 17:.+((SYSTEM_STATE.+slice.+state.+changed )|(ment ac)|(multiple cpu faults)|(system.+state.+changed )|(\[timeout)|(PRM\|1\|D)|(kpr)|(kdp)|(\|lc)|(penalty))" /e /r /s</v>
      </c>
      <c r="AG221" s="1" t="str">
        <f t="shared" si="86"/>
        <v>Other</v>
      </c>
      <c r="AH221" s="92" t="str">
        <f t="shared" si="87"/>
        <v>"%USERPROFILE%\Documents\GitHub\eaglep3\Utilities\RefineRTDCRunTimes.py" --tripid 50-14 --locoid 4041 --swversion DE.1.0.8.0 --startMP 300:21918 --initTime 2016-12-14T10:37:00 --startdatetime 2016-12-14T10:38:33 --delay 1 --endMP 8.53472222222222 --enddatetime 2016-12-14T10:46:04 --enforcementcount 0 &gt;&gt;C:\Users\stu\Documents\GitHub\eaglep3-reporting\EC\2016-12-14-refined-times.txt</v>
      </c>
      <c r="AI221" s="119" t="str">
        <f t="shared" si="88"/>
        <v>echo {"issue":{"subject":"","project_id":79,"tracker_id":40,"status_id":1,"priority_id":2,"assigned_to_id":23,"start_date":"2016-12-14","description":"","custom_fields":[{"id":1,"name":"Subdivision","value":"Other"},{"id":4,"name":"Milepost","value":"47222222.2222"},{"id":17,"name":"Train ID","value":"50-14"},{"id":16,"name":"Locomotive ID","value":"4041"},{"id":130,"name":"Impact","value":""},{"id":150,"name":"Time of Event (Mountain Time)","value":"10:46:04"},{"id":151,"name":"Denver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537</v>
      </c>
      <c r="B222" s="7">
        <v>4042</v>
      </c>
      <c r="C222" s="22" t="s">
        <v>207</v>
      </c>
      <c r="D222" s="22" t="s">
        <v>760</v>
      </c>
      <c r="E222" s="13">
        <v>42718.466643518521</v>
      </c>
      <c r="F222" s="13">
        <v>42718.468495370369</v>
      </c>
      <c r="G222" s="7">
        <v>1</v>
      </c>
      <c r="H222" s="22" t="s">
        <v>761</v>
      </c>
      <c r="I222" s="13">
        <v>42718.474421296298</v>
      </c>
      <c r="J222" s="7">
        <v>0</v>
      </c>
      <c r="K222" s="109" t="str">
        <f t="shared" si="76"/>
        <v>4041/4042</v>
      </c>
      <c r="L222" s="22" t="str">
        <f>VLOOKUP(A222,'Trips&amp;Operators'!$C$1:$G$99999,5,FALSE)</f>
        <v>SANTIZO D. EDY</v>
      </c>
      <c r="M222" s="6">
        <f t="shared" si="77"/>
        <v>5.9259259287500754E-3</v>
      </c>
      <c r="N222" s="7">
        <f t="shared" si="89"/>
        <v>8.5333333374001086</v>
      </c>
      <c r="O222" s="7"/>
      <c r="P222" s="7"/>
      <c r="Q222" s="23"/>
      <c r="R222" s="23"/>
      <c r="S222" s="35">
        <f t="shared" si="78"/>
        <v>0</v>
      </c>
      <c r="T222" s="50" t="e">
        <f t="shared" si="79"/>
        <v>#VALUE!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10:11:58-700',mode:absolute,to:'2016-12-14 12:23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22" s="52" t="str">
        <f t="shared" si="81"/>
        <v>Y</v>
      </c>
      <c r="X222" s="177" t="e">
        <f t="shared" si="73"/>
        <v>#VALUE!</v>
      </c>
      <c r="Y222" s="67">
        <f t="shared" si="74"/>
        <v>3.5700000000000003E-2</v>
      </c>
      <c r="Z222" s="67">
        <f t="shared" si="75"/>
        <v>2.4237000000000002</v>
      </c>
      <c r="AA222" s="67">
        <f t="shared" si="82"/>
        <v>2.3880000000000003</v>
      </c>
      <c r="AB222" s="64" t="e">
        <f>VLOOKUP(A222,Enforcements!$C$7:$K$19,8,0)</f>
        <v>#N/A</v>
      </c>
      <c r="AC222" s="60" t="e">
        <f>VLOOKUP(A222,Enforcements!$C$7:$E$19,3,0)</f>
        <v>#N/A</v>
      </c>
      <c r="AD222" s="61" t="str">
        <f t="shared" si="83"/>
        <v>51-14</v>
      </c>
      <c r="AE222" s="91" t="str">
        <f t="shared" si="84"/>
        <v>aws s3 cp s3://rtdc.mdm.uploadarchive.raw/RTDC4042/ "%USERPROFILE%\AppData\Local\Temp\OnboardLogs"\RTDC4042\2016-12-14 --exclude "*" --recursive --include "*20161214*" &amp; "%USERPROFILE%\Documents\GitHub\mrs-test-scripts\Headless Mode &amp; Sideloading\WalkAndUnGZ.bat" "%USERPROFILE%\AppData\Local\Temp\OnboardLogs"\RTDC4042\2016-12-14 &amp; aws s3 cp s3://rtdc.mdm.uploadarchive.raw/RTDC4042/ "%USERPROFILE%\AppData\Local\Temp\OnboardLogs"\RTDC4042\2016-12-15 --exclude "*" --recursive --include "*20161215*" &amp; "%USERPROFILE%\Documents\GitHub\mrs-test-scripts\Headless Mode &amp; Sideloading\WalkAndUnGZ.bat" "%USERPROFILE%\AppData\Local\Temp\OnboardLogs"\RTDC4042\2016-12-15</v>
      </c>
      <c r="AF222" s="88" t="str">
        <f t="shared" si="85"/>
        <v>"C:\Program Files (x86)\AstroGrep\AstroGrep.exe" /spath="%USERPROFILE%\AppData\Local\Temp\OnboardLogs" /stypes="app*4042*20161214*" /stext=" 18:.+((SYSTEM_STATE.+slice.+state.+changed )|(ment ac)|(multiple cpu faults)|(system.+state.+changed )|(\[timeout)|(PRM\|1\|D)|(kpr)|(kdp)|(\|lc)|(penalty))" /e /r /s</v>
      </c>
      <c r="AG222" s="1" t="str">
        <f t="shared" si="86"/>
        <v>Other</v>
      </c>
      <c r="AH222" s="92" t="str">
        <f t="shared" si="87"/>
        <v>"%USERPROFILE%\Documents\GitHub\eaglep3\Utilities\RefineRTDCRunTimes.py" --tripid 51-14 --locoid 4042 --swversion DE.1.0.8.0 --startMP 204:357 --initTime 2016-12-14T11:11:58 --startdatetime 2016-12-14T11:14:38 --delay 1 --endMP 300:24237 --enddatetime 2016-12-14T11:23:10 --enforcementcount 0 &gt;&gt;C:\Users\stu\Documents\GitHub\eaglep3-reporting\EC\2016-12-14-refined-times.txt</v>
      </c>
      <c r="AI222" s="119" t="str">
        <f t="shared" si="88"/>
        <v>echo {"issue":{"subject":"","project_id":79,"tracker_id":40,"status_id":1,"priority_id":2,"assigned_to_id":23,"start_date":"2016-12-14","description":"","custom_fields":[{"id":1,"name":"Subdivision","value":"Other"},{"id":4,"name":"Milepost","value":"2.4237"},{"id":17,"name":"Train ID","value":"51-14"},{"id":16,"name":"Locomotive ID","value":"4042"},{"id":130,"name":"Impact","value":""},{"id":150,"name":"Time of Event (Mountain Time)","value":"11:23:10"},{"id":151,"name":"Denver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541</v>
      </c>
      <c r="B223" s="7">
        <v>4008</v>
      </c>
      <c r="C223" s="22" t="s">
        <v>207</v>
      </c>
      <c r="D223" s="22" t="s">
        <v>762</v>
      </c>
      <c r="E223" s="13">
        <v>42718.477442129632</v>
      </c>
      <c r="F223" s="13">
        <v>42718.478807870371</v>
      </c>
      <c r="G223" s="7">
        <v>1</v>
      </c>
      <c r="H223" s="22" t="s">
        <v>763</v>
      </c>
      <c r="I223" s="13">
        <v>42718.483923611115</v>
      </c>
      <c r="J223" s="7">
        <v>0</v>
      </c>
      <c r="K223" s="109" t="str">
        <f t="shared" si="76"/>
        <v>4007/4008</v>
      </c>
      <c r="L223" s="22" t="str">
        <f>VLOOKUP(A223,'Trips&amp;Operators'!$C$1:$G$99999,5,FALSE)</f>
        <v>ROMERO CHAD</v>
      </c>
      <c r="M223" s="6">
        <f t="shared" si="77"/>
        <v>5.1157407433493063E-3</v>
      </c>
      <c r="N223" s="7">
        <f t="shared" si="89"/>
        <v>7.3666666704230011</v>
      </c>
      <c r="O223" s="7"/>
      <c r="P223" s="7"/>
      <c r="Q223" s="23"/>
      <c r="R223" s="23"/>
      <c r="S223" s="35">
        <f t="shared" si="78"/>
        <v>0</v>
      </c>
      <c r="T223" s="50" t="e">
        <f t="shared" si="79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10:27:31-700',mode:absolute,to:'2016-12-14 12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3" s="52" t="str">
        <f t="shared" si="81"/>
        <v>Y</v>
      </c>
      <c r="X223" s="177" t="e">
        <f t="shared" si="73"/>
        <v>#VALUE!</v>
      </c>
      <c r="Y223" s="67">
        <f t="shared" si="74"/>
        <v>2.1989999999999998</v>
      </c>
      <c r="Z223" s="67">
        <f t="shared" si="75"/>
        <v>1.2200000000000001E-2</v>
      </c>
      <c r="AA223" s="67">
        <f t="shared" si="82"/>
        <v>2.1867999999999999</v>
      </c>
      <c r="AB223" s="64" t="e">
        <f>VLOOKUP(A223,Enforcements!$C$7:$K$19,8,0)</f>
        <v>#N/A</v>
      </c>
      <c r="AC223" s="60" t="e">
        <f>VLOOKUP(A223,Enforcements!$C$7:$E$19,3,0)</f>
        <v>#N/A</v>
      </c>
      <c r="AD223" s="61" t="str">
        <f t="shared" si="83"/>
        <v>52-14</v>
      </c>
      <c r="AE223" s="91" t="str">
        <f t="shared" si="84"/>
        <v>aws s3 cp s3://rtdc.mdm.uploadarchive.raw/RTDC4008/ "%USERPROFILE%\AppData\Local\Temp\OnboardLogs"\RTDC4008\2016-12-14 --exclude "*" --recursive --include "*20161214*" &amp; "%USERPROFILE%\Documents\GitHub\mrs-test-scripts\Headless Mode &amp; Sideloading\WalkAndUnGZ.bat" "%USERPROFILE%\AppData\Local\Temp\OnboardLogs"\RTDC4008\2016-12-14 &amp; aws s3 cp s3://rtdc.mdm.uploadarchive.raw/RTDC4008/ "%USERPROFILE%\AppData\Local\Temp\OnboardLogs"\RTDC4008\2016-12-15 --exclude "*" --recursive --include "*20161215*" &amp; "%USERPROFILE%\Documents\GitHub\mrs-test-scripts\Headless Mode &amp; Sideloading\WalkAndUnGZ.bat" "%USERPROFILE%\AppData\Local\Temp\OnboardLogs"\RTDC4008\2016-12-15</v>
      </c>
      <c r="AF223" s="88" t="str">
        <f t="shared" si="85"/>
        <v>"C:\Program Files (x86)\AstroGrep\AstroGrep.exe" /spath="%USERPROFILE%\AppData\Local\Temp\OnboardLogs" /stypes="app*4008*20161214*" /stext=" 18:.+((SYSTEM_STATE.+slice.+state.+changed )|(ment ac)|(multiple cpu faults)|(system.+state.+changed )|(\[timeout)|(PRM\|1\|D)|(kpr)|(kdp)|(\|lc)|(penalty))" /e /r /s</v>
      </c>
      <c r="AG223" s="1" t="str">
        <f t="shared" si="86"/>
        <v>Other</v>
      </c>
      <c r="AH223" s="92" t="str">
        <f t="shared" si="87"/>
        <v>"%USERPROFILE%\Documents\GitHub\eaglep3\Utilities\RefineRTDCRunTimes.py" --tripid 52-14 --locoid 4008 --swversion DE.1.0.8.0 --startMP 300:21990 --initTime 2016-12-14T11:27:31 --startdatetime 2016-12-14T11:29:29 --delay 1 --endMP 204:122 --enddatetime 2016-12-14T11:36:51 --enforcementcount 0 &gt;&gt;C:\Users\stu\Documents\GitHub\eaglep3-reporting\EC\2016-12-14-refined-times.txt</v>
      </c>
      <c r="AI223" s="119" t="str">
        <f t="shared" si="88"/>
        <v>echo {"issue":{"subject":"","project_id":79,"tracker_id":40,"status_id":1,"priority_id":2,"assigned_to_id":23,"start_date":"2016-12-14","description":"","custom_fields":[{"id":1,"name":"Subdivision","value":"Other"},{"id":4,"name":"Milepost","value":"0.0122"},{"id":17,"name":"Train ID","value":"52-14"},{"id":16,"name":"Locomotive ID","value":"4008"},{"id":130,"name":"Impact","value":""},{"id":150,"name":"Time of Event (Mountain Time)","value":"11:36:51"},{"id":151,"name":"Denver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554</v>
      </c>
      <c r="B224" s="7">
        <v>4007</v>
      </c>
      <c r="C224" s="22" t="s">
        <v>207</v>
      </c>
      <c r="D224" s="22" t="s">
        <v>764</v>
      </c>
      <c r="E224" s="13">
        <v>42718.499374999999</v>
      </c>
      <c r="F224" s="13">
        <v>25568.708333333332</v>
      </c>
      <c r="G224" s="7">
        <v>5</v>
      </c>
      <c r="H224" s="22" t="s">
        <v>765</v>
      </c>
      <c r="I224" s="13">
        <v>25568.708333333332</v>
      </c>
      <c r="J224" s="7">
        <v>0</v>
      </c>
      <c r="K224" s="109" t="str">
        <f t="shared" si="76"/>
        <v>4007/4008</v>
      </c>
      <c r="L224" s="22" t="str">
        <f>VLOOKUP(A224,'Trips&amp;Operators'!$C$1:$G$99999,5,FALSE)</f>
        <v>ROCHA YAOTL</v>
      </c>
      <c r="M224" s="6">
        <f t="shared" si="77"/>
        <v>0</v>
      </c>
      <c r="N224" s="7">
        <f t="shared" si="89"/>
        <v>0</v>
      </c>
      <c r="O224" s="7"/>
      <c r="P224" s="7"/>
      <c r="Q224" s="23"/>
      <c r="R224" s="23"/>
      <c r="S224" s="35">
        <f t="shared" si="78"/>
        <v>0</v>
      </c>
      <c r="T224" s="50" t="e">
        <f t="shared" si="79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10:59:06-700',mode:absolute,to:'1969-12-31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4" s="52" t="str">
        <f t="shared" si="81"/>
        <v>Y</v>
      </c>
      <c r="X224" s="177" t="e">
        <f t="shared" si="73"/>
        <v>#VALUE!</v>
      </c>
      <c r="Y224" s="67">
        <f t="shared" si="74"/>
        <v>4.3200000000000002E-2</v>
      </c>
      <c r="Z224" s="67">
        <f t="shared" si="75"/>
        <v>2.4279000000000002</v>
      </c>
      <c r="AA224" s="67">
        <f t="shared" si="82"/>
        <v>2.3847</v>
      </c>
      <c r="AB224" s="64" t="e">
        <f>VLOOKUP(A224,Enforcements!$C$7:$K$19,8,0)</f>
        <v>#N/A</v>
      </c>
      <c r="AC224" s="60" t="e">
        <f>VLOOKUP(A224,Enforcements!$C$7:$E$19,3,0)</f>
        <v>#N/A</v>
      </c>
      <c r="AD224" s="61" t="str">
        <f t="shared" si="83"/>
        <v>53-14</v>
      </c>
      <c r="AE224" s="91" t="str">
        <f t="shared" si="84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24" s="88" t="str">
        <f t="shared" si="85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24" s="1" t="str">
        <f t="shared" si="86"/>
        <v>Other</v>
      </c>
      <c r="AH224" s="92" t="str">
        <f t="shared" si="87"/>
        <v>"%USERPROFILE%\Documents\GitHub\eaglep3\Utilities\RefineRTDCRunTimes.py" --tripid 53-14 --locoid 4007 --swversion DE.1.0.8.0 --startMP 204:432 --initTime 2016-12-14T11:59:06 --startdatetime 1969-12-31T17:00:00 --delay 5 --endMP 300:24279 --enddatetime 1969-12-31T17:00:00 --enforcementcount 0 &gt;&gt;C:\Users\stu\Documents\GitHub\eaglep3-reporting\EC\2016-12-14-refined-times.txt</v>
      </c>
      <c r="AI224" s="119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{"issue":{"subject":"","project_id":79,"tracker_id":40,"status_id":1,"priority_id":2,"assigned_to_id":23,"start_date":"1969-12-31","description":"","custom_fields":[{"id":1,"name":"Subdivision","value":"Other"},{"id":4,"name":"Milepost","value":"2.4279"},{"id":17,"name":"Train ID","value":"53-14"},{"id":16,"name":"Locomotive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443</v>
      </c>
      <c r="B225" s="7">
        <v>4008</v>
      </c>
      <c r="C225" s="22" t="s">
        <v>207</v>
      </c>
      <c r="D225" s="22" t="s">
        <v>766</v>
      </c>
      <c r="E225" s="13">
        <v>42718.711631944447</v>
      </c>
      <c r="F225" s="13">
        <v>42718.715162037035</v>
      </c>
      <c r="G225" s="7">
        <v>4</v>
      </c>
      <c r="H225" s="22" t="s">
        <v>767</v>
      </c>
      <c r="I225" s="13">
        <v>42718.721203703702</v>
      </c>
      <c r="J225" s="7">
        <v>0</v>
      </c>
      <c r="K225" s="109" t="str">
        <f t="shared" si="76"/>
        <v>4007/4008</v>
      </c>
      <c r="L225" s="22" t="str">
        <f>VLOOKUP(A225,'Trips&amp;Operators'!$C$1:$G$99999,5,FALSE)</f>
        <v>SIMMONS SHYHESHA</v>
      </c>
      <c r="M225" s="6">
        <f t="shared" si="77"/>
        <v>6.0416666674427688E-3</v>
      </c>
      <c r="N225" s="7">
        <f t="shared" si="89"/>
        <v>8.7000000011175871</v>
      </c>
      <c r="O225" s="7"/>
      <c r="P225" s="7"/>
      <c r="Q225" s="23"/>
      <c r="R225" s="23"/>
      <c r="S225" s="35">
        <f t="shared" si="78"/>
        <v>0</v>
      </c>
      <c r="T225" s="50" t="e">
        <f t="shared" si="79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16:04:45-700',mode:absolute,to:'2016-12-14 18:18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5" s="52" t="str">
        <f t="shared" si="81"/>
        <v>Y</v>
      </c>
      <c r="X225" s="177" t="e">
        <f t="shared" si="73"/>
        <v>#VALUE!</v>
      </c>
      <c r="Y225" s="67">
        <f t="shared" si="74"/>
        <v>2.3334000000000001</v>
      </c>
      <c r="Z225" s="67">
        <f t="shared" si="75"/>
        <v>8.9300000000000004E-2</v>
      </c>
      <c r="AA225" s="67">
        <f t="shared" si="82"/>
        <v>2.2441</v>
      </c>
      <c r="AB225" s="64" t="e">
        <f>VLOOKUP(A225,Enforcements!$C$7:$K$19,8,0)</f>
        <v>#N/A</v>
      </c>
      <c r="AC225" s="60" t="e">
        <f>VLOOKUP(A225,Enforcements!$C$7:$E$19,3,0)</f>
        <v>#N/A</v>
      </c>
      <c r="AD225" s="61" t="str">
        <f t="shared" si="83"/>
        <v>72-14</v>
      </c>
      <c r="AE225" s="91" t="str">
        <f t="shared" si="84"/>
        <v>aws s3 cp s3://rtdc.mdm.uploadarchive.raw/RTDC4008/ "%USERPROFILE%\AppData\Local\Temp\OnboardLogs"\RTDC4008\2016-12-14 --exclude "*" --recursive --include "*20161214*" &amp; "%USERPROFILE%\Documents\GitHub\mrs-test-scripts\Headless Mode &amp; Sideloading\WalkAndUnGZ.bat" "%USERPROFILE%\AppData\Local\Temp\OnboardLogs"\RTDC4008\2016-12-14 &amp; aws s3 cp s3://rtdc.mdm.uploadarchive.raw/RTDC4008/ "%USERPROFILE%\AppData\Local\Temp\OnboardLogs"\RTDC4008\2016-12-15 --exclude "*" --recursive --include "*20161215*" &amp; "%USERPROFILE%\Documents\GitHub\mrs-test-scripts\Headless Mode &amp; Sideloading\WalkAndUnGZ.bat" "%USERPROFILE%\AppData\Local\Temp\OnboardLogs"\RTDC4008\2016-12-15</v>
      </c>
      <c r="AF225" s="88" t="str">
        <f t="shared" si="85"/>
        <v>"C:\Program Files (x86)\AstroGrep\AstroGrep.exe" /spath="%USERPROFILE%\AppData\Local\Temp\OnboardLogs" /stypes="app*4008*20161215*" /stext=" 00:.+((SYSTEM_STATE.+slice.+state.+changed )|(ment ac)|(multiple cpu faults)|(system.+state.+changed )|(\[timeout)|(PRM\|1\|D)|(kpr)|(kdp)|(\|lc)|(penalty))" /e /r /s</v>
      </c>
      <c r="AG225" s="1" t="str">
        <f t="shared" si="86"/>
        <v>Other</v>
      </c>
      <c r="AH225" s="92" t="str">
        <f t="shared" si="87"/>
        <v>"%USERPROFILE%\Documents\GitHub\eaglep3\Utilities\RefineRTDCRunTimes.py" --tripid 72-14 --locoid 4008 --swversion DE.1.0.8.0 --startMP 300:23334 --initTime 2016-12-14T17:04:45 --startdatetime 2016-12-14T17:09:50 --delay 4 --endMP 204:893 --enddatetime 2016-12-14T17:18:32 --enforcementcount 0 &gt;&gt;C:\Users\stu\Documents\GitHub\eaglep3-reporting\EC\2016-12-14-refined-times.txt</v>
      </c>
      <c r="AI225" s="119" t="str">
        <f t="shared" si="88"/>
        <v>echo {"issue":{"subject":"","project_id":79,"tracker_id":40,"status_id":1,"priority_id":2,"assigned_to_id":23,"start_date":"2016-12-14","description":"","custom_fields":[{"id":1,"name":"Subdivision","value":"Other"},{"id":4,"name":"Milepost","value":"0.0893"},{"id":17,"name":"Train ID","value":"72-14"},{"id":16,"name":"Locomotive ID","value":"4008"},{"id":130,"name":"Impact","value":""},{"id":150,"name":"Time of Event (Mountain Time)","value":"17:18:32"},{"id":151,"name":"Denver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645</v>
      </c>
      <c r="B226" s="7">
        <v>4007</v>
      </c>
      <c r="C226" s="22" t="s">
        <v>207</v>
      </c>
      <c r="D226" s="22" t="s">
        <v>781</v>
      </c>
      <c r="E226" s="13">
        <v>42718.797048611108</v>
      </c>
      <c r="F226" s="13">
        <v>42718.798993055556</v>
      </c>
      <c r="G226" s="7">
        <v>1</v>
      </c>
      <c r="H226" s="22" t="s">
        <v>782</v>
      </c>
      <c r="I226" s="13">
        <v>42718.804016203707</v>
      </c>
      <c r="J226" s="7">
        <v>0</v>
      </c>
      <c r="K226" s="109" t="str">
        <f t="shared" si="76"/>
        <v>4007/4008</v>
      </c>
      <c r="L226" s="22" t="str">
        <f>VLOOKUP(A226,'Trips&amp;Operators'!$C$1:$G$99999,5,FALSE)</f>
        <v>BADERTSCHER DIANE</v>
      </c>
      <c r="M226" s="6">
        <f t="shared" si="77"/>
        <v>5.02314815093996E-3</v>
      </c>
      <c r="N226" s="7">
        <f t="shared" si="89"/>
        <v>7.2333333373535424</v>
      </c>
      <c r="O226" s="7"/>
      <c r="P226" s="7"/>
      <c r="Q226" s="23"/>
      <c r="R226" s="23"/>
      <c r="S226" s="35">
        <f t="shared" si="78"/>
        <v>0</v>
      </c>
      <c r="T226" s="50" t="e">
        <f t="shared" si="79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18:07:45-700',mode:absolute,to:'2016-12-14 20:17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6" s="52" t="str">
        <f t="shared" si="81"/>
        <v>Y</v>
      </c>
      <c r="X226" s="177" t="e">
        <f t="shared" si="73"/>
        <v>#VALUE!</v>
      </c>
      <c r="Y226" s="67">
        <f t="shared" si="74"/>
        <v>0.1227</v>
      </c>
      <c r="Z226" s="67">
        <f t="shared" si="75"/>
        <v>2.3292999999999999</v>
      </c>
      <c r="AA226" s="67">
        <f t="shared" si="82"/>
        <v>2.2065999999999999</v>
      </c>
      <c r="AB226" s="64" t="e">
        <f>VLOOKUP(A226,Enforcements!$C$7:$K$19,8,0)</f>
        <v>#N/A</v>
      </c>
      <c r="AC226" s="60" t="e">
        <f>VLOOKUP(A226,Enforcements!$C$7:$E$19,3,0)</f>
        <v>#N/A</v>
      </c>
      <c r="AD226" s="61" t="str">
        <f t="shared" si="83"/>
        <v>81-14</v>
      </c>
      <c r="AE226" s="91" t="str">
        <f t="shared" si="84"/>
        <v>aws s3 cp s3://rtdc.mdm.uploadarchive.raw/RTDC4007/ "%USERPROFILE%\AppData\Local\Temp\OnboardLogs"\RTDC4007\2016-12-14 --exclude "*" --recursive --include "*20161214*" &amp; "%USERPROFILE%\Documents\GitHub\mrs-test-scripts\Headless Mode &amp; Sideloading\WalkAndUnGZ.bat" "%USERPROFILE%\AppData\Local\Temp\OnboardLogs"\RTDC4007\2016-12-14 &amp; aws s3 cp s3://rtdc.mdm.uploadarchive.raw/RTDC4007/ "%USERPROFILE%\AppData\Local\Temp\OnboardLogs"\RTDC4007\2016-12-15 --exclude "*" --recursive --include "*20161215*" &amp; "%USERPROFILE%\Documents\GitHub\mrs-test-scripts\Headless Mode &amp; Sideloading\WalkAndUnGZ.bat" "%USERPROFILE%\AppData\Local\Temp\OnboardLogs"\RTDC4007\2016-12-15</v>
      </c>
      <c r="AF226" s="88" t="str">
        <f t="shared" si="85"/>
        <v>"C:\Program Files (x86)\AstroGrep\AstroGrep.exe" /spath="%USERPROFILE%\AppData\Local\Temp\OnboardLogs" /stypes="app*4007*20161215*" /stext=" 02:.+((SYSTEM_STATE.+slice.+state.+changed )|(ment ac)|(multiple cpu faults)|(system.+state.+changed )|(\[timeout)|(PRM\|1\|D)|(kpr)|(kdp)|(\|lc)|(penalty))" /e /r /s</v>
      </c>
      <c r="AG226" s="1" t="str">
        <f t="shared" si="86"/>
        <v>Other</v>
      </c>
      <c r="AH226" s="92" t="str">
        <f t="shared" si="87"/>
        <v>"%USERPROFILE%\Documents\GitHub\eaglep3\Utilities\RefineRTDCRunTimes.py" --tripid 81-14 --locoid 4007 --swversion DE.1.0.8.0 --startMP 204:1227 --initTime 2016-12-14T19:07:45 --startdatetime 2016-12-14T19:10:33 --delay 1 --endMP 300:23293 --enddatetime 2016-12-14T19:17:47 --enforcementcount 0 &gt;&gt;C:\Users\stu\Documents\GitHub\eaglep3-reporting\EC\2016-12-14-refined-times.txt</v>
      </c>
      <c r="AI226" s="119" t="str">
        <f t="shared" si="88"/>
        <v>echo {"issue":{"subject":"","project_id":79,"tracker_id":40,"status_id":1,"priority_id":2,"assigned_to_id":23,"start_date":"2016-12-14","description":"","custom_fields":[{"id":1,"name":"Subdivision","value":"Other"},{"id":4,"name":"Milepost","value":"2.3293"},{"id":17,"name":"Train ID","value":"81-14"},{"id":16,"name":"Locomotive ID","value":"4007"},{"id":130,"name":"Impact","value":""},{"id":150,"name":"Time of Event (Mountain Time)","value":"19:17:47"},{"id":151,"name":"Denver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624</v>
      </c>
      <c r="B227" s="7">
        <v>4041</v>
      </c>
      <c r="C227" s="22" t="s">
        <v>207</v>
      </c>
      <c r="D227" s="22" t="s">
        <v>821</v>
      </c>
      <c r="E227" s="13">
        <v>42718.735671296294</v>
      </c>
      <c r="F227" s="13">
        <v>42718.736689814818</v>
      </c>
      <c r="G227" s="7">
        <v>1</v>
      </c>
      <c r="H227" s="22" t="s">
        <v>822</v>
      </c>
      <c r="I227" s="13">
        <v>42718.742349537039</v>
      </c>
      <c r="J227" s="7">
        <v>0</v>
      </c>
      <c r="K227" s="109" t="str">
        <f t="shared" si="76"/>
        <v>4041/4042</v>
      </c>
      <c r="L227" s="22" t="str">
        <f>VLOOKUP(A227,'Trips&amp;Operators'!$C$1:$G$99999,5,FALSE)</f>
        <v>LEVIN SCOTT</v>
      </c>
      <c r="M227" s="6">
        <f t="shared" si="77"/>
        <v>5.6597222210257314E-3</v>
      </c>
      <c r="N227" s="7">
        <f t="shared" si="89"/>
        <v>8.1499999982770532</v>
      </c>
      <c r="O227" s="7"/>
      <c r="P227" s="7"/>
      <c r="Q227" s="23"/>
      <c r="R227" s="23"/>
      <c r="S227" s="35">
        <f t="shared" si="78"/>
        <v>0</v>
      </c>
      <c r="T227" s="50" t="e">
        <f t="shared" si="79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16:39:22-700',mode:absolute,to:'2016-12-14 18:48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7" s="52" t="str">
        <f t="shared" si="81"/>
        <v>Y</v>
      </c>
      <c r="X227" s="177" t="e">
        <f t="shared" si="73"/>
        <v>#VALUE!</v>
      </c>
      <c r="Y227" s="67">
        <f t="shared" si="74"/>
        <v>2.3506</v>
      </c>
      <c r="Z227" s="67">
        <f t="shared" si="75"/>
        <v>1.3299999999999999E-2</v>
      </c>
      <c r="AA227" s="67">
        <f t="shared" si="82"/>
        <v>2.3372999999999999</v>
      </c>
      <c r="AB227" s="64" t="e">
        <f>VLOOKUP(A227,Enforcements!$C$7:$K$19,8,0)</f>
        <v>#N/A</v>
      </c>
      <c r="AC227" s="60" t="e">
        <f>VLOOKUP(A227,Enforcements!$C$7:$E$19,3,0)</f>
        <v>#N/A</v>
      </c>
      <c r="AD227" s="61" t="str">
        <f t="shared" si="83"/>
        <v>86-14</v>
      </c>
      <c r="AE227" s="91" t="str">
        <f t="shared" si="84"/>
        <v>aws s3 cp s3://rtdc.mdm.uploadarchive.raw/RTDC4041/ "%USERPROFILE%\AppData\Local\Temp\OnboardLogs"\RTDC4041\2016-12-14 --exclude "*" --recursive --include "*20161214*" &amp; "%USERPROFILE%\Documents\GitHub\mrs-test-scripts\Headless Mode &amp; Sideloading\WalkAndUnGZ.bat" "%USERPROFILE%\AppData\Local\Temp\OnboardLogs"\RTDC4041\2016-12-14 &amp; aws s3 cp s3://rtdc.mdm.uploadarchive.raw/RTDC4041/ "%USERPROFILE%\AppData\Local\Temp\OnboardLogs"\RTDC4041\2016-12-15 --exclude "*" --recursive --include "*20161215*" &amp; "%USERPROFILE%\Documents\GitHub\mrs-test-scripts\Headless Mode &amp; Sideloading\WalkAndUnGZ.bat" "%USERPROFILE%\AppData\Local\Temp\OnboardLogs"\RTDC4041\2016-12-15</v>
      </c>
      <c r="AF227" s="88" t="str">
        <f t="shared" si="85"/>
        <v>"C:\Program Files (x86)\AstroGrep\AstroGrep.exe" /spath="%USERPROFILE%\AppData\Local\Temp\OnboardLogs" /stypes="app*4041*20161215*" /stext=" 00:.+((SYSTEM_STATE.+slice.+state.+changed )|(ment ac)|(multiple cpu faults)|(system.+state.+changed )|(\[timeout)|(PRM\|1\|D)|(kpr)|(kdp)|(\|lc)|(penalty))" /e /r /s</v>
      </c>
      <c r="AG227" s="1" t="str">
        <f t="shared" si="86"/>
        <v>Other</v>
      </c>
      <c r="AH227" s="92" t="str">
        <f t="shared" si="87"/>
        <v>"%USERPROFILE%\Documents\GitHub\eaglep3\Utilities\RefineRTDCRunTimes.py" --tripid 86-14 --locoid 4041 --swversion DE.1.0.8.0 --startMP 300:23506 --initTime 2016-12-14T17:39:22 --startdatetime 2016-12-14T17:40:50 --delay 1 --endMP 204:133 --enddatetime 2016-12-14T17:48:59 --enforcementcount 0 &gt;&gt;C:\Users\stu\Documents\GitHub\eaglep3-reporting\EC\2016-12-14-refined-times.txt</v>
      </c>
      <c r="AI227" s="119" t="str">
        <f t="shared" si="88"/>
        <v>echo {"issue":{"subject":"","project_id":79,"tracker_id":40,"status_id":1,"priority_id":2,"assigned_to_id":23,"start_date":"2016-12-14","description":"","custom_fields":[{"id":1,"name":"Subdivision","value":"Other"},{"id":4,"name":"Milepost","value":"0.0133"},{"id":17,"name":"Train ID","value":"86-14"},{"id":16,"name":"Locomotive ID","value":"4041"},{"id":130,"name":"Impact","value":""},{"id":150,"name":"Time of Event (Mountain Time)","value":"17:48:59"},{"id":151,"name":"Denver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627</v>
      </c>
      <c r="B228" s="7">
        <v>4021</v>
      </c>
      <c r="C228" s="22" t="s">
        <v>207</v>
      </c>
      <c r="D228" s="22" t="s">
        <v>823</v>
      </c>
      <c r="E228" s="13">
        <v>42718.744618055556</v>
      </c>
      <c r="F228" s="13">
        <v>42718.745995370373</v>
      </c>
      <c r="G228" s="7">
        <v>1</v>
      </c>
      <c r="H228" s="22" t="s">
        <v>824</v>
      </c>
      <c r="I228" s="13">
        <v>42718.753379629627</v>
      </c>
      <c r="J228" s="7">
        <v>0</v>
      </c>
      <c r="K228" s="109" t="str">
        <f t="shared" si="76"/>
        <v>4021/4022</v>
      </c>
      <c r="L228" s="22" t="str">
        <f>VLOOKUP(A228,'Trips&amp;Operators'!$C$1:$G$99999,5,FALSE)</f>
        <v>JACKSON WILLIAM</v>
      </c>
      <c r="M228" s="6">
        <f t="shared" si="77"/>
        <v>7.3842592537403107E-3</v>
      </c>
      <c r="N228" s="7">
        <f t="shared" si="89"/>
        <v>10.633333325386047</v>
      </c>
      <c r="O228" s="7"/>
      <c r="P228" s="7"/>
      <c r="Q228" s="23"/>
      <c r="R228" s="23"/>
      <c r="S228" s="35">
        <f t="shared" si="78"/>
        <v>0</v>
      </c>
      <c r="T228" s="50" t="e">
        <f t="shared" si="79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https://search-rtdc-monitor-bjffxe2xuh6vdkpspy63sjmuny.us-east-1.es.amazonaws.com/_plugin/kibana/#/discover/Steve-Slow-Train-Analysis-(2080s-and-2083s)?_g=(refreshInterval:(display:Off,section:0,value:0),time:(from:'2016-12-14 16:52:15-700',mode:absolute,to:'2016-12-14 19:04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8" s="52" t="str">
        <f t="shared" si="81"/>
        <v>Y</v>
      </c>
      <c r="X228" s="177" t="e">
        <f t="shared" si="73"/>
        <v>#VALUE!</v>
      </c>
      <c r="Y228" s="67">
        <f t="shared" si="74"/>
        <v>2.1991999999999998</v>
      </c>
      <c r="Z228" s="67">
        <f t="shared" si="75"/>
        <v>8.77E-2</v>
      </c>
      <c r="AA228" s="67">
        <f t="shared" si="82"/>
        <v>2.1114999999999999</v>
      </c>
      <c r="AB228" s="64" t="e">
        <f>VLOOKUP(A228,Enforcements!$C$7:$K$19,8,0)</f>
        <v>#N/A</v>
      </c>
      <c r="AC228" s="60" t="e">
        <f>VLOOKUP(A228,Enforcements!$C$7:$E$19,3,0)</f>
        <v>#N/A</v>
      </c>
      <c r="AD228" s="61" t="str">
        <f t="shared" si="83"/>
        <v>88-14</v>
      </c>
      <c r="AE228" s="91" t="str">
        <f t="shared" si="84"/>
        <v>aws s3 cp s3://rtdc.mdm.uploadarchive.raw/RTDC4021/ "%USERPROFILE%\AppData\Local\Temp\OnboardLogs"\RTDC4021\2016-12-14 --exclude "*" --recursive --include "*20161214*" &amp; "%USERPROFILE%\Documents\GitHub\mrs-test-scripts\Headless Mode &amp; Sideloading\WalkAndUnGZ.bat" "%USERPROFILE%\AppData\Local\Temp\OnboardLogs"\RTDC4021\2016-12-14 &amp; aws s3 cp s3://rtdc.mdm.uploadarchive.raw/RTDC4021/ "%USERPROFILE%\AppData\Local\Temp\OnboardLogs"\RTDC4021\2016-12-15 --exclude "*" --recursive --include "*20161215*" &amp; "%USERPROFILE%\Documents\GitHub\mrs-test-scripts\Headless Mode &amp; Sideloading\WalkAndUnGZ.bat" "%USERPROFILE%\AppData\Local\Temp\OnboardLogs"\RTDC4021\2016-12-15</v>
      </c>
      <c r="AF228" s="88" t="str">
        <f t="shared" si="85"/>
        <v>"C:\Program Files (x86)\AstroGrep\AstroGrep.exe" /spath="%USERPROFILE%\AppData\Local\Temp\OnboardLogs" /stypes="app*4021*20161215*" /stext=" 01:.+((SYSTEM_STATE.+slice.+state.+changed )|(ment ac)|(multiple cpu faults)|(system.+state.+changed )|(\[timeout)|(PRM\|1\|D)|(kpr)|(kdp)|(\|lc)|(penalty))" /e /r /s</v>
      </c>
      <c r="AG228" s="1" t="str">
        <f t="shared" si="86"/>
        <v>Other</v>
      </c>
      <c r="AH228" s="92" t="str">
        <f t="shared" si="87"/>
        <v>"%USERPROFILE%\Documents\GitHub\eaglep3\Utilities\RefineRTDCRunTimes.py" --tripid 88-14 --locoid 4021 --swversion DE.1.0.8.0 --startMP 300:21992 --initTime 2016-12-14T17:52:15 --startdatetime 2016-12-14T17:54:14 --delay 1 --endMP 204:877 --enddatetime 2016-12-14T18:04:52 --enforcementcount 0 &gt;&gt;C:\Users\stu\Documents\GitHub\eaglep3-reporting\EC\2016-12-14-refined-times.txt</v>
      </c>
      <c r="AI228" s="119" t="str">
        <f t="shared" si="88"/>
        <v>echo {"issue":{"subject":"","project_id":79,"tracker_id":40,"status_id":1,"priority_id":2,"assigned_to_id":23,"start_date":"2016-12-14","description":"","custom_fields":[{"id":1,"name":"Subdivision","value":"Other"},{"id":4,"name":"Milepost","value":"0.0877"},{"id":17,"name":"Train ID","value":"88-14"},{"id":16,"name":"Locomotive ID","value":"4021"},{"id":130,"name":"Impact","value":""},{"id":150,"name":"Time of Event (Mountain Time)","value":"18:04:52"},{"id":151,"name":"Denver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</sheetData>
  <autoFilter ref="A12:AG228">
    <sortState ref="A13:AG228">
      <sortCondition ref="AG13:AG228"/>
      <sortCondition ref="AD13:AD228"/>
    </sortState>
  </autoFilter>
  <sortState ref="A13:AH200">
    <sortCondition ref="AG13:AG200"/>
    <sortCondition ref="AD13:AD200"/>
  </sortState>
  <mergeCells count="1">
    <mergeCell ref="A11:P11"/>
  </mergeCells>
  <conditionalFormatting sqref="W11:W12 W241:X1048576 W13:X228">
    <cfRule type="cellIs" dxfId="10" priority="344" operator="equal">
      <formula>"Y"</formula>
    </cfRule>
  </conditionalFormatting>
  <conditionalFormatting sqref="X241:X1048576 X13:X228">
    <cfRule type="cellIs" dxfId="9" priority="327" operator="greaterThan">
      <formula>1</formula>
    </cfRule>
  </conditionalFormatting>
  <conditionalFormatting sqref="X241:X1048576 X12:X228">
    <cfRule type="cellIs" dxfId="8" priority="324" operator="equal">
      <formula>0</formula>
    </cfRule>
  </conditionalFormatting>
  <conditionalFormatting sqref="A13:S228">
    <cfRule type="expression" dxfId="7" priority="318" stopIfTrue="1">
      <formula>$P13&gt;0</formula>
    </cfRule>
    <cfRule type="expression" dxfId="6" priority="319" stopIfTrue="1">
      <formula>$O13&gt;0</formula>
    </cfRule>
  </conditionalFormatting>
  <hyperlinks>
    <hyperlink ref="AJ8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AK13:AK228</xm:sqref>
        </x14:dataValidation>
        <x14:dataValidation type="list" allowBlank="1" showInputMessage="1" showErrorMessage="1">
          <x14:formula1>
            <xm:f>'Redmine List Values'!$C$2:$C$15</xm:f>
          </x14:formula1>
          <xm:sqref>AL13:AL228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3"/>
  <sheetViews>
    <sheetView topLeftCell="A2" zoomScaleNormal="100" workbookViewId="0">
      <selection activeCell="T13" sqref="T13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COUNTIF($O$7:$O$332,"=Y")</f>
        <v>7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COUNTA($O$7:$O$332)-O2</f>
        <v>35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- 2016-12-14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229</v>
      </c>
    </row>
    <row r="7" spans="1:30" s="1" customFormat="1" x14ac:dyDescent="0.25">
      <c r="A7" s="36">
        <v>42718.453321759262</v>
      </c>
      <c r="B7" s="31" t="s">
        <v>228</v>
      </c>
      <c r="C7" s="31" t="s">
        <v>432</v>
      </c>
      <c r="D7" s="31" t="s">
        <v>49</v>
      </c>
      <c r="E7" s="31" t="s">
        <v>259</v>
      </c>
      <c r="F7" s="47">
        <v>0</v>
      </c>
      <c r="G7" s="47">
        <v>219</v>
      </c>
      <c r="H7" s="47">
        <v>26937</v>
      </c>
      <c r="I7" s="47">
        <v>27215</v>
      </c>
      <c r="J7" s="31" t="s">
        <v>260</v>
      </c>
      <c r="K7" s="47">
        <v>27053</v>
      </c>
      <c r="L7" s="154" t="s">
        <v>50</v>
      </c>
      <c r="M7" s="155">
        <f t="shared" ref="M7:M48" si="0">CONVERT((I7-K7)/10000,"mi","ft")*IF(L7="Increasing Mileposts (1)",-1,1)</f>
        <v>-85.536000000000001</v>
      </c>
      <c r="N7" s="156" t="str">
        <f>VLOOKUP(C7,'Trips&amp;Operators'!$C$1:$G$99999,5,FALSE)</f>
        <v>HILLS DUSTIN</v>
      </c>
      <c r="O7" s="182" t="s">
        <v>196</v>
      </c>
      <c r="P7" s="157" t="s">
        <v>852</v>
      </c>
      <c r="Q7" s="31"/>
      <c r="R7" s="100" t="str">
        <f>VLOOKUP(C7,'Train Runs'!$A$13:$AE$9972,31,0)</f>
        <v>aws s3 cp s3://rtdc.mdm.uploadarchive.raw/RTDC4014/ "%USERPROFILE%\AppData\Local\Temp\OnboardLogs"\RTDC4014\2016-12-14 --exclude "*" --recursive --include "*20161214*" &amp; "%USERPROFILE%\Documents\GitHub\mrs-test-scripts\Headless Mode &amp; Sideloading\WalkAndUnGZ.bat" "%USERPROFILE%\AppData\Local\Temp\OnboardLogs"\RTDC4014\2016-12-14 &amp; aws s3 cp s3://rtdc.mdm.uploadarchive.raw/RTDC4014/ "%USERPROFILE%\AppData\Local\Temp\OnboardLogs"\RTDC4014\2016-12-15 --exclude "*" --recursive --include "*20161215*" &amp; "%USERPROFILE%\Documents\GitHub\mrs-test-scripts\Headless Mode &amp; Sideloading\WalkAndUnGZ.bat" "%USERPROFILE%\AppData\Local\Temp\OnboardLogs"\RTDC4014\2016-12-15</v>
      </c>
      <c r="S7" s="103" t="str">
        <f>VLOOKUP(C7,'Train Runs'!$A$13:$AE$9972,22,0)</f>
        <v>https://search-rtdc-monitor-bjffxe2xuh6vdkpspy63sjmuny.us-east-1.es.amazonaws.com/_plugin/kibana/#/discover/Steve-Slow-Train-Analysis-(2080s-and-2083s)?_g=(refreshInterval:(display:Off,section:0,value:0),time:(from:'2016-12-14 09:43:01-700',mode:absolute,to:'2016-12-14 12:21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7" s="105" t="str">
        <f t="shared" ref="T7:T4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/stypes="*4014*201612141*" /stext=" 17:.+((SYSTEM_STATE.+slice.+state.+changed )|(ment ac)|(multiple cpu faults)|(system.+state.+changed )|(\[timeout)|(PRM\|1\|D)|(kpr)|(kdp)|(\|lc)|(penalty))" /e /r /s</v>
      </c>
      <c r="U7" s="9" t="str">
        <f t="shared" ref="U7:U48" si="2">MID(B7,13,4)</f>
        <v>4014</v>
      </c>
      <c r="V7" s="36">
        <f t="shared" ref="V7:V48" si="3">A7-utc_offset/24</f>
        <v>42718.744988425926</v>
      </c>
      <c r="W7" s="50" t="str">
        <f t="shared" ref="W7:W48" si="4">IF(VALUE(LEFT(IF(LEN(C7)=6,"0"&amp;C7,C7),2))&lt;=2,"EC",IF(OR(VALUE(LEFT(IF(LEN(C7)=6,"0"&amp;C7,C7),2))=8,VALUE(LEFT(IF(LEN(C7)=6,"0"&amp;C7,C7),2))=18),"NW","Other"))</f>
        <v>EC</v>
      </c>
      <c r="X7" s="50" t="str">
        <f t="shared" ref="X7:X48" si="5">IF(AND(E7="TRACK WARRANT AUTHORITY",G7&lt;10),"OMIT","KEEP")</f>
        <v>KEEP</v>
      </c>
      <c r="Y7" s="119" t="str">
        <f t="shared" ref="Y7:Y4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arrival","project_id":79,"tracker_id":40,"status_id":1,"priority_id":2,"assigned_to_id":23,"start_date":"2016-12-14","description":"","custom_fields":[{"id":1,"name":"Subdivision","value":"EC"},{"id":4,"name":"Milepost","value":"2.7053"},{"id":17,"name":"Train ID","value":"157-14"},{"id":16,"name":"Locomotive ID","value":"4014"},{"id":130,"name":"Impact","value":""},{"id":150,"name":"Time of Event (Mountain Time)","value":"10:52:47"},{"id":151,"name":"Denver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"%USERPROFILE%\AppData\Local\Temp\OnboardLogs"\RTDC4014\*4014*201612141*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"%USERPROFILE%\AppData\Local\Temp\OnboardLogs"\RTDC4014\*4014*201612141* &gt;&gt; 42718-slicedisagreementcheck.txt</v>
      </c>
    </row>
    <row r="8" spans="1:30" s="1" customFormat="1" x14ac:dyDescent="0.25">
      <c r="A8" s="36">
        <v>42718.320543981485</v>
      </c>
      <c r="B8" s="31" t="s">
        <v>353</v>
      </c>
      <c r="C8" s="31" t="s">
        <v>422</v>
      </c>
      <c r="D8" s="31" t="s">
        <v>98</v>
      </c>
      <c r="E8" s="31" t="s">
        <v>259</v>
      </c>
      <c r="F8" s="47">
        <v>0</v>
      </c>
      <c r="G8" s="47">
        <v>357</v>
      </c>
      <c r="H8" s="47">
        <v>33175</v>
      </c>
      <c r="I8" s="47">
        <v>34055</v>
      </c>
      <c r="J8" s="31" t="s">
        <v>260</v>
      </c>
      <c r="K8" s="47">
        <v>33137</v>
      </c>
      <c r="L8" s="154" t="s">
        <v>50</v>
      </c>
      <c r="M8" s="155">
        <f t="shared" si="0"/>
        <v>-484.70400000000001</v>
      </c>
      <c r="N8" s="156" t="str">
        <f>VLOOKUP(C8,'Trips&amp;Operators'!$C$1:$G$99999,5,FALSE)</f>
        <v>BROWN JACOB</v>
      </c>
      <c r="O8" s="182" t="s">
        <v>196</v>
      </c>
      <c r="P8" s="157" t="s">
        <v>852</v>
      </c>
      <c r="Q8" s="31"/>
      <c r="R8" s="100" t="str">
        <f>VLOOKUP(C8,'Train Runs'!$A$13:$AE$9972,31,0)</f>
        <v>aws s3 cp s3://rtdc.mdm.uploadarchive.raw/RTDC4003/ "%USERPROFILE%\AppData\Local\Temp\OnboardLogs"\RTDC4003\2016-12-14 --exclude "*" --recursive --include "*20161214*" &amp; "%USERPROFILE%\Documents\GitHub\mrs-test-scripts\Headless Mode &amp; Sideloading\WalkAndUnGZ.bat" "%USERPROFILE%\AppData\Local\Temp\OnboardLogs"\RTDC4003\2016-12-14 &amp; aws s3 cp s3://rtdc.mdm.uploadarchive.raw/RTDC4003/ "%USERPROFILE%\AppData\Local\Temp\OnboardLogs"\RTDC4003\2016-12-15 --exclude "*" --recursive --include "*20161215*" &amp; "%USERPROFILE%\Documents\GitHub\mrs-test-scripts\Headless Mode &amp; Sideloading\WalkAndUnGZ.bat" "%USERPROFILE%\AppData\Local\Temp\OnboardLogs"\RTDC4003\2016-12-15</v>
      </c>
      <c r="S8" s="103" t="str">
        <f>VLOOKUP(C8,'Train Runs'!$A$13:$AE$9972,22,0)</f>
        <v>https://search-rtdc-monitor-bjffxe2xuh6vdkpspy63sjmuny.us-east-1.es.amazonaws.com/_plugin/kibana/#/discover/Steve-Slow-Train-Analysis-(2080s-and-2083s)?_g=(refreshInterval:(display:Off,section:0,value:0),time:(from:'2016-12-14 06:29:35-700',mode:absolute,to:'2016-12-14 09:12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8" s="105" t="str">
        <f t="shared" si="1"/>
        <v>"C:\Program Files (x86)\AstroGrep\AstroGrep.exe" /spath="%USERPROFILE%\AppData\Local\Temp\OnboardLogs" /stypes="*4003*201612141*" /stext=" 14:.+((SYSTEM_STATE.+slice.+state.+changed )|(ment ac)|(multiple cpu faults)|(system.+state.+changed )|(\[timeout)|(PRM\|1\|D)|(kpr)|(kdp)|(\|lc)|(penalty))" /e /r /s</v>
      </c>
      <c r="U8" s="9" t="str">
        <f t="shared" si="2"/>
        <v>4003</v>
      </c>
      <c r="V8" s="36">
        <f t="shared" si="3"/>
        <v>42718.612210648149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arrival","project_id":79,"tracker_id":40,"status_id":1,"priority_id":2,"assigned_to_id":23,"start_date":"2016-12-14","description":"","custom_fields":[{"id":1,"name":"Subdivision","value":"EC"},{"id":4,"name":"Milepost","value":"3.3137"},{"id":17,"name":"Train ID","value":"131-14"},{"id":16,"name":"Locomotive ID","value":"4003"},{"id":130,"name":"Impact","value":""},{"id":150,"name":"Time of Event (Mountain Time)","value":"07:41:35"},{"id":151,"name":"Denver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"%USERPROFILE%\AppData\Local\Temp\OnboardLogs"\RTDC4003\*4003*201612141*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"%USERPROFILE%\AppData\Local\Temp\OnboardLogs"\RTDC4003\*4003*201612141* &gt;&gt; 42718-slicedisagreementcheck.txt</v>
      </c>
    </row>
    <row r="9" spans="1:30" s="1" customFormat="1" x14ac:dyDescent="0.25">
      <c r="A9" s="36">
        <v>42718.435671296298</v>
      </c>
      <c r="B9" s="31" t="s">
        <v>321</v>
      </c>
      <c r="C9" s="31" t="s">
        <v>429</v>
      </c>
      <c r="D9" s="31" t="s">
        <v>49</v>
      </c>
      <c r="E9" s="31" t="s">
        <v>259</v>
      </c>
      <c r="F9" s="47">
        <v>0</v>
      </c>
      <c r="G9" s="47">
        <v>56</v>
      </c>
      <c r="H9" s="47">
        <v>53471</v>
      </c>
      <c r="I9" s="47">
        <v>53382</v>
      </c>
      <c r="J9" s="31" t="s">
        <v>260</v>
      </c>
      <c r="K9" s="47">
        <v>53277</v>
      </c>
      <c r="L9" s="154" t="s">
        <v>51</v>
      </c>
      <c r="M9" s="155">
        <f t="shared" si="0"/>
        <v>55.44</v>
      </c>
      <c r="N9" s="156" t="str">
        <f>VLOOKUP(C9,'Trips&amp;Operators'!$C$1:$G$99999,5,FALSE)</f>
        <v>HILLS DUSTIN</v>
      </c>
      <c r="O9" s="182" t="s">
        <v>196</v>
      </c>
      <c r="P9" s="157" t="s">
        <v>853</v>
      </c>
      <c r="Q9" s="31"/>
      <c r="R9" s="100" t="str">
        <f>VLOOKUP(C9,'Train Runs'!$A$13:$AE$9972,31,0)</f>
        <v>aws s3 cp s3://rtdc.mdm.uploadarchive.raw/RTDC4013/ "%USERPROFILE%\AppData\Local\Temp\OnboardLogs"\RTDC4013\2016-12-14 --exclude "*" --recursive --include "*20161214*" &amp; "%USERPROFILE%\Documents\GitHub\mrs-test-scripts\Headless Mode &amp; Sideloading\WalkAndUnGZ.bat" "%USERPROFILE%\AppData\Local\Temp\OnboardLogs"\RTDC4013\2016-12-14 &amp; aws s3 cp s3://rtdc.mdm.uploadarchive.raw/RTDC4013/ "%USERPROFILE%\AppData\Local\Temp\OnboardLogs"\RTDC4013\2016-12-15 --exclude "*" --recursive --include "*20161215*" &amp; "%USERPROFILE%\Documents\GitHub\mrs-test-scripts\Headless Mode &amp; Sideloading\WalkAndUnGZ.bat" "%USERPROFILE%\AppData\Local\Temp\OnboardLogs"\RTDC4013\2016-12-15</v>
      </c>
      <c r="S9" s="103" t="str">
        <f>VLOOKUP(C9,'Train Runs'!$A$13:$AE$9972,22,0)</f>
        <v>https://search-rtdc-monitor-bjffxe2xuh6vdkpspy63sjmuny.us-east-1.es.amazonaws.com/_plugin/kibana/#/discover/Steve-Slow-Train-Analysis-(2080s-and-2083s)?_g=(refreshInterval:(display:Off,section:0,value:0),time:(from:'2016-12-14 08:49:53-700',mode:absolute,to:'2016-12-14 11:41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9" s="105" t="str">
        <f t="shared" si="1"/>
        <v>"C:\Program Files (x86)\AstroGrep\AstroGrep.exe" /spath="%USERPROFILE%\AppData\Local\Temp\OnboardLogs" /stypes="*4013*201612141*" /stext=" 17:.+((SYSTEM_STATE.+slice.+state.+changed )|(ment ac)|(multiple cpu faults)|(system.+state.+changed )|(\[timeout)|(PRM\|1\|D)|(kpr)|(kdp)|(\|lc)|(penalty))" /e /r /s</v>
      </c>
      <c r="U9" s="9" t="str">
        <f t="shared" si="2"/>
        <v>4013</v>
      </c>
      <c r="V9" s="36">
        <f t="shared" si="3"/>
        <v>42718.727337962962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{"issue":{"subject":"Form C","project_id":79,"tracker_id":40,"status_id":1,"priority_id":2,"assigned_to_id":23,"start_date":"2016-12-14","description":"","custom_fields":[{"id":1,"name":"Subdivision","value":"EC"},{"id":4,"name":"Milepost","value":"5.3277"},{"id":17,"name":"Train ID","value":"144-14"},{"id":16,"name":"Locomotive ID","value":"4013"},{"id":130,"name":"Impact","value":""},{"id":150,"name":"Time of Event (Mountain Time)","value":"10:27:22"},{"id":151,"name":"Denver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"%USERPROFILE%\AppData\Local\Temp\OnboardLogs"\RTDC4013\*4013*201612141*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"%USERPROFILE%\AppData\Local\Temp\OnboardLogs"\RTDC4013\*4013*201612141* &gt;&gt; 42718-slicedisagreementcheck.txt</v>
      </c>
    </row>
    <row r="10" spans="1:30" s="1" customFormat="1" x14ac:dyDescent="0.25">
      <c r="A10" s="36">
        <v>42718.459317129629</v>
      </c>
      <c r="B10" s="31" t="s">
        <v>155</v>
      </c>
      <c r="C10" s="31" t="s">
        <v>433</v>
      </c>
      <c r="D10" s="31" t="s">
        <v>49</v>
      </c>
      <c r="E10" s="31" t="s">
        <v>197</v>
      </c>
      <c r="F10" s="47">
        <v>400</v>
      </c>
      <c r="G10" s="47">
        <v>463</v>
      </c>
      <c r="H10" s="47">
        <v>121340</v>
      </c>
      <c r="I10" s="47">
        <v>119755</v>
      </c>
      <c r="J10" s="31" t="s">
        <v>198</v>
      </c>
      <c r="K10" s="47">
        <v>119716</v>
      </c>
      <c r="L10" s="154" t="s">
        <v>51</v>
      </c>
      <c r="M10" s="155">
        <f t="shared" si="0"/>
        <v>20.591999999999999</v>
      </c>
      <c r="N10" s="156" t="str">
        <f>VLOOKUP(C10,'Trips&amp;Operators'!$C$1:$G$99999,5,FALSE)</f>
        <v>SPECTOR MICHAEL</v>
      </c>
      <c r="O10" s="182" t="s">
        <v>196</v>
      </c>
      <c r="P10" s="157"/>
      <c r="Q10" s="31"/>
      <c r="R10" s="100" t="str">
        <f>VLOOKUP(C10,'Train Runs'!$A$13:$AE$9972,31,0)</f>
        <v>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 &amp; aws s3 cp s3://rtdc.mdm.uploadarchive.raw/RTDC4052/ "%USERPROFILE%\AppData\Local\Temp\OnboardLogs"\RTDC4052\2016-12-15 --exclude "*" --recursive --include "*20161215*" &amp; "%USERPROFILE%\Documents\GitHub\mrs-test-scripts\Headless Mode &amp; Sideloading\WalkAndUnGZ.bat" "%USERPROFILE%\AppData\Local\Temp\OnboardLogs"\RTDC4052\2016-12-15</v>
      </c>
      <c r="S10" s="103" t="str">
        <f>VLOOKUP(C10,'Train Runs'!$A$13:$AE$9972,22,0)</f>
        <v>https://search-rtdc-monitor-bjffxe2xuh6vdkpspy63sjmuny.us-east-1.es.amazonaws.com/_plugin/kibana/#/discover/Steve-Slow-Train-Analysis-(2080s-and-2083s)?_g=(refreshInterval:(display:Off,section:0,value:0),time:(from:'2016-12-14 09:41:24-700',mode:absolute,to:'2016-12-14 12:28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10" s="105" t="str">
        <f t="shared" si="1"/>
        <v>"C:\Program Files (x86)\AstroGrep\AstroGrep.exe" /spath="%USERPROFILE%\AppData\Local\Temp\OnboardLogs" /stypes="*4052*201612141*" /stext=" 18:.+((SYSTEM_STATE.+slice.+state.+changed )|(ment ac)|(multiple cpu faults)|(system.+state.+changed )|(\[timeout)|(PRM\|1\|D)|(kpr)|(kdp)|(\|lc)|(penalty))" /e /r /s</v>
      </c>
      <c r="U10" s="9" t="str">
        <f t="shared" si="2"/>
        <v>4052</v>
      </c>
      <c r="V10" s="36">
        <f t="shared" si="3"/>
        <v>42718.750983796293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{"issue":{"subject":"","project_id":79,"tracker_id":40,"status_id":1,"priority_id":2,"assigned_to_id":23,"start_date":"2016-12-14","description":"","custom_fields":[{"id":1,"name":"Subdivision","value":"EC"},{"id":4,"name":"Milepost","value":"11.9716"},{"id":17,"name":"Train ID","value":"150-14"},{"id":16,"name":"Locomotive ID","value":"4052"},{"id":130,"name":"Impact","value":""},{"id":150,"name":"Time of Event (Mountain Time)","value":"11:01:25"},{"id":151,"name":"Denver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"%USERPROFILE%\AppData\Local\Temp\OnboardLogs"\RTDC4052\*4052*201612141*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"%USERPROFILE%\AppData\Local\Temp\OnboardLogs"\RTDC4052\*4052*201612141* &gt;&gt; 42718-slicedisagreementcheck.txt</v>
      </c>
    </row>
    <row r="11" spans="1:30" s="1" customFormat="1" x14ac:dyDescent="0.25">
      <c r="A11" s="36">
        <v>42718.659120370372</v>
      </c>
      <c r="B11" s="31" t="s">
        <v>251</v>
      </c>
      <c r="C11" s="31" t="s">
        <v>440</v>
      </c>
      <c r="D11" s="31" t="s">
        <v>49</v>
      </c>
      <c r="E11" s="31" t="s">
        <v>197</v>
      </c>
      <c r="F11" s="47">
        <v>150</v>
      </c>
      <c r="G11" s="47">
        <v>340</v>
      </c>
      <c r="H11" s="47">
        <v>229102</v>
      </c>
      <c r="I11" s="47">
        <v>229752</v>
      </c>
      <c r="J11" s="31" t="s">
        <v>198</v>
      </c>
      <c r="K11" s="47">
        <v>230436</v>
      </c>
      <c r="L11" s="154" t="s">
        <v>50</v>
      </c>
      <c r="M11" s="155">
        <f t="shared" si="0"/>
        <v>361.15199999999999</v>
      </c>
      <c r="N11" s="156" t="str">
        <f>VLOOKUP(C11,'Trips&amp;Operators'!$C$1:$G$99999,5,FALSE)</f>
        <v>ADANE ELSHADAY</v>
      </c>
      <c r="O11" s="182" t="s">
        <v>196</v>
      </c>
      <c r="P11" s="157"/>
      <c r="Q11" s="31"/>
      <c r="R11" s="100" t="str">
        <f>VLOOKUP(C11,'Train Runs'!$A$13:$AE$9972,31,0)</f>
        <v>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 &amp; aws s3 cp s3://rtdc.mdm.uploadarchive.raw/RTDC4016/ "%USERPROFILE%\AppData\Local\Temp\OnboardLogs"\RTDC4016\2016-12-15 --exclude "*" --recursive --include "*20161215*" &amp; "%USERPROFILE%\Documents\GitHub\mrs-test-scripts\Headless Mode &amp; Sideloading\WalkAndUnGZ.bat" "%USERPROFILE%\AppData\Local\Temp\OnboardLogs"\RTDC4016\2016-12-15</v>
      </c>
      <c r="S11" s="103" t="str">
        <f>VLOOKUP(C11,'Train Runs'!$A$13:$AE$9972,22,0)</f>
        <v>https://search-rtdc-monitor-bjffxe2xuh6vdkpspy63sjmuny.us-east-1.es.amazonaws.com/_plugin/kibana/#/discover/Steve-Slow-Train-Analysis-(2080s-and-2083s)?_g=(refreshInterval:(display:Off,section:0,value:0),time:(from:'2016-12-14 14:09:30-700',mode:absolute,to:'2016-12-14 17:53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1" s="105" t="str">
        <f t="shared" si="1"/>
        <v>"C:\Program Files (x86)\AstroGrep\AstroGrep.exe" /spath="%USERPROFILE%\AppData\Local\Temp\OnboardLogs" /stypes="*4016*201612142*" /stext=" 22:.+((SYSTEM_STATE.+slice.+state.+changed )|(ment ac)|(multiple cpu faults)|(system.+state.+changed )|(\[timeout)|(PRM\|1\|D)|(kpr)|(kdp)|(\|lc)|(penalty))" /e /r /s</v>
      </c>
      <c r="U11" s="9" t="str">
        <f t="shared" si="2"/>
        <v>4016</v>
      </c>
      <c r="V11" s="36">
        <f t="shared" si="3"/>
        <v>42718.950787037036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{"issue":{"subject":"","project_id":79,"tracker_id":40,"status_id":1,"priority_id":2,"assigned_to_id":23,"start_date":"2016-12-14","description":"","custom_fields":[{"id":1,"name":"Subdivision","value":"EC"},{"id":4,"name":"Milepost","value":"23.0436"},{"id":17,"name":"Train ID","value":"193-14"},{"id":16,"name":"Locomotive ID","value":"4016"},{"id":130,"name":"Impact","value":""},{"id":150,"name":"Time of Event (Mountain Time)","value":"15:49:08"},{"id":151,"name":"Denver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"%USERPROFILE%\AppData\Local\Temp\OnboardLogs"\RTDC4016\*4016*201612142*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"%USERPROFILE%\AppData\Local\Temp\OnboardLogs"\RTDC4016\*4016*201612142* &gt;&gt; 42718-slicedisagreementcheck.txt</v>
      </c>
    </row>
    <row r="12" spans="1:30" s="1" customFormat="1" x14ac:dyDescent="0.25">
      <c r="A12" s="36">
        <v>42718.722268518519</v>
      </c>
      <c r="B12" s="31" t="s">
        <v>184</v>
      </c>
      <c r="C12" s="31" t="s">
        <v>444</v>
      </c>
      <c r="D12" s="31" t="s">
        <v>49</v>
      </c>
      <c r="E12" s="31" t="s">
        <v>197</v>
      </c>
      <c r="F12" s="47">
        <v>150</v>
      </c>
      <c r="G12" s="47">
        <v>281</v>
      </c>
      <c r="H12" s="47">
        <v>229517</v>
      </c>
      <c r="I12" s="47">
        <v>230247</v>
      </c>
      <c r="J12" s="31" t="s">
        <v>198</v>
      </c>
      <c r="K12" s="47">
        <v>230436</v>
      </c>
      <c r="L12" s="154" t="s">
        <v>50</v>
      </c>
      <c r="M12" s="155">
        <f t="shared" si="0"/>
        <v>99.792000000000002</v>
      </c>
      <c r="N12" s="156" t="str">
        <f>VLOOKUP(C12,'Trips&amp;Operators'!$C$1:$G$99999,5,FALSE)</f>
        <v>DUNCAN SHEILA</v>
      </c>
      <c r="O12" s="182" t="s">
        <v>196</v>
      </c>
      <c r="P12" s="157"/>
      <c r="Q12" s="31"/>
      <c r="R12" s="100" t="str">
        <f>VLOOKUP(C12,'Train Runs'!$A$13:$AE$9972,31,0)</f>
        <v>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 &amp; aws s3 cp s3://rtdc.mdm.uploadarchive.raw/RTDC4044/ "%USERPROFILE%\AppData\Local\Temp\OnboardLogs"\RTDC4044\2016-12-15 --exclude "*" --recursive --include "*20161215*" &amp; "%USERPROFILE%\Documents\GitHub\mrs-test-scripts\Headless Mode &amp; Sideloading\WalkAndUnGZ.bat" "%USERPROFILE%\AppData\Local\Temp\OnboardLogs"\RTDC4044\2016-12-15</v>
      </c>
      <c r="S12" s="103" t="str">
        <f>VLOOKUP(C12,'Train Runs'!$A$13:$AE$9972,22,0)</f>
        <v>https://search-rtdc-monitor-bjffxe2xuh6vdkpspy63sjmuny.us-east-1.es.amazonaws.com/_plugin/kibana/#/discover/Steve-Slow-Train-Analysis-(2080s-and-2083s)?_g=(refreshInterval:(display:Off,section:0,value:0),time:(from:'2016-12-14 15:41:07-700',mode:absolute,to:'2016-12-14 18:21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2" s="105" t="str">
        <f t="shared" si="1"/>
        <v>"C:\Program Files (x86)\AstroGrep\AstroGrep.exe" /spath="%USERPROFILE%\AppData\Local\Temp\OnboardLogs" /stypes="*4044*201612150*" /stext=" 00:.+((SYSTEM_STATE.+slice.+state.+changed )|(ment ac)|(multiple cpu faults)|(system.+state.+changed )|(\[timeout)|(PRM\|1\|D)|(kpr)|(kdp)|(\|lc)|(penalty))" /e /r /s</v>
      </c>
      <c r="U12" s="9" t="str">
        <f t="shared" si="2"/>
        <v>4044</v>
      </c>
      <c r="V12" s="36">
        <f t="shared" si="3"/>
        <v>42719.013935185183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{"issue":{"subject":"","project_id":79,"tracker_id":40,"status_id":1,"priority_id":2,"assigned_to_id":23,"start_date":"2016-12-14","description":"","custom_fields":[{"id":1,"name":"Subdivision","value":"EC"},{"id":4,"name":"Milepost","value":"23.0436"},{"id":17,"name":"Train ID","value":"205-14"},{"id":16,"name":"Locomotive ID","value":"4044"},{"id":130,"name":"Impact","value":""},{"id":150,"name":"Time of Event (Mountain Time)","value":"17:20:04"},{"id":151,"name":"Denver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"%USERPROFILE%\AppData\Local\Temp\OnboardLogs"\RTDC4044\*4044*201612150*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"%USERPROFILE%\AppData\Local\Temp\OnboardLogs"\RTDC4044\*4044*201612150* &gt;&gt; 42718-slicedisagreementcheck.txt</v>
      </c>
    </row>
    <row r="13" spans="1:30" s="1" customFormat="1" x14ac:dyDescent="0.25">
      <c r="A13" s="36">
        <v>42718.978842592594</v>
      </c>
      <c r="B13" s="31" t="s">
        <v>262</v>
      </c>
      <c r="C13" s="31" t="s">
        <v>453</v>
      </c>
      <c r="D13" s="31" t="s">
        <v>98</v>
      </c>
      <c r="E13" s="31" t="s">
        <v>197</v>
      </c>
      <c r="F13" s="47">
        <v>350</v>
      </c>
      <c r="G13" s="47">
        <v>400</v>
      </c>
      <c r="H13" s="47">
        <v>224827</v>
      </c>
      <c r="I13" s="47">
        <v>223148</v>
      </c>
      <c r="J13" s="31" t="s">
        <v>198</v>
      </c>
      <c r="K13" s="47">
        <v>230436</v>
      </c>
      <c r="L13" s="154" t="s">
        <v>51</v>
      </c>
      <c r="M13" s="155">
        <f t="shared" si="0"/>
        <v>-3848.0639999999999</v>
      </c>
      <c r="N13" s="156" t="str">
        <f>VLOOKUP(C13,'Trips&amp;Operators'!$C$1:$G$99999,5,FALSE)</f>
        <v>PERKINS DARREN</v>
      </c>
      <c r="O13" s="182" t="s">
        <v>196</v>
      </c>
      <c r="P13" s="157"/>
      <c r="Q13" s="31"/>
      <c r="R13" s="100" t="str">
        <f>VLOOKUP(C13,'Train Runs'!$A$13:$AE$9972,31,0)</f>
        <v>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 &amp; aws s3 cp s3://rtdc.mdm.uploadarchive.raw/RTDC4043/ "%USERPROFILE%\AppData\Local\Temp\OnboardLogs"\RTDC4043\2016-12-15 --exclude "*" --recursive --include "*20161215*" &amp; "%USERPROFILE%\Documents\GitHub\mrs-test-scripts\Headless Mode &amp; Sideloading\WalkAndUnGZ.bat" "%USERPROFILE%\AppData\Local\Temp\OnboardLogs"\RTDC4043\2016-12-15</v>
      </c>
      <c r="S13" s="103" t="str">
        <f>VLOOKUP(C13,'Train Runs'!$A$13:$AE$9972,22,0)</f>
        <v>https://search-rtdc-monitor-bjffxe2xuh6vdkpspy63sjmuny.us-east-1.es.amazonaws.com/_plugin/kibana/#/discover/Steve-Slow-Train-Analysis-(2080s-and-2083s)?_g=(refreshInterval:(display:Off,section:0,value:0),time:(from:'2016-12-14 22:20:05-700',mode:absolute,to:'2016-12-15 01:09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3" s="105" t="str">
        <f t="shared" si="1"/>
        <v>"C:\Program Files (x86)\AstroGrep\AstroGrep.exe" /spath="%USERPROFILE%\AppData\Local\Temp\OnboardLogs" /stypes="*4043*201612150*" /stext=" 06:.+((SYSTEM_STATE.+slice.+state.+changed )|(ment ac)|(multiple cpu faults)|(system.+state.+changed )|(\[timeout)|(PRM\|1\|D)|(kpr)|(kdp)|(\|lc)|(penalty))" /e /r /s</v>
      </c>
      <c r="U13" s="9" t="str">
        <f t="shared" si="2"/>
        <v>4043</v>
      </c>
      <c r="V13" s="36">
        <f t="shared" si="3"/>
        <v>42719.270509259259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{"issue":{"subject":"","project_id":79,"tracker_id":40,"status_id":1,"priority_id":2,"assigned_to_id":23,"start_date":"2016-12-14","description":"","custom_fields":[{"id":1,"name":"Subdivision","value":"EC"},{"id":4,"name":"Milepost","value":"23.0436"},{"id":17,"name":"Train ID","value":"236-14"},{"id":16,"name":"Locomotive ID","value":"4043"},{"id":130,"name":"Impact","value":""},{"id":150,"name":"Time of Event (Mountain Time)","value":"23:29:32"},{"id":151,"name":"Denver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"%USERPROFILE%\AppData\Local\Temp\OnboardLogs"\RTDC4043\*4043*201612150*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"%USERPROFILE%\AppData\Local\Temp\OnboardLogs"\RTDC4043\*4043*201612150* &gt;&gt; 42718-slicedisagreementcheck.txt</v>
      </c>
    </row>
    <row r="14" spans="1:30" s="1" customFormat="1" x14ac:dyDescent="0.25">
      <c r="A14" s="36">
        <v>42718.396944444445</v>
      </c>
      <c r="B14" s="31" t="s">
        <v>353</v>
      </c>
      <c r="C14" s="31" t="s">
        <v>427</v>
      </c>
      <c r="D14" s="31" t="s">
        <v>49</v>
      </c>
      <c r="E14" s="31" t="s">
        <v>199</v>
      </c>
      <c r="F14" s="47">
        <v>0</v>
      </c>
      <c r="G14" s="47">
        <v>727</v>
      </c>
      <c r="H14" s="47">
        <v>80695</v>
      </c>
      <c r="I14" s="47">
        <v>84018</v>
      </c>
      <c r="J14" s="31" t="s">
        <v>200</v>
      </c>
      <c r="K14" s="47">
        <v>81738</v>
      </c>
      <c r="L14" s="154" t="s">
        <v>50</v>
      </c>
      <c r="M14" s="155">
        <f t="shared" si="0"/>
        <v>-1203.8399999999999</v>
      </c>
      <c r="N14" s="156" t="str">
        <f>VLOOKUP(C14,'Trips&amp;Operators'!$C$1:$G$99999,5,FALSE)</f>
        <v>BROWN JACOB</v>
      </c>
      <c r="O14" s="182" t="s">
        <v>230</v>
      </c>
      <c r="P14" s="157" t="s">
        <v>857</v>
      </c>
      <c r="Q14" s="31"/>
      <c r="R14" s="100" t="str">
        <f>VLOOKUP(C14,'Train Runs'!$A$13:$AE$9972,31,0)</f>
        <v>aws s3 cp s3://rtdc.mdm.uploadarchive.raw/RTDC4003/ "%USERPROFILE%\AppData\Local\Temp\OnboardLogs"\RTDC4003\2016-12-14 --exclude "*" --recursive --include "*20161214*" &amp; "%USERPROFILE%\Documents\GitHub\mrs-test-scripts\Headless Mode &amp; Sideloading\WalkAndUnGZ.bat" "%USERPROFILE%\AppData\Local\Temp\OnboardLogs"\RTDC4003\2016-12-14 &amp; aws s3 cp s3://rtdc.mdm.uploadarchive.raw/RTDC4003/ "%USERPROFILE%\AppData\Local\Temp\OnboardLogs"\RTDC4003\2016-12-15 --exclude "*" --recursive --include "*20161215*" &amp; "%USERPROFILE%\Documents\GitHub\mrs-test-scripts\Headless Mode &amp; Sideloading\WalkAndUnGZ.bat" "%USERPROFILE%\AppData\Local\Temp\OnboardLogs"\RTDC4003\2016-12-15</v>
      </c>
      <c r="S14" s="103" t="str">
        <f>VLOOKUP(C14,'Train Runs'!$A$13:$AE$9972,22,0)</f>
        <v>https://search-rtdc-monitor-bjffxe2xuh6vdkpspy63sjmuny.us-east-1.es.amazonaws.com/_plugin/kibana/#/discover/Steve-Slow-Train-Analysis-(2080s-and-2083s)?_g=(refreshInterval:(display:Off,section:0,value:0),time:(from:'2016-12-14 08:11:07-700',mode:absolute,to:'2016-12-14 10:54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4" s="105" t="str">
        <f t="shared" si="1"/>
        <v>"C:\Program Files (x86)\AstroGrep\AstroGrep.exe" /spath="%USERPROFILE%\AppData\Local\Temp\OnboardLogs" /stypes="*4003*201612141*" /stext=" 16:.+((SYSTEM_STATE.+slice.+state.+changed )|(ment ac)|(multiple cpu faults)|(system.+state.+changed )|(\[timeout)|(PRM\|1\|D)|(kpr)|(kdp)|(\|lc)|(penalty))" /e /r /s</v>
      </c>
      <c r="U14" s="9" t="str">
        <f t="shared" si="2"/>
        <v>4003</v>
      </c>
      <c r="V14" s="36">
        <f t="shared" si="3"/>
        <v>42718.688611111109</v>
      </c>
      <c r="W14" s="50" t="str">
        <f t="shared" si="4"/>
        <v>EC</v>
      </c>
      <c r="X14" s="50" t="str">
        <f t="shared" si="5"/>
        <v>KEEP</v>
      </c>
      <c r="Y14" s="183" t="str">
        <f t="shared" si="6"/>
        <v>echo {"issue":{"subject":"Premature downgrade at EC0816RH 75-1T 1N (Code 9 issue?)","project_id":79,"tracker_id":40,"status_id":1,"priority_id":2,"assigned_to_id":23,"start_date":"2016-12-14","description":"At 09:31:05, EC0816RH 75-1T 1N downgraded unexpectedly from 270 to STOP &amp; PROCEED. Do logs indicate any issues at this time?","custom_fields":[{"id":1,"name":"Subdivision","value":"EC"},{"id":4,"name":"Milepost","value":"8.1738"},{"id":17,"name":"Train ID","value":"145-14"},{"id":16,"name":"Locomotive ID","value":"4003"},{"id":130,"name":"Impact","value":"Enforcement"},{"id":150,"name":"Time of Event (Mountain Time)","value":"09:31:36"},{"id":151,"name":"Denver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4" s="53" t="s">
        <v>856</v>
      </c>
      <c r="AA14" s="53" t="s">
        <v>125</v>
      </c>
      <c r="AB14" s="53" t="s">
        <v>130</v>
      </c>
      <c r="AC14" s="138" t="str">
        <f t="shared" si="7"/>
        <v>grep -hSE -A100 "Enforcement Action" "%USERPROFILE%\AppData\Local\Temp\OnboardLogs"\RTDC4003\*4003*201612141*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"%USERPROFILE%\AppData\Local\Temp\OnboardLogs"\RTDC4003\*4003*201612141* &gt;&gt; 42718-slicedisagreementcheck.txt</v>
      </c>
    </row>
    <row r="15" spans="1:30" s="1" customFormat="1" x14ac:dyDescent="0.25">
      <c r="A15" s="36">
        <v>42718.49590277778</v>
      </c>
      <c r="B15" s="31" t="s">
        <v>321</v>
      </c>
      <c r="C15" s="31" t="s">
        <v>436</v>
      </c>
      <c r="D15" s="31" t="s">
        <v>49</v>
      </c>
      <c r="E15" s="31" t="s">
        <v>199</v>
      </c>
      <c r="F15" s="47">
        <v>0</v>
      </c>
      <c r="G15" s="47">
        <v>435</v>
      </c>
      <c r="H15" s="47">
        <v>129511</v>
      </c>
      <c r="I15" s="47">
        <v>128320</v>
      </c>
      <c r="J15" s="31" t="s">
        <v>200</v>
      </c>
      <c r="K15" s="47">
        <v>127587</v>
      </c>
      <c r="L15" s="154" t="s">
        <v>51</v>
      </c>
      <c r="M15" s="155">
        <f t="shared" si="0"/>
        <v>387.024</v>
      </c>
      <c r="N15" s="156" t="str">
        <f>VLOOKUP(C15,'Trips&amp;Operators'!$C$1:$G$99999,5,FALSE)</f>
        <v>HILLS DUSTIN</v>
      </c>
      <c r="O15" s="182" t="s">
        <v>196</v>
      </c>
      <c r="P15" s="157" t="s">
        <v>854</v>
      </c>
      <c r="Q15" s="31"/>
      <c r="R15" s="100" t="str">
        <f>VLOOKUP(C15,'Train Runs'!$A$13:$AE$9972,31,0)</f>
        <v>aws s3 cp s3://rtdc.mdm.uploadarchive.raw/RTDC4013/ "%USERPROFILE%\AppData\Local\Temp\OnboardLogs"\RTDC4013\2016-12-14 --exclude "*" --recursive --include "*20161214*" &amp; "%USERPROFILE%\Documents\GitHub\mrs-test-scripts\Headless Mode &amp; Sideloading\WalkAndUnGZ.bat" "%USERPROFILE%\AppData\Local\Temp\OnboardLogs"\RTDC4013\2016-12-14 &amp; aws s3 cp s3://rtdc.mdm.uploadarchive.raw/RTDC4013/ "%USERPROFILE%\AppData\Local\Temp\OnboardLogs"\RTDC4013\2016-12-15 --exclude "*" --recursive --include "*20161215*" &amp; "%USERPROFILE%\Documents\GitHub\mrs-test-scripts\Headless Mode &amp; Sideloading\WalkAndUnGZ.bat" "%USERPROFILE%\AppData\Local\Temp\OnboardLogs"\RTDC4013\2016-12-15</v>
      </c>
      <c r="S15" s="103" t="str">
        <f>VLOOKUP(C15,'Train Runs'!$A$13:$AE$9972,22,0)</f>
        <v>https://search-rtdc-monitor-bjffxe2xuh6vdkpspy63sjmuny.us-east-1.es.amazonaws.com/_plugin/kibana/#/discover/Steve-Slow-Train-Analysis-(2080s-and-2083s)?_g=(refreshInterval:(display:Off,section:0,value:0),time:(from:'2016-12-14 10:28:59-700',mode:absolute,to:'2016-12-14 13:20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5" s="105" t="str">
        <f t="shared" si="1"/>
        <v>"C:\Program Files (x86)\AstroGrep\AstroGrep.exe" /spath="%USERPROFILE%\AppData\Local\Temp\OnboardLogs" /stypes="*4013*201612141*" /stext=" 18:.+((SYSTEM_STATE.+slice.+state.+changed )|(ment ac)|(multiple cpu faults)|(system.+state.+changed )|(\[timeout)|(PRM\|1\|D)|(kpr)|(kdp)|(\|lc)|(penalty))" /e /r /s</v>
      </c>
      <c r="U15" s="9" t="str">
        <f t="shared" si="2"/>
        <v>4013</v>
      </c>
      <c r="V15" s="36">
        <f t="shared" si="3"/>
        <v>42718.787569444445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{"issue":{"subject":"40th 4S STOP","project_id":79,"tracker_id":40,"status_id":1,"priority_id":2,"assigned_to_id":23,"start_date":"2016-12-14","description":"","custom_fields":[{"id":1,"name":"Subdivision","value":"EC"},{"id":4,"name":"Milepost","value":"12.7587"},{"id":17,"name":"Train ID","value":"158-14"},{"id":16,"name":"Locomotive ID","value":"4013"},{"id":130,"name":"Impact","value":""},{"id":150,"name":"Time of Event (Mountain Time)","value":"11:54:06"},{"id":151,"name":"Denver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"%USERPROFILE%\AppData\Local\Temp\OnboardLogs"\RTDC4013\*4013*201612141*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"%USERPROFILE%\AppData\Local\Temp\OnboardLogs"\RTDC4013\*4013*201612141* &gt;&gt; 42718-slicedisagreementcheck.txt</v>
      </c>
    </row>
    <row r="16" spans="1:30" s="1" customFormat="1" x14ac:dyDescent="0.25">
      <c r="A16" s="36">
        <v>42718.244085648148</v>
      </c>
      <c r="B16" s="31" t="s">
        <v>155</v>
      </c>
      <c r="C16" s="31" t="s">
        <v>420</v>
      </c>
      <c r="D16" s="31" t="s">
        <v>49</v>
      </c>
      <c r="E16" s="31" t="s">
        <v>279</v>
      </c>
      <c r="F16" s="47">
        <v>100</v>
      </c>
      <c r="G16" s="47">
        <v>635</v>
      </c>
      <c r="H16" s="47">
        <v>70310</v>
      </c>
      <c r="I16" s="47">
        <v>67817</v>
      </c>
      <c r="J16" s="31" t="s">
        <v>260</v>
      </c>
      <c r="K16" s="47">
        <v>66500</v>
      </c>
      <c r="L16" s="154" t="s">
        <v>51</v>
      </c>
      <c r="M16" s="155">
        <f t="shared" si="0"/>
        <v>695.37600000000009</v>
      </c>
      <c r="N16" s="156" t="str">
        <f>VLOOKUP(C16,'Trips&amp;Operators'!$C$1:$G$99999,5,FALSE)</f>
        <v>SPECTOR MICHAEL</v>
      </c>
      <c r="O16" s="182" t="s">
        <v>196</v>
      </c>
      <c r="P16" s="157"/>
      <c r="Q16" s="31"/>
      <c r="R16" s="100" t="str">
        <f>VLOOKUP(C16,'Train Runs'!$A$13:$AE$9972,31,0)</f>
        <v>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 &amp; aws s3 cp s3://rtdc.mdm.uploadarchive.raw/RTDC4052/ "%USERPROFILE%\AppData\Local\Temp\OnboardLogs"\RTDC4052\2016-12-15 --exclude "*" --recursive --include "*20161215*" &amp; "%USERPROFILE%\Documents\GitHub\mrs-test-scripts\Headless Mode &amp; Sideloading\WalkAndUnGZ.bat" "%USERPROFILE%\AppData\Local\Temp\OnboardLogs"\RTDC4052\2016-12-15</v>
      </c>
      <c r="S16" s="103" t="str">
        <f>VLOOKUP(C16,'Train Runs'!$A$13:$AE$9972,22,0)</f>
        <v>https://search-rtdc-monitor-bjffxe2xuh6vdkpspy63sjmuny.us-east-1.es.amazonaws.com/_plugin/kibana/#/discover/Steve-Slow-Train-Analysis-(2080s-and-2083s)?_g=(refreshInterval:(display:Off,section:0,value:0),time:(from:'2016-12-14 04:23:01-700',mode:absolute,to:'2016-12-14 07:11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16" s="105" t="str">
        <f t="shared" si="1"/>
        <v>"C:\Program Files (x86)\AstroGrep\AstroGrep.exe" /spath="%USERPROFILE%\AppData\Local\Temp\OnboardLogs" /stypes="*4052*201612141*" /stext=" 12:.+((SYSTEM_STATE.+slice.+state.+changed )|(ment ac)|(multiple cpu faults)|(system.+state.+changed )|(\[timeout)|(PRM\|1\|D)|(kpr)|(kdp)|(\|lc)|(penalty))" /e /r /s</v>
      </c>
      <c r="U16" s="9" t="str">
        <f t="shared" si="2"/>
        <v>4052</v>
      </c>
      <c r="V16" s="36">
        <f t="shared" si="3"/>
        <v>42718.535752314812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{"issue":{"subject":"","project_id":79,"tracker_id":40,"status_id":1,"priority_id":2,"assigned_to_id":23,"start_date":"2016-12-14","description":"","custom_fields":[{"id":1,"name":"Subdivision","value":"EC"},{"id":4,"name":"Milepost","value":"6.65"},{"id":17,"name":"Train ID","value":"108-14"},{"id":16,"name":"Locomotive ID","value":"4052"},{"id":130,"name":"Impact","value":""},{"id":150,"name":"Time of Event (Mountain Time)","value":"05:51:29"},{"id":151,"name":"Denver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"%USERPROFILE%\AppData\Local\Temp\OnboardLogs"\RTDC4052\*4052*201612141*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"%USERPROFILE%\AppData\Local\Temp\OnboardLogs"\RTDC4052\*4052*201612141* &gt;&gt; 42718-slicedisagreementcheck.txt</v>
      </c>
    </row>
    <row r="17" spans="1:30" s="1" customFormat="1" x14ac:dyDescent="0.25">
      <c r="A17" s="36">
        <v>42718.440439814818</v>
      </c>
      <c r="B17" s="31" t="s">
        <v>346</v>
      </c>
      <c r="C17" s="31" t="s">
        <v>430</v>
      </c>
      <c r="D17" s="31" t="s">
        <v>49</v>
      </c>
      <c r="E17" s="31" t="s">
        <v>279</v>
      </c>
      <c r="F17" s="47">
        <v>100</v>
      </c>
      <c r="G17" s="47">
        <v>278</v>
      </c>
      <c r="H17" s="47">
        <v>67378</v>
      </c>
      <c r="I17" s="47">
        <v>66827</v>
      </c>
      <c r="J17" s="31" t="s">
        <v>260</v>
      </c>
      <c r="K17" s="47">
        <v>66500</v>
      </c>
      <c r="L17" s="154" t="s">
        <v>51</v>
      </c>
      <c r="M17" s="155">
        <f t="shared" si="0"/>
        <v>172.65600000000001</v>
      </c>
      <c r="N17" s="156" t="str">
        <f>VLOOKUP(C17,'Trips&amp;Operators'!$C$1:$G$99999,5,FALSE)</f>
        <v>BROWN JACOB</v>
      </c>
      <c r="O17" s="182" t="s">
        <v>196</v>
      </c>
      <c r="P17" s="157"/>
      <c r="Q17" s="31"/>
      <c r="R17" s="100" t="str">
        <f>VLOOKUP(C17,'Train Runs'!$A$13:$AE$9972,31,0)</f>
        <v>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 &amp; aws s3 cp s3://rtdc.mdm.uploadarchive.raw/RTDC4004/ "%USERPROFILE%\AppData\Local\Temp\OnboardLogs"\RTDC4004\2016-12-15 --exclude "*" --recursive --include "*20161215*" &amp; "%USERPROFILE%\Documents\GitHub\mrs-test-scripts\Headless Mode &amp; Sideloading\WalkAndUnGZ.bat" "%USERPROFILE%\AppData\Local\Temp\OnboardLogs"\RTDC4004\2016-12-15</v>
      </c>
      <c r="S17" s="103" t="str">
        <f>VLOOKUP(C17,'Train Runs'!$A$13:$AE$9972,22,0)</f>
        <v>https://search-rtdc-monitor-bjffxe2xuh6vdkpspy63sjmuny.us-east-1.es.amazonaws.com/_plugin/kibana/#/discover/Steve-Slow-Train-Analysis-(2080s-and-2083s)?_g=(refreshInterval:(display:Off,section:0,value:0),time:(from:'2016-12-14 09:01:18-700',mode:absolute,to:'2016-12-14 11:51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7" s="105" t="str">
        <f t="shared" si="1"/>
        <v>"C:\Program Files (x86)\AstroGrep\AstroGrep.exe" /spath="%USERPROFILE%\AppData\Local\Temp\OnboardLogs" /stypes="*4004*201612141*" /stext=" 17:.+((SYSTEM_STATE.+slice.+state.+changed )|(ment ac)|(multiple cpu faults)|(system.+state.+changed )|(\[timeout)|(PRM\|1\|D)|(kpr)|(kdp)|(\|lc)|(penalty))" /e /r /s</v>
      </c>
      <c r="U17" s="9" t="str">
        <f t="shared" si="2"/>
        <v>4004</v>
      </c>
      <c r="V17" s="36">
        <f t="shared" si="3"/>
        <v>42718.732106481482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{"issue":{"subject":"","project_id":79,"tracker_id":40,"status_id":1,"priority_id":2,"assigned_to_id":23,"start_date":"2016-12-14","description":"","custom_fields":[{"id":1,"name":"Subdivision","value":"EC"},{"id":4,"name":"Milepost","value":"6.65"},{"id":17,"name":"Train ID","value":"146-14"},{"id":16,"name":"Locomotive ID","value":"4004"},{"id":130,"name":"Impact","value":""},{"id":150,"name":"Time of Event (Mountain Time)","value":"10:34:14"},{"id":151,"name":"Denver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"%USERPROFILE%\AppData\Local\Temp\OnboardLogs"\RTDC4004\*4004*201612141*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"%USERPROFILE%\AppData\Local\Temp\OnboardLogs"\RTDC4004\*4004*201612141* &gt;&gt; 42718-slicedisagreementcheck.txt</v>
      </c>
    </row>
    <row r="18" spans="1:30" s="1" customFormat="1" x14ac:dyDescent="0.25">
      <c r="A18" s="36">
        <v>42718.464618055557</v>
      </c>
      <c r="B18" s="31" t="s">
        <v>155</v>
      </c>
      <c r="C18" s="31" t="s">
        <v>433</v>
      </c>
      <c r="D18" s="31" t="s">
        <v>49</v>
      </c>
      <c r="E18" s="31" t="s">
        <v>279</v>
      </c>
      <c r="F18" s="47">
        <v>100</v>
      </c>
      <c r="G18" s="47">
        <v>245</v>
      </c>
      <c r="H18" s="47">
        <v>67493</v>
      </c>
      <c r="I18" s="47">
        <v>66961</v>
      </c>
      <c r="J18" s="31" t="s">
        <v>260</v>
      </c>
      <c r="K18" s="47">
        <v>66500</v>
      </c>
      <c r="L18" s="154" t="s">
        <v>51</v>
      </c>
      <c r="M18" s="155">
        <f t="shared" si="0"/>
        <v>243.40799999999999</v>
      </c>
      <c r="N18" s="156" t="str">
        <f>VLOOKUP(C18,'Trips&amp;Operators'!$C$1:$G$99999,5,FALSE)</f>
        <v>SPECTOR MICHAEL</v>
      </c>
      <c r="O18" s="182" t="s">
        <v>196</v>
      </c>
      <c r="P18" s="157"/>
      <c r="Q18" s="31"/>
      <c r="R18" s="100" t="str">
        <f>VLOOKUP(C18,'Train Runs'!$A$13:$AE$9972,31,0)</f>
        <v>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 &amp; aws s3 cp s3://rtdc.mdm.uploadarchive.raw/RTDC4052/ "%USERPROFILE%\AppData\Local\Temp\OnboardLogs"\RTDC4052\2016-12-15 --exclude "*" --recursive --include "*20161215*" &amp; "%USERPROFILE%\Documents\GitHub\mrs-test-scripts\Headless Mode &amp; Sideloading\WalkAndUnGZ.bat" "%USERPROFILE%\AppData\Local\Temp\OnboardLogs"\RTDC4052\2016-12-15</v>
      </c>
      <c r="S18" s="103" t="str">
        <f>VLOOKUP(C18,'Train Runs'!$A$13:$AE$9972,22,0)</f>
        <v>https://search-rtdc-monitor-bjffxe2xuh6vdkpspy63sjmuny.us-east-1.es.amazonaws.com/_plugin/kibana/#/discover/Steve-Slow-Train-Analysis-(2080s-and-2083s)?_g=(refreshInterval:(display:Off,section:0,value:0),time:(from:'2016-12-14 09:41:24-700',mode:absolute,to:'2016-12-14 12:28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18" s="105" t="str">
        <f t="shared" si="1"/>
        <v>"C:\Program Files (x86)\AstroGrep\AstroGrep.exe" /spath="%USERPROFILE%\AppData\Local\Temp\OnboardLogs" /stypes="*4052*201612141*" /stext=" 18:.+((SYSTEM_STATE.+slice.+state.+changed )|(ment ac)|(multiple cpu faults)|(system.+state.+changed )|(\[timeout)|(PRM\|1\|D)|(kpr)|(kdp)|(\|lc)|(penalty))" /e /r /s</v>
      </c>
      <c r="U18" s="9" t="str">
        <f t="shared" si="2"/>
        <v>4052</v>
      </c>
      <c r="V18" s="36">
        <f t="shared" si="3"/>
        <v>42718.756284722222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{"issue":{"subject":"","project_id":79,"tracker_id":40,"status_id":1,"priority_id":2,"assigned_to_id":23,"start_date":"2016-12-14","description":"","custom_fields":[{"id":1,"name":"Subdivision","value":"EC"},{"id":4,"name":"Milepost","value":"6.65"},{"id":17,"name":"Train ID","value":"150-14"},{"id":16,"name":"Locomotive ID","value":"4052"},{"id":130,"name":"Impact","value":""},{"id":150,"name":"Time of Event (Mountain Time)","value":"11:09:03"},{"id":151,"name":"Denver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"%USERPROFILE%\AppData\Local\Temp\OnboardLogs"\RTDC4052\*4052*201612141*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"%USERPROFILE%\AppData\Local\Temp\OnboardLogs"\RTDC4052\*4052*201612141* &gt;&gt; 42718-slicedisagreementcheck.txt</v>
      </c>
    </row>
    <row r="19" spans="1:30" s="1" customFormat="1" x14ac:dyDescent="0.25">
      <c r="A19" s="36">
        <v>42718.544317129628</v>
      </c>
      <c r="B19" s="31" t="s">
        <v>278</v>
      </c>
      <c r="C19" s="31" t="s">
        <v>438</v>
      </c>
      <c r="D19" s="31" t="s">
        <v>49</v>
      </c>
      <c r="E19" s="31" t="s">
        <v>279</v>
      </c>
      <c r="F19" s="47">
        <v>100</v>
      </c>
      <c r="G19" s="47">
        <v>319</v>
      </c>
      <c r="H19" s="47">
        <v>67530</v>
      </c>
      <c r="I19" s="47">
        <v>66875</v>
      </c>
      <c r="J19" s="31" t="s">
        <v>260</v>
      </c>
      <c r="K19" s="47">
        <v>66500</v>
      </c>
      <c r="L19" s="154" t="s">
        <v>51</v>
      </c>
      <c r="M19" s="155">
        <f t="shared" si="0"/>
        <v>198</v>
      </c>
      <c r="N19" s="156" t="str">
        <f>VLOOKUP(C19,'Trips&amp;Operators'!$C$1:$G$99999,5,FALSE)</f>
        <v>ADANE ELSHADAY</v>
      </c>
      <c r="O19" s="182" t="s">
        <v>196</v>
      </c>
      <c r="P19" s="157"/>
      <c r="Q19" s="31"/>
      <c r="R19" s="100" t="str">
        <f>VLOOKUP(C19,'Train Runs'!$A$13:$AE$9972,31,0)</f>
        <v>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 &amp; aws s3 cp s3://rtdc.mdm.uploadarchive.raw/RTDC4015/ "%USERPROFILE%\AppData\Local\Temp\OnboardLogs"\RTDC4015\2016-12-15 --exclude "*" --recursive --include "*20161215*" &amp; "%USERPROFILE%\Documents\GitHub\mrs-test-scripts\Headless Mode &amp; Sideloading\WalkAndUnGZ.bat" "%USERPROFILE%\AppData\Local\Temp\OnboardLogs"\RTDC4015\2016-12-15</v>
      </c>
      <c r="S19" s="103" t="str">
        <f>VLOOKUP(C19,'Train Runs'!$A$13:$AE$9972,22,0)</f>
        <v>https://search-rtdc-monitor-bjffxe2xuh6vdkpspy63sjmuny.us-east-1.es.amazonaws.com/_plugin/kibana/#/discover/Steve-Slow-Train-Analysis-(2080s-and-2083s)?_g=(refreshInterval:(display:Off,section:0,value:0),time:(from:'2016-12-14 11:31:36-700',mode:absolute,to:'2016-12-14 14:21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9" s="105" t="str">
        <f t="shared" si="1"/>
        <v>"C:\Program Files (x86)\AstroGrep\AstroGrep.exe" /spath="%USERPROFILE%\AppData\Local\Temp\OnboardLogs" /stypes="*4015*201612142*" /stext=" 20:.+((SYSTEM_STATE.+slice.+state.+changed )|(ment ac)|(multiple cpu faults)|(system.+state.+changed )|(\[timeout)|(PRM\|1\|D)|(kpr)|(kdp)|(\|lc)|(penalty))" /e /r /s</v>
      </c>
      <c r="U19" s="9" t="str">
        <f t="shared" si="2"/>
        <v>4015</v>
      </c>
      <c r="V19" s="36">
        <f t="shared" si="3"/>
        <v>42718.835983796293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{"issue":{"subject":"","project_id":79,"tracker_id":40,"status_id":1,"priority_id":2,"assigned_to_id":23,"start_date":"2016-12-14","description":"","custom_fields":[{"id":1,"name":"Subdivision","value":"EC"},{"id":4,"name":"Milepost","value":"6.65"},{"id":17,"name":"Train ID","value":"166-14"},{"id":16,"name":"Locomotive ID","value":"4015"},{"id":130,"name":"Impact","value":""},{"id":150,"name":"Time of Event (Mountain Time)","value":"13:03:49"},{"id":151,"name":"Denver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"%USERPROFILE%\AppData\Local\Temp\OnboardLogs"\RTDC4015\*4015*201612142*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"%USERPROFILE%\AppData\Local\Temp\OnboardLogs"\RTDC4015\*4015*201612142* &gt;&gt; 42718-slicedisagreementcheck.txt</v>
      </c>
    </row>
    <row r="20" spans="1:30" x14ac:dyDescent="0.25">
      <c r="A20" s="36">
        <v>42718.617418981485</v>
      </c>
      <c r="B20" s="31" t="s">
        <v>278</v>
      </c>
      <c r="C20" s="31" t="s">
        <v>439</v>
      </c>
      <c r="D20" s="31" t="s">
        <v>49</v>
      </c>
      <c r="E20" s="31" t="s">
        <v>279</v>
      </c>
      <c r="F20" s="47">
        <v>100</v>
      </c>
      <c r="G20" s="47">
        <v>247</v>
      </c>
      <c r="H20" s="47">
        <v>67196</v>
      </c>
      <c r="I20" s="47">
        <v>66795</v>
      </c>
      <c r="J20" s="31" t="s">
        <v>260</v>
      </c>
      <c r="K20" s="47">
        <v>66500</v>
      </c>
      <c r="L20" s="154" t="s">
        <v>51</v>
      </c>
      <c r="M20" s="155">
        <f t="shared" si="0"/>
        <v>155.76</v>
      </c>
      <c r="N20" s="156" t="str">
        <f>VLOOKUP(C20,'Trips&amp;Operators'!$C$1:$G$99999,5,FALSE)</f>
        <v>ADANE ELSHADAY</v>
      </c>
      <c r="O20" s="182" t="s">
        <v>196</v>
      </c>
      <c r="P20" s="157"/>
      <c r="Q20" s="31"/>
      <c r="R20" s="100" t="str">
        <f>VLOOKUP(C20,'Train Runs'!$A$13:$AE$9972,31,0)</f>
        <v>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 &amp; aws s3 cp s3://rtdc.mdm.uploadarchive.raw/RTDC4015/ "%USERPROFILE%\AppData\Local\Temp\OnboardLogs"\RTDC4015\2016-12-15 --exclude "*" --recursive --include "*20161215*" &amp; "%USERPROFILE%\Documents\GitHub\mrs-test-scripts\Headless Mode &amp; Sideloading\WalkAndUnGZ.bat" "%USERPROFILE%\AppData\Local\Temp\OnboardLogs"\RTDC4015\2016-12-15</v>
      </c>
      <c r="S20" s="103" t="str">
        <f>VLOOKUP(C20,'Train Runs'!$A$13:$AE$9972,22,0)</f>
        <v>https://search-rtdc-monitor-bjffxe2xuh6vdkpspy63sjmuny.us-east-1.es.amazonaws.com/_plugin/kibana/#/discover/Steve-Slow-Train-Analysis-(2080s-and-2083s)?_g=(refreshInterval:(display:Off,section:0,value:0),time:(from:'2016-12-14 13:07:45-700',mode:absolute,to:'2016-12-14 16:06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0" s="105" t="str">
        <f t="shared" si="1"/>
        <v>"C:\Program Files (x86)\AstroGrep\AstroGrep.exe" /spath="%USERPROFILE%\AppData\Local\Temp\OnboardLogs" /stypes="*4015*201612142*" /stext=" 21:.+((SYSTEM_STATE.+slice.+state.+changed )|(ment ac)|(multiple cpu faults)|(system.+state.+changed )|(\[timeout)|(PRM\|1\|D)|(kpr)|(kdp)|(\|lc)|(penalty))" /e /r /s</v>
      </c>
      <c r="U20" s="9" t="str">
        <f t="shared" si="2"/>
        <v>4015</v>
      </c>
      <c r="V20" s="36">
        <f t="shared" si="3"/>
        <v>42718.909085648149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{"issue":{"subject":"","project_id":79,"tracker_id":40,"status_id":1,"priority_id":2,"assigned_to_id":23,"start_date":"2016-12-14","description":"","custom_fields":[{"id":1,"name":"Subdivision","value":"EC"},{"id":4,"name":"Milepost","value":"6.65"},{"id":17,"name":"Train ID","value":"180-14"},{"id":16,"name":"Locomotive ID","value":"4015"},{"id":130,"name":"Impact","value":""},{"id":150,"name":"Time of Event (Mountain Time)","value":"14:49:05"},{"id":151,"name":"Denver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"%USERPROFILE%\AppData\Local\Temp\OnboardLogs"\RTDC4015\*4015*201612142*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"%USERPROFILE%\AppData\Local\Temp\OnboardLogs"\RTDC4015\*4015*201612142* &gt;&gt; 42718-slicedisagreementcheck.txt</v>
      </c>
    </row>
    <row r="21" spans="1:30" x14ac:dyDescent="0.25">
      <c r="A21" s="36">
        <v>42718.752569444441</v>
      </c>
      <c r="B21" s="31" t="s">
        <v>262</v>
      </c>
      <c r="C21" s="31" t="s">
        <v>445</v>
      </c>
      <c r="D21" s="31" t="s">
        <v>49</v>
      </c>
      <c r="E21" s="31" t="s">
        <v>279</v>
      </c>
      <c r="F21" s="47">
        <v>100</v>
      </c>
      <c r="G21" s="47">
        <v>337</v>
      </c>
      <c r="H21" s="47">
        <v>67854</v>
      </c>
      <c r="I21" s="47">
        <v>67045</v>
      </c>
      <c r="J21" s="31" t="s">
        <v>260</v>
      </c>
      <c r="K21" s="47">
        <v>66500</v>
      </c>
      <c r="L21" s="154" t="s">
        <v>51</v>
      </c>
      <c r="M21" s="155">
        <f t="shared" si="0"/>
        <v>287.76</v>
      </c>
      <c r="N21" s="156" t="str">
        <f>VLOOKUP(C21,'Trips&amp;Operators'!$C$1:$G$99999,5,FALSE)</f>
        <v>DUNCAN SHEILA</v>
      </c>
      <c r="O21" s="182" t="s">
        <v>196</v>
      </c>
      <c r="P21" s="157"/>
      <c r="Q21" s="31"/>
      <c r="R21" s="100" t="str">
        <f>VLOOKUP(C21,'Train Runs'!$A$13:$AE$9972,31,0)</f>
        <v>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 &amp; aws s3 cp s3://rtdc.mdm.uploadarchive.raw/RTDC4043/ "%USERPROFILE%\AppData\Local\Temp\OnboardLogs"\RTDC4043\2016-12-15 --exclude "*" --recursive --include "*20161215*" &amp; "%USERPROFILE%\Documents\GitHub\mrs-test-scripts\Headless Mode &amp; Sideloading\WalkAndUnGZ.bat" "%USERPROFILE%\AppData\Local\Temp\OnboardLogs"\RTDC4043\2016-12-15</v>
      </c>
      <c r="S21" s="103" t="str">
        <f>VLOOKUP(C21,'Train Runs'!$A$13:$AE$9972,22,0)</f>
        <v>https://search-rtdc-monitor-bjffxe2xuh6vdkpspy63sjmuny.us-east-1.es.amazonaws.com/_plugin/kibana/#/discover/Steve-Slow-Train-Analysis-(2080s-and-2083s)?_g=(refreshInterval:(display:Off,section:0,value:0),time:(from:'2016-12-14 16:37:08-700',mode:absolute,to:'2016-12-14 19:21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1" s="105" t="str">
        <f t="shared" si="1"/>
        <v>"C:\Program Files (x86)\AstroGrep\AstroGrep.exe" /spath="%USERPROFILE%\AppData\Local\Temp\OnboardLogs" /stypes="*4043*201612150*" /stext=" 01:.+((SYSTEM_STATE.+slice.+state.+changed )|(ment ac)|(multiple cpu faults)|(system.+state.+changed )|(\[timeout)|(PRM\|1\|D)|(kpr)|(kdp)|(\|lc)|(penalty))" /e /r /s</v>
      </c>
      <c r="U21" s="9" t="str">
        <f t="shared" si="2"/>
        <v>4043</v>
      </c>
      <c r="V21" s="36">
        <f t="shared" si="3"/>
        <v>42719.044236111105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{"issue":{"subject":"","project_id":79,"tracker_id":40,"status_id":1,"priority_id":2,"assigned_to_id":23,"start_date":"2016-12-14","description":"","custom_fields":[{"id":1,"name":"Subdivision","value":"EC"},{"id":4,"name":"Milepost","value":"6.65"},{"id":17,"name":"Train ID","value":"206-14"},{"id":16,"name":"Locomotive ID","value":"4043"},{"id":130,"name":"Impact","value":""},{"id":150,"name":"Time of Event (Mountain Time)","value":"18:03:42"},{"id":151,"name":"Denver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"%USERPROFILE%\AppData\Local\Temp\OnboardLogs"\RTDC4043\*4043*201612150*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"%USERPROFILE%\AppData\Local\Temp\OnboardLogs"\RTDC4043\*4043*201612150* &gt;&gt; 42718-slicedisagreementcheck.txt</v>
      </c>
    </row>
    <row r="22" spans="1:30" ht="15" customHeight="1" x14ac:dyDescent="0.25">
      <c r="A22" s="36">
        <v>42718.82540509259</v>
      </c>
      <c r="B22" s="31" t="s">
        <v>262</v>
      </c>
      <c r="C22" s="31" t="s">
        <v>447</v>
      </c>
      <c r="D22" s="31" t="s">
        <v>49</v>
      </c>
      <c r="E22" s="31" t="s">
        <v>279</v>
      </c>
      <c r="F22" s="47">
        <v>100</v>
      </c>
      <c r="G22" s="47">
        <v>586</v>
      </c>
      <c r="H22" s="47">
        <v>70593</v>
      </c>
      <c r="I22" s="47">
        <v>68556</v>
      </c>
      <c r="J22" s="31" t="s">
        <v>260</v>
      </c>
      <c r="K22" s="47">
        <v>66500</v>
      </c>
      <c r="L22" s="154" t="s">
        <v>51</v>
      </c>
      <c r="M22" s="155">
        <f t="shared" si="0"/>
        <v>1085.568</v>
      </c>
      <c r="N22" s="156" t="str">
        <f>VLOOKUP(C22,'Trips&amp;Operators'!$C$1:$G$99999,5,FALSE)</f>
        <v>PERKINS DARREN</v>
      </c>
      <c r="O22" s="182" t="s">
        <v>196</v>
      </c>
      <c r="P22" s="157"/>
      <c r="Q22" s="31"/>
      <c r="R22" s="100" t="str">
        <f>VLOOKUP(C22,'Train Runs'!$A$13:$AE$9972,31,0)</f>
        <v>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 &amp; aws s3 cp s3://rtdc.mdm.uploadarchive.raw/RTDC4043/ "%USERPROFILE%\AppData\Local\Temp\OnboardLogs"\RTDC4043\2016-12-15 --exclude "*" --recursive --include "*20161215*" &amp; "%USERPROFILE%\Documents\GitHub\mrs-test-scripts\Headless Mode &amp; Sideloading\WalkAndUnGZ.bat" "%USERPROFILE%\AppData\Local\Temp\OnboardLogs"\RTDC4043\2016-12-15</v>
      </c>
      <c r="S22" s="103" t="str">
        <f>VLOOKUP(C22,'Train Runs'!$A$13:$AE$9972,22,0)</f>
        <v>https://search-rtdc-monitor-bjffxe2xuh6vdkpspy63sjmuny.us-east-1.es.amazonaws.com/_plugin/kibana/#/discover/Steve-Slow-Train-Analysis-(2080s-and-2083s)?_g=(refreshInterval:(display:Off,section:0,value:0),time:(from:'2016-12-14 18:17:59-700',mode:absolute,to:'2016-12-14 21:08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2" s="105" t="str">
        <f t="shared" si="1"/>
        <v>"C:\Program Files (x86)\AstroGrep\AstroGrep.exe" /spath="%USERPROFILE%\AppData\Local\Temp\OnboardLogs" /stypes="*4043*201612150*" /stext=" 02:.+((SYSTEM_STATE.+slice.+state.+changed )|(ment ac)|(multiple cpu faults)|(system.+state.+changed )|(\[timeout)|(PRM\|1\|D)|(kpr)|(kdp)|(\|lc)|(penalty))" /e /r /s</v>
      </c>
      <c r="U22" s="9" t="str">
        <f t="shared" si="2"/>
        <v>4043</v>
      </c>
      <c r="V22" s="36">
        <f t="shared" si="3"/>
        <v>42719.117071759254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{"issue":{"subject":"","project_id":79,"tracker_id":40,"status_id":1,"priority_id":2,"assigned_to_id":23,"start_date":"2016-12-14","description":"","custom_fields":[{"id":1,"name":"Subdivision","value":"EC"},{"id":4,"name":"Milepost","value":"6.65"},{"id":17,"name":"Train ID","value":"220-14"},{"id":16,"name":"Locomotive ID","value":"4043"},{"id":130,"name":"Impact","value":""},{"id":150,"name":"Time of Event (Mountain Time)","value":"19:48:35"},{"id":151,"name":"Denver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"%USERPROFILE%\AppData\Local\Temp\OnboardLogs"\RTDC4043\*4043*201612150*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"%USERPROFILE%\AppData\Local\Temp\OnboardLogs"\RTDC4043\*4043*201612150* &gt;&gt; 42718-slicedisagreementcheck.txt</v>
      </c>
    </row>
    <row r="23" spans="1:30" x14ac:dyDescent="0.25">
      <c r="A23" s="36">
        <v>42719.054409722223</v>
      </c>
      <c r="B23" s="31" t="s">
        <v>280</v>
      </c>
      <c r="C23" s="31" t="s">
        <v>455</v>
      </c>
      <c r="D23" s="31" t="s">
        <v>49</v>
      </c>
      <c r="E23" s="31" t="s">
        <v>279</v>
      </c>
      <c r="F23" s="47">
        <v>100</v>
      </c>
      <c r="G23" s="47">
        <v>416</v>
      </c>
      <c r="H23" s="47">
        <v>68259</v>
      </c>
      <c r="I23" s="47">
        <v>67188</v>
      </c>
      <c r="J23" s="31" t="s">
        <v>260</v>
      </c>
      <c r="K23" s="47">
        <v>66500</v>
      </c>
      <c r="L23" s="154" t="s">
        <v>51</v>
      </c>
      <c r="M23" s="155">
        <f t="shared" si="0"/>
        <v>363.26400000000001</v>
      </c>
      <c r="N23" s="156" t="str">
        <f>VLOOKUP(C23,'Trips&amp;Operators'!$C$1:$G$99999,5,FALSE)</f>
        <v>LEVIN SCOTT</v>
      </c>
      <c r="O23" s="182" t="s">
        <v>196</v>
      </c>
      <c r="P23" s="157"/>
      <c r="Q23" s="31"/>
      <c r="R23" s="100" t="str">
        <f>VLOOKUP(C23,'Train Runs'!$A$13:$AE$9972,31,0)</f>
        <v>aws s3 cp s3://rtdc.mdm.uploadarchive.raw/RTDC4045/ "%USERPROFILE%\AppData\Local\Temp\OnboardLogs"\RTDC4045\2016-12-15 --exclude "*" --recursive --include "*20161215*" &amp; "%USERPROFILE%\Documents\GitHub\mrs-test-scripts\Headless Mode &amp; Sideloading\WalkAndUnGZ.bat" "%USERPROFILE%\AppData\Local\Temp\OnboardLogs"\RTDC4045\2016-12-15 &amp; aws s3 cp s3://rtdc.mdm.uploadarchive.raw/RTDC4045/ "%USERPROFILE%\AppData\Local\Temp\OnboardLogs"\RTDC4045\2016-12-16 --exclude "*" --recursive --include "*20161216*" &amp; "%USERPROFILE%\Documents\GitHub\mrs-test-scripts\Headless Mode &amp; Sideloading\WalkAndUnGZ.bat" "%USERPROFILE%\AppData\Local\Temp\OnboardLogs"\RTDC4045\2016-12-16</v>
      </c>
      <c r="S23" s="103" t="str">
        <f>VLOOKUP(C23,'Train Runs'!$A$13:$AE$9972,22,0)</f>
        <v>https://search-rtdc-monitor-bjffxe2xuh6vdkpspy63sjmuny.us-east-1.es.amazonaws.com/_plugin/kibana/#/discover/Steve-Slow-Train-Analysis-(2080s-and-2083s)?_g=(refreshInterval:(display:Off,section:0,value:0),time:(from:'2016-12-14 23:47:31-700',mode:absolute,to:'2016-12-15 02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3" s="105" t="str">
        <f t="shared" si="1"/>
        <v>"C:\Program Files (x86)\AstroGrep\AstroGrep.exe" /spath="%USERPROFILE%\AppData\Local\Temp\OnboardLogs" /stypes="*4045*201612150*" /stext=" 08:.+((SYSTEM_STATE.+slice.+state.+changed )|(ment ac)|(multiple cpu faults)|(system.+state.+changed )|(\[timeout)|(PRM\|1\|D)|(kpr)|(kdp)|(\|lc)|(penalty))" /e /r /s</v>
      </c>
      <c r="U23" s="9" t="str">
        <f t="shared" si="2"/>
        <v>4045</v>
      </c>
      <c r="V23" s="36">
        <f t="shared" si="3"/>
        <v>42719.346076388887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{"issue":{"subject":"","project_id":79,"tracker_id":40,"status_id":1,"priority_id":2,"assigned_to_id":23,"start_date":"2016-12-15","description":"","custom_fields":[{"id":1,"name":"Subdivision","value":"EC"},{"id":4,"name":"Milepost","value":"6.65"},{"id":17,"name":"Train ID","value":"242-14"},{"id":16,"name":"Locomotive ID","value":"4045"},{"id":130,"name":"Impact","value":""},{"id":150,"name":"Time of Event (Mountain Time)","value":"01:18:21"},{"id":151,"name":"Denver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"%USERPROFILE%\AppData\Local\Temp\OnboardLogs"\RTDC4045\*4045*201612150*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"%USERPROFILE%\AppData\Local\Temp\OnboardLogs"\RTDC4045\*4045*201612150* &gt;&gt; 42718-slicedisagreementcheck.txt</v>
      </c>
    </row>
    <row r="24" spans="1:30" x14ac:dyDescent="0.25">
      <c r="A24" s="36">
        <v>42718.335185185184</v>
      </c>
      <c r="B24" s="31" t="s">
        <v>353</v>
      </c>
      <c r="C24" s="31" t="s">
        <v>422</v>
      </c>
      <c r="D24" s="31" t="s">
        <v>98</v>
      </c>
      <c r="E24" s="31" t="s">
        <v>279</v>
      </c>
      <c r="F24" s="47">
        <v>150</v>
      </c>
      <c r="G24" s="47">
        <v>207</v>
      </c>
      <c r="H24" s="47">
        <v>154782</v>
      </c>
      <c r="I24" s="47">
        <v>155487</v>
      </c>
      <c r="J24" s="31" t="s">
        <v>260</v>
      </c>
      <c r="K24" s="47">
        <v>153500</v>
      </c>
      <c r="L24" s="154" t="s">
        <v>50</v>
      </c>
      <c r="M24" s="155">
        <f t="shared" si="0"/>
        <v>-1049.136</v>
      </c>
      <c r="N24" s="156" t="str">
        <f>VLOOKUP(C24,'Trips&amp;Operators'!$C$1:$G$99999,5,FALSE)</f>
        <v>BROWN JACOB</v>
      </c>
      <c r="O24" s="182" t="s">
        <v>196</v>
      </c>
      <c r="P24" s="157"/>
      <c r="Q24" s="31"/>
      <c r="R24" s="100" t="str">
        <f>VLOOKUP(C24,'Train Runs'!$A$13:$AE$9972,31,0)</f>
        <v>aws s3 cp s3://rtdc.mdm.uploadarchive.raw/RTDC4003/ "%USERPROFILE%\AppData\Local\Temp\OnboardLogs"\RTDC4003\2016-12-14 --exclude "*" --recursive --include "*20161214*" &amp; "%USERPROFILE%\Documents\GitHub\mrs-test-scripts\Headless Mode &amp; Sideloading\WalkAndUnGZ.bat" "%USERPROFILE%\AppData\Local\Temp\OnboardLogs"\RTDC4003\2016-12-14 &amp; aws s3 cp s3://rtdc.mdm.uploadarchive.raw/RTDC4003/ "%USERPROFILE%\AppData\Local\Temp\OnboardLogs"\RTDC4003\2016-12-15 --exclude "*" --recursive --include "*20161215*" &amp; "%USERPROFILE%\Documents\GitHub\mrs-test-scripts\Headless Mode &amp; Sideloading\WalkAndUnGZ.bat" "%USERPROFILE%\AppData\Local\Temp\OnboardLogs"\RTDC4003\2016-12-15</v>
      </c>
      <c r="S24" s="103" t="str">
        <f>VLOOKUP(C24,'Train Runs'!$A$13:$AE$9972,22,0)</f>
        <v>https://search-rtdc-monitor-bjffxe2xuh6vdkpspy63sjmuny.us-east-1.es.amazonaws.com/_plugin/kibana/#/discover/Steve-Slow-Train-Analysis-(2080s-and-2083s)?_g=(refreshInterval:(display:Off,section:0,value:0),time:(from:'2016-12-14 06:29:35-700',mode:absolute,to:'2016-12-14 09:12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24" s="105" t="str">
        <f t="shared" si="1"/>
        <v>"C:\Program Files (x86)\AstroGrep\AstroGrep.exe" /spath="%USERPROFILE%\AppData\Local\Temp\OnboardLogs" /stypes="*4003*201612141*" /stext=" 15:.+((SYSTEM_STATE.+slice.+state.+changed )|(ment ac)|(multiple cpu faults)|(system.+state.+changed )|(\[timeout)|(PRM\|1\|D)|(kpr)|(kdp)|(\|lc)|(penalty))" /e /r /s</v>
      </c>
      <c r="U24" s="9" t="str">
        <f t="shared" si="2"/>
        <v>4003</v>
      </c>
      <c r="V24" s="36">
        <f t="shared" si="3"/>
        <v>42718.626851851848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{"issue":{"subject":"","project_id":79,"tracker_id":40,"status_id":1,"priority_id":2,"assigned_to_id":23,"start_date":"2016-12-14","description":"","custom_fields":[{"id":1,"name":"Subdivision","value":"EC"},{"id":4,"name":"Milepost","value":"15.35"},{"id":17,"name":"Train ID","value":"131-14"},{"id":16,"name":"Locomotive ID","value":"4003"},{"id":130,"name":"Impact","value":""},{"id":150,"name":"Time of Event (Mountain Time)","value":"08:02:40"},{"id":151,"name":"Denver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"%USERPROFILE%\AppData\Local\Temp\OnboardLogs"\RTDC4003\*4003*201612141*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"%USERPROFILE%\AppData\Local\Temp\OnboardLogs"\RTDC4003\*4003*201612141* &gt;&gt; 42718-slicedisagreementcheck.txt</v>
      </c>
    </row>
    <row r="25" spans="1:30" x14ac:dyDescent="0.25">
      <c r="A25" s="36">
        <v>42718.235902777778</v>
      </c>
      <c r="B25" s="31" t="s">
        <v>155</v>
      </c>
      <c r="C25" s="31" t="s">
        <v>420</v>
      </c>
      <c r="D25" s="31" t="s">
        <v>98</v>
      </c>
      <c r="E25" s="31" t="s">
        <v>279</v>
      </c>
      <c r="F25" s="47">
        <v>150</v>
      </c>
      <c r="G25" s="47">
        <v>217</v>
      </c>
      <c r="H25" s="47">
        <v>153587</v>
      </c>
      <c r="I25" s="47">
        <v>153112</v>
      </c>
      <c r="J25" s="31" t="s">
        <v>260</v>
      </c>
      <c r="K25" s="47">
        <v>154400</v>
      </c>
      <c r="L25" s="154" t="s">
        <v>51</v>
      </c>
      <c r="M25" s="155">
        <f t="shared" si="0"/>
        <v>-680.06399999999996</v>
      </c>
      <c r="N25" s="156" t="str">
        <f>VLOOKUP(C25,'Trips&amp;Operators'!$C$1:$G$99999,5,FALSE)</f>
        <v>SPECTOR MICHAEL</v>
      </c>
      <c r="O25" s="182" t="s">
        <v>196</v>
      </c>
      <c r="P25" s="157"/>
      <c r="Q25" s="31"/>
      <c r="R25" s="100" t="str">
        <f>VLOOKUP(C25,'Train Runs'!$A$13:$AE$9972,31,0)</f>
        <v>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 &amp; aws s3 cp s3://rtdc.mdm.uploadarchive.raw/RTDC4052/ "%USERPROFILE%\AppData\Local\Temp\OnboardLogs"\RTDC4052\2016-12-15 --exclude "*" --recursive --include "*20161215*" &amp; "%USERPROFILE%\Documents\GitHub\mrs-test-scripts\Headless Mode &amp; Sideloading\WalkAndUnGZ.bat" "%USERPROFILE%\AppData\Local\Temp\OnboardLogs"\RTDC4052\2016-12-15</v>
      </c>
      <c r="S25" s="103" t="str">
        <f>VLOOKUP(C25,'Train Runs'!$A$13:$AE$9972,22,0)</f>
        <v>https://search-rtdc-monitor-bjffxe2xuh6vdkpspy63sjmuny.us-east-1.es.amazonaws.com/_plugin/kibana/#/discover/Steve-Slow-Train-Analysis-(2080s-and-2083s)?_g=(refreshInterval:(display:Off,section:0,value:0),time:(from:'2016-12-14 04:23:01-700',mode:absolute,to:'2016-12-14 07:11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25" s="105" t="str">
        <f t="shared" si="1"/>
        <v>"C:\Program Files (x86)\AstroGrep\AstroGrep.exe" /spath="%USERPROFILE%\AppData\Local\Temp\OnboardLogs" /stypes="*4052*201612141*" /stext=" 12:.+((SYSTEM_STATE.+slice.+state.+changed )|(ment ac)|(multiple cpu faults)|(system.+state.+changed )|(\[timeout)|(PRM\|1\|D)|(kpr)|(kdp)|(\|lc)|(penalty))" /e /r /s</v>
      </c>
      <c r="U25" s="9" t="str">
        <f t="shared" si="2"/>
        <v>4052</v>
      </c>
      <c r="V25" s="36">
        <f t="shared" si="3"/>
        <v>42718.527569444443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{"issue":{"subject":"","project_id":79,"tracker_id":40,"status_id":1,"priority_id":2,"assigned_to_id":23,"start_date":"2016-12-14","description":"","custom_fields":[{"id":1,"name":"Subdivision","value":"EC"},{"id":4,"name":"Milepost","value":"15.44"},{"id":17,"name":"Train ID","value":"108-14"},{"id":16,"name":"Locomotive ID","value":"4052"},{"id":130,"name":"Impact","value":""},{"id":150,"name":"Time of Event (Mountain Time)","value":"05:39:42"},{"id":151,"name":"Denver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"%USERPROFILE%\AppData\Local\Temp\OnboardLogs"\RTDC4052\*4052*201612141*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"%USERPROFILE%\AppData\Local\Temp\OnboardLogs"\RTDC4052\*4052*201612141* &gt;&gt; 42718-slicedisagreementcheck.txt</v>
      </c>
    </row>
    <row r="26" spans="1:30" x14ac:dyDescent="0.25">
      <c r="A26" s="36">
        <v>42718.244942129626</v>
      </c>
      <c r="B26" s="31" t="s">
        <v>278</v>
      </c>
      <c r="C26" s="31" t="s">
        <v>421</v>
      </c>
      <c r="D26" s="31" t="s">
        <v>98</v>
      </c>
      <c r="E26" s="31" t="s">
        <v>279</v>
      </c>
      <c r="F26" s="47">
        <v>150</v>
      </c>
      <c r="G26" s="47">
        <v>201</v>
      </c>
      <c r="H26" s="47">
        <v>153659</v>
      </c>
      <c r="I26" s="47">
        <v>153123</v>
      </c>
      <c r="J26" s="31" t="s">
        <v>260</v>
      </c>
      <c r="K26" s="47">
        <v>154400</v>
      </c>
      <c r="L26" s="154" t="s">
        <v>51</v>
      </c>
      <c r="M26" s="155">
        <f t="shared" si="0"/>
        <v>-674.25600000000009</v>
      </c>
      <c r="N26" s="156" t="str">
        <f>VLOOKUP(C26,'Trips&amp;Operators'!$C$1:$G$99999,5,FALSE)</f>
        <v>DAVIS MICHAEL</v>
      </c>
      <c r="O26" s="182" t="s">
        <v>196</v>
      </c>
      <c r="P26" s="157"/>
      <c r="Q26" s="31"/>
      <c r="R26" s="100" t="str">
        <f>VLOOKUP(C26,'Train Runs'!$A$13:$AE$9972,31,0)</f>
        <v>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 &amp; aws s3 cp s3://rtdc.mdm.uploadarchive.raw/RTDC4015/ "%USERPROFILE%\AppData\Local\Temp\OnboardLogs"\RTDC4015\2016-12-15 --exclude "*" --recursive --include "*20161215*" &amp; "%USERPROFILE%\Documents\GitHub\mrs-test-scripts\Headless Mode &amp; Sideloading\WalkAndUnGZ.bat" "%USERPROFILE%\AppData\Local\Temp\OnboardLogs"\RTDC4015\2016-12-15</v>
      </c>
      <c r="S26" s="103" t="str">
        <f>VLOOKUP(C26,'Train Runs'!$A$13:$AE$9972,22,0)</f>
        <v>https://search-rtdc-monitor-bjffxe2xuh6vdkpspy63sjmuny.us-east-1.es.amazonaws.com/_plugin/kibana/#/discover/Steve-Slow-Train-Analysis-(2080s-and-2083s)?_g=(refreshInterval:(display:Off,section:0,value:0),time:(from:'2016-12-14 04:35:41-700',mode:absolute,to:'2016-12-14 07:25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6" s="105" t="str">
        <f t="shared" si="1"/>
        <v>"C:\Program Files (x86)\AstroGrep\AstroGrep.exe" /spath="%USERPROFILE%\AppData\Local\Temp\OnboardLogs" /stypes="*4015*201612141*" /stext=" 12:.+((SYSTEM_STATE.+slice.+state.+changed )|(ment ac)|(multiple cpu faults)|(system.+state.+changed )|(\[timeout)|(PRM\|1\|D)|(kpr)|(kdp)|(\|lc)|(penalty))" /e /r /s</v>
      </c>
      <c r="U26" s="9" t="str">
        <f t="shared" si="2"/>
        <v>4015</v>
      </c>
      <c r="V26" s="36">
        <f t="shared" si="3"/>
        <v>42718.53660879629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{"issue":{"subject":"","project_id":79,"tracker_id":40,"status_id":1,"priority_id":2,"assigned_to_id":23,"start_date":"2016-12-14","description":"","custom_fields":[{"id":1,"name":"Subdivision","value":"EC"},{"id":4,"name":"Milepost","value":"15.44"},{"id":17,"name":"Train ID","value":"110-14"},{"id":16,"name":"Locomotive ID","value":"4015"},{"id":130,"name":"Impact","value":""},{"id":150,"name":"Time of Event (Mountain Time)","value":"05:52:43"},{"id":151,"name":"Denver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"%USERPROFILE%\AppData\Local\Temp\OnboardLogs"\RTDC4015\*4015*201612141*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"%USERPROFILE%\AppData\Local\Temp\OnboardLogs"\RTDC4015\*4015*201612141* &gt;&gt; 42718-slicedisagreementcheck.txt</v>
      </c>
    </row>
    <row r="27" spans="1:30" x14ac:dyDescent="0.25">
      <c r="A27" s="36">
        <v>42718.327546296299</v>
      </c>
      <c r="B27" s="31" t="s">
        <v>155</v>
      </c>
      <c r="C27" s="31" t="s">
        <v>423</v>
      </c>
      <c r="D27" s="31" t="s">
        <v>49</v>
      </c>
      <c r="E27" s="31" t="s">
        <v>201</v>
      </c>
      <c r="F27" s="47">
        <v>0</v>
      </c>
      <c r="G27" s="47">
        <v>52</v>
      </c>
      <c r="H27" s="47">
        <v>181</v>
      </c>
      <c r="I27" s="47">
        <v>130</v>
      </c>
      <c r="J27" s="31" t="s">
        <v>202</v>
      </c>
      <c r="K27" s="47">
        <v>1</v>
      </c>
      <c r="L27" s="154" t="s">
        <v>51</v>
      </c>
      <c r="M27" s="155">
        <f t="shared" si="0"/>
        <v>68.111999999999995</v>
      </c>
      <c r="N27" s="156" t="str">
        <f>VLOOKUP(C27,'Trips&amp;Operators'!$C$1:$G$99999,5,FALSE)</f>
        <v>SPECTOR MICHAEL</v>
      </c>
      <c r="O27" s="182" t="s">
        <v>196</v>
      </c>
      <c r="P27" s="157"/>
      <c r="Q27" s="31"/>
      <c r="R27" s="100" t="str">
        <f>VLOOKUP(C27,'Train Runs'!$A$13:$AE$9972,31,0)</f>
        <v>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 &amp; aws s3 cp s3://rtdc.mdm.uploadarchive.raw/RTDC4052/ "%USERPROFILE%\AppData\Local\Temp\OnboardLogs"\RTDC4052\2016-12-15 --exclude "*" --recursive --include "*20161215*" &amp; "%USERPROFILE%\Documents\GitHub\mrs-test-scripts\Headless Mode &amp; Sideloading\WalkAndUnGZ.bat" "%USERPROFILE%\AppData\Local\Temp\OnboardLogs"\RTDC4052\2016-12-15</v>
      </c>
      <c r="S27" s="103" t="str">
        <f>VLOOKUP(C27,'Train Runs'!$A$13:$AE$9972,22,0)</f>
        <v>https://search-rtdc-monitor-bjffxe2xuh6vdkpspy63sjmuny.us-east-1.es.amazonaws.com/_plugin/kibana/#/discover/Steve-Slow-Train-Analysis-(2080s-and-2083s)?_g=(refreshInterval:(display:Off,section:0,value:0),time:(from:'2016-12-14 06:05:10-700',mode:absolute,to:'2016-12-14 08:51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27" s="105" t="str">
        <f t="shared" si="1"/>
        <v>"C:\Program Files (x86)\AstroGrep\AstroGrep.exe" /spath="%USERPROFILE%\AppData\Local\Temp\OnboardLogs" /stypes="*4052*201612141*" /stext=" 14:.+((SYSTEM_STATE.+slice.+state.+changed )|(ment ac)|(multiple cpu faults)|(system.+state.+changed )|(\[timeout)|(PRM\|1\|D)|(kpr)|(kdp)|(\|lc)|(penalty))" /e /r /s</v>
      </c>
      <c r="U27" s="9" t="str">
        <f t="shared" si="2"/>
        <v>4052</v>
      </c>
      <c r="V27" s="36">
        <f t="shared" si="3"/>
        <v>42718.619212962964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{"issue":{"subject":"","project_id":79,"tracker_id":40,"status_id":1,"priority_id":2,"assigned_to_id":23,"start_date":"2016-12-14","description":"","custom_fields":[{"id":1,"name":"Subdivision","value":"EC"},{"id":4,"name":"Milepost","value":"0.0001"},{"id":17,"name":"Train ID","value":"122-14"},{"id":16,"name":"Locomotive ID","value":"4052"},{"id":130,"name":"Impact","value":""},{"id":150,"name":"Time of Event (Mountain Time)","value":"07:51:40"},{"id":151,"name":"Denver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"%USERPROFILE%\AppData\Local\Temp\OnboardLogs"\RTDC4052\*4052*201612141*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"%USERPROFILE%\AppData\Local\Temp\OnboardLogs"\RTDC4052\*4052*201612141* &gt;&gt; 42718-slicedisagreementcheck.txt</v>
      </c>
    </row>
    <row r="28" spans="1:30" ht="15" customHeight="1" x14ac:dyDescent="0.25">
      <c r="A28" s="36">
        <v>42718.492800925924</v>
      </c>
      <c r="B28" s="31" t="s">
        <v>209</v>
      </c>
      <c r="C28" s="31" t="s">
        <v>434</v>
      </c>
      <c r="D28" s="31" t="s">
        <v>49</v>
      </c>
      <c r="E28" s="31" t="s">
        <v>201</v>
      </c>
      <c r="F28" s="47">
        <v>0</v>
      </c>
      <c r="G28" s="47">
        <v>46</v>
      </c>
      <c r="H28" s="47">
        <v>154</v>
      </c>
      <c r="I28" s="47">
        <v>127</v>
      </c>
      <c r="J28" s="31" t="s">
        <v>202</v>
      </c>
      <c r="K28" s="47">
        <v>1</v>
      </c>
      <c r="L28" s="154" t="s">
        <v>51</v>
      </c>
      <c r="M28" s="155">
        <f t="shared" si="0"/>
        <v>66.528000000000006</v>
      </c>
      <c r="N28" s="156" t="str">
        <f>VLOOKUP(C28,'Trips&amp;Operators'!$C$1:$G$99999,5,FALSE)</f>
        <v>ROCHA YAOTL</v>
      </c>
      <c r="O28" s="182" t="s">
        <v>230</v>
      </c>
      <c r="P28" s="157" t="s">
        <v>969</v>
      </c>
      <c r="Q28" s="31"/>
      <c r="R28" s="100" t="str">
        <f>VLOOKUP(C28,'Train Runs'!$A$13:$AE$9972,31,0)</f>
        <v>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 &amp; aws s3 cp s3://rtdc.mdm.uploadarchive.raw/RTDC4039/ "%USERPROFILE%\AppData\Local\Temp\OnboardLogs"\RTDC4039\2016-12-15 --exclude "*" --recursive --include "*20161215*" &amp; "%USERPROFILE%\Documents\GitHub\mrs-test-scripts\Headless Mode &amp; Sideloading\WalkAndUnGZ.bat" "%USERPROFILE%\AppData\Local\Temp\OnboardLogs"\RTDC4039\2016-12-15</v>
      </c>
      <c r="S28" s="103" t="str">
        <f>VLOOKUP(C28,'Train Runs'!$A$13:$AE$9972,22,0)</f>
        <v>https://search-rtdc-monitor-bjffxe2xuh6vdkpspy63sjmuny.us-east-1.es.amazonaws.com/_plugin/kibana/#/discover/Steve-Slow-Train-Analysis-(2080s-and-2083s)?_g=(refreshInterval:(display:Off,section:0,value:0),time:(from:'2016-12-14 10:07:10-700',mode:absolute,to:'2016-12-14 12:49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8" s="105" t="str">
        <f t="shared" si="1"/>
        <v>"C:\Program Files (x86)\AstroGrep\AstroGrep.exe" /spath="%USERPROFILE%\AppData\Local\Temp\OnboardLogs" /stypes="*4039*201612141*" /stext=" 18:.+((SYSTEM_STATE.+slice.+state.+changed )|(ment ac)|(multiple cpu faults)|(system.+state.+changed )|(\[timeout)|(PRM\|1\|D)|(kpr)|(kdp)|(\|lc)|(penalty))" /e /r /s</v>
      </c>
      <c r="U28" s="9" t="str">
        <f t="shared" si="2"/>
        <v>4039</v>
      </c>
      <c r="V28" s="36">
        <f t="shared" si="3"/>
        <v>42718.784467592588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{"issue":{"subject":"Banner without braking","project_id":79,"tracker_id":40,"status_id":1,"priority_id":2,"assigned_to_id":23,"start_date":"2016-12-14","description":"","custom_fields":[{"id":1,"name":"Subdivision","value":"EC"},{"id":4,"name":"Milepost","value":"0.0001"},{"id":17,"name":"Train ID","value":"154-14"},{"id":16,"name":"Locomotive ID","value":"4039"},{"id":130,"name":"Impact","value":""},{"id":150,"name":"Time of Event (Mountain Time)","value":"11:49:38"},{"id":151,"name":"Denver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"%USERPROFILE%\AppData\Local\Temp\OnboardLogs"\RTDC4039\*4039*201612141*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"%USERPROFILE%\AppData\Local\Temp\OnboardLogs"\RTDC4039\*4039*201612141* &gt;&gt; 42718-slicedisagreementcheck.txt</v>
      </c>
    </row>
    <row r="29" spans="1:30" ht="15" customHeight="1" x14ac:dyDescent="0.25">
      <c r="A29" s="36">
        <v>42718.514189814814</v>
      </c>
      <c r="B29" s="31" t="s">
        <v>321</v>
      </c>
      <c r="C29" s="31" t="s">
        <v>436</v>
      </c>
      <c r="D29" s="31" t="s">
        <v>49</v>
      </c>
      <c r="E29" s="31" t="s">
        <v>201</v>
      </c>
      <c r="F29" s="47">
        <v>0</v>
      </c>
      <c r="G29" s="47">
        <v>71</v>
      </c>
      <c r="H29" s="47">
        <v>181</v>
      </c>
      <c r="I29" s="47">
        <v>110</v>
      </c>
      <c r="J29" s="31" t="s">
        <v>202</v>
      </c>
      <c r="K29" s="47">
        <v>1</v>
      </c>
      <c r="L29" s="154" t="s">
        <v>51</v>
      </c>
      <c r="M29" s="155">
        <f t="shared" si="0"/>
        <v>57.552</v>
      </c>
      <c r="N29" s="156" t="str">
        <f>VLOOKUP(C29,'Trips&amp;Operators'!$C$1:$G$99999,5,FALSE)</f>
        <v>HILLS DUSTIN</v>
      </c>
      <c r="O29" s="182" t="s">
        <v>196</v>
      </c>
      <c r="P29" s="157"/>
      <c r="Q29" s="31"/>
      <c r="R29" s="100" t="str">
        <f>VLOOKUP(C29,'Train Runs'!$A$13:$AE$9972,31,0)</f>
        <v>aws s3 cp s3://rtdc.mdm.uploadarchive.raw/RTDC4013/ "%USERPROFILE%\AppData\Local\Temp\OnboardLogs"\RTDC4013\2016-12-14 --exclude "*" --recursive --include "*20161214*" &amp; "%USERPROFILE%\Documents\GitHub\mrs-test-scripts\Headless Mode &amp; Sideloading\WalkAndUnGZ.bat" "%USERPROFILE%\AppData\Local\Temp\OnboardLogs"\RTDC4013\2016-12-14 &amp; aws s3 cp s3://rtdc.mdm.uploadarchive.raw/RTDC4013/ "%USERPROFILE%\AppData\Local\Temp\OnboardLogs"\RTDC4013\2016-12-15 --exclude "*" --recursive --include "*20161215*" &amp; "%USERPROFILE%\Documents\GitHub\mrs-test-scripts\Headless Mode &amp; Sideloading\WalkAndUnGZ.bat" "%USERPROFILE%\AppData\Local\Temp\OnboardLogs"\RTDC4013\2016-12-15</v>
      </c>
      <c r="S29" s="103" t="str">
        <f>VLOOKUP(C29,'Train Runs'!$A$13:$AE$9972,22,0)</f>
        <v>https://search-rtdc-monitor-bjffxe2xuh6vdkpspy63sjmuny.us-east-1.es.amazonaws.com/_plugin/kibana/#/discover/Steve-Slow-Train-Analysis-(2080s-and-2083s)?_g=(refreshInterval:(display:Off,section:0,value:0),time:(from:'2016-12-14 10:28:59-700',mode:absolute,to:'2016-12-14 13:20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9" s="105" t="str">
        <f t="shared" si="1"/>
        <v>"C:\Program Files (x86)\AstroGrep\AstroGrep.exe" /spath="%USERPROFILE%\AppData\Local\Temp\OnboardLogs" /stypes="*4013*201612141*" /stext=" 19:.+((SYSTEM_STATE.+slice.+state.+changed )|(ment ac)|(multiple cpu faults)|(system.+state.+changed )|(\[timeout)|(PRM\|1\|D)|(kpr)|(kdp)|(\|lc)|(penalty))" /e /r /s</v>
      </c>
      <c r="U29" s="9" t="str">
        <f t="shared" si="2"/>
        <v>4013</v>
      </c>
      <c r="V29" s="36">
        <f t="shared" si="3"/>
        <v>42718.805856481478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{"issue":{"subject":"","project_id":79,"tracker_id":40,"status_id":1,"priority_id":2,"assigned_to_id":23,"start_date":"2016-12-14","description":"","custom_fields":[{"id":1,"name":"Subdivision","value":"EC"},{"id":4,"name":"Milepost","value":"0.0001"},{"id":17,"name":"Train ID","value":"158-14"},{"id":16,"name":"Locomotive ID","value":"4013"},{"id":130,"name":"Impact","value":""},{"id":150,"name":"Time of Event (Mountain Time)","value":"12:20:26"},{"id":151,"name":"Denver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"%USERPROFILE%\AppData\Local\Temp\OnboardLogs"\RTDC4013\*4013*201612141*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"%USERPROFILE%\AppData\Local\Temp\OnboardLogs"\RTDC4013\*4013*201612141* &gt;&gt; 42718-slicedisagreementcheck.txt</v>
      </c>
    </row>
    <row r="30" spans="1:30" x14ac:dyDescent="0.25">
      <c r="A30" s="36">
        <v>42718.702569444446</v>
      </c>
      <c r="B30" s="31" t="s">
        <v>278</v>
      </c>
      <c r="C30" s="31" t="s">
        <v>442</v>
      </c>
      <c r="D30" s="31" t="s">
        <v>49</v>
      </c>
      <c r="E30" s="31" t="s">
        <v>201</v>
      </c>
      <c r="F30" s="47">
        <v>0</v>
      </c>
      <c r="G30" s="47">
        <v>127</v>
      </c>
      <c r="H30" s="47">
        <v>877</v>
      </c>
      <c r="I30" s="47">
        <v>750</v>
      </c>
      <c r="J30" s="31" t="s">
        <v>202</v>
      </c>
      <c r="K30" s="47">
        <v>1</v>
      </c>
      <c r="L30" s="154" t="s">
        <v>51</v>
      </c>
      <c r="M30" s="155">
        <f t="shared" si="0"/>
        <v>395.47199999999998</v>
      </c>
      <c r="N30" s="156" t="str">
        <f>VLOOKUP(C30,'Trips&amp;Operators'!$C$1:$G$99999,5,FALSE)</f>
        <v>ADANE ELSHADAY</v>
      </c>
      <c r="O30" s="182" t="s">
        <v>230</v>
      </c>
      <c r="P30" s="157" t="s">
        <v>969</v>
      </c>
      <c r="Q30" s="31"/>
      <c r="R30" s="100" t="str">
        <f>VLOOKUP(C30,'Train Runs'!$A$13:$AE$9972,31,0)</f>
        <v>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 &amp; aws s3 cp s3://rtdc.mdm.uploadarchive.raw/RTDC4015/ "%USERPROFILE%\AppData\Local\Temp\OnboardLogs"\RTDC4015\2016-12-15 --exclude "*" --recursive --include "*20161215*" &amp; "%USERPROFILE%\Documents\GitHub\mrs-test-scripts\Headless Mode &amp; Sideloading\WalkAndUnGZ.bat" "%USERPROFILE%\AppData\Local\Temp\OnboardLogs"\RTDC4015\2016-12-15</v>
      </c>
      <c r="S30" s="103" t="str">
        <f>VLOOKUP(C30,'Train Runs'!$A$13:$AE$9972,22,0)</f>
        <v>https://search-rtdc-monitor-bjffxe2xuh6vdkpspy63sjmuny.us-east-1.es.amazonaws.com/_plugin/kibana/#/discover/Steve-Slow-Train-Analysis-(2080s-and-2083s)?_g=(refreshInterval:(display:Off,section:0,value:0),time:(from:'2016-12-14 14:54:39-700',mode:absolute,to:'2016-12-14 17:53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0" s="105" t="str">
        <f t="shared" si="1"/>
        <v>"C:\Program Files (x86)\AstroGrep\AstroGrep.exe" /spath="%USERPROFILE%\AppData\Local\Temp\OnboardLogs" /stypes="*4015*201612142*" /stext=" 23:.+((SYSTEM_STATE.+slice.+state.+changed )|(ment ac)|(multiple cpu faults)|(system.+state.+changed )|(\[timeout)|(PRM\|1\|D)|(kpr)|(kdp)|(\|lc)|(penalty))" /e /r /s</v>
      </c>
      <c r="U30" s="9" t="str">
        <f t="shared" si="2"/>
        <v>4015</v>
      </c>
      <c r="V30" s="36">
        <f t="shared" si="3"/>
        <v>42718.99423611111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{"issue":{"subject":"Banner without braking","project_id":79,"tracker_id":40,"status_id":1,"priority_id":2,"assigned_to_id":23,"start_date":"2016-12-14","description":"","custom_fields":[{"id":1,"name":"Subdivision","value":"EC"},{"id":4,"name":"Milepost","value":"0.0001"},{"id":17,"name":"Train ID","value":"194-14"},{"id":16,"name":"Locomotive ID","value":"4015"},{"id":130,"name":"Impact","value":""},{"id":150,"name":"Time of Event (Mountain Time)","value":"16:51:42"},{"id":151,"name":"Denver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"%USERPROFILE%\AppData\Local\Temp\OnboardLogs"\RTDC4015\*4015*201612142*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"%USERPROFILE%\AppData\Local\Temp\OnboardLogs"\RTDC4015\*4015*201612142* &gt;&gt; 42718-slicedisagreementcheck.txt</v>
      </c>
    </row>
    <row r="31" spans="1:30" x14ac:dyDescent="0.25">
      <c r="A31" s="36">
        <v>42718.703032407408</v>
      </c>
      <c r="B31" s="31" t="s">
        <v>278</v>
      </c>
      <c r="C31" s="31" t="s">
        <v>442</v>
      </c>
      <c r="D31" s="31" t="s">
        <v>49</v>
      </c>
      <c r="E31" s="31" t="s">
        <v>201</v>
      </c>
      <c r="F31" s="47">
        <v>0</v>
      </c>
      <c r="G31" s="47">
        <v>88</v>
      </c>
      <c r="H31" s="47">
        <v>599</v>
      </c>
      <c r="I31" s="47">
        <v>502</v>
      </c>
      <c r="J31" s="31" t="s">
        <v>202</v>
      </c>
      <c r="K31" s="47">
        <v>1</v>
      </c>
      <c r="L31" s="154" t="s">
        <v>51</v>
      </c>
      <c r="M31" s="155">
        <f t="shared" si="0"/>
        <v>264.52800000000002</v>
      </c>
      <c r="N31" s="156" t="str">
        <f>VLOOKUP(C31,'Trips&amp;Operators'!$C$1:$G$99999,5,FALSE)</f>
        <v>ADANE ELSHADAY</v>
      </c>
      <c r="O31" s="182" t="s">
        <v>230</v>
      </c>
      <c r="P31" s="157" t="s">
        <v>969</v>
      </c>
      <c r="Q31" s="31"/>
      <c r="R31" s="100" t="str">
        <f>VLOOKUP(C31,'Train Runs'!$A$13:$AE$9972,31,0)</f>
        <v>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 &amp; aws s3 cp s3://rtdc.mdm.uploadarchive.raw/RTDC4015/ "%USERPROFILE%\AppData\Local\Temp\OnboardLogs"\RTDC4015\2016-12-15 --exclude "*" --recursive --include "*20161215*" &amp; "%USERPROFILE%\Documents\GitHub\mrs-test-scripts\Headless Mode &amp; Sideloading\WalkAndUnGZ.bat" "%USERPROFILE%\AppData\Local\Temp\OnboardLogs"\RTDC4015\2016-12-15</v>
      </c>
      <c r="S31" s="103" t="str">
        <f>VLOOKUP(C31,'Train Runs'!$A$13:$AE$9972,22,0)</f>
        <v>https://search-rtdc-monitor-bjffxe2xuh6vdkpspy63sjmuny.us-east-1.es.amazonaws.com/_plugin/kibana/#/discover/Steve-Slow-Train-Analysis-(2080s-and-2083s)?_g=(refreshInterval:(display:Off,section:0,value:0),time:(from:'2016-12-14 14:54:39-700',mode:absolute,to:'2016-12-14 17:53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1" s="105" t="str">
        <f t="shared" si="1"/>
        <v>"C:\Program Files (x86)\AstroGrep\AstroGrep.exe" /spath="%USERPROFILE%\AppData\Local\Temp\OnboardLogs" /stypes="*4015*201612142*" /stext=" 23:.+((SYSTEM_STATE.+slice.+state.+changed )|(ment ac)|(multiple cpu faults)|(system.+state.+changed )|(\[timeout)|(PRM\|1\|D)|(kpr)|(kdp)|(\|lc)|(penalty))" /e /r /s</v>
      </c>
      <c r="U31" s="9" t="str">
        <f t="shared" si="2"/>
        <v>4015</v>
      </c>
      <c r="V31" s="36">
        <f t="shared" si="3"/>
        <v>42718.994699074072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{"issue":{"subject":"Banner without braking","project_id":79,"tracker_id":40,"status_id":1,"priority_id":2,"assigned_to_id":23,"start_date":"2016-12-14","description":"","custom_fields":[{"id":1,"name":"Subdivision","value":"EC"},{"id":4,"name":"Milepost","value":"0.0001"},{"id":17,"name":"Train ID","value":"194-14"},{"id":16,"name":"Locomotive ID","value":"4015"},{"id":130,"name":"Impact","value":""},{"id":150,"name":"Time of Event (Mountain Time)","value":"16:52:22"},{"id":151,"name":"Denver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"%USERPROFILE%\AppData\Local\Temp\OnboardLogs"\RTDC4015\*4015*201612142*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"%USERPROFILE%\AppData\Local\Temp\OnboardLogs"\RTDC4015\*4015*201612142* &gt;&gt; 42718-slicedisagreementcheck.txt</v>
      </c>
    </row>
    <row r="32" spans="1:30" x14ac:dyDescent="0.25">
      <c r="A32" s="36">
        <v>42718.856678240743</v>
      </c>
      <c r="B32" s="31" t="s">
        <v>209</v>
      </c>
      <c r="C32" s="31" t="s">
        <v>448</v>
      </c>
      <c r="D32" s="31" t="s">
        <v>49</v>
      </c>
      <c r="E32" s="31" t="s">
        <v>201</v>
      </c>
      <c r="F32" s="47">
        <v>0</v>
      </c>
      <c r="G32" s="47">
        <v>52</v>
      </c>
      <c r="H32" s="47">
        <v>187</v>
      </c>
      <c r="I32" s="47">
        <v>145</v>
      </c>
      <c r="J32" s="31" t="s">
        <v>202</v>
      </c>
      <c r="K32" s="47">
        <v>1</v>
      </c>
      <c r="L32" s="154" t="s">
        <v>51</v>
      </c>
      <c r="M32" s="155">
        <f t="shared" si="0"/>
        <v>76.031999999999996</v>
      </c>
      <c r="N32" s="156" t="str">
        <f>VLOOKUP(C32,'Trips&amp;Operators'!$C$1:$G$99999,5,FALSE)</f>
        <v>STAMBAUGH JAMES</v>
      </c>
      <c r="O32" s="182" t="s">
        <v>196</v>
      </c>
      <c r="P32" s="157"/>
      <c r="Q32" s="31"/>
      <c r="R32" s="100" t="str">
        <f>VLOOKUP(C32,'Train Runs'!$A$13:$AE$9972,31,0)</f>
        <v>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 &amp; aws s3 cp s3://rtdc.mdm.uploadarchive.raw/RTDC4039/ "%USERPROFILE%\AppData\Local\Temp\OnboardLogs"\RTDC4039\2016-12-15 --exclude "*" --recursive --include "*20161215*" &amp; "%USERPROFILE%\Documents\GitHub\mrs-test-scripts\Headless Mode &amp; Sideloading\WalkAndUnGZ.bat" "%USERPROFILE%\AppData\Local\Temp\OnboardLogs"\RTDC4039\2016-12-15</v>
      </c>
      <c r="S32" s="103" t="str">
        <f>VLOOKUP(C32,'Train Runs'!$A$13:$AE$9972,22,0)</f>
        <v>https://search-rtdc-monitor-bjffxe2xuh6vdkpspy63sjmuny.us-east-1.es.amazonaws.com/_plugin/kibana/#/discover/Steve-Slow-Train-Analysis-(2080s-and-2083s)?_g=(refreshInterval:(display:Off,section:0,value:0),time:(from:'2016-12-14 18:51:34-700',mode:absolute,to:'2016-12-14 21:33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2" s="105" t="str">
        <f t="shared" si="1"/>
        <v>"C:\Program Files (x86)\AstroGrep\AstroGrep.exe" /spath="%USERPROFILE%\AppData\Local\Temp\OnboardLogs" /stypes="*4039*201612150*" /stext=" 03:.+((SYSTEM_STATE.+slice.+state.+changed )|(ment ac)|(multiple cpu faults)|(system.+state.+changed )|(\[timeout)|(PRM\|1\|D)|(kpr)|(kdp)|(\|lc)|(penalty))" /e /r /s</v>
      </c>
      <c r="U32" s="9" t="str">
        <f t="shared" si="2"/>
        <v>4039</v>
      </c>
      <c r="V32" s="36">
        <f t="shared" si="3"/>
        <v>42719.148344907408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{"issue":{"subject":"","project_id":79,"tracker_id":40,"status_id":1,"priority_id":2,"assigned_to_id":23,"start_date":"2016-12-14","description":"","custom_fields":[{"id":1,"name":"Subdivision","value":"EC"},{"id":4,"name":"Milepost","value":"0.0001"},{"id":17,"name":"Train ID","value":"222-14"},{"id":16,"name":"Locomotive ID","value":"4039"},{"id":130,"name":"Impact","value":""},{"id":150,"name":"Time of Event (Mountain Time)","value":"20:33:37"},{"id":151,"name":"Denver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"%USERPROFILE%\AppData\Local\Temp\OnboardLogs"\RTDC4039\*4039*201612150*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"%USERPROFILE%\AppData\Local\Temp\OnboardLogs"\RTDC4039\*4039*201612150* &gt;&gt; 42718-slicedisagreementcheck.txt</v>
      </c>
    </row>
    <row r="33" spans="1:30" x14ac:dyDescent="0.25">
      <c r="A33" s="36">
        <v>42718.882094907407</v>
      </c>
      <c r="B33" s="31" t="s">
        <v>321</v>
      </c>
      <c r="C33" s="31" t="s">
        <v>450</v>
      </c>
      <c r="D33" s="31" t="s">
        <v>49</v>
      </c>
      <c r="E33" s="31" t="s">
        <v>201</v>
      </c>
      <c r="F33" s="47">
        <v>0</v>
      </c>
      <c r="G33" s="47">
        <v>57</v>
      </c>
      <c r="H33" s="47">
        <v>212</v>
      </c>
      <c r="I33" s="47">
        <v>156</v>
      </c>
      <c r="J33" s="31" t="s">
        <v>202</v>
      </c>
      <c r="K33" s="47">
        <v>1</v>
      </c>
      <c r="L33" s="154" t="s">
        <v>51</v>
      </c>
      <c r="M33" s="155">
        <f t="shared" si="0"/>
        <v>81.84</v>
      </c>
      <c r="N33" s="156" t="str">
        <f>VLOOKUP(C33,'Trips&amp;Operators'!$C$1:$G$99999,5,FALSE)</f>
        <v>YANAI IAN</v>
      </c>
      <c r="O33" s="182" t="s">
        <v>196</v>
      </c>
      <c r="P33" s="157"/>
      <c r="Q33" s="31"/>
      <c r="R33" s="100" t="str">
        <f>VLOOKUP(C33,'Train Runs'!$A$13:$AE$9972,31,0)</f>
        <v>aws s3 cp s3://rtdc.mdm.uploadarchive.raw/RTDC4013/ "%USERPROFILE%\AppData\Local\Temp\OnboardLogs"\RTDC4013\2016-12-14 --exclude "*" --recursive --include "*20161214*" &amp; "%USERPROFILE%\Documents\GitHub\mrs-test-scripts\Headless Mode &amp; Sideloading\WalkAndUnGZ.bat" "%USERPROFILE%\AppData\Local\Temp\OnboardLogs"\RTDC4013\2016-12-14 &amp; aws s3 cp s3://rtdc.mdm.uploadarchive.raw/RTDC4013/ "%USERPROFILE%\AppData\Local\Temp\OnboardLogs"\RTDC4013\2016-12-15 --exclude "*" --recursive --include "*20161215*" &amp; "%USERPROFILE%\Documents\GitHub\mrs-test-scripts\Headless Mode &amp; Sideloading\WalkAndUnGZ.bat" "%USERPROFILE%\AppData\Local\Temp\OnboardLogs"\RTDC4013\2016-12-15</v>
      </c>
      <c r="S33" s="103" t="str">
        <f>VLOOKUP(C33,'Train Runs'!$A$13:$AE$9972,22,0)</f>
        <v>https://search-rtdc-monitor-bjffxe2xuh6vdkpspy63sjmuny.us-east-1.es.amazonaws.com/_plugin/kibana/#/discover/Steve-Slow-Train-Analysis-(2080s-and-2083s)?_g=(refreshInterval:(display:Off,section:0,value:0),time:(from:'2016-12-14 19:07:01-700',mode:absolute,to:'2016-12-14 22:10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3" s="105" t="str">
        <f t="shared" si="1"/>
        <v>"C:\Program Files (x86)\AstroGrep\AstroGrep.exe" /spath="%USERPROFILE%\AppData\Local\Temp\OnboardLogs" /stypes="*4013*201612150*" /stext=" 04:.+((SYSTEM_STATE.+slice.+state.+changed )|(ment ac)|(multiple cpu faults)|(system.+state.+changed )|(\[timeout)|(PRM\|1\|D)|(kpr)|(kdp)|(\|lc)|(penalty))" /e /r /s</v>
      </c>
      <c r="U33" s="9" t="str">
        <f t="shared" si="2"/>
        <v>4013</v>
      </c>
      <c r="V33" s="36">
        <f t="shared" si="3"/>
        <v>42719.173761574071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{"issue":{"subject":"","project_id":79,"tracker_id":40,"status_id":1,"priority_id":2,"assigned_to_id":23,"start_date":"2016-12-14","description":"","custom_fields":[{"id":1,"name":"Subdivision","value":"EC"},{"id":4,"name":"Milepost","value":"0.0001"},{"id":17,"name":"Train ID","value":"224-14"},{"id":16,"name":"Locomotive ID","value":"4013"},{"id":130,"name":"Impact","value":""},{"id":150,"name":"Time of Event (Mountain Time)","value":"21:10:13"},{"id":151,"name":"Denver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"%USERPROFILE%\AppData\Local\Temp\OnboardLogs"\RTDC4013\*4013*201612150*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"%USERPROFILE%\AppData\Local\Temp\OnboardLogs"\RTDC4013\*4013*201612150* &gt;&gt; 42718-slicedisagreementcheck.txt</v>
      </c>
    </row>
    <row r="34" spans="1:30" x14ac:dyDescent="0.25">
      <c r="A34" s="36">
        <v>42719.044178240743</v>
      </c>
      <c r="B34" s="31" t="s">
        <v>321</v>
      </c>
      <c r="C34" s="31" t="s">
        <v>454</v>
      </c>
      <c r="D34" s="31" t="s">
        <v>49</v>
      </c>
      <c r="E34" s="31" t="s">
        <v>201</v>
      </c>
      <c r="F34" s="47">
        <v>0</v>
      </c>
      <c r="G34" s="47">
        <v>60</v>
      </c>
      <c r="H34" s="47">
        <v>209</v>
      </c>
      <c r="I34" s="47">
        <v>160</v>
      </c>
      <c r="J34" s="31" t="s">
        <v>202</v>
      </c>
      <c r="K34" s="47">
        <v>1</v>
      </c>
      <c r="L34" s="154" t="s">
        <v>51</v>
      </c>
      <c r="M34" s="155">
        <f t="shared" si="0"/>
        <v>83.951999999999998</v>
      </c>
      <c r="N34" s="156" t="str">
        <f>VLOOKUP(C34,'Trips&amp;Operators'!$C$1:$G$99999,5,FALSE)</f>
        <v>YANAI IAN</v>
      </c>
      <c r="O34" s="182" t="s">
        <v>196</v>
      </c>
      <c r="P34" s="157"/>
      <c r="Q34" s="31"/>
      <c r="R34" s="100" t="str">
        <f>VLOOKUP(C34,'Train Runs'!$A$13:$AE$9972,31,0)</f>
        <v>aws s3 cp s3://rtdc.mdm.uploadarchive.raw/RTDC4013/ "%USERPROFILE%\AppData\Local\Temp\OnboardLogs"\RTDC4013\2016-12-15 --exclude "*" --recursive --include "*20161215*" &amp; "%USERPROFILE%\Documents\GitHub\mrs-test-scripts\Headless Mode &amp; Sideloading\WalkAndUnGZ.bat" "%USERPROFILE%\AppData\Local\Temp\OnboardLogs"\RTDC4013\2016-12-15 &amp; aws s3 cp s3://rtdc.mdm.uploadarchive.raw/RTDC4013/ "%USERPROFILE%\AppData\Local\Temp\OnboardLogs"\RTDC4013\2016-12-16 --exclude "*" --recursive --include "*20161216*" &amp; "%USERPROFILE%\Documents\GitHub\mrs-test-scripts\Headless Mode &amp; Sideloading\WalkAndUnGZ.bat" "%USERPROFILE%\AppData\Local\Temp\OnboardLogs"\RTDC4013\2016-12-16</v>
      </c>
      <c r="S34" s="103" t="str">
        <f>VLOOKUP(C34,'Train Runs'!$A$13:$AE$9972,22,0)</f>
        <v>https://search-rtdc-monitor-bjffxe2xuh6vdkpspy63sjmuny.us-east-1.es.amazonaws.com/_plugin/kibana/#/discover/Steve-Slow-Train-Analysis-(2080s-and-2083s)?_g=(refreshInterval:(display:Off,section:0,value:0),time:(from:'2016-12-14 23:08:53-700',mode:absolute,to:'2016-12-15 02:03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4" s="105" t="str">
        <f t="shared" si="1"/>
        <v>"C:\Program Files (x86)\AstroGrep\AstroGrep.exe" /spath="%USERPROFILE%\AppData\Local\Temp\OnboardLogs" /stypes="*4013*201612150*" /stext=" 08:.+((SYSTEM_STATE.+slice.+state.+changed )|(ment ac)|(multiple cpu faults)|(system.+state.+changed )|(\[timeout)|(PRM\|1\|D)|(kpr)|(kdp)|(\|lc)|(penalty))" /e /r /s</v>
      </c>
      <c r="U34" s="9" t="str">
        <f t="shared" si="2"/>
        <v>4013</v>
      </c>
      <c r="V34" s="36">
        <f t="shared" si="3"/>
        <v>42719.335844907408</v>
      </c>
      <c r="W34" s="50" t="str">
        <f t="shared" si="4"/>
        <v>EC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{"issue":{"subject":"","project_id":79,"tracker_id":40,"status_id":1,"priority_id":2,"assigned_to_id":23,"start_date":"2016-12-15","description":"","custom_fields":[{"id":1,"name":"Subdivision","value":"EC"},{"id":4,"name":"Milepost","value":"0.0001"},{"id":17,"name":"Train ID","value":"240-14"},{"id":16,"name":"Locomotive ID","value":"4013"},{"id":130,"name":"Impact","value":""},{"id":150,"name":"Time of Event (Mountain Time)","value":"01:03:37"},{"id":151,"name":"Denver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"%USERPROFILE%\AppData\Local\Temp\OnboardLogs"\RTDC4013\*4013*201612150*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"%USERPROFILE%\AppData\Local\Temp\OnboardLogs"\RTDC4013\*4013*201612150* &gt;&gt; 42718-slicedisagreementcheck.txt</v>
      </c>
    </row>
    <row r="35" spans="1:30" x14ac:dyDescent="0.25">
      <c r="A35" s="36">
        <v>42718.400902777779</v>
      </c>
      <c r="B35" s="31" t="s">
        <v>228</v>
      </c>
      <c r="C35" s="31" t="s">
        <v>428</v>
      </c>
      <c r="D35" s="31" t="s">
        <v>49</v>
      </c>
      <c r="E35" s="31" t="s">
        <v>201</v>
      </c>
      <c r="F35" s="47">
        <v>0</v>
      </c>
      <c r="G35" s="47">
        <v>50</v>
      </c>
      <c r="H35" s="47">
        <v>233393</v>
      </c>
      <c r="I35" s="47">
        <v>233418</v>
      </c>
      <c r="J35" s="31" t="s">
        <v>202</v>
      </c>
      <c r="K35" s="47">
        <v>233491</v>
      </c>
      <c r="L35" s="154" t="s">
        <v>50</v>
      </c>
      <c r="M35" s="155">
        <f t="shared" si="0"/>
        <v>38.543999999999997</v>
      </c>
      <c r="N35" s="156" t="str">
        <f>VLOOKUP(C35,'Trips&amp;Operators'!$C$1:$G$99999,5,FALSE)</f>
        <v>HILLS DUSTIN</v>
      </c>
      <c r="O35" s="182" t="s">
        <v>230</v>
      </c>
      <c r="P35" s="157" t="s">
        <v>969</v>
      </c>
      <c r="Q35" s="31"/>
      <c r="R35" s="100" t="str">
        <f>VLOOKUP(C35,'Train Runs'!$A$13:$AE$9972,31,0)</f>
        <v>aws s3 cp s3://rtdc.mdm.uploadarchive.raw/RTDC4014/ "%USERPROFILE%\AppData\Local\Temp\OnboardLogs"\RTDC4014\2016-12-14 --exclude "*" --recursive --include "*20161214*" &amp; "%USERPROFILE%\Documents\GitHub\mrs-test-scripts\Headless Mode &amp; Sideloading\WalkAndUnGZ.bat" "%USERPROFILE%\AppData\Local\Temp\OnboardLogs"\RTDC4014\2016-12-14 &amp; aws s3 cp s3://rtdc.mdm.uploadarchive.raw/RTDC4014/ "%USERPROFILE%\AppData\Local\Temp\OnboardLogs"\RTDC4014\2016-12-15 --exclude "*" --recursive --include "*20161215*" &amp; "%USERPROFILE%\Documents\GitHub\mrs-test-scripts\Headless Mode &amp; Sideloading\WalkAndUnGZ.bat" "%USERPROFILE%\AppData\Local\Temp\OnboardLogs"\RTDC4014\2016-12-15</v>
      </c>
      <c r="S35" s="103" t="str">
        <f>VLOOKUP(C35,'Train Runs'!$A$13:$AE$9972,22,0)</f>
        <v>https://search-rtdc-monitor-bjffxe2xuh6vdkpspy63sjmuny.us-east-1.es.amazonaws.com/_plugin/kibana/#/discover/Steve-Slow-Train-Analysis-(2080s-and-2083s)?_g=(refreshInterval:(display:Off,section:0,value:0),time:(from:'2016-12-14 07:51:57-700',mode:absolute,to:'2016-12-14 10:37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35" s="105" t="str">
        <f t="shared" si="1"/>
        <v>"C:\Program Files (x86)\AstroGrep\AstroGrep.exe" /spath="%USERPROFILE%\AppData\Local\Temp\OnboardLogs" /stypes="*4014*201612141*" /stext=" 16:.+((SYSTEM_STATE.+slice.+state.+changed )|(ment ac)|(multiple cpu faults)|(system.+state.+changed )|(\[timeout)|(PRM\|1\|D)|(kpr)|(kdp)|(\|lc)|(penalty))" /e /r /s</v>
      </c>
      <c r="U35" s="9" t="str">
        <f t="shared" si="2"/>
        <v>4014</v>
      </c>
      <c r="V35" s="36">
        <f t="shared" si="3"/>
        <v>42718.692569444444</v>
      </c>
      <c r="W35" s="50" t="str">
        <f t="shared" si="4"/>
        <v>EC</v>
      </c>
      <c r="X35" s="50" t="str">
        <f t="shared" si="5"/>
        <v>KEEP</v>
      </c>
      <c r="Y35" s="119" t="str">
        <f t="shared" si="6"/>
        <v>echo {"issue":{"subject":"Banner without braking","project_id":79,"tracker_id":40,"status_id":1,"priority_id":2,"assigned_to_id":23,"start_date":"2016-12-14","description":"","custom_fields":[{"id":1,"name":"Subdivision","value":"EC"},{"id":4,"name":"Milepost","value":"23.3491"},{"id":17,"name":"Train ID","value":"143-14"},{"id":16,"name":"Locomotive ID","value":"4014"},{"id":130,"name":"Impact","value":""},{"id":150,"name":"Time of Event (Mountain Time)","value":"09:37:18"},{"id":151,"name":"Denver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"%USERPROFILE%\AppData\Local\Temp\OnboardLogs"\RTDC4014\*4014*201612141*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"%USERPROFILE%\AppData\Local\Temp\OnboardLogs"\RTDC4014\*4014*201612141* &gt;&gt; 42718-slicedisagreementcheck.txt</v>
      </c>
    </row>
    <row r="36" spans="1:30" x14ac:dyDescent="0.25">
      <c r="A36" s="36">
        <v>42718.494212962964</v>
      </c>
      <c r="B36" s="31" t="s">
        <v>234</v>
      </c>
      <c r="C36" s="31" t="s">
        <v>435</v>
      </c>
      <c r="D36" s="31" t="s">
        <v>49</v>
      </c>
      <c r="E36" s="31" t="s">
        <v>201</v>
      </c>
      <c r="F36" s="47">
        <v>0</v>
      </c>
      <c r="G36" s="47">
        <v>145</v>
      </c>
      <c r="H36" s="47">
        <v>232728</v>
      </c>
      <c r="I36" s="47">
        <v>233346</v>
      </c>
      <c r="J36" s="31" t="s">
        <v>202</v>
      </c>
      <c r="K36" s="47">
        <v>233491</v>
      </c>
      <c r="L36" s="154" t="s">
        <v>50</v>
      </c>
      <c r="M36" s="155">
        <f t="shared" si="0"/>
        <v>76.56</v>
      </c>
      <c r="N36" s="156" t="str">
        <f>VLOOKUP(C36,'Trips&amp;Operators'!$C$1:$G$99999,5,FALSE)</f>
        <v>BARTLETT KIANDRA</v>
      </c>
      <c r="O36" s="182" t="s">
        <v>230</v>
      </c>
      <c r="P36" s="157" t="s">
        <v>969</v>
      </c>
      <c r="Q36" s="31"/>
      <c r="R36" s="100" t="str">
        <f>VLOOKUP(C36,'Train Runs'!$A$13:$AE$9972,31,0)</f>
        <v>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 &amp; aws s3 cp s3://rtdc.mdm.uploadarchive.raw/RTDC4046/ "%USERPROFILE%\AppData\Local\Temp\OnboardLogs"\RTDC4046\2016-12-15 --exclude "*" --recursive --include "*20161215*" &amp; "%USERPROFILE%\Documents\GitHub\mrs-test-scripts\Headless Mode &amp; Sideloading\WalkAndUnGZ.bat" "%USERPROFILE%\AppData\Local\Temp\OnboardLogs"\RTDC4046\2016-12-15</v>
      </c>
      <c r="S36" s="103" t="str">
        <f>VLOOKUP(C36,'Train Runs'!$A$13:$AE$9972,22,0)</f>
        <v>https://search-rtdc-monitor-bjffxe2xuh6vdkpspy63sjmuny.us-east-1.es.amazonaws.com/_plugin/kibana/#/discover/Steve-Slow-Train-Analysis-(2080s-and-2083s)?_g=(refreshInterval:(display:Off,section:0,value:0),time:(from:'2016-12-14 10:07:58-700',mode:absolute,to:'2016-12-14 12:50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6" s="105" t="str">
        <f t="shared" si="1"/>
        <v>"C:\Program Files (x86)\AstroGrep\AstroGrep.exe" /spath="%USERPROFILE%\AppData\Local\Temp\OnboardLogs" /stypes="*4046*201612141*" /stext=" 18:.+((SYSTEM_STATE.+slice.+state.+changed )|(ment ac)|(multiple cpu faults)|(system.+state.+changed )|(\[timeout)|(PRM\|1\|D)|(kpr)|(kdp)|(\|lc)|(penalty))" /e /r /s</v>
      </c>
      <c r="U36" s="9" t="str">
        <f t="shared" si="2"/>
        <v>4046</v>
      </c>
      <c r="V36" s="36">
        <f t="shared" si="3"/>
        <v>42718.785879629628</v>
      </c>
      <c r="W36" s="50" t="str">
        <f t="shared" si="4"/>
        <v>EC</v>
      </c>
      <c r="X36" s="50" t="str">
        <f t="shared" si="5"/>
        <v>KEEP</v>
      </c>
      <c r="Y36" s="119" t="str">
        <f t="shared" si="6"/>
        <v>echo {"issue":{"subject":"Banner without braking","project_id":79,"tracker_id":40,"status_id":1,"priority_id":2,"assigned_to_id":23,"start_date":"2016-12-14","description":"","custom_fields":[{"id":1,"name":"Subdivision","value":"EC"},{"id":4,"name":"Milepost","value":"23.3491"},{"id":17,"name":"Train ID","value":"161-14"},{"id":16,"name":"Locomotive ID","value":"4046"},{"id":130,"name":"Impact","value":""},{"id":150,"name":"Time of Event (Mountain Time)","value":"11:51:40"},{"id":151,"name":"Denver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"%USERPROFILE%\AppData\Local\Temp\OnboardLogs"\RTDC4046\*4046*201612141*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"%USERPROFILE%\AppData\Local\Temp\OnboardLogs"\RTDC4046\*4046*201612141* &gt;&gt; 42718-slicedisagreementcheck.txt</v>
      </c>
    </row>
    <row r="37" spans="1:30" x14ac:dyDescent="0.25">
      <c r="A37" s="36">
        <v>42718.518321759257</v>
      </c>
      <c r="B37" s="31" t="s">
        <v>251</v>
      </c>
      <c r="C37" s="31" t="s">
        <v>437</v>
      </c>
      <c r="D37" s="31" t="s">
        <v>49</v>
      </c>
      <c r="E37" s="31" t="s">
        <v>201</v>
      </c>
      <c r="F37" s="47">
        <v>0</v>
      </c>
      <c r="G37" s="47">
        <v>94</v>
      </c>
      <c r="H37" s="47">
        <v>233132</v>
      </c>
      <c r="I37" s="47">
        <v>233236</v>
      </c>
      <c r="J37" s="31" t="s">
        <v>202</v>
      </c>
      <c r="K37" s="47">
        <v>233491</v>
      </c>
      <c r="L37" s="154" t="s">
        <v>50</v>
      </c>
      <c r="M37" s="155">
        <f t="shared" si="0"/>
        <v>134.63999999999999</v>
      </c>
      <c r="N37" s="156" t="str">
        <f>VLOOKUP(C37,'Trips&amp;Operators'!$C$1:$G$99999,5,FALSE)</f>
        <v>ADANE ELSHADAY</v>
      </c>
      <c r="O37" s="182" t="s">
        <v>196</v>
      </c>
      <c r="P37" s="157"/>
      <c r="Q37" s="31"/>
      <c r="R37" s="100" t="str">
        <f>VLOOKUP(C37,'Train Runs'!$A$13:$AE$9972,31,0)</f>
        <v>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 &amp; aws s3 cp s3://rtdc.mdm.uploadarchive.raw/RTDC4016/ "%USERPROFILE%\AppData\Local\Temp\OnboardLogs"\RTDC4016\2016-12-15 --exclude "*" --recursive --include "*20161215*" &amp; "%USERPROFILE%\Documents\GitHub\mrs-test-scripts\Headless Mode &amp; Sideloading\WalkAndUnGZ.bat" "%USERPROFILE%\AppData\Local\Temp\OnboardLogs"\RTDC4016\2016-12-15</v>
      </c>
      <c r="S37" s="103" t="str">
        <f>VLOOKUP(C37,'Train Runs'!$A$13:$AE$9972,22,0)</f>
        <v>https://search-rtdc-monitor-bjffxe2xuh6vdkpspy63sjmuny.us-east-1.es.amazonaws.com/_plugin/kibana/#/discover/Steve-Slow-Train-Analysis-(2080s-and-2083s)?_g=(refreshInterval:(display:Off,section:0,value:0),time:(from:'2016-12-14 10:45:52-700',mode:absolute,to:'2016-12-14 13:27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7" s="105" t="str">
        <f t="shared" si="1"/>
        <v>"C:\Program Files (x86)\AstroGrep\AstroGrep.exe" /spath="%USERPROFILE%\AppData\Local\Temp\OnboardLogs" /stypes="*4016*201612141*" /stext=" 19:.+((SYSTEM_STATE.+slice.+state.+changed )|(ment ac)|(multiple cpu faults)|(system.+state.+changed )|(\[timeout)|(PRM\|1\|D)|(kpr)|(kdp)|(\|lc)|(penalty))" /e /r /s</v>
      </c>
      <c r="U37" s="9" t="str">
        <f t="shared" si="2"/>
        <v>4016</v>
      </c>
      <c r="V37" s="36">
        <f t="shared" si="3"/>
        <v>42718.809988425921</v>
      </c>
      <c r="W37" s="50" t="str">
        <f t="shared" si="4"/>
        <v>EC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{"issue":{"subject":"","project_id":79,"tracker_id":40,"status_id":1,"priority_id":2,"assigned_to_id":23,"start_date":"2016-12-14","description":"","custom_fields":[{"id":1,"name":"Subdivision","value":"EC"},{"id":4,"name":"Milepost","value":"23.3491"},{"id":17,"name":"Train ID","value":"165-14"},{"id":16,"name":"Locomotive ID","value":"4016"},{"id":130,"name":"Impact","value":""},{"id":150,"name":"Time of Event (Mountain Time)","value":"12:26:23"},{"id":151,"name":"Denver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"%USERPROFILE%\AppData\Local\Temp\OnboardLogs"\RTDC4016\*4016*201612141*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"%USERPROFILE%\AppData\Local\Temp\OnboardLogs"\RTDC4016\*4016*201612141* &gt;&gt; 42718-slicedisagreementcheck.txt</v>
      </c>
    </row>
    <row r="38" spans="1:30" x14ac:dyDescent="0.25">
      <c r="A38" s="36">
        <v>42718.51935185185</v>
      </c>
      <c r="B38" s="31" t="s">
        <v>251</v>
      </c>
      <c r="C38" s="31" t="s">
        <v>437</v>
      </c>
      <c r="D38" s="31" t="s">
        <v>49</v>
      </c>
      <c r="E38" s="31" t="s">
        <v>201</v>
      </c>
      <c r="F38" s="47">
        <v>0</v>
      </c>
      <c r="G38" s="47">
        <v>32</v>
      </c>
      <c r="H38" s="47">
        <v>233285</v>
      </c>
      <c r="I38" s="47">
        <v>233312</v>
      </c>
      <c r="J38" s="31" t="s">
        <v>202</v>
      </c>
      <c r="K38" s="47">
        <v>233491</v>
      </c>
      <c r="L38" s="154" t="s">
        <v>50</v>
      </c>
      <c r="M38" s="155">
        <f t="shared" si="0"/>
        <v>94.512</v>
      </c>
      <c r="N38" s="156" t="str">
        <f>VLOOKUP(C38,'Trips&amp;Operators'!$C$1:$G$99999,5,FALSE)</f>
        <v>ADANE ELSHADAY</v>
      </c>
      <c r="O38" s="182" t="s">
        <v>196</v>
      </c>
      <c r="P38" s="157"/>
      <c r="Q38" s="31"/>
      <c r="R38" s="100" t="str">
        <f>VLOOKUP(C38,'Train Runs'!$A$13:$AE$9972,31,0)</f>
        <v>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 &amp; aws s3 cp s3://rtdc.mdm.uploadarchive.raw/RTDC4016/ "%USERPROFILE%\AppData\Local\Temp\OnboardLogs"\RTDC4016\2016-12-15 --exclude "*" --recursive --include "*20161215*" &amp; "%USERPROFILE%\Documents\GitHub\mrs-test-scripts\Headless Mode &amp; Sideloading\WalkAndUnGZ.bat" "%USERPROFILE%\AppData\Local\Temp\OnboardLogs"\RTDC4016\2016-12-15</v>
      </c>
      <c r="S38" s="103" t="str">
        <f>VLOOKUP(C38,'Train Runs'!$A$13:$AE$9972,22,0)</f>
        <v>https://search-rtdc-monitor-bjffxe2xuh6vdkpspy63sjmuny.us-east-1.es.amazonaws.com/_plugin/kibana/#/discover/Steve-Slow-Train-Analysis-(2080s-and-2083s)?_g=(refreshInterval:(display:Off,section:0,value:0),time:(from:'2016-12-14 10:45:52-700',mode:absolute,to:'2016-12-14 13:27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8" s="105" t="str">
        <f t="shared" si="1"/>
        <v>"C:\Program Files (x86)\AstroGrep\AstroGrep.exe" /spath="%USERPROFILE%\AppData\Local\Temp\OnboardLogs" /stypes="*4016*201612141*" /stext=" 19:.+((SYSTEM_STATE.+slice.+state.+changed )|(ment ac)|(multiple cpu faults)|(system.+state.+changed )|(\[timeout)|(PRM\|1\|D)|(kpr)|(kdp)|(\|lc)|(penalty))" /e /r /s</v>
      </c>
      <c r="U38" s="9" t="str">
        <f t="shared" si="2"/>
        <v>4016</v>
      </c>
      <c r="V38" s="36">
        <f t="shared" si="3"/>
        <v>42718.811018518514</v>
      </c>
      <c r="W38" s="50" t="str">
        <f t="shared" si="4"/>
        <v>EC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{"issue":{"subject":"","project_id":79,"tracker_id":40,"status_id":1,"priority_id":2,"assigned_to_id":23,"start_date":"2016-12-14","description":"","custom_fields":[{"id":1,"name":"Subdivision","value":"EC"},{"id":4,"name":"Milepost","value":"23.3491"},{"id":17,"name":"Train ID","value":"165-14"},{"id":16,"name":"Locomotive ID","value":"4016"},{"id":130,"name":"Impact","value":""},{"id":150,"name":"Time of Event (Mountain Time)","value":"12:27:52"},{"id":151,"name":"Denver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"%USERPROFILE%\AppData\Local\Temp\OnboardLogs"\RTDC4016\*4016*201612141*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"%USERPROFILE%\AppData\Local\Temp\OnboardLogs"\RTDC4016\*4016*201612141* &gt;&gt; 42718-slicedisagreementcheck.txt</v>
      </c>
    </row>
    <row r="39" spans="1:30" x14ac:dyDescent="0.25">
      <c r="A39" s="36">
        <v>42718.331724537034</v>
      </c>
      <c r="B39" s="31" t="s">
        <v>424</v>
      </c>
      <c r="C39" s="31" t="s">
        <v>425</v>
      </c>
      <c r="D39" s="31" t="s">
        <v>49</v>
      </c>
      <c r="E39" s="31" t="s">
        <v>197</v>
      </c>
      <c r="F39" s="47">
        <v>300</v>
      </c>
      <c r="G39" s="47">
        <v>351</v>
      </c>
      <c r="H39" s="47">
        <v>20614</v>
      </c>
      <c r="I39" s="47">
        <v>21562</v>
      </c>
      <c r="J39" s="31" t="s">
        <v>198</v>
      </c>
      <c r="K39" s="47">
        <v>21299</v>
      </c>
      <c r="L39" s="154" t="s">
        <v>50</v>
      </c>
      <c r="M39" s="155">
        <f t="shared" si="0"/>
        <v>-138.864</v>
      </c>
      <c r="N39" s="156" t="str">
        <f>VLOOKUP(C39,'Trips&amp;Operators'!$C$1:$G$99999,5,FALSE)</f>
        <v>MAELZER KURT</v>
      </c>
      <c r="O39" s="182" t="s">
        <v>196</v>
      </c>
      <c r="P39" s="157"/>
      <c r="Q39" s="31"/>
      <c r="R39" s="100" t="str">
        <f>VLOOKUP(C39,'Train Runs'!$A$13:$AE$9972,31,0)</f>
        <v>aws s3 cp s3://rtdc.mdm.uploadarchive.raw/RTDC4018/ "%USERPROFILE%\AppData\Local\Temp\OnboardLogs"\RTDC4018\2016-12-14 --exclude "*" --recursive --include "*20161214*" &amp; "%USERPROFILE%\Documents\GitHub\mrs-test-scripts\Headless Mode &amp; Sideloading\WalkAndUnGZ.bat" "%USERPROFILE%\AppData\Local\Temp\OnboardLogs"\RTDC4018\2016-12-14 &amp; aws s3 cp s3://rtdc.mdm.uploadarchive.raw/RTDC4018/ "%USERPROFILE%\AppData\Local\Temp\OnboardLogs"\RTDC4018\2016-12-15 --exclude "*" --recursive --include "*20161215*" &amp; "%USERPROFILE%\Documents\GitHub\mrs-test-scripts\Headless Mode &amp; Sideloading\WalkAndUnGZ.bat" "%USERPROFILE%\AppData\Local\Temp\OnboardLogs"\RTDC4018\2016-12-15</v>
      </c>
      <c r="S39" s="103" t="str">
        <f>VLOOKUP(C39,'Train Runs'!$A$13:$AE$9972,22,0)</f>
        <v>https://search-rtdc-monitor-bjffxe2xuh6vdkpspy63sjmuny.us-east-1.es.amazonaws.com/_plugin/kibana/#/discover/Steve-Slow-Train-Analysis-(2080s-and-2083s)?_g=(refreshInterval:(display:Off,section:0,value:0),time:(from:'2016-12-14 06:46:58-700',mode:absolute,to:'2016-12-14 09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9" s="105" t="str">
        <f t="shared" si="1"/>
        <v>"C:\Program Files (x86)\AstroGrep\AstroGrep.exe" /spath="%USERPROFILE%\AppData\Local\Temp\OnboardLogs" /stypes="*4018*201612141*" /stext=" 14:.+((SYSTEM_STATE.+slice.+state.+changed )|(ment ac)|(multiple cpu faults)|(system.+state.+changed )|(\[timeout)|(PRM\|1\|D)|(kpr)|(kdp)|(\|lc)|(penalty))" /e /r /s</v>
      </c>
      <c r="U39" s="9" t="str">
        <f t="shared" si="2"/>
        <v>4018</v>
      </c>
      <c r="V39" s="36">
        <f t="shared" si="3"/>
        <v>42718.623391203699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{"issue":{"subject":"","project_id":79,"tracker_id":40,"status_id":1,"priority_id":2,"assigned_to_id":23,"start_date":"2016-12-14","description":"","custom_fields":[{"id":1,"name":"Subdivision","value":"NW"},{"id":4,"name":"Milepost","value":"2.1299"},{"id":17,"name":"Train ID","value":"809-14"},{"id":16,"name":"Locomotive ID","value":"4018"},{"id":130,"name":"Impact","value":""},{"id":150,"name":"Time of Event (Mountain Time)","value":"07:57:41"},{"id":151,"name":"Denver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"%USERPROFILE%\AppData\Local\Temp\OnboardLogs"\RTDC4018\*4018*201612141*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"%USERPROFILE%\AppData\Local\Temp\OnboardLogs"\RTDC4018\*4018*201612141* &gt;&gt; 42718-slicedisagreementcheck.txt</v>
      </c>
    </row>
    <row r="40" spans="1:30" x14ac:dyDescent="0.25">
      <c r="A40" s="36">
        <v>42718.937789351854</v>
      </c>
      <c r="B40" s="31" t="s">
        <v>261</v>
      </c>
      <c r="C40" s="31" t="s">
        <v>452</v>
      </c>
      <c r="D40" s="31" t="s">
        <v>49</v>
      </c>
      <c r="E40" s="31" t="s">
        <v>197</v>
      </c>
      <c r="F40" s="47">
        <v>300</v>
      </c>
      <c r="G40" s="47">
        <v>394</v>
      </c>
      <c r="H40" s="47">
        <v>38578</v>
      </c>
      <c r="I40" s="47">
        <v>39608</v>
      </c>
      <c r="J40" s="31" t="s">
        <v>198</v>
      </c>
      <c r="K40" s="47">
        <v>39716</v>
      </c>
      <c r="L40" s="154" t="s">
        <v>50</v>
      </c>
      <c r="M40" s="155">
        <f t="shared" si="0"/>
        <v>57.024000000000001</v>
      </c>
      <c r="N40" s="156" t="str">
        <f>VLOOKUP(C40,'Trips&amp;Operators'!$C$1:$G$99999,5,FALSE)</f>
        <v>COMELLA JUSTIN</v>
      </c>
      <c r="O40" s="182" t="s">
        <v>196</v>
      </c>
      <c r="P40" s="157"/>
      <c r="Q40" s="31"/>
      <c r="R40" s="100" t="str">
        <f>VLOOKUP(C40,'Train Runs'!$A$13:$AE$9972,31,0)</f>
        <v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v>
      </c>
      <c r="S40" s="103" t="str">
        <f>VLOOKUP(C40,'Train Runs'!$A$13:$AE$9972,22,0)</f>
        <v>https://search-rtdc-monitor-bjffxe2xuh6vdkpspy63sjmuny.us-east-1.es.amazonaws.com/_plugin/kibana/#/discover/Steve-Slow-Train-Analysis-(2080s-and-2083s)?_g=(refreshInterval:(display:Off,section:0,value:0),time:(from:'2016-12-14 21:14:27-700',mode:absolute,to:'2016-12-14 23:38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0" s="105" t="str">
        <f t="shared" si="1"/>
        <v>"C:\Program Files (x86)\AstroGrep\AstroGrep.exe" /spath="%USERPROFILE%\AppData\Local\Temp\OnboardLogs" /stypes="*4029*201612150*" /stext=" 05:.+((SYSTEM_STATE.+slice.+state.+changed )|(ment ac)|(multiple cpu faults)|(system.+state.+changed )|(\[timeout)|(PRM\|1\|D)|(kpr)|(kdp)|(\|lc)|(penalty))" /e /r /s</v>
      </c>
      <c r="U40" s="9" t="str">
        <f t="shared" si="2"/>
        <v>4029</v>
      </c>
      <c r="V40" s="36">
        <f t="shared" si="3"/>
        <v>42719.229456018518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{"issue":{"subject":"","project_id":79,"tracker_id":40,"status_id":1,"priority_id":2,"assigned_to_id":23,"start_date":"2016-12-14","description":"","custom_fields":[{"id":1,"name":"Subdivision","value":"NW"},{"id":4,"name":"Milepost","value":"3.9716"},{"id":17,"name":"Train ID","value":"847-14"},{"id":16,"name":"Locomotive ID","value":"4029"},{"id":130,"name":"Impact","value":""},{"id":150,"name":"Time of Event (Mountain Time)","value":"22:30:25"},{"id":151,"name":"Denver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"%USERPROFILE%\AppData\Local\Temp\OnboardLogs"\RTDC4029\*4029*201612150*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"%USERPROFILE%\AppData\Local\Temp\OnboardLogs"\RTDC4029\*4029*201612150* &gt;&gt; 42718-slicedisagreementcheck.txt</v>
      </c>
    </row>
    <row r="41" spans="1:30" x14ac:dyDescent="0.25">
      <c r="A41" s="36">
        <v>42718.695937500001</v>
      </c>
      <c r="B41" s="31" t="s">
        <v>258</v>
      </c>
      <c r="C41" s="31" t="s">
        <v>441</v>
      </c>
      <c r="D41" s="31" t="s">
        <v>98</v>
      </c>
      <c r="E41" s="31" t="s">
        <v>199</v>
      </c>
      <c r="F41" s="47">
        <v>0</v>
      </c>
      <c r="G41" s="47">
        <v>51</v>
      </c>
      <c r="H41" s="47">
        <v>58397</v>
      </c>
      <c r="I41" s="47">
        <v>58271</v>
      </c>
      <c r="J41" s="31" t="s">
        <v>200</v>
      </c>
      <c r="K41" s="47">
        <v>58472</v>
      </c>
      <c r="L41" s="154" t="s">
        <v>51</v>
      </c>
      <c r="M41" s="155">
        <f t="shared" si="0"/>
        <v>-106.128</v>
      </c>
      <c r="N41" s="156" t="str">
        <f>VLOOKUP(C41,'Trips&amp;Operators'!$C$1:$G$99999,5,FALSE)</f>
        <v>DELGADO DIANAH</v>
      </c>
      <c r="O41" s="182" t="s">
        <v>196</v>
      </c>
      <c r="P41" s="157" t="s">
        <v>855</v>
      </c>
      <c r="Q41" s="31"/>
      <c r="R41" s="100" t="str">
        <f>VLOOKUP(C41,'Train Runs'!$A$13:$AE$9972,31,0)</f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S41" s="103" t="str">
        <f>VLOOKUP(C41,'Train Runs'!$A$13:$AE$9972,22,0)</f>
        <v>https://search-rtdc-monitor-bjffxe2xuh6vdkpspy63sjmuny.us-east-1.es.amazonaws.com/_plugin/kibana/#/discover/Steve-Slow-Train-Analysis-(2080s-and-2083s)?_g=(refreshInterval:(display:Off,section:0,value:0),time:(from:'2016-12-14 15:45:25-700',mode:absolute,to:'2016-12-14 18:03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41" s="105" t="str">
        <f t="shared" si="1"/>
        <v>"C:\Program Files (x86)\AstroGrep\AstroGrep.exe" /spath="%USERPROFILE%\AppData\Local\Temp\OnboardLogs" /stypes="*4030*201612142*" /stext=" 23:.+((SYSTEM_STATE.+slice.+state.+changed )|(ment ac)|(multiple cpu faults)|(system.+state.+changed )|(\[timeout)|(PRM\|1\|D)|(kpr)|(kdp)|(\|lc)|(penalty))" /e /r /s</v>
      </c>
      <c r="U41" s="9" t="str">
        <f t="shared" si="2"/>
        <v>4030</v>
      </c>
      <c r="V41" s="36">
        <f t="shared" si="3"/>
        <v>42718.987604166665</v>
      </c>
      <c r="W41" s="50" t="str">
        <f t="shared" si="4"/>
        <v>NW</v>
      </c>
      <c r="X41" s="50" t="str">
        <f t="shared" si="5"/>
        <v>KEEP</v>
      </c>
      <c r="Y41" s="119" t="str">
        <f t="shared" si="6"/>
        <v>echo {"issue":{"subject":"Went active too close to signal","project_id":79,"tracker_id":40,"status_id":1,"priority_id":2,"assigned_to_id":23,"start_date":"2016-12-14","description":"","custom_fields":[{"id":1,"name":"Subdivision","value":"NW"},{"id":4,"name":"Milepost","value":"5.8472"},{"id":17,"name":"Train ID","value":"830-14"},{"id":16,"name":"Locomotive ID","value":"4030"},{"id":130,"name":"Impact","value":""},{"id":150,"name":"Time of Event (Mountain Time)","value":"16:42:09"},{"id":151,"name":"Denver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"%USERPROFILE%\AppData\Local\Temp\OnboardLogs"\RTDC4030\*4030*201612142*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"%USERPROFILE%\AppData\Local\Temp\OnboardLogs"\RTDC4030\*4030*201612142* &gt;&gt; 42718-slicedisagreementcheck.txt</v>
      </c>
    </row>
    <row r="42" spans="1:30" x14ac:dyDescent="0.25">
      <c r="A42" s="36">
        <v>42718.696342592593</v>
      </c>
      <c r="B42" s="31" t="s">
        <v>258</v>
      </c>
      <c r="C42" s="31" t="s">
        <v>441</v>
      </c>
      <c r="D42" s="31" t="s">
        <v>98</v>
      </c>
      <c r="E42" s="31" t="s">
        <v>199</v>
      </c>
      <c r="F42" s="47">
        <v>0</v>
      </c>
      <c r="G42" s="47">
        <v>4</v>
      </c>
      <c r="H42" s="47">
        <v>58274</v>
      </c>
      <c r="I42" s="47">
        <v>58276</v>
      </c>
      <c r="J42" s="31" t="s">
        <v>200</v>
      </c>
      <c r="K42" s="47">
        <v>58472</v>
      </c>
      <c r="L42" s="154" t="s">
        <v>51</v>
      </c>
      <c r="M42" s="155">
        <f t="shared" si="0"/>
        <v>-103.488</v>
      </c>
      <c r="N42" s="156" t="str">
        <f>VLOOKUP(C42,'Trips&amp;Operators'!$C$1:$G$99999,5,FALSE)</f>
        <v>DELGADO DIANAH</v>
      </c>
      <c r="O42" s="182" t="s">
        <v>196</v>
      </c>
      <c r="P42" s="157" t="s">
        <v>855</v>
      </c>
      <c r="Q42" s="31"/>
      <c r="R42" s="100" t="str">
        <f>VLOOKUP(C42,'Train Runs'!$A$13:$AE$9972,31,0)</f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S42" s="103" t="str">
        <f>VLOOKUP(C42,'Train Runs'!$A$13:$AE$9972,22,0)</f>
        <v>https://search-rtdc-monitor-bjffxe2xuh6vdkpspy63sjmuny.us-east-1.es.amazonaws.com/_plugin/kibana/#/discover/Steve-Slow-Train-Analysis-(2080s-and-2083s)?_g=(refreshInterval:(display:Off,section:0,value:0),time:(from:'2016-12-14 15:45:25-700',mode:absolute,to:'2016-12-14 18:03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42" s="105" t="str">
        <f t="shared" si="1"/>
        <v>"C:\Program Files (x86)\AstroGrep\AstroGrep.exe" /spath="%USERPROFILE%\AppData\Local\Temp\OnboardLogs" /stypes="*4030*201612142*" /stext=" 23:.+((SYSTEM_STATE.+slice.+state.+changed )|(ment ac)|(multiple cpu faults)|(system.+state.+changed )|(\[timeout)|(PRM\|1\|D)|(kpr)|(kdp)|(\|lc)|(penalty))" /e /r /s</v>
      </c>
      <c r="U42" s="9" t="str">
        <f t="shared" si="2"/>
        <v>4030</v>
      </c>
      <c r="V42" s="36">
        <f t="shared" si="3"/>
        <v>42718.988009259258</v>
      </c>
      <c r="W42" s="50" t="str">
        <f t="shared" si="4"/>
        <v>NW</v>
      </c>
      <c r="X42" s="50" t="str">
        <f t="shared" si="5"/>
        <v>KEEP</v>
      </c>
      <c r="Y42" s="119" t="str">
        <f t="shared" si="6"/>
        <v>echo {"issue":{"subject":"Went active too close to signal","project_id":79,"tracker_id":40,"status_id":1,"priority_id":2,"assigned_to_id":23,"start_date":"2016-12-14","description":"","custom_fields":[{"id":1,"name":"Subdivision","value":"NW"},{"id":4,"name":"Milepost","value":"5.8472"},{"id":17,"name":"Train ID","value":"830-14"},{"id":16,"name":"Locomotive ID","value":"4030"},{"id":130,"name":"Impact","value":""},{"id":150,"name":"Time of Event (Mountain Time)","value":"16:42:44"},{"id":151,"name":"Denver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"%USERPROFILE%\AppData\Local\Temp\OnboardLogs"\RTDC4030\*4030*201612142*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"%USERPROFILE%\AppData\Local\Temp\OnboardLogs"\RTDC4030\*4030*201612142* &gt;&gt; 42718-slicedisagreementcheck.txt</v>
      </c>
    </row>
    <row r="43" spans="1:30" x14ac:dyDescent="0.25">
      <c r="A43" s="36">
        <v>42718.871655092589</v>
      </c>
      <c r="B43" s="31" t="s">
        <v>258</v>
      </c>
      <c r="C43" s="31" t="s">
        <v>449</v>
      </c>
      <c r="D43" s="31" t="s">
        <v>49</v>
      </c>
      <c r="E43" s="31" t="s">
        <v>201</v>
      </c>
      <c r="F43" s="47">
        <v>0</v>
      </c>
      <c r="G43" s="47">
        <v>52</v>
      </c>
      <c r="H43" s="47">
        <v>748</v>
      </c>
      <c r="I43" s="47">
        <v>717</v>
      </c>
      <c r="J43" s="31" t="s">
        <v>202</v>
      </c>
      <c r="K43" s="47">
        <v>575</v>
      </c>
      <c r="L43" s="154" t="s">
        <v>51</v>
      </c>
      <c r="M43" s="155">
        <f t="shared" si="0"/>
        <v>74.975999999999999</v>
      </c>
      <c r="N43" s="156" t="str">
        <f>VLOOKUP(C43,'Trips&amp;Operators'!$C$1:$G$99999,5,FALSE)</f>
        <v>MOSES BRADLEY</v>
      </c>
      <c r="O43" s="182" t="s">
        <v>196</v>
      </c>
      <c r="P43" s="157"/>
      <c r="Q43" s="31"/>
      <c r="R43" s="100" t="str">
        <f>VLOOKUP(C43,'Train Runs'!$A$13:$AE$9972,31,0)</f>
        <v>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 &amp; aws s3 cp s3://rtdc.mdm.uploadarchive.raw/RTDC4030/ "%USERPROFILE%\AppData\Local\Temp\OnboardLogs"\RTDC4030\2016-12-15 --exclude "*" --recursive --include "*20161215*" &amp; "%USERPROFILE%\Documents\GitHub\mrs-test-scripts\Headless Mode &amp; Sideloading\WalkAndUnGZ.bat" "%USERPROFILE%\AppData\Local\Temp\OnboardLogs"\RTDC4030\2016-12-15</v>
      </c>
      <c r="S43" s="103" t="str">
        <f>VLOOKUP(C43,'Train Runs'!$A$13:$AE$9972,22,0)</f>
        <v>https://search-rtdc-monitor-bjffxe2xuh6vdkpspy63sjmuny.us-east-1.es.amazonaws.com/_plugin/kibana/#/discover/Steve-Slow-Train-Analysis-(2080s-and-2083s)?_g=(refreshInterval:(display:Off,section:0,value:0),time:(from:'2016-12-14 19:39:00-700',mode:absolute,to:'2016-12-14 21:55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43" s="105" t="str">
        <f t="shared" si="1"/>
        <v>"C:\Program Files (x86)\AstroGrep\AstroGrep.exe" /spath="%USERPROFILE%\AppData\Local\Temp\OnboardLogs" /stypes="*4030*201612150*" /stext=" 03:.+((SYSTEM_STATE.+slice.+state.+changed )|(ment ac)|(multiple cpu faults)|(system.+state.+changed )|(\[timeout)|(PRM\|1\|D)|(kpr)|(kdp)|(\|lc)|(penalty))" /e /r /s</v>
      </c>
      <c r="U43" s="9" t="str">
        <f t="shared" si="2"/>
        <v>4030</v>
      </c>
      <c r="V43" s="36">
        <f t="shared" si="3"/>
        <v>42719.163321759253</v>
      </c>
      <c r="W43" s="50" t="str">
        <f t="shared" si="4"/>
        <v>NW</v>
      </c>
      <c r="X43" s="50" t="str">
        <f t="shared" si="5"/>
        <v>KEEP</v>
      </c>
      <c r="Y43" s="119" t="str">
        <f t="shared" si="6"/>
        <v>echo {"issue":{"subject":"","project_id":79,"tracker_id":40,"status_id":1,"priority_id":2,"assigned_to_id":23,"start_date":"2016-12-14","description":"","custom_fields":[{"id":1,"name":"Subdivision","value":"NW"},{"id":4,"name":"Milepost","value":"0.0575"},{"id":17,"name":"Train ID","value":"842-14"},{"id":16,"name":"Locomotive ID","value":"4030"},{"id":130,"name":"Impact","value":""},{"id":150,"name":"Time of Event (Mountain Time)","value":"20:55:11"},{"id":151,"name":"Denver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"%USERPROFILE%\AppData\Local\Temp\OnboardLogs"\RTDC4030\*4030*201612150*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"%USERPROFILE%\AppData\Local\Temp\OnboardLogs"\RTDC4030\*4030*201612150* &gt;&gt; 42718-slicedisagreementcheck.txt</v>
      </c>
    </row>
    <row r="44" spans="1:30" x14ac:dyDescent="0.25">
      <c r="A44" s="36">
        <v>42718.44190972222</v>
      </c>
      <c r="B44" s="31" t="s">
        <v>261</v>
      </c>
      <c r="C44" s="31" t="s">
        <v>431</v>
      </c>
      <c r="D44" s="31" t="s">
        <v>49</v>
      </c>
      <c r="E44" s="31" t="s">
        <v>201</v>
      </c>
      <c r="F44" s="47">
        <v>0</v>
      </c>
      <c r="G44" s="47">
        <v>97</v>
      </c>
      <c r="H44" s="47">
        <v>58666</v>
      </c>
      <c r="I44" s="47">
        <v>58758</v>
      </c>
      <c r="J44" s="31" t="s">
        <v>202</v>
      </c>
      <c r="K44" s="47">
        <v>59048</v>
      </c>
      <c r="L44" s="154" t="s">
        <v>50</v>
      </c>
      <c r="M44" s="155">
        <f t="shared" si="0"/>
        <v>153.12</v>
      </c>
      <c r="N44" s="156" t="str">
        <f>VLOOKUP(C44,'Trips&amp;Operators'!$C$1:$G$99999,5,FALSE)</f>
        <v>MAELZER KURT</v>
      </c>
      <c r="O44" s="182" t="s">
        <v>196</v>
      </c>
      <c r="P44" s="157"/>
      <c r="Q44" s="31"/>
      <c r="R44" s="100" t="str">
        <f>VLOOKUP(C44,'Train Runs'!$A$13:$AE$9972,31,0)</f>
        <v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v>
      </c>
      <c r="S44" s="103" t="str">
        <f>VLOOKUP(C44,'Train Runs'!$A$13:$AE$9972,22,0)</f>
        <v>https://search-rtdc-monitor-bjffxe2xuh6vdkpspy63sjmuny.us-east-1.es.amazonaws.com/_plugin/kibana/#/discover/Steve-Slow-Train-Analysis-(2080s-and-2083s)?_g=(refreshInterval:(display:Off,section:0,value:0),time:(from:'2016-12-14 09:16:56-700',mode:absolute,to:'2016-12-14 11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4" s="105" t="str">
        <f t="shared" si="1"/>
        <v>"C:\Program Files (x86)\AstroGrep\AstroGrep.exe" /spath="%USERPROFILE%\AppData\Local\Temp\OnboardLogs" /stypes="*4029*201612141*" /stext=" 17:.+((SYSTEM_STATE.+slice.+state.+changed )|(ment ac)|(multiple cpu faults)|(system.+state.+changed )|(\[timeout)|(PRM\|1\|D)|(kpr)|(kdp)|(\|lc)|(penalty))" /e /r /s</v>
      </c>
      <c r="U44" s="9" t="str">
        <f t="shared" si="2"/>
        <v>4029</v>
      </c>
      <c r="V44" s="36">
        <f t="shared" si="3"/>
        <v>42718.733576388884</v>
      </c>
      <c r="W44" s="50" t="str">
        <f t="shared" si="4"/>
        <v>NW</v>
      </c>
      <c r="X44" s="50" t="str">
        <f t="shared" si="5"/>
        <v>KEEP</v>
      </c>
      <c r="Y44" s="119" t="str">
        <f t="shared" si="6"/>
        <v>echo {"issue":{"subject":"","project_id":79,"tracker_id":40,"status_id":1,"priority_id":2,"assigned_to_id":23,"start_date":"2016-12-14","description":"","custom_fields":[{"id":1,"name":"Subdivision","value":"NW"},{"id":4,"name":"Milepost","value":"5.9048"},{"id":17,"name":"Train ID","value":"815-14"},{"id":16,"name":"Locomotive ID","value":"4029"},{"id":130,"name":"Impact","value":""},{"id":150,"name":"Time of Event (Mountain Time)","value":"10:36:21"},{"id":151,"name":"Denver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7"/>
        <v>grep -hSE -A100 "Enforcement Action" "%USERPROFILE%\AppData\Local\Temp\OnboardLogs"\RTDC4029\*4029*201612141*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"%USERPROFILE%\AppData\Local\Temp\OnboardLogs"\RTDC4029\*4029*201612141* &gt;&gt; 42718-slicedisagreementcheck.txt</v>
      </c>
    </row>
    <row r="45" spans="1:30" x14ac:dyDescent="0.25">
      <c r="A45" s="36">
        <v>42718.796446759261</v>
      </c>
      <c r="B45" s="31" t="s">
        <v>424</v>
      </c>
      <c r="C45" s="31" t="s">
        <v>446</v>
      </c>
      <c r="D45" s="31" t="s">
        <v>49</v>
      </c>
      <c r="E45" s="31" t="s">
        <v>201</v>
      </c>
      <c r="F45" s="47">
        <v>0</v>
      </c>
      <c r="G45" s="47">
        <v>38</v>
      </c>
      <c r="H45" s="47">
        <v>58903</v>
      </c>
      <c r="I45" s="47">
        <v>58937</v>
      </c>
      <c r="J45" s="31" t="s">
        <v>202</v>
      </c>
      <c r="K45" s="47">
        <v>59048</v>
      </c>
      <c r="L45" s="154" t="s">
        <v>50</v>
      </c>
      <c r="M45" s="155">
        <f t="shared" si="0"/>
        <v>58.607999999999997</v>
      </c>
      <c r="N45" s="156" t="str">
        <f>VLOOKUP(C45,'Trips&amp;Operators'!$C$1:$G$99999,5,FALSE)</f>
        <v>COMELLA JUSTIN</v>
      </c>
      <c r="O45" s="182" t="s">
        <v>230</v>
      </c>
      <c r="P45" s="157" t="s">
        <v>969</v>
      </c>
      <c r="Q45" s="31"/>
      <c r="R45" s="100" t="str">
        <f>VLOOKUP(C45,'Train Runs'!$A$13:$AE$9972,31,0)</f>
        <v>aws s3 cp s3://rtdc.mdm.uploadarchive.raw/RTDC4018/ "%USERPROFILE%\AppData\Local\Temp\OnboardLogs"\RTDC4018\2016-12-14 --exclude "*" --recursive --include "*20161214*" &amp; "%USERPROFILE%\Documents\GitHub\mrs-test-scripts\Headless Mode &amp; Sideloading\WalkAndUnGZ.bat" "%USERPROFILE%\AppData\Local\Temp\OnboardLogs"\RTDC4018\2016-12-14 &amp; aws s3 cp s3://rtdc.mdm.uploadarchive.raw/RTDC4018/ "%USERPROFILE%\AppData\Local\Temp\OnboardLogs"\RTDC4018\2016-12-15 --exclude "*" --recursive --include "*20161215*" &amp; "%USERPROFILE%\Documents\GitHub\mrs-test-scripts\Headless Mode &amp; Sideloading\WalkAndUnGZ.bat" "%USERPROFILE%\AppData\Local\Temp\OnboardLogs"\RTDC4018\2016-12-15</v>
      </c>
      <c r="S45" s="103" t="str">
        <f>VLOOKUP(C45,'Train Runs'!$A$13:$AE$9972,22,0)</f>
        <v>https://search-rtdc-monitor-bjffxe2xuh6vdkpspy63sjmuny.us-east-1.es.amazonaws.com/_plugin/kibana/#/discover/Steve-Slow-Train-Analysis-(2080s-and-2083s)?_g=(refreshInterval:(display:Off,section:0,value:0),time:(from:'2016-12-14 17:45:49-700',mode:absolute,to:'2016-12-14 20:06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45" s="105" t="str">
        <f t="shared" si="1"/>
        <v>"C:\Program Files (x86)\AstroGrep\AstroGrep.exe" /spath="%USERPROFILE%\AppData\Local\Temp\OnboardLogs" /stypes="*4018*201612150*" /stext=" 02:.+((SYSTEM_STATE.+slice.+state.+changed )|(ment ac)|(multiple cpu faults)|(system.+state.+changed )|(\[timeout)|(PRM\|1\|D)|(kpr)|(kdp)|(\|lc)|(penalty))" /e /r /s</v>
      </c>
      <c r="U45" s="9" t="str">
        <f t="shared" si="2"/>
        <v>4018</v>
      </c>
      <c r="V45" s="36">
        <f t="shared" si="3"/>
        <v>42719.088113425925</v>
      </c>
      <c r="W45" s="50" t="str">
        <f t="shared" si="4"/>
        <v>NW</v>
      </c>
      <c r="X45" s="50" t="str">
        <f t="shared" si="5"/>
        <v>KEEP</v>
      </c>
      <c r="Y45" s="119" t="str">
        <f t="shared" si="6"/>
        <v>echo {"issue":{"subject":"Banner without braking","project_id":79,"tracker_id":40,"status_id":1,"priority_id":2,"assigned_to_id":23,"start_date":"2016-12-14","description":"","custom_fields":[{"id":1,"name":"Subdivision","value":"NW"},{"id":4,"name":"Milepost","value":"5.9048"},{"id":17,"name":"Train ID","value":"839-14"},{"id":16,"name":"Locomotive ID","value":"4018"},{"id":130,"name":"Impact","value":""},{"id":150,"name":"Time of Event (Mountain Time)","value":"19:06:53"},{"id":151,"name":"Denver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7"/>
        <v>grep -hSE -A100 "Enforcement Action" "%USERPROFILE%\AppData\Local\Temp\OnboardLogs"\RTDC4018\*4018*201612150*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"%USERPROFILE%\AppData\Local\Temp\OnboardLogs"\RTDC4018\*4018*201612150* &gt;&gt; 42718-slicedisagreementcheck.txt</v>
      </c>
    </row>
    <row r="46" spans="1:30" x14ac:dyDescent="0.25">
      <c r="A46" s="36">
        <v>42718.900381944448</v>
      </c>
      <c r="B46" s="31" t="s">
        <v>261</v>
      </c>
      <c r="C46" s="31" t="s">
        <v>451</v>
      </c>
      <c r="D46" s="31" t="s">
        <v>49</v>
      </c>
      <c r="E46" s="31" t="s">
        <v>201</v>
      </c>
      <c r="F46" s="47">
        <v>0</v>
      </c>
      <c r="G46" s="47">
        <v>37</v>
      </c>
      <c r="H46" s="47">
        <v>58941</v>
      </c>
      <c r="I46" s="47">
        <v>58963</v>
      </c>
      <c r="J46" s="31" t="s">
        <v>202</v>
      </c>
      <c r="K46" s="47">
        <v>59048</v>
      </c>
      <c r="L46" s="154" t="s">
        <v>50</v>
      </c>
      <c r="M46" s="155">
        <f t="shared" si="0"/>
        <v>44.88</v>
      </c>
      <c r="N46" s="156" t="str">
        <f>VLOOKUP(C46,'Trips&amp;Operators'!$C$1:$G$99999,5,FALSE)</f>
        <v>COMELLA JUSTIN</v>
      </c>
      <c r="O46" s="182" t="s">
        <v>196</v>
      </c>
      <c r="P46" s="157"/>
      <c r="Q46" s="31"/>
      <c r="R46" s="100" t="str">
        <f>VLOOKUP(C46,'Train Runs'!$A$13:$AE$9972,31,0)</f>
        <v>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 &amp; aws s3 cp s3://rtdc.mdm.uploadarchive.raw/RTDC4029/ "%USERPROFILE%\AppData\Local\Temp\OnboardLogs"\RTDC4029\2016-12-15 --exclude "*" --recursive --include "*20161215*" &amp; "%USERPROFILE%\Documents\GitHub\mrs-test-scripts\Headless Mode &amp; Sideloading\WalkAndUnGZ.bat" "%USERPROFILE%\AppData\Local\Temp\OnboardLogs"\RTDC4029\2016-12-15</v>
      </c>
      <c r="S46" s="103" t="str">
        <f>VLOOKUP(C46,'Train Runs'!$A$13:$AE$9972,22,0)</f>
        <v>https://search-rtdc-monitor-bjffxe2xuh6vdkpspy63sjmuny.us-east-1.es.amazonaws.com/_plugin/kibana/#/discover/Steve-Slow-Train-Analysis-(2080s-and-2083s)?_g=(refreshInterval:(display:Off,section:0,value:0),time:(from:'2016-12-14 20:02:01-700',mode:absolute,to:'2016-12-14 22:36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6" s="105" t="str">
        <f t="shared" si="1"/>
        <v>"C:\Program Files (x86)\AstroGrep\AstroGrep.exe" /spath="%USERPROFILE%\AppData\Local\Temp\OnboardLogs" /stypes="*4029*201612150*" /stext=" 04:.+((SYSTEM_STATE.+slice.+state.+changed )|(ment ac)|(multiple cpu faults)|(system.+state.+changed )|(\[timeout)|(PRM\|1\|D)|(kpr)|(kdp)|(\|lc)|(penalty))" /e /r /s</v>
      </c>
      <c r="U46" s="9" t="str">
        <f t="shared" si="2"/>
        <v>4029</v>
      </c>
      <c r="V46" s="36">
        <f t="shared" si="3"/>
        <v>42719.192048611112</v>
      </c>
      <c r="W46" s="50" t="str">
        <f t="shared" si="4"/>
        <v>NW</v>
      </c>
      <c r="X46" s="50" t="str">
        <f t="shared" si="5"/>
        <v>KEEP</v>
      </c>
      <c r="Y46" s="119" t="str">
        <f t="shared" si="6"/>
        <v>echo {"issue":{"subject":"","project_id":79,"tracker_id":40,"status_id":1,"priority_id":2,"assigned_to_id":23,"start_date":"2016-12-14","description":"","custom_fields":[{"id":1,"name":"Subdivision","value":"NW"},{"id":4,"name":"Milepost","value":"5.9048"},{"id":17,"name":"Train ID","value":"845-14"},{"id":16,"name":"Locomotive ID","value":"4029"},{"id":130,"name":"Impact","value":""},{"id":150,"name":"Time of Event (Mountain Time)","value":"21:36:33"},{"id":151,"name":"Denver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7"/>
        <v>grep -hSE -A100 "Enforcement Action" "%USERPROFILE%\AppData\Local\Temp\OnboardLogs"\RTDC4029\*4029*201612150*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"%USERPROFILE%\AppData\Local\Temp\OnboardLogs"\RTDC4029\*4029*201612150* &gt;&gt; 42718-slicedisagreementcheck.txt</v>
      </c>
    </row>
    <row r="47" spans="1:30" x14ac:dyDescent="0.25">
      <c r="A47" s="36">
        <v>42718.359837962962</v>
      </c>
      <c r="B47" s="31" t="s">
        <v>424</v>
      </c>
      <c r="C47" s="31" t="s">
        <v>426</v>
      </c>
      <c r="D47" s="31" t="s">
        <v>49</v>
      </c>
      <c r="E47" s="31" t="s">
        <v>259</v>
      </c>
      <c r="F47" s="47">
        <v>90</v>
      </c>
      <c r="G47" s="47">
        <v>146</v>
      </c>
      <c r="H47" s="47">
        <v>10335</v>
      </c>
      <c r="I47" s="47">
        <v>10559</v>
      </c>
      <c r="J47" s="31" t="s">
        <v>260</v>
      </c>
      <c r="K47" s="47">
        <v>10716</v>
      </c>
      <c r="L47" s="154" t="s">
        <v>50</v>
      </c>
      <c r="M47" s="155">
        <f t="shared" si="0"/>
        <v>82.895999999999987</v>
      </c>
      <c r="N47" s="156" t="str">
        <f>VLOOKUP(C47,'Trips&amp;Operators'!$C$1:$G$99999,5,FALSE)</f>
        <v>MAELZER KURT</v>
      </c>
      <c r="O47" s="182" t="s">
        <v>196</v>
      </c>
      <c r="P47" s="157"/>
      <c r="Q47" s="31"/>
      <c r="R47" s="100" t="str">
        <f>VLOOKUP(C47,'Train Runs'!$A$13:$AE$9972,31,0)</f>
        <v>aws s3 cp s3://rtdc.mdm.uploadarchive.raw/RTDC4018/ "%USERPROFILE%\AppData\Local\Temp\OnboardLogs"\RTDC4018\2016-12-14 --exclude "*" --recursive --include "*20161214*" &amp; "%USERPROFILE%\Documents\GitHub\mrs-test-scripts\Headless Mode &amp; Sideloading\WalkAndUnGZ.bat" "%USERPROFILE%\AppData\Local\Temp\OnboardLogs"\RTDC4018\2016-12-14 &amp; aws s3 cp s3://rtdc.mdm.uploadarchive.raw/RTDC4018/ "%USERPROFILE%\AppData\Local\Temp\OnboardLogs"\RTDC4018\2016-12-15 --exclude "*" --recursive --include "*20161215*" &amp; "%USERPROFILE%\Documents\GitHub\mrs-test-scripts\Headless Mode &amp; Sideloading\WalkAndUnGZ.bat" "%USERPROFILE%\AppData\Local\Temp\OnboardLogs"\RTDC4018\2016-12-15</v>
      </c>
      <c r="S47" s="103" t="str">
        <f>VLOOKUP(C47,'Train Runs'!$A$13:$AE$9972,22,0)</f>
        <v>https://search-rtdc-monitor-bjffxe2xuh6vdkpspy63sjmuny.us-east-1.es.amazonaws.com/_plugin/kibana/#/discover/Steve-Slow-Train-Analysis-(2080s-and-2083s)?_g=(refreshInterval:(display:Off,section:0,value:0),time:(from:'2016-12-14 07:31:58-700',mode:absolute,to:'2016-12-14 09:43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47" s="105" t="str">
        <f t="shared" si="1"/>
        <v>"C:\Program Files (x86)\AstroGrep\AstroGrep.exe" /spath="%USERPROFILE%\AppData\Local\Temp\OnboardLogs" /stypes="*4018*201612141*" /stext=" 15:.+((SYSTEM_STATE.+slice.+state.+changed )|(ment ac)|(multiple cpu faults)|(system.+state.+changed )|(\[timeout)|(PRM\|1\|D)|(kpr)|(kdp)|(\|lc)|(penalty))" /e /r /s</v>
      </c>
      <c r="U47" s="9" t="str">
        <f t="shared" si="2"/>
        <v>4018</v>
      </c>
      <c r="V47" s="36">
        <f t="shared" si="3"/>
        <v>42718.651504629626</v>
      </c>
      <c r="W47" s="50" t="str">
        <f t="shared" si="4"/>
        <v>Other</v>
      </c>
      <c r="X47" s="50" t="str">
        <f t="shared" si="5"/>
        <v>KEEP</v>
      </c>
      <c r="Y47" s="119" t="str">
        <f t="shared" si="6"/>
        <v>echo {"issue":{"subject":"","project_id":79,"tracker_id":40,"status_id":1,"priority_id":2,"assigned_to_id":23,"start_date":"2016-12-14","description":"","custom_fields":[{"id":1,"name":"Subdivision","value":"Other"},{"id":4,"name":"Milepost","value":"1.0716"},{"id":17,"name":"Train ID","value":"903-14"},{"id":16,"name":"Locomotive ID","value":"4018"},{"id":130,"name":"Impact","value":""},{"id":150,"name":"Time of Event (Mountain Time)","value":"08:38:10"},{"id":151,"name":"Denver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7"/>
        <v>grep -hSE -A100 "Enforcement Action" "%USERPROFILE%\AppData\Local\Temp\OnboardLogs"\RTDC4018\*4018*201612141*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"%USERPROFILE%\AppData\Local\Temp\OnboardLogs"\RTDC4018\*4018*201612141* &gt;&gt; 42718-slicedisagreementcheck.txt</v>
      </c>
    </row>
    <row r="48" spans="1:30" x14ac:dyDescent="0.25">
      <c r="A48" s="36">
        <v>42718.721203703702</v>
      </c>
      <c r="B48" s="31" t="s">
        <v>347</v>
      </c>
      <c r="C48" s="31" t="s">
        <v>443</v>
      </c>
      <c r="D48" s="31" t="s">
        <v>49</v>
      </c>
      <c r="E48" s="31" t="s">
        <v>201</v>
      </c>
      <c r="F48" s="47">
        <v>0</v>
      </c>
      <c r="G48" s="47">
        <v>36</v>
      </c>
      <c r="H48" s="47">
        <v>917</v>
      </c>
      <c r="I48" s="47">
        <v>865</v>
      </c>
      <c r="J48" s="31" t="s">
        <v>202</v>
      </c>
      <c r="K48" s="47">
        <v>826</v>
      </c>
      <c r="L48" s="154" t="s">
        <v>51</v>
      </c>
      <c r="M48" s="155">
        <f t="shared" si="0"/>
        <v>20.591999999999999</v>
      </c>
      <c r="N48" s="156" t="str">
        <f>VLOOKUP(C48,'Trips&amp;Operators'!$C$1:$G$99999,5,FALSE)</f>
        <v>SIMMONS SHYHESHA</v>
      </c>
      <c r="O48" s="182" t="s">
        <v>196</v>
      </c>
      <c r="P48" s="157"/>
      <c r="Q48" s="31"/>
      <c r="R48" s="100" t="str">
        <f>VLOOKUP(C48,'Train Runs'!$A$13:$AE$9972,31,0)</f>
        <v>aws s3 cp s3://rtdc.mdm.uploadarchive.raw/RTDC4008/ "%USERPROFILE%\AppData\Local\Temp\OnboardLogs"\RTDC4008\2016-12-14 --exclude "*" --recursive --include "*20161214*" &amp; "%USERPROFILE%\Documents\GitHub\mrs-test-scripts\Headless Mode &amp; Sideloading\WalkAndUnGZ.bat" "%USERPROFILE%\AppData\Local\Temp\OnboardLogs"\RTDC4008\2016-12-14 &amp; aws s3 cp s3://rtdc.mdm.uploadarchive.raw/RTDC4008/ "%USERPROFILE%\AppData\Local\Temp\OnboardLogs"\RTDC4008\2016-12-15 --exclude "*" --recursive --include "*20161215*" &amp; "%USERPROFILE%\Documents\GitHub\mrs-test-scripts\Headless Mode &amp; Sideloading\WalkAndUnGZ.bat" "%USERPROFILE%\AppData\Local\Temp\OnboardLogs"\RTDC4008\2016-12-15</v>
      </c>
      <c r="S48" s="103" t="str">
        <f>VLOOKUP(C48,'Train Runs'!$A$13:$AE$9972,22,0)</f>
        <v>https://search-rtdc-monitor-bjffxe2xuh6vdkpspy63sjmuny.us-east-1.es.amazonaws.com/_plugin/kibana/#/discover/Steve-Slow-Train-Analysis-(2080s-and-2083s)?_g=(refreshInterval:(display:Off,section:0,value:0),time:(from:'2016-12-14 16:04:45-700',mode:absolute,to:'2016-12-14 18:18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48" s="105" t="str">
        <f t="shared" si="1"/>
        <v>"C:\Program Files (x86)\AstroGrep\AstroGrep.exe" /spath="%USERPROFILE%\AppData\Local\Temp\OnboardLogs" /stypes="*4008*201612150*" /stext=" 00:.+((SYSTEM_STATE.+slice.+state.+changed )|(ment ac)|(multiple cpu faults)|(system.+state.+changed )|(\[timeout)|(PRM\|1\|D)|(kpr)|(kdp)|(\|lc)|(penalty))" /e /r /s</v>
      </c>
      <c r="U48" s="9" t="str">
        <f t="shared" si="2"/>
        <v>4008</v>
      </c>
      <c r="V48" s="36">
        <f t="shared" si="3"/>
        <v>42719.012870370367</v>
      </c>
      <c r="W48" s="50" t="str">
        <f t="shared" si="4"/>
        <v>Other</v>
      </c>
      <c r="X48" s="50" t="str">
        <f t="shared" si="5"/>
        <v>KEEP</v>
      </c>
      <c r="Y48" s="119" t="str">
        <f t="shared" si="6"/>
        <v>echo {"issue":{"subject":"","project_id":79,"tracker_id":40,"status_id":1,"priority_id":2,"assigned_to_id":23,"start_date":"2016-12-14","description":"","custom_fields":[{"id":1,"name":"Subdivision","value":"Other"},{"id":4,"name":"Milepost","value":"0.0826"},{"id":17,"name":"Train ID","value":"72-14"},{"id":16,"name":"Locomotive ID","value":"4008"},{"id":130,"name":"Impact","value":""},{"id":150,"name":"Time of Event (Mountain Time)","value":"17:18:32"},{"id":151,"name":"Denver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 t="shared" si="7"/>
        <v>grep -hSE -A100 "Enforcement Action" "%USERPROFILE%\AppData\Local\Temp\OnboardLogs"\RTDC4008\*4008*201612150*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"%USERPROFILE%\AppData\Local\Temp\OnboardLogs"\RTDC4008\*4008*201612150* &gt;&gt; 42718-slicedisagreementcheck.txt</v>
      </c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</sheetData>
  <autoFilter ref="A6:AC44">
    <sortState ref="A7:AC48">
      <sortCondition ref="V6:V44"/>
    </sortState>
  </autoFilter>
  <sortState ref="A7:AD48">
    <sortCondition ref="W7:W48"/>
    <sortCondition ref="E7:E48"/>
    <sortCondition ref="K7:K48"/>
    <sortCondition ref="C7:C48"/>
    <sortCondition ref="F7:F48"/>
  </sortState>
  <mergeCells count="1">
    <mergeCell ref="A5:O5"/>
  </mergeCells>
  <conditionalFormatting sqref="O6:P6 R6 O74:O1048576 O7:O4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8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AA7:AA48</xm:sqref>
        </x14:dataValidation>
        <x14:dataValidation type="list" allowBlank="1" showInputMessage="1" showErrorMessage="1">
          <x14:formula1>
            <xm:f>'Redmine List Values'!$C$2:$C$15</xm:f>
          </x14:formula1>
          <xm:sqref>AB7:AB48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A3" sqref="A3:XFD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6" t="str">
        <f>"Trips that did not appear in PTC Data "&amp;TEXT(Variables!$A$2,"YYYY-mm-dd")</f>
        <v>Trips that did not appear in PTC Data 2016-12-14</v>
      </c>
      <c r="C1" s="186"/>
      <c r="D1" s="186"/>
      <c r="E1" s="186"/>
      <c r="F1" s="186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/>
      <c r="B3" s="47" t="str">
        <f>A3&amp;"-"&amp;IF(DAY(Variables!$A$2)&lt;10,0,"")&amp;DAY(Variables!$A$2)</f>
        <v>-14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3" s="31" t="e">
        <f>VLOOKUP(B3,'Train Runs'!$A$13:$A$99969,1,FALSE)</f>
        <v>#N/A</v>
      </c>
      <c r="K3" s="31" t="e">
        <f>IF(VLOOKUP(A3,$K$26:$K$49,1,FALSE),"Cancelled")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-14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4" s="31" t="e">
        <f>VLOOKUP(B4,'Train Runs'!$A$13:$A$99969,1,FALSE)</f>
        <v>#N/A</v>
      </c>
      <c r="K4" s="31" t="e">
        <f>IF(VLOOKUP(A4,$K$26:$K$49,1,FALSE),"Cancelled")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-14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5" s="31" t="e">
        <f>VLOOKUP(B5,'Train Runs'!$A$13:$A$99969,1,FALSE)</f>
        <v>#N/A</v>
      </c>
      <c r="K5" s="31" t="e">
        <f>IF(VLOOKUP(A5,$K$26:$K$49,1,FALSE),"Cancelled")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-14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ref="I6:I1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6" s="31" t="e">
        <f>VLOOKUP(B6,'Train Runs'!$A$13:$A$99969,1,FALSE)</f>
        <v>#N/A</v>
      </c>
      <c r="K6" s="31" t="e">
        <f t="shared" ref="K6:K18" si="2">IF(VLOOKUP(A6,$K$26:$K$49,1,FALSE),"Cancelled")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-14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7" s="31" t="e">
        <f>VLOOKUP(B7,'Train Runs'!$A$13:$A$99969,1,FALSE)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-14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8" s="31" t="e">
        <f>VLOOKUP(B8,'Train Runs'!$A$13:$A$99969,1,FALSE)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-14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9" s="31" t="e">
        <f>VLOOKUP(B9,'Train Runs'!$A$13:$A$99969,1,FALSE)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-14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0" s="31" t="e">
        <f>VLOOKUP(B10,'Train Runs'!$A$13:$A$99969,1,FALSE)</f>
        <v>#N/A</v>
      </c>
      <c r="K10" s="31" t="e">
        <f t="shared" si="2"/>
        <v>#N/A</v>
      </c>
    </row>
    <row r="11" spans="1:11" x14ac:dyDescent="0.25">
      <c r="A11" s="171"/>
      <c r="B11" s="47" t="str">
        <f>A11&amp;"-"&amp;IF(DAY(Variables!$A$2)&lt;10,0,"")&amp;DAY(Variables!$A$2)</f>
        <v>-14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1" s="31" t="e">
        <f>VLOOKUP(B11,'Train Runs'!$A$13:$A$99969,1,FALSE)</f>
        <v>#N/A</v>
      </c>
      <c r="K11" s="31" t="e">
        <f t="shared" si="2"/>
        <v>#N/A</v>
      </c>
    </row>
    <row r="12" spans="1:11" x14ac:dyDescent="0.25">
      <c r="A12" s="171"/>
      <c r="B12" s="47" t="str">
        <f>A12&amp;"-"&amp;IF(DAY(Variables!$A$2)&lt;10,0,"")&amp;DAY(Variables!$A$2)</f>
        <v>-14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2" s="31" t="e">
        <f>VLOOKUP(B12,'Train Runs'!$A$13:$A$99969,1,FALSE)</f>
        <v>#N/A</v>
      </c>
      <c r="K12" s="31" t="e">
        <f t="shared" si="2"/>
        <v>#N/A</v>
      </c>
    </row>
    <row r="13" spans="1:11" x14ac:dyDescent="0.25">
      <c r="A13" s="171"/>
      <c r="B13" s="47" t="str">
        <f>A13&amp;"-"&amp;IF(DAY(Variables!$A$2)&lt;10,0,"")&amp;DAY(Variables!$A$2)</f>
        <v>-14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3" s="31" t="e">
        <f>VLOOKUP(B13,'Train Runs'!$A$13:$A$99969,1,FALSE)</f>
        <v>#N/A</v>
      </c>
      <c r="K13" s="31" t="e">
        <f t="shared" si="2"/>
        <v>#N/A</v>
      </c>
    </row>
    <row r="14" spans="1:11" x14ac:dyDescent="0.25">
      <c r="A14" s="171"/>
      <c r="B14" s="47" t="str">
        <f>A14&amp;"-"&amp;IF(DAY(Variables!$A$2)&lt;10,0,"")&amp;DAY(Variables!$A$2)</f>
        <v>-14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4" s="31" t="e">
        <f>VLOOKUP(B14,'Train Runs'!$A$13:$A$99969,1,FALSE)</f>
        <v>#N/A</v>
      </c>
      <c r="K14" s="31" t="e">
        <f t="shared" si="2"/>
        <v>#N/A</v>
      </c>
    </row>
    <row r="15" spans="1:11" x14ac:dyDescent="0.25">
      <c r="A15" s="171"/>
      <c r="B15" s="47" t="str">
        <f>A15&amp;"-"&amp;IF(DAY(Variables!$A$2)&lt;10,0,"")&amp;DAY(Variables!$A$2)</f>
        <v>-14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5" s="31" t="e">
        <f>VLOOKUP(B15,'Train Runs'!$A$13:$A$99969,1,FALSE)</f>
        <v>#N/A</v>
      </c>
      <c r="K15" s="31" t="e">
        <f t="shared" si="2"/>
        <v>#N/A</v>
      </c>
    </row>
    <row r="16" spans="1:11" x14ac:dyDescent="0.25">
      <c r="A16" s="171"/>
      <c r="B16" s="47" t="str">
        <f>A16&amp;"-"&amp;IF(DAY(Variables!$A$2)&lt;10,0,"")&amp;DAY(Variables!$A$2)</f>
        <v>-14</v>
      </c>
      <c r="C16" s="158"/>
      <c r="D16" s="163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6" s="31" t="e">
        <f>VLOOKUP(B16,'Train Runs'!$A$13:$A$99969,1,FALSE)</f>
        <v>#N/A</v>
      </c>
      <c r="K16" s="31" t="e">
        <f t="shared" si="2"/>
        <v>#N/A</v>
      </c>
    </row>
    <row r="17" spans="1:11" x14ac:dyDescent="0.25">
      <c r="A17" s="171"/>
      <c r="B17" s="47" t="str">
        <f>A17&amp;"-"&amp;IF(DAY(Variables!$A$2)&lt;10,0,"")&amp;DAY(Variables!$A$2)</f>
        <v>-14</v>
      </c>
      <c r="C17" s="158"/>
      <c r="D17" s="163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7" s="31" t="e">
        <f>VLOOKUP(B17,'Train Runs'!$A$13:$A$99969,1,FALSE)</f>
        <v>#N/A</v>
      </c>
      <c r="K17" s="31" t="e">
        <f t="shared" si="2"/>
        <v>#N/A</v>
      </c>
    </row>
    <row r="18" spans="1:11" x14ac:dyDescent="0.25">
      <c r="A18" s="171"/>
      <c r="B18" s="47" t="str">
        <f>A18&amp;"-"&amp;IF(DAY(Variables!$A$2)&lt;10,0,"")&amp;DAY(Variables!$A$2)</f>
        <v>-14</v>
      </c>
      <c r="C18" s="158"/>
      <c r="D18" s="163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8" s="31" t="e">
        <f>VLOOKUP(B18,'Train Runs'!$A$13:$A$99969,1,FALSE)</f>
        <v>#N/A</v>
      </c>
      <c r="K18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270</v>
      </c>
      <c r="G1" s="8" t="s">
        <v>269</v>
      </c>
    </row>
    <row r="2" spans="1:7" x14ac:dyDescent="0.25">
      <c r="A2" s="8">
        <v>42718.047118055554</v>
      </c>
      <c r="B2" s="21" t="s">
        <v>206</v>
      </c>
      <c r="C2" s="21" t="s">
        <v>378</v>
      </c>
      <c r="D2" s="165">
        <v>1290000</v>
      </c>
      <c r="E2" s="21" t="s">
        <v>253</v>
      </c>
      <c r="F2" s="21" t="s">
        <v>264</v>
      </c>
      <c r="G2" s="8" t="str">
        <f>E2&amp;" "&amp;F2</f>
        <v>COOLAHAN JOHN</v>
      </c>
    </row>
    <row r="3" spans="1:7" x14ac:dyDescent="0.25">
      <c r="A3" s="8">
        <v>42718.055821759262</v>
      </c>
      <c r="B3" s="21" t="s">
        <v>271</v>
      </c>
      <c r="C3" s="21" t="s">
        <v>379</v>
      </c>
      <c r="D3" s="165">
        <v>1800000</v>
      </c>
      <c r="E3" s="21" t="s">
        <v>242</v>
      </c>
      <c r="F3" s="21" t="s">
        <v>273</v>
      </c>
      <c r="G3" s="8" t="str">
        <f t="shared" ref="G3:G66" si="0">E3&amp;" "&amp;F3</f>
        <v>CHANDLER KELVIN</v>
      </c>
    </row>
    <row r="4" spans="1:7" x14ac:dyDescent="0.25">
      <c r="A4" s="8">
        <v>42718.067662037036</v>
      </c>
      <c r="B4" s="21" t="s">
        <v>216</v>
      </c>
      <c r="C4" s="21" t="s">
        <v>380</v>
      </c>
      <c r="D4" s="165">
        <v>1230000</v>
      </c>
      <c r="E4" s="21" t="s">
        <v>256</v>
      </c>
      <c r="F4" s="21" t="s">
        <v>265</v>
      </c>
      <c r="G4" s="8" t="str">
        <f t="shared" si="0"/>
        <v>YANAI IAN</v>
      </c>
    </row>
    <row r="5" spans="1:7" x14ac:dyDescent="0.25">
      <c r="A5" s="8">
        <v>42718.095694444448</v>
      </c>
      <c r="B5" s="21" t="s">
        <v>272</v>
      </c>
      <c r="C5" s="21" t="s">
        <v>381</v>
      </c>
      <c r="D5" s="165">
        <v>1800000</v>
      </c>
      <c r="E5" s="21" t="s">
        <v>242</v>
      </c>
      <c r="F5" s="21" t="s">
        <v>273</v>
      </c>
      <c r="G5" s="8" t="str">
        <f t="shared" si="0"/>
        <v>CHANDLER KELVIN</v>
      </c>
    </row>
    <row r="6" spans="1:7" x14ac:dyDescent="0.25">
      <c r="A6" s="8">
        <v>42718.118668981479</v>
      </c>
      <c r="B6" s="21" t="s">
        <v>262</v>
      </c>
      <c r="C6" s="21" t="s">
        <v>456</v>
      </c>
      <c r="D6" s="165">
        <v>1240000</v>
      </c>
      <c r="E6" s="21" t="s">
        <v>457</v>
      </c>
      <c r="F6" s="21" t="s">
        <v>458</v>
      </c>
      <c r="G6" s="8" t="str">
        <f t="shared" si="0"/>
        <v>GRASTON MATHEU</v>
      </c>
    </row>
    <row r="7" spans="1:7" x14ac:dyDescent="0.25">
      <c r="A7" s="8">
        <v>42718.130578703705</v>
      </c>
      <c r="B7" s="21" t="s">
        <v>208</v>
      </c>
      <c r="C7" s="21" t="s">
        <v>459</v>
      </c>
      <c r="D7" s="165">
        <v>1240000</v>
      </c>
      <c r="E7" s="21" t="s">
        <v>457</v>
      </c>
      <c r="F7" s="21" t="s">
        <v>458</v>
      </c>
      <c r="G7" s="8" t="str">
        <f t="shared" si="0"/>
        <v>GRASTON MATHEU</v>
      </c>
    </row>
    <row r="8" spans="1:7" x14ac:dyDescent="0.25">
      <c r="A8" s="8">
        <v>42718.140474537038</v>
      </c>
      <c r="B8" s="21" t="s">
        <v>346</v>
      </c>
      <c r="C8" s="21" t="s">
        <v>460</v>
      </c>
      <c r="D8" s="165">
        <v>1260000</v>
      </c>
      <c r="E8" s="21" t="s">
        <v>305</v>
      </c>
      <c r="F8" s="21" t="s">
        <v>306</v>
      </c>
      <c r="G8" s="8" t="str">
        <f t="shared" si="0"/>
        <v>ACKERMAN JARED</v>
      </c>
    </row>
    <row r="9" spans="1:7" ht="15.75" thickBot="1" x14ac:dyDescent="0.3">
      <c r="A9" s="25">
        <v>42718.15283564815</v>
      </c>
      <c r="B9" s="21" t="s">
        <v>228</v>
      </c>
      <c r="C9" s="21" t="s">
        <v>461</v>
      </c>
      <c r="D9" s="165">
        <v>1260000</v>
      </c>
      <c r="E9" s="21" t="s">
        <v>305</v>
      </c>
      <c r="F9" s="21" t="s">
        <v>306</v>
      </c>
      <c r="G9" s="8" t="str">
        <f t="shared" si="0"/>
        <v>ACKERMAN JARED</v>
      </c>
    </row>
    <row r="10" spans="1:7" x14ac:dyDescent="0.25">
      <c r="A10" s="8">
        <v>42718.161678240744</v>
      </c>
      <c r="B10" s="21" t="s">
        <v>241</v>
      </c>
      <c r="C10" s="21" t="s">
        <v>462</v>
      </c>
      <c r="D10" s="165">
        <v>1780000</v>
      </c>
      <c r="E10" s="21" t="s">
        <v>287</v>
      </c>
      <c r="F10" s="21" t="s">
        <v>288</v>
      </c>
      <c r="G10" s="8" t="str">
        <f t="shared" si="0"/>
        <v>DE LA ROSA ALEX</v>
      </c>
    </row>
    <row r="11" spans="1:7" x14ac:dyDescent="0.25">
      <c r="A11" s="8">
        <v>42718.171041666668</v>
      </c>
      <c r="B11" s="21" t="s">
        <v>155</v>
      </c>
      <c r="C11" s="21" t="s">
        <v>463</v>
      </c>
      <c r="D11" s="165">
        <v>1090000</v>
      </c>
      <c r="E11" s="21" t="s">
        <v>351</v>
      </c>
      <c r="F11" s="21" t="s">
        <v>283</v>
      </c>
      <c r="G11" s="8" t="str">
        <f t="shared" si="0"/>
        <v>SPECTOR MICHAEL</v>
      </c>
    </row>
    <row r="12" spans="1:7" x14ac:dyDescent="0.25">
      <c r="A12" s="8">
        <v>42718.171076388891</v>
      </c>
      <c r="B12" s="21" t="s">
        <v>262</v>
      </c>
      <c r="C12" s="21" t="s">
        <v>464</v>
      </c>
      <c r="D12" s="165">
        <v>1240000</v>
      </c>
      <c r="E12" s="21" t="s">
        <v>457</v>
      </c>
      <c r="F12" s="21" t="s">
        <v>458</v>
      </c>
      <c r="G12" s="8" t="str">
        <f t="shared" si="0"/>
        <v>GRASTON MATHEU</v>
      </c>
    </row>
    <row r="13" spans="1:7" x14ac:dyDescent="0.25">
      <c r="A13" s="8">
        <v>42718.171631944446</v>
      </c>
      <c r="B13" s="21" t="s">
        <v>234</v>
      </c>
      <c r="C13" s="21" t="s">
        <v>465</v>
      </c>
      <c r="D13" s="165">
        <v>1780000</v>
      </c>
      <c r="E13" s="21" t="s">
        <v>287</v>
      </c>
      <c r="F13" s="21" t="s">
        <v>288</v>
      </c>
      <c r="G13" s="8" t="str">
        <f t="shared" si="0"/>
        <v>DE LA ROSA ALEX</v>
      </c>
    </row>
    <row r="14" spans="1:7" x14ac:dyDescent="0.25">
      <c r="A14" s="8">
        <v>42718.183449074073</v>
      </c>
      <c r="B14" s="21" t="s">
        <v>278</v>
      </c>
      <c r="C14" s="21" t="s">
        <v>466</v>
      </c>
      <c r="D14" s="165">
        <v>920000</v>
      </c>
      <c r="E14" s="21" t="s">
        <v>284</v>
      </c>
      <c r="F14" s="21" t="s">
        <v>283</v>
      </c>
      <c r="G14" s="8" t="str">
        <f t="shared" si="0"/>
        <v>DAVIS MICHAEL</v>
      </c>
    </row>
    <row r="15" spans="1:7" x14ac:dyDescent="0.25">
      <c r="A15" s="8">
        <v>42718.18478009259</v>
      </c>
      <c r="B15" s="21" t="s">
        <v>154</v>
      </c>
      <c r="C15" s="21" t="s">
        <v>467</v>
      </c>
      <c r="D15" s="165">
        <v>1090000</v>
      </c>
      <c r="E15" s="21" t="s">
        <v>351</v>
      </c>
      <c r="F15" s="21" t="s">
        <v>283</v>
      </c>
      <c r="G15" s="8" t="str">
        <f t="shared" si="0"/>
        <v>SPECTOR MICHAEL</v>
      </c>
    </row>
    <row r="16" spans="1:7" x14ac:dyDescent="0.25">
      <c r="A16" s="8">
        <v>42718.191087962965</v>
      </c>
      <c r="B16" s="21" t="s">
        <v>346</v>
      </c>
      <c r="C16" s="21" t="s">
        <v>468</v>
      </c>
      <c r="D16" s="165">
        <v>1260000</v>
      </c>
      <c r="E16" s="21" t="s">
        <v>305</v>
      </c>
      <c r="F16" s="21" t="s">
        <v>306</v>
      </c>
      <c r="G16" s="8" t="str">
        <f t="shared" si="0"/>
        <v>ACKERMAN JARED</v>
      </c>
    </row>
    <row r="17" spans="1:7" x14ac:dyDescent="0.25">
      <c r="A17" s="8">
        <v>42718.194745370369</v>
      </c>
      <c r="B17" s="21" t="s">
        <v>251</v>
      </c>
      <c r="C17" s="21" t="s">
        <v>469</v>
      </c>
      <c r="D17" s="165">
        <v>920000</v>
      </c>
      <c r="E17" s="21" t="s">
        <v>284</v>
      </c>
      <c r="F17" s="21" t="s">
        <v>283</v>
      </c>
      <c r="G17" s="8" t="str">
        <f t="shared" si="0"/>
        <v>DAVIS MICHAEL</v>
      </c>
    </row>
    <row r="18" spans="1:7" x14ac:dyDescent="0.25">
      <c r="A18" s="8">
        <v>42718.205775462964</v>
      </c>
      <c r="B18" s="21" t="s">
        <v>424</v>
      </c>
      <c r="C18" s="21" t="s">
        <v>470</v>
      </c>
      <c r="D18" s="165">
        <v>1110000</v>
      </c>
      <c r="E18" s="21" t="s">
        <v>307</v>
      </c>
      <c r="F18" s="21" t="s">
        <v>308</v>
      </c>
      <c r="G18" s="8" t="str">
        <f t="shared" si="0"/>
        <v>STARKS ANGELINA</v>
      </c>
    </row>
    <row r="19" spans="1:7" x14ac:dyDescent="0.25">
      <c r="A19" s="8">
        <v>42718.206145833334</v>
      </c>
      <c r="B19" s="21" t="s">
        <v>208</v>
      </c>
      <c r="C19" s="21" t="s">
        <v>471</v>
      </c>
      <c r="D19" s="165">
        <v>900000</v>
      </c>
      <c r="E19" s="21" t="s">
        <v>472</v>
      </c>
      <c r="F19" s="21" t="s">
        <v>473</v>
      </c>
      <c r="G19" s="8" t="str">
        <f t="shared" si="0"/>
        <v>ROCHA YAOTL</v>
      </c>
    </row>
    <row r="20" spans="1:7" x14ac:dyDescent="0.25">
      <c r="A20" s="8">
        <v>42718.206331018519</v>
      </c>
      <c r="B20" s="21" t="s">
        <v>184</v>
      </c>
      <c r="C20" s="21" t="s">
        <v>474</v>
      </c>
      <c r="D20" s="165">
        <v>1240000</v>
      </c>
      <c r="E20" s="21" t="s">
        <v>457</v>
      </c>
      <c r="F20" s="21" t="s">
        <v>458</v>
      </c>
      <c r="G20" s="8" t="str">
        <f t="shared" si="0"/>
        <v>GRASTON MATHEU</v>
      </c>
    </row>
    <row r="21" spans="1:7" x14ac:dyDescent="0.25">
      <c r="A21" s="8">
        <v>42718.206990740742</v>
      </c>
      <c r="B21" s="21" t="s">
        <v>424</v>
      </c>
      <c r="C21" s="21" t="s">
        <v>470</v>
      </c>
      <c r="D21" s="165">
        <v>1110000</v>
      </c>
      <c r="E21" s="21" t="s">
        <v>307</v>
      </c>
      <c r="F21" s="21" t="s">
        <v>308</v>
      </c>
      <c r="G21" s="8" t="str">
        <f t="shared" si="0"/>
        <v>STARKS ANGELINA</v>
      </c>
    </row>
    <row r="22" spans="1:7" x14ac:dyDescent="0.25">
      <c r="A22" s="27">
        <v>42718.209745370368</v>
      </c>
      <c r="B22" s="21" t="s">
        <v>241</v>
      </c>
      <c r="C22" s="21" t="s">
        <v>475</v>
      </c>
      <c r="D22" s="165">
        <v>1780000</v>
      </c>
      <c r="E22" s="21" t="s">
        <v>287</v>
      </c>
      <c r="F22" s="21" t="s">
        <v>288</v>
      </c>
      <c r="G22" s="8" t="str">
        <f t="shared" si="0"/>
        <v>DE LA ROSA ALEX</v>
      </c>
    </row>
    <row r="23" spans="1:7" x14ac:dyDescent="0.25">
      <c r="A23" s="8">
        <v>42718.217141203706</v>
      </c>
      <c r="B23" s="21" t="s">
        <v>476</v>
      </c>
      <c r="C23" s="21" t="s">
        <v>477</v>
      </c>
      <c r="D23" s="165">
        <v>1110000</v>
      </c>
      <c r="E23" s="21" t="s">
        <v>307</v>
      </c>
      <c r="F23" s="21" t="s">
        <v>308</v>
      </c>
      <c r="G23" s="8" t="str">
        <f t="shared" si="0"/>
        <v>STARKS ANGELINA</v>
      </c>
    </row>
    <row r="24" spans="1:7" x14ac:dyDescent="0.25">
      <c r="A24" s="8">
        <v>42718.224710648145</v>
      </c>
      <c r="B24" s="21" t="s">
        <v>155</v>
      </c>
      <c r="C24" s="21" t="s">
        <v>420</v>
      </c>
      <c r="D24" s="165">
        <v>1090000</v>
      </c>
      <c r="E24" s="21" t="s">
        <v>351</v>
      </c>
      <c r="F24" s="21" t="s">
        <v>283</v>
      </c>
      <c r="G24" s="8" t="str">
        <f t="shared" si="0"/>
        <v>SPECTOR MICHAEL</v>
      </c>
    </row>
    <row r="25" spans="1:7" x14ac:dyDescent="0.25">
      <c r="A25" s="8">
        <v>42718.231087962966</v>
      </c>
      <c r="B25" s="21" t="s">
        <v>228</v>
      </c>
      <c r="C25" s="21" t="s">
        <v>478</v>
      </c>
      <c r="D25" s="165">
        <v>2220000</v>
      </c>
      <c r="E25" s="21" t="s">
        <v>354</v>
      </c>
      <c r="F25" s="21" t="s">
        <v>355</v>
      </c>
      <c r="G25" s="8" t="str">
        <f t="shared" si="0"/>
        <v>HILLS DUSTIN</v>
      </c>
    </row>
    <row r="26" spans="1:7" x14ac:dyDescent="0.25">
      <c r="A26" s="8">
        <v>42718.233530092592</v>
      </c>
      <c r="B26" s="21" t="s">
        <v>278</v>
      </c>
      <c r="C26" s="21" t="s">
        <v>421</v>
      </c>
      <c r="D26" s="165">
        <v>920000</v>
      </c>
      <c r="E26" s="21" t="s">
        <v>284</v>
      </c>
      <c r="F26" s="21" t="s">
        <v>283</v>
      </c>
      <c r="G26" s="8" t="str">
        <f t="shared" si="0"/>
        <v>DAVIS MICHAEL</v>
      </c>
    </row>
    <row r="27" spans="1:7" x14ac:dyDescent="0.25">
      <c r="A27" s="8">
        <v>42718.235254629632</v>
      </c>
      <c r="B27" s="21" t="s">
        <v>353</v>
      </c>
      <c r="C27" s="21" t="s">
        <v>479</v>
      </c>
      <c r="D27" s="165">
        <v>1260000</v>
      </c>
      <c r="E27" s="21" t="s">
        <v>305</v>
      </c>
      <c r="F27" s="21" t="s">
        <v>306</v>
      </c>
      <c r="G27" s="8" t="str">
        <f t="shared" si="0"/>
        <v>ACKERMAN JARED</v>
      </c>
    </row>
    <row r="28" spans="1:7" x14ac:dyDescent="0.25">
      <c r="A28" s="8">
        <v>42718.242627314816</v>
      </c>
      <c r="B28" s="21" t="s">
        <v>424</v>
      </c>
      <c r="C28" s="21" t="s">
        <v>480</v>
      </c>
      <c r="D28" s="165">
        <v>1110000</v>
      </c>
      <c r="E28" s="21" t="s">
        <v>307</v>
      </c>
      <c r="F28" s="21" t="s">
        <v>308</v>
      </c>
      <c r="G28" s="8" t="str">
        <f t="shared" si="0"/>
        <v>STARKS ANGELINA</v>
      </c>
    </row>
    <row r="29" spans="1:7" x14ac:dyDescent="0.25">
      <c r="A29" s="8">
        <v>42718.245659722219</v>
      </c>
      <c r="B29" s="21" t="s">
        <v>258</v>
      </c>
      <c r="C29" s="21" t="s">
        <v>481</v>
      </c>
      <c r="D29" s="165">
        <v>1100000</v>
      </c>
      <c r="E29" s="21" t="s">
        <v>482</v>
      </c>
      <c r="F29" s="21" t="s">
        <v>483</v>
      </c>
      <c r="G29" s="8" t="str">
        <f t="shared" si="0"/>
        <v>GEBRETEKLE DAGNEW</v>
      </c>
    </row>
    <row r="30" spans="1:7" x14ac:dyDescent="0.25">
      <c r="A30" s="8">
        <v>42718.246388888889</v>
      </c>
      <c r="B30" s="21" t="s">
        <v>209</v>
      </c>
      <c r="C30" s="21" t="s">
        <v>484</v>
      </c>
      <c r="D30" s="165">
        <v>900000</v>
      </c>
      <c r="E30" s="21" t="s">
        <v>472</v>
      </c>
      <c r="F30" s="21" t="s">
        <v>473</v>
      </c>
      <c r="G30" s="8" t="str">
        <f t="shared" si="0"/>
        <v>ROCHA YAOTL</v>
      </c>
    </row>
    <row r="31" spans="1:7" x14ac:dyDescent="0.25">
      <c r="A31" s="8">
        <v>42718.249120370368</v>
      </c>
      <c r="B31" s="21" t="s">
        <v>262</v>
      </c>
      <c r="C31" s="21" t="s">
        <v>485</v>
      </c>
      <c r="D31" s="165">
        <v>1240000</v>
      </c>
      <c r="E31" s="21" t="s">
        <v>457</v>
      </c>
      <c r="F31" s="21" t="s">
        <v>458</v>
      </c>
      <c r="G31" s="8" t="str">
        <f t="shared" si="0"/>
        <v>GRASTON MATHEU</v>
      </c>
    </row>
    <row r="32" spans="1:7" x14ac:dyDescent="0.25">
      <c r="A32" s="8">
        <v>42718.249756944446</v>
      </c>
      <c r="B32" s="21" t="s">
        <v>234</v>
      </c>
      <c r="C32" s="21" t="s">
        <v>486</v>
      </c>
      <c r="D32" s="165">
        <v>1780000</v>
      </c>
      <c r="E32" s="21" t="s">
        <v>287</v>
      </c>
      <c r="F32" s="21" t="s">
        <v>288</v>
      </c>
      <c r="G32" s="8" t="str">
        <f t="shared" si="0"/>
        <v>DE LA ROSA ALEX</v>
      </c>
    </row>
    <row r="33" spans="1:7" x14ac:dyDescent="0.25">
      <c r="A33" s="8">
        <v>42718.255868055552</v>
      </c>
      <c r="B33" s="21" t="s">
        <v>476</v>
      </c>
      <c r="C33" s="21" t="s">
        <v>487</v>
      </c>
      <c r="D33" s="165">
        <v>1110000</v>
      </c>
      <c r="E33" s="21" t="s">
        <v>307</v>
      </c>
      <c r="F33" s="21" t="s">
        <v>308</v>
      </c>
      <c r="G33" s="8" t="str">
        <f t="shared" si="0"/>
        <v>STARKS ANGELINA</v>
      </c>
    </row>
    <row r="34" spans="1:7" x14ac:dyDescent="0.25">
      <c r="A34" s="8">
        <v>42718.258148148147</v>
      </c>
      <c r="B34" s="21" t="s">
        <v>261</v>
      </c>
      <c r="C34" s="21" t="s">
        <v>488</v>
      </c>
      <c r="D34" s="165">
        <v>1100000</v>
      </c>
      <c r="E34" s="21" t="s">
        <v>482</v>
      </c>
      <c r="F34" s="21" t="s">
        <v>483</v>
      </c>
      <c r="G34" s="8" t="str">
        <f t="shared" si="0"/>
        <v>GEBRETEKLE DAGNEW</v>
      </c>
    </row>
    <row r="35" spans="1:7" x14ac:dyDescent="0.25">
      <c r="A35" s="8">
        <v>42718.261076388888</v>
      </c>
      <c r="B35" s="21" t="s">
        <v>154</v>
      </c>
      <c r="C35" s="21" t="s">
        <v>489</v>
      </c>
      <c r="D35" s="165">
        <v>1090000</v>
      </c>
      <c r="E35" s="21" t="s">
        <v>351</v>
      </c>
      <c r="F35" s="21" t="s">
        <v>283</v>
      </c>
      <c r="G35" s="8" t="str">
        <f t="shared" si="0"/>
        <v>SPECTOR MICHAEL</v>
      </c>
    </row>
    <row r="36" spans="1:7" x14ac:dyDescent="0.25">
      <c r="A36" s="8">
        <v>42718.263020833336</v>
      </c>
      <c r="B36" s="21" t="s">
        <v>321</v>
      </c>
      <c r="C36" s="21" t="s">
        <v>490</v>
      </c>
      <c r="D36" s="165">
        <v>2220000</v>
      </c>
      <c r="E36" s="21" t="s">
        <v>354</v>
      </c>
      <c r="F36" s="21" t="s">
        <v>355</v>
      </c>
      <c r="G36" s="8" t="str">
        <f t="shared" si="0"/>
        <v>HILLS DUSTIN</v>
      </c>
    </row>
    <row r="37" spans="1:7" x14ac:dyDescent="0.25">
      <c r="A37" s="8">
        <v>42718.269618055558</v>
      </c>
      <c r="B37" s="21" t="s">
        <v>251</v>
      </c>
      <c r="C37" s="21" t="s">
        <v>491</v>
      </c>
      <c r="D37" s="165">
        <v>920000</v>
      </c>
      <c r="E37" s="21" t="s">
        <v>284</v>
      </c>
      <c r="F37" s="21" t="s">
        <v>283</v>
      </c>
      <c r="G37" s="8" t="str">
        <f t="shared" si="0"/>
        <v>DAVIS MICHAEL</v>
      </c>
    </row>
    <row r="38" spans="1:7" x14ac:dyDescent="0.25">
      <c r="A38" s="8">
        <v>42718.272847222222</v>
      </c>
      <c r="B38" s="21" t="s">
        <v>346</v>
      </c>
      <c r="C38" s="21" t="s">
        <v>492</v>
      </c>
      <c r="D38" s="165">
        <v>1260000</v>
      </c>
      <c r="E38" s="21" t="s">
        <v>305</v>
      </c>
      <c r="F38" s="21" t="s">
        <v>306</v>
      </c>
      <c r="G38" s="8" t="str">
        <f t="shared" si="0"/>
        <v>ACKERMAN JARED</v>
      </c>
    </row>
    <row r="39" spans="1:7" x14ac:dyDescent="0.25">
      <c r="A39" s="8">
        <v>42718.275578703702</v>
      </c>
      <c r="B39" s="21" t="s">
        <v>258</v>
      </c>
      <c r="C39" s="21" t="s">
        <v>493</v>
      </c>
      <c r="D39" s="165">
        <v>1100000</v>
      </c>
      <c r="E39" s="21" t="s">
        <v>482</v>
      </c>
      <c r="F39" s="21" t="s">
        <v>483</v>
      </c>
      <c r="G39" s="8" t="str">
        <f t="shared" si="0"/>
        <v>GEBRETEKLE DAGNEW</v>
      </c>
    </row>
    <row r="40" spans="1:7" x14ac:dyDescent="0.25">
      <c r="A40" s="8">
        <v>42718.279664351852</v>
      </c>
      <c r="B40" s="26" t="s">
        <v>208</v>
      </c>
      <c r="C40" s="21" t="s">
        <v>494</v>
      </c>
      <c r="D40" s="165">
        <v>900000</v>
      </c>
      <c r="E40" s="21" t="s">
        <v>472</v>
      </c>
      <c r="F40" s="21" t="s">
        <v>473</v>
      </c>
      <c r="G40" s="8" t="str">
        <f t="shared" si="0"/>
        <v>ROCHA YAOTL</v>
      </c>
    </row>
    <row r="41" spans="1:7" x14ac:dyDescent="0.25">
      <c r="A41" s="8">
        <v>42718.280335648145</v>
      </c>
      <c r="B41" s="21" t="s">
        <v>424</v>
      </c>
      <c r="C41" s="21" t="s">
        <v>495</v>
      </c>
      <c r="D41" s="165">
        <v>2010000</v>
      </c>
      <c r="E41" s="21" t="s">
        <v>496</v>
      </c>
      <c r="F41" s="21" t="s">
        <v>497</v>
      </c>
      <c r="G41" s="8" t="str">
        <f t="shared" si="0"/>
        <v>MAELZER KURT</v>
      </c>
    </row>
    <row r="42" spans="1:7" x14ac:dyDescent="0.25">
      <c r="A42" s="8">
        <v>42718.284456018519</v>
      </c>
      <c r="B42" s="21" t="s">
        <v>280</v>
      </c>
      <c r="C42" s="21" t="s">
        <v>498</v>
      </c>
      <c r="D42" s="165">
        <v>1780000</v>
      </c>
      <c r="E42" s="21" t="s">
        <v>287</v>
      </c>
      <c r="F42" s="21" t="s">
        <v>288</v>
      </c>
      <c r="G42" s="8" t="str">
        <f t="shared" si="0"/>
        <v>DE LA ROSA ALEX</v>
      </c>
    </row>
    <row r="43" spans="1:7" x14ac:dyDescent="0.25">
      <c r="A43" s="8">
        <v>42718.286076388889</v>
      </c>
      <c r="B43" s="21" t="s">
        <v>280</v>
      </c>
      <c r="C43" s="21" t="s">
        <v>498</v>
      </c>
      <c r="D43" s="165">
        <v>1780000</v>
      </c>
      <c r="E43" s="21" t="s">
        <v>287</v>
      </c>
      <c r="F43" s="21" t="s">
        <v>288</v>
      </c>
      <c r="G43" s="8" t="str">
        <f t="shared" si="0"/>
        <v>DE LA ROSA ALEX</v>
      </c>
    </row>
    <row r="44" spans="1:7" x14ac:dyDescent="0.25">
      <c r="A44" s="8">
        <v>42718.289768518516</v>
      </c>
      <c r="B44" s="21" t="s">
        <v>184</v>
      </c>
      <c r="C44" s="21" t="s">
        <v>499</v>
      </c>
      <c r="D44" s="165">
        <v>1240000</v>
      </c>
      <c r="E44" s="21" t="s">
        <v>457</v>
      </c>
      <c r="F44" s="21" t="s">
        <v>458</v>
      </c>
      <c r="G44" s="8" t="str">
        <f t="shared" si="0"/>
        <v>GRASTON MATHEU</v>
      </c>
    </row>
    <row r="45" spans="1:7" x14ac:dyDescent="0.25">
      <c r="A45" s="8">
        <v>42718.291203703702</v>
      </c>
      <c r="B45" s="21" t="s">
        <v>261</v>
      </c>
      <c r="C45" s="21" t="s">
        <v>500</v>
      </c>
      <c r="D45" s="165">
        <v>1100000</v>
      </c>
      <c r="E45" s="21" t="s">
        <v>482</v>
      </c>
      <c r="F45" s="21" t="s">
        <v>483</v>
      </c>
      <c r="G45" s="8" t="str">
        <f t="shared" si="0"/>
        <v>GEBRETEKLE DAGNEW</v>
      </c>
    </row>
    <row r="46" spans="1:7" x14ac:dyDescent="0.25">
      <c r="A46" s="8">
        <v>42718.295983796299</v>
      </c>
      <c r="B46" s="21" t="s">
        <v>155</v>
      </c>
      <c r="C46" s="21" t="s">
        <v>423</v>
      </c>
      <c r="D46" s="165">
        <v>1090000</v>
      </c>
      <c r="E46" s="21" t="s">
        <v>351</v>
      </c>
      <c r="F46" s="21" t="s">
        <v>283</v>
      </c>
      <c r="G46" s="8" t="str">
        <f t="shared" si="0"/>
        <v>SPECTOR MICHAEL</v>
      </c>
    </row>
    <row r="47" spans="1:7" x14ac:dyDescent="0.25">
      <c r="A47" s="8">
        <v>42718.297905092593</v>
      </c>
      <c r="B47" s="21" t="s">
        <v>228</v>
      </c>
      <c r="C47" s="21" t="s">
        <v>501</v>
      </c>
      <c r="D47" s="165">
        <v>2220000</v>
      </c>
      <c r="E47" s="21" t="s">
        <v>354</v>
      </c>
      <c r="F47" s="21" t="s">
        <v>355</v>
      </c>
      <c r="G47" s="8" t="str">
        <f t="shared" si="0"/>
        <v>HILLS DUSTIN</v>
      </c>
    </row>
    <row r="48" spans="1:7" x14ac:dyDescent="0.25">
      <c r="A48" s="8">
        <v>42718.298009259262</v>
      </c>
      <c r="B48" s="21" t="s">
        <v>476</v>
      </c>
      <c r="C48" s="21" t="s">
        <v>502</v>
      </c>
      <c r="D48" s="165">
        <v>2010000</v>
      </c>
      <c r="E48" s="21" t="s">
        <v>496</v>
      </c>
      <c r="F48" s="21" t="s">
        <v>497</v>
      </c>
      <c r="G48" s="8" t="str">
        <f t="shared" si="0"/>
        <v>MAELZER KURT</v>
      </c>
    </row>
    <row r="49" spans="1:7" x14ac:dyDescent="0.25">
      <c r="A49" s="8">
        <v>42718.304756944446</v>
      </c>
      <c r="B49" s="21" t="s">
        <v>278</v>
      </c>
      <c r="C49" s="21" t="s">
        <v>503</v>
      </c>
      <c r="D49" s="165">
        <v>920000</v>
      </c>
      <c r="E49" s="21" t="s">
        <v>284</v>
      </c>
      <c r="F49" s="21" t="s">
        <v>283</v>
      </c>
      <c r="G49" s="8" t="str">
        <f t="shared" si="0"/>
        <v>DAVIS MICHAEL</v>
      </c>
    </row>
    <row r="50" spans="1:7" x14ac:dyDescent="0.25">
      <c r="A50" s="8">
        <v>42718.312754629631</v>
      </c>
      <c r="B50" s="21" t="s">
        <v>353</v>
      </c>
      <c r="C50" s="21" t="s">
        <v>422</v>
      </c>
      <c r="D50" s="165">
        <v>2270000</v>
      </c>
      <c r="E50" s="21" t="s">
        <v>504</v>
      </c>
      <c r="F50" s="21" t="s">
        <v>505</v>
      </c>
      <c r="G50" s="8" t="str">
        <f t="shared" si="0"/>
        <v>BROWN JACOB</v>
      </c>
    </row>
    <row r="51" spans="1:7" x14ac:dyDescent="0.25">
      <c r="A51" s="8">
        <v>42718.317557870374</v>
      </c>
      <c r="B51" s="21" t="s">
        <v>258</v>
      </c>
      <c r="C51" s="21" t="s">
        <v>506</v>
      </c>
      <c r="D51" s="165">
        <v>1100000</v>
      </c>
      <c r="E51" s="21" t="s">
        <v>482</v>
      </c>
      <c r="F51" s="21" t="s">
        <v>483</v>
      </c>
      <c r="G51" s="8" t="str">
        <f t="shared" si="0"/>
        <v>GEBRETEKLE DAGNEW</v>
      </c>
    </row>
    <row r="52" spans="1:7" x14ac:dyDescent="0.25">
      <c r="A52" s="8">
        <v>42718.318055555559</v>
      </c>
      <c r="B52" s="21" t="s">
        <v>209</v>
      </c>
      <c r="C52" s="21" t="s">
        <v>507</v>
      </c>
      <c r="D52" s="165">
        <v>900000</v>
      </c>
      <c r="E52" s="21" t="s">
        <v>472</v>
      </c>
      <c r="F52" s="21" t="s">
        <v>473</v>
      </c>
      <c r="G52" s="8" t="str">
        <f t="shared" si="0"/>
        <v>ROCHA YAOTL</v>
      </c>
    </row>
    <row r="53" spans="1:7" x14ac:dyDescent="0.25">
      <c r="A53" s="8">
        <v>42718.321516203701</v>
      </c>
      <c r="B53" s="21" t="s">
        <v>262</v>
      </c>
      <c r="C53" s="21" t="s">
        <v>508</v>
      </c>
      <c r="D53" s="165">
        <v>1240000</v>
      </c>
      <c r="E53" s="21" t="s">
        <v>457</v>
      </c>
      <c r="F53" s="21" t="s">
        <v>458</v>
      </c>
      <c r="G53" s="8" t="str">
        <f t="shared" si="0"/>
        <v>GRASTON MATHEU</v>
      </c>
    </row>
    <row r="54" spans="1:7" x14ac:dyDescent="0.25">
      <c r="A54" s="8">
        <v>42718.321689814817</v>
      </c>
      <c r="B54" s="21" t="s">
        <v>234</v>
      </c>
      <c r="C54" s="21" t="s">
        <v>509</v>
      </c>
      <c r="D54" s="165">
        <v>1780000</v>
      </c>
      <c r="E54" s="21" t="s">
        <v>287</v>
      </c>
      <c r="F54" s="21" t="s">
        <v>288</v>
      </c>
      <c r="G54" s="8" t="str">
        <f t="shared" si="0"/>
        <v>DE LA ROSA ALEX</v>
      </c>
    </row>
    <row r="55" spans="1:7" x14ac:dyDescent="0.25">
      <c r="A55" s="8">
        <v>42718.324999999997</v>
      </c>
      <c r="B55" s="21" t="s">
        <v>424</v>
      </c>
      <c r="C55" s="21" t="s">
        <v>425</v>
      </c>
      <c r="D55" s="165">
        <v>2010000</v>
      </c>
      <c r="E55" s="21" t="s">
        <v>496</v>
      </c>
      <c r="F55" s="21" t="s">
        <v>497</v>
      </c>
      <c r="G55" s="8" t="str">
        <f t="shared" si="0"/>
        <v>MAELZER KURT</v>
      </c>
    </row>
    <row r="56" spans="1:7" x14ac:dyDescent="0.25">
      <c r="A56" s="8">
        <v>42718.331053240741</v>
      </c>
      <c r="B56" s="21" t="s">
        <v>154</v>
      </c>
      <c r="C56" s="21" t="s">
        <v>510</v>
      </c>
      <c r="D56" s="165">
        <v>1090000</v>
      </c>
      <c r="E56" s="21" t="s">
        <v>351</v>
      </c>
      <c r="F56" s="21" t="s">
        <v>283</v>
      </c>
      <c r="G56" s="8" t="str">
        <f t="shared" si="0"/>
        <v>SPECTOR MICHAEL</v>
      </c>
    </row>
    <row r="57" spans="1:7" x14ac:dyDescent="0.25">
      <c r="A57" s="8">
        <v>42718.332187499997</v>
      </c>
      <c r="B57" s="21" t="s">
        <v>321</v>
      </c>
      <c r="C57" s="21" t="s">
        <v>511</v>
      </c>
      <c r="D57" s="165">
        <v>2220000</v>
      </c>
      <c r="E57" s="21" t="s">
        <v>354</v>
      </c>
      <c r="F57" s="21" t="s">
        <v>355</v>
      </c>
      <c r="G57" s="8" t="str">
        <f t="shared" si="0"/>
        <v>HILLS DUSTIN</v>
      </c>
    </row>
    <row r="58" spans="1:7" x14ac:dyDescent="0.25">
      <c r="A58" s="8">
        <v>42718.33321759259</v>
      </c>
      <c r="B58" s="21" t="s">
        <v>261</v>
      </c>
      <c r="C58" s="21" t="s">
        <v>512</v>
      </c>
      <c r="D58" s="165">
        <v>1100000</v>
      </c>
      <c r="E58" s="21" t="s">
        <v>482</v>
      </c>
      <c r="F58" s="21" t="s">
        <v>483</v>
      </c>
      <c r="G58" s="8" t="str">
        <f t="shared" si="0"/>
        <v>GEBRETEKLE DAGNEW</v>
      </c>
    </row>
    <row r="59" spans="1:7" x14ac:dyDescent="0.25">
      <c r="A59" s="8">
        <v>42718.339756944442</v>
      </c>
      <c r="B59" s="21" t="s">
        <v>476</v>
      </c>
      <c r="C59" s="21" t="s">
        <v>513</v>
      </c>
      <c r="D59" s="165">
        <v>2010000</v>
      </c>
      <c r="E59" s="21" t="s">
        <v>496</v>
      </c>
      <c r="F59" s="21" t="s">
        <v>497</v>
      </c>
      <c r="G59" s="8" t="str">
        <f t="shared" si="0"/>
        <v>MAELZER KURT</v>
      </c>
    </row>
    <row r="60" spans="1:7" x14ac:dyDescent="0.25">
      <c r="A60" s="8">
        <v>42718.3440162037</v>
      </c>
      <c r="B60" s="21" t="s">
        <v>251</v>
      </c>
      <c r="C60" s="21" t="s">
        <v>514</v>
      </c>
      <c r="D60" s="165">
        <v>920000</v>
      </c>
      <c r="E60" s="21" t="s">
        <v>284</v>
      </c>
      <c r="F60" s="21" t="s">
        <v>283</v>
      </c>
      <c r="G60" s="8" t="str">
        <f t="shared" si="0"/>
        <v>DAVIS MICHAEL</v>
      </c>
    </row>
    <row r="61" spans="1:7" x14ac:dyDescent="0.25">
      <c r="A61" s="8">
        <v>42718.345289351855</v>
      </c>
      <c r="B61" s="21" t="s">
        <v>346</v>
      </c>
      <c r="C61" s="21" t="s">
        <v>515</v>
      </c>
      <c r="D61" s="165">
        <v>2270000</v>
      </c>
      <c r="E61" s="21" t="s">
        <v>504</v>
      </c>
      <c r="F61" s="21" t="s">
        <v>505</v>
      </c>
      <c r="G61" s="8" t="str">
        <f t="shared" si="0"/>
        <v>BROWN JACOB</v>
      </c>
    </row>
    <row r="62" spans="1:7" x14ac:dyDescent="0.25">
      <c r="A62" s="8">
        <v>42718.35083333333</v>
      </c>
      <c r="B62" s="21" t="s">
        <v>208</v>
      </c>
      <c r="C62" s="21" t="s">
        <v>516</v>
      </c>
      <c r="D62" s="165">
        <v>900000</v>
      </c>
      <c r="E62" s="21" t="s">
        <v>472</v>
      </c>
      <c r="F62" s="21" t="s">
        <v>473</v>
      </c>
      <c r="G62" s="8" t="str">
        <f t="shared" si="0"/>
        <v>ROCHA YAOTL</v>
      </c>
    </row>
    <row r="63" spans="1:7" x14ac:dyDescent="0.25">
      <c r="A63" s="8">
        <v>42718.356053240743</v>
      </c>
      <c r="B63" s="21" t="s">
        <v>424</v>
      </c>
      <c r="C63" s="21" t="s">
        <v>426</v>
      </c>
      <c r="D63" s="165">
        <v>2010000</v>
      </c>
      <c r="E63" s="21" t="s">
        <v>496</v>
      </c>
      <c r="F63" s="21" t="s">
        <v>497</v>
      </c>
      <c r="G63" s="8" t="str">
        <f t="shared" si="0"/>
        <v>MAELZER KURT</v>
      </c>
    </row>
    <row r="64" spans="1:7" x14ac:dyDescent="0.25">
      <c r="A64" s="27">
        <v>42718.359351851854</v>
      </c>
      <c r="B64" s="21" t="s">
        <v>280</v>
      </c>
      <c r="C64" s="21" t="s">
        <v>517</v>
      </c>
      <c r="D64" s="165">
        <v>1780000</v>
      </c>
      <c r="E64" s="21" t="s">
        <v>287</v>
      </c>
      <c r="F64" s="21" t="s">
        <v>288</v>
      </c>
      <c r="G64" s="8" t="str">
        <f t="shared" si="0"/>
        <v>DE LA ROSA ALEX</v>
      </c>
    </row>
    <row r="65" spans="1:7" x14ac:dyDescent="0.25">
      <c r="A65" s="8">
        <v>42718.359583333331</v>
      </c>
      <c r="B65" s="21" t="s">
        <v>258</v>
      </c>
      <c r="C65" s="21" t="s">
        <v>518</v>
      </c>
      <c r="D65" s="165">
        <v>1100000</v>
      </c>
      <c r="E65" s="21" t="s">
        <v>482</v>
      </c>
      <c r="F65" s="21" t="s">
        <v>483</v>
      </c>
      <c r="G65" s="8" t="str">
        <f t="shared" si="0"/>
        <v>GEBRETEKLE DAGNEW</v>
      </c>
    </row>
    <row r="66" spans="1:7" x14ac:dyDescent="0.25">
      <c r="A66" s="8">
        <v>42718.366435185184</v>
      </c>
      <c r="B66" s="21" t="s">
        <v>155</v>
      </c>
      <c r="C66" s="21" t="s">
        <v>519</v>
      </c>
      <c r="D66" s="165">
        <v>1090000</v>
      </c>
      <c r="E66" s="21" t="s">
        <v>351</v>
      </c>
      <c r="F66" s="21" t="s">
        <v>283</v>
      </c>
      <c r="G66" s="8" t="str">
        <f t="shared" si="0"/>
        <v>SPECTOR MICHAEL</v>
      </c>
    </row>
    <row r="67" spans="1:7" x14ac:dyDescent="0.25">
      <c r="A67" s="8">
        <v>42718.367210648146</v>
      </c>
      <c r="B67" s="21" t="s">
        <v>184</v>
      </c>
      <c r="C67" s="21" t="s">
        <v>520</v>
      </c>
      <c r="D67" s="165">
        <v>2600000</v>
      </c>
      <c r="E67" s="21" t="s">
        <v>239</v>
      </c>
      <c r="F67" s="21" t="s">
        <v>266</v>
      </c>
      <c r="G67" s="8" t="str">
        <f t="shared" ref="G67:G130" si="1">E67&amp;" "&amp;F67</f>
        <v>DAVIDSON DAVID</v>
      </c>
    </row>
    <row r="68" spans="1:7" x14ac:dyDescent="0.25">
      <c r="A68" s="8">
        <v>42718.369745370372</v>
      </c>
      <c r="B68" s="21" t="s">
        <v>228</v>
      </c>
      <c r="C68" s="21" t="s">
        <v>428</v>
      </c>
      <c r="D68" s="165">
        <v>2220000</v>
      </c>
      <c r="E68" s="21" t="s">
        <v>354</v>
      </c>
      <c r="F68" s="21" t="s">
        <v>355</v>
      </c>
      <c r="G68" s="8" t="str">
        <f t="shared" si="1"/>
        <v>HILLS DUSTIN</v>
      </c>
    </row>
    <row r="69" spans="1:7" x14ac:dyDescent="0.25">
      <c r="A69" s="8">
        <v>42718.374618055554</v>
      </c>
      <c r="B69" s="21" t="s">
        <v>261</v>
      </c>
      <c r="C69" s="21" t="s">
        <v>521</v>
      </c>
      <c r="D69" s="165">
        <v>1100000</v>
      </c>
      <c r="E69" s="21" t="s">
        <v>482</v>
      </c>
      <c r="F69" s="21" t="s">
        <v>483</v>
      </c>
      <c r="G69" s="8" t="str">
        <f t="shared" si="1"/>
        <v>GEBRETEKLE DAGNEW</v>
      </c>
    </row>
    <row r="70" spans="1:7" x14ac:dyDescent="0.25">
      <c r="A70" s="8">
        <v>42718.376909722225</v>
      </c>
      <c r="B70" s="21" t="s">
        <v>278</v>
      </c>
      <c r="C70" s="21" t="s">
        <v>522</v>
      </c>
      <c r="D70" s="165">
        <v>920000</v>
      </c>
      <c r="E70" s="21" t="s">
        <v>284</v>
      </c>
      <c r="F70" s="21" t="s">
        <v>283</v>
      </c>
      <c r="G70" s="8" t="str">
        <f t="shared" si="1"/>
        <v>DAVIS MICHAEL</v>
      </c>
    </row>
    <row r="71" spans="1:7" x14ac:dyDescent="0.25">
      <c r="A71" s="8">
        <v>42718.38318287037</v>
      </c>
      <c r="B71" s="21" t="s">
        <v>353</v>
      </c>
      <c r="C71" s="21" t="s">
        <v>427</v>
      </c>
      <c r="D71" s="165">
        <v>2270000</v>
      </c>
      <c r="E71" s="21" t="s">
        <v>504</v>
      </c>
      <c r="F71" s="21" t="s">
        <v>505</v>
      </c>
      <c r="G71" s="8" t="str">
        <f t="shared" si="1"/>
        <v>BROWN JACOB</v>
      </c>
    </row>
    <row r="72" spans="1:7" x14ac:dyDescent="0.25">
      <c r="A72" s="8">
        <v>42718.392233796294</v>
      </c>
      <c r="B72" s="21" t="s">
        <v>209</v>
      </c>
      <c r="C72" s="21" t="s">
        <v>523</v>
      </c>
      <c r="D72" s="165">
        <v>900000</v>
      </c>
      <c r="E72" s="21" t="s">
        <v>472</v>
      </c>
      <c r="F72" s="21" t="s">
        <v>473</v>
      </c>
      <c r="G72" s="8" t="str">
        <f t="shared" si="1"/>
        <v>ROCHA YAOTL</v>
      </c>
    </row>
    <row r="73" spans="1:7" x14ac:dyDescent="0.25">
      <c r="A73" s="8">
        <v>42718.393807870372</v>
      </c>
      <c r="B73" s="21" t="s">
        <v>234</v>
      </c>
      <c r="C73" s="21" t="s">
        <v>524</v>
      </c>
      <c r="D73" s="165">
        <v>1780000</v>
      </c>
      <c r="E73" s="21" t="s">
        <v>287</v>
      </c>
      <c r="F73" s="21" t="s">
        <v>288</v>
      </c>
      <c r="G73" s="8" t="str">
        <f t="shared" si="1"/>
        <v>DE LA ROSA ALEX</v>
      </c>
    </row>
    <row r="74" spans="1:7" x14ac:dyDescent="0.25">
      <c r="A74" s="8">
        <v>42718.40148148148</v>
      </c>
      <c r="B74" s="21" t="s">
        <v>258</v>
      </c>
      <c r="C74" s="21" t="s">
        <v>525</v>
      </c>
      <c r="D74" s="165">
        <v>1100000</v>
      </c>
      <c r="E74" s="21" t="s">
        <v>482</v>
      </c>
      <c r="F74" s="21" t="s">
        <v>483</v>
      </c>
      <c r="G74" s="8" t="str">
        <f t="shared" si="1"/>
        <v>GEBRETEKLE DAGNEW</v>
      </c>
    </row>
    <row r="75" spans="1:7" x14ac:dyDescent="0.25">
      <c r="A75" s="8">
        <v>42718.401921296296</v>
      </c>
      <c r="B75" s="21" t="s">
        <v>262</v>
      </c>
      <c r="C75" s="21" t="s">
        <v>526</v>
      </c>
      <c r="D75" s="165">
        <v>2600000</v>
      </c>
      <c r="E75" s="21" t="s">
        <v>239</v>
      </c>
      <c r="F75" s="21" t="s">
        <v>266</v>
      </c>
      <c r="G75" s="8" t="str">
        <f t="shared" si="1"/>
        <v>DAVIDSON DAVID</v>
      </c>
    </row>
    <row r="76" spans="1:7" x14ac:dyDescent="0.25">
      <c r="A76" s="8">
        <v>42718.404606481483</v>
      </c>
      <c r="B76" s="21" t="s">
        <v>154</v>
      </c>
      <c r="C76" s="21" t="s">
        <v>527</v>
      </c>
      <c r="D76" s="165">
        <v>1090000</v>
      </c>
      <c r="E76" s="21" t="s">
        <v>351</v>
      </c>
      <c r="F76" s="21" t="s">
        <v>283</v>
      </c>
      <c r="G76" s="8" t="str">
        <f t="shared" si="1"/>
        <v>SPECTOR MICHAEL</v>
      </c>
    </row>
    <row r="77" spans="1:7" x14ac:dyDescent="0.25">
      <c r="A77" s="8">
        <v>42718.41002314815</v>
      </c>
      <c r="B77" s="21" t="s">
        <v>321</v>
      </c>
      <c r="C77" s="21" t="s">
        <v>429</v>
      </c>
      <c r="D77" s="165">
        <v>2220000</v>
      </c>
      <c r="E77" s="21" t="s">
        <v>354</v>
      </c>
      <c r="F77" s="21" t="s">
        <v>355</v>
      </c>
      <c r="G77" s="8" t="str">
        <f t="shared" si="1"/>
        <v>HILLS DUSTIN</v>
      </c>
    </row>
    <row r="78" spans="1:7" x14ac:dyDescent="0.25">
      <c r="A78" s="8">
        <v>42718.414305555554</v>
      </c>
      <c r="B78" s="21" t="s">
        <v>251</v>
      </c>
      <c r="C78" s="21" t="s">
        <v>528</v>
      </c>
      <c r="D78" s="165">
        <v>920000</v>
      </c>
      <c r="E78" s="21" t="s">
        <v>284</v>
      </c>
      <c r="F78" s="21" t="s">
        <v>283</v>
      </c>
      <c r="G78" s="8" t="str">
        <f t="shared" si="1"/>
        <v>DAVIS MICHAEL</v>
      </c>
    </row>
    <row r="79" spans="1:7" x14ac:dyDescent="0.25">
      <c r="A79" s="8">
        <v>42718.417997685188</v>
      </c>
      <c r="B79" s="21" t="s">
        <v>346</v>
      </c>
      <c r="C79" s="21" t="s">
        <v>430</v>
      </c>
      <c r="D79" s="165">
        <v>2270000</v>
      </c>
      <c r="E79" s="21" t="s">
        <v>504</v>
      </c>
      <c r="F79" s="21" t="s">
        <v>505</v>
      </c>
      <c r="G79" s="8" t="str">
        <f t="shared" si="1"/>
        <v>BROWN JACOB</v>
      </c>
    </row>
    <row r="80" spans="1:7" x14ac:dyDescent="0.25">
      <c r="A80" s="8">
        <v>42718.423692129632</v>
      </c>
      <c r="B80" s="21" t="s">
        <v>208</v>
      </c>
      <c r="C80" s="21" t="s">
        <v>529</v>
      </c>
      <c r="D80" s="165">
        <v>900000</v>
      </c>
      <c r="E80" s="21" t="s">
        <v>472</v>
      </c>
      <c r="F80" s="21" t="s">
        <v>473</v>
      </c>
      <c r="G80" s="8" t="str">
        <f t="shared" si="1"/>
        <v>ROCHA YAOTL</v>
      </c>
    </row>
    <row r="81" spans="1:7" x14ac:dyDescent="0.25">
      <c r="A81" s="8">
        <v>42718.428923611114</v>
      </c>
      <c r="B81" s="21" t="s">
        <v>261</v>
      </c>
      <c r="C81" s="21" t="s">
        <v>431</v>
      </c>
      <c r="D81" s="165">
        <v>2010000</v>
      </c>
      <c r="E81" s="21" t="s">
        <v>496</v>
      </c>
      <c r="F81" s="21" t="s">
        <v>497</v>
      </c>
      <c r="G81" s="8" t="str">
        <f t="shared" si="1"/>
        <v>MAELZER KURT</v>
      </c>
    </row>
    <row r="82" spans="1:7" x14ac:dyDescent="0.25">
      <c r="A82" s="8">
        <v>42718.429918981485</v>
      </c>
      <c r="B82" s="21" t="s">
        <v>280</v>
      </c>
      <c r="C82" s="21" t="s">
        <v>530</v>
      </c>
      <c r="D82" s="165">
        <v>1780000</v>
      </c>
      <c r="E82" s="21" t="s">
        <v>287</v>
      </c>
      <c r="F82" s="21" t="s">
        <v>288</v>
      </c>
      <c r="G82" s="8" t="str">
        <f t="shared" si="1"/>
        <v>DE LA ROSA ALEX</v>
      </c>
    </row>
    <row r="83" spans="1:7" x14ac:dyDescent="0.25">
      <c r="A83" s="8">
        <v>42718.43818287037</v>
      </c>
      <c r="B83" s="21" t="s">
        <v>233</v>
      </c>
      <c r="C83" s="21" t="s">
        <v>531</v>
      </c>
      <c r="D83" s="165">
        <v>1110000</v>
      </c>
      <c r="E83" s="21" t="s">
        <v>307</v>
      </c>
      <c r="F83" s="21" t="s">
        <v>308</v>
      </c>
      <c r="G83" s="8" t="str">
        <f t="shared" si="1"/>
        <v>STARKS ANGELINA</v>
      </c>
    </row>
    <row r="84" spans="1:7" x14ac:dyDescent="0.25">
      <c r="A84" s="8">
        <v>42718.442835648151</v>
      </c>
      <c r="B84" s="21" t="s">
        <v>238</v>
      </c>
      <c r="C84" s="21" t="s">
        <v>532</v>
      </c>
      <c r="D84" s="165">
        <v>1280000</v>
      </c>
      <c r="E84" s="21" t="s">
        <v>289</v>
      </c>
      <c r="F84" s="21" t="s">
        <v>290</v>
      </c>
      <c r="G84" s="8" t="str">
        <f t="shared" si="1"/>
        <v>BARTLETT KIANDRA</v>
      </c>
    </row>
    <row r="85" spans="1:7" x14ac:dyDescent="0.25">
      <c r="A85" s="8">
        <v>42718.444363425922</v>
      </c>
      <c r="B85" s="21" t="s">
        <v>258</v>
      </c>
      <c r="C85" s="21" t="s">
        <v>533</v>
      </c>
      <c r="D85" s="165">
        <v>2010000</v>
      </c>
      <c r="E85" s="21" t="s">
        <v>496</v>
      </c>
      <c r="F85" s="21" t="s">
        <v>497</v>
      </c>
      <c r="G85" s="8" t="str">
        <f t="shared" si="1"/>
        <v>MAELZER KURT</v>
      </c>
    </row>
    <row r="86" spans="1:7" x14ac:dyDescent="0.25">
      <c r="A86" s="8">
        <v>42718.445717592593</v>
      </c>
      <c r="B86" s="21" t="s">
        <v>155</v>
      </c>
      <c r="C86" s="21" t="s">
        <v>433</v>
      </c>
      <c r="D86" s="165">
        <v>1090000</v>
      </c>
      <c r="E86" s="21" t="s">
        <v>351</v>
      </c>
      <c r="F86" s="21" t="s">
        <v>283</v>
      </c>
      <c r="G86" s="8" t="str">
        <f t="shared" si="1"/>
        <v>SPECTOR MICHAEL</v>
      </c>
    </row>
    <row r="87" spans="1:7" x14ac:dyDescent="0.25">
      <c r="A87" s="8">
        <v>42718.446863425925</v>
      </c>
      <c r="B87" s="21" t="s">
        <v>228</v>
      </c>
      <c r="C87" s="21" t="s">
        <v>432</v>
      </c>
      <c r="D87" s="165">
        <v>2220000</v>
      </c>
      <c r="E87" s="21" t="s">
        <v>354</v>
      </c>
      <c r="F87" s="21" t="s">
        <v>355</v>
      </c>
      <c r="G87" s="8" t="str">
        <f t="shared" si="1"/>
        <v>HILLS DUSTIN</v>
      </c>
    </row>
    <row r="88" spans="1:7" x14ac:dyDescent="0.25">
      <c r="A88" s="8">
        <v>42718.453483796293</v>
      </c>
      <c r="B88" s="21" t="s">
        <v>278</v>
      </c>
      <c r="C88" s="21" t="s">
        <v>534</v>
      </c>
      <c r="D88" s="165">
        <v>920000</v>
      </c>
      <c r="E88" s="21" t="s">
        <v>284</v>
      </c>
      <c r="F88" s="21" t="s">
        <v>283</v>
      </c>
      <c r="G88" s="8" t="str">
        <f t="shared" si="1"/>
        <v>DAVIS MICHAEL</v>
      </c>
    </row>
    <row r="89" spans="1:7" x14ac:dyDescent="0.25">
      <c r="A89" s="8">
        <v>42718.454317129632</v>
      </c>
      <c r="B89" s="21" t="s">
        <v>353</v>
      </c>
      <c r="C89" s="21" t="s">
        <v>535</v>
      </c>
      <c r="D89" s="165">
        <v>940000</v>
      </c>
      <c r="E89" s="21" t="s">
        <v>322</v>
      </c>
      <c r="F89" s="21" t="s">
        <v>323</v>
      </c>
      <c r="G89" s="8" t="str">
        <f t="shared" si="1"/>
        <v>BONDS REYNALDO</v>
      </c>
    </row>
    <row r="90" spans="1:7" x14ac:dyDescent="0.25">
      <c r="A90" s="8">
        <v>42718.459780092591</v>
      </c>
      <c r="B90" s="21" t="s">
        <v>261</v>
      </c>
      <c r="C90" s="21" t="s">
        <v>536</v>
      </c>
      <c r="D90" s="165">
        <v>1100000</v>
      </c>
      <c r="E90" s="21" t="s">
        <v>482</v>
      </c>
      <c r="F90" s="21" t="s">
        <v>483</v>
      </c>
      <c r="G90" s="8" t="str">
        <f t="shared" si="1"/>
        <v>GEBRETEKLE DAGNEW</v>
      </c>
    </row>
    <row r="91" spans="1:7" x14ac:dyDescent="0.25">
      <c r="A91" s="8">
        <v>42718.46365740741</v>
      </c>
      <c r="B91" s="21" t="s">
        <v>209</v>
      </c>
      <c r="C91" s="21" t="s">
        <v>434</v>
      </c>
      <c r="D91" s="165">
        <v>900000</v>
      </c>
      <c r="E91" s="21" t="s">
        <v>472</v>
      </c>
      <c r="F91" s="21" t="s">
        <v>473</v>
      </c>
      <c r="G91" s="8" t="str">
        <f t="shared" si="1"/>
        <v>ROCHA YAOTL</v>
      </c>
    </row>
    <row r="92" spans="1:7" x14ac:dyDescent="0.25">
      <c r="A92" s="8">
        <v>42718.464722222219</v>
      </c>
      <c r="B92" s="21" t="s">
        <v>234</v>
      </c>
      <c r="C92" s="21" t="s">
        <v>435</v>
      </c>
      <c r="D92" s="165">
        <v>1280000</v>
      </c>
      <c r="E92" s="21" t="s">
        <v>289</v>
      </c>
      <c r="F92" s="21" t="s">
        <v>290</v>
      </c>
      <c r="G92" s="8" t="str">
        <f t="shared" si="1"/>
        <v>BARTLETT KIANDRA</v>
      </c>
    </row>
    <row r="93" spans="1:7" x14ac:dyDescent="0.25">
      <c r="A93" s="8">
        <v>42718.467175925929</v>
      </c>
      <c r="B93" s="21" t="s">
        <v>237</v>
      </c>
      <c r="C93" s="21" t="s">
        <v>537</v>
      </c>
      <c r="D93" s="165">
        <v>1360000</v>
      </c>
      <c r="E93" s="21" t="s">
        <v>538</v>
      </c>
      <c r="F93" s="21" t="s">
        <v>539</v>
      </c>
      <c r="G93" s="8" t="str">
        <f t="shared" si="1"/>
        <v>SANTIZO D. EDY</v>
      </c>
    </row>
    <row r="94" spans="1:7" x14ac:dyDescent="0.25">
      <c r="A94" s="8">
        <v>42718.475300925929</v>
      </c>
      <c r="B94" s="21" t="s">
        <v>241</v>
      </c>
      <c r="C94" s="21" t="s">
        <v>540</v>
      </c>
      <c r="D94" s="165">
        <v>1110000</v>
      </c>
      <c r="E94" s="21" t="s">
        <v>307</v>
      </c>
      <c r="F94" s="21" t="s">
        <v>308</v>
      </c>
      <c r="G94" s="8" t="str">
        <f t="shared" si="1"/>
        <v>STARKS ANGELINA</v>
      </c>
    </row>
    <row r="95" spans="1:7" x14ac:dyDescent="0.25">
      <c r="A95" s="8">
        <v>42718.47792824074</v>
      </c>
      <c r="B95" s="21" t="s">
        <v>347</v>
      </c>
      <c r="C95" s="21" t="s">
        <v>541</v>
      </c>
      <c r="D95" s="165">
        <v>2470000</v>
      </c>
      <c r="E95" s="21" t="s">
        <v>542</v>
      </c>
      <c r="F95" s="21" t="s">
        <v>543</v>
      </c>
      <c r="G95" s="8" t="str">
        <f t="shared" si="1"/>
        <v>ROMERO CHAD</v>
      </c>
    </row>
    <row r="96" spans="1:7" x14ac:dyDescent="0.25">
      <c r="A96" s="8">
        <v>42718.479085648149</v>
      </c>
      <c r="B96" s="21" t="s">
        <v>321</v>
      </c>
      <c r="C96" s="21" t="s">
        <v>436</v>
      </c>
      <c r="D96" s="165">
        <v>2220000</v>
      </c>
      <c r="E96" s="21" t="s">
        <v>354</v>
      </c>
      <c r="F96" s="21" t="s">
        <v>355</v>
      </c>
      <c r="G96" s="8" t="str">
        <f t="shared" si="1"/>
        <v>HILLS DUSTIN</v>
      </c>
    </row>
    <row r="97" spans="1:7" x14ac:dyDescent="0.25">
      <c r="A97" s="8">
        <v>42718.48097222222</v>
      </c>
      <c r="B97" s="21" t="s">
        <v>184</v>
      </c>
      <c r="C97" s="21" t="s">
        <v>544</v>
      </c>
      <c r="D97" s="165">
        <v>2680000</v>
      </c>
      <c r="E97" s="21" t="s">
        <v>545</v>
      </c>
      <c r="F97" s="21" t="s">
        <v>546</v>
      </c>
      <c r="G97" s="8" t="str">
        <f t="shared" si="1"/>
        <v>DUNCAN SHEILA</v>
      </c>
    </row>
    <row r="98" spans="1:7" x14ac:dyDescent="0.25">
      <c r="A98" s="8">
        <v>42718.484907407408</v>
      </c>
      <c r="B98" s="21" t="s">
        <v>258</v>
      </c>
      <c r="C98" s="21" t="s">
        <v>547</v>
      </c>
      <c r="D98" s="165">
        <v>1100000</v>
      </c>
      <c r="E98" s="21" t="s">
        <v>482</v>
      </c>
      <c r="F98" s="21" t="s">
        <v>483</v>
      </c>
      <c r="G98" s="8" t="str">
        <f t="shared" si="1"/>
        <v>GEBRETEKLE DAGNEW</v>
      </c>
    </row>
    <row r="99" spans="1:7" x14ac:dyDescent="0.25">
      <c r="A99" s="8">
        <v>42718.490474537037</v>
      </c>
      <c r="B99" s="21" t="s">
        <v>346</v>
      </c>
      <c r="C99" s="21" t="s">
        <v>548</v>
      </c>
      <c r="D99" s="165">
        <v>940000</v>
      </c>
      <c r="E99" s="21" t="s">
        <v>322</v>
      </c>
      <c r="F99" s="21" t="s">
        <v>323</v>
      </c>
      <c r="G99" s="8" t="str">
        <f t="shared" si="1"/>
        <v>BONDS REYNALDO</v>
      </c>
    </row>
    <row r="100" spans="1:7" x14ac:dyDescent="0.25">
      <c r="A100" s="8">
        <v>42718.490729166668</v>
      </c>
      <c r="B100" s="21" t="s">
        <v>251</v>
      </c>
      <c r="C100" s="21" t="s">
        <v>437</v>
      </c>
      <c r="D100" s="165">
        <v>1820000</v>
      </c>
      <c r="E100" s="21" t="s">
        <v>549</v>
      </c>
      <c r="F100" s="21" t="s">
        <v>550</v>
      </c>
      <c r="G100" s="8" t="str">
        <f t="shared" si="1"/>
        <v>ADANE ELSHADAY</v>
      </c>
    </row>
    <row r="101" spans="1:7" x14ac:dyDescent="0.25">
      <c r="A101" s="8">
        <v>42718.497418981482</v>
      </c>
      <c r="B101" s="21" t="s">
        <v>208</v>
      </c>
      <c r="C101" s="21" t="s">
        <v>551</v>
      </c>
      <c r="D101" s="165">
        <v>1140000</v>
      </c>
      <c r="E101" s="21" t="s">
        <v>324</v>
      </c>
      <c r="F101" s="21" t="s">
        <v>325</v>
      </c>
      <c r="G101" s="8" t="str">
        <f t="shared" si="1"/>
        <v>YOUNG ELIZABETH</v>
      </c>
    </row>
    <row r="102" spans="1:7" x14ac:dyDescent="0.25">
      <c r="A102" s="8">
        <v>42718.497812499998</v>
      </c>
      <c r="B102" s="21" t="s">
        <v>280</v>
      </c>
      <c r="C102" s="21" t="s">
        <v>552</v>
      </c>
      <c r="D102" s="165">
        <v>1280000</v>
      </c>
      <c r="E102" s="21" t="s">
        <v>289</v>
      </c>
      <c r="F102" s="21" t="s">
        <v>290</v>
      </c>
      <c r="G102" s="8" t="str">
        <f t="shared" si="1"/>
        <v>BARTLETT KIANDRA</v>
      </c>
    </row>
    <row r="103" spans="1:7" x14ac:dyDescent="0.25">
      <c r="A103" s="8">
        <v>42718.498495370368</v>
      </c>
      <c r="B103" s="21" t="s">
        <v>261</v>
      </c>
      <c r="C103" s="21" t="s">
        <v>553</v>
      </c>
      <c r="D103" s="165">
        <v>1100000</v>
      </c>
      <c r="E103" s="21" t="s">
        <v>482</v>
      </c>
      <c r="F103" s="21" t="s">
        <v>483</v>
      </c>
      <c r="G103" s="8" t="str">
        <f t="shared" si="1"/>
        <v>GEBRETEKLE DAGNEW</v>
      </c>
    </row>
    <row r="104" spans="1:7" x14ac:dyDescent="0.25">
      <c r="A104" s="8">
        <v>42718.499895833331</v>
      </c>
      <c r="B104" s="21" t="s">
        <v>356</v>
      </c>
      <c r="C104" s="21" t="s">
        <v>554</v>
      </c>
      <c r="D104" s="165">
        <v>900000</v>
      </c>
      <c r="E104" s="21" t="s">
        <v>472</v>
      </c>
      <c r="F104" s="21" t="s">
        <v>473</v>
      </c>
      <c r="G104" s="8" t="str">
        <f t="shared" si="1"/>
        <v>ROCHA YAOTL</v>
      </c>
    </row>
    <row r="105" spans="1:7" x14ac:dyDescent="0.25">
      <c r="A105" s="8">
        <v>42718.508680555555</v>
      </c>
      <c r="B105" s="21" t="s">
        <v>233</v>
      </c>
      <c r="C105" s="21" t="s">
        <v>555</v>
      </c>
      <c r="D105" s="165">
        <v>2610000</v>
      </c>
      <c r="E105" s="21" t="s">
        <v>556</v>
      </c>
      <c r="F105" s="21" t="s">
        <v>557</v>
      </c>
      <c r="G105" s="8" t="str">
        <f t="shared" si="1"/>
        <v>MAGEE KENYA</v>
      </c>
    </row>
    <row r="106" spans="1:7" x14ac:dyDescent="0.25">
      <c r="A106" s="8">
        <v>42718.514513888891</v>
      </c>
      <c r="B106" s="21" t="s">
        <v>262</v>
      </c>
      <c r="C106" s="21" t="s">
        <v>558</v>
      </c>
      <c r="D106" s="165">
        <v>2680000</v>
      </c>
      <c r="E106" s="21" t="s">
        <v>545</v>
      </c>
      <c r="F106" s="21" t="s">
        <v>546</v>
      </c>
      <c r="G106" s="8" t="str">
        <f t="shared" si="1"/>
        <v>DUNCAN SHEILA</v>
      </c>
    </row>
    <row r="107" spans="1:7" x14ac:dyDescent="0.25">
      <c r="A107" s="8">
        <v>42718.519918981481</v>
      </c>
      <c r="B107" s="21" t="s">
        <v>228</v>
      </c>
      <c r="C107" s="21" t="s">
        <v>559</v>
      </c>
      <c r="D107" s="165">
        <v>2730000</v>
      </c>
      <c r="E107" s="21" t="s">
        <v>560</v>
      </c>
      <c r="F107" s="21" t="s">
        <v>561</v>
      </c>
      <c r="G107" s="8" t="str">
        <f t="shared" si="1"/>
        <v>YANG JAN</v>
      </c>
    </row>
    <row r="108" spans="1:7" x14ac:dyDescent="0.25">
      <c r="A108" s="8">
        <v>42718.522569444445</v>
      </c>
      <c r="B108" s="21" t="s">
        <v>278</v>
      </c>
      <c r="C108" s="21" t="s">
        <v>438</v>
      </c>
      <c r="D108" s="165">
        <v>1820000</v>
      </c>
      <c r="E108" s="21" t="s">
        <v>549</v>
      </c>
      <c r="F108" s="21" t="s">
        <v>550</v>
      </c>
      <c r="G108" s="8" t="str">
        <f t="shared" si="1"/>
        <v>ADANE ELSHADAY</v>
      </c>
    </row>
    <row r="109" spans="1:7" x14ac:dyDescent="0.25">
      <c r="A109" s="8">
        <v>42718.526145833333</v>
      </c>
      <c r="B109" s="21" t="s">
        <v>258</v>
      </c>
      <c r="C109" s="21" t="s">
        <v>562</v>
      </c>
      <c r="D109" s="165">
        <v>1100000</v>
      </c>
      <c r="E109" s="21" t="s">
        <v>482</v>
      </c>
      <c r="F109" s="21" t="s">
        <v>483</v>
      </c>
      <c r="G109" s="8" t="str">
        <f t="shared" si="1"/>
        <v>GEBRETEKLE DAGNEW</v>
      </c>
    </row>
    <row r="110" spans="1:7" x14ac:dyDescent="0.25">
      <c r="A110" s="8">
        <v>42718.528784722221</v>
      </c>
      <c r="B110" s="21" t="s">
        <v>353</v>
      </c>
      <c r="C110" s="21" t="s">
        <v>563</v>
      </c>
      <c r="D110" s="165">
        <v>940000</v>
      </c>
      <c r="E110" s="21" t="s">
        <v>322</v>
      </c>
      <c r="F110" s="21" t="s">
        <v>323</v>
      </c>
      <c r="G110" s="8" t="str">
        <f t="shared" si="1"/>
        <v>BONDS REYNALDO</v>
      </c>
    </row>
    <row r="111" spans="1:7" x14ac:dyDescent="0.25">
      <c r="A111" s="8">
        <v>42718.531608796293</v>
      </c>
      <c r="B111" s="21" t="s">
        <v>209</v>
      </c>
      <c r="C111" s="21" t="s">
        <v>564</v>
      </c>
      <c r="D111" s="165">
        <v>1140000</v>
      </c>
      <c r="E111" s="21" t="s">
        <v>324</v>
      </c>
      <c r="F111" s="21" t="s">
        <v>325</v>
      </c>
      <c r="G111" s="8" t="str">
        <f t="shared" si="1"/>
        <v>YOUNG ELIZABETH</v>
      </c>
    </row>
    <row r="112" spans="1:7" x14ac:dyDescent="0.25">
      <c r="A112" s="8">
        <v>42718.542187500003</v>
      </c>
      <c r="B112" s="21" t="s">
        <v>234</v>
      </c>
      <c r="C112" s="21" t="s">
        <v>565</v>
      </c>
      <c r="D112" s="165">
        <v>2370000</v>
      </c>
      <c r="E112" s="21" t="s">
        <v>363</v>
      </c>
      <c r="F112" s="21" t="s">
        <v>364</v>
      </c>
      <c r="G112" s="8" t="str">
        <f t="shared" si="1"/>
        <v>DELGADO DIANAH</v>
      </c>
    </row>
    <row r="113" spans="1:7" x14ac:dyDescent="0.25">
      <c r="A113" s="8">
        <v>42718.545983796299</v>
      </c>
      <c r="B113" s="21" t="s">
        <v>241</v>
      </c>
      <c r="C113" s="21" t="s">
        <v>566</v>
      </c>
      <c r="D113" s="165">
        <v>2610000</v>
      </c>
      <c r="E113" s="21" t="s">
        <v>556</v>
      </c>
      <c r="F113" s="21" t="s">
        <v>557</v>
      </c>
      <c r="G113" s="8" t="str">
        <f t="shared" si="1"/>
        <v>MAGEE KENYA</v>
      </c>
    </row>
    <row r="114" spans="1:7" x14ac:dyDescent="0.25">
      <c r="A114" s="8">
        <v>42718.548032407409</v>
      </c>
      <c r="B114" s="21" t="s">
        <v>261</v>
      </c>
      <c r="C114" s="21" t="s">
        <v>567</v>
      </c>
      <c r="D114" s="165">
        <v>2040000</v>
      </c>
      <c r="E114" s="21" t="s">
        <v>568</v>
      </c>
      <c r="F114" s="21" t="s">
        <v>569</v>
      </c>
      <c r="G114" s="8" t="str">
        <f t="shared" si="1"/>
        <v>MOSES BRADLEY</v>
      </c>
    </row>
    <row r="115" spans="1:7" x14ac:dyDescent="0.25">
      <c r="A115" s="8">
        <v>42718.548263888886</v>
      </c>
      <c r="B115" s="21" t="s">
        <v>184</v>
      </c>
      <c r="C115" s="21" t="s">
        <v>570</v>
      </c>
      <c r="D115" s="165">
        <v>2680000</v>
      </c>
      <c r="E115" s="21" t="s">
        <v>545</v>
      </c>
      <c r="F115" s="21" t="s">
        <v>546</v>
      </c>
      <c r="G115" s="8" t="str">
        <f t="shared" si="1"/>
        <v>DUNCAN SHEILA</v>
      </c>
    </row>
    <row r="116" spans="1:7" x14ac:dyDescent="0.25">
      <c r="A116" s="8">
        <v>42718.556423611109</v>
      </c>
      <c r="B116" s="21" t="s">
        <v>321</v>
      </c>
      <c r="C116" s="21" t="s">
        <v>571</v>
      </c>
      <c r="D116" s="165">
        <v>2730000</v>
      </c>
      <c r="E116" s="21" t="s">
        <v>560</v>
      </c>
      <c r="F116" s="21" t="s">
        <v>561</v>
      </c>
      <c r="G116" s="8" t="str">
        <f t="shared" si="1"/>
        <v>YANG JAN</v>
      </c>
    </row>
    <row r="117" spans="1:7" x14ac:dyDescent="0.25">
      <c r="A117" s="8">
        <v>42718.559537037036</v>
      </c>
      <c r="B117" s="21" t="s">
        <v>346</v>
      </c>
      <c r="C117" s="21" t="s">
        <v>572</v>
      </c>
      <c r="D117" s="165">
        <v>940000</v>
      </c>
      <c r="E117" s="21" t="s">
        <v>322</v>
      </c>
      <c r="F117" s="21" t="s">
        <v>323</v>
      </c>
      <c r="G117" s="8" t="str">
        <f t="shared" si="1"/>
        <v>BONDS REYNALDO</v>
      </c>
    </row>
    <row r="118" spans="1:7" x14ac:dyDescent="0.25">
      <c r="A118" s="8">
        <v>42718.559687499997</v>
      </c>
      <c r="B118" s="21" t="s">
        <v>251</v>
      </c>
      <c r="C118" s="21" t="s">
        <v>573</v>
      </c>
      <c r="D118" s="165">
        <v>1820000</v>
      </c>
      <c r="E118" s="21" t="s">
        <v>549</v>
      </c>
      <c r="F118" s="21" t="s">
        <v>550</v>
      </c>
      <c r="G118" s="8" t="str">
        <f t="shared" si="1"/>
        <v>ADANE ELSHADAY</v>
      </c>
    </row>
    <row r="119" spans="1:7" x14ac:dyDescent="0.25">
      <c r="A119" s="8">
        <v>42718.569398148145</v>
      </c>
      <c r="B119" s="21" t="s">
        <v>208</v>
      </c>
      <c r="C119" s="21" t="s">
        <v>574</v>
      </c>
      <c r="D119" s="165">
        <v>1140000</v>
      </c>
      <c r="E119" s="21" t="s">
        <v>324</v>
      </c>
      <c r="F119" s="21" t="s">
        <v>325</v>
      </c>
      <c r="G119" s="8" t="str">
        <f t="shared" si="1"/>
        <v>YOUNG ELIZABETH</v>
      </c>
    </row>
    <row r="120" spans="1:7" x14ac:dyDescent="0.25">
      <c r="A120" s="8">
        <v>42718.570057870369</v>
      </c>
      <c r="B120" s="21" t="s">
        <v>258</v>
      </c>
      <c r="C120" s="21" t="s">
        <v>575</v>
      </c>
      <c r="D120" s="165">
        <v>2040000</v>
      </c>
      <c r="E120" s="21" t="s">
        <v>568</v>
      </c>
      <c r="F120" s="21" t="s">
        <v>569</v>
      </c>
      <c r="G120" s="8" t="str">
        <f t="shared" si="1"/>
        <v>MOSES BRADLEY</v>
      </c>
    </row>
    <row r="121" spans="1:7" x14ac:dyDescent="0.25">
      <c r="A121" s="8">
        <v>42718.57304398148</v>
      </c>
      <c r="B121" s="21" t="s">
        <v>280</v>
      </c>
      <c r="C121" s="21" t="s">
        <v>576</v>
      </c>
      <c r="D121" s="165">
        <v>2370000</v>
      </c>
      <c r="E121" s="21" t="s">
        <v>363</v>
      </c>
      <c r="F121" s="21" t="s">
        <v>364</v>
      </c>
      <c r="G121" s="8" t="str">
        <f t="shared" si="1"/>
        <v>DELGADO DIANAH</v>
      </c>
    </row>
    <row r="122" spans="1:7" x14ac:dyDescent="0.25">
      <c r="A122" s="8">
        <v>42718.580335648148</v>
      </c>
      <c r="B122" s="26" t="s">
        <v>233</v>
      </c>
      <c r="C122" s="21" t="s">
        <v>577</v>
      </c>
      <c r="D122" s="165">
        <v>2610000</v>
      </c>
      <c r="E122" s="21" t="s">
        <v>556</v>
      </c>
      <c r="F122" s="21" t="s">
        <v>557</v>
      </c>
      <c r="G122" s="8" t="str">
        <f t="shared" si="1"/>
        <v>MAGEE KENYA</v>
      </c>
    </row>
    <row r="123" spans="1:7" x14ac:dyDescent="0.25">
      <c r="A123" s="8">
        <v>42718.58734953704</v>
      </c>
      <c r="B123" s="21" t="s">
        <v>262</v>
      </c>
      <c r="C123" s="21" t="s">
        <v>578</v>
      </c>
      <c r="D123" s="165">
        <v>2680000</v>
      </c>
      <c r="E123" s="21" t="s">
        <v>545</v>
      </c>
      <c r="F123" s="21" t="s">
        <v>546</v>
      </c>
      <c r="G123" s="8" t="str">
        <f t="shared" si="1"/>
        <v>DUNCAN SHEILA</v>
      </c>
    </row>
    <row r="124" spans="1:7" x14ac:dyDescent="0.25">
      <c r="A124" s="8">
        <v>42718.589317129627</v>
      </c>
      <c r="B124" s="21" t="s">
        <v>278</v>
      </c>
      <c r="C124" s="21" t="s">
        <v>439</v>
      </c>
      <c r="D124" s="165">
        <v>1820000</v>
      </c>
      <c r="E124" s="21" t="s">
        <v>549</v>
      </c>
      <c r="F124" s="21" t="s">
        <v>550</v>
      </c>
      <c r="G124" s="8" t="str">
        <f t="shared" si="1"/>
        <v>ADANE ELSHADAY</v>
      </c>
    </row>
    <row r="125" spans="1:7" x14ac:dyDescent="0.25">
      <c r="A125" s="8">
        <v>42718.591666666667</v>
      </c>
      <c r="B125" s="21" t="s">
        <v>228</v>
      </c>
      <c r="C125" s="21" t="s">
        <v>579</v>
      </c>
      <c r="D125" s="165">
        <v>2730000</v>
      </c>
      <c r="E125" s="21" t="s">
        <v>560</v>
      </c>
      <c r="F125" s="21" t="s">
        <v>561</v>
      </c>
      <c r="G125" s="8" t="str">
        <f t="shared" si="1"/>
        <v>YANG JAN</v>
      </c>
    </row>
    <row r="126" spans="1:7" x14ac:dyDescent="0.25">
      <c r="A126" s="8">
        <v>42718.594907407409</v>
      </c>
      <c r="B126" s="21" t="s">
        <v>261</v>
      </c>
      <c r="C126" s="21" t="s">
        <v>580</v>
      </c>
      <c r="D126" s="165">
        <v>2040000</v>
      </c>
      <c r="E126" s="21" t="s">
        <v>568</v>
      </c>
      <c r="F126" s="21" t="s">
        <v>569</v>
      </c>
      <c r="G126" s="8" t="str">
        <f t="shared" si="1"/>
        <v>MOSES BRADLEY</v>
      </c>
    </row>
    <row r="127" spans="1:7" x14ac:dyDescent="0.25">
      <c r="A127" s="8">
        <v>42718.599988425929</v>
      </c>
      <c r="B127" s="21" t="s">
        <v>353</v>
      </c>
      <c r="C127" s="21" t="s">
        <v>581</v>
      </c>
      <c r="D127" s="165">
        <v>940000</v>
      </c>
      <c r="E127" s="21" t="s">
        <v>322</v>
      </c>
      <c r="F127" s="21" t="s">
        <v>323</v>
      </c>
      <c r="G127" s="8" t="str">
        <f t="shared" si="1"/>
        <v>BONDS REYNALDO</v>
      </c>
    </row>
    <row r="128" spans="1:7" x14ac:dyDescent="0.25">
      <c r="A128" s="8">
        <v>42718.603819444441</v>
      </c>
      <c r="B128" s="21" t="s">
        <v>209</v>
      </c>
      <c r="C128" s="21" t="s">
        <v>582</v>
      </c>
      <c r="D128" s="165">
        <v>1140000</v>
      </c>
      <c r="E128" s="21" t="s">
        <v>324</v>
      </c>
      <c r="F128" s="21" t="s">
        <v>325</v>
      </c>
      <c r="G128" s="8" t="str">
        <f t="shared" si="1"/>
        <v>YOUNG ELIZABETH</v>
      </c>
    </row>
    <row r="129" spans="1:7" x14ac:dyDescent="0.25">
      <c r="A129" s="8">
        <v>42718.61041666667</v>
      </c>
      <c r="B129" s="21" t="s">
        <v>258</v>
      </c>
      <c r="C129" s="21" t="s">
        <v>583</v>
      </c>
      <c r="D129" s="165">
        <v>2040000</v>
      </c>
      <c r="E129" s="21" t="s">
        <v>568</v>
      </c>
      <c r="F129" s="21" t="s">
        <v>569</v>
      </c>
      <c r="G129" s="8" t="str">
        <f t="shared" si="1"/>
        <v>MOSES BRADLEY</v>
      </c>
    </row>
    <row r="130" spans="1:7" x14ac:dyDescent="0.25">
      <c r="A130" s="8">
        <v>42718.610879629632</v>
      </c>
      <c r="B130" s="21" t="s">
        <v>241</v>
      </c>
      <c r="C130" s="21" t="s">
        <v>584</v>
      </c>
      <c r="D130" s="165">
        <v>2610000</v>
      </c>
      <c r="E130" s="21" t="s">
        <v>556</v>
      </c>
      <c r="F130" s="21" t="s">
        <v>557</v>
      </c>
      <c r="G130" s="8" t="str">
        <f t="shared" si="1"/>
        <v>MAGEE KENYA</v>
      </c>
    </row>
    <row r="131" spans="1:7" x14ac:dyDescent="0.25">
      <c r="A131" s="8">
        <v>42718.610902777778</v>
      </c>
      <c r="B131" s="21" t="s">
        <v>234</v>
      </c>
      <c r="C131" s="21" t="s">
        <v>585</v>
      </c>
      <c r="D131" s="165">
        <v>1280000</v>
      </c>
      <c r="E131" s="21" t="s">
        <v>289</v>
      </c>
      <c r="F131" s="21" t="s">
        <v>290</v>
      </c>
      <c r="G131" s="8" t="str">
        <f t="shared" ref="G131:G194" si="2">E131&amp;" "&amp;F131</f>
        <v>BARTLETT KIANDRA</v>
      </c>
    </row>
    <row r="132" spans="1:7" x14ac:dyDescent="0.25">
      <c r="A132" s="8">
        <v>42718.620451388888</v>
      </c>
      <c r="B132" s="21" t="s">
        <v>184</v>
      </c>
      <c r="C132" s="21" t="s">
        <v>586</v>
      </c>
      <c r="D132" s="165">
        <v>2680000</v>
      </c>
      <c r="E132" s="21" t="s">
        <v>545</v>
      </c>
      <c r="F132" s="21" t="s">
        <v>546</v>
      </c>
      <c r="G132" s="8" t="str">
        <f t="shared" si="2"/>
        <v>DUNCAN SHEILA</v>
      </c>
    </row>
    <row r="133" spans="1:7" x14ac:dyDescent="0.25">
      <c r="A133" s="8">
        <v>42718.626944444448</v>
      </c>
      <c r="B133" s="21" t="s">
        <v>321</v>
      </c>
      <c r="C133" s="21" t="s">
        <v>587</v>
      </c>
      <c r="D133" s="165">
        <v>2730000</v>
      </c>
      <c r="E133" s="21" t="s">
        <v>560</v>
      </c>
      <c r="F133" s="21" t="s">
        <v>561</v>
      </c>
      <c r="G133" s="8" t="str">
        <f t="shared" si="2"/>
        <v>YANG JAN</v>
      </c>
    </row>
    <row r="134" spans="1:7" x14ac:dyDescent="0.25">
      <c r="A134" s="8">
        <v>42718.632627314815</v>
      </c>
      <c r="B134" s="21" t="s">
        <v>251</v>
      </c>
      <c r="C134" s="21" t="s">
        <v>440</v>
      </c>
      <c r="D134" s="165">
        <v>1820000</v>
      </c>
      <c r="E134" s="21" t="s">
        <v>549</v>
      </c>
      <c r="F134" s="21" t="s">
        <v>550</v>
      </c>
      <c r="G134" s="8" t="str">
        <f t="shared" si="2"/>
        <v>ADANE ELSHADAY</v>
      </c>
    </row>
    <row r="135" spans="1:7" x14ac:dyDescent="0.25">
      <c r="A135" s="8">
        <v>42718.634872685187</v>
      </c>
      <c r="B135" s="21" t="s">
        <v>261</v>
      </c>
      <c r="C135" s="21" t="s">
        <v>588</v>
      </c>
      <c r="D135" s="165">
        <v>2040000</v>
      </c>
      <c r="E135" s="21" t="s">
        <v>568</v>
      </c>
      <c r="F135" s="21" t="s">
        <v>569</v>
      </c>
      <c r="G135" s="8" t="str">
        <f t="shared" si="2"/>
        <v>MOSES BRADLEY</v>
      </c>
    </row>
    <row r="136" spans="1:7" x14ac:dyDescent="0.25">
      <c r="A136" s="8">
        <v>42718.637928240743</v>
      </c>
      <c r="B136" s="21" t="s">
        <v>346</v>
      </c>
      <c r="C136" s="21" t="s">
        <v>589</v>
      </c>
      <c r="D136" s="165">
        <v>940000</v>
      </c>
      <c r="E136" s="21" t="s">
        <v>322</v>
      </c>
      <c r="F136" s="21" t="s">
        <v>323</v>
      </c>
      <c r="G136" s="8" t="str">
        <f t="shared" si="2"/>
        <v>BONDS REYNALDO</v>
      </c>
    </row>
    <row r="137" spans="1:7" x14ac:dyDescent="0.25">
      <c r="A137" s="8">
        <v>42718.643958333334</v>
      </c>
      <c r="B137" s="21" t="s">
        <v>208</v>
      </c>
      <c r="C137" s="21" t="s">
        <v>590</v>
      </c>
      <c r="D137" s="165">
        <v>1140000</v>
      </c>
      <c r="E137" s="21" t="s">
        <v>324</v>
      </c>
      <c r="F137" s="21" t="s">
        <v>325</v>
      </c>
      <c r="G137" s="8" t="str">
        <f t="shared" si="2"/>
        <v>YOUNG ELIZABETH</v>
      </c>
    </row>
    <row r="138" spans="1:7" x14ac:dyDescent="0.25">
      <c r="A138" s="8">
        <v>42718.646111111113</v>
      </c>
      <c r="B138" s="21" t="s">
        <v>476</v>
      </c>
      <c r="C138" s="21" t="s">
        <v>591</v>
      </c>
      <c r="D138" s="165">
        <v>2670000</v>
      </c>
      <c r="E138" s="21" t="s">
        <v>592</v>
      </c>
      <c r="F138" s="21" t="s">
        <v>593</v>
      </c>
      <c r="G138" s="8" t="str">
        <f t="shared" si="2"/>
        <v>COMELLA JUSTIN</v>
      </c>
    </row>
    <row r="139" spans="1:7" x14ac:dyDescent="0.25">
      <c r="A139" s="8">
        <v>42718.64770833333</v>
      </c>
      <c r="B139" s="21" t="s">
        <v>280</v>
      </c>
      <c r="C139" s="21" t="s">
        <v>594</v>
      </c>
      <c r="D139" s="165">
        <v>1280000</v>
      </c>
      <c r="E139" s="21" t="s">
        <v>289</v>
      </c>
      <c r="F139" s="21" t="s">
        <v>290</v>
      </c>
      <c r="G139" s="8" t="str">
        <f t="shared" si="2"/>
        <v>BARTLETT KIANDRA</v>
      </c>
    </row>
    <row r="140" spans="1:7" x14ac:dyDescent="0.25">
      <c r="A140" s="8">
        <v>42718.652141203704</v>
      </c>
      <c r="B140" s="21" t="s">
        <v>233</v>
      </c>
      <c r="C140" s="21" t="s">
        <v>595</v>
      </c>
      <c r="D140" s="165">
        <v>2610000</v>
      </c>
      <c r="E140" s="21" t="s">
        <v>556</v>
      </c>
      <c r="F140" s="21" t="s">
        <v>557</v>
      </c>
      <c r="G140" s="8" t="str">
        <f t="shared" si="2"/>
        <v>MAGEE KENYA</v>
      </c>
    </row>
    <row r="141" spans="1:7" x14ac:dyDescent="0.25">
      <c r="A141" s="8">
        <v>42718.653113425928</v>
      </c>
      <c r="B141" s="21" t="s">
        <v>258</v>
      </c>
      <c r="C141" s="21" t="s">
        <v>588</v>
      </c>
      <c r="D141" s="165">
        <v>2040000</v>
      </c>
      <c r="E141" s="21" t="s">
        <v>568</v>
      </c>
      <c r="F141" s="21" t="s">
        <v>569</v>
      </c>
      <c r="G141" s="8" t="str">
        <f t="shared" si="2"/>
        <v>MOSES BRADLEY</v>
      </c>
    </row>
    <row r="142" spans="1:7" x14ac:dyDescent="0.25">
      <c r="A142" s="8">
        <v>42718.653703703705</v>
      </c>
      <c r="B142" s="21" t="s">
        <v>258</v>
      </c>
      <c r="C142" s="21" t="s">
        <v>596</v>
      </c>
      <c r="D142" s="165">
        <v>2040000</v>
      </c>
      <c r="E142" s="21" t="s">
        <v>568</v>
      </c>
      <c r="F142" s="21" t="s">
        <v>569</v>
      </c>
      <c r="G142" s="8" t="str">
        <f t="shared" si="2"/>
        <v>MOSES BRADLEY</v>
      </c>
    </row>
    <row r="143" spans="1:7" x14ac:dyDescent="0.25">
      <c r="A143" s="8">
        <v>42718.656215277777</v>
      </c>
      <c r="B143" s="21" t="s">
        <v>424</v>
      </c>
      <c r="C143" s="21" t="s">
        <v>597</v>
      </c>
      <c r="D143" s="165">
        <v>2670000</v>
      </c>
      <c r="E143" s="21" t="s">
        <v>592</v>
      </c>
      <c r="F143" s="21" t="s">
        <v>593</v>
      </c>
      <c r="G143" s="8" t="str">
        <f t="shared" si="2"/>
        <v>COMELLA JUSTIN</v>
      </c>
    </row>
    <row r="144" spans="1:7" x14ac:dyDescent="0.25">
      <c r="A144" s="8">
        <v>42718.66133101852</v>
      </c>
      <c r="B144" s="21" t="s">
        <v>262</v>
      </c>
      <c r="C144" s="21" t="s">
        <v>598</v>
      </c>
      <c r="D144" s="165">
        <v>2680000</v>
      </c>
      <c r="E144" s="21" t="s">
        <v>545</v>
      </c>
      <c r="F144" s="21" t="s">
        <v>546</v>
      </c>
      <c r="G144" s="8" t="str">
        <f t="shared" si="2"/>
        <v>DUNCAN SHEILA</v>
      </c>
    </row>
    <row r="145" spans="1:7" x14ac:dyDescent="0.25">
      <c r="A145" s="8">
        <v>42718.662743055553</v>
      </c>
      <c r="B145" s="21" t="s">
        <v>278</v>
      </c>
      <c r="C145" s="21" t="s">
        <v>440</v>
      </c>
      <c r="D145" s="165">
        <v>1820000</v>
      </c>
      <c r="E145" s="21" t="s">
        <v>549</v>
      </c>
      <c r="F145" s="21" t="s">
        <v>550</v>
      </c>
      <c r="G145" s="8" t="str">
        <f t="shared" si="2"/>
        <v>ADANE ELSHADAY</v>
      </c>
    </row>
    <row r="146" spans="1:7" x14ac:dyDescent="0.25">
      <c r="A146" s="8">
        <v>42718.663182870368</v>
      </c>
      <c r="B146" s="21" t="s">
        <v>228</v>
      </c>
      <c r="C146" s="21" t="s">
        <v>599</v>
      </c>
      <c r="D146" s="165">
        <v>2730000</v>
      </c>
      <c r="E146" s="21" t="s">
        <v>560</v>
      </c>
      <c r="F146" s="21" t="s">
        <v>561</v>
      </c>
      <c r="G146" s="8" t="str">
        <f t="shared" si="2"/>
        <v>YANG JAN</v>
      </c>
    </row>
    <row r="147" spans="1:7" x14ac:dyDescent="0.25">
      <c r="A147" s="8">
        <v>42718.663368055553</v>
      </c>
      <c r="B147" s="21" t="s">
        <v>278</v>
      </c>
      <c r="C147" s="21" t="s">
        <v>442</v>
      </c>
      <c r="D147" s="165">
        <v>1820000</v>
      </c>
      <c r="E147" s="21" t="s">
        <v>549</v>
      </c>
      <c r="F147" s="21" t="s">
        <v>550</v>
      </c>
      <c r="G147" s="8" t="str">
        <f t="shared" si="2"/>
        <v>ADANE ELSHADAY</v>
      </c>
    </row>
    <row r="148" spans="1:7" x14ac:dyDescent="0.25">
      <c r="A148" s="8">
        <v>42718.671967592592</v>
      </c>
      <c r="B148" s="21" t="s">
        <v>261</v>
      </c>
      <c r="C148" s="21" t="s">
        <v>600</v>
      </c>
      <c r="D148" s="165">
        <v>2370000</v>
      </c>
      <c r="E148" s="21" t="s">
        <v>363</v>
      </c>
      <c r="F148" s="21" t="s">
        <v>364</v>
      </c>
      <c r="G148" s="8" t="str">
        <f t="shared" si="2"/>
        <v>DELGADO DIANAH</v>
      </c>
    </row>
    <row r="149" spans="1:7" x14ac:dyDescent="0.25">
      <c r="A149" s="8">
        <v>42718.672708333332</v>
      </c>
      <c r="B149" s="21" t="s">
        <v>476</v>
      </c>
      <c r="C149" s="21" t="s">
        <v>601</v>
      </c>
      <c r="D149" s="165">
        <v>2670000</v>
      </c>
      <c r="E149" s="21" t="s">
        <v>592</v>
      </c>
      <c r="F149" s="21" t="s">
        <v>593</v>
      </c>
      <c r="G149" s="8" t="str">
        <f t="shared" si="2"/>
        <v>COMELLA JUSTIN</v>
      </c>
    </row>
    <row r="150" spans="1:7" x14ac:dyDescent="0.25">
      <c r="A150" s="8">
        <v>42718.674953703703</v>
      </c>
      <c r="B150" s="21" t="s">
        <v>353</v>
      </c>
      <c r="C150" s="21" t="s">
        <v>602</v>
      </c>
      <c r="D150" s="165">
        <v>2450000</v>
      </c>
      <c r="E150" s="21" t="s">
        <v>603</v>
      </c>
      <c r="F150" s="21" t="s">
        <v>604</v>
      </c>
      <c r="G150" s="8" t="str">
        <f t="shared" si="2"/>
        <v>NELSON ARIANE</v>
      </c>
    </row>
    <row r="151" spans="1:7" x14ac:dyDescent="0.25">
      <c r="A151" s="8">
        <v>42718.676840277774</v>
      </c>
      <c r="B151" s="21" t="s">
        <v>209</v>
      </c>
      <c r="C151" s="21" t="s">
        <v>605</v>
      </c>
      <c r="D151" s="165">
        <v>1140000</v>
      </c>
      <c r="E151" s="21" t="s">
        <v>324</v>
      </c>
      <c r="F151" s="21" t="s">
        <v>325</v>
      </c>
      <c r="G151" s="8" t="str">
        <f t="shared" si="2"/>
        <v>YOUNG ELIZABETH</v>
      </c>
    </row>
    <row r="152" spans="1:7" x14ac:dyDescent="0.25">
      <c r="A152" s="8">
        <v>42718.684907407405</v>
      </c>
      <c r="B152" s="21" t="s">
        <v>234</v>
      </c>
      <c r="C152" s="21" t="s">
        <v>606</v>
      </c>
      <c r="D152" s="165">
        <v>1280000</v>
      </c>
      <c r="E152" s="21" t="s">
        <v>289</v>
      </c>
      <c r="F152" s="21" t="s">
        <v>290</v>
      </c>
      <c r="G152" s="8" t="str">
        <f t="shared" si="2"/>
        <v>BARTLETT KIANDRA</v>
      </c>
    </row>
    <row r="153" spans="1:7" x14ac:dyDescent="0.25">
      <c r="A153" s="8">
        <v>42718.688703703701</v>
      </c>
      <c r="B153" s="21" t="s">
        <v>241</v>
      </c>
      <c r="C153" s="21" t="s">
        <v>607</v>
      </c>
      <c r="D153" s="165">
        <v>2610000</v>
      </c>
      <c r="E153" s="21" t="s">
        <v>556</v>
      </c>
      <c r="F153" s="21" t="s">
        <v>557</v>
      </c>
      <c r="G153" s="8" t="str">
        <f t="shared" si="2"/>
        <v>MAGEE KENYA</v>
      </c>
    </row>
    <row r="154" spans="1:7" x14ac:dyDescent="0.25">
      <c r="A154" s="8">
        <v>42718.694537037038</v>
      </c>
      <c r="B154" s="21" t="s">
        <v>258</v>
      </c>
      <c r="C154" s="21" t="s">
        <v>441</v>
      </c>
      <c r="D154" s="165">
        <v>2370000</v>
      </c>
      <c r="E154" s="21" t="s">
        <v>363</v>
      </c>
      <c r="F154" s="21" t="s">
        <v>364</v>
      </c>
      <c r="G154" s="8" t="str">
        <f t="shared" si="2"/>
        <v>DELGADO DIANAH</v>
      </c>
    </row>
    <row r="155" spans="1:7" x14ac:dyDescent="0.25">
      <c r="A155" s="8">
        <v>42718.695625</v>
      </c>
      <c r="B155" s="21" t="s">
        <v>184</v>
      </c>
      <c r="C155" s="21" t="s">
        <v>444</v>
      </c>
      <c r="D155" s="165">
        <v>2680000</v>
      </c>
      <c r="E155" s="21" t="s">
        <v>545</v>
      </c>
      <c r="F155" s="21" t="s">
        <v>546</v>
      </c>
      <c r="G155" s="8" t="str">
        <f t="shared" si="2"/>
        <v>DUNCAN SHEILA</v>
      </c>
    </row>
    <row r="156" spans="1:7" x14ac:dyDescent="0.25">
      <c r="A156" s="8">
        <v>42718.698229166665</v>
      </c>
      <c r="B156" s="21" t="s">
        <v>424</v>
      </c>
      <c r="C156" s="21" t="s">
        <v>608</v>
      </c>
      <c r="D156" s="165">
        <v>2670000</v>
      </c>
      <c r="E156" s="21" t="s">
        <v>592</v>
      </c>
      <c r="F156" s="21" t="s">
        <v>593</v>
      </c>
      <c r="G156" s="8" t="str">
        <f t="shared" si="2"/>
        <v>COMELLA JUSTIN</v>
      </c>
    </row>
    <row r="157" spans="1:7" x14ac:dyDescent="0.25">
      <c r="A157" s="8">
        <v>42718.698518518519</v>
      </c>
      <c r="B157" s="21" t="s">
        <v>258</v>
      </c>
      <c r="C157" s="21" t="s">
        <v>441</v>
      </c>
      <c r="D157" s="165">
        <v>2370000</v>
      </c>
      <c r="E157" s="21" t="s">
        <v>363</v>
      </c>
      <c r="F157" s="21" t="s">
        <v>364</v>
      </c>
      <c r="G157" s="8" t="str">
        <f t="shared" si="2"/>
        <v>DELGADO DIANAH</v>
      </c>
    </row>
    <row r="158" spans="1:7" x14ac:dyDescent="0.25">
      <c r="A158" s="8">
        <v>42718.700972222221</v>
      </c>
      <c r="B158" s="21" t="s">
        <v>321</v>
      </c>
      <c r="C158" s="21" t="s">
        <v>609</v>
      </c>
      <c r="D158" s="165">
        <v>2730000</v>
      </c>
      <c r="E158" s="21" t="s">
        <v>560</v>
      </c>
      <c r="F158" s="21" t="s">
        <v>561</v>
      </c>
      <c r="G158" s="8" t="str">
        <f t="shared" si="2"/>
        <v>YANG JAN</v>
      </c>
    </row>
    <row r="159" spans="1:7" x14ac:dyDescent="0.25">
      <c r="A159" s="8">
        <v>42718.706238425926</v>
      </c>
      <c r="B159" s="21" t="s">
        <v>251</v>
      </c>
      <c r="C159" s="21" t="s">
        <v>610</v>
      </c>
      <c r="D159" s="165">
        <v>1820000</v>
      </c>
      <c r="E159" s="21" t="s">
        <v>549</v>
      </c>
      <c r="F159" s="21" t="s">
        <v>550</v>
      </c>
      <c r="G159" s="8" t="str">
        <f t="shared" si="2"/>
        <v>ADANE ELSHADAY</v>
      </c>
    </row>
    <row r="160" spans="1:7" x14ac:dyDescent="0.25">
      <c r="A160" s="8">
        <v>42718.711539351854</v>
      </c>
      <c r="B160" s="21" t="s">
        <v>346</v>
      </c>
      <c r="C160" s="21" t="s">
        <v>611</v>
      </c>
      <c r="D160" s="165">
        <v>2450000</v>
      </c>
      <c r="E160" s="21" t="s">
        <v>603</v>
      </c>
      <c r="F160" s="21" t="s">
        <v>604</v>
      </c>
      <c r="G160" s="8" t="str">
        <f t="shared" si="2"/>
        <v>NELSON ARIANE</v>
      </c>
    </row>
    <row r="161" spans="1:7" x14ac:dyDescent="0.25">
      <c r="A161" s="8">
        <v>42718.712650462963</v>
      </c>
      <c r="B161" s="21" t="s">
        <v>347</v>
      </c>
      <c r="C161" s="21" t="s">
        <v>443</v>
      </c>
      <c r="D161" s="165">
        <v>2710000</v>
      </c>
      <c r="E161" s="21" t="s">
        <v>612</v>
      </c>
      <c r="F161" s="21" t="s">
        <v>613</v>
      </c>
      <c r="G161" s="8" t="str">
        <f t="shared" si="2"/>
        <v>SIMMONS SHYHESHA</v>
      </c>
    </row>
    <row r="162" spans="1:7" x14ac:dyDescent="0.25">
      <c r="A162" s="8">
        <v>42718.715555555558</v>
      </c>
      <c r="B162" s="21" t="s">
        <v>476</v>
      </c>
      <c r="C162" s="21" t="s">
        <v>614</v>
      </c>
      <c r="D162" s="165">
        <v>2670000</v>
      </c>
      <c r="E162" s="21" t="s">
        <v>592</v>
      </c>
      <c r="F162" s="21" t="s">
        <v>593</v>
      </c>
      <c r="G162" s="8" t="str">
        <f t="shared" si="2"/>
        <v>COMELLA JUSTIN</v>
      </c>
    </row>
    <row r="163" spans="1:7" x14ac:dyDescent="0.25">
      <c r="A163" s="8">
        <v>42718.71675925926</v>
      </c>
      <c r="B163" s="21" t="s">
        <v>280</v>
      </c>
      <c r="C163" s="21" t="s">
        <v>615</v>
      </c>
      <c r="D163" s="165">
        <v>1280000</v>
      </c>
      <c r="E163" s="21" t="s">
        <v>289</v>
      </c>
      <c r="F163" s="21" t="s">
        <v>290</v>
      </c>
      <c r="G163" s="8" t="str">
        <f t="shared" si="2"/>
        <v>BARTLETT KIANDRA</v>
      </c>
    </row>
    <row r="164" spans="1:7" x14ac:dyDescent="0.25">
      <c r="A164" s="8">
        <v>42718.71802083333</v>
      </c>
      <c r="B164" s="21" t="s">
        <v>208</v>
      </c>
      <c r="C164" s="21" t="s">
        <v>616</v>
      </c>
      <c r="D164" s="165">
        <v>2000000</v>
      </c>
      <c r="E164" s="21" t="s">
        <v>211</v>
      </c>
      <c r="F164" s="21" t="s">
        <v>268</v>
      </c>
      <c r="G164" s="8" t="str">
        <f t="shared" si="2"/>
        <v>STAMBAUGH JAMES</v>
      </c>
    </row>
    <row r="165" spans="1:7" x14ac:dyDescent="0.25">
      <c r="A165" s="8">
        <v>42718.718645833331</v>
      </c>
      <c r="B165" s="21" t="s">
        <v>154</v>
      </c>
      <c r="C165" s="21" t="s">
        <v>617</v>
      </c>
      <c r="D165" s="165">
        <v>2350000</v>
      </c>
      <c r="E165" s="21" t="s">
        <v>618</v>
      </c>
      <c r="F165" s="21" t="s">
        <v>619</v>
      </c>
      <c r="G165" s="8" t="str">
        <f t="shared" si="2"/>
        <v>BERLING GARY</v>
      </c>
    </row>
    <row r="166" spans="1:7" x14ac:dyDescent="0.25">
      <c r="A166" s="8">
        <v>42718.718657407408</v>
      </c>
      <c r="B166" s="21" t="s">
        <v>261</v>
      </c>
      <c r="C166" s="21" t="s">
        <v>620</v>
      </c>
      <c r="D166" s="165">
        <v>2040000</v>
      </c>
      <c r="E166" s="21" t="s">
        <v>568</v>
      </c>
      <c r="F166" s="21" t="s">
        <v>569</v>
      </c>
      <c r="G166" s="8" t="str">
        <f t="shared" si="2"/>
        <v>MOSES BRADLEY</v>
      </c>
    </row>
    <row r="167" spans="1:7" x14ac:dyDescent="0.25">
      <c r="A167" s="8">
        <v>42718.72278935185</v>
      </c>
      <c r="B167" s="21" t="s">
        <v>154</v>
      </c>
      <c r="C167" s="21" t="s">
        <v>617</v>
      </c>
      <c r="D167" s="165">
        <v>2350000</v>
      </c>
      <c r="E167" s="21" t="s">
        <v>618</v>
      </c>
      <c r="F167" s="21" t="s">
        <v>619</v>
      </c>
      <c r="G167" s="8" t="str">
        <f t="shared" si="2"/>
        <v>BERLING GARY</v>
      </c>
    </row>
    <row r="168" spans="1:7" x14ac:dyDescent="0.25">
      <c r="A168" s="8">
        <v>42718.726006944446</v>
      </c>
      <c r="B168" s="21" t="s">
        <v>233</v>
      </c>
      <c r="C168" s="21" t="s">
        <v>621</v>
      </c>
      <c r="D168" s="165">
        <v>1140000</v>
      </c>
      <c r="E168" s="21" t="s">
        <v>324</v>
      </c>
      <c r="F168" s="21" t="s">
        <v>325</v>
      </c>
      <c r="G168" s="8" t="str">
        <f t="shared" si="2"/>
        <v>YOUNG ELIZABETH</v>
      </c>
    </row>
    <row r="169" spans="1:7" x14ac:dyDescent="0.25">
      <c r="A169" s="8">
        <v>42718.734432870369</v>
      </c>
      <c r="B169" s="21" t="s">
        <v>262</v>
      </c>
      <c r="C169" s="21" t="s">
        <v>445</v>
      </c>
      <c r="D169" s="165">
        <v>2680000</v>
      </c>
      <c r="E169" s="21" t="s">
        <v>545</v>
      </c>
      <c r="F169" s="21" t="s">
        <v>546</v>
      </c>
      <c r="G169" s="8" t="str">
        <f t="shared" si="2"/>
        <v>DUNCAN SHEILA</v>
      </c>
    </row>
    <row r="170" spans="1:7" x14ac:dyDescent="0.25">
      <c r="A170" s="8">
        <v>42718.735601851855</v>
      </c>
      <c r="B170" s="21" t="s">
        <v>278</v>
      </c>
      <c r="C170" s="21" t="s">
        <v>622</v>
      </c>
      <c r="D170" s="165">
        <v>1820000</v>
      </c>
      <c r="E170" s="21" t="s">
        <v>549</v>
      </c>
      <c r="F170" s="21" t="s">
        <v>550</v>
      </c>
      <c r="G170" s="8" t="str">
        <f t="shared" si="2"/>
        <v>ADANE ELSHADAY</v>
      </c>
    </row>
    <row r="171" spans="1:7" x14ac:dyDescent="0.25">
      <c r="A171" s="8">
        <v>42718.735694444447</v>
      </c>
      <c r="B171" s="21" t="s">
        <v>258</v>
      </c>
      <c r="C171" s="21" t="s">
        <v>623</v>
      </c>
      <c r="D171" s="165">
        <v>2040000</v>
      </c>
      <c r="E171" s="21" t="s">
        <v>568</v>
      </c>
      <c r="F171" s="21" t="s">
        <v>569</v>
      </c>
      <c r="G171" s="8" t="str">
        <f t="shared" si="2"/>
        <v>MOSES BRADLEY</v>
      </c>
    </row>
    <row r="172" spans="1:7" x14ac:dyDescent="0.25">
      <c r="A172" s="8">
        <v>42718.73605324074</v>
      </c>
      <c r="B172" s="21" t="s">
        <v>238</v>
      </c>
      <c r="C172" s="21" t="s">
        <v>624</v>
      </c>
      <c r="D172" s="165">
        <v>1300000</v>
      </c>
      <c r="E172" s="21" t="s">
        <v>113</v>
      </c>
      <c r="F172" s="21" t="s">
        <v>352</v>
      </c>
      <c r="G172" s="8" t="str">
        <f t="shared" si="2"/>
        <v>LEVIN SCOTT</v>
      </c>
    </row>
    <row r="173" spans="1:7" x14ac:dyDescent="0.25">
      <c r="A173" s="8">
        <v>42718.738009259258</v>
      </c>
      <c r="B173" s="21" t="s">
        <v>424</v>
      </c>
      <c r="C173" s="21" t="s">
        <v>625</v>
      </c>
      <c r="D173" s="165">
        <v>2670000</v>
      </c>
      <c r="E173" s="21" t="s">
        <v>592</v>
      </c>
      <c r="F173" s="21" t="s">
        <v>593</v>
      </c>
      <c r="G173" s="8" t="str">
        <f t="shared" si="2"/>
        <v>COMELLA JUSTIN</v>
      </c>
    </row>
    <row r="174" spans="1:7" x14ac:dyDescent="0.25">
      <c r="A174" s="8">
        <v>42718.738483796296</v>
      </c>
      <c r="B174" s="21" t="s">
        <v>228</v>
      </c>
      <c r="C174" s="21" t="s">
        <v>626</v>
      </c>
      <c r="D174" s="165">
        <v>1230000</v>
      </c>
      <c r="E174" s="21" t="s">
        <v>256</v>
      </c>
      <c r="F174" s="21" t="s">
        <v>265</v>
      </c>
      <c r="G174" s="8" t="str">
        <f t="shared" si="2"/>
        <v>YANAI IAN</v>
      </c>
    </row>
    <row r="175" spans="1:7" x14ac:dyDescent="0.25">
      <c r="A175" s="8">
        <v>42718.745243055557</v>
      </c>
      <c r="B175" s="21" t="s">
        <v>348</v>
      </c>
      <c r="C175" s="21" t="s">
        <v>627</v>
      </c>
      <c r="D175" s="165">
        <v>970000</v>
      </c>
      <c r="E175" s="21" t="s">
        <v>628</v>
      </c>
      <c r="F175" s="21" t="s">
        <v>629</v>
      </c>
      <c r="G175" s="8" t="str">
        <f t="shared" si="2"/>
        <v>JACKSON WILLIAM</v>
      </c>
    </row>
    <row r="176" spans="1:7" x14ac:dyDescent="0.25">
      <c r="A176" s="8">
        <v>42718.749606481484</v>
      </c>
      <c r="B176" s="21" t="s">
        <v>353</v>
      </c>
      <c r="C176" s="21" t="s">
        <v>630</v>
      </c>
      <c r="D176" s="165">
        <v>2730000</v>
      </c>
      <c r="E176" s="21" t="s">
        <v>560</v>
      </c>
      <c r="F176" s="21" t="s">
        <v>561</v>
      </c>
      <c r="G176" s="8" t="str">
        <f t="shared" si="2"/>
        <v>YANG JAN</v>
      </c>
    </row>
    <row r="177" spans="1:7" x14ac:dyDescent="0.25">
      <c r="A177" s="8">
        <v>42718.755231481482</v>
      </c>
      <c r="B177" s="21" t="s">
        <v>209</v>
      </c>
      <c r="C177" s="21" t="s">
        <v>631</v>
      </c>
      <c r="D177" s="165">
        <v>2000000</v>
      </c>
      <c r="E177" s="21" t="s">
        <v>211</v>
      </c>
      <c r="F177" s="21" t="s">
        <v>268</v>
      </c>
      <c r="G177" s="8" t="str">
        <f t="shared" si="2"/>
        <v>STAMBAUGH JAMES</v>
      </c>
    </row>
    <row r="178" spans="1:7" x14ac:dyDescent="0.25">
      <c r="A178" s="8">
        <v>42718.7575462963</v>
      </c>
      <c r="B178" s="21" t="s">
        <v>476</v>
      </c>
      <c r="C178" s="21" t="s">
        <v>632</v>
      </c>
      <c r="D178" s="165">
        <v>2670000</v>
      </c>
      <c r="E178" s="21" t="s">
        <v>592</v>
      </c>
      <c r="F178" s="21" t="s">
        <v>593</v>
      </c>
      <c r="G178" s="8" t="str">
        <f t="shared" si="2"/>
        <v>COMELLA JUSTIN</v>
      </c>
    </row>
    <row r="179" spans="1:7" x14ac:dyDescent="0.25">
      <c r="A179" s="8">
        <v>42718.758715277778</v>
      </c>
      <c r="B179" s="21" t="s">
        <v>234</v>
      </c>
      <c r="C179" s="21" t="s">
        <v>633</v>
      </c>
      <c r="D179" s="165">
        <v>1300000</v>
      </c>
      <c r="E179" s="21" t="s">
        <v>113</v>
      </c>
      <c r="F179" s="21" t="s">
        <v>352</v>
      </c>
      <c r="G179" s="8" t="str">
        <f t="shared" si="2"/>
        <v>LEVIN SCOTT</v>
      </c>
    </row>
    <row r="180" spans="1:7" x14ac:dyDescent="0.25">
      <c r="A180" s="8">
        <v>42718.760115740741</v>
      </c>
      <c r="B180" s="21" t="s">
        <v>241</v>
      </c>
      <c r="C180" s="21" t="s">
        <v>634</v>
      </c>
      <c r="D180" s="165">
        <v>1140000</v>
      </c>
      <c r="E180" s="21" t="s">
        <v>324</v>
      </c>
      <c r="F180" s="21" t="s">
        <v>325</v>
      </c>
      <c r="G180" s="8" t="str">
        <f t="shared" si="2"/>
        <v>YOUNG ELIZABETH</v>
      </c>
    </row>
    <row r="181" spans="1:7" x14ac:dyDescent="0.25">
      <c r="A181" s="8">
        <v>42718.760914351849</v>
      </c>
      <c r="B181" s="21" t="s">
        <v>261</v>
      </c>
      <c r="C181" s="21" t="s">
        <v>635</v>
      </c>
      <c r="D181" s="165">
        <v>2040000</v>
      </c>
      <c r="E181" s="21" t="s">
        <v>568</v>
      </c>
      <c r="F181" s="21" t="s">
        <v>569</v>
      </c>
      <c r="G181" s="8" t="str">
        <f t="shared" si="2"/>
        <v>MOSES BRADLEY</v>
      </c>
    </row>
    <row r="182" spans="1:7" x14ac:dyDescent="0.25">
      <c r="A182" s="8">
        <v>42718.769004629627</v>
      </c>
      <c r="B182" s="21" t="s">
        <v>184</v>
      </c>
      <c r="C182" s="21" t="s">
        <v>636</v>
      </c>
      <c r="D182" s="165">
        <v>2620000</v>
      </c>
      <c r="E182" s="21" t="s">
        <v>637</v>
      </c>
      <c r="F182" s="21" t="s">
        <v>638</v>
      </c>
      <c r="G182" s="8" t="str">
        <f t="shared" si="2"/>
        <v>PERKINS DARREN</v>
      </c>
    </row>
    <row r="183" spans="1:7" x14ac:dyDescent="0.25">
      <c r="A183" s="8">
        <v>42718.769236111111</v>
      </c>
      <c r="B183" s="21" t="s">
        <v>237</v>
      </c>
      <c r="C183" s="21" t="s">
        <v>639</v>
      </c>
      <c r="D183" s="165">
        <v>1540000</v>
      </c>
      <c r="E183" s="21" t="s">
        <v>357</v>
      </c>
      <c r="F183" s="21" t="s">
        <v>358</v>
      </c>
      <c r="G183" s="8" t="str">
        <f t="shared" si="2"/>
        <v>HELVIE ADAM</v>
      </c>
    </row>
    <row r="184" spans="1:7" x14ac:dyDescent="0.25">
      <c r="A184" s="8">
        <v>42718.769525462965</v>
      </c>
      <c r="B184" s="21" t="s">
        <v>321</v>
      </c>
      <c r="C184" s="21" t="s">
        <v>640</v>
      </c>
      <c r="D184" s="165">
        <v>1230000</v>
      </c>
      <c r="E184" s="21" t="s">
        <v>256</v>
      </c>
      <c r="F184" s="21" t="s">
        <v>265</v>
      </c>
      <c r="G184" s="8" t="str">
        <f t="shared" si="2"/>
        <v>YANAI IAN</v>
      </c>
    </row>
    <row r="185" spans="1:7" x14ac:dyDescent="0.25">
      <c r="A185" s="8">
        <v>42718.776678240742</v>
      </c>
      <c r="B185" s="21" t="s">
        <v>258</v>
      </c>
      <c r="C185" s="21" t="s">
        <v>641</v>
      </c>
      <c r="D185" s="165">
        <v>2040000</v>
      </c>
      <c r="E185" s="21" t="s">
        <v>568</v>
      </c>
      <c r="F185" s="21" t="s">
        <v>569</v>
      </c>
      <c r="G185" s="8" t="str">
        <f t="shared" si="2"/>
        <v>MOSES BRADLEY</v>
      </c>
    </row>
    <row r="186" spans="1:7" x14ac:dyDescent="0.25">
      <c r="A186" s="8">
        <v>42718.777037037034</v>
      </c>
      <c r="B186" s="21" t="s">
        <v>251</v>
      </c>
      <c r="C186" s="21" t="s">
        <v>642</v>
      </c>
      <c r="D186" s="165">
        <v>1820000</v>
      </c>
      <c r="E186" s="21" t="s">
        <v>549</v>
      </c>
      <c r="F186" s="21" t="s">
        <v>550</v>
      </c>
      <c r="G186" s="8" t="str">
        <f t="shared" si="2"/>
        <v>ADANE ELSHADAY</v>
      </c>
    </row>
    <row r="187" spans="1:7" x14ac:dyDescent="0.25">
      <c r="A187" s="8">
        <v>42718.782280092593</v>
      </c>
      <c r="B187" s="21" t="s">
        <v>424</v>
      </c>
      <c r="C187" s="21" t="s">
        <v>446</v>
      </c>
      <c r="D187" s="165">
        <v>2670000</v>
      </c>
      <c r="E187" s="21" t="s">
        <v>592</v>
      </c>
      <c r="F187" s="21" t="s">
        <v>593</v>
      </c>
      <c r="G187" s="8" t="str">
        <f t="shared" si="2"/>
        <v>COMELLA JUSTIN</v>
      </c>
    </row>
    <row r="188" spans="1:7" x14ac:dyDescent="0.25">
      <c r="A188" s="8">
        <v>42718.786076388889</v>
      </c>
      <c r="B188" s="21" t="s">
        <v>346</v>
      </c>
      <c r="C188" s="21" t="s">
        <v>643</v>
      </c>
      <c r="D188" s="165">
        <v>2730000</v>
      </c>
      <c r="E188" s="21" t="s">
        <v>560</v>
      </c>
      <c r="F188" s="21" t="s">
        <v>561</v>
      </c>
      <c r="G188" s="8" t="str">
        <f t="shared" si="2"/>
        <v>YANG JAN</v>
      </c>
    </row>
    <row r="189" spans="1:7" x14ac:dyDescent="0.25">
      <c r="A189" s="8">
        <v>42718.788032407407</v>
      </c>
      <c r="B189" s="21" t="s">
        <v>208</v>
      </c>
      <c r="C189" s="21" t="s">
        <v>644</v>
      </c>
      <c r="D189" s="165">
        <v>2000000</v>
      </c>
      <c r="E189" s="21" t="s">
        <v>211</v>
      </c>
      <c r="F189" s="21" t="s">
        <v>268</v>
      </c>
      <c r="G189" s="8" t="str">
        <f t="shared" si="2"/>
        <v>STAMBAUGH JAMES</v>
      </c>
    </row>
    <row r="190" spans="1:7" x14ac:dyDescent="0.25">
      <c r="A190" s="8">
        <v>42718.797650462962</v>
      </c>
      <c r="B190" s="21" t="s">
        <v>356</v>
      </c>
      <c r="C190" s="21" t="s">
        <v>645</v>
      </c>
      <c r="D190" s="165">
        <v>2550000</v>
      </c>
      <c r="E190" s="21" t="s">
        <v>215</v>
      </c>
      <c r="F190" s="21" t="s">
        <v>646</v>
      </c>
      <c r="G190" s="8" t="str">
        <f t="shared" si="2"/>
        <v>BADERTSCHER DIANE</v>
      </c>
    </row>
    <row r="191" spans="1:7" x14ac:dyDescent="0.25">
      <c r="A191" s="8">
        <v>42718.798217592594</v>
      </c>
      <c r="B191" s="21" t="s">
        <v>261</v>
      </c>
      <c r="C191" s="21" t="s">
        <v>647</v>
      </c>
      <c r="D191" s="165">
        <v>2040000</v>
      </c>
      <c r="E191" s="21" t="s">
        <v>568</v>
      </c>
      <c r="F191" s="21" t="s">
        <v>569</v>
      </c>
      <c r="G191" s="8" t="str">
        <f t="shared" si="2"/>
        <v>MOSES BRADLEY</v>
      </c>
    </row>
    <row r="192" spans="1:7" x14ac:dyDescent="0.25">
      <c r="A192" s="8">
        <v>42718.798668981479</v>
      </c>
      <c r="B192" s="21" t="s">
        <v>280</v>
      </c>
      <c r="C192" s="21" t="s">
        <v>648</v>
      </c>
      <c r="D192" s="165">
        <v>1300000</v>
      </c>
      <c r="E192" s="21" t="s">
        <v>113</v>
      </c>
      <c r="F192" s="21" t="s">
        <v>352</v>
      </c>
      <c r="G192" s="8" t="str">
        <f t="shared" si="2"/>
        <v>LEVIN SCOTT</v>
      </c>
    </row>
    <row r="193" spans="1:7" x14ac:dyDescent="0.25">
      <c r="A193" s="8">
        <v>42718.79886574074</v>
      </c>
      <c r="B193" s="21" t="s">
        <v>476</v>
      </c>
      <c r="C193" s="21" t="s">
        <v>649</v>
      </c>
      <c r="D193" s="165">
        <v>2670000</v>
      </c>
      <c r="E193" s="21" t="s">
        <v>592</v>
      </c>
      <c r="F193" s="21" t="s">
        <v>593</v>
      </c>
      <c r="G193" s="8" t="str">
        <f t="shared" si="2"/>
        <v>COMELLA JUSTIN</v>
      </c>
    </row>
    <row r="194" spans="1:7" x14ac:dyDescent="0.25">
      <c r="A194" s="8">
        <v>42718.802384259259</v>
      </c>
      <c r="B194" s="21" t="s">
        <v>233</v>
      </c>
      <c r="C194" s="21" t="s">
        <v>650</v>
      </c>
      <c r="D194" s="165">
        <v>1140000</v>
      </c>
      <c r="E194" s="21" t="s">
        <v>324</v>
      </c>
      <c r="F194" s="21" t="s">
        <v>325</v>
      </c>
      <c r="G194" s="8" t="str">
        <f t="shared" si="2"/>
        <v>YOUNG ELIZABETH</v>
      </c>
    </row>
    <row r="195" spans="1:7" x14ac:dyDescent="0.25">
      <c r="A195" s="8">
        <v>42718.804837962962</v>
      </c>
      <c r="B195" s="21" t="s">
        <v>262</v>
      </c>
      <c r="C195" s="21" t="s">
        <v>447</v>
      </c>
      <c r="D195" s="165">
        <v>2620000</v>
      </c>
      <c r="E195" s="21" t="s">
        <v>637</v>
      </c>
      <c r="F195" s="21" t="s">
        <v>638</v>
      </c>
      <c r="G195" s="8" t="str">
        <f t="shared" ref="G195:G258" si="3">E195&amp;" "&amp;F195</f>
        <v>PERKINS DARREN</v>
      </c>
    </row>
    <row r="196" spans="1:7" x14ac:dyDescent="0.25">
      <c r="A196" s="8">
        <v>42718.810752314814</v>
      </c>
      <c r="B196" s="21" t="s">
        <v>228</v>
      </c>
      <c r="C196" s="21" t="s">
        <v>651</v>
      </c>
      <c r="D196" s="165">
        <v>1230000</v>
      </c>
      <c r="E196" s="21" t="s">
        <v>256</v>
      </c>
      <c r="F196" s="21" t="s">
        <v>265</v>
      </c>
      <c r="G196" s="8" t="str">
        <f t="shared" si="3"/>
        <v>YANAI IAN</v>
      </c>
    </row>
    <row r="197" spans="1:7" x14ac:dyDescent="0.25">
      <c r="A197" s="8">
        <v>42718.818136574075</v>
      </c>
      <c r="B197" s="21" t="s">
        <v>258</v>
      </c>
      <c r="C197" s="21" t="s">
        <v>652</v>
      </c>
      <c r="D197" s="165">
        <v>2040000</v>
      </c>
      <c r="E197" s="21" t="s">
        <v>568</v>
      </c>
      <c r="F197" s="21" t="s">
        <v>569</v>
      </c>
      <c r="G197" s="8" t="str">
        <f t="shared" si="3"/>
        <v>MOSES BRADLEY</v>
      </c>
    </row>
    <row r="198" spans="1:7" x14ac:dyDescent="0.25">
      <c r="A198" s="8">
        <v>42718.824259259258</v>
      </c>
      <c r="B198" s="21" t="s">
        <v>353</v>
      </c>
      <c r="C198" s="21" t="s">
        <v>653</v>
      </c>
      <c r="D198" s="165">
        <v>2730000</v>
      </c>
      <c r="E198" s="21" t="s">
        <v>560</v>
      </c>
      <c r="F198" s="21" t="s">
        <v>561</v>
      </c>
      <c r="G198" s="8" t="str">
        <f t="shared" si="3"/>
        <v>YANG JAN</v>
      </c>
    </row>
    <row r="199" spans="1:7" x14ac:dyDescent="0.25">
      <c r="A199" s="8">
        <v>42718.827951388892</v>
      </c>
      <c r="B199" s="21" t="s">
        <v>209</v>
      </c>
      <c r="C199" s="21" t="s">
        <v>448</v>
      </c>
      <c r="D199" s="165">
        <v>2000000</v>
      </c>
      <c r="E199" s="21" t="s">
        <v>211</v>
      </c>
      <c r="F199" s="21" t="s">
        <v>268</v>
      </c>
      <c r="G199" s="8" t="str">
        <f t="shared" si="3"/>
        <v>STAMBAUGH JAMES</v>
      </c>
    </row>
    <row r="200" spans="1:7" x14ac:dyDescent="0.25">
      <c r="A200" s="8">
        <v>42718.83017361111</v>
      </c>
      <c r="B200" s="21" t="s">
        <v>234</v>
      </c>
      <c r="C200" s="21" t="s">
        <v>654</v>
      </c>
      <c r="D200" s="165">
        <v>2630000</v>
      </c>
      <c r="E200" s="21" t="s">
        <v>655</v>
      </c>
      <c r="F200" s="21" t="s">
        <v>656</v>
      </c>
      <c r="G200" s="8" t="str">
        <f t="shared" si="3"/>
        <v>SAFIEF AEIMEN</v>
      </c>
    </row>
    <row r="201" spans="1:7" x14ac:dyDescent="0.25">
      <c r="A201" s="8">
        <v>42718.838634259257</v>
      </c>
      <c r="B201" s="21" t="s">
        <v>321</v>
      </c>
      <c r="C201" s="21" t="s">
        <v>450</v>
      </c>
      <c r="D201" s="165">
        <v>1230000</v>
      </c>
      <c r="E201" s="21" t="s">
        <v>256</v>
      </c>
      <c r="F201" s="21" t="s">
        <v>265</v>
      </c>
      <c r="G201" s="8" t="str">
        <f t="shared" si="3"/>
        <v>YANAI IAN</v>
      </c>
    </row>
    <row r="202" spans="1:7" x14ac:dyDescent="0.25">
      <c r="A202" s="27">
        <v>42718.841504629629</v>
      </c>
      <c r="B202" s="21" t="s">
        <v>184</v>
      </c>
      <c r="C202" s="21" t="s">
        <v>657</v>
      </c>
      <c r="D202" s="165">
        <v>2620000</v>
      </c>
      <c r="E202" s="21" t="s">
        <v>637</v>
      </c>
      <c r="F202" s="21" t="s">
        <v>638</v>
      </c>
      <c r="G202" s="8" t="str">
        <f t="shared" si="3"/>
        <v>PERKINS DARREN</v>
      </c>
    </row>
    <row r="203" spans="1:7" x14ac:dyDescent="0.25">
      <c r="A203" s="8">
        <v>42718.843611111108</v>
      </c>
      <c r="B203" s="21" t="s">
        <v>261</v>
      </c>
      <c r="C203" s="21" t="s">
        <v>658</v>
      </c>
      <c r="D203" s="165">
        <v>2040000</v>
      </c>
      <c r="E203" s="21" t="s">
        <v>568</v>
      </c>
      <c r="F203" s="21" t="s">
        <v>569</v>
      </c>
      <c r="G203" s="8" t="str">
        <f t="shared" si="3"/>
        <v>MOSES BRADLEY</v>
      </c>
    </row>
    <row r="204" spans="1:7" x14ac:dyDescent="0.25">
      <c r="A204" s="8">
        <v>42718.860798611109</v>
      </c>
      <c r="B204" s="21" t="s">
        <v>258</v>
      </c>
      <c r="C204" s="21" t="s">
        <v>449</v>
      </c>
      <c r="D204" s="165">
        <v>2040000</v>
      </c>
      <c r="E204" s="21" t="s">
        <v>568</v>
      </c>
      <c r="F204" s="21" t="s">
        <v>569</v>
      </c>
      <c r="G204" s="8" t="str">
        <f t="shared" si="3"/>
        <v>MOSES BRADLEY</v>
      </c>
    </row>
    <row r="205" spans="1:7" x14ac:dyDescent="0.25">
      <c r="A205" s="8">
        <v>42718.865671296298</v>
      </c>
      <c r="B205" s="21" t="s">
        <v>280</v>
      </c>
      <c r="C205" s="21" t="s">
        <v>659</v>
      </c>
      <c r="D205" s="165">
        <v>2630000</v>
      </c>
      <c r="E205" s="21" t="s">
        <v>655</v>
      </c>
      <c r="F205" s="21" t="s">
        <v>656</v>
      </c>
      <c r="G205" s="8" t="str">
        <f t="shared" si="3"/>
        <v>SAFIEF AEIMEN</v>
      </c>
    </row>
    <row r="206" spans="1:7" x14ac:dyDescent="0.25">
      <c r="A206" s="8">
        <v>42718.870891203704</v>
      </c>
      <c r="B206" s="21" t="s">
        <v>208</v>
      </c>
      <c r="C206" s="21" t="s">
        <v>660</v>
      </c>
      <c r="D206" s="165">
        <v>2000000</v>
      </c>
      <c r="E206" s="21" t="s">
        <v>211</v>
      </c>
      <c r="F206" s="21" t="s">
        <v>268</v>
      </c>
      <c r="G206" s="8" t="str">
        <f t="shared" si="3"/>
        <v>STAMBAUGH JAMES</v>
      </c>
    </row>
    <row r="207" spans="1:7" x14ac:dyDescent="0.25">
      <c r="A207" s="8">
        <v>42718.877349537041</v>
      </c>
      <c r="B207" s="21" t="s">
        <v>261</v>
      </c>
      <c r="C207" s="21" t="s">
        <v>451</v>
      </c>
      <c r="D207" s="165">
        <v>2670000</v>
      </c>
      <c r="E207" s="21" t="s">
        <v>592</v>
      </c>
      <c r="F207" s="21" t="s">
        <v>593</v>
      </c>
      <c r="G207" s="8" t="str">
        <f t="shared" si="3"/>
        <v>COMELLA JUSTIN</v>
      </c>
    </row>
    <row r="208" spans="1:7" x14ac:dyDescent="0.25">
      <c r="A208" s="8">
        <v>42718.883634259262</v>
      </c>
      <c r="B208" s="21" t="s">
        <v>228</v>
      </c>
      <c r="C208" s="21" t="s">
        <v>661</v>
      </c>
      <c r="D208" s="165">
        <v>1230000</v>
      </c>
      <c r="E208" s="21" t="s">
        <v>256</v>
      </c>
      <c r="F208" s="21" t="s">
        <v>265</v>
      </c>
      <c r="G208" s="8" t="str">
        <f t="shared" si="3"/>
        <v>YANAI IAN</v>
      </c>
    </row>
    <row r="209" spans="1:7" x14ac:dyDescent="0.25">
      <c r="A209" s="8">
        <v>42718.887349537035</v>
      </c>
      <c r="B209" s="21" t="s">
        <v>262</v>
      </c>
      <c r="C209" s="21" t="s">
        <v>662</v>
      </c>
      <c r="D209" s="165">
        <v>2620000</v>
      </c>
      <c r="E209" s="21" t="s">
        <v>637</v>
      </c>
      <c r="F209" s="21" t="s">
        <v>638</v>
      </c>
      <c r="G209" s="8" t="str">
        <f t="shared" si="3"/>
        <v>PERKINS DARREN</v>
      </c>
    </row>
    <row r="210" spans="1:7" x14ac:dyDescent="0.25">
      <c r="A210" s="8">
        <v>42718.902858796297</v>
      </c>
      <c r="B210" s="21" t="s">
        <v>258</v>
      </c>
      <c r="C210" s="21" t="s">
        <v>663</v>
      </c>
      <c r="D210" s="165">
        <v>2670000</v>
      </c>
      <c r="E210" s="21" t="s">
        <v>592</v>
      </c>
      <c r="F210" s="21" t="s">
        <v>593</v>
      </c>
      <c r="G210" s="8" t="str">
        <f t="shared" si="3"/>
        <v>COMELLA JUSTIN</v>
      </c>
    </row>
    <row r="211" spans="1:7" x14ac:dyDescent="0.25">
      <c r="A211" s="8">
        <v>42718.911666666667</v>
      </c>
      <c r="B211" s="21" t="s">
        <v>234</v>
      </c>
      <c r="C211" s="21" t="s">
        <v>664</v>
      </c>
      <c r="D211" s="165">
        <v>1300000</v>
      </c>
      <c r="E211" s="21" t="s">
        <v>113</v>
      </c>
      <c r="F211" s="21" t="s">
        <v>352</v>
      </c>
      <c r="G211" s="8" t="str">
        <f t="shared" si="3"/>
        <v>LEVIN SCOTT</v>
      </c>
    </row>
    <row r="212" spans="1:7" x14ac:dyDescent="0.25">
      <c r="A212" s="8">
        <v>42718.911747685182</v>
      </c>
      <c r="B212" s="21" t="s">
        <v>209</v>
      </c>
      <c r="C212" s="21" t="s">
        <v>665</v>
      </c>
      <c r="D212" s="165">
        <v>2000000</v>
      </c>
      <c r="E212" s="21" t="s">
        <v>211</v>
      </c>
      <c r="F212" s="21" t="s">
        <v>268</v>
      </c>
      <c r="G212" s="8" t="str">
        <f t="shared" si="3"/>
        <v>STAMBAUGH JAMES</v>
      </c>
    </row>
    <row r="213" spans="1:7" x14ac:dyDescent="0.25">
      <c r="A213" s="8">
        <v>42718.924756944441</v>
      </c>
      <c r="B213" s="21" t="s">
        <v>321</v>
      </c>
      <c r="C213" s="21" t="s">
        <v>666</v>
      </c>
      <c r="D213" s="165">
        <v>1230000</v>
      </c>
      <c r="E213" s="21" t="s">
        <v>256</v>
      </c>
      <c r="F213" s="21" t="s">
        <v>265</v>
      </c>
      <c r="G213" s="8" t="str">
        <f t="shared" si="3"/>
        <v>YANAI IAN</v>
      </c>
    </row>
    <row r="214" spans="1:7" x14ac:dyDescent="0.25">
      <c r="A214" s="8">
        <v>42718.927233796298</v>
      </c>
      <c r="B214" s="21" t="s">
        <v>261</v>
      </c>
      <c r="C214" s="21" t="s">
        <v>452</v>
      </c>
      <c r="D214" s="165">
        <v>2670000</v>
      </c>
      <c r="E214" s="21" t="s">
        <v>592</v>
      </c>
      <c r="F214" s="21" t="s">
        <v>593</v>
      </c>
      <c r="G214" s="8" t="str">
        <f t="shared" si="3"/>
        <v>COMELLA JUSTIN</v>
      </c>
    </row>
    <row r="215" spans="1:7" x14ac:dyDescent="0.25">
      <c r="A215" s="8">
        <v>42718.929548611108</v>
      </c>
      <c r="B215" s="21" t="s">
        <v>184</v>
      </c>
      <c r="C215" s="21" t="s">
        <v>667</v>
      </c>
      <c r="D215" s="165">
        <v>2620000</v>
      </c>
      <c r="E215" s="21" t="s">
        <v>637</v>
      </c>
      <c r="F215" s="21" t="s">
        <v>638</v>
      </c>
      <c r="G215" s="8" t="str">
        <f t="shared" si="3"/>
        <v>PERKINS DARREN</v>
      </c>
    </row>
    <row r="216" spans="1:7" x14ac:dyDescent="0.25">
      <c r="A216" s="8">
        <v>42718.945069444446</v>
      </c>
      <c r="B216" s="21" t="s">
        <v>258</v>
      </c>
      <c r="C216" s="21" t="s">
        <v>668</v>
      </c>
      <c r="D216" s="165">
        <v>2670000</v>
      </c>
      <c r="E216" s="21" t="s">
        <v>592</v>
      </c>
      <c r="F216" s="21" t="s">
        <v>593</v>
      </c>
      <c r="G216" s="8" t="str">
        <f t="shared" si="3"/>
        <v>COMELLA JUSTIN</v>
      </c>
    </row>
    <row r="217" spans="1:7" x14ac:dyDescent="0.25">
      <c r="A217" s="8">
        <v>42718.945428240739</v>
      </c>
      <c r="B217" s="21" t="s">
        <v>208</v>
      </c>
      <c r="C217" s="21" t="s">
        <v>669</v>
      </c>
      <c r="D217" s="165">
        <v>2000000</v>
      </c>
      <c r="E217" s="21" t="s">
        <v>211</v>
      </c>
      <c r="F217" s="21" t="s">
        <v>268</v>
      </c>
      <c r="G217" s="8" t="str">
        <f t="shared" si="3"/>
        <v>STAMBAUGH JAMES</v>
      </c>
    </row>
    <row r="218" spans="1:7" x14ac:dyDescent="0.25">
      <c r="A218" s="8">
        <v>42718.952916666669</v>
      </c>
      <c r="B218" s="21" t="s">
        <v>280</v>
      </c>
      <c r="C218" s="21" t="s">
        <v>670</v>
      </c>
      <c r="D218" s="165">
        <v>1300000</v>
      </c>
      <c r="E218" s="21" t="s">
        <v>113</v>
      </c>
      <c r="F218" s="21" t="s">
        <v>352</v>
      </c>
      <c r="G218" s="8" t="str">
        <f t="shared" si="3"/>
        <v>LEVIN SCOTT</v>
      </c>
    </row>
    <row r="219" spans="1:7" x14ac:dyDescent="0.25">
      <c r="A219" s="8">
        <v>42718.964074074072</v>
      </c>
      <c r="B219" s="21" t="s">
        <v>228</v>
      </c>
      <c r="C219" s="21" t="s">
        <v>671</v>
      </c>
      <c r="D219" s="165">
        <v>1230000</v>
      </c>
      <c r="E219" s="21" t="s">
        <v>256</v>
      </c>
      <c r="F219" s="21" t="s">
        <v>265</v>
      </c>
      <c r="G219" s="8" t="str">
        <f t="shared" si="3"/>
        <v>YANAI IAN</v>
      </c>
    </row>
    <row r="220" spans="1:7" x14ac:dyDescent="0.25">
      <c r="A220" s="8">
        <v>42718.966956018521</v>
      </c>
      <c r="B220" s="21" t="s">
        <v>262</v>
      </c>
      <c r="C220" s="21" t="s">
        <v>453</v>
      </c>
      <c r="D220" s="165">
        <v>2620000</v>
      </c>
      <c r="E220" s="21" t="s">
        <v>637</v>
      </c>
      <c r="F220" s="21" t="s">
        <v>638</v>
      </c>
      <c r="G220" s="8" t="str">
        <f t="shared" si="3"/>
        <v>PERKINS DARREN</v>
      </c>
    </row>
    <row r="221" spans="1:7" x14ac:dyDescent="0.25">
      <c r="A221" s="8">
        <v>42718.972592592596</v>
      </c>
      <c r="B221" s="21" t="s">
        <v>262</v>
      </c>
      <c r="C221" s="21" t="s">
        <v>453</v>
      </c>
      <c r="D221" s="165">
        <v>2620000</v>
      </c>
      <c r="E221" s="21" t="s">
        <v>637</v>
      </c>
      <c r="F221" s="21" t="s">
        <v>638</v>
      </c>
      <c r="G221" s="8" t="str">
        <f t="shared" si="3"/>
        <v>PERKINS DARREN</v>
      </c>
    </row>
    <row r="222" spans="1:7" x14ac:dyDescent="0.25">
      <c r="A222" s="8">
        <v>42718.994618055556</v>
      </c>
      <c r="B222" s="21" t="s">
        <v>209</v>
      </c>
      <c r="C222" s="21" t="s">
        <v>672</v>
      </c>
      <c r="D222" s="165">
        <v>2000000</v>
      </c>
      <c r="E222" s="21" t="s">
        <v>211</v>
      </c>
      <c r="F222" s="21" t="s">
        <v>268</v>
      </c>
      <c r="G222" s="8" t="str">
        <f t="shared" si="3"/>
        <v>STAMBAUGH JAMES</v>
      </c>
    </row>
    <row r="223" spans="1:7" x14ac:dyDescent="0.25">
      <c r="A223" s="8">
        <v>42719.006458333337</v>
      </c>
      <c r="B223" s="21" t="s">
        <v>321</v>
      </c>
      <c r="C223" s="21" t="s">
        <v>454</v>
      </c>
      <c r="D223" s="165">
        <v>1230000</v>
      </c>
      <c r="E223" s="21" t="s">
        <v>256</v>
      </c>
      <c r="F223" s="21" t="s">
        <v>265</v>
      </c>
      <c r="G223" s="8" t="str">
        <f t="shared" si="3"/>
        <v>YANAI IAN</v>
      </c>
    </row>
    <row r="224" spans="1:7" x14ac:dyDescent="0.25">
      <c r="A224" s="8">
        <v>42719.009479166663</v>
      </c>
      <c r="B224" t="s">
        <v>184</v>
      </c>
      <c r="C224" t="s">
        <v>673</v>
      </c>
      <c r="D224" s="165">
        <v>2620000</v>
      </c>
      <c r="E224" t="s">
        <v>637</v>
      </c>
      <c r="F224" s="21" t="s">
        <v>638</v>
      </c>
      <c r="G224" s="8" t="str">
        <f t="shared" si="3"/>
        <v>PERKINS DARREN</v>
      </c>
    </row>
    <row r="225" spans="1:7" x14ac:dyDescent="0.25">
      <c r="A225" s="8">
        <v>42719.026342592595</v>
      </c>
      <c r="B225" t="s">
        <v>208</v>
      </c>
      <c r="C225" t="s">
        <v>674</v>
      </c>
      <c r="D225" s="165">
        <v>2000000</v>
      </c>
      <c r="E225" t="s">
        <v>211</v>
      </c>
      <c r="F225" s="21" t="s">
        <v>268</v>
      </c>
      <c r="G225" s="8" t="str">
        <f t="shared" si="3"/>
        <v>STAMBAUGH JAMES</v>
      </c>
    </row>
    <row r="226" spans="1:7" x14ac:dyDescent="0.25">
      <c r="A226" s="8">
        <v>42719.026967592596</v>
      </c>
      <c r="B226" t="s">
        <v>208</v>
      </c>
      <c r="C226" t="s">
        <v>674</v>
      </c>
      <c r="D226" s="165">
        <v>2000000</v>
      </c>
      <c r="E226" t="s">
        <v>211</v>
      </c>
      <c r="F226" s="21" t="s">
        <v>268</v>
      </c>
      <c r="G226" s="8" t="str">
        <f t="shared" si="3"/>
        <v>STAMBAUGH JAMES</v>
      </c>
    </row>
    <row r="227" spans="1:7" x14ac:dyDescent="0.25">
      <c r="A227" s="8">
        <v>42719.027824074074</v>
      </c>
      <c r="B227" t="s">
        <v>208</v>
      </c>
      <c r="C227" t="s">
        <v>674</v>
      </c>
      <c r="D227" s="165">
        <v>2000000</v>
      </c>
      <c r="E227" t="s">
        <v>211</v>
      </c>
      <c r="F227" s="21" t="s">
        <v>268</v>
      </c>
      <c r="G227" s="8" t="str">
        <f t="shared" si="3"/>
        <v>STAMBAUGH JAMES</v>
      </c>
    </row>
    <row r="228" spans="1:7" x14ac:dyDescent="0.25">
      <c r="A228" s="8">
        <v>42719.033333333333</v>
      </c>
      <c r="B228" t="s">
        <v>280</v>
      </c>
      <c r="C228" t="s">
        <v>455</v>
      </c>
      <c r="D228" s="165">
        <v>1300000</v>
      </c>
      <c r="E228" t="s">
        <v>113</v>
      </c>
      <c r="F228" s="21" t="s">
        <v>352</v>
      </c>
      <c r="G228" s="8" t="str">
        <f t="shared" si="3"/>
        <v>LEVIN SCOTT</v>
      </c>
    </row>
    <row r="229" spans="1:7" x14ac:dyDescent="0.25">
      <c r="A229" s="8">
        <v>42719.046354166669</v>
      </c>
      <c r="B229" t="s">
        <v>228</v>
      </c>
      <c r="C229" t="s">
        <v>675</v>
      </c>
      <c r="D229" s="165">
        <v>1230000</v>
      </c>
      <c r="E229" t="s">
        <v>256</v>
      </c>
      <c r="F229" s="21" t="s">
        <v>265</v>
      </c>
      <c r="G229" s="8" t="str">
        <f t="shared" si="3"/>
        <v>YANAI IAN</v>
      </c>
    </row>
    <row r="230" spans="1:7" x14ac:dyDescent="0.25">
      <c r="A230" s="8">
        <v>42719.046932870369</v>
      </c>
      <c r="B230" t="s">
        <v>228</v>
      </c>
      <c r="C230" t="s">
        <v>675</v>
      </c>
      <c r="D230" s="165">
        <v>1230000</v>
      </c>
      <c r="E230" t="s">
        <v>256</v>
      </c>
      <c r="F230" s="21" t="s">
        <v>265</v>
      </c>
      <c r="G230" s="8" t="str">
        <f t="shared" si="3"/>
        <v>YANAI IAN</v>
      </c>
    </row>
    <row r="231" spans="1:7" x14ac:dyDescent="0.25">
      <c r="A231" s="8">
        <v>42719.054444444446</v>
      </c>
      <c r="B231" t="s">
        <v>262</v>
      </c>
      <c r="C231" t="s">
        <v>676</v>
      </c>
      <c r="D231" s="165">
        <v>2620000</v>
      </c>
      <c r="E231" t="s">
        <v>637</v>
      </c>
      <c r="F231" s="21" t="s">
        <v>638</v>
      </c>
      <c r="G231" s="8" t="str">
        <f t="shared" si="3"/>
        <v>PERKINS DARREN</v>
      </c>
    </row>
    <row r="232" spans="1:7" x14ac:dyDescent="0.25">
      <c r="A232" s="8">
        <v>42719.068981481483</v>
      </c>
      <c r="B232" t="s">
        <v>234</v>
      </c>
      <c r="C232" t="s">
        <v>677</v>
      </c>
      <c r="D232" s="165">
        <v>1300000</v>
      </c>
      <c r="E232" t="s">
        <v>113</v>
      </c>
      <c r="F232" s="21" t="s">
        <v>352</v>
      </c>
      <c r="G232" s="8" t="str">
        <f t="shared" si="3"/>
        <v>LEVIN SCOTT</v>
      </c>
    </row>
    <row r="233" spans="1:7" x14ac:dyDescent="0.25">
      <c r="A233" s="8">
        <v>42719.069884259261</v>
      </c>
      <c r="B233" t="s">
        <v>234</v>
      </c>
      <c r="C233" t="s">
        <v>677</v>
      </c>
      <c r="D233" s="165">
        <v>1300000</v>
      </c>
      <c r="E233" t="s">
        <v>113</v>
      </c>
      <c r="F233" s="21" t="s">
        <v>352</v>
      </c>
      <c r="G233" s="8" t="str">
        <f t="shared" si="3"/>
        <v>LEVIN SCOTT</v>
      </c>
    </row>
    <row r="234" spans="1:7" x14ac:dyDescent="0.25">
      <c r="A234" s="8">
        <v>42719.071261574078</v>
      </c>
      <c r="B234" t="s">
        <v>234</v>
      </c>
      <c r="C234" t="s">
        <v>677</v>
      </c>
      <c r="D234" s="165">
        <v>1300000</v>
      </c>
      <c r="E234" t="s">
        <v>113</v>
      </c>
      <c r="F234" s="21" t="s">
        <v>352</v>
      </c>
      <c r="G234" s="8" t="str">
        <f t="shared" si="3"/>
        <v>LEVIN SCOTT</v>
      </c>
    </row>
    <row r="235" spans="1:7" x14ac:dyDescent="0.25">
      <c r="A235" s="8">
        <v>42719.09302083333</v>
      </c>
      <c r="B235" t="s">
        <v>184</v>
      </c>
      <c r="C235" t="s">
        <v>678</v>
      </c>
      <c r="D235" s="165">
        <v>2620000</v>
      </c>
      <c r="E235" t="s">
        <v>637</v>
      </c>
      <c r="F235" s="21" t="s">
        <v>638</v>
      </c>
      <c r="G235" s="8" t="str">
        <f t="shared" si="3"/>
        <v>PERKINS DARREN</v>
      </c>
    </row>
    <row r="236" spans="1:7" x14ac:dyDescent="0.25">
      <c r="A236" s="8">
        <v>42717.891516203701</v>
      </c>
      <c r="B236" t="s">
        <v>271</v>
      </c>
      <c r="C236" t="s">
        <v>359</v>
      </c>
      <c r="D236" s="165">
        <v>1800000</v>
      </c>
      <c r="E236" t="s">
        <v>242</v>
      </c>
      <c r="F236" s="21" t="s">
        <v>273</v>
      </c>
      <c r="G236" s="8" t="str">
        <f t="shared" si="3"/>
        <v>CHANDLER KELVIN</v>
      </c>
    </row>
    <row r="237" spans="1:7" x14ac:dyDescent="0.25">
      <c r="A237" s="8">
        <v>42717.89334490741</v>
      </c>
      <c r="B237" t="s">
        <v>206</v>
      </c>
      <c r="C237" t="s">
        <v>360</v>
      </c>
      <c r="D237" s="165">
        <v>1290000</v>
      </c>
      <c r="E237" t="s">
        <v>253</v>
      </c>
      <c r="F237" s="21" t="s">
        <v>264</v>
      </c>
      <c r="G237" s="8" t="str">
        <f t="shared" si="3"/>
        <v>COOLAHAN JOHN</v>
      </c>
    </row>
    <row r="238" spans="1:7" x14ac:dyDescent="0.25">
      <c r="A238" s="8">
        <v>42717.901226851849</v>
      </c>
      <c r="B238" t="s">
        <v>280</v>
      </c>
      <c r="C238" t="s">
        <v>361</v>
      </c>
      <c r="D238" s="165">
        <v>2000000</v>
      </c>
      <c r="E238" t="s">
        <v>211</v>
      </c>
      <c r="F238" s="21" t="s">
        <v>268</v>
      </c>
      <c r="G238" s="8" t="str">
        <f t="shared" si="3"/>
        <v>STAMBAUGH JAMES</v>
      </c>
    </row>
    <row r="239" spans="1:7" x14ac:dyDescent="0.25">
      <c r="A239" s="8">
        <v>42717.906689814816</v>
      </c>
      <c r="B239" t="s">
        <v>216</v>
      </c>
      <c r="C239" t="s">
        <v>362</v>
      </c>
      <c r="D239" s="165">
        <v>2370000</v>
      </c>
      <c r="E239" t="s">
        <v>363</v>
      </c>
      <c r="F239" s="21" t="s">
        <v>364</v>
      </c>
      <c r="G239" s="8" t="str">
        <f t="shared" si="3"/>
        <v>DELGADO DIANAH</v>
      </c>
    </row>
    <row r="240" spans="1:7" x14ac:dyDescent="0.25">
      <c r="A240" s="8">
        <v>42717.907511574071</v>
      </c>
      <c r="B240" t="s">
        <v>278</v>
      </c>
      <c r="C240" t="s">
        <v>365</v>
      </c>
      <c r="D240" s="165">
        <v>1180000</v>
      </c>
      <c r="E240" t="s">
        <v>252</v>
      </c>
      <c r="F240" s="21" t="s">
        <v>267</v>
      </c>
      <c r="G240" s="8" t="str">
        <f t="shared" si="3"/>
        <v>LEVERE CRAIG</v>
      </c>
    </row>
    <row r="241" spans="1:7" x14ac:dyDescent="0.25">
      <c r="A241" s="8">
        <v>42717.915810185186</v>
      </c>
      <c r="B241" t="s">
        <v>234</v>
      </c>
      <c r="C241" t="s">
        <v>366</v>
      </c>
      <c r="D241" s="165">
        <v>2000000</v>
      </c>
      <c r="E241" t="s">
        <v>211</v>
      </c>
      <c r="F241" s="21" t="s">
        <v>268</v>
      </c>
      <c r="G241" s="8" t="str">
        <f t="shared" si="3"/>
        <v>STAMBAUGH JAMES</v>
      </c>
    </row>
    <row r="242" spans="1:7" x14ac:dyDescent="0.25">
      <c r="A242" s="8">
        <v>42717.932349537034</v>
      </c>
      <c r="B242" t="s">
        <v>212</v>
      </c>
      <c r="C242" t="s">
        <v>367</v>
      </c>
      <c r="D242" s="165">
        <v>1290000</v>
      </c>
      <c r="E242" t="s">
        <v>253</v>
      </c>
      <c r="F242" s="21" t="s">
        <v>264</v>
      </c>
      <c r="G242" s="8" t="str">
        <f t="shared" si="3"/>
        <v>COOLAHAN JOHN</v>
      </c>
    </row>
    <row r="243" spans="1:7" x14ac:dyDescent="0.25">
      <c r="A243" s="8">
        <v>42717.936319444445</v>
      </c>
      <c r="B243" t="s">
        <v>272</v>
      </c>
      <c r="C243" t="s">
        <v>368</v>
      </c>
      <c r="D243" s="165">
        <v>1800000</v>
      </c>
      <c r="E243" t="s">
        <v>242</v>
      </c>
      <c r="F243" s="21" t="s">
        <v>273</v>
      </c>
      <c r="G243" s="8" t="str">
        <f t="shared" si="3"/>
        <v>CHANDLER KELVIN</v>
      </c>
    </row>
    <row r="244" spans="1:7" x14ac:dyDescent="0.25">
      <c r="A244" s="8">
        <v>42717.942199074074</v>
      </c>
      <c r="B244" t="s">
        <v>280</v>
      </c>
      <c r="C244" t="s">
        <v>369</v>
      </c>
      <c r="D244" s="165">
        <v>2000000</v>
      </c>
      <c r="E244" t="s">
        <v>211</v>
      </c>
      <c r="F244" s="21" t="s">
        <v>268</v>
      </c>
      <c r="G244" s="8" t="str">
        <f t="shared" si="3"/>
        <v>STAMBAUGH JAMES</v>
      </c>
    </row>
    <row r="245" spans="1:7" x14ac:dyDescent="0.25">
      <c r="A245" s="8">
        <v>42717.949479166666</v>
      </c>
      <c r="B245" t="s">
        <v>348</v>
      </c>
      <c r="C245" t="s">
        <v>370</v>
      </c>
      <c r="D245" s="165">
        <v>2370000</v>
      </c>
      <c r="E245" t="s">
        <v>363</v>
      </c>
      <c r="F245" s="21" t="s">
        <v>364</v>
      </c>
      <c r="G245" s="8" t="str">
        <f t="shared" si="3"/>
        <v>DELGADO DIANAH</v>
      </c>
    </row>
    <row r="246" spans="1:7" x14ac:dyDescent="0.25">
      <c r="A246" s="8">
        <v>42717.952743055554</v>
      </c>
      <c r="B246" t="s">
        <v>251</v>
      </c>
      <c r="C246" t="s">
        <v>371</v>
      </c>
      <c r="D246" s="165">
        <v>1180000</v>
      </c>
      <c r="E246" t="s">
        <v>252</v>
      </c>
      <c r="F246" s="21" t="s">
        <v>267</v>
      </c>
      <c r="G246" s="8" t="str">
        <f t="shared" si="3"/>
        <v>LEVERE CRAIG</v>
      </c>
    </row>
    <row r="247" spans="1:7" x14ac:dyDescent="0.25">
      <c r="A247" s="8">
        <v>42717.972962962966</v>
      </c>
      <c r="B247" t="s">
        <v>271</v>
      </c>
      <c r="C247" t="s">
        <v>372</v>
      </c>
      <c r="D247" s="165">
        <v>1800000</v>
      </c>
      <c r="E247" t="s">
        <v>242</v>
      </c>
      <c r="F247" s="21" t="s">
        <v>273</v>
      </c>
      <c r="G247" s="8" t="str">
        <f t="shared" si="3"/>
        <v>CHANDLER KELVIN</v>
      </c>
    </row>
    <row r="248" spans="1:7" x14ac:dyDescent="0.25">
      <c r="A248" s="8">
        <v>42717.973576388889</v>
      </c>
      <c r="B248" t="s">
        <v>206</v>
      </c>
      <c r="C248" t="s">
        <v>373</v>
      </c>
      <c r="D248" s="165">
        <v>1290000</v>
      </c>
      <c r="E248" t="s">
        <v>253</v>
      </c>
      <c r="F248" s="21" t="s">
        <v>264</v>
      </c>
      <c r="G248" s="8" t="str">
        <f t="shared" si="3"/>
        <v>COOLAHAN JOHN</v>
      </c>
    </row>
    <row r="249" spans="1:7" x14ac:dyDescent="0.25">
      <c r="A249" s="8">
        <v>42717.991226851853</v>
      </c>
      <c r="B249" t="s">
        <v>216</v>
      </c>
      <c r="C249" t="s">
        <v>349</v>
      </c>
      <c r="D249" s="165">
        <v>1230000</v>
      </c>
      <c r="E249" t="s">
        <v>256</v>
      </c>
      <c r="F249" s="21" t="s">
        <v>265</v>
      </c>
      <c r="G249" s="8" t="str">
        <f t="shared" si="3"/>
        <v>YANAI IAN</v>
      </c>
    </row>
    <row r="250" spans="1:7" x14ac:dyDescent="0.25">
      <c r="A250" s="8">
        <v>42717.991875</v>
      </c>
      <c r="B250" t="s">
        <v>278</v>
      </c>
      <c r="C250" t="s">
        <v>374</v>
      </c>
      <c r="D250" s="165">
        <v>1180000</v>
      </c>
      <c r="E250" t="s">
        <v>252</v>
      </c>
      <c r="F250" s="21" t="s">
        <v>267</v>
      </c>
      <c r="G250" s="8" t="str">
        <f t="shared" si="3"/>
        <v>LEVERE CRAIG</v>
      </c>
    </row>
    <row r="251" spans="1:7" x14ac:dyDescent="0.25">
      <c r="A251" s="8">
        <v>42718.013136574074</v>
      </c>
      <c r="B251" t="s">
        <v>212</v>
      </c>
      <c r="C251" t="s">
        <v>375</v>
      </c>
      <c r="D251" s="165">
        <v>1290000</v>
      </c>
      <c r="E251" t="s">
        <v>253</v>
      </c>
      <c r="F251" s="21" t="s">
        <v>264</v>
      </c>
      <c r="G251" s="8" t="str">
        <f t="shared" si="3"/>
        <v>COOLAHAN JOHN</v>
      </c>
    </row>
    <row r="252" spans="1:7" x14ac:dyDescent="0.25">
      <c r="A252" s="8">
        <v>42718.017962962964</v>
      </c>
      <c r="B252" t="s">
        <v>272</v>
      </c>
      <c r="C252" t="s">
        <v>350</v>
      </c>
      <c r="D252" s="165">
        <v>1800000</v>
      </c>
      <c r="E252" t="s">
        <v>242</v>
      </c>
      <c r="F252" s="21" t="s">
        <v>273</v>
      </c>
      <c r="G252" s="8" t="str">
        <f t="shared" si="3"/>
        <v>CHANDLER KELVIN</v>
      </c>
    </row>
    <row r="253" spans="1:7" x14ac:dyDescent="0.25">
      <c r="A253" s="8">
        <v>42718.02820601852</v>
      </c>
      <c r="B253" t="s">
        <v>251</v>
      </c>
      <c r="C253" t="s">
        <v>376</v>
      </c>
      <c r="D253" s="165">
        <v>1180000</v>
      </c>
      <c r="E253" t="s">
        <v>252</v>
      </c>
      <c r="F253" s="21" t="s">
        <v>267</v>
      </c>
      <c r="G253" s="8" t="str">
        <f t="shared" si="3"/>
        <v>LEVERE CRAIG</v>
      </c>
    </row>
    <row r="254" spans="1:7" x14ac:dyDescent="0.25">
      <c r="A254" s="8">
        <v>42718.02925925926</v>
      </c>
      <c r="B254" t="s">
        <v>348</v>
      </c>
      <c r="C254" t="s">
        <v>377</v>
      </c>
      <c r="D254" s="165">
        <v>1230000</v>
      </c>
      <c r="E254" t="s">
        <v>256</v>
      </c>
      <c r="F254" s="21" t="s">
        <v>265</v>
      </c>
      <c r="G254" s="8" t="str">
        <f t="shared" si="3"/>
        <v>YANAI IAN</v>
      </c>
    </row>
    <row r="255" spans="1:7" x14ac:dyDescent="0.25">
      <c r="A255" s="8">
        <v>42718.047118055554</v>
      </c>
      <c r="B255" t="s">
        <v>206</v>
      </c>
      <c r="C255" t="s">
        <v>378</v>
      </c>
      <c r="D255" s="165">
        <v>1290000</v>
      </c>
      <c r="E255" t="s">
        <v>253</v>
      </c>
      <c r="F255" s="21" t="s">
        <v>264</v>
      </c>
      <c r="G255" s="8" t="str">
        <f t="shared" si="3"/>
        <v>COOLAHAN JOHN</v>
      </c>
    </row>
    <row r="256" spans="1:7" x14ac:dyDescent="0.25">
      <c r="A256" s="8">
        <v>42718.055821759262</v>
      </c>
      <c r="B256" t="s">
        <v>271</v>
      </c>
      <c r="C256" t="s">
        <v>379</v>
      </c>
      <c r="D256" s="165">
        <v>1800000</v>
      </c>
      <c r="E256" t="s">
        <v>242</v>
      </c>
      <c r="F256" s="21" t="s">
        <v>273</v>
      </c>
      <c r="G256" s="8" t="str">
        <f t="shared" si="3"/>
        <v>CHANDLER KELVIN</v>
      </c>
    </row>
    <row r="257" spans="1:7" x14ac:dyDescent="0.25">
      <c r="A257" s="8">
        <v>42718.067662037036</v>
      </c>
      <c r="B257" t="s">
        <v>216</v>
      </c>
      <c r="C257" t="s">
        <v>380</v>
      </c>
      <c r="D257" s="165">
        <v>1230000</v>
      </c>
      <c r="E257" t="s">
        <v>256</v>
      </c>
      <c r="F257" s="21" t="s">
        <v>265</v>
      </c>
      <c r="G257" s="8" t="str">
        <f t="shared" si="3"/>
        <v>YANAI IAN</v>
      </c>
    </row>
    <row r="258" spans="1:7" x14ac:dyDescent="0.25">
      <c r="A258" s="8">
        <v>42718.095694444448</v>
      </c>
      <c r="B258" t="s">
        <v>272</v>
      </c>
      <c r="C258" t="s">
        <v>381</v>
      </c>
      <c r="D258" s="165">
        <v>1800000</v>
      </c>
      <c r="E258" t="s">
        <v>242</v>
      </c>
      <c r="F258" s="21" t="s">
        <v>273</v>
      </c>
      <c r="G258" s="8" t="str">
        <f t="shared" si="3"/>
        <v>CHANDLER KELVIN</v>
      </c>
    </row>
    <row r="259" spans="1:7" x14ac:dyDescent="0.25">
      <c r="A259" s="8">
        <v>42700.083275462966</v>
      </c>
      <c r="B259" t="s">
        <v>155</v>
      </c>
      <c r="C259" t="s">
        <v>245</v>
      </c>
      <c r="D259" s="165">
        <v>2530000</v>
      </c>
      <c r="E259" t="s">
        <v>243</v>
      </c>
      <c r="F259" s="21" t="str">
        <f t="shared" ref="F259:F265" si="4">B259</f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237</v>
      </c>
      <c r="C260" t="s">
        <v>246</v>
      </c>
      <c r="D260" s="165">
        <v>2000000</v>
      </c>
      <c r="E260" t="s">
        <v>211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244</v>
      </c>
      <c r="D261" s="165">
        <v>2530000</v>
      </c>
      <c r="E261" t="s">
        <v>243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208</v>
      </c>
      <c r="C262" t="s">
        <v>247</v>
      </c>
      <c r="D262" s="165">
        <v>2600000</v>
      </c>
      <c r="E262" t="s">
        <v>239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206</v>
      </c>
      <c r="C263" t="s">
        <v>220</v>
      </c>
      <c r="D263" s="165">
        <v>2000000</v>
      </c>
      <c r="E263" t="s">
        <v>211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216</v>
      </c>
      <c r="C264" t="s">
        <v>221</v>
      </c>
      <c r="D264" s="165">
        <v>2550000</v>
      </c>
      <c r="E264" t="s">
        <v>215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219</v>
      </c>
      <c r="C265" t="s">
        <v>222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214</v>
      </c>
      <c r="C266" t="s">
        <v>223</v>
      </c>
      <c r="D266" s="165">
        <v>2420000</v>
      </c>
      <c r="E266" t="s">
        <v>217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212</v>
      </c>
      <c r="C267" t="s">
        <v>224</v>
      </c>
      <c r="D267" s="165">
        <v>2000000</v>
      </c>
      <c r="E267" t="s">
        <v>211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218</v>
      </c>
      <c r="C268" t="s">
        <v>225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679</v>
      </c>
      <c r="I1" s="164" t="s">
        <v>171</v>
      </c>
      <c r="J1" s="164" t="s">
        <v>172</v>
      </c>
      <c r="K1" s="164" t="s">
        <v>680</v>
      </c>
      <c r="L1" s="164" t="s">
        <v>166</v>
      </c>
      <c r="M1" s="164" t="s">
        <v>164</v>
      </c>
      <c r="N1" s="164" t="s">
        <v>159</v>
      </c>
      <c r="O1" s="164" t="s">
        <v>169</v>
      </c>
      <c r="P1" s="164" t="s">
        <v>163</v>
      </c>
      <c r="Q1" s="164" t="s">
        <v>170</v>
      </c>
      <c r="R1" s="164" t="s">
        <v>167</v>
      </c>
    </row>
    <row r="2" spans="1:18" x14ac:dyDescent="0.25">
      <c r="A2" s="165">
        <v>28.39</v>
      </c>
      <c r="B2" s="165">
        <v>0.39</v>
      </c>
      <c r="C2" s="165">
        <v>13.03</v>
      </c>
      <c r="D2" s="8">
        <v>42718</v>
      </c>
      <c r="E2" s="165">
        <v>0.52</v>
      </c>
      <c r="F2" s="165" t="s">
        <v>248</v>
      </c>
      <c r="G2" s="165">
        <v>309.07</v>
      </c>
      <c r="H2" s="165"/>
      <c r="I2" s="165">
        <v>0</v>
      </c>
      <c r="J2" s="165">
        <v>0</v>
      </c>
      <c r="K2" s="165"/>
      <c r="L2" s="165">
        <v>1020.22</v>
      </c>
      <c r="M2" s="165" t="s">
        <v>257</v>
      </c>
      <c r="N2" s="165">
        <v>28.39</v>
      </c>
      <c r="O2" s="165">
        <v>1481698800</v>
      </c>
      <c r="P2" s="165">
        <v>5.44</v>
      </c>
      <c r="Q2" s="165">
        <v>6</v>
      </c>
      <c r="R2" s="165">
        <v>1.37</v>
      </c>
    </row>
    <row r="3" spans="1:18" x14ac:dyDescent="0.25">
      <c r="A3" s="165">
        <v>27.34</v>
      </c>
      <c r="B3" s="165">
        <v>0.33</v>
      </c>
      <c r="C3" s="165">
        <v>13.61</v>
      </c>
      <c r="D3" s="8">
        <v>42718.041666666664</v>
      </c>
      <c r="E3" s="165">
        <v>0.56000000000000005</v>
      </c>
      <c r="F3" s="165" t="s">
        <v>248</v>
      </c>
      <c r="G3" s="165">
        <v>308.39999999999998</v>
      </c>
      <c r="H3" s="165"/>
      <c r="I3" s="165">
        <v>0</v>
      </c>
      <c r="J3" s="165">
        <v>0</v>
      </c>
      <c r="K3" s="165"/>
      <c r="L3" s="165">
        <v>1021.27</v>
      </c>
      <c r="M3" s="165" t="s">
        <v>257</v>
      </c>
      <c r="N3" s="165">
        <v>27.34</v>
      </c>
      <c r="O3" s="165">
        <v>1481702400</v>
      </c>
      <c r="P3" s="165">
        <v>5.24</v>
      </c>
      <c r="Q3" s="165">
        <v>324</v>
      </c>
      <c r="R3" s="165">
        <v>0.93</v>
      </c>
    </row>
    <row r="4" spans="1:18" x14ac:dyDescent="0.25">
      <c r="A4" s="165">
        <v>25.08</v>
      </c>
      <c r="B4" s="165">
        <v>0.28000000000000003</v>
      </c>
      <c r="C4" s="165">
        <v>13.28</v>
      </c>
      <c r="D4" s="8">
        <v>42718.083333333336</v>
      </c>
      <c r="E4" s="165">
        <v>0.6</v>
      </c>
      <c r="F4" s="165" t="s">
        <v>248</v>
      </c>
      <c r="G4" s="165">
        <v>307.74</v>
      </c>
      <c r="H4" s="165"/>
      <c r="I4" s="165">
        <v>0</v>
      </c>
      <c r="J4" s="165">
        <v>0</v>
      </c>
      <c r="K4" s="165"/>
      <c r="L4" s="165">
        <v>1022.36</v>
      </c>
      <c r="M4" s="165" t="s">
        <v>257</v>
      </c>
      <c r="N4" s="165">
        <v>25.08</v>
      </c>
      <c r="O4" s="165">
        <v>1481706000</v>
      </c>
      <c r="P4" s="165">
        <v>4.0199999999999996</v>
      </c>
      <c r="Q4" s="165">
        <v>335</v>
      </c>
      <c r="R4" s="165">
        <v>1.06</v>
      </c>
    </row>
    <row r="5" spans="1:18" x14ac:dyDescent="0.25">
      <c r="A5" s="165">
        <v>23.97</v>
      </c>
      <c r="B5" s="165">
        <v>0.31</v>
      </c>
      <c r="C5" s="165">
        <v>13.3</v>
      </c>
      <c r="D5" s="8">
        <v>42718.125</v>
      </c>
      <c r="E5" s="165">
        <v>0.63</v>
      </c>
      <c r="F5" s="165" t="s">
        <v>248</v>
      </c>
      <c r="G5" s="165">
        <v>306.05</v>
      </c>
      <c r="H5" s="165"/>
      <c r="I5" s="165">
        <v>0</v>
      </c>
      <c r="J5" s="165">
        <v>0</v>
      </c>
      <c r="K5" s="165"/>
      <c r="L5" s="165">
        <v>1023.48</v>
      </c>
      <c r="M5" s="165" t="s">
        <v>257</v>
      </c>
      <c r="N5" s="165">
        <v>23.97</v>
      </c>
      <c r="O5" s="165">
        <v>1481709600</v>
      </c>
      <c r="P5" s="165">
        <v>3.44</v>
      </c>
      <c r="Q5" s="165">
        <v>347</v>
      </c>
      <c r="R5" s="165">
        <v>1.29</v>
      </c>
    </row>
    <row r="6" spans="1:18" x14ac:dyDescent="0.25">
      <c r="A6" s="165">
        <v>24.25</v>
      </c>
      <c r="B6" s="165">
        <v>0.43</v>
      </c>
      <c r="C6" s="165">
        <v>13.98</v>
      </c>
      <c r="D6" s="8">
        <v>42718.166666666664</v>
      </c>
      <c r="E6" s="165">
        <v>0.64</v>
      </c>
      <c r="F6" s="165" t="s">
        <v>248</v>
      </c>
      <c r="G6" s="165">
        <v>303.95999999999998</v>
      </c>
      <c r="H6" s="165"/>
      <c r="I6" s="165">
        <v>0</v>
      </c>
      <c r="J6" s="165">
        <v>0</v>
      </c>
      <c r="K6" s="165"/>
      <c r="L6" s="165">
        <v>1024.6099999999999</v>
      </c>
      <c r="M6" s="165" t="s">
        <v>257</v>
      </c>
      <c r="N6" s="165">
        <v>24.25</v>
      </c>
      <c r="O6" s="165">
        <v>1481713200</v>
      </c>
      <c r="P6" s="165">
        <v>3.54</v>
      </c>
      <c r="Q6" s="165">
        <v>11</v>
      </c>
      <c r="R6" s="165">
        <v>2.2999999999999998</v>
      </c>
    </row>
    <row r="7" spans="1:18" x14ac:dyDescent="0.25">
      <c r="A7" s="165">
        <v>20.98</v>
      </c>
      <c r="B7" s="165">
        <v>0.46</v>
      </c>
      <c r="C7" s="165">
        <v>15.89</v>
      </c>
      <c r="D7" s="8">
        <v>42718.208333333336</v>
      </c>
      <c r="E7" s="165">
        <v>0.66</v>
      </c>
      <c r="F7" s="165" t="s">
        <v>248</v>
      </c>
      <c r="G7" s="165">
        <v>302.14999999999998</v>
      </c>
      <c r="H7" s="165"/>
      <c r="I7" s="165">
        <v>0</v>
      </c>
      <c r="J7" s="165">
        <v>0</v>
      </c>
      <c r="K7" s="165"/>
      <c r="L7" s="165">
        <v>1025.8900000000001</v>
      </c>
      <c r="M7" s="165" t="s">
        <v>257</v>
      </c>
      <c r="N7" s="165">
        <v>25.69</v>
      </c>
      <c r="O7" s="165">
        <v>1481716800</v>
      </c>
      <c r="P7" s="165">
        <v>5.04</v>
      </c>
      <c r="Q7" s="165">
        <v>25</v>
      </c>
      <c r="R7" s="165">
        <v>3.84</v>
      </c>
    </row>
    <row r="8" spans="1:18" x14ac:dyDescent="0.25">
      <c r="A8" s="165">
        <v>17.100000000000001</v>
      </c>
      <c r="B8" s="165">
        <v>0.47</v>
      </c>
      <c r="C8" s="165">
        <v>13.16</v>
      </c>
      <c r="D8" s="8">
        <v>42718.25</v>
      </c>
      <c r="E8" s="165">
        <v>0.66</v>
      </c>
      <c r="F8" s="165" t="s">
        <v>248</v>
      </c>
      <c r="G8" s="165">
        <v>300.89</v>
      </c>
      <c r="H8" s="165"/>
      <c r="I8" s="165">
        <v>0</v>
      </c>
      <c r="J8" s="165">
        <v>0</v>
      </c>
      <c r="K8" s="165"/>
      <c r="L8" s="165">
        <v>1027.57</v>
      </c>
      <c r="M8" s="165" t="s">
        <v>257</v>
      </c>
      <c r="N8" s="165">
        <v>22.85</v>
      </c>
      <c r="O8" s="165">
        <v>1481720400</v>
      </c>
      <c r="P8" s="165">
        <v>4.04</v>
      </c>
      <c r="Q8" s="165">
        <v>35</v>
      </c>
      <c r="R8" s="165">
        <v>4.33</v>
      </c>
    </row>
    <row r="9" spans="1:18" x14ac:dyDescent="0.25">
      <c r="A9" s="165">
        <v>14.19</v>
      </c>
      <c r="B9" s="165">
        <v>0.44</v>
      </c>
      <c r="C9" s="165">
        <v>11.87</v>
      </c>
      <c r="D9" s="8">
        <v>42718.291666666664</v>
      </c>
      <c r="E9" s="165">
        <v>0.72</v>
      </c>
      <c r="F9" s="165" t="s">
        <v>248</v>
      </c>
      <c r="G9" s="165">
        <v>299.91000000000003</v>
      </c>
      <c r="H9" s="165"/>
      <c r="I9" s="165">
        <v>0</v>
      </c>
      <c r="J9" s="165">
        <v>0</v>
      </c>
      <c r="K9" s="165"/>
      <c r="L9" s="165">
        <v>1029.04</v>
      </c>
      <c r="M9" s="165" t="s">
        <v>257</v>
      </c>
      <c r="N9" s="165">
        <v>19.25</v>
      </c>
      <c r="O9" s="165">
        <v>1481724000</v>
      </c>
      <c r="P9" s="165">
        <v>3.19</v>
      </c>
      <c r="Q9" s="165">
        <v>53</v>
      </c>
      <c r="R9" s="165">
        <v>3.42</v>
      </c>
    </row>
    <row r="10" spans="1:18" x14ac:dyDescent="0.25">
      <c r="A10" s="165">
        <v>17.78</v>
      </c>
      <c r="B10" s="165">
        <v>0.44</v>
      </c>
      <c r="C10" s="165">
        <v>10.09</v>
      </c>
      <c r="D10" s="8">
        <v>42718.333333333336</v>
      </c>
      <c r="E10" s="165">
        <v>0.71</v>
      </c>
      <c r="F10" s="165" t="s">
        <v>249</v>
      </c>
      <c r="G10" s="165">
        <v>299.10000000000002</v>
      </c>
      <c r="H10" s="165"/>
      <c r="I10" s="165">
        <v>0</v>
      </c>
      <c r="J10" s="165">
        <v>0</v>
      </c>
      <c r="K10" s="165"/>
      <c r="L10" s="165">
        <v>1029.6600000000001</v>
      </c>
      <c r="M10" s="165" t="s">
        <v>257</v>
      </c>
      <c r="N10" s="165">
        <v>17.78</v>
      </c>
      <c r="O10" s="165">
        <v>1481727600</v>
      </c>
      <c r="P10" s="165">
        <v>2.9</v>
      </c>
      <c r="Q10" s="165">
        <v>67</v>
      </c>
      <c r="R10" s="165">
        <v>2.44</v>
      </c>
    </row>
    <row r="11" spans="1:18" x14ac:dyDescent="0.25">
      <c r="A11" s="165">
        <v>12.46</v>
      </c>
      <c r="B11" s="165">
        <v>0.48</v>
      </c>
      <c r="C11" s="165">
        <v>10.220000000000001</v>
      </c>
      <c r="D11" s="8">
        <v>42718.375</v>
      </c>
      <c r="E11" s="165">
        <v>0.73</v>
      </c>
      <c r="F11" s="165" t="s">
        <v>249</v>
      </c>
      <c r="G11" s="165">
        <v>298.52999999999997</v>
      </c>
      <c r="H11" s="165"/>
      <c r="I11" s="165">
        <v>0</v>
      </c>
      <c r="J11" s="165">
        <v>0</v>
      </c>
      <c r="K11" s="165"/>
      <c r="L11" s="165">
        <v>1029.29</v>
      </c>
      <c r="M11" s="165" t="s">
        <v>257</v>
      </c>
      <c r="N11" s="165">
        <v>17.29</v>
      </c>
      <c r="O11" s="165">
        <v>1481731200</v>
      </c>
      <c r="P11" s="165">
        <v>2.9</v>
      </c>
      <c r="Q11" s="165">
        <v>82</v>
      </c>
      <c r="R11" s="165">
        <v>3.12</v>
      </c>
    </row>
    <row r="12" spans="1:18" x14ac:dyDescent="0.25">
      <c r="A12" s="165">
        <v>19.28</v>
      </c>
      <c r="B12" s="165">
        <v>0.51</v>
      </c>
      <c r="C12" s="165">
        <v>10.46</v>
      </c>
      <c r="D12" s="8">
        <v>42718.416666666664</v>
      </c>
      <c r="E12" s="165">
        <v>0.68</v>
      </c>
      <c r="F12" s="165" t="s">
        <v>249</v>
      </c>
      <c r="G12" s="165">
        <v>298.12</v>
      </c>
      <c r="H12" s="165"/>
      <c r="I12" s="165">
        <v>0</v>
      </c>
      <c r="J12" s="165">
        <v>0</v>
      </c>
      <c r="K12" s="165"/>
      <c r="L12" s="165">
        <v>1028.22</v>
      </c>
      <c r="M12" s="165" t="s">
        <v>257</v>
      </c>
      <c r="N12" s="165">
        <v>19.28</v>
      </c>
      <c r="O12" s="165">
        <v>1481734800</v>
      </c>
      <c r="P12" s="165">
        <v>2.89</v>
      </c>
      <c r="Q12" s="165">
        <v>64</v>
      </c>
      <c r="R12" s="165">
        <v>2.4500000000000002</v>
      </c>
    </row>
    <row r="13" spans="1:18" x14ac:dyDescent="0.25">
      <c r="A13" s="165">
        <v>21.06</v>
      </c>
      <c r="B13" s="165">
        <v>0.54</v>
      </c>
      <c r="C13" s="165">
        <v>10.37</v>
      </c>
      <c r="D13" s="8">
        <v>42718.458333333336</v>
      </c>
      <c r="E13" s="165">
        <v>0.63</v>
      </c>
      <c r="F13" s="165" t="s">
        <v>249</v>
      </c>
      <c r="G13" s="165">
        <v>297.61</v>
      </c>
      <c r="H13" s="165"/>
      <c r="I13" s="165">
        <v>0</v>
      </c>
      <c r="J13" s="165">
        <v>0</v>
      </c>
      <c r="K13" s="165"/>
      <c r="L13" s="165">
        <v>1027</v>
      </c>
      <c r="M13" s="165" t="s">
        <v>257</v>
      </c>
      <c r="N13" s="165">
        <v>21.06</v>
      </c>
      <c r="O13" s="165">
        <v>1481738400</v>
      </c>
      <c r="P13" s="165">
        <v>2.73</v>
      </c>
      <c r="Q13" s="165">
        <v>77</v>
      </c>
      <c r="R13" s="165">
        <v>2.0299999999999998</v>
      </c>
    </row>
    <row r="14" spans="1:18" x14ac:dyDescent="0.25">
      <c r="A14" s="165">
        <v>25.01</v>
      </c>
      <c r="B14" s="165">
        <v>0.5</v>
      </c>
      <c r="C14" s="165">
        <v>12.8</v>
      </c>
      <c r="D14" s="8">
        <v>42718.5</v>
      </c>
      <c r="E14" s="165">
        <v>0.59</v>
      </c>
      <c r="F14" s="165" t="s">
        <v>249</v>
      </c>
      <c r="G14" s="165">
        <v>296.99</v>
      </c>
      <c r="H14" s="165"/>
      <c r="I14" s="165">
        <v>0</v>
      </c>
      <c r="J14" s="165">
        <v>0</v>
      </c>
      <c r="K14" s="165"/>
      <c r="L14" s="165">
        <v>1025.93</v>
      </c>
      <c r="M14" s="165" t="s">
        <v>257</v>
      </c>
      <c r="N14" s="165">
        <v>25.01</v>
      </c>
      <c r="O14" s="165">
        <v>1481742000</v>
      </c>
      <c r="P14" s="165">
        <v>2.73</v>
      </c>
      <c r="Q14" s="165">
        <v>35</v>
      </c>
      <c r="R14" s="165">
        <v>2.0699999999999998</v>
      </c>
    </row>
    <row r="15" spans="1:18" x14ac:dyDescent="0.25">
      <c r="A15" s="165">
        <v>26.25</v>
      </c>
      <c r="B15" s="165">
        <v>0.43</v>
      </c>
      <c r="C15" s="165">
        <v>12.89</v>
      </c>
      <c r="D15" s="8">
        <v>42718.541666666664</v>
      </c>
      <c r="E15" s="165">
        <v>0.56000000000000005</v>
      </c>
      <c r="F15" s="165" t="s">
        <v>249</v>
      </c>
      <c r="G15" s="165">
        <v>296.26</v>
      </c>
      <c r="H15" s="165"/>
      <c r="I15" s="165">
        <v>0</v>
      </c>
      <c r="J15" s="165">
        <v>0</v>
      </c>
      <c r="K15" s="165"/>
      <c r="L15" s="165">
        <v>1024.5</v>
      </c>
      <c r="M15" s="165" t="s">
        <v>257</v>
      </c>
      <c r="N15" s="165">
        <v>26.25</v>
      </c>
      <c r="O15" s="165">
        <v>1481745600</v>
      </c>
      <c r="P15" s="165">
        <v>2.73</v>
      </c>
      <c r="Q15" s="165">
        <v>35</v>
      </c>
      <c r="R15" s="165">
        <v>2.78</v>
      </c>
    </row>
    <row r="16" spans="1:18" x14ac:dyDescent="0.25">
      <c r="A16" s="165">
        <v>23.15</v>
      </c>
      <c r="B16" s="165">
        <v>0.39</v>
      </c>
      <c r="C16" s="165">
        <v>14.23</v>
      </c>
      <c r="D16" s="8">
        <v>42718.583333333336</v>
      </c>
      <c r="E16" s="165">
        <v>0.55000000000000004</v>
      </c>
      <c r="F16" s="165" t="s">
        <v>249</v>
      </c>
      <c r="G16" s="165">
        <v>295.17</v>
      </c>
      <c r="H16" s="165"/>
      <c r="I16" s="165">
        <v>0</v>
      </c>
      <c r="J16" s="165">
        <v>0</v>
      </c>
      <c r="K16" s="165"/>
      <c r="L16" s="165">
        <v>1023.33</v>
      </c>
      <c r="M16" s="165" t="s">
        <v>257</v>
      </c>
      <c r="N16" s="165">
        <v>28.26</v>
      </c>
      <c r="O16" s="165">
        <v>1481749200</v>
      </c>
      <c r="P16" s="165">
        <v>2.94</v>
      </c>
      <c r="Q16" s="165">
        <v>20</v>
      </c>
      <c r="R16" s="165">
        <v>4.54</v>
      </c>
    </row>
    <row r="17" spans="1:18" x14ac:dyDescent="0.25">
      <c r="A17" s="165">
        <v>24.11</v>
      </c>
      <c r="B17" s="165">
        <v>0.34</v>
      </c>
      <c r="C17" s="165">
        <v>14.82</v>
      </c>
      <c r="D17" s="8">
        <v>42718.625</v>
      </c>
      <c r="E17" s="165">
        <v>0.55000000000000004</v>
      </c>
      <c r="F17" s="165" t="s">
        <v>249</v>
      </c>
      <c r="G17" s="165">
        <v>293.45999999999998</v>
      </c>
      <c r="H17" s="165"/>
      <c r="I17" s="165">
        <v>0</v>
      </c>
      <c r="J17" s="165">
        <v>0</v>
      </c>
      <c r="K17" s="165"/>
      <c r="L17" s="165">
        <v>1023.07</v>
      </c>
      <c r="M17" s="165" t="s">
        <v>257</v>
      </c>
      <c r="N17" s="165">
        <v>28.73</v>
      </c>
      <c r="O17" s="165">
        <v>1481752800</v>
      </c>
      <c r="P17" s="165">
        <v>2.86</v>
      </c>
      <c r="Q17" s="165">
        <v>27</v>
      </c>
      <c r="R17" s="165">
        <v>4.16</v>
      </c>
    </row>
    <row r="18" spans="1:18" x14ac:dyDescent="0.25">
      <c r="A18" s="165">
        <v>24.37</v>
      </c>
      <c r="B18" s="165">
        <v>0.33</v>
      </c>
      <c r="C18" s="165">
        <v>15.09</v>
      </c>
      <c r="D18" s="8">
        <v>42718.666666666664</v>
      </c>
      <c r="E18" s="165">
        <v>0.56999999999999995</v>
      </c>
      <c r="F18" s="165" t="s">
        <v>249</v>
      </c>
      <c r="G18" s="165">
        <v>291.38</v>
      </c>
      <c r="H18" s="165"/>
      <c r="I18" s="165">
        <v>0</v>
      </c>
      <c r="J18" s="165">
        <v>0</v>
      </c>
      <c r="K18" s="165"/>
      <c r="L18" s="165">
        <v>1023.4</v>
      </c>
      <c r="M18" s="165" t="s">
        <v>257</v>
      </c>
      <c r="N18" s="165">
        <v>28.24</v>
      </c>
      <c r="O18" s="165">
        <v>1481756400</v>
      </c>
      <c r="P18" s="165">
        <v>5.0999999999999996</v>
      </c>
      <c r="Q18" s="165">
        <v>24</v>
      </c>
      <c r="R18" s="165">
        <v>3.5</v>
      </c>
    </row>
    <row r="19" spans="1:18" x14ac:dyDescent="0.25">
      <c r="A19" s="165">
        <v>21.29</v>
      </c>
      <c r="B19" s="165">
        <v>0.22</v>
      </c>
      <c r="C19" s="165">
        <v>14.9</v>
      </c>
      <c r="D19" s="8">
        <v>42718.708333333336</v>
      </c>
      <c r="E19" s="165">
        <v>0.61</v>
      </c>
      <c r="F19" s="165" t="s">
        <v>309</v>
      </c>
      <c r="G19" s="165">
        <v>289.49</v>
      </c>
      <c r="H19" s="165"/>
      <c r="I19" s="165">
        <v>0</v>
      </c>
      <c r="J19" s="165">
        <v>0</v>
      </c>
      <c r="K19" s="165"/>
      <c r="L19" s="165">
        <v>1023.89</v>
      </c>
      <c r="M19" s="165" t="s">
        <v>310</v>
      </c>
      <c r="N19" s="165">
        <v>26.6</v>
      </c>
      <c r="O19" s="165">
        <v>1481760000</v>
      </c>
      <c r="P19" s="165">
        <v>5.61</v>
      </c>
      <c r="Q19" s="165">
        <v>19</v>
      </c>
      <c r="R19" s="165">
        <v>4.47</v>
      </c>
    </row>
    <row r="20" spans="1:18" x14ac:dyDescent="0.25">
      <c r="A20" s="165">
        <v>18.23</v>
      </c>
      <c r="B20" s="165">
        <v>0.24</v>
      </c>
      <c r="C20" s="165">
        <v>14.12</v>
      </c>
      <c r="D20" s="8">
        <v>42718.75</v>
      </c>
      <c r="E20" s="165">
        <v>0.65</v>
      </c>
      <c r="F20" s="165" t="s">
        <v>309</v>
      </c>
      <c r="G20" s="165">
        <v>288.13</v>
      </c>
      <c r="H20" s="165"/>
      <c r="I20" s="165">
        <v>0</v>
      </c>
      <c r="J20" s="165">
        <v>0</v>
      </c>
      <c r="K20" s="165"/>
      <c r="L20" s="165">
        <v>1024.6500000000001</v>
      </c>
      <c r="M20" s="165" t="s">
        <v>310</v>
      </c>
      <c r="N20" s="165">
        <v>24.25</v>
      </c>
      <c r="O20" s="165">
        <v>1481763600</v>
      </c>
      <c r="P20" s="165">
        <v>6.22</v>
      </c>
      <c r="Q20" s="165">
        <v>13</v>
      </c>
      <c r="R20" s="165">
        <v>4.76</v>
      </c>
    </row>
    <row r="21" spans="1:18" x14ac:dyDescent="0.25">
      <c r="A21" s="165">
        <v>17.21</v>
      </c>
      <c r="B21" s="165">
        <v>0.2</v>
      </c>
      <c r="C21" s="165">
        <v>14.36</v>
      </c>
      <c r="D21" s="8">
        <v>42718.791666666664</v>
      </c>
      <c r="E21" s="165">
        <v>0.69</v>
      </c>
      <c r="F21" s="165" t="s">
        <v>309</v>
      </c>
      <c r="G21" s="165">
        <v>286.95</v>
      </c>
      <c r="H21" s="165"/>
      <c r="I21" s="165">
        <v>0</v>
      </c>
      <c r="J21" s="165">
        <v>0</v>
      </c>
      <c r="K21" s="165"/>
      <c r="L21" s="165">
        <v>1025.5899999999999</v>
      </c>
      <c r="M21" s="165" t="s">
        <v>310</v>
      </c>
      <c r="N21" s="165">
        <v>22.85</v>
      </c>
      <c r="O21" s="165">
        <v>1481767200</v>
      </c>
      <c r="P21" s="165">
        <v>6.87</v>
      </c>
      <c r="Q21" s="165">
        <v>10</v>
      </c>
      <c r="R21" s="165">
        <v>4.24</v>
      </c>
    </row>
    <row r="22" spans="1:18" x14ac:dyDescent="0.25">
      <c r="A22" s="165">
        <v>14.91</v>
      </c>
      <c r="B22" s="165">
        <v>0.23</v>
      </c>
      <c r="C22" s="165">
        <v>12.86</v>
      </c>
      <c r="D22" s="8">
        <v>42718.833333333336</v>
      </c>
      <c r="E22" s="165">
        <v>0.72</v>
      </c>
      <c r="F22" s="165" t="s">
        <v>309</v>
      </c>
      <c r="G22" s="165">
        <v>285.43</v>
      </c>
      <c r="H22" s="165"/>
      <c r="I22" s="165">
        <v>0</v>
      </c>
      <c r="J22" s="165">
        <v>0</v>
      </c>
      <c r="K22" s="165"/>
      <c r="L22" s="165">
        <v>1026.2</v>
      </c>
      <c r="M22" s="165" t="s">
        <v>310</v>
      </c>
      <c r="N22" s="165">
        <v>20.3</v>
      </c>
      <c r="O22" s="165">
        <v>1481770800</v>
      </c>
      <c r="P22" s="165">
        <v>6.66</v>
      </c>
      <c r="Q22" s="165">
        <v>10</v>
      </c>
      <c r="R22" s="165">
        <v>3.75</v>
      </c>
    </row>
    <row r="23" spans="1:18" x14ac:dyDescent="0.25">
      <c r="A23" s="165">
        <v>15.33</v>
      </c>
      <c r="B23" s="165">
        <v>0.28000000000000003</v>
      </c>
      <c r="C23" s="165">
        <v>12.89</v>
      </c>
      <c r="D23" s="8">
        <v>42718.875</v>
      </c>
      <c r="E23" s="165">
        <v>0.74</v>
      </c>
      <c r="F23" s="165" t="s">
        <v>681</v>
      </c>
      <c r="G23" s="165">
        <v>283.23</v>
      </c>
      <c r="H23" s="165">
        <v>1.7999999999999999E-2</v>
      </c>
      <c r="I23" s="165">
        <v>1.1000000000000001E-3</v>
      </c>
      <c r="J23" s="165">
        <v>0.02</v>
      </c>
      <c r="K23" s="165" t="s">
        <v>681</v>
      </c>
      <c r="L23" s="165">
        <v>1026.3699999999999</v>
      </c>
      <c r="M23" s="165" t="s">
        <v>682</v>
      </c>
      <c r="N23" s="165">
        <v>19.66</v>
      </c>
      <c r="O23" s="165">
        <v>1481774400</v>
      </c>
      <c r="P23" s="165">
        <v>5.93</v>
      </c>
      <c r="Q23" s="165">
        <v>5</v>
      </c>
      <c r="R23" s="165">
        <v>3.02</v>
      </c>
    </row>
    <row r="24" spans="1:18" x14ac:dyDescent="0.25">
      <c r="A24" s="165">
        <v>18.600000000000001</v>
      </c>
      <c r="B24" s="165">
        <v>0.32</v>
      </c>
      <c r="C24" s="165">
        <v>12.08</v>
      </c>
      <c r="D24" s="8">
        <v>42718.916666666664</v>
      </c>
      <c r="E24" s="165">
        <v>0.75</v>
      </c>
      <c r="F24" s="165" t="s">
        <v>681</v>
      </c>
      <c r="G24" s="165">
        <v>280.7</v>
      </c>
      <c r="H24" s="165">
        <v>0.05</v>
      </c>
      <c r="I24" s="165">
        <v>3.0000000000000001E-3</v>
      </c>
      <c r="J24" s="165">
        <v>0.1</v>
      </c>
      <c r="K24" s="165" t="s">
        <v>681</v>
      </c>
      <c r="L24" s="165">
        <v>1026.19</v>
      </c>
      <c r="M24" s="165" t="s">
        <v>683</v>
      </c>
      <c r="N24" s="165">
        <v>18.600000000000001</v>
      </c>
      <c r="O24" s="165">
        <v>1481778000</v>
      </c>
      <c r="P24" s="165">
        <v>5.09</v>
      </c>
      <c r="Q24" s="165">
        <v>355</v>
      </c>
      <c r="R24" s="165">
        <v>1.6</v>
      </c>
    </row>
    <row r="25" spans="1:18" x14ac:dyDescent="0.25">
      <c r="A25" s="165">
        <v>18.84</v>
      </c>
      <c r="B25" s="165">
        <v>0.33</v>
      </c>
      <c r="C25" s="165">
        <v>12.75</v>
      </c>
      <c r="D25" s="8">
        <v>42718.958333333336</v>
      </c>
      <c r="E25" s="165">
        <v>0.77</v>
      </c>
      <c r="F25" s="165" t="s">
        <v>681</v>
      </c>
      <c r="G25" s="165">
        <v>278.33999999999997</v>
      </c>
      <c r="H25" s="165">
        <v>4.8000000000000001E-2</v>
      </c>
      <c r="I25" s="165">
        <v>2.8999999999999998E-3</v>
      </c>
      <c r="J25" s="165">
        <v>0.09</v>
      </c>
      <c r="K25" s="165" t="s">
        <v>681</v>
      </c>
      <c r="L25" s="165">
        <v>1025.54</v>
      </c>
      <c r="M25" s="165" t="s">
        <v>683</v>
      </c>
      <c r="N25" s="165">
        <v>18.84</v>
      </c>
      <c r="O25" s="165">
        <v>1481781600</v>
      </c>
      <c r="P25" s="165">
        <v>4.49</v>
      </c>
      <c r="Q25" s="165">
        <v>327</v>
      </c>
      <c r="R25" s="165">
        <v>0.37</v>
      </c>
    </row>
    <row r="26" spans="1:18" x14ac:dyDescent="0.25">
      <c r="A26" s="165">
        <v>17.88</v>
      </c>
      <c r="B26" s="165">
        <v>0.37</v>
      </c>
      <c r="C26" s="165">
        <v>11.31</v>
      </c>
      <c r="D26" s="8">
        <v>42719</v>
      </c>
      <c r="E26" s="165">
        <v>0.75</v>
      </c>
      <c r="F26" s="165" t="s">
        <v>681</v>
      </c>
      <c r="G26" s="165">
        <v>276.48</v>
      </c>
      <c r="H26" s="165">
        <v>3.5000000000000003E-2</v>
      </c>
      <c r="I26" s="165">
        <v>2E-3</v>
      </c>
      <c r="J26" s="165">
        <v>0.05</v>
      </c>
      <c r="K26" s="165" t="s">
        <v>681</v>
      </c>
      <c r="L26" s="165">
        <v>1023.79</v>
      </c>
      <c r="M26" s="165" t="s">
        <v>683</v>
      </c>
      <c r="N26" s="165">
        <v>17.88</v>
      </c>
      <c r="O26" s="165">
        <v>1481785200</v>
      </c>
      <c r="P26" s="165">
        <v>4.9000000000000004</v>
      </c>
      <c r="Q26" s="165">
        <v>341</v>
      </c>
      <c r="R26" s="165">
        <v>0.66</v>
      </c>
    </row>
    <row r="27" spans="1:18" x14ac:dyDescent="0.25">
      <c r="A27" s="165">
        <v>17.72</v>
      </c>
      <c r="B27" s="165">
        <v>0.35</v>
      </c>
      <c r="C27" s="165">
        <v>10.53</v>
      </c>
      <c r="D27" s="8">
        <v>42719.041666666664</v>
      </c>
      <c r="E27" s="165">
        <v>0.73</v>
      </c>
      <c r="F27" s="165" t="s">
        <v>681</v>
      </c>
      <c r="G27" s="165">
        <v>274.62</v>
      </c>
      <c r="H27" s="165">
        <v>2.9000000000000001E-2</v>
      </c>
      <c r="I27" s="165">
        <v>1.6999999999999999E-3</v>
      </c>
      <c r="J27" s="165">
        <v>0.04</v>
      </c>
      <c r="K27" s="165" t="s">
        <v>681</v>
      </c>
      <c r="L27" s="165">
        <v>1022.15</v>
      </c>
      <c r="M27" s="165" t="s">
        <v>683</v>
      </c>
      <c r="N27" s="165">
        <v>17.72</v>
      </c>
      <c r="O27" s="165">
        <v>1481788800</v>
      </c>
      <c r="P27" s="165">
        <v>5.17</v>
      </c>
      <c r="Q27" s="165">
        <v>33</v>
      </c>
      <c r="R27" s="165">
        <v>0.76</v>
      </c>
    </row>
    <row r="28" spans="1:18" x14ac:dyDescent="0.25">
      <c r="A28" s="165">
        <v>17.670000000000002</v>
      </c>
      <c r="B28" s="165">
        <v>0.32</v>
      </c>
      <c r="C28" s="165">
        <v>10.16</v>
      </c>
      <c r="D28" s="8">
        <v>42719.083333333336</v>
      </c>
      <c r="E28" s="165">
        <v>0.72</v>
      </c>
      <c r="F28" s="165" t="s">
        <v>248</v>
      </c>
      <c r="G28" s="165">
        <v>272.75</v>
      </c>
      <c r="H28" s="165"/>
      <c r="I28" s="165">
        <v>0</v>
      </c>
      <c r="J28" s="165">
        <v>0</v>
      </c>
      <c r="K28" s="165"/>
      <c r="L28" s="165">
        <v>1020.44</v>
      </c>
      <c r="M28" s="165" t="s">
        <v>257</v>
      </c>
      <c r="N28" s="165">
        <v>17.670000000000002</v>
      </c>
      <c r="O28" s="165">
        <v>1481792400</v>
      </c>
      <c r="P28" s="165">
        <v>4.46</v>
      </c>
      <c r="Q28" s="165">
        <v>106</v>
      </c>
      <c r="R28" s="165">
        <v>2.0699999999999998</v>
      </c>
    </row>
    <row r="29" spans="1:18" x14ac:dyDescent="0.25">
      <c r="A29" s="165">
        <v>18.72</v>
      </c>
      <c r="B29" s="165">
        <v>0.48</v>
      </c>
      <c r="C29" s="165">
        <v>10.97</v>
      </c>
      <c r="D29" s="8">
        <v>42719.125</v>
      </c>
      <c r="E29" s="165">
        <v>0.71</v>
      </c>
      <c r="F29" s="165" t="s">
        <v>248</v>
      </c>
      <c r="G29" s="165">
        <v>270.62</v>
      </c>
      <c r="H29" s="165"/>
      <c r="I29" s="165">
        <v>0</v>
      </c>
      <c r="J29" s="165">
        <v>0</v>
      </c>
      <c r="K29" s="165"/>
      <c r="L29" s="165">
        <v>1018.98</v>
      </c>
      <c r="M29" s="165" t="s">
        <v>257</v>
      </c>
      <c r="N29" s="165">
        <v>18.72</v>
      </c>
      <c r="O29" s="165">
        <v>1481796000</v>
      </c>
      <c r="P29" s="165">
        <v>6.65</v>
      </c>
      <c r="Q29" s="165">
        <v>132</v>
      </c>
      <c r="R29" s="165">
        <v>1.86</v>
      </c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203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3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5" bestFit="1" customWidth="1"/>
    <col min="16" max="16" width="9.140625" style="165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42718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5">
        <f t="shared" ref="M3:M14" si="0">AVERAGE(K3:L3)</f>
        <v>2.7201</v>
      </c>
      <c r="O3" t="s">
        <v>103</v>
      </c>
      <c r="P3" s="165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5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5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5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5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5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5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5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5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5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5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5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204</v>
      </c>
      <c r="J17" s="33"/>
      <c r="K17" s="34"/>
      <c r="L17" s="34"/>
    </row>
    <row r="18" spans="3:13" x14ac:dyDescent="0.25">
      <c r="C18" t="s">
        <v>833</v>
      </c>
      <c r="J18" s="33" t="s">
        <v>85</v>
      </c>
      <c r="K18" s="34"/>
      <c r="L18" s="34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834</v>
      </c>
      <c r="J19" s="33" t="s">
        <v>86</v>
      </c>
      <c r="K19" s="34"/>
      <c r="L19" s="34"/>
      <c r="M19" s="165" t="s">
        <v>112</v>
      </c>
    </row>
    <row r="20" spans="3:13" x14ac:dyDescent="0.25">
      <c r="C20" t="s">
        <v>835</v>
      </c>
      <c r="J20" t="s">
        <v>87</v>
      </c>
      <c r="M20" s="165" t="s">
        <v>255</v>
      </c>
    </row>
    <row r="21" spans="3:13" x14ac:dyDescent="0.25">
      <c r="C21" t="s">
        <v>836</v>
      </c>
      <c r="J21" s="21" t="s">
        <v>90</v>
      </c>
      <c r="K21" s="21" t="s">
        <v>91</v>
      </c>
      <c r="M21" s="165" t="s">
        <v>182</v>
      </c>
    </row>
    <row r="22" spans="3:13" x14ac:dyDescent="0.25">
      <c r="C22" t="s">
        <v>837</v>
      </c>
      <c r="J22" s="21" t="s">
        <v>92</v>
      </c>
      <c r="K22" s="21" t="s">
        <v>93</v>
      </c>
      <c r="M22" s="165" t="s">
        <v>111</v>
      </c>
    </row>
    <row r="23" spans="3:13" x14ac:dyDescent="0.25">
      <c r="C23" t="s">
        <v>838</v>
      </c>
      <c r="J23" s="29" t="s">
        <v>95</v>
      </c>
      <c r="K23" s="21"/>
      <c r="M23" s="165">
        <v>-7</v>
      </c>
    </row>
    <row r="24" spans="3:13" x14ac:dyDescent="0.25">
      <c r="C24" t="s">
        <v>839</v>
      </c>
      <c r="J24" s="21" t="s">
        <v>108</v>
      </c>
      <c r="K24" s="21"/>
      <c r="M24" s="165" t="s">
        <v>110</v>
      </c>
    </row>
    <row r="25" spans="3:13" x14ac:dyDescent="0.25">
      <c r="C25" t="s">
        <v>840</v>
      </c>
      <c r="J25" t="s">
        <v>151</v>
      </c>
      <c r="M25" s="165" t="b">
        <v>1</v>
      </c>
    </row>
    <row r="26" spans="3:13" x14ac:dyDescent="0.25">
      <c r="C26" t="s">
        <v>841</v>
      </c>
      <c r="J26" t="s">
        <v>152</v>
      </c>
      <c r="M26" s="165" t="str">
        <f>"C:\Users\stu\Documents\GitHub\eaglep3-reporting\EC\"&amp;TEXT(A2,"yyyy-mm-dd")&amp;"-refined-times.txt"</f>
        <v>C:\Users\stu\Documents\GitHub\eaglep3-reporting\EC\2016-12-14-refined-times.txt</v>
      </c>
    </row>
    <row r="27" spans="3:13" x14ac:dyDescent="0.25">
      <c r="C27" t="s">
        <v>842</v>
      </c>
      <c r="J27" t="s">
        <v>188</v>
      </c>
      <c r="M27" s="165" t="str">
        <f>"C:\Users\stu\Documents\GitHub\eaglep3-reporting\EC\"&amp;TEXT(A2,"YYYY-MM-DD")&amp;"-Enforcements.txt"</f>
        <v>C:\Users\stu\Documents\GitHub\eaglep3-reporting\EC\2016-12-14-Enforcements.txt</v>
      </c>
    </row>
    <row r="28" spans="3:13" x14ac:dyDescent="0.25">
      <c r="C28" t="s">
        <v>843</v>
      </c>
      <c r="J28" t="s">
        <v>189</v>
      </c>
      <c r="M28" s="165" t="str">
        <f>"C:\Users\stu\Documents\GitHub\eaglep3-reporting\EC\"&amp;TEXT(A2,"YYYY-MM-DD")&amp;"-Runs-refined.txt"</f>
        <v>C:\Users\stu\Documents\GitHub\eaglep3-reporting\EC\2016-12-14-Runs-refined.txt</v>
      </c>
    </row>
    <row r="29" spans="3:13" x14ac:dyDescent="0.25">
      <c r="C29" t="s">
        <v>844</v>
      </c>
      <c r="J29" t="s">
        <v>190</v>
      </c>
      <c r="M29" s="165" t="str">
        <f>"C:\Users\stu\Documents\GitHub\eaglep3-reporting\EC\"&amp;TEXT(A2,"YYYY-MM-DD")&amp;"-Trips.txt"</f>
        <v>C:\Users\stu\Documents\GitHub\eaglep3-reporting\EC\2016-12-14-Trips.txt</v>
      </c>
    </row>
    <row r="30" spans="3:13" x14ac:dyDescent="0.25">
      <c r="C30" t="s">
        <v>845</v>
      </c>
      <c r="J30" t="s">
        <v>191</v>
      </c>
      <c r="M30" s="165" t="str">
        <f>"C:\Users\stu\Documents\GitHub\eaglep3-reporting\EC\"&amp;TEXT(A2,"YYYY-MM-DD")&amp;"-Weather.txt"</f>
        <v>C:\Users\stu\Documents\GitHub\eaglep3-reporting\EC\2016-12-14-Weather.txt</v>
      </c>
    </row>
    <row r="31" spans="3:13" x14ac:dyDescent="0.25">
      <c r="C31" t="s">
        <v>846</v>
      </c>
    </row>
    <row r="32" spans="3:13" x14ac:dyDescent="0.25">
      <c r="C32" t="s">
        <v>847</v>
      </c>
    </row>
    <row r="33" spans="3:3" x14ac:dyDescent="0.25">
      <c r="C33" t="s">
        <v>848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210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J129" sqref="J12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858</v>
      </c>
      <c r="B1" t="str">
        <f t="shared" ref="B1:B52" si="0">MID(A1,6,23)</f>
        <v>2016/12/14 10:32:11.283</v>
      </c>
      <c r="C1" t="e">
        <f>ABS(B1-#REF!)</f>
        <v>#REF!</v>
      </c>
    </row>
    <row r="2" spans="1:3" x14ac:dyDescent="0.25">
      <c r="A2" t="s">
        <v>859</v>
      </c>
      <c r="B2" s="21" t="str">
        <f t="shared" si="0"/>
        <v>2016/12/14 12:39:29.984</v>
      </c>
      <c r="C2">
        <f>ABS(B2-B1)</f>
        <v>8.841089120687684E-2</v>
      </c>
    </row>
    <row r="3" spans="1:3" x14ac:dyDescent="0.25">
      <c r="A3" t="s">
        <v>860</v>
      </c>
      <c r="B3" s="21" t="str">
        <f t="shared" si="0"/>
        <v>2016/12/14 12:39:30.145</v>
      </c>
      <c r="C3" s="21">
        <f t="shared" ref="C3:C52" si="1">ABS(B3-B2)</f>
        <v>1.8634236766956747E-6</v>
      </c>
    </row>
    <row r="4" spans="1:3" x14ac:dyDescent="0.25">
      <c r="A4" t="s">
        <v>861</v>
      </c>
      <c r="B4" s="21" t="str">
        <f t="shared" si="0"/>
        <v>2016/12/14 12:39:30.815</v>
      </c>
      <c r="C4" s="21">
        <f t="shared" si="1"/>
        <v>7.7546355896629393E-6</v>
      </c>
    </row>
    <row r="5" spans="1:3" x14ac:dyDescent="0.25">
      <c r="A5" t="s">
        <v>862</v>
      </c>
      <c r="B5" s="21" t="str">
        <f t="shared" si="0"/>
        <v>2016/12/14 12:51:01.148</v>
      </c>
      <c r="C5" s="21">
        <f t="shared" si="1"/>
        <v>7.9899652773747221E-3</v>
      </c>
    </row>
    <row r="6" spans="1:3" x14ac:dyDescent="0.25">
      <c r="A6" t="s">
        <v>863</v>
      </c>
      <c r="B6" s="21" t="str">
        <f t="shared" si="0"/>
        <v>2016/12/14 12:51:01.990</v>
      </c>
      <c r="C6" s="21">
        <f t="shared" si="1"/>
        <v>9.7453666967339814E-6</v>
      </c>
    </row>
    <row r="7" spans="1:3" x14ac:dyDescent="0.25">
      <c r="A7" t="s">
        <v>864</v>
      </c>
      <c r="B7" s="21" t="str">
        <f t="shared" si="0"/>
        <v>2016/12/14 12:51:02.826</v>
      </c>
      <c r="C7" s="21">
        <f t="shared" si="1"/>
        <v>9.6759249572642148E-6</v>
      </c>
    </row>
    <row r="8" spans="1:3" x14ac:dyDescent="0.25">
      <c r="A8" t="s">
        <v>865</v>
      </c>
      <c r="B8" s="21" t="str">
        <f t="shared" si="0"/>
        <v>2016/12/14 12:52:28.631</v>
      </c>
      <c r="C8" s="21">
        <f t="shared" si="1"/>
        <v>9.9311342637520283E-4</v>
      </c>
    </row>
    <row r="9" spans="1:3" x14ac:dyDescent="0.25">
      <c r="A9" t="s">
        <v>866</v>
      </c>
      <c r="B9" s="21" t="str">
        <f t="shared" si="0"/>
        <v>2016/12/14 12:52:29.264</v>
      </c>
      <c r="C9" s="21">
        <f t="shared" si="1"/>
        <v>7.3263872764073312E-6</v>
      </c>
    </row>
    <row r="10" spans="1:3" x14ac:dyDescent="0.25">
      <c r="A10" t="s">
        <v>867</v>
      </c>
      <c r="B10" s="21" t="str">
        <f t="shared" si="0"/>
        <v>2016/12/14 12:52:29.472</v>
      </c>
      <c r="C10" s="21">
        <f t="shared" si="1"/>
        <v>2.4074106477200985E-6</v>
      </c>
    </row>
    <row r="11" spans="1:3" x14ac:dyDescent="0.25">
      <c r="A11" t="s">
        <v>868</v>
      </c>
      <c r="B11" s="21" t="str">
        <f t="shared" si="0"/>
        <v>2016/12/14 13:01:15.737</v>
      </c>
      <c r="C11" s="21">
        <f t="shared" si="1"/>
        <v>6.0910300890100189E-3</v>
      </c>
    </row>
    <row r="12" spans="1:3" x14ac:dyDescent="0.25">
      <c r="A12" t="s">
        <v>869</v>
      </c>
      <c r="B12" s="21" t="str">
        <f t="shared" si="0"/>
        <v>2016/12/14 14:41:17.411</v>
      </c>
      <c r="C12" s="21">
        <f t="shared" si="1"/>
        <v>6.9463819447264541E-2</v>
      </c>
    </row>
    <row r="13" spans="1:3" x14ac:dyDescent="0.25">
      <c r="A13" t="s">
        <v>870</v>
      </c>
      <c r="B13" s="21" t="str">
        <f t="shared" si="0"/>
        <v>2016/12/14 14:41:17.754</v>
      </c>
      <c r="C13" s="21">
        <f t="shared" si="1"/>
        <v>3.9699079934507608E-6</v>
      </c>
    </row>
    <row r="14" spans="1:3" x14ac:dyDescent="0.25">
      <c r="A14" t="s">
        <v>871</v>
      </c>
      <c r="B14" s="21" t="str">
        <f t="shared" si="0"/>
        <v>2016/12/14 14:41:18.047</v>
      </c>
      <c r="C14" s="21">
        <f t="shared" si="1"/>
        <v>3.3912001526914537E-6</v>
      </c>
    </row>
    <row r="15" spans="1:3" x14ac:dyDescent="0.25">
      <c r="A15" t="s">
        <v>872</v>
      </c>
      <c r="B15" s="21" t="str">
        <f t="shared" si="0"/>
        <v>2016/12/14 14:51:33.969</v>
      </c>
      <c r="C15" s="21">
        <f t="shared" si="1"/>
        <v>7.1287268583546393E-3</v>
      </c>
    </row>
    <row r="16" spans="1:3" x14ac:dyDescent="0.25">
      <c r="A16" t="s">
        <v>873</v>
      </c>
      <c r="B16" s="21" t="str">
        <f t="shared" si="0"/>
        <v>2016/12/14 14:51:34.128</v>
      </c>
      <c r="C16" s="21">
        <f t="shared" si="1"/>
        <v>1.840271579567343E-6</v>
      </c>
    </row>
    <row r="17" spans="1:3" x14ac:dyDescent="0.25">
      <c r="A17" t="s">
        <v>874</v>
      </c>
      <c r="B17" s="21" t="str">
        <f t="shared" si="0"/>
        <v>2016/12/14 14:57:19.018</v>
      </c>
      <c r="C17" s="21">
        <f t="shared" si="1"/>
        <v>3.9917824105941691E-3</v>
      </c>
    </row>
    <row r="18" spans="1:3" x14ac:dyDescent="0.25">
      <c r="A18" t="s">
        <v>875</v>
      </c>
      <c r="B18" s="21" t="str">
        <f t="shared" si="0"/>
        <v>2016/12/14 14:57:19.968</v>
      </c>
      <c r="C18" s="21">
        <f t="shared" si="1"/>
        <v>1.099536893889308E-5</v>
      </c>
    </row>
    <row r="19" spans="1:3" x14ac:dyDescent="0.25">
      <c r="A19" t="s">
        <v>876</v>
      </c>
      <c r="B19" s="21" t="str">
        <f t="shared" si="0"/>
        <v>2016/12/14 14:57:20.091</v>
      </c>
      <c r="C19" s="21">
        <f t="shared" si="1"/>
        <v>1.4236138667911291E-6</v>
      </c>
    </row>
    <row r="20" spans="1:3" x14ac:dyDescent="0.25">
      <c r="A20" t="s">
        <v>877</v>
      </c>
      <c r="B20" s="21" t="str">
        <f t="shared" si="0"/>
        <v>2016/12/14 15:02:26.052</v>
      </c>
      <c r="C20" s="21">
        <f t="shared" si="1"/>
        <v>3.5412152792559937E-3</v>
      </c>
    </row>
    <row r="21" spans="1:3" x14ac:dyDescent="0.25">
      <c r="A21" t="s">
        <v>878</v>
      </c>
      <c r="B21" s="21" t="str">
        <f t="shared" si="0"/>
        <v>2016/12/14 15:02:26.397</v>
      </c>
      <c r="C21" s="21">
        <f t="shared" si="1"/>
        <v>3.9930528146214783E-6</v>
      </c>
    </row>
    <row r="22" spans="1:3" x14ac:dyDescent="0.25">
      <c r="A22" t="s">
        <v>879</v>
      </c>
      <c r="B22" s="21" t="str">
        <f t="shared" si="0"/>
        <v>2016/12/14 15:02:26.763</v>
      </c>
      <c r="C22" s="21">
        <f t="shared" si="1"/>
        <v>4.2361134546808898E-6</v>
      </c>
    </row>
    <row r="23" spans="1:3" x14ac:dyDescent="0.25">
      <c r="A23" t="s">
        <v>880</v>
      </c>
      <c r="B23" s="21" t="str">
        <f t="shared" si="0"/>
        <v>2016/12/14 15:33:49.866</v>
      </c>
      <c r="C23" s="21">
        <f t="shared" si="1"/>
        <v>2.179517361219041E-2</v>
      </c>
    </row>
    <row r="24" spans="1:3" x14ac:dyDescent="0.25">
      <c r="A24" t="s">
        <v>881</v>
      </c>
      <c r="B24" s="21" t="str">
        <f t="shared" si="0"/>
        <v>2016/12/14 15:38:00.008</v>
      </c>
      <c r="C24" s="21">
        <f t="shared" si="1"/>
        <v>2.8951620333828032E-3</v>
      </c>
    </row>
    <row r="25" spans="1:3" x14ac:dyDescent="0.25">
      <c r="A25" t="s">
        <v>882</v>
      </c>
      <c r="B25" s="21" t="str">
        <f t="shared" si="0"/>
        <v>2016/12/14 15:38:00.075</v>
      </c>
      <c r="C25" s="21">
        <f t="shared" si="1"/>
        <v>7.7546428656205535E-7</v>
      </c>
    </row>
    <row r="26" spans="1:3" x14ac:dyDescent="0.25">
      <c r="A26" t="s">
        <v>883</v>
      </c>
      <c r="B26" s="21" t="str">
        <f t="shared" si="0"/>
        <v>2016/12/14 15:38:00.143</v>
      </c>
      <c r="C26" s="21">
        <f t="shared" si="1"/>
        <v>7.87033059168607E-7</v>
      </c>
    </row>
    <row r="27" spans="1:3" x14ac:dyDescent="0.25">
      <c r="A27" t="s">
        <v>884</v>
      </c>
      <c r="B27" s="21" t="str">
        <f t="shared" si="0"/>
        <v>2016/12/14 16:31:06.806</v>
      </c>
      <c r="C27" s="21">
        <f t="shared" si="1"/>
        <v>3.6882673615764361E-2</v>
      </c>
    </row>
    <row r="28" spans="1:3" x14ac:dyDescent="0.25">
      <c r="A28" t="s">
        <v>885</v>
      </c>
      <c r="B28" s="21" t="str">
        <f t="shared" si="0"/>
        <v>2016/12/14 16:31:07.049</v>
      </c>
      <c r="C28" s="21">
        <f t="shared" si="1"/>
        <v>2.8124995878897607E-6</v>
      </c>
    </row>
    <row r="29" spans="1:3" x14ac:dyDescent="0.25">
      <c r="A29" t="s">
        <v>886</v>
      </c>
      <c r="B29" s="21" t="str">
        <f t="shared" si="0"/>
        <v>2016/12/14 16:31:07.416</v>
      </c>
      <c r="C29" s="21">
        <f t="shared" si="1"/>
        <v>4.2476822272874415E-6</v>
      </c>
    </row>
    <row r="30" spans="1:3" x14ac:dyDescent="0.25">
      <c r="A30" t="s">
        <v>887</v>
      </c>
      <c r="B30" s="21" t="str">
        <f t="shared" si="0"/>
        <v>2016/12/14 16:31:44.840</v>
      </c>
      <c r="C30" s="21">
        <f t="shared" si="1"/>
        <v>4.331481468398124E-4</v>
      </c>
    </row>
    <row r="31" spans="1:3" x14ac:dyDescent="0.25">
      <c r="A31" t="s">
        <v>888</v>
      </c>
      <c r="B31" s="21" t="str">
        <f t="shared" si="0"/>
        <v>2016/12/14 16:37:12.664</v>
      </c>
      <c r="C31" s="21">
        <f t="shared" si="1"/>
        <v>3.7942592607578263E-3</v>
      </c>
    </row>
    <row r="32" spans="1:3" x14ac:dyDescent="0.25">
      <c r="A32" t="s">
        <v>889</v>
      </c>
      <c r="B32" s="21" t="str">
        <f t="shared" si="0"/>
        <v>2016/12/14 16:54:03.388</v>
      </c>
      <c r="C32" s="21">
        <f t="shared" si="1"/>
        <v>1.1698194444761612E-2</v>
      </c>
    </row>
    <row r="33" spans="1:3" x14ac:dyDescent="0.25">
      <c r="A33" t="s">
        <v>890</v>
      </c>
      <c r="B33" s="21" t="str">
        <f t="shared" si="0"/>
        <v>2016/12/14 17:27:14.441</v>
      </c>
      <c r="C33" s="21">
        <f t="shared" si="1"/>
        <v>2.3044594905513804E-2</v>
      </c>
    </row>
    <row r="34" spans="1:3" x14ac:dyDescent="0.25">
      <c r="A34" t="s">
        <v>891</v>
      </c>
      <c r="B34" s="21" t="str">
        <f t="shared" si="0"/>
        <v>2016/12/14 17:27:15.071</v>
      </c>
      <c r="C34" s="21">
        <f t="shared" si="1"/>
        <v>7.2916664066724479E-6</v>
      </c>
    </row>
    <row r="35" spans="1:3" x14ac:dyDescent="0.25">
      <c r="A35" t="s">
        <v>892</v>
      </c>
      <c r="B35" s="21" t="str">
        <f t="shared" si="0"/>
        <v>2016/12/14 17:27:15.462</v>
      </c>
      <c r="C35" s="21">
        <f t="shared" si="1"/>
        <v>4.5254637370817363E-6</v>
      </c>
    </row>
    <row r="36" spans="1:3" x14ac:dyDescent="0.25">
      <c r="A36" t="s">
        <v>893</v>
      </c>
      <c r="B36" s="21" t="str">
        <f t="shared" si="0"/>
        <v>2016/12/14 17:34:00.303</v>
      </c>
      <c r="C36" s="21">
        <f t="shared" si="1"/>
        <v>4.6856597255100496E-3</v>
      </c>
    </row>
    <row r="37" spans="1:3" x14ac:dyDescent="0.25">
      <c r="A37" t="s">
        <v>894</v>
      </c>
      <c r="B37" s="21" t="str">
        <f t="shared" si="0"/>
        <v>2016/12/14 17:34:00.386</v>
      </c>
      <c r="C37" s="21">
        <f t="shared" si="1"/>
        <v>9.6064468380063772E-7</v>
      </c>
    </row>
    <row r="38" spans="1:3" x14ac:dyDescent="0.25">
      <c r="A38" t="s">
        <v>895</v>
      </c>
      <c r="B38" s="21" t="str">
        <f t="shared" si="0"/>
        <v>2016/12/14 17:34:00.993</v>
      </c>
      <c r="C38" s="21">
        <f t="shared" si="1"/>
        <v>7.0254682213999331E-6</v>
      </c>
    </row>
    <row r="39" spans="1:3" x14ac:dyDescent="0.25">
      <c r="A39" t="s">
        <v>896</v>
      </c>
      <c r="B39" s="21" t="str">
        <f t="shared" si="0"/>
        <v>2016/12/14 17:36:14.708</v>
      </c>
      <c r="C39" s="21">
        <f t="shared" si="1"/>
        <v>1.5476273110834882E-3</v>
      </c>
    </row>
    <row r="40" spans="1:3" x14ac:dyDescent="0.25">
      <c r="A40" t="s">
        <v>897</v>
      </c>
      <c r="B40" s="21" t="str">
        <f t="shared" si="0"/>
        <v>2016/12/14 17:36:14.845</v>
      </c>
      <c r="C40" s="21">
        <f t="shared" si="1"/>
        <v>1.585649442858994E-6</v>
      </c>
    </row>
    <row r="41" spans="1:3" x14ac:dyDescent="0.25">
      <c r="A41" t="s">
        <v>898</v>
      </c>
      <c r="B41" s="21" t="str">
        <f t="shared" si="0"/>
        <v>2016/12/14 17:52:35.665</v>
      </c>
      <c r="C41" s="21">
        <f t="shared" si="1"/>
        <v>1.1352083332894836E-2</v>
      </c>
    </row>
    <row r="42" spans="1:3" x14ac:dyDescent="0.25">
      <c r="A42" t="s">
        <v>899</v>
      </c>
      <c r="B42" s="21" t="str">
        <f t="shared" si="0"/>
        <v>2016/12/14 17:52:36.716</v>
      </c>
      <c r="C42" s="21">
        <f t="shared" si="1"/>
        <v>1.2164353393018246E-5</v>
      </c>
    </row>
    <row r="43" spans="1:3" x14ac:dyDescent="0.25">
      <c r="A43" t="s">
        <v>900</v>
      </c>
      <c r="B43" s="21" t="str">
        <f t="shared" si="0"/>
        <v>2016/12/14 18:01:02.988</v>
      </c>
      <c r="C43" s="21">
        <f t="shared" si="1"/>
        <v>5.859629629412666E-3</v>
      </c>
    </row>
    <row r="44" spans="1:3" x14ac:dyDescent="0.25">
      <c r="A44" t="s">
        <v>901</v>
      </c>
      <c r="B44" s="21" t="str">
        <f t="shared" si="0"/>
        <v>2016/12/14 18:01:03.161</v>
      </c>
      <c r="C44" s="21">
        <f t="shared" si="1"/>
        <v>2.0023144315928221E-6</v>
      </c>
    </row>
    <row r="45" spans="1:3" x14ac:dyDescent="0.25">
      <c r="A45" t="s">
        <v>902</v>
      </c>
      <c r="B45" s="21" t="str">
        <f t="shared" si="0"/>
        <v>2016/12/14 18:01:03.821</v>
      </c>
      <c r="C45" s="21">
        <f t="shared" si="1"/>
        <v>7.6388896559365094E-6</v>
      </c>
    </row>
    <row r="46" spans="1:3" x14ac:dyDescent="0.25">
      <c r="A46" t="s">
        <v>903</v>
      </c>
      <c r="B46" s="21" t="str">
        <f t="shared" si="0"/>
        <v>2016/12/14 18:08:47.821</v>
      </c>
      <c r="C46" s="21">
        <f t="shared" si="1"/>
        <v>5.3703703670180403E-3</v>
      </c>
    </row>
    <row r="47" spans="1:3" x14ac:dyDescent="0.25">
      <c r="A47" t="s">
        <v>904</v>
      </c>
      <c r="B47" s="21" t="str">
        <f t="shared" si="0"/>
        <v>2016/12/14 18:08:47.981</v>
      </c>
      <c r="C47" s="21">
        <f t="shared" si="1"/>
        <v>1.851854904089123E-6</v>
      </c>
    </row>
    <row r="48" spans="1:3" x14ac:dyDescent="0.25">
      <c r="A48" t="s">
        <v>905</v>
      </c>
      <c r="B48" s="21" t="str">
        <f t="shared" si="0"/>
        <v>2016/12/14 18:08:48.151</v>
      </c>
      <c r="C48" s="21">
        <f t="shared" si="1"/>
        <v>1.9675935618579388E-6</v>
      </c>
    </row>
    <row r="49" spans="1:3" x14ac:dyDescent="0.25">
      <c r="A49" t="s">
        <v>906</v>
      </c>
      <c r="B49" s="21" t="str">
        <f t="shared" si="0"/>
        <v>2016/12/14 18:49:32.997</v>
      </c>
      <c r="C49" s="21">
        <f t="shared" si="1"/>
        <v>2.8296828699239995E-2</v>
      </c>
    </row>
    <row r="50" spans="1:3" x14ac:dyDescent="0.25">
      <c r="A50" t="s">
        <v>907</v>
      </c>
      <c r="B50" s="21" t="str">
        <f t="shared" si="0"/>
        <v>2016/12/14 18:51:08.610</v>
      </c>
      <c r="C50" s="21">
        <f t="shared" si="1"/>
        <v>1.10663194936933E-3</v>
      </c>
    </row>
    <row r="51" spans="1:3" x14ac:dyDescent="0.25">
      <c r="A51" t="s">
        <v>908</v>
      </c>
      <c r="B51" s="21" t="str">
        <f t="shared" si="0"/>
        <v>2016/12/14 18:53:47.083</v>
      </c>
      <c r="C51" s="21">
        <f t="shared" si="1"/>
        <v>1.8341782415518537E-3</v>
      </c>
    </row>
    <row r="52" spans="1:3" x14ac:dyDescent="0.25">
      <c r="A52" t="s">
        <v>909</v>
      </c>
      <c r="B52" s="21" t="str">
        <f t="shared" si="0"/>
        <v>2016/12/14 18:53:47.432</v>
      </c>
      <c r="C52" s="21">
        <f t="shared" si="1"/>
        <v>4.0393497329205275E-6</v>
      </c>
    </row>
    <row r="53" spans="1:3" x14ac:dyDescent="0.25">
      <c r="A53" t="s">
        <v>910</v>
      </c>
      <c r="B53" s="21" t="str">
        <f t="shared" ref="B53:B80" si="2">MID(A53,6,23)</f>
        <v>2016/12/14 18:53:47.463</v>
      </c>
      <c r="C53" s="21">
        <f t="shared" ref="C53:C80" si="3">ABS(B53-B52)</f>
        <v>3.587920218706131E-7</v>
      </c>
    </row>
    <row r="54" spans="1:3" x14ac:dyDescent="0.25">
      <c r="A54" t="s">
        <v>911</v>
      </c>
      <c r="B54" s="21" t="str">
        <f t="shared" si="2"/>
        <v>2016/12/14 18:56:13.431</v>
      </c>
      <c r="C54" s="21">
        <f t="shared" si="3"/>
        <v>1.6894444488571025E-3</v>
      </c>
    </row>
    <row r="55" spans="1:3" x14ac:dyDescent="0.25">
      <c r="A55" t="s">
        <v>912</v>
      </c>
      <c r="B55" s="21" t="str">
        <f t="shared" si="2"/>
        <v>2016/12/14 19:04:10.481</v>
      </c>
      <c r="C55" s="21">
        <f t="shared" si="3"/>
        <v>5.5214120366144925E-3</v>
      </c>
    </row>
    <row r="56" spans="1:3" x14ac:dyDescent="0.25">
      <c r="A56" t="s">
        <v>913</v>
      </c>
      <c r="B56" s="21" t="str">
        <f t="shared" si="2"/>
        <v>2016/12/14 19:20:19.060</v>
      </c>
      <c r="C56" s="21">
        <f t="shared" si="3"/>
        <v>1.1210405093152076E-2</v>
      </c>
    </row>
    <row r="57" spans="1:3" x14ac:dyDescent="0.25">
      <c r="A57" t="s">
        <v>914</v>
      </c>
      <c r="B57" s="21" t="str">
        <f t="shared" si="2"/>
        <v>2016/12/14 19:20:19.434</v>
      </c>
      <c r="C57" s="21">
        <f t="shared" si="3"/>
        <v>4.3287000153213739E-6</v>
      </c>
    </row>
    <row r="58" spans="1:3" x14ac:dyDescent="0.25">
      <c r="A58" t="s">
        <v>915</v>
      </c>
      <c r="B58" s="21" t="str">
        <f t="shared" si="2"/>
        <v>2016/12/14 19:20:21.373</v>
      </c>
      <c r="C58" s="21">
        <f t="shared" si="3"/>
        <v>2.2442131012212485E-5</v>
      </c>
    </row>
    <row r="59" spans="1:3" x14ac:dyDescent="0.25">
      <c r="A59" t="s">
        <v>916</v>
      </c>
      <c r="B59" s="21" t="str">
        <f t="shared" si="2"/>
        <v>2016/12/14 19:26:14.284</v>
      </c>
      <c r="C59" s="21">
        <f t="shared" si="3"/>
        <v>4.0846180563676171E-3</v>
      </c>
    </row>
    <row r="60" spans="1:3" x14ac:dyDescent="0.25">
      <c r="A60" t="s">
        <v>917</v>
      </c>
      <c r="B60" s="21" t="str">
        <f t="shared" si="2"/>
        <v>2016/12/14 19:26:14.954</v>
      </c>
      <c r="C60" s="21">
        <f t="shared" si="3"/>
        <v>7.7546283137053251E-6</v>
      </c>
    </row>
    <row r="61" spans="1:3" x14ac:dyDescent="0.25">
      <c r="A61" t="s">
        <v>918</v>
      </c>
      <c r="B61" s="21" t="str">
        <f t="shared" si="2"/>
        <v>2016/12/14 19:26:15.397</v>
      </c>
      <c r="C61" s="21">
        <f t="shared" si="3"/>
        <v>5.127316399011761E-6</v>
      </c>
    </row>
    <row r="62" spans="1:3" x14ac:dyDescent="0.25">
      <c r="A62" t="s">
        <v>919</v>
      </c>
      <c r="B62" s="21" t="str">
        <f t="shared" si="2"/>
        <v>2016/12/14 19:27:45.954</v>
      </c>
      <c r="C62" s="21">
        <f t="shared" si="3"/>
        <v>1.0481134231667966E-3</v>
      </c>
    </row>
    <row r="63" spans="1:3" x14ac:dyDescent="0.25">
      <c r="A63" t="s">
        <v>920</v>
      </c>
      <c r="B63" s="21" t="str">
        <f t="shared" si="2"/>
        <v>2016/12/14 19:27:46.275</v>
      </c>
      <c r="C63" s="21">
        <f t="shared" si="3"/>
        <v>3.7152785807847977E-6</v>
      </c>
    </row>
    <row r="64" spans="1:3" x14ac:dyDescent="0.25">
      <c r="A64" t="s">
        <v>921</v>
      </c>
      <c r="B64" s="21" t="str">
        <f t="shared" si="2"/>
        <v>2016/12/14 19:27:46.397</v>
      </c>
      <c r="C64" s="21">
        <f t="shared" si="3"/>
        <v>1.4120378182269633E-6</v>
      </c>
    </row>
    <row r="65" spans="1:3" x14ac:dyDescent="0.25">
      <c r="A65" t="s">
        <v>922</v>
      </c>
      <c r="B65" s="21" t="str">
        <f t="shared" si="2"/>
        <v>2016/12/14 20:03:30.075</v>
      </c>
      <c r="C65" s="21">
        <f t="shared" si="3"/>
        <v>2.481108796200715E-2</v>
      </c>
    </row>
    <row r="66" spans="1:3" x14ac:dyDescent="0.25">
      <c r="A66" t="s">
        <v>923</v>
      </c>
      <c r="B66" s="21" t="str">
        <f t="shared" si="2"/>
        <v>2016/12/14 20:03:34.474</v>
      </c>
      <c r="C66" s="21">
        <f t="shared" si="3"/>
        <v>5.0914350140374154E-5</v>
      </c>
    </row>
    <row r="67" spans="1:3" x14ac:dyDescent="0.25">
      <c r="A67" t="s">
        <v>924</v>
      </c>
      <c r="B67" s="21" t="str">
        <f t="shared" si="2"/>
        <v>2016/12/14 20:03:34.634</v>
      </c>
      <c r="C67" s="21">
        <f t="shared" si="3"/>
        <v>1.851854904089123E-6</v>
      </c>
    </row>
    <row r="68" spans="1:3" x14ac:dyDescent="0.25">
      <c r="A68" t="s">
        <v>925</v>
      </c>
      <c r="B68" s="21" t="str">
        <f t="shared" si="2"/>
        <v>2016/12/14 21:05:09.276</v>
      </c>
      <c r="C68" s="21">
        <f t="shared" si="3"/>
        <v>4.2762060184031725E-2</v>
      </c>
    </row>
    <row r="69" spans="1:3" x14ac:dyDescent="0.25">
      <c r="A69" t="s">
        <v>926</v>
      </c>
      <c r="B69" s="21" t="str">
        <f t="shared" si="2"/>
        <v>2016/12/14 21:48:54.478</v>
      </c>
      <c r="C69" s="21">
        <f t="shared" si="3"/>
        <v>3.0384282406885177E-2</v>
      </c>
    </row>
    <row r="70" spans="1:3" x14ac:dyDescent="0.25">
      <c r="A70" t="s">
        <v>927</v>
      </c>
      <c r="B70" s="21" t="str">
        <f t="shared" si="2"/>
        <v>2016/12/14 21:48:54.641</v>
      </c>
      <c r="C70" s="21">
        <f t="shared" si="3"/>
        <v>1.8865757738240063E-6</v>
      </c>
    </row>
    <row r="71" spans="1:3" x14ac:dyDescent="0.25">
      <c r="A71" t="s">
        <v>928</v>
      </c>
      <c r="B71" s="21" t="str">
        <f t="shared" si="2"/>
        <v>2016/12/14 21:48:55.069</v>
      </c>
      <c r="C71" s="21">
        <f t="shared" si="3"/>
        <v>4.9537047743797302E-6</v>
      </c>
    </row>
    <row r="72" spans="1:3" x14ac:dyDescent="0.25">
      <c r="A72" t="s">
        <v>929</v>
      </c>
      <c r="B72" s="21" t="str">
        <f t="shared" si="2"/>
        <v>2016/12/14 22:48:51.273</v>
      </c>
      <c r="C72" s="21">
        <f t="shared" si="3"/>
        <v>4.1622731478128117E-2</v>
      </c>
    </row>
    <row r="73" spans="1:3" x14ac:dyDescent="0.25">
      <c r="A73" t="s">
        <v>930</v>
      </c>
      <c r="B73" s="21" t="str">
        <f t="shared" si="2"/>
        <v>2016/12/14 22:48:51.958</v>
      </c>
      <c r="C73" s="21">
        <f t="shared" si="3"/>
        <v>7.9282399383373559E-6</v>
      </c>
    </row>
    <row r="74" spans="1:3" x14ac:dyDescent="0.25">
      <c r="A74" t="s">
        <v>931</v>
      </c>
      <c r="B74" s="21" t="str">
        <f t="shared" si="2"/>
        <v>2016/12/14 22:48:52.396</v>
      </c>
      <c r="C74" s="21">
        <f t="shared" si="3"/>
        <v>5.0694507081061602E-6</v>
      </c>
    </row>
    <row r="75" spans="1:3" x14ac:dyDescent="0.25">
      <c r="A75" t="s">
        <v>932</v>
      </c>
      <c r="B75" s="21" t="str">
        <f t="shared" si="2"/>
        <v>2016/12/14 23:41:59.135</v>
      </c>
      <c r="C75" s="21">
        <f t="shared" si="3"/>
        <v>3.688355323538417E-2</v>
      </c>
    </row>
    <row r="76" spans="1:3" x14ac:dyDescent="0.25">
      <c r="A76" t="s">
        <v>933</v>
      </c>
      <c r="B76" s="21" t="str">
        <f t="shared" si="2"/>
        <v>2016/12/14 23:41:59.475</v>
      </c>
      <c r="C76" s="21">
        <f t="shared" si="3"/>
        <v>3.9351871237158775E-6</v>
      </c>
    </row>
    <row r="77" spans="1:3" x14ac:dyDescent="0.25">
      <c r="A77" t="s">
        <v>934</v>
      </c>
      <c r="B77" s="21" t="str">
        <f t="shared" si="2"/>
        <v>2016/12/14 23:42:01.118</v>
      </c>
      <c r="C77" s="21">
        <f t="shared" si="3"/>
        <v>1.9016202713828534E-5</v>
      </c>
    </row>
    <row r="78" spans="1:3" x14ac:dyDescent="0.25">
      <c r="A78" t="s">
        <v>935</v>
      </c>
      <c r="B78" s="21" t="str">
        <f t="shared" si="2"/>
        <v>2016/12/14 23:42:41.456</v>
      </c>
      <c r="C78" s="21">
        <f t="shared" si="3"/>
        <v>4.6687500434927642E-4</v>
      </c>
    </row>
    <row r="79" spans="1:3" x14ac:dyDescent="0.25">
      <c r="A79" t="s">
        <v>936</v>
      </c>
      <c r="B79" s="21" t="str">
        <f t="shared" si="2"/>
        <v>2016/12/14 23:42:42.111</v>
      </c>
      <c r="C79" s="21">
        <f t="shared" si="3"/>
        <v>7.5810166890732944E-6</v>
      </c>
    </row>
    <row r="80" spans="1:3" x14ac:dyDescent="0.25">
      <c r="A80" t="s">
        <v>937</v>
      </c>
      <c r="B80" s="21" t="str">
        <f t="shared" si="2"/>
        <v>2016/12/14 23:42:42.124</v>
      </c>
      <c r="C80" s="21">
        <f t="shared" si="3"/>
        <v>1.5045952750369906E-7</v>
      </c>
    </row>
    <row r="81" spans="1:3" x14ac:dyDescent="0.25">
      <c r="A81" t="s">
        <v>938</v>
      </c>
      <c r="B81" s="21" t="str">
        <f t="shared" ref="B81:B85" si="4">MID(A81,6,23)</f>
        <v>2016/12/14 23:51:34.620</v>
      </c>
      <c r="C81" s="21">
        <f t="shared" ref="C81:C85" si="5">ABS(B81-B80)</f>
        <v>6.1631481512449682E-3</v>
      </c>
    </row>
    <row r="82" spans="1:3" x14ac:dyDescent="0.25">
      <c r="A82" t="s">
        <v>939</v>
      </c>
      <c r="B82" s="21" t="str">
        <f t="shared" si="4"/>
        <v>2016/12/14 23:52:14.619</v>
      </c>
      <c r="C82" s="21">
        <f t="shared" si="5"/>
        <v>4.629513859981671E-4</v>
      </c>
    </row>
    <row r="83" spans="1:3" x14ac:dyDescent="0.25">
      <c r="A83" t="s">
        <v>940</v>
      </c>
      <c r="B83" s="21" t="str">
        <f t="shared" si="4"/>
        <v>2016/12/15 00:19:51.666</v>
      </c>
      <c r="C83" s="21">
        <f t="shared" si="5"/>
        <v>1.9178784721589182E-2</v>
      </c>
    </row>
    <row r="84" spans="1:3" x14ac:dyDescent="0.25">
      <c r="A84" t="s">
        <v>941</v>
      </c>
      <c r="B84" s="21" t="str">
        <f t="shared" si="4"/>
        <v>2016/12/15 00:19:51.712</v>
      </c>
      <c r="C84" s="21">
        <f t="shared" si="5"/>
        <v>5.3241092246025801E-7</v>
      </c>
    </row>
    <row r="85" spans="1:3" x14ac:dyDescent="0.25">
      <c r="A85" t="s">
        <v>942</v>
      </c>
      <c r="B85" s="21" t="str">
        <f t="shared" si="4"/>
        <v>2016/12/15 00:19:52.465</v>
      </c>
      <c r="C85" s="21">
        <f t="shared" si="5"/>
        <v>8.715280273463577E-6</v>
      </c>
    </row>
    <row r="86" spans="1:3" x14ac:dyDescent="0.25">
      <c r="A86" t="s">
        <v>943</v>
      </c>
      <c r="B86" s="21" t="str">
        <f t="shared" ref="B86:B111" si="6">MID(A86,6,23)</f>
        <v>2016/12/15 01:03:25.592</v>
      </c>
      <c r="C86" s="21">
        <f t="shared" ref="C86:C111" si="7">ABS(B86-B85)</f>
        <v>3.0244525456510019E-2</v>
      </c>
    </row>
    <row r="87" spans="1:3" x14ac:dyDescent="0.25">
      <c r="A87" t="s">
        <v>944</v>
      </c>
      <c r="B87" s="21" t="str">
        <f t="shared" si="6"/>
        <v>2016/12/15 01:03:25.882</v>
      </c>
      <c r="C87" s="21">
        <f t="shared" si="7"/>
        <v>3.3564865589141846E-6</v>
      </c>
    </row>
    <row r="88" spans="1:3" x14ac:dyDescent="0.25">
      <c r="A88" t="s">
        <v>945</v>
      </c>
      <c r="B88" s="21" t="str">
        <f t="shared" si="6"/>
        <v>2016/12/15 01:03:26.126</v>
      </c>
      <c r="C88" s="21">
        <f t="shared" si="7"/>
        <v>2.8240756364539266E-6</v>
      </c>
    </row>
    <row r="89" spans="1:3" x14ac:dyDescent="0.25">
      <c r="A89" t="s">
        <v>946</v>
      </c>
      <c r="B89" s="21" t="str">
        <f t="shared" si="6"/>
        <v>2016/12/15 02:06:46.998</v>
      </c>
      <c r="C89" s="21">
        <f t="shared" si="7"/>
        <v>4.3991574071696959E-2</v>
      </c>
    </row>
    <row r="90" spans="1:3" x14ac:dyDescent="0.25">
      <c r="A90" t="s">
        <v>947</v>
      </c>
      <c r="B90" s="21" t="str">
        <f t="shared" si="6"/>
        <v>2016/12/15 02:33:01.023</v>
      </c>
      <c r="C90" s="21">
        <f t="shared" si="7"/>
        <v>1.8217881945020054E-2</v>
      </c>
    </row>
    <row r="91" spans="1:3" x14ac:dyDescent="0.25">
      <c r="A91" t="s">
        <v>948</v>
      </c>
      <c r="B91" s="21" t="str">
        <f t="shared" si="6"/>
        <v>2016/12/15 02:48:08.893</v>
      </c>
      <c r="C91" s="21">
        <f t="shared" si="7"/>
        <v>1.0507754624995869E-2</v>
      </c>
    </row>
    <row r="92" spans="1:3" x14ac:dyDescent="0.25">
      <c r="A92" t="s">
        <v>949</v>
      </c>
      <c r="B92" s="21" t="str">
        <f t="shared" si="6"/>
        <v>2016/12/15 02:48:09.133</v>
      </c>
      <c r="C92" s="21">
        <f t="shared" si="7"/>
        <v>2.7777787181548774E-6</v>
      </c>
    </row>
    <row r="93" spans="1:3" x14ac:dyDescent="0.25">
      <c r="A93" t="s">
        <v>950</v>
      </c>
      <c r="B93" s="21" t="str">
        <f t="shared" si="6"/>
        <v>2016/12/15 02:48:09.600</v>
      </c>
      <c r="C93" s="21">
        <f t="shared" si="7"/>
        <v>5.4050979088060558E-6</v>
      </c>
    </row>
    <row r="94" spans="1:3" x14ac:dyDescent="0.25">
      <c r="A94" t="s">
        <v>951</v>
      </c>
      <c r="B94" s="21" t="str">
        <f t="shared" si="6"/>
        <v>2016/12/15 03:33:30.993</v>
      </c>
      <c r="C94" s="21">
        <f t="shared" si="7"/>
        <v>3.1497604162723292E-2</v>
      </c>
    </row>
    <row r="95" spans="1:3" x14ac:dyDescent="0.25">
      <c r="A95" t="s">
        <v>952</v>
      </c>
      <c r="B95" s="21" t="str">
        <f t="shared" si="6"/>
        <v>2016/12/15 03:33:31.394</v>
      </c>
      <c r="C95" s="21">
        <f t="shared" si="7"/>
        <v>4.6412023948505521E-6</v>
      </c>
    </row>
    <row r="96" spans="1:3" x14ac:dyDescent="0.25">
      <c r="A96" t="s">
        <v>953</v>
      </c>
      <c r="B96" s="21" t="str">
        <f t="shared" si="6"/>
        <v>2016/12/15 03:55:06.113</v>
      </c>
      <c r="C96" s="21">
        <f t="shared" si="7"/>
        <v>1.4985173613240477E-2</v>
      </c>
    </row>
    <row r="97" spans="1:3" x14ac:dyDescent="0.25">
      <c r="A97" t="s">
        <v>954</v>
      </c>
      <c r="B97" s="21" t="str">
        <f t="shared" si="6"/>
        <v>2016/12/15 03:55:06.458</v>
      </c>
      <c r="C97" s="21">
        <f t="shared" si="7"/>
        <v>3.9930528146214783E-6</v>
      </c>
    </row>
    <row r="98" spans="1:3" x14ac:dyDescent="0.25">
      <c r="A98" t="s">
        <v>955</v>
      </c>
      <c r="B98" s="21" t="str">
        <f t="shared" si="6"/>
        <v>2016/12/15 04:10:06.205</v>
      </c>
      <c r="C98" s="21">
        <f t="shared" si="7"/>
        <v>1.0413738425995689E-2</v>
      </c>
    </row>
    <row r="99" spans="1:3" x14ac:dyDescent="0.25">
      <c r="A99" t="s">
        <v>956</v>
      </c>
      <c r="B99" s="21" t="str">
        <f t="shared" si="6"/>
        <v>2016/12/15 04:10:06.428</v>
      </c>
      <c r="C99" s="21">
        <f t="shared" si="7"/>
        <v>2.5810222723521292E-6</v>
      </c>
    </row>
    <row r="100" spans="1:3" x14ac:dyDescent="0.25">
      <c r="A100" t="s">
        <v>957</v>
      </c>
      <c r="B100" s="21" t="str">
        <f t="shared" si="6"/>
        <v>2016/12/15 04:36:28.698</v>
      </c>
      <c r="C100" s="21">
        <f t="shared" si="7"/>
        <v>1.831331018183846E-2</v>
      </c>
    </row>
    <row r="101" spans="1:3" x14ac:dyDescent="0.25">
      <c r="A101" t="s">
        <v>958</v>
      </c>
      <c r="B101" s="21" t="str">
        <f t="shared" si="6"/>
        <v>2016/12/15 04:36:28.792</v>
      </c>
      <c r="C101" s="21">
        <f t="shared" si="7"/>
        <v>1.0879666660912335E-6</v>
      </c>
    </row>
    <row r="102" spans="1:3" x14ac:dyDescent="0.25">
      <c r="A102" t="s">
        <v>959</v>
      </c>
      <c r="B102" s="21" t="str">
        <f t="shared" si="6"/>
        <v>2016/12/15 04:36:28.835</v>
      </c>
      <c r="C102" s="21">
        <f t="shared" si="7"/>
        <v>4.9768277676776052E-7</v>
      </c>
    </row>
    <row r="103" spans="1:3" x14ac:dyDescent="0.25">
      <c r="A103" t="s">
        <v>960</v>
      </c>
      <c r="B103" s="21" t="str">
        <f t="shared" si="6"/>
        <v>2016/12/15 05:30:06.715</v>
      </c>
      <c r="C103" s="21">
        <f t="shared" si="7"/>
        <v>3.7243981481879018E-2</v>
      </c>
    </row>
    <row r="104" spans="1:3" x14ac:dyDescent="0.25">
      <c r="A104" t="s">
        <v>961</v>
      </c>
      <c r="B104" s="21" t="str">
        <f t="shared" si="6"/>
        <v>2016/12/15 05:30:06.807</v>
      </c>
      <c r="C104" s="21">
        <f t="shared" si="7"/>
        <v>1.0648145689629018E-6</v>
      </c>
    </row>
    <row r="105" spans="1:3" x14ac:dyDescent="0.25">
      <c r="A105" t="s">
        <v>962</v>
      </c>
      <c r="B105" s="21" t="str">
        <f t="shared" si="6"/>
        <v>2016/12/15 05:30:06.852</v>
      </c>
      <c r="C105" s="21">
        <f t="shared" si="7"/>
        <v>5.2083487389609218E-7</v>
      </c>
    </row>
    <row r="106" spans="1:3" x14ac:dyDescent="0.25">
      <c r="A106" t="s">
        <v>963</v>
      </c>
      <c r="B106" s="21" t="str">
        <f t="shared" si="6"/>
        <v>2016/12/15 06:29:05.594</v>
      </c>
      <c r="C106" s="21">
        <f t="shared" si="7"/>
        <v>4.0957662036817055E-2</v>
      </c>
    </row>
    <row r="107" spans="1:3" x14ac:dyDescent="0.25">
      <c r="A107" t="s">
        <v>964</v>
      </c>
      <c r="B107" s="21" t="str">
        <f t="shared" si="6"/>
        <v>2016/12/15 06:29:05.877</v>
      </c>
      <c r="C107" s="21">
        <f t="shared" si="7"/>
        <v>3.2754614949226379E-6</v>
      </c>
    </row>
    <row r="108" spans="1:3" x14ac:dyDescent="0.25">
      <c r="A108" t="s">
        <v>965</v>
      </c>
      <c r="B108" s="21" t="str">
        <f t="shared" si="6"/>
        <v>2016/12/15 06:29:06.133</v>
      </c>
      <c r="C108" s="21">
        <f t="shared" si="7"/>
        <v>2.962966391351074E-6</v>
      </c>
    </row>
    <row r="109" spans="1:3" x14ac:dyDescent="0.25">
      <c r="A109" t="s">
        <v>966</v>
      </c>
      <c r="B109" s="21" t="str">
        <f t="shared" si="6"/>
        <v>2016/12/15 08:03:31.211</v>
      </c>
      <c r="C109" s="21">
        <f t="shared" si="7"/>
        <v>6.5568032405280974E-2</v>
      </c>
    </row>
    <row r="110" spans="1:3" x14ac:dyDescent="0.25">
      <c r="A110" t="s">
        <v>967</v>
      </c>
      <c r="B110" s="21" t="str">
        <f t="shared" si="6"/>
        <v>2016/12/15 08:03:31.442</v>
      </c>
      <c r="C110" s="21">
        <f t="shared" si="7"/>
        <v>2.6736088329926133E-6</v>
      </c>
    </row>
    <row r="111" spans="1:3" x14ac:dyDescent="0.25">
      <c r="A111" t="s">
        <v>968</v>
      </c>
      <c r="B111" s="21" t="str">
        <f t="shared" si="6"/>
        <v>2016/12/15 08:03:32.067</v>
      </c>
      <c r="C111" s="21">
        <f t="shared" si="7"/>
        <v>7.2338007157668471E-6</v>
      </c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2016-12-15T18:43:51Z</dcterms:modified>
</cp:coreProperties>
</file>